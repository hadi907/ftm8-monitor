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8C922067-0893-4A44-B1D5-8D8A878EF92E}" xr6:coauthVersionLast="36" xr6:coauthVersionMax="36" xr10:uidLastSave="{00000000-0000-0000-0000-000000000000}"/>
  <bookViews>
    <workbookView xWindow="0" yWindow="0" windowWidth="16380" windowHeight="8190" tabRatio="500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D108" i="6" s="1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O204" i="2"/>
  <c r="N204" i="2"/>
  <c r="M204" i="2"/>
  <c r="L204" i="2"/>
  <c r="J204" i="2"/>
  <c r="O203" i="2"/>
  <c r="N203" i="2"/>
  <c r="M203" i="2"/>
  <c r="L203" i="2"/>
  <c r="J203" i="2"/>
  <c r="O202" i="2"/>
  <c r="N202" i="2"/>
  <c r="M202" i="2"/>
  <c r="L202" i="2"/>
  <c r="J202" i="2"/>
  <c r="O201" i="2"/>
  <c r="N201" i="2"/>
  <c r="M201" i="2"/>
  <c r="L201" i="2"/>
  <c r="J201" i="2"/>
  <c r="O200" i="2"/>
  <c r="N200" i="2"/>
  <c r="M200" i="2"/>
  <c r="L200" i="2"/>
  <c r="J200" i="2"/>
  <c r="O199" i="2"/>
  <c r="N199" i="2"/>
  <c r="M199" i="2"/>
  <c r="L199" i="2"/>
  <c r="J199" i="2"/>
  <c r="O198" i="2"/>
  <c r="N198" i="2"/>
  <c r="M198" i="2"/>
  <c r="L198" i="2"/>
  <c r="J198" i="2"/>
  <c r="O197" i="2"/>
  <c r="N197" i="2"/>
  <c r="M197" i="2"/>
  <c r="L197" i="2"/>
  <c r="J197" i="2"/>
  <c r="O196" i="2"/>
  <c r="N196" i="2"/>
  <c r="M196" i="2"/>
  <c r="L196" i="2"/>
  <c r="J196" i="2"/>
  <c r="O195" i="2"/>
  <c r="N195" i="2"/>
  <c r="M195" i="2"/>
  <c r="L195" i="2"/>
  <c r="J195" i="2"/>
  <c r="O194" i="2"/>
  <c r="N194" i="2"/>
  <c r="M194" i="2"/>
  <c r="L194" i="2"/>
  <c r="J194" i="2"/>
  <c r="O193" i="2"/>
  <c r="N193" i="2"/>
  <c r="M193" i="2"/>
  <c r="L193" i="2"/>
  <c r="J193" i="2"/>
  <c r="O192" i="2"/>
  <c r="N192" i="2"/>
  <c r="M192" i="2"/>
  <c r="L192" i="2"/>
  <c r="J192" i="2"/>
  <c r="O191" i="2"/>
  <c r="N191" i="2"/>
  <c r="M191" i="2"/>
  <c r="L191" i="2"/>
  <c r="J191" i="2"/>
  <c r="O190" i="2"/>
  <c r="N190" i="2"/>
  <c r="M190" i="2"/>
  <c r="L190" i="2"/>
  <c r="J190" i="2"/>
  <c r="O189" i="2"/>
  <c r="N189" i="2"/>
  <c r="M189" i="2"/>
  <c r="L189" i="2"/>
  <c r="J189" i="2"/>
  <c r="O188" i="2"/>
  <c r="N188" i="2"/>
  <c r="M188" i="2"/>
  <c r="L188" i="2"/>
  <c r="J188" i="2"/>
  <c r="O187" i="2"/>
  <c r="N187" i="2"/>
  <c r="M187" i="2"/>
  <c r="L187" i="2"/>
  <c r="J187" i="2"/>
  <c r="O186" i="2"/>
  <c r="N186" i="2"/>
  <c r="M186" i="2"/>
  <c r="L186" i="2"/>
  <c r="J186" i="2"/>
  <c r="O185" i="2"/>
  <c r="N185" i="2"/>
  <c r="M185" i="2"/>
  <c r="L185" i="2"/>
  <c r="J185" i="2"/>
  <c r="O184" i="2"/>
  <c r="N184" i="2"/>
  <c r="M184" i="2"/>
  <c r="L184" i="2"/>
  <c r="J184" i="2"/>
  <c r="O183" i="2"/>
  <c r="N183" i="2"/>
  <c r="M183" i="2"/>
  <c r="L183" i="2"/>
  <c r="J183" i="2"/>
  <c r="O182" i="2"/>
  <c r="N182" i="2"/>
  <c r="M182" i="2"/>
  <c r="L182" i="2"/>
  <c r="J182" i="2"/>
  <c r="O181" i="2"/>
  <c r="N181" i="2"/>
  <c r="M181" i="2"/>
  <c r="L181" i="2"/>
  <c r="J181" i="2"/>
  <c r="O180" i="2"/>
  <c r="N180" i="2"/>
  <c r="M180" i="2"/>
  <c r="L180" i="2"/>
  <c r="J180" i="2"/>
  <c r="O179" i="2"/>
  <c r="N179" i="2"/>
  <c r="M179" i="2"/>
  <c r="L179" i="2"/>
  <c r="J179" i="2"/>
  <c r="O178" i="2"/>
  <c r="N178" i="2"/>
  <c r="M178" i="2"/>
  <c r="L178" i="2"/>
  <c r="J178" i="2"/>
  <c r="O177" i="2"/>
  <c r="N177" i="2"/>
  <c r="M177" i="2"/>
  <c r="L177" i="2"/>
  <c r="J177" i="2"/>
  <c r="O176" i="2"/>
  <c r="N176" i="2"/>
  <c r="M176" i="2"/>
  <c r="L176" i="2"/>
  <c r="J176" i="2"/>
  <c r="O175" i="2"/>
  <c r="N175" i="2"/>
  <c r="M175" i="2"/>
  <c r="L175" i="2"/>
  <c r="J175" i="2"/>
  <c r="O174" i="2"/>
  <c r="N174" i="2"/>
  <c r="M174" i="2"/>
  <c r="L174" i="2"/>
  <c r="J174" i="2"/>
  <c r="O173" i="2"/>
  <c r="N173" i="2"/>
  <c r="M173" i="2"/>
  <c r="L173" i="2"/>
  <c r="J173" i="2"/>
  <c r="O172" i="2"/>
  <c r="N172" i="2"/>
  <c r="M172" i="2"/>
  <c r="L172" i="2"/>
  <c r="J172" i="2"/>
  <c r="O171" i="2"/>
  <c r="N171" i="2"/>
  <c r="M171" i="2"/>
  <c r="L171" i="2"/>
  <c r="J171" i="2"/>
  <c r="O170" i="2"/>
  <c r="N170" i="2"/>
  <c r="M170" i="2"/>
  <c r="L170" i="2"/>
  <c r="J170" i="2"/>
  <c r="O169" i="2"/>
  <c r="N169" i="2"/>
  <c r="M169" i="2"/>
  <c r="L169" i="2"/>
  <c r="J169" i="2"/>
  <c r="O168" i="2"/>
  <c r="N168" i="2"/>
  <c r="M168" i="2"/>
  <c r="L168" i="2"/>
  <c r="J168" i="2"/>
  <c r="O167" i="2"/>
  <c r="N167" i="2"/>
  <c r="M167" i="2"/>
  <c r="L167" i="2"/>
  <c r="J167" i="2"/>
  <c r="O166" i="2"/>
  <c r="N166" i="2"/>
  <c r="M166" i="2"/>
  <c r="L166" i="2"/>
  <c r="J166" i="2"/>
  <c r="O165" i="2"/>
  <c r="N165" i="2"/>
  <c r="M165" i="2"/>
  <c r="L165" i="2"/>
  <c r="J165" i="2"/>
  <c r="O164" i="2"/>
  <c r="N164" i="2"/>
  <c r="M164" i="2"/>
  <c r="L164" i="2"/>
  <c r="J164" i="2"/>
  <c r="O163" i="2"/>
  <c r="N163" i="2"/>
  <c r="M163" i="2"/>
  <c r="L163" i="2"/>
  <c r="J163" i="2"/>
  <c r="O162" i="2"/>
  <c r="N162" i="2"/>
  <c r="M162" i="2"/>
  <c r="L162" i="2"/>
  <c r="J162" i="2"/>
  <c r="O161" i="2"/>
  <c r="N161" i="2"/>
  <c r="M161" i="2"/>
  <c r="L161" i="2"/>
  <c r="J161" i="2"/>
  <c r="O160" i="2"/>
  <c r="N160" i="2"/>
  <c r="M160" i="2"/>
  <c r="L160" i="2"/>
  <c r="J160" i="2"/>
  <c r="O159" i="2"/>
  <c r="N159" i="2"/>
  <c r="M159" i="2"/>
  <c r="L159" i="2"/>
  <c r="J159" i="2"/>
  <c r="O158" i="2"/>
  <c r="N158" i="2"/>
  <c r="M158" i="2"/>
  <c r="L158" i="2"/>
  <c r="J158" i="2"/>
  <c r="O157" i="2"/>
  <c r="N157" i="2"/>
  <c r="M157" i="2"/>
  <c r="L157" i="2"/>
  <c r="J157" i="2"/>
  <c r="O156" i="2"/>
  <c r="N156" i="2"/>
  <c r="M156" i="2"/>
  <c r="L156" i="2"/>
  <c r="J156" i="2"/>
  <c r="O155" i="2"/>
  <c r="N155" i="2"/>
  <c r="M155" i="2"/>
  <c r="L155" i="2"/>
  <c r="J155" i="2"/>
  <c r="O154" i="2"/>
  <c r="N154" i="2"/>
  <c r="M154" i="2"/>
  <c r="L154" i="2"/>
  <c r="J154" i="2"/>
  <c r="O153" i="2"/>
  <c r="N153" i="2"/>
  <c r="M153" i="2"/>
  <c r="L153" i="2"/>
  <c r="J153" i="2"/>
  <c r="O152" i="2"/>
  <c r="N152" i="2"/>
  <c r="M152" i="2"/>
  <c r="L152" i="2"/>
  <c r="J152" i="2"/>
  <c r="O151" i="2"/>
  <c r="N151" i="2"/>
  <c r="M151" i="2"/>
  <c r="L151" i="2"/>
  <c r="J151" i="2"/>
  <c r="O150" i="2"/>
  <c r="N150" i="2"/>
  <c r="M150" i="2"/>
  <c r="L150" i="2"/>
  <c r="J150" i="2"/>
  <c r="O149" i="2"/>
  <c r="N149" i="2"/>
  <c r="M149" i="2"/>
  <c r="L149" i="2"/>
  <c r="J149" i="2"/>
  <c r="O148" i="2"/>
  <c r="N148" i="2"/>
  <c r="M148" i="2"/>
  <c r="L148" i="2"/>
  <c r="J148" i="2"/>
  <c r="O147" i="2"/>
  <c r="N147" i="2"/>
  <c r="M147" i="2"/>
  <c r="L147" i="2"/>
  <c r="J147" i="2"/>
  <c r="O146" i="2"/>
  <c r="N146" i="2"/>
  <c r="M146" i="2"/>
  <c r="L146" i="2"/>
  <c r="J146" i="2"/>
  <c r="O145" i="2"/>
  <c r="N145" i="2"/>
  <c r="M145" i="2"/>
  <c r="L145" i="2"/>
  <c r="J145" i="2"/>
  <c r="O144" i="2"/>
  <c r="N144" i="2"/>
  <c r="M144" i="2"/>
  <c r="L144" i="2"/>
  <c r="J144" i="2"/>
  <c r="O143" i="2"/>
  <c r="N143" i="2"/>
  <c r="M143" i="2"/>
  <c r="L143" i="2"/>
  <c r="J143" i="2"/>
  <c r="O142" i="2"/>
  <c r="N142" i="2"/>
  <c r="M142" i="2"/>
  <c r="L142" i="2"/>
  <c r="J142" i="2"/>
  <c r="O141" i="2"/>
  <c r="N141" i="2"/>
  <c r="M141" i="2"/>
  <c r="L141" i="2"/>
  <c r="J141" i="2"/>
  <c r="O140" i="2"/>
  <c r="N140" i="2"/>
  <c r="M140" i="2"/>
  <c r="L140" i="2"/>
  <c r="J140" i="2"/>
  <c r="O139" i="2"/>
  <c r="N139" i="2"/>
  <c r="M139" i="2"/>
  <c r="L139" i="2"/>
  <c r="J139" i="2"/>
  <c r="O138" i="2"/>
  <c r="N138" i="2"/>
  <c r="M138" i="2"/>
  <c r="L138" i="2"/>
  <c r="J138" i="2"/>
  <c r="O137" i="2"/>
  <c r="N137" i="2"/>
  <c r="M137" i="2"/>
  <c r="L137" i="2"/>
  <c r="J137" i="2"/>
  <c r="O136" i="2"/>
  <c r="N136" i="2"/>
  <c r="M136" i="2"/>
  <c r="L136" i="2"/>
  <c r="J136" i="2"/>
  <c r="O135" i="2"/>
  <c r="N135" i="2"/>
  <c r="M135" i="2"/>
  <c r="L135" i="2"/>
  <c r="J135" i="2"/>
  <c r="O134" i="2"/>
  <c r="N134" i="2"/>
  <c r="M134" i="2"/>
  <c r="L134" i="2"/>
  <c r="J134" i="2"/>
  <c r="O133" i="2"/>
  <c r="N133" i="2"/>
  <c r="M133" i="2"/>
  <c r="L133" i="2"/>
  <c r="J133" i="2"/>
  <c r="O132" i="2"/>
  <c r="N132" i="2"/>
  <c r="M132" i="2"/>
  <c r="L132" i="2"/>
  <c r="J132" i="2"/>
  <c r="O131" i="2"/>
  <c r="N131" i="2"/>
  <c r="M131" i="2"/>
  <c r="L131" i="2"/>
  <c r="J131" i="2"/>
  <c r="O130" i="2"/>
  <c r="N130" i="2"/>
  <c r="M130" i="2"/>
  <c r="L130" i="2"/>
  <c r="J130" i="2"/>
  <c r="O129" i="2"/>
  <c r="N129" i="2"/>
  <c r="M129" i="2"/>
  <c r="L129" i="2"/>
  <c r="J129" i="2"/>
  <c r="O128" i="2"/>
  <c r="N128" i="2"/>
  <c r="M128" i="2"/>
  <c r="L128" i="2"/>
  <c r="J128" i="2"/>
  <c r="O127" i="2"/>
  <c r="N127" i="2"/>
  <c r="M127" i="2"/>
  <c r="L127" i="2"/>
  <c r="J127" i="2"/>
  <c r="O126" i="2"/>
  <c r="N126" i="2"/>
  <c r="M126" i="2"/>
  <c r="L126" i="2"/>
  <c r="J126" i="2"/>
  <c r="O125" i="2"/>
  <c r="N125" i="2"/>
  <c r="M125" i="2"/>
  <c r="L125" i="2"/>
  <c r="J125" i="2"/>
  <c r="O124" i="2"/>
  <c r="N124" i="2"/>
  <c r="M124" i="2"/>
  <c r="L124" i="2"/>
  <c r="J124" i="2"/>
  <c r="O123" i="2"/>
  <c r="N123" i="2"/>
  <c r="M123" i="2"/>
  <c r="L123" i="2"/>
  <c r="J123" i="2"/>
  <c r="O122" i="2"/>
  <c r="N122" i="2"/>
  <c r="M122" i="2"/>
  <c r="L122" i="2"/>
  <c r="J122" i="2"/>
  <c r="O121" i="2"/>
  <c r="N121" i="2"/>
  <c r="M121" i="2"/>
  <c r="L121" i="2"/>
  <c r="J121" i="2"/>
  <c r="O120" i="2"/>
  <c r="N120" i="2"/>
  <c r="M120" i="2"/>
  <c r="L120" i="2"/>
  <c r="J120" i="2"/>
  <c r="O119" i="2"/>
  <c r="N119" i="2"/>
  <c r="M119" i="2"/>
  <c r="L119" i="2"/>
  <c r="J119" i="2"/>
  <c r="O118" i="2"/>
  <c r="N118" i="2"/>
  <c r="M118" i="2"/>
  <c r="L118" i="2"/>
  <c r="J118" i="2"/>
  <c r="O117" i="2"/>
  <c r="N117" i="2"/>
  <c r="M117" i="2"/>
  <c r="L117" i="2"/>
  <c r="J117" i="2"/>
  <c r="O116" i="2"/>
  <c r="N116" i="2"/>
  <c r="M116" i="2"/>
  <c r="L116" i="2"/>
  <c r="J116" i="2"/>
  <c r="O115" i="2"/>
  <c r="N115" i="2"/>
  <c r="M115" i="2"/>
  <c r="L115" i="2"/>
  <c r="J115" i="2"/>
  <c r="O114" i="2"/>
  <c r="N114" i="2"/>
  <c r="M114" i="2"/>
  <c r="L114" i="2"/>
  <c r="J114" i="2"/>
  <c r="O113" i="2"/>
  <c r="N113" i="2"/>
  <c r="M113" i="2"/>
  <c r="L113" i="2"/>
  <c r="J113" i="2"/>
  <c r="O112" i="2"/>
  <c r="N112" i="2"/>
  <c r="M112" i="2"/>
  <c r="L112" i="2"/>
  <c r="J112" i="2"/>
  <c r="O111" i="2"/>
  <c r="N111" i="2"/>
  <c r="M111" i="2"/>
  <c r="L111" i="2"/>
  <c r="J111" i="2"/>
  <c r="O110" i="2"/>
  <c r="N110" i="2"/>
  <c r="M110" i="2"/>
  <c r="L110" i="2"/>
  <c r="J110" i="2"/>
  <c r="O109" i="2"/>
  <c r="N109" i="2"/>
  <c r="M109" i="2"/>
  <c r="L109" i="2"/>
  <c r="J109" i="2"/>
  <c r="O108" i="2"/>
  <c r="N108" i="2"/>
  <c r="M108" i="2"/>
  <c r="L108" i="2"/>
  <c r="J108" i="2"/>
  <c r="O107" i="2"/>
  <c r="N107" i="2"/>
  <c r="M107" i="2"/>
  <c r="L107" i="2"/>
  <c r="J107" i="2"/>
  <c r="O106" i="2"/>
  <c r="N106" i="2"/>
  <c r="M106" i="2"/>
  <c r="L106" i="2"/>
  <c r="J106" i="2"/>
  <c r="O105" i="2"/>
  <c r="N105" i="2"/>
  <c r="M105" i="2"/>
  <c r="L105" i="2"/>
  <c r="J105" i="2"/>
  <c r="O104" i="2"/>
  <c r="N104" i="2"/>
  <c r="M104" i="2"/>
  <c r="L104" i="2"/>
  <c r="J104" i="2"/>
  <c r="O103" i="2"/>
  <c r="N103" i="2"/>
  <c r="M103" i="2"/>
  <c r="L103" i="2"/>
  <c r="J103" i="2"/>
  <c r="O102" i="2"/>
  <c r="N102" i="2"/>
  <c r="M102" i="2"/>
  <c r="L102" i="2"/>
  <c r="O101" i="2"/>
  <c r="N101" i="2"/>
  <c r="M101" i="2"/>
  <c r="L101" i="2"/>
  <c r="O100" i="2"/>
  <c r="M100" i="2"/>
  <c r="L100" i="2"/>
  <c r="O99" i="2"/>
  <c r="M99" i="2"/>
  <c r="L99" i="2"/>
  <c r="O98" i="2"/>
  <c r="M98" i="2"/>
  <c r="L98" i="2"/>
  <c r="O97" i="2"/>
  <c r="M97" i="2"/>
  <c r="L97" i="2"/>
  <c r="O96" i="2"/>
  <c r="M96" i="2"/>
  <c r="L96" i="2"/>
  <c r="O95" i="2"/>
  <c r="M95" i="2"/>
  <c r="L95" i="2"/>
  <c r="O94" i="2"/>
  <c r="M94" i="2"/>
  <c r="L94" i="2"/>
  <c r="O93" i="2"/>
  <c r="M93" i="2"/>
  <c r="L93" i="2"/>
  <c r="O92" i="2"/>
  <c r="M92" i="2"/>
  <c r="L92" i="2"/>
  <c r="O91" i="2"/>
  <c r="M91" i="2"/>
  <c r="L91" i="2"/>
  <c r="O90" i="2"/>
  <c r="M90" i="2"/>
  <c r="L90" i="2"/>
  <c r="O89" i="2"/>
  <c r="M89" i="2"/>
  <c r="L89" i="2"/>
  <c r="O88" i="2"/>
  <c r="M88" i="2"/>
  <c r="L88" i="2"/>
  <c r="O87" i="2"/>
  <c r="M87" i="2"/>
  <c r="L87" i="2"/>
  <c r="O86" i="2"/>
  <c r="M86" i="2"/>
  <c r="L86" i="2"/>
  <c r="O85" i="2"/>
  <c r="M85" i="2"/>
  <c r="L85" i="2"/>
  <c r="O84" i="2"/>
  <c r="M84" i="2"/>
  <c r="L84" i="2"/>
  <c r="O83" i="2"/>
  <c r="M83" i="2"/>
  <c r="L83" i="2"/>
  <c r="O82" i="2"/>
  <c r="M82" i="2"/>
  <c r="L82" i="2"/>
  <c r="O81" i="2"/>
  <c r="M81" i="2"/>
  <c r="L81" i="2"/>
  <c r="O80" i="2"/>
  <c r="M80" i="2"/>
  <c r="L80" i="2"/>
  <c r="O79" i="2"/>
  <c r="M79" i="2"/>
  <c r="L79" i="2"/>
  <c r="O78" i="2"/>
  <c r="M78" i="2"/>
  <c r="L78" i="2"/>
  <c r="O77" i="2"/>
  <c r="M77" i="2"/>
  <c r="L77" i="2"/>
  <c r="O76" i="2"/>
  <c r="M76" i="2"/>
  <c r="L76" i="2"/>
  <c r="O75" i="2"/>
  <c r="M75" i="2"/>
  <c r="L75" i="2"/>
  <c r="O74" i="2"/>
  <c r="M74" i="2"/>
  <c r="L74" i="2"/>
  <c r="O73" i="2"/>
  <c r="M73" i="2"/>
  <c r="L73" i="2"/>
  <c r="O72" i="2"/>
  <c r="M72" i="2"/>
  <c r="L72" i="2"/>
  <c r="O71" i="2"/>
  <c r="M71" i="2"/>
  <c r="L71" i="2"/>
  <c r="O70" i="2"/>
  <c r="M70" i="2"/>
  <c r="L70" i="2"/>
  <c r="O69" i="2"/>
  <c r="M69" i="2"/>
  <c r="L69" i="2"/>
  <c r="O68" i="2"/>
  <c r="M68" i="2"/>
  <c r="L68" i="2"/>
  <c r="O67" i="2"/>
  <c r="M67" i="2"/>
  <c r="L67" i="2"/>
  <c r="O66" i="2"/>
  <c r="M66" i="2"/>
  <c r="L66" i="2"/>
  <c r="O65" i="2"/>
  <c r="M65" i="2"/>
  <c r="L65" i="2"/>
  <c r="O64" i="2"/>
  <c r="M64" i="2"/>
  <c r="L64" i="2"/>
  <c r="O63" i="2"/>
  <c r="M63" i="2"/>
  <c r="L63" i="2"/>
  <c r="O62" i="2"/>
  <c r="M62" i="2"/>
  <c r="L62" i="2"/>
  <c r="O61" i="2"/>
  <c r="M61" i="2"/>
  <c r="L61" i="2"/>
  <c r="O60" i="2"/>
  <c r="M60" i="2"/>
  <c r="L60" i="2"/>
  <c r="O59" i="2"/>
  <c r="M59" i="2"/>
  <c r="L59" i="2"/>
  <c r="O58" i="2"/>
  <c r="M58" i="2"/>
  <c r="L58" i="2"/>
  <c r="O57" i="2"/>
  <c r="N57" i="2"/>
  <c r="M57" i="2"/>
  <c r="L57" i="2"/>
  <c r="O56" i="2"/>
  <c r="N56" i="2"/>
  <c r="M56" i="2"/>
  <c r="L56" i="2"/>
  <c r="O55" i="2"/>
  <c r="N55" i="2"/>
  <c r="M55" i="2"/>
  <c r="L55" i="2"/>
  <c r="O54" i="2"/>
  <c r="N54" i="2"/>
  <c r="M54" i="2"/>
  <c r="L54" i="2"/>
  <c r="O53" i="2"/>
  <c r="N53" i="2"/>
  <c r="M53" i="2"/>
  <c r="L53" i="2"/>
  <c r="O52" i="2"/>
  <c r="N52" i="2"/>
  <c r="M52" i="2"/>
  <c r="L52" i="2"/>
  <c r="O51" i="2"/>
  <c r="N51" i="2"/>
  <c r="M51" i="2"/>
  <c r="L51" i="2"/>
  <c r="O50" i="2"/>
  <c r="N50" i="2"/>
  <c r="M50" i="2"/>
  <c r="L50" i="2"/>
  <c r="O49" i="2"/>
  <c r="N49" i="2"/>
  <c r="M49" i="2"/>
  <c r="L49" i="2"/>
  <c r="O48" i="2"/>
  <c r="N48" i="2"/>
  <c r="M48" i="2"/>
  <c r="L48" i="2"/>
  <c r="O47" i="2"/>
  <c r="N47" i="2"/>
  <c r="M47" i="2"/>
  <c r="L47" i="2"/>
  <c r="O46" i="2"/>
  <c r="N46" i="2"/>
  <c r="M46" i="2"/>
  <c r="L46" i="2"/>
  <c r="O45" i="2"/>
  <c r="N45" i="2"/>
  <c r="M45" i="2"/>
  <c r="L45" i="2"/>
  <c r="O44" i="2"/>
  <c r="N44" i="2"/>
  <c r="M44" i="2"/>
  <c r="L44" i="2"/>
  <c r="O43" i="2"/>
  <c r="N43" i="2"/>
  <c r="M43" i="2"/>
  <c r="L43" i="2"/>
  <c r="O42" i="2"/>
  <c r="N42" i="2"/>
  <c r="M42" i="2"/>
  <c r="L42" i="2"/>
  <c r="O41" i="2"/>
  <c r="N41" i="2"/>
  <c r="M41" i="2"/>
  <c r="L41" i="2"/>
  <c r="O40" i="2"/>
  <c r="N40" i="2"/>
  <c r="M40" i="2"/>
  <c r="L40" i="2"/>
  <c r="O39" i="2"/>
  <c r="N39" i="2"/>
  <c r="M39" i="2"/>
  <c r="L39" i="2"/>
  <c r="O38" i="2"/>
  <c r="N38" i="2"/>
  <c r="M38" i="2"/>
  <c r="L38" i="2"/>
  <c r="O37" i="2"/>
  <c r="N37" i="2"/>
  <c r="M37" i="2"/>
  <c r="L37" i="2"/>
  <c r="O36" i="2"/>
  <c r="N36" i="2"/>
  <c r="M36" i="2"/>
  <c r="L36" i="2"/>
  <c r="O35" i="2"/>
  <c r="N35" i="2"/>
  <c r="M35" i="2"/>
  <c r="L35" i="2"/>
  <c r="O34" i="2"/>
  <c r="N34" i="2"/>
  <c r="M34" i="2"/>
  <c r="L34" i="2"/>
  <c r="O33" i="2"/>
  <c r="N33" i="2"/>
  <c r="M33" i="2"/>
  <c r="L33" i="2"/>
  <c r="O32" i="2"/>
  <c r="N32" i="2"/>
  <c r="M32" i="2"/>
  <c r="L32" i="2"/>
  <c r="O31" i="2"/>
  <c r="N31" i="2"/>
  <c r="M31" i="2"/>
  <c r="L31" i="2"/>
  <c r="O30" i="2"/>
  <c r="N30" i="2"/>
  <c r="M30" i="2"/>
  <c r="L30" i="2"/>
  <c r="O29" i="2"/>
  <c r="N29" i="2"/>
  <c r="M29" i="2"/>
  <c r="L29" i="2"/>
  <c r="O28" i="2"/>
  <c r="N28" i="2"/>
  <c r="M28" i="2"/>
  <c r="L28" i="2"/>
  <c r="O27" i="2"/>
  <c r="N27" i="2"/>
  <c r="M27" i="2"/>
  <c r="L27" i="2"/>
  <c r="O26" i="2"/>
  <c r="N26" i="2"/>
  <c r="M26" i="2"/>
  <c r="L26" i="2"/>
  <c r="O25" i="2"/>
  <c r="N25" i="2"/>
  <c r="M25" i="2"/>
  <c r="L25" i="2"/>
  <c r="O24" i="2"/>
  <c r="N24" i="2"/>
  <c r="M24" i="2"/>
  <c r="L24" i="2"/>
  <c r="O23" i="2"/>
  <c r="N23" i="2"/>
  <c r="M23" i="2"/>
  <c r="L23" i="2"/>
  <c r="O22" i="2"/>
  <c r="N22" i="2"/>
  <c r="M22" i="2"/>
  <c r="L22" i="2"/>
  <c r="O21" i="2"/>
  <c r="N21" i="2"/>
  <c r="M21" i="2"/>
  <c r="L21" i="2"/>
  <c r="O20" i="2"/>
  <c r="N20" i="2"/>
  <c r="M20" i="2"/>
  <c r="L20" i="2"/>
  <c r="O19" i="2"/>
  <c r="N19" i="2"/>
  <c r="M19" i="2"/>
  <c r="L19" i="2"/>
  <c r="O18" i="2"/>
  <c r="N18" i="2"/>
  <c r="M18" i="2"/>
  <c r="L18" i="2"/>
  <c r="O17" i="2"/>
  <c r="N17" i="2"/>
  <c r="M17" i="2"/>
  <c r="L17" i="2"/>
  <c r="O16" i="2"/>
  <c r="N16" i="2"/>
  <c r="M16" i="2"/>
  <c r="L16" i="2"/>
  <c r="N15" i="2"/>
  <c r="L15" i="2"/>
  <c r="O14" i="2"/>
  <c r="N14" i="2"/>
  <c r="M14" i="2"/>
  <c r="L14" i="2"/>
  <c r="O13" i="2"/>
  <c r="N13" i="2"/>
  <c r="M13" i="2"/>
  <c r="L13" i="2"/>
  <c r="O12" i="2"/>
  <c r="N12" i="2"/>
  <c r="M12" i="2"/>
  <c r="L12" i="2"/>
  <c r="O11" i="2"/>
  <c r="N11" i="2"/>
  <c r="M11" i="2"/>
  <c r="L11" i="2"/>
  <c r="O10" i="2"/>
  <c r="N10" i="2"/>
  <c r="M10" i="2"/>
  <c r="L10" i="2"/>
  <c r="O9" i="2"/>
  <c r="N9" i="2"/>
  <c r="M9" i="2"/>
  <c r="L9" i="2"/>
  <c r="O8" i="2"/>
  <c r="N8" i="2"/>
  <c r="M8" i="2"/>
  <c r="L8" i="2"/>
  <c r="O7" i="2"/>
  <c r="N7" i="2"/>
  <c r="M7" i="2"/>
  <c r="L7" i="2"/>
  <c r="O6" i="2"/>
  <c r="N6" i="2"/>
  <c r="M6" i="2"/>
  <c r="L6" i="2"/>
  <c r="O5" i="2"/>
  <c r="N5" i="2"/>
  <c r="M5" i="2"/>
  <c r="L5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F2" i="1" s="1"/>
  <c r="J101" i="2" l="1"/>
  <c r="J102" i="2" s="1"/>
  <c r="N58" i="2"/>
  <c r="G5" i="5" s="1"/>
  <c r="E108" i="6"/>
  <c r="H5" i="5" l="1"/>
  <c r="I5" i="5"/>
  <c r="E5" i="5"/>
  <c r="B5" i="5"/>
  <c r="N59" i="2"/>
  <c r="B6" i="5" s="1"/>
  <c r="K5" i="5"/>
  <c r="F5" i="5"/>
  <c r="J5" i="5"/>
  <c r="A5" i="5"/>
  <c r="C5" i="5"/>
  <c r="D5" i="5"/>
  <c r="C6" i="5" l="1"/>
  <c r="F6" i="5"/>
  <c r="I6" i="5"/>
  <c r="D6" i="5"/>
  <c r="E6" i="5"/>
  <c r="J6" i="5"/>
  <c r="H6" i="5"/>
  <c r="K6" i="5"/>
  <c r="N60" i="2"/>
  <c r="E7" i="5" s="1"/>
  <c r="A6" i="5"/>
  <c r="G6" i="5"/>
  <c r="G7" i="5" l="1"/>
  <c r="K7" i="5"/>
  <c r="I7" i="5"/>
  <c r="D7" i="5"/>
  <c r="F7" i="5"/>
  <c r="J7" i="5"/>
  <c r="N61" i="2"/>
  <c r="H8" i="5" s="1"/>
  <c r="A7" i="5"/>
  <c r="B7" i="5"/>
  <c r="H7" i="5"/>
  <c r="C7" i="5"/>
  <c r="E8" i="5" l="1"/>
  <c r="B8" i="5"/>
  <c r="J8" i="5"/>
  <c r="D8" i="5"/>
  <c r="N63" i="2"/>
  <c r="N62" i="2"/>
  <c r="D9" i="5" s="1"/>
  <c r="F8" i="5"/>
  <c r="C8" i="5"/>
  <c r="A8" i="5"/>
  <c r="I8" i="5"/>
  <c r="K8" i="5"/>
  <c r="G8" i="5"/>
  <c r="J9" i="5"/>
  <c r="C9" i="5" l="1"/>
  <c r="G9" i="5"/>
  <c r="H9" i="5"/>
  <c r="A11" i="5"/>
  <c r="K10" i="5"/>
  <c r="J10" i="5"/>
  <c r="N64" i="2"/>
  <c r="E11" i="5" s="1"/>
  <c r="D10" i="5"/>
  <c r="I10" i="5"/>
  <c r="F9" i="5"/>
  <c r="K9" i="5"/>
  <c r="F10" i="5"/>
  <c r="H10" i="5"/>
  <c r="E10" i="5"/>
  <c r="I9" i="5"/>
  <c r="C10" i="5"/>
  <c r="G10" i="5"/>
  <c r="H11" i="5"/>
  <c r="E9" i="5"/>
  <c r="A9" i="5"/>
  <c r="B9" i="5"/>
  <c r="K11" i="5"/>
  <c r="A10" i="5"/>
  <c r="B10" i="5"/>
  <c r="F11" i="5"/>
  <c r="I11" i="5" l="1"/>
  <c r="B11" i="5"/>
  <c r="N65" i="2"/>
  <c r="E12" i="5" s="1"/>
  <c r="C11" i="5"/>
  <c r="G11" i="5"/>
  <c r="A12" i="5" l="1"/>
  <c r="G12" i="5"/>
  <c r="B12" i="5"/>
  <c r="D12" i="5"/>
  <c r="K12" i="5"/>
  <c r="I12" i="5"/>
  <c r="F12" i="5"/>
  <c r="C12" i="5"/>
  <c r="J12" i="5"/>
  <c r="N66" i="2"/>
  <c r="H12" i="5"/>
  <c r="D13" i="5" l="1"/>
  <c r="I13" i="5"/>
  <c r="F13" i="5"/>
  <c r="E13" i="5"/>
  <c r="A13" i="5"/>
  <c r="K13" i="5"/>
  <c r="J13" i="5"/>
  <c r="N67" i="2"/>
  <c r="F14" i="5" s="1"/>
  <c r="H13" i="5"/>
  <c r="C13" i="5"/>
  <c r="G13" i="5"/>
  <c r="D14" i="5" l="1"/>
  <c r="C14" i="5"/>
  <c r="K14" i="5"/>
  <c r="E14" i="5"/>
  <c r="B14" i="5"/>
  <c r="J14" i="5"/>
  <c r="A14" i="5"/>
  <c r="N68" i="2"/>
  <c r="F15" i="5" s="1"/>
  <c r="J11" i="5"/>
  <c r="H14" i="5"/>
  <c r="I14" i="5"/>
  <c r="D11" i="5"/>
  <c r="B13" i="5"/>
  <c r="G14" i="5"/>
  <c r="D15" i="5"/>
  <c r="G15" i="5"/>
  <c r="B15" i="5"/>
  <c r="C15" i="5"/>
  <c r="N69" i="2" l="1"/>
  <c r="A15" i="5"/>
  <c r="H15" i="5"/>
  <c r="J15" i="5"/>
  <c r="E15" i="5"/>
  <c r="N70" i="2"/>
  <c r="I15" i="5"/>
  <c r="K15" i="5"/>
  <c r="H16" i="5" l="1"/>
  <c r="A16" i="5"/>
  <c r="D16" i="5"/>
  <c r="J16" i="5"/>
  <c r="C16" i="5"/>
  <c r="I16" i="5"/>
  <c r="B16" i="5"/>
  <c r="E16" i="5"/>
  <c r="F16" i="5"/>
  <c r="G16" i="5"/>
  <c r="K16" i="5"/>
  <c r="N71" i="2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B136" i="5" s="1"/>
  <c r="J19" i="5"/>
  <c r="I19" i="5"/>
  <c r="C18" i="5"/>
  <c r="B19" i="5"/>
  <c r="I17" i="5"/>
  <c r="D22" i="5"/>
  <c r="D20" i="5"/>
  <c r="F20" i="5"/>
  <c r="B27" i="5"/>
  <c r="J29" i="5"/>
  <c r="G22" i="5"/>
  <c r="H25" i="5"/>
  <c r="F75" i="5"/>
  <c r="B18" i="5"/>
  <c r="K25" i="5"/>
  <c r="A28" i="5"/>
  <c r="B20" i="5"/>
  <c r="D17" i="5"/>
  <c r="E22" i="5"/>
  <c r="E17" i="5"/>
  <c r="F21" i="5"/>
  <c r="G41" i="5"/>
  <c r="A22" i="5"/>
  <c r="E19" i="5"/>
  <c r="E30" i="5"/>
  <c r="F18" i="5"/>
  <c r="B22" i="5"/>
  <c r="C17" i="5"/>
  <c r="E21" i="5"/>
  <c r="J27" i="5"/>
  <c r="G44" i="5"/>
  <c r="J21" i="5"/>
  <c r="E31" i="5"/>
  <c r="C30" i="5"/>
  <c r="F19" i="5"/>
  <c r="C22" i="5"/>
  <c r="G23" i="5"/>
  <c r="E27" i="5"/>
  <c r="B26" i="5"/>
  <c r="D100" i="5"/>
  <c r="B17" i="5"/>
  <c r="F85" i="5"/>
  <c r="H22" i="5"/>
  <c r="G106" i="5"/>
  <c r="F53" i="5"/>
  <c r="G26" i="5"/>
  <c r="G36" i="5"/>
  <c r="C45" i="5"/>
  <c r="J26" i="5"/>
  <c r="F31" i="5"/>
  <c r="J130" i="5"/>
  <c r="G33" i="5"/>
  <c r="D18" i="5"/>
  <c r="H87" i="5"/>
  <c r="A17" i="5"/>
  <c r="F28" i="5"/>
  <c r="E52" i="5"/>
  <c r="J18" i="5"/>
  <c r="A36" i="5"/>
  <c r="D19" i="5"/>
  <c r="A25" i="5"/>
  <c r="H19" i="5"/>
  <c r="J53" i="5"/>
  <c r="C31" i="5"/>
  <c r="J106" i="5"/>
  <c r="H28" i="5"/>
  <c r="H23" i="5"/>
  <c r="H114" i="5"/>
  <c r="C25" i="5"/>
  <c r="C24" i="5"/>
  <c r="K76" i="5"/>
  <c r="D55" i="5"/>
  <c r="I23" i="5"/>
  <c r="I20" i="5"/>
  <c r="E32" i="5"/>
  <c r="F59" i="5"/>
  <c r="A35" i="5"/>
  <c r="E24" i="5"/>
  <c r="J31" i="5"/>
  <c r="B48" i="5"/>
  <c r="G31" i="5"/>
  <c r="C29" i="5"/>
  <c r="K125" i="5"/>
  <c r="G17" i="5"/>
  <c r="H117" i="5"/>
  <c r="K36" i="5"/>
  <c r="I131" i="5"/>
  <c r="K19" i="5"/>
  <c r="G37" i="5"/>
  <c r="C80" i="5"/>
  <c r="H20" i="5"/>
  <c r="B41" i="5"/>
  <c r="G28" i="5"/>
  <c r="F103" i="5"/>
  <c r="F39" i="5"/>
  <c r="E23" i="5"/>
  <c r="F86" i="5"/>
  <c r="H100" i="5"/>
  <c r="A18" i="5"/>
  <c r="C139" i="5"/>
  <c r="E131" i="5"/>
  <c r="I22" i="5"/>
  <c r="H129" i="5"/>
  <c r="H47" i="5"/>
  <c r="D26" i="5"/>
  <c r="A33" i="5"/>
  <c r="J146" i="5"/>
  <c r="E136" i="5"/>
  <c r="K32" i="5"/>
  <c r="E133" i="5"/>
  <c r="G59" i="5"/>
  <c r="I30" i="5"/>
  <c r="C132" i="5"/>
  <c r="F139" i="5"/>
  <c r="B96" i="5"/>
  <c r="E150" i="5"/>
  <c r="A20" i="5"/>
  <c r="B119" i="5"/>
  <c r="K96" i="5"/>
  <c r="D21" i="5"/>
  <c r="F104" i="5"/>
  <c r="I102" i="5"/>
  <c r="G27" i="5"/>
  <c r="C19" i="5"/>
  <c r="I91" i="5"/>
  <c r="G82" i="5"/>
  <c r="H39" i="5"/>
  <c r="H145" i="5"/>
  <c r="F17" i="5"/>
  <c r="A78" i="5"/>
  <c r="A150" i="5"/>
  <c r="F98" i="5"/>
  <c r="H26" i="5"/>
  <c r="G57" i="5"/>
  <c r="K53" i="5"/>
  <c r="K78" i="5"/>
  <c r="B24" i="5"/>
  <c r="H33" i="5"/>
  <c r="I28" i="5"/>
  <c r="E122" i="5"/>
  <c r="K27" i="5"/>
  <c r="D150" i="5"/>
  <c r="J17" i="5"/>
  <c r="D39" i="5"/>
  <c r="F22" i="5"/>
  <c r="B59" i="5"/>
  <c r="C138" i="5"/>
  <c r="F100" i="5"/>
  <c r="B98" i="5"/>
  <c r="C97" i="5"/>
  <c r="H50" i="5"/>
  <c r="G83" i="5"/>
  <c r="I42" i="5"/>
  <c r="C42" i="5"/>
  <c r="C106" i="5"/>
  <c r="A42" i="5"/>
  <c r="D117" i="5"/>
  <c r="G153" i="5"/>
  <c r="G21" i="5"/>
  <c r="F46" i="5"/>
  <c r="I88" i="5"/>
  <c r="J88" i="5"/>
  <c r="D76" i="5"/>
  <c r="K43" i="5"/>
  <c r="F42" i="5"/>
  <c r="C27" i="5"/>
  <c r="H111" i="5"/>
  <c r="J137" i="5"/>
  <c r="E72" i="5"/>
  <c r="D23" i="5"/>
  <c r="I126" i="5"/>
  <c r="D49" i="5"/>
  <c r="C20" i="5"/>
  <c r="A123" i="5"/>
  <c r="A52" i="5"/>
  <c r="J36" i="5"/>
  <c r="E138" i="5"/>
  <c r="E93" i="5"/>
  <c r="I21" i="5"/>
  <c r="C36" i="5"/>
  <c r="K84" i="5"/>
  <c r="K108" i="5"/>
  <c r="I45" i="5"/>
  <c r="B50" i="5"/>
  <c r="H61" i="5"/>
  <c r="D82" i="5"/>
  <c r="C65" i="5"/>
  <c r="D74" i="5"/>
  <c r="G93" i="5"/>
  <c r="C125" i="5"/>
  <c r="D43" i="5"/>
  <c r="B43" i="5"/>
  <c r="F38" i="5"/>
  <c r="C28" i="5"/>
  <c r="E68" i="5"/>
  <c r="D28" i="5"/>
  <c r="E103" i="5"/>
  <c r="I112" i="5"/>
  <c r="B102" i="5"/>
  <c r="D73" i="5"/>
  <c r="E18" i="5"/>
  <c r="J110" i="5"/>
  <c r="I54" i="5"/>
  <c r="J115" i="5"/>
  <c r="G81" i="5"/>
  <c r="I108" i="5"/>
  <c r="D24" i="5"/>
  <c r="G100" i="5"/>
  <c r="A136" i="5"/>
  <c r="E47" i="5"/>
  <c r="G53" i="5"/>
  <c r="K45" i="5"/>
  <c r="F89" i="5"/>
  <c r="H84" i="5"/>
  <c r="I26" i="5"/>
  <c r="F148" i="5"/>
  <c r="G58" i="5"/>
  <c r="B128" i="5"/>
  <c r="D78" i="5"/>
  <c r="D75" i="5"/>
  <c r="K127" i="5"/>
  <c r="I90" i="5"/>
  <c r="A38" i="5"/>
  <c r="F23" i="5"/>
  <c r="C48" i="5"/>
  <c r="E46" i="5"/>
  <c r="G120" i="5"/>
  <c r="E99" i="5"/>
  <c r="I124" i="5"/>
  <c r="A63" i="5"/>
  <c r="E120" i="5"/>
  <c r="A90" i="5"/>
  <c r="J20" i="5"/>
  <c r="A37" i="5"/>
  <c r="K69" i="5"/>
  <c r="C78" i="5"/>
  <c r="H24" i="5"/>
  <c r="H17" i="5"/>
  <c r="J60" i="5"/>
  <c r="G72" i="5"/>
  <c r="C70" i="5"/>
  <c r="A101" i="5"/>
  <c r="E62" i="5"/>
  <c r="I125" i="5"/>
  <c r="C67" i="5"/>
  <c r="F33" i="5"/>
  <c r="F125" i="5"/>
  <c r="B110" i="5"/>
  <c r="K135" i="5"/>
  <c r="H99" i="5"/>
  <c r="F101" i="5"/>
  <c r="F65" i="5"/>
  <c r="K124" i="5"/>
  <c r="F137" i="5"/>
  <c r="K77" i="5"/>
  <c r="E64" i="5"/>
  <c r="H113" i="5"/>
  <c r="H69" i="5"/>
  <c r="H153" i="5"/>
  <c r="B39" i="5"/>
  <c r="E84" i="5"/>
  <c r="J49" i="5"/>
  <c r="A27" i="5"/>
  <c r="H29" i="5"/>
  <c r="I51" i="5"/>
  <c r="B133" i="5"/>
  <c r="H18" i="5"/>
  <c r="I74" i="5"/>
  <c r="A108" i="5"/>
  <c r="G18" i="5"/>
  <c r="A66" i="5"/>
  <c r="K35" i="5"/>
  <c r="J153" i="5"/>
  <c r="E119" i="5"/>
  <c r="E90" i="5"/>
  <c r="K102" i="5"/>
  <c r="I113" i="5"/>
  <c r="H141" i="5"/>
  <c r="K34" i="5"/>
  <c r="H74" i="5"/>
  <c r="H37" i="5"/>
  <c r="H32" i="5"/>
  <c r="H65" i="5"/>
  <c r="K150" i="5"/>
  <c r="H85" i="5"/>
  <c r="E29" i="5"/>
  <c r="K151" i="5"/>
  <c r="E73" i="5"/>
  <c r="E67" i="5"/>
  <c r="A93" i="5"/>
  <c r="G108" i="5"/>
  <c r="D133" i="5"/>
  <c r="K33" i="5"/>
  <c r="B73" i="5"/>
  <c r="F114" i="5"/>
  <c r="K137" i="5"/>
  <c r="G88" i="5"/>
  <c r="A104" i="5"/>
  <c r="A121" i="5"/>
  <c r="B100" i="5"/>
  <c r="F119" i="5"/>
  <c r="H30" i="5"/>
  <c r="K83" i="5"/>
  <c r="G138" i="5"/>
  <c r="D106" i="5"/>
  <c r="K55" i="5"/>
  <c r="C68" i="5"/>
  <c r="B42" i="5"/>
  <c r="C58" i="5"/>
  <c r="B25" i="5"/>
  <c r="K70" i="5"/>
  <c r="F122" i="5"/>
  <c r="D120" i="5"/>
  <c r="G127" i="5"/>
  <c r="J46" i="5"/>
  <c r="G35" i="5"/>
  <c r="D121" i="5"/>
  <c r="H73" i="5"/>
  <c r="A122" i="5"/>
  <c r="E154" i="5"/>
  <c r="K131" i="5"/>
  <c r="K79" i="5"/>
  <c r="E25" i="5"/>
  <c r="E111" i="5"/>
  <c r="G49" i="5"/>
  <c r="A29" i="5"/>
  <c r="H31" i="5"/>
  <c r="H126" i="5"/>
  <c r="A53" i="5"/>
  <c r="C88" i="5"/>
  <c r="F97" i="5"/>
  <c r="D101" i="5"/>
  <c r="B47" i="5"/>
  <c r="B82" i="5"/>
  <c r="K153" i="5"/>
  <c r="E129" i="5"/>
  <c r="K143" i="5"/>
  <c r="A59" i="5"/>
  <c r="K141" i="5"/>
  <c r="E118" i="5"/>
  <c r="I67" i="5"/>
  <c r="G92" i="5"/>
  <c r="E20" i="5"/>
  <c r="B84" i="5"/>
  <c r="F135" i="5"/>
  <c r="H38" i="5"/>
  <c r="F44" i="5"/>
  <c r="E49" i="5"/>
  <c r="C54" i="5"/>
  <c r="A127" i="5"/>
  <c r="C152" i="5"/>
  <c r="G39" i="5"/>
  <c r="H95" i="5"/>
  <c r="B132" i="5"/>
  <c r="J44" i="5"/>
  <c r="E132" i="5"/>
  <c r="E71" i="5"/>
  <c r="A21" i="5"/>
  <c r="C71" i="5"/>
  <c r="F70" i="5"/>
  <c r="J89" i="5"/>
  <c r="C63" i="5"/>
  <c r="A105" i="5"/>
  <c r="A51" i="5"/>
  <c r="B137" i="5"/>
  <c r="J52" i="5"/>
  <c r="J23" i="5"/>
  <c r="B101" i="5"/>
  <c r="E26" i="5"/>
  <c r="E126" i="5"/>
  <c r="K48" i="5"/>
  <c r="C151" i="5"/>
  <c r="H57" i="5"/>
  <c r="F91" i="5"/>
  <c r="D60" i="5"/>
  <c r="D57" i="5"/>
  <c r="J73" i="5"/>
  <c r="A71" i="5"/>
  <c r="C64" i="5"/>
  <c r="K54" i="5"/>
  <c r="A60" i="5"/>
  <c r="B23" i="5"/>
  <c r="D38" i="5"/>
  <c r="H116" i="5"/>
  <c r="K31" i="5"/>
  <c r="I38" i="5"/>
  <c r="A54" i="5"/>
  <c r="H42" i="5"/>
  <c r="H70" i="5"/>
  <c r="J78" i="5"/>
  <c r="C23" i="5"/>
  <c r="D45" i="5"/>
  <c r="C49" i="5"/>
  <c r="E58" i="5"/>
  <c r="C113" i="5"/>
  <c r="D58" i="5"/>
  <c r="K20" i="5"/>
  <c r="C81" i="5"/>
  <c r="J56" i="5"/>
  <c r="J111" i="5"/>
  <c r="I111" i="5"/>
  <c r="A44" i="5"/>
  <c r="F54" i="5"/>
  <c r="G29" i="5"/>
  <c r="H120" i="5"/>
  <c r="C95" i="5"/>
  <c r="E112" i="5"/>
  <c r="A103" i="5"/>
  <c r="I29" i="5"/>
  <c r="B29" i="5"/>
  <c r="K30" i="5"/>
  <c r="E135" i="5"/>
  <c r="J152" i="5"/>
  <c r="F95" i="5"/>
  <c r="D70" i="5"/>
  <c r="K109" i="5"/>
  <c r="H130" i="5"/>
  <c r="J92" i="5"/>
  <c r="J68" i="5"/>
  <c r="I34" i="5"/>
  <c r="D35" i="5"/>
  <c r="F68" i="5"/>
  <c r="G113" i="5"/>
  <c r="K17" i="5"/>
  <c r="F146" i="5"/>
  <c r="C76" i="5"/>
  <c r="E35" i="5"/>
  <c r="I36" i="5"/>
  <c r="A26" i="5"/>
  <c r="A80" i="5"/>
  <c r="K86" i="5"/>
  <c r="A76" i="5"/>
  <c r="E134" i="5"/>
  <c r="H90" i="5"/>
  <c r="D112" i="5"/>
  <c r="J30" i="5"/>
  <c r="C51" i="5"/>
  <c r="G64" i="5"/>
  <c r="K39" i="5"/>
  <c r="G32" i="5"/>
  <c r="G141" i="5"/>
  <c r="D85" i="5"/>
  <c r="D96" i="5"/>
  <c r="G78" i="5"/>
  <c r="G73" i="5"/>
  <c r="J62" i="5"/>
  <c r="E45" i="5"/>
  <c r="B76" i="5"/>
  <c r="D137" i="5"/>
  <c r="C21" i="5"/>
  <c r="D149" i="5"/>
  <c r="K75" i="5"/>
  <c r="J59" i="5"/>
  <c r="F24" i="5"/>
  <c r="D124" i="5"/>
  <c r="H103" i="5"/>
  <c r="A23" i="5"/>
  <c r="B108" i="5"/>
  <c r="F121" i="5"/>
  <c r="K50" i="5"/>
  <c r="E124" i="5"/>
  <c r="B44" i="5"/>
  <c r="C57" i="5"/>
  <c r="J113" i="5"/>
  <c r="F90" i="5"/>
  <c r="D27" i="5"/>
  <c r="D94" i="5"/>
  <c r="G85" i="5"/>
  <c r="J33" i="5"/>
  <c r="I39" i="5"/>
  <c r="D104" i="5"/>
  <c r="H86" i="5"/>
  <c r="K104" i="5"/>
  <c r="D32" i="5"/>
  <c r="A148" i="5"/>
  <c r="A133" i="5"/>
  <c r="H46" i="5"/>
  <c r="H34" i="5"/>
  <c r="F110" i="5"/>
  <c r="H52" i="5"/>
  <c r="C150" i="5"/>
  <c r="F40" i="5"/>
  <c r="E34" i="5"/>
  <c r="E65" i="5"/>
  <c r="G90" i="5"/>
  <c r="E130" i="5"/>
  <c r="C128" i="5"/>
  <c r="H110" i="5"/>
  <c r="K111" i="5"/>
  <c r="K23" i="5"/>
  <c r="E39" i="5"/>
  <c r="K101" i="5"/>
  <c r="E139" i="5"/>
  <c r="G69" i="5"/>
  <c r="I18" i="5"/>
  <c r="K62" i="5"/>
  <c r="G62" i="5"/>
  <c r="F96" i="5"/>
  <c r="B124" i="5"/>
  <c r="G19" i="5"/>
  <c r="A131" i="5"/>
  <c r="K21" i="5"/>
  <c r="J131" i="5"/>
  <c r="D125" i="5"/>
  <c r="G135" i="5"/>
  <c r="K18" i="5"/>
  <c r="D108" i="5"/>
  <c r="I123" i="5"/>
  <c r="F84" i="5"/>
  <c r="H66" i="5"/>
  <c r="J80" i="5"/>
  <c r="A141" i="5"/>
  <c r="I77" i="5"/>
  <c r="C105" i="5"/>
  <c r="C32" i="5"/>
  <c r="C61" i="5"/>
  <c r="C53" i="5"/>
  <c r="G20" i="5"/>
  <c r="B32" i="5"/>
  <c r="F34" i="5"/>
  <c r="K72" i="5"/>
  <c r="F25" i="5"/>
  <c r="I122" i="5"/>
  <c r="H122" i="5"/>
  <c r="J108" i="5"/>
  <c r="E44" i="5"/>
  <c r="F47" i="5"/>
  <c r="I71" i="5"/>
  <c r="B75" i="5"/>
  <c r="E97" i="5"/>
  <c r="C137" i="5"/>
  <c r="I49" i="5"/>
  <c r="G80" i="5"/>
  <c r="A149" i="5"/>
  <c r="F32" i="5"/>
  <c r="D53" i="5"/>
  <c r="G89" i="5"/>
  <c r="F145" i="5"/>
  <c r="I73" i="5"/>
  <c r="C39" i="5"/>
  <c r="I48" i="5"/>
  <c r="K26" i="5"/>
  <c r="J77" i="5"/>
  <c r="F73" i="5"/>
  <c r="G128" i="5"/>
  <c r="G54" i="5"/>
  <c r="A115" i="5"/>
  <c r="A19" i="5"/>
  <c r="H119" i="5"/>
  <c r="H44" i="5"/>
  <c r="G105" i="5"/>
  <c r="J54" i="5"/>
  <c r="A46" i="5"/>
  <c r="J123" i="5" l="1"/>
  <c r="D136" i="5"/>
  <c r="D86" i="5"/>
  <c r="K142" i="5"/>
  <c r="G133" i="5"/>
  <c r="J133" i="5"/>
  <c r="F88" i="5"/>
  <c r="J84" i="5"/>
  <c r="E110" i="5"/>
  <c r="J150" i="5"/>
  <c r="G97" i="5"/>
  <c r="F150" i="5"/>
  <c r="K71" i="5"/>
  <c r="E153" i="5"/>
  <c r="G154" i="5"/>
  <c r="J109" i="5"/>
  <c r="G48" i="5"/>
  <c r="D140" i="5"/>
  <c r="H75" i="5"/>
  <c r="C111" i="5"/>
  <c r="D113" i="5"/>
  <c r="E83" i="5"/>
  <c r="H91" i="5"/>
  <c r="A75" i="5"/>
  <c r="D65" i="5"/>
  <c r="A74" i="5"/>
  <c r="I153" i="5"/>
  <c r="K129" i="5"/>
  <c r="J74" i="5"/>
  <c r="J90" i="5"/>
  <c r="F52" i="5"/>
  <c r="H118" i="5"/>
  <c r="I98" i="5"/>
  <c r="A81" i="5"/>
  <c r="J93" i="5"/>
  <c r="B104" i="5"/>
  <c r="H62" i="5"/>
  <c r="C112" i="5"/>
  <c r="I146" i="5"/>
  <c r="A91" i="5"/>
  <c r="I69" i="5"/>
  <c r="F77" i="5"/>
  <c r="H127" i="5"/>
  <c r="E142" i="5"/>
  <c r="J118" i="5"/>
  <c r="A119" i="5"/>
  <c r="C52" i="5"/>
  <c r="C107" i="5"/>
  <c r="E43" i="5"/>
  <c r="G51" i="5"/>
  <c r="I79" i="5"/>
  <c r="J47" i="5"/>
  <c r="I62" i="5"/>
  <c r="H64" i="5"/>
  <c r="E63" i="5"/>
  <c r="D62" i="5"/>
  <c r="K110" i="5"/>
  <c r="F45" i="5"/>
  <c r="G68" i="5"/>
  <c r="H148" i="5"/>
  <c r="J58" i="5"/>
  <c r="E106" i="5"/>
  <c r="E140" i="5"/>
  <c r="G91" i="5"/>
  <c r="C109" i="5"/>
  <c r="F147" i="5"/>
  <c r="E50" i="5"/>
  <c r="B66" i="5"/>
  <c r="G94" i="5"/>
  <c r="E85" i="5"/>
  <c r="G87" i="5"/>
  <c r="I92" i="5"/>
  <c r="I139" i="5"/>
  <c r="A88" i="5"/>
  <c r="I52" i="5"/>
  <c r="B55" i="5"/>
  <c r="D40" i="5"/>
  <c r="F108" i="5"/>
  <c r="J39" i="5"/>
  <c r="J132" i="5"/>
  <c r="E91" i="5"/>
  <c r="A84" i="5"/>
  <c r="J45" i="5"/>
  <c r="K97" i="5"/>
  <c r="A69" i="5"/>
  <c r="C149" i="5"/>
  <c r="H96" i="5"/>
  <c r="K126" i="5"/>
  <c r="B60" i="5"/>
  <c r="C74" i="5"/>
  <c r="J104" i="5"/>
  <c r="F152" i="5"/>
  <c r="I149" i="5"/>
  <c r="I103" i="5"/>
  <c r="A151" i="5"/>
  <c r="F112" i="5"/>
  <c r="B141" i="5"/>
  <c r="C69" i="5"/>
  <c r="A97" i="5"/>
  <c r="E40" i="5"/>
  <c r="G140" i="5"/>
  <c r="E125" i="5"/>
  <c r="D111" i="5"/>
  <c r="K133" i="5"/>
  <c r="B52" i="5"/>
  <c r="C96" i="5"/>
  <c r="D97" i="5"/>
  <c r="K56" i="5"/>
  <c r="C90" i="5"/>
  <c r="I96" i="5"/>
  <c r="A154" i="5"/>
  <c r="C99" i="5"/>
  <c r="C56" i="5"/>
  <c r="C119" i="5"/>
  <c r="E70" i="5"/>
  <c r="I65" i="5"/>
  <c r="H72" i="5"/>
  <c r="E59" i="5"/>
  <c r="B74" i="5"/>
  <c r="F92" i="5"/>
  <c r="J138" i="5"/>
  <c r="H54" i="5"/>
  <c r="A58" i="5"/>
  <c r="I115" i="5"/>
  <c r="B45" i="5"/>
  <c r="C98" i="5"/>
  <c r="C148" i="5"/>
  <c r="H150" i="5"/>
  <c r="G101" i="5"/>
  <c r="J81" i="5"/>
  <c r="K66" i="5"/>
  <c r="D129" i="5"/>
  <c r="I59" i="5"/>
  <c r="C87" i="5"/>
  <c r="E89" i="5"/>
  <c r="G107" i="5"/>
  <c r="G116" i="5"/>
  <c r="I100" i="5"/>
  <c r="K99" i="5"/>
  <c r="F128" i="5"/>
  <c r="B106" i="5"/>
  <c r="D138" i="5"/>
  <c r="B117" i="5"/>
  <c r="F37" i="5"/>
  <c r="C143" i="5"/>
  <c r="J65" i="5"/>
  <c r="G152" i="5"/>
  <c r="B63" i="5"/>
  <c r="J98" i="5"/>
  <c r="G150" i="5"/>
  <c r="I85" i="5"/>
  <c r="I40" i="5"/>
  <c r="I128" i="5"/>
  <c r="H123" i="5"/>
  <c r="B61" i="5"/>
  <c r="J51" i="5"/>
  <c r="A114" i="5"/>
  <c r="A140" i="5"/>
  <c r="H142" i="5"/>
  <c r="C38" i="5"/>
  <c r="J72" i="5"/>
  <c r="C142" i="5"/>
  <c r="G47" i="5"/>
  <c r="G38" i="5"/>
  <c r="J144" i="5"/>
  <c r="G43" i="5"/>
  <c r="B115" i="5"/>
  <c r="G117" i="5"/>
  <c r="K63" i="5"/>
  <c r="E69" i="5"/>
  <c r="J101" i="5"/>
  <c r="D88" i="5"/>
  <c r="B65" i="5"/>
  <c r="E104" i="5"/>
  <c r="A111" i="5"/>
  <c r="J96" i="5"/>
  <c r="G46" i="5"/>
  <c r="I87" i="5"/>
  <c r="A130" i="5"/>
  <c r="B85" i="5"/>
  <c r="B91" i="5"/>
  <c r="I138" i="5"/>
  <c r="A47" i="5"/>
  <c r="F134" i="5"/>
  <c r="D132" i="5"/>
  <c r="G129" i="5"/>
  <c r="C103" i="5"/>
  <c r="G56" i="5"/>
  <c r="B92" i="5"/>
  <c r="C146" i="5"/>
  <c r="C129" i="5"/>
  <c r="E81" i="5"/>
  <c r="J69" i="5"/>
  <c r="I134" i="5"/>
  <c r="B71" i="5"/>
  <c r="G124" i="5"/>
  <c r="I76" i="5"/>
  <c r="E123" i="5"/>
  <c r="C93" i="5"/>
  <c r="J50" i="5"/>
  <c r="A70" i="5"/>
  <c r="G102" i="5"/>
  <c r="C144" i="5"/>
  <c r="B57" i="5"/>
  <c r="K138" i="5"/>
  <c r="D154" i="5"/>
  <c r="A62" i="5"/>
  <c r="C108" i="5"/>
  <c r="D107" i="5"/>
  <c r="G50" i="5"/>
  <c r="D51" i="5"/>
  <c r="E55" i="5"/>
  <c r="B49" i="5"/>
  <c r="H115" i="5"/>
  <c r="K68" i="5"/>
  <c r="C55" i="5"/>
  <c r="I114" i="5"/>
  <c r="H43" i="5"/>
  <c r="I37" i="5"/>
  <c r="D64" i="5"/>
  <c r="G131" i="5"/>
  <c r="I78" i="5"/>
  <c r="D41" i="5"/>
  <c r="F126" i="5"/>
  <c r="A48" i="5"/>
  <c r="I116" i="5"/>
  <c r="J43" i="5"/>
  <c r="C72" i="5"/>
  <c r="C118" i="5"/>
  <c r="E80" i="5"/>
  <c r="K73" i="5"/>
  <c r="C140" i="5"/>
  <c r="C124" i="5"/>
  <c r="H107" i="5"/>
  <c r="J41" i="5"/>
  <c r="B152" i="5"/>
  <c r="G134" i="5"/>
  <c r="G130" i="5"/>
  <c r="I109" i="5"/>
  <c r="H136" i="5"/>
  <c r="I81" i="5"/>
  <c r="I33" i="5"/>
  <c r="A89" i="5"/>
  <c r="I44" i="5"/>
  <c r="G126" i="5"/>
  <c r="D44" i="5"/>
  <c r="J40" i="5"/>
  <c r="E38" i="5"/>
  <c r="K61" i="5"/>
  <c r="A143" i="5"/>
  <c r="K64" i="5"/>
  <c r="B86" i="5"/>
  <c r="F99" i="5"/>
  <c r="A40" i="5"/>
  <c r="K116" i="5"/>
  <c r="G52" i="5"/>
  <c r="G122" i="5"/>
  <c r="J67" i="5"/>
  <c r="D131" i="5"/>
  <c r="B118" i="5"/>
  <c r="B142" i="5"/>
  <c r="J42" i="5"/>
  <c r="J64" i="5"/>
  <c r="C33" i="5"/>
  <c r="B54" i="5"/>
  <c r="J38" i="5"/>
  <c r="D48" i="5"/>
  <c r="F111" i="5"/>
  <c r="H48" i="5"/>
  <c r="K49" i="5"/>
  <c r="A64" i="5"/>
  <c r="H134" i="5"/>
  <c r="F51" i="5"/>
  <c r="G125" i="5"/>
  <c r="I60" i="5"/>
  <c r="B88" i="5"/>
  <c r="H27" i="5"/>
  <c r="J112" i="5"/>
  <c r="K134" i="5"/>
  <c r="B135" i="5"/>
  <c r="H106" i="5"/>
  <c r="G74" i="5"/>
  <c r="B35" i="5"/>
  <c r="F118" i="5"/>
  <c r="C91" i="5"/>
  <c r="I82" i="5"/>
  <c r="D77" i="5"/>
  <c r="J154" i="5"/>
  <c r="G147" i="5"/>
  <c r="A112" i="5"/>
  <c r="C44" i="5"/>
  <c r="I43" i="5"/>
  <c r="C131" i="5"/>
  <c r="K28" i="5"/>
  <c r="F64" i="5"/>
  <c r="K94" i="5"/>
  <c r="E28" i="5"/>
  <c r="F140" i="5"/>
  <c r="G24" i="5"/>
  <c r="A110" i="5"/>
  <c r="D37" i="5"/>
  <c r="F153" i="5"/>
  <c r="J119" i="5"/>
  <c r="I31" i="5"/>
  <c r="E54" i="5"/>
  <c r="G63" i="5"/>
  <c r="C127" i="5"/>
  <c r="J86" i="5"/>
  <c r="B28" i="5"/>
  <c r="K40" i="5"/>
  <c r="I145" i="5"/>
  <c r="E33" i="5"/>
  <c r="D110" i="5"/>
  <c r="I95" i="5"/>
  <c r="I75" i="5"/>
  <c r="B122" i="5"/>
  <c r="F36" i="5"/>
  <c r="K52" i="5"/>
  <c r="I27" i="5"/>
  <c r="I24" i="5"/>
  <c r="C50" i="5"/>
  <c r="A113" i="5"/>
  <c r="K42" i="5"/>
  <c r="K91" i="5"/>
  <c r="H35" i="5"/>
  <c r="J28" i="5"/>
  <c r="B105" i="5"/>
  <c r="G25" i="5"/>
  <c r="D135" i="5"/>
  <c r="H128" i="5"/>
  <c r="K90" i="5"/>
  <c r="B150" i="5"/>
  <c r="J136" i="5"/>
  <c r="B53" i="5"/>
  <c r="C85" i="5"/>
  <c r="C145" i="5"/>
  <c r="K100" i="5"/>
  <c r="E79" i="5"/>
  <c r="C83" i="5"/>
  <c r="F105" i="5"/>
  <c r="J82" i="5"/>
  <c r="E51" i="5"/>
  <c r="D141" i="5"/>
  <c r="F74" i="5"/>
  <c r="E144" i="5"/>
  <c r="I53" i="5"/>
  <c r="A92" i="5"/>
  <c r="I58" i="5"/>
  <c r="G65" i="5"/>
  <c r="J71" i="5"/>
  <c r="K147" i="5"/>
  <c r="B70" i="5"/>
  <c r="K120" i="5"/>
  <c r="G42" i="5"/>
  <c r="I119" i="5"/>
  <c r="H45" i="5"/>
  <c r="F48" i="5"/>
  <c r="A137" i="5"/>
  <c r="C136" i="5"/>
  <c r="E95" i="5"/>
  <c r="B147" i="5"/>
  <c r="K114" i="5"/>
  <c r="E121" i="5"/>
  <c r="H125" i="5"/>
  <c r="I148" i="5"/>
  <c r="K122" i="5"/>
  <c r="D67" i="5"/>
  <c r="G146" i="5"/>
  <c r="F87" i="5"/>
  <c r="D36" i="5"/>
  <c r="D50" i="5"/>
  <c r="I35" i="5"/>
  <c r="G103" i="5"/>
  <c r="D25" i="5"/>
  <c r="A116" i="5"/>
  <c r="K113" i="5"/>
  <c r="H152" i="5"/>
  <c r="H77" i="5"/>
  <c r="J32" i="5"/>
  <c r="J34" i="5"/>
  <c r="H76" i="5"/>
  <c r="F72" i="5"/>
  <c r="B153" i="5"/>
  <c r="K115" i="5"/>
  <c r="D34" i="5"/>
  <c r="J85" i="5"/>
  <c r="F50" i="5"/>
  <c r="H154" i="5"/>
  <c r="F129" i="5"/>
  <c r="E137" i="5"/>
  <c r="A31" i="5"/>
  <c r="D33" i="5"/>
  <c r="D89" i="5"/>
  <c r="G119" i="5"/>
  <c r="F26" i="5"/>
  <c r="D105" i="5"/>
  <c r="I135" i="5"/>
  <c r="B87" i="5"/>
  <c r="F27" i="5"/>
  <c r="F41" i="5"/>
  <c r="E148" i="5"/>
  <c r="I127" i="5"/>
  <c r="K22" i="5"/>
  <c r="H21" i="5"/>
  <c r="I107" i="5"/>
  <c r="B37" i="5"/>
  <c r="B148" i="5"/>
  <c r="H146" i="5"/>
  <c r="D31" i="5"/>
  <c r="E77" i="5"/>
  <c r="B69" i="5"/>
  <c r="C100" i="5"/>
  <c r="J124" i="5"/>
  <c r="I151" i="5"/>
  <c r="G118" i="5"/>
  <c r="D115" i="5"/>
  <c r="C34" i="5"/>
  <c r="A100" i="5"/>
  <c r="B149" i="5"/>
  <c r="C115" i="5"/>
  <c r="F82" i="5"/>
  <c r="K148" i="5"/>
  <c r="B134" i="5"/>
  <c r="F79" i="5"/>
  <c r="H135" i="5"/>
  <c r="I56" i="5"/>
  <c r="I150" i="5"/>
  <c r="A146" i="5"/>
  <c r="K105" i="5"/>
  <c r="B146" i="5"/>
  <c r="I93" i="5"/>
  <c r="D126" i="5"/>
  <c r="H53" i="5"/>
  <c r="G98" i="5"/>
  <c r="K60" i="5"/>
  <c r="H124" i="5"/>
  <c r="H105" i="5"/>
  <c r="J117" i="5"/>
  <c r="D59" i="5"/>
  <c r="I147" i="5"/>
  <c r="F56" i="5"/>
  <c r="F76" i="5"/>
  <c r="J66" i="5"/>
  <c r="F58" i="5"/>
  <c r="K119" i="5"/>
  <c r="K92" i="5"/>
  <c r="F35" i="5"/>
  <c r="E61" i="5"/>
  <c r="F149" i="5"/>
  <c r="B112" i="5"/>
  <c r="E66" i="5"/>
  <c r="K41" i="5"/>
  <c r="J114" i="5"/>
  <c r="B97" i="5"/>
  <c r="I132" i="5"/>
  <c r="E108" i="5"/>
  <c r="B36" i="5"/>
  <c r="K37" i="5"/>
  <c r="K149" i="5"/>
  <c r="C26" i="5"/>
  <c r="J149" i="5"/>
  <c r="E114" i="5"/>
  <c r="I117" i="5"/>
  <c r="E102" i="5"/>
  <c r="E41" i="5"/>
  <c r="I25" i="5"/>
  <c r="A34" i="5"/>
  <c r="B120" i="5"/>
  <c r="H132" i="5"/>
  <c r="D95" i="5"/>
  <c r="D30" i="5"/>
  <c r="B114" i="5"/>
  <c r="J87" i="5"/>
  <c r="C122" i="5"/>
  <c r="G112" i="5"/>
  <c r="B113" i="5"/>
  <c r="J24" i="5"/>
  <c r="J25" i="5"/>
  <c r="F30" i="5"/>
  <c r="C41" i="5"/>
  <c r="K103" i="5"/>
  <c r="I63" i="5"/>
  <c r="J143" i="5"/>
  <c r="H68" i="5"/>
  <c r="I144" i="5"/>
  <c r="E75" i="5"/>
  <c r="C60" i="5"/>
  <c r="E100" i="5"/>
  <c r="K112" i="5"/>
  <c r="A129" i="5"/>
  <c r="D66" i="5"/>
  <c r="C120" i="5"/>
  <c r="C153" i="5"/>
  <c r="I130" i="5"/>
  <c r="F115" i="5"/>
  <c r="C154" i="5"/>
  <c r="J107" i="5"/>
  <c r="A128" i="5"/>
  <c r="B129" i="5"/>
  <c r="A135" i="5"/>
  <c r="D42" i="5"/>
  <c r="A98" i="5"/>
  <c r="I106" i="5"/>
  <c r="C114" i="5"/>
  <c r="F133" i="5"/>
  <c r="H56" i="5"/>
  <c r="I120" i="5"/>
  <c r="F130" i="5"/>
  <c r="J79" i="5"/>
  <c r="C47" i="5"/>
  <c r="J139" i="5"/>
  <c r="H80" i="5"/>
  <c r="F151" i="5"/>
  <c r="G104" i="5"/>
  <c r="C117" i="5"/>
  <c r="F116" i="5"/>
  <c r="K145" i="5"/>
  <c r="I57" i="5"/>
  <c r="K44" i="5"/>
  <c r="I133" i="5"/>
  <c r="E149" i="5"/>
  <c r="I46" i="5"/>
  <c r="C77" i="5"/>
  <c r="G95" i="5"/>
  <c r="G144" i="5"/>
  <c r="E82" i="5"/>
  <c r="C73" i="5"/>
  <c r="J134" i="5"/>
  <c r="A87" i="5"/>
  <c r="I104" i="5"/>
  <c r="F66" i="5"/>
  <c r="J141" i="5"/>
  <c r="A50" i="5"/>
  <c r="G45" i="5"/>
  <c r="D47" i="5"/>
  <c r="G139" i="5"/>
  <c r="G40" i="5"/>
  <c r="I121" i="5"/>
  <c r="B56" i="5"/>
  <c r="K81" i="5"/>
  <c r="I143" i="5"/>
  <c r="K98" i="5"/>
  <c r="K93" i="5"/>
  <c r="B79" i="5"/>
  <c r="H63" i="5"/>
  <c r="F80" i="5"/>
  <c r="D151" i="5"/>
  <c r="G115" i="5"/>
  <c r="J125" i="5"/>
  <c r="C37" i="5"/>
  <c r="F123" i="5"/>
  <c r="A142" i="5"/>
  <c r="D69" i="5"/>
  <c r="F132" i="5"/>
  <c r="G143" i="5"/>
  <c r="K74" i="5"/>
  <c r="H78" i="5"/>
  <c r="G86" i="5"/>
  <c r="H137" i="5"/>
  <c r="K144" i="5"/>
  <c r="C126" i="5"/>
  <c r="B34" i="5"/>
  <c r="E147" i="5"/>
  <c r="C102" i="5"/>
  <c r="K146" i="5"/>
  <c r="A106" i="5"/>
  <c r="H104" i="5"/>
  <c r="F142" i="5"/>
  <c r="D139" i="5"/>
  <c r="K95" i="5"/>
  <c r="C40" i="5"/>
  <c r="C82" i="5"/>
  <c r="B125" i="5"/>
  <c r="A32" i="5"/>
  <c r="H138" i="5"/>
  <c r="I70" i="5"/>
  <c r="H83" i="5"/>
  <c r="J97" i="5"/>
  <c r="E48" i="5"/>
  <c r="B103" i="5"/>
  <c r="F29" i="5"/>
  <c r="K85" i="5"/>
  <c r="J142" i="5"/>
  <c r="J83" i="5"/>
  <c r="D116" i="5"/>
  <c r="E128" i="5"/>
  <c r="J55" i="5"/>
  <c r="A147" i="5"/>
  <c r="K58" i="5"/>
  <c r="A83" i="5"/>
  <c r="K29" i="5"/>
  <c r="H131" i="5"/>
  <c r="B107" i="5"/>
  <c r="C104" i="5"/>
  <c r="J48" i="5"/>
  <c r="H121" i="5"/>
  <c r="C135" i="5"/>
  <c r="H133" i="5"/>
  <c r="B90" i="5"/>
  <c r="H67" i="5"/>
  <c r="G70" i="5"/>
  <c r="K82" i="5"/>
  <c r="G114" i="5"/>
  <c r="A145" i="5"/>
  <c r="B80" i="5"/>
  <c r="F43" i="5"/>
  <c r="F136" i="5"/>
  <c r="J127" i="5"/>
  <c r="A82" i="5"/>
  <c r="D93" i="5"/>
  <c r="C43" i="5"/>
  <c r="E78" i="5"/>
  <c r="K67" i="5"/>
  <c r="J102" i="5"/>
  <c r="A73" i="5"/>
  <c r="E152" i="5"/>
  <c r="K38" i="5"/>
  <c r="G149" i="5"/>
  <c r="G76" i="5"/>
  <c r="H49" i="5"/>
  <c r="K117" i="5"/>
  <c r="F67" i="5"/>
  <c r="K128" i="5"/>
  <c r="A49" i="5"/>
  <c r="B144" i="5"/>
  <c r="F69" i="5"/>
  <c r="G34" i="5"/>
  <c r="J126" i="5"/>
  <c r="I105" i="5"/>
  <c r="C133" i="5"/>
  <c r="E107" i="5"/>
  <c r="F63" i="5"/>
  <c r="B95" i="5"/>
  <c r="F106" i="5"/>
  <c r="C134" i="5"/>
  <c r="E37" i="5"/>
  <c r="D72" i="5"/>
  <c r="C35" i="5"/>
  <c r="J99" i="5"/>
  <c r="D123" i="5"/>
  <c r="F117" i="5"/>
  <c r="E53" i="5"/>
  <c r="C110" i="5"/>
  <c r="D56" i="5"/>
  <c r="J94" i="5"/>
  <c r="H112" i="5"/>
  <c r="C75" i="5"/>
  <c r="K65" i="5"/>
  <c r="D114" i="5"/>
  <c r="D63" i="5"/>
  <c r="J91" i="5"/>
  <c r="I140" i="5"/>
  <c r="G60" i="5"/>
  <c r="G66" i="5"/>
  <c r="F144" i="5"/>
  <c r="H149" i="5"/>
  <c r="B140" i="5"/>
  <c r="G75" i="5"/>
  <c r="I68" i="5"/>
  <c r="H81" i="5"/>
  <c r="I50" i="5"/>
  <c r="J63" i="5"/>
  <c r="H71" i="5"/>
  <c r="B127" i="5"/>
  <c r="D98" i="5"/>
  <c r="C94" i="5"/>
  <c r="A45" i="5"/>
  <c r="J61" i="5"/>
  <c r="C121" i="5"/>
  <c r="B81" i="5"/>
  <c r="K89" i="5"/>
  <c r="K47" i="5"/>
  <c r="E146" i="5"/>
  <c r="K132" i="5"/>
  <c r="D92" i="5"/>
  <c r="D103" i="5"/>
  <c r="A102" i="5"/>
  <c r="B143" i="5"/>
  <c r="B121" i="5"/>
  <c r="C130" i="5"/>
  <c r="K136" i="5"/>
  <c r="C86" i="5"/>
  <c r="H143" i="5"/>
  <c r="A61" i="5"/>
  <c r="J76" i="5"/>
  <c r="A57" i="5"/>
  <c r="K57" i="5"/>
  <c r="K106" i="5"/>
  <c r="H92" i="5"/>
  <c r="B151" i="5"/>
  <c r="K107" i="5"/>
  <c r="A120" i="5"/>
  <c r="F109" i="5"/>
  <c r="I84" i="5"/>
  <c r="G136" i="5"/>
  <c r="D87" i="5"/>
  <c r="D122" i="5"/>
  <c r="F124" i="5"/>
  <c r="I94" i="5"/>
  <c r="J148" i="5"/>
  <c r="H55" i="5"/>
  <c r="C141" i="5"/>
  <c r="E145" i="5"/>
  <c r="A109" i="5"/>
  <c r="E86" i="5"/>
  <c r="E98" i="5"/>
  <c r="D80" i="5"/>
  <c r="H93" i="5"/>
  <c r="I80" i="5"/>
  <c r="E115" i="5"/>
  <c r="I136" i="5"/>
  <c r="B94" i="5"/>
  <c r="D119" i="5"/>
  <c r="I72" i="5"/>
  <c r="B99" i="5"/>
  <c r="K118" i="5"/>
  <c r="J116" i="5"/>
  <c r="J121" i="5"/>
  <c r="D61" i="5"/>
  <c r="G96" i="5"/>
  <c r="D127" i="5"/>
  <c r="F62" i="5"/>
  <c r="I64" i="5"/>
  <c r="A72" i="5"/>
  <c r="H102" i="5"/>
  <c r="B46" i="5"/>
  <c r="H147" i="5"/>
  <c r="G84" i="5"/>
  <c r="J140" i="5"/>
  <c r="D90" i="5"/>
  <c r="G30" i="5"/>
  <c r="D99" i="5"/>
  <c r="I55" i="5"/>
  <c r="B77" i="5"/>
  <c r="G79" i="5"/>
  <c r="A39" i="5"/>
  <c r="A41" i="5"/>
  <c r="A77" i="5"/>
  <c r="D128" i="5"/>
  <c r="H94" i="5"/>
  <c r="D130" i="5"/>
  <c r="K59" i="5"/>
  <c r="F71" i="5"/>
  <c r="A65" i="5"/>
  <c r="A138" i="5"/>
  <c r="I47" i="5"/>
  <c r="J145" i="5"/>
  <c r="A99" i="5"/>
  <c r="C92" i="5"/>
  <c r="B58" i="5"/>
  <c r="H88" i="5"/>
  <c r="K121" i="5"/>
  <c r="A94" i="5"/>
  <c r="H144" i="5"/>
  <c r="A124" i="5"/>
  <c r="H139" i="5"/>
  <c r="J135" i="5"/>
  <c r="B145" i="5"/>
  <c r="B89" i="5"/>
  <c r="F78" i="5"/>
  <c r="G148" i="5"/>
  <c r="A55" i="5"/>
  <c r="F107" i="5"/>
  <c r="H40" i="5"/>
  <c r="A86" i="5"/>
  <c r="J105" i="5"/>
  <c r="I142" i="5"/>
  <c r="D147" i="5"/>
  <c r="I32" i="5"/>
  <c r="E36" i="5"/>
  <c r="I118" i="5"/>
  <c r="C46" i="5"/>
  <c r="F49" i="5"/>
  <c r="E87" i="5"/>
  <c r="H36" i="5"/>
  <c r="G121" i="5"/>
  <c r="D143" i="5"/>
  <c r="F120" i="5"/>
  <c r="G132" i="5"/>
  <c r="I110" i="5"/>
  <c r="B68" i="5"/>
  <c r="B139" i="5"/>
  <c r="F138" i="5"/>
  <c r="E56" i="5"/>
  <c r="A96" i="5"/>
  <c r="B33" i="5"/>
  <c r="F83" i="5"/>
  <c r="B72" i="5"/>
  <c r="B123" i="5"/>
  <c r="B30" i="5"/>
  <c r="F131" i="5"/>
  <c r="B21" i="5"/>
  <c r="H108" i="5"/>
  <c r="A117" i="5"/>
  <c r="I41" i="5"/>
  <c r="J147" i="5"/>
  <c r="F141" i="5"/>
  <c r="G123" i="5"/>
  <c r="H140" i="5"/>
  <c r="J37" i="5"/>
  <c r="C116" i="5"/>
  <c r="I86" i="5"/>
  <c r="H82" i="5"/>
  <c r="B51" i="5"/>
  <c r="J70" i="5"/>
  <c r="E88" i="5"/>
  <c r="J103" i="5"/>
  <c r="B62" i="5"/>
  <c r="G145" i="5"/>
  <c r="D146" i="5"/>
  <c r="B64" i="5"/>
  <c r="D102" i="5"/>
  <c r="A152" i="5"/>
  <c r="B126" i="5"/>
  <c r="A85" i="5"/>
  <c r="D109" i="5"/>
  <c r="G151" i="5"/>
  <c r="G77" i="5"/>
  <c r="K88" i="5"/>
  <c r="F55" i="5"/>
  <c r="E96" i="5"/>
  <c r="C79" i="5"/>
  <c r="A125" i="5"/>
  <c r="K51" i="5"/>
  <c r="J120" i="5"/>
  <c r="A144" i="5"/>
  <c r="C147" i="5"/>
  <c r="G99" i="5"/>
  <c r="I154" i="5"/>
  <c r="K152" i="5"/>
  <c r="I99" i="5"/>
  <c r="D134" i="5"/>
  <c r="I129" i="5"/>
  <c r="K140" i="5"/>
  <c r="H41" i="5"/>
  <c r="F102" i="5"/>
  <c r="C84" i="5"/>
  <c r="E101" i="5"/>
  <c r="E151" i="5"/>
  <c r="K80" i="5"/>
  <c r="F93" i="5"/>
  <c r="H58" i="5"/>
  <c r="K154" i="5"/>
  <c r="E76" i="5"/>
  <c r="F94" i="5"/>
  <c r="B131" i="5"/>
  <c r="F154" i="5"/>
  <c r="D142" i="5"/>
  <c r="G55" i="5"/>
  <c r="I97" i="5"/>
  <c r="G109" i="5"/>
  <c r="E109" i="5"/>
  <c r="I61" i="5"/>
  <c r="E116" i="5"/>
  <c r="B83" i="5"/>
  <c r="H89" i="5"/>
  <c r="H101" i="5"/>
  <c r="I152" i="5"/>
  <c r="E113" i="5"/>
  <c r="B154" i="5"/>
  <c r="D145" i="5"/>
  <c r="K87" i="5"/>
  <c r="J35" i="5"/>
  <c r="D118" i="5"/>
  <c r="I89" i="5"/>
  <c r="D54" i="5"/>
  <c r="H98" i="5"/>
  <c r="B116" i="5"/>
  <c r="F60" i="5"/>
  <c r="F61" i="5"/>
  <c r="D144" i="5"/>
  <c r="G67" i="5"/>
  <c r="K46" i="5"/>
  <c r="D81" i="5"/>
  <c r="F81" i="5"/>
  <c r="B38" i="5"/>
  <c r="G61" i="5"/>
  <c r="E42" i="5"/>
  <c r="J122" i="5"/>
  <c r="G137" i="5"/>
  <c r="H60" i="5"/>
  <c r="E117" i="5"/>
  <c r="F143" i="5"/>
  <c r="A132" i="5"/>
  <c r="B130" i="5"/>
  <c r="H97" i="5"/>
  <c r="A134" i="5"/>
  <c r="B67" i="5"/>
  <c r="D46" i="5"/>
  <c r="E57" i="5"/>
  <c r="J129" i="5"/>
  <c r="A153" i="5"/>
  <c r="K130" i="5"/>
  <c r="I66" i="5"/>
  <c r="F57" i="5"/>
  <c r="E92" i="5"/>
  <c r="J57" i="5"/>
  <c r="C66" i="5"/>
  <c r="A107" i="5"/>
  <c r="D52" i="5"/>
  <c r="F127" i="5"/>
  <c r="G142" i="5"/>
  <c r="D91" i="5"/>
  <c r="A95" i="5"/>
  <c r="A67" i="5"/>
  <c r="K139" i="5"/>
  <c r="E127" i="5"/>
  <c r="F113" i="5"/>
  <c r="D83" i="5"/>
  <c r="A56" i="5"/>
  <c r="E141" i="5"/>
  <c r="J75" i="5"/>
  <c r="D153" i="5"/>
  <c r="A79" i="5"/>
  <c r="E74" i="5"/>
  <c r="G110" i="5"/>
  <c r="I101" i="5"/>
  <c r="H51" i="5"/>
  <c r="D79" i="5"/>
  <c r="I137" i="5"/>
  <c r="A43" i="5"/>
  <c r="K24" i="5"/>
  <c r="D29" i="5"/>
  <c r="B111" i="5"/>
  <c r="A30" i="5"/>
  <c r="D68" i="5"/>
  <c r="G71" i="5"/>
  <c r="H151" i="5"/>
  <c r="C62" i="5"/>
  <c r="H109" i="5"/>
  <c r="K123" i="5"/>
  <c r="B78" i="5"/>
  <c r="J100" i="5"/>
  <c r="D84" i="5"/>
  <c r="E60" i="5"/>
  <c r="C101" i="5"/>
  <c r="B40" i="5"/>
  <c r="D152" i="5"/>
  <c r="J95" i="5"/>
  <c r="B93" i="5"/>
  <c r="C89" i="5"/>
  <c r="I141" i="5"/>
  <c r="E143" i="5"/>
  <c r="J22" i="5"/>
  <c r="A139" i="5"/>
  <c r="J151" i="5"/>
  <c r="J128" i="5"/>
  <c r="B31" i="5"/>
  <c r="C59" i="5"/>
  <c r="A126" i="5"/>
  <c r="B109" i="5"/>
  <c r="A68" i="5"/>
  <c r="D71" i="5"/>
  <c r="H59" i="5"/>
  <c r="D148" i="5"/>
  <c r="H79" i="5"/>
  <c r="A118" i="5"/>
  <c r="G111" i="5"/>
  <c r="A24" i="5"/>
  <c r="I83" i="5"/>
  <c r="B138" i="5"/>
  <c r="E94" i="5"/>
  <c r="E105" i="5"/>
  <c r="C123" i="5"/>
  <c r="E155" i="5" l="1"/>
  <c r="D155" i="5"/>
  <c r="F155" i="5"/>
  <c r="J155" i="5" l="1"/>
</calcChain>
</file>

<file path=xl/sharedStrings.xml><?xml version="1.0" encoding="utf-8"?>
<sst xmlns="http://schemas.openxmlformats.org/spreadsheetml/2006/main" count="875" uniqueCount="311">
  <si>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</si>
  <si>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</si>
  <si>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</si>
  <si>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</si>
  <si>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</si>
  <si>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</si>
  <si>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</si>
  <si>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</si>
  <si>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</si>
  <si>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2026-04-09</t>
  </si>
  <si>
    <t>Inv-001</t>
  </si>
  <si>
    <t>بيع عدد١ اناناس</t>
  </si>
  <si>
    <t>2026-04-22</t>
  </si>
  <si>
    <t>8127</t>
  </si>
  <si>
    <t>تاير لعربة الرش</t>
  </si>
  <si>
    <t>2026-04-30</t>
  </si>
  <si>
    <t>مدخول شهر ابريل</t>
  </si>
  <si>
    <t>2026-05-09</t>
  </si>
  <si>
    <t>Inv-013</t>
  </si>
  <si>
    <t>فل عدد 21 سعر الحبه .0.750</t>
  </si>
  <si>
    <t>Inv-013A</t>
  </si>
  <si>
    <t>برازيليا عدد 25 سعر الحبه .500</t>
  </si>
  <si>
    <t>2026-05-10</t>
  </si>
  <si>
    <t>Inv-016</t>
  </si>
  <si>
    <t>ودليه عدد 3 الحبه 0.750</t>
  </si>
  <si>
    <t>2026-05-13</t>
  </si>
  <si>
    <t>Inv-017</t>
  </si>
  <si>
    <t>فل عدد 10 الحبه 0.750</t>
  </si>
  <si>
    <t>2026-05-14</t>
  </si>
  <si>
    <t>Inv-18A</t>
  </si>
  <si>
    <t>ربل 4 حبات الحبه 1.500</t>
  </si>
  <si>
    <t>Inv-18</t>
  </si>
  <si>
    <t>ودليه 8 حبات الحبه 1</t>
  </si>
  <si>
    <t>2026-05-16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</si>
  <si>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</si>
  <si>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</si>
  <si>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</si>
  <si>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</si>
  <si>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</si>
  <si>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</si>
  <si>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2026-05-17</t>
  </si>
  <si>
    <t>Inv-22</t>
  </si>
  <si>
    <t>فل عدد 30 الحبه 0.750</t>
  </si>
  <si>
    <t>Inv-23</t>
  </si>
  <si>
    <t>برازيليا عدد 16 الحبه 0.500</t>
  </si>
  <si>
    <t>2026-05-18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</si>
  <si>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</si>
  <si>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</si>
  <si>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</si>
  <si>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</si>
  <si>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</si>
  <si>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</si>
  <si>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</si>
  <si>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</si>
  <si>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</si>
  <si>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</si>
  <si>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</si>
  <si>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</si>
  <si>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</si>
  <si>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</si>
  <si>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2026-05-19</t>
  </si>
  <si>
    <t>Inv-30</t>
  </si>
  <si>
    <t>2026-05-20</t>
  </si>
  <si>
    <t>Inv-31</t>
  </si>
  <si>
    <t>فل عدد30 الحبه 0.750</t>
  </si>
  <si>
    <t>Inv-32</t>
  </si>
  <si>
    <t>برازيليا عدد 50 الحبه0.500</t>
  </si>
  <si>
    <t>2026-05-21</t>
  </si>
  <si>
    <t>Inv-33</t>
  </si>
  <si>
    <t>برازيليا عدد 75 الحبه 0.500</t>
  </si>
  <si>
    <t>Inv-34</t>
  </si>
  <si>
    <t>دارسينيا احمر عدد1 حبه 2.500</t>
  </si>
  <si>
    <t>2026-05-22</t>
  </si>
  <si>
    <t>Inv-35</t>
  </si>
  <si>
    <t>دارسينا حمراء عدد 6 الحبه 2,500</t>
  </si>
  <si>
    <t>Inv-36</t>
  </si>
  <si>
    <t>ربل عدد4 الحبه 1.500</t>
  </si>
  <si>
    <t>2026-05-25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</si>
  <si>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</si>
  <si>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</si>
  <si>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</si>
  <si>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</si>
  <si>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</si>
  <si>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</si>
  <si>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2026-05-04</t>
  </si>
  <si>
    <t>Inv-40</t>
  </si>
  <si>
    <t>other</t>
  </si>
  <si>
    <t>Inv-41</t>
  </si>
  <si>
    <t>Inv-42</t>
  </si>
  <si>
    <t>2026-05-05</t>
  </si>
  <si>
    <t>Inv-43</t>
  </si>
  <si>
    <t>2026-05-07</t>
  </si>
  <si>
    <t>Inv-44a</t>
  </si>
  <si>
    <t>Inv-44</t>
  </si>
  <si>
    <t>Inv-45</t>
  </si>
  <si>
    <t>Inv-46</t>
  </si>
  <si>
    <t>Inv-47</t>
  </si>
  <si>
    <t>جبس لتغطيه المحميه</t>
  </si>
  <si>
    <t>2026-06-02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</si>
  <si>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</si>
  <si>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</si>
  <si>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</si>
  <si>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</si>
  <si>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</si>
  <si>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</si>
  <si>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</si>
  <si>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</si>
  <si>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2026-06-04</t>
  </si>
  <si>
    <t>inv-57</t>
  </si>
  <si>
    <t>فوزير عدد1 قيمه 1</t>
  </si>
  <si>
    <t>سماد</t>
  </si>
  <si>
    <t>حفاره خلط السماد</t>
  </si>
  <si>
    <t>2026-06-06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</si>
  <si>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</si>
  <si>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</si>
  <si>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</si>
  <si>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</si>
  <si>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</si>
  <si>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</si>
  <si>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2026-06-08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</si>
  <si>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</si>
  <si>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</si>
  <si>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</si>
  <si>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</si>
  <si>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2026-06-09</t>
  </si>
  <si>
    <t>Inv-62</t>
  </si>
  <si>
    <t>2026-06-11</t>
  </si>
  <si>
    <t>براغي</t>
  </si>
  <si>
    <t>2026-06-12</t>
  </si>
  <si>
    <t>رول لحيم</t>
  </si>
  <si>
    <t>2026-06-13</t>
  </si>
  <si>
    <t>Inv-64</t>
  </si>
  <si>
    <t>معلقات عدد 10 الحبه 1</t>
  </si>
  <si>
    <t>Inv-65</t>
  </si>
  <si>
    <t>ودوليه عدد 5 الحبه 1</t>
  </si>
  <si>
    <t>2026-06-16</t>
  </si>
  <si>
    <t>Inv-66</t>
  </si>
  <si>
    <t>شوكليرا عدد10 الحبه 1.500</t>
  </si>
  <si>
    <t>Inv-67</t>
  </si>
  <si>
    <t>فيكس عدد7 الحبه 1</t>
  </si>
  <si>
    <t>Inv-68</t>
  </si>
  <si>
    <t>ربل عدد 5 الحبه 2</t>
  </si>
  <si>
    <t>Inv-69</t>
  </si>
  <si>
    <t>2026-06-15</t>
  </si>
  <si>
    <t>أقامه عبدول</t>
  </si>
  <si>
    <t>2026-06-17</t>
  </si>
  <si>
    <t>Inv-70</t>
  </si>
  <si>
    <t>افوبياعدد 1 الحبه .0.750</t>
  </si>
  <si>
    <t>Inv-71</t>
  </si>
  <si>
    <t>دارسينا عدد 1 الحبه 1.500</t>
  </si>
  <si>
    <t>2026-06-18</t>
  </si>
  <si>
    <t>Inv-72</t>
  </si>
  <si>
    <t>فل عدد 1 الحبه 0.750</t>
  </si>
  <si>
    <t>Inv-73</t>
  </si>
  <si>
    <t>ودليه عدد 3 الحبه 1</t>
  </si>
  <si>
    <t>2026-06-26</t>
  </si>
  <si>
    <t>Inv-74</t>
  </si>
  <si>
    <t>ربل عدد 11 الحبه 2</t>
  </si>
  <si>
    <t>Inv-75</t>
  </si>
  <si>
    <t>شوفليرا عدد6 الحبه 1.500</t>
  </si>
  <si>
    <t>2026-06-24</t>
  </si>
  <si>
    <t>nbk 18-18-18</t>
  </si>
  <si>
    <t>2026-06-28</t>
  </si>
  <si>
    <t>Inv-76</t>
  </si>
  <si>
    <t>فل عدد 11 الحبه 0.750</t>
  </si>
  <si>
    <t>2026-06-29</t>
  </si>
  <si>
    <t>Inv-77</t>
  </si>
  <si>
    <t>عطره عدد 3 الحبه 0.750</t>
  </si>
  <si>
    <t>Inv-78</t>
  </si>
  <si>
    <t>معلقات عدد 3 الحبه 1</t>
  </si>
  <si>
    <t>2026-06-30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</si>
  <si>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</si>
  <si>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</si>
  <si>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</si>
  <si>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</si>
  <si>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</si>
  <si>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</si>
  <si>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</si>
  <si>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</si>
  <si>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</si>
  <si>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</si>
  <si>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الإجمالي</t>
  </si>
  <si>
    <t>🔵  مصروفات الشركاء  —  مستحقة السداد للمزرعة</t>
  </si>
  <si>
    <t>المبلغ (KD)</t>
  </si>
  <si>
    <t>الشريك</t>
  </si>
  <si>
    <t>2026-04-19</t>
  </si>
  <si>
    <t>تبديل كمبرسيور ثلاجة العمال</t>
  </si>
  <si>
    <t>أبو اسحاق</t>
  </si>
  <si>
    <t>11300</t>
  </si>
  <si>
    <t>فلاتر كيميكال لمحطة التحلية</t>
  </si>
  <si>
    <t>ديزل لمكينة الكهرباء</t>
  </si>
  <si>
    <t>242</t>
  </si>
  <si>
    <t>احواض حجم25سم عدد 2000</t>
  </si>
  <si>
    <t>أبو آدم</t>
  </si>
  <si>
    <t>18213</t>
  </si>
  <si>
    <t>شراء دريل</t>
  </si>
  <si>
    <t>يزل ماكينه كهرباء</t>
  </si>
  <si>
    <t>راتب عماله مايو 2025</t>
  </si>
  <si>
    <t>2026-06-14</t>
  </si>
  <si>
    <t>عصايا عدد 2000 احواض معاقات عدد 250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</si>
  <si>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</si>
  <si>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</si>
  <si>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</si>
  <si>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</si>
  <si>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</si>
  <si>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</si>
  <si>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</si>
  <si>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</si>
  <si>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</si>
  <si>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</si>
  <si>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</si>
  <si>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</si>
  <si>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</si>
  <si>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</si>
  <si>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</si>
  <si>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</si>
  <si>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</si>
  <si>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</si>
  <si>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</si>
  <si>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</si>
  <si>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</si>
  <si>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</si>
  <si>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</si>
  <si>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</si>
  <si>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</si>
  <si>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</si>
  <si>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</si>
  <si>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احواض حجم 18سم عدد 2000-(90)</t>
  </si>
  <si>
    <t>مستلزمات زراعية</t>
  </si>
  <si>
    <t>أحد الشركاء</t>
  </si>
  <si>
    <t>معلق</t>
  </si>
  <si>
    <t>صيانة المعدات</t>
  </si>
  <si>
    <t>وقود ومحروقات</t>
  </si>
  <si>
    <t>تم الصرف</t>
  </si>
  <si>
    <t>أحواض وأدوات</t>
  </si>
  <si>
    <t>احواض حجم 14سم عدد 2000(40)</t>
  </si>
  <si>
    <t>جبس لتغطيه المحميه(3)</t>
  </si>
  <si>
    <t>بونص عمالة أبريل(5)</t>
  </si>
  <si>
    <t>رواتب وعمالة</t>
  </si>
  <si>
    <t>تم إعطاء 1 حبه هديه الإجمالي 31 حبه</t>
  </si>
  <si>
    <t>رواتب العمال</t>
  </si>
  <si>
    <t>Inv-63</t>
  </si>
  <si>
    <t>ملغيه</t>
  </si>
  <si>
    <t>أون لاين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</si>
  <si>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</si>
  <si>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</si>
  <si>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</si>
  <si>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</si>
  <si>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</si>
  <si>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</si>
  <si>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</si>
  <si>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</si>
  <si>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</si>
  <si>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</si>
  <si>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</si>
  <si>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</si>
  <si>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</si>
  <si>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</si>
  <si>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</si>
  <si>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</si>
  <si>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</si>
  <si>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</si>
  <si>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</si>
  <si>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</si>
  <si>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</si>
  <si>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</si>
  <si>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</si>
  <si>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</si>
  <si>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</si>
  <si>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</si>
  <si>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</si>
  <si>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</si>
  <si>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</si>
  <si>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</si>
  <si>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</si>
  <si>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</si>
  <si>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</si>
  <si>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</si>
  <si>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</si>
  <si>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</si>
  <si>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</si>
  <si>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</si>
  <si>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</si>
  <si>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</si>
  <si>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</si>
  <si>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يونيو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</si>
  <si>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</si>
  <si>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</si>
  <si>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</si>
  <si>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</si>
  <si>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</si>
  <si>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</si>
  <si>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</si>
  <si>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</si>
  <si>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</si>
  <si>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</si>
  <si>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</si>
  <si>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</si>
  <si>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</si>
  <si>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</si>
  <si>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</si>
  <si>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</si>
  <si>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</si>
  <si>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</si>
  <si>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</si>
  <si>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</si>
  <si>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</si>
  <si>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</si>
  <si>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احواض عدد 1000 مقاس 14 سم</t>
  </si>
  <si>
    <t>Inv-82</t>
  </si>
  <si>
    <t>دارسينا عدد 1 بقيمه 2.500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</si>
</sst>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"/>
    <numFmt numFmtId="165" formatCode="d\-mmm\-yy"/>
    <numFmt numFmtId="166" formatCode="m/d/yyyy"/>
    <numFmt numFmtId="167" formatCode="#,##0.000\ &quot;KD&quot;"/>
  </numFmts>
  <fonts count="5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  <font>
      <sz val="10"/>
      <color rgb="FF000000"/>
      <name val="Arial"/>
    </font>
    <font>
      <b/>
      <sz val="10"/>
      <color rgb="FF4A235A"/>
      <name val="Arial"/>
    </font>
  </fonts>
  <fills count="51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FDEDEC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  <fill>
      <patternFill patternType="solid">
        <fgColor rgb="FFD7BDE2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9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0" fontId="0" fillId="0" borderId="0" xfId="0"/>
    <xf numFmtId="166" fontId="16" fillId="12" borderId="2" xfId="0" applyNumberFormat="1" applyFont="1" applyFill="1" applyBorder="1" applyAlignment="1">
      <alignment horizontal="center" vertical="center"/>
    </xf>
    <xf numFmtId="0" fontId="0" fillId="0" borderId="3" xfId="0" applyBorder="1"/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19" fillId="19" borderId="2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1" fillId="44" borderId="5" xfId="0" applyFont="1" applyFill="1" applyBorder="1" applyAlignment="1">
      <alignment horizontal="center" vertical="center" readingOrder="2"/>
    </xf>
    <xf numFmtId="164" fontId="41" fillId="44" borderId="5" xfId="0" applyNumberFormat="1" applyFont="1" applyFill="1" applyBorder="1" applyAlignment="1">
      <alignment horizontal="center" vertical="center" readingOrder="2"/>
    </xf>
    <xf numFmtId="164" fontId="43" fillId="44" borderId="5" xfId="0" applyNumberFormat="1" applyFont="1" applyFill="1" applyBorder="1" applyAlignment="1">
      <alignment horizontal="center" vertical="center" readingOrder="2"/>
    </xf>
    <xf numFmtId="164" fontId="44" fillId="44" borderId="5" xfId="0" applyNumberFormat="1" applyFont="1" applyFill="1" applyBorder="1" applyAlignment="1">
      <alignment horizontal="center" vertical="center" readingOrder="2"/>
    </xf>
    <xf numFmtId="0" fontId="41" fillId="45" borderId="5" xfId="0" applyFont="1" applyFill="1" applyBorder="1" applyAlignment="1">
      <alignment horizontal="right" vertical="center" readingOrder="2"/>
    </xf>
    <xf numFmtId="0" fontId="40" fillId="45" borderId="5" xfId="0" applyFont="1" applyFill="1" applyBorder="1" applyAlignment="1">
      <alignment horizontal="center" vertical="center" readingOrder="2"/>
    </xf>
    <xf numFmtId="164" fontId="45" fillId="45" borderId="5" xfId="0" applyNumberFormat="1" applyFont="1" applyFill="1" applyBorder="1" applyAlignment="1">
      <alignment horizontal="center" vertical="center" readingOrder="2"/>
    </xf>
    <xf numFmtId="164" fontId="46" fillId="45" borderId="5" xfId="0" applyNumberFormat="1" applyFont="1" applyFill="1" applyBorder="1" applyAlignment="1">
      <alignment horizontal="center" vertical="center" readingOrder="2"/>
    </xf>
    <xf numFmtId="164" fontId="40" fillId="46" borderId="5" xfId="0" applyNumberFormat="1" applyFont="1" applyFill="1" applyBorder="1" applyAlignment="1">
      <alignment horizontal="center" vertical="center" readingOrder="2"/>
    </xf>
    <xf numFmtId="0" fontId="40" fillId="48" borderId="5" xfId="0" applyFont="1" applyFill="1" applyBorder="1" applyAlignment="1">
      <alignment horizontal="center" vertical="center" readingOrder="2"/>
    </xf>
    <xf numFmtId="0" fontId="41" fillId="49" borderId="5" xfId="0" applyFont="1" applyFill="1" applyBorder="1" applyAlignment="1">
      <alignment horizontal="right" vertical="center" readingOrder="2"/>
    </xf>
    <xf numFmtId="0" fontId="41" fillId="49" borderId="5" xfId="0" applyFont="1" applyFill="1" applyBorder="1" applyAlignment="1">
      <alignment horizontal="center" vertical="center" readingOrder="2"/>
    </xf>
    <xf numFmtId="164" fontId="47" fillId="49" borderId="5" xfId="0" applyNumberFormat="1" applyFont="1" applyFill="1" applyBorder="1" applyAlignment="1">
      <alignment horizontal="center" vertical="center" readingOrder="2"/>
    </xf>
    <xf numFmtId="0" fontId="48" fillId="49" borderId="5" xfId="0" applyFont="1" applyFill="1" applyBorder="1" applyAlignment="1">
      <alignment horizontal="center" vertical="center" readingOrder="2"/>
    </xf>
    <xf numFmtId="0" fontId="49" fillId="47" borderId="5" xfId="0" applyFont="1" applyFill="1" applyBorder="1" applyAlignment="1">
      <alignment horizontal="right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164" fontId="40" fillId="47" borderId="5" xfId="0" applyNumberFormat="1" applyFont="1" applyFill="1" applyBorder="1" applyAlignment="1">
      <alignment horizontal="center" vertical="center" readingOrder="2"/>
    </xf>
    <xf numFmtId="0" fontId="49" fillId="50" borderId="5" xfId="0" applyFont="1" applyFill="1" applyBorder="1" applyAlignment="1">
      <alignment horizontal="right" vertical="center" readingOrder="2"/>
    </xf>
    <xf numFmtId="0" fontId="50" fillId="50" borderId="5" xfId="0" applyFont="1" applyFill="1" applyBorder="1" applyAlignment="1">
      <alignment horizontal="right" vertical="center" readingOrder="2"/>
    </xf>
    <xf numFmtId="164" fontId="50" fillId="50" borderId="5" xfId="0" applyNumberFormat="1" applyFont="1" applyFill="1" applyBorder="1" applyAlignment="1">
      <alignment horizontal="center" vertical="center" readingOrder="2"/>
    </xf>
    <xf numFmtId="0" fontId="37" fillId="47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6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3"/>
  <sheetViews>
    <sheetView rightToLeft="1" workbookViewId="0">
      <selection sqref="A1:F1"/>
    </sheetView>
  </sheetViews>
  <sheetFormatPr defaultRowHeight="15" x14ac:dyDescent="0.25"/>
  <cols>
    <col min="1" max="1" width="13" style="45" customWidth="1"/>
    <col min="2" max="2" width="12" style="45" customWidth="1"/>
    <col min="3" max="3" width="40" style="45" customWidth="1"/>
    <col min="4" max="5" width="12" style="45" customWidth="1"/>
    <col min="6" max="6" width="14" style="45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25">
        <f>'كشف الحساب'!J100</f>
        <v>25.050000000000011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6" t="s">
        <v>3</v>
      </c>
      <c r="B5" s="126" t="s">
        <v>4</v>
      </c>
      <c r="C5" s="126" t="s">
        <v>5</v>
      </c>
      <c r="D5" s="126" t="s">
        <v>6</v>
      </c>
      <c r="E5" s="126" t="s">
        <v>7</v>
      </c>
      <c r="F5" s="126" t="s">
        <v>8</v>
      </c>
    </row>
    <row r="6" spans="1:6" ht="18" customHeight="1" x14ac:dyDescent="0.25">
      <c r="A6" s="127" t="s">
        <v>9</v>
      </c>
      <c r="B6" s="128" t="s">
        <v>10</v>
      </c>
      <c r="C6" s="127" t="s">
        <v>11</v>
      </c>
      <c r="D6" s="129">
        <v>5</v>
      </c>
      <c r="E6" s="130"/>
      <c r="F6" s="131">
        <v>5</v>
      </c>
    </row>
    <row r="7" spans="1:6" ht="18" customHeight="1" x14ac:dyDescent="0.25">
      <c r="A7" s="132" t="s">
        <v>12</v>
      </c>
      <c r="B7" s="133" t="s">
        <v>13</v>
      </c>
      <c r="C7" s="132" t="s">
        <v>14</v>
      </c>
      <c r="D7" s="134"/>
      <c r="E7" s="135">
        <v>3</v>
      </c>
      <c r="F7" s="136">
        <v>2</v>
      </c>
    </row>
    <row r="8" spans="1:6" ht="18" customHeight="1" x14ac:dyDescent="0.25">
      <c r="A8" s="127" t="s">
        <v>15</v>
      </c>
      <c r="B8" s="128"/>
      <c r="C8" s="127" t="s">
        <v>16</v>
      </c>
      <c r="D8" s="129">
        <v>40.5</v>
      </c>
      <c r="E8" s="130"/>
      <c r="F8" s="131">
        <v>42.5</v>
      </c>
    </row>
    <row r="9" spans="1:6" ht="18" customHeight="1" x14ac:dyDescent="0.25">
      <c r="A9" s="127" t="s">
        <v>17</v>
      </c>
      <c r="B9" s="128" t="s">
        <v>18</v>
      </c>
      <c r="C9" s="127" t="s">
        <v>19</v>
      </c>
      <c r="D9" s="129">
        <v>15.75</v>
      </c>
      <c r="E9" s="130"/>
      <c r="F9" s="131">
        <v>58.25</v>
      </c>
    </row>
    <row r="10" spans="1:6" ht="18" customHeight="1" x14ac:dyDescent="0.25">
      <c r="A10" s="127" t="s">
        <v>17</v>
      </c>
      <c r="B10" s="128" t="s">
        <v>20</v>
      </c>
      <c r="C10" s="127" t="s">
        <v>21</v>
      </c>
      <c r="D10" s="129">
        <v>12.5</v>
      </c>
      <c r="E10" s="130"/>
      <c r="F10" s="131">
        <v>70.75</v>
      </c>
    </row>
    <row r="11" spans="1:6" ht="18" customHeight="1" x14ac:dyDescent="0.25">
      <c r="A11" s="127" t="s">
        <v>22</v>
      </c>
      <c r="B11" s="128" t="s">
        <v>23</v>
      </c>
      <c r="C11" s="127" t="s">
        <v>24</v>
      </c>
      <c r="D11" s="129">
        <v>2.25</v>
      </c>
      <c r="E11" s="130"/>
      <c r="F11" s="131">
        <v>73</v>
      </c>
    </row>
    <row r="12" spans="1:6" ht="18" customHeight="1" x14ac:dyDescent="0.25">
      <c r="A12" s="127" t="s">
        <v>25</v>
      </c>
      <c r="B12" s="128" t="s">
        <v>26</v>
      </c>
      <c r="C12" s="127" t="s">
        <v>27</v>
      </c>
      <c r="D12" s="129">
        <v>7.5</v>
      </c>
      <c r="E12" s="130"/>
      <c r="F12" s="131">
        <v>80.5</v>
      </c>
    </row>
    <row r="13" spans="1:6" ht="18" customHeight="1" x14ac:dyDescent="0.25">
      <c r="A13" s="127" t="s">
        <v>28</v>
      </c>
      <c r="B13" s="128" t="s">
        <v>29</v>
      </c>
      <c r="C13" s="127" t="s">
        <v>30</v>
      </c>
      <c r="D13" s="129">
        <v>6</v>
      </c>
      <c r="E13" s="130"/>
      <c r="F13" s="131">
        <v>86.5</v>
      </c>
    </row>
    <row r="14" spans="1:6" ht="18" customHeight="1" x14ac:dyDescent="0.25">
      <c r="A14" s="127" t="s">
        <v>28</v>
      </c>
      <c r="B14" s="128" t="s">
        <v>31</v>
      </c>
      <c r="C14" s="127" t="s">
        <v>32</v>
      </c>
      <c r="D14" s="129">
        <v>8</v>
      </c>
      <c r="E14" s="130"/>
      <c r="F14" s="131">
        <v>94.5</v>
      </c>
    </row>
    <row r="15" spans="1:6" ht="18" customHeight="1" x14ac:dyDescent="0.25">
      <c r="A15" s="127" t="s">
        <v>33</v>
      </c>
      <c r="B15" s="128" t="s">
        <v>34</v>
      </c>
      <c r="C15" s="127" t="s">
        <v>35</v>
      </c>
      <c r="D15" s="129">
        <v>1.5</v>
      </c>
      <c r="E15" s="130"/>
      <c r="F15" s="131">
        <v>96</v>
      </c>
    </row>
    <row r="16" spans="1:6" ht="18" customHeight="1" x14ac:dyDescent="0.25">
      <c r="A16" s="127" t="s">
        <v>33</v>
      </c>
      <c r="B16" s="128" t="s">
        <v>36</v>
      </c>
      <c r="C16" s="127" t="s">
        <v>37</v>
      </c>
      <c r="D16" s="129">
        <v>2.25</v>
      </c>
      <c r="E16" s="130"/>
      <c r="F16" s="131">
        <v>98.25</v>
      </c>
    </row>
    <row r="17" spans="1:6" ht="18" customHeight="1" x14ac:dyDescent="0.25">
      <c r="A17" s="127" t="s">
        <v>33</v>
      </c>
      <c r="B17" s="128" t="s">
        <v>38</v>
      </c>
      <c r="C17" s="127" t="s">
        <v>39</v>
      </c>
      <c r="D17" s="129">
        <v>2.5</v>
      </c>
      <c r="E17" s="130"/>
      <c r="F17" s="131">
        <v>100.75</v>
      </c>
    </row>
    <row r="18" spans="1:6" ht="18" customHeight="1" x14ac:dyDescent="0.25">
      <c r="A18" s="127" t="s">
        <v>40</v>
      </c>
      <c r="B18" s="128" t="s">
        <v>41</v>
      </c>
      <c r="C18" s="127" t="s">
        <v>42</v>
      </c>
      <c r="D18" s="129">
        <v>22.5</v>
      </c>
      <c r="E18" s="130"/>
      <c r="F18" s="131">
        <v>123.25</v>
      </c>
    </row>
    <row r="19" spans="1:6" ht="18" customHeight="1" x14ac:dyDescent="0.25">
      <c r="A19" s="127" t="s">
        <v>40</v>
      </c>
      <c r="B19" s="128" t="s">
        <v>43</v>
      </c>
      <c r="C19" s="127" t="s">
        <v>44</v>
      </c>
      <c r="D19" s="129">
        <v>8</v>
      </c>
      <c r="E19" s="130"/>
      <c r="F19" s="131">
        <v>131.25</v>
      </c>
    </row>
    <row r="20" spans="1:6" ht="18" customHeight="1" x14ac:dyDescent="0.25">
      <c r="A20" s="127" t="s">
        <v>45</v>
      </c>
      <c r="B20" s="128" t="s">
        <v>46</v>
      </c>
      <c r="C20" s="127" t="s">
        <v>47</v>
      </c>
      <c r="D20" s="129">
        <v>7.5</v>
      </c>
      <c r="E20" s="130"/>
      <c r="F20" s="131">
        <v>138.75</v>
      </c>
    </row>
    <row r="21" spans="1:6" ht="18" customHeight="1" x14ac:dyDescent="0.25">
      <c r="A21" s="127" t="s">
        <v>45</v>
      </c>
      <c r="B21" s="128" t="s">
        <v>48</v>
      </c>
      <c r="C21" s="127" t="s">
        <v>49</v>
      </c>
      <c r="D21" s="129">
        <v>5</v>
      </c>
      <c r="E21" s="130"/>
      <c r="F21" s="131">
        <v>143.75</v>
      </c>
    </row>
    <row r="22" spans="1:6" ht="18" customHeight="1" x14ac:dyDescent="0.25">
      <c r="A22" s="127" t="s">
        <v>45</v>
      </c>
      <c r="B22" s="128" t="s">
        <v>50</v>
      </c>
      <c r="C22" s="127" t="s">
        <v>51</v>
      </c>
      <c r="D22" s="129">
        <v>3</v>
      </c>
      <c r="E22" s="130"/>
      <c r="F22" s="131">
        <v>146.75</v>
      </c>
    </row>
    <row r="23" spans="1:6" ht="18" customHeight="1" x14ac:dyDescent="0.25">
      <c r="A23" s="127" t="s">
        <v>45</v>
      </c>
      <c r="B23" s="128" t="s">
        <v>52</v>
      </c>
      <c r="C23" s="127" t="s">
        <v>53</v>
      </c>
      <c r="D23" s="129">
        <v>3</v>
      </c>
      <c r="E23" s="130"/>
      <c r="F23" s="131">
        <v>149.75</v>
      </c>
    </row>
    <row r="24" spans="1:6" ht="18" customHeight="1" x14ac:dyDescent="0.25">
      <c r="A24" s="127" t="s">
        <v>45</v>
      </c>
      <c r="B24" s="128" t="s">
        <v>54</v>
      </c>
      <c r="C24" s="127" t="s">
        <v>55</v>
      </c>
      <c r="D24" s="129">
        <v>5</v>
      </c>
      <c r="E24" s="130"/>
      <c r="F24" s="131">
        <v>154.75</v>
      </c>
    </row>
    <row r="25" spans="1:6" ht="18" customHeight="1" x14ac:dyDescent="0.25">
      <c r="A25" s="127" t="s">
        <v>45</v>
      </c>
      <c r="B25" s="128" t="s">
        <v>56</v>
      </c>
      <c r="C25" s="127" t="s">
        <v>57</v>
      </c>
      <c r="D25" s="129">
        <v>5</v>
      </c>
      <c r="E25" s="130"/>
      <c r="F25" s="131">
        <v>159.75</v>
      </c>
    </row>
    <row r="26" spans="1:6" ht="18" customHeight="1" x14ac:dyDescent="0.25">
      <c r="A26" s="132" t="s">
        <v>45</v>
      </c>
      <c r="B26" s="133" t="s">
        <v>58</v>
      </c>
      <c r="C26" s="132" t="s">
        <v>59</v>
      </c>
      <c r="D26" s="134"/>
      <c r="E26" s="135">
        <v>9</v>
      </c>
      <c r="F26" s="136">
        <v>150.75</v>
      </c>
    </row>
    <row r="27" spans="1:6" ht="18" customHeight="1" x14ac:dyDescent="0.25">
      <c r="A27" s="127" t="s">
        <v>60</v>
      </c>
      <c r="B27" s="128" t="s">
        <v>61</v>
      </c>
      <c r="C27" s="127" t="s">
        <v>42</v>
      </c>
      <c r="D27" s="129">
        <v>22.5</v>
      </c>
      <c r="E27" s="130"/>
      <c r="F27" s="131">
        <v>173.25</v>
      </c>
    </row>
    <row r="28" spans="1:6" ht="18" customHeight="1" x14ac:dyDescent="0.25">
      <c r="A28" s="127" t="s">
        <v>62</v>
      </c>
      <c r="B28" s="128" t="s">
        <v>63</v>
      </c>
      <c r="C28" s="127" t="s">
        <v>64</v>
      </c>
      <c r="D28" s="129">
        <v>22.5</v>
      </c>
      <c r="E28" s="130"/>
      <c r="F28" s="131">
        <v>195.75</v>
      </c>
    </row>
    <row r="29" spans="1:6" ht="18" customHeight="1" x14ac:dyDescent="0.25">
      <c r="A29" s="127" t="s">
        <v>62</v>
      </c>
      <c r="B29" s="128" t="s">
        <v>65</v>
      </c>
      <c r="C29" s="127" t="s">
        <v>66</v>
      </c>
      <c r="D29" s="129">
        <v>25</v>
      </c>
      <c r="E29" s="130"/>
      <c r="F29" s="131">
        <v>220.75</v>
      </c>
    </row>
    <row r="30" spans="1:6" ht="18" customHeight="1" x14ac:dyDescent="0.25">
      <c r="A30" s="127" t="s">
        <v>67</v>
      </c>
      <c r="B30" s="128" t="s">
        <v>68</v>
      </c>
      <c r="C30" s="127" t="s">
        <v>69</v>
      </c>
      <c r="D30" s="129">
        <v>37.5</v>
      </c>
      <c r="E30" s="130"/>
      <c r="F30" s="131">
        <v>258.25</v>
      </c>
    </row>
    <row r="31" spans="1:6" ht="18" customHeight="1" x14ac:dyDescent="0.25">
      <c r="A31" s="127" t="s">
        <v>67</v>
      </c>
      <c r="B31" s="128" t="s">
        <v>70</v>
      </c>
      <c r="C31" s="127" t="s">
        <v>71</v>
      </c>
      <c r="D31" s="129">
        <v>2.5</v>
      </c>
      <c r="E31" s="130"/>
      <c r="F31" s="131">
        <v>260.75</v>
      </c>
    </row>
    <row r="32" spans="1:6" ht="18" customHeight="1" x14ac:dyDescent="0.25">
      <c r="A32" s="127" t="s">
        <v>72</v>
      </c>
      <c r="B32" s="128" t="s">
        <v>73</v>
      </c>
      <c r="C32" s="127" t="s">
        <v>74</v>
      </c>
      <c r="D32" s="129">
        <v>15</v>
      </c>
      <c r="E32" s="130"/>
      <c r="F32" s="131">
        <v>275.75</v>
      </c>
    </row>
    <row r="33" spans="1:6" ht="18" customHeight="1" x14ac:dyDescent="0.25">
      <c r="A33" s="127" t="s">
        <v>72</v>
      </c>
      <c r="B33" s="128" t="s">
        <v>75</v>
      </c>
      <c r="C33" s="127" t="s">
        <v>76</v>
      </c>
      <c r="D33" s="129">
        <v>6</v>
      </c>
      <c r="E33" s="130"/>
      <c r="F33" s="131">
        <v>281.75</v>
      </c>
    </row>
    <row r="34" spans="1:6" ht="18" customHeight="1" x14ac:dyDescent="0.25">
      <c r="A34" s="127" t="s">
        <v>77</v>
      </c>
      <c r="B34" s="128" t="s">
        <v>78</v>
      </c>
      <c r="C34" s="127" t="s">
        <v>79</v>
      </c>
      <c r="D34" s="129">
        <v>7.5</v>
      </c>
      <c r="E34" s="130"/>
      <c r="F34" s="131">
        <v>289.25</v>
      </c>
    </row>
    <row r="35" spans="1:6" ht="18" customHeight="1" x14ac:dyDescent="0.25">
      <c r="A35" s="127" t="s">
        <v>77</v>
      </c>
      <c r="B35" s="128" t="s">
        <v>80</v>
      </c>
      <c r="C35" s="127" t="s">
        <v>81</v>
      </c>
      <c r="D35" s="129">
        <v>2</v>
      </c>
      <c r="E35" s="130"/>
      <c r="F35" s="131">
        <v>291.25</v>
      </c>
    </row>
    <row r="36" spans="1:6" ht="18" customHeight="1" x14ac:dyDescent="0.25">
      <c r="A36" s="127" t="s">
        <v>77</v>
      </c>
      <c r="B36" s="128" t="s">
        <v>82</v>
      </c>
      <c r="C36" s="127" t="s">
        <v>83</v>
      </c>
      <c r="D36" s="129">
        <v>4</v>
      </c>
      <c r="E36" s="130"/>
      <c r="F36" s="131">
        <v>295.25</v>
      </c>
    </row>
    <row r="37" spans="1:6" ht="18" customHeight="1" x14ac:dyDescent="0.25">
      <c r="A37" s="127" t="s">
        <v>84</v>
      </c>
      <c r="B37" s="128" t="s">
        <v>85</v>
      </c>
      <c r="C37" s="127" t="s">
        <v>86</v>
      </c>
      <c r="D37" s="129">
        <v>9</v>
      </c>
      <c r="E37" s="130"/>
      <c r="F37" s="131">
        <v>304.25</v>
      </c>
    </row>
    <row r="38" spans="1:6" ht="18" customHeight="1" x14ac:dyDescent="0.25">
      <c r="A38" s="127" t="s">
        <v>84</v>
      </c>
      <c r="B38" s="128" t="s">
        <v>87</v>
      </c>
      <c r="C38" s="127" t="s">
        <v>86</v>
      </c>
      <c r="D38" s="129">
        <v>9</v>
      </c>
      <c r="E38" s="130"/>
      <c r="F38" s="131">
        <v>313.25</v>
      </c>
    </row>
    <row r="39" spans="1:6" ht="18" customHeight="1" x14ac:dyDescent="0.25">
      <c r="A39" s="127" t="s">
        <v>84</v>
      </c>
      <c r="B39" s="128" t="s">
        <v>88</v>
      </c>
      <c r="C39" s="127" t="s">
        <v>86</v>
      </c>
      <c r="D39" s="129">
        <v>2</v>
      </c>
      <c r="E39" s="130"/>
      <c r="F39" s="131">
        <v>315.25</v>
      </c>
    </row>
    <row r="40" spans="1:6" ht="18" customHeight="1" x14ac:dyDescent="0.25">
      <c r="A40" s="127" t="s">
        <v>89</v>
      </c>
      <c r="B40" s="128" t="s">
        <v>90</v>
      </c>
      <c r="C40" s="127" t="s">
        <v>86</v>
      </c>
      <c r="D40" s="129">
        <v>3.75</v>
      </c>
      <c r="E40" s="130"/>
      <c r="F40" s="131">
        <v>319</v>
      </c>
    </row>
    <row r="41" spans="1:6" ht="18" customHeight="1" x14ac:dyDescent="0.25">
      <c r="A41" s="127" t="s">
        <v>91</v>
      </c>
      <c r="B41" s="128" t="s">
        <v>92</v>
      </c>
      <c r="C41" s="127" t="s">
        <v>86</v>
      </c>
      <c r="D41" s="129">
        <v>5</v>
      </c>
      <c r="E41" s="130"/>
      <c r="F41" s="131">
        <v>324</v>
      </c>
    </row>
    <row r="42" spans="1:6" ht="18" customHeight="1" x14ac:dyDescent="0.25">
      <c r="A42" s="127" t="s">
        <v>25</v>
      </c>
      <c r="B42" s="128" t="s">
        <v>93</v>
      </c>
      <c r="C42" s="127" t="s">
        <v>86</v>
      </c>
      <c r="D42" s="129">
        <v>15</v>
      </c>
      <c r="E42" s="130"/>
      <c r="F42" s="131">
        <v>339</v>
      </c>
    </row>
    <row r="43" spans="1:6" ht="18" customHeight="1" x14ac:dyDescent="0.25">
      <c r="A43" s="127" t="s">
        <v>25</v>
      </c>
      <c r="B43" s="128" t="s">
        <v>94</v>
      </c>
      <c r="C43" s="127" t="s">
        <v>86</v>
      </c>
      <c r="D43" s="129">
        <v>4</v>
      </c>
      <c r="E43" s="130"/>
      <c r="F43" s="131">
        <v>343</v>
      </c>
    </row>
    <row r="44" spans="1:6" ht="18" customHeight="1" x14ac:dyDescent="0.25">
      <c r="A44" s="127" t="s">
        <v>25</v>
      </c>
      <c r="B44" s="128" t="s">
        <v>95</v>
      </c>
      <c r="C44" s="127" t="s">
        <v>86</v>
      </c>
      <c r="D44" s="129">
        <v>3.6</v>
      </c>
      <c r="E44" s="130"/>
      <c r="F44" s="131">
        <v>346.6</v>
      </c>
    </row>
    <row r="45" spans="1:6" ht="18" customHeight="1" x14ac:dyDescent="0.25">
      <c r="A45" s="127" t="s">
        <v>33</v>
      </c>
      <c r="B45" s="128" t="s">
        <v>96</v>
      </c>
      <c r="C45" s="127" t="s">
        <v>86</v>
      </c>
      <c r="D45" s="129">
        <v>3</v>
      </c>
      <c r="E45" s="130"/>
      <c r="F45" s="131">
        <v>349.6</v>
      </c>
    </row>
    <row r="46" spans="1:6" ht="18" customHeight="1" x14ac:dyDescent="0.25">
      <c r="A46" s="132" t="s">
        <v>25</v>
      </c>
      <c r="B46" s="133"/>
      <c r="C46" s="132" t="s">
        <v>97</v>
      </c>
      <c r="D46" s="134"/>
      <c r="E46" s="135">
        <v>2.75</v>
      </c>
      <c r="F46" s="136">
        <v>346.85</v>
      </c>
    </row>
    <row r="47" spans="1:6" ht="18" customHeight="1" x14ac:dyDescent="0.25">
      <c r="A47" s="127" t="s">
        <v>98</v>
      </c>
      <c r="B47" s="128" t="s">
        <v>99</v>
      </c>
      <c r="C47" s="127" t="s">
        <v>100</v>
      </c>
      <c r="D47" s="129">
        <v>18</v>
      </c>
      <c r="E47" s="130"/>
      <c r="F47" s="131">
        <v>364.85</v>
      </c>
    </row>
    <row r="48" spans="1:6" ht="18" customHeight="1" x14ac:dyDescent="0.25">
      <c r="A48" s="127" t="s">
        <v>98</v>
      </c>
      <c r="B48" s="128" t="s">
        <v>101</v>
      </c>
      <c r="C48" s="127" t="s">
        <v>102</v>
      </c>
      <c r="D48" s="129">
        <v>2</v>
      </c>
      <c r="E48" s="130"/>
      <c r="F48" s="131">
        <v>366.85</v>
      </c>
    </row>
    <row r="49" spans="1:6" ht="18" customHeight="1" x14ac:dyDescent="0.25">
      <c r="A49" s="127" t="s">
        <v>98</v>
      </c>
      <c r="B49" s="128" t="s">
        <v>103</v>
      </c>
      <c r="C49" s="127" t="s">
        <v>104</v>
      </c>
      <c r="D49" s="129">
        <v>1.5</v>
      </c>
      <c r="E49" s="130"/>
      <c r="F49" s="131">
        <v>368.35</v>
      </c>
    </row>
    <row r="50" spans="1:6" ht="18" customHeight="1" x14ac:dyDescent="0.25">
      <c r="A50" s="127" t="s">
        <v>98</v>
      </c>
      <c r="B50" s="128" t="s">
        <v>105</v>
      </c>
      <c r="C50" s="127" t="s">
        <v>106</v>
      </c>
      <c r="D50" s="129">
        <v>3</v>
      </c>
      <c r="E50" s="130"/>
      <c r="F50" s="131">
        <v>371.35</v>
      </c>
    </row>
    <row r="51" spans="1:6" ht="18" customHeight="1" x14ac:dyDescent="0.25">
      <c r="A51" s="127" t="s">
        <v>107</v>
      </c>
      <c r="B51" s="128" t="s">
        <v>108</v>
      </c>
      <c r="C51" s="127" t="s">
        <v>109</v>
      </c>
      <c r="D51" s="129">
        <v>1</v>
      </c>
      <c r="E51" s="130"/>
      <c r="F51" s="131">
        <v>372.35</v>
      </c>
    </row>
    <row r="52" spans="1:6" ht="18" customHeight="1" x14ac:dyDescent="0.25">
      <c r="A52" s="132" t="s">
        <v>107</v>
      </c>
      <c r="B52" s="133"/>
      <c r="C52" s="132" t="s">
        <v>110</v>
      </c>
      <c r="D52" s="134"/>
      <c r="E52" s="135">
        <v>10</v>
      </c>
      <c r="F52" s="136">
        <v>362.35</v>
      </c>
    </row>
    <row r="53" spans="1:6" ht="18" customHeight="1" x14ac:dyDescent="0.25">
      <c r="A53" s="132" t="s">
        <v>107</v>
      </c>
      <c r="B53" s="133"/>
      <c r="C53" s="132" t="s">
        <v>14</v>
      </c>
      <c r="D53" s="134"/>
      <c r="E53" s="135">
        <v>3.25</v>
      </c>
      <c r="F53" s="136">
        <v>359.1</v>
      </c>
    </row>
    <row r="54" spans="1:6" ht="18" customHeight="1" x14ac:dyDescent="0.25">
      <c r="A54" s="132" t="s">
        <v>107</v>
      </c>
      <c r="B54" s="133"/>
      <c r="C54" s="132" t="s">
        <v>111</v>
      </c>
      <c r="D54" s="134"/>
      <c r="E54" s="135">
        <v>12</v>
      </c>
      <c r="F54" s="136">
        <v>347.1</v>
      </c>
    </row>
    <row r="55" spans="1:6" ht="18" customHeight="1" x14ac:dyDescent="0.25">
      <c r="A55" s="127" t="s">
        <v>112</v>
      </c>
      <c r="B55" s="128" t="s">
        <v>113</v>
      </c>
      <c r="C55" s="127" t="s">
        <v>114</v>
      </c>
      <c r="D55" s="129">
        <v>3</v>
      </c>
      <c r="E55" s="130"/>
      <c r="F55" s="131">
        <v>350.1</v>
      </c>
    </row>
    <row r="56" spans="1:6" ht="18" customHeight="1" x14ac:dyDescent="0.25">
      <c r="A56" s="127" t="s">
        <v>112</v>
      </c>
      <c r="B56" s="128" t="s">
        <v>115</v>
      </c>
      <c r="C56" s="127" t="s">
        <v>116</v>
      </c>
      <c r="D56" s="129">
        <v>1</v>
      </c>
      <c r="E56" s="130"/>
      <c r="F56" s="131">
        <v>351.1</v>
      </c>
    </row>
    <row r="57" spans="1:6" ht="18" customHeight="1" x14ac:dyDescent="0.25">
      <c r="A57" s="127" t="s">
        <v>112</v>
      </c>
      <c r="B57" s="128" t="s">
        <v>117</v>
      </c>
      <c r="C57" s="127" t="s">
        <v>118</v>
      </c>
      <c r="D57" s="129">
        <v>3</v>
      </c>
      <c r="E57" s="130"/>
      <c r="F57" s="131">
        <v>354.1</v>
      </c>
    </row>
    <row r="58" spans="1:6" ht="18" customHeight="1" x14ac:dyDescent="0.25">
      <c r="A58" s="127" t="s">
        <v>119</v>
      </c>
      <c r="B58" s="128" t="s">
        <v>120</v>
      </c>
      <c r="C58" s="127" t="s">
        <v>121</v>
      </c>
      <c r="D58" s="129">
        <v>15</v>
      </c>
      <c r="E58" s="130"/>
      <c r="F58" s="131">
        <v>369.1</v>
      </c>
    </row>
    <row r="59" spans="1:6" ht="18" customHeight="1" x14ac:dyDescent="0.25">
      <c r="A59" s="132" t="s">
        <v>119</v>
      </c>
      <c r="B59" s="133"/>
      <c r="C59" s="132" t="s">
        <v>122</v>
      </c>
      <c r="D59" s="134"/>
      <c r="E59" s="135">
        <v>2.8</v>
      </c>
      <c r="F59" s="136">
        <v>366.3</v>
      </c>
    </row>
    <row r="60" spans="1:6" ht="18" customHeight="1" x14ac:dyDescent="0.25">
      <c r="A60" s="132" t="s">
        <v>119</v>
      </c>
      <c r="B60" s="133"/>
      <c r="C60" s="132" t="s">
        <v>123</v>
      </c>
      <c r="D60" s="134"/>
      <c r="E60" s="135">
        <v>46.75</v>
      </c>
      <c r="F60" s="136">
        <v>319.55</v>
      </c>
    </row>
    <row r="61" spans="1:6" ht="18" customHeight="1" x14ac:dyDescent="0.25">
      <c r="A61" s="127" t="s">
        <v>124</v>
      </c>
      <c r="B61" s="128" t="s">
        <v>125</v>
      </c>
      <c r="C61" s="127" t="s">
        <v>42</v>
      </c>
      <c r="D61" s="129">
        <v>22.5</v>
      </c>
      <c r="E61" s="130"/>
      <c r="F61" s="131">
        <v>342.05</v>
      </c>
    </row>
    <row r="62" spans="1:6" ht="18" customHeight="1" x14ac:dyDescent="0.25">
      <c r="A62" s="132" t="s">
        <v>126</v>
      </c>
      <c r="B62" s="133"/>
      <c r="C62" s="132" t="s">
        <v>127</v>
      </c>
      <c r="D62" s="134"/>
      <c r="E62" s="135">
        <v>3.5</v>
      </c>
      <c r="F62" s="136">
        <v>338.55</v>
      </c>
    </row>
    <row r="63" spans="1:6" ht="18" customHeight="1" x14ac:dyDescent="0.25">
      <c r="A63" s="132" t="s">
        <v>128</v>
      </c>
      <c r="B63" s="133"/>
      <c r="C63" s="132" t="s">
        <v>129</v>
      </c>
      <c r="D63" s="134"/>
      <c r="E63" s="135">
        <v>2</v>
      </c>
      <c r="F63" s="136">
        <v>336.55</v>
      </c>
    </row>
    <row r="64" spans="1:6" ht="18" customHeight="1" x14ac:dyDescent="0.25">
      <c r="A64" s="127" t="s">
        <v>130</v>
      </c>
      <c r="B64" s="128" t="s">
        <v>131</v>
      </c>
      <c r="C64" s="127" t="s">
        <v>132</v>
      </c>
      <c r="D64" s="129">
        <v>10</v>
      </c>
      <c r="E64" s="130"/>
      <c r="F64" s="131">
        <v>346.55</v>
      </c>
    </row>
    <row r="65" spans="1:6" ht="18" customHeight="1" x14ac:dyDescent="0.25">
      <c r="A65" s="127" t="s">
        <v>130</v>
      </c>
      <c r="B65" s="128" t="s">
        <v>133</v>
      </c>
      <c r="C65" s="127" t="s">
        <v>134</v>
      </c>
      <c r="D65" s="129">
        <v>5</v>
      </c>
      <c r="E65" s="130"/>
      <c r="F65" s="131">
        <v>351.55</v>
      </c>
    </row>
    <row r="66" spans="1:6" ht="18" customHeight="1" x14ac:dyDescent="0.25">
      <c r="A66" s="127" t="s">
        <v>135</v>
      </c>
      <c r="B66" s="128" t="s">
        <v>136</v>
      </c>
      <c r="C66" s="127" t="s">
        <v>137</v>
      </c>
      <c r="D66" s="129">
        <v>15</v>
      </c>
      <c r="E66" s="130"/>
      <c r="F66" s="131">
        <v>366.55</v>
      </c>
    </row>
    <row r="67" spans="1:6" ht="18" customHeight="1" x14ac:dyDescent="0.25">
      <c r="A67" s="127" t="s">
        <v>135</v>
      </c>
      <c r="B67" s="128" t="s">
        <v>138</v>
      </c>
      <c r="C67" s="127" t="s">
        <v>139</v>
      </c>
      <c r="D67" s="129">
        <v>7</v>
      </c>
      <c r="E67" s="130"/>
      <c r="F67" s="131">
        <v>373.55</v>
      </c>
    </row>
    <row r="68" spans="1:6" ht="18" customHeight="1" x14ac:dyDescent="0.25">
      <c r="A68" s="127" t="s">
        <v>135</v>
      </c>
      <c r="B68" s="128" t="s">
        <v>140</v>
      </c>
      <c r="C68" s="127" t="s">
        <v>141</v>
      </c>
      <c r="D68" s="129">
        <v>10</v>
      </c>
      <c r="E68" s="130"/>
      <c r="F68" s="131">
        <v>383.55</v>
      </c>
    </row>
    <row r="69" spans="1:6" ht="18" customHeight="1" x14ac:dyDescent="0.25">
      <c r="A69" s="127" t="s">
        <v>135</v>
      </c>
      <c r="B69" s="128" t="s">
        <v>142</v>
      </c>
      <c r="C69" s="127" t="s">
        <v>100</v>
      </c>
      <c r="D69" s="129">
        <v>18</v>
      </c>
      <c r="E69" s="130"/>
      <c r="F69" s="131">
        <v>401.55</v>
      </c>
    </row>
    <row r="70" spans="1:6" ht="18" customHeight="1" x14ac:dyDescent="0.25">
      <c r="A70" s="132" t="s">
        <v>143</v>
      </c>
      <c r="B70" s="133"/>
      <c r="C70" s="132" t="s">
        <v>144</v>
      </c>
      <c r="D70" s="134"/>
      <c r="E70" s="135">
        <v>25</v>
      </c>
      <c r="F70" s="136">
        <v>376.55</v>
      </c>
    </row>
    <row r="71" spans="1:6" ht="18" customHeight="1" x14ac:dyDescent="0.25">
      <c r="A71" s="127" t="s">
        <v>145</v>
      </c>
      <c r="B71" s="128" t="s">
        <v>146</v>
      </c>
      <c r="C71" s="127" t="s">
        <v>147</v>
      </c>
      <c r="D71" s="129">
        <v>0.75</v>
      </c>
      <c r="E71" s="130"/>
      <c r="F71" s="131">
        <v>377.3</v>
      </c>
    </row>
    <row r="72" spans="1:6" ht="18" customHeight="1" x14ac:dyDescent="0.25">
      <c r="A72" s="127" t="s">
        <v>145</v>
      </c>
      <c r="B72" s="128" t="s">
        <v>148</v>
      </c>
      <c r="C72" s="127" t="s">
        <v>149</v>
      </c>
      <c r="D72" s="129">
        <v>1.5</v>
      </c>
      <c r="E72" s="130"/>
      <c r="F72" s="131">
        <v>378.8</v>
      </c>
    </row>
    <row r="73" spans="1:6" ht="18" customHeight="1" x14ac:dyDescent="0.25">
      <c r="A73" s="127" t="s">
        <v>150</v>
      </c>
      <c r="B73" s="128" t="s">
        <v>151</v>
      </c>
      <c r="C73" s="127" t="s">
        <v>152</v>
      </c>
      <c r="D73" s="129">
        <v>0.75</v>
      </c>
      <c r="E73" s="130"/>
      <c r="F73" s="131">
        <v>379.55</v>
      </c>
    </row>
    <row r="74" spans="1:6" ht="18" customHeight="1" x14ac:dyDescent="0.25">
      <c r="A74" s="127" t="s">
        <v>150</v>
      </c>
      <c r="B74" s="128" t="s">
        <v>153</v>
      </c>
      <c r="C74" s="127" t="s">
        <v>154</v>
      </c>
      <c r="D74" s="129">
        <v>3</v>
      </c>
      <c r="E74" s="130"/>
      <c r="F74" s="131">
        <v>382.55</v>
      </c>
    </row>
    <row r="75" spans="1:6" ht="18" customHeight="1" x14ac:dyDescent="0.25">
      <c r="A75" s="127" t="s">
        <v>155</v>
      </c>
      <c r="B75" s="128" t="s">
        <v>156</v>
      </c>
      <c r="C75" s="127" t="s">
        <v>157</v>
      </c>
      <c r="D75" s="129">
        <v>22</v>
      </c>
      <c r="E75" s="130"/>
      <c r="F75" s="131">
        <v>404.55</v>
      </c>
    </row>
    <row r="76" spans="1:6" ht="18" customHeight="1" x14ac:dyDescent="0.25">
      <c r="A76" s="127" t="s">
        <v>155</v>
      </c>
      <c r="B76" s="128" t="s">
        <v>158</v>
      </c>
      <c r="C76" s="127" t="s">
        <v>159</v>
      </c>
      <c r="D76" s="129">
        <v>9</v>
      </c>
      <c r="E76" s="130"/>
      <c r="F76" s="131">
        <v>413.55</v>
      </c>
    </row>
    <row r="77" spans="1:6" ht="18" customHeight="1" x14ac:dyDescent="0.25">
      <c r="A77" s="132" t="s">
        <v>160</v>
      </c>
      <c r="B77" s="133"/>
      <c r="C77" s="132" t="s">
        <v>161</v>
      </c>
      <c r="D77" s="134"/>
      <c r="E77" s="135">
        <v>12</v>
      </c>
      <c r="F77" s="136">
        <v>401.55</v>
      </c>
    </row>
    <row r="78" spans="1:6" ht="18" customHeight="1" x14ac:dyDescent="0.25">
      <c r="A78" s="127" t="s">
        <v>162</v>
      </c>
      <c r="B78" s="128" t="s">
        <v>163</v>
      </c>
      <c r="C78" s="127" t="s">
        <v>164</v>
      </c>
      <c r="D78" s="129">
        <v>8.25</v>
      </c>
      <c r="E78" s="130"/>
      <c r="F78" s="131">
        <v>409.8</v>
      </c>
    </row>
    <row r="79" spans="1:6" ht="18" customHeight="1" x14ac:dyDescent="0.25">
      <c r="A79" s="127" t="s">
        <v>165</v>
      </c>
      <c r="B79" s="128" t="s">
        <v>166</v>
      </c>
      <c r="C79" s="127" t="s">
        <v>167</v>
      </c>
      <c r="D79" s="129">
        <v>2.25</v>
      </c>
      <c r="E79" s="130"/>
      <c r="F79" s="131">
        <v>412.05</v>
      </c>
    </row>
    <row r="80" spans="1:6" ht="18" customHeight="1" x14ac:dyDescent="0.25">
      <c r="A80" s="127" t="s">
        <v>165</v>
      </c>
      <c r="B80" s="128" t="s">
        <v>168</v>
      </c>
      <c r="C80" s="127" t="s">
        <v>169</v>
      </c>
      <c r="D80" s="129">
        <v>3</v>
      </c>
      <c r="E80" s="130"/>
      <c r="F80" s="131">
        <v>415.05</v>
      </c>
    </row>
    <row r="81" spans="1:6" ht="18" customHeight="1" x14ac:dyDescent="0.25">
      <c r="A81" s="127" t="s">
        <v>170</v>
      </c>
      <c r="B81" s="128" t="s">
        <v>171</v>
      </c>
      <c r="C81" s="127" t="s">
        <v>172</v>
      </c>
      <c r="D81" s="129">
        <v>4</v>
      </c>
      <c r="E81" s="130"/>
      <c r="F81" s="131">
        <v>419.05</v>
      </c>
    </row>
    <row r="82" spans="1:6" ht="18" customHeight="1" x14ac:dyDescent="0.25">
      <c r="A82" s="127" t="s">
        <v>170</v>
      </c>
      <c r="B82" s="128" t="s">
        <v>173</v>
      </c>
      <c r="C82" s="127" t="s">
        <v>174</v>
      </c>
      <c r="D82" s="129">
        <v>4</v>
      </c>
      <c r="E82" s="130"/>
      <c r="F82" s="131">
        <v>423.05</v>
      </c>
    </row>
    <row r="83" spans="1:6" ht="18" customHeight="1" x14ac:dyDescent="0.25">
      <c r="A83" s="127" t="s">
        <v>170</v>
      </c>
      <c r="B83" s="128" t="s">
        <v>175</v>
      </c>
      <c r="C83" s="127" t="s">
        <v>176</v>
      </c>
      <c r="D83" s="129">
        <v>2</v>
      </c>
      <c r="E83" s="130"/>
      <c r="F83" s="131">
        <v>425.05</v>
      </c>
    </row>
    <row r="84" spans="1:6" ht="18" customHeight="1" x14ac:dyDescent="0.25">
      <c r="A84" s="132" t="s">
        <v>170</v>
      </c>
      <c r="B84" s="133"/>
      <c r="C84" s="132" t="s">
        <v>177</v>
      </c>
      <c r="D84" s="134"/>
      <c r="E84" s="135">
        <v>420</v>
      </c>
      <c r="F84" s="136">
        <v>5.05</v>
      </c>
    </row>
    <row r="85" spans="1:6" ht="18" customHeight="1" x14ac:dyDescent="0.25">
      <c r="A85" s="127" t="s">
        <v>170</v>
      </c>
      <c r="B85" s="128"/>
      <c r="C85" s="127" t="s">
        <v>178</v>
      </c>
      <c r="D85" s="129">
        <v>50</v>
      </c>
      <c r="E85" s="130"/>
      <c r="F85" s="131">
        <v>55.05</v>
      </c>
    </row>
    <row r="86" spans="1:6" ht="18" customHeight="1" x14ac:dyDescent="0.25">
      <c r="A86" s="127" t="s">
        <v>170</v>
      </c>
      <c r="B86" s="128"/>
      <c r="C86" s="127" t="s">
        <v>179</v>
      </c>
      <c r="D86" s="129">
        <v>50</v>
      </c>
      <c r="E86" s="130"/>
      <c r="F86" s="131">
        <v>105.05</v>
      </c>
    </row>
    <row r="87" spans="1:6" ht="18" customHeight="1" x14ac:dyDescent="0.25">
      <c r="A87" s="132" t="s">
        <v>170</v>
      </c>
      <c r="B87" s="133"/>
      <c r="C87" s="132" t="s">
        <v>180</v>
      </c>
      <c r="D87" s="134"/>
      <c r="E87" s="135">
        <v>80</v>
      </c>
      <c r="F87" s="136">
        <v>25.05</v>
      </c>
    </row>
    <row r="88" spans="1:6" ht="24" customHeight="1" x14ac:dyDescent="0.25">
      <c r="A88" s="137"/>
      <c r="B88" s="137"/>
      <c r="C88" s="138" t="s">
        <v>181</v>
      </c>
      <c r="D88" s="139">
        <v>657.1</v>
      </c>
      <c r="E88" s="140">
        <v>632.04999999999995</v>
      </c>
      <c r="F88" s="141">
        <v>25.05</v>
      </c>
    </row>
    <row r="90" spans="1:6" ht="27.95" customHeight="1" x14ac:dyDescent="0.25">
      <c r="A90" s="153" t="s">
        <v>182</v>
      </c>
      <c r="B90" s="154"/>
      <c r="C90" s="154"/>
      <c r="D90" s="154"/>
      <c r="E90" s="154"/>
      <c r="F90" s="155"/>
    </row>
    <row r="91" spans="1:6" ht="21.95" customHeight="1" x14ac:dyDescent="0.25">
      <c r="A91" s="142" t="s">
        <v>3</v>
      </c>
      <c r="B91" s="142" t="s">
        <v>4</v>
      </c>
      <c r="C91" s="142" t="s">
        <v>5</v>
      </c>
      <c r="D91" s="142" t="s">
        <v>183</v>
      </c>
      <c r="E91" s="142" t="s">
        <v>184</v>
      </c>
      <c r="F91" s="142"/>
    </row>
    <row r="92" spans="1:6" ht="18" customHeight="1" x14ac:dyDescent="0.25">
      <c r="A92" s="143" t="s">
        <v>185</v>
      </c>
      <c r="B92" s="144"/>
      <c r="C92" s="143" t="s">
        <v>186</v>
      </c>
      <c r="D92" s="145">
        <v>45</v>
      </c>
      <c r="E92" s="146" t="s">
        <v>187</v>
      </c>
      <c r="F92" s="143"/>
    </row>
    <row r="93" spans="1:6" ht="18" customHeight="1" x14ac:dyDescent="0.25">
      <c r="A93" s="143" t="s">
        <v>12</v>
      </c>
      <c r="B93" s="144" t="s">
        <v>188</v>
      </c>
      <c r="C93" s="143" t="s">
        <v>189</v>
      </c>
      <c r="D93" s="145">
        <v>55</v>
      </c>
      <c r="E93" s="146" t="s">
        <v>187</v>
      </c>
      <c r="F93" s="143"/>
    </row>
    <row r="94" spans="1:6" ht="18" customHeight="1" x14ac:dyDescent="0.25">
      <c r="A94" s="143" t="s">
        <v>12</v>
      </c>
      <c r="B94" s="144"/>
      <c r="C94" s="143" t="s">
        <v>190</v>
      </c>
      <c r="D94" s="145">
        <v>20</v>
      </c>
      <c r="E94" s="146" t="s">
        <v>187</v>
      </c>
      <c r="F94" s="143"/>
    </row>
    <row r="95" spans="1:6" ht="18" customHeight="1" x14ac:dyDescent="0.25">
      <c r="A95" s="143" t="s">
        <v>12</v>
      </c>
      <c r="B95" s="144" t="s">
        <v>191</v>
      </c>
      <c r="C95" s="143" t="s">
        <v>192</v>
      </c>
      <c r="D95" s="145">
        <v>190</v>
      </c>
      <c r="E95" s="146" t="s">
        <v>193</v>
      </c>
      <c r="F95" s="143"/>
    </row>
    <row r="96" spans="1:6" ht="18" customHeight="1" x14ac:dyDescent="0.25">
      <c r="A96" s="143" t="s">
        <v>17</v>
      </c>
      <c r="B96" s="144" t="s">
        <v>194</v>
      </c>
      <c r="C96" s="143" t="s">
        <v>195</v>
      </c>
      <c r="D96" s="145">
        <v>9</v>
      </c>
      <c r="E96" s="146" t="s">
        <v>187</v>
      </c>
      <c r="F96" s="143"/>
    </row>
    <row r="97" spans="1:6" ht="18" customHeight="1" x14ac:dyDescent="0.25">
      <c r="A97" s="143" t="s">
        <v>77</v>
      </c>
      <c r="B97" s="144"/>
      <c r="C97" s="143" t="s">
        <v>196</v>
      </c>
      <c r="D97" s="145">
        <v>26</v>
      </c>
      <c r="E97" s="146" t="s">
        <v>187</v>
      </c>
      <c r="F97" s="143"/>
    </row>
    <row r="98" spans="1:6" ht="18" customHeight="1" x14ac:dyDescent="0.25">
      <c r="A98" s="143" t="s">
        <v>77</v>
      </c>
      <c r="B98" s="144"/>
      <c r="C98" s="143" t="s">
        <v>197</v>
      </c>
      <c r="D98" s="145">
        <v>250</v>
      </c>
      <c r="E98" s="146" t="s">
        <v>193</v>
      </c>
      <c r="F98" s="143"/>
    </row>
    <row r="99" spans="1:6" ht="18" customHeight="1" x14ac:dyDescent="0.25">
      <c r="A99" s="143" t="s">
        <v>77</v>
      </c>
      <c r="B99" s="144"/>
      <c r="C99" s="143" t="s">
        <v>197</v>
      </c>
      <c r="D99" s="145">
        <v>250</v>
      </c>
      <c r="E99" s="146" t="s">
        <v>187</v>
      </c>
      <c r="F99" s="143"/>
    </row>
    <row r="100" spans="1:6" ht="18" customHeight="1" x14ac:dyDescent="0.25">
      <c r="A100" s="143" t="s">
        <v>198</v>
      </c>
      <c r="B100" s="144"/>
      <c r="C100" s="143" t="s">
        <v>199</v>
      </c>
      <c r="D100" s="145">
        <v>107.5</v>
      </c>
      <c r="E100" s="146" t="s">
        <v>187</v>
      </c>
      <c r="F100" s="143"/>
    </row>
    <row r="101" spans="1:6" ht="24" customHeight="1" x14ac:dyDescent="0.25">
      <c r="A101" s="147"/>
      <c r="B101" s="147"/>
      <c r="C101" s="148" t="s">
        <v>200</v>
      </c>
      <c r="D101" s="149">
        <v>952.5</v>
      </c>
      <c r="E101" s="147"/>
      <c r="F101" s="147"/>
    </row>
    <row r="102" spans="1:6" ht="21.95" customHeight="1" x14ac:dyDescent="0.25">
      <c r="A102" s="150"/>
      <c r="B102" s="150"/>
      <c r="C102" s="151" t="s">
        <v>201</v>
      </c>
      <c r="D102" s="152">
        <v>512.5</v>
      </c>
      <c r="E102" s="150"/>
      <c r="F102" s="150"/>
    </row>
    <row r="103" spans="1:6" ht="21.95" customHeight="1" x14ac:dyDescent="0.25">
      <c r="A103" s="150"/>
      <c r="B103" s="150"/>
      <c r="C103" s="151" t="s">
        <v>202</v>
      </c>
      <c r="D103" s="152">
        <v>440</v>
      </c>
      <c r="E103" s="150"/>
      <c r="F103" s="150"/>
    </row>
  </sheetData>
  <mergeCells count="5">
    <mergeCell ref="A90:F90"/>
    <mergeCell ref="A2:E2"/>
    <mergeCell ref="A1:F1"/>
    <mergeCell ref="A4:F4"/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206"/>
  <sheetViews>
    <sheetView rightToLeft="1" tabSelected="1" zoomScaleNormal="100" workbookViewId="0">
      <pane ySplit="3" topLeftCell="A93" activePane="bottomLeft" state="frozen"/>
      <selection pane="bottomLeft" activeCell="G105" sqref="G105"/>
    </sheetView>
  </sheetViews>
  <sheetFormatPr defaultColWidth="8.7109375" defaultRowHeight="15" x14ac:dyDescent="0.25"/>
  <cols>
    <col min="1" max="1" width="13" style="45" customWidth="1"/>
    <col min="2" max="2" width="14" style="45" customWidth="1"/>
    <col min="3" max="3" width="27.85546875" style="45" customWidth="1"/>
    <col min="4" max="6" width="16" style="45" customWidth="1"/>
    <col min="7" max="8" width="14" style="45" customWidth="1"/>
    <col min="9" max="10" width="22" style="45" customWidth="1"/>
    <col min="11" max="11" width="20" style="45" customWidth="1"/>
    <col min="12" max="14" width="4" style="45" hidden="1" customWidth="1"/>
  </cols>
  <sheetData>
    <row r="1" spans="1:15" ht="31.5" customHeight="1" x14ac:dyDescent="0.25">
      <c r="A1" s="166" t="s">
        <v>203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5" ht="24" customHeight="1" x14ac:dyDescent="0.25">
      <c r="A2" s="163" t="s">
        <v>204</v>
      </c>
      <c r="B2" s="161"/>
      <c r="C2" s="161"/>
      <c r="D2" s="1">
        <v>0</v>
      </c>
      <c r="E2" s="164" t="s">
        <v>205</v>
      </c>
      <c r="F2" s="165"/>
      <c r="G2" s="165"/>
      <c r="H2" s="165"/>
      <c r="I2" s="165"/>
      <c r="J2" s="165"/>
      <c r="K2" s="165"/>
    </row>
    <row r="3" spans="1:15" ht="36" customHeight="1" x14ac:dyDescent="0.25">
      <c r="A3" s="22" t="s">
        <v>206</v>
      </c>
      <c r="B3" s="22" t="s">
        <v>207</v>
      </c>
      <c r="C3" s="22" t="s">
        <v>208</v>
      </c>
      <c r="D3" s="22" t="s">
        <v>209</v>
      </c>
      <c r="E3" s="22" t="s">
        <v>210</v>
      </c>
      <c r="F3" s="22" t="s">
        <v>211</v>
      </c>
      <c r="G3" s="22" t="s">
        <v>212</v>
      </c>
      <c r="H3" s="22" t="s">
        <v>213</v>
      </c>
      <c r="I3" s="22" t="s">
        <v>214</v>
      </c>
      <c r="J3" s="22" t="s">
        <v>215</v>
      </c>
      <c r="K3" s="22" t="s">
        <v>216</v>
      </c>
      <c r="L3" s="23" t="s">
        <v>217</v>
      </c>
      <c r="M3" s="23" t="s">
        <v>218</v>
      </c>
      <c r="N3" s="24" t="s">
        <v>219</v>
      </c>
      <c r="O3" s="24" t="s">
        <v>220</v>
      </c>
    </row>
    <row r="4" spans="1:15" ht="18.75" customHeight="1" x14ac:dyDescent="0.25">
      <c r="A4" s="25">
        <v>46117</v>
      </c>
      <c r="B4" s="26" t="s">
        <v>221</v>
      </c>
      <c r="C4" s="27" t="s">
        <v>222</v>
      </c>
      <c r="D4" s="28"/>
      <c r="E4" s="29"/>
      <c r="F4" s="30" t="s">
        <v>223</v>
      </c>
      <c r="G4" s="31" t="s">
        <v>224</v>
      </c>
      <c r="H4" s="32" t="s">
        <v>225</v>
      </c>
      <c r="I4" s="33" t="s">
        <v>226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</row>
    <row r="5" spans="1:15" ht="18.75" customHeight="1" x14ac:dyDescent="0.25">
      <c r="A5" s="111">
        <v>46121</v>
      </c>
      <c r="B5" s="36" t="s">
        <v>10</v>
      </c>
      <c r="C5" s="37" t="s">
        <v>11</v>
      </c>
      <c r="D5" s="38"/>
      <c r="E5" s="39">
        <v>5</v>
      </c>
      <c r="F5" s="112" t="s">
        <v>223</v>
      </c>
      <c r="G5" s="40"/>
      <c r="H5" s="41" t="s">
        <v>225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</row>
    <row r="6" spans="1:15" ht="18.75" customHeight="1" x14ac:dyDescent="0.25">
      <c r="A6" s="25">
        <v>46124</v>
      </c>
      <c r="B6" s="26" t="s">
        <v>191</v>
      </c>
      <c r="C6" s="27" t="s">
        <v>227</v>
      </c>
      <c r="D6" s="28"/>
      <c r="E6" s="29"/>
      <c r="F6" s="30" t="s">
        <v>223</v>
      </c>
      <c r="G6" s="31" t="s">
        <v>224</v>
      </c>
      <c r="H6" s="32" t="s">
        <v>225</v>
      </c>
      <c r="I6" s="33" t="s">
        <v>228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</row>
    <row r="7" spans="1:15" ht="18.75" customHeight="1" x14ac:dyDescent="0.25">
      <c r="A7" s="111">
        <v>46131</v>
      </c>
      <c r="B7" s="36"/>
      <c r="C7" s="37" t="s">
        <v>186</v>
      </c>
      <c r="D7" s="38">
        <v>45</v>
      </c>
      <c r="E7" s="39"/>
      <c r="F7" s="112" t="s">
        <v>229</v>
      </c>
      <c r="G7" s="40" t="s">
        <v>187</v>
      </c>
      <c r="H7" s="41" t="s">
        <v>230</v>
      </c>
      <c r="I7" s="42" t="s">
        <v>231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</row>
    <row r="8" spans="1:15" ht="18.75" customHeight="1" x14ac:dyDescent="0.25">
      <c r="A8" s="25">
        <v>46134</v>
      </c>
      <c r="B8" s="26" t="s">
        <v>188</v>
      </c>
      <c r="C8" s="27" t="s">
        <v>189</v>
      </c>
      <c r="D8" s="28">
        <v>55</v>
      </c>
      <c r="E8" s="29"/>
      <c r="F8" s="30" t="s">
        <v>229</v>
      </c>
      <c r="G8" s="31" t="s">
        <v>187</v>
      </c>
      <c r="H8" s="32" t="s">
        <v>230</v>
      </c>
      <c r="I8" s="33" t="s">
        <v>232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</row>
    <row r="9" spans="1:15" ht="18.75" customHeight="1" x14ac:dyDescent="0.25">
      <c r="A9" s="111">
        <v>46134</v>
      </c>
      <c r="B9" s="36"/>
      <c r="C9" s="37" t="s">
        <v>190</v>
      </c>
      <c r="D9" s="38">
        <v>20</v>
      </c>
      <c r="E9" s="39"/>
      <c r="F9" s="112" t="s">
        <v>229</v>
      </c>
      <c r="G9" s="40" t="s">
        <v>187</v>
      </c>
      <c r="H9" s="41" t="s">
        <v>230</v>
      </c>
      <c r="I9" s="42" t="s">
        <v>232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</row>
    <row r="10" spans="1:15" ht="18.75" customHeight="1" x14ac:dyDescent="0.25">
      <c r="A10" s="25">
        <v>46134</v>
      </c>
      <c r="B10" s="26" t="s">
        <v>13</v>
      </c>
      <c r="C10" s="27" t="s">
        <v>14</v>
      </c>
      <c r="D10" s="28">
        <v>3</v>
      </c>
      <c r="E10" s="29"/>
      <c r="F10" s="30" t="s">
        <v>223</v>
      </c>
      <c r="G10" s="31" t="s">
        <v>224</v>
      </c>
      <c r="H10" s="32" t="s">
        <v>225</v>
      </c>
      <c r="I10" s="33" t="s">
        <v>228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233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</row>
    <row r="11" spans="1:15" ht="18.75" customHeight="1" x14ac:dyDescent="0.25">
      <c r="A11" s="111">
        <v>46134</v>
      </c>
      <c r="B11" s="36" t="s">
        <v>191</v>
      </c>
      <c r="C11" s="37" t="s">
        <v>192</v>
      </c>
      <c r="D11" s="38">
        <v>190</v>
      </c>
      <c r="E11" s="39"/>
      <c r="F11" s="112" t="s">
        <v>229</v>
      </c>
      <c r="G11" s="40" t="s">
        <v>193</v>
      </c>
      <c r="H11" s="41" t="s">
        <v>230</v>
      </c>
      <c r="I11" s="42" t="s">
        <v>234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</row>
    <row r="12" spans="1:15" ht="18.75" customHeight="1" x14ac:dyDescent="0.25">
      <c r="A12" s="25">
        <v>46142</v>
      </c>
      <c r="B12" s="26"/>
      <c r="C12" s="27" t="s">
        <v>16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</row>
    <row r="13" spans="1:15" ht="18.75" customHeight="1" x14ac:dyDescent="0.25">
      <c r="A13" s="25">
        <v>46142</v>
      </c>
      <c r="B13" s="36">
        <v>40505</v>
      </c>
      <c r="C13" s="37" t="s">
        <v>235</v>
      </c>
      <c r="D13" s="38"/>
      <c r="E13" s="39"/>
      <c r="F13" s="112" t="s">
        <v>223</v>
      </c>
      <c r="G13" s="40" t="s">
        <v>224</v>
      </c>
      <c r="H13" s="41" t="s">
        <v>225</v>
      </c>
      <c r="I13" s="42" t="s">
        <v>234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</row>
    <row r="14" spans="1:15" ht="18.75" customHeight="1" x14ac:dyDescent="0.25">
      <c r="A14" s="25">
        <v>46142</v>
      </c>
      <c r="B14" s="26">
        <v>5370</v>
      </c>
      <c r="C14" s="27" t="s">
        <v>236</v>
      </c>
      <c r="D14" s="28"/>
      <c r="E14" s="29"/>
      <c r="F14" s="30" t="s">
        <v>223</v>
      </c>
      <c r="G14" s="31" t="s">
        <v>224</v>
      </c>
      <c r="H14" s="32" t="s">
        <v>225</v>
      </c>
      <c r="I14" s="33" t="s">
        <v>226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</row>
    <row r="15" spans="1:15" ht="18.75" customHeight="1" x14ac:dyDescent="0.25">
      <c r="A15" s="46">
        <v>46142</v>
      </c>
      <c r="B15" s="26"/>
      <c r="C15" s="27" t="s">
        <v>237</v>
      </c>
      <c r="D15" s="28"/>
      <c r="E15" s="29"/>
      <c r="F15" s="30" t="s">
        <v>223</v>
      </c>
      <c r="G15" s="31" t="s">
        <v>224</v>
      </c>
      <c r="H15" s="32" t="s">
        <v>225</v>
      </c>
      <c r="I15" s="33" t="s">
        <v>238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</row>
    <row r="16" spans="1:15" ht="18.75" customHeight="1" x14ac:dyDescent="0.25">
      <c r="A16" s="111">
        <v>46151</v>
      </c>
      <c r="B16" s="36" t="s">
        <v>18</v>
      </c>
      <c r="C16" s="37" t="s">
        <v>19</v>
      </c>
      <c r="D16" s="38"/>
      <c r="E16" s="39">
        <v>15.75</v>
      </c>
      <c r="F16" s="112" t="s">
        <v>223</v>
      </c>
      <c r="G16" s="40"/>
      <c r="H16" s="41" t="s">
        <v>225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</row>
    <row r="17" spans="1:15" ht="18.75" customHeight="1" x14ac:dyDescent="0.25">
      <c r="A17" s="111">
        <v>46151</v>
      </c>
      <c r="B17" s="36" t="s">
        <v>20</v>
      </c>
      <c r="C17" s="27" t="s">
        <v>21</v>
      </c>
      <c r="D17" s="28"/>
      <c r="E17" s="29">
        <v>12.5</v>
      </c>
      <c r="F17" s="30" t="s">
        <v>223</v>
      </c>
      <c r="G17" s="31" t="s">
        <v>224</v>
      </c>
      <c r="H17" s="32" t="s">
        <v>225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</row>
    <row r="18" spans="1:15" ht="18.75" customHeight="1" x14ac:dyDescent="0.25">
      <c r="A18" s="111">
        <v>46151</v>
      </c>
      <c r="B18" s="36">
        <v>18213</v>
      </c>
      <c r="C18" s="37" t="s">
        <v>195</v>
      </c>
      <c r="D18" s="38">
        <v>9</v>
      </c>
      <c r="E18" s="39"/>
      <c r="F18" s="112" t="s">
        <v>229</v>
      </c>
      <c r="G18" s="40" t="s">
        <v>187</v>
      </c>
      <c r="H18" s="41" t="s">
        <v>230</v>
      </c>
      <c r="I18" s="42" t="s">
        <v>228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</row>
    <row r="19" spans="1:15" ht="18.75" customHeight="1" x14ac:dyDescent="0.25">
      <c r="A19" s="25">
        <v>46152</v>
      </c>
      <c r="B19" s="26" t="s">
        <v>23</v>
      </c>
      <c r="C19" s="27" t="s">
        <v>24</v>
      </c>
      <c r="D19" s="28"/>
      <c r="E19" s="29">
        <v>2.25</v>
      </c>
      <c r="F19" s="30" t="s">
        <v>223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</row>
    <row r="20" spans="1:15" ht="18.75" customHeight="1" x14ac:dyDescent="0.25">
      <c r="A20" s="111">
        <v>46155</v>
      </c>
      <c r="B20" s="36" t="s">
        <v>26</v>
      </c>
      <c r="C20" s="37" t="s">
        <v>27</v>
      </c>
      <c r="D20" s="38"/>
      <c r="E20" s="39">
        <v>7.5</v>
      </c>
      <c r="F20" s="112" t="s">
        <v>223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</row>
    <row r="21" spans="1:15" ht="18.75" customHeight="1" x14ac:dyDescent="0.25">
      <c r="A21" s="111">
        <v>46156</v>
      </c>
      <c r="B21" s="26" t="s">
        <v>29</v>
      </c>
      <c r="C21" s="27" t="s">
        <v>30</v>
      </c>
      <c r="D21" s="28"/>
      <c r="E21" s="29">
        <v>6</v>
      </c>
      <c r="F21" s="30" t="s">
        <v>223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</row>
    <row r="22" spans="1:15" ht="18.75" customHeight="1" x14ac:dyDescent="0.25">
      <c r="A22" s="111">
        <v>46156</v>
      </c>
      <c r="B22" s="36" t="s">
        <v>31</v>
      </c>
      <c r="C22" s="37" t="s">
        <v>32</v>
      </c>
      <c r="D22" s="38"/>
      <c r="E22" s="39">
        <v>8</v>
      </c>
      <c r="F22" s="112" t="s">
        <v>223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</row>
    <row r="23" spans="1:15" ht="18.75" customHeight="1" x14ac:dyDescent="0.25">
      <c r="A23" s="25">
        <v>46158</v>
      </c>
      <c r="B23" s="26" t="s">
        <v>34</v>
      </c>
      <c r="C23" s="27" t="s">
        <v>35</v>
      </c>
      <c r="D23" s="28"/>
      <c r="E23" s="29">
        <v>1.5</v>
      </c>
      <c r="F23" s="30" t="s">
        <v>223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</row>
    <row r="24" spans="1:15" ht="18.75" customHeight="1" x14ac:dyDescent="0.25">
      <c r="A24" s="25">
        <v>46158</v>
      </c>
      <c r="B24" s="36" t="s">
        <v>36</v>
      </c>
      <c r="C24" s="37" t="s">
        <v>37</v>
      </c>
      <c r="D24" s="38"/>
      <c r="E24" s="39">
        <v>2.25</v>
      </c>
      <c r="F24" s="112" t="s">
        <v>223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</row>
    <row r="25" spans="1:15" ht="18.75" customHeight="1" x14ac:dyDescent="0.25">
      <c r="A25" s="25">
        <v>46158</v>
      </c>
      <c r="B25" s="26" t="s">
        <v>38</v>
      </c>
      <c r="C25" s="27" t="s">
        <v>39</v>
      </c>
      <c r="D25" s="28"/>
      <c r="E25" s="29">
        <v>2.5</v>
      </c>
      <c r="F25" s="30" t="s">
        <v>223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</row>
    <row r="26" spans="1:15" ht="18.75" customHeight="1" x14ac:dyDescent="0.25">
      <c r="A26" s="111">
        <v>46159</v>
      </c>
      <c r="B26" s="36" t="s">
        <v>41</v>
      </c>
      <c r="C26" s="37" t="s">
        <v>42</v>
      </c>
      <c r="D26" s="38"/>
      <c r="E26" s="39">
        <v>22.5</v>
      </c>
      <c r="F26" s="112" t="s">
        <v>223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239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</row>
    <row r="27" spans="1:15" ht="18.75" customHeight="1" x14ac:dyDescent="0.25">
      <c r="A27" s="111">
        <v>46159</v>
      </c>
      <c r="B27" s="26" t="s">
        <v>43</v>
      </c>
      <c r="C27" s="27" t="s">
        <v>44</v>
      </c>
      <c r="D27" s="28"/>
      <c r="E27" s="29">
        <v>8</v>
      </c>
      <c r="F27" s="30" t="s">
        <v>223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</row>
    <row r="28" spans="1:15" ht="18.75" customHeight="1" x14ac:dyDescent="0.25">
      <c r="A28" s="111">
        <v>46160</v>
      </c>
      <c r="B28" s="26" t="s">
        <v>46</v>
      </c>
      <c r="C28" s="27" t="s">
        <v>47</v>
      </c>
      <c r="D28" s="28"/>
      <c r="E28" s="29">
        <v>7.5</v>
      </c>
      <c r="F28" s="30" t="s">
        <v>223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</row>
    <row r="29" spans="1:15" ht="18.75" customHeight="1" x14ac:dyDescent="0.25">
      <c r="A29" s="111">
        <v>46160</v>
      </c>
      <c r="B29" s="26" t="s">
        <v>48</v>
      </c>
      <c r="C29" s="27" t="s">
        <v>49</v>
      </c>
      <c r="D29" s="28"/>
      <c r="E29" s="29">
        <v>5</v>
      </c>
      <c r="F29" s="30" t="s">
        <v>223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</row>
    <row r="30" spans="1:15" ht="18.75" customHeight="1" x14ac:dyDescent="0.25">
      <c r="A30" s="111">
        <v>46160</v>
      </c>
      <c r="B30" s="26" t="s">
        <v>50</v>
      </c>
      <c r="C30" s="27" t="s">
        <v>51</v>
      </c>
      <c r="D30" s="28"/>
      <c r="E30" s="29">
        <v>3</v>
      </c>
      <c r="F30" s="30" t="s">
        <v>223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</row>
    <row r="31" spans="1:15" ht="18.75" customHeight="1" x14ac:dyDescent="0.25">
      <c r="A31" s="111">
        <v>46160</v>
      </c>
      <c r="B31" s="26" t="s">
        <v>52</v>
      </c>
      <c r="C31" s="27" t="s">
        <v>53</v>
      </c>
      <c r="D31" s="28"/>
      <c r="E31" s="29">
        <v>3</v>
      </c>
      <c r="F31" s="30" t="s">
        <v>223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</row>
    <row r="32" spans="1:15" ht="18.75" customHeight="1" x14ac:dyDescent="0.25">
      <c r="A32" s="111">
        <v>46160</v>
      </c>
      <c r="B32" s="26" t="s">
        <v>54</v>
      </c>
      <c r="C32" s="27" t="s">
        <v>55</v>
      </c>
      <c r="D32" s="28"/>
      <c r="E32" s="29">
        <v>5</v>
      </c>
      <c r="F32" s="30" t="s">
        <v>223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</row>
    <row r="33" spans="1:15" ht="18.75" customHeight="1" x14ac:dyDescent="0.25">
      <c r="A33" s="111">
        <v>46160</v>
      </c>
      <c r="B33" s="26" t="s">
        <v>56</v>
      </c>
      <c r="C33" s="27" t="s">
        <v>57</v>
      </c>
      <c r="D33" s="28"/>
      <c r="E33" s="29">
        <v>5</v>
      </c>
      <c r="F33" s="30" t="s">
        <v>223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</row>
    <row r="34" spans="1:15" ht="18.75" customHeight="1" x14ac:dyDescent="0.25">
      <c r="A34" s="111">
        <v>46160</v>
      </c>
      <c r="B34" s="26" t="s">
        <v>58</v>
      </c>
      <c r="C34" s="27" t="s">
        <v>59</v>
      </c>
      <c r="D34" s="28">
        <v>9</v>
      </c>
      <c r="E34" s="29"/>
      <c r="F34" s="30" t="s">
        <v>223</v>
      </c>
      <c r="G34" s="31" t="s">
        <v>224</v>
      </c>
      <c r="H34" s="32" t="s">
        <v>225</v>
      </c>
      <c r="I34" s="33" t="s">
        <v>226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</row>
    <row r="35" spans="1:15" ht="18.75" customHeight="1" x14ac:dyDescent="0.25">
      <c r="A35" s="25">
        <v>46161</v>
      </c>
      <c r="B35" s="26" t="s">
        <v>61</v>
      </c>
      <c r="C35" s="27" t="s">
        <v>42</v>
      </c>
      <c r="D35" s="28"/>
      <c r="E35" s="29">
        <v>22.5</v>
      </c>
      <c r="F35" s="30" t="s">
        <v>223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</row>
    <row r="36" spans="1:15" ht="18.75" customHeight="1" x14ac:dyDescent="0.25">
      <c r="A36" s="111">
        <v>46162</v>
      </c>
      <c r="B36" s="36" t="s">
        <v>63</v>
      </c>
      <c r="C36" s="37" t="s">
        <v>64</v>
      </c>
      <c r="D36" s="38"/>
      <c r="E36" s="39">
        <v>22.5</v>
      </c>
      <c r="F36" s="112" t="s">
        <v>223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</row>
    <row r="37" spans="1:15" ht="18.75" customHeight="1" x14ac:dyDescent="0.25">
      <c r="A37" s="111">
        <v>46162</v>
      </c>
      <c r="B37" s="26" t="s">
        <v>65</v>
      </c>
      <c r="C37" s="27" t="s">
        <v>66</v>
      </c>
      <c r="D37" s="28"/>
      <c r="E37" s="29">
        <v>25</v>
      </c>
      <c r="F37" s="30" t="s">
        <v>223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</row>
    <row r="38" spans="1:15" ht="18.75" customHeight="1" x14ac:dyDescent="0.25">
      <c r="A38" s="111">
        <v>46163</v>
      </c>
      <c r="B38" s="36" t="s">
        <v>68</v>
      </c>
      <c r="C38" s="37" t="s">
        <v>69</v>
      </c>
      <c r="D38" s="38"/>
      <c r="E38" s="39">
        <v>37.5</v>
      </c>
      <c r="F38" s="112" t="s">
        <v>223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</row>
    <row r="39" spans="1:15" ht="18.75" customHeight="1" x14ac:dyDescent="0.25">
      <c r="A39" s="25">
        <v>46163</v>
      </c>
      <c r="B39" s="26" t="s">
        <v>70</v>
      </c>
      <c r="C39" s="27" t="s">
        <v>71</v>
      </c>
      <c r="D39" s="28"/>
      <c r="E39" s="29">
        <v>2.5</v>
      </c>
      <c r="F39" s="30" t="s">
        <v>223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</row>
    <row r="40" spans="1:15" ht="18.75" customHeight="1" x14ac:dyDescent="0.25">
      <c r="A40" s="111">
        <v>46164</v>
      </c>
      <c r="B40" s="36" t="s">
        <v>73</v>
      </c>
      <c r="C40" s="37" t="s">
        <v>74</v>
      </c>
      <c r="D40" s="38"/>
      <c r="E40" s="39">
        <v>15</v>
      </c>
      <c r="F40" s="112" t="s">
        <v>223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</row>
    <row r="41" spans="1:15" ht="18.75" customHeight="1" x14ac:dyDescent="0.25">
      <c r="A41" s="111">
        <v>46164</v>
      </c>
      <c r="B41" s="26" t="s">
        <v>75</v>
      </c>
      <c r="C41" s="27" t="s">
        <v>76</v>
      </c>
      <c r="D41" s="28"/>
      <c r="E41" s="29">
        <v>6</v>
      </c>
      <c r="F41" s="30" t="s">
        <v>223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</row>
    <row r="42" spans="1:15" ht="18.75" customHeight="1" x14ac:dyDescent="0.25">
      <c r="A42" s="111">
        <v>46167</v>
      </c>
      <c r="B42" s="36" t="s">
        <v>78</v>
      </c>
      <c r="C42" s="37" t="s">
        <v>79</v>
      </c>
      <c r="D42" s="38"/>
      <c r="E42" s="39">
        <v>7.5</v>
      </c>
      <c r="F42" s="112" t="s">
        <v>223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</row>
    <row r="43" spans="1:15" ht="18.75" customHeight="1" x14ac:dyDescent="0.25">
      <c r="A43" s="111">
        <v>46167</v>
      </c>
      <c r="B43" s="26" t="s">
        <v>80</v>
      </c>
      <c r="C43" s="27" t="s">
        <v>81</v>
      </c>
      <c r="D43" s="28"/>
      <c r="E43" s="29">
        <v>2</v>
      </c>
      <c r="F43" s="30" t="s">
        <v>223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</row>
    <row r="44" spans="1:15" ht="18.75" customHeight="1" x14ac:dyDescent="0.25">
      <c r="A44" s="111">
        <v>46167</v>
      </c>
      <c r="B44" s="36" t="s">
        <v>82</v>
      </c>
      <c r="C44" s="37" t="s">
        <v>83</v>
      </c>
      <c r="D44" s="38"/>
      <c r="E44" s="39">
        <v>4</v>
      </c>
      <c r="F44" s="112" t="s">
        <v>223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</row>
    <row r="45" spans="1:15" ht="18.75" customHeight="1" x14ac:dyDescent="0.25">
      <c r="A45" s="111">
        <v>46167</v>
      </c>
      <c r="B45" s="26"/>
      <c r="C45" s="27" t="s">
        <v>196</v>
      </c>
      <c r="D45" s="28">
        <v>26</v>
      </c>
      <c r="E45" s="29"/>
      <c r="F45" s="30" t="s">
        <v>229</v>
      </c>
      <c r="G45" s="31" t="s">
        <v>187</v>
      </c>
      <c r="H45" s="32" t="s">
        <v>230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</row>
    <row r="46" spans="1:15" ht="18.75" customHeight="1" x14ac:dyDescent="0.25">
      <c r="A46" s="111">
        <v>46167</v>
      </c>
      <c r="B46" s="36"/>
      <c r="C46" s="37" t="s">
        <v>197</v>
      </c>
      <c r="D46" s="38">
        <v>250</v>
      </c>
      <c r="E46" s="39"/>
      <c r="F46" s="112" t="s">
        <v>229</v>
      </c>
      <c r="G46" s="40" t="s">
        <v>193</v>
      </c>
      <c r="H46" s="41" t="s">
        <v>230</v>
      </c>
      <c r="I46" s="42" t="s">
        <v>240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</row>
    <row r="47" spans="1:15" ht="18.75" customHeight="1" x14ac:dyDescent="0.25">
      <c r="A47" s="25">
        <v>46167</v>
      </c>
      <c r="B47" s="26"/>
      <c r="C47" s="27" t="s">
        <v>197</v>
      </c>
      <c r="D47" s="28">
        <v>250</v>
      </c>
      <c r="E47" s="29"/>
      <c r="F47" s="30" t="s">
        <v>229</v>
      </c>
      <c r="G47" s="31" t="s">
        <v>187</v>
      </c>
      <c r="H47" s="32" t="s">
        <v>230</v>
      </c>
      <c r="I47" s="33" t="s">
        <v>240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</row>
    <row r="48" spans="1:15" ht="18.75" customHeight="1" x14ac:dyDescent="0.25">
      <c r="A48" s="111">
        <v>46146</v>
      </c>
      <c r="B48" s="36" t="s">
        <v>85</v>
      </c>
      <c r="C48" s="37" t="s">
        <v>86</v>
      </c>
      <c r="D48" s="38"/>
      <c r="E48" s="39">
        <v>9</v>
      </c>
      <c r="F48" s="112" t="s">
        <v>223</v>
      </c>
      <c r="G48" s="40"/>
      <c r="H48" s="41" t="s">
        <v>225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</row>
    <row r="49" spans="1:15" ht="18.75" customHeight="1" x14ac:dyDescent="0.25">
      <c r="A49" s="25">
        <v>46146</v>
      </c>
      <c r="B49" s="26" t="s">
        <v>87</v>
      </c>
      <c r="C49" s="27" t="s">
        <v>86</v>
      </c>
      <c r="D49" s="28"/>
      <c r="E49" s="29">
        <v>9</v>
      </c>
      <c r="F49" s="30" t="s">
        <v>223</v>
      </c>
      <c r="G49" s="31"/>
      <c r="H49" s="32" t="s">
        <v>225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</row>
    <row r="50" spans="1:15" ht="18.75" customHeight="1" x14ac:dyDescent="0.25">
      <c r="A50" s="111">
        <v>46146</v>
      </c>
      <c r="B50" s="36" t="s">
        <v>88</v>
      </c>
      <c r="C50" s="37" t="s">
        <v>86</v>
      </c>
      <c r="D50" s="38"/>
      <c r="E50" s="39">
        <v>2</v>
      </c>
      <c r="F50" s="112" t="s">
        <v>223</v>
      </c>
      <c r="G50" s="40"/>
      <c r="H50" s="41" t="s">
        <v>225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</row>
    <row r="51" spans="1:15" ht="18.75" customHeight="1" x14ac:dyDescent="0.25">
      <c r="A51" s="25">
        <v>46147</v>
      </c>
      <c r="B51" s="26" t="s">
        <v>90</v>
      </c>
      <c r="C51" s="27" t="s">
        <v>86</v>
      </c>
      <c r="D51" s="28"/>
      <c r="E51" s="29">
        <v>3.75</v>
      </c>
      <c r="F51" s="30" t="s">
        <v>223</v>
      </c>
      <c r="G51" s="31"/>
      <c r="H51" s="32" t="s">
        <v>225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</row>
    <row r="52" spans="1:15" ht="18.75" customHeight="1" x14ac:dyDescent="0.25">
      <c r="A52" s="111">
        <v>46149</v>
      </c>
      <c r="B52" s="36" t="s">
        <v>92</v>
      </c>
      <c r="C52" s="37" t="s">
        <v>86</v>
      </c>
      <c r="D52" s="38"/>
      <c r="E52" s="39">
        <v>5</v>
      </c>
      <c r="F52" s="112" t="s">
        <v>223</v>
      </c>
      <c r="G52" s="40"/>
      <c r="H52" s="41" t="s">
        <v>225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</row>
    <row r="53" spans="1:15" ht="18.75" customHeight="1" x14ac:dyDescent="0.25">
      <c r="A53" s="25">
        <v>46155</v>
      </c>
      <c r="B53" s="26" t="s">
        <v>93</v>
      </c>
      <c r="C53" s="27" t="s">
        <v>86</v>
      </c>
      <c r="D53" s="28"/>
      <c r="E53" s="29">
        <v>15</v>
      </c>
      <c r="F53" s="30" t="s">
        <v>223</v>
      </c>
      <c r="G53" s="31"/>
      <c r="H53" s="32" t="s">
        <v>225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</row>
    <row r="54" spans="1:15" ht="18.75" customHeight="1" x14ac:dyDescent="0.25">
      <c r="A54" s="111">
        <v>46155</v>
      </c>
      <c r="B54" s="36" t="s">
        <v>94</v>
      </c>
      <c r="C54" s="37" t="s">
        <v>86</v>
      </c>
      <c r="D54" s="38"/>
      <c r="E54" s="39">
        <v>4</v>
      </c>
      <c r="F54" s="112" t="s">
        <v>223</v>
      </c>
      <c r="G54" s="40"/>
      <c r="H54" s="41" t="s">
        <v>225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</row>
    <row r="55" spans="1:15" ht="18.75" customHeight="1" x14ac:dyDescent="0.25">
      <c r="A55" s="25">
        <v>46155</v>
      </c>
      <c r="B55" s="26" t="s">
        <v>95</v>
      </c>
      <c r="C55" s="27" t="s">
        <v>86</v>
      </c>
      <c r="D55" s="28"/>
      <c r="E55" s="29">
        <v>3.6</v>
      </c>
      <c r="F55" s="30" t="s">
        <v>223</v>
      </c>
      <c r="G55" s="31"/>
      <c r="H55" s="32" t="s">
        <v>225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</row>
    <row r="56" spans="1:15" ht="18.75" customHeight="1" x14ac:dyDescent="0.25">
      <c r="A56" s="111">
        <v>46158</v>
      </c>
      <c r="B56" s="36" t="s">
        <v>96</v>
      </c>
      <c r="C56" s="37" t="s">
        <v>86</v>
      </c>
      <c r="D56" s="38"/>
      <c r="E56" s="39">
        <v>3</v>
      </c>
      <c r="F56" s="112" t="s">
        <v>223</v>
      </c>
      <c r="G56" s="40"/>
      <c r="H56" s="41" t="s">
        <v>225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</row>
    <row r="57" spans="1:15" ht="18.75" customHeight="1" x14ac:dyDescent="0.25">
      <c r="A57" s="25">
        <v>46155</v>
      </c>
      <c r="B57" s="26"/>
      <c r="C57" s="27" t="s">
        <v>97</v>
      </c>
      <c r="D57" s="28">
        <v>2.75</v>
      </c>
      <c r="E57" s="29"/>
      <c r="F57" s="30" t="s">
        <v>223</v>
      </c>
      <c r="G57" s="31" t="s">
        <v>224</v>
      </c>
      <c r="H57" s="32" t="s">
        <v>225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</row>
    <row r="58" spans="1:15" ht="18.75" customHeight="1" x14ac:dyDescent="0.25">
      <c r="A58" s="111">
        <v>46175</v>
      </c>
      <c r="B58" s="26" t="s">
        <v>99</v>
      </c>
      <c r="C58" s="37" t="s">
        <v>100</v>
      </c>
      <c r="D58" s="38"/>
      <c r="E58" s="39">
        <v>18</v>
      </c>
      <c r="F58" s="112" t="s">
        <v>223</v>
      </c>
      <c r="G58" s="40"/>
      <c r="H58" s="41" t="s">
        <v>225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>1</v>
      </c>
      <c r="O58" t="str">
        <f>IF(AND(D57&gt;0,F57="أحد الشركاء"),COUNTIFS($D$4:D57,"&gt;"&amp;0,$F$4:F57,"أحد الشركاء"),"")</f>
        <v/>
      </c>
    </row>
    <row r="59" spans="1:15" ht="18.75" customHeight="1" x14ac:dyDescent="0.25">
      <c r="A59" s="111">
        <v>46175</v>
      </c>
      <c r="B59" s="36" t="s">
        <v>101</v>
      </c>
      <c r="C59" s="27" t="s">
        <v>102</v>
      </c>
      <c r="D59" s="28"/>
      <c r="E59" s="29">
        <v>2</v>
      </c>
      <c r="F59" s="30" t="s">
        <v>223</v>
      </c>
      <c r="G59" s="31"/>
      <c r="H59" s="32" t="s">
        <v>225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>2</v>
      </c>
      <c r="O59" t="str">
        <f>IF(AND(D58&gt;0,F58="أحد الشركاء"),COUNTIFS($D$4:D58,"&gt;"&amp;0,$F$4:F58,"أحد الشركاء"),"")</f>
        <v/>
      </c>
    </row>
    <row r="60" spans="1:15" ht="18.75" customHeight="1" x14ac:dyDescent="0.25">
      <c r="A60" s="111">
        <v>46175</v>
      </c>
      <c r="B60" s="26" t="s">
        <v>103</v>
      </c>
      <c r="C60" s="37" t="s">
        <v>104</v>
      </c>
      <c r="D60" s="38"/>
      <c r="E60" s="39">
        <v>1.5</v>
      </c>
      <c r="F60" s="112" t="s">
        <v>223</v>
      </c>
      <c r="G60" s="40"/>
      <c r="H60" s="41" t="s">
        <v>225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>3</v>
      </c>
      <c r="O60" t="str">
        <f>IF(AND(D59&gt;0,F59="أحد الشركاء"),COUNTIFS($D$4:D59,"&gt;"&amp;0,$F$4:F59,"أحد الشركاء"),"")</f>
        <v/>
      </c>
    </row>
    <row r="61" spans="1:15" ht="18.75" customHeight="1" x14ac:dyDescent="0.25">
      <c r="A61" s="111">
        <v>46175</v>
      </c>
      <c r="B61" s="36" t="s">
        <v>105</v>
      </c>
      <c r="C61" s="27" t="s">
        <v>106</v>
      </c>
      <c r="D61" s="28"/>
      <c r="E61" s="29">
        <v>3</v>
      </c>
      <c r="F61" s="30" t="s">
        <v>223</v>
      </c>
      <c r="G61" s="31"/>
      <c r="H61" s="32" t="s">
        <v>225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>4</v>
      </c>
      <c r="O61" t="str">
        <f>IF(AND(D60&gt;0,F60="أحد الشركاء"),COUNTIFS($D$4:D60,"&gt;"&amp;0,$F$4:F60,"أحد الشركاء"),"")</f>
        <v/>
      </c>
    </row>
    <row r="62" spans="1:15" ht="18.75" customHeight="1" x14ac:dyDescent="0.25">
      <c r="A62" s="111">
        <v>46177</v>
      </c>
      <c r="B62" s="36" t="s">
        <v>108</v>
      </c>
      <c r="C62" s="37" t="s">
        <v>109</v>
      </c>
      <c r="D62" s="38"/>
      <c r="E62" s="39">
        <v>1</v>
      </c>
      <c r="F62" s="112" t="s">
        <v>223</v>
      </c>
      <c r="G62" s="40"/>
      <c r="H62" s="41" t="s">
        <v>225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>5</v>
      </c>
      <c r="O62" t="str">
        <f>IF(AND(D61&gt;0,F61="أحد الشركاء"),COUNTIFS($D$4:D61,"&gt;"&amp;0,$F$4:F61,"أحد الشركاء"),"")</f>
        <v/>
      </c>
    </row>
    <row r="63" spans="1:15" ht="18.75" customHeight="1" x14ac:dyDescent="0.25">
      <c r="A63" s="111">
        <v>46177</v>
      </c>
      <c r="B63" s="26"/>
      <c r="C63" s="27" t="s">
        <v>110</v>
      </c>
      <c r="D63" s="28">
        <v>10</v>
      </c>
      <c r="E63" s="29"/>
      <c r="F63" s="30" t="s">
        <v>223</v>
      </c>
      <c r="G63" s="31" t="s">
        <v>224</v>
      </c>
      <c r="H63" s="32" t="s">
        <v>225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>6</v>
      </c>
      <c r="O63" t="str">
        <f>IF(AND(D62&gt;0,F62="أحد الشركاء"),COUNTIFS($D$4:D62,"&gt;"&amp;0,$F$4:F62,"أحد الشركاء"),"")</f>
        <v/>
      </c>
    </row>
    <row r="64" spans="1:15" ht="18.75" customHeight="1" x14ac:dyDescent="0.25">
      <c r="A64" s="111">
        <v>46177</v>
      </c>
      <c r="B64" s="36"/>
      <c r="C64" s="37" t="s">
        <v>14</v>
      </c>
      <c r="D64" s="38">
        <v>3.25</v>
      </c>
      <c r="E64" s="39"/>
      <c r="F64" s="112" t="s">
        <v>223</v>
      </c>
      <c r="G64" s="40" t="s">
        <v>224</v>
      </c>
      <c r="H64" s="41" t="s">
        <v>225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>7</v>
      </c>
      <c r="O64" t="str">
        <f>IF(AND(D63&gt;0,F63="أحد الشركاء"),COUNTIFS($D$4:D63,"&gt;"&amp;0,$F$4:F63,"أحد الشركاء"),"")</f>
        <v/>
      </c>
    </row>
    <row r="65" spans="1:15" ht="18.75" customHeight="1" x14ac:dyDescent="0.25">
      <c r="A65" s="111">
        <v>46177</v>
      </c>
      <c r="B65" s="26"/>
      <c r="C65" s="27" t="s">
        <v>111</v>
      </c>
      <c r="D65" s="28">
        <v>12</v>
      </c>
      <c r="E65" s="29"/>
      <c r="F65" s="30" t="s">
        <v>223</v>
      </c>
      <c r="G65" s="31" t="s">
        <v>224</v>
      </c>
      <c r="H65" s="32" t="s">
        <v>225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>8</v>
      </c>
      <c r="O65" t="str">
        <f>IF(AND(D64&gt;0,F64="أحد الشركاء"),COUNTIFS($D$4:D64,"&gt;"&amp;0,$F$4:F64,"أحد الشركاء"),"")</f>
        <v/>
      </c>
    </row>
    <row r="66" spans="1:15" ht="18.75" customHeight="1" x14ac:dyDescent="0.25">
      <c r="A66" s="111">
        <v>46179</v>
      </c>
      <c r="B66" s="36" t="s">
        <v>113</v>
      </c>
      <c r="C66" s="37" t="s">
        <v>114</v>
      </c>
      <c r="D66" s="38"/>
      <c r="E66" s="39">
        <v>3</v>
      </c>
      <c r="F66" s="112" t="s">
        <v>223</v>
      </c>
      <c r="G66" s="40"/>
      <c r="H66" s="41" t="s">
        <v>225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>9</v>
      </c>
      <c r="O66" t="str">
        <f>IF(AND(D65&gt;0,F65="أحد الشركاء"),COUNTIFS($D$4:D65,"&gt;"&amp;0,$F$4:F65,"أحد الشركاء"),"")</f>
        <v/>
      </c>
    </row>
    <row r="67" spans="1:15" ht="18.75" customHeight="1" x14ac:dyDescent="0.25">
      <c r="A67" s="111">
        <v>46179</v>
      </c>
      <c r="B67" s="36" t="s">
        <v>115</v>
      </c>
      <c r="C67" s="27" t="s">
        <v>116</v>
      </c>
      <c r="D67" s="28"/>
      <c r="E67" s="29">
        <v>1</v>
      </c>
      <c r="F67" s="30" t="s">
        <v>223</v>
      </c>
      <c r="G67" s="31"/>
      <c r="H67" s="32" t="s">
        <v>225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>10</v>
      </c>
      <c r="O67" t="str">
        <f>IF(AND(D66&gt;0,F66="أحد الشركاء"),COUNTIFS($D$4:D66,"&gt;"&amp;0,$F$4:F66,"أحد الشركاء"),"")</f>
        <v/>
      </c>
    </row>
    <row r="68" spans="1:15" ht="18.75" customHeight="1" x14ac:dyDescent="0.25">
      <c r="A68" s="111">
        <v>46179</v>
      </c>
      <c r="B68" s="36" t="s">
        <v>117</v>
      </c>
      <c r="C68" s="37" t="s">
        <v>118</v>
      </c>
      <c r="D68" s="38"/>
      <c r="E68" s="39">
        <v>3</v>
      </c>
      <c r="F68" s="112" t="s">
        <v>223</v>
      </c>
      <c r="G68" s="40"/>
      <c r="H68" s="41" t="s">
        <v>225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>11</v>
      </c>
      <c r="O68" t="str">
        <f>IF(AND(D67&gt;0,F67="أحد الشركاء"),COUNTIFS($D$4:D67,"&gt;"&amp;0,$F$4:F67,"أحد الشركاء"),"")</f>
        <v/>
      </c>
    </row>
    <row r="69" spans="1:15" ht="18.75" customHeight="1" x14ac:dyDescent="0.25">
      <c r="A69" s="25">
        <v>46181</v>
      </c>
      <c r="B69" s="26" t="s">
        <v>120</v>
      </c>
      <c r="C69" s="27" t="s">
        <v>121</v>
      </c>
      <c r="D69" s="28"/>
      <c r="E69" s="29">
        <v>15</v>
      </c>
      <c r="F69" s="30" t="s">
        <v>223</v>
      </c>
      <c r="G69" s="31"/>
      <c r="H69" s="32" t="s">
        <v>225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>12</v>
      </c>
      <c r="O69" t="str">
        <f>IF(AND(D68&gt;0,F68="أحد الشركاء"),COUNTIFS($D$4:D68,"&gt;"&amp;0,$F$4:F68,"أحد الشركاء"),"")</f>
        <v/>
      </c>
    </row>
    <row r="70" spans="1:15" ht="18.75" customHeight="1" x14ac:dyDescent="0.25">
      <c r="A70" s="111">
        <v>46181</v>
      </c>
      <c r="C70" s="37" t="s">
        <v>122</v>
      </c>
      <c r="D70" s="38">
        <v>2.8</v>
      </c>
      <c r="E70" s="39"/>
      <c r="F70" s="112" t="s">
        <v>223</v>
      </c>
      <c r="G70" s="40" t="s">
        <v>224</v>
      </c>
      <c r="H70" s="41" t="s">
        <v>225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>13</v>
      </c>
      <c r="O70" t="str">
        <f>IF(AND(D69&gt;0,F69="أحد الشركاء"),COUNTIFS($D$4:D69,"&gt;"&amp;0,$F$4:F69,"أحد الشركاء"),"")</f>
        <v/>
      </c>
    </row>
    <row r="71" spans="1:15" ht="18.75" customHeight="1" x14ac:dyDescent="0.25">
      <c r="A71" s="111">
        <v>46181</v>
      </c>
      <c r="C71" s="37" t="s">
        <v>123</v>
      </c>
      <c r="D71" s="28">
        <v>46.75</v>
      </c>
      <c r="E71" s="29"/>
      <c r="F71" s="30" t="s">
        <v>223</v>
      </c>
      <c r="G71" s="31" t="s">
        <v>224</v>
      </c>
      <c r="H71" s="32" t="s">
        <v>225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>14</v>
      </c>
      <c r="O71" t="str">
        <f>IF(AND(D70&gt;0,F70="أحد الشركاء"),COUNTIFS($D$4:D70,"&gt;"&amp;0,$F$4:F70,"أحد الشركاء"),"")</f>
        <v/>
      </c>
    </row>
    <row r="72" spans="1:15" ht="18.75" customHeight="1" x14ac:dyDescent="0.25">
      <c r="A72" s="111">
        <v>46182</v>
      </c>
      <c r="B72" s="26" t="s">
        <v>125</v>
      </c>
      <c r="C72" s="37" t="s">
        <v>42</v>
      </c>
      <c r="D72" s="38"/>
      <c r="E72" s="39">
        <v>22.5</v>
      </c>
      <c r="F72" s="112" t="s">
        <v>223</v>
      </c>
      <c r="G72" s="40"/>
      <c r="H72" s="41" t="s">
        <v>225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>15</v>
      </c>
      <c r="O72" t="str">
        <f>IF(AND(D71&gt;0,F71="أحد الشركاء"),COUNTIFS($D$4:D71,"&gt;"&amp;0,$F$4:F71,"أحد الشركاء"),"")</f>
        <v/>
      </c>
    </row>
    <row r="73" spans="1:15" ht="18.75" customHeight="1" x14ac:dyDescent="0.25">
      <c r="A73" s="25">
        <v>46184</v>
      </c>
      <c r="B73" s="26"/>
      <c r="C73" s="27" t="s">
        <v>127</v>
      </c>
      <c r="D73" s="28">
        <v>3.5</v>
      </c>
      <c r="E73" s="29"/>
      <c r="F73" s="30" t="s">
        <v>223</v>
      </c>
      <c r="G73" s="31" t="s">
        <v>224</v>
      </c>
      <c r="H73" s="32" t="s">
        <v>225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>16</v>
      </c>
      <c r="O73" t="str">
        <f>IF(AND(D72&gt;0,F72="أحد الشركاء"),COUNTIFS($D$4:D72,"&gt;"&amp;0,$F$4:F72,"أحد الشركاء"),"")</f>
        <v/>
      </c>
    </row>
    <row r="74" spans="1:15" ht="18.75" customHeight="1" x14ac:dyDescent="0.25">
      <c r="A74" s="111">
        <v>46184</v>
      </c>
      <c r="B74" s="115" t="s">
        <v>241</v>
      </c>
      <c r="C74" s="116" t="s">
        <v>121</v>
      </c>
      <c r="D74" s="117"/>
      <c r="E74" s="118"/>
      <c r="F74" s="119" t="s">
        <v>223</v>
      </c>
      <c r="G74" s="120"/>
      <c r="H74" s="121" t="s">
        <v>225</v>
      </c>
      <c r="I74" s="122"/>
      <c r="J74" s="123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24" t="s">
        <v>242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>17</v>
      </c>
      <c r="O74" t="str">
        <f>IF(AND(D73&gt;0,F73="أحد الشركاء"),COUNTIFS($D$4:D73,"&gt;"&amp;0,$F$4:F73,"أحد الشركاء"),"")</f>
        <v/>
      </c>
    </row>
    <row r="75" spans="1:15" ht="18.75" customHeight="1" x14ac:dyDescent="0.25">
      <c r="A75" s="25">
        <v>46185</v>
      </c>
      <c r="B75" s="26"/>
      <c r="C75" s="27" t="s">
        <v>129</v>
      </c>
      <c r="D75" s="28">
        <v>2</v>
      </c>
      <c r="E75" s="29"/>
      <c r="F75" s="30" t="s">
        <v>223</v>
      </c>
      <c r="G75" s="31" t="s">
        <v>224</v>
      </c>
      <c r="H75" s="32" t="s">
        <v>225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>18</v>
      </c>
      <c r="O75" t="str">
        <f>IF(AND(D74&gt;0,F74="أحد الشركاء"),COUNTIFS($D$4:D74,"&gt;"&amp;0,$F$4:F74,"أحد الشركاء"),"")</f>
        <v/>
      </c>
    </row>
    <row r="76" spans="1:15" ht="18.75" customHeight="1" x14ac:dyDescent="0.25">
      <c r="A76" s="111">
        <v>46186</v>
      </c>
      <c r="B76" s="36" t="s">
        <v>131</v>
      </c>
      <c r="C76" s="37" t="s">
        <v>132</v>
      </c>
      <c r="D76" s="38"/>
      <c r="E76" s="39">
        <v>10</v>
      </c>
      <c r="F76" s="112" t="s">
        <v>223</v>
      </c>
      <c r="G76" s="40"/>
      <c r="H76" s="41" t="s">
        <v>225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>19</v>
      </c>
      <c r="O76" t="str">
        <f>IF(AND(D75&gt;0,F75="أحد الشركاء"),COUNTIFS($D$4:D75,"&gt;"&amp;0,$F$4:F75,"أحد الشركاء"),"")</f>
        <v/>
      </c>
    </row>
    <row r="77" spans="1:15" ht="18.75" customHeight="1" x14ac:dyDescent="0.25">
      <c r="A77" s="111">
        <v>46186</v>
      </c>
      <c r="B77" s="36" t="s">
        <v>133</v>
      </c>
      <c r="C77" s="27" t="s">
        <v>134</v>
      </c>
      <c r="D77" s="28"/>
      <c r="E77" s="29">
        <v>5</v>
      </c>
      <c r="F77" s="30" t="s">
        <v>223</v>
      </c>
      <c r="G77" s="31"/>
      <c r="H77" s="32" t="s">
        <v>225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>20</v>
      </c>
      <c r="O77" t="str">
        <f>IF(AND(D76&gt;0,F76="أحد الشركاء"),COUNTIFS($D$4:D76,"&gt;"&amp;0,$F$4:F76,"أحد الشركاء"),"")</f>
        <v/>
      </c>
    </row>
    <row r="78" spans="1:15" ht="18.75" customHeight="1" x14ac:dyDescent="0.25">
      <c r="A78" s="111">
        <v>46187</v>
      </c>
      <c r="B78" s="36"/>
      <c r="C78" s="37" t="s">
        <v>199</v>
      </c>
      <c r="D78" s="38">
        <v>107.5</v>
      </c>
      <c r="E78" s="39"/>
      <c r="F78" s="112" t="s">
        <v>223</v>
      </c>
      <c r="G78" s="40" t="s">
        <v>187</v>
      </c>
      <c r="H78" s="41" t="s">
        <v>225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>21</v>
      </c>
      <c r="O78" t="str">
        <f>IF(AND(D77&gt;0,F77="أحد الشركاء"),COUNTIFS($D$4:D77,"&gt;"&amp;0,$F$4:F77,"أحد الشركاء"),"")</f>
        <v/>
      </c>
    </row>
    <row r="79" spans="1:15" ht="18.75" customHeight="1" x14ac:dyDescent="0.25">
      <c r="A79" s="25">
        <v>46189</v>
      </c>
      <c r="B79" s="36" t="s">
        <v>136</v>
      </c>
      <c r="C79" s="27" t="s">
        <v>137</v>
      </c>
      <c r="D79" s="28"/>
      <c r="E79" s="29">
        <v>15</v>
      </c>
      <c r="F79" s="30" t="s">
        <v>243</v>
      </c>
      <c r="G79" s="31"/>
      <c r="H79" s="32" t="s">
        <v>225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>22</v>
      </c>
      <c r="O79" t="str">
        <f>IF(AND(D78&gt;0,F78="أحد الشركاء"),COUNTIFS($D$4:D78,"&gt;"&amp;0,$F$4:F78,"أحد الشركاء"),"")</f>
        <v/>
      </c>
    </row>
    <row r="80" spans="1:15" ht="18.75" customHeight="1" x14ac:dyDescent="0.25">
      <c r="A80" s="25">
        <v>46189</v>
      </c>
      <c r="B80" s="36" t="s">
        <v>138</v>
      </c>
      <c r="C80" s="37" t="s">
        <v>139</v>
      </c>
      <c r="D80" s="38"/>
      <c r="E80" s="39">
        <v>7</v>
      </c>
      <c r="F80" s="112" t="s">
        <v>243</v>
      </c>
      <c r="G80" s="40"/>
      <c r="H80" s="41" t="s">
        <v>225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>23</v>
      </c>
      <c r="O80" t="str">
        <f>IF(AND(D79&gt;0,F79="أحد الشركاء"),COUNTIFS($D$4:D79,"&gt;"&amp;0,$F$4:F79,"أحد الشركاء"),"")</f>
        <v/>
      </c>
    </row>
    <row r="81" spans="1:15" ht="18.75" customHeight="1" x14ac:dyDescent="0.25">
      <c r="A81" s="25">
        <v>46189</v>
      </c>
      <c r="B81" s="36" t="s">
        <v>140</v>
      </c>
      <c r="C81" s="27" t="s">
        <v>141</v>
      </c>
      <c r="D81" s="28"/>
      <c r="E81" s="29">
        <v>10</v>
      </c>
      <c r="F81" s="30" t="s">
        <v>243</v>
      </c>
      <c r="G81" s="31"/>
      <c r="H81" s="32" t="s">
        <v>225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>24</v>
      </c>
      <c r="O81" t="str">
        <f>IF(AND(D80&gt;0,F80="أحد الشركاء"),COUNTIFS($D$4:D80,"&gt;"&amp;0,$F$4:F80,"أحد الشركاء"),"")</f>
        <v/>
      </c>
    </row>
    <row r="82" spans="1:15" ht="18.75" customHeight="1" x14ac:dyDescent="0.25">
      <c r="A82" s="25">
        <v>46189</v>
      </c>
      <c r="B82" s="36" t="s">
        <v>142</v>
      </c>
      <c r="C82" s="37" t="s">
        <v>100</v>
      </c>
      <c r="D82" s="38"/>
      <c r="E82" s="39">
        <v>18</v>
      </c>
      <c r="F82" s="112" t="s">
        <v>243</v>
      </c>
      <c r="G82" s="40"/>
      <c r="H82" s="41" t="s">
        <v>225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>25</v>
      </c>
      <c r="O82" t="str">
        <f>IF(AND(D81&gt;0,F81="أحد الشركاء"),COUNTIFS($D$4:D81,"&gt;"&amp;0,$F$4:F81,"أحد الشركاء"),"")</f>
        <v/>
      </c>
    </row>
    <row r="83" spans="1:15" ht="18.75" customHeight="1" x14ac:dyDescent="0.25">
      <c r="A83" s="25">
        <v>46188</v>
      </c>
      <c r="B83" s="26"/>
      <c r="C83" s="27" t="s">
        <v>144</v>
      </c>
      <c r="D83" s="28">
        <v>25</v>
      </c>
      <c r="E83" s="29"/>
      <c r="F83" s="30" t="s">
        <v>243</v>
      </c>
      <c r="G83" s="31" t="s">
        <v>224</v>
      </c>
      <c r="H83" s="32" t="s">
        <v>225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>26</v>
      </c>
      <c r="O83" t="str">
        <f>IF(AND(D82&gt;0,F82="أحد الشركاء"),COUNTIFS($D$4:D82,"&gt;"&amp;0,$F$4:F82,"أحد الشركاء"),"")</f>
        <v/>
      </c>
    </row>
    <row r="84" spans="1:15" ht="18.75" customHeight="1" x14ac:dyDescent="0.25">
      <c r="A84" s="111">
        <v>46190</v>
      </c>
      <c r="B84" s="36" t="s">
        <v>146</v>
      </c>
      <c r="C84" s="37" t="s">
        <v>147</v>
      </c>
      <c r="D84" s="38"/>
      <c r="E84" s="39">
        <v>0.75</v>
      </c>
      <c r="F84" s="112" t="s">
        <v>243</v>
      </c>
      <c r="G84" s="40"/>
      <c r="H84" s="41" t="s">
        <v>225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>27</v>
      </c>
      <c r="O84" t="str">
        <f>IF(AND(D83&gt;0,F83="أحد الشركاء"),COUNTIFS($D$4:D83,"&gt;"&amp;0,$F$4:F83,"أحد الشركاء"),"")</f>
        <v/>
      </c>
    </row>
    <row r="85" spans="1:15" ht="18.75" customHeight="1" x14ac:dyDescent="0.25">
      <c r="A85" s="111">
        <v>46190</v>
      </c>
      <c r="B85" s="36" t="s">
        <v>148</v>
      </c>
      <c r="C85" s="27" t="s">
        <v>149</v>
      </c>
      <c r="D85" s="28"/>
      <c r="E85" s="29">
        <v>1.5</v>
      </c>
      <c r="F85" s="30" t="s">
        <v>243</v>
      </c>
      <c r="G85" s="31"/>
      <c r="H85" s="32" t="s">
        <v>225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>28</v>
      </c>
      <c r="O85" t="str">
        <f>IF(AND(D84&gt;0,F84="أحد الشركاء"),COUNTIFS($D$4:D84,"&gt;"&amp;0,$F$4:F84,"أحد الشركاء"),"")</f>
        <v/>
      </c>
    </row>
    <row r="86" spans="1:15" ht="18.75" customHeight="1" x14ac:dyDescent="0.25">
      <c r="A86" s="111">
        <v>46191</v>
      </c>
      <c r="B86" s="36" t="s">
        <v>151</v>
      </c>
      <c r="C86" s="37" t="s">
        <v>152</v>
      </c>
      <c r="D86" s="38"/>
      <c r="E86" s="39">
        <v>0.75</v>
      </c>
      <c r="F86" s="112" t="s">
        <v>243</v>
      </c>
      <c r="G86" s="40"/>
      <c r="H86" s="41" t="s">
        <v>225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>29</v>
      </c>
      <c r="O86" t="str">
        <f>IF(AND(D85&gt;0,F85="أحد الشركاء"),COUNTIFS($D$4:D85,"&gt;"&amp;0,$F$4:F85,"أحد الشركاء"),"")</f>
        <v/>
      </c>
    </row>
    <row r="87" spans="1:15" ht="18.75" customHeight="1" x14ac:dyDescent="0.25">
      <c r="A87" s="111">
        <v>46191</v>
      </c>
      <c r="B87" s="36" t="s">
        <v>153</v>
      </c>
      <c r="C87" s="27" t="s">
        <v>154</v>
      </c>
      <c r="D87" s="28"/>
      <c r="E87" s="29">
        <v>3</v>
      </c>
      <c r="F87" s="30" t="s">
        <v>243</v>
      </c>
      <c r="G87" s="31"/>
      <c r="H87" s="32" t="s">
        <v>225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>30</v>
      </c>
      <c r="O87" t="str">
        <f>IF(AND(D86&gt;0,F86="أحد الشركاء"),COUNTIFS($D$4:D86,"&gt;"&amp;0,$F$4:F86,"أحد الشركاء"),"")</f>
        <v/>
      </c>
    </row>
    <row r="88" spans="1:15" ht="18.75" customHeight="1" x14ac:dyDescent="0.25">
      <c r="A88" s="111">
        <v>46199</v>
      </c>
      <c r="B88" s="36" t="s">
        <v>156</v>
      </c>
      <c r="C88" s="37" t="s">
        <v>157</v>
      </c>
      <c r="D88" s="38"/>
      <c r="E88" s="39">
        <v>22</v>
      </c>
      <c r="F88" s="112" t="s">
        <v>243</v>
      </c>
      <c r="G88" s="40"/>
      <c r="H88" s="41" t="s">
        <v>225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>31</v>
      </c>
      <c r="O88" t="str">
        <f>IF(AND(D87&gt;0,F87="أحد الشركاء"),COUNTIFS($D$4:D87,"&gt;"&amp;0,$F$4:F87,"أحد الشركاء"),"")</f>
        <v/>
      </c>
    </row>
    <row r="89" spans="1:15" ht="18.75" customHeight="1" x14ac:dyDescent="0.25">
      <c r="A89" s="111">
        <v>46199</v>
      </c>
      <c r="B89" s="36" t="s">
        <v>158</v>
      </c>
      <c r="C89" s="27" t="s">
        <v>159</v>
      </c>
      <c r="D89" s="28"/>
      <c r="E89" s="29">
        <v>9</v>
      </c>
      <c r="F89" s="30" t="s">
        <v>243</v>
      </c>
      <c r="G89" s="31"/>
      <c r="H89" s="32" t="s">
        <v>225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>32</v>
      </c>
      <c r="O89" t="str">
        <f>IF(AND(D88&gt;0,F88="أحد الشركاء"),COUNTIFS($D$4:D88,"&gt;"&amp;0,$F$4:F88,"أحد الشركاء"),"")</f>
        <v/>
      </c>
    </row>
    <row r="90" spans="1:15" ht="18.75" customHeight="1" x14ac:dyDescent="0.25">
      <c r="A90" s="111">
        <v>46197</v>
      </c>
      <c r="B90" s="36"/>
      <c r="C90" s="37" t="s">
        <v>161</v>
      </c>
      <c r="D90" s="38">
        <v>12</v>
      </c>
      <c r="E90" s="39"/>
      <c r="F90" s="112" t="s">
        <v>223</v>
      </c>
      <c r="G90" s="40" t="s">
        <v>224</v>
      </c>
      <c r="H90" s="41" t="s">
        <v>225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>33</v>
      </c>
      <c r="O90" t="str">
        <f>IF(AND(D89&gt;0,F89="أحد الشركاء"),COUNTIFS($D$4:D89,"&gt;"&amp;0,$F$4:F89,"أحد الشركاء"),"")</f>
        <v/>
      </c>
    </row>
    <row r="91" spans="1:15" ht="18.75" customHeight="1" x14ac:dyDescent="0.25">
      <c r="A91" s="25">
        <v>46201</v>
      </c>
      <c r="B91" s="36" t="s">
        <v>163</v>
      </c>
      <c r="C91" s="27" t="s">
        <v>164</v>
      </c>
      <c r="D91" s="28"/>
      <c r="E91" s="29">
        <v>8.25</v>
      </c>
      <c r="F91" s="30" t="s">
        <v>243</v>
      </c>
      <c r="G91" s="31"/>
      <c r="H91" s="32" t="s">
        <v>225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>34</v>
      </c>
      <c r="O91" t="str">
        <f>IF(AND(D90&gt;0,F90="أحد الشركاء"),COUNTIFS($D$4:D90,"&gt;"&amp;0,$F$4:F90,"أحد الشركاء"),"")</f>
        <v/>
      </c>
    </row>
    <row r="92" spans="1:15" ht="18.75" customHeight="1" x14ac:dyDescent="0.25">
      <c r="A92" s="111">
        <v>46202</v>
      </c>
      <c r="B92" s="36" t="s">
        <v>166</v>
      </c>
      <c r="C92" s="37" t="s">
        <v>167</v>
      </c>
      <c r="D92" s="38"/>
      <c r="E92" s="39">
        <v>2.25</v>
      </c>
      <c r="F92" s="112" t="s">
        <v>243</v>
      </c>
      <c r="G92" s="40"/>
      <c r="H92" s="41" t="s">
        <v>225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>35</v>
      </c>
      <c r="O92" t="str">
        <f>IF(AND(D91&gt;0,F91="أحد الشركاء"),COUNTIFS($D$4:D91,"&gt;"&amp;0,$F$4:F91,"أحد الشركاء"),"")</f>
        <v/>
      </c>
    </row>
    <row r="93" spans="1:15" ht="18.75" customHeight="1" x14ac:dyDescent="0.25">
      <c r="A93" s="111">
        <v>46202</v>
      </c>
      <c r="B93" s="36" t="s">
        <v>168</v>
      </c>
      <c r="C93" s="27" t="s">
        <v>169</v>
      </c>
      <c r="D93" s="28"/>
      <c r="E93" s="29">
        <v>3</v>
      </c>
      <c r="F93" s="30" t="s">
        <v>243</v>
      </c>
      <c r="G93" s="31"/>
      <c r="H93" s="32" t="s">
        <v>225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>36</v>
      </c>
      <c r="O93" t="str">
        <f>IF(AND(D92&gt;0,F92="أحد الشركاء"),COUNTIFS($D$4:D92,"&gt;"&amp;0,$F$4:F92,"أحد الشركاء"),"")</f>
        <v/>
      </c>
    </row>
    <row r="94" spans="1:15" ht="18.75" customHeight="1" x14ac:dyDescent="0.25">
      <c r="A94" s="111">
        <v>46203</v>
      </c>
      <c r="B94" s="36" t="s">
        <v>171</v>
      </c>
      <c r="C94" s="37" t="s">
        <v>172</v>
      </c>
      <c r="D94" s="38"/>
      <c r="E94" s="39">
        <v>4</v>
      </c>
      <c r="F94" s="112" t="s">
        <v>243</v>
      </c>
      <c r="G94" s="40"/>
      <c r="H94" s="41" t="s">
        <v>225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>37</v>
      </c>
      <c r="O94" t="str">
        <f>IF(AND(D93&gt;0,F93="أحد الشركاء"),COUNTIFS($D$4:D93,"&gt;"&amp;0,$F$4:F93,"أحد الشركاء"),"")</f>
        <v/>
      </c>
    </row>
    <row r="95" spans="1:15" ht="18.75" customHeight="1" x14ac:dyDescent="0.25">
      <c r="A95" s="111">
        <v>46203</v>
      </c>
      <c r="B95" s="36" t="s">
        <v>173</v>
      </c>
      <c r="C95" s="27" t="s">
        <v>174</v>
      </c>
      <c r="D95" s="28"/>
      <c r="E95" s="29">
        <v>4</v>
      </c>
      <c r="F95" s="30" t="s">
        <v>243</v>
      </c>
      <c r="G95" s="31"/>
      <c r="H95" s="32" t="s">
        <v>225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>38</v>
      </c>
      <c r="O95" t="str">
        <f>IF(AND(D94&gt;0,F94="أحد الشركاء"),COUNTIFS($D$4:D94,"&gt;"&amp;0,$F$4:F94,"أحد الشركاء"),"")</f>
        <v/>
      </c>
    </row>
    <row r="96" spans="1:15" ht="18.75" customHeight="1" x14ac:dyDescent="0.25">
      <c r="A96" s="111">
        <v>46203</v>
      </c>
      <c r="B96" s="36" t="s">
        <v>175</v>
      </c>
      <c r="C96" s="37" t="s">
        <v>176</v>
      </c>
      <c r="D96" s="38"/>
      <c r="E96" s="39">
        <v>2</v>
      </c>
      <c r="F96" s="112" t="s">
        <v>243</v>
      </c>
      <c r="G96" s="40"/>
      <c r="H96" s="41" t="s">
        <v>225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>39</v>
      </c>
      <c r="O96" t="str">
        <f>IF(AND(D95&gt;0,F95="أحد الشركاء"),COUNTIFS($D$4:D95,"&gt;"&amp;0,$F$4:F95,"أحد الشركاء"),"")</f>
        <v/>
      </c>
    </row>
    <row r="97" spans="1:15" ht="18.75" customHeight="1" x14ac:dyDescent="0.25">
      <c r="A97" s="111">
        <v>46203</v>
      </c>
      <c r="B97" s="26"/>
      <c r="C97" s="27" t="s">
        <v>177</v>
      </c>
      <c r="D97" s="28">
        <v>420</v>
      </c>
      <c r="E97" s="29"/>
      <c r="F97" s="30" t="s">
        <v>223</v>
      </c>
      <c r="G97" s="31" t="s">
        <v>224</v>
      </c>
      <c r="H97" s="32" t="s">
        <v>225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5.0500000000000114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>40</v>
      </c>
      <c r="O97" t="str">
        <f>IF(AND(D96&gt;0,F96="أحد الشركاء"),COUNTIFS($D$4:D96,"&gt;"&amp;0,$F$4:F96,"أحد الشركاء"),"")</f>
        <v/>
      </c>
    </row>
    <row r="98" spans="1:15" ht="18.75" customHeight="1" x14ac:dyDescent="0.25">
      <c r="A98" s="111">
        <v>46203</v>
      </c>
      <c r="B98" s="36"/>
      <c r="C98" s="37" t="s">
        <v>178</v>
      </c>
      <c r="D98" s="38"/>
      <c r="E98" s="39">
        <v>50</v>
      </c>
      <c r="F98" s="112" t="s">
        <v>223</v>
      </c>
      <c r="G98" s="40" t="s">
        <v>193</v>
      </c>
      <c r="H98" s="41" t="s">
        <v>225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55.050000000000011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>41</v>
      </c>
      <c r="O98" t="str">
        <f>IF(AND(D97&gt;0,F97="أحد الشركاء"),COUNTIFS($D$4:D97,"&gt;"&amp;0,$F$4:F97,"أحد الشركاء"),"")</f>
        <v/>
      </c>
    </row>
    <row r="99" spans="1:15" ht="18.75" customHeight="1" x14ac:dyDescent="0.25">
      <c r="A99" s="111">
        <v>46203</v>
      </c>
      <c r="B99" s="26"/>
      <c r="C99" s="37" t="s">
        <v>179</v>
      </c>
      <c r="D99" s="28"/>
      <c r="E99" s="29">
        <v>50</v>
      </c>
      <c r="F99" s="30" t="s">
        <v>223</v>
      </c>
      <c r="G99" s="31" t="s">
        <v>187</v>
      </c>
      <c r="H99" s="32" t="s">
        <v>225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>
        <f>IF(E98&gt;0,COUNTIF($E$4:E98,"&gt;0"),"")</f>
        <v>67</v>
      </c>
      <c r="M99" t="str">
        <f>IF(AND(D98&gt;0,G98="المحفظة"),COUNTIFS($D$4:D98,"&gt;"&amp;0,$G$4:G98,"المحفظة"),"")</f>
        <v/>
      </c>
      <c r="N99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>42</v>
      </c>
      <c r="O99" t="str">
        <f>IF(AND(D98&gt;0,F98="أحد الشركاء"),COUNTIFS($D$4:D98,"&gt;"&amp;0,$F$4:F98,"أحد الشركاء"),"")</f>
        <v/>
      </c>
    </row>
    <row r="100" spans="1:15" ht="18.75" customHeight="1" x14ac:dyDescent="0.25">
      <c r="A100" s="111">
        <v>46203</v>
      </c>
      <c r="B100" s="36"/>
      <c r="C100" s="37" t="s">
        <v>180</v>
      </c>
      <c r="D100" s="38">
        <v>80</v>
      </c>
      <c r="E100" s="39"/>
      <c r="F100" s="112" t="s">
        <v>223</v>
      </c>
      <c r="G100" s="40" t="s">
        <v>224</v>
      </c>
      <c r="H100" s="41" t="s">
        <v>225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>
        <f>IF(E99&gt;0,COUNTIF($E$4:E99,"&gt;0"),"")</f>
        <v>68</v>
      </c>
      <c r="M100" t="str">
        <f>IF(AND(D99&gt;0,G99="المحفظة"),COUNTIFS($D$4:D99,"&gt;"&amp;0,$G$4:G99,"المحفظة"),"")</f>
        <v/>
      </c>
      <c r="N100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>43</v>
      </c>
      <c r="O100" t="str">
        <f>IF(AND(D99&gt;0,F99="أحد الشركاء"),COUNTIFS($D$4:D99,"&gt;"&amp;0,$F$4:F99,"أحد الشركاء"),"")</f>
        <v/>
      </c>
    </row>
    <row r="101" spans="1:15" ht="18.75" customHeight="1" x14ac:dyDescent="0.25">
      <c r="A101" s="25">
        <v>46207</v>
      </c>
      <c r="B101" s="36"/>
      <c r="C101" s="37" t="s">
        <v>308</v>
      </c>
      <c r="D101" s="28">
        <v>20</v>
      </c>
      <c r="E101" s="29"/>
      <c r="F101" s="30" t="s">
        <v>223</v>
      </c>
      <c r="G101" s="31" t="s">
        <v>224</v>
      </c>
      <c r="H101" s="32" t="s">
        <v>225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</row>
    <row r="102" spans="1:15" ht="18.75" customHeight="1" x14ac:dyDescent="0.25">
      <c r="A102" s="111">
        <v>46206</v>
      </c>
      <c r="B102" s="36" t="s">
        <v>309</v>
      </c>
      <c r="C102" s="37" t="s">
        <v>310</v>
      </c>
      <c r="D102" s="38"/>
      <c r="E102" s="39">
        <v>2.5</v>
      </c>
      <c r="F102" s="112" t="s">
        <v>243</v>
      </c>
      <c r="G102" s="40"/>
      <c r="H102" s="41" t="s">
        <v>225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</row>
    <row r="103" spans="1:15" ht="18.75" customHeight="1" x14ac:dyDescent="0.25">
      <c r="A103" s="25"/>
      <c r="B103" s="26"/>
      <c r="C103" s="27"/>
      <c r="D103" s="28"/>
      <c r="E103" s="29"/>
      <c r="F103" s="30"/>
      <c r="G103" s="31"/>
      <c r="H103" s="32"/>
      <c r="I103" s="33"/>
      <c r="J103" s="34" t="str">
        <f>IF(AND(D103="",E103="",A103="",B103="",C103=""),"", IFERROR(IF(J102="",D2,J102),D2)+IF(E103="",0,E103)-IF(OR(G103="أبو اسحاق",G103="أبو آدم",G103="أبو اسحاق ",G103="أبو آدم "),0,IF(D103="",0,D103)))</f>
        <v/>
      </c>
      <c r="K103" s="35"/>
      <c r="L103">
        <f>IF(E102&gt;0,COUNTIF($E$4:E102,"&gt;0"),"")</f>
        <v>69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</row>
    <row r="104" spans="1:15" ht="18.75" customHeight="1" x14ac:dyDescent="0.25">
      <c r="A104" s="111"/>
      <c r="B104" s="36"/>
      <c r="C104" s="37"/>
      <c r="D104" s="38"/>
      <c r="E104" s="39"/>
      <c r="F104" s="112"/>
      <c r="G104" s="40"/>
      <c r="H104" s="41"/>
      <c r="I104" s="42"/>
      <c r="J104" s="43" t="str">
        <f>IF(AND(D104="",E104="",A104="",B104="",C104=""),"", IFERROR(IF(J103="",D2,J103),D2)+IF(E104="",0,E104)-IF(OR(G104="أبو اسحاق",G104="أبو آدم",G104="أبو اسحاق ",G104="أبو آدم "),0,IF(D104="",0,D104)))</f>
        <v/>
      </c>
      <c r="K104" s="44"/>
      <c r="L104" t="str">
        <f>IF(E103&gt;0,COUNTIF($E$4:E103,"&gt;0"),"")</f>
        <v/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</row>
    <row r="105" spans="1:15" ht="18.75" customHeight="1" x14ac:dyDescent="0.25">
      <c r="A105" s="25"/>
      <c r="B105" s="26"/>
      <c r="C105" s="27"/>
      <c r="D105" s="28"/>
      <c r="E105" s="29"/>
      <c r="F105" s="30"/>
      <c r="G105" s="31"/>
      <c r="H105" s="32"/>
      <c r="I105" s="33"/>
      <c r="J105" s="34" t="str">
        <f>IF(AND(D105="",E105="",A105="",B105="",C105=""),"", IFERROR(IF(J104="",D2,J104),D2)+IF(E105="",0,E105)-IF(OR(G105="أبو اسحاق",G105="أبو آدم",G105="أبو اسحاق ",G105="أبو آدم "),0,IF(D105="",0,D105)))</f>
        <v/>
      </c>
      <c r="K105" s="35"/>
      <c r="L105" t="str">
        <f>IF(E104&gt;0,COUNTIF($E$4:E104,"&gt;0"),"")</f>
        <v/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</row>
    <row r="106" spans="1:15" ht="18.75" customHeight="1" x14ac:dyDescent="0.25">
      <c r="A106" s="111"/>
      <c r="B106" s="36"/>
      <c r="C106" s="37"/>
      <c r="D106" s="38"/>
      <c r="E106" s="39"/>
      <c r="F106" s="112"/>
      <c r="G106" s="40"/>
      <c r="H106" s="41"/>
      <c r="I106" s="42"/>
      <c r="J106" s="43" t="str">
        <f>IF(AND(D106="",E106="",A106="",B106="",C106=""),"", IFERROR(IF(J105="",D2,J105),D2)+IF(E106="",0,E106)-IF(OR(G106="أبو اسحاق",G106="أبو آدم",G106="أبو اسحاق ",G106="أبو آدم "),0,IF(D106="",0,D106)))</f>
        <v/>
      </c>
      <c r="K106" s="44"/>
      <c r="L106" t="str">
        <f>IF(E105&gt;0,COUNTIF($E$4:E105,"&gt;0"),"")</f>
        <v/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</row>
    <row r="107" spans="1:15" ht="18.75" customHeight="1" x14ac:dyDescent="0.25">
      <c r="A107" s="25"/>
      <c r="B107" s="26"/>
      <c r="C107" s="27"/>
      <c r="D107" s="28"/>
      <c r="E107" s="29"/>
      <c r="F107" s="30"/>
      <c r="G107" s="31"/>
      <c r="H107" s="32"/>
      <c r="I107" s="33"/>
      <c r="J107" s="34" t="str">
        <f>IF(AND(D107="",E107="",A107="",B107="",C107=""),"", IFERROR(IF(J106="",D2,J106),D2)+IF(E107="",0,E107)-IF(OR(G107="أبو اسحاق",G107="أبو آدم",G107="أبو اسحاق ",G107="أبو آدم "),0,IF(D107="",0,D107)))</f>
        <v/>
      </c>
      <c r="K107" s="35"/>
      <c r="L107" t="str">
        <f>IF(E106&gt;0,COUNTIF($E$4:E106,"&gt;0"),"")</f>
        <v/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</row>
    <row r="108" spans="1:15" ht="18.75" customHeight="1" x14ac:dyDescent="0.25">
      <c r="A108" s="111"/>
      <c r="B108" s="36"/>
      <c r="C108" s="37"/>
      <c r="D108" s="38"/>
      <c r="E108" s="39"/>
      <c r="F108" s="112"/>
      <c r="G108" s="40"/>
      <c r="H108" s="41"/>
      <c r="I108" s="42"/>
      <c r="J108" s="43" t="str">
        <f>IF(AND(D108="",E108="",A108="",B108="",C108=""),"", IFERROR(IF(J107="",D2,J107),D2)+IF(E108="",0,E108)-IF(OR(G108="أبو اسحاق",G108="أبو آدم",G108="أبو اسحاق ",G108="أبو آدم "),0,IF(D108="",0,D108)))</f>
        <v/>
      </c>
      <c r="K108" s="44"/>
      <c r="L108" t="str">
        <f>IF(E107&gt;0,COUNTIF($E$4:E107,"&gt;0"),"")</f>
        <v/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</row>
    <row r="109" spans="1:15" ht="18.75" customHeight="1" x14ac:dyDescent="0.25">
      <c r="A109" s="25"/>
      <c r="B109" s="26"/>
      <c r="C109" s="27"/>
      <c r="D109" s="28"/>
      <c r="E109" s="29"/>
      <c r="F109" s="30"/>
      <c r="G109" s="31"/>
      <c r="H109" s="32"/>
      <c r="I109" s="33"/>
      <c r="J109" s="34" t="str">
        <f>IF(AND(D109="",E109="",A109="",B109="",C109=""),"", IFERROR(IF(J108="",D2,J108),D2)+IF(E109="",0,E109)-IF(OR(G109="أبو اسحاق",G109="أبو آدم",G109="أبو اسحاق ",G109="أبو آدم "),0,IF(D109="",0,D109)))</f>
        <v/>
      </c>
      <c r="K109" s="35"/>
      <c r="L109" t="str">
        <f>IF(E108&gt;0,COUNTIF($E$4:E108,"&gt;0"),"")</f>
        <v/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</row>
    <row r="110" spans="1:15" ht="18.75" customHeight="1" x14ac:dyDescent="0.25">
      <c r="A110" s="111"/>
      <c r="B110" s="36"/>
      <c r="C110" s="37"/>
      <c r="D110" s="38"/>
      <c r="E110" s="39"/>
      <c r="F110" s="112"/>
      <c r="G110" s="40"/>
      <c r="H110" s="41"/>
      <c r="I110" s="42"/>
      <c r="J110" s="43" t="str">
        <f>IF(AND(D110="",E110="",A110="",B110="",C110=""),"", IFERROR(IF(J109="",D2,J109),D2)+IF(E110="",0,E110)-IF(OR(G110="أبو اسحاق",G110="أبو آدم",G110="أبو اسحاق ",G110="أبو آدم "),0,IF(D110="",0,D110)))</f>
        <v/>
      </c>
      <c r="K110" s="44"/>
      <c r="L110" t="str">
        <f>IF(E109&gt;0,COUNTIF($E$4:E109,"&gt;0"),"")</f>
        <v/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</row>
    <row r="111" spans="1:15" ht="18.75" customHeight="1" x14ac:dyDescent="0.25">
      <c r="A111" s="25"/>
      <c r="B111" s="26"/>
      <c r="C111" s="27"/>
      <c r="D111" s="28"/>
      <c r="E111" s="29"/>
      <c r="F111" s="30"/>
      <c r="G111" s="31"/>
      <c r="H111" s="32"/>
      <c r="I111" s="33"/>
      <c r="J111" s="34" t="str">
        <f>IF(AND(D111="",E111="",A111="",B111="",C111=""),"", IFERROR(IF(J110="",D2,J110),D2)+IF(E111="",0,E111)-IF(OR(G111="أبو اسحاق",G111="أبو آدم",G111="أبو اسحاق ",G111="أبو آدم "),0,IF(D111="",0,D111)))</f>
        <v/>
      </c>
      <c r="K111" s="35"/>
      <c r="L111" t="str">
        <f>IF(E110&gt;0,COUNTIF($E$4:E110,"&gt;0"),"")</f>
        <v/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</row>
    <row r="112" spans="1:15" ht="18.75" customHeight="1" x14ac:dyDescent="0.25">
      <c r="A112" s="111"/>
      <c r="B112" s="36"/>
      <c r="C112" s="37"/>
      <c r="D112" s="38"/>
      <c r="E112" s="39"/>
      <c r="F112" s="112"/>
      <c r="G112" s="40"/>
      <c r="H112" s="41"/>
      <c r="I112" s="42"/>
      <c r="J112" s="43" t="str">
        <f>IF(AND(D112="",E112="",A112="",B112="",C112=""),"", IFERROR(IF(J111="",D2,J111),D2)+IF(E112="",0,E112)-IF(OR(G112="أبو اسحاق",G112="أبو آدم",G112="أبو اسحاق ",G112="أبو آدم "),0,IF(D112="",0,D112)))</f>
        <v/>
      </c>
      <c r="K112" s="44"/>
      <c r="L112" t="str">
        <f>IF(E111&gt;0,COUNTIF($E$4:E111,"&gt;0"),"")</f>
        <v/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</row>
    <row r="113" spans="1:15" ht="18.75" customHeight="1" x14ac:dyDescent="0.25">
      <c r="A113" s="25"/>
      <c r="B113" s="26"/>
      <c r="C113" s="27"/>
      <c r="D113" s="28"/>
      <c r="E113" s="29"/>
      <c r="F113" s="30"/>
      <c r="G113" s="31"/>
      <c r="H113" s="32"/>
      <c r="I113" s="33"/>
      <c r="J113" s="34" t="str">
        <f>IF(AND(D113="",E113="",A113="",B113="",C113=""),"", IFERROR(IF(J112="",D2,J112),D2)+IF(E113="",0,E113)-IF(OR(G113="أبو اسحاق",G113="أبو آدم",G113="أبو اسحاق ",G113="أبو آدم "),0,IF(D113="",0,D113)))</f>
        <v/>
      </c>
      <c r="K113" s="35"/>
      <c r="L113" t="str">
        <f>IF(E112&gt;0,COUNTIF($E$4:E112,"&gt;0"),"")</f>
        <v/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</row>
    <row r="114" spans="1:15" ht="18.75" customHeight="1" x14ac:dyDescent="0.25">
      <c r="A114" s="111"/>
      <c r="B114" s="36"/>
      <c r="C114" s="37"/>
      <c r="D114" s="38"/>
      <c r="E114" s="39"/>
      <c r="F114" s="112"/>
      <c r="G114" s="40"/>
      <c r="H114" s="41"/>
      <c r="I114" s="42"/>
      <c r="J114" s="43" t="str">
        <f>IF(AND(D114="",E114="",A114="",B114="",C114=""),"", IFERROR(IF(J113="",D2,J113),D2)+IF(E114="",0,E114)-IF(OR(G114="أبو اسحاق",G114="أبو آدم",G114="أبو اسحاق ",G114="أبو آدم "),0,IF(D114="",0,D114)))</f>
        <v/>
      </c>
      <c r="K114" s="44"/>
      <c r="L114" t="str">
        <f>IF(E113&gt;0,COUNTIF($E$4:E113,"&gt;0"),"")</f>
        <v/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</row>
    <row r="115" spans="1:15" ht="18.75" customHeight="1" x14ac:dyDescent="0.25">
      <c r="A115" s="25"/>
      <c r="B115" s="26"/>
      <c r="C115" s="27"/>
      <c r="D115" s="28"/>
      <c r="E115" s="29"/>
      <c r="F115" s="30"/>
      <c r="G115" s="31"/>
      <c r="H115" s="32"/>
      <c r="I115" s="33"/>
      <c r="J115" s="34" t="str">
        <f>IF(AND(D115="",E115="",A115="",B115="",C115=""),"", IFERROR(IF(J114="",D2,J114),D2)+IF(E115="",0,E115)-IF(OR(G115="أبو اسحاق",G115="أبو آدم",G115="أبو اسحاق ",G115="أبو آدم "),0,IF(D115="",0,D115)))</f>
        <v/>
      </c>
      <c r="K115" s="35"/>
      <c r="L115" t="str">
        <f>IF(E114&gt;0,COUNTIF($E$4:E114,"&gt;0"),"")</f>
        <v/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</row>
    <row r="116" spans="1:15" ht="18.75" customHeight="1" x14ac:dyDescent="0.25">
      <c r="A116" s="111"/>
      <c r="B116" s="36"/>
      <c r="C116" s="37"/>
      <c r="D116" s="38"/>
      <c r="E116" s="39"/>
      <c r="F116" s="112"/>
      <c r="G116" s="40"/>
      <c r="H116" s="41"/>
      <c r="I116" s="42"/>
      <c r="J116" s="43" t="str">
        <f>IF(AND(D116="",E116="",A116="",B116="",C116=""),"", IFERROR(IF(J115="",D2,J115),D2)+IF(E116="",0,E116)-IF(OR(G116="أبو اسحاق",G116="أبو آدم",G116="أبو اسحاق ",G116="أبو آدم "),0,IF(D116="",0,D116)))</f>
        <v/>
      </c>
      <c r="K116" s="44"/>
      <c r="L116" t="str">
        <f>IF(E115&gt;0,COUNTIF($E$4:E115,"&gt;0"),"")</f>
        <v/>
      </c>
      <c r="M116" t="str">
        <f>IF(AND(D115&gt;0,G115="المحفظة"),COUNTIFS($D$4:D115,"&gt;"&amp;0,$G$4:G115,"المحفظة"),"")</f>
        <v/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</row>
    <row r="117" spans="1:15" ht="18.75" customHeight="1" x14ac:dyDescent="0.25">
      <c r="A117" s="25"/>
      <c r="B117" s="26"/>
      <c r="C117" s="27"/>
      <c r="D117" s="28"/>
      <c r="E117" s="29"/>
      <c r="F117" s="30"/>
      <c r="G117" s="31"/>
      <c r="H117" s="32"/>
      <c r="I117" s="33"/>
      <c r="J117" s="34" t="str">
        <f>IF(AND(D117="",E117="",A117="",B117="",C117=""),"", IFERROR(IF(J116="",D2,J116),D2)+IF(E117="",0,E117)-IF(OR(G117="أبو اسحاق",G117="أبو آدم",G117="أبو اسحاق ",G117="أبو آدم "),0,IF(D117="",0,D117)))</f>
        <v/>
      </c>
      <c r="K117" s="35"/>
      <c r="L117" t="str">
        <f>IF(E116&gt;0,COUNTIF($E$4:E116,"&gt;0"),"")</f>
        <v/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</row>
    <row r="118" spans="1:15" ht="18.75" customHeight="1" x14ac:dyDescent="0.25">
      <c r="A118" s="111"/>
      <c r="B118" s="36"/>
      <c r="C118" s="37"/>
      <c r="D118" s="38"/>
      <c r="E118" s="39"/>
      <c r="F118" s="112"/>
      <c r="G118" s="40"/>
      <c r="H118" s="41"/>
      <c r="I118" s="42"/>
      <c r="J118" s="43" t="str">
        <f>IF(AND(D118="",E118="",A118="",B118="",C118=""),"", IFERROR(IF(J117="",D2,J117),D2)+IF(E118="",0,E118)-IF(OR(G118="أبو اسحاق",G118="أبو آدم",G118="أبو اسحاق ",G118="أبو آدم "),0,IF(D118="",0,D118)))</f>
        <v/>
      </c>
      <c r="K118" s="44"/>
      <c r="L118" t="str">
        <f>IF(E117&gt;0,COUNTIF($E$4:E117,"&gt;0"),"")</f>
        <v/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</row>
    <row r="119" spans="1:15" ht="18.75" customHeight="1" x14ac:dyDescent="0.25">
      <c r="A119" s="25"/>
      <c r="B119" s="26"/>
      <c r="C119" s="27"/>
      <c r="D119" s="28"/>
      <c r="E119" s="29"/>
      <c r="F119" s="30"/>
      <c r="G119" s="31"/>
      <c r="H119" s="32"/>
      <c r="I119" s="33"/>
      <c r="J119" s="34" t="str">
        <f>IF(AND(D119="",E119="",A119="",B119="",C119=""),"", IFERROR(IF(J118="",D2,J118),D2)+IF(E119="",0,E119)-IF(OR(G119="أبو اسحاق",G119="أبو آدم",G119="أبو اسحاق ",G119="أبو آدم "),0,IF(D119="",0,D119)))</f>
        <v/>
      </c>
      <c r="K119" s="35"/>
      <c r="L119" t="str">
        <f>IF(E118&gt;0,COUNTIF($E$4:E118,"&gt;0"),"")</f>
        <v/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</row>
    <row r="120" spans="1:15" ht="18.75" customHeight="1" x14ac:dyDescent="0.25">
      <c r="A120" s="111"/>
      <c r="B120" s="36"/>
      <c r="C120" s="37"/>
      <c r="D120" s="38"/>
      <c r="E120" s="39"/>
      <c r="F120" s="112"/>
      <c r="G120" s="40"/>
      <c r="H120" s="41"/>
      <c r="I120" s="42"/>
      <c r="J120" s="43" t="str">
        <f>IF(AND(D120="",E120="",A120="",B120="",C120=""),"", IFERROR(IF(J119="",D2,J119),D2)+IF(E120="",0,E120)-IF(OR(G120="أبو اسحاق",G120="أبو آدم",G120="أبو اسحاق ",G120="أبو آدم "),0,IF(D120="",0,D120)))</f>
        <v/>
      </c>
      <c r="K120" s="44"/>
      <c r="L120" t="str">
        <f>IF(E119&gt;0,COUNTIF($E$4:E119,"&gt;0"),"")</f>
        <v/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</row>
    <row r="121" spans="1:15" ht="18.75" customHeight="1" x14ac:dyDescent="0.25">
      <c r="A121" s="25"/>
      <c r="B121" s="26"/>
      <c r="C121" s="27"/>
      <c r="D121" s="28"/>
      <c r="E121" s="29"/>
      <c r="F121" s="30"/>
      <c r="G121" s="31"/>
      <c r="H121" s="32"/>
      <c r="I121" s="33"/>
      <c r="J121" s="34" t="str">
        <f>IF(AND(D121="",E121="",A121="",B121="",C121=""),"", IFERROR(IF(J120="",D2,J120),D2)+IF(E121="",0,E121)-IF(OR(G121="أبو اسحاق",G121="أبو آدم",G121="أبو اسحاق ",G121="أبو آدم "),0,IF(D121="",0,D121)))</f>
        <v/>
      </c>
      <c r="K121" s="35"/>
      <c r="L121" t="str">
        <f>IF(E120&gt;0,COUNTIF($E$4:E120,"&gt;0"),"")</f>
        <v/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</row>
    <row r="122" spans="1:15" ht="18.75" customHeight="1" x14ac:dyDescent="0.25">
      <c r="A122" s="111"/>
      <c r="B122" s="36"/>
      <c r="C122" s="37"/>
      <c r="D122" s="38"/>
      <c r="E122" s="39"/>
      <c r="F122" s="112"/>
      <c r="G122" s="40"/>
      <c r="H122" s="41"/>
      <c r="I122" s="42"/>
      <c r="J122" s="43" t="str">
        <f>IF(AND(D122="",E122="",A122="",B122="",C122=""),"", IFERROR(IF(J121="",D2,J121),D2)+IF(E122="",0,E122)-IF(OR(G122="أبو اسحاق",G122="أبو آدم",G122="أبو اسحاق ",G122="أبو آدم "),0,IF(D122="",0,D122)))</f>
        <v/>
      </c>
      <c r="K122" s="44"/>
      <c r="L122" t="str">
        <f>IF(E121&gt;0,COUNTIF($E$4:E121,"&gt;0"),"")</f>
        <v/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</row>
    <row r="123" spans="1:15" ht="18.75" customHeight="1" x14ac:dyDescent="0.25">
      <c r="A123" s="25"/>
      <c r="B123" s="26"/>
      <c r="C123" s="27"/>
      <c r="D123" s="28"/>
      <c r="E123" s="29"/>
      <c r="F123" s="30"/>
      <c r="G123" s="31"/>
      <c r="H123" s="32"/>
      <c r="I123" s="33"/>
      <c r="J123" s="34" t="str">
        <f>IF(AND(D123="",E123="",A123="",B123="",C123=""),"", IFERROR(IF(J122="",D2,J122),D2)+IF(E123="",0,E123)-IF(OR(G123="أبو اسحاق",G123="أبو آدم",G123="أبو اسحاق ",G123="أبو آدم "),0,IF(D123="",0,D123)))</f>
        <v/>
      </c>
      <c r="K123" s="35"/>
      <c r="L123" t="str">
        <f>IF(E122&gt;0,COUNTIF($E$4:E122,"&gt;0"),"")</f>
        <v/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</row>
    <row r="124" spans="1:15" ht="18.75" customHeight="1" x14ac:dyDescent="0.25">
      <c r="A124" s="111"/>
      <c r="B124" s="36"/>
      <c r="C124" s="37"/>
      <c r="D124" s="38"/>
      <c r="E124" s="39"/>
      <c r="F124" s="112"/>
      <c r="G124" s="40"/>
      <c r="H124" s="41"/>
      <c r="I124" s="42"/>
      <c r="J124" s="43" t="str">
        <f>IF(AND(D124="",E124="",A124="",B124="",C124=""),"", IFERROR(IF(J123="",D2,J123),D2)+IF(E124="",0,E124)-IF(OR(G124="أبو اسحاق",G124="أبو آدم",G124="أبو اسحاق ",G124="أبو آدم "),0,IF(D124="",0,D124)))</f>
        <v/>
      </c>
      <c r="K124" s="44"/>
      <c r="L124" t="str">
        <f>IF(E123&gt;0,COUNTIF($E$4:E123,"&gt;0"),"")</f>
        <v/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</row>
    <row r="125" spans="1:15" ht="18.75" customHeight="1" x14ac:dyDescent="0.25">
      <c r="A125" s="25"/>
      <c r="B125" s="26"/>
      <c r="C125" s="27"/>
      <c r="D125" s="28"/>
      <c r="E125" s="29"/>
      <c r="F125" s="30"/>
      <c r="G125" s="31"/>
      <c r="H125" s="32"/>
      <c r="I125" s="33"/>
      <c r="J125" s="34" t="str">
        <f>IF(AND(D125="",E125="",A125="",B125="",C125=""),"", IFERROR(IF(J124="",D2,J124),D2)+IF(E125="",0,E125)-IF(OR(G125="أبو اسحاق",G125="أبو آدم",G125="أبو اسحاق ",G125="أبو آدم "),0,IF(D125="",0,D125)))</f>
        <v/>
      </c>
      <c r="K125" s="35"/>
      <c r="L125" t="str">
        <f>IF(E124&gt;0,COUNTIF($E$4:E124,"&gt;0"),"")</f>
        <v/>
      </c>
      <c r="M125" t="str">
        <f>IF(AND(D124&gt;0,G124="المحفظة"),COUNTIFS($D$4:D124,"&gt;"&amp;0,$G$4:G124,"المحفظة"),"")</f>
        <v/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</row>
    <row r="126" spans="1:15" ht="18.75" customHeight="1" x14ac:dyDescent="0.25">
      <c r="A126" s="111"/>
      <c r="B126" s="36"/>
      <c r="C126" s="37"/>
      <c r="D126" s="38"/>
      <c r="E126" s="39"/>
      <c r="F126" s="112"/>
      <c r="G126" s="40"/>
      <c r="H126" s="41"/>
      <c r="I126" s="42"/>
      <c r="J126" s="43" t="str">
        <f>IF(AND(D126="",E126="",A126="",B126="",C126=""),"", IFERROR(IF(J125="",D2,J125),D2)+IF(E126="",0,E126)-IF(OR(G126="أبو اسحاق",G126="أبو آدم",G126="أبو اسحاق ",G126="أبو آدم "),0,IF(D126="",0,D126)))</f>
        <v/>
      </c>
      <c r="K126" s="44"/>
      <c r="L126" t="str">
        <f>IF(E125&gt;0,COUNTIF($E$4:E125,"&gt;0"),"")</f>
        <v/>
      </c>
      <c r="M126" t="str">
        <f>IF(AND(D125&gt;0,G125="المحفظة"),COUNTIFS($D$4:D125,"&gt;"&amp;0,$G$4:G125,"المحفظة"),"")</f>
        <v/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</row>
    <row r="127" spans="1:15" ht="18.75" customHeight="1" x14ac:dyDescent="0.25">
      <c r="A127" s="25"/>
      <c r="B127" s="26"/>
      <c r="C127" s="27"/>
      <c r="D127" s="28"/>
      <c r="E127" s="29"/>
      <c r="F127" s="30"/>
      <c r="G127" s="31"/>
      <c r="H127" s="32"/>
      <c r="I127" s="33"/>
      <c r="J127" s="34" t="str">
        <f>IF(AND(D127="",E127="",A127="",B127="",C127=""),"", IFERROR(IF(J126="",D2,J126),D2)+IF(E127="",0,E127)-IF(OR(G127="أبو اسحاق",G127="أبو آدم",G127="أبو اسحاق ",G127="أبو آدم "),0,IF(D127="",0,D127)))</f>
        <v/>
      </c>
      <c r="K127" s="35"/>
      <c r="L127" t="str">
        <f>IF(E126&gt;0,COUNTIF($E$4:E126,"&gt;0"),"")</f>
        <v/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</row>
    <row r="128" spans="1:15" ht="18.75" customHeight="1" x14ac:dyDescent="0.25">
      <c r="A128" s="111"/>
      <c r="B128" s="36"/>
      <c r="C128" s="37"/>
      <c r="D128" s="38"/>
      <c r="E128" s="39"/>
      <c r="F128" s="112"/>
      <c r="G128" s="40"/>
      <c r="H128" s="41"/>
      <c r="I128" s="42"/>
      <c r="J128" s="43" t="str">
        <f>IF(AND(D128="",E128="",A128="",B128="",C128=""),"", IFERROR(IF(J127="",D2,J127),D2)+IF(E128="",0,E128)-IF(OR(G128="أبو اسحاق",G128="أبو آدم",G128="أبو اسحاق ",G128="أبو آدم "),0,IF(D128="",0,D128)))</f>
        <v/>
      </c>
      <c r="K128" s="44"/>
      <c r="L128" t="str">
        <f>IF(E127&gt;0,COUNTIF($E$4:E127,"&gt;0"),"")</f>
        <v/>
      </c>
      <c r="M128" t="str">
        <f>IF(AND(D127&gt;0,G127="المحفظة"),COUNTIFS($D$4:D127,"&gt;"&amp;0,$G$4:G127,"المحفظة"),"")</f>
        <v/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</row>
    <row r="129" spans="1:15" ht="18.75" customHeight="1" x14ac:dyDescent="0.25">
      <c r="A129" s="25"/>
      <c r="B129" s="26"/>
      <c r="C129" s="27"/>
      <c r="D129" s="28"/>
      <c r="E129" s="29"/>
      <c r="F129" s="30"/>
      <c r="G129" s="31"/>
      <c r="H129" s="32"/>
      <c r="I129" s="33"/>
      <c r="J129" s="34" t="str">
        <f>IF(AND(D129="",E129="",A129="",B129="",C129=""),"", IFERROR(IF(J128="",D2,J128),D2)+IF(E129="",0,E129)-IF(OR(G129="أبو اسحاق",G129="أبو آدم",G129="أبو اسحاق ",G129="أبو آدم "),0,IF(D129="",0,D129)))</f>
        <v/>
      </c>
      <c r="K129" s="35"/>
      <c r="L129" t="str">
        <f>IF(E128&gt;0,COUNTIF($E$4:E128,"&gt;0"),"")</f>
        <v/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</row>
    <row r="130" spans="1:15" ht="18.75" customHeight="1" x14ac:dyDescent="0.25">
      <c r="A130" s="111"/>
      <c r="B130" s="36"/>
      <c r="C130" s="37"/>
      <c r="D130" s="38"/>
      <c r="E130" s="39"/>
      <c r="F130" s="112"/>
      <c r="G130" s="40"/>
      <c r="H130" s="41"/>
      <c r="I130" s="42"/>
      <c r="J130" s="43" t="str">
        <f>IF(AND(D130="",E130="",A130="",B130="",C130=""),"", IFERROR(IF(J129="",D2,J129),D2)+IF(E130="",0,E130)-IF(OR(G130="أبو اسحاق",G130="أبو آدم",G130="أبو اسحاق ",G130="أبو آدم "),0,IF(D130="",0,D130)))</f>
        <v/>
      </c>
      <c r="K130" s="44"/>
      <c r="L130" t="str">
        <f>IF(E129&gt;0,COUNTIF($E$4:E129,"&gt;0"),"")</f>
        <v/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</row>
    <row r="131" spans="1:15" ht="18.75" customHeight="1" x14ac:dyDescent="0.25">
      <c r="A131" s="25"/>
      <c r="B131" s="26"/>
      <c r="C131" s="27"/>
      <c r="D131" s="28"/>
      <c r="E131" s="29"/>
      <c r="F131" s="30"/>
      <c r="G131" s="31"/>
      <c r="H131" s="32"/>
      <c r="I131" s="33"/>
      <c r="J131" s="34" t="str">
        <f>IF(AND(D131="",E131="",A131="",B131="",C131=""),"", IFERROR(IF(J130="",D2,J130),D2)+IF(E131="",0,E131)-IF(OR(G131="أبو اسحاق",G131="أبو آدم",G131="أبو اسحاق ",G131="أبو آدم "),0,IF(D131="",0,D131)))</f>
        <v/>
      </c>
      <c r="K131" s="35"/>
      <c r="L131" t="str">
        <f>IF(E130&gt;0,COUNTIF($E$4:E130,"&gt;0"),"")</f>
        <v/>
      </c>
      <c r="M131" t="str">
        <f>IF(AND(D130&gt;0,G130="المحفظة"),COUNTIFS($D$4:D130,"&gt;"&amp;0,$G$4:G130,"المحفظة"),"")</f>
        <v/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</row>
    <row r="132" spans="1:15" ht="18.75" customHeight="1" x14ac:dyDescent="0.25">
      <c r="A132" s="111"/>
      <c r="B132" s="36"/>
      <c r="C132" s="37"/>
      <c r="D132" s="38"/>
      <c r="E132" s="39"/>
      <c r="F132" s="112"/>
      <c r="G132" s="40"/>
      <c r="H132" s="41"/>
      <c r="I132" s="42"/>
      <c r="J132" s="43" t="str">
        <f>IF(AND(D132="",E132="",A132="",B132="",C132=""),"", IFERROR(IF(J131="",D2,J131),D2)+IF(E132="",0,E132)-IF(OR(G132="أبو اسحاق",G132="أبو آدم",G132="أبو اسحاق ",G132="أبو آدم "),0,IF(D132="",0,D132)))</f>
        <v/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 t="str">
        <f>IF(AND(D131&gt;0,F131="أحد الشركاء"),COUNTIFS($D$4:D131,"&gt;"&amp;0,$F$4:F131,"أحد الشركاء"),"")</f>
        <v/>
      </c>
    </row>
    <row r="133" spans="1:15" ht="18.75" customHeight="1" x14ac:dyDescent="0.25">
      <c r="A133" s="25"/>
      <c r="B133" s="26"/>
      <c r="C133" s="27"/>
      <c r="D133" s="28"/>
      <c r="E133" s="29"/>
      <c r="F133" s="30"/>
      <c r="G133" s="31"/>
      <c r="H133" s="32"/>
      <c r="I133" s="33"/>
      <c r="J133" s="34" t="str">
        <f>IF(AND(D133="",E133="",A133="",B133="",C133=""),"", IFERROR(IF(J132="",D2,J132),D2)+IF(E133="",0,E133)-IF(OR(G133="أبو اسحاق",G133="أبو آدم",G133="أبو اسحاق ",G133="أبو آدم "),0,IF(D133="",0,D133)))</f>
        <v/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 t="str">
        <f>IF(AND(D132&gt;0,F132="أحد الشركاء"),COUNTIFS($D$4:D132,"&gt;"&amp;0,$F$4:F132,"أحد الشركاء"),"")</f>
        <v/>
      </c>
    </row>
    <row r="134" spans="1:15" ht="18.75" customHeight="1" x14ac:dyDescent="0.25">
      <c r="A134" s="111"/>
      <c r="B134" s="36"/>
      <c r="C134" s="37"/>
      <c r="D134" s="38"/>
      <c r="E134" s="39"/>
      <c r="F134" s="112"/>
      <c r="G134" s="40"/>
      <c r="H134" s="41"/>
      <c r="I134" s="42"/>
      <c r="J134" s="43" t="str">
        <f>IF(AND(D134="",E134="",A134="",B134="",C134=""),"", IFERROR(IF(J133="",D2,J133),D2)+IF(E134="",0,E134)-IF(OR(G134="أبو اسحاق",G134="أبو آدم",G134="أبو اسحاق ",G134="أبو آدم "),0,IF(D134="",0,D134)))</f>
        <v/>
      </c>
      <c r="K134" s="44"/>
      <c r="L134" t="str">
        <f>IF(E133&gt;0,COUNTIF($E$4:E133,"&gt;0"),"")</f>
        <v/>
      </c>
      <c r="M134" t="str">
        <f>IF(AND(D133&gt;0,G133="المحفظة"),COUNTIFS($D$4:D133,"&gt;"&amp;0,$G$4:G133,"المحفظة"),"")</f>
        <v/>
      </c>
      <c r="N134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t="str">
        <f>IF(AND(D133&gt;0,F133="أحد الشركاء"),COUNTIFS($D$4:D133,"&gt;"&amp;0,$F$4:F133,"أحد الشركاء"),"")</f>
        <v/>
      </c>
    </row>
    <row r="135" spans="1:15" ht="18.75" customHeight="1" x14ac:dyDescent="0.25">
      <c r="A135" s="25"/>
      <c r="B135" s="26"/>
      <c r="C135" s="27"/>
      <c r="D135" s="28"/>
      <c r="E135" s="29"/>
      <c r="F135" s="30"/>
      <c r="G135" s="31"/>
      <c r="H135" s="32"/>
      <c r="I135" s="33"/>
      <c r="J135" s="34" t="str">
        <f>IF(AND(D135="",E135="",A135="",B135="",C135=""),"", IFERROR(IF(J134="",D2,J134),D2)+IF(E135="",0,E135)-IF(OR(G135="أبو اسحاق",G135="أبو آدم",G135="أبو اسحاق ",G135="أبو آدم "),0,IF(D135="",0,D135)))</f>
        <v/>
      </c>
      <c r="K135" s="35"/>
      <c r="L135" t="str">
        <f>IF(E134&gt;0,COUNTIF($E$4:E134,"&gt;0"),"")</f>
        <v/>
      </c>
      <c r="M135" t="str">
        <f>IF(AND(D134&gt;0,G134="المحفظة"),COUNTIFS($D$4:D134,"&gt;"&amp;0,$G$4:G134,"المحفظة"),"")</f>
        <v/>
      </c>
      <c r="N135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t="str">
        <f>IF(AND(D134&gt;0,F134="أحد الشركاء"),COUNTIFS($D$4:D134,"&gt;"&amp;0,$F$4:F134,"أحد الشركاء"),"")</f>
        <v/>
      </c>
    </row>
    <row r="136" spans="1:15" ht="18.75" customHeight="1" x14ac:dyDescent="0.25">
      <c r="A136" s="111"/>
      <c r="B136" s="36"/>
      <c r="C136" s="37"/>
      <c r="D136" s="38"/>
      <c r="E136" s="39"/>
      <c r="F136" s="112"/>
      <c r="G136" s="40"/>
      <c r="H136" s="41"/>
      <c r="I136" s="42"/>
      <c r="J136" s="43" t="str">
        <f>IF(AND(D136="",E136="",A136="",B136="",C136=""),"", IFERROR(IF(J135="",D2,J135),D2)+IF(E136="",0,E136)-IF(OR(G136="أبو اسحاق",G136="أبو آدم",G136="أبو اسحاق ",G136="أبو آدم "),0,IF(D136="",0,D136)))</f>
        <v/>
      </c>
      <c r="K136" s="44"/>
      <c r="L136" t="str">
        <f>IF(E135&gt;0,COUNTIF($E$4:E135,"&gt;0"),"")</f>
        <v/>
      </c>
      <c r="M136" t="str">
        <f>IF(AND(D135&gt;0,G135="المحفظة"),COUNTIFS($D$4:D135,"&gt;"&amp;0,$G$4:G135,"المحفظة"),"")</f>
        <v/>
      </c>
      <c r="N136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t="str">
        <f>IF(AND(D135&gt;0,F135="أحد الشركاء"),COUNTIFS($D$4:D135,"&gt;"&amp;0,$F$4:F135,"أحد الشركاء"),"")</f>
        <v/>
      </c>
    </row>
    <row r="137" spans="1:15" ht="18.75" customHeight="1" x14ac:dyDescent="0.25">
      <c r="A137" s="25"/>
      <c r="B137" s="26"/>
      <c r="C137" s="27"/>
      <c r="D137" s="28"/>
      <c r="E137" s="29"/>
      <c r="F137" s="30"/>
      <c r="G137" s="31"/>
      <c r="H137" s="32"/>
      <c r="I137" s="33"/>
      <c r="J137" s="34" t="str">
        <f>IF(AND(D137="",E137="",A137="",B137="",C137=""),"", IFERROR(IF(J136="",D2,J136),D2)+IF(E137="",0,E137)-IF(OR(G137="أبو اسحاق",G137="أبو آدم",G137="أبو اسحاق ",G137="أبو آدم "),0,IF(D137="",0,D137)))</f>
        <v/>
      </c>
      <c r="K137" s="35"/>
      <c r="L137" t="str">
        <f>IF(E136&gt;0,COUNTIF($E$4:E136,"&gt;0"),"")</f>
        <v/>
      </c>
      <c r="M137" t="str">
        <f>IF(AND(D136&gt;0,G136="المحفظة"),COUNTIFS($D$4:D136,"&gt;"&amp;0,$G$4:G136,"المحفظة"),"")</f>
        <v/>
      </c>
      <c r="N137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t="str">
        <f>IF(AND(D136&gt;0,F136="أحد الشركاء"),COUNTIFS($D$4:D136,"&gt;"&amp;0,$F$4:F136,"أحد الشركاء"),"")</f>
        <v/>
      </c>
    </row>
    <row r="138" spans="1:15" ht="18.75" customHeight="1" x14ac:dyDescent="0.25">
      <c r="A138" s="111"/>
      <c r="B138" s="36"/>
      <c r="C138" s="37"/>
      <c r="D138" s="38"/>
      <c r="E138" s="39"/>
      <c r="F138" s="112"/>
      <c r="G138" s="40"/>
      <c r="H138" s="41"/>
      <c r="I138" s="42"/>
      <c r="J138" s="43" t="str">
        <f>IF(AND(D138="",E138="",A138="",B138="",C138=""),"", IFERROR(IF(J137="",D2,J137),D2)+IF(E138="",0,E138)-IF(OR(G138="أبو اسحاق",G138="أبو آدم",G138="أبو اسحاق ",G138="أبو آدم "),0,IF(D138="",0,D138)))</f>
        <v/>
      </c>
      <c r="K138" s="44"/>
      <c r="L138" t="str">
        <f>IF(E137&gt;0,COUNTIF($E$4:E137,"&gt;0"),"")</f>
        <v/>
      </c>
      <c r="M138" t="str">
        <f>IF(AND(D137&gt;0,G137="المحفظة"),COUNTIFS($D$4:D137,"&gt;"&amp;0,$G$4:G137,"المحفظة"),"")</f>
        <v/>
      </c>
      <c r="N138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t="str">
        <f>IF(AND(D137&gt;0,F137="أحد الشركاء"),COUNTIFS($D$4:D137,"&gt;"&amp;0,$F$4:F137,"أحد الشركاء"),"")</f>
        <v/>
      </c>
    </row>
    <row r="139" spans="1:15" ht="18.75" customHeight="1" x14ac:dyDescent="0.25">
      <c r="A139" s="25"/>
      <c r="B139" s="26"/>
      <c r="C139" s="27"/>
      <c r="D139" s="28"/>
      <c r="E139" s="29"/>
      <c r="F139" s="30"/>
      <c r="G139" s="31"/>
      <c r="H139" s="32"/>
      <c r="I139" s="33"/>
      <c r="J139" s="34" t="str">
        <f>IF(AND(D139="",E139="",A139="",B139="",C139=""),"", IFERROR(IF(J138="",D2,J138),D2)+IF(E139="",0,E139)-IF(OR(G139="أبو اسحاق",G139="أبو آدم",G139="أبو اسحاق ",G139="أبو آدم "),0,IF(D139="",0,D139)))</f>
        <v/>
      </c>
      <c r="K139" s="35"/>
      <c r="L139" t="str">
        <f>IF(E138&gt;0,COUNTIF($E$4:E138,"&gt;0"),"")</f>
        <v/>
      </c>
      <c r="M139" t="str">
        <f>IF(AND(D138&gt;0,G138="المحفظة"),COUNTIFS($D$4:D138,"&gt;"&amp;0,$G$4:G138,"المحفظة"),"")</f>
        <v/>
      </c>
      <c r="N139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t="str">
        <f>IF(AND(D138&gt;0,F138="أحد الشركاء"),COUNTIFS($D$4:D138,"&gt;"&amp;0,$F$4:F138,"أحد الشركاء"),"")</f>
        <v/>
      </c>
    </row>
    <row r="140" spans="1:15" ht="18.75" customHeight="1" x14ac:dyDescent="0.25">
      <c r="A140" s="111"/>
      <c r="B140" s="36"/>
      <c r="C140" s="37"/>
      <c r="D140" s="38"/>
      <c r="E140" s="39"/>
      <c r="F140" s="112"/>
      <c r="G140" s="40"/>
      <c r="H140" s="41"/>
      <c r="I140" s="42"/>
      <c r="J140" s="43" t="str">
        <f>IF(AND(D140="",E140="",A140="",B140="",C140=""),"", IFERROR(IF(J139="",D2,J139),D2)+IF(E140="",0,E140)-IF(OR(G140="أبو اسحاق",G140="أبو آدم",G140="أبو اسحاق ",G140="أبو آدم "),0,IF(D140="",0,D140)))</f>
        <v/>
      </c>
      <c r="K140" s="44"/>
      <c r="L140" t="str">
        <f>IF(E139&gt;0,COUNTIF($E$4:E139,"&gt;0"),"")</f>
        <v/>
      </c>
      <c r="M140" t="str">
        <f>IF(AND(D139&gt;0,G139="المحفظة"),COUNTIFS($D$4:D139,"&gt;"&amp;0,$G$4:G139,"المحفظة"),"")</f>
        <v/>
      </c>
      <c r="N140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t="str">
        <f>IF(AND(D139&gt;0,F139="أحد الشركاء"),COUNTIFS($D$4:D139,"&gt;"&amp;0,$F$4:F139,"أحد الشركاء"),"")</f>
        <v/>
      </c>
    </row>
    <row r="141" spans="1:15" ht="18.75" customHeight="1" x14ac:dyDescent="0.25">
      <c r="A141" s="25"/>
      <c r="B141" s="26"/>
      <c r="C141" s="27"/>
      <c r="D141" s="28"/>
      <c r="E141" s="29"/>
      <c r="F141" s="30"/>
      <c r="G141" s="31"/>
      <c r="H141" s="32"/>
      <c r="I141" s="33"/>
      <c r="J141" s="34" t="str">
        <f>IF(AND(D141="",E141="",A141="",B141="",C141=""),"", IFERROR(IF(J140="",D2,J140),D2)+IF(E141="",0,E141)-IF(OR(G141="أبو اسحاق",G141="أبو آدم",G141="أبو اسحاق ",G141="أبو آدم "),0,IF(D141="",0,D141)))</f>
        <v/>
      </c>
      <c r="K141" s="35"/>
      <c r="L141" t="str">
        <f>IF(E140&gt;0,COUNTIF($E$4:E140,"&gt;0"),"")</f>
        <v/>
      </c>
      <c r="M141" t="str">
        <f>IF(AND(D140&gt;0,G140="المحفظة"),COUNTIFS($D$4:D140,"&gt;"&amp;0,$G$4:G140,"المحفظة"),"")</f>
        <v/>
      </c>
      <c r="N14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t="str">
        <f>IF(AND(D140&gt;0,F140="أحد الشركاء"),COUNTIFS($D$4:D140,"&gt;"&amp;0,$F$4:F140,"أحد الشركاء"),"")</f>
        <v/>
      </c>
    </row>
    <row r="142" spans="1:15" ht="18.75" customHeight="1" x14ac:dyDescent="0.25">
      <c r="A142" s="111"/>
      <c r="B142" s="36"/>
      <c r="C142" s="37"/>
      <c r="D142" s="38"/>
      <c r="E142" s="39"/>
      <c r="F142" s="112"/>
      <c r="G142" s="40"/>
      <c r="H142" s="41"/>
      <c r="I142" s="42"/>
      <c r="J142" s="43" t="str">
        <f>IF(AND(D142="",E142="",A142="",B142="",C142=""),"", IFERROR(IF(J141="",D2,J141),D2)+IF(E142="",0,E142)-IF(OR(G142="أبو اسحاق",G142="أبو آدم",G142="أبو اسحاق ",G142="أبو آدم "),0,IF(D142="",0,D142)))</f>
        <v/>
      </c>
      <c r="K142" s="44"/>
      <c r="L142" t="str">
        <f>IF(E141&gt;0,COUNTIF($E$4:E141,"&gt;0"),"")</f>
        <v/>
      </c>
      <c r="M142" t="str">
        <f>IF(AND(D141&gt;0,G141="المحفظة"),COUNTIFS($D$4:D141,"&gt;"&amp;0,$G$4:G141,"المحفظة"),"")</f>
        <v/>
      </c>
      <c r="N142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t="str">
        <f>IF(AND(D141&gt;0,F141="أحد الشركاء"),COUNTIFS($D$4:D141,"&gt;"&amp;0,$F$4:F141,"أحد الشركاء"),"")</f>
        <v/>
      </c>
    </row>
    <row r="143" spans="1:15" ht="18.75" customHeight="1" x14ac:dyDescent="0.25">
      <c r="A143" s="25"/>
      <c r="B143" s="26"/>
      <c r="C143" s="27"/>
      <c r="D143" s="28"/>
      <c r="E143" s="29"/>
      <c r="F143" s="30"/>
      <c r="G143" s="31"/>
      <c r="H143" s="32"/>
      <c r="I143" s="33"/>
      <c r="J143" s="34" t="str">
        <f>IF(AND(D143="",E143="",A143="",B143="",C143=""),"", IFERROR(IF(J142="",D2,J142),D2)+IF(E143="",0,E143)-IF(OR(G143="أبو اسحاق",G143="أبو آدم",G143="أبو اسحاق ",G143="أبو آدم "),0,IF(D143="",0,D143)))</f>
        <v/>
      </c>
      <c r="K143" s="35"/>
      <c r="L143" t="str">
        <f>IF(E142&gt;0,COUNTIF($E$4:E142,"&gt;0"),"")</f>
        <v/>
      </c>
      <c r="M143" t="str">
        <f>IF(AND(D142&gt;0,G142="المحفظة"),COUNTIFS($D$4:D142,"&gt;"&amp;0,$G$4:G142,"المحفظة"),"")</f>
        <v/>
      </c>
      <c r="N143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t="str">
        <f>IF(AND(D142&gt;0,F142="أحد الشركاء"),COUNTIFS($D$4:D142,"&gt;"&amp;0,$F$4:F142,"أحد الشركاء"),"")</f>
        <v/>
      </c>
    </row>
    <row r="144" spans="1:15" ht="18.75" customHeight="1" x14ac:dyDescent="0.25">
      <c r="A144" s="111"/>
      <c r="B144" s="36"/>
      <c r="C144" s="37"/>
      <c r="D144" s="38"/>
      <c r="E144" s="39"/>
      <c r="F144" s="112"/>
      <c r="G144" s="40"/>
      <c r="H144" s="41"/>
      <c r="I144" s="42"/>
      <c r="J144" s="43" t="str">
        <f>IF(AND(D144="",E144="",A144="",B144="",C144=""),"", IFERROR(IF(J143="",D2,J143),D2)+IF(E144="",0,E144)-IF(OR(G144="أبو اسحاق",G144="أبو آدم",G144="أبو اسحاق ",G144="أبو آدم "),0,IF(D144="",0,D144)))</f>
        <v/>
      </c>
      <c r="K144" s="44"/>
      <c r="L144" t="str">
        <f>IF(E143&gt;0,COUNTIF($E$4:E143,"&gt;0"),"")</f>
        <v/>
      </c>
      <c r="M144" t="str">
        <f>IF(AND(D143&gt;0,G143="المحفظة"),COUNTIFS($D$4:D143,"&gt;"&amp;0,$G$4:G143,"المحفظة"),"")</f>
        <v/>
      </c>
      <c r="N144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t="str">
        <f>IF(AND(D143&gt;0,F143="أحد الشركاء"),COUNTIFS($D$4:D143,"&gt;"&amp;0,$F$4:F143,"أحد الشركاء"),"")</f>
        <v/>
      </c>
    </row>
    <row r="145" spans="1:15" ht="18.75" customHeight="1" x14ac:dyDescent="0.25">
      <c r="A145" s="25"/>
      <c r="B145" s="26"/>
      <c r="C145" s="27"/>
      <c r="D145" s="28"/>
      <c r="E145" s="29"/>
      <c r="F145" s="30"/>
      <c r="G145" s="31"/>
      <c r="H145" s="32"/>
      <c r="I145" s="33"/>
      <c r="J145" s="34" t="str">
        <f>IF(AND(D145="",E145="",A145="",B145="",C145=""),"", IFERROR(IF(J144="",D2,J144),D2)+IF(E145="",0,E145)-IF(OR(G145="أبو اسحاق",G145="أبو آدم",G145="أبو اسحاق ",G145="أبو آدم "),0,IF(D145="",0,D145)))</f>
        <v/>
      </c>
      <c r="K145" s="3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t="str">
        <f>IF(AND(D144&gt;0,F144="أحد الشركاء"),COUNTIFS($D$4:D144,"&gt;"&amp;0,$F$4:F144,"أحد الشركاء"),"")</f>
        <v/>
      </c>
    </row>
    <row r="146" spans="1:15" ht="18.75" customHeight="1" x14ac:dyDescent="0.25">
      <c r="A146" s="111"/>
      <c r="B146" s="36"/>
      <c r="C146" s="37"/>
      <c r="D146" s="38"/>
      <c r="E146" s="39"/>
      <c r="F146" s="112"/>
      <c r="G146" s="40"/>
      <c r="H146" s="41"/>
      <c r="I146" s="42"/>
      <c r="J146" s="43" t="str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44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t="str">
        <f>IF(AND(D145&gt;0,F145="أحد الشركاء"),COUNTIFS($D$4:D145,"&gt;"&amp;0,$F$4:F145,"أحد الشركاء"),"")</f>
        <v/>
      </c>
    </row>
    <row r="147" spans="1:15" ht="18.75" customHeight="1" x14ac:dyDescent="0.25">
      <c r="A147" s="25"/>
      <c r="B147" s="26"/>
      <c r="C147" s="27"/>
      <c r="D147" s="28"/>
      <c r="E147" s="29"/>
      <c r="F147" s="30"/>
      <c r="G147" s="31"/>
      <c r="H147" s="32"/>
      <c r="I147" s="33"/>
      <c r="J147" s="34" t="str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3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t="str">
        <f>IF(AND(D146&gt;0,F146="أحد الشركاء"),COUNTIFS($D$4:D146,"&gt;"&amp;0,$F$4:F146,"أحد الشركاء"),"")</f>
        <v/>
      </c>
    </row>
    <row r="148" spans="1:15" ht="18.75" customHeight="1" x14ac:dyDescent="0.25">
      <c r="A148" s="111"/>
      <c r="B148" s="36"/>
      <c r="C148" s="37"/>
      <c r="D148" s="38"/>
      <c r="E148" s="39"/>
      <c r="F148" s="112"/>
      <c r="G148" s="40"/>
      <c r="H148" s="41"/>
      <c r="I148" s="42"/>
      <c r="J148" s="43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44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</row>
    <row r="149" spans="1:15" ht="18.75" customHeight="1" x14ac:dyDescent="0.25">
      <c r="A149" s="25"/>
      <c r="B149" s="26"/>
      <c r="C149" s="27"/>
      <c r="D149" s="28"/>
      <c r="E149" s="29"/>
      <c r="F149" s="30"/>
      <c r="G149" s="31"/>
      <c r="H149" s="32"/>
      <c r="I149" s="33"/>
      <c r="J149" s="3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3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</row>
    <row r="150" spans="1:15" ht="18.75" customHeight="1" x14ac:dyDescent="0.25">
      <c r="A150" s="111"/>
      <c r="B150" s="36"/>
      <c r="C150" s="37"/>
      <c r="D150" s="38"/>
      <c r="E150" s="39"/>
      <c r="F150" s="112"/>
      <c r="G150" s="40"/>
      <c r="H150" s="41"/>
      <c r="I150" s="42"/>
      <c r="J150" s="43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44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</row>
    <row r="151" spans="1:15" ht="18.75" customHeight="1" x14ac:dyDescent="0.25">
      <c r="A151" s="25"/>
      <c r="B151" s="26"/>
      <c r="C151" s="27"/>
      <c r="D151" s="28"/>
      <c r="E151" s="29"/>
      <c r="F151" s="30"/>
      <c r="G151" s="31"/>
      <c r="H151" s="32"/>
      <c r="I151" s="33"/>
      <c r="J151" s="3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3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</row>
    <row r="152" spans="1:15" ht="18.75" customHeight="1" x14ac:dyDescent="0.25">
      <c r="A152" s="111"/>
      <c r="B152" s="36"/>
      <c r="C152" s="37"/>
      <c r="D152" s="38"/>
      <c r="E152" s="39"/>
      <c r="F152" s="112"/>
      <c r="G152" s="40"/>
      <c r="H152" s="41"/>
      <c r="I152" s="42"/>
      <c r="J152" s="43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44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</row>
    <row r="153" spans="1:15" ht="18.75" customHeight="1" x14ac:dyDescent="0.25">
      <c r="A153" s="25"/>
      <c r="B153" s="26"/>
      <c r="C153" s="27"/>
      <c r="D153" s="28"/>
      <c r="E153" s="29"/>
      <c r="F153" s="30"/>
      <c r="G153" s="31"/>
      <c r="H153" s="32"/>
      <c r="I153" s="33"/>
      <c r="J153" s="3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3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</row>
    <row r="154" spans="1:15" ht="18.75" customHeight="1" x14ac:dyDescent="0.25">
      <c r="A154" s="111"/>
      <c r="B154" s="36"/>
      <c r="C154" s="37"/>
      <c r="D154" s="38"/>
      <c r="E154" s="39"/>
      <c r="F154" s="112"/>
      <c r="G154" s="40"/>
      <c r="H154" s="41"/>
      <c r="I154" s="42"/>
      <c r="J154" s="43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44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</row>
    <row r="155" spans="1:15" ht="18.75" customHeight="1" x14ac:dyDescent="0.25">
      <c r="A155" s="25"/>
      <c r="B155" s="26"/>
      <c r="C155" s="27"/>
      <c r="D155" s="28"/>
      <c r="E155" s="29"/>
      <c r="F155" s="30"/>
      <c r="G155" s="31"/>
      <c r="H155" s="32"/>
      <c r="I155" s="33"/>
      <c r="J155" s="3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3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</row>
    <row r="156" spans="1:15" ht="18.75" customHeight="1" x14ac:dyDescent="0.25">
      <c r="A156" s="111"/>
      <c r="B156" s="36"/>
      <c r="C156" s="37"/>
      <c r="D156" s="38"/>
      <c r="E156" s="39"/>
      <c r="F156" s="112"/>
      <c r="G156" s="40"/>
      <c r="H156" s="41"/>
      <c r="I156" s="42"/>
      <c r="J156" s="43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44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</row>
    <row r="157" spans="1:15" ht="18.75" customHeight="1" x14ac:dyDescent="0.25">
      <c r="A157" s="25"/>
      <c r="B157" s="26"/>
      <c r="C157" s="27"/>
      <c r="D157" s="28"/>
      <c r="E157" s="29"/>
      <c r="F157" s="30"/>
      <c r="G157" s="31"/>
      <c r="H157" s="32"/>
      <c r="I157" s="33"/>
      <c r="J157" s="3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3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</row>
    <row r="158" spans="1:15" ht="18.75" customHeight="1" x14ac:dyDescent="0.25">
      <c r="A158" s="111"/>
      <c r="B158" s="36"/>
      <c r="C158" s="37"/>
      <c r="D158" s="38"/>
      <c r="E158" s="39"/>
      <c r="F158" s="112"/>
      <c r="G158" s="40"/>
      <c r="H158" s="41"/>
      <c r="I158" s="42"/>
      <c r="J158" s="43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44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</row>
    <row r="159" spans="1:15" ht="18.75" customHeight="1" x14ac:dyDescent="0.25">
      <c r="A159" s="25"/>
      <c r="B159" s="26"/>
      <c r="C159" s="27"/>
      <c r="D159" s="28"/>
      <c r="E159" s="29"/>
      <c r="F159" s="30"/>
      <c r="G159" s="31"/>
      <c r="H159" s="32"/>
      <c r="I159" s="33"/>
      <c r="J159" s="3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</row>
    <row r="160" spans="1:15" ht="18.75" customHeight="1" x14ac:dyDescent="0.25">
      <c r="A160" s="111"/>
      <c r="B160" s="36"/>
      <c r="C160" s="37"/>
      <c r="D160" s="38"/>
      <c r="E160" s="39"/>
      <c r="F160" s="112"/>
      <c r="G160" s="40"/>
      <c r="H160" s="41"/>
      <c r="I160" s="42"/>
      <c r="J160" s="43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</row>
    <row r="161" spans="1:15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</row>
    <row r="162" spans="1:15" ht="18.75" customHeight="1" x14ac:dyDescent="0.25">
      <c r="A162" s="111"/>
      <c r="B162" s="36"/>
      <c r="C162" s="37"/>
      <c r="D162" s="38"/>
      <c r="E162" s="39"/>
      <c r="F162" s="112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</row>
    <row r="163" spans="1:15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</row>
    <row r="164" spans="1:15" ht="18.75" customHeight="1" x14ac:dyDescent="0.25">
      <c r="A164" s="111"/>
      <c r="B164" s="36"/>
      <c r="C164" s="37"/>
      <c r="D164" s="38"/>
      <c r="E164" s="39"/>
      <c r="F164" s="112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</row>
    <row r="165" spans="1:15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</row>
    <row r="166" spans="1:15" ht="18.75" customHeight="1" x14ac:dyDescent="0.25">
      <c r="A166" s="111"/>
      <c r="B166" s="36"/>
      <c r="C166" s="37"/>
      <c r="D166" s="38"/>
      <c r="E166" s="39"/>
      <c r="F166" s="112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</row>
    <row r="167" spans="1:15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</row>
    <row r="168" spans="1:15" ht="18.75" customHeight="1" x14ac:dyDescent="0.25">
      <c r="A168" s="111"/>
      <c r="B168" s="36"/>
      <c r="C168" s="37"/>
      <c r="D168" s="38"/>
      <c r="E168" s="39"/>
      <c r="F168" s="112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</row>
    <row r="169" spans="1:15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</row>
    <row r="170" spans="1:15" ht="18.75" customHeight="1" x14ac:dyDescent="0.25">
      <c r="A170" s="111"/>
      <c r="B170" s="36"/>
      <c r="C170" s="37"/>
      <c r="D170" s="38"/>
      <c r="E170" s="39"/>
      <c r="F170" s="112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</row>
    <row r="171" spans="1:15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</row>
    <row r="172" spans="1:15" ht="18.75" customHeight="1" x14ac:dyDescent="0.25">
      <c r="A172" s="111"/>
      <c r="B172" s="36"/>
      <c r="C172" s="37"/>
      <c r="D172" s="38"/>
      <c r="E172" s="39"/>
      <c r="F172" s="112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</row>
    <row r="173" spans="1:15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</row>
    <row r="174" spans="1:15" ht="18.75" customHeight="1" x14ac:dyDescent="0.25">
      <c r="A174" s="111"/>
      <c r="B174" s="36"/>
      <c r="C174" s="37"/>
      <c r="D174" s="38"/>
      <c r="E174" s="39"/>
      <c r="F174" s="112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</row>
    <row r="175" spans="1:15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</row>
    <row r="176" spans="1:15" ht="18.75" customHeight="1" x14ac:dyDescent="0.25">
      <c r="A176" s="111"/>
      <c r="B176" s="36"/>
      <c r="C176" s="37"/>
      <c r="D176" s="38"/>
      <c r="E176" s="39"/>
      <c r="F176" s="112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</row>
    <row r="177" spans="1:15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</row>
    <row r="178" spans="1:15" ht="18.75" customHeight="1" x14ac:dyDescent="0.25">
      <c r="A178" s="111"/>
      <c r="B178" s="36"/>
      <c r="C178" s="37"/>
      <c r="D178" s="38"/>
      <c r="E178" s="39"/>
      <c r="F178" s="112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</row>
    <row r="179" spans="1:15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</row>
    <row r="180" spans="1:15" ht="18.75" customHeight="1" x14ac:dyDescent="0.25">
      <c r="A180" s="111"/>
      <c r="B180" s="36"/>
      <c r="C180" s="37"/>
      <c r="D180" s="38"/>
      <c r="E180" s="39"/>
      <c r="F180" s="112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</row>
    <row r="181" spans="1:15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</row>
    <row r="182" spans="1:15" ht="18.75" customHeight="1" x14ac:dyDescent="0.25">
      <c r="A182" s="111"/>
      <c r="B182" s="36"/>
      <c r="C182" s="37"/>
      <c r="D182" s="38"/>
      <c r="E182" s="39"/>
      <c r="F182" s="112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</row>
    <row r="183" spans="1:15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</row>
    <row r="184" spans="1:15" ht="18.75" customHeight="1" x14ac:dyDescent="0.25">
      <c r="A184" s="111"/>
      <c r="B184" s="36"/>
      <c r="C184" s="37"/>
      <c r="D184" s="38"/>
      <c r="E184" s="39"/>
      <c r="F184" s="112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</row>
    <row r="185" spans="1:15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</row>
    <row r="186" spans="1:15" ht="18.75" customHeight="1" x14ac:dyDescent="0.25">
      <c r="A186" s="111"/>
      <c r="B186" s="36"/>
      <c r="C186" s="37"/>
      <c r="D186" s="38"/>
      <c r="E186" s="39"/>
      <c r="F186" s="112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</row>
    <row r="187" spans="1:15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</row>
    <row r="188" spans="1:15" ht="18.75" customHeight="1" x14ac:dyDescent="0.25">
      <c r="A188" s="111"/>
      <c r="B188" s="36"/>
      <c r="C188" s="37"/>
      <c r="D188" s="38"/>
      <c r="E188" s="39"/>
      <c r="F188" s="112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</row>
    <row r="189" spans="1:15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</row>
    <row r="190" spans="1:15" ht="18.75" customHeight="1" x14ac:dyDescent="0.25">
      <c r="A190" s="111"/>
      <c r="B190" s="36"/>
      <c r="C190" s="37"/>
      <c r="D190" s="38"/>
      <c r="E190" s="39"/>
      <c r="F190" s="112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</row>
    <row r="191" spans="1:15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</row>
    <row r="192" spans="1:15" ht="18.75" customHeight="1" x14ac:dyDescent="0.25">
      <c r="A192" s="111"/>
      <c r="B192" s="36"/>
      <c r="C192" s="37"/>
      <c r="D192" s="38"/>
      <c r="E192" s="39"/>
      <c r="F192" s="112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</row>
    <row r="193" spans="1:15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</row>
    <row r="194" spans="1:15" ht="18.75" customHeight="1" x14ac:dyDescent="0.25">
      <c r="A194" s="111"/>
      <c r="B194" s="36"/>
      <c r="C194" s="37"/>
      <c r="D194" s="38"/>
      <c r="E194" s="39"/>
      <c r="F194" s="112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</row>
    <row r="195" spans="1:15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</row>
    <row r="196" spans="1:15" ht="18.75" customHeight="1" x14ac:dyDescent="0.25">
      <c r="A196" s="111"/>
      <c r="B196" s="36"/>
      <c r="C196" s="37"/>
      <c r="D196" s="38"/>
      <c r="E196" s="39"/>
      <c r="F196" s="112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</row>
    <row r="197" spans="1:15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</row>
    <row r="198" spans="1:15" ht="18.75" customHeight="1" x14ac:dyDescent="0.25">
      <c r="A198" s="111"/>
      <c r="B198" s="36"/>
      <c r="C198" s="37"/>
      <c r="D198" s="38"/>
      <c r="E198" s="39"/>
      <c r="F198" s="112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</row>
    <row r="199" spans="1:15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</row>
    <row r="200" spans="1:15" ht="18.75" customHeight="1" x14ac:dyDescent="0.25">
      <c r="A200" s="111"/>
      <c r="B200" s="36"/>
      <c r="C200" s="37"/>
      <c r="D200" s="38"/>
      <c r="E200" s="39"/>
      <c r="F200" s="112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</row>
    <row r="201" spans="1:15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</row>
    <row r="202" spans="1:15" ht="18.75" customHeight="1" x14ac:dyDescent="0.25">
      <c r="A202" s="111"/>
      <c r="B202" s="36"/>
      <c r="C202" s="37"/>
      <c r="D202" s="38"/>
      <c r="E202" s="39"/>
      <c r="F202" s="112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</row>
    <row r="203" spans="1:15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</row>
    <row r="204" spans="1:15" ht="25.5" customHeight="1" x14ac:dyDescent="0.25">
      <c r="A204" s="167"/>
      <c r="B204" s="161"/>
      <c r="C204" s="162"/>
      <c r="D204" s="38"/>
      <c r="E204" s="39"/>
      <c r="F204" s="160"/>
      <c r="G204" s="161"/>
      <c r="H204" s="162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</row>
    <row r="205" spans="1:15" ht="15.75" customHeight="1" x14ac:dyDescent="0.25">
      <c r="A205" s="110" t="s">
        <v>244</v>
      </c>
      <c r="B205" s="47"/>
      <c r="C205" s="47"/>
      <c r="D205" s="48">
        <f>SUM(D4:D203)</f>
        <v>1604.55</v>
      </c>
      <c r="E205" s="48">
        <f>SUM(E4:E203)</f>
        <v>659.6</v>
      </c>
      <c r="F205" s="113">
        <f>COUNTIF(H4:H203,"معلق")</f>
        <v>8</v>
      </c>
      <c r="G205" s="47"/>
      <c r="H205" s="47"/>
      <c r="J205" s="48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5" ht="15" customHeight="1" x14ac:dyDescent="0.25">
      <c r="D206" s="49" t="s">
        <v>245</v>
      </c>
      <c r="E206" s="50" t="s">
        <v>246</v>
      </c>
      <c r="F206" s="51" t="s">
        <v>247</v>
      </c>
      <c r="J206" s="52" t="s">
        <v>248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45" customWidth="1"/>
    <col min="2" max="2" width="36" style="45" customWidth="1"/>
    <col min="3" max="3" width="22" style="45" customWidth="1"/>
  </cols>
  <sheetData>
    <row r="1" spans="1:3" ht="27.75" customHeight="1" x14ac:dyDescent="0.25">
      <c r="A1" s="168" t="s">
        <v>249</v>
      </c>
      <c r="B1" s="161"/>
      <c r="C1" s="161"/>
    </row>
    <row r="2" spans="1:3" ht="21.75" customHeight="1" x14ac:dyDescent="0.25">
      <c r="A2" s="53" t="s">
        <v>250</v>
      </c>
      <c r="B2" s="53" t="s">
        <v>251</v>
      </c>
      <c r="C2" s="53" t="s">
        <v>252</v>
      </c>
    </row>
    <row r="3" spans="1:3" ht="18" customHeight="1" x14ac:dyDescent="0.25">
      <c r="A3" s="54" t="s">
        <v>240</v>
      </c>
      <c r="B3" s="54"/>
      <c r="C3" s="26"/>
    </row>
    <row r="4" spans="1:3" ht="18" customHeight="1" x14ac:dyDescent="0.25">
      <c r="A4" s="55" t="s">
        <v>232</v>
      </c>
      <c r="B4" s="55"/>
      <c r="C4" s="36"/>
    </row>
    <row r="5" spans="1:3" ht="18" customHeight="1" x14ac:dyDescent="0.25">
      <c r="A5" s="54" t="s">
        <v>231</v>
      </c>
      <c r="B5" s="54"/>
      <c r="C5" s="26"/>
    </row>
    <row r="6" spans="1:3" ht="18" customHeight="1" x14ac:dyDescent="0.25">
      <c r="A6" s="55" t="s">
        <v>228</v>
      </c>
      <c r="B6" s="55"/>
      <c r="C6" s="36"/>
    </row>
    <row r="7" spans="1:3" ht="18" customHeight="1" x14ac:dyDescent="0.25">
      <c r="A7" s="54" t="s">
        <v>253</v>
      </c>
      <c r="B7" s="54"/>
      <c r="C7" s="26"/>
    </row>
    <row r="8" spans="1:3" ht="18" customHeight="1" x14ac:dyDescent="0.25">
      <c r="A8" s="55" t="s">
        <v>254</v>
      </c>
      <c r="B8" s="55"/>
      <c r="C8" s="36"/>
    </row>
    <row r="9" spans="1:3" ht="18" customHeight="1" x14ac:dyDescent="0.25">
      <c r="A9" s="54" t="s">
        <v>234</v>
      </c>
      <c r="B9" s="54"/>
      <c r="C9" s="26"/>
    </row>
    <row r="10" spans="1:3" ht="18" customHeight="1" x14ac:dyDescent="0.25">
      <c r="A10" s="55" t="s">
        <v>226</v>
      </c>
      <c r="B10" s="55"/>
      <c r="C10" s="36"/>
    </row>
    <row r="11" spans="1:3" ht="18" customHeight="1" x14ac:dyDescent="0.25">
      <c r="A11" s="54" t="s">
        <v>255</v>
      </c>
      <c r="B11" s="54"/>
      <c r="C11" s="26"/>
    </row>
    <row r="12" spans="1:3" ht="18" customHeight="1" x14ac:dyDescent="0.25">
      <c r="A12" s="55" t="s">
        <v>256</v>
      </c>
      <c r="B12" s="55"/>
      <c r="C12" s="36"/>
    </row>
    <row r="13" spans="1:3" ht="18" customHeight="1" x14ac:dyDescent="0.25">
      <c r="A13" s="54" t="s">
        <v>257</v>
      </c>
      <c r="B13" s="54"/>
      <c r="C13" s="26"/>
    </row>
    <row r="14" spans="1:3" ht="18" customHeight="1" x14ac:dyDescent="0.25">
      <c r="A14" s="55" t="s">
        <v>258</v>
      </c>
      <c r="B14" s="55"/>
      <c r="C14" s="36"/>
    </row>
    <row r="15" spans="1:3" ht="18" customHeight="1" x14ac:dyDescent="0.25">
      <c r="A15" s="54" t="s">
        <v>259</v>
      </c>
      <c r="B15" s="54"/>
      <c r="C15" s="26"/>
    </row>
    <row r="16" spans="1:3" ht="18" customHeight="1" x14ac:dyDescent="0.25">
      <c r="A16" s="55" t="s">
        <v>260</v>
      </c>
      <c r="B16" s="55"/>
      <c r="C16" s="36"/>
    </row>
    <row r="17" spans="1:3" ht="18" customHeight="1" x14ac:dyDescent="0.25">
      <c r="A17" s="54" t="s">
        <v>261</v>
      </c>
      <c r="B17" s="54"/>
      <c r="C17" s="26"/>
    </row>
    <row r="18" spans="1:3" ht="18" customHeight="1" x14ac:dyDescent="0.25">
      <c r="A18" s="55" t="s">
        <v>262</v>
      </c>
      <c r="B18" s="55"/>
      <c r="C18" s="36"/>
    </row>
    <row r="19" spans="1:3" ht="18" customHeight="1" x14ac:dyDescent="0.25">
      <c r="A19" s="54" t="s">
        <v>263</v>
      </c>
      <c r="B19" s="54"/>
      <c r="C19" s="26"/>
    </row>
    <row r="20" spans="1:3" ht="18" customHeight="1" x14ac:dyDescent="0.25">
      <c r="A20" s="55" t="s">
        <v>264</v>
      </c>
      <c r="B20" s="55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45" customWidth="1"/>
    <col min="2" max="2" width="64" style="45" customWidth="1"/>
  </cols>
  <sheetData>
    <row r="1" spans="1:2" ht="30" customHeight="1" x14ac:dyDescent="0.25">
      <c r="A1" s="170" t="s">
        <v>265</v>
      </c>
      <c r="B1" s="161"/>
    </row>
    <row r="2" spans="1:2" ht="21.75" customHeight="1" x14ac:dyDescent="0.25">
      <c r="A2" s="169" t="s">
        <v>266</v>
      </c>
      <c r="B2" s="161"/>
    </row>
    <row r="3" spans="1:2" ht="19.5" customHeight="1" x14ac:dyDescent="0.25">
      <c r="A3" s="56" t="s">
        <v>267</v>
      </c>
      <c r="B3" s="37" t="s">
        <v>268</v>
      </c>
    </row>
    <row r="4" spans="1:2" ht="19.5" customHeight="1" x14ac:dyDescent="0.25">
      <c r="A4" s="57" t="s">
        <v>269</v>
      </c>
      <c r="B4" s="27" t="s">
        <v>270</v>
      </c>
    </row>
    <row r="5" spans="1:2" ht="21.75" customHeight="1" x14ac:dyDescent="0.25">
      <c r="A5" s="169" t="s">
        <v>271</v>
      </c>
      <c r="B5" s="161"/>
    </row>
    <row r="6" spans="1:2" ht="19.5" customHeight="1" x14ac:dyDescent="0.25">
      <c r="A6" s="57" t="s">
        <v>267</v>
      </c>
      <c r="B6" s="27" t="s">
        <v>272</v>
      </c>
    </row>
    <row r="7" spans="1:2" ht="19.5" customHeight="1" x14ac:dyDescent="0.25">
      <c r="A7" s="56" t="s">
        <v>269</v>
      </c>
      <c r="B7" s="37" t="s">
        <v>273</v>
      </c>
    </row>
    <row r="8" spans="1:2" ht="19.5" customHeight="1" x14ac:dyDescent="0.25">
      <c r="A8" s="57" t="s">
        <v>274</v>
      </c>
      <c r="B8" s="27" t="s">
        <v>275</v>
      </c>
    </row>
    <row r="9" spans="1:2" ht="19.5" customHeight="1" x14ac:dyDescent="0.25">
      <c r="A9" s="56" t="s">
        <v>276</v>
      </c>
      <c r="B9" s="37" t="s">
        <v>277</v>
      </c>
    </row>
    <row r="10" spans="1:2" ht="19.5" customHeight="1" x14ac:dyDescent="0.25">
      <c r="A10" s="57" t="s">
        <v>278</v>
      </c>
      <c r="B10" s="27" t="s">
        <v>279</v>
      </c>
    </row>
    <row r="11" spans="1:2" ht="21.75" customHeight="1" x14ac:dyDescent="0.25">
      <c r="A11" s="169" t="s">
        <v>280</v>
      </c>
      <c r="B11" s="161"/>
    </row>
    <row r="12" spans="1:2" ht="19.5" customHeight="1" x14ac:dyDescent="0.25">
      <c r="A12" s="57" t="s">
        <v>267</v>
      </c>
      <c r="B12" s="27" t="s">
        <v>281</v>
      </c>
    </row>
    <row r="13" spans="1:2" ht="19.5" customHeight="1" x14ac:dyDescent="0.25">
      <c r="A13" s="56" t="s">
        <v>269</v>
      </c>
      <c r="B13" s="37" t="s">
        <v>282</v>
      </c>
    </row>
    <row r="14" spans="1:2" ht="19.5" customHeight="1" x14ac:dyDescent="0.25">
      <c r="A14" s="57" t="s">
        <v>274</v>
      </c>
      <c r="B14" s="27" t="s">
        <v>283</v>
      </c>
    </row>
    <row r="15" spans="1:2" ht="19.5" customHeight="1" x14ac:dyDescent="0.25">
      <c r="A15" s="56" t="s">
        <v>276</v>
      </c>
      <c r="B15" s="37" t="s">
        <v>284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45" customWidth="1"/>
    <col min="2" max="2" width="14" style="45" customWidth="1"/>
    <col min="3" max="3" width="36" style="45" customWidth="1"/>
    <col min="4" max="5" width="15" style="45" customWidth="1"/>
    <col min="6" max="6" width="14" style="45" customWidth="1"/>
    <col min="7" max="8" width="13" style="45" customWidth="1"/>
    <col min="9" max="10" width="19" style="45" customWidth="1"/>
    <col min="11" max="11" width="16" style="45" customWidth="1"/>
  </cols>
  <sheetData>
    <row r="1" spans="1:11" ht="30" customHeight="1" x14ac:dyDescent="0.25">
      <c r="A1" s="166" t="s">
        <v>203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1"/>
      <c r="B2" s="161"/>
      <c r="C2" s="58" t="s">
        <v>285</v>
      </c>
      <c r="D2" s="171">
        <v>2026</v>
      </c>
      <c r="E2" s="161"/>
      <c r="F2" s="58" t="s">
        <v>286</v>
      </c>
      <c r="G2" s="174" t="s">
        <v>287</v>
      </c>
      <c r="H2" s="165"/>
      <c r="I2" s="165"/>
      <c r="J2" s="165"/>
      <c r="K2" s="165"/>
    </row>
    <row r="3" spans="1:11" ht="19.5" customHeight="1" x14ac:dyDescent="0.25">
      <c r="A3" s="175" t="s">
        <v>288</v>
      </c>
      <c r="B3" s="161"/>
      <c r="C3" s="161"/>
      <c r="D3" s="59">
        <f>'كشف الحساب'!$D$2</f>
        <v>0</v>
      </c>
    </row>
    <row r="4" spans="1:11" ht="19.5" customHeight="1" x14ac:dyDescent="0.25">
      <c r="A4" s="60" t="s">
        <v>3</v>
      </c>
      <c r="B4" s="60" t="s">
        <v>4</v>
      </c>
      <c r="C4" s="60" t="s">
        <v>5</v>
      </c>
      <c r="D4" s="60" t="s">
        <v>289</v>
      </c>
      <c r="E4" s="60" t="s">
        <v>290</v>
      </c>
      <c r="F4" s="60" t="s">
        <v>291</v>
      </c>
      <c r="G4" s="60" t="s">
        <v>292</v>
      </c>
      <c r="H4" s="60" t="s">
        <v>293</v>
      </c>
      <c r="I4" s="60" t="s">
        <v>250</v>
      </c>
      <c r="J4" s="60" t="s">
        <v>294</v>
      </c>
      <c r="K4" s="60" t="s">
        <v>252</v>
      </c>
    </row>
    <row r="5" spans="1:11" ht="16.5" customHeight="1" x14ac:dyDescent="0.25">
      <c r="A5" s="111">
        <f>IFERROR(IF(IFERROR(MATCH(1,'كشف الحساب'!$N$4:$N$203,0),0)=0,"",INDEX('كشف الحساب'!$A$4:$A$203,IFERROR(MATCH(1,'كشف الحساب'!$N$4:$N$203,0),0))),"")</f>
        <v>46175</v>
      </c>
      <c r="B5" s="61" t="str">
        <f>IFERROR(IF(IFERROR(MATCH(1,'كشف الحساب'!$N$4:$N$203,0),0)=0,"",INDEX('كشف الحساب'!$B$4:$B$203,IFERROR(MATCH(1,'كشف الحساب'!$N$4:$N$203,0),0))),"")</f>
        <v>Inv-53</v>
      </c>
      <c r="C5" s="37" t="str">
        <f>IFERROR(IF(IFERROR(MATCH(1,'كشف الحساب'!$N$4:$N$203,0),0)=0,"",INDEX('كشف الحساب'!$C$4:$C$203,IFERROR(MATCH(1,'كشف الحساب'!$N$4:$N$203,0),0))),"")</f>
        <v>فل عدد 24 الحبه .750</v>
      </c>
      <c r="D5" s="38">
        <f>IFERROR(IF(IFERROR(MATCH(1,'كشف الحساب'!$N$4:$N$203,0),0)=0,"",INDEX('كشف الحساب'!$D$4:$D$203,IFERROR(MATCH(1,'كشف الحساب'!$N$4:$N$203,0),0))),"")</f>
        <v>0</v>
      </c>
      <c r="E5" s="62">
        <f>IFERROR(IF(IFERROR(MATCH(1,'كشف الحساب'!$N$4:$N$203,0),0)=0,"",INDEX('كشف الحساب'!$E$4:$E$203,IFERROR(MATCH(1,'كشف الحساب'!$N$4:$N$203,0),0))),"")</f>
        <v>18</v>
      </c>
      <c r="F5" s="61" t="str">
        <f>IFERROR(IF(IFERROR(MATCH(1,'كشف الحساب'!$N$4:$N$203,0),0)=0,"",INDEX('كشف الحساب'!$F$4:$F$203,IFERROR(MATCH(1,'كشف الحساب'!$N$4:$N$203,0),0))),"")</f>
        <v>نقداً</v>
      </c>
      <c r="G5" s="61">
        <f>IFERROR(IF(IFERROR(MATCH(1,'كشف الحساب'!$N$4:$N$203,0),0)=0,"",INDEX('كشف الحساب'!$G$4:$G$203,IFERROR(MATCH(1,'كشف الحساب'!$N$4:$N$203,0),0))),"")</f>
        <v>0</v>
      </c>
      <c r="H5" s="61" t="str">
        <f>IFERROR(IF(IFERROR(MATCH(1,'كشف الحساب'!$N$4:$N$203,0),0)=0,"",INDEX('كشف الحساب'!$H$4:$H$203,IFERROR(MATCH(1,'كشف الحساب'!$N$4:$N$203,0),0))),"")</f>
        <v>تم الدفع</v>
      </c>
      <c r="I5" s="61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364.85</v>
      </c>
      <c r="K5" s="61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46175</v>
      </c>
      <c r="B6" s="63" t="str">
        <f>IFERROR(IF(IFERROR(MATCH(2,'كشف الحساب'!$N$4:$N$203,0),0)=0,"",INDEX('كشف الحساب'!$B$4:$B$203,IFERROR(MATCH(2,'كشف الحساب'!$N$4:$N$203,0),0))),"")</f>
        <v>Inv-54</v>
      </c>
      <c r="C6" s="27" t="str">
        <f>IFERROR(IF(IFERROR(MATCH(2,'كشف الحساب'!$N$4:$N$203,0),0)=0,"",INDEX('كشف الحساب'!$C$4:$C$203,IFERROR(MATCH(2,'كشف الحساب'!$N$4:$N$203,0),0))),"")</f>
        <v>دارسينا خضراء عدد 1 الحبه 2</v>
      </c>
      <c r="D6" s="28">
        <f>IFERROR(IF(IFERROR(MATCH(2,'كشف الحساب'!$N$4:$N$203,0),0)=0,"",INDEX('كشف الحساب'!$D$4:$D$203,IFERROR(MATCH(2,'كشف الحساب'!$N$4:$N$203,0),0))),"")</f>
        <v>0</v>
      </c>
      <c r="E6" s="64">
        <f>IFERROR(IF(IFERROR(MATCH(2,'كشف الحساب'!$N$4:$N$203,0),0)=0,"",INDEX('كشف الحساب'!$E$4:$E$203,IFERROR(MATCH(2,'كشف الحساب'!$N$4:$N$203,0),0))),"")</f>
        <v>2</v>
      </c>
      <c r="F6" s="63" t="str">
        <f>IFERROR(IF(IFERROR(MATCH(2,'كشف الحساب'!$N$4:$N$203,0),0)=0,"",INDEX('كشف الحساب'!$F$4:$F$203,IFERROR(MATCH(2,'كشف الحساب'!$N$4:$N$203,0),0))),"")</f>
        <v>نقداً</v>
      </c>
      <c r="G6" s="63">
        <f>IFERROR(IF(IFERROR(MATCH(2,'كشف الحساب'!$N$4:$N$203,0),0)=0,"",INDEX('كشف الحساب'!$G$4:$G$203,IFERROR(MATCH(2,'كشف الحساب'!$N$4:$N$203,0),0))),"")</f>
        <v>0</v>
      </c>
      <c r="H6" s="63" t="str">
        <f>IFERROR(IF(IFERROR(MATCH(2,'كشف الحساب'!$N$4:$N$203,0),0)=0,"",INDEX('كشف الحساب'!$H$4:$H$203,IFERROR(MATCH(2,'كشف الحساب'!$N$4:$N$203,0),0))),"")</f>
        <v>تم الدفع</v>
      </c>
      <c r="I6" s="63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366.85</v>
      </c>
      <c r="K6" s="63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11">
        <f>IFERROR(IF(IFERROR(MATCH(3,'كشف الحساب'!$N$4:$N$203,0),0)=0,"",INDEX('كشف الحساب'!$A$4:$A$203,IFERROR(MATCH(3,'كشف الحساب'!$N$4:$N$203,0),0))),"")</f>
        <v>46175</v>
      </c>
      <c r="B7" s="61" t="str">
        <f>IFERROR(IF(IFERROR(MATCH(3,'كشف الحساب'!$N$4:$N$203,0),0)=0,"",INDEX('كشف الحساب'!$B$4:$B$203,IFERROR(MATCH(3,'كشف الحساب'!$N$4:$N$203,0),0))),"")</f>
        <v>Inv-55</v>
      </c>
      <c r="C7" s="37" t="str">
        <f>IFERROR(IF(IFERROR(MATCH(3,'كشف الحساب'!$N$4:$N$203,0),0)=0,"",INDEX('كشف الحساب'!$C$4:$C$203,IFERROR(MATCH(3,'كشف الحساب'!$N$4:$N$203,0),0))),"")</f>
        <v>افوبيا عدد 2 الحبه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2">
        <f>IFERROR(IF(IFERROR(MATCH(3,'كشف الحساب'!$N$4:$N$203,0),0)=0,"",INDEX('كشف الحساب'!$E$4:$E$203,IFERROR(MATCH(3,'كشف الحساب'!$N$4:$N$203,0),0))),"")</f>
        <v>1.5</v>
      </c>
      <c r="F7" s="61" t="str">
        <f>IFERROR(IF(IFERROR(MATCH(3,'كشف الحساب'!$N$4:$N$203,0),0)=0,"",INDEX('كشف الحساب'!$F$4:$F$203,IFERROR(MATCH(3,'كشف الحساب'!$N$4:$N$203,0),0))),"")</f>
        <v>نقداً</v>
      </c>
      <c r="G7" s="61">
        <f>IFERROR(IF(IFERROR(MATCH(3,'كشف الحساب'!$N$4:$N$203,0),0)=0,"",INDEX('كشف الحساب'!$G$4:$G$203,IFERROR(MATCH(3,'كشف الحساب'!$N$4:$N$203,0),0))),"")</f>
        <v>0</v>
      </c>
      <c r="H7" s="61" t="str">
        <f>IFERROR(IF(IFERROR(MATCH(3,'كشف الحساب'!$N$4:$N$203,0),0)=0,"",INDEX('كشف الحساب'!$H$4:$H$203,IFERROR(MATCH(3,'كشف الحساب'!$N$4:$N$203,0),0))),"")</f>
        <v>تم الدفع</v>
      </c>
      <c r="I7" s="61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368.35</v>
      </c>
      <c r="K7" s="61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46175</v>
      </c>
      <c r="B8" s="63" t="str">
        <f>IFERROR(IF(IFERROR(MATCH(4,'كشف الحساب'!$N$4:$N$203,0),0)=0,"",INDEX('كشف الحساب'!$B$4:$B$203,IFERROR(MATCH(4,'كشف الحساب'!$N$4:$N$203,0),0))),"")</f>
        <v>Inv-56</v>
      </c>
      <c r="C8" s="27" t="str">
        <f>IFERROR(IF(IFERROR(MATCH(4,'كشف الحساب'!$N$4:$N$203,0),0)=0,"",INDEX('كشف الحساب'!$C$4:$C$203,IFERROR(MATCH(4,'كشف الحساب'!$N$4:$N$203,0),0))),"")</f>
        <v>دارسينا سوداء عدد 3 الحبه 1</v>
      </c>
      <c r="D8" s="28">
        <f>IFERROR(IF(IFERROR(MATCH(4,'كشف الحساب'!$N$4:$N$203,0),0)=0,"",INDEX('كشف الحساب'!$D$4:$D$203,IFERROR(MATCH(4,'كشف الحساب'!$N$4:$N$203,0),0))),"")</f>
        <v>0</v>
      </c>
      <c r="E8" s="64">
        <f>IFERROR(IF(IFERROR(MATCH(4,'كشف الحساب'!$N$4:$N$203,0),0)=0,"",INDEX('كشف الحساب'!$E$4:$E$203,IFERROR(MATCH(4,'كشف الحساب'!$N$4:$N$203,0),0))),"")</f>
        <v>3</v>
      </c>
      <c r="F8" s="63" t="str">
        <f>IFERROR(IF(IFERROR(MATCH(4,'كشف الحساب'!$N$4:$N$203,0),0)=0,"",INDEX('كشف الحساب'!$F$4:$F$203,IFERROR(MATCH(4,'كشف الحساب'!$N$4:$N$203,0),0))),"")</f>
        <v>نقداً</v>
      </c>
      <c r="G8" s="63">
        <f>IFERROR(IF(IFERROR(MATCH(4,'كشف الحساب'!$N$4:$N$203,0),0)=0,"",INDEX('كشف الحساب'!$G$4:$G$203,IFERROR(MATCH(4,'كشف الحساب'!$N$4:$N$203,0),0))),"")</f>
        <v>0</v>
      </c>
      <c r="H8" s="63" t="str">
        <f>IFERROR(IF(IFERROR(MATCH(4,'كشف الحساب'!$N$4:$N$203,0),0)=0,"",INDEX('كشف الحساب'!$H$4:$H$203,IFERROR(MATCH(4,'كشف الحساب'!$N$4:$N$203,0),0))),"")</f>
        <v>تم الدفع</v>
      </c>
      <c r="I8" s="63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371.35</v>
      </c>
      <c r="K8" s="63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11">
        <f>IFERROR(IF(IFERROR(MATCH(5,'كشف الحساب'!$N$4:$N$203,0),0)=0,"",INDEX('كشف الحساب'!$A$4:$A$203,IFERROR(MATCH(5,'كشف الحساب'!$N$4:$N$203,0),0))),"")</f>
        <v>46177</v>
      </c>
      <c r="B9" s="61" t="str">
        <f>IFERROR(IF(IFERROR(MATCH(5,'كشف الحساب'!$N$4:$N$203,0),0)=0,"",INDEX('كشف الحساب'!$B$4:$B$203,IFERROR(MATCH(5,'كشف الحساب'!$N$4:$N$203,0),0))),"")</f>
        <v>inv-57</v>
      </c>
      <c r="C9" s="37" t="str">
        <f>IFERROR(IF(IFERROR(MATCH(5,'كشف الحساب'!$N$4:$N$203,0),0)=0,"",INDEX('كشف الحساب'!$C$4:$C$203,IFERROR(MATCH(5,'كشف الحساب'!$N$4:$N$203,0),0))),"")</f>
        <v>فوزير عدد1 قيمه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2">
        <f>IFERROR(IF(IFERROR(MATCH(5,'كشف الحساب'!$N$4:$N$203,0),0)=0,"",INDEX('كشف الحساب'!$E$4:$E$203,IFERROR(MATCH(5,'كشف الحساب'!$N$4:$N$203,0),0))),"")</f>
        <v>1</v>
      </c>
      <c r="F9" s="61" t="str">
        <f>IFERROR(IF(IFERROR(MATCH(5,'كشف الحساب'!$N$4:$N$203,0),0)=0,"",INDEX('كشف الحساب'!$F$4:$F$203,IFERROR(MATCH(5,'كشف الحساب'!$N$4:$N$203,0),0))),"")</f>
        <v>نقداً</v>
      </c>
      <c r="G9" s="61">
        <f>IFERROR(IF(IFERROR(MATCH(5,'كشف الحساب'!$N$4:$N$203,0),0)=0,"",INDEX('كشف الحساب'!$G$4:$G$203,IFERROR(MATCH(5,'كشف الحساب'!$N$4:$N$203,0),0))),"")</f>
        <v>0</v>
      </c>
      <c r="H9" s="61" t="str">
        <f>IFERROR(IF(IFERROR(MATCH(5,'كشف الحساب'!$N$4:$N$203,0),0)=0,"",INDEX('كشف الحساب'!$H$4:$H$203,IFERROR(MATCH(5,'كشف الحساب'!$N$4:$N$203,0),0))),"")</f>
        <v>تم الدفع</v>
      </c>
      <c r="I9" s="61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372.35</v>
      </c>
      <c r="K9" s="61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46177</v>
      </c>
      <c r="B10" s="63">
        <f>IFERROR(IF(IFERROR(MATCH(6,'كشف الحساب'!$N$4:$N$203,0),0)=0,"",INDEX('كشف الحساب'!$B$4:$B$203,IFERROR(MATCH(6,'كشف الحساب'!$N$4:$N$203,0),0))),"")</f>
        <v>0</v>
      </c>
      <c r="C10" s="27" t="str">
        <f>IFERROR(IF(IFERROR(MATCH(6,'كشف الحساب'!$N$4:$N$203,0),0)=0,"",INDEX('كشف الحساب'!$C$4:$C$203,IFERROR(MATCH(6,'كشف الحساب'!$N$4:$N$203,0),0))),"")</f>
        <v>سماد</v>
      </c>
      <c r="D10" s="28">
        <f>IFERROR(IF(IFERROR(MATCH(6,'كشف الحساب'!$N$4:$N$203,0),0)=0,"",INDEX('كشف الحساب'!$D$4:$D$203,IFERROR(MATCH(6,'كشف الحساب'!$N$4:$N$203,0),0))),"")</f>
        <v>10</v>
      </c>
      <c r="E10" s="64">
        <f>IFERROR(IF(IFERROR(MATCH(6,'كشف الحساب'!$N$4:$N$203,0),0)=0,"",INDEX('كشف الحساب'!$E$4:$E$203,IFERROR(MATCH(6,'كشف الحساب'!$N$4:$N$203,0),0))),"")</f>
        <v>0</v>
      </c>
      <c r="F10" s="63" t="str">
        <f>IFERROR(IF(IFERROR(MATCH(6,'كشف الحساب'!$N$4:$N$203,0),0)=0,"",INDEX('كشف الحساب'!$F$4:$F$203,IFERROR(MATCH(6,'كشف الحساب'!$N$4:$N$203,0),0))),"")</f>
        <v>نقداً</v>
      </c>
      <c r="G10" s="63" t="str">
        <f>IFERROR(IF(IFERROR(MATCH(6,'كشف الحساب'!$N$4:$N$203,0),0)=0,"",INDEX('كشف الحساب'!$G$4:$G$203,IFERROR(MATCH(6,'كشف الحساب'!$N$4:$N$203,0),0))),"")</f>
        <v>المحفظة</v>
      </c>
      <c r="H10" s="63" t="str">
        <f>IFERROR(IF(IFERROR(MATCH(6,'كشف الحساب'!$N$4:$N$203,0),0)=0,"",INDEX('كشف الحساب'!$H$4:$H$203,IFERROR(MATCH(6,'كشف الحساب'!$N$4:$N$203,0),0))),"")</f>
        <v>تم الدفع</v>
      </c>
      <c r="I10" s="63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362.35</v>
      </c>
      <c r="K10" s="63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11">
        <f>IFERROR(IF(IFERROR(MATCH(7,'كشف الحساب'!$N$4:$N$203,0),0)=0,"",INDEX('كشف الحساب'!$A$4:$A$203,IFERROR(MATCH(7,'كشف الحساب'!$N$4:$N$203,0),0))),"")</f>
        <v>46177</v>
      </c>
      <c r="B11" s="61">
        <f>IFERROR(IF(IFERROR(MATCH(7,'كشف الحساب'!$N$4:$N$203,0),0)=0,"",INDEX('كشف الحساب'!$B$4:$B$203,IFERROR(MATCH(7,'كشف الحساب'!$N$4:$N$203,0),0))),"")</f>
        <v>0</v>
      </c>
      <c r="C11" s="37" t="str">
        <f>IFERROR(IF(IFERROR(MATCH(7,'كشف الحساب'!$N$4:$N$203,0),0)=0,"",INDEX('كشف الحساب'!$C$4:$C$203,IFERROR(MATCH(7,'كشف الحساب'!$N$4:$N$203,0),0))),"")</f>
        <v>تاير لعربة الرش</v>
      </c>
      <c r="D11" s="38">
        <f>IFERROR(IF(IFERROR(MATCH(7,'كشف الحساب'!$N$4:$N$203,0),0)=0,"",INDEX('كشف الحساب'!$D$4:$D$203,IFERROR(MATCH(7,'كشف الحساب'!$N$4:$N$203,0),0))),"")</f>
        <v>3.25</v>
      </c>
      <c r="E11" s="62">
        <f>IFERROR(IF(IFERROR(MATCH(7,'كشف الحساب'!$N$4:$N$203,0),0)=0,"",INDEX('كشف الحساب'!$E$4:$E$203,IFERROR(MATCH(7,'كشف الحساب'!$N$4:$N$203,0),0))),"")</f>
        <v>0</v>
      </c>
      <c r="F11" s="61" t="str">
        <f>IFERROR(IF(IFERROR(MATCH(7,'كشف الحساب'!$N$4:$N$203,0),0)=0,"",INDEX('كشف الحساب'!$F$4:$F$203,IFERROR(MATCH(7,'كشف الحساب'!$N$4:$N$203,0),0))),"")</f>
        <v>نقداً</v>
      </c>
      <c r="G11" s="61" t="str">
        <f>IFERROR(IF(IFERROR(MATCH(7,'كشف الحساب'!$N$4:$N$203,0),0)=0,"",INDEX('كشف الحساب'!$G$4:$G$203,IFERROR(MATCH(7,'كشف الحساب'!$N$4:$N$203,0),0))),"")</f>
        <v>المحفظة</v>
      </c>
      <c r="H11" s="61" t="str">
        <f>IFERROR(IF(IFERROR(MATCH(7,'كشف الحساب'!$N$4:$N$203,0),0)=0,"",INDEX('كشف الحساب'!$H$4:$H$203,IFERROR(MATCH(7,'كشف الحساب'!$N$4:$N$203,0),0))),"")</f>
        <v>تم الدفع</v>
      </c>
      <c r="I11" s="61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359.1</v>
      </c>
      <c r="K11" s="61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46177</v>
      </c>
      <c r="B12" s="63">
        <f>IFERROR(IF(IFERROR(MATCH(8,'كشف الحساب'!$N$4:$N$203,0),0)=0,"",INDEX('كشف الحساب'!$B$4:$B$203,IFERROR(MATCH(8,'كشف الحساب'!$N$4:$N$203,0),0))),"")</f>
        <v>0</v>
      </c>
      <c r="C12" s="27" t="str">
        <f>IFERROR(IF(IFERROR(MATCH(8,'كشف الحساب'!$N$4:$N$203,0),0)=0,"",INDEX('كشف الحساب'!$C$4:$C$203,IFERROR(MATCH(8,'كشف الحساب'!$N$4:$N$203,0),0))),"")</f>
        <v>حفاره خلط السماد</v>
      </c>
      <c r="D12" s="28">
        <f>IFERROR(IF(IFERROR(MATCH(8,'كشف الحساب'!$N$4:$N$203,0),0)=0,"",INDEX('كشف الحساب'!$D$4:$D$203,IFERROR(MATCH(8,'كشف الحساب'!$N$4:$N$203,0),0))),"")</f>
        <v>12</v>
      </c>
      <c r="E12" s="64">
        <f>IFERROR(IF(IFERROR(MATCH(8,'كشف الحساب'!$N$4:$N$203,0),0)=0,"",INDEX('كشف الحساب'!$E$4:$E$203,IFERROR(MATCH(8,'كشف الحساب'!$N$4:$N$203,0),0))),"")</f>
        <v>0</v>
      </c>
      <c r="F12" s="63" t="str">
        <f>IFERROR(IF(IFERROR(MATCH(8,'كشف الحساب'!$N$4:$N$203,0),0)=0,"",INDEX('كشف الحساب'!$F$4:$F$203,IFERROR(MATCH(8,'كشف الحساب'!$N$4:$N$203,0),0))),"")</f>
        <v>نقداً</v>
      </c>
      <c r="G12" s="63" t="str">
        <f>IFERROR(IF(IFERROR(MATCH(8,'كشف الحساب'!$N$4:$N$203,0),0)=0,"",INDEX('كشف الحساب'!$G$4:$G$203,IFERROR(MATCH(8,'كشف الحساب'!$N$4:$N$203,0),0))),"")</f>
        <v>المحفظة</v>
      </c>
      <c r="H12" s="63" t="str">
        <f>IFERROR(IF(IFERROR(MATCH(8,'كشف الحساب'!$N$4:$N$203,0),0)=0,"",INDEX('كشف الحساب'!$H$4:$H$203,IFERROR(MATCH(8,'كشف الحساب'!$N$4:$N$203,0),0))),"")</f>
        <v>تم الدفع</v>
      </c>
      <c r="I12" s="63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347.1</v>
      </c>
      <c r="K12" s="63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 x14ac:dyDescent="0.25">
      <c r="A13" s="111">
        <f>IFERROR(IF(IFERROR(MATCH(9,'كشف الحساب'!$N$4:$N$203,0),0)=0,"",INDEX('كشف الحساب'!$A$4:$A$203,IFERROR(MATCH(9,'كشف الحساب'!$N$4:$N$203,0),0))),"")</f>
        <v>46179</v>
      </c>
      <c r="B13" s="61" t="str">
        <f>IFERROR(IF(IFERROR(MATCH(9,'كشف الحساب'!$N$4:$N$203,0),0)=0,"",INDEX('كشف الحساب'!$B$4:$B$203,IFERROR(MATCH(9,'كشف الحساب'!$N$4:$N$203,0),0))),"")</f>
        <v>Inv-58</v>
      </c>
      <c r="C13" s="37" t="str">
        <f>IFERROR(IF(IFERROR(MATCH(9,'كشف الحساب'!$N$4:$N$203,0),0)=0,"",INDEX('كشف الحساب'!$C$4:$C$203,IFERROR(MATCH(9,'كشف الحساب'!$N$4:$N$203,0),0))),"")</f>
        <v>دارسينا عدد3 بقيمه 1 للحبه</v>
      </c>
      <c r="D13" s="38">
        <f>IFERROR(IF(IFERROR(MATCH(9,'كشف الحساب'!$N$4:$N$203,0),0)=0,"",INDEX('كشف الحساب'!$D$4:$D$203,IFERROR(MATCH(9,'كشف الحساب'!$N$4:$N$203,0),0))),"")</f>
        <v>0</v>
      </c>
      <c r="E13" s="62">
        <f>IFERROR(IF(IFERROR(MATCH(9,'كشف الحساب'!$N$4:$N$203,0),0)=0,"",INDEX('كشف الحساب'!$E$4:$E$203,IFERROR(MATCH(9,'كشف الحساب'!$N$4:$N$203,0),0))),"")</f>
        <v>3</v>
      </c>
      <c r="F13" s="61" t="str">
        <f>IFERROR(IF(IFERROR(MATCH(9,'كشف الحساب'!$N$4:$N$203,0),0)=0,"",INDEX('كشف الحساب'!$F$4:$F$203,IFERROR(MATCH(9,'كشف الحساب'!$N$4:$N$203,0),0))),"")</f>
        <v>نقداً</v>
      </c>
      <c r="G13" s="61">
        <f>IFERROR(IF(IFERROR(MATCH(9,'كشف الحساب'!$N$4:$N$203,0),0)=0,"",INDEX('كشف الحساب'!$G$4:$G$203,IFERROR(MATCH(9,'كشف الحساب'!$N$4:$N$203,0),0))),"")</f>
        <v>0</v>
      </c>
      <c r="H13" s="61" t="str">
        <f>IFERROR(IF(IFERROR(MATCH(9,'كشف الحساب'!$N$4:$N$203,0),0)=0,"",INDEX('كشف الحساب'!$H$4:$H$203,IFERROR(MATCH(9,'كشف الحساب'!$N$4:$N$203,0),0))),"")</f>
        <v>تم الدفع</v>
      </c>
      <c r="I13" s="61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350.1</v>
      </c>
      <c r="K13" s="61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46179</v>
      </c>
      <c r="B14" s="63" t="str">
        <f>IFERROR(IF(IFERROR(MATCH(10,'كشف الحساب'!$N$4:$N$203,0),0)=0,"",INDEX('كشف الحساب'!$B$4:$B$203,IFERROR(MATCH(10,'كشف الحساب'!$N$4:$N$203,0),0))),"")</f>
        <v>Inv-59</v>
      </c>
      <c r="C14" s="27" t="str">
        <f>IFERROR(IF(IFERROR(MATCH(10,'كشف الحساب'!$N$4:$N$203,0),0)=0,"",INDEX('كشف الحساب'!$C$4:$C$203,IFERROR(MATCH(10,'كشف الحساب'!$N$4:$N$203,0),0))),"")</f>
        <v>ودليه عدد 1 بقيمه 1</v>
      </c>
      <c r="D14" s="28">
        <f>IFERROR(IF(IFERROR(MATCH(10,'كشف الحساب'!$N$4:$N$203,0),0)=0,"",INDEX('كشف الحساب'!$D$4:$D$203,IFERROR(MATCH(10,'كشف الحساب'!$N$4:$N$203,0),0))),"")</f>
        <v>0</v>
      </c>
      <c r="E14" s="64">
        <f>IFERROR(IF(IFERROR(MATCH(10,'كشف الحساب'!$N$4:$N$203,0),0)=0,"",INDEX('كشف الحساب'!$E$4:$E$203,IFERROR(MATCH(10,'كشف الحساب'!$N$4:$N$203,0),0))),"")</f>
        <v>1</v>
      </c>
      <c r="F14" s="63" t="str">
        <f>IFERROR(IF(IFERROR(MATCH(10,'كشف الحساب'!$N$4:$N$203,0),0)=0,"",INDEX('كشف الحساب'!$F$4:$F$203,IFERROR(MATCH(10,'كشف الحساب'!$N$4:$N$203,0),0))),"")</f>
        <v>نقداً</v>
      </c>
      <c r="G14" s="63">
        <f>IFERROR(IF(IFERROR(MATCH(10,'كشف الحساب'!$N$4:$N$203,0),0)=0,"",INDEX('كشف الحساب'!$G$4:$G$203,IFERROR(MATCH(10,'كشف الحساب'!$N$4:$N$203,0),0))),"")</f>
        <v>0</v>
      </c>
      <c r="H14" s="63" t="str">
        <f>IFERROR(IF(IFERROR(MATCH(10,'كشف الحساب'!$N$4:$N$203,0),0)=0,"",INDEX('كشف الحساب'!$H$4:$H$203,IFERROR(MATCH(10,'كشف الحساب'!$N$4:$N$203,0),0))),"")</f>
        <v>تم الدفع</v>
      </c>
      <c r="I14" s="63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351.1</v>
      </c>
      <c r="K14" s="63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11">
        <f>IFERROR(IF(IFERROR(MATCH(11,'كشف الحساب'!$N$4:$N$203,0),0)=0,"",INDEX('كشف الحساب'!$A$4:$A$203,IFERROR(MATCH(11,'كشف الحساب'!$N$4:$N$203,0),0))),"")</f>
        <v>46179</v>
      </c>
      <c r="B15" s="61" t="str">
        <f>IFERROR(IF(IFERROR(MATCH(11,'كشف الحساب'!$N$4:$N$203,0),0)=0,"",INDEX('كشف الحساب'!$B$4:$B$203,IFERROR(MATCH(11,'كشف الحساب'!$N$4:$N$203,0),0))),"")</f>
        <v>Inv-60</v>
      </c>
      <c r="C15" s="37" t="str">
        <f>IFERROR(IF(IFERROR(MATCH(11,'كشف الحساب'!$N$4:$N$203,0),0)=0,"",INDEX('كشف الحساب'!$C$4:$C$203,IFERROR(MATCH(11,'كشف الحساب'!$N$4:$N$203,0),0))),"")</f>
        <v>دارسينا حمراء عدد 1 بقيمه 3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2">
        <f>IFERROR(IF(IFERROR(MATCH(11,'كشف الحساب'!$N$4:$N$203,0),0)=0,"",INDEX('كشف الحساب'!$E$4:$E$203,IFERROR(MATCH(11,'كشف الحساب'!$N$4:$N$203,0),0))),"")</f>
        <v>3</v>
      </c>
      <c r="F15" s="61" t="str">
        <f>IFERROR(IF(IFERROR(MATCH(11,'كشف الحساب'!$N$4:$N$203,0),0)=0,"",INDEX('كشف الحساب'!$F$4:$F$203,IFERROR(MATCH(11,'كشف الحساب'!$N$4:$N$203,0),0))),"")</f>
        <v>نقداً</v>
      </c>
      <c r="G15" s="61">
        <f>IFERROR(IF(IFERROR(MATCH(11,'كشف الحساب'!$N$4:$N$203,0),0)=0,"",INDEX('كشف الحساب'!$G$4:$G$203,IFERROR(MATCH(11,'كشف الحساب'!$N$4:$N$203,0),0))),"")</f>
        <v>0</v>
      </c>
      <c r="H15" s="61" t="str">
        <f>IFERROR(IF(IFERROR(MATCH(11,'كشف الحساب'!$N$4:$N$203,0),0)=0,"",INDEX('كشف الحساب'!$H$4:$H$203,IFERROR(MATCH(11,'كشف الحساب'!$N$4:$N$203,0),0))),"")</f>
        <v>تم الدفع</v>
      </c>
      <c r="I15" s="61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354.1</v>
      </c>
      <c r="K15" s="61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46181</v>
      </c>
      <c r="B16" s="63" t="str">
        <f>IFERROR(IF(IFERROR(MATCH(12,'كشف الحساب'!$N$4:$N$203,0),0)=0,"",INDEX('كشف الحساب'!$B$4:$B$203,IFERROR(MATCH(12,'كشف الحساب'!$N$4:$N$203,0),0))),"")</f>
        <v>Inv-61</v>
      </c>
      <c r="C16" s="27" t="str">
        <f>IFERROR(IF(IFERROR(MATCH(12,'كشف الحساب'!$N$4:$N$203,0),0)=0,"",INDEX('كشف الحساب'!$C$4:$C$203,IFERROR(MATCH(12,'كشف الحساب'!$N$4:$N$203,0),0))),"")</f>
        <v>فل عدد 20 بقيمه 0.750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4">
        <f>IFERROR(IF(IFERROR(MATCH(12,'كشف الحساب'!$N$4:$N$203,0),0)=0,"",INDEX('كشف الحساب'!$E$4:$E$203,IFERROR(MATCH(12,'كشف الحساب'!$N$4:$N$203,0),0))),"")</f>
        <v>15</v>
      </c>
      <c r="F16" s="63" t="str">
        <f>IFERROR(IF(IFERROR(MATCH(12,'كشف الحساب'!$N$4:$N$203,0),0)=0,"",INDEX('كشف الحساب'!$F$4:$F$203,IFERROR(MATCH(12,'كشف الحساب'!$N$4:$N$203,0),0))),"")</f>
        <v>نقداً</v>
      </c>
      <c r="G16" s="63">
        <f>IFERROR(IF(IFERROR(MATCH(12,'كشف الحساب'!$N$4:$N$203,0),0)=0,"",INDEX('كشف الحساب'!$G$4:$G$203,IFERROR(MATCH(12,'كشف الحساب'!$N$4:$N$203,0),0))),"")</f>
        <v>0</v>
      </c>
      <c r="H16" s="63" t="str">
        <f>IFERROR(IF(IFERROR(MATCH(12,'كشف الحساب'!$N$4:$N$203,0),0)=0,"",INDEX('كشف الحساب'!$H$4:$H$203,IFERROR(MATCH(12,'كشف الحساب'!$N$4:$N$203,0),0))),"")</f>
        <v>تم الدفع</v>
      </c>
      <c r="I16" s="63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369.1</v>
      </c>
      <c r="K16" s="63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11">
        <f>IFERROR(IF(IFERROR(MATCH(13,'كشف الحساب'!$N$4:$N$203,0),0)=0,"",INDEX('كشف الحساب'!$A$4:$A$203,IFERROR(MATCH(13,'كشف الحساب'!$N$4:$N$203,0),0))),"")</f>
        <v>46181</v>
      </c>
      <c r="B17" s="61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اسمنت اسود للمحميه الصغيره الجديده</v>
      </c>
      <c r="D17" s="38">
        <f>IFERROR(IF(IFERROR(MATCH(13,'كشف الحساب'!$N$4:$N$203,0),0)=0,"",INDEX('كشف الحساب'!$D$4:$D$203,IFERROR(MATCH(13,'كشف الحساب'!$N$4:$N$203,0),0))),"")</f>
        <v>2.8</v>
      </c>
      <c r="E17" s="62">
        <f>IFERROR(IF(IFERROR(MATCH(13,'كشف الحساب'!$N$4:$N$203,0),0)=0,"",INDEX('كشف الحساب'!$E$4:$E$203,IFERROR(MATCH(13,'كشف الحساب'!$N$4:$N$203,0),0))),"")</f>
        <v>0</v>
      </c>
      <c r="F17" s="61" t="str">
        <f>IFERROR(IF(IFERROR(MATCH(13,'كشف الحساب'!$N$4:$N$203,0),0)=0,"",INDEX('كشف الحساب'!$F$4:$F$203,IFERROR(MATCH(13,'كشف الحساب'!$N$4:$N$203,0),0))),"")</f>
        <v>نقداً</v>
      </c>
      <c r="G17" s="61" t="str">
        <f>IFERROR(IF(IFERROR(MATCH(13,'كشف الحساب'!$N$4:$N$203,0),0)=0,"",INDEX('كشف الحساب'!$G$4:$G$203,IFERROR(MATCH(13,'كشف الحساب'!$N$4:$N$203,0),0))),"")</f>
        <v>المحفظة</v>
      </c>
      <c r="H17" s="61" t="str">
        <f>IFERROR(IF(IFERROR(MATCH(13,'كشف الحساب'!$N$4:$N$203,0),0)=0,"",INDEX('كشف الحساب'!$H$4:$H$203,IFERROR(MATCH(13,'كشف الحساب'!$N$4:$N$203,0),0))),"")</f>
        <v>تم الدفع</v>
      </c>
      <c r="I17" s="61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366.3</v>
      </c>
      <c r="K17" s="61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46181</v>
      </c>
      <c r="B18" s="63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حديد اسود للمحميه الصغيره الجديده</v>
      </c>
      <c r="D18" s="28">
        <f>IFERROR(IF(IFERROR(MATCH(14,'كشف الحساب'!$N$4:$N$203,0),0)=0,"",INDEX('كشف الحساب'!$D$4:$D$203,IFERROR(MATCH(14,'كشف الحساب'!$N$4:$N$203,0),0))),"")</f>
        <v>46.75</v>
      </c>
      <c r="E18" s="64">
        <f>IFERROR(IF(IFERROR(MATCH(14,'كشف الحساب'!$N$4:$N$203,0),0)=0,"",INDEX('كشف الحساب'!$E$4:$E$203,IFERROR(MATCH(14,'كشف الحساب'!$N$4:$N$203,0),0))),"")</f>
        <v>0</v>
      </c>
      <c r="F18" s="63" t="str">
        <f>IFERROR(IF(IFERROR(MATCH(14,'كشف الحساب'!$N$4:$N$203,0),0)=0,"",INDEX('كشف الحساب'!$F$4:$F$203,IFERROR(MATCH(14,'كشف الحساب'!$N$4:$N$203,0),0))),"")</f>
        <v>نقداً</v>
      </c>
      <c r="G18" s="63" t="str">
        <f>IFERROR(IF(IFERROR(MATCH(14,'كشف الحساب'!$N$4:$N$203,0),0)=0,"",INDEX('كشف الحساب'!$G$4:$G$203,IFERROR(MATCH(14,'كشف الحساب'!$N$4:$N$203,0),0))),"")</f>
        <v>المحفظة</v>
      </c>
      <c r="H18" s="63" t="str">
        <f>IFERROR(IF(IFERROR(MATCH(14,'كشف الحساب'!$N$4:$N$203,0),0)=0,"",INDEX('كشف الحساب'!$H$4:$H$203,IFERROR(MATCH(14,'كشف الحساب'!$N$4:$N$203,0),0))),"")</f>
        <v>تم الدفع</v>
      </c>
      <c r="I18" s="63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319.55</v>
      </c>
      <c r="K18" s="63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11">
        <f>IFERROR(IF(IFERROR(MATCH(15,'كشف الحساب'!$N$4:$N$203,0),0)=0,"",INDEX('كشف الحساب'!$A$4:$A$203,IFERROR(MATCH(15,'كشف الحساب'!$N$4:$N$203,0),0))),"")</f>
        <v>46182</v>
      </c>
      <c r="B19" s="61" t="str">
        <f>IFERROR(IF(IFERROR(MATCH(15,'كشف الحساب'!$N$4:$N$203,0),0)=0,"",INDEX('كشف الحساب'!$B$4:$B$203,IFERROR(MATCH(15,'كشف الحساب'!$N$4:$N$203,0),0))),"")</f>
        <v>Inv-62</v>
      </c>
      <c r="C19" s="37" t="str">
        <f>IFERROR(IF(IFERROR(MATCH(15,'كشف الحساب'!$N$4:$N$203,0),0)=0,"",INDEX('كشف الحساب'!$C$4:$C$203,IFERROR(MATCH(15,'كشف الحساب'!$N$4:$N$203,0),0))),"")</f>
        <v>فل عدد 30 الحبه 0.750</v>
      </c>
      <c r="D19" s="38">
        <f>IFERROR(IF(IFERROR(MATCH(15,'كشف الحساب'!$N$4:$N$203,0),0)=0,"",INDEX('كشف الحساب'!$D$4:$D$203,IFERROR(MATCH(15,'كشف الحساب'!$N$4:$N$203,0),0))),"")</f>
        <v>0</v>
      </c>
      <c r="E19" s="62">
        <f>IFERROR(IF(IFERROR(MATCH(15,'كشف الحساب'!$N$4:$N$203,0),0)=0,"",INDEX('كشف الحساب'!$E$4:$E$203,IFERROR(MATCH(15,'كشف الحساب'!$N$4:$N$203,0),0))),"")</f>
        <v>22.5</v>
      </c>
      <c r="F19" s="61" t="str">
        <f>IFERROR(IF(IFERROR(MATCH(15,'كشف الحساب'!$N$4:$N$203,0),0)=0,"",INDEX('كشف الحساب'!$F$4:$F$203,IFERROR(MATCH(15,'كشف الحساب'!$N$4:$N$203,0),0))),"")</f>
        <v>نقداً</v>
      </c>
      <c r="G19" s="61">
        <f>IFERROR(IF(IFERROR(MATCH(15,'كشف الحساب'!$N$4:$N$203,0),0)=0,"",INDEX('كشف الحساب'!$G$4:$G$203,IFERROR(MATCH(15,'كشف الحساب'!$N$4:$N$203,0),0))),"")</f>
        <v>0</v>
      </c>
      <c r="H19" s="61" t="str">
        <f>IFERROR(IF(IFERROR(MATCH(15,'كشف الحساب'!$N$4:$N$203,0),0)=0,"",INDEX('كشف الحساب'!$H$4:$H$203,IFERROR(MATCH(15,'كشف الحساب'!$N$4:$N$203,0),0))),"")</f>
        <v>تم الدفع</v>
      </c>
      <c r="I19" s="61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342.05</v>
      </c>
      <c r="K19" s="61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46184</v>
      </c>
      <c r="B20" s="63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براغي</v>
      </c>
      <c r="D20" s="28">
        <f>IFERROR(IF(IFERROR(MATCH(16,'كشف الحساب'!$N$4:$N$203,0),0)=0,"",INDEX('كشف الحساب'!$D$4:$D$203,IFERROR(MATCH(16,'كشف الحساب'!$N$4:$N$203,0),0))),"")</f>
        <v>3.5</v>
      </c>
      <c r="E20" s="64">
        <f>IFERROR(IF(IFERROR(MATCH(16,'كشف الحساب'!$N$4:$N$203,0),0)=0,"",INDEX('كشف الحساب'!$E$4:$E$203,IFERROR(MATCH(16,'كشف الحساب'!$N$4:$N$203,0),0))),"")</f>
        <v>0</v>
      </c>
      <c r="F20" s="63" t="str">
        <f>IFERROR(IF(IFERROR(MATCH(16,'كشف الحساب'!$N$4:$N$203,0),0)=0,"",INDEX('كشف الحساب'!$F$4:$F$203,IFERROR(MATCH(16,'كشف الحساب'!$N$4:$N$203,0),0))),"")</f>
        <v>نقداً</v>
      </c>
      <c r="G20" s="63" t="str">
        <f>IFERROR(IF(IFERROR(MATCH(16,'كشف الحساب'!$N$4:$N$203,0),0)=0,"",INDEX('كشف الحساب'!$G$4:$G$203,IFERROR(MATCH(16,'كشف الحساب'!$N$4:$N$203,0),0))),"")</f>
        <v>المحفظة</v>
      </c>
      <c r="H20" s="63" t="str">
        <f>IFERROR(IF(IFERROR(MATCH(16,'كشف الحساب'!$N$4:$N$203,0),0)=0,"",INDEX('كشف الحساب'!$H$4:$H$203,IFERROR(MATCH(16,'كشف الحساب'!$N$4:$N$203,0),0))),"")</f>
        <v>تم الدفع</v>
      </c>
      <c r="I20" s="63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338.55</v>
      </c>
      <c r="K20" s="63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11">
        <f>IFERROR(IF(IFERROR(MATCH(17,'كشف الحساب'!$N$4:$N$203,0),0)=0,"",INDEX('كشف الحساب'!$A$4:$A$203,IFERROR(MATCH(17,'كشف الحساب'!$N$4:$N$203,0),0))),"")</f>
        <v>46184</v>
      </c>
      <c r="B21" s="61" t="str">
        <f>IFERROR(IF(IFERROR(MATCH(17,'كشف الحساب'!$N$4:$N$203,0),0)=0,"",INDEX('كشف الحساب'!$B$4:$B$203,IFERROR(MATCH(17,'كشف الحساب'!$N$4:$N$203,0),0))),"")</f>
        <v>Inv-63</v>
      </c>
      <c r="C21" s="37" t="str">
        <f>IFERROR(IF(IFERROR(MATCH(17,'كشف الحساب'!$N$4:$N$203,0),0)=0,"",INDEX('كشف الحساب'!$C$4:$C$203,IFERROR(MATCH(17,'كشف الحساب'!$N$4:$N$203,0),0))),"")</f>
        <v>فل عدد 20 بقيمه 0.750</v>
      </c>
      <c r="D21" s="38">
        <f>IFERROR(IF(IFERROR(MATCH(17,'كشف الحساب'!$N$4:$N$203,0),0)=0,"",INDEX('كشف الحساب'!$D$4:$D$203,IFERROR(MATCH(17,'كشف الحساب'!$N$4:$N$203,0),0))),"")</f>
        <v>0</v>
      </c>
      <c r="E21" s="62">
        <f>IFERROR(IF(IFERROR(MATCH(17,'كشف الحساب'!$N$4:$N$203,0),0)=0,"",INDEX('كشف الحساب'!$E$4:$E$203,IFERROR(MATCH(17,'كشف الحساب'!$N$4:$N$203,0),0))),"")</f>
        <v>0</v>
      </c>
      <c r="F21" s="61" t="str">
        <f>IFERROR(IF(IFERROR(MATCH(17,'كشف الحساب'!$N$4:$N$203,0),0)=0,"",INDEX('كشف الحساب'!$F$4:$F$203,IFERROR(MATCH(17,'كشف الحساب'!$N$4:$N$203,0),0))),"")</f>
        <v>نقداً</v>
      </c>
      <c r="G21" s="61">
        <f>IFERROR(IF(IFERROR(MATCH(17,'كشف الحساب'!$N$4:$N$203,0),0)=0,"",INDEX('كشف الحساب'!$G$4:$G$203,IFERROR(MATCH(17,'كشف الحساب'!$N$4:$N$203,0),0))),"")</f>
        <v>0</v>
      </c>
      <c r="H21" s="61" t="str">
        <f>IFERROR(IF(IFERROR(MATCH(17,'كشف الحساب'!$N$4:$N$203,0),0)=0,"",INDEX('كشف الحساب'!$H$4:$H$203,IFERROR(MATCH(17,'كشف الحساب'!$N$4:$N$203,0),0))),"")</f>
        <v>تم الدفع</v>
      </c>
      <c r="I21" s="61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338.55</v>
      </c>
      <c r="K21" s="61" t="str">
        <f>IFERROR(IF(IFERROR(MATCH(17,'كشف الحساب'!$N$4:$N$203,0),0)=0,"",INDEX('كشف الحساب'!$K$4:$K$203,IFERROR(MATCH(17,'كشف الحساب'!$N$4:$N$203,0),0))),"")</f>
        <v>ملغيه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46185</v>
      </c>
      <c r="B22" s="63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رول لحيم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4">
        <f>IFERROR(IF(IFERROR(MATCH(18,'كشف الحساب'!$N$4:$N$203,0),0)=0,"",INDEX('كشف الحساب'!$E$4:$E$203,IFERROR(MATCH(18,'كشف الحساب'!$N$4:$N$203,0),0))),"")</f>
        <v>0</v>
      </c>
      <c r="F22" s="63" t="str">
        <f>IFERROR(IF(IFERROR(MATCH(18,'كشف الحساب'!$N$4:$N$203,0),0)=0,"",INDEX('كشف الحساب'!$F$4:$F$203,IFERROR(MATCH(18,'كشف الحساب'!$N$4:$N$203,0),0))),"")</f>
        <v>نقداً</v>
      </c>
      <c r="G22" s="63" t="str">
        <f>IFERROR(IF(IFERROR(MATCH(18,'كشف الحساب'!$N$4:$N$203,0),0)=0,"",INDEX('كشف الحساب'!$G$4:$G$203,IFERROR(MATCH(18,'كشف الحساب'!$N$4:$N$203,0),0))),"")</f>
        <v>المحفظة</v>
      </c>
      <c r="H22" s="63" t="str">
        <f>IFERROR(IF(IFERROR(MATCH(18,'كشف الحساب'!$N$4:$N$203,0),0)=0,"",INDEX('كشف الحساب'!$H$4:$H$203,IFERROR(MATCH(18,'كشف الحساب'!$N$4:$N$203,0),0))),"")</f>
        <v>تم الدفع</v>
      </c>
      <c r="I22" s="63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336.55</v>
      </c>
      <c r="K22" s="63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11">
        <f>IFERROR(IF(IFERROR(MATCH(19,'كشف الحساب'!$N$4:$N$203,0),0)=0,"",INDEX('كشف الحساب'!$A$4:$A$203,IFERROR(MATCH(19,'كشف الحساب'!$N$4:$N$203,0),0))),"")</f>
        <v>46186</v>
      </c>
      <c r="B23" s="61" t="str">
        <f>IFERROR(IF(IFERROR(MATCH(19,'كشف الحساب'!$N$4:$N$203,0),0)=0,"",INDEX('كشف الحساب'!$B$4:$B$203,IFERROR(MATCH(19,'كشف الحساب'!$N$4:$N$203,0),0))),"")</f>
        <v>Inv-64</v>
      </c>
      <c r="C23" s="37" t="str">
        <f>IFERROR(IF(IFERROR(MATCH(19,'كشف الحساب'!$N$4:$N$203,0),0)=0,"",INDEX('كشف الحساب'!$C$4:$C$203,IFERROR(MATCH(19,'كشف الحساب'!$N$4:$N$203,0),0))),"")</f>
        <v>معلقات عدد 10 الحبه 1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2">
        <f>IFERROR(IF(IFERROR(MATCH(19,'كشف الحساب'!$N$4:$N$203,0),0)=0,"",INDEX('كشف الحساب'!$E$4:$E$203,IFERROR(MATCH(19,'كشف الحساب'!$N$4:$N$203,0),0))),"")</f>
        <v>10</v>
      </c>
      <c r="F23" s="61" t="str">
        <f>IFERROR(IF(IFERROR(MATCH(19,'كشف الحساب'!$N$4:$N$203,0),0)=0,"",INDEX('كشف الحساب'!$F$4:$F$203,IFERROR(MATCH(19,'كشف الحساب'!$N$4:$N$203,0),0))),"")</f>
        <v>نقداً</v>
      </c>
      <c r="G23" s="61">
        <f>IFERROR(IF(IFERROR(MATCH(19,'كشف الحساب'!$N$4:$N$203,0),0)=0,"",INDEX('كشف الحساب'!$G$4:$G$203,IFERROR(MATCH(19,'كشف الحساب'!$N$4:$N$203,0),0))),"")</f>
        <v>0</v>
      </c>
      <c r="H23" s="61" t="str">
        <f>IFERROR(IF(IFERROR(MATCH(19,'كشف الحساب'!$N$4:$N$203,0),0)=0,"",INDEX('كشف الحساب'!$H$4:$H$203,IFERROR(MATCH(19,'كشف الحساب'!$N$4:$N$203,0),0))),"")</f>
        <v>تم الدفع</v>
      </c>
      <c r="I23" s="61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346.55</v>
      </c>
      <c r="K23" s="61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46186</v>
      </c>
      <c r="B24" s="63" t="str">
        <f>IFERROR(IF(IFERROR(MATCH(20,'كشف الحساب'!$N$4:$N$203,0),0)=0,"",INDEX('كشف الحساب'!$B$4:$B$203,IFERROR(MATCH(20,'كشف الحساب'!$N$4:$N$203,0),0))),"")</f>
        <v>Inv-65</v>
      </c>
      <c r="C24" s="27" t="str">
        <f>IFERROR(IF(IFERROR(MATCH(20,'كشف الحساب'!$N$4:$N$203,0),0)=0,"",INDEX('كشف الحساب'!$C$4:$C$203,IFERROR(MATCH(20,'كشف الحساب'!$N$4:$N$203,0),0))),"")</f>
        <v>ودوليه عدد 5 الحبه 1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4">
        <f>IFERROR(IF(IFERROR(MATCH(20,'كشف الحساب'!$N$4:$N$203,0),0)=0,"",INDEX('كشف الحساب'!$E$4:$E$203,IFERROR(MATCH(20,'كشف الحساب'!$N$4:$N$203,0),0))),"")</f>
        <v>5</v>
      </c>
      <c r="F24" s="63" t="str">
        <f>IFERROR(IF(IFERROR(MATCH(20,'كشف الحساب'!$N$4:$N$203,0),0)=0,"",INDEX('كشف الحساب'!$F$4:$F$203,IFERROR(MATCH(20,'كشف الحساب'!$N$4:$N$203,0),0))),"")</f>
        <v>نقداً</v>
      </c>
      <c r="G24" s="63">
        <f>IFERROR(IF(IFERROR(MATCH(20,'كشف الحساب'!$N$4:$N$203,0),0)=0,"",INDEX('كشف الحساب'!$G$4:$G$203,IFERROR(MATCH(20,'كشف الحساب'!$N$4:$N$203,0),0))),"")</f>
        <v>0</v>
      </c>
      <c r="H24" s="63" t="str">
        <f>IFERROR(IF(IFERROR(MATCH(20,'كشف الحساب'!$N$4:$N$203,0),0)=0,"",INDEX('كشف الحساب'!$H$4:$H$203,IFERROR(MATCH(20,'كشف الحساب'!$N$4:$N$203,0),0))),"")</f>
        <v>تم الدفع</v>
      </c>
      <c r="I24" s="63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351.55</v>
      </c>
      <c r="K24" s="63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11">
        <f>IFERROR(IF(IFERROR(MATCH(21,'كشف الحساب'!$N$4:$N$203,0),0)=0,"",INDEX('كشف الحساب'!$A$4:$A$203,IFERROR(MATCH(21,'كشف الحساب'!$N$4:$N$203,0),0))),"")</f>
        <v>46187</v>
      </c>
      <c r="B25" s="61">
        <f>IFERROR(IF(IFERROR(MATCH(21,'كشف الحساب'!$N$4:$N$203,0),0)=0,"",INDEX('كشف الحساب'!$B$4:$B$203,IFERROR(MATCH(21,'كشف الحساب'!$N$4:$N$203,0),0))),"")</f>
        <v>0</v>
      </c>
      <c r="C25" s="37" t="str">
        <f>IFERROR(IF(IFERROR(MATCH(21,'كشف الحساب'!$N$4:$N$203,0),0)=0,"",INDEX('كشف الحساب'!$C$4:$C$203,IFERROR(MATCH(21,'كشف الحساب'!$N$4:$N$203,0),0))),"")</f>
        <v>عصايا عدد 2000 احواض معاقات عدد 250</v>
      </c>
      <c r="D25" s="38">
        <f>IFERROR(IF(IFERROR(MATCH(21,'كشف الحساب'!$N$4:$N$203,0),0)=0,"",INDEX('كشف الحساب'!$D$4:$D$203,IFERROR(MATCH(21,'كشف الحساب'!$N$4:$N$203,0),0))),"")</f>
        <v>107.5</v>
      </c>
      <c r="E25" s="62">
        <f>IFERROR(IF(IFERROR(MATCH(21,'كشف الحساب'!$N$4:$N$203,0),0)=0,"",INDEX('كشف الحساب'!$E$4:$E$203,IFERROR(MATCH(21,'كشف الحساب'!$N$4:$N$203,0),0))),"")</f>
        <v>0</v>
      </c>
      <c r="F25" s="61" t="str">
        <f>IFERROR(IF(IFERROR(MATCH(21,'كشف الحساب'!$N$4:$N$203,0),0)=0,"",INDEX('كشف الحساب'!$F$4:$F$203,IFERROR(MATCH(21,'كشف الحساب'!$N$4:$N$203,0),0))),"")</f>
        <v>نقداً</v>
      </c>
      <c r="G25" s="61" t="str">
        <f>IFERROR(IF(IFERROR(MATCH(21,'كشف الحساب'!$N$4:$N$203,0),0)=0,"",INDEX('كشف الحساب'!$G$4:$G$203,IFERROR(MATCH(21,'كشف الحساب'!$N$4:$N$203,0),0))),"")</f>
        <v>أبو اسحاق</v>
      </c>
      <c r="H25" s="61" t="str">
        <f>IFERROR(IF(IFERROR(MATCH(21,'كشف الحساب'!$N$4:$N$203,0),0)=0,"",INDEX('كشف الحساب'!$H$4:$H$203,IFERROR(MATCH(21,'كشف الحساب'!$N$4:$N$203,0),0))),"")</f>
        <v>تم الدفع</v>
      </c>
      <c r="I25" s="61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351.55</v>
      </c>
      <c r="K25" s="61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46189</v>
      </c>
      <c r="B26" s="63" t="str">
        <f>IFERROR(IF(IFERROR(MATCH(22,'كشف الحساب'!$N$4:$N$203,0),0)=0,"",INDEX('كشف الحساب'!$B$4:$B$203,IFERROR(MATCH(22,'كشف الحساب'!$N$4:$N$203,0),0))),"")</f>
        <v>Inv-66</v>
      </c>
      <c r="C26" s="27" t="str">
        <f>IFERROR(IF(IFERROR(MATCH(22,'كشف الحساب'!$N$4:$N$203,0),0)=0,"",INDEX('كشف الحساب'!$C$4:$C$203,IFERROR(MATCH(22,'كشف الحساب'!$N$4:$N$203,0),0))),"")</f>
        <v>شوكليرا عدد10 الحبه 1.500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4">
        <f>IFERROR(IF(IFERROR(MATCH(22,'كشف الحساب'!$N$4:$N$203,0),0)=0,"",INDEX('كشف الحساب'!$E$4:$E$203,IFERROR(MATCH(22,'كشف الحساب'!$N$4:$N$203,0),0))),"")</f>
        <v>15</v>
      </c>
      <c r="F26" s="63" t="str">
        <f>IFERROR(IF(IFERROR(MATCH(22,'كشف الحساب'!$N$4:$N$203,0),0)=0,"",INDEX('كشف الحساب'!$F$4:$F$203,IFERROR(MATCH(22,'كشف الحساب'!$N$4:$N$203,0),0))),"")</f>
        <v>أون لاين</v>
      </c>
      <c r="G26" s="63">
        <f>IFERROR(IF(IFERROR(MATCH(22,'كشف الحساب'!$N$4:$N$203,0),0)=0,"",INDEX('كشف الحساب'!$G$4:$G$203,IFERROR(MATCH(22,'كشف الحساب'!$N$4:$N$203,0),0))),"")</f>
        <v>0</v>
      </c>
      <c r="H26" s="63" t="str">
        <f>IFERROR(IF(IFERROR(MATCH(22,'كشف الحساب'!$N$4:$N$203,0),0)=0,"",INDEX('كشف الحساب'!$H$4:$H$203,IFERROR(MATCH(22,'كشف الحساب'!$N$4:$N$203,0),0))),"")</f>
        <v>تم الدفع</v>
      </c>
      <c r="I26" s="63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366.55</v>
      </c>
      <c r="K26" s="63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11">
        <f>IFERROR(IF(IFERROR(MATCH(23,'كشف الحساب'!$N$4:$N$203,0),0)=0,"",INDEX('كشف الحساب'!$A$4:$A$203,IFERROR(MATCH(23,'كشف الحساب'!$N$4:$N$203,0),0))),"")</f>
        <v>46189</v>
      </c>
      <c r="B27" s="61" t="str">
        <f>IFERROR(IF(IFERROR(MATCH(23,'كشف الحساب'!$N$4:$N$203,0),0)=0,"",INDEX('كشف الحساب'!$B$4:$B$203,IFERROR(MATCH(23,'كشف الحساب'!$N$4:$N$203,0),0))),"")</f>
        <v>Inv-67</v>
      </c>
      <c r="C27" s="37" t="str">
        <f>IFERROR(IF(IFERROR(MATCH(23,'كشف الحساب'!$N$4:$N$203,0),0)=0,"",INDEX('كشف الحساب'!$C$4:$C$203,IFERROR(MATCH(23,'كشف الحساب'!$N$4:$N$203,0),0))),"")</f>
        <v>فيكس عدد7 الحبه 1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2">
        <f>IFERROR(IF(IFERROR(MATCH(23,'كشف الحساب'!$N$4:$N$203,0),0)=0,"",INDEX('كشف الحساب'!$E$4:$E$203,IFERROR(MATCH(23,'كشف الحساب'!$N$4:$N$203,0),0))),"")</f>
        <v>7</v>
      </c>
      <c r="F27" s="61" t="str">
        <f>IFERROR(IF(IFERROR(MATCH(23,'كشف الحساب'!$N$4:$N$203,0),0)=0,"",INDEX('كشف الحساب'!$F$4:$F$203,IFERROR(MATCH(23,'كشف الحساب'!$N$4:$N$203,0),0))),"")</f>
        <v>أون لاين</v>
      </c>
      <c r="G27" s="61">
        <f>IFERROR(IF(IFERROR(MATCH(23,'كشف الحساب'!$N$4:$N$203,0),0)=0,"",INDEX('كشف الحساب'!$G$4:$G$203,IFERROR(MATCH(23,'كشف الحساب'!$N$4:$N$203,0),0))),"")</f>
        <v>0</v>
      </c>
      <c r="H27" s="61" t="str">
        <f>IFERROR(IF(IFERROR(MATCH(23,'كشف الحساب'!$N$4:$N$203,0),0)=0,"",INDEX('كشف الحساب'!$H$4:$H$203,IFERROR(MATCH(23,'كشف الحساب'!$N$4:$N$203,0),0))),"")</f>
        <v>تم الدفع</v>
      </c>
      <c r="I27" s="61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373.55</v>
      </c>
      <c r="K27" s="61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46189</v>
      </c>
      <c r="B28" s="63" t="str">
        <f>IFERROR(IF(IFERROR(MATCH(24,'كشف الحساب'!$N$4:$N$203,0),0)=0,"",INDEX('كشف الحساب'!$B$4:$B$203,IFERROR(MATCH(24,'كشف الحساب'!$N$4:$N$203,0),0))),"")</f>
        <v>Inv-68</v>
      </c>
      <c r="C28" s="27" t="str">
        <f>IFERROR(IF(IFERROR(MATCH(24,'كشف الحساب'!$N$4:$N$203,0),0)=0,"",INDEX('كشف الحساب'!$C$4:$C$203,IFERROR(MATCH(24,'كشف الحساب'!$N$4:$N$203,0),0))),"")</f>
        <v>ربل عدد 5 الحبه 2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4">
        <f>IFERROR(IF(IFERROR(MATCH(24,'كشف الحساب'!$N$4:$N$203,0),0)=0,"",INDEX('كشف الحساب'!$E$4:$E$203,IFERROR(MATCH(24,'كشف الحساب'!$N$4:$N$203,0),0))),"")</f>
        <v>10</v>
      </c>
      <c r="F28" s="63" t="str">
        <f>IFERROR(IF(IFERROR(MATCH(24,'كشف الحساب'!$N$4:$N$203,0),0)=0,"",INDEX('كشف الحساب'!$F$4:$F$203,IFERROR(MATCH(24,'كشف الحساب'!$N$4:$N$203,0),0))),"")</f>
        <v>أون لاين</v>
      </c>
      <c r="G28" s="63">
        <f>IFERROR(IF(IFERROR(MATCH(24,'كشف الحساب'!$N$4:$N$203,0),0)=0,"",INDEX('كشف الحساب'!$G$4:$G$203,IFERROR(MATCH(24,'كشف الحساب'!$N$4:$N$203,0),0))),"")</f>
        <v>0</v>
      </c>
      <c r="H28" s="63" t="str">
        <f>IFERROR(IF(IFERROR(MATCH(24,'كشف الحساب'!$N$4:$N$203,0),0)=0,"",INDEX('كشف الحساب'!$H$4:$H$203,IFERROR(MATCH(24,'كشف الحساب'!$N$4:$N$203,0),0))),"")</f>
        <v>تم الدفع</v>
      </c>
      <c r="I28" s="63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383.55</v>
      </c>
      <c r="K28" s="63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11">
        <f>IFERROR(IF(IFERROR(MATCH(25,'كشف الحساب'!$N$4:$N$203,0),0)=0,"",INDEX('كشف الحساب'!$A$4:$A$203,IFERROR(MATCH(25,'كشف الحساب'!$N$4:$N$203,0),0))),"")</f>
        <v>46189</v>
      </c>
      <c r="B29" s="61" t="str">
        <f>IFERROR(IF(IFERROR(MATCH(25,'كشف الحساب'!$N$4:$N$203,0),0)=0,"",INDEX('كشف الحساب'!$B$4:$B$203,IFERROR(MATCH(25,'كشف الحساب'!$N$4:$N$203,0),0))),"")</f>
        <v>Inv-69</v>
      </c>
      <c r="C29" s="37" t="str">
        <f>IFERROR(IF(IFERROR(MATCH(25,'كشف الحساب'!$N$4:$N$203,0),0)=0,"",INDEX('كشف الحساب'!$C$4:$C$203,IFERROR(MATCH(25,'كشف الحساب'!$N$4:$N$203,0),0))),"")</f>
        <v>فل عدد 24 الحبه .750</v>
      </c>
      <c r="D29" s="38">
        <f>IFERROR(IF(IFERROR(MATCH(25,'كشف الحساب'!$N$4:$N$203,0),0)=0,"",INDEX('كشف الحساب'!$D$4:$D$203,IFERROR(MATCH(25,'كشف الحساب'!$N$4:$N$203,0),0))),"")</f>
        <v>0</v>
      </c>
      <c r="E29" s="62">
        <f>IFERROR(IF(IFERROR(MATCH(25,'كشف الحساب'!$N$4:$N$203,0),0)=0,"",INDEX('كشف الحساب'!$E$4:$E$203,IFERROR(MATCH(25,'كشف الحساب'!$N$4:$N$203,0),0))),"")</f>
        <v>18</v>
      </c>
      <c r="F29" s="61" t="str">
        <f>IFERROR(IF(IFERROR(MATCH(25,'كشف الحساب'!$N$4:$N$203,0),0)=0,"",INDEX('كشف الحساب'!$F$4:$F$203,IFERROR(MATCH(25,'كشف الحساب'!$N$4:$N$203,0),0))),"")</f>
        <v>أون لاين</v>
      </c>
      <c r="G29" s="61">
        <f>IFERROR(IF(IFERROR(MATCH(25,'كشف الحساب'!$N$4:$N$203,0),0)=0,"",INDEX('كشف الحساب'!$G$4:$G$203,IFERROR(MATCH(25,'كشف الحساب'!$N$4:$N$203,0),0))),"")</f>
        <v>0</v>
      </c>
      <c r="H29" s="61" t="str">
        <f>IFERROR(IF(IFERROR(MATCH(25,'كشف الحساب'!$N$4:$N$203,0),0)=0,"",INDEX('كشف الحساب'!$H$4:$H$203,IFERROR(MATCH(25,'كشف الحساب'!$N$4:$N$203,0),0))),"")</f>
        <v>تم الدفع</v>
      </c>
      <c r="I29" s="61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401.55</v>
      </c>
      <c r="K29" s="61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46188</v>
      </c>
      <c r="B30" s="63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أقامه عبدول</v>
      </c>
      <c r="D30" s="28">
        <f>IFERROR(IF(IFERROR(MATCH(26,'كشف الحساب'!$N$4:$N$203,0),0)=0,"",INDEX('كشف الحساب'!$D$4:$D$203,IFERROR(MATCH(26,'كشف الحساب'!$N$4:$N$203,0),0))),"")</f>
        <v>25</v>
      </c>
      <c r="E30" s="64">
        <f>IFERROR(IF(IFERROR(MATCH(26,'كشف الحساب'!$N$4:$N$203,0),0)=0,"",INDEX('كشف الحساب'!$E$4:$E$203,IFERROR(MATCH(26,'كشف الحساب'!$N$4:$N$203,0),0))),"")</f>
        <v>0</v>
      </c>
      <c r="F30" s="63" t="str">
        <f>IFERROR(IF(IFERROR(MATCH(26,'كشف الحساب'!$N$4:$N$203,0),0)=0,"",INDEX('كشف الحساب'!$F$4:$F$203,IFERROR(MATCH(26,'كشف الحساب'!$N$4:$N$203,0),0))),"")</f>
        <v>أون لاين</v>
      </c>
      <c r="G30" s="63" t="str">
        <f>IFERROR(IF(IFERROR(MATCH(26,'كشف الحساب'!$N$4:$N$203,0),0)=0,"",INDEX('كشف الحساب'!$G$4:$G$203,IFERROR(MATCH(26,'كشف الحساب'!$N$4:$N$203,0),0))),"")</f>
        <v>المحفظة</v>
      </c>
      <c r="H30" s="63" t="str">
        <f>IFERROR(IF(IFERROR(MATCH(26,'كشف الحساب'!$N$4:$N$203,0),0)=0,"",INDEX('كشف الحساب'!$H$4:$H$203,IFERROR(MATCH(26,'كشف الحساب'!$N$4:$N$203,0),0))),"")</f>
        <v>تم الدفع</v>
      </c>
      <c r="I30" s="63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376.55</v>
      </c>
      <c r="K30" s="63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11">
        <f>IFERROR(IF(IFERROR(MATCH(27,'كشف الحساب'!$N$4:$N$203,0),0)=0,"",INDEX('كشف الحساب'!$A$4:$A$203,IFERROR(MATCH(27,'كشف الحساب'!$N$4:$N$203,0),0))),"")</f>
        <v>46190</v>
      </c>
      <c r="B31" s="61" t="str">
        <f>IFERROR(IF(IFERROR(MATCH(27,'كشف الحساب'!$N$4:$N$203,0),0)=0,"",INDEX('كشف الحساب'!$B$4:$B$203,IFERROR(MATCH(27,'كشف الحساب'!$N$4:$N$203,0),0))),"")</f>
        <v>Inv-70</v>
      </c>
      <c r="C31" s="37" t="str">
        <f>IFERROR(IF(IFERROR(MATCH(27,'كشف الحساب'!$N$4:$N$203,0),0)=0,"",INDEX('كشف الحساب'!$C$4:$C$203,IFERROR(MATCH(27,'كشف الحساب'!$N$4:$N$203,0),0))),"")</f>
        <v>افوبياعدد 1 الحبه .0.750</v>
      </c>
      <c r="D31" s="38">
        <f>IFERROR(IF(IFERROR(MATCH(27,'كشف الحساب'!$N$4:$N$203,0),0)=0,"",INDEX('كشف الحساب'!$D$4:$D$203,IFERROR(MATCH(27,'كشف الحساب'!$N$4:$N$203,0),0))),"")</f>
        <v>0</v>
      </c>
      <c r="E31" s="62">
        <f>IFERROR(IF(IFERROR(MATCH(27,'كشف الحساب'!$N$4:$N$203,0),0)=0,"",INDEX('كشف الحساب'!$E$4:$E$203,IFERROR(MATCH(27,'كشف الحساب'!$N$4:$N$203,0),0))),"")</f>
        <v>0.75</v>
      </c>
      <c r="F31" s="61" t="str">
        <f>IFERROR(IF(IFERROR(MATCH(27,'كشف الحساب'!$N$4:$N$203,0),0)=0,"",INDEX('كشف الحساب'!$F$4:$F$203,IFERROR(MATCH(27,'كشف الحساب'!$N$4:$N$203,0),0))),"")</f>
        <v>أون لاين</v>
      </c>
      <c r="G31" s="61">
        <f>IFERROR(IF(IFERROR(MATCH(27,'كشف الحساب'!$N$4:$N$203,0),0)=0,"",INDEX('كشف الحساب'!$G$4:$G$203,IFERROR(MATCH(27,'كشف الحساب'!$N$4:$N$203,0),0))),"")</f>
        <v>0</v>
      </c>
      <c r="H31" s="61" t="str">
        <f>IFERROR(IF(IFERROR(MATCH(27,'كشف الحساب'!$N$4:$N$203,0),0)=0,"",INDEX('كشف الحساب'!$H$4:$H$203,IFERROR(MATCH(27,'كشف الحساب'!$N$4:$N$203,0),0))),"")</f>
        <v>تم الدفع</v>
      </c>
      <c r="I31" s="61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377.3</v>
      </c>
      <c r="K31" s="61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46190</v>
      </c>
      <c r="B32" s="63" t="str">
        <f>IFERROR(IF(IFERROR(MATCH(28,'كشف الحساب'!$N$4:$N$203,0),0)=0,"",INDEX('كشف الحساب'!$B$4:$B$203,IFERROR(MATCH(28,'كشف الحساب'!$N$4:$N$203,0),0))),"")</f>
        <v>Inv-71</v>
      </c>
      <c r="C32" s="27" t="str">
        <f>IFERROR(IF(IFERROR(MATCH(28,'كشف الحساب'!$N$4:$N$203,0),0)=0,"",INDEX('كشف الحساب'!$C$4:$C$203,IFERROR(MATCH(28,'كشف الحساب'!$N$4:$N$203,0),0))),"")</f>
        <v>دارسينا عدد 1 الحبه 1.500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4">
        <f>IFERROR(IF(IFERROR(MATCH(28,'كشف الحساب'!$N$4:$N$203,0),0)=0,"",INDEX('كشف الحساب'!$E$4:$E$203,IFERROR(MATCH(28,'كشف الحساب'!$N$4:$N$203,0),0))),"")</f>
        <v>1.5</v>
      </c>
      <c r="F32" s="63" t="str">
        <f>IFERROR(IF(IFERROR(MATCH(28,'كشف الحساب'!$N$4:$N$203,0),0)=0,"",INDEX('كشف الحساب'!$F$4:$F$203,IFERROR(MATCH(28,'كشف الحساب'!$N$4:$N$203,0),0))),"")</f>
        <v>أون لاين</v>
      </c>
      <c r="G32" s="63">
        <f>IFERROR(IF(IFERROR(MATCH(28,'كشف الحساب'!$N$4:$N$203,0),0)=0,"",INDEX('كشف الحساب'!$G$4:$G$203,IFERROR(MATCH(28,'كشف الحساب'!$N$4:$N$203,0),0))),"")</f>
        <v>0</v>
      </c>
      <c r="H32" s="63" t="str">
        <f>IFERROR(IF(IFERROR(MATCH(28,'كشف الحساب'!$N$4:$N$203,0),0)=0,"",INDEX('كشف الحساب'!$H$4:$H$203,IFERROR(MATCH(28,'كشف الحساب'!$N$4:$N$203,0),0))),"")</f>
        <v>تم الدفع</v>
      </c>
      <c r="I32" s="63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378.8</v>
      </c>
      <c r="K32" s="63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 x14ac:dyDescent="0.25">
      <c r="A33" s="111">
        <f>IFERROR(IF(IFERROR(MATCH(29,'كشف الحساب'!$N$4:$N$203,0),0)=0,"",INDEX('كشف الحساب'!$A$4:$A$203,IFERROR(MATCH(29,'كشف الحساب'!$N$4:$N$203,0),0))),"")</f>
        <v>46191</v>
      </c>
      <c r="B33" s="61" t="str">
        <f>IFERROR(IF(IFERROR(MATCH(29,'كشف الحساب'!$N$4:$N$203,0),0)=0,"",INDEX('كشف الحساب'!$B$4:$B$203,IFERROR(MATCH(29,'كشف الحساب'!$N$4:$N$203,0),0))),"")</f>
        <v>Inv-72</v>
      </c>
      <c r="C33" s="37" t="str">
        <f>IFERROR(IF(IFERROR(MATCH(29,'كشف الحساب'!$N$4:$N$203,0),0)=0,"",INDEX('كشف الحساب'!$C$4:$C$203,IFERROR(MATCH(29,'كشف الحساب'!$N$4:$N$203,0),0))),"")</f>
        <v>فل عدد 1 الحبه 0.750</v>
      </c>
      <c r="D33" s="38">
        <f>IFERROR(IF(IFERROR(MATCH(29,'كشف الحساب'!$N$4:$N$203,0),0)=0,"",INDEX('كشف الحساب'!$D$4:$D$203,IFERROR(MATCH(29,'كشف الحساب'!$N$4:$N$203,0),0))),"")</f>
        <v>0</v>
      </c>
      <c r="E33" s="62">
        <f>IFERROR(IF(IFERROR(MATCH(29,'كشف الحساب'!$N$4:$N$203,0),0)=0,"",INDEX('كشف الحساب'!$E$4:$E$203,IFERROR(MATCH(29,'كشف الحساب'!$N$4:$N$203,0),0))),"")</f>
        <v>0.75</v>
      </c>
      <c r="F33" s="61" t="str">
        <f>IFERROR(IF(IFERROR(MATCH(29,'كشف الحساب'!$N$4:$N$203,0),0)=0,"",INDEX('كشف الحساب'!$F$4:$F$203,IFERROR(MATCH(29,'كشف الحساب'!$N$4:$N$203,0),0))),"")</f>
        <v>أون لاين</v>
      </c>
      <c r="G33" s="61">
        <f>IFERROR(IF(IFERROR(MATCH(29,'كشف الحساب'!$N$4:$N$203,0),0)=0,"",INDEX('كشف الحساب'!$G$4:$G$203,IFERROR(MATCH(29,'كشف الحساب'!$N$4:$N$203,0),0))),"")</f>
        <v>0</v>
      </c>
      <c r="H33" s="61" t="str">
        <f>IFERROR(IF(IFERROR(MATCH(29,'كشف الحساب'!$N$4:$N$203,0),0)=0,"",INDEX('كشف الحساب'!$H$4:$H$203,IFERROR(MATCH(29,'كشف الحساب'!$N$4:$N$203,0),0))),"")</f>
        <v>تم الدفع</v>
      </c>
      <c r="I33" s="61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379.55</v>
      </c>
      <c r="K33" s="61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46191</v>
      </c>
      <c r="B34" s="63" t="str">
        <f>IFERROR(IF(IFERROR(MATCH(30,'كشف الحساب'!$N$4:$N$203,0),0)=0,"",INDEX('كشف الحساب'!$B$4:$B$203,IFERROR(MATCH(30,'كشف الحساب'!$N$4:$N$203,0),0))),"")</f>
        <v>Inv-73</v>
      </c>
      <c r="C34" s="27" t="str">
        <f>IFERROR(IF(IFERROR(MATCH(30,'كشف الحساب'!$N$4:$N$203,0),0)=0,"",INDEX('كشف الحساب'!$C$4:$C$203,IFERROR(MATCH(30,'كشف الحساب'!$N$4:$N$203,0),0))),"")</f>
        <v>ودليه عدد 3 الحبه 1</v>
      </c>
      <c r="D34" s="28">
        <f>IFERROR(IF(IFERROR(MATCH(30,'كشف الحساب'!$N$4:$N$203,0),0)=0,"",INDEX('كشف الحساب'!$D$4:$D$203,IFERROR(MATCH(30,'كشف الحساب'!$N$4:$N$203,0),0))),"")</f>
        <v>0</v>
      </c>
      <c r="E34" s="64">
        <f>IFERROR(IF(IFERROR(MATCH(30,'كشف الحساب'!$N$4:$N$203,0),0)=0,"",INDEX('كشف الحساب'!$E$4:$E$203,IFERROR(MATCH(30,'كشف الحساب'!$N$4:$N$203,0),0))),"")</f>
        <v>3</v>
      </c>
      <c r="F34" s="63" t="str">
        <f>IFERROR(IF(IFERROR(MATCH(30,'كشف الحساب'!$N$4:$N$203,0),0)=0,"",INDEX('كشف الحساب'!$F$4:$F$203,IFERROR(MATCH(30,'كشف الحساب'!$N$4:$N$203,0),0))),"")</f>
        <v>أون لاين</v>
      </c>
      <c r="G34" s="63">
        <f>IFERROR(IF(IFERROR(MATCH(30,'كشف الحساب'!$N$4:$N$203,0),0)=0,"",INDEX('كشف الحساب'!$G$4:$G$203,IFERROR(MATCH(30,'كشف الحساب'!$N$4:$N$203,0),0))),"")</f>
        <v>0</v>
      </c>
      <c r="H34" s="63" t="str">
        <f>IFERROR(IF(IFERROR(MATCH(30,'كشف الحساب'!$N$4:$N$203,0),0)=0,"",INDEX('كشف الحساب'!$H$4:$H$203,IFERROR(MATCH(30,'كشف الحساب'!$N$4:$N$203,0),0))),"")</f>
        <v>تم الدفع</v>
      </c>
      <c r="I34" s="63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382.55</v>
      </c>
      <c r="K34" s="63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5">
        <f>IFERROR(IF(IFERROR(MATCH(31,'كشف الحساب'!$N$4:$N$203,0),0)=0,"",INDEX('كشف الحساب'!$A$4:$A$203,IFERROR(MATCH(31,'كشف الحساب'!$N$4:$N$203,0),0))),"")</f>
        <v>46199</v>
      </c>
      <c r="B35" s="66" t="str">
        <f>IFERROR(IF(IFERROR(MATCH(31,'كشف الحساب'!$N$4:$N$203,0),0)=0,"",INDEX('كشف الحساب'!$B$4:$B$203,IFERROR(MATCH(31,'كشف الحساب'!$N$4:$N$203,0),0))),"")</f>
        <v>Inv-74</v>
      </c>
      <c r="C35" s="67" t="str">
        <f>IFERROR(IF(IFERROR(MATCH(31,'كشف الحساب'!$N$4:$N$203,0),0)=0,"",INDEX('كشف الحساب'!$C$4:$C$203,IFERROR(MATCH(31,'كشف الحساب'!$N$4:$N$203,0),0))),"")</f>
        <v>ربل عدد 11 الحبه 2</v>
      </c>
      <c r="D35" s="68">
        <f>IFERROR(IF(IFERROR(MATCH(31,'كشف الحساب'!$N$4:$N$203,0),0)=0,"",INDEX('كشف الحساب'!$D$4:$D$203,IFERROR(MATCH(31,'كشف الحساب'!$N$4:$N$203,0),0))),"")</f>
        <v>0</v>
      </c>
      <c r="E35" s="69">
        <f>IFERROR(IF(IFERROR(MATCH(31,'كشف الحساب'!$N$4:$N$203,0),0)=0,"",INDEX('كشف الحساب'!$E$4:$E$203,IFERROR(MATCH(31,'كشف الحساب'!$N$4:$N$203,0),0))),"")</f>
        <v>22</v>
      </c>
      <c r="F35" s="66" t="str">
        <f>IFERROR(IF(IFERROR(MATCH(31,'كشف الحساب'!$N$4:$N$203,0),0)=0,"",INDEX('كشف الحساب'!$F$4:$F$203,IFERROR(MATCH(31,'كشف الحساب'!$N$4:$N$203,0),0))),"")</f>
        <v>أون لاين</v>
      </c>
      <c r="G35" s="66">
        <f>IFERROR(IF(IFERROR(MATCH(31,'كشف الحساب'!$N$4:$N$203,0),0)=0,"",INDEX('كشف الحساب'!$G$4:$G$203,IFERROR(MATCH(31,'كشف الحساب'!$N$4:$N$203,0),0))),"")</f>
        <v>0</v>
      </c>
      <c r="H35" s="66" t="str">
        <f>IFERROR(IF(IFERROR(MATCH(31,'كشف الحساب'!$N$4:$N$203,0),0)=0,"",INDEX('كشف الحساب'!$H$4:$H$203,IFERROR(MATCH(31,'كشف الحساب'!$N$4:$N$203,0),0))),"")</f>
        <v>تم الدفع</v>
      </c>
      <c r="I35" s="66">
        <f>IFERROR(IF(IFERROR(MATCH(31,'كشف الحساب'!$N$4:$N$203,0),0)=0,"",INDEX('كشف الحساب'!$I$4:$I$203,IFERROR(MATCH(31,'كشف الحساب'!$N$4:$N$203,0),0))),"")</f>
        <v>0</v>
      </c>
      <c r="J35" s="70">
        <f>IFERROR(IF(IFERROR(MATCH(31,'كشف الحساب'!$N$4:$N$203,0),0)=0,"",INDEX('كشف الحساب'!$J$4:$J$203,IFERROR(MATCH(31,'كشف الحساب'!$N$4:$N$203,0),0))),"")</f>
        <v>404.55</v>
      </c>
      <c r="K35" s="66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71">
        <f>IFERROR(IF(IFERROR(MATCH(32,'كشف الحساب'!$N$4:$N$203,0),0)=0,"",INDEX('كشف الحساب'!$A$4:$A$203,IFERROR(MATCH(32,'كشف الحساب'!$N$4:$N$203,0),0))),"")</f>
        <v>46199</v>
      </c>
      <c r="B36" s="72" t="str">
        <f>IFERROR(IF(IFERROR(MATCH(32,'كشف الحساب'!$N$4:$N$203,0),0)=0,"",INDEX('كشف الحساب'!$B$4:$B$203,IFERROR(MATCH(32,'كشف الحساب'!$N$4:$N$203,0),0))),"")</f>
        <v>Inv-75</v>
      </c>
      <c r="C36" s="73" t="str">
        <f>IFERROR(IF(IFERROR(MATCH(32,'كشف الحساب'!$N$4:$N$203,0),0)=0,"",INDEX('كشف الحساب'!$C$4:$C$203,IFERROR(MATCH(32,'كشف الحساب'!$N$4:$N$203,0),0))),"")</f>
        <v>شوفليرا عدد6 الحبه 1.500</v>
      </c>
      <c r="D36" s="74">
        <f>IFERROR(IF(IFERROR(MATCH(32,'كشف الحساب'!$N$4:$N$203,0),0)=0,"",INDEX('كشف الحساب'!$D$4:$D$203,IFERROR(MATCH(32,'كشف الحساب'!$N$4:$N$203,0),0))),"")</f>
        <v>0</v>
      </c>
      <c r="E36" s="75">
        <f>IFERROR(IF(IFERROR(MATCH(32,'كشف الحساب'!$N$4:$N$203,0),0)=0,"",INDEX('كشف الحساب'!$E$4:$E$203,IFERROR(MATCH(32,'كشف الحساب'!$N$4:$N$203,0),0))),"")</f>
        <v>9</v>
      </c>
      <c r="F36" s="72" t="str">
        <f>IFERROR(IF(IFERROR(MATCH(32,'كشف الحساب'!$N$4:$N$203,0),0)=0,"",INDEX('كشف الحساب'!$F$4:$F$203,IFERROR(MATCH(32,'كشف الحساب'!$N$4:$N$203,0),0))),"")</f>
        <v>أون لاين</v>
      </c>
      <c r="G36" s="72">
        <f>IFERROR(IF(IFERROR(MATCH(32,'كشف الحساب'!$N$4:$N$203,0),0)=0,"",INDEX('كشف الحساب'!$G$4:$G$203,IFERROR(MATCH(32,'كشف الحساب'!$N$4:$N$203,0),0))),"")</f>
        <v>0</v>
      </c>
      <c r="H36" s="72" t="str">
        <f>IFERROR(IF(IFERROR(MATCH(32,'كشف الحساب'!$N$4:$N$203,0),0)=0,"",INDEX('كشف الحساب'!$H$4:$H$203,IFERROR(MATCH(32,'كشف الحساب'!$N$4:$N$203,0),0))),"")</f>
        <v>تم الدفع</v>
      </c>
      <c r="I36" s="72">
        <f>IFERROR(IF(IFERROR(MATCH(32,'كشف الحساب'!$N$4:$N$203,0),0)=0,"",INDEX('كشف الحساب'!$I$4:$I$203,IFERROR(MATCH(32,'كشف الحساب'!$N$4:$N$203,0),0))),"")</f>
        <v>0</v>
      </c>
      <c r="J36" s="76">
        <f>IFERROR(IF(IFERROR(MATCH(32,'كشف الحساب'!$N$4:$N$203,0),0)=0,"",INDEX('كشف الحساب'!$J$4:$J$203,IFERROR(MATCH(32,'كشف الحساب'!$N$4:$N$203,0),0))),"")</f>
        <v>413.55</v>
      </c>
      <c r="K36" s="72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5">
        <f>IFERROR(IF(IFERROR(MATCH(33,'كشف الحساب'!$N$4:$N$203,0),0)=0,"",INDEX('كشف الحساب'!$A$4:$A$203,IFERROR(MATCH(33,'كشف الحساب'!$N$4:$N$203,0),0))),"")</f>
        <v>46197</v>
      </c>
      <c r="B37" s="66">
        <f>IFERROR(IF(IFERROR(MATCH(33,'كشف الحساب'!$N$4:$N$203,0),0)=0,"",INDEX('كشف الحساب'!$B$4:$B$203,IFERROR(MATCH(33,'كشف الحساب'!$N$4:$N$203,0),0))),"")</f>
        <v>0</v>
      </c>
      <c r="C37" s="67" t="str">
        <f>IFERROR(IF(IFERROR(MATCH(33,'كشف الحساب'!$N$4:$N$203,0),0)=0,"",INDEX('كشف الحساب'!$C$4:$C$203,IFERROR(MATCH(33,'كشف الحساب'!$N$4:$N$203,0),0))),"")</f>
        <v>nbk 18-18-18</v>
      </c>
      <c r="D37" s="68">
        <f>IFERROR(IF(IFERROR(MATCH(33,'كشف الحساب'!$N$4:$N$203,0),0)=0,"",INDEX('كشف الحساب'!$D$4:$D$203,IFERROR(MATCH(33,'كشف الحساب'!$N$4:$N$203,0),0))),"")</f>
        <v>12</v>
      </c>
      <c r="E37" s="69">
        <f>IFERROR(IF(IFERROR(MATCH(33,'كشف الحساب'!$N$4:$N$203,0),0)=0,"",INDEX('كشف الحساب'!$E$4:$E$203,IFERROR(MATCH(33,'كشف الحساب'!$N$4:$N$203,0),0))),"")</f>
        <v>0</v>
      </c>
      <c r="F37" s="66" t="str">
        <f>IFERROR(IF(IFERROR(MATCH(33,'كشف الحساب'!$N$4:$N$203,0),0)=0,"",INDEX('كشف الحساب'!$F$4:$F$203,IFERROR(MATCH(33,'كشف الحساب'!$N$4:$N$203,0),0))),"")</f>
        <v>نقداً</v>
      </c>
      <c r="G37" s="66" t="str">
        <f>IFERROR(IF(IFERROR(MATCH(33,'كشف الحساب'!$N$4:$N$203,0),0)=0,"",INDEX('كشف الحساب'!$G$4:$G$203,IFERROR(MATCH(33,'كشف الحساب'!$N$4:$N$203,0),0))),"")</f>
        <v>المحفظة</v>
      </c>
      <c r="H37" s="66" t="str">
        <f>IFERROR(IF(IFERROR(MATCH(33,'كشف الحساب'!$N$4:$N$203,0),0)=0,"",INDEX('كشف الحساب'!$H$4:$H$203,IFERROR(MATCH(33,'كشف الحساب'!$N$4:$N$203,0),0))),"")</f>
        <v>تم الدفع</v>
      </c>
      <c r="I37" s="66">
        <f>IFERROR(IF(IFERROR(MATCH(33,'كشف الحساب'!$N$4:$N$203,0),0)=0,"",INDEX('كشف الحساب'!$I$4:$I$203,IFERROR(MATCH(33,'كشف الحساب'!$N$4:$N$203,0),0))),"")</f>
        <v>0</v>
      </c>
      <c r="J37" s="70">
        <f>IFERROR(IF(IFERROR(MATCH(33,'كشف الحساب'!$N$4:$N$203,0),0)=0,"",INDEX('كشف الحساب'!$J$4:$J$203,IFERROR(MATCH(33,'كشف الحساب'!$N$4:$N$203,0),0))),"")</f>
        <v>401.55</v>
      </c>
      <c r="K37" s="66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 x14ac:dyDescent="0.25">
      <c r="A38" s="71">
        <f>IFERROR(IF(IFERROR(MATCH(34,'كشف الحساب'!$N$4:$N$203,0),0)=0,"",INDEX('كشف الحساب'!$A$4:$A$203,IFERROR(MATCH(34,'كشف الحساب'!$N$4:$N$203,0),0))),"")</f>
        <v>46201</v>
      </c>
      <c r="B38" s="72" t="str">
        <f>IFERROR(IF(IFERROR(MATCH(34,'كشف الحساب'!$N$4:$N$203,0),0)=0,"",INDEX('كشف الحساب'!$B$4:$B$203,IFERROR(MATCH(34,'كشف الحساب'!$N$4:$N$203,0),0))),"")</f>
        <v>Inv-76</v>
      </c>
      <c r="C38" s="73" t="str">
        <f>IFERROR(IF(IFERROR(MATCH(34,'كشف الحساب'!$N$4:$N$203,0),0)=0,"",INDEX('كشف الحساب'!$C$4:$C$203,IFERROR(MATCH(34,'كشف الحساب'!$N$4:$N$203,0),0))),"")</f>
        <v>فل عدد 11 الحبه 0.750</v>
      </c>
      <c r="D38" s="74">
        <f>IFERROR(IF(IFERROR(MATCH(34,'كشف الحساب'!$N$4:$N$203,0),0)=0,"",INDEX('كشف الحساب'!$D$4:$D$203,IFERROR(MATCH(34,'كشف الحساب'!$N$4:$N$203,0),0))),"")</f>
        <v>0</v>
      </c>
      <c r="E38" s="75">
        <f>IFERROR(IF(IFERROR(MATCH(34,'كشف الحساب'!$N$4:$N$203,0),0)=0,"",INDEX('كشف الحساب'!$E$4:$E$203,IFERROR(MATCH(34,'كشف الحساب'!$N$4:$N$203,0),0))),"")</f>
        <v>8.25</v>
      </c>
      <c r="F38" s="72" t="str">
        <f>IFERROR(IF(IFERROR(MATCH(34,'كشف الحساب'!$N$4:$N$203,0),0)=0,"",INDEX('كشف الحساب'!$F$4:$F$203,IFERROR(MATCH(34,'كشف الحساب'!$N$4:$N$203,0),0))),"")</f>
        <v>أون لاين</v>
      </c>
      <c r="G38" s="72">
        <f>IFERROR(IF(IFERROR(MATCH(34,'كشف الحساب'!$N$4:$N$203,0),0)=0,"",INDEX('كشف الحساب'!$G$4:$G$203,IFERROR(MATCH(34,'كشف الحساب'!$N$4:$N$203,0),0))),"")</f>
        <v>0</v>
      </c>
      <c r="H38" s="72" t="str">
        <f>IFERROR(IF(IFERROR(MATCH(34,'كشف الحساب'!$N$4:$N$203,0),0)=0,"",INDEX('كشف الحساب'!$H$4:$H$203,IFERROR(MATCH(34,'كشف الحساب'!$N$4:$N$203,0),0))),"")</f>
        <v>تم الدفع</v>
      </c>
      <c r="I38" s="72">
        <f>IFERROR(IF(IFERROR(MATCH(34,'كشف الحساب'!$N$4:$N$203,0),0)=0,"",INDEX('كشف الحساب'!$I$4:$I$203,IFERROR(MATCH(34,'كشف الحساب'!$N$4:$N$203,0),0))),"")</f>
        <v>0</v>
      </c>
      <c r="J38" s="76">
        <f>IFERROR(IF(IFERROR(MATCH(34,'كشف الحساب'!$N$4:$N$203,0),0)=0,"",INDEX('كشف الحساب'!$J$4:$J$203,IFERROR(MATCH(34,'كشف الحساب'!$N$4:$N$203,0),0))),"")</f>
        <v>409.8</v>
      </c>
      <c r="K38" s="72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 x14ac:dyDescent="0.25">
      <c r="A39" s="65">
        <f>IFERROR(IF(IFERROR(MATCH(35,'كشف الحساب'!$N$4:$N$203,0),0)=0,"",INDEX('كشف الحساب'!$A$4:$A$203,IFERROR(MATCH(35,'كشف الحساب'!$N$4:$N$203,0),0))),"")</f>
        <v>46202</v>
      </c>
      <c r="B39" s="66" t="str">
        <f>IFERROR(IF(IFERROR(MATCH(35,'كشف الحساب'!$N$4:$N$203,0),0)=0,"",INDEX('كشف الحساب'!$B$4:$B$203,IFERROR(MATCH(35,'كشف الحساب'!$N$4:$N$203,0),0))),"")</f>
        <v>Inv-77</v>
      </c>
      <c r="C39" s="67" t="str">
        <f>IFERROR(IF(IFERROR(MATCH(35,'كشف الحساب'!$N$4:$N$203,0),0)=0,"",INDEX('كشف الحساب'!$C$4:$C$203,IFERROR(MATCH(35,'كشف الحساب'!$N$4:$N$203,0),0))),"")</f>
        <v>عطره عدد 3 الحبه 0.750</v>
      </c>
      <c r="D39" s="68">
        <f>IFERROR(IF(IFERROR(MATCH(35,'كشف الحساب'!$N$4:$N$203,0),0)=0,"",INDEX('كشف الحساب'!$D$4:$D$203,IFERROR(MATCH(35,'كشف الحساب'!$N$4:$N$203,0),0))),"")</f>
        <v>0</v>
      </c>
      <c r="E39" s="69">
        <f>IFERROR(IF(IFERROR(MATCH(35,'كشف الحساب'!$N$4:$N$203,0),0)=0,"",INDEX('كشف الحساب'!$E$4:$E$203,IFERROR(MATCH(35,'كشف الحساب'!$N$4:$N$203,0),0))),"")</f>
        <v>2.25</v>
      </c>
      <c r="F39" s="66" t="str">
        <f>IFERROR(IF(IFERROR(MATCH(35,'كشف الحساب'!$N$4:$N$203,0),0)=0,"",INDEX('كشف الحساب'!$F$4:$F$203,IFERROR(MATCH(35,'كشف الحساب'!$N$4:$N$203,0),0))),"")</f>
        <v>أون لاين</v>
      </c>
      <c r="G39" s="66">
        <f>IFERROR(IF(IFERROR(MATCH(35,'كشف الحساب'!$N$4:$N$203,0),0)=0,"",INDEX('كشف الحساب'!$G$4:$G$203,IFERROR(MATCH(35,'كشف الحساب'!$N$4:$N$203,0),0))),"")</f>
        <v>0</v>
      </c>
      <c r="H39" s="66" t="str">
        <f>IFERROR(IF(IFERROR(MATCH(35,'كشف الحساب'!$N$4:$N$203,0),0)=0,"",INDEX('كشف الحساب'!$H$4:$H$203,IFERROR(MATCH(35,'كشف الحساب'!$N$4:$N$203,0),0))),"")</f>
        <v>تم الدفع</v>
      </c>
      <c r="I39" s="66">
        <f>IFERROR(IF(IFERROR(MATCH(35,'كشف الحساب'!$N$4:$N$203,0),0)=0,"",INDEX('كشف الحساب'!$I$4:$I$203,IFERROR(MATCH(35,'كشف الحساب'!$N$4:$N$203,0),0))),"")</f>
        <v>0</v>
      </c>
      <c r="J39" s="70">
        <f>IFERROR(IF(IFERROR(MATCH(35,'كشف الحساب'!$N$4:$N$203,0),0)=0,"",INDEX('كشف الحساب'!$J$4:$J$203,IFERROR(MATCH(35,'كشف الحساب'!$N$4:$N$203,0),0))),"")</f>
        <v>412.05</v>
      </c>
      <c r="K39" s="66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 x14ac:dyDescent="0.25">
      <c r="A40" s="71">
        <f>IFERROR(IF(IFERROR(MATCH(36,'كشف الحساب'!$N$4:$N$203,0),0)=0,"",INDEX('كشف الحساب'!$A$4:$A$203,IFERROR(MATCH(36,'كشف الحساب'!$N$4:$N$203,0),0))),"")</f>
        <v>46202</v>
      </c>
      <c r="B40" s="72" t="str">
        <f>IFERROR(IF(IFERROR(MATCH(36,'كشف الحساب'!$N$4:$N$203,0),0)=0,"",INDEX('كشف الحساب'!$B$4:$B$203,IFERROR(MATCH(36,'كشف الحساب'!$N$4:$N$203,0),0))),"")</f>
        <v>Inv-78</v>
      </c>
      <c r="C40" s="73" t="str">
        <f>IFERROR(IF(IFERROR(MATCH(36,'كشف الحساب'!$N$4:$N$203,0),0)=0,"",INDEX('كشف الحساب'!$C$4:$C$203,IFERROR(MATCH(36,'كشف الحساب'!$N$4:$N$203,0),0))),"")</f>
        <v>معلقات عدد 3 الحبه 1</v>
      </c>
      <c r="D40" s="74">
        <f>IFERROR(IF(IFERROR(MATCH(36,'كشف الحساب'!$N$4:$N$203,0),0)=0,"",INDEX('كشف الحساب'!$D$4:$D$203,IFERROR(MATCH(36,'كشف الحساب'!$N$4:$N$203,0),0))),"")</f>
        <v>0</v>
      </c>
      <c r="E40" s="75">
        <f>IFERROR(IF(IFERROR(MATCH(36,'كشف الحساب'!$N$4:$N$203,0),0)=0,"",INDEX('كشف الحساب'!$E$4:$E$203,IFERROR(MATCH(36,'كشف الحساب'!$N$4:$N$203,0),0))),"")</f>
        <v>3</v>
      </c>
      <c r="F40" s="72" t="str">
        <f>IFERROR(IF(IFERROR(MATCH(36,'كشف الحساب'!$N$4:$N$203,0),0)=0,"",INDEX('كشف الحساب'!$F$4:$F$203,IFERROR(MATCH(36,'كشف الحساب'!$N$4:$N$203,0),0))),"")</f>
        <v>أون لاين</v>
      </c>
      <c r="G40" s="72">
        <f>IFERROR(IF(IFERROR(MATCH(36,'كشف الحساب'!$N$4:$N$203,0),0)=0,"",INDEX('كشف الحساب'!$G$4:$G$203,IFERROR(MATCH(36,'كشف الحساب'!$N$4:$N$203,0),0))),"")</f>
        <v>0</v>
      </c>
      <c r="H40" s="72" t="str">
        <f>IFERROR(IF(IFERROR(MATCH(36,'كشف الحساب'!$N$4:$N$203,0),0)=0,"",INDEX('كشف الحساب'!$H$4:$H$203,IFERROR(MATCH(36,'كشف الحساب'!$N$4:$N$203,0),0))),"")</f>
        <v>تم الدفع</v>
      </c>
      <c r="I40" s="72">
        <f>IFERROR(IF(IFERROR(MATCH(36,'كشف الحساب'!$N$4:$N$203,0),0)=0,"",INDEX('كشف الحساب'!$I$4:$I$203,IFERROR(MATCH(36,'كشف الحساب'!$N$4:$N$203,0),0))),"")</f>
        <v>0</v>
      </c>
      <c r="J40" s="76">
        <f>IFERROR(IF(IFERROR(MATCH(36,'كشف الحساب'!$N$4:$N$203,0),0)=0,"",INDEX('كشف الحساب'!$J$4:$J$203,IFERROR(MATCH(36,'كشف الحساب'!$N$4:$N$203,0),0))),"")</f>
        <v>415.05</v>
      </c>
      <c r="K40" s="72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 x14ac:dyDescent="0.25">
      <c r="A41" s="65">
        <f>IFERROR(IF(IFERROR(MATCH(37,'كشف الحساب'!$N$4:$N$203,0),0)=0,"",INDEX('كشف الحساب'!$A$4:$A$203,IFERROR(MATCH(37,'كشف الحساب'!$N$4:$N$203,0),0))),"")</f>
        <v>46203</v>
      </c>
      <c r="B41" s="66" t="str">
        <f>IFERROR(IF(IFERROR(MATCH(37,'كشف الحساب'!$N$4:$N$203,0),0)=0,"",INDEX('كشف الحساب'!$B$4:$B$203,IFERROR(MATCH(37,'كشف الحساب'!$N$4:$N$203,0),0))),"")</f>
        <v>Inv-79</v>
      </c>
      <c r="C41" s="67" t="str">
        <f>IFERROR(IF(IFERROR(MATCH(37,'كشف الحساب'!$N$4:$N$203,0),0)=0,"",INDEX('كشف الحساب'!$C$4:$C$203,IFERROR(MATCH(37,'كشف الحساب'!$N$4:$N$203,0),0))),"")</f>
        <v>معلقات عدد 4 الحبه 1</v>
      </c>
      <c r="D41" s="68">
        <f>IFERROR(IF(IFERROR(MATCH(37,'كشف الحساب'!$N$4:$N$203,0),0)=0,"",INDEX('كشف الحساب'!$D$4:$D$203,IFERROR(MATCH(37,'كشف الحساب'!$N$4:$N$203,0),0))),"")</f>
        <v>0</v>
      </c>
      <c r="E41" s="69">
        <f>IFERROR(IF(IFERROR(MATCH(37,'كشف الحساب'!$N$4:$N$203,0),0)=0,"",INDEX('كشف الحساب'!$E$4:$E$203,IFERROR(MATCH(37,'كشف الحساب'!$N$4:$N$203,0),0))),"")</f>
        <v>4</v>
      </c>
      <c r="F41" s="66" t="str">
        <f>IFERROR(IF(IFERROR(MATCH(37,'كشف الحساب'!$N$4:$N$203,0),0)=0,"",INDEX('كشف الحساب'!$F$4:$F$203,IFERROR(MATCH(37,'كشف الحساب'!$N$4:$N$203,0),0))),"")</f>
        <v>أون لاين</v>
      </c>
      <c r="G41" s="66">
        <f>IFERROR(IF(IFERROR(MATCH(37,'كشف الحساب'!$N$4:$N$203,0),0)=0,"",INDEX('كشف الحساب'!$G$4:$G$203,IFERROR(MATCH(37,'كشف الحساب'!$N$4:$N$203,0),0))),"")</f>
        <v>0</v>
      </c>
      <c r="H41" s="66" t="str">
        <f>IFERROR(IF(IFERROR(MATCH(37,'كشف الحساب'!$N$4:$N$203,0),0)=0,"",INDEX('كشف الحساب'!$H$4:$H$203,IFERROR(MATCH(37,'كشف الحساب'!$N$4:$N$203,0),0))),"")</f>
        <v>تم الدفع</v>
      </c>
      <c r="I41" s="66">
        <f>IFERROR(IF(IFERROR(MATCH(37,'كشف الحساب'!$N$4:$N$203,0),0)=0,"",INDEX('كشف الحساب'!$I$4:$I$203,IFERROR(MATCH(37,'كشف الحساب'!$N$4:$N$203,0),0))),"")</f>
        <v>0</v>
      </c>
      <c r="J41" s="70">
        <f>IFERROR(IF(IFERROR(MATCH(37,'كشف الحساب'!$N$4:$N$203,0),0)=0,"",INDEX('كشف الحساب'!$J$4:$J$203,IFERROR(MATCH(37,'كشف الحساب'!$N$4:$N$203,0),0))),"")</f>
        <v>419.05</v>
      </c>
      <c r="K41" s="66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 x14ac:dyDescent="0.25">
      <c r="A42" s="71">
        <f>IFERROR(IF(IFERROR(MATCH(38,'كشف الحساب'!$N$4:$N$203,0),0)=0,"",INDEX('كشف الحساب'!$A$4:$A$203,IFERROR(MATCH(38,'كشف الحساب'!$N$4:$N$203,0),0))),"")</f>
        <v>46203</v>
      </c>
      <c r="B42" s="72" t="str">
        <f>IFERROR(IF(IFERROR(MATCH(38,'كشف الحساب'!$N$4:$N$203,0),0)=0,"",INDEX('كشف الحساب'!$B$4:$B$203,IFERROR(MATCH(38,'كشف الحساب'!$N$4:$N$203,0),0))),"")</f>
        <v>Inv-80</v>
      </c>
      <c r="C42" s="73" t="str">
        <f>IFERROR(IF(IFERROR(MATCH(38,'كشف الحساب'!$N$4:$N$203,0),0)=0,"",INDEX('كشف الحساب'!$C$4:$C$203,IFERROR(MATCH(38,'كشف الحساب'!$N$4:$N$203,0),0))),"")</f>
        <v>معلقات عدد4 الحبه 1</v>
      </c>
      <c r="D42" s="74">
        <f>IFERROR(IF(IFERROR(MATCH(38,'كشف الحساب'!$N$4:$N$203,0),0)=0,"",INDEX('كشف الحساب'!$D$4:$D$203,IFERROR(MATCH(38,'كشف الحساب'!$N$4:$N$203,0),0))),"")</f>
        <v>0</v>
      </c>
      <c r="E42" s="75">
        <f>IFERROR(IF(IFERROR(MATCH(38,'كشف الحساب'!$N$4:$N$203,0),0)=0,"",INDEX('كشف الحساب'!$E$4:$E$203,IFERROR(MATCH(38,'كشف الحساب'!$N$4:$N$203,0),0))),"")</f>
        <v>4</v>
      </c>
      <c r="F42" s="72" t="str">
        <f>IFERROR(IF(IFERROR(MATCH(38,'كشف الحساب'!$N$4:$N$203,0),0)=0,"",INDEX('كشف الحساب'!$F$4:$F$203,IFERROR(MATCH(38,'كشف الحساب'!$N$4:$N$203,0),0))),"")</f>
        <v>أون لاين</v>
      </c>
      <c r="G42" s="72">
        <f>IFERROR(IF(IFERROR(MATCH(38,'كشف الحساب'!$N$4:$N$203,0),0)=0,"",INDEX('كشف الحساب'!$G$4:$G$203,IFERROR(MATCH(38,'كشف الحساب'!$N$4:$N$203,0),0))),"")</f>
        <v>0</v>
      </c>
      <c r="H42" s="72" t="str">
        <f>IFERROR(IF(IFERROR(MATCH(38,'كشف الحساب'!$N$4:$N$203,0),0)=0,"",INDEX('كشف الحساب'!$H$4:$H$203,IFERROR(MATCH(38,'كشف الحساب'!$N$4:$N$203,0),0))),"")</f>
        <v>تم الدفع</v>
      </c>
      <c r="I42" s="72">
        <f>IFERROR(IF(IFERROR(MATCH(38,'كشف الحساب'!$N$4:$N$203,0),0)=0,"",INDEX('كشف الحساب'!$I$4:$I$203,IFERROR(MATCH(38,'كشف الحساب'!$N$4:$N$203,0),0))),"")</f>
        <v>0</v>
      </c>
      <c r="J42" s="76">
        <f>IFERROR(IF(IFERROR(MATCH(38,'كشف الحساب'!$N$4:$N$203,0),0)=0,"",INDEX('كشف الحساب'!$J$4:$J$203,IFERROR(MATCH(38,'كشف الحساب'!$N$4:$N$203,0),0))),"")</f>
        <v>423.05</v>
      </c>
      <c r="K42" s="72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 x14ac:dyDescent="0.25">
      <c r="A43" s="65">
        <f>IFERROR(IF(IFERROR(MATCH(39,'كشف الحساب'!$N$4:$N$203,0),0)=0,"",INDEX('كشف الحساب'!$A$4:$A$203,IFERROR(MATCH(39,'كشف الحساب'!$N$4:$N$203,0),0))),"")</f>
        <v>46203</v>
      </c>
      <c r="B43" s="66" t="str">
        <f>IFERROR(IF(IFERROR(MATCH(39,'كشف الحساب'!$N$4:$N$203,0),0)=0,"",INDEX('كشف الحساب'!$B$4:$B$203,IFERROR(MATCH(39,'كشف الحساب'!$N$4:$N$203,0),0))),"")</f>
        <v>Inv-81</v>
      </c>
      <c r="C43" s="67" t="str">
        <f>IFERROR(IF(IFERROR(MATCH(39,'كشف الحساب'!$N$4:$N$203,0),0)=0,"",INDEX('كشف الحساب'!$C$4:$C$203,IFERROR(MATCH(39,'كشف الحساب'!$N$4:$N$203,0),0))),"")</f>
        <v>افوبيا عدد 2 الحبه 1</v>
      </c>
      <c r="D43" s="68">
        <f>IFERROR(IF(IFERROR(MATCH(39,'كشف الحساب'!$N$4:$N$203,0),0)=0,"",INDEX('كشف الحساب'!$D$4:$D$203,IFERROR(MATCH(39,'كشف الحساب'!$N$4:$N$203,0),0))),"")</f>
        <v>0</v>
      </c>
      <c r="E43" s="69">
        <f>IFERROR(IF(IFERROR(MATCH(39,'كشف الحساب'!$N$4:$N$203,0),0)=0,"",INDEX('كشف الحساب'!$E$4:$E$203,IFERROR(MATCH(39,'كشف الحساب'!$N$4:$N$203,0),0))),"")</f>
        <v>2</v>
      </c>
      <c r="F43" s="66" t="str">
        <f>IFERROR(IF(IFERROR(MATCH(39,'كشف الحساب'!$N$4:$N$203,0),0)=0,"",INDEX('كشف الحساب'!$F$4:$F$203,IFERROR(MATCH(39,'كشف الحساب'!$N$4:$N$203,0),0))),"")</f>
        <v>أون لاين</v>
      </c>
      <c r="G43" s="66">
        <f>IFERROR(IF(IFERROR(MATCH(39,'كشف الحساب'!$N$4:$N$203,0),0)=0,"",INDEX('كشف الحساب'!$G$4:$G$203,IFERROR(MATCH(39,'كشف الحساب'!$N$4:$N$203,0),0))),"")</f>
        <v>0</v>
      </c>
      <c r="H43" s="66" t="str">
        <f>IFERROR(IF(IFERROR(MATCH(39,'كشف الحساب'!$N$4:$N$203,0),0)=0,"",INDEX('كشف الحساب'!$H$4:$H$203,IFERROR(MATCH(39,'كشف الحساب'!$N$4:$N$203,0),0))),"")</f>
        <v>تم الدفع</v>
      </c>
      <c r="I43" s="66">
        <f>IFERROR(IF(IFERROR(MATCH(39,'كشف الحساب'!$N$4:$N$203,0),0)=0,"",INDEX('كشف الحساب'!$I$4:$I$203,IFERROR(MATCH(39,'كشف الحساب'!$N$4:$N$203,0),0))),"")</f>
        <v>0</v>
      </c>
      <c r="J43" s="70">
        <f>IFERROR(IF(IFERROR(MATCH(39,'كشف الحساب'!$N$4:$N$203,0),0)=0,"",INDEX('كشف الحساب'!$J$4:$J$203,IFERROR(MATCH(39,'كشف الحساب'!$N$4:$N$203,0),0))),"")</f>
        <v>425.05</v>
      </c>
      <c r="K43" s="66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 x14ac:dyDescent="0.25">
      <c r="A44" s="71">
        <f>IFERROR(IF(IFERROR(MATCH(40,'كشف الحساب'!$N$4:$N$203,0),0)=0,"",INDEX('كشف الحساب'!$A$4:$A$203,IFERROR(MATCH(40,'كشف الحساب'!$N$4:$N$203,0),0))),"")</f>
        <v>46203</v>
      </c>
      <c r="B44" s="72">
        <f>IFERROR(IF(IFERROR(MATCH(40,'كشف الحساب'!$N$4:$N$203,0),0)=0,"",INDEX('كشف الحساب'!$B$4:$B$203,IFERROR(MATCH(40,'كشف الحساب'!$N$4:$N$203,0),0))),"")</f>
        <v>0</v>
      </c>
      <c r="C44" s="73" t="str">
        <f>IFERROR(IF(IFERROR(MATCH(40,'كشف الحساب'!$N$4:$N$203,0),0)=0,"",INDEX('كشف الحساب'!$C$4:$C$203,IFERROR(MATCH(40,'كشف الحساب'!$N$4:$N$203,0),0))),"")</f>
        <v>رواتب عماله شهر يونيو 2026</v>
      </c>
      <c r="D44" s="74">
        <f>IFERROR(IF(IFERROR(MATCH(40,'كشف الحساب'!$N$4:$N$203,0),0)=0,"",INDEX('كشف الحساب'!$D$4:$D$203,IFERROR(MATCH(40,'كشف الحساب'!$N$4:$N$203,0),0))),"")</f>
        <v>420</v>
      </c>
      <c r="E44" s="75">
        <f>IFERROR(IF(IFERROR(MATCH(40,'كشف الحساب'!$N$4:$N$203,0),0)=0,"",INDEX('كشف الحساب'!$E$4:$E$203,IFERROR(MATCH(40,'كشف الحساب'!$N$4:$N$203,0),0))),"")</f>
        <v>0</v>
      </c>
      <c r="F44" s="72" t="str">
        <f>IFERROR(IF(IFERROR(MATCH(40,'كشف الحساب'!$N$4:$N$203,0),0)=0,"",INDEX('كشف الحساب'!$F$4:$F$203,IFERROR(MATCH(40,'كشف الحساب'!$N$4:$N$203,0),0))),"")</f>
        <v>نقداً</v>
      </c>
      <c r="G44" s="72" t="str">
        <f>IFERROR(IF(IFERROR(MATCH(40,'كشف الحساب'!$N$4:$N$203,0),0)=0,"",INDEX('كشف الحساب'!$G$4:$G$203,IFERROR(MATCH(40,'كشف الحساب'!$N$4:$N$203,0),0))),"")</f>
        <v>المحفظة</v>
      </c>
      <c r="H44" s="72" t="str">
        <f>IFERROR(IF(IFERROR(MATCH(40,'كشف الحساب'!$N$4:$N$203,0),0)=0,"",INDEX('كشف الحساب'!$H$4:$H$203,IFERROR(MATCH(40,'كشف الحساب'!$N$4:$N$203,0),0))),"")</f>
        <v>تم الدفع</v>
      </c>
      <c r="I44" s="72">
        <f>IFERROR(IF(IFERROR(MATCH(40,'كشف الحساب'!$N$4:$N$203,0),0)=0,"",INDEX('كشف الحساب'!$I$4:$I$203,IFERROR(MATCH(40,'كشف الحساب'!$N$4:$N$203,0),0))),"")</f>
        <v>0</v>
      </c>
      <c r="J44" s="76">
        <f>IFERROR(IF(IFERROR(MATCH(40,'كشف الحساب'!$N$4:$N$203,0),0)=0,"",INDEX('كشف الحساب'!$J$4:$J$203,IFERROR(MATCH(40,'كشف الحساب'!$N$4:$N$203,0),0))),"")</f>
        <v>5.0500000000000114</v>
      </c>
      <c r="K44" s="72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 x14ac:dyDescent="0.25">
      <c r="A45" s="65">
        <f>IFERROR(IF(IFERROR(MATCH(41,'كشف الحساب'!$N$4:$N$203,0),0)=0,"",INDEX('كشف الحساب'!$A$4:$A$203,IFERROR(MATCH(41,'كشف الحساب'!$N$4:$N$203,0),0))),"")</f>
        <v>46203</v>
      </c>
      <c r="B45" s="66">
        <f>IFERROR(IF(IFERROR(MATCH(41,'كشف الحساب'!$N$4:$N$203,0),0)=0,"",INDEX('كشف الحساب'!$B$4:$B$203,IFERROR(MATCH(41,'كشف الحساب'!$N$4:$N$203,0),0))),"")</f>
        <v>0</v>
      </c>
      <c r="C45" s="67" t="str">
        <f>IFERROR(IF(IFERROR(MATCH(41,'كشف الحساب'!$N$4:$N$203,0),0)=0,"",INDEX('كشف الحساب'!$C$4:$C$203,IFERROR(MATCH(41,'كشف الحساب'!$N$4:$N$203,0),0))),"")</f>
        <v>تكمله رواتب يونيو 2026 ابوادم</v>
      </c>
      <c r="D45" s="68">
        <f>IFERROR(IF(IFERROR(MATCH(41,'كشف الحساب'!$N$4:$N$203,0),0)=0,"",INDEX('كشف الحساب'!$D$4:$D$203,IFERROR(MATCH(41,'كشف الحساب'!$N$4:$N$203,0),0))),"")</f>
        <v>0</v>
      </c>
      <c r="E45" s="69">
        <f>IFERROR(IF(IFERROR(MATCH(41,'كشف الحساب'!$N$4:$N$203,0),0)=0,"",INDEX('كشف الحساب'!$E$4:$E$203,IFERROR(MATCH(41,'كشف الحساب'!$N$4:$N$203,0),0))),"")</f>
        <v>50</v>
      </c>
      <c r="F45" s="66" t="str">
        <f>IFERROR(IF(IFERROR(MATCH(41,'كشف الحساب'!$N$4:$N$203,0),0)=0,"",INDEX('كشف الحساب'!$F$4:$F$203,IFERROR(MATCH(41,'كشف الحساب'!$N$4:$N$203,0),0))),"")</f>
        <v>نقداً</v>
      </c>
      <c r="G45" s="66" t="str">
        <f>IFERROR(IF(IFERROR(MATCH(41,'كشف الحساب'!$N$4:$N$203,0),0)=0,"",INDEX('كشف الحساب'!$G$4:$G$203,IFERROR(MATCH(41,'كشف الحساب'!$N$4:$N$203,0),0))),"")</f>
        <v>أبو آدم</v>
      </c>
      <c r="H45" s="66" t="str">
        <f>IFERROR(IF(IFERROR(MATCH(41,'كشف الحساب'!$N$4:$N$203,0),0)=0,"",INDEX('كشف الحساب'!$H$4:$H$203,IFERROR(MATCH(41,'كشف الحساب'!$N$4:$N$203,0),0))),"")</f>
        <v>تم الدفع</v>
      </c>
      <c r="I45" s="66">
        <f>IFERROR(IF(IFERROR(MATCH(41,'كشف الحساب'!$N$4:$N$203,0),0)=0,"",INDEX('كشف الحساب'!$I$4:$I$203,IFERROR(MATCH(41,'كشف الحساب'!$N$4:$N$203,0),0))),"")</f>
        <v>0</v>
      </c>
      <c r="J45" s="70">
        <f>IFERROR(IF(IFERROR(MATCH(41,'كشف الحساب'!$N$4:$N$203,0),0)=0,"",INDEX('كشف الحساب'!$J$4:$J$203,IFERROR(MATCH(41,'كشف الحساب'!$N$4:$N$203,0),0))),"")</f>
        <v>55.050000000000011</v>
      </c>
      <c r="K45" s="66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 x14ac:dyDescent="0.25">
      <c r="A46" s="71">
        <f>IFERROR(IF(IFERROR(MATCH(42,'كشف الحساب'!$N$4:$N$203,0),0)=0,"",INDEX('كشف الحساب'!$A$4:$A$203,IFERROR(MATCH(42,'كشف الحساب'!$N$4:$N$203,0),0))),"")</f>
        <v>46203</v>
      </c>
      <c r="B46" s="72">
        <f>IFERROR(IF(IFERROR(MATCH(42,'كشف الحساب'!$N$4:$N$203,0),0)=0,"",INDEX('كشف الحساب'!$B$4:$B$203,IFERROR(MATCH(42,'كشف الحساب'!$N$4:$N$203,0),0))),"")</f>
        <v>0</v>
      </c>
      <c r="C46" s="73" t="str">
        <f>IFERROR(IF(IFERROR(MATCH(42,'كشف الحساب'!$N$4:$N$203,0),0)=0,"",INDEX('كشف الحساب'!$C$4:$C$203,IFERROR(MATCH(42,'كشف الحساب'!$N$4:$N$203,0),0))),"")</f>
        <v>تكمله رواتب يونيو 2026 ابواسحاق</v>
      </c>
      <c r="D46" s="74">
        <f>IFERROR(IF(IFERROR(MATCH(42,'كشف الحساب'!$N$4:$N$203,0),0)=0,"",INDEX('كشف الحساب'!$D$4:$D$203,IFERROR(MATCH(42,'كشف الحساب'!$N$4:$N$203,0),0))),"")</f>
        <v>0</v>
      </c>
      <c r="E46" s="75">
        <f>IFERROR(IF(IFERROR(MATCH(42,'كشف الحساب'!$N$4:$N$203,0),0)=0,"",INDEX('كشف الحساب'!$E$4:$E$203,IFERROR(MATCH(42,'كشف الحساب'!$N$4:$N$203,0),0))),"")</f>
        <v>50</v>
      </c>
      <c r="F46" s="72" t="str">
        <f>IFERROR(IF(IFERROR(MATCH(42,'كشف الحساب'!$N$4:$N$203,0),0)=0,"",INDEX('كشف الحساب'!$F$4:$F$203,IFERROR(MATCH(42,'كشف الحساب'!$N$4:$N$203,0),0))),"")</f>
        <v>نقداً</v>
      </c>
      <c r="G46" s="72" t="str">
        <f>IFERROR(IF(IFERROR(MATCH(42,'كشف الحساب'!$N$4:$N$203,0),0)=0,"",INDEX('كشف الحساب'!$G$4:$G$203,IFERROR(MATCH(42,'كشف الحساب'!$N$4:$N$203,0),0))),"")</f>
        <v>أبو اسحاق</v>
      </c>
      <c r="H46" s="72" t="str">
        <f>IFERROR(IF(IFERROR(MATCH(42,'كشف الحساب'!$N$4:$N$203,0),0)=0,"",INDEX('كشف الحساب'!$H$4:$H$203,IFERROR(MATCH(42,'كشف الحساب'!$N$4:$N$203,0),0))),"")</f>
        <v>تم الدفع</v>
      </c>
      <c r="I46" s="72">
        <f>IFERROR(IF(IFERROR(MATCH(42,'كشف الحساب'!$N$4:$N$203,0),0)=0,"",INDEX('كشف الحساب'!$I$4:$I$203,IFERROR(MATCH(42,'كشف الحساب'!$N$4:$N$203,0),0))),"")</f>
        <v>0</v>
      </c>
      <c r="J46" s="76">
        <f>IFERROR(IF(IFERROR(MATCH(42,'كشف الحساب'!$N$4:$N$203,0),0)=0,"",INDEX('كشف الحساب'!$J$4:$J$203,IFERROR(MATCH(42,'كشف الحساب'!$N$4:$N$203,0),0))),"")</f>
        <v>105.05000000000001</v>
      </c>
      <c r="K46" s="72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 x14ac:dyDescent="0.25">
      <c r="A47" s="65">
        <f>IFERROR(IF(IFERROR(MATCH(43,'كشف الحساب'!$N$4:$N$203,0),0)=0,"",INDEX('كشف الحساب'!$A$4:$A$203,IFERROR(MATCH(43,'كشف الحساب'!$N$4:$N$203,0),0))),"")</f>
        <v>46203</v>
      </c>
      <c r="B47" s="66">
        <f>IFERROR(IF(IFERROR(MATCH(43,'كشف الحساب'!$N$4:$N$203,0),0)=0,"",INDEX('كشف الحساب'!$B$4:$B$203,IFERROR(MATCH(43,'كشف الحساب'!$N$4:$N$203,0),0))),"")</f>
        <v>0</v>
      </c>
      <c r="C47" s="67" t="str">
        <f>IFERROR(IF(IFERROR(MATCH(43,'كشف الحساب'!$N$4:$N$203,0),0)=0,"",INDEX('كشف الحساب'!$C$4:$C$203,IFERROR(MATCH(43,'كشف الحساب'!$N$4:$N$203,0),0))),"")</f>
        <v>احواض عدد 1000 مقاس 25 سم</v>
      </c>
      <c r="D47" s="68">
        <f>IFERROR(IF(IFERROR(MATCH(43,'كشف الحساب'!$N$4:$N$203,0),0)=0,"",INDEX('كشف الحساب'!$D$4:$D$203,IFERROR(MATCH(43,'كشف الحساب'!$N$4:$N$203,0),0))),"")</f>
        <v>80</v>
      </c>
      <c r="E47" s="69">
        <f>IFERROR(IF(IFERROR(MATCH(43,'كشف الحساب'!$N$4:$N$203,0),0)=0,"",INDEX('كشف الحساب'!$E$4:$E$203,IFERROR(MATCH(43,'كشف الحساب'!$N$4:$N$203,0),0))),"")</f>
        <v>0</v>
      </c>
      <c r="F47" s="66" t="str">
        <f>IFERROR(IF(IFERROR(MATCH(43,'كشف الحساب'!$N$4:$N$203,0),0)=0,"",INDEX('كشف الحساب'!$F$4:$F$203,IFERROR(MATCH(43,'كشف الحساب'!$N$4:$N$203,0),0))),"")</f>
        <v>نقداً</v>
      </c>
      <c r="G47" s="66" t="str">
        <f>IFERROR(IF(IFERROR(MATCH(43,'كشف الحساب'!$N$4:$N$203,0),0)=0,"",INDEX('كشف الحساب'!$G$4:$G$203,IFERROR(MATCH(43,'كشف الحساب'!$N$4:$N$203,0),0))),"")</f>
        <v>المحفظة</v>
      </c>
      <c r="H47" s="66" t="str">
        <f>IFERROR(IF(IFERROR(MATCH(43,'كشف الحساب'!$N$4:$N$203,0),0)=0,"",INDEX('كشف الحساب'!$H$4:$H$203,IFERROR(MATCH(43,'كشف الحساب'!$N$4:$N$203,0),0))),"")</f>
        <v>تم الدفع</v>
      </c>
      <c r="I47" s="66">
        <f>IFERROR(IF(IFERROR(MATCH(43,'كشف الحساب'!$N$4:$N$203,0),0)=0,"",INDEX('كشف الحساب'!$I$4:$I$203,IFERROR(MATCH(43,'كشف الحساب'!$N$4:$N$203,0),0))),"")</f>
        <v>0</v>
      </c>
      <c r="J47" s="70">
        <f>IFERROR(IF(IFERROR(MATCH(43,'كشف الحساب'!$N$4:$N$203,0),0)=0,"",INDEX('كشف الحساب'!$J$4:$J$203,IFERROR(MATCH(43,'كشف الحساب'!$N$4:$N$203,0),0))),"")</f>
        <v>25.050000000000011</v>
      </c>
      <c r="K47" s="66">
        <f>IFERROR(IF(IFERROR(MATCH(43,'كشف الحساب'!$N$4:$N$203,0),0)=0,"",INDEX('كشف الحساب'!$K$4:$K$203,IFERROR(MATCH(43,'كشف الحساب'!$N$4:$N$203,0),0))),"")</f>
        <v>0</v>
      </c>
    </row>
    <row r="48" spans="1:11" ht="15" customHeight="1" x14ac:dyDescent="0.25">
      <c r="A48" s="71" t="str">
        <f>IFERROR(IF(IFERROR(MATCH(44,'كشف الحساب'!$N$4:$N$203,0),0)=0,"",INDEX('كشف الحساب'!$A$4:$A$203,IFERROR(MATCH(44,'كشف الحساب'!$N$4:$N$203,0),0))),"")</f>
        <v/>
      </c>
      <c r="B48" s="72" t="str">
        <f>IFERROR(IF(IFERROR(MATCH(44,'كشف الحساب'!$N$4:$N$203,0),0)=0,"",INDEX('كشف الحساب'!$B$4:$B$203,IFERROR(MATCH(44,'كشف الحساب'!$N$4:$N$203,0),0))),"")</f>
        <v/>
      </c>
      <c r="C48" s="73" t="str">
        <f>IFERROR(IF(IFERROR(MATCH(44,'كشف الحساب'!$N$4:$N$203,0),0)=0,"",INDEX('كشف الحساب'!$C$4:$C$203,IFERROR(MATCH(44,'كشف الحساب'!$N$4:$N$203,0),0))),"")</f>
        <v/>
      </c>
      <c r="D48" s="74" t="str">
        <f>IFERROR(IF(IFERROR(MATCH(44,'كشف الحساب'!$N$4:$N$203,0),0)=0,"",INDEX('كشف الحساب'!$D$4:$D$203,IFERROR(MATCH(44,'كشف الحساب'!$N$4:$N$203,0),0))),"")</f>
        <v/>
      </c>
      <c r="E48" s="75" t="str">
        <f>IFERROR(IF(IFERROR(MATCH(44,'كشف الحساب'!$N$4:$N$203,0),0)=0,"",INDEX('كشف الحساب'!$E$4:$E$203,IFERROR(MATCH(44,'كشف الحساب'!$N$4:$N$203,0),0))),"")</f>
        <v/>
      </c>
      <c r="F48" s="72" t="str">
        <f>IFERROR(IF(IFERROR(MATCH(44,'كشف الحساب'!$N$4:$N$203,0),0)=0,"",INDEX('كشف الحساب'!$F$4:$F$203,IFERROR(MATCH(44,'كشف الحساب'!$N$4:$N$203,0),0))),"")</f>
        <v/>
      </c>
      <c r="G48" s="72" t="str">
        <f>IFERROR(IF(IFERROR(MATCH(44,'كشف الحساب'!$N$4:$N$203,0),0)=0,"",INDEX('كشف الحساب'!$G$4:$G$203,IFERROR(MATCH(44,'كشف الحساب'!$N$4:$N$203,0),0))),"")</f>
        <v/>
      </c>
      <c r="H48" s="72" t="str">
        <f>IFERROR(IF(IFERROR(MATCH(44,'كشف الحساب'!$N$4:$N$203,0),0)=0,"",INDEX('كشف الحساب'!$H$4:$H$203,IFERROR(MATCH(44,'كشف الحساب'!$N$4:$N$203,0),0))),"")</f>
        <v/>
      </c>
      <c r="I48" s="72" t="str">
        <f>IFERROR(IF(IFERROR(MATCH(44,'كشف الحساب'!$N$4:$N$203,0),0)=0,"",INDEX('كشف الحساب'!$I$4:$I$203,IFERROR(MATCH(44,'كشف الحساب'!$N$4:$N$203,0),0))),"")</f>
        <v/>
      </c>
      <c r="J48" s="76" t="str">
        <f>IFERROR(IF(IFERROR(MATCH(44,'كشف الحساب'!$N$4:$N$203,0),0)=0,"",INDEX('كشف الحساب'!$J$4:$J$203,IFERROR(MATCH(44,'كشف الحساب'!$N$4:$N$203,0),0))),"")</f>
        <v/>
      </c>
      <c r="K48" s="72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5" t="str">
        <f>IFERROR(IF(IFERROR(MATCH(45,'كشف الحساب'!$N$4:$N$203,0),0)=0,"",INDEX('كشف الحساب'!$A$4:$A$203,IFERROR(MATCH(45,'كشف الحساب'!$N$4:$N$203,0),0))),"")</f>
        <v/>
      </c>
      <c r="B49" s="66" t="str">
        <f>IFERROR(IF(IFERROR(MATCH(45,'كشف الحساب'!$N$4:$N$203,0),0)=0,"",INDEX('كشف الحساب'!$B$4:$B$203,IFERROR(MATCH(45,'كشف الحساب'!$N$4:$N$203,0),0))),"")</f>
        <v/>
      </c>
      <c r="C49" s="67" t="str">
        <f>IFERROR(IF(IFERROR(MATCH(45,'كشف الحساب'!$N$4:$N$203,0),0)=0,"",INDEX('كشف الحساب'!$C$4:$C$203,IFERROR(MATCH(45,'كشف الحساب'!$N$4:$N$203,0),0))),"")</f>
        <v/>
      </c>
      <c r="D49" s="68" t="str">
        <f>IFERROR(IF(IFERROR(MATCH(45,'كشف الحساب'!$N$4:$N$203,0),0)=0,"",INDEX('كشف الحساب'!$D$4:$D$203,IFERROR(MATCH(45,'كشف الحساب'!$N$4:$N$203,0),0))),"")</f>
        <v/>
      </c>
      <c r="E49" s="69" t="str">
        <f>IFERROR(IF(IFERROR(MATCH(45,'كشف الحساب'!$N$4:$N$203,0),0)=0,"",INDEX('كشف الحساب'!$E$4:$E$203,IFERROR(MATCH(45,'كشف الحساب'!$N$4:$N$203,0),0))),"")</f>
        <v/>
      </c>
      <c r="F49" s="66" t="str">
        <f>IFERROR(IF(IFERROR(MATCH(45,'كشف الحساب'!$N$4:$N$203,0),0)=0,"",INDEX('كشف الحساب'!$F$4:$F$203,IFERROR(MATCH(45,'كشف الحساب'!$N$4:$N$203,0),0))),"")</f>
        <v/>
      </c>
      <c r="G49" s="66" t="str">
        <f>IFERROR(IF(IFERROR(MATCH(45,'كشف الحساب'!$N$4:$N$203,0),0)=0,"",INDEX('كشف الحساب'!$G$4:$G$203,IFERROR(MATCH(45,'كشف الحساب'!$N$4:$N$203,0),0))),"")</f>
        <v/>
      </c>
      <c r="H49" s="66" t="str">
        <f>IFERROR(IF(IFERROR(MATCH(45,'كشف الحساب'!$N$4:$N$203,0),0)=0,"",INDEX('كشف الحساب'!$H$4:$H$203,IFERROR(MATCH(45,'كشف الحساب'!$N$4:$N$203,0),0))),"")</f>
        <v/>
      </c>
      <c r="I49" s="66" t="str">
        <f>IFERROR(IF(IFERROR(MATCH(45,'كشف الحساب'!$N$4:$N$203,0),0)=0,"",INDEX('كشف الحساب'!$I$4:$I$203,IFERROR(MATCH(45,'كشف الحساب'!$N$4:$N$203,0),0))),"")</f>
        <v/>
      </c>
      <c r="J49" s="70" t="str">
        <f>IFERROR(IF(IFERROR(MATCH(45,'كشف الحساب'!$N$4:$N$203,0),0)=0,"",INDEX('كشف الحساب'!$J$4:$J$203,IFERROR(MATCH(45,'كشف الحساب'!$N$4:$N$203,0),0))),"")</f>
        <v/>
      </c>
      <c r="K49" s="66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71" t="str">
        <f>IFERROR(IF(IFERROR(MATCH(46,'كشف الحساب'!$N$4:$N$203,0),0)=0,"",INDEX('كشف الحساب'!$A$4:$A$203,IFERROR(MATCH(46,'كشف الحساب'!$N$4:$N$203,0),0))),"")</f>
        <v/>
      </c>
      <c r="B50" s="72" t="str">
        <f>IFERROR(IF(IFERROR(MATCH(46,'كشف الحساب'!$N$4:$N$203,0),0)=0,"",INDEX('كشف الحساب'!$B$4:$B$203,IFERROR(MATCH(46,'كشف الحساب'!$N$4:$N$203,0),0))),"")</f>
        <v/>
      </c>
      <c r="C50" s="73" t="str">
        <f>IFERROR(IF(IFERROR(MATCH(46,'كشف الحساب'!$N$4:$N$203,0),0)=0,"",INDEX('كشف الحساب'!$C$4:$C$203,IFERROR(MATCH(46,'كشف الحساب'!$N$4:$N$203,0),0))),"")</f>
        <v/>
      </c>
      <c r="D50" s="74" t="str">
        <f>IFERROR(IF(IFERROR(MATCH(46,'كشف الحساب'!$N$4:$N$203,0),0)=0,"",INDEX('كشف الحساب'!$D$4:$D$203,IFERROR(MATCH(46,'كشف الحساب'!$N$4:$N$203,0),0))),"")</f>
        <v/>
      </c>
      <c r="E50" s="75" t="str">
        <f>IFERROR(IF(IFERROR(MATCH(46,'كشف الحساب'!$N$4:$N$203,0),0)=0,"",INDEX('كشف الحساب'!$E$4:$E$203,IFERROR(MATCH(46,'كشف الحساب'!$N$4:$N$203,0),0))),"")</f>
        <v/>
      </c>
      <c r="F50" s="72" t="str">
        <f>IFERROR(IF(IFERROR(MATCH(46,'كشف الحساب'!$N$4:$N$203,0),0)=0,"",INDEX('كشف الحساب'!$F$4:$F$203,IFERROR(MATCH(46,'كشف الحساب'!$N$4:$N$203,0),0))),"")</f>
        <v/>
      </c>
      <c r="G50" s="72" t="str">
        <f>IFERROR(IF(IFERROR(MATCH(46,'كشف الحساب'!$N$4:$N$203,0),0)=0,"",INDEX('كشف الحساب'!$G$4:$G$203,IFERROR(MATCH(46,'كشف الحساب'!$N$4:$N$203,0),0))),"")</f>
        <v/>
      </c>
      <c r="H50" s="72" t="str">
        <f>IFERROR(IF(IFERROR(MATCH(46,'كشف الحساب'!$N$4:$N$203,0),0)=0,"",INDEX('كشف الحساب'!$H$4:$H$203,IFERROR(MATCH(46,'كشف الحساب'!$N$4:$N$203,0),0))),"")</f>
        <v/>
      </c>
      <c r="I50" s="72" t="str">
        <f>IFERROR(IF(IFERROR(MATCH(46,'كشف الحساب'!$N$4:$N$203,0),0)=0,"",INDEX('كشف الحساب'!$I$4:$I$203,IFERROR(MATCH(46,'كشف الحساب'!$N$4:$N$203,0),0))),"")</f>
        <v/>
      </c>
      <c r="J50" s="76" t="str">
        <f>IFERROR(IF(IFERROR(MATCH(46,'كشف الحساب'!$N$4:$N$203,0),0)=0,"",INDEX('كشف الحساب'!$J$4:$J$203,IFERROR(MATCH(46,'كشف الحساب'!$N$4:$N$203,0),0))),"")</f>
        <v/>
      </c>
      <c r="K50" s="72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5" t="str">
        <f>IFERROR(IF(IFERROR(MATCH(47,'كشف الحساب'!$N$4:$N$203,0),0)=0,"",INDEX('كشف الحساب'!$A$4:$A$203,IFERROR(MATCH(47,'كشف الحساب'!$N$4:$N$203,0),0))),"")</f>
        <v/>
      </c>
      <c r="B51" s="66" t="str">
        <f>IFERROR(IF(IFERROR(MATCH(47,'كشف الحساب'!$N$4:$N$203,0),0)=0,"",INDEX('كشف الحساب'!$B$4:$B$203,IFERROR(MATCH(47,'كشف الحساب'!$N$4:$N$203,0),0))),"")</f>
        <v/>
      </c>
      <c r="C51" s="67" t="str">
        <f>IFERROR(IF(IFERROR(MATCH(47,'كشف الحساب'!$N$4:$N$203,0),0)=0,"",INDEX('كشف الحساب'!$C$4:$C$203,IFERROR(MATCH(47,'كشف الحساب'!$N$4:$N$203,0),0))),"")</f>
        <v/>
      </c>
      <c r="D51" s="68" t="str">
        <f>IFERROR(IF(IFERROR(MATCH(47,'كشف الحساب'!$N$4:$N$203,0),0)=0,"",INDEX('كشف الحساب'!$D$4:$D$203,IFERROR(MATCH(47,'كشف الحساب'!$N$4:$N$203,0),0))),"")</f>
        <v/>
      </c>
      <c r="E51" s="69" t="str">
        <f>IFERROR(IF(IFERROR(MATCH(47,'كشف الحساب'!$N$4:$N$203,0),0)=0,"",INDEX('كشف الحساب'!$E$4:$E$203,IFERROR(MATCH(47,'كشف الحساب'!$N$4:$N$203,0),0))),"")</f>
        <v/>
      </c>
      <c r="F51" s="66" t="str">
        <f>IFERROR(IF(IFERROR(MATCH(47,'كشف الحساب'!$N$4:$N$203,0),0)=0,"",INDEX('كشف الحساب'!$F$4:$F$203,IFERROR(MATCH(47,'كشف الحساب'!$N$4:$N$203,0),0))),"")</f>
        <v/>
      </c>
      <c r="G51" s="66" t="str">
        <f>IFERROR(IF(IFERROR(MATCH(47,'كشف الحساب'!$N$4:$N$203,0),0)=0,"",INDEX('كشف الحساب'!$G$4:$G$203,IFERROR(MATCH(47,'كشف الحساب'!$N$4:$N$203,0),0))),"")</f>
        <v/>
      </c>
      <c r="H51" s="66" t="str">
        <f>IFERROR(IF(IFERROR(MATCH(47,'كشف الحساب'!$N$4:$N$203,0),0)=0,"",INDEX('كشف الحساب'!$H$4:$H$203,IFERROR(MATCH(47,'كشف الحساب'!$N$4:$N$203,0),0))),"")</f>
        <v/>
      </c>
      <c r="I51" s="66" t="str">
        <f>IFERROR(IF(IFERROR(MATCH(47,'كشف الحساب'!$N$4:$N$203,0),0)=0,"",INDEX('كشف الحساب'!$I$4:$I$203,IFERROR(MATCH(47,'كشف الحساب'!$N$4:$N$203,0),0))),"")</f>
        <v/>
      </c>
      <c r="J51" s="70" t="str">
        <f>IFERROR(IF(IFERROR(MATCH(47,'كشف الحساب'!$N$4:$N$203,0),0)=0,"",INDEX('كشف الحساب'!$J$4:$J$203,IFERROR(MATCH(47,'كشف الحساب'!$N$4:$N$203,0),0))),"")</f>
        <v/>
      </c>
      <c r="K51" s="66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71" t="str">
        <f>IFERROR(IF(IFERROR(MATCH(48,'كشف الحساب'!$N$4:$N$203,0),0)=0,"",INDEX('كشف الحساب'!$A$4:$A$203,IFERROR(MATCH(48,'كشف الحساب'!$N$4:$N$203,0),0))),"")</f>
        <v/>
      </c>
      <c r="B52" s="72" t="str">
        <f>IFERROR(IF(IFERROR(MATCH(48,'كشف الحساب'!$N$4:$N$203,0),0)=0,"",INDEX('كشف الحساب'!$B$4:$B$203,IFERROR(MATCH(48,'كشف الحساب'!$N$4:$N$203,0),0))),"")</f>
        <v/>
      </c>
      <c r="C52" s="73" t="str">
        <f>IFERROR(IF(IFERROR(MATCH(48,'كشف الحساب'!$N$4:$N$203,0),0)=0,"",INDEX('كشف الحساب'!$C$4:$C$203,IFERROR(MATCH(48,'كشف الحساب'!$N$4:$N$203,0),0))),"")</f>
        <v/>
      </c>
      <c r="D52" s="74" t="str">
        <f>IFERROR(IF(IFERROR(MATCH(48,'كشف الحساب'!$N$4:$N$203,0),0)=0,"",INDEX('كشف الحساب'!$D$4:$D$203,IFERROR(MATCH(48,'كشف الحساب'!$N$4:$N$203,0),0))),"")</f>
        <v/>
      </c>
      <c r="E52" s="75" t="str">
        <f>IFERROR(IF(IFERROR(MATCH(48,'كشف الحساب'!$N$4:$N$203,0),0)=0,"",INDEX('كشف الحساب'!$E$4:$E$203,IFERROR(MATCH(48,'كشف الحساب'!$N$4:$N$203,0),0))),"")</f>
        <v/>
      </c>
      <c r="F52" s="72" t="str">
        <f>IFERROR(IF(IFERROR(MATCH(48,'كشف الحساب'!$N$4:$N$203,0),0)=0,"",INDEX('كشف الحساب'!$F$4:$F$203,IFERROR(MATCH(48,'كشف الحساب'!$N$4:$N$203,0),0))),"")</f>
        <v/>
      </c>
      <c r="G52" s="72" t="str">
        <f>IFERROR(IF(IFERROR(MATCH(48,'كشف الحساب'!$N$4:$N$203,0),0)=0,"",INDEX('كشف الحساب'!$G$4:$G$203,IFERROR(MATCH(48,'كشف الحساب'!$N$4:$N$203,0),0))),"")</f>
        <v/>
      </c>
      <c r="H52" s="72" t="str">
        <f>IFERROR(IF(IFERROR(MATCH(48,'كشف الحساب'!$N$4:$N$203,0),0)=0,"",INDEX('كشف الحساب'!$H$4:$H$203,IFERROR(MATCH(48,'كشف الحساب'!$N$4:$N$203,0),0))),"")</f>
        <v/>
      </c>
      <c r="I52" s="72" t="str">
        <f>IFERROR(IF(IFERROR(MATCH(48,'كشف الحساب'!$N$4:$N$203,0),0)=0,"",INDEX('كشف الحساب'!$I$4:$I$203,IFERROR(MATCH(48,'كشف الحساب'!$N$4:$N$203,0),0))),"")</f>
        <v/>
      </c>
      <c r="J52" s="76" t="str">
        <f>IFERROR(IF(IFERROR(MATCH(48,'كشف الحساب'!$N$4:$N$203,0),0)=0,"",INDEX('كشف الحساب'!$J$4:$J$203,IFERROR(MATCH(48,'كشف الحساب'!$N$4:$N$203,0),0))),"")</f>
        <v/>
      </c>
      <c r="K52" s="72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5" t="str">
        <f>IFERROR(IF(IFERROR(MATCH(49,'كشف الحساب'!$N$4:$N$203,0),0)=0,"",INDEX('كشف الحساب'!$A$4:$A$203,IFERROR(MATCH(49,'كشف الحساب'!$N$4:$N$203,0),0))),"")</f>
        <v/>
      </c>
      <c r="B53" s="66" t="str">
        <f>IFERROR(IF(IFERROR(MATCH(49,'كشف الحساب'!$N$4:$N$203,0),0)=0,"",INDEX('كشف الحساب'!$B$4:$B$203,IFERROR(MATCH(49,'كشف الحساب'!$N$4:$N$203,0),0))),"")</f>
        <v/>
      </c>
      <c r="C53" s="67" t="str">
        <f>IFERROR(IF(IFERROR(MATCH(49,'كشف الحساب'!$N$4:$N$203,0),0)=0,"",INDEX('كشف الحساب'!$C$4:$C$203,IFERROR(MATCH(49,'كشف الحساب'!$N$4:$N$203,0),0))),"")</f>
        <v/>
      </c>
      <c r="D53" s="68" t="str">
        <f>IFERROR(IF(IFERROR(MATCH(49,'كشف الحساب'!$N$4:$N$203,0),0)=0,"",INDEX('كشف الحساب'!$D$4:$D$203,IFERROR(MATCH(49,'كشف الحساب'!$N$4:$N$203,0),0))),"")</f>
        <v/>
      </c>
      <c r="E53" s="69" t="str">
        <f>IFERROR(IF(IFERROR(MATCH(49,'كشف الحساب'!$N$4:$N$203,0),0)=0,"",INDEX('كشف الحساب'!$E$4:$E$203,IFERROR(MATCH(49,'كشف الحساب'!$N$4:$N$203,0),0))),"")</f>
        <v/>
      </c>
      <c r="F53" s="66" t="str">
        <f>IFERROR(IF(IFERROR(MATCH(49,'كشف الحساب'!$N$4:$N$203,0),0)=0,"",INDEX('كشف الحساب'!$F$4:$F$203,IFERROR(MATCH(49,'كشف الحساب'!$N$4:$N$203,0),0))),"")</f>
        <v/>
      </c>
      <c r="G53" s="66" t="str">
        <f>IFERROR(IF(IFERROR(MATCH(49,'كشف الحساب'!$N$4:$N$203,0),0)=0,"",INDEX('كشف الحساب'!$G$4:$G$203,IFERROR(MATCH(49,'كشف الحساب'!$N$4:$N$203,0),0))),"")</f>
        <v/>
      </c>
      <c r="H53" s="66" t="str">
        <f>IFERROR(IF(IFERROR(MATCH(49,'كشف الحساب'!$N$4:$N$203,0),0)=0,"",INDEX('كشف الحساب'!$H$4:$H$203,IFERROR(MATCH(49,'كشف الحساب'!$N$4:$N$203,0),0))),"")</f>
        <v/>
      </c>
      <c r="I53" s="66" t="str">
        <f>IFERROR(IF(IFERROR(MATCH(49,'كشف الحساب'!$N$4:$N$203,0),0)=0,"",INDEX('كشف الحساب'!$I$4:$I$203,IFERROR(MATCH(49,'كشف الحساب'!$N$4:$N$203,0),0))),"")</f>
        <v/>
      </c>
      <c r="J53" s="70" t="str">
        <f>IFERROR(IF(IFERROR(MATCH(49,'كشف الحساب'!$N$4:$N$203,0),0)=0,"",INDEX('كشف الحساب'!$J$4:$J$203,IFERROR(MATCH(49,'كشف الحساب'!$N$4:$N$203,0),0))),"")</f>
        <v/>
      </c>
      <c r="K53" s="66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71" t="str">
        <f>IFERROR(IF(IFERROR(MATCH(50,'كشف الحساب'!$N$4:$N$203,0),0)=0,"",INDEX('كشف الحساب'!$A$4:$A$203,IFERROR(MATCH(50,'كشف الحساب'!$N$4:$N$203,0),0))),"")</f>
        <v/>
      </c>
      <c r="B54" s="72" t="str">
        <f>IFERROR(IF(IFERROR(MATCH(50,'كشف الحساب'!$N$4:$N$203,0),0)=0,"",INDEX('كشف الحساب'!$B$4:$B$203,IFERROR(MATCH(50,'كشف الحساب'!$N$4:$N$203,0),0))),"")</f>
        <v/>
      </c>
      <c r="C54" s="73" t="str">
        <f>IFERROR(IF(IFERROR(MATCH(50,'كشف الحساب'!$N$4:$N$203,0),0)=0,"",INDEX('كشف الحساب'!$C$4:$C$203,IFERROR(MATCH(50,'كشف الحساب'!$N$4:$N$203,0),0))),"")</f>
        <v/>
      </c>
      <c r="D54" s="74" t="str">
        <f>IFERROR(IF(IFERROR(MATCH(50,'كشف الحساب'!$N$4:$N$203,0),0)=0,"",INDEX('كشف الحساب'!$D$4:$D$203,IFERROR(MATCH(50,'كشف الحساب'!$N$4:$N$203,0),0))),"")</f>
        <v/>
      </c>
      <c r="E54" s="75" t="str">
        <f>IFERROR(IF(IFERROR(MATCH(50,'كشف الحساب'!$N$4:$N$203,0),0)=0,"",INDEX('كشف الحساب'!$E$4:$E$203,IFERROR(MATCH(50,'كشف الحساب'!$N$4:$N$203,0),0))),"")</f>
        <v/>
      </c>
      <c r="F54" s="72" t="str">
        <f>IFERROR(IF(IFERROR(MATCH(50,'كشف الحساب'!$N$4:$N$203,0),0)=0,"",INDEX('كشف الحساب'!$F$4:$F$203,IFERROR(MATCH(50,'كشف الحساب'!$N$4:$N$203,0),0))),"")</f>
        <v/>
      </c>
      <c r="G54" s="72" t="str">
        <f>IFERROR(IF(IFERROR(MATCH(50,'كشف الحساب'!$N$4:$N$203,0),0)=0,"",INDEX('كشف الحساب'!$G$4:$G$203,IFERROR(MATCH(50,'كشف الحساب'!$N$4:$N$203,0),0))),"")</f>
        <v/>
      </c>
      <c r="H54" s="72" t="str">
        <f>IFERROR(IF(IFERROR(MATCH(50,'كشف الحساب'!$N$4:$N$203,0),0)=0,"",INDEX('كشف الحساب'!$H$4:$H$203,IFERROR(MATCH(50,'كشف الحساب'!$N$4:$N$203,0),0))),"")</f>
        <v/>
      </c>
      <c r="I54" s="72" t="str">
        <f>IFERROR(IF(IFERROR(MATCH(50,'كشف الحساب'!$N$4:$N$203,0),0)=0,"",INDEX('كشف الحساب'!$I$4:$I$203,IFERROR(MATCH(50,'كشف الحساب'!$N$4:$N$203,0),0))),"")</f>
        <v/>
      </c>
      <c r="J54" s="76" t="str">
        <f>IFERROR(IF(IFERROR(MATCH(50,'كشف الحساب'!$N$4:$N$203,0),0)=0,"",INDEX('كشف الحساب'!$J$4:$J$203,IFERROR(MATCH(50,'كشف الحساب'!$N$4:$N$203,0),0))),"")</f>
        <v/>
      </c>
      <c r="K54" s="72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5" t="str">
        <f>IFERROR(IF(IFERROR(MATCH(51,'كشف الحساب'!$N$4:$N$203,0),0)=0,"",INDEX('كشف الحساب'!$A$4:$A$203,IFERROR(MATCH(51,'كشف الحساب'!$N$4:$N$203,0),0))),"")</f>
        <v/>
      </c>
      <c r="B55" s="66" t="str">
        <f>IFERROR(IF(IFERROR(MATCH(51,'كشف الحساب'!$N$4:$N$203,0),0)=0,"",INDEX('كشف الحساب'!$B$4:$B$203,IFERROR(MATCH(51,'كشف الحساب'!$N$4:$N$203,0),0))),"")</f>
        <v/>
      </c>
      <c r="C55" s="67" t="str">
        <f>IFERROR(IF(IFERROR(MATCH(51,'كشف الحساب'!$N$4:$N$203,0),0)=0,"",INDEX('كشف الحساب'!$C$4:$C$203,IFERROR(MATCH(51,'كشف الحساب'!$N$4:$N$203,0),0))),"")</f>
        <v/>
      </c>
      <c r="D55" s="68" t="str">
        <f>IFERROR(IF(IFERROR(MATCH(51,'كشف الحساب'!$N$4:$N$203,0),0)=0,"",INDEX('كشف الحساب'!$D$4:$D$203,IFERROR(MATCH(51,'كشف الحساب'!$N$4:$N$203,0),0))),"")</f>
        <v/>
      </c>
      <c r="E55" s="69" t="str">
        <f>IFERROR(IF(IFERROR(MATCH(51,'كشف الحساب'!$N$4:$N$203,0),0)=0,"",INDEX('كشف الحساب'!$E$4:$E$203,IFERROR(MATCH(51,'كشف الحساب'!$N$4:$N$203,0),0))),"")</f>
        <v/>
      </c>
      <c r="F55" s="66" t="str">
        <f>IFERROR(IF(IFERROR(MATCH(51,'كشف الحساب'!$N$4:$N$203,0),0)=0,"",INDEX('كشف الحساب'!$F$4:$F$203,IFERROR(MATCH(51,'كشف الحساب'!$N$4:$N$203,0),0))),"")</f>
        <v/>
      </c>
      <c r="G55" s="66" t="str">
        <f>IFERROR(IF(IFERROR(MATCH(51,'كشف الحساب'!$N$4:$N$203,0),0)=0,"",INDEX('كشف الحساب'!$G$4:$G$203,IFERROR(MATCH(51,'كشف الحساب'!$N$4:$N$203,0),0))),"")</f>
        <v/>
      </c>
      <c r="H55" s="66" t="str">
        <f>IFERROR(IF(IFERROR(MATCH(51,'كشف الحساب'!$N$4:$N$203,0),0)=0,"",INDEX('كشف الحساب'!$H$4:$H$203,IFERROR(MATCH(51,'كشف الحساب'!$N$4:$N$203,0),0))),"")</f>
        <v/>
      </c>
      <c r="I55" s="66" t="str">
        <f>IFERROR(IF(IFERROR(MATCH(51,'كشف الحساب'!$N$4:$N$203,0),0)=0,"",INDEX('كشف الحساب'!$I$4:$I$203,IFERROR(MATCH(51,'كشف الحساب'!$N$4:$N$203,0),0))),"")</f>
        <v/>
      </c>
      <c r="J55" s="70" t="str">
        <f>IFERROR(IF(IFERROR(MATCH(51,'كشف الحساب'!$N$4:$N$203,0),0)=0,"",INDEX('كشف الحساب'!$J$4:$J$203,IFERROR(MATCH(51,'كشف الحساب'!$N$4:$N$203,0),0))),"")</f>
        <v/>
      </c>
      <c r="K55" s="66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71" t="str">
        <f>IFERROR(IF(IFERROR(MATCH(52,'كشف الحساب'!$N$4:$N$203,0),0)=0,"",INDEX('كشف الحساب'!$A$4:$A$203,IFERROR(MATCH(52,'كشف الحساب'!$N$4:$N$203,0),0))),"")</f>
        <v/>
      </c>
      <c r="B56" s="72" t="str">
        <f>IFERROR(IF(IFERROR(MATCH(52,'كشف الحساب'!$N$4:$N$203,0),0)=0,"",INDEX('كشف الحساب'!$B$4:$B$203,IFERROR(MATCH(52,'كشف الحساب'!$N$4:$N$203,0),0))),"")</f>
        <v/>
      </c>
      <c r="C56" s="73" t="str">
        <f>IFERROR(IF(IFERROR(MATCH(52,'كشف الحساب'!$N$4:$N$203,0),0)=0,"",INDEX('كشف الحساب'!$C$4:$C$203,IFERROR(MATCH(52,'كشف الحساب'!$N$4:$N$203,0),0))),"")</f>
        <v/>
      </c>
      <c r="D56" s="74" t="str">
        <f>IFERROR(IF(IFERROR(MATCH(52,'كشف الحساب'!$N$4:$N$203,0),0)=0,"",INDEX('كشف الحساب'!$D$4:$D$203,IFERROR(MATCH(52,'كشف الحساب'!$N$4:$N$203,0),0))),"")</f>
        <v/>
      </c>
      <c r="E56" s="75" t="str">
        <f>IFERROR(IF(IFERROR(MATCH(52,'كشف الحساب'!$N$4:$N$203,0),0)=0,"",INDEX('كشف الحساب'!$E$4:$E$203,IFERROR(MATCH(52,'كشف الحساب'!$N$4:$N$203,0),0))),"")</f>
        <v/>
      </c>
      <c r="F56" s="72" t="str">
        <f>IFERROR(IF(IFERROR(MATCH(52,'كشف الحساب'!$N$4:$N$203,0),0)=0,"",INDEX('كشف الحساب'!$F$4:$F$203,IFERROR(MATCH(52,'كشف الحساب'!$N$4:$N$203,0),0))),"")</f>
        <v/>
      </c>
      <c r="G56" s="72" t="str">
        <f>IFERROR(IF(IFERROR(MATCH(52,'كشف الحساب'!$N$4:$N$203,0),0)=0,"",INDEX('كشف الحساب'!$G$4:$G$203,IFERROR(MATCH(52,'كشف الحساب'!$N$4:$N$203,0),0))),"")</f>
        <v/>
      </c>
      <c r="H56" s="72" t="str">
        <f>IFERROR(IF(IFERROR(MATCH(52,'كشف الحساب'!$N$4:$N$203,0),0)=0,"",INDEX('كشف الحساب'!$H$4:$H$203,IFERROR(MATCH(52,'كشف الحساب'!$N$4:$N$203,0),0))),"")</f>
        <v/>
      </c>
      <c r="I56" s="72" t="str">
        <f>IFERROR(IF(IFERROR(MATCH(52,'كشف الحساب'!$N$4:$N$203,0),0)=0,"",INDEX('كشف الحساب'!$I$4:$I$203,IFERROR(MATCH(52,'كشف الحساب'!$N$4:$N$203,0),0))),"")</f>
        <v/>
      </c>
      <c r="J56" s="76" t="str">
        <f>IFERROR(IF(IFERROR(MATCH(52,'كشف الحساب'!$N$4:$N$203,0),0)=0,"",INDEX('كشف الحساب'!$J$4:$J$203,IFERROR(MATCH(52,'كشف الحساب'!$N$4:$N$203,0),0))),"")</f>
        <v/>
      </c>
      <c r="K56" s="72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5" t="str">
        <f>IFERROR(IF(IFERROR(MATCH(53,'كشف الحساب'!$N$4:$N$203,0),0)=0,"",INDEX('كشف الحساب'!$A$4:$A$203,IFERROR(MATCH(53,'كشف الحساب'!$N$4:$N$203,0),0))),"")</f>
        <v/>
      </c>
      <c r="B57" s="66" t="str">
        <f>IFERROR(IF(IFERROR(MATCH(53,'كشف الحساب'!$N$4:$N$203,0),0)=0,"",INDEX('كشف الحساب'!$B$4:$B$203,IFERROR(MATCH(53,'كشف الحساب'!$N$4:$N$203,0),0))),"")</f>
        <v/>
      </c>
      <c r="C57" s="67" t="str">
        <f>IFERROR(IF(IFERROR(MATCH(53,'كشف الحساب'!$N$4:$N$203,0),0)=0,"",INDEX('كشف الحساب'!$C$4:$C$203,IFERROR(MATCH(53,'كشف الحساب'!$N$4:$N$203,0),0))),"")</f>
        <v/>
      </c>
      <c r="D57" s="68" t="str">
        <f>IFERROR(IF(IFERROR(MATCH(53,'كشف الحساب'!$N$4:$N$203,0),0)=0,"",INDEX('كشف الحساب'!$D$4:$D$203,IFERROR(MATCH(53,'كشف الحساب'!$N$4:$N$203,0),0))),"")</f>
        <v/>
      </c>
      <c r="E57" s="69" t="str">
        <f>IFERROR(IF(IFERROR(MATCH(53,'كشف الحساب'!$N$4:$N$203,0),0)=0,"",INDEX('كشف الحساب'!$E$4:$E$203,IFERROR(MATCH(53,'كشف الحساب'!$N$4:$N$203,0),0))),"")</f>
        <v/>
      </c>
      <c r="F57" s="66" t="str">
        <f>IFERROR(IF(IFERROR(MATCH(53,'كشف الحساب'!$N$4:$N$203,0),0)=0,"",INDEX('كشف الحساب'!$F$4:$F$203,IFERROR(MATCH(53,'كشف الحساب'!$N$4:$N$203,0),0))),"")</f>
        <v/>
      </c>
      <c r="G57" s="66" t="str">
        <f>IFERROR(IF(IFERROR(MATCH(53,'كشف الحساب'!$N$4:$N$203,0),0)=0,"",INDEX('كشف الحساب'!$G$4:$G$203,IFERROR(MATCH(53,'كشف الحساب'!$N$4:$N$203,0),0))),"")</f>
        <v/>
      </c>
      <c r="H57" s="66" t="str">
        <f>IFERROR(IF(IFERROR(MATCH(53,'كشف الحساب'!$N$4:$N$203,0),0)=0,"",INDEX('كشف الحساب'!$H$4:$H$203,IFERROR(MATCH(53,'كشف الحساب'!$N$4:$N$203,0),0))),"")</f>
        <v/>
      </c>
      <c r="I57" s="66" t="str">
        <f>IFERROR(IF(IFERROR(MATCH(53,'كشف الحساب'!$N$4:$N$203,0),0)=0,"",INDEX('كشف الحساب'!$I$4:$I$203,IFERROR(MATCH(53,'كشف الحساب'!$N$4:$N$203,0),0))),"")</f>
        <v/>
      </c>
      <c r="J57" s="70" t="str">
        <f>IFERROR(IF(IFERROR(MATCH(53,'كشف الحساب'!$N$4:$N$203,0),0)=0,"",INDEX('كشف الحساب'!$J$4:$J$203,IFERROR(MATCH(53,'كشف الحساب'!$N$4:$N$203,0),0))),"")</f>
        <v/>
      </c>
      <c r="K57" s="66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71" t="str">
        <f>IFERROR(IF(IFERROR(MATCH(54,'كشف الحساب'!$N$4:$N$203,0),0)=0,"",INDEX('كشف الحساب'!$A$4:$A$203,IFERROR(MATCH(54,'كشف الحساب'!$N$4:$N$203,0),0))),"")</f>
        <v/>
      </c>
      <c r="B58" s="72" t="str">
        <f>IFERROR(IF(IFERROR(MATCH(54,'كشف الحساب'!$N$4:$N$203,0),0)=0,"",INDEX('كشف الحساب'!$B$4:$B$203,IFERROR(MATCH(54,'كشف الحساب'!$N$4:$N$203,0),0))),"")</f>
        <v/>
      </c>
      <c r="C58" s="73" t="str">
        <f>IFERROR(IF(IFERROR(MATCH(54,'كشف الحساب'!$N$4:$N$203,0),0)=0,"",INDEX('كشف الحساب'!$C$4:$C$203,IFERROR(MATCH(54,'كشف الحساب'!$N$4:$N$203,0),0))),"")</f>
        <v/>
      </c>
      <c r="D58" s="74" t="str">
        <f>IFERROR(IF(IFERROR(MATCH(54,'كشف الحساب'!$N$4:$N$203,0),0)=0,"",INDEX('كشف الحساب'!$D$4:$D$203,IFERROR(MATCH(54,'كشف الحساب'!$N$4:$N$203,0),0))),"")</f>
        <v/>
      </c>
      <c r="E58" s="75" t="str">
        <f>IFERROR(IF(IFERROR(MATCH(54,'كشف الحساب'!$N$4:$N$203,0),0)=0,"",INDEX('كشف الحساب'!$E$4:$E$203,IFERROR(MATCH(54,'كشف الحساب'!$N$4:$N$203,0),0))),"")</f>
        <v/>
      </c>
      <c r="F58" s="72" t="str">
        <f>IFERROR(IF(IFERROR(MATCH(54,'كشف الحساب'!$N$4:$N$203,0),0)=0,"",INDEX('كشف الحساب'!$F$4:$F$203,IFERROR(MATCH(54,'كشف الحساب'!$N$4:$N$203,0),0))),"")</f>
        <v/>
      </c>
      <c r="G58" s="72" t="str">
        <f>IFERROR(IF(IFERROR(MATCH(54,'كشف الحساب'!$N$4:$N$203,0),0)=0,"",INDEX('كشف الحساب'!$G$4:$G$203,IFERROR(MATCH(54,'كشف الحساب'!$N$4:$N$203,0),0))),"")</f>
        <v/>
      </c>
      <c r="H58" s="72" t="str">
        <f>IFERROR(IF(IFERROR(MATCH(54,'كشف الحساب'!$N$4:$N$203,0),0)=0,"",INDEX('كشف الحساب'!$H$4:$H$203,IFERROR(MATCH(54,'كشف الحساب'!$N$4:$N$203,0),0))),"")</f>
        <v/>
      </c>
      <c r="I58" s="72" t="str">
        <f>IFERROR(IF(IFERROR(MATCH(54,'كشف الحساب'!$N$4:$N$203,0),0)=0,"",INDEX('كشف الحساب'!$I$4:$I$203,IFERROR(MATCH(54,'كشف الحساب'!$N$4:$N$203,0),0))),"")</f>
        <v/>
      </c>
      <c r="J58" s="76" t="str">
        <f>IFERROR(IF(IFERROR(MATCH(54,'كشف الحساب'!$N$4:$N$203,0),0)=0,"",INDEX('كشف الحساب'!$J$4:$J$203,IFERROR(MATCH(54,'كشف الحساب'!$N$4:$N$203,0),0))),"")</f>
        <v/>
      </c>
      <c r="K58" s="72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5" t="str">
        <f>IFERROR(IF(IFERROR(MATCH(55,'كشف الحساب'!$N$4:$N$203,0),0)=0,"",INDEX('كشف الحساب'!$A$4:$A$203,IFERROR(MATCH(55,'كشف الحساب'!$N$4:$N$203,0),0))),"")</f>
        <v/>
      </c>
      <c r="B59" s="66" t="str">
        <f>IFERROR(IF(IFERROR(MATCH(55,'كشف الحساب'!$N$4:$N$203,0),0)=0,"",INDEX('كشف الحساب'!$B$4:$B$203,IFERROR(MATCH(55,'كشف الحساب'!$N$4:$N$203,0),0))),"")</f>
        <v/>
      </c>
      <c r="C59" s="67" t="str">
        <f>IFERROR(IF(IFERROR(MATCH(55,'كشف الحساب'!$N$4:$N$203,0),0)=0,"",INDEX('كشف الحساب'!$C$4:$C$203,IFERROR(MATCH(55,'كشف الحساب'!$N$4:$N$203,0),0))),"")</f>
        <v/>
      </c>
      <c r="D59" s="68" t="str">
        <f>IFERROR(IF(IFERROR(MATCH(55,'كشف الحساب'!$N$4:$N$203,0),0)=0,"",INDEX('كشف الحساب'!$D$4:$D$203,IFERROR(MATCH(55,'كشف الحساب'!$N$4:$N$203,0),0))),"")</f>
        <v/>
      </c>
      <c r="E59" s="69" t="str">
        <f>IFERROR(IF(IFERROR(MATCH(55,'كشف الحساب'!$N$4:$N$203,0),0)=0,"",INDEX('كشف الحساب'!$E$4:$E$203,IFERROR(MATCH(55,'كشف الحساب'!$N$4:$N$203,0),0))),"")</f>
        <v/>
      </c>
      <c r="F59" s="66" t="str">
        <f>IFERROR(IF(IFERROR(MATCH(55,'كشف الحساب'!$N$4:$N$203,0),0)=0,"",INDEX('كشف الحساب'!$F$4:$F$203,IFERROR(MATCH(55,'كشف الحساب'!$N$4:$N$203,0),0))),"")</f>
        <v/>
      </c>
      <c r="G59" s="66" t="str">
        <f>IFERROR(IF(IFERROR(MATCH(55,'كشف الحساب'!$N$4:$N$203,0),0)=0,"",INDEX('كشف الحساب'!$G$4:$G$203,IFERROR(MATCH(55,'كشف الحساب'!$N$4:$N$203,0),0))),"")</f>
        <v/>
      </c>
      <c r="H59" s="66" t="str">
        <f>IFERROR(IF(IFERROR(MATCH(55,'كشف الحساب'!$N$4:$N$203,0),0)=0,"",INDEX('كشف الحساب'!$H$4:$H$203,IFERROR(MATCH(55,'كشف الحساب'!$N$4:$N$203,0),0))),"")</f>
        <v/>
      </c>
      <c r="I59" s="66" t="str">
        <f>IFERROR(IF(IFERROR(MATCH(55,'كشف الحساب'!$N$4:$N$203,0),0)=0,"",INDEX('كشف الحساب'!$I$4:$I$203,IFERROR(MATCH(55,'كشف الحساب'!$N$4:$N$203,0),0))),"")</f>
        <v/>
      </c>
      <c r="J59" s="70" t="str">
        <f>IFERROR(IF(IFERROR(MATCH(55,'كشف الحساب'!$N$4:$N$203,0),0)=0,"",INDEX('كشف الحساب'!$J$4:$J$203,IFERROR(MATCH(55,'كشف الحساب'!$N$4:$N$203,0),0))),"")</f>
        <v/>
      </c>
      <c r="K59" s="66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71" t="str">
        <f>IFERROR(IF(IFERROR(MATCH(56,'كشف الحساب'!$N$4:$N$203,0),0)=0,"",INDEX('كشف الحساب'!$A$4:$A$203,IFERROR(MATCH(56,'كشف الحساب'!$N$4:$N$203,0),0))),"")</f>
        <v/>
      </c>
      <c r="B60" s="72" t="str">
        <f>IFERROR(IF(IFERROR(MATCH(56,'كشف الحساب'!$N$4:$N$203,0),0)=0,"",INDEX('كشف الحساب'!$B$4:$B$203,IFERROR(MATCH(56,'كشف الحساب'!$N$4:$N$203,0),0))),"")</f>
        <v/>
      </c>
      <c r="C60" s="73" t="str">
        <f>IFERROR(IF(IFERROR(MATCH(56,'كشف الحساب'!$N$4:$N$203,0),0)=0,"",INDEX('كشف الحساب'!$C$4:$C$203,IFERROR(MATCH(56,'كشف الحساب'!$N$4:$N$203,0),0))),"")</f>
        <v/>
      </c>
      <c r="D60" s="74" t="str">
        <f>IFERROR(IF(IFERROR(MATCH(56,'كشف الحساب'!$N$4:$N$203,0),0)=0,"",INDEX('كشف الحساب'!$D$4:$D$203,IFERROR(MATCH(56,'كشف الحساب'!$N$4:$N$203,0),0))),"")</f>
        <v/>
      </c>
      <c r="E60" s="75" t="str">
        <f>IFERROR(IF(IFERROR(MATCH(56,'كشف الحساب'!$N$4:$N$203,0),0)=0,"",INDEX('كشف الحساب'!$E$4:$E$203,IFERROR(MATCH(56,'كشف الحساب'!$N$4:$N$203,0),0))),"")</f>
        <v/>
      </c>
      <c r="F60" s="72" t="str">
        <f>IFERROR(IF(IFERROR(MATCH(56,'كشف الحساب'!$N$4:$N$203,0),0)=0,"",INDEX('كشف الحساب'!$F$4:$F$203,IFERROR(MATCH(56,'كشف الحساب'!$N$4:$N$203,0),0))),"")</f>
        <v/>
      </c>
      <c r="G60" s="72" t="str">
        <f>IFERROR(IF(IFERROR(MATCH(56,'كشف الحساب'!$N$4:$N$203,0),0)=0,"",INDEX('كشف الحساب'!$G$4:$G$203,IFERROR(MATCH(56,'كشف الحساب'!$N$4:$N$203,0),0))),"")</f>
        <v/>
      </c>
      <c r="H60" s="72" t="str">
        <f>IFERROR(IF(IFERROR(MATCH(56,'كشف الحساب'!$N$4:$N$203,0),0)=0,"",INDEX('كشف الحساب'!$H$4:$H$203,IFERROR(MATCH(56,'كشف الحساب'!$N$4:$N$203,0),0))),"")</f>
        <v/>
      </c>
      <c r="I60" s="72" t="str">
        <f>IFERROR(IF(IFERROR(MATCH(56,'كشف الحساب'!$N$4:$N$203,0),0)=0,"",INDEX('كشف الحساب'!$I$4:$I$203,IFERROR(MATCH(56,'كشف الحساب'!$N$4:$N$203,0),0))),"")</f>
        <v/>
      </c>
      <c r="J60" s="76" t="str">
        <f>IFERROR(IF(IFERROR(MATCH(56,'كشف الحساب'!$N$4:$N$203,0),0)=0,"",INDEX('كشف الحساب'!$J$4:$J$203,IFERROR(MATCH(56,'كشف الحساب'!$N$4:$N$203,0),0))),"")</f>
        <v/>
      </c>
      <c r="K60" s="72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5" t="str">
        <f>IFERROR(IF(IFERROR(MATCH(57,'كشف الحساب'!$N$4:$N$203,0),0)=0,"",INDEX('كشف الحساب'!$A$4:$A$203,IFERROR(MATCH(57,'كشف الحساب'!$N$4:$N$203,0),0))),"")</f>
        <v/>
      </c>
      <c r="B61" s="66" t="str">
        <f>IFERROR(IF(IFERROR(MATCH(57,'كشف الحساب'!$N$4:$N$203,0),0)=0,"",INDEX('كشف الحساب'!$B$4:$B$203,IFERROR(MATCH(57,'كشف الحساب'!$N$4:$N$203,0),0))),"")</f>
        <v/>
      </c>
      <c r="C61" s="67" t="str">
        <f>IFERROR(IF(IFERROR(MATCH(57,'كشف الحساب'!$N$4:$N$203,0),0)=0,"",INDEX('كشف الحساب'!$C$4:$C$203,IFERROR(MATCH(57,'كشف الحساب'!$N$4:$N$203,0),0))),"")</f>
        <v/>
      </c>
      <c r="D61" s="68" t="str">
        <f>IFERROR(IF(IFERROR(MATCH(57,'كشف الحساب'!$N$4:$N$203,0),0)=0,"",INDEX('كشف الحساب'!$D$4:$D$203,IFERROR(MATCH(57,'كشف الحساب'!$N$4:$N$203,0),0))),"")</f>
        <v/>
      </c>
      <c r="E61" s="69" t="str">
        <f>IFERROR(IF(IFERROR(MATCH(57,'كشف الحساب'!$N$4:$N$203,0),0)=0,"",INDEX('كشف الحساب'!$E$4:$E$203,IFERROR(MATCH(57,'كشف الحساب'!$N$4:$N$203,0),0))),"")</f>
        <v/>
      </c>
      <c r="F61" s="66" t="str">
        <f>IFERROR(IF(IFERROR(MATCH(57,'كشف الحساب'!$N$4:$N$203,0),0)=0,"",INDEX('كشف الحساب'!$F$4:$F$203,IFERROR(MATCH(57,'كشف الحساب'!$N$4:$N$203,0),0))),"")</f>
        <v/>
      </c>
      <c r="G61" s="66" t="str">
        <f>IFERROR(IF(IFERROR(MATCH(57,'كشف الحساب'!$N$4:$N$203,0),0)=0,"",INDEX('كشف الحساب'!$G$4:$G$203,IFERROR(MATCH(57,'كشف الحساب'!$N$4:$N$203,0),0))),"")</f>
        <v/>
      </c>
      <c r="H61" s="66" t="str">
        <f>IFERROR(IF(IFERROR(MATCH(57,'كشف الحساب'!$N$4:$N$203,0),0)=0,"",INDEX('كشف الحساب'!$H$4:$H$203,IFERROR(MATCH(57,'كشف الحساب'!$N$4:$N$203,0),0))),"")</f>
        <v/>
      </c>
      <c r="I61" s="66" t="str">
        <f>IFERROR(IF(IFERROR(MATCH(57,'كشف الحساب'!$N$4:$N$203,0),0)=0,"",INDEX('كشف الحساب'!$I$4:$I$203,IFERROR(MATCH(57,'كشف الحساب'!$N$4:$N$203,0),0))),"")</f>
        <v/>
      </c>
      <c r="J61" s="70" t="str">
        <f>IFERROR(IF(IFERROR(MATCH(57,'كشف الحساب'!$N$4:$N$203,0),0)=0,"",INDEX('كشف الحساب'!$J$4:$J$203,IFERROR(MATCH(57,'كشف الحساب'!$N$4:$N$203,0),0))),"")</f>
        <v/>
      </c>
      <c r="K61" s="66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71" t="str">
        <f>IFERROR(IF(IFERROR(MATCH(58,'كشف الحساب'!$N$4:$N$203,0),0)=0,"",INDEX('كشف الحساب'!$A$4:$A$203,IFERROR(MATCH(58,'كشف الحساب'!$N$4:$N$203,0),0))),"")</f>
        <v/>
      </c>
      <c r="B62" s="72" t="str">
        <f>IFERROR(IF(IFERROR(MATCH(58,'كشف الحساب'!$N$4:$N$203,0),0)=0,"",INDEX('كشف الحساب'!$B$4:$B$203,IFERROR(MATCH(58,'كشف الحساب'!$N$4:$N$203,0),0))),"")</f>
        <v/>
      </c>
      <c r="C62" s="73" t="str">
        <f>IFERROR(IF(IFERROR(MATCH(58,'كشف الحساب'!$N$4:$N$203,0),0)=0,"",INDEX('كشف الحساب'!$C$4:$C$203,IFERROR(MATCH(58,'كشف الحساب'!$N$4:$N$203,0),0))),"")</f>
        <v/>
      </c>
      <c r="D62" s="74" t="str">
        <f>IFERROR(IF(IFERROR(MATCH(58,'كشف الحساب'!$N$4:$N$203,0),0)=0,"",INDEX('كشف الحساب'!$D$4:$D$203,IFERROR(MATCH(58,'كشف الحساب'!$N$4:$N$203,0),0))),"")</f>
        <v/>
      </c>
      <c r="E62" s="75" t="str">
        <f>IFERROR(IF(IFERROR(MATCH(58,'كشف الحساب'!$N$4:$N$203,0),0)=0,"",INDEX('كشف الحساب'!$E$4:$E$203,IFERROR(MATCH(58,'كشف الحساب'!$N$4:$N$203,0),0))),"")</f>
        <v/>
      </c>
      <c r="F62" s="72" t="str">
        <f>IFERROR(IF(IFERROR(MATCH(58,'كشف الحساب'!$N$4:$N$203,0),0)=0,"",INDEX('كشف الحساب'!$F$4:$F$203,IFERROR(MATCH(58,'كشف الحساب'!$N$4:$N$203,0),0))),"")</f>
        <v/>
      </c>
      <c r="G62" s="72" t="str">
        <f>IFERROR(IF(IFERROR(MATCH(58,'كشف الحساب'!$N$4:$N$203,0),0)=0,"",INDEX('كشف الحساب'!$G$4:$G$203,IFERROR(MATCH(58,'كشف الحساب'!$N$4:$N$203,0),0))),"")</f>
        <v/>
      </c>
      <c r="H62" s="72" t="str">
        <f>IFERROR(IF(IFERROR(MATCH(58,'كشف الحساب'!$N$4:$N$203,0),0)=0,"",INDEX('كشف الحساب'!$H$4:$H$203,IFERROR(MATCH(58,'كشف الحساب'!$N$4:$N$203,0),0))),"")</f>
        <v/>
      </c>
      <c r="I62" s="72" t="str">
        <f>IFERROR(IF(IFERROR(MATCH(58,'كشف الحساب'!$N$4:$N$203,0),0)=0,"",INDEX('كشف الحساب'!$I$4:$I$203,IFERROR(MATCH(58,'كشف الحساب'!$N$4:$N$203,0),0))),"")</f>
        <v/>
      </c>
      <c r="J62" s="76" t="str">
        <f>IFERROR(IF(IFERROR(MATCH(58,'كشف الحساب'!$N$4:$N$203,0),0)=0,"",INDEX('كشف الحساب'!$J$4:$J$203,IFERROR(MATCH(58,'كشف الحساب'!$N$4:$N$203,0),0))),"")</f>
        <v/>
      </c>
      <c r="K62" s="72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5" t="str">
        <f>IFERROR(IF(IFERROR(MATCH(59,'كشف الحساب'!$N$4:$N$203,0),0)=0,"",INDEX('كشف الحساب'!$A$4:$A$203,IFERROR(MATCH(59,'كشف الحساب'!$N$4:$N$203,0),0))),"")</f>
        <v/>
      </c>
      <c r="B63" s="66" t="str">
        <f>IFERROR(IF(IFERROR(MATCH(59,'كشف الحساب'!$N$4:$N$203,0),0)=0,"",INDEX('كشف الحساب'!$B$4:$B$203,IFERROR(MATCH(59,'كشف الحساب'!$N$4:$N$203,0),0))),"")</f>
        <v/>
      </c>
      <c r="C63" s="67" t="str">
        <f>IFERROR(IF(IFERROR(MATCH(59,'كشف الحساب'!$N$4:$N$203,0),0)=0,"",INDEX('كشف الحساب'!$C$4:$C$203,IFERROR(MATCH(59,'كشف الحساب'!$N$4:$N$203,0),0))),"")</f>
        <v/>
      </c>
      <c r="D63" s="68" t="str">
        <f>IFERROR(IF(IFERROR(MATCH(59,'كشف الحساب'!$N$4:$N$203,0),0)=0,"",INDEX('كشف الحساب'!$D$4:$D$203,IFERROR(MATCH(59,'كشف الحساب'!$N$4:$N$203,0),0))),"")</f>
        <v/>
      </c>
      <c r="E63" s="69" t="str">
        <f>IFERROR(IF(IFERROR(MATCH(59,'كشف الحساب'!$N$4:$N$203,0),0)=0,"",INDEX('كشف الحساب'!$E$4:$E$203,IFERROR(MATCH(59,'كشف الحساب'!$N$4:$N$203,0),0))),"")</f>
        <v/>
      </c>
      <c r="F63" s="66" t="str">
        <f>IFERROR(IF(IFERROR(MATCH(59,'كشف الحساب'!$N$4:$N$203,0),0)=0,"",INDEX('كشف الحساب'!$F$4:$F$203,IFERROR(MATCH(59,'كشف الحساب'!$N$4:$N$203,0),0))),"")</f>
        <v/>
      </c>
      <c r="G63" s="66" t="str">
        <f>IFERROR(IF(IFERROR(MATCH(59,'كشف الحساب'!$N$4:$N$203,0),0)=0,"",INDEX('كشف الحساب'!$G$4:$G$203,IFERROR(MATCH(59,'كشف الحساب'!$N$4:$N$203,0),0))),"")</f>
        <v/>
      </c>
      <c r="H63" s="66" t="str">
        <f>IFERROR(IF(IFERROR(MATCH(59,'كشف الحساب'!$N$4:$N$203,0),0)=0,"",INDEX('كشف الحساب'!$H$4:$H$203,IFERROR(MATCH(59,'كشف الحساب'!$N$4:$N$203,0),0))),"")</f>
        <v/>
      </c>
      <c r="I63" s="66" t="str">
        <f>IFERROR(IF(IFERROR(MATCH(59,'كشف الحساب'!$N$4:$N$203,0),0)=0,"",INDEX('كشف الحساب'!$I$4:$I$203,IFERROR(MATCH(59,'كشف الحساب'!$N$4:$N$203,0),0))),"")</f>
        <v/>
      </c>
      <c r="J63" s="70" t="str">
        <f>IFERROR(IF(IFERROR(MATCH(59,'كشف الحساب'!$N$4:$N$203,0),0)=0,"",INDEX('كشف الحساب'!$J$4:$J$203,IFERROR(MATCH(59,'كشف الحساب'!$N$4:$N$203,0),0))),"")</f>
        <v/>
      </c>
      <c r="K63" s="66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71" t="str">
        <f>IFERROR(IF(IFERROR(MATCH(60,'كشف الحساب'!$N$4:$N$203,0),0)=0,"",INDEX('كشف الحساب'!$A$4:$A$203,IFERROR(MATCH(60,'كشف الحساب'!$N$4:$N$203,0),0))),"")</f>
        <v/>
      </c>
      <c r="B64" s="72" t="str">
        <f>IFERROR(IF(IFERROR(MATCH(60,'كشف الحساب'!$N$4:$N$203,0),0)=0,"",INDEX('كشف الحساب'!$B$4:$B$203,IFERROR(MATCH(60,'كشف الحساب'!$N$4:$N$203,0),0))),"")</f>
        <v/>
      </c>
      <c r="C64" s="73" t="str">
        <f>IFERROR(IF(IFERROR(MATCH(60,'كشف الحساب'!$N$4:$N$203,0),0)=0,"",INDEX('كشف الحساب'!$C$4:$C$203,IFERROR(MATCH(60,'كشف الحساب'!$N$4:$N$203,0),0))),"")</f>
        <v/>
      </c>
      <c r="D64" s="74" t="str">
        <f>IFERROR(IF(IFERROR(MATCH(60,'كشف الحساب'!$N$4:$N$203,0),0)=0,"",INDEX('كشف الحساب'!$D$4:$D$203,IFERROR(MATCH(60,'كشف الحساب'!$N$4:$N$203,0),0))),"")</f>
        <v/>
      </c>
      <c r="E64" s="75" t="str">
        <f>IFERROR(IF(IFERROR(MATCH(60,'كشف الحساب'!$N$4:$N$203,0),0)=0,"",INDEX('كشف الحساب'!$E$4:$E$203,IFERROR(MATCH(60,'كشف الحساب'!$N$4:$N$203,0),0))),"")</f>
        <v/>
      </c>
      <c r="F64" s="72" t="str">
        <f>IFERROR(IF(IFERROR(MATCH(60,'كشف الحساب'!$N$4:$N$203,0),0)=0,"",INDEX('كشف الحساب'!$F$4:$F$203,IFERROR(MATCH(60,'كشف الحساب'!$N$4:$N$203,0),0))),"")</f>
        <v/>
      </c>
      <c r="G64" s="72" t="str">
        <f>IFERROR(IF(IFERROR(MATCH(60,'كشف الحساب'!$N$4:$N$203,0),0)=0,"",INDEX('كشف الحساب'!$G$4:$G$203,IFERROR(MATCH(60,'كشف الحساب'!$N$4:$N$203,0),0))),"")</f>
        <v/>
      </c>
      <c r="H64" s="72" t="str">
        <f>IFERROR(IF(IFERROR(MATCH(60,'كشف الحساب'!$N$4:$N$203,0),0)=0,"",INDEX('كشف الحساب'!$H$4:$H$203,IFERROR(MATCH(60,'كشف الحساب'!$N$4:$N$203,0),0))),"")</f>
        <v/>
      </c>
      <c r="I64" s="72" t="str">
        <f>IFERROR(IF(IFERROR(MATCH(60,'كشف الحساب'!$N$4:$N$203,0),0)=0,"",INDEX('كشف الحساب'!$I$4:$I$203,IFERROR(MATCH(60,'كشف الحساب'!$N$4:$N$203,0),0))),"")</f>
        <v/>
      </c>
      <c r="J64" s="76" t="str">
        <f>IFERROR(IF(IFERROR(MATCH(60,'كشف الحساب'!$N$4:$N$203,0),0)=0,"",INDEX('كشف الحساب'!$J$4:$J$203,IFERROR(MATCH(60,'كشف الحساب'!$N$4:$N$203,0),0))),"")</f>
        <v/>
      </c>
      <c r="K64" s="72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5" t="str">
        <f>IFERROR(IF(IFERROR(MATCH(61,'كشف الحساب'!$N$4:$N$203,0),0)=0,"",INDEX('كشف الحساب'!$A$4:$A$203,IFERROR(MATCH(61,'كشف الحساب'!$N$4:$N$203,0),0))),"")</f>
        <v/>
      </c>
      <c r="B65" s="66" t="str">
        <f>IFERROR(IF(IFERROR(MATCH(61,'كشف الحساب'!$N$4:$N$203,0),0)=0,"",INDEX('كشف الحساب'!$B$4:$B$203,IFERROR(MATCH(61,'كشف الحساب'!$N$4:$N$203,0),0))),"")</f>
        <v/>
      </c>
      <c r="C65" s="67" t="str">
        <f>IFERROR(IF(IFERROR(MATCH(61,'كشف الحساب'!$N$4:$N$203,0),0)=0,"",INDEX('كشف الحساب'!$C$4:$C$203,IFERROR(MATCH(61,'كشف الحساب'!$N$4:$N$203,0),0))),"")</f>
        <v/>
      </c>
      <c r="D65" s="68" t="str">
        <f>IFERROR(IF(IFERROR(MATCH(61,'كشف الحساب'!$N$4:$N$203,0),0)=0,"",INDEX('كشف الحساب'!$D$4:$D$203,IFERROR(MATCH(61,'كشف الحساب'!$N$4:$N$203,0),0))),"")</f>
        <v/>
      </c>
      <c r="E65" s="69" t="str">
        <f>IFERROR(IF(IFERROR(MATCH(61,'كشف الحساب'!$N$4:$N$203,0),0)=0,"",INDEX('كشف الحساب'!$E$4:$E$203,IFERROR(MATCH(61,'كشف الحساب'!$N$4:$N$203,0),0))),"")</f>
        <v/>
      </c>
      <c r="F65" s="66" t="str">
        <f>IFERROR(IF(IFERROR(MATCH(61,'كشف الحساب'!$N$4:$N$203,0),0)=0,"",INDEX('كشف الحساب'!$F$4:$F$203,IFERROR(MATCH(61,'كشف الحساب'!$N$4:$N$203,0),0))),"")</f>
        <v/>
      </c>
      <c r="G65" s="66" t="str">
        <f>IFERROR(IF(IFERROR(MATCH(61,'كشف الحساب'!$N$4:$N$203,0),0)=0,"",INDEX('كشف الحساب'!$G$4:$G$203,IFERROR(MATCH(61,'كشف الحساب'!$N$4:$N$203,0),0))),"")</f>
        <v/>
      </c>
      <c r="H65" s="66" t="str">
        <f>IFERROR(IF(IFERROR(MATCH(61,'كشف الحساب'!$N$4:$N$203,0),0)=0,"",INDEX('كشف الحساب'!$H$4:$H$203,IFERROR(MATCH(61,'كشف الحساب'!$N$4:$N$203,0),0))),"")</f>
        <v/>
      </c>
      <c r="I65" s="66" t="str">
        <f>IFERROR(IF(IFERROR(MATCH(61,'كشف الحساب'!$N$4:$N$203,0),0)=0,"",INDEX('كشف الحساب'!$I$4:$I$203,IFERROR(MATCH(61,'كشف الحساب'!$N$4:$N$203,0),0))),"")</f>
        <v/>
      </c>
      <c r="J65" s="70" t="str">
        <f>IFERROR(IF(IFERROR(MATCH(61,'كشف الحساب'!$N$4:$N$203,0),0)=0,"",INDEX('كشف الحساب'!$J$4:$J$203,IFERROR(MATCH(61,'كشف الحساب'!$N$4:$N$203,0),0))),"")</f>
        <v/>
      </c>
      <c r="K65" s="66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71" t="str">
        <f>IFERROR(IF(IFERROR(MATCH(62,'كشف الحساب'!$N$4:$N$203,0),0)=0,"",INDEX('كشف الحساب'!$A$4:$A$203,IFERROR(MATCH(62,'كشف الحساب'!$N$4:$N$203,0),0))),"")</f>
        <v/>
      </c>
      <c r="B66" s="72" t="str">
        <f>IFERROR(IF(IFERROR(MATCH(62,'كشف الحساب'!$N$4:$N$203,0),0)=0,"",INDEX('كشف الحساب'!$B$4:$B$203,IFERROR(MATCH(62,'كشف الحساب'!$N$4:$N$203,0),0))),"")</f>
        <v/>
      </c>
      <c r="C66" s="73" t="str">
        <f>IFERROR(IF(IFERROR(MATCH(62,'كشف الحساب'!$N$4:$N$203,0),0)=0,"",INDEX('كشف الحساب'!$C$4:$C$203,IFERROR(MATCH(62,'كشف الحساب'!$N$4:$N$203,0),0))),"")</f>
        <v/>
      </c>
      <c r="D66" s="74" t="str">
        <f>IFERROR(IF(IFERROR(MATCH(62,'كشف الحساب'!$N$4:$N$203,0),0)=0,"",INDEX('كشف الحساب'!$D$4:$D$203,IFERROR(MATCH(62,'كشف الحساب'!$N$4:$N$203,0),0))),"")</f>
        <v/>
      </c>
      <c r="E66" s="75" t="str">
        <f>IFERROR(IF(IFERROR(MATCH(62,'كشف الحساب'!$N$4:$N$203,0),0)=0,"",INDEX('كشف الحساب'!$E$4:$E$203,IFERROR(MATCH(62,'كشف الحساب'!$N$4:$N$203,0),0))),"")</f>
        <v/>
      </c>
      <c r="F66" s="72" t="str">
        <f>IFERROR(IF(IFERROR(MATCH(62,'كشف الحساب'!$N$4:$N$203,0),0)=0,"",INDEX('كشف الحساب'!$F$4:$F$203,IFERROR(MATCH(62,'كشف الحساب'!$N$4:$N$203,0),0))),"")</f>
        <v/>
      </c>
      <c r="G66" s="72" t="str">
        <f>IFERROR(IF(IFERROR(MATCH(62,'كشف الحساب'!$N$4:$N$203,0),0)=0,"",INDEX('كشف الحساب'!$G$4:$G$203,IFERROR(MATCH(62,'كشف الحساب'!$N$4:$N$203,0),0))),"")</f>
        <v/>
      </c>
      <c r="H66" s="72" t="str">
        <f>IFERROR(IF(IFERROR(MATCH(62,'كشف الحساب'!$N$4:$N$203,0),0)=0,"",INDEX('كشف الحساب'!$H$4:$H$203,IFERROR(MATCH(62,'كشف الحساب'!$N$4:$N$203,0),0))),"")</f>
        <v/>
      </c>
      <c r="I66" s="72" t="str">
        <f>IFERROR(IF(IFERROR(MATCH(62,'كشف الحساب'!$N$4:$N$203,0),0)=0,"",INDEX('كشف الحساب'!$I$4:$I$203,IFERROR(MATCH(62,'كشف الحساب'!$N$4:$N$203,0),0))),"")</f>
        <v/>
      </c>
      <c r="J66" s="76" t="str">
        <f>IFERROR(IF(IFERROR(MATCH(62,'كشف الحساب'!$N$4:$N$203,0),0)=0,"",INDEX('كشف الحساب'!$J$4:$J$203,IFERROR(MATCH(62,'كشف الحساب'!$N$4:$N$203,0),0))),"")</f>
        <v/>
      </c>
      <c r="K66" s="72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5" t="str">
        <f>IFERROR(IF(IFERROR(MATCH(63,'كشف الحساب'!$N$4:$N$203,0),0)=0,"",INDEX('كشف الحساب'!$A$4:$A$203,IFERROR(MATCH(63,'كشف الحساب'!$N$4:$N$203,0),0))),"")</f>
        <v/>
      </c>
      <c r="B67" s="66" t="str">
        <f>IFERROR(IF(IFERROR(MATCH(63,'كشف الحساب'!$N$4:$N$203,0),0)=0,"",INDEX('كشف الحساب'!$B$4:$B$203,IFERROR(MATCH(63,'كشف الحساب'!$N$4:$N$203,0),0))),"")</f>
        <v/>
      </c>
      <c r="C67" s="67" t="str">
        <f>IFERROR(IF(IFERROR(MATCH(63,'كشف الحساب'!$N$4:$N$203,0),0)=0,"",INDEX('كشف الحساب'!$C$4:$C$203,IFERROR(MATCH(63,'كشف الحساب'!$N$4:$N$203,0),0))),"")</f>
        <v/>
      </c>
      <c r="D67" s="68" t="str">
        <f>IFERROR(IF(IFERROR(MATCH(63,'كشف الحساب'!$N$4:$N$203,0),0)=0,"",INDEX('كشف الحساب'!$D$4:$D$203,IFERROR(MATCH(63,'كشف الحساب'!$N$4:$N$203,0),0))),"")</f>
        <v/>
      </c>
      <c r="E67" s="69" t="str">
        <f>IFERROR(IF(IFERROR(MATCH(63,'كشف الحساب'!$N$4:$N$203,0),0)=0,"",INDEX('كشف الحساب'!$E$4:$E$203,IFERROR(MATCH(63,'كشف الحساب'!$N$4:$N$203,0),0))),"")</f>
        <v/>
      </c>
      <c r="F67" s="66" t="str">
        <f>IFERROR(IF(IFERROR(MATCH(63,'كشف الحساب'!$N$4:$N$203,0),0)=0,"",INDEX('كشف الحساب'!$F$4:$F$203,IFERROR(MATCH(63,'كشف الحساب'!$N$4:$N$203,0),0))),"")</f>
        <v/>
      </c>
      <c r="G67" s="66" t="str">
        <f>IFERROR(IF(IFERROR(MATCH(63,'كشف الحساب'!$N$4:$N$203,0),0)=0,"",INDEX('كشف الحساب'!$G$4:$G$203,IFERROR(MATCH(63,'كشف الحساب'!$N$4:$N$203,0),0))),"")</f>
        <v/>
      </c>
      <c r="H67" s="66" t="str">
        <f>IFERROR(IF(IFERROR(MATCH(63,'كشف الحساب'!$N$4:$N$203,0),0)=0,"",INDEX('كشف الحساب'!$H$4:$H$203,IFERROR(MATCH(63,'كشف الحساب'!$N$4:$N$203,0),0))),"")</f>
        <v/>
      </c>
      <c r="I67" s="66" t="str">
        <f>IFERROR(IF(IFERROR(MATCH(63,'كشف الحساب'!$N$4:$N$203,0),0)=0,"",INDEX('كشف الحساب'!$I$4:$I$203,IFERROR(MATCH(63,'كشف الحساب'!$N$4:$N$203,0),0))),"")</f>
        <v/>
      </c>
      <c r="J67" s="70" t="str">
        <f>IFERROR(IF(IFERROR(MATCH(63,'كشف الحساب'!$N$4:$N$203,0),0)=0,"",INDEX('كشف الحساب'!$J$4:$J$203,IFERROR(MATCH(63,'كشف الحساب'!$N$4:$N$203,0),0))),"")</f>
        <v/>
      </c>
      <c r="K67" s="66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71" t="str">
        <f>IFERROR(IF(IFERROR(MATCH(64,'كشف الحساب'!$N$4:$N$203,0),0)=0,"",INDEX('كشف الحساب'!$A$4:$A$203,IFERROR(MATCH(64,'كشف الحساب'!$N$4:$N$203,0),0))),"")</f>
        <v/>
      </c>
      <c r="B68" s="72" t="str">
        <f>IFERROR(IF(IFERROR(MATCH(64,'كشف الحساب'!$N$4:$N$203,0),0)=0,"",INDEX('كشف الحساب'!$B$4:$B$203,IFERROR(MATCH(64,'كشف الحساب'!$N$4:$N$203,0),0))),"")</f>
        <v/>
      </c>
      <c r="C68" s="73" t="str">
        <f>IFERROR(IF(IFERROR(MATCH(64,'كشف الحساب'!$N$4:$N$203,0),0)=0,"",INDEX('كشف الحساب'!$C$4:$C$203,IFERROR(MATCH(64,'كشف الحساب'!$N$4:$N$203,0),0))),"")</f>
        <v/>
      </c>
      <c r="D68" s="74" t="str">
        <f>IFERROR(IF(IFERROR(MATCH(64,'كشف الحساب'!$N$4:$N$203,0),0)=0,"",INDEX('كشف الحساب'!$D$4:$D$203,IFERROR(MATCH(64,'كشف الحساب'!$N$4:$N$203,0),0))),"")</f>
        <v/>
      </c>
      <c r="E68" s="75" t="str">
        <f>IFERROR(IF(IFERROR(MATCH(64,'كشف الحساب'!$N$4:$N$203,0),0)=0,"",INDEX('كشف الحساب'!$E$4:$E$203,IFERROR(MATCH(64,'كشف الحساب'!$N$4:$N$203,0),0))),"")</f>
        <v/>
      </c>
      <c r="F68" s="72" t="str">
        <f>IFERROR(IF(IFERROR(MATCH(64,'كشف الحساب'!$N$4:$N$203,0),0)=0,"",INDEX('كشف الحساب'!$F$4:$F$203,IFERROR(MATCH(64,'كشف الحساب'!$N$4:$N$203,0),0))),"")</f>
        <v/>
      </c>
      <c r="G68" s="72" t="str">
        <f>IFERROR(IF(IFERROR(MATCH(64,'كشف الحساب'!$N$4:$N$203,0),0)=0,"",INDEX('كشف الحساب'!$G$4:$G$203,IFERROR(MATCH(64,'كشف الحساب'!$N$4:$N$203,0),0))),"")</f>
        <v/>
      </c>
      <c r="H68" s="72" t="str">
        <f>IFERROR(IF(IFERROR(MATCH(64,'كشف الحساب'!$N$4:$N$203,0),0)=0,"",INDEX('كشف الحساب'!$H$4:$H$203,IFERROR(MATCH(64,'كشف الحساب'!$N$4:$N$203,0),0))),"")</f>
        <v/>
      </c>
      <c r="I68" s="72" t="str">
        <f>IFERROR(IF(IFERROR(MATCH(64,'كشف الحساب'!$N$4:$N$203,0),0)=0,"",INDEX('كشف الحساب'!$I$4:$I$203,IFERROR(MATCH(64,'كشف الحساب'!$N$4:$N$203,0),0))),"")</f>
        <v/>
      </c>
      <c r="J68" s="76" t="str">
        <f>IFERROR(IF(IFERROR(MATCH(64,'كشف الحساب'!$N$4:$N$203,0),0)=0,"",INDEX('كشف الحساب'!$J$4:$J$203,IFERROR(MATCH(64,'كشف الحساب'!$N$4:$N$203,0),0))),"")</f>
        <v/>
      </c>
      <c r="K68" s="72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5" t="str">
        <f>IFERROR(IF(IFERROR(MATCH(65,'كشف الحساب'!$N$4:$N$203,0),0)=0,"",INDEX('كشف الحساب'!$A$4:$A$203,IFERROR(MATCH(65,'كشف الحساب'!$N$4:$N$203,0),0))),"")</f>
        <v/>
      </c>
      <c r="B69" s="66" t="str">
        <f>IFERROR(IF(IFERROR(MATCH(65,'كشف الحساب'!$N$4:$N$203,0),0)=0,"",INDEX('كشف الحساب'!$B$4:$B$203,IFERROR(MATCH(65,'كشف الحساب'!$N$4:$N$203,0),0))),"")</f>
        <v/>
      </c>
      <c r="C69" s="67" t="str">
        <f>IFERROR(IF(IFERROR(MATCH(65,'كشف الحساب'!$N$4:$N$203,0),0)=0,"",INDEX('كشف الحساب'!$C$4:$C$203,IFERROR(MATCH(65,'كشف الحساب'!$N$4:$N$203,0),0))),"")</f>
        <v/>
      </c>
      <c r="D69" s="68" t="str">
        <f>IFERROR(IF(IFERROR(MATCH(65,'كشف الحساب'!$N$4:$N$203,0),0)=0,"",INDEX('كشف الحساب'!$D$4:$D$203,IFERROR(MATCH(65,'كشف الحساب'!$N$4:$N$203,0),0))),"")</f>
        <v/>
      </c>
      <c r="E69" s="69" t="str">
        <f>IFERROR(IF(IFERROR(MATCH(65,'كشف الحساب'!$N$4:$N$203,0),0)=0,"",INDEX('كشف الحساب'!$E$4:$E$203,IFERROR(MATCH(65,'كشف الحساب'!$N$4:$N$203,0),0))),"")</f>
        <v/>
      </c>
      <c r="F69" s="66" t="str">
        <f>IFERROR(IF(IFERROR(MATCH(65,'كشف الحساب'!$N$4:$N$203,0),0)=0,"",INDEX('كشف الحساب'!$F$4:$F$203,IFERROR(MATCH(65,'كشف الحساب'!$N$4:$N$203,0),0))),"")</f>
        <v/>
      </c>
      <c r="G69" s="66" t="str">
        <f>IFERROR(IF(IFERROR(MATCH(65,'كشف الحساب'!$N$4:$N$203,0),0)=0,"",INDEX('كشف الحساب'!$G$4:$G$203,IFERROR(MATCH(65,'كشف الحساب'!$N$4:$N$203,0),0))),"")</f>
        <v/>
      </c>
      <c r="H69" s="66" t="str">
        <f>IFERROR(IF(IFERROR(MATCH(65,'كشف الحساب'!$N$4:$N$203,0),0)=0,"",INDEX('كشف الحساب'!$H$4:$H$203,IFERROR(MATCH(65,'كشف الحساب'!$N$4:$N$203,0),0))),"")</f>
        <v/>
      </c>
      <c r="I69" s="66" t="str">
        <f>IFERROR(IF(IFERROR(MATCH(65,'كشف الحساب'!$N$4:$N$203,0),0)=0,"",INDEX('كشف الحساب'!$I$4:$I$203,IFERROR(MATCH(65,'كشف الحساب'!$N$4:$N$203,0),0))),"")</f>
        <v/>
      </c>
      <c r="J69" s="70" t="str">
        <f>IFERROR(IF(IFERROR(MATCH(65,'كشف الحساب'!$N$4:$N$203,0),0)=0,"",INDEX('كشف الحساب'!$J$4:$J$203,IFERROR(MATCH(65,'كشف الحساب'!$N$4:$N$203,0),0))),"")</f>
        <v/>
      </c>
      <c r="K69" s="66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71" t="str">
        <f>IFERROR(IF(IFERROR(MATCH(66,'كشف الحساب'!$N$4:$N$203,0),0)=0,"",INDEX('كشف الحساب'!$A$4:$A$203,IFERROR(MATCH(66,'كشف الحساب'!$N$4:$N$203,0),0))),"")</f>
        <v/>
      </c>
      <c r="B70" s="72" t="str">
        <f>IFERROR(IF(IFERROR(MATCH(66,'كشف الحساب'!$N$4:$N$203,0),0)=0,"",INDEX('كشف الحساب'!$B$4:$B$203,IFERROR(MATCH(66,'كشف الحساب'!$N$4:$N$203,0),0))),"")</f>
        <v/>
      </c>
      <c r="C70" s="73" t="str">
        <f>IFERROR(IF(IFERROR(MATCH(66,'كشف الحساب'!$N$4:$N$203,0),0)=0,"",INDEX('كشف الحساب'!$C$4:$C$203,IFERROR(MATCH(66,'كشف الحساب'!$N$4:$N$203,0),0))),"")</f>
        <v/>
      </c>
      <c r="D70" s="74" t="str">
        <f>IFERROR(IF(IFERROR(MATCH(66,'كشف الحساب'!$N$4:$N$203,0),0)=0,"",INDEX('كشف الحساب'!$D$4:$D$203,IFERROR(MATCH(66,'كشف الحساب'!$N$4:$N$203,0),0))),"")</f>
        <v/>
      </c>
      <c r="E70" s="75" t="str">
        <f>IFERROR(IF(IFERROR(MATCH(66,'كشف الحساب'!$N$4:$N$203,0),0)=0,"",INDEX('كشف الحساب'!$E$4:$E$203,IFERROR(MATCH(66,'كشف الحساب'!$N$4:$N$203,0),0))),"")</f>
        <v/>
      </c>
      <c r="F70" s="72" t="str">
        <f>IFERROR(IF(IFERROR(MATCH(66,'كشف الحساب'!$N$4:$N$203,0),0)=0,"",INDEX('كشف الحساب'!$F$4:$F$203,IFERROR(MATCH(66,'كشف الحساب'!$N$4:$N$203,0),0))),"")</f>
        <v/>
      </c>
      <c r="G70" s="72" t="str">
        <f>IFERROR(IF(IFERROR(MATCH(66,'كشف الحساب'!$N$4:$N$203,0),0)=0,"",INDEX('كشف الحساب'!$G$4:$G$203,IFERROR(MATCH(66,'كشف الحساب'!$N$4:$N$203,0),0))),"")</f>
        <v/>
      </c>
      <c r="H70" s="72" t="str">
        <f>IFERROR(IF(IFERROR(MATCH(66,'كشف الحساب'!$N$4:$N$203,0),0)=0,"",INDEX('كشف الحساب'!$H$4:$H$203,IFERROR(MATCH(66,'كشف الحساب'!$N$4:$N$203,0),0))),"")</f>
        <v/>
      </c>
      <c r="I70" s="72" t="str">
        <f>IFERROR(IF(IFERROR(MATCH(66,'كشف الحساب'!$N$4:$N$203,0),0)=0,"",INDEX('كشف الحساب'!$I$4:$I$203,IFERROR(MATCH(66,'كشف الحساب'!$N$4:$N$203,0),0))),"")</f>
        <v/>
      </c>
      <c r="J70" s="76" t="str">
        <f>IFERROR(IF(IFERROR(MATCH(66,'كشف الحساب'!$N$4:$N$203,0),0)=0,"",INDEX('كشف الحساب'!$J$4:$J$203,IFERROR(MATCH(66,'كشف الحساب'!$N$4:$N$203,0),0))),"")</f>
        <v/>
      </c>
      <c r="K70" s="72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5" t="str">
        <f>IFERROR(IF(IFERROR(MATCH(67,'كشف الحساب'!$N$4:$N$203,0),0)=0,"",INDEX('كشف الحساب'!$A$4:$A$203,IFERROR(MATCH(67,'كشف الحساب'!$N$4:$N$203,0),0))),"")</f>
        <v/>
      </c>
      <c r="B71" s="66" t="str">
        <f>IFERROR(IF(IFERROR(MATCH(67,'كشف الحساب'!$N$4:$N$203,0),0)=0,"",INDEX('كشف الحساب'!$B$4:$B$203,IFERROR(MATCH(67,'كشف الحساب'!$N$4:$N$203,0),0))),"")</f>
        <v/>
      </c>
      <c r="C71" s="67" t="str">
        <f>IFERROR(IF(IFERROR(MATCH(67,'كشف الحساب'!$N$4:$N$203,0),0)=0,"",INDEX('كشف الحساب'!$C$4:$C$203,IFERROR(MATCH(67,'كشف الحساب'!$N$4:$N$203,0),0))),"")</f>
        <v/>
      </c>
      <c r="D71" s="68" t="str">
        <f>IFERROR(IF(IFERROR(MATCH(67,'كشف الحساب'!$N$4:$N$203,0),0)=0,"",INDEX('كشف الحساب'!$D$4:$D$203,IFERROR(MATCH(67,'كشف الحساب'!$N$4:$N$203,0),0))),"")</f>
        <v/>
      </c>
      <c r="E71" s="69" t="str">
        <f>IFERROR(IF(IFERROR(MATCH(67,'كشف الحساب'!$N$4:$N$203,0),0)=0,"",INDEX('كشف الحساب'!$E$4:$E$203,IFERROR(MATCH(67,'كشف الحساب'!$N$4:$N$203,0),0))),"")</f>
        <v/>
      </c>
      <c r="F71" s="66" t="str">
        <f>IFERROR(IF(IFERROR(MATCH(67,'كشف الحساب'!$N$4:$N$203,0),0)=0,"",INDEX('كشف الحساب'!$F$4:$F$203,IFERROR(MATCH(67,'كشف الحساب'!$N$4:$N$203,0),0))),"")</f>
        <v/>
      </c>
      <c r="G71" s="66" t="str">
        <f>IFERROR(IF(IFERROR(MATCH(67,'كشف الحساب'!$N$4:$N$203,0),0)=0,"",INDEX('كشف الحساب'!$G$4:$G$203,IFERROR(MATCH(67,'كشف الحساب'!$N$4:$N$203,0),0))),"")</f>
        <v/>
      </c>
      <c r="H71" s="66" t="str">
        <f>IFERROR(IF(IFERROR(MATCH(67,'كشف الحساب'!$N$4:$N$203,0),0)=0,"",INDEX('كشف الحساب'!$H$4:$H$203,IFERROR(MATCH(67,'كشف الحساب'!$N$4:$N$203,0),0))),"")</f>
        <v/>
      </c>
      <c r="I71" s="66" t="str">
        <f>IFERROR(IF(IFERROR(MATCH(67,'كشف الحساب'!$N$4:$N$203,0),0)=0,"",INDEX('كشف الحساب'!$I$4:$I$203,IFERROR(MATCH(67,'كشف الحساب'!$N$4:$N$203,0),0))),"")</f>
        <v/>
      </c>
      <c r="J71" s="70" t="str">
        <f>IFERROR(IF(IFERROR(MATCH(67,'كشف الحساب'!$N$4:$N$203,0),0)=0,"",INDEX('كشف الحساب'!$J$4:$J$203,IFERROR(MATCH(67,'كشف الحساب'!$N$4:$N$203,0),0))),"")</f>
        <v/>
      </c>
      <c r="K71" s="66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71" t="str">
        <f>IFERROR(IF(IFERROR(MATCH(68,'كشف الحساب'!$N$4:$N$203,0),0)=0,"",INDEX('كشف الحساب'!$A$4:$A$203,IFERROR(MATCH(68,'كشف الحساب'!$N$4:$N$203,0),0))),"")</f>
        <v/>
      </c>
      <c r="B72" s="72" t="str">
        <f>IFERROR(IF(IFERROR(MATCH(68,'كشف الحساب'!$N$4:$N$203,0),0)=0,"",INDEX('كشف الحساب'!$B$4:$B$203,IFERROR(MATCH(68,'كشف الحساب'!$N$4:$N$203,0),0))),"")</f>
        <v/>
      </c>
      <c r="C72" s="73" t="str">
        <f>IFERROR(IF(IFERROR(MATCH(68,'كشف الحساب'!$N$4:$N$203,0),0)=0,"",INDEX('كشف الحساب'!$C$4:$C$203,IFERROR(MATCH(68,'كشف الحساب'!$N$4:$N$203,0),0))),"")</f>
        <v/>
      </c>
      <c r="D72" s="74" t="str">
        <f>IFERROR(IF(IFERROR(MATCH(68,'كشف الحساب'!$N$4:$N$203,0),0)=0,"",INDEX('كشف الحساب'!$D$4:$D$203,IFERROR(MATCH(68,'كشف الحساب'!$N$4:$N$203,0),0))),"")</f>
        <v/>
      </c>
      <c r="E72" s="75" t="str">
        <f>IFERROR(IF(IFERROR(MATCH(68,'كشف الحساب'!$N$4:$N$203,0),0)=0,"",INDEX('كشف الحساب'!$E$4:$E$203,IFERROR(MATCH(68,'كشف الحساب'!$N$4:$N$203,0),0))),"")</f>
        <v/>
      </c>
      <c r="F72" s="72" t="str">
        <f>IFERROR(IF(IFERROR(MATCH(68,'كشف الحساب'!$N$4:$N$203,0),0)=0,"",INDEX('كشف الحساب'!$F$4:$F$203,IFERROR(MATCH(68,'كشف الحساب'!$N$4:$N$203,0),0))),"")</f>
        <v/>
      </c>
      <c r="G72" s="72" t="str">
        <f>IFERROR(IF(IFERROR(MATCH(68,'كشف الحساب'!$N$4:$N$203,0),0)=0,"",INDEX('كشف الحساب'!$G$4:$G$203,IFERROR(MATCH(68,'كشف الحساب'!$N$4:$N$203,0),0))),"")</f>
        <v/>
      </c>
      <c r="H72" s="72" t="str">
        <f>IFERROR(IF(IFERROR(MATCH(68,'كشف الحساب'!$N$4:$N$203,0),0)=0,"",INDEX('كشف الحساب'!$H$4:$H$203,IFERROR(MATCH(68,'كشف الحساب'!$N$4:$N$203,0),0))),"")</f>
        <v/>
      </c>
      <c r="I72" s="72" t="str">
        <f>IFERROR(IF(IFERROR(MATCH(68,'كشف الحساب'!$N$4:$N$203,0),0)=0,"",INDEX('كشف الحساب'!$I$4:$I$203,IFERROR(MATCH(68,'كشف الحساب'!$N$4:$N$203,0),0))),"")</f>
        <v/>
      </c>
      <c r="J72" s="76" t="str">
        <f>IFERROR(IF(IFERROR(MATCH(68,'كشف الحساب'!$N$4:$N$203,0),0)=0,"",INDEX('كشف الحساب'!$J$4:$J$203,IFERROR(MATCH(68,'كشف الحساب'!$N$4:$N$203,0),0))),"")</f>
        <v/>
      </c>
      <c r="K72" s="72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5" t="str">
        <f>IFERROR(IF(IFERROR(MATCH(69,'كشف الحساب'!$N$4:$N$203,0),0)=0,"",INDEX('كشف الحساب'!$A$4:$A$203,IFERROR(MATCH(69,'كشف الحساب'!$N$4:$N$203,0),0))),"")</f>
        <v/>
      </c>
      <c r="B73" s="66" t="str">
        <f>IFERROR(IF(IFERROR(MATCH(69,'كشف الحساب'!$N$4:$N$203,0),0)=0,"",INDEX('كشف الحساب'!$B$4:$B$203,IFERROR(MATCH(69,'كشف الحساب'!$N$4:$N$203,0),0))),"")</f>
        <v/>
      </c>
      <c r="C73" s="67" t="str">
        <f>IFERROR(IF(IFERROR(MATCH(69,'كشف الحساب'!$N$4:$N$203,0),0)=0,"",INDEX('كشف الحساب'!$C$4:$C$203,IFERROR(MATCH(69,'كشف الحساب'!$N$4:$N$203,0),0))),"")</f>
        <v/>
      </c>
      <c r="D73" s="68" t="str">
        <f>IFERROR(IF(IFERROR(MATCH(69,'كشف الحساب'!$N$4:$N$203,0),0)=0,"",INDEX('كشف الحساب'!$D$4:$D$203,IFERROR(MATCH(69,'كشف الحساب'!$N$4:$N$203,0),0))),"")</f>
        <v/>
      </c>
      <c r="E73" s="69" t="str">
        <f>IFERROR(IF(IFERROR(MATCH(69,'كشف الحساب'!$N$4:$N$203,0),0)=0,"",INDEX('كشف الحساب'!$E$4:$E$203,IFERROR(MATCH(69,'كشف الحساب'!$N$4:$N$203,0),0))),"")</f>
        <v/>
      </c>
      <c r="F73" s="66" t="str">
        <f>IFERROR(IF(IFERROR(MATCH(69,'كشف الحساب'!$N$4:$N$203,0),0)=0,"",INDEX('كشف الحساب'!$F$4:$F$203,IFERROR(MATCH(69,'كشف الحساب'!$N$4:$N$203,0),0))),"")</f>
        <v/>
      </c>
      <c r="G73" s="66" t="str">
        <f>IFERROR(IF(IFERROR(MATCH(69,'كشف الحساب'!$N$4:$N$203,0),0)=0,"",INDEX('كشف الحساب'!$G$4:$G$203,IFERROR(MATCH(69,'كشف الحساب'!$N$4:$N$203,0),0))),"")</f>
        <v/>
      </c>
      <c r="H73" s="66" t="str">
        <f>IFERROR(IF(IFERROR(MATCH(69,'كشف الحساب'!$N$4:$N$203,0),0)=0,"",INDEX('كشف الحساب'!$H$4:$H$203,IFERROR(MATCH(69,'كشف الحساب'!$N$4:$N$203,0),0))),"")</f>
        <v/>
      </c>
      <c r="I73" s="66" t="str">
        <f>IFERROR(IF(IFERROR(MATCH(69,'كشف الحساب'!$N$4:$N$203,0),0)=0,"",INDEX('كشف الحساب'!$I$4:$I$203,IFERROR(MATCH(69,'كشف الحساب'!$N$4:$N$203,0),0))),"")</f>
        <v/>
      </c>
      <c r="J73" s="70" t="str">
        <f>IFERROR(IF(IFERROR(MATCH(69,'كشف الحساب'!$N$4:$N$203,0),0)=0,"",INDEX('كشف الحساب'!$J$4:$J$203,IFERROR(MATCH(69,'كشف الحساب'!$N$4:$N$203,0),0))),"")</f>
        <v/>
      </c>
      <c r="K73" s="66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71" t="str">
        <f>IFERROR(IF(IFERROR(MATCH(70,'كشف الحساب'!$N$4:$N$203,0),0)=0,"",INDEX('كشف الحساب'!$A$4:$A$203,IFERROR(MATCH(70,'كشف الحساب'!$N$4:$N$203,0),0))),"")</f>
        <v/>
      </c>
      <c r="B74" s="72" t="str">
        <f>IFERROR(IF(IFERROR(MATCH(70,'كشف الحساب'!$N$4:$N$203,0),0)=0,"",INDEX('كشف الحساب'!$B$4:$B$203,IFERROR(MATCH(70,'كشف الحساب'!$N$4:$N$203,0),0))),"")</f>
        <v/>
      </c>
      <c r="C74" s="73" t="str">
        <f>IFERROR(IF(IFERROR(MATCH(70,'كشف الحساب'!$N$4:$N$203,0),0)=0,"",INDEX('كشف الحساب'!$C$4:$C$203,IFERROR(MATCH(70,'كشف الحساب'!$N$4:$N$203,0),0))),"")</f>
        <v/>
      </c>
      <c r="D74" s="74" t="str">
        <f>IFERROR(IF(IFERROR(MATCH(70,'كشف الحساب'!$N$4:$N$203,0),0)=0,"",INDEX('كشف الحساب'!$D$4:$D$203,IFERROR(MATCH(70,'كشف الحساب'!$N$4:$N$203,0),0))),"")</f>
        <v/>
      </c>
      <c r="E74" s="75" t="str">
        <f>IFERROR(IF(IFERROR(MATCH(70,'كشف الحساب'!$N$4:$N$203,0),0)=0,"",INDEX('كشف الحساب'!$E$4:$E$203,IFERROR(MATCH(70,'كشف الحساب'!$N$4:$N$203,0),0))),"")</f>
        <v/>
      </c>
      <c r="F74" s="72" t="str">
        <f>IFERROR(IF(IFERROR(MATCH(70,'كشف الحساب'!$N$4:$N$203,0),0)=0,"",INDEX('كشف الحساب'!$F$4:$F$203,IFERROR(MATCH(70,'كشف الحساب'!$N$4:$N$203,0),0))),"")</f>
        <v/>
      </c>
      <c r="G74" s="72" t="str">
        <f>IFERROR(IF(IFERROR(MATCH(70,'كشف الحساب'!$N$4:$N$203,0),0)=0,"",INDEX('كشف الحساب'!$G$4:$G$203,IFERROR(MATCH(70,'كشف الحساب'!$N$4:$N$203,0),0))),"")</f>
        <v/>
      </c>
      <c r="H74" s="72" t="str">
        <f>IFERROR(IF(IFERROR(MATCH(70,'كشف الحساب'!$N$4:$N$203,0),0)=0,"",INDEX('كشف الحساب'!$H$4:$H$203,IFERROR(MATCH(70,'كشف الحساب'!$N$4:$N$203,0),0))),"")</f>
        <v/>
      </c>
      <c r="I74" s="72" t="str">
        <f>IFERROR(IF(IFERROR(MATCH(70,'كشف الحساب'!$N$4:$N$203,0),0)=0,"",INDEX('كشف الحساب'!$I$4:$I$203,IFERROR(MATCH(70,'كشف الحساب'!$N$4:$N$203,0),0))),"")</f>
        <v/>
      </c>
      <c r="J74" s="76" t="str">
        <f>IFERROR(IF(IFERROR(MATCH(70,'كشف الحساب'!$N$4:$N$203,0),0)=0,"",INDEX('كشف الحساب'!$J$4:$J$203,IFERROR(MATCH(70,'كشف الحساب'!$N$4:$N$203,0),0))),"")</f>
        <v/>
      </c>
      <c r="K74" s="72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5" t="str">
        <f>IFERROR(IF(IFERROR(MATCH(71,'كشف الحساب'!$N$4:$N$203,0),0)=0,"",INDEX('كشف الحساب'!$A$4:$A$203,IFERROR(MATCH(71,'كشف الحساب'!$N$4:$N$203,0),0))),"")</f>
        <v/>
      </c>
      <c r="B75" s="66" t="str">
        <f>IFERROR(IF(IFERROR(MATCH(71,'كشف الحساب'!$N$4:$N$203,0),0)=0,"",INDEX('كشف الحساب'!$B$4:$B$203,IFERROR(MATCH(71,'كشف الحساب'!$N$4:$N$203,0),0))),"")</f>
        <v/>
      </c>
      <c r="C75" s="67" t="str">
        <f>IFERROR(IF(IFERROR(MATCH(71,'كشف الحساب'!$N$4:$N$203,0),0)=0,"",INDEX('كشف الحساب'!$C$4:$C$203,IFERROR(MATCH(71,'كشف الحساب'!$N$4:$N$203,0),0))),"")</f>
        <v/>
      </c>
      <c r="D75" s="68" t="str">
        <f>IFERROR(IF(IFERROR(MATCH(71,'كشف الحساب'!$N$4:$N$203,0),0)=0,"",INDEX('كشف الحساب'!$D$4:$D$203,IFERROR(MATCH(71,'كشف الحساب'!$N$4:$N$203,0),0))),"")</f>
        <v/>
      </c>
      <c r="E75" s="69" t="str">
        <f>IFERROR(IF(IFERROR(MATCH(71,'كشف الحساب'!$N$4:$N$203,0),0)=0,"",INDEX('كشف الحساب'!$E$4:$E$203,IFERROR(MATCH(71,'كشف الحساب'!$N$4:$N$203,0),0))),"")</f>
        <v/>
      </c>
      <c r="F75" s="66" t="str">
        <f>IFERROR(IF(IFERROR(MATCH(71,'كشف الحساب'!$N$4:$N$203,0),0)=0,"",INDEX('كشف الحساب'!$F$4:$F$203,IFERROR(MATCH(71,'كشف الحساب'!$N$4:$N$203,0),0))),"")</f>
        <v/>
      </c>
      <c r="G75" s="66" t="str">
        <f>IFERROR(IF(IFERROR(MATCH(71,'كشف الحساب'!$N$4:$N$203,0),0)=0,"",INDEX('كشف الحساب'!$G$4:$G$203,IFERROR(MATCH(71,'كشف الحساب'!$N$4:$N$203,0),0))),"")</f>
        <v/>
      </c>
      <c r="H75" s="66" t="str">
        <f>IFERROR(IF(IFERROR(MATCH(71,'كشف الحساب'!$N$4:$N$203,0),0)=0,"",INDEX('كشف الحساب'!$H$4:$H$203,IFERROR(MATCH(71,'كشف الحساب'!$N$4:$N$203,0),0))),"")</f>
        <v/>
      </c>
      <c r="I75" s="66" t="str">
        <f>IFERROR(IF(IFERROR(MATCH(71,'كشف الحساب'!$N$4:$N$203,0),0)=0,"",INDEX('كشف الحساب'!$I$4:$I$203,IFERROR(MATCH(71,'كشف الحساب'!$N$4:$N$203,0),0))),"")</f>
        <v/>
      </c>
      <c r="J75" s="70" t="str">
        <f>IFERROR(IF(IFERROR(MATCH(71,'كشف الحساب'!$N$4:$N$203,0),0)=0,"",INDEX('كشف الحساب'!$J$4:$J$203,IFERROR(MATCH(71,'كشف الحساب'!$N$4:$N$203,0),0))),"")</f>
        <v/>
      </c>
      <c r="K75" s="66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71" t="str">
        <f>IFERROR(IF(IFERROR(MATCH(72,'كشف الحساب'!$N$4:$N$203,0),0)=0,"",INDEX('كشف الحساب'!$A$4:$A$203,IFERROR(MATCH(72,'كشف الحساب'!$N$4:$N$203,0),0))),"")</f>
        <v/>
      </c>
      <c r="B76" s="72" t="str">
        <f>IFERROR(IF(IFERROR(MATCH(72,'كشف الحساب'!$N$4:$N$203,0),0)=0,"",INDEX('كشف الحساب'!$B$4:$B$203,IFERROR(MATCH(72,'كشف الحساب'!$N$4:$N$203,0),0))),"")</f>
        <v/>
      </c>
      <c r="C76" s="73" t="str">
        <f>IFERROR(IF(IFERROR(MATCH(72,'كشف الحساب'!$N$4:$N$203,0),0)=0,"",INDEX('كشف الحساب'!$C$4:$C$203,IFERROR(MATCH(72,'كشف الحساب'!$N$4:$N$203,0),0))),"")</f>
        <v/>
      </c>
      <c r="D76" s="74" t="str">
        <f>IFERROR(IF(IFERROR(MATCH(72,'كشف الحساب'!$N$4:$N$203,0),0)=0,"",INDEX('كشف الحساب'!$D$4:$D$203,IFERROR(MATCH(72,'كشف الحساب'!$N$4:$N$203,0),0))),"")</f>
        <v/>
      </c>
      <c r="E76" s="75" t="str">
        <f>IFERROR(IF(IFERROR(MATCH(72,'كشف الحساب'!$N$4:$N$203,0),0)=0,"",INDEX('كشف الحساب'!$E$4:$E$203,IFERROR(MATCH(72,'كشف الحساب'!$N$4:$N$203,0),0))),"")</f>
        <v/>
      </c>
      <c r="F76" s="72" t="str">
        <f>IFERROR(IF(IFERROR(MATCH(72,'كشف الحساب'!$N$4:$N$203,0),0)=0,"",INDEX('كشف الحساب'!$F$4:$F$203,IFERROR(MATCH(72,'كشف الحساب'!$N$4:$N$203,0),0))),"")</f>
        <v/>
      </c>
      <c r="G76" s="72" t="str">
        <f>IFERROR(IF(IFERROR(MATCH(72,'كشف الحساب'!$N$4:$N$203,0),0)=0,"",INDEX('كشف الحساب'!$G$4:$G$203,IFERROR(MATCH(72,'كشف الحساب'!$N$4:$N$203,0),0))),"")</f>
        <v/>
      </c>
      <c r="H76" s="72" t="str">
        <f>IFERROR(IF(IFERROR(MATCH(72,'كشف الحساب'!$N$4:$N$203,0),0)=0,"",INDEX('كشف الحساب'!$H$4:$H$203,IFERROR(MATCH(72,'كشف الحساب'!$N$4:$N$203,0),0))),"")</f>
        <v/>
      </c>
      <c r="I76" s="72" t="str">
        <f>IFERROR(IF(IFERROR(MATCH(72,'كشف الحساب'!$N$4:$N$203,0),0)=0,"",INDEX('كشف الحساب'!$I$4:$I$203,IFERROR(MATCH(72,'كشف الحساب'!$N$4:$N$203,0),0))),"")</f>
        <v/>
      </c>
      <c r="J76" s="76" t="str">
        <f>IFERROR(IF(IFERROR(MATCH(72,'كشف الحساب'!$N$4:$N$203,0),0)=0,"",INDEX('كشف الحساب'!$J$4:$J$203,IFERROR(MATCH(72,'كشف الحساب'!$N$4:$N$203,0),0))),"")</f>
        <v/>
      </c>
      <c r="K76" s="72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5" t="str">
        <f>IFERROR(IF(IFERROR(MATCH(73,'كشف الحساب'!$N$4:$N$203,0),0)=0,"",INDEX('كشف الحساب'!$A$4:$A$203,IFERROR(MATCH(73,'كشف الحساب'!$N$4:$N$203,0),0))),"")</f>
        <v/>
      </c>
      <c r="B77" s="66" t="str">
        <f>IFERROR(IF(IFERROR(MATCH(73,'كشف الحساب'!$N$4:$N$203,0),0)=0,"",INDEX('كشف الحساب'!$B$4:$B$203,IFERROR(MATCH(73,'كشف الحساب'!$N$4:$N$203,0),0))),"")</f>
        <v/>
      </c>
      <c r="C77" s="67" t="str">
        <f>IFERROR(IF(IFERROR(MATCH(73,'كشف الحساب'!$N$4:$N$203,0),0)=0,"",INDEX('كشف الحساب'!$C$4:$C$203,IFERROR(MATCH(73,'كشف الحساب'!$N$4:$N$203,0),0))),"")</f>
        <v/>
      </c>
      <c r="D77" s="68" t="str">
        <f>IFERROR(IF(IFERROR(MATCH(73,'كشف الحساب'!$N$4:$N$203,0),0)=0,"",INDEX('كشف الحساب'!$D$4:$D$203,IFERROR(MATCH(73,'كشف الحساب'!$N$4:$N$203,0),0))),"")</f>
        <v/>
      </c>
      <c r="E77" s="69" t="str">
        <f>IFERROR(IF(IFERROR(MATCH(73,'كشف الحساب'!$N$4:$N$203,0),0)=0,"",INDEX('كشف الحساب'!$E$4:$E$203,IFERROR(MATCH(73,'كشف الحساب'!$N$4:$N$203,0),0))),"")</f>
        <v/>
      </c>
      <c r="F77" s="66" t="str">
        <f>IFERROR(IF(IFERROR(MATCH(73,'كشف الحساب'!$N$4:$N$203,0),0)=0,"",INDEX('كشف الحساب'!$F$4:$F$203,IFERROR(MATCH(73,'كشف الحساب'!$N$4:$N$203,0),0))),"")</f>
        <v/>
      </c>
      <c r="G77" s="66" t="str">
        <f>IFERROR(IF(IFERROR(MATCH(73,'كشف الحساب'!$N$4:$N$203,0),0)=0,"",INDEX('كشف الحساب'!$G$4:$G$203,IFERROR(MATCH(73,'كشف الحساب'!$N$4:$N$203,0),0))),"")</f>
        <v/>
      </c>
      <c r="H77" s="66" t="str">
        <f>IFERROR(IF(IFERROR(MATCH(73,'كشف الحساب'!$N$4:$N$203,0),0)=0,"",INDEX('كشف الحساب'!$H$4:$H$203,IFERROR(MATCH(73,'كشف الحساب'!$N$4:$N$203,0),0))),"")</f>
        <v/>
      </c>
      <c r="I77" s="66" t="str">
        <f>IFERROR(IF(IFERROR(MATCH(73,'كشف الحساب'!$N$4:$N$203,0),0)=0,"",INDEX('كشف الحساب'!$I$4:$I$203,IFERROR(MATCH(73,'كشف الحساب'!$N$4:$N$203,0),0))),"")</f>
        <v/>
      </c>
      <c r="J77" s="70" t="str">
        <f>IFERROR(IF(IFERROR(MATCH(73,'كشف الحساب'!$N$4:$N$203,0),0)=0,"",INDEX('كشف الحساب'!$J$4:$J$203,IFERROR(MATCH(73,'كشف الحساب'!$N$4:$N$203,0),0))),"")</f>
        <v/>
      </c>
      <c r="K77" s="66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71" t="str">
        <f>IFERROR(IF(IFERROR(MATCH(74,'كشف الحساب'!$N$4:$N$203,0),0)=0,"",INDEX('كشف الحساب'!$A$4:$A$203,IFERROR(MATCH(74,'كشف الحساب'!$N$4:$N$203,0),0))),"")</f>
        <v/>
      </c>
      <c r="B78" s="72" t="str">
        <f>IFERROR(IF(IFERROR(MATCH(74,'كشف الحساب'!$N$4:$N$203,0),0)=0,"",INDEX('كشف الحساب'!$B$4:$B$203,IFERROR(MATCH(74,'كشف الحساب'!$N$4:$N$203,0),0))),"")</f>
        <v/>
      </c>
      <c r="C78" s="73" t="str">
        <f>IFERROR(IF(IFERROR(MATCH(74,'كشف الحساب'!$N$4:$N$203,0),0)=0,"",INDEX('كشف الحساب'!$C$4:$C$203,IFERROR(MATCH(74,'كشف الحساب'!$N$4:$N$203,0),0))),"")</f>
        <v/>
      </c>
      <c r="D78" s="74" t="str">
        <f>IFERROR(IF(IFERROR(MATCH(74,'كشف الحساب'!$N$4:$N$203,0),0)=0,"",INDEX('كشف الحساب'!$D$4:$D$203,IFERROR(MATCH(74,'كشف الحساب'!$N$4:$N$203,0),0))),"")</f>
        <v/>
      </c>
      <c r="E78" s="75" t="str">
        <f>IFERROR(IF(IFERROR(MATCH(74,'كشف الحساب'!$N$4:$N$203,0),0)=0,"",INDEX('كشف الحساب'!$E$4:$E$203,IFERROR(MATCH(74,'كشف الحساب'!$N$4:$N$203,0),0))),"")</f>
        <v/>
      </c>
      <c r="F78" s="72" t="str">
        <f>IFERROR(IF(IFERROR(MATCH(74,'كشف الحساب'!$N$4:$N$203,0),0)=0,"",INDEX('كشف الحساب'!$F$4:$F$203,IFERROR(MATCH(74,'كشف الحساب'!$N$4:$N$203,0),0))),"")</f>
        <v/>
      </c>
      <c r="G78" s="72" t="str">
        <f>IFERROR(IF(IFERROR(MATCH(74,'كشف الحساب'!$N$4:$N$203,0),0)=0,"",INDEX('كشف الحساب'!$G$4:$G$203,IFERROR(MATCH(74,'كشف الحساب'!$N$4:$N$203,0),0))),"")</f>
        <v/>
      </c>
      <c r="H78" s="72" t="str">
        <f>IFERROR(IF(IFERROR(MATCH(74,'كشف الحساب'!$N$4:$N$203,0),0)=0,"",INDEX('كشف الحساب'!$H$4:$H$203,IFERROR(MATCH(74,'كشف الحساب'!$N$4:$N$203,0),0))),"")</f>
        <v/>
      </c>
      <c r="I78" s="72" t="str">
        <f>IFERROR(IF(IFERROR(MATCH(74,'كشف الحساب'!$N$4:$N$203,0),0)=0,"",INDEX('كشف الحساب'!$I$4:$I$203,IFERROR(MATCH(74,'كشف الحساب'!$N$4:$N$203,0),0))),"")</f>
        <v/>
      </c>
      <c r="J78" s="76" t="str">
        <f>IFERROR(IF(IFERROR(MATCH(74,'كشف الحساب'!$N$4:$N$203,0),0)=0,"",INDEX('كشف الحساب'!$J$4:$J$203,IFERROR(MATCH(74,'كشف الحساب'!$N$4:$N$203,0),0))),"")</f>
        <v/>
      </c>
      <c r="K78" s="72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5" t="str">
        <f>IFERROR(IF(IFERROR(MATCH(75,'كشف الحساب'!$N$4:$N$203,0),0)=0,"",INDEX('كشف الحساب'!$A$4:$A$203,IFERROR(MATCH(75,'كشف الحساب'!$N$4:$N$203,0),0))),"")</f>
        <v/>
      </c>
      <c r="B79" s="66" t="str">
        <f>IFERROR(IF(IFERROR(MATCH(75,'كشف الحساب'!$N$4:$N$203,0),0)=0,"",INDEX('كشف الحساب'!$B$4:$B$203,IFERROR(MATCH(75,'كشف الحساب'!$N$4:$N$203,0),0))),"")</f>
        <v/>
      </c>
      <c r="C79" s="67" t="str">
        <f>IFERROR(IF(IFERROR(MATCH(75,'كشف الحساب'!$N$4:$N$203,0),0)=0,"",INDEX('كشف الحساب'!$C$4:$C$203,IFERROR(MATCH(75,'كشف الحساب'!$N$4:$N$203,0),0))),"")</f>
        <v/>
      </c>
      <c r="D79" s="68" t="str">
        <f>IFERROR(IF(IFERROR(MATCH(75,'كشف الحساب'!$N$4:$N$203,0),0)=0,"",INDEX('كشف الحساب'!$D$4:$D$203,IFERROR(MATCH(75,'كشف الحساب'!$N$4:$N$203,0),0))),"")</f>
        <v/>
      </c>
      <c r="E79" s="69" t="str">
        <f>IFERROR(IF(IFERROR(MATCH(75,'كشف الحساب'!$N$4:$N$203,0),0)=0,"",INDEX('كشف الحساب'!$E$4:$E$203,IFERROR(MATCH(75,'كشف الحساب'!$N$4:$N$203,0),0))),"")</f>
        <v/>
      </c>
      <c r="F79" s="66" t="str">
        <f>IFERROR(IF(IFERROR(MATCH(75,'كشف الحساب'!$N$4:$N$203,0),0)=0,"",INDEX('كشف الحساب'!$F$4:$F$203,IFERROR(MATCH(75,'كشف الحساب'!$N$4:$N$203,0),0))),"")</f>
        <v/>
      </c>
      <c r="G79" s="66" t="str">
        <f>IFERROR(IF(IFERROR(MATCH(75,'كشف الحساب'!$N$4:$N$203,0),0)=0,"",INDEX('كشف الحساب'!$G$4:$G$203,IFERROR(MATCH(75,'كشف الحساب'!$N$4:$N$203,0),0))),"")</f>
        <v/>
      </c>
      <c r="H79" s="66" t="str">
        <f>IFERROR(IF(IFERROR(MATCH(75,'كشف الحساب'!$N$4:$N$203,0),0)=0,"",INDEX('كشف الحساب'!$H$4:$H$203,IFERROR(MATCH(75,'كشف الحساب'!$N$4:$N$203,0),0))),"")</f>
        <v/>
      </c>
      <c r="I79" s="66" t="str">
        <f>IFERROR(IF(IFERROR(MATCH(75,'كشف الحساب'!$N$4:$N$203,0),0)=0,"",INDEX('كشف الحساب'!$I$4:$I$203,IFERROR(MATCH(75,'كشف الحساب'!$N$4:$N$203,0),0))),"")</f>
        <v/>
      </c>
      <c r="J79" s="70" t="str">
        <f>IFERROR(IF(IFERROR(MATCH(75,'كشف الحساب'!$N$4:$N$203,0),0)=0,"",INDEX('كشف الحساب'!$J$4:$J$203,IFERROR(MATCH(75,'كشف الحساب'!$N$4:$N$203,0),0))),"")</f>
        <v/>
      </c>
      <c r="K79" s="66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71" t="str">
        <f>IFERROR(IF(IFERROR(MATCH(76,'كشف الحساب'!$N$4:$N$203,0),0)=0,"",INDEX('كشف الحساب'!$A$4:$A$203,IFERROR(MATCH(76,'كشف الحساب'!$N$4:$N$203,0),0))),"")</f>
        <v/>
      </c>
      <c r="B80" s="72" t="str">
        <f>IFERROR(IF(IFERROR(MATCH(76,'كشف الحساب'!$N$4:$N$203,0),0)=0,"",INDEX('كشف الحساب'!$B$4:$B$203,IFERROR(MATCH(76,'كشف الحساب'!$N$4:$N$203,0),0))),"")</f>
        <v/>
      </c>
      <c r="C80" s="73" t="str">
        <f>IFERROR(IF(IFERROR(MATCH(76,'كشف الحساب'!$N$4:$N$203,0),0)=0,"",INDEX('كشف الحساب'!$C$4:$C$203,IFERROR(MATCH(76,'كشف الحساب'!$N$4:$N$203,0),0))),"")</f>
        <v/>
      </c>
      <c r="D80" s="74" t="str">
        <f>IFERROR(IF(IFERROR(MATCH(76,'كشف الحساب'!$N$4:$N$203,0),0)=0,"",INDEX('كشف الحساب'!$D$4:$D$203,IFERROR(MATCH(76,'كشف الحساب'!$N$4:$N$203,0),0))),"")</f>
        <v/>
      </c>
      <c r="E80" s="75" t="str">
        <f>IFERROR(IF(IFERROR(MATCH(76,'كشف الحساب'!$N$4:$N$203,0),0)=0,"",INDEX('كشف الحساب'!$E$4:$E$203,IFERROR(MATCH(76,'كشف الحساب'!$N$4:$N$203,0),0))),"")</f>
        <v/>
      </c>
      <c r="F80" s="72" t="str">
        <f>IFERROR(IF(IFERROR(MATCH(76,'كشف الحساب'!$N$4:$N$203,0),0)=0,"",INDEX('كشف الحساب'!$F$4:$F$203,IFERROR(MATCH(76,'كشف الحساب'!$N$4:$N$203,0),0))),"")</f>
        <v/>
      </c>
      <c r="G80" s="72" t="str">
        <f>IFERROR(IF(IFERROR(MATCH(76,'كشف الحساب'!$N$4:$N$203,0),0)=0,"",INDEX('كشف الحساب'!$G$4:$G$203,IFERROR(MATCH(76,'كشف الحساب'!$N$4:$N$203,0),0))),"")</f>
        <v/>
      </c>
      <c r="H80" s="72" t="str">
        <f>IFERROR(IF(IFERROR(MATCH(76,'كشف الحساب'!$N$4:$N$203,0),0)=0,"",INDEX('كشف الحساب'!$H$4:$H$203,IFERROR(MATCH(76,'كشف الحساب'!$N$4:$N$203,0),0))),"")</f>
        <v/>
      </c>
      <c r="I80" s="72" t="str">
        <f>IFERROR(IF(IFERROR(MATCH(76,'كشف الحساب'!$N$4:$N$203,0),0)=0,"",INDEX('كشف الحساب'!$I$4:$I$203,IFERROR(MATCH(76,'كشف الحساب'!$N$4:$N$203,0),0))),"")</f>
        <v/>
      </c>
      <c r="J80" s="76" t="str">
        <f>IFERROR(IF(IFERROR(MATCH(76,'كشف الحساب'!$N$4:$N$203,0),0)=0,"",INDEX('كشف الحساب'!$J$4:$J$203,IFERROR(MATCH(76,'كشف الحساب'!$N$4:$N$203,0),0))),"")</f>
        <v/>
      </c>
      <c r="K80" s="72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5" t="str">
        <f>IFERROR(IF(IFERROR(MATCH(77,'كشف الحساب'!$N$4:$N$203,0),0)=0,"",INDEX('كشف الحساب'!$A$4:$A$203,IFERROR(MATCH(77,'كشف الحساب'!$N$4:$N$203,0),0))),"")</f>
        <v/>
      </c>
      <c r="B81" s="66" t="str">
        <f>IFERROR(IF(IFERROR(MATCH(77,'كشف الحساب'!$N$4:$N$203,0),0)=0,"",INDEX('كشف الحساب'!$B$4:$B$203,IFERROR(MATCH(77,'كشف الحساب'!$N$4:$N$203,0),0))),"")</f>
        <v/>
      </c>
      <c r="C81" s="67" t="str">
        <f>IFERROR(IF(IFERROR(MATCH(77,'كشف الحساب'!$N$4:$N$203,0),0)=0,"",INDEX('كشف الحساب'!$C$4:$C$203,IFERROR(MATCH(77,'كشف الحساب'!$N$4:$N$203,0),0))),"")</f>
        <v/>
      </c>
      <c r="D81" s="68" t="str">
        <f>IFERROR(IF(IFERROR(MATCH(77,'كشف الحساب'!$N$4:$N$203,0),0)=0,"",INDEX('كشف الحساب'!$D$4:$D$203,IFERROR(MATCH(77,'كشف الحساب'!$N$4:$N$203,0),0))),"")</f>
        <v/>
      </c>
      <c r="E81" s="69" t="str">
        <f>IFERROR(IF(IFERROR(MATCH(77,'كشف الحساب'!$N$4:$N$203,0),0)=0,"",INDEX('كشف الحساب'!$E$4:$E$203,IFERROR(MATCH(77,'كشف الحساب'!$N$4:$N$203,0),0))),"")</f>
        <v/>
      </c>
      <c r="F81" s="66" t="str">
        <f>IFERROR(IF(IFERROR(MATCH(77,'كشف الحساب'!$N$4:$N$203,0),0)=0,"",INDEX('كشف الحساب'!$F$4:$F$203,IFERROR(MATCH(77,'كشف الحساب'!$N$4:$N$203,0),0))),"")</f>
        <v/>
      </c>
      <c r="G81" s="66" t="str">
        <f>IFERROR(IF(IFERROR(MATCH(77,'كشف الحساب'!$N$4:$N$203,0),0)=0,"",INDEX('كشف الحساب'!$G$4:$G$203,IFERROR(MATCH(77,'كشف الحساب'!$N$4:$N$203,0),0))),"")</f>
        <v/>
      </c>
      <c r="H81" s="66" t="str">
        <f>IFERROR(IF(IFERROR(MATCH(77,'كشف الحساب'!$N$4:$N$203,0),0)=0,"",INDEX('كشف الحساب'!$H$4:$H$203,IFERROR(MATCH(77,'كشف الحساب'!$N$4:$N$203,0),0))),"")</f>
        <v/>
      </c>
      <c r="I81" s="66" t="str">
        <f>IFERROR(IF(IFERROR(MATCH(77,'كشف الحساب'!$N$4:$N$203,0),0)=0,"",INDEX('كشف الحساب'!$I$4:$I$203,IFERROR(MATCH(77,'كشف الحساب'!$N$4:$N$203,0),0))),"")</f>
        <v/>
      </c>
      <c r="J81" s="70" t="str">
        <f>IFERROR(IF(IFERROR(MATCH(77,'كشف الحساب'!$N$4:$N$203,0),0)=0,"",INDEX('كشف الحساب'!$J$4:$J$203,IFERROR(MATCH(77,'كشف الحساب'!$N$4:$N$203,0),0))),"")</f>
        <v/>
      </c>
      <c r="K81" s="66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71" t="str">
        <f>IFERROR(IF(IFERROR(MATCH(78,'كشف الحساب'!$N$4:$N$203,0),0)=0,"",INDEX('كشف الحساب'!$A$4:$A$203,IFERROR(MATCH(78,'كشف الحساب'!$N$4:$N$203,0),0))),"")</f>
        <v/>
      </c>
      <c r="B82" s="72" t="str">
        <f>IFERROR(IF(IFERROR(MATCH(78,'كشف الحساب'!$N$4:$N$203,0),0)=0,"",INDEX('كشف الحساب'!$B$4:$B$203,IFERROR(MATCH(78,'كشف الحساب'!$N$4:$N$203,0),0))),"")</f>
        <v/>
      </c>
      <c r="C82" s="73" t="str">
        <f>IFERROR(IF(IFERROR(MATCH(78,'كشف الحساب'!$N$4:$N$203,0),0)=0,"",INDEX('كشف الحساب'!$C$4:$C$203,IFERROR(MATCH(78,'كشف الحساب'!$N$4:$N$203,0),0))),"")</f>
        <v/>
      </c>
      <c r="D82" s="74" t="str">
        <f>IFERROR(IF(IFERROR(MATCH(78,'كشف الحساب'!$N$4:$N$203,0),0)=0,"",INDEX('كشف الحساب'!$D$4:$D$203,IFERROR(MATCH(78,'كشف الحساب'!$N$4:$N$203,0),0))),"")</f>
        <v/>
      </c>
      <c r="E82" s="75" t="str">
        <f>IFERROR(IF(IFERROR(MATCH(78,'كشف الحساب'!$N$4:$N$203,0),0)=0,"",INDEX('كشف الحساب'!$E$4:$E$203,IFERROR(MATCH(78,'كشف الحساب'!$N$4:$N$203,0),0))),"")</f>
        <v/>
      </c>
      <c r="F82" s="72" t="str">
        <f>IFERROR(IF(IFERROR(MATCH(78,'كشف الحساب'!$N$4:$N$203,0),0)=0,"",INDEX('كشف الحساب'!$F$4:$F$203,IFERROR(MATCH(78,'كشف الحساب'!$N$4:$N$203,0),0))),"")</f>
        <v/>
      </c>
      <c r="G82" s="72" t="str">
        <f>IFERROR(IF(IFERROR(MATCH(78,'كشف الحساب'!$N$4:$N$203,0),0)=0,"",INDEX('كشف الحساب'!$G$4:$G$203,IFERROR(MATCH(78,'كشف الحساب'!$N$4:$N$203,0),0))),"")</f>
        <v/>
      </c>
      <c r="H82" s="72" t="str">
        <f>IFERROR(IF(IFERROR(MATCH(78,'كشف الحساب'!$N$4:$N$203,0),0)=0,"",INDEX('كشف الحساب'!$H$4:$H$203,IFERROR(MATCH(78,'كشف الحساب'!$N$4:$N$203,0),0))),"")</f>
        <v/>
      </c>
      <c r="I82" s="72" t="str">
        <f>IFERROR(IF(IFERROR(MATCH(78,'كشف الحساب'!$N$4:$N$203,0),0)=0,"",INDEX('كشف الحساب'!$I$4:$I$203,IFERROR(MATCH(78,'كشف الحساب'!$N$4:$N$203,0),0))),"")</f>
        <v/>
      </c>
      <c r="J82" s="76" t="str">
        <f>IFERROR(IF(IFERROR(MATCH(78,'كشف الحساب'!$N$4:$N$203,0),0)=0,"",INDEX('كشف الحساب'!$J$4:$J$203,IFERROR(MATCH(78,'كشف الحساب'!$N$4:$N$203,0),0))),"")</f>
        <v/>
      </c>
      <c r="K82" s="72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5" t="str">
        <f>IFERROR(IF(IFERROR(MATCH(79,'كشف الحساب'!$N$4:$N$203,0),0)=0,"",INDEX('كشف الحساب'!$A$4:$A$203,IFERROR(MATCH(79,'كشف الحساب'!$N$4:$N$203,0),0))),"")</f>
        <v/>
      </c>
      <c r="B83" s="66" t="str">
        <f>IFERROR(IF(IFERROR(MATCH(79,'كشف الحساب'!$N$4:$N$203,0),0)=0,"",INDEX('كشف الحساب'!$B$4:$B$203,IFERROR(MATCH(79,'كشف الحساب'!$N$4:$N$203,0),0))),"")</f>
        <v/>
      </c>
      <c r="C83" s="67" t="str">
        <f>IFERROR(IF(IFERROR(MATCH(79,'كشف الحساب'!$N$4:$N$203,0),0)=0,"",INDEX('كشف الحساب'!$C$4:$C$203,IFERROR(MATCH(79,'كشف الحساب'!$N$4:$N$203,0),0))),"")</f>
        <v/>
      </c>
      <c r="D83" s="68" t="str">
        <f>IFERROR(IF(IFERROR(MATCH(79,'كشف الحساب'!$N$4:$N$203,0),0)=0,"",INDEX('كشف الحساب'!$D$4:$D$203,IFERROR(MATCH(79,'كشف الحساب'!$N$4:$N$203,0),0))),"")</f>
        <v/>
      </c>
      <c r="E83" s="69" t="str">
        <f>IFERROR(IF(IFERROR(MATCH(79,'كشف الحساب'!$N$4:$N$203,0),0)=0,"",INDEX('كشف الحساب'!$E$4:$E$203,IFERROR(MATCH(79,'كشف الحساب'!$N$4:$N$203,0),0))),"")</f>
        <v/>
      </c>
      <c r="F83" s="66" t="str">
        <f>IFERROR(IF(IFERROR(MATCH(79,'كشف الحساب'!$N$4:$N$203,0),0)=0,"",INDEX('كشف الحساب'!$F$4:$F$203,IFERROR(MATCH(79,'كشف الحساب'!$N$4:$N$203,0),0))),"")</f>
        <v/>
      </c>
      <c r="G83" s="66" t="str">
        <f>IFERROR(IF(IFERROR(MATCH(79,'كشف الحساب'!$N$4:$N$203,0),0)=0,"",INDEX('كشف الحساب'!$G$4:$G$203,IFERROR(MATCH(79,'كشف الحساب'!$N$4:$N$203,0),0))),"")</f>
        <v/>
      </c>
      <c r="H83" s="66" t="str">
        <f>IFERROR(IF(IFERROR(MATCH(79,'كشف الحساب'!$N$4:$N$203,0),0)=0,"",INDEX('كشف الحساب'!$H$4:$H$203,IFERROR(MATCH(79,'كشف الحساب'!$N$4:$N$203,0),0))),"")</f>
        <v/>
      </c>
      <c r="I83" s="66" t="str">
        <f>IFERROR(IF(IFERROR(MATCH(79,'كشف الحساب'!$N$4:$N$203,0),0)=0,"",INDEX('كشف الحساب'!$I$4:$I$203,IFERROR(MATCH(79,'كشف الحساب'!$N$4:$N$203,0),0))),"")</f>
        <v/>
      </c>
      <c r="J83" s="70" t="str">
        <f>IFERROR(IF(IFERROR(MATCH(79,'كشف الحساب'!$N$4:$N$203,0),0)=0,"",INDEX('كشف الحساب'!$J$4:$J$203,IFERROR(MATCH(79,'كشف الحساب'!$N$4:$N$203,0),0))),"")</f>
        <v/>
      </c>
      <c r="K83" s="66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71" t="str">
        <f>IFERROR(IF(IFERROR(MATCH(80,'كشف الحساب'!$N$4:$N$203,0),0)=0,"",INDEX('كشف الحساب'!$A$4:$A$203,IFERROR(MATCH(80,'كشف الحساب'!$N$4:$N$203,0),0))),"")</f>
        <v/>
      </c>
      <c r="B84" s="72" t="str">
        <f>IFERROR(IF(IFERROR(MATCH(80,'كشف الحساب'!$N$4:$N$203,0),0)=0,"",INDEX('كشف الحساب'!$B$4:$B$203,IFERROR(MATCH(80,'كشف الحساب'!$N$4:$N$203,0),0))),"")</f>
        <v/>
      </c>
      <c r="C84" s="73" t="str">
        <f>IFERROR(IF(IFERROR(MATCH(80,'كشف الحساب'!$N$4:$N$203,0),0)=0,"",INDEX('كشف الحساب'!$C$4:$C$203,IFERROR(MATCH(80,'كشف الحساب'!$N$4:$N$203,0),0))),"")</f>
        <v/>
      </c>
      <c r="D84" s="74" t="str">
        <f>IFERROR(IF(IFERROR(MATCH(80,'كشف الحساب'!$N$4:$N$203,0),0)=0,"",INDEX('كشف الحساب'!$D$4:$D$203,IFERROR(MATCH(80,'كشف الحساب'!$N$4:$N$203,0),0))),"")</f>
        <v/>
      </c>
      <c r="E84" s="75" t="str">
        <f>IFERROR(IF(IFERROR(MATCH(80,'كشف الحساب'!$N$4:$N$203,0),0)=0,"",INDEX('كشف الحساب'!$E$4:$E$203,IFERROR(MATCH(80,'كشف الحساب'!$N$4:$N$203,0),0))),"")</f>
        <v/>
      </c>
      <c r="F84" s="72" t="str">
        <f>IFERROR(IF(IFERROR(MATCH(80,'كشف الحساب'!$N$4:$N$203,0),0)=0,"",INDEX('كشف الحساب'!$F$4:$F$203,IFERROR(MATCH(80,'كشف الحساب'!$N$4:$N$203,0),0))),"")</f>
        <v/>
      </c>
      <c r="G84" s="72" t="str">
        <f>IFERROR(IF(IFERROR(MATCH(80,'كشف الحساب'!$N$4:$N$203,0),0)=0,"",INDEX('كشف الحساب'!$G$4:$G$203,IFERROR(MATCH(80,'كشف الحساب'!$N$4:$N$203,0),0))),"")</f>
        <v/>
      </c>
      <c r="H84" s="72" t="str">
        <f>IFERROR(IF(IFERROR(MATCH(80,'كشف الحساب'!$N$4:$N$203,0),0)=0,"",INDEX('كشف الحساب'!$H$4:$H$203,IFERROR(MATCH(80,'كشف الحساب'!$N$4:$N$203,0),0))),"")</f>
        <v/>
      </c>
      <c r="I84" s="72" t="str">
        <f>IFERROR(IF(IFERROR(MATCH(80,'كشف الحساب'!$N$4:$N$203,0),0)=0,"",INDEX('كشف الحساب'!$I$4:$I$203,IFERROR(MATCH(80,'كشف الحساب'!$N$4:$N$203,0),0))),"")</f>
        <v/>
      </c>
      <c r="J84" s="76" t="str">
        <f>IFERROR(IF(IFERROR(MATCH(80,'كشف الحساب'!$N$4:$N$203,0),0)=0,"",INDEX('كشف الحساب'!$J$4:$J$203,IFERROR(MATCH(80,'كشف الحساب'!$N$4:$N$203,0),0))),"")</f>
        <v/>
      </c>
      <c r="K84" s="72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5" t="str">
        <f>IFERROR(IF(IFERROR(MATCH(81,'كشف الحساب'!$N$4:$N$203,0),0)=0,"",INDEX('كشف الحساب'!$A$4:$A$203,IFERROR(MATCH(81,'كشف الحساب'!$N$4:$N$203,0),0))),"")</f>
        <v/>
      </c>
      <c r="B85" s="66" t="str">
        <f>IFERROR(IF(IFERROR(MATCH(81,'كشف الحساب'!$N$4:$N$203,0),0)=0,"",INDEX('كشف الحساب'!$B$4:$B$203,IFERROR(MATCH(81,'كشف الحساب'!$N$4:$N$203,0),0))),"")</f>
        <v/>
      </c>
      <c r="C85" s="67" t="str">
        <f>IFERROR(IF(IFERROR(MATCH(81,'كشف الحساب'!$N$4:$N$203,0),0)=0,"",INDEX('كشف الحساب'!$C$4:$C$203,IFERROR(MATCH(81,'كشف الحساب'!$N$4:$N$203,0),0))),"")</f>
        <v/>
      </c>
      <c r="D85" s="68" t="str">
        <f>IFERROR(IF(IFERROR(MATCH(81,'كشف الحساب'!$N$4:$N$203,0),0)=0,"",INDEX('كشف الحساب'!$D$4:$D$203,IFERROR(MATCH(81,'كشف الحساب'!$N$4:$N$203,0),0))),"")</f>
        <v/>
      </c>
      <c r="E85" s="69" t="str">
        <f>IFERROR(IF(IFERROR(MATCH(81,'كشف الحساب'!$N$4:$N$203,0),0)=0,"",INDEX('كشف الحساب'!$E$4:$E$203,IFERROR(MATCH(81,'كشف الحساب'!$N$4:$N$203,0),0))),"")</f>
        <v/>
      </c>
      <c r="F85" s="66" t="str">
        <f>IFERROR(IF(IFERROR(MATCH(81,'كشف الحساب'!$N$4:$N$203,0),0)=0,"",INDEX('كشف الحساب'!$F$4:$F$203,IFERROR(MATCH(81,'كشف الحساب'!$N$4:$N$203,0),0))),"")</f>
        <v/>
      </c>
      <c r="G85" s="66" t="str">
        <f>IFERROR(IF(IFERROR(MATCH(81,'كشف الحساب'!$N$4:$N$203,0),0)=0,"",INDEX('كشف الحساب'!$G$4:$G$203,IFERROR(MATCH(81,'كشف الحساب'!$N$4:$N$203,0),0))),"")</f>
        <v/>
      </c>
      <c r="H85" s="66" t="str">
        <f>IFERROR(IF(IFERROR(MATCH(81,'كشف الحساب'!$N$4:$N$203,0),0)=0,"",INDEX('كشف الحساب'!$H$4:$H$203,IFERROR(MATCH(81,'كشف الحساب'!$N$4:$N$203,0),0))),"")</f>
        <v/>
      </c>
      <c r="I85" s="66" t="str">
        <f>IFERROR(IF(IFERROR(MATCH(81,'كشف الحساب'!$N$4:$N$203,0),0)=0,"",INDEX('كشف الحساب'!$I$4:$I$203,IFERROR(MATCH(81,'كشف الحساب'!$N$4:$N$203,0),0))),"")</f>
        <v/>
      </c>
      <c r="J85" s="70" t="str">
        <f>IFERROR(IF(IFERROR(MATCH(81,'كشف الحساب'!$N$4:$N$203,0),0)=0,"",INDEX('كشف الحساب'!$J$4:$J$203,IFERROR(MATCH(81,'كشف الحساب'!$N$4:$N$203,0),0))),"")</f>
        <v/>
      </c>
      <c r="K85" s="66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71" t="str">
        <f>IFERROR(IF(IFERROR(MATCH(82,'كشف الحساب'!$N$4:$N$203,0),0)=0,"",INDEX('كشف الحساب'!$A$4:$A$203,IFERROR(MATCH(82,'كشف الحساب'!$N$4:$N$203,0),0))),"")</f>
        <v/>
      </c>
      <c r="B86" s="72" t="str">
        <f>IFERROR(IF(IFERROR(MATCH(82,'كشف الحساب'!$N$4:$N$203,0),0)=0,"",INDEX('كشف الحساب'!$B$4:$B$203,IFERROR(MATCH(82,'كشف الحساب'!$N$4:$N$203,0),0))),"")</f>
        <v/>
      </c>
      <c r="C86" s="73" t="str">
        <f>IFERROR(IF(IFERROR(MATCH(82,'كشف الحساب'!$N$4:$N$203,0),0)=0,"",INDEX('كشف الحساب'!$C$4:$C$203,IFERROR(MATCH(82,'كشف الحساب'!$N$4:$N$203,0),0))),"")</f>
        <v/>
      </c>
      <c r="D86" s="74" t="str">
        <f>IFERROR(IF(IFERROR(MATCH(82,'كشف الحساب'!$N$4:$N$203,0),0)=0,"",INDEX('كشف الحساب'!$D$4:$D$203,IFERROR(MATCH(82,'كشف الحساب'!$N$4:$N$203,0),0))),"")</f>
        <v/>
      </c>
      <c r="E86" s="75" t="str">
        <f>IFERROR(IF(IFERROR(MATCH(82,'كشف الحساب'!$N$4:$N$203,0),0)=0,"",INDEX('كشف الحساب'!$E$4:$E$203,IFERROR(MATCH(82,'كشف الحساب'!$N$4:$N$203,0),0))),"")</f>
        <v/>
      </c>
      <c r="F86" s="72" t="str">
        <f>IFERROR(IF(IFERROR(MATCH(82,'كشف الحساب'!$N$4:$N$203,0),0)=0,"",INDEX('كشف الحساب'!$F$4:$F$203,IFERROR(MATCH(82,'كشف الحساب'!$N$4:$N$203,0),0))),"")</f>
        <v/>
      </c>
      <c r="G86" s="72" t="str">
        <f>IFERROR(IF(IFERROR(MATCH(82,'كشف الحساب'!$N$4:$N$203,0),0)=0,"",INDEX('كشف الحساب'!$G$4:$G$203,IFERROR(MATCH(82,'كشف الحساب'!$N$4:$N$203,0),0))),"")</f>
        <v/>
      </c>
      <c r="H86" s="72" t="str">
        <f>IFERROR(IF(IFERROR(MATCH(82,'كشف الحساب'!$N$4:$N$203,0),0)=0,"",INDEX('كشف الحساب'!$H$4:$H$203,IFERROR(MATCH(82,'كشف الحساب'!$N$4:$N$203,0),0))),"")</f>
        <v/>
      </c>
      <c r="I86" s="72" t="str">
        <f>IFERROR(IF(IFERROR(MATCH(82,'كشف الحساب'!$N$4:$N$203,0),0)=0,"",INDEX('كشف الحساب'!$I$4:$I$203,IFERROR(MATCH(82,'كشف الحساب'!$N$4:$N$203,0),0))),"")</f>
        <v/>
      </c>
      <c r="J86" s="76" t="str">
        <f>IFERROR(IF(IFERROR(MATCH(82,'كشف الحساب'!$N$4:$N$203,0),0)=0,"",INDEX('كشف الحساب'!$J$4:$J$203,IFERROR(MATCH(82,'كشف الحساب'!$N$4:$N$203,0),0))),"")</f>
        <v/>
      </c>
      <c r="K86" s="72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5" t="str">
        <f>IFERROR(IF(IFERROR(MATCH(83,'كشف الحساب'!$N$4:$N$203,0),0)=0,"",INDEX('كشف الحساب'!$A$4:$A$203,IFERROR(MATCH(83,'كشف الحساب'!$N$4:$N$203,0),0))),"")</f>
        <v/>
      </c>
      <c r="B87" s="66" t="str">
        <f>IFERROR(IF(IFERROR(MATCH(83,'كشف الحساب'!$N$4:$N$203,0),0)=0,"",INDEX('كشف الحساب'!$B$4:$B$203,IFERROR(MATCH(83,'كشف الحساب'!$N$4:$N$203,0),0))),"")</f>
        <v/>
      </c>
      <c r="C87" s="67" t="str">
        <f>IFERROR(IF(IFERROR(MATCH(83,'كشف الحساب'!$N$4:$N$203,0),0)=0,"",INDEX('كشف الحساب'!$C$4:$C$203,IFERROR(MATCH(83,'كشف الحساب'!$N$4:$N$203,0),0))),"")</f>
        <v/>
      </c>
      <c r="D87" s="68" t="str">
        <f>IFERROR(IF(IFERROR(MATCH(83,'كشف الحساب'!$N$4:$N$203,0),0)=0,"",INDEX('كشف الحساب'!$D$4:$D$203,IFERROR(MATCH(83,'كشف الحساب'!$N$4:$N$203,0),0))),"")</f>
        <v/>
      </c>
      <c r="E87" s="69" t="str">
        <f>IFERROR(IF(IFERROR(MATCH(83,'كشف الحساب'!$N$4:$N$203,0),0)=0,"",INDEX('كشف الحساب'!$E$4:$E$203,IFERROR(MATCH(83,'كشف الحساب'!$N$4:$N$203,0),0))),"")</f>
        <v/>
      </c>
      <c r="F87" s="66" t="str">
        <f>IFERROR(IF(IFERROR(MATCH(83,'كشف الحساب'!$N$4:$N$203,0),0)=0,"",INDEX('كشف الحساب'!$F$4:$F$203,IFERROR(MATCH(83,'كشف الحساب'!$N$4:$N$203,0),0))),"")</f>
        <v/>
      </c>
      <c r="G87" s="66" t="str">
        <f>IFERROR(IF(IFERROR(MATCH(83,'كشف الحساب'!$N$4:$N$203,0),0)=0,"",INDEX('كشف الحساب'!$G$4:$G$203,IFERROR(MATCH(83,'كشف الحساب'!$N$4:$N$203,0),0))),"")</f>
        <v/>
      </c>
      <c r="H87" s="66" t="str">
        <f>IFERROR(IF(IFERROR(MATCH(83,'كشف الحساب'!$N$4:$N$203,0),0)=0,"",INDEX('كشف الحساب'!$H$4:$H$203,IFERROR(MATCH(83,'كشف الحساب'!$N$4:$N$203,0),0))),"")</f>
        <v/>
      </c>
      <c r="I87" s="66" t="str">
        <f>IFERROR(IF(IFERROR(MATCH(83,'كشف الحساب'!$N$4:$N$203,0),0)=0,"",INDEX('كشف الحساب'!$I$4:$I$203,IFERROR(MATCH(83,'كشف الحساب'!$N$4:$N$203,0),0))),"")</f>
        <v/>
      </c>
      <c r="J87" s="70" t="str">
        <f>IFERROR(IF(IFERROR(MATCH(83,'كشف الحساب'!$N$4:$N$203,0),0)=0,"",INDEX('كشف الحساب'!$J$4:$J$203,IFERROR(MATCH(83,'كشف الحساب'!$N$4:$N$203,0),0))),"")</f>
        <v/>
      </c>
      <c r="K87" s="66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71" t="str">
        <f>IFERROR(IF(IFERROR(MATCH(84,'كشف الحساب'!$N$4:$N$203,0),0)=0,"",INDEX('كشف الحساب'!$A$4:$A$203,IFERROR(MATCH(84,'كشف الحساب'!$N$4:$N$203,0),0))),"")</f>
        <v/>
      </c>
      <c r="B88" s="72" t="str">
        <f>IFERROR(IF(IFERROR(MATCH(84,'كشف الحساب'!$N$4:$N$203,0),0)=0,"",INDEX('كشف الحساب'!$B$4:$B$203,IFERROR(MATCH(84,'كشف الحساب'!$N$4:$N$203,0),0))),"")</f>
        <v/>
      </c>
      <c r="C88" s="73" t="str">
        <f>IFERROR(IF(IFERROR(MATCH(84,'كشف الحساب'!$N$4:$N$203,0),0)=0,"",INDEX('كشف الحساب'!$C$4:$C$203,IFERROR(MATCH(84,'كشف الحساب'!$N$4:$N$203,0),0))),"")</f>
        <v/>
      </c>
      <c r="D88" s="74" t="str">
        <f>IFERROR(IF(IFERROR(MATCH(84,'كشف الحساب'!$N$4:$N$203,0),0)=0,"",INDEX('كشف الحساب'!$D$4:$D$203,IFERROR(MATCH(84,'كشف الحساب'!$N$4:$N$203,0),0))),"")</f>
        <v/>
      </c>
      <c r="E88" s="75" t="str">
        <f>IFERROR(IF(IFERROR(MATCH(84,'كشف الحساب'!$N$4:$N$203,0),0)=0,"",INDEX('كشف الحساب'!$E$4:$E$203,IFERROR(MATCH(84,'كشف الحساب'!$N$4:$N$203,0),0))),"")</f>
        <v/>
      </c>
      <c r="F88" s="72" t="str">
        <f>IFERROR(IF(IFERROR(MATCH(84,'كشف الحساب'!$N$4:$N$203,0),0)=0,"",INDEX('كشف الحساب'!$F$4:$F$203,IFERROR(MATCH(84,'كشف الحساب'!$N$4:$N$203,0),0))),"")</f>
        <v/>
      </c>
      <c r="G88" s="72" t="str">
        <f>IFERROR(IF(IFERROR(MATCH(84,'كشف الحساب'!$N$4:$N$203,0),0)=0,"",INDEX('كشف الحساب'!$G$4:$G$203,IFERROR(MATCH(84,'كشف الحساب'!$N$4:$N$203,0),0))),"")</f>
        <v/>
      </c>
      <c r="H88" s="72" t="str">
        <f>IFERROR(IF(IFERROR(MATCH(84,'كشف الحساب'!$N$4:$N$203,0),0)=0,"",INDEX('كشف الحساب'!$H$4:$H$203,IFERROR(MATCH(84,'كشف الحساب'!$N$4:$N$203,0),0))),"")</f>
        <v/>
      </c>
      <c r="I88" s="72" t="str">
        <f>IFERROR(IF(IFERROR(MATCH(84,'كشف الحساب'!$N$4:$N$203,0),0)=0,"",INDEX('كشف الحساب'!$I$4:$I$203,IFERROR(MATCH(84,'كشف الحساب'!$N$4:$N$203,0),0))),"")</f>
        <v/>
      </c>
      <c r="J88" s="76" t="str">
        <f>IFERROR(IF(IFERROR(MATCH(84,'كشف الحساب'!$N$4:$N$203,0),0)=0,"",INDEX('كشف الحساب'!$J$4:$J$203,IFERROR(MATCH(84,'كشف الحساب'!$N$4:$N$203,0),0))),"")</f>
        <v/>
      </c>
      <c r="K88" s="72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5" t="str">
        <f>IFERROR(IF(IFERROR(MATCH(85,'كشف الحساب'!$N$4:$N$203,0),0)=0,"",INDEX('كشف الحساب'!$A$4:$A$203,IFERROR(MATCH(85,'كشف الحساب'!$N$4:$N$203,0),0))),"")</f>
        <v/>
      </c>
      <c r="B89" s="66" t="str">
        <f>IFERROR(IF(IFERROR(MATCH(85,'كشف الحساب'!$N$4:$N$203,0),0)=0,"",INDEX('كشف الحساب'!$B$4:$B$203,IFERROR(MATCH(85,'كشف الحساب'!$N$4:$N$203,0),0))),"")</f>
        <v/>
      </c>
      <c r="C89" s="67" t="str">
        <f>IFERROR(IF(IFERROR(MATCH(85,'كشف الحساب'!$N$4:$N$203,0),0)=0,"",INDEX('كشف الحساب'!$C$4:$C$203,IFERROR(MATCH(85,'كشف الحساب'!$N$4:$N$203,0),0))),"")</f>
        <v/>
      </c>
      <c r="D89" s="68" t="str">
        <f>IFERROR(IF(IFERROR(MATCH(85,'كشف الحساب'!$N$4:$N$203,0),0)=0,"",INDEX('كشف الحساب'!$D$4:$D$203,IFERROR(MATCH(85,'كشف الحساب'!$N$4:$N$203,0),0))),"")</f>
        <v/>
      </c>
      <c r="E89" s="69" t="str">
        <f>IFERROR(IF(IFERROR(MATCH(85,'كشف الحساب'!$N$4:$N$203,0),0)=0,"",INDEX('كشف الحساب'!$E$4:$E$203,IFERROR(MATCH(85,'كشف الحساب'!$N$4:$N$203,0),0))),"")</f>
        <v/>
      </c>
      <c r="F89" s="66" t="str">
        <f>IFERROR(IF(IFERROR(MATCH(85,'كشف الحساب'!$N$4:$N$203,0),0)=0,"",INDEX('كشف الحساب'!$F$4:$F$203,IFERROR(MATCH(85,'كشف الحساب'!$N$4:$N$203,0),0))),"")</f>
        <v/>
      </c>
      <c r="G89" s="66" t="str">
        <f>IFERROR(IF(IFERROR(MATCH(85,'كشف الحساب'!$N$4:$N$203,0),0)=0,"",INDEX('كشف الحساب'!$G$4:$G$203,IFERROR(MATCH(85,'كشف الحساب'!$N$4:$N$203,0),0))),"")</f>
        <v/>
      </c>
      <c r="H89" s="66" t="str">
        <f>IFERROR(IF(IFERROR(MATCH(85,'كشف الحساب'!$N$4:$N$203,0),0)=0,"",INDEX('كشف الحساب'!$H$4:$H$203,IFERROR(MATCH(85,'كشف الحساب'!$N$4:$N$203,0),0))),"")</f>
        <v/>
      </c>
      <c r="I89" s="66" t="str">
        <f>IFERROR(IF(IFERROR(MATCH(85,'كشف الحساب'!$N$4:$N$203,0),0)=0,"",INDEX('كشف الحساب'!$I$4:$I$203,IFERROR(MATCH(85,'كشف الحساب'!$N$4:$N$203,0),0))),"")</f>
        <v/>
      </c>
      <c r="J89" s="70" t="str">
        <f>IFERROR(IF(IFERROR(MATCH(85,'كشف الحساب'!$N$4:$N$203,0),0)=0,"",INDEX('كشف الحساب'!$J$4:$J$203,IFERROR(MATCH(85,'كشف الحساب'!$N$4:$N$203,0),0))),"")</f>
        <v/>
      </c>
      <c r="K89" s="66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71" t="str">
        <f>IFERROR(IF(IFERROR(MATCH(86,'كشف الحساب'!$N$4:$N$203,0),0)=0,"",INDEX('كشف الحساب'!$A$4:$A$203,IFERROR(MATCH(86,'كشف الحساب'!$N$4:$N$203,0),0))),"")</f>
        <v/>
      </c>
      <c r="B90" s="72" t="str">
        <f>IFERROR(IF(IFERROR(MATCH(86,'كشف الحساب'!$N$4:$N$203,0),0)=0,"",INDEX('كشف الحساب'!$B$4:$B$203,IFERROR(MATCH(86,'كشف الحساب'!$N$4:$N$203,0),0))),"")</f>
        <v/>
      </c>
      <c r="C90" s="73" t="str">
        <f>IFERROR(IF(IFERROR(MATCH(86,'كشف الحساب'!$N$4:$N$203,0),0)=0,"",INDEX('كشف الحساب'!$C$4:$C$203,IFERROR(MATCH(86,'كشف الحساب'!$N$4:$N$203,0),0))),"")</f>
        <v/>
      </c>
      <c r="D90" s="74" t="str">
        <f>IFERROR(IF(IFERROR(MATCH(86,'كشف الحساب'!$N$4:$N$203,0),0)=0,"",INDEX('كشف الحساب'!$D$4:$D$203,IFERROR(MATCH(86,'كشف الحساب'!$N$4:$N$203,0),0))),"")</f>
        <v/>
      </c>
      <c r="E90" s="75" t="str">
        <f>IFERROR(IF(IFERROR(MATCH(86,'كشف الحساب'!$N$4:$N$203,0),0)=0,"",INDEX('كشف الحساب'!$E$4:$E$203,IFERROR(MATCH(86,'كشف الحساب'!$N$4:$N$203,0),0))),"")</f>
        <v/>
      </c>
      <c r="F90" s="72" t="str">
        <f>IFERROR(IF(IFERROR(MATCH(86,'كشف الحساب'!$N$4:$N$203,0),0)=0,"",INDEX('كشف الحساب'!$F$4:$F$203,IFERROR(MATCH(86,'كشف الحساب'!$N$4:$N$203,0),0))),"")</f>
        <v/>
      </c>
      <c r="G90" s="72" t="str">
        <f>IFERROR(IF(IFERROR(MATCH(86,'كشف الحساب'!$N$4:$N$203,0),0)=0,"",INDEX('كشف الحساب'!$G$4:$G$203,IFERROR(MATCH(86,'كشف الحساب'!$N$4:$N$203,0),0))),"")</f>
        <v/>
      </c>
      <c r="H90" s="72" t="str">
        <f>IFERROR(IF(IFERROR(MATCH(86,'كشف الحساب'!$N$4:$N$203,0),0)=0,"",INDEX('كشف الحساب'!$H$4:$H$203,IFERROR(MATCH(86,'كشف الحساب'!$N$4:$N$203,0),0))),"")</f>
        <v/>
      </c>
      <c r="I90" s="72" t="str">
        <f>IFERROR(IF(IFERROR(MATCH(86,'كشف الحساب'!$N$4:$N$203,0),0)=0,"",INDEX('كشف الحساب'!$I$4:$I$203,IFERROR(MATCH(86,'كشف الحساب'!$N$4:$N$203,0),0))),"")</f>
        <v/>
      </c>
      <c r="J90" s="76" t="str">
        <f>IFERROR(IF(IFERROR(MATCH(86,'كشف الحساب'!$N$4:$N$203,0),0)=0,"",INDEX('كشف الحساب'!$J$4:$J$203,IFERROR(MATCH(86,'كشف الحساب'!$N$4:$N$203,0),0))),"")</f>
        <v/>
      </c>
      <c r="K90" s="72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5" t="str">
        <f>IFERROR(IF(IFERROR(MATCH(87,'كشف الحساب'!$N$4:$N$203,0),0)=0,"",INDEX('كشف الحساب'!$A$4:$A$203,IFERROR(MATCH(87,'كشف الحساب'!$N$4:$N$203,0),0))),"")</f>
        <v/>
      </c>
      <c r="B91" s="66" t="str">
        <f>IFERROR(IF(IFERROR(MATCH(87,'كشف الحساب'!$N$4:$N$203,0),0)=0,"",INDEX('كشف الحساب'!$B$4:$B$203,IFERROR(MATCH(87,'كشف الحساب'!$N$4:$N$203,0),0))),"")</f>
        <v/>
      </c>
      <c r="C91" s="67" t="str">
        <f>IFERROR(IF(IFERROR(MATCH(87,'كشف الحساب'!$N$4:$N$203,0),0)=0,"",INDEX('كشف الحساب'!$C$4:$C$203,IFERROR(MATCH(87,'كشف الحساب'!$N$4:$N$203,0),0))),"")</f>
        <v/>
      </c>
      <c r="D91" s="68" t="str">
        <f>IFERROR(IF(IFERROR(MATCH(87,'كشف الحساب'!$N$4:$N$203,0),0)=0,"",INDEX('كشف الحساب'!$D$4:$D$203,IFERROR(MATCH(87,'كشف الحساب'!$N$4:$N$203,0),0))),"")</f>
        <v/>
      </c>
      <c r="E91" s="69" t="str">
        <f>IFERROR(IF(IFERROR(MATCH(87,'كشف الحساب'!$N$4:$N$203,0),0)=0,"",INDEX('كشف الحساب'!$E$4:$E$203,IFERROR(MATCH(87,'كشف الحساب'!$N$4:$N$203,0),0))),"")</f>
        <v/>
      </c>
      <c r="F91" s="66" t="str">
        <f>IFERROR(IF(IFERROR(MATCH(87,'كشف الحساب'!$N$4:$N$203,0),0)=0,"",INDEX('كشف الحساب'!$F$4:$F$203,IFERROR(MATCH(87,'كشف الحساب'!$N$4:$N$203,0),0))),"")</f>
        <v/>
      </c>
      <c r="G91" s="66" t="str">
        <f>IFERROR(IF(IFERROR(MATCH(87,'كشف الحساب'!$N$4:$N$203,0),0)=0,"",INDEX('كشف الحساب'!$G$4:$G$203,IFERROR(MATCH(87,'كشف الحساب'!$N$4:$N$203,0),0))),"")</f>
        <v/>
      </c>
      <c r="H91" s="66" t="str">
        <f>IFERROR(IF(IFERROR(MATCH(87,'كشف الحساب'!$N$4:$N$203,0),0)=0,"",INDEX('كشف الحساب'!$H$4:$H$203,IFERROR(MATCH(87,'كشف الحساب'!$N$4:$N$203,0),0))),"")</f>
        <v/>
      </c>
      <c r="I91" s="66" t="str">
        <f>IFERROR(IF(IFERROR(MATCH(87,'كشف الحساب'!$N$4:$N$203,0),0)=0,"",INDEX('كشف الحساب'!$I$4:$I$203,IFERROR(MATCH(87,'كشف الحساب'!$N$4:$N$203,0),0))),"")</f>
        <v/>
      </c>
      <c r="J91" s="70" t="str">
        <f>IFERROR(IF(IFERROR(MATCH(87,'كشف الحساب'!$N$4:$N$203,0),0)=0,"",INDEX('كشف الحساب'!$J$4:$J$203,IFERROR(MATCH(87,'كشف الحساب'!$N$4:$N$203,0),0))),"")</f>
        <v/>
      </c>
      <c r="K91" s="66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71" t="str">
        <f>IFERROR(IF(IFERROR(MATCH(88,'كشف الحساب'!$N$4:$N$203,0),0)=0,"",INDEX('كشف الحساب'!$A$4:$A$203,IFERROR(MATCH(88,'كشف الحساب'!$N$4:$N$203,0),0))),"")</f>
        <v/>
      </c>
      <c r="B92" s="72" t="str">
        <f>IFERROR(IF(IFERROR(MATCH(88,'كشف الحساب'!$N$4:$N$203,0),0)=0,"",INDEX('كشف الحساب'!$B$4:$B$203,IFERROR(MATCH(88,'كشف الحساب'!$N$4:$N$203,0),0))),"")</f>
        <v/>
      </c>
      <c r="C92" s="73" t="str">
        <f>IFERROR(IF(IFERROR(MATCH(88,'كشف الحساب'!$N$4:$N$203,0),0)=0,"",INDEX('كشف الحساب'!$C$4:$C$203,IFERROR(MATCH(88,'كشف الحساب'!$N$4:$N$203,0),0))),"")</f>
        <v/>
      </c>
      <c r="D92" s="74" t="str">
        <f>IFERROR(IF(IFERROR(MATCH(88,'كشف الحساب'!$N$4:$N$203,0),0)=0,"",INDEX('كشف الحساب'!$D$4:$D$203,IFERROR(MATCH(88,'كشف الحساب'!$N$4:$N$203,0),0))),"")</f>
        <v/>
      </c>
      <c r="E92" s="75" t="str">
        <f>IFERROR(IF(IFERROR(MATCH(88,'كشف الحساب'!$N$4:$N$203,0),0)=0,"",INDEX('كشف الحساب'!$E$4:$E$203,IFERROR(MATCH(88,'كشف الحساب'!$N$4:$N$203,0),0))),"")</f>
        <v/>
      </c>
      <c r="F92" s="72" t="str">
        <f>IFERROR(IF(IFERROR(MATCH(88,'كشف الحساب'!$N$4:$N$203,0),0)=0,"",INDEX('كشف الحساب'!$F$4:$F$203,IFERROR(MATCH(88,'كشف الحساب'!$N$4:$N$203,0),0))),"")</f>
        <v/>
      </c>
      <c r="G92" s="72" t="str">
        <f>IFERROR(IF(IFERROR(MATCH(88,'كشف الحساب'!$N$4:$N$203,0),0)=0,"",INDEX('كشف الحساب'!$G$4:$G$203,IFERROR(MATCH(88,'كشف الحساب'!$N$4:$N$203,0),0))),"")</f>
        <v/>
      </c>
      <c r="H92" s="72" t="str">
        <f>IFERROR(IF(IFERROR(MATCH(88,'كشف الحساب'!$N$4:$N$203,0),0)=0,"",INDEX('كشف الحساب'!$H$4:$H$203,IFERROR(MATCH(88,'كشف الحساب'!$N$4:$N$203,0),0))),"")</f>
        <v/>
      </c>
      <c r="I92" s="72" t="str">
        <f>IFERROR(IF(IFERROR(MATCH(88,'كشف الحساب'!$N$4:$N$203,0),0)=0,"",INDEX('كشف الحساب'!$I$4:$I$203,IFERROR(MATCH(88,'كشف الحساب'!$N$4:$N$203,0),0))),"")</f>
        <v/>
      </c>
      <c r="J92" s="76" t="str">
        <f>IFERROR(IF(IFERROR(MATCH(88,'كشف الحساب'!$N$4:$N$203,0),0)=0,"",INDEX('كشف الحساب'!$J$4:$J$203,IFERROR(MATCH(88,'كشف الحساب'!$N$4:$N$203,0),0))),"")</f>
        <v/>
      </c>
      <c r="K92" s="72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5" t="str">
        <f>IFERROR(IF(IFERROR(MATCH(89,'كشف الحساب'!$N$4:$N$203,0),0)=0,"",INDEX('كشف الحساب'!$A$4:$A$203,IFERROR(MATCH(89,'كشف الحساب'!$N$4:$N$203,0),0))),"")</f>
        <v/>
      </c>
      <c r="B93" s="66" t="str">
        <f>IFERROR(IF(IFERROR(MATCH(89,'كشف الحساب'!$N$4:$N$203,0),0)=0,"",INDEX('كشف الحساب'!$B$4:$B$203,IFERROR(MATCH(89,'كشف الحساب'!$N$4:$N$203,0),0))),"")</f>
        <v/>
      </c>
      <c r="C93" s="67" t="str">
        <f>IFERROR(IF(IFERROR(MATCH(89,'كشف الحساب'!$N$4:$N$203,0),0)=0,"",INDEX('كشف الحساب'!$C$4:$C$203,IFERROR(MATCH(89,'كشف الحساب'!$N$4:$N$203,0),0))),"")</f>
        <v/>
      </c>
      <c r="D93" s="68" t="str">
        <f>IFERROR(IF(IFERROR(MATCH(89,'كشف الحساب'!$N$4:$N$203,0),0)=0,"",INDEX('كشف الحساب'!$D$4:$D$203,IFERROR(MATCH(89,'كشف الحساب'!$N$4:$N$203,0),0))),"")</f>
        <v/>
      </c>
      <c r="E93" s="69" t="str">
        <f>IFERROR(IF(IFERROR(MATCH(89,'كشف الحساب'!$N$4:$N$203,0),0)=0,"",INDEX('كشف الحساب'!$E$4:$E$203,IFERROR(MATCH(89,'كشف الحساب'!$N$4:$N$203,0),0))),"")</f>
        <v/>
      </c>
      <c r="F93" s="66" t="str">
        <f>IFERROR(IF(IFERROR(MATCH(89,'كشف الحساب'!$N$4:$N$203,0),0)=0,"",INDEX('كشف الحساب'!$F$4:$F$203,IFERROR(MATCH(89,'كشف الحساب'!$N$4:$N$203,0),0))),"")</f>
        <v/>
      </c>
      <c r="G93" s="66" t="str">
        <f>IFERROR(IF(IFERROR(MATCH(89,'كشف الحساب'!$N$4:$N$203,0),0)=0,"",INDEX('كشف الحساب'!$G$4:$G$203,IFERROR(MATCH(89,'كشف الحساب'!$N$4:$N$203,0),0))),"")</f>
        <v/>
      </c>
      <c r="H93" s="66" t="str">
        <f>IFERROR(IF(IFERROR(MATCH(89,'كشف الحساب'!$N$4:$N$203,0),0)=0,"",INDEX('كشف الحساب'!$H$4:$H$203,IFERROR(MATCH(89,'كشف الحساب'!$N$4:$N$203,0),0))),"")</f>
        <v/>
      </c>
      <c r="I93" s="66" t="str">
        <f>IFERROR(IF(IFERROR(MATCH(89,'كشف الحساب'!$N$4:$N$203,0),0)=0,"",INDEX('كشف الحساب'!$I$4:$I$203,IFERROR(MATCH(89,'كشف الحساب'!$N$4:$N$203,0),0))),"")</f>
        <v/>
      </c>
      <c r="J93" s="70" t="str">
        <f>IFERROR(IF(IFERROR(MATCH(89,'كشف الحساب'!$N$4:$N$203,0),0)=0,"",INDEX('كشف الحساب'!$J$4:$J$203,IFERROR(MATCH(89,'كشف الحساب'!$N$4:$N$203,0),0))),"")</f>
        <v/>
      </c>
      <c r="K93" s="66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71" t="str">
        <f>IFERROR(IF(IFERROR(MATCH(90,'كشف الحساب'!$N$4:$N$203,0),0)=0,"",INDEX('كشف الحساب'!$A$4:$A$203,IFERROR(MATCH(90,'كشف الحساب'!$N$4:$N$203,0),0))),"")</f>
        <v/>
      </c>
      <c r="B94" s="72" t="str">
        <f>IFERROR(IF(IFERROR(MATCH(90,'كشف الحساب'!$N$4:$N$203,0),0)=0,"",INDEX('كشف الحساب'!$B$4:$B$203,IFERROR(MATCH(90,'كشف الحساب'!$N$4:$N$203,0),0))),"")</f>
        <v/>
      </c>
      <c r="C94" s="73" t="str">
        <f>IFERROR(IF(IFERROR(MATCH(90,'كشف الحساب'!$N$4:$N$203,0),0)=0,"",INDEX('كشف الحساب'!$C$4:$C$203,IFERROR(MATCH(90,'كشف الحساب'!$N$4:$N$203,0),0))),"")</f>
        <v/>
      </c>
      <c r="D94" s="74" t="str">
        <f>IFERROR(IF(IFERROR(MATCH(90,'كشف الحساب'!$N$4:$N$203,0),0)=0,"",INDEX('كشف الحساب'!$D$4:$D$203,IFERROR(MATCH(90,'كشف الحساب'!$N$4:$N$203,0),0))),"")</f>
        <v/>
      </c>
      <c r="E94" s="75" t="str">
        <f>IFERROR(IF(IFERROR(MATCH(90,'كشف الحساب'!$N$4:$N$203,0),0)=0,"",INDEX('كشف الحساب'!$E$4:$E$203,IFERROR(MATCH(90,'كشف الحساب'!$N$4:$N$203,0),0))),"")</f>
        <v/>
      </c>
      <c r="F94" s="72" t="str">
        <f>IFERROR(IF(IFERROR(MATCH(90,'كشف الحساب'!$N$4:$N$203,0),0)=0,"",INDEX('كشف الحساب'!$F$4:$F$203,IFERROR(MATCH(90,'كشف الحساب'!$N$4:$N$203,0),0))),"")</f>
        <v/>
      </c>
      <c r="G94" s="72" t="str">
        <f>IFERROR(IF(IFERROR(MATCH(90,'كشف الحساب'!$N$4:$N$203,0),0)=0,"",INDEX('كشف الحساب'!$G$4:$G$203,IFERROR(MATCH(90,'كشف الحساب'!$N$4:$N$203,0),0))),"")</f>
        <v/>
      </c>
      <c r="H94" s="72" t="str">
        <f>IFERROR(IF(IFERROR(MATCH(90,'كشف الحساب'!$N$4:$N$203,0),0)=0,"",INDEX('كشف الحساب'!$H$4:$H$203,IFERROR(MATCH(90,'كشف الحساب'!$N$4:$N$203,0),0))),"")</f>
        <v/>
      </c>
      <c r="I94" s="72" t="str">
        <f>IFERROR(IF(IFERROR(MATCH(90,'كشف الحساب'!$N$4:$N$203,0),0)=0,"",INDEX('كشف الحساب'!$I$4:$I$203,IFERROR(MATCH(90,'كشف الحساب'!$N$4:$N$203,0),0))),"")</f>
        <v/>
      </c>
      <c r="J94" s="76" t="str">
        <f>IFERROR(IF(IFERROR(MATCH(90,'كشف الحساب'!$N$4:$N$203,0),0)=0,"",INDEX('كشف الحساب'!$J$4:$J$203,IFERROR(MATCH(90,'كشف الحساب'!$N$4:$N$203,0),0))),"")</f>
        <v/>
      </c>
      <c r="K94" s="72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5" t="str">
        <f>IFERROR(IF(IFERROR(MATCH(91,'كشف الحساب'!$N$4:$N$203,0),0)=0,"",INDEX('كشف الحساب'!$A$4:$A$203,IFERROR(MATCH(91,'كشف الحساب'!$N$4:$N$203,0),0))),"")</f>
        <v/>
      </c>
      <c r="B95" s="66" t="str">
        <f>IFERROR(IF(IFERROR(MATCH(91,'كشف الحساب'!$N$4:$N$203,0),0)=0,"",INDEX('كشف الحساب'!$B$4:$B$203,IFERROR(MATCH(91,'كشف الحساب'!$N$4:$N$203,0),0))),"")</f>
        <v/>
      </c>
      <c r="C95" s="67" t="str">
        <f>IFERROR(IF(IFERROR(MATCH(91,'كشف الحساب'!$N$4:$N$203,0),0)=0,"",INDEX('كشف الحساب'!$C$4:$C$203,IFERROR(MATCH(91,'كشف الحساب'!$N$4:$N$203,0),0))),"")</f>
        <v/>
      </c>
      <c r="D95" s="68" t="str">
        <f>IFERROR(IF(IFERROR(MATCH(91,'كشف الحساب'!$N$4:$N$203,0),0)=0,"",INDEX('كشف الحساب'!$D$4:$D$203,IFERROR(MATCH(91,'كشف الحساب'!$N$4:$N$203,0),0))),"")</f>
        <v/>
      </c>
      <c r="E95" s="69" t="str">
        <f>IFERROR(IF(IFERROR(MATCH(91,'كشف الحساب'!$N$4:$N$203,0),0)=0,"",INDEX('كشف الحساب'!$E$4:$E$203,IFERROR(MATCH(91,'كشف الحساب'!$N$4:$N$203,0),0))),"")</f>
        <v/>
      </c>
      <c r="F95" s="66" t="str">
        <f>IFERROR(IF(IFERROR(MATCH(91,'كشف الحساب'!$N$4:$N$203,0),0)=0,"",INDEX('كشف الحساب'!$F$4:$F$203,IFERROR(MATCH(91,'كشف الحساب'!$N$4:$N$203,0),0))),"")</f>
        <v/>
      </c>
      <c r="G95" s="66" t="str">
        <f>IFERROR(IF(IFERROR(MATCH(91,'كشف الحساب'!$N$4:$N$203,0),0)=0,"",INDEX('كشف الحساب'!$G$4:$G$203,IFERROR(MATCH(91,'كشف الحساب'!$N$4:$N$203,0),0))),"")</f>
        <v/>
      </c>
      <c r="H95" s="66" t="str">
        <f>IFERROR(IF(IFERROR(MATCH(91,'كشف الحساب'!$N$4:$N$203,0),0)=0,"",INDEX('كشف الحساب'!$H$4:$H$203,IFERROR(MATCH(91,'كشف الحساب'!$N$4:$N$203,0),0))),"")</f>
        <v/>
      </c>
      <c r="I95" s="66" t="str">
        <f>IFERROR(IF(IFERROR(MATCH(91,'كشف الحساب'!$N$4:$N$203,0),0)=0,"",INDEX('كشف الحساب'!$I$4:$I$203,IFERROR(MATCH(91,'كشف الحساب'!$N$4:$N$203,0),0))),"")</f>
        <v/>
      </c>
      <c r="J95" s="70" t="str">
        <f>IFERROR(IF(IFERROR(MATCH(91,'كشف الحساب'!$N$4:$N$203,0),0)=0,"",INDEX('كشف الحساب'!$J$4:$J$203,IFERROR(MATCH(91,'كشف الحساب'!$N$4:$N$203,0),0))),"")</f>
        <v/>
      </c>
      <c r="K95" s="66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71" t="str">
        <f>IFERROR(IF(IFERROR(MATCH(92,'كشف الحساب'!$N$4:$N$203,0),0)=0,"",INDEX('كشف الحساب'!$A$4:$A$203,IFERROR(MATCH(92,'كشف الحساب'!$N$4:$N$203,0),0))),"")</f>
        <v/>
      </c>
      <c r="B96" s="72" t="str">
        <f>IFERROR(IF(IFERROR(MATCH(92,'كشف الحساب'!$N$4:$N$203,0),0)=0,"",INDEX('كشف الحساب'!$B$4:$B$203,IFERROR(MATCH(92,'كشف الحساب'!$N$4:$N$203,0),0))),"")</f>
        <v/>
      </c>
      <c r="C96" s="73" t="str">
        <f>IFERROR(IF(IFERROR(MATCH(92,'كشف الحساب'!$N$4:$N$203,0),0)=0,"",INDEX('كشف الحساب'!$C$4:$C$203,IFERROR(MATCH(92,'كشف الحساب'!$N$4:$N$203,0),0))),"")</f>
        <v/>
      </c>
      <c r="D96" s="74" t="str">
        <f>IFERROR(IF(IFERROR(MATCH(92,'كشف الحساب'!$N$4:$N$203,0),0)=0,"",INDEX('كشف الحساب'!$D$4:$D$203,IFERROR(MATCH(92,'كشف الحساب'!$N$4:$N$203,0),0))),"")</f>
        <v/>
      </c>
      <c r="E96" s="75" t="str">
        <f>IFERROR(IF(IFERROR(MATCH(92,'كشف الحساب'!$N$4:$N$203,0),0)=0,"",INDEX('كشف الحساب'!$E$4:$E$203,IFERROR(MATCH(92,'كشف الحساب'!$N$4:$N$203,0),0))),"")</f>
        <v/>
      </c>
      <c r="F96" s="72" t="str">
        <f>IFERROR(IF(IFERROR(MATCH(92,'كشف الحساب'!$N$4:$N$203,0),0)=0,"",INDEX('كشف الحساب'!$F$4:$F$203,IFERROR(MATCH(92,'كشف الحساب'!$N$4:$N$203,0),0))),"")</f>
        <v/>
      </c>
      <c r="G96" s="72" t="str">
        <f>IFERROR(IF(IFERROR(MATCH(92,'كشف الحساب'!$N$4:$N$203,0),0)=0,"",INDEX('كشف الحساب'!$G$4:$G$203,IFERROR(MATCH(92,'كشف الحساب'!$N$4:$N$203,0),0))),"")</f>
        <v/>
      </c>
      <c r="H96" s="72" t="str">
        <f>IFERROR(IF(IFERROR(MATCH(92,'كشف الحساب'!$N$4:$N$203,0),0)=0,"",INDEX('كشف الحساب'!$H$4:$H$203,IFERROR(MATCH(92,'كشف الحساب'!$N$4:$N$203,0),0))),"")</f>
        <v/>
      </c>
      <c r="I96" s="72" t="str">
        <f>IFERROR(IF(IFERROR(MATCH(92,'كشف الحساب'!$N$4:$N$203,0),0)=0,"",INDEX('كشف الحساب'!$I$4:$I$203,IFERROR(MATCH(92,'كشف الحساب'!$N$4:$N$203,0),0))),"")</f>
        <v/>
      </c>
      <c r="J96" s="76" t="str">
        <f>IFERROR(IF(IFERROR(MATCH(92,'كشف الحساب'!$N$4:$N$203,0),0)=0,"",INDEX('كشف الحساب'!$J$4:$J$203,IFERROR(MATCH(92,'كشف الحساب'!$N$4:$N$203,0),0))),"")</f>
        <v/>
      </c>
      <c r="K96" s="72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5" t="str">
        <f>IFERROR(IF(IFERROR(MATCH(93,'كشف الحساب'!$N$4:$N$203,0),0)=0,"",INDEX('كشف الحساب'!$A$4:$A$203,IFERROR(MATCH(93,'كشف الحساب'!$N$4:$N$203,0),0))),"")</f>
        <v/>
      </c>
      <c r="B97" s="66" t="str">
        <f>IFERROR(IF(IFERROR(MATCH(93,'كشف الحساب'!$N$4:$N$203,0),0)=0,"",INDEX('كشف الحساب'!$B$4:$B$203,IFERROR(MATCH(93,'كشف الحساب'!$N$4:$N$203,0),0))),"")</f>
        <v/>
      </c>
      <c r="C97" s="67" t="str">
        <f>IFERROR(IF(IFERROR(MATCH(93,'كشف الحساب'!$N$4:$N$203,0),0)=0,"",INDEX('كشف الحساب'!$C$4:$C$203,IFERROR(MATCH(93,'كشف الحساب'!$N$4:$N$203,0),0))),"")</f>
        <v/>
      </c>
      <c r="D97" s="68" t="str">
        <f>IFERROR(IF(IFERROR(MATCH(93,'كشف الحساب'!$N$4:$N$203,0),0)=0,"",INDEX('كشف الحساب'!$D$4:$D$203,IFERROR(MATCH(93,'كشف الحساب'!$N$4:$N$203,0),0))),"")</f>
        <v/>
      </c>
      <c r="E97" s="69" t="str">
        <f>IFERROR(IF(IFERROR(MATCH(93,'كشف الحساب'!$N$4:$N$203,0),0)=0,"",INDEX('كشف الحساب'!$E$4:$E$203,IFERROR(MATCH(93,'كشف الحساب'!$N$4:$N$203,0),0))),"")</f>
        <v/>
      </c>
      <c r="F97" s="66" t="str">
        <f>IFERROR(IF(IFERROR(MATCH(93,'كشف الحساب'!$N$4:$N$203,0),0)=0,"",INDEX('كشف الحساب'!$F$4:$F$203,IFERROR(MATCH(93,'كشف الحساب'!$N$4:$N$203,0),0))),"")</f>
        <v/>
      </c>
      <c r="G97" s="66" t="str">
        <f>IFERROR(IF(IFERROR(MATCH(93,'كشف الحساب'!$N$4:$N$203,0),0)=0,"",INDEX('كشف الحساب'!$G$4:$G$203,IFERROR(MATCH(93,'كشف الحساب'!$N$4:$N$203,0),0))),"")</f>
        <v/>
      </c>
      <c r="H97" s="66" t="str">
        <f>IFERROR(IF(IFERROR(MATCH(93,'كشف الحساب'!$N$4:$N$203,0),0)=0,"",INDEX('كشف الحساب'!$H$4:$H$203,IFERROR(MATCH(93,'كشف الحساب'!$N$4:$N$203,0),0))),"")</f>
        <v/>
      </c>
      <c r="I97" s="66" t="str">
        <f>IFERROR(IF(IFERROR(MATCH(93,'كشف الحساب'!$N$4:$N$203,0),0)=0,"",INDEX('كشف الحساب'!$I$4:$I$203,IFERROR(MATCH(93,'كشف الحساب'!$N$4:$N$203,0),0))),"")</f>
        <v/>
      </c>
      <c r="J97" s="70" t="str">
        <f>IFERROR(IF(IFERROR(MATCH(93,'كشف الحساب'!$N$4:$N$203,0),0)=0,"",INDEX('كشف الحساب'!$J$4:$J$203,IFERROR(MATCH(93,'كشف الحساب'!$N$4:$N$203,0),0))),"")</f>
        <v/>
      </c>
      <c r="K97" s="66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71" t="str">
        <f>IFERROR(IF(IFERROR(MATCH(94,'كشف الحساب'!$N$4:$N$203,0),0)=0,"",INDEX('كشف الحساب'!$A$4:$A$203,IFERROR(MATCH(94,'كشف الحساب'!$N$4:$N$203,0),0))),"")</f>
        <v/>
      </c>
      <c r="B98" s="72" t="str">
        <f>IFERROR(IF(IFERROR(MATCH(94,'كشف الحساب'!$N$4:$N$203,0),0)=0,"",INDEX('كشف الحساب'!$B$4:$B$203,IFERROR(MATCH(94,'كشف الحساب'!$N$4:$N$203,0),0))),"")</f>
        <v/>
      </c>
      <c r="C98" s="73" t="str">
        <f>IFERROR(IF(IFERROR(MATCH(94,'كشف الحساب'!$N$4:$N$203,0),0)=0,"",INDEX('كشف الحساب'!$C$4:$C$203,IFERROR(MATCH(94,'كشف الحساب'!$N$4:$N$203,0),0))),"")</f>
        <v/>
      </c>
      <c r="D98" s="74" t="str">
        <f>IFERROR(IF(IFERROR(MATCH(94,'كشف الحساب'!$N$4:$N$203,0),0)=0,"",INDEX('كشف الحساب'!$D$4:$D$203,IFERROR(MATCH(94,'كشف الحساب'!$N$4:$N$203,0),0))),"")</f>
        <v/>
      </c>
      <c r="E98" s="75" t="str">
        <f>IFERROR(IF(IFERROR(MATCH(94,'كشف الحساب'!$N$4:$N$203,0),0)=0,"",INDEX('كشف الحساب'!$E$4:$E$203,IFERROR(MATCH(94,'كشف الحساب'!$N$4:$N$203,0),0))),"")</f>
        <v/>
      </c>
      <c r="F98" s="72" t="str">
        <f>IFERROR(IF(IFERROR(MATCH(94,'كشف الحساب'!$N$4:$N$203,0),0)=0,"",INDEX('كشف الحساب'!$F$4:$F$203,IFERROR(MATCH(94,'كشف الحساب'!$N$4:$N$203,0),0))),"")</f>
        <v/>
      </c>
      <c r="G98" s="72" t="str">
        <f>IFERROR(IF(IFERROR(MATCH(94,'كشف الحساب'!$N$4:$N$203,0),0)=0,"",INDEX('كشف الحساب'!$G$4:$G$203,IFERROR(MATCH(94,'كشف الحساب'!$N$4:$N$203,0),0))),"")</f>
        <v/>
      </c>
      <c r="H98" s="72" t="str">
        <f>IFERROR(IF(IFERROR(MATCH(94,'كشف الحساب'!$N$4:$N$203,0),0)=0,"",INDEX('كشف الحساب'!$H$4:$H$203,IFERROR(MATCH(94,'كشف الحساب'!$N$4:$N$203,0),0))),"")</f>
        <v/>
      </c>
      <c r="I98" s="72" t="str">
        <f>IFERROR(IF(IFERROR(MATCH(94,'كشف الحساب'!$N$4:$N$203,0),0)=0,"",INDEX('كشف الحساب'!$I$4:$I$203,IFERROR(MATCH(94,'كشف الحساب'!$N$4:$N$203,0),0))),"")</f>
        <v/>
      </c>
      <c r="J98" s="76" t="str">
        <f>IFERROR(IF(IFERROR(MATCH(94,'كشف الحساب'!$N$4:$N$203,0),0)=0,"",INDEX('كشف الحساب'!$J$4:$J$203,IFERROR(MATCH(94,'كشف الحساب'!$N$4:$N$203,0),0))),"")</f>
        <v/>
      </c>
      <c r="K98" s="72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5" t="str">
        <f>IFERROR(IF(IFERROR(MATCH(95,'كشف الحساب'!$N$4:$N$203,0),0)=0,"",INDEX('كشف الحساب'!$A$4:$A$203,IFERROR(MATCH(95,'كشف الحساب'!$N$4:$N$203,0),0))),"")</f>
        <v/>
      </c>
      <c r="B99" s="66" t="str">
        <f>IFERROR(IF(IFERROR(MATCH(95,'كشف الحساب'!$N$4:$N$203,0),0)=0,"",INDEX('كشف الحساب'!$B$4:$B$203,IFERROR(MATCH(95,'كشف الحساب'!$N$4:$N$203,0),0))),"")</f>
        <v/>
      </c>
      <c r="C99" s="67" t="str">
        <f>IFERROR(IF(IFERROR(MATCH(95,'كشف الحساب'!$N$4:$N$203,0),0)=0,"",INDEX('كشف الحساب'!$C$4:$C$203,IFERROR(MATCH(95,'كشف الحساب'!$N$4:$N$203,0),0))),"")</f>
        <v/>
      </c>
      <c r="D99" s="68" t="str">
        <f>IFERROR(IF(IFERROR(MATCH(95,'كشف الحساب'!$N$4:$N$203,0),0)=0,"",INDEX('كشف الحساب'!$D$4:$D$203,IFERROR(MATCH(95,'كشف الحساب'!$N$4:$N$203,0),0))),"")</f>
        <v/>
      </c>
      <c r="E99" s="69" t="str">
        <f>IFERROR(IF(IFERROR(MATCH(95,'كشف الحساب'!$N$4:$N$203,0),0)=0,"",INDEX('كشف الحساب'!$E$4:$E$203,IFERROR(MATCH(95,'كشف الحساب'!$N$4:$N$203,0),0))),"")</f>
        <v/>
      </c>
      <c r="F99" s="66" t="str">
        <f>IFERROR(IF(IFERROR(MATCH(95,'كشف الحساب'!$N$4:$N$203,0),0)=0,"",INDEX('كشف الحساب'!$F$4:$F$203,IFERROR(MATCH(95,'كشف الحساب'!$N$4:$N$203,0),0))),"")</f>
        <v/>
      </c>
      <c r="G99" s="66" t="str">
        <f>IFERROR(IF(IFERROR(MATCH(95,'كشف الحساب'!$N$4:$N$203,0),0)=0,"",INDEX('كشف الحساب'!$G$4:$G$203,IFERROR(MATCH(95,'كشف الحساب'!$N$4:$N$203,0),0))),"")</f>
        <v/>
      </c>
      <c r="H99" s="66" t="str">
        <f>IFERROR(IF(IFERROR(MATCH(95,'كشف الحساب'!$N$4:$N$203,0),0)=0,"",INDEX('كشف الحساب'!$H$4:$H$203,IFERROR(MATCH(95,'كشف الحساب'!$N$4:$N$203,0),0))),"")</f>
        <v/>
      </c>
      <c r="I99" s="66" t="str">
        <f>IFERROR(IF(IFERROR(MATCH(95,'كشف الحساب'!$N$4:$N$203,0),0)=0,"",INDEX('كشف الحساب'!$I$4:$I$203,IFERROR(MATCH(95,'كشف الحساب'!$N$4:$N$203,0),0))),"")</f>
        <v/>
      </c>
      <c r="J99" s="70" t="str">
        <f>IFERROR(IF(IFERROR(MATCH(95,'كشف الحساب'!$N$4:$N$203,0),0)=0,"",INDEX('كشف الحساب'!$J$4:$J$203,IFERROR(MATCH(95,'كشف الحساب'!$N$4:$N$203,0),0))),"")</f>
        <v/>
      </c>
      <c r="K99" s="66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71" t="str">
        <f>IFERROR(IF(IFERROR(MATCH(96,'كشف الحساب'!$N$4:$N$203,0),0)=0,"",INDEX('كشف الحساب'!$A$4:$A$203,IFERROR(MATCH(96,'كشف الحساب'!$N$4:$N$203,0),0))),"")</f>
        <v/>
      </c>
      <c r="B100" s="72" t="str">
        <f>IFERROR(IF(IFERROR(MATCH(96,'كشف الحساب'!$N$4:$N$203,0),0)=0,"",INDEX('كشف الحساب'!$B$4:$B$203,IFERROR(MATCH(96,'كشف الحساب'!$N$4:$N$203,0),0))),"")</f>
        <v/>
      </c>
      <c r="C100" s="73" t="str">
        <f>IFERROR(IF(IFERROR(MATCH(96,'كشف الحساب'!$N$4:$N$203,0),0)=0,"",INDEX('كشف الحساب'!$C$4:$C$203,IFERROR(MATCH(96,'كشف الحساب'!$N$4:$N$203,0),0))),"")</f>
        <v/>
      </c>
      <c r="D100" s="74" t="str">
        <f>IFERROR(IF(IFERROR(MATCH(96,'كشف الحساب'!$N$4:$N$203,0),0)=0,"",INDEX('كشف الحساب'!$D$4:$D$203,IFERROR(MATCH(96,'كشف الحساب'!$N$4:$N$203,0),0))),"")</f>
        <v/>
      </c>
      <c r="E100" s="75" t="str">
        <f>IFERROR(IF(IFERROR(MATCH(96,'كشف الحساب'!$N$4:$N$203,0),0)=0,"",INDEX('كشف الحساب'!$E$4:$E$203,IFERROR(MATCH(96,'كشف الحساب'!$N$4:$N$203,0),0))),"")</f>
        <v/>
      </c>
      <c r="F100" s="72" t="str">
        <f>IFERROR(IF(IFERROR(MATCH(96,'كشف الحساب'!$N$4:$N$203,0),0)=0,"",INDEX('كشف الحساب'!$F$4:$F$203,IFERROR(MATCH(96,'كشف الحساب'!$N$4:$N$203,0),0))),"")</f>
        <v/>
      </c>
      <c r="G100" s="72" t="str">
        <f>IFERROR(IF(IFERROR(MATCH(96,'كشف الحساب'!$N$4:$N$203,0),0)=0,"",INDEX('كشف الحساب'!$G$4:$G$203,IFERROR(MATCH(96,'كشف الحساب'!$N$4:$N$203,0),0))),"")</f>
        <v/>
      </c>
      <c r="H100" s="72" t="str">
        <f>IFERROR(IF(IFERROR(MATCH(96,'كشف الحساب'!$N$4:$N$203,0),0)=0,"",INDEX('كشف الحساب'!$H$4:$H$203,IFERROR(MATCH(96,'كشف الحساب'!$N$4:$N$203,0),0))),"")</f>
        <v/>
      </c>
      <c r="I100" s="72" t="str">
        <f>IFERROR(IF(IFERROR(MATCH(96,'كشف الحساب'!$N$4:$N$203,0),0)=0,"",INDEX('كشف الحساب'!$I$4:$I$203,IFERROR(MATCH(96,'كشف الحساب'!$N$4:$N$203,0),0))),"")</f>
        <v/>
      </c>
      <c r="J100" s="76" t="str">
        <f>IFERROR(IF(IFERROR(MATCH(96,'كشف الحساب'!$N$4:$N$203,0),0)=0,"",INDEX('كشف الحساب'!$J$4:$J$203,IFERROR(MATCH(96,'كشف الحساب'!$N$4:$N$203,0),0))),"")</f>
        <v/>
      </c>
      <c r="K100" s="72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5" t="str">
        <f>IFERROR(IF(IFERROR(MATCH(97,'كشف الحساب'!$N$4:$N$203,0),0)=0,"",INDEX('كشف الحساب'!$A$4:$A$203,IFERROR(MATCH(97,'كشف الحساب'!$N$4:$N$203,0),0))),"")</f>
        <v/>
      </c>
      <c r="B101" s="66" t="str">
        <f>IFERROR(IF(IFERROR(MATCH(97,'كشف الحساب'!$N$4:$N$203,0),0)=0,"",INDEX('كشف الحساب'!$B$4:$B$203,IFERROR(MATCH(97,'كشف الحساب'!$N$4:$N$203,0),0))),"")</f>
        <v/>
      </c>
      <c r="C101" s="67" t="str">
        <f>IFERROR(IF(IFERROR(MATCH(97,'كشف الحساب'!$N$4:$N$203,0),0)=0,"",INDEX('كشف الحساب'!$C$4:$C$203,IFERROR(MATCH(97,'كشف الحساب'!$N$4:$N$203,0),0))),"")</f>
        <v/>
      </c>
      <c r="D101" s="68" t="str">
        <f>IFERROR(IF(IFERROR(MATCH(97,'كشف الحساب'!$N$4:$N$203,0),0)=0,"",INDEX('كشف الحساب'!$D$4:$D$203,IFERROR(MATCH(97,'كشف الحساب'!$N$4:$N$203,0),0))),"")</f>
        <v/>
      </c>
      <c r="E101" s="69" t="str">
        <f>IFERROR(IF(IFERROR(MATCH(97,'كشف الحساب'!$N$4:$N$203,0),0)=0,"",INDEX('كشف الحساب'!$E$4:$E$203,IFERROR(MATCH(97,'كشف الحساب'!$N$4:$N$203,0),0))),"")</f>
        <v/>
      </c>
      <c r="F101" s="66" t="str">
        <f>IFERROR(IF(IFERROR(MATCH(97,'كشف الحساب'!$N$4:$N$203,0),0)=0,"",INDEX('كشف الحساب'!$F$4:$F$203,IFERROR(MATCH(97,'كشف الحساب'!$N$4:$N$203,0),0))),"")</f>
        <v/>
      </c>
      <c r="G101" s="66" t="str">
        <f>IFERROR(IF(IFERROR(MATCH(97,'كشف الحساب'!$N$4:$N$203,0),0)=0,"",INDEX('كشف الحساب'!$G$4:$G$203,IFERROR(MATCH(97,'كشف الحساب'!$N$4:$N$203,0),0))),"")</f>
        <v/>
      </c>
      <c r="H101" s="66" t="str">
        <f>IFERROR(IF(IFERROR(MATCH(97,'كشف الحساب'!$N$4:$N$203,0),0)=0,"",INDEX('كشف الحساب'!$H$4:$H$203,IFERROR(MATCH(97,'كشف الحساب'!$N$4:$N$203,0),0))),"")</f>
        <v/>
      </c>
      <c r="I101" s="66" t="str">
        <f>IFERROR(IF(IFERROR(MATCH(97,'كشف الحساب'!$N$4:$N$203,0),0)=0,"",INDEX('كشف الحساب'!$I$4:$I$203,IFERROR(MATCH(97,'كشف الحساب'!$N$4:$N$203,0),0))),"")</f>
        <v/>
      </c>
      <c r="J101" s="70" t="str">
        <f>IFERROR(IF(IFERROR(MATCH(97,'كشف الحساب'!$N$4:$N$203,0),0)=0,"",INDEX('كشف الحساب'!$J$4:$J$203,IFERROR(MATCH(97,'كشف الحساب'!$N$4:$N$203,0),0))),"")</f>
        <v/>
      </c>
      <c r="K101" s="66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71" t="str">
        <f>IFERROR(IF(IFERROR(MATCH(98,'كشف الحساب'!$N$4:$N$203,0),0)=0,"",INDEX('كشف الحساب'!$A$4:$A$203,IFERROR(MATCH(98,'كشف الحساب'!$N$4:$N$203,0),0))),"")</f>
        <v/>
      </c>
      <c r="B102" s="72" t="str">
        <f>IFERROR(IF(IFERROR(MATCH(98,'كشف الحساب'!$N$4:$N$203,0),0)=0,"",INDEX('كشف الحساب'!$B$4:$B$203,IFERROR(MATCH(98,'كشف الحساب'!$N$4:$N$203,0),0))),"")</f>
        <v/>
      </c>
      <c r="C102" s="73" t="str">
        <f>IFERROR(IF(IFERROR(MATCH(98,'كشف الحساب'!$N$4:$N$203,0),0)=0,"",INDEX('كشف الحساب'!$C$4:$C$203,IFERROR(MATCH(98,'كشف الحساب'!$N$4:$N$203,0),0))),"")</f>
        <v/>
      </c>
      <c r="D102" s="74" t="str">
        <f>IFERROR(IF(IFERROR(MATCH(98,'كشف الحساب'!$N$4:$N$203,0),0)=0,"",INDEX('كشف الحساب'!$D$4:$D$203,IFERROR(MATCH(98,'كشف الحساب'!$N$4:$N$203,0),0))),"")</f>
        <v/>
      </c>
      <c r="E102" s="75" t="str">
        <f>IFERROR(IF(IFERROR(MATCH(98,'كشف الحساب'!$N$4:$N$203,0),0)=0,"",INDEX('كشف الحساب'!$E$4:$E$203,IFERROR(MATCH(98,'كشف الحساب'!$N$4:$N$203,0),0))),"")</f>
        <v/>
      </c>
      <c r="F102" s="72" t="str">
        <f>IFERROR(IF(IFERROR(MATCH(98,'كشف الحساب'!$N$4:$N$203,0),0)=0,"",INDEX('كشف الحساب'!$F$4:$F$203,IFERROR(MATCH(98,'كشف الحساب'!$N$4:$N$203,0),0))),"")</f>
        <v/>
      </c>
      <c r="G102" s="72" t="str">
        <f>IFERROR(IF(IFERROR(MATCH(98,'كشف الحساب'!$N$4:$N$203,0),0)=0,"",INDEX('كشف الحساب'!$G$4:$G$203,IFERROR(MATCH(98,'كشف الحساب'!$N$4:$N$203,0),0))),"")</f>
        <v/>
      </c>
      <c r="H102" s="72" t="str">
        <f>IFERROR(IF(IFERROR(MATCH(98,'كشف الحساب'!$N$4:$N$203,0),0)=0,"",INDEX('كشف الحساب'!$H$4:$H$203,IFERROR(MATCH(98,'كشف الحساب'!$N$4:$N$203,0),0))),"")</f>
        <v/>
      </c>
      <c r="I102" s="72" t="str">
        <f>IFERROR(IF(IFERROR(MATCH(98,'كشف الحساب'!$N$4:$N$203,0),0)=0,"",INDEX('كشف الحساب'!$I$4:$I$203,IFERROR(MATCH(98,'كشف الحساب'!$N$4:$N$203,0),0))),"")</f>
        <v/>
      </c>
      <c r="J102" s="76" t="str">
        <f>IFERROR(IF(IFERROR(MATCH(98,'كشف الحساب'!$N$4:$N$203,0),0)=0,"",INDEX('كشف الحساب'!$J$4:$J$203,IFERROR(MATCH(98,'كشف الحساب'!$N$4:$N$203,0),0))),"")</f>
        <v/>
      </c>
      <c r="K102" s="72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5" t="str">
        <f>IFERROR(IF(IFERROR(MATCH(99,'كشف الحساب'!$N$4:$N$203,0),0)=0,"",INDEX('كشف الحساب'!$A$4:$A$203,IFERROR(MATCH(99,'كشف الحساب'!$N$4:$N$203,0),0))),"")</f>
        <v/>
      </c>
      <c r="B103" s="66" t="str">
        <f>IFERROR(IF(IFERROR(MATCH(99,'كشف الحساب'!$N$4:$N$203,0),0)=0,"",INDEX('كشف الحساب'!$B$4:$B$203,IFERROR(MATCH(99,'كشف الحساب'!$N$4:$N$203,0),0))),"")</f>
        <v/>
      </c>
      <c r="C103" s="67" t="str">
        <f>IFERROR(IF(IFERROR(MATCH(99,'كشف الحساب'!$N$4:$N$203,0),0)=0,"",INDEX('كشف الحساب'!$C$4:$C$203,IFERROR(MATCH(99,'كشف الحساب'!$N$4:$N$203,0),0))),"")</f>
        <v/>
      </c>
      <c r="D103" s="68" t="str">
        <f>IFERROR(IF(IFERROR(MATCH(99,'كشف الحساب'!$N$4:$N$203,0),0)=0,"",INDEX('كشف الحساب'!$D$4:$D$203,IFERROR(MATCH(99,'كشف الحساب'!$N$4:$N$203,0),0))),"")</f>
        <v/>
      </c>
      <c r="E103" s="69" t="str">
        <f>IFERROR(IF(IFERROR(MATCH(99,'كشف الحساب'!$N$4:$N$203,0),0)=0,"",INDEX('كشف الحساب'!$E$4:$E$203,IFERROR(MATCH(99,'كشف الحساب'!$N$4:$N$203,0),0))),"")</f>
        <v/>
      </c>
      <c r="F103" s="66" t="str">
        <f>IFERROR(IF(IFERROR(MATCH(99,'كشف الحساب'!$N$4:$N$203,0),0)=0,"",INDEX('كشف الحساب'!$F$4:$F$203,IFERROR(MATCH(99,'كشف الحساب'!$N$4:$N$203,0),0))),"")</f>
        <v/>
      </c>
      <c r="G103" s="66" t="str">
        <f>IFERROR(IF(IFERROR(MATCH(99,'كشف الحساب'!$N$4:$N$203,0),0)=0,"",INDEX('كشف الحساب'!$G$4:$G$203,IFERROR(MATCH(99,'كشف الحساب'!$N$4:$N$203,0),0))),"")</f>
        <v/>
      </c>
      <c r="H103" s="66" t="str">
        <f>IFERROR(IF(IFERROR(MATCH(99,'كشف الحساب'!$N$4:$N$203,0),0)=0,"",INDEX('كشف الحساب'!$H$4:$H$203,IFERROR(MATCH(99,'كشف الحساب'!$N$4:$N$203,0),0))),"")</f>
        <v/>
      </c>
      <c r="I103" s="66" t="str">
        <f>IFERROR(IF(IFERROR(MATCH(99,'كشف الحساب'!$N$4:$N$203,0),0)=0,"",INDEX('كشف الحساب'!$I$4:$I$203,IFERROR(MATCH(99,'كشف الحساب'!$N$4:$N$203,0),0))),"")</f>
        <v/>
      </c>
      <c r="J103" s="70" t="str">
        <f>IFERROR(IF(IFERROR(MATCH(99,'كشف الحساب'!$N$4:$N$203,0),0)=0,"",INDEX('كشف الحساب'!$J$4:$J$203,IFERROR(MATCH(99,'كشف الحساب'!$N$4:$N$203,0),0))),"")</f>
        <v/>
      </c>
      <c r="K103" s="66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71" t="str">
        <f>IFERROR(IF(IFERROR(MATCH(100,'كشف الحساب'!$N$4:$N$203,0),0)=0,"",INDEX('كشف الحساب'!$A$4:$A$203,IFERROR(MATCH(100,'كشف الحساب'!$N$4:$N$203,0),0))),"")</f>
        <v/>
      </c>
      <c r="B104" s="72" t="str">
        <f>IFERROR(IF(IFERROR(MATCH(100,'كشف الحساب'!$N$4:$N$203,0),0)=0,"",INDEX('كشف الحساب'!$B$4:$B$203,IFERROR(MATCH(100,'كشف الحساب'!$N$4:$N$203,0),0))),"")</f>
        <v/>
      </c>
      <c r="C104" s="73" t="str">
        <f>IFERROR(IF(IFERROR(MATCH(100,'كشف الحساب'!$N$4:$N$203,0),0)=0,"",INDEX('كشف الحساب'!$C$4:$C$203,IFERROR(MATCH(100,'كشف الحساب'!$N$4:$N$203,0),0))),"")</f>
        <v/>
      </c>
      <c r="D104" s="74" t="str">
        <f>IFERROR(IF(IFERROR(MATCH(100,'كشف الحساب'!$N$4:$N$203,0),0)=0,"",INDEX('كشف الحساب'!$D$4:$D$203,IFERROR(MATCH(100,'كشف الحساب'!$N$4:$N$203,0),0))),"")</f>
        <v/>
      </c>
      <c r="E104" s="75" t="str">
        <f>IFERROR(IF(IFERROR(MATCH(100,'كشف الحساب'!$N$4:$N$203,0),0)=0,"",INDEX('كشف الحساب'!$E$4:$E$203,IFERROR(MATCH(100,'كشف الحساب'!$N$4:$N$203,0),0))),"")</f>
        <v/>
      </c>
      <c r="F104" s="72" t="str">
        <f>IFERROR(IF(IFERROR(MATCH(100,'كشف الحساب'!$N$4:$N$203,0),0)=0,"",INDEX('كشف الحساب'!$F$4:$F$203,IFERROR(MATCH(100,'كشف الحساب'!$N$4:$N$203,0),0))),"")</f>
        <v/>
      </c>
      <c r="G104" s="72" t="str">
        <f>IFERROR(IF(IFERROR(MATCH(100,'كشف الحساب'!$N$4:$N$203,0),0)=0,"",INDEX('كشف الحساب'!$G$4:$G$203,IFERROR(MATCH(100,'كشف الحساب'!$N$4:$N$203,0),0))),"")</f>
        <v/>
      </c>
      <c r="H104" s="72" t="str">
        <f>IFERROR(IF(IFERROR(MATCH(100,'كشف الحساب'!$N$4:$N$203,0),0)=0,"",INDEX('كشف الحساب'!$H$4:$H$203,IFERROR(MATCH(100,'كشف الحساب'!$N$4:$N$203,0),0))),"")</f>
        <v/>
      </c>
      <c r="I104" s="72" t="str">
        <f>IFERROR(IF(IFERROR(MATCH(100,'كشف الحساب'!$N$4:$N$203,0),0)=0,"",INDEX('كشف الحساب'!$I$4:$I$203,IFERROR(MATCH(100,'كشف الحساب'!$N$4:$N$203,0),0))),"")</f>
        <v/>
      </c>
      <c r="J104" s="76" t="str">
        <f>IFERROR(IF(IFERROR(MATCH(100,'كشف الحساب'!$N$4:$N$203,0),0)=0,"",INDEX('كشف الحساب'!$J$4:$J$203,IFERROR(MATCH(100,'كشف الحساب'!$N$4:$N$203,0),0))),"")</f>
        <v/>
      </c>
      <c r="K104" s="72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5" t="str">
        <f>IFERROR(IF(IFERROR(MATCH(101,'كشف الحساب'!$N$4:$N$203,0),0)=0,"",INDEX('كشف الحساب'!$A$4:$A$203,IFERROR(MATCH(101,'كشف الحساب'!$N$4:$N$203,0),0))),"")</f>
        <v/>
      </c>
      <c r="B105" s="66" t="str">
        <f>IFERROR(IF(IFERROR(MATCH(101,'كشف الحساب'!$N$4:$N$203,0),0)=0,"",INDEX('كشف الحساب'!$B$4:$B$203,IFERROR(MATCH(101,'كشف الحساب'!$N$4:$N$203,0),0))),"")</f>
        <v/>
      </c>
      <c r="C105" s="67" t="str">
        <f>IFERROR(IF(IFERROR(MATCH(101,'كشف الحساب'!$N$4:$N$203,0),0)=0,"",INDEX('كشف الحساب'!$C$4:$C$203,IFERROR(MATCH(101,'كشف الحساب'!$N$4:$N$203,0),0))),"")</f>
        <v/>
      </c>
      <c r="D105" s="68" t="str">
        <f>IFERROR(IF(IFERROR(MATCH(101,'كشف الحساب'!$N$4:$N$203,0),0)=0,"",INDEX('كشف الحساب'!$D$4:$D$203,IFERROR(MATCH(101,'كشف الحساب'!$N$4:$N$203,0),0))),"")</f>
        <v/>
      </c>
      <c r="E105" s="69" t="str">
        <f>IFERROR(IF(IFERROR(MATCH(101,'كشف الحساب'!$N$4:$N$203,0),0)=0,"",INDEX('كشف الحساب'!$E$4:$E$203,IFERROR(MATCH(101,'كشف الحساب'!$N$4:$N$203,0),0))),"")</f>
        <v/>
      </c>
      <c r="F105" s="66" t="str">
        <f>IFERROR(IF(IFERROR(MATCH(101,'كشف الحساب'!$N$4:$N$203,0),0)=0,"",INDEX('كشف الحساب'!$F$4:$F$203,IFERROR(MATCH(101,'كشف الحساب'!$N$4:$N$203,0),0))),"")</f>
        <v/>
      </c>
      <c r="G105" s="66" t="str">
        <f>IFERROR(IF(IFERROR(MATCH(101,'كشف الحساب'!$N$4:$N$203,0),0)=0,"",INDEX('كشف الحساب'!$G$4:$G$203,IFERROR(MATCH(101,'كشف الحساب'!$N$4:$N$203,0),0))),"")</f>
        <v/>
      </c>
      <c r="H105" s="66" t="str">
        <f>IFERROR(IF(IFERROR(MATCH(101,'كشف الحساب'!$N$4:$N$203,0),0)=0,"",INDEX('كشف الحساب'!$H$4:$H$203,IFERROR(MATCH(101,'كشف الحساب'!$N$4:$N$203,0),0))),"")</f>
        <v/>
      </c>
      <c r="I105" s="66" t="str">
        <f>IFERROR(IF(IFERROR(MATCH(101,'كشف الحساب'!$N$4:$N$203,0),0)=0,"",INDEX('كشف الحساب'!$I$4:$I$203,IFERROR(MATCH(101,'كشف الحساب'!$N$4:$N$203,0),0))),"")</f>
        <v/>
      </c>
      <c r="J105" s="70" t="str">
        <f>IFERROR(IF(IFERROR(MATCH(101,'كشف الحساب'!$N$4:$N$203,0),0)=0,"",INDEX('كشف الحساب'!$J$4:$J$203,IFERROR(MATCH(101,'كشف الحساب'!$N$4:$N$203,0),0))),"")</f>
        <v/>
      </c>
      <c r="K105" s="66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71" t="str">
        <f>IFERROR(IF(IFERROR(MATCH(102,'كشف الحساب'!$N$4:$N$203,0),0)=0,"",INDEX('كشف الحساب'!$A$4:$A$203,IFERROR(MATCH(102,'كشف الحساب'!$N$4:$N$203,0),0))),"")</f>
        <v/>
      </c>
      <c r="B106" s="72" t="str">
        <f>IFERROR(IF(IFERROR(MATCH(102,'كشف الحساب'!$N$4:$N$203,0),0)=0,"",INDEX('كشف الحساب'!$B$4:$B$203,IFERROR(MATCH(102,'كشف الحساب'!$N$4:$N$203,0),0))),"")</f>
        <v/>
      </c>
      <c r="C106" s="73" t="str">
        <f>IFERROR(IF(IFERROR(MATCH(102,'كشف الحساب'!$N$4:$N$203,0),0)=0,"",INDEX('كشف الحساب'!$C$4:$C$203,IFERROR(MATCH(102,'كشف الحساب'!$N$4:$N$203,0),0))),"")</f>
        <v/>
      </c>
      <c r="D106" s="74" t="str">
        <f>IFERROR(IF(IFERROR(MATCH(102,'كشف الحساب'!$N$4:$N$203,0),0)=0,"",INDEX('كشف الحساب'!$D$4:$D$203,IFERROR(MATCH(102,'كشف الحساب'!$N$4:$N$203,0),0))),"")</f>
        <v/>
      </c>
      <c r="E106" s="75" t="str">
        <f>IFERROR(IF(IFERROR(MATCH(102,'كشف الحساب'!$N$4:$N$203,0),0)=0,"",INDEX('كشف الحساب'!$E$4:$E$203,IFERROR(MATCH(102,'كشف الحساب'!$N$4:$N$203,0),0))),"")</f>
        <v/>
      </c>
      <c r="F106" s="72" t="str">
        <f>IFERROR(IF(IFERROR(MATCH(102,'كشف الحساب'!$N$4:$N$203,0),0)=0,"",INDEX('كشف الحساب'!$F$4:$F$203,IFERROR(MATCH(102,'كشف الحساب'!$N$4:$N$203,0),0))),"")</f>
        <v/>
      </c>
      <c r="G106" s="72" t="str">
        <f>IFERROR(IF(IFERROR(MATCH(102,'كشف الحساب'!$N$4:$N$203,0),0)=0,"",INDEX('كشف الحساب'!$G$4:$G$203,IFERROR(MATCH(102,'كشف الحساب'!$N$4:$N$203,0),0))),"")</f>
        <v/>
      </c>
      <c r="H106" s="72" t="str">
        <f>IFERROR(IF(IFERROR(MATCH(102,'كشف الحساب'!$N$4:$N$203,0),0)=0,"",INDEX('كشف الحساب'!$H$4:$H$203,IFERROR(MATCH(102,'كشف الحساب'!$N$4:$N$203,0),0))),"")</f>
        <v/>
      </c>
      <c r="I106" s="72" t="str">
        <f>IFERROR(IF(IFERROR(MATCH(102,'كشف الحساب'!$N$4:$N$203,0),0)=0,"",INDEX('كشف الحساب'!$I$4:$I$203,IFERROR(MATCH(102,'كشف الحساب'!$N$4:$N$203,0),0))),"")</f>
        <v/>
      </c>
      <c r="J106" s="76" t="str">
        <f>IFERROR(IF(IFERROR(MATCH(102,'كشف الحساب'!$N$4:$N$203,0),0)=0,"",INDEX('كشف الحساب'!$J$4:$J$203,IFERROR(MATCH(102,'كشف الحساب'!$N$4:$N$203,0),0))),"")</f>
        <v/>
      </c>
      <c r="K106" s="72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5" t="str">
        <f>IFERROR(IF(IFERROR(MATCH(103,'كشف الحساب'!$N$4:$N$203,0),0)=0,"",INDEX('كشف الحساب'!$A$4:$A$203,IFERROR(MATCH(103,'كشف الحساب'!$N$4:$N$203,0),0))),"")</f>
        <v/>
      </c>
      <c r="B107" s="66" t="str">
        <f>IFERROR(IF(IFERROR(MATCH(103,'كشف الحساب'!$N$4:$N$203,0),0)=0,"",INDEX('كشف الحساب'!$B$4:$B$203,IFERROR(MATCH(103,'كشف الحساب'!$N$4:$N$203,0),0))),"")</f>
        <v/>
      </c>
      <c r="C107" s="67" t="str">
        <f>IFERROR(IF(IFERROR(MATCH(103,'كشف الحساب'!$N$4:$N$203,0),0)=0,"",INDEX('كشف الحساب'!$C$4:$C$203,IFERROR(MATCH(103,'كشف الحساب'!$N$4:$N$203,0),0))),"")</f>
        <v/>
      </c>
      <c r="D107" s="68" t="str">
        <f>IFERROR(IF(IFERROR(MATCH(103,'كشف الحساب'!$N$4:$N$203,0),0)=0,"",INDEX('كشف الحساب'!$D$4:$D$203,IFERROR(MATCH(103,'كشف الحساب'!$N$4:$N$203,0),0))),"")</f>
        <v/>
      </c>
      <c r="E107" s="69" t="str">
        <f>IFERROR(IF(IFERROR(MATCH(103,'كشف الحساب'!$N$4:$N$203,0),0)=0,"",INDEX('كشف الحساب'!$E$4:$E$203,IFERROR(MATCH(103,'كشف الحساب'!$N$4:$N$203,0),0))),"")</f>
        <v/>
      </c>
      <c r="F107" s="66" t="str">
        <f>IFERROR(IF(IFERROR(MATCH(103,'كشف الحساب'!$N$4:$N$203,0),0)=0,"",INDEX('كشف الحساب'!$F$4:$F$203,IFERROR(MATCH(103,'كشف الحساب'!$N$4:$N$203,0),0))),"")</f>
        <v/>
      </c>
      <c r="G107" s="66" t="str">
        <f>IFERROR(IF(IFERROR(MATCH(103,'كشف الحساب'!$N$4:$N$203,0),0)=0,"",INDEX('كشف الحساب'!$G$4:$G$203,IFERROR(MATCH(103,'كشف الحساب'!$N$4:$N$203,0),0))),"")</f>
        <v/>
      </c>
      <c r="H107" s="66" t="str">
        <f>IFERROR(IF(IFERROR(MATCH(103,'كشف الحساب'!$N$4:$N$203,0),0)=0,"",INDEX('كشف الحساب'!$H$4:$H$203,IFERROR(MATCH(103,'كشف الحساب'!$N$4:$N$203,0),0))),"")</f>
        <v/>
      </c>
      <c r="I107" s="66" t="str">
        <f>IFERROR(IF(IFERROR(MATCH(103,'كشف الحساب'!$N$4:$N$203,0),0)=0,"",INDEX('كشف الحساب'!$I$4:$I$203,IFERROR(MATCH(103,'كشف الحساب'!$N$4:$N$203,0),0))),"")</f>
        <v/>
      </c>
      <c r="J107" s="70" t="str">
        <f>IFERROR(IF(IFERROR(MATCH(103,'كشف الحساب'!$N$4:$N$203,0),0)=0,"",INDEX('كشف الحساب'!$J$4:$J$203,IFERROR(MATCH(103,'كشف الحساب'!$N$4:$N$203,0),0))),"")</f>
        <v/>
      </c>
      <c r="K107" s="66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71" t="str">
        <f>IFERROR(IF(IFERROR(MATCH(104,'كشف الحساب'!$N$4:$N$203,0),0)=0,"",INDEX('كشف الحساب'!$A$4:$A$203,IFERROR(MATCH(104,'كشف الحساب'!$N$4:$N$203,0),0))),"")</f>
        <v/>
      </c>
      <c r="B108" s="72" t="str">
        <f>IFERROR(IF(IFERROR(MATCH(104,'كشف الحساب'!$N$4:$N$203,0),0)=0,"",INDEX('كشف الحساب'!$B$4:$B$203,IFERROR(MATCH(104,'كشف الحساب'!$N$4:$N$203,0),0))),"")</f>
        <v/>
      </c>
      <c r="C108" s="73" t="str">
        <f>IFERROR(IF(IFERROR(MATCH(104,'كشف الحساب'!$N$4:$N$203,0),0)=0,"",INDEX('كشف الحساب'!$C$4:$C$203,IFERROR(MATCH(104,'كشف الحساب'!$N$4:$N$203,0),0))),"")</f>
        <v/>
      </c>
      <c r="D108" s="74" t="str">
        <f>IFERROR(IF(IFERROR(MATCH(104,'كشف الحساب'!$N$4:$N$203,0),0)=0,"",INDEX('كشف الحساب'!$D$4:$D$203,IFERROR(MATCH(104,'كشف الحساب'!$N$4:$N$203,0),0))),"")</f>
        <v/>
      </c>
      <c r="E108" s="75" t="str">
        <f>IFERROR(IF(IFERROR(MATCH(104,'كشف الحساب'!$N$4:$N$203,0),0)=0,"",INDEX('كشف الحساب'!$E$4:$E$203,IFERROR(MATCH(104,'كشف الحساب'!$N$4:$N$203,0),0))),"")</f>
        <v/>
      </c>
      <c r="F108" s="72" t="str">
        <f>IFERROR(IF(IFERROR(MATCH(104,'كشف الحساب'!$N$4:$N$203,0),0)=0,"",INDEX('كشف الحساب'!$F$4:$F$203,IFERROR(MATCH(104,'كشف الحساب'!$N$4:$N$203,0),0))),"")</f>
        <v/>
      </c>
      <c r="G108" s="72" t="str">
        <f>IFERROR(IF(IFERROR(MATCH(104,'كشف الحساب'!$N$4:$N$203,0),0)=0,"",INDEX('كشف الحساب'!$G$4:$G$203,IFERROR(MATCH(104,'كشف الحساب'!$N$4:$N$203,0),0))),"")</f>
        <v/>
      </c>
      <c r="H108" s="72" t="str">
        <f>IFERROR(IF(IFERROR(MATCH(104,'كشف الحساب'!$N$4:$N$203,0),0)=0,"",INDEX('كشف الحساب'!$H$4:$H$203,IFERROR(MATCH(104,'كشف الحساب'!$N$4:$N$203,0),0))),"")</f>
        <v/>
      </c>
      <c r="I108" s="72" t="str">
        <f>IFERROR(IF(IFERROR(MATCH(104,'كشف الحساب'!$N$4:$N$203,0),0)=0,"",INDEX('كشف الحساب'!$I$4:$I$203,IFERROR(MATCH(104,'كشف الحساب'!$N$4:$N$203,0),0))),"")</f>
        <v/>
      </c>
      <c r="J108" s="76" t="str">
        <f>IFERROR(IF(IFERROR(MATCH(104,'كشف الحساب'!$N$4:$N$203,0),0)=0,"",INDEX('كشف الحساب'!$J$4:$J$203,IFERROR(MATCH(104,'كشف الحساب'!$N$4:$N$203,0),0))),"")</f>
        <v/>
      </c>
      <c r="K108" s="72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5" t="str">
        <f>IFERROR(IF(IFERROR(MATCH(105,'كشف الحساب'!$N$4:$N$203,0),0)=0,"",INDEX('كشف الحساب'!$A$4:$A$203,IFERROR(MATCH(105,'كشف الحساب'!$N$4:$N$203,0),0))),"")</f>
        <v/>
      </c>
      <c r="B109" s="66" t="str">
        <f>IFERROR(IF(IFERROR(MATCH(105,'كشف الحساب'!$N$4:$N$203,0),0)=0,"",INDEX('كشف الحساب'!$B$4:$B$203,IFERROR(MATCH(105,'كشف الحساب'!$N$4:$N$203,0),0))),"")</f>
        <v/>
      </c>
      <c r="C109" s="67" t="str">
        <f>IFERROR(IF(IFERROR(MATCH(105,'كشف الحساب'!$N$4:$N$203,0),0)=0,"",INDEX('كشف الحساب'!$C$4:$C$203,IFERROR(MATCH(105,'كشف الحساب'!$N$4:$N$203,0),0))),"")</f>
        <v/>
      </c>
      <c r="D109" s="68" t="str">
        <f>IFERROR(IF(IFERROR(MATCH(105,'كشف الحساب'!$N$4:$N$203,0),0)=0,"",INDEX('كشف الحساب'!$D$4:$D$203,IFERROR(MATCH(105,'كشف الحساب'!$N$4:$N$203,0),0))),"")</f>
        <v/>
      </c>
      <c r="E109" s="69" t="str">
        <f>IFERROR(IF(IFERROR(MATCH(105,'كشف الحساب'!$N$4:$N$203,0),0)=0,"",INDEX('كشف الحساب'!$E$4:$E$203,IFERROR(MATCH(105,'كشف الحساب'!$N$4:$N$203,0),0))),"")</f>
        <v/>
      </c>
      <c r="F109" s="66" t="str">
        <f>IFERROR(IF(IFERROR(MATCH(105,'كشف الحساب'!$N$4:$N$203,0),0)=0,"",INDEX('كشف الحساب'!$F$4:$F$203,IFERROR(MATCH(105,'كشف الحساب'!$N$4:$N$203,0),0))),"")</f>
        <v/>
      </c>
      <c r="G109" s="66" t="str">
        <f>IFERROR(IF(IFERROR(MATCH(105,'كشف الحساب'!$N$4:$N$203,0),0)=0,"",INDEX('كشف الحساب'!$G$4:$G$203,IFERROR(MATCH(105,'كشف الحساب'!$N$4:$N$203,0),0))),"")</f>
        <v/>
      </c>
      <c r="H109" s="66" t="str">
        <f>IFERROR(IF(IFERROR(MATCH(105,'كشف الحساب'!$N$4:$N$203,0),0)=0,"",INDEX('كشف الحساب'!$H$4:$H$203,IFERROR(MATCH(105,'كشف الحساب'!$N$4:$N$203,0),0))),"")</f>
        <v/>
      </c>
      <c r="I109" s="66" t="str">
        <f>IFERROR(IF(IFERROR(MATCH(105,'كشف الحساب'!$N$4:$N$203,0),0)=0,"",INDEX('كشف الحساب'!$I$4:$I$203,IFERROR(MATCH(105,'كشف الحساب'!$N$4:$N$203,0),0))),"")</f>
        <v/>
      </c>
      <c r="J109" s="70" t="str">
        <f>IFERROR(IF(IFERROR(MATCH(105,'كشف الحساب'!$N$4:$N$203,0),0)=0,"",INDEX('كشف الحساب'!$J$4:$J$203,IFERROR(MATCH(105,'كشف الحساب'!$N$4:$N$203,0),0))),"")</f>
        <v/>
      </c>
      <c r="K109" s="66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71" t="str">
        <f>IFERROR(IF(IFERROR(MATCH(106,'كشف الحساب'!$N$4:$N$203,0),0)=0,"",INDEX('كشف الحساب'!$A$4:$A$203,IFERROR(MATCH(106,'كشف الحساب'!$N$4:$N$203,0),0))),"")</f>
        <v/>
      </c>
      <c r="B110" s="72" t="str">
        <f>IFERROR(IF(IFERROR(MATCH(106,'كشف الحساب'!$N$4:$N$203,0),0)=0,"",INDEX('كشف الحساب'!$B$4:$B$203,IFERROR(MATCH(106,'كشف الحساب'!$N$4:$N$203,0),0))),"")</f>
        <v/>
      </c>
      <c r="C110" s="73" t="str">
        <f>IFERROR(IF(IFERROR(MATCH(106,'كشف الحساب'!$N$4:$N$203,0),0)=0,"",INDEX('كشف الحساب'!$C$4:$C$203,IFERROR(MATCH(106,'كشف الحساب'!$N$4:$N$203,0),0))),"")</f>
        <v/>
      </c>
      <c r="D110" s="74" t="str">
        <f>IFERROR(IF(IFERROR(MATCH(106,'كشف الحساب'!$N$4:$N$203,0),0)=0,"",INDEX('كشف الحساب'!$D$4:$D$203,IFERROR(MATCH(106,'كشف الحساب'!$N$4:$N$203,0),0))),"")</f>
        <v/>
      </c>
      <c r="E110" s="75" t="str">
        <f>IFERROR(IF(IFERROR(MATCH(106,'كشف الحساب'!$N$4:$N$203,0),0)=0,"",INDEX('كشف الحساب'!$E$4:$E$203,IFERROR(MATCH(106,'كشف الحساب'!$N$4:$N$203,0),0))),"")</f>
        <v/>
      </c>
      <c r="F110" s="72" t="str">
        <f>IFERROR(IF(IFERROR(MATCH(106,'كشف الحساب'!$N$4:$N$203,0),0)=0,"",INDEX('كشف الحساب'!$F$4:$F$203,IFERROR(MATCH(106,'كشف الحساب'!$N$4:$N$203,0),0))),"")</f>
        <v/>
      </c>
      <c r="G110" s="72" t="str">
        <f>IFERROR(IF(IFERROR(MATCH(106,'كشف الحساب'!$N$4:$N$203,0),0)=0,"",INDEX('كشف الحساب'!$G$4:$G$203,IFERROR(MATCH(106,'كشف الحساب'!$N$4:$N$203,0),0))),"")</f>
        <v/>
      </c>
      <c r="H110" s="72" t="str">
        <f>IFERROR(IF(IFERROR(MATCH(106,'كشف الحساب'!$N$4:$N$203,0),0)=0,"",INDEX('كشف الحساب'!$H$4:$H$203,IFERROR(MATCH(106,'كشف الحساب'!$N$4:$N$203,0),0))),"")</f>
        <v/>
      </c>
      <c r="I110" s="72" t="str">
        <f>IFERROR(IF(IFERROR(MATCH(106,'كشف الحساب'!$N$4:$N$203,0),0)=0,"",INDEX('كشف الحساب'!$I$4:$I$203,IFERROR(MATCH(106,'كشف الحساب'!$N$4:$N$203,0),0))),"")</f>
        <v/>
      </c>
      <c r="J110" s="76" t="str">
        <f>IFERROR(IF(IFERROR(MATCH(106,'كشف الحساب'!$N$4:$N$203,0),0)=0,"",INDEX('كشف الحساب'!$J$4:$J$203,IFERROR(MATCH(106,'كشف الحساب'!$N$4:$N$203,0),0))),"")</f>
        <v/>
      </c>
      <c r="K110" s="72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5" t="str">
        <f>IFERROR(IF(IFERROR(MATCH(107,'كشف الحساب'!$N$4:$N$203,0),0)=0,"",INDEX('كشف الحساب'!$A$4:$A$203,IFERROR(MATCH(107,'كشف الحساب'!$N$4:$N$203,0),0))),"")</f>
        <v/>
      </c>
      <c r="B111" s="66" t="str">
        <f>IFERROR(IF(IFERROR(MATCH(107,'كشف الحساب'!$N$4:$N$203,0),0)=0,"",INDEX('كشف الحساب'!$B$4:$B$203,IFERROR(MATCH(107,'كشف الحساب'!$N$4:$N$203,0),0))),"")</f>
        <v/>
      </c>
      <c r="C111" s="67" t="str">
        <f>IFERROR(IF(IFERROR(MATCH(107,'كشف الحساب'!$N$4:$N$203,0),0)=0,"",INDEX('كشف الحساب'!$C$4:$C$203,IFERROR(MATCH(107,'كشف الحساب'!$N$4:$N$203,0),0))),"")</f>
        <v/>
      </c>
      <c r="D111" s="68" t="str">
        <f>IFERROR(IF(IFERROR(MATCH(107,'كشف الحساب'!$N$4:$N$203,0),0)=0,"",INDEX('كشف الحساب'!$D$4:$D$203,IFERROR(MATCH(107,'كشف الحساب'!$N$4:$N$203,0),0))),"")</f>
        <v/>
      </c>
      <c r="E111" s="69" t="str">
        <f>IFERROR(IF(IFERROR(MATCH(107,'كشف الحساب'!$N$4:$N$203,0),0)=0,"",INDEX('كشف الحساب'!$E$4:$E$203,IFERROR(MATCH(107,'كشف الحساب'!$N$4:$N$203,0),0))),"")</f>
        <v/>
      </c>
      <c r="F111" s="66" t="str">
        <f>IFERROR(IF(IFERROR(MATCH(107,'كشف الحساب'!$N$4:$N$203,0),0)=0,"",INDEX('كشف الحساب'!$F$4:$F$203,IFERROR(MATCH(107,'كشف الحساب'!$N$4:$N$203,0),0))),"")</f>
        <v/>
      </c>
      <c r="G111" s="66" t="str">
        <f>IFERROR(IF(IFERROR(MATCH(107,'كشف الحساب'!$N$4:$N$203,0),0)=0,"",INDEX('كشف الحساب'!$G$4:$G$203,IFERROR(MATCH(107,'كشف الحساب'!$N$4:$N$203,0),0))),"")</f>
        <v/>
      </c>
      <c r="H111" s="66" t="str">
        <f>IFERROR(IF(IFERROR(MATCH(107,'كشف الحساب'!$N$4:$N$203,0),0)=0,"",INDEX('كشف الحساب'!$H$4:$H$203,IFERROR(MATCH(107,'كشف الحساب'!$N$4:$N$203,0),0))),"")</f>
        <v/>
      </c>
      <c r="I111" s="66" t="str">
        <f>IFERROR(IF(IFERROR(MATCH(107,'كشف الحساب'!$N$4:$N$203,0),0)=0,"",INDEX('كشف الحساب'!$I$4:$I$203,IFERROR(MATCH(107,'كشف الحساب'!$N$4:$N$203,0),0))),"")</f>
        <v/>
      </c>
      <c r="J111" s="70" t="str">
        <f>IFERROR(IF(IFERROR(MATCH(107,'كشف الحساب'!$N$4:$N$203,0),0)=0,"",INDEX('كشف الحساب'!$J$4:$J$203,IFERROR(MATCH(107,'كشف الحساب'!$N$4:$N$203,0),0))),"")</f>
        <v/>
      </c>
      <c r="K111" s="66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71" t="str">
        <f>IFERROR(IF(IFERROR(MATCH(108,'كشف الحساب'!$N$4:$N$203,0),0)=0,"",INDEX('كشف الحساب'!$A$4:$A$203,IFERROR(MATCH(108,'كشف الحساب'!$N$4:$N$203,0),0))),"")</f>
        <v/>
      </c>
      <c r="B112" s="72" t="str">
        <f>IFERROR(IF(IFERROR(MATCH(108,'كشف الحساب'!$N$4:$N$203,0),0)=0,"",INDEX('كشف الحساب'!$B$4:$B$203,IFERROR(MATCH(108,'كشف الحساب'!$N$4:$N$203,0),0))),"")</f>
        <v/>
      </c>
      <c r="C112" s="73" t="str">
        <f>IFERROR(IF(IFERROR(MATCH(108,'كشف الحساب'!$N$4:$N$203,0),0)=0,"",INDEX('كشف الحساب'!$C$4:$C$203,IFERROR(MATCH(108,'كشف الحساب'!$N$4:$N$203,0),0))),"")</f>
        <v/>
      </c>
      <c r="D112" s="74" t="str">
        <f>IFERROR(IF(IFERROR(MATCH(108,'كشف الحساب'!$N$4:$N$203,0),0)=0,"",INDEX('كشف الحساب'!$D$4:$D$203,IFERROR(MATCH(108,'كشف الحساب'!$N$4:$N$203,0),0))),"")</f>
        <v/>
      </c>
      <c r="E112" s="75" t="str">
        <f>IFERROR(IF(IFERROR(MATCH(108,'كشف الحساب'!$N$4:$N$203,0),0)=0,"",INDEX('كشف الحساب'!$E$4:$E$203,IFERROR(MATCH(108,'كشف الحساب'!$N$4:$N$203,0),0))),"")</f>
        <v/>
      </c>
      <c r="F112" s="72" t="str">
        <f>IFERROR(IF(IFERROR(MATCH(108,'كشف الحساب'!$N$4:$N$203,0),0)=0,"",INDEX('كشف الحساب'!$F$4:$F$203,IFERROR(MATCH(108,'كشف الحساب'!$N$4:$N$203,0),0))),"")</f>
        <v/>
      </c>
      <c r="G112" s="72" t="str">
        <f>IFERROR(IF(IFERROR(MATCH(108,'كشف الحساب'!$N$4:$N$203,0),0)=0,"",INDEX('كشف الحساب'!$G$4:$G$203,IFERROR(MATCH(108,'كشف الحساب'!$N$4:$N$203,0),0))),"")</f>
        <v/>
      </c>
      <c r="H112" s="72" t="str">
        <f>IFERROR(IF(IFERROR(MATCH(108,'كشف الحساب'!$N$4:$N$203,0),0)=0,"",INDEX('كشف الحساب'!$H$4:$H$203,IFERROR(MATCH(108,'كشف الحساب'!$N$4:$N$203,0),0))),"")</f>
        <v/>
      </c>
      <c r="I112" s="72" t="str">
        <f>IFERROR(IF(IFERROR(MATCH(108,'كشف الحساب'!$N$4:$N$203,0),0)=0,"",INDEX('كشف الحساب'!$I$4:$I$203,IFERROR(MATCH(108,'كشف الحساب'!$N$4:$N$203,0),0))),"")</f>
        <v/>
      </c>
      <c r="J112" s="76" t="str">
        <f>IFERROR(IF(IFERROR(MATCH(108,'كشف الحساب'!$N$4:$N$203,0),0)=0,"",INDEX('كشف الحساب'!$J$4:$J$203,IFERROR(MATCH(108,'كشف الحساب'!$N$4:$N$203,0),0))),"")</f>
        <v/>
      </c>
      <c r="K112" s="72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5" t="str">
        <f>IFERROR(IF(IFERROR(MATCH(109,'كشف الحساب'!$N$4:$N$203,0),0)=0,"",INDEX('كشف الحساب'!$A$4:$A$203,IFERROR(MATCH(109,'كشف الحساب'!$N$4:$N$203,0),0))),"")</f>
        <v/>
      </c>
      <c r="B113" s="66" t="str">
        <f>IFERROR(IF(IFERROR(MATCH(109,'كشف الحساب'!$N$4:$N$203,0),0)=0,"",INDEX('كشف الحساب'!$B$4:$B$203,IFERROR(MATCH(109,'كشف الحساب'!$N$4:$N$203,0),0))),"")</f>
        <v/>
      </c>
      <c r="C113" s="67" t="str">
        <f>IFERROR(IF(IFERROR(MATCH(109,'كشف الحساب'!$N$4:$N$203,0),0)=0,"",INDEX('كشف الحساب'!$C$4:$C$203,IFERROR(MATCH(109,'كشف الحساب'!$N$4:$N$203,0),0))),"")</f>
        <v/>
      </c>
      <c r="D113" s="68" t="str">
        <f>IFERROR(IF(IFERROR(MATCH(109,'كشف الحساب'!$N$4:$N$203,0),0)=0,"",INDEX('كشف الحساب'!$D$4:$D$203,IFERROR(MATCH(109,'كشف الحساب'!$N$4:$N$203,0),0))),"")</f>
        <v/>
      </c>
      <c r="E113" s="69" t="str">
        <f>IFERROR(IF(IFERROR(MATCH(109,'كشف الحساب'!$N$4:$N$203,0),0)=0,"",INDEX('كشف الحساب'!$E$4:$E$203,IFERROR(MATCH(109,'كشف الحساب'!$N$4:$N$203,0),0))),"")</f>
        <v/>
      </c>
      <c r="F113" s="66" t="str">
        <f>IFERROR(IF(IFERROR(MATCH(109,'كشف الحساب'!$N$4:$N$203,0),0)=0,"",INDEX('كشف الحساب'!$F$4:$F$203,IFERROR(MATCH(109,'كشف الحساب'!$N$4:$N$203,0),0))),"")</f>
        <v/>
      </c>
      <c r="G113" s="66" t="str">
        <f>IFERROR(IF(IFERROR(MATCH(109,'كشف الحساب'!$N$4:$N$203,0),0)=0,"",INDEX('كشف الحساب'!$G$4:$G$203,IFERROR(MATCH(109,'كشف الحساب'!$N$4:$N$203,0),0))),"")</f>
        <v/>
      </c>
      <c r="H113" s="66" t="str">
        <f>IFERROR(IF(IFERROR(MATCH(109,'كشف الحساب'!$N$4:$N$203,0),0)=0,"",INDEX('كشف الحساب'!$H$4:$H$203,IFERROR(MATCH(109,'كشف الحساب'!$N$4:$N$203,0),0))),"")</f>
        <v/>
      </c>
      <c r="I113" s="66" t="str">
        <f>IFERROR(IF(IFERROR(MATCH(109,'كشف الحساب'!$N$4:$N$203,0),0)=0,"",INDEX('كشف الحساب'!$I$4:$I$203,IFERROR(MATCH(109,'كشف الحساب'!$N$4:$N$203,0),0))),"")</f>
        <v/>
      </c>
      <c r="J113" s="70" t="str">
        <f>IFERROR(IF(IFERROR(MATCH(109,'كشف الحساب'!$N$4:$N$203,0),0)=0,"",INDEX('كشف الحساب'!$J$4:$J$203,IFERROR(MATCH(109,'كشف الحساب'!$N$4:$N$203,0),0))),"")</f>
        <v/>
      </c>
      <c r="K113" s="66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71" t="str">
        <f>IFERROR(IF(IFERROR(MATCH(110,'كشف الحساب'!$N$4:$N$203,0),0)=0,"",INDEX('كشف الحساب'!$A$4:$A$203,IFERROR(MATCH(110,'كشف الحساب'!$N$4:$N$203,0),0))),"")</f>
        <v/>
      </c>
      <c r="B114" s="72" t="str">
        <f>IFERROR(IF(IFERROR(MATCH(110,'كشف الحساب'!$N$4:$N$203,0),0)=0,"",INDEX('كشف الحساب'!$B$4:$B$203,IFERROR(MATCH(110,'كشف الحساب'!$N$4:$N$203,0),0))),"")</f>
        <v/>
      </c>
      <c r="C114" s="73" t="str">
        <f>IFERROR(IF(IFERROR(MATCH(110,'كشف الحساب'!$N$4:$N$203,0),0)=0,"",INDEX('كشف الحساب'!$C$4:$C$203,IFERROR(MATCH(110,'كشف الحساب'!$N$4:$N$203,0),0))),"")</f>
        <v/>
      </c>
      <c r="D114" s="74" t="str">
        <f>IFERROR(IF(IFERROR(MATCH(110,'كشف الحساب'!$N$4:$N$203,0),0)=0,"",INDEX('كشف الحساب'!$D$4:$D$203,IFERROR(MATCH(110,'كشف الحساب'!$N$4:$N$203,0),0))),"")</f>
        <v/>
      </c>
      <c r="E114" s="75" t="str">
        <f>IFERROR(IF(IFERROR(MATCH(110,'كشف الحساب'!$N$4:$N$203,0),0)=0,"",INDEX('كشف الحساب'!$E$4:$E$203,IFERROR(MATCH(110,'كشف الحساب'!$N$4:$N$203,0),0))),"")</f>
        <v/>
      </c>
      <c r="F114" s="72" t="str">
        <f>IFERROR(IF(IFERROR(MATCH(110,'كشف الحساب'!$N$4:$N$203,0),0)=0,"",INDEX('كشف الحساب'!$F$4:$F$203,IFERROR(MATCH(110,'كشف الحساب'!$N$4:$N$203,0),0))),"")</f>
        <v/>
      </c>
      <c r="G114" s="72" t="str">
        <f>IFERROR(IF(IFERROR(MATCH(110,'كشف الحساب'!$N$4:$N$203,0),0)=0,"",INDEX('كشف الحساب'!$G$4:$G$203,IFERROR(MATCH(110,'كشف الحساب'!$N$4:$N$203,0),0))),"")</f>
        <v/>
      </c>
      <c r="H114" s="72" t="str">
        <f>IFERROR(IF(IFERROR(MATCH(110,'كشف الحساب'!$N$4:$N$203,0),0)=0,"",INDEX('كشف الحساب'!$H$4:$H$203,IFERROR(MATCH(110,'كشف الحساب'!$N$4:$N$203,0),0))),"")</f>
        <v/>
      </c>
      <c r="I114" s="72" t="str">
        <f>IFERROR(IF(IFERROR(MATCH(110,'كشف الحساب'!$N$4:$N$203,0),0)=0,"",INDEX('كشف الحساب'!$I$4:$I$203,IFERROR(MATCH(110,'كشف الحساب'!$N$4:$N$203,0),0))),"")</f>
        <v/>
      </c>
      <c r="J114" s="76" t="str">
        <f>IFERROR(IF(IFERROR(MATCH(110,'كشف الحساب'!$N$4:$N$203,0),0)=0,"",INDEX('كشف الحساب'!$J$4:$J$203,IFERROR(MATCH(110,'كشف الحساب'!$N$4:$N$203,0),0))),"")</f>
        <v/>
      </c>
      <c r="K114" s="72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5" t="str">
        <f>IFERROR(IF(IFERROR(MATCH(111,'كشف الحساب'!$N$4:$N$203,0),0)=0,"",INDEX('كشف الحساب'!$A$4:$A$203,IFERROR(MATCH(111,'كشف الحساب'!$N$4:$N$203,0),0))),"")</f>
        <v/>
      </c>
      <c r="B115" s="66" t="str">
        <f>IFERROR(IF(IFERROR(MATCH(111,'كشف الحساب'!$N$4:$N$203,0),0)=0,"",INDEX('كشف الحساب'!$B$4:$B$203,IFERROR(MATCH(111,'كشف الحساب'!$N$4:$N$203,0),0))),"")</f>
        <v/>
      </c>
      <c r="C115" s="67" t="str">
        <f>IFERROR(IF(IFERROR(MATCH(111,'كشف الحساب'!$N$4:$N$203,0),0)=0,"",INDEX('كشف الحساب'!$C$4:$C$203,IFERROR(MATCH(111,'كشف الحساب'!$N$4:$N$203,0),0))),"")</f>
        <v/>
      </c>
      <c r="D115" s="68" t="str">
        <f>IFERROR(IF(IFERROR(MATCH(111,'كشف الحساب'!$N$4:$N$203,0),0)=0,"",INDEX('كشف الحساب'!$D$4:$D$203,IFERROR(MATCH(111,'كشف الحساب'!$N$4:$N$203,0),0))),"")</f>
        <v/>
      </c>
      <c r="E115" s="69" t="str">
        <f>IFERROR(IF(IFERROR(MATCH(111,'كشف الحساب'!$N$4:$N$203,0),0)=0,"",INDEX('كشف الحساب'!$E$4:$E$203,IFERROR(MATCH(111,'كشف الحساب'!$N$4:$N$203,0),0))),"")</f>
        <v/>
      </c>
      <c r="F115" s="66" t="str">
        <f>IFERROR(IF(IFERROR(MATCH(111,'كشف الحساب'!$N$4:$N$203,0),0)=0,"",INDEX('كشف الحساب'!$F$4:$F$203,IFERROR(MATCH(111,'كشف الحساب'!$N$4:$N$203,0),0))),"")</f>
        <v/>
      </c>
      <c r="G115" s="66" t="str">
        <f>IFERROR(IF(IFERROR(MATCH(111,'كشف الحساب'!$N$4:$N$203,0),0)=0,"",INDEX('كشف الحساب'!$G$4:$G$203,IFERROR(MATCH(111,'كشف الحساب'!$N$4:$N$203,0),0))),"")</f>
        <v/>
      </c>
      <c r="H115" s="66" t="str">
        <f>IFERROR(IF(IFERROR(MATCH(111,'كشف الحساب'!$N$4:$N$203,0),0)=0,"",INDEX('كشف الحساب'!$H$4:$H$203,IFERROR(MATCH(111,'كشف الحساب'!$N$4:$N$203,0),0))),"")</f>
        <v/>
      </c>
      <c r="I115" s="66" t="str">
        <f>IFERROR(IF(IFERROR(MATCH(111,'كشف الحساب'!$N$4:$N$203,0),0)=0,"",INDEX('كشف الحساب'!$I$4:$I$203,IFERROR(MATCH(111,'كشف الحساب'!$N$4:$N$203,0),0))),"")</f>
        <v/>
      </c>
      <c r="J115" s="70" t="str">
        <f>IFERROR(IF(IFERROR(MATCH(111,'كشف الحساب'!$N$4:$N$203,0),0)=0,"",INDEX('كشف الحساب'!$J$4:$J$203,IFERROR(MATCH(111,'كشف الحساب'!$N$4:$N$203,0),0))),"")</f>
        <v/>
      </c>
      <c r="K115" s="66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71" t="str">
        <f>IFERROR(IF(IFERROR(MATCH(112,'كشف الحساب'!$N$4:$N$203,0),0)=0,"",INDEX('كشف الحساب'!$A$4:$A$203,IFERROR(MATCH(112,'كشف الحساب'!$N$4:$N$203,0),0))),"")</f>
        <v/>
      </c>
      <c r="B116" s="72" t="str">
        <f>IFERROR(IF(IFERROR(MATCH(112,'كشف الحساب'!$N$4:$N$203,0),0)=0,"",INDEX('كشف الحساب'!$B$4:$B$203,IFERROR(MATCH(112,'كشف الحساب'!$N$4:$N$203,0),0))),"")</f>
        <v/>
      </c>
      <c r="C116" s="73" t="str">
        <f>IFERROR(IF(IFERROR(MATCH(112,'كشف الحساب'!$N$4:$N$203,0),0)=0,"",INDEX('كشف الحساب'!$C$4:$C$203,IFERROR(MATCH(112,'كشف الحساب'!$N$4:$N$203,0),0))),"")</f>
        <v/>
      </c>
      <c r="D116" s="74" t="str">
        <f>IFERROR(IF(IFERROR(MATCH(112,'كشف الحساب'!$N$4:$N$203,0),0)=0,"",INDEX('كشف الحساب'!$D$4:$D$203,IFERROR(MATCH(112,'كشف الحساب'!$N$4:$N$203,0),0))),"")</f>
        <v/>
      </c>
      <c r="E116" s="75" t="str">
        <f>IFERROR(IF(IFERROR(MATCH(112,'كشف الحساب'!$N$4:$N$203,0),0)=0,"",INDEX('كشف الحساب'!$E$4:$E$203,IFERROR(MATCH(112,'كشف الحساب'!$N$4:$N$203,0),0))),"")</f>
        <v/>
      </c>
      <c r="F116" s="72" t="str">
        <f>IFERROR(IF(IFERROR(MATCH(112,'كشف الحساب'!$N$4:$N$203,0),0)=0,"",INDEX('كشف الحساب'!$F$4:$F$203,IFERROR(MATCH(112,'كشف الحساب'!$N$4:$N$203,0),0))),"")</f>
        <v/>
      </c>
      <c r="G116" s="72" t="str">
        <f>IFERROR(IF(IFERROR(MATCH(112,'كشف الحساب'!$N$4:$N$203,0),0)=0,"",INDEX('كشف الحساب'!$G$4:$G$203,IFERROR(MATCH(112,'كشف الحساب'!$N$4:$N$203,0),0))),"")</f>
        <v/>
      </c>
      <c r="H116" s="72" t="str">
        <f>IFERROR(IF(IFERROR(MATCH(112,'كشف الحساب'!$N$4:$N$203,0),0)=0,"",INDEX('كشف الحساب'!$H$4:$H$203,IFERROR(MATCH(112,'كشف الحساب'!$N$4:$N$203,0),0))),"")</f>
        <v/>
      </c>
      <c r="I116" s="72" t="str">
        <f>IFERROR(IF(IFERROR(MATCH(112,'كشف الحساب'!$N$4:$N$203,0),0)=0,"",INDEX('كشف الحساب'!$I$4:$I$203,IFERROR(MATCH(112,'كشف الحساب'!$N$4:$N$203,0),0))),"")</f>
        <v/>
      </c>
      <c r="J116" s="76" t="str">
        <f>IFERROR(IF(IFERROR(MATCH(112,'كشف الحساب'!$N$4:$N$203,0),0)=0,"",INDEX('كشف الحساب'!$J$4:$J$203,IFERROR(MATCH(112,'كشف الحساب'!$N$4:$N$203,0),0))),"")</f>
        <v/>
      </c>
      <c r="K116" s="72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5" t="str">
        <f>IFERROR(IF(IFERROR(MATCH(113,'كشف الحساب'!$N$4:$N$203,0),0)=0,"",INDEX('كشف الحساب'!$A$4:$A$203,IFERROR(MATCH(113,'كشف الحساب'!$N$4:$N$203,0),0))),"")</f>
        <v/>
      </c>
      <c r="B117" s="66" t="str">
        <f>IFERROR(IF(IFERROR(MATCH(113,'كشف الحساب'!$N$4:$N$203,0),0)=0,"",INDEX('كشف الحساب'!$B$4:$B$203,IFERROR(MATCH(113,'كشف الحساب'!$N$4:$N$203,0),0))),"")</f>
        <v/>
      </c>
      <c r="C117" s="67" t="str">
        <f>IFERROR(IF(IFERROR(MATCH(113,'كشف الحساب'!$N$4:$N$203,0),0)=0,"",INDEX('كشف الحساب'!$C$4:$C$203,IFERROR(MATCH(113,'كشف الحساب'!$N$4:$N$203,0),0))),"")</f>
        <v/>
      </c>
      <c r="D117" s="68" t="str">
        <f>IFERROR(IF(IFERROR(MATCH(113,'كشف الحساب'!$N$4:$N$203,0),0)=0,"",INDEX('كشف الحساب'!$D$4:$D$203,IFERROR(MATCH(113,'كشف الحساب'!$N$4:$N$203,0),0))),"")</f>
        <v/>
      </c>
      <c r="E117" s="69" t="str">
        <f>IFERROR(IF(IFERROR(MATCH(113,'كشف الحساب'!$N$4:$N$203,0),0)=0,"",INDEX('كشف الحساب'!$E$4:$E$203,IFERROR(MATCH(113,'كشف الحساب'!$N$4:$N$203,0),0))),"")</f>
        <v/>
      </c>
      <c r="F117" s="66" t="str">
        <f>IFERROR(IF(IFERROR(MATCH(113,'كشف الحساب'!$N$4:$N$203,0),0)=0,"",INDEX('كشف الحساب'!$F$4:$F$203,IFERROR(MATCH(113,'كشف الحساب'!$N$4:$N$203,0),0))),"")</f>
        <v/>
      </c>
      <c r="G117" s="66" t="str">
        <f>IFERROR(IF(IFERROR(MATCH(113,'كشف الحساب'!$N$4:$N$203,0),0)=0,"",INDEX('كشف الحساب'!$G$4:$G$203,IFERROR(MATCH(113,'كشف الحساب'!$N$4:$N$203,0),0))),"")</f>
        <v/>
      </c>
      <c r="H117" s="66" t="str">
        <f>IFERROR(IF(IFERROR(MATCH(113,'كشف الحساب'!$N$4:$N$203,0),0)=0,"",INDEX('كشف الحساب'!$H$4:$H$203,IFERROR(MATCH(113,'كشف الحساب'!$N$4:$N$203,0),0))),"")</f>
        <v/>
      </c>
      <c r="I117" s="66" t="str">
        <f>IFERROR(IF(IFERROR(MATCH(113,'كشف الحساب'!$N$4:$N$203,0),0)=0,"",INDEX('كشف الحساب'!$I$4:$I$203,IFERROR(MATCH(113,'كشف الحساب'!$N$4:$N$203,0),0))),"")</f>
        <v/>
      </c>
      <c r="J117" s="70" t="str">
        <f>IFERROR(IF(IFERROR(MATCH(113,'كشف الحساب'!$N$4:$N$203,0),0)=0,"",INDEX('كشف الحساب'!$J$4:$J$203,IFERROR(MATCH(113,'كشف الحساب'!$N$4:$N$203,0),0))),"")</f>
        <v/>
      </c>
      <c r="K117" s="66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71" t="str">
        <f>IFERROR(IF(IFERROR(MATCH(114,'كشف الحساب'!$N$4:$N$203,0),0)=0,"",INDEX('كشف الحساب'!$A$4:$A$203,IFERROR(MATCH(114,'كشف الحساب'!$N$4:$N$203,0),0))),"")</f>
        <v/>
      </c>
      <c r="B118" s="72" t="str">
        <f>IFERROR(IF(IFERROR(MATCH(114,'كشف الحساب'!$N$4:$N$203,0),0)=0,"",INDEX('كشف الحساب'!$B$4:$B$203,IFERROR(MATCH(114,'كشف الحساب'!$N$4:$N$203,0),0))),"")</f>
        <v/>
      </c>
      <c r="C118" s="73" t="str">
        <f>IFERROR(IF(IFERROR(MATCH(114,'كشف الحساب'!$N$4:$N$203,0),0)=0,"",INDEX('كشف الحساب'!$C$4:$C$203,IFERROR(MATCH(114,'كشف الحساب'!$N$4:$N$203,0),0))),"")</f>
        <v/>
      </c>
      <c r="D118" s="74" t="str">
        <f>IFERROR(IF(IFERROR(MATCH(114,'كشف الحساب'!$N$4:$N$203,0),0)=0,"",INDEX('كشف الحساب'!$D$4:$D$203,IFERROR(MATCH(114,'كشف الحساب'!$N$4:$N$203,0),0))),"")</f>
        <v/>
      </c>
      <c r="E118" s="75" t="str">
        <f>IFERROR(IF(IFERROR(MATCH(114,'كشف الحساب'!$N$4:$N$203,0),0)=0,"",INDEX('كشف الحساب'!$E$4:$E$203,IFERROR(MATCH(114,'كشف الحساب'!$N$4:$N$203,0),0))),"")</f>
        <v/>
      </c>
      <c r="F118" s="72" t="str">
        <f>IFERROR(IF(IFERROR(MATCH(114,'كشف الحساب'!$N$4:$N$203,0),0)=0,"",INDEX('كشف الحساب'!$F$4:$F$203,IFERROR(MATCH(114,'كشف الحساب'!$N$4:$N$203,0),0))),"")</f>
        <v/>
      </c>
      <c r="G118" s="72" t="str">
        <f>IFERROR(IF(IFERROR(MATCH(114,'كشف الحساب'!$N$4:$N$203,0),0)=0,"",INDEX('كشف الحساب'!$G$4:$G$203,IFERROR(MATCH(114,'كشف الحساب'!$N$4:$N$203,0),0))),"")</f>
        <v/>
      </c>
      <c r="H118" s="72" t="str">
        <f>IFERROR(IF(IFERROR(MATCH(114,'كشف الحساب'!$N$4:$N$203,0),0)=0,"",INDEX('كشف الحساب'!$H$4:$H$203,IFERROR(MATCH(114,'كشف الحساب'!$N$4:$N$203,0),0))),"")</f>
        <v/>
      </c>
      <c r="I118" s="72" t="str">
        <f>IFERROR(IF(IFERROR(MATCH(114,'كشف الحساب'!$N$4:$N$203,0),0)=0,"",INDEX('كشف الحساب'!$I$4:$I$203,IFERROR(MATCH(114,'كشف الحساب'!$N$4:$N$203,0),0))),"")</f>
        <v/>
      </c>
      <c r="J118" s="76" t="str">
        <f>IFERROR(IF(IFERROR(MATCH(114,'كشف الحساب'!$N$4:$N$203,0),0)=0,"",INDEX('كشف الحساب'!$J$4:$J$203,IFERROR(MATCH(114,'كشف الحساب'!$N$4:$N$203,0),0))),"")</f>
        <v/>
      </c>
      <c r="K118" s="72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5" t="str">
        <f>IFERROR(IF(IFERROR(MATCH(115,'كشف الحساب'!$N$4:$N$203,0),0)=0,"",INDEX('كشف الحساب'!$A$4:$A$203,IFERROR(MATCH(115,'كشف الحساب'!$N$4:$N$203,0),0))),"")</f>
        <v/>
      </c>
      <c r="B119" s="66" t="str">
        <f>IFERROR(IF(IFERROR(MATCH(115,'كشف الحساب'!$N$4:$N$203,0),0)=0,"",INDEX('كشف الحساب'!$B$4:$B$203,IFERROR(MATCH(115,'كشف الحساب'!$N$4:$N$203,0),0))),"")</f>
        <v/>
      </c>
      <c r="C119" s="67" t="str">
        <f>IFERROR(IF(IFERROR(MATCH(115,'كشف الحساب'!$N$4:$N$203,0),0)=0,"",INDEX('كشف الحساب'!$C$4:$C$203,IFERROR(MATCH(115,'كشف الحساب'!$N$4:$N$203,0),0))),"")</f>
        <v/>
      </c>
      <c r="D119" s="68" t="str">
        <f>IFERROR(IF(IFERROR(MATCH(115,'كشف الحساب'!$N$4:$N$203,0),0)=0,"",INDEX('كشف الحساب'!$D$4:$D$203,IFERROR(MATCH(115,'كشف الحساب'!$N$4:$N$203,0),0))),"")</f>
        <v/>
      </c>
      <c r="E119" s="69" t="str">
        <f>IFERROR(IF(IFERROR(MATCH(115,'كشف الحساب'!$N$4:$N$203,0),0)=0,"",INDEX('كشف الحساب'!$E$4:$E$203,IFERROR(MATCH(115,'كشف الحساب'!$N$4:$N$203,0),0))),"")</f>
        <v/>
      </c>
      <c r="F119" s="66" t="str">
        <f>IFERROR(IF(IFERROR(MATCH(115,'كشف الحساب'!$N$4:$N$203,0),0)=0,"",INDEX('كشف الحساب'!$F$4:$F$203,IFERROR(MATCH(115,'كشف الحساب'!$N$4:$N$203,0),0))),"")</f>
        <v/>
      </c>
      <c r="G119" s="66" t="str">
        <f>IFERROR(IF(IFERROR(MATCH(115,'كشف الحساب'!$N$4:$N$203,0),0)=0,"",INDEX('كشف الحساب'!$G$4:$G$203,IFERROR(MATCH(115,'كشف الحساب'!$N$4:$N$203,0),0))),"")</f>
        <v/>
      </c>
      <c r="H119" s="66" t="str">
        <f>IFERROR(IF(IFERROR(MATCH(115,'كشف الحساب'!$N$4:$N$203,0),0)=0,"",INDEX('كشف الحساب'!$H$4:$H$203,IFERROR(MATCH(115,'كشف الحساب'!$N$4:$N$203,0),0))),"")</f>
        <v/>
      </c>
      <c r="I119" s="66" t="str">
        <f>IFERROR(IF(IFERROR(MATCH(115,'كشف الحساب'!$N$4:$N$203,0),0)=0,"",INDEX('كشف الحساب'!$I$4:$I$203,IFERROR(MATCH(115,'كشف الحساب'!$N$4:$N$203,0),0))),"")</f>
        <v/>
      </c>
      <c r="J119" s="70" t="str">
        <f>IFERROR(IF(IFERROR(MATCH(115,'كشف الحساب'!$N$4:$N$203,0),0)=0,"",INDEX('كشف الحساب'!$J$4:$J$203,IFERROR(MATCH(115,'كشف الحساب'!$N$4:$N$203,0),0))),"")</f>
        <v/>
      </c>
      <c r="K119" s="66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71" t="str">
        <f>IFERROR(IF(IFERROR(MATCH(116,'كشف الحساب'!$N$4:$N$203,0),0)=0,"",INDEX('كشف الحساب'!$A$4:$A$203,IFERROR(MATCH(116,'كشف الحساب'!$N$4:$N$203,0),0))),"")</f>
        <v/>
      </c>
      <c r="B120" s="72" t="str">
        <f>IFERROR(IF(IFERROR(MATCH(116,'كشف الحساب'!$N$4:$N$203,0),0)=0,"",INDEX('كشف الحساب'!$B$4:$B$203,IFERROR(MATCH(116,'كشف الحساب'!$N$4:$N$203,0),0))),"")</f>
        <v/>
      </c>
      <c r="C120" s="73" t="str">
        <f>IFERROR(IF(IFERROR(MATCH(116,'كشف الحساب'!$N$4:$N$203,0),0)=0,"",INDEX('كشف الحساب'!$C$4:$C$203,IFERROR(MATCH(116,'كشف الحساب'!$N$4:$N$203,0),0))),"")</f>
        <v/>
      </c>
      <c r="D120" s="74" t="str">
        <f>IFERROR(IF(IFERROR(MATCH(116,'كشف الحساب'!$N$4:$N$203,0),0)=0,"",INDEX('كشف الحساب'!$D$4:$D$203,IFERROR(MATCH(116,'كشف الحساب'!$N$4:$N$203,0),0))),"")</f>
        <v/>
      </c>
      <c r="E120" s="75" t="str">
        <f>IFERROR(IF(IFERROR(MATCH(116,'كشف الحساب'!$N$4:$N$203,0),0)=0,"",INDEX('كشف الحساب'!$E$4:$E$203,IFERROR(MATCH(116,'كشف الحساب'!$N$4:$N$203,0),0))),"")</f>
        <v/>
      </c>
      <c r="F120" s="72" t="str">
        <f>IFERROR(IF(IFERROR(MATCH(116,'كشف الحساب'!$N$4:$N$203,0),0)=0,"",INDEX('كشف الحساب'!$F$4:$F$203,IFERROR(MATCH(116,'كشف الحساب'!$N$4:$N$203,0),0))),"")</f>
        <v/>
      </c>
      <c r="G120" s="72" t="str">
        <f>IFERROR(IF(IFERROR(MATCH(116,'كشف الحساب'!$N$4:$N$203,0),0)=0,"",INDEX('كشف الحساب'!$G$4:$G$203,IFERROR(MATCH(116,'كشف الحساب'!$N$4:$N$203,0),0))),"")</f>
        <v/>
      </c>
      <c r="H120" s="72" t="str">
        <f>IFERROR(IF(IFERROR(MATCH(116,'كشف الحساب'!$N$4:$N$203,0),0)=0,"",INDEX('كشف الحساب'!$H$4:$H$203,IFERROR(MATCH(116,'كشف الحساب'!$N$4:$N$203,0),0))),"")</f>
        <v/>
      </c>
      <c r="I120" s="72" t="str">
        <f>IFERROR(IF(IFERROR(MATCH(116,'كشف الحساب'!$N$4:$N$203,0),0)=0,"",INDEX('كشف الحساب'!$I$4:$I$203,IFERROR(MATCH(116,'كشف الحساب'!$N$4:$N$203,0),0))),"")</f>
        <v/>
      </c>
      <c r="J120" s="76" t="str">
        <f>IFERROR(IF(IFERROR(MATCH(116,'كشف الحساب'!$N$4:$N$203,0),0)=0,"",INDEX('كشف الحساب'!$J$4:$J$203,IFERROR(MATCH(116,'كشف الحساب'!$N$4:$N$203,0),0))),"")</f>
        <v/>
      </c>
      <c r="K120" s="72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5" t="str">
        <f>IFERROR(IF(IFERROR(MATCH(117,'كشف الحساب'!$N$4:$N$203,0),0)=0,"",INDEX('كشف الحساب'!$A$4:$A$203,IFERROR(MATCH(117,'كشف الحساب'!$N$4:$N$203,0),0))),"")</f>
        <v/>
      </c>
      <c r="B121" s="66" t="str">
        <f>IFERROR(IF(IFERROR(MATCH(117,'كشف الحساب'!$N$4:$N$203,0),0)=0,"",INDEX('كشف الحساب'!$B$4:$B$203,IFERROR(MATCH(117,'كشف الحساب'!$N$4:$N$203,0),0))),"")</f>
        <v/>
      </c>
      <c r="C121" s="67" t="str">
        <f>IFERROR(IF(IFERROR(MATCH(117,'كشف الحساب'!$N$4:$N$203,0),0)=0,"",INDEX('كشف الحساب'!$C$4:$C$203,IFERROR(MATCH(117,'كشف الحساب'!$N$4:$N$203,0),0))),"")</f>
        <v/>
      </c>
      <c r="D121" s="68" t="str">
        <f>IFERROR(IF(IFERROR(MATCH(117,'كشف الحساب'!$N$4:$N$203,0),0)=0,"",INDEX('كشف الحساب'!$D$4:$D$203,IFERROR(MATCH(117,'كشف الحساب'!$N$4:$N$203,0),0))),"")</f>
        <v/>
      </c>
      <c r="E121" s="69" t="str">
        <f>IFERROR(IF(IFERROR(MATCH(117,'كشف الحساب'!$N$4:$N$203,0),0)=0,"",INDEX('كشف الحساب'!$E$4:$E$203,IFERROR(MATCH(117,'كشف الحساب'!$N$4:$N$203,0),0))),"")</f>
        <v/>
      </c>
      <c r="F121" s="66" t="str">
        <f>IFERROR(IF(IFERROR(MATCH(117,'كشف الحساب'!$N$4:$N$203,0),0)=0,"",INDEX('كشف الحساب'!$F$4:$F$203,IFERROR(MATCH(117,'كشف الحساب'!$N$4:$N$203,0),0))),"")</f>
        <v/>
      </c>
      <c r="G121" s="66" t="str">
        <f>IFERROR(IF(IFERROR(MATCH(117,'كشف الحساب'!$N$4:$N$203,0),0)=0,"",INDEX('كشف الحساب'!$G$4:$G$203,IFERROR(MATCH(117,'كشف الحساب'!$N$4:$N$203,0),0))),"")</f>
        <v/>
      </c>
      <c r="H121" s="66" t="str">
        <f>IFERROR(IF(IFERROR(MATCH(117,'كشف الحساب'!$N$4:$N$203,0),0)=0,"",INDEX('كشف الحساب'!$H$4:$H$203,IFERROR(MATCH(117,'كشف الحساب'!$N$4:$N$203,0),0))),"")</f>
        <v/>
      </c>
      <c r="I121" s="66" t="str">
        <f>IFERROR(IF(IFERROR(MATCH(117,'كشف الحساب'!$N$4:$N$203,0),0)=0,"",INDEX('كشف الحساب'!$I$4:$I$203,IFERROR(MATCH(117,'كشف الحساب'!$N$4:$N$203,0),0))),"")</f>
        <v/>
      </c>
      <c r="J121" s="70" t="str">
        <f>IFERROR(IF(IFERROR(MATCH(117,'كشف الحساب'!$N$4:$N$203,0),0)=0,"",INDEX('كشف الحساب'!$J$4:$J$203,IFERROR(MATCH(117,'كشف الحساب'!$N$4:$N$203,0),0))),"")</f>
        <v/>
      </c>
      <c r="K121" s="66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71" t="str">
        <f>IFERROR(IF(IFERROR(MATCH(118,'كشف الحساب'!$N$4:$N$203,0),0)=0,"",INDEX('كشف الحساب'!$A$4:$A$203,IFERROR(MATCH(118,'كشف الحساب'!$N$4:$N$203,0),0))),"")</f>
        <v/>
      </c>
      <c r="B122" s="72" t="str">
        <f>IFERROR(IF(IFERROR(MATCH(118,'كشف الحساب'!$N$4:$N$203,0),0)=0,"",INDEX('كشف الحساب'!$B$4:$B$203,IFERROR(MATCH(118,'كشف الحساب'!$N$4:$N$203,0),0))),"")</f>
        <v/>
      </c>
      <c r="C122" s="73" t="str">
        <f>IFERROR(IF(IFERROR(MATCH(118,'كشف الحساب'!$N$4:$N$203,0),0)=0,"",INDEX('كشف الحساب'!$C$4:$C$203,IFERROR(MATCH(118,'كشف الحساب'!$N$4:$N$203,0),0))),"")</f>
        <v/>
      </c>
      <c r="D122" s="74" t="str">
        <f>IFERROR(IF(IFERROR(MATCH(118,'كشف الحساب'!$N$4:$N$203,0),0)=0,"",INDEX('كشف الحساب'!$D$4:$D$203,IFERROR(MATCH(118,'كشف الحساب'!$N$4:$N$203,0),0))),"")</f>
        <v/>
      </c>
      <c r="E122" s="75" t="str">
        <f>IFERROR(IF(IFERROR(MATCH(118,'كشف الحساب'!$N$4:$N$203,0),0)=0,"",INDEX('كشف الحساب'!$E$4:$E$203,IFERROR(MATCH(118,'كشف الحساب'!$N$4:$N$203,0),0))),"")</f>
        <v/>
      </c>
      <c r="F122" s="72" t="str">
        <f>IFERROR(IF(IFERROR(MATCH(118,'كشف الحساب'!$N$4:$N$203,0),0)=0,"",INDEX('كشف الحساب'!$F$4:$F$203,IFERROR(MATCH(118,'كشف الحساب'!$N$4:$N$203,0),0))),"")</f>
        <v/>
      </c>
      <c r="G122" s="72" t="str">
        <f>IFERROR(IF(IFERROR(MATCH(118,'كشف الحساب'!$N$4:$N$203,0),0)=0,"",INDEX('كشف الحساب'!$G$4:$G$203,IFERROR(MATCH(118,'كشف الحساب'!$N$4:$N$203,0),0))),"")</f>
        <v/>
      </c>
      <c r="H122" s="72" t="str">
        <f>IFERROR(IF(IFERROR(MATCH(118,'كشف الحساب'!$N$4:$N$203,0),0)=0,"",INDEX('كشف الحساب'!$H$4:$H$203,IFERROR(MATCH(118,'كشف الحساب'!$N$4:$N$203,0),0))),"")</f>
        <v/>
      </c>
      <c r="I122" s="72" t="str">
        <f>IFERROR(IF(IFERROR(MATCH(118,'كشف الحساب'!$N$4:$N$203,0),0)=0,"",INDEX('كشف الحساب'!$I$4:$I$203,IFERROR(MATCH(118,'كشف الحساب'!$N$4:$N$203,0),0))),"")</f>
        <v/>
      </c>
      <c r="J122" s="76" t="str">
        <f>IFERROR(IF(IFERROR(MATCH(118,'كشف الحساب'!$N$4:$N$203,0),0)=0,"",INDEX('كشف الحساب'!$J$4:$J$203,IFERROR(MATCH(118,'كشف الحساب'!$N$4:$N$203,0),0))),"")</f>
        <v/>
      </c>
      <c r="K122" s="72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5" t="str">
        <f>IFERROR(IF(IFERROR(MATCH(119,'كشف الحساب'!$N$4:$N$203,0),0)=0,"",INDEX('كشف الحساب'!$A$4:$A$203,IFERROR(MATCH(119,'كشف الحساب'!$N$4:$N$203,0),0))),"")</f>
        <v/>
      </c>
      <c r="B123" s="66" t="str">
        <f>IFERROR(IF(IFERROR(MATCH(119,'كشف الحساب'!$N$4:$N$203,0),0)=0,"",INDEX('كشف الحساب'!$B$4:$B$203,IFERROR(MATCH(119,'كشف الحساب'!$N$4:$N$203,0),0))),"")</f>
        <v/>
      </c>
      <c r="C123" s="67" t="str">
        <f>IFERROR(IF(IFERROR(MATCH(119,'كشف الحساب'!$N$4:$N$203,0),0)=0,"",INDEX('كشف الحساب'!$C$4:$C$203,IFERROR(MATCH(119,'كشف الحساب'!$N$4:$N$203,0),0))),"")</f>
        <v/>
      </c>
      <c r="D123" s="68" t="str">
        <f>IFERROR(IF(IFERROR(MATCH(119,'كشف الحساب'!$N$4:$N$203,0),0)=0,"",INDEX('كشف الحساب'!$D$4:$D$203,IFERROR(MATCH(119,'كشف الحساب'!$N$4:$N$203,0),0))),"")</f>
        <v/>
      </c>
      <c r="E123" s="69" t="str">
        <f>IFERROR(IF(IFERROR(MATCH(119,'كشف الحساب'!$N$4:$N$203,0),0)=0,"",INDEX('كشف الحساب'!$E$4:$E$203,IFERROR(MATCH(119,'كشف الحساب'!$N$4:$N$203,0),0))),"")</f>
        <v/>
      </c>
      <c r="F123" s="66" t="str">
        <f>IFERROR(IF(IFERROR(MATCH(119,'كشف الحساب'!$N$4:$N$203,0),0)=0,"",INDEX('كشف الحساب'!$F$4:$F$203,IFERROR(MATCH(119,'كشف الحساب'!$N$4:$N$203,0),0))),"")</f>
        <v/>
      </c>
      <c r="G123" s="66" t="str">
        <f>IFERROR(IF(IFERROR(MATCH(119,'كشف الحساب'!$N$4:$N$203,0),0)=0,"",INDEX('كشف الحساب'!$G$4:$G$203,IFERROR(MATCH(119,'كشف الحساب'!$N$4:$N$203,0),0))),"")</f>
        <v/>
      </c>
      <c r="H123" s="66" t="str">
        <f>IFERROR(IF(IFERROR(MATCH(119,'كشف الحساب'!$N$4:$N$203,0),0)=0,"",INDEX('كشف الحساب'!$H$4:$H$203,IFERROR(MATCH(119,'كشف الحساب'!$N$4:$N$203,0),0))),"")</f>
        <v/>
      </c>
      <c r="I123" s="66" t="str">
        <f>IFERROR(IF(IFERROR(MATCH(119,'كشف الحساب'!$N$4:$N$203,0),0)=0,"",INDEX('كشف الحساب'!$I$4:$I$203,IFERROR(MATCH(119,'كشف الحساب'!$N$4:$N$203,0),0))),"")</f>
        <v/>
      </c>
      <c r="J123" s="70" t="str">
        <f>IFERROR(IF(IFERROR(MATCH(119,'كشف الحساب'!$N$4:$N$203,0),0)=0,"",INDEX('كشف الحساب'!$J$4:$J$203,IFERROR(MATCH(119,'كشف الحساب'!$N$4:$N$203,0),0))),"")</f>
        <v/>
      </c>
      <c r="K123" s="66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71" t="str">
        <f>IFERROR(IF(IFERROR(MATCH(120,'كشف الحساب'!$N$4:$N$203,0),0)=0,"",INDEX('كشف الحساب'!$A$4:$A$203,IFERROR(MATCH(120,'كشف الحساب'!$N$4:$N$203,0),0))),"")</f>
        <v/>
      </c>
      <c r="B124" s="72" t="str">
        <f>IFERROR(IF(IFERROR(MATCH(120,'كشف الحساب'!$N$4:$N$203,0),0)=0,"",INDEX('كشف الحساب'!$B$4:$B$203,IFERROR(MATCH(120,'كشف الحساب'!$N$4:$N$203,0),0))),"")</f>
        <v/>
      </c>
      <c r="C124" s="73" t="str">
        <f>IFERROR(IF(IFERROR(MATCH(120,'كشف الحساب'!$N$4:$N$203,0),0)=0,"",INDEX('كشف الحساب'!$C$4:$C$203,IFERROR(MATCH(120,'كشف الحساب'!$N$4:$N$203,0),0))),"")</f>
        <v/>
      </c>
      <c r="D124" s="74" t="str">
        <f>IFERROR(IF(IFERROR(MATCH(120,'كشف الحساب'!$N$4:$N$203,0),0)=0,"",INDEX('كشف الحساب'!$D$4:$D$203,IFERROR(MATCH(120,'كشف الحساب'!$N$4:$N$203,0),0))),"")</f>
        <v/>
      </c>
      <c r="E124" s="75" t="str">
        <f>IFERROR(IF(IFERROR(MATCH(120,'كشف الحساب'!$N$4:$N$203,0),0)=0,"",INDEX('كشف الحساب'!$E$4:$E$203,IFERROR(MATCH(120,'كشف الحساب'!$N$4:$N$203,0),0))),"")</f>
        <v/>
      </c>
      <c r="F124" s="72" t="str">
        <f>IFERROR(IF(IFERROR(MATCH(120,'كشف الحساب'!$N$4:$N$203,0),0)=0,"",INDEX('كشف الحساب'!$F$4:$F$203,IFERROR(MATCH(120,'كشف الحساب'!$N$4:$N$203,0),0))),"")</f>
        <v/>
      </c>
      <c r="G124" s="72" t="str">
        <f>IFERROR(IF(IFERROR(MATCH(120,'كشف الحساب'!$N$4:$N$203,0),0)=0,"",INDEX('كشف الحساب'!$G$4:$G$203,IFERROR(MATCH(120,'كشف الحساب'!$N$4:$N$203,0),0))),"")</f>
        <v/>
      </c>
      <c r="H124" s="72" t="str">
        <f>IFERROR(IF(IFERROR(MATCH(120,'كشف الحساب'!$N$4:$N$203,0),0)=0,"",INDEX('كشف الحساب'!$H$4:$H$203,IFERROR(MATCH(120,'كشف الحساب'!$N$4:$N$203,0),0))),"")</f>
        <v/>
      </c>
      <c r="I124" s="72" t="str">
        <f>IFERROR(IF(IFERROR(MATCH(120,'كشف الحساب'!$N$4:$N$203,0),0)=0,"",INDEX('كشف الحساب'!$I$4:$I$203,IFERROR(MATCH(120,'كشف الحساب'!$N$4:$N$203,0),0))),"")</f>
        <v/>
      </c>
      <c r="J124" s="76" t="str">
        <f>IFERROR(IF(IFERROR(MATCH(120,'كشف الحساب'!$N$4:$N$203,0),0)=0,"",INDEX('كشف الحساب'!$J$4:$J$203,IFERROR(MATCH(120,'كشف الحساب'!$N$4:$N$203,0),0))),"")</f>
        <v/>
      </c>
      <c r="K124" s="72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5" t="str">
        <f>IFERROR(IF(IFERROR(MATCH(121,'كشف الحساب'!$N$4:$N$203,0),0)=0,"",INDEX('كشف الحساب'!$A$4:$A$203,IFERROR(MATCH(121,'كشف الحساب'!$N$4:$N$203,0),0))),"")</f>
        <v/>
      </c>
      <c r="B125" s="66" t="str">
        <f>IFERROR(IF(IFERROR(MATCH(121,'كشف الحساب'!$N$4:$N$203,0),0)=0,"",INDEX('كشف الحساب'!$B$4:$B$203,IFERROR(MATCH(121,'كشف الحساب'!$N$4:$N$203,0),0))),"")</f>
        <v/>
      </c>
      <c r="C125" s="67" t="str">
        <f>IFERROR(IF(IFERROR(MATCH(121,'كشف الحساب'!$N$4:$N$203,0),0)=0,"",INDEX('كشف الحساب'!$C$4:$C$203,IFERROR(MATCH(121,'كشف الحساب'!$N$4:$N$203,0),0))),"")</f>
        <v/>
      </c>
      <c r="D125" s="68" t="str">
        <f>IFERROR(IF(IFERROR(MATCH(121,'كشف الحساب'!$N$4:$N$203,0),0)=0,"",INDEX('كشف الحساب'!$D$4:$D$203,IFERROR(MATCH(121,'كشف الحساب'!$N$4:$N$203,0),0))),"")</f>
        <v/>
      </c>
      <c r="E125" s="69" t="str">
        <f>IFERROR(IF(IFERROR(MATCH(121,'كشف الحساب'!$N$4:$N$203,0),0)=0,"",INDEX('كشف الحساب'!$E$4:$E$203,IFERROR(MATCH(121,'كشف الحساب'!$N$4:$N$203,0),0))),"")</f>
        <v/>
      </c>
      <c r="F125" s="66" t="str">
        <f>IFERROR(IF(IFERROR(MATCH(121,'كشف الحساب'!$N$4:$N$203,0),0)=0,"",INDEX('كشف الحساب'!$F$4:$F$203,IFERROR(MATCH(121,'كشف الحساب'!$N$4:$N$203,0),0))),"")</f>
        <v/>
      </c>
      <c r="G125" s="66" t="str">
        <f>IFERROR(IF(IFERROR(MATCH(121,'كشف الحساب'!$N$4:$N$203,0),0)=0,"",INDEX('كشف الحساب'!$G$4:$G$203,IFERROR(MATCH(121,'كشف الحساب'!$N$4:$N$203,0),0))),"")</f>
        <v/>
      </c>
      <c r="H125" s="66" t="str">
        <f>IFERROR(IF(IFERROR(MATCH(121,'كشف الحساب'!$N$4:$N$203,0),0)=0,"",INDEX('كشف الحساب'!$H$4:$H$203,IFERROR(MATCH(121,'كشف الحساب'!$N$4:$N$203,0),0))),"")</f>
        <v/>
      </c>
      <c r="I125" s="66" t="str">
        <f>IFERROR(IF(IFERROR(MATCH(121,'كشف الحساب'!$N$4:$N$203,0),0)=0,"",INDEX('كشف الحساب'!$I$4:$I$203,IFERROR(MATCH(121,'كشف الحساب'!$N$4:$N$203,0),0))),"")</f>
        <v/>
      </c>
      <c r="J125" s="70" t="str">
        <f>IFERROR(IF(IFERROR(MATCH(121,'كشف الحساب'!$N$4:$N$203,0),0)=0,"",INDEX('كشف الحساب'!$J$4:$J$203,IFERROR(MATCH(121,'كشف الحساب'!$N$4:$N$203,0),0))),"")</f>
        <v/>
      </c>
      <c r="K125" s="66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71" t="str">
        <f>IFERROR(IF(IFERROR(MATCH(122,'كشف الحساب'!$N$4:$N$203,0),0)=0,"",INDEX('كشف الحساب'!$A$4:$A$203,IFERROR(MATCH(122,'كشف الحساب'!$N$4:$N$203,0),0))),"")</f>
        <v/>
      </c>
      <c r="B126" s="72" t="str">
        <f>IFERROR(IF(IFERROR(MATCH(122,'كشف الحساب'!$N$4:$N$203,0),0)=0,"",INDEX('كشف الحساب'!$B$4:$B$203,IFERROR(MATCH(122,'كشف الحساب'!$N$4:$N$203,0),0))),"")</f>
        <v/>
      </c>
      <c r="C126" s="73" t="str">
        <f>IFERROR(IF(IFERROR(MATCH(122,'كشف الحساب'!$N$4:$N$203,0),0)=0,"",INDEX('كشف الحساب'!$C$4:$C$203,IFERROR(MATCH(122,'كشف الحساب'!$N$4:$N$203,0),0))),"")</f>
        <v/>
      </c>
      <c r="D126" s="74" t="str">
        <f>IFERROR(IF(IFERROR(MATCH(122,'كشف الحساب'!$N$4:$N$203,0),0)=0,"",INDEX('كشف الحساب'!$D$4:$D$203,IFERROR(MATCH(122,'كشف الحساب'!$N$4:$N$203,0),0))),"")</f>
        <v/>
      </c>
      <c r="E126" s="75" t="str">
        <f>IFERROR(IF(IFERROR(MATCH(122,'كشف الحساب'!$N$4:$N$203,0),0)=0,"",INDEX('كشف الحساب'!$E$4:$E$203,IFERROR(MATCH(122,'كشف الحساب'!$N$4:$N$203,0),0))),"")</f>
        <v/>
      </c>
      <c r="F126" s="72" t="str">
        <f>IFERROR(IF(IFERROR(MATCH(122,'كشف الحساب'!$N$4:$N$203,0),0)=0,"",INDEX('كشف الحساب'!$F$4:$F$203,IFERROR(MATCH(122,'كشف الحساب'!$N$4:$N$203,0),0))),"")</f>
        <v/>
      </c>
      <c r="G126" s="72" t="str">
        <f>IFERROR(IF(IFERROR(MATCH(122,'كشف الحساب'!$N$4:$N$203,0),0)=0,"",INDEX('كشف الحساب'!$G$4:$G$203,IFERROR(MATCH(122,'كشف الحساب'!$N$4:$N$203,0),0))),"")</f>
        <v/>
      </c>
      <c r="H126" s="72" t="str">
        <f>IFERROR(IF(IFERROR(MATCH(122,'كشف الحساب'!$N$4:$N$203,0),0)=0,"",INDEX('كشف الحساب'!$H$4:$H$203,IFERROR(MATCH(122,'كشف الحساب'!$N$4:$N$203,0),0))),"")</f>
        <v/>
      </c>
      <c r="I126" s="72" t="str">
        <f>IFERROR(IF(IFERROR(MATCH(122,'كشف الحساب'!$N$4:$N$203,0),0)=0,"",INDEX('كشف الحساب'!$I$4:$I$203,IFERROR(MATCH(122,'كشف الحساب'!$N$4:$N$203,0),0))),"")</f>
        <v/>
      </c>
      <c r="J126" s="76" t="str">
        <f>IFERROR(IF(IFERROR(MATCH(122,'كشف الحساب'!$N$4:$N$203,0),0)=0,"",INDEX('كشف الحساب'!$J$4:$J$203,IFERROR(MATCH(122,'كشف الحساب'!$N$4:$N$203,0),0))),"")</f>
        <v/>
      </c>
      <c r="K126" s="72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5" t="str">
        <f>IFERROR(IF(IFERROR(MATCH(123,'كشف الحساب'!$N$4:$N$203,0),0)=0,"",INDEX('كشف الحساب'!$A$4:$A$203,IFERROR(MATCH(123,'كشف الحساب'!$N$4:$N$203,0),0))),"")</f>
        <v/>
      </c>
      <c r="B127" s="66" t="str">
        <f>IFERROR(IF(IFERROR(MATCH(123,'كشف الحساب'!$N$4:$N$203,0),0)=0,"",INDEX('كشف الحساب'!$B$4:$B$203,IFERROR(MATCH(123,'كشف الحساب'!$N$4:$N$203,0),0))),"")</f>
        <v/>
      </c>
      <c r="C127" s="67" t="str">
        <f>IFERROR(IF(IFERROR(MATCH(123,'كشف الحساب'!$N$4:$N$203,0),0)=0,"",INDEX('كشف الحساب'!$C$4:$C$203,IFERROR(MATCH(123,'كشف الحساب'!$N$4:$N$203,0),0))),"")</f>
        <v/>
      </c>
      <c r="D127" s="68" t="str">
        <f>IFERROR(IF(IFERROR(MATCH(123,'كشف الحساب'!$N$4:$N$203,0),0)=0,"",INDEX('كشف الحساب'!$D$4:$D$203,IFERROR(MATCH(123,'كشف الحساب'!$N$4:$N$203,0),0))),"")</f>
        <v/>
      </c>
      <c r="E127" s="69" t="str">
        <f>IFERROR(IF(IFERROR(MATCH(123,'كشف الحساب'!$N$4:$N$203,0),0)=0,"",INDEX('كشف الحساب'!$E$4:$E$203,IFERROR(MATCH(123,'كشف الحساب'!$N$4:$N$203,0),0))),"")</f>
        <v/>
      </c>
      <c r="F127" s="66" t="str">
        <f>IFERROR(IF(IFERROR(MATCH(123,'كشف الحساب'!$N$4:$N$203,0),0)=0,"",INDEX('كشف الحساب'!$F$4:$F$203,IFERROR(MATCH(123,'كشف الحساب'!$N$4:$N$203,0),0))),"")</f>
        <v/>
      </c>
      <c r="G127" s="66" t="str">
        <f>IFERROR(IF(IFERROR(MATCH(123,'كشف الحساب'!$N$4:$N$203,0),0)=0,"",INDEX('كشف الحساب'!$G$4:$G$203,IFERROR(MATCH(123,'كشف الحساب'!$N$4:$N$203,0),0))),"")</f>
        <v/>
      </c>
      <c r="H127" s="66" t="str">
        <f>IFERROR(IF(IFERROR(MATCH(123,'كشف الحساب'!$N$4:$N$203,0),0)=0,"",INDEX('كشف الحساب'!$H$4:$H$203,IFERROR(MATCH(123,'كشف الحساب'!$N$4:$N$203,0),0))),"")</f>
        <v/>
      </c>
      <c r="I127" s="66" t="str">
        <f>IFERROR(IF(IFERROR(MATCH(123,'كشف الحساب'!$N$4:$N$203,0),0)=0,"",INDEX('كشف الحساب'!$I$4:$I$203,IFERROR(MATCH(123,'كشف الحساب'!$N$4:$N$203,0),0))),"")</f>
        <v/>
      </c>
      <c r="J127" s="70" t="str">
        <f>IFERROR(IF(IFERROR(MATCH(123,'كشف الحساب'!$N$4:$N$203,0),0)=0,"",INDEX('كشف الحساب'!$J$4:$J$203,IFERROR(MATCH(123,'كشف الحساب'!$N$4:$N$203,0),0))),"")</f>
        <v/>
      </c>
      <c r="K127" s="66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71" t="str">
        <f>IFERROR(IF(IFERROR(MATCH(124,'كشف الحساب'!$N$4:$N$203,0),0)=0,"",INDEX('كشف الحساب'!$A$4:$A$203,IFERROR(MATCH(124,'كشف الحساب'!$N$4:$N$203,0),0))),"")</f>
        <v/>
      </c>
      <c r="B128" s="72" t="str">
        <f>IFERROR(IF(IFERROR(MATCH(124,'كشف الحساب'!$N$4:$N$203,0),0)=0,"",INDEX('كشف الحساب'!$B$4:$B$203,IFERROR(MATCH(124,'كشف الحساب'!$N$4:$N$203,0),0))),"")</f>
        <v/>
      </c>
      <c r="C128" s="73" t="str">
        <f>IFERROR(IF(IFERROR(MATCH(124,'كشف الحساب'!$N$4:$N$203,0),0)=0,"",INDEX('كشف الحساب'!$C$4:$C$203,IFERROR(MATCH(124,'كشف الحساب'!$N$4:$N$203,0),0))),"")</f>
        <v/>
      </c>
      <c r="D128" s="74" t="str">
        <f>IFERROR(IF(IFERROR(MATCH(124,'كشف الحساب'!$N$4:$N$203,0),0)=0,"",INDEX('كشف الحساب'!$D$4:$D$203,IFERROR(MATCH(124,'كشف الحساب'!$N$4:$N$203,0),0))),"")</f>
        <v/>
      </c>
      <c r="E128" s="75" t="str">
        <f>IFERROR(IF(IFERROR(MATCH(124,'كشف الحساب'!$N$4:$N$203,0),0)=0,"",INDEX('كشف الحساب'!$E$4:$E$203,IFERROR(MATCH(124,'كشف الحساب'!$N$4:$N$203,0),0))),"")</f>
        <v/>
      </c>
      <c r="F128" s="72" t="str">
        <f>IFERROR(IF(IFERROR(MATCH(124,'كشف الحساب'!$N$4:$N$203,0),0)=0,"",INDEX('كشف الحساب'!$F$4:$F$203,IFERROR(MATCH(124,'كشف الحساب'!$N$4:$N$203,0),0))),"")</f>
        <v/>
      </c>
      <c r="G128" s="72" t="str">
        <f>IFERROR(IF(IFERROR(MATCH(124,'كشف الحساب'!$N$4:$N$203,0),0)=0,"",INDEX('كشف الحساب'!$G$4:$G$203,IFERROR(MATCH(124,'كشف الحساب'!$N$4:$N$203,0),0))),"")</f>
        <v/>
      </c>
      <c r="H128" s="72" t="str">
        <f>IFERROR(IF(IFERROR(MATCH(124,'كشف الحساب'!$N$4:$N$203,0),0)=0,"",INDEX('كشف الحساب'!$H$4:$H$203,IFERROR(MATCH(124,'كشف الحساب'!$N$4:$N$203,0),0))),"")</f>
        <v/>
      </c>
      <c r="I128" s="72" t="str">
        <f>IFERROR(IF(IFERROR(MATCH(124,'كشف الحساب'!$N$4:$N$203,0),0)=0,"",INDEX('كشف الحساب'!$I$4:$I$203,IFERROR(MATCH(124,'كشف الحساب'!$N$4:$N$203,0),0))),"")</f>
        <v/>
      </c>
      <c r="J128" s="76" t="str">
        <f>IFERROR(IF(IFERROR(MATCH(124,'كشف الحساب'!$N$4:$N$203,0),0)=0,"",INDEX('كشف الحساب'!$J$4:$J$203,IFERROR(MATCH(124,'كشف الحساب'!$N$4:$N$203,0),0))),"")</f>
        <v/>
      </c>
      <c r="K128" s="72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5" t="str">
        <f>IFERROR(IF(IFERROR(MATCH(125,'كشف الحساب'!$N$4:$N$203,0),0)=0,"",INDEX('كشف الحساب'!$A$4:$A$203,IFERROR(MATCH(125,'كشف الحساب'!$N$4:$N$203,0),0))),"")</f>
        <v/>
      </c>
      <c r="B129" s="66" t="str">
        <f>IFERROR(IF(IFERROR(MATCH(125,'كشف الحساب'!$N$4:$N$203,0),0)=0,"",INDEX('كشف الحساب'!$B$4:$B$203,IFERROR(MATCH(125,'كشف الحساب'!$N$4:$N$203,0),0))),"")</f>
        <v/>
      </c>
      <c r="C129" s="67" t="str">
        <f>IFERROR(IF(IFERROR(MATCH(125,'كشف الحساب'!$N$4:$N$203,0),0)=0,"",INDEX('كشف الحساب'!$C$4:$C$203,IFERROR(MATCH(125,'كشف الحساب'!$N$4:$N$203,0),0))),"")</f>
        <v/>
      </c>
      <c r="D129" s="68" t="str">
        <f>IFERROR(IF(IFERROR(MATCH(125,'كشف الحساب'!$N$4:$N$203,0),0)=0,"",INDEX('كشف الحساب'!$D$4:$D$203,IFERROR(MATCH(125,'كشف الحساب'!$N$4:$N$203,0),0))),"")</f>
        <v/>
      </c>
      <c r="E129" s="69" t="str">
        <f>IFERROR(IF(IFERROR(MATCH(125,'كشف الحساب'!$N$4:$N$203,0),0)=0,"",INDEX('كشف الحساب'!$E$4:$E$203,IFERROR(MATCH(125,'كشف الحساب'!$N$4:$N$203,0),0))),"")</f>
        <v/>
      </c>
      <c r="F129" s="66" t="str">
        <f>IFERROR(IF(IFERROR(MATCH(125,'كشف الحساب'!$N$4:$N$203,0),0)=0,"",INDEX('كشف الحساب'!$F$4:$F$203,IFERROR(MATCH(125,'كشف الحساب'!$N$4:$N$203,0),0))),"")</f>
        <v/>
      </c>
      <c r="G129" s="66" t="str">
        <f>IFERROR(IF(IFERROR(MATCH(125,'كشف الحساب'!$N$4:$N$203,0),0)=0,"",INDEX('كشف الحساب'!$G$4:$G$203,IFERROR(MATCH(125,'كشف الحساب'!$N$4:$N$203,0),0))),"")</f>
        <v/>
      </c>
      <c r="H129" s="66" t="str">
        <f>IFERROR(IF(IFERROR(MATCH(125,'كشف الحساب'!$N$4:$N$203,0),0)=0,"",INDEX('كشف الحساب'!$H$4:$H$203,IFERROR(MATCH(125,'كشف الحساب'!$N$4:$N$203,0),0))),"")</f>
        <v/>
      </c>
      <c r="I129" s="66" t="str">
        <f>IFERROR(IF(IFERROR(MATCH(125,'كشف الحساب'!$N$4:$N$203,0),0)=0,"",INDEX('كشف الحساب'!$I$4:$I$203,IFERROR(MATCH(125,'كشف الحساب'!$N$4:$N$203,0),0))),"")</f>
        <v/>
      </c>
      <c r="J129" s="70" t="str">
        <f>IFERROR(IF(IFERROR(MATCH(125,'كشف الحساب'!$N$4:$N$203,0),0)=0,"",INDEX('كشف الحساب'!$J$4:$J$203,IFERROR(MATCH(125,'كشف الحساب'!$N$4:$N$203,0),0))),"")</f>
        <v/>
      </c>
      <c r="K129" s="66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71" t="str">
        <f>IFERROR(IF(IFERROR(MATCH(126,'كشف الحساب'!$N$4:$N$203,0),0)=0,"",INDEX('كشف الحساب'!$A$4:$A$203,IFERROR(MATCH(126,'كشف الحساب'!$N$4:$N$203,0),0))),"")</f>
        <v/>
      </c>
      <c r="B130" s="72" t="str">
        <f>IFERROR(IF(IFERROR(MATCH(126,'كشف الحساب'!$N$4:$N$203,0),0)=0,"",INDEX('كشف الحساب'!$B$4:$B$203,IFERROR(MATCH(126,'كشف الحساب'!$N$4:$N$203,0),0))),"")</f>
        <v/>
      </c>
      <c r="C130" s="73" t="str">
        <f>IFERROR(IF(IFERROR(MATCH(126,'كشف الحساب'!$N$4:$N$203,0),0)=0,"",INDEX('كشف الحساب'!$C$4:$C$203,IFERROR(MATCH(126,'كشف الحساب'!$N$4:$N$203,0),0))),"")</f>
        <v/>
      </c>
      <c r="D130" s="74" t="str">
        <f>IFERROR(IF(IFERROR(MATCH(126,'كشف الحساب'!$N$4:$N$203,0),0)=0,"",INDEX('كشف الحساب'!$D$4:$D$203,IFERROR(MATCH(126,'كشف الحساب'!$N$4:$N$203,0),0))),"")</f>
        <v/>
      </c>
      <c r="E130" s="75" t="str">
        <f>IFERROR(IF(IFERROR(MATCH(126,'كشف الحساب'!$N$4:$N$203,0),0)=0,"",INDEX('كشف الحساب'!$E$4:$E$203,IFERROR(MATCH(126,'كشف الحساب'!$N$4:$N$203,0),0))),"")</f>
        <v/>
      </c>
      <c r="F130" s="72" t="str">
        <f>IFERROR(IF(IFERROR(MATCH(126,'كشف الحساب'!$N$4:$N$203,0),0)=0,"",INDEX('كشف الحساب'!$F$4:$F$203,IFERROR(MATCH(126,'كشف الحساب'!$N$4:$N$203,0),0))),"")</f>
        <v/>
      </c>
      <c r="G130" s="72" t="str">
        <f>IFERROR(IF(IFERROR(MATCH(126,'كشف الحساب'!$N$4:$N$203,0),0)=0,"",INDEX('كشف الحساب'!$G$4:$G$203,IFERROR(MATCH(126,'كشف الحساب'!$N$4:$N$203,0),0))),"")</f>
        <v/>
      </c>
      <c r="H130" s="72" t="str">
        <f>IFERROR(IF(IFERROR(MATCH(126,'كشف الحساب'!$N$4:$N$203,0),0)=0,"",INDEX('كشف الحساب'!$H$4:$H$203,IFERROR(MATCH(126,'كشف الحساب'!$N$4:$N$203,0),0))),"")</f>
        <v/>
      </c>
      <c r="I130" s="72" t="str">
        <f>IFERROR(IF(IFERROR(MATCH(126,'كشف الحساب'!$N$4:$N$203,0),0)=0,"",INDEX('كشف الحساب'!$I$4:$I$203,IFERROR(MATCH(126,'كشف الحساب'!$N$4:$N$203,0),0))),"")</f>
        <v/>
      </c>
      <c r="J130" s="76" t="str">
        <f>IFERROR(IF(IFERROR(MATCH(126,'كشف الحساب'!$N$4:$N$203,0),0)=0,"",INDEX('كشف الحساب'!$J$4:$J$203,IFERROR(MATCH(126,'كشف الحساب'!$N$4:$N$203,0),0))),"")</f>
        <v/>
      </c>
      <c r="K130" s="72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5" t="str">
        <f>IFERROR(IF(IFERROR(MATCH(127,'كشف الحساب'!$N$4:$N$203,0),0)=0,"",INDEX('كشف الحساب'!$A$4:$A$203,IFERROR(MATCH(127,'كشف الحساب'!$N$4:$N$203,0),0))),"")</f>
        <v/>
      </c>
      <c r="B131" s="66" t="str">
        <f>IFERROR(IF(IFERROR(MATCH(127,'كشف الحساب'!$N$4:$N$203,0),0)=0,"",INDEX('كشف الحساب'!$B$4:$B$203,IFERROR(MATCH(127,'كشف الحساب'!$N$4:$N$203,0),0))),"")</f>
        <v/>
      </c>
      <c r="C131" s="67" t="str">
        <f>IFERROR(IF(IFERROR(MATCH(127,'كشف الحساب'!$N$4:$N$203,0),0)=0,"",INDEX('كشف الحساب'!$C$4:$C$203,IFERROR(MATCH(127,'كشف الحساب'!$N$4:$N$203,0),0))),"")</f>
        <v/>
      </c>
      <c r="D131" s="68" t="str">
        <f>IFERROR(IF(IFERROR(MATCH(127,'كشف الحساب'!$N$4:$N$203,0),0)=0,"",INDEX('كشف الحساب'!$D$4:$D$203,IFERROR(MATCH(127,'كشف الحساب'!$N$4:$N$203,0),0))),"")</f>
        <v/>
      </c>
      <c r="E131" s="69" t="str">
        <f>IFERROR(IF(IFERROR(MATCH(127,'كشف الحساب'!$N$4:$N$203,0),0)=0,"",INDEX('كشف الحساب'!$E$4:$E$203,IFERROR(MATCH(127,'كشف الحساب'!$N$4:$N$203,0),0))),"")</f>
        <v/>
      </c>
      <c r="F131" s="66" t="str">
        <f>IFERROR(IF(IFERROR(MATCH(127,'كشف الحساب'!$N$4:$N$203,0),0)=0,"",INDEX('كشف الحساب'!$F$4:$F$203,IFERROR(MATCH(127,'كشف الحساب'!$N$4:$N$203,0),0))),"")</f>
        <v/>
      </c>
      <c r="G131" s="66" t="str">
        <f>IFERROR(IF(IFERROR(MATCH(127,'كشف الحساب'!$N$4:$N$203,0),0)=0,"",INDEX('كشف الحساب'!$G$4:$G$203,IFERROR(MATCH(127,'كشف الحساب'!$N$4:$N$203,0),0))),"")</f>
        <v/>
      </c>
      <c r="H131" s="66" t="str">
        <f>IFERROR(IF(IFERROR(MATCH(127,'كشف الحساب'!$N$4:$N$203,0),0)=0,"",INDEX('كشف الحساب'!$H$4:$H$203,IFERROR(MATCH(127,'كشف الحساب'!$N$4:$N$203,0),0))),"")</f>
        <v/>
      </c>
      <c r="I131" s="66" t="str">
        <f>IFERROR(IF(IFERROR(MATCH(127,'كشف الحساب'!$N$4:$N$203,0),0)=0,"",INDEX('كشف الحساب'!$I$4:$I$203,IFERROR(MATCH(127,'كشف الحساب'!$N$4:$N$203,0),0))),"")</f>
        <v/>
      </c>
      <c r="J131" s="70" t="str">
        <f>IFERROR(IF(IFERROR(MATCH(127,'كشف الحساب'!$N$4:$N$203,0),0)=0,"",INDEX('كشف الحساب'!$J$4:$J$203,IFERROR(MATCH(127,'كشف الحساب'!$N$4:$N$203,0),0))),"")</f>
        <v/>
      </c>
      <c r="K131" s="66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71" t="str">
        <f>IFERROR(IF(IFERROR(MATCH(128,'كشف الحساب'!$N$4:$N$203,0),0)=0,"",INDEX('كشف الحساب'!$A$4:$A$203,IFERROR(MATCH(128,'كشف الحساب'!$N$4:$N$203,0),0))),"")</f>
        <v/>
      </c>
      <c r="B132" s="72" t="str">
        <f>IFERROR(IF(IFERROR(MATCH(128,'كشف الحساب'!$N$4:$N$203,0),0)=0,"",INDEX('كشف الحساب'!$B$4:$B$203,IFERROR(MATCH(128,'كشف الحساب'!$N$4:$N$203,0),0))),"")</f>
        <v/>
      </c>
      <c r="C132" s="73" t="str">
        <f>IFERROR(IF(IFERROR(MATCH(128,'كشف الحساب'!$N$4:$N$203,0),0)=0,"",INDEX('كشف الحساب'!$C$4:$C$203,IFERROR(MATCH(128,'كشف الحساب'!$N$4:$N$203,0),0))),"")</f>
        <v/>
      </c>
      <c r="D132" s="74" t="str">
        <f>IFERROR(IF(IFERROR(MATCH(128,'كشف الحساب'!$N$4:$N$203,0),0)=0,"",INDEX('كشف الحساب'!$D$4:$D$203,IFERROR(MATCH(128,'كشف الحساب'!$N$4:$N$203,0),0))),"")</f>
        <v/>
      </c>
      <c r="E132" s="75" t="str">
        <f>IFERROR(IF(IFERROR(MATCH(128,'كشف الحساب'!$N$4:$N$203,0),0)=0,"",INDEX('كشف الحساب'!$E$4:$E$203,IFERROR(MATCH(128,'كشف الحساب'!$N$4:$N$203,0),0))),"")</f>
        <v/>
      </c>
      <c r="F132" s="72" t="str">
        <f>IFERROR(IF(IFERROR(MATCH(128,'كشف الحساب'!$N$4:$N$203,0),0)=0,"",INDEX('كشف الحساب'!$F$4:$F$203,IFERROR(MATCH(128,'كشف الحساب'!$N$4:$N$203,0),0))),"")</f>
        <v/>
      </c>
      <c r="G132" s="72" t="str">
        <f>IFERROR(IF(IFERROR(MATCH(128,'كشف الحساب'!$N$4:$N$203,0),0)=0,"",INDEX('كشف الحساب'!$G$4:$G$203,IFERROR(MATCH(128,'كشف الحساب'!$N$4:$N$203,0),0))),"")</f>
        <v/>
      </c>
      <c r="H132" s="72" t="str">
        <f>IFERROR(IF(IFERROR(MATCH(128,'كشف الحساب'!$N$4:$N$203,0),0)=0,"",INDEX('كشف الحساب'!$H$4:$H$203,IFERROR(MATCH(128,'كشف الحساب'!$N$4:$N$203,0),0))),"")</f>
        <v/>
      </c>
      <c r="I132" s="72" t="str">
        <f>IFERROR(IF(IFERROR(MATCH(128,'كشف الحساب'!$N$4:$N$203,0),0)=0,"",INDEX('كشف الحساب'!$I$4:$I$203,IFERROR(MATCH(128,'كشف الحساب'!$N$4:$N$203,0),0))),"")</f>
        <v/>
      </c>
      <c r="J132" s="76" t="str">
        <f>IFERROR(IF(IFERROR(MATCH(128,'كشف الحساب'!$N$4:$N$203,0),0)=0,"",INDEX('كشف الحساب'!$J$4:$J$203,IFERROR(MATCH(128,'كشف الحساب'!$N$4:$N$203,0),0))),"")</f>
        <v/>
      </c>
      <c r="K132" s="72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5" t="str">
        <f>IFERROR(IF(IFERROR(MATCH(129,'كشف الحساب'!$N$4:$N$203,0),0)=0,"",INDEX('كشف الحساب'!$A$4:$A$203,IFERROR(MATCH(129,'كشف الحساب'!$N$4:$N$203,0),0))),"")</f>
        <v/>
      </c>
      <c r="B133" s="66" t="str">
        <f>IFERROR(IF(IFERROR(MATCH(129,'كشف الحساب'!$N$4:$N$203,0),0)=0,"",INDEX('كشف الحساب'!$B$4:$B$203,IFERROR(MATCH(129,'كشف الحساب'!$N$4:$N$203,0),0))),"")</f>
        <v/>
      </c>
      <c r="C133" s="67" t="str">
        <f>IFERROR(IF(IFERROR(MATCH(129,'كشف الحساب'!$N$4:$N$203,0),0)=0,"",INDEX('كشف الحساب'!$C$4:$C$203,IFERROR(MATCH(129,'كشف الحساب'!$N$4:$N$203,0),0))),"")</f>
        <v/>
      </c>
      <c r="D133" s="68" t="str">
        <f>IFERROR(IF(IFERROR(MATCH(129,'كشف الحساب'!$N$4:$N$203,0),0)=0,"",INDEX('كشف الحساب'!$D$4:$D$203,IFERROR(MATCH(129,'كشف الحساب'!$N$4:$N$203,0),0))),"")</f>
        <v/>
      </c>
      <c r="E133" s="69" t="str">
        <f>IFERROR(IF(IFERROR(MATCH(129,'كشف الحساب'!$N$4:$N$203,0),0)=0,"",INDEX('كشف الحساب'!$E$4:$E$203,IFERROR(MATCH(129,'كشف الحساب'!$N$4:$N$203,0),0))),"")</f>
        <v/>
      </c>
      <c r="F133" s="66" t="str">
        <f>IFERROR(IF(IFERROR(MATCH(129,'كشف الحساب'!$N$4:$N$203,0),0)=0,"",INDEX('كشف الحساب'!$F$4:$F$203,IFERROR(MATCH(129,'كشف الحساب'!$N$4:$N$203,0),0))),"")</f>
        <v/>
      </c>
      <c r="G133" s="66" t="str">
        <f>IFERROR(IF(IFERROR(MATCH(129,'كشف الحساب'!$N$4:$N$203,0),0)=0,"",INDEX('كشف الحساب'!$G$4:$G$203,IFERROR(MATCH(129,'كشف الحساب'!$N$4:$N$203,0),0))),"")</f>
        <v/>
      </c>
      <c r="H133" s="66" t="str">
        <f>IFERROR(IF(IFERROR(MATCH(129,'كشف الحساب'!$N$4:$N$203,0),0)=0,"",INDEX('كشف الحساب'!$H$4:$H$203,IFERROR(MATCH(129,'كشف الحساب'!$N$4:$N$203,0),0))),"")</f>
        <v/>
      </c>
      <c r="I133" s="66" t="str">
        <f>IFERROR(IF(IFERROR(MATCH(129,'كشف الحساب'!$N$4:$N$203,0),0)=0,"",INDEX('كشف الحساب'!$I$4:$I$203,IFERROR(MATCH(129,'كشف الحساب'!$N$4:$N$203,0),0))),"")</f>
        <v/>
      </c>
      <c r="J133" s="70" t="str">
        <f>IFERROR(IF(IFERROR(MATCH(129,'كشف الحساب'!$N$4:$N$203,0),0)=0,"",INDEX('كشف الحساب'!$J$4:$J$203,IFERROR(MATCH(129,'كشف الحساب'!$N$4:$N$203,0),0))),"")</f>
        <v/>
      </c>
      <c r="K133" s="66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71" t="str">
        <f>IFERROR(IF(IFERROR(MATCH(130,'كشف الحساب'!$N$4:$N$203,0),0)=0,"",INDEX('كشف الحساب'!$A$4:$A$203,IFERROR(MATCH(130,'كشف الحساب'!$N$4:$N$203,0),0))),"")</f>
        <v/>
      </c>
      <c r="B134" s="72" t="str">
        <f>IFERROR(IF(IFERROR(MATCH(130,'كشف الحساب'!$N$4:$N$203,0),0)=0,"",INDEX('كشف الحساب'!$B$4:$B$203,IFERROR(MATCH(130,'كشف الحساب'!$N$4:$N$203,0),0))),"")</f>
        <v/>
      </c>
      <c r="C134" s="73" t="str">
        <f>IFERROR(IF(IFERROR(MATCH(130,'كشف الحساب'!$N$4:$N$203,0),0)=0,"",INDEX('كشف الحساب'!$C$4:$C$203,IFERROR(MATCH(130,'كشف الحساب'!$N$4:$N$203,0),0))),"")</f>
        <v/>
      </c>
      <c r="D134" s="74" t="str">
        <f>IFERROR(IF(IFERROR(MATCH(130,'كشف الحساب'!$N$4:$N$203,0),0)=0,"",INDEX('كشف الحساب'!$D$4:$D$203,IFERROR(MATCH(130,'كشف الحساب'!$N$4:$N$203,0),0))),"")</f>
        <v/>
      </c>
      <c r="E134" s="75" t="str">
        <f>IFERROR(IF(IFERROR(MATCH(130,'كشف الحساب'!$N$4:$N$203,0),0)=0,"",INDEX('كشف الحساب'!$E$4:$E$203,IFERROR(MATCH(130,'كشف الحساب'!$N$4:$N$203,0),0))),"")</f>
        <v/>
      </c>
      <c r="F134" s="72" t="str">
        <f>IFERROR(IF(IFERROR(MATCH(130,'كشف الحساب'!$N$4:$N$203,0),0)=0,"",INDEX('كشف الحساب'!$F$4:$F$203,IFERROR(MATCH(130,'كشف الحساب'!$N$4:$N$203,0),0))),"")</f>
        <v/>
      </c>
      <c r="G134" s="72" t="str">
        <f>IFERROR(IF(IFERROR(MATCH(130,'كشف الحساب'!$N$4:$N$203,0),0)=0,"",INDEX('كشف الحساب'!$G$4:$G$203,IFERROR(MATCH(130,'كشف الحساب'!$N$4:$N$203,0),0))),"")</f>
        <v/>
      </c>
      <c r="H134" s="72" t="str">
        <f>IFERROR(IF(IFERROR(MATCH(130,'كشف الحساب'!$N$4:$N$203,0),0)=0,"",INDEX('كشف الحساب'!$H$4:$H$203,IFERROR(MATCH(130,'كشف الحساب'!$N$4:$N$203,0),0))),"")</f>
        <v/>
      </c>
      <c r="I134" s="72" t="str">
        <f>IFERROR(IF(IFERROR(MATCH(130,'كشف الحساب'!$N$4:$N$203,0),0)=0,"",INDEX('كشف الحساب'!$I$4:$I$203,IFERROR(MATCH(130,'كشف الحساب'!$N$4:$N$203,0),0))),"")</f>
        <v/>
      </c>
      <c r="J134" s="76" t="str">
        <f>IFERROR(IF(IFERROR(MATCH(130,'كشف الحساب'!$N$4:$N$203,0),0)=0,"",INDEX('كشف الحساب'!$J$4:$J$203,IFERROR(MATCH(130,'كشف الحساب'!$N$4:$N$203,0),0))),"")</f>
        <v/>
      </c>
      <c r="K134" s="72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5" t="str">
        <f>IFERROR(IF(IFERROR(MATCH(131,'كشف الحساب'!$N$4:$N$203,0),0)=0,"",INDEX('كشف الحساب'!$A$4:$A$203,IFERROR(MATCH(131,'كشف الحساب'!$N$4:$N$203,0),0))),"")</f>
        <v/>
      </c>
      <c r="B135" s="66" t="str">
        <f>IFERROR(IF(IFERROR(MATCH(131,'كشف الحساب'!$N$4:$N$203,0),0)=0,"",INDEX('كشف الحساب'!$B$4:$B$203,IFERROR(MATCH(131,'كشف الحساب'!$N$4:$N$203,0),0))),"")</f>
        <v/>
      </c>
      <c r="C135" s="67" t="str">
        <f>IFERROR(IF(IFERROR(MATCH(131,'كشف الحساب'!$N$4:$N$203,0),0)=0,"",INDEX('كشف الحساب'!$C$4:$C$203,IFERROR(MATCH(131,'كشف الحساب'!$N$4:$N$203,0),0))),"")</f>
        <v/>
      </c>
      <c r="D135" s="68" t="str">
        <f>IFERROR(IF(IFERROR(MATCH(131,'كشف الحساب'!$N$4:$N$203,0),0)=0,"",INDEX('كشف الحساب'!$D$4:$D$203,IFERROR(MATCH(131,'كشف الحساب'!$N$4:$N$203,0),0))),"")</f>
        <v/>
      </c>
      <c r="E135" s="69" t="str">
        <f>IFERROR(IF(IFERROR(MATCH(131,'كشف الحساب'!$N$4:$N$203,0),0)=0,"",INDEX('كشف الحساب'!$E$4:$E$203,IFERROR(MATCH(131,'كشف الحساب'!$N$4:$N$203,0),0))),"")</f>
        <v/>
      </c>
      <c r="F135" s="66" t="str">
        <f>IFERROR(IF(IFERROR(MATCH(131,'كشف الحساب'!$N$4:$N$203,0),0)=0,"",INDEX('كشف الحساب'!$F$4:$F$203,IFERROR(MATCH(131,'كشف الحساب'!$N$4:$N$203,0),0))),"")</f>
        <v/>
      </c>
      <c r="G135" s="66" t="str">
        <f>IFERROR(IF(IFERROR(MATCH(131,'كشف الحساب'!$N$4:$N$203,0),0)=0,"",INDEX('كشف الحساب'!$G$4:$G$203,IFERROR(MATCH(131,'كشف الحساب'!$N$4:$N$203,0),0))),"")</f>
        <v/>
      </c>
      <c r="H135" s="66" t="str">
        <f>IFERROR(IF(IFERROR(MATCH(131,'كشف الحساب'!$N$4:$N$203,0),0)=0,"",INDEX('كشف الحساب'!$H$4:$H$203,IFERROR(MATCH(131,'كشف الحساب'!$N$4:$N$203,0),0))),"")</f>
        <v/>
      </c>
      <c r="I135" s="66" t="str">
        <f>IFERROR(IF(IFERROR(MATCH(131,'كشف الحساب'!$N$4:$N$203,0),0)=0,"",INDEX('كشف الحساب'!$I$4:$I$203,IFERROR(MATCH(131,'كشف الحساب'!$N$4:$N$203,0),0))),"")</f>
        <v/>
      </c>
      <c r="J135" s="70" t="str">
        <f>IFERROR(IF(IFERROR(MATCH(131,'كشف الحساب'!$N$4:$N$203,0),0)=0,"",INDEX('كشف الحساب'!$J$4:$J$203,IFERROR(MATCH(131,'كشف الحساب'!$N$4:$N$203,0),0))),"")</f>
        <v/>
      </c>
      <c r="K135" s="66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71" t="str">
        <f>IFERROR(IF(IFERROR(MATCH(132,'كشف الحساب'!$N$4:$N$203,0),0)=0,"",INDEX('كشف الحساب'!$A$4:$A$203,IFERROR(MATCH(132,'كشف الحساب'!$N$4:$N$203,0),0))),"")</f>
        <v/>
      </c>
      <c r="B136" s="72" t="str">
        <f>IFERROR(IF(IFERROR(MATCH(132,'كشف الحساب'!$N$4:$N$203,0),0)=0,"",INDEX('كشف الحساب'!$B$4:$B$203,IFERROR(MATCH(132,'كشف الحساب'!$N$4:$N$203,0),0))),"")</f>
        <v/>
      </c>
      <c r="C136" s="73" t="str">
        <f>IFERROR(IF(IFERROR(MATCH(132,'كشف الحساب'!$N$4:$N$203,0),0)=0,"",INDEX('كشف الحساب'!$C$4:$C$203,IFERROR(MATCH(132,'كشف الحساب'!$N$4:$N$203,0),0))),"")</f>
        <v/>
      </c>
      <c r="D136" s="74" t="str">
        <f>IFERROR(IF(IFERROR(MATCH(132,'كشف الحساب'!$N$4:$N$203,0),0)=0,"",INDEX('كشف الحساب'!$D$4:$D$203,IFERROR(MATCH(132,'كشف الحساب'!$N$4:$N$203,0),0))),"")</f>
        <v/>
      </c>
      <c r="E136" s="75" t="str">
        <f>IFERROR(IF(IFERROR(MATCH(132,'كشف الحساب'!$N$4:$N$203,0),0)=0,"",INDEX('كشف الحساب'!$E$4:$E$203,IFERROR(MATCH(132,'كشف الحساب'!$N$4:$N$203,0),0))),"")</f>
        <v/>
      </c>
      <c r="F136" s="72" t="str">
        <f>IFERROR(IF(IFERROR(MATCH(132,'كشف الحساب'!$N$4:$N$203,0),0)=0,"",INDEX('كشف الحساب'!$F$4:$F$203,IFERROR(MATCH(132,'كشف الحساب'!$N$4:$N$203,0),0))),"")</f>
        <v/>
      </c>
      <c r="G136" s="72" t="str">
        <f>IFERROR(IF(IFERROR(MATCH(132,'كشف الحساب'!$N$4:$N$203,0),0)=0,"",INDEX('كشف الحساب'!$G$4:$G$203,IFERROR(MATCH(132,'كشف الحساب'!$N$4:$N$203,0),0))),"")</f>
        <v/>
      </c>
      <c r="H136" s="72" t="str">
        <f>IFERROR(IF(IFERROR(MATCH(132,'كشف الحساب'!$N$4:$N$203,0),0)=0,"",INDEX('كشف الحساب'!$H$4:$H$203,IFERROR(MATCH(132,'كشف الحساب'!$N$4:$N$203,0),0))),"")</f>
        <v/>
      </c>
      <c r="I136" s="72" t="str">
        <f>IFERROR(IF(IFERROR(MATCH(132,'كشف الحساب'!$N$4:$N$203,0),0)=0,"",INDEX('كشف الحساب'!$I$4:$I$203,IFERROR(MATCH(132,'كشف الحساب'!$N$4:$N$203,0),0))),"")</f>
        <v/>
      </c>
      <c r="J136" s="76" t="str">
        <f>IFERROR(IF(IFERROR(MATCH(132,'كشف الحساب'!$N$4:$N$203,0),0)=0,"",INDEX('كشف الحساب'!$J$4:$J$203,IFERROR(MATCH(132,'كشف الحساب'!$N$4:$N$203,0),0))),"")</f>
        <v/>
      </c>
      <c r="K136" s="72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5" t="str">
        <f>IFERROR(IF(IFERROR(MATCH(133,'كشف الحساب'!$N$4:$N$203,0),0)=0,"",INDEX('كشف الحساب'!$A$4:$A$203,IFERROR(MATCH(133,'كشف الحساب'!$N$4:$N$203,0),0))),"")</f>
        <v/>
      </c>
      <c r="B137" s="66" t="str">
        <f>IFERROR(IF(IFERROR(MATCH(133,'كشف الحساب'!$N$4:$N$203,0),0)=0,"",INDEX('كشف الحساب'!$B$4:$B$203,IFERROR(MATCH(133,'كشف الحساب'!$N$4:$N$203,0),0))),"")</f>
        <v/>
      </c>
      <c r="C137" s="67" t="str">
        <f>IFERROR(IF(IFERROR(MATCH(133,'كشف الحساب'!$N$4:$N$203,0),0)=0,"",INDEX('كشف الحساب'!$C$4:$C$203,IFERROR(MATCH(133,'كشف الحساب'!$N$4:$N$203,0),0))),"")</f>
        <v/>
      </c>
      <c r="D137" s="68" t="str">
        <f>IFERROR(IF(IFERROR(MATCH(133,'كشف الحساب'!$N$4:$N$203,0),0)=0,"",INDEX('كشف الحساب'!$D$4:$D$203,IFERROR(MATCH(133,'كشف الحساب'!$N$4:$N$203,0),0))),"")</f>
        <v/>
      </c>
      <c r="E137" s="69" t="str">
        <f>IFERROR(IF(IFERROR(MATCH(133,'كشف الحساب'!$N$4:$N$203,0),0)=0,"",INDEX('كشف الحساب'!$E$4:$E$203,IFERROR(MATCH(133,'كشف الحساب'!$N$4:$N$203,0),0))),"")</f>
        <v/>
      </c>
      <c r="F137" s="66" t="str">
        <f>IFERROR(IF(IFERROR(MATCH(133,'كشف الحساب'!$N$4:$N$203,0),0)=0,"",INDEX('كشف الحساب'!$F$4:$F$203,IFERROR(MATCH(133,'كشف الحساب'!$N$4:$N$203,0),0))),"")</f>
        <v/>
      </c>
      <c r="G137" s="66" t="str">
        <f>IFERROR(IF(IFERROR(MATCH(133,'كشف الحساب'!$N$4:$N$203,0),0)=0,"",INDEX('كشف الحساب'!$G$4:$G$203,IFERROR(MATCH(133,'كشف الحساب'!$N$4:$N$203,0),0))),"")</f>
        <v/>
      </c>
      <c r="H137" s="66" t="str">
        <f>IFERROR(IF(IFERROR(MATCH(133,'كشف الحساب'!$N$4:$N$203,0),0)=0,"",INDEX('كشف الحساب'!$H$4:$H$203,IFERROR(MATCH(133,'كشف الحساب'!$N$4:$N$203,0),0))),"")</f>
        <v/>
      </c>
      <c r="I137" s="66" t="str">
        <f>IFERROR(IF(IFERROR(MATCH(133,'كشف الحساب'!$N$4:$N$203,0),0)=0,"",INDEX('كشف الحساب'!$I$4:$I$203,IFERROR(MATCH(133,'كشف الحساب'!$N$4:$N$203,0),0))),"")</f>
        <v/>
      </c>
      <c r="J137" s="70" t="str">
        <f>IFERROR(IF(IFERROR(MATCH(133,'كشف الحساب'!$N$4:$N$203,0),0)=0,"",INDEX('كشف الحساب'!$J$4:$J$203,IFERROR(MATCH(133,'كشف الحساب'!$N$4:$N$203,0),0))),"")</f>
        <v/>
      </c>
      <c r="K137" s="66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71" t="str">
        <f>IFERROR(IF(IFERROR(MATCH(134,'كشف الحساب'!$N$4:$N$203,0),0)=0,"",INDEX('كشف الحساب'!$A$4:$A$203,IFERROR(MATCH(134,'كشف الحساب'!$N$4:$N$203,0),0))),"")</f>
        <v/>
      </c>
      <c r="B138" s="72" t="str">
        <f>IFERROR(IF(IFERROR(MATCH(134,'كشف الحساب'!$N$4:$N$203,0),0)=0,"",INDEX('كشف الحساب'!$B$4:$B$203,IFERROR(MATCH(134,'كشف الحساب'!$N$4:$N$203,0),0))),"")</f>
        <v/>
      </c>
      <c r="C138" s="73" t="str">
        <f>IFERROR(IF(IFERROR(MATCH(134,'كشف الحساب'!$N$4:$N$203,0),0)=0,"",INDEX('كشف الحساب'!$C$4:$C$203,IFERROR(MATCH(134,'كشف الحساب'!$N$4:$N$203,0),0))),"")</f>
        <v/>
      </c>
      <c r="D138" s="74" t="str">
        <f>IFERROR(IF(IFERROR(MATCH(134,'كشف الحساب'!$N$4:$N$203,0),0)=0,"",INDEX('كشف الحساب'!$D$4:$D$203,IFERROR(MATCH(134,'كشف الحساب'!$N$4:$N$203,0),0))),"")</f>
        <v/>
      </c>
      <c r="E138" s="75" t="str">
        <f>IFERROR(IF(IFERROR(MATCH(134,'كشف الحساب'!$N$4:$N$203,0),0)=0,"",INDEX('كشف الحساب'!$E$4:$E$203,IFERROR(MATCH(134,'كشف الحساب'!$N$4:$N$203,0),0))),"")</f>
        <v/>
      </c>
      <c r="F138" s="72" t="str">
        <f>IFERROR(IF(IFERROR(MATCH(134,'كشف الحساب'!$N$4:$N$203,0),0)=0,"",INDEX('كشف الحساب'!$F$4:$F$203,IFERROR(MATCH(134,'كشف الحساب'!$N$4:$N$203,0),0))),"")</f>
        <v/>
      </c>
      <c r="G138" s="72" t="str">
        <f>IFERROR(IF(IFERROR(MATCH(134,'كشف الحساب'!$N$4:$N$203,0),0)=0,"",INDEX('كشف الحساب'!$G$4:$G$203,IFERROR(MATCH(134,'كشف الحساب'!$N$4:$N$203,0),0))),"")</f>
        <v/>
      </c>
      <c r="H138" s="72" t="str">
        <f>IFERROR(IF(IFERROR(MATCH(134,'كشف الحساب'!$N$4:$N$203,0),0)=0,"",INDEX('كشف الحساب'!$H$4:$H$203,IFERROR(MATCH(134,'كشف الحساب'!$N$4:$N$203,0),0))),"")</f>
        <v/>
      </c>
      <c r="I138" s="72" t="str">
        <f>IFERROR(IF(IFERROR(MATCH(134,'كشف الحساب'!$N$4:$N$203,0),0)=0,"",INDEX('كشف الحساب'!$I$4:$I$203,IFERROR(MATCH(134,'كشف الحساب'!$N$4:$N$203,0),0))),"")</f>
        <v/>
      </c>
      <c r="J138" s="76" t="str">
        <f>IFERROR(IF(IFERROR(MATCH(134,'كشف الحساب'!$N$4:$N$203,0),0)=0,"",INDEX('كشف الحساب'!$J$4:$J$203,IFERROR(MATCH(134,'كشف الحساب'!$N$4:$N$203,0),0))),"")</f>
        <v/>
      </c>
      <c r="K138" s="72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5" t="str">
        <f>IFERROR(IF(IFERROR(MATCH(135,'كشف الحساب'!$N$4:$N$203,0),0)=0,"",INDEX('كشف الحساب'!$A$4:$A$203,IFERROR(MATCH(135,'كشف الحساب'!$N$4:$N$203,0),0))),"")</f>
        <v/>
      </c>
      <c r="B139" s="66" t="str">
        <f>IFERROR(IF(IFERROR(MATCH(135,'كشف الحساب'!$N$4:$N$203,0),0)=0,"",INDEX('كشف الحساب'!$B$4:$B$203,IFERROR(MATCH(135,'كشف الحساب'!$N$4:$N$203,0),0))),"")</f>
        <v/>
      </c>
      <c r="C139" s="67" t="str">
        <f>IFERROR(IF(IFERROR(MATCH(135,'كشف الحساب'!$N$4:$N$203,0),0)=0,"",INDEX('كشف الحساب'!$C$4:$C$203,IFERROR(MATCH(135,'كشف الحساب'!$N$4:$N$203,0),0))),"")</f>
        <v/>
      </c>
      <c r="D139" s="68" t="str">
        <f>IFERROR(IF(IFERROR(MATCH(135,'كشف الحساب'!$N$4:$N$203,0),0)=0,"",INDEX('كشف الحساب'!$D$4:$D$203,IFERROR(MATCH(135,'كشف الحساب'!$N$4:$N$203,0),0))),"")</f>
        <v/>
      </c>
      <c r="E139" s="69" t="str">
        <f>IFERROR(IF(IFERROR(MATCH(135,'كشف الحساب'!$N$4:$N$203,0),0)=0,"",INDEX('كشف الحساب'!$E$4:$E$203,IFERROR(MATCH(135,'كشف الحساب'!$N$4:$N$203,0),0))),"")</f>
        <v/>
      </c>
      <c r="F139" s="66" t="str">
        <f>IFERROR(IF(IFERROR(MATCH(135,'كشف الحساب'!$N$4:$N$203,0),0)=0,"",INDEX('كشف الحساب'!$F$4:$F$203,IFERROR(MATCH(135,'كشف الحساب'!$N$4:$N$203,0),0))),"")</f>
        <v/>
      </c>
      <c r="G139" s="66" t="str">
        <f>IFERROR(IF(IFERROR(MATCH(135,'كشف الحساب'!$N$4:$N$203,0),0)=0,"",INDEX('كشف الحساب'!$G$4:$G$203,IFERROR(MATCH(135,'كشف الحساب'!$N$4:$N$203,0),0))),"")</f>
        <v/>
      </c>
      <c r="H139" s="66" t="str">
        <f>IFERROR(IF(IFERROR(MATCH(135,'كشف الحساب'!$N$4:$N$203,0),0)=0,"",INDEX('كشف الحساب'!$H$4:$H$203,IFERROR(MATCH(135,'كشف الحساب'!$N$4:$N$203,0),0))),"")</f>
        <v/>
      </c>
      <c r="I139" s="66" t="str">
        <f>IFERROR(IF(IFERROR(MATCH(135,'كشف الحساب'!$N$4:$N$203,0),0)=0,"",INDEX('كشف الحساب'!$I$4:$I$203,IFERROR(MATCH(135,'كشف الحساب'!$N$4:$N$203,0),0))),"")</f>
        <v/>
      </c>
      <c r="J139" s="70" t="str">
        <f>IFERROR(IF(IFERROR(MATCH(135,'كشف الحساب'!$N$4:$N$203,0),0)=0,"",INDEX('كشف الحساب'!$J$4:$J$203,IFERROR(MATCH(135,'كشف الحساب'!$N$4:$N$203,0),0))),"")</f>
        <v/>
      </c>
      <c r="K139" s="66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71" t="str">
        <f>IFERROR(IF(IFERROR(MATCH(136,'كشف الحساب'!$N$4:$N$203,0),0)=0,"",INDEX('كشف الحساب'!$A$4:$A$203,IFERROR(MATCH(136,'كشف الحساب'!$N$4:$N$203,0),0))),"")</f>
        <v/>
      </c>
      <c r="B140" s="72" t="str">
        <f>IFERROR(IF(IFERROR(MATCH(136,'كشف الحساب'!$N$4:$N$203,0),0)=0,"",INDEX('كشف الحساب'!$B$4:$B$203,IFERROR(MATCH(136,'كشف الحساب'!$N$4:$N$203,0),0))),"")</f>
        <v/>
      </c>
      <c r="C140" s="73" t="str">
        <f>IFERROR(IF(IFERROR(MATCH(136,'كشف الحساب'!$N$4:$N$203,0),0)=0,"",INDEX('كشف الحساب'!$C$4:$C$203,IFERROR(MATCH(136,'كشف الحساب'!$N$4:$N$203,0),0))),"")</f>
        <v/>
      </c>
      <c r="D140" s="74" t="str">
        <f>IFERROR(IF(IFERROR(MATCH(136,'كشف الحساب'!$N$4:$N$203,0),0)=0,"",INDEX('كشف الحساب'!$D$4:$D$203,IFERROR(MATCH(136,'كشف الحساب'!$N$4:$N$203,0),0))),"")</f>
        <v/>
      </c>
      <c r="E140" s="75" t="str">
        <f>IFERROR(IF(IFERROR(MATCH(136,'كشف الحساب'!$N$4:$N$203,0),0)=0,"",INDEX('كشف الحساب'!$E$4:$E$203,IFERROR(MATCH(136,'كشف الحساب'!$N$4:$N$203,0),0))),"")</f>
        <v/>
      </c>
      <c r="F140" s="72" t="str">
        <f>IFERROR(IF(IFERROR(MATCH(136,'كشف الحساب'!$N$4:$N$203,0),0)=0,"",INDEX('كشف الحساب'!$F$4:$F$203,IFERROR(MATCH(136,'كشف الحساب'!$N$4:$N$203,0),0))),"")</f>
        <v/>
      </c>
      <c r="G140" s="72" t="str">
        <f>IFERROR(IF(IFERROR(MATCH(136,'كشف الحساب'!$N$4:$N$203,0),0)=0,"",INDEX('كشف الحساب'!$G$4:$G$203,IFERROR(MATCH(136,'كشف الحساب'!$N$4:$N$203,0),0))),"")</f>
        <v/>
      </c>
      <c r="H140" s="72" t="str">
        <f>IFERROR(IF(IFERROR(MATCH(136,'كشف الحساب'!$N$4:$N$203,0),0)=0,"",INDEX('كشف الحساب'!$H$4:$H$203,IFERROR(MATCH(136,'كشف الحساب'!$N$4:$N$203,0),0))),"")</f>
        <v/>
      </c>
      <c r="I140" s="72" t="str">
        <f>IFERROR(IF(IFERROR(MATCH(136,'كشف الحساب'!$N$4:$N$203,0),0)=0,"",INDEX('كشف الحساب'!$I$4:$I$203,IFERROR(MATCH(136,'كشف الحساب'!$N$4:$N$203,0),0))),"")</f>
        <v/>
      </c>
      <c r="J140" s="76" t="str">
        <f>IFERROR(IF(IFERROR(MATCH(136,'كشف الحساب'!$N$4:$N$203,0),0)=0,"",INDEX('كشف الحساب'!$J$4:$J$203,IFERROR(MATCH(136,'كشف الحساب'!$N$4:$N$203,0),0))),"")</f>
        <v/>
      </c>
      <c r="K140" s="72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5" t="str">
        <f>IFERROR(IF(IFERROR(MATCH(137,'كشف الحساب'!$N$4:$N$203,0),0)=0,"",INDEX('كشف الحساب'!$A$4:$A$203,IFERROR(MATCH(137,'كشف الحساب'!$N$4:$N$203,0),0))),"")</f>
        <v/>
      </c>
      <c r="B141" s="66" t="str">
        <f>IFERROR(IF(IFERROR(MATCH(137,'كشف الحساب'!$N$4:$N$203,0),0)=0,"",INDEX('كشف الحساب'!$B$4:$B$203,IFERROR(MATCH(137,'كشف الحساب'!$N$4:$N$203,0),0))),"")</f>
        <v/>
      </c>
      <c r="C141" s="67" t="str">
        <f>IFERROR(IF(IFERROR(MATCH(137,'كشف الحساب'!$N$4:$N$203,0),0)=0,"",INDEX('كشف الحساب'!$C$4:$C$203,IFERROR(MATCH(137,'كشف الحساب'!$N$4:$N$203,0),0))),"")</f>
        <v/>
      </c>
      <c r="D141" s="68" t="str">
        <f>IFERROR(IF(IFERROR(MATCH(137,'كشف الحساب'!$N$4:$N$203,0),0)=0,"",INDEX('كشف الحساب'!$D$4:$D$203,IFERROR(MATCH(137,'كشف الحساب'!$N$4:$N$203,0),0))),"")</f>
        <v/>
      </c>
      <c r="E141" s="69" t="str">
        <f>IFERROR(IF(IFERROR(MATCH(137,'كشف الحساب'!$N$4:$N$203,0),0)=0,"",INDEX('كشف الحساب'!$E$4:$E$203,IFERROR(MATCH(137,'كشف الحساب'!$N$4:$N$203,0),0))),"")</f>
        <v/>
      </c>
      <c r="F141" s="66" t="str">
        <f>IFERROR(IF(IFERROR(MATCH(137,'كشف الحساب'!$N$4:$N$203,0),0)=0,"",INDEX('كشف الحساب'!$F$4:$F$203,IFERROR(MATCH(137,'كشف الحساب'!$N$4:$N$203,0),0))),"")</f>
        <v/>
      </c>
      <c r="G141" s="66" t="str">
        <f>IFERROR(IF(IFERROR(MATCH(137,'كشف الحساب'!$N$4:$N$203,0),0)=0,"",INDEX('كشف الحساب'!$G$4:$G$203,IFERROR(MATCH(137,'كشف الحساب'!$N$4:$N$203,0),0))),"")</f>
        <v/>
      </c>
      <c r="H141" s="66" t="str">
        <f>IFERROR(IF(IFERROR(MATCH(137,'كشف الحساب'!$N$4:$N$203,0),0)=0,"",INDEX('كشف الحساب'!$H$4:$H$203,IFERROR(MATCH(137,'كشف الحساب'!$N$4:$N$203,0),0))),"")</f>
        <v/>
      </c>
      <c r="I141" s="66" t="str">
        <f>IFERROR(IF(IFERROR(MATCH(137,'كشف الحساب'!$N$4:$N$203,0),0)=0,"",INDEX('كشف الحساب'!$I$4:$I$203,IFERROR(MATCH(137,'كشف الحساب'!$N$4:$N$203,0),0))),"")</f>
        <v/>
      </c>
      <c r="J141" s="70" t="str">
        <f>IFERROR(IF(IFERROR(MATCH(137,'كشف الحساب'!$N$4:$N$203,0),0)=0,"",INDEX('كشف الحساب'!$J$4:$J$203,IFERROR(MATCH(137,'كشف الحساب'!$N$4:$N$203,0),0))),"")</f>
        <v/>
      </c>
      <c r="K141" s="66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71" t="str">
        <f>IFERROR(IF(IFERROR(MATCH(138,'كشف الحساب'!$N$4:$N$203,0),0)=0,"",INDEX('كشف الحساب'!$A$4:$A$203,IFERROR(MATCH(138,'كشف الحساب'!$N$4:$N$203,0),0))),"")</f>
        <v/>
      </c>
      <c r="B142" s="72" t="str">
        <f>IFERROR(IF(IFERROR(MATCH(138,'كشف الحساب'!$N$4:$N$203,0),0)=0,"",INDEX('كشف الحساب'!$B$4:$B$203,IFERROR(MATCH(138,'كشف الحساب'!$N$4:$N$203,0),0))),"")</f>
        <v/>
      </c>
      <c r="C142" s="73" t="str">
        <f>IFERROR(IF(IFERROR(MATCH(138,'كشف الحساب'!$N$4:$N$203,0),0)=0,"",INDEX('كشف الحساب'!$C$4:$C$203,IFERROR(MATCH(138,'كشف الحساب'!$N$4:$N$203,0),0))),"")</f>
        <v/>
      </c>
      <c r="D142" s="74" t="str">
        <f>IFERROR(IF(IFERROR(MATCH(138,'كشف الحساب'!$N$4:$N$203,0),0)=0,"",INDEX('كشف الحساب'!$D$4:$D$203,IFERROR(MATCH(138,'كشف الحساب'!$N$4:$N$203,0),0))),"")</f>
        <v/>
      </c>
      <c r="E142" s="75" t="str">
        <f>IFERROR(IF(IFERROR(MATCH(138,'كشف الحساب'!$N$4:$N$203,0),0)=0,"",INDEX('كشف الحساب'!$E$4:$E$203,IFERROR(MATCH(138,'كشف الحساب'!$N$4:$N$203,0),0))),"")</f>
        <v/>
      </c>
      <c r="F142" s="72" t="str">
        <f>IFERROR(IF(IFERROR(MATCH(138,'كشف الحساب'!$N$4:$N$203,0),0)=0,"",INDEX('كشف الحساب'!$F$4:$F$203,IFERROR(MATCH(138,'كشف الحساب'!$N$4:$N$203,0),0))),"")</f>
        <v/>
      </c>
      <c r="G142" s="72" t="str">
        <f>IFERROR(IF(IFERROR(MATCH(138,'كشف الحساب'!$N$4:$N$203,0),0)=0,"",INDEX('كشف الحساب'!$G$4:$G$203,IFERROR(MATCH(138,'كشف الحساب'!$N$4:$N$203,0),0))),"")</f>
        <v/>
      </c>
      <c r="H142" s="72" t="str">
        <f>IFERROR(IF(IFERROR(MATCH(138,'كشف الحساب'!$N$4:$N$203,0),0)=0,"",INDEX('كشف الحساب'!$H$4:$H$203,IFERROR(MATCH(138,'كشف الحساب'!$N$4:$N$203,0),0))),"")</f>
        <v/>
      </c>
      <c r="I142" s="72" t="str">
        <f>IFERROR(IF(IFERROR(MATCH(138,'كشف الحساب'!$N$4:$N$203,0),0)=0,"",INDEX('كشف الحساب'!$I$4:$I$203,IFERROR(MATCH(138,'كشف الحساب'!$N$4:$N$203,0),0))),"")</f>
        <v/>
      </c>
      <c r="J142" s="76" t="str">
        <f>IFERROR(IF(IFERROR(MATCH(138,'كشف الحساب'!$N$4:$N$203,0),0)=0,"",INDEX('كشف الحساب'!$J$4:$J$203,IFERROR(MATCH(138,'كشف الحساب'!$N$4:$N$203,0),0))),"")</f>
        <v/>
      </c>
      <c r="K142" s="72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5" t="str">
        <f>IFERROR(IF(IFERROR(MATCH(139,'كشف الحساب'!$N$4:$N$203,0),0)=0,"",INDEX('كشف الحساب'!$A$4:$A$203,IFERROR(MATCH(139,'كشف الحساب'!$N$4:$N$203,0),0))),"")</f>
        <v/>
      </c>
      <c r="B143" s="66" t="str">
        <f>IFERROR(IF(IFERROR(MATCH(139,'كشف الحساب'!$N$4:$N$203,0),0)=0,"",INDEX('كشف الحساب'!$B$4:$B$203,IFERROR(MATCH(139,'كشف الحساب'!$N$4:$N$203,0),0))),"")</f>
        <v/>
      </c>
      <c r="C143" s="67" t="str">
        <f>IFERROR(IF(IFERROR(MATCH(139,'كشف الحساب'!$N$4:$N$203,0),0)=0,"",INDEX('كشف الحساب'!$C$4:$C$203,IFERROR(MATCH(139,'كشف الحساب'!$N$4:$N$203,0),0))),"")</f>
        <v/>
      </c>
      <c r="D143" s="68" t="str">
        <f>IFERROR(IF(IFERROR(MATCH(139,'كشف الحساب'!$N$4:$N$203,0),0)=0,"",INDEX('كشف الحساب'!$D$4:$D$203,IFERROR(MATCH(139,'كشف الحساب'!$N$4:$N$203,0),0))),"")</f>
        <v/>
      </c>
      <c r="E143" s="69" t="str">
        <f>IFERROR(IF(IFERROR(MATCH(139,'كشف الحساب'!$N$4:$N$203,0),0)=0,"",INDEX('كشف الحساب'!$E$4:$E$203,IFERROR(MATCH(139,'كشف الحساب'!$N$4:$N$203,0),0))),"")</f>
        <v/>
      </c>
      <c r="F143" s="66" t="str">
        <f>IFERROR(IF(IFERROR(MATCH(139,'كشف الحساب'!$N$4:$N$203,0),0)=0,"",INDEX('كشف الحساب'!$F$4:$F$203,IFERROR(MATCH(139,'كشف الحساب'!$N$4:$N$203,0),0))),"")</f>
        <v/>
      </c>
      <c r="G143" s="66" t="str">
        <f>IFERROR(IF(IFERROR(MATCH(139,'كشف الحساب'!$N$4:$N$203,0),0)=0,"",INDEX('كشف الحساب'!$G$4:$G$203,IFERROR(MATCH(139,'كشف الحساب'!$N$4:$N$203,0),0))),"")</f>
        <v/>
      </c>
      <c r="H143" s="66" t="str">
        <f>IFERROR(IF(IFERROR(MATCH(139,'كشف الحساب'!$N$4:$N$203,0),0)=0,"",INDEX('كشف الحساب'!$H$4:$H$203,IFERROR(MATCH(139,'كشف الحساب'!$N$4:$N$203,0),0))),"")</f>
        <v/>
      </c>
      <c r="I143" s="66" t="str">
        <f>IFERROR(IF(IFERROR(MATCH(139,'كشف الحساب'!$N$4:$N$203,0),0)=0,"",INDEX('كشف الحساب'!$I$4:$I$203,IFERROR(MATCH(139,'كشف الحساب'!$N$4:$N$203,0),0))),"")</f>
        <v/>
      </c>
      <c r="J143" s="70" t="str">
        <f>IFERROR(IF(IFERROR(MATCH(139,'كشف الحساب'!$N$4:$N$203,0),0)=0,"",INDEX('كشف الحساب'!$J$4:$J$203,IFERROR(MATCH(139,'كشف الحساب'!$N$4:$N$203,0),0))),"")</f>
        <v/>
      </c>
      <c r="K143" s="66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71" t="str">
        <f>IFERROR(IF(IFERROR(MATCH(140,'كشف الحساب'!$N$4:$N$203,0),0)=0,"",INDEX('كشف الحساب'!$A$4:$A$203,IFERROR(MATCH(140,'كشف الحساب'!$N$4:$N$203,0),0))),"")</f>
        <v/>
      </c>
      <c r="B144" s="72" t="str">
        <f>IFERROR(IF(IFERROR(MATCH(140,'كشف الحساب'!$N$4:$N$203,0),0)=0,"",INDEX('كشف الحساب'!$B$4:$B$203,IFERROR(MATCH(140,'كشف الحساب'!$N$4:$N$203,0),0))),"")</f>
        <v/>
      </c>
      <c r="C144" s="73" t="str">
        <f>IFERROR(IF(IFERROR(MATCH(140,'كشف الحساب'!$N$4:$N$203,0),0)=0,"",INDEX('كشف الحساب'!$C$4:$C$203,IFERROR(MATCH(140,'كشف الحساب'!$N$4:$N$203,0),0))),"")</f>
        <v/>
      </c>
      <c r="D144" s="74" t="str">
        <f>IFERROR(IF(IFERROR(MATCH(140,'كشف الحساب'!$N$4:$N$203,0),0)=0,"",INDEX('كشف الحساب'!$D$4:$D$203,IFERROR(MATCH(140,'كشف الحساب'!$N$4:$N$203,0),0))),"")</f>
        <v/>
      </c>
      <c r="E144" s="75" t="str">
        <f>IFERROR(IF(IFERROR(MATCH(140,'كشف الحساب'!$N$4:$N$203,0),0)=0,"",INDEX('كشف الحساب'!$E$4:$E$203,IFERROR(MATCH(140,'كشف الحساب'!$N$4:$N$203,0),0))),"")</f>
        <v/>
      </c>
      <c r="F144" s="72" t="str">
        <f>IFERROR(IF(IFERROR(MATCH(140,'كشف الحساب'!$N$4:$N$203,0),0)=0,"",INDEX('كشف الحساب'!$F$4:$F$203,IFERROR(MATCH(140,'كشف الحساب'!$N$4:$N$203,0),0))),"")</f>
        <v/>
      </c>
      <c r="G144" s="72" t="str">
        <f>IFERROR(IF(IFERROR(MATCH(140,'كشف الحساب'!$N$4:$N$203,0),0)=0,"",INDEX('كشف الحساب'!$G$4:$G$203,IFERROR(MATCH(140,'كشف الحساب'!$N$4:$N$203,0),0))),"")</f>
        <v/>
      </c>
      <c r="H144" s="72" t="str">
        <f>IFERROR(IF(IFERROR(MATCH(140,'كشف الحساب'!$N$4:$N$203,0),0)=0,"",INDEX('كشف الحساب'!$H$4:$H$203,IFERROR(MATCH(140,'كشف الحساب'!$N$4:$N$203,0),0))),"")</f>
        <v/>
      </c>
      <c r="I144" s="72" t="str">
        <f>IFERROR(IF(IFERROR(MATCH(140,'كشف الحساب'!$N$4:$N$203,0),0)=0,"",INDEX('كشف الحساب'!$I$4:$I$203,IFERROR(MATCH(140,'كشف الحساب'!$N$4:$N$203,0),0))),"")</f>
        <v/>
      </c>
      <c r="J144" s="76" t="str">
        <f>IFERROR(IF(IFERROR(MATCH(140,'كشف الحساب'!$N$4:$N$203,0),0)=0,"",INDEX('كشف الحساب'!$J$4:$J$203,IFERROR(MATCH(140,'كشف الحساب'!$N$4:$N$203,0),0))),"")</f>
        <v/>
      </c>
      <c r="K144" s="72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5" t="str">
        <f>IFERROR(IF(IFERROR(MATCH(141,'كشف الحساب'!$N$4:$N$203,0),0)=0,"",INDEX('كشف الحساب'!$A$4:$A$203,IFERROR(MATCH(141,'كشف الحساب'!$N$4:$N$203,0),0))),"")</f>
        <v/>
      </c>
      <c r="B145" s="66" t="str">
        <f>IFERROR(IF(IFERROR(MATCH(141,'كشف الحساب'!$N$4:$N$203,0),0)=0,"",INDEX('كشف الحساب'!$B$4:$B$203,IFERROR(MATCH(141,'كشف الحساب'!$N$4:$N$203,0),0))),"")</f>
        <v/>
      </c>
      <c r="C145" s="67" t="str">
        <f>IFERROR(IF(IFERROR(MATCH(141,'كشف الحساب'!$N$4:$N$203,0),0)=0,"",INDEX('كشف الحساب'!$C$4:$C$203,IFERROR(MATCH(141,'كشف الحساب'!$N$4:$N$203,0),0))),"")</f>
        <v/>
      </c>
      <c r="D145" s="68" t="str">
        <f>IFERROR(IF(IFERROR(MATCH(141,'كشف الحساب'!$N$4:$N$203,0),0)=0,"",INDEX('كشف الحساب'!$D$4:$D$203,IFERROR(MATCH(141,'كشف الحساب'!$N$4:$N$203,0),0))),"")</f>
        <v/>
      </c>
      <c r="E145" s="69" t="str">
        <f>IFERROR(IF(IFERROR(MATCH(141,'كشف الحساب'!$N$4:$N$203,0),0)=0,"",INDEX('كشف الحساب'!$E$4:$E$203,IFERROR(MATCH(141,'كشف الحساب'!$N$4:$N$203,0),0))),"")</f>
        <v/>
      </c>
      <c r="F145" s="66" t="str">
        <f>IFERROR(IF(IFERROR(MATCH(141,'كشف الحساب'!$N$4:$N$203,0),0)=0,"",INDEX('كشف الحساب'!$F$4:$F$203,IFERROR(MATCH(141,'كشف الحساب'!$N$4:$N$203,0),0))),"")</f>
        <v/>
      </c>
      <c r="G145" s="66" t="str">
        <f>IFERROR(IF(IFERROR(MATCH(141,'كشف الحساب'!$N$4:$N$203,0),0)=0,"",INDEX('كشف الحساب'!$G$4:$G$203,IFERROR(MATCH(141,'كشف الحساب'!$N$4:$N$203,0),0))),"")</f>
        <v/>
      </c>
      <c r="H145" s="66" t="str">
        <f>IFERROR(IF(IFERROR(MATCH(141,'كشف الحساب'!$N$4:$N$203,0),0)=0,"",INDEX('كشف الحساب'!$H$4:$H$203,IFERROR(MATCH(141,'كشف الحساب'!$N$4:$N$203,0),0))),"")</f>
        <v/>
      </c>
      <c r="I145" s="66" t="str">
        <f>IFERROR(IF(IFERROR(MATCH(141,'كشف الحساب'!$N$4:$N$203,0),0)=0,"",INDEX('كشف الحساب'!$I$4:$I$203,IFERROR(MATCH(141,'كشف الحساب'!$N$4:$N$203,0),0))),"")</f>
        <v/>
      </c>
      <c r="J145" s="70" t="str">
        <f>IFERROR(IF(IFERROR(MATCH(141,'كشف الحساب'!$N$4:$N$203,0),0)=0,"",INDEX('كشف الحساب'!$J$4:$J$203,IFERROR(MATCH(141,'كشف الحساب'!$N$4:$N$203,0),0))),"")</f>
        <v/>
      </c>
      <c r="K145" s="66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71" t="str">
        <f>IFERROR(IF(IFERROR(MATCH(142,'كشف الحساب'!$N$4:$N$203,0),0)=0,"",INDEX('كشف الحساب'!$A$4:$A$203,IFERROR(MATCH(142,'كشف الحساب'!$N$4:$N$203,0),0))),"")</f>
        <v/>
      </c>
      <c r="B146" s="72" t="str">
        <f>IFERROR(IF(IFERROR(MATCH(142,'كشف الحساب'!$N$4:$N$203,0),0)=0,"",INDEX('كشف الحساب'!$B$4:$B$203,IFERROR(MATCH(142,'كشف الحساب'!$N$4:$N$203,0),0))),"")</f>
        <v/>
      </c>
      <c r="C146" s="73" t="str">
        <f>IFERROR(IF(IFERROR(MATCH(142,'كشف الحساب'!$N$4:$N$203,0),0)=0,"",INDEX('كشف الحساب'!$C$4:$C$203,IFERROR(MATCH(142,'كشف الحساب'!$N$4:$N$203,0),0))),"")</f>
        <v/>
      </c>
      <c r="D146" s="74" t="str">
        <f>IFERROR(IF(IFERROR(MATCH(142,'كشف الحساب'!$N$4:$N$203,0),0)=0,"",INDEX('كشف الحساب'!$D$4:$D$203,IFERROR(MATCH(142,'كشف الحساب'!$N$4:$N$203,0),0))),"")</f>
        <v/>
      </c>
      <c r="E146" s="75" t="str">
        <f>IFERROR(IF(IFERROR(MATCH(142,'كشف الحساب'!$N$4:$N$203,0),0)=0,"",INDEX('كشف الحساب'!$E$4:$E$203,IFERROR(MATCH(142,'كشف الحساب'!$N$4:$N$203,0),0))),"")</f>
        <v/>
      </c>
      <c r="F146" s="72" t="str">
        <f>IFERROR(IF(IFERROR(MATCH(142,'كشف الحساب'!$N$4:$N$203,0),0)=0,"",INDEX('كشف الحساب'!$F$4:$F$203,IFERROR(MATCH(142,'كشف الحساب'!$N$4:$N$203,0),0))),"")</f>
        <v/>
      </c>
      <c r="G146" s="72" t="str">
        <f>IFERROR(IF(IFERROR(MATCH(142,'كشف الحساب'!$N$4:$N$203,0),0)=0,"",INDEX('كشف الحساب'!$G$4:$G$203,IFERROR(MATCH(142,'كشف الحساب'!$N$4:$N$203,0),0))),"")</f>
        <v/>
      </c>
      <c r="H146" s="72" t="str">
        <f>IFERROR(IF(IFERROR(MATCH(142,'كشف الحساب'!$N$4:$N$203,0),0)=0,"",INDEX('كشف الحساب'!$H$4:$H$203,IFERROR(MATCH(142,'كشف الحساب'!$N$4:$N$203,0),0))),"")</f>
        <v/>
      </c>
      <c r="I146" s="72" t="str">
        <f>IFERROR(IF(IFERROR(MATCH(142,'كشف الحساب'!$N$4:$N$203,0),0)=0,"",INDEX('كشف الحساب'!$I$4:$I$203,IFERROR(MATCH(142,'كشف الحساب'!$N$4:$N$203,0),0))),"")</f>
        <v/>
      </c>
      <c r="J146" s="76" t="str">
        <f>IFERROR(IF(IFERROR(MATCH(142,'كشف الحساب'!$N$4:$N$203,0),0)=0,"",INDEX('كشف الحساب'!$J$4:$J$203,IFERROR(MATCH(142,'كشف الحساب'!$N$4:$N$203,0),0))),"")</f>
        <v/>
      </c>
      <c r="K146" s="72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5" t="str">
        <f>IFERROR(IF(IFERROR(MATCH(143,'كشف الحساب'!$N$4:$N$203,0),0)=0,"",INDEX('كشف الحساب'!$A$4:$A$203,IFERROR(MATCH(143,'كشف الحساب'!$N$4:$N$203,0),0))),"")</f>
        <v/>
      </c>
      <c r="B147" s="66" t="str">
        <f>IFERROR(IF(IFERROR(MATCH(143,'كشف الحساب'!$N$4:$N$203,0),0)=0,"",INDEX('كشف الحساب'!$B$4:$B$203,IFERROR(MATCH(143,'كشف الحساب'!$N$4:$N$203,0),0))),"")</f>
        <v/>
      </c>
      <c r="C147" s="67" t="str">
        <f>IFERROR(IF(IFERROR(MATCH(143,'كشف الحساب'!$N$4:$N$203,0),0)=0,"",INDEX('كشف الحساب'!$C$4:$C$203,IFERROR(MATCH(143,'كشف الحساب'!$N$4:$N$203,0),0))),"")</f>
        <v/>
      </c>
      <c r="D147" s="68" t="str">
        <f>IFERROR(IF(IFERROR(MATCH(143,'كشف الحساب'!$N$4:$N$203,0),0)=0,"",INDEX('كشف الحساب'!$D$4:$D$203,IFERROR(MATCH(143,'كشف الحساب'!$N$4:$N$203,0),0))),"")</f>
        <v/>
      </c>
      <c r="E147" s="69" t="str">
        <f>IFERROR(IF(IFERROR(MATCH(143,'كشف الحساب'!$N$4:$N$203,0),0)=0,"",INDEX('كشف الحساب'!$E$4:$E$203,IFERROR(MATCH(143,'كشف الحساب'!$N$4:$N$203,0),0))),"")</f>
        <v/>
      </c>
      <c r="F147" s="66" t="str">
        <f>IFERROR(IF(IFERROR(MATCH(143,'كشف الحساب'!$N$4:$N$203,0),0)=0,"",INDEX('كشف الحساب'!$F$4:$F$203,IFERROR(MATCH(143,'كشف الحساب'!$N$4:$N$203,0),0))),"")</f>
        <v/>
      </c>
      <c r="G147" s="66" t="str">
        <f>IFERROR(IF(IFERROR(MATCH(143,'كشف الحساب'!$N$4:$N$203,0),0)=0,"",INDEX('كشف الحساب'!$G$4:$G$203,IFERROR(MATCH(143,'كشف الحساب'!$N$4:$N$203,0),0))),"")</f>
        <v/>
      </c>
      <c r="H147" s="66" t="str">
        <f>IFERROR(IF(IFERROR(MATCH(143,'كشف الحساب'!$N$4:$N$203,0),0)=0,"",INDEX('كشف الحساب'!$H$4:$H$203,IFERROR(MATCH(143,'كشف الحساب'!$N$4:$N$203,0),0))),"")</f>
        <v/>
      </c>
      <c r="I147" s="66" t="str">
        <f>IFERROR(IF(IFERROR(MATCH(143,'كشف الحساب'!$N$4:$N$203,0),0)=0,"",INDEX('كشف الحساب'!$I$4:$I$203,IFERROR(MATCH(143,'كشف الحساب'!$N$4:$N$203,0),0))),"")</f>
        <v/>
      </c>
      <c r="J147" s="70" t="str">
        <f>IFERROR(IF(IFERROR(MATCH(143,'كشف الحساب'!$N$4:$N$203,0),0)=0,"",INDEX('كشف الحساب'!$J$4:$J$203,IFERROR(MATCH(143,'كشف الحساب'!$N$4:$N$203,0),0))),"")</f>
        <v/>
      </c>
      <c r="K147" s="66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71" t="str">
        <f>IFERROR(IF(IFERROR(MATCH(144,'كشف الحساب'!$N$4:$N$203,0),0)=0,"",INDEX('كشف الحساب'!$A$4:$A$203,IFERROR(MATCH(144,'كشف الحساب'!$N$4:$N$203,0),0))),"")</f>
        <v/>
      </c>
      <c r="B148" s="72" t="str">
        <f>IFERROR(IF(IFERROR(MATCH(144,'كشف الحساب'!$N$4:$N$203,0),0)=0,"",INDEX('كشف الحساب'!$B$4:$B$203,IFERROR(MATCH(144,'كشف الحساب'!$N$4:$N$203,0),0))),"")</f>
        <v/>
      </c>
      <c r="C148" s="73" t="str">
        <f>IFERROR(IF(IFERROR(MATCH(144,'كشف الحساب'!$N$4:$N$203,0),0)=0,"",INDEX('كشف الحساب'!$C$4:$C$203,IFERROR(MATCH(144,'كشف الحساب'!$N$4:$N$203,0),0))),"")</f>
        <v/>
      </c>
      <c r="D148" s="74" t="str">
        <f>IFERROR(IF(IFERROR(MATCH(144,'كشف الحساب'!$N$4:$N$203,0),0)=0,"",INDEX('كشف الحساب'!$D$4:$D$203,IFERROR(MATCH(144,'كشف الحساب'!$N$4:$N$203,0),0))),"")</f>
        <v/>
      </c>
      <c r="E148" s="75" t="str">
        <f>IFERROR(IF(IFERROR(MATCH(144,'كشف الحساب'!$N$4:$N$203,0),0)=0,"",INDEX('كشف الحساب'!$E$4:$E$203,IFERROR(MATCH(144,'كشف الحساب'!$N$4:$N$203,0),0))),"")</f>
        <v/>
      </c>
      <c r="F148" s="72" t="str">
        <f>IFERROR(IF(IFERROR(MATCH(144,'كشف الحساب'!$N$4:$N$203,0),0)=0,"",INDEX('كشف الحساب'!$F$4:$F$203,IFERROR(MATCH(144,'كشف الحساب'!$N$4:$N$203,0),0))),"")</f>
        <v/>
      </c>
      <c r="G148" s="72" t="str">
        <f>IFERROR(IF(IFERROR(MATCH(144,'كشف الحساب'!$N$4:$N$203,0),0)=0,"",INDEX('كشف الحساب'!$G$4:$G$203,IFERROR(MATCH(144,'كشف الحساب'!$N$4:$N$203,0),0))),"")</f>
        <v/>
      </c>
      <c r="H148" s="72" t="str">
        <f>IFERROR(IF(IFERROR(MATCH(144,'كشف الحساب'!$N$4:$N$203,0),0)=0,"",INDEX('كشف الحساب'!$H$4:$H$203,IFERROR(MATCH(144,'كشف الحساب'!$N$4:$N$203,0),0))),"")</f>
        <v/>
      </c>
      <c r="I148" s="72" t="str">
        <f>IFERROR(IF(IFERROR(MATCH(144,'كشف الحساب'!$N$4:$N$203,0),0)=0,"",INDEX('كشف الحساب'!$I$4:$I$203,IFERROR(MATCH(144,'كشف الحساب'!$N$4:$N$203,0),0))),"")</f>
        <v/>
      </c>
      <c r="J148" s="76" t="str">
        <f>IFERROR(IF(IFERROR(MATCH(144,'كشف الحساب'!$N$4:$N$203,0),0)=0,"",INDEX('كشف الحساب'!$J$4:$J$203,IFERROR(MATCH(144,'كشف الحساب'!$N$4:$N$203,0),0))),"")</f>
        <v/>
      </c>
      <c r="K148" s="72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5" t="str">
        <f>IFERROR(IF(IFERROR(MATCH(145,'كشف الحساب'!$N$4:$N$203,0),0)=0,"",INDEX('كشف الحساب'!$A$4:$A$203,IFERROR(MATCH(145,'كشف الحساب'!$N$4:$N$203,0),0))),"")</f>
        <v/>
      </c>
      <c r="B149" s="66" t="str">
        <f>IFERROR(IF(IFERROR(MATCH(145,'كشف الحساب'!$N$4:$N$203,0),0)=0,"",INDEX('كشف الحساب'!$B$4:$B$203,IFERROR(MATCH(145,'كشف الحساب'!$N$4:$N$203,0),0))),"")</f>
        <v/>
      </c>
      <c r="C149" s="67" t="str">
        <f>IFERROR(IF(IFERROR(MATCH(145,'كشف الحساب'!$N$4:$N$203,0),0)=0,"",INDEX('كشف الحساب'!$C$4:$C$203,IFERROR(MATCH(145,'كشف الحساب'!$N$4:$N$203,0),0))),"")</f>
        <v/>
      </c>
      <c r="D149" s="68" t="str">
        <f>IFERROR(IF(IFERROR(MATCH(145,'كشف الحساب'!$N$4:$N$203,0),0)=0,"",INDEX('كشف الحساب'!$D$4:$D$203,IFERROR(MATCH(145,'كشف الحساب'!$N$4:$N$203,0),0))),"")</f>
        <v/>
      </c>
      <c r="E149" s="69" t="str">
        <f>IFERROR(IF(IFERROR(MATCH(145,'كشف الحساب'!$N$4:$N$203,0),0)=0,"",INDEX('كشف الحساب'!$E$4:$E$203,IFERROR(MATCH(145,'كشف الحساب'!$N$4:$N$203,0),0))),"")</f>
        <v/>
      </c>
      <c r="F149" s="66" t="str">
        <f>IFERROR(IF(IFERROR(MATCH(145,'كشف الحساب'!$N$4:$N$203,0),0)=0,"",INDEX('كشف الحساب'!$F$4:$F$203,IFERROR(MATCH(145,'كشف الحساب'!$N$4:$N$203,0),0))),"")</f>
        <v/>
      </c>
      <c r="G149" s="66" t="str">
        <f>IFERROR(IF(IFERROR(MATCH(145,'كشف الحساب'!$N$4:$N$203,0),0)=0,"",INDEX('كشف الحساب'!$G$4:$G$203,IFERROR(MATCH(145,'كشف الحساب'!$N$4:$N$203,0),0))),"")</f>
        <v/>
      </c>
      <c r="H149" s="66" t="str">
        <f>IFERROR(IF(IFERROR(MATCH(145,'كشف الحساب'!$N$4:$N$203,0),0)=0,"",INDEX('كشف الحساب'!$H$4:$H$203,IFERROR(MATCH(145,'كشف الحساب'!$N$4:$N$203,0),0))),"")</f>
        <v/>
      </c>
      <c r="I149" s="66" t="str">
        <f>IFERROR(IF(IFERROR(MATCH(145,'كشف الحساب'!$N$4:$N$203,0),0)=0,"",INDEX('كشف الحساب'!$I$4:$I$203,IFERROR(MATCH(145,'كشف الحساب'!$N$4:$N$203,0),0))),"")</f>
        <v/>
      </c>
      <c r="J149" s="70" t="str">
        <f>IFERROR(IF(IFERROR(MATCH(145,'كشف الحساب'!$N$4:$N$203,0),0)=0,"",INDEX('كشف الحساب'!$J$4:$J$203,IFERROR(MATCH(145,'كشف الحساب'!$N$4:$N$203,0),0))),"")</f>
        <v/>
      </c>
      <c r="K149" s="66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71" t="str">
        <f>IFERROR(IF(IFERROR(MATCH(146,'كشف الحساب'!$N$4:$N$203,0),0)=0,"",INDEX('كشف الحساب'!$A$4:$A$203,IFERROR(MATCH(146,'كشف الحساب'!$N$4:$N$203,0),0))),"")</f>
        <v/>
      </c>
      <c r="B150" s="72" t="str">
        <f>IFERROR(IF(IFERROR(MATCH(146,'كشف الحساب'!$N$4:$N$203,0),0)=0,"",INDEX('كشف الحساب'!$B$4:$B$203,IFERROR(MATCH(146,'كشف الحساب'!$N$4:$N$203,0),0))),"")</f>
        <v/>
      </c>
      <c r="C150" s="73" t="str">
        <f>IFERROR(IF(IFERROR(MATCH(146,'كشف الحساب'!$N$4:$N$203,0),0)=0,"",INDEX('كشف الحساب'!$C$4:$C$203,IFERROR(MATCH(146,'كشف الحساب'!$N$4:$N$203,0),0))),"")</f>
        <v/>
      </c>
      <c r="D150" s="74" t="str">
        <f>IFERROR(IF(IFERROR(MATCH(146,'كشف الحساب'!$N$4:$N$203,0),0)=0,"",INDEX('كشف الحساب'!$D$4:$D$203,IFERROR(MATCH(146,'كشف الحساب'!$N$4:$N$203,0),0))),"")</f>
        <v/>
      </c>
      <c r="E150" s="75" t="str">
        <f>IFERROR(IF(IFERROR(MATCH(146,'كشف الحساب'!$N$4:$N$203,0),0)=0,"",INDEX('كشف الحساب'!$E$4:$E$203,IFERROR(MATCH(146,'كشف الحساب'!$N$4:$N$203,0),0))),"")</f>
        <v/>
      </c>
      <c r="F150" s="72" t="str">
        <f>IFERROR(IF(IFERROR(MATCH(146,'كشف الحساب'!$N$4:$N$203,0),0)=0,"",INDEX('كشف الحساب'!$F$4:$F$203,IFERROR(MATCH(146,'كشف الحساب'!$N$4:$N$203,0),0))),"")</f>
        <v/>
      </c>
      <c r="G150" s="72" t="str">
        <f>IFERROR(IF(IFERROR(MATCH(146,'كشف الحساب'!$N$4:$N$203,0),0)=0,"",INDEX('كشف الحساب'!$G$4:$G$203,IFERROR(MATCH(146,'كشف الحساب'!$N$4:$N$203,0),0))),"")</f>
        <v/>
      </c>
      <c r="H150" s="72" t="str">
        <f>IFERROR(IF(IFERROR(MATCH(146,'كشف الحساب'!$N$4:$N$203,0),0)=0,"",INDEX('كشف الحساب'!$H$4:$H$203,IFERROR(MATCH(146,'كشف الحساب'!$N$4:$N$203,0),0))),"")</f>
        <v/>
      </c>
      <c r="I150" s="72" t="str">
        <f>IFERROR(IF(IFERROR(MATCH(146,'كشف الحساب'!$N$4:$N$203,0),0)=0,"",INDEX('كشف الحساب'!$I$4:$I$203,IFERROR(MATCH(146,'كشف الحساب'!$N$4:$N$203,0),0))),"")</f>
        <v/>
      </c>
      <c r="J150" s="76" t="str">
        <f>IFERROR(IF(IFERROR(MATCH(146,'كشف الحساب'!$N$4:$N$203,0),0)=0,"",INDEX('كشف الحساب'!$J$4:$J$203,IFERROR(MATCH(146,'كشف الحساب'!$N$4:$N$203,0),0))),"")</f>
        <v/>
      </c>
      <c r="K150" s="72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5" t="str">
        <f>IFERROR(IF(IFERROR(MATCH(147,'كشف الحساب'!$N$4:$N$203,0),0)=0,"",INDEX('كشف الحساب'!$A$4:$A$203,IFERROR(MATCH(147,'كشف الحساب'!$N$4:$N$203,0),0))),"")</f>
        <v/>
      </c>
      <c r="B151" s="66" t="str">
        <f>IFERROR(IF(IFERROR(MATCH(147,'كشف الحساب'!$N$4:$N$203,0),0)=0,"",INDEX('كشف الحساب'!$B$4:$B$203,IFERROR(MATCH(147,'كشف الحساب'!$N$4:$N$203,0),0))),"")</f>
        <v/>
      </c>
      <c r="C151" s="67" t="str">
        <f>IFERROR(IF(IFERROR(MATCH(147,'كشف الحساب'!$N$4:$N$203,0),0)=0,"",INDEX('كشف الحساب'!$C$4:$C$203,IFERROR(MATCH(147,'كشف الحساب'!$N$4:$N$203,0),0))),"")</f>
        <v/>
      </c>
      <c r="D151" s="68" t="str">
        <f>IFERROR(IF(IFERROR(MATCH(147,'كشف الحساب'!$N$4:$N$203,0),0)=0,"",INDEX('كشف الحساب'!$D$4:$D$203,IFERROR(MATCH(147,'كشف الحساب'!$N$4:$N$203,0),0))),"")</f>
        <v/>
      </c>
      <c r="E151" s="69" t="str">
        <f>IFERROR(IF(IFERROR(MATCH(147,'كشف الحساب'!$N$4:$N$203,0),0)=0,"",INDEX('كشف الحساب'!$E$4:$E$203,IFERROR(MATCH(147,'كشف الحساب'!$N$4:$N$203,0),0))),"")</f>
        <v/>
      </c>
      <c r="F151" s="66" t="str">
        <f>IFERROR(IF(IFERROR(MATCH(147,'كشف الحساب'!$N$4:$N$203,0),0)=0,"",INDEX('كشف الحساب'!$F$4:$F$203,IFERROR(MATCH(147,'كشف الحساب'!$N$4:$N$203,0),0))),"")</f>
        <v/>
      </c>
      <c r="G151" s="66" t="str">
        <f>IFERROR(IF(IFERROR(MATCH(147,'كشف الحساب'!$N$4:$N$203,0),0)=0,"",INDEX('كشف الحساب'!$G$4:$G$203,IFERROR(MATCH(147,'كشف الحساب'!$N$4:$N$203,0),0))),"")</f>
        <v/>
      </c>
      <c r="H151" s="66" t="str">
        <f>IFERROR(IF(IFERROR(MATCH(147,'كشف الحساب'!$N$4:$N$203,0),0)=0,"",INDEX('كشف الحساب'!$H$4:$H$203,IFERROR(MATCH(147,'كشف الحساب'!$N$4:$N$203,0),0))),"")</f>
        <v/>
      </c>
      <c r="I151" s="66" t="str">
        <f>IFERROR(IF(IFERROR(MATCH(147,'كشف الحساب'!$N$4:$N$203,0),0)=0,"",INDEX('كشف الحساب'!$I$4:$I$203,IFERROR(MATCH(147,'كشف الحساب'!$N$4:$N$203,0),0))),"")</f>
        <v/>
      </c>
      <c r="J151" s="70" t="str">
        <f>IFERROR(IF(IFERROR(MATCH(147,'كشف الحساب'!$N$4:$N$203,0),0)=0,"",INDEX('كشف الحساب'!$J$4:$J$203,IFERROR(MATCH(147,'كشف الحساب'!$N$4:$N$203,0),0))),"")</f>
        <v/>
      </c>
      <c r="K151" s="66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71" t="str">
        <f>IFERROR(IF(IFERROR(MATCH(148,'كشف الحساب'!$N$4:$N$203,0),0)=0,"",INDEX('كشف الحساب'!$A$4:$A$203,IFERROR(MATCH(148,'كشف الحساب'!$N$4:$N$203,0),0))),"")</f>
        <v/>
      </c>
      <c r="B152" s="72" t="str">
        <f>IFERROR(IF(IFERROR(MATCH(148,'كشف الحساب'!$N$4:$N$203,0),0)=0,"",INDEX('كشف الحساب'!$B$4:$B$203,IFERROR(MATCH(148,'كشف الحساب'!$N$4:$N$203,0),0))),"")</f>
        <v/>
      </c>
      <c r="C152" s="73" t="str">
        <f>IFERROR(IF(IFERROR(MATCH(148,'كشف الحساب'!$N$4:$N$203,0),0)=0,"",INDEX('كشف الحساب'!$C$4:$C$203,IFERROR(MATCH(148,'كشف الحساب'!$N$4:$N$203,0),0))),"")</f>
        <v/>
      </c>
      <c r="D152" s="74" t="str">
        <f>IFERROR(IF(IFERROR(MATCH(148,'كشف الحساب'!$N$4:$N$203,0),0)=0,"",INDEX('كشف الحساب'!$D$4:$D$203,IFERROR(MATCH(148,'كشف الحساب'!$N$4:$N$203,0),0))),"")</f>
        <v/>
      </c>
      <c r="E152" s="75" t="str">
        <f>IFERROR(IF(IFERROR(MATCH(148,'كشف الحساب'!$N$4:$N$203,0),0)=0,"",INDEX('كشف الحساب'!$E$4:$E$203,IFERROR(MATCH(148,'كشف الحساب'!$N$4:$N$203,0),0))),"")</f>
        <v/>
      </c>
      <c r="F152" s="72" t="str">
        <f>IFERROR(IF(IFERROR(MATCH(148,'كشف الحساب'!$N$4:$N$203,0),0)=0,"",INDEX('كشف الحساب'!$F$4:$F$203,IFERROR(MATCH(148,'كشف الحساب'!$N$4:$N$203,0),0))),"")</f>
        <v/>
      </c>
      <c r="G152" s="72" t="str">
        <f>IFERROR(IF(IFERROR(MATCH(148,'كشف الحساب'!$N$4:$N$203,0),0)=0,"",INDEX('كشف الحساب'!$G$4:$G$203,IFERROR(MATCH(148,'كشف الحساب'!$N$4:$N$203,0),0))),"")</f>
        <v/>
      </c>
      <c r="H152" s="72" t="str">
        <f>IFERROR(IF(IFERROR(MATCH(148,'كشف الحساب'!$N$4:$N$203,0),0)=0,"",INDEX('كشف الحساب'!$H$4:$H$203,IFERROR(MATCH(148,'كشف الحساب'!$N$4:$N$203,0),0))),"")</f>
        <v/>
      </c>
      <c r="I152" s="72" t="str">
        <f>IFERROR(IF(IFERROR(MATCH(148,'كشف الحساب'!$N$4:$N$203,0),0)=0,"",INDEX('كشف الحساب'!$I$4:$I$203,IFERROR(MATCH(148,'كشف الحساب'!$N$4:$N$203,0),0))),"")</f>
        <v/>
      </c>
      <c r="J152" s="76" t="str">
        <f>IFERROR(IF(IFERROR(MATCH(148,'كشف الحساب'!$N$4:$N$203,0),0)=0,"",INDEX('كشف الحساب'!$J$4:$J$203,IFERROR(MATCH(148,'كشف الحساب'!$N$4:$N$203,0),0))),"")</f>
        <v/>
      </c>
      <c r="K152" s="72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5" t="str">
        <f>IFERROR(IF(IFERROR(MATCH(149,'كشف الحساب'!$N$4:$N$203,0),0)=0,"",INDEX('كشف الحساب'!$A$4:$A$203,IFERROR(MATCH(149,'كشف الحساب'!$N$4:$N$203,0),0))),"")</f>
        <v/>
      </c>
      <c r="B153" s="66" t="str">
        <f>IFERROR(IF(IFERROR(MATCH(149,'كشف الحساب'!$N$4:$N$203,0),0)=0,"",INDEX('كشف الحساب'!$B$4:$B$203,IFERROR(MATCH(149,'كشف الحساب'!$N$4:$N$203,0),0))),"")</f>
        <v/>
      </c>
      <c r="C153" s="67" t="str">
        <f>IFERROR(IF(IFERROR(MATCH(149,'كشف الحساب'!$N$4:$N$203,0),0)=0,"",INDEX('كشف الحساب'!$C$4:$C$203,IFERROR(MATCH(149,'كشف الحساب'!$N$4:$N$203,0),0))),"")</f>
        <v/>
      </c>
      <c r="D153" s="68" t="str">
        <f>IFERROR(IF(IFERROR(MATCH(149,'كشف الحساب'!$N$4:$N$203,0),0)=0,"",INDEX('كشف الحساب'!$D$4:$D$203,IFERROR(MATCH(149,'كشف الحساب'!$N$4:$N$203,0),0))),"")</f>
        <v/>
      </c>
      <c r="E153" s="69" t="str">
        <f>IFERROR(IF(IFERROR(MATCH(149,'كشف الحساب'!$N$4:$N$203,0),0)=0,"",INDEX('كشف الحساب'!$E$4:$E$203,IFERROR(MATCH(149,'كشف الحساب'!$N$4:$N$203,0),0))),"")</f>
        <v/>
      </c>
      <c r="F153" s="66" t="str">
        <f>IFERROR(IF(IFERROR(MATCH(149,'كشف الحساب'!$N$4:$N$203,0),0)=0,"",INDEX('كشف الحساب'!$F$4:$F$203,IFERROR(MATCH(149,'كشف الحساب'!$N$4:$N$203,0),0))),"")</f>
        <v/>
      </c>
      <c r="G153" s="66" t="str">
        <f>IFERROR(IF(IFERROR(MATCH(149,'كشف الحساب'!$N$4:$N$203,0),0)=0,"",INDEX('كشف الحساب'!$G$4:$G$203,IFERROR(MATCH(149,'كشف الحساب'!$N$4:$N$203,0),0))),"")</f>
        <v/>
      </c>
      <c r="H153" s="66" t="str">
        <f>IFERROR(IF(IFERROR(MATCH(149,'كشف الحساب'!$N$4:$N$203,0),0)=0,"",INDEX('كشف الحساب'!$H$4:$H$203,IFERROR(MATCH(149,'كشف الحساب'!$N$4:$N$203,0),0))),"")</f>
        <v/>
      </c>
      <c r="I153" s="66" t="str">
        <f>IFERROR(IF(IFERROR(MATCH(149,'كشف الحساب'!$N$4:$N$203,0),0)=0,"",INDEX('كشف الحساب'!$I$4:$I$203,IFERROR(MATCH(149,'كشف الحساب'!$N$4:$N$203,0),0))),"")</f>
        <v/>
      </c>
      <c r="J153" s="70" t="str">
        <f>IFERROR(IF(IFERROR(MATCH(149,'كشف الحساب'!$N$4:$N$203,0),0)=0,"",INDEX('كشف الحساب'!$J$4:$J$203,IFERROR(MATCH(149,'كشف الحساب'!$N$4:$N$203,0),0))),"")</f>
        <v/>
      </c>
      <c r="K153" s="66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71" t="str">
        <f>IFERROR(IF(IFERROR(MATCH(150,'كشف الحساب'!$N$4:$N$203,0),0)=0,"",INDEX('كشف الحساب'!$A$4:$A$203,IFERROR(MATCH(150,'كشف الحساب'!$N$4:$N$203,0),0))),"")</f>
        <v/>
      </c>
      <c r="B154" s="72" t="str">
        <f>IFERROR(IF(IFERROR(MATCH(150,'كشف الحساب'!$N$4:$N$203,0),0)=0,"",INDEX('كشف الحساب'!$B$4:$B$203,IFERROR(MATCH(150,'كشف الحساب'!$N$4:$N$203,0),0))),"")</f>
        <v/>
      </c>
      <c r="C154" s="73" t="str">
        <f>IFERROR(IF(IFERROR(MATCH(150,'كشف الحساب'!$N$4:$N$203,0),0)=0,"",INDEX('كشف الحساب'!$C$4:$C$203,IFERROR(MATCH(150,'كشف الحساب'!$N$4:$N$203,0),0))),"")</f>
        <v/>
      </c>
      <c r="D154" s="74" t="str">
        <f>IFERROR(IF(IFERROR(MATCH(150,'كشف الحساب'!$N$4:$N$203,0),0)=0,"",INDEX('كشف الحساب'!$D$4:$D$203,IFERROR(MATCH(150,'كشف الحساب'!$N$4:$N$203,0),0))),"")</f>
        <v/>
      </c>
      <c r="E154" s="75" t="str">
        <f>IFERROR(IF(IFERROR(MATCH(150,'كشف الحساب'!$N$4:$N$203,0),0)=0,"",INDEX('كشف الحساب'!$E$4:$E$203,IFERROR(MATCH(150,'كشف الحساب'!$N$4:$N$203,0),0))),"")</f>
        <v/>
      </c>
      <c r="F154" s="72" t="str">
        <f>IFERROR(IF(IFERROR(MATCH(150,'كشف الحساب'!$N$4:$N$203,0),0)=0,"",INDEX('كشف الحساب'!$F$4:$F$203,IFERROR(MATCH(150,'كشف الحساب'!$N$4:$N$203,0),0))),"")</f>
        <v/>
      </c>
      <c r="G154" s="72" t="str">
        <f>IFERROR(IF(IFERROR(MATCH(150,'كشف الحساب'!$N$4:$N$203,0),0)=0,"",INDEX('كشف الحساب'!$G$4:$G$203,IFERROR(MATCH(150,'كشف الحساب'!$N$4:$N$203,0),0))),"")</f>
        <v/>
      </c>
      <c r="H154" s="72" t="str">
        <f>IFERROR(IF(IFERROR(MATCH(150,'كشف الحساب'!$N$4:$N$203,0),0)=0,"",INDEX('كشف الحساب'!$H$4:$H$203,IFERROR(MATCH(150,'كشف الحساب'!$N$4:$N$203,0),0))),"")</f>
        <v/>
      </c>
      <c r="I154" s="72" t="str">
        <f>IFERROR(IF(IFERROR(MATCH(150,'كشف الحساب'!$N$4:$N$203,0),0)=0,"",INDEX('كشف الحساب'!$I$4:$I$203,IFERROR(MATCH(150,'كشف الحساب'!$N$4:$N$203,0),0))),"")</f>
        <v/>
      </c>
      <c r="J154" s="76" t="str">
        <f>IFERROR(IF(IFERROR(MATCH(150,'كشف الحساب'!$N$4:$N$203,0),0)=0,"",INDEX('كشف الحساب'!$J$4:$J$203,IFERROR(MATCH(150,'كشف الحساب'!$N$4:$N$203,0),0))),"")</f>
        <v/>
      </c>
      <c r="K154" s="72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72" t="s">
        <v>295</v>
      </c>
      <c r="B155" s="161"/>
      <c r="C155" s="161"/>
      <c r="D155" s="77">
        <f>SUM(D5:D154)</f>
        <v>724.8</v>
      </c>
      <c r="E155" s="77">
        <f>SUM(E5:E154)</f>
        <v>295.5</v>
      </c>
      <c r="F155" s="173">
        <f>COUNTIF(H5:H154,"معلق")</f>
        <v>0</v>
      </c>
      <c r="G155" s="161"/>
      <c r="H155" s="161"/>
      <c r="I155" s="78"/>
      <c r="J155" s="77">
        <f>E155-D155</f>
        <v>-429.29999999999995</v>
      </c>
      <c r="K155" s="78"/>
    </row>
    <row r="156" spans="1:11" ht="15.75" customHeight="1" x14ac:dyDescent="0.25">
      <c r="A156" s="79"/>
      <c r="B156" s="79"/>
      <c r="C156" s="79"/>
      <c r="D156" s="49" t="s">
        <v>245</v>
      </c>
      <c r="E156" s="50" t="s">
        <v>296</v>
      </c>
      <c r="F156" s="51" t="s">
        <v>247</v>
      </c>
      <c r="G156" s="79"/>
      <c r="H156" s="79"/>
      <c r="I156" s="79"/>
      <c r="J156" s="52" t="s">
        <v>297</v>
      </c>
      <c r="K156" s="79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45" customWidth="1"/>
    <col min="2" max="2" width="15" style="45" customWidth="1"/>
    <col min="3" max="3" width="38" style="45" customWidth="1"/>
    <col min="4" max="5" width="16" style="45" customWidth="1"/>
    <col min="6" max="6" width="20" style="45" customWidth="1"/>
    <col min="7" max="7" width="16" style="45" customWidth="1"/>
  </cols>
  <sheetData>
    <row r="1" spans="1:7" ht="30" customHeight="1" x14ac:dyDescent="0.25">
      <c r="A1" s="166" t="s">
        <v>298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1" t="s">
        <v>299</v>
      </c>
      <c r="B2" s="161"/>
      <c r="C2" s="58" t="s">
        <v>285</v>
      </c>
      <c r="D2" s="171" t="s">
        <v>300</v>
      </c>
      <c r="E2" s="161"/>
      <c r="F2" s="58">
        <v>2026</v>
      </c>
    </row>
    <row r="3" spans="1:7" ht="21.75" customHeight="1" x14ac:dyDescent="0.25">
      <c r="A3" s="175" t="s">
        <v>301</v>
      </c>
      <c r="B3" s="161"/>
      <c r="C3" s="59">
        <f>المحفظة!$D$2</f>
        <v>0</v>
      </c>
      <c r="D3" s="175" t="s">
        <v>302</v>
      </c>
      <c r="E3" s="161"/>
      <c r="F3" s="80">
        <f>المحفظة!$C$3</f>
        <v>0</v>
      </c>
    </row>
    <row r="4" spans="1:7" ht="21.75" customHeight="1" x14ac:dyDescent="0.25">
      <c r="A4" s="177" t="s">
        <v>303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81" t="str">
        <f>IFERROR(IF(IFERROR(MATCH(1,المحفظة!$H$5:$H$104,0),0)=0,"",INDEX(المحفظة!$C$5:$C$104,IFERROR(MATCH(1,المحفظة!$H$5:$H$104,0),0))),"")</f>
        <v/>
      </c>
      <c r="D5" s="4" t="s">
        <v>304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2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3" t="str">
        <f>IFERROR(IF(IFERROR(MATCH(2,المحفظة!$H$5:$H$104,0),0)=0,"",INDEX(المحفظة!$C$5:$C$104,IFERROR(MATCH(2,المحفظة!$H$5:$H$104,0),0))),"")</f>
        <v/>
      </c>
      <c r="D6" s="9" t="s">
        <v>304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4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81" t="str">
        <f>IFERROR(IF(IFERROR(MATCH(3,المحفظة!$H$5:$H$104,0),0)=0,"",INDEX(المحفظة!$C$5:$C$104,IFERROR(MATCH(3,المحفظة!$H$5:$H$104,0),0))),"")</f>
        <v/>
      </c>
      <c r="D7" s="4" t="s">
        <v>304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2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3" t="str">
        <f>IFERROR(IF(IFERROR(MATCH(4,المحفظة!$H$5:$H$104,0),0)=0,"",INDEX(المحفظة!$C$5:$C$104,IFERROR(MATCH(4,المحفظة!$H$5:$H$104,0),0))),"")</f>
        <v/>
      </c>
      <c r="D8" s="9" t="s">
        <v>304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4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81" t="str">
        <f>IFERROR(IF(IFERROR(MATCH(5,المحفظة!$H$5:$H$104,0),0)=0,"",INDEX(المحفظة!$C$5:$C$104,IFERROR(MATCH(5,المحفظة!$H$5:$H$104,0),0))),"")</f>
        <v/>
      </c>
      <c r="D9" s="4" t="s">
        <v>304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2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3" t="str">
        <f>IFERROR(IF(IFERROR(MATCH(6,المحفظة!$H$5:$H$104,0),0)=0,"",INDEX(المحفظة!$C$5:$C$104,IFERROR(MATCH(6,المحفظة!$H$5:$H$104,0),0))),"")</f>
        <v/>
      </c>
      <c r="D10" s="9" t="s">
        <v>304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4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81" t="str">
        <f>IFERROR(IF(IFERROR(MATCH(7,المحفظة!$H$5:$H$104,0),0)=0,"",INDEX(المحفظة!$C$5:$C$104,IFERROR(MATCH(7,المحفظة!$H$5:$H$104,0),0))),"")</f>
        <v/>
      </c>
      <c r="D11" s="4" t="s">
        <v>304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2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3" t="str">
        <f>IFERROR(IF(IFERROR(MATCH(8,المحفظة!$H$5:$H$104,0),0)=0,"",INDEX(المحفظة!$C$5:$C$104,IFERROR(MATCH(8,المحفظة!$H$5:$H$104,0),0))),"")</f>
        <v/>
      </c>
      <c r="D12" s="9" t="s">
        <v>304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4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81" t="str">
        <f>IFERROR(IF(IFERROR(MATCH(9,المحفظة!$H$5:$H$104,0),0)=0,"",INDEX(المحفظة!$C$5:$C$104,IFERROR(MATCH(9,المحفظة!$H$5:$H$104,0),0))),"")</f>
        <v/>
      </c>
      <c r="D13" s="4" t="s">
        <v>304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2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3" t="str">
        <f>IFERROR(IF(IFERROR(MATCH(10,المحفظة!$H$5:$H$104,0),0)=0,"",INDEX(المحفظة!$C$5:$C$104,IFERROR(MATCH(10,المحفظة!$H$5:$H$104,0),0))),"")</f>
        <v/>
      </c>
      <c r="D14" s="9" t="s">
        <v>304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4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81" t="str">
        <f>IFERROR(IF(IFERROR(MATCH(11,المحفظة!$H$5:$H$104,0),0)=0,"",INDEX(المحفظة!$C$5:$C$104,IFERROR(MATCH(11,المحفظة!$H$5:$H$104,0),0))),"")</f>
        <v/>
      </c>
      <c r="D15" s="4" t="s">
        <v>304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2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3" t="str">
        <f>IFERROR(IF(IFERROR(MATCH(12,المحفظة!$H$5:$H$104,0),0)=0,"",INDEX(المحفظة!$C$5:$C$104,IFERROR(MATCH(12,المحفظة!$H$5:$H$104,0),0))),"")</f>
        <v/>
      </c>
      <c r="D16" s="9" t="s">
        <v>304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4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81" t="str">
        <f>IFERROR(IF(IFERROR(MATCH(13,المحفظة!$H$5:$H$104,0),0)=0,"",INDEX(المحفظة!$C$5:$C$104,IFERROR(MATCH(13,المحفظة!$H$5:$H$104,0),0))),"")</f>
        <v/>
      </c>
      <c r="D17" s="4" t="s">
        <v>304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2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3" t="str">
        <f>IFERROR(IF(IFERROR(MATCH(14,المحفظة!$H$5:$H$104,0),0)=0,"",INDEX(المحفظة!$C$5:$C$104,IFERROR(MATCH(14,المحفظة!$H$5:$H$104,0),0))),"")</f>
        <v/>
      </c>
      <c r="D18" s="9" t="s">
        <v>304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4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81" t="str">
        <f>IFERROR(IF(IFERROR(MATCH(15,المحفظة!$H$5:$H$104,0),0)=0,"",INDEX(المحفظة!$C$5:$C$104,IFERROR(MATCH(15,المحفظة!$H$5:$H$104,0),0))),"")</f>
        <v/>
      </c>
      <c r="D19" s="4" t="s">
        <v>304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2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3" t="str">
        <f>IFERROR(IF(IFERROR(MATCH(16,المحفظة!$H$5:$H$104,0),0)=0,"",INDEX(المحفظة!$C$5:$C$104,IFERROR(MATCH(16,المحفظة!$H$5:$H$104,0),0))),"")</f>
        <v/>
      </c>
      <c r="D20" s="9" t="s">
        <v>304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4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81" t="str">
        <f>IFERROR(IF(IFERROR(MATCH(17,المحفظة!$H$5:$H$104,0),0)=0,"",INDEX(المحفظة!$C$5:$C$104,IFERROR(MATCH(17,المحفظة!$H$5:$H$104,0),0))),"")</f>
        <v/>
      </c>
      <c r="D21" s="4" t="s">
        <v>304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2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3" t="str">
        <f>IFERROR(IF(IFERROR(MATCH(18,المحفظة!$H$5:$H$104,0),0)=0,"",INDEX(المحفظة!$C$5:$C$104,IFERROR(MATCH(18,المحفظة!$H$5:$H$104,0),0))),"")</f>
        <v/>
      </c>
      <c r="D22" s="9" t="s">
        <v>304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4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81" t="str">
        <f>IFERROR(IF(IFERROR(MATCH(19,المحفظة!$H$5:$H$104,0),0)=0,"",INDEX(المحفظة!$C$5:$C$104,IFERROR(MATCH(19,المحفظة!$H$5:$H$104,0),0))),"")</f>
        <v/>
      </c>
      <c r="D23" s="4" t="s">
        <v>304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2"/>
    </row>
    <row r="24" spans="1:7" ht="15" customHeight="1" x14ac:dyDescent="0.25">
      <c r="A24" s="85" t="str">
        <f>IFERROR(IF(IFERROR(MATCH(20,المحفظة!$H$5:$H$104,0),0)=0,"",INDEX(المحفظة!$A$5:$A$104,IFERROR(MATCH(20,المحفظة!$H$5:$H$104,0),0))),"")</f>
        <v/>
      </c>
      <c r="B24" s="86" t="str">
        <f>IFERROR(IF(IFERROR(MATCH(20,المحفظة!$H$5:$H$104,0),0)=0,"",INDEX(المحفظة!$B$5:$B$104,IFERROR(MATCH(20,المحفظة!$H$5:$H$104,0),0))),"")</f>
        <v/>
      </c>
      <c r="C24" s="87" t="str">
        <f>IFERROR(IF(IFERROR(MATCH(20,المحفظة!$H$5:$H$104,0),0)=0,"",INDEX(المحفظة!$C$5:$C$104,IFERROR(MATCH(20,المحفظة!$H$5:$H$104,0),0))),"")</f>
        <v/>
      </c>
      <c r="D24" s="88" t="s">
        <v>304</v>
      </c>
      <c r="E24" s="89" t="str">
        <f>IFERROR(IF(IFERROR(MATCH(20,المحفظة!$H$5:$H$104,0),0)=0,"",INDEX(المحفظة!$E$5:$E$104,IFERROR(MATCH(20,المحفظة!$H$5:$H$104,0),0))),"")</f>
        <v/>
      </c>
      <c r="F24" s="86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90" t="str">
        <f>IFERROR(IF(IFERROR(MATCH(21,المحفظة!$H$5:$H$104,0),0)=0,"",INDEX(المحفظة!$A$5:$A$104,IFERROR(MATCH(21,المحفظة!$H$5:$H$104,0),0))),"")</f>
        <v/>
      </c>
      <c r="B25" s="91" t="str">
        <f>IFERROR(IF(IFERROR(MATCH(21,المحفظة!$H$5:$H$104,0),0)=0,"",INDEX(المحفظة!$B$5:$B$104,IFERROR(MATCH(21,المحفظة!$H$5:$H$104,0),0))),"")</f>
        <v/>
      </c>
      <c r="C25" s="92" t="str">
        <f>IFERROR(IF(IFERROR(MATCH(21,المحفظة!$H$5:$H$104,0),0)=0,"",INDEX(المحفظة!$C$5:$C$104,IFERROR(MATCH(21,المحفظة!$H$5:$H$104,0),0))),"")</f>
        <v/>
      </c>
      <c r="D25" s="93" t="s">
        <v>304</v>
      </c>
      <c r="E25" s="94" t="str">
        <f>IFERROR(IF(IFERROR(MATCH(21,المحفظة!$H$5:$H$104,0),0)=0,"",INDEX(المحفظة!$E$5:$E$104,IFERROR(MATCH(21,المحفظة!$H$5:$H$104,0),0))),"")</f>
        <v/>
      </c>
      <c r="F25" s="91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5" t="str">
        <f>IFERROR(IF(IFERROR(MATCH(22,المحفظة!$H$5:$H$104,0),0)=0,"",INDEX(المحفظة!$A$5:$A$104,IFERROR(MATCH(22,المحفظة!$H$5:$H$104,0),0))),"")</f>
        <v/>
      </c>
      <c r="B26" s="86" t="str">
        <f>IFERROR(IF(IFERROR(MATCH(22,المحفظة!$H$5:$H$104,0),0)=0,"",INDEX(المحفظة!$B$5:$B$104,IFERROR(MATCH(22,المحفظة!$H$5:$H$104,0),0))),"")</f>
        <v/>
      </c>
      <c r="C26" s="87" t="str">
        <f>IFERROR(IF(IFERROR(MATCH(22,المحفظة!$H$5:$H$104,0),0)=0,"",INDEX(المحفظة!$C$5:$C$104,IFERROR(MATCH(22,المحفظة!$H$5:$H$104,0),0))),"")</f>
        <v/>
      </c>
      <c r="D26" s="88" t="s">
        <v>304</v>
      </c>
      <c r="E26" s="89" t="str">
        <f>IFERROR(IF(IFERROR(MATCH(22,المحفظة!$H$5:$H$104,0),0)=0,"",INDEX(المحفظة!$E$5:$E$104,IFERROR(MATCH(22,المحفظة!$H$5:$H$104,0),0))),"")</f>
        <v/>
      </c>
      <c r="F26" s="86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90" t="str">
        <f>IFERROR(IF(IFERROR(MATCH(23,المحفظة!$H$5:$H$104,0),0)=0,"",INDEX(المحفظة!$A$5:$A$104,IFERROR(MATCH(23,المحفظة!$H$5:$H$104,0),0))),"")</f>
        <v/>
      </c>
      <c r="B27" s="91" t="str">
        <f>IFERROR(IF(IFERROR(MATCH(23,المحفظة!$H$5:$H$104,0),0)=0,"",INDEX(المحفظة!$B$5:$B$104,IFERROR(MATCH(23,المحفظة!$H$5:$H$104,0),0))),"")</f>
        <v/>
      </c>
      <c r="C27" s="92" t="str">
        <f>IFERROR(IF(IFERROR(MATCH(23,المحفظة!$H$5:$H$104,0),0)=0,"",INDEX(المحفظة!$C$5:$C$104,IFERROR(MATCH(23,المحفظة!$H$5:$H$104,0),0))),"")</f>
        <v/>
      </c>
      <c r="D27" s="93" t="s">
        <v>304</v>
      </c>
      <c r="E27" s="94" t="str">
        <f>IFERROR(IF(IFERROR(MATCH(23,المحفظة!$H$5:$H$104,0),0)=0,"",INDEX(المحفظة!$E$5:$E$104,IFERROR(MATCH(23,المحفظة!$H$5:$H$104,0),0))),"")</f>
        <v/>
      </c>
      <c r="F27" s="91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5" t="str">
        <f>IFERROR(IF(IFERROR(MATCH(24,المحفظة!$H$5:$H$104,0),0)=0,"",INDEX(المحفظة!$A$5:$A$104,IFERROR(MATCH(24,المحفظة!$H$5:$H$104,0),0))),"")</f>
        <v/>
      </c>
      <c r="B28" s="86" t="str">
        <f>IFERROR(IF(IFERROR(MATCH(24,المحفظة!$H$5:$H$104,0),0)=0,"",INDEX(المحفظة!$B$5:$B$104,IFERROR(MATCH(24,المحفظة!$H$5:$H$104,0),0))),"")</f>
        <v/>
      </c>
      <c r="C28" s="87" t="str">
        <f>IFERROR(IF(IFERROR(MATCH(24,المحفظة!$H$5:$H$104,0),0)=0,"",INDEX(المحفظة!$C$5:$C$104,IFERROR(MATCH(24,المحفظة!$H$5:$H$104,0),0))),"")</f>
        <v/>
      </c>
      <c r="D28" s="88" t="s">
        <v>304</v>
      </c>
      <c r="E28" s="89" t="str">
        <f>IFERROR(IF(IFERROR(MATCH(24,المحفظة!$H$5:$H$104,0),0)=0,"",INDEX(المحفظة!$E$5:$E$104,IFERROR(MATCH(24,المحفظة!$H$5:$H$104,0),0))),"")</f>
        <v/>
      </c>
      <c r="F28" s="86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90" t="str">
        <f>IFERROR(IF(IFERROR(MATCH(25,المحفظة!$H$5:$H$104,0),0)=0,"",INDEX(المحفظة!$A$5:$A$104,IFERROR(MATCH(25,المحفظة!$H$5:$H$104,0),0))),"")</f>
        <v/>
      </c>
      <c r="B29" s="91" t="str">
        <f>IFERROR(IF(IFERROR(MATCH(25,المحفظة!$H$5:$H$104,0),0)=0,"",INDEX(المحفظة!$B$5:$B$104,IFERROR(MATCH(25,المحفظة!$H$5:$H$104,0),0))),"")</f>
        <v/>
      </c>
      <c r="C29" s="92" t="str">
        <f>IFERROR(IF(IFERROR(MATCH(25,المحفظة!$H$5:$H$104,0),0)=0,"",INDEX(المحفظة!$C$5:$C$104,IFERROR(MATCH(25,المحفظة!$H$5:$H$104,0),0))),"")</f>
        <v/>
      </c>
      <c r="D29" s="93" t="s">
        <v>304</v>
      </c>
      <c r="E29" s="94" t="str">
        <f>IFERROR(IF(IFERROR(MATCH(25,المحفظة!$H$5:$H$104,0),0)=0,"",INDEX(المحفظة!$E$5:$E$104,IFERROR(MATCH(25,المحفظة!$H$5:$H$104,0),0))),"")</f>
        <v/>
      </c>
      <c r="F29" s="91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5" t="str">
        <f>IFERROR(IF(IFERROR(MATCH(26,المحفظة!$H$5:$H$104,0),0)=0,"",INDEX(المحفظة!$A$5:$A$104,IFERROR(MATCH(26,المحفظة!$H$5:$H$104,0),0))),"")</f>
        <v/>
      </c>
      <c r="B30" s="86" t="str">
        <f>IFERROR(IF(IFERROR(MATCH(26,المحفظة!$H$5:$H$104,0),0)=0,"",INDEX(المحفظة!$B$5:$B$104,IFERROR(MATCH(26,المحفظة!$H$5:$H$104,0),0))),"")</f>
        <v/>
      </c>
      <c r="C30" s="87" t="str">
        <f>IFERROR(IF(IFERROR(MATCH(26,المحفظة!$H$5:$H$104,0),0)=0,"",INDEX(المحفظة!$C$5:$C$104,IFERROR(MATCH(26,المحفظة!$H$5:$H$104,0),0))),"")</f>
        <v/>
      </c>
      <c r="D30" s="88" t="s">
        <v>304</v>
      </c>
      <c r="E30" s="89" t="str">
        <f>IFERROR(IF(IFERROR(MATCH(26,المحفظة!$H$5:$H$104,0),0)=0,"",INDEX(المحفظة!$E$5:$E$104,IFERROR(MATCH(26,المحفظة!$H$5:$H$104,0),0))),"")</f>
        <v/>
      </c>
      <c r="F30" s="86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90" t="str">
        <f>IFERROR(IF(IFERROR(MATCH(27,المحفظة!$H$5:$H$104,0),0)=0,"",INDEX(المحفظة!$A$5:$A$104,IFERROR(MATCH(27,المحفظة!$H$5:$H$104,0),0))),"")</f>
        <v/>
      </c>
      <c r="B31" s="91" t="str">
        <f>IFERROR(IF(IFERROR(MATCH(27,المحفظة!$H$5:$H$104,0),0)=0,"",INDEX(المحفظة!$B$5:$B$104,IFERROR(MATCH(27,المحفظة!$H$5:$H$104,0),0))),"")</f>
        <v/>
      </c>
      <c r="C31" s="92" t="str">
        <f>IFERROR(IF(IFERROR(MATCH(27,المحفظة!$H$5:$H$104,0),0)=0,"",INDEX(المحفظة!$C$5:$C$104,IFERROR(MATCH(27,المحفظة!$H$5:$H$104,0),0))),"")</f>
        <v/>
      </c>
      <c r="D31" s="93" t="s">
        <v>304</v>
      </c>
      <c r="E31" s="94" t="str">
        <f>IFERROR(IF(IFERROR(MATCH(27,المحفظة!$H$5:$H$104,0),0)=0,"",INDEX(المحفظة!$E$5:$E$104,IFERROR(MATCH(27,المحفظة!$H$5:$H$104,0),0))),"")</f>
        <v/>
      </c>
      <c r="F31" s="91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5" t="str">
        <f>IFERROR(IF(IFERROR(MATCH(28,المحفظة!$H$5:$H$104,0),0)=0,"",INDEX(المحفظة!$A$5:$A$104,IFERROR(MATCH(28,المحفظة!$H$5:$H$104,0),0))),"")</f>
        <v/>
      </c>
      <c r="B32" s="86" t="str">
        <f>IFERROR(IF(IFERROR(MATCH(28,المحفظة!$H$5:$H$104,0),0)=0,"",INDEX(المحفظة!$B$5:$B$104,IFERROR(MATCH(28,المحفظة!$H$5:$H$104,0),0))),"")</f>
        <v/>
      </c>
      <c r="C32" s="87" t="str">
        <f>IFERROR(IF(IFERROR(MATCH(28,المحفظة!$H$5:$H$104,0),0)=0,"",INDEX(المحفظة!$C$5:$C$104,IFERROR(MATCH(28,المحفظة!$H$5:$H$104,0),0))),"")</f>
        <v/>
      </c>
      <c r="D32" s="88" t="s">
        <v>304</v>
      </c>
      <c r="E32" s="89" t="str">
        <f>IFERROR(IF(IFERROR(MATCH(28,المحفظة!$H$5:$H$104,0),0)=0,"",INDEX(المحفظة!$E$5:$E$104,IFERROR(MATCH(28,المحفظة!$H$5:$H$104,0),0))),"")</f>
        <v/>
      </c>
      <c r="F32" s="86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90" t="str">
        <f>IFERROR(IF(IFERROR(MATCH(29,المحفظة!$H$5:$H$104,0),0)=0,"",INDEX(المحفظة!$A$5:$A$104,IFERROR(MATCH(29,المحفظة!$H$5:$H$104,0),0))),"")</f>
        <v/>
      </c>
      <c r="B33" s="91" t="str">
        <f>IFERROR(IF(IFERROR(MATCH(29,المحفظة!$H$5:$H$104,0),0)=0,"",INDEX(المحفظة!$B$5:$B$104,IFERROR(MATCH(29,المحفظة!$H$5:$H$104,0),0))),"")</f>
        <v/>
      </c>
      <c r="C33" s="92" t="str">
        <f>IFERROR(IF(IFERROR(MATCH(29,المحفظة!$H$5:$H$104,0),0)=0,"",INDEX(المحفظة!$C$5:$C$104,IFERROR(MATCH(29,المحفظة!$H$5:$H$104,0),0))),"")</f>
        <v/>
      </c>
      <c r="D33" s="93" t="s">
        <v>304</v>
      </c>
      <c r="E33" s="94" t="str">
        <f>IFERROR(IF(IFERROR(MATCH(29,المحفظة!$H$5:$H$104,0),0)=0,"",INDEX(المحفظة!$E$5:$E$104,IFERROR(MATCH(29,المحفظة!$H$5:$H$104,0),0))),"")</f>
        <v/>
      </c>
      <c r="F33" s="91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5" t="str">
        <f>IFERROR(IF(IFERROR(MATCH(30,المحفظة!$H$5:$H$104,0),0)=0,"",INDEX(المحفظة!$A$5:$A$104,IFERROR(MATCH(30,المحفظة!$H$5:$H$104,0),0))),"")</f>
        <v/>
      </c>
      <c r="B34" s="86" t="str">
        <f>IFERROR(IF(IFERROR(MATCH(30,المحفظة!$H$5:$H$104,0),0)=0,"",INDEX(المحفظة!$B$5:$B$104,IFERROR(MATCH(30,المحفظة!$H$5:$H$104,0),0))),"")</f>
        <v/>
      </c>
      <c r="C34" s="87" t="str">
        <f>IFERROR(IF(IFERROR(MATCH(30,المحفظة!$H$5:$H$104,0),0)=0,"",INDEX(المحفظة!$C$5:$C$104,IFERROR(MATCH(30,المحفظة!$H$5:$H$104,0),0))),"")</f>
        <v/>
      </c>
      <c r="D34" s="88" t="s">
        <v>304</v>
      </c>
      <c r="E34" s="89" t="str">
        <f>IFERROR(IF(IFERROR(MATCH(30,المحفظة!$H$5:$H$104,0),0)=0,"",INDEX(المحفظة!$E$5:$E$104,IFERROR(MATCH(30,المحفظة!$H$5:$H$104,0),0))),"")</f>
        <v/>
      </c>
      <c r="F34" s="86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90" t="str">
        <f>IFERROR(IF(IFERROR(MATCH(31,المحفظة!$H$5:$H$104,0),0)=0,"",INDEX(المحفظة!$A$5:$A$104,IFERROR(MATCH(31,المحفظة!$H$5:$H$104,0),0))),"")</f>
        <v/>
      </c>
      <c r="B35" s="91" t="str">
        <f>IFERROR(IF(IFERROR(MATCH(31,المحفظة!$H$5:$H$104,0),0)=0,"",INDEX(المحفظة!$B$5:$B$104,IFERROR(MATCH(31,المحفظة!$H$5:$H$104,0),0))),"")</f>
        <v/>
      </c>
      <c r="C35" s="92" t="str">
        <f>IFERROR(IF(IFERROR(MATCH(31,المحفظة!$H$5:$H$104,0),0)=0,"",INDEX(المحفظة!$C$5:$C$104,IFERROR(MATCH(31,المحفظة!$H$5:$H$104,0),0))),"")</f>
        <v/>
      </c>
      <c r="D35" s="93" t="s">
        <v>304</v>
      </c>
      <c r="E35" s="94" t="str">
        <f>IFERROR(IF(IFERROR(MATCH(31,المحفظة!$H$5:$H$104,0),0)=0,"",INDEX(المحفظة!$E$5:$E$104,IFERROR(MATCH(31,المحفظة!$H$5:$H$104,0),0))),"")</f>
        <v/>
      </c>
      <c r="F35" s="91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5" t="str">
        <f>IFERROR(IF(IFERROR(MATCH(32,المحفظة!$H$5:$H$104,0),0)=0,"",INDEX(المحفظة!$A$5:$A$104,IFERROR(MATCH(32,المحفظة!$H$5:$H$104,0),0))),"")</f>
        <v/>
      </c>
      <c r="B36" s="86" t="str">
        <f>IFERROR(IF(IFERROR(MATCH(32,المحفظة!$H$5:$H$104,0),0)=0,"",INDEX(المحفظة!$B$5:$B$104,IFERROR(MATCH(32,المحفظة!$H$5:$H$104,0),0))),"")</f>
        <v/>
      </c>
      <c r="C36" s="87" t="str">
        <f>IFERROR(IF(IFERROR(MATCH(32,المحفظة!$H$5:$H$104,0),0)=0,"",INDEX(المحفظة!$C$5:$C$104,IFERROR(MATCH(32,المحفظة!$H$5:$H$104,0),0))),"")</f>
        <v/>
      </c>
      <c r="D36" s="88" t="s">
        <v>304</v>
      </c>
      <c r="E36" s="89" t="str">
        <f>IFERROR(IF(IFERROR(MATCH(32,المحفظة!$H$5:$H$104,0),0)=0,"",INDEX(المحفظة!$E$5:$E$104,IFERROR(MATCH(32,المحفظة!$H$5:$H$104,0),0))),"")</f>
        <v/>
      </c>
      <c r="F36" s="86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90" t="str">
        <f>IFERROR(IF(IFERROR(MATCH(33,المحفظة!$H$5:$H$104,0),0)=0,"",INDEX(المحفظة!$A$5:$A$104,IFERROR(MATCH(33,المحفظة!$H$5:$H$104,0),0))),"")</f>
        <v/>
      </c>
      <c r="B37" s="91" t="str">
        <f>IFERROR(IF(IFERROR(MATCH(33,المحفظة!$H$5:$H$104,0),0)=0,"",INDEX(المحفظة!$B$5:$B$104,IFERROR(MATCH(33,المحفظة!$H$5:$H$104,0),0))),"")</f>
        <v/>
      </c>
      <c r="C37" s="92" t="str">
        <f>IFERROR(IF(IFERROR(MATCH(33,المحفظة!$H$5:$H$104,0),0)=0,"",INDEX(المحفظة!$C$5:$C$104,IFERROR(MATCH(33,المحفظة!$H$5:$H$104,0),0))),"")</f>
        <v/>
      </c>
      <c r="D37" s="93" t="s">
        <v>304</v>
      </c>
      <c r="E37" s="94" t="str">
        <f>IFERROR(IF(IFERROR(MATCH(33,المحفظة!$H$5:$H$104,0),0)=0,"",INDEX(المحفظة!$E$5:$E$104,IFERROR(MATCH(33,المحفظة!$H$5:$H$104,0),0))),"")</f>
        <v/>
      </c>
      <c r="F37" s="91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5" t="str">
        <f>IFERROR(IF(IFERROR(MATCH(34,المحفظة!$H$5:$H$104,0),0)=0,"",INDEX(المحفظة!$A$5:$A$104,IFERROR(MATCH(34,المحفظة!$H$5:$H$104,0),0))),"")</f>
        <v/>
      </c>
      <c r="B38" s="86" t="str">
        <f>IFERROR(IF(IFERROR(MATCH(34,المحفظة!$H$5:$H$104,0),0)=0,"",INDEX(المحفظة!$B$5:$B$104,IFERROR(MATCH(34,المحفظة!$H$5:$H$104,0),0))),"")</f>
        <v/>
      </c>
      <c r="C38" s="87" t="str">
        <f>IFERROR(IF(IFERROR(MATCH(34,المحفظة!$H$5:$H$104,0),0)=0,"",INDEX(المحفظة!$C$5:$C$104,IFERROR(MATCH(34,المحفظة!$H$5:$H$104,0),0))),"")</f>
        <v/>
      </c>
      <c r="D38" s="88" t="s">
        <v>304</v>
      </c>
      <c r="E38" s="89" t="str">
        <f>IFERROR(IF(IFERROR(MATCH(34,المحفظة!$H$5:$H$104,0),0)=0,"",INDEX(المحفظة!$E$5:$E$104,IFERROR(MATCH(34,المحفظة!$H$5:$H$104,0),0))),"")</f>
        <v/>
      </c>
      <c r="F38" s="86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90" t="str">
        <f>IFERROR(IF(IFERROR(MATCH(35,المحفظة!$H$5:$H$104,0),0)=0,"",INDEX(المحفظة!$A$5:$A$104,IFERROR(MATCH(35,المحفظة!$H$5:$H$104,0),0))),"")</f>
        <v/>
      </c>
      <c r="B39" s="91" t="str">
        <f>IFERROR(IF(IFERROR(MATCH(35,المحفظة!$H$5:$H$104,0),0)=0,"",INDEX(المحفظة!$B$5:$B$104,IFERROR(MATCH(35,المحفظة!$H$5:$H$104,0),0))),"")</f>
        <v/>
      </c>
      <c r="C39" s="92" t="str">
        <f>IFERROR(IF(IFERROR(MATCH(35,المحفظة!$H$5:$H$104,0),0)=0,"",INDEX(المحفظة!$C$5:$C$104,IFERROR(MATCH(35,المحفظة!$H$5:$H$104,0),0))),"")</f>
        <v/>
      </c>
      <c r="D39" s="93" t="s">
        <v>304</v>
      </c>
      <c r="E39" s="94" t="str">
        <f>IFERROR(IF(IFERROR(MATCH(35,المحفظة!$H$5:$H$104,0),0)=0,"",INDEX(المحفظة!$E$5:$E$104,IFERROR(MATCH(35,المحفظة!$H$5:$H$104,0),0))),"")</f>
        <v/>
      </c>
      <c r="F39" s="91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5" t="str">
        <f>IFERROR(IF(IFERROR(MATCH(36,المحفظة!$H$5:$H$104,0),0)=0,"",INDEX(المحفظة!$A$5:$A$104,IFERROR(MATCH(36,المحفظة!$H$5:$H$104,0),0))),"")</f>
        <v/>
      </c>
      <c r="B40" s="86" t="str">
        <f>IFERROR(IF(IFERROR(MATCH(36,المحفظة!$H$5:$H$104,0),0)=0,"",INDEX(المحفظة!$B$5:$B$104,IFERROR(MATCH(36,المحفظة!$H$5:$H$104,0),0))),"")</f>
        <v/>
      </c>
      <c r="C40" s="87" t="str">
        <f>IFERROR(IF(IFERROR(MATCH(36,المحفظة!$H$5:$H$104,0),0)=0,"",INDEX(المحفظة!$C$5:$C$104,IFERROR(MATCH(36,المحفظة!$H$5:$H$104,0),0))),"")</f>
        <v/>
      </c>
      <c r="D40" s="88" t="s">
        <v>304</v>
      </c>
      <c r="E40" s="89" t="str">
        <f>IFERROR(IF(IFERROR(MATCH(36,المحفظة!$H$5:$H$104,0),0)=0,"",INDEX(المحفظة!$E$5:$E$104,IFERROR(MATCH(36,المحفظة!$H$5:$H$104,0),0))),"")</f>
        <v/>
      </c>
      <c r="F40" s="86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90" t="str">
        <f>IFERROR(IF(IFERROR(MATCH(37,المحفظة!$H$5:$H$104,0),0)=0,"",INDEX(المحفظة!$A$5:$A$104,IFERROR(MATCH(37,المحفظة!$H$5:$H$104,0),0))),"")</f>
        <v/>
      </c>
      <c r="B41" s="91" t="str">
        <f>IFERROR(IF(IFERROR(MATCH(37,المحفظة!$H$5:$H$104,0),0)=0,"",INDEX(المحفظة!$B$5:$B$104,IFERROR(MATCH(37,المحفظة!$H$5:$H$104,0),0))),"")</f>
        <v/>
      </c>
      <c r="C41" s="92" t="str">
        <f>IFERROR(IF(IFERROR(MATCH(37,المحفظة!$H$5:$H$104,0),0)=0,"",INDEX(المحفظة!$C$5:$C$104,IFERROR(MATCH(37,المحفظة!$H$5:$H$104,0),0))),"")</f>
        <v/>
      </c>
      <c r="D41" s="93" t="s">
        <v>304</v>
      </c>
      <c r="E41" s="94" t="str">
        <f>IFERROR(IF(IFERROR(MATCH(37,المحفظة!$H$5:$H$104,0),0)=0,"",INDEX(المحفظة!$E$5:$E$104,IFERROR(MATCH(37,المحفظة!$H$5:$H$104,0),0))),"")</f>
        <v/>
      </c>
      <c r="F41" s="91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5" t="str">
        <f>IFERROR(IF(IFERROR(MATCH(38,المحفظة!$H$5:$H$104,0),0)=0,"",INDEX(المحفظة!$A$5:$A$104,IFERROR(MATCH(38,المحفظة!$H$5:$H$104,0),0))),"")</f>
        <v/>
      </c>
      <c r="B42" s="86" t="str">
        <f>IFERROR(IF(IFERROR(MATCH(38,المحفظة!$H$5:$H$104,0),0)=0,"",INDEX(المحفظة!$B$5:$B$104,IFERROR(MATCH(38,المحفظة!$H$5:$H$104,0),0))),"")</f>
        <v/>
      </c>
      <c r="C42" s="87" t="str">
        <f>IFERROR(IF(IFERROR(MATCH(38,المحفظة!$H$5:$H$104,0),0)=0,"",INDEX(المحفظة!$C$5:$C$104,IFERROR(MATCH(38,المحفظة!$H$5:$H$104,0),0))),"")</f>
        <v/>
      </c>
      <c r="D42" s="88" t="s">
        <v>304</v>
      </c>
      <c r="E42" s="89" t="str">
        <f>IFERROR(IF(IFERROR(MATCH(38,المحفظة!$H$5:$H$104,0),0)=0,"",INDEX(المحفظة!$E$5:$E$104,IFERROR(MATCH(38,المحفظة!$H$5:$H$104,0),0))),"")</f>
        <v/>
      </c>
      <c r="F42" s="86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90" t="str">
        <f>IFERROR(IF(IFERROR(MATCH(39,المحفظة!$H$5:$H$104,0),0)=0,"",INDEX(المحفظة!$A$5:$A$104,IFERROR(MATCH(39,المحفظة!$H$5:$H$104,0),0))),"")</f>
        <v/>
      </c>
      <c r="B43" s="91" t="str">
        <f>IFERROR(IF(IFERROR(MATCH(39,المحفظة!$H$5:$H$104,0),0)=0,"",INDEX(المحفظة!$B$5:$B$104,IFERROR(MATCH(39,المحفظة!$H$5:$H$104,0),0))),"")</f>
        <v/>
      </c>
      <c r="C43" s="92" t="str">
        <f>IFERROR(IF(IFERROR(MATCH(39,المحفظة!$H$5:$H$104,0),0)=0,"",INDEX(المحفظة!$C$5:$C$104,IFERROR(MATCH(39,المحفظة!$H$5:$H$104,0),0))),"")</f>
        <v/>
      </c>
      <c r="D43" s="93" t="s">
        <v>304</v>
      </c>
      <c r="E43" s="94" t="str">
        <f>IFERROR(IF(IFERROR(MATCH(39,المحفظة!$H$5:$H$104,0),0)=0,"",INDEX(المحفظة!$E$5:$E$104,IFERROR(MATCH(39,المحفظة!$H$5:$H$104,0),0))),"")</f>
        <v/>
      </c>
      <c r="F43" s="91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5" t="str">
        <f>IFERROR(IF(IFERROR(MATCH(40,المحفظة!$H$5:$H$104,0),0)=0,"",INDEX(المحفظة!$A$5:$A$104,IFERROR(MATCH(40,المحفظة!$H$5:$H$104,0),0))),"")</f>
        <v/>
      </c>
      <c r="B44" s="86" t="str">
        <f>IFERROR(IF(IFERROR(MATCH(40,المحفظة!$H$5:$H$104,0),0)=0,"",INDEX(المحفظة!$B$5:$B$104,IFERROR(MATCH(40,المحفظة!$H$5:$H$104,0),0))),"")</f>
        <v/>
      </c>
      <c r="C44" s="87" t="str">
        <f>IFERROR(IF(IFERROR(MATCH(40,المحفظة!$H$5:$H$104,0),0)=0,"",INDEX(المحفظة!$C$5:$C$104,IFERROR(MATCH(40,المحفظة!$H$5:$H$104,0),0))),"")</f>
        <v/>
      </c>
      <c r="D44" s="88" t="s">
        <v>304</v>
      </c>
      <c r="E44" s="89" t="str">
        <f>IFERROR(IF(IFERROR(MATCH(40,المحفظة!$H$5:$H$104,0),0)=0,"",INDEX(المحفظة!$E$5:$E$104,IFERROR(MATCH(40,المحفظة!$H$5:$H$104,0),0))),"")</f>
        <v/>
      </c>
      <c r="F44" s="86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90" t="str">
        <f>IFERROR(IF(IFERROR(MATCH(41,المحفظة!$H$5:$H$104,0),0)=0,"",INDEX(المحفظة!$A$5:$A$104,IFERROR(MATCH(41,المحفظة!$H$5:$H$104,0),0))),"")</f>
        <v/>
      </c>
      <c r="B45" s="91" t="str">
        <f>IFERROR(IF(IFERROR(MATCH(41,المحفظة!$H$5:$H$104,0),0)=0,"",INDEX(المحفظة!$B$5:$B$104,IFERROR(MATCH(41,المحفظة!$H$5:$H$104,0),0))),"")</f>
        <v/>
      </c>
      <c r="C45" s="92" t="str">
        <f>IFERROR(IF(IFERROR(MATCH(41,المحفظة!$H$5:$H$104,0),0)=0,"",INDEX(المحفظة!$C$5:$C$104,IFERROR(MATCH(41,المحفظة!$H$5:$H$104,0),0))),"")</f>
        <v/>
      </c>
      <c r="D45" s="93" t="s">
        <v>304</v>
      </c>
      <c r="E45" s="94" t="str">
        <f>IFERROR(IF(IFERROR(MATCH(41,المحفظة!$H$5:$H$104,0),0)=0,"",INDEX(المحفظة!$E$5:$E$104,IFERROR(MATCH(41,المحفظة!$H$5:$H$104,0),0))),"")</f>
        <v/>
      </c>
      <c r="F45" s="91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5" t="str">
        <f>IFERROR(IF(IFERROR(MATCH(42,المحفظة!$H$5:$H$104,0),0)=0,"",INDEX(المحفظة!$A$5:$A$104,IFERROR(MATCH(42,المحفظة!$H$5:$H$104,0),0))),"")</f>
        <v/>
      </c>
      <c r="B46" s="86" t="str">
        <f>IFERROR(IF(IFERROR(MATCH(42,المحفظة!$H$5:$H$104,0),0)=0,"",INDEX(المحفظة!$B$5:$B$104,IFERROR(MATCH(42,المحفظة!$H$5:$H$104,0),0))),"")</f>
        <v/>
      </c>
      <c r="C46" s="87" t="str">
        <f>IFERROR(IF(IFERROR(MATCH(42,المحفظة!$H$5:$H$104,0),0)=0,"",INDEX(المحفظة!$C$5:$C$104,IFERROR(MATCH(42,المحفظة!$H$5:$H$104,0),0))),"")</f>
        <v/>
      </c>
      <c r="D46" s="88" t="s">
        <v>304</v>
      </c>
      <c r="E46" s="89" t="str">
        <f>IFERROR(IF(IFERROR(MATCH(42,المحفظة!$H$5:$H$104,0),0)=0,"",INDEX(المحفظة!$E$5:$E$104,IFERROR(MATCH(42,المحفظة!$H$5:$H$104,0),0))),"")</f>
        <v/>
      </c>
      <c r="F46" s="86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90" t="str">
        <f>IFERROR(IF(IFERROR(MATCH(43,المحفظة!$H$5:$H$104,0),0)=0,"",INDEX(المحفظة!$A$5:$A$104,IFERROR(MATCH(43,المحفظة!$H$5:$H$104,0),0))),"")</f>
        <v/>
      </c>
      <c r="B47" s="91" t="str">
        <f>IFERROR(IF(IFERROR(MATCH(43,المحفظة!$H$5:$H$104,0),0)=0,"",INDEX(المحفظة!$B$5:$B$104,IFERROR(MATCH(43,المحفظة!$H$5:$H$104,0),0))),"")</f>
        <v/>
      </c>
      <c r="C47" s="92" t="str">
        <f>IFERROR(IF(IFERROR(MATCH(43,المحفظة!$H$5:$H$104,0),0)=0,"",INDEX(المحفظة!$C$5:$C$104,IFERROR(MATCH(43,المحفظة!$H$5:$H$104,0),0))),"")</f>
        <v/>
      </c>
      <c r="D47" s="93" t="s">
        <v>304</v>
      </c>
      <c r="E47" s="94" t="str">
        <f>IFERROR(IF(IFERROR(MATCH(43,المحفظة!$H$5:$H$104,0),0)=0,"",INDEX(المحفظة!$E$5:$E$104,IFERROR(MATCH(43,المحفظة!$H$5:$H$104,0),0))),"")</f>
        <v/>
      </c>
      <c r="F47" s="91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5" t="str">
        <f>IFERROR(IF(IFERROR(MATCH(44,المحفظة!$H$5:$H$104,0),0)=0,"",INDEX(المحفظة!$A$5:$A$104,IFERROR(MATCH(44,المحفظة!$H$5:$H$104,0),0))),"")</f>
        <v/>
      </c>
      <c r="B48" s="86" t="str">
        <f>IFERROR(IF(IFERROR(MATCH(44,المحفظة!$H$5:$H$104,0),0)=0,"",INDEX(المحفظة!$B$5:$B$104,IFERROR(MATCH(44,المحفظة!$H$5:$H$104,0),0))),"")</f>
        <v/>
      </c>
      <c r="C48" s="87" t="str">
        <f>IFERROR(IF(IFERROR(MATCH(44,المحفظة!$H$5:$H$104,0),0)=0,"",INDEX(المحفظة!$C$5:$C$104,IFERROR(MATCH(44,المحفظة!$H$5:$H$104,0),0))),"")</f>
        <v/>
      </c>
      <c r="D48" s="88" t="s">
        <v>304</v>
      </c>
      <c r="E48" s="89" t="str">
        <f>IFERROR(IF(IFERROR(MATCH(44,المحفظة!$H$5:$H$104,0),0)=0,"",INDEX(المحفظة!$E$5:$E$104,IFERROR(MATCH(44,المحفظة!$H$5:$H$104,0),0))),"")</f>
        <v/>
      </c>
      <c r="F48" s="86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90" t="str">
        <f>IFERROR(IF(IFERROR(MATCH(45,المحفظة!$H$5:$H$104,0),0)=0,"",INDEX(المحفظة!$A$5:$A$104,IFERROR(MATCH(45,المحفظة!$H$5:$H$104,0),0))),"")</f>
        <v/>
      </c>
      <c r="B49" s="91" t="str">
        <f>IFERROR(IF(IFERROR(MATCH(45,المحفظة!$H$5:$H$104,0),0)=0,"",INDEX(المحفظة!$B$5:$B$104,IFERROR(MATCH(45,المحفظة!$H$5:$H$104,0),0))),"")</f>
        <v/>
      </c>
      <c r="C49" s="92" t="str">
        <f>IFERROR(IF(IFERROR(MATCH(45,المحفظة!$H$5:$H$104,0),0)=0,"",INDEX(المحفظة!$C$5:$C$104,IFERROR(MATCH(45,المحفظة!$H$5:$H$104,0),0))),"")</f>
        <v/>
      </c>
      <c r="D49" s="93" t="s">
        <v>304</v>
      </c>
      <c r="E49" s="94" t="str">
        <f>IFERROR(IF(IFERROR(MATCH(45,المحفظة!$H$5:$H$104,0),0)=0,"",INDEX(المحفظة!$E$5:$E$104,IFERROR(MATCH(45,المحفظة!$H$5:$H$104,0),0))),"")</f>
        <v/>
      </c>
      <c r="F49" s="91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5" t="str">
        <f>IFERROR(IF(IFERROR(MATCH(46,المحفظة!$H$5:$H$104,0),0)=0,"",INDEX(المحفظة!$A$5:$A$104,IFERROR(MATCH(46,المحفظة!$H$5:$H$104,0),0))),"")</f>
        <v/>
      </c>
      <c r="B50" s="86" t="str">
        <f>IFERROR(IF(IFERROR(MATCH(46,المحفظة!$H$5:$H$104,0),0)=0,"",INDEX(المحفظة!$B$5:$B$104,IFERROR(MATCH(46,المحفظة!$H$5:$H$104,0),0))),"")</f>
        <v/>
      </c>
      <c r="C50" s="87" t="str">
        <f>IFERROR(IF(IFERROR(MATCH(46,المحفظة!$H$5:$H$104,0),0)=0,"",INDEX(المحفظة!$C$5:$C$104,IFERROR(MATCH(46,المحفظة!$H$5:$H$104,0),0))),"")</f>
        <v/>
      </c>
      <c r="D50" s="88" t="s">
        <v>304</v>
      </c>
      <c r="E50" s="89" t="str">
        <f>IFERROR(IF(IFERROR(MATCH(46,المحفظة!$H$5:$H$104,0),0)=0,"",INDEX(المحفظة!$E$5:$E$104,IFERROR(MATCH(46,المحفظة!$H$5:$H$104,0),0))),"")</f>
        <v/>
      </c>
      <c r="F50" s="86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90" t="str">
        <f>IFERROR(IF(IFERROR(MATCH(47,المحفظة!$H$5:$H$104,0),0)=0,"",INDEX(المحفظة!$A$5:$A$104,IFERROR(MATCH(47,المحفظة!$H$5:$H$104,0),0))),"")</f>
        <v/>
      </c>
      <c r="B51" s="91" t="str">
        <f>IFERROR(IF(IFERROR(MATCH(47,المحفظة!$H$5:$H$104,0),0)=0,"",INDEX(المحفظة!$B$5:$B$104,IFERROR(MATCH(47,المحفظة!$H$5:$H$104,0),0))),"")</f>
        <v/>
      </c>
      <c r="C51" s="92" t="str">
        <f>IFERROR(IF(IFERROR(MATCH(47,المحفظة!$H$5:$H$104,0),0)=0,"",INDEX(المحفظة!$C$5:$C$104,IFERROR(MATCH(47,المحفظة!$H$5:$H$104,0),0))),"")</f>
        <v/>
      </c>
      <c r="D51" s="93" t="s">
        <v>304</v>
      </c>
      <c r="E51" s="94" t="str">
        <f>IFERROR(IF(IFERROR(MATCH(47,المحفظة!$H$5:$H$104,0),0)=0,"",INDEX(المحفظة!$E$5:$E$104,IFERROR(MATCH(47,المحفظة!$H$5:$H$104,0),0))),"")</f>
        <v/>
      </c>
      <c r="F51" s="91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5" t="str">
        <f>IFERROR(IF(IFERROR(MATCH(48,المحفظة!$H$5:$H$104,0),0)=0,"",INDEX(المحفظة!$A$5:$A$104,IFERROR(MATCH(48,المحفظة!$H$5:$H$104,0),0))),"")</f>
        <v/>
      </c>
      <c r="B52" s="86" t="str">
        <f>IFERROR(IF(IFERROR(MATCH(48,المحفظة!$H$5:$H$104,0),0)=0,"",INDEX(المحفظة!$B$5:$B$104,IFERROR(MATCH(48,المحفظة!$H$5:$H$104,0),0))),"")</f>
        <v/>
      </c>
      <c r="C52" s="87" t="str">
        <f>IFERROR(IF(IFERROR(MATCH(48,المحفظة!$H$5:$H$104,0),0)=0,"",INDEX(المحفظة!$C$5:$C$104,IFERROR(MATCH(48,المحفظة!$H$5:$H$104,0),0))),"")</f>
        <v/>
      </c>
      <c r="D52" s="88" t="s">
        <v>304</v>
      </c>
      <c r="E52" s="89" t="str">
        <f>IFERROR(IF(IFERROR(MATCH(48,المحفظة!$H$5:$H$104,0),0)=0,"",INDEX(المحفظة!$E$5:$E$104,IFERROR(MATCH(48,المحفظة!$H$5:$H$104,0),0))),"")</f>
        <v/>
      </c>
      <c r="F52" s="86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90" t="str">
        <f>IFERROR(IF(IFERROR(MATCH(49,المحفظة!$H$5:$H$104,0),0)=0,"",INDEX(المحفظة!$A$5:$A$104,IFERROR(MATCH(49,المحفظة!$H$5:$H$104,0),0))),"")</f>
        <v/>
      </c>
      <c r="B53" s="91" t="str">
        <f>IFERROR(IF(IFERROR(MATCH(49,المحفظة!$H$5:$H$104,0),0)=0,"",INDEX(المحفظة!$B$5:$B$104,IFERROR(MATCH(49,المحفظة!$H$5:$H$104,0),0))),"")</f>
        <v/>
      </c>
      <c r="C53" s="92" t="str">
        <f>IFERROR(IF(IFERROR(MATCH(49,المحفظة!$H$5:$H$104,0),0)=0,"",INDEX(المحفظة!$C$5:$C$104,IFERROR(MATCH(49,المحفظة!$H$5:$H$104,0),0))),"")</f>
        <v/>
      </c>
      <c r="D53" s="93" t="s">
        <v>304</v>
      </c>
      <c r="E53" s="94" t="str">
        <f>IFERROR(IF(IFERROR(MATCH(49,المحفظة!$H$5:$H$104,0),0)=0,"",INDEX(المحفظة!$E$5:$E$104,IFERROR(MATCH(49,المحفظة!$H$5:$H$104,0),0))),"")</f>
        <v/>
      </c>
      <c r="F53" s="91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5" t="str">
        <f>IFERROR(IF(IFERROR(MATCH(50,المحفظة!$H$5:$H$104,0),0)=0,"",INDEX(المحفظة!$A$5:$A$104,IFERROR(MATCH(50,المحفظة!$H$5:$H$104,0),0))),"")</f>
        <v/>
      </c>
      <c r="B54" s="86" t="str">
        <f>IFERROR(IF(IFERROR(MATCH(50,المحفظة!$H$5:$H$104,0),0)=0,"",INDEX(المحفظة!$B$5:$B$104,IFERROR(MATCH(50,المحفظة!$H$5:$H$104,0),0))),"")</f>
        <v/>
      </c>
      <c r="C54" s="87" t="str">
        <f>IFERROR(IF(IFERROR(MATCH(50,المحفظة!$H$5:$H$104,0),0)=0,"",INDEX(المحفظة!$C$5:$C$104,IFERROR(MATCH(50,المحفظة!$H$5:$H$104,0),0))),"")</f>
        <v/>
      </c>
      <c r="D54" s="88" t="s">
        <v>304</v>
      </c>
      <c r="E54" s="89" t="str">
        <f>IFERROR(IF(IFERROR(MATCH(50,المحفظة!$H$5:$H$104,0),0)=0,"",INDEX(المحفظة!$E$5:$E$104,IFERROR(MATCH(50,المحفظة!$H$5:$H$104,0),0))),"")</f>
        <v/>
      </c>
      <c r="F54" s="86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7" t="s">
        <v>296</v>
      </c>
      <c r="B55" s="161"/>
      <c r="C55" s="161"/>
      <c r="D55" s="161"/>
      <c r="E55" s="114">
        <f>SUMIF(المحفظة!$H$5:$H$104,"&gt;0",المحفظة!$E$5:$E$104)</f>
        <v>0</v>
      </c>
      <c r="F55" s="78"/>
      <c r="G55" s="78"/>
    </row>
    <row r="56" spans="1:7" ht="19.5" customHeight="1" x14ac:dyDescent="0.25">
      <c r="A56" s="176" t="s">
        <v>305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5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304</v>
      </c>
      <c r="F57" s="13" t="str">
        <f>IFERROR(IF(IFERROR(MATCH(1,المحفظة!$H$107:$H$206,0),0)=0,"",INDEX(المحفظة!$F$107:$F$206,IFERROR(MATCH(1,المحفظة!$H$107:$H$206,0),0))),"")</f>
        <v/>
      </c>
      <c r="G57" s="96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7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304</v>
      </c>
      <c r="F58" s="18" t="str">
        <f>IFERROR(IF(IFERROR(MATCH(2,المحفظة!$H$107:$H$206,0),0)=0,"",INDEX(المحفظة!$F$107:$F$206,IFERROR(MATCH(2,المحفظة!$H$107:$H$206,0),0))),"")</f>
        <v/>
      </c>
      <c r="G58" s="98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5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304</v>
      </c>
      <c r="F59" s="13" t="str">
        <f>IFERROR(IF(IFERROR(MATCH(3,المحفظة!$H$107:$H$206,0),0)=0,"",INDEX(المحفظة!$F$107:$F$206,IFERROR(MATCH(3,المحفظة!$H$107:$H$206,0),0))),"")</f>
        <v/>
      </c>
      <c r="G59" s="96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7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304</v>
      </c>
      <c r="F60" s="18" t="str">
        <f>IFERROR(IF(IFERROR(MATCH(4,المحفظة!$H$107:$H$206,0),0)=0,"",INDEX(المحفظة!$F$107:$F$206,IFERROR(MATCH(4,المحفظة!$H$107:$H$206,0),0))),"")</f>
        <v/>
      </c>
      <c r="G60" s="98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5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304</v>
      </c>
      <c r="F61" s="13" t="str">
        <f>IFERROR(IF(IFERROR(MATCH(5,المحفظة!$H$107:$H$206,0),0)=0,"",INDEX(المحفظة!$F$107:$F$206,IFERROR(MATCH(5,المحفظة!$H$107:$H$206,0),0))),"")</f>
        <v/>
      </c>
      <c r="G61" s="96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7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304</v>
      </c>
      <c r="F62" s="18" t="str">
        <f>IFERROR(IF(IFERROR(MATCH(6,المحفظة!$H$107:$H$206,0),0)=0,"",INDEX(المحفظة!$F$107:$F$206,IFERROR(MATCH(6,المحفظة!$H$107:$H$206,0),0))),"")</f>
        <v/>
      </c>
      <c r="G62" s="98"/>
    </row>
    <row r="63" spans="1:7" ht="15" customHeight="1" x14ac:dyDescent="0.25">
      <c r="A63" s="99" t="str">
        <f>IFERROR(IF(IFERROR(MATCH(7,المحفظة!$H$107:$H$206,0),0)=0,"",INDEX(المحفظة!$A$107:$A$206,IFERROR(MATCH(7,المحفظة!$H$107:$H$206,0),0))),"")</f>
        <v/>
      </c>
      <c r="B63" s="100" t="str">
        <f>IFERROR(IF(IFERROR(MATCH(7,المحفظة!$H$107:$H$206,0),0)=0,"",INDEX(المحفظة!$B$107:$B$206,IFERROR(MATCH(7,المحفظة!$H$107:$H$206,0),0))),"")</f>
        <v/>
      </c>
      <c r="C63" s="101" t="str">
        <f>IFERROR(IF(IFERROR(MATCH(7,المحفظة!$H$107:$H$206,0),0)=0,"",INDEX(المحفظة!$C$107:$C$206,IFERROR(MATCH(7,المحفظة!$H$107:$H$206,0),0))),"")</f>
        <v/>
      </c>
      <c r="D63" s="102" t="str">
        <f>IFERROR(IF(IFERROR(MATCH(7,المحفظة!$H$107:$H$206,0),0)=0,"",INDEX(المحفظة!$D$107:$D$206,IFERROR(MATCH(7,المحفظة!$H$107:$H$206,0),0))),"")</f>
        <v/>
      </c>
      <c r="E63" s="103" t="s">
        <v>304</v>
      </c>
      <c r="F63" s="100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4" t="str">
        <f>IFERROR(IF(IFERROR(MATCH(8,المحفظة!$H$107:$H$206,0),0)=0,"",INDEX(المحفظة!$A$107:$A$206,IFERROR(MATCH(8,المحفظة!$H$107:$H$206,0),0))),"")</f>
        <v/>
      </c>
      <c r="B64" s="105" t="str">
        <f>IFERROR(IF(IFERROR(MATCH(8,المحفظة!$H$107:$H$206,0),0)=0,"",INDEX(المحفظة!$B$107:$B$206,IFERROR(MATCH(8,المحفظة!$H$107:$H$206,0),0))),"")</f>
        <v/>
      </c>
      <c r="C64" s="106" t="str">
        <f>IFERROR(IF(IFERROR(MATCH(8,المحفظة!$H$107:$H$206,0),0)=0,"",INDEX(المحفظة!$C$107:$C$206,IFERROR(MATCH(8,المحفظة!$H$107:$H$206,0),0))),"")</f>
        <v/>
      </c>
      <c r="D64" s="107" t="str">
        <f>IFERROR(IF(IFERROR(MATCH(8,المحفظة!$H$107:$H$206,0),0)=0,"",INDEX(المحفظة!$D$107:$D$206,IFERROR(MATCH(8,المحفظة!$H$107:$H$206,0),0))),"")</f>
        <v/>
      </c>
      <c r="E64" s="108" t="s">
        <v>304</v>
      </c>
      <c r="F64" s="105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9" t="str">
        <f>IFERROR(IF(IFERROR(MATCH(9,المحفظة!$H$107:$H$206,0),0)=0,"",INDEX(المحفظة!$A$107:$A$206,IFERROR(MATCH(9,المحفظة!$H$107:$H$206,0),0))),"")</f>
        <v/>
      </c>
      <c r="B65" s="100" t="str">
        <f>IFERROR(IF(IFERROR(MATCH(9,المحفظة!$H$107:$H$206,0),0)=0,"",INDEX(المحفظة!$B$107:$B$206,IFERROR(MATCH(9,المحفظة!$H$107:$H$206,0),0))),"")</f>
        <v/>
      </c>
      <c r="C65" s="101" t="str">
        <f>IFERROR(IF(IFERROR(MATCH(9,المحفظة!$H$107:$H$206,0),0)=0,"",INDEX(المحفظة!$C$107:$C$206,IFERROR(MATCH(9,المحفظة!$H$107:$H$206,0),0))),"")</f>
        <v/>
      </c>
      <c r="D65" s="102" t="str">
        <f>IFERROR(IF(IFERROR(MATCH(9,المحفظة!$H$107:$H$206,0),0)=0,"",INDEX(المحفظة!$D$107:$D$206,IFERROR(MATCH(9,المحفظة!$H$107:$H$206,0),0))),"")</f>
        <v/>
      </c>
      <c r="E65" s="103" t="s">
        <v>304</v>
      </c>
      <c r="F65" s="100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4" t="str">
        <f>IFERROR(IF(IFERROR(MATCH(10,المحفظة!$H$107:$H$206,0),0)=0,"",INDEX(المحفظة!$A$107:$A$206,IFERROR(MATCH(10,المحفظة!$H$107:$H$206,0),0))),"")</f>
        <v/>
      </c>
      <c r="B66" s="105" t="str">
        <f>IFERROR(IF(IFERROR(MATCH(10,المحفظة!$H$107:$H$206,0),0)=0,"",INDEX(المحفظة!$B$107:$B$206,IFERROR(MATCH(10,المحفظة!$H$107:$H$206,0),0))),"")</f>
        <v/>
      </c>
      <c r="C66" s="106" t="str">
        <f>IFERROR(IF(IFERROR(MATCH(10,المحفظة!$H$107:$H$206,0),0)=0,"",INDEX(المحفظة!$C$107:$C$206,IFERROR(MATCH(10,المحفظة!$H$107:$H$206,0),0))),"")</f>
        <v/>
      </c>
      <c r="D66" s="107" t="str">
        <f>IFERROR(IF(IFERROR(MATCH(10,المحفظة!$H$107:$H$206,0),0)=0,"",INDEX(المحفظة!$D$107:$D$206,IFERROR(MATCH(10,المحفظة!$H$107:$H$206,0),0))),"")</f>
        <v/>
      </c>
      <c r="E66" s="108" t="s">
        <v>304</v>
      </c>
      <c r="F66" s="105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9" t="str">
        <f>IFERROR(IF(IFERROR(MATCH(11,المحفظة!$H$107:$H$206,0),0)=0,"",INDEX(المحفظة!$A$107:$A$206,IFERROR(MATCH(11,المحفظة!$H$107:$H$206,0),0))),"")</f>
        <v/>
      </c>
      <c r="B67" s="100" t="str">
        <f>IFERROR(IF(IFERROR(MATCH(11,المحفظة!$H$107:$H$206,0),0)=0,"",INDEX(المحفظة!$B$107:$B$206,IFERROR(MATCH(11,المحفظة!$H$107:$H$206,0),0))),"")</f>
        <v/>
      </c>
      <c r="C67" s="101" t="str">
        <f>IFERROR(IF(IFERROR(MATCH(11,المحفظة!$H$107:$H$206,0),0)=0,"",INDEX(المحفظة!$C$107:$C$206,IFERROR(MATCH(11,المحفظة!$H$107:$H$206,0),0))),"")</f>
        <v/>
      </c>
      <c r="D67" s="102" t="str">
        <f>IFERROR(IF(IFERROR(MATCH(11,المحفظة!$H$107:$H$206,0),0)=0,"",INDEX(المحفظة!$D$107:$D$206,IFERROR(MATCH(11,المحفظة!$H$107:$H$206,0),0))),"")</f>
        <v/>
      </c>
      <c r="E67" s="103" t="s">
        <v>304</v>
      </c>
      <c r="F67" s="100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4" t="str">
        <f>IFERROR(IF(IFERROR(MATCH(12,المحفظة!$H$107:$H$206,0),0)=0,"",INDEX(المحفظة!$A$107:$A$206,IFERROR(MATCH(12,المحفظة!$H$107:$H$206,0),0))),"")</f>
        <v/>
      </c>
      <c r="B68" s="105" t="str">
        <f>IFERROR(IF(IFERROR(MATCH(12,المحفظة!$H$107:$H$206,0),0)=0,"",INDEX(المحفظة!$B$107:$B$206,IFERROR(MATCH(12,المحفظة!$H$107:$H$206,0),0))),"")</f>
        <v/>
      </c>
      <c r="C68" s="106" t="str">
        <f>IFERROR(IF(IFERROR(MATCH(12,المحفظة!$H$107:$H$206,0),0)=0,"",INDEX(المحفظة!$C$107:$C$206,IFERROR(MATCH(12,المحفظة!$H$107:$H$206,0),0))),"")</f>
        <v/>
      </c>
      <c r="D68" s="107" t="str">
        <f>IFERROR(IF(IFERROR(MATCH(12,المحفظة!$H$107:$H$206,0),0)=0,"",INDEX(المحفظة!$D$107:$D$206,IFERROR(MATCH(12,المحفظة!$H$107:$H$206,0),0))),"")</f>
        <v/>
      </c>
      <c r="E68" s="108" t="s">
        <v>304</v>
      </c>
      <c r="F68" s="105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9" t="str">
        <f>IFERROR(IF(IFERROR(MATCH(13,المحفظة!$H$107:$H$206,0),0)=0,"",INDEX(المحفظة!$A$107:$A$206,IFERROR(MATCH(13,المحفظة!$H$107:$H$206,0),0))),"")</f>
        <v/>
      </c>
      <c r="B69" s="100" t="str">
        <f>IFERROR(IF(IFERROR(MATCH(13,المحفظة!$H$107:$H$206,0),0)=0,"",INDEX(المحفظة!$B$107:$B$206,IFERROR(MATCH(13,المحفظة!$H$107:$H$206,0),0))),"")</f>
        <v/>
      </c>
      <c r="C69" s="101" t="str">
        <f>IFERROR(IF(IFERROR(MATCH(13,المحفظة!$H$107:$H$206,0),0)=0,"",INDEX(المحفظة!$C$107:$C$206,IFERROR(MATCH(13,المحفظة!$H$107:$H$206,0),0))),"")</f>
        <v/>
      </c>
      <c r="D69" s="102" t="str">
        <f>IFERROR(IF(IFERROR(MATCH(13,المحفظة!$H$107:$H$206,0),0)=0,"",INDEX(المحفظة!$D$107:$D$206,IFERROR(MATCH(13,المحفظة!$H$107:$H$206,0),0))),"")</f>
        <v/>
      </c>
      <c r="E69" s="103" t="s">
        <v>304</v>
      </c>
      <c r="F69" s="100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4" t="str">
        <f>IFERROR(IF(IFERROR(MATCH(14,المحفظة!$H$107:$H$206,0),0)=0,"",INDEX(المحفظة!$A$107:$A$206,IFERROR(MATCH(14,المحفظة!$H$107:$H$206,0),0))),"")</f>
        <v/>
      </c>
      <c r="B70" s="105" t="str">
        <f>IFERROR(IF(IFERROR(MATCH(14,المحفظة!$H$107:$H$206,0),0)=0,"",INDEX(المحفظة!$B$107:$B$206,IFERROR(MATCH(14,المحفظة!$H$107:$H$206,0),0))),"")</f>
        <v/>
      </c>
      <c r="C70" s="106" t="str">
        <f>IFERROR(IF(IFERROR(MATCH(14,المحفظة!$H$107:$H$206,0),0)=0,"",INDEX(المحفظة!$C$107:$C$206,IFERROR(MATCH(14,المحفظة!$H$107:$H$206,0),0))),"")</f>
        <v/>
      </c>
      <c r="D70" s="107" t="str">
        <f>IFERROR(IF(IFERROR(MATCH(14,المحفظة!$H$107:$H$206,0),0)=0,"",INDEX(المحفظة!$D$107:$D$206,IFERROR(MATCH(14,المحفظة!$H$107:$H$206,0),0))),"")</f>
        <v/>
      </c>
      <c r="E70" s="108" t="s">
        <v>304</v>
      </c>
      <c r="F70" s="105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9" t="str">
        <f>IFERROR(IF(IFERROR(MATCH(15,المحفظة!$H$107:$H$206,0),0)=0,"",INDEX(المحفظة!$A$107:$A$206,IFERROR(MATCH(15,المحفظة!$H$107:$H$206,0),0))),"")</f>
        <v/>
      </c>
      <c r="B71" s="100" t="str">
        <f>IFERROR(IF(IFERROR(MATCH(15,المحفظة!$H$107:$H$206,0),0)=0,"",INDEX(المحفظة!$B$107:$B$206,IFERROR(MATCH(15,المحفظة!$H$107:$H$206,0),0))),"")</f>
        <v/>
      </c>
      <c r="C71" s="101" t="str">
        <f>IFERROR(IF(IFERROR(MATCH(15,المحفظة!$H$107:$H$206,0),0)=0,"",INDEX(المحفظة!$C$107:$C$206,IFERROR(MATCH(15,المحفظة!$H$107:$H$206,0),0))),"")</f>
        <v/>
      </c>
      <c r="D71" s="102" t="str">
        <f>IFERROR(IF(IFERROR(MATCH(15,المحفظة!$H$107:$H$206,0),0)=0,"",INDEX(المحفظة!$D$107:$D$206,IFERROR(MATCH(15,المحفظة!$H$107:$H$206,0),0))),"")</f>
        <v/>
      </c>
      <c r="E71" s="103" t="s">
        <v>304</v>
      </c>
      <c r="F71" s="100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4" t="str">
        <f>IFERROR(IF(IFERROR(MATCH(16,المحفظة!$H$107:$H$206,0),0)=0,"",INDEX(المحفظة!$A$107:$A$206,IFERROR(MATCH(16,المحفظة!$H$107:$H$206,0),0))),"")</f>
        <v/>
      </c>
      <c r="B72" s="105" t="str">
        <f>IFERROR(IF(IFERROR(MATCH(16,المحفظة!$H$107:$H$206,0),0)=0,"",INDEX(المحفظة!$B$107:$B$206,IFERROR(MATCH(16,المحفظة!$H$107:$H$206,0),0))),"")</f>
        <v/>
      </c>
      <c r="C72" s="106" t="str">
        <f>IFERROR(IF(IFERROR(MATCH(16,المحفظة!$H$107:$H$206,0),0)=0,"",INDEX(المحفظة!$C$107:$C$206,IFERROR(MATCH(16,المحفظة!$H$107:$H$206,0),0))),"")</f>
        <v/>
      </c>
      <c r="D72" s="107" t="str">
        <f>IFERROR(IF(IFERROR(MATCH(16,المحفظة!$H$107:$H$206,0),0)=0,"",INDEX(المحفظة!$D$107:$D$206,IFERROR(MATCH(16,المحفظة!$H$107:$H$206,0),0))),"")</f>
        <v/>
      </c>
      <c r="E72" s="108" t="s">
        <v>304</v>
      </c>
      <c r="F72" s="105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9" t="str">
        <f>IFERROR(IF(IFERROR(MATCH(17,المحفظة!$H$107:$H$206,0),0)=0,"",INDEX(المحفظة!$A$107:$A$206,IFERROR(MATCH(17,المحفظة!$H$107:$H$206,0),0))),"")</f>
        <v/>
      </c>
      <c r="B73" s="100" t="str">
        <f>IFERROR(IF(IFERROR(MATCH(17,المحفظة!$H$107:$H$206,0),0)=0,"",INDEX(المحفظة!$B$107:$B$206,IFERROR(MATCH(17,المحفظة!$H$107:$H$206,0),0))),"")</f>
        <v/>
      </c>
      <c r="C73" s="101" t="str">
        <f>IFERROR(IF(IFERROR(MATCH(17,المحفظة!$H$107:$H$206,0),0)=0,"",INDEX(المحفظة!$C$107:$C$206,IFERROR(MATCH(17,المحفظة!$H$107:$H$206,0),0))),"")</f>
        <v/>
      </c>
      <c r="D73" s="102" t="str">
        <f>IFERROR(IF(IFERROR(MATCH(17,المحفظة!$H$107:$H$206,0),0)=0,"",INDEX(المحفظة!$D$107:$D$206,IFERROR(MATCH(17,المحفظة!$H$107:$H$206,0),0))),"")</f>
        <v/>
      </c>
      <c r="E73" s="103" t="s">
        <v>304</v>
      </c>
      <c r="F73" s="100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4" t="str">
        <f>IFERROR(IF(IFERROR(MATCH(18,المحفظة!$H$107:$H$206,0),0)=0,"",INDEX(المحفظة!$A$107:$A$206,IFERROR(MATCH(18,المحفظة!$H$107:$H$206,0),0))),"")</f>
        <v/>
      </c>
      <c r="B74" s="105" t="str">
        <f>IFERROR(IF(IFERROR(MATCH(18,المحفظة!$H$107:$H$206,0),0)=0,"",INDEX(المحفظة!$B$107:$B$206,IFERROR(MATCH(18,المحفظة!$H$107:$H$206,0),0))),"")</f>
        <v/>
      </c>
      <c r="C74" s="106" t="str">
        <f>IFERROR(IF(IFERROR(MATCH(18,المحفظة!$H$107:$H$206,0),0)=0,"",INDEX(المحفظة!$C$107:$C$206,IFERROR(MATCH(18,المحفظة!$H$107:$H$206,0),0))),"")</f>
        <v/>
      </c>
      <c r="D74" s="107" t="str">
        <f>IFERROR(IF(IFERROR(MATCH(18,المحفظة!$H$107:$H$206,0),0)=0,"",INDEX(المحفظة!$D$107:$D$206,IFERROR(MATCH(18,المحفظة!$H$107:$H$206,0),0))),"")</f>
        <v/>
      </c>
      <c r="E74" s="108" t="s">
        <v>304</v>
      </c>
      <c r="F74" s="105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9" t="str">
        <f>IFERROR(IF(IFERROR(MATCH(19,المحفظة!$H$107:$H$206,0),0)=0,"",INDEX(المحفظة!$A$107:$A$206,IFERROR(MATCH(19,المحفظة!$H$107:$H$206,0),0))),"")</f>
        <v/>
      </c>
      <c r="B75" s="100" t="str">
        <f>IFERROR(IF(IFERROR(MATCH(19,المحفظة!$H$107:$H$206,0),0)=0,"",INDEX(المحفظة!$B$107:$B$206,IFERROR(MATCH(19,المحفظة!$H$107:$H$206,0),0))),"")</f>
        <v/>
      </c>
      <c r="C75" s="101" t="str">
        <f>IFERROR(IF(IFERROR(MATCH(19,المحفظة!$H$107:$H$206,0),0)=0,"",INDEX(المحفظة!$C$107:$C$206,IFERROR(MATCH(19,المحفظة!$H$107:$H$206,0),0))),"")</f>
        <v/>
      </c>
      <c r="D75" s="102" t="str">
        <f>IFERROR(IF(IFERROR(MATCH(19,المحفظة!$H$107:$H$206,0),0)=0,"",INDEX(المحفظة!$D$107:$D$206,IFERROR(MATCH(19,المحفظة!$H$107:$H$206,0),0))),"")</f>
        <v/>
      </c>
      <c r="E75" s="103" t="s">
        <v>304</v>
      </c>
      <c r="F75" s="100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4" t="str">
        <f>IFERROR(IF(IFERROR(MATCH(20,المحفظة!$H$107:$H$206,0),0)=0,"",INDEX(المحفظة!$A$107:$A$206,IFERROR(MATCH(20,المحفظة!$H$107:$H$206,0),0))),"")</f>
        <v/>
      </c>
      <c r="B76" s="105" t="str">
        <f>IFERROR(IF(IFERROR(MATCH(20,المحفظة!$H$107:$H$206,0),0)=0,"",INDEX(المحفظة!$B$107:$B$206,IFERROR(MATCH(20,المحفظة!$H$107:$H$206,0),0))),"")</f>
        <v/>
      </c>
      <c r="C76" s="106" t="str">
        <f>IFERROR(IF(IFERROR(MATCH(20,المحفظة!$H$107:$H$206,0),0)=0,"",INDEX(المحفظة!$C$107:$C$206,IFERROR(MATCH(20,المحفظة!$H$107:$H$206,0),0))),"")</f>
        <v/>
      </c>
      <c r="D76" s="107" t="str">
        <f>IFERROR(IF(IFERROR(MATCH(20,المحفظة!$H$107:$H$206,0),0)=0,"",INDEX(المحفظة!$D$107:$D$206,IFERROR(MATCH(20,المحفظة!$H$107:$H$206,0),0))),"")</f>
        <v/>
      </c>
      <c r="E76" s="108" t="s">
        <v>304</v>
      </c>
      <c r="F76" s="105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9" t="str">
        <f>IFERROR(IF(IFERROR(MATCH(21,المحفظة!$H$107:$H$206,0),0)=0,"",INDEX(المحفظة!$A$107:$A$206,IFERROR(MATCH(21,المحفظة!$H$107:$H$206,0),0))),"")</f>
        <v/>
      </c>
      <c r="B77" s="100" t="str">
        <f>IFERROR(IF(IFERROR(MATCH(21,المحفظة!$H$107:$H$206,0),0)=0,"",INDEX(المحفظة!$B$107:$B$206,IFERROR(MATCH(21,المحفظة!$H$107:$H$206,0),0))),"")</f>
        <v/>
      </c>
      <c r="C77" s="101" t="str">
        <f>IFERROR(IF(IFERROR(MATCH(21,المحفظة!$H$107:$H$206,0),0)=0,"",INDEX(المحفظة!$C$107:$C$206,IFERROR(MATCH(21,المحفظة!$H$107:$H$206,0),0))),"")</f>
        <v/>
      </c>
      <c r="D77" s="102" t="str">
        <f>IFERROR(IF(IFERROR(MATCH(21,المحفظة!$H$107:$H$206,0),0)=0,"",INDEX(المحفظة!$D$107:$D$206,IFERROR(MATCH(21,المحفظة!$H$107:$H$206,0),0))),"")</f>
        <v/>
      </c>
      <c r="E77" s="103" t="s">
        <v>304</v>
      </c>
      <c r="F77" s="100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4" t="str">
        <f>IFERROR(IF(IFERROR(MATCH(22,المحفظة!$H$107:$H$206,0),0)=0,"",INDEX(المحفظة!$A$107:$A$206,IFERROR(MATCH(22,المحفظة!$H$107:$H$206,0),0))),"")</f>
        <v/>
      </c>
      <c r="B78" s="105" t="str">
        <f>IFERROR(IF(IFERROR(MATCH(22,المحفظة!$H$107:$H$206,0),0)=0,"",INDEX(المحفظة!$B$107:$B$206,IFERROR(MATCH(22,المحفظة!$H$107:$H$206,0),0))),"")</f>
        <v/>
      </c>
      <c r="C78" s="106" t="str">
        <f>IFERROR(IF(IFERROR(MATCH(22,المحفظة!$H$107:$H$206,0),0)=0,"",INDEX(المحفظة!$C$107:$C$206,IFERROR(MATCH(22,المحفظة!$H$107:$H$206,0),0))),"")</f>
        <v/>
      </c>
      <c r="D78" s="107" t="str">
        <f>IFERROR(IF(IFERROR(MATCH(22,المحفظة!$H$107:$H$206,0),0)=0,"",INDEX(المحفظة!$D$107:$D$206,IFERROR(MATCH(22,المحفظة!$H$107:$H$206,0),0))),"")</f>
        <v/>
      </c>
      <c r="E78" s="108" t="s">
        <v>304</v>
      </c>
      <c r="F78" s="105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9" t="str">
        <f>IFERROR(IF(IFERROR(MATCH(23,المحفظة!$H$107:$H$206,0),0)=0,"",INDEX(المحفظة!$A$107:$A$206,IFERROR(MATCH(23,المحفظة!$H$107:$H$206,0),0))),"")</f>
        <v/>
      </c>
      <c r="B79" s="100" t="str">
        <f>IFERROR(IF(IFERROR(MATCH(23,المحفظة!$H$107:$H$206,0),0)=0,"",INDEX(المحفظة!$B$107:$B$206,IFERROR(MATCH(23,المحفظة!$H$107:$H$206,0),0))),"")</f>
        <v/>
      </c>
      <c r="C79" s="101" t="str">
        <f>IFERROR(IF(IFERROR(MATCH(23,المحفظة!$H$107:$H$206,0),0)=0,"",INDEX(المحفظة!$C$107:$C$206,IFERROR(MATCH(23,المحفظة!$H$107:$H$206,0),0))),"")</f>
        <v/>
      </c>
      <c r="D79" s="102" t="str">
        <f>IFERROR(IF(IFERROR(MATCH(23,المحفظة!$H$107:$H$206,0),0)=0,"",INDEX(المحفظة!$D$107:$D$206,IFERROR(MATCH(23,المحفظة!$H$107:$H$206,0),0))),"")</f>
        <v/>
      </c>
      <c r="E79" s="103" t="s">
        <v>304</v>
      </c>
      <c r="F79" s="100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4" t="str">
        <f>IFERROR(IF(IFERROR(MATCH(24,المحفظة!$H$107:$H$206,0),0)=0,"",INDEX(المحفظة!$A$107:$A$206,IFERROR(MATCH(24,المحفظة!$H$107:$H$206,0),0))),"")</f>
        <v/>
      </c>
      <c r="B80" s="105" t="str">
        <f>IFERROR(IF(IFERROR(MATCH(24,المحفظة!$H$107:$H$206,0),0)=0,"",INDEX(المحفظة!$B$107:$B$206,IFERROR(MATCH(24,المحفظة!$H$107:$H$206,0),0))),"")</f>
        <v/>
      </c>
      <c r="C80" s="106" t="str">
        <f>IFERROR(IF(IFERROR(MATCH(24,المحفظة!$H$107:$H$206,0),0)=0,"",INDEX(المحفظة!$C$107:$C$206,IFERROR(MATCH(24,المحفظة!$H$107:$H$206,0),0))),"")</f>
        <v/>
      </c>
      <c r="D80" s="107" t="str">
        <f>IFERROR(IF(IFERROR(MATCH(24,المحفظة!$H$107:$H$206,0),0)=0,"",INDEX(المحفظة!$D$107:$D$206,IFERROR(MATCH(24,المحفظة!$H$107:$H$206,0),0))),"")</f>
        <v/>
      </c>
      <c r="E80" s="108" t="s">
        <v>304</v>
      </c>
      <c r="F80" s="105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9" t="str">
        <f>IFERROR(IF(IFERROR(MATCH(25,المحفظة!$H$107:$H$206,0),0)=0,"",INDEX(المحفظة!$A$107:$A$206,IFERROR(MATCH(25,المحفظة!$H$107:$H$206,0),0))),"")</f>
        <v/>
      </c>
      <c r="B81" s="100" t="str">
        <f>IFERROR(IF(IFERROR(MATCH(25,المحفظة!$H$107:$H$206,0),0)=0,"",INDEX(المحفظة!$B$107:$B$206,IFERROR(MATCH(25,المحفظة!$H$107:$H$206,0),0))),"")</f>
        <v/>
      </c>
      <c r="C81" s="101" t="str">
        <f>IFERROR(IF(IFERROR(MATCH(25,المحفظة!$H$107:$H$206,0),0)=0,"",INDEX(المحفظة!$C$107:$C$206,IFERROR(MATCH(25,المحفظة!$H$107:$H$206,0),0))),"")</f>
        <v/>
      </c>
      <c r="D81" s="102" t="str">
        <f>IFERROR(IF(IFERROR(MATCH(25,المحفظة!$H$107:$H$206,0),0)=0,"",INDEX(المحفظة!$D$107:$D$206,IFERROR(MATCH(25,المحفظة!$H$107:$H$206,0),0))),"")</f>
        <v/>
      </c>
      <c r="E81" s="103" t="s">
        <v>304</v>
      </c>
      <c r="F81" s="100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4" t="str">
        <f>IFERROR(IF(IFERROR(MATCH(26,المحفظة!$H$107:$H$206,0),0)=0,"",INDEX(المحفظة!$A$107:$A$206,IFERROR(MATCH(26,المحفظة!$H$107:$H$206,0),0))),"")</f>
        <v/>
      </c>
      <c r="B82" s="105" t="str">
        <f>IFERROR(IF(IFERROR(MATCH(26,المحفظة!$H$107:$H$206,0),0)=0,"",INDEX(المحفظة!$B$107:$B$206,IFERROR(MATCH(26,المحفظة!$H$107:$H$206,0),0))),"")</f>
        <v/>
      </c>
      <c r="C82" s="106" t="str">
        <f>IFERROR(IF(IFERROR(MATCH(26,المحفظة!$H$107:$H$206,0),0)=0,"",INDEX(المحفظة!$C$107:$C$206,IFERROR(MATCH(26,المحفظة!$H$107:$H$206,0),0))),"")</f>
        <v/>
      </c>
      <c r="D82" s="107" t="str">
        <f>IFERROR(IF(IFERROR(MATCH(26,المحفظة!$H$107:$H$206,0),0)=0,"",INDEX(المحفظة!$D$107:$D$206,IFERROR(MATCH(26,المحفظة!$H$107:$H$206,0),0))),"")</f>
        <v/>
      </c>
      <c r="E82" s="108" t="s">
        <v>304</v>
      </c>
      <c r="F82" s="105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9" t="str">
        <f>IFERROR(IF(IFERROR(MATCH(27,المحفظة!$H$107:$H$206,0),0)=0,"",INDEX(المحفظة!$A$107:$A$206,IFERROR(MATCH(27,المحفظة!$H$107:$H$206,0),0))),"")</f>
        <v/>
      </c>
      <c r="B83" s="100" t="str">
        <f>IFERROR(IF(IFERROR(MATCH(27,المحفظة!$H$107:$H$206,0),0)=0,"",INDEX(المحفظة!$B$107:$B$206,IFERROR(MATCH(27,المحفظة!$H$107:$H$206,0),0))),"")</f>
        <v/>
      </c>
      <c r="C83" s="101" t="str">
        <f>IFERROR(IF(IFERROR(MATCH(27,المحفظة!$H$107:$H$206,0),0)=0,"",INDEX(المحفظة!$C$107:$C$206,IFERROR(MATCH(27,المحفظة!$H$107:$H$206,0),0))),"")</f>
        <v/>
      </c>
      <c r="D83" s="102" t="str">
        <f>IFERROR(IF(IFERROR(MATCH(27,المحفظة!$H$107:$H$206,0),0)=0,"",INDEX(المحفظة!$D$107:$D$206,IFERROR(MATCH(27,المحفظة!$H$107:$H$206,0),0))),"")</f>
        <v/>
      </c>
      <c r="E83" s="103" t="s">
        <v>304</v>
      </c>
      <c r="F83" s="100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4" t="str">
        <f>IFERROR(IF(IFERROR(MATCH(28,المحفظة!$H$107:$H$206,0),0)=0,"",INDEX(المحفظة!$A$107:$A$206,IFERROR(MATCH(28,المحفظة!$H$107:$H$206,0),0))),"")</f>
        <v/>
      </c>
      <c r="B84" s="105" t="str">
        <f>IFERROR(IF(IFERROR(MATCH(28,المحفظة!$H$107:$H$206,0),0)=0,"",INDEX(المحفظة!$B$107:$B$206,IFERROR(MATCH(28,المحفظة!$H$107:$H$206,0),0))),"")</f>
        <v/>
      </c>
      <c r="C84" s="106" t="str">
        <f>IFERROR(IF(IFERROR(MATCH(28,المحفظة!$H$107:$H$206,0),0)=0,"",INDEX(المحفظة!$C$107:$C$206,IFERROR(MATCH(28,المحفظة!$H$107:$H$206,0),0))),"")</f>
        <v/>
      </c>
      <c r="D84" s="107" t="str">
        <f>IFERROR(IF(IFERROR(MATCH(28,المحفظة!$H$107:$H$206,0),0)=0,"",INDEX(المحفظة!$D$107:$D$206,IFERROR(MATCH(28,المحفظة!$H$107:$H$206,0),0))),"")</f>
        <v/>
      </c>
      <c r="E84" s="108" t="s">
        <v>304</v>
      </c>
      <c r="F84" s="105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9" t="str">
        <f>IFERROR(IF(IFERROR(MATCH(29,المحفظة!$H$107:$H$206,0),0)=0,"",INDEX(المحفظة!$A$107:$A$206,IFERROR(MATCH(29,المحفظة!$H$107:$H$206,0),0))),"")</f>
        <v/>
      </c>
      <c r="B85" s="100" t="str">
        <f>IFERROR(IF(IFERROR(MATCH(29,المحفظة!$H$107:$H$206,0),0)=0,"",INDEX(المحفظة!$B$107:$B$206,IFERROR(MATCH(29,المحفظة!$H$107:$H$206,0),0))),"")</f>
        <v/>
      </c>
      <c r="C85" s="101" t="str">
        <f>IFERROR(IF(IFERROR(MATCH(29,المحفظة!$H$107:$H$206,0),0)=0,"",INDEX(المحفظة!$C$107:$C$206,IFERROR(MATCH(29,المحفظة!$H$107:$H$206,0),0))),"")</f>
        <v/>
      </c>
      <c r="D85" s="102" t="str">
        <f>IFERROR(IF(IFERROR(MATCH(29,المحفظة!$H$107:$H$206,0),0)=0,"",INDEX(المحفظة!$D$107:$D$206,IFERROR(MATCH(29,المحفظة!$H$107:$H$206,0),0))),"")</f>
        <v/>
      </c>
      <c r="E85" s="103" t="s">
        <v>304</v>
      </c>
      <c r="F85" s="100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4" t="str">
        <f>IFERROR(IF(IFERROR(MATCH(30,المحفظة!$H$107:$H$206,0),0)=0,"",INDEX(المحفظة!$A$107:$A$206,IFERROR(MATCH(30,المحفظة!$H$107:$H$206,0),0))),"")</f>
        <v/>
      </c>
      <c r="B86" s="105" t="str">
        <f>IFERROR(IF(IFERROR(MATCH(30,المحفظة!$H$107:$H$206,0),0)=0,"",INDEX(المحفظة!$B$107:$B$206,IFERROR(MATCH(30,المحفظة!$H$107:$H$206,0),0))),"")</f>
        <v/>
      </c>
      <c r="C86" s="106" t="str">
        <f>IFERROR(IF(IFERROR(MATCH(30,المحفظة!$H$107:$H$206,0),0)=0,"",INDEX(المحفظة!$C$107:$C$206,IFERROR(MATCH(30,المحفظة!$H$107:$H$206,0),0))),"")</f>
        <v/>
      </c>
      <c r="D86" s="107" t="str">
        <f>IFERROR(IF(IFERROR(MATCH(30,المحفظة!$H$107:$H$206,0),0)=0,"",INDEX(المحفظة!$D$107:$D$206,IFERROR(MATCH(30,المحفظة!$H$107:$H$206,0),0))),"")</f>
        <v/>
      </c>
      <c r="E86" s="108" t="s">
        <v>304</v>
      </c>
      <c r="F86" s="105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9" t="str">
        <f>IFERROR(IF(IFERROR(MATCH(31,المحفظة!$H$107:$H$206,0),0)=0,"",INDEX(المحفظة!$A$107:$A$206,IFERROR(MATCH(31,المحفظة!$H$107:$H$206,0),0))),"")</f>
        <v/>
      </c>
      <c r="B87" s="100" t="str">
        <f>IFERROR(IF(IFERROR(MATCH(31,المحفظة!$H$107:$H$206,0),0)=0,"",INDEX(المحفظة!$B$107:$B$206,IFERROR(MATCH(31,المحفظة!$H$107:$H$206,0),0))),"")</f>
        <v/>
      </c>
      <c r="C87" s="101" t="str">
        <f>IFERROR(IF(IFERROR(MATCH(31,المحفظة!$H$107:$H$206,0),0)=0,"",INDEX(المحفظة!$C$107:$C$206,IFERROR(MATCH(31,المحفظة!$H$107:$H$206,0),0))),"")</f>
        <v/>
      </c>
      <c r="D87" s="102" t="str">
        <f>IFERROR(IF(IFERROR(MATCH(31,المحفظة!$H$107:$H$206,0),0)=0,"",INDEX(المحفظة!$D$107:$D$206,IFERROR(MATCH(31,المحفظة!$H$107:$H$206,0),0))),"")</f>
        <v/>
      </c>
      <c r="E87" s="103" t="s">
        <v>304</v>
      </c>
      <c r="F87" s="100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4" t="str">
        <f>IFERROR(IF(IFERROR(MATCH(32,المحفظة!$H$107:$H$206,0),0)=0,"",INDEX(المحفظة!$A$107:$A$206,IFERROR(MATCH(32,المحفظة!$H$107:$H$206,0),0))),"")</f>
        <v/>
      </c>
      <c r="B88" s="105" t="str">
        <f>IFERROR(IF(IFERROR(MATCH(32,المحفظة!$H$107:$H$206,0),0)=0,"",INDEX(المحفظة!$B$107:$B$206,IFERROR(MATCH(32,المحفظة!$H$107:$H$206,0),0))),"")</f>
        <v/>
      </c>
      <c r="C88" s="106" t="str">
        <f>IFERROR(IF(IFERROR(MATCH(32,المحفظة!$H$107:$H$206,0),0)=0,"",INDEX(المحفظة!$C$107:$C$206,IFERROR(MATCH(32,المحفظة!$H$107:$H$206,0),0))),"")</f>
        <v/>
      </c>
      <c r="D88" s="107" t="str">
        <f>IFERROR(IF(IFERROR(MATCH(32,المحفظة!$H$107:$H$206,0),0)=0,"",INDEX(المحفظة!$D$107:$D$206,IFERROR(MATCH(32,المحفظة!$H$107:$H$206,0),0))),"")</f>
        <v/>
      </c>
      <c r="E88" s="108" t="s">
        <v>304</v>
      </c>
      <c r="F88" s="105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9" t="str">
        <f>IFERROR(IF(IFERROR(MATCH(33,المحفظة!$H$107:$H$206,0),0)=0,"",INDEX(المحفظة!$A$107:$A$206,IFERROR(MATCH(33,المحفظة!$H$107:$H$206,0),0))),"")</f>
        <v/>
      </c>
      <c r="B89" s="100" t="str">
        <f>IFERROR(IF(IFERROR(MATCH(33,المحفظة!$H$107:$H$206,0),0)=0,"",INDEX(المحفظة!$B$107:$B$206,IFERROR(MATCH(33,المحفظة!$H$107:$H$206,0),0))),"")</f>
        <v/>
      </c>
      <c r="C89" s="101" t="str">
        <f>IFERROR(IF(IFERROR(MATCH(33,المحفظة!$H$107:$H$206,0),0)=0,"",INDEX(المحفظة!$C$107:$C$206,IFERROR(MATCH(33,المحفظة!$H$107:$H$206,0),0))),"")</f>
        <v/>
      </c>
      <c r="D89" s="102" t="str">
        <f>IFERROR(IF(IFERROR(MATCH(33,المحفظة!$H$107:$H$206,0),0)=0,"",INDEX(المحفظة!$D$107:$D$206,IFERROR(MATCH(33,المحفظة!$H$107:$H$206,0),0))),"")</f>
        <v/>
      </c>
      <c r="E89" s="103" t="s">
        <v>304</v>
      </c>
      <c r="F89" s="100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4" t="str">
        <f>IFERROR(IF(IFERROR(MATCH(34,المحفظة!$H$107:$H$206,0),0)=0,"",INDEX(المحفظة!$A$107:$A$206,IFERROR(MATCH(34,المحفظة!$H$107:$H$206,0),0))),"")</f>
        <v/>
      </c>
      <c r="B90" s="105" t="str">
        <f>IFERROR(IF(IFERROR(MATCH(34,المحفظة!$H$107:$H$206,0),0)=0,"",INDEX(المحفظة!$B$107:$B$206,IFERROR(MATCH(34,المحفظة!$H$107:$H$206,0),0))),"")</f>
        <v/>
      </c>
      <c r="C90" s="106" t="str">
        <f>IFERROR(IF(IFERROR(MATCH(34,المحفظة!$H$107:$H$206,0),0)=0,"",INDEX(المحفظة!$C$107:$C$206,IFERROR(MATCH(34,المحفظة!$H$107:$H$206,0),0))),"")</f>
        <v/>
      </c>
      <c r="D90" s="107" t="str">
        <f>IFERROR(IF(IFERROR(MATCH(34,المحفظة!$H$107:$H$206,0),0)=0,"",INDEX(المحفظة!$D$107:$D$206,IFERROR(MATCH(34,المحفظة!$H$107:$H$206,0),0))),"")</f>
        <v/>
      </c>
      <c r="E90" s="108" t="s">
        <v>304</v>
      </c>
      <c r="F90" s="105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9" t="str">
        <f>IFERROR(IF(IFERROR(MATCH(35,المحفظة!$H$107:$H$206,0),0)=0,"",INDEX(المحفظة!$A$107:$A$206,IFERROR(MATCH(35,المحفظة!$H$107:$H$206,0),0))),"")</f>
        <v/>
      </c>
      <c r="B91" s="100" t="str">
        <f>IFERROR(IF(IFERROR(MATCH(35,المحفظة!$H$107:$H$206,0),0)=0,"",INDEX(المحفظة!$B$107:$B$206,IFERROR(MATCH(35,المحفظة!$H$107:$H$206,0),0))),"")</f>
        <v/>
      </c>
      <c r="C91" s="101" t="str">
        <f>IFERROR(IF(IFERROR(MATCH(35,المحفظة!$H$107:$H$206,0),0)=0,"",INDEX(المحفظة!$C$107:$C$206,IFERROR(MATCH(35,المحفظة!$H$107:$H$206,0),0))),"")</f>
        <v/>
      </c>
      <c r="D91" s="102" t="str">
        <f>IFERROR(IF(IFERROR(MATCH(35,المحفظة!$H$107:$H$206,0),0)=0,"",INDEX(المحفظة!$D$107:$D$206,IFERROR(MATCH(35,المحفظة!$H$107:$H$206,0),0))),"")</f>
        <v/>
      </c>
      <c r="E91" s="103" t="s">
        <v>304</v>
      </c>
      <c r="F91" s="100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4" t="str">
        <f>IFERROR(IF(IFERROR(MATCH(36,المحفظة!$H$107:$H$206,0),0)=0,"",INDEX(المحفظة!$A$107:$A$206,IFERROR(MATCH(36,المحفظة!$H$107:$H$206,0),0))),"")</f>
        <v/>
      </c>
      <c r="B92" s="105" t="str">
        <f>IFERROR(IF(IFERROR(MATCH(36,المحفظة!$H$107:$H$206,0),0)=0,"",INDEX(المحفظة!$B$107:$B$206,IFERROR(MATCH(36,المحفظة!$H$107:$H$206,0),0))),"")</f>
        <v/>
      </c>
      <c r="C92" s="106" t="str">
        <f>IFERROR(IF(IFERROR(MATCH(36,المحفظة!$H$107:$H$206,0),0)=0,"",INDEX(المحفظة!$C$107:$C$206,IFERROR(MATCH(36,المحفظة!$H$107:$H$206,0),0))),"")</f>
        <v/>
      </c>
      <c r="D92" s="107" t="str">
        <f>IFERROR(IF(IFERROR(MATCH(36,المحفظة!$H$107:$H$206,0),0)=0,"",INDEX(المحفظة!$D$107:$D$206,IFERROR(MATCH(36,المحفظة!$H$107:$H$206,0),0))),"")</f>
        <v/>
      </c>
      <c r="E92" s="108" t="s">
        <v>304</v>
      </c>
      <c r="F92" s="105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9" t="str">
        <f>IFERROR(IF(IFERROR(MATCH(37,المحفظة!$H$107:$H$206,0),0)=0,"",INDEX(المحفظة!$A$107:$A$206,IFERROR(MATCH(37,المحفظة!$H$107:$H$206,0),0))),"")</f>
        <v/>
      </c>
      <c r="B93" s="100" t="str">
        <f>IFERROR(IF(IFERROR(MATCH(37,المحفظة!$H$107:$H$206,0),0)=0,"",INDEX(المحفظة!$B$107:$B$206,IFERROR(MATCH(37,المحفظة!$H$107:$H$206,0),0))),"")</f>
        <v/>
      </c>
      <c r="C93" s="101" t="str">
        <f>IFERROR(IF(IFERROR(MATCH(37,المحفظة!$H$107:$H$206,0),0)=0,"",INDEX(المحفظة!$C$107:$C$206,IFERROR(MATCH(37,المحفظة!$H$107:$H$206,0),0))),"")</f>
        <v/>
      </c>
      <c r="D93" s="102" t="str">
        <f>IFERROR(IF(IFERROR(MATCH(37,المحفظة!$H$107:$H$206,0),0)=0,"",INDEX(المحفظة!$D$107:$D$206,IFERROR(MATCH(37,المحفظة!$H$107:$H$206,0),0))),"")</f>
        <v/>
      </c>
      <c r="E93" s="103" t="s">
        <v>304</v>
      </c>
      <c r="F93" s="100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4" t="str">
        <f>IFERROR(IF(IFERROR(MATCH(38,المحفظة!$H$107:$H$206,0),0)=0,"",INDEX(المحفظة!$A$107:$A$206,IFERROR(MATCH(38,المحفظة!$H$107:$H$206,0),0))),"")</f>
        <v/>
      </c>
      <c r="B94" s="105" t="str">
        <f>IFERROR(IF(IFERROR(MATCH(38,المحفظة!$H$107:$H$206,0),0)=0,"",INDEX(المحفظة!$B$107:$B$206,IFERROR(MATCH(38,المحفظة!$H$107:$H$206,0),0))),"")</f>
        <v/>
      </c>
      <c r="C94" s="106" t="str">
        <f>IFERROR(IF(IFERROR(MATCH(38,المحفظة!$H$107:$H$206,0),0)=0,"",INDEX(المحفظة!$C$107:$C$206,IFERROR(MATCH(38,المحفظة!$H$107:$H$206,0),0))),"")</f>
        <v/>
      </c>
      <c r="D94" s="107" t="str">
        <f>IFERROR(IF(IFERROR(MATCH(38,المحفظة!$H$107:$H$206,0),0)=0,"",INDEX(المحفظة!$D$107:$D$206,IFERROR(MATCH(38,المحفظة!$H$107:$H$206,0),0))),"")</f>
        <v/>
      </c>
      <c r="E94" s="108" t="s">
        <v>304</v>
      </c>
      <c r="F94" s="105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9" t="str">
        <f>IFERROR(IF(IFERROR(MATCH(39,المحفظة!$H$107:$H$206,0),0)=0,"",INDEX(المحفظة!$A$107:$A$206,IFERROR(MATCH(39,المحفظة!$H$107:$H$206,0),0))),"")</f>
        <v/>
      </c>
      <c r="B95" s="100" t="str">
        <f>IFERROR(IF(IFERROR(MATCH(39,المحفظة!$H$107:$H$206,0),0)=0,"",INDEX(المحفظة!$B$107:$B$206,IFERROR(MATCH(39,المحفظة!$H$107:$H$206,0),0))),"")</f>
        <v/>
      </c>
      <c r="C95" s="101" t="str">
        <f>IFERROR(IF(IFERROR(MATCH(39,المحفظة!$H$107:$H$206,0),0)=0,"",INDEX(المحفظة!$C$107:$C$206,IFERROR(MATCH(39,المحفظة!$H$107:$H$206,0),0))),"")</f>
        <v/>
      </c>
      <c r="D95" s="102" t="str">
        <f>IFERROR(IF(IFERROR(MATCH(39,المحفظة!$H$107:$H$206,0),0)=0,"",INDEX(المحفظة!$D$107:$D$206,IFERROR(MATCH(39,المحفظة!$H$107:$H$206,0),0))),"")</f>
        <v/>
      </c>
      <c r="E95" s="103" t="s">
        <v>304</v>
      </c>
      <c r="F95" s="100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4" t="str">
        <f>IFERROR(IF(IFERROR(MATCH(40,المحفظة!$H$107:$H$206,0),0)=0,"",INDEX(المحفظة!$A$107:$A$206,IFERROR(MATCH(40,المحفظة!$H$107:$H$206,0),0))),"")</f>
        <v/>
      </c>
      <c r="B96" s="105" t="str">
        <f>IFERROR(IF(IFERROR(MATCH(40,المحفظة!$H$107:$H$206,0),0)=0,"",INDEX(المحفظة!$B$107:$B$206,IFERROR(MATCH(40,المحفظة!$H$107:$H$206,0),0))),"")</f>
        <v/>
      </c>
      <c r="C96" s="106" t="str">
        <f>IFERROR(IF(IFERROR(MATCH(40,المحفظة!$H$107:$H$206,0),0)=0,"",INDEX(المحفظة!$C$107:$C$206,IFERROR(MATCH(40,المحفظة!$H$107:$H$206,0),0))),"")</f>
        <v/>
      </c>
      <c r="D96" s="107" t="str">
        <f>IFERROR(IF(IFERROR(MATCH(40,المحفظة!$H$107:$H$206,0),0)=0,"",INDEX(المحفظة!$D$107:$D$206,IFERROR(MATCH(40,المحفظة!$H$107:$H$206,0),0))),"")</f>
        <v/>
      </c>
      <c r="E96" s="108" t="s">
        <v>304</v>
      </c>
      <c r="F96" s="105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9" t="str">
        <f>IFERROR(IF(IFERROR(MATCH(41,المحفظة!$H$107:$H$206,0),0)=0,"",INDEX(المحفظة!$A$107:$A$206,IFERROR(MATCH(41,المحفظة!$H$107:$H$206,0),0))),"")</f>
        <v/>
      </c>
      <c r="B97" s="100" t="str">
        <f>IFERROR(IF(IFERROR(MATCH(41,المحفظة!$H$107:$H$206,0),0)=0,"",INDEX(المحفظة!$B$107:$B$206,IFERROR(MATCH(41,المحفظة!$H$107:$H$206,0),0))),"")</f>
        <v/>
      </c>
      <c r="C97" s="101" t="str">
        <f>IFERROR(IF(IFERROR(MATCH(41,المحفظة!$H$107:$H$206,0),0)=0,"",INDEX(المحفظة!$C$107:$C$206,IFERROR(MATCH(41,المحفظة!$H$107:$H$206,0),0))),"")</f>
        <v/>
      </c>
      <c r="D97" s="102" t="str">
        <f>IFERROR(IF(IFERROR(MATCH(41,المحفظة!$H$107:$H$206,0),0)=0,"",INDEX(المحفظة!$D$107:$D$206,IFERROR(MATCH(41,المحفظة!$H$107:$H$206,0),0))),"")</f>
        <v/>
      </c>
      <c r="E97" s="103" t="s">
        <v>304</v>
      </c>
      <c r="F97" s="100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4" t="str">
        <f>IFERROR(IF(IFERROR(MATCH(42,المحفظة!$H$107:$H$206,0),0)=0,"",INDEX(المحفظة!$A$107:$A$206,IFERROR(MATCH(42,المحفظة!$H$107:$H$206,0),0))),"")</f>
        <v/>
      </c>
      <c r="B98" s="105" t="str">
        <f>IFERROR(IF(IFERROR(MATCH(42,المحفظة!$H$107:$H$206,0),0)=0,"",INDEX(المحفظة!$B$107:$B$206,IFERROR(MATCH(42,المحفظة!$H$107:$H$206,0),0))),"")</f>
        <v/>
      </c>
      <c r="C98" s="106" t="str">
        <f>IFERROR(IF(IFERROR(MATCH(42,المحفظة!$H$107:$H$206,0),0)=0,"",INDEX(المحفظة!$C$107:$C$206,IFERROR(MATCH(42,المحفظة!$H$107:$H$206,0),0))),"")</f>
        <v/>
      </c>
      <c r="D98" s="107" t="str">
        <f>IFERROR(IF(IFERROR(MATCH(42,المحفظة!$H$107:$H$206,0),0)=0,"",INDEX(المحفظة!$D$107:$D$206,IFERROR(MATCH(42,المحفظة!$H$107:$H$206,0),0))),"")</f>
        <v/>
      </c>
      <c r="E98" s="108" t="s">
        <v>304</v>
      </c>
      <c r="F98" s="105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9" t="str">
        <f>IFERROR(IF(IFERROR(MATCH(43,المحفظة!$H$107:$H$206,0),0)=0,"",INDEX(المحفظة!$A$107:$A$206,IFERROR(MATCH(43,المحفظة!$H$107:$H$206,0),0))),"")</f>
        <v/>
      </c>
      <c r="B99" s="100" t="str">
        <f>IFERROR(IF(IFERROR(MATCH(43,المحفظة!$H$107:$H$206,0),0)=0,"",INDEX(المحفظة!$B$107:$B$206,IFERROR(MATCH(43,المحفظة!$H$107:$H$206,0),0))),"")</f>
        <v/>
      </c>
      <c r="C99" s="101" t="str">
        <f>IFERROR(IF(IFERROR(MATCH(43,المحفظة!$H$107:$H$206,0),0)=0,"",INDEX(المحفظة!$C$107:$C$206,IFERROR(MATCH(43,المحفظة!$H$107:$H$206,0),0))),"")</f>
        <v/>
      </c>
      <c r="D99" s="102" t="str">
        <f>IFERROR(IF(IFERROR(MATCH(43,المحفظة!$H$107:$H$206,0),0)=0,"",INDEX(المحفظة!$D$107:$D$206,IFERROR(MATCH(43,المحفظة!$H$107:$H$206,0),0))),"")</f>
        <v/>
      </c>
      <c r="E99" s="103" t="s">
        <v>304</v>
      </c>
      <c r="F99" s="100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4" t="str">
        <f>IFERROR(IF(IFERROR(MATCH(44,المحفظة!$H$107:$H$206,0),0)=0,"",INDEX(المحفظة!$A$107:$A$206,IFERROR(MATCH(44,المحفظة!$H$107:$H$206,0),0))),"")</f>
        <v/>
      </c>
      <c r="B100" s="105" t="str">
        <f>IFERROR(IF(IFERROR(MATCH(44,المحفظة!$H$107:$H$206,0),0)=0,"",INDEX(المحفظة!$B$107:$B$206,IFERROR(MATCH(44,المحفظة!$H$107:$H$206,0),0))),"")</f>
        <v/>
      </c>
      <c r="C100" s="106" t="str">
        <f>IFERROR(IF(IFERROR(MATCH(44,المحفظة!$H$107:$H$206,0),0)=0,"",INDEX(المحفظة!$C$107:$C$206,IFERROR(MATCH(44,المحفظة!$H$107:$H$206,0),0))),"")</f>
        <v/>
      </c>
      <c r="D100" s="107" t="str">
        <f>IFERROR(IF(IFERROR(MATCH(44,المحفظة!$H$107:$H$206,0),0)=0,"",INDEX(المحفظة!$D$107:$D$206,IFERROR(MATCH(44,المحفظة!$H$107:$H$206,0),0))),"")</f>
        <v/>
      </c>
      <c r="E100" s="108" t="s">
        <v>304</v>
      </c>
      <c r="F100" s="105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9" t="str">
        <f>IFERROR(IF(IFERROR(MATCH(45,المحفظة!$H$107:$H$206,0),0)=0,"",INDEX(المحفظة!$A$107:$A$206,IFERROR(MATCH(45,المحفظة!$H$107:$H$206,0),0))),"")</f>
        <v/>
      </c>
      <c r="B101" s="100" t="str">
        <f>IFERROR(IF(IFERROR(MATCH(45,المحفظة!$H$107:$H$206,0),0)=0,"",INDEX(المحفظة!$B$107:$B$206,IFERROR(MATCH(45,المحفظة!$H$107:$H$206,0),0))),"")</f>
        <v/>
      </c>
      <c r="C101" s="101" t="str">
        <f>IFERROR(IF(IFERROR(MATCH(45,المحفظة!$H$107:$H$206,0),0)=0,"",INDEX(المحفظة!$C$107:$C$206,IFERROR(MATCH(45,المحفظة!$H$107:$H$206,0),0))),"")</f>
        <v/>
      </c>
      <c r="D101" s="102" t="str">
        <f>IFERROR(IF(IFERROR(MATCH(45,المحفظة!$H$107:$H$206,0),0)=0,"",INDEX(المحفظة!$D$107:$D$206,IFERROR(MATCH(45,المحفظة!$H$107:$H$206,0),0))),"")</f>
        <v/>
      </c>
      <c r="E101" s="103" t="s">
        <v>304</v>
      </c>
      <c r="F101" s="100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4" t="str">
        <f>IFERROR(IF(IFERROR(MATCH(46,المحفظة!$H$107:$H$206,0),0)=0,"",INDEX(المحفظة!$A$107:$A$206,IFERROR(MATCH(46,المحفظة!$H$107:$H$206,0),0))),"")</f>
        <v/>
      </c>
      <c r="B102" s="105" t="str">
        <f>IFERROR(IF(IFERROR(MATCH(46,المحفظة!$H$107:$H$206,0),0)=0,"",INDEX(المحفظة!$B$107:$B$206,IFERROR(MATCH(46,المحفظة!$H$107:$H$206,0),0))),"")</f>
        <v/>
      </c>
      <c r="C102" s="106" t="str">
        <f>IFERROR(IF(IFERROR(MATCH(46,المحفظة!$H$107:$H$206,0),0)=0,"",INDEX(المحفظة!$C$107:$C$206,IFERROR(MATCH(46,المحفظة!$H$107:$H$206,0),0))),"")</f>
        <v/>
      </c>
      <c r="D102" s="107" t="str">
        <f>IFERROR(IF(IFERROR(MATCH(46,المحفظة!$H$107:$H$206,0),0)=0,"",INDEX(المحفظة!$D$107:$D$206,IFERROR(MATCH(46,المحفظة!$H$107:$H$206,0),0))),"")</f>
        <v/>
      </c>
      <c r="E102" s="108" t="s">
        <v>304</v>
      </c>
      <c r="F102" s="105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9" t="str">
        <f>IFERROR(IF(IFERROR(MATCH(47,المحفظة!$H$107:$H$206,0),0)=0,"",INDEX(المحفظة!$A$107:$A$206,IFERROR(MATCH(47,المحفظة!$H$107:$H$206,0),0))),"")</f>
        <v/>
      </c>
      <c r="B103" s="100" t="str">
        <f>IFERROR(IF(IFERROR(MATCH(47,المحفظة!$H$107:$H$206,0),0)=0,"",INDEX(المحفظة!$B$107:$B$206,IFERROR(MATCH(47,المحفظة!$H$107:$H$206,0),0))),"")</f>
        <v/>
      </c>
      <c r="C103" s="101" t="str">
        <f>IFERROR(IF(IFERROR(MATCH(47,المحفظة!$H$107:$H$206,0),0)=0,"",INDEX(المحفظة!$C$107:$C$206,IFERROR(MATCH(47,المحفظة!$H$107:$H$206,0),0))),"")</f>
        <v/>
      </c>
      <c r="D103" s="102" t="str">
        <f>IFERROR(IF(IFERROR(MATCH(47,المحفظة!$H$107:$H$206,0),0)=0,"",INDEX(المحفظة!$D$107:$D$206,IFERROR(MATCH(47,المحفظة!$H$107:$H$206,0),0))),"")</f>
        <v/>
      </c>
      <c r="E103" s="103" t="s">
        <v>304</v>
      </c>
      <c r="F103" s="100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4" t="str">
        <f>IFERROR(IF(IFERROR(MATCH(48,المحفظة!$H$107:$H$206,0),0)=0,"",INDEX(المحفظة!$A$107:$A$206,IFERROR(MATCH(48,المحفظة!$H$107:$H$206,0),0))),"")</f>
        <v/>
      </c>
      <c r="B104" s="105" t="str">
        <f>IFERROR(IF(IFERROR(MATCH(48,المحفظة!$H$107:$H$206,0),0)=0,"",INDEX(المحفظة!$B$107:$B$206,IFERROR(MATCH(48,المحفظة!$H$107:$H$206,0),0))),"")</f>
        <v/>
      </c>
      <c r="C104" s="106" t="str">
        <f>IFERROR(IF(IFERROR(MATCH(48,المحفظة!$H$107:$H$206,0),0)=0,"",INDEX(المحفظة!$C$107:$C$206,IFERROR(MATCH(48,المحفظة!$H$107:$H$206,0),0))),"")</f>
        <v/>
      </c>
      <c r="D104" s="107" t="str">
        <f>IFERROR(IF(IFERROR(MATCH(48,المحفظة!$H$107:$H$206,0),0)=0,"",INDEX(المحفظة!$D$107:$D$206,IFERROR(MATCH(48,المحفظة!$H$107:$H$206,0),0))),"")</f>
        <v/>
      </c>
      <c r="E104" s="108" t="s">
        <v>304</v>
      </c>
      <c r="F104" s="105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9" t="str">
        <f>IFERROR(IF(IFERROR(MATCH(49,المحفظة!$H$107:$H$206,0),0)=0,"",INDEX(المحفظة!$A$107:$A$206,IFERROR(MATCH(49,المحفظة!$H$107:$H$206,0),0))),"")</f>
        <v/>
      </c>
      <c r="B105" s="100" t="str">
        <f>IFERROR(IF(IFERROR(MATCH(49,المحفظة!$H$107:$H$206,0),0)=0,"",INDEX(المحفظة!$B$107:$B$206,IFERROR(MATCH(49,المحفظة!$H$107:$H$206,0),0))),"")</f>
        <v/>
      </c>
      <c r="C105" s="101" t="str">
        <f>IFERROR(IF(IFERROR(MATCH(49,المحفظة!$H$107:$H$206,0),0)=0,"",INDEX(المحفظة!$C$107:$C$206,IFERROR(MATCH(49,المحفظة!$H$107:$H$206,0),0))),"")</f>
        <v/>
      </c>
      <c r="D105" s="102" t="str">
        <f>IFERROR(IF(IFERROR(MATCH(49,المحفظة!$H$107:$H$206,0),0)=0,"",INDEX(المحفظة!$D$107:$D$206,IFERROR(MATCH(49,المحفظة!$H$107:$H$206,0),0))),"")</f>
        <v/>
      </c>
      <c r="E105" s="103" t="s">
        <v>304</v>
      </c>
      <c r="F105" s="100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4" t="str">
        <f>IFERROR(IF(IFERROR(MATCH(50,المحفظة!$H$107:$H$206,0),0)=0,"",INDEX(المحفظة!$A$107:$A$206,IFERROR(MATCH(50,المحفظة!$H$107:$H$206,0),0))),"")</f>
        <v/>
      </c>
      <c r="B106" s="105" t="str">
        <f>IFERROR(IF(IFERROR(MATCH(50,المحفظة!$H$107:$H$206,0),0)=0,"",INDEX(المحفظة!$B$107:$B$206,IFERROR(MATCH(50,المحفظة!$H$107:$H$206,0),0))),"")</f>
        <v/>
      </c>
      <c r="C106" s="106" t="str">
        <f>IFERROR(IF(IFERROR(MATCH(50,المحفظة!$H$107:$H$206,0),0)=0,"",INDEX(المحفظة!$C$107:$C$206,IFERROR(MATCH(50,المحفظة!$H$107:$H$206,0),0))),"")</f>
        <v/>
      </c>
      <c r="D106" s="107" t="str">
        <f>IFERROR(IF(IFERROR(MATCH(50,المحفظة!$H$107:$H$206,0),0)=0,"",INDEX(المحفظة!$D$107:$D$206,IFERROR(MATCH(50,المحفظة!$H$107:$H$206,0),0))),"")</f>
        <v/>
      </c>
      <c r="E106" s="108" t="s">
        <v>304</v>
      </c>
      <c r="F106" s="105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6" t="s">
        <v>306</v>
      </c>
      <c r="B107" s="161"/>
      <c r="C107" s="161"/>
      <c r="D107" s="109">
        <f>SUMIF(المحفظة!$H$107:$H$206,"&gt;0",المحفظة!$D$107:$D$206)</f>
        <v>0</v>
      </c>
      <c r="E107" s="78"/>
      <c r="F107" s="78"/>
      <c r="G107" s="78"/>
    </row>
    <row r="108" spans="1:7" ht="19.5" customHeight="1" x14ac:dyDescent="0.25">
      <c r="A108" s="172" t="s">
        <v>307</v>
      </c>
      <c r="B108" s="161"/>
      <c r="C108" s="161"/>
      <c r="D108" s="77">
        <f>E55-D107</f>
        <v>0</v>
      </c>
      <c r="E108" s="178">
        <f>SUM(E5:E107)</f>
        <v>0</v>
      </c>
      <c r="F108" s="161"/>
      <c r="G108" s="162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2026-07-04T16:55:20Z</dcterms:modified>
  <dc:language>en-US</dc:language>
</cp:coreProperties>
</file>