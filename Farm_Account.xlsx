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23D6C75A-A8A6-471D-B6B9-CEFF5839507C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55" i="2"/>
  <c r="J255" i="2"/>
  <c r="F255" i="2"/>
  <c r="E255" i="2"/>
  <c r="D255" i="2"/>
  <c r="Q254" i="2"/>
  <c r="P254" i="2"/>
  <c r="O254" i="2"/>
  <c r="N254" i="2"/>
  <c r="M254" i="2"/>
  <c r="L254" i="2"/>
  <c r="J254" i="2"/>
  <c r="Q253" i="2"/>
  <c r="P253" i="2"/>
  <c r="O253" i="2"/>
  <c r="N253" i="2"/>
  <c r="M253" i="2"/>
  <c r="L253" i="2"/>
  <c r="J253" i="2"/>
  <c r="Q252" i="2"/>
  <c r="P252" i="2"/>
  <c r="O252" i="2"/>
  <c r="N252" i="2"/>
  <c r="M252" i="2"/>
  <c r="L252" i="2"/>
  <c r="J252" i="2"/>
  <c r="Q251" i="2"/>
  <c r="P251" i="2"/>
  <c r="O251" i="2"/>
  <c r="N251" i="2"/>
  <c r="M251" i="2"/>
  <c r="L251" i="2"/>
  <c r="J251" i="2"/>
  <c r="Q250" i="2"/>
  <c r="P250" i="2"/>
  <c r="O250" i="2"/>
  <c r="N250" i="2"/>
  <c r="M250" i="2"/>
  <c r="L250" i="2"/>
  <c r="J250" i="2"/>
  <c r="Q249" i="2"/>
  <c r="P249" i="2"/>
  <c r="O249" i="2"/>
  <c r="N249" i="2"/>
  <c r="M249" i="2"/>
  <c r="L249" i="2"/>
  <c r="J249" i="2"/>
  <c r="Q248" i="2"/>
  <c r="P248" i="2"/>
  <c r="O248" i="2"/>
  <c r="N248" i="2"/>
  <c r="M248" i="2"/>
  <c r="L248" i="2"/>
  <c r="J248" i="2"/>
  <c r="Q247" i="2"/>
  <c r="P247" i="2"/>
  <c r="O247" i="2"/>
  <c r="N247" i="2"/>
  <c r="M247" i="2"/>
  <c r="L247" i="2"/>
  <c r="J247" i="2"/>
  <c r="Q246" i="2"/>
  <c r="P246" i="2"/>
  <c r="O246" i="2"/>
  <c r="N246" i="2"/>
  <c r="M246" i="2"/>
  <c r="L246" i="2"/>
  <c r="J246" i="2"/>
  <c r="Q245" i="2"/>
  <c r="P245" i="2"/>
  <c r="O245" i="2"/>
  <c r="N245" i="2"/>
  <c r="M245" i="2"/>
  <c r="L245" i="2"/>
  <c r="J245" i="2"/>
  <c r="Q244" i="2"/>
  <c r="P244" i="2"/>
  <c r="O244" i="2"/>
  <c r="N244" i="2"/>
  <c r="M244" i="2"/>
  <c r="L244" i="2"/>
  <c r="Q243" i="2"/>
  <c r="P243" i="2"/>
  <c r="O243" i="2"/>
  <c r="N243" i="2"/>
  <c r="M243" i="2"/>
  <c r="L243" i="2"/>
  <c r="Q242" i="2"/>
  <c r="P242" i="2"/>
  <c r="O242" i="2"/>
  <c r="N242" i="2"/>
  <c r="M242" i="2"/>
  <c r="L242" i="2"/>
  <c r="Q241" i="2"/>
  <c r="P241" i="2"/>
  <c r="O241" i="2"/>
  <c r="N241" i="2"/>
  <c r="M241" i="2"/>
  <c r="L241" i="2"/>
  <c r="Q240" i="2"/>
  <c r="P240" i="2"/>
  <c r="O240" i="2"/>
  <c r="N240" i="2"/>
  <c r="M240" i="2"/>
  <c r="L240" i="2"/>
  <c r="Q239" i="2"/>
  <c r="P239" i="2"/>
  <c r="O239" i="2"/>
  <c r="N239" i="2"/>
  <c r="M239" i="2"/>
  <c r="L239" i="2"/>
  <c r="Q238" i="2"/>
  <c r="P238" i="2"/>
  <c r="O238" i="2"/>
  <c r="N238" i="2"/>
  <c r="M238" i="2"/>
  <c r="L238" i="2"/>
  <c r="Q237" i="2"/>
  <c r="P237" i="2"/>
  <c r="O237" i="2"/>
  <c r="N237" i="2"/>
  <c r="M237" i="2"/>
  <c r="L237" i="2"/>
  <c r="Q236" i="2"/>
  <c r="P236" i="2"/>
  <c r="O236" i="2"/>
  <c r="N236" i="2"/>
  <c r="M236" i="2"/>
  <c r="L236" i="2"/>
  <c r="Q235" i="2"/>
  <c r="P235" i="2"/>
  <c r="O235" i="2"/>
  <c r="N235" i="2"/>
  <c r="M235" i="2"/>
  <c r="L235" i="2"/>
  <c r="Q234" i="2"/>
  <c r="P234" i="2"/>
  <c r="O234" i="2"/>
  <c r="N234" i="2"/>
  <c r="M234" i="2"/>
  <c r="L234" i="2"/>
  <c r="Q233" i="2"/>
  <c r="P233" i="2"/>
  <c r="O233" i="2"/>
  <c r="N233" i="2"/>
  <c r="M233" i="2"/>
  <c r="L233" i="2"/>
  <c r="Q232" i="2"/>
  <c r="P232" i="2"/>
  <c r="O232" i="2"/>
  <c r="N232" i="2"/>
  <c r="M232" i="2"/>
  <c r="L232" i="2"/>
  <c r="Q231" i="2"/>
  <c r="P231" i="2"/>
  <c r="O231" i="2"/>
  <c r="N231" i="2"/>
  <c r="M231" i="2"/>
  <c r="L231" i="2"/>
  <c r="Q230" i="2"/>
  <c r="P230" i="2"/>
  <c r="O230" i="2"/>
  <c r="N230" i="2"/>
  <c r="M230" i="2"/>
  <c r="L230" i="2"/>
  <c r="Q229" i="2"/>
  <c r="P229" i="2"/>
  <c r="O229" i="2"/>
  <c r="N229" i="2"/>
  <c r="M229" i="2"/>
  <c r="L229" i="2"/>
  <c r="Q228" i="2"/>
  <c r="P228" i="2"/>
  <c r="O228" i="2"/>
  <c r="N228" i="2"/>
  <c r="M228" i="2"/>
  <c r="L228" i="2"/>
  <c r="Q227" i="2"/>
  <c r="P227" i="2"/>
  <c r="O227" i="2"/>
  <c r="N227" i="2"/>
  <c r="M227" i="2"/>
  <c r="L227" i="2"/>
  <c r="Q226" i="2"/>
  <c r="P226" i="2"/>
  <c r="O226" i="2"/>
  <c r="N226" i="2"/>
  <c r="M226" i="2"/>
  <c r="L226" i="2"/>
  <c r="Q225" i="2"/>
  <c r="P225" i="2"/>
  <c r="O225" i="2"/>
  <c r="N225" i="2"/>
  <c r="M225" i="2"/>
  <c r="L225" i="2"/>
  <c r="Q224" i="2"/>
  <c r="P224" i="2"/>
  <c r="O224" i="2"/>
  <c r="N224" i="2"/>
  <c r="M224" i="2"/>
  <c r="L224" i="2"/>
  <c r="Q223" i="2"/>
  <c r="P223" i="2"/>
  <c r="O223" i="2"/>
  <c r="N223" i="2"/>
  <c r="M223" i="2"/>
  <c r="L223" i="2"/>
  <c r="Q222" i="2"/>
  <c r="P222" i="2"/>
  <c r="O222" i="2"/>
  <c r="N222" i="2"/>
  <c r="M222" i="2"/>
  <c r="L222" i="2"/>
  <c r="Q221" i="2"/>
  <c r="P221" i="2"/>
  <c r="O221" i="2"/>
  <c r="N221" i="2"/>
  <c r="M221" i="2"/>
  <c r="L221" i="2"/>
  <c r="Q220" i="2"/>
  <c r="P220" i="2"/>
  <c r="O220" i="2"/>
  <c r="N220" i="2"/>
  <c r="M220" i="2"/>
  <c r="L220" i="2"/>
  <c r="Q219" i="2"/>
  <c r="P219" i="2"/>
  <c r="O219" i="2"/>
  <c r="N219" i="2"/>
  <c r="M219" i="2"/>
  <c r="L219" i="2"/>
  <c r="Q218" i="2"/>
  <c r="P218" i="2"/>
  <c r="O218" i="2"/>
  <c r="N218" i="2"/>
  <c r="M218" i="2"/>
  <c r="L218" i="2"/>
  <c r="Q217" i="2"/>
  <c r="P217" i="2"/>
  <c r="O217" i="2"/>
  <c r="N217" i="2"/>
  <c r="M217" i="2"/>
  <c r="L217" i="2"/>
  <c r="Q216" i="2"/>
  <c r="P216" i="2"/>
  <c r="O216" i="2"/>
  <c r="N216" i="2"/>
  <c r="M216" i="2"/>
  <c r="L216" i="2"/>
  <c r="Q215" i="2"/>
  <c r="P215" i="2"/>
  <c r="O215" i="2"/>
  <c r="N215" i="2"/>
  <c r="M215" i="2"/>
  <c r="L215" i="2"/>
  <c r="Q214" i="2"/>
  <c r="P214" i="2"/>
  <c r="O214" i="2"/>
  <c r="N214" i="2"/>
  <c r="M214" i="2"/>
  <c r="L214" i="2"/>
  <c r="Q213" i="2"/>
  <c r="P213" i="2"/>
  <c r="O213" i="2"/>
  <c r="N213" i="2"/>
  <c r="M213" i="2"/>
  <c r="L213" i="2"/>
  <c r="Q212" i="2"/>
  <c r="P212" i="2"/>
  <c r="O212" i="2"/>
  <c r="N212" i="2"/>
  <c r="M212" i="2"/>
  <c r="L212" i="2"/>
  <c r="Q211" i="2"/>
  <c r="P211" i="2"/>
  <c r="O211" i="2"/>
  <c r="N211" i="2"/>
  <c r="M211" i="2"/>
  <c r="L211" i="2"/>
  <c r="Q210" i="2"/>
  <c r="P210" i="2"/>
  <c r="O210" i="2"/>
  <c r="N210" i="2"/>
  <c r="M210" i="2"/>
  <c r="L210" i="2"/>
  <c r="Q209" i="2"/>
  <c r="P209" i="2"/>
  <c r="O209" i="2"/>
  <c r="N209" i="2"/>
  <c r="M209" i="2"/>
  <c r="L209" i="2"/>
  <c r="Q208" i="2"/>
  <c r="P208" i="2"/>
  <c r="O208" i="2"/>
  <c r="N208" i="2"/>
  <c r="M208" i="2"/>
  <c r="L208" i="2"/>
  <c r="Q207" i="2"/>
  <c r="P207" i="2"/>
  <c r="O207" i="2"/>
  <c r="N207" i="2"/>
  <c r="M207" i="2"/>
  <c r="L207" i="2"/>
  <c r="Q206" i="2"/>
  <c r="P206" i="2"/>
  <c r="O206" i="2"/>
  <c r="N206" i="2"/>
  <c r="M206" i="2"/>
  <c r="L206" i="2"/>
  <c r="J206" i="2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J222" i="2" s="1"/>
  <c r="J223" i="2" s="1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J234" i="2" s="1"/>
  <c r="J235" i="2" s="1"/>
  <c r="J236" i="2" s="1"/>
  <c r="J237" i="2" s="1"/>
  <c r="J238" i="2" s="1"/>
  <c r="J239" i="2" s="1"/>
  <c r="J240" i="2" s="1"/>
  <c r="J241" i="2" s="1"/>
  <c r="J242" i="2" s="1"/>
  <c r="J243" i="2" s="1"/>
  <c r="J244" i="2" s="1"/>
  <c r="Q205" i="2"/>
  <c r="P205" i="2"/>
  <c r="O205" i="2"/>
  <c r="N205" i="2"/>
  <c r="M205" i="2"/>
  <c r="L205" i="2"/>
  <c r="Q204" i="2"/>
  <c r="P204" i="2"/>
  <c r="O204" i="2"/>
  <c r="N204" i="2"/>
  <c r="M204" i="2"/>
  <c r="L204" i="2"/>
  <c r="Q203" i="2"/>
  <c r="P203" i="2"/>
  <c r="O203" i="2"/>
  <c r="N203" i="2"/>
  <c r="M203" i="2"/>
  <c r="L203" i="2"/>
  <c r="Q202" i="2"/>
  <c r="P202" i="2"/>
  <c r="O202" i="2"/>
  <c r="N202" i="2"/>
  <c r="M202" i="2"/>
  <c r="L202" i="2"/>
  <c r="Q201" i="2"/>
  <c r="P201" i="2"/>
  <c r="O201" i="2"/>
  <c r="N201" i="2"/>
  <c r="M201" i="2"/>
  <c r="L201" i="2"/>
  <c r="Q200" i="2"/>
  <c r="P200" i="2"/>
  <c r="O200" i="2"/>
  <c r="N200" i="2"/>
  <c r="M200" i="2"/>
  <c r="L200" i="2"/>
  <c r="Q199" i="2"/>
  <c r="P199" i="2"/>
  <c r="O199" i="2"/>
  <c r="N199" i="2"/>
  <c r="M199" i="2"/>
  <c r="L199" i="2"/>
  <c r="Q198" i="2"/>
  <c r="P198" i="2"/>
  <c r="O198" i="2"/>
  <c r="N198" i="2"/>
  <c r="M198" i="2"/>
  <c r="L198" i="2"/>
  <c r="Q197" i="2"/>
  <c r="P197" i="2"/>
  <c r="O197" i="2"/>
  <c r="N197" i="2"/>
  <c r="M197" i="2"/>
  <c r="L197" i="2"/>
  <c r="Q196" i="2"/>
  <c r="P196" i="2"/>
  <c r="O196" i="2"/>
  <c r="N196" i="2"/>
  <c r="M196" i="2"/>
  <c r="L196" i="2"/>
  <c r="Q195" i="2"/>
  <c r="P195" i="2"/>
  <c r="O195" i="2"/>
  <c r="N195" i="2"/>
  <c r="M195" i="2"/>
  <c r="L195" i="2"/>
  <c r="Q194" i="2"/>
  <c r="P194" i="2"/>
  <c r="O194" i="2"/>
  <c r="N194" i="2"/>
  <c r="M194" i="2"/>
  <c r="L194" i="2"/>
  <c r="Q193" i="2"/>
  <c r="P193" i="2"/>
  <c r="O193" i="2"/>
  <c r="N193" i="2"/>
  <c r="M193" i="2"/>
  <c r="L193" i="2"/>
  <c r="Q192" i="2"/>
  <c r="P192" i="2"/>
  <c r="O192" i="2"/>
  <c r="N192" i="2"/>
  <c r="M192" i="2"/>
  <c r="L192" i="2"/>
  <c r="Q191" i="2"/>
  <c r="P191" i="2"/>
  <c r="O191" i="2"/>
  <c r="N191" i="2"/>
  <c r="M191" i="2"/>
  <c r="L191" i="2"/>
  <c r="Q190" i="2"/>
  <c r="P190" i="2"/>
  <c r="O190" i="2"/>
  <c r="N190" i="2"/>
  <c r="M190" i="2"/>
  <c r="L190" i="2"/>
  <c r="Q189" i="2"/>
  <c r="P189" i="2"/>
  <c r="O189" i="2"/>
  <c r="N189" i="2"/>
  <c r="M189" i="2"/>
  <c r="L189" i="2"/>
  <c r="Q188" i="2"/>
  <c r="P188" i="2"/>
  <c r="O188" i="2"/>
  <c r="N188" i="2"/>
  <c r="M188" i="2"/>
  <c r="L188" i="2"/>
  <c r="Q187" i="2"/>
  <c r="P187" i="2"/>
  <c r="O187" i="2"/>
  <c r="N187" i="2"/>
  <c r="M187" i="2"/>
  <c r="L187" i="2"/>
  <c r="Q186" i="2"/>
  <c r="P186" i="2"/>
  <c r="O186" i="2"/>
  <c r="N186" i="2"/>
  <c r="M186" i="2"/>
  <c r="L186" i="2"/>
  <c r="Q185" i="2"/>
  <c r="P185" i="2"/>
  <c r="O185" i="2"/>
  <c r="N185" i="2"/>
  <c r="M185" i="2"/>
  <c r="L185" i="2"/>
  <c r="Q184" i="2"/>
  <c r="P184" i="2"/>
  <c r="O184" i="2"/>
  <c r="N184" i="2"/>
  <c r="M184" i="2"/>
  <c r="L184" i="2"/>
  <c r="Q183" i="2"/>
  <c r="P183" i="2"/>
  <c r="O183" i="2"/>
  <c r="N183" i="2"/>
  <c r="M183" i="2"/>
  <c r="L183" i="2"/>
  <c r="Q182" i="2"/>
  <c r="P182" i="2"/>
  <c r="O182" i="2"/>
  <c r="N182" i="2"/>
  <c r="M182" i="2"/>
  <c r="L182" i="2"/>
  <c r="Q181" i="2"/>
  <c r="P181" i="2"/>
  <c r="O181" i="2"/>
  <c r="N181" i="2"/>
  <c r="M181" i="2"/>
  <c r="L181" i="2"/>
  <c r="Q180" i="2"/>
  <c r="P180" i="2"/>
  <c r="O180" i="2"/>
  <c r="M180" i="2"/>
  <c r="L180" i="2"/>
  <c r="Q179" i="2"/>
  <c r="P179" i="2"/>
  <c r="O179" i="2"/>
  <c r="M179" i="2"/>
  <c r="L179" i="2"/>
  <c r="Q178" i="2"/>
  <c r="P178" i="2"/>
  <c r="O178" i="2"/>
  <c r="M178" i="2"/>
  <c r="L178" i="2"/>
  <c r="Q177" i="2"/>
  <c r="P177" i="2"/>
  <c r="O177" i="2"/>
  <c r="M177" i="2"/>
  <c r="L177" i="2"/>
  <c r="Q176" i="2"/>
  <c r="P176" i="2"/>
  <c r="O176" i="2"/>
  <c r="M176" i="2"/>
  <c r="L176" i="2"/>
  <c r="Q175" i="2"/>
  <c r="P175" i="2"/>
  <c r="O175" i="2"/>
  <c r="M175" i="2"/>
  <c r="L175" i="2"/>
  <c r="Q174" i="2"/>
  <c r="P174" i="2"/>
  <c r="O174" i="2"/>
  <c r="M174" i="2"/>
  <c r="L174" i="2"/>
  <c r="Q173" i="2"/>
  <c r="P173" i="2"/>
  <c r="O173" i="2"/>
  <c r="M173" i="2"/>
  <c r="L173" i="2"/>
  <c r="Q172" i="2"/>
  <c r="P172" i="2"/>
  <c r="O172" i="2"/>
  <c r="M172" i="2"/>
  <c r="L172" i="2"/>
  <c r="Q171" i="2"/>
  <c r="P171" i="2"/>
  <c r="O171" i="2"/>
  <c r="M171" i="2"/>
  <c r="L171" i="2"/>
  <c r="Q170" i="2"/>
  <c r="P170" i="2"/>
  <c r="O170" i="2"/>
  <c r="M170" i="2"/>
  <c r="L170" i="2"/>
  <c r="Q169" i="2"/>
  <c r="P169" i="2"/>
  <c r="O169" i="2"/>
  <c r="M169" i="2"/>
  <c r="L169" i="2"/>
  <c r="Q168" i="2"/>
  <c r="P168" i="2"/>
  <c r="O168" i="2"/>
  <c r="M168" i="2"/>
  <c r="L168" i="2"/>
  <c r="Q167" i="2"/>
  <c r="P167" i="2"/>
  <c r="O167" i="2"/>
  <c r="M167" i="2"/>
  <c r="L167" i="2"/>
  <c r="Q166" i="2"/>
  <c r="P166" i="2"/>
  <c r="O166" i="2"/>
  <c r="N166" i="2"/>
  <c r="M166" i="2"/>
  <c r="L166" i="2"/>
  <c r="Q165" i="2"/>
  <c r="P165" i="2"/>
  <c r="O165" i="2"/>
  <c r="N165" i="2"/>
  <c r="M165" i="2"/>
  <c r="L165" i="2"/>
  <c r="Q164" i="2"/>
  <c r="P164" i="2"/>
  <c r="O164" i="2"/>
  <c r="N164" i="2"/>
  <c r="M164" i="2"/>
  <c r="L164" i="2"/>
  <c r="Q163" i="2"/>
  <c r="P163" i="2"/>
  <c r="O163" i="2"/>
  <c r="M163" i="2"/>
  <c r="L163" i="2"/>
  <c r="Q162" i="2"/>
  <c r="P162" i="2"/>
  <c r="O162" i="2"/>
  <c r="M162" i="2"/>
  <c r="L162" i="2"/>
  <c r="Q161" i="2"/>
  <c r="P161" i="2"/>
  <c r="O161" i="2"/>
  <c r="M161" i="2"/>
  <c r="L161" i="2"/>
  <c r="Q160" i="2"/>
  <c r="P160" i="2"/>
  <c r="O160" i="2"/>
  <c r="M160" i="2"/>
  <c r="L160" i="2"/>
  <c r="Q159" i="2"/>
  <c r="P159" i="2"/>
  <c r="O159" i="2"/>
  <c r="M159" i="2"/>
  <c r="L159" i="2"/>
  <c r="Q158" i="2"/>
  <c r="P158" i="2"/>
  <c r="O158" i="2"/>
  <c r="M158" i="2"/>
  <c r="L158" i="2"/>
  <c r="Q157" i="2"/>
  <c r="P157" i="2"/>
  <c r="O157" i="2"/>
  <c r="M157" i="2"/>
  <c r="L157" i="2"/>
  <c r="Q156" i="2"/>
  <c r="P156" i="2"/>
  <c r="O156" i="2"/>
  <c r="M156" i="2"/>
  <c r="L156" i="2"/>
  <c r="Q155" i="2"/>
  <c r="P155" i="2"/>
  <c r="O155" i="2"/>
  <c r="M155" i="2"/>
  <c r="L155" i="2"/>
  <c r="Q154" i="2"/>
  <c r="P154" i="2"/>
  <c r="O154" i="2"/>
  <c r="M154" i="2"/>
  <c r="L154" i="2"/>
  <c r="Q153" i="2"/>
  <c r="P153" i="2"/>
  <c r="O153" i="2"/>
  <c r="M153" i="2"/>
  <c r="L153" i="2"/>
  <c r="Q152" i="2"/>
  <c r="P152" i="2"/>
  <c r="O152" i="2"/>
  <c r="M152" i="2"/>
  <c r="L152" i="2"/>
  <c r="Q151" i="2"/>
  <c r="P151" i="2"/>
  <c r="O151" i="2"/>
  <c r="M151" i="2"/>
  <c r="L151" i="2"/>
  <c r="Q150" i="2"/>
  <c r="P150" i="2"/>
  <c r="O150" i="2"/>
  <c r="M150" i="2"/>
  <c r="L150" i="2"/>
  <c r="Q149" i="2"/>
  <c r="P149" i="2"/>
  <c r="O149" i="2"/>
  <c r="M149" i="2"/>
  <c r="L149" i="2"/>
  <c r="Q148" i="2"/>
  <c r="P148" i="2"/>
  <c r="O148" i="2"/>
  <c r="M148" i="2"/>
  <c r="L148" i="2"/>
  <c r="Q147" i="2"/>
  <c r="P147" i="2"/>
  <c r="O147" i="2"/>
  <c r="M147" i="2"/>
  <c r="L147" i="2"/>
  <c r="Q146" i="2"/>
  <c r="P146" i="2"/>
  <c r="O146" i="2"/>
  <c r="M146" i="2"/>
  <c r="L146" i="2"/>
  <c r="Q145" i="2"/>
  <c r="P145" i="2"/>
  <c r="O145" i="2"/>
  <c r="M145" i="2"/>
  <c r="L145" i="2"/>
  <c r="Q144" i="2"/>
  <c r="P144" i="2"/>
  <c r="O144" i="2"/>
  <c r="M144" i="2"/>
  <c r="L144" i="2"/>
  <c r="Q143" i="2"/>
  <c r="P143" i="2"/>
  <c r="O143" i="2"/>
  <c r="M143" i="2"/>
  <c r="L143" i="2"/>
  <c r="Q142" i="2"/>
  <c r="P142" i="2"/>
  <c r="O142" i="2"/>
  <c r="M142" i="2"/>
  <c r="L142" i="2"/>
  <c r="Q141" i="2"/>
  <c r="P141" i="2"/>
  <c r="O141" i="2"/>
  <c r="M141" i="2"/>
  <c r="L141" i="2"/>
  <c r="Q140" i="2"/>
  <c r="P140" i="2"/>
  <c r="O140" i="2"/>
  <c r="M140" i="2"/>
  <c r="L140" i="2"/>
  <c r="Q139" i="2"/>
  <c r="P139" i="2"/>
  <c r="O139" i="2"/>
  <c r="M139" i="2"/>
  <c r="L139" i="2"/>
  <c r="Q138" i="2"/>
  <c r="P138" i="2"/>
  <c r="O138" i="2"/>
  <c r="M138" i="2"/>
  <c r="L138" i="2"/>
  <c r="Q137" i="2"/>
  <c r="P137" i="2"/>
  <c r="O137" i="2"/>
  <c r="M137" i="2"/>
  <c r="L137" i="2"/>
  <c r="Q136" i="2"/>
  <c r="P136" i="2"/>
  <c r="O136" i="2"/>
  <c r="M136" i="2"/>
  <c r="L136" i="2"/>
  <c r="Q135" i="2"/>
  <c r="P135" i="2"/>
  <c r="O135" i="2"/>
  <c r="M135" i="2"/>
  <c r="L135" i="2"/>
  <c r="Q134" i="2"/>
  <c r="P134" i="2"/>
  <c r="O134" i="2"/>
  <c r="M134" i="2"/>
  <c r="L134" i="2"/>
  <c r="Q133" i="2"/>
  <c r="P133" i="2"/>
  <c r="O133" i="2"/>
  <c r="N133" i="2"/>
  <c r="M133" i="2"/>
  <c r="L133" i="2"/>
  <c r="Q132" i="2"/>
  <c r="P132" i="2"/>
  <c r="O132" i="2"/>
  <c r="N132" i="2"/>
  <c r="M132" i="2"/>
  <c r="L132" i="2"/>
  <c r="Q131" i="2"/>
  <c r="P131" i="2"/>
  <c r="O131" i="2"/>
  <c r="N131" i="2"/>
  <c r="M131" i="2"/>
  <c r="L131" i="2"/>
  <c r="Q130" i="2"/>
  <c r="P130" i="2"/>
  <c r="O130" i="2"/>
  <c r="N130" i="2"/>
  <c r="M130" i="2"/>
  <c r="L130" i="2"/>
  <c r="Q129" i="2"/>
  <c r="P129" i="2"/>
  <c r="O129" i="2"/>
  <c r="N129" i="2"/>
  <c r="M129" i="2"/>
  <c r="L129" i="2"/>
  <c r="Q128" i="2"/>
  <c r="P128" i="2"/>
  <c r="O128" i="2"/>
  <c r="N128" i="2"/>
  <c r="M128" i="2"/>
  <c r="L128" i="2"/>
  <c r="Q127" i="2"/>
  <c r="P127" i="2"/>
  <c r="O127" i="2"/>
  <c r="N127" i="2"/>
  <c r="M127" i="2"/>
  <c r="L127" i="2"/>
  <c r="Q126" i="2"/>
  <c r="P126" i="2"/>
  <c r="O126" i="2"/>
  <c r="N126" i="2"/>
  <c r="M126" i="2"/>
  <c r="L126" i="2"/>
  <c r="Q125" i="2"/>
  <c r="P125" i="2"/>
  <c r="O125" i="2"/>
  <c r="N125" i="2"/>
  <c r="M125" i="2"/>
  <c r="L125" i="2"/>
  <c r="Q124" i="2"/>
  <c r="P124" i="2"/>
  <c r="O124" i="2"/>
  <c r="N124" i="2"/>
  <c r="M124" i="2"/>
  <c r="L124" i="2"/>
  <c r="Q123" i="2"/>
  <c r="P123" i="2"/>
  <c r="O123" i="2"/>
  <c r="N123" i="2"/>
  <c r="M123" i="2"/>
  <c r="L123" i="2"/>
  <c r="Q122" i="2"/>
  <c r="P122" i="2"/>
  <c r="O122" i="2"/>
  <c r="N122" i="2"/>
  <c r="M122" i="2"/>
  <c r="L122" i="2"/>
  <c r="Q121" i="2"/>
  <c r="P121" i="2"/>
  <c r="O121" i="2"/>
  <c r="N121" i="2"/>
  <c r="M121" i="2"/>
  <c r="L121" i="2"/>
  <c r="Q120" i="2"/>
  <c r="P120" i="2"/>
  <c r="O120" i="2"/>
  <c r="N120" i="2"/>
  <c r="M120" i="2"/>
  <c r="L120" i="2"/>
  <c r="Q119" i="2"/>
  <c r="P119" i="2"/>
  <c r="O119" i="2"/>
  <c r="N119" i="2"/>
  <c r="M119" i="2"/>
  <c r="L119" i="2"/>
  <c r="Q118" i="2"/>
  <c r="P118" i="2"/>
  <c r="O118" i="2"/>
  <c r="N118" i="2"/>
  <c r="M118" i="2"/>
  <c r="L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Q115" i="2"/>
  <c r="P115" i="2"/>
  <c r="O115" i="2"/>
  <c r="N115" i="2"/>
  <c r="M115" i="2"/>
  <c r="L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N100" i="2"/>
  <c r="M100" i="2"/>
  <c r="L100" i="2"/>
  <c r="Q99" i="2"/>
  <c r="P99" i="2"/>
  <c r="O99" i="2"/>
  <c r="N99" i="2"/>
  <c r="M99" i="2"/>
  <c r="L99" i="2"/>
  <c r="Q98" i="2"/>
  <c r="P98" i="2"/>
  <c r="O98" i="2"/>
  <c r="N98" i="2"/>
  <c r="M98" i="2"/>
  <c r="L98" i="2"/>
  <c r="Q97" i="2"/>
  <c r="P97" i="2"/>
  <c r="O97" i="2"/>
  <c r="N97" i="2"/>
  <c r="M97" i="2"/>
  <c r="L97" i="2"/>
  <c r="Q96" i="2"/>
  <c r="P96" i="2"/>
  <c r="O96" i="2"/>
  <c r="N96" i="2"/>
  <c r="M96" i="2"/>
  <c r="L96" i="2"/>
  <c r="Q95" i="2"/>
  <c r="P95" i="2"/>
  <c r="O95" i="2"/>
  <c r="N95" i="2"/>
  <c r="M95" i="2"/>
  <c r="L95" i="2"/>
  <c r="Q94" i="2"/>
  <c r="P94" i="2"/>
  <c r="O94" i="2"/>
  <c r="N94" i="2"/>
  <c r="M94" i="2"/>
  <c r="L94" i="2"/>
  <c r="Q93" i="2"/>
  <c r="P93" i="2"/>
  <c r="O93" i="2"/>
  <c r="N93" i="2"/>
  <c r="M93" i="2"/>
  <c r="L93" i="2"/>
  <c r="Q92" i="2"/>
  <c r="P92" i="2"/>
  <c r="O92" i="2"/>
  <c r="N92" i="2"/>
  <c r="M92" i="2"/>
  <c r="L92" i="2"/>
  <c r="Q91" i="2"/>
  <c r="P91" i="2"/>
  <c r="O91" i="2"/>
  <c r="N91" i="2"/>
  <c r="M91" i="2"/>
  <c r="L91" i="2"/>
  <c r="Q90" i="2"/>
  <c r="P90" i="2"/>
  <c r="O90" i="2"/>
  <c r="N90" i="2"/>
  <c r="M90" i="2"/>
  <c r="L90" i="2"/>
  <c r="Q89" i="2"/>
  <c r="P89" i="2"/>
  <c r="O89" i="2"/>
  <c r="N89" i="2"/>
  <c r="M89" i="2"/>
  <c r="L89" i="2"/>
  <c r="Q88" i="2"/>
  <c r="P88" i="2"/>
  <c r="O88" i="2"/>
  <c r="N88" i="2"/>
  <c r="M88" i="2"/>
  <c r="L88" i="2"/>
  <c r="Q87" i="2"/>
  <c r="P87" i="2"/>
  <c r="O87" i="2"/>
  <c r="N87" i="2"/>
  <c r="M87" i="2"/>
  <c r="L87" i="2"/>
  <c r="Q86" i="2"/>
  <c r="P86" i="2"/>
  <c r="O86" i="2"/>
  <c r="N86" i="2"/>
  <c r="M86" i="2"/>
  <c r="L86" i="2"/>
  <c r="Q85" i="2"/>
  <c r="P85" i="2"/>
  <c r="O85" i="2"/>
  <c r="N85" i="2"/>
  <c r="M85" i="2"/>
  <c r="L85" i="2"/>
  <c r="Q84" i="2"/>
  <c r="P84" i="2"/>
  <c r="O84" i="2"/>
  <c r="N84" i="2"/>
  <c r="M84" i="2"/>
  <c r="L84" i="2"/>
  <c r="Q83" i="2"/>
  <c r="P83" i="2"/>
  <c r="O83" i="2"/>
  <c r="N83" i="2"/>
  <c r="M83" i="2"/>
  <c r="L83" i="2"/>
  <c r="Q82" i="2"/>
  <c r="P82" i="2"/>
  <c r="O82" i="2"/>
  <c r="N82" i="2"/>
  <c r="M82" i="2"/>
  <c r="L82" i="2"/>
  <c r="Q81" i="2"/>
  <c r="P81" i="2"/>
  <c r="O81" i="2"/>
  <c r="N81" i="2"/>
  <c r="M81" i="2"/>
  <c r="L81" i="2"/>
  <c r="Q80" i="2"/>
  <c r="P80" i="2"/>
  <c r="O80" i="2"/>
  <c r="N80" i="2"/>
  <c r="M80" i="2"/>
  <c r="L80" i="2"/>
  <c r="Q79" i="2"/>
  <c r="P79" i="2"/>
  <c r="O79" i="2"/>
  <c r="N79" i="2"/>
  <c r="M79" i="2"/>
  <c r="L79" i="2"/>
  <c r="Q78" i="2"/>
  <c r="P78" i="2"/>
  <c r="O78" i="2"/>
  <c r="N78" i="2"/>
  <c r="M78" i="2"/>
  <c r="L78" i="2"/>
  <c r="Q77" i="2"/>
  <c r="P77" i="2"/>
  <c r="O77" i="2"/>
  <c r="N77" i="2"/>
  <c r="M77" i="2"/>
  <c r="L77" i="2"/>
  <c r="Q76" i="2"/>
  <c r="P76" i="2"/>
  <c r="O76" i="2"/>
  <c r="N76" i="2"/>
  <c r="M76" i="2"/>
  <c r="L76" i="2"/>
  <c r="Q75" i="2"/>
  <c r="P75" i="2"/>
  <c r="O75" i="2"/>
  <c r="N75" i="2"/>
  <c r="M75" i="2"/>
  <c r="L75" i="2"/>
  <c r="Q74" i="2"/>
  <c r="P74" i="2"/>
  <c r="O74" i="2"/>
  <c r="N74" i="2"/>
  <c r="M74" i="2"/>
  <c r="L74" i="2"/>
  <c r="Q73" i="2"/>
  <c r="P73" i="2"/>
  <c r="O73" i="2"/>
  <c r="N73" i="2"/>
  <c r="M73" i="2"/>
  <c r="L73" i="2"/>
  <c r="Q72" i="2"/>
  <c r="P72" i="2"/>
  <c r="O72" i="2"/>
  <c r="N72" i="2"/>
  <c r="M72" i="2"/>
  <c r="L72" i="2"/>
  <c r="Q71" i="2"/>
  <c r="P71" i="2"/>
  <c r="O71" i="2"/>
  <c r="N71" i="2"/>
  <c r="M71" i="2"/>
  <c r="L71" i="2"/>
  <c r="Q70" i="2"/>
  <c r="P70" i="2"/>
  <c r="O70" i="2"/>
  <c r="N70" i="2"/>
  <c r="M70" i="2"/>
  <c r="L70" i="2"/>
  <c r="Q69" i="2"/>
  <c r="P69" i="2"/>
  <c r="O69" i="2"/>
  <c r="N69" i="2"/>
  <c r="M69" i="2"/>
  <c r="L69" i="2"/>
  <c r="Q68" i="2"/>
  <c r="P68" i="2"/>
  <c r="O68" i="2"/>
  <c r="N68" i="2"/>
  <c r="M68" i="2"/>
  <c r="L68" i="2"/>
  <c r="Q67" i="2"/>
  <c r="P67" i="2"/>
  <c r="O67" i="2"/>
  <c r="N67" i="2"/>
  <c r="M67" i="2"/>
  <c r="L67" i="2"/>
  <c r="Q66" i="2"/>
  <c r="P66" i="2"/>
  <c r="O66" i="2"/>
  <c r="N66" i="2"/>
  <c r="M66" i="2"/>
  <c r="L66" i="2"/>
  <c r="Q65" i="2"/>
  <c r="P65" i="2"/>
  <c r="O65" i="2"/>
  <c r="N65" i="2"/>
  <c r="M65" i="2"/>
  <c r="L65" i="2"/>
  <c r="Q64" i="2"/>
  <c r="P64" i="2"/>
  <c r="O64" i="2"/>
  <c r="N64" i="2"/>
  <c r="M64" i="2"/>
  <c r="L64" i="2"/>
  <c r="Q63" i="2"/>
  <c r="P63" i="2"/>
  <c r="O63" i="2"/>
  <c r="N63" i="2"/>
  <c r="M63" i="2"/>
  <c r="L63" i="2"/>
  <c r="Q62" i="2"/>
  <c r="P62" i="2"/>
  <c r="O62" i="2"/>
  <c r="N62" i="2"/>
  <c r="M62" i="2"/>
  <c r="L62" i="2"/>
  <c r="Q61" i="2"/>
  <c r="P61" i="2"/>
  <c r="O61" i="2"/>
  <c r="N61" i="2"/>
  <c r="M61" i="2"/>
  <c r="L61" i="2"/>
  <c r="Q60" i="2"/>
  <c r="P60" i="2"/>
  <c r="O60" i="2"/>
  <c r="N60" i="2"/>
  <c r="M60" i="2"/>
  <c r="L60" i="2"/>
  <c r="Q59" i="2"/>
  <c r="P59" i="2"/>
  <c r="O59" i="2"/>
  <c r="N59" i="2"/>
  <c r="M59" i="2"/>
  <c r="L59" i="2"/>
  <c r="Q58" i="2"/>
  <c r="P58" i="2"/>
  <c r="O58" i="2"/>
  <c r="N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B214" i="1" s="1"/>
  <c r="P5" i="2"/>
  <c r="O5" i="2"/>
  <c r="N5" i="2"/>
  <c r="M5" i="2"/>
  <c r="L5" i="2"/>
  <c r="J5" i="2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105" i="2" s="1"/>
  <c r="J106" i="2" s="1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128" i="2" s="1"/>
  <c r="J129" i="2" s="1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49" i="2" s="1"/>
  <c r="J150" i="2" s="1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J167" i="2" s="1"/>
  <c r="J168" i="2" s="1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J184" i="2" s="1"/>
  <c r="J185" i="2" s="1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J199" i="2" s="1"/>
  <c r="J200" i="2" s="1"/>
  <c r="J201" i="2" s="1"/>
  <c r="J202" i="2" s="1"/>
  <c r="J203" i="2" s="1"/>
  <c r="J204" i="2" s="1"/>
  <c r="J205" i="2" s="1"/>
  <c r="Q4" i="2"/>
  <c r="P4" i="2"/>
  <c r="D181" i="1" s="1"/>
  <c r="O4" i="2"/>
  <c r="N4" i="2"/>
  <c r="M4" i="2"/>
  <c r="L4" i="2"/>
  <c r="J4" i="2"/>
  <c r="B217" i="1"/>
  <c r="A210" i="1"/>
  <c r="B175" i="1"/>
  <c r="C166" i="1"/>
  <c r="B159" i="1"/>
  <c r="C150" i="1"/>
  <c r="D141" i="1"/>
  <c r="D133" i="1"/>
  <c r="D125" i="1"/>
  <c r="D117" i="1"/>
  <c r="D109" i="1"/>
  <c r="D101" i="1"/>
  <c r="D93" i="1"/>
  <c r="D85" i="1"/>
  <c r="D77" i="1"/>
  <c r="D69" i="1"/>
  <c r="D61" i="1"/>
  <c r="D53" i="1"/>
  <c r="D46" i="1"/>
  <c r="D44" i="1"/>
  <c r="D42" i="1"/>
  <c r="D40" i="1"/>
  <c r="D38" i="1"/>
  <c r="D36" i="1"/>
  <c r="D34" i="1"/>
  <c r="D32" i="1"/>
  <c r="D30" i="1"/>
  <c r="D28" i="1"/>
  <c r="D26" i="1"/>
  <c r="D24" i="1"/>
  <c r="D22" i="1"/>
  <c r="D20" i="1"/>
  <c r="D18" i="1"/>
  <c r="D16" i="1"/>
  <c r="D14" i="1"/>
  <c r="D12" i="1"/>
  <c r="D10" i="1"/>
  <c r="D8" i="1"/>
  <c r="E6" i="1"/>
  <c r="A6" i="1"/>
  <c r="D108" i="6" l="1"/>
  <c r="B73" i="1"/>
  <c r="A287" i="1"/>
  <c r="B6" i="1"/>
  <c r="B7" i="1"/>
  <c r="B9" i="1"/>
  <c r="B11" i="1"/>
  <c r="B13" i="1"/>
  <c r="B15" i="1"/>
  <c r="B17" i="1"/>
  <c r="B19" i="1"/>
  <c r="B21" i="1"/>
  <c r="B23" i="1"/>
  <c r="B25" i="1"/>
  <c r="B27" i="1"/>
  <c r="B29" i="1"/>
  <c r="B31" i="1"/>
  <c r="B33" i="1"/>
  <c r="B35" i="1"/>
  <c r="B37" i="1"/>
  <c r="B39" i="1"/>
  <c r="B41" i="1"/>
  <c r="B43" i="1"/>
  <c r="B45" i="1"/>
  <c r="B48" i="1"/>
  <c r="B56" i="1"/>
  <c r="B64" i="1"/>
  <c r="B72" i="1"/>
  <c r="B80" i="1"/>
  <c r="B88" i="1"/>
  <c r="B96" i="1"/>
  <c r="B104" i="1"/>
  <c r="B112" i="1"/>
  <c r="B120" i="1"/>
  <c r="B128" i="1"/>
  <c r="B136" i="1"/>
  <c r="B144" i="1"/>
  <c r="A152" i="1"/>
  <c r="A161" i="1"/>
  <c r="A168" i="1"/>
  <c r="A177" i="1"/>
  <c r="B211" i="1"/>
  <c r="E219" i="1"/>
  <c r="C6" i="1"/>
  <c r="D11" i="1"/>
  <c r="D15" i="1"/>
  <c r="D19" i="1"/>
  <c r="D23" i="1"/>
  <c r="D29" i="1"/>
  <c r="D33" i="1"/>
  <c r="D37" i="1"/>
  <c r="D41" i="1"/>
  <c r="D45" i="1"/>
  <c r="D57" i="1"/>
  <c r="D73" i="1"/>
  <c r="D89" i="1"/>
  <c r="D97" i="1"/>
  <c r="D105" i="1"/>
  <c r="D121" i="1"/>
  <c r="D129" i="1"/>
  <c r="D137" i="1"/>
  <c r="D145" i="1"/>
  <c r="E155" i="1"/>
  <c r="E162" i="1"/>
  <c r="E171" i="1"/>
  <c r="B179" i="1"/>
  <c r="E212" i="1"/>
  <c r="A223" i="1"/>
  <c r="B77" i="1"/>
  <c r="D7" i="1"/>
  <c r="D9" i="1"/>
  <c r="D13" i="1"/>
  <c r="D17" i="1"/>
  <c r="D21" i="1"/>
  <c r="D25" i="1"/>
  <c r="D27" i="1"/>
  <c r="D31" i="1"/>
  <c r="D35" i="1"/>
  <c r="D39" i="1"/>
  <c r="D43" i="1"/>
  <c r="D49" i="1"/>
  <c r="D65" i="1"/>
  <c r="D81" i="1"/>
  <c r="D113" i="1"/>
  <c r="D6" i="1"/>
  <c r="F6" i="1" s="1"/>
  <c r="B8" i="1"/>
  <c r="B10" i="1"/>
  <c r="B12" i="1"/>
  <c r="B14" i="1"/>
  <c r="B16" i="1"/>
  <c r="B18" i="1"/>
  <c r="B20" i="1"/>
  <c r="B22" i="1"/>
  <c r="B24" i="1"/>
  <c r="B26" i="1"/>
  <c r="B28" i="1"/>
  <c r="B30" i="1"/>
  <c r="B32" i="1"/>
  <c r="B34" i="1"/>
  <c r="B36" i="1"/>
  <c r="B38" i="1"/>
  <c r="B40" i="1"/>
  <c r="B42" i="1"/>
  <c r="B44" i="1"/>
  <c r="B46" i="1"/>
  <c r="B52" i="1"/>
  <c r="B60" i="1"/>
  <c r="B68" i="1"/>
  <c r="B76" i="1"/>
  <c r="B84" i="1"/>
  <c r="B92" i="1"/>
  <c r="B100" i="1"/>
  <c r="B108" i="1"/>
  <c r="B116" i="1"/>
  <c r="B124" i="1"/>
  <c r="B132" i="1"/>
  <c r="B140" i="1"/>
  <c r="D148" i="1"/>
  <c r="C157" i="1"/>
  <c r="D164" i="1"/>
  <c r="C173" i="1"/>
  <c r="B257" i="1"/>
  <c r="B198" i="1"/>
  <c r="B274" i="1"/>
  <c r="D291" i="1"/>
  <c r="D200" i="1"/>
  <c r="E188" i="1"/>
  <c r="C240" i="1"/>
  <c r="D227" i="1"/>
  <c r="C244" i="1"/>
  <c r="C261" i="1"/>
  <c r="E278" i="1"/>
  <c r="D295" i="1"/>
  <c r="B305" i="1"/>
  <c r="E298" i="1"/>
  <c r="E282" i="1"/>
  <c r="D231" i="1"/>
  <c r="D248" i="1"/>
  <c r="A266" i="1"/>
  <c r="A303" i="1"/>
  <c r="E235" i="1"/>
  <c r="B253" i="1"/>
  <c r="A270" i="1"/>
  <c r="B191" i="1"/>
  <c r="C205" i="1"/>
  <c r="A184" i="1"/>
  <c r="C193" i="1"/>
  <c r="B186" i="1"/>
  <c r="B47" i="1"/>
  <c r="D48" i="1"/>
  <c r="B51" i="1"/>
  <c r="D52" i="1"/>
  <c r="B55" i="1"/>
  <c r="D56" i="1"/>
  <c r="B59" i="1"/>
  <c r="D60" i="1"/>
  <c r="B63" i="1"/>
  <c r="D64" i="1"/>
  <c r="B67" i="1"/>
  <c r="D68" i="1"/>
  <c r="B71" i="1"/>
  <c r="D72" i="1"/>
  <c r="B75" i="1"/>
  <c r="D76" i="1"/>
  <c r="B79" i="1"/>
  <c r="D80" i="1"/>
  <c r="B83" i="1"/>
  <c r="D84" i="1"/>
  <c r="B87" i="1"/>
  <c r="D88" i="1"/>
  <c r="B91" i="1"/>
  <c r="D92" i="1"/>
  <c r="B95" i="1"/>
  <c r="D96" i="1"/>
  <c r="B99" i="1"/>
  <c r="D100" i="1"/>
  <c r="B103" i="1"/>
  <c r="D104" i="1"/>
  <c r="B107" i="1"/>
  <c r="D108" i="1"/>
  <c r="B111" i="1"/>
  <c r="D112" i="1"/>
  <c r="B115" i="1"/>
  <c r="D116" i="1"/>
  <c r="B119" i="1"/>
  <c r="D120" i="1"/>
  <c r="B123" i="1"/>
  <c r="D124" i="1"/>
  <c r="B127" i="1"/>
  <c r="D128" i="1"/>
  <c r="B131" i="1"/>
  <c r="D132" i="1"/>
  <c r="B135" i="1"/>
  <c r="D136" i="1"/>
  <c r="B139" i="1"/>
  <c r="D140" i="1"/>
  <c r="B143" i="1"/>
  <c r="D144" i="1"/>
  <c r="B147" i="1"/>
  <c r="A149" i="1"/>
  <c r="E150" i="1"/>
  <c r="D152" i="1"/>
  <c r="C154" i="1"/>
  <c r="A156" i="1"/>
  <c r="E159" i="1"/>
  <c r="C161" i="1"/>
  <c r="B163" i="1"/>
  <c r="A165" i="1"/>
  <c r="E166" i="1"/>
  <c r="D168" i="1"/>
  <c r="C170" i="1"/>
  <c r="A172" i="1"/>
  <c r="E175" i="1"/>
  <c r="C177" i="1"/>
  <c r="B182" i="1"/>
  <c r="D184" i="1"/>
  <c r="C189" i="1"/>
  <c r="D191" i="1"/>
  <c r="A194" i="1"/>
  <c r="D196" i="1"/>
  <c r="E198" i="1"/>
  <c r="B201" i="1"/>
  <c r="D203" i="1"/>
  <c r="A212" i="1"/>
  <c r="A215" i="1"/>
  <c r="D217" i="1"/>
  <c r="D220" i="1"/>
  <c r="C224" i="1"/>
  <c r="C228" i="1"/>
  <c r="D232" i="1"/>
  <c r="B237" i="1"/>
  <c r="B241" i="1"/>
  <c r="C245" i="1"/>
  <c r="A250" i="1"/>
  <c r="A254" i="1"/>
  <c r="B258" i="1"/>
  <c r="E262" i="1"/>
  <c r="E266" i="1"/>
  <c r="A271" i="1"/>
  <c r="D275" i="1"/>
  <c r="D279" i="1"/>
  <c r="E283" i="1"/>
  <c r="C288" i="1"/>
  <c r="C292" i="1"/>
  <c r="D296" i="1"/>
  <c r="D205" i="1"/>
  <c r="D204" i="1"/>
  <c r="B203" i="1"/>
  <c r="A202" i="1"/>
  <c r="D199" i="1"/>
  <c r="D198" i="1"/>
  <c r="C197" i="1"/>
  <c r="A196" i="1"/>
  <c r="D192" i="1"/>
  <c r="C191" i="1"/>
  <c r="B190" i="1"/>
  <c r="E186" i="1"/>
  <c r="C185" i="1"/>
  <c r="B184" i="1"/>
  <c r="B183" i="1"/>
  <c r="E180" i="1"/>
  <c r="D179" i="1"/>
  <c r="B178" i="1"/>
  <c r="B177" i="1"/>
  <c r="C176" i="1"/>
  <c r="C175" i="1"/>
  <c r="D174" i="1"/>
  <c r="E173" i="1"/>
  <c r="E172" i="1"/>
  <c r="A171" i="1"/>
  <c r="A170" i="1"/>
  <c r="B169" i="1"/>
  <c r="C168" i="1"/>
  <c r="C167" i="1"/>
  <c r="D166" i="1"/>
  <c r="E165" i="1"/>
  <c r="E164" i="1"/>
  <c r="A163" i="1"/>
  <c r="A162" i="1"/>
  <c r="B161" i="1"/>
  <c r="C160" i="1"/>
  <c r="C159" i="1"/>
  <c r="D158" i="1"/>
  <c r="E157" i="1"/>
  <c r="E156" i="1"/>
  <c r="A155" i="1"/>
  <c r="A154" i="1"/>
  <c r="B153" i="1"/>
  <c r="C152" i="1"/>
  <c r="C151" i="1"/>
  <c r="D150" i="1"/>
  <c r="E149" i="1"/>
  <c r="E148" i="1"/>
  <c r="A147" i="1"/>
  <c r="C146" i="1"/>
  <c r="E145" i="1"/>
  <c r="A145" i="1"/>
  <c r="C144" i="1"/>
  <c r="E143" i="1"/>
  <c r="A143" i="1"/>
  <c r="C142" i="1"/>
  <c r="E141" i="1"/>
  <c r="A141" i="1"/>
  <c r="C140" i="1"/>
  <c r="E139" i="1"/>
  <c r="A139" i="1"/>
  <c r="C138" i="1"/>
  <c r="E137" i="1"/>
  <c r="A137" i="1"/>
  <c r="C136" i="1"/>
  <c r="E135" i="1"/>
  <c r="A135" i="1"/>
  <c r="C134" i="1"/>
  <c r="E133" i="1"/>
  <c r="A133" i="1"/>
  <c r="C132" i="1"/>
  <c r="E131" i="1"/>
  <c r="A131" i="1"/>
  <c r="C130" i="1"/>
  <c r="E129" i="1"/>
  <c r="A129" i="1"/>
  <c r="C128" i="1"/>
  <c r="E127" i="1"/>
  <c r="A127" i="1"/>
  <c r="C126" i="1"/>
  <c r="E125" i="1"/>
  <c r="A125" i="1"/>
  <c r="C124" i="1"/>
  <c r="E123" i="1"/>
  <c r="A123" i="1"/>
  <c r="C122" i="1"/>
  <c r="E121" i="1"/>
  <c r="A121" i="1"/>
  <c r="C120" i="1"/>
  <c r="E119" i="1"/>
  <c r="A119" i="1"/>
  <c r="C118" i="1"/>
  <c r="E117" i="1"/>
  <c r="A117" i="1"/>
  <c r="C116" i="1"/>
  <c r="E115" i="1"/>
  <c r="A115" i="1"/>
  <c r="C114" i="1"/>
  <c r="E113" i="1"/>
  <c r="A113" i="1"/>
  <c r="C112" i="1"/>
  <c r="E111" i="1"/>
  <c r="A111" i="1"/>
  <c r="C110" i="1"/>
  <c r="E109" i="1"/>
  <c r="A109" i="1"/>
  <c r="C108" i="1"/>
  <c r="E107" i="1"/>
  <c r="A107" i="1"/>
  <c r="C106" i="1"/>
  <c r="E105" i="1"/>
  <c r="A105" i="1"/>
  <c r="C104" i="1"/>
  <c r="E103" i="1"/>
  <c r="A103" i="1"/>
  <c r="C102" i="1"/>
  <c r="E101" i="1"/>
  <c r="A101" i="1"/>
  <c r="C100" i="1"/>
  <c r="E99" i="1"/>
  <c r="A99" i="1"/>
  <c r="C98" i="1"/>
  <c r="E97" i="1"/>
  <c r="A97" i="1"/>
  <c r="C96" i="1"/>
  <c r="E95" i="1"/>
  <c r="A95" i="1"/>
  <c r="C94" i="1"/>
  <c r="E93" i="1"/>
  <c r="A93" i="1"/>
  <c r="C92" i="1"/>
  <c r="E91" i="1"/>
  <c r="A91" i="1"/>
  <c r="C90" i="1"/>
  <c r="E89" i="1"/>
  <c r="A89" i="1"/>
  <c r="C88" i="1"/>
  <c r="E87" i="1"/>
  <c r="A87" i="1"/>
  <c r="C86" i="1"/>
  <c r="E85" i="1"/>
  <c r="A85" i="1"/>
  <c r="C84" i="1"/>
  <c r="E83" i="1"/>
  <c r="A83" i="1"/>
  <c r="C82" i="1"/>
  <c r="E81" i="1"/>
  <c r="A81" i="1"/>
  <c r="C80" i="1"/>
  <c r="E79" i="1"/>
  <c r="A79" i="1"/>
  <c r="C78" i="1"/>
  <c r="E77" i="1"/>
  <c r="A77" i="1"/>
  <c r="C76" i="1"/>
  <c r="E75" i="1"/>
  <c r="A75" i="1"/>
  <c r="C74" i="1"/>
  <c r="E73" i="1"/>
  <c r="A73" i="1"/>
  <c r="C72" i="1"/>
  <c r="E71" i="1"/>
  <c r="A71" i="1"/>
  <c r="C70" i="1"/>
  <c r="E69" i="1"/>
  <c r="A69" i="1"/>
  <c r="C68" i="1"/>
  <c r="E67" i="1"/>
  <c r="A67" i="1"/>
  <c r="C66" i="1"/>
  <c r="E65" i="1"/>
  <c r="A65" i="1"/>
  <c r="C64" i="1"/>
  <c r="E63" i="1"/>
  <c r="A63" i="1"/>
  <c r="C62" i="1"/>
  <c r="E61" i="1"/>
  <c r="A61" i="1"/>
  <c r="C60" i="1"/>
  <c r="E59" i="1"/>
  <c r="A59" i="1"/>
  <c r="C58" i="1"/>
  <c r="E57" i="1"/>
  <c r="A57" i="1"/>
  <c r="C56" i="1"/>
  <c r="E55" i="1"/>
  <c r="A55" i="1"/>
  <c r="C54" i="1"/>
  <c r="E53" i="1"/>
  <c r="A53" i="1"/>
  <c r="C52" i="1"/>
  <c r="E51" i="1"/>
  <c r="A51" i="1"/>
  <c r="C50" i="1"/>
  <c r="E49" i="1"/>
  <c r="A49" i="1"/>
  <c r="C48" i="1"/>
  <c r="E47" i="1"/>
  <c r="A47" i="1"/>
  <c r="C46" i="1"/>
  <c r="E45" i="1"/>
  <c r="A45" i="1"/>
  <c r="C44" i="1"/>
  <c r="E43" i="1"/>
  <c r="A43" i="1"/>
  <c r="C42" i="1"/>
  <c r="E41" i="1"/>
  <c r="A41" i="1"/>
  <c r="C40" i="1"/>
  <c r="E39" i="1"/>
  <c r="A39" i="1"/>
  <c r="C38" i="1"/>
  <c r="E37" i="1"/>
  <c r="A37" i="1"/>
  <c r="C36" i="1"/>
  <c r="E35" i="1"/>
  <c r="A35" i="1"/>
  <c r="C34" i="1"/>
  <c r="E33" i="1"/>
  <c r="A33" i="1"/>
  <c r="C32" i="1"/>
  <c r="E31" i="1"/>
  <c r="A31" i="1"/>
  <c r="C30" i="1"/>
  <c r="E29" i="1"/>
  <c r="A29" i="1"/>
  <c r="C28" i="1"/>
  <c r="E27" i="1"/>
  <c r="A27" i="1"/>
  <c r="C26" i="1"/>
  <c r="E25" i="1"/>
  <c r="A25" i="1"/>
  <c r="C24" i="1"/>
  <c r="E23" i="1"/>
  <c r="A23" i="1"/>
  <c r="C22" i="1"/>
  <c r="E21" i="1"/>
  <c r="A21" i="1"/>
  <c r="C20" i="1"/>
  <c r="E19" i="1"/>
  <c r="A19" i="1"/>
  <c r="C18" i="1"/>
  <c r="E17" i="1"/>
  <c r="A17" i="1"/>
  <c r="C16" i="1"/>
  <c r="E15" i="1"/>
  <c r="A15" i="1"/>
  <c r="C14" i="1"/>
  <c r="E13" i="1"/>
  <c r="A13" i="1"/>
  <c r="C12" i="1"/>
  <c r="E11" i="1"/>
  <c r="A11" i="1"/>
  <c r="C10" i="1"/>
  <c r="E9" i="1"/>
  <c r="A9" i="1"/>
  <c r="C8" i="1"/>
  <c r="E7" i="1"/>
  <c r="A7" i="1"/>
  <c r="E202" i="1"/>
  <c r="C201" i="1"/>
  <c r="B200" i="1"/>
  <c r="B199" i="1"/>
  <c r="E196" i="1"/>
  <c r="D195" i="1"/>
  <c r="B194" i="1"/>
  <c r="B193" i="1"/>
  <c r="A192" i="1"/>
  <c r="E190" i="1"/>
  <c r="D189" i="1"/>
  <c r="D188" i="1"/>
  <c r="B187" i="1"/>
  <c r="A186" i="1"/>
  <c r="D183" i="1"/>
  <c r="D182" i="1"/>
  <c r="C181" i="1"/>
  <c r="A180" i="1"/>
  <c r="E176" i="1"/>
  <c r="A175" i="1"/>
  <c r="A174" i="1"/>
  <c r="B173" i="1"/>
  <c r="C172" i="1"/>
  <c r="C171" i="1"/>
  <c r="D170" i="1"/>
  <c r="E169" i="1"/>
  <c r="E168" i="1"/>
  <c r="A167" i="1"/>
  <c r="A166" i="1"/>
  <c r="B165" i="1"/>
  <c r="C164" i="1"/>
  <c r="C163" i="1"/>
  <c r="D162" i="1"/>
  <c r="E161" i="1"/>
  <c r="E160" i="1"/>
  <c r="A159" i="1"/>
  <c r="A158" i="1"/>
  <c r="B157" i="1"/>
  <c r="C156" i="1"/>
  <c r="C155" i="1"/>
  <c r="D154" i="1"/>
  <c r="E153" i="1"/>
  <c r="E152" i="1"/>
  <c r="A151" i="1"/>
  <c r="A150" i="1"/>
  <c r="B149" i="1"/>
  <c r="C148" i="1"/>
  <c r="C147" i="1"/>
  <c r="E146" i="1"/>
  <c r="A146" i="1"/>
  <c r="C145" i="1"/>
  <c r="E144" i="1"/>
  <c r="A144" i="1"/>
  <c r="C143" i="1"/>
  <c r="E142" i="1"/>
  <c r="A142" i="1"/>
  <c r="C141" i="1"/>
  <c r="E140" i="1"/>
  <c r="A140" i="1"/>
  <c r="C139" i="1"/>
  <c r="E138" i="1"/>
  <c r="A138" i="1"/>
  <c r="C137" i="1"/>
  <c r="E136" i="1"/>
  <c r="A136" i="1"/>
  <c r="C135" i="1"/>
  <c r="E134" i="1"/>
  <c r="A134" i="1"/>
  <c r="C133" i="1"/>
  <c r="E132" i="1"/>
  <c r="A132" i="1"/>
  <c r="C131" i="1"/>
  <c r="E130" i="1"/>
  <c r="A130" i="1"/>
  <c r="C129" i="1"/>
  <c r="E128" i="1"/>
  <c r="A128" i="1"/>
  <c r="C127" i="1"/>
  <c r="E126" i="1"/>
  <c r="A126" i="1"/>
  <c r="C125" i="1"/>
  <c r="E124" i="1"/>
  <c r="A124" i="1"/>
  <c r="C123" i="1"/>
  <c r="E122" i="1"/>
  <c r="A122" i="1"/>
  <c r="C121" i="1"/>
  <c r="E120" i="1"/>
  <c r="A120" i="1"/>
  <c r="C119" i="1"/>
  <c r="E118" i="1"/>
  <c r="A118" i="1"/>
  <c r="C117" i="1"/>
  <c r="E116" i="1"/>
  <c r="A116" i="1"/>
  <c r="C115" i="1"/>
  <c r="E114" i="1"/>
  <c r="A114" i="1"/>
  <c r="C113" i="1"/>
  <c r="E112" i="1"/>
  <c r="A112" i="1"/>
  <c r="C111" i="1"/>
  <c r="E110" i="1"/>
  <c r="A110" i="1"/>
  <c r="C109" i="1"/>
  <c r="E108" i="1"/>
  <c r="A108" i="1"/>
  <c r="C107" i="1"/>
  <c r="E106" i="1"/>
  <c r="A106" i="1"/>
  <c r="C105" i="1"/>
  <c r="E104" i="1"/>
  <c r="A104" i="1"/>
  <c r="C103" i="1"/>
  <c r="E102" i="1"/>
  <c r="A102" i="1"/>
  <c r="C101" i="1"/>
  <c r="E100" i="1"/>
  <c r="A100" i="1"/>
  <c r="C99" i="1"/>
  <c r="E98" i="1"/>
  <c r="A98" i="1"/>
  <c r="C97" i="1"/>
  <c r="E96" i="1"/>
  <c r="A96" i="1"/>
  <c r="C95" i="1"/>
  <c r="E94" i="1"/>
  <c r="A94" i="1"/>
  <c r="C93" i="1"/>
  <c r="E92" i="1"/>
  <c r="A92" i="1"/>
  <c r="C91" i="1"/>
  <c r="E90" i="1"/>
  <c r="A90" i="1"/>
  <c r="C89" i="1"/>
  <c r="E88" i="1"/>
  <c r="A88" i="1"/>
  <c r="C87" i="1"/>
  <c r="E86" i="1"/>
  <c r="A86" i="1"/>
  <c r="C85" i="1"/>
  <c r="E84" i="1"/>
  <c r="A84" i="1"/>
  <c r="C83" i="1"/>
  <c r="E82" i="1"/>
  <c r="A82" i="1"/>
  <c r="C81" i="1"/>
  <c r="E80" i="1"/>
  <c r="A80" i="1"/>
  <c r="C79" i="1"/>
  <c r="E78" i="1"/>
  <c r="A78" i="1"/>
  <c r="C77" i="1"/>
  <c r="E76" i="1"/>
  <c r="A76" i="1"/>
  <c r="C75" i="1"/>
  <c r="E74" i="1"/>
  <c r="A74" i="1"/>
  <c r="C73" i="1"/>
  <c r="E72" i="1"/>
  <c r="A72" i="1"/>
  <c r="C71" i="1"/>
  <c r="E70" i="1"/>
  <c r="A70" i="1"/>
  <c r="C69" i="1"/>
  <c r="E68" i="1"/>
  <c r="A68" i="1"/>
  <c r="C67" i="1"/>
  <c r="E66" i="1"/>
  <c r="A66" i="1"/>
  <c r="C65" i="1"/>
  <c r="E64" i="1"/>
  <c r="A64" i="1"/>
  <c r="C63" i="1"/>
  <c r="E62" i="1"/>
  <c r="A62" i="1"/>
  <c r="C61" i="1"/>
  <c r="E60" i="1"/>
  <c r="A60" i="1"/>
  <c r="C59" i="1"/>
  <c r="E58" i="1"/>
  <c r="A58" i="1"/>
  <c r="C57" i="1"/>
  <c r="E56" i="1"/>
  <c r="A56" i="1"/>
  <c r="C55" i="1"/>
  <c r="E54" i="1"/>
  <c r="A54" i="1"/>
  <c r="C53" i="1"/>
  <c r="E52" i="1"/>
  <c r="A52" i="1"/>
  <c r="C51" i="1"/>
  <c r="E50" i="1"/>
  <c r="A50" i="1"/>
  <c r="C49" i="1"/>
  <c r="E48" i="1"/>
  <c r="A48" i="1"/>
  <c r="C47" i="1"/>
  <c r="E46" i="1"/>
  <c r="A46" i="1"/>
  <c r="C45" i="1"/>
  <c r="E44" i="1"/>
  <c r="A44" i="1"/>
  <c r="C43" i="1"/>
  <c r="E42" i="1"/>
  <c r="A42" i="1"/>
  <c r="C41" i="1"/>
  <c r="E40" i="1"/>
  <c r="A40" i="1"/>
  <c r="C39" i="1"/>
  <c r="E38" i="1"/>
  <c r="A38" i="1"/>
  <c r="C37" i="1"/>
  <c r="E36" i="1"/>
  <c r="A36" i="1"/>
  <c r="C35" i="1"/>
  <c r="E34" i="1"/>
  <c r="A34" i="1"/>
  <c r="C33" i="1"/>
  <c r="E32" i="1"/>
  <c r="A32" i="1"/>
  <c r="C31" i="1"/>
  <c r="E30" i="1"/>
  <c r="A30" i="1"/>
  <c r="C29" i="1"/>
  <c r="E28" i="1"/>
  <c r="A28" i="1"/>
  <c r="C27" i="1"/>
  <c r="E26" i="1"/>
  <c r="A26" i="1"/>
  <c r="C25" i="1"/>
  <c r="E24" i="1"/>
  <c r="A24" i="1"/>
  <c r="C23" i="1"/>
  <c r="E22" i="1"/>
  <c r="A22" i="1"/>
  <c r="C21" i="1"/>
  <c r="E20" i="1"/>
  <c r="A20" i="1"/>
  <c r="C19" i="1"/>
  <c r="E18" i="1"/>
  <c r="A18" i="1"/>
  <c r="C17" i="1"/>
  <c r="E16" i="1"/>
  <c r="A16" i="1"/>
  <c r="C15" i="1"/>
  <c r="E14" i="1"/>
  <c r="A14" i="1"/>
  <c r="C13" i="1"/>
  <c r="E12" i="1"/>
  <c r="A12" i="1"/>
  <c r="C11" i="1"/>
  <c r="E10" i="1"/>
  <c r="A10" i="1"/>
  <c r="C9" i="1"/>
  <c r="E8" i="1"/>
  <c r="A8" i="1"/>
  <c r="C7" i="1"/>
  <c r="D47" i="1"/>
  <c r="D51" i="1"/>
  <c r="D55" i="1"/>
  <c r="B58" i="1"/>
  <c r="B62" i="1"/>
  <c r="B66" i="1"/>
  <c r="D71" i="1"/>
  <c r="B74" i="1"/>
  <c r="D79" i="1"/>
  <c r="B82" i="1"/>
  <c r="D87" i="1"/>
  <c r="B90" i="1"/>
  <c r="D95" i="1"/>
  <c r="B98" i="1"/>
  <c r="D103" i="1"/>
  <c r="B106" i="1"/>
  <c r="B110" i="1"/>
  <c r="D115" i="1"/>
  <c r="B118" i="1"/>
  <c r="D123" i="1"/>
  <c r="B126" i="1"/>
  <c r="D131" i="1"/>
  <c r="B134" i="1"/>
  <c r="B138" i="1"/>
  <c r="D143" i="1"/>
  <c r="B146" i="1"/>
  <c r="C149" i="1"/>
  <c r="A153" i="1"/>
  <c r="D156" i="1"/>
  <c r="A160" i="1"/>
  <c r="C165" i="1"/>
  <c r="E170" i="1"/>
  <c r="C174" i="1"/>
  <c r="A178" i="1"/>
  <c r="E182" i="1"/>
  <c r="D187" i="1"/>
  <c r="B192" i="1"/>
  <c r="C199" i="1"/>
  <c r="C218" i="1"/>
  <c r="B225" i="1"/>
  <c r="A234" i="1"/>
  <c r="B242" i="1"/>
  <c r="E250" i="1"/>
  <c r="D259" i="1"/>
  <c r="E267" i="1"/>
  <c r="C276" i="1"/>
  <c r="B285" i="1"/>
  <c r="C293" i="1"/>
  <c r="D307" i="1"/>
  <c r="E309" i="1"/>
  <c r="A309" i="1"/>
  <c r="B308" i="1"/>
  <c r="C307" i="1"/>
  <c r="D306" i="1"/>
  <c r="E305" i="1"/>
  <c r="A305" i="1"/>
  <c r="B304" i="1"/>
  <c r="C303" i="1"/>
  <c r="D302" i="1"/>
  <c r="E301" i="1"/>
  <c r="A301" i="1"/>
  <c r="B300" i="1"/>
  <c r="C299" i="1"/>
  <c r="D298" i="1"/>
  <c r="E297" i="1"/>
  <c r="A297" i="1"/>
  <c r="B296" i="1"/>
  <c r="C295" i="1"/>
  <c r="D294" i="1"/>
  <c r="E293" i="1"/>
  <c r="A293" i="1"/>
  <c r="B292" i="1"/>
  <c r="C291" i="1"/>
  <c r="D290" i="1"/>
  <c r="E289" i="1"/>
  <c r="A289" i="1"/>
  <c r="B288" i="1"/>
  <c r="C287" i="1"/>
  <c r="D286" i="1"/>
  <c r="E285" i="1"/>
  <c r="A285" i="1"/>
  <c r="B284" i="1"/>
  <c r="C283" i="1"/>
  <c r="D282" i="1"/>
  <c r="E281" i="1"/>
  <c r="A281" i="1"/>
  <c r="B280" i="1"/>
  <c r="C279" i="1"/>
  <c r="D278" i="1"/>
  <c r="E277" i="1"/>
  <c r="A277" i="1"/>
  <c r="B276" i="1"/>
  <c r="C275" i="1"/>
  <c r="D274" i="1"/>
  <c r="E273" i="1"/>
  <c r="A273" i="1"/>
  <c r="B272" i="1"/>
  <c r="C271" i="1"/>
  <c r="D270" i="1"/>
  <c r="E269" i="1"/>
  <c r="A269" i="1"/>
  <c r="B268" i="1"/>
  <c r="C267" i="1"/>
  <c r="D266" i="1"/>
  <c r="E265" i="1"/>
  <c r="A265" i="1"/>
  <c r="B264" i="1"/>
  <c r="C263" i="1"/>
  <c r="D262" i="1"/>
  <c r="E261" i="1"/>
  <c r="A261" i="1"/>
  <c r="B260" i="1"/>
  <c r="C259" i="1"/>
  <c r="D258" i="1"/>
  <c r="E257" i="1"/>
  <c r="A257" i="1"/>
  <c r="B256" i="1"/>
  <c r="C255" i="1"/>
  <c r="D254" i="1"/>
  <c r="E253" i="1"/>
  <c r="A253" i="1"/>
  <c r="B252" i="1"/>
  <c r="C251" i="1"/>
  <c r="D250" i="1"/>
  <c r="E249" i="1"/>
  <c r="A249" i="1"/>
  <c r="B248" i="1"/>
  <c r="C247" i="1"/>
  <c r="D246" i="1"/>
  <c r="E245" i="1"/>
  <c r="A245" i="1"/>
  <c r="B244" i="1"/>
  <c r="C243" i="1"/>
  <c r="D242" i="1"/>
  <c r="E241" i="1"/>
  <c r="A241" i="1"/>
  <c r="B240" i="1"/>
  <c r="C239" i="1"/>
  <c r="D238" i="1"/>
  <c r="E237" i="1"/>
  <c r="A237" i="1"/>
  <c r="B236" i="1"/>
  <c r="C235" i="1"/>
  <c r="D234" i="1"/>
  <c r="E233" i="1"/>
  <c r="A233" i="1"/>
  <c r="B232" i="1"/>
  <c r="C231" i="1"/>
  <c r="D230" i="1"/>
  <c r="E229" i="1"/>
  <c r="A229" i="1"/>
  <c r="B228" i="1"/>
  <c r="C227" i="1"/>
  <c r="D226" i="1"/>
  <c r="E225" i="1"/>
  <c r="A225" i="1"/>
  <c r="B224" i="1"/>
  <c r="C223" i="1"/>
  <c r="D222" i="1"/>
  <c r="E221" i="1"/>
  <c r="A221" i="1"/>
  <c r="B220" i="1"/>
  <c r="C219" i="1"/>
  <c r="D218" i="1"/>
  <c r="E217" i="1"/>
  <c r="A217" i="1"/>
  <c r="B216" i="1"/>
  <c r="C215" i="1"/>
  <c r="D214" i="1"/>
  <c r="E213" i="1"/>
  <c r="A213" i="1"/>
  <c r="B212" i="1"/>
  <c r="C211" i="1"/>
  <c r="D210" i="1"/>
  <c r="D309" i="1"/>
  <c r="E308" i="1"/>
  <c r="A308" i="1"/>
  <c r="B307" i="1"/>
  <c r="C306" i="1"/>
  <c r="D305" i="1"/>
  <c r="E304" i="1"/>
  <c r="A304" i="1"/>
  <c r="B303" i="1"/>
  <c r="C302" i="1"/>
  <c r="D301" i="1"/>
  <c r="E300" i="1"/>
  <c r="A300" i="1"/>
  <c r="B299" i="1"/>
  <c r="C298" i="1"/>
  <c r="D297" i="1"/>
  <c r="E296" i="1"/>
  <c r="A296" i="1"/>
  <c r="B295" i="1"/>
  <c r="C294" i="1"/>
  <c r="D293" i="1"/>
  <c r="E292" i="1"/>
  <c r="A292" i="1"/>
  <c r="B291" i="1"/>
  <c r="C290" i="1"/>
  <c r="D289" i="1"/>
  <c r="E288" i="1"/>
  <c r="A288" i="1"/>
  <c r="B287" i="1"/>
  <c r="C286" i="1"/>
  <c r="D285" i="1"/>
  <c r="E284" i="1"/>
  <c r="A284" i="1"/>
  <c r="B283" i="1"/>
  <c r="C282" i="1"/>
  <c r="D281" i="1"/>
  <c r="E280" i="1"/>
  <c r="A280" i="1"/>
  <c r="B279" i="1"/>
  <c r="C278" i="1"/>
  <c r="D277" i="1"/>
  <c r="E276" i="1"/>
  <c r="A276" i="1"/>
  <c r="B275" i="1"/>
  <c r="C274" i="1"/>
  <c r="D273" i="1"/>
  <c r="E272" i="1"/>
  <c r="A272" i="1"/>
  <c r="B271" i="1"/>
  <c r="C270" i="1"/>
  <c r="D269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B223" i="1"/>
  <c r="C222" i="1"/>
  <c r="D308" i="1"/>
  <c r="A307" i="1"/>
  <c r="C305" i="1"/>
  <c r="E303" i="1"/>
  <c r="B302" i="1"/>
  <c r="D300" i="1"/>
  <c r="A299" i="1"/>
  <c r="C297" i="1"/>
  <c r="E295" i="1"/>
  <c r="B294" i="1"/>
  <c r="D292" i="1"/>
  <c r="A291" i="1"/>
  <c r="C289" i="1"/>
  <c r="E287" i="1"/>
  <c r="B286" i="1"/>
  <c r="D284" i="1"/>
  <c r="A283" i="1"/>
  <c r="C281" i="1"/>
  <c r="E279" i="1"/>
  <c r="B278" i="1"/>
  <c r="D276" i="1"/>
  <c r="A275" i="1"/>
  <c r="C273" i="1"/>
  <c r="E271" i="1"/>
  <c r="B270" i="1"/>
  <c r="D268" i="1"/>
  <c r="A267" i="1"/>
  <c r="C265" i="1"/>
  <c r="E263" i="1"/>
  <c r="B262" i="1"/>
  <c r="D260" i="1"/>
  <c r="A259" i="1"/>
  <c r="C257" i="1"/>
  <c r="E255" i="1"/>
  <c r="B254" i="1"/>
  <c r="D252" i="1"/>
  <c r="A251" i="1"/>
  <c r="C249" i="1"/>
  <c r="E247" i="1"/>
  <c r="B246" i="1"/>
  <c r="D244" i="1"/>
  <c r="A243" i="1"/>
  <c r="C241" i="1"/>
  <c r="E239" i="1"/>
  <c r="B238" i="1"/>
  <c r="D236" i="1"/>
  <c r="A235" i="1"/>
  <c r="C233" i="1"/>
  <c r="E231" i="1"/>
  <c r="B230" i="1"/>
  <c r="D228" i="1"/>
  <c r="A227" i="1"/>
  <c r="C225" i="1"/>
  <c r="E223" i="1"/>
  <c r="B222" i="1"/>
  <c r="B221" i="1"/>
  <c r="A220" i="1"/>
  <c r="A219" i="1"/>
  <c r="A218" i="1"/>
  <c r="E216" i="1"/>
  <c r="E215" i="1"/>
  <c r="E214" i="1"/>
  <c r="D213" i="1"/>
  <c r="D212" i="1"/>
  <c r="D211" i="1"/>
  <c r="C210" i="1"/>
  <c r="B309" i="1"/>
  <c r="E306" i="1"/>
  <c r="D304" i="1"/>
  <c r="E302" i="1"/>
  <c r="C300" i="1"/>
  <c r="B298" i="1"/>
  <c r="C296" i="1"/>
  <c r="A294" i="1"/>
  <c r="E291" i="1"/>
  <c r="A290" i="1"/>
  <c r="D287" i="1"/>
  <c r="C285" i="1"/>
  <c r="D283" i="1"/>
  <c r="B281" i="1"/>
  <c r="A279" i="1"/>
  <c r="B277" i="1"/>
  <c r="E274" i="1"/>
  <c r="D272" i="1"/>
  <c r="E270" i="1"/>
  <c r="C268" i="1"/>
  <c r="B266" i="1"/>
  <c r="C264" i="1"/>
  <c r="A262" i="1"/>
  <c r="E259" i="1"/>
  <c r="A258" i="1"/>
  <c r="D255" i="1"/>
  <c r="C253" i="1"/>
  <c r="D251" i="1"/>
  <c r="B249" i="1"/>
  <c r="A247" i="1"/>
  <c r="B245" i="1"/>
  <c r="E242" i="1"/>
  <c r="D240" i="1"/>
  <c r="E238" i="1"/>
  <c r="C236" i="1"/>
  <c r="B234" i="1"/>
  <c r="C232" i="1"/>
  <c r="A230" i="1"/>
  <c r="E227" i="1"/>
  <c r="A226" i="1"/>
  <c r="D223" i="1"/>
  <c r="D221" i="1"/>
  <c r="C220" i="1"/>
  <c r="E218" i="1"/>
  <c r="C217" i="1"/>
  <c r="A216" i="1"/>
  <c r="C214" i="1"/>
  <c r="B213" i="1"/>
  <c r="E211" i="1"/>
  <c r="B210" i="1"/>
  <c r="C308" i="1"/>
  <c r="B306" i="1"/>
  <c r="C304" i="1"/>
  <c r="A302" i="1"/>
  <c r="E299" i="1"/>
  <c r="A298" i="1"/>
  <c r="E307" i="1"/>
  <c r="A306" i="1"/>
  <c r="D303" i="1"/>
  <c r="C301" i="1"/>
  <c r="D299" i="1"/>
  <c r="B297" i="1"/>
  <c r="A295" i="1"/>
  <c r="B293" i="1"/>
  <c r="E290" i="1"/>
  <c r="D288" i="1"/>
  <c r="E286" i="1"/>
  <c r="C284" i="1"/>
  <c r="B282" i="1"/>
  <c r="C280" i="1"/>
  <c r="A278" i="1"/>
  <c r="E275" i="1"/>
  <c r="A274" i="1"/>
  <c r="D271" i="1"/>
  <c r="C269" i="1"/>
  <c r="D267" i="1"/>
  <c r="B265" i="1"/>
  <c r="A263" i="1"/>
  <c r="B261" i="1"/>
  <c r="E258" i="1"/>
  <c r="D256" i="1"/>
  <c r="E254" i="1"/>
  <c r="C252" i="1"/>
  <c r="B250" i="1"/>
  <c r="C248" i="1"/>
  <c r="A246" i="1"/>
  <c r="E243" i="1"/>
  <c r="A242" i="1"/>
  <c r="D239" i="1"/>
  <c r="C237" i="1"/>
  <c r="D235" i="1"/>
  <c r="B233" i="1"/>
  <c r="A231" i="1"/>
  <c r="B229" i="1"/>
  <c r="E226" i="1"/>
  <c r="D224" i="1"/>
  <c r="E222" i="1"/>
  <c r="E220" i="1"/>
  <c r="D219" i="1"/>
  <c r="B218" i="1"/>
  <c r="D216" i="1"/>
  <c r="B215" i="1"/>
  <c r="A214" i="1"/>
  <c r="C212" i="1"/>
  <c r="A211" i="1"/>
  <c r="B50" i="1"/>
  <c r="B54" i="1"/>
  <c r="D59" i="1"/>
  <c r="D63" i="1"/>
  <c r="D67" i="1"/>
  <c r="B70" i="1"/>
  <c r="D75" i="1"/>
  <c r="B78" i="1"/>
  <c r="D83" i="1"/>
  <c r="B86" i="1"/>
  <c r="D91" i="1"/>
  <c r="B94" i="1"/>
  <c r="D99" i="1"/>
  <c r="B102" i="1"/>
  <c r="D107" i="1"/>
  <c r="D111" i="1"/>
  <c r="B114" i="1"/>
  <c r="D119" i="1"/>
  <c r="B122" i="1"/>
  <c r="D127" i="1"/>
  <c r="B130" i="1"/>
  <c r="D135" i="1"/>
  <c r="D139" i="1"/>
  <c r="B142" i="1"/>
  <c r="E147" i="1"/>
  <c r="B151" i="1"/>
  <c r="E154" i="1"/>
  <c r="C158" i="1"/>
  <c r="E163" i="1"/>
  <c r="B167" i="1"/>
  <c r="A169" i="1"/>
  <c r="D172" i="1"/>
  <c r="A176" i="1"/>
  <c r="D180" i="1"/>
  <c r="B185" i="1"/>
  <c r="E194" i="1"/>
  <c r="A204" i="1"/>
  <c r="D215" i="1"/>
  <c r="C221" i="1"/>
  <c r="C229" i="1"/>
  <c r="A238" i="1"/>
  <c r="E246" i="1"/>
  <c r="A255" i="1"/>
  <c r="D263" i="1"/>
  <c r="C272" i="1"/>
  <c r="D280" i="1"/>
  <c r="B289" i="1"/>
  <c r="B49" i="1"/>
  <c r="D50" i="1"/>
  <c r="B53" i="1"/>
  <c r="D54" i="1"/>
  <c r="B57" i="1"/>
  <c r="D58" i="1"/>
  <c r="B61" i="1"/>
  <c r="D62" i="1"/>
  <c r="B65" i="1"/>
  <c r="D66" i="1"/>
  <c r="B69" i="1"/>
  <c r="D70" i="1"/>
  <c r="D74" i="1"/>
  <c r="D78" i="1"/>
  <c r="B81" i="1"/>
  <c r="D82" i="1"/>
  <c r="B85" i="1"/>
  <c r="D86" i="1"/>
  <c r="B89" i="1"/>
  <c r="D90" i="1"/>
  <c r="B93" i="1"/>
  <c r="D94" i="1"/>
  <c r="B97" i="1"/>
  <c r="D98" i="1"/>
  <c r="B101" i="1"/>
  <c r="D102" i="1"/>
  <c r="B105" i="1"/>
  <c r="D106" i="1"/>
  <c r="B109" i="1"/>
  <c r="D110" i="1"/>
  <c r="B113" i="1"/>
  <c r="D114" i="1"/>
  <c r="B117" i="1"/>
  <c r="D118" i="1"/>
  <c r="B121" i="1"/>
  <c r="D122" i="1"/>
  <c r="B125" i="1"/>
  <c r="D126" i="1"/>
  <c r="B129" i="1"/>
  <c r="D130" i="1"/>
  <c r="B133" i="1"/>
  <c r="D134" i="1"/>
  <c r="B137" i="1"/>
  <c r="D138" i="1"/>
  <c r="B141" i="1"/>
  <c r="D142" i="1"/>
  <c r="B145" i="1"/>
  <c r="D146" i="1"/>
  <c r="A148" i="1"/>
  <c r="E151" i="1"/>
  <c r="C153" i="1"/>
  <c r="B155" i="1"/>
  <c r="A157" i="1"/>
  <c r="E158" i="1"/>
  <c r="D160" i="1"/>
  <c r="C162" i="1"/>
  <c r="A164" i="1"/>
  <c r="E167" i="1"/>
  <c r="C169" i="1"/>
  <c r="B171" i="1"/>
  <c r="A173" i="1"/>
  <c r="E174" i="1"/>
  <c r="D176" i="1"/>
  <c r="E178" i="1"/>
  <c r="C183" i="1"/>
  <c r="A188" i="1"/>
  <c r="D190" i="1"/>
  <c r="B195" i="1"/>
  <c r="D197" i="1"/>
  <c r="A200" i="1"/>
  <c r="B202" i="1"/>
  <c r="E204" i="1"/>
  <c r="E210" i="1"/>
  <c r="C213" i="1"/>
  <c r="C216" i="1"/>
  <c r="B219" i="1"/>
  <c r="A222" i="1"/>
  <c r="B226" i="1"/>
  <c r="E230" i="1"/>
  <c r="E234" i="1"/>
  <c r="A239" i="1"/>
  <c r="D243" i="1"/>
  <c r="D247" i="1"/>
  <c r="E251" i="1"/>
  <c r="C256" i="1"/>
  <c r="C260" i="1"/>
  <c r="D264" i="1"/>
  <c r="B269" i="1"/>
  <c r="B273" i="1"/>
  <c r="C277" i="1"/>
  <c r="A282" i="1"/>
  <c r="A286" i="1"/>
  <c r="B290" i="1"/>
  <c r="E294" i="1"/>
  <c r="B301" i="1"/>
  <c r="C309" i="1"/>
  <c r="E205" i="1"/>
  <c r="A205" i="1"/>
  <c r="C204" i="1"/>
  <c r="E203" i="1"/>
  <c r="A203" i="1"/>
  <c r="C202" i="1"/>
  <c r="E201" i="1"/>
  <c r="A201" i="1"/>
  <c r="C200" i="1"/>
  <c r="E199" i="1"/>
  <c r="A199" i="1"/>
  <c r="C198" i="1"/>
  <c r="E197" i="1"/>
  <c r="A197" i="1"/>
  <c r="C196" i="1"/>
  <c r="E195" i="1"/>
  <c r="A195" i="1"/>
  <c r="C194" i="1"/>
  <c r="E193" i="1"/>
  <c r="A193" i="1"/>
  <c r="C192" i="1"/>
  <c r="E191" i="1"/>
  <c r="A191" i="1"/>
  <c r="C190" i="1"/>
  <c r="E189" i="1"/>
  <c r="A189" i="1"/>
  <c r="C188" i="1"/>
  <c r="E187" i="1"/>
  <c r="A187" i="1"/>
  <c r="C186" i="1"/>
  <c r="E185" i="1"/>
  <c r="A185" i="1"/>
  <c r="C184" i="1"/>
  <c r="E183" i="1"/>
  <c r="A183" i="1"/>
  <c r="C182" i="1"/>
  <c r="E181" i="1"/>
  <c r="A181" i="1"/>
  <c r="C180" i="1"/>
  <c r="E179" i="1"/>
  <c r="A179" i="1"/>
  <c r="C178" i="1"/>
  <c r="E177" i="1"/>
  <c r="B205" i="1"/>
  <c r="B204" i="1"/>
  <c r="C203" i="1"/>
  <c r="D202" i="1"/>
  <c r="D201" i="1"/>
  <c r="E200" i="1"/>
  <c r="A198" i="1"/>
  <c r="B197" i="1"/>
  <c r="B196" i="1"/>
  <c r="C195" i="1"/>
  <c r="D194" i="1"/>
  <c r="D193" i="1"/>
  <c r="E192" i="1"/>
  <c r="A190" i="1"/>
  <c r="B189" i="1"/>
  <c r="B188" i="1"/>
  <c r="C187" i="1"/>
  <c r="D186" i="1"/>
  <c r="D185" i="1"/>
  <c r="E184" i="1"/>
  <c r="A182" i="1"/>
  <c r="B181" i="1"/>
  <c r="B180" i="1"/>
  <c r="C179" i="1"/>
  <c r="D178" i="1"/>
  <c r="D177" i="1"/>
  <c r="B176" i="1"/>
  <c r="D175" i="1"/>
  <c r="B174" i="1"/>
  <c r="D173" i="1"/>
  <c r="B172" i="1"/>
  <c r="D171" i="1"/>
  <c r="B170" i="1"/>
  <c r="D169" i="1"/>
  <c r="B168" i="1"/>
  <c r="D167" i="1"/>
  <c r="B166" i="1"/>
  <c r="D165" i="1"/>
  <c r="B164" i="1"/>
  <c r="D163" i="1"/>
  <c r="B162" i="1"/>
  <c r="D161" i="1"/>
  <c r="B160" i="1"/>
  <c r="D159" i="1"/>
  <c r="B158" i="1"/>
  <c r="D157" i="1"/>
  <c r="B156" i="1"/>
  <c r="D155" i="1"/>
  <c r="B154" i="1"/>
  <c r="D153" i="1"/>
  <c r="B152" i="1"/>
  <c r="D151" i="1"/>
  <c r="B150" i="1"/>
  <c r="D149" i="1"/>
  <c r="B148" i="1"/>
  <c r="D147" i="1"/>
  <c r="N134" i="2"/>
  <c r="B5" i="5" s="1"/>
  <c r="E108" i="6"/>
  <c r="E5" i="5" l="1"/>
  <c r="G5" i="5"/>
  <c r="N135" i="2"/>
  <c r="A6" i="5" s="1"/>
  <c r="F7" i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B6" i="5"/>
  <c r="A5" i="5"/>
  <c r="F6" i="5"/>
  <c r="F5" i="5"/>
  <c r="K5" i="5"/>
  <c r="E6" i="5"/>
  <c r="D206" i="1"/>
  <c r="N136" i="2"/>
  <c r="J6" i="5"/>
  <c r="J5" i="5"/>
  <c r="D5" i="5"/>
  <c r="I6" i="5"/>
  <c r="E206" i="1"/>
  <c r="N137" i="2"/>
  <c r="I5" i="5"/>
  <c r="C7" i="5"/>
  <c r="C6" i="5"/>
  <c r="H7" i="5"/>
  <c r="C5" i="5"/>
  <c r="H6" i="5"/>
  <c r="B8" i="5"/>
  <c r="H5" i="5"/>
  <c r="B7" i="5"/>
  <c r="D312" i="1"/>
  <c r="D311" i="1"/>
  <c r="D310" i="1"/>
  <c r="D6" i="5" l="1"/>
  <c r="G6" i="5"/>
  <c r="K6" i="5"/>
  <c r="F106" i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8" i="5"/>
  <c r="G7" i="5"/>
  <c r="J7" i="5"/>
  <c r="G8" i="5"/>
  <c r="I8" i="5"/>
  <c r="H8" i="5"/>
  <c r="A7" i="5"/>
  <c r="N138" i="2"/>
  <c r="E8" i="5"/>
  <c r="I7" i="5"/>
  <c r="A9" i="5"/>
  <c r="J9" i="5"/>
  <c r="E7" i="5"/>
  <c r="D8" i="5"/>
  <c r="C9" i="5"/>
  <c r="F9" i="5"/>
  <c r="K8" i="5"/>
  <c r="K7" i="5"/>
  <c r="J8" i="5"/>
  <c r="F7" i="5"/>
  <c r="I9" i="5"/>
  <c r="D7" i="5"/>
  <c r="C8" i="5"/>
  <c r="A8" i="5"/>
  <c r="N139" i="2" l="1"/>
  <c r="B10" i="5"/>
  <c r="D9" i="5"/>
  <c r="E10" i="5"/>
  <c r="G9" i="5"/>
  <c r="G10" i="5"/>
  <c r="E9" i="5"/>
  <c r="B9" i="5"/>
  <c r="K9" i="5"/>
  <c r="H9" i="5"/>
  <c r="A10" i="5"/>
  <c r="F206" i="1"/>
  <c r="F2" i="1" s="1"/>
  <c r="N140" i="2" l="1"/>
  <c r="J11" i="5" s="1"/>
  <c r="H10" i="5"/>
  <c r="C10" i="5"/>
  <c r="K10" i="5"/>
  <c r="D10" i="5"/>
  <c r="F10" i="5"/>
  <c r="J10" i="5"/>
  <c r="I10" i="5"/>
  <c r="G11" i="5"/>
  <c r="C11" i="5" l="1"/>
  <c r="E11" i="5"/>
  <c r="K11" i="5"/>
  <c r="N141" i="2"/>
  <c r="B11" i="5"/>
  <c r="I11" i="5"/>
  <c r="F11" i="5"/>
  <c r="H11" i="5"/>
  <c r="A11" i="5"/>
  <c r="D11" i="5"/>
  <c r="G12" i="5" l="1"/>
  <c r="H12" i="5"/>
  <c r="C12" i="5"/>
  <c r="B12" i="5"/>
  <c r="J12" i="5"/>
  <c r="F12" i="5"/>
  <c r="E12" i="5"/>
  <c r="A12" i="5"/>
  <c r="N142" i="2"/>
  <c r="K12" i="5"/>
  <c r="D12" i="5"/>
  <c r="I12" i="5"/>
  <c r="B13" i="5" l="1"/>
  <c r="E13" i="5"/>
  <c r="J13" i="5"/>
  <c r="G13" i="5"/>
  <c r="N143" i="2"/>
  <c r="K13" i="5"/>
  <c r="K14" i="5"/>
  <c r="A13" i="5"/>
  <c r="F13" i="5"/>
  <c r="H13" i="5"/>
  <c r="C13" i="5"/>
  <c r="D13" i="5"/>
  <c r="I13" i="5"/>
  <c r="D14" i="5" l="1"/>
  <c r="H14" i="5"/>
  <c r="I14" i="5"/>
  <c r="C14" i="5"/>
  <c r="F14" i="5"/>
  <c r="N144" i="2"/>
  <c r="B14" i="5"/>
  <c r="J14" i="5"/>
  <c r="E14" i="5"/>
  <c r="H15" i="5"/>
  <c r="G14" i="5"/>
  <c r="F15" i="5"/>
  <c r="A14" i="5"/>
  <c r="G15" i="5" l="1"/>
  <c r="B15" i="5"/>
  <c r="E15" i="5"/>
  <c r="I15" i="5"/>
  <c r="J15" i="5"/>
  <c r="D15" i="5"/>
  <c r="N145" i="2"/>
  <c r="C16" i="5"/>
  <c r="A15" i="5"/>
  <c r="K15" i="5"/>
  <c r="C15" i="5"/>
  <c r="B16" i="5"/>
  <c r="K16" i="5"/>
  <c r="F16" i="5" l="1"/>
  <c r="G16" i="5"/>
  <c r="H16" i="5"/>
  <c r="I17" i="5"/>
  <c r="I16" i="5"/>
  <c r="B17" i="5"/>
  <c r="N146" i="2"/>
  <c r="D16" i="5"/>
  <c r="J16" i="5"/>
  <c r="K17" i="5"/>
  <c r="C17" i="5"/>
  <c r="A16" i="5"/>
  <c r="A17" i="5"/>
  <c r="E16" i="5"/>
  <c r="F17" i="5"/>
  <c r="N147" i="2" l="1"/>
  <c r="D17" i="5"/>
  <c r="G18" i="5"/>
  <c r="G17" i="5"/>
  <c r="J18" i="5"/>
  <c r="E17" i="5"/>
  <c r="A18" i="5"/>
  <c r="J17" i="5"/>
  <c r="K18" i="5"/>
  <c r="H17" i="5"/>
  <c r="B18" i="5"/>
  <c r="F18" i="5" l="1"/>
  <c r="C18" i="5"/>
  <c r="N148" i="2"/>
  <c r="D18" i="5"/>
  <c r="F19" i="5"/>
  <c r="H19" i="5"/>
  <c r="E19" i="5"/>
  <c r="I18" i="5"/>
  <c r="K19" i="5"/>
  <c r="A19" i="5"/>
  <c r="E18" i="5"/>
  <c r="C19" i="5"/>
  <c r="N149" i="2" l="1"/>
  <c r="H20" i="5"/>
  <c r="A20" i="5"/>
  <c r="K20" i="5"/>
  <c r="I20" i="5"/>
  <c r="B20" i="5"/>
  <c r="I19" i="5"/>
  <c r="G19" i="5"/>
  <c r="D19" i="5"/>
  <c r="G20" i="5"/>
  <c r="J19" i="5"/>
  <c r="D20" i="5"/>
  <c r="J20" i="5"/>
  <c r="B19" i="5"/>
  <c r="E20" i="5"/>
  <c r="N150" i="2" l="1"/>
  <c r="F20" i="5"/>
  <c r="I21" i="5"/>
  <c r="E21" i="5"/>
  <c r="G21" i="5"/>
  <c r="C20" i="5"/>
  <c r="A21" i="5"/>
  <c r="F21" i="5" l="1"/>
  <c r="N151" i="2"/>
  <c r="J21" i="5"/>
  <c r="I22" i="5"/>
  <c r="F22" i="5"/>
  <c r="C21" i="5"/>
  <c r="B22" i="5"/>
  <c r="K21" i="5"/>
  <c r="C22" i="5"/>
  <c r="H21" i="5"/>
  <c r="H22" i="5"/>
  <c r="N152" i="2" l="1"/>
  <c r="N153" i="2" s="1"/>
  <c r="N154" i="2" s="1"/>
  <c r="N155" i="2" s="1"/>
  <c r="N156" i="2" s="1"/>
  <c r="N157" i="2" s="1"/>
  <c r="N158" i="2" s="1"/>
  <c r="N159" i="2" s="1"/>
  <c r="N160" i="2" s="1"/>
  <c r="N161" i="2" s="1"/>
  <c r="N162" i="2" s="1"/>
  <c r="N163" i="2" s="1"/>
  <c r="N167" i="2" s="1"/>
  <c r="N168" i="2" s="1"/>
  <c r="N169" i="2" s="1"/>
  <c r="N170" i="2" s="1"/>
  <c r="N171" i="2" s="1"/>
  <c r="N172" i="2" s="1"/>
  <c r="N173" i="2" s="1"/>
  <c r="N174" i="2" s="1"/>
  <c r="N175" i="2" s="1"/>
  <c r="N176" i="2" s="1"/>
  <c r="N177" i="2" s="1"/>
  <c r="N178" i="2" s="1"/>
  <c r="N179" i="2" s="1"/>
  <c r="N180" i="2" s="1"/>
  <c r="H96" i="5" s="1"/>
  <c r="A38" i="5"/>
  <c r="A115" i="5"/>
  <c r="H56" i="5"/>
  <c r="A144" i="5"/>
  <c r="J108" i="5"/>
  <c r="H142" i="5"/>
  <c r="B24" i="5"/>
  <c r="H63" i="5"/>
  <c r="C97" i="5"/>
  <c r="F45" i="5"/>
  <c r="C113" i="5"/>
  <c r="E104" i="5"/>
  <c r="I89" i="5"/>
  <c r="B95" i="5"/>
  <c r="C78" i="5"/>
  <c r="A145" i="5"/>
  <c r="I79" i="5"/>
  <c r="J39" i="5"/>
  <c r="J62" i="5"/>
  <c r="F39" i="5"/>
  <c r="I88" i="5"/>
  <c r="B87" i="5"/>
  <c r="C27" i="5"/>
  <c r="J47" i="5"/>
  <c r="H133" i="5"/>
  <c r="A152" i="5"/>
  <c r="J136" i="5"/>
  <c r="K101" i="5"/>
  <c r="E80" i="5"/>
  <c r="I137" i="5"/>
  <c r="E74" i="5"/>
  <c r="K97" i="5"/>
  <c r="I73" i="5"/>
  <c r="F146" i="5"/>
  <c r="K146" i="5"/>
  <c r="B135" i="5"/>
  <c r="H124" i="5"/>
  <c r="B37" i="5"/>
  <c r="I34" i="5"/>
  <c r="D91" i="5"/>
  <c r="A64" i="5"/>
  <c r="K137" i="5"/>
  <c r="E109" i="5"/>
  <c r="E150" i="5"/>
  <c r="J101" i="5"/>
  <c r="B112" i="5"/>
  <c r="A25" i="5"/>
  <c r="A69" i="5"/>
  <c r="I86" i="5"/>
  <c r="B44" i="5"/>
  <c r="E148" i="5"/>
  <c r="E125" i="5"/>
  <c r="K141" i="5"/>
  <c r="C150" i="5"/>
  <c r="C141" i="5"/>
  <c r="B98" i="5"/>
  <c r="K102" i="5"/>
  <c r="K145" i="5"/>
  <c r="I140" i="5"/>
  <c r="D41" i="5"/>
  <c r="A50" i="5"/>
  <c r="H67" i="5"/>
  <c r="E34" i="5"/>
  <c r="A71" i="5"/>
  <c r="E141" i="5"/>
  <c r="I107" i="5"/>
  <c r="J97" i="5"/>
  <c r="G74" i="5"/>
  <c r="E65" i="5"/>
  <c r="E38" i="5"/>
  <c r="C153" i="5"/>
  <c r="K110" i="5"/>
  <c r="J146" i="5"/>
  <c r="A122" i="5"/>
  <c r="G123" i="5"/>
  <c r="J43" i="5"/>
  <c r="G37" i="5"/>
  <c r="H60" i="5"/>
  <c r="B104" i="5"/>
  <c r="K77" i="5"/>
  <c r="D138" i="5"/>
  <c r="F29" i="5"/>
  <c r="J75" i="5"/>
  <c r="C65" i="5"/>
  <c r="K74" i="5"/>
  <c r="H129" i="5"/>
  <c r="F91" i="5"/>
  <c r="G25" i="5"/>
  <c r="G29" i="5"/>
  <c r="D97" i="5"/>
  <c r="E130" i="5"/>
  <c r="G70" i="5"/>
  <c r="C81" i="5"/>
  <c r="K51" i="5"/>
  <c r="D34" i="5"/>
  <c r="I35" i="5"/>
  <c r="F77" i="5"/>
  <c r="B74" i="5"/>
  <c r="K83" i="5"/>
  <c r="A23" i="5"/>
  <c r="C101" i="5"/>
  <c r="G77" i="5"/>
  <c r="G71" i="5"/>
  <c r="I94" i="5"/>
  <c r="K32" i="5"/>
  <c r="F130" i="5"/>
  <c r="B66" i="5"/>
  <c r="F112" i="5"/>
  <c r="F111" i="5"/>
  <c r="A41" i="5"/>
  <c r="K53" i="5"/>
  <c r="I62" i="5"/>
  <c r="G62" i="5"/>
  <c r="J24" i="5"/>
  <c r="K71" i="5"/>
  <c r="A116" i="5"/>
  <c r="F115" i="5"/>
  <c r="E91" i="5"/>
  <c r="G27" i="5"/>
  <c r="K70" i="5"/>
  <c r="I104" i="5"/>
  <c r="C114" i="5"/>
  <c r="F125" i="5"/>
  <c r="E42" i="5"/>
  <c r="G140" i="5"/>
  <c r="J120" i="5"/>
  <c r="H70" i="5"/>
  <c r="K99" i="5"/>
  <c r="F103" i="5"/>
  <c r="G34" i="5"/>
  <c r="C144" i="5"/>
  <c r="A143" i="5"/>
  <c r="F92" i="5"/>
  <c r="E128" i="5"/>
  <c r="I149" i="5"/>
  <c r="I138" i="5"/>
  <c r="G134" i="5"/>
  <c r="D131" i="5"/>
  <c r="G90" i="5"/>
  <c r="G141" i="5"/>
  <c r="E108" i="5"/>
  <c r="J74" i="5"/>
  <c r="C99" i="5"/>
  <c r="C50" i="5"/>
  <c r="H39" i="5"/>
  <c r="H153" i="5"/>
  <c r="B61" i="5"/>
  <c r="E151" i="5"/>
  <c r="B38" i="5"/>
  <c r="H112" i="5"/>
  <c r="I96" i="5"/>
  <c r="A48" i="5"/>
  <c r="J100" i="5"/>
  <c r="I75" i="5"/>
  <c r="K61" i="5"/>
  <c r="A90" i="5"/>
  <c r="D85" i="5"/>
  <c r="C111" i="5"/>
  <c r="G96" i="5"/>
  <c r="H118" i="5"/>
  <c r="A134" i="5"/>
  <c r="F74" i="5"/>
  <c r="K153" i="5"/>
  <c r="I130" i="5"/>
  <c r="C53" i="5"/>
  <c r="D71" i="5"/>
  <c r="E88" i="5"/>
  <c r="K39" i="5"/>
  <c r="J106" i="5"/>
  <c r="D120" i="5"/>
  <c r="F101" i="5"/>
  <c r="J123" i="5"/>
  <c r="J66" i="5"/>
  <c r="H140" i="5"/>
  <c r="C98" i="5"/>
  <c r="K44" i="5"/>
  <c r="D96" i="5"/>
  <c r="A92" i="5"/>
  <c r="A24" i="5"/>
  <c r="K92" i="5"/>
  <c r="J133" i="5"/>
  <c r="A79" i="5"/>
  <c r="H148" i="5"/>
  <c r="A36" i="5"/>
  <c r="J84" i="5"/>
  <c r="B121" i="5"/>
  <c r="E58" i="5"/>
  <c r="A105" i="5"/>
  <c r="E48" i="5"/>
  <c r="C112" i="5"/>
  <c r="A47" i="5"/>
  <c r="C24" i="5"/>
  <c r="E41" i="5"/>
  <c r="C35" i="5"/>
  <c r="K95" i="5"/>
  <c r="H68" i="5"/>
  <c r="K81" i="5"/>
  <c r="G89" i="5"/>
  <c r="I32" i="5"/>
  <c r="A141" i="5"/>
  <c r="D130" i="5"/>
  <c r="D106" i="5"/>
  <c r="G135" i="5"/>
  <c r="A22" i="5"/>
  <c r="J23" i="5"/>
  <c r="D49" i="5"/>
  <c r="A117" i="5"/>
  <c r="E99" i="5"/>
  <c r="K35" i="5"/>
  <c r="E36" i="5"/>
  <c r="D132" i="5"/>
  <c r="I57" i="5"/>
  <c r="G110" i="5"/>
  <c r="G45" i="5"/>
  <c r="A44" i="5"/>
  <c r="A74" i="5"/>
  <c r="E68" i="5"/>
  <c r="G41" i="5"/>
  <c r="J135" i="5"/>
  <c r="C67" i="5"/>
  <c r="G108" i="5"/>
  <c r="D33" i="5"/>
  <c r="G102" i="5"/>
  <c r="C143" i="5"/>
  <c r="E33" i="5"/>
  <c r="A132" i="5"/>
  <c r="K91" i="5"/>
  <c r="A75" i="5"/>
  <c r="D40" i="5"/>
  <c r="G130" i="5"/>
  <c r="G111" i="5"/>
  <c r="G56" i="5"/>
  <c r="H143" i="5"/>
  <c r="K135" i="5"/>
  <c r="K108" i="5"/>
  <c r="G100" i="5"/>
  <c r="E24" i="5"/>
  <c r="J88" i="5"/>
  <c r="C55" i="5"/>
  <c r="F58" i="5"/>
  <c r="E77" i="5"/>
  <c r="H58" i="5"/>
  <c r="I101" i="5"/>
  <c r="K28" i="5"/>
  <c r="F132" i="5"/>
  <c r="E52" i="5"/>
  <c r="G92" i="5"/>
  <c r="K43" i="5"/>
  <c r="F50" i="5"/>
  <c r="J32" i="5"/>
  <c r="J77" i="5"/>
  <c r="J151" i="5"/>
  <c r="C95" i="5"/>
  <c r="K124" i="5"/>
  <c r="I54" i="5"/>
  <c r="J76" i="5"/>
  <c r="J79" i="5"/>
  <c r="E147" i="5"/>
  <c r="A108" i="5"/>
  <c r="G148" i="5"/>
  <c r="K136" i="5"/>
  <c r="D81" i="5"/>
  <c r="B100" i="5"/>
  <c r="A51" i="5"/>
  <c r="E107" i="5"/>
  <c r="C23" i="5"/>
  <c r="E49" i="5"/>
  <c r="H23" i="5"/>
  <c r="J37" i="5"/>
  <c r="J139" i="5"/>
  <c r="J91" i="5"/>
  <c r="D80" i="5"/>
  <c r="A112" i="5"/>
  <c r="D23" i="5"/>
  <c r="I129" i="5"/>
  <c r="F24" i="5"/>
  <c r="J59" i="5"/>
  <c r="J141" i="5"/>
  <c r="D32" i="5"/>
  <c r="D56" i="5"/>
  <c r="G46" i="5"/>
  <c r="J145" i="5"/>
  <c r="C29" i="5"/>
  <c r="K133" i="5"/>
  <c r="C76" i="5"/>
  <c r="I68" i="5"/>
  <c r="B129" i="5"/>
  <c r="F124" i="5"/>
  <c r="A149" i="5"/>
  <c r="G115" i="5"/>
  <c r="E31" i="5"/>
  <c r="J103" i="5"/>
  <c r="C61" i="5"/>
  <c r="F129" i="5"/>
  <c r="K75" i="5"/>
  <c r="I111" i="5"/>
  <c r="G88" i="5"/>
  <c r="D122" i="5"/>
  <c r="F48" i="5"/>
  <c r="F121" i="5"/>
  <c r="F114" i="5"/>
  <c r="D22" i="5"/>
  <c r="G132" i="5"/>
  <c r="I93" i="5"/>
  <c r="K23" i="5"/>
  <c r="G59" i="5"/>
  <c r="A58" i="5"/>
  <c r="C135" i="5"/>
  <c r="A114" i="5"/>
  <c r="I145" i="5"/>
  <c r="B58" i="5"/>
  <c r="I124" i="5"/>
  <c r="G151" i="5"/>
  <c r="G48" i="5"/>
  <c r="E139" i="5"/>
  <c r="B125" i="5"/>
  <c r="D127" i="5"/>
  <c r="D83" i="5"/>
  <c r="B106" i="5"/>
  <c r="H61" i="5"/>
  <c r="B132" i="5"/>
  <c r="H117" i="5"/>
  <c r="K131" i="5"/>
  <c r="H116" i="5"/>
  <c r="I133" i="5"/>
  <c r="G93" i="5"/>
  <c r="K52" i="5"/>
  <c r="C64" i="5"/>
  <c r="H103" i="5"/>
  <c r="C39" i="5"/>
  <c r="G35" i="5"/>
  <c r="K123" i="5"/>
  <c r="H109" i="5"/>
  <c r="G28" i="5"/>
  <c r="H41" i="5"/>
  <c r="I105" i="5"/>
  <c r="J102" i="5"/>
  <c r="B143" i="5"/>
  <c r="B73" i="5"/>
  <c r="B75" i="5"/>
  <c r="A39" i="5"/>
  <c r="J46" i="5"/>
  <c r="I46" i="5"/>
  <c r="H52" i="5"/>
  <c r="J52" i="5"/>
  <c r="B78" i="5"/>
  <c r="C45" i="5"/>
  <c r="K45" i="5"/>
  <c r="F36" i="5"/>
  <c r="I153" i="5"/>
  <c r="F61" i="5"/>
  <c r="C68" i="5"/>
  <c r="F46" i="5"/>
  <c r="F148" i="5"/>
  <c r="K55" i="5"/>
  <c r="D28" i="5"/>
  <c r="H66" i="5"/>
  <c r="E39" i="5"/>
  <c r="I128" i="5"/>
  <c r="H89" i="5"/>
  <c r="J26" i="5"/>
  <c r="C117" i="5"/>
  <c r="H138" i="5"/>
  <c r="D95" i="5"/>
  <c r="D98" i="5"/>
  <c r="I61" i="5"/>
  <c r="H26" i="5"/>
  <c r="D27" i="5"/>
  <c r="C47" i="5"/>
  <c r="C142" i="5"/>
  <c r="I136" i="5"/>
  <c r="B150" i="5"/>
  <c r="K40" i="5"/>
  <c r="B42" i="5"/>
  <c r="E22" i="5"/>
  <c r="A35" i="5"/>
  <c r="B108" i="5"/>
  <c r="D125" i="5"/>
  <c r="J58" i="5"/>
  <c r="B128" i="5"/>
  <c r="E124" i="5"/>
  <c r="F34" i="5"/>
  <c r="I49" i="5"/>
  <c r="C154" i="5"/>
  <c r="H151" i="5"/>
  <c r="D63" i="5"/>
  <c r="H37" i="5"/>
  <c r="H64" i="5"/>
  <c r="I139" i="5"/>
  <c r="F118" i="5"/>
  <c r="G31" i="5"/>
  <c r="J49" i="5"/>
  <c r="D134" i="5"/>
  <c r="F82" i="5"/>
  <c r="J29" i="5"/>
  <c r="H46" i="5"/>
  <c r="I109" i="5"/>
  <c r="D115" i="5"/>
  <c r="F25" i="5"/>
  <c r="A86" i="5"/>
  <c r="K38" i="5"/>
  <c r="H80" i="5"/>
  <c r="H115" i="5"/>
  <c r="C137" i="5"/>
  <c r="I99" i="5"/>
  <c r="C33" i="5"/>
  <c r="F152" i="5"/>
  <c r="A151" i="5"/>
  <c r="H84" i="5"/>
  <c r="A94" i="5"/>
  <c r="C84" i="5"/>
  <c r="C109" i="5"/>
  <c r="B41" i="5"/>
  <c r="B76" i="5"/>
  <c r="B63" i="5"/>
  <c r="I148" i="5"/>
  <c r="D88" i="5"/>
  <c r="E71" i="5"/>
  <c r="E28" i="5"/>
  <c r="F81" i="5"/>
  <c r="G26" i="5"/>
  <c r="C43" i="5"/>
  <c r="D149" i="5"/>
  <c r="I110" i="5"/>
  <c r="J99" i="5"/>
  <c r="D139" i="5"/>
  <c r="A34" i="5"/>
  <c r="F47" i="5"/>
  <c r="G65" i="5"/>
  <c r="E106" i="5"/>
  <c r="G72" i="5"/>
  <c r="G127" i="5"/>
  <c r="C132" i="5"/>
  <c r="F65" i="5"/>
  <c r="J67" i="5"/>
  <c r="A27" i="5"/>
  <c r="D153" i="5"/>
  <c r="A46" i="5"/>
  <c r="I134" i="5"/>
  <c r="D128" i="5"/>
  <c r="B65" i="5"/>
  <c r="G67" i="5"/>
  <c r="J56" i="5"/>
  <c r="E66" i="5"/>
  <c r="D94" i="5"/>
  <c r="K100" i="5"/>
  <c r="I121" i="5"/>
  <c r="B88" i="5"/>
  <c r="E116" i="5"/>
  <c r="B141" i="5"/>
  <c r="D66" i="5"/>
  <c r="J122" i="5"/>
  <c r="K22" i="5"/>
  <c r="H146" i="5"/>
  <c r="H154" i="5"/>
  <c r="I52" i="5"/>
  <c r="I119" i="5"/>
  <c r="A40" i="5"/>
  <c r="A99" i="5"/>
  <c r="E79" i="5"/>
  <c r="K154" i="5"/>
  <c r="E98" i="5"/>
  <c r="E45" i="5"/>
  <c r="I154" i="5"/>
  <c r="C66" i="5"/>
  <c r="K65" i="5"/>
  <c r="E120" i="5"/>
  <c r="A28" i="5"/>
  <c r="A128" i="5"/>
  <c r="I80" i="5"/>
  <c r="K109" i="5"/>
  <c r="J34" i="5"/>
  <c r="J42" i="5"/>
  <c r="E25" i="5"/>
  <c r="G128" i="5"/>
  <c r="G107" i="5"/>
  <c r="C75" i="5"/>
  <c r="D60" i="5"/>
  <c r="G137" i="5"/>
  <c r="K152" i="5"/>
  <c r="H102" i="5"/>
  <c r="G109" i="5"/>
  <c r="C58" i="5"/>
  <c r="F60" i="5"/>
  <c r="F96" i="5"/>
  <c r="I67" i="5"/>
  <c r="A85" i="5"/>
  <c r="F76" i="5"/>
  <c r="G78" i="5"/>
  <c r="D57" i="5"/>
  <c r="H139" i="5"/>
  <c r="F107" i="5"/>
  <c r="D121" i="5"/>
  <c r="D89" i="5"/>
  <c r="K96" i="5"/>
  <c r="A88" i="5"/>
  <c r="G47" i="5"/>
  <c r="G22" i="5"/>
  <c r="B49" i="5"/>
  <c r="I98" i="5"/>
  <c r="G126" i="5"/>
  <c r="J130" i="5"/>
  <c r="D144" i="5"/>
  <c r="K78" i="5"/>
  <c r="D76" i="5"/>
  <c r="D101" i="5"/>
  <c r="K115" i="5"/>
  <c r="F59" i="5"/>
  <c r="F80" i="5"/>
  <c r="J95" i="5"/>
  <c r="D70" i="5"/>
  <c r="J149" i="5"/>
  <c r="H44" i="5"/>
  <c r="J116" i="5"/>
  <c r="J147" i="5"/>
  <c r="C96" i="5"/>
  <c r="G131" i="5"/>
  <c r="A140" i="5"/>
  <c r="C131" i="5"/>
  <c r="F63" i="5"/>
  <c r="J69" i="5"/>
  <c r="J113" i="5"/>
  <c r="E140" i="5"/>
  <c r="B119" i="5"/>
  <c r="H72" i="5"/>
  <c r="G73" i="5"/>
  <c r="C102" i="5"/>
  <c r="E105" i="5"/>
  <c r="K64" i="5"/>
  <c r="K66" i="5"/>
  <c r="D136" i="5"/>
  <c r="D147" i="5"/>
  <c r="F64" i="5"/>
  <c r="C139" i="5"/>
  <c r="H122" i="5"/>
  <c r="H79" i="5"/>
  <c r="B85" i="5"/>
  <c r="K121" i="5"/>
  <c r="I30" i="5"/>
  <c r="G122" i="5"/>
  <c r="B79" i="5"/>
  <c r="H38" i="5"/>
  <c r="G57" i="5"/>
  <c r="G32" i="5"/>
  <c r="K26" i="5"/>
  <c r="D75" i="5"/>
  <c r="D55" i="5"/>
  <c r="E115" i="5"/>
  <c r="H128" i="5"/>
  <c r="F149" i="5"/>
  <c r="I83" i="5"/>
  <c r="G86" i="5"/>
  <c r="C106" i="5"/>
  <c r="K46" i="5"/>
  <c r="C42" i="5"/>
  <c r="E82" i="5"/>
  <c r="F62" i="5"/>
  <c r="D108" i="5"/>
  <c r="K41" i="5"/>
  <c r="F141" i="5"/>
  <c r="G66" i="5"/>
  <c r="C30" i="5"/>
  <c r="C90" i="5"/>
  <c r="E132" i="5"/>
  <c r="K147" i="5"/>
  <c r="H152" i="5"/>
  <c r="K128" i="5"/>
  <c r="F102" i="5"/>
  <c r="H119" i="5"/>
  <c r="K142" i="5"/>
  <c r="E96" i="5"/>
  <c r="E110" i="5"/>
  <c r="F53" i="5"/>
  <c r="B118" i="5"/>
  <c r="E102" i="5"/>
  <c r="I123" i="5"/>
  <c r="E149" i="5"/>
  <c r="A70" i="5"/>
  <c r="B39" i="5"/>
  <c r="D137" i="5"/>
  <c r="J64" i="5"/>
  <c r="J132" i="5"/>
  <c r="D118" i="5"/>
  <c r="B148" i="5"/>
  <c r="F68" i="5"/>
  <c r="D35" i="5"/>
  <c r="B31" i="5"/>
  <c r="J53" i="5"/>
  <c r="F105" i="5"/>
  <c r="B149" i="5"/>
  <c r="F108" i="5"/>
  <c r="G85" i="5"/>
  <c r="H126" i="5"/>
  <c r="H35" i="5"/>
  <c r="K54" i="5"/>
  <c r="B32" i="5"/>
  <c r="D142" i="5"/>
  <c r="G106" i="5"/>
  <c r="E44" i="5"/>
  <c r="I120" i="5"/>
  <c r="A123" i="5"/>
  <c r="A120" i="5"/>
  <c r="H50" i="5"/>
  <c r="C28" i="5"/>
  <c r="I37" i="5"/>
  <c r="C110" i="5"/>
  <c r="C83" i="5" l="1"/>
  <c r="K122" i="5"/>
  <c r="B71" i="5"/>
  <c r="A87" i="5"/>
  <c r="D141" i="5"/>
  <c r="B48" i="5"/>
  <c r="I132" i="5"/>
  <c r="A121" i="5"/>
  <c r="A127" i="5"/>
  <c r="G118" i="5"/>
  <c r="C46" i="5"/>
  <c r="K69" i="5"/>
  <c r="A98" i="5"/>
  <c r="F90" i="5"/>
  <c r="J70" i="5"/>
  <c r="K82" i="5"/>
  <c r="H100" i="5"/>
  <c r="A110" i="5"/>
  <c r="G114" i="5"/>
  <c r="G87" i="5"/>
  <c r="F51" i="5"/>
  <c r="K112" i="5"/>
  <c r="F94" i="5"/>
  <c r="H135" i="5"/>
  <c r="H42" i="5"/>
  <c r="I82" i="5"/>
  <c r="A68" i="5"/>
  <c r="E118" i="5"/>
  <c r="I87" i="5"/>
  <c r="G80" i="5"/>
  <c r="C73" i="5"/>
  <c r="H97" i="5"/>
  <c r="I48" i="5"/>
  <c r="H81" i="5"/>
  <c r="G68" i="5"/>
  <c r="G76" i="5"/>
  <c r="K58" i="5"/>
  <c r="I59" i="5"/>
  <c r="J50" i="5"/>
  <c r="I108" i="5"/>
  <c r="G147" i="5"/>
  <c r="G120" i="5"/>
  <c r="B33" i="5"/>
  <c r="E103" i="5"/>
  <c r="F43" i="5"/>
  <c r="J87" i="5"/>
  <c r="C152" i="5"/>
  <c r="I126" i="5"/>
  <c r="E27" i="5"/>
  <c r="J28" i="5"/>
  <c r="J71" i="5"/>
  <c r="G49" i="5"/>
  <c r="D61" i="5"/>
  <c r="E81" i="5"/>
  <c r="I26" i="5"/>
  <c r="H145" i="5"/>
  <c r="D64" i="5"/>
  <c r="E72" i="5"/>
  <c r="C72" i="5"/>
  <c r="K86" i="5"/>
  <c r="I112" i="5"/>
  <c r="J144" i="5"/>
  <c r="D135" i="5"/>
  <c r="I100" i="5"/>
  <c r="G69" i="5"/>
  <c r="J44" i="5"/>
  <c r="I50" i="5"/>
  <c r="H98" i="5"/>
  <c r="D100" i="5"/>
  <c r="C108" i="5"/>
  <c r="B53" i="5"/>
  <c r="C149" i="5"/>
  <c r="E62" i="5"/>
  <c r="K140" i="5"/>
  <c r="H54" i="5"/>
  <c r="F89" i="5"/>
  <c r="F134" i="5"/>
  <c r="C60" i="5"/>
  <c r="H62" i="5"/>
  <c r="G40" i="5"/>
  <c r="G82" i="5"/>
  <c r="A130" i="5"/>
  <c r="E69" i="5"/>
  <c r="C121" i="5"/>
  <c r="C100" i="5"/>
  <c r="I65" i="5"/>
  <c r="B151" i="5"/>
  <c r="D114" i="5"/>
  <c r="E84" i="5"/>
  <c r="B102" i="5"/>
  <c r="D45" i="5"/>
  <c r="B46" i="5"/>
  <c r="A97" i="5"/>
  <c r="E29" i="5"/>
  <c r="J73" i="5"/>
  <c r="E129" i="5"/>
  <c r="A147" i="5"/>
  <c r="I135" i="5"/>
  <c r="E114" i="5"/>
  <c r="K63" i="5"/>
  <c r="B81" i="5"/>
  <c r="I58" i="5"/>
  <c r="A62" i="5"/>
  <c r="G145" i="5"/>
  <c r="G129" i="5"/>
  <c r="A83" i="5"/>
  <c r="E85" i="5"/>
  <c r="K143" i="5"/>
  <c r="J134" i="5"/>
  <c r="K94" i="5"/>
  <c r="H18" i="5"/>
  <c r="D25" i="5"/>
  <c r="K113" i="5"/>
  <c r="F140" i="5"/>
  <c r="B21" i="5"/>
  <c r="D21" i="5"/>
  <c r="H25" i="5"/>
  <c r="B23" i="5"/>
  <c r="J22" i="5"/>
  <c r="H104" i="5"/>
  <c r="D48" i="5"/>
  <c r="G139" i="5"/>
  <c r="J45" i="5"/>
  <c r="B138" i="5"/>
  <c r="B50" i="5"/>
  <c r="B94" i="5"/>
  <c r="C151" i="5"/>
  <c r="J85" i="5"/>
  <c r="E23" i="5"/>
  <c r="G95" i="5"/>
  <c r="F145" i="5"/>
  <c r="F56" i="5"/>
  <c r="F120" i="5"/>
  <c r="J128" i="5"/>
  <c r="E134" i="5"/>
  <c r="H121" i="5"/>
  <c r="G125" i="5"/>
  <c r="C145" i="5"/>
  <c r="I27" i="5"/>
  <c r="E78" i="5"/>
  <c r="J63" i="5"/>
  <c r="D105" i="5"/>
  <c r="F133" i="5"/>
  <c r="D53" i="5"/>
  <c r="I78" i="5"/>
  <c r="B84" i="5"/>
  <c r="C140" i="5"/>
  <c r="A32" i="5"/>
  <c r="E70" i="5"/>
  <c r="A109" i="5"/>
  <c r="E83" i="5"/>
  <c r="G58" i="5"/>
  <c r="E101" i="5"/>
  <c r="C104" i="5"/>
  <c r="C103" i="5"/>
  <c r="G116" i="5"/>
  <c r="E137" i="5"/>
  <c r="K50" i="5"/>
  <c r="J114" i="5"/>
  <c r="J93" i="5"/>
  <c r="D52" i="5"/>
  <c r="K80" i="5"/>
  <c r="C129" i="5"/>
  <c r="B80" i="5"/>
  <c r="J81" i="5"/>
  <c r="D86" i="5"/>
  <c r="J137" i="5"/>
  <c r="F113" i="5"/>
  <c r="J72" i="5"/>
  <c r="H99" i="5"/>
  <c r="H48" i="5"/>
  <c r="I95" i="5"/>
  <c r="I69" i="5"/>
  <c r="H74" i="5"/>
  <c r="B96" i="5"/>
  <c r="F150" i="5"/>
  <c r="I70" i="5"/>
  <c r="B68" i="5"/>
  <c r="J94" i="5"/>
  <c r="A111" i="5"/>
  <c r="K30" i="5"/>
  <c r="H27" i="5"/>
  <c r="I141" i="5"/>
  <c r="A150" i="5"/>
  <c r="G63" i="5"/>
  <c r="K42" i="5"/>
  <c r="B115" i="5"/>
  <c r="J131" i="5"/>
  <c r="A80" i="5"/>
  <c r="H123" i="5"/>
  <c r="C94" i="5"/>
  <c r="D82" i="5"/>
  <c r="I47" i="5"/>
  <c r="D133" i="5"/>
  <c r="E122" i="5"/>
  <c r="K149" i="5"/>
  <c r="K125" i="5"/>
  <c r="C127" i="5"/>
  <c r="J54" i="5"/>
  <c r="K60" i="5"/>
  <c r="C86" i="5"/>
  <c r="B111" i="5"/>
  <c r="D117" i="5"/>
  <c r="D99" i="5"/>
  <c r="H82" i="5"/>
  <c r="K114" i="5"/>
  <c r="B92" i="5"/>
  <c r="I33" i="5"/>
  <c r="H136" i="5"/>
  <c r="K87" i="5"/>
  <c r="E146" i="5"/>
  <c r="B133" i="5"/>
  <c r="K27" i="5"/>
  <c r="G50" i="5"/>
  <c r="F126" i="5"/>
  <c r="B86" i="5"/>
  <c r="A106" i="5"/>
  <c r="F109" i="5"/>
  <c r="H28" i="5"/>
  <c r="C57" i="5"/>
  <c r="B153" i="5"/>
  <c r="A118" i="5"/>
  <c r="I29" i="5"/>
  <c r="G61" i="5"/>
  <c r="F110" i="5"/>
  <c r="A146" i="5"/>
  <c r="C92" i="5"/>
  <c r="K36" i="5"/>
  <c r="E117" i="5"/>
  <c r="H77" i="5"/>
  <c r="B124" i="5"/>
  <c r="J110" i="5"/>
  <c r="G75" i="5"/>
  <c r="A93" i="5"/>
  <c r="F128" i="5"/>
  <c r="G101" i="5"/>
  <c r="E94" i="5"/>
  <c r="C128" i="5"/>
  <c r="J27" i="5"/>
  <c r="F86" i="5"/>
  <c r="B34" i="5"/>
  <c r="J142" i="5"/>
  <c r="F38" i="5"/>
  <c r="K139" i="5"/>
  <c r="B116" i="5"/>
  <c r="A101" i="5"/>
  <c r="F139" i="5"/>
  <c r="F147" i="5"/>
  <c r="A53" i="5"/>
  <c r="E75" i="5"/>
  <c r="A76" i="5"/>
  <c r="J31" i="5"/>
  <c r="D92" i="5"/>
  <c r="B27" i="5"/>
  <c r="C25" i="5"/>
  <c r="C85" i="5"/>
  <c r="F27" i="5"/>
  <c r="A45" i="5"/>
  <c r="K73" i="5"/>
  <c r="B62" i="5"/>
  <c r="G24" i="5"/>
  <c r="K150" i="5"/>
  <c r="F30" i="5"/>
  <c r="J55" i="5"/>
  <c r="I77" i="5"/>
  <c r="F83" i="5"/>
  <c r="I114" i="5"/>
  <c r="A154" i="5"/>
  <c r="H65" i="5"/>
  <c r="B147" i="5"/>
  <c r="H147" i="5"/>
  <c r="J154" i="5"/>
  <c r="F78" i="5"/>
  <c r="I72" i="5"/>
  <c r="I97" i="5"/>
  <c r="F97" i="5"/>
  <c r="A84" i="5"/>
  <c r="A126" i="5"/>
  <c r="G91" i="5"/>
  <c r="J118" i="5"/>
  <c r="A82" i="5"/>
  <c r="K132" i="5"/>
  <c r="H88" i="5"/>
  <c r="H108" i="5"/>
  <c r="J68" i="5"/>
  <c r="C120" i="5"/>
  <c r="E47" i="5"/>
  <c r="C32" i="5"/>
  <c r="K134" i="5"/>
  <c r="D43" i="5"/>
  <c r="J117" i="5"/>
  <c r="G97" i="5"/>
  <c r="I43" i="5"/>
  <c r="C125" i="5"/>
  <c r="I92" i="5"/>
  <c r="E154" i="5"/>
  <c r="E50" i="5"/>
  <c r="A100" i="5"/>
  <c r="K148" i="5"/>
  <c r="F49" i="5"/>
  <c r="B54" i="5"/>
  <c r="H137" i="5"/>
  <c r="I127" i="5"/>
  <c r="K104" i="5"/>
  <c r="J41" i="5"/>
  <c r="B57" i="5"/>
  <c r="C124" i="5"/>
  <c r="I152" i="5"/>
  <c r="B140" i="5"/>
  <c r="G33" i="5"/>
  <c r="F122" i="5"/>
  <c r="F70" i="5"/>
  <c r="I55" i="5"/>
  <c r="D54" i="5"/>
  <c r="F72" i="5"/>
  <c r="J148" i="5"/>
  <c r="J126" i="5"/>
  <c r="F137" i="5"/>
  <c r="A119" i="5"/>
  <c r="K34" i="5"/>
  <c r="D47" i="5"/>
  <c r="H47" i="5"/>
  <c r="B26" i="5"/>
  <c r="H57" i="5"/>
  <c r="E63" i="5"/>
  <c r="E144" i="5"/>
  <c r="C63" i="5"/>
  <c r="H131" i="5"/>
  <c r="C105" i="5"/>
  <c r="G105" i="5"/>
  <c r="K144" i="5"/>
  <c r="F106" i="5"/>
  <c r="D39" i="5"/>
  <c r="F116" i="5"/>
  <c r="B43" i="5"/>
  <c r="C130" i="5"/>
  <c r="G152" i="5"/>
  <c r="H132" i="5"/>
  <c r="E73" i="5"/>
  <c r="A52" i="5"/>
  <c r="G83" i="5"/>
  <c r="C74" i="5"/>
  <c r="G94" i="5"/>
  <c r="C26" i="5"/>
  <c r="K93" i="5"/>
  <c r="I56" i="5"/>
  <c r="K106" i="5"/>
  <c r="H83" i="5"/>
  <c r="B107" i="5"/>
  <c r="J35" i="5"/>
  <c r="H105" i="5"/>
  <c r="H49" i="5"/>
  <c r="I106" i="5"/>
  <c r="G142" i="5"/>
  <c r="K84" i="5"/>
  <c r="F31" i="5"/>
  <c r="I91" i="5"/>
  <c r="B131" i="5"/>
  <c r="K90" i="5"/>
  <c r="B114" i="5"/>
  <c r="J112" i="5"/>
  <c r="I42" i="5"/>
  <c r="E153" i="5"/>
  <c r="B142" i="5"/>
  <c r="D123" i="5"/>
  <c r="K111" i="5"/>
  <c r="E145" i="5"/>
  <c r="J40" i="5"/>
  <c r="I84" i="5"/>
  <c r="J89" i="5"/>
  <c r="D46" i="5"/>
  <c r="B134" i="5"/>
  <c r="D37" i="5"/>
  <c r="G99" i="5"/>
  <c r="E26" i="5"/>
  <c r="I117" i="5"/>
  <c r="B83" i="5"/>
  <c r="H111" i="5"/>
  <c r="G119" i="5"/>
  <c r="J105" i="5"/>
  <c r="H30" i="5"/>
  <c r="J138" i="5"/>
  <c r="A54" i="5"/>
  <c r="A81" i="5"/>
  <c r="K76" i="5"/>
  <c r="B105" i="5"/>
  <c r="A67" i="5"/>
  <c r="F54" i="5"/>
  <c r="I131" i="5"/>
  <c r="C82" i="5"/>
  <c r="G84" i="5"/>
  <c r="D112" i="5"/>
  <c r="D148" i="5"/>
  <c r="B146" i="5"/>
  <c r="D62" i="5"/>
  <c r="H141" i="5"/>
  <c r="G53" i="5"/>
  <c r="B127" i="5"/>
  <c r="G154" i="5"/>
  <c r="G64" i="5"/>
  <c r="K151" i="5"/>
  <c r="C107" i="5"/>
  <c r="E54" i="5"/>
  <c r="I146" i="5"/>
  <c r="E100" i="5"/>
  <c r="B52" i="5"/>
  <c r="E142" i="5"/>
  <c r="G36" i="5"/>
  <c r="J140" i="5"/>
  <c r="K103" i="5"/>
  <c r="J143" i="5"/>
  <c r="I116" i="5"/>
  <c r="F151" i="5"/>
  <c r="C80" i="5"/>
  <c r="K126" i="5"/>
  <c r="I122" i="5"/>
  <c r="D50" i="5"/>
  <c r="J119" i="5"/>
  <c r="B82" i="5"/>
  <c r="E64" i="5"/>
  <c r="D116" i="5"/>
  <c r="H90" i="5"/>
  <c r="J86" i="5"/>
  <c r="I113" i="5"/>
  <c r="B154" i="5"/>
  <c r="C48" i="5"/>
  <c r="A78" i="5"/>
  <c r="J83" i="5"/>
  <c r="I60" i="5"/>
  <c r="G60" i="5"/>
  <c r="F55" i="5"/>
  <c r="I143" i="5"/>
  <c r="A26" i="5"/>
  <c r="H127" i="5"/>
  <c r="D103" i="5"/>
  <c r="E95" i="5"/>
  <c r="F23" i="5"/>
  <c r="I39" i="5"/>
  <c r="G121" i="5"/>
  <c r="I142" i="5"/>
  <c r="H106" i="5"/>
  <c r="J129" i="5"/>
  <c r="D146" i="5"/>
  <c r="F69" i="5"/>
  <c r="K24" i="5"/>
  <c r="H69" i="5"/>
  <c r="J60" i="5"/>
  <c r="I45" i="5"/>
  <c r="J153" i="5"/>
  <c r="K29" i="5"/>
  <c r="A148" i="5"/>
  <c r="H73" i="5"/>
  <c r="F84" i="5"/>
  <c r="F67" i="5"/>
  <c r="I31" i="5"/>
  <c r="G124" i="5"/>
  <c r="A33" i="5"/>
  <c r="H85" i="5"/>
  <c r="D36" i="5"/>
  <c r="J51" i="5"/>
  <c r="B122" i="5"/>
  <c r="F85" i="5"/>
  <c r="C56" i="5"/>
  <c r="D154" i="5"/>
  <c r="J57" i="5"/>
  <c r="K107" i="5"/>
  <c r="D79" i="5"/>
  <c r="J48" i="5"/>
  <c r="D67" i="5"/>
  <c r="H101" i="5"/>
  <c r="B103" i="5"/>
  <c r="B30" i="5"/>
  <c r="K49" i="5"/>
  <c r="J33" i="5"/>
  <c r="K130" i="5"/>
  <c r="E90" i="5"/>
  <c r="F143" i="5"/>
  <c r="I66" i="5"/>
  <c r="E136" i="5"/>
  <c r="F119" i="5"/>
  <c r="F33" i="5"/>
  <c r="C69" i="5"/>
  <c r="A59" i="5"/>
  <c r="D102" i="5"/>
  <c r="J104" i="5"/>
  <c r="F44" i="5"/>
  <c r="F52" i="5"/>
  <c r="B40" i="5"/>
  <c r="E59" i="5"/>
  <c r="K120" i="5"/>
  <c r="E97" i="5"/>
  <c r="H59" i="5"/>
  <c r="B117" i="5"/>
  <c r="B69" i="5"/>
  <c r="C36" i="5"/>
  <c r="E89" i="5"/>
  <c r="E67" i="5"/>
  <c r="I144" i="5"/>
  <c r="C118" i="5"/>
  <c r="G149" i="5"/>
  <c r="B28" i="5"/>
  <c r="H113" i="5"/>
  <c r="G146" i="5"/>
  <c r="K88" i="5"/>
  <c r="E138" i="5"/>
  <c r="J125" i="5"/>
  <c r="B64" i="5"/>
  <c r="J115" i="5"/>
  <c r="F35" i="5"/>
  <c r="F117" i="5"/>
  <c r="I41" i="5"/>
  <c r="K47" i="5"/>
  <c r="A129" i="5"/>
  <c r="J109" i="5"/>
  <c r="J38" i="5"/>
  <c r="I151" i="5"/>
  <c r="G103" i="5"/>
  <c r="F138" i="5"/>
  <c r="G117" i="5"/>
  <c r="E121" i="5"/>
  <c r="C91" i="5"/>
  <c r="E119" i="5"/>
  <c r="B109" i="5"/>
  <c r="H71" i="5"/>
  <c r="D104" i="5"/>
  <c r="E152" i="5"/>
  <c r="I103" i="5"/>
  <c r="D151" i="5"/>
  <c r="A61" i="5"/>
  <c r="K79" i="5"/>
  <c r="G51" i="5"/>
  <c r="J82" i="5"/>
  <c r="E46" i="5"/>
  <c r="G42" i="5"/>
  <c r="K72" i="5"/>
  <c r="A65" i="5"/>
  <c r="D93" i="5"/>
  <c r="I63" i="5"/>
  <c r="E61" i="5"/>
  <c r="I76" i="5"/>
  <c r="I24" i="5"/>
  <c r="A138" i="5"/>
  <c r="H45" i="5"/>
  <c r="G43" i="5"/>
  <c r="I147" i="5"/>
  <c r="C79" i="5"/>
  <c r="F57" i="5"/>
  <c r="I38" i="5"/>
  <c r="I71" i="5"/>
  <c r="D24" i="5"/>
  <c r="K85" i="5"/>
  <c r="H29" i="5"/>
  <c r="G98" i="5"/>
  <c r="F99" i="5"/>
  <c r="B101" i="5"/>
  <c r="H55" i="5"/>
  <c r="B110" i="5"/>
  <c r="H93" i="5"/>
  <c r="F32" i="5"/>
  <c r="A77" i="5"/>
  <c r="C31" i="5"/>
  <c r="D78" i="5"/>
  <c r="C122" i="5"/>
  <c r="E131" i="5"/>
  <c r="I40" i="5"/>
  <c r="J152" i="5"/>
  <c r="E40" i="5"/>
  <c r="B70" i="5"/>
  <c r="A49" i="5"/>
  <c r="J65" i="5"/>
  <c r="D124" i="5"/>
  <c r="F28" i="5"/>
  <c r="E127" i="5"/>
  <c r="I53" i="5"/>
  <c r="F87" i="5"/>
  <c r="K33" i="5"/>
  <c r="J107" i="5"/>
  <c r="H94" i="5"/>
  <c r="E55" i="5"/>
  <c r="K37" i="5"/>
  <c r="F93" i="5"/>
  <c r="F123" i="5"/>
  <c r="E135" i="5"/>
  <c r="B51" i="5"/>
  <c r="G112" i="5"/>
  <c r="D109" i="5"/>
  <c r="C70" i="5"/>
  <c r="F79" i="5"/>
  <c r="D58" i="5"/>
  <c r="C40" i="5"/>
  <c r="H110" i="5"/>
  <c r="A136" i="5"/>
  <c r="D77" i="5"/>
  <c r="H107" i="5"/>
  <c r="F136" i="5"/>
  <c r="D74" i="5"/>
  <c r="F40" i="5"/>
  <c r="G150" i="5"/>
  <c r="D44" i="5"/>
  <c r="F71" i="5"/>
  <c r="F26" i="5"/>
  <c r="K59" i="5"/>
  <c r="H78" i="5"/>
  <c r="C119" i="5"/>
  <c r="I81" i="5"/>
  <c r="D87" i="5"/>
  <c r="G136" i="5"/>
  <c r="B136" i="5"/>
  <c r="K116" i="5"/>
  <c r="H32" i="5"/>
  <c r="A55" i="5"/>
  <c r="C89" i="5"/>
  <c r="A60" i="5"/>
  <c r="A124" i="5"/>
  <c r="G144" i="5"/>
  <c r="F88" i="5"/>
  <c r="H51" i="5"/>
  <c r="D90" i="5"/>
  <c r="K89" i="5"/>
  <c r="K118" i="5"/>
  <c r="B139" i="5"/>
  <c r="E87" i="5"/>
  <c r="B93" i="5"/>
  <c r="I150" i="5"/>
  <c r="A66" i="5"/>
  <c r="K48" i="5"/>
  <c r="G81" i="5"/>
  <c r="H91" i="5"/>
  <c r="B45" i="5"/>
  <c r="E57" i="5"/>
  <c r="A91" i="5"/>
  <c r="C148" i="5"/>
  <c r="B97" i="5"/>
  <c r="E43" i="5"/>
  <c r="F98" i="5"/>
  <c r="I51" i="5"/>
  <c r="J127" i="5"/>
  <c r="J98" i="5"/>
  <c r="A30" i="5"/>
  <c r="B99" i="5"/>
  <c r="G44" i="5"/>
  <c r="C59" i="5"/>
  <c r="J30" i="5"/>
  <c r="G133" i="5"/>
  <c r="B60" i="5"/>
  <c r="A57" i="5"/>
  <c r="H76" i="5"/>
  <c r="E60" i="5"/>
  <c r="J121" i="5"/>
  <c r="D38" i="5"/>
  <c r="B59" i="5"/>
  <c r="D113" i="5"/>
  <c r="K62" i="5"/>
  <c r="C52" i="5"/>
  <c r="J150" i="5"/>
  <c r="A153" i="5"/>
  <c r="B89" i="5"/>
  <c r="C49" i="5"/>
  <c r="C54" i="5"/>
  <c r="I44" i="5"/>
  <c r="A73" i="5"/>
  <c r="J61" i="5"/>
  <c r="F100" i="5"/>
  <c r="E35" i="5"/>
  <c r="E112" i="5"/>
  <c r="B29" i="5"/>
  <c r="G79" i="5"/>
  <c r="B36" i="5"/>
  <c r="C138" i="5"/>
  <c r="J90" i="5"/>
  <c r="D51" i="5"/>
  <c r="D26" i="5"/>
  <c r="J78" i="5"/>
  <c r="D72" i="5"/>
  <c r="A96" i="5"/>
  <c r="A103" i="5"/>
  <c r="C126" i="5"/>
  <c r="E92" i="5"/>
  <c r="G54" i="5"/>
  <c r="B113" i="5"/>
  <c r="J25" i="5"/>
  <c r="K98" i="5"/>
  <c r="B47" i="5"/>
  <c r="F75" i="5"/>
  <c r="D111" i="5"/>
  <c r="E30" i="5"/>
  <c r="A42" i="5"/>
  <c r="D31" i="5"/>
  <c r="A125" i="5"/>
  <c r="K56" i="5"/>
  <c r="A29" i="5"/>
  <c r="H40" i="5"/>
  <c r="F153" i="5"/>
  <c r="E143" i="5"/>
  <c r="G113" i="5"/>
  <c r="H114" i="5"/>
  <c r="C116" i="5"/>
  <c r="E51" i="5"/>
  <c r="K57" i="5"/>
  <c r="J124" i="5"/>
  <c r="D29" i="5"/>
  <c r="F66" i="5"/>
  <c r="H95" i="5"/>
  <c r="F41" i="5"/>
  <c r="H149" i="5"/>
  <c r="J36" i="5"/>
  <c r="E113" i="5"/>
  <c r="D69" i="5"/>
  <c r="B120" i="5"/>
  <c r="B152" i="5"/>
  <c r="H87" i="5"/>
  <c r="C34" i="5"/>
  <c r="A107" i="5"/>
  <c r="H36" i="5"/>
  <c r="C77" i="5"/>
  <c r="B72" i="5"/>
  <c r="J92" i="5"/>
  <c r="C87" i="5"/>
  <c r="B25" i="5"/>
  <c r="F144" i="5"/>
  <c r="I74" i="5"/>
  <c r="I115" i="5"/>
  <c r="J80" i="5"/>
  <c r="E76" i="5"/>
  <c r="D126" i="5"/>
  <c r="H34" i="5"/>
  <c r="B55" i="5"/>
  <c r="A113" i="5"/>
  <c r="B91" i="5"/>
  <c r="K67" i="5"/>
  <c r="A89" i="5"/>
  <c r="F142" i="5"/>
  <c r="B90" i="5"/>
  <c r="A31" i="5"/>
  <c r="A137" i="5"/>
  <c r="C133" i="5"/>
  <c r="D152" i="5"/>
  <c r="D30" i="5"/>
  <c r="C51" i="5"/>
  <c r="G55" i="5"/>
  <c r="H53" i="5"/>
  <c r="H92" i="5"/>
  <c r="C123" i="5"/>
  <c r="F95" i="5"/>
  <c r="E93" i="5"/>
  <c r="D150" i="5"/>
  <c r="H150" i="5"/>
  <c r="G104" i="5"/>
  <c r="C146" i="5"/>
  <c r="F127" i="5"/>
  <c r="A43" i="5"/>
  <c r="D119" i="5"/>
  <c r="F131" i="5"/>
  <c r="E133" i="5"/>
  <c r="B123" i="5"/>
  <c r="K68" i="5"/>
  <c r="A133" i="5"/>
  <c r="A142" i="5"/>
  <c r="I118" i="5"/>
  <c r="B77" i="5"/>
  <c r="D107" i="5"/>
  <c r="G38" i="5"/>
  <c r="H75" i="5"/>
  <c r="H120" i="5"/>
  <c r="D68" i="5"/>
  <c r="D59" i="5"/>
  <c r="K25" i="5"/>
  <c r="H33" i="5"/>
  <c r="E86" i="5"/>
  <c r="C115" i="5"/>
  <c r="K105" i="5"/>
  <c r="A102" i="5"/>
  <c r="E111" i="5"/>
  <c r="B130" i="5"/>
  <c r="K117" i="5"/>
  <c r="G143" i="5"/>
  <c r="D65" i="5"/>
  <c r="F135" i="5"/>
  <c r="A135" i="5"/>
  <c r="E123" i="5"/>
  <c r="D145" i="5"/>
  <c r="I102" i="5"/>
  <c r="A139" i="5"/>
  <c r="G138" i="5"/>
  <c r="A95" i="5"/>
  <c r="A72" i="5"/>
  <c r="H130" i="5"/>
  <c r="I36" i="5"/>
  <c r="C134" i="5"/>
  <c r="K119" i="5"/>
  <c r="D42" i="5"/>
  <c r="D110" i="5"/>
  <c r="I125" i="5"/>
  <c r="I64" i="5"/>
  <c r="K138" i="5"/>
  <c r="K129" i="5"/>
  <c r="D84" i="5"/>
  <c r="E56" i="5"/>
  <c r="C38" i="5"/>
  <c r="C88" i="5"/>
  <c r="K127" i="5"/>
  <c r="B126" i="5"/>
  <c r="F73" i="5"/>
  <c r="A104" i="5"/>
  <c r="A56" i="5"/>
  <c r="B56" i="5"/>
  <c r="C147" i="5"/>
  <c r="H134" i="5"/>
  <c r="B35" i="5"/>
  <c r="G30" i="5"/>
  <c r="I85" i="5"/>
  <c r="B137" i="5"/>
  <c r="J111" i="5"/>
  <c r="I28" i="5"/>
  <c r="D143" i="5"/>
  <c r="B144" i="5"/>
  <c r="G52" i="5"/>
  <c r="B145" i="5"/>
  <c r="E32" i="5"/>
  <c r="C44" i="5"/>
  <c r="C93" i="5"/>
  <c r="F104" i="5"/>
  <c r="B67" i="5"/>
  <c r="J96" i="5"/>
  <c r="F154" i="5"/>
  <c r="I25" i="5"/>
  <c r="E126" i="5"/>
  <c r="G39" i="5"/>
  <c r="K31" i="5"/>
  <c r="H24" i="5"/>
  <c r="D129" i="5"/>
  <c r="F37" i="5"/>
  <c r="C136" i="5"/>
  <c r="A63" i="5"/>
  <c r="H125" i="5"/>
  <c r="H31" i="5"/>
  <c r="H144" i="5"/>
  <c r="G153" i="5"/>
  <c r="I23" i="5"/>
  <c r="H86" i="5"/>
  <c r="H43" i="5"/>
  <c r="A131" i="5"/>
  <c r="E53" i="5"/>
  <c r="D73" i="5"/>
  <c r="I90" i="5"/>
  <c r="G23" i="5"/>
  <c r="C62" i="5"/>
  <c r="D140" i="5"/>
  <c r="C71" i="5"/>
  <c r="F42" i="5"/>
  <c r="C41" i="5"/>
  <c r="F155" i="5" l="1"/>
  <c r="D155" i="5"/>
  <c r="E155" i="5"/>
  <c r="J155" i="5" l="1"/>
</calcChain>
</file>

<file path=xl/sharedStrings.xml><?xml version="1.0" encoding="utf-8"?>
<sst xmlns="http://schemas.openxmlformats.org/spreadsheetml/2006/main" count="1191" uniqueCount="504">
  <si>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</si>
  <si>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</si>
  <si>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</si>
  <si>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</si>
  <si>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</si>
  <si>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</si>
  <si>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</si>
  <si>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</si>
  <si>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</si>
  <si>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</si>
  <si>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</si>
  <si>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</si>
  <si>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</si>
  <si>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</si>
  <si>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</si>
  <si>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</si>
  <si>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</si>
  <si>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</si>
  <si>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</si>
  <si>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</si>
  <si>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</si>
  <si>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</si>
  <si>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</si>
  <si>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</si>
  <si>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</si>
  <si>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</si>
  <si>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</si>
  <si>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</si>
  <si>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</si>
  <si>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</si>
  <si>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</si>
  <si>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</si>
  <si>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</si>
  <si>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</si>
  <si>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</si>
  <si>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</si>
  <si>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</si>
  <si>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</si>
  <si>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</si>
  <si>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</si>
  <si>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</si>
  <si>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</si>
  <si>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</si>
  <si>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</si>
  <si>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</si>
  <si>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</si>
  <si>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</si>
  <si>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</si>
  <si>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</si>
  <si>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</si>
  <si>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</si>
  <si>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</si>
  <si>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</si>
  <si>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</si>
  <si>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</si>
  <si>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</si>
  <si>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</si>
  <si>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</si>
  <si>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</si>
  <si>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</si>
  <si>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</si>
  <si>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</si>
  <si>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</si>
  <si>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</si>
  <si>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</si>
  <si>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</si>
  <si>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</si>
  <si>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</si>
  <si>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</si>
  <si>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</si>
  <si>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</si>
  <si>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</si>
  <si>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</si>
  <si>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</si>
  <si>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</si>
  <si>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</si>
  <si>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</si>
  <si>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</si>
  <si>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</si>
  <si>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</si>
  <si>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</si>
  <si>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</si>
  <si>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</si>
  <si>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</si>
  <si>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</si>
  <si>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</si>
  <si>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</si>
  <si>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</si>
  <si>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</si>
  <si>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</si>
  <si>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</si>
  <si>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</si>
  <si>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</si>
  <si>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</si>
  <si>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</si>
  <si>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</si>
  <si>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</si>
  <si>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</si>
  <si>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</si>
  <si>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</si>
  <si>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</si>
  <si>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</si>
  <si>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</si>
  <si>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</si>
  <si>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</si>
  <si>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</si>
  <si>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</si>
  <si>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</si>
  <si>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</si>
  <si>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</si>
  <si>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</si>
  <si>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</si>
  <si>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</si>
  <si>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</si>
  <si>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</si>
  <si>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</si>
  <si>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</si>
  <si>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</si>
  <si>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</si>
  <si>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</si>
  <si>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</si>
  <si>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</si>
  <si>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</si>
  <si>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</si>
  <si>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</si>
  <si>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</si>
  <si>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</si>
  <si>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</si>
  <si>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</si>
  <si>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</si>
  <si>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</si>
  <si>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</si>
  <si>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</si>
  <si>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</si>
  <si>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</si>
  <si>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</si>
  <si>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</si>
  <si>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</si>
  <si>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</si>
  <si>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</si>
  <si>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</si>
  <si>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</si>
  <si>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</si>
  <si>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</si>
  <si>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</si>
  <si>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</si>
  <si>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</si>
  <si>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</si>
  <si>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</si>
  <si>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</si>
  <si>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</si>
  <si>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</si>
  <si>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</si>
  <si>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</si>
  <si>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</si>
  <si>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</si>
  <si>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</si>
  <si>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</si>
  <si>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</si>
  <si>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</si>
  <si>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</si>
  <si>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</si>
  <si>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</si>
  <si>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</si>
  <si>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</si>
  <si>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</si>
  <si>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</si>
  <si>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</si>
  <si>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</si>
  <si>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</si>
  <si>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</si>
  <si>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</si>
  <si>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</si>
  <si>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</si>
  <si>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</si>
  <si>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</si>
  <si>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</si>
  <si>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</si>
  <si>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</si>
  <si>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</si>
  <si>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</si>
  <si>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</si>
  <si>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</si>
  <si>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</si>
  <si>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</si>
  <si>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</si>
  <si>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</si>
  <si>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</si>
  <si>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</si>
  <si>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</si>
  <si>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</si>
  <si>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</si>
  <si>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</si>
  <si>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</si>
  <si>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</si>
  <si>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</si>
  <si>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</si>
  <si>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</si>
  <si>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</si>
  <si>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</si>
  <si>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</si>
  <si>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</si>
  <si>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</si>
  <si>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</si>
  <si>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</si>
  <si>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</si>
  <si>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</si>
  <si>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</si>
  <si>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</si>
  <si>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</si>
  <si>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</si>
  <si>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</si>
  <si>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</si>
  <si>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</si>
  <si>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</si>
  <si>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</si>
  <si>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</si>
  <si>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</si>
  <si>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</si>
  <si>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</si>
  <si>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</si>
  <si>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</si>
  <si>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</si>
  <si>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</si>
  <si>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</si>
  <si>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</si>
  <si>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</si>
  <si>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</si>
  <si>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</si>
  <si>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</si>
  <si>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</si>
  <si>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</si>
  <si>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</si>
  <si>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</si>
  <si>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</si>
  <si>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</si>
  <si>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</si>
  <si>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</si>
  <si>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</si>
  <si>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</si>
  <si>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</si>
  <si>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</si>
  <si>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</si>
  <si>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</si>
  <si>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</si>
  <si>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</si>
  <si>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</si>
  <si>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</si>
  <si>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</si>
  <si>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</si>
  <si>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</si>
  <si>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</si>
  <si>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</si>
  <si>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</si>
  <si>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</si>
  <si>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</si>
  <si>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</si>
  <si>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</si>
  <si>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</si>
  <si>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</si>
  <si>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</si>
  <si>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</si>
  <si>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</si>
  <si>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</si>
  <si>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</si>
  <si>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</si>
  <si>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</si>
  <si>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</si>
  <si>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</si>
  <si>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</si>
  <si>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</si>
  <si>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</si>
  <si>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</si>
  <si>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</si>
  <si>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</si>
  <si>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</si>
  <si>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</si>
  <si>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</si>
  <si>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</si>
  <si>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</si>
  <si>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</si>
  <si>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</si>
  <si>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</si>
  <si>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</si>
  <si>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</si>
  <si>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</si>
  <si>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</si>
  <si>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</si>
  <si>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</si>
  <si>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</si>
  <si>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</si>
  <si>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</si>
  <si>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</si>
  <si>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</si>
  <si>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</si>
  <si>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</si>
  <si>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</si>
  <si>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</si>
  <si>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</si>
  <si>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</si>
  <si>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</si>
  <si>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</si>
  <si>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</si>
  <si>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</si>
  <si>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</si>
  <si>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</si>
  <si>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</si>
  <si>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</si>
  <si>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</si>
  <si>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</si>
  <si>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</si>
  <si>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</si>
  <si>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</si>
  <si>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</si>
  <si>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</si>
  <si>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</si>
  <si>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</si>
  <si>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</si>
  <si>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</si>
  <si>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</si>
  <si>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</si>
  <si>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</si>
  <si>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</si>
  <si>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</si>
  <si>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</si>
  <si>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</si>
  <si>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</si>
  <si>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</si>
  <si>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</si>
  <si>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</si>
  <si>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</si>
  <si>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</si>
  <si>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</si>
  <si>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</si>
  <si>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</si>
  <si>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</si>
  <si>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</si>
  <si>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</si>
  <si>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</si>
  <si>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</si>
  <si>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</si>
  <si>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</si>
  <si>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</si>
  <si>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</si>
  <si>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</si>
  <si>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</si>
  <si>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</si>
  <si>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</si>
  <si>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</si>
  <si>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</si>
  <si>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</si>
  <si>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</si>
  <si>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</si>
  <si>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</si>
  <si>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</si>
  <si>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</si>
  <si>
    <t>Inv-117</t>
  </si>
  <si>
    <t>ربل عدد 10 الحبه 2.250</t>
  </si>
  <si>
    <t>Inv-118</t>
  </si>
  <si>
    <t>متنوع عدد 4 الحبه 1</t>
  </si>
  <si>
    <t>Inv-119</t>
  </si>
  <si>
    <t>دارسينا عدد 2 الحبه 3</t>
  </si>
  <si>
    <t>Inv-120</t>
  </si>
  <si>
    <t>فل عدد 2 الحبه .750</t>
  </si>
  <si>
    <t>احواض عدد 3500 مقاس 25 سم</t>
  </si>
  <si>
    <t>حديد كحميه 2</t>
  </si>
  <si>
    <t>اسمده</t>
  </si>
  <si>
    <t>Inv-121</t>
  </si>
  <si>
    <t>شركه التهاني</t>
  </si>
  <si>
    <t>تم عمل خصم من ابوادم 3.750</t>
  </si>
  <si>
    <t>, حوض معلق عدد500 (الوحده.170(,بتموس عدد 10 الحبه 15</t>
  </si>
  <si>
    <t>تاير توكتوك</t>
  </si>
  <si>
    <t>Inv-122</t>
  </si>
  <si>
    <t>Inv-123</t>
  </si>
  <si>
    <t>ربل عدد 4 الحبه 2.250</t>
  </si>
  <si>
    <t>Inv-124</t>
  </si>
  <si>
    <t>متنوع عدد 10 الحبه 1</t>
  </si>
  <si>
    <t>هوز اصفر 3/4 طول 50 متر</t>
  </si>
  <si>
    <t>Inv-125</t>
  </si>
  <si>
    <t>متنوع - تم الدفع 26/8</t>
  </si>
  <si>
    <t>Inv-126</t>
  </si>
  <si>
    <t>فاتوره لزهور التهاني</t>
  </si>
  <si>
    <t>صبار عدد 15 الحبه 1</t>
  </si>
  <si>
    <t>زيتون عدد 2 الحبه 12</t>
  </si>
  <si>
    <t>Inv-127</t>
  </si>
  <si>
    <t>اناناس عدد 4 الواحده 4</t>
  </si>
  <si>
    <t>Inv-128</t>
  </si>
  <si>
    <t>ربل عدد 6 الحبه 2.500</t>
  </si>
  <si>
    <t>Inv-129</t>
  </si>
  <si>
    <t>متنوع عدد 17 الحبه 1</t>
  </si>
  <si>
    <t>Inv-130</t>
  </si>
  <si>
    <t>صبار عدد 13 الحبه 0.750</t>
  </si>
  <si>
    <t>Inv-131</t>
  </si>
  <si>
    <t>تين عدد5 الحبه 1.500</t>
  </si>
  <si>
    <t>أقامه نزمول 3 سنوات</t>
  </si>
  <si>
    <t>رواتب + كهرباء وماء</t>
  </si>
  <si>
    <t>نصف قيمه فلتر المالج</t>
  </si>
  <si>
    <t>Inv-132</t>
  </si>
  <si>
    <t>Inv-133</t>
  </si>
  <si>
    <t>زهور التهاني</t>
  </si>
  <si>
    <t>يوريا  عدد1 (12.250) + مقص عدد1(1.250)</t>
  </si>
  <si>
    <t>Inv-134</t>
  </si>
  <si>
    <t>ليمون جراس عدد 4 الحبه 3</t>
  </si>
  <si>
    <t>Inv-135</t>
  </si>
  <si>
    <t>Inv-136</t>
  </si>
  <si>
    <t>متنوع عدد 7 الحبه 1</t>
  </si>
  <si>
    <t>احواض  عدد 1000 الحجم 25 سم</t>
  </si>
  <si>
    <t>Inv-137</t>
  </si>
  <si>
    <t>صبار عدد 5 الحبه 1</t>
  </si>
  <si>
    <t>Inv-138</t>
  </si>
  <si>
    <t>متنوع عدد 10 الحبه 1.500</t>
  </si>
  <si>
    <t>Inv-139</t>
  </si>
  <si>
    <t>متنوع عدد 20 الحبه 1</t>
  </si>
  <si>
    <t>Inv-140</t>
  </si>
  <si>
    <t>صبار عدد 35 الحبه 1</t>
  </si>
  <si>
    <t>Inv-141</t>
  </si>
  <si>
    <t>متنوع عدد 5 الحبه 1</t>
  </si>
  <si>
    <t>Inv-142</t>
  </si>
  <si>
    <t>عطره العدد 10 الحبه .750</t>
  </si>
  <si>
    <t>Inv-143</t>
  </si>
  <si>
    <t>دارسينا متنوع عدد 2  الحبه 3</t>
  </si>
  <si>
    <t>Inv-144</t>
  </si>
  <si>
    <t>معلقات عدد 2 الحبه 1</t>
  </si>
  <si>
    <t>Inv-145</t>
  </si>
  <si>
    <t>دارسينا اسود عدد 2 الحبه 2.500</t>
  </si>
  <si>
    <t>Inv-146</t>
  </si>
  <si>
    <t>متنوع عدد 2 الحبه 1</t>
  </si>
  <si>
    <t>Inv-147</t>
  </si>
  <si>
    <t>متنوع عدد 2 الحبه 1.500</t>
  </si>
  <si>
    <t>Inv-148</t>
  </si>
  <si>
    <t>عصايا  500 حجم 120سم 500 90 سم 2 ابريق ماء 8 لتر</t>
  </si>
  <si>
    <t>Inv-149</t>
  </si>
  <si>
    <t>فيتامين حديد</t>
  </si>
  <si>
    <t>142 السعر الأصلي 7.500 ولكن تم عمله 10 لان نزمول باع شي اخر بقيمه2.5</t>
  </si>
  <si>
    <t>زيتون عدد 5 الوحده 1.250</t>
  </si>
  <si>
    <t>احواض عدد 1000 الحجم 25 سم</t>
  </si>
  <si>
    <t>Inv-150</t>
  </si>
  <si>
    <t>صبار عدد 6 الحبه .500</t>
  </si>
  <si>
    <t>Inv-151</t>
  </si>
  <si>
    <t>ودليه عدد 1- الحبه 1</t>
  </si>
  <si>
    <t>Inv-152</t>
  </si>
  <si>
    <t>Inv-153</t>
  </si>
  <si>
    <t>دارسينا كبيره عدد 1</t>
  </si>
  <si>
    <t>Inv-154</t>
  </si>
  <si>
    <t>متنوع عدد 6 الحبه 1,500</t>
  </si>
  <si>
    <t>Inv-155</t>
  </si>
  <si>
    <t>Inv-156</t>
  </si>
  <si>
    <t>صبار تايجر عدد 30 الحبه 1</t>
  </si>
  <si>
    <t>Inv-157</t>
  </si>
  <si>
    <t>صبار تايجر صغير عدد 10 الحبه .750</t>
  </si>
  <si>
    <t>Inv-158</t>
  </si>
  <si>
    <t>نعناع عدد 5 الحبه .500</t>
  </si>
  <si>
    <t>Inv-159</t>
  </si>
  <si>
    <t>زعتر عدد 10 الحبه ,750</t>
  </si>
  <si>
    <t>طربال اسود</t>
  </si>
  <si>
    <t>Inv-160</t>
  </si>
  <si>
    <t>التهاني</t>
  </si>
  <si>
    <t>صبار اوليفيرا عدد 25 الحبه 0.750</t>
  </si>
  <si>
    <t>Inv-161</t>
  </si>
  <si>
    <t>متنوع</t>
  </si>
  <si>
    <t>Inv-162</t>
  </si>
  <si>
    <t>Inv-163</t>
  </si>
  <si>
    <t>دارسينا اخضر عدد1 القيمه 2.500</t>
  </si>
  <si>
    <t>Inv-164</t>
  </si>
  <si>
    <t>دارسينا اسودعدد 29 الحبه 2.500</t>
  </si>
  <si>
    <t>Inv-165</t>
  </si>
  <si>
    <t>Inv-166</t>
  </si>
  <si>
    <t>Inv-167</t>
  </si>
  <si>
    <t>صبار عدد 60 الحبه .750</t>
  </si>
  <si>
    <t>تين عدد 10 الحبه 1</t>
  </si>
  <si>
    <t>Inv-168</t>
  </si>
  <si>
    <t>Inv-169</t>
  </si>
  <si>
    <t>Inv-170</t>
  </si>
  <si>
    <t>Inv-171</t>
  </si>
  <si>
    <t>Inv-172</t>
  </si>
  <si>
    <t>اناناس عدد6الحبه 4</t>
  </si>
  <si>
    <t>عطره عدد 20 الحبه .650</t>
  </si>
  <si>
    <t>أبو ادم لم يدفع 66</t>
  </si>
  <si>
    <t>تاير توكتوك تيوب</t>
  </si>
  <si>
    <t xml:space="preserve">نصف فلتر الماء </t>
  </si>
  <si>
    <t>Inv-173</t>
  </si>
  <si>
    <t>ياسمين هندي عدد 10 الحبه 1</t>
  </si>
  <si>
    <t>روزميري عدد 10 الحبه.650</t>
  </si>
  <si>
    <t>معلقه كبيره عدد 20 الحبه 1</t>
  </si>
  <si>
    <t>مجنونه قزميه عدد 15 الحبه 1</t>
  </si>
  <si>
    <t>Inv-174</t>
  </si>
  <si>
    <t>Inv-175</t>
  </si>
  <si>
    <t>Inv-176</t>
  </si>
  <si>
    <t>مجموعه متنوعه زهور التهاني</t>
  </si>
  <si>
    <t>Inv-177</t>
  </si>
  <si>
    <t>عطره معلقه عدد 1 الحبه 1.500</t>
  </si>
  <si>
    <t>دارسينا صغيره عدد 1 الحبه 1.500</t>
  </si>
  <si>
    <t>Inv-178</t>
  </si>
  <si>
    <t>Inv-179</t>
  </si>
  <si>
    <t>متنوع عدد 120 الحبه 1.500</t>
  </si>
  <si>
    <t>Inv-180</t>
  </si>
  <si>
    <t>ياسمين ازرق عدد 5 الحبه 1.250</t>
  </si>
  <si>
    <t xml:space="preserve"> أبو ادم 79 تم دفع 78 خصم دينار</t>
  </si>
  <si>
    <t>تم يدفع  63</t>
  </si>
  <si>
    <t>Inv-181</t>
  </si>
  <si>
    <t>صبار تايجر</t>
  </si>
  <si>
    <t>رمل سافي</t>
  </si>
  <si>
    <t>احواض عدد 3000 الحبه 20 فلس</t>
  </si>
  <si>
    <t>بونص نزمول 20 + رواتب 420+50 كهرباء وماء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</si>
</sst>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11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/>
      <diagonal/>
    </border>
    <border>
      <left style="thin">
        <color rgb="FFBBBBBB"/>
      </left>
      <right style="thin">
        <color rgb="FFBBBBBB"/>
      </right>
      <top/>
      <bottom/>
      <diagonal/>
    </border>
    <border>
      <left style="thin">
        <color rgb="FFBBBBBB"/>
      </left>
      <right style="thin">
        <color rgb="FFBBBBBB"/>
      </right>
      <top/>
      <bottom style="thin">
        <color rgb="FFBBBBBB"/>
      </bottom>
      <diagonal/>
    </border>
  </borders>
  <cellStyleXfs count="1">
    <xf numFmtId="0" fontId="0" fillId="0" borderId="0"/>
  </cellStyleXfs>
  <cellXfs count="182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4" fontId="17" fillId="12" borderId="2" xfId="0" applyNumberFormat="1" applyFont="1" applyFill="1" applyBorder="1" applyAlignment="1">
      <alignment horizontal="center" vertical="center"/>
    </xf>
    <xf numFmtId="14" fontId="17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1" fillId="12" borderId="8" xfId="0" applyFont="1" applyFill="1" applyBorder="1" applyAlignment="1">
      <alignment horizontal="center" vertical="center"/>
    </xf>
    <xf numFmtId="0" fontId="21" fillId="12" borderId="9" xfId="0" applyFont="1" applyFill="1" applyBorder="1" applyAlignment="1">
      <alignment horizontal="center" vertical="center"/>
    </xf>
    <xf numFmtId="0" fontId="21" fillId="12" borderId="10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7" t="s">
        <v>0</v>
      </c>
      <c r="B1" s="154"/>
      <c r="C1" s="154"/>
      <c r="D1" s="154"/>
      <c r="E1" s="154"/>
      <c r="F1" s="155"/>
    </row>
    <row r="2" spans="1:6" ht="30" customHeight="1" x14ac:dyDescent="0.25">
      <c r="A2" s="156" t="s">
        <v>1</v>
      </c>
      <c r="B2" s="154"/>
      <c r="C2" s="154"/>
      <c r="D2" s="154"/>
      <c r="E2" s="155"/>
      <c r="F2" s="119">
        <f>F206</f>
        <v>921.79500000000007</v>
      </c>
    </row>
    <row r="3" spans="1:6" ht="6" customHeight="1" x14ac:dyDescent="0.25">
      <c r="A3" s="159"/>
      <c r="B3" s="154"/>
      <c r="C3" s="154"/>
      <c r="D3" s="154"/>
      <c r="E3" s="154"/>
      <c r="F3" s="155"/>
    </row>
    <row r="4" spans="1:6" ht="27.95" customHeight="1" x14ac:dyDescent="0.25">
      <c r="A4" s="158" t="s">
        <v>2</v>
      </c>
      <c r="B4" s="154"/>
      <c r="C4" s="154"/>
      <c r="D4" s="154"/>
      <c r="E4" s="154"/>
      <c r="F4" s="155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الحساب'!$A$4:$A$254,MATCH(1,'كشف الحساب'!$P$4:$P$254,0)),"")</f>
        <v>46121</v>
      </c>
      <c r="B6" s="122" t="str">
        <f>IFERROR(INDEX('كشف الحساب'!$B$4:$B$254,MATCH(1,'كشف الحساب'!$P$4:$P$254,0)),"")</f>
        <v>Inv-001</v>
      </c>
      <c r="C6" s="121" t="str">
        <f>IFERROR(INDEX('كشف الحساب'!$C$4:$C$254,MATCH(1,'كشف الحساب'!$P$4:$P$254,0)),"")</f>
        <v>بيع عدد١ اناناس</v>
      </c>
      <c r="D6" s="123">
        <f>IFERROR(INDEX('كشف الحساب'!$E$4:$E$254,MATCH(1,'كشف الحساب'!$P$4:$P$254,0)),"")</f>
        <v>5</v>
      </c>
      <c r="E6" s="124">
        <f>IFERROR(INDEX('كشف الحساب'!$D$4:$D$254,MATCH(1,'كشف الحساب'!$P$4:$P$254,0)),"")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الحساب'!$A$4:$A$254,MATCH(2,'كشف الحساب'!$P$4:$P$254,0)),"")</f>
        <v>46134</v>
      </c>
      <c r="B7" s="122" t="str">
        <f>IFERROR(INDEX('كشف الحساب'!$B$4:$B$254,MATCH(2,'كشف الحساب'!$P$4:$P$254,0)),"")</f>
        <v>8127</v>
      </c>
      <c r="C7" s="121" t="str">
        <f>IFERROR(INDEX('كشف الحساب'!$C$4:$C$254,MATCH(2,'كشف الحساب'!$P$4:$P$254,0)),"")</f>
        <v>تاير لعربة الرش</v>
      </c>
      <c r="D7" s="123">
        <f>IFERROR(INDEX('كشف الحساب'!$E$4:$E$254,MATCH(2,'كشف الحساب'!$P$4:$P$254,0)),"")</f>
        <v>0</v>
      </c>
      <c r="E7" s="124">
        <f>IFERROR(INDEX('كشف الحساب'!$D$4:$D$254,MATCH(2,'كشف الحساب'!$P$4:$P$254,0)),"")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الحساب'!$A$4:$A$254,MATCH(3,'كشف الحساب'!$P$4:$P$254,0)),"")</f>
        <v>46142</v>
      </c>
      <c r="B8" s="122">
        <f>IFERROR(INDEX('كشف الحساب'!$B$4:$B$254,MATCH(3,'كشف الحساب'!$P$4:$P$254,0)),"")</f>
        <v>0</v>
      </c>
      <c r="C8" s="121" t="str">
        <f>IFERROR(INDEX('كشف الحساب'!$C$4:$C$254,MATCH(3,'كشف الحساب'!$P$4:$P$254,0)),"")</f>
        <v>مدخول شهر ابريل</v>
      </c>
      <c r="D8" s="123">
        <f>IFERROR(INDEX('كشف الحساب'!$E$4:$E$254,MATCH(3,'كشف الحساب'!$P$4:$P$254,0)),"")</f>
        <v>40.5</v>
      </c>
      <c r="E8" s="124">
        <f>IFERROR(INDEX('كشف الحساب'!$D$4:$D$254,MATCH(3,'كشف الحساب'!$P$4:$P$254,0)),"")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الحساب'!$A$4:$A$254,MATCH(4,'كشف الحساب'!$P$4:$P$254,0)),"")</f>
        <v>46151</v>
      </c>
      <c r="B9" s="122" t="str">
        <f>IFERROR(INDEX('كشف الحساب'!$B$4:$B$254,MATCH(4,'كشف الحساب'!$P$4:$P$254,0)),"")</f>
        <v>Inv-013</v>
      </c>
      <c r="C9" s="121" t="str">
        <f>IFERROR(INDEX('كشف الحساب'!$C$4:$C$254,MATCH(4,'كشف الحساب'!$P$4:$P$254,0)),"")</f>
        <v>فل عدد 21 سعر الحبه .0.750</v>
      </c>
      <c r="D9" s="123">
        <f>IFERROR(INDEX('كشف الحساب'!$E$4:$E$254,MATCH(4,'كشف الحساب'!$P$4:$P$254,0)),"")</f>
        <v>15.75</v>
      </c>
      <c r="E9" s="124">
        <f>IFERROR(INDEX('كشف الحساب'!$D$4:$D$254,MATCH(4,'كشف الحساب'!$P$4:$P$254,0)),"")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الحساب'!$A$4:$A$254,MATCH(5,'كشف الحساب'!$P$4:$P$254,0)),"")</f>
        <v>46151</v>
      </c>
      <c r="B10" s="122" t="str">
        <f>IFERROR(INDEX('كشف الحساب'!$B$4:$B$254,MATCH(5,'كشف الحساب'!$P$4:$P$254,0)),"")</f>
        <v>Inv-013A</v>
      </c>
      <c r="C10" s="121" t="str">
        <f>IFERROR(INDEX('كشف الحساب'!$C$4:$C$254,MATCH(5,'كشف الحساب'!$P$4:$P$254,0)),"")</f>
        <v>برازيليا عدد 25 سعر الحبه .500</v>
      </c>
      <c r="D10" s="123">
        <f>IFERROR(INDEX('كشف الحساب'!$E$4:$E$254,MATCH(5,'كشف الحساب'!$P$4:$P$254,0)),"")</f>
        <v>12.5</v>
      </c>
      <c r="E10" s="124">
        <f>IFERROR(INDEX('كشف الحساب'!$D$4:$D$254,MATCH(5,'كشف الحساب'!$P$4:$P$254,0)),"")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الحساب'!$A$4:$A$254,MATCH(6,'كشف الحساب'!$P$4:$P$254,0)),"")</f>
        <v>46152</v>
      </c>
      <c r="B11" s="122" t="str">
        <f>IFERROR(INDEX('كشف الحساب'!$B$4:$B$254,MATCH(6,'كشف الحساب'!$P$4:$P$254,0)),"")</f>
        <v>Inv-016</v>
      </c>
      <c r="C11" s="121" t="str">
        <f>IFERROR(INDEX('كشف الحساب'!$C$4:$C$254,MATCH(6,'كشف الحساب'!$P$4:$P$254,0)),"")</f>
        <v>ودليه عدد 3 الحبه 0.750</v>
      </c>
      <c r="D11" s="123">
        <f>IFERROR(INDEX('كشف الحساب'!$E$4:$E$254,MATCH(6,'كشف الحساب'!$P$4:$P$254,0)),"")</f>
        <v>2.25</v>
      </c>
      <c r="E11" s="124">
        <f>IFERROR(INDEX('كشف الحساب'!$D$4:$D$254,MATCH(6,'كشف الحساب'!$P$4:$P$254,0)),"")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الحساب'!$A$4:$A$254,MATCH(7,'كشف الحساب'!$P$4:$P$254,0)),"")</f>
        <v>46155</v>
      </c>
      <c r="B12" s="122" t="str">
        <f>IFERROR(INDEX('كشف الحساب'!$B$4:$B$254,MATCH(7,'كشف الحساب'!$P$4:$P$254,0)),"")</f>
        <v>Inv-017</v>
      </c>
      <c r="C12" s="121" t="str">
        <f>IFERROR(INDEX('كشف الحساب'!$C$4:$C$254,MATCH(7,'كشف الحساب'!$P$4:$P$254,0)),"")</f>
        <v>فل عدد 10 الحبه 0.750</v>
      </c>
      <c r="D12" s="123">
        <f>IFERROR(INDEX('كشف الحساب'!$E$4:$E$254,MATCH(7,'كشف الحساب'!$P$4:$P$254,0)),"")</f>
        <v>7.5</v>
      </c>
      <c r="E12" s="124">
        <f>IFERROR(INDEX('كشف الحساب'!$D$4:$D$254,MATCH(7,'كشف الحساب'!$P$4:$P$254,0)),"")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الحساب'!$A$4:$A$254,MATCH(8,'كشف الحساب'!$P$4:$P$254,0)),"")</f>
        <v>46156</v>
      </c>
      <c r="B13" s="122" t="str">
        <f>IFERROR(INDEX('كشف الحساب'!$B$4:$B$254,MATCH(8,'كشف الحساب'!$P$4:$P$254,0)),"")</f>
        <v>Inv-18A</v>
      </c>
      <c r="C13" s="121" t="str">
        <f>IFERROR(INDEX('كشف الحساب'!$C$4:$C$254,MATCH(8,'كشف الحساب'!$P$4:$P$254,0)),"")</f>
        <v>ربل 4 حبات الحبه 1.500</v>
      </c>
      <c r="D13" s="123">
        <f>IFERROR(INDEX('كشف الحساب'!$E$4:$E$254,MATCH(8,'كشف الحساب'!$P$4:$P$254,0)),"")</f>
        <v>6</v>
      </c>
      <c r="E13" s="124">
        <f>IFERROR(INDEX('كشف الحساب'!$D$4:$D$254,MATCH(8,'كشف الحساب'!$P$4:$P$254,0)),"")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الحساب'!$A$4:$A$254,MATCH(9,'كشف الحساب'!$P$4:$P$254,0)),"")</f>
        <v>46156</v>
      </c>
      <c r="B14" s="122" t="str">
        <f>IFERROR(INDEX('كشف الحساب'!$B$4:$B$254,MATCH(9,'كشف الحساب'!$P$4:$P$254,0)),"")</f>
        <v>Inv-18</v>
      </c>
      <c r="C14" s="121" t="str">
        <f>IFERROR(INDEX('كشف الحساب'!$C$4:$C$254,MATCH(9,'كشف الحساب'!$P$4:$P$254,0)),"")</f>
        <v>ودليه 8 حبات الحبه 1</v>
      </c>
      <c r="D14" s="123">
        <f>IFERROR(INDEX('كشف الحساب'!$E$4:$E$254,MATCH(9,'كشف الحساب'!$P$4:$P$254,0)),"")</f>
        <v>8</v>
      </c>
      <c r="E14" s="124">
        <f>IFERROR(INDEX('كشف الحساب'!$D$4:$D$254,MATCH(9,'كشف الحساب'!$P$4:$P$254,0)),"")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الحساب'!$A$4:$A$254,MATCH(10,'كشف الحساب'!$P$4:$P$254,0)),"")</f>
        <v>46158</v>
      </c>
      <c r="B15" s="122" t="str">
        <f>IFERROR(INDEX('كشف الحساب'!$B$4:$B$254,MATCH(10,'كشف الحساب'!$P$4:$P$254,0)),"")</f>
        <v>Inv-19</v>
      </c>
      <c r="C15" s="121" t="str">
        <f>IFERROR(INDEX('كشف الحساب'!$C$4:$C$254,MATCH(10,'كشف الحساب'!$P$4:$P$254,0)),"")</f>
        <v>فل عدد 2 الحبه 0.750</v>
      </c>
      <c r="D15" s="123">
        <f>IFERROR(INDEX('كشف الحساب'!$E$4:$E$254,MATCH(10,'كشف الحساب'!$P$4:$P$254,0)),"")</f>
        <v>1.5</v>
      </c>
      <c r="E15" s="124">
        <f>IFERROR(INDEX('كشف الحساب'!$D$4:$D$254,MATCH(10,'كشف الحساب'!$P$4:$P$254,0)),"")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الحساب'!$A$4:$A$254,MATCH(11,'كشف الحساب'!$P$4:$P$254,0)),"")</f>
        <v>46158</v>
      </c>
      <c r="B16" s="122" t="str">
        <f>IFERROR(INDEX('كشف الحساب'!$B$4:$B$254,MATCH(11,'كشف الحساب'!$P$4:$P$254,0)),"")</f>
        <v>Inv-20</v>
      </c>
      <c r="C16" s="121" t="str">
        <f>IFERROR(INDEX('كشف الحساب'!$C$4:$C$254,MATCH(11,'كشف الحساب'!$P$4:$P$254,0)),"")</f>
        <v>صبار اوليفيرا عدد 3 الحبه 0.750</v>
      </c>
      <c r="D16" s="123">
        <f>IFERROR(INDEX('كشف الحساب'!$E$4:$E$254,MATCH(11,'كشف الحساب'!$P$4:$P$254,0)),"")</f>
        <v>2.25</v>
      </c>
      <c r="E16" s="124">
        <f>IFERROR(INDEX('كشف الحساب'!$D$4:$D$254,MATCH(11,'كشف الحساب'!$P$4:$P$254,0)),"")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الحساب'!$A$4:$A$254,MATCH(12,'كشف الحساب'!$P$4:$P$254,0)),"")</f>
        <v>46158</v>
      </c>
      <c r="B17" s="122" t="str">
        <f>IFERROR(INDEX('كشف الحساب'!$B$4:$B$254,MATCH(12,'كشف الحساب'!$P$4:$P$254,0)),"")</f>
        <v>Inv-21</v>
      </c>
      <c r="C17" s="121" t="str">
        <f>IFERROR(INDEX('كشف الحساب'!$C$4:$C$254,MATCH(12,'كشف الحساب'!$P$4:$P$254,0)),"")</f>
        <v>دارسينا عدد 1 الحبه 2.500</v>
      </c>
      <c r="D17" s="123">
        <f>IFERROR(INDEX('كشف الحساب'!$E$4:$E$254,MATCH(12,'كشف الحساب'!$P$4:$P$254,0)),"")</f>
        <v>2.5</v>
      </c>
      <c r="E17" s="124">
        <f>IFERROR(INDEX('كشف الحساب'!$D$4:$D$254,MATCH(12,'كشف الحساب'!$P$4:$P$254,0)),"")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الحساب'!$A$4:$A$254,MATCH(13,'كشف الحساب'!$P$4:$P$254,0)),"")</f>
        <v>46159</v>
      </c>
      <c r="B18" s="122" t="str">
        <f>IFERROR(INDEX('كشف الحساب'!$B$4:$B$254,MATCH(13,'كشف الحساب'!$P$4:$P$254,0)),"")</f>
        <v>Inv-22</v>
      </c>
      <c r="C18" s="121" t="str">
        <f>IFERROR(INDEX('كشف الحساب'!$C$4:$C$254,MATCH(13,'كشف الحساب'!$P$4:$P$254,0)),"")</f>
        <v>فل عدد 30 الحبه 0.750</v>
      </c>
      <c r="D18" s="123">
        <f>IFERROR(INDEX('كشف الحساب'!$E$4:$E$254,MATCH(13,'كشف الحساب'!$P$4:$P$254,0)),"")</f>
        <v>22.5</v>
      </c>
      <c r="E18" s="124">
        <f>IFERROR(INDEX('كشف الحساب'!$D$4:$D$254,MATCH(13,'كشف الحساب'!$P$4:$P$254,0)),"")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الحساب'!$A$4:$A$254,MATCH(14,'كشف الحساب'!$P$4:$P$254,0)),"")</f>
        <v>46159</v>
      </c>
      <c r="B19" s="122" t="str">
        <f>IFERROR(INDEX('كشف الحساب'!$B$4:$B$254,MATCH(14,'كشف الحساب'!$P$4:$P$254,0)),"")</f>
        <v>Inv-23</v>
      </c>
      <c r="C19" s="121" t="str">
        <f>IFERROR(INDEX('كشف الحساب'!$C$4:$C$254,MATCH(14,'كشف الحساب'!$P$4:$P$254,0)),"")</f>
        <v>برازيليا عدد 16 الحبه 0.500</v>
      </c>
      <c r="D19" s="123">
        <f>IFERROR(INDEX('كشف الحساب'!$E$4:$E$254,MATCH(14,'كشف الحساب'!$P$4:$P$254,0)),"")</f>
        <v>8</v>
      </c>
      <c r="E19" s="124">
        <f>IFERROR(INDEX('كشف الحساب'!$D$4:$D$254,MATCH(14,'كشف الحساب'!$P$4:$P$254,0)),"")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الحساب'!$A$4:$A$254,MATCH(15,'كشف الحساب'!$P$4:$P$254,0)),"")</f>
        <v>46160</v>
      </c>
      <c r="B20" s="122" t="str">
        <f>IFERROR(INDEX('كشف الحساب'!$B$4:$B$254,MATCH(15,'كشف الحساب'!$P$4:$P$254,0)),"")</f>
        <v>Inv-24</v>
      </c>
      <c r="C20" s="121" t="str">
        <f>IFERROR(INDEX('كشف الحساب'!$C$4:$C$254,MATCH(15,'كشف الحساب'!$P$4:$P$254,0)),"")</f>
        <v>فل عدد10 الحبه 0.750</v>
      </c>
      <c r="D20" s="123">
        <f>IFERROR(INDEX('كشف الحساب'!$E$4:$E$254,MATCH(15,'كشف الحساب'!$P$4:$P$254,0)),"")</f>
        <v>7.5</v>
      </c>
      <c r="E20" s="124">
        <f>IFERROR(INDEX('كشف الحساب'!$D$4:$D$254,MATCH(15,'كشف الحساب'!$P$4:$P$254,0)),"")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الحساب'!$A$4:$A$254,MATCH(16,'كشف الحساب'!$P$4:$P$254,0)),"")</f>
        <v>46160</v>
      </c>
      <c r="B21" s="122" t="str">
        <f>IFERROR(INDEX('كشف الحساب'!$B$4:$B$254,MATCH(16,'كشف الحساب'!$P$4:$P$254,0)),"")</f>
        <v>Inv-25</v>
      </c>
      <c r="C21" s="121" t="str">
        <f>IFERROR(INDEX('كشف الحساب'!$C$4:$C$254,MATCH(16,'كشف الحساب'!$P$4:$P$254,0)),"")</f>
        <v>دارسيناحمراء عدد 1</v>
      </c>
      <c r="D21" s="123">
        <f>IFERROR(INDEX('كشف الحساب'!$E$4:$E$254,MATCH(16,'كشف الحساب'!$P$4:$P$254,0)),"")</f>
        <v>5</v>
      </c>
      <c r="E21" s="124">
        <f>IFERROR(INDEX('كشف الحساب'!$D$4:$D$254,MATCH(16,'كشف الحساب'!$P$4:$P$254,0)),"")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الحساب'!$A$4:$A$254,MATCH(17,'كشف الحساب'!$P$4:$P$254,0)),"")</f>
        <v>46160</v>
      </c>
      <c r="B22" s="122" t="str">
        <f>IFERROR(INDEX('كشف الحساب'!$B$4:$B$254,MATCH(17,'كشف الحساب'!$P$4:$P$254,0)),"")</f>
        <v>Inv-26</v>
      </c>
      <c r="C22" s="121" t="str">
        <f>IFERROR(INDEX('كشف الحساب'!$C$4:$C$254,MATCH(17,'كشف الحساب'!$P$4:$P$254,0)),"")</f>
        <v>دارسينا خضراء عدد 2 الحبه 1.500</v>
      </c>
      <c r="D22" s="123">
        <f>IFERROR(INDEX('كشف الحساب'!$E$4:$E$254,MATCH(17,'كشف الحساب'!$P$4:$P$254,0)),"")</f>
        <v>3</v>
      </c>
      <c r="E22" s="124">
        <f>IFERROR(INDEX('كشف الحساب'!$D$4:$D$254,MATCH(17,'كشف الحساب'!$P$4:$P$254,0)),"")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الحساب'!$A$4:$A$254,MATCH(18,'كشف الحساب'!$P$4:$P$254,0)),"")</f>
        <v>46160</v>
      </c>
      <c r="B23" s="122" t="str">
        <f>IFERROR(INDEX('كشف الحساب'!$B$4:$B$254,MATCH(18,'كشف الحساب'!$P$4:$P$254,0)),"")</f>
        <v>Inv-27</v>
      </c>
      <c r="C23" s="121" t="str">
        <f>IFERROR(INDEX('كشف الحساب'!$C$4:$C$254,MATCH(18,'كشف الحساب'!$P$4:$P$254,0)),"")</f>
        <v>ربل عدد 2 الحبه 1.500</v>
      </c>
      <c r="D23" s="123">
        <f>IFERROR(INDEX('كشف الحساب'!$E$4:$E$254,MATCH(18,'كشف الحساب'!$P$4:$P$254,0)),"")</f>
        <v>3</v>
      </c>
      <c r="E23" s="124">
        <f>IFERROR(INDEX('كشف الحساب'!$D$4:$D$254,MATCH(18,'كشف الحساب'!$P$4:$P$254,0)),"")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الحساب'!$A$4:$A$254,MATCH(19,'كشف الحساب'!$P$4:$P$254,0)),"")</f>
        <v>46160</v>
      </c>
      <c r="B24" s="122" t="str">
        <f>IFERROR(INDEX('كشف الحساب'!$B$4:$B$254,MATCH(19,'كشف الحساب'!$P$4:$P$254,0)),"")</f>
        <v>Inv-28</v>
      </c>
      <c r="C24" s="121" t="str">
        <f>IFERROR(INDEX('كشف الحساب'!$C$4:$C$254,MATCH(19,'كشف الحساب'!$P$4:$P$254,0)),"")</f>
        <v>دارسينا حمراء عدد2 الحبه 2.500</v>
      </c>
      <c r="D24" s="123">
        <f>IFERROR(INDEX('كشف الحساب'!$E$4:$E$254,MATCH(19,'كشف الحساب'!$P$4:$P$254,0)),"")</f>
        <v>5</v>
      </c>
      <c r="E24" s="124">
        <f>IFERROR(INDEX('كشف الحساب'!$D$4:$D$254,MATCH(19,'كشف الحساب'!$P$4:$P$254,0)),"")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الحساب'!$A$4:$A$254,MATCH(20,'كشف الحساب'!$P$4:$P$254,0)),"")</f>
        <v>46160</v>
      </c>
      <c r="B25" s="122" t="str">
        <f>IFERROR(INDEX('كشف الحساب'!$B$4:$B$254,MATCH(20,'كشف الحساب'!$P$4:$P$254,0)),"")</f>
        <v>Inv-29</v>
      </c>
      <c r="C25" s="121" t="str">
        <f>IFERROR(INDEX('كشف الحساب'!$C$4:$C$254,MATCH(20,'كشف الحساب'!$P$4:$P$254,0)),"")</f>
        <v>برازيليا عدد 10 الحبه 0.500</v>
      </c>
      <c r="D25" s="123">
        <f>IFERROR(INDEX('كشف الحساب'!$E$4:$E$254,MATCH(20,'كشف الحساب'!$P$4:$P$254,0)),"")</f>
        <v>5</v>
      </c>
      <c r="E25" s="124">
        <f>IFERROR(INDEX('كشف الحساب'!$D$4:$D$254,MATCH(20,'كشف الحساب'!$P$4:$P$254,0)),"")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الحساب'!$A$4:$A$254,MATCH(21,'كشف الحساب'!$P$4:$P$254,0)),"")</f>
        <v>46160</v>
      </c>
      <c r="B26" s="122" t="str">
        <f>IFERROR(INDEX('كشف الحساب'!$B$4:$B$254,MATCH(21,'كشف الحساب'!$P$4:$P$254,0)),"")</f>
        <v>85164</v>
      </c>
      <c r="C26" s="121" t="str">
        <f>IFERROR(INDEX('كشف الحساب'!$C$4:$C$254,MATCH(21,'كشف الحساب'!$P$4:$P$254,0)),"")</f>
        <v>مبيد اسيتبلان عدد 1</v>
      </c>
      <c r="D26" s="123">
        <f>IFERROR(INDEX('كشف الحساب'!$E$4:$E$254,MATCH(21,'كشف الحساب'!$P$4:$P$254,0)),"")</f>
        <v>0</v>
      </c>
      <c r="E26" s="124">
        <f>IFERROR(INDEX('كشف الحساب'!$D$4:$D$254,MATCH(21,'كشف الحساب'!$P$4:$P$254,0)),"")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الحساب'!$A$4:$A$254,MATCH(22,'كشف الحساب'!$P$4:$P$254,0)),"")</f>
        <v>46161</v>
      </c>
      <c r="B27" s="122" t="str">
        <f>IFERROR(INDEX('كشف الحساب'!$B$4:$B$254,MATCH(22,'كشف الحساب'!$P$4:$P$254,0)),"")</f>
        <v>Inv-30</v>
      </c>
      <c r="C27" s="121" t="str">
        <f>IFERROR(INDEX('كشف الحساب'!$C$4:$C$254,MATCH(22,'كشف الحساب'!$P$4:$P$254,0)),"")</f>
        <v>فل عدد 30 الحبه 0.750</v>
      </c>
      <c r="D27" s="123">
        <f>IFERROR(INDEX('كشف الحساب'!$E$4:$E$254,MATCH(22,'كشف الحساب'!$P$4:$P$254,0)),"")</f>
        <v>22.5</v>
      </c>
      <c r="E27" s="124">
        <f>IFERROR(INDEX('كشف الحساب'!$D$4:$D$254,MATCH(22,'كشف الحساب'!$P$4:$P$254,0)),"")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الحساب'!$A$4:$A$254,MATCH(23,'كشف الحساب'!$P$4:$P$254,0)),"")</f>
        <v>46162</v>
      </c>
      <c r="B28" s="122" t="str">
        <f>IFERROR(INDEX('كشف الحساب'!$B$4:$B$254,MATCH(23,'كشف الحساب'!$P$4:$P$254,0)),"")</f>
        <v>Inv-31</v>
      </c>
      <c r="C28" s="121" t="str">
        <f>IFERROR(INDEX('كشف الحساب'!$C$4:$C$254,MATCH(23,'كشف الحساب'!$P$4:$P$254,0)),"")</f>
        <v>فل عدد30 الحبه 0.750</v>
      </c>
      <c r="D28" s="123">
        <f>IFERROR(INDEX('كشف الحساب'!$E$4:$E$254,MATCH(23,'كشف الحساب'!$P$4:$P$254,0)),"")</f>
        <v>22.5</v>
      </c>
      <c r="E28" s="124">
        <f>IFERROR(INDEX('كشف الحساب'!$D$4:$D$254,MATCH(23,'كشف الحساب'!$P$4:$P$254,0)),"")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الحساب'!$A$4:$A$254,MATCH(24,'كشف الحساب'!$P$4:$P$254,0)),"")</f>
        <v>46162</v>
      </c>
      <c r="B29" s="122" t="str">
        <f>IFERROR(INDEX('كشف الحساب'!$B$4:$B$254,MATCH(24,'كشف الحساب'!$P$4:$P$254,0)),"")</f>
        <v>Inv-32</v>
      </c>
      <c r="C29" s="121" t="str">
        <f>IFERROR(INDEX('كشف الحساب'!$C$4:$C$254,MATCH(24,'كشف الحساب'!$P$4:$P$254,0)),"")</f>
        <v>برازيليا عدد 50 الحبه0.500</v>
      </c>
      <c r="D29" s="123">
        <f>IFERROR(INDEX('كشف الحساب'!$E$4:$E$254,MATCH(24,'كشف الحساب'!$P$4:$P$254,0)),"")</f>
        <v>25</v>
      </c>
      <c r="E29" s="124">
        <f>IFERROR(INDEX('كشف الحساب'!$D$4:$D$254,MATCH(24,'كشف الحساب'!$P$4:$P$254,0)),"")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الحساب'!$A$4:$A$254,MATCH(25,'كشف الحساب'!$P$4:$P$254,0)),"")</f>
        <v>46163</v>
      </c>
      <c r="B30" s="122" t="str">
        <f>IFERROR(INDEX('كشف الحساب'!$B$4:$B$254,MATCH(25,'كشف الحساب'!$P$4:$P$254,0)),"")</f>
        <v>Inv-33</v>
      </c>
      <c r="C30" s="121" t="str">
        <f>IFERROR(INDEX('كشف الحساب'!$C$4:$C$254,MATCH(25,'كشف الحساب'!$P$4:$P$254,0)),"")</f>
        <v>برازيليا عدد 75 الحبه 0.500</v>
      </c>
      <c r="D30" s="123">
        <f>IFERROR(INDEX('كشف الحساب'!$E$4:$E$254,MATCH(25,'كشف الحساب'!$P$4:$P$254,0)),"")</f>
        <v>37.5</v>
      </c>
      <c r="E30" s="124">
        <f>IFERROR(INDEX('كشف الحساب'!$D$4:$D$254,MATCH(25,'كشف الحساب'!$P$4:$P$254,0)),"")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الحساب'!$A$4:$A$254,MATCH(26,'كشف الحساب'!$P$4:$P$254,0)),"")</f>
        <v>46163</v>
      </c>
      <c r="B31" s="122" t="str">
        <f>IFERROR(INDEX('كشف الحساب'!$B$4:$B$254,MATCH(26,'كشف الحساب'!$P$4:$P$254,0)),"")</f>
        <v>Inv-34</v>
      </c>
      <c r="C31" s="121" t="str">
        <f>IFERROR(INDEX('كشف الحساب'!$C$4:$C$254,MATCH(26,'كشف الحساب'!$P$4:$P$254,0)),"")</f>
        <v>دارسينيا احمر عدد1 حبه 2.500</v>
      </c>
      <c r="D31" s="123">
        <f>IFERROR(INDEX('كشف الحساب'!$E$4:$E$254,MATCH(26,'كشف الحساب'!$P$4:$P$254,0)),"")</f>
        <v>2.5</v>
      </c>
      <c r="E31" s="124">
        <f>IFERROR(INDEX('كشف الحساب'!$D$4:$D$254,MATCH(26,'كشف الحساب'!$P$4:$P$254,0)),"")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الحساب'!$A$4:$A$254,MATCH(27,'كشف الحساب'!$P$4:$P$254,0)),"")</f>
        <v>46164</v>
      </c>
      <c r="B32" s="122" t="str">
        <f>IFERROR(INDEX('كشف الحساب'!$B$4:$B$254,MATCH(27,'كشف الحساب'!$P$4:$P$254,0)),"")</f>
        <v>Inv-35</v>
      </c>
      <c r="C32" s="121" t="str">
        <f>IFERROR(INDEX('كشف الحساب'!$C$4:$C$254,MATCH(27,'كشف الحساب'!$P$4:$P$254,0)),"")</f>
        <v>دارسينا حمراء عدد 6 الحبه 2,500</v>
      </c>
      <c r="D32" s="123">
        <f>IFERROR(INDEX('كشف الحساب'!$E$4:$E$254,MATCH(27,'كشف الحساب'!$P$4:$P$254,0)),"")</f>
        <v>15</v>
      </c>
      <c r="E32" s="124">
        <f>IFERROR(INDEX('كشف الحساب'!$D$4:$D$254,MATCH(27,'كشف الحساب'!$P$4:$P$254,0)),"")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الحساب'!$A$4:$A$254,MATCH(28,'كشف الحساب'!$P$4:$P$254,0)),"")</f>
        <v>46164</v>
      </c>
      <c r="B33" s="122" t="str">
        <f>IFERROR(INDEX('كشف الحساب'!$B$4:$B$254,MATCH(28,'كشف الحساب'!$P$4:$P$254,0)),"")</f>
        <v>Inv-36</v>
      </c>
      <c r="C33" s="121" t="str">
        <f>IFERROR(INDEX('كشف الحساب'!$C$4:$C$254,MATCH(28,'كشف الحساب'!$P$4:$P$254,0)),"")</f>
        <v>ربل عدد4 الحبه 1.500</v>
      </c>
      <c r="D33" s="123">
        <f>IFERROR(INDEX('كشف الحساب'!$E$4:$E$254,MATCH(28,'كشف الحساب'!$P$4:$P$254,0)),"")</f>
        <v>6</v>
      </c>
      <c r="E33" s="124">
        <f>IFERROR(INDEX('كشف الحساب'!$D$4:$D$254,MATCH(28,'كشف الحساب'!$P$4:$P$254,0)),"")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الحساب'!$A$4:$A$254,MATCH(29,'كشف الحساب'!$P$4:$P$254,0)),"")</f>
        <v>46167</v>
      </c>
      <c r="B34" s="122" t="str">
        <f>IFERROR(INDEX('كشف الحساب'!$B$4:$B$254,MATCH(29,'كشف الحساب'!$P$4:$P$254,0)),"")</f>
        <v>Inv-37</v>
      </c>
      <c r="C34" s="121" t="str">
        <f>IFERROR(INDEX('كشف الحساب'!$C$4:$C$254,MATCH(29,'كشف الحساب'!$P$4:$P$254,0)),"")</f>
        <v>عطره عدد 10 الحبه 0.750</v>
      </c>
      <c r="D34" s="123">
        <f>IFERROR(INDEX('كشف الحساب'!$E$4:$E$254,MATCH(29,'كشف الحساب'!$P$4:$P$254,0)),"")</f>
        <v>7.5</v>
      </c>
      <c r="E34" s="124">
        <f>IFERROR(INDEX('كشف الحساب'!$D$4:$D$254,MATCH(29,'كشف الحساب'!$P$4:$P$254,0)),"")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الحساب'!$A$4:$A$254,MATCH(30,'كشف الحساب'!$P$4:$P$254,0)),"")</f>
        <v>46167</v>
      </c>
      <c r="B35" s="122" t="str">
        <f>IFERROR(INDEX('كشف الحساب'!$B$4:$B$254,MATCH(30,'كشف الحساب'!$P$4:$P$254,0)),"")</f>
        <v>Inv-38</v>
      </c>
      <c r="C35" s="121" t="str">
        <f>IFERROR(INDEX('كشف الحساب'!$C$4:$C$254,MATCH(30,'كشف الحساب'!$P$4:$P$254,0)),"")</f>
        <v>ودليه عدد 2 الحبه 1</v>
      </c>
      <c r="D35" s="123">
        <f>IFERROR(INDEX('كشف الحساب'!$E$4:$E$254,MATCH(30,'كشف الحساب'!$P$4:$P$254,0)),"")</f>
        <v>2</v>
      </c>
      <c r="E35" s="124">
        <f>IFERROR(INDEX('كشف الحساب'!$D$4:$D$254,MATCH(30,'كشف الحساب'!$P$4:$P$254,0)),"")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الحساب'!$A$4:$A$254,MATCH(31,'كشف الحساب'!$P$4:$P$254,0)),"")</f>
        <v>46167</v>
      </c>
      <c r="B36" s="122" t="str">
        <f>IFERROR(INDEX('كشف الحساب'!$B$4:$B$254,MATCH(31,'كشف الحساب'!$P$4:$P$254,0)),"")</f>
        <v>Inv-39</v>
      </c>
      <c r="C36" s="121" t="str">
        <f>IFERROR(INDEX('كشف الحساب'!$C$4:$C$254,MATCH(31,'كشف الحساب'!$P$4:$P$254,0)),"")</f>
        <v>داراسينا حمراء عدد4 الحبه 1</v>
      </c>
      <c r="D36" s="123">
        <f>IFERROR(INDEX('كشف الحساب'!$E$4:$E$254,MATCH(31,'كشف الحساب'!$P$4:$P$254,0)),"")</f>
        <v>4</v>
      </c>
      <c r="E36" s="124">
        <f>IFERROR(INDEX('كشف الحساب'!$D$4:$D$254,MATCH(31,'كشف الحساب'!$P$4:$P$254,0)),"")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الحساب'!$A$4:$A$254,MATCH(32,'كشف الحساب'!$P$4:$P$254,0)),"")</f>
        <v>46146</v>
      </c>
      <c r="B37" s="122" t="str">
        <f>IFERROR(INDEX('كشف الحساب'!$B$4:$B$254,MATCH(32,'كشف الحساب'!$P$4:$P$254,0)),"")</f>
        <v>Inv-40</v>
      </c>
      <c r="C37" s="121" t="str">
        <f>IFERROR(INDEX('كشف الحساب'!$C$4:$C$254,MATCH(32,'كشف الحساب'!$P$4:$P$254,0)),"")</f>
        <v>other</v>
      </c>
      <c r="D37" s="123">
        <f>IFERROR(INDEX('كشف الحساب'!$E$4:$E$254,MATCH(32,'كشف الحساب'!$P$4:$P$254,0)),"")</f>
        <v>9</v>
      </c>
      <c r="E37" s="124">
        <f>IFERROR(INDEX('كشف الحساب'!$D$4:$D$254,MATCH(32,'كشف الحساب'!$P$4:$P$254,0)),"")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الحساب'!$A$4:$A$254,MATCH(33,'كشف الحساب'!$P$4:$P$254,0)),"")</f>
        <v>46146</v>
      </c>
      <c r="B38" s="122" t="str">
        <f>IFERROR(INDEX('كشف الحساب'!$B$4:$B$254,MATCH(33,'كشف الحساب'!$P$4:$P$254,0)),"")</f>
        <v>Inv-41</v>
      </c>
      <c r="C38" s="121" t="str">
        <f>IFERROR(INDEX('كشف الحساب'!$C$4:$C$254,MATCH(33,'كشف الحساب'!$P$4:$P$254,0)),"")</f>
        <v>other</v>
      </c>
      <c r="D38" s="123">
        <f>IFERROR(INDEX('كشف الحساب'!$E$4:$E$254,MATCH(33,'كشف الحساب'!$P$4:$P$254,0)),"")</f>
        <v>9</v>
      </c>
      <c r="E38" s="124">
        <f>IFERROR(INDEX('كشف الحساب'!$D$4:$D$254,MATCH(33,'كشف الحساب'!$P$4:$P$254,0)),"")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الحساب'!$A$4:$A$254,MATCH(34,'كشف الحساب'!$P$4:$P$254,0)),"")</f>
        <v>46146</v>
      </c>
      <c r="B39" s="122" t="str">
        <f>IFERROR(INDEX('كشف الحساب'!$B$4:$B$254,MATCH(34,'كشف الحساب'!$P$4:$P$254,0)),"")</f>
        <v>Inv-42</v>
      </c>
      <c r="C39" s="121" t="str">
        <f>IFERROR(INDEX('كشف الحساب'!$C$4:$C$254,MATCH(34,'كشف الحساب'!$P$4:$P$254,0)),"")</f>
        <v>other</v>
      </c>
      <c r="D39" s="123">
        <f>IFERROR(INDEX('كشف الحساب'!$E$4:$E$254,MATCH(34,'كشف الحساب'!$P$4:$P$254,0)),"")</f>
        <v>2</v>
      </c>
      <c r="E39" s="124">
        <f>IFERROR(INDEX('كشف الحساب'!$D$4:$D$254,MATCH(34,'كشف الحساب'!$P$4:$P$254,0)),"")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الحساب'!$A$4:$A$254,MATCH(35,'كشف الحساب'!$P$4:$P$254,0)),"")</f>
        <v>46147</v>
      </c>
      <c r="B40" s="122" t="str">
        <f>IFERROR(INDEX('كشف الحساب'!$B$4:$B$254,MATCH(35,'كشف الحساب'!$P$4:$P$254,0)),"")</f>
        <v>Inv-43</v>
      </c>
      <c r="C40" s="121" t="str">
        <f>IFERROR(INDEX('كشف الحساب'!$C$4:$C$254,MATCH(35,'كشف الحساب'!$P$4:$P$254,0)),"")</f>
        <v>other</v>
      </c>
      <c r="D40" s="123">
        <f>IFERROR(INDEX('كشف الحساب'!$E$4:$E$254,MATCH(35,'كشف الحساب'!$P$4:$P$254,0)),"")</f>
        <v>3.75</v>
      </c>
      <c r="E40" s="124">
        <f>IFERROR(INDEX('كشف الحساب'!$D$4:$D$254,MATCH(35,'كشف الحساب'!$P$4:$P$254,0)),"")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الحساب'!$A$4:$A$254,MATCH(36,'كشف الحساب'!$P$4:$P$254,0)),"")</f>
        <v>46149</v>
      </c>
      <c r="B41" s="122" t="str">
        <f>IFERROR(INDEX('كشف الحساب'!$B$4:$B$254,MATCH(36,'كشف الحساب'!$P$4:$P$254,0)),"")</f>
        <v>Inv-44a</v>
      </c>
      <c r="C41" s="121" t="str">
        <f>IFERROR(INDEX('كشف الحساب'!$C$4:$C$254,MATCH(36,'كشف الحساب'!$P$4:$P$254,0)),"")</f>
        <v>other</v>
      </c>
      <c r="D41" s="123">
        <f>IFERROR(INDEX('كشف الحساب'!$E$4:$E$254,MATCH(36,'كشف الحساب'!$P$4:$P$254,0)),"")</f>
        <v>5</v>
      </c>
      <c r="E41" s="124">
        <f>IFERROR(INDEX('كشف الحساب'!$D$4:$D$254,MATCH(36,'كشف الحساب'!$P$4:$P$254,0)),"")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الحساب'!$A$4:$A$254,MATCH(37,'كشف الحساب'!$P$4:$P$254,0)),"")</f>
        <v>46155</v>
      </c>
      <c r="B42" s="122" t="str">
        <f>IFERROR(INDEX('كشف الحساب'!$B$4:$B$254,MATCH(37,'كشف الحساب'!$P$4:$P$254,0)),"")</f>
        <v>Inv-44</v>
      </c>
      <c r="C42" s="121" t="str">
        <f>IFERROR(INDEX('كشف الحساب'!$C$4:$C$254,MATCH(37,'كشف الحساب'!$P$4:$P$254,0)),"")</f>
        <v>other</v>
      </c>
      <c r="D42" s="123">
        <f>IFERROR(INDEX('كشف الحساب'!$E$4:$E$254,MATCH(37,'كشف الحساب'!$P$4:$P$254,0)),"")</f>
        <v>15</v>
      </c>
      <c r="E42" s="124">
        <f>IFERROR(INDEX('كشف الحساب'!$D$4:$D$254,MATCH(37,'كشف الحساب'!$P$4:$P$254,0)),"")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الحساب'!$A$4:$A$254,MATCH(38,'كشف الحساب'!$P$4:$P$254,0)),"")</f>
        <v>46155</v>
      </c>
      <c r="B43" s="122" t="str">
        <f>IFERROR(INDEX('كشف الحساب'!$B$4:$B$254,MATCH(38,'كشف الحساب'!$P$4:$P$254,0)),"")</f>
        <v>Inv-45</v>
      </c>
      <c r="C43" s="121" t="str">
        <f>IFERROR(INDEX('كشف الحساب'!$C$4:$C$254,MATCH(38,'كشف الحساب'!$P$4:$P$254,0)),"")</f>
        <v>other</v>
      </c>
      <c r="D43" s="123">
        <f>IFERROR(INDEX('كشف الحساب'!$E$4:$E$254,MATCH(38,'كشف الحساب'!$P$4:$P$254,0)),"")</f>
        <v>4</v>
      </c>
      <c r="E43" s="124">
        <f>IFERROR(INDEX('كشف الحساب'!$D$4:$D$254,MATCH(38,'كشف الحساب'!$P$4:$P$254,0)),"")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الحساب'!$A$4:$A$254,MATCH(39,'كشف الحساب'!$P$4:$P$254,0)),"")</f>
        <v>46155</v>
      </c>
      <c r="B44" s="122" t="str">
        <f>IFERROR(INDEX('كشف الحساب'!$B$4:$B$254,MATCH(39,'كشف الحساب'!$P$4:$P$254,0)),"")</f>
        <v>Inv-46</v>
      </c>
      <c r="C44" s="121" t="str">
        <f>IFERROR(INDEX('كشف الحساب'!$C$4:$C$254,MATCH(39,'كشف الحساب'!$P$4:$P$254,0)),"")</f>
        <v>other</v>
      </c>
      <c r="D44" s="123">
        <f>IFERROR(INDEX('كشف الحساب'!$E$4:$E$254,MATCH(39,'كشف الحساب'!$P$4:$P$254,0)),"")</f>
        <v>3.6</v>
      </c>
      <c r="E44" s="124">
        <f>IFERROR(INDEX('كشف الحساب'!$D$4:$D$254,MATCH(39,'كشف الحساب'!$P$4:$P$254,0)),"")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الحساب'!$A$4:$A$254,MATCH(40,'كشف الحساب'!$P$4:$P$254,0)),"")</f>
        <v>46158</v>
      </c>
      <c r="B45" s="122" t="str">
        <f>IFERROR(INDEX('كشف الحساب'!$B$4:$B$254,MATCH(40,'كشف الحساب'!$P$4:$P$254,0)),"")</f>
        <v>Inv-47</v>
      </c>
      <c r="C45" s="121" t="str">
        <f>IFERROR(INDEX('كشف الحساب'!$C$4:$C$254,MATCH(40,'كشف الحساب'!$P$4:$P$254,0)),"")</f>
        <v>other</v>
      </c>
      <c r="D45" s="123">
        <f>IFERROR(INDEX('كشف الحساب'!$E$4:$E$254,MATCH(40,'كشف الحساب'!$P$4:$P$254,0)),"")</f>
        <v>3</v>
      </c>
      <c r="E45" s="124">
        <f>IFERROR(INDEX('كشف الحساب'!$D$4:$D$254,MATCH(40,'كشف الحساب'!$P$4:$P$254,0)),"")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الحساب'!$A$4:$A$254,MATCH(41,'كشف الحساب'!$P$4:$P$254,0)),"")</f>
        <v>46155</v>
      </c>
      <c r="B46" s="122">
        <f>IFERROR(INDEX('كشف الحساب'!$B$4:$B$254,MATCH(41,'كشف الحساب'!$P$4:$P$254,0)),"")</f>
        <v>0</v>
      </c>
      <c r="C46" s="121" t="str">
        <f>IFERROR(INDEX('كشف الحساب'!$C$4:$C$254,MATCH(41,'كشف الحساب'!$P$4:$P$254,0)),"")</f>
        <v>جبس لتغطيه المحميه</v>
      </c>
      <c r="D46" s="123">
        <f>IFERROR(INDEX('كشف الحساب'!$E$4:$E$254,MATCH(41,'كشف الحساب'!$P$4:$P$254,0)),"")</f>
        <v>0</v>
      </c>
      <c r="E46" s="124">
        <f>IFERROR(INDEX('كشف الحساب'!$D$4:$D$254,MATCH(41,'كشف الحساب'!$P$4:$P$254,0)),"")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الحساب'!$A$4:$A$254,MATCH(42,'كشف الحساب'!$P$4:$P$254,0)),"")</f>
        <v>46175</v>
      </c>
      <c r="B47" s="122" t="str">
        <f>IFERROR(INDEX('كشف الحساب'!$B$4:$B$254,MATCH(42,'كشف الحساب'!$P$4:$P$254,0)),"")</f>
        <v>Inv-53</v>
      </c>
      <c r="C47" s="121" t="str">
        <f>IFERROR(INDEX('كشف الحساب'!$C$4:$C$254,MATCH(42,'كشف الحساب'!$P$4:$P$254,0)),"")</f>
        <v>فل عدد 24 الحبه .750</v>
      </c>
      <c r="D47" s="123">
        <f>IFERROR(INDEX('كشف الحساب'!$E$4:$E$254,MATCH(42,'كشف الحساب'!$P$4:$P$254,0)),"")</f>
        <v>18</v>
      </c>
      <c r="E47" s="124">
        <f>IFERROR(INDEX('كشف الحساب'!$D$4:$D$254,MATCH(42,'كشف الحساب'!$P$4:$P$254,0)),"")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الحساب'!$A$4:$A$254,MATCH(43,'كشف الحساب'!$P$4:$P$254,0)),"")</f>
        <v>46175</v>
      </c>
      <c r="B48" s="122" t="str">
        <f>IFERROR(INDEX('كشف الحساب'!$B$4:$B$254,MATCH(43,'كشف الحساب'!$P$4:$P$254,0)),"")</f>
        <v>Inv-54</v>
      </c>
      <c r="C48" s="121" t="str">
        <f>IFERROR(INDEX('كشف الحساب'!$C$4:$C$254,MATCH(43,'كشف الحساب'!$P$4:$P$254,0)),"")</f>
        <v>دارسينا خضراء عدد 1 الحبه 2</v>
      </c>
      <c r="D48" s="123">
        <f>IFERROR(INDEX('كشف الحساب'!$E$4:$E$254,MATCH(43,'كشف الحساب'!$P$4:$P$254,0)),"")</f>
        <v>2</v>
      </c>
      <c r="E48" s="124">
        <f>IFERROR(INDEX('كشف الحساب'!$D$4:$D$254,MATCH(43,'كشف الحساب'!$P$4:$P$254,0)),"")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الحساب'!$A$4:$A$254,MATCH(44,'كشف الحساب'!$P$4:$P$254,0)),"")</f>
        <v>46175</v>
      </c>
      <c r="B49" s="122" t="str">
        <f>IFERROR(INDEX('كشف الحساب'!$B$4:$B$254,MATCH(44,'كشف الحساب'!$P$4:$P$254,0)),"")</f>
        <v>Inv-55</v>
      </c>
      <c r="C49" s="121" t="str">
        <f>IFERROR(INDEX('كشف الحساب'!$C$4:$C$254,MATCH(44,'كشف الحساب'!$P$4:$P$254,0)),"")</f>
        <v>افوبيا عدد 2 الحبه .750</v>
      </c>
      <c r="D49" s="123">
        <f>IFERROR(INDEX('كشف الحساب'!$E$4:$E$254,MATCH(44,'كشف الحساب'!$P$4:$P$254,0)),"")</f>
        <v>1.5</v>
      </c>
      <c r="E49" s="124">
        <f>IFERROR(INDEX('كشف الحساب'!$D$4:$D$254,MATCH(44,'كشف الحساب'!$P$4:$P$254,0)),"")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الحساب'!$A$4:$A$254,MATCH(45,'كشف الحساب'!$P$4:$P$254,0)),"")</f>
        <v>46175</v>
      </c>
      <c r="B50" s="122" t="str">
        <f>IFERROR(INDEX('كشف الحساب'!$B$4:$B$254,MATCH(45,'كشف الحساب'!$P$4:$P$254,0)),"")</f>
        <v>Inv-56</v>
      </c>
      <c r="C50" s="121" t="str">
        <f>IFERROR(INDEX('كشف الحساب'!$C$4:$C$254,MATCH(45,'كشف الحساب'!$P$4:$P$254,0)),"")</f>
        <v>دارسينا سوداء عدد 3 الحبه 1</v>
      </c>
      <c r="D50" s="123">
        <f>IFERROR(INDEX('كشف الحساب'!$E$4:$E$254,MATCH(45,'كشف الحساب'!$P$4:$P$254,0)),"")</f>
        <v>3</v>
      </c>
      <c r="E50" s="124">
        <f>IFERROR(INDEX('كشف الحساب'!$D$4:$D$254,MATCH(45,'كشف الحساب'!$P$4:$P$254,0)),"")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الحساب'!$A$4:$A$254,MATCH(46,'كشف الحساب'!$P$4:$P$254,0)),"")</f>
        <v>46177</v>
      </c>
      <c r="B51" s="122" t="str">
        <f>IFERROR(INDEX('كشف الحساب'!$B$4:$B$254,MATCH(46,'كشف الحساب'!$P$4:$P$254,0)),"")</f>
        <v>inv-57</v>
      </c>
      <c r="C51" s="121" t="str">
        <f>IFERROR(INDEX('كشف الحساب'!$C$4:$C$254,MATCH(46,'كشف الحساب'!$P$4:$P$254,0)),"")</f>
        <v>فوزير عدد1 قيمه 1</v>
      </c>
      <c r="D51" s="123">
        <f>IFERROR(INDEX('كشف الحساب'!$E$4:$E$254,MATCH(46,'كشف الحساب'!$P$4:$P$254,0)),"")</f>
        <v>1</v>
      </c>
      <c r="E51" s="124">
        <f>IFERROR(INDEX('كشف الحساب'!$D$4:$D$254,MATCH(46,'كشف الحساب'!$P$4:$P$254,0)),"")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الحساب'!$A$4:$A$254,MATCH(47,'كشف الحساب'!$P$4:$P$254,0)),"")</f>
        <v>46177</v>
      </c>
      <c r="B52" s="122">
        <f>IFERROR(INDEX('كشف الحساب'!$B$4:$B$254,MATCH(47,'كشف الحساب'!$P$4:$P$254,0)),"")</f>
        <v>0</v>
      </c>
      <c r="C52" s="121" t="str">
        <f>IFERROR(INDEX('كشف الحساب'!$C$4:$C$254,MATCH(47,'كشف الحساب'!$P$4:$P$254,0)),"")</f>
        <v>سماد</v>
      </c>
      <c r="D52" s="123">
        <f>IFERROR(INDEX('كشف الحساب'!$E$4:$E$254,MATCH(47,'كشف الحساب'!$P$4:$P$254,0)),"")</f>
        <v>0</v>
      </c>
      <c r="E52" s="124">
        <f>IFERROR(INDEX('كشف الحساب'!$D$4:$D$254,MATCH(47,'كشف الحساب'!$P$4:$P$254,0)),"")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الحساب'!$A$4:$A$254,MATCH(48,'كشف الحساب'!$P$4:$P$254,0)),"")</f>
        <v>46177</v>
      </c>
      <c r="B53" s="122">
        <f>IFERROR(INDEX('كشف الحساب'!$B$4:$B$254,MATCH(48,'كشف الحساب'!$P$4:$P$254,0)),"")</f>
        <v>0</v>
      </c>
      <c r="C53" s="121" t="str">
        <f>IFERROR(INDEX('كشف الحساب'!$C$4:$C$254,MATCH(48,'كشف الحساب'!$P$4:$P$254,0)),"")</f>
        <v>تاير لعربة الرش</v>
      </c>
      <c r="D53" s="123">
        <f>IFERROR(INDEX('كشف الحساب'!$E$4:$E$254,MATCH(48,'كشف الحساب'!$P$4:$P$254,0)),"")</f>
        <v>0</v>
      </c>
      <c r="E53" s="124">
        <f>IFERROR(INDEX('كشف الحساب'!$D$4:$D$254,MATCH(48,'كشف الحساب'!$P$4:$P$254,0)),"")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الحساب'!$A$4:$A$254,MATCH(49,'كشف الحساب'!$P$4:$P$254,0)),"")</f>
        <v>46177</v>
      </c>
      <c r="B54" s="122">
        <f>IFERROR(INDEX('كشف الحساب'!$B$4:$B$254,MATCH(49,'كشف الحساب'!$P$4:$P$254,0)),"")</f>
        <v>0</v>
      </c>
      <c r="C54" s="121" t="str">
        <f>IFERROR(INDEX('كشف الحساب'!$C$4:$C$254,MATCH(49,'كشف الحساب'!$P$4:$P$254,0)),"")</f>
        <v>حفاره خلط السماد</v>
      </c>
      <c r="D54" s="123">
        <f>IFERROR(INDEX('كشف الحساب'!$E$4:$E$254,MATCH(49,'كشف الحساب'!$P$4:$P$254,0)),"")</f>
        <v>0</v>
      </c>
      <c r="E54" s="124">
        <f>IFERROR(INDEX('كشف الحساب'!$D$4:$D$254,MATCH(49,'كشف الحساب'!$P$4:$P$254,0)),"")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الحساب'!$A$4:$A$254,MATCH(50,'كشف الحساب'!$P$4:$P$254,0)),"")</f>
        <v>46179</v>
      </c>
      <c r="B55" s="122" t="str">
        <f>IFERROR(INDEX('كشف الحساب'!$B$4:$B$254,MATCH(50,'كشف الحساب'!$P$4:$P$254,0)),"")</f>
        <v>Inv-58</v>
      </c>
      <c r="C55" s="121" t="str">
        <f>IFERROR(INDEX('كشف الحساب'!$C$4:$C$254,MATCH(50,'كشف الحساب'!$P$4:$P$254,0)),"")</f>
        <v>دارسينا عدد3 بقيمه 1 للحبه</v>
      </c>
      <c r="D55" s="123">
        <f>IFERROR(INDEX('كشف الحساب'!$E$4:$E$254,MATCH(50,'كشف الحساب'!$P$4:$P$254,0)),"")</f>
        <v>3</v>
      </c>
      <c r="E55" s="124">
        <f>IFERROR(INDEX('كشف الحساب'!$D$4:$D$254,MATCH(50,'كشف الحساب'!$P$4:$P$254,0)),"")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الحساب'!$A$4:$A$254,MATCH(51,'كشف الحساب'!$P$4:$P$254,0)),"")</f>
        <v>46179</v>
      </c>
      <c r="B56" s="122" t="str">
        <f>IFERROR(INDEX('كشف الحساب'!$B$4:$B$254,MATCH(51,'كشف الحساب'!$P$4:$P$254,0)),"")</f>
        <v>Inv-59</v>
      </c>
      <c r="C56" s="121" t="str">
        <f>IFERROR(INDEX('كشف الحساب'!$C$4:$C$254,MATCH(51,'كشف الحساب'!$P$4:$P$254,0)),"")</f>
        <v>ودليه عدد 1 بقيمه 1</v>
      </c>
      <c r="D56" s="123">
        <f>IFERROR(INDEX('كشف الحساب'!$E$4:$E$254,MATCH(51,'كشف الحساب'!$P$4:$P$254,0)),"")</f>
        <v>1</v>
      </c>
      <c r="E56" s="124">
        <f>IFERROR(INDEX('كشف الحساب'!$D$4:$D$254,MATCH(51,'كشف الحساب'!$P$4:$P$254,0)),"")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الحساب'!$A$4:$A$254,MATCH(52,'كشف الحساب'!$P$4:$P$254,0)),"")</f>
        <v>46179</v>
      </c>
      <c r="B57" s="122" t="str">
        <f>IFERROR(INDEX('كشف الحساب'!$B$4:$B$254,MATCH(52,'كشف الحساب'!$P$4:$P$254,0)),"")</f>
        <v>Inv-60</v>
      </c>
      <c r="C57" s="121" t="str">
        <f>IFERROR(INDEX('كشف الحساب'!$C$4:$C$254,MATCH(52,'كشف الحساب'!$P$4:$P$254,0)),"")</f>
        <v>دارسينا حمراء عدد 1 بقيمه 3</v>
      </c>
      <c r="D57" s="123">
        <f>IFERROR(INDEX('كشف الحساب'!$E$4:$E$254,MATCH(52,'كشف الحساب'!$P$4:$P$254,0)),"")</f>
        <v>3</v>
      </c>
      <c r="E57" s="124">
        <f>IFERROR(INDEX('كشف الحساب'!$D$4:$D$254,MATCH(52,'كشف الحساب'!$P$4:$P$254,0)),"")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الحساب'!$A$4:$A$254,MATCH(53,'كشف الحساب'!$P$4:$P$254,0)),"")</f>
        <v>46181</v>
      </c>
      <c r="B58" s="122" t="str">
        <f>IFERROR(INDEX('كشف الحساب'!$B$4:$B$254,MATCH(53,'كشف الحساب'!$P$4:$P$254,0)),"")</f>
        <v>Inv-61</v>
      </c>
      <c r="C58" s="121" t="str">
        <f>IFERROR(INDEX('كشف الحساب'!$C$4:$C$254,MATCH(53,'كشف الحساب'!$P$4:$P$254,0)),"")</f>
        <v>فل عدد 20 بقيمه 0.750</v>
      </c>
      <c r="D58" s="123">
        <f>IFERROR(INDEX('كشف الحساب'!$E$4:$E$254,MATCH(53,'كشف الحساب'!$P$4:$P$254,0)),"")</f>
        <v>15</v>
      </c>
      <c r="E58" s="124">
        <f>IFERROR(INDEX('كشف الحساب'!$D$4:$D$254,MATCH(53,'كشف الحساب'!$P$4:$P$254,0)),"")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الحساب'!$A$4:$A$254,MATCH(54,'كشف الحساب'!$P$4:$P$254,0)),"")</f>
        <v>46181</v>
      </c>
      <c r="B59" s="122">
        <f>IFERROR(INDEX('كشف الحساب'!$B$4:$B$254,MATCH(54,'كشف الحساب'!$P$4:$P$254,0)),"")</f>
        <v>0</v>
      </c>
      <c r="C59" s="121" t="str">
        <f>IFERROR(INDEX('كشف الحساب'!$C$4:$C$254,MATCH(54,'كشف الحساب'!$P$4:$P$254,0)),"")</f>
        <v>اسمنت اسود للمحميه الصغيره الجديده</v>
      </c>
      <c r="D59" s="123">
        <f>IFERROR(INDEX('كشف الحساب'!$E$4:$E$254,MATCH(54,'كشف الحساب'!$P$4:$P$254,0)),"")</f>
        <v>0</v>
      </c>
      <c r="E59" s="124">
        <f>IFERROR(INDEX('كشف الحساب'!$D$4:$D$254,MATCH(54,'كشف الحساب'!$P$4:$P$254,0)),"")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الحساب'!$A$4:$A$254,MATCH(55,'كشف الحساب'!$P$4:$P$254,0)),"")</f>
        <v>46181</v>
      </c>
      <c r="B60" s="122">
        <f>IFERROR(INDEX('كشف الحساب'!$B$4:$B$254,MATCH(55,'كشف الحساب'!$P$4:$P$254,0)),"")</f>
        <v>0</v>
      </c>
      <c r="C60" s="121" t="str">
        <f>IFERROR(INDEX('كشف الحساب'!$C$4:$C$254,MATCH(55,'كشف الحساب'!$P$4:$P$254,0)),"")</f>
        <v>حديد اسود للمحميه الصغيره الجديده</v>
      </c>
      <c r="D60" s="123">
        <f>IFERROR(INDEX('كشف الحساب'!$E$4:$E$254,MATCH(55,'كشف الحساب'!$P$4:$P$254,0)),"")</f>
        <v>0</v>
      </c>
      <c r="E60" s="124">
        <f>IFERROR(INDEX('كشف الحساب'!$D$4:$D$254,MATCH(55,'كشف الحساب'!$P$4:$P$254,0)),"")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الحساب'!$A$4:$A$254,MATCH(56,'كشف الحساب'!$P$4:$P$254,0)),"")</f>
        <v>46182</v>
      </c>
      <c r="B61" s="122" t="str">
        <f>IFERROR(INDEX('كشف الحساب'!$B$4:$B$254,MATCH(56,'كشف الحساب'!$P$4:$P$254,0)),"")</f>
        <v>Inv-62</v>
      </c>
      <c r="C61" s="121" t="str">
        <f>IFERROR(INDEX('كشف الحساب'!$C$4:$C$254,MATCH(56,'كشف الحساب'!$P$4:$P$254,0)),"")</f>
        <v>فل عدد 30 الحبه 0.750</v>
      </c>
      <c r="D61" s="123">
        <f>IFERROR(INDEX('كشف الحساب'!$E$4:$E$254,MATCH(56,'كشف الحساب'!$P$4:$P$254,0)),"")</f>
        <v>22.5</v>
      </c>
      <c r="E61" s="124">
        <f>IFERROR(INDEX('كشف الحساب'!$D$4:$D$254,MATCH(56,'كشف الحساب'!$P$4:$P$254,0)),"")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الحساب'!$A$4:$A$254,MATCH(57,'كشف الحساب'!$P$4:$P$254,0)),"")</f>
        <v>46184</v>
      </c>
      <c r="B62" s="122">
        <f>IFERROR(INDEX('كشف الحساب'!$B$4:$B$254,MATCH(57,'كشف الحساب'!$P$4:$P$254,0)),"")</f>
        <v>0</v>
      </c>
      <c r="C62" s="121" t="str">
        <f>IFERROR(INDEX('كشف الحساب'!$C$4:$C$254,MATCH(57,'كشف الحساب'!$P$4:$P$254,0)),"")</f>
        <v>براغي</v>
      </c>
      <c r="D62" s="123">
        <f>IFERROR(INDEX('كشف الحساب'!$E$4:$E$254,MATCH(57,'كشف الحساب'!$P$4:$P$254,0)),"")</f>
        <v>0</v>
      </c>
      <c r="E62" s="124">
        <f>IFERROR(INDEX('كشف الحساب'!$D$4:$D$254,MATCH(57,'كشف الحساب'!$P$4:$P$254,0)),"")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الحساب'!$A$4:$A$254,MATCH(58,'كشف الحساب'!$P$4:$P$254,0)),"")</f>
        <v>46185</v>
      </c>
      <c r="B63" s="122">
        <f>IFERROR(INDEX('كشف الحساب'!$B$4:$B$254,MATCH(58,'كشف الحساب'!$P$4:$P$254,0)),"")</f>
        <v>0</v>
      </c>
      <c r="C63" s="121" t="str">
        <f>IFERROR(INDEX('كشف الحساب'!$C$4:$C$254,MATCH(58,'كشف الحساب'!$P$4:$P$254,0)),"")</f>
        <v>رول لحيم</v>
      </c>
      <c r="D63" s="123">
        <f>IFERROR(INDEX('كشف الحساب'!$E$4:$E$254,MATCH(58,'كشف الحساب'!$P$4:$P$254,0)),"")</f>
        <v>0</v>
      </c>
      <c r="E63" s="124">
        <f>IFERROR(INDEX('كشف الحساب'!$D$4:$D$254,MATCH(58,'كشف الحساب'!$P$4:$P$254,0)),"")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الحساب'!$A$4:$A$254,MATCH(59,'كشف الحساب'!$P$4:$P$254,0)),"")</f>
        <v>46186</v>
      </c>
      <c r="B64" s="122" t="str">
        <f>IFERROR(INDEX('كشف الحساب'!$B$4:$B$254,MATCH(59,'كشف الحساب'!$P$4:$P$254,0)),"")</f>
        <v>Inv-64</v>
      </c>
      <c r="C64" s="121" t="str">
        <f>IFERROR(INDEX('كشف الحساب'!$C$4:$C$254,MATCH(59,'كشف الحساب'!$P$4:$P$254,0)),"")</f>
        <v>معلقات عدد 10 الحبه 1</v>
      </c>
      <c r="D64" s="123">
        <f>IFERROR(INDEX('كشف الحساب'!$E$4:$E$254,MATCH(59,'كشف الحساب'!$P$4:$P$254,0)),"")</f>
        <v>10</v>
      </c>
      <c r="E64" s="124">
        <f>IFERROR(INDEX('كشف الحساب'!$D$4:$D$254,MATCH(59,'كشف الحساب'!$P$4:$P$254,0)),"")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الحساب'!$A$4:$A$254,MATCH(60,'كشف الحساب'!$P$4:$P$254,0)),"")</f>
        <v>46186</v>
      </c>
      <c r="B65" s="122" t="str">
        <f>IFERROR(INDEX('كشف الحساب'!$B$4:$B$254,MATCH(60,'كشف الحساب'!$P$4:$P$254,0)),"")</f>
        <v>Inv-65</v>
      </c>
      <c r="C65" s="121" t="str">
        <f>IFERROR(INDEX('كشف الحساب'!$C$4:$C$254,MATCH(60,'كشف الحساب'!$P$4:$P$254,0)),"")</f>
        <v>ودوليه عدد 5 الحبه 1</v>
      </c>
      <c r="D65" s="123">
        <f>IFERROR(INDEX('كشف الحساب'!$E$4:$E$254,MATCH(60,'كشف الحساب'!$P$4:$P$254,0)),"")</f>
        <v>5</v>
      </c>
      <c r="E65" s="124">
        <f>IFERROR(INDEX('كشف الحساب'!$D$4:$D$254,MATCH(60,'كشف الحساب'!$P$4:$P$254,0)),"")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الحساب'!$A$4:$A$254,MATCH(61,'كشف الحساب'!$P$4:$P$254,0)),"")</f>
        <v>46189</v>
      </c>
      <c r="B66" s="122" t="str">
        <f>IFERROR(INDEX('كشف الحساب'!$B$4:$B$254,MATCH(61,'كشف الحساب'!$P$4:$P$254,0)),"")</f>
        <v>Inv-66</v>
      </c>
      <c r="C66" s="121" t="str">
        <f>IFERROR(INDEX('كشف الحساب'!$C$4:$C$254,MATCH(61,'كشف الحساب'!$P$4:$P$254,0)),"")</f>
        <v>شوكليرا عدد10 الحبه 1.500</v>
      </c>
      <c r="D66" s="123">
        <f>IFERROR(INDEX('كشف الحساب'!$E$4:$E$254,MATCH(61,'كشف الحساب'!$P$4:$P$254,0)),"")</f>
        <v>15</v>
      </c>
      <c r="E66" s="124">
        <f>IFERROR(INDEX('كشف الحساب'!$D$4:$D$254,MATCH(61,'كشف الحساب'!$P$4:$P$254,0)),"")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الحساب'!$A$4:$A$254,MATCH(62,'كشف الحساب'!$P$4:$P$254,0)),"")</f>
        <v>46189</v>
      </c>
      <c r="B67" s="122" t="str">
        <f>IFERROR(INDEX('كشف الحساب'!$B$4:$B$254,MATCH(62,'كشف الحساب'!$P$4:$P$254,0)),"")</f>
        <v>Inv-67</v>
      </c>
      <c r="C67" s="121" t="str">
        <f>IFERROR(INDEX('كشف الحساب'!$C$4:$C$254,MATCH(62,'كشف الحساب'!$P$4:$P$254,0)),"")</f>
        <v>فيكس عدد7 الحبه 1</v>
      </c>
      <c r="D67" s="123">
        <f>IFERROR(INDEX('كشف الحساب'!$E$4:$E$254,MATCH(62,'كشف الحساب'!$P$4:$P$254,0)),"")</f>
        <v>7</v>
      </c>
      <c r="E67" s="124">
        <f>IFERROR(INDEX('كشف الحساب'!$D$4:$D$254,MATCH(62,'كشف الحساب'!$P$4:$P$254,0)),"")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الحساب'!$A$4:$A$254,MATCH(63,'كشف الحساب'!$P$4:$P$254,0)),"")</f>
        <v>46189</v>
      </c>
      <c r="B68" s="122" t="str">
        <f>IFERROR(INDEX('كشف الحساب'!$B$4:$B$254,MATCH(63,'كشف الحساب'!$P$4:$P$254,0)),"")</f>
        <v>Inv-68</v>
      </c>
      <c r="C68" s="121" t="str">
        <f>IFERROR(INDEX('كشف الحساب'!$C$4:$C$254,MATCH(63,'كشف الحساب'!$P$4:$P$254,0)),"")</f>
        <v>ربل عدد 5 الحبه 2</v>
      </c>
      <c r="D68" s="123">
        <f>IFERROR(INDEX('كشف الحساب'!$E$4:$E$254,MATCH(63,'كشف الحساب'!$P$4:$P$254,0)),"")</f>
        <v>10</v>
      </c>
      <c r="E68" s="124">
        <f>IFERROR(INDEX('كشف الحساب'!$D$4:$D$254,MATCH(63,'كشف الحساب'!$P$4:$P$254,0)),"")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الحساب'!$A$4:$A$254,MATCH(64,'كشف الحساب'!$P$4:$P$254,0)),"")</f>
        <v>46189</v>
      </c>
      <c r="B69" s="122" t="str">
        <f>IFERROR(INDEX('كشف الحساب'!$B$4:$B$254,MATCH(64,'كشف الحساب'!$P$4:$P$254,0)),"")</f>
        <v>Inv-69</v>
      </c>
      <c r="C69" s="121" t="str">
        <f>IFERROR(INDEX('كشف الحساب'!$C$4:$C$254,MATCH(64,'كشف الحساب'!$P$4:$P$254,0)),"")</f>
        <v>فل عدد 24 الحبه .750</v>
      </c>
      <c r="D69" s="123">
        <f>IFERROR(INDEX('كشف الحساب'!$E$4:$E$254,MATCH(64,'كشف الحساب'!$P$4:$P$254,0)),"")</f>
        <v>18</v>
      </c>
      <c r="E69" s="124">
        <f>IFERROR(INDEX('كشف الحساب'!$D$4:$D$254,MATCH(64,'كشف الحساب'!$P$4:$P$254,0)),"")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الحساب'!$A$4:$A$254,MATCH(65,'كشف الحساب'!$P$4:$P$254,0)),"")</f>
        <v>46188</v>
      </c>
      <c r="B70" s="122">
        <f>IFERROR(INDEX('كشف الحساب'!$B$4:$B$254,MATCH(65,'كشف الحساب'!$P$4:$P$254,0)),"")</f>
        <v>0</v>
      </c>
      <c r="C70" s="121" t="str">
        <f>IFERROR(INDEX('كشف الحساب'!$C$4:$C$254,MATCH(65,'كشف الحساب'!$P$4:$P$254,0)),"")</f>
        <v>أقامه عبدول</v>
      </c>
      <c r="D70" s="123">
        <f>IFERROR(INDEX('كشف الحساب'!$E$4:$E$254,MATCH(65,'كشف الحساب'!$P$4:$P$254,0)),"")</f>
        <v>0</v>
      </c>
      <c r="E70" s="124">
        <f>IFERROR(INDEX('كشف الحساب'!$D$4:$D$254,MATCH(65,'كشف الحساب'!$P$4:$P$254,0)),"")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الحساب'!$A$4:$A$254,MATCH(66,'كشف الحساب'!$P$4:$P$254,0)),"")</f>
        <v>46190</v>
      </c>
      <c r="B71" s="122" t="str">
        <f>IFERROR(INDEX('كشف الحساب'!$B$4:$B$254,MATCH(66,'كشف الحساب'!$P$4:$P$254,0)),"")</f>
        <v>Inv-70</v>
      </c>
      <c r="C71" s="121" t="str">
        <f>IFERROR(INDEX('كشف الحساب'!$C$4:$C$254,MATCH(66,'كشف الحساب'!$P$4:$P$254,0)),"")</f>
        <v>افوبياعدد 1 الحبه .0.750</v>
      </c>
      <c r="D71" s="123">
        <f>IFERROR(INDEX('كشف الحساب'!$E$4:$E$254,MATCH(66,'كشف الحساب'!$P$4:$P$254,0)),"")</f>
        <v>0.75</v>
      </c>
      <c r="E71" s="124">
        <f>IFERROR(INDEX('كشف الحساب'!$D$4:$D$254,MATCH(66,'كشف الحساب'!$P$4:$P$254,0)),"")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الحساب'!$A$4:$A$254,MATCH(67,'كشف الحساب'!$P$4:$P$254,0)),"")</f>
        <v>46190</v>
      </c>
      <c r="B72" s="122" t="str">
        <f>IFERROR(INDEX('كشف الحساب'!$B$4:$B$254,MATCH(67,'كشف الحساب'!$P$4:$P$254,0)),"")</f>
        <v>Inv-71</v>
      </c>
      <c r="C72" s="121" t="str">
        <f>IFERROR(INDEX('كشف الحساب'!$C$4:$C$254,MATCH(67,'كشف الحساب'!$P$4:$P$254,0)),"")</f>
        <v>دارسينا عدد 1 الحبه 1.500</v>
      </c>
      <c r="D72" s="123">
        <f>IFERROR(INDEX('كشف الحساب'!$E$4:$E$254,MATCH(67,'كشف الحساب'!$P$4:$P$254,0)),"")</f>
        <v>1.5</v>
      </c>
      <c r="E72" s="124">
        <f>IFERROR(INDEX('كشف الحساب'!$D$4:$D$254,MATCH(67,'كشف الحساب'!$P$4:$P$254,0)),"")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الحساب'!$A$4:$A$254,MATCH(68,'كشف الحساب'!$P$4:$P$254,0)),"")</f>
        <v>46191</v>
      </c>
      <c r="B73" s="122" t="str">
        <f>IFERROR(INDEX('كشف الحساب'!$B$4:$B$254,MATCH(68,'كشف الحساب'!$P$4:$P$254,0)),"")</f>
        <v>Inv-72</v>
      </c>
      <c r="C73" s="121" t="str">
        <f>IFERROR(INDEX('كشف الحساب'!$C$4:$C$254,MATCH(68,'كشف الحساب'!$P$4:$P$254,0)),"")</f>
        <v>فل عدد 1 الحبه 0.750</v>
      </c>
      <c r="D73" s="123">
        <f>IFERROR(INDEX('كشف الحساب'!$E$4:$E$254,MATCH(68,'كشف الحساب'!$P$4:$P$254,0)),"")</f>
        <v>0.75</v>
      </c>
      <c r="E73" s="124">
        <f>IFERROR(INDEX('كشف الحساب'!$D$4:$D$254,MATCH(68,'كشف الحساب'!$P$4:$P$254,0)),"")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الحساب'!$A$4:$A$254,MATCH(69,'كشف الحساب'!$P$4:$P$254,0)),"")</f>
        <v>46191</v>
      </c>
      <c r="B74" s="122" t="str">
        <f>IFERROR(INDEX('كشف الحساب'!$B$4:$B$254,MATCH(69,'كشف الحساب'!$P$4:$P$254,0)),"")</f>
        <v>Inv-73</v>
      </c>
      <c r="C74" s="121" t="str">
        <f>IFERROR(INDEX('كشف الحساب'!$C$4:$C$254,MATCH(69,'كشف الحساب'!$P$4:$P$254,0)),"")</f>
        <v>ودليه عدد 3 الحبه 1</v>
      </c>
      <c r="D74" s="123">
        <f>IFERROR(INDEX('كشف الحساب'!$E$4:$E$254,MATCH(69,'كشف الحساب'!$P$4:$P$254,0)),"")</f>
        <v>3</v>
      </c>
      <c r="E74" s="124">
        <f>IFERROR(INDEX('كشف الحساب'!$D$4:$D$254,MATCH(69,'كشف الحساب'!$P$4:$P$254,0)),"")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الحساب'!$A$4:$A$254,MATCH(70,'كشف الحساب'!$P$4:$P$254,0)),"")</f>
        <v>46199</v>
      </c>
      <c r="B75" s="122" t="str">
        <f>IFERROR(INDEX('كشف الحساب'!$B$4:$B$254,MATCH(70,'كشف الحساب'!$P$4:$P$254,0)),"")</f>
        <v>Inv-74</v>
      </c>
      <c r="C75" s="121" t="str">
        <f>IFERROR(INDEX('كشف الحساب'!$C$4:$C$254,MATCH(70,'كشف الحساب'!$P$4:$P$254,0)),"")</f>
        <v>ربل عدد 11 الحبه 2</v>
      </c>
      <c r="D75" s="123">
        <f>IFERROR(INDEX('كشف الحساب'!$E$4:$E$254,MATCH(70,'كشف الحساب'!$P$4:$P$254,0)),"")</f>
        <v>22</v>
      </c>
      <c r="E75" s="124">
        <f>IFERROR(INDEX('كشف الحساب'!$D$4:$D$254,MATCH(70,'كشف الحساب'!$P$4:$P$254,0)),"")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الحساب'!$A$4:$A$254,MATCH(71,'كشف الحساب'!$P$4:$P$254,0)),"")</f>
        <v>46199</v>
      </c>
      <c r="B76" s="122" t="str">
        <f>IFERROR(INDEX('كشف الحساب'!$B$4:$B$254,MATCH(71,'كشف الحساب'!$P$4:$P$254,0)),"")</f>
        <v>Inv-75</v>
      </c>
      <c r="C76" s="121" t="str">
        <f>IFERROR(INDEX('كشف الحساب'!$C$4:$C$254,MATCH(71,'كشف الحساب'!$P$4:$P$254,0)),"")</f>
        <v>شوفليرا عدد6 الحبه 1.500</v>
      </c>
      <c r="D76" s="123">
        <f>IFERROR(INDEX('كشف الحساب'!$E$4:$E$254,MATCH(71,'كشف الحساب'!$P$4:$P$254,0)),"")</f>
        <v>9</v>
      </c>
      <c r="E76" s="124">
        <f>IFERROR(INDEX('كشف الحساب'!$D$4:$D$254,MATCH(71,'كشف الحساب'!$P$4:$P$254,0)),"")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الحساب'!$A$4:$A$254,MATCH(72,'كشف الحساب'!$P$4:$P$254,0)),"")</f>
        <v>46197</v>
      </c>
      <c r="B77" s="122">
        <f>IFERROR(INDEX('كشف الحساب'!$B$4:$B$254,MATCH(72,'كشف الحساب'!$P$4:$P$254,0)),"")</f>
        <v>0</v>
      </c>
      <c r="C77" s="121" t="str">
        <f>IFERROR(INDEX('كشف الحساب'!$C$4:$C$254,MATCH(72,'كشف الحساب'!$P$4:$P$254,0)),"")</f>
        <v>nbk 18-18-18</v>
      </c>
      <c r="D77" s="123">
        <f>IFERROR(INDEX('كشف الحساب'!$E$4:$E$254,MATCH(72,'كشف الحساب'!$P$4:$P$254,0)),"")</f>
        <v>0</v>
      </c>
      <c r="E77" s="124">
        <f>IFERROR(INDEX('كشف الحساب'!$D$4:$D$254,MATCH(72,'كشف الحساب'!$P$4:$P$254,0)),"")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الحساب'!$A$4:$A$254,MATCH(73,'كشف الحساب'!$P$4:$P$254,0)),"")</f>
        <v>46201</v>
      </c>
      <c r="B78" s="122" t="str">
        <f>IFERROR(INDEX('كشف الحساب'!$B$4:$B$254,MATCH(73,'كشف الحساب'!$P$4:$P$254,0)),"")</f>
        <v>Inv-76</v>
      </c>
      <c r="C78" s="121" t="str">
        <f>IFERROR(INDEX('كشف الحساب'!$C$4:$C$254,MATCH(73,'كشف الحساب'!$P$4:$P$254,0)),"")</f>
        <v>فل عدد 11 الحبه 0.750</v>
      </c>
      <c r="D78" s="123">
        <f>IFERROR(INDEX('كشف الحساب'!$E$4:$E$254,MATCH(73,'كشف الحساب'!$P$4:$P$254,0)),"")</f>
        <v>8.25</v>
      </c>
      <c r="E78" s="124">
        <f>IFERROR(INDEX('كشف الحساب'!$D$4:$D$254,MATCH(73,'كشف الحساب'!$P$4:$P$254,0)),"")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الحساب'!$A$4:$A$254,MATCH(74,'كشف الحساب'!$P$4:$P$254,0)),"")</f>
        <v>46202</v>
      </c>
      <c r="B79" s="122" t="str">
        <f>IFERROR(INDEX('كشف الحساب'!$B$4:$B$254,MATCH(74,'كشف الحساب'!$P$4:$P$254,0)),"")</f>
        <v>Inv-77</v>
      </c>
      <c r="C79" s="121" t="str">
        <f>IFERROR(INDEX('كشف الحساب'!$C$4:$C$254,MATCH(74,'كشف الحساب'!$P$4:$P$254,0)),"")</f>
        <v>عطره عدد 3 الحبه 0.750</v>
      </c>
      <c r="D79" s="123">
        <f>IFERROR(INDEX('كشف الحساب'!$E$4:$E$254,MATCH(74,'كشف الحساب'!$P$4:$P$254,0)),"")</f>
        <v>2.25</v>
      </c>
      <c r="E79" s="124">
        <f>IFERROR(INDEX('كشف الحساب'!$D$4:$D$254,MATCH(74,'كشف الحساب'!$P$4:$P$254,0)),"")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الحساب'!$A$4:$A$254,MATCH(75,'كشف الحساب'!$P$4:$P$254,0)),"")</f>
        <v>46202</v>
      </c>
      <c r="B80" s="122" t="str">
        <f>IFERROR(INDEX('كشف الحساب'!$B$4:$B$254,MATCH(75,'كشف الحساب'!$P$4:$P$254,0)),"")</f>
        <v>Inv-78</v>
      </c>
      <c r="C80" s="121" t="str">
        <f>IFERROR(INDEX('كشف الحساب'!$C$4:$C$254,MATCH(75,'كشف الحساب'!$P$4:$P$254,0)),"")</f>
        <v>معلقات عدد 3 الحبه 1</v>
      </c>
      <c r="D80" s="123">
        <f>IFERROR(INDEX('كشف الحساب'!$E$4:$E$254,MATCH(75,'كشف الحساب'!$P$4:$P$254,0)),"")</f>
        <v>3</v>
      </c>
      <c r="E80" s="124">
        <f>IFERROR(INDEX('كشف الحساب'!$D$4:$D$254,MATCH(75,'كشف الحساب'!$P$4:$P$254,0)),"")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الحساب'!$A$4:$A$254,MATCH(76,'كشف الحساب'!$P$4:$P$254,0)),"")</f>
        <v>46203</v>
      </c>
      <c r="B81" s="122" t="str">
        <f>IFERROR(INDEX('كشف الحساب'!$B$4:$B$254,MATCH(76,'كشف الحساب'!$P$4:$P$254,0)),"")</f>
        <v>Inv-79</v>
      </c>
      <c r="C81" s="121" t="str">
        <f>IFERROR(INDEX('كشف الحساب'!$C$4:$C$254,MATCH(76,'كشف الحساب'!$P$4:$P$254,0)),"")</f>
        <v>معلقات عدد 4 الحبه 1</v>
      </c>
      <c r="D81" s="123">
        <f>IFERROR(INDEX('كشف الحساب'!$E$4:$E$254,MATCH(76,'كشف الحساب'!$P$4:$P$254,0)),"")</f>
        <v>4</v>
      </c>
      <c r="E81" s="124">
        <f>IFERROR(INDEX('كشف الحساب'!$D$4:$D$254,MATCH(76,'كشف الحساب'!$P$4:$P$254,0)),"")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الحساب'!$A$4:$A$254,MATCH(77,'كشف الحساب'!$P$4:$P$254,0)),"")</f>
        <v>46203</v>
      </c>
      <c r="B82" s="122" t="str">
        <f>IFERROR(INDEX('كشف الحساب'!$B$4:$B$254,MATCH(77,'كشف الحساب'!$P$4:$P$254,0)),"")</f>
        <v>Inv-80</v>
      </c>
      <c r="C82" s="121" t="str">
        <f>IFERROR(INDEX('كشف الحساب'!$C$4:$C$254,MATCH(77,'كشف الحساب'!$P$4:$P$254,0)),"")</f>
        <v>معلقات عدد4 الحبه 1</v>
      </c>
      <c r="D82" s="123">
        <f>IFERROR(INDEX('كشف الحساب'!$E$4:$E$254,MATCH(77,'كشف الحساب'!$P$4:$P$254,0)),"")</f>
        <v>4</v>
      </c>
      <c r="E82" s="124">
        <f>IFERROR(INDEX('كشف الحساب'!$D$4:$D$254,MATCH(77,'كشف الحساب'!$P$4:$P$254,0)),"")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الحساب'!$A$4:$A$254,MATCH(78,'كشف الحساب'!$P$4:$P$254,0)),"")</f>
        <v>46203</v>
      </c>
      <c r="B83" s="122" t="str">
        <f>IFERROR(INDEX('كشف الحساب'!$B$4:$B$254,MATCH(78,'كشف الحساب'!$P$4:$P$254,0)),"")</f>
        <v>Inv-81</v>
      </c>
      <c r="C83" s="121" t="str">
        <f>IFERROR(INDEX('كشف الحساب'!$C$4:$C$254,MATCH(78,'كشف الحساب'!$P$4:$P$254,0)),"")</f>
        <v>افوبيا عدد 2 الحبه 1</v>
      </c>
      <c r="D83" s="123">
        <f>IFERROR(INDEX('كشف الحساب'!$E$4:$E$254,MATCH(78,'كشف الحساب'!$P$4:$P$254,0)),"")</f>
        <v>2</v>
      </c>
      <c r="E83" s="124">
        <f>IFERROR(INDEX('كشف الحساب'!$D$4:$D$254,MATCH(78,'كشف الحساب'!$P$4:$P$254,0)),"")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الحساب'!$A$4:$A$254,MATCH(79,'كشف الحساب'!$P$4:$P$254,0)),"")</f>
        <v>46203</v>
      </c>
      <c r="B84" s="122">
        <f>IFERROR(INDEX('كشف الحساب'!$B$4:$B$254,MATCH(79,'كشف الحساب'!$P$4:$P$254,0)),"")</f>
        <v>0</v>
      </c>
      <c r="C84" s="121" t="str">
        <f>IFERROR(INDEX('كشف الحساب'!$C$4:$C$254,MATCH(79,'كشف الحساب'!$P$4:$P$254,0)),"")</f>
        <v>رواتب عماله شهر يونيو 2026</v>
      </c>
      <c r="D84" s="123">
        <f>IFERROR(INDEX('كشف الحساب'!$E$4:$E$254,MATCH(79,'كشف الحساب'!$P$4:$P$254,0)),"")</f>
        <v>0</v>
      </c>
      <c r="E84" s="124">
        <f>IFERROR(INDEX('كشف الحساب'!$D$4:$D$254,MATCH(79,'كشف الحساب'!$P$4:$P$254,0)),"")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الحساب'!$A$4:$A$254,MATCH(80,'كشف الحساب'!$P$4:$P$254,0)),"")</f>
        <v>46203</v>
      </c>
      <c r="B85" s="122">
        <f>IFERROR(INDEX('كشف الحساب'!$B$4:$B$254,MATCH(80,'كشف الحساب'!$P$4:$P$254,0)),"")</f>
        <v>0</v>
      </c>
      <c r="C85" s="121" t="str">
        <f>IFERROR(INDEX('كشف الحساب'!$C$4:$C$254,MATCH(80,'كشف الحساب'!$P$4:$P$254,0)),"")</f>
        <v>احواض عدد 1000 مقاس 25 سم</v>
      </c>
      <c r="D85" s="123">
        <f>IFERROR(INDEX('كشف الحساب'!$E$4:$E$254,MATCH(80,'كشف الحساب'!$P$4:$P$254,0)),"")</f>
        <v>0</v>
      </c>
      <c r="E85" s="124">
        <f>IFERROR(INDEX('كشف الحساب'!$D$4:$D$254,MATCH(80,'كشف الحساب'!$P$4:$P$254,0)),"")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الحساب'!$A$4:$A$254,MATCH(81,'كشف الحساب'!$P$4:$P$254,0)),"")</f>
        <v>46207</v>
      </c>
      <c r="B86" s="122">
        <f>IFERROR(INDEX('كشف الحساب'!$B$4:$B$254,MATCH(81,'كشف الحساب'!$P$4:$P$254,0)),"")</f>
        <v>0</v>
      </c>
      <c r="C86" s="121" t="str">
        <f>IFERROR(INDEX('كشف الحساب'!$C$4:$C$254,MATCH(81,'كشف الحساب'!$P$4:$P$254,0)),"")</f>
        <v>احواض عدد 1000 مقاس 14 سم</v>
      </c>
      <c r="D86" s="123">
        <f>IFERROR(INDEX('كشف الحساب'!$E$4:$E$254,MATCH(81,'كشف الحساب'!$P$4:$P$254,0)),"")</f>
        <v>0</v>
      </c>
      <c r="E86" s="124">
        <f>IFERROR(INDEX('كشف الحساب'!$D$4:$D$254,MATCH(81,'كشف الحساب'!$P$4:$P$254,0)),"")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الحساب'!$A$4:$A$254,MATCH(82,'كشف الحساب'!$P$4:$P$254,0)),"")</f>
        <v>46206</v>
      </c>
      <c r="B87" s="122" t="str">
        <f>IFERROR(INDEX('كشف الحساب'!$B$4:$B$254,MATCH(82,'كشف الحساب'!$P$4:$P$254,0)),"")</f>
        <v>Inv-82</v>
      </c>
      <c r="C87" s="121" t="str">
        <f>IFERROR(INDEX('كشف الحساب'!$C$4:$C$254,MATCH(82,'كشف الحساب'!$P$4:$P$254,0)),"")</f>
        <v>دارسينا عدد 1 بقيمه 2.500</v>
      </c>
      <c r="D87" s="123">
        <f>IFERROR(INDEX('كشف الحساب'!$E$4:$E$254,MATCH(82,'كشف الحساب'!$P$4:$P$254,0)),"")</f>
        <v>2.5</v>
      </c>
      <c r="E87" s="124">
        <f>IFERROR(INDEX('كشف الحساب'!$D$4:$D$254,MATCH(82,'كشف الحساب'!$P$4:$P$254,0)),"")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الحساب'!$A$4:$A$254,MATCH(83,'كشف الحساب'!$P$4:$P$254,0)),"")</f>
        <v>46207</v>
      </c>
      <c r="B88" s="122" t="str">
        <f>IFERROR(INDEX('كشف الحساب'!$B$4:$B$254,MATCH(83,'كشف الحساب'!$P$4:$P$254,0)),"")</f>
        <v>Inv-83</v>
      </c>
      <c r="C88" s="121" t="str">
        <f>IFERROR(INDEX('كشف الحساب'!$C$4:$C$254,MATCH(83,'كشف الحساب'!$P$4:$P$254,0)),"")</f>
        <v>ودليه عدد13 الحبه 1</v>
      </c>
      <c r="D88" s="123">
        <f>IFERROR(INDEX('كشف الحساب'!$E$4:$E$254,MATCH(83,'كشف الحساب'!$P$4:$P$254,0)),"")</f>
        <v>13</v>
      </c>
      <c r="E88" s="124">
        <f>IFERROR(INDEX('كشف الحساب'!$D$4:$D$254,MATCH(83,'كشف الحساب'!$P$4:$P$254,0)),"")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الحساب'!$A$4:$A$254,MATCH(84,'كشف الحساب'!$P$4:$P$254,0)),"")</f>
        <v>46207</v>
      </c>
      <c r="B89" s="122" t="str">
        <f>IFERROR(INDEX('كشف الحساب'!$B$4:$B$254,MATCH(84,'كشف الحساب'!$P$4:$P$254,0)),"")</f>
        <v>Inv-84</v>
      </c>
      <c r="C89" s="121" t="str">
        <f>IFERROR(INDEX('كشف الحساب'!$C$4:$C$254,MATCH(84,'كشف الحساب'!$P$4:$P$254,0)),"")</f>
        <v>معلقات عدد 4 الحبه 2</v>
      </c>
      <c r="D89" s="123">
        <f>IFERROR(INDEX('كشف الحساب'!$E$4:$E$254,MATCH(84,'كشف الحساب'!$P$4:$P$254,0)),"")</f>
        <v>8</v>
      </c>
      <c r="E89" s="124">
        <f>IFERROR(INDEX('كشف الحساب'!$D$4:$D$254,MATCH(84,'كشف الحساب'!$P$4:$P$254,0)),"")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الحساب'!$A$4:$A$254,MATCH(85,'كشف الحساب'!$P$4:$P$254,0)),"")</f>
        <v>46211</v>
      </c>
      <c r="B90" s="122" t="str">
        <f>IFERROR(INDEX('كشف الحساب'!$B$4:$B$254,MATCH(85,'كشف الحساب'!$P$4:$P$254,0)),"")</f>
        <v>Inv-85</v>
      </c>
      <c r="C90" s="121" t="str">
        <f>IFERROR(INDEX('كشف الحساب'!$C$4:$C$254,MATCH(85,'كشف الحساب'!$P$4:$P$254,0)),"")</f>
        <v>عطريات عدد8 الحبه 1</v>
      </c>
      <c r="D90" s="123">
        <f>IFERROR(INDEX('كشف الحساب'!$E$4:$E$254,MATCH(85,'كشف الحساب'!$P$4:$P$254,0)),"")</f>
        <v>8</v>
      </c>
      <c r="E90" s="124">
        <f>IFERROR(INDEX('كشف الحساب'!$D$4:$D$254,MATCH(85,'كشف الحساب'!$P$4:$P$254,0)),"")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الحساب'!$A$4:$A$254,MATCH(86,'كشف الحساب'!$P$4:$P$254,0)),"")</f>
        <v>46211</v>
      </c>
      <c r="B91" s="122" t="str">
        <f>IFERROR(INDEX('كشف الحساب'!$B$4:$B$254,MATCH(86,'كشف الحساب'!$P$4:$P$254,0)),"")</f>
        <v>Inv-86</v>
      </c>
      <c r="C91" s="121" t="str">
        <f>IFERROR(INDEX('كشف الحساب'!$C$4:$C$254,MATCH(86,'كشف الحساب'!$P$4:$P$254,0)),"")</f>
        <v>دارسينا سوداء عدد 12 الحبه 2</v>
      </c>
      <c r="D91" s="123">
        <f>IFERROR(INDEX('كشف الحساب'!$E$4:$E$254,MATCH(86,'كشف الحساب'!$P$4:$P$254,0)),"")</f>
        <v>24</v>
      </c>
      <c r="E91" s="124">
        <f>IFERROR(INDEX('كشف الحساب'!$D$4:$D$254,MATCH(86,'كشف الحساب'!$P$4:$P$254,0)),"")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الحساب'!$A$4:$A$254,MATCH(87,'كشف الحساب'!$P$4:$P$254,0)),"")</f>
        <v>46211</v>
      </c>
      <c r="B92" s="122" t="str">
        <f>IFERROR(INDEX('كشف الحساب'!$B$4:$B$254,MATCH(87,'كشف الحساب'!$P$4:$P$254,0)),"")</f>
        <v>Inv-87</v>
      </c>
      <c r="C92" s="121" t="str">
        <f>IFERROR(INDEX('كشف الحساب'!$C$4:$C$254,MATCH(87,'كشف الحساب'!$P$4:$P$254,0)),"")</f>
        <v>عطريات عدد 8 الحبه 1</v>
      </c>
      <c r="D92" s="123">
        <f>IFERROR(INDEX('كشف الحساب'!$E$4:$E$254,MATCH(87,'كشف الحساب'!$P$4:$P$254,0)),"")</f>
        <v>8</v>
      </c>
      <c r="E92" s="124">
        <f>IFERROR(INDEX('كشف الحساب'!$D$4:$D$254,MATCH(87,'كشف الحساب'!$P$4:$P$254,0)),"")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الحساب'!$A$4:$A$254,MATCH(88,'كشف الحساب'!$P$4:$P$254,0)),"")</f>
        <v>46212</v>
      </c>
      <c r="B93" s="122" t="str">
        <f>IFERROR(INDEX('كشف الحساب'!$B$4:$B$254,MATCH(88,'كشف الحساب'!$P$4:$P$254,0)),"")</f>
        <v>Inv-88</v>
      </c>
      <c r="C93" s="121" t="str">
        <f>IFERROR(INDEX('كشف الحساب'!$C$4:$C$254,MATCH(88,'كشف الحساب'!$P$4:$P$254,0)),"")</f>
        <v>دارسنا عدد1 الحبه 5</v>
      </c>
      <c r="D93" s="123">
        <f>IFERROR(INDEX('كشف الحساب'!$E$4:$E$254,MATCH(88,'كشف الحساب'!$P$4:$P$254,0)),"")</f>
        <v>5</v>
      </c>
      <c r="E93" s="124">
        <f>IFERROR(INDEX('كشف الحساب'!$D$4:$D$254,MATCH(88,'كشف الحساب'!$P$4:$P$254,0)),"")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الحساب'!$A$4:$A$254,MATCH(89,'كشف الحساب'!$P$4:$P$254,0)),"")</f>
        <v>46212</v>
      </c>
      <c r="B94" s="122" t="str">
        <f>IFERROR(INDEX('كشف الحساب'!$B$4:$B$254,MATCH(89,'كشف الحساب'!$P$4:$P$254,0)),"")</f>
        <v>Inv-89</v>
      </c>
      <c r="C94" s="121" t="str">
        <f>IFERROR(INDEX('كشف الحساب'!$C$4:$C$254,MATCH(89,'كشف الحساب'!$P$4:$P$254,0)),"")</f>
        <v>فل عدد1 الحبه .750</v>
      </c>
      <c r="D94" s="123">
        <f>IFERROR(INDEX('كشف الحساب'!$E$4:$E$254,MATCH(89,'كشف الحساب'!$P$4:$P$254,0)),"")</f>
        <v>0.75</v>
      </c>
      <c r="E94" s="124">
        <f>IFERROR(INDEX('كشف الحساب'!$D$4:$D$254,MATCH(89,'كشف الحساب'!$P$4:$P$254,0)),"")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الحساب'!$A$4:$A$254,MATCH(90,'كشف الحساب'!$P$4:$P$254,0)),"")</f>
        <v>46212</v>
      </c>
      <c r="B95" s="122" t="str">
        <f>IFERROR(INDEX('كشف الحساب'!$B$4:$B$254,MATCH(90,'كشف الحساب'!$P$4:$P$254,0)),"")</f>
        <v>Inv-90</v>
      </c>
      <c r="C95" s="121" t="str">
        <f>IFERROR(INDEX('كشف الحساب'!$C$4:$C$254,MATCH(90,'كشف الحساب'!$P$4:$P$254,0)),"")</f>
        <v>دارسينا عدد 1 الحبه 1.500</v>
      </c>
      <c r="D95" s="123">
        <f>IFERROR(INDEX('كشف الحساب'!$E$4:$E$254,MATCH(90,'كشف الحساب'!$P$4:$P$254,0)),"")</f>
        <v>1.5</v>
      </c>
      <c r="E95" s="124">
        <f>IFERROR(INDEX('كشف الحساب'!$D$4:$D$254,MATCH(90,'كشف الحساب'!$P$4:$P$254,0)),"")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الحساب'!$A$4:$A$254,MATCH(91,'كشف الحساب'!$P$4:$P$254,0)),"")</f>
        <v>46212</v>
      </c>
      <c r="B96" s="122" t="str">
        <f>IFERROR(INDEX('كشف الحساب'!$B$4:$B$254,MATCH(91,'كشف الحساب'!$P$4:$P$254,0)),"")</f>
        <v>Inv-91</v>
      </c>
      <c r="C96" s="121" t="str">
        <f>IFERROR(INDEX('كشف الحساب'!$C$4:$C$254,MATCH(91,'كشف الحساب'!$P$4:$P$254,0)),"")</f>
        <v>افبوديا عدد الحبه 0.750</v>
      </c>
      <c r="D96" s="123">
        <f>IFERROR(INDEX('كشف الحساب'!$E$4:$E$254,MATCH(91,'كشف الحساب'!$P$4:$P$254,0)),"")</f>
        <v>0.75</v>
      </c>
      <c r="E96" s="124">
        <f>IFERROR(INDEX('كشف الحساب'!$D$4:$D$254,MATCH(91,'كشف الحساب'!$P$4:$P$254,0)),"")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الحساب'!$A$4:$A$254,MATCH(92,'كشف الحساب'!$P$4:$P$254,0)),"")</f>
        <v>46212</v>
      </c>
      <c r="B97" s="122" t="str">
        <f>IFERROR(INDEX('كشف الحساب'!$B$4:$B$254,MATCH(92,'كشف الحساب'!$P$4:$P$254,0)),"")</f>
        <v>Inv-92</v>
      </c>
      <c r="C97" s="121" t="str">
        <f>IFERROR(INDEX('كشف الحساب'!$C$4:$C$254,MATCH(92,'كشف الحساب'!$P$4:$P$254,0)),"")</f>
        <v>عطريات عدد 1 الفحبه 1</v>
      </c>
      <c r="D97" s="123">
        <f>IFERROR(INDEX('كشف الحساب'!$E$4:$E$254,MATCH(92,'كشف الحساب'!$P$4:$P$254,0)),"")</f>
        <v>1</v>
      </c>
      <c r="E97" s="124">
        <f>IFERROR(INDEX('كشف الحساب'!$D$4:$D$254,MATCH(92,'كشف الحساب'!$P$4:$P$254,0)),"")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الحساب'!$A$4:$A$254,MATCH(93,'كشف الحساب'!$P$4:$P$254,0)),"")</f>
        <v>46217</v>
      </c>
      <c r="B98" s="122" t="str">
        <f>IFERROR(INDEX('كشف الحساب'!$B$4:$B$254,MATCH(93,'كشف الحساب'!$P$4:$P$254,0)),"")</f>
        <v>Inv-93</v>
      </c>
      <c r="C98" s="121" t="str">
        <f>IFERROR(INDEX('كشف الحساب'!$C$4:$C$254,MATCH(93,'كشف الحساب'!$P$4:$P$254,0)),"")</f>
        <v>متنوع عدد 2 الحبه 2.500</v>
      </c>
      <c r="D98" s="123">
        <f>IFERROR(INDEX('كشف الحساب'!$E$4:$E$254,MATCH(93,'كشف الحساب'!$P$4:$P$254,0)),"")</f>
        <v>5</v>
      </c>
      <c r="E98" s="124">
        <f>IFERROR(INDEX('كشف الحساب'!$D$4:$D$254,MATCH(93,'كشف الحساب'!$P$4:$P$254,0)),"")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الحساب'!$A$4:$A$254,MATCH(94,'كشف الحساب'!$P$4:$P$254,0)),"")</f>
        <v>46217</v>
      </c>
      <c r="B99" s="122" t="str">
        <f>IFERROR(INDEX('كشف الحساب'!$B$4:$B$254,MATCH(94,'كشف الحساب'!$P$4:$P$254,0)),"")</f>
        <v>Inv-94</v>
      </c>
      <c r="C99" s="121" t="str">
        <f>IFERROR(INDEX('كشف الحساب'!$C$4:$C$254,MATCH(94,'كشف الحساب'!$P$4:$P$254,0)),"")</f>
        <v>متنوع عدد 12 الحبه 2</v>
      </c>
      <c r="D99" s="123">
        <f>IFERROR(INDEX('كشف الحساب'!$E$4:$E$254,MATCH(94,'كشف الحساب'!$P$4:$P$254,0)),"")</f>
        <v>24</v>
      </c>
      <c r="E99" s="124">
        <f>IFERROR(INDEX('كشف الحساب'!$D$4:$D$254,MATCH(94,'كشف الحساب'!$P$4:$P$254,0)),"")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الحساب'!$A$4:$A$254,MATCH(95,'كشف الحساب'!$P$4:$P$254,0)),"")</f>
        <v>46217</v>
      </c>
      <c r="B100" s="122">
        <f>IFERROR(INDEX('كشف الحساب'!$B$4:$B$254,MATCH(95,'كشف الحساب'!$P$4:$P$254,0)),"")</f>
        <v>0</v>
      </c>
      <c r="C100" s="121" t="str">
        <f>IFERROR(INDEX('كشف الحساب'!$C$4:$C$254,MATCH(95,'كشف الحساب'!$P$4:$P$254,0)),"")</f>
        <v>حبل تعليق</v>
      </c>
      <c r="D100" s="123">
        <f>IFERROR(INDEX('كشف الحساب'!$E$4:$E$254,MATCH(95,'كشف الحساب'!$P$4:$P$254,0)),"")</f>
        <v>0</v>
      </c>
      <c r="E100" s="124">
        <f>IFERROR(INDEX('كشف الحساب'!$D$4:$D$254,MATCH(95,'كشف الحساب'!$P$4:$P$254,0)),"")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الحساب'!$A$4:$A$254,MATCH(96,'كشف الحساب'!$P$4:$P$254,0)),"")</f>
        <v>46219</v>
      </c>
      <c r="B101" s="122" t="str">
        <f>IFERROR(INDEX('كشف الحساب'!$B$4:$B$254,MATCH(96,'كشف الحساب'!$P$4:$P$254,0)),"")</f>
        <v>Inv-95</v>
      </c>
      <c r="C101" s="121" t="str">
        <f>IFERROR(INDEX('كشف الحساب'!$C$4:$C$254,MATCH(96,'كشف الحساب'!$P$4:$P$254,0)),"")</f>
        <v>ربل عدد 1 الحبه 2</v>
      </c>
      <c r="D101" s="123">
        <f>IFERROR(INDEX('كشف الحساب'!$E$4:$E$254,MATCH(96,'كشف الحساب'!$P$4:$P$254,0)),"")</f>
        <v>2</v>
      </c>
      <c r="E101" s="124">
        <f>IFERROR(INDEX('كشف الحساب'!$D$4:$D$254,MATCH(96,'كشف الحساب'!$P$4:$P$254,0)),"")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الحساب'!$A$4:$A$254,MATCH(97,'كشف الحساب'!$P$4:$P$254,0)),"")</f>
        <v>46219</v>
      </c>
      <c r="B102" s="122" t="str">
        <f>IFERROR(INDEX('كشف الحساب'!$B$4:$B$254,MATCH(97,'كشف الحساب'!$P$4:$P$254,0)),"")</f>
        <v>Inv-96</v>
      </c>
      <c r="C102" s="121" t="str">
        <f>IFERROR(INDEX('كشف الحساب'!$C$4:$C$254,MATCH(97,'كشف الحساب'!$P$4:$P$254,0)),"")</f>
        <v xml:space="preserve">دارسينا عدد 1 الحبه 2 </v>
      </c>
      <c r="D102" s="123">
        <f>IFERROR(INDEX('كشف الحساب'!$E$4:$E$254,MATCH(97,'كشف الحساب'!$P$4:$P$254,0)),"")</f>
        <v>2</v>
      </c>
      <c r="E102" s="124">
        <f>IFERROR(INDEX('كشف الحساب'!$D$4:$D$254,MATCH(97,'كشف الحساب'!$P$4:$P$254,0)),"")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الحساب'!$A$4:$A$254,MATCH(98,'كشف الحساب'!$P$4:$P$254,0)),"")</f>
        <v>46221</v>
      </c>
      <c r="B103" s="122" t="str">
        <f>IFERROR(INDEX('كشف الحساب'!$B$4:$B$254,MATCH(98,'كشف الحساب'!$P$4:$P$254,0)),"")</f>
        <v>Inv-97</v>
      </c>
      <c r="C103" s="121" t="str">
        <f>IFERROR(INDEX('كشف الحساب'!$C$4:$C$254,MATCH(98,'كشف الحساب'!$P$4:$P$254,0)),"")</f>
        <v>افوبيا عدد 1 الحبه 1</v>
      </c>
      <c r="D103" s="123">
        <f>IFERROR(INDEX('كشف الحساب'!$E$4:$E$254,MATCH(98,'كشف الحساب'!$P$4:$P$254,0)),"")</f>
        <v>1</v>
      </c>
      <c r="E103" s="124">
        <f>IFERROR(INDEX('كشف الحساب'!$D$4:$D$254,MATCH(98,'كشف الحساب'!$P$4:$P$254,0)),"")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الحساب'!$A$4:$A$254,MATCH(99,'كشف الحساب'!$P$4:$P$254,0)),"")</f>
        <v>46221</v>
      </c>
      <c r="B104" s="122" t="str">
        <f>IFERROR(INDEX('كشف الحساب'!$B$4:$B$254,MATCH(99,'كشف الحساب'!$P$4:$P$254,0)),"")</f>
        <v>Inv-98</v>
      </c>
      <c r="C104" s="121" t="str">
        <f>IFERROR(INDEX('كشف الحساب'!$C$4:$C$254,MATCH(99,'كشف الحساب'!$P$4:$P$254,0)),"")</f>
        <v>دارسينا عدد 1 الحبه 2</v>
      </c>
      <c r="D104" s="123">
        <f>IFERROR(INDEX('كشف الحساب'!$E$4:$E$254,MATCH(99,'كشف الحساب'!$P$4:$P$254,0)),"")</f>
        <v>2</v>
      </c>
      <c r="E104" s="124">
        <f>IFERROR(INDEX('كشف الحساب'!$D$4:$D$254,MATCH(99,'كشف الحساب'!$P$4:$P$254,0)),"")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الحساب'!$A$4:$A$254,MATCH(100,'كشف الحساب'!$P$4:$P$254,0)),"")</f>
        <v>46224</v>
      </c>
      <c r="B105" s="122" t="str">
        <f>IFERROR(INDEX('كشف الحساب'!$B$4:$B$254,MATCH(100,'كشف الحساب'!$P$4:$P$254,0)),"")</f>
        <v>Inv-99</v>
      </c>
      <c r="C105" s="121" t="str">
        <f>IFERROR(INDEX('كشف الحساب'!$C$4:$C$254,MATCH(100,'كشف الحساب'!$P$4:$P$254,0)),"")</f>
        <v>افوبيا عدد 9 الحبه 1</v>
      </c>
      <c r="D105" s="123">
        <f>IFERROR(INDEX('كشف الحساب'!$E$4:$E$254,MATCH(100,'كشف الحساب'!$P$4:$P$254,0)),"")</f>
        <v>9</v>
      </c>
      <c r="E105" s="124">
        <f>IFERROR(INDEX('كشف الحساب'!$D$4:$D$254,MATCH(100,'كشف الحساب'!$P$4:$P$254,0)),"")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الحساب'!$A$4:$A$254,MATCH(101,'كشف الحساب'!$P$4:$P$254,0)),"")</f>
        <v>46224</v>
      </c>
      <c r="B106" s="122" t="str">
        <f>IFERROR(INDEX('كشف الحساب'!$B$4:$B$254,MATCH(101,'كشف الحساب'!$P$4:$P$254,0)),"")</f>
        <v>Inv-100</v>
      </c>
      <c r="C106" s="121" t="str">
        <f>IFERROR(INDEX('كشف الحساب'!$C$4:$C$254,MATCH(101,'كشف الحساب'!$P$4:$P$254,0)),"")</f>
        <v>ربل عدد 11 الحبه 2</v>
      </c>
      <c r="D106" s="123">
        <f>IFERROR(INDEX('كشف الحساب'!$E$4:$E$254,MATCH(101,'كشف الحساب'!$P$4:$P$254,0)),"")</f>
        <v>22</v>
      </c>
      <c r="E106" s="124">
        <f>IFERROR(INDEX('كشف الحساب'!$D$4:$D$254,MATCH(101,'كشف الحساب'!$P$4:$P$254,0)),"")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الحساب'!$A$4:$A$254,MATCH(102,'كشف الحساب'!$P$4:$P$254,0)),"")</f>
        <v>46225</v>
      </c>
      <c r="B107" s="122" t="str">
        <f>IFERROR(INDEX('كشف الحساب'!$B$4:$B$254,MATCH(102,'كشف الحساب'!$P$4:$P$254,0)),"")</f>
        <v>Inv-101</v>
      </c>
      <c r="C107" s="121" t="str">
        <f>IFERROR(INDEX('كشف الحساب'!$C$4:$C$254,MATCH(102,'كشف الحساب'!$P$4:$P$254,0)),"")</f>
        <v>افوبيا عدد2 الحبه 1</v>
      </c>
      <c r="D107" s="123">
        <f>IFERROR(INDEX('كشف الحساب'!$E$4:$E$254,MATCH(102,'كشف الحساب'!$P$4:$P$254,0)),"")</f>
        <v>2</v>
      </c>
      <c r="E107" s="124">
        <f>IFERROR(INDEX('كشف الحساب'!$D$4:$D$254,MATCH(102,'كشف الحساب'!$P$4:$P$254,0)),"")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الحساب'!$A$4:$A$254,MATCH(103,'كشف الحساب'!$P$4:$P$254,0)),"")</f>
        <v>46227</v>
      </c>
      <c r="B108" s="122" t="str">
        <f>IFERROR(INDEX('كشف الحساب'!$B$4:$B$254,MATCH(103,'كشف الحساب'!$P$4:$P$254,0)),"")</f>
        <v>Inv-102</v>
      </c>
      <c r="C108" s="121" t="str">
        <f>IFERROR(INDEX('كشف الحساب'!$C$4:$C$254,MATCH(103,'كشف الحساب'!$P$4:$P$254,0)),"")</f>
        <v>متنوع عدد2 الحبه 1</v>
      </c>
      <c r="D108" s="123">
        <f>IFERROR(INDEX('كشف الحساب'!$E$4:$E$254,MATCH(103,'كشف الحساب'!$P$4:$P$254,0)),"")</f>
        <v>2</v>
      </c>
      <c r="E108" s="124">
        <f>IFERROR(INDEX('كشف الحساب'!$D$4:$D$254,MATCH(103,'كشف الحساب'!$P$4:$P$254,0)),"")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الحساب'!$A$4:$A$254,MATCH(104,'كشف الحساب'!$P$4:$P$254,0)),"")</f>
        <v>46229</v>
      </c>
      <c r="B109" s="122">
        <f>IFERROR(INDEX('كشف الحساب'!$B$4:$B$254,MATCH(104,'كشف الحساب'!$P$4:$P$254,0)),"")</f>
        <v>0</v>
      </c>
      <c r="C109" s="121" t="str">
        <f>IFERROR(INDEX('كشف الحساب'!$C$4:$C$254,MATCH(104,'كشف الحساب'!$P$4:$P$254,0)),"")</f>
        <v>كوكوبيد</v>
      </c>
      <c r="D109" s="123">
        <f>IFERROR(INDEX('كشف الحساب'!$E$4:$E$254,MATCH(104,'كشف الحساب'!$P$4:$P$254,0)),"")</f>
        <v>0</v>
      </c>
      <c r="E109" s="124">
        <f>IFERROR(INDEX('كشف الحساب'!$D$4:$D$254,MATCH(104,'كشف الحساب'!$P$4:$P$254,0)),"")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الحساب'!$A$4:$A$254,MATCH(105,'كشف الحساب'!$P$4:$P$254,0)),"")</f>
        <v>46229</v>
      </c>
      <c r="B110" s="122">
        <f>IFERROR(INDEX('كشف الحساب'!$B$4:$B$254,MATCH(105,'كشف الحساب'!$P$4:$P$254,0)),"")</f>
        <v>0</v>
      </c>
      <c r="C110" s="121" t="str">
        <f>IFERROR(INDEX('كشف الحساب'!$C$4:$C$254,MATCH(105,'كشف الحساب'!$P$4:$P$254,0)),"")</f>
        <v>احواض عدد 1000 مقاس 14 سم</v>
      </c>
      <c r="D110" s="123">
        <f>IFERROR(INDEX('كشف الحساب'!$E$4:$E$254,MATCH(105,'كشف الحساب'!$P$4:$P$254,0)),"")</f>
        <v>0</v>
      </c>
      <c r="E110" s="124">
        <f>IFERROR(INDEX('كشف الحساب'!$D$4:$D$254,MATCH(105,'كشف الحساب'!$P$4:$P$254,0)),"")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الحساب'!$A$4:$A$254,MATCH(106,'كشف الحساب'!$P$4:$P$254,0)),"")</f>
        <v>46594</v>
      </c>
      <c r="B111" s="122" t="str">
        <f>IFERROR(INDEX('كشف الحساب'!$B$4:$B$254,MATCH(106,'كشف الحساب'!$P$4:$P$254,0)),"")</f>
        <v>Inv-103</v>
      </c>
      <c r="C111" s="121" t="str">
        <f>IFERROR(INDEX('كشف الحساب'!$C$4:$C$254,MATCH(106,'كشف الحساب'!$P$4:$P$254,0)),"")</f>
        <v>متفرقات</v>
      </c>
      <c r="D111" s="123">
        <f>IFERROR(INDEX('كشف الحساب'!$E$4:$E$254,MATCH(106,'كشف الحساب'!$P$4:$P$254,0)),"")</f>
        <v>7.5</v>
      </c>
      <c r="E111" s="124">
        <f>IFERROR(INDEX('كشف الحساب'!$D$4:$D$254,MATCH(106,'كشف الحساب'!$P$4:$P$254,0)),"")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الحساب'!$A$4:$A$254,MATCH(107,'كشف الحساب'!$P$4:$P$254,0)),"")</f>
        <v>46229</v>
      </c>
      <c r="B112" s="122">
        <f>IFERROR(INDEX('كشف الحساب'!$B$4:$B$254,MATCH(107,'كشف الحساب'!$P$4:$P$254,0)),"")</f>
        <v>0</v>
      </c>
      <c r="C112" s="121" t="str">
        <f>IFERROR(INDEX('كشف الحساب'!$C$4:$C$254,MATCH(107,'كشف الحساب'!$P$4:$P$254,0)),"")</f>
        <v>تسوية رصيد فعلي - المتوفر 107.305 (صافي الشهر 99.075 + فائض عام 16.750)</v>
      </c>
      <c r="D112" s="123">
        <f>IFERROR(INDEX('كشف الحساب'!$E$4:$E$254,MATCH(107,'كشف الحساب'!$P$4:$P$254,0)),"")</f>
        <v>0</v>
      </c>
      <c r="E112" s="124">
        <f>IFERROR(INDEX('كشف الحساب'!$D$4:$D$254,MATCH(107,'كشف الحساب'!$P$4:$P$254,0)),"")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الحساب'!$A$4:$A$254,MATCH(108,'كشف الحساب'!$P$4:$P$254,0)),"")</f>
        <v>46231</v>
      </c>
      <c r="B113" s="122" t="str">
        <f>IFERROR(INDEX('كشف الحساب'!$B$4:$B$254,MATCH(108,'كشف الحساب'!$P$4:$P$254,0)),"")</f>
        <v>Inv-104</v>
      </c>
      <c r="C113" s="121" t="str">
        <f>IFERROR(INDEX('كشف الحساب'!$C$4:$C$254,MATCH(108,'كشف الحساب'!$P$4:$P$254,0)),"")</f>
        <v>متنوع عدد 1 الحبه 2.500</v>
      </c>
      <c r="D113" s="123">
        <f>IFERROR(INDEX('كشف الحساب'!$E$4:$E$254,MATCH(108,'كشف الحساب'!$P$4:$P$254,0)),"")</f>
        <v>2.5</v>
      </c>
      <c r="E113" s="124">
        <f>IFERROR(INDEX('كشف الحساب'!$D$4:$D$254,MATCH(108,'كشف الحساب'!$P$4:$P$254,0)),"")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الحساب'!$A$4:$A$254,MATCH(109,'كشف الحساب'!$P$4:$P$254,0)),"")</f>
        <v>46231</v>
      </c>
      <c r="B114" s="122" t="str">
        <f>IFERROR(INDEX('كشف الحساب'!$B$4:$B$254,MATCH(109,'كشف الحساب'!$P$4:$P$254,0)),"")</f>
        <v>Inv-105</v>
      </c>
      <c r="C114" s="121" t="str">
        <f>IFERROR(INDEX('كشف الحساب'!$C$4:$C$254,MATCH(109,'كشف الحساب'!$P$4:$P$254,0)),"")</f>
        <v>دارسينا عدد 1 الحبه 3</v>
      </c>
      <c r="D114" s="123">
        <f>IFERROR(INDEX('كشف الحساب'!$E$4:$E$254,MATCH(109,'كشف الحساب'!$P$4:$P$254,0)),"")</f>
        <v>3</v>
      </c>
      <c r="E114" s="124">
        <f>IFERROR(INDEX('كشف الحساب'!$D$4:$D$254,MATCH(109,'كشف الحساب'!$P$4:$P$254,0)),"")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الحساب'!$A$4:$A$254,MATCH(110,'كشف الحساب'!$P$4:$P$254,0)),"")</f>
        <v>46232</v>
      </c>
      <c r="B115" s="122">
        <f>IFERROR(INDEX('كشف الحساب'!$B$4:$B$254,MATCH(110,'كشف الحساب'!$P$4:$P$254,0)),"")</f>
        <v>0</v>
      </c>
      <c r="C115" s="121" t="str">
        <f>IFERROR(INDEX('كشف الحساب'!$C$4:$C$254,MATCH(110,'كشف الحساب'!$P$4:$P$254,0)),"")</f>
        <v>عدد 3 عماله + 10 ايام العامل البديل 40 دينار</v>
      </c>
      <c r="D115" s="123">
        <f>IFERROR(INDEX('كشف الحساب'!$E$4:$E$254,MATCH(110,'كشف الحساب'!$P$4:$P$254,0)),"")</f>
        <v>0</v>
      </c>
      <c r="E115" s="124">
        <f>IFERROR(INDEX('كشف الحساب'!$D$4:$D$254,MATCH(110,'كشف الحساب'!$P$4:$P$254,0)),"")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الحساب'!$A$4:$A$254,MATCH(111,'كشف الحساب'!$P$4:$P$254,0)),"")</f>
        <v>46234</v>
      </c>
      <c r="B116" s="122">
        <f>IFERROR(INDEX('كشف الحساب'!$B$4:$B$254,MATCH(111,'كشف الحساب'!$P$4:$P$254,0)),"")</f>
        <v>0</v>
      </c>
      <c r="C116" s="121" t="str">
        <f>IFERROR(INDEX('كشف الحساب'!$C$4:$C$254,MATCH(111,'كشف الحساب'!$P$4:$P$254,0)),"")</f>
        <v>تعديل رصيد</v>
      </c>
      <c r="D116" s="123">
        <f>IFERROR(INDEX('كشف الحساب'!$E$4:$E$254,MATCH(111,'كشف الحساب'!$P$4:$P$254,0)),"")</f>
        <v>8.59</v>
      </c>
      <c r="E116" s="124">
        <f>IFERROR(INDEX('كشف الحساب'!$D$4:$D$254,MATCH(111,'كشف الحساب'!$P$4:$P$254,0)),"")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الحساب'!$A$4:$A$254,MATCH(112,'كشف الحساب'!$P$4:$P$254,0)),"")</f>
        <v>46235</v>
      </c>
      <c r="B117" s="122" t="str">
        <f>IFERROR(INDEX('كشف الحساب'!$B$4:$B$254,MATCH(112,'كشف الحساب'!$P$4:$P$254,0)),"")</f>
        <v>Inv-106</v>
      </c>
      <c r="C117" s="121" t="str">
        <f>IFERROR(INDEX('كشف الحساب'!$C$4:$C$254,MATCH(112,'كشف الحساب'!$P$4:$P$254,0)),"")</f>
        <v>ربل عدد 11 الحبه 2</v>
      </c>
      <c r="D117" s="123">
        <f>IFERROR(INDEX('كشف الحساب'!$E$4:$E$254,MATCH(112,'كشف الحساب'!$P$4:$P$254,0)),"")</f>
        <v>22</v>
      </c>
      <c r="E117" s="124">
        <f>IFERROR(INDEX('كشف الحساب'!$D$4:$D$254,MATCH(112,'كشف الحساب'!$P$4:$P$254,0)),"")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الحساب'!$A$4:$A$254,MATCH(113,'كشف الحساب'!$P$4:$P$254,0)),"")</f>
        <v>46235</v>
      </c>
      <c r="B118" s="122" t="str">
        <f>IFERROR(INDEX('كشف الحساب'!$B$4:$B$254,MATCH(113,'كشف الحساب'!$P$4:$P$254,0)),"")</f>
        <v>Inv-107</v>
      </c>
      <c r="C118" s="121" t="str">
        <f>IFERROR(INDEX('كشف الحساب'!$C$4:$C$254,MATCH(113,'كشف الحساب'!$P$4:$P$254,0)),"")</f>
        <v>متنوع عدد 1 بقيمه 2.500</v>
      </c>
      <c r="D118" s="123">
        <f>IFERROR(INDEX('كشف الحساب'!$E$4:$E$254,MATCH(113,'كشف الحساب'!$P$4:$P$254,0)),"")</f>
        <v>2.5</v>
      </c>
      <c r="E118" s="124">
        <f>IFERROR(INDEX('كشف الحساب'!$D$4:$D$254,MATCH(113,'كشف الحساب'!$P$4:$P$254,0)),"")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الحساب'!$A$4:$A$254,MATCH(114,'كشف الحساب'!$P$4:$P$254,0)),"")</f>
        <v>46235</v>
      </c>
      <c r="B119" s="122" t="str">
        <f>IFERROR(INDEX('كشف الحساب'!$B$4:$B$254,MATCH(114,'كشف الحساب'!$P$4:$P$254,0)),"")</f>
        <v>Inv-108</v>
      </c>
      <c r="C119" s="121" t="str">
        <f>IFERROR(INDEX('كشف الحساب'!$C$4:$C$254,MATCH(114,'كشف الحساب'!$P$4:$P$254,0)),"")</f>
        <v>فل عدد 1 بقيمه .750</v>
      </c>
      <c r="D119" s="123">
        <f>IFERROR(INDEX('كشف الحساب'!$E$4:$E$254,MATCH(114,'كشف الحساب'!$P$4:$P$254,0)),"")</f>
        <v>0.75</v>
      </c>
      <c r="E119" s="124">
        <f>IFERROR(INDEX('كشف الحساب'!$D$4:$D$254,MATCH(114,'كشف الحساب'!$P$4:$P$254,0)),"")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الحساب'!$A$4:$A$254,MATCH(115,'كشف الحساب'!$P$4:$P$254,0)),"")</f>
        <v>46235</v>
      </c>
      <c r="B120" s="122">
        <f>IFERROR(INDEX('كشف الحساب'!$B$4:$B$254,MATCH(115,'كشف الحساب'!$P$4:$P$254,0)),"")</f>
        <v>0</v>
      </c>
      <c r="C120" s="121" t="str">
        <f>IFERROR(INDEX('كشف الحساب'!$C$4:$C$254,MATCH(115,'كشف الحساب'!$P$4:$P$254,0)),"")</f>
        <v>بتموس عدد 2 الواحده 12</v>
      </c>
      <c r="D120" s="123">
        <f>IFERROR(INDEX('كشف الحساب'!$E$4:$E$254,MATCH(115,'كشف الحساب'!$P$4:$P$254,0)),"")</f>
        <v>0</v>
      </c>
      <c r="E120" s="124">
        <f>IFERROR(INDEX('كشف الحساب'!$D$4:$D$254,MATCH(115,'كشف الحساب'!$P$4:$P$254,0)),"")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الحساب'!$A$4:$A$254,MATCH(116,'كشف الحساب'!$P$4:$P$254,0)),"")</f>
        <v>46239</v>
      </c>
      <c r="B121" s="122" t="str">
        <f>IFERROR(INDEX('كشف الحساب'!$B$4:$B$254,MATCH(116,'كشف الحساب'!$P$4:$P$254,0)),"")</f>
        <v>Inv-109</v>
      </c>
      <c r="C121" s="121" t="str">
        <f>IFERROR(INDEX('كشف الحساب'!$C$4:$C$254,MATCH(116,'كشف الحساب'!$P$4:$P$254,0)),"")</f>
        <v>متنوع عدد 1 الحبه 1</v>
      </c>
      <c r="D121" s="123">
        <f>IFERROR(INDEX('كشف الحساب'!$E$4:$E$254,MATCH(116,'كشف الحساب'!$P$4:$P$254,0)),"")</f>
        <v>1</v>
      </c>
      <c r="E121" s="124">
        <f>IFERROR(INDEX('كشف الحساب'!$D$4:$D$254,MATCH(116,'كشف الحساب'!$P$4:$P$254,0)),"")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الحساب'!$A$4:$A$254,MATCH(117,'كشف الحساب'!$P$4:$P$254,0)),"")</f>
        <v>46240</v>
      </c>
      <c r="B122" s="122" t="str">
        <f>IFERROR(INDEX('كشف الحساب'!$B$4:$B$254,MATCH(117,'كشف الحساب'!$P$4:$P$254,0)),"")</f>
        <v>Inv-110</v>
      </c>
      <c r="C122" s="121" t="str">
        <f>IFERROR(INDEX('كشف الحساب'!$C$4:$C$254,MATCH(117,'كشف الحساب'!$P$4:$P$254,0)),"")</f>
        <v>متنوع عدد10 الحبه 1</v>
      </c>
      <c r="D122" s="123">
        <f>IFERROR(INDEX('كشف الحساب'!$E$4:$E$254,MATCH(117,'كشف الحساب'!$P$4:$P$254,0)),"")</f>
        <v>10</v>
      </c>
      <c r="E122" s="124">
        <f>IFERROR(INDEX('كشف الحساب'!$D$4:$D$254,MATCH(117,'كشف الحساب'!$P$4:$P$254,0)),"")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الحساب'!$A$4:$A$254,MATCH(118,'كشف الحساب'!$P$4:$P$254,0)),"")</f>
        <v>46240</v>
      </c>
      <c r="B123" s="122" t="str">
        <f>IFERROR(INDEX('كشف الحساب'!$B$4:$B$254,MATCH(118,'كشف الحساب'!$P$4:$P$254,0)),"")</f>
        <v>Inv-111</v>
      </c>
      <c r="C123" s="121" t="str">
        <f>IFERROR(INDEX('كشف الحساب'!$C$4:$C$254,MATCH(118,'كشف الحساب'!$P$4:$P$254,0)),"")</f>
        <v>متنوع 6 عدد 1</v>
      </c>
      <c r="D123" s="123">
        <f>IFERROR(INDEX('كشف الحساب'!$E$4:$E$254,MATCH(118,'كشف الحساب'!$P$4:$P$254,0)),"")</f>
        <v>6</v>
      </c>
      <c r="E123" s="124">
        <f>IFERROR(INDEX('كشف الحساب'!$D$4:$D$254,MATCH(118,'كشف الحساب'!$P$4:$P$254,0)),"")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الحساب'!$A$4:$A$254,MATCH(119,'كشف الحساب'!$P$4:$P$254,0)),"")</f>
        <v>46240</v>
      </c>
      <c r="B124" s="122" t="str">
        <f>IFERROR(INDEX('كشف الحساب'!$B$4:$B$254,MATCH(119,'كشف الحساب'!$P$4:$P$254,0)),"")</f>
        <v>Inv-112</v>
      </c>
      <c r="C124" s="121" t="str">
        <f>IFERROR(INDEX('كشف الحساب'!$C$4:$C$254,MATCH(119,'كشف الحساب'!$P$4:$P$254,0)),"")</f>
        <v>ربل عدد 15 الحبه2</v>
      </c>
      <c r="D124" s="123">
        <f>IFERROR(INDEX('كشف الحساب'!$E$4:$E$254,MATCH(119,'كشف الحساب'!$P$4:$P$254,0)),"")</f>
        <v>29</v>
      </c>
      <c r="E124" s="124">
        <f>IFERROR(INDEX('كشف الحساب'!$D$4:$D$254,MATCH(119,'كشف الحساب'!$P$4:$P$254,0)),"")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الحساب'!$A$4:$A$254,MATCH(120,'كشف الحساب'!$P$4:$P$254,0)),"")</f>
        <v>46240</v>
      </c>
      <c r="B125" s="122">
        <f>IFERROR(INDEX('كشف الحساب'!$B$4:$B$254,MATCH(120,'كشف الحساب'!$P$4:$P$254,0)),"")</f>
        <v>0</v>
      </c>
      <c r="C125" s="121" t="str">
        <f>IFERROR(INDEX('كشف الحساب'!$C$4:$C$254,MATCH(120,'كشف الحساب'!$P$4:$P$254,0)),"")</f>
        <v>كيميكل للمعالج</v>
      </c>
      <c r="D125" s="123">
        <f>IFERROR(INDEX('كشف الحساب'!$E$4:$E$254,MATCH(120,'كشف الحساب'!$P$4:$P$254,0)),"")</f>
        <v>0</v>
      </c>
      <c r="E125" s="124">
        <f>IFERROR(INDEX('كشف الحساب'!$D$4:$D$254,MATCH(120,'كشف الحساب'!$P$4:$P$254,0)),"")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الحساب'!$A$4:$A$254,MATCH(121,'كشف الحساب'!$P$4:$P$254,0)),"")</f>
        <v>46240</v>
      </c>
      <c r="B126" s="122">
        <f>IFERROR(INDEX('كشف الحساب'!$B$4:$B$254,MATCH(121,'كشف الحساب'!$P$4:$P$254,0)),"")</f>
        <v>0</v>
      </c>
      <c r="C126" s="121" t="str">
        <f>IFERROR(INDEX('كشف الحساب'!$C$4:$C$254,MATCH(121,'كشف الحساب'!$P$4:$P$254,0)),"")</f>
        <v>ترمستات الثلاجه الكبيره</v>
      </c>
      <c r="D126" s="123">
        <f>IFERROR(INDEX('كشف الحساب'!$E$4:$E$254,MATCH(121,'كشف الحساب'!$P$4:$P$254,0)),"")</f>
        <v>0</v>
      </c>
      <c r="E126" s="124">
        <f>IFERROR(INDEX('كشف الحساب'!$D$4:$D$254,MATCH(121,'كشف الحساب'!$P$4:$P$254,0)),"")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الحساب'!$A$4:$A$254,MATCH(122,'كشف الحساب'!$P$4:$P$254,0)),"")</f>
        <v>46244</v>
      </c>
      <c r="B127" s="122" t="str">
        <f>IFERROR(INDEX('كشف الحساب'!$B$4:$B$254,MATCH(122,'كشف الحساب'!$P$4:$P$254,0)),"")</f>
        <v>Inv-113</v>
      </c>
      <c r="C127" s="121" t="str">
        <f>IFERROR(INDEX('كشف الحساب'!$C$4:$C$254,MATCH(122,'كشف الحساب'!$P$4:$P$254,0)),"")</f>
        <v>ربل  عدد 40 الحبه 2.250</v>
      </c>
      <c r="D127" s="123">
        <f>IFERROR(INDEX('كشف الحساب'!$E$4:$E$254,MATCH(122,'كشف الحساب'!$P$4:$P$254,0)),"")</f>
        <v>90</v>
      </c>
      <c r="E127" s="124">
        <f>IFERROR(INDEX('كشف الحساب'!$D$4:$D$254,MATCH(122,'كشف الحساب'!$P$4:$P$254,0)),"")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الحساب'!$A$4:$A$254,MATCH(123,'كشف الحساب'!$P$4:$P$254,0)),"")</f>
        <v>46244</v>
      </c>
      <c r="B128" s="122" t="str">
        <f>IFERROR(INDEX('كشف الحساب'!$B$4:$B$254,MATCH(123,'كشف الحساب'!$P$4:$P$254,0)),"")</f>
        <v>Inv-114</v>
      </c>
      <c r="C128" s="121" t="str">
        <f>IFERROR(INDEX('كشف الحساب'!$C$4:$C$254,MATCH(123,'كشف الحساب'!$P$4:$P$254,0)),"")</f>
        <v>متنوع 8 الحبه 1</v>
      </c>
      <c r="D128" s="123">
        <f>IFERROR(INDEX('كشف الحساب'!$E$4:$E$254,MATCH(123,'كشف الحساب'!$P$4:$P$254,0)),"")</f>
        <v>8</v>
      </c>
      <c r="E128" s="124">
        <f>IFERROR(INDEX('كشف الحساب'!$D$4:$D$254,MATCH(123,'كشف الحساب'!$P$4:$P$254,0)),"")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الحساب'!$A$4:$A$254,MATCH(124,'كشف الحساب'!$P$4:$P$254,0)),"")</f>
        <v>46245</v>
      </c>
      <c r="B129" s="122">
        <f>IFERROR(INDEX('كشف الحساب'!$B$4:$B$254,MATCH(124,'كشف الحساب'!$P$4:$P$254,0)),"")</f>
        <v>0</v>
      </c>
      <c r="C129" s="121" t="str">
        <f>IFERROR(INDEX('كشف الحساب'!$C$4:$C$254,MATCH(124,'كشف الحساب'!$P$4:$P$254,0)),"")</f>
        <v>احواض معلقه + كوكوبيت</v>
      </c>
      <c r="D129" s="123">
        <f>IFERROR(INDEX('كشف الحساب'!$E$4:$E$254,MATCH(124,'كشف الحساب'!$P$4:$P$254,0)),"")</f>
        <v>0</v>
      </c>
      <c r="E129" s="124">
        <f>IFERROR(INDEX('كشف الحساب'!$D$4:$D$254,MATCH(124,'كشف الحساب'!$P$4:$P$254,0)),"")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الحساب'!$A$4:$A$254,MATCH(125,'كشف الحساب'!$P$4:$P$254,0)),"")</f>
        <v>46245</v>
      </c>
      <c r="B130" s="122">
        <f>IFERROR(INDEX('كشف الحساب'!$B$4:$B$254,MATCH(125,'كشف الحساب'!$P$4:$P$254,0)),"")</f>
        <v>0</v>
      </c>
      <c r="C130" s="121" t="str">
        <f>IFERROR(INDEX('كشف الحساب'!$C$4:$C$254,MATCH(125,'كشف الحساب'!$P$4:$P$254,0)),"")</f>
        <v>15-15-15 خرماشه</v>
      </c>
      <c r="D130" s="123">
        <f>IFERROR(INDEX('كشف الحساب'!$E$4:$E$254,MATCH(125,'كشف الحساب'!$P$4:$P$254,0)),"")</f>
        <v>0</v>
      </c>
      <c r="E130" s="124">
        <f>IFERROR(INDEX('كشف الحساب'!$D$4:$D$254,MATCH(125,'كشف الحساب'!$P$4:$P$254,0)),"")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الحساب'!$A$4:$A$254,MATCH(126,'كشف الحساب'!$P$4:$P$254,0)),"")</f>
        <v>46247</v>
      </c>
      <c r="B131" s="122">
        <f>IFERROR(INDEX('كشف الحساب'!$B$4:$B$254,MATCH(126,'كشف الحساب'!$P$4:$P$254,0)),"")</f>
        <v>0</v>
      </c>
      <c r="C131" s="121" t="str">
        <f>IFERROR(INDEX('كشف الحساب'!$C$4:$C$254,MATCH(126,'كشف الحساب'!$P$4:$P$254,0)),"")</f>
        <v>هرمون تدير</v>
      </c>
      <c r="D131" s="123">
        <f>IFERROR(INDEX('كشف الحساب'!$E$4:$E$254,MATCH(126,'كشف الحساب'!$P$4:$P$254,0)),"")</f>
        <v>0</v>
      </c>
      <c r="E131" s="124">
        <f>IFERROR(INDEX('كشف الحساب'!$D$4:$D$254,MATCH(126,'كشف الحساب'!$P$4:$P$254,0)),"")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الحساب'!$A$4:$A$254,MATCH(127,'كشف الحساب'!$P$4:$P$254,0)),"")</f>
        <v>46247</v>
      </c>
      <c r="B132" s="122">
        <f>IFERROR(INDEX('كشف الحساب'!$B$4:$B$254,MATCH(127,'كشف الحساب'!$P$4:$P$254,0)),"")</f>
        <v>0</v>
      </c>
      <c r="C132" s="121" t="str">
        <f>IFERROR(INDEX('كشف الحساب'!$C$4:$C$254,MATCH(127,'كشف الحساب'!$P$4:$P$254,0)),"")</f>
        <v>احواض مقاس 14 عدد 1000</v>
      </c>
      <c r="D132" s="123">
        <f>IFERROR(INDEX('كشف الحساب'!$E$4:$E$254,MATCH(127,'كشف الحساب'!$P$4:$P$254,0)),"")</f>
        <v>0</v>
      </c>
      <c r="E132" s="124">
        <f>IFERROR(INDEX('كشف الحساب'!$D$4:$D$254,MATCH(127,'كشف الحساب'!$P$4:$P$254,0)),"")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الحساب'!$A$4:$A$254,MATCH(128,'كشف الحساب'!$P$4:$P$254,0)),"")</f>
        <v>46247</v>
      </c>
      <c r="B133" s="122">
        <f>IFERROR(INDEX('كشف الحساب'!$B$4:$B$254,MATCH(128,'كشف الحساب'!$P$4:$P$254,0)),"")</f>
        <v>0</v>
      </c>
      <c r="C133" s="121" t="str">
        <f>IFERROR(INDEX('كشف الحساب'!$C$4:$C$254,MATCH(128,'كشف الحساب'!$P$4:$P$254,0)),"")</f>
        <v>وصلات</v>
      </c>
      <c r="D133" s="123">
        <f>IFERROR(INDEX('كشف الحساب'!$E$4:$E$254,MATCH(128,'كشف الحساب'!$P$4:$P$254,0)),"")</f>
        <v>0</v>
      </c>
      <c r="E133" s="124">
        <f>IFERROR(INDEX('كشف الحساب'!$D$4:$D$254,MATCH(128,'كشف الحساب'!$P$4:$P$254,0)),"")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الحساب'!$A$4:$A$254,MATCH(129,'كشف الحساب'!$P$4:$P$254,0)),"")</f>
        <v>46249</v>
      </c>
      <c r="B134" s="122">
        <f>IFERROR(INDEX('كشف الحساب'!$B$4:$B$254,MATCH(129,'كشف الحساب'!$P$4:$P$254,0)),"")</f>
        <v>0</v>
      </c>
      <c r="C134" s="121" t="str">
        <f>IFERROR(INDEX('كشف الحساب'!$C$4:$C$254,MATCH(129,'كشف الحساب'!$P$4:$P$254,0)),"")</f>
        <v>وصلات وحنفيه</v>
      </c>
      <c r="D134" s="123">
        <f>IFERROR(INDEX('كشف الحساب'!$E$4:$E$254,MATCH(129,'كشف الحساب'!$P$4:$P$254,0)),"")</f>
        <v>0</v>
      </c>
      <c r="E134" s="124">
        <f>IFERROR(INDEX('كشف الحساب'!$D$4:$D$254,MATCH(129,'كشف الحساب'!$P$4:$P$254,0)),"")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الحساب'!$A$4:$A$254,MATCH(130,'كشف الحساب'!$P$4:$P$254,0)),"")</f>
        <v>46252</v>
      </c>
      <c r="B135" s="122" t="str">
        <f>IFERROR(INDEX('كشف الحساب'!$B$4:$B$254,MATCH(130,'كشف الحساب'!$P$4:$P$254,0)),"")</f>
        <v>Inv-115</v>
      </c>
      <c r="C135" s="121" t="str">
        <f>IFERROR(INDEX('كشف الحساب'!$C$4:$C$254,MATCH(130,'كشف الحساب'!$P$4:$P$254,0)),"")</f>
        <v>فل عدد 14 الحبه .750</v>
      </c>
      <c r="D135" s="123">
        <f>IFERROR(INDEX('كشف الحساب'!$E$4:$E$254,MATCH(130,'كشف الحساب'!$P$4:$P$254,0)),"")</f>
        <v>10.5</v>
      </c>
      <c r="E135" s="124">
        <f>IFERROR(INDEX('كشف الحساب'!$D$4:$D$254,MATCH(130,'كشف الحساب'!$P$4:$P$254,0)),"")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الحساب'!$A$4:$A$254,MATCH(131,'كشف الحساب'!$P$4:$P$254,0)),"")</f>
        <v>46252</v>
      </c>
      <c r="B136" s="122" t="str">
        <f>IFERROR(INDEX('كشف الحساب'!$B$4:$B$254,MATCH(131,'كشف الحساب'!$P$4:$P$254,0)),"")</f>
        <v>Inv-116</v>
      </c>
      <c r="C136" s="121" t="str">
        <f>IFERROR(INDEX('كشف الحساب'!$C$4:$C$254,MATCH(131,'كشف الحساب'!$P$4:$P$254,0)),"")</f>
        <v>متنوع عدد 1 الحبه 2.500</v>
      </c>
      <c r="D136" s="123">
        <f>IFERROR(INDEX('كشف الحساب'!$E$4:$E$254,MATCH(131,'كشف الحساب'!$P$4:$P$254,0)),"")</f>
        <v>2.5</v>
      </c>
      <c r="E136" s="124">
        <f>IFERROR(INDEX('كشف الحساب'!$D$4:$D$254,MATCH(131,'كشف الحساب'!$P$4:$P$254,0)),"")</f>
        <v>0</v>
      </c>
      <c r="F136" s="125">
        <f t="shared" si="4"/>
        <v>56.320000000000014</v>
      </c>
    </row>
    <row r="137" spans="1:6" ht="18" customHeight="1" x14ac:dyDescent="0.25">
      <c r="A137" s="142">
        <f>IFERROR(INDEX('كشف الحساب'!$A$4:$A$254,MATCH(132,'كشف الحساب'!$P$4:$P$254,0)),"")</f>
        <v>46258</v>
      </c>
      <c r="B137" s="122" t="str">
        <f>IFERROR(INDEX('كشف الحساب'!$B$4:$B$254,MATCH(132,'كشف الحساب'!$P$4:$P$254,0)),"")</f>
        <v>Inv-117</v>
      </c>
      <c r="C137" s="121" t="str">
        <f>IFERROR(INDEX('كشف الحساب'!$C$4:$C$254,MATCH(132,'كشف الحساب'!$P$4:$P$254,0)),"")</f>
        <v>ربل عدد 10 الحبه 2.250</v>
      </c>
      <c r="D137" s="123">
        <f>IFERROR(INDEX('كشف الحساب'!$E$4:$E$254,MATCH(132,'كشف الحساب'!$P$4:$P$254,0)),"")</f>
        <v>22.5</v>
      </c>
      <c r="E137" s="124">
        <f>IFERROR(INDEX('كشف الحساب'!$D$4:$D$254,MATCH(132,'كشف الحساب'!$P$4:$P$254,0)),"")</f>
        <v>0</v>
      </c>
      <c r="F137" s="125">
        <f t="shared" si="4"/>
        <v>78.820000000000022</v>
      </c>
    </row>
    <row r="138" spans="1:6" ht="18" customHeight="1" x14ac:dyDescent="0.25">
      <c r="A138" s="142">
        <f>IFERROR(INDEX('كشف الحساب'!$A$4:$A$254,MATCH(133,'كشف الحساب'!$P$4:$P$254,0)),"")</f>
        <v>46258</v>
      </c>
      <c r="B138" s="122" t="str">
        <f>IFERROR(INDEX('كشف الحساب'!$B$4:$B$254,MATCH(133,'كشف الحساب'!$P$4:$P$254,0)),"")</f>
        <v>Inv-118</v>
      </c>
      <c r="C138" s="121" t="str">
        <f>IFERROR(INDEX('كشف الحساب'!$C$4:$C$254,MATCH(133,'كشف الحساب'!$P$4:$P$254,0)),"")</f>
        <v>متنوع عدد 4 الحبه 1</v>
      </c>
      <c r="D138" s="123">
        <f>IFERROR(INDEX('كشف الحساب'!$E$4:$E$254,MATCH(133,'كشف الحساب'!$P$4:$P$254,0)),"")</f>
        <v>4</v>
      </c>
      <c r="E138" s="124">
        <f>IFERROR(INDEX('كشف الحساب'!$D$4:$D$254,MATCH(133,'كشف الحساب'!$P$4:$P$254,0)),"")</f>
        <v>0</v>
      </c>
      <c r="F138" s="125">
        <f t="shared" si="4"/>
        <v>82.820000000000022</v>
      </c>
    </row>
    <row r="139" spans="1:6" ht="18" customHeight="1" x14ac:dyDescent="0.25">
      <c r="A139" s="142">
        <f>IFERROR(INDEX('كشف الحساب'!$A$4:$A$254,MATCH(134,'كشف الحساب'!$P$4:$P$254,0)),"")</f>
        <v>46258</v>
      </c>
      <c r="B139" s="122" t="str">
        <f>IFERROR(INDEX('كشف الحساب'!$B$4:$B$254,MATCH(134,'كشف الحساب'!$P$4:$P$254,0)),"")</f>
        <v>Inv-119</v>
      </c>
      <c r="C139" s="121" t="str">
        <f>IFERROR(INDEX('كشف الحساب'!$C$4:$C$254,MATCH(134,'كشف الحساب'!$P$4:$P$254,0)),"")</f>
        <v>دارسينا عدد 2 الحبه 3</v>
      </c>
      <c r="D139" s="123">
        <f>IFERROR(INDEX('كشف الحساب'!$E$4:$E$254,MATCH(134,'كشف الحساب'!$P$4:$P$254,0)),"")</f>
        <v>6</v>
      </c>
      <c r="E139" s="124">
        <f>IFERROR(INDEX('كشف الحساب'!$D$4:$D$254,MATCH(134,'كشف الحساب'!$P$4:$P$254,0)),"")</f>
        <v>0</v>
      </c>
      <c r="F139" s="125">
        <f t="shared" si="4"/>
        <v>88.820000000000022</v>
      </c>
    </row>
    <row r="140" spans="1:6" ht="18" customHeight="1" x14ac:dyDescent="0.25">
      <c r="A140" s="142">
        <f>IFERROR(INDEX('كشف الحساب'!$A$4:$A$254,MATCH(135,'كشف الحساب'!$P$4:$P$254,0)),"")</f>
        <v>46258</v>
      </c>
      <c r="B140" s="122" t="str">
        <f>IFERROR(INDEX('كشف الحساب'!$B$4:$B$254,MATCH(135,'كشف الحساب'!$P$4:$P$254,0)),"")</f>
        <v>Inv-120</v>
      </c>
      <c r="C140" s="121" t="str">
        <f>IFERROR(INDEX('كشف الحساب'!$C$4:$C$254,MATCH(135,'كشف الحساب'!$P$4:$P$254,0)),"")</f>
        <v>فل عدد 2 الحبه .750</v>
      </c>
      <c r="D140" s="123">
        <f>IFERROR(INDEX('كشف الحساب'!$E$4:$E$254,MATCH(135,'كشف الحساب'!$P$4:$P$254,0)),"")</f>
        <v>1.5</v>
      </c>
      <c r="E140" s="124">
        <f>IFERROR(INDEX('كشف الحساب'!$D$4:$D$254,MATCH(135,'كشف الحساب'!$P$4:$P$254,0)),"")</f>
        <v>0</v>
      </c>
      <c r="F140" s="125">
        <f t="shared" si="4"/>
        <v>90.320000000000022</v>
      </c>
    </row>
    <row r="141" spans="1:6" ht="18" customHeight="1" x14ac:dyDescent="0.25">
      <c r="A141" s="142">
        <f>IFERROR(INDEX('كشف الحساب'!$A$4:$A$254,MATCH(136,'كشف الحساب'!$P$4:$P$254,0)),"")</f>
        <v>46258</v>
      </c>
      <c r="B141" s="122">
        <f>IFERROR(INDEX('كشف الحساب'!$B$4:$B$254,MATCH(136,'كشف الحساب'!$P$4:$P$254,0)),"")</f>
        <v>0</v>
      </c>
      <c r="C141" s="121" t="str">
        <f>IFERROR(INDEX('كشف الحساب'!$C$4:$C$254,MATCH(136,'كشف الحساب'!$P$4:$P$254,0)),"")</f>
        <v>اسمده</v>
      </c>
      <c r="D141" s="123">
        <f>IFERROR(INDEX('كشف الحساب'!$E$4:$E$254,MATCH(136,'كشف الحساب'!$P$4:$P$254,0)),"")</f>
        <v>0</v>
      </c>
      <c r="E141" s="124">
        <f>IFERROR(INDEX('كشف الحساب'!$D$4:$D$254,MATCH(136,'كشف الحساب'!$P$4:$P$254,0)),"")</f>
        <v>4.125</v>
      </c>
      <c r="F141" s="125">
        <f t="shared" si="4"/>
        <v>86.195000000000022</v>
      </c>
    </row>
    <row r="142" spans="1:6" ht="18" customHeight="1" x14ac:dyDescent="0.25">
      <c r="A142" s="142">
        <f>IFERROR(INDEX('كشف الحساب'!$A$4:$A$254,MATCH(137,'كشف الحساب'!$P$4:$P$254,0)),"")</f>
        <v>46260</v>
      </c>
      <c r="B142" s="122" t="str">
        <f>IFERROR(INDEX('كشف الحساب'!$B$4:$B$254,MATCH(137,'كشف الحساب'!$P$4:$P$254,0)),"")</f>
        <v>Inv-121</v>
      </c>
      <c r="C142" s="121" t="str">
        <f>IFERROR(INDEX('كشف الحساب'!$C$4:$C$254,MATCH(137,'كشف الحساب'!$P$4:$P$254,0)),"")</f>
        <v>شركه التهاني</v>
      </c>
      <c r="D142" s="123">
        <f>IFERROR(INDEX('كشف الحساب'!$E$4:$E$254,MATCH(137,'كشف الحساب'!$P$4:$P$254,0)),"")</f>
        <v>260</v>
      </c>
      <c r="E142" s="124">
        <f>IFERROR(INDEX('كشف الحساب'!$D$4:$D$254,MATCH(137,'كشف الحساب'!$P$4:$P$254,0)),"")</f>
        <v>0</v>
      </c>
      <c r="F142" s="125">
        <f t="shared" si="4"/>
        <v>346.19500000000005</v>
      </c>
    </row>
    <row r="143" spans="1:6" ht="18" customHeight="1" x14ac:dyDescent="0.25">
      <c r="A143" s="142">
        <f>IFERROR(INDEX('كشف الحساب'!$A$4:$A$254,MATCH(138,'كشف الحساب'!$P$4:$P$254,0)),"")</f>
        <v>46260</v>
      </c>
      <c r="B143" s="122">
        <f>IFERROR(INDEX('كشف الحساب'!$B$4:$B$254,MATCH(138,'كشف الحساب'!$P$4:$P$254,0)),"")</f>
        <v>0</v>
      </c>
      <c r="C143" s="121" t="str">
        <f>IFERROR(INDEX('كشف الحساب'!$C$4:$C$254,MATCH(138,'كشف الحساب'!$P$4:$P$254,0)),"")</f>
        <v>, حوض معلق عدد500 (الوحده.170(,بتموس عدد 10 الحبه 15</v>
      </c>
      <c r="D143" s="123">
        <f>IFERROR(INDEX('كشف الحساب'!$E$4:$E$254,MATCH(138,'كشف الحساب'!$P$4:$P$254,0)),"")</f>
        <v>0</v>
      </c>
      <c r="E143" s="124">
        <f>IFERROR(INDEX('كشف الحساب'!$D$4:$D$254,MATCH(138,'كشف الحساب'!$P$4:$P$254,0)),"")</f>
        <v>243</v>
      </c>
      <c r="F143" s="125">
        <f t="shared" si="4"/>
        <v>103.19500000000005</v>
      </c>
    </row>
    <row r="144" spans="1:6" ht="18" customHeight="1" x14ac:dyDescent="0.25">
      <c r="A144" s="142">
        <f>IFERROR(INDEX('كشف الحساب'!$A$4:$A$254,MATCH(139,'كشف الحساب'!$P$4:$P$254,0)),"")</f>
        <v>46251</v>
      </c>
      <c r="B144" s="122">
        <f>IFERROR(INDEX('كشف الحساب'!$B$4:$B$254,MATCH(139,'كشف الحساب'!$P$4:$P$254,0)),"")</f>
        <v>0</v>
      </c>
      <c r="C144" s="121" t="str">
        <f>IFERROR(INDEX('كشف الحساب'!$C$4:$C$254,MATCH(139,'كشف الحساب'!$P$4:$P$254,0)),"")</f>
        <v>تاير توكتوك</v>
      </c>
      <c r="D144" s="123">
        <f>IFERROR(INDEX('كشف الحساب'!$E$4:$E$254,MATCH(139,'كشف الحساب'!$P$4:$P$254,0)),"")</f>
        <v>0</v>
      </c>
      <c r="E144" s="124">
        <f>IFERROR(INDEX('كشف الحساب'!$D$4:$D$254,MATCH(139,'كشف الحساب'!$P$4:$P$254,0)),"")</f>
        <v>3</v>
      </c>
      <c r="F144" s="125">
        <f t="shared" si="4"/>
        <v>100.19500000000005</v>
      </c>
    </row>
    <row r="145" spans="1:6" ht="18" customHeight="1" x14ac:dyDescent="0.25">
      <c r="A145" s="142">
        <f>IFERROR(INDEX('كشف الحساب'!$A$4:$A$254,MATCH(140,'كشف الحساب'!$P$4:$P$254,0)),"")</f>
        <v>46229</v>
      </c>
      <c r="B145" s="122" t="str">
        <f>IFERROR(INDEX('كشف الحساب'!$B$4:$B$254,MATCH(140,'كشف الحساب'!$P$4:$P$254,0)),"")</f>
        <v>Inv-122</v>
      </c>
      <c r="C145" s="121" t="str">
        <f>IFERROR(INDEX('كشف الحساب'!$C$4:$C$254,MATCH(140,'كشف الحساب'!$P$4:$P$254,0)),"")</f>
        <v>متنوع عدد10 الحبه 1</v>
      </c>
      <c r="D145" s="123">
        <f>IFERROR(INDEX('كشف الحساب'!$E$4:$E$254,MATCH(140,'كشف الحساب'!$P$4:$P$254,0)),"")</f>
        <v>10</v>
      </c>
      <c r="E145" s="124">
        <f>IFERROR(INDEX('كشف الحساب'!$D$4:$D$254,MATCH(140,'كشف الحساب'!$P$4:$P$254,0)),"")</f>
        <v>0</v>
      </c>
      <c r="F145" s="125">
        <f t="shared" si="4"/>
        <v>110.19500000000005</v>
      </c>
    </row>
    <row r="146" spans="1:6" ht="18" customHeight="1" x14ac:dyDescent="0.25">
      <c r="A146" s="142">
        <f>IFERROR(INDEX('كشف الحساب'!$A$4:$A$254,MATCH(141,'كشف الحساب'!$P$4:$P$254,0)),"")</f>
        <v>46229</v>
      </c>
      <c r="B146" s="122" t="str">
        <f>IFERROR(INDEX('كشف الحساب'!$B$4:$B$254,MATCH(141,'كشف الحساب'!$P$4:$P$254,0)),"")</f>
        <v>Inv-123</v>
      </c>
      <c r="C146" s="121" t="str">
        <f>IFERROR(INDEX('كشف الحساب'!$C$4:$C$254,MATCH(141,'كشف الحساب'!$P$4:$P$254,0)),"")</f>
        <v>ربل عدد 4 الحبه 2.250</v>
      </c>
      <c r="D146" s="123">
        <f>IFERROR(INDEX('كشف الحساب'!$E$4:$E$254,MATCH(141,'كشف الحساب'!$P$4:$P$254,0)),"")</f>
        <v>9</v>
      </c>
      <c r="E146" s="124">
        <f>IFERROR(INDEX('كشف الحساب'!$D$4:$D$254,MATCH(141,'كشف الحساب'!$P$4:$P$254,0)),"")</f>
        <v>0</v>
      </c>
      <c r="F146" s="125">
        <f t="shared" si="4"/>
        <v>119.19500000000005</v>
      </c>
    </row>
    <row r="147" spans="1:6" ht="18" customHeight="1" x14ac:dyDescent="0.25">
      <c r="A147" s="142">
        <f>IFERROR(INDEX('كشف الحساب'!$A$4:$A$254,MATCH(142,'كشف الحساب'!$P$4:$P$254,0)),"")</f>
        <v>46229</v>
      </c>
      <c r="B147" s="122" t="str">
        <f>IFERROR(INDEX('كشف الحساب'!$B$4:$B$254,MATCH(142,'كشف الحساب'!$P$4:$P$254,0)),"")</f>
        <v>Inv-124</v>
      </c>
      <c r="C147" s="121" t="str">
        <f>IFERROR(INDEX('كشف الحساب'!$C$4:$C$254,MATCH(142,'كشف الحساب'!$P$4:$P$254,0)),"")</f>
        <v>متنوع عدد 10 الحبه 1</v>
      </c>
      <c r="D147" s="123">
        <f>IFERROR(INDEX('كشف الحساب'!$E$4:$E$254,MATCH(142,'كشف الحساب'!$P$4:$P$254,0)),"")</f>
        <v>10</v>
      </c>
      <c r="E147" s="124">
        <f>IFERROR(INDEX('كشف الحساب'!$D$4:$D$254,MATCH(142,'كشف الحساب'!$P$4:$P$254,0)),"")</f>
        <v>0</v>
      </c>
      <c r="F147" s="125">
        <f t="shared" si="4"/>
        <v>129.19500000000005</v>
      </c>
    </row>
    <row r="148" spans="1:6" ht="18" customHeight="1" x14ac:dyDescent="0.25">
      <c r="A148" s="142">
        <f>IFERROR(INDEX('كشف الحساب'!$A$4:$A$254,MATCH(143,'كشف الحساب'!$P$4:$P$254,0)),"")</f>
        <v>46251</v>
      </c>
      <c r="B148" s="122">
        <f>IFERROR(INDEX('كشف الحساب'!$B$4:$B$254,MATCH(143,'كشف الحساب'!$P$4:$P$254,0)),"")</f>
        <v>0</v>
      </c>
      <c r="C148" s="121" t="str">
        <f>IFERROR(INDEX('كشف الحساب'!$C$4:$C$254,MATCH(143,'كشف الحساب'!$P$4:$P$254,0)),"")</f>
        <v>هوز اصفر 3/4 طول 50 متر</v>
      </c>
      <c r="D148" s="123">
        <f>IFERROR(INDEX('كشف الحساب'!$E$4:$E$254,MATCH(143,'كشف الحساب'!$P$4:$P$254,0)),"")</f>
        <v>0</v>
      </c>
      <c r="E148" s="124">
        <f>IFERROR(INDEX('كشف الحساب'!$D$4:$D$254,MATCH(143,'كشف الحساب'!$P$4:$P$254,0)),"")</f>
        <v>11.5</v>
      </c>
      <c r="F148" s="125">
        <f t="shared" si="4"/>
        <v>117.69500000000005</v>
      </c>
    </row>
    <row r="149" spans="1:6" ht="18" customHeight="1" x14ac:dyDescent="0.25">
      <c r="A149" s="142">
        <f>IFERROR(INDEX('كشف الحساب'!$A$4:$A$254,MATCH(144,'كشف الحساب'!$P$4:$P$254,0)),"")</f>
        <v>46254</v>
      </c>
      <c r="B149" s="122" t="str">
        <f>IFERROR(INDEX('كشف الحساب'!$B$4:$B$254,MATCH(144,'كشف الحساب'!$P$4:$P$254,0)),"")</f>
        <v>Inv-125</v>
      </c>
      <c r="C149" s="121" t="str">
        <f>IFERROR(INDEX('كشف الحساب'!$C$4:$C$254,MATCH(144,'كشف الحساب'!$P$4:$P$254,0)),"")</f>
        <v>متنوع - تم الدفع 26/8</v>
      </c>
      <c r="D149" s="123">
        <f>IFERROR(INDEX('كشف الحساب'!$E$4:$E$254,MATCH(144,'كشف الحساب'!$P$4:$P$254,0)),"")</f>
        <v>59</v>
      </c>
      <c r="E149" s="124">
        <f>IFERROR(INDEX('كشف الحساب'!$D$4:$D$254,MATCH(144,'كشف الحساب'!$P$4:$P$254,0)),"")</f>
        <v>0</v>
      </c>
      <c r="F149" s="125">
        <f t="shared" si="4"/>
        <v>176.69500000000005</v>
      </c>
    </row>
    <row r="150" spans="1:6" ht="18" customHeight="1" x14ac:dyDescent="0.25">
      <c r="A150" s="142">
        <f>IFERROR(INDEX('كشف الحساب'!$A$4:$A$254,MATCH(145,'كشف الحساب'!$P$4:$P$254,0)),"")</f>
        <v>46263</v>
      </c>
      <c r="B150" s="122" t="str">
        <f>IFERROR(INDEX('كشف الحساب'!$B$4:$B$254,MATCH(145,'كشف الحساب'!$P$4:$P$254,0)),"")</f>
        <v>Inv-126</v>
      </c>
      <c r="C150" s="121" t="str">
        <f>IFERROR(INDEX('كشف الحساب'!$C$4:$C$254,MATCH(145,'كشف الحساب'!$P$4:$P$254,0)),"")</f>
        <v>فاتوره لزهور التهاني</v>
      </c>
      <c r="D150" s="123">
        <f>IFERROR(INDEX('كشف الحساب'!$E$4:$E$254,MATCH(145,'كشف الحساب'!$P$4:$P$254,0)),"")</f>
        <v>400</v>
      </c>
      <c r="E150" s="124">
        <f>IFERROR(INDEX('كشف الحساب'!$D$4:$D$254,MATCH(145,'كشف الحساب'!$P$4:$P$254,0)),"")</f>
        <v>0</v>
      </c>
      <c r="F150" s="125">
        <f t="shared" si="4"/>
        <v>576.69500000000005</v>
      </c>
    </row>
    <row r="151" spans="1:6" ht="18" customHeight="1" x14ac:dyDescent="0.25">
      <c r="A151" s="142">
        <f>IFERROR(INDEX('كشف الحساب'!$A$4:$A$254,MATCH(146,'كشف الحساب'!$P$4:$P$254,0)),"")</f>
        <v>46263</v>
      </c>
      <c r="B151" s="122">
        <f>IFERROR(INDEX('كشف الحساب'!$B$4:$B$254,MATCH(146,'كشف الحساب'!$P$4:$P$254,0)),"")</f>
        <v>0</v>
      </c>
      <c r="C151" s="121" t="str">
        <f>IFERROR(INDEX('كشف الحساب'!$C$4:$C$254,MATCH(146,'كشف الحساب'!$P$4:$P$254,0)),"")</f>
        <v>صبار عدد 15 الحبه 1</v>
      </c>
      <c r="D151" s="123">
        <f>IFERROR(INDEX('كشف الحساب'!$E$4:$E$254,MATCH(146,'كشف الحساب'!$P$4:$P$254,0)),"")</f>
        <v>0</v>
      </c>
      <c r="E151" s="124">
        <f>IFERROR(INDEX('كشف الحساب'!$D$4:$D$254,MATCH(146,'كشف الحساب'!$P$4:$P$254,0)),"")</f>
        <v>15</v>
      </c>
      <c r="F151" s="125">
        <f t="shared" si="4"/>
        <v>561.69500000000005</v>
      </c>
    </row>
    <row r="152" spans="1:6" ht="18" customHeight="1" x14ac:dyDescent="0.25">
      <c r="A152" s="142">
        <f>IFERROR(INDEX('كشف الحساب'!$A$4:$A$254,MATCH(147,'كشف الحساب'!$P$4:$P$254,0)),"")</f>
        <v>46263</v>
      </c>
      <c r="B152" s="122">
        <f>IFERROR(INDEX('كشف الحساب'!$B$4:$B$254,MATCH(147,'كشف الحساب'!$P$4:$P$254,0)),"")</f>
        <v>0</v>
      </c>
      <c r="C152" s="121" t="str">
        <f>IFERROR(INDEX('كشف الحساب'!$C$4:$C$254,MATCH(147,'كشف الحساب'!$P$4:$P$254,0)),"")</f>
        <v>زيتون عدد 2 الحبه 12</v>
      </c>
      <c r="D152" s="123">
        <f>IFERROR(INDEX('كشف الحساب'!$E$4:$E$254,MATCH(147,'كشف الحساب'!$P$4:$P$254,0)),"")</f>
        <v>0</v>
      </c>
      <c r="E152" s="124">
        <f>IFERROR(INDEX('كشف الحساب'!$D$4:$D$254,MATCH(147,'كشف الحساب'!$P$4:$P$254,0)),"")</f>
        <v>24</v>
      </c>
      <c r="F152" s="125">
        <f t="shared" si="4"/>
        <v>537.69500000000005</v>
      </c>
    </row>
    <row r="153" spans="1:6" ht="18" customHeight="1" x14ac:dyDescent="0.25">
      <c r="A153" s="142">
        <f>IFERROR(INDEX('كشف الحساب'!$A$4:$A$254,MATCH(148,'كشف الحساب'!$P$4:$P$254,0)),"")</f>
        <v>46264</v>
      </c>
      <c r="B153" s="122" t="str">
        <f>IFERROR(INDEX('كشف الحساب'!$B$4:$B$254,MATCH(148,'كشف الحساب'!$P$4:$P$254,0)),"")</f>
        <v>Inv-127</v>
      </c>
      <c r="C153" s="121" t="str">
        <f>IFERROR(INDEX('كشف الحساب'!$C$4:$C$254,MATCH(148,'كشف الحساب'!$P$4:$P$254,0)),"")</f>
        <v>اناناس عدد 4 الواحده 4</v>
      </c>
      <c r="D153" s="123">
        <f>IFERROR(INDEX('كشف الحساب'!$E$4:$E$254,MATCH(148,'كشف الحساب'!$P$4:$P$254,0)),"")</f>
        <v>16</v>
      </c>
      <c r="E153" s="124">
        <f>IFERROR(INDEX('كشف الحساب'!$D$4:$D$254,MATCH(148,'كشف الحساب'!$P$4:$P$254,0)),"")</f>
        <v>0</v>
      </c>
      <c r="F153" s="125">
        <f t="shared" si="4"/>
        <v>553.69500000000005</v>
      </c>
    </row>
    <row r="154" spans="1:6" ht="18" customHeight="1" x14ac:dyDescent="0.25">
      <c r="A154" s="142">
        <f>IFERROR(INDEX('كشف الحساب'!$A$4:$A$254,MATCH(149,'كشف الحساب'!$P$4:$P$254,0)),"")</f>
        <v>46264</v>
      </c>
      <c r="B154" s="122" t="str">
        <f>IFERROR(INDEX('كشف الحساب'!$B$4:$B$254,MATCH(149,'كشف الحساب'!$P$4:$P$254,0)),"")</f>
        <v>Inv-128</v>
      </c>
      <c r="C154" s="121" t="str">
        <f>IFERROR(INDEX('كشف الحساب'!$C$4:$C$254,MATCH(149,'كشف الحساب'!$P$4:$P$254,0)),"")</f>
        <v>ربل عدد 6 الحبه 2.500</v>
      </c>
      <c r="D154" s="123">
        <f>IFERROR(INDEX('كشف الحساب'!$E$4:$E$254,MATCH(149,'كشف الحساب'!$P$4:$P$254,0)),"")</f>
        <v>15</v>
      </c>
      <c r="E154" s="124">
        <f>IFERROR(INDEX('كشف الحساب'!$D$4:$D$254,MATCH(149,'كشف الحساب'!$P$4:$P$254,0)),"")</f>
        <v>0</v>
      </c>
      <c r="F154" s="125">
        <f t="shared" si="4"/>
        <v>568.69500000000005</v>
      </c>
    </row>
    <row r="155" spans="1:6" ht="18" customHeight="1" x14ac:dyDescent="0.25">
      <c r="A155" s="142">
        <f>IFERROR(INDEX('كشف الحساب'!$A$4:$A$254,MATCH(150,'كشف الحساب'!$P$4:$P$254,0)),"")</f>
        <v>46264</v>
      </c>
      <c r="B155" s="122" t="str">
        <f>IFERROR(INDEX('كشف الحساب'!$B$4:$B$254,MATCH(150,'كشف الحساب'!$P$4:$P$254,0)),"")</f>
        <v>Inv-129</v>
      </c>
      <c r="C155" s="121" t="str">
        <f>IFERROR(INDEX('كشف الحساب'!$C$4:$C$254,MATCH(150,'كشف الحساب'!$P$4:$P$254,0)),"")</f>
        <v>متنوع عدد 17 الحبه 1</v>
      </c>
      <c r="D155" s="123">
        <f>IFERROR(INDEX('كشف الحساب'!$E$4:$E$254,MATCH(150,'كشف الحساب'!$P$4:$P$254,0)),"")</f>
        <v>17</v>
      </c>
      <c r="E155" s="124">
        <f>IFERROR(INDEX('كشف الحساب'!$D$4:$D$254,MATCH(150,'كشف الحساب'!$P$4:$P$254,0)),"")</f>
        <v>0</v>
      </c>
      <c r="F155" s="125">
        <f t="shared" si="4"/>
        <v>585.69500000000005</v>
      </c>
    </row>
    <row r="156" spans="1:6" ht="18" customHeight="1" x14ac:dyDescent="0.25">
      <c r="A156" s="142">
        <f>IFERROR(INDEX('كشف الحساب'!$A$4:$A$254,MATCH(151,'كشف الحساب'!$P$4:$P$254,0)),"")</f>
        <v>46264</v>
      </c>
      <c r="B156" s="122" t="str">
        <f>IFERROR(INDEX('كشف الحساب'!$B$4:$B$254,MATCH(151,'كشف الحساب'!$P$4:$P$254,0)),"")</f>
        <v>Inv-130</v>
      </c>
      <c r="C156" s="121" t="str">
        <f>IFERROR(INDEX('كشف الحساب'!$C$4:$C$254,MATCH(151,'كشف الحساب'!$P$4:$P$254,0)),"")</f>
        <v>صبار عدد 13 الحبه 0.750</v>
      </c>
      <c r="D156" s="123">
        <f>IFERROR(INDEX('كشف الحساب'!$E$4:$E$254,MATCH(151,'كشف الحساب'!$P$4:$P$254,0)),"")</f>
        <v>9.75</v>
      </c>
      <c r="E156" s="124">
        <f>IFERROR(INDEX('كشف الحساب'!$D$4:$D$254,MATCH(151,'كشف الحساب'!$P$4:$P$254,0)),"")</f>
        <v>0</v>
      </c>
      <c r="F156" s="125">
        <f t="shared" si="4"/>
        <v>595.44500000000005</v>
      </c>
    </row>
    <row r="157" spans="1:6" ht="18" customHeight="1" x14ac:dyDescent="0.25">
      <c r="A157" s="142">
        <f>IFERROR(INDEX('كشف الحساب'!$A$4:$A$254,MATCH(152,'كشف الحساب'!$P$4:$P$254,0)),"")</f>
        <v>46264</v>
      </c>
      <c r="B157" s="122" t="str">
        <f>IFERROR(INDEX('كشف الحساب'!$B$4:$B$254,MATCH(152,'كشف الحساب'!$P$4:$P$254,0)),"")</f>
        <v>Inv-131</v>
      </c>
      <c r="C157" s="121" t="str">
        <f>IFERROR(INDEX('كشف الحساب'!$C$4:$C$254,MATCH(152,'كشف الحساب'!$P$4:$P$254,0)),"")</f>
        <v>تين عدد5 الحبه 1.500</v>
      </c>
      <c r="D157" s="123">
        <f>IFERROR(INDEX('كشف الحساب'!$E$4:$E$254,MATCH(152,'كشف الحساب'!$P$4:$P$254,0)),"")</f>
        <v>7.5</v>
      </c>
      <c r="E157" s="124">
        <f>IFERROR(INDEX('كشف الحساب'!$D$4:$D$254,MATCH(152,'كشف الحساب'!$P$4:$P$254,0)),"")</f>
        <v>0</v>
      </c>
      <c r="F157" s="125">
        <f t="shared" si="4"/>
        <v>602.94500000000005</v>
      </c>
    </row>
    <row r="158" spans="1:6" ht="18" customHeight="1" x14ac:dyDescent="0.25">
      <c r="A158" s="142">
        <f>IFERROR(INDEX('كشف الحساب'!$A$4:$A$254,MATCH(153,'كشف الحساب'!$P$4:$P$254,0)),"")</f>
        <v>46264</v>
      </c>
      <c r="B158" s="122">
        <f>IFERROR(INDEX('كشف الحساب'!$B$4:$B$254,MATCH(153,'كشف الحساب'!$P$4:$P$254,0)),"")</f>
        <v>0</v>
      </c>
      <c r="C158" s="121" t="str">
        <f>IFERROR(INDEX('كشف الحساب'!$C$4:$C$254,MATCH(153,'كشف الحساب'!$P$4:$P$254,0)),"")</f>
        <v>أقامه نزمول 3 سنوات</v>
      </c>
      <c r="D158" s="123">
        <f>IFERROR(INDEX('كشف الحساب'!$E$4:$E$254,MATCH(153,'كشف الحساب'!$P$4:$P$254,0)),"")</f>
        <v>0</v>
      </c>
      <c r="E158" s="124">
        <f>IFERROR(INDEX('كشف الحساب'!$D$4:$D$254,MATCH(153,'كشف الحساب'!$P$4:$P$254,0)),"")</f>
        <v>35</v>
      </c>
      <c r="F158" s="125">
        <f t="shared" si="4"/>
        <v>567.94500000000005</v>
      </c>
    </row>
    <row r="159" spans="1:6" ht="18" customHeight="1" x14ac:dyDescent="0.25">
      <c r="A159" s="142">
        <f>IFERROR(INDEX('كشف الحساب'!$A$4:$A$254,MATCH(154,'كشف الحساب'!$P$4:$P$254,0)),"")</f>
        <v>46265</v>
      </c>
      <c r="B159" s="122">
        <f>IFERROR(INDEX('كشف الحساب'!$B$4:$B$254,MATCH(154,'كشف الحساب'!$P$4:$P$254,0)),"")</f>
        <v>0</v>
      </c>
      <c r="C159" s="121" t="str">
        <f>IFERROR(INDEX('كشف الحساب'!$C$4:$C$254,MATCH(154,'كشف الحساب'!$P$4:$P$254,0)),"")</f>
        <v>رواتب + كهرباء وماء</v>
      </c>
      <c r="D159" s="123">
        <f>IFERROR(INDEX('كشف الحساب'!$E$4:$E$254,MATCH(154,'كشف الحساب'!$P$4:$P$254,0)),"")</f>
        <v>0</v>
      </c>
      <c r="E159" s="124">
        <f>IFERROR(INDEX('كشف الحساب'!$D$4:$D$254,MATCH(154,'كشف الحساب'!$P$4:$P$254,0)),"")</f>
        <v>470</v>
      </c>
      <c r="F159" s="125">
        <f t="shared" si="4"/>
        <v>97.94500000000005</v>
      </c>
    </row>
    <row r="160" spans="1:6" ht="18" customHeight="1" x14ac:dyDescent="0.25">
      <c r="A160" s="142">
        <f>IFERROR(INDEX('كشف الحساب'!$A$4:$A$254,MATCH(155,'كشف الحساب'!$P$4:$P$254,0)),"")</f>
        <v>46265</v>
      </c>
      <c r="B160" s="122">
        <f>IFERROR(INDEX('كشف الحساب'!$B$4:$B$254,MATCH(155,'كشف الحساب'!$P$4:$P$254,0)),"")</f>
        <v>0</v>
      </c>
      <c r="C160" s="121" t="str">
        <f>IFERROR(INDEX('كشف الحساب'!$C$4:$C$254,MATCH(155,'كشف الحساب'!$P$4:$P$254,0)),"")</f>
        <v>نصف قيمه فلتر المالج</v>
      </c>
      <c r="D160" s="123">
        <f>IFERROR(INDEX('كشف الحساب'!$E$4:$E$254,MATCH(155,'كشف الحساب'!$P$4:$P$254,0)),"")</f>
        <v>0</v>
      </c>
      <c r="E160" s="124">
        <f>IFERROR(INDEX('كشف الحساب'!$D$4:$D$254,MATCH(155,'كشف الحساب'!$P$4:$P$254,0)),"")</f>
        <v>62.5</v>
      </c>
      <c r="F160" s="125">
        <f t="shared" si="4"/>
        <v>35.44500000000005</v>
      </c>
    </row>
    <row r="161" spans="1:6" ht="18" customHeight="1" x14ac:dyDescent="0.25">
      <c r="A161" s="142">
        <f>IFERROR(INDEX('كشف الحساب'!$A$4:$A$254,MATCH(156,'كشف الحساب'!$P$4:$P$254,0)),"")</f>
        <v>46265</v>
      </c>
      <c r="B161" s="122" t="str">
        <f>IFERROR(INDEX('كشف الحساب'!$B$4:$B$254,MATCH(156,'كشف الحساب'!$P$4:$P$254,0)),"")</f>
        <v>Inv-132</v>
      </c>
      <c r="C161" s="121" t="str">
        <f>IFERROR(INDEX('كشف الحساب'!$C$4:$C$254,MATCH(156,'كشف الحساب'!$P$4:$P$254,0)),"")</f>
        <v>ودليه عدد 2 الحبه 1</v>
      </c>
      <c r="D161" s="123">
        <f>IFERROR(INDEX('كشف الحساب'!$E$4:$E$254,MATCH(156,'كشف الحساب'!$P$4:$P$254,0)),"")</f>
        <v>2</v>
      </c>
      <c r="E161" s="124">
        <f>IFERROR(INDEX('كشف الحساب'!$D$4:$D$254,MATCH(156,'كشف الحساب'!$P$4:$P$254,0)),"")</f>
        <v>0</v>
      </c>
      <c r="F161" s="125">
        <f t="shared" si="4"/>
        <v>37.44500000000005</v>
      </c>
    </row>
    <row r="162" spans="1:6" ht="18" customHeight="1" x14ac:dyDescent="0.25">
      <c r="A162" s="142">
        <f>IFERROR(INDEX('كشف الحساب'!$A$4:$A$254,MATCH(157,'كشف الحساب'!$P$4:$P$254,0)),"")</f>
        <v>46268</v>
      </c>
      <c r="B162" s="122" t="str">
        <f>IFERROR(INDEX('كشف الحساب'!$B$4:$B$254,MATCH(157,'كشف الحساب'!$P$4:$P$254,0)),"")</f>
        <v>Inv-133</v>
      </c>
      <c r="C162" s="121" t="str">
        <f>IFERROR(INDEX('كشف الحساب'!$C$4:$C$254,MATCH(157,'كشف الحساب'!$P$4:$P$254,0)),"")</f>
        <v>زهور التهاني</v>
      </c>
      <c r="D162" s="123">
        <f>IFERROR(INDEX('كشف الحساب'!$E$4:$E$254,MATCH(157,'كشف الحساب'!$P$4:$P$254,0)),"")</f>
        <v>270</v>
      </c>
      <c r="E162" s="124">
        <f>IFERROR(INDEX('كشف الحساب'!$D$4:$D$254,MATCH(157,'كشف الحساب'!$P$4:$P$254,0)),"")</f>
        <v>0</v>
      </c>
      <c r="F162" s="125">
        <f t="shared" si="4"/>
        <v>307.44500000000005</v>
      </c>
    </row>
    <row r="163" spans="1:6" ht="18" customHeight="1" x14ac:dyDescent="0.25">
      <c r="A163" s="142">
        <f>IFERROR(INDEX('كشف الحساب'!$A$4:$A$254,MATCH(158,'كشف الحساب'!$P$4:$P$254,0)),"")</f>
        <v>46269</v>
      </c>
      <c r="B163" s="122">
        <f>IFERROR(INDEX('كشف الحساب'!$B$4:$B$254,MATCH(158,'كشف الحساب'!$P$4:$P$254,0)),"")</f>
        <v>0</v>
      </c>
      <c r="C163" s="121" t="str">
        <f>IFERROR(INDEX('كشف الحساب'!$C$4:$C$254,MATCH(158,'كشف الحساب'!$P$4:$P$254,0)),"")</f>
        <v>يوريا  عدد1 (12.250) + مقص عدد1(1.250)</v>
      </c>
      <c r="D163" s="123">
        <f>IFERROR(INDEX('كشف الحساب'!$E$4:$E$254,MATCH(158,'كشف الحساب'!$P$4:$P$254,0)),"")</f>
        <v>0</v>
      </c>
      <c r="E163" s="124">
        <f>IFERROR(INDEX('كشف الحساب'!$D$4:$D$254,MATCH(158,'كشف الحساب'!$P$4:$P$254,0)),"")</f>
        <v>13.5</v>
      </c>
      <c r="F163" s="125">
        <f t="shared" si="4"/>
        <v>293.94500000000005</v>
      </c>
    </row>
    <row r="164" spans="1:6" ht="18" customHeight="1" x14ac:dyDescent="0.25">
      <c r="A164" s="142">
        <f>IFERROR(INDEX('كشف الحساب'!$A$4:$A$254,MATCH(159,'كشف الحساب'!$P$4:$P$254,0)),"")</f>
        <v>46271</v>
      </c>
      <c r="B164" s="122" t="str">
        <f>IFERROR(INDEX('كشف الحساب'!$B$4:$B$254,MATCH(159,'كشف الحساب'!$P$4:$P$254,0)),"")</f>
        <v>Inv-134</v>
      </c>
      <c r="C164" s="121" t="str">
        <f>IFERROR(INDEX('كشف الحساب'!$C$4:$C$254,MATCH(159,'كشف الحساب'!$P$4:$P$254,0)),"")</f>
        <v>ليمون جراس عدد 4 الحبه 3</v>
      </c>
      <c r="D164" s="123">
        <f>IFERROR(INDEX('كشف الحساب'!$E$4:$E$254,MATCH(159,'كشف الحساب'!$P$4:$P$254,0)),"")</f>
        <v>12</v>
      </c>
      <c r="E164" s="124">
        <f>IFERROR(INDEX('كشف الحساب'!$D$4:$D$254,MATCH(159,'كشف الحساب'!$P$4:$P$254,0)),"")</f>
        <v>0</v>
      </c>
      <c r="F164" s="125">
        <f t="shared" si="4"/>
        <v>305.94500000000005</v>
      </c>
    </row>
    <row r="165" spans="1:6" ht="18" customHeight="1" x14ac:dyDescent="0.25">
      <c r="A165" s="142">
        <f>IFERROR(INDEX('كشف الحساب'!$A$4:$A$254,MATCH(160,'كشف الحساب'!$P$4:$P$254,0)),"")</f>
        <v>46271</v>
      </c>
      <c r="B165" s="122" t="str">
        <f>IFERROR(INDEX('كشف الحساب'!$B$4:$B$254,MATCH(160,'كشف الحساب'!$P$4:$P$254,0)),"")</f>
        <v>Inv-135</v>
      </c>
      <c r="C165" s="121" t="str">
        <f>IFERROR(INDEX('كشف الحساب'!$C$4:$C$254,MATCH(160,'كشف الحساب'!$P$4:$P$254,0)),"")</f>
        <v>ربل عدد 2 الحبه 1.500</v>
      </c>
      <c r="D165" s="123">
        <f>IFERROR(INDEX('كشف الحساب'!$E$4:$E$254,MATCH(160,'كشف الحساب'!$P$4:$P$254,0)),"")</f>
        <v>3</v>
      </c>
      <c r="E165" s="124">
        <f>IFERROR(INDEX('كشف الحساب'!$D$4:$D$254,MATCH(160,'كشف الحساب'!$P$4:$P$254,0)),"")</f>
        <v>0</v>
      </c>
      <c r="F165" s="125">
        <f t="shared" si="4"/>
        <v>308.94500000000005</v>
      </c>
    </row>
    <row r="166" spans="1:6" ht="18" customHeight="1" x14ac:dyDescent="0.25">
      <c r="A166" s="142">
        <f>IFERROR(INDEX('كشف الحساب'!$A$4:$A$254,MATCH(161,'كشف الحساب'!$P$4:$P$254,0)),"")</f>
        <v>46271</v>
      </c>
      <c r="B166" s="122" t="str">
        <f>IFERROR(INDEX('كشف الحساب'!$B$4:$B$254,MATCH(161,'كشف الحساب'!$P$4:$P$254,0)),"")</f>
        <v>Inv-136</v>
      </c>
      <c r="C166" s="121" t="str">
        <f>IFERROR(INDEX('كشف الحساب'!$C$4:$C$254,MATCH(161,'كشف الحساب'!$P$4:$P$254,0)),"")</f>
        <v>متنوع عدد 7 الحبه 1</v>
      </c>
      <c r="D166" s="123">
        <f>IFERROR(INDEX('كشف الحساب'!$E$4:$E$254,MATCH(161,'كشف الحساب'!$P$4:$P$254,0)),"")</f>
        <v>7</v>
      </c>
      <c r="E166" s="124">
        <f>IFERROR(INDEX('كشف الحساب'!$D$4:$D$254,MATCH(161,'كشف الحساب'!$P$4:$P$254,0)),"")</f>
        <v>0</v>
      </c>
      <c r="F166" s="125">
        <f t="shared" si="4"/>
        <v>315.94500000000005</v>
      </c>
    </row>
    <row r="167" spans="1:6" ht="18" customHeight="1" x14ac:dyDescent="0.25">
      <c r="A167" s="142">
        <f>IFERROR(INDEX('كشف الحساب'!$A$4:$A$254,MATCH(162,'كشف الحساب'!$P$4:$P$254,0)),"")</f>
        <v>46271</v>
      </c>
      <c r="B167" s="122">
        <f>IFERROR(INDEX('كشف الحساب'!$B$4:$B$254,MATCH(162,'كشف الحساب'!$P$4:$P$254,0)),"")</f>
        <v>0</v>
      </c>
      <c r="C167" s="121" t="str">
        <f>IFERROR(INDEX('كشف الحساب'!$C$4:$C$254,MATCH(162,'كشف الحساب'!$P$4:$P$254,0)),"")</f>
        <v>احواض  عدد 1000 الحجم 25 سم</v>
      </c>
      <c r="D167" s="123">
        <f>IFERROR(INDEX('كشف الحساب'!$E$4:$E$254,MATCH(162,'كشف الحساب'!$P$4:$P$254,0)),"")</f>
        <v>0</v>
      </c>
      <c r="E167" s="124">
        <f>IFERROR(INDEX('كشف الحساب'!$D$4:$D$254,MATCH(162,'كشف الحساب'!$P$4:$P$254,0)),"")</f>
        <v>85</v>
      </c>
      <c r="F167" s="125">
        <f t="shared" ref="F167:F198" si="5">IF($A167="","",IF($F166="",0,$F166)+IF($D167="",0,$D167)-IF($E167="",0,$E167))</f>
        <v>230.94500000000005</v>
      </c>
    </row>
    <row r="168" spans="1:6" ht="18" customHeight="1" x14ac:dyDescent="0.25">
      <c r="A168" s="142">
        <f>IFERROR(INDEX('كشف الحساب'!$A$4:$A$254,MATCH(163,'كشف الحساب'!$P$4:$P$254,0)),"")</f>
        <v>46272</v>
      </c>
      <c r="B168" s="122">
        <f>IFERROR(INDEX('كشف الحساب'!$B$4:$B$254,MATCH(163,'كشف الحساب'!$P$4:$P$254,0)),"")</f>
        <v>0</v>
      </c>
      <c r="C168" s="121" t="str">
        <f>IFERROR(INDEX('كشف الحساب'!$C$4:$C$254,MATCH(163,'كشف الحساب'!$P$4:$P$254,0)),"")</f>
        <v>وصلات</v>
      </c>
      <c r="D168" s="123">
        <f>IFERROR(INDEX('كشف الحساب'!$E$4:$E$254,MATCH(163,'كشف الحساب'!$P$4:$P$254,0)),"")</f>
        <v>0</v>
      </c>
      <c r="E168" s="124">
        <f>IFERROR(INDEX('كشف الحساب'!$D$4:$D$254,MATCH(163,'كشف الحساب'!$P$4:$P$254,0)),"")</f>
        <v>2.15</v>
      </c>
      <c r="F168" s="125">
        <f t="shared" si="5"/>
        <v>228.79500000000004</v>
      </c>
    </row>
    <row r="169" spans="1:6" ht="18" customHeight="1" x14ac:dyDescent="0.25">
      <c r="A169" s="142">
        <f>IFERROR(INDEX('كشف الحساب'!$A$4:$A$254,MATCH(164,'كشف الحساب'!$P$4:$P$254,0)),"")</f>
        <v>46275</v>
      </c>
      <c r="B169" s="122" t="str">
        <f>IFERROR(INDEX('كشف الحساب'!$B$4:$B$254,MATCH(164,'كشف الحساب'!$P$4:$P$254,0)),"")</f>
        <v>Inv-137</v>
      </c>
      <c r="C169" s="121" t="str">
        <f>IFERROR(INDEX('كشف الحساب'!$C$4:$C$254,MATCH(164,'كشف الحساب'!$P$4:$P$254,0)),"")</f>
        <v>صبار عدد 5 الحبه 1</v>
      </c>
      <c r="D169" s="123">
        <f>IFERROR(INDEX('كشف الحساب'!$E$4:$E$254,MATCH(164,'كشف الحساب'!$P$4:$P$254,0)),"")</f>
        <v>5</v>
      </c>
      <c r="E169" s="124">
        <f>IFERROR(INDEX('كشف الحساب'!$D$4:$D$254,MATCH(164,'كشف الحساب'!$P$4:$P$254,0)),"")</f>
        <v>0</v>
      </c>
      <c r="F169" s="125">
        <f t="shared" si="5"/>
        <v>233.79500000000004</v>
      </c>
    </row>
    <row r="170" spans="1:6" ht="18" customHeight="1" x14ac:dyDescent="0.25">
      <c r="A170" s="142">
        <f>IFERROR(INDEX('كشف الحساب'!$A$4:$A$254,MATCH(165,'كشف الحساب'!$P$4:$P$254,0)),"")</f>
        <v>46276</v>
      </c>
      <c r="B170" s="122" t="str">
        <f>IFERROR(INDEX('كشف الحساب'!$B$4:$B$254,MATCH(165,'كشف الحساب'!$P$4:$P$254,0)),"")</f>
        <v>Inv-138</v>
      </c>
      <c r="C170" s="121" t="str">
        <f>IFERROR(INDEX('كشف الحساب'!$C$4:$C$254,MATCH(165,'كشف الحساب'!$P$4:$P$254,0)),"")</f>
        <v>متنوع عدد 10 الحبه 1.500</v>
      </c>
      <c r="D170" s="123">
        <f>IFERROR(INDEX('كشف الحساب'!$E$4:$E$254,MATCH(165,'كشف الحساب'!$P$4:$P$254,0)),"")</f>
        <v>15</v>
      </c>
      <c r="E170" s="124">
        <f>IFERROR(INDEX('كشف الحساب'!$D$4:$D$254,MATCH(165,'كشف الحساب'!$P$4:$P$254,0)),"")</f>
        <v>0</v>
      </c>
      <c r="F170" s="125">
        <f t="shared" si="5"/>
        <v>248.79500000000004</v>
      </c>
    </row>
    <row r="171" spans="1:6" ht="18" customHeight="1" x14ac:dyDescent="0.25">
      <c r="A171" s="142">
        <f>IFERROR(INDEX('كشف الحساب'!$A$4:$A$254,MATCH(166,'كشف الحساب'!$P$4:$P$254,0)),"")</f>
        <v>46276</v>
      </c>
      <c r="B171" s="122" t="str">
        <f>IFERROR(INDEX('كشف الحساب'!$B$4:$B$254,MATCH(166,'كشف الحساب'!$P$4:$P$254,0)),"")</f>
        <v>Inv-139</v>
      </c>
      <c r="C171" s="121" t="str">
        <f>IFERROR(INDEX('كشف الحساب'!$C$4:$C$254,MATCH(166,'كشف الحساب'!$P$4:$P$254,0)),"")</f>
        <v>متنوع عدد 20 الحبه 1</v>
      </c>
      <c r="D171" s="123">
        <f>IFERROR(INDEX('كشف الحساب'!$E$4:$E$254,MATCH(166,'كشف الحساب'!$P$4:$P$254,0)),"")</f>
        <v>20</v>
      </c>
      <c r="E171" s="124">
        <f>IFERROR(INDEX('كشف الحساب'!$D$4:$D$254,MATCH(166,'كشف الحساب'!$P$4:$P$254,0)),"")</f>
        <v>0</v>
      </c>
      <c r="F171" s="125">
        <f t="shared" si="5"/>
        <v>268.79500000000007</v>
      </c>
    </row>
    <row r="172" spans="1:6" ht="18" customHeight="1" x14ac:dyDescent="0.25">
      <c r="A172" s="142">
        <f>IFERROR(INDEX('كشف الحساب'!$A$4:$A$254,MATCH(167,'كشف الحساب'!$P$4:$P$254,0)),"")</f>
        <v>46276</v>
      </c>
      <c r="B172" s="122" t="str">
        <f>IFERROR(INDEX('كشف الحساب'!$B$4:$B$254,MATCH(167,'كشف الحساب'!$P$4:$P$254,0)),"")</f>
        <v>Inv-140</v>
      </c>
      <c r="C172" s="121" t="str">
        <f>IFERROR(INDEX('كشف الحساب'!$C$4:$C$254,MATCH(167,'كشف الحساب'!$P$4:$P$254,0)),"")</f>
        <v>صبار عدد 35 الحبه 1</v>
      </c>
      <c r="D172" s="123">
        <f>IFERROR(INDEX('كشف الحساب'!$E$4:$E$254,MATCH(167,'كشف الحساب'!$P$4:$P$254,0)),"")</f>
        <v>35</v>
      </c>
      <c r="E172" s="124">
        <f>IFERROR(INDEX('كشف الحساب'!$D$4:$D$254,MATCH(167,'كشف الحساب'!$P$4:$P$254,0)),"")</f>
        <v>0</v>
      </c>
      <c r="F172" s="125">
        <f t="shared" si="5"/>
        <v>303.79500000000007</v>
      </c>
    </row>
    <row r="173" spans="1:6" ht="18" customHeight="1" x14ac:dyDescent="0.25">
      <c r="A173" s="142">
        <f>IFERROR(INDEX('كشف الحساب'!$A$4:$A$254,MATCH(168,'كشف الحساب'!$P$4:$P$254,0)),"")</f>
        <v>46276</v>
      </c>
      <c r="B173" s="122" t="str">
        <f>IFERROR(INDEX('كشف الحساب'!$B$4:$B$254,MATCH(168,'كشف الحساب'!$P$4:$P$254,0)),"")</f>
        <v>Inv-141</v>
      </c>
      <c r="C173" s="121" t="str">
        <f>IFERROR(INDEX('كشف الحساب'!$C$4:$C$254,MATCH(168,'كشف الحساب'!$P$4:$P$254,0)),"")</f>
        <v>متنوع عدد 5 الحبه 1</v>
      </c>
      <c r="D173" s="123">
        <f>IFERROR(INDEX('كشف الحساب'!$E$4:$E$254,MATCH(168,'كشف الحساب'!$P$4:$P$254,0)),"")</f>
        <v>5</v>
      </c>
      <c r="E173" s="124">
        <f>IFERROR(INDEX('كشف الحساب'!$D$4:$D$254,MATCH(168,'كشف الحساب'!$P$4:$P$254,0)),"")</f>
        <v>0</v>
      </c>
      <c r="F173" s="125">
        <f t="shared" si="5"/>
        <v>308.79500000000007</v>
      </c>
    </row>
    <row r="174" spans="1:6" ht="18" customHeight="1" x14ac:dyDescent="0.25">
      <c r="A174" s="142">
        <f>IFERROR(INDEX('كشف الحساب'!$A$4:$A$254,MATCH(169,'كشف الحساب'!$P$4:$P$254,0)),"")</f>
        <v>46276</v>
      </c>
      <c r="B174" s="122" t="str">
        <f>IFERROR(INDEX('كشف الحساب'!$B$4:$B$254,MATCH(169,'كشف الحساب'!$P$4:$P$254,0)),"")</f>
        <v>Inv-142</v>
      </c>
      <c r="C174" s="121" t="str">
        <f>IFERROR(INDEX('كشف الحساب'!$C$4:$C$254,MATCH(169,'كشف الحساب'!$P$4:$P$254,0)),"")</f>
        <v>عطره العدد 10 الحبه .750</v>
      </c>
      <c r="D174" s="123">
        <f>IFERROR(INDEX('كشف الحساب'!$E$4:$E$254,MATCH(169,'كشف الحساب'!$P$4:$P$254,0)),"")</f>
        <v>10</v>
      </c>
      <c r="E174" s="124">
        <f>IFERROR(INDEX('كشف الحساب'!$D$4:$D$254,MATCH(169,'كشف الحساب'!$P$4:$P$254,0)),"")</f>
        <v>0</v>
      </c>
      <c r="F174" s="125">
        <f t="shared" si="5"/>
        <v>318.79500000000007</v>
      </c>
    </row>
    <row r="175" spans="1:6" ht="18" customHeight="1" x14ac:dyDescent="0.25">
      <c r="A175" s="142">
        <f>IFERROR(INDEX('كشف الحساب'!$A$4:$A$254,MATCH(170,'كشف الحساب'!$P$4:$P$254,0)),"")</f>
        <v>46276</v>
      </c>
      <c r="B175" s="122" t="str">
        <f>IFERROR(INDEX('كشف الحساب'!$B$4:$B$254,MATCH(170,'كشف الحساب'!$P$4:$P$254,0)),"")</f>
        <v>Inv-143</v>
      </c>
      <c r="C175" s="121" t="str">
        <f>IFERROR(INDEX('كشف الحساب'!$C$4:$C$254,MATCH(170,'كشف الحساب'!$P$4:$P$254,0)),"")</f>
        <v>دارسينا متنوع عدد 2  الحبه 3</v>
      </c>
      <c r="D175" s="123">
        <f>IFERROR(INDEX('كشف الحساب'!$E$4:$E$254,MATCH(170,'كشف الحساب'!$P$4:$P$254,0)),"")</f>
        <v>6</v>
      </c>
      <c r="E175" s="124">
        <f>IFERROR(INDEX('كشف الحساب'!$D$4:$D$254,MATCH(170,'كشف الحساب'!$P$4:$P$254,0)),"")</f>
        <v>0</v>
      </c>
      <c r="F175" s="125">
        <f t="shared" si="5"/>
        <v>324.79500000000007</v>
      </c>
    </row>
    <row r="176" spans="1:6" ht="18" customHeight="1" x14ac:dyDescent="0.25">
      <c r="A176" s="142">
        <f>IFERROR(INDEX('كشف الحساب'!$A$4:$A$254,MATCH(171,'كشف الحساب'!$P$4:$P$254,0)),"")</f>
        <v>46276</v>
      </c>
      <c r="B176" s="122" t="str">
        <f>IFERROR(INDEX('كشف الحساب'!$B$4:$B$254,MATCH(171,'كشف الحساب'!$P$4:$P$254,0)),"")</f>
        <v>Inv-144</v>
      </c>
      <c r="C176" s="121" t="str">
        <f>IFERROR(INDEX('كشف الحساب'!$C$4:$C$254,MATCH(171,'كشف الحساب'!$P$4:$P$254,0)),"")</f>
        <v>معلقات عدد 2 الحبه 1</v>
      </c>
      <c r="D176" s="123">
        <f>IFERROR(INDEX('كشف الحساب'!$E$4:$E$254,MATCH(171,'كشف الحساب'!$P$4:$P$254,0)),"")</f>
        <v>2</v>
      </c>
      <c r="E176" s="124">
        <f>IFERROR(INDEX('كشف الحساب'!$D$4:$D$254,MATCH(171,'كشف الحساب'!$P$4:$P$254,0)),"")</f>
        <v>0</v>
      </c>
      <c r="F176" s="125">
        <f t="shared" si="5"/>
        <v>326.79500000000007</v>
      </c>
    </row>
    <row r="177" spans="1:6" ht="18" customHeight="1" x14ac:dyDescent="0.25">
      <c r="A177" s="142">
        <f>IFERROR(INDEX('كشف الحساب'!$A$4:$A$254,MATCH(172,'كشف الحساب'!$P$4:$P$254,0)),"")</f>
        <v>46276</v>
      </c>
      <c r="B177" s="122" t="str">
        <f>IFERROR(INDEX('كشف الحساب'!$B$4:$B$254,MATCH(172,'كشف الحساب'!$P$4:$P$254,0)),"")</f>
        <v>Inv-145</v>
      </c>
      <c r="C177" s="121" t="str">
        <f>IFERROR(INDEX('كشف الحساب'!$C$4:$C$254,MATCH(172,'كشف الحساب'!$P$4:$P$254,0)),"")</f>
        <v>دارسينا اسود عدد 2 الحبه 2.500</v>
      </c>
      <c r="D177" s="123">
        <f>IFERROR(INDEX('كشف الحساب'!$E$4:$E$254,MATCH(172,'كشف الحساب'!$P$4:$P$254,0)),"")</f>
        <v>5</v>
      </c>
      <c r="E177" s="124">
        <f>IFERROR(INDEX('كشف الحساب'!$D$4:$D$254,MATCH(172,'كشف الحساب'!$P$4:$P$254,0)),"")</f>
        <v>0</v>
      </c>
      <c r="F177" s="125">
        <f t="shared" si="5"/>
        <v>331.79500000000007</v>
      </c>
    </row>
    <row r="178" spans="1:6" ht="18" customHeight="1" x14ac:dyDescent="0.25">
      <c r="A178" s="142">
        <f>IFERROR(INDEX('كشف الحساب'!$A$4:$A$254,MATCH(173,'كشف الحساب'!$P$4:$P$254,0)),"")</f>
        <v>46276</v>
      </c>
      <c r="B178" s="122" t="str">
        <f>IFERROR(INDEX('كشف الحساب'!$B$4:$B$254,MATCH(173,'كشف الحساب'!$P$4:$P$254,0)),"")</f>
        <v>Inv-146</v>
      </c>
      <c r="C178" s="121" t="str">
        <f>IFERROR(INDEX('كشف الحساب'!$C$4:$C$254,MATCH(173,'كشف الحساب'!$P$4:$P$254,0)),"")</f>
        <v>متنوع عدد 2 الحبه 1</v>
      </c>
      <c r="D178" s="123">
        <f>IFERROR(INDEX('كشف الحساب'!$E$4:$E$254,MATCH(173,'كشف الحساب'!$P$4:$P$254,0)),"")</f>
        <v>2</v>
      </c>
      <c r="E178" s="124">
        <f>IFERROR(INDEX('كشف الحساب'!$D$4:$D$254,MATCH(173,'كشف الحساب'!$P$4:$P$254,0)),"")</f>
        <v>0</v>
      </c>
      <c r="F178" s="125">
        <f t="shared" si="5"/>
        <v>333.79500000000007</v>
      </c>
    </row>
    <row r="179" spans="1:6" ht="18" customHeight="1" x14ac:dyDescent="0.25">
      <c r="A179" s="142">
        <f>IFERROR(INDEX('كشف الحساب'!$A$4:$A$254,MATCH(174,'كشف الحساب'!$P$4:$P$254,0)),"")</f>
        <v>46276</v>
      </c>
      <c r="B179" s="122" t="str">
        <f>IFERROR(INDEX('كشف الحساب'!$B$4:$B$254,MATCH(174,'كشف الحساب'!$P$4:$P$254,0)),"")</f>
        <v>Inv-147</v>
      </c>
      <c r="C179" s="121" t="str">
        <f>IFERROR(INDEX('كشف الحساب'!$C$4:$C$254,MATCH(174,'كشف الحساب'!$P$4:$P$254,0)),"")</f>
        <v>متنوع عدد 2 الحبه 1.500</v>
      </c>
      <c r="D179" s="123">
        <f>IFERROR(INDEX('كشف الحساب'!$E$4:$E$254,MATCH(174,'كشف الحساب'!$P$4:$P$254,0)),"")</f>
        <v>3</v>
      </c>
      <c r="E179" s="124">
        <f>IFERROR(INDEX('كشف الحساب'!$D$4:$D$254,MATCH(174,'كشف الحساب'!$P$4:$P$254,0)),"")</f>
        <v>0</v>
      </c>
      <c r="F179" s="125">
        <f t="shared" si="5"/>
        <v>336.79500000000007</v>
      </c>
    </row>
    <row r="180" spans="1:6" ht="18" customHeight="1" x14ac:dyDescent="0.25">
      <c r="A180" s="142">
        <f>IFERROR(INDEX('كشف الحساب'!$A$4:$A$254,MATCH(175,'كشف الحساب'!$P$4:$P$254,0)),"")</f>
        <v>46276</v>
      </c>
      <c r="B180" s="122" t="str">
        <f>IFERROR(INDEX('كشف الحساب'!$B$4:$B$254,MATCH(175,'كشف الحساب'!$P$4:$P$254,0)),"")</f>
        <v>Inv-148</v>
      </c>
      <c r="C180" s="121" t="str">
        <f>IFERROR(INDEX('كشف الحساب'!$C$4:$C$254,MATCH(175,'كشف الحساب'!$P$4:$P$254,0)),"")</f>
        <v>متنوع عدد 2 الحبه 1</v>
      </c>
      <c r="D180" s="123">
        <f>IFERROR(INDEX('كشف الحساب'!$E$4:$E$254,MATCH(175,'كشف الحساب'!$P$4:$P$254,0)),"")</f>
        <v>2</v>
      </c>
      <c r="E180" s="124">
        <f>IFERROR(INDEX('كشف الحساب'!$D$4:$D$254,MATCH(175,'كشف الحساب'!$P$4:$P$254,0)),"")</f>
        <v>0</v>
      </c>
      <c r="F180" s="125">
        <f t="shared" si="5"/>
        <v>338.79500000000007</v>
      </c>
    </row>
    <row r="181" spans="1:6" ht="18" customHeight="1" x14ac:dyDescent="0.25">
      <c r="A181" s="142">
        <f>IFERROR(INDEX('كشف الحساب'!$A$4:$A$254,MATCH(176,'كشف الحساب'!$P$4:$P$254,0)),"")</f>
        <v>46277</v>
      </c>
      <c r="B181" s="122">
        <f>IFERROR(INDEX('كشف الحساب'!$B$4:$B$254,MATCH(176,'كشف الحساب'!$P$4:$P$254,0)),"")</f>
        <v>0</v>
      </c>
      <c r="C181" s="121" t="str">
        <f>IFERROR(INDEX('كشف الحساب'!$C$4:$C$254,MATCH(176,'كشف الحساب'!$P$4:$P$254,0)),"")</f>
        <v>عصايا  500 حجم 120سم 500 90 سم 2 ابريق ماء 8 لتر</v>
      </c>
      <c r="D181" s="123">
        <f>IFERROR(INDEX('كشف الحساب'!$E$4:$E$254,MATCH(176,'كشف الحساب'!$P$4:$P$254,0)),"")</f>
        <v>0</v>
      </c>
      <c r="E181" s="124">
        <f>IFERROR(INDEX('كشف الحساب'!$D$4:$D$254,MATCH(176,'كشف الحساب'!$P$4:$P$254,0)),"")</f>
        <v>34.5</v>
      </c>
      <c r="F181" s="125">
        <f t="shared" si="5"/>
        <v>304.29500000000007</v>
      </c>
    </row>
    <row r="182" spans="1:6" ht="18" customHeight="1" x14ac:dyDescent="0.25">
      <c r="A182" s="142">
        <f>IFERROR(INDEX('كشف الحساب'!$A$4:$A$254,MATCH(177,'كشف الحساب'!$P$4:$P$254,0)),"")</f>
        <v>46278</v>
      </c>
      <c r="B182" s="122" t="str">
        <f>IFERROR(INDEX('كشف الحساب'!$B$4:$B$254,MATCH(177,'كشف الحساب'!$P$4:$P$254,0)),"")</f>
        <v>Inv-149</v>
      </c>
      <c r="C182" s="121" t="str">
        <f>IFERROR(INDEX('كشف الحساب'!$C$4:$C$254,MATCH(177,'كشف الحساب'!$P$4:$P$254,0)),"")</f>
        <v>زهور التهاني</v>
      </c>
      <c r="D182" s="123">
        <f>IFERROR(INDEX('كشف الحساب'!$E$4:$E$254,MATCH(177,'كشف الحساب'!$P$4:$P$254,0)),"")</f>
        <v>310</v>
      </c>
      <c r="E182" s="124">
        <f>IFERROR(INDEX('كشف الحساب'!$D$4:$D$254,MATCH(177,'كشف الحساب'!$P$4:$P$254,0)),"")</f>
        <v>0</v>
      </c>
      <c r="F182" s="125">
        <f t="shared" si="5"/>
        <v>614.29500000000007</v>
      </c>
    </row>
    <row r="183" spans="1:6" ht="18" customHeight="1" x14ac:dyDescent="0.25">
      <c r="A183" s="142">
        <f>IFERROR(INDEX('كشف الحساب'!$A$4:$A$254,MATCH(178,'كشف الحساب'!$P$4:$P$254,0)),"")</f>
        <v>46278</v>
      </c>
      <c r="B183" s="122">
        <f>IFERROR(INDEX('كشف الحساب'!$B$4:$B$254,MATCH(178,'كشف الحساب'!$P$4:$P$254,0)),"")</f>
        <v>0</v>
      </c>
      <c r="C183" s="121" t="str">
        <f>IFERROR(INDEX('كشف الحساب'!$C$4:$C$254,MATCH(178,'كشف الحساب'!$P$4:$P$254,0)),"")</f>
        <v>فيتامين حديد</v>
      </c>
      <c r="D183" s="123">
        <f>IFERROR(INDEX('كشف الحساب'!$E$4:$E$254,MATCH(178,'كشف الحساب'!$P$4:$P$254,0)),"")</f>
        <v>0</v>
      </c>
      <c r="E183" s="124">
        <f>IFERROR(INDEX('كشف الحساب'!$D$4:$D$254,MATCH(178,'كشف الحساب'!$P$4:$P$254,0)),"")</f>
        <v>5</v>
      </c>
      <c r="F183" s="125">
        <f t="shared" si="5"/>
        <v>609.29500000000007</v>
      </c>
    </row>
    <row r="184" spans="1:6" ht="18" customHeight="1" x14ac:dyDescent="0.25">
      <c r="A184" s="142">
        <f>IFERROR(INDEX('كشف الحساب'!$A$4:$A$254,MATCH(179,'كشف الحساب'!$P$4:$P$254,0)),"")</f>
        <v>46282</v>
      </c>
      <c r="B184" s="122">
        <f>IFERROR(INDEX('كشف الحساب'!$B$4:$B$254,MATCH(179,'كشف الحساب'!$P$4:$P$254,0)),"")</f>
        <v>0</v>
      </c>
      <c r="C184" s="121" t="str">
        <f>IFERROR(INDEX('كشف الحساب'!$C$4:$C$254,MATCH(179,'كشف الحساب'!$P$4:$P$254,0)),"")</f>
        <v>زيتون عدد 5 الوحده 1.250</v>
      </c>
      <c r="D184" s="123">
        <f>IFERROR(INDEX('كشف الحساب'!$E$4:$E$254,MATCH(179,'كشف الحساب'!$P$4:$P$254,0)),"")</f>
        <v>0</v>
      </c>
      <c r="E184" s="124">
        <f>IFERROR(INDEX('كشف الحساب'!$D$4:$D$254,MATCH(179,'كشف الحساب'!$P$4:$P$254,0)),"")</f>
        <v>6.25</v>
      </c>
      <c r="F184" s="125">
        <f t="shared" si="5"/>
        <v>603.04500000000007</v>
      </c>
    </row>
    <row r="185" spans="1:6" ht="18" customHeight="1" x14ac:dyDescent="0.25">
      <c r="A185" s="142">
        <f>IFERROR(INDEX('كشف الحساب'!$A$4:$A$254,MATCH(180,'كشف الحساب'!$P$4:$P$254,0)),"")</f>
        <v>46282</v>
      </c>
      <c r="B185" s="122">
        <f>IFERROR(INDEX('كشف الحساب'!$B$4:$B$254,MATCH(180,'كشف الحساب'!$P$4:$P$254,0)),"")</f>
        <v>0</v>
      </c>
      <c r="C185" s="121" t="str">
        <f>IFERROR(INDEX('كشف الحساب'!$C$4:$C$254,MATCH(180,'كشف الحساب'!$P$4:$P$254,0)),"")</f>
        <v>احواض عدد 1000 الحجم 25 سم</v>
      </c>
      <c r="D185" s="123">
        <f>IFERROR(INDEX('كشف الحساب'!$E$4:$E$254,MATCH(180,'كشف الحساب'!$P$4:$P$254,0)),"")</f>
        <v>0</v>
      </c>
      <c r="E185" s="124">
        <f>IFERROR(INDEX('كشف الحساب'!$D$4:$D$254,MATCH(180,'كشف الحساب'!$P$4:$P$254,0)),"")</f>
        <v>80</v>
      </c>
      <c r="F185" s="125">
        <f t="shared" si="5"/>
        <v>523.04500000000007</v>
      </c>
    </row>
    <row r="186" spans="1:6" ht="18" customHeight="1" x14ac:dyDescent="0.25">
      <c r="A186" s="142">
        <f>IFERROR(INDEX('كشف الحساب'!$A$4:$A$254,MATCH(181,'كشف الحساب'!$P$4:$P$254,0)),"")</f>
        <v>46282</v>
      </c>
      <c r="B186" s="122" t="str">
        <f>IFERROR(INDEX('كشف الحساب'!$B$4:$B$254,MATCH(181,'كشف الحساب'!$P$4:$P$254,0)),"")</f>
        <v>Inv-150</v>
      </c>
      <c r="C186" s="121" t="str">
        <f>IFERROR(INDEX('كشف الحساب'!$C$4:$C$254,MATCH(181,'كشف الحساب'!$P$4:$P$254,0)),"")</f>
        <v>صبار عدد 6 الحبه .500</v>
      </c>
      <c r="D186" s="123">
        <f>IFERROR(INDEX('كشف الحساب'!$E$4:$E$254,MATCH(181,'كشف الحساب'!$P$4:$P$254,0)),"")</f>
        <v>3</v>
      </c>
      <c r="E186" s="124">
        <f>IFERROR(INDEX('كشف الحساب'!$D$4:$D$254,MATCH(181,'كشف الحساب'!$P$4:$P$254,0)),"")</f>
        <v>0</v>
      </c>
      <c r="F186" s="125">
        <f t="shared" si="5"/>
        <v>526.04500000000007</v>
      </c>
    </row>
    <row r="187" spans="1:6" ht="18" customHeight="1" x14ac:dyDescent="0.25">
      <c r="A187" s="142">
        <f>IFERROR(INDEX('كشف الحساب'!$A$4:$A$254,MATCH(182,'كشف الحساب'!$P$4:$P$254,0)),"")</f>
        <v>46282</v>
      </c>
      <c r="B187" s="122" t="str">
        <f>IFERROR(INDEX('كشف الحساب'!$B$4:$B$254,MATCH(182,'كشف الحساب'!$P$4:$P$254,0)),"")</f>
        <v>Inv-151</v>
      </c>
      <c r="C187" s="121" t="str">
        <f>IFERROR(INDEX('كشف الحساب'!$C$4:$C$254,MATCH(182,'كشف الحساب'!$P$4:$P$254,0)),"")</f>
        <v>متنوع عدد 10 الحبه 1</v>
      </c>
      <c r="D187" s="123">
        <f>IFERROR(INDEX('كشف الحساب'!$E$4:$E$254,MATCH(182,'كشف الحساب'!$P$4:$P$254,0)),"")</f>
        <v>10</v>
      </c>
      <c r="E187" s="124">
        <f>IFERROR(INDEX('كشف الحساب'!$D$4:$D$254,MATCH(182,'كشف الحساب'!$P$4:$P$254,0)),"")</f>
        <v>0</v>
      </c>
      <c r="F187" s="125">
        <f t="shared" si="5"/>
        <v>536.04500000000007</v>
      </c>
    </row>
    <row r="188" spans="1:6" ht="18" customHeight="1" x14ac:dyDescent="0.25">
      <c r="A188" s="142">
        <f>IFERROR(INDEX('كشف الحساب'!$A$4:$A$254,MATCH(183,'كشف الحساب'!$P$4:$P$254,0)),"")</f>
        <v>46282</v>
      </c>
      <c r="B188" s="122" t="str">
        <f>IFERROR(INDEX('كشف الحساب'!$B$4:$B$254,MATCH(183,'كشف الحساب'!$P$4:$P$254,0)),"")</f>
        <v>Inv-152</v>
      </c>
      <c r="C188" s="121" t="str">
        <f>IFERROR(INDEX('كشف الحساب'!$C$4:$C$254,MATCH(183,'كشف الحساب'!$P$4:$P$254,0)),"")</f>
        <v>ودليه عدد 1- الحبه 1</v>
      </c>
      <c r="D188" s="123">
        <f>IFERROR(INDEX('كشف الحساب'!$E$4:$E$254,MATCH(183,'كشف الحساب'!$P$4:$P$254,0)),"")</f>
        <v>10</v>
      </c>
      <c r="E188" s="124">
        <f>IFERROR(INDEX('كشف الحساب'!$D$4:$D$254,MATCH(183,'كشف الحساب'!$P$4:$P$254,0)),"")</f>
        <v>0</v>
      </c>
      <c r="F188" s="125">
        <f t="shared" si="5"/>
        <v>546.04500000000007</v>
      </c>
    </row>
    <row r="189" spans="1:6" ht="18" customHeight="1" x14ac:dyDescent="0.25">
      <c r="A189" s="142">
        <f>IFERROR(INDEX('كشف الحساب'!$A$4:$A$254,MATCH(184,'كشف الحساب'!$P$4:$P$254,0)),"")</f>
        <v>46282</v>
      </c>
      <c r="B189" s="122" t="str">
        <f>IFERROR(INDEX('كشف الحساب'!$B$4:$B$254,MATCH(184,'كشف الحساب'!$P$4:$P$254,0)),"")</f>
        <v>Inv-153</v>
      </c>
      <c r="C189" s="121" t="str">
        <f>IFERROR(INDEX('كشف الحساب'!$C$4:$C$254,MATCH(184,'كشف الحساب'!$P$4:$P$254,0)),"")</f>
        <v>دارسينا كبيره عدد 1</v>
      </c>
      <c r="D189" s="123">
        <f>IFERROR(INDEX('كشف الحساب'!$E$4:$E$254,MATCH(184,'كشف الحساب'!$P$4:$P$254,0)),"")</f>
        <v>10</v>
      </c>
      <c r="E189" s="124">
        <f>IFERROR(INDEX('كشف الحساب'!$D$4:$D$254,MATCH(184,'كشف الحساب'!$P$4:$P$254,0)),"")</f>
        <v>0</v>
      </c>
      <c r="F189" s="125">
        <f t="shared" si="5"/>
        <v>556.04500000000007</v>
      </c>
    </row>
    <row r="190" spans="1:6" ht="18" customHeight="1" x14ac:dyDescent="0.25">
      <c r="A190" s="142">
        <f>IFERROR(INDEX('كشف الحساب'!$A$4:$A$254,MATCH(185,'كشف الحساب'!$P$4:$P$254,0)),"")</f>
        <v>46282</v>
      </c>
      <c r="B190" s="122" t="str">
        <f>IFERROR(INDEX('كشف الحساب'!$B$4:$B$254,MATCH(185,'كشف الحساب'!$P$4:$P$254,0)),"")</f>
        <v>Inv-154</v>
      </c>
      <c r="C190" s="121" t="str">
        <f>IFERROR(INDEX('كشف الحساب'!$C$4:$C$254,MATCH(185,'كشف الحساب'!$P$4:$P$254,0)),"")</f>
        <v>متنوع عدد 6 الحبه 1,500</v>
      </c>
      <c r="D190" s="123">
        <f>IFERROR(INDEX('كشف الحساب'!$E$4:$E$254,MATCH(185,'كشف الحساب'!$P$4:$P$254,0)),"")</f>
        <v>9</v>
      </c>
      <c r="E190" s="124">
        <f>IFERROR(INDEX('كشف الحساب'!$D$4:$D$254,MATCH(185,'كشف الحساب'!$P$4:$P$254,0)),"")</f>
        <v>0</v>
      </c>
      <c r="F190" s="125">
        <f t="shared" si="5"/>
        <v>565.04500000000007</v>
      </c>
    </row>
    <row r="191" spans="1:6" ht="18" customHeight="1" x14ac:dyDescent="0.25">
      <c r="A191" s="142">
        <f>IFERROR(INDEX('كشف الحساب'!$A$4:$A$254,MATCH(186,'كشف الحساب'!$P$4:$P$254,0)),"")</f>
        <v>46282</v>
      </c>
      <c r="B191" s="122" t="str">
        <f>IFERROR(INDEX('كشف الحساب'!$B$4:$B$254,MATCH(186,'كشف الحساب'!$P$4:$P$254,0)),"")</f>
        <v>Inv-155</v>
      </c>
      <c r="C191" s="121" t="str">
        <f>IFERROR(INDEX('كشف الحساب'!$C$4:$C$254,MATCH(186,'كشف الحساب'!$P$4:$P$254,0)),"")</f>
        <v>متنوع عدد 6 الحبه 1,500</v>
      </c>
      <c r="D191" s="123">
        <f>IFERROR(INDEX('كشف الحساب'!$E$4:$E$254,MATCH(186,'كشف الحساب'!$P$4:$P$254,0)),"")</f>
        <v>6</v>
      </c>
      <c r="E191" s="124">
        <f>IFERROR(INDEX('كشف الحساب'!$D$4:$D$254,MATCH(186,'كشف الحساب'!$P$4:$P$254,0)),"")</f>
        <v>0</v>
      </c>
      <c r="F191" s="125">
        <f t="shared" si="5"/>
        <v>571.04500000000007</v>
      </c>
    </row>
    <row r="192" spans="1:6" ht="18" customHeight="1" x14ac:dyDescent="0.25">
      <c r="A192" s="142">
        <f>IFERROR(INDEX('كشف الحساب'!$A$4:$A$254,MATCH(187,'كشف الحساب'!$P$4:$P$254,0)),"")</f>
        <v>46282</v>
      </c>
      <c r="B192" s="122" t="str">
        <f>IFERROR(INDEX('كشف الحساب'!$B$4:$B$254,MATCH(187,'كشف الحساب'!$P$4:$P$254,0)),"")</f>
        <v>Inv-156</v>
      </c>
      <c r="C192" s="121" t="str">
        <f>IFERROR(INDEX('كشف الحساب'!$C$4:$C$254,MATCH(187,'كشف الحساب'!$P$4:$P$254,0)),"")</f>
        <v>صبار تايجر عدد 30 الحبه 1</v>
      </c>
      <c r="D192" s="123">
        <f>IFERROR(INDEX('كشف الحساب'!$E$4:$E$254,MATCH(187,'كشف الحساب'!$P$4:$P$254,0)),"")</f>
        <v>30</v>
      </c>
      <c r="E192" s="124">
        <f>IFERROR(INDEX('كشف الحساب'!$D$4:$D$254,MATCH(187,'كشف الحساب'!$P$4:$P$254,0)),"")</f>
        <v>0</v>
      </c>
      <c r="F192" s="125">
        <f t="shared" si="5"/>
        <v>601.04500000000007</v>
      </c>
    </row>
    <row r="193" spans="1:6" ht="18" customHeight="1" x14ac:dyDescent="0.25">
      <c r="A193" s="142">
        <f>IFERROR(INDEX('كشف الحساب'!$A$4:$A$254,MATCH(188,'كشف الحساب'!$P$4:$P$254,0)),"")</f>
        <v>46282</v>
      </c>
      <c r="B193" s="122" t="str">
        <f>IFERROR(INDEX('كشف الحساب'!$B$4:$B$254,MATCH(188,'كشف الحساب'!$P$4:$P$254,0)),"")</f>
        <v>Inv-157</v>
      </c>
      <c r="C193" s="121" t="str">
        <f>IFERROR(INDEX('كشف الحساب'!$C$4:$C$254,MATCH(188,'كشف الحساب'!$P$4:$P$254,0)),"")</f>
        <v>صبار تايجر صغير عدد 10 الحبه .750</v>
      </c>
      <c r="D193" s="123">
        <f>IFERROR(INDEX('كشف الحساب'!$E$4:$E$254,MATCH(188,'كشف الحساب'!$P$4:$P$254,0)),"")</f>
        <v>7.5</v>
      </c>
      <c r="E193" s="124">
        <f>IFERROR(INDEX('كشف الحساب'!$D$4:$D$254,MATCH(188,'كشف الحساب'!$P$4:$P$254,0)),"")</f>
        <v>0</v>
      </c>
      <c r="F193" s="125">
        <f t="shared" si="5"/>
        <v>608.54500000000007</v>
      </c>
    </row>
    <row r="194" spans="1:6" ht="18" customHeight="1" x14ac:dyDescent="0.25">
      <c r="A194" s="142">
        <f>IFERROR(INDEX('كشف الحساب'!$A$4:$A$254,MATCH(189,'كشف الحساب'!$P$4:$P$254,0)),"")</f>
        <v>46282</v>
      </c>
      <c r="B194" s="122" t="str">
        <f>IFERROR(INDEX('كشف الحساب'!$B$4:$B$254,MATCH(189,'كشف الحساب'!$P$4:$P$254,0)),"")</f>
        <v>Inv-158</v>
      </c>
      <c r="C194" s="121" t="str">
        <f>IFERROR(INDEX('كشف الحساب'!$C$4:$C$254,MATCH(189,'كشف الحساب'!$P$4:$P$254,0)),"")</f>
        <v>نعناع عدد 5 الحبه .500</v>
      </c>
      <c r="D194" s="123">
        <f>IFERROR(INDEX('كشف الحساب'!$E$4:$E$254,MATCH(189,'كشف الحساب'!$P$4:$P$254,0)),"")</f>
        <v>2.5</v>
      </c>
      <c r="E194" s="124">
        <f>IFERROR(INDEX('كشف الحساب'!$D$4:$D$254,MATCH(189,'كشف الحساب'!$P$4:$P$254,0)),"")</f>
        <v>0</v>
      </c>
      <c r="F194" s="125">
        <f t="shared" si="5"/>
        <v>611.04500000000007</v>
      </c>
    </row>
    <row r="195" spans="1:6" ht="18" customHeight="1" x14ac:dyDescent="0.25">
      <c r="A195" s="142">
        <f>IFERROR(INDEX('كشف الحساب'!$A$4:$A$254,MATCH(190,'كشف الحساب'!$P$4:$P$254,0)),"")</f>
        <v>46282</v>
      </c>
      <c r="B195" s="122" t="str">
        <f>IFERROR(INDEX('كشف الحساب'!$B$4:$B$254,MATCH(190,'كشف الحساب'!$P$4:$P$254,0)),"")</f>
        <v>Inv-159</v>
      </c>
      <c r="C195" s="121" t="str">
        <f>IFERROR(INDEX('كشف الحساب'!$C$4:$C$254,MATCH(190,'كشف الحساب'!$P$4:$P$254,0)),"")</f>
        <v>زعتر عدد 10 الحبه ,750</v>
      </c>
      <c r="D195" s="123">
        <f>IFERROR(INDEX('كشف الحساب'!$E$4:$E$254,MATCH(190,'كشف الحساب'!$P$4:$P$254,0)),"")</f>
        <v>7.5</v>
      </c>
      <c r="E195" s="124">
        <f>IFERROR(INDEX('كشف الحساب'!$D$4:$D$254,MATCH(190,'كشف الحساب'!$P$4:$P$254,0)),"")</f>
        <v>0</v>
      </c>
      <c r="F195" s="125">
        <f t="shared" si="5"/>
        <v>618.54500000000007</v>
      </c>
    </row>
    <row r="196" spans="1:6" ht="18" customHeight="1" x14ac:dyDescent="0.25">
      <c r="A196" s="142">
        <f>IFERROR(INDEX('كشف الحساب'!$A$4:$A$254,MATCH(191,'كشف الحساب'!$P$4:$P$254,0)),"")</f>
        <v>46284</v>
      </c>
      <c r="B196" s="122">
        <f>IFERROR(INDEX('كشف الحساب'!$B$4:$B$254,MATCH(191,'كشف الحساب'!$P$4:$P$254,0)),"")</f>
        <v>0</v>
      </c>
      <c r="C196" s="121" t="str">
        <f>IFERROR(INDEX('كشف الحساب'!$C$4:$C$254,MATCH(191,'كشف الحساب'!$P$4:$P$254,0)),"")</f>
        <v>طربال اسود</v>
      </c>
      <c r="D196" s="123">
        <f>IFERROR(INDEX('كشف الحساب'!$E$4:$E$254,MATCH(191,'كشف الحساب'!$P$4:$P$254,0)),"")</f>
        <v>0</v>
      </c>
      <c r="E196" s="124">
        <f>IFERROR(INDEX('كشف الحساب'!$D$4:$D$254,MATCH(191,'كشف الحساب'!$P$4:$P$254,0)),"")</f>
        <v>25</v>
      </c>
      <c r="F196" s="125">
        <f t="shared" si="5"/>
        <v>593.54500000000007</v>
      </c>
    </row>
    <row r="197" spans="1:6" ht="18" customHeight="1" x14ac:dyDescent="0.25">
      <c r="A197" s="142">
        <f>IFERROR(INDEX('كشف الحساب'!$A$4:$A$254,MATCH(192,'كشف الحساب'!$P$4:$P$254,0)),"")</f>
        <v>46284</v>
      </c>
      <c r="B197" s="122" t="str">
        <f>IFERROR(INDEX('كشف الحساب'!$B$4:$B$254,MATCH(192,'كشف الحساب'!$P$4:$P$254,0)),"")</f>
        <v>Inv-160</v>
      </c>
      <c r="C197" s="121" t="str">
        <f>IFERROR(INDEX('كشف الحساب'!$C$4:$C$254,MATCH(192,'كشف الحساب'!$P$4:$P$254,0)),"")</f>
        <v>التهاني</v>
      </c>
      <c r="D197" s="123">
        <f>IFERROR(INDEX('كشف الحساب'!$E$4:$E$254,MATCH(192,'كشف الحساب'!$P$4:$P$254,0)),"")</f>
        <v>243</v>
      </c>
      <c r="E197" s="124">
        <f>IFERROR(INDEX('كشف الحساب'!$D$4:$D$254,MATCH(192,'كشف الحساب'!$P$4:$P$254,0)),"")</f>
        <v>0</v>
      </c>
      <c r="F197" s="125">
        <f t="shared" si="5"/>
        <v>836.54500000000007</v>
      </c>
    </row>
    <row r="198" spans="1:6" ht="18" customHeight="1" x14ac:dyDescent="0.25">
      <c r="A198" s="142">
        <f>IFERROR(INDEX('كشف الحساب'!$A$4:$A$254,MATCH(193,'كشف الحساب'!$P$4:$P$254,0)),"")</f>
        <v>46284</v>
      </c>
      <c r="B198" s="122">
        <f>IFERROR(INDEX('كشف الحساب'!$B$4:$B$254,MATCH(193,'كشف الحساب'!$P$4:$P$254,0)),"")</f>
        <v>0</v>
      </c>
      <c r="C198" s="121" t="str">
        <f>IFERROR(INDEX('كشف الحساب'!$C$4:$C$254,MATCH(193,'كشف الحساب'!$P$4:$P$254,0)),"")</f>
        <v>صبار اوليفيرا عدد 25 الحبه 0.750</v>
      </c>
      <c r="D198" s="123">
        <f>IFERROR(INDEX('كشف الحساب'!$E$4:$E$254,MATCH(193,'كشف الحساب'!$P$4:$P$254,0)),"")</f>
        <v>0</v>
      </c>
      <c r="E198" s="124">
        <f>IFERROR(INDEX('كشف الحساب'!$D$4:$D$254,MATCH(193,'كشف الحساب'!$P$4:$P$254,0)),"")</f>
        <v>18.75</v>
      </c>
      <c r="F198" s="125">
        <f t="shared" si="5"/>
        <v>817.79500000000007</v>
      </c>
    </row>
    <row r="199" spans="1:6" ht="18" customHeight="1" x14ac:dyDescent="0.25">
      <c r="A199" s="142">
        <f>IFERROR(INDEX('كشف الحساب'!$A$4:$A$254,MATCH(194,'كشف الحساب'!$P$4:$P$254,0)),"")</f>
        <v>46286</v>
      </c>
      <c r="B199" s="122">
        <f>IFERROR(INDEX('كشف الحساب'!$B$4:$B$254,MATCH(194,'كشف الحساب'!$P$4:$P$254,0)),"")</f>
        <v>0</v>
      </c>
      <c r="C199" s="121" t="str">
        <f>IFERROR(INDEX('كشف الحساب'!$C$4:$C$254,MATCH(194,'كشف الحساب'!$P$4:$P$254,0)),"")</f>
        <v>احواض عدد 1000 مقاس 14 سم</v>
      </c>
      <c r="D199" s="123">
        <f>IFERROR(INDEX('كشف الحساب'!$E$4:$E$254,MATCH(194,'كشف الحساب'!$P$4:$P$254,0)),"")</f>
        <v>0</v>
      </c>
      <c r="E199" s="124">
        <f>IFERROR(INDEX('كشف الحساب'!$D$4:$D$254,MATCH(194,'كشف الحساب'!$P$4:$P$254,0)),"")</f>
        <v>20</v>
      </c>
      <c r="F199" s="125">
        <f t="shared" ref="F199:F205" si="6">IF($A199="","",IF($F198="",0,$F198)+IF($D199="",0,$D199)-IF($E199="",0,$E199))</f>
        <v>797.79500000000007</v>
      </c>
    </row>
    <row r="200" spans="1:6" ht="18" customHeight="1" x14ac:dyDescent="0.25">
      <c r="A200" s="142">
        <f>IFERROR(INDEX('كشف الحساب'!$A$4:$A$254,MATCH(195,'كشف الحساب'!$P$4:$P$254,0)),"")</f>
        <v>46286</v>
      </c>
      <c r="B200" s="122" t="str">
        <f>IFERROR(INDEX('كشف الحساب'!$B$4:$B$254,MATCH(195,'كشف الحساب'!$P$4:$P$254,0)),"")</f>
        <v>Inv-161</v>
      </c>
      <c r="C200" s="121" t="str">
        <f>IFERROR(INDEX('كشف الحساب'!$C$4:$C$254,MATCH(195,'كشف الحساب'!$P$4:$P$254,0)),"")</f>
        <v>متنوع</v>
      </c>
      <c r="D200" s="123">
        <f>IFERROR(INDEX('كشف الحساب'!$E$4:$E$254,MATCH(195,'كشف الحساب'!$P$4:$P$254,0)),"")</f>
        <v>1.5</v>
      </c>
      <c r="E200" s="124">
        <f>IFERROR(INDEX('كشف الحساب'!$D$4:$D$254,MATCH(195,'كشف الحساب'!$P$4:$P$254,0)),"")</f>
        <v>0</v>
      </c>
      <c r="F200" s="125">
        <f t="shared" si="6"/>
        <v>799.29500000000007</v>
      </c>
    </row>
    <row r="201" spans="1:6" ht="18" customHeight="1" x14ac:dyDescent="0.25">
      <c r="A201" s="142">
        <f>IFERROR(INDEX('كشف الحساب'!$A$4:$A$254,MATCH(196,'كشف الحساب'!$P$4:$P$254,0)),"")</f>
        <v>46286</v>
      </c>
      <c r="B201" s="122" t="str">
        <f>IFERROR(INDEX('كشف الحساب'!$B$4:$B$254,MATCH(196,'كشف الحساب'!$P$4:$P$254,0)),"")</f>
        <v>Inv-162</v>
      </c>
      <c r="C201" s="121" t="str">
        <f>IFERROR(INDEX('كشف الحساب'!$C$4:$C$254,MATCH(196,'كشف الحساب'!$P$4:$P$254,0)),"")</f>
        <v>متنوع</v>
      </c>
      <c r="D201" s="123">
        <f>IFERROR(INDEX('كشف الحساب'!$E$4:$E$254,MATCH(196,'كشف الحساب'!$P$4:$P$254,0)),"")</f>
        <v>1</v>
      </c>
      <c r="E201" s="124">
        <f>IFERROR(INDEX('كشف الحساب'!$D$4:$D$254,MATCH(196,'كشف الحساب'!$P$4:$P$254,0)),"")</f>
        <v>0</v>
      </c>
      <c r="F201" s="125">
        <f t="shared" si="6"/>
        <v>800.29500000000007</v>
      </c>
    </row>
    <row r="202" spans="1:6" ht="18" customHeight="1" x14ac:dyDescent="0.25">
      <c r="A202" s="142">
        <f>IFERROR(INDEX('كشف الحساب'!$A$4:$A$254,MATCH(197,'كشف الحساب'!$P$4:$P$254,0)),"")</f>
        <v>46286</v>
      </c>
      <c r="B202" s="122" t="str">
        <f>IFERROR(INDEX('كشف الحساب'!$B$4:$B$254,MATCH(197,'كشف الحساب'!$P$4:$P$254,0)),"")</f>
        <v>Inv-163</v>
      </c>
      <c r="C202" s="121" t="str">
        <f>IFERROR(INDEX('كشف الحساب'!$C$4:$C$254,MATCH(197,'كشف الحساب'!$P$4:$P$254,0)),"")</f>
        <v>دارسينا اخضر عدد1 القيمه 2.500</v>
      </c>
      <c r="D202" s="123">
        <f>IFERROR(INDEX('كشف الحساب'!$E$4:$E$254,MATCH(197,'كشف الحساب'!$P$4:$P$254,0)),"")</f>
        <v>2.5</v>
      </c>
      <c r="E202" s="124">
        <f>IFERROR(INDEX('كشف الحساب'!$D$4:$D$254,MATCH(197,'كشف الحساب'!$P$4:$P$254,0)),"")</f>
        <v>0</v>
      </c>
      <c r="F202" s="125">
        <f t="shared" si="6"/>
        <v>802.79500000000007</v>
      </c>
    </row>
    <row r="203" spans="1:6" ht="18" customHeight="1" x14ac:dyDescent="0.25">
      <c r="A203" s="142">
        <f>IFERROR(INDEX('كشف الحساب'!$A$4:$A$254,MATCH(198,'كشف الحساب'!$P$4:$P$254,0)),"")</f>
        <v>46286</v>
      </c>
      <c r="B203" s="122" t="str">
        <f>IFERROR(INDEX('كشف الحساب'!$B$4:$B$254,MATCH(198,'كشف الحساب'!$P$4:$P$254,0)),"")</f>
        <v>Inv-164</v>
      </c>
      <c r="C203" s="121" t="str">
        <f>IFERROR(INDEX('كشف الحساب'!$C$4:$C$254,MATCH(198,'كشف الحساب'!$P$4:$P$254,0)),"")</f>
        <v>دارسينا اسودعدد 29 الحبه 2.500</v>
      </c>
      <c r="D203" s="123">
        <f>IFERROR(INDEX('كشف الحساب'!$E$4:$E$254,MATCH(198,'كشف الحساب'!$P$4:$P$254,0)),"")</f>
        <v>72.5</v>
      </c>
      <c r="E203" s="124">
        <f>IFERROR(INDEX('كشف الحساب'!$D$4:$D$254,MATCH(198,'كشف الحساب'!$P$4:$P$254,0)),"")</f>
        <v>0</v>
      </c>
      <c r="F203" s="125">
        <f t="shared" si="6"/>
        <v>875.29500000000007</v>
      </c>
    </row>
    <row r="204" spans="1:6" ht="18" customHeight="1" x14ac:dyDescent="0.25">
      <c r="A204" s="142">
        <f>IFERROR(INDEX('كشف الحساب'!$A$4:$A$254,MATCH(199,'كشف الحساب'!$P$4:$P$254,0)),"")</f>
        <v>46286</v>
      </c>
      <c r="B204" s="122" t="str">
        <f>IFERROR(INDEX('كشف الحساب'!$B$4:$B$254,MATCH(199,'كشف الحساب'!$P$4:$P$254,0)),"")</f>
        <v>Inv-165</v>
      </c>
      <c r="C204" s="121" t="str">
        <f>IFERROR(INDEX('كشف الحساب'!$C$4:$C$254,MATCH(199,'كشف الحساب'!$P$4:$P$254,0)),"")</f>
        <v>متنوع</v>
      </c>
      <c r="D204" s="123">
        <f>IFERROR(INDEX('كشف الحساب'!$E$4:$E$254,MATCH(199,'كشف الحساب'!$P$4:$P$254,0)),"")</f>
        <v>1.5</v>
      </c>
      <c r="E204" s="124">
        <f>IFERROR(INDEX('كشف الحساب'!$D$4:$D$254,MATCH(199,'كشف الحساب'!$P$4:$P$254,0)),"")</f>
        <v>0</v>
      </c>
      <c r="F204" s="125">
        <f t="shared" si="6"/>
        <v>876.79500000000007</v>
      </c>
    </row>
    <row r="205" spans="1:6" ht="18" customHeight="1" x14ac:dyDescent="0.25">
      <c r="A205" s="142">
        <f>IFERROR(INDEX('كشف الحساب'!$A$4:$A$254,MATCH(200,'كشف الحساب'!$P$4:$P$254,0)),"")</f>
        <v>46287</v>
      </c>
      <c r="B205" s="122" t="str">
        <f>IFERROR(INDEX('كشف الحساب'!$B$4:$B$254,MATCH(200,'كشف الحساب'!$P$4:$P$254,0)),"")</f>
        <v>Inv-166</v>
      </c>
      <c r="C205" s="121" t="str">
        <f>IFERROR(INDEX('كشف الحساب'!$C$4:$C$254,MATCH(200,'كشف الحساب'!$P$4:$P$254,0)),"")</f>
        <v>صبار عدد 60 الحبه .750</v>
      </c>
      <c r="D205" s="123">
        <f>IFERROR(INDEX('كشف الحساب'!$E$4:$E$254,MATCH(200,'كشف الحساب'!$P$4:$P$254,0)),"")</f>
        <v>45</v>
      </c>
      <c r="E205" s="124">
        <f>IFERROR(INDEX('كشف الحساب'!$D$4:$D$254,MATCH(200,'كشف الحساب'!$P$4:$P$254,0)),"")</f>
        <v>0</v>
      </c>
      <c r="F205" s="125">
        <f t="shared" si="6"/>
        <v>921.79500000000007</v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2928.19</v>
      </c>
      <c r="E206" s="129">
        <f>SUM(E6:E205)</f>
        <v>2006.395</v>
      </c>
      <c r="F206" s="130">
        <f>IFERROR(LOOKUP(2,1/($F$6:$F$205&lt;&gt;""),$F$6:$F$205),0)</f>
        <v>921.79500000000007</v>
      </c>
    </row>
    <row r="208" spans="1:6" ht="18" customHeight="1" x14ac:dyDescent="0.25">
      <c r="A208" s="153" t="s">
        <v>10</v>
      </c>
      <c r="B208" s="154"/>
      <c r="C208" s="154"/>
      <c r="D208" s="154"/>
      <c r="E208" s="154"/>
      <c r="F208" s="155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الحساب'!$A$4:$A$254,MATCH(1,'كشف الحساب'!$Q$4:$Q$254,0)),"")</f>
        <v>46131</v>
      </c>
      <c r="B210" s="133">
        <f>IFERROR(INDEX('كشف الحساب'!$B$4:$B$254,MATCH(1,'كشف الحساب'!$Q$4:$Q$254,0)),"")</f>
        <v>0</v>
      </c>
      <c r="C210" s="132" t="str">
        <f>IFERROR(INDEX('كشف الحساب'!$C$4:$C$254,MATCH(1,'كشف الحساب'!$Q$4:$Q$254,0)),"")</f>
        <v>تبديل كمبرسيور ثلاجة العمال</v>
      </c>
      <c r="D210" s="134">
        <f>IFERROR(INDEX('كشف الحساب'!$D$4:$D$254,MATCH(1,'كشف الحساب'!$Q$4:$Q$254,0)),"")</f>
        <v>45</v>
      </c>
      <c r="E210" s="135" t="str">
        <f>IFERROR(INDEX('كشف الحساب'!$G$4:$G$254,MATCH(1,'كشف الحساب'!$Q$4:$Q$254,0)),"")</f>
        <v>أبو اسحاق</v>
      </c>
      <c r="F210" s="132"/>
    </row>
    <row r="211" spans="1:6" ht="18" customHeight="1" x14ac:dyDescent="0.25">
      <c r="A211" s="143">
        <f>IFERROR(INDEX('كشف الحساب'!$A$4:$A$254,MATCH(2,'كشف الحساب'!$Q$4:$Q$254,0)),"")</f>
        <v>46134</v>
      </c>
      <c r="B211" s="133" t="str">
        <f>IFERROR(INDEX('كشف الحساب'!$B$4:$B$254,MATCH(2,'كشف الحساب'!$Q$4:$Q$254,0)),"")</f>
        <v>11300</v>
      </c>
      <c r="C211" s="132" t="str">
        <f>IFERROR(INDEX('كشف الحساب'!$C$4:$C$254,MATCH(2,'كشف الحساب'!$Q$4:$Q$254,0)),"")</f>
        <v>فلاتر كيميكال لمحطة التحلية</v>
      </c>
      <c r="D211" s="134">
        <f>IFERROR(INDEX('كشف الحساب'!$D$4:$D$254,MATCH(2,'كشف الحساب'!$Q$4:$Q$254,0)),"")</f>
        <v>55</v>
      </c>
      <c r="E211" s="135" t="str">
        <f>IFERROR(INDEX('كشف الحساب'!$G$4:$G$254,MATCH(2,'كشف الحساب'!$Q$4:$Q$254,0)),"")</f>
        <v>أبو اسحاق</v>
      </c>
      <c r="F211" s="132"/>
    </row>
    <row r="212" spans="1:6" ht="18" customHeight="1" x14ac:dyDescent="0.25">
      <c r="A212" s="143">
        <f>IFERROR(INDEX('كشف الحساب'!$A$4:$A$254,MATCH(3,'كشف الحساب'!$Q$4:$Q$254,0)),"")</f>
        <v>46134</v>
      </c>
      <c r="B212" s="133">
        <f>IFERROR(INDEX('كشف الحساب'!$B$4:$B$254,MATCH(3,'كشف الحساب'!$Q$4:$Q$254,0)),"")</f>
        <v>0</v>
      </c>
      <c r="C212" s="132" t="str">
        <f>IFERROR(INDEX('كشف الحساب'!$C$4:$C$254,MATCH(3,'كشف الحساب'!$Q$4:$Q$254,0)),"")</f>
        <v>ديزل لمكينة الكهرباء</v>
      </c>
      <c r="D212" s="134">
        <f>IFERROR(INDEX('كشف الحساب'!$D$4:$D$254,MATCH(3,'كشف الحساب'!$Q$4:$Q$254,0)),"")</f>
        <v>20</v>
      </c>
      <c r="E212" s="135" t="str">
        <f>IFERROR(INDEX('كشف الحساب'!$G$4:$G$254,MATCH(3,'كشف الحساب'!$Q$4:$Q$254,0)),"")</f>
        <v>أبو اسحاق</v>
      </c>
      <c r="F212" s="132"/>
    </row>
    <row r="213" spans="1:6" ht="18" customHeight="1" x14ac:dyDescent="0.25">
      <c r="A213" s="143">
        <f>IFERROR(INDEX('كشف الحساب'!$A$4:$A$254,MATCH(4,'كشف الحساب'!$Q$4:$Q$254,0)),"")</f>
        <v>46134</v>
      </c>
      <c r="B213" s="133" t="str">
        <f>IFERROR(INDEX('كشف الحساب'!$B$4:$B$254,MATCH(4,'كشف الحساب'!$Q$4:$Q$254,0)),"")</f>
        <v>242</v>
      </c>
      <c r="C213" s="132" t="str">
        <f>IFERROR(INDEX('كشف الحساب'!$C$4:$C$254,MATCH(4,'كشف الحساب'!$Q$4:$Q$254,0)),"")</f>
        <v>احواض حجم25سم عدد 2000</v>
      </c>
      <c r="D213" s="134">
        <f>IFERROR(INDEX('كشف الحساب'!$D$4:$D$254,MATCH(4,'كشف الحساب'!$Q$4:$Q$254,0)),"")</f>
        <v>160</v>
      </c>
      <c r="E213" s="135" t="str">
        <f>IFERROR(INDEX('كشف الحساب'!$G$4:$G$254,MATCH(4,'كشف الحساب'!$Q$4:$Q$254,0)),"")</f>
        <v>أبو آدم</v>
      </c>
      <c r="F213" s="132"/>
    </row>
    <row r="214" spans="1:6" ht="18" customHeight="1" x14ac:dyDescent="0.25">
      <c r="A214" s="143">
        <f>IFERROR(INDEX('كشف الحساب'!$A$4:$A$254,MATCH(5,'كشف الحساب'!$Q$4:$Q$254,0)),"")</f>
        <v>46151</v>
      </c>
      <c r="B214" s="133">
        <f>IFERROR(INDEX('كشف الحساب'!$B$4:$B$254,MATCH(5,'كشف الحساب'!$Q$4:$Q$254,0)),"")</f>
        <v>18213</v>
      </c>
      <c r="C214" s="132" t="str">
        <f>IFERROR(INDEX('كشف الحساب'!$C$4:$C$254,MATCH(5,'كشف الحساب'!$Q$4:$Q$254,0)),"")</f>
        <v>شراء دريل</v>
      </c>
      <c r="D214" s="134">
        <f>IFERROR(INDEX('كشف الحساب'!$D$4:$D$254,MATCH(5,'كشف الحساب'!$Q$4:$Q$254,0)),"")</f>
        <v>9</v>
      </c>
      <c r="E214" s="135" t="str">
        <f>IFERROR(INDEX('كشف الحساب'!$G$4:$G$254,MATCH(5,'كشف الحساب'!$Q$4:$Q$254,0)),"")</f>
        <v>أبو اسحاق</v>
      </c>
      <c r="F214" s="132"/>
    </row>
    <row r="215" spans="1:6" ht="18" customHeight="1" x14ac:dyDescent="0.25">
      <c r="A215" s="143">
        <f>IFERROR(INDEX('كشف الحساب'!$A$4:$A$254,MATCH(6,'كشف الحساب'!$Q$4:$Q$254,0)),"")</f>
        <v>46167</v>
      </c>
      <c r="B215" s="133">
        <f>IFERROR(INDEX('كشف الحساب'!$B$4:$B$254,MATCH(6,'كشف الحساب'!$Q$4:$Q$254,0)),"")</f>
        <v>0</v>
      </c>
      <c r="C215" s="132" t="str">
        <f>IFERROR(INDEX('كشف الحساب'!$C$4:$C$254,MATCH(6,'كشف الحساب'!$Q$4:$Q$254,0)),"")</f>
        <v>يزل ماكينه كهرباء</v>
      </c>
      <c r="D215" s="134">
        <f>IFERROR(INDEX('كشف الحساب'!$D$4:$D$254,MATCH(6,'كشف الحساب'!$Q$4:$Q$254,0)),"")</f>
        <v>26</v>
      </c>
      <c r="E215" s="135" t="str">
        <f>IFERROR(INDEX('كشف الحساب'!$G$4:$G$254,MATCH(6,'كشف الحساب'!$Q$4:$Q$254,0)),"")</f>
        <v>أبو اسحاق</v>
      </c>
      <c r="F215" s="132"/>
    </row>
    <row r="216" spans="1:6" ht="18" customHeight="1" x14ac:dyDescent="0.25">
      <c r="A216" s="143">
        <f>IFERROR(INDEX('كشف الحساب'!$A$4:$A$254,MATCH(7,'كشف الحساب'!$Q$4:$Q$254,0)),"")</f>
        <v>46167</v>
      </c>
      <c r="B216" s="133">
        <f>IFERROR(INDEX('كشف الحساب'!$B$4:$B$254,MATCH(7,'كشف الحساب'!$Q$4:$Q$254,0)),"")</f>
        <v>0</v>
      </c>
      <c r="C216" s="132" t="str">
        <f>IFERROR(INDEX('كشف الحساب'!$C$4:$C$254,MATCH(7,'كشف الحساب'!$Q$4:$Q$254,0)),"")</f>
        <v>راتب عماله مايو 2025</v>
      </c>
      <c r="D216" s="134">
        <f>IFERROR(INDEX('كشف الحساب'!$D$4:$D$254,MATCH(7,'كشف الحساب'!$Q$4:$Q$254,0)),"")</f>
        <v>250</v>
      </c>
      <c r="E216" s="135" t="str">
        <f>IFERROR(INDEX('كشف الحساب'!$G$4:$G$254,MATCH(7,'كشف الحساب'!$Q$4:$Q$254,0)),"")</f>
        <v>أبو آدم</v>
      </c>
      <c r="F216" s="132"/>
    </row>
    <row r="217" spans="1:6" ht="18" customHeight="1" x14ac:dyDescent="0.25">
      <c r="A217" s="143">
        <f>IFERROR(INDEX('كشف الحساب'!$A$4:$A$254,MATCH(8,'كشف الحساب'!$Q$4:$Q$254,0)),"")</f>
        <v>46167</v>
      </c>
      <c r="B217" s="133">
        <f>IFERROR(INDEX('كشف الحساب'!$B$4:$B$254,MATCH(8,'كشف الحساب'!$Q$4:$Q$254,0)),"")</f>
        <v>0</v>
      </c>
      <c r="C217" s="132" t="str">
        <f>IFERROR(INDEX('كشف الحساب'!$C$4:$C$254,MATCH(8,'كشف الحساب'!$Q$4:$Q$254,0)),"")</f>
        <v>راتب عماله مايو 2025</v>
      </c>
      <c r="D217" s="134">
        <f>IFERROR(INDEX('كشف الحساب'!$D$4:$D$254,MATCH(8,'كشف الحساب'!$Q$4:$Q$254,0)),"")</f>
        <v>250</v>
      </c>
      <c r="E217" s="135" t="str">
        <f>IFERROR(INDEX('كشف الحساب'!$G$4:$G$254,MATCH(8,'كشف الحساب'!$Q$4:$Q$254,0)),"")</f>
        <v>أبو اسحاق</v>
      </c>
      <c r="F217" s="132"/>
    </row>
    <row r="218" spans="1:6" ht="18" customHeight="1" x14ac:dyDescent="0.25">
      <c r="A218" s="143">
        <f>IFERROR(INDEX('كشف الحساب'!$A$4:$A$254,MATCH(9,'كشف الحساب'!$Q$4:$Q$254,0)),"")</f>
        <v>46187</v>
      </c>
      <c r="B218" s="133">
        <f>IFERROR(INDEX('كشف الحساب'!$B$4:$B$254,MATCH(9,'كشف الحساب'!$Q$4:$Q$254,0)),"")</f>
        <v>0</v>
      </c>
      <c r="C218" s="132" t="str">
        <f>IFERROR(INDEX('كشف الحساب'!$C$4:$C$254,MATCH(9,'كشف الحساب'!$Q$4:$Q$254,0)),"")</f>
        <v>عصايا عدد 2000 احواض معاقات عدد 250</v>
      </c>
      <c r="D218" s="134">
        <f>IFERROR(INDEX('كشف الحساب'!$D$4:$D$254,MATCH(9,'كشف الحساب'!$Q$4:$Q$254,0)),"")</f>
        <v>107.5</v>
      </c>
      <c r="E218" s="135" t="str">
        <f>IFERROR(INDEX('كشف الحساب'!$G$4:$G$254,MATCH(9,'كشف الحساب'!$Q$4:$Q$254,0)),"")</f>
        <v>أبو اسحاق</v>
      </c>
      <c r="F218" s="132"/>
    </row>
    <row r="219" spans="1:6" ht="18" customHeight="1" x14ac:dyDescent="0.25">
      <c r="A219" s="143">
        <f>IFERROR(INDEX('كشف الحساب'!$A$4:$A$254,MATCH(10,'كشف الحساب'!$Q$4:$Q$254,0)),"")</f>
        <v>46203</v>
      </c>
      <c r="B219" s="133">
        <f>IFERROR(INDEX('كشف الحساب'!$B$4:$B$254,MATCH(10,'كشف الحساب'!$Q$4:$Q$254,0)),"")</f>
        <v>0</v>
      </c>
      <c r="C219" s="132" t="str">
        <f>IFERROR(INDEX('كشف الحساب'!$C$4:$C$254,MATCH(10,'كشف الحساب'!$Q$4:$Q$254,0)),"")</f>
        <v>تكمله رواتب يونيو 2026 ابوادم</v>
      </c>
      <c r="D219" s="134">
        <f>IFERROR(INDEX('كشف الحساب'!$D$4:$D$254,MATCH(10,'كشف الحساب'!$Q$4:$Q$254,0)),"")</f>
        <v>50</v>
      </c>
      <c r="E219" s="135" t="str">
        <f>IFERROR(INDEX('كشف الحساب'!$G$4:$G$254,MATCH(10,'كشف الحساب'!$Q$4:$Q$254,0)),"")</f>
        <v>أبو آدم</v>
      </c>
      <c r="F219" s="132"/>
    </row>
    <row r="220" spans="1:6" ht="18" customHeight="1" x14ac:dyDescent="0.25">
      <c r="A220" s="143">
        <f>IFERROR(INDEX('كشف الحساب'!$A$4:$A$254,MATCH(11,'كشف الحساب'!$Q$4:$Q$254,0)),"")</f>
        <v>46203</v>
      </c>
      <c r="B220" s="133">
        <f>IFERROR(INDEX('كشف الحساب'!$B$4:$B$254,MATCH(11,'كشف الحساب'!$Q$4:$Q$254,0)),"")</f>
        <v>0</v>
      </c>
      <c r="C220" s="132" t="str">
        <f>IFERROR(INDEX('كشف الحساب'!$C$4:$C$254,MATCH(11,'كشف الحساب'!$Q$4:$Q$254,0)),"")</f>
        <v>تكمله رواتب يونيو 2026 ابواسحاق</v>
      </c>
      <c r="D220" s="134">
        <f>IFERROR(INDEX('كشف الحساب'!$D$4:$D$254,MATCH(11,'كشف الحساب'!$Q$4:$Q$254,0)),"")</f>
        <v>50</v>
      </c>
      <c r="E220" s="135" t="str">
        <f>IFERROR(INDEX('كشف الحساب'!$G$4:$G$254,MATCH(11,'كشف الحساب'!$Q$4:$Q$254,0)),"")</f>
        <v>أبو اسحاق</v>
      </c>
      <c r="F220" s="132"/>
    </row>
    <row r="221" spans="1:6" ht="18" customHeight="1" x14ac:dyDescent="0.25">
      <c r="A221" s="143">
        <f>IFERROR(INDEX('كشف الحساب'!$A$4:$A$254,MATCH(12,'كشف الحساب'!$Q$4:$Q$254,0)),"")</f>
        <v>46232</v>
      </c>
      <c r="B221" s="133">
        <f>IFERROR(INDEX('كشف الحساب'!$B$4:$B$254,MATCH(12,'كشف الحساب'!$Q$4:$Q$254,0)),"")</f>
        <v>0</v>
      </c>
      <c r="C221" s="132" t="str">
        <f>IFERROR(INDEX('كشف الحساب'!$C$4:$C$254,MATCH(12,'كشف الحساب'!$Q$4:$Q$254,0)),"")</f>
        <v>عدد 3 عماله + 10 ايام العامل البديل 40 دينار +50 كهرباء (تم دفه 99 من المحفظه)</v>
      </c>
      <c r="D221" s="134">
        <f>IFERROR(INDEX('كشف الحساب'!$D$4:$D$254,MATCH(12,'كشف الحساب'!$Q$4:$Q$254,0)),"")</f>
        <v>205.5</v>
      </c>
      <c r="E221" s="135" t="str">
        <f>IFERROR(INDEX('كشف الحساب'!$G$4:$G$254,MATCH(12,'كشف الحساب'!$Q$4:$Q$254,0)),"")</f>
        <v>أبو آدم</v>
      </c>
      <c r="F221" s="132"/>
    </row>
    <row r="222" spans="1:6" ht="18" customHeight="1" x14ac:dyDescent="0.25">
      <c r="A222" s="143">
        <f>IFERROR(INDEX('كشف الحساب'!$A$4:$A$254,MATCH(13,'كشف الحساب'!$Q$4:$Q$254,0)),"")</f>
        <v>46232</v>
      </c>
      <c r="B222" s="133">
        <f>IFERROR(INDEX('كشف الحساب'!$B$4:$B$254,MATCH(13,'كشف الحساب'!$Q$4:$Q$254,0)),"")</f>
        <v>0</v>
      </c>
      <c r="C222" s="132" t="str">
        <f>IFERROR(INDEX('كشف الحساب'!$C$4:$C$254,MATCH(13,'كشف الحساب'!$Q$4:$Q$254,0)),"")</f>
        <v>عدد 3 عماله + 10 ايام العامل البديل 40 دينار +50 كهرباء (تم دفه 99 من المحفظه)</v>
      </c>
      <c r="D222" s="134">
        <f>IFERROR(INDEX('كشف الحساب'!$D$4:$D$254,MATCH(13,'كشف الحساب'!$Q$4:$Q$254,0)),"")</f>
        <v>205.5</v>
      </c>
      <c r="E222" s="135" t="str">
        <f>IFERROR(INDEX('كشف الحساب'!$G$4:$G$254,MATCH(13,'كشف الحساب'!$Q$4:$Q$254,0)),"")</f>
        <v>أبو اسحاق</v>
      </c>
      <c r="F222" s="132"/>
    </row>
    <row r="223" spans="1:6" ht="18" customHeight="1" x14ac:dyDescent="0.25">
      <c r="A223" s="143">
        <f>IFERROR(INDEX('كشف الحساب'!$A$4:$A$254,MATCH(14,'كشف الحساب'!$Q$4:$Q$254,0)),"")</f>
        <v>46235</v>
      </c>
      <c r="B223" s="133">
        <f>IFERROR(INDEX('كشف الحساب'!$B$4:$B$254,MATCH(14,'كشف الحساب'!$Q$4:$Q$254,0)),"")</f>
        <v>0</v>
      </c>
      <c r="C223" s="132" t="str">
        <f>IFERROR(INDEX('كشف الحساب'!$C$4:$C$254,MATCH(14,'كشف الحساب'!$Q$4:$Q$254,0)),"")</f>
        <v>احواض عدد 3500 مقاس 25 سم</v>
      </c>
      <c r="D223" s="134">
        <f>IFERROR(INDEX('كشف الحساب'!$D$4:$D$254,MATCH(14,'كشف الحساب'!$Q$4:$Q$254,0)),"")</f>
        <v>280</v>
      </c>
      <c r="E223" s="135" t="str">
        <f>IFERROR(INDEX('كشف الحساب'!$G$4:$G$254,MATCH(14,'كشف الحساب'!$Q$4:$Q$254,0)),"")</f>
        <v>أبو آدم</v>
      </c>
      <c r="F223" s="132"/>
    </row>
    <row r="224" spans="1:6" ht="18" customHeight="1" x14ac:dyDescent="0.25">
      <c r="A224" s="143">
        <f>IFERROR(INDEX('كشف الحساب'!$A$4:$A$254,MATCH(15,'كشف الحساب'!$Q$4:$Q$254,0)),"")</f>
        <v>46238</v>
      </c>
      <c r="B224" s="133">
        <f>IFERROR(INDEX('كشف الحساب'!$B$4:$B$254,MATCH(15,'كشف الحساب'!$Q$4:$Q$254,0)),"")</f>
        <v>0</v>
      </c>
      <c r="C224" s="132" t="str">
        <f>IFERROR(INDEX('كشف الحساب'!$C$4:$C$254,MATCH(15,'كشف الحساب'!$Q$4:$Q$254,0)),"")</f>
        <v>حديد كحميه 2</v>
      </c>
      <c r="D224" s="134">
        <f>IFERROR(INDEX('كشف الحساب'!$D$4:$D$254,MATCH(15,'كشف الحساب'!$Q$4:$Q$254,0)),"")</f>
        <v>68</v>
      </c>
      <c r="E224" s="135" t="str">
        <f>IFERROR(INDEX('كشف الحساب'!$G$4:$G$254,MATCH(15,'كشف الحساب'!$Q$4:$Q$254,0)),"")</f>
        <v>أبو اسحاق</v>
      </c>
      <c r="F224" s="132"/>
    </row>
    <row r="225" spans="1:6" ht="18" customHeight="1" x14ac:dyDescent="0.25">
      <c r="A225" s="143" t="str">
        <f>IFERROR(INDEX('كشف الحساب'!$A$4:$A$254,MATCH(16,'كشف الحساب'!$Q$4:$Q$254,0)),"")</f>
        <v/>
      </c>
      <c r="B225" s="133" t="str">
        <f>IFERROR(INDEX('كشف الحساب'!$B$4:$B$254,MATCH(16,'كشف الحساب'!$Q$4:$Q$254,0)),"")</f>
        <v/>
      </c>
      <c r="C225" s="132" t="str">
        <f>IFERROR(INDEX('كشف الحساب'!$C$4:$C$254,MATCH(16,'كشف الحساب'!$Q$4:$Q$254,0)),"")</f>
        <v/>
      </c>
      <c r="D225" s="134" t="str">
        <f>IFERROR(INDEX('كشف الحساب'!$D$4:$D$254,MATCH(16,'كشف الحساب'!$Q$4:$Q$254,0)),"")</f>
        <v/>
      </c>
      <c r="E225" s="135" t="str">
        <f>IFERROR(INDEX('كشف الحساب'!$G$4:$G$254,MATCH(16,'كشف الحساب'!$Q$4:$Q$254,0)),"")</f>
        <v/>
      </c>
      <c r="F225" s="132"/>
    </row>
    <row r="226" spans="1:6" ht="18" customHeight="1" x14ac:dyDescent="0.25">
      <c r="A226" s="143" t="str">
        <f>IFERROR(INDEX('كشف الحساب'!$A$4:$A$254,MATCH(17,'كشف الحساب'!$Q$4:$Q$254,0)),"")</f>
        <v/>
      </c>
      <c r="B226" s="133" t="str">
        <f>IFERROR(INDEX('كشف الحساب'!$B$4:$B$254,MATCH(17,'كشف الحساب'!$Q$4:$Q$254,0)),"")</f>
        <v/>
      </c>
      <c r="C226" s="132" t="str">
        <f>IFERROR(INDEX('كشف الحساب'!$C$4:$C$254,MATCH(17,'كشف الحساب'!$Q$4:$Q$254,0)),"")</f>
        <v/>
      </c>
      <c r="D226" s="134" t="str">
        <f>IFERROR(INDEX('كشف الحساب'!$D$4:$D$254,MATCH(17,'كشف الحساب'!$Q$4:$Q$254,0)),"")</f>
        <v/>
      </c>
      <c r="E226" s="135" t="str">
        <f>IFERROR(INDEX('كشف الحساب'!$G$4:$G$254,MATCH(17,'كشف الحساب'!$Q$4:$Q$254,0)),"")</f>
        <v/>
      </c>
      <c r="F226" s="132"/>
    </row>
    <row r="227" spans="1:6" ht="18" customHeight="1" x14ac:dyDescent="0.25">
      <c r="A227" s="143" t="str">
        <f>IFERROR(INDEX('كشف الحساب'!$A$4:$A$254,MATCH(18,'كشف الحساب'!$Q$4:$Q$254,0)),"")</f>
        <v/>
      </c>
      <c r="B227" s="133" t="str">
        <f>IFERROR(INDEX('كشف الحساب'!$B$4:$B$254,MATCH(18,'كشف الحساب'!$Q$4:$Q$254,0)),"")</f>
        <v/>
      </c>
      <c r="C227" s="132" t="str">
        <f>IFERROR(INDEX('كشف الحساب'!$C$4:$C$254,MATCH(18,'كشف الحساب'!$Q$4:$Q$254,0)),"")</f>
        <v/>
      </c>
      <c r="D227" s="134" t="str">
        <f>IFERROR(INDEX('كشف الحساب'!$D$4:$D$254,MATCH(18,'كشف الحساب'!$Q$4:$Q$254,0)),"")</f>
        <v/>
      </c>
      <c r="E227" s="135" t="str">
        <f>IFERROR(INDEX('كشف الحساب'!$G$4:$G$254,MATCH(18,'كشف الحساب'!$Q$4:$Q$254,0)),"")</f>
        <v/>
      </c>
      <c r="F227" s="132"/>
    </row>
    <row r="228" spans="1:6" ht="18" customHeight="1" x14ac:dyDescent="0.25">
      <c r="A228" s="143" t="str">
        <f>IFERROR(INDEX('كشف الحساب'!$A$4:$A$254,MATCH(19,'كشف الحساب'!$Q$4:$Q$254,0)),"")</f>
        <v/>
      </c>
      <c r="B228" s="133" t="str">
        <f>IFERROR(INDEX('كشف الحساب'!$B$4:$B$254,MATCH(19,'كشف الحساب'!$Q$4:$Q$254,0)),"")</f>
        <v/>
      </c>
      <c r="C228" s="132" t="str">
        <f>IFERROR(INDEX('كشف الحساب'!$C$4:$C$254,MATCH(19,'كشف الحساب'!$Q$4:$Q$254,0)),"")</f>
        <v/>
      </c>
      <c r="D228" s="134" t="str">
        <f>IFERROR(INDEX('كشف الحساب'!$D$4:$D$254,MATCH(19,'كشف الحساب'!$Q$4:$Q$254,0)),"")</f>
        <v/>
      </c>
      <c r="E228" s="135" t="str">
        <f>IFERROR(INDEX('كشف الحساب'!$G$4:$G$254,MATCH(19,'كشف الحساب'!$Q$4:$Q$254,0)),"")</f>
        <v/>
      </c>
      <c r="F228" s="132"/>
    </row>
    <row r="229" spans="1:6" ht="18" customHeight="1" x14ac:dyDescent="0.25">
      <c r="A229" s="143" t="str">
        <f>IFERROR(INDEX('كشف الحساب'!$A$4:$A$254,MATCH(20,'كشف الحساب'!$Q$4:$Q$254,0)),"")</f>
        <v/>
      </c>
      <c r="B229" s="133" t="str">
        <f>IFERROR(INDEX('كشف الحساب'!$B$4:$B$254,MATCH(20,'كشف الحساب'!$Q$4:$Q$254,0)),"")</f>
        <v/>
      </c>
      <c r="C229" s="132" t="str">
        <f>IFERROR(INDEX('كشف الحساب'!$C$4:$C$254,MATCH(20,'كشف الحساب'!$Q$4:$Q$254,0)),"")</f>
        <v/>
      </c>
      <c r="D229" s="134" t="str">
        <f>IFERROR(INDEX('كشف الحساب'!$D$4:$D$254,MATCH(20,'كشف الحساب'!$Q$4:$Q$254,0)),"")</f>
        <v/>
      </c>
      <c r="E229" s="135" t="str">
        <f>IFERROR(INDEX('كشف الحساب'!$G$4:$G$254,MATCH(20,'كشف الحساب'!$Q$4:$Q$254,0)),"")</f>
        <v/>
      </c>
      <c r="F229" s="132"/>
    </row>
    <row r="230" spans="1:6" ht="18" customHeight="1" x14ac:dyDescent="0.25">
      <c r="A230" s="143" t="str">
        <f>IFERROR(INDEX('كشف الحساب'!$A$4:$A$254,MATCH(21,'كشف الحساب'!$Q$4:$Q$254,0)),"")</f>
        <v/>
      </c>
      <c r="B230" s="133" t="str">
        <f>IFERROR(INDEX('كشف الحساب'!$B$4:$B$254,MATCH(21,'كشف الحساب'!$Q$4:$Q$254,0)),"")</f>
        <v/>
      </c>
      <c r="C230" s="132" t="str">
        <f>IFERROR(INDEX('كشف الحساب'!$C$4:$C$254,MATCH(21,'كشف الحساب'!$Q$4:$Q$254,0)),"")</f>
        <v/>
      </c>
      <c r="D230" s="134" t="str">
        <f>IFERROR(INDEX('كشف الحساب'!$D$4:$D$254,MATCH(21,'كشف الحساب'!$Q$4:$Q$254,0)),"")</f>
        <v/>
      </c>
      <c r="E230" s="135" t="str">
        <f>IFERROR(INDEX('كشف الحساب'!$G$4:$G$254,MATCH(21,'كشف الحساب'!$Q$4:$Q$254,0)),"")</f>
        <v/>
      </c>
      <c r="F230" s="132"/>
    </row>
    <row r="231" spans="1:6" ht="18" customHeight="1" x14ac:dyDescent="0.25">
      <c r="A231" s="143" t="str">
        <f>IFERROR(INDEX('كشف الحساب'!$A$4:$A$254,MATCH(22,'كشف الحساب'!$Q$4:$Q$254,0)),"")</f>
        <v/>
      </c>
      <c r="B231" s="133" t="str">
        <f>IFERROR(INDEX('كشف الحساب'!$B$4:$B$254,MATCH(22,'كشف الحساب'!$Q$4:$Q$254,0)),"")</f>
        <v/>
      </c>
      <c r="C231" s="132" t="str">
        <f>IFERROR(INDEX('كشف الحساب'!$C$4:$C$254,MATCH(22,'كشف الحساب'!$Q$4:$Q$254,0)),"")</f>
        <v/>
      </c>
      <c r="D231" s="134" t="str">
        <f>IFERROR(INDEX('كشف الحساب'!$D$4:$D$254,MATCH(22,'كشف الحساب'!$Q$4:$Q$254,0)),"")</f>
        <v/>
      </c>
      <c r="E231" s="135" t="str">
        <f>IFERROR(INDEX('كشف الحساب'!$G$4:$G$254,MATCH(22,'كشف الحساب'!$Q$4:$Q$254,0)),"")</f>
        <v/>
      </c>
      <c r="F231" s="132"/>
    </row>
    <row r="232" spans="1:6" ht="18" customHeight="1" x14ac:dyDescent="0.25">
      <c r="A232" s="143" t="str">
        <f>IFERROR(INDEX('كشف الحساب'!$A$4:$A$254,MATCH(23,'كشف الحساب'!$Q$4:$Q$254,0)),"")</f>
        <v/>
      </c>
      <c r="B232" s="133" t="str">
        <f>IFERROR(INDEX('كشف الحساب'!$B$4:$B$254,MATCH(23,'كشف الحساب'!$Q$4:$Q$254,0)),"")</f>
        <v/>
      </c>
      <c r="C232" s="132" t="str">
        <f>IFERROR(INDEX('كشف الحساب'!$C$4:$C$254,MATCH(23,'كشف الحساب'!$Q$4:$Q$254,0)),"")</f>
        <v/>
      </c>
      <c r="D232" s="134" t="str">
        <f>IFERROR(INDEX('كشف الحساب'!$D$4:$D$254,MATCH(23,'كشف الحساب'!$Q$4:$Q$254,0)),"")</f>
        <v/>
      </c>
      <c r="E232" s="135" t="str">
        <f>IFERROR(INDEX('كشف الحساب'!$G$4:$G$254,MATCH(23,'كشف الحساب'!$Q$4:$Q$254,0)),"")</f>
        <v/>
      </c>
      <c r="F232" s="132"/>
    </row>
    <row r="233" spans="1:6" ht="18" customHeight="1" x14ac:dyDescent="0.25">
      <c r="A233" s="143" t="str">
        <f>IFERROR(INDEX('كشف الحساب'!$A$4:$A$254,MATCH(24,'كشف الحساب'!$Q$4:$Q$254,0)),"")</f>
        <v/>
      </c>
      <c r="B233" s="133" t="str">
        <f>IFERROR(INDEX('كشف الحساب'!$B$4:$B$254,MATCH(24,'كشف الحساب'!$Q$4:$Q$254,0)),"")</f>
        <v/>
      </c>
      <c r="C233" s="132" t="str">
        <f>IFERROR(INDEX('كشف الحساب'!$C$4:$C$254,MATCH(24,'كشف الحساب'!$Q$4:$Q$254,0)),"")</f>
        <v/>
      </c>
      <c r="D233" s="134" t="str">
        <f>IFERROR(INDEX('كشف الحساب'!$D$4:$D$254,MATCH(24,'كشف الحساب'!$Q$4:$Q$254,0)),"")</f>
        <v/>
      </c>
      <c r="E233" s="135" t="str">
        <f>IFERROR(INDEX('كشف الحساب'!$G$4:$G$254,MATCH(24,'كشف الحساب'!$Q$4:$Q$254,0)),"")</f>
        <v/>
      </c>
      <c r="F233" s="132"/>
    </row>
    <row r="234" spans="1:6" ht="18" customHeight="1" x14ac:dyDescent="0.25">
      <c r="A234" s="143" t="str">
        <f>IFERROR(INDEX('كشف الحساب'!$A$4:$A$254,MATCH(25,'كشف الحساب'!$Q$4:$Q$254,0)),"")</f>
        <v/>
      </c>
      <c r="B234" s="133" t="str">
        <f>IFERROR(INDEX('كشف الحساب'!$B$4:$B$254,MATCH(25,'كشف الحساب'!$Q$4:$Q$254,0)),"")</f>
        <v/>
      </c>
      <c r="C234" s="132" t="str">
        <f>IFERROR(INDEX('كشف الحساب'!$C$4:$C$254,MATCH(25,'كشف الحساب'!$Q$4:$Q$254,0)),"")</f>
        <v/>
      </c>
      <c r="D234" s="134" t="str">
        <f>IFERROR(INDEX('كشف الحساب'!$D$4:$D$254,MATCH(25,'كشف الحساب'!$Q$4:$Q$254,0)),"")</f>
        <v/>
      </c>
      <c r="E234" s="135" t="str">
        <f>IFERROR(INDEX('كشف الحساب'!$G$4:$G$254,MATCH(25,'كشف الحساب'!$Q$4:$Q$254,0)),"")</f>
        <v/>
      </c>
      <c r="F234" s="132"/>
    </row>
    <row r="235" spans="1:6" ht="18" customHeight="1" x14ac:dyDescent="0.25">
      <c r="A235" s="143" t="str">
        <f>IFERROR(INDEX('كشف الحساب'!$A$4:$A$254,MATCH(26,'كشف الحساب'!$Q$4:$Q$254,0)),"")</f>
        <v/>
      </c>
      <c r="B235" s="133" t="str">
        <f>IFERROR(INDEX('كشف الحساب'!$B$4:$B$254,MATCH(26,'كشف الحساب'!$Q$4:$Q$254,0)),"")</f>
        <v/>
      </c>
      <c r="C235" s="132" t="str">
        <f>IFERROR(INDEX('كشف الحساب'!$C$4:$C$254,MATCH(26,'كشف الحساب'!$Q$4:$Q$254,0)),"")</f>
        <v/>
      </c>
      <c r="D235" s="134" t="str">
        <f>IFERROR(INDEX('كشف الحساب'!$D$4:$D$254,MATCH(26,'كشف الحساب'!$Q$4:$Q$254,0)),"")</f>
        <v/>
      </c>
      <c r="E235" s="135" t="str">
        <f>IFERROR(INDEX('كشف الحساب'!$G$4:$G$254,MATCH(26,'كشف الحساب'!$Q$4:$Q$254,0)),"")</f>
        <v/>
      </c>
      <c r="F235" s="132"/>
    </row>
    <row r="236" spans="1:6" ht="18" customHeight="1" x14ac:dyDescent="0.25">
      <c r="A236" s="143" t="str">
        <f>IFERROR(INDEX('كشف الحساب'!$A$4:$A$254,MATCH(27,'كشف الحساب'!$Q$4:$Q$254,0)),"")</f>
        <v/>
      </c>
      <c r="B236" s="133" t="str">
        <f>IFERROR(INDEX('كشف الحساب'!$B$4:$B$254,MATCH(27,'كشف الحساب'!$Q$4:$Q$254,0)),"")</f>
        <v/>
      </c>
      <c r="C236" s="132" t="str">
        <f>IFERROR(INDEX('كشف الحساب'!$C$4:$C$254,MATCH(27,'كشف الحساب'!$Q$4:$Q$254,0)),"")</f>
        <v/>
      </c>
      <c r="D236" s="134" t="str">
        <f>IFERROR(INDEX('كشف الحساب'!$D$4:$D$254,MATCH(27,'كشف الحساب'!$Q$4:$Q$254,0)),"")</f>
        <v/>
      </c>
      <c r="E236" s="135" t="str">
        <f>IFERROR(INDEX('كشف الحساب'!$G$4:$G$254,MATCH(27,'كشف الحساب'!$Q$4:$Q$254,0)),"")</f>
        <v/>
      </c>
      <c r="F236" s="132"/>
    </row>
    <row r="237" spans="1:6" ht="18" customHeight="1" x14ac:dyDescent="0.25">
      <c r="A237" s="143" t="str">
        <f>IFERROR(INDEX('كشف الحساب'!$A$4:$A$254,MATCH(28,'كشف الحساب'!$Q$4:$Q$254,0)),"")</f>
        <v/>
      </c>
      <c r="B237" s="133" t="str">
        <f>IFERROR(INDEX('كشف الحساب'!$B$4:$B$254,MATCH(28,'كشف الحساب'!$Q$4:$Q$254,0)),"")</f>
        <v/>
      </c>
      <c r="C237" s="132" t="str">
        <f>IFERROR(INDEX('كشف الحساب'!$C$4:$C$254,MATCH(28,'كشف الحساب'!$Q$4:$Q$254,0)),"")</f>
        <v/>
      </c>
      <c r="D237" s="134" t="str">
        <f>IFERROR(INDEX('كشف الحساب'!$D$4:$D$254,MATCH(28,'كشف الحساب'!$Q$4:$Q$254,0)),"")</f>
        <v/>
      </c>
      <c r="E237" s="135" t="str">
        <f>IFERROR(INDEX('كشف الحساب'!$G$4:$G$254,MATCH(28,'كشف الحساب'!$Q$4:$Q$254,0)),"")</f>
        <v/>
      </c>
      <c r="F237" s="132"/>
    </row>
    <row r="238" spans="1:6" ht="18" customHeight="1" x14ac:dyDescent="0.25">
      <c r="A238" s="143" t="str">
        <f>IFERROR(INDEX('كشف الحساب'!$A$4:$A$254,MATCH(29,'كشف الحساب'!$Q$4:$Q$254,0)),"")</f>
        <v/>
      </c>
      <c r="B238" s="133" t="str">
        <f>IFERROR(INDEX('كشف الحساب'!$B$4:$B$254,MATCH(29,'كشف الحساب'!$Q$4:$Q$254,0)),"")</f>
        <v/>
      </c>
      <c r="C238" s="132" t="str">
        <f>IFERROR(INDEX('كشف الحساب'!$C$4:$C$254,MATCH(29,'كشف الحساب'!$Q$4:$Q$254,0)),"")</f>
        <v/>
      </c>
      <c r="D238" s="134" t="str">
        <f>IFERROR(INDEX('كشف الحساب'!$D$4:$D$254,MATCH(29,'كشف الحساب'!$Q$4:$Q$254,0)),"")</f>
        <v/>
      </c>
      <c r="E238" s="135" t="str">
        <f>IFERROR(INDEX('كشف الحساب'!$G$4:$G$254,MATCH(29,'كشف الحساب'!$Q$4:$Q$254,0)),"")</f>
        <v/>
      </c>
      <c r="F238" s="132"/>
    </row>
    <row r="239" spans="1:6" ht="18" customHeight="1" x14ac:dyDescent="0.25">
      <c r="A239" s="143" t="str">
        <f>IFERROR(INDEX('كشف الحساب'!$A$4:$A$254,MATCH(30,'كشف الحساب'!$Q$4:$Q$254,0)),"")</f>
        <v/>
      </c>
      <c r="B239" s="133" t="str">
        <f>IFERROR(INDEX('كشف الحساب'!$B$4:$B$254,MATCH(30,'كشف الحساب'!$Q$4:$Q$254,0)),"")</f>
        <v/>
      </c>
      <c r="C239" s="132" t="str">
        <f>IFERROR(INDEX('كشف الحساب'!$C$4:$C$254,MATCH(30,'كشف الحساب'!$Q$4:$Q$254,0)),"")</f>
        <v/>
      </c>
      <c r="D239" s="134" t="str">
        <f>IFERROR(INDEX('كشف الحساب'!$D$4:$D$254,MATCH(30,'كشف الحساب'!$Q$4:$Q$254,0)),"")</f>
        <v/>
      </c>
      <c r="E239" s="135" t="str">
        <f>IFERROR(INDEX('كشف الحساب'!$G$4:$G$254,MATCH(30,'كشف الحساب'!$Q$4:$Q$254,0)),"")</f>
        <v/>
      </c>
      <c r="F239" s="132"/>
    </row>
    <row r="240" spans="1:6" ht="18" customHeight="1" x14ac:dyDescent="0.25">
      <c r="A240" s="143" t="str">
        <f>IFERROR(INDEX('كشف الحساب'!$A$4:$A$254,MATCH(31,'كشف الحساب'!$Q$4:$Q$254,0)),"")</f>
        <v/>
      </c>
      <c r="B240" s="133" t="str">
        <f>IFERROR(INDEX('كشف الحساب'!$B$4:$B$254,MATCH(31,'كشف الحساب'!$Q$4:$Q$254,0)),"")</f>
        <v/>
      </c>
      <c r="C240" s="132" t="str">
        <f>IFERROR(INDEX('كشف الحساب'!$C$4:$C$254,MATCH(31,'كشف الحساب'!$Q$4:$Q$254,0)),"")</f>
        <v/>
      </c>
      <c r="D240" s="134" t="str">
        <f>IFERROR(INDEX('كشف الحساب'!$D$4:$D$254,MATCH(31,'كشف الحساب'!$Q$4:$Q$254,0)),"")</f>
        <v/>
      </c>
      <c r="E240" s="135" t="str">
        <f>IFERROR(INDEX('كشف الحساب'!$G$4:$G$254,MATCH(31,'كشف الحساب'!$Q$4:$Q$254,0)),"")</f>
        <v/>
      </c>
      <c r="F240" s="132"/>
    </row>
    <row r="241" spans="1:6" ht="18" customHeight="1" x14ac:dyDescent="0.25">
      <c r="A241" s="143" t="str">
        <f>IFERROR(INDEX('كشف الحساب'!$A$4:$A$254,MATCH(32,'كشف الحساب'!$Q$4:$Q$254,0)),"")</f>
        <v/>
      </c>
      <c r="B241" s="133" t="str">
        <f>IFERROR(INDEX('كشف الحساب'!$B$4:$B$254,MATCH(32,'كشف الحساب'!$Q$4:$Q$254,0)),"")</f>
        <v/>
      </c>
      <c r="C241" s="132" t="str">
        <f>IFERROR(INDEX('كشف الحساب'!$C$4:$C$254,MATCH(32,'كشف الحساب'!$Q$4:$Q$254,0)),"")</f>
        <v/>
      </c>
      <c r="D241" s="134" t="str">
        <f>IFERROR(INDEX('كشف الحساب'!$D$4:$D$254,MATCH(32,'كشف الحساب'!$Q$4:$Q$254,0)),"")</f>
        <v/>
      </c>
      <c r="E241" s="135" t="str">
        <f>IFERROR(INDEX('كشف الحساب'!$G$4:$G$254,MATCH(32,'كشف الحساب'!$Q$4:$Q$254,0)),"")</f>
        <v/>
      </c>
      <c r="F241" s="132"/>
    </row>
    <row r="242" spans="1:6" ht="18" customHeight="1" x14ac:dyDescent="0.25">
      <c r="A242" s="143" t="str">
        <f>IFERROR(INDEX('كشف الحساب'!$A$4:$A$254,MATCH(33,'كشف الحساب'!$Q$4:$Q$254,0)),"")</f>
        <v/>
      </c>
      <c r="B242" s="133" t="str">
        <f>IFERROR(INDEX('كشف الحساب'!$B$4:$B$254,MATCH(33,'كشف الحساب'!$Q$4:$Q$254,0)),"")</f>
        <v/>
      </c>
      <c r="C242" s="132" t="str">
        <f>IFERROR(INDEX('كشف الحساب'!$C$4:$C$254,MATCH(33,'كشف الحساب'!$Q$4:$Q$254,0)),"")</f>
        <v/>
      </c>
      <c r="D242" s="134" t="str">
        <f>IFERROR(INDEX('كشف الحساب'!$D$4:$D$254,MATCH(33,'كشف الحساب'!$Q$4:$Q$254,0)),"")</f>
        <v/>
      </c>
      <c r="E242" s="135" t="str">
        <f>IFERROR(INDEX('كشف الحساب'!$G$4:$G$254,MATCH(33,'كشف الحساب'!$Q$4:$Q$254,0)),"")</f>
        <v/>
      </c>
      <c r="F242" s="132"/>
    </row>
    <row r="243" spans="1:6" ht="18" customHeight="1" x14ac:dyDescent="0.25">
      <c r="A243" s="143" t="str">
        <f>IFERROR(INDEX('كشف الحساب'!$A$4:$A$254,MATCH(34,'كشف الحساب'!$Q$4:$Q$254,0)),"")</f>
        <v/>
      </c>
      <c r="B243" s="133" t="str">
        <f>IFERROR(INDEX('كشف الحساب'!$B$4:$B$254,MATCH(34,'كشف الحساب'!$Q$4:$Q$254,0)),"")</f>
        <v/>
      </c>
      <c r="C243" s="132" t="str">
        <f>IFERROR(INDEX('كشف الحساب'!$C$4:$C$254,MATCH(34,'كشف الحساب'!$Q$4:$Q$254,0)),"")</f>
        <v/>
      </c>
      <c r="D243" s="134" t="str">
        <f>IFERROR(INDEX('كشف الحساب'!$D$4:$D$254,MATCH(34,'كشف الحساب'!$Q$4:$Q$254,0)),"")</f>
        <v/>
      </c>
      <c r="E243" s="135" t="str">
        <f>IFERROR(INDEX('كشف الحساب'!$G$4:$G$254,MATCH(34,'كشف الحساب'!$Q$4:$Q$254,0)),"")</f>
        <v/>
      </c>
      <c r="F243" s="132"/>
    </row>
    <row r="244" spans="1:6" ht="18" customHeight="1" x14ac:dyDescent="0.25">
      <c r="A244" s="143" t="str">
        <f>IFERROR(INDEX('كشف الحساب'!$A$4:$A$254,MATCH(35,'كشف الحساب'!$Q$4:$Q$254,0)),"")</f>
        <v/>
      </c>
      <c r="B244" s="133" t="str">
        <f>IFERROR(INDEX('كشف الحساب'!$B$4:$B$254,MATCH(35,'كشف الحساب'!$Q$4:$Q$254,0)),"")</f>
        <v/>
      </c>
      <c r="C244" s="132" t="str">
        <f>IFERROR(INDEX('كشف الحساب'!$C$4:$C$254,MATCH(35,'كشف الحساب'!$Q$4:$Q$254,0)),"")</f>
        <v/>
      </c>
      <c r="D244" s="134" t="str">
        <f>IFERROR(INDEX('كشف الحساب'!$D$4:$D$254,MATCH(35,'كشف الحساب'!$Q$4:$Q$254,0)),"")</f>
        <v/>
      </c>
      <c r="E244" s="135" t="str">
        <f>IFERROR(INDEX('كشف الحساب'!$G$4:$G$254,MATCH(35,'كشف الحساب'!$Q$4:$Q$254,0)),"")</f>
        <v/>
      </c>
      <c r="F244" s="132"/>
    </row>
    <row r="245" spans="1:6" ht="18" customHeight="1" x14ac:dyDescent="0.25">
      <c r="A245" s="143" t="str">
        <f>IFERROR(INDEX('كشف الحساب'!$A$4:$A$254,MATCH(36,'كشف الحساب'!$Q$4:$Q$254,0)),"")</f>
        <v/>
      </c>
      <c r="B245" s="133" t="str">
        <f>IFERROR(INDEX('كشف الحساب'!$B$4:$B$254,MATCH(36,'كشف الحساب'!$Q$4:$Q$254,0)),"")</f>
        <v/>
      </c>
      <c r="C245" s="132" t="str">
        <f>IFERROR(INDEX('كشف الحساب'!$C$4:$C$254,MATCH(36,'كشف الحساب'!$Q$4:$Q$254,0)),"")</f>
        <v/>
      </c>
      <c r="D245" s="134" t="str">
        <f>IFERROR(INDEX('كشف الحساب'!$D$4:$D$254,MATCH(36,'كشف الحساب'!$Q$4:$Q$254,0)),"")</f>
        <v/>
      </c>
      <c r="E245" s="135" t="str">
        <f>IFERROR(INDEX('كشف الحساب'!$G$4:$G$254,MATCH(36,'كشف الحساب'!$Q$4:$Q$254,0)),"")</f>
        <v/>
      </c>
      <c r="F245" s="132"/>
    </row>
    <row r="246" spans="1:6" ht="18" customHeight="1" x14ac:dyDescent="0.25">
      <c r="A246" s="143" t="str">
        <f>IFERROR(INDEX('كشف الحساب'!$A$4:$A$254,MATCH(37,'كشف الحساب'!$Q$4:$Q$254,0)),"")</f>
        <v/>
      </c>
      <c r="B246" s="133" t="str">
        <f>IFERROR(INDEX('كشف الحساب'!$B$4:$B$254,MATCH(37,'كشف الحساب'!$Q$4:$Q$254,0)),"")</f>
        <v/>
      </c>
      <c r="C246" s="132" t="str">
        <f>IFERROR(INDEX('كشف الحساب'!$C$4:$C$254,MATCH(37,'كشف الحساب'!$Q$4:$Q$254,0)),"")</f>
        <v/>
      </c>
      <c r="D246" s="134" t="str">
        <f>IFERROR(INDEX('كشف الحساب'!$D$4:$D$254,MATCH(37,'كشف الحساب'!$Q$4:$Q$254,0)),"")</f>
        <v/>
      </c>
      <c r="E246" s="135" t="str">
        <f>IFERROR(INDEX('كشف الحساب'!$G$4:$G$254,MATCH(37,'كشف الحساب'!$Q$4:$Q$254,0)),"")</f>
        <v/>
      </c>
      <c r="F246" s="132"/>
    </row>
    <row r="247" spans="1:6" ht="18" customHeight="1" x14ac:dyDescent="0.25">
      <c r="A247" s="143" t="str">
        <f>IFERROR(INDEX('كشف الحساب'!$A$4:$A$254,MATCH(38,'كشف الحساب'!$Q$4:$Q$254,0)),"")</f>
        <v/>
      </c>
      <c r="B247" s="133" t="str">
        <f>IFERROR(INDEX('كشف الحساب'!$B$4:$B$254,MATCH(38,'كشف الحساب'!$Q$4:$Q$254,0)),"")</f>
        <v/>
      </c>
      <c r="C247" s="132" t="str">
        <f>IFERROR(INDEX('كشف الحساب'!$C$4:$C$254,MATCH(38,'كشف الحساب'!$Q$4:$Q$254,0)),"")</f>
        <v/>
      </c>
      <c r="D247" s="134" t="str">
        <f>IFERROR(INDEX('كشف الحساب'!$D$4:$D$254,MATCH(38,'كشف الحساب'!$Q$4:$Q$254,0)),"")</f>
        <v/>
      </c>
      <c r="E247" s="135" t="str">
        <f>IFERROR(INDEX('كشف الحساب'!$G$4:$G$254,MATCH(38,'كشف الحساب'!$Q$4:$Q$254,0)),"")</f>
        <v/>
      </c>
      <c r="F247" s="132"/>
    </row>
    <row r="248" spans="1:6" ht="18" customHeight="1" x14ac:dyDescent="0.25">
      <c r="A248" s="143" t="str">
        <f>IFERROR(INDEX('كشف الحساب'!$A$4:$A$254,MATCH(39,'كشف الحساب'!$Q$4:$Q$254,0)),"")</f>
        <v/>
      </c>
      <c r="B248" s="133" t="str">
        <f>IFERROR(INDEX('كشف الحساب'!$B$4:$B$254,MATCH(39,'كشف الحساب'!$Q$4:$Q$254,0)),"")</f>
        <v/>
      </c>
      <c r="C248" s="132" t="str">
        <f>IFERROR(INDEX('كشف الحساب'!$C$4:$C$254,MATCH(39,'كشف الحساب'!$Q$4:$Q$254,0)),"")</f>
        <v/>
      </c>
      <c r="D248" s="134" t="str">
        <f>IFERROR(INDEX('كشف الحساب'!$D$4:$D$254,MATCH(39,'كشف الحساب'!$Q$4:$Q$254,0)),"")</f>
        <v/>
      </c>
      <c r="E248" s="135" t="str">
        <f>IFERROR(INDEX('كشف الحساب'!$G$4:$G$254,MATCH(39,'كشف الحساب'!$Q$4:$Q$254,0)),"")</f>
        <v/>
      </c>
      <c r="F248" s="132"/>
    </row>
    <row r="249" spans="1:6" ht="18" customHeight="1" x14ac:dyDescent="0.25">
      <c r="A249" s="143" t="str">
        <f>IFERROR(INDEX('كشف الحساب'!$A$4:$A$254,MATCH(40,'كشف الحساب'!$Q$4:$Q$254,0)),"")</f>
        <v/>
      </c>
      <c r="B249" s="133" t="str">
        <f>IFERROR(INDEX('كشف الحساب'!$B$4:$B$254,MATCH(40,'كشف الحساب'!$Q$4:$Q$254,0)),"")</f>
        <v/>
      </c>
      <c r="C249" s="132" t="str">
        <f>IFERROR(INDEX('كشف الحساب'!$C$4:$C$254,MATCH(40,'كشف الحساب'!$Q$4:$Q$254,0)),"")</f>
        <v/>
      </c>
      <c r="D249" s="134" t="str">
        <f>IFERROR(INDEX('كشف الحساب'!$D$4:$D$254,MATCH(40,'كشف الحساب'!$Q$4:$Q$254,0)),"")</f>
        <v/>
      </c>
      <c r="E249" s="135" t="str">
        <f>IFERROR(INDEX('كشف الحساب'!$G$4:$G$254,MATCH(40,'كشف الحساب'!$Q$4:$Q$254,0)),"")</f>
        <v/>
      </c>
      <c r="F249" s="132"/>
    </row>
    <row r="250" spans="1:6" ht="18" customHeight="1" x14ac:dyDescent="0.25">
      <c r="A250" s="143" t="str">
        <f>IFERROR(INDEX('كشف الحساب'!$A$4:$A$254,MATCH(41,'كشف الحساب'!$Q$4:$Q$254,0)),"")</f>
        <v/>
      </c>
      <c r="B250" s="133" t="str">
        <f>IFERROR(INDEX('كشف الحساب'!$B$4:$B$254,MATCH(41,'كشف الحساب'!$Q$4:$Q$254,0)),"")</f>
        <v/>
      </c>
      <c r="C250" s="132" t="str">
        <f>IFERROR(INDEX('كشف الحساب'!$C$4:$C$254,MATCH(41,'كشف الحساب'!$Q$4:$Q$254,0)),"")</f>
        <v/>
      </c>
      <c r="D250" s="134" t="str">
        <f>IFERROR(INDEX('كشف الحساب'!$D$4:$D$254,MATCH(41,'كشف الحساب'!$Q$4:$Q$254,0)),"")</f>
        <v/>
      </c>
      <c r="E250" s="135" t="str">
        <f>IFERROR(INDEX('كشف الحساب'!$G$4:$G$254,MATCH(41,'كشف الحساب'!$Q$4:$Q$254,0)),"")</f>
        <v/>
      </c>
      <c r="F250" s="132"/>
    </row>
    <row r="251" spans="1:6" ht="18" customHeight="1" x14ac:dyDescent="0.25">
      <c r="A251" s="143" t="str">
        <f>IFERROR(INDEX('كشف الحساب'!$A$4:$A$254,MATCH(42,'كشف الحساب'!$Q$4:$Q$254,0)),"")</f>
        <v/>
      </c>
      <c r="B251" s="133" t="str">
        <f>IFERROR(INDEX('كشف الحساب'!$B$4:$B$254,MATCH(42,'كشف الحساب'!$Q$4:$Q$254,0)),"")</f>
        <v/>
      </c>
      <c r="C251" s="132" t="str">
        <f>IFERROR(INDEX('كشف الحساب'!$C$4:$C$254,MATCH(42,'كشف الحساب'!$Q$4:$Q$254,0)),"")</f>
        <v/>
      </c>
      <c r="D251" s="134" t="str">
        <f>IFERROR(INDEX('كشف الحساب'!$D$4:$D$254,MATCH(42,'كشف الحساب'!$Q$4:$Q$254,0)),"")</f>
        <v/>
      </c>
      <c r="E251" s="135" t="str">
        <f>IFERROR(INDEX('كشف الحساب'!$G$4:$G$254,MATCH(42,'كشف الحساب'!$Q$4:$Q$254,0)),"")</f>
        <v/>
      </c>
      <c r="F251" s="132"/>
    </row>
    <row r="252" spans="1:6" ht="18" customHeight="1" x14ac:dyDescent="0.25">
      <c r="A252" s="143" t="str">
        <f>IFERROR(INDEX('كشف الحساب'!$A$4:$A$254,MATCH(43,'كشف الحساب'!$Q$4:$Q$254,0)),"")</f>
        <v/>
      </c>
      <c r="B252" s="133" t="str">
        <f>IFERROR(INDEX('كشف الحساب'!$B$4:$B$254,MATCH(43,'كشف الحساب'!$Q$4:$Q$254,0)),"")</f>
        <v/>
      </c>
      <c r="C252" s="132" t="str">
        <f>IFERROR(INDEX('كشف الحساب'!$C$4:$C$254,MATCH(43,'كشف الحساب'!$Q$4:$Q$254,0)),"")</f>
        <v/>
      </c>
      <c r="D252" s="134" t="str">
        <f>IFERROR(INDEX('كشف الحساب'!$D$4:$D$254,MATCH(43,'كشف الحساب'!$Q$4:$Q$254,0)),"")</f>
        <v/>
      </c>
      <c r="E252" s="135" t="str">
        <f>IFERROR(INDEX('كشف الحساب'!$G$4:$G$254,MATCH(43,'كشف الحساب'!$Q$4:$Q$254,0)),"")</f>
        <v/>
      </c>
      <c r="F252" s="132"/>
    </row>
    <row r="253" spans="1:6" ht="18" customHeight="1" x14ac:dyDescent="0.25">
      <c r="A253" s="143" t="str">
        <f>IFERROR(INDEX('كشف الحساب'!$A$4:$A$254,MATCH(44,'كشف الحساب'!$Q$4:$Q$254,0)),"")</f>
        <v/>
      </c>
      <c r="B253" s="133" t="str">
        <f>IFERROR(INDEX('كشف الحساب'!$B$4:$B$254,MATCH(44,'كشف الحساب'!$Q$4:$Q$254,0)),"")</f>
        <v/>
      </c>
      <c r="C253" s="132" t="str">
        <f>IFERROR(INDEX('كشف الحساب'!$C$4:$C$254,MATCH(44,'كشف الحساب'!$Q$4:$Q$254,0)),"")</f>
        <v/>
      </c>
      <c r="D253" s="134" t="str">
        <f>IFERROR(INDEX('كشف الحساب'!$D$4:$D$254,MATCH(44,'كشف الحساب'!$Q$4:$Q$254,0)),"")</f>
        <v/>
      </c>
      <c r="E253" s="135" t="str">
        <f>IFERROR(INDEX('كشف الحساب'!$G$4:$G$254,MATCH(44,'كشف الحساب'!$Q$4:$Q$254,0)),"")</f>
        <v/>
      </c>
      <c r="F253" s="132"/>
    </row>
    <row r="254" spans="1:6" ht="18" customHeight="1" x14ac:dyDescent="0.25">
      <c r="A254" s="143" t="str">
        <f>IFERROR(INDEX('كشف الحساب'!$A$4:$A$254,MATCH(45,'كشف الحساب'!$Q$4:$Q$254,0)),"")</f>
        <v/>
      </c>
      <c r="B254" s="133" t="str">
        <f>IFERROR(INDEX('كشف الحساب'!$B$4:$B$254,MATCH(45,'كشف الحساب'!$Q$4:$Q$254,0)),"")</f>
        <v/>
      </c>
      <c r="C254" s="132" t="str">
        <f>IFERROR(INDEX('كشف الحساب'!$C$4:$C$254,MATCH(45,'كشف الحساب'!$Q$4:$Q$254,0)),"")</f>
        <v/>
      </c>
      <c r="D254" s="134" t="str">
        <f>IFERROR(INDEX('كشف الحساب'!$D$4:$D$254,MATCH(45,'كشف الحساب'!$Q$4:$Q$254,0)),"")</f>
        <v/>
      </c>
      <c r="E254" s="135" t="str">
        <f>IFERROR(INDEX('كشف الحساب'!$G$4:$G$254,MATCH(45,'كشف الحساب'!$Q$4:$Q$254,0)),"")</f>
        <v/>
      </c>
      <c r="F254" s="132"/>
    </row>
    <row r="255" spans="1:6" ht="18" customHeight="1" x14ac:dyDescent="0.25">
      <c r="A255" s="143" t="str">
        <f>IFERROR(INDEX('كشف الحساب'!$A$4:$A$254,MATCH(46,'كشف الحساب'!$Q$4:$Q$254,0)),"")</f>
        <v/>
      </c>
      <c r="B255" s="133" t="str">
        <f>IFERROR(INDEX('كشف الحساب'!$B$4:$B$254,MATCH(46,'كشف الحساب'!$Q$4:$Q$254,0)),"")</f>
        <v/>
      </c>
      <c r="C255" s="132" t="str">
        <f>IFERROR(INDEX('كشف الحساب'!$C$4:$C$254,MATCH(46,'كشف الحساب'!$Q$4:$Q$254,0)),"")</f>
        <v/>
      </c>
      <c r="D255" s="134" t="str">
        <f>IFERROR(INDEX('كشف الحساب'!$D$4:$D$254,MATCH(46,'كشف الحساب'!$Q$4:$Q$254,0)),"")</f>
        <v/>
      </c>
      <c r="E255" s="135" t="str">
        <f>IFERROR(INDEX('كشف الحساب'!$G$4:$G$254,MATCH(46,'كشف الحساب'!$Q$4:$Q$254,0)),"")</f>
        <v/>
      </c>
      <c r="F255" s="132"/>
    </row>
    <row r="256" spans="1:6" ht="18" customHeight="1" x14ac:dyDescent="0.25">
      <c r="A256" s="143" t="str">
        <f>IFERROR(INDEX('كشف الحساب'!$A$4:$A$254,MATCH(47,'كشف الحساب'!$Q$4:$Q$254,0)),"")</f>
        <v/>
      </c>
      <c r="B256" s="133" t="str">
        <f>IFERROR(INDEX('كشف الحساب'!$B$4:$B$254,MATCH(47,'كشف الحساب'!$Q$4:$Q$254,0)),"")</f>
        <v/>
      </c>
      <c r="C256" s="132" t="str">
        <f>IFERROR(INDEX('كشف الحساب'!$C$4:$C$254,MATCH(47,'كشف الحساب'!$Q$4:$Q$254,0)),"")</f>
        <v/>
      </c>
      <c r="D256" s="134" t="str">
        <f>IFERROR(INDEX('كشف الحساب'!$D$4:$D$254,MATCH(47,'كشف الحساب'!$Q$4:$Q$254,0)),"")</f>
        <v/>
      </c>
      <c r="E256" s="135" t="str">
        <f>IFERROR(INDEX('كشف الحساب'!$G$4:$G$254,MATCH(47,'كشف الحساب'!$Q$4:$Q$254,0)),"")</f>
        <v/>
      </c>
      <c r="F256" s="132"/>
    </row>
    <row r="257" spans="1:6" ht="18" customHeight="1" x14ac:dyDescent="0.25">
      <c r="A257" s="143" t="str">
        <f>IFERROR(INDEX('كشف الحساب'!$A$4:$A$254,MATCH(48,'كشف الحساب'!$Q$4:$Q$254,0)),"")</f>
        <v/>
      </c>
      <c r="B257" s="133" t="str">
        <f>IFERROR(INDEX('كشف الحساب'!$B$4:$B$254,MATCH(48,'كشف الحساب'!$Q$4:$Q$254,0)),"")</f>
        <v/>
      </c>
      <c r="C257" s="132" t="str">
        <f>IFERROR(INDEX('كشف الحساب'!$C$4:$C$254,MATCH(48,'كشف الحساب'!$Q$4:$Q$254,0)),"")</f>
        <v/>
      </c>
      <c r="D257" s="134" t="str">
        <f>IFERROR(INDEX('كشف الحساب'!$D$4:$D$254,MATCH(48,'كشف الحساب'!$Q$4:$Q$254,0)),"")</f>
        <v/>
      </c>
      <c r="E257" s="135" t="str">
        <f>IFERROR(INDEX('كشف الحساب'!$G$4:$G$254,MATCH(48,'كشف الحساب'!$Q$4:$Q$254,0)),"")</f>
        <v/>
      </c>
      <c r="F257" s="132"/>
    </row>
    <row r="258" spans="1:6" ht="18" customHeight="1" x14ac:dyDescent="0.25">
      <c r="A258" s="143" t="str">
        <f>IFERROR(INDEX('كشف الحساب'!$A$4:$A$254,MATCH(49,'كشف الحساب'!$Q$4:$Q$254,0)),"")</f>
        <v/>
      </c>
      <c r="B258" s="133" t="str">
        <f>IFERROR(INDEX('كشف الحساب'!$B$4:$B$254,MATCH(49,'كشف الحساب'!$Q$4:$Q$254,0)),"")</f>
        <v/>
      </c>
      <c r="C258" s="132" t="str">
        <f>IFERROR(INDEX('كشف الحساب'!$C$4:$C$254,MATCH(49,'كشف الحساب'!$Q$4:$Q$254,0)),"")</f>
        <v/>
      </c>
      <c r="D258" s="134" t="str">
        <f>IFERROR(INDEX('كشف الحساب'!$D$4:$D$254,MATCH(49,'كشف الحساب'!$Q$4:$Q$254,0)),"")</f>
        <v/>
      </c>
      <c r="E258" s="135" t="str">
        <f>IFERROR(INDEX('كشف الحساب'!$G$4:$G$254,MATCH(49,'كشف الحساب'!$Q$4:$Q$254,0)),"")</f>
        <v/>
      </c>
      <c r="F258" s="132"/>
    </row>
    <row r="259" spans="1:6" ht="18" customHeight="1" x14ac:dyDescent="0.25">
      <c r="A259" s="143" t="str">
        <f>IFERROR(INDEX('كشف الحساب'!$A$4:$A$254,MATCH(50,'كشف الحساب'!$Q$4:$Q$254,0)),"")</f>
        <v/>
      </c>
      <c r="B259" s="133" t="str">
        <f>IFERROR(INDEX('كشف الحساب'!$B$4:$B$254,MATCH(50,'كشف الحساب'!$Q$4:$Q$254,0)),"")</f>
        <v/>
      </c>
      <c r="C259" s="132" t="str">
        <f>IFERROR(INDEX('كشف الحساب'!$C$4:$C$254,MATCH(50,'كشف الحساب'!$Q$4:$Q$254,0)),"")</f>
        <v/>
      </c>
      <c r="D259" s="134" t="str">
        <f>IFERROR(INDEX('كشف الحساب'!$D$4:$D$254,MATCH(50,'كشف الحساب'!$Q$4:$Q$254,0)),"")</f>
        <v/>
      </c>
      <c r="E259" s="135" t="str">
        <f>IFERROR(INDEX('كشف الحساب'!$G$4:$G$254,MATCH(50,'كشف الحساب'!$Q$4:$Q$254,0)),"")</f>
        <v/>
      </c>
      <c r="F259" s="132"/>
    </row>
    <row r="260" spans="1:6" ht="18" customHeight="1" x14ac:dyDescent="0.25">
      <c r="A260" s="143" t="str">
        <f>IFERROR(INDEX('كشف الحساب'!$A$4:$A$254,MATCH(51,'كشف الحساب'!$Q$4:$Q$254,0)),"")</f>
        <v/>
      </c>
      <c r="B260" s="133" t="str">
        <f>IFERROR(INDEX('كشف الحساب'!$B$4:$B$254,MATCH(51,'كشف الحساب'!$Q$4:$Q$254,0)),"")</f>
        <v/>
      </c>
      <c r="C260" s="132" t="str">
        <f>IFERROR(INDEX('كشف الحساب'!$C$4:$C$254,MATCH(51,'كشف الحساب'!$Q$4:$Q$254,0)),"")</f>
        <v/>
      </c>
      <c r="D260" s="134" t="str">
        <f>IFERROR(INDEX('كشف الحساب'!$D$4:$D$254,MATCH(51,'كشف الحساب'!$Q$4:$Q$254,0)),"")</f>
        <v/>
      </c>
      <c r="E260" s="135" t="str">
        <f>IFERROR(INDEX('كشف الحساب'!$G$4:$G$254,MATCH(51,'كشف الحساب'!$Q$4:$Q$254,0)),"")</f>
        <v/>
      </c>
      <c r="F260" s="132"/>
    </row>
    <row r="261" spans="1:6" ht="18" customHeight="1" x14ac:dyDescent="0.25">
      <c r="A261" s="143" t="str">
        <f>IFERROR(INDEX('كشف الحساب'!$A$4:$A$254,MATCH(52,'كشف الحساب'!$Q$4:$Q$254,0)),"")</f>
        <v/>
      </c>
      <c r="B261" s="133" t="str">
        <f>IFERROR(INDEX('كشف الحساب'!$B$4:$B$254,MATCH(52,'كشف الحساب'!$Q$4:$Q$254,0)),"")</f>
        <v/>
      </c>
      <c r="C261" s="132" t="str">
        <f>IFERROR(INDEX('كشف الحساب'!$C$4:$C$254,MATCH(52,'كشف الحساب'!$Q$4:$Q$254,0)),"")</f>
        <v/>
      </c>
      <c r="D261" s="134" t="str">
        <f>IFERROR(INDEX('كشف الحساب'!$D$4:$D$254,MATCH(52,'كشف الحساب'!$Q$4:$Q$254,0)),"")</f>
        <v/>
      </c>
      <c r="E261" s="135" t="str">
        <f>IFERROR(INDEX('كشف الحساب'!$G$4:$G$254,MATCH(52,'كشف الحساب'!$Q$4:$Q$254,0)),"")</f>
        <v/>
      </c>
      <c r="F261" s="132"/>
    </row>
    <row r="262" spans="1:6" ht="18" customHeight="1" x14ac:dyDescent="0.25">
      <c r="A262" s="143" t="str">
        <f>IFERROR(INDEX('كشف الحساب'!$A$4:$A$254,MATCH(53,'كشف الحساب'!$Q$4:$Q$254,0)),"")</f>
        <v/>
      </c>
      <c r="B262" s="133" t="str">
        <f>IFERROR(INDEX('كشف الحساب'!$B$4:$B$254,MATCH(53,'كشف الحساب'!$Q$4:$Q$254,0)),"")</f>
        <v/>
      </c>
      <c r="C262" s="132" t="str">
        <f>IFERROR(INDEX('كشف الحساب'!$C$4:$C$254,MATCH(53,'كشف الحساب'!$Q$4:$Q$254,0)),"")</f>
        <v/>
      </c>
      <c r="D262" s="134" t="str">
        <f>IFERROR(INDEX('كشف الحساب'!$D$4:$D$254,MATCH(53,'كشف الحساب'!$Q$4:$Q$254,0)),"")</f>
        <v/>
      </c>
      <c r="E262" s="135" t="str">
        <f>IFERROR(INDEX('كشف الحساب'!$G$4:$G$254,MATCH(53,'كشف الحساب'!$Q$4:$Q$254,0)),"")</f>
        <v/>
      </c>
      <c r="F262" s="132"/>
    </row>
    <row r="263" spans="1:6" ht="18" customHeight="1" x14ac:dyDescent="0.25">
      <c r="A263" s="143" t="str">
        <f>IFERROR(INDEX('كشف الحساب'!$A$4:$A$254,MATCH(54,'كشف الحساب'!$Q$4:$Q$254,0)),"")</f>
        <v/>
      </c>
      <c r="B263" s="133" t="str">
        <f>IFERROR(INDEX('كشف الحساب'!$B$4:$B$254,MATCH(54,'كشف الحساب'!$Q$4:$Q$254,0)),"")</f>
        <v/>
      </c>
      <c r="C263" s="132" t="str">
        <f>IFERROR(INDEX('كشف الحساب'!$C$4:$C$254,MATCH(54,'كشف الحساب'!$Q$4:$Q$254,0)),"")</f>
        <v/>
      </c>
      <c r="D263" s="134" t="str">
        <f>IFERROR(INDEX('كشف الحساب'!$D$4:$D$254,MATCH(54,'كشف الحساب'!$Q$4:$Q$254,0)),"")</f>
        <v/>
      </c>
      <c r="E263" s="135" t="str">
        <f>IFERROR(INDEX('كشف الحساب'!$G$4:$G$254,MATCH(54,'كشف الحساب'!$Q$4:$Q$254,0)),"")</f>
        <v/>
      </c>
      <c r="F263" s="132"/>
    </row>
    <row r="264" spans="1:6" ht="18" customHeight="1" x14ac:dyDescent="0.25">
      <c r="A264" s="143" t="str">
        <f>IFERROR(INDEX('كشف الحساب'!$A$4:$A$254,MATCH(55,'كشف الحساب'!$Q$4:$Q$254,0)),"")</f>
        <v/>
      </c>
      <c r="B264" s="133" t="str">
        <f>IFERROR(INDEX('كشف الحساب'!$B$4:$B$254,MATCH(55,'كشف الحساب'!$Q$4:$Q$254,0)),"")</f>
        <v/>
      </c>
      <c r="C264" s="132" t="str">
        <f>IFERROR(INDEX('كشف الحساب'!$C$4:$C$254,MATCH(55,'كشف الحساب'!$Q$4:$Q$254,0)),"")</f>
        <v/>
      </c>
      <c r="D264" s="134" t="str">
        <f>IFERROR(INDEX('كشف الحساب'!$D$4:$D$254,MATCH(55,'كشف الحساب'!$Q$4:$Q$254,0)),"")</f>
        <v/>
      </c>
      <c r="E264" s="135" t="str">
        <f>IFERROR(INDEX('كشف الحساب'!$G$4:$G$254,MATCH(55,'كشف الحساب'!$Q$4:$Q$254,0)),"")</f>
        <v/>
      </c>
      <c r="F264" s="132"/>
    </row>
    <row r="265" spans="1:6" ht="18" customHeight="1" x14ac:dyDescent="0.25">
      <c r="A265" s="143" t="str">
        <f>IFERROR(INDEX('كشف الحساب'!$A$4:$A$254,MATCH(56,'كشف الحساب'!$Q$4:$Q$254,0)),"")</f>
        <v/>
      </c>
      <c r="B265" s="133" t="str">
        <f>IFERROR(INDEX('كشف الحساب'!$B$4:$B$254,MATCH(56,'كشف الحساب'!$Q$4:$Q$254,0)),"")</f>
        <v/>
      </c>
      <c r="C265" s="132" t="str">
        <f>IFERROR(INDEX('كشف الحساب'!$C$4:$C$254,MATCH(56,'كشف الحساب'!$Q$4:$Q$254,0)),"")</f>
        <v/>
      </c>
      <c r="D265" s="134" t="str">
        <f>IFERROR(INDEX('كشف الحساب'!$D$4:$D$254,MATCH(56,'كشف الحساب'!$Q$4:$Q$254,0)),"")</f>
        <v/>
      </c>
      <c r="E265" s="135" t="str">
        <f>IFERROR(INDEX('كشف الحساب'!$G$4:$G$254,MATCH(56,'كشف الحساب'!$Q$4:$Q$254,0)),"")</f>
        <v/>
      </c>
      <c r="F265" s="132"/>
    </row>
    <row r="266" spans="1:6" ht="18" customHeight="1" x14ac:dyDescent="0.25">
      <c r="A266" s="143" t="str">
        <f>IFERROR(INDEX('كشف الحساب'!$A$4:$A$254,MATCH(57,'كشف الحساب'!$Q$4:$Q$254,0)),"")</f>
        <v/>
      </c>
      <c r="B266" s="133" t="str">
        <f>IFERROR(INDEX('كشف الحساب'!$B$4:$B$254,MATCH(57,'كشف الحساب'!$Q$4:$Q$254,0)),"")</f>
        <v/>
      </c>
      <c r="C266" s="132" t="str">
        <f>IFERROR(INDEX('كشف الحساب'!$C$4:$C$254,MATCH(57,'كشف الحساب'!$Q$4:$Q$254,0)),"")</f>
        <v/>
      </c>
      <c r="D266" s="134" t="str">
        <f>IFERROR(INDEX('كشف الحساب'!$D$4:$D$254,MATCH(57,'كشف الحساب'!$Q$4:$Q$254,0)),"")</f>
        <v/>
      </c>
      <c r="E266" s="135" t="str">
        <f>IFERROR(INDEX('كشف الحساب'!$G$4:$G$254,MATCH(57,'كشف الحساب'!$Q$4:$Q$254,0)),"")</f>
        <v/>
      </c>
      <c r="F266" s="132"/>
    </row>
    <row r="267" spans="1:6" ht="18" customHeight="1" x14ac:dyDescent="0.25">
      <c r="A267" s="143" t="str">
        <f>IFERROR(INDEX('كشف الحساب'!$A$4:$A$254,MATCH(58,'كشف الحساب'!$Q$4:$Q$254,0)),"")</f>
        <v/>
      </c>
      <c r="B267" s="133" t="str">
        <f>IFERROR(INDEX('كشف الحساب'!$B$4:$B$254,MATCH(58,'كشف الحساب'!$Q$4:$Q$254,0)),"")</f>
        <v/>
      </c>
      <c r="C267" s="132" t="str">
        <f>IFERROR(INDEX('كشف الحساب'!$C$4:$C$254,MATCH(58,'كشف الحساب'!$Q$4:$Q$254,0)),"")</f>
        <v/>
      </c>
      <c r="D267" s="134" t="str">
        <f>IFERROR(INDEX('كشف الحساب'!$D$4:$D$254,MATCH(58,'كشف الحساب'!$Q$4:$Q$254,0)),"")</f>
        <v/>
      </c>
      <c r="E267" s="135" t="str">
        <f>IFERROR(INDEX('كشف الحساب'!$G$4:$G$254,MATCH(58,'كشف الحساب'!$Q$4:$Q$254,0)),"")</f>
        <v/>
      </c>
      <c r="F267" s="132"/>
    </row>
    <row r="268" spans="1:6" ht="18" customHeight="1" x14ac:dyDescent="0.25">
      <c r="A268" s="143" t="str">
        <f>IFERROR(INDEX('كشف الحساب'!$A$4:$A$254,MATCH(59,'كشف الحساب'!$Q$4:$Q$254,0)),"")</f>
        <v/>
      </c>
      <c r="B268" s="133" t="str">
        <f>IFERROR(INDEX('كشف الحساب'!$B$4:$B$254,MATCH(59,'كشف الحساب'!$Q$4:$Q$254,0)),"")</f>
        <v/>
      </c>
      <c r="C268" s="132" t="str">
        <f>IFERROR(INDEX('كشف الحساب'!$C$4:$C$254,MATCH(59,'كشف الحساب'!$Q$4:$Q$254,0)),"")</f>
        <v/>
      </c>
      <c r="D268" s="134" t="str">
        <f>IFERROR(INDEX('كشف الحساب'!$D$4:$D$254,MATCH(59,'كشف الحساب'!$Q$4:$Q$254,0)),"")</f>
        <v/>
      </c>
      <c r="E268" s="135" t="str">
        <f>IFERROR(INDEX('كشف الحساب'!$G$4:$G$254,MATCH(59,'كشف الحساب'!$Q$4:$Q$254,0)),"")</f>
        <v/>
      </c>
      <c r="F268" s="132"/>
    </row>
    <row r="269" spans="1:6" ht="18" customHeight="1" x14ac:dyDescent="0.25">
      <c r="A269" s="143" t="str">
        <f>IFERROR(INDEX('كشف الحساب'!$A$4:$A$254,MATCH(60,'كشف الحساب'!$Q$4:$Q$254,0)),"")</f>
        <v/>
      </c>
      <c r="B269" s="133" t="str">
        <f>IFERROR(INDEX('كشف الحساب'!$B$4:$B$254,MATCH(60,'كشف الحساب'!$Q$4:$Q$254,0)),"")</f>
        <v/>
      </c>
      <c r="C269" s="132" t="str">
        <f>IFERROR(INDEX('كشف الحساب'!$C$4:$C$254,MATCH(60,'كشف الحساب'!$Q$4:$Q$254,0)),"")</f>
        <v/>
      </c>
      <c r="D269" s="134" t="str">
        <f>IFERROR(INDEX('كشف الحساب'!$D$4:$D$254,MATCH(60,'كشف الحساب'!$Q$4:$Q$254,0)),"")</f>
        <v/>
      </c>
      <c r="E269" s="135" t="str">
        <f>IFERROR(INDEX('كشف الحساب'!$G$4:$G$254,MATCH(60,'كشف الحساب'!$Q$4:$Q$254,0)),"")</f>
        <v/>
      </c>
      <c r="F269" s="132"/>
    </row>
    <row r="270" spans="1:6" ht="18" customHeight="1" x14ac:dyDescent="0.25">
      <c r="A270" s="143" t="str">
        <f>IFERROR(INDEX('كشف الحساب'!$A$4:$A$254,MATCH(61,'كشف الحساب'!$Q$4:$Q$254,0)),"")</f>
        <v/>
      </c>
      <c r="B270" s="133" t="str">
        <f>IFERROR(INDEX('كشف الحساب'!$B$4:$B$254,MATCH(61,'كشف الحساب'!$Q$4:$Q$254,0)),"")</f>
        <v/>
      </c>
      <c r="C270" s="132" t="str">
        <f>IFERROR(INDEX('كشف الحساب'!$C$4:$C$254,MATCH(61,'كشف الحساب'!$Q$4:$Q$254,0)),"")</f>
        <v/>
      </c>
      <c r="D270" s="134" t="str">
        <f>IFERROR(INDEX('كشف الحساب'!$D$4:$D$254,MATCH(61,'كشف الحساب'!$Q$4:$Q$254,0)),"")</f>
        <v/>
      </c>
      <c r="E270" s="135" t="str">
        <f>IFERROR(INDEX('كشف الحساب'!$G$4:$G$254,MATCH(61,'كشف الحساب'!$Q$4:$Q$254,0)),"")</f>
        <v/>
      </c>
      <c r="F270" s="132"/>
    </row>
    <row r="271" spans="1:6" ht="18" customHeight="1" x14ac:dyDescent="0.25">
      <c r="A271" s="143" t="str">
        <f>IFERROR(INDEX('كشف الحساب'!$A$4:$A$254,MATCH(62,'كشف الحساب'!$Q$4:$Q$254,0)),"")</f>
        <v/>
      </c>
      <c r="B271" s="133" t="str">
        <f>IFERROR(INDEX('كشف الحساب'!$B$4:$B$254,MATCH(62,'كشف الحساب'!$Q$4:$Q$254,0)),"")</f>
        <v/>
      </c>
      <c r="C271" s="132" t="str">
        <f>IFERROR(INDEX('كشف الحساب'!$C$4:$C$254,MATCH(62,'كشف الحساب'!$Q$4:$Q$254,0)),"")</f>
        <v/>
      </c>
      <c r="D271" s="134" t="str">
        <f>IFERROR(INDEX('كشف الحساب'!$D$4:$D$254,MATCH(62,'كشف الحساب'!$Q$4:$Q$254,0)),"")</f>
        <v/>
      </c>
      <c r="E271" s="135" t="str">
        <f>IFERROR(INDEX('كشف الحساب'!$G$4:$G$254,MATCH(62,'كشف الحساب'!$Q$4:$Q$254,0)),"")</f>
        <v/>
      </c>
      <c r="F271" s="132"/>
    </row>
    <row r="272" spans="1:6" ht="18" customHeight="1" x14ac:dyDescent="0.25">
      <c r="A272" s="143" t="str">
        <f>IFERROR(INDEX('كشف الحساب'!$A$4:$A$254,MATCH(63,'كشف الحساب'!$Q$4:$Q$254,0)),"")</f>
        <v/>
      </c>
      <c r="B272" s="133" t="str">
        <f>IFERROR(INDEX('كشف الحساب'!$B$4:$B$254,MATCH(63,'كشف الحساب'!$Q$4:$Q$254,0)),"")</f>
        <v/>
      </c>
      <c r="C272" s="132" t="str">
        <f>IFERROR(INDEX('كشف الحساب'!$C$4:$C$254,MATCH(63,'كشف الحساب'!$Q$4:$Q$254,0)),"")</f>
        <v/>
      </c>
      <c r="D272" s="134" t="str">
        <f>IFERROR(INDEX('كشف الحساب'!$D$4:$D$254,MATCH(63,'كشف الحساب'!$Q$4:$Q$254,0)),"")</f>
        <v/>
      </c>
      <c r="E272" s="135" t="str">
        <f>IFERROR(INDEX('كشف الحساب'!$G$4:$G$254,MATCH(63,'كشف الحساب'!$Q$4:$Q$254,0)),"")</f>
        <v/>
      </c>
      <c r="F272" s="132"/>
    </row>
    <row r="273" spans="1:6" ht="18" customHeight="1" x14ac:dyDescent="0.25">
      <c r="A273" s="143" t="str">
        <f>IFERROR(INDEX('كشف الحساب'!$A$4:$A$254,MATCH(64,'كشف الحساب'!$Q$4:$Q$254,0)),"")</f>
        <v/>
      </c>
      <c r="B273" s="133" t="str">
        <f>IFERROR(INDEX('كشف الحساب'!$B$4:$B$254,MATCH(64,'كشف الحساب'!$Q$4:$Q$254,0)),"")</f>
        <v/>
      </c>
      <c r="C273" s="132" t="str">
        <f>IFERROR(INDEX('كشف الحساب'!$C$4:$C$254,MATCH(64,'كشف الحساب'!$Q$4:$Q$254,0)),"")</f>
        <v/>
      </c>
      <c r="D273" s="134" t="str">
        <f>IFERROR(INDEX('كشف الحساب'!$D$4:$D$254,MATCH(64,'كشف الحساب'!$Q$4:$Q$254,0)),"")</f>
        <v/>
      </c>
      <c r="E273" s="135" t="str">
        <f>IFERROR(INDEX('كشف الحساب'!$G$4:$G$254,MATCH(64,'كشف الحساب'!$Q$4:$Q$254,0)),"")</f>
        <v/>
      </c>
      <c r="F273" s="132"/>
    </row>
    <row r="274" spans="1:6" ht="18" customHeight="1" x14ac:dyDescent="0.25">
      <c r="A274" s="143" t="str">
        <f>IFERROR(INDEX('كشف الحساب'!$A$4:$A$254,MATCH(65,'كشف الحساب'!$Q$4:$Q$254,0)),"")</f>
        <v/>
      </c>
      <c r="B274" s="133" t="str">
        <f>IFERROR(INDEX('كشف الحساب'!$B$4:$B$254,MATCH(65,'كشف الحساب'!$Q$4:$Q$254,0)),"")</f>
        <v/>
      </c>
      <c r="C274" s="132" t="str">
        <f>IFERROR(INDEX('كشف الحساب'!$C$4:$C$254,MATCH(65,'كشف الحساب'!$Q$4:$Q$254,0)),"")</f>
        <v/>
      </c>
      <c r="D274" s="134" t="str">
        <f>IFERROR(INDEX('كشف الحساب'!$D$4:$D$254,MATCH(65,'كشف الحساب'!$Q$4:$Q$254,0)),"")</f>
        <v/>
      </c>
      <c r="E274" s="135" t="str">
        <f>IFERROR(INDEX('كشف الحساب'!$G$4:$G$254,MATCH(65,'كشف الحساب'!$Q$4:$Q$254,0)),"")</f>
        <v/>
      </c>
      <c r="F274" s="132"/>
    </row>
    <row r="275" spans="1:6" ht="18" customHeight="1" x14ac:dyDescent="0.25">
      <c r="A275" s="143" t="str">
        <f>IFERROR(INDEX('كشف الحساب'!$A$4:$A$254,MATCH(66,'كشف الحساب'!$Q$4:$Q$254,0)),"")</f>
        <v/>
      </c>
      <c r="B275" s="133" t="str">
        <f>IFERROR(INDEX('كشف الحساب'!$B$4:$B$254,MATCH(66,'كشف الحساب'!$Q$4:$Q$254,0)),"")</f>
        <v/>
      </c>
      <c r="C275" s="132" t="str">
        <f>IFERROR(INDEX('كشف الحساب'!$C$4:$C$254,MATCH(66,'كشف الحساب'!$Q$4:$Q$254,0)),"")</f>
        <v/>
      </c>
      <c r="D275" s="134" t="str">
        <f>IFERROR(INDEX('كشف الحساب'!$D$4:$D$254,MATCH(66,'كشف الحساب'!$Q$4:$Q$254,0)),"")</f>
        <v/>
      </c>
      <c r="E275" s="135" t="str">
        <f>IFERROR(INDEX('كشف الحساب'!$G$4:$G$254,MATCH(66,'كشف الحساب'!$Q$4:$Q$254,0)),"")</f>
        <v/>
      </c>
      <c r="F275" s="132"/>
    </row>
    <row r="276" spans="1:6" ht="18" customHeight="1" x14ac:dyDescent="0.25">
      <c r="A276" s="143" t="str">
        <f>IFERROR(INDEX('كشف الحساب'!$A$4:$A$254,MATCH(67,'كشف الحساب'!$Q$4:$Q$254,0)),"")</f>
        <v/>
      </c>
      <c r="B276" s="133" t="str">
        <f>IFERROR(INDEX('كشف الحساب'!$B$4:$B$254,MATCH(67,'كشف الحساب'!$Q$4:$Q$254,0)),"")</f>
        <v/>
      </c>
      <c r="C276" s="132" t="str">
        <f>IFERROR(INDEX('كشف الحساب'!$C$4:$C$254,MATCH(67,'كشف الحساب'!$Q$4:$Q$254,0)),"")</f>
        <v/>
      </c>
      <c r="D276" s="134" t="str">
        <f>IFERROR(INDEX('كشف الحساب'!$D$4:$D$254,MATCH(67,'كشف الحساب'!$Q$4:$Q$254,0)),"")</f>
        <v/>
      </c>
      <c r="E276" s="135" t="str">
        <f>IFERROR(INDEX('كشف الحساب'!$G$4:$G$254,MATCH(67,'كشف الحساب'!$Q$4:$Q$254,0)),"")</f>
        <v/>
      </c>
      <c r="F276" s="132"/>
    </row>
    <row r="277" spans="1:6" ht="18" customHeight="1" x14ac:dyDescent="0.25">
      <c r="A277" s="143" t="str">
        <f>IFERROR(INDEX('كشف الحساب'!$A$4:$A$254,MATCH(68,'كشف الحساب'!$Q$4:$Q$254,0)),"")</f>
        <v/>
      </c>
      <c r="B277" s="133" t="str">
        <f>IFERROR(INDEX('كشف الحساب'!$B$4:$B$254,MATCH(68,'كشف الحساب'!$Q$4:$Q$254,0)),"")</f>
        <v/>
      </c>
      <c r="C277" s="132" t="str">
        <f>IFERROR(INDEX('كشف الحساب'!$C$4:$C$254,MATCH(68,'كشف الحساب'!$Q$4:$Q$254,0)),"")</f>
        <v/>
      </c>
      <c r="D277" s="134" t="str">
        <f>IFERROR(INDEX('كشف الحساب'!$D$4:$D$254,MATCH(68,'كشف الحساب'!$Q$4:$Q$254,0)),"")</f>
        <v/>
      </c>
      <c r="E277" s="135" t="str">
        <f>IFERROR(INDEX('كشف الحساب'!$G$4:$G$254,MATCH(68,'كشف الحساب'!$Q$4:$Q$254,0)),"")</f>
        <v/>
      </c>
      <c r="F277" s="132"/>
    </row>
    <row r="278" spans="1:6" ht="18" customHeight="1" x14ac:dyDescent="0.25">
      <c r="A278" s="143" t="str">
        <f>IFERROR(INDEX('كشف الحساب'!$A$4:$A$254,MATCH(69,'كشف الحساب'!$Q$4:$Q$254,0)),"")</f>
        <v/>
      </c>
      <c r="B278" s="133" t="str">
        <f>IFERROR(INDEX('كشف الحساب'!$B$4:$B$254,MATCH(69,'كشف الحساب'!$Q$4:$Q$254,0)),"")</f>
        <v/>
      </c>
      <c r="C278" s="132" t="str">
        <f>IFERROR(INDEX('كشف الحساب'!$C$4:$C$254,MATCH(69,'كشف الحساب'!$Q$4:$Q$254,0)),"")</f>
        <v/>
      </c>
      <c r="D278" s="134" t="str">
        <f>IFERROR(INDEX('كشف الحساب'!$D$4:$D$254,MATCH(69,'كشف الحساب'!$Q$4:$Q$254,0)),"")</f>
        <v/>
      </c>
      <c r="E278" s="135" t="str">
        <f>IFERROR(INDEX('كشف الحساب'!$G$4:$G$254,MATCH(69,'كشف الحساب'!$Q$4:$Q$254,0)),"")</f>
        <v/>
      </c>
      <c r="F278" s="132"/>
    </row>
    <row r="279" spans="1:6" ht="18" customHeight="1" x14ac:dyDescent="0.25">
      <c r="A279" s="143" t="str">
        <f>IFERROR(INDEX('كشف الحساب'!$A$4:$A$254,MATCH(70,'كشف الحساب'!$Q$4:$Q$254,0)),"")</f>
        <v/>
      </c>
      <c r="B279" s="133" t="str">
        <f>IFERROR(INDEX('كشف الحساب'!$B$4:$B$254,MATCH(70,'كشف الحساب'!$Q$4:$Q$254,0)),"")</f>
        <v/>
      </c>
      <c r="C279" s="132" t="str">
        <f>IFERROR(INDEX('كشف الحساب'!$C$4:$C$254,MATCH(70,'كشف الحساب'!$Q$4:$Q$254,0)),"")</f>
        <v/>
      </c>
      <c r="D279" s="134" t="str">
        <f>IFERROR(INDEX('كشف الحساب'!$D$4:$D$254,MATCH(70,'كشف الحساب'!$Q$4:$Q$254,0)),"")</f>
        <v/>
      </c>
      <c r="E279" s="135" t="str">
        <f>IFERROR(INDEX('كشف الحساب'!$G$4:$G$254,MATCH(70,'كشف الحساب'!$Q$4:$Q$254,0)),"")</f>
        <v/>
      </c>
      <c r="F279" s="132"/>
    </row>
    <row r="280" spans="1:6" ht="18" customHeight="1" x14ac:dyDescent="0.25">
      <c r="A280" s="143" t="str">
        <f>IFERROR(INDEX('كشف الحساب'!$A$4:$A$254,MATCH(71,'كشف الحساب'!$Q$4:$Q$254,0)),"")</f>
        <v/>
      </c>
      <c r="B280" s="133" t="str">
        <f>IFERROR(INDEX('كشف الحساب'!$B$4:$B$254,MATCH(71,'كشف الحساب'!$Q$4:$Q$254,0)),"")</f>
        <v/>
      </c>
      <c r="C280" s="132" t="str">
        <f>IFERROR(INDEX('كشف الحساب'!$C$4:$C$254,MATCH(71,'كشف الحساب'!$Q$4:$Q$254,0)),"")</f>
        <v/>
      </c>
      <c r="D280" s="134" t="str">
        <f>IFERROR(INDEX('كشف الحساب'!$D$4:$D$254,MATCH(71,'كشف الحساب'!$Q$4:$Q$254,0)),"")</f>
        <v/>
      </c>
      <c r="E280" s="135" t="str">
        <f>IFERROR(INDEX('كشف الحساب'!$G$4:$G$254,MATCH(71,'كشف الحساب'!$Q$4:$Q$254,0)),"")</f>
        <v/>
      </c>
      <c r="F280" s="132"/>
    </row>
    <row r="281" spans="1:6" ht="18" customHeight="1" x14ac:dyDescent="0.25">
      <c r="A281" s="143" t="str">
        <f>IFERROR(INDEX('كشف الحساب'!$A$4:$A$254,MATCH(72,'كشف الحساب'!$Q$4:$Q$254,0)),"")</f>
        <v/>
      </c>
      <c r="B281" s="133" t="str">
        <f>IFERROR(INDEX('كشف الحساب'!$B$4:$B$254,MATCH(72,'كشف الحساب'!$Q$4:$Q$254,0)),"")</f>
        <v/>
      </c>
      <c r="C281" s="132" t="str">
        <f>IFERROR(INDEX('كشف الحساب'!$C$4:$C$254,MATCH(72,'كشف الحساب'!$Q$4:$Q$254,0)),"")</f>
        <v/>
      </c>
      <c r="D281" s="134" t="str">
        <f>IFERROR(INDEX('كشف الحساب'!$D$4:$D$254,MATCH(72,'كشف الحساب'!$Q$4:$Q$254,0)),"")</f>
        <v/>
      </c>
      <c r="E281" s="135" t="str">
        <f>IFERROR(INDEX('كشف الحساب'!$G$4:$G$254,MATCH(72,'كشف الحساب'!$Q$4:$Q$254,0)),"")</f>
        <v/>
      </c>
      <c r="F281" s="132"/>
    </row>
    <row r="282" spans="1:6" ht="18" customHeight="1" x14ac:dyDescent="0.25">
      <c r="A282" s="143" t="str">
        <f>IFERROR(INDEX('كشف الحساب'!$A$4:$A$254,MATCH(73,'كشف الحساب'!$Q$4:$Q$254,0)),"")</f>
        <v/>
      </c>
      <c r="B282" s="133" t="str">
        <f>IFERROR(INDEX('كشف الحساب'!$B$4:$B$254,MATCH(73,'كشف الحساب'!$Q$4:$Q$254,0)),"")</f>
        <v/>
      </c>
      <c r="C282" s="132" t="str">
        <f>IFERROR(INDEX('كشف الحساب'!$C$4:$C$254,MATCH(73,'كشف الحساب'!$Q$4:$Q$254,0)),"")</f>
        <v/>
      </c>
      <c r="D282" s="134" t="str">
        <f>IFERROR(INDEX('كشف الحساب'!$D$4:$D$254,MATCH(73,'كشف الحساب'!$Q$4:$Q$254,0)),"")</f>
        <v/>
      </c>
      <c r="E282" s="135" t="str">
        <f>IFERROR(INDEX('كشف الحساب'!$G$4:$G$254,MATCH(73,'كشف الحساب'!$Q$4:$Q$254,0)),"")</f>
        <v/>
      </c>
      <c r="F282" s="132"/>
    </row>
    <row r="283" spans="1:6" ht="18" customHeight="1" x14ac:dyDescent="0.25">
      <c r="A283" s="143" t="str">
        <f>IFERROR(INDEX('كشف الحساب'!$A$4:$A$254,MATCH(74,'كشف الحساب'!$Q$4:$Q$254,0)),"")</f>
        <v/>
      </c>
      <c r="B283" s="133" t="str">
        <f>IFERROR(INDEX('كشف الحساب'!$B$4:$B$254,MATCH(74,'كشف الحساب'!$Q$4:$Q$254,0)),"")</f>
        <v/>
      </c>
      <c r="C283" s="132" t="str">
        <f>IFERROR(INDEX('كشف الحساب'!$C$4:$C$254,MATCH(74,'كشف الحساب'!$Q$4:$Q$254,0)),"")</f>
        <v/>
      </c>
      <c r="D283" s="134" t="str">
        <f>IFERROR(INDEX('كشف الحساب'!$D$4:$D$254,MATCH(74,'كشف الحساب'!$Q$4:$Q$254,0)),"")</f>
        <v/>
      </c>
      <c r="E283" s="135" t="str">
        <f>IFERROR(INDEX('كشف الحساب'!$G$4:$G$254,MATCH(74,'كشف الحساب'!$Q$4:$Q$254,0)),"")</f>
        <v/>
      </c>
      <c r="F283" s="132"/>
    </row>
    <row r="284" spans="1:6" ht="18" customHeight="1" x14ac:dyDescent="0.25">
      <c r="A284" s="143" t="str">
        <f>IFERROR(INDEX('كشف الحساب'!$A$4:$A$254,MATCH(75,'كشف الحساب'!$Q$4:$Q$254,0)),"")</f>
        <v/>
      </c>
      <c r="B284" s="133" t="str">
        <f>IFERROR(INDEX('كشف الحساب'!$B$4:$B$254,MATCH(75,'كشف الحساب'!$Q$4:$Q$254,0)),"")</f>
        <v/>
      </c>
      <c r="C284" s="132" t="str">
        <f>IFERROR(INDEX('كشف الحساب'!$C$4:$C$254,MATCH(75,'كشف الحساب'!$Q$4:$Q$254,0)),"")</f>
        <v/>
      </c>
      <c r="D284" s="134" t="str">
        <f>IFERROR(INDEX('كشف الحساب'!$D$4:$D$254,MATCH(75,'كشف الحساب'!$Q$4:$Q$254,0)),"")</f>
        <v/>
      </c>
      <c r="E284" s="135" t="str">
        <f>IFERROR(INDEX('كشف الحساب'!$G$4:$G$254,MATCH(75,'كشف الحساب'!$Q$4:$Q$254,0)),"")</f>
        <v/>
      </c>
      <c r="F284" s="132"/>
    </row>
    <row r="285" spans="1:6" ht="18" customHeight="1" x14ac:dyDescent="0.25">
      <c r="A285" s="143" t="str">
        <f>IFERROR(INDEX('كشف الحساب'!$A$4:$A$254,MATCH(76,'كشف الحساب'!$Q$4:$Q$254,0)),"")</f>
        <v/>
      </c>
      <c r="B285" s="133" t="str">
        <f>IFERROR(INDEX('كشف الحساب'!$B$4:$B$254,MATCH(76,'كشف الحساب'!$Q$4:$Q$254,0)),"")</f>
        <v/>
      </c>
      <c r="C285" s="132" t="str">
        <f>IFERROR(INDEX('كشف الحساب'!$C$4:$C$254,MATCH(76,'كشف الحساب'!$Q$4:$Q$254,0)),"")</f>
        <v/>
      </c>
      <c r="D285" s="134" t="str">
        <f>IFERROR(INDEX('كشف الحساب'!$D$4:$D$254,MATCH(76,'كشف الحساب'!$Q$4:$Q$254,0)),"")</f>
        <v/>
      </c>
      <c r="E285" s="135" t="str">
        <f>IFERROR(INDEX('كشف الحساب'!$G$4:$G$254,MATCH(76,'كشف الحساب'!$Q$4:$Q$254,0)),"")</f>
        <v/>
      </c>
      <c r="F285" s="132"/>
    </row>
    <row r="286" spans="1:6" ht="18" customHeight="1" x14ac:dyDescent="0.25">
      <c r="A286" s="143" t="str">
        <f>IFERROR(INDEX('كشف الحساب'!$A$4:$A$254,MATCH(77,'كشف الحساب'!$Q$4:$Q$254,0)),"")</f>
        <v/>
      </c>
      <c r="B286" s="133" t="str">
        <f>IFERROR(INDEX('كشف الحساب'!$B$4:$B$254,MATCH(77,'كشف الحساب'!$Q$4:$Q$254,0)),"")</f>
        <v/>
      </c>
      <c r="C286" s="132" t="str">
        <f>IFERROR(INDEX('كشف الحساب'!$C$4:$C$254,MATCH(77,'كشف الحساب'!$Q$4:$Q$254,0)),"")</f>
        <v/>
      </c>
      <c r="D286" s="134" t="str">
        <f>IFERROR(INDEX('كشف الحساب'!$D$4:$D$254,MATCH(77,'كشف الحساب'!$Q$4:$Q$254,0)),"")</f>
        <v/>
      </c>
      <c r="E286" s="135" t="str">
        <f>IFERROR(INDEX('كشف الحساب'!$G$4:$G$254,MATCH(77,'كشف الحساب'!$Q$4:$Q$254,0)),"")</f>
        <v/>
      </c>
      <c r="F286" s="132"/>
    </row>
    <row r="287" spans="1:6" ht="18" customHeight="1" x14ac:dyDescent="0.25">
      <c r="A287" s="143" t="str">
        <f>IFERROR(INDEX('كشف الحساب'!$A$4:$A$254,MATCH(78,'كشف الحساب'!$Q$4:$Q$254,0)),"")</f>
        <v/>
      </c>
      <c r="B287" s="133" t="str">
        <f>IFERROR(INDEX('كشف الحساب'!$B$4:$B$254,MATCH(78,'كشف الحساب'!$Q$4:$Q$254,0)),"")</f>
        <v/>
      </c>
      <c r="C287" s="132" t="str">
        <f>IFERROR(INDEX('كشف الحساب'!$C$4:$C$254,MATCH(78,'كشف الحساب'!$Q$4:$Q$254,0)),"")</f>
        <v/>
      </c>
      <c r="D287" s="134" t="str">
        <f>IFERROR(INDEX('كشف الحساب'!$D$4:$D$254,MATCH(78,'كشف الحساب'!$Q$4:$Q$254,0)),"")</f>
        <v/>
      </c>
      <c r="E287" s="135" t="str">
        <f>IFERROR(INDEX('كشف الحساب'!$G$4:$G$254,MATCH(78,'كشف الحساب'!$Q$4:$Q$254,0)),"")</f>
        <v/>
      </c>
      <c r="F287" s="132"/>
    </row>
    <row r="288" spans="1:6" ht="18" customHeight="1" x14ac:dyDescent="0.25">
      <c r="A288" s="143" t="str">
        <f>IFERROR(INDEX('كشف الحساب'!$A$4:$A$254,MATCH(79,'كشف الحساب'!$Q$4:$Q$254,0)),"")</f>
        <v/>
      </c>
      <c r="B288" s="133" t="str">
        <f>IFERROR(INDEX('كشف الحساب'!$B$4:$B$254,MATCH(79,'كشف الحساب'!$Q$4:$Q$254,0)),"")</f>
        <v/>
      </c>
      <c r="C288" s="132" t="str">
        <f>IFERROR(INDEX('كشف الحساب'!$C$4:$C$254,MATCH(79,'كشف الحساب'!$Q$4:$Q$254,0)),"")</f>
        <v/>
      </c>
      <c r="D288" s="134" t="str">
        <f>IFERROR(INDEX('كشف الحساب'!$D$4:$D$254,MATCH(79,'كشف الحساب'!$Q$4:$Q$254,0)),"")</f>
        <v/>
      </c>
      <c r="E288" s="135" t="str">
        <f>IFERROR(INDEX('كشف الحساب'!$G$4:$G$254,MATCH(79,'كشف الحساب'!$Q$4:$Q$254,0)),"")</f>
        <v/>
      </c>
      <c r="F288" s="132"/>
    </row>
    <row r="289" spans="1:6" ht="18" customHeight="1" x14ac:dyDescent="0.25">
      <c r="A289" s="143" t="str">
        <f>IFERROR(INDEX('كشف الحساب'!$A$4:$A$254,MATCH(80,'كشف الحساب'!$Q$4:$Q$254,0)),"")</f>
        <v/>
      </c>
      <c r="B289" s="133" t="str">
        <f>IFERROR(INDEX('كشف الحساب'!$B$4:$B$254,MATCH(80,'كشف الحساب'!$Q$4:$Q$254,0)),"")</f>
        <v/>
      </c>
      <c r="C289" s="132" t="str">
        <f>IFERROR(INDEX('كشف الحساب'!$C$4:$C$254,MATCH(80,'كشف الحساب'!$Q$4:$Q$254,0)),"")</f>
        <v/>
      </c>
      <c r="D289" s="134" t="str">
        <f>IFERROR(INDEX('كشف الحساب'!$D$4:$D$254,MATCH(80,'كشف الحساب'!$Q$4:$Q$254,0)),"")</f>
        <v/>
      </c>
      <c r="E289" s="135" t="str">
        <f>IFERROR(INDEX('كشف الحساب'!$G$4:$G$254,MATCH(80,'كشف الحساب'!$Q$4:$Q$254,0)),"")</f>
        <v/>
      </c>
      <c r="F289" s="132"/>
    </row>
    <row r="290" spans="1:6" ht="18" customHeight="1" x14ac:dyDescent="0.25">
      <c r="A290" s="143" t="str">
        <f>IFERROR(INDEX('كشف الحساب'!$A$4:$A$254,MATCH(81,'كشف الحساب'!$Q$4:$Q$254,0)),"")</f>
        <v/>
      </c>
      <c r="B290" s="133" t="str">
        <f>IFERROR(INDEX('كشف الحساب'!$B$4:$B$254,MATCH(81,'كشف الحساب'!$Q$4:$Q$254,0)),"")</f>
        <v/>
      </c>
      <c r="C290" s="132" t="str">
        <f>IFERROR(INDEX('كشف الحساب'!$C$4:$C$254,MATCH(81,'كشف الحساب'!$Q$4:$Q$254,0)),"")</f>
        <v/>
      </c>
      <c r="D290" s="134" t="str">
        <f>IFERROR(INDEX('كشف الحساب'!$D$4:$D$254,MATCH(81,'كشف الحساب'!$Q$4:$Q$254,0)),"")</f>
        <v/>
      </c>
      <c r="E290" s="135" t="str">
        <f>IFERROR(INDEX('كشف الحساب'!$G$4:$G$254,MATCH(81,'كشف الحساب'!$Q$4:$Q$254,0)),"")</f>
        <v/>
      </c>
      <c r="F290" s="132"/>
    </row>
    <row r="291" spans="1:6" ht="18" customHeight="1" x14ac:dyDescent="0.25">
      <c r="A291" s="143" t="str">
        <f>IFERROR(INDEX('كشف الحساب'!$A$4:$A$254,MATCH(82,'كشف الحساب'!$Q$4:$Q$254,0)),"")</f>
        <v/>
      </c>
      <c r="B291" s="133" t="str">
        <f>IFERROR(INDEX('كشف الحساب'!$B$4:$B$254,MATCH(82,'كشف الحساب'!$Q$4:$Q$254,0)),"")</f>
        <v/>
      </c>
      <c r="C291" s="132" t="str">
        <f>IFERROR(INDEX('كشف الحساب'!$C$4:$C$254,MATCH(82,'كشف الحساب'!$Q$4:$Q$254,0)),"")</f>
        <v/>
      </c>
      <c r="D291" s="134" t="str">
        <f>IFERROR(INDEX('كشف الحساب'!$D$4:$D$254,MATCH(82,'كشف الحساب'!$Q$4:$Q$254,0)),"")</f>
        <v/>
      </c>
      <c r="E291" s="135" t="str">
        <f>IFERROR(INDEX('كشف الحساب'!$G$4:$G$254,MATCH(82,'كشف الحساب'!$Q$4:$Q$254,0)),"")</f>
        <v/>
      </c>
      <c r="F291" s="132"/>
    </row>
    <row r="292" spans="1:6" ht="18" customHeight="1" x14ac:dyDescent="0.25">
      <c r="A292" s="143" t="str">
        <f>IFERROR(INDEX('كشف الحساب'!$A$4:$A$254,MATCH(83,'كشف الحساب'!$Q$4:$Q$254,0)),"")</f>
        <v/>
      </c>
      <c r="B292" s="133" t="str">
        <f>IFERROR(INDEX('كشف الحساب'!$B$4:$B$254,MATCH(83,'كشف الحساب'!$Q$4:$Q$254,0)),"")</f>
        <v/>
      </c>
      <c r="C292" s="132" t="str">
        <f>IFERROR(INDEX('كشف الحساب'!$C$4:$C$254,MATCH(83,'كشف الحساب'!$Q$4:$Q$254,0)),"")</f>
        <v/>
      </c>
      <c r="D292" s="134" t="str">
        <f>IFERROR(INDEX('كشف الحساب'!$D$4:$D$254,MATCH(83,'كشف الحساب'!$Q$4:$Q$254,0)),"")</f>
        <v/>
      </c>
      <c r="E292" s="135" t="str">
        <f>IFERROR(INDEX('كشف الحساب'!$G$4:$G$254,MATCH(83,'كشف الحساب'!$Q$4:$Q$254,0)),"")</f>
        <v/>
      </c>
      <c r="F292" s="132"/>
    </row>
    <row r="293" spans="1:6" ht="18" customHeight="1" x14ac:dyDescent="0.25">
      <c r="A293" s="143" t="str">
        <f>IFERROR(INDEX('كشف الحساب'!$A$4:$A$254,MATCH(84,'كشف الحساب'!$Q$4:$Q$254,0)),"")</f>
        <v/>
      </c>
      <c r="B293" s="133" t="str">
        <f>IFERROR(INDEX('كشف الحساب'!$B$4:$B$254,MATCH(84,'كشف الحساب'!$Q$4:$Q$254,0)),"")</f>
        <v/>
      </c>
      <c r="C293" s="132" t="str">
        <f>IFERROR(INDEX('كشف الحساب'!$C$4:$C$254,MATCH(84,'كشف الحساب'!$Q$4:$Q$254,0)),"")</f>
        <v/>
      </c>
      <c r="D293" s="134" t="str">
        <f>IFERROR(INDEX('كشف الحساب'!$D$4:$D$254,MATCH(84,'كشف الحساب'!$Q$4:$Q$254,0)),"")</f>
        <v/>
      </c>
      <c r="E293" s="135" t="str">
        <f>IFERROR(INDEX('كشف الحساب'!$G$4:$G$254,MATCH(84,'كشف الحساب'!$Q$4:$Q$254,0)),"")</f>
        <v/>
      </c>
      <c r="F293" s="132"/>
    </row>
    <row r="294" spans="1:6" ht="18" customHeight="1" x14ac:dyDescent="0.25">
      <c r="A294" s="143" t="str">
        <f>IFERROR(INDEX('كشف الحساب'!$A$4:$A$254,MATCH(85,'كشف الحساب'!$Q$4:$Q$254,0)),"")</f>
        <v/>
      </c>
      <c r="B294" s="133" t="str">
        <f>IFERROR(INDEX('كشف الحساب'!$B$4:$B$254,MATCH(85,'كشف الحساب'!$Q$4:$Q$254,0)),"")</f>
        <v/>
      </c>
      <c r="C294" s="132" t="str">
        <f>IFERROR(INDEX('كشف الحساب'!$C$4:$C$254,MATCH(85,'كشف الحساب'!$Q$4:$Q$254,0)),"")</f>
        <v/>
      </c>
      <c r="D294" s="134" t="str">
        <f>IFERROR(INDEX('كشف الحساب'!$D$4:$D$254,MATCH(85,'كشف الحساب'!$Q$4:$Q$254,0)),"")</f>
        <v/>
      </c>
      <c r="E294" s="135" t="str">
        <f>IFERROR(INDEX('كشف الحساب'!$G$4:$G$254,MATCH(85,'كشف الحساب'!$Q$4:$Q$254,0)),"")</f>
        <v/>
      </c>
      <c r="F294" s="132"/>
    </row>
    <row r="295" spans="1:6" ht="18" customHeight="1" x14ac:dyDescent="0.25">
      <c r="A295" s="143" t="str">
        <f>IFERROR(INDEX('كشف الحساب'!$A$4:$A$254,MATCH(86,'كشف الحساب'!$Q$4:$Q$254,0)),"")</f>
        <v/>
      </c>
      <c r="B295" s="133" t="str">
        <f>IFERROR(INDEX('كشف الحساب'!$B$4:$B$254,MATCH(86,'كشف الحساب'!$Q$4:$Q$254,0)),"")</f>
        <v/>
      </c>
      <c r="C295" s="132" t="str">
        <f>IFERROR(INDEX('كشف الحساب'!$C$4:$C$254,MATCH(86,'كشف الحساب'!$Q$4:$Q$254,0)),"")</f>
        <v/>
      </c>
      <c r="D295" s="134" t="str">
        <f>IFERROR(INDEX('كشف الحساب'!$D$4:$D$254,MATCH(86,'كشف الحساب'!$Q$4:$Q$254,0)),"")</f>
        <v/>
      </c>
      <c r="E295" s="135" t="str">
        <f>IFERROR(INDEX('كشف الحساب'!$G$4:$G$254,MATCH(86,'كشف الحساب'!$Q$4:$Q$254,0)),"")</f>
        <v/>
      </c>
      <c r="F295" s="132"/>
    </row>
    <row r="296" spans="1:6" ht="18" customHeight="1" x14ac:dyDescent="0.25">
      <c r="A296" s="143" t="str">
        <f>IFERROR(INDEX('كشف الحساب'!$A$4:$A$254,MATCH(87,'كشف الحساب'!$Q$4:$Q$254,0)),"")</f>
        <v/>
      </c>
      <c r="B296" s="133" t="str">
        <f>IFERROR(INDEX('كشف الحساب'!$B$4:$B$254,MATCH(87,'كشف الحساب'!$Q$4:$Q$254,0)),"")</f>
        <v/>
      </c>
      <c r="C296" s="132" t="str">
        <f>IFERROR(INDEX('كشف الحساب'!$C$4:$C$254,MATCH(87,'كشف الحساب'!$Q$4:$Q$254,0)),"")</f>
        <v/>
      </c>
      <c r="D296" s="134" t="str">
        <f>IFERROR(INDEX('كشف الحساب'!$D$4:$D$254,MATCH(87,'كشف الحساب'!$Q$4:$Q$254,0)),"")</f>
        <v/>
      </c>
      <c r="E296" s="135" t="str">
        <f>IFERROR(INDEX('كشف الحساب'!$G$4:$G$254,MATCH(87,'كشف الحساب'!$Q$4:$Q$254,0)),"")</f>
        <v/>
      </c>
      <c r="F296" s="132"/>
    </row>
    <row r="297" spans="1:6" ht="18" customHeight="1" x14ac:dyDescent="0.25">
      <c r="A297" s="143" t="str">
        <f>IFERROR(INDEX('كشف الحساب'!$A$4:$A$254,MATCH(88,'كشف الحساب'!$Q$4:$Q$254,0)),"")</f>
        <v/>
      </c>
      <c r="B297" s="133" t="str">
        <f>IFERROR(INDEX('كشف الحساب'!$B$4:$B$254,MATCH(88,'كشف الحساب'!$Q$4:$Q$254,0)),"")</f>
        <v/>
      </c>
      <c r="C297" s="132" t="str">
        <f>IFERROR(INDEX('كشف الحساب'!$C$4:$C$254,MATCH(88,'كشف الحساب'!$Q$4:$Q$254,0)),"")</f>
        <v/>
      </c>
      <c r="D297" s="134" t="str">
        <f>IFERROR(INDEX('كشف الحساب'!$D$4:$D$254,MATCH(88,'كشف الحساب'!$Q$4:$Q$254,0)),"")</f>
        <v/>
      </c>
      <c r="E297" s="135" t="str">
        <f>IFERROR(INDEX('كشف الحساب'!$G$4:$G$254,MATCH(88,'كشف الحساب'!$Q$4:$Q$254,0)),"")</f>
        <v/>
      </c>
      <c r="F297" s="132"/>
    </row>
    <row r="298" spans="1:6" ht="18" customHeight="1" x14ac:dyDescent="0.25">
      <c r="A298" s="143" t="str">
        <f>IFERROR(INDEX('كشف الحساب'!$A$4:$A$254,MATCH(89,'كشف الحساب'!$Q$4:$Q$254,0)),"")</f>
        <v/>
      </c>
      <c r="B298" s="133" t="str">
        <f>IFERROR(INDEX('كشف الحساب'!$B$4:$B$254,MATCH(89,'كشف الحساب'!$Q$4:$Q$254,0)),"")</f>
        <v/>
      </c>
      <c r="C298" s="132" t="str">
        <f>IFERROR(INDEX('كشف الحساب'!$C$4:$C$254,MATCH(89,'كشف الحساب'!$Q$4:$Q$254,0)),"")</f>
        <v/>
      </c>
      <c r="D298" s="134" t="str">
        <f>IFERROR(INDEX('كشف الحساب'!$D$4:$D$254,MATCH(89,'كشف الحساب'!$Q$4:$Q$254,0)),"")</f>
        <v/>
      </c>
      <c r="E298" s="135" t="str">
        <f>IFERROR(INDEX('كشف الحساب'!$G$4:$G$254,MATCH(89,'كشف الحساب'!$Q$4:$Q$254,0)),"")</f>
        <v/>
      </c>
      <c r="F298" s="132"/>
    </row>
    <row r="299" spans="1:6" ht="18" customHeight="1" x14ac:dyDescent="0.25">
      <c r="A299" s="143" t="str">
        <f>IFERROR(INDEX('كشف الحساب'!$A$4:$A$254,MATCH(90,'كشف الحساب'!$Q$4:$Q$254,0)),"")</f>
        <v/>
      </c>
      <c r="B299" s="133" t="str">
        <f>IFERROR(INDEX('كشف الحساب'!$B$4:$B$254,MATCH(90,'كشف الحساب'!$Q$4:$Q$254,0)),"")</f>
        <v/>
      </c>
      <c r="C299" s="132" t="str">
        <f>IFERROR(INDEX('كشف الحساب'!$C$4:$C$254,MATCH(90,'كشف الحساب'!$Q$4:$Q$254,0)),"")</f>
        <v/>
      </c>
      <c r="D299" s="134" t="str">
        <f>IFERROR(INDEX('كشف الحساب'!$D$4:$D$254,MATCH(90,'كشف الحساب'!$Q$4:$Q$254,0)),"")</f>
        <v/>
      </c>
      <c r="E299" s="135" t="str">
        <f>IFERROR(INDEX('كشف الحساب'!$G$4:$G$254,MATCH(90,'كشف الحساب'!$Q$4:$Q$254,0)),"")</f>
        <v/>
      </c>
      <c r="F299" s="132"/>
    </row>
    <row r="300" spans="1:6" ht="18" customHeight="1" x14ac:dyDescent="0.25">
      <c r="A300" s="143" t="str">
        <f>IFERROR(INDEX('كشف الحساب'!$A$4:$A$254,MATCH(91,'كشف الحساب'!$Q$4:$Q$254,0)),"")</f>
        <v/>
      </c>
      <c r="B300" s="133" t="str">
        <f>IFERROR(INDEX('كشف الحساب'!$B$4:$B$254,MATCH(91,'كشف الحساب'!$Q$4:$Q$254,0)),"")</f>
        <v/>
      </c>
      <c r="C300" s="132" t="str">
        <f>IFERROR(INDEX('كشف الحساب'!$C$4:$C$254,MATCH(91,'كشف الحساب'!$Q$4:$Q$254,0)),"")</f>
        <v/>
      </c>
      <c r="D300" s="134" t="str">
        <f>IFERROR(INDEX('كشف الحساب'!$D$4:$D$254,MATCH(91,'كشف الحساب'!$Q$4:$Q$254,0)),"")</f>
        <v/>
      </c>
      <c r="E300" s="135" t="str">
        <f>IFERROR(INDEX('كشف الحساب'!$G$4:$G$254,MATCH(91,'كشف الحساب'!$Q$4:$Q$254,0)),"")</f>
        <v/>
      </c>
      <c r="F300" s="132"/>
    </row>
    <row r="301" spans="1:6" ht="18" customHeight="1" x14ac:dyDescent="0.25">
      <c r="A301" s="143" t="str">
        <f>IFERROR(INDEX('كشف الحساب'!$A$4:$A$254,MATCH(92,'كشف الحساب'!$Q$4:$Q$254,0)),"")</f>
        <v/>
      </c>
      <c r="B301" s="133" t="str">
        <f>IFERROR(INDEX('كشف الحساب'!$B$4:$B$254,MATCH(92,'كشف الحساب'!$Q$4:$Q$254,0)),"")</f>
        <v/>
      </c>
      <c r="C301" s="132" t="str">
        <f>IFERROR(INDEX('كشف الحساب'!$C$4:$C$254,MATCH(92,'كشف الحساب'!$Q$4:$Q$254,0)),"")</f>
        <v/>
      </c>
      <c r="D301" s="134" t="str">
        <f>IFERROR(INDEX('كشف الحساب'!$D$4:$D$254,MATCH(92,'كشف الحساب'!$Q$4:$Q$254,0)),"")</f>
        <v/>
      </c>
      <c r="E301" s="135" t="str">
        <f>IFERROR(INDEX('كشف الحساب'!$G$4:$G$254,MATCH(92,'كشف الحساب'!$Q$4:$Q$254,0)),"")</f>
        <v/>
      </c>
      <c r="F301" s="132"/>
    </row>
    <row r="302" spans="1:6" ht="18" customHeight="1" x14ac:dyDescent="0.25">
      <c r="A302" s="143" t="str">
        <f>IFERROR(INDEX('كشف الحساب'!$A$4:$A$254,MATCH(93,'كشف الحساب'!$Q$4:$Q$254,0)),"")</f>
        <v/>
      </c>
      <c r="B302" s="133" t="str">
        <f>IFERROR(INDEX('كشف الحساب'!$B$4:$B$254,MATCH(93,'كشف الحساب'!$Q$4:$Q$254,0)),"")</f>
        <v/>
      </c>
      <c r="C302" s="132" t="str">
        <f>IFERROR(INDEX('كشف الحساب'!$C$4:$C$254,MATCH(93,'كشف الحساب'!$Q$4:$Q$254,0)),"")</f>
        <v/>
      </c>
      <c r="D302" s="134" t="str">
        <f>IFERROR(INDEX('كشف الحساب'!$D$4:$D$254,MATCH(93,'كشف الحساب'!$Q$4:$Q$254,0)),"")</f>
        <v/>
      </c>
      <c r="E302" s="135" t="str">
        <f>IFERROR(INDEX('كشف الحساب'!$G$4:$G$254,MATCH(93,'كشف الحساب'!$Q$4:$Q$254,0)),"")</f>
        <v/>
      </c>
      <c r="F302" s="132"/>
    </row>
    <row r="303" spans="1:6" ht="18" customHeight="1" x14ac:dyDescent="0.25">
      <c r="A303" s="143" t="str">
        <f>IFERROR(INDEX('كشف الحساب'!$A$4:$A$254,MATCH(94,'كشف الحساب'!$Q$4:$Q$254,0)),"")</f>
        <v/>
      </c>
      <c r="B303" s="133" t="str">
        <f>IFERROR(INDEX('كشف الحساب'!$B$4:$B$254,MATCH(94,'كشف الحساب'!$Q$4:$Q$254,0)),"")</f>
        <v/>
      </c>
      <c r="C303" s="132" t="str">
        <f>IFERROR(INDEX('كشف الحساب'!$C$4:$C$254,MATCH(94,'كشف الحساب'!$Q$4:$Q$254,0)),"")</f>
        <v/>
      </c>
      <c r="D303" s="134" t="str">
        <f>IFERROR(INDEX('كشف الحساب'!$D$4:$D$254,MATCH(94,'كشف الحساب'!$Q$4:$Q$254,0)),"")</f>
        <v/>
      </c>
      <c r="E303" s="135" t="str">
        <f>IFERROR(INDEX('كشف الحساب'!$G$4:$G$254,MATCH(94,'كشف الحساب'!$Q$4:$Q$254,0)),"")</f>
        <v/>
      </c>
      <c r="F303" s="132"/>
    </row>
    <row r="304" spans="1:6" ht="18" customHeight="1" x14ac:dyDescent="0.25">
      <c r="A304" s="143" t="str">
        <f>IFERROR(INDEX('كشف الحساب'!$A$4:$A$254,MATCH(95,'كشف الحساب'!$Q$4:$Q$254,0)),"")</f>
        <v/>
      </c>
      <c r="B304" s="133" t="str">
        <f>IFERROR(INDEX('كشف الحساب'!$B$4:$B$254,MATCH(95,'كشف الحساب'!$Q$4:$Q$254,0)),"")</f>
        <v/>
      </c>
      <c r="C304" s="132" t="str">
        <f>IFERROR(INDEX('كشف الحساب'!$C$4:$C$254,MATCH(95,'كشف الحساب'!$Q$4:$Q$254,0)),"")</f>
        <v/>
      </c>
      <c r="D304" s="134" t="str">
        <f>IFERROR(INDEX('كشف الحساب'!$D$4:$D$254,MATCH(95,'كشف الحساب'!$Q$4:$Q$254,0)),"")</f>
        <v/>
      </c>
      <c r="E304" s="135" t="str">
        <f>IFERROR(INDEX('كشف الحساب'!$G$4:$G$254,MATCH(95,'كشف الحساب'!$Q$4:$Q$254,0)),"")</f>
        <v/>
      </c>
      <c r="F304" s="132"/>
    </row>
    <row r="305" spans="1:6" ht="18" customHeight="1" x14ac:dyDescent="0.25">
      <c r="A305" s="143" t="str">
        <f>IFERROR(INDEX('كشف الحساب'!$A$4:$A$254,MATCH(96,'كشف الحساب'!$Q$4:$Q$254,0)),"")</f>
        <v/>
      </c>
      <c r="B305" s="133" t="str">
        <f>IFERROR(INDEX('كشف الحساب'!$B$4:$B$254,MATCH(96,'كشف الحساب'!$Q$4:$Q$254,0)),"")</f>
        <v/>
      </c>
      <c r="C305" s="132" t="str">
        <f>IFERROR(INDEX('كشف الحساب'!$C$4:$C$254,MATCH(96,'كشف الحساب'!$Q$4:$Q$254,0)),"")</f>
        <v/>
      </c>
      <c r="D305" s="134" t="str">
        <f>IFERROR(INDEX('كشف الحساب'!$D$4:$D$254,MATCH(96,'كشف الحساب'!$Q$4:$Q$254,0)),"")</f>
        <v/>
      </c>
      <c r="E305" s="135" t="str">
        <f>IFERROR(INDEX('كشف الحساب'!$G$4:$G$254,MATCH(96,'كشف الحساب'!$Q$4:$Q$254,0)),"")</f>
        <v/>
      </c>
      <c r="F305" s="132"/>
    </row>
    <row r="306" spans="1:6" ht="18" customHeight="1" x14ac:dyDescent="0.25">
      <c r="A306" s="143" t="str">
        <f>IFERROR(INDEX('كشف الحساب'!$A$4:$A$254,MATCH(97,'كشف الحساب'!$Q$4:$Q$254,0)),"")</f>
        <v/>
      </c>
      <c r="B306" s="133" t="str">
        <f>IFERROR(INDEX('كشف الحساب'!$B$4:$B$254,MATCH(97,'كشف الحساب'!$Q$4:$Q$254,0)),"")</f>
        <v/>
      </c>
      <c r="C306" s="132" t="str">
        <f>IFERROR(INDEX('كشف الحساب'!$C$4:$C$254,MATCH(97,'كشف الحساب'!$Q$4:$Q$254,0)),"")</f>
        <v/>
      </c>
      <c r="D306" s="134" t="str">
        <f>IFERROR(INDEX('كشف الحساب'!$D$4:$D$254,MATCH(97,'كشف الحساب'!$Q$4:$Q$254,0)),"")</f>
        <v/>
      </c>
      <c r="E306" s="135" t="str">
        <f>IFERROR(INDEX('كشف الحساب'!$G$4:$G$254,MATCH(97,'كشف الحساب'!$Q$4:$Q$254,0)),"")</f>
        <v/>
      </c>
      <c r="F306" s="132"/>
    </row>
    <row r="307" spans="1:6" ht="18" customHeight="1" x14ac:dyDescent="0.25">
      <c r="A307" s="143" t="str">
        <f>IFERROR(INDEX('كشف الحساب'!$A$4:$A$254,MATCH(98,'كشف الحساب'!$Q$4:$Q$254,0)),"")</f>
        <v/>
      </c>
      <c r="B307" s="133" t="str">
        <f>IFERROR(INDEX('كشف الحساب'!$B$4:$B$254,MATCH(98,'كشف الحساب'!$Q$4:$Q$254,0)),"")</f>
        <v/>
      </c>
      <c r="C307" s="132" t="str">
        <f>IFERROR(INDEX('كشف الحساب'!$C$4:$C$254,MATCH(98,'كشف الحساب'!$Q$4:$Q$254,0)),"")</f>
        <v/>
      </c>
      <c r="D307" s="134" t="str">
        <f>IFERROR(INDEX('كشف الحساب'!$D$4:$D$254,MATCH(98,'كشف الحساب'!$Q$4:$Q$254,0)),"")</f>
        <v/>
      </c>
      <c r="E307" s="135" t="str">
        <f>IFERROR(INDEX('كشف الحساب'!$G$4:$G$254,MATCH(98,'كشف الحساب'!$Q$4:$Q$254,0)),"")</f>
        <v/>
      </c>
      <c r="F307" s="132"/>
    </row>
    <row r="308" spans="1:6" ht="18" customHeight="1" x14ac:dyDescent="0.25">
      <c r="A308" s="143" t="str">
        <f>IFERROR(INDEX('كشف الحساب'!$A$4:$A$254,MATCH(99,'كشف الحساب'!$Q$4:$Q$254,0)),"")</f>
        <v/>
      </c>
      <c r="B308" s="133" t="str">
        <f>IFERROR(INDEX('كشف الحساب'!$B$4:$B$254,MATCH(99,'كشف الحساب'!$Q$4:$Q$254,0)),"")</f>
        <v/>
      </c>
      <c r="C308" s="132" t="str">
        <f>IFERROR(INDEX('كشف الحساب'!$C$4:$C$254,MATCH(99,'كشف الحساب'!$Q$4:$Q$254,0)),"")</f>
        <v/>
      </c>
      <c r="D308" s="134" t="str">
        <f>IFERROR(INDEX('كشف الحساب'!$D$4:$D$254,MATCH(99,'كشف الحساب'!$Q$4:$Q$254,0)),"")</f>
        <v/>
      </c>
      <c r="E308" s="135" t="str">
        <f>IFERROR(INDEX('كشف الحساب'!$G$4:$G$254,MATCH(99,'كشف الحساب'!$Q$4:$Q$254,0)),"")</f>
        <v/>
      </c>
      <c r="F308" s="132"/>
    </row>
    <row r="309" spans="1:6" ht="18" customHeight="1" x14ac:dyDescent="0.25">
      <c r="A309" s="143" t="str">
        <f>IFERROR(INDEX('كشف الحساب'!$A$4:$A$254,MATCH(100,'كشف الحساب'!$Q$4:$Q$254,0)),"")</f>
        <v/>
      </c>
      <c r="B309" s="133" t="str">
        <f>IFERROR(INDEX('كشف الحساب'!$B$4:$B$254,MATCH(100,'كشف الحساب'!$Q$4:$Q$254,0)),"")</f>
        <v/>
      </c>
      <c r="C309" s="132" t="str">
        <f>IFERROR(INDEX('كشف الحساب'!$C$4:$C$254,MATCH(100,'كشف الحساب'!$Q$4:$Q$254,0)),"")</f>
        <v/>
      </c>
      <c r="D309" s="134" t="str">
        <f>IFERROR(INDEX('كشف الحساب'!$D$4:$D$254,MATCH(100,'كشف الحساب'!$Q$4:$Q$254,0)),"")</f>
        <v/>
      </c>
      <c r="E309" s="135" t="str">
        <f>IFERROR(INDEX('كشف الحساب'!$G$4:$G$254,MATCH(100,'كشف الحساب'!$Q$4:$Q$254,0)),"")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1781.5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836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945.5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56"/>
  <sheetViews>
    <sheetView rightToLeft="1" tabSelected="1" zoomScaleNormal="100" workbookViewId="0">
      <pane ySplit="3" topLeftCell="A239" activePane="bottomLeft" state="frozen"/>
      <selection pane="bottomLeft" activeCell="H248" sqref="H248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7" ht="24" customHeight="1" x14ac:dyDescent="0.25">
      <c r="A2" s="163" t="s">
        <v>17</v>
      </c>
      <c r="B2" s="161"/>
      <c r="C2" s="161"/>
      <c r="D2" s="1">
        <v>0</v>
      </c>
      <c r="E2" s="164" t="s">
        <v>18</v>
      </c>
      <c r="F2" s="165"/>
      <c r="G2" s="165"/>
      <c r="H2" s="165"/>
      <c r="I2" s="165"/>
      <c r="J2" s="165"/>
      <c r="K2" s="165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>
        <v>46258</v>
      </c>
      <c r="B154" s="36" t="s">
        <v>356</v>
      </c>
      <c r="C154" s="37" t="s">
        <v>357</v>
      </c>
      <c r="D154" s="38"/>
      <c r="E154" s="39">
        <v>22.5</v>
      </c>
      <c r="F154" s="136" t="s">
        <v>38</v>
      </c>
      <c r="G154" s="40"/>
      <c r="H154" s="41" t="s">
        <v>40</v>
      </c>
      <c r="I154" s="42"/>
      <c r="J154" s="43">
        <f>IF(AND(D154="",E154="",A154="",B154="",C154=""),"", IFERROR(IF(J153="",D2,J153),D2)+IF(E154="",0,E154)-IF(OR(G154="أبو اسحاق",G154="أبو آدم",G154="أبو اسحاق ",G154="أبو آدم "),0,IF(D154="",0,D154)))</f>
        <v>78.820000000000022</v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>21</v>
      </c>
      <c r="O154" t="str">
        <f>IF(AND(D153&gt;0,F153="أحد الشركاء"),COUNTIFS($D$4:D153,"&gt;"&amp;0,$F$4:F153,"أحد الشركاء"),"")</f>
        <v/>
      </c>
      <c r="P154">
        <f>IF(OR($A154="",$F154="أحد الشركاء",AND($D154="",$E154="")),"",SUMPRODUCT(($A$4:$A154&lt;&gt;"")*($F$4:$F154&lt;&gt;"أحد الشركاء")*((($D$4:$D154&lt;&gt;"")+($E$4:$E154&lt;&gt;""))&gt;0)))</f>
        <v>132</v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>
        <v>46258</v>
      </c>
      <c r="B155" s="36" t="s">
        <v>358</v>
      </c>
      <c r="C155" s="27" t="s">
        <v>359</v>
      </c>
      <c r="D155" s="28"/>
      <c r="E155" s="29">
        <v>4</v>
      </c>
      <c r="F155" s="30" t="s">
        <v>38</v>
      </c>
      <c r="G155" s="31"/>
      <c r="H155" s="32" t="s">
        <v>40</v>
      </c>
      <c r="I155" s="33"/>
      <c r="J155" s="34">
        <f>IF(AND(D155="",E155="",A155="",B155="",C155=""),"", IFERROR(IF(J154="",D2,J154),D2)+IF(E155="",0,E155)-IF(OR(G155="أبو اسحاق",G155="أبو آدم",G155="أبو اسحاق ",G155="أبو آدم "),0,IF(D155="",0,D155)))</f>
        <v>82.820000000000022</v>
      </c>
      <c r="K155" s="35"/>
      <c r="L155">
        <f>IF(E154&gt;0,COUNTIF($E$4:E154,"&gt;0"),"")</f>
        <v>103</v>
      </c>
      <c r="M155" t="str">
        <f>IF(AND(D154&gt;0,G154="المحفظة"),COUNTIFS($D$4:D154,"&gt;"&amp;0,$G$4:G154,"المحفظة"),"")</f>
        <v/>
      </c>
      <c r="N155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>22</v>
      </c>
      <c r="O155" t="str">
        <f>IF(AND(D154&gt;0,F154="أحد الشركاء"),COUNTIFS($D$4:D154,"&gt;"&amp;0,$F$4:F154,"أحد الشركاء"),"")</f>
        <v/>
      </c>
      <c r="P155">
        <f>IF(OR($A155="",$F155="أحد الشركاء",AND($D155="",$E155="")),"",SUMPRODUCT(($A$4:$A155&lt;&gt;"")*($F$4:$F155&lt;&gt;"أحد الشركاء")*((($D$4:$D155&lt;&gt;"")+($E$4:$E155&lt;&gt;""))&gt;0)))</f>
        <v>133</v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>
        <v>46258</v>
      </c>
      <c r="B156" s="36" t="s">
        <v>360</v>
      </c>
      <c r="C156" s="37" t="s">
        <v>361</v>
      </c>
      <c r="D156" s="38"/>
      <c r="E156" s="39">
        <v>6</v>
      </c>
      <c r="F156" s="136" t="s">
        <v>38</v>
      </c>
      <c r="G156" s="40"/>
      <c r="H156" s="41" t="s">
        <v>40</v>
      </c>
      <c r="I156" s="42"/>
      <c r="J156" s="43">
        <f>IF(AND(D156="",E156="",A156="",B156="",C156=""),"", IFERROR(IF(J155="",D2,J155),D2)+IF(E156="",0,E156)-IF(OR(G156="أبو اسحاق",G156="أبو آدم",G156="أبو اسحاق ",G156="أبو آدم "),0,IF(D156="",0,D156)))</f>
        <v>88.820000000000022</v>
      </c>
      <c r="K156" s="44"/>
      <c r="L156">
        <f>IF(E155&gt;0,COUNTIF($E$4:E155,"&gt;0"),"")</f>
        <v>104</v>
      </c>
      <c r="M156" t="str">
        <f>IF(AND(D155&gt;0,G155="المحفظة"),COUNTIFS($D$4:D155,"&gt;"&amp;0,$G$4:G155,"المحفظة"),"")</f>
        <v/>
      </c>
      <c r="N156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>23</v>
      </c>
      <c r="O156" t="str">
        <f>IF(AND(D155&gt;0,F155="أحد الشركاء"),COUNTIFS($D$4:D155,"&gt;"&amp;0,$F$4:F155,"أحد الشركاء"),"")</f>
        <v/>
      </c>
      <c r="P156">
        <f>IF(OR($A156="",$F156="أحد الشركاء",AND($D156="",$E156="")),"",SUMPRODUCT(($A$4:$A156&lt;&gt;"")*($F$4:$F156&lt;&gt;"أحد الشركاء")*((($D$4:$D156&lt;&gt;"")+($E$4:$E156&lt;&gt;""))&gt;0)))</f>
        <v>134</v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>
        <v>46258</v>
      </c>
      <c r="B157" s="36" t="s">
        <v>362</v>
      </c>
      <c r="C157" s="27" t="s">
        <v>363</v>
      </c>
      <c r="D157" s="28"/>
      <c r="E157" s="29">
        <v>1.5</v>
      </c>
      <c r="F157" s="30" t="s">
        <v>38</v>
      </c>
      <c r="G157" s="31"/>
      <c r="H157" s="32" t="s">
        <v>40</v>
      </c>
      <c r="I157" s="33"/>
      <c r="J157" s="34">
        <f>IF(AND(D157="",E157="",A157="",B157="",C157=""),"", IFERROR(IF(J156="",D2,J156),D2)+IF(E157="",0,E157)-IF(OR(G157="أبو اسحاق",G157="أبو آدم",G157="أبو اسحاق ",G157="أبو آدم "),0,IF(D157="",0,D157)))</f>
        <v>90.320000000000022</v>
      </c>
      <c r="K157" s="35"/>
      <c r="L157">
        <f>IF(E156&gt;0,COUNTIF($E$4:E156,"&gt;0"),"")</f>
        <v>105</v>
      </c>
      <c r="M157" t="str">
        <f>IF(AND(D156&gt;0,G156="المحفظة"),COUNTIFS($D$4:D156,"&gt;"&amp;0,$G$4:G156,"المحفظة"),"")</f>
        <v/>
      </c>
      <c r="N157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>24</v>
      </c>
      <c r="O157" t="str">
        <f>IF(AND(D156&gt;0,F156="أحد الشركاء"),COUNTIFS($D$4:D156,"&gt;"&amp;0,$F$4:F156,"أحد الشركاء"),"")</f>
        <v/>
      </c>
      <c r="P157">
        <f>IF(OR($A157="",$F157="أحد الشركاء",AND($D157="",$E157="")),"",SUMPRODUCT(($A$4:$A157&lt;&gt;"")*($F$4:$F157&lt;&gt;"أحد الشركاء")*((($D$4:$D157&lt;&gt;"")+($E$4:$E157&lt;&gt;""))&gt;0)))</f>
        <v>135</v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>
        <v>46235</v>
      </c>
      <c r="B158" s="36"/>
      <c r="C158" s="37" t="s">
        <v>364</v>
      </c>
      <c r="D158" s="38">
        <v>280</v>
      </c>
      <c r="E158" s="39"/>
      <c r="F158" s="136" t="s">
        <v>48</v>
      </c>
      <c r="G158" s="40" t="s">
        <v>60</v>
      </c>
      <c r="H158" s="41" t="s">
        <v>40</v>
      </c>
      <c r="I158" s="42"/>
      <c r="J158" s="43">
        <f>IF(AND(D158="",E158="",A158="",B158="",C158=""),"", IFERROR(IF(J157="",D2,J157),D2)+IF(E158="",0,E158)-IF(OR(G158="أبو اسحاق",G158="أبو آدم",G158="أبو اسحاق ",G158="أبو آدم "),0,IF(D158="",0,D158)))</f>
        <v>90.320000000000022</v>
      </c>
      <c r="K158" s="44"/>
      <c r="L158">
        <f>IF(E157&gt;0,COUNTIF($E$4:E157,"&gt;0"),"")</f>
        <v>106</v>
      </c>
      <c r="M158" t="str">
        <f>IF(AND(D157&gt;0,G157="المحفظة"),COUNTIFS($D$4:D157,"&gt;"&amp;0,$G$4:G157,"المحفظة"),"")</f>
        <v/>
      </c>
      <c r="N158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>25</v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>
        <f>IF(OR($A158="",$F158&lt;&gt;"أحد الشركاء"),"",COUNTIFS($A$4:A158,"&lt;&gt;",$F$4:F158,"أحد الشركاء"))</f>
        <v>14</v>
      </c>
    </row>
    <row r="159" spans="1:17" ht="18.75" customHeight="1" x14ac:dyDescent="0.25">
      <c r="A159" s="25">
        <v>46238</v>
      </c>
      <c r="B159" s="26"/>
      <c r="C159" s="27" t="s">
        <v>365</v>
      </c>
      <c r="D159" s="28">
        <v>68</v>
      </c>
      <c r="E159" s="29"/>
      <c r="F159" s="30" t="s">
        <v>48</v>
      </c>
      <c r="G159" s="31" t="s">
        <v>49</v>
      </c>
      <c r="H159" s="32" t="s">
        <v>40</v>
      </c>
      <c r="I159" s="33"/>
      <c r="J159" s="34">
        <f>IF(AND(D159="",E159="",A159="",B159="",C159=""),"", IFERROR(IF(J158="",D2,J158),D2)+IF(E159="",0,E159)-IF(OR(G159="أبو اسحاق",G159="أبو آدم",G159="أبو اسحاق ",G159="أبو آدم "),0,IF(D159="",0,D159)))</f>
        <v>90.320000000000022</v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>26</v>
      </c>
      <c r="O159">
        <f>IF(AND(D158&gt;0,F158="أحد الشركاء"),COUNTIFS($D$4:D158,"&gt;"&amp;0,$F$4:F158,"أحد الشركاء"),"")</f>
        <v>14</v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>
        <f>IF(OR($A159="",$F159&lt;&gt;"أحد الشركاء"),"",COUNTIFS($A$4:A159,"&lt;&gt;",$F$4:F159,"أحد الشركاء"))</f>
        <v>15</v>
      </c>
    </row>
    <row r="160" spans="1:17" ht="18.75" customHeight="1" x14ac:dyDescent="0.25">
      <c r="A160" s="139">
        <v>46258</v>
      </c>
      <c r="B160" s="36"/>
      <c r="C160" s="37" t="s">
        <v>366</v>
      </c>
      <c r="D160" s="38">
        <v>4.125</v>
      </c>
      <c r="E160" s="39"/>
      <c r="F160" s="136" t="s">
        <v>38</v>
      </c>
      <c r="G160" s="40" t="s">
        <v>39</v>
      </c>
      <c r="H160" s="41" t="s">
        <v>40</v>
      </c>
      <c r="I160" s="42"/>
      <c r="J160" s="43">
        <f>IF(AND(D160="",E160="",A160="",B160="",C160=""),"", IFERROR(IF(J159="",D2,J159),D2)+IF(E160="",0,E160)-IF(OR(G160="أبو اسحاق",G160="أبو آدم",G160="أبو اسحاق ",G160="أبو آدم "),0,IF(D160="",0,D160)))</f>
        <v>86.195000000000022</v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>27</v>
      </c>
      <c r="O160">
        <f>IF(AND(D159&gt;0,F159="أحد الشركاء"),COUNTIFS($D$4:D159,"&gt;"&amp;0,$F$4:F159,"أحد الشركاء"),"")</f>
        <v>15</v>
      </c>
      <c r="P160">
        <f>IF(OR($A160="",$F160="أحد الشركاء",AND($D160="",$E160="")),"",SUMPRODUCT(($A$4:$A160&lt;&gt;"")*($F$4:$F160&lt;&gt;"أحد الشركاء")*((($D$4:$D160&lt;&gt;"")+($E$4:$E160&lt;&gt;""))&gt;0)))</f>
        <v>136</v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>
        <v>46260</v>
      </c>
      <c r="B161" s="36" t="s">
        <v>367</v>
      </c>
      <c r="C161" s="27" t="s">
        <v>368</v>
      </c>
      <c r="D161" s="28"/>
      <c r="E161" s="29">
        <v>260</v>
      </c>
      <c r="F161" s="30" t="s">
        <v>38</v>
      </c>
      <c r="G161" s="31"/>
      <c r="H161" s="32" t="s">
        <v>40</v>
      </c>
      <c r="I161" s="33"/>
      <c r="J161" s="34">
        <f>IF(AND(D161="",E161="",A161="",B161="",C161=""),"", IFERROR(IF(J160="",D2,J160),D2)+IF(E161="",0,E161)-IF(OR(G161="أبو اسحاق",G161="أبو آدم",G161="أبو اسحاق ",G161="أبو آدم "),0,IF(D161="",0,D161)))</f>
        <v>346.19500000000005</v>
      </c>
      <c r="K161" s="35" t="s">
        <v>369</v>
      </c>
      <c r="L161" t="str">
        <f>IF(E160&gt;0,COUNTIF($E$4:E160,"&gt;0"),"")</f>
        <v/>
      </c>
      <c r="M161">
        <f>IF(AND(D160&gt;0,G160="المحفظة"),COUNTIFS($D$4:D160,"&gt;"&amp;0,$G$4:G160,"المحفظة"),"")</f>
        <v>30</v>
      </c>
      <c r="N161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>28</v>
      </c>
      <c r="O161" t="str">
        <f>IF(AND(D160&gt;0,F160="أحد الشركاء"),COUNTIFS($D$4:D160,"&gt;"&amp;0,$F$4:F160,"أحد الشركاء"),"")</f>
        <v/>
      </c>
      <c r="P161">
        <f>IF(OR($A161="",$F161="أحد الشركاء",AND($D161="",$E161="")),"",SUMPRODUCT(($A$4:$A161&lt;&gt;"")*($F$4:$F161&lt;&gt;"أحد الشركاء")*((($D$4:$D161&lt;&gt;"")+($E$4:$E161&lt;&gt;""))&gt;0)))</f>
        <v>137</v>
      </c>
      <c r="Q161" t="str">
        <f>IF(OR($A161="",$F161&lt;&gt;"أحد الشركاء"),"",COUNTIFS($A$4:A161,"&lt;&gt;",$F$4:F161,"أحد الشركاء"))</f>
        <v/>
      </c>
    </row>
    <row r="162" spans="1:17" ht="26.25" customHeight="1" x14ac:dyDescent="0.25">
      <c r="A162" s="139">
        <v>46260</v>
      </c>
      <c r="B162" s="36"/>
      <c r="C162" s="37" t="s">
        <v>370</v>
      </c>
      <c r="D162" s="38">
        <v>243</v>
      </c>
      <c r="E162" s="39"/>
      <c r="F162" s="136" t="s">
        <v>38</v>
      </c>
      <c r="G162" s="40" t="s">
        <v>39</v>
      </c>
      <c r="H162" s="41" t="s">
        <v>40</v>
      </c>
      <c r="I162" s="42"/>
      <c r="J162" s="43">
        <f>IF(AND(D162="",E162="",A162="",B162="",C162=""),"", IFERROR(IF(J161="",D2,J161),D2)+IF(E162="",0,E162)-IF(OR(G162="أبو اسحاق",G162="أبو آدم",G162="أبو اسحاق ",G162="أبو آدم "),0,IF(D162="",0,D162)))</f>
        <v>103.19500000000005</v>
      </c>
      <c r="K162" s="44"/>
      <c r="L162">
        <f>IF(E161&gt;0,COUNTIF($E$4:E161,"&gt;0"),"")</f>
        <v>107</v>
      </c>
      <c r="M162" t="str">
        <f>IF(AND(D161&gt;0,G161="المحفظة"),COUNTIFS($D$4:D161,"&gt;"&amp;0,$G$4:G161,"المحفظة"),"")</f>
        <v/>
      </c>
      <c r="N162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>29</v>
      </c>
      <c r="O162" t="str">
        <f>IF(AND(D161&gt;0,F161="أحد الشركاء"),COUNTIFS($D$4:D161,"&gt;"&amp;0,$F$4:F161,"أحد الشركاء"),"")</f>
        <v/>
      </c>
      <c r="P162">
        <f>IF(OR($A162="",$F162="أحد الشركاء",AND($D162="",$E162="")),"",SUMPRODUCT(($A$4:$A162&lt;&gt;"")*($F$4:$F162&lt;&gt;"أحد الشركاء")*((($D$4:$D162&lt;&gt;"")+($E$4:$E162&lt;&gt;""))&gt;0)))</f>
        <v>138</v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>
        <v>46251</v>
      </c>
      <c r="B163" s="26"/>
      <c r="C163" s="27" t="s">
        <v>371</v>
      </c>
      <c r="D163" s="28">
        <v>3</v>
      </c>
      <c r="E163" s="29"/>
      <c r="F163" s="30" t="s">
        <v>38</v>
      </c>
      <c r="G163" s="31" t="s">
        <v>39</v>
      </c>
      <c r="H163" s="32" t="s">
        <v>40</v>
      </c>
      <c r="I163" s="33"/>
      <c r="J163" s="34">
        <f>IF(AND(D163="",E163="",A163="",B163="",C163=""),"", IFERROR(IF(J162="",D2,J162),D2)+IF(E163="",0,E163)-IF(OR(G163="أبو اسحاق",G163="أبو آدم",G163="أبو اسحاق ",G163="أبو آدم "),0,IF(D163="",0,D163)))</f>
        <v>100.19500000000005</v>
      </c>
      <c r="K163" s="35"/>
      <c r="L163" t="str">
        <f>IF(E162&gt;0,COUNTIF($E$4:E162,"&gt;0"),"")</f>
        <v/>
      </c>
      <c r="M163">
        <f>IF(AND(D162&gt;0,G162="المحفظة"),COUNTIFS($D$4:D162,"&gt;"&amp;0,$G$4:G162,"المحفظة"),"")</f>
        <v>31</v>
      </c>
      <c r="N163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>30</v>
      </c>
      <c r="O163" t="str">
        <f>IF(AND(D162&gt;0,F162="أحد الشركاء"),COUNTIFS($D$4:D162,"&gt;"&amp;0,$F$4:F162,"أحد الشركاء"),"")</f>
        <v/>
      </c>
      <c r="P163">
        <f>IF(OR($A163="",$F163="أحد الشركاء",AND($D163="",$E163="")),"",SUMPRODUCT(($A$4:$A163&lt;&gt;"")*($F$4:$F163&lt;&gt;"أحد الشركاء")*((($D$4:$D163&lt;&gt;"")+($E$4:$E163&lt;&gt;""))&gt;0)))</f>
        <v>139</v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>
        <v>46229</v>
      </c>
      <c r="B164" s="36" t="s">
        <v>372</v>
      </c>
      <c r="C164" s="37" t="s">
        <v>334</v>
      </c>
      <c r="D164" s="38"/>
      <c r="E164" s="39">
        <v>10</v>
      </c>
      <c r="F164" s="136" t="s">
        <v>38</v>
      </c>
      <c r="G164" s="40"/>
      <c r="H164" s="41" t="s">
        <v>40</v>
      </c>
      <c r="I164" s="42"/>
      <c r="J164" s="43">
        <f>IF(AND(D164="",E164="",A164="",B164="",C164=""),"", IFERROR(IF(J163="",D2,J163),D2)+IF(E164="",0,E164)-IF(OR(G164="أبو اسحاق",G164="أبو آدم",G164="أبو اسحاق ",G164="أبو آدم "),0,IF(D164="",0,D164)))</f>
        <v>110.19500000000005</v>
      </c>
      <c r="K164" s="44"/>
      <c r="L164" t="str">
        <f>IF(E163&gt;0,COUNTIF($E$4:E163,"&gt;0"),"")</f>
        <v/>
      </c>
      <c r="M164">
        <f>IF(AND(D163&gt;0,G163="المحفظة"),COUNTIFS($D$4:D163,"&gt;"&amp;0,$G$4:G163,"المحفظة"),"")</f>
        <v>32</v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>
        <f>IF(OR($A164="",$F164="أحد الشركاء",AND($D164="",$E164="")),"",SUMPRODUCT(($A$4:$A164&lt;&gt;"")*($F$4:$F164&lt;&gt;"أحد الشركاء")*((($D$4:$D164&lt;&gt;"")+($E$4:$E164&lt;&gt;""))&gt;0)))</f>
        <v>140</v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148">
        <v>46229</v>
      </c>
      <c r="B165" s="36" t="s">
        <v>373</v>
      </c>
      <c r="C165" s="27" t="s">
        <v>374</v>
      </c>
      <c r="D165" s="28"/>
      <c r="E165" s="29">
        <v>9</v>
      </c>
      <c r="F165" s="30" t="s">
        <v>38</v>
      </c>
      <c r="G165" s="31"/>
      <c r="H165" s="32" t="s">
        <v>40</v>
      </c>
      <c r="I165" s="33"/>
      <c r="J165" s="34">
        <f>IF(AND(D165="",E165="",A165="",B165="",C165=""),"", IFERROR(IF(J164="",D2,J164),D2)+IF(E165="",0,E165)-IF(OR(G165="أبو اسحاق",G165="أبو آدم",G165="أبو اسحاق ",G165="أبو آدم "),0,IF(D165="",0,D165)))</f>
        <v>119.19500000000005</v>
      </c>
      <c r="K165" s="35"/>
      <c r="L165">
        <f>IF(E164&gt;0,COUNTIF($E$4:E164,"&gt;0"),"")</f>
        <v>108</v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>
        <f>IF(OR($A165="",$F165="أحد الشركاء",AND($D165="",$E165="")),"",SUMPRODUCT(($A$4:$A165&lt;&gt;"")*($F$4:$F165&lt;&gt;"أحد الشركاء")*((($D$4:$D165&lt;&gt;"")+($E$4:$E165&lt;&gt;""))&gt;0)))</f>
        <v>141</v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48">
        <v>46229</v>
      </c>
      <c r="B166" s="36" t="s">
        <v>375</v>
      </c>
      <c r="C166" s="37" t="s">
        <v>376</v>
      </c>
      <c r="D166" s="38"/>
      <c r="E166" s="39">
        <v>10</v>
      </c>
      <c r="F166" s="136" t="s">
        <v>38</v>
      </c>
      <c r="G166" s="40"/>
      <c r="H166" s="41" t="s">
        <v>40</v>
      </c>
      <c r="I166" s="42"/>
      <c r="J166" s="43">
        <f>IF(AND(D166="",E166="",A166="",B166="",C166=""),"", IFERROR(IF(J165="",D2,J165),D2)+IF(E166="",0,E166)-IF(OR(G166="أبو اسحاق",G166="أبو آدم",G166="أبو اسحاق ",G166="أبو آدم "),0,IF(D166="",0,D166)))</f>
        <v>129.19500000000005</v>
      </c>
      <c r="K166" s="44"/>
      <c r="L166">
        <f>IF(E165&gt;0,COUNTIF($E$4:E165,"&gt;0"),"")</f>
        <v>109</v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>
        <f>IF(OR($A166="",$F166="أحد الشركاء",AND($D166="",$E166="")),"",SUMPRODUCT(($A$4:$A166&lt;&gt;"")*($F$4:$F166&lt;&gt;"أحد الشركاء")*((($D$4:$D166&lt;&gt;"")+($E$4:$E166&lt;&gt;""))&gt;0)))</f>
        <v>142</v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>
        <v>46251</v>
      </c>
      <c r="B167" s="26"/>
      <c r="C167" s="27" t="s">
        <v>377</v>
      </c>
      <c r="D167" s="28">
        <v>11.5</v>
      </c>
      <c r="E167" s="29"/>
      <c r="F167" s="30" t="s">
        <v>38</v>
      </c>
      <c r="G167" s="31" t="s">
        <v>39</v>
      </c>
      <c r="H167" s="32" t="s">
        <v>40</v>
      </c>
      <c r="I167" s="33"/>
      <c r="J167" s="34">
        <f>IF(AND(D167="",E167="",A167="",B167="",C167=""),"", IFERROR(IF(J166="",D2,J166),D2)+IF(E167="",0,E167)-IF(OR(G167="أبو اسحاق",G167="أبو آدم",G167="أبو اسحاق ",G167="أبو آدم "),0,IF(D167="",0,D167)))</f>
        <v>117.69500000000005</v>
      </c>
      <c r="K167" s="35"/>
      <c r="L167">
        <f>IF(E166&gt;0,COUNTIF($E$4:E166,"&gt;0"),"")</f>
        <v>110</v>
      </c>
      <c r="M167" t="str">
        <f>IF(AND(D166&gt;0,G166="المحفظة"),COUNTIFS($D$4:D166,"&gt;"&amp;0,$G$4:G166,"المحفظة"),"")</f>
        <v/>
      </c>
      <c r="N167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>31</v>
      </c>
      <c r="O167" t="str">
        <f>IF(AND(D166&gt;0,F166="أحد الشركاء"),COUNTIFS($D$4:D166,"&gt;"&amp;0,$F$4:F166,"أحد الشركاء"),"")</f>
        <v/>
      </c>
      <c r="P167">
        <f>IF(OR($A167="",$F167="أحد الشركاء",AND($D167="",$E167="")),"",SUMPRODUCT(($A$4:$A167&lt;&gt;"")*($F$4:$F167&lt;&gt;"أحد الشركاء")*((($D$4:$D167&lt;&gt;"")+($E$4:$E167&lt;&gt;""))&gt;0)))</f>
        <v>143</v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>
        <v>46254</v>
      </c>
      <c r="B168" s="36" t="s">
        <v>378</v>
      </c>
      <c r="C168" s="37" t="s">
        <v>379</v>
      </c>
      <c r="D168" s="38"/>
      <c r="E168" s="39">
        <v>59</v>
      </c>
      <c r="F168" s="136" t="s">
        <v>38</v>
      </c>
      <c r="G168" s="40"/>
      <c r="H168" s="41" t="s">
        <v>40</v>
      </c>
      <c r="I168" s="42"/>
      <c r="J168" s="43">
        <f>IF(AND(D168="",E168="",A168="",B168="",C168=""),"", IFERROR(IF(J167="",D2,J167),D2)+IF(E168="",0,E168)-IF(OR(G168="أبو اسحاق",G168="أبو آدم",G168="أبو اسحاق ",G168="أبو آدم "),0,IF(D168="",0,D168)))</f>
        <v>176.69500000000005</v>
      </c>
      <c r="K168" s="44"/>
      <c r="L168" t="str">
        <f>IF(E167&gt;0,COUNTIF($E$4:E167,"&gt;0"),"")</f>
        <v/>
      </c>
      <c r="M168">
        <f>IF(AND(D167&gt;0,G167="المحفظة"),COUNTIFS($D$4:D167,"&gt;"&amp;0,$G$4:G167,"المحفظة"),"")</f>
        <v>33</v>
      </c>
      <c r="N168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>32</v>
      </c>
      <c r="O168" t="str">
        <f>IF(AND(D167&gt;0,F167="أحد الشركاء"),COUNTIFS($D$4:D167,"&gt;"&amp;0,$F$4:F167,"أحد الشركاء"),"")</f>
        <v/>
      </c>
      <c r="P168">
        <f>IF(OR($A168="",$F168="أحد الشركاء",AND($D168="",$E168="")),"",SUMPRODUCT(($A$4:$A168&lt;&gt;"")*($F$4:$F168&lt;&gt;"أحد الشركاء")*((($D$4:$D168&lt;&gt;"")+($E$4:$E168&lt;&gt;""))&gt;0)))</f>
        <v>144</v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>
        <v>46263</v>
      </c>
      <c r="B169" s="36" t="s">
        <v>380</v>
      </c>
      <c r="C169" s="27" t="s">
        <v>381</v>
      </c>
      <c r="D169" s="28"/>
      <c r="E169" s="29">
        <v>400</v>
      </c>
      <c r="F169" s="30" t="s">
        <v>38</v>
      </c>
      <c r="G169" s="31"/>
      <c r="H169" s="32" t="s">
        <v>40</v>
      </c>
      <c r="I169" s="33"/>
      <c r="J169" s="34">
        <f>IF(AND(D169="",E169="",A169="",B169="",C169=""),"", IFERROR(IF(J168="",D2,J168),D2)+IF(E169="",0,E169)-IF(OR(G169="أبو اسحاق",G169="أبو آدم",G169="أبو اسحاق ",G169="أبو آدم "),0,IF(D169="",0,D169)))</f>
        <v>576.69500000000005</v>
      </c>
      <c r="K169" s="35"/>
      <c r="L169">
        <f>IF(E168&gt;0,COUNTIF($E$4:E168,"&gt;0"),"")</f>
        <v>111</v>
      </c>
      <c r="M169" t="str">
        <f>IF(AND(D168&gt;0,G168="المحفظة"),COUNTIFS($D$4:D168,"&gt;"&amp;0,$G$4:G168,"المحفظة"),"")</f>
        <v/>
      </c>
      <c r="N169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>33</v>
      </c>
      <c r="O169" t="str">
        <f>IF(AND(D168&gt;0,F168="أحد الشركاء"),COUNTIFS($D$4:D168,"&gt;"&amp;0,$F$4:F168,"أحد الشركاء"),"")</f>
        <v/>
      </c>
      <c r="P169">
        <f>IF(OR($A169="",$F169="أحد الشركاء",AND($D169="",$E169="")),"",SUMPRODUCT(($A$4:$A169&lt;&gt;"")*($F$4:$F169&lt;&gt;"أحد الشركاء")*((($D$4:$D169&lt;&gt;"")+($E$4:$E169&lt;&gt;""))&gt;0)))</f>
        <v>145</v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>
        <v>46263</v>
      </c>
      <c r="B170" s="36"/>
      <c r="C170" s="37" t="s">
        <v>382</v>
      </c>
      <c r="D170" s="38">
        <v>15</v>
      </c>
      <c r="E170" s="39"/>
      <c r="F170" s="136" t="s">
        <v>38</v>
      </c>
      <c r="G170" s="40" t="s">
        <v>39</v>
      </c>
      <c r="H170" s="41" t="s">
        <v>40</v>
      </c>
      <c r="I170" s="42"/>
      <c r="J170" s="43">
        <f>IF(AND(D170="",E170="",A170="",B170="",C170=""),"", IFERROR(IF(J169="",D2,J169),D2)+IF(E170="",0,E170)-IF(OR(G170="أبو اسحاق",G170="أبو آدم",G170="أبو اسحاق ",G170="أبو آدم "),0,IF(D170="",0,D170)))</f>
        <v>561.69500000000005</v>
      </c>
      <c r="K170" s="44"/>
      <c r="L170">
        <f>IF(E169&gt;0,COUNTIF($E$4:E169,"&gt;0"),"")</f>
        <v>112</v>
      </c>
      <c r="M170" t="str">
        <f>IF(AND(D169&gt;0,G169="المحفظة"),COUNTIFS($D$4:D169,"&gt;"&amp;0,$G$4:G169,"المحفظة"),"")</f>
        <v/>
      </c>
      <c r="N170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>34</v>
      </c>
      <c r="O170" t="str">
        <f>IF(AND(D169&gt;0,F169="أحد الشركاء"),COUNTIFS($D$4:D169,"&gt;"&amp;0,$F$4:F169,"أحد الشركاء"),"")</f>
        <v/>
      </c>
      <c r="P170">
        <f>IF(OR($A170="",$F170="أحد الشركاء",AND($D170="",$E170="")),"",SUMPRODUCT(($A$4:$A170&lt;&gt;"")*($F$4:$F170&lt;&gt;"أحد الشركاء")*((($D$4:$D170&lt;&gt;"")+($E$4:$E170&lt;&gt;""))&gt;0)))</f>
        <v>146</v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>
        <v>46263</v>
      </c>
      <c r="B171" s="26"/>
      <c r="C171" s="27" t="s">
        <v>383</v>
      </c>
      <c r="D171" s="28">
        <v>24</v>
      </c>
      <c r="E171" s="29"/>
      <c r="F171" s="30" t="s">
        <v>38</v>
      </c>
      <c r="G171" s="31" t="s">
        <v>39</v>
      </c>
      <c r="H171" s="32" t="s">
        <v>40</v>
      </c>
      <c r="I171" s="33"/>
      <c r="J171" s="34">
        <f>IF(AND(D171="",E171="",A171="",B171="",C171=""),"", IFERROR(IF(J170="",D2,J170),D2)+IF(E171="",0,E171)-IF(OR(G171="أبو اسحاق",G171="أبو آدم",G171="أبو اسحاق ",G171="أبو آدم "),0,IF(D171="",0,D171)))</f>
        <v>537.69500000000005</v>
      </c>
      <c r="K171" s="35"/>
      <c r="L171" t="str">
        <f>IF(E170&gt;0,COUNTIF($E$4:E170,"&gt;0"),"")</f>
        <v/>
      </c>
      <c r="M171">
        <f>IF(AND(D170&gt;0,G170="المحفظة"),COUNTIFS($D$4:D170,"&gt;"&amp;0,$G$4:G170,"المحفظة"),"")</f>
        <v>34</v>
      </c>
      <c r="N171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>35</v>
      </c>
      <c r="O171" t="str">
        <f>IF(AND(D170&gt;0,F170="أحد الشركاء"),COUNTIFS($D$4:D170,"&gt;"&amp;0,$F$4:F170,"أحد الشركاء"),"")</f>
        <v/>
      </c>
      <c r="P171">
        <f>IF(OR($A171="",$F171="أحد الشركاء",AND($D171="",$E171="")),"",SUMPRODUCT(($A$4:$A171&lt;&gt;"")*($F$4:$F171&lt;&gt;"أحد الشركاء")*((($D$4:$D171&lt;&gt;"")+($E$4:$E171&lt;&gt;""))&gt;0)))</f>
        <v>147</v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>
        <v>46264</v>
      </c>
      <c r="B172" s="36" t="s">
        <v>384</v>
      </c>
      <c r="C172" s="37" t="s">
        <v>385</v>
      </c>
      <c r="D172" s="38"/>
      <c r="E172" s="39">
        <v>16</v>
      </c>
      <c r="F172" s="136" t="s">
        <v>38</v>
      </c>
      <c r="G172" s="40"/>
      <c r="H172" s="41" t="s">
        <v>40</v>
      </c>
      <c r="I172" s="42"/>
      <c r="J172" s="43">
        <f>IF(AND(D172="",E172="",A172="",B172="",C172=""),"", IFERROR(IF(J171="",D2,J171),D2)+IF(E172="",0,E172)-IF(OR(G172="أبو اسحاق",G172="أبو آدم",G172="أبو اسحاق ",G172="أبو آدم "),0,IF(D172="",0,D172)))</f>
        <v>553.69500000000005</v>
      </c>
      <c r="K172" s="44"/>
      <c r="L172" t="str">
        <f>IF(E171&gt;0,COUNTIF($E$4:E171,"&gt;0"),"")</f>
        <v/>
      </c>
      <c r="M172">
        <f>IF(AND(D171&gt;0,G171="المحفظة"),COUNTIFS($D$4:D171,"&gt;"&amp;0,$G$4:G171,"المحفظة"),"")</f>
        <v>35</v>
      </c>
      <c r="N172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>36</v>
      </c>
      <c r="O172" t="str">
        <f>IF(AND(D171&gt;0,F171="أحد الشركاء"),COUNTIFS($D$4:D171,"&gt;"&amp;0,$F$4:F171,"أحد الشركاء"),"")</f>
        <v/>
      </c>
      <c r="P172">
        <f>IF(OR($A172="",$F172="أحد الشركاء",AND($D172="",$E172="")),"",SUMPRODUCT(($A$4:$A172&lt;&gt;"")*($F$4:$F172&lt;&gt;"أحد الشركاء")*((($D$4:$D172&lt;&gt;"")+($E$4:$E172&lt;&gt;""))&gt;0)))</f>
        <v>148</v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>
        <v>46264</v>
      </c>
      <c r="B173" s="36" t="s">
        <v>386</v>
      </c>
      <c r="C173" s="27" t="s">
        <v>387</v>
      </c>
      <c r="D173" s="28"/>
      <c r="E173" s="29">
        <v>15</v>
      </c>
      <c r="F173" s="30" t="s">
        <v>38</v>
      </c>
      <c r="G173" s="31"/>
      <c r="H173" s="32" t="s">
        <v>40</v>
      </c>
      <c r="I173" s="33"/>
      <c r="J173" s="34">
        <f>IF(AND(D173="",E173="",A173="",B173="",C173=""),"", IFERROR(IF(J172="",D2,J172),D2)+IF(E173="",0,E173)-IF(OR(G173="أبو اسحاق",G173="أبو آدم",G173="أبو اسحاق ",G173="أبو آدم "),0,IF(D173="",0,D173)))</f>
        <v>568.69500000000005</v>
      </c>
      <c r="K173" s="35"/>
      <c r="L173">
        <f>IF(E172&gt;0,COUNTIF($E$4:E172,"&gt;0"),"")</f>
        <v>113</v>
      </c>
      <c r="M173" t="str">
        <f>IF(AND(D172&gt;0,G172="المحفظة"),COUNTIFS($D$4:D172,"&gt;"&amp;0,$G$4:G172,"المحفظة"),"")</f>
        <v/>
      </c>
      <c r="N173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>37</v>
      </c>
      <c r="O173" t="str">
        <f>IF(AND(D172&gt;0,F172="أحد الشركاء"),COUNTIFS($D$4:D172,"&gt;"&amp;0,$F$4:F172,"أحد الشركاء"),"")</f>
        <v/>
      </c>
      <c r="P173">
        <f>IF(OR($A173="",$F173="أحد الشركاء",AND($D173="",$E173="")),"",SUMPRODUCT(($A$4:$A173&lt;&gt;"")*($F$4:$F173&lt;&gt;"أحد الشركاء")*((($D$4:$D173&lt;&gt;"")+($E$4:$E173&lt;&gt;""))&gt;0)))</f>
        <v>149</v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>
        <v>46264</v>
      </c>
      <c r="B174" s="36" t="s">
        <v>388</v>
      </c>
      <c r="C174" s="37" t="s">
        <v>389</v>
      </c>
      <c r="D174" s="38"/>
      <c r="E174" s="39">
        <v>17</v>
      </c>
      <c r="F174" s="136" t="s">
        <v>38</v>
      </c>
      <c r="G174" s="40"/>
      <c r="H174" s="41" t="s">
        <v>40</v>
      </c>
      <c r="I174" s="42"/>
      <c r="J174" s="43">
        <f>IF(AND(D174="",E174="",A174="",B174="",C174=""),"", IFERROR(IF(J173="",D2,J173),D2)+IF(E174="",0,E174)-IF(OR(G174="أبو اسحاق",G174="أبو آدم",G174="أبو اسحاق ",G174="أبو آدم "),0,IF(D174="",0,D174)))</f>
        <v>585.69500000000005</v>
      </c>
      <c r="K174" s="44"/>
      <c r="L174">
        <f>IF(E173&gt;0,COUNTIF($E$4:E173,"&gt;0"),"")</f>
        <v>114</v>
      </c>
      <c r="M174" t="str">
        <f>IF(AND(D173&gt;0,G173="المحفظة"),COUNTIFS($D$4:D173,"&gt;"&amp;0,$G$4:G173,"المحفظة"),"")</f>
        <v/>
      </c>
      <c r="N174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>38</v>
      </c>
      <c r="O174" t="str">
        <f>IF(AND(D173&gt;0,F173="أحد الشركاء"),COUNTIFS($D$4:D173,"&gt;"&amp;0,$F$4:F173,"أحد الشركاء"),"")</f>
        <v/>
      </c>
      <c r="P174">
        <f>IF(OR($A174="",$F174="أحد الشركاء",AND($D174="",$E174="")),"",SUMPRODUCT(($A$4:$A174&lt;&gt;"")*($F$4:$F174&lt;&gt;"أحد الشركاء")*((($D$4:$D174&lt;&gt;"")+($E$4:$E174&lt;&gt;""))&gt;0)))</f>
        <v>150</v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>
        <v>46264</v>
      </c>
      <c r="B175" s="36" t="s">
        <v>390</v>
      </c>
      <c r="C175" s="27" t="s">
        <v>391</v>
      </c>
      <c r="D175" s="28"/>
      <c r="E175" s="29">
        <v>9.75</v>
      </c>
      <c r="F175" s="30" t="s">
        <v>38</v>
      </c>
      <c r="G175" s="31"/>
      <c r="H175" s="32" t="s">
        <v>40</v>
      </c>
      <c r="I175" s="33"/>
      <c r="J175" s="34">
        <f>IF(AND(D175="",E175="",A175="",B175="",C175=""),"", IFERROR(IF(J174="",D2,J174),D2)+IF(E175="",0,E175)-IF(OR(G175="أبو اسحاق",G175="أبو آدم",G175="أبو اسحاق ",G175="أبو آدم "),0,IF(D175="",0,D175)))</f>
        <v>595.44500000000005</v>
      </c>
      <c r="K175" s="35"/>
      <c r="L175">
        <f>IF(E174&gt;0,COUNTIF($E$4:E174,"&gt;0"),"")</f>
        <v>115</v>
      </c>
      <c r="M175" t="str">
        <f>IF(AND(D174&gt;0,G174="المحفظة"),COUNTIFS($D$4:D174,"&gt;"&amp;0,$G$4:G174,"المحفظة"),"")</f>
        <v/>
      </c>
      <c r="N175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>39</v>
      </c>
      <c r="O175" t="str">
        <f>IF(AND(D174&gt;0,F174="أحد الشركاء"),COUNTIFS($D$4:D174,"&gt;"&amp;0,$F$4:F174,"أحد الشركاء"),"")</f>
        <v/>
      </c>
      <c r="P175">
        <f>IF(OR($A175="",$F175="أحد الشركاء",AND($D175="",$E175="")),"",SUMPRODUCT(($A$4:$A175&lt;&gt;"")*($F$4:$F175&lt;&gt;"أحد الشركاء")*((($D$4:$D175&lt;&gt;"")+($E$4:$E175&lt;&gt;""))&gt;0)))</f>
        <v>151</v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>
        <v>46264</v>
      </c>
      <c r="B176" s="36" t="s">
        <v>392</v>
      </c>
      <c r="C176" s="37" t="s">
        <v>393</v>
      </c>
      <c r="D176" s="38"/>
      <c r="E176" s="39">
        <v>7.5</v>
      </c>
      <c r="F176" s="136" t="s">
        <v>38</v>
      </c>
      <c r="G176" s="40"/>
      <c r="H176" s="41" t="s">
        <v>40</v>
      </c>
      <c r="I176" s="42"/>
      <c r="J176" s="43">
        <f>IF(AND(D176="",E176="",A176="",B176="",C176=""),"", IFERROR(IF(J175="",D2,J175),D2)+IF(E176="",0,E176)-IF(OR(G176="أبو اسحاق",G176="أبو آدم",G176="أبو اسحاق ",G176="أبو آدم "),0,IF(D176="",0,D176)))</f>
        <v>602.94500000000005</v>
      </c>
      <c r="K176" s="44"/>
      <c r="L176">
        <f>IF(E175&gt;0,COUNTIF($E$4:E175,"&gt;0"),"")</f>
        <v>116</v>
      </c>
      <c r="M176" t="str">
        <f>IF(AND(D175&gt;0,G175="المحفظة"),COUNTIFS($D$4:D175,"&gt;"&amp;0,$G$4:G175,"المحفظة"),"")</f>
        <v/>
      </c>
      <c r="N176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>40</v>
      </c>
      <c r="O176" t="str">
        <f>IF(AND(D175&gt;0,F175="أحد الشركاء"),COUNTIFS($D$4:D175,"&gt;"&amp;0,$F$4:F175,"أحد الشركاء"),"")</f>
        <v/>
      </c>
      <c r="P176">
        <f>IF(OR($A176="",$F176="أحد الشركاء",AND($D176="",$E176="")),"",SUMPRODUCT(($A$4:$A176&lt;&gt;"")*($F$4:$F176&lt;&gt;"أحد الشركاء")*((($D$4:$D176&lt;&gt;"")+($E$4:$E176&lt;&gt;""))&gt;0)))</f>
        <v>152</v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>
        <v>46264</v>
      </c>
      <c r="B177" s="26"/>
      <c r="C177" s="27" t="s">
        <v>394</v>
      </c>
      <c r="D177" s="28">
        <v>35</v>
      </c>
      <c r="E177" s="29"/>
      <c r="F177" s="30" t="s">
        <v>38</v>
      </c>
      <c r="G177" s="31" t="s">
        <v>39</v>
      </c>
      <c r="H177" s="32" t="s">
        <v>40</v>
      </c>
      <c r="I177" s="33"/>
      <c r="J177" s="34">
        <f>IF(AND(D177="",E177="",A177="",B177="",C177=""),"", IFERROR(IF(J176="",D2,J176),D2)+IF(E177="",0,E177)-IF(OR(G177="أبو اسحاق",G177="أبو آدم",G177="أبو اسحاق ",G177="أبو آدم "),0,IF(D177="",0,D177)))</f>
        <v>567.94500000000005</v>
      </c>
      <c r="K177" s="35"/>
      <c r="L177">
        <f>IF(E176&gt;0,COUNTIF($E$4:E176,"&gt;0"),"")</f>
        <v>117</v>
      </c>
      <c r="M177" t="str">
        <f>IF(AND(D176&gt;0,G176="المحفظة"),COUNTIFS($D$4:D176,"&gt;"&amp;0,$G$4:G176,"المحفظة"),"")</f>
        <v/>
      </c>
      <c r="N177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>41</v>
      </c>
      <c r="O177" t="str">
        <f>IF(AND(D176&gt;0,F176="أحد الشركاء"),COUNTIFS($D$4:D176,"&gt;"&amp;0,$F$4:F176,"أحد الشركاء"),"")</f>
        <v/>
      </c>
      <c r="P177">
        <f>IF(OR($A177="",$F177="أحد الشركاء",AND($D177="",$E177="")),"",SUMPRODUCT(($A$4:$A177&lt;&gt;"")*($F$4:$F177&lt;&gt;"أحد الشركاء")*((($D$4:$D177&lt;&gt;"")+($E$4:$E177&lt;&gt;""))&gt;0)))</f>
        <v>153</v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>
        <v>46265</v>
      </c>
      <c r="B178" s="36"/>
      <c r="C178" s="37" t="s">
        <v>395</v>
      </c>
      <c r="D178" s="38">
        <v>470</v>
      </c>
      <c r="E178" s="39"/>
      <c r="F178" s="136" t="s">
        <v>38</v>
      </c>
      <c r="G178" s="40" t="s">
        <v>39</v>
      </c>
      <c r="H178" s="41" t="s">
        <v>40</v>
      </c>
      <c r="I178" s="42"/>
      <c r="J178" s="43">
        <f>IF(AND(D178="",E178="",A178="",B178="",C178=""),"", IFERROR(IF(J177="",D2,J177),D2)+IF(E178="",0,E178)-IF(OR(G178="أبو اسحاق",G178="أبو آدم",G178="أبو اسحاق ",G178="أبو آدم "),0,IF(D178="",0,D178)))</f>
        <v>97.94500000000005</v>
      </c>
      <c r="K178" s="44"/>
      <c r="L178" t="str">
        <f>IF(E177&gt;0,COUNTIF($E$4:E177,"&gt;0"),"")</f>
        <v/>
      </c>
      <c r="M178">
        <f>IF(AND(D177&gt;0,G177="المحفظة"),COUNTIFS($D$4:D177,"&gt;"&amp;0,$G$4:G177,"المحفظة"),"")</f>
        <v>36</v>
      </c>
      <c r="N178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>42</v>
      </c>
      <c r="O178" t="str">
        <f>IF(AND(D177&gt;0,F177="أحد الشركاء"),COUNTIFS($D$4:D177,"&gt;"&amp;0,$F$4:F177,"أحد الشركاء"),"")</f>
        <v/>
      </c>
      <c r="P178">
        <f>IF(OR($A178="",$F178="أحد الشركاء",AND($D178="",$E178="")),"",SUMPRODUCT(($A$4:$A178&lt;&gt;"")*($F$4:$F178&lt;&gt;"أحد الشركاء")*((($D$4:$D178&lt;&gt;"")+($E$4:$E178&lt;&gt;""))&gt;0)))</f>
        <v>154</v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149">
        <v>46265</v>
      </c>
      <c r="B179" s="26"/>
      <c r="C179" s="27" t="s">
        <v>396</v>
      </c>
      <c r="D179" s="28">
        <v>62.5</v>
      </c>
      <c r="E179" s="29"/>
      <c r="F179" s="30"/>
      <c r="G179" s="31" t="s">
        <v>39</v>
      </c>
      <c r="H179" s="32" t="s">
        <v>40</v>
      </c>
      <c r="I179" s="33"/>
      <c r="J179" s="34">
        <f>IF(AND(D179="",E179="",A179="",B179="",C179=""),"", IFERROR(IF(J178="",D2,J178),D2)+IF(E179="",0,E179)-IF(OR(G179="أبو اسحاق",G179="أبو آدم",G179="أبو اسحاق ",G179="أبو آدم "),0,IF(D179="",0,D179)))</f>
        <v>35.44500000000005</v>
      </c>
      <c r="K179" s="35"/>
      <c r="L179" t="str">
        <f>IF(E178&gt;0,COUNTIF($E$4:E178,"&gt;0"),"")</f>
        <v/>
      </c>
      <c r="M179">
        <f>IF(AND(D178&gt;0,G178="المحفظة"),COUNTIFS($D$4:D178,"&gt;"&amp;0,$G$4:G178,"المحفظة"),"")</f>
        <v>37</v>
      </c>
      <c r="N179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>43</v>
      </c>
      <c r="O179" t="str">
        <f>IF(AND(D178&gt;0,F178="أحد الشركاء"),COUNTIFS($D$4:D178,"&gt;"&amp;0,$F$4:F178,"أحد الشركاء"),"")</f>
        <v/>
      </c>
      <c r="P179">
        <f>IF(OR($A179="",$F179="أحد الشركاء",AND($D179="",$E179="")),"",SUMPRODUCT(($A$4:$A179&lt;&gt;"")*($F$4:$F179&lt;&gt;"أحد الشركاء")*((($D$4:$D179&lt;&gt;"")+($E$4:$E179&lt;&gt;""))&gt;0)))</f>
        <v>155</v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50">
        <v>46265</v>
      </c>
      <c r="B180" s="36" t="s">
        <v>397</v>
      </c>
      <c r="C180" s="37" t="s">
        <v>121</v>
      </c>
      <c r="D180" s="38"/>
      <c r="E180" s="39">
        <v>2</v>
      </c>
      <c r="F180" s="136" t="s">
        <v>172</v>
      </c>
      <c r="G180" s="40"/>
      <c r="H180" s="41" t="s">
        <v>40</v>
      </c>
      <c r="I180" s="42"/>
      <c r="J180" s="43">
        <f>IF(AND(D180="",E180="",A180="",B180="",C180=""),"", IFERROR(IF(J179="",D2,J179),D2)+IF(E180="",0,E180)-IF(OR(G180="أبو اسحاق",G180="أبو آدم",G180="أبو اسحاق ",G180="أبو آدم "),0,IF(D180="",0,D180)))</f>
        <v>37.44500000000005</v>
      </c>
      <c r="K180" s="44"/>
      <c r="L180" t="str">
        <f>IF(E179&gt;0,COUNTIF($E$4:E179,"&gt;0"),"")</f>
        <v/>
      </c>
      <c r="M180">
        <f>IF(AND(D179&gt;0,G179="المحفظة"),COUNTIFS($D$4:D179,"&gt;"&amp;0,$G$4:G179,"المحفظة"),"")</f>
        <v>38</v>
      </c>
      <c r="N180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>44</v>
      </c>
      <c r="O180" t="str">
        <f>IF(AND(D179&gt;0,F179="أحد الشركاء"),COUNTIFS($D$4:D179,"&gt;"&amp;0,$F$4:F179,"أحد الشركاء"),"")</f>
        <v/>
      </c>
      <c r="P180">
        <f>IF(OR($A180="",$F180="أحد الشركاء",AND($D180="",$E180="")),"",SUMPRODUCT(($A$4:$A180&lt;&gt;"")*($F$4:$F180&lt;&gt;"أحد الشركاء")*((($D$4:$D180&lt;&gt;"")+($E$4:$E180&lt;&gt;""))&gt;0)))</f>
        <v>156</v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>
        <v>46268</v>
      </c>
      <c r="B181" s="36" t="s">
        <v>398</v>
      </c>
      <c r="C181" s="27" t="s">
        <v>399</v>
      </c>
      <c r="D181" s="28"/>
      <c r="E181" s="29">
        <v>270</v>
      </c>
      <c r="F181" s="30" t="s">
        <v>38</v>
      </c>
      <c r="G181" s="31"/>
      <c r="H181" s="32" t="s">
        <v>40</v>
      </c>
      <c r="I181" s="33"/>
      <c r="J181" s="34">
        <f>IF(AND(D181="",E181="",A181="",B181="",C181=""),"", IFERROR(IF(J180="",D2,J180),D2)+IF(E181="",0,E181)-IF(OR(G181="أبو اسحاق",G181="أبو آدم",G181="أبو اسحاق ",G181="أبو آدم "),0,IF(D181="",0,D181)))</f>
        <v>307.44500000000005</v>
      </c>
      <c r="K181" s="35"/>
      <c r="L181">
        <f>IF(E180&gt;0,COUNTIF($E$4:E180,"&gt;0"),"")</f>
        <v>118</v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>
        <f>IF(OR($A181="",$F181="أحد الشركاء",AND($D181="",$E181="")),"",SUMPRODUCT(($A$4:$A181&lt;&gt;"")*($F$4:$F181&lt;&gt;"أحد الشركاء")*((($D$4:$D181&lt;&gt;"")+($E$4:$E181&lt;&gt;""))&gt;0)))</f>
        <v>157</v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>
        <v>46269</v>
      </c>
      <c r="B182" s="36"/>
      <c r="C182" s="37" t="s">
        <v>400</v>
      </c>
      <c r="D182" s="38">
        <v>13.5</v>
      </c>
      <c r="E182" s="39"/>
      <c r="F182" s="136" t="s">
        <v>38</v>
      </c>
      <c r="G182" s="40" t="s">
        <v>39</v>
      </c>
      <c r="H182" s="41" t="s">
        <v>40</v>
      </c>
      <c r="I182" s="42"/>
      <c r="J182" s="43">
        <f>IF(AND(D182="",E182="",A182="",B182="",C182=""),"", IFERROR(IF(J181="",D2,J181),D2)+IF(E182="",0,E182)-IF(OR(G182="أبو اسحاق",G182="أبو آدم",G182="أبو اسحاق ",G182="أبو آدم "),0,IF(D182="",0,D182)))</f>
        <v>293.94500000000005</v>
      </c>
      <c r="K182" s="44"/>
      <c r="L182">
        <f>IF(E181&gt;0,COUNTIF($E$4:E181,"&gt;0"),"")</f>
        <v>119</v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>
        <f>IF(OR($A182="",$F182="أحد الشركاء",AND($D182="",$E182="")),"",SUMPRODUCT(($A$4:$A182&lt;&gt;"")*($F$4:$F182&lt;&gt;"أحد الشركاء")*((($D$4:$D182&lt;&gt;"")+($E$4:$E182&lt;&gt;""))&gt;0)))</f>
        <v>158</v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>
        <v>46271</v>
      </c>
      <c r="B183" s="36" t="s">
        <v>401</v>
      </c>
      <c r="C183" s="27" t="s">
        <v>402</v>
      </c>
      <c r="D183" s="28"/>
      <c r="E183" s="29">
        <v>12</v>
      </c>
      <c r="F183" s="30" t="s">
        <v>38</v>
      </c>
      <c r="G183" s="31"/>
      <c r="H183" s="32" t="s">
        <v>40</v>
      </c>
      <c r="I183" s="33"/>
      <c r="J183" s="34">
        <f>IF(AND(D183="",E183="",A183="",B183="",C183=""),"", IFERROR(IF(J182="",D2,J182),D2)+IF(E183="",0,E183)-IF(OR(G183="أبو اسحاق",G183="أبو آدم",G183="أبو اسحاق ",G183="أبو آدم "),0,IF(D183="",0,D183)))</f>
        <v>305.94500000000005</v>
      </c>
      <c r="K183" s="35"/>
      <c r="L183" t="str">
        <f>IF(E182&gt;0,COUNTIF($E$4:E182,"&gt;0"),"")</f>
        <v/>
      </c>
      <c r="M183">
        <f>IF(AND(D182&gt;0,G182="المحفظة"),COUNTIFS($D$4:D182,"&gt;"&amp;0,$G$4:G182,"المحفظة"),"")</f>
        <v>39</v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>
        <f>IF(OR($A183="",$F183="أحد الشركاء",AND($D183="",$E183="")),"",SUMPRODUCT(($A$4:$A183&lt;&gt;"")*($F$4:$F183&lt;&gt;"أحد الشركاء")*((($D$4:$D183&lt;&gt;"")+($E$4:$E183&lt;&gt;""))&gt;0)))</f>
        <v>159</v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25">
        <v>46271</v>
      </c>
      <c r="B184" s="36" t="s">
        <v>403</v>
      </c>
      <c r="C184" s="37" t="s">
        <v>98</v>
      </c>
      <c r="D184" s="38"/>
      <c r="E184" s="39">
        <v>3</v>
      </c>
      <c r="F184" s="136" t="s">
        <v>38</v>
      </c>
      <c r="G184" s="40"/>
      <c r="H184" s="41" t="s">
        <v>40</v>
      </c>
      <c r="I184" s="42"/>
      <c r="J184" s="43">
        <f>IF(AND(D184="",E184="",A184="",B184="",C184=""),"", IFERROR(IF(J183="",D2,J183),D2)+IF(E184="",0,E184)-IF(OR(G184="أبو اسحاق",G184="أبو آدم",G184="أبو اسحاق ",G184="أبو آدم "),0,IF(D184="",0,D184)))</f>
        <v>308.94500000000005</v>
      </c>
      <c r="K184" s="44"/>
      <c r="L184">
        <f>IF(E183&gt;0,COUNTIF($E$4:E183,"&gt;0"),"")</f>
        <v>120</v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>
        <f>IF(OR($A184="",$F184="أحد الشركاء",AND($D184="",$E184="")),"",SUMPRODUCT(($A$4:$A184&lt;&gt;"")*($F$4:$F184&lt;&gt;"أحد الشركاء")*((($D$4:$D184&lt;&gt;"")+($E$4:$E184&lt;&gt;""))&gt;0)))</f>
        <v>160</v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>
        <v>46271</v>
      </c>
      <c r="B185" s="36" t="s">
        <v>404</v>
      </c>
      <c r="C185" s="27" t="s">
        <v>405</v>
      </c>
      <c r="D185" s="28"/>
      <c r="E185" s="29">
        <v>7</v>
      </c>
      <c r="F185" s="30" t="s">
        <v>38</v>
      </c>
      <c r="G185" s="31"/>
      <c r="H185" s="32" t="s">
        <v>40</v>
      </c>
      <c r="I185" s="33"/>
      <c r="J185" s="34">
        <f>IF(AND(D185="",E185="",A185="",B185="",C185=""),"", IFERROR(IF(J184="",D2,J184),D2)+IF(E185="",0,E185)-IF(OR(G185="أبو اسحاق",G185="أبو آدم",G185="أبو اسحاق ",G185="أبو آدم "),0,IF(D185="",0,D185)))</f>
        <v>315.94500000000005</v>
      </c>
      <c r="K185" s="35"/>
      <c r="L185">
        <f>IF(E184&gt;0,COUNTIF($E$4:E184,"&gt;0"),"")</f>
        <v>121</v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>
        <f>IF(OR($A185="",$F185="أحد الشركاء",AND($D185="",$E185="")),"",SUMPRODUCT(($A$4:$A185&lt;&gt;"")*($F$4:$F185&lt;&gt;"أحد الشركاء")*((($D$4:$D185&lt;&gt;"")+($E$4:$E185&lt;&gt;""))&gt;0)))</f>
        <v>161</v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25">
        <v>46271</v>
      </c>
      <c r="B186" s="36"/>
      <c r="C186" s="37" t="s">
        <v>406</v>
      </c>
      <c r="D186" s="38">
        <v>85</v>
      </c>
      <c r="E186" s="39"/>
      <c r="F186" s="136" t="s">
        <v>38</v>
      </c>
      <c r="G186" s="40" t="s">
        <v>39</v>
      </c>
      <c r="H186" s="41" t="s">
        <v>40</v>
      </c>
      <c r="I186" s="42"/>
      <c r="J186" s="43">
        <f>IF(AND(D186="",E186="",A186="",B186="",C186=""),"", IFERROR(IF(J185="",D2,J185),D2)+IF(E186="",0,E186)-IF(OR(G186="أبو اسحاق",G186="أبو آدم",G186="أبو اسحاق ",G186="أبو آدم "),0,IF(D186="",0,D186)))</f>
        <v>230.94500000000005</v>
      </c>
      <c r="K186" s="44"/>
      <c r="L186">
        <f>IF(E185&gt;0,COUNTIF($E$4:E185,"&gt;0"),"")</f>
        <v>122</v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>
        <f>IF(OR($A186="",$F186="أحد الشركاء",AND($D186="",$E186="")),"",SUMPRODUCT(($A$4:$A186&lt;&gt;"")*($F$4:$F186&lt;&gt;"أحد الشركاء")*((($D$4:$D186&lt;&gt;"")+($E$4:$E186&lt;&gt;""))&gt;0)))</f>
        <v>162</v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>
        <v>46272</v>
      </c>
      <c r="B187" s="26"/>
      <c r="C187" s="27" t="s">
        <v>350</v>
      </c>
      <c r="D187" s="28">
        <v>2.15</v>
      </c>
      <c r="E187" s="29"/>
      <c r="F187" s="30" t="s">
        <v>38</v>
      </c>
      <c r="G187" s="31"/>
      <c r="H187" s="32" t="s">
        <v>40</v>
      </c>
      <c r="I187" s="33"/>
      <c r="J187" s="34">
        <f>IF(AND(D187="",E187="",A187="",B187="",C187=""),"", IFERROR(IF(J186="",D2,J186),D2)+IF(E187="",0,E187)-IF(OR(G187="أبو اسحاق",G187="أبو آدم",G187="أبو اسحاق ",G187="أبو آدم "),0,IF(D187="",0,D187)))</f>
        <v>228.79500000000004</v>
      </c>
      <c r="K187" s="35"/>
      <c r="L187" t="str">
        <f>IF(E186&gt;0,COUNTIF($E$4:E186,"&gt;0"),"")</f>
        <v/>
      </c>
      <c r="M187">
        <f>IF(AND(D186&gt;0,G186="المحفظة"),COUNTIFS($D$4:D186,"&gt;"&amp;0,$G$4:G186,"المحفظة"),"")</f>
        <v>40</v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>
        <f>IF(OR($A187="",$F187="أحد الشركاء",AND($D187="",$E187="")),"",SUMPRODUCT(($A$4:$A187&lt;&gt;"")*($F$4:$F187&lt;&gt;"أحد الشركاء")*((($D$4:$D187&lt;&gt;"")+($E$4:$E187&lt;&gt;""))&gt;0)))</f>
        <v>163</v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>
        <v>46275</v>
      </c>
      <c r="B188" s="36" t="s">
        <v>407</v>
      </c>
      <c r="C188" s="37" t="s">
        <v>408</v>
      </c>
      <c r="D188" s="38"/>
      <c r="E188" s="39">
        <v>5</v>
      </c>
      <c r="F188" s="136" t="s">
        <v>172</v>
      </c>
      <c r="G188" s="40"/>
      <c r="H188" s="41" t="s">
        <v>40</v>
      </c>
      <c r="I188" s="42"/>
      <c r="J188" s="43">
        <f>IF(AND(D188="",E188="",A188="",B188="",C188=""),"", IFERROR(IF(J187="",D2,J187),D2)+IF(E188="",0,E188)-IF(OR(G188="أبو اسحاق",G188="أبو آدم",G188="أبو اسحاق ",G188="أبو آدم "),0,IF(D188="",0,D188)))</f>
        <v>233.79500000000004</v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>
        <f>IF(OR($A188="",$F188="أحد الشركاء",AND($D188="",$E188="")),"",SUMPRODUCT(($A$4:$A188&lt;&gt;"")*($F$4:$F188&lt;&gt;"أحد الشركاء")*((($D$4:$D188&lt;&gt;"")+($E$4:$E188&lt;&gt;""))&gt;0)))</f>
        <v>164</v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>
        <v>46276</v>
      </c>
      <c r="B189" s="36" t="s">
        <v>409</v>
      </c>
      <c r="C189" s="27" t="s">
        <v>410</v>
      </c>
      <c r="D189" s="28"/>
      <c r="E189" s="29">
        <v>15</v>
      </c>
      <c r="F189" s="30" t="s">
        <v>172</v>
      </c>
      <c r="G189" s="31"/>
      <c r="H189" s="32" t="s">
        <v>40</v>
      </c>
      <c r="I189" s="33"/>
      <c r="J189" s="34">
        <f>IF(AND(D189="",E189="",A189="",B189="",C189=""),"", IFERROR(IF(J188="",D2,J188),D2)+IF(E189="",0,E189)-IF(OR(G189="أبو اسحاق",G189="أبو آدم",G189="أبو اسحاق ",G189="أبو آدم "),0,IF(D189="",0,D189)))</f>
        <v>248.79500000000004</v>
      </c>
      <c r="K189" s="168" t="s">
        <v>433</v>
      </c>
      <c r="L189">
        <f>IF(E188&gt;0,COUNTIF($E$4:E188,"&gt;0"),"")</f>
        <v>123</v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>
        <f>IF(OR($A189="",$F189="أحد الشركاء",AND($D189="",$E189="")),"",SUMPRODUCT(($A$4:$A189&lt;&gt;"")*($F$4:$F189&lt;&gt;"أحد الشركاء")*((($D$4:$D189&lt;&gt;"")+($E$4:$E189&lt;&gt;""))&gt;0)))</f>
        <v>165</v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25">
        <v>46276</v>
      </c>
      <c r="B190" s="36" t="s">
        <v>411</v>
      </c>
      <c r="C190" s="37" t="s">
        <v>412</v>
      </c>
      <c r="D190" s="38"/>
      <c r="E190" s="39">
        <v>20</v>
      </c>
      <c r="F190" s="136" t="s">
        <v>172</v>
      </c>
      <c r="G190" s="40"/>
      <c r="H190" s="41" t="s">
        <v>40</v>
      </c>
      <c r="I190" s="42"/>
      <c r="J190" s="43">
        <f>IF(AND(D190="",E190="",A190="",B190="",C190=""),"", IFERROR(IF(J189="",D2,J189),D2)+IF(E190="",0,E190)-IF(OR(G190="أبو اسحاق",G190="أبو آدم",G190="أبو اسحاق ",G190="أبو آدم "),0,IF(D190="",0,D190)))</f>
        <v>268.79500000000007</v>
      </c>
      <c r="K190" s="169"/>
      <c r="L190">
        <f>IF(E189&gt;0,COUNTIF($E$4:E189,"&gt;0"),"")</f>
        <v>124</v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>
        <f>IF(OR($A190="",$F190="أحد الشركاء",AND($D190="",$E190="")),"",SUMPRODUCT(($A$4:$A190&lt;&gt;"")*($F$4:$F190&lt;&gt;"أحد الشركاء")*((($D$4:$D190&lt;&gt;"")+($E$4:$E190&lt;&gt;""))&gt;0)))</f>
        <v>166</v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>
        <v>46276</v>
      </c>
      <c r="B191" s="36" t="s">
        <v>413</v>
      </c>
      <c r="C191" s="27" t="s">
        <v>414</v>
      </c>
      <c r="D191" s="28"/>
      <c r="E191" s="29">
        <v>35</v>
      </c>
      <c r="F191" s="30" t="s">
        <v>172</v>
      </c>
      <c r="G191" s="31"/>
      <c r="H191" s="32" t="s">
        <v>40</v>
      </c>
      <c r="I191" s="33"/>
      <c r="J191" s="34">
        <f>IF(AND(D191="",E191="",A191="",B191="",C191=""),"", IFERROR(IF(J190="",D2,J190),D2)+IF(E191="",0,E191)-IF(OR(G191="أبو اسحاق",G191="أبو آدم",G191="أبو اسحاق ",G191="أبو آدم "),0,IF(D191="",0,D191)))</f>
        <v>303.79500000000007</v>
      </c>
      <c r="K191" s="169"/>
      <c r="L191">
        <f>IF(E190&gt;0,COUNTIF($E$4:E190,"&gt;0"),"")</f>
        <v>125</v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>
        <f>IF(OR($A191="",$F191="أحد الشركاء",AND($D191="",$E191="")),"",SUMPRODUCT(($A$4:$A191&lt;&gt;"")*($F$4:$F191&lt;&gt;"أحد الشركاء")*((($D$4:$D191&lt;&gt;"")+($E$4:$E191&lt;&gt;""))&gt;0)))</f>
        <v>167</v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25">
        <v>46276</v>
      </c>
      <c r="B192" s="36" t="s">
        <v>415</v>
      </c>
      <c r="C192" s="37" t="s">
        <v>416</v>
      </c>
      <c r="D192" s="38"/>
      <c r="E192" s="39">
        <v>5</v>
      </c>
      <c r="F192" s="136" t="s">
        <v>172</v>
      </c>
      <c r="G192" s="40"/>
      <c r="H192" s="41" t="s">
        <v>40</v>
      </c>
      <c r="I192" s="42"/>
      <c r="J192" s="43">
        <f>IF(AND(D192="",E192="",A192="",B192="",C192=""),"", IFERROR(IF(J191="",D2,J191),D2)+IF(E192="",0,E192)-IF(OR(G192="أبو اسحاق",G192="أبو آدم",G192="أبو اسحاق ",G192="أبو آدم "),0,IF(D192="",0,D192)))</f>
        <v>308.79500000000007</v>
      </c>
      <c r="K192" s="169"/>
      <c r="L192">
        <f>IF(E191&gt;0,COUNTIF($E$4:E191,"&gt;0"),"")</f>
        <v>126</v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>
        <f>IF(OR($A192="",$F192="أحد الشركاء",AND($D192="",$E192="")),"",SUMPRODUCT(($A$4:$A192&lt;&gt;"")*($F$4:$F192&lt;&gt;"أحد الشركاء")*((($D$4:$D192&lt;&gt;"")+($E$4:$E192&lt;&gt;""))&gt;0)))</f>
        <v>168</v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>
        <v>46276</v>
      </c>
      <c r="B193" s="36" t="s">
        <v>417</v>
      </c>
      <c r="C193" s="27" t="s">
        <v>418</v>
      </c>
      <c r="D193" s="28"/>
      <c r="E193" s="29">
        <v>10</v>
      </c>
      <c r="F193" s="30" t="s">
        <v>172</v>
      </c>
      <c r="G193" s="31"/>
      <c r="H193" s="32" t="s">
        <v>40</v>
      </c>
      <c r="I193" s="33"/>
      <c r="J193" s="34">
        <f>IF(AND(D193="",E193="",A193="",B193="",C193=""),"", IFERROR(IF(J192="",D2,J192),D2)+IF(E193="",0,E193)-IF(OR(G193="أبو اسحاق",G193="أبو آدم",G193="أبو اسحاق ",G193="أبو آدم "),0,IF(D193="",0,D193)))</f>
        <v>318.79500000000007</v>
      </c>
      <c r="K193" s="170"/>
      <c r="L193">
        <f>IF(E192&gt;0,COUNTIF($E$4:E192,"&gt;0"),"")</f>
        <v>127</v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>
        <f>IF(OR($A193="",$F193="أحد الشركاء",AND($D193="",$E193="")),"",SUMPRODUCT(($A$4:$A193&lt;&gt;"")*($F$4:$F193&lt;&gt;"أحد الشركاء")*((($D$4:$D193&lt;&gt;"")+($E$4:$E193&lt;&gt;""))&gt;0)))</f>
        <v>169</v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25">
        <v>46276</v>
      </c>
      <c r="B194" s="36" t="s">
        <v>419</v>
      </c>
      <c r="C194" s="37" t="s">
        <v>420</v>
      </c>
      <c r="D194" s="38"/>
      <c r="E194" s="39">
        <v>6</v>
      </c>
      <c r="F194" s="136" t="s">
        <v>38</v>
      </c>
      <c r="G194" s="40"/>
      <c r="H194" s="41" t="s">
        <v>40</v>
      </c>
      <c r="I194" s="42"/>
      <c r="J194" s="43">
        <f>IF(AND(D194="",E194="",A194="",B194="",C194=""),"", IFERROR(IF(J193="",D2,J193),D2)+IF(E194="",0,E194)-IF(OR(G194="أبو اسحاق",G194="أبو آدم",G194="أبو اسحاق ",G194="أبو آدم "),0,IF(D194="",0,D194)))</f>
        <v>324.79500000000007</v>
      </c>
      <c r="K194" s="44"/>
      <c r="L194">
        <f>IF(E193&gt;0,COUNTIF($E$4:E193,"&gt;0"),"")</f>
        <v>128</v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>
        <f>IF(OR($A194="",$F194="أحد الشركاء",AND($D194="",$E194="")),"",SUMPRODUCT(($A$4:$A194&lt;&gt;"")*($F$4:$F194&lt;&gt;"أحد الشركاء")*((($D$4:$D194&lt;&gt;"")+($E$4:$E194&lt;&gt;""))&gt;0)))</f>
        <v>170</v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>
        <v>46276</v>
      </c>
      <c r="B195" s="36" t="s">
        <v>421</v>
      </c>
      <c r="C195" s="27" t="s">
        <v>422</v>
      </c>
      <c r="D195" s="28"/>
      <c r="E195" s="29">
        <v>2</v>
      </c>
      <c r="F195" s="30" t="s">
        <v>38</v>
      </c>
      <c r="G195" s="31"/>
      <c r="H195" s="32" t="s">
        <v>40</v>
      </c>
      <c r="I195" s="33"/>
      <c r="J195" s="34">
        <f>IF(AND(D195="",E195="",A195="",B195="",C195=""),"", IFERROR(IF(J194="",D2,J194),D2)+IF(E195="",0,E195)-IF(OR(G195="أبو اسحاق",G195="أبو آدم",G195="أبو اسحاق ",G195="أبو آدم "),0,IF(D195="",0,D195)))</f>
        <v>326.79500000000007</v>
      </c>
      <c r="K195" s="35"/>
      <c r="L195">
        <f>IF(E194&gt;0,COUNTIF($E$4:E194,"&gt;0"),"")</f>
        <v>129</v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>
        <f>IF(OR($A195="",$F195="أحد الشركاء",AND($D195="",$E195="")),"",SUMPRODUCT(($A$4:$A195&lt;&gt;"")*($F$4:$F195&lt;&gt;"أحد الشركاء")*((($D$4:$D195&lt;&gt;"")+($E$4:$E195&lt;&gt;""))&gt;0)))</f>
        <v>171</v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25">
        <v>46276</v>
      </c>
      <c r="B196" s="36" t="s">
        <v>423</v>
      </c>
      <c r="C196" s="37" t="s">
        <v>424</v>
      </c>
      <c r="D196" s="38"/>
      <c r="E196" s="39">
        <v>5</v>
      </c>
      <c r="F196" s="136" t="s">
        <v>38</v>
      </c>
      <c r="G196" s="40"/>
      <c r="H196" s="41" t="s">
        <v>40</v>
      </c>
      <c r="I196" s="42"/>
      <c r="J196" s="43">
        <f>IF(AND(D196="",E196="",A196="",B196="",C196=""),"", IFERROR(IF(J195="",D2,J195),D2)+IF(E196="",0,E196)-IF(OR(G196="أبو اسحاق",G196="أبو آدم",G196="أبو اسحاق ",G196="أبو آدم "),0,IF(D196="",0,D196)))</f>
        <v>331.79500000000007</v>
      </c>
      <c r="K196" s="44"/>
      <c r="L196">
        <f>IF(E195&gt;0,COUNTIF($E$4:E195,"&gt;0"),"")</f>
        <v>130</v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>
        <f>IF(OR($A196="",$F196="أحد الشركاء",AND($D196="",$E196="")),"",SUMPRODUCT(($A$4:$A196&lt;&gt;"")*($F$4:$F196&lt;&gt;"أحد الشركاء")*((($D$4:$D196&lt;&gt;"")+($E$4:$E196&lt;&gt;""))&gt;0)))</f>
        <v>172</v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>
        <v>46276</v>
      </c>
      <c r="B197" s="36" t="s">
        <v>425</v>
      </c>
      <c r="C197" s="27" t="s">
        <v>426</v>
      </c>
      <c r="D197" s="28"/>
      <c r="E197" s="29">
        <v>2</v>
      </c>
      <c r="F197" s="30" t="s">
        <v>38</v>
      </c>
      <c r="G197" s="31"/>
      <c r="H197" s="32" t="s">
        <v>40</v>
      </c>
      <c r="I197" s="33"/>
      <c r="J197" s="34">
        <f>IF(AND(D197="",E197="",A197="",B197="",C197=""),"", IFERROR(IF(J196="",D2,J196),D2)+IF(E197="",0,E197)-IF(OR(G197="أبو اسحاق",G197="أبو آدم",G197="أبو اسحاق ",G197="أبو آدم "),0,IF(D197="",0,D197)))</f>
        <v>333.79500000000007</v>
      </c>
      <c r="K197" s="35"/>
      <c r="L197">
        <f>IF(E196&gt;0,COUNTIF($E$4:E196,"&gt;0"),"")</f>
        <v>131</v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>
        <f>IF(OR($A197="",$F197="أحد الشركاء",AND($D197="",$E197="")),"",SUMPRODUCT(($A$4:$A197&lt;&gt;"")*($F$4:$F197&lt;&gt;"أحد الشركاء")*((($D$4:$D197&lt;&gt;"")+($E$4:$E197&lt;&gt;""))&gt;0)))</f>
        <v>173</v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25">
        <v>46276</v>
      </c>
      <c r="B198" s="36" t="s">
        <v>427</v>
      </c>
      <c r="C198" s="37" t="s">
        <v>428</v>
      </c>
      <c r="D198" s="38"/>
      <c r="E198" s="39">
        <v>3</v>
      </c>
      <c r="F198" s="136" t="s">
        <v>38</v>
      </c>
      <c r="G198" s="40"/>
      <c r="H198" s="41" t="s">
        <v>40</v>
      </c>
      <c r="I198" s="42"/>
      <c r="J198" s="43">
        <f>IF(AND(D198="",E198="",A198="",B198="",C198=""),"", IFERROR(IF(J197="",D2,J197),D2)+IF(E198="",0,E198)-IF(OR(G198="أبو اسحاق",G198="أبو آدم",G198="أبو اسحاق ",G198="أبو آدم "),0,IF(D198="",0,D198)))</f>
        <v>336.79500000000007</v>
      </c>
      <c r="K198" s="44"/>
      <c r="L198">
        <f>IF(E197&gt;0,COUNTIF($E$4:E197,"&gt;0"),"")</f>
        <v>132</v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>
        <f>IF(OR($A198="",$F198="أحد الشركاء",AND($D198="",$E198="")),"",SUMPRODUCT(($A$4:$A198&lt;&gt;"")*($F$4:$F198&lt;&gt;"أحد الشركاء")*((($D$4:$D198&lt;&gt;"")+($E$4:$E198&lt;&gt;""))&gt;0)))</f>
        <v>174</v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>
        <v>46276</v>
      </c>
      <c r="B199" s="36" t="s">
        <v>429</v>
      </c>
      <c r="C199" s="27" t="s">
        <v>426</v>
      </c>
      <c r="D199" s="28"/>
      <c r="E199" s="29">
        <v>2</v>
      </c>
      <c r="F199" s="30" t="s">
        <v>38</v>
      </c>
      <c r="G199" s="31"/>
      <c r="H199" s="32" t="s">
        <v>40</v>
      </c>
      <c r="I199" s="33"/>
      <c r="J199" s="34">
        <f>IF(AND(D199="",E199="",A199="",B199="",C199=""),"", IFERROR(IF(J198="",D2,J198),D2)+IF(E199="",0,E199)-IF(OR(G199="أبو اسحاق",G199="أبو آدم",G199="أبو اسحاق ",G199="أبو آدم "),0,IF(D199="",0,D199)))</f>
        <v>338.79500000000007</v>
      </c>
      <c r="K199" s="35"/>
      <c r="L199">
        <f>IF(E198&gt;0,COUNTIF($E$4:E198,"&gt;0"),"")</f>
        <v>133</v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>
        <f>IF(OR($A199="",$F199="أحد الشركاء",AND($D199="",$E199="")),"",SUMPRODUCT(($A$4:$A199&lt;&gt;"")*($F$4:$F199&lt;&gt;"أحد الشركاء")*((($D$4:$D199&lt;&gt;"")+($E$4:$E199&lt;&gt;""))&gt;0)))</f>
        <v>175</v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>
        <v>46277</v>
      </c>
      <c r="B200" s="36"/>
      <c r="C200" s="37" t="s">
        <v>430</v>
      </c>
      <c r="D200" s="38">
        <v>34.5</v>
      </c>
      <c r="E200" s="39"/>
      <c r="F200" s="136" t="s">
        <v>38</v>
      </c>
      <c r="G200" s="40" t="s">
        <v>39</v>
      </c>
      <c r="H200" s="41" t="s">
        <v>40</v>
      </c>
      <c r="I200" s="42"/>
      <c r="J200" s="43">
        <f>IF(AND(D200="",E200="",A200="",B200="",C200=""),"", IFERROR(IF(J199="",D2,J199),D2)+IF(E200="",0,E200)-IF(OR(G200="أبو اسحاق",G200="أبو آدم",G200="أبو اسحاق ",G200="أبو آدم "),0,IF(D200="",0,D200)))</f>
        <v>304.29500000000007</v>
      </c>
      <c r="K200" s="44"/>
      <c r="L200">
        <f>IF(E199&gt;0,COUNTIF($E$4:E199,"&gt;0"),"")</f>
        <v>134</v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>
        <f>IF(OR($A200="",$F200="أحد الشركاء",AND($D200="",$E200="")),"",SUMPRODUCT(($A$4:$A200&lt;&gt;"")*($F$4:$F200&lt;&gt;"أحد الشركاء")*((($D$4:$D200&lt;&gt;"")+($E$4:$E200&lt;&gt;""))&gt;0)))</f>
        <v>176</v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>
        <v>46278</v>
      </c>
      <c r="B201" s="36" t="s">
        <v>431</v>
      </c>
      <c r="C201" s="27" t="s">
        <v>399</v>
      </c>
      <c r="D201" s="28"/>
      <c r="E201" s="29">
        <v>310</v>
      </c>
      <c r="F201" s="30" t="s">
        <v>38</v>
      </c>
      <c r="G201" s="31"/>
      <c r="H201" s="32" t="s">
        <v>40</v>
      </c>
      <c r="I201" s="33"/>
      <c r="J201" s="34">
        <f>IF(AND(D201="",E201="",A201="",B201="",C201=""),"", IFERROR(IF(J200="",D2,J200),D2)+IF(E201="",0,E201)-IF(OR(G201="أبو اسحاق",G201="أبو آدم",G201="أبو اسحاق ",G201="أبو آدم "),0,IF(D201="",0,D201)))</f>
        <v>614.29500000000007</v>
      </c>
      <c r="K201" s="35"/>
      <c r="L201" t="str">
        <f>IF(E200&gt;0,COUNTIF($E$4:E200,"&gt;0"),"")</f>
        <v/>
      </c>
      <c r="M201">
        <f>IF(AND(D200&gt;0,G200="المحفظة"),COUNTIFS($D$4:D200,"&gt;"&amp;0,$G$4:G200,"المحفظة"),"")</f>
        <v>41</v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>
        <f>IF(OR($A201="",$F201="أحد الشركاء",AND($D201="",$E201="")),"",SUMPRODUCT(($A$4:$A201&lt;&gt;"")*($F$4:$F201&lt;&gt;"أحد الشركاء")*((($D$4:$D201&lt;&gt;"")+($E$4:$E201&lt;&gt;""))&gt;0)))</f>
        <v>177</v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>
        <v>46278</v>
      </c>
      <c r="B202" s="36"/>
      <c r="C202" s="37" t="s">
        <v>432</v>
      </c>
      <c r="D202" s="38">
        <v>5</v>
      </c>
      <c r="E202" s="39"/>
      <c r="F202" s="136" t="s">
        <v>38</v>
      </c>
      <c r="G202" s="40" t="s">
        <v>39</v>
      </c>
      <c r="H202" s="41" t="s">
        <v>40</v>
      </c>
      <c r="I202" s="42"/>
      <c r="J202" s="43">
        <f>IF(AND(D202="",E202="",A202="",B202="",C202=""),"", IFERROR(IF(J201="",D2,J201),D2)+IF(E202="",0,E202)-IF(OR(G202="أبو اسحاق",G202="أبو آدم",G202="أبو اسحاق ",G202="أبو آدم "),0,IF(D202="",0,D202)))</f>
        <v>609.29500000000007</v>
      </c>
      <c r="K202" s="44"/>
      <c r="L202">
        <f>IF(E201&gt;0,COUNTIF($E$4:E201,"&gt;0"),"")</f>
        <v>135</v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>
        <f>IF(OR($A202="",$F202="أحد الشركاء",AND($D202="",$E202="")),"",SUMPRODUCT(($A$4:$A202&lt;&gt;"")*($F$4:$F202&lt;&gt;"أحد الشركاء")*((($D$4:$D202&lt;&gt;"")+($E$4:$E202&lt;&gt;""))&gt;0)))</f>
        <v>178</v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151">
        <v>46282</v>
      </c>
      <c r="C203" s="27" t="s">
        <v>434</v>
      </c>
      <c r="D203" s="28">
        <v>6.25</v>
      </c>
      <c r="E203" s="29"/>
      <c r="F203" s="30" t="s">
        <v>38</v>
      </c>
      <c r="G203" s="31" t="s">
        <v>39</v>
      </c>
      <c r="H203" s="32" t="s">
        <v>40</v>
      </c>
      <c r="I203" s="33"/>
      <c r="J203" s="34">
        <f>IF(AND(D203="",E203="",A203="",B203="",C203=""),"", IFERROR(IF(J202="",D2,J202),D2)+IF(E203="",0,E203)-IF(OR(G203="أبو اسحاق",G203="أبو آدم",G203="أبو اسحاق ",G203="أبو آدم "),0,IF(D203="",0,D203)))</f>
        <v>603.04500000000007</v>
      </c>
      <c r="K203" s="35"/>
      <c r="L203" t="str">
        <f>IF(E202&gt;0,COUNTIF($E$4:E202,"&gt;0"),"")</f>
        <v/>
      </c>
      <c r="M203">
        <f>IF(AND(D202&gt;0,G202="المحفظة"),COUNTIFS($D$4:D202,"&gt;"&amp;0,$G$4:G202,"المحفظة"),"")</f>
        <v>42</v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>
        <f>IF(OR($A203="",$F203="أحد الشركاء",AND($D203="",$E203="")),"",SUMPRODUCT(($A$4:$A203&lt;&gt;"")*($F$4:$F203&lt;&gt;"أحد الشركاء")*((($D$4:$D203&lt;&gt;"")+($E$4:$E203&lt;&gt;""))&gt;0)))</f>
        <v>179</v>
      </c>
      <c r="Q203" t="str">
        <f>IF(OR($A203="",$F203&lt;&gt;"أحد الشركاء"),"",COUNTIFS($A$4:A203,"&lt;&gt;",$F$4:F203,"أحد الشركاء"))</f>
        <v/>
      </c>
    </row>
    <row r="204" spans="1:17" ht="18.75" customHeight="1" x14ac:dyDescent="0.25">
      <c r="A204" s="152">
        <v>46282</v>
      </c>
      <c r="B204" s="152"/>
      <c r="C204" s="37" t="s">
        <v>435</v>
      </c>
      <c r="D204" s="38">
        <v>80</v>
      </c>
      <c r="E204" s="39"/>
      <c r="F204" s="136" t="s">
        <v>38</v>
      </c>
      <c r="G204" s="40" t="s">
        <v>39</v>
      </c>
      <c r="H204" s="41" t="s">
        <v>40</v>
      </c>
      <c r="I204" s="42"/>
      <c r="J204" s="43">
        <f>IF(AND(D204="",E204="",A204="",B204="",C204=""),"", IFERROR(IF(J203="",D2,J203),D2)+IF(E204="",0,E204)-IF(OR(G204="أبو اسحاق",G204="أبو آدم",G204="أبو اسحاق ",G204="أبو آدم "),0,IF(D204="",0,D204)))</f>
        <v>523.04500000000007</v>
      </c>
      <c r="K204" s="44"/>
      <c r="L204" t="str">
        <f>IF(E203&gt;0,COUNTIF($E$4:E203,"&gt;0"),"")</f>
        <v/>
      </c>
      <c r="M204">
        <f>IF(AND(D203&gt;0,G203="المحفظة"),COUNTIFS($D$4:D203,"&gt;"&amp;0,$G$4:G203,"المحفظة"),"")</f>
        <v>43</v>
      </c>
      <c r="N204" t="str">
        <f>IF(AND(OR('طباعة كشف الحساب'!$C$2="الكل",MONTH(A204)=IFERROR(MATCH('طباعة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الحساب'!$F$2="الكل",YEAR(A204)=IFERROR(VALUE('طباعة كشف الحساب'!$F$2),0)),A204&lt;&gt;""),IFERROR(MAX($N$4:N203),0)+1,"")</f>
        <v/>
      </c>
      <c r="O204" t="str">
        <f>IF(AND(D203&gt;0,F203="أحد الشركاء"),COUNTIFS($D$4:D203,"&gt;"&amp;0,$F$4:F203,"أحد الشركاء"),"")</f>
        <v/>
      </c>
      <c r="P204">
        <f>IF(OR($A204="",$F204="أحد الشركاء",AND($D204="",$E204="")),"",SUMPRODUCT(($A$4:$A204&lt;&gt;"")*($F$4:$F204&lt;&gt;"أحد الشركاء")*((($D$4:$D204&lt;&gt;"")+($E$4:$E204&lt;&gt;""))&gt;0)))</f>
        <v>180</v>
      </c>
      <c r="Q204" t="str">
        <f>IF(OR($A204="",$F204&lt;&gt;"أحد الشركاء"),"",COUNTIFS($A$4:A204,"&lt;&gt;",$F$4:F204,"أحد الشركاء"))</f>
        <v/>
      </c>
    </row>
    <row r="205" spans="1:17" ht="18.75" customHeight="1" x14ac:dyDescent="0.25">
      <c r="A205" s="152">
        <v>46282</v>
      </c>
      <c r="B205" s="36" t="s">
        <v>436</v>
      </c>
      <c r="C205" s="27" t="s">
        <v>437</v>
      </c>
      <c r="D205" s="28"/>
      <c r="E205" s="29">
        <v>3</v>
      </c>
      <c r="F205" s="30" t="s">
        <v>38</v>
      </c>
      <c r="G205" s="31"/>
      <c r="H205" s="32" t="s">
        <v>40</v>
      </c>
      <c r="I205" s="33"/>
      <c r="J205" s="34">
        <f>IF(AND(D205="",E205="",A205="",B205="",C205=""),"", IFERROR(IF(J204="",D2,J204),D2)+IF(E205="",0,E205)-IF(OR(G205="أبو اسحاق",G205="أبو آدم",G205="أبو اسحاق ",G205="أبو آدم "),0,IF(D205="",0,D205)))</f>
        <v>526.04500000000007</v>
      </c>
      <c r="K205" s="35"/>
      <c r="L205" t="str">
        <f>IF(E204&gt;0,COUNTIF($E$4:E204,"&gt;0"),"")</f>
        <v/>
      </c>
      <c r="M205">
        <f>IF(AND(D204&gt;0,G204="المحفظة"),COUNTIFS($D$4:D204,"&gt;"&amp;0,$G$4:G204,"المحفظة"),"")</f>
        <v>44</v>
      </c>
      <c r="N205" t="str">
        <f>IF(AND(OR('طباعة كشف الحساب'!$C$2="الكل",MONTH(A205)=IFERROR(MATCH('طباعة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الحساب'!$F$2="الكل",YEAR(A205)=IFERROR(VALUE('طباعة كشف الحساب'!$F$2),0)),A205&lt;&gt;""),IFERROR(MAX($N$4:N204),0)+1,"")</f>
        <v/>
      </c>
      <c r="O205" t="str">
        <f>IF(AND(D204&gt;0,F204="أحد الشركاء"),COUNTIFS($D$4:D204,"&gt;"&amp;0,$F$4:F204,"أحد الشركاء"),"")</f>
        <v/>
      </c>
      <c r="P205">
        <f>IF(OR($A205="",$F205="أحد الشركاء",AND($D205="",$E205="")),"",SUMPRODUCT(($A$4:$A205&lt;&gt;"")*($F$4:$F205&lt;&gt;"أحد الشركاء")*((($D$4:$D205&lt;&gt;"")+($E$4:$E205&lt;&gt;""))&gt;0)))</f>
        <v>181</v>
      </c>
      <c r="Q205" t="str">
        <f>IF(OR($A205="",$F205&lt;&gt;"أحد الشركاء"),"",COUNTIFS($A$4:A205,"&lt;&gt;",$F$4:F205,"أحد الشركاء"))</f>
        <v/>
      </c>
    </row>
    <row r="206" spans="1:17" ht="18.75" customHeight="1" x14ac:dyDescent="0.25">
      <c r="A206" s="152">
        <v>46282</v>
      </c>
      <c r="B206" s="36" t="s">
        <v>438</v>
      </c>
      <c r="C206" s="37" t="s">
        <v>376</v>
      </c>
      <c r="D206" s="38"/>
      <c r="E206" s="39">
        <v>10</v>
      </c>
      <c r="F206" s="136" t="s">
        <v>38</v>
      </c>
      <c r="G206" s="40"/>
      <c r="H206" s="41" t="s">
        <v>40</v>
      </c>
      <c r="I206" s="42"/>
      <c r="J206" s="43">
        <f>IF(AND(D206="",E206="",A206="",B206="",C206=""),"", IFERROR(IF(J205="",D2,J205),D2)+IF(E206="",0,E206)-IF(OR(G206="أبو اسحاق",G206="أبو آدم",G206="أبو اسحاق ",G206="أبو آدم "),0,IF(D206="",0,D206)))</f>
        <v>536.04500000000007</v>
      </c>
      <c r="K206" s="44"/>
      <c r="L206">
        <f>IF(E205&gt;0,COUNTIF($E$4:E205,"&gt;0"),"")</f>
        <v>136</v>
      </c>
      <c r="M206" t="str">
        <f>IF(AND(D205&gt;0,G205="المحفظة"),COUNTIFS($D$4:D205,"&gt;"&amp;0,$G$4:G205,"المحفظة"),"")</f>
        <v/>
      </c>
      <c r="N206" t="str">
        <f>IF(AND(OR('طباعة كشف الحساب'!$C$2="الكل",MONTH(A206)=IFERROR(MATCH('طباعة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الحساب'!$F$2="الكل",YEAR(A206)=IFERROR(VALUE('طباعة كشف الحساب'!$F$2),0)),A206&lt;&gt;""),IFERROR(MAX($N$4:N205),0)+1,"")</f>
        <v/>
      </c>
      <c r="O206" t="str">
        <f>IF(AND(D205&gt;0,F205="أحد الشركاء"),COUNTIFS($D$4:D205,"&gt;"&amp;0,$F$4:F205,"أحد الشركاء"),"")</f>
        <v/>
      </c>
      <c r="P206">
        <f>IF(OR($A206="",$F206="أحد الشركاء",AND($D206="",$E206="")),"",SUMPRODUCT(($A$4:$A206&lt;&gt;"")*($F$4:$F206&lt;&gt;"أحد الشركاء")*((($D$4:$D206&lt;&gt;"")+($E$4:$E206&lt;&gt;""))&gt;0)))</f>
        <v>182</v>
      </c>
      <c r="Q206" t="str">
        <f>IF(OR($A206="",$F206&lt;&gt;"أحد الشركاء"),"",COUNTIFS($A$4:A206,"&lt;&gt;",$F$4:F206,"أحد الشركاء"))</f>
        <v/>
      </c>
    </row>
    <row r="207" spans="1:17" ht="18.75" customHeight="1" x14ac:dyDescent="0.25">
      <c r="A207" s="152">
        <v>46282</v>
      </c>
      <c r="B207" s="36" t="s">
        <v>440</v>
      </c>
      <c r="C207" s="27" t="s">
        <v>439</v>
      </c>
      <c r="D207" s="28"/>
      <c r="E207" s="29">
        <v>10</v>
      </c>
      <c r="F207" s="30" t="s">
        <v>38</v>
      </c>
      <c r="G207" s="31"/>
      <c r="H207" s="32" t="s">
        <v>40</v>
      </c>
      <c r="I207" s="33"/>
      <c r="J207" s="34">
        <f>IF(AND(D207="",E207="",A207="",B207="",C207=""),"", IFERROR(IF(J206="",D2,J206),D2)+IF(E207="",0,E207)-IF(OR(G207="أبو اسحاق",G207="أبو آدم",G207="أبو اسحاق ",G207="أبو آدم "),0,IF(D207="",0,D207)))</f>
        <v>546.04500000000007</v>
      </c>
      <c r="K207" s="35"/>
      <c r="L207">
        <f>IF(E206&gt;0,COUNTIF($E$4:E206,"&gt;0"),"")</f>
        <v>137</v>
      </c>
      <c r="M207" t="str">
        <f>IF(AND(D206&gt;0,G206="المحفظة"),COUNTIFS($D$4:D206,"&gt;"&amp;0,$G$4:G206,"المحفظة"),"")</f>
        <v/>
      </c>
      <c r="N207" t="str">
        <f>IF(AND(OR('طباعة كشف الحساب'!$C$2="الكل",MONTH(A207)=IFERROR(MATCH('طباعة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الحساب'!$F$2="الكل",YEAR(A207)=IFERROR(VALUE('طباعة كشف الحساب'!$F$2),0)),A207&lt;&gt;""),IFERROR(MAX($N$4:N206),0)+1,"")</f>
        <v/>
      </c>
      <c r="O207" t="str">
        <f>IF(AND(D206&gt;0,F206="أحد الشركاء"),COUNTIFS($D$4:D206,"&gt;"&amp;0,$F$4:F206,"أحد الشركاء"),"")</f>
        <v/>
      </c>
      <c r="P207">
        <f>IF(OR($A207="",$F207="أحد الشركاء",AND($D207="",$E207="")),"",SUMPRODUCT(($A$4:$A207&lt;&gt;"")*($F$4:$F207&lt;&gt;"أحد الشركاء")*((($D$4:$D207&lt;&gt;"")+($E$4:$E207&lt;&gt;""))&gt;0)))</f>
        <v>183</v>
      </c>
      <c r="Q207" t="str">
        <f>IF(OR($A207="",$F207&lt;&gt;"أحد الشركاء"),"",COUNTIFS($A$4:A207,"&lt;&gt;",$F$4:F207,"أحد الشركاء"))</f>
        <v/>
      </c>
    </row>
    <row r="208" spans="1:17" ht="18.75" customHeight="1" x14ac:dyDescent="0.25">
      <c r="A208" s="152">
        <v>46282</v>
      </c>
      <c r="B208" s="36" t="s">
        <v>441</v>
      </c>
      <c r="C208" s="37" t="s">
        <v>442</v>
      </c>
      <c r="D208" s="38"/>
      <c r="E208" s="39">
        <v>10</v>
      </c>
      <c r="F208" s="136" t="s">
        <v>38</v>
      </c>
      <c r="G208" s="40"/>
      <c r="H208" s="41" t="s">
        <v>40</v>
      </c>
      <c r="I208" s="42"/>
      <c r="J208" s="43">
        <f>IF(AND(D208="",E208="",A208="",B208="",C208=""),"", IFERROR(IF(J207="",D2,J207),D2)+IF(E208="",0,E208)-IF(OR(G208="أبو اسحاق",G208="أبو آدم",G208="أبو اسحاق ",G208="أبو آدم "),0,IF(D208="",0,D208)))</f>
        <v>556.04500000000007</v>
      </c>
      <c r="K208" s="44"/>
      <c r="L208">
        <f>IF(E207&gt;0,COUNTIF($E$4:E207,"&gt;0"),"")</f>
        <v>138</v>
      </c>
      <c r="M208" t="str">
        <f>IF(AND(D207&gt;0,G207="المحفظة"),COUNTIFS($D$4:D207,"&gt;"&amp;0,$G$4:G207,"المحفظة"),"")</f>
        <v/>
      </c>
      <c r="N208" t="str">
        <f>IF(AND(OR('طباعة كشف الحساب'!$C$2="الكل",MONTH(A208)=IFERROR(MATCH('طباعة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الحساب'!$F$2="الكل",YEAR(A208)=IFERROR(VALUE('طباعة كشف الحساب'!$F$2),0)),A208&lt;&gt;""),IFERROR(MAX($N$4:N207),0)+1,"")</f>
        <v/>
      </c>
      <c r="O208" t="str">
        <f>IF(AND(D207&gt;0,F207="أحد الشركاء"),COUNTIFS($D$4:D207,"&gt;"&amp;0,$F$4:F207,"أحد الشركاء"),"")</f>
        <v/>
      </c>
      <c r="P208">
        <f>IF(OR($A208="",$F208="أحد الشركاء",AND($D208="",$E208="")),"",SUMPRODUCT(($A$4:$A208&lt;&gt;"")*($F$4:$F208&lt;&gt;"أحد الشركاء")*((($D$4:$D208&lt;&gt;"")+($E$4:$E208&lt;&gt;""))&gt;0)))</f>
        <v>184</v>
      </c>
      <c r="Q208" t="str">
        <f>IF(OR($A208="",$F208&lt;&gt;"أحد الشركاء"),"",COUNTIFS($A$4:A208,"&lt;&gt;",$F$4:F208,"أحد الشركاء"))</f>
        <v/>
      </c>
    </row>
    <row r="209" spans="1:17" ht="18.75" customHeight="1" x14ac:dyDescent="0.25">
      <c r="A209" s="152">
        <v>46282</v>
      </c>
      <c r="B209" s="36" t="s">
        <v>443</v>
      </c>
      <c r="C209" s="27" t="s">
        <v>444</v>
      </c>
      <c r="D209" s="28"/>
      <c r="E209" s="29">
        <v>9</v>
      </c>
      <c r="F209" s="30" t="s">
        <v>38</v>
      </c>
      <c r="G209" s="31"/>
      <c r="H209" s="32" t="s">
        <v>40</v>
      </c>
      <c r="I209" s="33"/>
      <c r="J209" s="34">
        <f>IF(AND(D209="",E209="",A209="",B209="",C209=""),"", IFERROR(IF(J208="",D2,J208),D2)+IF(E209="",0,E209)-IF(OR(G209="أبو اسحاق",G209="أبو آدم",G209="أبو اسحاق ",G209="أبو آدم "),0,IF(D209="",0,D209)))</f>
        <v>565.04500000000007</v>
      </c>
      <c r="K209" s="168" t="s">
        <v>498</v>
      </c>
      <c r="L209">
        <f>IF(E208&gt;0,COUNTIF($E$4:E208,"&gt;0"),"")</f>
        <v>139</v>
      </c>
      <c r="M209" t="str">
        <f>IF(AND(D208&gt;0,G208="المحفظة"),COUNTIFS($D$4:D208,"&gt;"&amp;0,$G$4:G208,"المحفظة"),"")</f>
        <v/>
      </c>
      <c r="N209" t="str">
        <f>IF(AND(OR('طباعة كشف الحساب'!$C$2="الكل",MONTH(A209)=IFERROR(MATCH('طباعة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الحساب'!$F$2="الكل",YEAR(A209)=IFERROR(VALUE('طباعة كشف الحساب'!$F$2),0)),A209&lt;&gt;""),IFERROR(MAX($N$4:N208),0)+1,"")</f>
        <v/>
      </c>
      <c r="O209" t="str">
        <f>IF(AND(D208&gt;0,F208="أحد الشركاء"),COUNTIFS($D$4:D208,"&gt;"&amp;0,$F$4:F208,"أحد الشركاء"),"")</f>
        <v/>
      </c>
      <c r="P209">
        <f>IF(OR($A209="",$F209="أحد الشركاء",AND($D209="",$E209="")),"",SUMPRODUCT(($A$4:$A209&lt;&gt;"")*($F$4:$F209&lt;&gt;"أحد الشركاء")*((($D$4:$D209&lt;&gt;"")+($E$4:$E209&lt;&gt;""))&gt;0)))</f>
        <v>185</v>
      </c>
      <c r="Q209" t="str">
        <f>IF(OR($A209="",$F209&lt;&gt;"أحد الشركاء"),"",COUNTIFS($A$4:A209,"&lt;&gt;",$F$4:F209,"أحد الشركاء"))</f>
        <v/>
      </c>
    </row>
    <row r="210" spans="1:17" ht="18.75" customHeight="1" x14ac:dyDescent="0.25">
      <c r="A210" s="152">
        <v>46282</v>
      </c>
      <c r="B210" s="36" t="s">
        <v>445</v>
      </c>
      <c r="C210" s="37" t="s">
        <v>444</v>
      </c>
      <c r="D210" s="38"/>
      <c r="E210" s="39">
        <v>6</v>
      </c>
      <c r="F210" s="136" t="s">
        <v>38</v>
      </c>
      <c r="G210" s="40"/>
      <c r="H210" s="41" t="s">
        <v>40</v>
      </c>
      <c r="I210" s="42"/>
      <c r="J210" s="43">
        <f>IF(AND(D210="",E210="",A210="",B210="",C210=""),"", IFERROR(IF(J209="",D2,J209),D2)+IF(E210="",0,E210)-IF(OR(G210="أبو اسحاق",G210="أبو آدم",G210="أبو اسحاق ",G210="أبو آدم "),0,IF(D210="",0,D210)))</f>
        <v>571.04500000000007</v>
      </c>
      <c r="K210" s="169"/>
      <c r="L210">
        <f>IF(E209&gt;0,COUNTIF($E$4:E209,"&gt;0"),"")</f>
        <v>140</v>
      </c>
      <c r="M210" t="str">
        <f>IF(AND(D209&gt;0,G209="المحفظة"),COUNTIFS($D$4:D209,"&gt;"&amp;0,$G$4:G209,"المحفظة"),"")</f>
        <v/>
      </c>
      <c r="N210" t="str">
        <f>IF(AND(OR('طباعة كشف الحساب'!$C$2="الكل",MONTH(A210)=IFERROR(MATCH('طباعة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الحساب'!$F$2="الكل",YEAR(A210)=IFERROR(VALUE('طباعة كشف الحساب'!$F$2),0)),A210&lt;&gt;""),IFERROR(MAX($N$4:N209),0)+1,"")</f>
        <v/>
      </c>
      <c r="O210" t="str">
        <f>IF(AND(D209&gt;0,F209="أحد الشركاء"),COUNTIFS($D$4:D209,"&gt;"&amp;0,$F$4:F209,"أحد الشركاء"),"")</f>
        <v/>
      </c>
      <c r="P210">
        <f>IF(OR($A210="",$F210="أحد الشركاء",AND($D210="",$E210="")),"",SUMPRODUCT(($A$4:$A210&lt;&gt;"")*($F$4:$F210&lt;&gt;"أحد الشركاء")*((($D$4:$D210&lt;&gt;"")+($E$4:$E210&lt;&gt;""))&gt;0)))</f>
        <v>186</v>
      </c>
      <c r="Q210" t="str">
        <f>IF(OR($A210="",$F210&lt;&gt;"أحد الشركاء"),"",COUNTIFS($A$4:A210,"&lt;&gt;",$F$4:F210,"أحد الشركاء"))</f>
        <v/>
      </c>
    </row>
    <row r="211" spans="1:17" ht="18.75" customHeight="1" x14ac:dyDescent="0.25">
      <c r="A211" s="152">
        <v>46282</v>
      </c>
      <c r="B211" s="36" t="s">
        <v>446</v>
      </c>
      <c r="C211" s="27" t="s">
        <v>447</v>
      </c>
      <c r="D211" s="28"/>
      <c r="E211" s="29">
        <v>30</v>
      </c>
      <c r="F211" s="30" t="s">
        <v>38</v>
      </c>
      <c r="G211" s="31"/>
      <c r="H211" s="32" t="s">
        <v>40</v>
      </c>
      <c r="I211" s="33"/>
      <c r="J211" s="34">
        <f>IF(AND(D211="",E211="",A211="",B211="",C211=""),"", IFERROR(IF(J210="",D2,J210),D2)+IF(E211="",0,E211)-IF(OR(G211="أبو اسحاق",G211="أبو آدم",G211="أبو اسحاق ",G211="أبو آدم "),0,IF(D211="",0,D211)))</f>
        <v>601.04500000000007</v>
      </c>
      <c r="K211" s="169"/>
      <c r="L211">
        <f>IF(E210&gt;0,COUNTIF($E$4:E210,"&gt;0"),"")</f>
        <v>141</v>
      </c>
      <c r="M211" t="str">
        <f>IF(AND(D210&gt;0,G210="المحفظة"),COUNTIFS($D$4:D210,"&gt;"&amp;0,$G$4:G210,"المحفظة"),"")</f>
        <v/>
      </c>
      <c r="N211" t="str">
        <f>IF(AND(OR('طباعة كشف الحساب'!$C$2="الكل",MONTH(A211)=IFERROR(MATCH('طباعة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الحساب'!$F$2="الكل",YEAR(A211)=IFERROR(VALUE('طباعة كشف الحساب'!$F$2),0)),A211&lt;&gt;""),IFERROR(MAX($N$4:N210),0)+1,"")</f>
        <v/>
      </c>
      <c r="O211" t="str">
        <f>IF(AND(D210&gt;0,F210="أحد الشركاء"),COUNTIFS($D$4:D210,"&gt;"&amp;0,$F$4:F210,"أحد الشركاء"),"")</f>
        <v/>
      </c>
      <c r="P211">
        <f>IF(OR($A211="",$F211="أحد الشركاء",AND($D211="",$E211="")),"",SUMPRODUCT(($A$4:$A211&lt;&gt;"")*($F$4:$F211&lt;&gt;"أحد الشركاء")*((($D$4:$D211&lt;&gt;"")+($E$4:$E211&lt;&gt;""))&gt;0)))</f>
        <v>187</v>
      </c>
      <c r="Q211" t="str">
        <f>IF(OR($A211="",$F211&lt;&gt;"أحد الشركاء"),"",COUNTIFS($A$4:A211,"&lt;&gt;",$F$4:F211,"أحد الشركاء"))</f>
        <v/>
      </c>
    </row>
    <row r="212" spans="1:17" ht="18.75" customHeight="1" x14ac:dyDescent="0.25">
      <c r="A212" s="152">
        <v>46282</v>
      </c>
      <c r="B212" s="36" t="s">
        <v>448</v>
      </c>
      <c r="C212" s="37" t="s">
        <v>449</v>
      </c>
      <c r="D212" s="38"/>
      <c r="E212" s="39">
        <v>7.5</v>
      </c>
      <c r="F212" s="136" t="s">
        <v>38</v>
      </c>
      <c r="G212" s="40"/>
      <c r="H212" s="41" t="s">
        <v>40</v>
      </c>
      <c r="I212" s="42"/>
      <c r="J212" s="43">
        <f>IF(AND(D212="",E212="",A212="",B212="",C212=""),"", IFERROR(IF(J211="",D2,J211),D2)+IF(E212="",0,E212)-IF(OR(G212="أبو اسحاق",G212="أبو آدم",G212="أبو اسحاق ",G212="أبو آدم "),0,IF(D212="",0,D212)))</f>
        <v>608.54500000000007</v>
      </c>
      <c r="K212" s="169"/>
      <c r="L212">
        <f>IF(E211&gt;0,COUNTIF($E$4:E211,"&gt;0"),"")</f>
        <v>142</v>
      </c>
      <c r="M212" t="str">
        <f>IF(AND(D211&gt;0,G211="المحفظة"),COUNTIFS($D$4:D211,"&gt;"&amp;0,$G$4:G211,"المحفظة"),"")</f>
        <v/>
      </c>
      <c r="N212" t="str">
        <f>IF(AND(OR('طباعة كشف الحساب'!$C$2="الكل",MONTH(A212)=IFERROR(MATCH('طباعة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الحساب'!$F$2="الكل",YEAR(A212)=IFERROR(VALUE('طباعة كشف الحساب'!$F$2),0)),A212&lt;&gt;""),IFERROR(MAX($N$4:N211),0)+1,"")</f>
        <v/>
      </c>
      <c r="O212" t="str">
        <f>IF(AND(D211&gt;0,F211="أحد الشركاء"),COUNTIFS($D$4:D211,"&gt;"&amp;0,$F$4:F211,"أحد الشركاء"),"")</f>
        <v/>
      </c>
      <c r="P212">
        <f>IF(OR($A212="",$F212="أحد الشركاء",AND($D212="",$E212="")),"",SUMPRODUCT(($A$4:$A212&lt;&gt;"")*($F$4:$F212&lt;&gt;"أحد الشركاء")*((($D$4:$D212&lt;&gt;"")+($E$4:$E212&lt;&gt;""))&gt;0)))</f>
        <v>188</v>
      </c>
      <c r="Q212" t="str">
        <f>IF(OR($A212="",$F212&lt;&gt;"أحد الشركاء"),"",COUNTIFS($A$4:A212,"&lt;&gt;",$F$4:F212,"أحد الشركاء"))</f>
        <v/>
      </c>
    </row>
    <row r="213" spans="1:17" ht="18.75" customHeight="1" x14ac:dyDescent="0.25">
      <c r="A213" s="152">
        <v>46282</v>
      </c>
      <c r="B213" s="36" t="s">
        <v>450</v>
      </c>
      <c r="C213" s="27" t="s">
        <v>451</v>
      </c>
      <c r="D213" s="28"/>
      <c r="E213" s="29">
        <v>2.5</v>
      </c>
      <c r="F213" s="30" t="s">
        <v>38</v>
      </c>
      <c r="G213" s="31"/>
      <c r="H213" s="32" t="s">
        <v>40</v>
      </c>
      <c r="I213" s="33"/>
      <c r="J213" s="34">
        <f>IF(AND(D213="",E213="",A213="",B213="",C213=""),"", IFERROR(IF(J212="",D2,J212),D2)+IF(E213="",0,E213)-IF(OR(G213="أبو اسحاق",G213="أبو آدم",G213="أبو اسحاق ",G213="أبو آدم "),0,IF(D213="",0,D213)))</f>
        <v>611.04500000000007</v>
      </c>
      <c r="K213" s="169"/>
      <c r="L213">
        <f>IF(E212&gt;0,COUNTIF($E$4:E212,"&gt;0"),"")</f>
        <v>143</v>
      </c>
      <c r="M213" t="str">
        <f>IF(AND(D212&gt;0,G212="المحفظة"),COUNTIFS($D$4:D212,"&gt;"&amp;0,$G$4:G212,"المحفظة"),"")</f>
        <v/>
      </c>
      <c r="N213" t="str">
        <f>IF(AND(OR('طباعة كشف الحساب'!$C$2="الكل",MONTH(A213)=IFERROR(MATCH('طباعة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الحساب'!$F$2="الكل",YEAR(A213)=IFERROR(VALUE('طباعة كشف الحساب'!$F$2),0)),A213&lt;&gt;""),IFERROR(MAX($N$4:N212),0)+1,"")</f>
        <v/>
      </c>
      <c r="O213" t="str">
        <f>IF(AND(D212&gt;0,F212="أحد الشركاء"),COUNTIFS($D$4:D212,"&gt;"&amp;0,$F$4:F212,"أحد الشركاء"),"")</f>
        <v/>
      </c>
      <c r="P213">
        <f>IF(OR($A213="",$F213="أحد الشركاء",AND($D213="",$E213="")),"",SUMPRODUCT(($A$4:$A213&lt;&gt;"")*($F$4:$F213&lt;&gt;"أحد الشركاء")*((($D$4:$D213&lt;&gt;"")+($E$4:$E213&lt;&gt;""))&gt;0)))</f>
        <v>189</v>
      </c>
      <c r="Q213" t="str">
        <f>IF(OR($A213="",$F213&lt;&gt;"أحد الشركاء"),"",COUNTIFS($A$4:A213,"&lt;&gt;",$F$4:F213,"أحد الشركاء"))</f>
        <v/>
      </c>
    </row>
    <row r="214" spans="1:17" ht="18.75" customHeight="1" x14ac:dyDescent="0.25">
      <c r="A214" s="152">
        <v>46282</v>
      </c>
      <c r="B214" s="36" t="s">
        <v>452</v>
      </c>
      <c r="C214" s="37" t="s">
        <v>453</v>
      </c>
      <c r="D214" s="38"/>
      <c r="E214" s="39">
        <v>7.5</v>
      </c>
      <c r="F214" s="136" t="s">
        <v>38</v>
      </c>
      <c r="G214" s="40"/>
      <c r="H214" s="41" t="s">
        <v>40</v>
      </c>
      <c r="I214" s="42"/>
      <c r="J214" s="43">
        <f>IF(AND(D214="",E214="",A214="",B214="",C214=""),"", IFERROR(IF(J213="",D2,J213),D2)+IF(E214="",0,E214)-IF(OR(G214="أبو اسحاق",G214="أبو آدم",G214="أبو اسحاق ",G214="أبو آدم "),0,IF(D214="",0,D214)))</f>
        <v>618.54500000000007</v>
      </c>
      <c r="K214" s="170"/>
      <c r="L214">
        <f>IF(E213&gt;0,COUNTIF($E$4:E213,"&gt;0"),"")</f>
        <v>144</v>
      </c>
      <c r="M214" t="str">
        <f>IF(AND(D213&gt;0,G213="المحفظة"),COUNTIFS($D$4:D213,"&gt;"&amp;0,$G$4:G213,"المحفظة"),"")</f>
        <v/>
      </c>
      <c r="N214" t="str">
        <f>IF(AND(OR('طباعة كشف الحساب'!$C$2="الكل",MONTH(A214)=IFERROR(MATCH('طباعة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الحساب'!$F$2="الكل",YEAR(A214)=IFERROR(VALUE('طباعة كشف الحساب'!$F$2),0)),A214&lt;&gt;""),IFERROR(MAX($N$4:N213),0)+1,"")</f>
        <v/>
      </c>
      <c r="O214" t="str">
        <f>IF(AND(D213&gt;0,F213="أحد الشركاء"),COUNTIFS($D$4:D213,"&gt;"&amp;0,$F$4:F213,"أحد الشركاء"),"")</f>
        <v/>
      </c>
      <c r="P214">
        <f>IF(OR($A214="",$F214="أحد الشركاء",AND($D214="",$E214="")),"",SUMPRODUCT(($A$4:$A214&lt;&gt;"")*($F$4:$F214&lt;&gt;"أحد الشركاء")*((($D$4:$D214&lt;&gt;"")+($E$4:$E214&lt;&gt;""))&gt;0)))</f>
        <v>190</v>
      </c>
      <c r="Q214" t="str">
        <f>IF(OR($A214="",$F214&lt;&gt;"أحد الشركاء"),"",COUNTIFS($A$4:A214,"&lt;&gt;",$F$4:F214,"أحد الشركاء"))</f>
        <v/>
      </c>
    </row>
    <row r="215" spans="1:17" ht="18.75" customHeight="1" x14ac:dyDescent="0.25">
      <c r="A215" s="25">
        <v>46284</v>
      </c>
      <c r="B215" s="26"/>
      <c r="C215" s="27" t="s">
        <v>454</v>
      </c>
      <c r="D215" s="28">
        <v>25</v>
      </c>
      <c r="E215" s="29"/>
      <c r="F215" s="30" t="s">
        <v>38</v>
      </c>
      <c r="G215" s="31" t="s">
        <v>39</v>
      </c>
      <c r="H215" s="32" t="s">
        <v>40</v>
      </c>
      <c r="I215" s="33"/>
      <c r="J215" s="34">
        <f>IF(AND(D215="",E215="",A215="",B215="",C215=""),"", IFERROR(IF(J214="",D2,J214),D2)+IF(E215="",0,E215)-IF(OR(G215="أبو اسحاق",G215="أبو آدم",G215="أبو اسحاق ",G215="أبو آدم "),0,IF(D215="",0,D215)))</f>
        <v>593.54500000000007</v>
      </c>
      <c r="K215" s="35"/>
      <c r="L215">
        <f>IF(E214&gt;0,COUNTIF($E$4:E214,"&gt;0"),"")</f>
        <v>145</v>
      </c>
      <c r="M215" t="str">
        <f>IF(AND(D214&gt;0,G214="المحفظة"),COUNTIFS($D$4:D214,"&gt;"&amp;0,$G$4:G214,"المحفظة"),"")</f>
        <v/>
      </c>
      <c r="N215" t="str">
        <f>IF(AND(OR('طباعة كشف الحساب'!$C$2="الكل",MONTH(A215)=IFERROR(MATCH('طباعة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الحساب'!$F$2="الكل",YEAR(A215)=IFERROR(VALUE('طباعة كشف الحساب'!$F$2),0)),A215&lt;&gt;""),IFERROR(MAX($N$4:N214),0)+1,"")</f>
        <v/>
      </c>
      <c r="O215" t="str">
        <f>IF(AND(D214&gt;0,F214="أحد الشركاء"),COUNTIFS($D$4:D214,"&gt;"&amp;0,$F$4:F214,"أحد الشركاء"),"")</f>
        <v/>
      </c>
      <c r="P215">
        <f>IF(OR($A215="",$F215="أحد الشركاء",AND($D215="",$E215="")),"",SUMPRODUCT(($A$4:$A215&lt;&gt;"")*($F$4:$F215&lt;&gt;"أحد الشركاء")*((($D$4:$D215&lt;&gt;"")+($E$4:$E215&lt;&gt;""))&gt;0)))</f>
        <v>191</v>
      </c>
      <c r="Q215" t="str">
        <f>IF(OR($A215="",$F215&lt;&gt;"أحد الشركاء"),"",COUNTIFS($A$4:A215,"&lt;&gt;",$F$4:F215,"أحد الشركاء"))</f>
        <v/>
      </c>
    </row>
    <row r="216" spans="1:17" ht="18.75" customHeight="1" x14ac:dyDescent="0.25">
      <c r="A216" s="25">
        <v>46284</v>
      </c>
      <c r="B216" s="36" t="s">
        <v>455</v>
      </c>
      <c r="C216" s="37" t="s">
        <v>456</v>
      </c>
      <c r="D216" s="38"/>
      <c r="E216" s="39">
        <v>243</v>
      </c>
      <c r="F216" s="136" t="s">
        <v>38</v>
      </c>
      <c r="G216" s="40"/>
      <c r="H216" s="41" t="s">
        <v>40</v>
      </c>
      <c r="I216" s="42"/>
      <c r="J216" s="43">
        <f>IF(AND(D216="",E216="",A216="",B216="",C216=""),"", IFERROR(IF(J215="",D2,J215),D2)+IF(E216="",0,E216)-IF(OR(G216="أبو اسحاق",G216="أبو آدم",G216="أبو اسحاق ",G216="أبو آدم "),0,IF(D216="",0,D216)))</f>
        <v>836.54500000000007</v>
      </c>
      <c r="K216" s="44"/>
      <c r="L216" t="str">
        <f>IF(E215&gt;0,COUNTIF($E$4:E215,"&gt;0"),"")</f>
        <v/>
      </c>
      <c r="M216">
        <f>IF(AND(D215&gt;0,G215="المحفظة"),COUNTIFS($D$4:D215,"&gt;"&amp;0,$G$4:G215,"المحفظة"),"")</f>
        <v>45</v>
      </c>
      <c r="N216" t="str">
        <f>IF(AND(OR('طباعة كشف الحساب'!$C$2="الكل",MONTH(A216)=IFERROR(MATCH('طباعة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الحساب'!$F$2="الكل",YEAR(A216)=IFERROR(VALUE('طباعة كشف الحساب'!$F$2),0)),A216&lt;&gt;""),IFERROR(MAX($N$4:N215),0)+1,"")</f>
        <v/>
      </c>
      <c r="O216" t="str">
        <f>IF(AND(D215&gt;0,F215="أحد الشركاء"),COUNTIFS($D$4:D215,"&gt;"&amp;0,$F$4:F215,"أحد الشركاء"),"")</f>
        <v/>
      </c>
      <c r="P216">
        <f>IF(OR($A216="",$F216="أحد الشركاء",AND($D216="",$E216="")),"",SUMPRODUCT(($A$4:$A216&lt;&gt;"")*($F$4:$F216&lt;&gt;"أحد الشركاء")*((($D$4:$D216&lt;&gt;"")+($E$4:$E216&lt;&gt;""))&gt;0)))</f>
        <v>192</v>
      </c>
      <c r="Q216" t="str">
        <f>IF(OR($A216="",$F216&lt;&gt;"أحد الشركاء"),"",COUNTIFS($A$4:A216,"&lt;&gt;",$F$4:F216,"أحد الشركاء"))</f>
        <v/>
      </c>
    </row>
    <row r="217" spans="1:17" ht="18.75" customHeight="1" x14ac:dyDescent="0.25">
      <c r="A217" s="25">
        <v>46284</v>
      </c>
      <c r="B217" s="26"/>
      <c r="C217" s="27" t="s">
        <v>457</v>
      </c>
      <c r="D217" s="28">
        <v>18.75</v>
      </c>
      <c r="E217" s="29"/>
      <c r="F217" s="30" t="s">
        <v>38</v>
      </c>
      <c r="G217" s="31" t="s">
        <v>39</v>
      </c>
      <c r="H217" s="32" t="s">
        <v>40</v>
      </c>
      <c r="I217" s="33"/>
      <c r="J217" s="34">
        <f>IF(AND(D217="",E217="",A217="",B217="",C217=""),"", IFERROR(IF(J216="",D2,J216),D2)+IF(E217="",0,E217)-IF(OR(G217="أبو اسحاق",G217="أبو آدم",G217="أبو اسحاق ",G217="أبو آدم "),0,IF(D217="",0,D217)))</f>
        <v>817.79500000000007</v>
      </c>
      <c r="K217" s="35"/>
      <c r="L217">
        <f>IF(E216&gt;0,COUNTIF($E$4:E216,"&gt;0"),"")</f>
        <v>146</v>
      </c>
      <c r="M217" t="str">
        <f>IF(AND(D216&gt;0,G216="المحفظة"),COUNTIFS($D$4:D216,"&gt;"&amp;0,$G$4:G216,"المحفظة"),"")</f>
        <v/>
      </c>
      <c r="N217" t="str">
        <f>IF(AND(OR('طباعة كشف الحساب'!$C$2="الكل",MONTH(A217)=IFERROR(MATCH('طباعة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الحساب'!$F$2="الكل",YEAR(A217)=IFERROR(VALUE('طباعة كشف الحساب'!$F$2),0)),A217&lt;&gt;""),IFERROR(MAX($N$4:N216),0)+1,"")</f>
        <v/>
      </c>
      <c r="O217" t="str">
        <f>IF(AND(D216&gt;0,F216="أحد الشركاء"),COUNTIFS($D$4:D216,"&gt;"&amp;0,$F$4:F216,"أحد الشركاء"),"")</f>
        <v/>
      </c>
      <c r="P217">
        <f>IF(OR($A217="",$F217="أحد الشركاء",AND($D217="",$E217="")),"",SUMPRODUCT(($A$4:$A217&lt;&gt;"")*($F$4:$F217&lt;&gt;"أحد الشركاء")*((($D$4:$D217&lt;&gt;"")+($E$4:$E217&lt;&gt;""))&gt;0)))</f>
        <v>193</v>
      </c>
      <c r="Q217" t="str">
        <f>IF(OR($A217="",$F217&lt;&gt;"أحد الشركاء"),"",COUNTIFS($A$4:A217,"&lt;&gt;",$F$4:F217,"أحد الشركاء"))</f>
        <v/>
      </c>
    </row>
    <row r="218" spans="1:17" ht="18.75" customHeight="1" x14ac:dyDescent="0.25">
      <c r="A218" s="25">
        <v>46286</v>
      </c>
      <c r="B218" s="36"/>
      <c r="C218" s="37" t="s">
        <v>208</v>
      </c>
      <c r="D218" s="38">
        <v>20</v>
      </c>
      <c r="E218" s="39"/>
      <c r="F218" s="136" t="s">
        <v>38</v>
      </c>
      <c r="G218" s="40" t="s">
        <v>39</v>
      </c>
      <c r="H218" s="41" t="s">
        <v>40</v>
      </c>
      <c r="I218" s="42"/>
      <c r="J218" s="43">
        <f>IF(AND(D218="",E218="",A218="",B218="",C218=""),"", IFERROR(IF(J217="",D2,J217),D2)+IF(E218="",0,E218)-IF(OR(G218="أبو اسحاق",G218="أبو آدم",G218="أبو اسحاق ",G218="أبو آدم "),0,IF(D218="",0,D218)))</f>
        <v>797.79500000000007</v>
      </c>
      <c r="K218" s="44"/>
      <c r="L218" t="str">
        <f>IF(E217&gt;0,COUNTIF($E$4:E217,"&gt;0"),"")</f>
        <v/>
      </c>
      <c r="M218">
        <f>IF(AND(D217&gt;0,G217="المحفظة"),COUNTIFS($D$4:D217,"&gt;"&amp;0,$G$4:G217,"المحفظة"),"")</f>
        <v>46</v>
      </c>
      <c r="N218" t="str">
        <f>IF(AND(OR('طباعة كشف الحساب'!$C$2="الكل",MONTH(A218)=IFERROR(MATCH('طباعة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الحساب'!$F$2="الكل",YEAR(A218)=IFERROR(VALUE('طباعة كشف الحساب'!$F$2),0)),A218&lt;&gt;""),IFERROR(MAX($N$4:N217),0)+1,"")</f>
        <v/>
      </c>
      <c r="O218" t="str">
        <f>IF(AND(D217&gt;0,F217="أحد الشركاء"),COUNTIFS($D$4:D217,"&gt;"&amp;0,$F$4:F217,"أحد الشركاء"),"")</f>
        <v/>
      </c>
      <c r="P218">
        <f>IF(OR($A218="",$F218="أحد الشركاء",AND($D218="",$E218="")),"",SUMPRODUCT(($A$4:$A218&lt;&gt;"")*($F$4:$F218&lt;&gt;"أحد الشركاء")*((($D$4:$D218&lt;&gt;"")+($E$4:$E218&lt;&gt;""))&gt;0)))</f>
        <v>194</v>
      </c>
      <c r="Q218" t="str">
        <f>IF(OR($A218="",$F218&lt;&gt;"أحد الشركاء"),"",COUNTIFS($A$4:A218,"&lt;&gt;",$F$4:F218,"أحد الشركاء"))</f>
        <v/>
      </c>
    </row>
    <row r="219" spans="1:17" ht="18.75" customHeight="1" x14ac:dyDescent="0.25">
      <c r="A219" s="25">
        <v>46286</v>
      </c>
      <c r="B219" s="36" t="s">
        <v>458</v>
      </c>
      <c r="C219" s="27" t="s">
        <v>459</v>
      </c>
      <c r="D219" s="28"/>
      <c r="E219" s="29">
        <v>1.5</v>
      </c>
      <c r="F219" s="30" t="s">
        <v>38</v>
      </c>
      <c r="G219" s="31"/>
      <c r="H219" s="32" t="s">
        <v>40</v>
      </c>
      <c r="I219" s="33"/>
      <c r="J219" s="34">
        <f>IF(AND(D219="",E219="",A219="",B219="",C219=""),"", IFERROR(IF(J218="",D2,J218),D2)+IF(E219="",0,E219)-IF(OR(G219="أبو اسحاق",G219="أبو آدم",G219="أبو اسحاق ",G219="أبو آدم "),0,IF(D219="",0,D219)))</f>
        <v>799.29500000000007</v>
      </c>
      <c r="K219" s="168" t="s">
        <v>497</v>
      </c>
      <c r="L219" t="str">
        <f>IF(E218&gt;0,COUNTIF($E$4:E218,"&gt;0"),"")</f>
        <v/>
      </c>
      <c r="M219">
        <f>IF(AND(D218&gt;0,G218="المحفظة"),COUNTIFS($D$4:D218,"&gt;"&amp;0,$G$4:G218,"المحفظة"),"")</f>
        <v>47</v>
      </c>
      <c r="N219" t="str">
        <f>IF(AND(OR('طباعة كشف الحساب'!$C$2="الكل",MONTH(A219)=IFERROR(MATCH('طباعة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الحساب'!$F$2="الكل",YEAR(A219)=IFERROR(VALUE('طباعة كشف الحساب'!$F$2),0)),A219&lt;&gt;""),IFERROR(MAX($N$4:N218),0)+1,"")</f>
        <v/>
      </c>
      <c r="O219" t="str">
        <f>IF(AND(D218&gt;0,F218="أحد الشركاء"),COUNTIFS($D$4:D218,"&gt;"&amp;0,$F$4:F218,"أحد الشركاء"),"")</f>
        <v/>
      </c>
      <c r="P219">
        <f>IF(OR($A219="",$F219="أحد الشركاء",AND($D219="",$E219="")),"",SUMPRODUCT(($A$4:$A219&lt;&gt;"")*($F$4:$F219&lt;&gt;"أحد الشركاء")*((($D$4:$D219&lt;&gt;"")+($E$4:$E219&lt;&gt;""))&gt;0)))</f>
        <v>195</v>
      </c>
      <c r="Q219" t="str">
        <f>IF(OR($A219="",$F219&lt;&gt;"أحد الشركاء"),"",COUNTIFS($A$4:A219,"&lt;&gt;",$F$4:F219,"أحد الشركاء"))</f>
        <v/>
      </c>
    </row>
    <row r="220" spans="1:17" ht="18.75" customHeight="1" x14ac:dyDescent="0.25">
      <c r="A220" s="25">
        <v>46286</v>
      </c>
      <c r="B220" s="36" t="s">
        <v>460</v>
      </c>
      <c r="C220" s="37" t="s">
        <v>459</v>
      </c>
      <c r="D220" s="38"/>
      <c r="E220" s="39">
        <v>1</v>
      </c>
      <c r="F220" s="136" t="s">
        <v>38</v>
      </c>
      <c r="G220" s="40"/>
      <c r="H220" s="41" t="s">
        <v>40</v>
      </c>
      <c r="I220" s="42"/>
      <c r="J220" s="43">
        <f>IF(AND(D220="",E220="",A220="",B220="",C220=""),"", IFERROR(IF(J219="",D2,J219),D2)+IF(E220="",0,E220)-IF(OR(G220="أبو اسحاق",G220="أبو آدم",G220="أبو اسحاق ",G220="أبو آدم "),0,IF(D220="",0,D220)))</f>
        <v>800.29500000000007</v>
      </c>
      <c r="K220" s="169"/>
      <c r="L220">
        <f>IF(E219&gt;0,COUNTIF($E$4:E219,"&gt;0"),"")</f>
        <v>147</v>
      </c>
      <c r="M220" t="str">
        <f>IF(AND(D219&gt;0,G219="المحفظة"),COUNTIFS($D$4:D219,"&gt;"&amp;0,$G$4:G219,"المحفظة"),"")</f>
        <v/>
      </c>
      <c r="N220" t="str">
        <f>IF(AND(OR('طباعة كشف الحساب'!$C$2="الكل",MONTH(A220)=IFERROR(MATCH('طباعة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الحساب'!$F$2="الكل",YEAR(A220)=IFERROR(VALUE('طباعة كشف الحساب'!$F$2),0)),A220&lt;&gt;""),IFERROR(MAX($N$4:N219),0)+1,"")</f>
        <v/>
      </c>
      <c r="O220" t="str">
        <f>IF(AND(D219&gt;0,F219="أحد الشركاء"),COUNTIFS($D$4:D219,"&gt;"&amp;0,$F$4:F219,"أحد الشركاء"),"")</f>
        <v/>
      </c>
      <c r="P220">
        <f>IF(OR($A220="",$F220="أحد الشركاء",AND($D220="",$E220="")),"",SUMPRODUCT(($A$4:$A220&lt;&gt;"")*($F$4:$F220&lt;&gt;"أحد الشركاء")*((($D$4:$D220&lt;&gt;"")+($E$4:$E220&lt;&gt;""))&gt;0)))</f>
        <v>196</v>
      </c>
      <c r="Q220" t="str">
        <f>IF(OR($A220="",$F220&lt;&gt;"أحد الشركاء"),"",COUNTIFS($A$4:A220,"&lt;&gt;",$F$4:F220,"أحد الشركاء"))</f>
        <v/>
      </c>
    </row>
    <row r="221" spans="1:17" ht="18.75" customHeight="1" x14ac:dyDescent="0.25">
      <c r="A221" s="25">
        <v>46286</v>
      </c>
      <c r="B221" s="36" t="s">
        <v>461</v>
      </c>
      <c r="C221" s="27" t="s">
        <v>462</v>
      </c>
      <c r="D221" s="28"/>
      <c r="E221" s="29">
        <v>2.5</v>
      </c>
      <c r="F221" s="30" t="s">
        <v>38</v>
      </c>
      <c r="G221" s="31"/>
      <c r="H221" s="32" t="s">
        <v>40</v>
      </c>
      <c r="I221" s="33"/>
      <c r="J221" s="34">
        <f>IF(AND(D221="",E221="",A221="",B221="",C221=""),"", IFERROR(IF(J220="",D2,J220),D2)+IF(E221="",0,E221)-IF(OR(G221="أبو اسحاق",G221="أبو آدم",G221="أبو اسحاق ",G221="أبو آدم "),0,IF(D221="",0,D221)))</f>
        <v>802.79500000000007</v>
      </c>
      <c r="K221" s="169"/>
      <c r="L221">
        <f>IF(E220&gt;0,COUNTIF($E$4:E220,"&gt;0"),"")</f>
        <v>148</v>
      </c>
      <c r="M221" t="str">
        <f>IF(AND(D220&gt;0,G220="المحفظة"),COUNTIFS($D$4:D220,"&gt;"&amp;0,$G$4:G220,"المحفظة"),"")</f>
        <v/>
      </c>
      <c r="N221" t="str">
        <f>IF(AND(OR('طباعة كشف الحساب'!$C$2="الكل",MONTH(A221)=IFERROR(MATCH('طباعة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الحساب'!$F$2="الكل",YEAR(A221)=IFERROR(VALUE('طباعة كشف الحساب'!$F$2),0)),A221&lt;&gt;""),IFERROR(MAX($N$4:N220),0)+1,"")</f>
        <v/>
      </c>
      <c r="O221" t="str">
        <f>IF(AND(D220&gt;0,F220="أحد الشركاء"),COUNTIFS($D$4:D220,"&gt;"&amp;0,$F$4:F220,"أحد الشركاء"),"")</f>
        <v/>
      </c>
      <c r="P221">
        <f>IF(OR($A221="",$F221="أحد الشركاء",AND($D221="",$E221="")),"",SUMPRODUCT(($A$4:$A221&lt;&gt;"")*($F$4:$F221&lt;&gt;"أحد الشركاء")*((($D$4:$D221&lt;&gt;"")+($E$4:$E221&lt;&gt;""))&gt;0)))</f>
        <v>197</v>
      </c>
      <c r="Q221" t="str">
        <f>IF(OR($A221="",$F221&lt;&gt;"أحد الشركاء"),"",COUNTIFS($A$4:A221,"&lt;&gt;",$F$4:F221,"أحد الشركاء"))</f>
        <v/>
      </c>
    </row>
    <row r="222" spans="1:17" ht="18.75" customHeight="1" x14ac:dyDescent="0.25">
      <c r="A222" s="25">
        <v>46286</v>
      </c>
      <c r="B222" s="36" t="s">
        <v>463</v>
      </c>
      <c r="C222" s="37" t="s">
        <v>464</v>
      </c>
      <c r="D222" s="38"/>
      <c r="E222" s="39">
        <v>72.5</v>
      </c>
      <c r="F222" s="136" t="s">
        <v>38</v>
      </c>
      <c r="G222" s="40"/>
      <c r="H222" s="41" t="s">
        <v>40</v>
      </c>
      <c r="I222" s="42"/>
      <c r="J222" s="43">
        <f>IF(AND(D222="",E222="",A222="",B222="",C222=""),"", IFERROR(IF(J221="",D2,J221),D2)+IF(E222="",0,E222)-IF(OR(G222="أبو اسحاق",G222="أبو آدم",G222="أبو اسحاق ",G222="أبو آدم "),0,IF(D222="",0,D222)))</f>
        <v>875.29500000000007</v>
      </c>
      <c r="K222" s="169"/>
      <c r="L222">
        <f>IF(E221&gt;0,COUNTIF($E$4:E221,"&gt;0"),"")</f>
        <v>149</v>
      </c>
      <c r="M222" t="str">
        <f>IF(AND(D221&gt;0,G221="المحفظة"),COUNTIFS($D$4:D221,"&gt;"&amp;0,$G$4:G221,"المحفظة"),"")</f>
        <v/>
      </c>
      <c r="N222" t="str">
        <f>IF(AND(OR('طباعة كشف الحساب'!$C$2="الكل",MONTH(A222)=IFERROR(MATCH('طباعة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الحساب'!$F$2="الكل",YEAR(A222)=IFERROR(VALUE('طباعة كشف الحساب'!$F$2),0)),A222&lt;&gt;""),IFERROR(MAX($N$4:N221),0)+1,"")</f>
        <v/>
      </c>
      <c r="O222" t="str">
        <f>IF(AND(D221&gt;0,F221="أحد الشركاء"),COUNTIFS($D$4:D221,"&gt;"&amp;0,$F$4:F221,"أحد الشركاء"),"")</f>
        <v/>
      </c>
      <c r="P222">
        <f>IF(OR($A222="",$F222="أحد الشركاء",AND($D222="",$E222="")),"",SUMPRODUCT(($A$4:$A222&lt;&gt;"")*($F$4:$F222&lt;&gt;"أحد الشركاء")*((($D$4:$D222&lt;&gt;"")+($E$4:$E222&lt;&gt;""))&gt;0)))</f>
        <v>198</v>
      </c>
      <c r="Q222" t="str">
        <f>IF(OR($A222="",$F222&lt;&gt;"أحد الشركاء"),"",COUNTIFS($A$4:A222,"&lt;&gt;",$F$4:F222,"أحد الشركاء"))</f>
        <v/>
      </c>
    </row>
    <row r="223" spans="1:17" ht="18.75" customHeight="1" x14ac:dyDescent="0.25">
      <c r="A223" s="25">
        <v>46286</v>
      </c>
      <c r="B223" s="36" t="s">
        <v>465</v>
      </c>
      <c r="C223" s="27" t="s">
        <v>459</v>
      </c>
      <c r="D223" s="28"/>
      <c r="E223" s="29">
        <v>1.5</v>
      </c>
      <c r="F223" s="30" t="s">
        <v>38</v>
      </c>
      <c r="G223" s="31"/>
      <c r="H223" s="32" t="s">
        <v>40</v>
      </c>
      <c r="I223" s="33"/>
      <c r="J223" s="34">
        <f>IF(AND(D223="",E223="",A223="",B223="",C223=""),"", IFERROR(IF(J222="",D2,J222),D2)+IF(E223="",0,E223)-IF(OR(G223="أبو اسحاق",G223="أبو آدم",G223="أبو اسحاق ",G223="أبو آدم "),0,IF(D223="",0,D223)))</f>
        <v>876.79500000000007</v>
      </c>
      <c r="K223" s="170"/>
      <c r="L223">
        <f>IF(E222&gt;0,COUNTIF($E$4:E222,"&gt;0"),"")</f>
        <v>150</v>
      </c>
      <c r="M223" t="str">
        <f>IF(AND(D222&gt;0,G222="المحفظة"),COUNTIFS($D$4:D222,"&gt;"&amp;0,$G$4:G222,"المحفظة"),"")</f>
        <v/>
      </c>
      <c r="N223" t="str">
        <f>IF(AND(OR('طباعة كشف الحساب'!$C$2="الكل",MONTH(A223)=IFERROR(MATCH('طباعة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الحساب'!$F$2="الكل",YEAR(A223)=IFERROR(VALUE('طباعة كشف الحساب'!$F$2),0)),A223&lt;&gt;""),IFERROR(MAX($N$4:N222),0)+1,"")</f>
        <v/>
      </c>
      <c r="O223" t="str">
        <f>IF(AND(D222&gt;0,F222="أحد الشركاء"),COUNTIFS($D$4:D222,"&gt;"&amp;0,$F$4:F222,"أحد الشركاء"),"")</f>
        <v/>
      </c>
      <c r="P223">
        <f>IF(OR($A223="",$F223="أحد الشركاء",AND($D223="",$E223="")),"",SUMPRODUCT(($A$4:$A223&lt;&gt;"")*($F$4:$F223&lt;&gt;"أحد الشركاء")*((($D$4:$D223&lt;&gt;"")+($E$4:$E223&lt;&gt;""))&gt;0)))</f>
        <v>199</v>
      </c>
      <c r="Q223" t="str">
        <f>IF(OR($A223="",$F223&lt;&gt;"أحد الشركاء"),"",COUNTIFS($A$4:A223,"&lt;&gt;",$F$4:F223,"أحد الشركاء"))</f>
        <v/>
      </c>
    </row>
    <row r="224" spans="1:17" ht="18.75" customHeight="1" x14ac:dyDescent="0.25">
      <c r="A224" s="25">
        <v>46287</v>
      </c>
      <c r="B224" s="36" t="s">
        <v>466</v>
      </c>
      <c r="C224" s="37" t="s">
        <v>468</v>
      </c>
      <c r="D224" s="38"/>
      <c r="E224" s="39">
        <v>45</v>
      </c>
      <c r="F224" s="136" t="s">
        <v>38</v>
      </c>
      <c r="G224" s="40"/>
      <c r="H224" s="41" t="s">
        <v>40</v>
      </c>
      <c r="I224" s="42"/>
      <c r="J224" s="43">
        <f>IF(AND(D224="",E224="",A224="",B224="",C224=""),"", IFERROR(IF(J223="",D2,J223),D2)+IF(E224="",0,E224)-IF(OR(G224="أبو اسحاق",G224="أبو آدم",G224="أبو اسحاق ",G224="أبو آدم "),0,IF(D224="",0,D224)))</f>
        <v>921.79500000000007</v>
      </c>
      <c r="K224" s="44"/>
      <c r="L224">
        <f>IF(E223&gt;0,COUNTIF($E$4:E223,"&gt;0"),"")</f>
        <v>151</v>
      </c>
      <c r="M224" t="str">
        <f>IF(AND(D223&gt;0,G223="المحفظة"),COUNTIFS($D$4:D223,"&gt;"&amp;0,$G$4:G223,"المحفظة"),"")</f>
        <v/>
      </c>
      <c r="N224" t="str">
        <f>IF(AND(OR('طباعة كشف الحساب'!$C$2="الكل",MONTH(A224)=IFERROR(MATCH('طباعة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الحساب'!$F$2="الكل",YEAR(A224)=IFERROR(VALUE('طباعة كشف الحساب'!$F$2),0)),A224&lt;&gt;""),IFERROR(MAX($N$4:N223),0)+1,"")</f>
        <v/>
      </c>
      <c r="O224" t="str">
        <f>IF(AND(D223&gt;0,F223="أحد الشركاء"),COUNTIFS($D$4:D223,"&gt;"&amp;0,$F$4:F223,"أحد الشركاء"),"")</f>
        <v/>
      </c>
      <c r="P224">
        <f>IF(OR($A224="",$F224="أحد الشركاء",AND($D224="",$E224="")),"",SUMPRODUCT(($A$4:$A224&lt;&gt;"")*($F$4:$F224&lt;&gt;"أحد الشركاء")*((($D$4:$D224&lt;&gt;"")+($E$4:$E224&lt;&gt;""))&gt;0)))</f>
        <v>200</v>
      </c>
      <c r="Q224" t="str">
        <f>IF(OR($A224="",$F224&lt;&gt;"أحد الشركاء"),"",COUNTIFS($A$4:A224,"&lt;&gt;",$F$4:F224,"أحد الشركاء"))</f>
        <v/>
      </c>
    </row>
    <row r="225" spans="1:17" ht="18.75" customHeight="1" x14ac:dyDescent="0.25">
      <c r="A225" s="25">
        <v>46287</v>
      </c>
      <c r="B225" s="26" t="s">
        <v>467</v>
      </c>
      <c r="C225" s="27" t="s">
        <v>459</v>
      </c>
      <c r="D225" s="28"/>
      <c r="E225" s="29">
        <v>5</v>
      </c>
      <c r="F225" s="30" t="s">
        <v>38</v>
      </c>
      <c r="G225" s="31"/>
      <c r="H225" s="32" t="s">
        <v>40</v>
      </c>
      <c r="I225" s="33"/>
      <c r="J225" s="34">
        <f>IF(AND(D225="",E225="",A225="",B225="",C225=""),"", IFERROR(IF(J224="",D2,J224),D2)+IF(E225="",0,E225)-IF(OR(G225="أبو اسحاق",G225="أبو آدم",G225="أبو اسحاق ",G225="أبو آدم "),0,IF(D225="",0,D225)))</f>
        <v>926.79500000000007</v>
      </c>
      <c r="K225" s="35"/>
      <c r="L225">
        <f>IF(E224&gt;0,COUNTIF($E$4:E224,"&gt;0"),"")</f>
        <v>152</v>
      </c>
      <c r="M225" t="str">
        <f>IF(AND(D224&gt;0,G224="المحفظة"),COUNTIFS($D$4:D224,"&gt;"&amp;0,$G$4:G224,"المحفظة"),"")</f>
        <v/>
      </c>
      <c r="N225" t="str">
        <f>IF(AND(OR('طباعة كشف الحساب'!$C$2="الكل",MONTH(A225)=IFERROR(MATCH('طباعة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الحساب'!$F$2="الكل",YEAR(A225)=IFERROR(VALUE('طباعة كشف الحساب'!$F$2),0)),A225&lt;&gt;""),IFERROR(MAX($N$4:N224),0)+1,"")</f>
        <v/>
      </c>
      <c r="O225" t="str">
        <f>IF(AND(D224&gt;0,F224="أحد الشركاء"),COUNTIFS($D$4:D224,"&gt;"&amp;0,$F$4:F224,"أحد الشركاء"),"")</f>
        <v/>
      </c>
      <c r="P225">
        <f>IF(OR($A225="",$F225="أحد الشركاء",AND($D225="",$E225="")),"",SUMPRODUCT(($A$4:$A225&lt;&gt;"")*($F$4:$F225&lt;&gt;"أحد الشركاء")*((($D$4:$D225&lt;&gt;"")+($E$4:$E225&lt;&gt;""))&gt;0)))</f>
        <v>201</v>
      </c>
      <c r="Q225" t="str">
        <f>IF(OR($A225="",$F225&lt;&gt;"أحد الشركاء"),"",COUNTIFS($A$4:A225,"&lt;&gt;",$F$4:F225,"أحد الشركاء"))</f>
        <v/>
      </c>
    </row>
    <row r="226" spans="1:17" ht="18.75" customHeight="1" x14ac:dyDescent="0.25">
      <c r="A226" s="25">
        <v>46287</v>
      </c>
      <c r="B226" s="36" t="s">
        <v>470</v>
      </c>
      <c r="C226" s="37" t="s">
        <v>469</v>
      </c>
      <c r="D226" s="38"/>
      <c r="E226" s="39">
        <v>10</v>
      </c>
      <c r="F226" s="136" t="s">
        <v>38</v>
      </c>
      <c r="G226" s="40"/>
      <c r="H226" s="41" t="s">
        <v>40</v>
      </c>
      <c r="I226" s="42"/>
      <c r="J226" s="43">
        <f>IF(AND(D226="",E226="",A226="",B226="",C226=""),"", IFERROR(IF(J225="",D2,J225),D2)+IF(E226="",0,E226)-IF(OR(G226="أبو اسحاق",G226="أبو آدم",G226="أبو اسحاق ",G226="أبو آدم "),0,IF(D226="",0,D226)))</f>
        <v>936.79500000000007</v>
      </c>
      <c r="K226" s="44"/>
      <c r="L226">
        <f>IF(E225&gt;0,COUNTIF($E$4:E225,"&gt;0"),"")</f>
        <v>153</v>
      </c>
      <c r="M226" t="str">
        <f>IF(AND(D225&gt;0,G225="المحفظة"),COUNTIFS($D$4:D225,"&gt;"&amp;0,$G$4:G225,"المحفظة"),"")</f>
        <v/>
      </c>
      <c r="N226" t="str">
        <f>IF(AND(OR('طباعة كشف الحساب'!$C$2="الكل",MONTH(A226)=IFERROR(MATCH('طباعة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الحساب'!$F$2="الكل",YEAR(A226)=IFERROR(VALUE('طباعة كشف الحساب'!$F$2),0)),A226&lt;&gt;""),IFERROR(MAX($N$4:N225),0)+1,"")</f>
        <v/>
      </c>
      <c r="O226" t="str">
        <f>IF(AND(D225&gt;0,F225="أحد الشركاء"),COUNTIFS($D$4:D225,"&gt;"&amp;0,$F$4:F225,"أحد الشركاء"),"")</f>
        <v/>
      </c>
      <c r="P226">
        <f>IF(OR($A226="",$F226="أحد الشركاء",AND($D226="",$E226="")),"",SUMPRODUCT(($A$4:$A226&lt;&gt;"")*($F$4:$F226&lt;&gt;"أحد الشركاء")*((($D$4:$D226&lt;&gt;"")+($E$4:$E226&lt;&gt;""))&gt;0)))</f>
        <v>202</v>
      </c>
      <c r="Q226" t="str">
        <f>IF(OR($A226="",$F226&lt;&gt;"أحد الشركاء"),"",COUNTIFS($A$4:A226,"&lt;&gt;",$F$4:F226,"أحد الشركاء"))</f>
        <v/>
      </c>
    </row>
    <row r="227" spans="1:17" ht="18.75" customHeight="1" x14ac:dyDescent="0.25">
      <c r="A227" s="25">
        <v>46287</v>
      </c>
      <c r="B227" s="26" t="s">
        <v>471</v>
      </c>
      <c r="C227" s="27" t="s">
        <v>459</v>
      </c>
      <c r="D227" s="28"/>
      <c r="E227" s="29">
        <v>20</v>
      </c>
      <c r="F227" s="30" t="s">
        <v>38</v>
      </c>
      <c r="G227" s="31"/>
      <c r="H227" s="32" t="s">
        <v>40</v>
      </c>
      <c r="I227" s="33"/>
      <c r="J227" s="34">
        <f>IF(AND(D227="",E227="",A227="",B227="",C227=""),"", IFERROR(IF(J226="",D2,J226),D2)+IF(E227="",0,E227)-IF(OR(G227="أبو اسحاق",G227="أبو آدم",G227="أبو اسحاق ",G227="أبو آدم "),0,IF(D227="",0,D227)))</f>
        <v>956.79500000000007</v>
      </c>
      <c r="K227" s="168" t="s">
        <v>477</v>
      </c>
      <c r="L227">
        <f>IF(E226&gt;0,COUNTIF($E$4:E226,"&gt;0"),"")</f>
        <v>154</v>
      </c>
      <c r="M227" t="str">
        <f>IF(AND(D226&gt;0,G226="المحفظة"),COUNTIFS($D$4:D226,"&gt;"&amp;0,$G$4:G226,"المحفظة"),"")</f>
        <v/>
      </c>
      <c r="N227" t="str">
        <f>IF(AND(OR('طباعة كشف الحساب'!$C$2="الكل",MONTH(A227)=IFERROR(MATCH('طباعة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الحساب'!$F$2="الكل",YEAR(A227)=IFERROR(VALUE('طباعة كشف الحساب'!$F$2),0)),A227&lt;&gt;""),IFERROR(MAX($N$4:N226),0)+1,"")</f>
        <v/>
      </c>
      <c r="O227" t="str">
        <f>IF(AND(D226&gt;0,F226="أحد الشركاء"),COUNTIFS($D$4:D226,"&gt;"&amp;0,$F$4:F226,"أحد الشركاء"),"")</f>
        <v/>
      </c>
      <c r="P227">
        <f>IF(OR($A227="",$F227="أحد الشركاء",AND($D227="",$E227="")),"",SUMPRODUCT(($A$4:$A227&lt;&gt;"")*($F$4:$F227&lt;&gt;"أحد الشركاء")*((($D$4:$D227&lt;&gt;"")+($E$4:$E227&lt;&gt;""))&gt;0)))</f>
        <v>203</v>
      </c>
      <c r="Q227" t="str">
        <f>IF(OR($A227="",$F227&lt;&gt;"أحد الشركاء"),"",COUNTIFS($A$4:A227,"&lt;&gt;",$F$4:F227,"أحد الشركاء"))</f>
        <v/>
      </c>
    </row>
    <row r="228" spans="1:17" ht="18.75" customHeight="1" x14ac:dyDescent="0.25">
      <c r="A228" s="25">
        <v>46287</v>
      </c>
      <c r="B228" s="36" t="s">
        <v>472</v>
      </c>
      <c r="C228" s="37" t="s">
        <v>459</v>
      </c>
      <c r="D228" s="38"/>
      <c r="E228" s="39">
        <v>9</v>
      </c>
      <c r="F228" s="136" t="s">
        <v>38</v>
      </c>
      <c r="G228" s="40"/>
      <c r="H228" s="41" t="s">
        <v>40</v>
      </c>
      <c r="I228" s="42"/>
      <c r="J228" s="43">
        <f>IF(AND(D228="",E228="",A228="",B228="",C228=""),"", IFERROR(IF(J227="",D2,J227),D2)+IF(E228="",0,E228)-IF(OR(G228="أبو اسحاق",G228="أبو آدم",G228="أبو اسحاق ",G228="أبو آدم "),0,IF(D228="",0,D228)))</f>
        <v>965.79500000000007</v>
      </c>
      <c r="K228" s="169"/>
      <c r="L228">
        <f>IF(E227&gt;0,COUNTIF($E$4:E227,"&gt;0"),"")</f>
        <v>155</v>
      </c>
      <c r="M228" t="str">
        <f>IF(AND(D227&gt;0,G227="المحفظة"),COUNTIFS($D$4:D227,"&gt;"&amp;0,$G$4:G227,"المحفظة"),"")</f>
        <v/>
      </c>
      <c r="N228" t="str">
        <f>IF(AND(OR('طباعة كشف الحساب'!$C$2="الكل",MONTH(A228)=IFERROR(MATCH('طباعة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الحساب'!$F$2="الكل",YEAR(A228)=IFERROR(VALUE('طباعة كشف الحساب'!$F$2),0)),A228&lt;&gt;""),IFERROR(MAX($N$4:N227),0)+1,"")</f>
        <v/>
      </c>
      <c r="O228" t="str">
        <f>IF(AND(D227&gt;0,F227="أحد الشركاء"),COUNTIFS($D$4:D227,"&gt;"&amp;0,$F$4:F227,"أحد الشركاء"),"")</f>
        <v/>
      </c>
      <c r="P228">
        <f>IF(OR($A228="",$F228="أحد الشركاء",AND($D228="",$E228="")),"",SUMPRODUCT(($A$4:$A228&lt;&gt;"")*($F$4:$F228&lt;&gt;"أحد الشركاء")*((($D$4:$D228&lt;&gt;"")+($E$4:$E228&lt;&gt;""))&gt;0)))</f>
        <v>204</v>
      </c>
      <c r="Q228" t="str">
        <f>IF(OR($A228="",$F228&lt;&gt;"أحد الشركاء"),"",COUNTIFS($A$4:A228,"&lt;&gt;",$F$4:F228,"أحد الشركاء"))</f>
        <v/>
      </c>
    </row>
    <row r="229" spans="1:17" ht="18.75" customHeight="1" x14ac:dyDescent="0.25">
      <c r="A229" s="25">
        <v>46287</v>
      </c>
      <c r="B229" s="26" t="s">
        <v>473</v>
      </c>
      <c r="C229" s="27" t="s">
        <v>475</v>
      </c>
      <c r="D229" s="28"/>
      <c r="E229" s="29">
        <v>24</v>
      </c>
      <c r="F229" s="30" t="s">
        <v>38</v>
      </c>
      <c r="G229" s="31"/>
      <c r="H229" s="32" t="s">
        <v>40</v>
      </c>
      <c r="I229" s="33"/>
      <c r="J229" s="34">
        <f>IF(AND(D229="",E229="",A229="",B229="",C229=""),"", IFERROR(IF(J228="",D2,J228),D2)+IF(E229="",0,E229)-IF(OR(G229="أبو اسحاق",G229="أبو آدم",G229="أبو اسحاق ",G229="أبو آدم "),0,IF(D229="",0,D229)))</f>
        <v>989.79500000000007</v>
      </c>
      <c r="K229" s="169"/>
      <c r="L229">
        <f>IF(E228&gt;0,COUNTIF($E$4:E228,"&gt;0"),"")</f>
        <v>156</v>
      </c>
      <c r="M229" t="str">
        <f>IF(AND(D228&gt;0,G228="المحفظة"),COUNTIFS($D$4:D228,"&gt;"&amp;0,$G$4:G228,"المحفظة"),"")</f>
        <v/>
      </c>
      <c r="N229" t="str">
        <f>IF(AND(OR('طباعة كشف الحساب'!$C$2="الكل",MONTH(A229)=IFERROR(MATCH('طباعة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الحساب'!$F$2="الكل",YEAR(A229)=IFERROR(VALUE('طباعة كشف الحساب'!$F$2),0)),A229&lt;&gt;""),IFERROR(MAX($N$4:N228),0)+1,"")</f>
        <v/>
      </c>
      <c r="O229" t="str">
        <f>IF(AND(D228&gt;0,F228="أحد الشركاء"),COUNTIFS($D$4:D228,"&gt;"&amp;0,$F$4:F228,"أحد الشركاء"),"")</f>
        <v/>
      </c>
      <c r="P229">
        <f>IF(OR($A229="",$F229="أحد الشركاء",AND($D229="",$E229="")),"",SUMPRODUCT(($A$4:$A229&lt;&gt;"")*($F$4:$F229&lt;&gt;"أحد الشركاء")*((($D$4:$D229&lt;&gt;"")+($E$4:$E229&lt;&gt;""))&gt;0)))</f>
        <v>205</v>
      </c>
      <c r="Q229" t="str">
        <f>IF(OR($A229="",$F229&lt;&gt;"أحد الشركاء"),"",COUNTIFS($A$4:A229,"&lt;&gt;",$F$4:F229,"أحد الشركاء"))</f>
        <v/>
      </c>
    </row>
    <row r="230" spans="1:17" ht="18.75" customHeight="1" x14ac:dyDescent="0.25">
      <c r="A230" s="25">
        <v>46287</v>
      </c>
      <c r="B230" s="36" t="s">
        <v>474</v>
      </c>
      <c r="C230" s="37" t="s">
        <v>476</v>
      </c>
      <c r="D230" s="38"/>
      <c r="E230" s="39">
        <v>13</v>
      </c>
      <c r="F230" s="136" t="s">
        <v>38</v>
      </c>
      <c r="G230" s="40"/>
      <c r="H230" s="41" t="s">
        <v>40</v>
      </c>
      <c r="I230" s="42"/>
      <c r="J230" s="43">
        <f>IF(AND(D230="",E230="",A230="",B230="",C230=""),"", IFERROR(IF(J229="",D2,J229),D2)+IF(E230="",0,E230)-IF(OR(G230="أبو اسحاق",G230="أبو آدم",G230="أبو اسحاق ",G230="أبو آدم "),0,IF(D230="",0,D230)))</f>
        <v>1002.7950000000001</v>
      </c>
      <c r="K230" s="170"/>
      <c r="L230">
        <f>IF(E229&gt;0,COUNTIF($E$4:E229,"&gt;0"),"")</f>
        <v>157</v>
      </c>
      <c r="M230" t="str">
        <f>IF(AND(D229&gt;0,G229="المحفظة"),COUNTIFS($D$4:D229,"&gt;"&amp;0,$G$4:G229,"المحفظة"),"")</f>
        <v/>
      </c>
      <c r="N230" t="str">
        <f>IF(AND(OR('طباعة كشف الحساب'!$C$2="الكل",MONTH(A230)=IFERROR(MATCH('طباعة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الحساب'!$F$2="الكل",YEAR(A230)=IFERROR(VALUE('طباعة كشف الحساب'!$F$2),0)),A230&lt;&gt;""),IFERROR(MAX($N$4:N229),0)+1,"")</f>
        <v/>
      </c>
      <c r="O230" t="str">
        <f>IF(AND(D229&gt;0,F229="أحد الشركاء"),COUNTIFS($D$4:D229,"&gt;"&amp;0,$F$4:F229,"أحد الشركاء"),"")</f>
        <v/>
      </c>
      <c r="P230">
        <f>IF(OR($A230="",$F230="أحد الشركاء",AND($D230="",$E230="")),"",SUMPRODUCT(($A$4:$A230&lt;&gt;"")*($F$4:$F230&lt;&gt;"أحد الشركاء")*((($D$4:$D230&lt;&gt;"")+($E$4:$E230&lt;&gt;""))&gt;0)))</f>
        <v>206</v>
      </c>
      <c r="Q230" t="str">
        <f>IF(OR($A230="",$F230&lt;&gt;"أحد الشركاء"),"",COUNTIFS($A$4:A230,"&lt;&gt;",$F$4:F230,"أحد الشركاء"))</f>
        <v/>
      </c>
    </row>
    <row r="231" spans="1:17" ht="18.75" customHeight="1" x14ac:dyDescent="0.25">
      <c r="A231" s="25">
        <v>46288</v>
      </c>
      <c r="B231" s="26"/>
      <c r="C231" s="27" t="s">
        <v>478</v>
      </c>
      <c r="D231" s="28">
        <v>3.5</v>
      </c>
      <c r="E231" s="29"/>
      <c r="F231" s="30" t="s">
        <v>38</v>
      </c>
      <c r="G231" s="31" t="s">
        <v>39</v>
      </c>
      <c r="H231" s="32" t="s">
        <v>40</v>
      </c>
      <c r="I231" s="33"/>
      <c r="J231" s="34">
        <f>IF(AND(D231="",E231="",A231="",B231="",C231=""),"", IFERROR(IF(J230="",D2,J230),D2)+IF(E231="",0,E231)-IF(OR(G231="أبو اسحاق",G231="أبو آدم",G231="أبو اسحاق ",G231="أبو آدم "),0,IF(D231="",0,D231)))</f>
        <v>999.29500000000007</v>
      </c>
      <c r="K231" s="35"/>
      <c r="L231">
        <f>IF(E230&gt;0,COUNTIF($E$4:E230,"&gt;0"),"")</f>
        <v>158</v>
      </c>
      <c r="M231" t="str">
        <f>IF(AND(D230&gt;0,G230="المحفظة"),COUNTIFS($D$4:D230,"&gt;"&amp;0,$G$4:G230,"المحفظة"),"")</f>
        <v/>
      </c>
      <c r="N231" t="str">
        <f>IF(AND(OR('طباعة كشف الحساب'!$C$2="الكل",MONTH(A231)=IFERROR(MATCH('طباعة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الحساب'!$F$2="الكل",YEAR(A231)=IFERROR(VALUE('طباعة كشف الحساب'!$F$2),0)),A231&lt;&gt;""),IFERROR(MAX($N$4:N230),0)+1,"")</f>
        <v/>
      </c>
      <c r="O231" t="str">
        <f>IF(AND(D230&gt;0,F230="أحد الشركاء"),COUNTIFS($D$4:D230,"&gt;"&amp;0,$F$4:F230,"أحد الشركاء"),"")</f>
        <v/>
      </c>
      <c r="P231">
        <f>IF(OR($A231="",$F231="أحد الشركاء",AND($D231="",$E231="")),"",SUMPRODUCT(($A$4:$A231&lt;&gt;"")*($F$4:$F231&lt;&gt;"أحد الشركاء")*((($D$4:$D231&lt;&gt;"")+($E$4:$E231&lt;&gt;""))&gt;0)))</f>
        <v>207</v>
      </c>
      <c r="Q231" t="str">
        <f>IF(OR($A231="",$F231&lt;&gt;"أحد الشركاء"),"",COUNTIFS($A$4:A231,"&lt;&gt;",$F$4:F231,"أحد الشركاء"))</f>
        <v/>
      </c>
    </row>
    <row r="232" spans="1:17" ht="18.75" customHeight="1" x14ac:dyDescent="0.25">
      <c r="A232" s="25">
        <v>46288</v>
      </c>
      <c r="B232" s="36"/>
      <c r="C232" s="37" t="s">
        <v>479</v>
      </c>
      <c r="D232" s="38">
        <v>31.5</v>
      </c>
      <c r="E232" s="39"/>
      <c r="F232" s="136" t="s">
        <v>38</v>
      </c>
      <c r="G232" s="40" t="s">
        <v>39</v>
      </c>
      <c r="H232" s="41" t="s">
        <v>40</v>
      </c>
      <c r="I232" s="42"/>
      <c r="J232" s="43">
        <f>IF(AND(D232="",E232="",A232="",B232="",C232=""),"", IFERROR(IF(J231="",D2,J231),D2)+IF(E232="",0,E232)-IF(OR(G232="أبو اسحاق",G232="أبو آدم",G232="أبو اسحاق ",G232="أبو آدم "),0,IF(D232="",0,D232)))</f>
        <v>967.79500000000007</v>
      </c>
      <c r="K232" s="44"/>
      <c r="L232" t="str">
        <f>IF(E231&gt;0,COUNTIF($E$4:E231,"&gt;0"),"")</f>
        <v/>
      </c>
      <c r="M232">
        <f>IF(AND(D231&gt;0,G231="المحفظة"),COUNTIFS($D$4:D231,"&gt;"&amp;0,$G$4:G231,"المحفظة"),"")</f>
        <v>48</v>
      </c>
      <c r="N232" t="str">
        <f>IF(AND(OR('طباعة كشف الحساب'!$C$2="الكل",MONTH(A232)=IFERROR(MATCH('طباعة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الحساب'!$F$2="الكل",YEAR(A232)=IFERROR(VALUE('طباعة كشف الحساب'!$F$2),0)),A232&lt;&gt;""),IFERROR(MAX($N$4:N231),0)+1,"")</f>
        <v/>
      </c>
      <c r="O232" t="str">
        <f>IF(AND(D231&gt;0,F231="أحد الشركاء"),COUNTIFS($D$4:D231,"&gt;"&amp;0,$F$4:F231,"أحد الشركاء"),"")</f>
        <v/>
      </c>
      <c r="P232">
        <f>IF(OR($A232="",$F232="أحد الشركاء",AND($D232="",$E232="")),"",SUMPRODUCT(($A$4:$A232&lt;&gt;"")*($F$4:$F232&lt;&gt;"أحد الشركاء")*((($D$4:$D232&lt;&gt;"")+($E$4:$E232&lt;&gt;""))&gt;0)))</f>
        <v>208</v>
      </c>
      <c r="Q232" t="str">
        <f>IF(OR($A232="",$F232&lt;&gt;"أحد الشركاء"),"",COUNTIFS($A$4:A232,"&lt;&gt;",$F$4:F232,"أحد الشركاء"))</f>
        <v/>
      </c>
    </row>
    <row r="233" spans="1:17" ht="18.75" customHeight="1" x14ac:dyDescent="0.25">
      <c r="A233" s="25">
        <v>46290</v>
      </c>
      <c r="B233" s="26" t="s">
        <v>480</v>
      </c>
      <c r="C233" s="27" t="s">
        <v>481</v>
      </c>
      <c r="D233" s="28"/>
      <c r="E233" s="29">
        <v>10</v>
      </c>
      <c r="F233" s="30" t="s">
        <v>38</v>
      </c>
      <c r="G233" s="31"/>
      <c r="H233" s="32" t="s">
        <v>40</v>
      </c>
      <c r="I233" s="33"/>
      <c r="J233" s="34">
        <f>IF(AND(D233="",E233="",A233="",B233="",C233=""),"", IFERROR(IF(J232="",D2,J232),D2)+IF(E233="",0,E233)-IF(OR(G233="أبو اسحاق",G233="أبو آدم",G233="أبو اسحاق ",G233="أبو آدم "),0,IF(D233="",0,D233)))</f>
        <v>977.79500000000007</v>
      </c>
      <c r="K233" s="35"/>
      <c r="L233" t="str">
        <f>IF(E232&gt;0,COUNTIF($E$4:E232,"&gt;0"),"")</f>
        <v/>
      </c>
      <c r="M233">
        <f>IF(AND(D232&gt;0,G232="المحفظة"),COUNTIFS($D$4:D232,"&gt;"&amp;0,$G$4:G232,"المحفظة"),"")</f>
        <v>49</v>
      </c>
      <c r="N233" t="str">
        <f>IF(AND(OR('طباعة كشف الحساب'!$C$2="الكل",MONTH(A233)=IFERROR(MATCH('طباعة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الحساب'!$F$2="الكل",YEAR(A233)=IFERROR(VALUE('طباعة كشف الحساب'!$F$2),0)),A233&lt;&gt;""),IFERROR(MAX($N$4:N232),0)+1,"")</f>
        <v/>
      </c>
      <c r="O233" t="str">
        <f>IF(AND(D232&gt;0,F232="أحد الشركاء"),COUNTIFS($D$4:D232,"&gt;"&amp;0,$F$4:F232,"أحد الشركاء"),"")</f>
        <v/>
      </c>
      <c r="P233">
        <f>IF(OR($A233="",$F233="أحد الشركاء",AND($D233="",$E233="")),"",SUMPRODUCT(($A$4:$A233&lt;&gt;"")*($F$4:$F233&lt;&gt;"أحد الشركاء")*((($D$4:$D233&lt;&gt;"")+($E$4:$E233&lt;&gt;""))&gt;0)))</f>
        <v>209</v>
      </c>
      <c r="Q233" t="str">
        <f>IF(OR($A233="",$F233&lt;&gt;"أحد الشركاء"),"",COUNTIFS($A$4:A233,"&lt;&gt;",$F$4:F233,"أحد الشركاء"))</f>
        <v/>
      </c>
    </row>
    <row r="234" spans="1:17" ht="18.75" customHeight="1" x14ac:dyDescent="0.25">
      <c r="A234" s="25">
        <v>46290</v>
      </c>
      <c r="B234" s="36" t="s">
        <v>485</v>
      </c>
      <c r="C234" s="37" t="s">
        <v>482</v>
      </c>
      <c r="D234" s="38"/>
      <c r="E234" s="39">
        <v>9.75</v>
      </c>
      <c r="F234" s="136" t="s">
        <v>38</v>
      </c>
      <c r="G234" s="40"/>
      <c r="H234" s="41" t="s">
        <v>40</v>
      </c>
      <c r="I234" s="42"/>
      <c r="J234" s="43">
        <f>IF(AND(D234="",E234="",A234="",B234="",C234=""),"", IFERROR(IF(J233="",D2,J233),D2)+IF(E234="",0,E234)-IF(OR(G234="أبو اسحاق",G234="أبو آدم",G234="أبو اسحاق ",G234="أبو آدم "),0,IF(D234="",0,D234)))</f>
        <v>987.54500000000007</v>
      </c>
      <c r="K234" s="44"/>
      <c r="L234">
        <f>IF(E233&gt;0,COUNTIF($E$4:E233,"&gt;0"),"")</f>
        <v>159</v>
      </c>
      <c r="M234" t="str">
        <f>IF(AND(D233&gt;0,G233="المحفظة"),COUNTIFS($D$4:D233,"&gt;"&amp;0,$G$4:G233,"المحفظة"),"")</f>
        <v/>
      </c>
      <c r="N234" t="str">
        <f>IF(AND(OR('طباعة كشف الحساب'!$C$2="الكل",MONTH(A234)=IFERROR(MATCH('طباعة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الحساب'!$F$2="الكل",YEAR(A234)=IFERROR(VALUE('طباعة كشف الحساب'!$F$2),0)),A234&lt;&gt;""),IFERROR(MAX($N$4:N233),0)+1,"")</f>
        <v/>
      </c>
      <c r="O234" t="str">
        <f>IF(AND(D233&gt;0,F233="أحد الشركاء"),COUNTIFS($D$4:D233,"&gt;"&amp;0,$F$4:F233,"أحد الشركاء"),"")</f>
        <v/>
      </c>
      <c r="P234">
        <f>IF(OR($A234="",$F234="أحد الشركاء",AND($D234="",$E234="")),"",SUMPRODUCT(($A$4:$A234&lt;&gt;"")*($F$4:$F234&lt;&gt;"أحد الشركاء")*((($D$4:$D234&lt;&gt;"")+($E$4:$E234&lt;&gt;""))&gt;0)))</f>
        <v>210</v>
      </c>
      <c r="Q234" t="str">
        <f>IF(OR($A234="",$F234&lt;&gt;"أحد الشركاء"),"",COUNTIFS($A$4:A234,"&lt;&gt;",$F$4:F234,"أحد الشركاء"))</f>
        <v/>
      </c>
    </row>
    <row r="235" spans="1:17" ht="18.75" customHeight="1" x14ac:dyDescent="0.25">
      <c r="A235" s="25">
        <v>46290</v>
      </c>
      <c r="B235" s="26" t="s">
        <v>486</v>
      </c>
      <c r="C235" s="27" t="s">
        <v>483</v>
      </c>
      <c r="D235" s="28"/>
      <c r="E235" s="29">
        <v>20</v>
      </c>
      <c r="F235" s="30" t="s">
        <v>38</v>
      </c>
      <c r="G235" s="31"/>
      <c r="H235" s="32" t="s">
        <v>40</v>
      </c>
      <c r="I235" s="33"/>
      <c r="J235" s="34">
        <f>IF(AND(D235="",E235="",A235="",B235="",C235=""),"", IFERROR(IF(J234="",D2,J234),D2)+IF(E235="",0,E235)-IF(OR(G235="أبو اسحاق",G235="أبو آدم",G235="أبو اسحاق ",G235="أبو آدم "),0,IF(D235="",0,D235)))</f>
        <v>1007.5450000000001</v>
      </c>
      <c r="K235" s="35"/>
      <c r="L235">
        <f>IF(E234&gt;0,COUNTIF($E$4:E234,"&gt;0"),"")</f>
        <v>160</v>
      </c>
      <c r="M235" t="str">
        <f>IF(AND(D234&gt;0,G234="المحفظة"),COUNTIFS($D$4:D234,"&gt;"&amp;0,$G$4:G234,"المحفظة"),"")</f>
        <v/>
      </c>
      <c r="N235" t="str">
        <f>IF(AND(OR('طباعة كشف الحساب'!$C$2="الكل",MONTH(A235)=IFERROR(MATCH('طباعة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الحساب'!$F$2="الكل",YEAR(A235)=IFERROR(VALUE('طباعة كشف الحساب'!$F$2),0)),A235&lt;&gt;""),IFERROR(MAX($N$4:N234),0)+1,"")</f>
        <v/>
      </c>
      <c r="O235" t="str">
        <f>IF(AND(D234&gt;0,F234="أحد الشركاء"),COUNTIFS($D$4:D234,"&gt;"&amp;0,$F$4:F234,"أحد الشركاء"),"")</f>
        <v/>
      </c>
      <c r="P235">
        <f>IF(OR($A235="",$F235="أحد الشركاء",AND($D235="",$E235="")),"",SUMPRODUCT(($A$4:$A235&lt;&gt;"")*($F$4:$F235&lt;&gt;"أحد الشركاء")*((($D$4:$D235&lt;&gt;"")+($E$4:$E235&lt;&gt;""))&gt;0)))</f>
        <v>211</v>
      </c>
      <c r="Q235" t="str">
        <f>IF(OR($A235="",$F235&lt;&gt;"أحد الشركاء"),"",COUNTIFS($A$4:A235,"&lt;&gt;",$F$4:F235,"أحد الشركاء"))</f>
        <v/>
      </c>
    </row>
    <row r="236" spans="1:17" ht="18.75" customHeight="1" x14ac:dyDescent="0.25">
      <c r="A236" s="25">
        <v>46290</v>
      </c>
      <c r="B236" s="36" t="s">
        <v>487</v>
      </c>
      <c r="C236" s="37" t="s">
        <v>484</v>
      </c>
      <c r="D236" s="38"/>
      <c r="E236" s="39">
        <v>15</v>
      </c>
      <c r="F236" s="136" t="s">
        <v>38</v>
      </c>
      <c r="G236" s="40"/>
      <c r="H236" s="41" t="s">
        <v>40</v>
      </c>
      <c r="I236" s="42"/>
      <c r="J236" s="43">
        <f>IF(AND(D236="",E236="",A236="",B236="",C236=""),"", IFERROR(IF(J235="",D2,J235),D2)+IF(E236="",0,E236)-IF(OR(G236="أبو اسحاق",G236="أبو آدم",G236="أبو اسحاق ",G236="أبو آدم "),0,IF(D236="",0,D236)))</f>
        <v>1022.5450000000001</v>
      </c>
      <c r="K236" s="44"/>
      <c r="L236">
        <f>IF(E235&gt;0,COUNTIF($E$4:E235,"&gt;0"),"")</f>
        <v>161</v>
      </c>
      <c r="M236" t="str">
        <f>IF(AND(D235&gt;0,G235="المحفظة"),COUNTIFS($D$4:D235,"&gt;"&amp;0,$G$4:G235,"المحفظة"),"")</f>
        <v/>
      </c>
      <c r="N236" t="str">
        <f>IF(AND(OR('طباعة كشف الحساب'!$C$2="الكل",MONTH(A236)=IFERROR(MATCH('طباعة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الحساب'!$F$2="الكل",YEAR(A236)=IFERROR(VALUE('طباعة كشف الحساب'!$F$2),0)),A236&lt;&gt;""),IFERROR(MAX($N$4:N235),0)+1,"")</f>
        <v/>
      </c>
      <c r="O236" t="str">
        <f>IF(AND(D235&gt;0,F235="أحد الشركاء"),COUNTIFS($D$4:D235,"&gt;"&amp;0,$F$4:F235,"أحد الشركاء"),"")</f>
        <v/>
      </c>
      <c r="P236">
        <f>IF(OR($A236="",$F236="أحد الشركاء",AND($D236="",$E236="")),"",SUMPRODUCT(($A$4:$A236&lt;&gt;"")*($F$4:$F236&lt;&gt;"أحد الشركاء")*((($D$4:$D236&lt;&gt;"")+($E$4:$E236&lt;&gt;""))&gt;0)))</f>
        <v>212</v>
      </c>
      <c r="Q236" t="str">
        <f>IF(OR($A236="",$F236&lt;&gt;"أحد الشركاء"),"",COUNTIFS($A$4:A236,"&lt;&gt;",$F$4:F236,"أحد الشركاء"))</f>
        <v/>
      </c>
    </row>
    <row r="237" spans="1:17" ht="18.75" customHeight="1" x14ac:dyDescent="0.25">
      <c r="A237" s="25">
        <v>46290</v>
      </c>
      <c r="B237" s="26" t="s">
        <v>489</v>
      </c>
      <c r="C237" s="27" t="s">
        <v>488</v>
      </c>
      <c r="D237" s="28"/>
      <c r="E237" s="29">
        <v>260</v>
      </c>
      <c r="F237" s="30" t="s">
        <v>38</v>
      </c>
      <c r="G237" s="31"/>
      <c r="H237" s="32" t="s">
        <v>40</v>
      </c>
      <c r="I237" s="33"/>
      <c r="J237" s="34">
        <f>IF(AND(D237="",E237="",A237="",B237="",C237=""),"", IFERROR(IF(J236="",D2,J236),D2)+IF(E237="",0,E237)-IF(OR(G237="أبو اسحاق",G237="أبو آدم",G237="أبو اسحاق ",G237="أبو آدم "),0,IF(D237="",0,D237)))</f>
        <v>1282.5450000000001</v>
      </c>
      <c r="K237" s="35"/>
      <c r="L237">
        <f>IF(E236&gt;0,COUNTIF($E$4:E236,"&gt;0"),"")</f>
        <v>162</v>
      </c>
      <c r="M237" t="str">
        <f>IF(AND(D236&gt;0,G236="المحفظة"),COUNTIFS($D$4:D236,"&gt;"&amp;0,$G$4:G236,"المحفظة"),"")</f>
        <v/>
      </c>
      <c r="N237" t="str">
        <f>IF(AND(OR('طباعة كشف الحساب'!$C$2="الكل",MONTH(A237)=IFERROR(MATCH('طباعة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الحساب'!$F$2="الكل",YEAR(A237)=IFERROR(VALUE('طباعة كشف الحساب'!$F$2),0)),A237&lt;&gt;""),IFERROR(MAX($N$4:N236),0)+1,"")</f>
        <v/>
      </c>
      <c r="O237" t="str">
        <f>IF(AND(D236&gt;0,F236="أحد الشركاء"),COUNTIFS($D$4:D236,"&gt;"&amp;0,$F$4:F236,"أحد الشركاء"),"")</f>
        <v/>
      </c>
      <c r="P237">
        <f>IF(OR($A237="",$F237="أحد الشركاء",AND($D237="",$E237="")),"",SUMPRODUCT(($A$4:$A237&lt;&gt;"")*($F$4:$F237&lt;&gt;"أحد الشركاء")*((($D$4:$D237&lt;&gt;"")+($E$4:$E237&lt;&gt;""))&gt;0)))</f>
        <v>213</v>
      </c>
      <c r="Q237" t="str">
        <f>IF(OR($A237="",$F237&lt;&gt;"أحد الشركاء"),"",COUNTIFS($A$4:A237,"&lt;&gt;",$F$4:F237,"أحد الشركاء"))</f>
        <v/>
      </c>
    </row>
    <row r="238" spans="1:17" ht="18.75" customHeight="1" x14ac:dyDescent="0.25">
      <c r="A238" s="25">
        <v>46290</v>
      </c>
      <c r="B238" s="36" t="s">
        <v>492</v>
      </c>
      <c r="C238" s="37" t="s">
        <v>490</v>
      </c>
      <c r="D238" s="38"/>
      <c r="E238" s="39">
        <v>1.5</v>
      </c>
      <c r="F238" s="136" t="s">
        <v>38</v>
      </c>
      <c r="G238" s="40"/>
      <c r="H238" s="41" t="s">
        <v>40</v>
      </c>
      <c r="I238" s="42"/>
      <c r="J238" s="43">
        <f>IF(AND(D238="",E238="",A238="",B238="",C238=""),"", IFERROR(IF(J237="",D2,J237),D2)+IF(E238="",0,E238)-IF(OR(G238="أبو اسحاق",G238="أبو آدم",G238="أبو اسحاق ",G238="أبو آدم "),0,IF(D238="",0,D238)))</f>
        <v>1284.0450000000001</v>
      </c>
      <c r="K238" s="44"/>
      <c r="L238">
        <f>IF(E237&gt;0,COUNTIF($E$4:E237,"&gt;0"),"")</f>
        <v>163</v>
      </c>
      <c r="M238" t="str">
        <f>IF(AND(D237&gt;0,G237="المحفظة"),COUNTIFS($D$4:D237,"&gt;"&amp;0,$G$4:G237,"المحفظة"),"")</f>
        <v/>
      </c>
      <c r="N238" t="str">
        <f>IF(AND(OR('طباعة كشف الحساب'!$C$2="الكل",MONTH(A238)=IFERROR(MATCH('طباعة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الحساب'!$F$2="الكل",YEAR(A238)=IFERROR(VALUE('طباعة كشف الحساب'!$F$2),0)),A238&lt;&gt;""),IFERROR(MAX($N$4:N237),0)+1,"")</f>
        <v/>
      </c>
      <c r="O238" t="str">
        <f>IF(AND(D237&gt;0,F237="أحد الشركاء"),COUNTIFS($D$4:D237,"&gt;"&amp;0,$F$4:F237,"أحد الشركاء"),"")</f>
        <v/>
      </c>
      <c r="P238">
        <f>IF(OR($A238="",$F238="أحد الشركاء",AND($D238="",$E238="")),"",SUMPRODUCT(($A$4:$A238&lt;&gt;"")*($F$4:$F238&lt;&gt;"أحد الشركاء")*((($D$4:$D238&lt;&gt;"")+($E$4:$E238&lt;&gt;""))&gt;0)))</f>
        <v>214</v>
      </c>
      <c r="Q238" t="str">
        <f>IF(OR($A238="",$F238&lt;&gt;"أحد الشركاء"),"",COUNTIFS($A$4:A238,"&lt;&gt;",$F$4:F238,"أحد الشركاء"))</f>
        <v/>
      </c>
    </row>
    <row r="239" spans="1:17" ht="18.75" customHeight="1" x14ac:dyDescent="0.25">
      <c r="A239" s="25">
        <v>46290</v>
      </c>
      <c r="B239" s="26" t="s">
        <v>493</v>
      </c>
      <c r="C239" s="27" t="s">
        <v>491</v>
      </c>
      <c r="D239" s="28"/>
      <c r="E239" s="29">
        <v>1.5</v>
      </c>
      <c r="F239" s="30" t="s">
        <v>38</v>
      </c>
      <c r="G239" s="31"/>
      <c r="H239" s="32" t="s">
        <v>40</v>
      </c>
      <c r="I239" s="33"/>
      <c r="J239" s="34">
        <f>IF(AND(D239="",E239="",A239="",B239="",C239=""),"", IFERROR(IF(J238="",D2,J238),D2)+IF(E239="",0,E239)-IF(OR(G239="أبو اسحاق",G239="أبو آدم",G239="أبو اسحاق ",G239="أبو آدم "),0,IF(D239="",0,D239)))</f>
        <v>1285.5450000000001</v>
      </c>
      <c r="K239" s="35"/>
      <c r="L239">
        <f>IF(E238&gt;0,COUNTIF($E$4:E238,"&gt;0"),"")</f>
        <v>164</v>
      </c>
      <c r="M239" t="str">
        <f>IF(AND(D238&gt;0,G238="المحفظة"),COUNTIFS($D$4:D238,"&gt;"&amp;0,$G$4:G238,"المحفظة"),"")</f>
        <v/>
      </c>
      <c r="N239" t="str">
        <f>IF(AND(OR('طباعة كشف الحساب'!$C$2="الكل",MONTH(A239)=IFERROR(MATCH('طباعة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الحساب'!$F$2="الكل",YEAR(A239)=IFERROR(VALUE('طباعة كشف الحساب'!$F$2),0)),A239&lt;&gt;""),IFERROR(MAX($N$4:N238),0)+1,"")</f>
        <v/>
      </c>
      <c r="O239" t="str">
        <f>IF(AND(D238&gt;0,F238="أحد الشركاء"),COUNTIFS($D$4:D238,"&gt;"&amp;0,$F$4:F238,"أحد الشركاء"),"")</f>
        <v/>
      </c>
      <c r="P239">
        <f>IF(OR($A239="",$F239="أحد الشركاء",AND($D239="",$E239="")),"",SUMPRODUCT(($A$4:$A239&lt;&gt;"")*($F$4:$F239&lt;&gt;"أحد الشركاء")*((($D$4:$D239&lt;&gt;"")+($E$4:$E239&lt;&gt;""))&gt;0)))</f>
        <v>215</v>
      </c>
      <c r="Q239" t="str">
        <f>IF(OR($A239="",$F239&lt;&gt;"أحد الشركاء"),"",COUNTIFS($A$4:A239,"&lt;&gt;",$F$4:F239,"أحد الشركاء"))</f>
        <v/>
      </c>
    </row>
    <row r="240" spans="1:17" ht="18.75" customHeight="1" x14ac:dyDescent="0.25">
      <c r="A240" s="25">
        <v>46290</v>
      </c>
      <c r="B240" s="36" t="s">
        <v>495</v>
      </c>
      <c r="C240" s="37" t="s">
        <v>494</v>
      </c>
      <c r="D240" s="38"/>
      <c r="E240" s="39">
        <v>180</v>
      </c>
      <c r="F240" s="136" t="s">
        <v>38</v>
      </c>
      <c r="G240" s="40"/>
      <c r="H240" s="41" t="s">
        <v>40</v>
      </c>
      <c r="I240" s="42"/>
      <c r="J240" s="43">
        <f>IF(AND(D240="",E240="",A240="",B240="",C240=""),"", IFERROR(IF(J239="",D2,J239),D2)+IF(E240="",0,E240)-IF(OR(G240="أبو اسحاق",G240="أبو آدم",G240="أبو اسحاق ",G240="أبو آدم "),0,IF(D240="",0,D240)))</f>
        <v>1465.5450000000001</v>
      </c>
      <c r="K240" s="44"/>
      <c r="L240">
        <f>IF(E239&gt;0,COUNTIF($E$4:E239,"&gt;0"),"")</f>
        <v>165</v>
      </c>
      <c r="M240" t="str">
        <f>IF(AND(D239&gt;0,G239="المحفظة"),COUNTIFS($D$4:D239,"&gt;"&amp;0,$G$4:G239,"المحفظة"),"")</f>
        <v/>
      </c>
      <c r="N240" t="str">
        <f>IF(AND(OR('طباعة كشف الحساب'!$C$2="الكل",MONTH(A240)=IFERROR(MATCH('طباعة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الحساب'!$F$2="الكل",YEAR(A240)=IFERROR(VALUE('طباعة كشف الحساب'!$F$2),0)),A240&lt;&gt;""),IFERROR(MAX($N$4:N239),0)+1,"")</f>
        <v/>
      </c>
      <c r="O240" t="str">
        <f>IF(AND(D239&gt;0,F239="أحد الشركاء"),COUNTIFS($D$4:D239,"&gt;"&amp;0,$F$4:F239,"أحد الشركاء"),"")</f>
        <v/>
      </c>
      <c r="P240">
        <f>IF(OR($A240="",$F240="أحد الشركاء",AND($D240="",$E240="")),"",SUMPRODUCT(($A$4:$A240&lt;&gt;"")*($F$4:$F240&lt;&gt;"أحد الشركاء")*((($D$4:$D240&lt;&gt;"")+($E$4:$E240&lt;&gt;""))&gt;0)))</f>
        <v>216</v>
      </c>
      <c r="Q240" t="str">
        <f>IF(OR($A240="",$F240&lt;&gt;"أحد الشركاء"),"",COUNTIFS($A$4:A240,"&lt;&gt;",$F$4:F240,"أحد الشركاء"))</f>
        <v/>
      </c>
    </row>
    <row r="241" spans="1:17" ht="18.75" customHeight="1" x14ac:dyDescent="0.25">
      <c r="A241" s="25">
        <v>46292</v>
      </c>
      <c r="B241" s="26"/>
      <c r="C241" s="27" t="s">
        <v>496</v>
      </c>
      <c r="D241" s="28">
        <v>6</v>
      </c>
      <c r="E241" s="29"/>
      <c r="F241" s="30" t="s">
        <v>38</v>
      </c>
      <c r="G241" s="31"/>
      <c r="H241" s="32" t="s">
        <v>40</v>
      </c>
      <c r="I241" s="33"/>
      <c r="J241" s="34">
        <f>IF(AND(D241="",E241="",A241="",B241="",C241=""),"", IFERROR(IF(J240="",D2,J240),D2)+IF(E241="",0,E241)-IF(OR(G241="أبو اسحاق",G241="أبو آدم",G241="أبو اسحاق ",G241="أبو آدم "),0,IF(D241="",0,D241)))</f>
        <v>1459.5450000000001</v>
      </c>
      <c r="K241" s="35"/>
      <c r="L241">
        <f>IF(E240&gt;0,COUNTIF($E$4:E240,"&gt;0"),"")</f>
        <v>166</v>
      </c>
      <c r="M241" t="str">
        <f>IF(AND(D240&gt;0,G240="المحفظة"),COUNTIFS($D$4:D240,"&gt;"&amp;0,$G$4:G240,"المحفظة"),"")</f>
        <v/>
      </c>
      <c r="N241" t="str">
        <f>IF(AND(OR('طباعة كشف الحساب'!$C$2="الكل",MONTH(A241)=IFERROR(MATCH('طباعة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الحساب'!$F$2="الكل",YEAR(A241)=IFERROR(VALUE('طباعة كشف الحساب'!$F$2),0)),A241&lt;&gt;""),IFERROR(MAX($N$4:N240),0)+1,"")</f>
        <v/>
      </c>
      <c r="O241" t="str">
        <f>IF(AND(D240&gt;0,F240="أحد الشركاء"),COUNTIFS($D$4:D240,"&gt;"&amp;0,$F$4:F240,"أحد الشركاء"),"")</f>
        <v/>
      </c>
      <c r="P241">
        <f>IF(OR($A241="",$F241="أحد الشركاء",AND($D241="",$E241="")),"",SUMPRODUCT(($A$4:$A241&lt;&gt;"")*($F$4:$F241&lt;&gt;"أحد الشركاء")*((($D$4:$D241&lt;&gt;"")+($E$4:$E241&lt;&gt;""))&gt;0)))</f>
        <v>217</v>
      </c>
      <c r="Q241" t="str">
        <f>IF(OR($A241="",$F241&lt;&gt;"أحد الشركاء"),"",COUNTIFS($A$4:A241,"&lt;&gt;",$F$4:F241,"أحد الشركاء"))</f>
        <v/>
      </c>
    </row>
    <row r="242" spans="1:17" ht="18.75" customHeight="1" x14ac:dyDescent="0.25">
      <c r="A242" s="25">
        <v>46293</v>
      </c>
      <c r="B242" s="36" t="s">
        <v>499</v>
      </c>
      <c r="C242" s="37" t="s">
        <v>500</v>
      </c>
      <c r="D242" s="38"/>
      <c r="E242" s="39">
        <v>37.5</v>
      </c>
      <c r="F242" s="136" t="s">
        <v>38</v>
      </c>
      <c r="G242" s="40"/>
      <c r="H242" s="41" t="s">
        <v>40</v>
      </c>
      <c r="I242" s="42"/>
      <c r="J242" s="43">
        <f>IF(AND(D242="",E242="",A242="",B242="",C242=""),"", IFERROR(IF(J241="",D2,J241),D2)+IF(E242="",0,E242)-IF(OR(G242="أبو اسحاق",G242="أبو آدم",G242="أبو اسحاق ",G242="أبو آدم "),0,IF(D242="",0,D242)))</f>
        <v>1497.0450000000001</v>
      </c>
      <c r="K242" s="44"/>
      <c r="L242" t="str">
        <f>IF(E241&gt;0,COUNTIF($E$4:E241,"&gt;0"),"")</f>
        <v/>
      </c>
      <c r="M242" t="str">
        <f>IF(AND(D241&gt;0,G241="المحفظة"),COUNTIFS($D$4:D241,"&gt;"&amp;0,$G$4:G241,"المحفظة"),"")</f>
        <v/>
      </c>
      <c r="N242" t="str">
        <f>IF(AND(OR('طباعة كشف الحساب'!$C$2="الكل",MONTH(A242)=IFERROR(MATCH('طباعة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الحساب'!$F$2="الكل",YEAR(A242)=IFERROR(VALUE('طباعة كشف الحساب'!$F$2),0)),A242&lt;&gt;""),IFERROR(MAX($N$4:N241),0)+1,"")</f>
        <v/>
      </c>
      <c r="O242" t="str">
        <f>IF(AND(D241&gt;0,F241="أحد الشركاء"),COUNTIFS($D$4:D241,"&gt;"&amp;0,$F$4:F241,"أحد الشركاء"),"")</f>
        <v/>
      </c>
      <c r="P242">
        <f>IF(OR($A242="",$F242="أحد الشركاء",AND($D242="",$E242="")),"",SUMPRODUCT(($A$4:$A242&lt;&gt;"")*($F$4:$F242&lt;&gt;"أحد الشركاء")*((($D$4:$D242&lt;&gt;"")+($E$4:$E242&lt;&gt;""))&gt;0)))</f>
        <v>218</v>
      </c>
      <c r="Q242" t="str">
        <f>IF(OR($A242="",$F242&lt;&gt;"أحد الشركاء"),"",COUNTIFS($A$4:A242,"&lt;&gt;",$F$4:F242,"أحد الشركاء"))</f>
        <v/>
      </c>
    </row>
    <row r="243" spans="1:17" ht="18.75" customHeight="1" x14ac:dyDescent="0.25">
      <c r="A243" s="25">
        <v>46293</v>
      </c>
      <c r="B243" s="26"/>
      <c r="C243" s="27" t="s">
        <v>501</v>
      </c>
      <c r="D243" s="28">
        <v>20</v>
      </c>
      <c r="E243" s="29"/>
      <c r="F243" s="30" t="s">
        <v>38</v>
      </c>
      <c r="G243" s="31"/>
      <c r="H243" s="32" t="s">
        <v>40</v>
      </c>
      <c r="I243" s="33"/>
      <c r="J243" s="34">
        <f>IF(AND(D243="",E243="",A243="",B243="",C243=""),"", IFERROR(IF(J242="",D2,J242),D2)+IF(E243="",0,E243)-IF(OR(G243="أبو اسحاق",G243="أبو آدم",G243="أبو اسحاق ",G243="أبو آدم "),0,IF(D243="",0,D243)))</f>
        <v>1477.0450000000001</v>
      </c>
      <c r="K243" s="35"/>
      <c r="L243">
        <f>IF(E242&gt;0,COUNTIF($E$4:E242,"&gt;0"),"")</f>
        <v>167</v>
      </c>
      <c r="M243" t="str">
        <f>IF(AND(D242&gt;0,G242="المحفظة"),COUNTIFS($D$4:D242,"&gt;"&amp;0,$G$4:G242,"المحفظة"),"")</f>
        <v/>
      </c>
      <c r="N243" t="str">
        <f>IF(AND(OR('طباعة كشف الحساب'!$C$2="الكل",MONTH(A243)=IFERROR(MATCH('طباعة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الحساب'!$F$2="الكل",YEAR(A243)=IFERROR(VALUE('طباعة كشف الحساب'!$F$2),0)),A243&lt;&gt;""),IFERROR(MAX($N$4:N242),0)+1,"")</f>
        <v/>
      </c>
      <c r="O243" t="str">
        <f>IF(AND(D242&gt;0,F242="أحد الشركاء"),COUNTIFS($D$4:D242,"&gt;"&amp;0,$F$4:F242,"أحد الشركاء"),"")</f>
        <v/>
      </c>
      <c r="P243">
        <f>IF(OR($A243="",$F243="أحد الشركاء",AND($D243="",$E243="")),"",SUMPRODUCT(($A$4:$A243&lt;&gt;"")*($F$4:$F243&lt;&gt;"أحد الشركاء")*((($D$4:$D243&lt;&gt;"")+($E$4:$E243&lt;&gt;""))&gt;0)))</f>
        <v>219</v>
      </c>
      <c r="Q243" t="str">
        <f>IF(OR($A243="",$F243&lt;&gt;"أحد الشركاء"),"",COUNTIFS($A$4:A243,"&lt;&gt;",$F$4:F243,"أحد الشركاء"))</f>
        <v/>
      </c>
    </row>
    <row r="244" spans="1:17" ht="18.75" customHeight="1" x14ac:dyDescent="0.25">
      <c r="A244" s="25">
        <v>46293</v>
      </c>
      <c r="B244" s="36"/>
      <c r="C244" s="37" t="s">
        <v>502</v>
      </c>
      <c r="D244" s="38">
        <v>60</v>
      </c>
      <c r="E244" s="39"/>
      <c r="F244" s="136" t="s">
        <v>38</v>
      </c>
      <c r="G244" s="40" t="s">
        <v>39</v>
      </c>
      <c r="H244" s="41" t="s">
        <v>40</v>
      </c>
      <c r="I244" s="42"/>
      <c r="J244" s="43">
        <f>IF(AND(D244="",E244="",A244="",B244="",C244=""),"", IFERROR(IF(J243="",D2,J243),D2)+IF(E244="",0,E244)-IF(OR(G244="أبو اسحاق",G244="أبو آدم",G244="أبو اسحاق ",G244="أبو آدم "),0,IF(D244="",0,D244)))</f>
        <v>1417.0450000000001</v>
      </c>
      <c r="K244" s="44"/>
      <c r="L244" t="str">
        <f>IF(E243&gt;0,COUNTIF($E$4:E243,"&gt;0"),"")</f>
        <v/>
      </c>
      <c r="M244" t="str">
        <f>IF(AND(D243&gt;0,G243="المحفظة"),COUNTIFS($D$4:D243,"&gt;"&amp;0,$G$4:G243,"المحفظة"),"")</f>
        <v/>
      </c>
      <c r="N244" t="str">
        <f>IF(AND(OR('طباعة كشف الحساب'!$C$2="الكل",MONTH(A244)=IFERROR(MATCH('طباعة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الحساب'!$F$2="الكل",YEAR(A244)=IFERROR(VALUE('طباعة كشف الحساب'!$F$2),0)),A244&lt;&gt;""),IFERROR(MAX($N$4:N243),0)+1,"")</f>
        <v/>
      </c>
      <c r="O244" t="str">
        <f>IF(AND(D243&gt;0,F243="أحد الشركاء"),COUNTIFS($D$4:D243,"&gt;"&amp;0,$F$4:F243,"أحد الشركاء"),"")</f>
        <v/>
      </c>
      <c r="P244">
        <f>IF(OR($A244="",$F244="أحد الشركاء",AND($D244="",$E244="")),"",SUMPRODUCT(($A$4:$A244&lt;&gt;"")*($F$4:$F244&lt;&gt;"أحد الشركاء")*((($D$4:$D244&lt;&gt;"")+($E$4:$E244&lt;&gt;""))&gt;0)))</f>
        <v>220</v>
      </c>
      <c r="Q244" t="str">
        <f>IF(OR($A244="",$F244&lt;&gt;"أحد الشركاء"),"",COUNTIFS($A$4:A244,"&lt;&gt;",$F$4:F244,"أحد الشركاء"))</f>
        <v/>
      </c>
    </row>
    <row r="245" spans="1:17" ht="18.75" customHeight="1" x14ac:dyDescent="0.25">
      <c r="A245" s="25">
        <v>46284</v>
      </c>
      <c r="B245" s="26"/>
      <c r="C245" s="27" t="s">
        <v>503</v>
      </c>
      <c r="D245" s="28">
        <v>490</v>
      </c>
      <c r="E245" s="29"/>
      <c r="F245" s="30" t="s">
        <v>38</v>
      </c>
      <c r="G245" s="31" t="s">
        <v>39</v>
      </c>
      <c r="H245" s="32" t="s">
        <v>40</v>
      </c>
      <c r="I245" s="33"/>
      <c r="J245" s="34">
        <f>IF(AND(D245="",E245="",A245="",B245="",C245=""),"", IFERROR(IF(J244="",D2,J244),D2)+IF(E245="",0,E245)-IF(OR(G245="أبو اسحاق",G245="أبو آدم",G245="أبو اسحاق ",G245="أبو آدم "),0,IF(D245="",0,D245)))</f>
        <v>927.04500000000007</v>
      </c>
      <c r="K245" s="35"/>
      <c r="L245" t="str">
        <f>IF(E244&gt;0,COUNTIF($E$4:E244,"&gt;0"),"")</f>
        <v/>
      </c>
      <c r="M245">
        <f>IF(AND(D244&gt;0,G244="المحفظة"),COUNTIFS($D$4:D244,"&gt;"&amp;0,$G$4:G244,"المحفظة"),"")</f>
        <v>50</v>
      </c>
      <c r="N245" t="str">
        <f>IF(AND(OR('طباعة كشف الحساب'!$C$2="الكل",MONTH(A245)=IFERROR(MATCH('طباعة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الحساب'!$F$2="الكل",YEAR(A245)=IFERROR(VALUE('طباعة كشف الحساب'!$F$2),0)),A245&lt;&gt;""),IFERROR(MAX($N$4:N244),0)+1,"")</f>
        <v/>
      </c>
      <c r="O245" t="str">
        <f>IF(AND(D244&gt;0,F244="أحد الشركاء"),COUNTIFS($D$4:D244,"&gt;"&amp;0,$F$4:F244,"أحد الشركاء"),"")</f>
        <v/>
      </c>
      <c r="P245">
        <f>IF(OR($A245="",$F245="أحد الشركاء",AND($D245="",$E245="")),"",SUMPRODUCT(($A$4:$A245&lt;&gt;"")*($F$4:$F245&lt;&gt;"أحد الشركاء")*((($D$4:$D245&lt;&gt;"")+($E$4:$E245&lt;&gt;""))&gt;0)))</f>
        <v>221</v>
      </c>
      <c r="Q245" t="str">
        <f>IF(OR($A245="",$F245&lt;&gt;"أحد الشركاء"),"",COUNTIFS($A$4:A245,"&lt;&gt;",$F$4:F245,"أحد الشركاء"))</f>
        <v/>
      </c>
    </row>
    <row r="246" spans="1:17" ht="18.75" customHeight="1" x14ac:dyDescent="0.25">
      <c r="A246" s="25"/>
      <c r="B246" s="36"/>
      <c r="C246" s="37"/>
      <c r="D246" s="38"/>
      <c r="E246" s="39"/>
      <c r="F246" s="136"/>
      <c r="G246" s="40"/>
      <c r="H246" s="41"/>
      <c r="I246" s="42"/>
      <c r="J246" s="43" t="str">
        <f>IF(AND(D246="",E246="",A246="",B246="",C246=""),"", IFERROR(IF(J245="",D2,J245),D2)+IF(E246="",0,E246)-IF(OR(G246="أبو اسحاق",G246="أبو آدم",G246="أبو اسحاق ",G246="أبو آدم "),0,IF(D246="",0,D246)))</f>
        <v/>
      </c>
      <c r="K246" s="44"/>
      <c r="L246" t="str">
        <f>IF(E245&gt;0,COUNTIF($E$4:E245,"&gt;0"),"")</f>
        <v/>
      </c>
      <c r="M246">
        <f>IF(AND(D245&gt;0,G245="المحفظة"),COUNTIFS($D$4:D245,"&gt;"&amp;0,$G$4:G245,"المحفظة"),"")</f>
        <v>51</v>
      </c>
      <c r="N246" t="str">
        <f>IF(AND(OR('طباعة كشف الحساب'!$C$2="الكل",MONTH(A246)=IFERROR(MATCH('طباعة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الحساب'!$F$2="الكل",YEAR(A246)=IFERROR(VALUE('طباعة كشف الحساب'!$F$2),0)),A246&lt;&gt;""),IFERROR(MAX($N$4:N245),0)+1,"")</f>
        <v/>
      </c>
      <c r="O246" t="str">
        <f>IF(AND(D245&gt;0,F245="أحد الشركاء"),COUNTIFS($D$4:D245,"&gt;"&amp;0,$F$4:F245,"أحد الشركاء"),"")</f>
        <v/>
      </c>
      <c r="P246" t="str">
        <f>IF(OR($A246="",$F246="أحد الشركاء",AND($D246="",$E246="")),"",SUMPRODUCT(($A$4:$A246&lt;&gt;"")*($F$4:$F246&lt;&gt;"أحد الشركاء")*((($D$4:$D246&lt;&gt;"")+($E$4:$E246&lt;&gt;""))&gt;0)))</f>
        <v/>
      </c>
      <c r="Q246" t="str">
        <f>IF(OR($A246="",$F246&lt;&gt;"أحد الشركاء"),"",COUNTIFS($A$4:A246,"&lt;&gt;",$F$4:F246,"أحد الشركاء"))</f>
        <v/>
      </c>
    </row>
    <row r="247" spans="1:17" ht="18.75" customHeight="1" x14ac:dyDescent="0.25">
      <c r="A247" s="25"/>
      <c r="B247" s="26"/>
      <c r="C247" s="27"/>
      <c r="D247" s="28"/>
      <c r="E247" s="29"/>
      <c r="F247" s="30"/>
      <c r="G247" s="31"/>
      <c r="H247" s="32"/>
      <c r="I247" s="33"/>
      <c r="J247" s="34" t="str">
        <f>IF(AND(D247="",E247="",A247="",B247="",C247=""),"", IFERROR(IF(J246="",D2,J246),D2)+IF(E247="",0,E247)-IF(OR(G247="أبو اسحاق",G247="أبو آدم",G247="أبو اسحاق ",G247="أبو آدم "),0,IF(D247="",0,D247)))</f>
        <v/>
      </c>
      <c r="K247" s="35"/>
      <c r="L247" t="str">
        <f>IF(E246&gt;0,COUNTIF($E$4:E246,"&gt;0"),"")</f>
        <v/>
      </c>
      <c r="M247" t="str">
        <f>IF(AND(D246&gt;0,G246="المحفظة"),COUNTIFS($D$4:D246,"&gt;"&amp;0,$G$4:G246,"المحفظة"),"")</f>
        <v/>
      </c>
      <c r="N247" t="str">
        <f>IF(AND(OR('طباعة كشف الحساب'!$C$2="الكل",MONTH(A247)=IFERROR(MATCH('طباعة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الحساب'!$F$2="الكل",YEAR(A247)=IFERROR(VALUE('طباعة كشف الحساب'!$F$2),0)),A247&lt;&gt;""),IFERROR(MAX($N$4:N246),0)+1,"")</f>
        <v/>
      </c>
      <c r="O247" t="str">
        <f>IF(AND(D246&gt;0,F246="أحد الشركاء"),COUNTIFS($D$4:D246,"&gt;"&amp;0,$F$4:F246,"أحد الشركاء"),"")</f>
        <v/>
      </c>
      <c r="P247" t="str">
        <f>IF(OR($A247="",$F247="أحد الشركاء",AND($D247="",$E247="")),"",SUMPRODUCT(($A$4:$A247&lt;&gt;"")*($F$4:$F247&lt;&gt;"أحد الشركاء")*((($D$4:$D247&lt;&gt;"")+($E$4:$E247&lt;&gt;""))&gt;0)))</f>
        <v/>
      </c>
      <c r="Q247" t="str">
        <f>IF(OR($A247="",$F247&lt;&gt;"أحد الشركاء"),"",COUNTIFS($A$4:A247,"&lt;&gt;",$F$4:F247,"أحد الشركاء"))</f>
        <v/>
      </c>
    </row>
    <row r="248" spans="1:17" ht="18.75" customHeight="1" x14ac:dyDescent="0.25">
      <c r="A248" s="25"/>
      <c r="B248" s="36"/>
      <c r="C248" s="37"/>
      <c r="D248" s="38"/>
      <c r="E248" s="39"/>
      <c r="F248" s="136"/>
      <c r="G248" s="40"/>
      <c r="H248" s="41"/>
      <c r="I248" s="42"/>
      <c r="J248" s="43" t="str">
        <f>IF(AND(D248="",E248="",A248="",B248="",C248=""),"", IFERROR(IF(J247="",D2,J247),D2)+IF(E248="",0,E248)-IF(OR(G248="أبو اسحاق",G248="أبو آدم",G248="أبو اسحاق ",G248="أبو آدم "),0,IF(D248="",0,D248)))</f>
        <v/>
      </c>
      <c r="K248" s="44"/>
      <c r="L248" t="str">
        <f>IF(E247&gt;0,COUNTIF($E$4:E247,"&gt;0"),"")</f>
        <v/>
      </c>
      <c r="M248" t="str">
        <f>IF(AND(D247&gt;0,G247="المحفظة"),COUNTIFS($D$4:D247,"&gt;"&amp;0,$G$4:G247,"المحفظة"),"")</f>
        <v/>
      </c>
      <c r="N248" t="str">
        <f>IF(AND(OR('طباعة كشف الحساب'!$C$2="الكل",MONTH(A248)=IFERROR(MATCH('طباعة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الحساب'!$F$2="الكل",YEAR(A248)=IFERROR(VALUE('طباعة كشف الحساب'!$F$2),0)),A248&lt;&gt;""),IFERROR(MAX($N$4:N247),0)+1,"")</f>
        <v/>
      </c>
      <c r="O248" t="str">
        <f>IF(AND(D247&gt;0,F247="أحد الشركاء"),COUNTIFS($D$4:D247,"&gt;"&amp;0,$F$4:F247,"أحد الشركاء"),"")</f>
        <v/>
      </c>
      <c r="P248" t="str">
        <f>IF(OR($A248="",$F248="أحد الشركاء",AND($D248="",$E248="")),"",SUMPRODUCT(($A$4:$A248&lt;&gt;"")*($F$4:$F248&lt;&gt;"أحد الشركاء")*((($D$4:$D248&lt;&gt;"")+($E$4:$E248&lt;&gt;""))&gt;0)))</f>
        <v/>
      </c>
      <c r="Q248" t="str">
        <f>IF(OR($A248="",$F248&lt;&gt;"أحد الشركاء"),"",COUNTIFS($A$4:A248,"&lt;&gt;",$F$4:F248,"أحد الشركاء"))</f>
        <v/>
      </c>
    </row>
    <row r="249" spans="1:17" ht="18.75" customHeight="1" x14ac:dyDescent="0.25">
      <c r="A249" s="25"/>
      <c r="B249" s="26"/>
      <c r="C249" s="27"/>
      <c r="D249" s="28"/>
      <c r="E249" s="29"/>
      <c r="F249" s="30"/>
      <c r="G249" s="31"/>
      <c r="H249" s="32"/>
      <c r="I249" s="33"/>
      <c r="J249" s="34" t="str">
        <f>IF(AND(D249="",E249="",A249="",B249="",C249=""),"", IFERROR(IF(J248="",D2,J248),D2)+IF(E249="",0,E249)-IF(OR(G249="أبو اسحاق",G249="أبو آدم",G249="أبو اسحاق ",G249="أبو آدم "),0,IF(D249="",0,D249)))</f>
        <v/>
      </c>
      <c r="K249" s="35"/>
      <c r="L249" t="str">
        <f>IF(E248&gt;0,COUNTIF($E$4:E248,"&gt;0"),"")</f>
        <v/>
      </c>
      <c r="M249" t="str">
        <f>IF(AND(D248&gt;0,G248="المحفظة"),COUNTIFS($D$4:D248,"&gt;"&amp;0,$G$4:G248,"المحفظة"),"")</f>
        <v/>
      </c>
      <c r="N249" t="str">
        <f>IF(AND(OR('طباعة كشف الحساب'!$C$2="الكل",MONTH(A249)=IFERROR(MATCH('طباعة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الحساب'!$F$2="الكل",YEAR(A249)=IFERROR(VALUE('طباعة كشف الحساب'!$F$2),0)),A249&lt;&gt;""),IFERROR(MAX($N$4:N248),0)+1,"")</f>
        <v/>
      </c>
      <c r="O249" t="str">
        <f>IF(AND(D248&gt;0,F248="أحد الشركاء"),COUNTIFS($D$4:D248,"&gt;"&amp;0,$F$4:F248,"أحد الشركاء"),"")</f>
        <v/>
      </c>
      <c r="P249" t="str">
        <f>IF(OR($A249="",$F249="أحد الشركاء",AND($D249="",$E249="")),"",SUMPRODUCT(($A$4:$A249&lt;&gt;"")*($F$4:$F249&lt;&gt;"أحد الشركاء")*((($D$4:$D249&lt;&gt;"")+($E$4:$E249&lt;&gt;""))&gt;0)))</f>
        <v/>
      </c>
      <c r="Q249" t="str">
        <f>IF(OR($A249="",$F249&lt;&gt;"أحد الشركاء"),"",COUNTIFS($A$4:A249,"&lt;&gt;",$F$4:F249,"أحد الشركاء"))</f>
        <v/>
      </c>
    </row>
    <row r="250" spans="1:17" ht="18.75" customHeight="1" x14ac:dyDescent="0.25">
      <c r="A250" s="25"/>
      <c r="B250" s="36"/>
      <c r="C250" s="37"/>
      <c r="D250" s="38"/>
      <c r="E250" s="39"/>
      <c r="F250" s="136"/>
      <c r="G250" s="40"/>
      <c r="H250" s="41"/>
      <c r="I250" s="42"/>
      <c r="J250" s="43" t="str">
        <f>IF(AND(D250="",E250="",A250="",B250="",C250=""),"", IFERROR(IF(J249="",D2,J249),D2)+IF(E250="",0,E250)-IF(OR(G250="أبو اسحاق",G250="أبو آدم",G250="أبو اسحاق ",G250="أبو آدم "),0,IF(D250="",0,D250)))</f>
        <v/>
      </c>
      <c r="K250" s="44"/>
      <c r="L250" t="str">
        <f>IF(E249&gt;0,COUNTIF($E$4:E249,"&gt;0"),"")</f>
        <v/>
      </c>
      <c r="M250" t="str">
        <f>IF(AND(D249&gt;0,G249="المحفظة"),COUNTIFS($D$4:D249,"&gt;"&amp;0,$G$4:G249,"المحفظة"),"")</f>
        <v/>
      </c>
      <c r="N250" t="str">
        <f>IF(AND(OR('طباعة كشف الحساب'!$C$2="الكل",MONTH(A250)=IFERROR(MATCH('طباعة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الحساب'!$F$2="الكل",YEAR(A250)=IFERROR(VALUE('طباعة كشف الحساب'!$F$2),0)),A250&lt;&gt;""),IFERROR(MAX($N$4:N249),0)+1,"")</f>
        <v/>
      </c>
      <c r="O250" t="str">
        <f>IF(AND(D249&gt;0,F249="أحد الشركاء"),COUNTIFS($D$4:D249,"&gt;"&amp;0,$F$4:F249,"أحد الشركاء"),"")</f>
        <v/>
      </c>
      <c r="P250" t="str">
        <f>IF(OR($A250="",$F250="أحد الشركاء",AND($D250="",$E250="")),"",SUMPRODUCT(($A$4:$A250&lt;&gt;"")*($F$4:$F250&lt;&gt;"أحد الشركاء")*((($D$4:$D250&lt;&gt;"")+($E$4:$E250&lt;&gt;""))&gt;0)))</f>
        <v/>
      </c>
      <c r="Q250" t="str">
        <f>IF(OR($A250="",$F250&lt;&gt;"أحد الشركاء"),"",COUNTIFS($A$4:A250,"&lt;&gt;",$F$4:F250,"أحد الشركاء"))</f>
        <v/>
      </c>
    </row>
    <row r="251" spans="1:17" ht="18.75" customHeight="1" x14ac:dyDescent="0.25">
      <c r="A251" s="25"/>
      <c r="B251" s="26"/>
      <c r="C251" s="27"/>
      <c r="D251" s="28"/>
      <c r="E251" s="29"/>
      <c r="F251" s="30"/>
      <c r="G251" s="31"/>
      <c r="H251" s="32"/>
      <c r="I251" s="33"/>
      <c r="J251" s="34" t="str">
        <f>IF(AND(D251="",E251="",A251="",B251="",C251=""),"", IFERROR(IF(J250="",D2,J250),D2)+IF(E251="",0,E251)-IF(OR(G251="أبو اسحاق",G251="أبو آدم",G251="أبو اسحاق ",G251="أبو آدم "),0,IF(D251="",0,D251)))</f>
        <v/>
      </c>
      <c r="K251" s="35"/>
      <c r="L251" t="str">
        <f>IF(E250&gt;0,COUNTIF($E$4:E250,"&gt;0"),"")</f>
        <v/>
      </c>
      <c r="M251" t="str">
        <f>IF(AND(D250&gt;0,G250="المحفظة"),COUNTIFS($D$4:D250,"&gt;"&amp;0,$G$4:G250,"المحفظة"),"")</f>
        <v/>
      </c>
      <c r="N251" t="str">
        <f>IF(AND(OR('طباعة كشف الحساب'!$C$2="الكل",MONTH(A251)=IFERROR(MATCH('طباعة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الحساب'!$F$2="الكل",YEAR(A251)=IFERROR(VALUE('طباعة كشف الحساب'!$F$2),0)),A251&lt;&gt;""),IFERROR(MAX($N$4:N250),0)+1,"")</f>
        <v/>
      </c>
      <c r="O251" t="str">
        <f>IF(AND(D250&gt;0,F250="أحد الشركاء"),COUNTIFS($D$4:D250,"&gt;"&amp;0,$F$4:F250,"أحد الشركاء"),"")</f>
        <v/>
      </c>
      <c r="P251" t="str">
        <f>IF(OR($A251="",$F251="أحد الشركاء",AND($D251="",$E251="")),"",SUMPRODUCT(($A$4:$A251&lt;&gt;"")*($F$4:$F251&lt;&gt;"أحد الشركاء")*((($D$4:$D251&lt;&gt;"")+($E$4:$E251&lt;&gt;""))&gt;0)))</f>
        <v/>
      </c>
      <c r="Q251" t="str">
        <f>IF(OR($A251="",$F251&lt;&gt;"أحد الشركاء"),"",COUNTIFS($A$4:A251,"&lt;&gt;",$F$4:F251,"أحد الشركاء"))</f>
        <v/>
      </c>
    </row>
    <row r="252" spans="1:17" ht="18.75" customHeight="1" x14ac:dyDescent="0.25">
      <c r="A252" s="25"/>
      <c r="B252" s="36"/>
      <c r="C252" s="37"/>
      <c r="D252" s="38"/>
      <c r="E252" s="39"/>
      <c r="F252" s="136"/>
      <c r="G252" s="40"/>
      <c r="H252" s="41"/>
      <c r="I252" s="42"/>
      <c r="J252" s="43" t="str">
        <f>IF(AND(D252="",E252="",A252="",B252="",C252=""),"", IFERROR(IF(J251="",D2,J251),D2)+IF(E252="",0,E252)-IF(OR(G252="أبو اسحاق",G252="أبو آدم",G252="أبو اسحاق ",G252="أبو آدم "),0,IF(D252="",0,D252)))</f>
        <v/>
      </c>
      <c r="K252" s="44"/>
      <c r="L252" t="str">
        <f>IF(E251&gt;0,COUNTIF($E$4:E251,"&gt;0"),"")</f>
        <v/>
      </c>
      <c r="M252" t="str">
        <f>IF(AND(D251&gt;0,G251="المحفظة"),COUNTIFS($D$4:D251,"&gt;"&amp;0,$G$4:G251,"المحفظة"),"")</f>
        <v/>
      </c>
      <c r="N252" t="str">
        <f>IF(AND(OR('طباعة كشف الحساب'!$C$2="الكل",MONTH(A252)=IFERROR(MATCH('طباعة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الحساب'!$F$2="الكل",YEAR(A252)=IFERROR(VALUE('طباعة كشف الحساب'!$F$2),0)),A252&lt;&gt;""),IFERROR(MAX($N$4:N251),0)+1,"")</f>
        <v/>
      </c>
      <c r="O252" t="str">
        <f>IF(AND(D251&gt;0,F251="أحد الشركاء"),COUNTIFS($D$4:D251,"&gt;"&amp;0,$F$4:F251,"أحد الشركاء"),"")</f>
        <v/>
      </c>
      <c r="P252" t="str">
        <f>IF(OR($A252="",$F252="أحد الشركاء",AND($D252="",$E252="")),"",SUMPRODUCT(($A$4:$A252&lt;&gt;"")*($F$4:$F252&lt;&gt;"أحد الشركاء")*((($D$4:$D252&lt;&gt;"")+($E$4:$E252&lt;&gt;""))&gt;0)))</f>
        <v/>
      </c>
      <c r="Q252" t="str">
        <f>IF(OR($A252="",$F252&lt;&gt;"أحد الشركاء"),"",COUNTIFS($A$4:A252,"&lt;&gt;",$F$4:F252,"أحد الشركاء"))</f>
        <v/>
      </c>
    </row>
    <row r="253" spans="1:17" ht="18.75" customHeight="1" x14ac:dyDescent="0.25">
      <c r="A253" s="25"/>
      <c r="B253" s="26"/>
      <c r="C253" s="27"/>
      <c r="D253" s="28"/>
      <c r="E253" s="29"/>
      <c r="F253" s="30"/>
      <c r="G253" s="31"/>
      <c r="H253" s="32"/>
      <c r="I253" s="33"/>
      <c r="J253" s="34" t="str">
        <f>IF(AND(D253="",E253="",A253="",B253="",C253=""),"", IFERROR(IF(J252="",D2,J252),D2)+IF(E253="",0,E253)-IF(OR(G253="أبو اسحاق",G253="أبو آدم",G253="أبو اسحاق ",G253="أبو آدم "),0,IF(D253="",0,D253)))</f>
        <v/>
      </c>
      <c r="K253" s="35"/>
      <c r="L253" t="str">
        <f>IF(E252&gt;0,COUNTIF($E$4:E252,"&gt;0"),"")</f>
        <v/>
      </c>
      <c r="M253" t="str">
        <f>IF(AND(D252&gt;0,G252="المحفظة"),COUNTIFS($D$4:D252,"&gt;"&amp;0,$G$4:G252,"المحفظة"),"")</f>
        <v/>
      </c>
      <c r="N253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3" t="str">
        <f>IF(AND(D252&gt;0,F252="أحد الشركاء"),COUNTIFS($D$4:D252,"&gt;"&amp;0,$F$4:F252,"أحد الشركاء"),"")</f>
        <v/>
      </c>
      <c r="P253" t="str">
        <f>IF(OR($A253="",$F253="أحد الشركاء",AND($D253="",$E253="")),"",SUMPRODUCT(($A$4:$A253&lt;&gt;"")*($F$4:$F253&lt;&gt;"أحد الشركاء")*((($D$4:$D253&lt;&gt;"")+($E$4:$E253&lt;&gt;""))&gt;0)))</f>
        <v/>
      </c>
      <c r="Q253" t="str">
        <f>IF(OR($A253="",$F253&lt;&gt;"أحد الشركاء"),"",COUNTIFS($A$4:A253,"&lt;&gt;",$F$4:F253,"أحد الشركاء"))</f>
        <v/>
      </c>
    </row>
    <row r="254" spans="1:17" ht="25.5" customHeight="1" x14ac:dyDescent="0.25">
      <c r="A254" s="167"/>
      <c r="B254" s="161"/>
      <c r="C254" s="162"/>
      <c r="D254" s="38"/>
      <c r="E254" s="39"/>
      <c r="F254" s="160"/>
      <c r="G254" s="161"/>
      <c r="H254" s="162"/>
      <c r="I254" s="42"/>
      <c r="J254" s="43" t="str">
        <f>IF(AND(D253="",E253="",A253="",B253="",C253=""),"", IFERROR(IF(J252="",D2,J252),D2)+IF(E253="",0,E253)-IF(D253="",0,D253))</f>
        <v/>
      </c>
      <c r="K254" s="44"/>
      <c r="L254" t="str">
        <f>IF(E253&gt;0,COUNTIF($E$4:E253,"&gt;0"),"")</f>
        <v/>
      </c>
      <c r="M254" t="str">
        <f>IF(AND(D253&gt;0,G253="المحفظة"),COUNTIFS($D$4:D253,"&gt;"&amp;0,$G$4:G253,"المحفظة"),"")</f>
        <v/>
      </c>
      <c r="N254" t="str">
        <f>IF(AND(OR('طباعة كشف الحساب'!$C$2="الكل",MONTH(A253)=IFERROR(MATCH('طباعة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الحساب'!$F$2="الكل",YEAR(A253)=IFERROR(VALUE('طباعة كشف الحساب'!$F$2),0)),A253&lt;&gt;""),IFERROR(MAX($N$4:N252),0)+1,"")</f>
        <v/>
      </c>
      <c r="O254" t="str">
        <f>IF(AND(D253&gt;0,F253="أحد الشركاء"),COUNTIFS($D$4:D253,"&gt;"&amp;0,$F$4:F253,"أحد الشركاء"),"")</f>
        <v/>
      </c>
      <c r="P254" t="str">
        <f>IF(OR($A254="",$F254="أحد الشركاء",AND($D254="",$E254="")),"",SUMPRODUCT(($A$4:$A254&lt;&gt;"")*($F$4:$F254&lt;&gt;"أحد الشركاء")*((($D$4:$D254&lt;&gt;"")+($E$4:$E254&lt;&gt;""))&gt;0)))</f>
        <v/>
      </c>
      <c r="Q254" t="str">
        <f>IF(OR($A254="",$F254&lt;&gt;"أحد الشركاء"),"",COUNTIFS($A$4:A254,"&lt;&gt;",$F$4:F254,"أحد الشركاء"))</f>
        <v/>
      </c>
    </row>
    <row r="255" spans="1:17" ht="15.75" customHeight="1" x14ac:dyDescent="0.25">
      <c r="A255" s="108" t="s">
        <v>215</v>
      </c>
      <c r="B255" s="137"/>
      <c r="C255" s="137"/>
      <c r="D255" s="46">
        <f>SUM(D4:D253)</f>
        <v>4398.8950000000004</v>
      </c>
      <c r="E255" s="46">
        <f>SUM(E4:E253)</f>
        <v>3544.44</v>
      </c>
      <c r="F255" s="140">
        <f>COUNTIF(H4:H253,"معلق")</f>
        <v>11</v>
      </c>
      <c r="G255" s="137"/>
      <c r="H255" s="137"/>
      <c r="J255" s="46">
        <f>$D$2+E254-D254</f>
        <v>0</v>
      </c>
      <c r="N255" t="str">
        <f>IF(AND(OR('طباعة كشف الحساب'!$C$2="الكل",IFERROR(MONTH(A255),0)=IFERROR(MATCH('طباعة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الحساب'!$F$2="الكل",IFERROR(YEAR(A255),0)=IFERROR(VALUE('طباعة كشف الحساب'!$F$2),0)),A255&lt;&gt;""),IFERROR(MAX($N$4:N254),0)+1,"")</f>
        <v/>
      </c>
    </row>
    <row r="256" spans="1:17" ht="15" customHeight="1" x14ac:dyDescent="0.25">
      <c r="D256" s="47" t="s">
        <v>216</v>
      </c>
      <c r="E256" s="48" t="s">
        <v>217</v>
      </c>
      <c r="F256" s="49" t="s">
        <v>218</v>
      </c>
      <c r="J256" s="50" t="s">
        <v>219</v>
      </c>
    </row>
  </sheetData>
  <mergeCells count="9">
    <mergeCell ref="F254:H254"/>
    <mergeCell ref="A2:C2"/>
    <mergeCell ref="E2:K2"/>
    <mergeCell ref="A1:K1"/>
    <mergeCell ref="A254:C254"/>
    <mergeCell ref="K189:K193"/>
    <mergeCell ref="K209:K214"/>
    <mergeCell ref="K219:K223"/>
    <mergeCell ref="K227:K230"/>
  </mergeCells>
  <conditionalFormatting sqref="J4:J25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53">
    <cfRule type="expression" dxfId="3" priority="4">
      <formula>H4="معلق"</formula>
    </cfRule>
  </conditionalFormatting>
  <conditionalFormatting sqref="G4:G25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5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5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5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 A215:A25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71" t="s">
        <v>220</v>
      </c>
      <c r="B1" s="161"/>
      <c r="C1" s="161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73" t="s">
        <v>236</v>
      </c>
      <c r="B1" s="161"/>
    </row>
    <row r="2" spans="1:2" ht="21.75" customHeight="1" x14ac:dyDescent="0.25">
      <c r="A2" s="172" t="s">
        <v>237</v>
      </c>
      <c r="B2" s="161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72" t="s">
        <v>242</v>
      </c>
      <c r="B5" s="161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72" t="s">
        <v>251</v>
      </c>
      <c r="B11" s="161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39" activePane="bottomLeft" state="frozen"/>
      <selection pane="bottomLeft" activeCell="C43" sqref="C43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6" t="s">
        <v>16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4" customHeight="1" x14ac:dyDescent="0.25">
      <c r="A2" s="174"/>
      <c r="B2" s="161"/>
      <c r="C2" s="56" t="s">
        <v>342</v>
      </c>
      <c r="D2" s="174">
        <v>2026</v>
      </c>
      <c r="E2" s="161"/>
      <c r="F2" s="56" t="s">
        <v>256</v>
      </c>
      <c r="G2" s="177" t="s">
        <v>257</v>
      </c>
      <c r="H2" s="165"/>
      <c r="I2" s="165"/>
      <c r="J2" s="165"/>
      <c r="K2" s="165"/>
    </row>
    <row r="3" spans="1:11" ht="19.5" customHeight="1" x14ac:dyDescent="0.25">
      <c r="A3" s="178" t="s">
        <v>258</v>
      </c>
      <c r="B3" s="161"/>
      <c r="C3" s="161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الحساب'!$N$4:$N$253,0),0)=0,"",INDEX('كشف الحساب'!$A$4:$A$253,IFERROR(MATCH(1,'كشف الحساب'!$N$4:$N$253,0),0))),"")</f>
        <v>46235</v>
      </c>
      <c r="B5" s="59" t="str">
        <f>IFERROR(IF(IFERROR(MATCH(1,'كشف الحساب'!$N$4:$N$253,0),0)=0,"",INDEX('كشف الحساب'!$B$4:$B$253,IFERROR(MATCH(1,'كشف الحساب'!$N$4:$N$253,0),0))),"")</f>
        <v>Inv-106</v>
      </c>
      <c r="C5" s="37" t="str">
        <f>IFERROR(IF(IFERROR(MATCH(1,'كشف الحساب'!$N$4:$N$253,0),0)=0,"",INDEX('كشف الحساب'!$C$4:$C$253,IFERROR(MATCH(1,'كشف الحساب'!$N$4:$N$253,0),0))),"")</f>
        <v>ربل عدد 11 الحبه 2</v>
      </c>
      <c r="D5" s="38">
        <f>IFERROR(IF(IFERROR(MATCH(1,'كشف الحساب'!$N$4:$N$253,0),0)=0,"",INDEX('كشف الحساب'!$D$4:$D$253,IFERROR(MATCH(1,'كشف الحساب'!$N$4:$N$253,0),0))),"")</f>
        <v>0</v>
      </c>
      <c r="E5" s="60">
        <f>IFERROR(IF(IFERROR(MATCH(1,'كشف الحساب'!$N$4:$N$253,0),0)=0,"",INDEX('كشف الحساب'!$E$4:$E$253,IFERROR(MATCH(1,'كشف الحساب'!$N$4:$N$253,0),0))),"")</f>
        <v>22</v>
      </c>
      <c r="F5" s="59" t="str">
        <f>IFERROR(IF(IFERROR(MATCH(1,'كشف الحساب'!$N$4:$N$253,0),0)=0,"",INDEX('كشف الحساب'!$F$4:$F$253,IFERROR(MATCH(1,'كشف الحساب'!$N$4:$N$253,0),0))),"")</f>
        <v>نقداً</v>
      </c>
      <c r="G5" s="59">
        <f>IFERROR(IF(IFERROR(MATCH(1,'كشف الحساب'!$N$4:$N$253,0),0)=0,"",INDEX('كشف الحساب'!$G$4:$G$253,IFERROR(MATCH(1,'كشف الحساب'!$N$4:$N$253,0),0))),"")</f>
        <v>0</v>
      </c>
      <c r="H5" s="59" t="str">
        <f>IFERROR(IF(IFERROR(MATCH(1,'كشف الحساب'!$N$4:$N$253,0),0)=0,"",INDEX('كشف الحساب'!$H$4:$H$253,IFERROR(MATCH(1,'كشف الحساب'!$N$4:$N$253,0),0))),"")</f>
        <v>تم الدفع</v>
      </c>
      <c r="I5" s="59">
        <f>IFERROR(IF(IFERROR(MATCH(1,'كشف الحساب'!$N$4:$N$253,0),0)=0,"",INDEX('كشف الحساب'!$I$4:$I$253,IFERROR(MATCH(1,'كشف الحساب'!$N$4:$N$253,0),0))),"")</f>
        <v>0</v>
      </c>
      <c r="J5" s="43">
        <f>IFERROR(IF(IFERROR(MATCH(1,'كشف الحساب'!$N$4:$N$253,0),0)=0,"",INDEX('كشف الحساب'!$J$4:$J$253,IFERROR(MATCH(1,'كشف الحساب'!$N$4:$N$253,0),0))),"")</f>
        <v>44.39500000000001</v>
      </c>
      <c r="K5" s="59">
        <f>IFERROR(IF(IFERROR(MATCH(1,'كشف الحساب'!$N$4:$N$253,0),0)=0,"",INDEX('كشف الحساب'!$K$4:$K$253,IFERROR(MATCH(1,'كشف الحساب'!$N$4:$N$253,0),0))),"")</f>
        <v>0</v>
      </c>
    </row>
    <row r="6" spans="1:11" ht="16.5" customHeight="1" x14ac:dyDescent="0.25">
      <c r="A6" s="25">
        <f>IFERROR(IF(IFERROR(MATCH(2,'كشف الحساب'!$N$4:$N$253,0),0)=0,"",INDEX('كشف الحساب'!$A$4:$A$253,IFERROR(MATCH(2,'كشف الحساب'!$N$4:$N$253,0),0))),"")</f>
        <v>46235</v>
      </c>
      <c r="B6" s="61" t="str">
        <f>IFERROR(IF(IFERROR(MATCH(2,'كشف الحساب'!$N$4:$N$253,0),0)=0,"",INDEX('كشف الحساب'!$B$4:$B$253,IFERROR(MATCH(2,'كشف الحساب'!$N$4:$N$253,0),0))),"")</f>
        <v>Inv-107</v>
      </c>
      <c r="C6" s="27" t="str">
        <f>IFERROR(IF(IFERROR(MATCH(2,'كشف الحساب'!$N$4:$N$253,0),0)=0,"",INDEX('كشف الحساب'!$C$4:$C$253,IFERROR(MATCH(2,'كشف الحساب'!$N$4:$N$253,0),0))),"")</f>
        <v>متنوع عدد 1 بقيمه 2.500</v>
      </c>
      <c r="D6" s="28">
        <f>IFERROR(IF(IFERROR(MATCH(2,'كشف الحساب'!$N$4:$N$253,0),0)=0,"",INDEX('كشف الحساب'!$D$4:$D$253,IFERROR(MATCH(2,'كشف الحساب'!$N$4:$N$253,0),0))),"")</f>
        <v>0</v>
      </c>
      <c r="E6" s="62">
        <f>IFERROR(IF(IFERROR(MATCH(2,'كشف الحساب'!$N$4:$N$253,0),0)=0,"",INDEX('كشف الحساب'!$E$4:$E$253,IFERROR(MATCH(2,'كشف الحساب'!$N$4:$N$253,0),0))),"")</f>
        <v>2.5</v>
      </c>
      <c r="F6" s="61" t="str">
        <f>IFERROR(IF(IFERROR(MATCH(2,'كشف الحساب'!$N$4:$N$253,0),0)=0,"",INDEX('كشف الحساب'!$F$4:$F$253,IFERROR(MATCH(2,'كشف الحساب'!$N$4:$N$253,0),0))),"")</f>
        <v>أون لاين</v>
      </c>
      <c r="G6" s="61">
        <f>IFERROR(IF(IFERROR(MATCH(2,'كشف الحساب'!$N$4:$N$253,0),0)=0,"",INDEX('كشف الحساب'!$G$4:$G$253,IFERROR(MATCH(2,'كشف الحساب'!$N$4:$N$253,0),0))),"")</f>
        <v>0</v>
      </c>
      <c r="H6" s="61" t="str">
        <f>IFERROR(IF(IFERROR(MATCH(2,'كشف الحساب'!$N$4:$N$253,0),0)=0,"",INDEX('كشف الحساب'!$H$4:$H$253,IFERROR(MATCH(2,'كشف الحساب'!$N$4:$N$253,0),0))),"")</f>
        <v>تم الدفع</v>
      </c>
      <c r="I6" s="61">
        <f>IFERROR(IF(IFERROR(MATCH(2,'كشف الحساب'!$N$4:$N$253,0),0)=0,"",INDEX('كشف الحساب'!$I$4:$I$253,IFERROR(MATCH(2,'كشف الحساب'!$N$4:$N$253,0),0))),"")</f>
        <v>0</v>
      </c>
      <c r="J6" s="34">
        <f>IFERROR(IF(IFERROR(MATCH(2,'كشف الحساب'!$N$4:$N$253,0),0)=0,"",INDEX('كشف الحساب'!$J$4:$J$253,IFERROR(MATCH(2,'كشف الحساب'!$N$4:$N$253,0),0))),"")</f>
        <v>46.89500000000001</v>
      </c>
      <c r="K6" s="61">
        <f>IFERROR(IF(IFERROR(MATCH(2,'كشف الحساب'!$N$4:$N$253,0),0)=0,"",INDEX('كشف الحساب'!$K$4:$K$253,IFERROR(MATCH(2,'كشف الحساب'!$N$4:$N$253,0),0))),"")</f>
        <v>0</v>
      </c>
    </row>
    <row r="7" spans="1:11" ht="16.5" customHeight="1" x14ac:dyDescent="0.25">
      <c r="A7" s="139">
        <f>IFERROR(IF(IFERROR(MATCH(3,'كشف الحساب'!$N$4:$N$253,0),0)=0,"",INDEX('كشف الحساب'!$A$4:$A$253,IFERROR(MATCH(3,'كشف الحساب'!$N$4:$N$253,0),0))),"")</f>
        <v>46235</v>
      </c>
      <c r="B7" s="59" t="str">
        <f>IFERROR(IF(IFERROR(MATCH(3,'كشف الحساب'!$N$4:$N$253,0),0)=0,"",INDEX('كشف الحساب'!$B$4:$B$253,IFERROR(MATCH(3,'كشف الحساب'!$N$4:$N$253,0),0))),"")</f>
        <v>Inv-108</v>
      </c>
      <c r="C7" s="37" t="str">
        <f>IFERROR(IF(IFERROR(MATCH(3,'كشف الحساب'!$N$4:$N$253,0),0)=0,"",INDEX('كشف الحساب'!$C$4:$C$253,IFERROR(MATCH(3,'كشف الحساب'!$N$4:$N$253,0),0))),"")</f>
        <v>فل عدد 1 بقيمه .750</v>
      </c>
      <c r="D7" s="38">
        <f>IFERROR(IF(IFERROR(MATCH(3,'كشف الحساب'!$N$4:$N$253,0),0)=0,"",INDEX('كشف الحساب'!$D$4:$D$253,IFERROR(MATCH(3,'كشف الحساب'!$N$4:$N$253,0),0))),"")</f>
        <v>0</v>
      </c>
      <c r="E7" s="60">
        <f>IFERROR(IF(IFERROR(MATCH(3,'كشف الحساب'!$N$4:$N$253,0),0)=0,"",INDEX('كشف الحساب'!$E$4:$E$253,IFERROR(MATCH(3,'كشف الحساب'!$N$4:$N$253,0),0))),"")</f>
        <v>0.75</v>
      </c>
      <c r="F7" s="59" t="str">
        <f>IFERROR(IF(IFERROR(MATCH(3,'كشف الحساب'!$N$4:$N$253,0),0)=0,"",INDEX('كشف الحساب'!$F$4:$F$253,IFERROR(MATCH(3,'كشف الحساب'!$N$4:$N$253,0),0))),"")</f>
        <v>أون لاين</v>
      </c>
      <c r="G7" s="59">
        <f>IFERROR(IF(IFERROR(MATCH(3,'كشف الحساب'!$N$4:$N$253,0),0)=0,"",INDEX('كشف الحساب'!$G$4:$G$253,IFERROR(MATCH(3,'كشف الحساب'!$N$4:$N$253,0),0))),"")</f>
        <v>0</v>
      </c>
      <c r="H7" s="59" t="str">
        <f>IFERROR(IF(IFERROR(MATCH(3,'كشف الحساب'!$N$4:$N$253,0),0)=0,"",INDEX('كشف الحساب'!$H$4:$H$253,IFERROR(MATCH(3,'كشف الحساب'!$N$4:$N$253,0),0))),"")</f>
        <v>تم الدفع</v>
      </c>
      <c r="I7" s="59">
        <f>IFERROR(IF(IFERROR(MATCH(3,'كشف الحساب'!$N$4:$N$253,0),0)=0,"",INDEX('كشف الحساب'!$I$4:$I$253,IFERROR(MATCH(3,'كشف الحساب'!$N$4:$N$253,0),0))),"")</f>
        <v>0</v>
      </c>
      <c r="J7" s="43">
        <f>IFERROR(IF(IFERROR(MATCH(3,'كشف الحساب'!$N$4:$N$253,0),0)=0,"",INDEX('كشف الحساب'!$J$4:$J$253,IFERROR(MATCH(3,'كشف الحساب'!$N$4:$N$253,0),0))),"")</f>
        <v>47.64500000000001</v>
      </c>
      <c r="K7" s="59">
        <f>IFERROR(IF(IFERROR(MATCH(3,'كشف الحساب'!$N$4:$N$253,0),0)=0,"",INDEX('كشف الحساب'!$K$4:$K$253,IFERROR(MATCH(3,'كشف الحساب'!$N$4:$N$253,0),0))),"")</f>
        <v>0</v>
      </c>
    </row>
    <row r="8" spans="1:11" ht="16.5" customHeight="1" x14ac:dyDescent="0.25">
      <c r="A8" s="25">
        <f>IFERROR(IF(IFERROR(MATCH(4,'كشف الحساب'!$N$4:$N$253,0),0)=0,"",INDEX('كشف الحساب'!$A$4:$A$253,IFERROR(MATCH(4,'كشف الحساب'!$N$4:$N$253,0),0))),"")</f>
        <v>46235</v>
      </c>
      <c r="B8" s="61">
        <f>IFERROR(IF(IFERROR(MATCH(4,'كشف الحساب'!$N$4:$N$253,0),0)=0,"",INDEX('كشف الحساب'!$B$4:$B$253,IFERROR(MATCH(4,'كشف الحساب'!$N$4:$N$253,0),0))),"")</f>
        <v>0</v>
      </c>
      <c r="C8" s="27" t="str">
        <f>IFERROR(IF(IFERROR(MATCH(4,'كشف الحساب'!$N$4:$N$253,0),0)=0,"",INDEX('كشف الحساب'!$C$4:$C$253,IFERROR(MATCH(4,'كشف الحساب'!$N$4:$N$253,0),0))),"")</f>
        <v>بتموس عدد 2 الواحده 12</v>
      </c>
      <c r="D8" s="28">
        <f>IFERROR(IF(IFERROR(MATCH(4,'كشف الحساب'!$N$4:$N$253,0),0)=0,"",INDEX('كشف الحساب'!$D$4:$D$253,IFERROR(MATCH(4,'كشف الحساب'!$N$4:$N$253,0),0))),"")</f>
        <v>24</v>
      </c>
      <c r="E8" s="62">
        <f>IFERROR(IF(IFERROR(MATCH(4,'كشف الحساب'!$N$4:$N$253,0),0)=0,"",INDEX('كشف الحساب'!$E$4:$E$253,IFERROR(MATCH(4,'كشف الحساب'!$N$4:$N$253,0),0))),"")</f>
        <v>0</v>
      </c>
      <c r="F8" s="61" t="str">
        <f>IFERROR(IF(IFERROR(MATCH(4,'كشف الحساب'!$N$4:$N$253,0),0)=0,"",INDEX('كشف الحساب'!$F$4:$F$253,IFERROR(MATCH(4,'كشف الحساب'!$N$4:$N$253,0),0))),"")</f>
        <v>نقداً</v>
      </c>
      <c r="G8" s="61" t="str">
        <f>IFERROR(IF(IFERROR(MATCH(4,'كشف الحساب'!$N$4:$N$253,0),0)=0,"",INDEX('كشف الحساب'!$G$4:$G$253,IFERROR(MATCH(4,'كشف الحساب'!$N$4:$N$253,0),0))),"")</f>
        <v>المحفظة</v>
      </c>
      <c r="H8" s="61" t="str">
        <f>IFERROR(IF(IFERROR(MATCH(4,'كشف الحساب'!$N$4:$N$253,0),0)=0,"",INDEX('كشف الحساب'!$H$4:$H$253,IFERROR(MATCH(4,'كشف الحساب'!$N$4:$N$253,0),0))),"")</f>
        <v>تم الدفع</v>
      </c>
      <c r="I8" s="61">
        <f>IFERROR(IF(IFERROR(MATCH(4,'كشف الحساب'!$N$4:$N$253,0),0)=0,"",INDEX('كشف الحساب'!$I$4:$I$253,IFERROR(MATCH(4,'كشف الحساب'!$N$4:$N$253,0),0))),"")</f>
        <v>0</v>
      </c>
      <c r="J8" s="34">
        <f>IFERROR(IF(IFERROR(MATCH(4,'كشف الحساب'!$N$4:$N$253,0),0)=0,"",INDEX('كشف الحساب'!$J$4:$J$253,IFERROR(MATCH(4,'كشف الحساب'!$N$4:$N$253,0),0))),"")</f>
        <v>23.64500000000001</v>
      </c>
      <c r="K8" s="61">
        <f>IFERROR(IF(IFERROR(MATCH(4,'كشف الحساب'!$N$4:$N$253,0),0)=0,"",INDEX('كشف الحساب'!$K$4:$K$253,IFERROR(MATCH(4,'كشف الحساب'!$N$4:$N$253,0),0))),"")</f>
        <v>0</v>
      </c>
    </row>
    <row r="9" spans="1:11" ht="16.5" customHeight="1" x14ac:dyDescent="0.25">
      <c r="A9" s="139">
        <f>IFERROR(IF(IFERROR(MATCH(5,'كشف الحساب'!$N$4:$N$253,0),0)=0,"",INDEX('كشف الحساب'!$A$4:$A$253,IFERROR(MATCH(5,'كشف الحساب'!$N$4:$N$253,0),0))),"")</f>
        <v>46239</v>
      </c>
      <c r="B9" s="59" t="str">
        <f>IFERROR(IF(IFERROR(MATCH(5,'كشف الحساب'!$N$4:$N$253,0),0)=0,"",INDEX('كشف الحساب'!$B$4:$B$253,IFERROR(MATCH(5,'كشف الحساب'!$N$4:$N$253,0),0))),"")</f>
        <v>Inv-109</v>
      </c>
      <c r="C9" s="37" t="str">
        <f>IFERROR(IF(IFERROR(MATCH(5,'كشف الحساب'!$N$4:$N$253,0),0)=0,"",INDEX('كشف الحساب'!$C$4:$C$253,IFERROR(MATCH(5,'كشف الحساب'!$N$4:$N$253,0),0))),"")</f>
        <v>متنوع عدد 1 الحبه 1</v>
      </c>
      <c r="D9" s="38">
        <f>IFERROR(IF(IFERROR(MATCH(5,'كشف الحساب'!$N$4:$N$253,0),0)=0,"",INDEX('كشف الحساب'!$D$4:$D$253,IFERROR(MATCH(5,'كشف الحساب'!$N$4:$N$253,0),0))),"")</f>
        <v>0</v>
      </c>
      <c r="E9" s="60">
        <f>IFERROR(IF(IFERROR(MATCH(5,'كشف الحساب'!$N$4:$N$253,0),0)=0,"",INDEX('كشف الحساب'!$E$4:$E$253,IFERROR(MATCH(5,'كشف الحساب'!$N$4:$N$253,0),0))),"")</f>
        <v>1</v>
      </c>
      <c r="F9" s="59" t="str">
        <f>IFERROR(IF(IFERROR(MATCH(5,'كشف الحساب'!$N$4:$N$253,0),0)=0,"",INDEX('كشف الحساب'!$F$4:$F$253,IFERROR(MATCH(5,'كشف الحساب'!$N$4:$N$253,0),0))),"")</f>
        <v>أون لاين</v>
      </c>
      <c r="G9" s="59">
        <f>IFERROR(IF(IFERROR(MATCH(5,'كشف الحساب'!$N$4:$N$253,0),0)=0,"",INDEX('كشف الحساب'!$G$4:$G$253,IFERROR(MATCH(5,'كشف الحساب'!$N$4:$N$253,0),0))),"")</f>
        <v>0</v>
      </c>
      <c r="H9" s="59" t="str">
        <f>IFERROR(IF(IFERROR(MATCH(5,'كشف الحساب'!$N$4:$N$253,0),0)=0,"",INDEX('كشف الحساب'!$H$4:$H$253,IFERROR(MATCH(5,'كشف الحساب'!$N$4:$N$253,0),0))),"")</f>
        <v>تم الدفع</v>
      </c>
      <c r="I9" s="59">
        <f>IFERROR(IF(IFERROR(MATCH(5,'كشف الحساب'!$N$4:$N$253,0),0)=0,"",INDEX('كشف الحساب'!$I$4:$I$253,IFERROR(MATCH(5,'كشف الحساب'!$N$4:$N$253,0),0))),"")</f>
        <v>0</v>
      </c>
      <c r="J9" s="43">
        <f>IFERROR(IF(IFERROR(MATCH(5,'كشف الحساب'!$N$4:$N$253,0),0)=0,"",INDEX('كشف الحساب'!$J$4:$J$253,IFERROR(MATCH(5,'كشف الحساب'!$N$4:$N$253,0),0))),"")</f>
        <v>24.64500000000001</v>
      </c>
      <c r="K9" s="59">
        <f>IFERROR(IF(IFERROR(MATCH(5,'كشف الحساب'!$N$4:$N$253,0),0)=0,"",INDEX('كشف الحساب'!$K$4:$K$253,IFERROR(MATCH(5,'كشف الحساب'!$N$4:$N$253,0),0))),"")</f>
        <v>0</v>
      </c>
    </row>
    <row r="10" spans="1:11" ht="16.5" customHeight="1" x14ac:dyDescent="0.25">
      <c r="A10" s="25">
        <f>IFERROR(IF(IFERROR(MATCH(6,'كشف الحساب'!$N$4:$N$253,0),0)=0,"",INDEX('كشف الحساب'!$A$4:$A$253,IFERROR(MATCH(6,'كشف الحساب'!$N$4:$N$253,0),0))),"")</f>
        <v>46240</v>
      </c>
      <c r="B10" s="61" t="str">
        <f>IFERROR(IF(IFERROR(MATCH(6,'كشف الحساب'!$N$4:$N$253,0),0)=0,"",INDEX('كشف الحساب'!$B$4:$B$253,IFERROR(MATCH(6,'كشف الحساب'!$N$4:$N$253,0),0))),"")</f>
        <v>Inv-110</v>
      </c>
      <c r="C10" s="27" t="str">
        <f>IFERROR(IF(IFERROR(MATCH(6,'كشف الحساب'!$N$4:$N$253,0),0)=0,"",INDEX('كشف الحساب'!$C$4:$C$253,IFERROR(MATCH(6,'كشف الحساب'!$N$4:$N$253,0),0))),"")</f>
        <v>متنوع عدد10 الحبه 1</v>
      </c>
      <c r="D10" s="28">
        <f>IFERROR(IF(IFERROR(MATCH(6,'كشف الحساب'!$N$4:$N$253,0),0)=0,"",INDEX('كشف الحساب'!$D$4:$D$253,IFERROR(MATCH(6,'كشف الحساب'!$N$4:$N$253,0),0))),"")</f>
        <v>0</v>
      </c>
      <c r="E10" s="62">
        <f>IFERROR(IF(IFERROR(MATCH(6,'كشف الحساب'!$N$4:$N$253,0),0)=0,"",INDEX('كشف الحساب'!$E$4:$E$253,IFERROR(MATCH(6,'كشف الحساب'!$N$4:$N$253,0),0))),"")</f>
        <v>10</v>
      </c>
      <c r="F10" s="61" t="str">
        <f>IFERROR(IF(IFERROR(MATCH(6,'كشف الحساب'!$N$4:$N$253,0),0)=0,"",INDEX('كشف الحساب'!$F$4:$F$253,IFERROR(MATCH(6,'كشف الحساب'!$N$4:$N$253,0),0))),"")</f>
        <v>أون لاين</v>
      </c>
      <c r="G10" s="61">
        <f>IFERROR(IF(IFERROR(MATCH(6,'كشف الحساب'!$N$4:$N$253,0),0)=0,"",INDEX('كشف الحساب'!$G$4:$G$253,IFERROR(MATCH(6,'كشف الحساب'!$N$4:$N$253,0),0))),"")</f>
        <v>0</v>
      </c>
      <c r="H10" s="61" t="str">
        <f>IFERROR(IF(IFERROR(MATCH(6,'كشف الحساب'!$N$4:$N$253,0),0)=0,"",INDEX('كشف الحساب'!$H$4:$H$253,IFERROR(MATCH(6,'كشف الحساب'!$N$4:$N$253,0),0))),"")</f>
        <v>تم الدفع</v>
      </c>
      <c r="I10" s="61">
        <f>IFERROR(IF(IFERROR(MATCH(6,'كشف الحساب'!$N$4:$N$253,0),0)=0,"",INDEX('كشف الحساب'!$I$4:$I$253,IFERROR(MATCH(6,'كشف الحساب'!$N$4:$N$253,0),0))),"")</f>
        <v>0</v>
      </c>
      <c r="J10" s="34">
        <f>IFERROR(IF(IFERROR(MATCH(6,'كشف الحساب'!$N$4:$N$253,0),0)=0,"",INDEX('كشف الحساب'!$J$4:$J$253,IFERROR(MATCH(6,'كشف الحساب'!$N$4:$N$253,0),0))),"")</f>
        <v>34.64500000000001</v>
      </c>
      <c r="K10" s="61">
        <f>IFERROR(IF(IFERROR(MATCH(6,'كشف الحساب'!$N$4:$N$253,0),0)=0,"",INDEX('كشف الحساب'!$K$4:$K$253,IFERROR(MATCH(6,'كشف الحساب'!$N$4:$N$253,0),0))),"")</f>
        <v>0</v>
      </c>
    </row>
    <row r="11" spans="1:11" ht="16.5" customHeight="1" x14ac:dyDescent="0.25">
      <c r="A11" s="139">
        <f>IFERROR(IF(IFERROR(MATCH(7,'كشف الحساب'!$N$4:$N$253,0),0)=0,"",INDEX('كشف الحساب'!$A$4:$A$253,IFERROR(MATCH(7,'كشف الحساب'!$N$4:$N$253,0),0))),"")</f>
        <v>46240</v>
      </c>
      <c r="B11" s="59" t="str">
        <f>IFERROR(IF(IFERROR(MATCH(7,'كشف الحساب'!$N$4:$N$253,0),0)=0,"",INDEX('كشف الحساب'!$B$4:$B$253,IFERROR(MATCH(7,'كشف الحساب'!$N$4:$N$253,0),0))),"")</f>
        <v>Inv-111</v>
      </c>
      <c r="C11" s="37" t="str">
        <f>IFERROR(IF(IFERROR(MATCH(7,'كشف الحساب'!$N$4:$N$253,0),0)=0,"",INDEX('كشف الحساب'!$C$4:$C$253,IFERROR(MATCH(7,'كشف الحساب'!$N$4:$N$253,0),0))),"")</f>
        <v>متنوع 6 عدد 1</v>
      </c>
      <c r="D11" s="38">
        <f>IFERROR(IF(IFERROR(MATCH(7,'كشف الحساب'!$N$4:$N$253,0),0)=0,"",INDEX('كشف الحساب'!$D$4:$D$253,IFERROR(MATCH(7,'كشف الحساب'!$N$4:$N$253,0),0))),"")</f>
        <v>0</v>
      </c>
      <c r="E11" s="60">
        <f>IFERROR(IF(IFERROR(MATCH(7,'كشف الحساب'!$N$4:$N$253,0),0)=0,"",INDEX('كشف الحساب'!$E$4:$E$253,IFERROR(MATCH(7,'كشف الحساب'!$N$4:$N$253,0),0))),"")</f>
        <v>6</v>
      </c>
      <c r="F11" s="59" t="str">
        <f>IFERROR(IF(IFERROR(MATCH(7,'كشف الحساب'!$N$4:$N$253,0),0)=0,"",INDEX('كشف الحساب'!$F$4:$F$253,IFERROR(MATCH(7,'كشف الحساب'!$N$4:$N$253,0),0))),"")</f>
        <v>أون لاين</v>
      </c>
      <c r="G11" s="59">
        <f>IFERROR(IF(IFERROR(MATCH(7,'كشف الحساب'!$N$4:$N$253,0),0)=0,"",INDEX('كشف الحساب'!$G$4:$G$253,IFERROR(MATCH(7,'كشف الحساب'!$N$4:$N$253,0),0))),"")</f>
        <v>0</v>
      </c>
      <c r="H11" s="59" t="str">
        <f>IFERROR(IF(IFERROR(MATCH(7,'كشف الحساب'!$N$4:$N$253,0),0)=0,"",INDEX('كشف الحساب'!$H$4:$H$253,IFERROR(MATCH(7,'كشف الحساب'!$N$4:$N$253,0),0))),"")</f>
        <v>تم الدفع</v>
      </c>
      <c r="I11" s="59">
        <f>IFERROR(IF(IFERROR(MATCH(7,'كشف الحساب'!$N$4:$N$253,0),0)=0,"",INDEX('كشف الحساب'!$I$4:$I$253,IFERROR(MATCH(7,'كشف الحساب'!$N$4:$N$253,0),0))),"")</f>
        <v>0</v>
      </c>
      <c r="J11" s="43">
        <f>IFERROR(IF(IFERROR(MATCH(7,'كشف الحساب'!$N$4:$N$253,0),0)=0,"",INDEX('كشف الحساب'!$J$4:$J$253,IFERROR(MATCH(7,'كشف الحساب'!$N$4:$N$253,0),0))),"")</f>
        <v>40.64500000000001</v>
      </c>
      <c r="K11" s="59">
        <f>IFERROR(IF(IFERROR(MATCH(7,'كشف الحساب'!$N$4:$N$253,0),0)=0,"",INDEX('كشف الحساب'!$K$4:$K$253,IFERROR(MATCH(7,'كشف الحساب'!$N$4:$N$253,0),0))),"")</f>
        <v>0</v>
      </c>
    </row>
    <row r="12" spans="1:11" ht="16.5" customHeight="1" x14ac:dyDescent="0.25">
      <c r="A12" s="25">
        <f>IFERROR(IF(IFERROR(MATCH(8,'كشف الحساب'!$N$4:$N$253,0),0)=0,"",INDEX('كشف الحساب'!$A$4:$A$253,IFERROR(MATCH(8,'كشف الحساب'!$N$4:$N$253,0),0))),"")</f>
        <v>46240</v>
      </c>
      <c r="B12" s="61" t="str">
        <f>IFERROR(IF(IFERROR(MATCH(8,'كشف الحساب'!$N$4:$N$253,0),0)=0,"",INDEX('كشف الحساب'!$B$4:$B$253,IFERROR(MATCH(8,'كشف الحساب'!$N$4:$N$253,0),0))),"")</f>
        <v>Inv-112</v>
      </c>
      <c r="C12" s="27" t="str">
        <f>IFERROR(IF(IFERROR(MATCH(8,'كشف الحساب'!$N$4:$N$253,0),0)=0,"",INDEX('كشف الحساب'!$C$4:$C$253,IFERROR(MATCH(8,'كشف الحساب'!$N$4:$N$253,0),0))),"")</f>
        <v>ربل عدد 15 الحبه2</v>
      </c>
      <c r="D12" s="28">
        <f>IFERROR(IF(IFERROR(MATCH(8,'كشف الحساب'!$N$4:$N$253,0),0)=0,"",INDEX('كشف الحساب'!$D$4:$D$253,IFERROR(MATCH(8,'كشف الحساب'!$N$4:$N$253,0),0))),"")</f>
        <v>0</v>
      </c>
      <c r="E12" s="62">
        <f>IFERROR(IF(IFERROR(MATCH(8,'كشف الحساب'!$N$4:$N$253,0),0)=0,"",INDEX('كشف الحساب'!$E$4:$E$253,IFERROR(MATCH(8,'كشف الحساب'!$N$4:$N$253,0),0))),"")</f>
        <v>29</v>
      </c>
      <c r="F12" s="61" t="str">
        <f>IFERROR(IF(IFERROR(MATCH(8,'كشف الحساب'!$N$4:$N$253,0),0)=0,"",INDEX('كشف الحساب'!$F$4:$F$253,IFERROR(MATCH(8,'كشف الحساب'!$N$4:$N$253,0),0))),"")</f>
        <v>أون لاين</v>
      </c>
      <c r="G12" s="61">
        <f>IFERROR(IF(IFERROR(MATCH(8,'كشف الحساب'!$N$4:$N$253,0),0)=0,"",INDEX('كشف الحساب'!$G$4:$G$253,IFERROR(MATCH(8,'كشف الحساب'!$N$4:$N$253,0),0))),"")</f>
        <v>0</v>
      </c>
      <c r="H12" s="61" t="str">
        <f>IFERROR(IF(IFERROR(MATCH(8,'كشف الحساب'!$N$4:$N$253,0),0)=0,"",INDEX('كشف الحساب'!$H$4:$H$253,IFERROR(MATCH(8,'كشف الحساب'!$N$4:$N$253,0),0))),"")</f>
        <v>تم الدفع</v>
      </c>
      <c r="I12" s="61">
        <f>IFERROR(IF(IFERROR(MATCH(8,'كشف الحساب'!$N$4:$N$253,0),0)=0,"",INDEX('كشف الحساب'!$I$4:$I$253,IFERROR(MATCH(8,'كشف الحساب'!$N$4:$N$253,0),0))),"")</f>
        <v>0</v>
      </c>
      <c r="J12" s="34">
        <f>IFERROR(IF(IFERROR(MATCH(8,'كشف الحساب'!$N$4:$N$253,0),0)=0,"",INDEX('كشف الحساب'!$J$4:$J$253,IFERROR(MATCH(8,'كشف الحساب'!$N$4:$N$253,0),0))),"")</f>
        <v>69.64500000000001</v>
      </c>
      <c r="K12" s="61" t="str">
        <f>IFERROR(IF(IFERROR(MATCH(8,'كشف الحساب'!$N$4:$N$253,0),0)=0,"",INDEX('كشف الحساب'!$K$4:$K$253,IFERROR(MATCH(8,'كشف الحساب'!$N$4:$N$253,0),0))),"")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الحساب'!$N$4:$N$253,0),0)=0,"",INDEX('كشف الحساب'!$A$4:$A$253,IFERROR(MATCH(9,'كشف الحساب'!$N$4:$N$253,0),0))),"")</f>
        <v>46240</v>
      </c>
      <c r="B13" s="59">
        <f>IFERROR(IF(IFERROR(MATCH(9,'كشف الحساب'!$N$4:$N$253,0),0)=0,"",INDEX('كشف الحساب'!$B$4:$B$253,IFERROR(MATCH(9,'كشف الحساب'!$N$4:$N$253,0),0))),"")</f>
        <v>0</v>
      </c>
      <c r="C13" s="37" t="str">
        <f>IFERROR(IF(IFERROR(MATCH(9,'كشف الحساب'!$N$4:$N$253,0),0)=0,"",INDEX('كشف الحساب'!$C$4:$C$253,IFERROR(MATCH(9,'كشف الحساب'!$N$4:$N$253,0),0))),"")</f>
        <v>كيميكل للمعالج</v>
      </c>
      <c r="D13" s="38">
        <f>IFERROR(IF(IFERROR(MATCH(9,'كشف الحساب'!$N$4:$N$253,0),0)=0,"",INDEX('كشف الحساب'!$D$4:$D$253,IFERROR(MATCH(9,'كشف الحساب'!$N$4:$N$253,0),0))),"")</f>
        <v>29</v>
      </c>
      <c r="E13" s="60">
        <f>IFERROR(IF(IFERROR(MATCH(9,'كشف الحساب'!$N$4:$N$253,0),0)=0,"",INDEX('كشف الحساب'!$E$4:$E$253,IFERROR(MATCH(9,'كشف الحساب'!$N$4:$N$253,0),0))),"")</f>
        <v>0</v>
      </c>
      <c r="F13" s="59" t="str">
        <f>IFERROR(IF(IFERROR(MATCH(9,'كشف الحساب'!$N$4:$N$253,0),0)=0,"",INDEX('كشف الحساب'!$F$4:$F$253,IFERROR(MATCH(9,'كشف الحساب'!$N$4:$N$253,0),0))),"")</f>
        <v>نقداً</v>
      </c>
      <c r="G13" s="59" t="str">
        <f>IFERROR(IF(IFERROR(MATCH(9,'كشف الحساب'!$N$4:$N$253,0),0)=0,"",INDEX('كشف الحساب'!$G$4:$G$253,IFERROR(MATCH(9,'كشف الحساب'!$N$4:$N$253,0),0))),"")</f>
        <v>المحفظة</v>
      </c>
      <c r="H13" s="59" t="str">
        <f>IFERROR(IF(IFERROR(MATCH(9,'كشف الحساب'!$N$4:$N$253,0),0)=0,"",INDEX('كشف الحساب'!$H$4:$H$253,IFERROR(MATCH(9,'كشف الحساب'!$N$4:$N$253,0),0))),"")</f>
        <v>تم الدفع</v>
      </c>
      <c r="I13" s="59">
        <f>IFERROR(IF(IFERROR(MATCH(9,'كشف الحساب'!$N$4:$N$253,0),0)=0,"",INDEX('كشف الحساب'!$I$4:$I$253,IFERROR(MATCH(9,'كشف الحساب'!$N$4:$N$253,0),0))),"")</f>
        <v>0</v>
      </c>
      <c r="J13" s="43">
        <f>IFERROR(IF(IFERROR(MATCH(9,'كشف الحساب'!$N$4:$N$253,0),0)=0,"",INDEX('كشف الحساب'!$J$4:$J$253,IFERROR(MATCH(9,'كشف الحساب'!$N$4:$N$253,0),0))),"")</f>
        <v>40.64500000000001</v>
      </c>
      <c r="K13" s="59">
        <f>IFERROR(IF(IFERROR(MATCH(9,'كشف الحساب'!$N$4:$N$253,0),0)=0,"",INDEX('كشف الحساب'!$K$4:$K$253,IFERROR(MATCH(9,'كشف الحساب'!$N$4:$N$253,0),0))),"")</f>
        <v>0</v>
      </c>
    </row>
    <row r="14" spans="1:11" ht="16.5" customHeight="1" x14ac:dyDescent="0.25">
      <c r="A14" s="25">
        <f>IFERROR(IF(IFERROR(MATCH(10,'كشف الحساب'!$N$4:$N$253,0),0)=0,"",INDEX('كشف الحساب'!$A$4:$A$253,IFERROR(MATCH(10,'كشف الحساب'!$N$4:$N$253,0),0))),"")</f>
        <v>46240</v>
      </c>
      <c r="B14" s="61">
        <f>IFERROR(IF(IFERROR(MATCH(10,'كشف الحساب'!$N$4:$N$253,0),0)=0,"",INDEX('كشف الحساب'!$B$4:$B$253,IFERROR(MATCH(10,'كشف الحساب'!$N$4:$N$253,0),0))),"")</f>
        <v>0</v>
      </c>
      <c r="C14" s="27" t="str">
        <f>IFERROR(IF(IFERROR(MATCH(10,'كشف الحساب'!$N$4:$N$253,0),0)=0,"",INDEX('كشف الحساب'!$C$4:$C$253,IFERROR(MATCH(10,'كشف الحساب'!$N$4:$N$253,0),0))),"")</f>
        <v>ترمستات الثلاجه الكبيره</v>
      </c>
      <c r="D14" s="28">
        <f>IFERROR(IF(IFERROR(MATCH(10,'كشف الحساب'!$N$4:$N$253,0),0)=0,"",INDEX('كشف الحساب'!$D$4:$D$253,IFERROR(MATCH(10,'كشف الحساب'!$N$4:$N$253,0),0))),"")</f>
        <v>5.75</v>
      </c>
      <c r="E14" s="62">
        <f>IFERROR(IF(IFERROR(MATCH(10,'كشف الحساب'!$N$4:$N$253,0),0)=0,"",INDEX('كشف الحساب'!$E$4:$E$253,IFERROR(MATCH(10,'كشف الحساب'!$N$4:$N$253,0),0))),"")</f>
        <v>0</v>
      </c>
      <c r="F14" s="61" t="str">
        <f>IFERROR(IF(IFERROR(MATCH(10,'كشف الحساب'!$N$4:$N$253,0),0)=0,"",INDEX('كشف الحساب'!$F$4:$F$253,IFERROR(MATCH(10,'كشف الحساب'!$N$4:$N$253,0),0))),"")</f>
        <v>نقداً</v>
      </c>
      <c r="G14" s="61" t="str">
        <f>IFERROR(IF(IFERROR(MATCH(10,'كشف الحساب'!$N$4:$N$253,0),0)=0,"",INDEX('كشف الحساب'!$G$4:$G$253,IFERROR(MATCH(10,'كشف الحساب'!$N$4:$N$253,0),0))),"")</f>
        <v>المحفظة</v>
      </c>
      <c r="H14" s="61" t="str">
        <f>IFERROR(IF(IFERROR(MATCH(10,'كشف الحساب'!$N$4:$N$253,0),0)=0,"",INDEX('كشف الحساب'!$H$4:$H$253,IFERROR(MATCH(10,'كشف الحساب'!$N$4:$N$253,0),0))),"")</f>
        <v>تم الدفع</v>
      </c>
      <c r="I14" s="61">
        <f>IFERROR(IF(IFERROR(MATCH(10,'كشف الحساب'!$N$4:$N$253,0),0)=0,"",INDEX('كشف الحساب'!$I$4:$I$253,IFERROR(MATCH(10,'كشف الحساب'!$N$4:$N$253,0),0))),"")</f>
        <v>0</v>
      </c>
      <c r="J14" s="34">
        <f>IFERROR(IF(IFERROR(MATCH(10,'كشف الحساب'!$N$4:$N$253,0),0)=0,"",INDEX('كشف الحساب'!$J$4:$J$253,IFERROR(MATCH(10,'كشف الحساب'!$N$4:$N$253,0),0))),"")</f>
        <v>34.89500000000001</v>
      </c>
      <c r="K14" s="61">
        <f>IFERROR(IF(IFERROR(MATCH(10,'كشف الحساب'!$N$4:$N$253,0),0)=0,"",INDEX('كشف الحساب'!$K$4:$K$253,IFERROR(MATCH(10,'كشف الحساب'!$N$4:$N$253,0),0))),"")</f>
        <v>0</v>
      </c>
    </row>
    <row r="15" spans="1:11" ht="16.5" customHeight="1" x14ac:dyDescent="0.25">
      <c r="A15" s="139">
        <f>IFERROR(IF(IFERROR(MATCH(11,'كشف الحساب'!$N$4:$N$253,0),0)=0,"",INDEX('كشف الحساب'!$A$4:$A$253,IFERROR(MATCH(11,'كشف الحساب'!$N$4:$N$253,0),0))),"")</f>
        <v>46244</v>
      </c>
      <c r="B15" s="59" t="str">
        <f>IFERROR(IF(IFERROR(MATCH(11,'كشف الحساب'!$N$4:$N$253,0),0)=0,"",INDEX('كشف الحساب'!$B$4:$B$253,IFERROR(MATCH(11,'كشف الحساب'!$N$4:$N$253,0),0))),"")</f>
        <v>Inv-113</v>
      </c>
      <c r="C15" s="37" t="str">
        <f>IFERROR(IF(IFERROR(MATCH(11,'كشف الحساب'!$N$4:$N$253,0),0)=0,"",INDEX('كشف الحساب'!$C$4:$C$253,IFERROR(MATCH(11,'كشف الحساب'!$N$4:$N$253,0),0))),"")</f>
        <v>ربل  عدد 40 الحبه 2.250</v>
      </c>
      <c r="D15" s="38">
        <f>IFERROR(IF(IFERROR(MATCH(11,'كشف الحساب'!$N$4:$N$253,0),0)=0,"",INDEX('كشف الحساب'!$D$4:$D$253,IFERROR(MATCH(11,'كشف الحساب'!$N$4:$N$253,0),0))),"")</f>
        <v>0</v>
      </c>
      <c r="E15" s="60">
        <f>IFERROR(IF(IFERROR(MATCH(11,'كشف الحساب'!$N$4:$N$253,0),0)=0,"",INDEX('كشف الحساب'!$E$4:$E$253,IFERROR(MATCH(11,'كشف الحساب'!$N$4:$N$253,0),0))),"")</f>
        <v>90</v>
      </c>
      <c r="F15" s="59" t="str">
        <f>IFERROR(IF(IFERROR(MATCH(11,'كشف الحساب'!$N$4:$N$253,0),0)=0,"",INDEX('كشف الحساب'!$F$4:$F$253,IFERROR(MATCH(11,'كشف الحساب'!$N$4:$N$253,0),0))),"")</f>
        <v>نقداً</v>
      </c>
      <c r="G15" s="59">
        <f>IFERROR(IF(IFERROR(MATCH(11,'كشف الحساب'!$N$4:$N$253,0),0)=0,"",INDEX('كشف الحساب'!$G$4:$G$253,IFERROR(MATCH(11,'كشف الحساب'!$N$4:$N$253,0),0))),"")</f>
        <v>0</v>
      </c>
      <c r="H15" s="59" t="str">
        <f>IFERROR(IF(IFERROR(MATCH(11,'كشف الحساب'!$N$4:$N$253,0),0)=0,"",INDEX('كشف الحساب'!$H$4:$H$253,IFERROR(MATCH(11,'كشف الحساب'!$N$4:$N$253,0),0))),"")</f>
        <v>تم الدفع</v>
      </c>
      <c r="I15" s="59">
        <f>IFERROR(IF(IFERROR(MATCH(11,'كشف الحساب'!$N$4:$N$253,0),0)=0,"",INDEX('كشف الحساب'!$I$4:$I$253,IFERROR(MATCH(11,'كشف الحساب'!$N$4:$N$253,0),0))),"")</f>
        <v>0</v>
      </c>
      <c r="J15" s="43">
        <f>IFERROR(IF(IFERROR(MATCH(11,'كشف الحساب'!$N$4:$N$253,0),0)=0,"",INDEX('كشف الحساب'!$J$4:$J$253,IFERROR(MATCH(11,'كشف الحساب'!$N$4:$N$253,0),0))),"")</f>
        <v>124.89500000000001</v>
      </c>
      <c r="K15" s="59">
        <f>IFERROR(IF(IFERROR(MATCH(11,'كشف الحساب'!$N$4:$N$253,0),0)=0,"",INDEX('كشف الحساب'!$K$4:$K$253,IFERROR(MATCH(11,'كشف الحساب'!$N$4:$N$253,0),0))),"")</f>
        <v>0</v>
      </c>
    </row>
    <row r="16" spans="1:11" ht="16.5" customHeight="1" x14ac:dyDescent="0.25">
      <c r="A16" s="25">
        <f>IFERROR(IF(IFERROR(MATCH(12,'كشف الحساب'!$N$4:$N$253,0),0)=0,"",INDEX('كشف الحساب'!$A$4:$A$253,IFERROR(MATCH(12,'كشف الحساب'!$N$4:$N$253,0),0))),"")</f>
        <v>46244</v>
      </c>
      <c r="B16" s="61" t="str">
        <f>IFERROR(IF(IFERROR(MATCH(12,'كشف الحساب'!$N$4:$N$253,0),0)=0,"",INDEX('كشف الحساب'!$B$4:$B$253,IFERROR(MATCH(12,'كشف الحساب'!$N$4:$N$253,0),0))),"")</f>
        <v>Inv-114</v>
      </c>
      <c r="C16" s="27" t="str">
        <f>IFERROR(IF(IFERROR(MATCH(12,'كشف الحساب'!$N$4:$N$253,0),0)=0,"",INDEX('كشف الحساب'!$C$4:$C$253,IFERROR(MATCH(12,'كشف الحساب'!$N$4:$N$253,0),0))),"")</f>
        <v>متنوع 8 الحبه 1</v>
      </c>
      <c r="D16" s="28">
        <f>IFERROR(IF(IFERROR(MATCH(12,'كشف الحساب'!$N$4:$N$253,0),0)=0,"",INDEX('كشف الحساب'!$D$4:$D$253,IFERROR(MATCH(12,'كشف الحساب'!$N$4:$N$253,0),0))),"")</f>
        <v>0</v>
      </c>
      <c r="E16" s="62">
        <f>IFERROR(IF(IFERROR(MATCH(12,'كشف الحساب'!$N$4:$N$253,0),0)=0,"",INDEX('كشف الحساب'!$E$4:$E$253,IFERROR(MATCH(12,'كشف الحساب'!$N$4:$N$253,0),0))),"")</f>
        <v>8</v>
      </c>
      <c r="F16" s="61" t="str">
        <f>IFERROR(IF(IFERROR(MATCH(12,'كشف الحساب'!$N$4:$N$253,0),0)=0,"",INDEX('كشف الحساب'!$F$4:$F$253,IFERROR(MATCH(12,'كشف الحساب'!$N$4:$N$253,0),0))),"")</f>
        <v>نقداً</v>
      </c>
      <c r="G16" s="61">
        <f>IFERROR(IF(IFERROR(MATCH(12,'كشف الحساب'!$N$4:$N$253,0),0)=0,"",INDEX('كشف الحساب'!$G$4:$G$253,IFERROR(MATCH(12,'كشف الحساب'!$N$4:$N$253,0),0))),"")</f>
        <v>0</v>
      </c>
      <c r="H16" s="61" t="str">
        <f>IFERROR(IF(IFERROR(MATCH(12,'كشف الحساب'!$N$4:$N$253,0),0)=0,"",INDEX('كشف الحساب'!$H$4:$H$253,IFERROR(MATCH(12,'كشف الحساب'!$N$4:$N$253,0),0))),"")</f>
        <v>تم الدفع</v>
      </c>
      <c r="I16" s="61">
        <f>IFERROR(IF(IFERROR(MATCH(12,'كشف الحساب'!$N$4:$N$253,0),0)=0,"",INDEX('كشف الحساب'!$I$4:$I$253,IFERROR(MATCH(12,'كشف الحساب'!$N$4:$N$253,0),0))),"")</f>
        <v>0</v>
      </c>
      <c r="J16" s="34">
        <f>IFERROR(IF(IFERROR(MATCH(12,'كشف الحساب'!$N$4:$N$253,0),0)=0,"",INDEX('كشف الحساب'!$J$4:$J$253,IFERROR(MATCH(12,'كشف الحساب'!$N$4:$N$253,0),0))),"")</f>
        <v>132.89500000000001</v>
      </c>
      <c r="K16" s="61">
        <f>IFERROR(IF(IFERROR(MATCH(12,'كشف الحساب'!$N$4:$N$253,0),0)=0,"",INDEX('كشف الحساب'!$K$4:$K$253,IFERROR(MATCH(12,'كشف الحساب'!$N$4:$N$253,0),0))),"")</f>
        <v>0</v>
      </c>
    </row>
    <row r="17" spans="1:11" ht="16.5" customHeight="1" x14ac:dyDescent="0.25">
      <c r="A17" s="139">
        <f>IFERROR(IF(IFERROR(MATCH(13,'كشف الحساب'!$N$4:$N$253,0),0)=0,"",INDEX('كشف الحساب'!$A$4:$A$253,IFERROR(MATCH(13,'كشف الحساب'!$N$4:$N$253,0),0))),"")</f>
        <v>46245</v>
      </c>
      <c r="B17" s="59">
        <f>IFERROR(IF(IFERROR(MATCH(13,'كشف الحساب'!$N$4:$N$253,0),0)=0,"",INDEX('كشف الحساب'!$B$4:$B$253,IFERROR(MATCH(13,'كشف الحساب'!$N$4:$N$253,0),0))),"")</f>
        <v>0</v>
      </c>
      <c r="C17" s="37" t="str">
        <f>IFERROR(IF(IFERROR(MATCH(13,'كشف الحساب'!$N$4:$N$253,0),0)=0,"",INDEX('كشف الحساب'!$C$4:$C$253,IFERROR(MATCH(13,'كشف الحساب'!$N$4:$N$253,0),0))),"")</f>
        <v>احواض معلقه + كوكوبيت</v>
      </c>
      <c r="D17" s="38">
        <f>IFERROR(IF(IFERROR(MATCH(13,'كشف الحساب'!$N$4:$N$253,0),0)=0,"",INDEX('كشف الحساب'!$D$4:$D$253,IFERROR(MATCH(13,'كشف الحساب'!$N$4:$N$253,0),0))),"")</f>
        <v>55</v>
      </c>
      <c r="E17" s="60">
        <f>IFERROR(IF(IFERROR(MATCH(13,'كشف الحساب'!$N$4:$N$253,0),0)=0,"",INDEX('كشف الحساب'!$E$4:$E$253,IFERROR(MATCH(13,'كشف الحساب'!$N$4:$N$253,0),0))),"")</f>
        <v>0</v>
      </c>
      <c r="F17" s="59" t="str">
        <f>IFERROR(IF(IFERROR(MATCH(13,'كشف الحساب'!$N$4:$N$253,0),0)=0,"",INDEX('كشف الحساب'!$F$4:$F$253,IFERROR(MATCH(13,'كشف الحساب'!$N$4:$N$253,0),0))),"")</f>
        <v>نقداً</v>
      </c>
      <c r="G17" s="59" t="str">
        <f>IFERROR(IF(IFERROR(MATCH(13,'كشف الحساب'!$N$4:$N$253,0),0)=0,"",INDEX('كشف الحساب'!$G$4:$G$253,IFERROR(MATCH(13,'كشف الحساب'!$N$4:$N$253,0),0))),"")</f>
        <v>المحفظة</v>
      </c>
      <c r="H17" s="59" t="str">
        <f>IFERROR(IF(IFERROR(MATCH(13,'كشف الحساب'!$N$4:$N$253,0),0)=0,"",INDEX('كشف الحساب'!$H$4:$H$253,IFERROR(MATCH(13,'كشف الحساب'!$N$4:$N$253,0),0))),"")</f>
        <v>تم الدفع</v>
      </c>
      <c r="I17" s="59">
        <f>IFERROR(IF(IFERROR(MATCH(13,'كشف الحساب'!$N$4:$N$253,0),0)=0,"",INDEX('كشف الحساب'!$I$4:$I$253,IFERROR(MATCH(13,'كشف الحساب'!$N$4:$N$253,0),0))),"")</f>
        <v>0</v>
      </c>
      <c r="J17" s="43">
        <f>IFERROR(IF(IFERROR(MATCH(13,'كشف الحساب'!$N$4:$N$253,0),0)=0,"",INDEX('كشف الحساب'!$J$4:$J$253,IFERROR(MATCH(13,'كشف الحساب'!$N$4:$N$253,0),0))),"")</f>
        <v>77.89500000000001</v>
      </c>
      <c r="K17" s="59">
        <f>IFERROR(IF(IFERROR(MATCH(13,'كشف الحساب'!$N$4:$N$253,0),0)=0,"",INDEX('كشف الحساب'!$K$4:$K$253,IFERROR(MATCH(13,'كشف الحساب'!$N$4:$N$253,0),0))),"")</f>
        <v>0</v>
      </c>
    </row>
    <row r="18" spans="1:11" ht="16.5" customHeight="1" x14ac:dyDescent="0.25">
      <c r="A18" s="25">
        <f>IFERROR(IF(IFERROR(MATCH(14,'كشف الحساب'!$N$4:$N$253,0),0)=0,"",INDEX('كشف الحساب'!$A$4:$A$253,IFERROR(MATCH(14,'كشف الحساب'!$N$4:$N$253,0),0))),"")</f>
        <v>46245</v>
      </c>
      <c r="B18" s="61">
        <f>IFERROR(IF(IFERROR(MATCH(14,'كشف الحساب'!$N$4:$N$253,0),0)=0,"",INDEX('كشف الحساب'!$B$4:$B$253,IFERROR(MATCH(14,'كشف الحساب'!$N$4:$N$253,0),0))),"")</f>
        <v>0</v>
      </c>
      <c r="C18" s="27" t="str">
        <f>IFERROR(IF(IFERROR(MATCH(14,'كشف الحساب'!$N$4:$N$253,0),0)=0,"",INDEX('كشف الحساب'!$C$4:$C$253,IFERROR(MATCH(14,'كشف الحساب'!$N$4:$N$253,0),0))),"")</f>
        <v>15-15-15 خرماشه</v>
      </c>
      <c r="D18" s="28">
        <f>IFERROR(IF(IFERROR(MATCH(14,'كشف الحساب'!$N$4:$N$253,0),0)=0,"",INDEX('كشف الحساب'!$D$4:$D$253,IFERROR(MATCH(14,'كشف الحساب'!$N$4:$N$253,0),0))),"")</f>
        <v>7.6749999999999998</v>
      </c>
      <c r="E18" s="62">
        <f>IFERROR(IF(IFERROR(MATCH(14,'كشف الحساب'!$N$4:$N$253,0),0)=0,"",INDEX('كشف الحساب'!$E$4:$E$253,IFERROR(MATCH(14,'كشف الحساب'!$N$4:$N$253,0),0))),"")</f>
        <v>0</v>
      </c>
      <c r="F18" s="61" t="str">
        <f>IFERROR(IF(IFERROR(MATCH(14,'كشف الحساب'!$N$4:$N$253,0),0)=0,"",INDEX('كشف الحساب'!$F$4:$F$253,IFERROR(MATCH(14,'كشف الحساب'!$N$4:$N$253,0),0))),"")</f>
        <v>نقداً</v>
      </c>
      <c r="G18" s="61" t="str">
        <f>IFERROR(IF(IFERROR(MATCH(14,'كشف الحساب'!$N$4:$N$253,0),0)=0,"",INDEX('كشف الحساب'!$G$4:$G$253,IFERROR(MATCH(14,'كشف الحساب'!$N$4:$N$253,0),0))),"")</f>
        <v>المحفظة</v>
      </c>
      <c r="H18" s="61" t="str">
        <f>IFERROR(IF(IFERROR(MATCH(14,'كشف الحساب'!$N$4:$N$253,0),0)=0,"",INDEX('كشف الحساب'!$H$4:$H$253,IFERROR(MATCH(14,'كشف الحساب'!$N$4:$N$253,0),0))),"")</f>
        <v>تم الدفع</v>
      </c>
      <c r="I18" s="61">
        <f>IFERROR(IF(IFERROR(MATCH(14,'كشف الحساب'!$N$4:$N$253,0),0)=0,"",INDEX('كشف الحساب'!$I$4:$I$253,IFERROR(MATCH(14,'كشف الحساب'!$N$4:$N$253,0),0))),"")</f>
        <v>0</v>
      </c>
      <c r="J18" s="34">
        <f>IFERROR(IF(IFERROR(MATCH(14,'كشف الحساب'!$N$4:$N$253,0),0)=0,"",INDEX('كشف الحساب'!$J$4:$J$253,IFERROR(MATCH(14,'كشف الحساب'!$N$4:$N$253,0),0))),"")</f>
        <v>70.220000000000013</v>
      </c>
      <c r="K18" s="61">
        <f>IFERROR(IF(IFERROR(MATCH(14,'كشف الحساب'!$N$4:$N$253,0),0)=0,"",INDEX('كشف الحساب'!$K$4:$K$253,IFERROR(MATCH(14,'كشف الحساب'!$N$4:$N$253,0),0))),"")</f>
        <v>0</v>
      </c>
    </row>
    <row r="19" spans="1:11" ht="16.5" customHeight="1" x14ac:dyDescent="0.25">
      <c r="A19" s="139">
        <f>IFERROR(IF(IFERROR(MATCH(15,'كشف الحساب'!$N$4:$N$253,0),0)=0,"",INDEX('كشف الحساب'!$A$4:$A$253,IFERROR(MATCH(15,'كشف الحساب'!$N$4:$N$253,0),0))),"")</f>
        <v>46247</v>
      </c>
      <c r="B19" s="59">
        <f>IFERROR(IF(IFERROR(MATCH(15,'كشف الحساب'!$N$4:$N$253,0),0)=0,"",INDEX('كشف الحساب'!$B$4:$B$253,IFERROR(MATCH(15,'كشف الحساب'!$N$4:$N$253,0),0))),"")</f>
        <v>0</v>
      </c>
      <c r="C19" s="37" t="str">
        <f>IFERROR(IF(IFERROR(MATCH(15,'كشف الحساب'!$N$4:$N$253,0),0)=0,"",INDEX('كشف الحساب'!$C$4:$C$253,IFERROR(MATCH(15,'كشف الحساب'!$N$4:$N$253,0),0))),"")</f>
        <v>هرمون تدير</v>
      </c>
      <c r="D19" s="38">
        <f>IFERROR(IF(IFERROR(MATCH(15,'كشف الحساب'!$N$4:$N$253,0),0)=0,"",INDEX('كشف الحساب'!$D$4:$D$253,IFERROR(MATCH(15,'كشف الحساب'!$N$4:$N$253,0),0))),"")</f>
        <v>4</v>
      </c>
      <c r="E19" s="60">
        <f>IFERROR(IF(IFERROR(MATCH(15,'كشف الحساب'!$N$4:$N$253,0),0)=0,"",INDEX('كشف الحساب'!$E$4:$E$253,IFERROR(MATCH(15,'كشف الحساب'!$N$4:$N$253,0),0))),"")</f>
        <v>0</v>
      </c>
      <c r="F19" s="59" t="str">
        <f>IFERROR(IF(IFERROR(MATCH(15,'كشف الحساب'!$N$4:$N$253,0),0)=0,"",INDEX('كشف الحساب'!$F$4:$F$253,IFERROR(MATCH(15,'كشف الحساب'!$N$4:$N$253,0),0))),"")</f>
        <v>نقداً</v>
      </c>
      <c r="G19" s="59" t="str">
        <f>IFERROR(IF(IFERROR(MATCH(15,'كشف الحساب'!$N$4:$N$253,0),0)=0,"",INDEX('كشف الحساب'!$G$4:$G$253,IFERROR(MATCH(15,'كشف الحساب'!$N$4:$N$253,0),0))),"")</f>
        <v>المحفظة</v>
      </c>
      <c r="H19" s="59" t="str">
        <f>IFERROR(IF(IFERROR(MATCH(15,'كشف الحساب'!$N$4:$N$253,0),0)=0,"",INDEX('كشف الحساب'!$H$4:$H$253,IFERROR(MATCH(15,'كشف الحساب'!$N$4:$N$253,0),0))),"")</f>
        <v>تم الدفع</v>
      </c>
      <c r="I19" s="59">
        <f>IFERROR(IF(IFERROR(MATCH(15,'كشف الحساب'!$N$4:$N$253,0),0)=0,"",INDEX('كشف الحساب'!$I$4:$I$253,IFERROR(MATCH(15,'كشف الحساب'!$N$4:$N$253,0),0))),"")</f>
        <v>0</v>
      </c>
      <c r="J19" s="43">
        <f>IFERROR(IF(IFERROR(MATCH(15,'كشف الحساب'!$N$4:$N$253,0),0)=0,"",INDEX('كشف الحساب'!$J$4:$J$253,IFERROR(MATCH(15,'كشف الحساب'!$N$4:$N$253,0),0))),"")</f>
        <v>66.220000000000013</v>
      </c>
      <c r="K19" s="59">
        <f>IFERROR(IF(IFERROR(MATCH(15,'كشف الحساب'!$N$4:$N$253,0),0)=0,"",INDEX('كشف الحساب'!$K$4:$K$253,IFERROR(MATCH(15,'كشف الحساب'!$N$4:$N$253,0),0))),"")</f>
        <v>0</v>
      </c>
    </row>
    <row r="20" spans="1:11" ht="16.5" customHeight="1" x14ac:dyDescent="0.25">
      <c r="A20" s="25">
        <f>IFERROR(IF(IFERROR(MATCH(16,'كشف الحساب'!$N$4:$N$253,0),0)=0,"",INDEX('كشف الحساب'!$A$4:$A$253,IFERROR(MATCH(16,'كشف الحساب'!$N$4:$N$253,0),0))),"")</f>
        <v>46247</v>
      </c>
      <c r="B20" s="61">
        <f>IFERROR(IF(IFERROR(MATCH(16,'كشف الحساب'!$N$4:$N$253,0),0)=0,"",INDEX('كشف الحساب'!$B$4:$B$253,IFERROR(MATCH(16,'كشف الحساب'!$N$4:$N$253,0),0))),"")</f>
        <v>0</v>
      </c>
      <c r="C20" s="27" t="str">
        <f>IFERROR(IF(IFERROR(MATCH(16,'كشف الحساب'!$N$4:$N$253,0),0)=0,"",INDEX('كشف الحساب'!$C$4:$C$253,IFERROR(MATCH(16,'كشف الحساب'!$N$4:$N$253,0),0))),"")</f>
        <v>احواض مقاس 14 عدد 1000</v>
      </c>
      <c r="D20" s="28">
        <f>IFERROR(IF(IFERROR(MATCH(16,'كشف الحساب'!$N$4:$N$253,0),0)=0,"",INDEX('كشف الحساب'!$D$4:$D$253,IFERROR(MATCH(16,'كشف الحساب'!$N$4:$N$253,0),0))),"")</f>
        <v>20</v>
      </c>
      <c r="E20" s="62">
        <f>IFERROR(IF(IFERROR(MATCH(16,'كشف الحساب'!$N$4:$N$253,0),0)=0,"",INDEX('كشف الحساب'!$E$4:$E$253,IFERROR(MATCH(16,'كشف الحساب'!$N$4:$N$253,0),0))),"")</f>
        <v>0</v>
      </c>
      <c r="F20" s="61" t="str">
        <f>IFERROR(IF(IFERROR(MATCH(16,'كشف الحساب'!$N$4:$N$253,0),0)=0,"",INDEX('كشف الحساب'!$F$4:$F$253,IFERROR(MATCH(16,'كشف الحساب'!$N$4:$N$253,0),0))),"")</f>
        <v>نقداً</v>
      </c>
      <c r="G20" s="61" t="str">
        <f>IFERROR(IF(IFERROR(MATCH(16,'كشف الحساب'!$N$4:$N$253,0),0)=0,"",INDEX('كشف الحساب'!$G$4:$G$253,IFERROR(MATCH(16,'كشف الحساب'!$N$4:$N$253,0),0))),"")</f>
        <v>المحفظة</v>
      </c>
      <c r="H20" s="61" t="str">
        <f>IFERROR(IF(IFERROR(MATCH(16,'كشف الحساب'!$N$4:$N$253,0),0)=0,"",INDEX('كشف الحساب'!$H$4:$H$253,IFERROR(MATCH(16,'كشف الحساب'!$N$4:$N$253,0),0))),"")</f>
        <v>تم الدفع</v>
      </c>
      <c r="I20" s="61">
        <f>IFERROR(IF(IFERROR(MATCH(16,'كشف الحساب'!$N$4:$N$253,0),0)=0,"",INDEX('كشف الحساب'!$I$4:$I$253,IFERROR(MATCH(16,'كشف الحساب'!$N$4:$N$253,0),0))),"")</f>
        <v>0</v>
      </c>
      <c r="J20" s="34">
        <f>IFERROR(IF(IFERROR(MATCH(16,'كشف الحساب'!$N$4:$N$253,0),0)=0,"",INDEX('كشف الحساب'!$J$4:$J$253,IFERROR(MATCH(16,'كشف الحساب'!$N$4:$N$253,0),0))),"")</f>
        <v>46.220000000000013</v>
      </c>
      <c r="K20" s="61">
        <f>IFERROR(IF(IFERROR(MATCH(16,'كشف الحساب'!$N$4:$N$253,0),0)=0,"",INDEX('كشف الحساب'!$K$4:$K$253,IFERROR(MATCH(16,'كشف الحساب'!$N$4:$N$253,0),0))),"")</f>
        <v>0</v>
      </c>
    </row>
    <row r="21" spans="1:11" ht="16.5" customHeight="1" x14ac:dyDescent="0.25">
      <c r="A21" s="139">
        <f>IFERROR(IF(IFERROR(MATCH(17,'كشف الحساب'!$N$4:$N$253,0),0)=0,"",INDEX('كشف الحساب'!$A$4:$A$253,IFERROR(MATCH(17,'كشف الحساب'!$N$4:$N$253,0),0))),"")</f>
        <v>46247</v>
      </c>
      <c r="B21" s="59">
        <f>IFERROR(IF(IFERROR(MATCH(17,'كشف الحساب'!$N$4:$N$253,0),0)=0,"",INDEX('كشف الحساب'!$B$4:$B$253,IFERROR(MATCH(17,'كشف الحساب'!$N$4:$N$253,0),0))),"")</f>
        <v>0</v>
      </c>
      <c r="C21" s="37" t="str">
        <f>IFERROR(IF(IFERROR(MATCH(17,'كشف الحساب'!$N$4:$N$253,0),0)=0,"",INDEX('كشف الحساب'!$C$4:$C$253,IFERROR(MATCH(17,'كشف الحساب'!$N$4:$N$253,0),0))),"")</f>
        <v>وصلات</v>
      </c>
      <c r="D21" s="38">
        <f>IFERROR(IF(IFERROR(MATCH(17,'كشف الحساب'!$N$4:$N$253,0),0)=0,"",INDEX('كشف الحساب'!$D$4:$D$253,IFERROR(MATCH(17,'كشف الحساب'!$N$4:$N$253,0),0))),"")</f>
        <v>0.9</v>
      </c>
      <c r="E21" s="60">
        <f>IFERROR(IF(IFERROR(MATCH(17,'كشف الحساب'!$N$4:$N$253,0),0)=0,"",INDEX('كشف الحساب'!$E$4:$E$253,IFERROR(MATCH(17,'كشف الحساب'!$N$4:$N$253,0),0))),"")</f>
        <v>0</v>
      </c>
      <c r="F21" s="59" t="str">
        <f>IFERROR(IF(IFERROR(MATCH(17,'كشف الحساب'!$N$4:$N$253,0),0)=0,"",INDEX('كشف الحساب'!$F$4:$F$253,IFERROR(MATCH(17,'كشف الحساب'!$N$4:$N$253,0),0))),"")</f>
        <v>نقداً</v>
      </c>
      <c r="G21" s="59" t="str">
        <f>IFERROR(IF(IFERROR(MATCH(17,'كشف الحساب'!$N$4:$N$253,0),0)=0,"",INDEX('كشف الحساب'!$G$4:$G$253,IFERROR(MATCH(17,'كشف الحساب'!$N$4:$N$253,0),0))),"")</f>
        <v>المحفظة</v>
      </c>
      <c r="H21" s="59" t="str">
        <f>IFERROR(IF(IFERROR(MATCH(17,'كشف الحساب'!$N$4:$N$253,0),0)=0,"",INDEX('كشف الحساب'!$H$4:$H$253,IFERROR(MATCH(17,'كشف الحساب'!$N$4:$N$253,0),0))),"")</f>
        <v>تم الدفع</v>
      </c>
      <c r="I21" s="59">
        <f>IFERROR(IF(IFERROR(MATCH(17,'كشف الحساب'!$N$4:$N$253,0),0)=0,"",INDEX('كشف الحساب'!$I$4:$I$253,IFERROR(MATCH(17,'كشف الحساب'!$N$4:$N$253,0),0))),"")</f>
        <v>0</v>
      </c>
      <c r="J21" s="43">
        <f>IFERROR(IF(IFERROR(MATCH(17,'كشف الحساب'!$N$4:$N$253,0),0)=0,"",INDEX('كشف الحساب'!$J$4:$J$253,IFERROR(MATCH(17,'كشف الحساب'!$N$4:$N$253,0),0))),"")</f>
        <v>45.320000000000014</v>
      </c>
      <c r="K21" s="59">
        <f>IFERROR(IF(IFERROR(MATCH(17,'كشف الحساب'!$N$4:$N$253,0),0)=0,"",INDEX('كشف الحساب'!$K$4:$K$253,IFERROR(MATCH(17,'كشف الحساب'!$N$4:$N$253,0),0))),"")</f>
        <v>0</v>
      </c>
    </row>
    <row r="22" spans="1:11" ht="16.5" customHeight="1" x14ac:dyDescent="0.25">
      <c r="A22" s="25">
        <f>IFERROR(IF(IFERROR(MATCH(18,'كشف الحساب'!$N$4:$N$253,0),0)=0,"",INDEX('كشف الحساب'!$A$4:$A$253,IFERROR(MATCH(18,'كشف الحساب'!$N$4:$N$253,0),0))),"")</f>
        <v>46249</v>
      </c>
      <c r="B22" s="61">
        <f>IFERROR(IF(IFERROR(MATCH(18,'كشف الحساب'!$N$4:$N$253,0),0)=0,"",INDEX('كشف الحساب'!$B$4:$B$253,IFERROR(MATCH(18,'كشف الحساب'!$N$4:$N$253,0),0))),"")</f>
        <v>0</v>
      </c>
      <c r="C22" s="27" t="str">
        <f>IFERROR(IF(IFERROR(MATCH(18,'كشف الحساب'!$N$4:$N$253,0),0)=0,"",INDEX('كشف الحساب'!$C$4:$C$253,IFERROR(MATCH(18,'كشف الحساب'!$N$4:$N$253,0),0))),"")</f>
        <v>وصلات وحنفيه</v>
      </c>
      <c r="D22" s="28">
        <f>IFERROR(IF(IFERROR(MATCH(18,'كشف الحساب'!$N$4:$N$253,0),0)=0,"",INDEX('كشف الحساب'!$D$4:$D$253,IFERROR(MATCH(18,'كشف الحساب'!$N$4:$N$253,0),0))),"")</f>
        <v>2</v>
      </c>
      <c r="E22" s="62">
        <f>IFERROR(IF(IFERROR(MATCH(18,'كشف الحساب'!$N$4:$N$253,0),0)=0,"",INDEX('كشف الحساب'!$E$4:$E$253,IFERROR(MATCH(18,'كشف الحساب'!$N$4:$N$253,0),0))),"")</f>
        <v>0</v>
      </c>
      <c r="F22" s="61" t="str">
        <f>IFERROR(IF(IFERROR(MATCH(18,'كشف الحساب'!$N$4:$N$253,0),0)=0,"",INDEX('كشف الحساب'!$F$4:$F$253,IFERROR(MATCH(18,'كشف الحساب'!$N$4:$N$253,0),0))),"")</f>
        <v>نقداً</v>
      </c>
      <c r="G22" s="61" t="str">
        <f>IFERROR(IF(IFERROR(MATCH(18,'كشف الحساب'!$N$4:$N$253,0),0)=0,"",INDEX('كشف الحساب'!$G$4:$G$253,IFERROR(MATCH(18,'كشف الحساب'!$N$4:$N$253,0),0))),"")</f>
        <v>المحفظة</v>
      </c>
      <c r="H22" s="61" t="str">
        <f>IFERROR(IF(IFERROR(MATCH(18,'كشف الحساب'!$N$4:$N$253,0),0)=0,"",INDEX('كشف الحساب'!$H$4:$H$253,IFERROR(MATCH(18,'كشف الحساب'!$N$4:$N$253,0),0))),"")</f>
        <v>تم الدفع</v>
      </c>
      <c r="I22" s="61">
        <f>IFERROR(IF(IFERROR(MATCH(18,'كشف الحساب'!$N$4:$N$253,0),0)=0,"",INDEX('كشف الحساب'!$I$4:$I$253,IFERROR(MATCH(18,'كشف الحساب'!$N$4:$N$253,0),0))),"")</f>
        <v>0</v>
      </c>
      <c r="J22" s="34">
        <f>IFERROR(IF(IFERROR(MATCH(18,'كشف الحساب'!$N$4:$N$253,0),0)=0,"",INDEX('كشف الحساب'!$J$4:$J$253,IFERROR(MATCH(18,'كشف الحساب'!$N$4:$N$253,0),0))),"")</f>
        <v>43.320000000000014</v>
      </c>
      <c r="K22" s="61">
        <f>IFERROR(IF(IFERROR(MATCH(18,'كشف الحساب'!$N$4:$N$253,0),0)=0,"",INDEX('كشف الحساب'!$K$4:$K$253,IFERROR(MATCH(18,'كشف الحساب'!$N$4:$N$253,0),0))),"")</f>
        <v>0</v>
      </c>
    </row>
    <row r="23" spans="1:11" ht="16.5" customHeight="1" x14ac:dyDescent="0.25">
      <c r="A23" s="139">
        <f>IFERROR(IF(IFERROR(MATCH(19,'كشف الحساب'!$N$4:$N$253,0),0)=0,"",INDEX('كشف الحساب'!$A$4:$A$253,IFERROR(MATCH(19,'كشف الحساب'!$N$4:$N$253,0),0))),"")</f>
        <v>46252</v>
      </c>
      <c r="B23" s="59" t="str">
        <f>IFERROR(IF(IFERROR(MATCH(19,'كشف الحساب'!$N$4:$N$253,0),0)=0,"",INDEX('كشف الحساب'!$B$4:$B$253,IFERROR(MATCH(19,'كشف الحساب'!$N$4:$N$253,0),0))),"")</f>
        <v>Inv-115</v>
      </c>
      <c r="C23" s="37" t="str">
        <f>IFERROR(IF(IFERROR(MATCH(19,'كشف الحساب'!$N$4:$N$253,0),0)=0,"",INDEX('كشف الحساب'!$C$4:$C$253,IFERROR(MATCH(19,'كشف الحساب'!$N$4:$N$253,0),0))),"")</f>
        <v>فل عدد 14 الحبه .750</v>
      </c>
      <c r="D23" s="38">
        <f>IFERROR(IF(IFERROR(MATCH(19,'كشف الحساب'!$N$4:$N$253,0),0)=0,"",INDEX('كشف الحساب'!$D$4:$D$253,IFERROR(MATCH(19,'كشف الحساب'!$N$4:$N$253,0),0))),"")</f>
        <v>0</v>
      </c>
      <c r="E23" s="60">
        <f>IFERROR(IF(IFERROR(MATCH(19,'كشف الحساب'!$N$4:$N$253,0),0)=0,"",INDEX('كشف الحساب'!$E$4:$E$253,IFERROR(MATCH(19,'كشف الحساب'!$N$4:$N$253,0),0))),"")</f>
        <v>10.5</v>
      </c>
      <c r="F23" s="59" t="str">
        <f>IFERROR(IF(IFERROR(MATCH(19,'كشف الحساب'!$N$4:$N$253,0),0)=0,"",INDEX('كشف الحساب'!$F$4:$F$253,IFERROR(MATCH(19,'كشف الحساب'!$N$4:$N$253,0),0))),"")</f>
        <v>نقداً</v>
      </c>
      <c r="G23" s="59">
        <f>IFERROR(IF(IFERROR(MATCH(19,'كشف الحساب'!$N$4:$N$253,0),0)=0,"",INDEX('كشف الحساب'!$G$4:$G$253,IFERROR(MATCH(19,'كشف الحساب'!$N$4:$N$253,0),0))),"")</f>
        <v>0</v>
      </c>
      <c r="H23" s="59" t="str">
        <f>IFERROR(IF(IFERROR(MATCH(19,'كشف الحساب'!$N$4:$N$253,0),0)=0,"",INDEX('كشف الحساب'!$H$4:$H$253,IFERROR(MATCH(19,'كشف الحساب'!$N$4:$N$253,0),0))),"")</f>
        <v>تم الدفع</v>
      </c>
      <c r="I23" s="59">
        <f>IFERROR(IF(IFERROR(MATCH(19,'كشف الحساب'!$N$4:$N$253,0),0)=0,"",INDEX('كشف الحساب'!$I$4:$I$253,IFERROR(MATCH(19,'كشف الحساب'!$N$4:$N$253,0),0))),"")</f>
        <v>0</v>
      </c>
      <c r="J23" s="43">
        <f>IFERROR(IF(IFERROR(MATCH(19,'كشف الحساب'!$N$4:$N$253,0),0)=0,"",INDEX('كشف الحساب'!$J$4:$J$253,IFERROR(MATCH(19,'كشف الحساب'!$N$4:$N$253,0),0))),"")</f>
        <v>53.820000000000014</v>
      </c>
      <c r="K23" s="59">
        <f>IFERROR(IF(IFERROR(MATCH(19,'كشف الحساب'!$N$4:$N$253,0),0)=0,"",INDEX('كشف الحساب'!$K$4:$K$253,IFERROR(MATCH(19,'كشف الحساب'!$N$4:$N$253,0),0))),"")</f>
        <v>0</v>
      </c>
    </row>
    <row r="24" spans="1:11" ht="16.5" customHeight="1" x14ac:dyDescent="0.25">
      <c r="A24" s="25">
        <f>IFERROR(IF(IFERROR(MATCH(20,'كشف الحساب'!$N$4:$N$253,0),0)=0,"",INDEX('كشف الحساب'!$A$4:$A$253,IFERROR(MATCH(20,'كشف الحساب'!$N$4:$N$253,0),0))),"")</f>
        <v>46252</v>
      </c>
      <c r="B24" s="61" t="str">
        <f>IFERROR(IF(IFERROR(MATCH(20,'كشف الحساب'!$N$4:$N$253,0),0)=0,"",INDEX('كشف الحساب'!$B$4:$B$253,IFERROR(MATCH(20,'كشف الحساب'!$N$4:$N$253,0),0))),"")</f>
        <v>Inv-116</v>
      </c>
      <c r="C24" s="27" t="str">
        <f>IFERROR(IF(IFERROR(MATCH(20,'كشف الحساب'!$N$4:$N$253,0),0)=0,"",INDEX('كشف الحساب'!$C$4:$C$253,IFERROR(MATCH(20,'كشف الحساب'!$N$4:$N$253,0),0))),"")</f>
        <v>متنوع عدد 1 الحبه 2.500</v>
      </c>
      <c r="D24" s="28">
        <f>IFERROR(IF(IFERROR(MATCH(20,'كشف الحساب'!$N$4:$N$253,0),0)=0,"",INDEX('كشف الحساب'!$D$4:$D$253,IFERROR(MATCH(20,'كشف الحساب'!$N$4:$N$253,0),0))),"")</f>
        <v>0</v>
      </c>
      <c r="E24" s="62">
        <f>IFERROR(IF(IFERROR(MATCH(20,'كشف الحساب'!$N$4:$N$253,0),0)=0,"",INDEX('كشف الحساب'!$E$4:$E$253,IFERROR(MATCH(20,'كشف الحساب'!$N$4:$N$253,0),0))),"")</f>
        <v>2.5</v>
      </c>
      <c r="F24" s="61" t="str">
        <f>IFERROR(IF(IFERROR(MATCH(20,'كشف الحساب'!$N$4:$N$253,0),0)=0,"",INDEX('كشف الحساب'!$F$4:$F$253,IFERROR(MATCH(20,'كشف الحساب'!$N$4:$N$253,0),0))),"")</f>
        <v>نقداً</v>
      </c>
      <c r="G24" s="61">
        <f>IFERROR(IF(IFERROR(MATCH(20,'كشف الحساب'!$N$4:$N$253,0),0)=0,"",INDEX('كشف الحساب'!$G$4:$G$253,IFERROR(MATCH(20,'كشف الحساب'!$N$4:$N$253,0),0))),"")</f>
        <v>0</v>
      </c>
      <c r="H24" s="61" t="str">
        <f>IFERROR(IF(IFERROR(MATCH(20,'كشف الحساب'!$N$4:$N$253,0),0)=0,"",INDEX('كشف الحساب'!$H$4:$H$253,IFERROR(MATCH(20,'كشف الحساب'!$N$4:$N$253,0),0))),"")</f>
        <v>تم الدفع</v>
      </c>
      <c r="I24" s="61">
        <f>IFERROR(IF(IFERROR(MATCH(20,'كشف الحساب'!$N$4:$N$253,0),0)=0,"",INDEX('كشف الحساب'!$I$4:$I$253,IFERROR(MATCH(20,'كشف الحساب'!$N$4:$N$253,0),0))),"")</f>
        <v>0</v>
      </c>
      <c r="J24" s="34">
        <f>IFERROR(IF(IFERROR(MATCH(20,'كشف الحساب'!$N$4:$N$253,0),0)=0,"",INDEX('كشف الحساب'!$J$4:$J$253,IFERROR(MATCH(20,'كشف الحساب'!$N$4:$N$253,0),0))),"")</f>
        <v>56.320000000000014</v>
      </c>
      <c r="K24" s="61">
        <f>IFERROR(IF(IFERROR(MATCH(20,'كشف الحساب'!$N$4:$N$253,0),0)=0,"",INDEX('كشف الحساب'!$K$4:$K$253,IFERROR(MATCH(20,'كشف الحساب'!$N$4:$N$253,0),0))),"")</f>
        <v>0</v>
      </c>
    </row>
    <row r="25" spans="1:11" ht="16.5" customHeight="1" x14ac:dyDescent="0.25">
      <c r="A25" s="139">
        <f>IFERROR(IF(IFERROR(MATCH(21,'كشف الحساب'!$N$4:$N$253,0),0)=0,"",INDEX('كشف الحساب'!$A$4:$A$253,IFERROR(MATCH(21,'كشف الحساب'!$N$4:$N$253,0),0))),"")</f>
        <v>46258</v>
      </c>
      <c r="B25" s="59" t="str">
        <f>IFERROR(IF(IFERROR(MATCH(21,'كشف الحساب'!$N$4:$N$253,0),0)=0,"",INDEX('كشف الحساب'!$B$4:$B$253,IFERROR(MATCH(21,'كشف الحساب'!$N$4:$N$253,0),0))),"")</f>
        <v>Inv-117</v>
      </c>
      <c r="C25" s="37" t="str">
        <f>IFERROR(IF(IFERROR(MATCH(21,'كشف الحساب'!$N$4:$N$253,0),0)=0,"",INDEX('كشف الحساب'!$C$4:$C$253,IFERROR(MATCH(21,'كشف الحساب'!$N$4:$N$253,0),0))),"")</f>
        <v>ربل عدد 10 الحبه 2.250</v>
      </c>
      <c r="D25" s="38">
        <f>IFERROR(IF(IFERROR(MATCH(21,'كشف الحساب'!$N$4:$N$253,0),0)=0,"",INDEX('كشف الحساب'!$D$4:$D$253,IFERROR(MATCH(21,'كشف الحساب'!$N$4:$N$253,0),0))),"")</f>
        <v>0</v>
      </c>
      <c r="E25" s="60">
        <f>IFERROR(IF(IFERROR(MATCH(21,'كشف الحساب'!$N$4:$N$253,0),0)=0,"",INDEX('كشف الحساب'!$E$4:$E$253,IFERROR(MATCH(21,'كشف الحساب'!$N$4:$N$253,0),0))),"")</f>
        <v>22.5</v>
      </c>
      <c r="F25" s="59" t="str">
        <f>IFERROR(IF(IFERROR(MATCH(21,'كشف الحساب'!$N$4:$N$253,0),0)=0,"",INDEX('كشف الحساب'!$F$4:$F$253,IFERROR(MATCH(21,'كشف الحساب'!$N$4:$N$253,0),0))),"")</f>
        <v>نقداً</v>
      </c>
      <c r="G25" s="59">
        <f>IFERROR(IF(IFERROR(MATCH(21,'كشف الحساب'!$N$4:$N$253,0),0)=0,"",INDEX('كشف الحساب'!$G$4:$G$253,IFERROR(MATCH(21,'كشف الحساب'!$N$4:$N$253,0),0))),"")</f>
        <v>0</v>
      </c>
      <c r="H25" s="59" t="str">
        <f>IFERROR(IF(IFERROR(MATCH(21,'كشف الحساب'!$N$4:$N$253,0),0)=0,"",INDEX('كشف الحساب'!$H$4:$H$253,IFERROR(MATCH(21,'كشف الحساب'!$N$4:$N$253,0),0))),"")</f>
        <v>تم الدفع</v>
      </c>
      <c r="I25" s="59">
        <f>IFERROR(IF(IFERROR(MATCH(21,'كشف الحساب'!$N$4:$N$253,0),0)=0,"",INDEX('كشف الحساب'!$I$4:$I$253,IFERROR(MATCH(21,'كشف الحساب'!$N$4:$N$253,0),0))),"")</f>
        <v>0</v>
      </c>
      <c r="J25" s="43">
        <f>IFERROR(IF(IFERROR(MATCH(21,'كشف الحساب'!$N$4:$N$253,0),0)=0,"",INDEX('كشف الحساب'!$J$4:$J$253,IFERROR(MATCH(21,'كشف الحساب'!$N$4:$N$253,0),0))),"")</f>
        <v>78.820000000000022</v>
      </c>
      <c r="K25" s="59">
        <f>IFERROR(IF(IFERROR(MATCH(21,'كشف الحساب'!$N$4:$N$253,0),0)=0,"",INDEX('كشف الحساب'!$K$4:$K$253,IFERROR(MATCH(21,'كشف الحساب'!$N$4:$N$253,0),0))),"")</f>
        <v>0</v>
      </c>
    </row>
    <row r="26" spans="1:11" ht="16.5" customHeight="1" x14ac:dyDescent="0.25">
      <c r="A26" s="25">
        <f>IFERROR(IF(IFERROR(MATCH(22,'كشف الحساب'!$N$4:$N$253,0),0)=0,"",INDEX('كشف الحساب'!$A$4:$A$253,IFERROR(MATCH(22,'كشف الحساب'!$N$4:$N$253,0),0))),"")</f>
        <v>46258</v>
      </c>
      <c r="B26" s="61" t="str">
        <f>IFERROR(IF(IFERROR(MATCH(22,'كشف الحساب'!$N$4:$N$253,0),0)=0,"",INDEX('كشف الحساب'!$B$4:$B$253,IFERROR(MATCH(22,'كشف الحساب'!$N$4:$N$253,0),0))),"")</f>
        <v>Inv-118</v>
      </c>
      <c r="C26" s="27" t="str">
        <f>IFERROR(IF(IFERROR(MATCH(22,'كشف الحساب'!$N$4:$N$253,0),0)=0,"",INDEX('كشف الحساب'!$C$4:$C$253,IFERROR(MATCH(22,'كشف الحساب'!$N$4:$N$253,0),0))),"")</f>
        <v>متنوع عدد 4 الحبه 1</v>
      </c>
      <c r="D26" s="28">
        <f>IFERROR(IF(IFERROR(MATCH(22,'كشف الحساب'!$N$4:$N$253,0),0)=0,"",INDEX('كشف الحساب'!$D$4:$D$253,IFERROR(MATCH(22,'كشف الحساب'!$N$4:$N$253,0),0))),"")</f>
        <v>0</v>
      </c>
      <c r="E26" s="62">
        <f>IFERROR(IF(IFERROR(MATCH(22,'كشف الحساب'!$N$4:$N$253,0),0)=0,"",INDEX('كشف الحساب'!$E$4:$E$253,IFERROR(MATCH(22,'كشف الحساب'!$N$4:$N$253,0),0))),"")</f>
        <v>4</v>
      </c>
      <c r="F26" s="61" t="str">
        <f>IFERROR(IF(IFERROR(MATCH(22,'كشف الحساب'!$N$4:$N$253,0),0)=0,"",INDEX('كشف الحساب'!$F$4:$F$253,IFERROR(MATCH(22,'كشف الحساب'!$N$4:$N$253,0),0))),"")</f>
        <v>نقداً</v>
      </c>
      <c r="G26" s="61">
        <f>IFERROR(IF(IFERROR(MATCH(22,'كشف الحساب'!$N$4:$N$253,0),0)=0,"",INDEX('كشف الحساب'!$G$4:$G$253,IFERROR(MATCH(22,'كشف الحساب'!$N$4:$N$253,0),0))),"")</f>
        <v>0</v>
      </c>
      <c r="H26" s="61" t="str">
        <f>IFERROR(IF(IFERROR(MATCH(22,'كشف الحساب'!$N$4:$N$253,0),0)=0,"",INDEX('كشف الحساب'!$H$4:$H$253,IFERROR(MATCH(22,'كشف الحساب'!$N$4:$N$253,0),0))),"")</f>
        <v>تم الدفع</v>
      </c>
      <c r="I26" s="61">
        <f>IFERROR(IF(IFERROR(MATCH(22,'كشف الحساب'!$N$4:$N$253,0),0)=0,"",INDEX('كشف الحساب'!$I$4:$I$253,IFERROR(MATCH(22,'كشف الحساب'!$N$4:$N$253,0),0))),"")</f>
        <v>0</v>
      </c>
      <c r="J26" s="34">
        <f>IFERROR(IF(IFERROR(MATCH(22,'كشف الحساب'!$N$4:$N$253,0),0)=0,"",INDEX('كشف الحساب'!$J$4:$J$253,IFERROR(MATCH(22,'كشف الحساب'!$N$4:$N$253,0),0))),"")</f>
        <v>82.820000000000022</v>
      </c>
      <c r="K26" s="61">
        <f>IFERROR(IF(IFERROR(MATCH(22,'كشف الحساب'!$N$4:$N$253,0),0)=0,"",INDEX('كشف الحساب'!$K$4:$K$253,IFERROR(MATCH(22,'كشف الحساب'!$N$4:$N$253,0),0))),"")</f>
        <v>0</v>
      </c>
    </row>
    <row r="27" spans="1:11" ht="16.5" customHeight="1" x14ac:dyDescent="0.25">
      <c r="A27" s="139">
        <f>IFERROR(IF(IFERROR(MATCH(23,'كشف الحساب'!$N$4:$N$253,0),0)=0,"",INDEX('كشف الحساب'!$A$4:$A$253,IFERROR(MATCH(23,'كشف الحساب'!$N$4:$N$253,0),0))),"")</f>
        <v>46258</v>
      </c>
      <c r="B27" s="59" t="str">
        <f>IFERROR(IF(IFERROR(MATCH(23,'كشف الحساب'!$N$4:$N$253,0),0)=0,"",INDEX('كشف الحساب'!$B$4:$B$253,IFERROR(MATCH(23,'كشف الحساب'!$N$4:$N$253,0),0))),"")</f>
        <v>Inv-119</v>
      </c>
      <c r="C27" s="37" t="str">
        <f>IFERROR(IF(IFERROR(MATCH(23,'كشف الحساب'!$N$4:$N$253,0),0)=0,"",INDEX('كشف الحساب'!$C$4:$C$253,IFERROR(MATCH(23,'كشف الحساب'!$N$4:$N$253,0),0))),"")</f>
        <v>دارسينا عدد 2 الحبه 3</v>
      </c>
      <c r="D27" s="38">
        <f>IFERROR(IF(IFERROR(MATCH(23,'كشف الحساب'!$N$4:$N$253,0),0)=0,"",INDEX('كشف الحساب'!$D$4:$D$253,IFERROR(MATCH(23,'كشف الحساب'!$N$4:$N$253,0),0))),"")</f>
        <v>0</v>
      </c>
      <c r="E27" s="60">
        <f>IFERROR(IF(IFERROR(MATCH(23,'كشف الحساب'!$N$4:$N$253,0),0)=0,"",INDEX('كشف الحساب'!$E$4:$E$253,IFERROR(MATCH(23,'كشف الحساب'!$N$4:$N$253,0),0))),"")</f>
        <v>6</v>
      </c>
      <c r="F27" s="59" t="str">
        <f>IFERROR(IF(IFERROR(MATCH(23,'كشف الحساب'!$N$4:$N$253,0),0)=0,"",INDEX('كشف الحساب'!$F$4:$F$253,IFERROR(MATCH(23,'كشف الحساب'!$N$4:$N$253,0),0))),"")</f>
        <v>نقداً</v>
      </c>
      <c r="G27" s="59">
        <f>IFERROR(IF(IFERROR(MATCH(23,'كشف الحساب'!$N$4:$N$253,0),0)=0,"",INDEX('كشف الحساب'!$G$4:$G$253,IFERROR(MATCH(23,'كشف الحساب'!$N$4:$N$253,0),0))),"")</f>
        <v>0</v>
      </c>
      <c r="H27" s="59" t="str">
        <f>IFERROR(IF(IFERROR(MATCH(23,'كشف الحساب'!$N$4:$N$253,0),0)=0,"",INDEX('كشف الحساب'!$H$4:$H$253,IFERROR(MATCH(23,'كشف الحساب'!$N$4:$N$253,0),0))),"")</f>
        <v>تم الدفع</v>
      </c>
      <c r="I27" s="59">
        <f>IFERROR(IF(IFERROR(MATCH(23,'كشف الحساب'!$N$4:$N$253,0),0)=0,"",INDEX('كشف الحساب'!$I$4:$I$253,IFERROR(MATCH(23,'كشف الحساب'!$N$4:$N$253,0),0))),"")</f>
        <v>0</v>
      </c>
      <c r="J27" s="43">
        <f>IFERROR(IF(IFERROR(MATCH(23,'كشف الحساب'!$N$4:$N$253,0),0)=0,"",INDEX('كشف الحساب'!$J$4:$J$253,IFERROR(MATCH(23,'كشف الحساب'!$N$4:$N$253,0),0))),"")</f>
        <v>88.820000000000022</v>
      </c>
      <c r="K27" s="59">
        <f>IFERROR(IF(IFERROR(MATCH(23,'كشف الحساب'!$N$4:$N$253,0),0)=0,"",INDEX('كشف الحساب'!$K$4:$K$253,IFERROR(MATCH(23,'كشف الحساب'!$N$4:$N$253,0),0))),"")</f>
        <v>0</v>
      </c>
    </row>
    <row r="28" spans="1:11" ht="16.5" customHeight="1" x14ac:dyDescent="0.25">
      <c r="A28" s="25">
        <f>IFERROR(IF(IFERROR(MATCH(24,'كشف الحساب'!$N$4:$N$253,0),0)=0,"",INDEX('كشف الحساب'!$A$4:$A$253,IFERROR(MATCH(24,'كشف الحساب'!$N$4:$N$253,0),0))),"")</f>
        <v>46258</v>
      </c>
      <c r="B28" s="61" t="str">
        <f>IFERROR(IF(IFERROR(MATCH(24,'كشف الحساب'!$N$4:$N$253,0),0)=0,"",INDEX('كشف الحساب'!$B$4:$B$253,IFERROR(MATCH(24,'كشف الحساب'!$N$4:$N$253,0),0))),"")</f>
        <v>Inv-120</v>
      </c>
      <c r="C28" s="27" t="str">
        <f>IFERROR(IF(IFERROR(MATCH(24,'كشف الحساب'!$N$4:$N$253,0),0)=0,"",INDEX('كشف الحساب'!$C$4:$C$253,IFERROR(MATCH(24,'كشف الحساب'!$N$4:$N$253,0),0))),"")</f>
        <v>فل عدد 2 الحبه .750</v>
      </c>
      <c r="D28" s="28">
        <f>IFERROR(IF(IFERROR(MATCH(24,'كشف الحساب'!$N$4:$N$253,0),0)=0,"",INDEX('كشف الحساب'!$D$4:$D$253,IFERROR(MATCH(24,'كشف الحساب'!$N$4:$N$253,0),0))),"")</f>
        <v>0</v>
      </c>
      <c r="E28" s="62">
        <f>IFERROR(IF(IFERROR(MATCH(24,'كشف الحساب'!$N$4:$N$253,0),0)=0,"",INDEX('كشف الحساب'!$E$4:$E$253,IFERROR(MATCH(24,'كشف الحساب'!$N$4:$N$253,0),0))),"")</f>
        <v>1.5</v>
      </c>
      <c r="F28" s="61" t="str">
        <f>IFERROR(IF(IFERROR(MATCH(24,'كشف الحساب'!$N$4:$N$253,0),0)=0,"",INDEX('كشف الحساب'!$F$4:$F$253,IFERROR(MATCH(24,'كشف الحساب'!$N$4:$N$253,0),0))),"")</f>
        <v>نقداً</v>
      </c>
      <c r="G28" s="61">
        <f>IFERROR(IF(IFERROR(MATCH(24,'كشف الحساب'!$N$4:$N$253,0),0)=0,"",INDEX('كشف الحساب'!$G$4:$G$253,IFERROR(MATCH(24,'كشف الحساب'!$N$4:$N$253,0),0))),"")</f>
        <v>0</v>
      </c>
      <c r="H28" s="61" t="str">
        <f>IFERROR(IF(IFERROR(MATCH(24,'كشف الحساب'!$N$4:$N$253,0),0)=0,"",INDEX('كشف الحساب'!$H$4:$H$253,IFERROR(MATCH(24,'كشف الحساب'!$N$4:$N$253,0),0))),"")</f>
        <v>تم الدفع</v>
      </c>
      <c r="I28" s="61">
        <f>IFERROR(IF(IFERROR(MATCH(24,'كشف الحساب'!$N$4:$N$253,0),0)=0,"",INDEX('كشف الحساب'!$I$4:$I$253,IFERROR(MATCH(24,'كشف الحساب'!$N$4:$N$253,0),0))),"")</f>
        <v>0</v>
      </c>
      <c r="J28" s="34">
        <f>IFERROR(IF(IFERROR(MATCH(24,'كشف الحساب'!$N$4:$N$253,0),0)=0,"",INDEX('كشف الحساب'!$J$4:$J$253,IFERROR(MATCH(24,'كشف الحساب'!$N$4:$N$253,0),0))),"")</f>
        <v>90.320000000000022</v>
      </c>
      <c r="K28" s="61">
        <f>IFERROR(IF(IFERROR(MATCH(24,'كشف الحساب'!$N$4:$N$253,0),0)=0,"",INDEX('كشف الحساب'!$K$4:$K$253,IFERROR(MATCH(24,'كشف الحساب'!$N$4:$N$253,0),0))),"")</f>
        <v>0</v>
      </c>
    </row>
    <row r="29" spans="1:11" ht="16.5" customHeight="1" x14ac:dyDescent="0.25">
      <c r="A29" s="139">
        <f>IFERROR(IF(IFERROR(MATCH(25,'كشف الحساب'!$N$4:$N$253,0),0)=0,"",INDEX('كشف الحساب'!$A$4:$A$253,IFERROR(MATCH(25,'كشف الحساب'!$N$4:$N$253,0),0))),"")</f>
        <v>46235</v>
      </c>
      <c r="B29" s="59">
        <f>IFERROR(IF(IFERROR(MATCH(25,'كشف الحساب'!$N$4:$N$253,0),0)=0,"",INDEX('كشف الحساب'!$B$4:$B$253,IFERROR(MATCH(25,'كشف الحساب'!$N$4:$N$253,0),0))),"")</f>
        <v>0</v>
      </c>
      <c r="C29" s="37" t="str">
        <f>IFERROR(IF(IFERROR(MATCH(25,'كشف الحساب'!$N$4:$N$253,0),0)=0,"",INDEX('كشف الحساب'!$C$4:$C$253,IFERROR(MATCH(25,'كشف الحساب'!$N$4:$N$253,0),0))),"")</f>
        <v>احواض عدد 3500 مقاس 25 سم</v>
      </c>
      <c r="D29" s="38">
        <f>IFERROR(IF(IFERROR(MATCH(25,'كشف الحساب'!$N$4:$N$253,0),0)=0,"",INDEX('كشف الحساب'!$D$4:$D$253,IFERROR(MATCH(25,'كشف الحساب'!$N$4:$N$253,0),0))),"")</f>
        <v>280</v>
      </c>
      <c r="E29" s="60">
        <f>IFERROR(IF(IFERROR(MATCH(25,'كشف الحساب'!$N$4:$N$253,0),0)=0,"",INDEX('كشف الحساب'!$E$4:$E$253,IFERROR(MATCH(25,'كشف الحساب'!$N$4:$N$253,0),0))),"")</f>
        <v>0</v>
      </c>
      <c r="F29" s="59" t="str">
        <f>IFERROR(IF(IFERROR(MATCH(25,'كشف الحساب'!$N$4:$N$253,0),0)=0,"",INDEX('كشف الحساب'!$F$4:$F$253,IFERROR(MATCH(25,'كشف الحساب'!$N$4:$N$253,0),0))),"")</f>
        <v>أحد الشركاء</v>
      </c>
      <c r="G29" s="59" t="str">
        <f>IFERROR(IF(IFERROR(MATCH(25,'كشف الحساب'!$N$4:$N$253,0),0)=0,"",INDEX('كشف الحساب'!$G$4:$G$253,IFERROR(MATCH(25,'كشف الحساب'!$N$4:$N$253,0),0))),"")</f>
        <v>أبو آدم</v>
      </c>
      <c r="H29" s="59" t="str">
        <f>IFERROR(IF(IFERROR(MATCH(25,'كشف الحساب'!$N$4:$N$253,0),0)=0,"",INDEX('كشف الحساب'!$H$4:$H$253,IFERROR(MATCH(25,'كشف الحساب'!$N$4:$N$253,0),0))),"")</f>
        <v>تم الدفع</v>
      </c>
      <c r="I29" s="59">
        <f>IFERROR(IF(IFERROR(MATCH(25,'كشف الحساب'!$N$4:$N$253,0),0)=0,"",INDEX('كشف الحساب'!$I$4:$I$253,IFERROR(MATCH(25,'كشف الحساب'!$N$4:$N$253,0),0))),"")</f>
        <v>0</v>
      </c>
      <c r="J29" s="43">
        <f>IFERROR(IF(IFERROR(MATCH(25,'كشف الحساب'!$N$4:$N$253,0),0)=0,"",INDEX('كشف الحساب'!$J$4:$J$253,IFERROR(MATCH(25,'كشف الحساب'!$N$4:$N$253,0),0))),"")</f>
        <v>90.320000000000022</v>
      </c>
      <c r="K29" s="59">
        <f>IFERROR(IF(IFERROR(MATCH(25,'كشف الحساب'!$N$4:$N$253,0),0)=0,"",INDEX('كشف الحساب'!$K$4:$K$253,IFERROR(MATCH(25,'كشف الحساب'!$N$4:$N$253,0),0))),"")</f>
        <v>0</v>
      </c>
    </row>
    <row r="30" spans="1:11" ht="16.5" customHeight="1" x14ac:dyDescent="0.25">
      <c r="A30" s="25">
        <f>IFERROR(IF(IFERROR(MATCH(26,'كشف الحساب'!$N$4:$N$253,0),0)=0,"",INDEX('كشف الحساب'!$A$4:$A$253,IFERROR(MATCH(26,'كشف الحساب'!$N$4:$N$253,0),0))),"")</f>
        <v>46238</v>
      </c>
      <c r="B30" s="61">
        <f>IFERROR(IF(IFERROR(MATCH(26,'كشف الحساب'!$N$4:$N$253,0),0)=0,"",INDEX('كشف الحساب'!$B$4:$B$253,IFERROR(MATCH(26,'كشف الحساب'!$N$4:$N$253,0),0))),"")</f>
        <v>0</v>
      </c>
      <c r="C30" s="27" t="str">
        <f>IFERROR(IF(IFERROR(MATCH(26,'كشف الحساب'!$N$4:$N$253,0),0)=0,"",INDEX('كشف الحساب'!$C$4:$C$253,IFERROR(MATCH(26,'كشف الحساب'!$N$4:$N$253,0),0))),"")</f>
        <v>حديد كحميه 2</v>
      </c>
      <c r="D30" s="28">
        <f>IFERROR(IF(IFERROR(MATCH(26,'كشف الحساب'!$N$4:$N$253,0),0)=0,"",INDEX('كشف الحساب'!$D$4:$D$253,IFERROR(MATCH(26,'كشف الحساب'!$N$4:$N$253,0),0))),"")</f>
        <v>68</v>
      </c>
      <c r="E30" s="62">
        <f>IFERROR(IF(IFERROR(MATCH(26,'كشف الحساب'!$N$4:$N$253,0),0)=0,"",INDEX('كشف الحساب'!$E$4:$E$253,IFERROR(MATCH(26,'كشف الحساب'!$N$4:$N$253,0),0))),"")</f>
        <v>0</v>
      </c>
      <c r="F30" s="61" t="str">
        <f>IFERROR(IF(IFERROR(MATCH(26,'كشف الحساب'!$N$4:$N$253,0),0)=0,"",INDEX('كشف الحساب'!$F$4:$F$253,IFERROR(MATCH(26,'كشف الحساب'!$N$4:$N$253,0),0))),"")</f>
        <v>أحد الشركاء</v>
      </c>
      <c r="G30" s="61" t="str">
        <f>IFERROR(IF(IFERROR(MATCH(26,'كشف الحساب'!$N$4:$N$253,0),0)=0,"",INDEX('كشف الحساب'!$G$4:$G$253,IFERROR(MATCH(26,'كشف الحساب'!$N$4:$N$253,0),0))),"")</f>
        <v>أبو اسحاق</v>
      </c>
      <c r="H30" s="61" t="str">
        <f>IFERROR(IF(IFERROR(MATCH(26,'كشف الحساب'!$N$4:$N$253,0),0)=0,"",INDEX('كشف الحساب'!$H$4:$H$253,IFERROR(MATCH(26,'كشف الحساب'!$N$4:$N$253,0),0))),"")</f>
        <v>تم الدفع</v>
      </c>
      <c r="I30" s="61">
        <f>IFERROR(IF(IFERROR(MATCH(26,'كشف الحساب'!$N$4:$N$253,0),0)=0,"",INDEX('كشف الحساب'!$I$4:$I$253,IFERROR(MATCH(26,'كشف الحساب'!$N$4:$N$253,0),0))),"")</f>
        <v>0</v>
      </c>
      <c r="J30" s="34">
        <f>IFERROR(IF(IFERROR(MATCH(26,'كشف الحساب'!$N$4:$N$253,0),0)=0,"",INDEX('كشف الحساب'!$J$4:$J$253,IFERROR(MATCH(26,'كشف الحساب'!$N$4:$N$253,0),0))),"")</f>
        <v>90.320000000000022</v>
      </c>
      <c r="K30" s="61">
        <f>IFERROR(IF(IFERROR(MATCH(26,'كشف الحساب'!$N$4:$N$253,0),0)=0,"",INDEX('كشف الحساب'!$K$4:$K$253,IFERROR(MATCH(26,'كشف الحساب'!$N$4:$N$253,0),0))),"")</f>
        <v>0</v>
      </c>
    </row>
    <row r="31" spans="1:11" ht="16.5" customHeight="1" x14ac:dyDescent="0.25">
      <c r="A31" s="139">
        <f>IFERROR(IF(IFERROR(MATCH(27,'كشف الحساب'!$N$4:$N$253,0),0)=0,"",INDEX('كشف الحساب'!$A$4:$A$253,IFERROR(MATCH(27,'كشف الحساب'!$N$4:$N$253,0),0))),"")</f>
        <v>46258</v>
      </c>
      <c r="B31" s="59">
        <f>IFERROR(IF(IFERROR(MATCH(27,'كشف الحساب'!$N$4:$N$253,0),0)=0,"",INDEX('كشف الحساب'!$B$4:$B$253,IFERROR(MATCH(27,'كشف الحساب'!$N$4:$N$253,0),0))),"")</f>
        <v>0</v>
      </c>
      <c r="C31" s="37" t="str">
        <f>IFERROR(IF(IFERROR(MATCH(27,'كشف الحساب'!$N$4:$N$253,0),0)=0,"",INDEX('كشف الحساب'!$C$4:$C$253,IFERROR(MATCH(27,'كشف الحساب'!$N$4:$N$253,0),0))),"")</f>
        <v>اسمده</v>
      </c>
      <c r="D31" s="38">
        <f>IFERROR(IF(IFERROR(MATCH(27,'كشف الحساب'!$N$4:$N$253,0),0)=0,"",INDEX('كشف الحساب'!$D$4:$D$253,IFERROR(MATCH(27,'كشف الحساب'!$N$4:$N$253,0),0))),"")</f>
        <v>4.125</v>
      </c>
      <c r="E31" s="60">
        <f>IFERROR(IF(IFERROR(MATCH(27,'كشف الحساب'!$N$4:$N$253,0),0)=0,"",INDEX('كشف الحساب'!$E$4:$E$253,IFERROR(MATCH(27,'كشف الحساب'!$N$4:$N$253,0),0))),"")</f>
        <v>0</v>
      </c>
      <c r="F31" s="59" t="str">
        <f>IFERROR(IF(IFERROR(MATCH(27,'كشف الحساب'!$N$4:$N$253,0),0)=0,"",INDEX('كشف الحساب'!$F$4:$F$253,IFERROR(MATCH(27,'كشف الحساب'!$N$4:$N$253,0),0))),"")</f>
        <v>نقداً</v>
      </c>
      <c r="G31" s="59" t="str">
        <f>IFERROR(IF(IFERROR(MATCH(27,'كشف الحساب'!$N$4:$N$253,0),0)=0,"",INDEX('كشف الحساب'!$G$4:$G$253,IFERROR(MATCH(27,'كشف الحساب'!$N$4:$N$253,0),0))),"")</f>
        <v>المحفظة</v>
      </c>
      <c r="H31" s="59" t="str">
        <f>IFERROR(IF(IFERROR(MATCH(27,'كشف الحساب'!$N$4:$N$253,0),0)=0,"",INDEX('كشف الحساب'!$H$4:$H$253,IFERROR(MATCH(27,'كشف الحساب'!$N$4:$N$253,0),0))),"")</f>
        <v>تم الدفع</v>
      </c>
      <c r="I31" s="59">
        <f>IFERROR(IF(IFERROR(MATCH(27,'كشف الحساب'!$N$4:$N$253,0),0)=0,"",INDEX('كشف الحساب'!$I$4:$I$253,IFERROR(MATCH(27,'كشف الحساب'!$N$4:$N$253,0),0))),"")</f>
        <v>0</v>
      </c>
      <c r="J31" s="43">
        <f>IFERROR(IF(IFERROR(MATCH(27,'كشف الحساب'!$N$4:$N$253,0),0)=0,"",INDEX('كشف الحساب'!$J$4:$J$253,IFERROR(MATCH(27,'كشف الحساب'!$N$4:$N$253,0),0))),"")</f>
        <v>86.195000000000022</v>
      </c>
      <c r="K31" s="59">
        <f>IFERROR(IF(IFERROR(MATCH(27,'كشف الحساب'!$N$4:$N$253,0),0)=0,"",INDEX('كشف الحساب'!$K$4:$K$253,IFERROR(MATCH(27,'كشف الحساب'!$N$4:$N$253,0),0))),"")</f>
        <v>0</v>
      </c>
    </row>
    <row r="32" spans="1:11" ht="16.5" customHeight="1" x14ac:dyDescent="0.25">
      <c r="A32" s="25">
        <f>IFERROR(IF(IFERROR(MATCH(28,'كشف الحساب'!$N$4:$N$253,0),0)=0,"",INDEX('كشف الحساب'!$A$4:$A$253,IFERROR(MATCH(28,'كشف الحساب'!$N$4:$N$253,0),0))),"")</f>
        <v>46260</v>
      </c>
      <c r="B32" s="61" t="str">
        <f>IFERROR(IF(IFERROR(MATCH(28,'كشف الحساب'!$N$4:$N$253,0),0)=0,"",INDEX('كشف الحساب'!$B$4:$B$253,IFERROR(MATCH(28,'كشف الحساب'!$N$4:$N$253,0),0))),"")</f>
        <v>Inv-121</v>
      </c>
      <c r="C32" s="27" t="str">
        <f>IFERROR(IF(IFERROR(MATCH(28,'كشف الحساب'!$N$4:$N$253,0),0)=0,"",INDEX('كشف الحساب'!$C$4:$C$253,IFERROR(MATCH(28,'كشف الحساب'!$N$4:$N$253,0),0))),"")</f>
        <v>شركه التهاني</v>
      </c>
      <c r="D32" s="28">
        <f>IFERROR(IF(IFERROR(MATCH(28,'كشف الحساب'!$N$4:$N$253,0),0)=0,"",INDEX('كشف الحساب'!$D$4:$D$253,IFERROR(MATCH(28,'كشف الحساب'!$N$4:$N$253,0),0))),"")</f>
        <v>0</v>
      </c>
      <c r="E32" s="62">
        <f>IFERROR(IF(IFERROR(MATCH(28,'كشف الحساب'!$N$4:$N$253,0),0)=0,"",INDEX('كشف الحساب'!$E$4:$E$253,IFERROR(MATCH(28,'كشف الحساب'!$N$4:$N$253,0),0))),"")</f>
        <v>260</v>
      </c>
      <c r="F32" s="61" t="str">
        <f>IFERROR(IF(IFERROR(MATCH(28,'كشف الحساب'!$N$4:$N$253,0),0)=0,"",INDEX('كشف الحساب'!$F$4:$F$253,IFERROR(MATCH(28,'كشف الحساب'!$N$4:$N$253,0),0))),"")</f>
        <v>نقداً</v>
      </c>
      <c r="G32" s="61">
        <f>IFERROR(IF(IFERROR(MATCH(28,'كشف الحساب'!$N$4:$N$253,0),0)=0,"",INDEX('كشف الحساب'!$G$4:$G$253,IFERROR(MATCH(28,'كشف الحساب'!$N$4:$N$253,0),0))),"")</f>
        <v>0</v>
      </c>
      <c r="H32" s="61" t="str">
        <f>IFERROR(IF(IFERROR(MATCH(28,'كشف الحساب'!$N$4:$N$253,0),0)=0,"",INDEX('كشف الحساب'!$H$4:$H$253,IFERROR(MATCH(28,'كشف الحساب'!$N$4:$N$253,0),0))),"")</f>
        <v>تم الدفع</v>
      </c>
      <c r="I32" s="61">
        <f>IFERROR(IF(IFERROR(MATCH(28,'كشف الحساب'!$N$4:$N$253,0),0)=0,"",INDEX('كشف الحساب'!$I$4:$I$253,IFERROR(MATCH(28,'كشف الحساب'!$N$4:$N$253,0),0))),"")</f>
        <v>0</v>
      </c>
      <c r="J32" s="34">
        <f>IFERROR(IF(IFERROR(MATCH(28,'كشف الحساب'!$N$4:$N$253,0),0)=0,"",INDEX('كشف الحساب'!$J$4:$J$253,IFERROR(MATCH(28,'كشف الحساب'!$N$4:$N$253,0),0))),"")</f>
        <v>346.19500000000005</v>
      </c>
      <c r="K32" s="61" t="str">
        <f>IFERROR(IF(IFERROR(MATCH(28,'كشف الحساب'!$N$4:$N$253,0),0)=0,"",INDEX('كشف الحساب'!$K$4:$K$253,IFERROR(MATCH(28,'كشف الحساب'!$N$4:$N$253,0),0))),"")</f>
        <v>تم عمل خصم من ابوادم 3.750</v>
      </c>
    </row>
    <row r="33" spans="1:11" ht="16.5" customHeight="1" x14ac:dyDescent="0.25">
      <c r="A33" s="139">
        <f>IFERROR(IF(IFERROR(MATCH(29,'كشف الحساب'!$N$4:$N$253,0),0)=0,"",INDEX('كشف الحساب'!$A$4:$A$253,IFERROR(MATCH(29,'كشف الحساب'!$N$4:$N$253,0),0))),"")</f>
        <v>46260</v>
      </c>
      <c r="B33" s="59">
        <f>IFERROR(IF(IFERROR(MATCH(29,'كشف الحساب'!$N$4:$N$253,0),0)=0,"",INDEX('كشف الحساب'!$B$4:$B$253,IFERROR(MATCH(29,'كشف الحساب'!$N$4:$N$253,0),0))),"")</f>
        <v>0</v>
      </c>
      <c r="C33" s="37" t="str">
        <f>IFERROR(IF(IFERROR(MATCH(29,'كشف الحساب'!$N$4:$N$253,0),0)=0,"",INDEX('كشف الحساب'!$C$4:$C$253,IFERROR(MATCH(29,'كشف الحساب'!$N$4:$N$253,0),0))),"")</f>
        <v>, حوض معلق عدد500 (الوحده.170(,بتموس عدد 10 الحبه 15</v>
      </c>
      <c r="D33" s="38">
        <f>IFERROR(IF(IFERROR(MATCH(29,'كشف الحساب'!$N$4:$N$253,0),0)=0,"",INDEX('كشف الحساب'!$D$4:$D$253,IFERROR(MATCH(29,'كشف الحساب'!$N$4:$N$253,0),0))),"")</f>
        <v>243</v>
      </c>
      <c r="E33" s="60">
        <f>IFERROR(IF(IFERROR(MATCH(29,'كشف الحساب'!$N$4:$N$253,0),0)=0,"",INDEX('كشف الحساب'!$E$4:$E$253,IFERROR(MATCH(29,'كشف الحساب'!$N$4:$N$253,0),0))),"")</f>
        <v>0</v>
      </c>
      <c r="F33" s="59" t="str">
        <f>IFERROR(IF(IFERROR(MATCH(29,'كشف الحساب'!$N$4:$N$253,0),0)=0,"",INDEX('كشف الحساب'!$F$4:$F$253,IFERROR(MATCH(29,'كشف الحساب'!$N$4:$N$253,0),0))),"")</f>
        <v>نقداً</v>
      </c>
      <c r="G33" s="59" t="str">
        <f>IFERROR(IF(IFERROR(MATCH(29,'كشف الحساب'!$N$4:$N$253,0),0)=0,"",INDEX('كشف الحساب'!$G$4:$G$253,IFERROR(MATCH(29,'كشف الحساب'!$N$4:$N$253,0),0))),"")</f>
        <v>المحفظة</v>
      </c>
      <c r="H33" s="59" t="str">
        <f>IFERROR(IF(IFERROR(MATCH(29,'كشف الحساب'!$N$4:$N$253,0),0)=0,"",INDEX('كشف الحساب'!$H$4:$H$253,IFERROR(MATCH(29,'كشف الحساب'!$N$4:$N$253,0),0))),"")</f>
        <v>تم الدفع</v>
      </c>
      <c r="I33" s="59">
        <f>IFERROR(IF(IFERROR(MATCH(29,'كشف الحساب'!$N$4:$N$253,0),0)=0,"",INDEX('كشف الحساب'!$I$4:$I$253,IFERROR(MATCH(29,'كشف الحساب'!$N$4:$N$253,0),0))),"")</f>
        <v>0</v>
      </c>
      <c r="J33" s="43">
        <f>IFERROR(IF(IFERROR(MATCH(29,'كشف الحساب'!$N$4:$N$253,0),0)=0,"",INDEX('كشف الحساب'!$J$4:$J$253,IFERROR(MATCH(29,'كشف الحساب'!$N$4:$N$253,0),0))),"")</f>
        <v>103.19500000000005</v>
      </c>
      <c r="K33" s="59">
        <f>IFERROR(IF(IFERROR(MATCH(29,'كشف الحساب'!$N$4:$N$253,0),0)=0,"",INDEX('كشف الحساب'!$K$4:$K$253,IFERROR(MATCH(29,'كشف الحساب'!$N$4:$N$253,0),0))),"")</f>
        <v>0</v>
      </c>
    </row>
    <row r="34" spans="1:11" ht="16.5" customHeight="1" x14ac:dyDescent="0.25">
      <c r="A34" s="25">
        <f>IFERROR(IF(IFERROR(MATCH(30,'كشف الحساب'!$N$4:$N$253,0),0)=0,"",INDEX('كشف الحساب'!$A$4:$A$253,IFERROR(MATCH(30,'كشف الحساب'!$N$4:$N$253,0),0))),"")</f>
        <v>46251</v>
      </c>
      <c r="B34" s="61">
        <f>IFERROR(IF(IFERROR(MATCH(30,'كشف الحساب'!$N$4:$N$253,0),0)=0,"",INDEX('كشف الحساب'!$B$4:$B$253,IFERROR(MATCH(30,'كشف الحساب'!$N$4:$N$253,0),0))),"")</f>
        <v>0</v>
      </c>
      <c r="C34" s="27" t="str">
        <f>IFERROR(IF(IFERROR(MATCH(30,'كشف الحساب'!$N$4:$N$253,0),0)=0,"",INDEX('كشف الحساب'!$C$4:$C$253,IFERROR(MATCH(30,'كشف الحساب'!$N$4:$N$253,0),0))),"")</f>
        <v>تاير توكتوك</v>
      </c>
      <c r="D34" s="28">
        <f>IFERROR(IF(IFERROR(MATCH(30,'كشف الحساب'!$N$4:$N$253,0),0)=0,"",INDEX('كشف الحساب'!$D$4:$D$253,IFERROR(MATCH(30,'كشف الحساب'!$N$4:$N$253,0),0))),"")</f>
        <v>3</v>
      </c>
      <c r="E34" s="62">
        <f>IFERROR(IF(IFERROR(MATCH(30,'كشف الحساب'!$N$4:$N$253,0),0)=0,"",INDEX('كشف الحساب'!$E$4:$E$253,IFERROR(MATCH(30,'كشف الحساب'!$N$4:$N$253,0),0))),"")</f>
        <v>0</v>
      </c>
      <c r="F34" s="61" t="str">
        <f>IFERROR(IF(IFERROR(MATCH(30,'كشف الحساب'!$N$4:$N$253,0),0)=0,"",INDEX('كشف الحساب'!$F$4:$F$253,IFERROR(MATCH(30,'كشف الحساب'!$N$4:$N$253,0),0))),"")</f>
        <v>نقداً</v>
      </c>
      <c r="G34" s="61" t="str">
        <f>IFERROR(IF(IFERROR(MATCH(30,'كشف الحساب'!$N$4:$N$253,0),0)=0,"",INDEX('كشف الحساب'!$G$4:$G$253,IFERROR(MATCH(30,'كشف الحساب'!$N$4:$N$253,0),0))),"")</f>
        <v>المحفظة</v>
      </c>
      <c r="H34" s="61" t="str">
        <f>IFERROR(IF(IFERROR(MATCH(30,'كشف الحساب'!$N$4:$N$253,0),0)=0,"",INDEX('كشف الحساب'!$H$4:$H$253,IFERROR(MATCH(30,'كشف الحساب'!$N$4:$N$253,0),0))),"")</f>
        <v>تم الدفع</v>
      </c>
      <c r="I34" s="61">
        <f>IFERROR(IF(IFERROR(MATCH(30,'كشف الحساب'!$N$4:$N$253,0),0)=0,"",INDEX('كشف الحساب'!$I$4:$I$253,IFERROR(MATCH(30,'كشف الحساب'!$N$4:$N$253,0),0))),"")</f>
        <v>0</v>
      </c>
      <c r="J34" s="34">
        <f>IFERROR(IF(IFERROR(MATCH(30,'كشف الحساب'!$N$4:$N$253,0),0)=0,"",INDEX('كشف الحساب'!$J$4:$J$253,IFERROR(MATCH(30,'كشف الحساب'!$N$4:$N$253,0),0))),"")</f>
        <v>100.19500000000005</v>
      </c>
      <c r="K34" s="61">
        <f>IFERROR(IF(IFERROR(MATCH(30,'كشف الحساب'!$N$4:$N$253,0),0)=0,"",INDEX('كشف الحساب'!$K$4:$K$253,IFERROR(MATCH(30,'كشف الحساب'!$N$4:$N$253,0),0))),"")</f>
        <v>0</v>
      </c>
    </row>
    <row r="35" spans="1:11" ht="15" customHeight="1" x14ac:dyDescent="0.25">
      <c r="A35" s="63">
        <f>IFERROR(IF(IFERROR(MATCH(31,'كشف الحساب'!$N$4:$N$253,0),0)=0,"",INDEX('كشف الحساب'!$A$4:$A$253,IFERROR(MATCH(31,'كشف الحساب'!$N$4:$N$253,0),0))),"")</f>
        <v>46251</v>
      </c>
      <c r="B35" s="64">
        <f>IFERROR(IF(IFERROR(MATCH(31,'كشف الحساب'!$N$4:$N$253,0),0)=0,"",INDEX('كشف الحساب'!$B$4:$B$253,IFERROR(MATCH(31,'كشف الحساب'!$N$4:$N$253,0),0))),"")</f>
        <v>0</v>
      </c>
      <c r="C35" s="65" t="str">
        <f>IFERROR(IF(IFERROR(MATCH(31,'كشف الحساب'!$N$4:$N$253,0),0)=0,"",INDEX('كشف الحساب'!$C$4:$C$253,IFERROR(MATCH(31,'كشف الحساب'!$N$4:$N$253,0),0))),"")</f>
        <v>هوز اصفر 3/4 طول 50 متر</v>
      </c>
      <c r="D35" s="66">
        <f>IFERROR(IF(IFERROR(MATCH(31,'كشف الحساب'!$N$4:$N$253,0),0)=0,"",INDEX('كشف الحساب'!$D$4:$D$253,IFERROR(MATCH(31,'كشف الحساب'!$N$4:$N$253,0),0))),"")</f>
        <v>11.5</v>
      </c>
      <c r="E35" s="67">
        <f>IFERROR(IF(IFERROR(MATCH(31,'كشف الحساب'!$N$4:$N$253,0),0)=0,"",INDEX('كشف الحساب'!$E$4:$E$253,IFERROR(MATCH(31,'كشف الحساب'!$N$4:$N$253,0),0))),"")</f>
        <v>0</v>
      </c>
      <c r="F35" s="64" t="str">
        <f>IFERROR(IF(IFERROR(MATCH(31,'كشف الحساب'!$N$4:$N$253,0),0)=0,"",INDEX('كشف الحساب'!$F$4:$F$253,IFERROR(MATCH(31,'كشف الحساب'!$N$4:$N$253,0),0))),"")</f>
        <v>نقداً</v>
      </c>
      <c r="G35" s="64" t="str">
        <f>IFERROR(IF(IFERROR(MATCH(31,'كشف الحساب'!$N$4:$N$253,0),0)=0,"",INDEX('كشف الحساب'!$G$4:$G$253,IFERROR(MATCH(31,'كشف الحساب'!$N$4:$N$253,0),0))),"")</f>
        <v>المحفظة</v>
      </c>
      <c r="H35" s="64" t="str">
        <f>IFERROR(IF(IFERROR(MATCH(31,'كشف الحساب'!$N$4:$N$253,0),0)=0,"",INDEX('كشف الحساب'!$H$4:$H$253,IFERROR(MATCH(31,'كشف الحساب'!$N$4:$N$253,0),0))),"")</f>
        <v>تم الدفع</v>
      </c>
      <c r="I35" s="64">
        <f>IFERROR(IF(IFERROR(MATCH(31,'كشف الحساب'!$N$4:$N$253,0),0)=0,"",INDEX('كشف الحساب'!$I$4:$I$253,IFERROR(MATCH(31,'كشف الحساب'!$N$4:$N$253,0),0))),"")</f>
        <v>0</v>
      </c>
      <c r="J35" s="68">
        <f>IFERROR(IF(IFERROR(MATCH(31,'كشف الحساب'!$N$4:$N$253,0),0)=0,"",INDEX('كشف الحساب'!$J$4:$J$253,IFERROR(MATCH(31,'كشف الحساب'!$N$4:$N$253,0),0))),"")</f>
        <v>117.69500000000005</v>
      </c>
      <c r="K35" s="64">
        <f>IFERROR(IF(IFERROR(MATCH(31,'كشف الحساب'!$N$4:$N$253,0),0)=0,"",INDEX('كشف الحساب'!$K$4:$K$253,IFERROR(MATCH(31,'كشف الحساب'!$N$4:$N$253,0),0))),"")</f>
        <v>0</v>
      </c>
    </row>
    <row r="36" spans="1:11" ht="15" customHeight="1" x14ac:dyDescent="0.25">
      <c r="A36" s="69">
        <f>IFERROR(IF(IFERROR(MATCH(32,'كشف الحساب'!$N$4:$N$253,0),0)=0,"",INDEX('كشف الحساب'!$A$4:$A$253,IFERROR(MATCH(32,'كشف الحساب'!$N$4:$N$253,0),0))),"")</f>
        <v>46254</v>
      </c>
      <c r="B36" s="70" t="str">
        <f>IFERROR(IF(IFERROR(MATCH(32,'كشف الحساب'!$N$4:$N$253,0),0)=0,"",INDEX('كشف الحساب'!$B$4:$B$253,IFERROR(MATCH(32,'كشف الحساب'!$N$4:$N$253,0),0))),"")</f>
        <v>Inv-125</v>
      </c>
      <c r="C36" s="71" t="str">
        <f>IFERROR(IF(IFERROR(MATCH(32,'كشف الحساب'!$N$4:$N$253,0),0)=0,"",INDEX('كشف الحساب'!$C$4:$C$253,IFERROR(MATCH(32,'كشف الحساب'!$N$4:$N$253,0),0))),"")</f>
        <v>متنوع - تم الدفع 26/8</v>
      </c>
      <c r="D36" s="72">
        <f>IFERROR(IF(IFERROR(MATCH(32,'كشف الحساب'!$N$4:$N$253,0),0)=0,"",INDEX('كشف الحساب'!$D$4:$D$253,IFERROR(MATCH(32,'كشف الحساب'!$N$4:$N$253,0),0))),"")</f>
        <v>0</v>
      </c>
      <c r="E36" s="73">
        <f>IFERROR(IF(IFERROR(MATCH(32,'كشف الحساب'!$N$4:$N$253,0),0)=0,"",INDEX('كشف الحساب'!$E$4:$E$253,IFERROR(MATCH(32,'كشف الحساب'!$N$4:$N$253,0),0))),"")</f>
        <v>59</v>
      </c>
      <c r="F36" s="70" t="str">
        <f>IFERROR(IF(IFERROR(MATCH(32,'كشف الحساب'!$N$4:$N$253,0),0)=0,"",INDEX('كشف الحساب'!$F$4:$F$253,IFERROR(MATCH(32,'كشف الحساب'!$N$4:$N$253,0),0))),"")</f>
        <v>نقداً</v>
      </c>
      <c r="G36" s="70">
        <f>IFERROR(IF(IFERROR(MATCH(32,'كشف الحساب'!$N$4:$N$253,0),0)=0,"",INDEX('كشف الحساب'!$G$4:$G$253,IFERROR(MATCH(32,'كشف الحساب'!$N$4:$N$253,0),0))),"")</f>
        <v>0</v>
      </c>
      <c r="H36" s="70" t="str">
        <f>IFERROR(IF(IFERROR(MATCH(32,'كشف الحساب'!$N$4:$N$253,0),0)=0,"",INDEX('كشف الحساب'!$H$4:$H$253,IFERROR(MATCH(32,'كشف الحساب'!$N$4:$N$253,0),0))),"")</f>
        <v>تم الدفع</v>
      </c>
      <c r="I36" s="70">
        <f>IFERROR(IF(IFERROR(MATCH(32,'كشف الحساب'!$N$4:$N$253,0),0)=0,"",INDEX('كشف الحساب'!$I$4:$I$253,IFERROR(MATCH(32,'كشف الحساب'!$N$4:$N$253,0),0))),"")</f>
        <v>0</v>
      </c>
      <c r="J36" s="74">
        <f>IFERROR(IF(IFERROR(MATCH(32,'كشف الحساب'!$N$4:$N$253,0),0)=0,"",INDEX('كشف الحساب'!$J$4:$J$253,IFERROR(MATCH(32,'كشف الحساب'!$N$4:$N$253,0),0))),"")</f>
        <v>176.69500000000005</v>
      </c>
      <c r="K36" s="70">
        <f>IFERROR(IF(IFERROR(MATCH(32,'كشف الحساب'!$N$4:$N$253,0),0)=0,"",INDEX('كشف الحساب'!$K$4:$K$253,IFERROR(MATCH(32,'كشف الحساب'!$N$4:$N$253,0),0))),"")</f>
        <v>0</v>
      </c>
    </row>
    <row r="37" spans="1:11" ht="15" customHeight="1" x14ac:dyDescent="0.25">
      <c r="A37" s="63"/>
      <c r="B37" s="64" t="str">
        <f>IFERROR(IF(IFERROR(MATCH(33,'كشف الحساب'!$N$4:$N$253,0),0)=0,"",INDEX('كشف الحساب'!$B$4:$B$253,IFERROR(MATCH(33,'كشف الحساب'!$N$4:$N$253,0),0))),"")</f>
        <v>Inv-126</v>
      </c>
      <c r="C37" s="65"/>
      <c r="D37" s="66">
        <f>IFERROR(IF(IFERROR(MATCH(33,'كشف الحساب'!$N$4:$N$253,0),0)=0,"",INDEX('كشف الحساب'!$D$4:$D$253,IFERROR(MATCH(33,'كشف الحساب'!$N$4:$N$253,0),0))),"")</f>
        <v>0</v>
      </c>
      <c r="E37"/>
      <c r="F37" s="64" t="str">
        <f>IFERROR(IF(IFERROR(MATCH(33,'كشف الحساب'!$N$4:$N$253,0),0)=0,"",INDEX('كشف الحساب'!$F$4:$F$253,IFERROR(MATCH(33,'كشف الحساب'!$N$4:$N$253,0),0))),"")</f>
        <v>نقداً</v>
      </c>
      <c r="G37" s="64">
        <f>IFERROR(IF(IFERROR(MATCH(33,'كشف الحساب'!$N$4:$N$253,0),0)=0,"",INDEX('كشف الحساب'!$G$4:$G$253,IFERROR(MATCH(33,'كشف الحساب'!$N$4:$N$253,0),0))),"")</f>
        <v>0</v>
      </c>
      <c r="H37" s="64" t="str">
        <f>IFERROR(IF(IFERROR(MATCH(33,'كشف الحساب'!$N$4:$N$253,0),0)=0,"",INDEX('كشف الحساب'!$H$4:$H$253,IFERROR(MATCH(33,'كشف الحساب'!$N$4:$N$253,0),0))),"")</f>
        <v>تم الدفع</v>
      </c>
      <c r="I37" s="64">
        <f>IFERROR(IF(IFERROR(MATCH(33,'كشف الحساب'!$N$4:$N$253,0),0)=0,"",INDEX('كشف الحساب'!$I$4:$I$253,IFERROR(MATCH(33,'كشف الحساب'!$N$4:$N$253,0),0))),"")</f>
        <v>0</v>
      </c>
      <c r="J37" s="68">
        <f>IFERROR(IF(IFERROR(MATCH(33,'كشف الحساب'!$N$4:$N$253,0),0)=0,"",INDEX('كشف الحساب'!$J$4:$J$253,IFERROR(MATCH(33,'كشف الحساب'!$N$4:$N$253,0),0))),"")</f>
        <v>576.69500000000005</v>
      </c>
      <c r="K37" s="64">
        <f>IFERROR(IF(IFERROR(MATCH(33,'كشف الحساب'!$N$4:$N$253,0),0)=0,"",INDEX('كشف الحساب'!$K$4:$K$253,IFERROR(MATCH(33,'كشف الحساب'!$N$4:$N$253,0),0))),"")</f>
        <v>0</v>
      </c>
    </row>
    <row r="38" spans="1:11" ht="15" customHeight="1" x14ac:dyDescent="0.25">
      <c r="A38" s="69">
        <f>IFERROR(IF(IFERROR(MATCH(34,'كشف الحساب'!$N$4:$N$253,0),0)=0,"",INDEX('كشف الحساب'!$A$4:$A$253,IFERROR(MATCH(34,'كشف الحساب'!$N$4:$N$253,0),0))),"")</f>
        <v>46263</v>
      </c>
      <c r="B38" s="70">
        <f>IFERROR(IF(IFERROR(MATCH(34,'كشف الحساب'!$N$4:$N$253,0),0)=0,"",INDEX('كشف الحساب'!$B$4:$B$253,IFERROR(MATCH(34,'كشف الحساب'!$N$4:$N$253,0),0))),"")</f>
        <v>0</v>
      </c>
      <c r="C38" s="71" t="str">
        <f>IFERROR(IF(IFERROR(MATCH(34,'كشف الحساب'!$N$4:$N$253,0),0)=0,"",INDEX('كشف الحساب'!$C$4:$C$253,IFERROR(MATCH(34,'كشف الحساب'!$N$4:$N$253,0),0))),"")</f>
        <v>صبار عدد 15 الحبه 1</v>
      </c>
      <c r="D38" s="72">
        <f>IFERROR(IF(IFERROR(MATCH(34,'كشف الحساب'!$N$4:$N$253,0),0)=0,"",INDEX('كشف الحساب'!$D$4:$D$253,IFERROR(MATCH(34,'كشف الحساب'!$N$4:$N$253,0),0))),"")</f>
        <v>15</v>
      </c>
      <c r="E38" s="73">
        <f>IFERROR(IF(IFERROR(MATCH(34,'كشف الحساب'!$N$4:$N$253,0),0)=0,"",INDEX('كشف الحساب'!$E$4:$E$253,IFERROR(MATCH(34,'كشف الحساب'!$N$4:$N$253,0),0))),"")</f>
        <v>0</v>
      </c>
      <c r="F38" s="70" t="str">
        <f>IFERROR(IF(IFERROR(MATCH(34,'كشف الحساب'!$N$4:$N$253,0),0)=0,"",INDEX('كشف الحساب'!$F$4:$F$253,IFERROR(MATCH(34,'كشف الحساب'!$N$4:$N$253,0),0))),"")</f>
        <v>نقداً</v>
      </c>
      <c r="G38" s="70" t="str">
        <f>IFERROR(IF(IFERROR(MATCH(34,'كشف الحساب'!$N$4:$N$253,0),0)=0,"",INDEX('كشف الحساب'!$G$4:$G$253,IFERROR(MATCH(34,'كشف الحساب'!$N$4:$N$253,0),0))),"")</f>
        <v>المحفظة</v>
      </c>
      <c r="H38" s="70" t="str">
        <f>IFERROR(IF(IFERROR(MATCH(34,'كشف الحساب'!$N$4:$N$253,0),0)=0,"",INDEX('كشف الحساب'!$H$4:$H$253,IFERROR(MATCH(34,'كشف الحساب'!$N$4:$N$253,0),0))),"")</f>
        <v>تم الدفع</v>
      </c>
      <c r="I38" s="70">
        <f>IFERROR(IF(IFERROR(MATCH(34,'كشف الحساب'!$N$4:$N$253,0),0)=0,"",INDEX('كشف الحساب'!$I$4:$I$253,IFERROR(MATCH(34,'كشف الحساب'!$N$4:$N$253,0),0))),"")</f>
        <v>0</v>
      </c>
      <c r="J38" s="74">
        <f>IFERROR(IF(IFERROR(MATCH(34,'كشف الحساب'!$N$4:$N$253,0),0)=0,"",INDEX('كشف الحساب'!$J$4:$J$253,IFERROR(MATCH(34,'كشف الحساب'!$N$4:$N$253,0),0))),"")</f>
        <v>561.69500000000005</v>
      </c>
      <c r="K38" s="70">
        <f>IFERROR(IF(IFERROR(MATCH(34,'كشف الحساب'!$N$4:$N$253,0),0)=0,"",INDEX('كشف الحساب'!$K$4:$K$253,IFERROR(MATCH(34,'كشف الحساب'!$N$4:$N$253,0),0))),"")</f>
        <v>0</v>
      </c>
    </row>
    <row r="39" spans="1:11" ht="15" customHeight="1" x14ac:dyDescent="0.25">
      <c r="A39" s="63">
        <f>IFERROR(IF(IFERROR(MATCH(35,'كشف الحساب'!$N$4:$N$253,0),0)=0,"",INDEX('كشف الحساب'!$A$4:$A$253,IFERROR(MATCH(35,'كشف الحساب'!$N$4:$N$253,0),0))),"")</f>
        <v>46263</v>
      </c>
      <c r="B39" s="64">
        <f>IFERROR(IF(IFERROR(MATCH(35,'كشف الحساب'!$N$4:$N$253,0),0)=0,"",INDEX('كشف الحساب'!$B$4:$B$253,IFERROR(MATCH(35,'كشف الحساب'!$N$4:$N$253,0),0))),"")</f>
        <v>0</v>
      </c>
      <c r="C39" s="65" t="str">
        <f>IFERROR(IF(IFERROR(MATCH(35,'كشف الحساب'!$N$4:$N$253,0),0)=0,"",INDEX('كشف الحساب'!$C$4:$C$253,IFERROR(MATCH(35,'كشف الحساب'!$N$4:$N$253,0),0))),"")</f>
        <v>زيتون عدد 2 الحبه 12</v>
      </c>
      <c r="D39" s="66">
        <f>IFERROR(IF(IFERROR(MATCH(35,'كشف الحساب'!$N$4:$N$253,0),0)=0,"",INDEX('كشف الحساب'!$D$4:$D$253,IFERROR(MATCH(35,'كشف الحساب'!$N$4:$N$253,0),0))),"")</f>
        <v>24</v>
      </c>
      <c r="E39" s="67">
        <f>IFERROR(IF(IFERROR(MATCH(35,'كشف الحساب'!$N$4:$N$253,0),0)=0,"",INDEX('كشف الحساب'!$E$4:$E$253,IFERROR(MATCH(35,'كشف الحساب'!$N$4:$N$253,0),0))),"")</f>
        <v>0</v>
      </c>
      <c r="F39" s="64" t="str">
        <f>IFERROR(IF(IFERROR(MATCH(35,'كشف الحساب'!$N$4:$N$253,0),0)=0,"",INDEX('كشف الحساب'!$F$4:$F$253,IFERROR(MATCH(35,'كشف الحساب'!$N$4:$N$253,0),0))),"")</f>
        <v>نقداً</v>
      </c>
      <c r="G39" s="64" t="str">
        <f>IFERROR(IF(IFERROR(MATCH(35,'كشف الحساب'!$N$4:$N$253,0),0)=0,"",INDEX('كشف الحساب'!$G$4:$G$253,IFERROR(MATCH(35,'كشف الحساب'!$N$4:$N$253,0),0))),"")</f>
        <v>المحفظة</v>
      </c>
      <c r="H39" s="64" t="str">
        <f>IFERROR(IF(IFERROR(MATCH(35,'كشف الحساب'!$N$4:$N$253,0),0)=0,"",INDEX('كشف الحساب'!$H$4:$H$253,IFERROR(MATCH(35,'كشف الحساب'!$N$4:$N$253,0),0))),"")</f>
        <v>تم الدفع</v>
      </c>
      <c r="I39" s="64">
        <f>IFERROR(IF(IFERROR(MATCH(35,'كشف الحساب'!$N$4:$N$253,0),0)=0,"",INDEX('كشف الحساب'!$I$4:$I$253,IFERROR(MATCH(35,'كشف الحساب'!$N$4:$N$253,0),0))),"")</f>
        <v>0</v>
      </c>
      <c r="J39" s="68">
        <f>IFERROR(IF(IFERROR(MATCH(35,'كشف الحساب'!$N$4:$N$253,0),0)=0,"",INDEX('كشف الحساب'!$J$4:$J$253,IFERROR(MATCH(35,'كشف الحساب'!$N$4:$N$253,0),0))),"")</f>
        <v>537.69500000000005</v>
      </c>
      <c r="K39" s="64">
        <f>IFERROR(IF(IFERROR(MATCH(35,'كشف الحساب'!$N$4:$N$253,0),0)=0,"",INDEX('كشف الحساب'!$K$4:$K$253,IFERROR(MATCH(35,'كشف الحساب'!$N$4:$N$253,0),0))),"")</f>
        <v>0</v>
      </c>
    </row>
    <row r="40" spans="1:11" ht="15" customHeight="1" x14ac:dyDescent="0.25">
      <c r="A40" s="69">
        <f>IFERROR(IF(IFERROR(MATCH(36,'كشف الحساب'!$N$4:$N$253,0),0)=0,"",INDEX('كشف الحساب'!$A$4:$A$253,IFERROR(MATCH(36,'كشف الحساب'!$N$4:$N$253,0),0))),"")</f>
        <v>46264</v>
      </c>
      <c r="B40" s="70" t="str">
        <f>IFERROR(IF(IFERROR(MATCH(36,'كشف الحساب'!$N$4:$N$253,0),0)=0,"",INDEX('كشف الحساب'!$B$4:$B$253,IFERROR(MATCH(36,'كشف الحساب'!$N$4:$N$253,0),0))),"")</f>
        <v>Inv-127</v>
      </c>
      <c r="C40" s="71" t="str">
        <f>IFERROR(IF(IFERROR(MATCH(36,'كشف الحساب'!$N$4:$N$253,0),0)=0,"",INDEX('كشف الحساب'!$C$4:$C$253,IFERROR(MATCH(36,'كشف الحساب'!$N$4:$N$253,0),0))),"")</f>
        <v>اناناس عدد 4 الواحده 4</v>
      </c>
      <c r="D40" s="72">
        <f>IFERROR(IF(IFERROR(MATCH(36,'كشف الحساب'!$N$4:$N$253,0),0)=0,"",INDEX('كشف الحساب'!$D$4:$D$253,IFERROR(MATCH(36,'كشف الحساب'!$N$4:$N$253,0),0))),"")</f>
        <v>0</v>
      </c>
      <c r="E40" s="73">
        <f>IFERROR(IF(IFERROR(MATCH(36,'كشف الحساب'!$N$4:$N$253,0),0)=0,"",INDEX('كشف الحساب'!$E$4:$E$253,IFERROR(MATCH(36,'كشف الحساب'!$N$4:$N$253,0),0))),"")</f>
        <v>16</v>
      </c>
      <c r="F40" s="70" t="str">
        <f>IFERROR(IF(IFERROR(MATCH(36,'كشف الحساب'!$N$4:$N$253,0),0)=0,"",INDEX('كشف الحساب'!$F$4:$F$253,IFERROR(MATCH(36,'كشف الحساب'!$N$4:$N$253,0),0))),"")</f>
        <v>نقداً</v>
      </c>
      <c r="G40" s="70">
        <f>IFERROR(IF(IFERROR(MATCH(36,'كشف الحساب'!$N$4:$N$253,0),0)=0,"",INDEX('كشف الحساب'!$G$4:$G$253,IFERROR(MATCH(36,'كشف الحساب'!$N$4:$N$253,0),0))),"")</f>
        <v>0</v>
      </c>
      <c r="H40" s="70" t="str">
        <f>IFERROR(IF(IFERROR(MATCH(36,'كشف الحساب'!$N$4:$N$253,0),0)=0,"",INDEX('كشف الحساب'!$H$4:$H$253,IFERROR(MATCH(36,'كشف الحساب'!$N$4:$N$253,0),0))),"")</f>
        <v>تم الدفع</v>
      </c>
      <c r="I40" s="70">
        <f>IFERROR(IF(IFERROR(MATCH(36,'كشف الحساب'!$N$4:$N$253,0),0)=0,"",INDEX('كشف الحساب'!$I$4:$I$253,IFERROR(MATCH(36,'كشف الحساب'!$N$4:$N$253,0),0))),"")</f>
        <v>0</v>
      </c>
      <c r="J40" s="74">
        <f>IFERROR(IF(IFERROR(MATCH(36,'كشف الحساب'!$N$4:$N$253,0),0)=0,"",INDEX('كشف الحساب'!$J$4:$J$253,IFERROR(MATCH(36,'كشف الحساب'!$N$4:$N$253,0),0))),"")</f>
        <v>553.69500000000005</v>
      </c>
      <c r="K40" s="70">
        <f>IFERROR(IF(IFERROR(MATCH(36,'كشف الحساب'!$N$4:$N$253,0),0)=0,"",INDEX('كشف الحساب'!$K$4:$K$253,IFERROR(MATCH(36,'كشف الحساب'!$N$4:$N$253,0),0))),"")</f>
        <v>0</v>
      </c>
    </row>
    <row r="41" spans="1:11" ht="15" customHeight="1" x14ac:dyDescent="0.25">
      <c r="A41" s="63">
        <f>IFERROR(IF(IFERROR(MATCH(37,'كشف الحساب'!$N$4:$N$253,0),0)=0,"",INDEX('كشف الحساب'!$A$4:$A$253,IFERROR(MATCH(37,'كشف الحساب'!$N$4:$N$253,0),0))),"")</f>
        <v>46264</v>
      </c>
      <c r="B41" s="64" t="str">
        <f>IFERROR(IF(IFERROR(MATCH(37,'كشف الحساب'!$N$4:$N$253,0),0)=0,"",INDEX('كشف الحساب'!$B$4:$B$253,IFERROR(MATCH(37,'كشف الحساب'!$N$4:$N$253,0),0))),"")</f>
        <v>Inv-128</v>
      </c>
      <c r="C41" s="65" t="str">
        <f>IFERROR(IF(IFERROR(MATCH(37,'كشف الحساب'!$N$4:$N$253,0),0)=0,"",INDEX('كشف الحساب'!$C$4:$C$253,IFERROR(MATCH(37,'كشف الحساب'!$N$4:$N$253,0),0))),"")</f>
        <v>ربل عدد 6 الحبه 2.500</v>
      </c>
      <c r="D41" s="66">
        <f>IFERROR(IF(IFERROR(MATCH(37,'كشف الحساب'!$N$4:$N$253,0),0)=0,"",INDEX('كشف الحساب'!$D$4:$D$253,IFERROR(MATCH(37,'كشف الحساب'!$N$4:$N$253,0),0))),"")</f>
        <v>0</v>
      </c>
      <c r="E41" s="67">
        <f>IFERROR(IF(IFERROR(MATCH(37,'كشف الحساب'!$N$4:$N$253,0),0)=0,"",INDEX('كشف الحساب'!$E$4:$E$253,IFERROR(MATCH(37,'كشف الحساب'!$N$4:$N$253,0),0))),"")</f>
        <v>15</v>
      </c>
      <c r="F41" s="64" t="str">
        <f>IFERROR(IF(IFERROR(MATCH(37,'كشف الحساب'!$N$4:$N$253,0),0)=0,"",INDEX('كشف الحساب'!$F$4:$F$253,IFERROR(MATCH(37,'كشف الحساب'!$N$4:$N$253,0),0))),"")</f>
        <v>نقداً</v>
      </c>
      <c r="G41" s="64">
        <f>IFERROR(IF(IFERROR(MATCH(37,'كشف الحساب'!$N$4:$N$253,0),0)=0,"",INDEX('كشف الحساب'!$G$4:$G$253,IFERROR(MATCH(37,'كشف الحساب'!$N$4:$N$253,0),0))),"")</f>
        <v>0</v>
      </c>
      <c r="H41" s="64" t="str">
        <f>IFERROR(IF(IFERROR(MATCH(37,'كشف الحساب'!$N$4:$N$253,0),0)=0,"",INDEX('كشف الحساب'!$H$4:$H$253,IFERROR(MATCH(37,'كشف الحساب'!$N$4:$N$253,0),0))),"")</f>
        <v>تم الدفع</v>
      </c>
      <c r="I41" s="64">
        <f>IFERROR(IF(IFERROR(MATCH(37,'كشف الحساب'!$N$4:$N$253,0),0)=0,"",INDEX('كشف الحساب'!$I$4:$I$253,IFERROR(MATCH(37,'كشف الحساب'!$N$4:$N$253,0),0))),"")</f>
        <v>0</v>
      </c>
      <c r="J41" s="68">
        <f>IFERROR(IF(IFERROR(MATCH(37,'كشف الحساب'!$N$4:$N$253,0),0)=0,"",INDEX('كشف الحساب'!$J$4:$J$253,IFERROR(MATCH(37,'كشف الحساب'!$N$4:$N$253,0),0))),"")</f>
        <v>568.69500000000005</v>
      </c>
      <c r="K41" s="64">
        <f>IFERROR(IF(IFERROR(MATCH(37,'كشف الحساب'!$N$4:$N$253,0),0)=0,"",INDEX('كشف الحساب'!$K$4:$K$253,IFERROR(MATCH(37,'كشف الحساب'!$N$4:$N$253,0),0))),"")</f>
        <v>0</v>
      </c>
    </row>
    <row r="42" spans="1:11" ht="15" customHeight="1" x14ac:dyDescent="0.25">
      <c r="A42" s="69">
        <f>IFERROR(IF(IFERROR(MATCH(38,'كشف الحساب'!$N$4:$N$253,0),0)=0,"",INDEX('كشف الحساب'!$A$4:$A$253,IFERROR(MATCH(38,'كشف الحساب'!$N$4:$N$253,0),0))),"")</f>
        <v>46264</v>
      </c>
      <c r="B42" s="70" t="str">
        <f>IFERROR(IF(IFERROR(MATCH(38,'كشف الحساب'!$N$4:$N$253,0),0)=0,"",INDEX('كشف الحساب'!$B$4:$B$253,IFERROR(MATCH(38,'كشف الحساب'!$N$4:$N$253,0),0))),"")</f>
        <v>Inv-129</v>
      </c>
      <c r="C42" s="71" t="str">
        <f>IFERROR(IF(IFERROR(MATCH(38,'كشف الحساب'!$N$4:$N$253,0),0)=0,"",INDEX('كشف الحساب'!$C$4:$C$253,IFERROR(MATCH(38,'كشف الحساب'!$N$4:$N$253,0),0))),"")</f>
        <v>متنوع عدد 17 الحبه 1</v>
      </c>
      <c r="D42" s="72">
        <f>IFERROR(IF(IFERROR(MATCH(38,'كشف الحساب'!$N$4:$N$253,0),0)=0,"",INDEX('كشف الحساب'!$D$4:$D$253,IFERROR(MATCH(38,'كشف الحساب'!$N$4:$N$253,0),0))),"")</f>
        <v>0</v>
      </c>
      <c r="E42" s="73">
        <f>IFERROR(IF(IFERROR(MATCH(38,'كشف الحساب'!$N$4:$N$253,0),0)=0,"",INDEX('كشف الحساب'!$E$4:$E$253,IFERROR(MATCH(38,'كشف الحساب'!$N$4:$N$253,0),0))),"")</f>
        <v>17</v>
      </c>
      <c r="F42" s="70" t="str">
        <f>IFERROR(IF(IFERROR(MATCH(38,'كشف الحساب'!$N$4:$N$253,0),0)=0,"",INDEX('كشف الحساب'!$F$4:$F$253,IFERROR(MATCH(38,'كشف الحساب'!$N$4:$N$253,0),0))),"")</f>
        <v>نقداً</v>
      </c>
      <c r="G42" s="70">
        <f>IFERROR(IF(IFERROR(MATCH(38,'كشف الحساب'!$N$4:$N$253,0),0)=0,"",INDEX('كشف الحساب'!$G$4:$G$253,IFERROR(MATCH(38,'كشف الحساب'!$N$4:$N$253,0),0))),"")</f>
        <v>0</v>
      </c>
      <c r="H42" s="70" t="str">
        <f>IFERROR(IF(IFERROR(MATCH(38,'كشف الحساب'!$N$4:$N$253,0),0)=0,"",INDEX('كشف الحساب'!$H$4:$H$253,IFERROR(MATCH(38,'كشف الحساب'!$N$4:$N$253,0),0))),"")</f>
        <v>تم الدفع</v>
      </c>
      <c r="I42" s="70">
        <f>IFERROR(IF(IFERROR(MATCH(38,'كشف الحساب'!$N$4:$N$253,0),0)=0,"",INDEX('كشف الحساب'!$I$4:$I$253,IFERROR(MATCH(38,'كشف الحساب'!$N$4:$N$253,0),0))),"")</f>
        <v>0</v>
      </c>
      <c r="J42" s="74">
        <f>IFERROR(IF(IFERROR(MATCH(38,'كشف الحساب'!$N$4:$N$253,0),0)=0,"",INDEX('كشف الحساب'!$J$4:$J$253,IFERROR(MATCH(38,'كشف الحساب'!$N$4:$N$253,0),0))),"")</f>
        <v>585.69500000000005</v>
      </c>
      <c r="K42" s="70">
        <f>IFERROR(IF(IFERROR(MATCH(38,'كشف الحساب'!$N$4:$N$253,0),0)=0,"",INDEX('كشف الحساب'!$K$4:$K$253,IFERROR(MATCH(38,'كشف الحساب'!$N$4:$N$253,0),0))),"")</f>
        <v>0</v>
      </c>
    </row>
    <row r="43" spans="1:11" ht="15" customHeight="1" x14ac:dyDescent="0.25">
      <c r="A43" s="63">
        <f>IFERROR(IF(IFERROR(MATCH(39,'كشف الحساب'!$N$4:$N$253,0),0)=0,"",INDEX('كشف الحساب'!$A$4:$A$253,IFERROR(MATCH(39,'كشف الحساب'!$N$4:$N$253,0),0))),"")</f>
        <v>46264</v>
      </c>
      <c r="B43" s="64" t="str">
        <f>IFERROR(IF(IFERROR(MATCH(39,'كشف الحساب'!$N$4:$N$253,0),0)=0,"",INDEX('كشف الحساب'!$B$4:$B$253,IFERROR(MATCH(39,'كشف الحساب'!$N$4:$N$253,0),0))),"")</f>
        <v>Inv-130</v>
      </c>
      <c r="C43" s="65" t="str">
        <f>IFERROR(IF(IFERROR(MATCH(39,'كشف الحساب'!$N$4:$N$253,0),0)=0,"",INDEX('كشف الحساب'!$C$4:$C$253,IFERROR(MATCH(39,'كشف الحساب'!$N$4:$N$253,0),0))),"")</f>
        <v>صبار عدد 13 الحبه 0.750</v>
      </c>
      <c r="D43" s="66">
        <f>IFERROR(IF(IFERROR(MATCH(39,'كشف الحساب'!$N$4:$N$253,0),0)=0,"",INDEX('كشف الحساب'!$D$4:$D$253,IFERROR(MATCH(39,'كشف الحساب'!$N$4:$N$253,0),0))),"")</f>
        <v>0</v>
      </c>
      <c r="E43" s="67">
        <f>IFERROR(IF(IFERROR(MATCH(39,'كشف الحساب'!$N$4:$N$253,0),0)=0,"",INDEX('كشف الحساب'!$E$4:$E$253,IFERROR(MATCH(39,'كشف الحساب'!$N$4:$N$253,0),0))),"")</f>
        <v>9.75</v>
      </c>
      <c r="F43" s="64" t="str">
        <f>IFERROR(IF(IFERROR(MATCH(39,'كشف الحساب'!$N$4:$N$253,0),0)=0,"",INDEX('كشف الحساب'!$F$4:$F$253,IFERROR(MATCH(39,'كشف الحساب'!$N$4:$N$253,0),0))),"")</f>
        <v>نقداً</v>
      </c>
      <c r="G43" s="64">
        <f>IFERROR(IF(IFERROR(MATCH(39,'كشف الحساب'!$N$4:$N$253,0),0)=0,"",INDEX('كشف الحساب'!$G$4:$G$253,IFERROR(MATCH(39,'كشف الحساب'!$N$4:$N$253,0),0))),"")</f>
        <v>0</v>
      </c>
      <c r="H43" s="64" t="str">
        <f>IFERROR(IF(IFERROR(MATCH(39,'كشف الحساب'!$N$4:$N$253,0),0)=0,"",INDEX('كشف الحساب'!$H$4:$H$253,IFERROR(MATCH(39,'كشف الحساب'!$N$4:$N$253,0),0))),"")</f>
        <v>تم الدفع</v>
      </c>
      <c r="I43" s="64">
        <f>IFERROR(IF(IFERROR(MATCH(39,'كشف الحساب'!$N$4:$N$253,0),0)=0,"",INDEX('كشف الحساب'!$I$4:$I$253,IFERROR(MATCH(39,'كشف الحساب'!$N$4:$N$253,0),0))),"")</f>
        <v>0</v>
      </c>
      <c r="J43" s="68">
        <f>IFERROR(IF(IFERROR(MATCH(39,'كشف الحساب'!$N$4:$N$253,0),0)=0,"",INDEX('كشف الحساب'!$J$4:$J$253,IFERROR(MATCH(39,'كشف الحساب'!$N$4:$N$253,0),0))),"")</f>
        <v>595.44500000000005</v>
      </c>
      <c r="K43" s="64">
        <f>IFERROR(IF(IFERROR(MATCH(39,'كشف الحساب'!$N$4:$N$253,0),0)=0,"",INDEX('كشف الحساب'!$K$4:$K$253,IFERROR(MATCH(39,'كشف الحساب'!$N$4:$N$253,0),0))),"")</f>
        <v>0</v>
      </c>
    </row>
    <row r="44" spans="1:11" ht="15" customHeight="1" x14ac:dyDescent="0.25">
      <c r="A44" s="69">
        <f>IFERROR(IF(IFERROR(MATCH(40,'كشف الحساب'!$N$4:$N$253,0),0)=0,"",INDEX('كشف الحساب'!$A$4:$A$253,IFERROR(MATCH(40,'كشف الحساب'!$N$4:$N$253,0),0))),"")</f>
        <v>46264</v>
      </c>
      <c r="B44" s="70" t="str">
        <f>IFERROR(IF(IFERROR(MATCH(40,'كشف الحساب'!$N$4:$N$253,0),0)=0,"",INDEX('كشف الحساب'!$B$4:$B$253,IFERROR(MATCH(40,'كشف الحساب'!$N$4:$N$253,0),0))),"")</f>
        <v>Inv-131</v>
      </c>
      <c r="C44" s="71" t="str">
        <f>IFERROR(IF(IFERROR(MATCH(40,'كشف الحساب'!$N$4:$N$253,0),0)=0,"",INDEX('كشف الحساب'!$C$4:$C$253,IFERROR(MATCH(40,'كشف الحساب'!$N$4:$N$253,0),0))),"")</f>
        <v>تين عدد5 الحبه 1.500</v>
      </c>
      <c r="D44" s="72">
        <f>IFERROR(IF(IFERROR(MATCH(40,'كشف الحساب'!$N$4:$N$253,0),0)=0,"",INDEX('كشف الحساب'!$D$4:$D$253,IFERROR(MATCH(40,'كشف الحساب'!$N$4:$N$253,0),0))),"")</f>
        <v>0</v>
      </c>
      <c r="E44" s="73">
        <f>IFERROR(IF(IFERROR(MATCH(40,'كشف الحساب'!$N$4:$N$253,0),0)=0,"",INDEX('كشف الحساب'!$E$4:$E$253,IFERROR(MATCH(40,'كشف الحساب'!$N$4:$N$253,0),0))),"")</f>
        <v>7.5</v>
      </c>
      <c r="F44" s="70" t="str">
        <f>IFERROR(IF(IFERROR(MATCH(40,'كشف الحساب'!$N$4:$N$253,0),0)=0,"",INDEX('كشف الحساب'!$F$4:$F$253,IFERROR(MATCH(40,'كشف الحساب'!$N$4:$N$253,0),0))),"")</f>
        <v>نقداً</v>
      </c>
      <c r="G44" s="70">
        <f>IFERROR(IF(IFERROR(MATCH(40,'كشف الحساب'!$N$4:$N$253,0),0)=0,"",INDEX('كشف الحساب'!$G$4:$G$253,IFERROR(MATCH(40,'كشف الحساب'!$N$4:$N$253,0),0))),"")</f>
        <v>0</v>
      </c>
      <c r="H44" s="70" t="str">
        <f>IFERROR(IF(IFERROR(MATCH(40,'كشف الحساب'!$N$4:$N$253,0),0)=0,"",INDEX('كشف الحساب'!$H$4:$H$253,IFERROR(MATCH(40,'كشف الحساب'!$N$4:$N$253,0),0))),"")</f>
        <v>تم الدفع</v>
      </c>
      <c r="I44" s="70">
        <f>IFERROR(IF(IFERROR(MATCH(40,'كشف الحساب'!$N$4:$N$253,0),0)=0,"",INDEX('كشف الحساب'!$I$4:$I$253,IFERROR(MATCH(40,'كشف الحساب'!$N$4:$N$253,0),0))),"")</f>
        <v>0</v>
      </c>
      <c r="J44" s="74">
        <f>IFERROR(IF(IFERROR(MATCH(40,'كشف الحساب'!$N$4:$N$253,0),0)=0,"",INDEX('كشف الحساب'!$J$4:$J$253,IFERROR(MATCH(40,'كشف الحساب'!$N$4:$N$253,0),0))),"")</f>
        <v>602.94500000000005</v>
      </c>
      <c r="K44" s="70">
        <f>IFERROR(IF(IFERROR(MATCH(40,'كشف الحساب'!$N$4:$N$253,0),0)=0,"",INDEX('كشف الحساب'!$K$4:$K$253,IFERROR(MATCH(40,'كشف الحساب'!$N$4:$N$253,0),0))),"")</f>
        <v>0</v>
      </c>
    </row>
    <row r="45" spans="1:11" ht="15" customHeight="1" x14ac:dyDescent="0.25">
      <c r="A45" s="63">
        <f>IFERROR(IF(IFERROR(MATCH(41,'كشف الحساب'!$N$4:$N$253,0),0)=0,"",INDEX('كشف الحساب'!$A$4:$A$253,IFERROR(MATCH(41,'كشف الحساب'!$N$4:$N$253,0),0))),"")</f>
        <v>46264</v>
      </c>
      <c r="B45" s="64">
        <f>IFERROR(IF(IFERROR(MATCH(41,'كشف الحساب'!$N$4:$N$253,0),0)=0,"",INDEX('كشف الحساب'!$B$4:$B$253,IFERROR(MATCH(41,'كشف الحساب'!$N$4:$N$253,0),0))),"")</f>
        <v>0</v>
      </c>
      <c r="C45" s="65" t="str">
        <f>IFERROR(IF(IFERROR(MATCH(41,'كشف الحساب'!$N$4:$N$253,0),0)=0,"",INDEX('كشف الحساب'!$C$4:$C$253,IFERROR(MATCH(41,'كشف الحساب'!$N$4:$N$253,0),0))),"")</f>
        <v>أقامه نزمول 3 سنوات</v>
      </c>
      <c r="D45" s="66">
        <f>IFERROR(IF(IFERROR(MATCH(41,'كشف الحساب'!$N$4:$N$253,0),0)=0,"",INDEX('كشف الحساب'!$D$4:$D$253,IFERROR(MATCH(41,'كشف الحساب'!$N$4:$N$253,0),0))),"")</f>
        <v>35</v>
      </c>
      <c r="E45" s="67">
        <f>IFERROR(IF(IFERROR(MATCH(41,'كشف الحساب'!$N$4:$N$253,0),0)=0,"",INDEX('كشف الحساب'!$E$4:$E$253,IFERROR(MATCH(41,'كشف الحساب'!$N$4:$N$253,0),0))),"")</f>
        <v>0</v>
      </c>
      <c r="F45" s="64" t="str">
        <f>IFERROR(IF(IFERROR(MATCH(41,'كشف الحساب'!$N$4:$N$253,0),0)=0,"",INDEX('كشف الحساب'!$F$4:$F$253,IFERROR(MATCH(41,'كشف الحساب'!$N$4:$N$253,0),0))),"")</f>
        <v>نقداً</v>
      </c>
      <c r="G45" s="64" t="str">
        <f>IFERROR(IF(IFERROR(MATCH(41,'كشف الحساب'!$N$4:$N$253,0),0)=0,"",INDEX('كشف الحساب'!$G$4:$G$253,IFERROR(MATCH(41,'كشف الحساب'!$N$4:$N$253,0),0))),"")</f>
        <v>المحفظة</v>
      </c>
      <c r="H45" s="64" t="str">
        <f>IFERROR(IF(IFERROR(MATCH(41,'كشف الحساب'!$N$4:$N$253,0),0)=0,"",INDEX('كشف الحساب'!$H$4:$H$253,IFERROR(MATCH(41,'كشف الحساب'!$N$4:$N$253,0),0))),"")</f>
        <v>تم الدفع</v>
      </c>
      <c r="I45" s="64">
        <f>IFERROR(IF(IFERROR(MATCH(41,'كشف الحساب'!$N$4:$N$253,0),0)=0,"",INDEX('كشف الحساب'!$I$4:$I$253,IFERROR(MATCH(41,'كشف الحساب'!$N$4:$N$253,0),0))),"")</f>
        <v>0</v>
      </c>
      <c r="J45" s="68">
        <f>IFERROR(IF(IFERROR(MATCH(41,'كشف الحساب'!$N$4:$N$253,0),0)=0,"",INDEX('كشف الحساب'!$J$4:$J$253,IFERROR(MATCH(41,'كشف الحساب'!$N$4:$N$253,0),0))),"")</f>
        <v>567.94500000000005</v>
      </c>
      <c r="K45" s="64">
        <f>IFERROR(IF(IFERROR(MATCH(41,'كشف الحساب'!$N$4:$N$253,0),0)=0,"",INDEX('كشف الحساب'!$K$4:$K$253,IFERROR(MATCH(41,'كشف الحساب'!$N$4:$N$253,0),0))),"")</f>
        <v>0</v>
      </c>
    </row>
    <row r="46" spans="1:11" ht="15" customHeight="1" x14ac:dyDescent="0.25">
      <c r="A46" s="69">
        <f>IFERROR(IF(IFERROR(MATCH(42,'كشف الحساب'!$N$4:$N$253,0),0)=0,"",INDEX('كشف الحساب'!$A$4:$A$253,IFERROR(MATCH(42,'كشف الحساب'!$N$4:$N$253,0),0))),"")</f>
        <v>46265</v>
      </c>
      <c r="B46" s="70">
        <f>IFERROR(IF(IFERROR(MATCH(42,'كشف الحساب'!$N$4:$N$253,0),0)=0,"",INDEX('كشف الحساب'!$B$4:$B$253,IFERROR(MATCH(42,'كشف الحساب'!$N$4:$N$253,0),0))),"")</f>
        <v>0</v>
      </c>
      <c r="C46" s="71" t="str">
        <f>IFERROR(IF(IFERROR(MATCH(42,'كشف الحساب'!$N$4:$N$253,0),0)=0,"",INDEX('كشف الحساب'!$C$4:$C$253,IFERROR(MATCH(42,'كشف الحساب'!$N$4:$N$253,0),0))),"")</f>
        <v>رواتب + كهرباء وماء</v>
      </c>
      <c r="D46" s="72">
        <f>IFERROR(IF(IFERROR(MATCH(42,'كشف الحساب'!$N$4:$N$253,0),0)=0,"",INDEX('كشف الحساب'!$D$4:$D$253,IFERROR(MATCH(42,'كشف الحساب'!$N$4:$N$253,0),0))),"")</f>
        <v>470</v>
      </c>
      <c r="E46" s="73">
        <f>IFERROR(IF(IFERROR(MATCH(42,'كشف الحساب'!$N$4:$N$253,0),0)=0,"",INDEX('كشف الحساب'!$E$4:$E$253,IFERROR(MATCH(42,'كشف الحساب'!$N$4:$N$253,0),0))),"")</f>
        <v>0</v>
      </c>
      <c r="F46" s="70" t="str">
        <f>IFERROR(IF(IFERROR(MATCH(42,'كشف الحساب'!$N$4:$N$253,0),0)=0,"",INDEX('كشف الحساب'!$F$4:$F$253,IFERROR(MATCH(42,'كشف الحساب'!$N$4:$N$253,0),0))),"")</f>
        <v>نقداً</v>
      </c>
      <c r="G46" s="70" t="str">
        <f>IFERROR(IF(IFERROR(MATCH(42,'كشف الحساب'!$N$4:$N$253,0),0)=0,"",INDEX('كشف الحساب'!$G$4:$G$253,IFERROR(MATCH(42,'كشف الحساب'!$N$4:$N$253,0),0))),"")</f>
        <v>المحفظة</v>
      </c>
      <c r="H46" s="70" t="str">
        <f>IFERROR(IF(IFERROR(MATCH(42,'كشف الحساب'!$N$4:$N$253,0),0)=0,"",INDEX('كشف الحساب'!$H$4:$H$253,IFERROR(MATCH(42,'كشف الحساب'!$N$4:$N$253,0),0))),"")</f>
        <v>تم الدفع</v>
      </c>
      <c r="I46" s="70">
        <f>IFERROR(IF(IFERROR(MATCH(42,'كشف الحساب'!$N$4:$N$253,0),0)=0,"",INDEX('كشف الحساب'!$I$4:$I$253,IFERROR(MATCH(42,'كشف الحساب'!$N$4:$N$253,0),0))),"")</f>
        <v>0</v>
      </c>
      <c r="J46" s="74">
        <f>IFERROR(IF(IFERROR(MATCH(42,'كشف الحساب'!$N$4:$N$253,0),0)=0,"",INDEX('كشف الحساب'!$J$4:$J$253,IFERROR(MATCH(42,'كشف الحساب'!$N$4:$N$253,0),0))),"")</f>
        <v>97.94500000000005</v>
      </c>
      <c r="K46" s="70">
        <f>IFERROR(IF(IFERROR(MATCH(42,'كشف الحساب'!$N$4:$N$253,0),0)=0,"",INDEX('كشف الحساب'!$K$4:$K$253,IFERROR(MATCH(42,'كشف الحساب'!$N$4:$N$253,0),0))),"")</f>
        <v>0</v>
      </c>
    </row>
    <row r="47" spans="1:11" ht="15" customHeight="1" x14ac:dyDescent="0.25">
      <c r="A47" s="63">
        <f>IFERROR(IF(IFERROR(MATCH(43,'كشف الحساب'!$N$4:$N$253,0),0)=0,"",INDEX('كشف الحساب'!$A$4:$A$253,IFERROR(MATCH(43,'كشف الحساب'!$N$4:$N$253,0),0))),"")</f>
        <v>46265</v>
      </c>
      <c r="B47" s="64">
        <f>IFERROR(IF(IFERROR(MATCH(43,'كشف الحساب'!$N$4:$N$253,0),0)=0,"",INDEX('كشف الحساب'!$B$4:$B$253,IFERROR(MATCH(43,'كشف الحساب'!$N$4:$N$253,0),0))),"")</f>
        <v>0</v>
      </c>
      <c r="C47" s="65" t="str">
        <f>IFERROR(IF(IFERROR(MATCH(43,'كشف الحساب'!$N$4:$N$253,0),0)=0,"",INDEX('كشف الحساب'!$C$4:$C$253,IFERROR(MATCH(43,'كشف الحساب'!$N$4:$N$253,0),0))),"")</f>
        <v>نصف قيمه فلتر المالج</v>
      </c>
      <c r="D47" s="66">
        <f>IFERROR(IF(IFERROR(MATCH(43,'كشف الحساب'!$N$4:$N$253,0),0)=0,"",INDEX('كشف الحساب'!$D$4:$D$253,IFERROR(MATCH(43,'كشف الحساب'!$N$4:$N$253,0),0))),"")</f>
        <v>62.5</v>
      </c>
      <c r="E47" s="67">
        <f>IFERROR(IF(IFERROR(MATCH(43,'كشف الحساب'!$N$4:$N$253,0),0)=0,"",INDEX('كشف الحساب'!$E$4:$E$253,IFERROR(MATCH(43,'كشف الحساب'!$N$4:$N$253,0),0))),"")</f>
        <v>0</v>
      </c>
      <c r="F47" s="64">
        <f>IFERROR(IF(IFERROR(MATCH(43,'كشف الحساب'!$N$4:$N$253,0),0)=0,"",INDEX('كشف الحساب'!$F$4:$F$253,IFERROR(MATCH(43,'كشف الحساب'!$N$4:$N$253,0),0))),"")</f>
        <v>0</v>
      </c>
      <c r="G47" s="64" t="str">
        <f>IFERROR(IF(IFERROR(MATCH(43,'كشف الحساب'!$N$4:$N$253,0),0)=0,"",INDEX('كشف الحساب'!$G$4:$G$253,IFERROR(MATCH(43,'كشف الحساب'!$N$4:$N$253,0),0))),"")</f>
        <v>المحفظة</v>
      </c>
      <c r="H47" s="64" t="str">
        <f>IFERROR(IF(IFERROR(MATCH(43,'كشف الحساب'!$N$4:$N$253,0),0)=0,"",INDEX('كشف الحساب'!$H$4:$H$253,IFERROR(MATCH(43,'كشف الحساب'!$N$4:$N$253,0),0))),"")</f>
        <v>تم الدفع</v>
      </c>
      <c r="I47" s="64">
        <f>IFERROR(IF(IFERROR(MATCH(43,'كشف الحساب'!$N$4:$N$253,0),0)=0,"",INDEX('كشف الحساب'!$I$4:$I$253,IFERROR(MATCH(43,'كشف الحساب'!$N$4:$N$253,0),0))),"")</f>
        <v>0</v>
      </c>
      <c r="J47" s="68">
        <f>IFERROR(IF(IFERROR(MATCH(43,'كشف الحساب'!$N$4:$N$253,0),0)=0,"",INDEX('كشف الحساب'!$J$4:$J$253,IFERROR(MATCH(43,'كشف الحساب'!$N$4:$N$253,0),0))),"")</f>
        <v>35.44500000000005</v>
      </c>
      <c r="K47" s="64">
        <f>IFERROR(IF(IFERROR(MATCH(43,'كشف الحساب'!$N$4:$N$253,0),0)=0,"",INDEX('كشف الحساب'!$K$4:$K$253,IFERROR(MATCH(43,'كشف الحساب'!$N$4:$N$253,0),0))),"")</f>
        <v>0</v>
      </c>
    </row>
    <row r="48" spans="1:11" ht="15" customHeight="1" x14ac:dyDescent="0.25">
      <c r="A48" s="69">
        <f>IFERROR(IF(IFERROR(MATCH(44,'كشف الحساب'!$N$4:$N$253,0),0)=0,"",INDEX('كشف الحساب'!$A$4:$A$253,IFERROR(MATCH(44,'كشف الحساب'!$N$4:$N$253,0),0))),"")</f>
        <v>46265</v>
      </c>
      <c r="B48" s="70" t="str">
        <f>IFERROR(IF(IFERROR(MATCH(44,'كشف الحساب'!$N$4:$N$253,0),0)=0,"",INDEX('كشف الحساب'!$B$4:$B$253,IFERROR(MATCH(44,'كشف الحساب'!$N$4:$N$253,0),0))),"")</f>
        <v>Inv-132</v>
      </c>
      <c r="C48" s="71" t="str">
        <f>IFERROR(IF(IFERROR(MATCH(44,'كشف الحساب'!$N$4:$N$253,0),0)=0,"",INDEX('كشف الحساب'!$C$4:$C$253,IFERROR(MATCH(44,'كشف الحساب'!$N$4:$N$253,0),0))),"")</f>
        <v>ودليه عدد 2 الحبه 1</v>
      </c>
      <c r="D48" s="72">
        <f>IFERROR(IF(IFERROR(MATCH(44,'كشف الحساب'!$N$4:$N$253,0),0)=0,"",INDEX('كشف الحساب'!$D$4:$D$253,IFERROR(MATCH(44,'كشف الحساب'!$N$4:$N$253,0),0))),"")</f>
        <v>0</v>
      </c>
      <c r="E48" s="73">
        <f>IFERROR(IF(IFERROR(MATCH(44,'كشف الحساب'!$N$4:$N$253,0),0)=0,"",INDEX('كشف الحساب'!$E$4:$E$253,IFERROR(MATCH(44,'كشف الحساب'!$N$4:$N$253,0),0))),"")</f>
        <v>2</v>
      </c>
      <c r="F48" s="70" t="str">
        <f>IFERROR(IF(IFERROR(MATCH(44,'كشف الحساب'!$N$4:$N$253,0),0)=0,"",INDEX('كشف الحساب'!$F$4:$F$253,IFERROR(MATCH(44,'كشف الحساب'!$N$4:$N$253,0),0))),"")</f>
        <v>أون لاين</v>
      </c>
      <c r="G48" s="70">
        <f>IFERROR(IF(IFERROR(MATCH(44,'كشف الحساب'!$N$4:$N$253,0),0)=0,"",INDEX('كشف الحساب'!$G$4:$G$253,IFERROR(MATCH(44,'كشف الحساب'!$N$4:$N$253,0),0))),"")</f>
        <v>0</v>
      </c>
      <c r="H48" s="70" t="str">
        <f>IFERROR(IF(IFERROR(MATCH(44,'كشف الحساب'!$N$4:$N$253,0),0)=0,"",INDEX('كشف الحساب'!$H$4:$H$253,IFERROR(MATCH(44,'كشف الحساب'!$N$4:$N$253,0),0))),"")</f>
        <v>تم الدفع</v>
      </c>
      <c r="I48" s="70">
        <f>IFERROR(IF(IFERROR(MATCH(44,'كشف الحساب'!$N$4:$N$253,0),0)=0,"",INDEX('كشف الحساب'!$I$4:$I$253,IFERROR(MATCH(44,'كشف الحساب'!$N$4:$N$253,0),0))),"")</f>
        <v>0</v>
      </c>
      <c r="J48" s="74">
        <f>IFERROR(IF(IFERROR(MATCH(44,'كشف الحساب'!$N$4:$N$253,0),0)=0,"",INDEX('كشف الحساب'!$J$4:$J$253,IFERROR(MATCH(44,'كشف الحساب'!$N$4:$N$253,0),0))),"")</f>
        <v>37.44500000000005</v>
      </c>
      <c r="K48" s="70">
        <f>IFERROR(IF(IFERROR(MATCH(44,'كشف الحساب'!$N$4:$N$253,0),0)=0,"",INDEX('كشف الحساب'!$K$4:$K$253,IFERROR(MATCH(44,'كشف الحساب'!$N$4:$N$253,0),0))),"")</f>
        <v>0</v>
      </c>
    </row>
    <row r="49" spans="1:11" ht="15" customHeight="1" x14ac:dyDescent="0.25">
      <c r="A49" s="63" t="str">
        <f>IFERROR(IF(IFERROR(MATCH(45,'كشف الحساب'!$N$4:$N$253,0),0)=0,"",INDEX('كشف الحساب'!$A$4:$A$253,IFERROR(MATCH(45,'كشف الحساب'!$N$4:$N$253,0),0))),"")</f>
        <v/>
      </c>
      <c r="B49" s="64" t="str">
        <f>IFERROR(IF(IFERROR(MATCH(45,'كشف الحساب'!$N$4:$N$253,0),0)=0,"",INDEX('كشف الحساب'!$B$4:$B$253,IFERROR(MATCH(45,'كشف الحساب'!$N$4:$N$253,0),0))),"")</f>
        <v/>
      </c>
      <c r="C49" s="65" t="str">
        <f>IFERROR(IF(IFERROR(MATCH(45,'كشف الحساب'!$N$4:$N$253,0),0)=0,"",INDEX('كشف الحساب'!$C$4:$C$253,IFERROR(MATCH(45,'كشف الحساب'!$N$4:$N$253,0),0))),"")</f>
        <v/>
      </c>
      <c r="D49" s="66" t="str">
        <f>IFERROR(IF(IFERROR(MATCH(45,'كشف الحساب'!$N$4:$N$253,0),0)=0,"",INDEX('كشف الحساب'!$D$4:$D$253,IFERROR(MATCH(45,'كشف الحساب'!$N$4:$N$253,0),0))),"")</f>
        <v/>
      </c>
      <c r="E49" s="67" t="str">
        <f>IFERROR(IF(IFERROR(MATCH(45,'كشف الحساب'!$N$4:$N$253,0),0)=0,"",INDEX('كشف الحساب'!$E$4:$E$253,IFERROR(MATCH(45,'كشف الحساب'!$N$4:$N$253,0),0))),"")</f>
        <v/>
      </c>
      <c r="F49" s="64" t="str">
        <f>IFERROR(IF(IFERROR(MATCH(45,'كشف الحساب'!$N$4:$N$253,0),0)=0,"",INDEX('كشف الحساب'!$F$4:$F$253,IFERROR(MATCH(45,'كشف الحساب'!$N$4:$N$253,0),0))),"")</f>
        <v/>
      </c>
      <c r="G49" s="64" t="str">
        <f>IFERROR(IF(IFERROR(MATCH(45,'كشف الحساب'!$N$4:$N$253,0),0)=0,"",INDEX('كشف الحساب'!$G$4:$G$253,IFERROR(MATCH(45,'كشف الحساب'!$N$4:$N$253,0),0))),"")</f>
        <v/>
      </c>
      <c r="H49" s="64" t="str">
        <f>IFERROR(IF(IFERROR(MATCH(45,'كشف الحساب'!$N$4:$N$253,0),0)=0,"",INDEX('كشف الحساب'!$H$4:$H$253,IFERROR(MATCH(45,'كشف الحساب'!$N$4:$N$253,0),0))),"")</f>
        <v/>
      </c>
      <c r="I49" s="64" t="str">
        <f>IFERROR(IF(IFERROR(MATCH(45,'كشف الحساب'!$N$4:$N$253,0),0)=0,"",INDEX('كشف الحساب'!$I$4:$I$253,IFERROR(MATCH(45,'كشف الحساب'!$N$4:$N$253,0),0))),"")</f>
        <v/>
      </c>
      <c r="J49" s="68" t="str">
        <f>IFERROR(IF(IFERROR(MATCH(45,'كشف الحساب'!$N$4:$N$253,0),0)=0,"",INDEX('كشف الحساب'!$J$4:$J$253,IFERROR(MATCH(45,'كشف الحساب'!$N$4:$N$253,0),0))),"")</f>
        <v/>
      </c>
      <c r="K49" s="64" t="str">
        <f>IFERROR(IF(IFERROR(MATCH(45,'كشف الحساب'!$N$4:$N$253,0),0)=0,"",INDEX('كشف الحساب'!$K$4:$K$253,IFERROR(MATCH(45,'كشف الحساب'!$N$4:$N$253,0),0))),"")</f>
        <v/>
      </c>
    </row>
    <row r="50" spans="1:11" ht="15" customHeight="1" x14ac:dyDescent="0.25">
      <c r="A50" s="69" t="str">
        <f>IFERROR(IF(IFERROR(MATCH(46,'كشف الحساب'!$N$4:$N$253,0),0)=0,"",INDEX('كشف الحساب'!$A$4:$A$253,IFERROR(MATCH(46,'كشف الحساب'!$N$4:$N$253,0),0))),"")</f>
        <v/>
      </c>
      <c r="B50" s="70" t="str">
        <f>IFERROR(IF(IFERROR(MATCH(46,'كشف الحساب'!$N$4:$N$253,0),0)=0,"",INDEX('كشف الحساب'!$B$4:$B$253,IFERROR(MATCH(46,'كشف الحساب'!$N$4:$N$253,0),0))),"")</f>
        <v/>
      </c>
      <c r="C50" s="71" t="str">
        <f>IFERROR(IF(IFERROR(MATCH(46,'كشف الحساب'!$N$4:$N$253,0),0)=0,"",INDEX('كشف الحساب'!$C$4:$C$253,IFERROR(MATCH(46,'كشف الحساب'!$N$4:$N$253,0),0))),"")</f>
        <v/>
      </c>
      <c r="D50" s="72" t="str">
        <f>IFERROR(IF(IFERROR(MATCH(46,'كشف الحساب'!$N$4:$N$253,0),0)=0,"",INDEX('كشف الحساب'!$D$4:$D$253,IFERROR(MATCH(46,'كشف الحساب'!$N$4:$N$253,0),0))),"")</f>
        <v/>
      </c>
      <c r="E50" s="73" t="str">
        <f>IFERROR(IF(IFERROR(MATCH(46,'كشف الحساب'!$N$4:$N$253,0),0)=0,"",INDEX('كشف الحساب'!$E$4:$E$253,IFERROR(MATCH(46,'كشف الحساب'!$N$4:$N$253,0),0))),"")</f>
        <v/>
      </c>
      <c r="F50" s="70" t="str">
        <f>IFERROR(IF(IFERROR(MATCH(46,'كشف الحساب'!$N$4:$N$253,0),0)=0,"",INDEX('كشف الحساب'!$F$4:$F$253,IFERROR(MATCH(46,'كشف الحساب'!$N$4:$N$253,0),0))),"")</f>
        <v/>
      </c>
      <c r="G50" s="70" t="str">
        <f>IFERROR(IF(IFERROR(MATCH(46,'كشف الحساب'!$N$4:$N$253,0),0)=0,"",INDEX('كشف الحساب'!$G$4:$G$253,IFERROR(MATCH(46,'كشف الحساب'!$N$4:$N$253,0),0))),"")</f>
        <v/>
      </c>
      <c r="H50" s="70" t="str">
        <f>IFERROR(IF(IFERROR(MATCH(46,'كشف الحساب'!$N$4:$N$253,0),0)=0,"",INDEX('كشف الحساب'!$H$4:$H$253,IFERROR(MATCH(46,'كشف الحساب'!$N$4:$N$253,0),0))),"")</f>
        <v/>
      </c>
      <c r="I50" s="70" t="str">
        <f>IFERROR(IF(IFERROR(MATCH(46,'كشف الحساب'!$N$4:$N$253,0),0)=0,"",INDEX('كشف الحساب'!$I$4:$I$253,IFERROR(MATCH(46,'كشف الحساب'!$N$4:$N$253,0),0))),"")</f>
        <v/>
      </c>
      <c r="J50" s="74" t="str">
        <f>IFERROR(IF(IFERROR(MATCH(46,'كشف الحساب'!$N$4:$N$253,0),0)=0,"",INDEX('كشف الحساب'!$J$4:$J$253,IFERROR(MATCH(46,'كشف الحساب'!$N$4:$N$253,0),0))),"")</f>
        <v/>
      </c>
      <c r="K50" s="70" t="str">
        <f>IFERROR(IF(IFERROR(MATCH(46,'كشف الحساب'!$N$4:$N$253,0),0)=0,"",INDEX('كشف الحساب'!$K$4:$K$253,IFERROR(MATCH(46,'كشف الحساب'!$N$4:$N$253,0),0))),"")</f>
        <v/>
      </c>
    </row>
    <row r="51" spans="1:11" ht="15" customHeight="1" x14ac:dyDescent="0.25">
      <c r="A51" s="63" t="str">
        <f>IFERROR(IF(IFERROR(MATCH(47,'كشف الحساب'!$N$4:$N$253,0),0)=0,"",INDEX('كشف الحساب'!$A$4:$A$253,IFERROR(MATCH(47,'كشف الحساب'!$N$4:$N$253,0),0))),"")</f>
        <v/>
      </c>
      <c r="B51" s="64" t="str">
        <f>IFERROR(IF(IFERROR(MATCH(47,'كشف الحساب'!$N$4:$N$253,0),0)=0,"",INDEX('كشف الحساب'!$B$4:$B$253,IFERROR(MATCH(47,'كشف الحساب'!$N$4:$N$253,0),0))),"")</f>
        <v/>
      </c>
      <c r="C51" s="65" t="str">
        <f>IFERROR(IF(IFERROR(MATCH(47,'كشف الحساب'!$N$4:$N$253,0),0)=0,"",INDEX('كشف الحساب'!$C$4:$C$253,IFERROR(MATCH(47,'كشف الحساب'!$N$4:$N$253,0),0))),"")</f>
        <v/>
      </c>
      <c r="D51" s="66" t="str">
        <f>IFERROR(IF(IFERROR(MATCH(47,'كشف الحساب'!$N$4:$N$253,0),0)=0,"",INDEX('كشف الحساب'!$D$4:$D$253,IFERROR(MATCH(47,'كشف الحساب'!$N$4:$N$253,0),0))),"")</f>
        <v/>
      </c>
      <c r="E51" s="67" t="str">
        <f>IFERROR(IF(IFERROR(MATCH(47,'كشف الحساب'!$N$4:$N$253,0),0)=0,"",INDEX('كشف الحساب'!$E$4:$E$253,IFERROR(MATCH(47,'كشف الحساب'!$N$4:$N$253,0),0))),"")</f>
        <v/>
      </c>
      <c r="F51" s="64" t="str">
        <f>IFERROR(IF(IFERROR(MATCH(47,'كشف الحساب'!$N$4:$N$253,0),0)=0,"",INDEX('كشف الحساب'!$F$4:$F$253,IFERROR(MATCH(47,'كشف الحساب'!$N$4:$N$253,0),0))),"")</f>
        <v/>
      </c>
      <c r="G51" s="64" t="str">
        <f>IFERROR(IF(IFERROR(MATCH(47,'كشف الحساب'!$N$4:$N$253,0),0)=0,"",INDEX('كشف الحساب'!$G$4:$G$253,IFERROR(MATCH(47,'كشف الحساب'!$N$4:$N$253,0),0))),"")</f>
        <v/>
      </c>
      <c r="H51" s="64" t="str">
        <f>IFERROR(IF(IFERROR(MATCH(47,'كشف الحساب'!$N$4:$N$253,0),0)=0,"",INDEX('كشف الحساب'!$H$4:$H$253,IFERROR(MATCH(47,'كشف الحساب'!$N$4:$N$253,0),0))),"")</f>
        <v/>
      </c>
      <c r="I51" s="64" t="str">
        <f>IFERROR(IF(IFERROR(MATCH(47,'كشف الحساب'!$N$4:$N$253,0),0)=0,"",INDEX('كشف الحساب'!$I$4:$I$253,IFERROR(MATCH(47,'كشف الحساب'!$N$4:$N$253,0),0))),"")</f>
        <v/>
      </c>
      <c r="J51" s="68" t="str">
        <f>IFERROR(IF(IFERROR(MATCH(47,'كشف الحساب'!$N$4:$N$253,0),0)=0,"",INDEX('كشف الحساب'!$J$4:$J$253,IFERROR(MATCH(47,'كشف الحساب'!$N$4:$N$253,0),0))),"")</f>
        <v/>
      </c>
      <c r="K51" s="64" t="str">
        <f>IFERROR(IF(IFERROR(MATCH(47,'كشف الحساب'!$N$4:$N$253,0),0)=0,"",INDEX('كشف الحساب'!$K$4:$K$253,IFERROR(MATCH(47,'كشف الحساب'!$N$4:$N$253,0),0))),"")</f>
        <v/>
      </c>
    </row>
    <row r="52" spans="1:11" ht="15" customHeight="1" x14ac:dyDescent="0.25">
      <c r="A52" s="69" t="str">
        <f>IFERROR(IF(IFERROR(MATCH(48,'كشف الحساب'!$N$4:$N$253,0),0)=0,"",INDEX('كشف الحساب'!$A$4:$A$253,IFERROR(MATCH(48,'كشف الحساب'!$N$4:$N$253,0),0))),"")</f>
        <v/>
      </c>
      <c r="B52" s="70" t="str">
        <f>IFERROR(IF(IFERROR(MATCH(48,'كشف الحساب'!$N$4:$N$253,0),0)=0,"",INDEX('كشف الحساب'!$B$4:$B$253,IFERROR(MATCH(48,'كشف الحساب'!$N$4:$N$253,0),0))),"")</f>
        <v/>
      </c>
      <c r="C52" s="71" t="str">
        <f>IFERROR(IF(IFERROR(MATCH(48,'كشف الحساب'!$N$4:$N$253,0),0)=0,"",INDEX('كشف الحساب'!$C$4:$C$253,IFERROR(MATCH(48,'كشف الحساب'!$N$4:$N$253,0),0))),"")</f>
        <v/>
      </c>
      <c r="D52" s="72" t="str">
        <f>IFERROR(IF(IFERROR(MATCH(48,'كشف الحساب'!$N$4:$N$253,0),0)=0,"",INDEX('كشف الحساب'!$D$4:$D$253,IFERROR(MATCH(48,'كشف الحساب'!$N$4:$N$253,0),0))),"")</f>
        <v/>
      </c>
      <c r="E52" s="73" t="str">
        <f>IFERROR(IF(IFERROR(MATCH(48,'كشف الحساب'!$N$4:$N$253,0),0)=0,"",INDEX('كشف الحساب'!$E$4:$E$253,IFERROR(MATCH(48,'كشف الحساب'!$N$4:$N$253,0),0))),"")</f>
        <v/>
      </c>
      <c r="F52" s="70" t="str">
        <f>IFERROR(IF(IFERROR(MATCH(48,'كشف الحساب'!$N$4:$N$253,0),0)=0,"",INDEX('كشف الحساب'!$F$4:$F$253,IFERROR(MATCH(48,'كشف الحساب'!$N$4:$N$253,0),0))),"")</f>
        <v/>
      </c>
      <c r="G52" s="70" t="str">
        <f>IFERROR(IF(IFERROR(MATCH(48,'كشف الحساب'!$N$4:$N$253,0),0)=0,"",INDEX('كشف الحساب'!$G$4:$G$253,IFERROR(MATCH(48,'كشف الحساب'!$N$4:$N$253,0),0))),"")</f>
        <v/>
      </c>
      <c r="H52" s="70" t="str">
        <f>IFERROR(IF(IFERROR(MATCH(48,'كشف الحساب'!$N$4:$N$253,0),0)=0,"",INDEX('كشف الحساب'!$H$4:$H$253,IFERROR(MATCH(48,'كشف الحساب'!$N$4:$N$253,0),0))),"")</f>
        <v/>
      </c>
      <c r="I52" s="70" t="str">
        <f>IFERROR(IF(IFERROR(MATCH(48,'كشف الحساب'!$N$4:$N$253,0),0)=0,"",INDEX('كشف الحساب'!$I$4:$I$253,IFERROR(MATCH(48,'كشف الحساب'!$N$4:$N$253,0),0))),"")</f>
        <v/>
      </c>
      <c r="J52" s="74" t="str">
        <f>IFERROR(IF(IFERROR(MATCH(48,'كشف الحساب'!$N$4:$N$253,0),0)=0,"",INDEX('كشف الحساب'!$J$4:$J$253,IFERROR(MATCH(48,'كشف الحساب'!$N$4:$N$253,0),0))),"")</f>
        <v/>
      </c>
      <c r="K52" s="70" t="str">
        <f>IFERROR(IF(IFERROR(MATCH(48,'كشف الحساب'!$N$4:$N$253,0),0)=0,"",INDEX('كشف الحساب'!$K$4:$K$253,IFERROR(MATCH(48,'كشف الحساب'!$N$4:$N$253,0),0))),"")</f>
        <v/>
      </c>
    </row>
    <row r="53" spans="1:11" ht="15" customHeight="1" x14ac:dyDescent="0.25">
      <c r="A53" s="63" t="str">
        <f>IFERROR(IF(IFERROR(MATCH(49,'كشف الحساب'!$N$4:$N$253,0),0)=0,"",INDEX('كشف الحساب'!$A$4:$A$253,IFERROR(MATCH(49,'كشف الحساب'!$N$4:$N$253,0),0))),"")</f>
        <v/>
      </c>
      <c r="B53" s="64" t="str">
        <f>IFERROR(IF(IFERROR(MATCH(49,'كشف الحساب'!$N$4:$N$253,0),0)=0,"",INDEX('كشف الحساب'!$B$4:$B$253,IFERROR(MATCH(49,'كشف الحساب'!$N$4:$N$253,0),0))),"")</f>
        <v/>
      </c>
      <c r="C53" s="65" t="str">
        <f>IFERROR(IF(IFERROR(MATCH(49,'كشف الحساب'!$N$4:$N$253,0),0)=0,"",INDEX('كشف الحساب'!$C$4:$C$253,IFERROR(MATCH(49,'كشف الحساب'!$N$4:$N$253,0),0))),"")</f>
        <v/>
      </c>
      <c r="D53" s="66" t="str">
        <f>IFERROR(IF(IFERROR(MATCH(49,'كشف الحساب'!$N$4:$N$253,0),0)=0,"",INDEX('كشف الحساب'!$D$4:$D$253,IFERROR(MATCH(49,'كشف الحساب'!$N$4:$N$253,0),0))),"")</f>
        <v/>
      </c>
      <c r="E53" s="67" t="str">
        <f>IFERROR(IF(IFERROR(MATCH(49,'كشف الحساب'!$N$4:$N$253,0),0)=0,"",INDEX('كشف الحساب'!$E$4:$E$253,IFERROR(MATCH(49,'كشف الحساب'!$N$4:$N$253,0),0))),"")</f>
        <v/>
      </c>
      <c r="F53" s="64" t="str">
        <f>IFERROR(IF(IFERROR(MATCH(49,'كشف الحساب'!$N$4:$N$253,0),0)=0,"",INDEX('كشف الحساب'!$F$4:$F$253,IFERROR(MATCH(49,'كشف الحساب'!$N$4:$N$253,0),0))),"")</f>
        <v/>
      </c>
      <c r="G53" s="64" t="str">
        <f>IFERROR(IF(IFERROR(MATCH(49,'كشف الحساب'!$N$4:$N$253,0),0)=0,"",INDEX('كشف الحساب'!$G$4:$G$253,IFERROR(MATCH(49,'كشف الحساب'!$N$4:$N$253,0),0))),"")</f>
        <v/>
      </c>
      <c r="H53" s="64" t="str">
        <f>IFERROR(IF(IFERROR(MATCH(49,'كشف الحساب'!$N$4:$N$253,0),0)=0,"",INDEX('كشف الحساب'!$H$4:$H$253,IFERROR(MATCH(49,'كشف الحساب'!$N$4:$N$253,0),0))),"")</f>
        <v/>
      </c>
      <c r="I53" s="64" t="str">
        <f>IFERROR(IF(IFERROR(MATCH(49,'كشف الحساب'!$N$4:$N$253,0),0)=0,"",INDEX('كشف الحساب'!$I$4:$I$253,IFERROR(MATCH(49,'كشف الحساب'!$N$4:$N$253,0),0))),"")</f>
        <v/>
      </c>
      <c r="J53" s="68" t="str">
        <f>IFERROR(IF(IFERROR(MATCH(49,'كشف الحساب'!$N$4:$N$253,0),0)=0,"",INDEX('كشف الحساب'!$J$4:$J$253,IFERROR(MATCH(49,'كشف الحساب'!$N$4:$N$253,0),0))),"")</f>
        <v/>
      </c>
      <c r="K53" s="64" t="str">
        <f>IFERROR(IF(IFERROR(MATCH(49,'كشف الحساب'!$N$4:$N$253,0),0)=0,"",INDEX('كشف الحساب'!$K$4:$K$253,IFERROR(MATCH(49,'كشف الحساب'!$N$4:$N$253,0),0))),"")</f>
        <v/>
      </c>
    </row>
    <row r="54" spans="1:11" ht="15" customHeight="1" x14ac:dyDescent="0.25">
      <c r="A54" s="69" t="str">
        <f>IFERROR(IF(IFERROR(MATCH(50,'كشف الحساب'!$N$4:$N$253,0),0)=0,"",INDEX('كشف الحساب'!$A$4:$A$253,IFERROR(MATCH(50,'كشف الحساب'!$N$4:$N$253,0),0))),"")</f>
        <v/>
      </c>
      <c r="B54" s="70" t="str">
        <f>IFERROR(IF(IFERROR(MATCH(50,'كشف الحساب'!$N$4:$N$253,0),0)=0,"",INDEX('كشف الحساب'!$B$4:$B$253,IFERROR(MATCH(50,'كشف الحساب'!$N$4:$N$253,0),0))),"")</f>
        <v/>
      </c>
      <c r="C54" s="71" t="str">
        <f>IFERROR(IF(IFERROR(MATCH(50,'كشف الحساب'!$N$4:$N$253,0),0)=0,"",INDEX('كشف الحساب'!$C$4:$C$253,IFERROR(MATCH(50,'كشف الحساب'!$N$4:$N$253,0),0))),"")</f>
        <v/>
      </c>
      <c r="D54" s="72" t="str">
        <f>IFERROR(IF(IFERROR(MATCH(50,'كشف الحساب'!$N$4:$N$253,0),0)=0,"",INDEX('كشف الحساب'!$D$4:$D$253,IFERROR(MATCH(50,'كشف الحساب'!$N$4:$N$253,0),0))),"")</f>
        <v/>
      </c>
      <c r="E54" s="73" t="str">
        <f>IFERROR(IF(IFERROR(MATCH(50,'كشف الحساب'!$N$4:$N$253,0),0)=0,"",INDEX('كشف الحساب'!$E$4:$E$253,IFERROR(MATCH(50,'كشف الحساب'!$N$4:$N$253,0),0))),"")</f>
        <v/>
      </c>
      <c r="F54" s="70" t="str">
        <f>IFERROR(IF(IFERROR(MATCH(50,'كشف الحساب'!$N$4:$N$253,0),0)=0,"",INDEX('كشف الحساب'!$F$4:$F$253,IFERROR(MATCH(50,'كشف الحساب'!$N$4:$N$253,0),0))),"")</f>
        <v/>
      </c>
      <c r="G54" s="70" t="str">
        <f>IFERROR(IF(IFERROR(MATCH(50,'كشف الحساب'!$N$4:$N$253,0),0)=0,"",INDEX('كشف الحساب'!$G$4:$G$253,IFERROR(MATCH(50,'كشف الحساب'!$N$4:$N$253,0),0))),"")</f>
        <v/>
      </c>
      <c r="H54" s="70" t="str">
        <f>IFERROR(IF(IFERROR(MATCH(50,'كشف الحساب'!$N$4:$N$253,0),0)=0,"",INDEX('كشف الحساب'!$H$4:$H$253,IFERROR(MATCH(50,'كشف الحساب'!$N$4:$N$253,0),0))),"")</f>
        <v/>
      </c>
      <c r="I54" s="70" t="str">
        <f>IFERROR(IF(IFERROR(MATCH(50,'كشف الحساب'!$N$4:$N$253,0),0)=0,"",INDEX('كشف الحساب'!$I$4:$I$253,IFERROR(MATCH(50,'كشف الحساب'!$N$4:$N$253,0),0))),"")</f>
        <v/>
      </c>
      <c r="J54" s="74" t="str">
        <f>IFERROR(IF(IFERROR(MATCH(50,'كشف الحساب'!$N$4:$N$253,0),0)=0,"",INDEX('كشف الحساب'!$J$4:$J$253,IFERROR(MATCH(50,'كشف الحساب'!$N$4:$N$253,0),0))),"")</f>
        <v/>
      </c>
      <c r="K54" s="70" t="str">
        <f>IFERROR(IF(IFERROR(MATCH(50,'كشف الحساب'!$N$4:$N$253,0),0)=0,"",INDEX('كشف الحساب'!$K$4:$K$253,IFERROR(MATCH(50,'كشف الحساب'!$N$4:$N$253,0),0))),"")</f>
        <v/>
      </c>
    </row>
    <row r="55" spans="1:11" ht="15" customHeight="1" x14ac:dyDescent="0.25">
      <c r="A55" s="63" t="str">
        <f>IFERROR(IF(IFERROR(MATCH(51,'كشف الحساب'!$N$4:$N$253,0),0)=0,"",INDEX('كشف الحساب'!$A$4:$A$253,IFERROR(MATCH(51,'كشف الحساب'!$N$4:$N$253,0),0))),"")</f>
        <v/>
      </c>
      <c r="B55" s="64" t="str">
        <f>IFERROR(IF(IFERROR(MATCH(51,'كشف الحساب'!$N$4:$N$253,0),0)=0,"",INDEX('كشف الحساب'!$B$4:$B$253,IFERROR(MATCH(51,'كشف الحساب'!$N$4:$N$253,0),0))),"")</f>
        <v/>
      </c>
      <c r="C55" s="65" t="str">
        <f>IFERROR(IF(IFERROR(MATCH(51,'كشف الحساب'!$N$4:$N$253,0),0)=0,"",INDEX('كشف الحساب'!$C$4:$C$253,IFERROR(MATCH(51,'كشف الحساب'!$N$4:$N$253,0),0))),"")</f>
        <v/>
      </c>
      <c r="D55" s="66" t="str">
        <f>IFERROR(IF(IFERROR(MATCH(51,'كشف الحساب'!$N$4:$N$253,0),0)=0,"",INDEX('كشف الحساب'!$D$4:$D$253,IFERROR(MATCH(51,'كشف الحساب'!$N$4:$N$253,0),0))),"")</f>
        <v/>
      </c>
      <c r="E55" s="67" t="str">
        <f>IFERROR(IF(IFERROR(MATCH(51,'كشف الحساب'!$N$4:$N$253,0),0)=0,"",INDEX('كشف الحساب'!$E$4:$E$253,IFERROR(MATCH(51,'كشف الحساب'!$N$4:$N$253,0),0))),"")</f>
        <v/>
      </c>
      <c r="F55" s="64" t="str">
        <f>IFERROR(IF(IFERROR(MATCH(51,'كشف الحساب'!$N$4:$N$253,0),0)=0,"",INDEX('كشف الحساب'!$F$4:$F$253,IFERROR(MATCH(51,'كشف الحساب'!$N$4:$N$253,0),0))),"")</f>
        <v/>
      </c>
      <c r="G55" s="64" t="str">
        <f>IFERROR(IF(IFERROR(MATCH(51,'كشف الحساب'!$N$4:$N$253,0),0)=0,"",INDEX('كشف الحساب'!$G$4:$G$253,IFERROR(MATCH(51,'كشف الحساب'!$N$4:$N$253,0),0))),"")</f>
        <v/>
      </c>
      <c r="H55" s="64" t="str">
        <f>IFERROR(IF(IFERROR(MATCH(51,'كشف الحساب'!$N$4:$N$253,0),0)=0,"",INDEX('كشف الحساب'!$H$4:$H$253,IFERROR(MATCH(51,'كشف الحساب'!$N$4:$N$253,0),0))),"")</f>
        <v/>
      </c>
      <c r="I55" s="64" t="str">
        <f>IFERROR(IF(IFERROR(MATCH(51,'كشف الحساب'!$N$4:$N$253,0),0)=0,"",INDEX('كشف الحساب'!$I$4:$I$253,IFERROR(MATCH(51,'كشف الحساب'!$N$4:$N$253,0),0))),"")</f>
        <v/>
      </c>
      <c r="J55" s="68" t="str">
        <f>IFERROR(IF(IFERROR(MATCH(51,'كشف الحساب'!$N$4:$N$253,0),0)=0,"",INDEX('كشف الحساب'!$J$4:$J$253,IFERROR(MATCH(51,'كشف الحساب'!$N$4:$N$253,0),0))),"")</f>
        <v/>
      </c>
      <c r="K55" s="64" t="str">
        <f>IFERROR(IF(IFERROR(MATCH(51,'كشف الحساب'!$N$4:$N$253,0),0)=0,"",INDEX('كشف الحساب'!$K$4:$K$253,IFERROR(MATCH(51,'كشف الحساب'!$N$4:$N$253,0),0))),"")</f>
        <v/>
      </c>
    </row>
    <row r="56" spans="1:11" ht="15" customHeight="1" x14ac:dyDescent="0.25">
      <c r="A56" s="69" t="str">
        <f>IFERROR(IF(IFERROR(MATCH(52,'كشف الحساب'!$N$4:$N$253,0),0)=0,"",INDEX('كشف الحساب'!$A$4:$A$253,IFERROR(MATCH(52,'كشف الحساب'!$N$4:$N$253,0),0))),"")</f>
        <v/>
      </c>
      <c r="B56" s="70" t="str">
        <f>IFERROR(IF(IFERROR(MATCH(52,'كشف الحساب'!$N$4:$N$253,0),0)=0,"",INDEX('كشف الحساب'!$B$4:$B$253,IFERROR(MATCH(52,'كشف الحساب'!$N$4:$N$253,0),0))),"")</f>
        <v/>
      </c>
      <c r="C56" s="71" t="str">
        <f>IFERROR(IF(IFERROR(MATCH(52,'كشف الحساب'!$N$4:$N$253,0),0)=0,"",INDEX('كشف الحساب'!$C$4:$C$253,IFERROR(MATCH(52,'كشف الحساب'!$N$4:$N$253,0),0))),"")</f>
        <v/>
      </c>
      <c r="D56" s="72" t="str">
        <f>IFERROR(IF(IFERROR(MATCH(52,'كشف الحساب'!$N$4:$N$253,0),0)=0,"",INDEX('كشف الحساب'!$D$4:$D$253,IFERROR(MATCH(52,'كشف الحساب'!$N$4:$N$253,0),0))),"")</f>
        <v/>
      </c>
      <c r="E56" s="73" t="str">
        <f>IFERROR(IF(IFERROR(MATCH(52,'كشف الحساب'!$N$4:$N$253,0),0)=0,"",INDEX('كشف الحساب'!$E$4:$E$253,IFERROR(MATCH(52,'كشف الحساب'!$N$4:$N$253,0),0))),"")</f>
        <v/>
      </c>
      <c r="F56" s="70" t="str">
        <f>IFERROR(IF(IFERROR(MATCH(52,'كشف الحساب'!$N$4:$N$253,0),0)=0,"",INDEX('كشف الحساب'!$F$4:$F$253,IFERROR(MATCH(52,'كشف الحساب'!$N$4:$N$253,0),0))),"")</f>
        <v/>
      </c>
      <c r="G56" s="70" t="str">
        <f>IFERROR(IF(IFERROR(MATCH(52,'كشف الحساب'!$N$4:$N$253,0),0)=0,"",INDEX('كشف الحساب'!$G$4:$G$253,IFERROR(MATCH(52,'كشف الحساب'!$N$4:$N$253,0),0))),"")</f>
        <v/>
      </c>
      <c r="H56" s="70" t="str">
        <f>IFERROR(IF(IFERROR(MATCH(52,'كشف الحساب'!$N$4:$N$253,0),0)=0,"",INDEX('كشف الحساب'!$H$4:$H$253,IFERROR(MATCH(52,'كشف الحساب'!$N$4:$N$253,0),0))),"")</f>
        <v/>
      </c>
      <c r="I56" s="70" t="str">
        <f>IFERROR(IF(IFERROR(MATCH(52,'كشف الحساب'!$N$4:$N$253,0),0)=0,"",INDEX('كشف الحساب'!$I$4:$I$253,IFERROR(MATCH(52,'كشف الحساب'!$N$4:$N$253,0),0))),"")</f>
        <v/>
      </c>
      <c r="J56" s="74" t="str">
        <f>IFERROR(IF(IFERROR(MATCH(52,'كشف الحساب'!$N$4:$N$253,0),0)=0,"",INDEX('كشف الحساب'!$J$4:$J$253,IFERROR(MATCH(52,'كشف الحساب'!$N$4:$N$253,0),0))),"")</f>
        <v/>
      </c>
      <c r="K56" s="70" t="str">
        <f>IFERROR(IF(IFERROR(MATCH(52,'كشف الحساب'!$N$4:$N$253,0),0)=0,"",INDEX('كشف الحساب'!$K$4:$K$253,IFERROR(MATCH(52,'كشف الحساب'!$N$4:$N$253,0),0))),"")</f>
        <v/>
      </c>
    </row>
    <row r="57" spans="1:11" ht="15" customHeight="1" x14ac:dyDescent="0.25">
      <c r="A57" s="63" t="str">
        <f>IFERROR(IF(IFERROR(MATCH(53,'كشف الحساب'!$N$4:$N$253,0),0)=0,"",INDEX('كشف الحساب'!$A$4:$A$253,IFERROR(MATCH(53,'كشف الحساب'!$N$4:$N$253,0),0))),"")</f>
        <v/>
      </c>
      <c r="B57" s="64" t="str">
        <f>IFERROR(IF(IFERROR(MATCH(53,'كشف الحساب'!$N$4:$N$253,0),0)=0,"",INDEX('كشف الحساب'!$B$4:$B$253,IFERROR(MATCH(53,'كشف الحساب'!$N$4:$N$253,0),0))),"")</f>
        <v/>
      </c>
      <c r="C57" s="65" t="str">
        <f>IFERROR(IF(IFERROR(MATCH(53,'كشف الحساب'!$N$4:$N$253,0),0)=0,"",INDEX('كشف الحساب'!$C$4:$C$253,IFERROR(MATCH(53,'كشف الحساب'!$N$4:$N$253,0),0))),"")</f>
        <v/>
      </c>
      <c r="D57" s="66" t="str">
        <f>IFERROR(IF(IFERROR(MATCH(53,'كشف الحساب'!$N$4:$N$253,0),0)=0,"",INDEX('كشف الحساب'!$D$4:$D$253,IFERROR(MATCH(53,'كشف الحساب'!$N$4:$N$253,0),0))),"")</f>
        <v/>
      </c>
      <c r="E57" s="67" t="str">
        <f>IFERROR(IF(IFERROR(MATCH(53,'كشف الحساب'!$N$4:$N$253,0),0)=0,"",INDEX('كشف الحساب'!$E$4:$E$253,IFERROR(MATCH(53,'كشف الحساب'!$N$4:$N$253,0),0))),"")</f>
        <v/>
      </c>
      <c r="F57" s="64" t="str">
        <f>IFERROR(IF(IFERROR(MATCH(53,'كشف الحساب'!$N$4:$N$253,0),0)=0,"",INDEX('كشف الحساب'!$F$4:$F$253,IFERROR(MATCH(53,'كشف الحساب'!$N$4:$N$253,0),0))),"")</f>
        <v/>
      </c>
      <c r="G57" s="64" t="str">
        <f>IFERROR(IF(IFERROR(MATCH(53,'كشف الحساب'!$N$4:$N$253,0),0)=0,"",INDEX('كشف الحساب'!$G$4:$G$253,IFERROR(MATCH(53,'كشف الحساب'!$N$4:$N$253,0),0))),"")</f>
        <v/>
      </c>
      <c r="H57" s="64" t="str">
        <f>IFERROR(IF(IFERROR(MATCH(53,'كشف الحساب'!$N$4:$N$253,0),0)=0,"",INDEX('كشف الحساب'!$H$4:$H$253,IFERROR(MATCH(53,'كشف الحساب'!$N$4:$N$253,0),0))),"")</f>
        <v/>
      </c>
      <c r="I57" s="64" t="str">
        <f>IFERROR(IF(IFERROR(MATCH(53,'كشف الحساب'!$N$4:$N$253,0),0)=0,"",INDEX('كشف الحساب'!$I$4:$I$253,IFERROR(MATCH(53,'كشف الحساب'!$N$4:$N$253,0),0))),"")</f>
        <v/>
      </c>
      <c r="J57" s="68" t="str">
        <f>IFERROR(IF(IFERROR(MATCH(53,'كشف الحساب'!$N$4:$N$253,0),0)=0,"",INDEX('كشف الحساب'!$J$4:$J$253,IFERROR(MATCH(53,'كشف الحساب'!$N$4:$N$253,0),0))),"")</f>
        <v/>
      </c>
      <c r="K57" s="64" t="str">
        <f>IFERROR(IF(IFERROR(MATCH(53,'كشف الحساب'!$N$4:$N$253,0),0)=0,"",INDEX('كشف الحساب'!$K$4:$K$253,IFERROR(MATCH(53,'كشف الحساب'!$N$4:$N$253,0),0))),"")</f>
        <v/>
      </c>
    </row>
    <row r="58" spans="1:11" ht="15" customHeight="1" x14ac:dyDescent="0.25">
      <c r="A58" s="69" t="str">
        <f>IFERROR(IF(IFERROR(MATCH(54,'كشف الحساب'!$N$4:$N$253,0),0)=0,"",INDEX('كشف الحساب'!$A$4:$A$253,IFERROR(MATCH(54,'كشف الحساب'!$N$4:$N$253,0),0))),"")</f>
        <v/>
      </c>
      <c r="B58" s="70" t="str">
        <f>IFERROR(IF(IFERROR(MATCH(54,'كشف الحساب'!$N$4:$N$253,0),0)=0,"",INDEX('كشف الحساب'!$B$4:$B$253,IFERROR(MATCH(54,'كشف الحساب'!$N$4:$N$253,0),0))),"")</f>
        <v/>
      </c>
      <c r="C58" s="71" t="str">
        <f>IFERROR(IF(IFERROR(MATCH(54,'كشف الحساب'!$N$4:$N$253,0),0)=0,"",INDEX('كشف الحساب'!$C$4:$C$253,IFERROR(MATCH(54,'كشف الحساب'!$N$4:$N$253,0),0))),"")</f>
        <v/>
      </c>
      <c r="D58" s="72" t="str">
        <f>IFERROR(IF(IFERROR(MATCH(54,'كشف الحساب'!$N$4:$N$253,0),0)=0,"",INDEX('كشف الحساب'!$D$4:$D$253,IFERROR(MATCH(54,'كشف الحساب'!$N$4:$N$253,0),0))),"")</f>
        <v/>
      </c>
      <c r="E58" s="73" t="str">
        <f>IFERROR(IF(IFERROR(MATCH(54,'كشف الحساب'!$N$4:$N$253,0),0)=0,"",INDEX('كشف الحساب'!$E$4:$E$253,IFERROR(MATCH(54,'كشف الحساب'!$N$4:$N$253,0),0))),"")</f>
        <v/>
      </c>
      <c r="F58" s="70" t="str">
        <f>IFERROR(IF(IFERROR(MATCH(54,'كشف الحساب'!$N$4:$N$253,0),0)=0,"",INDEX('كشف الحساب'!$F$4:$F$253,IFERROR(MATCH(54,'كشف الحساب'!$N$4:$N$253,0),0))),"")</f>
        <v/>
      </c>
      <c r="G58" s="70" t="str">
        <f>IFERROR(IF(IFERROR(MATCH(54,'كشف الحساب'!$N$4:$N$253,0),0)=0,"",INDEX('كشف الحساب'!$G$4:$G$253,IFERROR(MATCH(54,'كشف الحساب'!$N$4:$N$253,0),0))),"")</f>
        <v/>
      </c>
      <c r="H58" s="70" t="str">
        <f>IFERROR(IF(IFERROR(MATCH(54,'كشف الحساب'!$N$4:$N$253,0),0)=0,"",INDEX('كشف الحساب'!$H$4:$H$253,IFERROR(MATCH(54,'كشف الحساب'!$N$4:$N$253,0),0))),"")</f>
        <v/>
      </c>
      <c r="I58" s="70" t="str">
        <f>IFERROR(IF(IFERROR(MATCH(54,'كشف الحساب'!$N$4:$N$253,0),0)=0,"",INDEX('كشف الحساب'!$I$4:$I$253,IFERROR(MATCH(54,'كشف الحساب'!$N$4:$N$253,0),0))),"")</f>
        <v/>
      </c>
      <c r="J58" s="74" t="str">
        <f>IFERROR(IF(IFERROR(MATCH(54,'كشف الحساب'!$N$4:$N$253,0),0)=0,"",INDEX('كشف الحساب'!$J$4:$J$253,IFERROR(MATCH(54,'كشف الحساب'!$N$4:$N$253,0),0))),"")</f>
        <v/>
      </c>
      <c r="K58" s="70" t="str">
        <f>IFERROR(IF(IFERROR(MATCH(54,'كشف الحساب'!$N$4:$N$253,0),0)=0,"",INDEX('كشف الحساب'!$K$4:$K$253,IFERROR(MATCH(54,'كشف الحساب'!$N$4:$N$253,0),0))),"")</f>
        <v/>
      </c>
    </row>
    <row r="59" spans="1:11" ht="15" customHeight="1" x14ac:dyDescent="0.25">
      <c r="A59" s="63" t="str">
        <f>IFERROR(IF(IFERROR(MATCH(55,'كشف الحساب'!$N$4:$N$253,0),0)=0,"",INDEX('كشف الحساب'!$A$4:$A$253,IFERROR(MATCH(55,'كشف الحساب'!$N$4:$N$253,0),0))),"")</f>
        <v/>
      </c>
      <c r="B59" s="64" t="str">
        <f>IFERROR(IF(IFERROR(MATCH(55,'كشف الحساب'!$N$4:$N$253,0),0)=0,"",INDEX('كشف الحساب'!$B$4:$B$253,IFERROR(MATCH(55,'كشف الحساب'!$N$4:$N$253,0),0))),"")</f>
        <v/>
      </c>
      <c r="C59" s="65" t="str">
        <f>IFERROR(IF(IFERROR(MATCH(55,'كشف الحساب'!$N$4:$N$253,0),0)=0,"",INDEX('كشف الحساب'!$C$4:$C$253,IFERROR(MATCH(55,'كشف الحساب'!$N$4:$N$253,0),0))),"")</f>
        <v/>
      </c>
      <c r="D59" s="66" t="str">
        <f>IFERROR(IF(IFERROR(MATCH(55,'كشف الحساب'!$N$4:$N$253,0),0)=0,"",INDEX('كشف الحساب'!$D$4:$D$253,IFERROR(MATCH(55,'كشف الحساب'!$N$4:$N$253,0),0))),"")</f>
        <v/>
      </c>
      <c r="E59" s="67" t="str">
        <f>IFERROR(IF(IFERROR(MATCH(55,'كشف الحساب'!$N$4:$N$253,0),0)=0,"",INDEX('كشف الحساب'!$E$4:$E$253,IFERROR(MATCH(55,'كشف الحساب'!$N$4:$N$253,0),0))),"")</f>
        <v/>
      </c>
      <c r="F59" s="64" t="str">
        <f>IFERROR(IF(IFERROR(MATCH(55,'كشف الحساب'!$N$4:$N$253,0),0)=0,"",INDEX('كشف الحساب'!$F$4:$F$253,IFERROR(MATCH(55,'كشف الحساب'!$N$4:$N$253,0),0))),"")</f>
        <v/>
      </c>
      <c r="G59" s="64" t="str">
        <f>IFERROR(IF(IFERROR(MATCH(55,'كشف الحساب'!$N$4:$N$253,0),0)=0,"",INDEX('كشف الحساب'!$G$4:$G$253,IFERROR(MATCH(55,'كشف الحساب'!$N$4:$N$253,0),0))),"")</f>
        <v/>
      </c>
      <c r="H59" s="64" t="str">
        <f>IFERROR(IF(IFERROR(MATCH(55,'كشف الحساب'!$N$4:$N$253,0),0)=0,"",INDEX('كشف الحساب'!$H$4:$H$253,IFERROR(MATCH(55,'كشف الحساب'!$N$4:$N$253,0),0))),"")</f>
        <v/>
      </c>
      <c r="I59" s="64" t="str">
        <f>IFERROR(IF(IFERROR(MATCH(55,'كشف الحساب'!$N$4:$N$253,0),0)=0,"",INDEX('كشف الحساب'!$I$4:$I$253,IFERROR(MATCH(55,'كشف الحساب'!$N$4:$N$253,0),0))),"")</f>
        <v/>
      </c>
      <c r="J59" s="68" t="str">
        <f>IFERROR(IF(IFERROR(MATCH(55,'كشف الحساب'!$N$4:$N$253,0),0)=0,"",INDEX('كشف الحساب'!$J$4:$J$253,IFERROR(MATCH(55,'كشف الحساب'!$N$4:$N$253,0),0))),"")</f>
        <v/>
      </c>
      <c r="K59" s="64" t="str">
        <f>IFERROR(IF(IFERROR(MATCH(55,'كشف الحساب'!$N$4:$N$253,0),0)=0,"",INDEX('كشف الحساب'!$K$4:$K$253,IFERROR(MATCH(55,'كشف الحساب'!$N$4:$N$253,0),0))),"")</f>
        <v/>
      </c>
    </row>
    <row r="60" spans="1:11" ht="15" customHeight="1" x14ac:dyDescent="0.25">
      <c r="A60" s="69" t="str">
        <f>IFERROR(IF(IFERROR(MATCH(56,'كشف الحساب'!$N$4:$N$253,0),0)=0,"",INDEX('كشف الحساب'!$A$4:$A$253,IFERROR(MATCH(56,'كشف الحساب'!$N$4:$N$253,0),0))),"")</f>
        <v/>
      </c>
      <c r="B60" s="70" t="str">
        <f>IFERROR(IF(IFERROR(MATCH(56,'كشف الحساب'!$N$4:$N$253,0),0)=0,"",INDEX('كشف الحساب'!$B$4:$B$253,IFERROR(MATCH(56,'كشف الحساب'!$N$4:$N$253,0),0))),"")</f>
        <v/>
      </c>
      <c r="C60" s="71" t="str">
        <f>IFERROR(IF(IFERROR(MATCH(56,'كشف الحساب'!$N$4:$N$253,0),0)=0,"",INDEX('كشف الحساب'!$C$4:$C$253,IFERROR(MATCH(56,'كشف الحساب'!$N$4:$N$253,0),0))),"")</f>
        <v/>
      </c>
      <c r="D60" s="72" t="str">
        <f>IFERROR(IF(IFERROR(MATCH(56,'كشف الحساب'!$N$4:$N$253,0),0)=0,"",INDEX('كشف الحساب'!$D$4:$D$253,IFERROR(MATCH(56,'كشف الحساب'!$N$4:$N$253,0),0))),"")</f>
        <v/>
      </c>
      <c r="E60" s="73" t="str">
        <f>IFERROR(IF(IFERROR(MATCH(56,'كشف الحساب'!$N$4:$N$253,0),0)=0,"",INDEX('كشف الحساب'!$E$4:$E$253,IFERROR(MATCH(56,'كشف الحساب'!$N$4:$N$253,0),0))),"")</f>
        <v/>
      </c>
      <c r="F60" s="70" t="str">
        <f>IFERROR(IF(IFERROR(MATCH(56,'كشف الحساب'!$N$4:$N$253,0),0)=0,"",INDEX('كشف الحساب'!$F$4:$F$253,IFERROR(MATCH(56,'كشف الحساب'!$N$4:$N$253,0),0))),"")</f>
        <v/>
      </c>
      <c r="G60" s="70" t="str">
        <f>IFERROR(IF(IFERROR(MATCH(56,'كشف الحساب'!$N$4:$N$253,0),0)=0,"",INDEX('كشف الحساب'!$G$4:$G$253,IFERROR(MATCH(56,'كشف الحساب'!$N$4:$N$253,0),0))),"")</f>
        <v/>
      </c>
      <c r="H60" s="70" t="str">
        <f>IFERROR(IF(IFERROR(MATCH(56,'كشف الحساب'!$N$4:$N$253,0),0)=0,"",INDEX('كشف الحساب'!$H$4:$H$253,IFERROR(MATCH(56,'كشف الحساب'!$N$4:$N$253,0),0))),"")</f>
        <v/>
      </c>
      <c r="I60" s="70" t="str">
        <f>IFERROR(IF(IFERROR(MATCH(56,'كشف الحساب'!$N$4:$N$253,0),0)=0,"",INDEX('كشف الحساب'!$I$4:$I$253,IFERROR(MATCH(56,'كشف الحساب'!$N$4:$N$253,0),0))),"")</f>
        <v/>
      </c>
      <c r="J60" s="74" t="str">
        <f>IFERROR(IF(IFERROR(MATCH(56,'كشف الحساب'!$N$4:$N$253,0),0)=0,"",INDEX('كشف الحساب'!$J$4:$J$253,IFERROR(MATCH(56,'كشف الحساب'!$N$4:$N$253,0),0))),"")</f>
        <v/>
      </c>
      <c r="K60" s="70" t="str">
        <f>IFERROR(IF(IFERROR(MATCH(56,'كشف الحساب'!$N$4:$N$253,0),0)=0,"",INDEX('كشف الحساب'!$K$4:$K$253,IFERROR(MATCH(56,'كشف الحساب'!$N$4:$N$253,0),0))),"")</f>
        <v/>
      </c>
    </row>
    <row r="61" spans="1:11" ht="15" customHeight="1" x14ac:dyDescent="0.25">
      <c r="A61" s="63" t="str">
        <f>IFERROR(IF(IFERROR(MATCH(57,'كشف الحساب'!$N$4:$N$253,0),0)=0,"",INDEX('كشف الحساب'!$A$4:$A$253,IFERROR(MATCH(57,'كشف الحساب'!$N$4:$N$253,0),0))),"")</f>
        <v/>
      </c>
      <c r="B61" s="64" t="str">
        <f>IFERROR(IF(IFERROR(MATCH(57,'كشف الحساب'!$N$4:$N$253,0),0)=0,"",INDEX('كشف الحساب'!$B$4:$B$253,IFERROR(MATCH(57,'كشف الحساب'!$N$4:$N$253,0),0))),"")</f>
        <v/>
      </c>
      <c r="C61" s="65" t="str">
        <f>IFERROR(IF(IFERROR(MATCH(57,'كشف الحساب'!$N$4:$N$253,0),0)=0,"",INDEX('كشف الحساب'!$C$4:$C$253,IFERROR(MATCH(57,'كشف الحساب'!$N$4:$N$253,0),0))),"")</f>
        <v/>
      </c>
      <c r="D61" s="66" t="str">
        <f>IFERROR(IF(IFERROR(MATCH(57,'كشف الحساب'!$N$4:$N$253,0),0)=0,"",INDEX('كشف الحساب'!$D$4:$D$253,IFERROR(MATCH(57,'كشف الحساب'!$N$4:$N$253,0),0))),"")</f>
        <v/>
      </c>
      <c r="E61" s="67" t="str">
        <f>IFERROR(IF(IFERROR(MATCH(57,'كشف الحساب'!$N$4:$N$253,0),0)=0,"",INDEX('كشف الحساب'!$E$4:$E$253,IFERROR(MATCH(57,'كشف الحساب'!$N$4:$N$253,0),0))),"")</f>
        <v/>
      </c>
      <c r="F61" s="64" t="str">
        <f>IFERROR(IF(IFERROR(MATCH(57,'كشف الحساب'!$N$4:$N$253,0),0)=0,"",INDEX('كشف الحساب'!$F$4:$F$253,IFERROR(MATCH(57,'كشف الحساب'!$N$4:$N$253,0),0))),"")</f>
        <v/>
      </c>
      <c r="G61" s="64" t="str">
        <f>IFERROR(IF(IFERROR(MATCH(57,'كشف الحساب'!$N$4:$N$253,0),0)=0,"",INDEX('كشف الحساب'!$G$4:$G$253,IFERROR(MATCH(57,'كشف الحساب'!$N$4:$N$253,0),0))),"")</f>
        <v/>
      </c>
      <c r="H61" s="64" t="str">
        <f>IFERROR(IF(IFERROR(MATCH(57,'كشف الحساب'!$N$4:$N$253,0),0)=0,"",INDEX('كشف الحساب'!$H$4:$H$253,IFERROR(MATCH(57,'كشف الحساب'!$N$4:$N$253,0),0))),"")</f>
        <v/>
      </c>
      <c r="I61" s="64" t="str">
        <f>IFERROR(IF(IFERROR(MATCH(57,'كشف الحساب'!$N$4:$N$253,0),0)=0,"",INDEX('كشف الحساب'!$I$4:$I$253,IFERROR(MATCH(57,'كشف الحساب'!$N$4:$N$253,0),0))),"")</f>
        <v/>
      </c>
      <c r="J61" s="68" t="str">
        <f>IFERROR(IF(IFERROR(MATCH(57,'كشف الحساب'!$N$4:$N$253,0),0)=0,"",INDEX('كشف الحساب'!$J$4:$J$253,IFERROR(MATCH(57,'كشف الحساب'!$N$4:$N$253,0),0))),"")</f>
        <v/>
      </c>
      <c r="K61" s="64" t="str">
        <f>IFERROR(IF(IFERROR(MATCH(57,'كشف الحساب'!$N$4:$N$253,0),0)=0,"",INDEX('كشف الحساب'!$K$4:$K$253,IFERROR(MATCH(57,'كشف الحساب'!$N$4:$N$253,0),0))),"")</f>
        <v/>
      </c>
    </row>
    <row r="62" spans="1:11" ht="15" customHeight="1" x14ac:dyDescent="0.25">
      <c r="A62" s="69" t="str">
        <f>IFERROR(IF(IFERROR(MATCH(58,'كشف الحساب'!$N$4:$N$253,0),0)=0,"",INDEX('كشف الحساب'!$A$4:$A$253,IFERROR(MATCH(58,'كشف الحساب'!$N$4:$N$253,0),0))),"")</f>
        <v/>
      </c>
      <c r="B62" s="70" t="str">
        <f>IFERROR(IF(IFERROR(MATCH(58,'كشف الحساب'!$N$4:$N$253,0),0)=0,"",INDEX('كشف الحساب'!$B$4:$B$253,IFERROR(MATCH(58,'كشف الحساب'!$N$4:$N$253,0),0))),"")</f>
        <v/>
      </c>
      <c r="C62" s="71" t="str">
        <f>IFERROR(IF(IFERROR(MATCH(58,'كشف الحساب'!$N$4:$N$253,0),0)=0,"",INDEX('كشف الحساب'!$C$4:$C$253,IFERROR(MATCH(58,'كشف الحساب'!$N$4:$N$253,0),0))),"")</f>
        <v/>
      </c>
      <c r="D62" s="72" t="str">
        <f>IFERROR(IF(IFERROR(MATCH(58,'كشف الحساب'!$N$4:$N$253,0),0)=0,"",INDEX('كشف الحساب'!$D$4:$D$253,IFERROR(MATCH(58,'كشف الحساب'!$N$4:$N$253,0),0))),"")</f>
        <v/>
      </c>
      <c r="E62" s="73" t="str">
        <f>IFERROR(IF(IFERROR(MATCH(58,'كشف الحساب'!$N$4:$N$253,0),0)=0,"",INDEX('كشف الحساب'!$E$4:$E$253,IFERROR(MATCH(58,'كشف الحساب'!$N$4:$N$253,0),0))),"")</f>
        <v/>
      </c>
      <c r="F62" s="70" t="str">
        <f>IFERROR(IF(IFERROR(MATCH(58,'كشف الحساب'!$N$4:$N$253,0),0)=0,"",INDEX('كشف الحساب'!$F$4:$F$253,IFERROR(MATCH(58,'كشف الحساب'!$N$4:$N$253,0),0))),"")</f>
        <v/>
      </c>
      <c r="G62" s="70" t="str">
        <f>IFERROR(IF(IFERROR(MATCH(58,'كشف الحساب'!$N$4:$N$253,0),0)=0,"",INDEX('كشف الحساب'!$G$4:$G$253,IFERROR(MATCH(58,'كشف الحساب'!$N$4:$N$253,0),0))),"")</f>
        <v/>
      </c>
      <c r="H62" s="70" t="str">
        <f>IFERROR(IF(IFERROR(MATCH(58,'كشف الحساب'!$N$4:$N$253,0),0)=0,"",INDEX('كشف الحساب'!$H$4:$H$253,IFERROR(MATCH(58,'كشف الحساب'!$N$4:$N$253,0),0))),"")</f>
        <v/>
      </c>
      <c r="I62" s="70" t="str">
        <f>IFERROR(IF(IFERROR(MATCH(58,'كشف الحساب'!$N$4:$N$253,0),0)=0,"",INDEX('كشف الحساب'!$I$4:$I$253,IFERROR(MATCH(58,'كشف الحساب'!$N$4:$N$253,0),0))),"")</f>
        <v/>
      </c>
      <c r="J62" s="74" t="str">
        <f>IFERROR(IF(IFERROR(MATCH(58,'كشف الحساب'!$N$4:$N$253,0),0)=0,"",INDEX('كشف الحساب'!$J$4:$J$253,IFERROR(MATCH(58,'كشف الحساب'!$N$4:$N$253,0),0))),"")</f>
        <v/>
      </c>
      <c r="K62" s="70" t="str">
        <f>IFERROR(IF(IFERROR(MATCH(58,'كشف الحساب'!$N$4:$N$253,0),0)=0,"",INDEX('كشف الحساب'!$K$4:$K$253,IFERROR(MATCH(58,'كشف الحساب'!$N$4:$N$253,0),0))),"")</f>
        <v/>
      </c>
    </row>
    <row r="63" spans="1:11" ht="15" customHeight="1" x14ac:dyDescent="0.25">
      <c r="A63" s="63" t="str">
        <f>IFERROR(IF(IFERROR(MATCH(59,'كشف الحساب'!$N$4:$N$253,0),0)=0,"",INDEX('كشف الحساب'!$A$4:$A$253,IFERROR(MATCH(59,'كشف الحساب'!$N$4:$N$253,0),0))),"")</f>
        <v/>
      </c>
      <c r="B63" s="64" t="str">
        <f>IFERROR(IF(IFERROR(MATCH(59,'كشف الحساب'!$N$4:$N$253,0),0)=0,"",INDEX('كشف الحساب'!$B$4:$B$253,IFERROR(MATCH(59,'كشف الحساب'!$N$4:$N$253,0),0))),"")</f>
        <v/>
      </c>
      <c r="C63" s="65" t="str">
        <f>IFERROR(IF(IFERROR(MATCH(59,'كشف الحساب'!$N$4:$N$253,0),0)=0,"",INDEX('كشف الحساب'!$C$4:$C$253,IFERROR(MATCH(59,'كشف الحساب'!$N$4:$N$253,0),0))),"")</f>
        <v/>
      </c>
      <c r="D63" s="66" t="str">
        <f>IFERROR(IF(IFERROR(MATCH(59,'كشف الحساب'!$N$4:$N$253,0),0)=0,"",INDEX('كشف الحساب'!$D$4:$D$253,IFERROR(MATCH(59,'كشف الحساب'!$N$4:$N$253,0),0))),"")</f>
        <v/>
      </c>
      <c r="E63" s="67" t="str">
        <f>IFERROR(IF(IFERROR(MATCH(59,'كشف الحساب'!$N$4:$N$253,0),0)=0,"",INDEX('كشف الحساب'!$E$4:$E$253,IFERROR(MATCH(59,'كشف الحساب'!$N$4:$N$253,0),0))),"")</f>
        <v/>
      </c>
      <c r="F63" s="64" t="str">
        <f>IFERROR(IF(IFERROR(MATCH(59,'كشف الحساب'!$N$4:$N$253,0),0)=0,"",INDEX('كشف الحساب'!$F$4:$F$253,IFERROR(MATCH(59,'كشف الحساب'!$N$4:$N$253,0),0))),"")</f>
        <v/>
      </c>
      <c r="G63" s="64" t="str">
        <f>IFERROR(IF(IFERROR(MATCH(59,'كشف الحساب'!$N$4:$N$253,0),0)=0,"",INDEX('كشف الحساب'!$G$4:$G$253,IFERROR(MATCH(59,'كشف الحساب'!$N$4:$N$253,0),0))),"")</f>
        <v/>
      </c>
      <c r="H63" s="64" t="str">
        <f>IFERROR(IF(IFERROR(MATCH(59,'كشف الحساب'!$N$4:$N$253,0),0)=0,"",INDEX('كشف الحساب'!$H$4:$H$253,IFERROR(MATCH(59,'كشف الحساب'!$N$4:$N$253,0),0))),"")</f>
        <v/>
      </c>
      <c r="I63" s="64" t="str">
        <f>IFERROR(IF(IFERROR(MATCH(59,'كشف الحساب'!$N$4:$N$253,0),0)=0,"",INDEX('كشف الحساب'!$I$4:$I$253,IFERROR(MATCH(59,'كشف الحساب'!$N$4:$N$253,0),0))),"")</f>
        <v/>
      </c>
      <c r="J63" s="68" t="str">
        <f>IFERROR(IF(IFERROR(MATCH(59,'كشف الحساب'!$N$4:$N$253,0),0)=0,"",INDEX('كشف الحساب'!$J$4:$J$253,IFERROR(MATCH(59,'كشف الحساب'!$N$4:$N$253,0),0))),"")</f>
        <v/>
      </c>
      <c r="K63" s="64" t="str">
        <f>IFERROR(IF(IFERROR(MATCH(59,'كشف الحساب'!$N$4:$N$253,0),0)=0,"",INDEX('كشف الحساب'!$K$4:$K$253,IFERROR(MATCH(59,'كشف الحساب'!$N$4:$N$253,0),0))),"")</f>
        <v/>
      </c>
    </row>
    <row r="64" spans="1:11" ht="15" customHeight="1" x14ac:dyDescent="0.25">
      <c r="A64" s="69" t="str">
        <f>IFERROR(IF(IFERROR(MATCH(60,'كشف الحساب'!$N$4:$N$253,0),0)=0,"",INDEX('كشف الحساب'!$A$4:$A$253,IFERROR(MATCH(60,'كشف الحساب'!$N$4:$N$253,0),0))),"")</f>
        <v/>
      </c>
      <c r="B64" s="70" t="str">
        <f>IFERROR(IF(IFERROR(MATCH(60,'كشف الحساب'!$N$4:$N$253,0),0)=0,"",INDEX('كشف الحساب'!$B$4:$B$253,IFERROR(MATCH(60,'كشف الحساب'!$N$4:$N$253,0),0))),"")</f>
        <v/>
      </c>
      <c r="C64" s="71" t="str">
        <f>IFERROR(IF(IFERROR(MATCH(60,'كشف الحساب'!$N$4:$N$253,0),0)=0,"",INDEX('كشف الحساب'!$C$4:$C$253,IFERROR(MATCH(60,'كشف الحساب'!$N$4:$N$253,0),0))),"")</f>
        <v/>
      </c>
      <c r="D64" s="72" t="str">
        <f>IFERROR(IF(IFERROR(MATCH(60,'كشف الحساب'!$N$4:$N$253,0),0)=0,"",INDEX('كشف الحساب'!$D$4:$D$253,IFERROR(MATCH(60,'كشف الحساب'!$N$4:$N$253,0),0))),"")</f>
        <v/>
      </c>
      <c r="E64" s="73" t="str">
        <f>IFERROR(IF(IFERROR(MATCH(60,'كشف الحساب'!$N$4:$N$253,0),0)=0,"",INDEX('كشف الحساب'!$E$4:$E$253,IFERROR(MATCH(60,'كشف الحساب'!$N$4:$N$253,0),0))),"")</f>
        <v/>
      </c>
      <c r="F64" s="70" t="str">
        <f>IFERROR(IF(IFERROR(MATCH(60,'كشف الحساب'!$N$4:$N$253,0),0)=0,"",INDEX('كشف الحساب'!$F$4:$F$253,IFERROR(MATCH(60,'كشف الحساب'!$N$4:$N$253,0),0))),"")</f>
        <v/>
      </c>
      <c r="G64" s="70" t="str">
        <f>IFERROR(IF(IFERROR(MATCH(60,'كشف الحساب'!$N$4:$N$253,0),0)=0,"",INDEX('كشف الحساب'!$G$4:$G$253,IFERROR(MATCH(60,'كشف الحساب'!$N$4:$N$253,0),0))),"")</f>
        <v/>
      </c>
      <c r="H64" s="70" t="str">
        <f>IFERROR(IF(IFERROR(MATCH(60,'كشف الحساب'!$N$4:$N$253,0),0)=0,"",INDEX('كشف الحساب'!$H$4:$H$253,IFERROR(MATCH(60,'كشف الحساب'!$N$4:$N$253,0),0))),"")</f>
        <v/>
      </c>
      <c r="I64" s="70" t="str">
        <f>IFERROR(IF(IFERROR(MATCH(60,'كشف الحساب'!$N$4:$N$253,0),0)=0,"",INDEX('كشف الحساب'!$I$4:$I$253,IFERROR(MATCH(60,'كشف الحساب'!$N$4:$N$253,0),0))),"")</f>
        <v/>
      </c>
      <c r="J64" s="74" t="str">
        <f>IFERROR(IF(IFERROR(MATCH(60,'كشف الحساب'!$N$4:$N$253,0),0)=0,"",INDEX('كشف الحساب'!$J$4:$J$253,IFERROR(MATCH(60,'كشف الحساب'!$N$4:$N$253,0),0))),"")</f>
        <v/>
      </c>
      <c r="K64" s="70" t="str">
        <f>IFERROR(IF(IFERROR(MATCH(60,'كشف الحساب'!$N$4:$N$253,0),0)=0,"",INDEX('كشف الحساب'!$K$4:$K$253,IFERROR(MATCH(60,'كشف الحساب'!$N$4:$N$253,0),0))),"")</f>
        <v/>
      </c>
    </row>
    <row r="65" spans="1:11" ht="15" customHeight="1" x14ac:dyDescent="0.25">
      <c r="A65" s="63" t="str">
        <f>IFERROR(IF(IFERROR(MATCH(61,'كشف الحساب'!$N$4:$N$253,0),0)=0,"",INDEX('كشف الحساب'!$A$4:$A$253,IFERROR(MATCH(61,'كشف الحساب'!$N$4:$N$253,0),0))),"")</f>
        <v/>
      </c>
      <c r="B65" s="64" t="str">
        <f>IFERROR(IF(IFERROR(MATCH(61,'كشف الحساب'!$N$4:$N$253,0),0)=0,"",INDEX('كشف الحساب'!$B$4:$B$253,IFERROR(MATCH(61,'كشف الحساب'!$N$4:$N$253,0),0))),"")</f>
        <v/>
      </c>
      <c r="C65" s="65" t="str">
        <f>IFERROR(IF(IFERROR(MATCH(61,'كشف الحساب'!$N$4:$N$253,0),0)=0,"",INDEX('كشف الحساب'!$C$4:$C$253,IFERROR(MATCH(61,'كشف الحساب'!$N$4:$N$253,0),0))),"")</f>
        <v/>
      </c>
      <c r="D65" s="66" t="str">
        <f>IFERROR(IF(IFERROR(MATCH(61,'كشف الحساب'!$N$4:$N$253,0),0)=0,"",INDEX('كشف الحساب'!$D$4:$D$253,IFERROR(MATCH(61,'كشف الحساب'!$N$4:$N$253,0),0))),"")</f>
        <v/>
      </c>
      <c r="E65" s="67" t="str">
        <f>IFERROR(IF(IFERROR(MATCH(61,'كشف الحساب'!$N$4:$N$253,0),0)=0,"",INDEX('كشف الحساب'!$E$4:$E$253,IFERROR(MATCH(61,'كشف الحساب'!$N$4:$N$253,0),0))),"")</f>
        <v/>
      </c>
      <c r="F65" s="64" t="str">
        <f>IFERROR(IF(IFERROR(MATCH(61,'كشف الحساب'!$N$4:$N$253,0),0)=0,"",INDEX('كشف الحساب'!$F$4:$F$253,IFERROR(MATCH(61,'كشف الحساب'!$N$4:$N$253,0),0))),"")</f>
        <v/>
      </c>
      <c r="G65" s="64" t="str">
        <f>IFERROR(IF(IFERROR(MATCH(61,'كشف الحساب'!$N$4:$N$253,0),0)=0,"",INDEX('كشف الحساب'!$G$4:$G$253,IFERROR(MATCH(61,'كشف الحساب'!$N$4:$N$253,0),0))),"")</f>
        <v/>
      </c>
      <c r="H65" s="64" t="str">
        <f>IFERROR(IF(IFERROR(MATCH(61,'كشف الحساب'!$N$4:$N$253,0),0)=0,"",INDEX('كشف الحساب'!$H$4:$H$253,IFERROR(MATCH(61,'كشف الحساب'!$N$4:$N$253,0),0))),"")</f>
        <v/>
      </c>
      <c r="I65" s="64" t="str">
        <f>IFERROR(IF(IFERROR(MATCH(61,'كشف الحساب'!$N$4:$N$253,0),0)=0,"",INDEX('كشف الحساب'!$I$4:$I$253,IFERROR(MATCH(61,'كشف الحساب'!$N$4:$N$253,0),0))),"")</f>
        <v/>
      </c>
      <c r="J65" s="68" t="str">
        <f>IFERROR(IF(IFERROR(MATCH(61,'كشف الحساب'!$N$4:$N$253,0),0)=0,"",INDEX('كشف الحساب'!$J$4:$J$253,IFERROR(MATCH(61,'كشف الحساب'!$N$4:$N$253,0),0))),"")</f>
        <v/>
      </c>
      <c r="K65" s="64" t="str">
        <f>IFERROR(IF(IFERROR(MATCH(61,'كشف الحساب'!$N$4:$N$253,0),0)=0,"",INDEX('كشف الحساب'!$K$4:$K$253,IFERROR(MATCH(61,'كشف الحساب'!$N$4:$N$253,0),0))),"")</f>
        <v/>
      </c>
    </row>
    <row r="66" spans="1:11" ht="15" customHeight="1" x14ac:dyDescent="0.25">
      <c r="A66" s="69" t="str">
        <f>IFERROR(IF(IFERROR(MATCH(62,'كشف الحساب'!$N$4:$N$253,0),0)=0,"",INDEX('كشف الحساب'!$A$4:$A$253,IFERROR(MATCH(62,'كشف الحساب'!$N$4:$N$253,0),0))),"")</f>
        <v/>
      </c>
      <c r="B66" s="70" t="str">
        <f>IFERROR(IF(IFERROR(MATCH(62,'كشف الحساب'!$N$4:$N$253,0),0)=0,"",INDEX('كشف الحساب'!$B$4:$B$253,IFERROR(MATCH(62,'كشف الحساب'!$N$4:$N$253,0),0))),"")</f>
        <v/>
      </c>
      <c r="C66" s="71" t="str">
        <f>IFERROR(IF(IFERROR(MATCH(62,'كشف الحساب'!$N$4:$N$253,0),0)=0,"",INDEX('كشف الحساب'!$C$4:$C$253,IFERROR(MATCH(62,'كشف الحساب'!$N$4:$N$253,0),0))),"")</f>
        <v/>
      </c>
      <c r="D66" s="72" t="str">
        <f>IFERROR(IF(IFERROR(MATCH(62,'كشف الحساب'!$N$4:$N$253,0),0)=0,"",INDEX('كشف الحساب'!$D$4:$D$253,IFERROR(MATCH(62,'كشف الحساب'!$N$4:$N$253,0),0))),"")</f>
        <v/>
      </c>
      <c r="E66" s="73" t="str">
        <f>IFERROR(IF(IFERROR(MATCH(62,'كشف الحساب'!$N$4:$N$253,0),0)=0,"",INDEX('كشف الحساب'!$E$4:$E$253,IFERROR(MATCH(62,'كشف الحساب'!$N$4:$N$253,0),0))),"")</f>
        <v/>
      </c>
      <c r="F66" s="70" t="str">
        <f>IFERROR(IF(IFERROR(MATCH(62,'كشف الحساب'!$N$4:$N$253,0),0)=0,"",INDEX('كشف الحساب'!$F$4:$F$253,IFERROR(MATCH(62,'كشف الحساب'!$N$4:$N$253,0),0))),"")</f>
        <v/>
      </c>
      <c r="G66" s="70" t="str">
        <f>IFERROR(IF(IFERROR(MATCH(62,'كشف الحساب'!$N$4:$N$253,0),0)=0,"",INDEX('كشف الحساب'!$G$4:$G$253,IFERROR(MATCH(62,'كشف الحساب'!$N$4:$N$253,0),0))),"")</f>
        <v/>
      </c>
      <c r="H66" s="70" t="str">
        <f>IFERROR(IF(IFERROR(MATCH(62,'كشف الحساب'!$N$4:$N$253,0),0)=0,"",INDEX('كشف الحساب'!$H$4:$H$253,IFERROR(MATCH(62,'كشف الحساب'!$N$4:$N$253,0),0))),"")</f>
        <v/>
      </c>
      <c r="I66" s="70" t="str">
        <f>IFERROR(IF(IFERROR(MATCH(62,'كشف الحساب'!$N$4:$N$253,0),0)=0,"",INDEX('كشف الحساب'!$I$4:$I$253,IFERROR(MATCH(62,'كشف الحساب'!$N$4:$N$253,0),0))),"")</f>
        <v/>
      </c>
      <c r="J66" s="74" t="str">
        <f>IFERROR(IF(IFERROR(MATCH(62,'كشف الحساب'!$N$4:$N$253,0),0)=0,"",INDEX('كشف الحساب'!$J$4:$J$253,IFERROR(MATCH(62,'كشف الحساب'!$N$4:$N$253,0),0))),"")</f>
        <v/>
      </c>
      <c r="K66" s="70" t="str">
        <f>IFERROR(IF(IFERROR(MATCH(62,'كشف الحساب'!$N$4:$N$253,0),0)=0,"",INDEX('كشف الحساب'!$K$4:$K$253,IFERROR(MATCH(62,'كشف الحساب'!$N$4:$N$253,0),0))),"")</f>
        <v/>
      </c>
    </row>
    <row r="67" spans="1:11" ht="15" customHeight="1" x14ac:dyDescent="0.25">
      <c r="A67" s="63" t="str">
        <f>IFERROR(IF(IFERROR(MATCH(63,'كشف الحساب'!$N$4:$N$253,0),0)=0,"",INDEX('كشف الحساب'!$A$4:$A$253,IFERROR(MATCH(63,'كشف الحساب'!$N$4:$N$253,0),0))),"")</f>
        <v/>
      </c>
      <c r="B67" s="64" t="str">
        <f>IFERROR(IF(IFERROR(MATCH(63,'كشف الحساب'!$N$4:$N$253,0),0)=0,"",INDEX('كشف الحساب'!$B$4:$B$253,IFERROR(MATCH(63,'كشف الحساب'!$N$4:$N$253,0),0))),"")</f>
        <v/>
      </c>
      <c r="C67" s="65" t="str">
        <f>IFERROR(IF(IFERROR(MATCH(63,'كشف الحساب'!$N$4:$N$253,0),0)=0,"",INDEX('كشف الحساب'!$C$4:$C$253,IFERROR(MATCH(63,'كشف الحساب'!$N$4:$N$253,0),0))),"")</f>
        <v/>
      </c>
      <c r="D67" s="66" t="str">
        <f>IFERROR(IF(IFERROR(MATCH(63,'كشف الحساب'!$N$4:$N$253,0),0)=0,"",INDEX('كشف الحساب'!$D$4:$D$253,IFERROR(MATCH(63,'كشف الحساب'!$N$4:$N$253,0),0))),"")</f>
        <v/>
      </c>
      <c r="E67" s="67" t="str">
        <f>IFERROR(IF(IFERROR(MATCH(63,'كشف الحساب'!$N$4:$N$253,0),0)=0,"",INDEX('كشف الحساب'!$E$4:$E$253,IFERROR(MATCH(63,'كشف الحساب'!$N$4:$N$253,0),0))),"")</f>
        <v/>
      </c>
      <c r="F67" s="64" t="str">
        <f>IFERROR(IF(IFERROR(MATCH(63,'كشف الحساب'!$N$4:$N$253,0),0)=0,"",INDEX('كشف الحساب'!$F$4:$F$253,IFERROR(MATCH(63,'كشف الحساب'!$N$4:$N$253,0),0))),"")</f>
        <v/>
      </c>
      <c r="G67" s="64" t="str">
        <f>IFERROR(IF(IFERROR(MATCH(63,'كشف الحساب'!$N$4:$N$253,0),0)=0,"",INDEX('كشف الحساب'!$G$4:$G$253,IFERROR(MATCH(63,'كشف الحساب'!$N$4:$N$253,0),0))),"")</f>
        <v/>
      </c>
      <c r="H67" s="64" t="str">
        <f>IFERROR(IF(IFERROR(MATCH(63,'كشف الحساب'!$N$4:$N$253,0),0)=0,"",INDEX('كشف الحساب'!$H$4:$H$253,IFERROR(MATCH(63,'كشف الحساب'!$N$4:$N$253,0),0))),"")</f>
        <v/>
      </c>
      <c r="I67" s="64" t="str">
        <f>IFERROR(IF(IFERROR(MATCH(63,'كشف الحساب'!$N$4:$N$253,0),0)=0,"",INDEX('كشف الحساب'!$I$4:$I$253,IFERROR(MATCH(63,'كشف الحساب'!$N$4:$N$253,0),0))),"")</f>
        <v/>
      </c>
      <c r="J67" s="68" t="str">
        <f>IFERROR(IF(IFERROR(MATCH(63,'كشف الحساب'!$N$4:$N$253,0),0)=0,"",INDEX('كشف الحساب'!$J$4:$J$253,IFERROR(MATCH(63,'كشف الحساب'!$N$4:$N$253,0),0))),"")</f>
        <v/>
      </c>
      <c r="K67" s="64" t="str">
        <f>IFERROR(IF(IFERROR(MATCH(63,'كشف الحساب'!$N$4:$N$253,0),0)=0,"",INDEX('كشف الحساب'!$K$4:$K$253,IFERROR(MATCH(63,'كشف الحساب'!$N$4:$N$253,0),0))),"")</f>
        <v/>
      </c>
    </row>
    <row r="68" spans="1:11" ht="15" customHeight="1" x14ac:dyDescent="0.25">
      <c r="A68" s="69" t="str">
        <f>IFERROR(IF(IFERROR(MATCH(64,'كشف الحساب'!$N$4:$N$253,0),0)=0,"",INDEX('كشف الحساب'!$A$4:$A$253,IFERROR(MATCH(64,'كشف الحساب'!$N$4:$N$253,0),0))),"")</f>
        <v/>
      </c>
      <c r="B68" s="70" t="str">
        <f>IFERROR(IF(IFERROR(MATCH(64,'كشف الحساب'!$N$4:$N$253,0),0)=0,"",INDEX('كشف الحساب'!$B$4:$B$253,IFERROR(MATCH(64,'كشف الحساب'!$N$4:$N$253,0),0))),"")</f>
        <v/>
      </c>
      <c r="C68" s="71" t="str">
        <f>IFERROR(IF(IFERROR(MATCH(64,'كشف الحساب'!$N$4:$N$253,0),0)=0,"",INDEX('كشف الحساب'!$C$4:$C$253,IFERROR(MATCH(64,'كشف الحساب'!$N$4:$N$253,0),0))),"")</f>
        <v/>
      </c>
      <c r="D68" s="72" t="str">
        <f>IFERROR(IF(IFERROR(MATCH(64,'كشف الحساب'!$N$4:$N$253,0),0)=0,"",INDEX('كشف الحساب'!$D$4:$D$253,IFERROR(MATCH(64,'كشف الحساب'!$N$4:$N$253,0),0))),"")</f>
        <v/>
      </c>
      <c r="E68" s="73" t="str">
        <f>IFERROR(IF(IFERROR(MATCH(64,'كشف الحساب'!$N$4:$N$253,0),0)=0,"",INDEX('كشف الحساب'!$E$4:$E$253,IFERROR(MATCH(64,'كشف الحساب'!$N$4:$N$253,0),0))),"")</f>
        <v/>
      </c>
      <c r="F68" s="70" t="str">
        <f>IFERROR(IF(IFERROR(MATCH(64,'كشف الحساب'!$N$4:$N$253,0),0)=0,"",INDEX('كشف الحساب'!$F$4:$F$253,IFERROR(MATCH(64,'كشف الحساب'!$N$4:$N$253,0),0))),"")</f>
        <v/>
      </c>
      <c r="G68" s="70" t="str">
        <f>IFERROR(IF(IFERROR(MATCH(64,'كشف الحساب'!$N$4:$N$253,0),0)=0,"",INDEX('كشف الحساب'!$G$4:$G$253,IFERROR(MATCH(64,'كشف الحساب'!$N$4:$N$253,0),0))),"")</f>
        <v/>
      </c>
      <c r="H68" s="70" t="str">
        <f>IFERROR(IF(IFERROR(MATCH(64,'كشف الحساب'!$N$4:$N$253,0),0)=0,"",INDEX('كشف الحساب'!$H$4:$H$253,IFERROR(MATCH(64,'كشف الحساب'!$N$4:$N$253,0),0))),"")</f>
        <v/>
      </c>
      <c r="I68" s="70" t="str">
        <f>IFERROR(IF(IFERROR(MATCH(64,'كشف الحساب'!$N$4:$N$253,0),0)=0,"",INDEX('كشف الحساب'!$I$4:$I$253,IFERROR(MATCH(64,'كشف الحساب'!$N$4:$N$253,0),0))),"")</f>
        <v/>
      </c>
      <c r="J68" s="74" t="str">
        <f>IFERROR(IF(IFERROR(MATCH(64,'كشف الحساب'!$N$4:$N$253,0),0)=0,"",INDEX('كشف الحساب'!$J$4:$J$253,IFERROR(MATCH(64,'كشف الحساب'!$N$4:$N$253,0),0))),"")</f>
        <v/>
      </c>
      <c r="K68" s="70" t="str">
        <f>IFERROR(IF(IFERROR(MATCH(64,'كشف الحساب'!$N$4:$N$253,0),0)=0,"",INDEX('كشف الحساب'!$K$4:$K$253,IFERROR(MATCH(64,'كشف الحساب'!$N$4:$N$253,0),0))),"")</f>
        <v/>
      </c>
    </row>
    <row r="69" spans="1:11" ht="15" customHeight="1" x14ac:dyDescent="0.25">
      <c r="A69" s="63" t="str">
        <f>IFERROR(IF(IFERROR(MATCH(65,'كشف الحساب'!$N$4:$N$253,0),0)=0,"",INDEX('كشف الحساب'!$A$4:$A$253,IFERROR(MATCH(65,'كشف الحساب'!$N$4:$N$253,0),0))),"")</f>
        <v/>
      </c>
      <c r="B69" s="64" t="str">
        <f>IFERROR(IF(IFERROR(MATCH(65,'كشف الحساب'!$N$4:$N$253,0),0)=0,"",INDEX('كشف الحساب'!$B$4:$B$253,IFERROR(MATCH(65,'كشف الحساب'!$N$4:$N$253,0),0))),"")</f>
        <v/>
      </c>
      <c r="C69" s="65" t="str">
        <f>IFERROR(IF(IFERROR(MATCH(65,'كشف الحساب'!$N$4:$N$253,0),0)=0,"",INDEX('كشف الحساب'!$C$4:$C$253,IFERROR(MATCH(65,'كشف الحساب'!$N$4:$N$253,0),0))),"")</f>
        <v/>
      </c>
      <c r="D69" s="66" t="str">
        <f>IFERROR(IF(IFERROR(MATCH(65,'كشف الحساب'!$N$4:$N$253,0),0)=0,"",INDEX('كشف الحساب'!$D$4:$D$253,IFERROR(MATCH(65,'كشف الحساب'!$N$4:$N$253,0),0))),"")</f>
        <v/>
      </c>
      <c r="E69" s="67" t="str">
        <f>IFERROR(IF(IFERROR(MATCH(65,'كشف الحساب'!$N$4:$N$253,0),0)=0,"",INDEX('كشف الحساب'!$E$4:$E$253,IFERROR(MATCH(65,'كشف الحساب'!$N$4:$N$253,0),0))),"")</f>
        <v/>
      </c>
      <c r="F69" s="64" t="str">
        <f>IFERROR(IF(IFERROR(MATCH(65,'كشف الحساب'!$N$4:$N$253,0),0)=0,"",INDEX('كشف الحساب'!$F$4:$F$253,IFERROR(MATCH(65,'كشف الحساب'!$N$4:$N$253,0),0))),"")</f>
        <v/>
      </c>
      <c r="G69" s="64" t="str">
        <f>IFERROR(IF(IFERROR(MATCH(65,'كشف الحساب'!$N$4:$N$253,0),0)=0,"",INDEX('كشف الحساب'!$G$4:$G$253,IFERROR(MATCH(65,'كشف الحساب'!$N$4:$N$253,0),0))),"")</f>
        <v/>
      </c>
      <c r="H69" s="64" t="str">
        <f>IFERROR(IF(IFERROR(MATCH(65,'كشف الحساب'!$N$4:$N$253,0),0)=0,"",INDEX('كشف الحساب'!$H$4:$H$253,IFERROR(MATCH(65,'كشف الحساب'!$N$4:$N$253,0),0))),"")</f>
        <v/>
      </c>
      <c r="I69" s="64" t="str">
        <f>IFERROR(IF(IFERROR(MATCH(65,'كشف الحساب'!$N$4:$N$253,0),0)=0,"",INDEX('كشف الحساب'!$I$4:$I$253,IFERROR(MATCH(65,'كشف الحساب'!$N$4:$N$253,0),0))),"")</f>
        <v/>
      </c>
      <c r="J69" s="68" t="str">
        <f>IFERROR(IF(IFERROR(MATCH(65,'كشف الحساب'!$N$4:$N$253,0),0)=0,"",INDEX('كشف الحساب'!$J$4:$J$253,IFERROR(MATCH(65,'كشف الحساب'!$N$4:$N$253,0),0))),"")</f>
        <v/>
      </c>
      <c r="K69" s="64" t="str">
        <f>IFERROR(IF(IFERROR(MATCH(65,'كشف الحساب'!$N$4:$N$253,0),0)=0,"",INDEX('كشف الحساب'!$K$4:$K$253,IFERROR(MATCH(65,'كشف الحساب'!$N$4:$N$253,0),0))),"")</f>
        <v/>
      </c>
    </row>
    <row r="70" spans="1:11" ht="15" customHeight="1" x14ac:dyDescent="0.25">
      <c r="A70" s="69" t="str">
        <f>IFERROR(IF(IFERROR(MATCH(66,'كشف الحساب'!$N$4:$N$253,0),0)=0,"",INDEX('كشف الحساب'!$A$4:$A$253,IFERROR(MATCH(66,'كشف الحساب'!$N$4:$N$253,0),0))),"")</f>
        <v/>
      </c>
      <c r="B70" s="70" t="str">
        <f>IFERROR(IF(IFERROR(MATCH(66,'كشف الحساب'!$N$4:$N$253,0),0)=0,"",INDEX('كشف الحساب'!$B$4:$B$253,IFERROR(MATCH(66,'كشف الحساب'!$N$4:$N$253,0),0))),"")</f>
        <v/>
      </c>
      <c r="C70" s="71" t="str">
        <f>IFERROR(IF(IFERROR(MATCH(66,'كشف الحساب'!$N$4:$N$253,0),0)=0,"",INDEX('كشف الحساب'!$C$4:$C$253,IFERROR(MATCH(66,'كشف الحساب'!$N$4:$N$253,0),0))),"")</f>
        <v/>
      </c>
      <c r="D70" s="72" t="str">
        <f>IFERROR(IF(IFERROR(MATCH(66,'كشف الحساب'!$N$4:$N$253,0),0)=0,"",INDEX('كشف الحساب'!$D$4:$D$253,IFERROR(MATCH(66,'كشف الحساب'!$N$4:$N$253,0),0))),"")</f>
        <v/>
      </c>
      <c r="E70" s="73" t="str">
        <f>IFERROR(IF(IFERROR(MATCH(66,'كشف الحساب'!$N$4:$N$253,0),0)=0,"",INDEX('كشف الحساب'!$E$4:$E$253,IFERROR(MATCH(66,'كشف الحساب'!$N$4:$N$253,0),0))),"")</f>
        <v/>
      </c>
      <c r="F70" s="70" t="str">
        <f>IFERROR(IF(IFERROR(MATCH(66,'كشف الحساب'!$N$4:$N$253,0),0)=0,"",INDEX('كشف الحساب'!$F$4:$F$253,IFERROR(MATCH(66,'كشف الحساب'!$N$4:$N$253,0),0))),"")</f>
        <v/>
      </c>
      <c r="G70" s="70" t="str">
        <f>IFERROR(IF(IFERROR(MATCH(66,'كشف الحساب'!$N$4:$N$253,0),0)=0,"",INDEX('كشف الحساب'!$G$4:$G$253,IFERROR(MATCH(66,'كشف الحساب'!$N$4:$N$253,0),0))),"")</f>
        <v/>
      </c>
      <c r="H70" s="70" t="str">
        <f>IFERROR(IF(IFERROR(MATCH(66,'كشف الحساب'!$N$4:$N$253,0),0)=0,"",INDEX('كشف الحساب'!$H$4:$H$253,IFERROR(MATCH(66,'كشف الحساب'!$N$4:$N$253,0),0))),"")</f>
        <v/>
      </c>
      <c r="I70" s="70" t="str">
        <f>IFERROR(IF(IFERROR(MATCH(66,'كشف الحساب'!$N$4:$N$253,0),0)=0,"",INDEX('كشف الحساب'!$I$4:$I$253,IFERROR(MATCH(66,'كشف الحساب'!$N$4:$N$253,0),0))),"")</f>
        <v/>
      </c>
      <c r="J70" s="74" t="str">
        <f>IFERROR(IF(IFERROR(MATCH(66,'كشف الحساب'!$N$4:$N$253,0),0)=0,"",INDEX('كشف الحساب'!$J$4:$J$253,IFERROR(MATCH(66,'كشف الحساب'!$N$4:$N$253,0),0))),"")</f>
        <v/>
      </c>
      <c r="K70" s="70" t="str">
        <f>IFERROR(IF(IFERROR(MATCH(66,'كشف الحساب'!$N$4:$N$253,0),0)=0,"",INDEX('كشف الحساب'!$K$4:$K$253,IFERROR(MATCH(66,'كشف الحساب'!$N$4:$N$253,0),0))),"")</f>
        <v/>
      </c>
    </row>
    <row r="71" spans="1:11" ht="15" customHeight="1" x14ac:dyDescent="0.25">
      <c r="A71" s="63" t="str">
        <f>IFERROR(IF(IFERROR(MATCH(67,'كشف الحساب'!$N$4:$N$253,0),0)=0,"",INDEX('كشف الحساب'!$A$4:$A$253,IFERROR(MATCH(67,'كشف الحساب'!$N$4:$N$253,0),0))),"")</f>
        <v/>
      </c>
      <c r="B71" s="64" t="str">
        <f>IFERROR(IF(IFERROR(MATCH(67,'كشف الحساب'!$N$4:$N$253,0),0)=0,"",INDEX('كشف الحساب'!$B$4:$B$253,IFERROR(MATCH(67,'كشف الحساب'!$N$4:$N$253,0),0))),"")</f>
        <v/>
      </c>
      <c r="C71" s="65" t="str">
        <f>IFERROR(IF(IFERROR(MATCH(67,'كشف الحساب'!$N$4:$N$253,0),0)=0,"",INDEX('كشف الحساب'!$C$4:$C$253,IFERROR(MATCH(67,'كشف الحساب'!$N$4:$N$253,0),0))),"")</f>
        <v/>
      </c>
      <c r="D71" s="66" t="str">
        <f>IFERROR(IF(IFERROR(MATCH(67,'كشف الحساب'!$N$4:$N$253,0),0)=0,"",INDEX('كشف الحساب'!$D$4:$D$253,IFERROR(MATCH(67,'كشف الحساب'!$N$4:$N$253,0),0))),"")</f>
        <v/>
      </c>
      <c r="E71" s="67" t="str">
        <f>IFERROR(IF(IFERROR(MATCH(67,'كشف الحساب'!$N$4:$N$253,0),0)=0,"",INDEX('كشف الحساب'!$E$4:$E$253,IFERROR(MATCH(67,'كشف الحساب'!$N$4:$N$253,0),0))),"")</f>
        <v/>
      </c>
      <c r="F71" s="64" t="str">
        <f>IFERROR(IF(IFERROR(MATCH(67,'كشف الحساب'!$N$4:$N$253,0),0)=0,"",INDEX('كشف الحساب'!$F$4:$F$253,IFERROR(MATCH(67,'كشف الحساب'!$N$4:$N$253,0),0))),"")</f>
        <v/>
      </c>
      <c r="G71" s="64" t="str">
        <f>IFERROR(IF(IFERROR(MATCH(67,'كشف الحساب'!$N$4:$N$253,0),0)=0,"",INDEX('كشف الحساب'!$G$4:$G$253,IFERROR(MATCH(67,'كشف الحساب'!$N$4:$N$253,0),0))),"")</f>
        <v/>
      </c>
      <c r="H71" s="64" t="str">
        <f>IFERROR(IF(IFERROR(MATCH(67,'كشف الحساب'!$N$4:$N$253,0),0)=0,"",INDEX('كشف الحساب'!$H$4:$H$253,IFERROR(MATCH(67,'كشف الحساب'!$N$4:$N$253,0),0))),"")</f>
        <v/>
      </c>
      <c r="I71" s="64" t="str">
        <f>IFERROR(IF(IFERROR(MATCH(67,'كشف الحساب'!$N$4:$N$253,0),0)=0,"",INDEX('كشف الحساب'!$I$4:$I$253,IFERROR(MATCH(67,'كشف الحساب'!$N$4:$N$253,0),0))),"")</f>
        <v/>
      </c>
      <c r="J71" s="68" t="str">
        <f>IFERROR(IF(IFERROR(MATCH(67,'كشف الحساب'!$N$4:$N$253,0),0)=0,"",INDEX('كشف الحساب'!$J$4:$J$253,IFERROR(MATCH(67,'كشف الحساب'!$N$4:$N$253,0),0))),"")</f>
        <v/>
      </c>
      <c r="K71" s="64" t="str">
        <f>IFERROR(IF(IFERROR(MATCH(67,'كشف الحساب'!$N$4:$N$253,0),0)=0,"",INDEX('كشف الحساب'!$K$4:$K$253,IFERROR(MATCH(67,'كشف الحساب'!$N$4:$N$253,0),0))),"")</f>
        <v/>
      </c>
    </row>
    <row r="72" spans="1:11" ht="15" customHeight="1" x14ac:dyDescent="0.25">
      <c r="A72" s="69" t="str">
        <f>IFERROR(IF(IFERROR(MATCH(68,'كشف الحساب'!$N$4:$N$253,0),0)=0,"",INDEX('كشف الحساب'!$A$4:$A$253,IFERROR(MATCH(68,'كشف الحساب'!$N$4:$N$253,0),0))),"")</f>
        <v/>
      </c>
      <c r="B72" s="70" t="str">
        <f>IFERROR(IF(IFERROR(MATCH(68,'كشف الحساب'!$N$4:$N$253,0),0)=0,"",INDEX('كشف الحساب'!$B$4:$B$253,IFERROR(MATCH(68,'كشف الحساب'!$N$4:$N$253,0),0))),"")</f>
        <v/>
      </c>
      <c r="C72" s="71" t="str">
        <f>IFERROR(IF(IFERROR(MATCH(68,'كشف الحساب'!$N$4:$N$253,0),0)=0,"",INDEX('كشف الحساب'!$C$4:$C$253,IFERROR(MATCH(68,'كشف الحساب'!$N$4:$N$253,0),0))),"")</f>
        <v/>
      </c>
      <c r="D72" s="72" t="str">
        <f>IFERROR(IF(IFERROR(MATCH(68,'كشف الحساب'!$N$4:$N$253,0),0)=0,"",INDEX('كشف الحساب'!$D$4:$D$253,IFERROR(MATCH(68,'كشف الحساب'!$N$4:$N$253,0),0))),"")</f>
        <v/>
      </c>
      <c r="E72" s="73" t="str">
        <f>IFERROR(IF(IFERROR(MATCH(68,'كشف الحساب'!$N$4:$N$253,0),0)=0,"",INDEX('كشف الحساب'!$E$4:$E$253,IFERROR(MATCH(68,'كشف الحساب'!$N$4:$N$253,0),0))),"")</f>
        <v/>
      </c>
      <c r="F72" s="70" t="str">
        <f>IFERROR(IF(IFERROR(MATCH(68,'كشف الحساب'!$N$4:$N$253,0),0)=0,"",INDEX('كشف الحساب'!$F$4:$F$253,IFERROR(MATCH(68,'كشف الحساب'!$N$4:$N$253,0),0))),"")</f>
        <v/>
      </c>
      <c r="G72" s="70" t="str">
        <f>IFERROR(IF(IFERROR(MATCH(68,'كشف الحساب'!$N$4:$N$253,0),0)=0,"",INDEX('كشف الحساب'!$G$4:$G$253,IFERROR(MATCH(68,'كشف الحساب'!$N$4:$N$253,0),0))),"")</f>
        <v/>
      </c>
      <c r="H72" s="70" t="str">
        <f>IFERROR(IF(IFERROR(MATCH(68,'كشف الحساب'!$N$4:$N$253,0),0)=0,"",INDEX('كشف الحساب'!$H$4:$H$253,IFERROR(MATCH(68,'كشف الحساب'!$N$4:$N$253,0),0))),"")</f>
        <v/>
      </c>
      <c r="I72" s="70" t="str">
        <f>IFERROR(IF(IFERROR(MATCH(68,'كشف الحساب'!$N$4:$N$253,0),0)=0,"",INDEX('كشف الحساب'!$I$4:$I$253,IFERROR(MATCH(68,'كشف الحساب'!$N$4:$N$253,0),0))),"")</f>
        <v/>
      </c>
      <c r="J72" s="74" t="str">
        <f>IFERROR(IF(IFERROR(MATCH(68,'كشف الحساب'!$N$4:$N$253,0),0)=0,"",INDEX('كشف الحساب'!$J$4:$J$253,IFERROR(MATCH(68,'كشف الحساب'!$N$4:$N$253,0),0))),"")</f>
        <v/>
      </c>
      <c r="K72" s="70" t="str">
        <f>IFERROR(IF(IFERROR(MATCH(68,'كشف الحساب'!$N$4:$N$253,0),0)=0,"",INDEX('كشف الحساب'!$K$4:$K$253,IFERROR(MATCH(68,'كشف الحساب'!$N$4:$N$253,0),0))),"")</f>
        <v/>
      </c>
    </row>
    <row r="73" spans="1:11" ht="15" customHeight="1" x14ac:dyDescent="0.25">
      <c r="A73" s="63" t="str">
        <f>IFERROR(IF(IFERROR(MATCH(69,'كشف الحساب'!$N$4:$N$253,0),0)=0,"",INDEX('كشف الحساب'!$A$4:$A$253,IFERROR(MATCH(69,'كشف الحساب'!$N$4:$N$253,0),0))),"")</f>
        <v/>
      </c>
      <c r="B73" s="64" t="str">
        <f>IFERROR(IF(IFERROR(MATCH(69,'كشف الحساب'!$N$4:$N$253,0),0)=0,"",INDEX('كشف الحساب'!$B$4:$B$253,IFERROR(MATCH(69,'كشف الحساب'!$N$4:$N$253,0),0))),"")</f>
        <v/>
      </c>
      <c r="C73" s="65" t="str">
        <f>IFERROR(IF(IFERROR(MATCH(69,'كشف الحساب'!$N$4:$N$253,0),0)=0,"",INDEX('كشف الحساب'!$C$4:$C$253,IFERROR(MATCH(69,'كشف الحساب'!$N$4:$N$253,0),0))),"")</f>
        <v/>
      </c>
      <c r="D73" s="66" t="str">
        <f>IFERROR(IF(IFERROR(MATCH(69,'كشف الحساب'!$N$4:$N$253,0),0)=0,"",INDEX('كشف الحساب'!$D$4:$D$253,IFERROR(MATCH(69,'كشف الحساب'!$N$4:$N$253,0),0))),"")</f>
        <v/>
      </c>
      <c r="E73" s="67" t="str">
        <f>IFERROR(IF(IFERROR(MATCH(69,'كشف الحساب'!$N$4:$N$253,0),0)=0,"",INDEX('كشف الحساب'!$E$4:$E$253,IFERROR(MATCH(69,'كشف الحساب'!$N$4:$N$253,0),0))),"")</f>
        <v/>
      </c>
      <c r="F73" s="64" t="str">
        <f>IFERROR(IF(IFERROR(MATCH(69,'كشف الحساب'!$N$4:$N$253,0),0)=0,"",INDEX('كشف الحساب'!$F$4:$F$253,IFERROR(MATCH(69,'كشف الحساب'!$N$4:$N$253,0),0))),"")</f>
        <v/>
      </c>
      <c r="G73" s="64" t="str">
        <f>IFERROR(IF(IFERROR(MATCH(69,'كشف الحساب'!$N$4:$N$253,0),0)=0,"",INDEX('كشف الحساب'!$G$4:$G$253,IFERROR(MATCH(69,'كشف الحساب'!$N$4:$N$253,0),0))),"")</f>
        <v/>
      </c>
      <c r="H73" s="64" t="str">
        <f>IFERROR(IF(IFERROR(MATCH(69,'كشف الحساب'!$N$4:$N$253,0),0)=0,"",INDEX('كشف الحساب'!$H$4:$H$253,IFERROR(MATCH(69,'كشف الحساب'!$N$4:$N$253,0),0))),"")</f>
        <v/>
      </c>
      <c r="I73" s="64" t="str">
        <f>IFERROR(IF(IFERROR(MATCH(69,'كشف الحساب'!$N$4:$N$253,0),0)=0,"",INDEX('كشف الحساب'!$I$4:$I$253,IFERROR(MATCH(69,'كشف الحساب'!$N$4:$N$253,0),0))),"")</f>
        <v/>
      </c>
      <c r="J73" s="68" t="str">
        <f>IFERROR(IF(IFERROR(MATCH(69,'كشف الحساب'!$N$4:$N$253,0),0)=0,"",INDEX('كشف الحساب'!$J$4:$J$253,IFERROR(MATCH(69,'كشف الحساب'!$N$4:$N$253,0),0))),"")</f>
        <v/>
      </c>
      <c r="K73" s="64" t="str">
        <f>IFERROR(IF(IFERROR(MATCH(69,'كشف الحساب'!$N$4:$N$253,0),0)=0,"",INDEX('كشف الحساب'!$K$4:$K$253,IFERROR(MATCH(69,'كشف الحساب'!$N$4:$N$253,0),0))),"")</f>
        <v/>
      </c>
    </row>
    <row r="74" spans="1:11" ht="15" customHeight="1" x14ac:dyDescent="0.25">
      <c r="A74" s="69" t="str">
        <f>IFERROR(IF(IFERROR(MATCH(70,'كشف الحساب'!$N$4:$N$253,0),0)=0,"",INDEX('كشف الحساب'!$A$4:$A$253,IFERROR(MATCH(70,'كشف الحساب'!$N$4:$N$253,0),0))),"")</f>
        <v/>
      </c>
      <c r="B74" s="70" t="str">
        <f>IFERROR(IF(IFERROR(MATCH(70,'كشف الحساب'!$N$4:$N$253,0),0)=0,"",INDEX('كشف الحساب'!$B$4:$B$253,IFERROR(MATCH(70,'كشف الحساب'!$N$4:$N$253,0),0))),"")</f>
        <v/>
      </c>
      <c r="C74" s="71" t="str">
        <f>IFERROR(IF(IFERROR(MATCH(70,'كشف الحساب'!$N$4:$N$253,0),0)=0,"",INDEX('كشف الحساب'!$C$4:$C$253,IFERROR(MATCH(70,'كشف الحساب'!$N$4:$N$253,0),0))),"")</f>
        <v/>
      </c>
      <c r="D74" s="72" t="str">
        <f>IFERROR(IF(IFERROR(MATCH(70,'كشف الحساب'!$N$4:$N$253,0),0)=0,"",INDEX('كشف الحساب'!$D$4:$D$253,IFERROR(MATCH(70,'كشف الحساب'!$N$4:$N$253,0),0))),"")</f>
        <v/>
      </c>
      <c r="E74" s="73" t="str">
        <f>IFERROR(IF(IFERROR(MATCH(70,'كشف الحساب'!$N$4:$N$253,0),0)=0,"",INDEX('كشف الحساب'!$E$4:$E$253,IFERROR(MATCH(70,'كشف الحساب'!$N$4:$N$253,0),0))),"")</f>
        <v/>
      </c>
      <c r="F74" s="70" t="str">
        <f>IFERROR(IF(IFERROR(MATCH(70,'كشف الحساب'!$N$4:$N$253,0),0)=0,"",INDEX('كشف الحساب'!$F$4:$F$253,IFERROR(MATCH(70,'كشف الحساب'!$N$4:$N$253,0),0))),"")</f>
        <v/>
      </c>
      <c r="G74" s="70" t="str">
        <f>IFERROR(IF(IFERROR(MATCH(70,'كشف الحساب'!$N$4:$N$253,0),0)=0,"",INDEX('كشف الحساب'!$G$4:$G$253,IFERROR(MATCH(70,'كشف الحساب'!$N$4:$N$253,0),0))),"")</f>
        <v/>
      </c>
      <c r="H74" s="70" t="str">
        <f>IFERROR(IF(IFERROR(MATCH(70,'كشف الحساب'!$N$4:$N$253,0),0)=0,"",INDEX('كشف الحساب'!$H$4:$H$253,IFERROR(MATCH(70,'كشف الحساب'!$N$4:$N$253,0),0))),"")</f>
        <v/>
      </c>
      <c r="I74" s="70" t="str">
        <f>IFERROR(IF(IFERROR(MATCH(70,'كشف الحساب'!$N$4:$N$253,0),0)=0,"",INDEX('كشف الحساب'!$I$4:$I$253,IFERROR(MATCH(70,'كشف الحساب'!$N$4:$N$253,0),0))),"")</f>
        <v/>
      </c>
      <c r="J74" s="74" t="str">
        <f>IFERROR(IF(IFERROR(MATCH(70,'كشف الحساب'!$N$4:$N$253,0),0)=0,"",INDEX('كشف الحساب'!$J$4:$J$253,IFERROR(MATCH(70,'كشف الحساب'!$N$4:$N$253,0),0))),"")</f>
        <v/>
      </c>
      <c r="K74" s="70" t="str">
        <f>IFERROR(IF(IFERROR(MATCH(70,'كشف الحساب'!$N$4:$N$253,0),0)=0,"",INDEX('كشف الحساب'!$K$4:$K$253,IFERROR(MATCH(70,'كشف الحساب'!$N$4:$N$253,0),0))),"")</f>
        <v/>
      </c>
    </row>
    <row r="75" spans="1:11" ht="15" customHeight="1" x14ac:dyDescent="0.25">
      <c r="A75" s="63" t="str">
        <f>IFERROR(IF(IFERROR(MATCH(71,'كشف الحساب'!$N$4:$N$253,0),0)=0,"",INDEX('كشف الحساب'!$A$4:$A$253,IFERROR(MATCH(71,'كشف الحساب'!$N$4:$N$253,0),0))),"")</f>
        <v/>
      </c>
      <c r="B75" s="64" t="str">
        <f>IFERROR(IF(IFERROR(MATCH(71,'كشف الحساب'!$N$4:$N$253,0),0)=0,"",INDEX('كشف الحساب'!$B$4:$B$253,IFERROR(MATCH(71,'كشف الحساب'!$N$4:$N$253,0),0))),"")</f>
        <v/>
      </c>
      <c r="C75" s="65" t="str">
        <f>IFERROR(IF(IFERROR(MATCH(71,'كشف الحساب'!$N$4:$N$253,0),0)=0,"",INDEX('كشف الحساب'!$C$4:$C$253,IFERROR(MATCH(71,'كشف الحساب'!$N$4:$N$253,0),0))),"")</f>
        <v/>
      </c>
      <c r="D75" s="66" t="str">
        <f>IFERROR(IF(IFERROR(MATCH(71,'كشف الحساب'!$N$4:$N$253,0),0)=0,"",INDEX('كشف الحساب'!$D$4:$D$253,IFERROR(MATCH(71,'كشف الحساب'!$N$4:$N$253,0),0))),"")</f>
        <v/>
      </c>
      <c r="E75" s="67" t="str">
        <f>IFERROR(IF(IFERROR(MATCH(71,'كشف الحساب'!$N$4:$N$253,0),0)=0,"",INDEX('كشف الحساب'!$E$4:$E$253,IFERROR(MATCH(71,'كشف الحساب'!$N$4:$N$253,0),0))),"")</f>
        <v/>
      </c>
      <c r="F75" s="64" t="str">
        <f>IFERROR(IF(IFERROR(MATCH(71,'كشف الحساب'!$N$4:$N$253,0),0)=0,"",INDEX('كشف الحساب'!$F$4:$F$253,IFERROR(MATCH(71,'كشف الحساب'!$N$4:$N$253,0),0))),"")</f>
        <v/>
      </c>
      <c r="G75" s="64" t="str">
        <f>IFERROR(IF(IFERROR(MATCH(71,'كشف الحساب'!$N$4:$N$253,0),0)=0,"",INDEX('كشف الحساب'!$G$4:$G$253,IFERROR(MATCH(71,'كشف الحساب'!$N$4:$N$253,0),0))),"")</f>
        <v/>
      </c>
      <c r="H75" s="64" t="str">
        <f>IFERROR(IF(IFERROR(MATCH(71,'كشف الحساب'!$N$4:$N$253,0),0)=0,"",INDEX('كشف الحساب'!$H$4:$H$253,IFERROR(MATCH(71,'كشف الحساب'!$N$4:$N$253,0),0))),"")</f>
        <v/>
      </c>
      <c r="I75" s="64" t="str">
        <f>IFERROR(IF(IFERROR(MATCH(71,'كشف الحساب'!$N$4:$N$253,0),0)=0,"",INDEX('كشف الحساب'!$I$4:$I$253,IFERROR(MATCH(71,'كشف الحساب'!$N$4:$N$253,0),0))),"")</f>
        <v/>
      </c>
      <c r="J75" s="68" t="str">
        <f>IFERROR(IF(IFERROR(MATCH(71,'كشف الحساب'!$N$4:$N$253,0),0)=0,"",INDEX('كشف الحساب'!$J$4:$J$253,IFERROR(MATCH(71,'كشف الحساب'!$N$4:$N$253,0),0))),"")</f>
        <v/>
      </c>
      <c r="K75" s="64" t="str">
        <f>IFERROR(IF(IFERROR(MATCH(71,'كشف الحساب'!$N$4:$N$253,0),0)=0,"",INDEX('كشف الحساب'!$K$4:$K$253,IFERROR(MATCH(71,'كشف الحساب'!$N$4:$N$253,0),0))),"")</f>
        <v/>
      </c>
    </row>
    <row r="76" spans="1:11" ht="15" customHeight="1" x14ac:dyDescent="0.25">
      <c r="A76" s="69" t="str">
        <f>IFERROR(IF(IFERROR(MATCH(72,'كشف الحساب'!$N$4:$N$253,0),0)=0,"",INDEX('كشف الحساب'!$A$4:$A$253,IFERROR(MATCH(72,'كشف الحساب'!$N$4:$N$253,0),0))),"")</f>
        <v/>
      </c>
      <c r="B76" s="70" t="str">
        <f>IFERROR(IF(IFERROR(MATCH(72,'كشف الحساب'!$N$4:$N$253,0),0)=0,"",INDEX('كشف الحساب'!$B$4:$B$253,IFERROR(MATCH(72,'كشف الحساب'!$N$4:$N$253,0),0))),"")</f>
        <v/>
      </c>
      <c r="C76" s="71" t="str">
        <f>IFERROR(IF(IFERROR(MATCH(72,'كشف الحساب'!$N$4:$N$253,0),0)=0,"",INDEX('كشف الحساب'!$C$4:$C$253,IFERROR(MATCH(72,'كشف الحساب'!$N$4:$N$253,0),0))),"")</f>
        <v/>
      </c>
      <c r="D76" s="72" t="str">
        <f>IFERROR(IF(IFERROR(MATCH(72,'كشف الحساب'!$N$4:$N$253,0),0)=0,"",INDEX('كشف الحساب'!$D$4:$D$253,IFERROR(MATCH(72,'كشف الحساب'!$N$4:$N$253,0),0))),"")</f>
        <v/>
      </c>
      <c r="E76" s="73" t="str">
        <f>IFERROR(IF(IFERROR(MATCH(72,'كشف الحساب'!$N$4:$N$253,0),0)=0,"",INDEX('كشف الحساب'!$E$4:$E$253,IFERROR(MATCH(72,'كشف الحساب'!$N$4:$N$253,0),0))),"")</f>
        <v/>
      </c>
      <c r="F76" s="70" t="str">
        <f>IFERROR(IF(IFERROR(MATCH(72,'كشف الحساب'!$N$4:$N$253,0),0)=0,"",INDEX('كشف الحساب'!$F$4:$F$253,IFERROR(MATCH(72,'كشف الحساب'!$N$4:$N$253,0),0))),"")</f>
        <v/>
      </c>
      <c r="G76" s="70" t="str">
        <f>IFERROR(IF(IFERROR(MATCH(72,'كشف الحساب'!$N$4:$N$253,0),0)=0,"",INDEX('كشف الحساب'!$G$4:$G$253,IFERROR(MATCH(72,'كشف الحساب'!$N$4:$N$253,0),0))),"")</f>
        <v/>
      </c>
      <c r="H76" s="70" t="str">
        <f>IFERROR(IF(IFERROR(MATCH(72,'كشف الحساب'!$N$4:$N$253,0),0)=0,"",INDEX('كشف الحساب'!$H$4:$H$253,IFERROR(MATCH(72,'كشف الحساب'!$N$4:$N$253,0),0))),"")</f>
        <v/>
      </c>
      <c r="I76" s="70" t="str">
        <f>IFERROR(IF(IFERROR(MATCH(72,'كشف الحساب'!$N$4:$N$253,0),0)=0,"",INDEX('كشف الحساب'!$I$4:$I$253,IFERROR(MATCH(72,'كشف الحساب'!$N$4:$N$253,0),0))),"")</f>
        <v/>
      </c>
      <c r="J76" s="74" t="str">
        <f>IFERROR(IF(IFERROR(MATCH(72,'كشف الحساب'!$N$4:$N$253,0),0)=0,"",INDEX('كشف الحساب'!$J$4:$J$253,IFERROR(MATCH(72,'كشف الحساب'!$N$4:$N$253,0),0))),"")</f>
        <v/>
      </c>
      <c r="K76" s="70" t="str">
        <f>IFERROR(IF(IFERROR(MATCH(72,'كشف الحساب'!$N$4:$N$253,0),0)=0,"",INDEX('كشف الحساب'!$K$4:$K$253,IFERROR(MATCH(72,'كشف الحساب'!$N$4:$N$253,0),0))),"")</f>
        <v/>
      </c>
    </row>
    <row r="77" spans="1:11" ht="15" customHeight="1" x14ac:dyDescent="0.25">
      <c r="A77" s="63" t="str">
        <f>IFERROR(IF(IFERROR(MATCH(73,'كشف الحساب'!$N$4:$N$253,0),0)=0,"",INDEX('كشف الحساب'!$A$4:$A$253,IFERROR(MATCH(73,'كشف الحساب'!$N$4:$N$253,0),0))),"")</f>
        <v/>
      </c>
      <c r="B77" s="64" t="str">
        <f>IFERROR(IF(IFERROR(MATCH(73,'كشف الحساب'!$N$4:$N$253,0),0)=0,"",INDEX('كشف الحساب'!$B$4:$B$253,IFERROR(MATCH(73,'كشف الحساب'!$N$4:$N$253,0),0))),"")</f>
        <v/>
      </c>
      <c r="C77" s="65" t="str">
        <f>IFERROR(IF(IFERROR(MATCH(73,'كشف الحساب'!$N$4:$N$253,0),0)=0,"",INDEX('كشف الحساب'!$C$4:$C$253,IFERROR(MATCH(73,'كشف الحساب'!$N$4:$N$253,0),0))),"")</f>
        <v/>
      </c>
      <c r="D77" s="66" t="str">
        <f>IFERROR(IF(IFERROR(MATCH(73,'كشف الحساب'!$N$4:$N$253,0),0)=0,"",INDEX('كشف الحساب'!$D$4:$D$253,IFERROR(MATCH(73,'كشف الحساب'!$N$4:$N$253,0),0))),"")</f>
        <v/>
      </c>
      <c r="E77" s="67" t="str">
        <f>IFERROR(IF(IFERROR(MATCH(73,'كشف الحساب'!$N$4:$N$253,0),0)=0,"",INDEX('كشف الحساب'!$E$4:$E$253,IFERROR(MATCH(73,'كشف الحساب'!$N$4:$N$253,0),0))),"")</f>
        <v/>
      </c>
      <c r="F77" s="64" t="str">
        <f>IFERROR(IF(IFERROR(MATCH(73,'كشف الحساب'!$N$4:$N$253,0),0)=0,"",INDEX('كشف الحساب'!$F$4:$F$253,IFERROR(MATCH(73,'كشف الحساب'!$N$4:$N$253,0),0))),"")</f>
        <v/>
      </c>
      <c r="G77" s="64" t="str">
        <f>IFERROR(IF(IFERROR(MATCH(73,'كشف الحساب'!$N$4:$N$253,0),0)=0,"",INDEX('كشف الحساب'!$G$4:$G$253,IFERROR(MATCH(73,'كشف الحساب'!$N$4:$N$253,0),0))),"")</f>
        <v/>
      </c>
      <c r="H77" s="64" t="str">
        <f>IFERROR(IF(IFERROR(MATCH(73,'كشف الحساب'!$N$4:$N$253,0),0)=0,"",INDEX('كشف الحساب'!$H$4:$H$253,IFERROR(MATCH(73,'كشف الحساب'!$N$4:$N$253,0),0))),"")</f>
        <v/>
      </c>
      <c r="I77" s="64" t="str">
        <f>IFERROR(IF(IFERROR(MATCH(73,'كشف الحساب'!$N$4:$N$253,0),0)=0,"",INDEX('كشف الحساب'!$I$4:$I$253,IFERROR(MATCH(73,'كشف الحساب'!$N$4:$N$253,0),0))),"")</f>
        <v/>
      </c>
      <c r="J77" s="68" t="str">
        <f>IFERROR(IF(IFERROR(MATCH(73,'كشف الحساب'!$N$4:$N$253,0),0)=0,"",INDEX('كشف الحساب'!$J$4:$J$253,IFERROR(MATCH(73,'كشف الحساب'!$N$4:$N$253,0),0))),"")</f>
        <v/>
      </c>
      <c r="K77" s="64" t="str">
        <f>IFERROR(IF(IFERROR(MATCH(73,'كشف الحساب'!$N$4:$N$253,0),0)=0,"",INDEX('كشف الحساب'!$K$4:$K$253,IFERROR(MATCH(73,'كشف الحساب'!$N$4:$N$253,0),0))),"")</f>
        <v/>
      </c>
    </row>
    <row r="78" spans="1:11" ht="15" customHeight="1" x14ac:dyDescent="0.25">
      <c r="A78" s="69" t="str">
        <f>IFERROR(IF(IFERROR(MATCH(74,'كشف الحساب'!$N$4:$N$253,0),0)=0,"",INDEX('كشف الحساب'!$A$4:$A$253,IFERROR(MATCH(74,'كشف الحساب'!$N$4:$N$253,0),0))),"")</f>
        <v/>
      </c>
      <c r="B78" s="70" t="str">
        <f>IFERROR(IF(IFERROR(MATCH(74,'كشف الحساب'!$N$4:$N$253,0),0)=0,"",INDEX('كشف الحساب'!$B$4:$B$253,IFERROR(MATCH(74,'كشف الحساب'!$N$4:$N$253,0),0))),"")</f>
        <v/>
      </c>
      <c r="C78" s="71" t="str">
        <f>IFERROR(IF(IFERROR(MATCH(74,'كشف الحساب'!$N$4:$N$253,0),0)=0,"",INDEX('كشف الحساب'!$C$4:$C$253,IFERROR(MATCH(74,'كشف الحساب'!$N$4:$N$253,0),0))),"")</f>
        <v/>
      </c>
      <c r="D78" s="72" t="str">
        <f>IFERROR(IF(IFERROR(MATCH(74,'كشف الحساب'!$N$4:$N$253,0),0)=0,"",INDEX('كشف الحساب'!$D$4:$D$253,IFERROR(MATCH(74,'كشف الحساب'!$N$4:$N$253,0),0))),"")</f>
        <v/>
      </c>
      <c r="E78" s="73" t="str">
        <f>IFERROR(IF(IFERROR(MATCH(74,'كشف الحساب'!$N$4:$N$253,0),0)=0,"",INDEX('كشف الحساب'!$E$4:$E$253,IFERROR(MATCH(74,'كشف الحساب'!$N$4:$N$253,0),0))),"")</f>
        <v/>
      </c>
      <c r="F78" s="70" t="str">
        <f>IFERROR(IF(IFERROR(MATCH(74,'كشف الحساب'!$N$4:$N$253,0),0)=0,"",INDEX('كشف الحساب'!$F$4:$F$253,IFERROR(MATCH(74,'كشف الحساب'!$N$4:$N$253,0),0))),"")</f>
        <v/>
      </c>
      <c r="G78" s="70" t="str">
        <f>IFERROR(IF(IFERROR(MATCH(74,'كشف الحساب'!$N$4:$N$253,0),0)=0,"",INDEX('كشف الحساب'!$G$4:$G$253,IFERROR(MATCH(74,'كشف الحساب'!$N$4:$N$253,0),0))),"")</f>
        <v/>
      </c>
      <c r="H78" s="70" t="str">
        <f>IFERROR(IF(IFERROR(MATCH(74,'كشف الحساب'!$N$4:$N$253,0),0)=0,"",INDEX('كشف الحساب'!$H$4:$H$253,IFERROR(MATCH(74,'كشف الحساب'!$N$4:$N$253,0),0))),"")</f>
        <v/>
      </c>
      <c r="I78" s="70" t="str">
        <f>IFERROR(IF(IFERROR(MATCH(74,'كشف الحساب'!$N$4:$N$253,0),0)=0,"",INDEX('كشف الحساب'!$I$4:$I$253,IFERROR(MATCH(74,'كشف الحساب'!$N$4:$N$253,0),0))),"")</f>
        <v/>
      </c>
      <c r="J78" s="74" t="str">
        <f>IFERROR(IF(IFERROR(MATCH(74,'كشف الحساب'!$N$4:$N$253,0),0)=0,"",INDEX('كشف الحساب'!$J$4:$J$253,IFERROR(MATCH(74,'كشف الحساب'!$N$4:$N$253,0),0))),"")</f>
        <v/>
      </c>
      <c r="K78" s="70" t="str">
        <f>IFERROR(IF(IFERROR(MATCH(74,'كشف الحساب'!$N$4:$N$253,0),0)=0,"",INDEX('كشف الحساب'!$K$4:$K$253,IFERROR(MATCH(74,'كشف الحساب'!$N$4:$N$253,0),0))),"")</f>
        <v/>
      </c>
    </row>
    <row r="79" spans="1:11" ht="15" customHeight="1" x14ac:dyDescent="0.25">
      <c r="A79" s="63" t="str">
        <f>IFERROR(IF(IFERROR(MATCH(75,'كشف الحساب'!$N$4:$N$253,0),0)=0,"",INDEX('كشف الحساب'!$A$4:$A$253,IFERROR(MATCH(75,'كشف الحساب'!$N$4:$N$253,0),0))),"")</f>
        <v/>
      </c>
      <c r="B79" s="64" t="str">
        <f>IFERROR(IF(IFERROR(MATCH(75,'كشف الحساب'!$N$4:$N$253,0),0)=0,"",INDEX('كشف الحساب'!$B$4:$B$253,IFERROR(MATCH(75,'كشف الحساب'!$N$4:$N$253,0),0))),"")</f>
        <v/>
      </c>
      <c r="C79" s="65" t="str">
        <f>IFERROR(IF(IFERROR(MATCH(75,'كشف الحساب'!$N$4:$N$253,0),0)=0,"",INDEX('كشف الحساب'!$C$4:$C$253,IFERROR(MATCH(75,'كشف الحساب'!$N$4:$N$253,0),0))),"")</f>
        <v/>
      </c>
      <c r="D79" s="66" t="str">
        <f>IFERROR(IF(IFERROR(MATCH(75,'كشف الحساب'!$N$4:$N$253,0),0)=0,"",INDEX('كشف الحساب'!$D$4:$D$253,IFERROR(MATCH(75,'كشف الحساب'!$N$4:$N$253,0),0))),"")</f>
        <v/>
      </c>
      <c r="E79" s="67" t="str">
        <f>IFERROR(IF(IFERROR(MATCH(75,'كشف الحساب'!$N$4:$N$253,0),0)=0,"",INDEX('كشف الحساب'!$E$4:$E$253,IFERROR(MATCH(75,'كشف الحساب'!$N$4:$N$253,0),0))),"")</f>
        <v/>
      </c>
      <c r="F79" s="64" t="str">
        <f>IFERROR(IF(IFERROR(MATCH(75,'كشف الحساب'!$N$4:$N$253,0),0)=0,"",INDEX('كشف الحساب'!$F$4:$F$253,IFERROR(MATCH(75,'كشف الحساب'!$N$4:$N$253,0),0))),"")</f>
        <v/>
      </c>
      <c r="G79" s="64" t="str">
        <f>IFERROR(IF(IFERROR(MATCH(75,'كشف الحساب'!$N$4:$N$253,0),0)=0,"",INDEX('كشف الحساب'!$G$4:$G$253,IFERROR(MATCH(75,'كشف الحساب'!$N$4:$N$253,0),0))),"")</f>
        <v/>
      </c>
      <c r="H79" s="64" t="str">
        <f>IFERROR(IF(IFERROR(MATCH(75,'كشف الحساب'!$N$4:$N$253,0),0)=0,"",INDEX('كشف الحساب'!$H$4:$H$253,IFERROR(MATCH(75,'كشف الحساب'!$N$4:$N$253,0),0))),"")</f>
        <v/>
      </c>
      <c r="I79" s="64" t="str">
        <f>IFERROR(IF(IFERROR(MATCH(75,'كشف الحساب'!$N$4:$N$253,0),0)=0,"",INDEX('كشف الحساب'!$I$4:$I$253,IFERROR(MATCH(75,'كشف الحساب'!$N$4:$N$253,0),0))),"")</f>
        <v/>
      </c>
      <c r="J79" s="68" t="str">
        <f>IFERROR(IF(IFERROR(MATCH(75,'كشف الحساب'!$N$4:$N$253,0),0)=0,"",INDEX('كشف الحساب'!$J$4:$J$253,IFERROR(MATCH(75,'كشف الحساب'!$N$4:$N$253,0),0))),"")</f>
        <v/>
      </c>
      <c r="K79" s="64" t="str">
        <f>IFERROR(IF(IFERROR(MATCH(75,'كشف الحساب'!$N$4:$N$253,0),0)=0,"",INDEX('كشف الحساب'!$K$4:$K$253,IFERROR(MATCH(75,'كشف الحساب'!$N$4:$N$253,0),0))),"")</f>
        <v/>
      </c>
    </row>
    <row r="80" spans="1:11" ht="15" customHeight="1" x14ac:dyDescent="0.25">
      <c r="A80" s="69" t="str">
        <f>IFERROR(IF(IFERROR(MATCH(76,'كشف الحساب'!$N$4:$N$253,0),0)=0,"",INDEX('كشف الحساب'!$A$4:$A$253,IFERROR(MATCH(76,'كشف الحساب'!$N$4:$N$253,0),0))),"")</f>
        <v/>
      </c>
      <c r="B80" s="70" t="str">
        <f>IFERROR(IF(IFERROR(MATCH(76,'كشف الحساب'!$N$4:$N$253,0),0)=0,"",INDEX('كشف الحساب'!$B$4:$B$253,IFERROR(MATCH(76,'كشف الحساب'!$N$4:$N$253,0),0))),"")</f>
        <v/>
      </c>
      <c r="C80" s="71" t="str">
        <f>IFERROR(IF(IFERROR(MATCH(76,'كشف الحساب'!$N$4:$N$253,0),0)=0,"",INDEX('كشف الحساب'!$C$4:$C$253,IFERROR(MATCH(76,'كشف الحساب'!$N$4:$N$253,0),0))),"")</f>
        <v/>
      </c>
      <c r="D80" s="72" t="str">
        <f>IFERROR(IF(IFERROR(MATCH(76,'كشف الحساب'!$N$4:$N$253,0),0)=0,"",INDEX('كشف الحساب'!$D$4:$D$253,IFERROR(MATCH(76,'كشف الحساب'!$N$4:$N$253,0),0))),"")</f>
        <v/>
      </c>
      <c r="E80" s="73" t="str">
        <f>IFERROR(IF(IFERROR(MATCH(76,'كشف الحساب'!$N$4:$N$253,0),0)=0,"",INDEX('كشف الحساب'!$E$4:$E$253,IFERROR(MATCH(76,'كشف الحساب'!$N$4:$N$253,0),0))),"")</f>
        <v/>
      </c>
      <c r="F80" s="70" t="str">
        <f>IFERROR(IF(IFERROR(MATCH(76,'كشف الحساب'!$N$4:$N$253,0),0)=0,"",INDEX('كشف الحساب'!$F$4:$F$253,IFERROR(MATCH(76,'كشف الحساب'!$N$4:$N$253,0),0))),"")</f>
        <v/>
      </c>
      <c r="G80" s="70" t="str">
        <f>IFERROR(IF(IFERROR(MATCH(76,'كشف الحساب'!$N$4:$N$253,0),0)=0,"",INDEX('كشف الحساب'!$G$4:$G$253,IFERROR(MATCH(76,'كشف الحساب'!$N$4:$N$253,0),0))),"")</f>
        <v/>
      </c>
      <c r="H80" s="70" t="str">
        <f>IFERROR(IF(IFERROR(MATCH(76,'كشف الحساب'!$N$4:$N$253,0),0)=0,"",INDEX('كشف الحساب'!$H$4:$H$253,IFERROR(MATCH(76,'كشف الحساب'!$N$4:$N$253,0),0))),"")</f>
        <v/>
      </c>
      <c r="I80" s="70" t="str">
        <f>IFERROR(IF(IFERROR(MATCH(76,'كشف الحساب'!$N$4:$N$253,0),0)=0,"",INDEX('كشف الحساب'!$I$4:$I$253,IFERROR(MATCH(76,'كشف الحساب'!$N$4:$N$253,0),0))),"")</f>
        <v/>
      </c>
      <c r="J80" s="74" t="str">
        <f>IFERROR(IF(IFERROR(MATCH(76,'كشف الحساب'!$N$4:$N$253,0),0)=0,"",INDEX('كشف الحساب'!$J$4:$J$253,IFERROR(MATCH(76,'كشف الحساب'!$N$4:$N$253,0),0))),"")</f>
        <v/>
      </c>
      <c r="K80" s="70" t="str">
        <f>IFERROR(IF(IFERROR(MATCH(76,'كشف الحساب'!$N$4:$N$253,0),0)=0,"",INDEX('كشف الحساب'!$K$4:$K$253,IFERROR(MATCH(76,'كشف الحساب'!$N$4:$N$253,0),0))),"")</f>
        <v/>
      </c>
    </row>
    <row r="81" spans="1:11" ht="15" customHeight="1" x14ac:dyDescent="0.25">
      <c r="A81" s="63" t="str">
        <f>IFERROR(IF(IFERROR(MATCH(77,'كشف الحساب'!$N$4:$N$253,0),0)=0,"",INDEX('كشف الحساب'!$A$4:$A$253,IFERROR(MATCH(77,'كشف الحساب'!$N$4:$N$253,0),0))),"")</f>
        <v/>
      </c>
      <c r="B81" s="64" t="str">
        <f>IFERROR(IF(IFERROR(MATCH(77,'كشف الحساب'!$N$4:$N$253,0),0)=0,"",INDEX('كشف الحساب'!$B$4:$B$253,IFERROR(MATCH(77,'كشف الحساب'!$N$4:$N$253,0),0))),"")</f>
        <v/>
      </c>
      <c r="C81" s="65" t="str">
        <f>IFERROR(IF(IFERROR(MATCH(77,'كشف الحساب'!$N$4:$N$253,0),0)=0,"",INDEX('كشف الحساب'!$C$4:$C$253,IFERROR(MATCH(77,'كشف الحساب'!$N$4:$N$253,0),0))),"")</f>
        <v/>
      </c>
      <c r="D81" s="66" t="str">
        <f>IFERROR(IF(IFERROR(MATCH(77,'كشف الحساب'!$N$4:$N$253,0),0)=0,"",INDEX('كشف الحساب'!$D$4:$D$253,IFERROR(MATCH(77,'كشف الحساب'!$N$4:$N$253,0),0))),"")</f>
        <v/>
      </c>
      <c r="E81" s="67" t="str">
        <f>IFERROR(IF(IFERROR(MATCH(77,'كشف الحساب'!$N$4:$N$253,0),0)=0,"",INDEX('كشف الحساب'!$E$4:$E$253,IFERROR(MATCH(77,'كشف الحساب'!$N$4:$N$253,0),0))),"")</f>
        <v/>
      </c>
      <c r="F81" s="64" t="str">
        <f>IFERROR(IF(IFERROR(MATCH(77,'كشف الحساب'!$N$4:$N$253,0),0)=0,"",INDEX('كشف الحساب'!$F$4:$F$253,IFERROR(MATCH(77,'كشف الحساب'!$N$4:$N$253,0),0))),"")</f>
        <v/>
      </c>
      <c r="G81" s="64" t="str">
        <f>IFERROR(IF(IFERROR(MATCH(77,'كشف الحساب'!$N$4:$N$253,0),0)=0,"",INDEX('كشف الحساب'!$G$4:$G$253,IFERROR(MATCH(77,'كشف الحساب'!$N$4:$N$253,0),0))),"")</f>
        <v/>
      </c>
      <c r="H81" s="64" t="str">
        <f>IFERROR(IF(IFERROR(MATCH(77,'كشف الحساب'!$N$4:$N$253,0),0)=0,"",INDEX('كشف الحساب'!$H$4:$H$253,IFERROR(MATCH(77,'كشف الحساب'!$N$4:$N$253,0),0))),"")</f>
        <v/>
      </c>
      <c r="I81" s="64" t="str">
        <f>IFERROR(IF(IFERROR(MATCH(77,'كشف الحساب'!$N$4:$N$253,0),0)=0,"",INDEX('كشف الحساب'!$I$4:$I$253,IFERROR(MATCH(77,'كشف الحساب'!$N$4:$N$253,0),0))),"")</f>
        <v/>
      </c>
      <c r="J81" s="68" t="str">
        <f>IFERROR(IF(IFERROR(MATCH(77,'كشف الحساب'!$N$4:$N$253,0),0)=0,"",INDEX('كشف الحساب'!$J$4:$J$253,IFERROR(MATCH(77,'كشف الحساب'!$N$4:$N$253,0),0))),"")</f>
        <v/>
      </c>
      <c r="K81" s="64" t="str">
        <f>IFERROR(IF(IFERROR(MATCH(77,'كشف الحساب'!$N$4:$N$253,0),0)=0,"",INDEX('كشف الحساب'!$K$4:$K$253,IFERROR(MATCH(77,'كشف الحساب'!$N$4:$N$253,0),0))),"")</f>
        <v/>
      </c>
    </row>
    <row r="82" spans="1:11" ht="15" customHeight="1" x14ac:dyDescent="0.25">
      <c r="A82" s="69" t="str">
        <f>IFERROR(IF(IFERROR(MATCH(78,'كشف الحساب'!$N$4:$N$253,0),0)=0,"",INDEX('كشف الحساب'!$A$4:$A$253,IFERROR(MATCH(78,'كشف الحساب'!$N$4:$N$253,0),0))),"")</f>
        <v/>
      </c>
      <c r="B82" s="70" t="str">
        <f>IFERROR(IF(IFERROR(MATCH(78,'كشف الحساب'!$N$4:$N$253,0),0)=0,"",INDEX('كشف الحساب'!$B$4:$B$253,IFERROR(MATCH(78,'كشف الحساب'!$N$4:$N$253,0),0))),"")</f>
        <v/>
      </c>
      <c r="C82" s="71" t="str">
        <f>IFERROR(IF(IFERROR(MATCH(78,'كشف الحساب'!$N$4:$N$253,0),0)=0,"",INDEX('كشف الحساب'!$C$4:$C$253,IFERROR(MATCH(78,'كشف الحساب'!$N$4:$N$253,0),0))),"")</f>
        <v/>
      </c>
      <c r="D82" s="72" t="str">
        <f>IFERROR(IF(IFERROR(MATCH(78,'كشف الحساب'!$N$4:$N$253,0),0)=0,"",INDEX('كشف الحساب'!$D$4:$D$253,IFERROR(MATCH(78,'كشف الحساب'!$N$4:$N$253,0),0))),"")</f>
        <v/>
      </c>
      <c r="E82" s="73" t="str">
        <f>IFERROR(IF(IFERROR(MATCH(78,'كشف الحساب'!$N$4:$N$253,0),0)=0,"",INDEX('كشف الحساب'!$E$4:$E$253,IFERROR(MATCH(78,'كشف الحساب'!$N$4:$N$253,0),0))),"")</f>
        <v/>
      </c>
      <c r="F82" s="70" t="str">
        <f>IFERROR(IF(IFERROR(MATCH(78,'كشف الحساب'!$N$4:$N$253,0),0)=0,"",INDEX('كشف الحساب'!$F$4:$F$253,IFERROR(MATCH(78,'كشف الحساب'!$N$4:$N$253,0),0))),"")</f>
        <v/>
      </c>
      <c r="G82" s="70" t="str">
        <f>IFERROR(IF(IFERROR(MATCH(78,'كشف الحساب'!$N$4:$N$253,0),0)=0,"",INDEX('كشف الحساب'!$G$4:$G$253,IFERROR(MATCH(78,'كشف الحساب'!$N$4:$N$253,0),0))),"")</f>
        <v/>
      </c>
      <c r="H82" s="70" t="str">
        <f>IFERROR(IF(IFERROR(MATCH(78,'كشف الحساب'!$N$4:$N$253,0),0)=0,"",INDEX('كشف الحساب'!$H$4:$H$253,IFERROR(MATCH(78,'كشف الحساب'!$N$4:$N$253,0),0))),"")</f>
        <v/>
      </c>
      <c r="I82" s="70" t="str">
        <f>IFERROR(IF(IFERROR(MATCH(78,'كشف الحساب'!$N$4:$N$253,0),0)=0,"",INDEX('كشف الحساب'!$I$4:$I$253,IFERROR(MATCH(78,'كشف الحساب'!$N$4:$N$253,0),0))),"")</f>
        <v/>
      </c>
      <c r="J82" s="74" t="str">
        <f>IFERROR(IF(IFERROR(MATCH(78,'كشف الحساب'!$N$4:$N$253,0),0)=0,"",INDEX('كشف الحساب'!$J$4:$J$253,IFERROR(MATCH(78,'كشف الحساب'!$N$4:$N$253,0),0))),"")</f>
        <v/>
      </c>
      <c r="K82" s="70" t="str">
        <f>IFERROR(IF(IFERROR(MATCH(78,'كشف الحساب'!$N$4:$N$253,0),0)=0,"",INDEX('كشف الحساب'!$K$4:$K$253,IFERROR(MATCH(78,'كشف الحساب'!$N$4:$N$253,0),0))),"")</f>
        <v/>
      </c>
    </row>
    <row r="83" spans="1:11" ht="15" customHeight="1" x14ac:dyDescent="0.25">
      <c r="A83" s="63" t="str">
        <f>IFERROR(IF(IFERROR(MATCH(79,'كشف الحساب'!$N$4:$N$253,0),0)=0,"",INDEX('كشف الحساب'!$A$4:$A$253,IFERROR(MATCH(79,'كشف الحساب'!$N$4:$N$253,0),0))),"")</f>
        <v/>
      </c>
      <c r="B83" s="64" t="str">
        <f>IFERROR(IF(IFERROR(MATCH(79,'كشف الحساب'!$N$4:$N$253,0),0)=0,"",INDEX('كشف الحساب'!$B$4:$B$253,IFERROR(MATCH(79,'كشف الحساب'!$N$4:$N$253,0),0))),"")</f>
        <v/>
      </c>
      <c r="C83" s="65" t="str">
        <f>IFERROR(IF(IFERROR(MATCH(79,'كشف الحساب'!$N$4:$N$253,0),0)=0,"",INDEX('كشف الحساب'!$C$4:$C$253,IFERROR(MATCH(79,'كشف الحساب'!$N$4:$N$253,0),0))),"")</f>
        <v/>
      </c>
      <c r="D83" s="66" t="str">
        <f>IFERROR(IF(IFERROR(MATCH(79,'كشف الحساب'!$N$4:$N$253,0),0)=0,"",INDEX('كشف الحساب'!$D$4:$D$253,IFERROR(MATCH(79,'كشف الحساب'!$N$4:$N$253,0),0))),"")</f>
        <v/>
      </c>
      <c r="E83" s="67" t="str">
        <f>IFERROR(IF(IFERROR(MATCH(79,'كشف الحساب'!$N$4:$N$253,0),0)=0,"",INDEX('كشف الحساب'!$E$4:$E$253,IFERROR(MATCH(79,'كشف الحساب'!$N$4:$N$253,0),0))),"")</f>
        <v/>
      </c>
      <c r="F83" s="64" t="str">
        <f>IFERROR(IF(IFERROR(MATCH(79,'كشف الحساب'!$N$4:$N$253,0),0)=0,"",INDEX('كشف الحساب'!$F$4:$F$253,IFERROR(MATCH(79,'كشف الحساب'!$N$4:$N$253,0),0))),"")</f>
        <v/>
      </c>
      <c r="G83" s="64" t="str">
        <f>IFERROR(IF(IFERROR(MATCH(79,'كشف الحساب'!$N$4:$N$253,0),0)=0,"",INDEX('كشف الحساب'!$G$4:$G$253,IFERROR(MATCH(79,'كشف الحساب'!$N$4:$N$253,0),0))),"")</f>
        <v/>
      </c>
      <c r="H83" s="64" t="str">
        <f>IFERROR(IF(IFERROR(MATCH(79,'كشف الحساب'!$N$4:$N$253,0),0)=0,"",INDEX('كشف الحساب'!$H$4:$H$253,IFERROR(MATCH(79,'كشف الحساب'!$N$4:$N$253,0),0))),"")</f>
        <v/>
      </c>
      <c r="I83" s="64" t="str">
        <f>IFERROR(IF(IFERROR(MATCH(79,'كشف الحساب'!$N$4:$N$253,0),0)=0,"",INDEX('كشف الحساب'!$I$4:$I$253,IFERROR(MATCH(79,'كشف الحساب'!$N$4:$N$253,0),0))),"")</f>
        <v/>
      </c>
      <c r="J83" s="68" t="str">
        <f>IFERROR(IF(IFERROR(MATCH(79,'كشف الحساب'!$N$4:$N$253,0),0)=0,"",INDEX('كشف الحساب'!$J$4:$J$253,IFERROR(MATCH(79,'كشف الحساب'!$N$4:$N$253,0),0))),"")</f>
        <v/>
      </c>
      <c r="K83" s="64" t="str">
        <f>IFERROR(IF(IFERROR(MATCH(79,'كشف الحساب'!$N$4:$N$253,0),0)=0,"",INDEX('كشف الحساب'!$K$4:$K$253,IFERROR(MATCH(79,'كشف الحساب'!$N$4:$N$253,0),0))),"")</f>
        <v/>
      </c>
    </row>
    <row r="84" spans="1:11" ht="15" customHeight="1" x14ac:dyDescent="0.25">
      <c r="A84" s="69" t="str">
        <f>IFERROR(IF(IFERROR(MATCH(80,'كشف الحساب'!$N$4:$N$253,0),0)=0,"",INDEX('كشف الحساب'!$A$4:$A$253,IFERROR(MATCH(80,'كشف الحساب'!$N$4:$N$253,0),0))),"")</f>
        <v/>
      </c>
      <c r="B84" s="70" t="str">
        <f>IFERROR(IF(IFERROR(MATCH(80,'كشف الحساب'!$N$4:$N$253,0),0)=0,"",INDEX('كشف الحساب'!$B$4:$B$253,IFERROR(MATCH(80,'كشف الحساب'!$N$4:$N$253,0),0))),"")</f>
        <v/>
      </c>
      <c r="C84" s="71" t="str">
        <f>IFERROR(IF(IFERROR(MATCH(80,'كشف الحساب'!$N$4:$N$253,0),0)=0,"",INDEX('كشف الحساب'!$C$4:$C$253,IFERROR(MATCH(80,'كشف الحساب'!$N$4:$N$253,0),0))),"")</f>
        <v/>
      </c>
      <c r="D84" s="72" t="str">
        <f>IFERROR(IF(IFERROR(MATCH(80,'كشف الحساب'!$N$4:$N$253,0),0)=0,"",INDEX('كشف الحساب'!$D$4:$D$253,IFERROR(MATCH(80,'كشف الحساب'!$N$4:$N$253,0),0))),"")</f>
        <v/>
      </c>
      <c r="E84" s="73" t="str">
        <f>IFERROR(IF(IFERROR(MATCH(80,'كشف الحساب'!$N$4:$N$253,0),0)=0,"",INDEX('كشف الحساب'!$E$4:$E$253,IFERROR(MATCH(80,'كشف الحساب'!$N$4:$N$253,0),0))),"")</f>
        <v/>
      </c>
      <c r="F84" s="70" t="str">
        <f>IFERROR(IF(IFERROR(MATCH(80,'كشف الحساب'!$N$4:$N$253,0),0)=0,"",INDEX('كشف الحساب'!$F$4:$F$253,IFERROR(MATCH(80,'كشف الحساب'!$N$4:$N$253,0),0))),"")</f>
        <v/>
      </c>
      <c r="G84" s="70" t="str">
        <f>IFERROR(IF(IFERROR(MATCH(80,'كشف الحساب'!$N$4:$N$253,0),0)=0,"",INDEX('كشف الحساب'!$G$4:$G$253,IFERROR(MATCH(80,'كشف الحساب'!$N$4:$N$253,0),0))),"")</f>
        <v/>
      </c>
      <c r="H84" s="70" t="str">
        <f>IFERROR(IF(IFERROR(MATCH(80,'كشف الحساب'!$N$4:$N$253,0),0)=0,"",INDEX('كشف الحساب'!$H$4:$H$253,IFERROR(MATCH(80,'كشف الحساب'!$N$4:$N$253,0),0))),"")</f>
        <v/>
      </c>
      <c r="I84" s="70" t="str">
        <f>IFERROR(IF(IFERROR(MATCH(80,'كشف الحساب'!$N$4:$N$253,0),0)=0,"",INDEX('كشف الحساب'!$I$4:$I$253,IFERROR(MATCH(80,'كشف الحساب'!$N$4:$N$253,0),0))),"")</f>
        <v/>
      </c>
      <c r="J84" s="74" t="str">
        <f>IFERROR(IF(IFERROR(MATCH(80,'كشف الحساب'!$N$4:$N$253,0),0)=0,"",INDEX('كشف الحساب'!$J$4:$J$253,IFERROR(MATCH(80,'كشف الحساب'!$N$4:$N$253,0),0))),"")</f>
        <v/>
      </c>
      <c r="K84" s="70" t="str">
        <f>IFERROR(IF(IFERROR(MATCH(80,'كشف الحساب'!$N$4:$N$253,0),0)=0,"",INDEX('كشف الحساب'!$K$4:$K$253,IFERROR(MATCH(80,'كشف الحساب'!$N$4:$N$253,0),0))),"")</f>
        <v/>
      </c>
    </row>
    <row r="85" spans="1:11" ht="15" customHeight="1" x14ac:dyDescent="0.25">
      <c r="A85" s="63" t="str">
        <f>IFERROR(IF(IFERROR(MATCH(81,'كشف الحساب'!$N$4:$N$253,0),0)=0,"",INDEX('كشف الحساب'!$A$4:$A$253,IFERROR(MATCH(81,'كشف الحساب'!$N$4:$N$253,0),0))),"")</f>
        <v/>
      </c>
      <c r="B85" s="64" t="str">
        <f>IFERROR(IF(IFERROR(MATCH(81,'كشف الحساب'!$N$4:$N$253,0),0)=0,"",INDEX('كشف الحساب'!$B$4:$B$253,IFERROR(MATCH(81,'كشف الحساب'!$N$4:$N$253,0),0))),"")</f>
        <v/>
      </c>
      <c r="C85" s="65" t="str">
        <f>IFERROR(IF(IFERROR(MATCH(81,'كشف الحساب'!$N$4:$N$253,0),0)=0,"",INDEX('كشف الحساب'!$C$4:$C$253,IFERROR(MATCH(81,'كشف الحساب'!$N$4:$N$253,0),0))),"")</f>
        <v/>
      </c>
      <c r="D85" s="66" t="str">
        <f>IFERROR(IF(IFERROR(MATCH(81,'كشف الحساب'!$N$4:$N$253,0),0)=0,"",INDEX('كشف الحساب'!$D$4:$D$253,IFERROR(MATCH(81,'كشف الحساب'!$N$4:$N$253,0),0))),"")</f>
        <v/>
      </c>
      <c r="E85" s="67" t="str">
        <f>IFERROR(IF(IFERROR(MATCH(81,'كشف الحساب'!$N$4:$N$253,0),0)=0,"",INDEX('كشف الحساب'!$E$4:$E$253,IFERROR(MATCH(81,'كشف الحساب'!$N$4:$N$253,0),0))),"")</f>
        <v/>
      </c>
      <c r="F85" s="64" t="str">
        <f>IFERROR(IF(IFERROR(MATCH(81,'كشف الحساب'!$N$4:$N$253,0),0)=0,"",INDEX('كشف الحساب'!$F$4:$F$253,IFERROR(MATCH(81,'كشف الحساب'!$N$4:$N$253,0),0))),"")</f>
        <v/>
      </c>
      <c r="G85" s="64" t="str">
        <f>IFERROR(IF(IFERROR(MATCH(81,'كشف الحساب'!$N$4:$N$253,0),0)=0,"",INDEX('كشف الحساب'!$G$4:$G$253,IFERROR(MATCH(81,'كشف الحساب'!$N$4:$N$253,0),0))),"")</f>
        <v/>
      </c>
      <c r="H85" s="64" t="str">
        <f>IFERROR(IF(IFERROR(MATCH(81,'كشف الحساب'!$N$4:$N$253,0),0)=0,"",INDEX('كشف الحساب'!$H$4:$H$253,IFERROR(MATCH(81,'كشف الحساب'!$N$4:$N$253,0),0))),"")</f>
        <v/>
      </c>
      <c r="I85" s="64" t="str">
        <f>IFERROR(IF(IFERROR(MATCH(81,'كشف الحساب'!$N$4:$N$253,0),0)=0,"",INDEX('كشف الحساب'!$I$4:$I$253,IFERROR(MATCH(81,'كشف الحساب'!$N$4:$N$253,0),0))),"")</f>
        <v/>
      </c>
      <c r="J85" s="68" t="str">
        <f>IFERROR(IF(IFERROR(MATCH(81,'كشف الحساب'!$N$4:$N$253,0),0)=0,"",INDEX('كشف الحساب'!$J$4:$J$253,IFERROR(MATCH(81,'كشف الحساب'!$N$4:$N$253,0),0))),"")</f>
        <v/>
      </c>
      <c r="K85" s="64" t="str">
        <f>IFERROR(IF(IFERROR(MATCH(81,'كشف الحساب'!$N$4:$N$253,0),0)=0,"",INDEX('كشف الحساب'!$K$4:$K$253,IFERROR(MATCH(81,'كشف الحساب'!$N$4:$N$253,0),0))),"")</f>
        <v/>
      </c>
    </row>
    <row r="86" spans="1:11" ht="15" customHeight="1" x14ac:dyDescent="0.25">
      <c r="A86" s="69" t="str">
        <f>IFERROR(IF(IFERROR(MATCH(82,'كشف الحساب'!$N$4:$N$253,0),0)=0,"",INDEX('كشف الحساب'!$A$4:$A$253,IFERROR(MATCH(82,'كشف الحساب'!$N$4:$N$253,0),0))),"")</f>
        <v/>
      </c>
      <c r="B86" s="70" t="str">
        <f>IFERROR(IF(IFERROR(MATCH(82,'كشف الحساب'!$N$4:$N$253,0),0)=0,"",INDEX('كشف الحساب'!$B$4:$B$253,IFERROR(MATCH(82,'كشف الحساب'!$N$4:$N$253,0),0))),"")</f>
        <v/>
      </c>
      <c r="C86" s="71" t="str">
        <f>IFERROR(IF(IFERROR(MATCH(82,'كشف الحساب'!$N$4:$N$253,0),0)=0,"",INDEX('كشف الحساب'!$C$4:$C$253,IFERROR(MATCH(82,'كشف الحساب'!$N$4:$N$253,0),0))),"")</f>
        <v/>
      </c>
      <c r="D86" s="72" t="str">
        <f>IFERROR(IF(IFERROR(MATCH(82,'كشف الحساب'!$N$4:$N$253,0),0)=0,"",INDEX('كشف الحساب'!$D$4:$D$253,IFERROR(MATCH(82,'كشف الحساب'!$N$4:$N$253,0),0))),"")</f>
        <v/>
      </c>
      <c r="E86" s="73" t="str">
        <f>IFERROR(IF(IFERROR(MATCH(82,'كشف الحساب'!$N$4:$N$253,0),0)=0,"",INDEX('كشف الحساب'!$E$4:$E$253,IFERROR(MATCH(82,'كشف الحساب'!$N$4:$N$253,0),0))),"")</f>
        <v/>
      </c>
      <c r="F86" s="70" t="str">
        <f>IFERROR(IF(IFERROR(MATCH(82,'كشف الحساب'!$N$4:$N$253,0),0)=0,"",INDEX('كشف الحساب'!$F$4:$F$253,IFERROR(MATCH(82,'كشف الحساب'!$N$4:$N$253,0),0))),"")</f>
        <v/>
      </c>
      <c r="G86" s="70" t="str">
        <f>IFERROR(IF(IFERROR(MATCH(82,'كشف الحساب'!$N$4:$N$253,0),0)=0,"",INDEX('كشف الحساب'!$G$4:$G$253,IFERROR(MATCH(82,'كشف الحساب'!$N$4:$N$253,0),0))),"")</f>
        <v/>
      </c>
      <c r="H86" s="70" t="str">
        <f>IFERROR(IF(IFERROR(MATCH(82,'كشف الحساب'!$N$4:$N$253,0),0)=0,"",INDEX('كشف الحساب'!$H$4:$H$253,IFERROR(MATCH(82,'كشف الحساب'!$N$4:$N$253,0),0))),"")</f>
        <v/>
      </c>
      <c r="I86" s="70" t="str">
        <f>IFERROR(IF(IFERROR(MATCH(82,'كشف الحساب'!$N$4:$N$253,0),0)=0,"",INDEX('كشف الحساب'!$I$4:$I$253,IFERROR(MATCH(82,'كشف الحساب'!$N$4:$N$253,0),0))),"")</f>
        <v/>
      </c>
      <c r="J86" s="74" t="str">
        <f>IFERROR(IF(IFERROR(MATCH(82,'كشف الحساب'!$N$4:$N$253,0),0)=0,"",INDEX('كشف الحساب'!$J$4:$J$253,IFERROR(MATCH(82,'كشف الحساب'!$N$4:$N$253,0),0))),"")</f>
        <v/>
      </c>
      <c r="K86" s="70" t="str">
        <f>IFERROR(IF(IFERROR(MATCH(82,'كشف الحساب'!$N$4:$N$253,0),0)=0,"",INDEX('كشف الحساب'!$K$4:$K$253,IFERROR(MATCH(82,'كشف الحساب'!$N$4:$N$253,0),0))),"")</f>
        <v/>
      </c>
    </row>
    <row r="87" spans="1:11" ht="15" customHeight="1" x14ac:dyDescent="0.25">
      <c r="A87" s="63" t="str">
        <f>IFERROR(IF(IFERROR(MATCH(83,'كشف الحساب'!$N$4:$N$253,0),0)=0,"",INDEX('كشف الحساب'!$A$4:$A$253,IFERROR(MATCH(83,'كشف الحساب'!$N$4:$N$253,0),0))),"")</f>
        <v/>
      </c>
      <c r="B87" s="64" t="str">
        <f>IFERROR(IF(IFERROR(MATCH(83,'كشف الحساب'!$N$4:$N$253,0),0)=0,"",INDEX('كشف الحساب'!$B$4:$B$253,IFERROR(MATCH(83,'كشف الحساب'!$N$4:$N$253,0),0))),"")</f>
        <v/>
      </c>
      <c r="C87" s="65" t="str">
        <f>IFERROR(IF(IFERROR(MATCH(83,'كشف الحساب'!$N$4:$N$253,0),0)=0,"",INDEX('كشف الحساب'!$C$4:$C$253,IFERROR(MATCH(83,'كشف الحساب'!$N$4:$N$253,0),0))),"")</f>
        <v/>
      </c>
      <c r="D87" s="66" t="str">
        <f>IFERROR(IF(IFERROR(MATCH(83,'كشف الحساب'!$N$4:$N$253,0),0)=0,"",INDEX('كشف الحساب'!$D$4:$D$253,IFERROR(MATCH(83,'كشف الحساب'!$N$4:$N$253,0),0))),"")</f>
        <v/>
      </c>
      <c r="E87" s="67" t="str">
        <f>IFERROR(IF(IFERROR(MATCH(83,'كشف الحساب'!$N$4:$N$253,0),0)=0,"",INDEX('كشف الحساب'!$E$4:$E$253,IFERROR(MATCH(83,'كشف الحساب'!$N$4:$N$253,0),0))),"")</f>
        <v/>
      </c>
      <c r="F87" s="64" t="str">
        <f>IFERROR(IF(IFERROR(MATCH(83,'كشف الحساب'!$N$4:$N$253,0),0)=0,"",INDEX('كشف الحساب'!$F$4:$F$253,IFERROR(MATCH(83,'كشف الحساب'!$N$4:$N$253,0),0))),"")</f>
        <v/>
      </c>
      <c r="G87" s="64" t="str">
        <f>IFERROR(IF(IFERROR(MATCH(83,'كشف الحساب'!$N$4:$N$253,0),0)=0,"",INDEX('كشف الحساب'!$G$4:$G$253,IFERROR(MATCH(83,'كشف الحساب'!$N$4:$N$253,0),0))),"")</f>
        <v/>
      </c>
      <c r="H87" s="64" t="str">
        <f>IFERROR(IF(IFERROR(MATCH(83,'كشف الحساب'!$N$4:$N$253,0),0)=0,"",INDEX('كشف الحساب'!$H$4:$H$253,IFERROR(MATCH(83,'كشف الحساب'!$N$4:$N$253,0),0))),"")</f>
        <v/>
      </c>
      <c r="I87" s="64" t="str">
        <f>IFERROR(IF(IFERROR(MATCH(83,'كشف الحساب'!$N$4:$N$253,0),0)=0,"",INDEX('كشف الحساب'!$I$4:$I$253,IFERROR(MATCH(83,'كشف الحساب'!$N$4:$N$253,0),0))),"")</f>
        <v/>
      </c>
      <c r="J87" s="68" t="str">
        <f>IFERROR(IF(IFERROR(MATCH(83,'كشف الحساب'!$N$4:$N$253,0),0)=0,"",INDEX('كشف الحساب'!$J$4:$J$253,IFERROR(MATCH(83,'كشف الحساب'!$N$4:$N$253,0),0))),"")</f>
        <v/>
      </c>
      <c r="K87" s="64" t="str">
        <f>IFERROR(IF(IFERROR(MATCH(83,'كشف الحساب'!$N$4:$N$253,0),0)=0,"",INDEX('كشف الحساب'!$K$4:$K$253,IFERROR(MATCH(83,'كشف الحساب'!$N$4:$N$253,0),0))),"")</f>
        <v/>
      </c>
    </row>
    <row r="88" spans="1:11" ht="15" customHeight="1" x14ac:dyDescent="0.25">
      <c r="A88" s="69" t="str">
        <f>IFERROR(IF(IFERROR(MATCH(84,'كشف الحساب'!$N$4:$N$253,0),0)=0,"",INDEX('كشف الحساب'!$A$4:$A$253,IFERROR(MATCH(84,'كشف الحساب'!$N$4:$N$253,0),0))),"")</f>
        <v/>
      </c>
      <c r="B88" s="70" t="str">
        <f>IFERROR(IF(IFERROR(MATCH(84,'كشف الحساب'!$N$4:$N$253,0),0)=0,"",INDEX('كشف الحساب'!$B$4:$B$253,IFERROR(MATCH(84,'كشف الحساب'!$N$4:$N$253,0),0))),"")</f>
        <v/>
      </c>
      <c r="C88" s="71" t="str">
        <f>IFERROR(IF(IFERROR(MATCH(84,'كشف الحساب'!$N$4:$N$253,0),0)=0,"",INDEX('كشف الحساب'!$C$4:$C$253,IFERROR(MATCH(84,'كشف الحساب'!$N$4:$N$253,0),0))),"")</f>
        <v/>
      </c>
      <c r="D88" s="72" t="str">
        <f>IFERROR(IF(IFERROR(MATCH(84,'كشف الحساب'!$N$4:$N$253,0),0)=0,"",INDEX('كشف الحساب'!$D$4:$D$253,IFERROR(MATCH(84,'كشف الحساب'!$N$4:$N$253,0),0))),"")</f>
        <v/>
      </c>
      <c r="E88" s="73" t="str">
        <f>IFERROR(IF(IFERROR(MATCH(84,'كشف الحساب'!$N$4:$N$253,0),0)=0,"",INDEX('كشف الحساب'!$E$4:$E$253,IFERROR(MATCH(84,'كشف الحساب'!$N$4:$N$253,0),0))),"")</f>
        <v/>
      </c>
      <c r="F88" s="70" t="str">
        <f>IFERROR(IF(IFERROR(MATCH(84,'كشف الحساب'!$N$4:$N$253,0),0)=0,"",INDEX('كشف الحساب'!$F$4:$F$253,IFERROR(MATCH(84,'كشف الحساب'!$N$4:$N$253,0),0))),"")</f>
        <v/>
      </c>
      <c r="G88" s="70" t="str">
        <f>IFERROR(IF(IFERROR(MATCH(84,'كشف الحساب'!$N$4:$N$253,0),0)=0,"",INDEX('كشف الحساب'!$G$4:$G$253,IFERROR(MATCH(84,'كشف الحساب'!$N$4:$N$253,0),0))),"")</f>
        <v/>
      </c>
      <c r="H88" s="70" t="str">
        <f>IFERROR(IF(IFERROR(MATCH(84,'كشف الحساب'!$N$4:$N$253,0),0)=0,"",INDEX('كشف الحساب'!$H$4:$H$253,IFERROR(MATCH(84,'كشف الحساب'!$N$4:$N$253,0),0))),"")</f>
        <v/>
      </c>
      <c r="I88" s="70" t="str">
        <f>IFERROR(IF(IFERROR(MATCH(84,'كشف الحساب'!$N$4:$N$253,0),0)=0,"",INDEX('كشف الحساب'!$I$4:$I$253,IFERROR(MATCH(84,'كشف الحساب'!$N$4:$N$253,0),0))),"")</f>
        <v/>
      </c>
      <c r="J88" s="74" t="str">
        <f>IFERROR(IF(IFERROR(MATCH(84,'كشف الحساب'!$N$4:$N$253,0),0)=0,"",INDEX('كشف الحساب'!$J$4:$J$253,IFERROR(MATCH(84,'كشف الحساب'!$N$4:$N$253,0),0))),"")</f>
        <v/>
      </c>
      <c r="K88" s="70" t="str">
        <f>IFERROR(IF(IFERROR(MATCH(84,'كشف الحساب'!$N$4:$N$253,0),0)=0,"",INDEX('كشف الحساب'!$K$4:$K$253,IFERROR(MATCH(84,'كشف الحساب'!$N$4:$N$253,0),0))),"")</f>
        <v/>
      </c>
    </row>
    <row r="89" spans="1:11" ht="15" customHeight="1" x14ac:dyDescent="0.25">
      <c r="A89" s="63" t="str">
        <f>IFERROR(IF(IFERROR(MATCH(85,'كشف الحساب'!$N$4:$N$253,0),0)=0,"",INDEX('كشف الحساب'!$A$4:$A$253,IFERROR(MATCH(85,'كشف الحساب'!$N$4:$N$253,0),0))),"")</f>
        <v/>
      </c>
      <c r="B89" s="64" t="str">
        <f>IFERROR(IF(IFERROR(MATCH(85,'كشف الحساب'!$N$4:$N$253,0),0)=0,"",INDEX('كشف الحساب'!$B$4:$B$253,IFERROR(MATCH(85,'كشف الحساب'!$N$4:$N$253,0),0))),"")</f>
        <v/>
      </c>
      <c r="C89" s="65" t="str">
        <f>IFERROR(IF(IFERROR(MATCH(85,'كشف الحساب'!$N$4:$N$253,0),0)=0,"",INDEX('كشف الحساب'!$C$4:$C$253,IFERROR(MATCH(85,'كشف الحساب'!$N$4:$N$253,0),0))),"")</f>
        <v/>
      </c>
      <c r="D89" s="66" t="str">
        <f>IFERROR(IF(IFERROR(MATCH(85,'كشف الحساب'!$N$4:$N$253,0),0)=0,"",INDEX('كشف الحساب'!$D$4:$D$253,IFERROR(MATCH(85,'كشف الحساب'!$N$4:$N$253,0),0))),"")</f>
        <v/>
      </c>
      <c r="E89" s="67" t="str">
        <f>IFERROR(IF(IFERROR(MATCH(85,'كشف الحساب'!$N$4:$N$253,0),0)=0,"",INDEX('كشف الحساب'!$E$4:$E$253,IFERROR(MATCH(85,'كشف الحساب'!$N$4:$N$253,0),0))),"")</f>
        <v/>
      </c>
      <c r="F89" s="64" t="str">
        <f>IFERROR(IF(IFERROR(MATCH(85,'كشف الحساب'!$N$4:$N$253,0),0)=0,"",INDEX('كشف الحساب'!$F$4:$F$253,IFERROR(MATCH(85,'كشف الحساب'!$N$4:$N$253,0),0))),"")</f>
        <v/>
      </c>
      <c r="G89" s="64" t="str">
        <f>IFERROR(IF(IFERROR(MATCH(85,'كشف الحساب'!$N$4:$N$253,0),0)=0,"",INDEX('كشف الحساب'!$G$4:$G$253,IFERROR(MATCH(85,'كشف الحساب'!$N$4:$N$253,0),0))),"")</f>
        <v/>
      </c>
      <c r="H89" s="64" t="str">
        <f>IFERROR(IF(IFERROR(MATCH(85,'كشف الحساب'!$N$4:$N$253,0),0)=0,"",INDEX('كشف الحساب'!$H$4:$H$253,IFERROR(MATCH(85,'كشف الحساب'!$N$4:$N$253,0),0))),"")</f>
        <v/>
      </c>
      <c r="I89" s="64" t="str">
        <f>IFERROR(IF(IFERROR(MATCH(85,'كشف الحساب'!$N$4:$N$253,0),0)=0,"",INDEX('كشف الحساب'!$I$4:$I$253,IFERROR(MATCH(85,'كشف الحساب'!$N$4:$N$253,0),0))),"")</f>
        <v/>
      </c>
      <c r="J89" s="68" t="str">
        <f>IFERROR(IF(IFERROR(MATCH(85,'كشف الحساب'!$N$4:$N$253,0),0)=0,"",INDEX('كشف الحساب'!$J$4:$J$253,IFERROR(MATCH(85,'كشف الحساب'!$N$4:$N$253,0),0))),"")</f>
        <v/>
      </c>
      <c r="K89" s="64" t="str">
        <f>IFERROR(IF(IFERROR(MATCH(85,'كشف الحساب'!$N$4:$N$253,0),0)=0,"",INDEX('كشف الحساب'!$K$4:$K$253,IFERROR(MATCH(85,'كشف الحساب'!$N$4:$N$253,0),0))),"")</f>
        <v/>
      </c>
    </row>
    <row r="90" spans="1:11" ht="15" customHeight="1" x14ac:dyDescent="0.25">
      <c r="A90" s="69" t="str">
        <f>IFERROR(IF(IFERROR(MATCH(86,'كشف الحساب'!$N$4:$N$253,0),0)=0,"",INDEX('كشف الحساب'!$A$4:$A$253,IFERROR(MATCH(86,'كشف الحساب'!$N$4:$N$253,0),0))),"")</f>
        <v/>
      </c>
      <c r="B90" s="70" t="str">
        <f>IFERROR(IF(IFERROR(MATCH(86,'كشف الحساب'!$N$4:$N$253,0),0)=0,"",INDEX('كشف الحساب'!$B$4:$B$253,IFERROR(MATCH(86,'كشف الحساب'!$N$4:$N$253,0),0))),"")</f>
        <v/>
      </c>
      <c r="C90" s="71" t="str">
        <f>IFERROR(IF(IFERROR(MATCH(86,'كشف الحساب'!$N$4:$N$253,0),0)=0,"",INDEX('كشف الحساب'!$C$4:$C$253,IFERROR(MATCH(86,'كشف الحساب'!$N$4:$N$253,0),0))),"")</f>
        <v/>
      </c>
      <c r="D90" s="72" t="str">
        <f>IFERROR(IF(IFERROR(MATCH(86,'كشف الحساب'!$N$4:$N$253,0),0)=0,"",INDEX('كشف الحساب'!$D$4:$D$253,IFERROR(MATCH(86,'كشف الحساب'!$N$4:$N$253,0),0))),"")</f>
        <v/>
      </c>
      <c r="E90" s="73" t="str">
        <f>IFERROR(IF(IFERROR(MATCH(86,'كشف الحساب'!$N$4:$N$253,0),0)=0,"",INDEX('كشف الحساب'!$E$4:$E$253,IFERROR(MATCH(86,'كشف الحساب'!$N$4:$N$253,0),0))),"")</f>
        <v/>
      </c>
      <c r="F90" s="70" t="str">
        <f>IFERROR(IF(IFERROR(MATCH(86,'كشف الحساب'!$N$4:$N$253,0),0)=0,"",INDEX('كشف الحساب'!$F$4:$F$253,IFERROR(MATCH(86,'كشف الحساب'!$N$4:$N$253,0),0))),"")</f>
        <v/>
      </c>
      <c r="G90" s="70" t="str">
        <f>IFERROR(IF(IFERROR(MATCH(86,'كشف الحساب'!$N$4:$N$253,0),0)=0,"",INDEX('كشف الحساب'!$G$4:$G$253,IFERROR(MATCH(86,'كشف الحساب'!$N$4:$N$253,0),0))),"")</f>
        <v/>
      </c>
      <c r="H90" s="70" t="str">
        <f>IFERROR(IF(IFERROR(MATCH(86,'كشف الحساب'!$N$4:$N$253,0),0)=0,"",INDEX('كشف الحساب'!$H$4:$H$253,IFERROR(MATCH(86,'كشف الحساب'!$N$4:$N$253,0),0))),"")</f>
        <v/>
      </c>
      <c r="I90" s="70" t="str">
        <f>IFERROR(IF(IFERROR(MATCH(86,'كشف الحساب'!$N$4:$N$253,0),0)=0,"",INDEX('كشف الحساب'!$I$4:$I$253,IFERROR(MATCH(86,'كشف الحساب'!$N$4:$N$253,0),0))),"")</f>
        <v/>
      </c>
      <c r="J90" s="74" t="str">
        <f>IFERROR(IF(IFERROR(MATCH(86,'كشف الحساب'!$N$4:$N$253,0),0)=0,"",INDEX('كشف الحساب'!$J$4:$J$253,IFERROR(MATCH(86,'كشف الحساب'!$N$4:$N$253,0),0))),"")</f>
        <v/>
      </c>
      <c r="K90" s="70" t="str">
        <f>IFERROR(IF(IFERROR(MATCH(86,'كشف الحساب'!$N$4:$N$253,0),0)=0,"",INDEX('كشف الحساب'!$K$4:$K$253,IFERROR(MATCH(86,'كشف الحساب'!$N$4:$N$253,0),0))),"")</f>
        <v/>
      </c>
    </row>
    <row r="91" spans="1:11" ht="15" customHeight="1" x14ac:dyDescent="0.25">
      <c r="A91" s="63" t="str">
        <f>IFERROR(IF(IFERROR(MATCH(87,'كشف الحساب'!$N$4:$N$253,0),0)=0,"",INDEX('كشف الحساب'!$A$4:$A$253,IFERROR(MATCH(87,'كشف الحساب'!$N$4:$N$253,0),0))),"")</f>
        <v/>
      </c>
      <c r="B91" s="64" t="str">
        <f>IFERROR(IF(IFERROR(MATCH(87,'كشف الحساب'!$N$4:$N$253,0),0)=0,"",INDEX('كشف الحساب'!$B$4:$B$253,IFERROR(MATCH(87,'كشف الحساب'!$N$4:$N$253,0),0))),"")</f>
        <v/>
      </c>
      <c r="C91" s="65" t="str">
        <f>IFERROR(IF(IFERROR(MATCH(87,'كشف الحساب'!$N$4:$N$253,0),0)=0,"",INDEX('كشف الحساب'!$C$4:$C$253,IFERROR(MATCH(87,'كشف الحساب'!$N$4:$N$253,0),0))),"")</f>
        <v/>
      </c>
      <c r="D91" s="66" t="str">
        <f>IFERROR(IF(IFERROR(MATCH(87,'كشف الحساب'!$N$4:$N$253,0),0)=0,"",INDEX('كشف الحساب'!$D$4:$D$253,IFERROR(MATCH(87,'كشف الحساب'!$N$4:$N$253,0),0))),"")</f>
        <v/>
      </c>
      <c r="E91" s="67" t="str">
        <f>IFERROR(IF(IFERROR(MATCH(87,'كشف الحساب'!$N$4:$N$253,0),0)=0,"",INDEX('كشف الحساب'!$E$4:$E$253,IFERROR(MATCH(87,'كشف الحساب'!$N$4:$N$253,0),0))),"")</f>
        <v/>
      </c>
      <c r="F91" s="64" t="str">
        <f>IFERROR(IF(IFERROR(MATCH(87,'كشف الحساب'!$N$4:$N$253,0),0)=0,"",INDEX('كشف الحساب'!$F$4:$F$253,IFERROR(MATCH(87,'كشف الحساب'!$N$4:$N$253,0),0))),"")</f>
        <v/>
      </c>
      <c r="G91" s="64" t="str">
        <f>IFERROR(IF(IFERROR(MATCH(87,'كشف الحساب'!$N$4:$N$253,0),0)=0,"",INDEX('كشف الحساب'!$G$4:$G$253,IFERROR(MATCH(87,'كشف الحساب'!$N$4:$N$253,0),0))),"")</f>
        <v/>
      </c>
      <c r="H91" s="64" t="str">
        <f>IFERROR(IF(IFERROR(MATCH(87,'كشف الحساب'!$N$4:$N$253,0),0)=0,"",INDEX('كشف الحساب'!$H$4:$H$253,IFERROR(MATCH(87,'كشف الحساب'!$N$4:$N$253,0),0))),"")</f>
        <v/>
      </c>
      <c r="I91" s="64" t="str">
        <f>IFERROR(IF(IFERROR(MATCH(87,'كشف الحساب'!$N$4:$N$253,0),0)=0,"",INDEX('كشف الحساب'!$I$4:$I$253,IFERROR(MATCH(87,'كشف الحساب'!$N$4:$N$253,0),0))),"")</f>
        <v/>
      </c>
      <c r="J91" s="68" t="str">
        <f>IFERROR(IF(IFERROR(MATCH(87,'كشف الحساب'!$N$4:$N$253,0),0)=0,"",INDEX('كشف الحساب'!$J$4:$J$253,IFERROR(MATCH(87,'كشف الحساب'!$N$4:$N$253,0),0))),"")</f>
        <v/>
      </c>
      <c r="K91" s="64" t="str">
        <f>IFERROR(IF(IFERROR(MATCH(87,'كشف الحساب'!$N$4:$N$253,0),0)=0,"",INDEX('كشف الحساب'!$K$4:$K$253,IFERROR(MATCH(87,'كشف الحساب'!$N$4:$N$253,0),0))),"")</f>
        <v/>
      </c>
    </row>
    <row r="92" spans="1:11" ht="15" customHeight="1" x14ac:dyDescent="0.25">
      <c r="A92" s="69" t="str">
        <f>IFERROR(IF(IFERROR(MATCH(88,'كشف الحساب'!$N$4:$N$253,0),0)=0,"",INDEX('كشف الحساب'!$A$4:$A$253,IFERROR(MATCH(88,'كشف الحساب'!$N$4:$N$253,0),0))),"")</f>
        <v/>
      </c>
      <c r="B92" s="70" t="str">
        <f>IFERROR(IF(IFERROR(MATCH(88,'كشف الحساب'!$N$4:$N$253,0),0)=0,"",INDEX('كشف الحساب'!$B$4:$B$253,IFERROR(MATCH(88,'كشف الحساب'!$N$4:$N$253,0),0))),"")</f>
        <v/>
      </c>
      <c r="C92" s="71" t="str">
        <f>IFERROR(IF(IFERROR(MATCH(88,'كشف الحساب'!$N$4:$N$253,0),0)=0,"",INDEX('كشف الحساب'!$C$4:$C$253,IFERROR(MATCH(88,'كشف الحساب'!$N$4:$N$253,0),0))),"")</f>
        <v/>
      </c>
      <c r="D92" s="72" t="str">
        <f>IFERROR(IF(IFERROR(MATCH(88,'كشف الحساب'!$N$4:$N$253,0),0)=0,"",INDEX('كشف الحساب'!$D$4:$D$253,IFERROR(MATCH(88,'كشف الحساب'!$N$4:$N$253,0),0))),"")</f>
        <v/>
      </c>
      <c r="E92" s="73" t="str">
        <f>IFERROR(IF(IFERROR(MATCH(88,'كشف الحساب'!$N$4:$N$253,0),0)=0,"",INDEX('كشف الحساب'!$E$4:$E$253,IFERROR(MATCH(88,'كشف الحساب'!$N$4:$N$253,0),0))),"")</f>
        <v/>
      </c>
      <c r="F92" s="70" t="str">
        <f>IFERROR(IF(IFERROR(MATCH(88,'كشف الحساب'!$N$4:$N$253,0),0)=0,"",INDEX('كشف الحساب'!$F$4:$F$253,IFERROR(MATCH(88,'كشف الحساب'!$N$4:$N$253,0),0))),"")</f>
        <v/>
      </c>
      <c r="G92" s="70" t="str">
        <f>IFERROR(IF(IFERROR(MATCH(88,'كشف الحساب'!$N$4:$N$253,0),0)=0,"",INDEX('كشف الحساب'!$G$4:$G$253,IFERROR(MATCH(88,'كشف الحساب'!$N$4:$N$253,0),0))),"")</f>
        <v/>
      </c>
      <c r="H92" s="70" t="str">
        <f>IFERROR(IF(IFERROR(MATCH(88,'كشف الحساب'!$N$4:$N$253,0),0)=0,"",INDEX('كشف الحساب'!$H$4:$H$253,IFERROR(MATCH(88,'كشف الحساب'!$N$4:$N$253,0),0))),"")</f>
        <v/>
      </c>
      <c r="I92" s="70" t="str">
        <f>IFERROR(IF(IFERROR(MATCH(88,'كشف الحساب'!$N$4:$N$253,0),0)=0,"",INDEX('كشف الحساب'!$I$4:$I$253,IFERROR(MATCH(88,'كشف الحساب'!$N$4:$N$253,0),0))),"")</f>
        <v/>
      </c>
      <c r="J92" s="74" t="str">
        <f>IFERROR(IF(IFERROR(MATCH(88,'كشف الحساب'!$N$4:$N$253,0),0)=0,"",INDEX('كشف الحساب'!$J$4:$J$253,IFERROR(MATCH(88,'كشف الحساب'!$N$4:$N$253,0),0))),"")</f>
        <v/>
      </c>
      <c r="K92" s="70" t="str">
        <f>IFERROR(IF(IFERROR(MATCH(88,'كشف الحساب'!$N$4:$N$253,0),0)=0,"",INDEX('كشف الحساب'!$K$4:$K$253,IFERROR(MATCH(88,'كشف الحساب'!$N$4:$N$253,0),0))),"")</f>
        <v/>
      </c>
    </row>
    <row r="93" spans="1:11" ht="15" customHeight="1" x14ac:dyDescent="0.25">
      <c r="A93" s="63" t="str">
        <f>IFERROR(IF(IFERROR(MATCH(89,'كشف الحساب'!$N$4:$N$253,0),0)=0,"",INDEX('كشف الحساب'!$A$4:$A$253,IFERROR(MATCH(89,'كشف الحساب'!$N$4:$N$253,0),0))),"")</f>
        <v/>
      </c>
      <c r="B93" s="64" t="str">
        <f>IFERROR(IF(IFERROR(MATCH(89,'كشف الحساب'!$N$4:$N$253,0),0)=0,"",INDEX('كشف الحساب'!$B$4:$B$253,IFERROR(MATCH(89,'كشف الحساب'!$N$4:$N$253,0),0))),"")</f>
        <v/>
      </c>
      <c r="C93" s="65" t="str">
        <f>IFERROR(IF(IFERROR(MATCH(89,'كشف الحساب'!$N$4:$N$253,0),0)=0,"",INDEX('كشف الحساب'!$C$4:$C$253,IFERROR(MATCH(89,'كشف الحساب'!$N$4:$N$253,0),0))),"")</f>
        <v/>
      </c>
      <c r="D93" s="66" t="str">
        <f>IFERROR(IF(IFERROR(MATCH(89,'كشف الحساب'!$N$4:$N$253,0),0)=0,"",INDEX('كشف الحساب'!$D$4:$D$253,IFERROR(MATCH(89,'كشف الحساب'!$N$4:$N$253,0),0))),"")</f>
        <v/>
      </c>
      <c r="E93" s="67" t="str">
        <f>IFERROR(IF(IFERROR(MATCH(89,'كشف الحساب'!$N$4:$N$253,0),0)=0,"",INDEX('كشف الحساب'!$E$4:$E$253,IFERROR(MATCH(89,'كشف الحساب'!$N$4:$N$253,0),0))),"")</f>
        <v/>
      </c>
      <c r="F93" s="64" t="str">
        <f>IFERROR(IF(IFERROR(MATCH(89,'كشف الحساب'!$N$4:$N$253,0),0)=0,"",INDEX('كشف الحساب'!$F$4:$F$253,IFERROR(MATCH(89,'كشف الحساب'!$N$4:$N$253,0),0))),"")</f>
        <v/>
      </c>
      <c r="G93" s="64" t="str">
        <f>IFERROR(IF(IFERROR(MATCH(89,'كشف الحساب'!$N$4:$N$253,0),0)=0,"",INDEX('كشف الحساب'!$G$4:$G$253,IFERROR(MATCH(89,'كشف الحساب'!$N$4:$N$253,0),0))),"")</f>
        <v/>
      </c>
      <c r="H93" s="64" t="str">
        <f>IFERROR(IF(IFERROR(MATCH(89,'كشف الحساب'!$N$4:$N$253,0),0)=0,"",INDEX('كشف الحساب'!$H$4:$H$253,IFERROR(MATCH(89,'كشف الحساب'!$N$4:$N$253,0),0))),"")</f>
        <v/>
      </c>
      <c r="I93" s="64" t="str">
        <f>IFERROR(IF(IFERROR(MATCH(89,'كشف الحساب'!$N$4:$N$253,0),0)=0,"",INDEX('كشف الحساب'!$I$4:$I$253,IFERROR(MATCH(89,'كشف الحساب'!$N$4:$N$253,0),0))),"")</f>
        <v/>
      </c>
      <c r="J93" s="68" t="str">
        <f>IFERROR(IF(IFERROR(MATCH(89,'كشف الحساب'!$N$4:$N$253,0),0)=0,"",INDEX('كشف الحساب'!$J$4:$J$253,IFERROR(MATCH(89,'كشف الحساب'!$N$4:$N$253,0),0))),"")</f>
        <v/>
      </c>
      <c r="K93" s="64" t="str">
        <f>IFERROR(IF(IFERROR(MATCH(89,'كشف الحساب'!$N$4:$N$253,0),0)=0,"",INDEX('كشف الحساب'!$K$4:$K$253,IFERROR(MATCH(89,'كشف الحساب'!$N$4:$N$253,0),0))),"")</f>
        <v/>
      </c>
    </row>
    <row r="94" spans="1:11" ht="15" customHeight="1" x14ac:dyDescent="0.25">
      <c r="A94" s="69" t="str">
        <f>IFERROR(IF(IFERROR(MATCH(90,'كشف الحساب'!$N$4:$N$253,0),0)=0,"",INDEX('كشف الحساب'!$A$4:$A$253,IFERROR(MATCH(90,'كشف الحساب'!$N$4:$N$253,0),0))),"")</f>
        <v/>
      </c>
      <c r="B94" s="70" t="str">
        <f>IFERROR(IF(IFERROR(MATCH(90,'كشف الحساب'!$N$4:$N$253,0),0)=0,"",INDEX('كشف الحساب'!$B$4:$B$253,IFERROR(MATCH(90,'كشف الحساب'!$N$4:$N$253,0),0))),"")</f>
        <v/>
      </c>
      <c r="C94" s="71" t="str">
        <f>IFERROR(IF(IFERROR(MATCH(90,'كشف الحساب'!$N$4:$N$253,0),0)=0,"",INDEX('كشف الحساب'!$C$4:$C$253,IFERROR(MATCH(90,'كشف الحساب'!$N$4:$N$253,0),0))),"")</f>
        <v/>
      </c>
      <c r="D94" s="72" t="str">
        <f>IFERROR(IF(IFERROR(MATCH(90,'كشف الحساب'!$N$4:$N$253,0),0)=0,"",INDEX('كشف الحساب'!$D$4:$D$253,IFERROR(MATCH(90,'كشف الحساب'!$N$4:$N$253,0),0))),"")</f>
        <v/>
      </c>
      <c r="E94" s="73" t="str">
        <f>IFERROR(IF(IFERROR(MATCH(90,'كشف الحساب'!$N$4:$N$253,0),0)=0,"",INDEX('كشف الحساب'!$E$4:$E$253,IFERROR(MATCH(90,'كشف الحساب'!$N$4:$N$253,0),0))),"")</f>
        <v/>
      </c>
      <c r="F94" s="70" t="str">
        <f>IFERROR(IF(IFERROR(MATCH(90,'كشف الحساب'!$N$4:$N$253,0),0)=0,"",INDEX('كشف الحساب'!$F$4:$F$253,IFERROR(MATCH(90,'كشف الحساب'!$N$4:$N$253,0),0))),"")</f>
        <v/>
      </c>
      <c r="G94" s="70" t="str">
        <f>IFERROR(IF(IFERROR(MATCH(90,'كشف الحساب'!$N$4:$N$253,0),0)=0,"",INDEX('كشف الحساب'!$G$4:$G$253,IFERROR(MATCH(90,'كشف الحساب'!$N$4:$N$253,0),0))),"")</f>
        <v/>
      </c>
      <c r="H94" s="70" t="str">
        <f>IFERROR(IF(IFERROR(MATCH(90,'كشف الحساب'!$N$4:$N$253,0),0)=0,"",INDEX('كشف الحساب'!$H$4:$H$253,IFERROR(MATCH(90,'كشف الحساب'!$N$4:$N$253,0),0))),"")</f>
        <v/>
      </c>
      <c r="I94" s="70" t="str">
        <f>IFERROR(IF(IFERROR(MATCH(90,'كشف الحساب'!$N$4:$N$253,0),0)=0,"",INDEX('كشف الحساب'!$I$4:$I$253,IFERROR(MATCH(90,'كشف الحساب'!$N$4:$N$253,0),0))),"")</f>
        <v/>
      </c>
      <c r="J94" s="74" t="str">
        <f>IFERROR(IF(IFERROR(MATCH(90,'كشف الحساب'!$N$4:$N$253,0),0)=0,"",INDEX('كشف الحساب'!$J$4:$J$253,IFERROR(MATCH(90,'كشف الحساب'!$N$4:$N$253,0),0))),"")</f>
        <v/>
      </c>
      <c r="K94" s="70" t="str">
        <f>IFERROR(IF(IFERROR(MATCH(90,'كشف الحساب'!$N$4:$N$253,0),0)=0,"",INDEX('كشف الحساب'!$K$4:$K$253,IFERROR(MATCH(90,'كشف الحساب'!$N$4:$N$253,0),0))),"")</f>
        <v/>
      </c>
    </row>
    <row r="95" spans="1:11" ht="15" customHeight="1" x14ac:dyDescent="0.25">
      <c r="A95" s="63" t="str">
        <f>IFERROR(IF(IFERROR(MATCH(91,'كشف الحساب'!$N$4:$N$253,0),0)=0,"",INDEX('كشف الحساب'!$A$4:$A$253,IFERROR(MATCH(91,'كشف الحساب'!$N$4:$N$253,0),0))),"")</f>
        <v/>
      </c>
      <c r="B95" s="64" t="str">
        <f>IFERROR(IF(IFERROR(MATCH(91,'كشف الحساب'!$N$4:$N$253,0),0)=0,"",INDEX('كشف الحساب'!$B$4:$B$253,IFERROR(MATCH(91,'كشف الحساب'!$N$4:$N$253,0),0))),"")</f>
        <v/>
      </c>
      <c r="C95" s="65" t="str">
        <f>IFERROR(IF(IFERROR(MATCH(91,'كشف الحساب'!$N$4:$N$253,0),0)=0,"",INDEX('كشف الحساب'!$C$4:$C$253,IFERROR(MATCH(91,'كشف الحساب'!$N$4:$N$253,0),0))),"")</f>
        <v/>
      </c>
      <c r="D95" s="66" t="str">
        <f>IFERROR(IF(IFERROR(MATCH(91,'كشف الحساب'!$N$4:$N$253,0),0)=0,"",INDEX('كشف الحساب'!$D$4:$D$253,IFERROR(MATCH(91,'كشف الحساب'!$N$4:$N$253,0),0))),"")</f>
        <v/>
      </c>
      <c r="E95" s="67" t="str">
        <f>IFERROR(IF(IFERROR(MATCH(91,'كشف الحساب'!$N$4:$N$253,0),0)=0,"",INDEX('كشف الحساب'!$E$4:$E$253,IFERROR(MATCH(91,'كشف الحساب'!$N$4:$N$253,0),0))),"")</f>
        <v/>
      </c>
      <c r="F95" s="64" t="str">
        <f>IFERROR(IF(IFERROR(MATCH(91,'كشف الحساب'!$N$4:$N$253,0),0)=0,"",INDEX('كشف الحساب'!$F$4:$F$253,IFERROR(MATCH(91,'كشف الحساب'!$N$4:$N$253,0),0))),"")</f>
        <v/>
      </c>
      <c r="G95" s="64" t="str">
        <f>IFERROR(IF(IFERROR(MATCH(91,'كشف الحساب'!$N$4:$N$253,0),0)=0,"",INDEX('كشف الحساب'!$G$4:$G$253,IFERROR(MATCH(91,'كشف الحساب'!$N$4:$N$253,0),0))),"")</f>
        <v/>
      </c>
      <c r="H95" s="64" t="str">
        <f>IFERROR(IF(IFERROR(MATCH(91,'كشف الحساب'!$N$4:$N$253,0),0)=0,"",INDEX('كشف الحساب'!$H$4:$H$253,IFERROR(MATCH(91,'كشف الحساب'!$N$4:$N$253,0),0))),"")</f>
        <v/>
      </c>
      <c r="I95" s="64" t="str">
        <f>IFERROR(IF(IFERROR(MATCH(91,'كشف الحساب'!$N$4:$N$253,0),0)=0,"",INDEX('كشف الحساب'!$I$4:$I$253,IFERROR(MATCH(91,'كشف الحساب'!$N$4:$N$253,0),0))),"")</f>
        <v/>
      </c>
      <c r="J95" s="68" t="str">
        <f>IFERROR(IF(IFERROR(MATCH(91,'كشف الحساب'!$N$4:$N$253,0),0)=0,"",INDEX('كشف الحساب'!$J$4:$J$253,IFERROR(MATCH(91,'كشف الحساب'!$N$4:$N$253,0),0))),"")</f>
        <v/>
      </c>
      <c r="K95" s="64" t="str">
        <f>IFERROR(IF(IFERROR(MATCH(91,'كشف الحساب'!$N$4:$N$253,0),0)=0,"",INDEX('كشف الحساب'!$K$4:$K$253,IFERROR(MATCH(91,'كشف الحساب'!$N$4:$N$253,0),0))),"")</f>
        <v/>
      </c>
    </row>
    <row r="96" spans="1:11" ht="15" customHeight="1" x14ac:dyDescent="0.25">
      <c r="A96" s="69" t="str">
        <f>IFERROR(IF(IFERROR(MATCH(92,'كشف الحساب'!$N$4:$N$253,0),0)=0,"",INDEX('كشف الحساب'!$A$4:$A$253,IFERROR(MATCH(92,'كشف الحساب'!$N$4:$N$253,0),0))),"")</f>
        <v/>
      </c>
      <c r="B96" s="70" t="str">
        <f>IFERROR(IF(IFERROR(MATCH(92,'كشف الحساب'!$N$4:$N$253,0),0)=0,"",INDEX('كشف الحساب'!$B$4:$B$253,IFERROR(MATCH(92,'كشف الحساب'!$N$4:$N$253,0),0))),"")</f>
        <v/>
      </c>
      <c r="C96" s="71" t="str">
        <f>IFERROR(IF(IFERROR(MATCH(92,'كشف الحساب'!$N$4:$N$253,0),0)=0,"",INDEX('كشف الحساب'!$C$4:$C$253,IFERROR(MATCH(92,'كشف الحساب'!$N$4:$N$253,0),0))),"")</f>
        <v/>
      </c>
      <c r="D96" s="72" t="str">
        <f>IFERROR(IF(IFERROR(MATCH(92,'كشف الحساب'!$N$4:$N$253,0),0)=0,"",INDEX('كشف الحساب'!$D$4:$D$253,IFERROR(MATCH(92,'كشف الحساب'!$N$4:$N$253,0),0))),"")</f>
        <v/>
      </c>
      <c r="E96" s="73" t="str">
        <f>IFERROR(IF(IFERROR(MATCH(92,'كشف الحساب'!$N$4:$N$253,0),0)=0,"",INDEX('كشف الحساب'!$E$4:$E$253,IFERROR(MATCH(92,'كشف الحساب'!$N$4:$N$253,0),0))),"")</f>
        <v/>
      </c>
      <c r="F96" s="70" t="str">
        <f>IFERROR(IF(IFERROR(MATCH(92,'كشف الحساب'!$N$4:$N$253,0),0)=0,"",INDEX('كشف الحساب'!$F$4:$F$253,IFERROR(MATCH(92,'كشف الحساب'!$N$4:$N$253,0),0))),"")</f>
        <v/>
      </c>
      <c r="G96" s="70" t="str">
        <f>IFERROR(IF(IFERROR(MATCH(92,'كشف الحساب'!$N$4:$N$253,0),0)=0,"",INDEX('كشف الحساب'!$G$4:$G$253,IFERROR(MATCH(92,'كشف الحساب'!$N$4:$N$253,0),0))),"")</f>
        <v/>
      </c>
      <c r="H96" s="70" t="str">
        <f>IFERROR(IF(IFERROR(MATCH(92,'كشف الحساب'!$N$4:$N$253,0),0)=0,"",INDEX('كشف الحساب'!$H$4:$H$253,IFERROR(MATCH(92,'كشف الحساب'!$N$4:$N$253,0),0))),"")</f>
        <v/>
      </c>
      <c r="I96" s="70" t="str">
        <f>IFERROR(IF(IFERROR(MATCH(92,'كشف الحساب'!$N$4:$N$253,0),0)=0,"",INDEX('كشف الحساب'!$I$4:$I$253,IFERROR(MATCH(92,'كشف الحساب'!$N$4:$N$253,0),0))),"")</f>
        <v/>
      </c>
      <c r="J96" s="74" t="str">
        <f>IFERROR(IF(IFERROR(MATCH(92,'كشف الحساب'!$N$4:$N$253,0),0)=0,"",INDEX('كشف الحساب'!$J$4:$J$253,IFERROR(MATCH(92,'كشف الحساب'!$N$4:$N$253,0),0))),"")</f>
        <v/>
      </c>
      <c r="K96" s="70" t="str">
        <f>IFERROR(IF(IFERROR(MATCH(92,'كشف الحساب'!$N$4:$N$253,0),0)=0,"",INDEX('كشف الحساب'!$K$4:$K$253,IFERROR(MATCH(92,'كشف الحساب'!$N$4:$N$253,0),0))),"")</f>
        <v/>
      </c>
    </row>
    <row r="97" spans="1:11" ht="15" customHeight="1" x14ac:dyDescent="0.25">
      <c r="A97" s="63" t="str">
        <f>IFERROR(IF(IFERROR(MATCH(93,'كشف الحساب'!$N$4:$N$253,0),0)=0,"",INDEX('كشف الحساب'!$A$4:$A$253,IFERROR(MATCH(93,'كشف الحساب'!$N$4:$N$253,0),0))),"")</f>
        <v/>
      </c>
      <c r="B97" s="64" t="str">
        <f>IFERROR(IF(IFERROR(MATCH(93,'كشف الحساب'!$N$4:$N$253,0),0)=0,"",INDEX('كشف الحساب'!$B$4:$B$253,IFERROR(MATCH(93,'كشف الحساب'!$N$4:$N$253,0),0))),"")</f>
        <v/>
      </c>
      <c r="C97" s="65" t="str">
        <f>IFERROR(IF(IFERROR(MATCH(93,'كشف الحساب'!$N$4:$N$253,0),0)=0,"",INDEX('كشف الحساب'!$C$4:$C$253,IFERROR(MATCH(93,'كشف الحساب'!$N$4:$N$253,0),0))),"")</f>
        <v/>
      </c>
      <c r="D97" s="66" t="str">
        <f>IFERROR(IF(IFERROR(MATCH(93,'كشف الحساب'!$N$4:$N$253,0),0)=0,"",INDEX('كشف الحساب'!$D$4:$D$253,IFERROR(MATCH(93,'كشف الحساب'!$N$4:$N$253,0),0))),"")</f>
        <v/>
      </c>
      <c r="E97" s="67" t="str">
        <f>IFERROR(IF(IFERROR(MATCH(93,'كشف الحساب'!$N$4:$N$253,0),0)=0,"",INDEX('كشف الحساب'!$E$4:$E$253,IFERROR(MATCH(93,'كشف الحساب'!$N$4:$N$253,0),0))),"")</f>
        <v/>
      </c>
      <c r="F97" s="64" t="str">
        <f>IFERROR(IF(IFERROR(MATCH(93,'كشف الحساب'!$N$4:$N$253,0),0)=0,"",INDEX('كشف الحساب'!$F$4:$F$253,IFERROR(MATCH(93,'كشف الحساب'!$N$4:$N$253,0),0))),"")</f>
        <v/>
      </c>
      <c r="G97" s="64" t="str">
        <f>IFERROR(IF(IFERROR(MATCH(93,'كشف الحساب'!$N$4:$N$253,0),0)=0,"",INDEX('كشف الحساب'!$G$4:$G$253,IFERROR(MATCH(93,'كشف الحساب'!$N$4:$N$253,0),0))),"")</f>
        <v/>
      </c>
      <c r="H97" s="64" t="str">
        <f>IFERROR(IF(IFERROR(MATCH(93,'كشف الحساب'!$N$4:$N$253,0),0)=0,"",INDEX('كشف الحساب'!$H$4:$H$253,IFERROR(MATCH(93,'كشف الحساب'!$N$4:$N$253,0),0))),"")</f>
        <v/>
      </c>
      <c r="I97" s="64" t="str">
        <f>IFERROR(IF(IFERROR(MATCH(93,'كشف الحساب'!$N$4:$N$253,0),0)=0,"",INDEX('كشف الحساب'!$I$4:$I$253,IFERROR(MATCH(93,'كشف الحساب'!$N$4:$N$253,0),0))),"")</f>
        <v/>
      </c>
      <c r="J97" s="68" t="str">
        <f>IFERROR(IF(IFERROR(MATCH(93,'كشف الحساب'!$N$4:$N$253,0),0)=0,"",INDEX('كشف الحساب'!$J$4:$J$253,IFERROR(MATCH(93,'كشف الحساب'!$N$4:$N$253,0),0))),"")</f>
        <v/>
      </c>
      <c r="K97" s="64" t="str">
        <f>IFERROR(IF(IFERROR(MATCH(93,'كشف الحساب'!$N$4:$N$253,0),0)=0,"",INDEX('كشف الحساب'!$K$4:$K$253,IFERROR(MATCH(93,'كشف الحساب'!$N$4:$N$253,0),0))),"")</f>
        <v/>
      </c>
    </row>
    <row r="98" spans="1:11" ht="15" customHeight="1" x14ac:dyDescent="0.25">
      <c r="A98" s="69" t="str">
        <f>IFERROR(IF(IFERROR(MATCH(94,'كشف الحساب'!$N$4:$N$253,0),0)=0,"",INDEX('كشف الحساب'!$A$4:$A$253,IFERROR(MATCH(94,'كشف الحساب'!$N$4:$N$253,0),0))),"")</f>
        <v/>
      </c>
      <c r="B98" s="70" t="str">
        <f>IFERROR(IF(IFERROR(MATCH(94,'كشف الحساب'!$N$4:$N$253,0),0)=0,"",INDEX('كشف الحساب'!$B$4:$B$253,IFERROR(MATCH(94,'كشف الحساب'!$N$4:$N$253,0),0))),"")</f>
        <v/>
      </c>
      <c r="C98" s="71" t="str">
        <f>IFERROR(IF(IFERROR(MATCH(94,'كشف الحساب'!$N$4:$N$253,0),0)=0,"",INDEX('كشف الحساب'!$C$4:$C$253,IFERROR(MATCH(94,'كشف الحساب'!$N$4:$N$253,0),0))),"")</f>
        <v/>
      </c>
      <c r="D98" s="72" t="str">
        <f>IFERROR(IF(IFERROR(MATCH(94,'كشف الحساب'!$N$4:$N$253,0),0)=0,"",INDEX('كشف الحساب'!$D$4:$D$253,IFERROR(MATCH(94,'كشف الحساب'!$N$4:$N$253,0),0))),"")</f>
        <v/>
      </c>
      <c r="E98" s="73" t="str">
        <f>IFERROR(IF(IFERROR(MATCH(94,'كشف الحساب'!$N$4:$N$253,0),0)=0,"",INDEX('كشف الحساب'!$E$4:$E$253,IFERROR(MATCH(94,'كشف الحساب'!$N$4:$N$253,0),0))),"")</f>
        <v/>
      </c>
      <c r="F98" s="70" t="str">
        <f>IFERROR(IF(IFERROR(MATCH(94,'كشف الحساب'!$N$4:$N$253,0),0)=0,"",INDEX('كشف الحساب'!$F$4:$F$253,IFERROR(MATCH(94,'كشف الحساب'!$N$4:$N$253,0),0))),"")</f>
        <v/>
      </c>
      <c r="G98" s="70" t="str">
        <f>IFERROR(IF(IFERROR(MATCH(94,'كشف الحساب'!$N$4:$N$253,0),0)=0,"",INDEX('كشف الحساب'!$G$4:$G$253,IFERROR(MATCH(94,'كشف الحساب'!$N$4:$N$253,0),0))),"")</f>
        <v/>
      </c>
      <c r="H98" s="70" t="str">
        <f>IFERROR(IF(IFERROR(MATCH(94,'كشف الحساب'!$N$4:$N$253,0),0)=0,"",INDEX('كشف الحساب'!$H$4:$H$253,IFERROR(MATCH(94,'كشف الحساب'!$N$4:$N$253,0),0))),"")</f>
        <v/>
      </c>
      <c r="I98" s="70" t="str">
        <f>IFERROR(IF(IFERROR(MATCH(94,'كشف الحساب'!$N$4:$N$253,0),0)=0,"",INDEX('كشف الحساب'!$I$4:$I$253,IFERROR(MATCH(94,'كشف الحساب'!$N$4:$N$253,0),0))),"")</f>
        <v/>
      </c>
      <c r="J98" s="74" t="str">
        <f>IFERROR(IF(IFERROR(MATCH(94,'كشف الحساب'!$N$4:$N$253,0),0)=0,"",INDEX('كشف الحساب'!$J$4:$J$253,IFERROR(MATCH(94,'كشف الحساب'!$N$4:$N$253,0),0))),"")</f>
        <v/>
      </c>
      <c r="K98" s="70" t="str">
        <f>IFERROR(IF(IFERROR(MATCH(94,'كشف الحساب'!$N$4:$N$253,0),0)=0,"",INDEX('كشف الحساب'!$K$4:$K$253,IFERROR(MATCH(94,'كشف الحساب'!$N$4:$N$253,0),0))),"")</f>
        <v/>
      </c>
    </row>
    <row r="99" spans="1:11" ht="15" customHeight="1" x14ac:dyDescent="0.25">
      <c r="A99" s="63" t="str">
        <f>IFERROR(IF(IFERROR(MATCH(95,'كشف الحساب'!$N$4:$N$253,0),0)=0,"",INDEX('كشف الحساب'!$A$4:$A$253,IFERROR(MATCH(95,'كشف الحساب'!$N$4:$N$253,0),0))),"")</f>
        <v/>
      </c>
      <c r="B99" s="64" t="str">
        <f>IFERROR(IF(IFERROR(MATCH(95,'كشف الحساب'!$N$4:$N$253,0),0)=0,"",INDEX('كشف الحساب'!$B$4:$B$253,IFERROR(MATCH(95,'كشف الحساب'!$N$4:$N$253,0),0))),"")</f>
        <v/>
      </c>
      <c r="C99" s="65" t="str">
        <f>IFERROR(IF(IFERROR(MATCH(95,'كشف الحساب'!$N$4:$N$253,0),0)=0,"",INDEX('كشف الحساب'!$C$4:$C$253,IFERROR(MATCH(95,'كشف الحساب'!$N$4:$N$253,0),0))),"")</f>
        <v/>
      </c>
      <c r="D99" s="66" t="str">
        <f>IFERROR(IF(IFERROR(MATCH(95,'كشف الحساب'!$N$4:$N$253,0),0)=0,"",INDEX('كشف الحساب'!$D$4:$D$253,IFERROR(MATCH(95,'كشف الحساب'!$N$4:$N$253,0),0))),"")</f>
        <v/>
      </c>
      <c r="E99" s="67" t="str">
        <f>IFERROR(IF(IFERROR(MATCH(95,'كشف الحساب'!$N$4:$N$253,0),0)=0,"",INDEX('كشف الحساب'!$E$4:$E$253,IFERROR(MATCH(95,'كشف الحساب'!$N$4:$N$253,0),0))),"")</f>
        <v/>
      </c>
      <c r="F99" s="64" t="str">
        <f>IFERROR(IF(IFERROR(MATCH(95,'كشف الحساب'!$N$4:$N$253,0),0)=0,"",INDEX('كشف الحساب'!$F$4:$F$253,IFERROR(MATCH(95,'كشف الحساب'!$N$4:$N$253,0),0))),"")</f>
        <v/>
      </c>
      <c r="G99" s="64" t="str">
        <f>IFERROR(IF(IFERROR(MATCH(95,'كشف الحساب'!$N$4:$N$253,0),0)=0,"",INDEX('كشف الحساب'!$G$4:$G$253,IFERROR(MATCH(95,'كشف الحساب'!$N$4:$N$253,0),0))),"")</f>
        <v/>
      </c>
      <c r="H99" s="64" t="str">
        <f>IFERROR(IF(IFERROR(MATCH(95,'كشف الحساب'!$N$4:$N$253,0),0)=0,"",INDEX('كشف الحساب'!$H$4:$H$253,IFERROR(MATCH(95,'كشف الحساب'!$N$4:$N$253,0),0))),"")</f>
        <v/>
      </c>
      <c r="I99" s="64" t="str">
        <f>IFERROR(IF(IFERROR(MATCH(95,'كشف الحساب'!$N$4:$N$253,0),0)=0,"",INDEX('كشف الحساب'!$I$4:$I$253,IFERROR(MATCH(95,'كشف الحساب'!$N$4:$N$253,0),0))),"")</f>
        <v/>
      </c>
      <c r="J99" s="68" t="str">
        <f>IFERROR(IF(IFERROR(MATCH(95,'كشف الحساب'!$N$4:$N$253,0),0)=0,"",INDEX('كشف الحساب'!$J$4:$J$253,IFERROR(MATCH(95,'كشف الحساب'!$N$4:$N$253,0),0))),"")</f>
        <v/>
      </c>
      <c r="K99" s="64" t="str">
        <f>IFERROR(IF(IFERROR(MATCH(95,'كشف الحساب'!$N$4:$N$253,0),0)=0,"",INDEX('كشف الحساب'!$K$4:$K$253,IFERROR(MATCH(95,'كشف الحساب'!$N$4:$N$253,0),0))),"")</f>
        <v/>
      </c>
    </row>
    <row r="100" spans="1:11" ht="15" customHeight="1" x14ac:dyDescent="0.25">
      <c r="A100" s="69" t="str">
        <f>IFERROR(IF(IFERROR(MATCH(96,'كشف الحساب'!$N$4:$N$253,0),0)=0,"",INDEX('كشف الحساب'!$A$4:$A$253,IFERROR(MATCH(96,'كشف الحساب'!$N$4:$N$253,0),0))),"")</f>
        <v/>
      </c>
      <c r="B100" s="70" t="str">
        <f>IFERROR(IF(IFERROR(MATCH(96,'كشف الحساب'!$N$4:$N$253,0),0)=0,"",INDEX('كشف الحساب'!$B$4:$B$253,IFERROR(MATCH(96,'كشف الحساب'!$N$4:$N$253,0),0))),"")</f>
        <v/>
      </c>
      <c r="C100" s="71" t="str">
        <f>IFERROR(IF(IFERROR(MATCH(96,'كشف الحساب'!$N$4:$N$253,0),0)=0,"",INDEX('كشف الحساب'!$C$4:$C$253,IFERROR(MATCH(96,'كشف الحساب'!$N$4:$N$253,0),0))),"")</f>
        <v/>
      </c>
      <c r="D100" s="72" t="str">
        <f>IFERROR(IF(IFERROR(MATCH(96,'كشف الحساب'!$N$4:$N$253,0),0)=0,"",INDEX('كشف الحساب'!$D$4:$D$253,IFERROR(MATCH(96,'كشف الحساب'!$N$4:$N$253,0),0))),"")</f>
        <v/>
      </c>
      <c r="E100" s="73" t="str">
        <f>IFERROR(IF(IFERROR(MATCH(96,'كشف الحساب'!$N$4:$N$253,0),0)=0,"",INDEX('كشف الحساب'!$E$4:$E$253,IFERROR(MATCH(96,'كشف الحساب'!$N$4:$N$253,0),0))),"")</f>
        <v/>
      </c>
      <c r="F100" s="70" t="str">
        <f>IFERROR(IF(IFERROR(MATCH(96,'كشف الحساب'!$N$4:$N$253,0),0)=0,"",INDEX('كشف الحساب'!$F$4:$F$253,IFERROR(MATCH(96,'كشف الحساب'!$N$4:$N$253,0),0))),"")</f>
        <v/>
      </c>
      <c r="G100" s="70" t="str">
        <f>IFERROR(IF(IFERROR(MATCH(96,'كشف الحساب'!$N$4:$N$253,0),0)=0,"",INDEX('كشف الحساب'!$G$4:$G$253,IFERROR(MATCH(96,'كشف الحساب'!$N$4:$N$253,0),0))),"")</f>
        <v/>
      </c>
      <c r="H100" s="70" t="str">
        <f>IFERROR(IF(IFERROR(MATCH(96,'كشف الحساب'!$N$4:$N$253,0),0)=0,"",INDEX('كشف الحساب'!$H$4:$H$253,IFERROR(MATCH(96,'كشف الحساب'!$N$4:$N$253,0),0))),"")</f>
        <v/>
      </c>
      <c r="I100" s="70" t="str">
        <f>IFERROR(IF(IFERROR(MATCH(96,'كشف الحساب'!$N$4:$N$253,0),0)=0,"",INDEX('كشف الحساب'!$I$4:$I$253,IFERROR(MATCH(96,'كشف الحساب'!$N$4:$N$253,0),0))),"")</f>
        <v/>
      </c>
      <c r="J100" s="74" t="str">
        <f>IFERROR(IF(IFERROR(MATCH(96,'كشف الحساب'!$N$4:$N$253,0),0)=0,"",INDEX('كشف الحساب'!$J$4:$J$253,IFERROR(MATCH(96,'كشف الحساب'!$N$4:$N$253,0),0))),"")</f>
        <v/>
      </c>
      <c r="K100" s="70" t="str">
        <f>IFERROR(IF(IFERROR(MATCH(96,'كشف الحساب'!$N$4:$N$253,0),0)=0,"",INDEX('كشف الحساب'!$K$4:$K$253,IFERROR(MATCH(96,'كشف الحساب'!$N$4:$N$253,0),0))),"")</f>
        <v/>
      </c>
    </row>
    <row r="101" spans="1:11" ht="15" customHeight="1" x14ac:dyDescent="0.25">
      <c r="A101" s="63" t="str">
        <f>IFERROR(IF(IFERROR(MATCH(97,'كشف الحساب'!$N$4:$N$253,0),0)=0,"",INDEX('كشف الحساب'!$A$4:$A$253,IFERROR(MATCH(97,'كشف الحساب'!$N$4:$N$253,0),0))),"")</f>
        <v/>
      </c>
      <c r="B101" s="64" t="str">
        <f>IFERROR(IF(IFERROR(MATCH(97,'كشف الحساب'!$N$4:$N$253,0),0)=0,"",INDEX('كشف الحساب'!$B$4:$B$253,IFERROR(MATCH(97,'كشف الحساب'!$N$4:$N$253,0),0))),"")</f>
        <v/>
      </c>
      <c r="C101" s="65" t="str">
        <f>IFERROR(IF(IFERROR(MATCH(97,'كشف الحساب'!$N$4:$N$253,0),0)=0,"",INDEX('كشف الحساب'!$C$4:$C$253,IFERROR(MATCH(97,'كشف الحساب'!$N$4:$N$253,0),0))),"")</f>
        <v/>
      </c>
      <c r="D101" s="66" t="str">
        <f>IFERROR(IF(IFERROR(MATCH(97,'كشف الحساب'!$N$4:$N$253,0),0)=0,"",INDEX('كشف الحساب'!$D$4:$D$253,IFERROR(MATCH(97,'كشف الحساب'!$N$4:$N$253,0),0))),"")</f>
        <v/>
      </c>
      <c r="E101" s="67" t="str">
        <f>IFERROR(IF(IFERROR(MATCH(97,'كشف الحساب'!$N$4:$N$253,0),0)=0,"",INDEX('كشف الحساب'!$E$4:$E$253,IFERROR(MATCH(97,'كشف الحساب'!$N$4:$N$253,0),0))),"")</f>
        <v/>
      </c>
      <c r="F101" s="64" t="str">
        <f>IFERROR(IF(IFERROR(MATCH(97,'كشف الحساب'!$N$4:$N$253,0),0)=0,"",INDEX('كشف الحساب'!$F$4:$F$253,IFERROR(MATCH(97,'كشف الحساب'!$N$4:$N$253,0),0))),"")</f>
        <v/>
      </c>
      <c r="G101" s="64" t="str">
        <f>IFERROR(IF(IFERROR(MATCH(97,'كشف الحساب'!$N$4:$N$253,0),0)=0,"",INDEX('كشف الحساب'!$G$4:$G$253,IFERROR(MATCH(97,'كشف الحساب'!$N$4:$N$253,0),0))),"")</f>
        <v/>
      </c>
      <c r="H101" s="64" t="str">
        <f>IFERROR(IF(IFERROR(MATCH(97,'كشف الحساب'!$N$4:$N$253,0),0)=0,"",INDEX('كشف الحساب'!$H$4:$H$253,IFERROR(MATCH(97,'كشف الحساب'!$N$4:$N$253,0),0))),"")</f>
        <v/>
      </c>
      <c r="I101" s="64" t="str">
        <f>IFERROR(IF(IFERROR(MATCH(97,'كشف الحساب'!$N$4:$N$253,0),0)=0,"",INDEX('كشف الحساب'!$I$4:$I$253,IFERROR(MATCH(97,'كشف الحساب'!$N$4:$N$253,0),0))),"")</f>
        <v/>
      </c>
      <c r="J101" s="68" t="str">
        <f>IFERROR(IF(IFERROR(MATCH(97,'كشف الحساب'!$N$4:$N$253,0),0)=0,"",INDEX('كشف الحساب'!$J$4:$J$253,IFERROR(MATCH(97,'كشف الحساب'!$N$4:$N$253,0),0))),"")</f>
        <v/>
      </c>
      <c r="K101" s="64" t="str">
        <f>IFERROR(IF(IFERROR(MATCH(97,'كشف الحساب'!$N$4:$N$253,0),0)=0,"",INDEX('كشف الحساب'!$K$4:$K$253,IFERROR(MATCH(97,'كشف الحساب'!$N$4:$N$253,0),0))),"")</f>
        <v/>
      </c>
    </row>
    <row r="102" spans="1:11" ht="15" customHeight="1" x14ac:dyDescent="0.25">
      <c r="A102" s="69" t="str">
        <f>IFERROR(IF(IFERROR(MATCH(98,'كشف الحساب'!$N$4:$N$253,0),0)=0,"",INDEX('كشف الحساب'!$A$4:$A$253,IFERROR(MATCH(98,'كشف الحساب'!$N$4:$N$253,0),0))),"")</f>
        <v/>
      </c>
      <c r="B102" s="70" t="str">
        <f>IFERROR(IF(IFERROR(MATCH(98,'كشف الحساب'!$N$4:$N$253,0),0)=0,"",INDEX('كشف الحساب'!$B$4:$B$253,IFERROR(MATCH(98,'كشف الحساب'!$N$4:$N$253,0),0))),"")</f>
        <v/>
      </c>
      <c r="C102" s="71" t="str">
        <f>IFERROR(IF(IFERROR(MATCH(98,'كشف الحساب'!$N$4:$N$253,0),0)=0,"",INDEX('كشف الحساب'!$C$4:$C$253,IFERROR(MATCH(98,'كشف الحساب'!$N$4:$N$253,0),0))),"")</f>
        <v/>
      </c>
      <c r="D102" s="72" t="str">
        <f>IFERROR(IF(IFERROR(MATCH(98,'كشف الحساب'!$N$4:$N$253,0),0)=0,"",INDEX('كشف الحساب'!$D$4:$D$253,IFERROR(MATCH(98,'كشف الحساب'!$N$4:$N$253,0),0))),"")</f>
        <v/>
      </c>
      <c r="E102" s="73" t="str">
        <f>IFERROR(IF(IFERROR(MATCH(98,'كشف الحساب'!$N$4:$N$253,0),0)=0,"",INDEX('كشف الحساب'!$E$4:$E$253,IFERROR(MATCH(98,'كشف الحساب'!$N$4:$N$253,0),0))),"")</f>
        <v/>
      </c>
      <c r="F102" s="70" t="str">
        <f>IFERROR(IF(IFERROR(MATCH(98,'كشف الحساب'!$N$4:$N$253,0),0)=0,"",INDEX('كشف الحساب'!$F$4:$F$253,IFERROR(MATCH(98,'كشف الحساب'!$N$4:$N$253,0),0))),"")</f>
        <v/>
      </c>
      <c r="G102" s="70" t="str">
        <f>IFERROR(IF(IFERROR(MATCH(98,'كشف الحساب'!$N$4:$N$253,0),0)=0,"",INDEX('كشف الحساب'!$G$4:$G$253,IFERROR(MATCH(98,'كشف الحساب'!$N$4:$N$253,0),0))),"")</f>
        <v/>
      </c>
      <c r="H102" s="70" t="str">
        <f>IFERROR(IF(IFERROR(MATCH(98,'كشف الحساب'!$N$4:$N$253,0),0)=0,"",INDEX('كشف الحساب'!$H$4:$H$253,IFERROR(MATCH(98,'كشف الحساب'!$N$4:$N$253,0),0))),"")</f>
        <v/>
      </c>
      <c r="I102" s="70" t="str">
        <f>IFERROR(IF(IFERROR(MATCH(98,'كشف الحساب'!$N$4:$N$253,0),0)=0,"",INDEX('كشف الحساب'!$I$4:$I$253,IFERROR(MATCH(98,'كشف الحساب'!$N$4:$N$253,0),0))),"")</f>
        <v/>
      </c>
      <c r="J102" s="74" t="str">
        <f>IFERROR(IF(IFERROR(MATCH(98,'كشف الحساب'!$N$4:$N$253,0),0)=0,"",INDEX('كشف الحساب'!$J$4:$J$253,IFERROR(MATCH(98,'كشف الحساب'!$N$4:$N$253,0),0))),"")</f>
        <v/>
      </c>
      <c r="K102" s="70" t="str">
        <f>IFERROR(IF(IFERROR(MATCH(98,'كشف الحساب'!$N$4:$N$253,0),0)=0,"",INDEX('كشف الحساب'!$K$4:$K$253,IFERROR(MATCH(98,'كشف الحساب'!$N$4:$N$253,0),0))),"")</f>
        <v/>
      </c>
    </row>
    <row r="103" spans="1:11" ht="15" customHeight="1" x14ac:dyDescent="0.25">
      <c r="A103" s="63" t="str">
        <f>IFERROR(IF(IFERROR(MATCH(99,'كشف الحساب'!$N$4:$N$253,0),0)=0,"",INDEX('كشف الحساب'!$A$4:$A$253,IFERROR(MATCH(99,'كشف الحساب'!$N$4:$N$253,0),0))),"")</f>
        <v/>
      </c>
      <c r="B103" s="64" t="str">
        <f>IFERROR(IF(IFERROR(MATCH(99,'كشف الحساب'!$N$4:$N$253,0),0)=0,"",INDEX('كشف الحساب'!$B$4:$B$253,IFERROR(MATCH(99,'كشف الحساب'!$N$4:$N$253,0),0))),"")</f>
        <v/>
      </c>
      <c r="C103" s="65" t="str">
        <f>IFERROR(IF(IFERROR(MATCH(99,'كشف الحساب'!$N$4:$N$253,0),0)=0,"",INDEX('كشف الحساب'!$C$4:$C$253,IFERROR(MATCH(99,'كشف الحساب'!$N$4:$N$253,0),0))),"")</f>
        <v/>
      </c>
      <c r="D103" s="66" t="str">
        <f>IFERROR(IF(IFERROR(MATCH(99,'كشف الحساب'!$N$4:$N$253,0),0)=0,"",INDEX('كشف الحساب'!$D$4:$D$253,IFERROR(MATCH(99,'كشف الحساب'!$N$4:$N$253,0),0))),"")</f>
        <v/>
      </c>
      <c r="E103" s="67" t="str">
        <f>IFERROR(IF(IFERROR(MATCH(99,'كشف الحساب'!$N$4:$N$253,0),0)=0,"",INDEX('كشف الحساب'!$E$4:$E$253,IFERROR(MATCH(99,'كشف الحساب'!$N$4:$N$253,0),0))),"")</f>
        <v/>
      </c>
      <c r="F103" s="64" t="str">
        <f>IFERROR(IF(IFERROR(MATCH(99,'كشف الحساب'!$N$4:$N$253,0),0)=0,"",INDEX('كشف الحساب'!$F$4:$F$253,IFERROR(MATCH(99,'كشف الحساب'!$N$4:$N$253,0),0))),"")</f>
        <v/>
      </c>
      <c r="G103" s="64" t="str">
        <f>IFERROR(IF(IFERROR(MATCH(99,'كشف الحساب'!$N$4:$N$253,0),0)=0,"",INDEX('كشف الحساب'!$G$4:$G$253,IFERROR(MATCH(99,'كشف الحساب'!$N$4:$N$253,0),0))),"")</f>
        <v/>
      </c>
      <c r="H103" s="64" t="str">
        <f>IFERROR(IF(IFERROR(MATCH(99,'كشف الحساب'!$N$4:$N$253,0),0)=0,"",INDEX('كشف الحساب'!$H$4:$H$253,IFERROR(MATCH(99,'كشف الحساب'!$N$4:$N$253,0),0))),"")</f>
        <v/>
      </c>
      <c r="I103" s="64" t="str">
        <f>IFERROR(IF(IFERROR(MATCH(99,'كشف الحساب'!$N$4:$N$253,0),0)=0,"",INDEX('كشف الحساب'!$I$4:$I$253,IFERROR(MATCH(99,'كشف الحساب'!$N$4:$N$253,0),0))),"")</f>
        <v/>
      </c>
      <c r="J103" s="68" t="str">
        <f>IFERROR(IF(IFERROR(MATCH(99,'كشف الحساب'!$N$4:$N$253,0),0)=0,"",INDEX('كشف الحساب'!$J$4:$J$253,IFERROR(MATCH(99,'كشف الحساب'!$N$4:$N$253,0),0))),"")</f>
        <v/>
      </c>
      <c r="K103" s="64" t="str">
        <f>IFERROR(IF(IFERROR(MATCH(99,'كشف الحساب'!$N$4:$N$253,0),0)=0,"",INDEX('كشف الحساب'!$K$4:$K$253,IFERROR(MATCH(99,'كشف الحساب'!$N$4:$N$253,0),0))),"")</f>
        <v/>
      </c>
    </row>
    <row r="104" spans="1:11" ht="15" customHeight="1" x14ac:dyDescent="0.25">
      <c r="A104" s="69" t="str">
        <f>IFERROR(IF(IFERROR(MATCH(100,'كشف الحساب'!$N$4:$N$253,0),0)=0,"",INDEX('كشف الحساب'!$A$4:$A$253,IFERROR(MATCH(100,'كشف الحساب'!$N$4:$N$253,0),0))),"")</f>
        <v/>
      </c>
      <c r="B104" s="70" t="str">
        <f>IFERROR(IF(IFERROR(MATCH(100,'كشف الحساب'!$N$4:$N$253,0),0)=0,"",INDEX('كشف الحساب'!$B$4:$B$253,IFERROR(MATCH(100,'كشف الحساب'!$N$4:$N$253,0),0))),"")</f>
        <v/>
      </c>
      <c r="C104" s="71" t="str">
        <f>IFERROR(IF(IFERROR(MATCH(100,'كشف الحساب'!$N$4:$N$253,0),0)=0,"",INDEX('كشف الحساب'!$C$4:$C$253,IFERROR(MATCH(100,'كشف الحساب'!$N$4:$N$253,0),0))),"")</f>
        <v/>
      </c>
      <c r="D104" s="72" t="str">
        <f>IFERROR(IF(IFERROR(MATCH(100,'كشف الحساب'!$N$4:$N$253,0),0)=0,"",INDEX('كشف الحساب'!$D$4:$D$253,IFERROR(MATCH(100,'كشف الحساب'!$N$4:$N$253,0),0))),"")</f>
        <v/>
      </c>
      <c r="E104" s="73" t="str">
        <f>IFERROR(IF(IFERROR(MATCH(100,'كشف الحساب'!$N$4:$N$253,0),0)=0,"",INDEX('كشف الحساب'!$E$4:$E$253,IFERROR(MATCH(100,'كشف الحساب'!$N$4:$N$253,0),0))),"")</f>
        <v/>
      </c>
      <c r="F104" s="70" t="str">
        <f>IFERROR(IF(IFERROR(MATCH(100,'كشف الحساب'!$N$4:$N$253,0),0)=0,"",INDEX('كشف الحساب'!$F$4:$F$253,IFERROR(MATCH(100,'كشف الحساب'!$N$4:$N$253,0),0))),"")</f>
        <v/>
      </c>
      <c r="G104" s="70" t="str">
        <f>IFERROR(IF(IFERROR(MATCH(100,'كشف الحساب'!$N$4:$N$253,0),0)=0,"",INDEX('كشف الحساب'!$G$4:$G$253,IFERROR(MATCH(100,'كشف الحساب'!$N$4:$N$253,0),0))),"")</f>
        <v/>
      </c>
      <c r="H104" s="70" t="str">
        <f>IFERROR(IF(IFERROR(MATCH(100,'كشف الحساب'!$N$4:$N$253,0),0)=0,"",INDEX('كشف الحساب'!$H$4:$H$253,IFERROR(MATCH(100,'كشف الحساب'!$N$4:$N$253,0),0))),"")</f>
        <v/>
      </c>
      <c r="I104" s="70" t="str">
        <f>IFERROR(IF(IFERROR(MATCH(100,'كشف الحساب'!$N$4:$N$253,0),0)=0,"",INDEX('كشف الحساب'!$I$4:$I$253,IFERROR(MATCH(100,'كشف الحساب'!$N$4:$N$253,0),0))),"")</f>
        <v/>
      </c>
      <c r="J104" s="74" t="str">
        <f>IFERROR(IF(IFERROR(MATCH(100,'كشف الحساب'!$N$4:$N$253,0),0)=0,"",INDEX('كشف الحساب'!$J$4:$J$253,IFERROR(MATCH(100,'كشف الحساب'!$N$4:$N$253,0),0))),"")</f>
        <v/>
      </c>
      <c r="K104" s="70" t="str">
        <f>IFERROR(IF(IFERROR(MATCH(100,'كشف الحساب'!$N$4:$N$253,0),0)=0,"",INDEX('كشف الحساب'!$K$4:$K$253,IFERROR(MATCH(100,'كشف الحساب'!$N$4:$N$253,0),0))),"")</f>
        <v/>
      </c>
    </row>
    <row r="105" spans="1:11" ht="15" customHeight="1" x14ac:dyDescent="0.25">
      <c r="A105" s="63" t="str">
        <f>IFERROR(IF(IFERROR(MATCH(101,'كشف الحساب'!$N$4:$N$253,0),0)=0,"",INDEX('كشف الحساب'!$A$4:$A$253,IFERROR(MATCH(101,'كشف الحساب'!$N$4:$N$253,0),0))),"")</f>
        <v/>
      </c>
      <c r="B105" s="64" t="str">
        <f>IFERROR(IF(IFERROR(MATCH(101,'كشف الحساب'!$N$4:$N$253,0),0)=0,"",INDEX('كشف الحساب'!$B$4:$B$253,IFERROR(MATCH(101,'كشف الحساب'!$N$4:$N$253,0),0))),"")</f>
        <v/>
      </c>
      <c r="C105" s="65" t="str">
        <f>IFERROR(IF(IFERROR(MATCH(101,'كشف الحساب'!$N$4:$N$253,0),0)=0,"",INDEX('كشف الحساب'!$C$4:$C$253,IFERROR(MATCH(101,'كشف الحساب'!$N$4:$N$253,0),0))),"")</f>
        <v/>
      </c>
      <c r="D105" s="66" t="str">
        <f>IFERROR(IF(IFERROR(MATCH(101,'كشف الحساب'!$N$4:$N$253,0),0)=0,"",INDEX('كشف الحساب'!$D$4:$D$253,IFERROR(MATCH(101,'كشف الحساب'!$N$4:$N$253,0),0))),"")</f>
        <v/>
      </c>
      <c r="E105" s="67" t="str">
        <f>IFERROR(IF(IFERROR(MATCH(101,'كشف الحساب'!$N$4:$N$253,0),0)=0,"",INDEX('كشف الحساب'!$E$4:$E$253,IFERROR(MATCH(101,'كشف الحساب'!$N$4:$N$253,0),0))),"")</f>
        <v/>
      </c>
      <c r="F105" s="64" t="str">
        <f>IFERROR(IF(IFERROR(MATCH(101,'كشف الحساب'!$N$4:$N$253,0),0)=0,"",INDEX('كشف الحساب'!$F$4:$F$253,IFERROR(MATCH(101,'كشف الحساب'!$N$4:$N$253,0),0))),"")</f>
        <v/>
      </c>
      <c r="G105" s="64" t="str">
        <f>IFERROR(IF(IFERROR(MATCH(101,'كشف الحساب'!$N$4:$N$253,0),0)=0,"",INDEX('كشف الحساب'!$G$4:$G$253,IFERROR(MATCH(101,'كشف الحساب'!$N$4:$N$253,0),0))),"")</f>
        <v/>
      </c>
      <c r="H105" s="64" t="str">
        <f>IFERROR(IF(IFERROR(MATCH(101,'كشف الحساب'!$N$4:$N$253,0),0)=0,"",INDEX('كشف الحساب'!$H$4:$H$253,IFERROR(MATCH(101,'كشف الحساب'!$N$4:$N$253,0),0))),"")</f>
        <v/>
      </c>
      <c r="I105" s="64" t="str">
        <f>IFERROR(IF(IFERROR(MATCH(101,'كشف الحساب'!$N$4:$N$253,0),0)=0,"",INDEX('كشف الحساب'!$I$4:$I$253,IFERROR(MATCH(101,'كشف الحساب'!$N$4:$N$253,0),0))),"")</f>
        <v/>
      </c>
      <c r="J105" s="68" t="str">
        <f>IFERROR(IF(IFERROR(MATCH(101,'كشف الحساب'!$N$4:$N$253,0),0)=0,"",INDEX('كشف الحساب'!$J$4:$J$253,IFERROR(MATCH(101,'كشف الحساب'!$N$4:$N$253,0),0))),"")</f>
        <v/>
      </c>
      <c r="K105" s="64" t="str">
        <f>IFERROR(IF(IFERROR(MATCH(101,'كشف الحساب'!$N$4:$N$253,0),0)=0,"",INDEX('كشف الحساب'!$K$4:$K$253,IFERROR(MATCH(101,'كشف الحساب'!$N$4:$N$253,0),0))),"")</f>
        <v/>
      </c>
    </row>
    <row r="106" spans="1:11" ht="15" customHeight="1" x14ac:dyDescent="0.25">
      <c r="A106" s="69" t="str">
        <f>IFERROR(IF(IFERROR(MATCH(102,'كشف الحساب'!$N$4:$N$253,0),0)=0,"",INDEX('كشف الحساب'!$A$4:$A$253,IFERROR(MATCH(102,'كشف الحساب'!$N$4:$N$253,0),0))),"")</f>
        <v/>
      </c>
      <c r="B106" s="70" t="str">
        <f>IFERROR(IF(IFERROR(MATCH(102,'كشف الحساب'!$N$4:$N$253,0),0)=0,"",INDEX('كشف الحساب'!$B$4:$B$253,IFERROR(MATCH(102,'كشف الحساب'!$N$4:$N$253,0),0))),"")</f>
        <v/>
      </c>
      <c r="C106" s="71" t="str">
        <f>IFERROR(IF(IFERROR(MATCH(102,'كشف الحساب'!$N$4:$N$253,0),0)=0,"",INDEX('كشف الحساب'!$C$4:$C$253,IFERROR(MATCH(102,'كشف الحساب'!$N$4:$N$253,0),0))),"")</f>
        <v/>
      </c>
      <c r="D106" s="72" t="str">
        <f>IFERROR(IF(IFERROR(MATCH(102,'كشف الحساب'!$N$4:$N$253,0),0)=0,"",INDEX('كشف الحساب'!$D$4:$D$253,IFERROR(MATCH(102,'كشف الحساب'!$N$4:$N$253,0),0))),"")</f>
        <v/>
      </c>
      <c r="E106" s="73" t="str">
        <f>IFERROR(IF(IFERROR(MATCH(102,'كشف الحساب'!$N$4:$N$253,0),0)=0,"",INDEX('كشف الحساب'!$E$4:$E$253,IFERROR(MATCH(102,'كشف الحساب'!$N$4:$N$253,0),0))),"")</f>
        <v/>
      </c>
      <c r="F106" s="70" t="str">
        <f>IFERROR(IF(IFERROR(MATCH(102,'كشف الحساب'!$N$4:$N$253,0),0)=0,"",INDEX('كشف الحساب'!$F$4:$F$253,IFERROR(MATCH(102,'كشف الحساب'!$N$4:$N$253,0),0))),"")</f>
        <v/>
      </c>
      <c r="G106" s="70" t="str">
        <f>IFERROR(IF(IFERROR(MATCH(102,'كشف الحساب'!$N$4:$N$253,0),0)=0,"",INDEX('كشف الحساب'!$G$4:$G$253,IFERROR(MATCH(102,'كشف الحساب'!$N$4:$N$253,0),0))),"")</f>
        <v/>
      </c>
      <c r="H106" s="70" t="str">
        <f>IFERROR(IF(IFERROR(MATCH(102,'كشف الحساب'!$N$4:$N$253,0),0)=0,"",INDEX('كشف الحساب'!$H$4:$H$253,IFERROR(MATCH(102,'كشف الحساب'!$N$4:$N$253,0),0))),"")</f>
        <v/>
      </c>
      <c r="I106" s="70" t="str">
        <f>IFERROR(IF(IFERROR(MATCH(102,'كشف الحساب'!$N$4:$N$253,0),0)=0,"",INDEX('كشف الحساب'!$I$4:$I$253,IFERROR(MATCH(102,'كشف الحساب'!$N$4:$N$253,0),0))),"")</f>
        <v/>
      </c>
      <c r="J106" s="74" t="str">
        <f>IFERROR(IF(IFERROR(MATCH(102,'كشف الحساب'!$N$4:$N$253,0),0)=0,"",INDEX('كشف الحساب'!$J$4:$J$253,IFERROR(MATCH(102,'كشف الحساب'!$N$4:$N$253,0),0))),"")</f>
        <v/>
      </c>
      <c r="K106" s="70" t="str">
        <f>IFERROR(IF(IFERROR(MATCH(102,'كشف الحساب'!$N$4:$N$253,0),0)=0,"",INDEX('كشف الحساب'!$K$4:$K$253,IFERROR(MATCH(102,'كشف الحساب'!$N$4:$N$253,0),0))),"")</f>
        <v/>
      </c>
    </row>
    <row r="107" spans="1:11" ht="15" customHeight="1" x14ac:dyDescent="0.25">
      <c r="A107" s="63" t="str">
        <f>IFERROR(IF(IFERROR(MATCH(103,'كشف الحساب'!$N$4:$N$253,0),0)=0,"",INDEX('كشف الحساب'!$A$4:$A$253,IFERROR(MATCH(103,'كشف الحساب'!$N$4:$N$253,0),0))),"")</f>
        <v/>
      </c>
      <c r="B107" s="64" t="str">
        <f>IFERROR(IF(IFERROR(MATCH(103,'كشف الحساب'!$N$4:$N$253,0),0)=0,"",INDEX('كشف الحساب'!$B$4:$B$253,IFERROR(MATCH(103,'كشف الحساب'!$N$4:$N$253,0),0))),"")</f>
        <v/>
      </c>
      <c r="C107" s="65" t="str">
        <f>IFERROR(IF(IFERROR(MATCH(103,'كشف الحساب'!$N$4:$N$253,0),0)=0,"",INDEX('كشف الحساب'!$C$4:$C$253,IFERROR(MATCH(103,'كشف الحساب'!$N$4:$N$253,0),0))),"")</f>
        <v/>
      </c>
      <c r="D107" s="66" t="str">
        <f>IFERROR(IF(IFERROR(MATCH(103,'كشف الحساب'!$N$4:$N$253,0),0)=0,"",INDEX('كشف الحساب'!$D$4:$D$253,IFERROR(MATCH(103,'كشف الحساب'!$N$4:$N$253,0),0))),"")</f>
        <v/>
      </c>
      <c r="E107" s="67" t="str">
        <f>IFERROR(IF(IFERROR(MATCH(103,'كشف الحساب'!$N$4:$N$253,0),0)=0,"",INDEX('كشف الحساب'!$E$4:$E$253,IFERROR(MATCH(103,'كشف الحساب'!$N$4:$N$253,0),0))),"")</f>
        <v/>
      </c>
      <c r="F107" s="64" t="str">
        <f>IFERROR(IF(IFERROR(MATCH(103,'كشف الحساب'!$N$4:$N$253,0),0)=0,"",INDEX('كشف الحساب'!$F$4:$F$253,IFERROR(MATCH(103,'كشف الحساب'!$N$4:$N$253,0),0))),"")</f>
        <v/>
      </c>
      <c r="G107" s="64" t="str">
        <f>IFERROR(IF(IFERROR(MATCH(103,'كشف الحساب'!$N$4:$N$253,0),0)=0,"",INDEX('كشف الحساب'!$G$4:$G$253,IFERROR(MATCH(103,'كشف الحساب'!$N$4:$N$253,0),0))),"")</f>
        <v/>
      </c>
      <c r="H107" s="64" t="str">
        <f>IFERROR(IF(IFERROR(MATCH(103,'كشف الحساب'!$N$4:$N$253,0),0)=0,"",INDEX('كشف الحساب'!$H$4:$H$253,IFERROR(MATCH(103,'كشف الحساب'!$N$4:$N$253,0),0))),"")</f>
        <v/>
      </c>
      <c r="I107" s="64" t="str">
        <f>IFERROR(IF(IFERROR(MATCH(103,'كشف الحساب'!$N$4:$N$253,0),0)=0,"",INDEX('كشف الحساب'!$I$4:$I$253,IFERROR(MATCH(103,'كشف الحساب'!$N$4:$N$253,0),0))),"")</f>
        <v/>
      </c>
      <c r="J107" s="68" t="str">
        <f>IFERROR(IF(IFERROR(MATCH(103,'كشف الحساب'!$N$4:$N$253,0),0)=0,"",INDEX('كشف الحساب'!$J$4:$J$253,IFERROR(MATCH(103,'كشف الحساب'!$N$4:$N$253,0),0))),"")</f>
        <v/>
      </c>
      <c r="K107" s="64" t="str">
        <f>IFERROR(IF(IFERROR(MATCH(103,'كشف الحساب'!$N$4:$N$253,0),0)=0,"",INDEX('كشف الحساب'!$K$4:$K$253,IFERROR(MATCH(103,'كشف الحساب'!$N$4:$N$253,0),0))),"")</f>
        <v/>
      </c>
    </row>
    <row r="108" spans="1:11" ht="15" customHeight="1" x14ac:dyDescent="0.25">
      <c r="A108" s="69" t="str">
        <f>IFERROR(IF(IFERROR(MATCH(104,'كشف الحساب'!$N$4:$N$253,0),0)=0,"",INDEX('كشف الحساب'!$A$4:$A$253,IFERROR(MATCH(104,'كشف الحساب'!$N$4:$N$253,0),0))),"")</f>
        <v/>
      </c>
      <c r="B108" s="70" t="str">
        <f>IFERROR(IF(IFERROR(MATCH(104,'كشف الحساب'!$N$4:$N$253,0),0)=0,"",INDEX('كشف الحساب'!$B$4:$B$253,IFERROR(MATCH(104,'كشف الحساب'!$N$4:$N$253,0),0))),"")</f>
        <v/>
      </c>
      <c r="C108" s="71" t="str">
        <f>IFERROR(IF(IFERROR(MATCH(104,'كشف الحساب'!$N$4:$N$253,0),0)=0,"",INDEX('كشف الحساب'!$C$4:$C$253,IFERROR(MATCH(104,'كشف الحساب'!$N$4:$N$253,0),0))),"")</f>
        <v/>
      </c>
      <c r="D108" s="72" t="str">
        <f>IFERROR(IF(IFERROR(MATCH(104,'كشف الحساب'!$N$4:$N$253,0),0)=0,"",INDEX('كشف الحساب'!$D$4:$D$253,IFERROR(MATCH(104,'كشف الحساب'!$N$4:$N$253,0),0))),"")</f>
        <v/>
      </c>
      <c r="E108" s="73" t="str">
        <f>IFERROR(IF(IFERROR(MATCH(104,'كشف الحساب'!$N$4:$N$253,0),0)=0,"",INDEX('كشف الحساب'!$E$4:$E$253,IFERROR(MATCH(104,'كشف الحساب'!$N$4:$N$253,0),0))),"")</f>
        <v/>
      </c>
      <c r="F108" s="70" t="str">
        <f>IFERROR(IF(IFERROR(MATCH(104,'كشف الحساب'!$N$4:$N$253,0),0)=0,"",INDEX('كشف الحساب'!$F$4:$F$253,IFERROR(MATCH(104,'كشف الحساب'!$N$4:$N$253,0),0))),"")</f>
        <v/>
      </c>
      <c r="G108" s="70" t="str">
        <f>IFERROR(IF(IFERROR(MATCH(104,'كشف الحساب'!$N$4:$N$253,0),0)=0,"",INDEX('كشف الحساب'!$G$4:$G$253,IFERROR(MATCH(104,'كشف الحساب'!$N$4:$N$253,0),0))),"")</f>
        <v/>
      </c>
      <c r="H108" s="70" t="str">
        <f>IFERROR(IF(IFERROR(MATCH(104,'كشف الحساب'!$N$4:$N$253,0),0)=0,"",INDEX('كشف الحساب'!$H$4:$H$253,IFERROR(MATCH(104,'كشف الحساب'!$N$4:$N$253,0),0))),"")</f>
        <v/>
      </c>
      <c r="I108" s="70" t="str">
        <f>IFERROR(IF(IFERROR(MATCH(104,'كشف الحساب'!$N$4:$N$253,0),0)=0,"",INDEX('كشف الحساب'!$I$4:$I$253,IFERROR(MATCH(104,'كشف الحساب'!$N$4:$N$253,0),0))),"")</f>
        <v/>
      </c>
      <c r="J108" s="74" t="str">
        <f>IFERROR(IF(IFERROR(MATCH(104,'كشف الحساب'!$N$4:$N$253,0),0)=0,"",INDEX('كشف الحساب'!$J$4:$J$253,IFERROR(MATCH(104,'كشف الحساب'!$N$4:$N$253,0),0))),"")</f>
        <v/>
      </c>
      <c r="K108" s="70" t="str">
        <f>IFERROR(IF(IFERROR(MATCH(104,'كشف الحساب'!$N$4:$N$253,0),0)=0,"",INDEX('كشف الحساب'!$K$4:$K$253,IFERROR(MATCH(104,'كشف الحساب'!$N$4:$N$253,0),0))),"")</f>
        <v/>
      </c>
    </row>
    <row r="109" spans="1:11" ht="15" customHeight="1" x14ac:dyDescent="0.25">
      <c r="A109" s="63" t="str">
        <f>IFERROR(IF(IFERROR(MATCH(105,'كشف الحساب'!$N$4:$N$253,0),0)=0,"",INDEX('كشف الحساب'!$A$4:$A$253,IFERROR(MATCH(105,'كشف الحساب'!$N$4:$N$253,0),0))),"")</f>
        <v/>
      </c>
      <c r="B109" s="64" t="str">
        <f>IFERROR(IF(IFERROR(MATCH(105,'كشف الحساب'!$N$4:$N$253,0),0)=0,"",INDEX('كشف الحساب'!$B$4:$B$253,IFERROR(MATCH(105,'كشف الحساب'!$N$4:$N$253,0),0))),"")</f>
        <v/>
      </c>
      <c r="C109" s="65" t="str">
        <f>IFERROR(IF(IFERROR(MATCH(105,'كشف الحساب'!$N$4:$N$253,0),0)=0,"",INDEX('كشف الحساب'!$C$4:$C$253,IFERROR(MATCH(105,'كشف الحساب'!$N$4:$N$253,0),0))),"")</f>
        <v/>
      </c>
      <c r="D109" s="66" t="str">
        <f>IFERROR(IF(IFERROR(MATCH(105,'كشف الحساب'!$N$4:$N$253,0),0)=0,"",INDEX('كشف الحساب'!$D$4:$D$253,IFERROR(MATCH(105,'كشف الحساب'!$N$4:$N$253,0),0))),"")</f>
        <v/>
      </c>
      <c r="E109" s="67" t="str">
        <f>IFERROR(IF(IFERROR(MATCH(105,'كشف الحساب'!$N$4:$N$253,0),0)=0,"",INDEX('كشف الحساب'!$E$4:$E$253,IFERROR(MATCH(105,'كشف الحساب'!$N$4:$N$253,0),0))),"")</f>
        <v/>
      </c>
      <c r="F109" s="64" t="str">
        <f>IFERROR(IF(IFERROR(MATCH(105,'كشف الحساب'!$N$4:$N$253,0),0)=0,"",INDEX('كشف الحساب'!$F$4:$F$253,IFERROR(MATCH(105,'كشف الحساب'!$N$4:$N$253,0),0))),"")</f>
        <v/>
      </c>
      <c r="G109" s="64" t="str">
        <f>IFERROR(IF(IFERROR(MATCH(105,'كشف الحساب'!$N$4:$N$253,0),0)=0,"",INDEX('كشف الحساب'!$G$4:$G$253,IFERROR(MATCH(105,'كشف الحساب'!$N$4:$N$253,0),0))),"")</f>
        <v/>
      </c>
      <c r="H109" s="64" t="str">
        <f>IFERROR(IF(IFERROR(MATCH(105,'كشف الحساب'!$N$4:$N$253,0),0)=0,"",INDEX('كشف الحساب'!$H$4:$H$253,IFERROR(MATCH(105,'كشف الحساب'!$N$4:$N$253,0),0))),"")</f>
        <v/>
      </c>
      <c r="I109" s="64" t="str">
        <f>IFERROR(IF(IFERROR(MATCH(105,'كشف الحساب'!$N$4:$N$253,0),0)=0,"",INDEX('كشف الحساب'!$I$4:$I$253,IFERROR(MATCH(105,'كشف الحساب'!$N$4:$N$253,0),0))),"")</f>
        <v/>
      </c>
      <c r="J109" s="68" t="str">
        <f>IFERROR(IF(IFERROR(MATCH(105,'كشف الحساب'!$N$4:$N$253,0),0)=0,"",INDEX('كشف الحساب'!$J$4:$J$253,IFERROR(MATCH(105,'كشف الحساب'!$N$4:$N$253,0),0))),"")</f>
        <v/>
      </c>
      <c r="K109" s="64" t="str">
        <f>IFERROR(IF(IFERROR(MATCH(105,'كشف الحساب'!$N$4:$N$253,0),0)=0,"",INDEX('كشف الحساب'!$K$4:$K$253,IFERROR(MATCH(105,'كشف الحساب'!$N$4:$N$253,0),0))),"")</f>
        <v/>
      </c>
    </row>
    <row r="110" spans="1:11" ht="15" customHeight="1" x14ac:dyDescent="0.25">
      <c r="A110" s="69" t="str">
        <f>IFERROR(IF(IFERROR(MATCH(106,'كشف الحساب'!$N$4:$N$253,0),0)=0,"",INDEX('كشف الحساب'!$A$4:$A$253,IFERROR(MATCH(106,'كشف الحساب'!$N$4:$N$253,0),0))),"")</f>
        <v/>
      </c>
      <c r="B110" s="70" t="str">
        <f>IFERROR(IF(IFERROR(MATCH(106,'كشف الحساب'!$N$4:$N$253,0),0)=0,"",INDEX('كشف الحساب'!$B$4:$B$253,IFERROR(MATCH(106,'كشف الحساب'!$N$4:$N$253,0),0))),"")</f>
        <v/>
      </c>
      <c r="C110" s="71" t="str">
        <f>IFERROR(IF(IFERROR(MATCH(106,'كشف الحساب'!$N$4:$N$253,0),0)=0,"",INDEX('كشف الحساب'!$C$4:$C$253,IFERROR(MATCH(106,'كشف الحساب'!$N$4:$N$253,0),0))),"")</f>
        <v/>
      </c>
      <c r="D110" s="72" t="str">
        <f>IFERROR(IF(IFERROR(MATCH(106,'كشف الحساب'!$N$4:$N$253,0),0)=0,"",INDEX('كشف الحساب'!$D$4:$D$253,IFERROR(MATCH(106,'كشف الحساب'!$N$4:$N$253,0),0))),"")</f>
        <v/>
      </c>
      <c r="E110" s="73" t="str">
        <f>IFERROR(IF(IFERROR(MATCH(106,'كشف الحساب'!$N$4:$N$253,0),0)=0,"",INDEX('كشف الحساب'!$E$4:$E$253,IFERROR(MATCH(106,'كشف الحساب'!$N$4:$N$253,0),0))),"")</f>
        <v/>
      </c>
      <c r="F110" s="70" t="str">
        <f>IFERROR(IF(IFERROR(MATCH(106,'كشف الحساب'!$N$4:$N$253,0),0)=0,"",INDEX('كشف الحساب'!$F$4:$F$253,IFERROR(MATCH(106,'كشف الحساب'!$N$4:$N$253,0),0))),"")</f>
        <v/>
      </c>
      <c r="G110" s="70" t="str">
        <f>IFERROR(IF(IFERROR(MATCH(106,'كشف الحساب'!$N$4:$N$253,0),0)=0,"",INDEX('كشف الحساب'!$G$4:$G$253,IFERROR(MATCH(106,'كشف الحساب'!$N$4:$N$253,0),0))),"")</f>
        <v/>
      </c>
      <c r="H110" s="70" t="str">
        <f>IFERROR(IF(IFERROR(MATCH(106,'كشف الحساب'!$N$4:$N$253,0),0)=0,"",INDEX('كشف الحساب'!$H$4:$H$253,IFERROR(MATCH(106,'كشف الحساب'!$N$4:$N$253,0),0))),"")</f>
        <v/>
      </c>
      <c r="I110" s="70" t="str">
        <f>IFERROR(IF(IFERROR(MATCH(106,'كشف الحساب'!$N$4:$N$253,0),0)=0,"",INDEX('كشف الحساب'!$I$4:$I$253,IFERROR(MATCH(106,'كشف الحساب'!$N$4:$N$253,0),0))),"")</f>
        <v/>
      </c>
      <c r="J110" s="74" t="str">
        <f>IFERROR(IF(IFERROR(MATCH(106,'كشف الحساب'!$N$4:$N$253,0),0)=0,"",INDEX('كشف الحساب'!$J$4:$J$253,IFERROR(MATCH(106,'كشف الحساب'!$N$4:$N$253,0),0))),"")</f>
        <v/>
      </c>
      <c r="K110" s="70" t="str">
        <f>IFERROR(IF(IFERROR(MATCH(106,'كشف الحساب'!$N$4:$N$253,0),0)=0,"",INDEX('كشف الحساب'!$K$4:$K$253,IFERROR(MATCH(106,'كشف الحساب'!$N$4:$N$253,0),0))),"")</f>
        <v/>
      </c>
    </row>
    <row r="111" spans="1:11" ht="15" customHeight="1" x14ac:dyDescent="0.25">
      <c r="A111" s="63" t="str">
        <f>IFERROR(IF(IFERROR(MATCH(107,'كشف الحساب'!$N$4:$N$253,0),0)=0,"",INDEX('كشف الحساب'!$A$4:$A$253,IFERROR(MATCH(107,'كشف الحساب'!$N$4:$N$253,0),0))),"")</f>
        <v/>
      </c>
      <c r="B111" s="64" t="str">
        <f>IFERROR(IF(IFERROR(MATCH(107,'كشف الحساب'!$N$4:$N$253,0),0)=0,"",INDEX('كشف الحساب'!$B$4:$B$253,IFERROR(MATCH(107,'كشف الحساب'!$N$4:$N$253,0),0))),"")</f>
        <v/>
      </c>
      <c r="C111" s="65" t="str">
        <f>IFERROR(IF(IFERROR(MATCH(107,'كشف الحساب'!$N$4:$N$253,0),0)=0,"",INDEX('كشف الحساب'!$C$4:$C$253,IFERROR(MATCH(107,'كشف الحساب'!$N$4:$N$253,0),0))),"")</f>
        <v/>
      </c>
      <c r="D111" s="66" t="str">
        <f>IFERROR(IF(IFERROR(MATCH(107,'كشف الحساب'!$N$4:$N$253,0),0)=0,"",INDEX('كشف الحساب'!$D$4:$D$253,IFERROR(MATCH(107,'كشف الحساب'!$N$4:$N$253,0),0))),"")</f>
        <v/>
      </c>
      <c r="E111" s="67" t="str">
        <f>IFERROR(IF(IFERROR(MATCH(107,'كشف الحساب'!$N$4:$N$253,0),0)=0,"",INDEX('كشف الحساب'!$E$4:$E$253,IFERROR(MATCH(107,'كشف الحساب'!$N$4:$N$253,0),0))),"")</f>
        <v/>
      </c>
      <c r="F111" s="64" t="str">
        <f>IFERROR(IF(IFERROR(MATCH(107,'كشف الحساب'!$N$4:$N$253,0),0)=0,"",INDEX('كشف الحساب'!$F$4:$F$253,IFERROR(MATCH(107,'كشف الحساب'!$N$4:$N$253,0),0))),"")</f>
        <v/>
      </c>
      <c r="G111" s="64" t="str">
        <f>IFERROR(IF(IFERROR(MATCH(107,'كشف الحساب'!$N$4:$N$253,0),0)=0,"",INDEX('كشف الحساب'!$G$4:$G$253,IFERROR(MATCH(107,'كشف الحساب'!$N$4:$N$253,0),0))),"")</f>
        <v/>
      </c>
      <c r="H111" s="64" t="str">
        <f>IFERROR(IF(IFERROR(MATCH(107,'كشف الحساب'!$N$4:$N$253,0),0)=0,"",INDEX('كشف الحساب'!$H$4:$H$253,IFERROR(MATCH(107,'كشف الحساب'!$N$4:$N$253,0),0))),"")</f>
        <v/>
      </c>
      <c r="I111" s="64" t="str">
        <f>IFERROR(IF(IFERROR(MATCH(107,'كشف الحساب'!$N$4:$N$253,0),0)=0,"",INDEX('كشف الحساب'!$I$4:$I$253,IFERROR(MATCH(107,'كشف الحساب'!$N$4:$N$253,0),0))),"")</f>
        <v/>
      </c>
      <c r="J111" s="68" t="str">
        <f>IFERROR(IF(IFERROR(MATCH(107,'كشف الحساب'!$N$4:$N$253,0),0)=0,"",INDEX('كشف الحساب'!$J$4:$J$253,IFERROR(MATCH(107,'كشف الحساب'!$N$4:$N$253,0),0))),"")</f>
        <v/>
      </c>
      <c r="K111" s="64" t="str">
        <f>IFERROR(IF(IFERROR(MATCH(107,'كشف الحساب'!$N$4:$N$253,0),0)=0,"",INDEX('كشف الحساب'!$K$4:$K$253,IFERROR(MATCH(107,'كشف الحساب'!$N$4:$N$253,0),0))),"")</f>
        <v/>
      </c>
    </row>
    <row r="112" spans="1:11" ht="15" customHeight="1" x14ac:dyDescent="0.25">
      <c r="A112" s="69" t="str">
        <f>IFERROR(IF(IFERROR(MATCH(108,'كشف الحساب'!$N$4:$N$253,0),0)=0,"",INDEX('كشف الحساب'!$A$4:$A$253,IFERROR(MATCH(108,'كشف الحساب'!$N$4:$N$253,0),0))),"")</f>
        <v/>
      </c>
      <c r="B112" s="70" t="str">
        <f>IFERROR(IF(IFERROR(MATCH(108,'كشف الحساب'!$N$4:$N$253,0),0)=0,"",INDEX('كشف الحساب'!$B$4:$B$253,IFERROR(MATCH(108,'كشف الحساب'!$N$4:$N$253,0),0))),"")</f>
        <v/>
      </c>
      <c r="C112" s="71" t="str">
        <f>IFERROR(IF(IFERROR(MATCH(108,'كشف الحساب'!$N$4:$N$253,0),0)=0,"",INDEX('كشف الحساب'!$C$4:$C$253,IFERROR(MATCH(108,'كشف الحساب'!$N$4:$N$253,0),0))),"")</f>
        <v/>
      </c>
      <c r="D112" s="72" t="str">
        <f>IFERROR(IF(IFERROR(MATCH(108,'كشف الحساب'!$N$4:$N$253,0),0)=0,"",INDEX('كشف الحساب'!$D$4:$D$253,IFERROR(MATCH(108,'كشف الحساب'!$N$4:$N$253,0),0))),"")</f>
        <v/>
      </c>
      <c r="E112" s="73" t="str">
        <f>IFERROR(IF(IFERROR(MATCH(108,'كشف الحساب'!$N$4:$N$253,0),0)=0,"",INDEX('كشف الحساب'!$E$4:$E$253,IFERROR(MATCH(108,'كشف الحساب'!$N$4:$N$253,0),0))),"")</f>
        <v/>
      </c>
      <c r="F112" s="70" t="str">
        <f>IFERROR(IF(IFERROR(MATCH(108,'كشف الحساب'!$N$4:$N$253,0),0)=0,"",INDEX('كشف الحساب'!$F$4:$F$253,IFERROR(MATCH(108,'كشف الحساب'!$N$4:$N$253,0),0))),"")</f>
        <v/>
      </c>
      <c r="G112" s="70" t="str">
        <f>IFERROR(IF(IFERROR(MATCH(108,'كشف الحساب'!$N$4:$N$253,0),0)=0,"",INDEX('كشف الحساب'!$G$4:$G$253,IFERROR(MATCH(108,'كشف الحساب'!$N$4:$N$253,0),0))),"")</f>
        <v/>
      </c>
      <c r="H112" s="70" t="str">
        <f>IFERROR(IF(IFERROR(MATCH(108,'كشف الحساب'!$N$4:$N$253,0),0)=0,"",INDEX('كشف الحساب'!$H$4:$H$253,IFERROR(MATCH(108,'كشف الحساب'!$N$4:$N$253,0),0))),"")</f>
        <v/>
      </c>
      <c r="I112" s="70" t="str">
        <f>IFERROR(IF(IFERROR(MATCH(108,'كشف الحساب'!$N$4:$N$253,0),0)=0,"",INDEX('كشف الحساب'!$I$4:$I$253,IFERROR(MATCH(108,'كشف الحساب'!$N$4:$N$253,0),0))),"")</f>
        <v/>
      </c>
      <c r="J112" s="74" t="str">
        <f>IFERROR(IF(IFERROR(MATCH(108,'كشف الحساب'!$N$4:$N$253,0),0)=0,"",INDEX('كشف الحساب'!$J$4:$J$253,IFERROR(MATCH(108,'كشف الحساب'!$N$4:$N$253,0),0))),"")</f>
        <v/>
      </c>
      <c r="K112" s="70" t="str">
        <f>IFERROR(IF(IFERROR(MATCH(108,'كشف الحساب'!$N$4:$N$253,0),0)=0,"",INDEX('كشف الحساب'!$K$4:$K$253,IFERROR(MATCH(108,'كشف الحساب'!$N$4:$N$253,0),0))),"")</f>
        <v/>
      </c>
    </row>
    <row r="113" spans="1:11" ht="15" customHeight="1" x14ac:dyDescent="0.25">
      <c r="A113" s="63" t="str">
        <f>IFERROR(IF(IFERROR(MATCH(109,'كشف الحساب'!$N$4:$N$253,0),0)=0,"",INDEX('كشف الحساب'!$A$4:$A$253,IFERROR(MATCH(109,'كشف الحساب'!$N$4:$N$253,0),0))),"")</f>
        <v/>
      </c>
      <c r="B113" s="64" t="str">
        <f>IFERROR(IF(IFERROR(MATCH(109,'كشف الحساب'!$N$4:$N$253,0),0)=0,"",INDEX('كشف الحساب'!$B$4:$B$253,IFERROR(MATCH(109,'كشف الحساب'!$N$4:$N$253,0),0))),"")</f>
        <v/>
      </c>
      <c r="C113" s="65" t="str">
        <f>IFERROR(IF(IFERROR(MATCH(109,'كشف الحساب'!$N$4:$N$253,0),0)=0,"",INDEX('كشف الحساب'!$C$4:$C$253,IFERROR(MATCH(109,'كشف الحساب'!$N$4:$N$253,0),0))),"")</f>
        <v/>
      </c>
      <c r="D113" s="66" t="str">
        <f>IFERROR(IF(IFERROR(MATCH(109,'كشف الحساب'!$N$4:$N$253,0),0)=0,"",INDEX('كشف الحساب'!$D$4:$D$253,IFERROR(MATCH(109,'كشف الحساب'!$N$4:$N$253,0),0))),"")</f>
        <v/>
      </c>
      <c r="E113" s="67" t="str">
        <f>IFERROR(IF(IFERROR(MATCH(109,'كشف الحساب'!$N$4:$N$253,0),0)=0,"",INDEX('كشف الحساب'!$E$4:$E$253,IFERROR(MATCH(109,'كشف الحساب'!$N$4:$N$253,0),0))),"")</f>
        <v/>
      </c>
      <c r="F113" s="64" t="str">
        <f>IFERROR(IF(IFERROR(MATCH(109,'كشف الحساب'!$N$4:$N$253,0),0)=0,"",INDEX('كشف الحساب'!$F$4:$F$253,IFERROR(MATCH(109,'كشف الحساب'!$N$4:$N$253,0),0))),"")</f>
        <v/>
      </c>
      <c r="G113" s="64" t="str">
        <f>IFERROR(IF(IFERROR(MATCH(109,'كشف الحساب'!$N$4:$N$253,0),0)=0,"",INDEX('كشف الحساب'!$G$4:$G$253,IFERROR(MATCH(109,'كشف الحساب'!$N$4:$N$253,0),0))),"")</f>
        <v/>
      </c>
      <c r="H113" s="64" t="str">
        <f>IFERROR(IF(IFERROR(MATCH(109,'كشف الحساب'!$N$4:$N$253,0),0)=0,"",INDEX('كشف الحساب'!$H$4:$H$253,IFERROR(MATCH(109,'كشف الحساب'!$N$4:$N$253,0),0))),"")</f>
        <v/>
      </c>
      <c r="I113" s="64" t="str">
        <f>IFERROR(IF(IFERROR(MATCH(109,'كشف الحساب'!$N$4:$N$253,0),0)=0,"",INDEX('كشف الحساب'!$I$4:$I$253,IFERROR(MATCH(109,'كشف الحساب'!$N$4:$N$253,0),0))),"")</f>
        <v/>
      </c>
      <c r="J113" s="68" t="str">
        <f>IFERROR(IF(IFERROR(MATCH(109,'كشف الحساب'!$N$4:$N$253,0),0)=0,"",INDEX('كشف الحساب'!$J$4:$J$253,IFERROR(MATCH(109,'كشف الحساب'!$N$4:$N$253,0),0))),"")</f>
        <v/>
      </c>
      <c r="K113" s="64" t="str">
        <f>IFERROR(IF(IFERROR(MATCH(109,'كشف الحساب'!$N$4:$N$253,0),0)=0,"",INDEX('كشف الحساب'!$K$4:$K$253,IFERROR(MATCH(109,'كشف الحساب'!$N$4:$N$253,0),0))),"")</f>
        <v/>
      </c>
    </row>
    <row r="114" spans="1:11" ht="15" customHeight="1" x14ac:dyDescent="0.25">
      <c r="A114" s="69" t="str">
        <f>IFERROR(IF(IFERROR(MATCH(110,'كشف الحساب'!$N$4:$N$253,0),0)=0,"",INDEX('كشف الحساب'!$A$4:$A$253,IFERROR(MATCH(110,'كشف الحساب'!$N$4:$N$253,0),0))),"")</f>
        <v/>
      </c>
      <c r="B114" s="70" t="str">
        <f>IFERROR(IF(IFERROR(MATCH(110,'كشف الحساب'!$N$4:$N$253,0),0)=0,"",INDEX('كشف الحساب'!$B$4:$B$253,IFERROR(MATCH(110,'كشف الحساب'!$N$4:$N$253,0),0))),"")</f>
        <v/>
      </c>
      <c r="C114" s="71" t="str">
        <f>IFERROR(IF(IFERROR(MATCH(110,'كشف الحساب'!$N$4:$N$253,0),0)=0,"",INDEX('كشف الحساب'!$C$4:$C$253,IFERROR(MATCH(110,'كشف الحساب'!$N$4:$N$253,0),0))),"")</f>
        <v/>
      </c>
      <c r="D114" s="72" t="str">
        <f>IFERROR(IF(IFERROR(MATCH(110,'كشف الحساب'!$N$4:$N$253,0),0)=0,"",INDEX('كشف الحساب'!$D$4:$D$253,IFERROR(MATCH(110,'كشف الحساب'!$N$4:$N$253,0),0))),"")</f>
        <v/>
      </c>
      <c r="E114" s="73" t="str">
        <f>IFERROR(IF(IFERROR(MATCH(110,'كشف الحساب'!$N$4:$N$253,0),0)=0,"",INDEX('كشف الحساب'!$E$4:$E$253,IFERROR(MATCH(110,'كشف الحساب'!$N$4:$N$253,0),0))),"")</f>
        <v/>
      </c>
      <c r="F114" s="70" t="str">
        <f>IFERROR(IF(IFERROR(MATCH(110,'كشف الحساب'!$N$4:$N$253,0),0)=0,"",INDEX('كشف الحساب'!$F$4:$F$253,IFERROR(MATCH(110,'كشف الحساب'!$N$4:$N$253,0),0))),"")</f>
        <v/>
      </c>
      <c r="G114" s="70" t="str">
        <f>IFERROR(IF(IFERROR(MATCH(110,'كشف الحساب'!$N$4:$N$253,0),0)=0,"",INDEX('كشف الحساب'!$G$4:$G$253,IFERROR(MATCH(110,'كشف الحساب'!$N$4:$N$253,0),0))),"")</f>
        <v/>
      </c>
      <c r="H114" s="70" t="str">
        <f>IFERROR(IF(IFERROR(MATCH(110,'كشف الحساب'!$N$4:$N$253,0),0)=0,"",INDEX('كشف الحساب'!$H$4:$H$253,IFERROR(MATCH(110,'كشف الحساب'!$N$4:$N$253,0),0))),"")</f>
        <v/>
      </c>
      <c r="I114" s="70" t="str">
        <f>IFERROR(IF(IFERROR(MATCH(110,'كشف الحساب'!$N$4:$N$253,0),0)=0,"",INDEX('كشف الحساب'!$I$4:$I$253,IFERROR(MATCH(110,'كشف الحساب'!$N$4:$N$253,0),0))),"")</f>
        <v/>
      </c>
      <c r="J114" s="74" t="str">
        <f>IFERROR(IF(IFERROR(MATCH(110,'كشف الحساب'!$N$4:$N$253,0),0)=0,"",INDEX('كشف الحساب'!$J$4:$J$253,IFERROR(MATCH(110,'كشف الحساب'!$N$4:$N$253,0),0))),"")</f>
        <v/>
      </c>
      <c r="K114" s="70" t="str">
        <f>IFERROR(IF(IFERROR(MATCH(110,'كشف الحساب'!$N$4:$N$253,0),0)=0,"",INDEX('كشف الحساب'!$K$4:$K$253,IFERROR(MATCH(110,'كشف الحساب'!$N$4:$N$253,0),0))),"")</f>
        <v/>
      </c>
    </row>
    <row r="115" spans="1:11" ht="15" customHeight="1" x14ac:dyDescent="0.25">
      <c r="A115" s="63" t="str">
        <f>IFERROR(IF(IFERROR(MATCH(111,'كشف الحساب'!$N$4:$N$253,0),0)=0,"",INDEX('كشف الحساب'!$A$4:$A$253,IFERROR(MATCH(111,'كشف الحساب'!$N$4:$N$253,0),0))),"")</f>
        <v/>
      </c>
      <c r="B115" s="64" t="str">
        <f>IFERROR(IF(IFERROR(MATCH(111,'كشف الحساب'!$N$4:$N$253,0),0)=0,"",INDEX('كشف الحساب'!$B$4:$B$253,IFERROR(MATCH(111,'كشف الحساب'!$N$4:$N$253,0),0))),"")</f>
        <v/>
      </c>
      <c r="C115" s="65" t="str">
        <f>IFERROR(IF(IFERROR(MATCH(111,'كشف الحساب'!$N$4:$N$253,0),0)=0,"",INDEX('كشف الحساب'!$C$4:$C$253,IFERROR(MATCH(111,'كشف الحساب'!$N$4:$N$253,0),0))),"")</f>
        <v/>
      </c>
      <c r="D115" s="66" t="str">
        <f>IFERROR(IF(IFERROR(MATCH(111,'كشف الحساب'!$N$4:$N$253,0),0)=0,"",INDEX('كشف الحساب'!$D$4:$D$253,IFERROR(MATCH(111,'كشف الحساب'!$N$4:$N$253,0),0))),"")</f>
        <v/>
      </c>
      <c r="E115" s="67" t="str">
        <f>IFERROR(IF(IFERROR(MATCH(111,'كشف الحساب'!$N$4:$N$253,0),0)=0,"",INDEX('كشف الحساب'!$E$4:$E$253,IFERROR(MATCH(111,'كشف الحساب'!$N$4:$N$253,0),0))),"")</f>
        <v/>
      </c>
      <c r="F115" s="64" t="str">
        <f>IFERROR(IF(IFERROR(MATCH(111,'كشف الحساب'!$N$4:$N$253,0),0)=0,"",INDEX('كشف الحساب'!$F$4:$F$253,IFERROR(MATCH(111,'كشف الحساب'!$N$4:$N$253,0),0))),"")</f>
        <v/>
      </c>
      <c r="G115" s="64" t="str">
        <f>IFERROR(IF(IFERROR(MATCH(111,'كشف الحساب'!$N$4:$N$253,0),0)=0,"",INDEX('كشف الحساب'!$G$4:$G$253,IFERROR(MATCH(111,'كشف الحساب'!$N$4:$N$253,0),0))),"")</f>
        <v/>
      </c>
      <c r="H115" s="64" t="str">
        <f>IFERROR(IF(IFERROR(MATCH(111,'كشف الحساب'!$N$4:$N$253,0),0)=0,"",INDEX('كشف الحساب'!$H$4:$H$253,IFERROR(MATCH(111,'كشف الحساب'!$N$4:$N$253,0),0))),"")</f>
        <v/>
      </c>
      <c r="I115" s="64" t="str">
        <f>IFERROR(IF(IFERROR(MATCH(111,'كشف الحساب'!$N$4:$N$253,0),0)=0,"",INDEX('كشف الحساب'!$I$4:$I$253,IFERROR(MATCH(111,'كشف الحساب'!$N$4:$N$253,0),0))),"")</f>
        <v/>
      </c>
      <c r="J115" s="68" t="str">
        <f>IFERROR(IF(IFERROR(MATCH(111,'كشف الحساب'!$N$4:$N$253,0),0)=0,"",INDEX('كشف الحساب'!$J$4:$J$253,IFERROR(MATCH(111,'كشف الحساب'!$N$4:$N$253,0),0))),"")</f>
        <v/>
      </c>
      <c r="K115" s="64" t="str">
        <f>IFERROR(IF(IFERROR(MATCH(111,'كشف الحساب'!$N$4:$N$253,0),0)=0,"",INDEX('كشف الحساب'!$K$4:$K$253,IFERROR(MATCH(111,'كشف الحساب'!$N$4:$N$253,0),0))),"")</f>
        <v/>
      </c>
    </row>
    <row r="116" spans="1:11" ht="15" customHeight="1" x14ac:dyDescent="0.25">
      <c r="A116" s="69" t="str">
        <f>IFERROR(IF(IFERROR(MATCH(112,'كشف الحساب'!$N$4:$N$253,0),0)=0,"",INDEX('كشف الحساب'!$A$4:$A$253,IFERROR(MATCH(112,'كشف الحساب'!$N$4:$N$253,0),0))),"")</f>
        <v/>
      </c>
      <c r="B116" s="70" t="str">
        <f>IFERROR(IF(IFERROR(MATCH(112,'كشف الحساب'!$N$4:$N$253,0),0)=0,"",INDEX('كشف الحساب'!$B$4:$B$253,IFERROR(MATCH(112,'كشف الحساب'!$N$4:$N$253,0),0))),"")</f>
        <v/>
      </c>
      <c r="C116" s="71" t="str">
        <f>IFERROR(IF(IFERROR(MATCH(112,'كشف الحساب'!$N$4:$N$253,0),0)=0,"",INDEX('كشف الحساب'!$C$4:$C$253,IFERROR(MATCH(112,'كشف الحساب'!$N$4:$N$253,0),0))),"")</f>
        <v/>
      </c>
      <c r="D116" s="72" t="str">
        <f>IFERROR(IF(IFERROR(MATCH(112,'كشف الحساب'!$N$4:$N$253,0),0)=0,"",INDEX('كشف الحساب'!$D$4:$D$253,IFERROR(MATCH(112,'كشف الحساب'!$N$4:$N$253,0),0))),"")</f>
        <v/>
      </c>
      <c r="E116" s="73" t="str">
        <f>IFERROR(IF(IFERROR(MATCH(112,'كشف الحساب'!$N$4:$N$253,0),0)=0,"",INDEX('كشف الحساب'!$E$4:$E$253,IFERROR(MATCH(112,'كشف الحساب'!$N$4:$N$253,0),0))),"")</f>
        <v/>
      </c>
      <c r="F116" s="70" t="str">
        <f>IFERROR(IF(IFERROR(MATCH(112,'كشف الحساب'!$N$4:$N$253,0),0)=0,"",INDEX('كشف الحساب'!$F$4:$F$253,IFERROR(MATCH(112,'كشف الحساب'!$N$4:$N$253,0),0))),"")</f>
        <v/>
      </c>
      <c r="G116" s="70" t="str">
        <f>IFERROR(IF(IFERROR(MATCH(112,'كشف الحساب'!$N$4:$N$253,0),0)=0,"",INDEX('كشف الحساب'!$G$4:$G$253,IFERROR(MATCH(112,'كشف الحساب'!$N$4:$N$253,0),0))),"")</f>
        <v/>
      </c>
      <c r="H116" s="70" t="str">
        <f>IFERROR(IF(IFERROR(MATCH(112,'كشف الحساب'!$N$4:$N$253,0),0)=0,"",INDEX('كشف الحساب'!$H$4:$H$253,IFERROR(MATCH(112,'كشف الحساب'!$N$4:$N$253,0),0))),"")</f>
        <v/>
      </c>
      <c r="I116" s="70" t="str">
        <f>IFERROR(IF(IFERROR(MATCH(112,'كشف الحساب'!$N$4:$N$253,0),0)=0,"",INDEX('كشف الحساب'!$I$4:$I$253,IFERROR(MATCH(112,'كشف الحساب'!$N$4:$N$253,0),0))),"")</f>
        <v/>
      </c>
      <c r="J116" s="74" t="str">
        <f>IFERROR(IF(IFERROR(MATCH(112,'كشف الحساب'!$N$4:$N$253,0),0)=0,"",INDEX('كشف الحساب'!$J$4:$J$253,IFERROR(MATCH(112,'كشف الحساب'!$N$4:$N$253,0),0))),"")</f>
        <v/>
      </c>
      <c r="K116" s="70" t="str">
        <f>IFERROR(IF(IFERROR(MATCH(112,'كشف الحساب'!$N$4:$N$253,0),0)=0,"",INDEX('كشف الحساب'!$K$4:$K$253,IFERROR(MATCH(112,'كشف الحساب'!$N$4:$N$253,0),0))),"")</f>
        <v/>
      </c>
    </row>
    <row r="117" spans="1:11" ht="15" customHeight="1" x14ac:dyDescent="0.25">
      <c r="A117" s="63" t="str">
        <f>IFERROR(IF(IFERROR(MATCH(113,'كشف الحساب'!$N$4:$N$253,0),0)=0,"",INDEX('كشف الحساب'!$A$4:$A$253,IFERROR(MATCH(113,'كشف الحساب'!$N$4:$N$253,0),0))),"")</f>
        <v/>
      </c>
      <c r="B117" s="64" t="str">
        <f>IFERROR(IF(IFERROR(MATCH(113,'كشف الحساب'!$N$4:$N$253,0),0)=0,"",INDEX('كشف الحساب'!$B$4:$B$253,IFERROR(MATCH(113,'كشف الحساب'!$N$4:$N$253,0),0))),"")</f>
        <v/>
      </c>
      <c r="C117" s="65" t="str">
        <f>IFERROR(IF(IFERROR(MATCH(113,'كشف الحساب'!$N$4:$N$253,0),0)=0,"",INDEX('كشف الحساب'!$C$4:$C$253,IFERROR(MATCH(113,'كشف الحساب'!$N$4:$N$253,0),0))),"")</f>
        <v/>
      </c>
      <c r="D117" s="66" t="str">
        <f>IFERROR(IF(IFERROR(MATCH(113,'كشف الحساب'!$N$4:$N$253,0),0)=0,"",INDEX('كشف الحساب'!$D$4:$D$253,IFERROR(MATCH(113,'كشف الحساب'!$N$4:$N$253,0),0))),"")</f>
        <v/>
      </c>
      <c r="E117" s="67" t="str">
        <f>IFERROR(IF(IFERROR(MATCH(113,'كشف الحساب'!$N$4:$N$253,0),0)=0,"",INDEX('كشف الحساب'!$E$4:$E$253,IFERROR(MATCH(113,'كشف الحساب'!$N$4:$N$253,0),0))),"")</f>
        <v/>
      </c>
      <c r="F117" s="64" t="str">
        <f>IFERROR(IF(IFERROR(MATCH(113,'كشف الحساب'!$N$4:$N$253,0),0)=0,"",INDEX('كشف الحساب'!$F$4:$F$253,IFERROR(MATCH(113,'كشف الحساب'!$N$4:$N$253,0),0))),"")</f>
        <v/>
      </c>
      <c r="G117" s="64" t="str">
        <f>IFERROR(IF(IFERROR(MATCH(113,'كشف الحساب'!$N$4:$N$253,0),0)=0,"",INDEX('كشف الحساب'!$G$4:$G$253,IFERROR(MATCH(113,'كشف الحساب'!$N$4:$N$253,0),0))),"")</f>
        <v/>
      </c>
      <c r="H117" s="64" t="str">
        <f>IFERROR(IF(IFERROR(MATCH(113,'كشف الحساب'!$N$4:$N$253,0),0)=0,"",INDEX('كشف الحساب'!$H$4:$H$253,IFERROR(MATCH(113,'كشف الحساب'!$N$4:$N$253,0),0))),"")</f>
        <v/>
      </c>
      <c r="I117" s="64" t="str">
        <f>IFERROR(IF(IFERROR(MATCH(113,'كشف الحساب'!$N$4:$N$253,0),0)=0,"",INDEX('كشف الحساب'!$I$4:$I$253,IFERROR(MATCH(113,'كشف الحساب'!$N$4:$N$253,0),0))),"")</f>
        <v/>
      </c>
      <c r="J117" s="68" t="str">
        <f>IFERROR(IF(IFERROR(MATCH(113,'كشف الحساب'!$N$4:$N$253,0),0)=0,"",INDEX('كشف الحساب'!$J$4:$J$253,IFERROR(MATCH(113,'كشف الحساب'!$N$4:$N$253,0),0))),"")</f>
        <v/>
      </c>
      <c r="K117" s="64" t="str">
        <f>IFERROR(IF(IFERROR(MATCH(113,'كشف الحساب'!$N$4:$N$253,0),0)=0,"",INDEX('كشف الحساب'!$K$4:$K$253,IFERROR(MATCH(113,'كشف الحساب'!$N$4:$N$253,0),0))),"")</f>
        <v/>
      </c>
    </row>
    <row r="118" spans="1:11" ht="15" customHeight="1" x14ac:dyDescent="0.25">
      <c r="A118" s="69" t="str">
        <f>IFERROR(IF(IFERROR(MATCH(114,'كشف الحساب'!$N$4:$N$253,0),0)=0,"",INDEX('كشف الحساب'!$A$4:$A$253,IFERROR(MATCH(114,'كشف الحساب'!$N$4:$N$253,0),0))),"")</f>
        <v/>
      </c>
      <c r="B118" s="70" t="str">
        <f>IFERROR(IF(IFERROR(MATCH(114,'كشف الحساب'!$N$4:$N$253,0),0)=0,"",INDEX('كشف الحساب'!$B$4:$B$253,IFERROR(MATCH(114,'كشف الحساب'!$N$4:$N$253,0),0))),"")</f>
        <v/>
      </c>
      <c r="C118" s="71" t="str">
        <f>IFERROR(IF(IFERROR(MATCH(114,'كشف الحساب'!$N$4:$N$253,0),0)=0,"",INDEX('كشف الحساب'!$C$4:$C$253,IFERROR(MATCH(114,'كشف الحساب'!$N$4:$N$253,0),0))),"")</f>
        <v/>
      </c>
      <c r="D118" s="72" t="str">
        <f>IFERROR(IF(IFERROR(MATCH(114,'كشف الحساب'!$N$4:$N$253,0),0)=0,"",INDEX('كشف الحساب'!$D$4:$D$253,IFERROR(MATCH(114,'كشف الحساب'!$N$4:$N$253,0),0))),"")</f>
        <v/>
      </c>
      <c r="E118" s="73" t="str">
        <f>IFERROR(IF(IFERROR(MATCH(114,'كشف الحساب'!$N$4:$N$253,0),0)=0,"",INDEX('كشف الحساب'!$E$4:$E$253,IFERROR(MATCH(114,'كشف الحساب'!$N$4:$N$253,0),0))),"")</f>
        <v/>
      </c>
      <c r="F118" s="70" t="str">
        <f>IFERROR(IF(IFERROR(MATCH(114,'كشف الحساب'!$N$4:$N$253,0),0)=0,"",INDEX('كشف الحساب'!$F$4:$F$253,IFERROR(MATCH(114,'كشف الحساب'!$N$4:$N$253,0),0))),"")</f>
        <v/>
      </c>
      <c r="G118" s="70" t="str">
        <f>IFERROR(IF(IFERROR(MATCH(114,'كشف الحساب'!$N$4:$N$253,0),0)=0,"",INDEX('كشف الحساب'!$G$4:$G$253,IFERROR(MATCH(114,'كشف الحساب'!$N$4:$N$253,0),0))),"")</f>
        <v/>
      </c>
      <c r="H118" s="70" t="str">
        <f>IFERROR(IF(IFERROR(MATCH(114,'كشف الحساب'!$N$4:$N$253,0),0)=0,"",INDEX('كشف الحساب'!$H$4:$H$253,IFERROR(MATCH(114,'كشف الحساب'!$N$4:$N$253,0),0))),"")</f>
        <v/>
      </c>
      <c r="I118" s="70" t="str">
        <f>IFERROR(IF(IFERROR(MATCH(114,'كشف الحساب'!$N$4:$N$253,0),0)=0,"",INDEX('كشف الحساب'!$I$4:$I$253,IFERROR(MATCH(114,'كشف الحساب'!$N$4:$N$253,0),0))),"")</f>
        <v/>
      </c>
      <c r="J118" s="74" t="str">
        <f>IFERROR(IF(IFERROR(MATCH(114,'كشف الحساب'!$N$4:$N$253,0),0)=0,"",INDEX('كشف الحساب'!$J$4:$J$253,IFERROR(MATCH(114,'كشف الحساب'!$N$4:$N$253,0),0))),"")</f>
        <v/>
      </c>
      <c r="K118" s="70" t="str">
        <f>IFERROR(IF(IFERROR(MATCH(114,'كشف الحساب'!$N$4:$N$253,0),0)=0,"",INDEX('كشف الحساب'!$K$4:$K$253,IFERROR(MATCH(114,'كشف الحساب'!$N$4:$N$253,0),0))),"")</f>
        <v/>
      </c>
    </row>
    <row r="119" spans="1:11" ht="15" customHeight="1" x14ac:dyDescent="0.25">
      <c r="A119" s="63" t="str">
        <f>IFERROR(IF(IFERROR(MATCH(115,'كشف الحساب'!$N$4:$N$253,0),0)=0,"",INDEX('كشف الحساب'!$A$4:$A$253,IFERROR(MATCH(115,'كشف الحساب'!$N$4:$N$253,0),0))),"")</f>
        <v/>
      </c>
      <c r="B119" s="64" t="str">
        <f>IFERROR(IF(IFERROR(MATCH(115,'كشف الحساب'!$N$4:$N$253,0),0)=0,"",INDEX('كشف الحساب'!$B$4:$B$253,IFERROR(MATCH(115,'كشف الحساب'!$N$4:$N$253,0),0))),"")</f>
        <v/>
      </c>
      <c r="C119" s="65" t="str">
        <f>IFERROR(IF(IFERROR(MATCH(115,'كشف الحساب'!$N$4:$N$253,0),0)=0,"",INDEX('كشف الحساب'!$C$4:$C$253,IFERROR(MATCH(115,'كشف الحساب'!$N$4:$N$253,0),0))),"")</f>
        <v/>
      </c>
      <c r="D119" s="66" t="str">
        <f>IFERROR(IF(IFERROR(MATCH(115,'كشف الحساب'!$N$4:$N$253,0),0)=0,"",INDEX('كشف الحساب'!$D$4:$D$253,IFERROR(MATCH(115,'كشف الحساب'!$N$4:$N$253,0),0))),"")</f>
        <v/>
      </c>
      <c r="E119" s="67" t="str">
        <f>IFERROR(IF(IFERROR(MATCH(115,'كشف الحساب'!$N$4:$N$253,0),0)=0,"",INDEX('كشف الحساب'!$E$4:$E$253,IFERROR(MATCH(115,'كشف الحساب'!$N$4:$N$253,0),0))),"")</f>
        <v/>
      </c>
      <c r="F119" s="64" t="str">
        <f>IFERROR(IF(IFERROR(MATCH(115,'كشف الحساب'!$N$4:$N$253,0),0)=0,"",INDEX('كشف الحساب'!$F$4:$F$253,IFERROR(MATCH(115,'كشف الحساب'!$N$4:$N$253,0),0))),"")</f>
        <v/>
      </c>
      <c r="G119" s="64" t="str">
        <f>IFERROR(IF(IFERROR(MATCH(115,'كشف الحساب'!$N$4:$N$253,0),0)=0,"",INDEX('كشف الحساب'!$G$4:$G$253,IFERROR(MATCH(115,'كشف الحساب'!$N$4:$N$253,0),0))),"")</f>
        <v/>
      </c>
      <c r="H119" s="64" t="str">
        <f>IFERROR(IF(IFERROR(MATCH(115,'كشف الحساب'!$N$4:$N$253,0),0)=0,"",INDEX('كشف الحساب'!$H$4:$H$253,IFERROR(MATCH(115,'كشف الحساب'!$N$4:$N$253,0),0))),"")</f>
        <v/>
      </c>
      <c r="I119" s="64" t="str">
        <f>IFERROR(IF(IFERROR(MATCH(115,'كشف الحساب'!$N$4:$N$253,0),0)=0,"",INDEX('كشف الحساب'!$I$4:$I$253,IFERROR(MATCH(115,'كشف الحساب'!$N$4:$N$253,0),0))),"")</f>
        <v/>
      </c>
      <c r="J119" s="68" t="str">
        <f>IFERROR(IF(IFERROR(MATCH(115,'كشف الحساب'!$N$4:$N$253,0),0)=0,"",INDEX('كشف الحساب'!$J$4:$J$253,IFERROR(MATCH(115,'كشف الحساب'!$N$4:$N$253,0),0))),"")</f>
        <v/>
      </c>
      <c r="K119" s="64" t="str">
        <f>IFERROR(IF(IFERROR(MATCH(115,'كشف الحساب'!$N$4:$N$253,0),0)=0,"",INDEX('كشف الحساب'!$K$4:$K$253,IFERROR(MATCH(115,'كشف الحساب'!$N$4:$N$253,0),0))),"")</f>
        <v/>
      </c>
    </row>
    <row r="120" spans="1:11" ht="15" customHeight="1" x14ac:dyDescent="0.25">
      <c r="A120" s="69" t="str">
        <f>IFERROR(IF(IFERROR(MATCH(116,'كشف الحساب'!$N$4:$N$253,0),0)=0,"",INDEX('كشف الحساب'!$A$4:$A$253,IFERROR(MATCH(116,'كشف الحساب'!$N$4:$N$253,0),0))),"")</f>
        <v/>
      </c>
      <c r="B120" s="70" t="str">
        <f>IFERROR(IF(IFERROR(MATCH(116,'كشف الحساب'!$N$4:$N$253,0),0)=0,"",INDEX('كشف الحساب'!$B$4:$B$253,IFERROR(MATCH(116,'كشف الحساب'!$N$4:$N$253,0),0))),"")</f>
        <v/>
      </c>
      <c r="C120" s="71" t="str">
        <f>IFERROR(IF(IFERROR(MATCH(116,'كشف الحساب'!$N$4:$N$253,0),0)=0,"",INDEX('كشف الحساب'!$C$4:$C$253,IFERROR(MATCH(116,'كشف الحساب'!$N$4:$N$253,0),0))),"")</f>
        <v/>
      </c>
      <c r="D120" s="72" t="str">
        <f>IFERROR(IF(IFERROR(MATCH(116,'كشف الحساب'!$N$4:$N$253,0),0)=0,"",INDEX('كشف الحساب'!$D$4:$D$253,IFERROR(MATCH(116,'كشف الحساب'!$N$4:$N$253,0),0))),"")</f>
        <v/>
      </c>
      <c r="E120" s="73" t="str">
        <f>IFERROR(IF(IFERROR(MATCH(116,'كشف الحساب'!$N$4:$N$253,0),0)=0,"",INDEX('كشف الحساب'!$E$4:$E$253,IFERROR(MATCH(116,'كشف الحساب'!$N$4:$N$253,0),0))),"")</f>
        <v/>
      </c>
      <c r="F120" s="70" t="str">
        <f>IFERROR(IF(IFERROR(MATCH(116,'كشف الحساب'!$N$4:$N$253,0),0)=0,"",INDEX('كشف الحساب'!$F$4:$F$253,IFERROR(MATCH(116,'كشف الحساب'!$N$4:$N$253,0),0))),"")</f>
        <v/>
      </c>
      <c r="G120" s="70" t="str">
        <f>IFERROR(IF(IFERROR(MATCH(116,'كشف الحساب'!$N$4:$N$253,0),0)=0,"",INDEX('كشف الحساب'!$G$4:$G$253,IFERROR(MATCH(116,'كشف الحساب'!$N$4:$N$253,0),0))),"")</f>
        <v/>
      </c>
      <c r="H120" s="70" t="str">
        <f>IFERROR(IF(IFERROR(MATCH(116,'كشف الحساب'!$N$4:$N$253,0),0)=0,"",INDEX('كشف الحساب'!$H$4:$H$253,IFERROR(MATCH(116,'كشف الحساب'!$N$4:$N$253,0),0))),"")</f>
        <v/>
      </c>
      <c r="I120" s="70" t="str">
        <f>IFERROR(IF(IFERROR(MATCH(116,'كشف الحساب'!$N$4:$N$253,0),0)=0,"",INDEX('كشف الحساب'!$I$4:$I$253,IFERROR(MATCH(116,'كشف الحساب'!$N$4:$N$253,0),0))),"")</f>
        <v/>
      </c>
      <c r="J120" s="74" t="str">
        <f>IFERROR(IF(IFERROR(MATCH(116,'كشف الحساب'!$N$4:$N$253,0),0)=0,"",INDEX('كشف الحساب'!$J$4:$J$253,IFERROR(MATCH(116,'كشف الحساب'!$N$4:$N$253,0),0))),"")</f>
        <v/>
      </c>
      <c r="K120" s="70" t="str">
        <f>IFERROR(IF(IFERROR(MATCH(116,'كشف الحساب'!$N$4:$N$253,0),0)=0,"",INDEX('كشف الحساب'!$K$4:$K$253,IFERROR(MATCH(116,'كشف الحساب'!$N$4:$N$253,0),0))),"")</f>
        <v/>
      </c>
    </row>
    <row r="121" spans="1:11" ht="15" customHeight="1" x14ac:dyDescent="0.25">
      <c r="A121" s="63" t="str">
        <f>IFERROR(IF(IFERROR(MATCH(117,'كشف الحساب'!$N$4:$N$253,0),0)=0,"",INDEX('كشف الحساب'!$A$4:$A$253,IFERROR(MATCH(117,'كشف الحساب'!$N$4:$N$253,0),0))),"")</f>
        <v/>
      </c>
      <c r="B121" s="64" t="str">
        <f>IFERROR(IF(IFERROR(MATCH(117,'كشف الحساب'!$N$4:$N$253,0),0)=0,"",INDEX('كشف الحساب'!$B$4:$B$253,IFERROR(MATCH(117,'كشف الحساب'!$N$4:$N$253,0),0))),"")</f>
        <v/>
      </c>
      <c r="C121" s="65" t="str">
        <f>IFERROR(IF(IFERROR(MATCH(117,'كشف الحساب'!$N$4:$N$253,0),0)=0,"",INDEX('كشف الحساب'!$C$4:$C$253,IFERROR(MATCH(117,'كشف الحساب'!$N$4:$N$253,0),0))),"")</f>
        <v/>
      </c>
      <c r="D121" s="66" t="str">
        <f>IFERROR(IF(IFERROR(MATCH(117,'كشف الحساب'!$N$4:$N$253,0),0)=0,"",INDEX('كشف الحساب'!$D$4:$D$253,IFERROR(MATCH(117,'كشف الحساب'!$N$4:$N$253,0),0))),"")</f>
        <v/>
      </c>
      <c r="E121" s="67" t="str">
        <f>IFERROR(IF(IFERROR(MATCH(117,'كشف الحساب'!$N$4:$N$253,0),0)=0,"",INDEX('كشف الحساب'!$E$4:$E$253,IFERROR(MATCH(117,'كشف الحساب'!$N$4:$N$253,0),0))),"")</f>
        <v/>
      </c>
      <c r="F121" s="64" t="str">
        <f>IFERROR(IF(IFERROR(MATCH(117,'كشف الحساب'!$N$4:$N$253,0),0)=0,"",INDEX('كشف الحساب'!$F$4:$F$253,IFERROR(MATCH(117,'كشف الحساب'!$N$4:$N$253,0),0))),"")</f>
        <v/>
      </c>
      <c r="G121" s="64" t="str">
        <f>IFERROR(IF(IFERROR(MATCH(117,'كشف الحساب'!$N$4:$N$253,0),0)=0,"",INDEX('كشف الحساب'!$G$4:$G$253,IFERROR(MATCH(117,'كشف الحساب'!$N$4:$N$253,0),0))),"")</f>
        <v/>
      </c>
      <c r="H121" s="64" t="str">
        <f>IFERROR(IF(IFERROR(MATCH(117,'كشف الحساب'!$N$4:$N$253,0),0)=0,"",INDEX('كشف الحساب'!$H$4:$H$253,IFERROR(MATCH(117,'كشف الحساب'!$N$4:$N$253,0),0))),"")</f>
        <v/>
      </c>
      <c r="I121" s="64" t="str">
        <f>IFERROR(IF(IFERROR(MATCH(117,'كشف الحساب'!$N$4:$N$253,0),0)=0,"",INDEX('كشف الحساب'!$I$4:$I$253,IFERROR(MATCH(117,'كشف الحساب'!$N$4:$N$253,0),0))),"")</f>
        <v/>
      </c>
      <c r="J121" s="68" t="str">
        <f>IFERROR(IF(IFERROR(MATCH(117,'كشف الحساب'!$N$4:$N$253,0),0)=0,"",INDEX('كشف الحساب'!$J$4:$J$253,IFERROR(MATCH(117,'كشف الحساب'!$N$4:$N$253,0),0))),"")</f>
        <v/>
      </c>
      <c r="K121" s="64" t="str">
        <f>IFERROR(IF(IFERROR(MATCH(117,'كشف الحساب'!$N$4:$N$253,0),0)=0,"",INDEX('كشف الحساب'!$K$4:$K$253,IFERROR(MATCH(117,'كشف الحساب'!$N$4:$N$253,0),0))),"")</f>
        <v/>
      </c>
    </row>
    <row r="122" spans="1:11" ht="15" customHeight="1" x14ac:dyDescent="0.25">
      <c r="A122" s="69" t="str">
        <f>IFERROR(IF(IFERROR(MATCH(118,'كشف الحساب'!$N$4:$N$253,0),0)=0,"",INDEX('كشف الحساب'!$A$4:$A$253,IFERROR(MATCH(118,'كشف الحساب'!$N$4:$N$253,0),0))),"")</f>
        <v/>
      </c>
      <c r="B122" s="70" t="str">
        <f>IFERROR(IF(IFERROR(MATCH(118,'كشف الحساب'!$N$4:$N$253,0),0)=0,"",INDEX('كشف الحساب'!$B$4:$B$253,IFERROR(MATCH(118,'كشف الحساب'!$N$4:$N$253,0),0))),"")</f>
        <v/>
      </c>
      <c r="C122" s="71" t="str">
        <f>IFERROR(IF(IFERROR(MATCH(118,'كشف الحساب'!$N$4:$N$253,0),0)=0,"",INDEX('كشف الحساب'!$C$4:$C$253,IFERROR(MATCH(118,'كشف الحساب'!$N$4:$N$253,0),0))),"")</f>
        <v/>
      </c>
      <c r="D122" s="72" t="str">
        <f>IFERROR(IF(IFERROR(MATCH(118,'كشف الحساب'!$N$4:$N$253,0),0)=0,"",INDEX('كشف الحساب'!$D$4:$D$253,IFERROR(MATCH(118,'كشف الحساب'!$N$4:$N$253,0),0))),"")</f>
        <v/>
      </c>
      <c r="E122" s="73" t="str">
        <f>IFERROR(IF(IFERROR(MATCH(118,'كشف الحساب'!$N$4:$N$253,0),0)=0,"",INDEX('كشف الحساب'!$E$4:$E$253,IFERROR(MATCH(118,'كشف الحساب'!$N$4:$N$253,0),0))),"")</f>
        <v/>
      </c>
      <c r="F122" s="70" t="str">
        <f>IFERROR(IF(IFERROR(MATCH(118,'كشف الحساب'!$N$4:$N$253,0),0)=0,"",INDEX('كشف الحساب'!$F$4:$F$253,IFERROR(MATCH(118,'كشف الحساب'!$N$4:$N$253,0),0))),"")</f>
        <v/>
      </c>
      <c r="G122" s="70" t="str">
        <f>IFERROR(IF(IFERROR(MATCH(118,'كشف الحساب'!$N$4:$N$253,0),0)=0,"",INDEX('كشف الحساب'!$G$4:$G$253,IFERROR(MATCH(118,'كشف الحساب'!$N$4:$N$253,0),0))),"")</f>
        <v/>
      </c>
      <c r="H122" s="70" t="str">
        <f>IFERROR(IF(IFERROR(MATCH(118,'كشف الحساب'!$N$4:$N$253,0),0)=0,"",INDEX('كشف الحساب'!$H$4:$H$253,IFERROR(MATCH(118,'كشف الحساب'!$N$4:$N$253,0),0))),"")</f>
        <v/>
      </c>
      <c r="I122" s="70" t="str">
        <f>IFERROR(IF(IFERROR(MATCH(118,'كشف الحساب'!$N$4:$N$253,0),0)=0,"",INDEX('كشف الحساب'!$I$4:$I$253,IFERROR(MATCH(118,'كشف الحساب'!$N$4:$N$253,0),0))),"")</f>
        <v/>
      </c>
      <c r="J122" s="74" t="str">
        <f>IFERROR(IF(IFERROR(MATCH(118,'كشف الحساب'!$N$4:$N$253,0),0)=0,"",INDEX('كشف الحساب'!$J$4:$J$253,IFERROR(MATCH(118,'كشف الحساب'!$N$4:$N$253,0),0))),"")</f>
        <v/>
      </c>
      <c r="K122" s="70" t="str">
        <f>IFERROR(IF(IFERROR(MATCH(118,'كشف الحساب'!$N$4:$N$253,0),0)=0,"",INDEX('كشف الحساب'!$K$4:$K$253,IFERROR(MATCH(118,'كشف الحساب'!$N$4:$N$253,0),0))),"")</f>
        <v/>
      </c>
    </row>
    <row r="123" spans="1:11" ht="15" customHeight="1" x14ac:dyDescent="0.25">
      <c r="A123" s="63" t="str">
        <f>IFERROR(IF(IFERROR(MATCH(119,'كشف الحساب'!$N$4:$N$253,0),0)=0,"",INDEX('كشف الحساب'!$A$4:$A$253,IFERROR(MATCH(119,'كشف الحساب'!$N$4:$N$253,0),0))),"")</f>
        <v/>
      </c>
      <c r="B123" s="64" t="str">
        <f>IFERROR(IF(IFERROR(MATCH(119,'كشف الحساب'!$N$4:$N$253,0),0)=0,"",INDEX('كشف الحساب'!$B$4:$B$253,IFERROR(MATCH(119,'كشف الحساب'!$N$4:$N$253,0),0))),"")</f>
        <v/>
      </c>
      <c r="C123" s="65" t="str">
        <f>IFERROR(IF(IFERROR(MATCH(119,'كشف الحساب'!$N$4:$N$253,0),0)=0,"",INDEX('كشف الحساب'!$C$4:$C$253,IFERROR(MATCH(119,'كشف الحساب'!$N$4:$N$253,0),0))),"")</f>
        <v/>
      </c>
      <c r="D123" s="66" t="str">
        <f>IFERROR(IF(IFERROR(MATCH(119,'كشف الحساب'!$N$4:$N$253,0),0)=0,"",INDEX('كشف الحساب'!$D$4:$D$253,IFERROR(MATCH(119,'كشف الحساب'!$N$4:$N$253,0),0))),"")</f>
        <v/>
      </c>
      <c r="E123" s="67" t="str">
        <f>IFERROR(IF(IFERROR(MATCH(119,'كشف الحساب'!$N$4:$N$253,0),0)=0,"",INDEX('كشف الحساب'!$E$4:$E$253,IFERROR(MATCH(119,'كشف الحساب'!$N$4:$N$253,0),0))),"")</f>
        <v/>
      </c>
      <c r="F123" s="64" t="str">
        <f>IFERROR(IF(IFERROR(MATCH(119,'كشف الحساب'!$N$4:$N$253,0),0)=0,"",INDEX('كشف الحساب'!$F$4:$F$253,IFERROR(MATCH(119,'كشف الحساب'!$N$4:$N$253,0),0))),"")</f>
        <v/>
      </c>
      <c r="G123" s="64" t="str">
        <f>IFERROR(IF(IFERROR(MATCH(119,'كشف الحساب'!$N$4:$N$253,0),0)=0,"",INDEX('كشف الحساب'!$G$4:$G$253,IFERROR(MATCH(119,'كشف الحساب'!$N$4:$N$253,0),0))),"")</f>
        <v/>
      </c>
      <c r="H123" s="64" t="str">
        <f>IFERROR(IF(IFERROR(MATCH(119,'كشف الحساب'!$N$4:$N$253,0),0)=0,"",INDEX('كشف الحساب'!$H$4:$H$253,IFERROR(MATCH(119,'كشف الحساب'!$N$4:$N$253,0),0))),"")</f>
        <v/>
      </c>
      <c r="I123" s="64" t="str">
        <f>IFERROR(IF(IFERROR(MATCH(119,'كشف الحساب'!$N$4:$N$253,0),0)=0,"",INDEX('كشف الحساب'!$I$4:$I$253,IFERROR(MATCH(119,'كشف الحساب'!$N$4:$N$253,0),0))),"")</f>
        <v/>
      </c>
      <c r="J123" s="68" t="str">
        <f>IFERROR(IF(IFERROR(MATCH(119,'كشف الحساب'!$N$4:$N$253,0),0)=0,"",INDEX('كشف الحساب'!$J$4:$J$253,IFERROR(MATCH(119,'كشف الحساب'!$N$4:$N$253,0),0))),"")</f>
        <v/>
      </c>
      <c r="K123" s="64" t="str">
        <f>IFERROR(IF(IFERROR(MATCH(119,'كشف الحساب'!$N$4:$N$253,0),0)=0,"",INDEX('كشف الحساب'!$K$4:$K$253,IFERROR(MATCH(119,'كشف الحساب'!$N$4:$N$253,0),0))),"")</f>
        <v/>
      </c>
    </row>
    <row r="124" spans="1:11" ht="15" customHeight="1" x14ac:dyDescent="0.25">
      <c r="A124" s="69" t="str">
        <f>IFERROR(IF(IFERROR(MATCH(120,'كشف الحساب'!$N$4:$N$253,0),0)=0,"",INDEX('كشف الحساب'!$A$4:$A$253,IFERROR(MATCH(120,'كشف الحساب'!$N$4:$N$253,0),0))),"")</f>
        <v/>
      </c>
      <c r="B124" s="70" t="str">
        <f>IFERROR(IF(IFERROR(MATCH(120,'كشف الحساب'!$N$4:$N$253,0),0)=0,"",INDEX('كشف الحساب'!$B$4:$B$253,IFERROR(MATCH(120,'كشف الحساب'!$N$4:$N$253,0),0))),"")</f>
        <v/>
      </c>
      <c r="C124" s="71" t="str">
        <f>IFERROR(IF(IFERROR(MATCH(120,'كشف الحساب'!$N$4:$N$253,0),0)=0,"",INDEX('كشف الحساب'!$C$4:$C$253,IFERROR(MATCH(120,'كشف الحساب'!$N$4:$N$253,0),0))),"")</f>
        <v/>
      </c>
      <c r="D124" s="72" t="str">
        <f>IFERROR(IF(IFERROR(MATCH(120,'كشف الحساب'!$N$4:$N$253,0),0)=0,"",INDEX('كشف الحساب'!$D$4:$D$253,IFERROR(MATCH(120,'كشف الحساب'!$N$4:$N$253,0),0))),"")</f>
        <v/>
      </c>
      <c r="E124" s="73" t="str">
        <f>IFERROR(IF(IFERROR(MATCH(120,'كشف الحساب'!$N$4:$N$253,0),0)=0,"",INDEX('كشف الحساب'!$E$4:$E$253,IFERROR(MATCH(120,'كشف الحساب'!$N$4:$N$253,0),0))),"")</f>
        <v/>
      </c>
      <c r="F124" s="70" t="str">
        <f>IFERROR(IF(IFERROR(MATCH(120,'كشف الحساب'!$N$4:$N$253,0),0)=0,"",INDEX('كشف الحساب'!$F$4:$F$253,IFERROR(MATCH(120,'كشف الحساب'!$N$4:$N$253,0),0))),"")</f>
        <v/>
      </c>
      <c r="G124" s="70" t="str">
        <f>IFERROR(IF(IFERROR(MATCH(120,'كشف الحساب'!$N$4:$N$253,0),0)=0,"",INDEX('كشف الحساب'!$G$4:$G$253,IFERROR(MATCH(120,'كشف الحساب'!$N$4:$N$253,0),0))),"")</f>
        <v/>
      </c>
      <c r="H124" s="70" t="str">
        <f>IFERROR(IF(IFERROR(MATCH(120,'كشف الحساب'!$N$4:$N$253,0),0)=0,"",INDEX('كشف الحساب'!$H$4:$H$253,IFERROR(MATCH(120,'كشف الحساب'!$N$4:$N$253,0),0))),"")</f>
        <v/>
      </c>
      <c r="I124" s="70" t="str">
        <f>IFERROR(IF(IFERROR(MATCH(120,'كشف الحساب'!$N$4:$N$253,0),0)=0,"",INDEX('كشف الحساب'!$I$4:$I$253,IFERROR(MATCH(120,'كشف الحساب'!$N$4:$N$253,0),0))),"")</f>
        <v/>
      </c>
      <c r="J124" s="74" t="str">
        <f>IFERROR(IF(IFERROR(MATCH(120,'كشف الحساب'!$N$4:$N$253,0),0)=0,"",INDEX('كشف الحساب'!$J$4:$J$253,IFERROR(MATCH(120,'كشف الحساب'!$N$4:$N$253,0),0))),"")</f>
        <v/>
      </c>
      <c r="K124" s="70" t="str">
        <f>IFERROR(IF(IFERROR(MATCH(120,'كشف الحساب'!$N$4:$N$253,0),0)=0,"",INDEX('كشف الحساب'!$K$4:$K$253,IFERROR(MATCH(120,'كشف الحساب'!$N$4:$N$253,0),0))),"")</f>
        <v/>
      </c>
    </row>
    <row r="125" spans="1:11" ht="15" customHeight="1" x14ac:dyDescent="0.25">
      <c r="A125" s="63" t="str">
        <f>IFERROR(IF(IFERROR(MATCH(121,'كشف الحساب'!$N$4:$N$253,0),0)=0,"",INDEX('كشف الحساب'!$A$4:$A$253,IFERROR(MATCH(121,'كشف الحساب'!$N$4:$N$253,0),0))),"")</f>
        <v/>
      </c>
      <c r="B125" s="64" t="str">
        <f>IFERROR(IF(IFERROR(MATCH(121,'كشف الحساب'!$N$4:$N$253,0),0)=0,"",INDEX('كشف الحساب'!$B$4:$B$253,IFERROR(MATCH(121,'كشف الحساب'!$N$4:$N$253,0),0))),"")</f>
        <v/>
      </c>
      <c r="C125" s="65" t="str">
        <f>IFERROR(IF(IFERROR(MATCH(121,'كشف الحساب'!$N$4:$N$253,0),0)=0,"",INDEX('كشف الحساب'!$C$4:$C$253,IFERROR(MATCH(121,'كشف الحساب'!$N$4:$N$253,0),0))),"")</f>
        <v/>
      </c>
      <c r="D125" s="66" t="str">
        <f>IFERROR(IF(IFERROR(MATCH(121,'كشف الحساب'!$N$4:$N$253,0),0)=0,"",INDEX('كشف الحساب'!$D$4:$D$253,IFERROR(MATCH(121,'كشف الحساب'!$N$4:$N$253,0),0))),"")</f>
        <v/>
      </c>
      <c r="E125" s="67" t="str">
        <f>IFERROR(IF(IFERROR(MATCH(121,'كشف الحساب'!$N$4:$N$253,0),0)=0,"",INDEX('كشف الحساب'!$E$4:$E$253,IFERROR(MATCH(121,'كشف الحساب'!$N$4:$N$253,0),0))),"")</f>
        <v/>
      </c>
      <c r="F125" s="64" t="str">
        <f>IFERROR(IF(IFERROR(MATCH(121,'كشف الحساب'!$N$4:$N$253,0),0)=0,"",INDEX('كشف الحساب'!$F$4:$F$253,IFERROR(MATCH(121,'كشف الحساب'!$N$4:$N$253,0),0))),"")</f>
        <v/>
      </c>
      <c r="G125" s="64" t="str">
        <f>IFERROR(IF(IFERROR(MATCH(121,'كشف الحساب'!$N$4:$N$253,0),0)=0,"",INDEX('كشف الحساب'!$G$4:$G$253,IFERROR(MATCH(121,'كشف الحساب'!$N$4:$N$253,0),0))),"")</f>
        <v/>
      </c>
      <c r="H125" s="64" t="str">
        <f>IFERROR(IF(IFERROR(MATCH(121,'كشف الحساب'!$N$4:$N$253,0),0)=0,"",INDEX('كشف الحساب'!$H$4:$H$253,IFERROR(MATCH(121,'كشف الحساب'!$N$4:$N$253,0),0))),"")</f>
        <v/>
      </c>
      <c r="I125" s="64" t="str">
        <f>IFERROR(IF(IFERROR(MATCH(121,'كشف الحساب'!$N$4:$N$253,0),0)=0,"",INDEX('كشف الحساب'!$I$4:$I$253,IFERROR(MATCH(121,'كشف الحساب'!$N$4:$N$253,0),0))),"")</f>
        <v/>
      </c>
      <c r="J125" s="68" t="str">
        <f>IFERROR(IF(IFERROR(MATCH(121,'كشف الحساب'!$N$4:$N$253,0),0)=0,"",INDEX('كشف الحساب'!$J$4:$J$253,IFERROR(MATCH(121,'كشف الحساب'!$N$4:$N$253,0),0))),"")</f>
        <v/>
      </c>
      <c r="K125" s="64" t="str">
        <f>IFERROR(IF(IFERROR(MATCH(121,'كشف الحساب'!$N$4:$N$253,0),0)=0,"",INDEX('كشف الحساب'!$K$4:$K$253,IFERROR(MATCH(121,'كشف الحساب'!$N$4:$N$253,0),0))),"")</f>
        <v/>
      </c>
    </row>
    <row r="126" spans="1:11" ht="15" customHeight="1" x14ac:dyDescent="0.25">
      <c r="A126" s="69" t="str">
        <f>IFERROR(IF(IFERROR(MATCH(122,'كشف الحساب'!$N$4:$N$253,0),0)=0,"",INDEX('كشف الحساب'!$A$4:$A$253,IFERROR(MATCH(122,'كشف الحساب'!$N$4:$N$253,0),0))),"")</f>
        <v/>
      </c>
      <c r="B126" s="70" t="str">
        <f>IFERROR(IF(IFERROR(MATCH(122,'كشف الحساب'!$N$4:$N$253,0),0)=0,"",INDEX('كشف الحساب'!$B$4:$B$253,IFERROR(MATCH(122,'كشف الحساب'!$N$4:$N$253,0),0))),"")</f>
        <v/>
      </c>
      <c r="C126" s="71" t="str">
        <f>IFERROR(IF(IFERROR(MATCH(122,'كشف الحساب'!$N$4:$N$253,0),0)=0,"",INDEX('كشف الحساب'!$C$4:$C$253,IFERROR(MATCH(122,'كشف الحساب'!$N$4:$N$253,0),0))),"")</f>
        <v/>
      </c>
      <c r="D126" s="72" t="str">
        <f>IFERROR(IF(IFERROR(MATCH(122,'كشف الحساب'!$N$4:$N$253,0),0)=0,"",INDEX('كشف الحساب'!$D$4:$D$253,IFERROR(MATCH(122,'كشف الحساب'!$N$4:$N$253,0),0))),"")</f>
        <v/>
      </c>
      <c r="E126" s="73" t="str">
        <f>IFERROR(IF(IFERROR(MATCH(122,'كشف الحساب'!$N$4:$N$253,0),0)=0,"",INDEX('كشف الحساب'!$E$4:$E$253,IFERROR(MATCH(122,'كشف الحساب'!$N$4:$N$253,0),0))),"")</f>
        <v/>
      </c>
      <c r="F126" s="70" t="str">
        <f>IFERROR(IF(IFERROR(MATCH(122,'كشف الحساب'!$N$4:$N$253,0),0)=0,"",INDEX('كشف الحساب'!$F$4:$F$253,IFERROR(MATCH(122,'كشف الحساب'!$N$4:$N$253,0),0))),"")</f>
        <v/>
      </c>
      <c r="G126" s="70" t="str">
        <f>IFERROR(IF(IFERROR(MATCH(122,'كشف الحساب'!$N$4:$N$253,0),0)=0,"",INDEX('كشف الحساب'!$G$4:$G$253,IFERROR(MATCH(122,'كشف الحساب'!$N$4:$N$253,0),0))),"")</f>
        <v/>
      </c>
      <c r="H126" s="70" t="str">
        <f>IFERROR(IF(IFERROR(MATCH(122,'كشف الحساب'!$N$4:$N$253,0),0)=0,"",INDEX('كشف الحساب'!$H$4:$H$253,IFERROR(MATCH(122,'كشف الحساب'!$N$4:$N$253,0),0))),"")</f>
        <v/>
      </c>
      <c r="I126" s="70" t="str">
        <f>IFERROR(IF(IFERROR(MATCH(122,'كشف الحساب'!$N$4:$N$253,0),0)=0,"",INDEX('كشف الحساب'!$I$4:$I$253,IFERROR(MATCH(122,'كشف الحساب'!$N$4:$N$253,0),0))),"")</f>
        <v/>
      </c>
      <c r="J126" s="74" t="str">
        <f>IFERROR(IF(IFERROR(MATCH(122,'كشف الحساب'!$N$4:$N$253,0),0)=0,"",INDEX('كشف الحساب'!$J$4:$J$253,IFERROR(MATCH(122,'كشف الحساب'!$N$4:$N$253,0),0))),"")</f>
        <v/>
      </c>
      <c r="K126" s="70" t="str">
        <f>IFERROR(IF(IFERROR(MATCH(122,'كشف الحساب'!$N$4:$N$253,0),0)=0,"",INDEX('كشف الحساب'!$K$4:$K$253,IFERROR(MATCH(122,'كشف الحساب'!$N$4:$N$253,0),0))),"")</f>
        <v/>
      </c>
    </row>
    <row r="127" spans="1:11" ht="15" customHeight="1" x14ac:dyDescent="0.25">
      <c r="A127" s="63" t="str">
        <f>IFERROR(IF(IFERROR(MATCH(123,'كشف الحساب'!$N$4:$N$253,0),0)=0,"",INDEX('كشف الحساب'!$A$4:$A$253,IFERROR(MATCH(123,'كشف الحساب'!$N$4:$N$253,0),0))),"")</f>
        <v/>
      </c>
      <c r="B127" s="64" t="str">
        <f>IFERROR(IF(IFERROR(MATCH(123,'كشف الحساب'!$N$4:$N$253,0),0)=0,"",INDEX('كشف الحساب'!$B$4:$B$253,IFERROR(MATCH(123,'كشف الحساب'!$N$4:$N$253,0),0))),"")</f>
        <v/>
      </c>
      <c r="C127" s="65" t="str">
        <f>IFERROR(IF(IFERROR(MATCH(123,'كشف الحساب'!$N$4:$N$253,0),0)=0,"",INDEX('كشف الحساب'!$C$4:$C$253,IFERROR(MATCH(123,'كشف الحساب'!$N$4:$N$253,0),0))),"")</f>
        <v/>
      </c>
      <c r="D127" s="66" t="str">
        <f>IFERROR(IF(IFERROR(MATCH(123,'كشف الحساب'!$N$4:$N$253,0),0)=0,"",INDEX('كشف الحساب'!$D$4:$D$253,IFERROR(MATCH(123,'كشف الحساب'!$N$4:$N$253,0),0))),"")</f>
        <v/>
      </c>
      <c r="E127" s="67" t="str">
        <f>IFERROR(IF(IFERROR(MATCH(123,'كشف الحساب'!$N$4:$N$253,0),0)=0,"",INDEX('كشف الحساب'!$E$4:$E$253,IFERROR(MATCH(123,'كشف الحساب'!$N$4:$N$253,0),0))),"")</f>
        <v/>
      </c>
      <c r="F127" s="64" t="str">
        <f>IFERROR(IF(IFERROR(MATCH(123,'كشف الحساب'!$N$4:$N$253,0),0)=0,"",INDEX('كشف الحساب'!$F$4:$F$253,IFERROR(MATCH(123,'كشف الحساب'!$N$4:$N$253,0),0))),"")</f>
        <v/>
      </c>
      <c r="G127" s="64" t="str">
        <f>IFERROR(IF(IFERROR(MATCH(123,'كشف الحساب'!$N$4:$N$253,0),0)=0,"",INDEX('كشف الحساب'!$G$4:$G$253,IFERROR(MATCH(123,'كشف الحساب'!$N$4:$N$253,0),0))),"")</f>
        <v/>
      </c>
      <c r="H127" s="64" t="str">
        <f>IFERROR(IF(IFERROR(MATCH(123,'كشف الحساب'!$N$4:$N$253,0),0)=0,"",INDEX('كشف الحساب'!$H$4:$H$253,IFERROR(MATCH(123,'كشف الحساب'!$N$4:$N$253,0),0))),"")</f>
        <v/>
      </c>
      <c r="I127" s="64" t="str">
        <f>IFERROR(IF(IFERROR(MATCH(123,'كشف الحساب'!$N$4:$N$253,0),0)=0,"",INDEX('كشف الحساب'!$I$4:$I$253,IFERROR(MATCH(123,'كشف الحساب'!$N$4:$N$253,0),0))),"")</f>
        <v/>
      </c>
      <c r="J127" s="68" t="str">
        <f>IFERROR(IF(IFERROR(MATCH(123,'كشف الحساب'!$N$4:$N$253,0),0)=0,"",INDEX('كشف الحساب'!$J$4:$J$253,IFERROR(MATCH(123,'كشف الحساب'!$N$4:$N$253,0),0))),"")</f>
        <v/>
      </c>
      <c r="K127" s="64" t="str">
        <f>IFERROR(IF(IFERROR(MATCH(123,'كشف الحساب'!$N$4:$N$253,0),0)=0,"",INDEX('كشف الحساب'!$K$4:$K$253,IFERROR(MATCH(123,'كشف الحساب'!$N$4:$N$253,0),0))),"")</f>
        <v/>
      </c>
    </row>
    <row r="128" spans="1:11" ht="15" customHeight="1" x14ac:dyDescent="0.25">
      <c r="A128" s="69" t="str">
        <f>IFERROR(IF(IFERROR(MATCH(124,'كشف الحساب'!$N$4:$N$253,0),0)=0,"",INDEX('كشف الحساب'!$A$4:$A$253,IFERROR(MATCH(124,'كشف الحساب'!$N$4:$N$253,0),0))),"")</f>
        <v/>
      </c>
      <c r="B128" s="70" t="str">
        <f>IFERROR(IF(IFERROR(MATCH(124,'كشف الحساب'!$N$4:$N$253,0),0)=0,"",INDEX('كشف الحساب'!$B$4:$B$253,IFERROR(MATCH(124,'كشف الحساب'!$N$4:$N$253,0),0))),"")</f>
        <v/>
      </c>
      <c r="C128" s="71" t="str">
        <f>IFERROR(IF(IFERROR(MATCH(124,'كشف الحساب'!$N$4:$N$253,0),0)=0,"",INDEX('كشف الحساب'!$C$4:$C$253,IFERROR(MATCH(124,'كشف الحساب'!$N$4:$N$253,0),0))),"")</f>
        <v/>
      </c>
      <c r="D128" s="72" t="str">
        <f>IFERROR(IF(IFERROR(MATCH(124,'كشف الحساب'!$N$4:$N$253,0),0)=0,"",INDEX('كشف الحساب'!$D$4:$D$253,IFERROR(MATCH(124,'كشف الحساب'!$N$4:$N$253,0),0))),"")</f>
        <v/>
      </c>
      <c r="E128" s="73" t="str">
        <f>IFERROR(IF(IFERROR(MATCH(124,'كشف الحساب'!$N$4:$N$253,0),0)=0,"",INDEX('كشف الحساب'!$E$4:$E$253,IFERROR(MATCH(124,'كشف الحساب'!$N$4:$N$253,0),0))),"")</f>
        <v/>
      </c>
      <c r="F128" s="70" t="str">
        <f>IFERROR(IF(IFERROR(MATCH(124,'كشف الحساب'!$N$4:$N$253,0),0)=0,"",INDEX('كشف الحساب'!$F$4:$F$253,IFERROR(MATCH(124,'كشف الحساب'!$N$4:$N$253,0),0))),"")</f>
        <v/>
      </c>
      <c r="G128" s="70" t="str">
        <f>IFERROR(IF(IFERROR(MATCH(124,'كشف الحساب'!$N$4:$N$253,0),0)=0,"",INDEX('كشف الحساب'!$G$4:$G$253,IFERROR(MATCH(124,'كشف الحساب'!$N$4:$N$253,0),0))),"")</f>
        <v/>
      </c>
      <c r="H128" s="70" t="str">
        <f>IFERROR(IF(IFERROR(MATCH(124,'كشف الحساب'!$N$4:$N$253,0),0)=0,"",INDEX('كشف الحساب'!$H$4:$H$253,IFERROR(MATCH(124,'كشف الحساب'!$N$4:$N$253,0),0))),"")</f>
        <v/>
      </c>
      <c r="I128" s="70" t="str">
        <f>IFERROR(IF(IFERROR(MATCH(124,'كشف الحساب'!$N$4:$N$253,0),0)=0,"",INDEX('كشف الحساب'!$I$4:$I$253,IFERROR(MATCH(124,'كشف الحساب'!$N$4:$N$253,0),0))),"")</f>
        <v/>
      </c>
      <c r="J128" s="74" t="str">
        <f>IFERROR(IF(IFERROR(MATCH(124,'كشف الحساب'!$N$4:$N$253,0),0)=0,"",INDEX('كشف الحساب'!$J$4:$J$253,IFERROR(MATCH(124,'كشف الحساب'!$N$4:$N$253,0),0))),"")</f>
        <v/>
      </c>
      <c r="K128" s="70" t="str">
        <f>IFERROR(IF(IFERROR(MATCH(124,'كشف الحساب'!$N$4:$N$253,0),0)=0,"",INDEX('كشف الحساب'!$K$4:$K$253,IFERROR(MATCH(124,'كشف الحساب'!$N$4:$N$253,0),0))),"")</f>
        <v/>
      </c>
    </row>
    <row r="129" spans="1:11" ht="15" customHeight="1" x14ac:dyDescent="0.25">
      <c r="A129" s="63" t="str">
        <f>IFERROR(IF(IFERROR(MATCH(125,'كشف الحساب'!$N$4:$N$253,0),0)=0,"",INDEX('كشف الحساب'!$A$4:$A$253,IFERROR(MATCH(125,'كشف الحساب'!$N$4:$N$253,0),0))),"")</f>
        <v/>
      </c>
      <c r="B129" s="64" t="str">
        <f>IFERROR(IF(IFERROR(MATCH(125,'كشف الحساب'!$N$4:$N$253,0),0)=0,"",INDEX('كشف الحساب'!$B$4:$B$253,IFERROR(MATCH(125,'كشف الحساب'!$N$4:$N$253,0),0))),"")</f>
        <v/>
      </c>
      <c r="C129" s="65" t="str">
        <f>IFERROR(IF(IFERROR(MATCH(125,'كشف الحساب'!$N$4:$N$253,0),0)=0,"",INDEX('كشف الحساب'!$C$4:$C$253,IFERROR(MATCH(125,'كشف الحساب'!$N$4:$N$253,0),0))),"")</f>
        <v/>
      </c>
      <c r="D129" s="66" t="str">
        <f>IFERROR(IF(IFERROR(MATCH(125,'كشف الحساب'!$N$4:$N$253,0),0)=0,"",INDEX('كشف الحساب'!$D$4:$D$253,IFERROR(MATCH(125,'كشف الحساب'!$N$4:$N$253,0),0))),"")</f>
        <v/>
      </c>
      <c r="E129" s="67" t="str">
        <f>IFERROR(IF(IFERROR(MATCH(125,'كشف الحساب'!$N$4:$N$253,0),0)=0,"",INDEX('كشف الحساب'!$E$4:$E$253,IFERROR(MATCH(125,'كشف الحساب'!$N$4:$N$253,0),0))),"")</f>
        <v/>
      </c>
      <c r="F129" s="64" t="str">
        <f>IFERROR(IF(IFERROR(MATCH(125,'كشف الحساب'!$N$4:$N$253,0),0)=0,"",INDEX('كشف الحساب'!$F$4:$F$253,IFERROR(MATCH(125,'كشف الحساب'!$N$4:$N$253,0),0))),"")</f>
        <v/>
      </c>
      <c r="G129" s="64" t="str">
        <f>IFERROR(IF(IFERROR(MATCH(125,'كشف الحساب'!$N$4:$N$253,0),0)=0,"",INDEX('كشف الحساب'!$G$4:$G$253,IFERROR(MATCH(125,'كشف الحساب'!$N$4:$N$253,0),0))),"")</f>
        <v/>
      </c>
      <c r="H129" s="64" t="str">
        <f>IFERROR(IF(IFERROR(MATCH(125,'كشف الحساب'!$N$4:$N$253,0),0)=0,"",INDEX('كشف الحساب'!$H$4:$H$253,IFERROR(MATCH(125,'كشف الحساب'!$N$4:$N$253,0),0))),"")</f>
        <v/>
      </c>
      <c r="I129" s="64" t="str">
        <f>IFERROR(IF(IFERROR(MATCH(125,'كشف الحساب'!$N$4:$N$253,0),0)=0,"",INDEX('كشف الحساب'!$I$4:$I$253,IFERROR(MATCH(125,'كشف الحساب'!$N$4:$N$253,0),0))),"")</f>
        <v/>
      </c>
      <c r="J129" s="68" t="str">
        <f>IFERROR(IF(IFERROR(MATCH(125,'كشف الحساب'!$N$4:$N$253,0),0)=0,"",INDEX('كشف الحساب'!$J$4:$J$253,IFERROR(MATCH(125,'كشف الحساب'!$N$4:$N$253,0),0))),"")</f>
        <v/>
      </c>
      <c r="K129" s="64" t="str">
        <f>IFERROR(IF(IFERROR(MATCH(125,'كشف الحساب'!$N$4:$N$253,0),0)=0,"",INDEX('كشف الحساب'!$K$4:$K$253,IFERROR(MATCH(125,'كشف الحساب'!$N$4:$N$253,0),0))),"")</f>
        <v/>
      </c>
    </row>
    <row r="130" spans="1:11" ht="15" customHeight="1" x14ac:dyDescent="0.25">
      <c r="A130" s="69" t="str">
        <f>IFERROR(IF(IFERROR(MATCH(126,'كشف الحساب'!$N$4:$N$253,0),0)=0,"",INDEX('كشف الحساب'!$A$4:$A$253,IFERROR(MATCH(126,'كشف الحساب'!$N$4:$N$253,0),0))),"")</f>
        <v/>
      </c>
      <c r="B130" s="70" t="str">
        <f>IFERROR(IF(IFERROR(MATCH(126,'كشف الحساب'!$N$4:$N$253,0),0)=0,"",INDEX('كشف الحساب'!$B$4:$B$253,IFERROR(MATCH(126,'كشف الحساب'!$N$4:$N$253,0),0))),"")</f>
        <v/>
      </c>
      <c r="C130" s="71" t="str">
        <f>IFERROR(IF(IFERROR(MATCH(126,'كشف الحساب'!$N$4:$N$253,0),0)=0,"",INDEX('كشف الحساب'!$C$4:$C$253,IFERROR(MATCH(126,'كشف الحساب'!$N$4:$N$253,0),0))),"")</f>
        <v/>
      </c>
      <c r="D130" s="72" t="str">
        <f>IFERROR(IF(IFERROR(MATCH(126,'كشف الحساب'!$N$4:$N$253,0),0)=0,"",INDEX('كشف الحساب'!$D$4:$D$253,IFERROR(MATCH(126,'كشف الحساب'!$N$4:$N$253,0),0))),"")</f>
        <v/>
      </c>
      <c r="E130" s="73" t="str">
        <f>IFERROR(IF(IFERROR(MATCH(126,'كشف الحساب'!$N$4:$N$253,0),0)=0,"",INDEX('كشف الحساب'!$E$4:$E$253,IFERROR(MATCH(126,'كشف الحساب'!$N$4:$N$253,0),0))),"")</f>
        <v/>
      </c>
      <c r="F130" s="70" t="str">
        <f>IFERROR(IF(IFERROR(MATCH(126,'كشف الحساب'!$N$4:$N$253,0),0)=0,"",INDEX('كشف الحساب'!$F$4:$F$253,IFERROR(MATCH(126,'كشف الحساب'!$N$4:$N$253,0),0))),"")</f>
        <v/>
      </c>
      <c r="G130" s="70" t="str">
        <f>IFERROR(IF(IFERROR(MATCH(126,'كشف الحساب'!$N$4:$N$253,0),0)=0,"",INDEX('كشف الحساب'!$G$4:$G$253,IFERROR(MATCH(126,'كشف الحساب'!$N$4:$N$253,0),0))),"")</f>
        <v/>
      </c>
      <c r="H130" s="70" t="str">
        <f>IFERROR(IF(IFERROR(MATCH(126,'كشف الحساب'!$N$4:$N$253,0),0)=0,"",INDEX('كشف الحساب'!$H$4:$H$253,IFERROR(MATCH(126,'كشف الحساب'!$N$4:$N$253,0),0))),"")</f>
        <v/>
      </c>
      <c r="I130" s="70" t="str">
        <f>IFERROR(IF(IFERROR(MATCH(126,'كشف الحساب'!$N$4:$N$253,0),0)=0,"",INDEX('كشف الحساب'!$I$4:$I$253,IFERROR(MATCH(126,'كشف الحساب'!$N$4:$N$253,0),0))),"")</f>
        <v/>
      </c>
      <c r="J130" s="74" t="str">
        <f>IFERROR(IF(IFERROR(MATCH(126,'كشف الحساب'!$N$4:$N$253,0),0)=0,"",INDEX('كشف الحساب'!$J$4:$J$253,IFERROR(MATCH(126,'كشف الحساب'!$N$4:$N$253,0),0))),"")</f>
        <v/>
      </c>
      <c r="K130" s="70" t="str">
        <f>IFERROR(IF(IFERROR(MATCH(126,'كشف الحساب'!$N$4:$N$253,0),0)=0,"",INDEX('كشف الحساب'!$K$4:$K$253,IFERROR(MATCH(126,'كشف الحساب'!$N$4:$N$253,0),0))),"")</f>
        <v/>
      </c>
    </row>
    <row r="131" spans="1:11" ht="15" customHeight="1" x14ac:dyDescent="0.25">
      <c r="A131" s="63" t="str">
        <f>IFERROR(IF(IFERROR(MATCH(127,'كشف الحساب'!$N$4:$N$253,0),0)=0,"",INDEX('كشف الحساب'!$A$4:$A$253,IFERROR(MATCH(127,'كشف الحساب'!$N$4:$N$253,0),0))),"")</f>
        <v/>
      </c>
      <c r="B131" s="64" t="str">
        <f>IFERROR(IF(IFERROR(MATCH(127,'كشف الحساب'!$N$4:$N$253,0),0)=0,"",INDEX('كشف الحساب'!$B$4:$B$253,IFERROR(MATCH(127,'كشف الحساب'!$N$4:$N$253,0),0))),"")</f>
        <v/>
      </c>
      <c r="C131" s="65" t="str">
        <f>IFERROR(IF(IFERROR(MATCH(127,'كشف الحساب'!$N$4:$N$253,0),0)=0,"",INDEX('كشف الحساب'!$C$4:$C$253,IFERROR(MATCH(127,'كشف الحساب'!$N$4:$N$253,0),0))),"")</f>
        <v/>
      </c>
      <c r="D131" s="66" t="str">
        <f>IFERROR(IF(IFERROR(MATCH(127,'كشف الحساب'!$N$4:$N$253,0),0)=0,"",INDEX('كشف الحساب'!$D$4:$D$253,IFERROR(MATCH(127,'كشف الحساب'!$N$4:$N$253,0),0))),"")</f>
        <v/>
      </c>
      <c r="E131" s="67" t="str">
        <f>IFERROR(IF(IFERROR(MATCH(127,'كشف الحساب'!$N$4:$N$253,0),0)=0,"",INDEX('كشف الحساب'!$E$4:$E$253,IFERROR(MATCH(127,'كشف الحساب'!$N$4:$N$253,0),0))),"")</f>
        <v/>
      </c>
      <c r="F131" s="64" t="str">
        <f>IFERROR(IF(IFERROR(MATCH(127,'كشف الحساب'!$N$4:$N$253,0),0)=0,"",INDEX('كشف الحساب'!$F$4:$F$253,IFERROR(MATCH(127,'كشف الحساب'!$N$4:$N$253,0),0))),"")</f>
        <v/>
      </c>
      <c r="G131" s="64" t="str">
        <f>IFERROR(IF(IFERROR(MATCH(127,'كشف الحساب'!$N$4:$N$253,0),0)=0,"",INDEX('كشف الحساب'!$G$4:$G$253,IFERROR(MATCH(127,'كشف الحساب'!$N$4:$N$253,0),0))),"")</f>
        <v/>
      </c>
      <c r="H131" s="64" t="str">
        <f>IFERROR(IF(IFERROR(MATCH(127,'كشف الحساب'!$N$4:$N$253,0),0)=0,"",INDEX('كشف الحساب'!$H$4:$H$253,IFERROR(MATCH(127,'كشف الحساب'!$N$4:$N$253,0),0))),"")</f>
        <v/>
      </c>
      <c r="I131" s="64" t="str">
        <f>IFERROR(IF(IFERROR(MATCH(127,'كشف الحساب'!$N$4:$N$253,0),0)=0,"",INDEX('كشف الحساب'!$I$4:$I$253,IFERROR(MATCH(127,'كشف الحساب'!$N$4:$N$253,0),0))),"")</f>
        <v/>
      </c>
      <c r="J131" s="68" t="str">
        <f>IFERROR(IF(IFERROR(MATCH(127,'كشف الحساب'!$N$4:$N$253,0),0)=0,"",INDEX('كشف الحساب'!$J$4:$J$253,IFERROR(MATCH(127,'كشف الحساب'!$N$4:$N$253,0),0))),"")</f>
        <v/>
      </c>
      <c r="K131" s="64" t="str">
        <f>IFERROR(IF(IFERROR(MATCH(127,'كشف الحساب'!$N$4:$N$253,0),0)=0,"",INDEX('كشف الحساب'!$K$4:$K$253,IFERROR(MATCH(127,'كشف الحساب'!$N$4:$N$253,0),0))),"")</f>
        <v/>
      </c>
    </row>
    <row r="132" spans="1:11" ht="15" customHeight="1" x14ac:dyDescent="0.25">
      <c r="A132" s="69" t="str">
        <f>IFERROR(IF(IFERROR(MATCH(128,'كشف الحساب'!$N$4:$N$253,0),0)=0,"",INDEX('كشف الحساب'!$A$4:$A$253,IFERROR(MATCH(128,'كشف الحساب'!$N$4:$N$253,0),0))),"")</f>
        <v/>
      </c>
      <c r="B132" s="70" t="str">
        <f>IFERROR(IF(IFERROR(MATCH(128,'كشف الحساب'!$N$4:$N$253,0),0)=0,"",INDEX('كشف الحساب'!$B$4:$B$253,IFERROR(MATCH(128,'كشف الحساب'!$N$4:$N$253,0),0))),"")</f>
        <v/>
      </c>
      <c r="C132" s="71" t="str">
        <f>IFERROR(IF(IFERROR(MATCH(128,'كشف الحساب'!$N$4:$N$253,0),0)=0,"",INDEX('كشف الحساب'!$C$4:$C$253,IFERROR(MATCH(128,'كشف الحساب'!$N$4:$N$253,0),0))),"")</f>
        <v/>
      </c>
      <c r="D132" s="72" t="str">
        <f>IFERROR(IF(IFERROR(MATCH(128,'كشف الحساب'!$N$4:$N$253,0),0)=0,"",INDEX('كشف الحساب'!$D$4:$D$253,IFERROR(MATCH(128,'كشف الحساب'!$N$4:$N$253,0),0))),"")</f>
        <v/>
      </c>
      <c r="E132" s="73" t="str">
        <f>IFERROR(IF(IFERROR(MATCH(128,'كشف الحساب'!$N$4:$N$253,0),0)=0,"",INDEX('كشف الحساب'!$E$4:$E$253,IFERROR(MATCH(128,'كشف الحساب'!$N$4:$N$253,0),0))),"")</f>
        <v/>
      </c>
      <c r="F132" s="70" t="str">
        <f>IFERROR(IF(IFERROR(MATCH(128,'كشف الحساب'!$N$4:$N$253,0),0)=0,"",INDEX('كشف الحساب'!$F$4:$F$253,IFERROR(MATCH(128,'كشف الحساب'!$N$4:$N$253,0),0))),"")</f>
        <v/>
      </c>
      <c r="G132" s="70" t="str">
        <f>IFERROR(IF(IFERROR(MATCH(128,'كشف الحساب'!$N$4:$N$253,0),0)=0,"",INDEX('كشف الحساب'!$G$4:$G$253,IFERROR(MATCH(128,'كشف الحساب'!$N$4:$N$253,0),0))),"")</f>
        <v/>
      </c>
      <c r="H132" s="70" t="str">
        <f>IFERROR(IF(IFERROR(MATCH(128,'كشف الحساب'!$N$4:$N$253,0),0)=0,"",INDEX('كشف الحساب'!$H$4:$H$253,IFERROR(MATCH(128,'كشف الحساب'!$N$4:$N$253,0),0))),"")</f>
        <v/>
      </c>
      <c r="I132" s="70" t="str">
        <f>IFERROR(IF(IFERROR(MATCH(128,'كشف الحساب'!$N$4:$N$253,0),0)=0,"",INDEX('كشف الحساب'!$I$4:$I$253,IFERROR(MATCH(128,'كشف الحساب'!$N$4:$N$253,0),0))),"")</f>
        <v/>
      </c>
      <c r="J132" s="74" t="str">
        <f>IFERROR(IF(IFERROR(MATCH(128,'كشف الحساب'!$N$4:$N$253,0),0)=0,"",INDEX('كشف الحساب'!$J$4:$J$253,IFERROR(MATCH(128,'كشف الحساب'!$N$4:$N$253,0),0))),"")</f>
        <v/>
      </c>
      <c r="K132" s="70" t="str">
        <f>IFERROR(IF(IFERROR(MATCH(128,'كشف الحساب'!$N$4:$N$253,0),0)=0,"",INDEX('كشف الحساب'!$K$4:$K$253,IFERROR(MATCH(128,'كشف الحساب'!$N$4:$N$253,0),0))),"")</f>
        <v/>
      </c>
    </row>
    <row r="133" spans="1:11" ht="15" customHeight="1" x14ac:dyDescent="0.25">
      <c r="A133" s="63" t="str">
        <f>IFERROR(IF(IFERROR(MATCH(129,'كشف الحساب'!$N$4:$N$253,0),0)=0,"",INDEX('كشف الحساب'!$A$4:$A$253,IFERROR(MATCH(129,'كشف الحساب'!$N$4:$N$253,0),0))),"")</f>
        <v/>
      </c>
      <c r="B133" s="64" t="str">
        <f>IFERROR(IF(IFERROR(MATCH(129,'كشف الحساب'!$N$4:$N$253,0),0)=0,"",INDEX('كشف الحساب'!$B$4:$B$253,IFERROR(MATCH(129,'كشف الحساب'!$N$4:$N$253,0),0))),"")</f>
        <v/>
      </c>
      <c r="C133" s="65" t="str">
        <f>IFERROR(IF(IFERROR(MATCH(129,'كشف الحساب'!$N$4:$N$253,0),0)=0,"",INDEX('كشف الحساب'!$C$4:$C$253,IFERROR(MATCH(129,'كشف الحساب'!$N$4:$N$253,0),0))),"")</f>
        <v/>
      </c>
      <c r="D133" s="66" t="str">
        <f>IFERROR(IF(IFERROR(MATCH(129,'كشف الحساب'!$N$4:$N$253,0),0)=0,"",INDEX('كشف الحساب'!$D$4:$D$253,IFERROR(MATCH(129,'كشف الحساب'!$N$4:$N$253,0),0))),"")</f>
        <v/>
      </c>
      <c r="E133" s="67" t="str">
        <f>IFERROR(IF(IFERROR(MATCH(129,'كشف الحساب'!$N$4:$N$253,0),0)=0,"",INDEX('كشف الحساب'!$E$4:$E$253,IFERROR(MATCH(129,'كشف الحساب'!$N$4:$N$253,0),0))),"")</f>
        <v/>
      </c>
      <c r="F133" s="64" t="str">
        <f>IFERROR(IF(IFERROR(MATCH(129,'كشف الحساب'!$N$4:$N$253,0),0)=0,"",INDEX('كشف الحساب'!$F$4:$F$253,IFERROR(MATCH(129,'كشف الحساب'!$N$4:$N$253,0),0))),"")</f>
        <v/>
      </c>
      <c r="G133" s="64" t="str">
        <f>IFERROR(IF(IFERROR(MATCH(129,'كشف الحساب'!$N$4:$N$253,0),0)=0,"",INDEX('كشف الحساب'!$G$4:$G$253,IFERROR(MATCH(129,'كشف الحساب'!$N$4:$N$253,0),0))),"")</f>
        <v/>
      </c>
      <c r="H133" s="64" t="str">
        <f>IFERROR(IF(IFERROR(MATCH(129,'كشف الحساب'!$N$4:$N$253,0),0)=0,"",INDEX('كشف الحساب'!$H$4:$H$253,IFERROR(MATCH(129,'كشف الحساب'!$N$4:$N$253,0),0))),"")</f>
        <v/>
      </c>
      <c r="I133" s="64" t="str">
        <f>IFERROR(IF(IFERROR(MATCH(129,'كشف الحساب'!$N$4:$N$253,0),0)=0,"",INDEX('كشف الحساب'!$I$4:$I$253,IFERROR(MATCH(129,'كشف الحساب'!$N$4:$N$253,0),0))),"")</f>
        <v/>
      </c>
      <c r="J133" s="68" t="str">
        <f>IFERROR(IF(IFERROR(MATCH(129,'كشف الحساب'!$N$4:$N$253,0),0)=0,"",INDEX('كشف الحساب'!$J$4:$J$253,IFERROR(MATCH(129,'كشف الحساب'!$N$4:$N$253,0),0))),"")</f>
        <v/>
      </c>
      <c r="K133" s="64" t="str">
        <f>IFERROR(IF(IFERROR(MATCH(129,'كشف الحساب'!$N$4:$N$253,0),0)=0,"",INDEX('كشف الحساب'!$K$4:$K$253,IFERROR(MATCH(129,'كشف الحساب'!$N$4:$N$253,0),0))),"")</f>
        <v/>
      </c>
    </row>
    <row r="134" spans="1:11" ht="15" customHeight="1" x14ac:dyDescent="0.25">
      <c r="A134" s="69" t="str">
        <f>IFERROR(IF(IFERROR(MATCH(130,'كشف الحساب'!$N$4:$N$253,0),0)=0,"",INDEX('كشف الحساب'!$A$4:$A$253,IFERROR(MATCH(130,'كشف الحساب'!$N$4:$N$253,0),0))),"")</f>
        <v/>
      </c>
      <c r="B134" s="70" t="str">
        <f>IFERROR(IF(IFERROR(MATCH(130,'كشف الحساب'!$N$4:$N$253,0),0)=0,"",INDEX('كشف الحساب'!$B$4:$B$253,IFERROR(MATCH(130,'كشف الحساب'!$N$4:$N$253,0),0))),"")</f>
        <v/>
      </c>
      <c r="C134" s="71" t="str">
        <f>IFERROR(IF(IFERROR(MATCH(130,'كشف الحساب'!$N$4:$N$253,0),0)=0,"",INDEX('كشف الحساب'!$C$4:$C$253,IFERROR(MATCH(130,'كشف الحساب'!$N$4:$N$253,0),0))),"")</f>
        <v/>
      </c>
      <c r="D134" s="72" t="str">
        <f>IFERROR(IF(IFERROR(MATCH(130,'كشف الحساب'!$N$4:$N$253,0),0)=0,"",INDEX('كشف الحساب'!$D$4:$D$253,IFERROR(MATCH(130,'كشف الحساب'!$N$4:$N$253,0),0))),"")</f>
        <v/>
      </c>
      <c r="E134" s="73" t="str">
        <f>IFERROR(IF(IFERROR(MATCH(130,'كشف الحساب'!$N$4:$N$253,0),0)=0,"",INDEX('كشف الحساب'!$E$4:$E$253,IFERROR(MATCH(130,'كشف الحساب'!$N$4:$N$253,0),0))),"")</f>
        <v/>
      </c>
      <c r="F134" s="70" t="str">
        <f>IFERROR(IF(IFERROR(MATCH(130,'كشف الحساب'!$N$4:$N$253,0),0)=0,"",INDEX('كشف الحساب'!$F$4:$F$253,IFERROR(MATCH(130,'كشف الحساب'!$N$4:$N$253,0),0))),"")</f>
        <v/>
      </c>
      <c r="G134" s="70" t="str">
        <f>IFERROR(IF(IFERROR(MATCH(130,'كشف الحساب'!$N$4:$N$253,0),0)=0,"",INDEX('كشف الحساب'!$G$4:$G$253,IFERROR(MATCH(130,'كشف الحساب'!$N$4:$N$253,0),0))),"")</f>
        <v/>
      </c>
      <c r="H134" s="70" t="str">
        <f>IFERROR(IF(IFERROR(MATCH(130,'كشف الحساب'!$N$4:$N$253,0),0)=0,"",INDEX('كشف الحساب'!$H$4:$H$253,IFERROR(MATCH(130,'كشف الحساب'!$N$4:$N$253,0),0))),"")</f>
        <v/>
      </c>
      <c r="I134" s="70" t="str">
        <f>IFERROR(IF(IFERROR(MATCH(130,'كشف الحساب'!$N$4:$N$253,0),0)=0,"",INDEX('كشف الحساب'!$I$4:$I$253,IFERROR(MATCH(130,'كشف الحساب'!$N$4:$N$253,0),0))),"")</f>
        <v/>
      </c>
      <c r="J134" s="74" t="str">
        <f>IFERROR(IF(IFERROR(MATCH(130,'كشف الحساب'!$N$4:$N$253,0),0)=0,"",INDEX('كشف الحساب'!$J$4:$J$253,IFERROR(MATCH(130,'كشف الحساب'!$N$4:$N$253,0),0))),"")</f>
        <v/>
      </c>
      <c r="K134" s="70" t="str">
        <f>IFERROR(IF(IFERROR(MATCH(130,'كشف الحساب'!$N$4:$N$253,0),0)=0,"",INDEX('كشف الحساب'!$K$4:$K$253,IFERROR(MATCH(130,'كشف الحساب'!$N$4:$N$253,0),0))),"")</f>
        <v/>
      </c>
    </row>
    <row r="135" spans="1:11" ht="15" customHeight="1" x14ac:dyDescent="0.25">
      <c r="A135" s="63" t="str">
        <f>IFERROR(IF(IFERROR(MATCH(131,'كشف الحساب'!$N$4:$N$253,0),0)=0,"",INDEX('كشف الحساب'!$A$4:$A$253,IFERROR(MATCH(131,'كشف الحساب'!$N$4:$N$253,0),0))),"")</f>
        <v/>
      </c>
      <c r="B135" s="64" t="str">
        <f>IFERROR(IF(IFERROR(MATCH(131,'كشف الحساب'!$N$4:$N$253,0),0)=0,"",INDEX('كشف الحساب'!$B$4:$B$253,IFERROR(MATCH(131,'كشف الحساب'!$N$4:$N$253,0),0))),"")</f>
        <v/>
      </c>
      <c r="C135" s="65" t="str">
        <f>IFERROR(IF(IFERROR(MATCH(131,'كشف الحساب'!$N$4:$N$253,0),0)=0,"",INDEX('كشف الحساب'!$C$4:$C$253,IFERROR(MATCH(131,'كشف الحساب'!$N$4:$N$253,0),0))),"")</f>
        <v/>
      </c>
      <c r="D135" s="66" t="str">
        <f>IFERROR(IF(IFERROR(MATCH(131,'كشف الحساب'!$N$4:$N$253,0),0)=0,"",INDEX('كشف الحساب'!$D$4:$D$253,IFERROR(MATCH(131,'كشف الحساب'!$N$4:$N$253,0),0))),"")</f>
        <v/>
      </c>
      <c r="E135" s="67" t="str">
        <f>IFERROR(IF(IFERROR(MATCH(131,'كشف الحساب'!$N$4:$N$253,0),0)=0,"",INDEX('كشف الحساب'!$E$4:$E$253,IFERROR(MATCH(131,'كشف الحساب'!$N$4:$N$253,0),0))),"")</f>
        <v/>
      </c>
      <c r="F135" s="64" t="str">
        <f>IFERROR(IF(IFERROR(MATCH(131,'كشف الحساب'!$N$4:$N$253,0),0)=0,"",INDEX('كشف الحساب'!$F$4:$F$253,IFERROR(MATCH(131,'كشف الحساب'!$N$4:$N$253,0),0))),"")</f>
        <v/>
      </c>
      <c r="G135" s="64" t="str">
        <f>IFERROR(IF(IFERROR(MATCH(131,'كشف الحساب'!$N$4:$N$253,0),0)=0,"",INDEX('كشف الحساب'!$G$4:$G$253,IFERROR(MATCH(131,'كشف الحساب'!$N$4:$N$253,0),0))),"")</f>
        <v/>
      </c>
      <c r="H135" s="64" t="str">
        <f>IFERROR(IF(IFERROR(MATCH(131,'كشف الحساب'!$N$4:$N$253,0),0)=0,"",INDEX('كشف الحساب'!$H$4:$H$253,IFERROR(MATCH(131,'كشف الحساب'!$N$4:$N$253,0),0))),"")</f>
        <v/>
      </c>
      <c r="I135" s="64" t="str">
        <f>IFERROR(IF(IFERROR(MATCH(131,'كشف الحساب'!$N$4:$N$253,0),0)=0,"",INDEX('كشف الحساب'!$I$4:$I$253,IFERROR(MATCH(131,'كشف الحساب'!$N$4:$N$253,0),0))),"")</f>
        <v/>
      </c>
      <c r="J135" s="68" t="str">
        <f>IFERROR(IF(IFERROR(MATCH(131,'كشف الحساب'!$N$4:$N$253,0),0)=0,"",INDEX('كشف الحساب'!$J$4:$J$253,IFERROR(MATCH(131,'كشف الحساب'!$N$4:$N$253,0),0))),"")</f>
        <v/>
      </c>
      <c r="K135" s="64" t="str">
        <f>IFERROR(IF(IFERROR(MATCH(131,'كشف الحساب'!$N$4:$N$253,0),0)=0,"",INDEX('كشف الحساب'!$K$4:$K$253,IFERROR(MATCH(131,'كشف الحساب'!$N$4:$N$253,0),0))),"")</f>
        <v/>
      </c>
    </row>
    <row r="136" spans="1:11" ht="15" customHeight="1" x14ac:dyDescent="0.25">
      <c r="A136" s="69" t="str">
        <f>IFERROR(IF(IFERROR(MATCH(132,'كشف الحساب'!$N$4:$N$253,0),0)=0,"",INDEX('كشف الحساب'!$A$4:$A$253,IFERROR(MATCH(132,'كشف الحساب'!$N$4:$N$253,0),0))),"")</f>
        <v/>
      </c>
      <c r="B136" s="70" t="str">
        <f>IFERROR(IF(IFERROR(MATCH(132,'كشف الحساب'!$N$4:$N$253,0),0)=0,"",INDEX('كشف الحساب'!$B$4:$B$253,IFERROR(MATCH(132,'كشف الحساب'!$N$4:$N$253,0),0))),"")</f>
        <v/>
      </c>
      <c r="C136" s="71" t="str">
        <f>IFERROR(IF(IFERROR(MATCH(132,'كشف الحساب'!$N$4:$N$253,0),0)=0,"",INDEX('كشف الحساب'!$C$4:$C$253,IFERROR(MATCH(132,'كشف الحساب'!$N$4:$N$253,0),0))),"")</f>
        <v/>
      </c>
      <c r="D136" s="72" t="str">
        <f>IFERROR(IF(IFERROR(MATCH(132,'كشف الحساب'!$N$4:$N$253,0),0)=0,"",INDEX('كشف الحساب'!$D$4:$D$253,IFERROR(MATCH(132,'كشف الحساب'!$N$4:$N$253,0),0))),"")</f>
        <v/>
      </c>
      <c r="E136" s="73" t="str">
        <f>IFERROR(IF(IFERROR(MATCH(132,'كشف الحساب'!$N$4:$N$253,0),0)=0,"",INDEX('كشف الحساب'!$E$4:$E$253,IFERROR(MATCH(132,'كشف الحساب'!$N$4:$N$253,0),0))),"")</f>
        <v/>
      </c>
      <c r="F136" s="70" t="str">
        <f>IFERROR(IF(IFERROR(MATCH(132,'كشف الحساب'!$N$4:$N$253,0),0)=0,"",INDEX('كشف الحساب'!$F$4:$F$253,IFERROR(MATCH(132,'كشف الحساب'!$N$4:$N$253,0),0))),"")</f>
        <v/>
      </c>
      <c r="G136" s="70" t="str">
        <f>IFERROR(IF(IFERROR(MATCH(132,'كشف الحساب'!$N$4:$N$253,0),0)=0,"",INDEX('كشف الحساب'!$G$4:$G$253,IFERROR(MATCH(132,'كشف الحساب'!$N$4:$N$253,0),0))),"")</f>
        <v/>
      </c>
      <c r="H136" s="70" t="str">
        <f>IFERROR(IF(IFERROR(MATCH(132,'كشف الحساب'!$N$4:$N$253,0),0)=0,"",INDEX('كشف الحساب'!$H$4:$H$253,IFERROR(MATCH(132,'كشف الحساب'!$N$4:$N$253,0),0))),"")</f>
        <v/>
      </c>
      <c r="I136" s="70" t="str">
        <f>IFERROR(IF(IFERROR(MATCH(132,'كشف الحساب'!$N$4:$N$253,0),0)=0,"",INDEX('كشف الحساب'!$I$4:$I$253,IFERROR(MATCH(132,'كشف الحساب'!$N$4:$N$253,0),0))),"")</f>
        <v/>
      </c>
      <c r="J136" s="74" t="str">
        <f>IFERROR(IF(IFERROR(MATCH(132,'كشف الحساب'!$N$4:$N$253,0),0)=0,"",INDEX('كشف الحساب'!$J$4:$J$253,IFERROR(MATCH(132,'كشف الحساب'!$N$4:$N$253,0),0))),"")</f>
        <v/>
      </c>
      <c r="K136" s="70" t="str">
        <f>IFERROR(IF(IFERROR(MATCH(132,'كشف الحساب'!$N$4:$N$253,0),0)=0,"",INDEX('كشف الحساب'!$K$4:$K$253,IFERROR(MATCH(132,'كشف الحساب'!$N$4:$N$253,0),0))),"")</f>
        <v/>
      </c>
    </row>
    <row r="137" spans="1:11" ht="15" customHeight="1" x14ac:dyDescent="0.25">
      <c r="A137" s="63" t="str">
        <f>IFERROR(IF(IFERROR(MATCH(133,'كشف الحساب'!$N$4:$N$253,0),0)=0,"",INDEX('كشف الحساب'!$A$4:$A$253,IFERROR(MATCH(133,'كشف الحساب'!$N$4:$N$253,0),0))),"")</f>
        <v/>
      </c>
      <c r="B137" s="64" t="str">
        <f>IFERROR(IF(IFERROR(MATCH(133,'كشف الحساب'!$N$4:$N$253,0),0)=0,"",INDEX('كشف الحساب'!$B$4:$B$253,IFERROR(MATCH(133,'كشف الحساب'!$N$4:$N$253,0),0))),"")</f>
        <v/>
      </c>
      <c r="C137" s="65" t="str">
        <f>IFERROR(IF(IFERROR(MATCH(133,'كشف الحساب'!$N$4:$N$253,0),0)=0,"",INDEX('كشف الحساب'!$C$4:$C$253,IFERROR(MATCH(133,'كشف الحساب'!$N$4:$N$253,0),0))),"")</f>
        <v/>
      </c>
      <c r="D137" s="66" t="str">
        <f>IFERROR(IF(IFERROR(MATCH(133,'كشف الحساب'!$N$4:$N$253,0),0)=0,"",INDEX('كشف الحساب'!$D$4:$D$253,IFERROR(MATCH(133,'كشف الحساب'!$N$4:$N$253,0),0))),"")</f>
        <v/>
      </c>
      <c r="E137" s="67" t="str">
        <f>IFERROR(IF(IFERROR(MATCH(133,'كشف الحساب'!$N$4:$N$253,0),0)=0,"",INDEX('كشف الحساب'!$E$4:$E$253,IFERROR(MATCH(133,'كشف الحساب'!$N$4:$N$253,0),0))),"")</f>
        <v/>
      </c>
      <c r="F137" s="64" t="str">
        <f>IFERROR(IF(IFERROR(MATCH(133,'كشف الحساب'!$N$4:$N$253,0),0)=0,"",INDEX('كشف الحساب'!$F$4:$F$253,IFERROR(MATCH(133,'كشف الحساب'!$N$4:$N$253,0),0))),"")</f>
        <v/>
      </c>
      <c r="G137" s="64" t="str">
        <f>IFERROR(IF(IFERROR(MATCH(133,'كشف الحساب'!$N$4:$N$253,0),0)=0,"",INDEX('كشف الحساب'!$G$4:$G$253,IFERROR(MATCH(133,'كشف الحساب'!$N$4:$N$253,0),0))),"")</f>
        <v/>
      </c>
      <c r="H137" s="64" t="str">
        <f>IFERROR(IF(IFERROR(MATCH(133,'كشف الحساب'!$N$4:$N$253,0),0)=0,"",INDEX('كشف الحساب'!$H$4:$H$253,IFERROR(MATCH(133,'كشف الحساب'!$N$4:$N$253,0),0))),"")</f>
        <v/>
      </c>
      <c r="I137" s="64" t="str">
        <f>IFERROR(IF(IFERROR(MATCH(133,'كشف الحساب'!$N$4:$N$253,0),0)=0,"",INDEX('كشف الحساب'!$I$4:$I$253,IFERROR(MATCH(133,'كشف الحساب'!$N$4:$N$253,0),0))),"")</f>
        <v/>
      </c>
      <c r="J137" s="68" t="str">
        <f>IFERROR(IF(IFERROR(MATCH(133,'كشف الحساب'!$N$4:$N$253,0),0)=0,"",INDEX('كشف الحساب'!$J$4:$J$253,IFERROR(MATCH(133,'كشف الحساب'!$N$4:$N$253,0),0))),"")</f>
        <v/>
      </c>
      <c r="K137" s="64" t="str">
        <f>IFERROR(IF(IFERROR(MATCH(133,'كشف الحساب'!$N$4:$N$253,0),0)=0,"",INDEX('كشف الحساب'!$K$4:$K$253,IFERROR(MATCH(133,'كشف الحساب'!$N$4:$N$253,0),0))),"")</f>
        <v/>
      </c>
    </row>
    <row r="138" spans="1:11" ht="15" customHeight="1" x14ac:dyDescent="0.25">
      <c r="A138" s="69" t="str">
        <f>IFERROR(IF(IFERROR(MATCH(134,'كشف الحساب'!$N$4:$N$253,0),0)=0,"",INDEX('كشف الحساب'!$A$4:$A$253,IFERROR(MATCH(134,'كشف الحساب'!$N$4:$N$253,0),0))),"")</f>
        <v/>
      </c>
      <c r="B138" s="70" t="str">
        <f>IFERROR(IF(IFERROR(MATCH(134,'كشف الحساب'!$N$4:$N$253,0),0)=0,"",INDEX('كشف الحساب'!$B$4:$B$253,IFERROR(MATCH(134,'كشف الحساب'!$N$4:$N$253,0),0))),"")</f>
        <v/>
      </c>
      <c r="C138" s="71" t="str">
        <f>IFERROR(IF(IFERROR(MATCH(134,'كشف الحساب'!$N$4:$N$253,0),0)=0,"",INDEX('كشف الحساب'!$C$4:$C$253,IFERROR(MATCH(134,'كشف الحساب'!$N$4:$N$253,0),0))),"")</f>
        <v/>
      </c>
      <c r="D138" s="72" t="str">
        <f>IFERROR(IF(IFERROR(MATCH(134,'كشف الحساب'!$N$4:$N$253,0),0)=0,"",INDEX('كشف الحساب'!$D$4:$D$253,IFERROR(MATCH(134,'كشف الحساب'!$N$4:$N$253,0),0))),"")</f>
        <v/>
      </c>
      <c r="E138" s="73" t="str">
        <f>IFERROR(IF(IFERROR(MATCH(134,'كشف الحساب'!$N$4:$N$253,0),0)=0,"",INDEX('كشف الحساب'!$E$4:$E$253,IFERROR(MATCH(134,'كشف الحساب'!$N$4:$N$253,0),0))),"")</f>
        <v/>
      </c>
      <c r="F138" s="70" t="str">
        <f>IFERROR(IF(IFERROR(MATCH(134,'كشف الحساب'!$N$4:$N$253,0),0)=0,"",INDEX('كشف الحساب'!$F$4:$F$253,IFERROR(MATCH(134,'كشف الحساب'!$N$4:$N$253,0),0))),"")</f>
        <v/>
      </c>
      <c r="G138" s="70" t="str">
        <f>IFERROR(IF(IFERROR(MATCH(134,'كشف الحساب'!$N$4:$N$253,0),0)=0,"",INDEX('كشف الحساب'!$G$4:$G$253,IFERROR(MATCH(134,'كشف الحساب'!$N$4:$N$253,0),0))),"")</f>
        <v/>
      </c>
      <c r="H138" s="70" t="str">
        <f>IFERROR(IF(IFERROR(MATCH(134,'كشف الحساب'!$N$4:$N$253,0),0)=0,"",INDEX('كشف الحساب'!$H$4:$H$253,IFERROR(MATCH(134,'كشف الحساب'!$N$4:$N$253,0),0))),"")</f>
        <v/>
      </c>
      <c r="I138" s="70" t="str">
        <f>IFERROR(IF(IFERROR(MATCH(134,'كشف الحساب'!$N$4:$N$253,0),0)=0,"",INDEX('كشف الحساب'!$I$4:$I$253,IFERROR(MATCH(134,'كشف الحساب'!$N$4:$N$253,0),0))),"")</f>
        <v/>
      </c>
      <c r="J138" s="74" t="str">
        <f>IFERROR(IF(IFERROR(MATCH(134,'كشف الحساب'!$N$4:$N$253,0),0)=0,"",INDEX('كشف الحساب'!$J$4:$J$253,IFERROR(MATCH(134,'كشف الحساب'!$N$4:$N$253,0),0))),"")</f>
        <v/>
      </c>
      <c r="K138" s="70" t="str">
        <f>IFERROR(IF(IFERROR(MATCH(134,'كشف الحساب'!$N$4:$N$253,0),0)=0,"",INDEX('كشف الحساب'!$K$4:$K$253,IFERROR(MATCH(134,'كشف الحساب'!$N$4:$N$253,0),0))),"")</f>
        <v/>
      </c>
    </row>
    <row r="139" spans="1:11" ht="15" customHeight="1" x14ac:dyDescent="0.25">
      <c r="A139" s="63" t="str">
        <f>IFERROR(IF(IFERROR(MATCH(135,'كشف الحساب'!$N$4:$N$253,0),0)=0,"",INDEX('كشف الحساب'!$A$4:$A$253,IFERROR(MATCH(135,'كشف الحساب'!$N$4:$N$253,0),0))),"")</f>
        <v/>
      </c>
      <c r="B139" s="64" t="str">
        <f>IFERROR(IF(IFERROR(MATCH(135,'كشف الحساب'!$N$4:$N$253,0),0)=0,"",INDEX('كشف الحساب'!$B$4:$B$253,IFERROR(MATCH(135,'كشف الحساب'!$N$4:$N$253,0),0))),"")</f>
        <v/>
      </c>
      <c r="C139" s="65" t="str">
        <f>IFERROR(IF(IFERROR(MATCH(135,'كشف الحساب'!$N$4:$N$253,0),0)=0,"",INDEX('كشف الحساب'!$C$4:$C$253,IFERROR(MATCH(135,'كشف الحساب'!$N$4:$N$253,0),0))),"")</f>
        <v/>
      </c>
      <c r="D139" s="66" t="str">
        <f>IFERROR(IF(IFERROR(MATCH(135,'كشف الحساب'!$N$4:$N$253,0),0)=0,"",INDEX('كشف الحساب'!$D$4:$D$253,IFERROR(MATCH(135,'كشف الحساب'!$N$4:$N$253,0),0))),"")</f>
        <v/>
      </c>
      <c r="E139" s="67" t="str">
        <f>IFERROR(IF(IFERROR(MATCH(135,'كشف الحساب'!$N$4:$N$253,0),0)=0,"",INDEX('كشف الحساب'!$E$4:$E$253,IFERROR(MATCH(135,'كشف الحساب'!$N$4:$N$253,0),0))),"")</f>
        <v/>
      </c>
      <c r="F139" s="64" t="str">
        <f>IFERROR(IF(IFERROR(MATCH(135,'كشف الحساب'!$N$4:$N$253,0),0)=0,"",INDEX('كشف الحساب'!$F$4:$F$253,IFERROR(MATCH(135,'كشف الحساب'!$N$4:$N$253,0),0))),"")</f>
        <v/>
      </c>
      <c r="G139" s="64" t="str">
        <f>IFERROR(IF(IFERROR(MATCH(135,'كشف الحساب'!$N$4:$N$253,0),0)=0,"",INDEX('كشف الحساب'!$G$4:$G$253,IFERROR(MATCH(135,'كشف الحساب'!$N$4:$N$253,0),0))),"")</f>
        <v/>
      </c>
      <c r="H139" s="64" t="str">
        <f>IFERROR(IF(IFERROR(MATCH(135,'كشف الحساب'!$N$4:$N$253,0),0)=0,"",INDEX('كشف الحساب'!$H$4:$H$253,IFERROR(MATCH(135,'كشف الحساب'!$N$4:$N$253,0),0))),"")</f>
        <v/>
      </c>
      <c r="I139" s="64" t="str">
        <f>IFERROR(IF(IFERROR(MATCH(135,'كشف الحساب'!$N$4:$N$253,0),0)=0,"",INDEX('كشف الحساب'!$I$4:$I$253,IFERROR(MATCH(135,'كشف الحساب'!$N$4:$N$253,0),0))),"")</f>
        <v/>
      </c>
      <c r="J139" s="68" t="str">
        <f>IFERROR(IF(IFERROR(MATCH(135,'كشف الحساب'!$N$4:$N$253,0),0)=0,"",INDEX('كشف الحساب'!$J$4:$J$253,IFERROR(MATCH(135,'كشف الحساب'!$N$4:$N$253,0),0))),"")</f>
        <v/>
      </c>
      <c r="K139" s="64" t="str">
        <f>IFERROR(IF(IFERROR(MATCH(135,'كشف الحساب'!$N$4:$N$253,0),0)=0,"",INDEX('كشف الحساب'!$K$4:$K$253,IFERROR(MATCH(135,'كشف الحساب'!$N$4:$N$253,0),0))),"")</f>
        <v/>
      </c>
    </row>
    <row r="140" spans="1:11" ht="15" customHeight="1" x14ac:dyDescent="0.25">
      <c r="A140" s="69" t="str">
        <f>IFERROR(IF(IFERROR(MATCH(136,'كشف الحساب'!$N$4:$N$253,0),0)=0,"",INDEX('كشف الحساب'!$A$4:$A$253,IFERROR(MATCH(136,'كشف الحساب'!$N$4:$N$253,0),0))),"")</f>
        <v/>
      </c>
      <c r="B140" s="70" t="str">
        <f>IFERROR(IF(IFERROR(MATCH(136,'كشف الحساب'!$N$4:$N$253,0),0)=0,"",INDEX('كشف الحساب'!$B$4:$B$253,IFERROR(MATCH(136,'كشف الحساب'!$N$4:$N$253,0),0))),"")</f>
        <v/>
      </c>
      <c r="C140" s="71" t="str">
        <f>IFERROR(IF(IFERROR(MATCH(136,'كشف الحساب'!$N$4:$N$253,0),0)=0,"",INDEX('كشف الحساب'!$C$4:$C$253,IFERROR(MATCH(136,'كشف الحساب'!$N$4:$N$253,0),0))),"")</f>
        <v/>
      </c>
      <c r="D140" s="72" t="str">
        <f>IFERROR(IF(IFERROR(MATCH(136,'كشف الحساب'!$N$4:$N$253,0),0)=0,"",INDEX('كشف الحساب'!$D$4:$D$253,IFERROR(MATCH(136,'كشف الحساب'!$N$4:$N$253,0),0))),"")</f>
        <v/>
      </c>
      <c r="E140" s="73" t="str">
        <f>IFERROR(IF(IFERROR(MATCH(136,'كشف الحساب'!$N$4:$N$253,0),0)=0,"",INDEX('كشف الحساب'!$E$4:$E$253,IFERROR(MATCH(136,'كشف الحساب'!$N$4:$N$253,0),0))),"")</f>
        <v/>
      </c>
      <c r="F140" s="70" t="str">
        <f>IFERROR(IF(IFERROR(MATCH(136,'كشف الحساب'!$N$4:$N$253,0),0)=0,"",INDEX('كشف الحساب'!$F$4:$F$253,IFERROR(MATCH(136,'كشف الحساب'!$N$4:$N$253,0),0))),"")</f>
        <v/>
      </c>
      <c r="G140" s="70" t="str">
        <f>IFERROR(IF(IFERROR(MATCH(136,'كشف الحساب'!$N$4:$N$253,0),0)=0,"",INDEX('كشف الحساب'!$G$4:$G$253,IFERROR(MATCH(136,'كشف الحساب'!$N$4:$N$253,0),0))),"")</f>
        <v/>
      </c>
      <c r="H140" s="70" t="str">
        <f>IFERROR(IF(IFERROR(MATCH(136,'كشف الحساب'!$N$4:$N$253,0),0)=0,"",INDEX('كشف الحساب'!$H$4:$H$253,IFERROR(MATCH(136,'كشف الحساب'!$N$4:$N$253,0),0))),"")</f>
        <v/>
      </c>
      <c r="I140" s="70" t="str">
        <f>IFERROR(IF(IFERROR(MATCH(136,'كشف الحساب'!$N$4:$N$253,0),0)=0,"",INDEX('كشف الحساب'!$I$4:$I$253,IFERROR(MATCH(136,'كشف الحساب'!$N$4:$N$253,0),0))),"")</f>
        <v/>
      </c>
      <c r="J140" s="74" t="str">
        <f>IFERROR(IF(IFERROR(MATCH(136,'كشف الحساب'!$N$4:$N$253,0),0)=0,"",INDEX('كشف الحساب'!$J$4:$J$253,IFERROR(MATCH(136,'كشف الحساب'!$N$4:$N$253,0),0))),"")</f>
        <v/>
      </c>
      <c r="K140" s="70" t="str">
        <f>IFERROR(IF(IFERROR(MATCH(136,'كشف الحساب'!$N$4:$N$253,0),0)=0,"",INDEX('كشف الحساب'!$K$4:$K$253,IFERROR(MATCH(136,'كشف الحساب'!$N$4:$N$253,0),0))),"")</f>
        <v/>
      </c>
    </row>
    <row r="141" spans="1:11" ht="15" customHeight="1" x14ac:dyDescent="0.25">
      <c r="A141" s="63" t="str">
        <f>IFERROR(IF(IFERROR(MATCH(137,'كشف الحساب'!$N$4:$N$253,0),0)=0,"",INDEX('كشف الحساب'!$A$4:$A$253,IFERROR(MATCH(137,'كشف الحساب'!$N$4:$N$253,0),0))),"")</f>
        <v/>
      </c>
      <c r="B141" s="64" t="str">
        <f>IFERROR(IF(IFERROR(MATCH(137,'كشف الحساب'!$N$4:$N$253,0),0)=0,"",INDEX('كشف الحساب'!$B$4:$B$253,IFERROR(MATCH(137,'كشف الحساب'!$N$4:$N$253,0),0))),"")</f>
        <v/>
      </c>
      <c r="C141" s="65" t="str">
        <f>IFERROR(IF(IFERROR(MATCH(137,'كشف الحساب'!$N$4:$N$253,0),0)=0,"",INDEX('كشف الحساب'!$C$4:$C$253,IFERROR(MATCH(137,'كشف الحساب'!$N$4:$N$253,0),0))),"")</f>
        <v/>
      </c>
      <c r="D141" s="66" t="str">
        <f>IFERROR(IF(IFERROR(MATCH(137,'كشف الحساب'!$N$4:$N$253,0),0)=0,"",INDEX('كشف الحساب'!$D$4:$D$253,IFERROR(MATCH(137,'كشف الحساب'!$N$4:$N$253,0),0))),"")</f>
        <v/>
      </c>
      <c r="E141" s="67" t="str">
        <f>IFERROR(IF(IFERROR(MATCH(137,'كشف الحساب'!$N$4:$N$253,0),0)=0,"",INDEX('كشف الحساب'!$E$4:$E$253,IFERROR(MATCH(137,'كشف الحساب'!$N$4:$N$253,0),0))),"")</f>
        <v/>
      </c>
      <c r="F141" s="64" t="str">
        <f>IFERROR(IF(IFERROR(MATCH(137,'كشف الحساب'!$N$4:$N$253,0),0)=0,"",INDEX('كشف الحساب'!$F$4:$F$253,IFERROR(MATCH(137,'كشف الحساب'!$N$4:$N$253,0),0))),"")</f>
        <v/>
      </c>
      <c r="G141" s="64" t="str">
        <f>IFERROR(IF(IFERROR(MATCH(137,'كشف الحساب'!$N$4:$N$253,0),0)=0,"",INDEX('كشف الحساب'!$G$4:$G$253,IFERROR(MATCH(137,'كشف الحساب'!$N$4:$N$253,0),0))),"")</f>
        <v/>
      </c>
      <c r="H141" s="64" t="str">
        <f>IFERROR(IF(IFERROR(MATCH(137,'كشف الحساب'!$N$4:$N$253,0),0)=0,"",INDEX('كشف الحساب'!$H$4:$H$253,IFERROR(MATCH(137,'كشف الحساب'!$N$4:$N$253,0),0))),"")</f>
        <v/>
      </c>
      <c r="I141" s="64" t="str">
        <f>IFERROR(IF(IFERROR(MATCH(137,'كشف الحساب'!$N$4:$N$253,0),0)=0,"",INDEX('كشف الحساب'!$I$4:$I$253,IFERROR(MATCH(137,'كشف الحساب'!$N$4:$N$253,0),0))),"")</f>
        <v/>
      </c>
      <c r="J141" s="68" t="str">
        <f>IFERROR(IF(IFERROR(MATCH(137,'كشف الحساب'!$N$4:$N$253,0),0)=0,"",INDEX('كشف الحساب'!$J$4:$J$253,IFERROR(MATCH(137,'كشف الحساب'!$N$4:$N$253,0),0))),"")</f>
        <v/>
      </c>
      <c r="K141" s="64" t="str">
        <f>IFERROR(IF(IFERROR(MATCH(137,'كشف الحساب'!$N$4:$N$253,0),0)=0,"",INDEX('كشف الحساب'!$K$4:$K$253,IFERROR(MATCH(137,'كشف الحساب'!$N$4:$N$253,0),0))),"")</f>
        <v/>
      </c>
    </row>
    <row r="142" spans="1:11" ht="15" customHeight="1" x14ac:dyDescent="0.25">
      <c r="A142" s="69" t="str">
        <f>IFERROR(IF(IFERROR(MATCH(138,'كشف الحساب'!$N$4:$N$253,0),0)=0,"",INDEX('كشف الحساب'!$A$4:$A$253,IFERROR(MATCH(138,'كشف الحساب'!$N$4:$N$253,0),0))),"")</f>
        <v/>
      </c>
      <c r="B142" s="70" t="str">
        <f>IFERROR(IF(IFERROR(MATCH(138,'كشف الحساب'!$N$4:$N$253,0),0)=0,"",INDEX('كشف الحساب'!$B$4:$B$253,IFERROR(MATCH(138,'كشف الحساب'!$N$4:$N$253,0),0))),"")</f>
        <v/>
      </c>
      <c r="C142" s="71" t="str">
        <f>IFERROR(IF(IFERROR(MATCH(138,'كشف الحساب'!$N$4:$N$253,0),0)=0,"",INDEX('كشف الحساب'!$C$4:$C$253,IFERROR(MATCH(138,'كشف الحساب'!$N$4:$N$253,0),0))),"")</f>
        <v/>
      </c>
      <c r="D142" s="72" t="str">
        <f>IFERROR(IF(IFERROR(MATCH(138,'كشف الحساب'!$N$4:$N$253,0),0)=0,"",INDEX('كشف الحساب'!$D$4:$D$253,IFERROR(MATCH(138,'كشف الحساب'!$N$4:$N$253,0),0))),"")</f>
        <v/>
      </c>
      <c r="E142" s="73" t="str">
        <f>IFERROR(IF(IFERROR(MATCH(138,'كشف الحساب'!$N$4:$N$253,0),0)=0,"",INDEX('كشف الحساب'!$E$4:$E$253,IFERROR(MATCH(138,'كشف الحساب'!$N$4:$N$253,0),0))),"")</f>
        <v/>
      </c>
      <c r="F142" s="70" t="str">
        <f>IFERROR(IF(IFERROR(MATCH(138,'كشف الحساب'!$N$4:$N$253,0),0)=0,"",INDEX('كشف الحساب'!$F$4:$F$253,IFERROR(MATCH(138,'كشف الحساب'!$N$4:$N$253,0),0))),"")</f>
        <v/>
      </c>
      <c r="G142" s="70" t="str">
        <f>IFERROR(IF(IFERROR(MATCH(138,'كشف الحساب'!$N$4:$N$253,0),0)=0,"",INDEX('كشف الحساب'!$G$4:$G$253,IFERROR(MATCH(138,'كشف الحساب'!$N$4:$N$253,0),0))),"")</f>
        <v/>
      </c>
      <c r="H142" s="70" t="str">
        <f>IFERROR(IF(IFERROR(MATCH(138,'كشف الحساب'!$N$4:$N$253,0),0)=0,"",INDEX('كشف الحساب'!$H$4:$H$253,IFERROR(MATCH(138,'كشف الحساب'!$N$4:$N$253,0),0))),"")</f>
        <v/>
      </c>
      <c r="I142" s="70" t="str">
        <f>IFERROR(IF(IFERROR(MATCH(138,'كشف الحساب'!$N$4:$N$253,0),0)=0,"",INDEX('كشف الحساب'!$I$4:$I$253,IFERROR(MATCH(138,'كشف الحساب'!$N$4:$N$253,0),0))),"")</f>
        <v/>
      </c>
      <c r="J142" s="74" t="str">
        <f>IFERROR(IF(IFERROR(MATCH(138,'كشف الحساب'!$N$4:$N$253,0),0)=0,"",INDEX('كشف الحساب'!$J$4:$J$253,IFERROR(MATCH(138,'كشف الحساب'!$N$4:$N$253,0),0))),"")</f>
        <v/>
      </c>
      <c r="K142" s="70" t="str">
        <f>IFERROR(IF(IFERROR(MATCH(138,'كشف الحساب'!$N$4:$N$253,0),0)=0,"",INDEX('كشف الحساب'!$K$4:$K$253,IFERROR(MATCH(138,'كشف الحساب'!$N$4:$N$253,0),0))),"")</f>
        <v/>
      </c>
    </row>
    <row r="143" spans="1:11" ht="15" customHeight="1" x14ac:dyDescent="0.25">
      <c r="A143" s="63" t="str">
        <f>IFERROR(IF(IFERROR(MATCH(139,'كشف الحساب'!$N$4:$N$253,0),0)=0,"",INDEX('كشف الحساب'!$A$4:$A$253,IFERROR(MATCH(139,'كشف الحساب'!$N$4:$N$253,0),0))),"")</f>
        <v/>
      </c>
      <c r="B143" s="64" t="str">
        <f>IFERROR(IF(IFERROR(MATCH(139,'كشف الحساب'!$N$4:$N$253,0),0)=0,"",INDEX('كشف الحساب'!$B$4:$B$253,IFERROR(MATCH(139,'كشف الحساب'!$N$4:$N$253,0),0))),"")</f>
        <v/>
      </c>
      <c r="C143" s="65" t="str">
        <f>IFERROR(IF(IFERROR(MATCH(139,'كشف الحساب'!$N$4:$N$253,0),0)=0,"",INDEX('كشف الحساب'!$C$4:$C$253,IFERROR(MATCH(139,'كشف الحساب'!$N$4:$N$253,0),0))),"")</f>
        <v/>
      </c>
      <c r="D143" s="66" t="str">
        <f>IFERROR(IF(IFERROR(MATCH(139,'كشف الحساب'!$N$4:$N$253,0),0)=0,"",INDEX('كشف الحساب'!$D$4:$D$253,IFERROR(MATCH(139,'كشف الحساب'!$N$4:$N$253,0),0))),"")</f>
        <v/>
      </c>
      <c r="E143" s="67" t="str">
        <f>IFERROR(IF(IFERROR(MATCH(139,'كشف الحساب'!$N$4:$N$253,0),0)=0,"",INDEX('كشف الحساب'!$E$4:$E$253,IFERROR(MATCH(139,'كشف الحساب'!$N$4:$N$253,0),0))),"")</f>
        <v/>
      </c>
      <c r="F143" s="64" t="str">
        <f>IFERROR(IF(IFERROR(MATCH(139,'كشف الحساب'!$N$4:$N$253,0),0)=0,"",INDEX('كشف الحساب'!$F$4:$F$253,IFERROR(MATCH(139,'كشف الحساب'!$N$4:$N$253,0),0))),"")</f>
        <v/>
      </c>
      <c r="G143" s="64" t="str">
        <f>IFERROR(IF(IFERROR(MATCH(139,'كشف الحساب'!$N$4:$N$253,0),0)=0,"",INDEX('كشف الحساب'!$G$4:$G$253,IFERROR(MATCH(139,'كشف الحساب'!$N$4:$N$253,0),0))),"")</f>
        <v/>
      </c>
      <c r="H143" s="64" t="str">
        <f>IFERROR(IF(IFERROR(MATCH(139,'كشف الحساب'!$N$4:$N$253,0),0)=0,"",INDEX('كشف الحساب'!$H$4:$H$253,IFERROR(MATCH(139,'كشف الحساب'!$N$4:$N$253,0),0))),"")</f>
        <v/>
      </c>
      <c r="I143" s="64" t="str">
        <f>IFERROR(IF(IFERROR(MATCH(139,'كشف الحساب'!$N$4:$N$253,0),0)=0,"",INDEX('كشف الحساب'!$I$4:$I$253,IFERROR(MATCH(139,'كشف الحساب'!$N$4:$N$253,0),0))),"")</f>
        <v/>
      </c>
      <c r="J143" s="68" t="str">
        <f>IFERROR(IF(IFERROR(MATCH(139,'كشف الحساب'!$N$4:$N$253,0),0)=0,"",INDEX('كشف الحساب'!$J$4:$J$253,IFERROR(MATCH(139,'كشف الحساب'!$N$4:$N$253,0),0))),"")</f>
        <v/>
      </c>
      <c r="K143" s="64" t="str">
        <f>IFERROR(IF(IFERROR(MATCH(139,'كشف الحساب'!$N$4:$N$253,0),0)=0,"",INDEX('كشف الحساب'!$K$4:$K$253,IFERROR(MATCH(139,'كشف الحساب'!$N$4:$N$253,0),0))),"")</f>
        <v/>
      </c>
    </row>
    <row r="144" spans="1:11" ht="15" customHeight="1" x14ac:dyDescent="0.25">
      <c r="A144" s="69" t="str">
        <f>IFERROR(IF(IFERROR(MATCH(140,'كشف الحساب'!$N$4:$N$253,0),0)=0,"",INDEX('كشف الحساب'!$A$4:$A$253,IFERROR(MATCH(140,'كشف الحساب'!$N$4:$N$253,0),0))),"")</f>
        <v/>
      </c>
      <c r="B144" s="70" t="str">
        <f>IFERROR(IF(IFERROR(MATCH(140,'كشف الحساب'!$N$4:$N$253,0),0)=0,"",INDEX('كشف الحساب'!$B$4:$B$253,IFERROR(MATCH(140,'كشف الحساب'!$N$4:$N$253,0),0))),"")</f>
        <v/>
      </c>
      <c r="C144" s="71" t="str">
        <f>IFERROR(IF(IFERROR(MATCH(140,'كشف الحساب'!$N$4:$N$253,0),0)=0,"",INDEX('كشف الحساب'!$C$4:$C$253,IFERROR(MATCH(140,'كشف الحساب'!$N$4:$N$253,0),0))),"")</f>
        <v/>
      </c>
      <c r="D144" s="72" t="str">
        <f>IFERROR(IF(IFERROR(MATCH(140,'كشف الحساب'!$N$4:$N$253,0),0)=0,"",INDEX('كشف الحساب'!$D$4:$D$253,IFERROR(MATCH(140,'كشف الحساب'!$N$4:$N$253,0),0))),"")</f>
        <v/>
      </c>
      <c r="E144" s="73" t="str">
        <f>IFERROR(IF(IFERROR(MATCH(140,'كشف الحساب'!$N$4:$N$253,0),0)=0,"",INDEX('كشف الحساب'!$E$4:$E$253,IFERROR(MATCH(140,'كشف الحساب'!$N$4:$N$253,0),0))),"")</f>
        <v/>
      </c>
      <c r="F144" s="70" t="str">
        <f>IFERROR(IF(IFERROR(MATCH(140,'كشف الحساب'!$N$4:$N$253,0),0)=0,"",INDEX('كشف الحساب'!$F$4:$F$253,IFERROR(MATCH(140,'كشف الحساب'!$N$4:$N$253,0),0))),"")</f>
        <v/>
      </c>
      <c r="G144" s="70" t="str">
        <f>IFERROR(IF(IFERROR(MATCH(140,'كشف الحساب'!$N$4:$N$253,0),0)=0,"",INDEX('كشف الحساب'!$G$4:$G$253,IFERROR(MATCH(140,'كشف الحساب'!$N$4:$N$253,0),0))),"")</f>
        <v/>
      </c>
      <c r="H144" s="70" t="str">
        <f>IFERROR(IF(IFERROR(MATCH(140,'كشف الحساب'!$N$4:$N$253,0),0)=0,"",INDEX('كشف الحساب'!$H$4:$H$253,IFERROR(MATCH(140,'كشف الحساب'!$N$4:$N$253,0),0))),"")</f>
        <v/>
      </c>
      <c r="I144" s="70" t="str">
        <f>IFERROR(IF(IFERROR(MATCH(140,'كشف الحساب'!$N$4:$N$253,0),0)=0,"",INDEX('كشف الحساب'!$I$4:$I$253,IFERROR(MATCH(140,'كشف الحساب'!$N$4:$N$253,0),0))),"")</f>
        <v/>
      </c>
      <c r="J144" s="74" t="str">
        <f>IFERROR(IF(IFERROR(MATCH(140,'كشف الحساب'!$N$4:$N$253,0),0)=0,"",INDEX('كشف الحساب'!$J$4:$J$253,IFERROR(MATCH(140,'كشف الحساب'!$N$4:$N$253,0),0))),"")</f>
        <v/>
      </c>
      <c r="K144" s="70" t="str">
        <f>IFERROR(IF(IFERROR(MATCH(140,'كشف الحساب'!$N$4:$N$253,0),0)=0,"",INDEX('كشف الحساب'!$K$4:$K$253,IFERROR(MATCH(140,'كشف الحساب'!$N$4:$N$253,0),0))),"")</f>
        <v/>
      </c>
    </row>
    <row r="145" spans="1:11" ht="15" customHeight="1" x14ac:dyDescent="0.25">
      <c r="A145" s="63" t="str">
        <f>IFERROR(IF(IFERROR(MATCH(141,'كشف الحساب'!$N$4:$N$253,0),0)=0,"",INDEX('كشف الحساب'!$A$4:$A$253,IFERROR(MATCH(141,'كشف الحساب'!$N$4:$N$253,0),0))),"")</f>
        <v/>
      </c>
      <c r="B145" s="64" t="str">
        <f>IFERROR(IF(IFERROR(MATCH(141,'كشف الحساب'!$N$4:$N$253,0),0)=0,"",INDEX('كشف الحساب'!$B$4:$B$253,IFERROR(MATCH(141,'كشف الحساب'!$N$4:$N$253,0),0))),"")</f>
        <v/>
      </c>
      <c r="C145" s="65" t="str">
        <f>IFERROR(IF(IFERROR(MATCH(141,'كشف الحساب'!$N$4:$N$253,0),0)=0,"",INDEX('كشف الحساب'!$C$4:$C$253,IFERROR(MATCH(141,'كشف الحساب'!$N$4:$N$253,0),0))),"")</f>
        <v/>
      </c>
      <c r="D145" s="66" t="str">
        <f>IFERROR(IF(IFERROR(MATCH(141,'كشف الحساب'!$N$4:$N$253,0),0)=0,"",INDEX('كشف الحساب'!$D$4:$D$253,IFERROR(MATCH(141,'كشف الحساب'!$N$4:$N$253,0),0))),"")</f>
        <v/>
      </c>
      <c r="E145" s="67" t="str">
        <f>IFERROR(IF(IFERROR(MATCH(141,'كشف الحساب'!$N$4:$N$253,0),0)=0,"",INDEX('كشف الحساب'!$E$4:$E$253,IFERROR(MATCH(141,'كشف الحساب'!$N$4:$N$253,0),0))),"")</f>
        <v/>
      </c>
      <c r="F145" s="64" t="str">
        <f>IFERROR(IF(IFERROR(MATCH(141,'كشف الحساب'!$N$4:$N$253,0),0)=0,"",INDEX('كشف الحساب'!$F$4:$F$253,IFERROR(MATCH(141,'كشف الحساب'!$N$4:$N$253,0),0))),"")</f>
        <v/>
      </c>
      <c r="G145" s="64" t="str">
        <f>IFERROR(IF(IFERROR(MATCH(141,'كشف الحساب'!$N$4:$N$253,0),0)=0,"",INDEX('كشف الحساب'!$G$4:$G$253,IFERROR(MATCH(141,'كشف الحساب'!$N$4:$N$253,0),0))),"")</f>
        <v/>
      </c>
      <c r="H145" s="64" t="str">
        <f>IFERROR(IF(IFERROR(MATCH(141,'كشف الحساب'!$N$4:$N$253,0),0)=0,"",INDEX('كشف الحساب'!$H$4:$H$253,IFERROR(MATCH(141,'كشف الحساب'!$N$4:$N$253,0),0))),"")</f>
        <v/>
      </c>
      <c r="I145" s="64" t="str">
        <f>IFERROR(IF(IFERROR(MATCH(141,'كشف الحساب'!$N$4:$N$253,0),0)=0,"",INDEX('كشف الحساب'!$I$4:$I$253,IFERROR(MATCH(141,'كشف الحساب'!$N$4:$N$253,0),0))),"")</f>
        <v/>
      </c>
      <c r="J145" s="68" t="str">
        <f>IFERROR(IF(IFERROR(MATCH(141,'كشف الحساب'!$N$4:$N$253,0),0)=0,"",INDEX('كشف الحساب'!$J$4:$J$253,IFERROR(MATCH(141,'كشف الحساب'!$N$4:$N$253,0),0))),"")</f>
        <v/>
      </c>
      <c r="K145" s="64" t="str">
        <f>IFERROR(IF(IFERROR(MATCH(141,'كشف الحساب'!$N$4:$N$253,0),0)=0,"",INDEX('كشف الحساب'!$K$4:$K$253,IFERROR(MATCH(141,'كشف الحساب'!$N$4:$N$253,0),0))),"")</f>
        <v/>
      </c>
    </row>
    <row r="146" spans="1:11" ht="15" customHeight="1" x14ac:dyDescent="0.25">
      <c r="A146" s="69" t="str">
        <f>IFERROR(IF(IFERROR(MATCH(142,'كشف الحساب'!$N$4:$N$253,0),0)=0,"",INDEX('كشف الحساب'!$A$4:$A$253,IFERROR(MATCH(142,'كشف الحساب'!$N$4:$N$253,0),0))),"")</f>
        <v/>
      </c>
      <c r="B146" s="70" t="str">
        <f>IFERROR(IF(IFERROR(MATCH(142,'كشف الحساب'!$N$4:$N$253,0),0)=0,"",INDEX('كشف الحساب'!$B$4:$B$253,IFERROR(MATCH(142,'كشف الحساب'!$N$4:$N$253,0),0))),"")</f>
        <v/>
      </c>
      <c r="C146" s="71" t="str">
        <f>IFERROR(IF(IFERROR(MATCH(142,'كشف الحساب'!$N$4:$N$253,0),0)=0,"",INDEX('كشف الحساب'!$C$4:$C$253,IFERROR(MATCH(142,'كشف الحساب'!$N$4:$N$253,0),0))),"")</f>
        <v/>
      </c>
      <c r="D146" s="72" t="str">
        <f>IFERROR(IF(IFERROR(MATCH(142,'كشف الحساب'!$N$4:$N$253,0),0)=0,"",INDEX('كشف الحساب'!$D$4:$D$253,IFERROR(MATCH(142,'كشف الحساب'!$N$4:$N$253,0),0))),"")</f>
        <v/>
      </c>
      <c r="E146" s="73" t="str">
        <f>IFERROR(IF(IFERROR(MATCH(142,'كشف الحساب'!$N$4:$N$253,0),0)=0,"",INDEX('كشف الحساب'!$E$4:$E$253,IFERROR(MATCH(142,'كشف الحساب'!$N$4:$N$253,0),0))),"")</f>
        <v/>
      </c>
      <c r="F146" s="70" t="str">
        <f>IFERROR(IF(IFERROR(MATCH(142,'كشف الحساب'!$N$4:$N$253,0),0)=0,"",INDEX('كشف الحساب'!$F$4:$F$253,IFERROR(MATCH(142,'كشف الحساب'!$N$4:$N$253,0),0))),"")</f>
        <v/>
      </c>
      <c r="G146" s="70" t="str">
        <f>IFERROR(IF(IFERROR(MATCH(142,'كشف الحساب'!$N$4:$N$253,0),0)=0,"",INDEX('كشف الحساب'!$G$4:$G$253,IFERROR(MATCH(142,'كشف الحساب'!$N$4:$N$253,0),0))),"")</f>
        <v/>
      </c>
      <c r="H146" s="70" t="str">
        <f>IFERROR(IF(IFERROR(MATCH(142,'كشف الحساب'!$N$4:$N$253,0),0)=0,"",INDEX('كشف الحساب'!$H$4:$H$253,IFERROR(MATCH(142,'كشف الحساب'!$N$4:$N$253,0),0))),"")</f>
        <v/>
      </c>
      <c r="I146" s="70" t="str">
        <f>IFERROR(IF(IFERROR(MATCH(142,'كشف الحساب'!$N$4:$N$253,0),0)=0,"",INDEX('كشف الحساب'!$I$4:$I$253,IFERROR(MATCH(142,'كشف الحساب'!$N$4:$N$253,0),0))),"")</f>
        <v/>
      </c>
      <c r="J146" s="74" t="str">
        <f>IFERROR(IF(IFERROR(MATCH(142,'كشف الحساب'!$N$4:$N$253,0),0)=0,"",INDEX('كشف الحساب'!$J$4:$J$253,IFERROR(MATCH(142,'كشف الحساب'!$N$4:$N$253,0),0))),"")</f>
        <v/>
      </c>
      <c r="K146" s="70" t="str">
        <f>IFERROR(IF(IFERROR(MATCH(142,'كشف الحساب'!$N$4:$N$253,0),0)=0,"",INDEX('كشف الحساب'!$K$4:$K$253,IFERROR(MATCH(142,'كشف الحساب'!$N$4:$N$253,0),0))),"")</f>
        <v/>
      </c>
    </row>
    <row r="147" spans="1:11" ht="15" customHeight="1" x14ac:dyDescent="0.25">
      <c r="A147" s="63" t="str">
        <f>IFERROR(IF(IFERROR(MATCH(143,'كشف الحساب'!$N$4:$N$253,0),0)=0,"",INDEX('كشف الحساب'!$A$4:$A$253,IFERROR(MATCH(143,'كشف الحساب'!$N$4:$N$253,0),0))),"")</f>
        <v/>
      </c>
      <c r="B147" s="64" t="str">
        <f>IFERROR(IF(IFERROR(MATCH(143,'كشف الحساب'!$N$4:$N$253,0),0)=0,"",INDEX('كشف الحساب'!$B$4:$B$253,IFERROR(MATCH(143,'كشف الحساب'!$N$4:$N$253,0),0))),"")</f>
        <v/>
      </c>
      <c r="C147" s="65" t="str">
        <f>IFERROR(IF(IFERROR(MATCH(143,'كشف الحساب'!$N$4:$N$253,0),0)=0,"",INDEX('كشف الحساب'!$C$4:$C$253,IFERROR(MATCH(143,'كشف الحساب'!$N$4:$N$253,0),0))),"")</f>
        <v/>
      </c>
      <c r="D147" s="66" t="str">
        <f>IFERROR(IF(IFERROR(MATCH(143,'كشف الحساب'!$N$4:$N$253,0),0)=0,"",INDEX('كشف الحساب'!$D$4:$D$253,IFERROR(MATCH(143,'كشف الحساب'!$N$4:$N$253,0),0))),"")</f>
        <v/>
      </c>
      <c r="E147" s="67" t="str">
        <f>IFERROR(IF(IFERROR(MATCH(143,'كشف الحساب'!$N$4:$N$253,0),0)=0,"",INDEX('كشف الحساب'!$E$4:$E$253,IFERROR(MATCH(143,'كشف الحساب'!$N$4:$N$253,0),0))),"")</f>
        <v/>
      </c>
      <c r="F147" s="64" t="str">
        <f>IFERROR(IF(IFERROR(MATCH(143,'كشف الحساب'!$N$4:$N$253,0),0)=0,"",INDEX('كشف الحساب'!$F$4:$F$253,IFERROR(MATCH(143,'كشف الحساب'!$N$4:$N$253,0),0))),"")</f>
        <v/>
      </c>
      <c r="G147" s="64" t="str">
        <f>IFERROR(IF(IFERROR(MATCH(143,'كشف الحساب'!$N$4:$N$253,0),0)=0,"",INDEX('كشف الحساب'!$G$4:$G$253,IFERROR(MATCH(143,'كشف الحساب'!$N$4:$N$253,0),0))),"")</f>
        <v/>
      </c>
      <c r="H147" s="64" t="str">
        <f>IFERROR(IF(IFERROR(MATCH(143,'كشف الحساب'!$N$4:$N$253,0),0)=0,"",INDEX('كشف الحساب'!$H$4:$H$253,IFERROR(MATCH(143,'كشف الحساب'!$N$4:$N$253,0),0))),"")</f>
        <v/>
      </c>
      <c r="I147" s="64" t="str">
        <f>IFERROR(IF(IFERROR(MATCH(143,'كشف الحساب'!$N$4:$N$253,0),0)=0,"",INDEX('كشف الحساب'!$I$4:$I$253,IFERROR(MATCH(143,'كشف الحساب'!$N$4:$N$253,0),0))),"")</f>
        <v/>
      </c>
      <c r="J147" s="68" t="str">
        <f>IFERROR(IF(IFERROR(MATCH(143,'كشف الحساب'!$N$4:$N$253,0),0)=0,"",INDEX('كشف الحساب'!$J$4:$J$253,IFERROR(MATCH(143,'كشف الحساب'!$N$4:$N$253,0),0))),"")</f>
        <v/>
      </c>
      <c r="K147" s="64" t="str">
        <f>IFERROR(IF(IFERROR(MATCH(143,'كشف الحساب'!$N$4:$N$253,0),0)=0,"",INDEX('كشف الحساب'!$K$4:$K$253,IFERROR(MATCH(143,'كشف الحساب'!$N$4:$N$253,0),0))),"")</f>
        <v/>
      </c>
    </row>
    <row r="148" spans="1:11" ht="15" customHeight="1" x14ac:dyDescent="0.25">
      <c r="A148" s="69" t="str">
        <f>IFERROR(IF(IFERROR(MATCH(144,'كشف الحساب'!$N$4:$N$253,0),0)=0,"",INDEX('كشف الحساب'!$A$4:$A$253,IFERROR(MATCH(144,'كشف الحساب'!$N$4:$N$253,0),0))),"")</f>
        <v/>
      </c>
      <c r="B148" s="70" t="str">
        <f>IFERROR(IF(IFERROR(MATCH(144,'كشف الحساب'!$N$4:$N$253,0),0)=0,"",INDEX('كشف الحساب'!$B$4:$B$253,IFERROR(MATCH(144,'كشف الحساب'!$N$4:$N$253,0),0))),"")</f>
        <v/>
      </c>
      <c r="C148" s="71" t="str">
        <f>IFERROR(IF(IFERROR(MATCH(144,'كشف الحساب'!$N$4:$N$253,0),0)=0,"",INDEX('كشف الحساب'!$C$4:$C$253,IFERROR(MATCH(144,'كشف الحساب'!$N$4:$N$253,0),0))),"")</f>
        <v/>
      </c>
      <c r="D148" s="72" t="str">
        <f>IFERROR(IF(IFERROR(MATCH(144,'كشف الحساب'!$N$4:$N$253,0),0)=0,"",INDEX('كشف الحساب'!$D$4:$D$253,IFERROR(MATCH(144,'كشف الحساب'!$N$4:$N$253,0),0))),"")</f>
        <v/>
      </c>
      <c r="E148" s="73" t="str">
        <f>IFERROR(IF(IFERROR(MATCH(144,'كشف الحساب'!$N$4:$N$253,0),0)=0,"",INDEX('كشف الحساب'!$E$4:$E$253,IFERROR(MATCH(144,'كشف الحساب'!$N$4:$N$253,0),0))),"")</f>
        <v/>
      </c>
      <c r="F148" s="70" t="str">
        <f>IFERROR(IF(IFERROR(MATCH(144,'كشف الحساب'!$N$4:$N$253,0),0)=0,"",INDEX('كشف الحساب'!$F$4:$F$253,IFERROR(MATCH(144,'كشف الحساب'!$N$4:$N$253,0),0))),"")</f>
        <v/>
      </c>
      <c r="G148" s="70" t="str">
        <f>IFERROR(IF(IFERROR(MATCH(144,'كشف الحساب'!$N$4:$N$253,0),0)=0,"",INDEX('كشف الحساب'!$G$4:$G$253,IFERROR(MATCH(144,'كشف الحساب'!$N$4:$N$253,0),0))),"")</f>
        <v/>
      </c>
      <c r="H148" s="70" t="str">
        <f>IFERROR(IF(IFERROR(MATCH(144,'كشف الحساب'!$N$4:$N$253,0),0)=0,"",INDEX('كشف الحساب'!$H$4:$H$253,IFERROR(MATCH(144,'كشف الحساب'!$N$4:$N$253,0),0))),"")</f>
        <v/>
      </c>
      <c r="I148" s="70" t="str">
        <f>IFERROR(IF(IFERROR(MATCH(144,'كشف الحساب'!$N$4:$N$253,0),0)=0,"",INDEX('كشف الحساب'!$I$4:$I$253,IFERROR(MATCH(144,'كشف الحساب'!$N$4:$N$253,0),0))),"")</f>
        <v/>
      </c>
      <c r="J148" s="74" t="str">
        <f>IFERROR(IF(IFERROR(MATCH(144,'كشف الحساب'!$N$4:$N$253,0),0)=0,"",INDEX('كشف الحساب'!$J$4:$J$253,IFERROR(MATCH(144,'كشف الحساب'!$N$4:$N$253,0),0))),"")</f>
        <v/>
      </c>
      <c r="K148" s="70" t="str">
        <f>IFERROR(IF(IFERROR(MATCH(144,'كشف الحساب'!$N$4:$N$253,0),0)=0,"",INDEX('كشف الحساب'!$K$4:$K$253,IFERROR(MATCH(144,'كشف الحساب'!$N$4:$N$253,0),0))),"")</f>
        <v/>
      </c>
    </row>
    <row r="149" spans="1:11" ht="15" customHeight="1" x14ac:dyDescent="0.25">
      <c r="A149" s="63" t="str">
        <f>IFERROR(IF(IFERROR(MATCH(145,'كشف الحساب'!$N$4:$N$253,0),0)=0,"",INDEX('كشف الحساب'!$A$4:$A$253,IFERROR(MATCH(145,'كشف الحساب'!$N$4:$N$253,0),0))),"")</f>
        <v/>
      </c>
      <c r="B149" s="64" t="str">
        <f>IFERROR(IF(IFERROR(MATCH(145,'كشف الحساب'!$N$4:$N$253,0),0)=0,"",INDEX('كشف الحساب'!$B$4:$B$253,IFERROR(MATCH(145,'كشف الحساب'!$N$4:$N$253,0),0))),"")</f>
        <v/>
      </c>
      <c r="C149" s="65" t="str">
        <f>IFERROR(IF(IFERROR(MATCH(145,'كشف الحساب'!$N$4:$N$253,0),0)=0,"",INDEX('كشف الحساب'!$C$4:$C$253,IFERROR(MATCH(145,'كشف الحساب'!$N$4:$N$253,0),0))),"")</f>
        <v/>
      </c>
      <c r="D149" s="66" t="str">
        <f>IFERROR(IF(IFERROR(MATCH(145,'كشف الحساب'!$N$4:$N$253,0),0)=0,"",INDEX('كشف الحساب'!$D$4:$D$253,IFERROR(MATCH(145,'كشف الحساب'!$N$4:$N$253,0),0))),"")</f>
        <v/>
      </c>
      <c r="E149" s="67" t="str">
        <f>IFERROR(IF(IFERROR(MATCH(145,'كشف الحساب'!$N$4:$N$253,0),0)=0,"",INDEX('كشف الحساب'!$E$4:$E$253,IFERROR(MATCH(145,'كشف الحساب'!$N$4:$N$253,0),0))),"")</f>
        <v/>
      </c>
      <c r="F149" s="64" t="str">
        <f>IFERROR(IF(IFERROR(MATCH(145,'كشف الحساب'!$N$4:$N$253,0),0)=0,"",INDEX('كشف الحساب'!$F$4:$F$253,IFERROR(MATCH(145,'كشف الحساب'!$N$4:$N$253,0),0))),"")</f>
        <v/>
      </c>
      <c r="G149" s="64" t="str">
        <f>IFERROR(IF(IFERROR(MATCH(145,'كشف الحساب'!$N$4:$N$253,0),0)=0,"",INDEX('كشف الحساب'!$G$4:$G$253,IFERROR(MATCH(145,'كشف الحساب'!$N$4:$N$253,0),0))),"")</f>
        <v/>
      </c>
      <c r="H149" s="64" t="str">
        <f>IFERROR(IF(IFERROR(MATCH(145,'كشف الحساب'!$N$4:$N$253,0),0)=0,"",INDEX('كشف الحساب'!$H$4:$H$253,IFERROR(MATCH(145,'كشف الحساب'!$N$4:$N$253,0),0))),"")</f>
        <v/>
      </c>
      <c r="I149" s="64" t="str">
        <f>IFERROR(IF(IFERROR(MATCH(145,'كشف الحساب'!$N$4:$N$253,0),0)=0,"",INDEX('كشف الحساب'!$I$4:$I$253,IFERROR(MATCH(145,'كشف الحساب'!$N$4:$N$253,0),0))),"")</f>
        <v/>
      </c>
      <c r="J149" s="68" t="str">
        <f>IFERROR(IF(IFERROR(MATCH(145,'كشف الحساب'!$N$4:$N$253,0),0)=0,"",INDEX('كشف الحساب'!$J$4:$J$253,IFERROR(MATCH(145,'كشف الحساب'!$N$4:$N$253,0),0))),"")</f>
        <v/>
      </c>
      <c r="K149" s="64" t="str">
        <f>IFERROR(IF(IFERROR(MATCH(145,'كشف الحساب'!$N$4:$N$253,0),0)=0,"",INDEX('كشف الحساب'!$K$4:$K$253,IFERROR(MATCH(145,'كشف الحساب'!$N$4:$N$253,0),0))),"")</f>
        <v/>
      </c>
    </row>
    <row r="150" spans="1:11" ht="15" customHeight="1" x14ac:dyDescent="0.25">
      <c r="A150" s="69" t="str">
        <f>IFERROR(IF(IFERROR(MATCH(146,'كشف الحساب'!$N$4:$N$253,0),0)=0,"",INDEX('كشف الحساب'!$A$4:$A$253,IFERROR(MATCH(146,'كشف الحساب'!$N$4:$N$253,0),0))),"")</f>
        <v/>
      </c>
      <c r="B150" s="70" t="str">
        <f>IFERROR(IF(IFERROR(MATCH(146,'كشف الحساب'!$N$4:$N$253,0),0)=0,"",INDEX('كشف الحساب'!$B$4:$B$253,IFERROR(MATCH(146,'كشف الحساب'!$N$4:$N$253,0),0))),"")</f>
        <v/>
      </c>
      <c r="C150" s="71" t="str">
        <f>IFERROR(IF(IFERROR(MATCH(146,'كشف الحساب'!$N$4:$N$253,0),0)=0,"",INDEX('كشف الحساب'!$C$4:$C$253,IFERROR(MATCH(146,'كشف الحساب'!$N$4:$N$253,0),0))),"")</f>
        <v/>
      </c>
      <c r="D150" s="72" t="str">
        <f>IFERROR(IF(IFERROR(MATCH(146,'كشف الحساب'!$N$4:$N$253,0),0)=0,"",INDEX('كشف الحساب'!$D$4:$D$253,IFERROR(MATCH(146,'كشف الحساب'!$N$4:$N$253,0),0))),"")</f>
        <v/>
      </c>
      <c r="E150" s="73" t="str">
        <f>IFERROR(IF(IFERROR(MATCH(146,'كشف الحساب'!$N$4:$N$253,0),0)=0,"",INDEX('كشف الحساب'!$E$4:$E$253,IFERROR(MATCH(146,'كشف الحساب'!$N$4:$N$253,0),0))),"")</f>
        <v/>
      </c>
      <c r="F150" s="70" t="str">
        <f>IFERROR(IF(IFERROR(MATCH(146,'كشف الحساب'!$N$4:$N$253,0),0)=0,"",INDEX('كشف الحساب'!$F$4:$F$253,IFERROR(MATCH(146,'كشف الحساب'!$N$4:$N$253,0),0))),"")</f>
        <v/>
      </c>
      <c r="G150" s="70" t="str">
        <f>IFERROR(IF(IFERROR(MATCH(146,'كشف الحساب'!$N$4:$N$253,0),0)=0,"",INDEX('كشف الحساب'!$G$4:$G$253,IFERROR(MATCH(146,'كشف الحساب'!$N$4:$N$253,0),0))),"")</f>
        <v/>
      </c>
      <c r="H150" s="70" t="str">
        <f>IFERROR(IF(IFERROR(MATCH(146,'كشف الحساب'!$N$4:$N$253,0),0)=0,"",INDEX('كشف الحساب'!$H$4:$H$253,IFERROR(MATCH(146,'كشف الحساب'!$N$4:$N$253,0),0))),"")</f>
        <v/>
      </c>
      <c r="I150" s="70" t="str">
        <f>IFERROR(IF(IFERROR(MATCH(146,'كشف الحساب'!$N$4:$N$253,0),0)=0,"",INDEX('كشف الحساب'!$I$4:$I$253,IFERROR(MATCH(146,'كشف الحساب'!$N$4:$N$253,0),0))),"")</f>
        <v/>
      </c>
      <c r="J150" s="74" t="str">
        <f>IFERROR(IF(IFERROR(MATCH(146,'كشف الحساب'!$N$4:$N$253,0),0)=0,"",INDEX('كشف الحساب'!$J$4:$J$253,IFERROR(MATCH(146,'كشف الحساب'!$N$4:$N$253,0),0))),"")</f>
        <v/>
      </c>
      <c r="K150" s="70" t="str">
        <f>IFERROR(IF(IFERROR(MATCH(146,'كشف الحساب'!$N$4:$N$253,0),0)=0,"",INDEX('كشف الحساب'!$K$4:$K$253,IFERROR(MATCH(146,'كشف الحساب'!$N$4:$N$253,0),0))),"")</f>
        <v/>
      </c>
    </row>
    <row r="151" spans="1:11" ht="15" customHeight="1" x14ac:dyDescent="0.25">
      <c r="A151" s="63" t="str">
        <f>IFERROR(IF(IFERROR(MATCH(147,'كشف الحساب'!$N$4:$N$253,0),0)=0,"",INDEX('كشف الحساب'!$A$4:$A$253,IFERROR(MATCH(147,'كشف الحساب'!$N$4:$N$253,0),0))),"")</f>
        <v/>
      </c>
      <c r="B151" s="64" t="str">
        <f>IFERROR(IF(IFERROR(MATCH(147,'كشف الحساب'!$N$4:$N$253,0),0)=0,"",INDEX('كشف الحساب'!$B$4:$B$253,IFERROR(MATCH(147,'كشف الحساب'!$N$4:$N$253,0),0))),"")</f>
        <v/>
      </c>
      <c r="C151" s="65" t="str">
        <f>IFERROR(IF(IFERROR(MATCH(147,'كشف الحساب'!$N$4:$N$253,0),0)=0,"",INDEX('كشف الحساب'!$C$4:$C$253,IFERROR(MATCH(147,'كشف الحساب'!$N$4:$N$253,0),0))),"")</f>
        <v/>
      </c>
      <c r="D151" s="66" t="str">
        <f>IFERROR(IF(IFERROR(MATCH(147,'كشف الحساب'!$N$4:$N$253,0),0)=0,"",INDEX('كشف الحساب'!$D$4:$D$253,IFERROR(MATCH(147,'كشف الحساب'!$N$4:$N$253,0),0))),"")</f>
        <v/>
      </c>
      <c r="E151" s="67" t="str">
        <f>IFERROR(IF(IFERROR(MATCH(147,'كشف الحساب'!$N$4:$N$253,0),0)=0,"",INDEX('كشف الحساب'!$E$4:$E$253,IFERROR(MATCH(147,'كشف الحساب'!$N$4:$N$253,0),0))),"")</f>
        <v/>
      </c>
      <c r="F151" s="64" t="str">
        <f>IFERROR(IF(IFERROR(MATCH(147,'كشف الحساب'!$N$4:$N$253,0),0)=0,"",INDEX('كشف الحساب'!$F$4:$F$253,IFERROR(MATCH(147,'كشف الحساب'!$N$4:$N$253,0),0))),"")</f>
        <v/>
      </c>
      <c r="G151" s="64" t="str">
        <f>IFERROR(IF(IFERROR(MATCH(147,'كشف الحساب'!$N$4:$N$253,0),0)=0,"",INDEX('كشف الحساب'!$G$4:$G$253,IFERROR(MATCH(147,'كشف الحساب'!$N$4:$N$253,0),0))),"")</f>
        <v/>
      </c>
      <c r="H151" s="64" t="str">
        <f>IFERROR(IF(IFERROR(MATCH(147,'كشف الحساب'!$N$4:$N$253,0),0)=0,"",INDEX('كشف الحساب'!$H$4:$H$253,IFERROR(MATCH(147,'كشف الحساب'!$N$4:$N$253,0),0))),"")</f>
        <v/>
      </c>
      <c r="I151" s="64" t="str">
        <f>IFERROR(IF(IFERROR(MATCH(147,'كشف الحساب'!$N$4:$N$253,0),0)=0,"",INDEX('كشف الحساب'!$I$4:$I$253,IFERROR(MATCH(147,'كشف الحساب'!$N$4:$N$253,0),0))),"")</f>
        <v/>
      </c>
      <c r="J151" s="68" t="str">
        <f>IFERROR(IF(IFERROR(MATCH(147,'كشف الحساب'!$N$4:$N$253,0),0)=0,"",INDEX('كشف الحساب'!$J$4:$J$253,IFERROR(MATCH(147,'كشف الحساب'!$N$4:$N$253,0),0))),"")</f>
        <v/>
      </c>
      <c r="K151" s="64" t="str">
        <f>IFERROR(IF(IFERROR(MATCH(147,'كشف الحساب'!$N$4:$N$253,0),0)=0,"",INDEX('كشف الحساب'!$K$4:$K$253,IFERROR(MATCH(147,'كشف الحساب'!$N$4:$N$253,0),0))),"")</f>
        <v/>
      </c>
    </row>
    <row r="152" spans="1:11" ht="15" customHeight="1" x14ac:dyDescent="0.25">
      <c r="A152" s="69" t="str">
        <f>IFERROR(IF(IFERROR(MATCH(148,'كشف الحساب'!$N$4:$N$253,0),0)=0,"",INDEX('كشف الحساب'!$A$4:$A$253,IFERROR(MATCH(148,'كشف الحساب'!$N$4:$N$253,0),0))),"")</f>
        <v/>
      </c>
      <c r="B152" s="70" t="str">
        <f>IFERROR(IF(IFERROR(MATCH(148,'كشف الحساب'!$N$4:$N$253,0),0)=0,"",INDEX('كشف الحساب'!$B$4:$B$253,IFERROR(MATCH(148,'كشف الحساب'!$N$4:$N$253,0),0))),"")</f>
        <v/>
      </c>
      <c r="C152" s="71" t="str">
        <f>IFERROR(IF(IFERROR(MATCH(148,'كشف الحساب'!$N$4:$N$253,0),0)=0,"",INDEX('كشف الحساب'!$C$4:$C$253,IFERROR(MATCH(148,'كشف الحساب'!$N$4:$N$253,0),0))),"")</f>
        <v/>
      </c>
      <c r="D152" s="72" t="str">
        <f>IFERROR(IF(IFERROR(MATCH(148,'كشف الحساب'!$N$4:$N$253,0),0)=0,"",INDEX('كشف الحساب'!$D$4:$D$253,IFERROR(MATCH(148,'كشف الحساب'!$N$4:$N$253,0),0))),"")</f>
        <v/>
      </c>
      <c r="E152" s="73" t="str">
        <f>IFERROR(IF(IFERROR(MATCH(148,'كشف الحساب'!$N$4:$N$253,0),0)=0,"",INDEX('كشف الحساب'!$E$4:$E$253,IFERROR(MATCH(148,'كشف الحساب'!$N$4:$N$253,0),0))),"")</f>
        <v/>
      </c>
      <c r="F152" s="70" t="str">
        <f>IFERROR(IF(IFERROR(MATCH(148,'كشف الحساب'!$N$4:$N$253,0),0)=0,"",INDEX('كشف الحساب'!$F$4:$F$253,IFERROR(MATCH(148,'كشف الحساب'!$N$4:$N$253,0),0))),"")</f>
        <v/>
      </c>
      <c r="G152" s="70" t="str">
        <f>IFERROR(IF(IFERROR(MATCH(148,'كشف الحساب'!$N$4:$N$253,0),0)=0,"",INDEX('كشف الحساب'!$G$4:$G$253,IFERROR(MATCH(148,'كشف الحساب'!$N$4:$N$253,0),0))),"")</f>
        <v/>
      </c>
      <c r="H152" s="70" t="str">
        <f>IFERROR(IF(IFERROR(MATCH(148,'كشف الحساب'!$N$4:$N$253,0),0)=0,"",INDEX('كشف الحساب'!$H$4:$H$253,IFERROR(MATCH(148,'كشف الحساب'!$N$4:$N$253,0),0))),"")</f>
        <v/>
      </c>
      <c r="I152" s="70" t="str">
        <f>IFERROR(IF(IFERROR(MATCH(148,'كشف الحساب'!$N$4:$N$253,0),0)=0,"",INDEX('كشف الحساب'!$I$4:$I$253,IFERROR(MATCH(148,'كشف الحساب'!$N$4:$N$253,0),0))),"")</f>
        <v/>
      </c>
      <c r="J152" s="74" t="str">
        <f>IFERROR(IF(IFERROR(MATCH(148,'كشف الحساب'!$N$4:$N$253,0),0)=0,"",INDEX('كشف الحساب'!$J$4:$J$253,IFERROR(MATCH(148,'كشف الحساب'!$N$4:$N$253,0),0))),"")</f>
        <v/>
      </c>
      <c r="K152" s="70" t="str">
        <f>IFERROR(IF(IFERROR(MATCH(148,'كشف الحساب'!$N$4:$N$253,0),0)=0,"",INDEX('كشف الحساب'!$K$4:$K$253,IFERROR(MATCH(148,'كشف الحساب'!$N$4:$N$253,0),0))),"")</f>
        <v/>
      </c>
    </row>
    <row r="153" spans="1:11" ht="15" customHeight="1" x14ac:dyDescent="0.25">
      <c r="A153" s="63" t="str">
        <f>IFERROR(IF(IFERROR(MATCH(149,'كشف الحساب'!$N$4:$N$253,0),0)=0,"",INDEX('كشف الحساب'!$A$4:$A$253,IFERROR(MATCH(149,'كشف الحساب'!$N$4:$N$253,0),0))),"")</f>
        <v/>
      </c>
      <c r="B153" s="64" t="str">
        <f>IFERROR(IF(IFERROR(MATCH(149,'كشف الحساب'!$N$4:$N$253,0),0)=0,"",INDEX('كشف الحساب'!$B$4:$B$253,IFERROR(MATCH(149,'كشف الحساب'!$N$4:$N$253,0),0))),"")</f>
        <v/>
      </c>
      <c r="C153" s="65" t="str">
        <f>IFERROR(IF(IFERROR(MATCH(149,'كشف الحساب'!$N$4:$N$253,0),0)=0,"",INDEX('كشف الحساب'!$C$4:$C$253,IFERROR(MATCH(149,'كشف الحساب'!$N$4:$N$253,0),0))),"")</f>
        <v/>
      </c>
      <c r="D153" s="66" t="str">
        <f>IFERROR(IF(IFERROR(MATCH(149,'كشف الحساب'!$N$4:$N$253,0),0)=0,"",INDEX('كشف الحساب'!$D$4:$D$253,IFERROR(MATCH(149,'كشف الحساب'!$N$4:$N$253,0),0))),"")</f>
        <v/>
      </c>
      <c r="E153" s="67" t="str">
        <f>IFERROR(IF(IFERROR(MATCH(149,'كشف الحساب'!$N$4:$N$253,0),0)=0,"",INDEX('كشف الحساب'!$E$4:$E$253,IFERROR(MATCH(149,'كشف الحساب'!$N$4:$N$253,0),0))),"")</f>
        <v/>
      </c>
      <c r="F153" s="64" t="str">
        <f>IFERROR(IF(IFERROR(MATCH(149,'كشف الحساب'!$N$4:$N$253,0),0)=0,"",INDEX('كشف الحساب'!$F$4:$F$253,IFERROR(MATCH(149,'كشف الحساب'!$N$4:$N$253,0),0))),"")</f>
        <v/>
      </c>
      <c r="G153" s="64" t="str">
        <f>IFERROR(IF(IFERROR(MATCH(149,'كشف الحساب'!$N$4:$N$253,0),0)=0,"",INDEX('كشف الحساب'!$G$4:$G$253,IFERROR(MATCH(149,'كشف الحساب'!$N$4:$N$253,0),0))),"")</f>
        <v/>
      </c>
      <c r="H153" s="64" t="str">
        <f>IFERROR(IF(IFERROR(MATCH(149,'كشف الحساب'!$N$4:$N$253,0),0)=0,"",INDEX('كشف الحساب'!$H$4:$H$253,IFERROR(MATCH(149,'كشف الحساب'!$N$4:$N$253,0),0))),"")</f>
        <v/>
      </c>
      <c r="I153" s="64" t="str">
        <f>IFERROR(IF(IFERROR(MATCH(149,'كشف الحساب'!$N$4:$N$253,0),0)=0,"",INDEX('كشف الحساب'!$I$4:$I$253,IFERROR(MATCH(149,'كشف الحساب'!$N$4:$N$253,0),0))),"")</f>
        <v/>
      </c>
      <c r="J153" s="68" t="str">
        <f>IFERROR(IF(IFERROR(MATCH(149,'كشف الحساب'!$N$4:$N$253,0),0)=0,"",INDEX('كشف الحساب'!$J$4:$J$253,IFERROR(MATCH(149,'كشف الحساب'!$N$4:$N$253,0),0))),"")</f>
        <v/>
      </c>
      <c r="K153" s="64" t="str">
        <f>IFERROR(IF(IFERROR(MATCH(149,'كشف الحساب'!$N$4:$N$253,0),0)=0,"",INDEX('كشف الحساب'!$K$4:$K$253,IFERROR(MATCH(149,'كشف الحساب'!$N$4:$N$253,0),0))),"")</f>
        <v/>
      </c>
    </row>
    <row r="154" spans="1:11" ht="15" customHeight="1" x14ac:dyDescent="0.25">
      <c r="A154" s="69" t="str">
        <f>IFERROR(IF(IFERROR(MATCH(150,'كشف الحساب'!$N$4:$N$253,0),0)=0,"",INDEX('كشف الحساب'!$A$4:$A$253,IFERROR(MATCH(150,'كشف الحساب'!$N$4:$N$253,0),0))),"")</f>
        <v/>
      </c>
      <c r="B154" s="70" t="str">
        <f>IFERROR(IF(IFERROR(MATCH(150,'كشف الحساب'!$N$4:$N$253,0),0)=0,"",INDEX('كشف الحساب'!$B$4:$B$253,IFERROR(MATCH(150,'كشف الحساب'!$N$4:$N$253,0),0))),"")</f>
        <v/>
      </c>
      <c r="C154" s="71" t="str">
        <f>IFERROR(IF(IFERROR(MATCH(150,'كشف الحساب'!$N$4:$N$253,0),0)=0,"",INDEX('كشف الحساب'!$C$4:$C$253,IFERROR(MATCH(150,'كشف الحساب'!$N$4:$N$253,0),0))),"")</f>
        <v/>
      </c>
      <c r="D154" s="72" t="str">
        <f>IFERROR(IF(IFERROR(MATCH(150,'كشف الحساب'!$N$4:$N$253,0),0)=0,"",INDEX('كشف الحساب'!$D$4:$D$253,IFERROR(MATCH(150,'كشف الحساب'!$N$4:$N$253,0),0))),"")</f>
        <v/>
      </c>
      <c r="E154" s="73" t="str">
        <f>IFERROR(IF(IFERROR(MATCH(150,'كشف الحساب'!$N$4:$N$253,0),0)=0,"",INDEX('كشف الحساب'!$E$4:$E$253,IFERROR(MATCH(150,'كشف الحساب'!$N$4:$N$253,0),0))),"")</f>
        <v/>
      </c>
      <c r="F154" s="70" t="str">
        <f>IFERROR(IF(IFERROR(MATCH(150,'كشف الحساب'!$N$4:$N$253,0),0)=0,"",INDEX('كشف الحساب'!$F$4:$F$253,IFERROR(MATCH(150,'كشف الحساب'!$N$4:$N$253,0),0))),"")</f>
        <v/>
      </c>
      <c r="G154" s="70" t="str">
        <f>IFERROR(IF(IFERROR(MATCH(150,'كشف الحساب'!$N$4:$N$253,0),0)=0,"",INDEX('كشف الحساب'!$G$4:$G$253,IFERROR(MATCH(150,'كشف الحساب'!$N$4:$N$253,0),0))),"")</f>
        <v/>
      </c>
      <c r="H154" s="70" t="str">
        <f>IFERROR(IF(IFERROR(MATCH(150,'كشف الحساب'!$N$4:$N$253,0),0)=0,"",INDEX('كشف الحساب'!$H$4:$H$253,IFERROR(MATCH(150,'كشف الحساب'!$N$4:$N$253,0),0))),"")</f>
        <v/>
      </c>
      <c r="I154" s="70" t="str">
        <f>IFERROR(IF(IFERROR(MATCH(150,'كشف الحساب'!$N$4:$N$253,0),0)=0,"",INDEX('كشف الحساب'!$I$4:$I$253,IFERROR(MATCH(150,'كشف الحساب'!$N$4:$N$253,0),0))),"")</f>
        <v/>
      </c>
      <c r="J154" s="74" t="str">
        <f>IFERROR(IF(IFERROR(MATCH(150,'كشف الحساب'!$N$4:$N$253,0),0)=0,"",INDEX('كشف الحساب'!$J$4:$J$253,IFERROR(MATCH(150,'كشف الحساب'!$N$4:$N$253,0),0))),"")</f>
        <v/>
      </c>
      <c r="K154" s="70" t="str">
        <f>IFERROR(IF(IFERROR(MATCH(150,'كشف الحساب'!$N$4:$N$253,0),0)=0,"",INDEX('كشف الحساب'!$K$4:$K$253,IFERROR(MATCH(150,'كشف الحساب'!$N$4:$N$253,0),0))),"")</f>
        <v/>
      </c>
    </row>
    <row r="155" spans="1:11" ht="21.75" customHeight="1" x14ac:dyDescent="0.25">
      <c r="A155" s="175" t="s">
        <v>265</v>
      </c>
      <c r="B155" s="161"/>
      <c r="C155" s="161"/>
      <c r="D155" s="75">
        <f>SUM(D5:D154)</f>
        <v>1364.45</v>
      </c>
      <c r="E155" s="75">
        <f>SUM(E5:E154)</f>
        <v>602.5</v>
      </c>
      <c r="F155" s="176">
        <f>COUNTIF(H5:H154,"معلق")</f>
        <v>0</v>
      </c>
      <c r="G155" s="161"/>
      <c r="H155" s="161"/>
      <c r="I155" s="76"/>
      <c r="J155" s="75">
        <f>E155-D155</f>
        <v>-761.95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6" t="s">
        <v>268</v>
      </c>
      <c r="B1" s="161"/>
      <c r="C1" s="161"/>
      <c r="D1" s="161"/>
      <c r="E1" s="161"/>
      <c r="F1" s="161"/>
      <c r="G1" s="161"/>
    </row>
    <row r="2" spans="1:7" ht="24" customHeight="1" x14ac:dyDescent="0.25">
      <c r="A2" s="174" t="s">
        <v>269</v>
      </c>
      <c r="B2" s="161"/>
      <c r="C2" s="56" t="s">
        <v>342</v>
      </c>
      <c r="D2" s="174" t="s">
        <v>270</v>
      </c>
      <c r="E2" s="161"/>
      <c r="F2" s="56">
        <v>2026</v>
      </c>
    </row>
    <row r="3" spans="1:7" ht="21.75" customHeight="1" x14ac:dyDescent="0.25">
      <c r="A3" s="178" t="s">
        <v>271</v>
      </c>
      <c r="B3" s="161"/>
      <c r="C3" s="57">
        <f>المحفظة!$D$2</f>
        <v>0</v>
      </c>
      <c r="D3" s="178" t="s">
        <v>272</v>
      </c>
      <c r="E3" s="161"/>
      <c r="F3" s="78">
        <f>المحفظة!$C$3</f>
        <v>0</v>
      </c>
    </row>
    <row r="4" spans="1:7" ht="21.75" customHeight="1" x14ac:dyDescent="0.25">
      <c r="A4" s="180" t="s">
        <v>273</v>
      </c>
      <c r="B4" s="161"/>
      <c r="C4" s="161"/>
      <c r="D4" s="161"/>
      <c r="E4" s="161"/>
      <c r="F4" s="161"/>
      <c r="G4" s="161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80" t="s">
        <v>266</v>
      </c>
      <c r="B55" s="161"/>
      <c r="C55" s="161"/>
      <c r="D55" s="161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9" t="s">
        <v>275</v>
      </c>
      <c r="B56" s="161"/>
      <c r="C56" s="161"/>
      <c r="D56" s="161"/>
      <c r="E56" s="161"/>
      <c r="F56" s="161"/>
      <c r="G56" s="161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9" t="s">
        <v>276</v>
      </c>
      <c r="B107" s="161"/>
      <c r="C107" s="161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75" t="s">
        <v>277</v>
      </c>
      <c r="B108" s="161"/>
      <c r="C108" s="161"/>
      <c r="D108" s="75">
        <f>E55-D107</f>
        <v>0</v>
      </c>
      <c r="E108" s="181">
        <f>SUM(E5:E107)</f>
        <v>0</v>
      </c>
      <c r="F108" s="161"/>
      <c r="G108" s="162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2026-09-29T20:00:33Z</dcterms:modified>
  <dc:language>en-US</dc:language>
</cp:coreProperties>
</file>