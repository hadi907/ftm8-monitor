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A9D40B88-F5D5-49BB-98B1-43C5E4637B0F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J116" i="2"/>
  <c r="J117" i="2" s="1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J113" i="2"/>
  <c r="J114" i="2" s="1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F105" i="1" s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F108" i="1" s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F111" i="1" s="1"/>
  <c r="B110" i="1"/>
  <c r="C109" i="1"/>
  <c r="D108" i="1"/>
  <c r="E107" i="1"/>
  <c r="A107" i="1"/>
  <c r="F107" i="1" s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F110" i="1" s="1"/>
  <c r="B109" i="1"/>
  <c r="C108" i="1"/>
  <c r="D107" i="1"/>
  <c r="E106" i="1"/>
  <c r="A106" i="1"/>
  <c r="F106" i="1" s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F109" i="1" s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<sst xmlns="http://schemas.openxmlformats.org/spreadsheetml/2006/main" count="686" uniqueCount="308">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</sst>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0" t="s">
        <v>0</v>
      </c>
      <c r="B1" s="147"/>
      <c r="C1" s="147"/>
      <c r="D1" s="147"/>
      <c r="E1" s="147"/>
      <c r="F1" s="148"/>
    </row>
    <row r="2" spans="1:6" ht="30" customHeight="1" x14ac:dyDescent="0.25">
      <c r="A2" s="149" t="s">
        <v>1</v>
      </c>
      <c r="B2" s="147"/>
      <c r="C2" s="147"/>
      <c r="D2" s="147"/>
      <c r="E2" s="148"/>
      <c r="F2" s="119">
        <f>F206</f>
        <v>111.62500000000001</v>
      </c>
    </row>
    <row r="3" spans="1:6" ht="6" customHeight="1" x14ac:dyDescent="0.25">
      <c r="A3" s="152"/>
      <c r="B3" s="147"/>
      <c r="C3" s="147"/>
      <c r="D3" s="147"/>
      <c r="E3" s="147"/>
      <c r="F3" s="148"/>
    </row>
    <row r="4" spans="1:6" ht="27.95" customHeight="1" x14ac:dyDescent="0.25">
      <c r="A4" s="151" t="s">
        <v>2</v>
      </c>
      <c r="B4" s="147"/>
      <c r="C4" s="147"/>
      <c r="D4" s="147"/>
      <c r="E4" s="147"/>
      <c r="F4" s="148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 t="str">
        <f>IFERROR(INDEX('كشف الحساب'!$A$4:$A$204,MATCH(100,'كشف الحساب'!$P$4:$P$204,0)),"")</f>
        <v/>
      </c>
      <c r="B105" s="122" t="str">
        <f>IFERROR(INDEX('كشف الحساب'!$B$4:$B$204,MATCH(100,'كشف الحساب'!$P$4:$P$204,0)),"")</f>
        <v/>
      </c>
      <c r="C105" s="121" t="str">
        <f>IFERROR(INDEX('كشف الحساب'!$C$4:$C$204,MATCH(100,'كشف الحساب'!$P$4:$P$204,0)),"")</f>
        <v/>
      </c>
      <c r="D105" s="123" t="str">
        <f>IFERROR(INDEX('كشف الحساب'!$E$4:$E$204,MATCH(100,'كشف الحساب'!$P$4:$P$204,0)),"")</f>
        <v/>
      </c>
      <c r="E105" s="124" t="str">
        <f>IFERROR(INDEX('كشف الحساب'!$D$4:$D$204,MATCH(100,'كشف الحساب'!$P$4:$P$204,0)),"")</f>
        <v/>
      </c>
      <c r="F105" s="125" t="str">
        <f t="shared" si="3"/>
        <v/>
      </c>
    </row>
    <row r="106" spans="1:6" ht="18" customHeight="1" x14ac:dyDescent="0.25">
      <c r="A106" s="142" t="str">
        <f>IFERROR(INDEX('كشف الحساب'!$A$4:$A$204,MATCH(101,'كشف الحساب'!$P$4:$P$204,0)),"")</f>
        <v/>
      </c>
      <c r="B106" s="122" t="str">
        <f>IFERROR(INDEX('كشف الحساب'!$B$4:$B$204,MATCH(101,'كشف الحساب'!$P$4:$P$204,0)),"")</f>
        <v/>
      </c>
      <c r="C106" s="121" t="str">
        <f>IFERROR(INDEX('كشف الحساب'!$C$4:$C$204,MATCH(101,'كشف الحساب'!$P$4:$P$204,0)),"")</f>
        <v/>
      </c>
      <c r="D106" s="123" t="str">
        <f>IFERROR(INDEX('كشف الحساب'!$E$4:$E$204,MATCH(101,'كشف الحساب'!$P$4:$P$204,0)),"")</f>
        <v/>
      </c>
      <c r="E106" s="124" t="str">
        <f>IFERROR(INDEX('كشف الحساب'!$D$4:$D$204,MATCH(101,'كشف الحساب'!$P$4:$P$204,0)),"")</f>
        <v/>
      </c>
      <c r="F106" s="125" t="str">
        <f t="shared" si="3"/>
        <v/>
      </c>
    </row>
    <row r="107" spans="1:6" ht="18" customHeight="1" x14ac:dyDescent="0.25">
      <c r="A107" s="142" t="str">
        <f>IFERROR(INDEX('كشف الحساب'!$A$4:$A$204,MATCH(102,'كشف الحساب'!$P$4:$P$204,0)),"")</f>
        <v/>
      </c>
      <c r="B107" s="122" t="str">
        <f>IFERROR(INDEX('كشف الحساب'!$B$4:$B$204,MATCH(102,'كشف الحساب'!$P$4:$P$204,0)),"")</f>
        <v/>
      </c>
      <c r="C107" s="121" t="str">
        <f>IFERROR(INDEX('كشف الحساب'!$C$4:$C$204,MATCH(102,'كشف الحساب'!$P$4:$P$204,0)),"")</f>
        <v/>
      </c>
      <c r="D107" s="123" t="str">
        <f>IFERROR(INDEX('كشف الحساب'!$E$4:$E$204,MATCH(102,'كشف الحساب'!$P$4:$P$204,0)),"")</f>
        <v/>
      </c>
      <c r="E107" s="124" t="str">
        <f>IFERROR(INDEX('كشف الحساب'!$D$4:$D$204,MATCH(102,'كشف الحساب'!$P$4:$P$204,0)),"")</f>
        <v/>
      </c>
      <c r="F107" s="125" t="str">
        <f t="shared" si="3"/>
        <v/>
      </c>
    </row>
    <row r="108" spans="1:6" ht="18" customHeight="1" x14ac:dyDescent="0.25">
      <c r="A108" s="142" t="str">
        <f>IFERROR(INDEX('كشف الحساب'!$A$4:$A$204,MATCH(103,'كشف الحساب'!$P$4:$P$204,0)),"")</f>
        <v/>
      </c>
      <c r="B108" s="122" t="str">
        <f>IFERROR(INDEX('كشف الحساب'!$B$4:$B$204,MATCH(103,'كشف الحساب'!$P$4:$P$204,0)),"")</f>
        <v/>
      </c>
      <c r="C108" s="121" t="str">
        <f>IFERROR(INDEX('كشف الحساب'!$C$4:$C$204,MATCH(103,'كشف الحساب'!$P$4:$P$204,0)),"")</f>
        <v/>
      </c>
      <c r="D108" s="123" t="str">
        <f>IFERROR(INDEX('كشف الحساب'!$E$4:$E$204,MATCH(103,'كشف الحساب'!$P$4:$P$204,0)),"")</f>
        <v/>
      </c>
      <c r="E108" s="124" t="str">
        <f>IFERROR(INDEX('كشف الحساب'!$D$4:$D$204,MATCH(103,'كشف الحساب'!$P$4:$P$204,0)),"")</f>
        <v/>
      </c>
      <c r="F108" s="125" t="str">
        <f t="shared" si="3"/>
        <v/>
      </c>
    </row>
    <row r="109" spans="1:6" ht="18" customHeight="1" x14ac:dyDescent="0.25">
      <c r="A109" s="142" t="str">
        <f>IFERROR(INDEX('كشف الحساب'!$A$4:$A$204,MATCH(104,'كشف الحساب'!$P$4:$P$204,0)),"")</f>
        <v/>
      </c>
      <c r="B109" s="122" t="str">
        <f>IFERROR(INDEX('كشف الحساب'!$B$4:$B$204,MATCH(104,'كشف الحساب'!$P$4:$P$204,0)),"")</f>
        <v/>
      </c>
      <c r="C109" s="121" t="str">
        <f>IFERROR(INDEX('كشف الحساب'!$C$4:$C$204,MATCH(104,'كشف الحساب'!$P$4:$P$204,0)),"")</f>
        <v/>
      </c>
      <c r="D109" s="123" t="str">
        <f>IFERROR(INDEX('كشف الحساب'!$E$4:$E$204,MATCH(104,'كشف الحساب'!$P$4:$P$204,0)),"")</f>
        <v/>
      </c>
      <c r="E109" s="124" t="str">
        <f>IFERROR(INDEX('كشف الحساب'!$D$4:$D$204,MATCH(104,'كشف الحساب'!$P$4:$P$204,0)),"")</f>
        <v/>
      </c>
      <c r="F109" s="125" t="str">
        <f t="shared" si="3"/>
        <v/>
      </c>
    </row>
    <row r="110" spans="1:6" ht="18" customHeight="1" x14ac:dyDescent="0.25">
      <c r="A110" s="142" t="str">
        <f>IFERROR(INDEX('كشف الحساب'!$A$4:$A$204,MATCH(105,'كشف الحساب'!$P$4:$P$204,0)),"")</f>
        <v/>
      </c>
      <c r="B110" s="122" t="str">
        <f>IFERROR(INDEX('كشف الحساب'!$B$4:$B$204,MATCH(105,'كشف الحساب'!$P$4:$P$204,0)),"")</f>
        <v/>
      </c>
      <c r="C110" s="121" t="str">
        <f>IFERROR(INDEX('كشف الحساب'!$C$4:$C$204,MATCH(105,'كشف الحساب'!$P$4:$P$204,0)),"")</f>
        <v/>
      </c>
      <c r="D110" s="123" t="str">
        <f>IFERROR(INDEX('كشف الحساب'!$E$4:$E$204,MATCH(105,'كشف الحساب'!$P$4:$P$204,0)),"")</f>
        <v/>
      </c>
      <c r="E110" s="124" t="str">
        <f>IFERROR(INDEX('كشف الحساب'!$D$4:$D$204,MATCH(105,'كشف الحساب'!$P$4:$P$204,0)),"")</f>
        <v/>
      </c>
      <c r="F110" s="125" t="str">
        <f t="shared" si="3"/>
        <v/>
      </c>
    </row>
    <row r="111" spans="1:6" ht="18" customHeight="1" x14ac:dyDescent="0.25">
      <c r="A111" s="142" t="str">
        <f>IFERROR(INDEX('كشف الحساب'!$A$4:$A$204,MATCH(106,'كشف الحساب'!$P$4:$P$204,0)),"")</f>
        <v/>
      </c>
      <c r="B111" s="122" t="str">
        <f>IFERROR(INDEX('كشف الحساب'!$B$4:$B$204,MATCH(106,'كشف الحساب'!$P$4:$P$204,0)),"")</f>
        <v/>
      </c>
      <c r="C111" s="121" t="str">
        <f>IFERROR(INDEX('كشف الحساب'!$C$4:$C$204,MATCH(106,'كشف الحساب'!$P$4:$P$204,0)),"")</f>
        <v/>
      </c>
      <c r="D111" s="123" t="str">
        <f>IFERROR(INDEX('كشف الحساب'!$E$4:$E$204,MATCH(106,'كشف الحساب'!$P$4:$P$204,0)),"")</f>
        <v/>
      </c>
      <c r="E111" s="124" t="str">
        <f>IFERROR(INDEX('كشف الحساب'!$D$4:$D$204,MATCH(106,'كشف الحساب'!$P$4:$P$204,0)),"")</f>
        <v/>
      </c>
      <c r="F111" s="125" t="str">
        <f t="shared" si="3"/>
        <v/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665.6</v>
      </c>
      <c r="E206" s="129">
        <f>SUM(E6:E205)</f>
        <v>553.97499999999991</v>
      </c>
      <c r="F206" s="130">
        <f>IFERROR(LOOKUP(2,1/($F$6:$F$205&lt;&gt;""),$F$6:$F$205),0)</f>
        <v>111.62500000000001</v>
      </c>
    </row>
    <row r="208" spans="1:6" ht="18" customHeight="1" x14ac:dyDescent="0.25">
      <c r="A208" s="146" t="s">
        <v>10</v>
      </c>
      <c r="B208" s="147"/>
      <c r="C208" s="147"/>
      <c r="D208" s="147"/>
      <c r="E208" s="147"/>
      <c r="F208" s="148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09" activePane="bottomLeft" state="frozen"/>
      <selection pane="bottomLeft" activeCell="H119" sqref="H119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59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</row>
    <row r="2" spans="1:17" ht="24" customHeight="1" x14ac:dyDescent="0.25">
      <c r="A2" s="156" t="s">
        <v>17</v>
      </c>
      <c r="B2" s="154"/>
      <c r="C2" s="154"/>
      <c r="D2" s="1">
        <v>0</v>
      </c>
      <c r="E2" s="157" t="s">
        <v>18</v>
      </c>
      <c r="F2" s="158"/>
      <c r="G2" s="158"/>
      <c r="H2" s="158"/>
      <c r="I2" s="158"/>
      <c r="J2" s="158"/>
      <c r="K2" s="158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50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50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/>
      <c r="B120" s="36"/>
      <c r="C120" s="37"/>
      <c r="D120" s="38"/>
      <c r="E120" s="39"/>
      <c r="F120" s="136"/>
      <c r="G120" s="40"/>
      <c r="H120" s="41"/>
      <c r="I120" s="42"/>
      <c r="J120" s="43" t="str">
        <f>IF(AND(D120="",E120="",A120="",B120="",C120=""),"", IFERROR(IF(J119="",D2,J119),D2)+IF(E120="",0,E120)-IF(OR(G120="أبو اسحاق",G120="أبو آدم",G120="أبو اسحاق ",G120="أبو آدم "),0,IF(D120="",0,D120)))</f>
        <v/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 t="str">
        <f>IF(OR($A120="",$F120="أحد الشركاء",AND($D120="",$E120="")),"",SUMPRODUCT(($A$4:$A120&lt;&gt;"")*($F$4:$F120&lt;&gt;"أحد الشركاء")*((($D$4:$D120&lt;&gt;"")+($E$4:$E120&lt;&gt;""))&gt;0)))</f>
        <v/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25"/>
      <c r="B121" s="26"/>
      <c r="C121" s="27"/>
      <c r="D121" s="28"/>
      <c r="E121" s="29"/>
      <c r="F121" s="30"/>
      <c r="G121" s="31"/>
      <c r="H121" s="32"/>
      <c r="I121" s="33"/>
      <c r="J121" s="34" t="str">
        <f>IF(AND(D121="",E121="",A121="",B121="",C121=""),"", IFERROR(IF(J120="",D2,J120),D2)+IF(E121="",0,E121)-IF(OR(G121="أبو اسحاق",G121="أبو آدم",G121="أبو اسحاق ",G121="أبو آدم "),0,IF(D121="",0,D121)))</f>
        <v/>
      </c>
      <c r="K121" s="35"/>
      <c r="L121" t="str">
        <f>IF(E120&gt;0,COUNTIF($E$4:E120,"&gt;0"),"")</f>
        <v/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 t="str">
        <f>IF(OR($A121="",$F121="أحد الشركاء",AND($D121="",$E121="")),"",SUMPRODUCT(($A$4:$A121&lt;&gt;"")*($F$4:$F121&lt;&gt;"أحد الشركاء")*((($D$4:$D121&lt;&gt;"")+($E$4:$E121&lt;&gt;""))&gt;0)))</f>
        <v/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/>
      <c r="B122" s="36"/>
      <c r="C122" s="37"/>
      <c r="D122" s="38"/>
      <c r="E122" s="39"/>
      <c r="F122" s="136"/>
      <c r="G122" s="40"/>
      <c r="H122" s="41"/>
      <c r="I122" s="42"/>
      <c r="J122" s="43" t="str">
        <f>IF(AND(D122="",E122="",A122="",B122="",C122=""),"", IFERROR(IF(J121="",D2,J121),D2)+IF(E122="",0,E122)-IF(OR(G122="أبو اسحاق",G122="أبو آدم",G122="أبو اسحاق ",G122="أبو آدم "),0,IF(D122="",0,D122)))</f>
        <v/>
      </c>
      <c r="K122" s="44"/>
      <c r="L122" t="str">
        <f>IF(E121&gt;0,COUNTIF($E$4:E121,"&gt;0"),"")</f>
        <v/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 t="str">
        <f>IF(OR($A122="",$F122="أحد الشركاء",AND($D122="",$E122="")),"",SUMPRODUCT(($A$4:$A122&lt;&gt;"")*($F$4:$F122&lt;&gt;"أحد الشركاء")*((($D$4:$D122&lt;&gt;"")+($E$4:$E122&lt;&gt;""))&gt;0)))</f>
        <v/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/>
      <c r="B123" s="26"/>
      <c r="C123" s="27"/>
      <c r="D123" s="28"/>
      <c r="E123" s="29"/>
      <c r="F123" s="30"/>
      <c r="G123" s="31"/>
      <c r="H123" s="32"/>
      <c r="I123" s="33"/>
      <c r="J123" s="34" t="str">
        <f>IF(AND(D123="",E123="",A123="",B123="",C123=""),"", IFERROR(IF(J122="",D2,J122),D2)+IF(E123="",0,E123)-IF(OR(G123="أبو اسحاق",G123="أبو آدم",G123="أبو اسحاق ",G123="أبو آدم "),0,IF(D123="",0,D123)))</f>
        <v/>
      </c>
      <c r="K123" s="35"/>
      <c r="L123" t="str">
        <f>IF(E122&gt;0,COUNTIF($E$4:E122,"&gt;0"),"")</f>
        <v/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 t="str">
        <f>IF(OR($A123="",$F123="أحد الشركاء",AND($D123="",$E123="")),"",SUMPRODUCT(($A$4:$A123&lt;&gt;"")*($F$4:$F123&lt;&gt;"أحد الشركاء")*((($D$4:$D123&lt;&gt;"")+($E$4:$E123&lt;&gt;""))&gt;0)))</f>
        <v/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/>
      <c r="B124" s="36"/>
      <c r="C124" s="37"/>
      <c r="D124" s="38"/>
      <c r="E124" s="39"/>
      <c r="F124" s="136"/>
      <c r="G124" s="40"/>
      <c r="H124" s="41"/>
      <c r="I124" s="42"/>
      <c r="J124" s="43" t="str">
        <f>IF(AND(D124="",E124="",A124="",B124="",C124=""),"", IFERROR(IF(J123="",D2,J123),D2)+IF(E124="",0,E124)-IF(OR(G124="أبو اسحاق",G124="أبو آدم",G124="أبو اسحاق ",G124="أبو آدم "),0,IF(D124="",0,D124)))</f>
        <v/>
      </c>
      <c r="K124" s="44"/>
      <c r="L124" t="str">
        <f>IF(E123&gt;0,COUNTIF($E$4:E123,"&gt;0"),"")</f>
        <v/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 t="str">
        <f>IF(OR($A124="",$F124="أحد الشركاء",AND($D124="",$E124="")),"",SUMPRODUCT(($A$4:$A124&lt;&gt;"")*($F$4:$F124&lt;&gt;"أحد الشركاء")*((($D$4:$D124&lt;&gt;"")+($E$4:$E124&lt;&gt;""))&gt;0)))</f>
        <v/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/>
      <c r="B125" s="26"/>
      <c r="C125" s="27"/>
      <c r="D125" s="28"/>
      <c r="E125" s="29"/>
      <c r="F125" s="30"/>
      <c r="G125" s="31"/>
      <c r="H125" s="32"/>
      <c r="I125" s="33"/>
      <c r="J125" s="34" t="str">
        <f>IF(AND(D125="",E125="",A125="",B125="",C125=""),"", IFERROR(IF(J124="",D2,J124),D2)+IF(E125="",0,E125)-IF(OR(G125="أبو اسحاق",G125="أبو آدم",G125="أبو اسحاق ",G125="أبو آدم "),0,IF(D125="",0,D125)))</f>
        <v/>
      </c>
      <c r="K125" s="35"/>
      <c r="L125" t="str">
        <f>IF(E124&gt;0,COUNTIF($E$4:E124,"&gt;0"),"")</f>
        <v/>
      </c>
      <c r="M125" t="str">
        <f>IF(AND(D124&gt;0,G124="المحفظة"),COUNTIFS($D$4:D124,"&gt;"&amp;0,$G$4:G124,"المحفظة"),"")</f>
        <v/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 t="str">
        <f>IF(OR($A125="",$F125="أحد الشركاء",AND($D125="",$E125="")),"",SUMPRODUCT(($A$4:$A125&lt;&gt;"")*($F$4:$F125&lt;&gt;"أحد الشركاء")*((($D$4:$D125&lt;&gt;"")+($E$4:$E125&lt;&gt;""))&gt;0)))</f>
        <v/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/>
      <c r="B126" s="36"/>
      <c r="C126" s="37"/>
      <c r="D126" s="38"/>
      <c r="E126" s="39"/>
      <c r="F126" s="136"/>
      <c r="G126" s="40"/>
      <c r="H126" s="41"/>
      <c r="I126" s="42"/>
      <c r="J126" s="43" t="str">
        <f>IF(AND(D126="",E126="",A126="",B126="",C126=""),"", IFERROR(IF(J125="",D2,J125),D2)+IF(E126="",0,E126)-IF(OR(G126="أبو اسحاق",G126="أبو آدم",G126="أبو اسحاق ",G126="أبو آدم "),0,IF(D126="",0,D126)))</f>
        <v/>
      </c>
      <c r="K126" s="44"/>
      <c r="L126" t="str">
        <f>IF(E125&gt;0,COUNTIF($E$4:E125,"&gt;0"),"")</f>
        <v/>
      </c>
      <c r="M126" t="str">
        <f>IF(AND(D125&gt;0,G125="المحفظة"),COUNTIFS($D$4:D125,"&gt;"&amp;0,$G$4:G125,"المحفظة"),"")</f>
        <v/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 t="str">
        <f>IF(OR($A126="",$F126="أحد الشركاء",AND($D126="",$E126="")),"",SUMPRODUCT(($A$4:$A126&lt;&gt;"")*($F$4:$F126&lt;&gt;"أحد الشركاء")*((($D$4:$D126&lt;&gt;"")+($E$4:$E126&lt;&gt;""))&gt;0)))</f>
        <v/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 t="str">
        <f>IF(E126&gt;0,COUNTIF($E$4:E126,"&gt;0"),"")</f>
        <v/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0"/>
      <c r="B204" s="154"/>
      <c r="C204" s="155"/>
      <c r="D204" s="38"/>
      <c r="E204" s="39"/>
      <c r="F204" s="153"/>
      <c r="G204" s="154"/>
      <c r="H204" s="155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1576.4749999999999</v>
      </c>
      <c r="E205" s="46">
        <f>SUM(E4:E203)</f>
        <v>665.6</v>
      </c>
      <c r="F205" s="140">
        <f>COUNTIF(H4:H203,"معلق")</f>
        <v>13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1" t="s">
        <v>220</v>
      </c>
      <c r="B1" s="154"/>
      <c r="C1" s="154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3" t="s">
        <v>236</v>
      </c>
      <c r="B1" s="154"/>
    </row>
    <row r="2" spans="1:2" ht="21.75" customHeight="1" x14ac:dyDescent="0.25">
      <c r="A2" s="162" t="s">
        <v>237</v>
      </c>
      <c r="B2" s="154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2" t="s">
        <v>242</v>
      </c>
      <c r="B5" s="154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2" t="s">
        <v>251</v>
      </c>
      <c r="B11" s="154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59" t="s">
        <v>16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</row>
    <row r="2" spans="1:11" ht="24" customHeight="1" x14ac:dyDescent="0.25">
      <c r="A2" s="164"/>
      <c r="B2" s="154"/>
      <c r="C2" s="56" t="s">
        <v>256</v>
      </c>
      <c r="D2" s="164">
        <v>2026</v>
      </c>
      <c r="E2" s="154"/>
      <c r="F2" s="56" t="s">
        <v>257</v>
      </c>
      <c r="G2" s="167" t="s">
        <v>258</v>
      </c>
      <c r="H2" s="158"/>
      <c r="I2" s="158"/>
      <c r="J2" s="158"/>
      <c r="K2" s="158"/>
    </row>
    <row r="3" spans="1:11" ht="19.5" customHeight="1" x14ac:dyDescent="0.25">
      <c r="A3" s="168" t="s">
        <v>259</v>
      </c>
      <c r="B3" s="154"/>
      <c r="C3" s="154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5" t="s">
        <v>266</v>
      </c>
      <c r="B155" s="154"/>
      <c r="C155" s="154"/>
      <c r="D155" s="75">
        <f>SUM(D5:D154)</f>
        <v>724.8</v>
      </c>
      <c r="E155" s="75">
        <f>SUM(E5:E154)</f>
        <v>195.5</v>
      </c>
      <c r="F155" s="166">
        <f>COUNTIF(H5:H154,"معلق")</f>
        <v>3</v>
      </c>
      <c r="G155" s="154"/>
      <c r="H155" s="154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59" t="s">
        <v>269</v>
      </c>
      <c r="B1" s="154"/>
      <c r="C1" s="154"/>
      <c r="D1" s="154"/>
      <c r="E1" s="154"/>
      <c r="F1" s="154"/>
      <c r="G1" s="154"/>
    </row>
    <row r="2" spans="1:7" ht="24" customHeight="1" x14ac:dyDescent="0.25">
      <c r="A2" s="164" t="s">
        <v>270</v>
      </c>
      <c r="B2" s="154"/>
      <c r="C2" s="56" t="s">
        <v>256</v>
      </c>
      <c r="D2" s="164" t="s">
        <v>271</v>
      </c>
      <c r="E2" s="154"/>
      <c r="F2" s="56">
        <v>2026</v>
      </c>
    </row>
    <row r="3" spans="1:7" ht="21.75" customHeight="1" x14ac:dyDescent="0.25">
      <c r="A3" s="168" t="s">
        <v>272</v>
      </c>
      <c r="B3" s="154"/>
      <c r="C3" s="57">
        <f>المحفظة!$D$2</f>
        <v>0</v>
      </c>
      <c r="D3" s="168" t="s">
        <v>273</v>
      </c>
      <c r="E3" s="154"/>
      <c r="F3" s="78">
        <f>المحفظة!$C$3</f>
        <v>0</v>
      </c>
    </row>
    <row r="4" spans="1:7" ht="21.75" customHeight="1" x14ac:dyDescent="0.25">
      <c r="A4" s="170" t="s">
        <v>274</v>
      </c>
      <c r="B4" s="154"/>
      <c r="C4" s="154"/>
      <c r="D4" s="154"/>
      <c r="E4" s="154"/>
      <c r="F4" s="154"/>
      <c r="G4" s="154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0" t="s">
        <v>267</v>
      </c>
      <c r="B55" s="154"/>
      <c r="C55" s="154"/>
      <c r="D55" s="154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69" t="s">
        <v>276</v>
      </c>
      <c r="B56" s="154"/>
      <c r="C56" s="154"/>
      <c r="D56" s="154"/>
      <c r="E56" s="154"/>
      <c r="F56" s="154"/>
      <c r="G56" s="154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69" t="s">
        <v>277</v>
      </c>
      <c r="B107" s="154"/>
      <c r="C107" s="154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5" t="s">
        <v>278</v>
      </c>
      <c r="B108" s="154"/>
      <c r="C108" s="154"/>
      <c r="D108" s="75">
        <f>E55-D107</f>
        <v>0</v>
      </c>
      <c r="E108" s="171">
        <f>SUM(E5:E107)</f>
        <v>0</v>
      </c>
      <c r="F108" s="154"/>
      <c r="G108" s="155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2026-07-20T13:59:51Z</dcterms:modified>
  <dc:language>en-US</dc:language>
</cp:coreProperties>
</file>