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1CDE5C5-47CE-47BD-A836-0F4CB1698E48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O99" i="2"/>
  <c r="N99" i="2"/>
  <c r="M99" i="2"/>
  <c r="L99" i="2"/>
  <c r="O98" i="2"/>
  <c r="N98" i="2"/>
  <c r="M98" i="2"/>
  <c r="L98" i="2"/>
  <c r="O97" i="2"/>
  <c r="N97" i="2"/>
  <c r="M97" i="2"/>
  <c r="L97" i="2"/>
  <c r="J97" i="2"/>
  <c r="J98" i="2" s="1"/>
  <c r="J99" i="2" s="1"/>
  <c r="J100" i="2" s="1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O88" i="2"/>
  <c r="N88" i="2"/>
  <c r="M88" i="2"/>
  <c r="L88" i="2"/>
  <c r="J88" i="2"/>
  <c r="J89" i="2" s="1"/>
  <c r="O87" i="2"/>
  <c r="N87" i="2"/>
  <c r="M87" i="2"/>
  <c r="L87" i="2"/>
  <c r="O86" i="2"/>
  <c r="N86" i="2"/>
  <c r="M86" i="2"/>
  <c r="L86" i="2"/>
  <c r="O85" i="2"/>
  <c r="N85" i="2"/>
  <c r="M85" i="2"/>
  <c r="L85" i="2"/>
  <c r="O84" i="2"/>
  <c r="N84" i="2"/>
  <c r="M84" i="2"/>
  <c r="L84" i="2"/>
  <c r="O83" i="2"/>
  <c r="M83" i="2"/>
  <c r="L83" i="2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A103" i="1" l="1"/>
  <c r="H103" i="1" s="1"/>
  <c r="D125" i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C88" i="1"/>
  <c r="F101" i="1"/>
  <c r="G223" i="1"/>
  <c r="C258" i="1"/>
  <c r="G259" i="1"/>
  <c r="F57" i="1"/>
  <c r="A63" i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C71" i="1"/>
  <c r="F70" i="1"/>
  <c r="A70" i="1"/>
  <c r="C69" i="1"/>
  <c r="F68" i="1"/>
  <c r="A68" i="1"/>
  <c r="C67" i="1"/>
  <c r="F66" i="1"/>
  <c r="A66" i="1"/>
  <c r="C65" i="1"/>
  <c r="F64" i="1"/>
  <c r="A64" i="1"/>
  <c r="C63" i="1"/>
  <c r="F62" i="1"/>
  <c r="A62" i="1"/>
  <c r="F60" i="1"/>
  <c r="A60" i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C62" i="1"/>
  <c r="F63" i="1"/>
  <c r="A65" i="1"/>
  <c r="C66" i="1"/>
  <c r="F67" i="1"/>
  <c r="A69" i="1"/>
  <c r="C70" i="1"/>
  <c r="F71" i="1"/>
  <c r="A73" i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C123" i="1"/>
  <c r="F122" i="1"/>
  <c r="A122" i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8" i="6"/>
  <c r="F58" i="6"/>
  <c r="N11" i="2"/>
  <c r="H13" i="1"/>
  <c r="D59" i="6" l="1"/>
  <c r="H117" i="1"/>
  <c r="F60" i="6" s="1"/>
  <c r="C59" i="6"/>
  <c r="A59" i="6"/>
  <c r="B59" i="6"/>
  <c r="F59" i="6"/>
  <c r="H14" i="1"/>
  <c r="N12" i="2"/>
  <c r="D60" i="6" l="1"/>
  <c r="C60" i="6"/>
  <c r="H118" i="1"/>
  <c r="H119" i="1" s="1"/>
  <c r="H120" i="1" s="1"/>
  <c r="H121" i="1" s="1"/>
  <c r="A60" i="6"/>
  <c r="B60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N13" i="2"/>
  <c r="A63" i="6" l="1"/>
  <c r="C61" i="6"/>
  <c r="B62" i="6"/>
  <c r="B63" i="6"/>
  <c r="D63" i="6"/>
  <c r="D61" i="6"/>
  <c r="C63" i="6"/>
  <c r="A64" i="6"/>
  <c r="B61" i="6"/>
  <c r="A61" i="6"/>
  <c r="C62" i="6"/>
  <c r="D64" i="6"/>
  <c r="F62" i="6"/>
  <c r="D62" i="6"/>
  <c r="H122" i="1"/>
  <c r="F64" i="6"/>
  <c r="C64" i="6"/>
  <c r="F63" i="6"/>
  <c r="B64" i="6"/>
  <c r="F61" i="6"/>
  <c r="A62" i="6"/>
  <c r="A5" i="6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H123" i="1" l="1"/>
  <c r="B65" i="6"/>
  <c r="D65" i="6"/>
  <c r="A65" i="6"/>
  <c r="C65" i="6"/>
  <c r="F65" i="6"/>
  <c r="N15" i="2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E108" i="6"/>
  <c r="H124" i="1" l="1"/>
  <c r="D90" i="6" s="1"/>
  <c r="A66" i="6"/>
  <c r="C66" i="6"/>
  <c r="D66" i="6"/>
  <c r="B66" i="6"/>
  <c r="F66" i="6"/>
  <c r="E6" i="5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82" i="6" l="1"/>
  <c r="D96" i="6"/>
  <c r="A102" i="6"/>
  <c r="A91" i="6"/>
  <c r="B70" i="6"/>
  <c r="F103" i="6"/>
  <c r="D103" i="6"/>
  <c r="D77" i="6"/>
  <c r="D84" i="6"/>
  <c r="D99" i="6"/>
  <c r="D79" i="6"/>
  <c r="F69" i="6"/>
  <c r="C80" i="6"/>
  <c r="A104" i="6"/>
  <c r="B82" i="6"/>
  <c r="D106" i="6"/>
  <c r="A73" i="6"/>
  <c r="F90" i="6"/>
  <c r="D73" i="6"/>
  <c r="F89" i="6"/>
  <c r="B97" i="6"/>
  <c r="B75" i="6"/>
  <c r="F71" i="6"/>
  <c r="D71" i="6"/>
  <c r="A71" i="6"/>
  <c r="D82" i="6"/>
  <c r="F85" i="6"/>
  <c r="F68" i="6"/>
  <c r="A89" i="6"/>
  <c r="A97" i="6"/>
  <c r="A106" i="6"/>
  <c r="C86" i="6"/>
  <c r="D78" i="6"/>
  <c r="B105" i="6"/>
  <c r="F80" i="6"/>
  <c r="F87" i="6"/>
  <c r="A96" i="6"/>
  <c r="B92" i="6"/>
  <c r="C82" i="6"/>
  <c r="B100" i="6"/>
  <c r="D70" i="6"/>
  <c r="F83" i="6"/>
  <c r="B74" i="6"/>
  <c r="A67" i="6"/>
  <c r="C99" i="6"/>
  <c r="C90" i="6"/>
  <c r="C95" i="6"/>
  <c r="A84" i="6"/>
  <c r="B78" i="6"/>
  <c r="F72" i="6"/>
  <c r="B85" i="6"/>
  <c r="B91" i="6"/>
  <c r="C84" i="6"/>
  <c r="D107" i="6"/>
  <c r="D108" i="6" s="1"/>
  <c r="C94" i="6"/>
  <c r="B98" i="6"/>
  <c r="F92" i="6"/>
  <c r="C76" i="6"/>
  <c r="B69" i="6"/>
  <c r="F76" i="6"/>
  <c r="D75" i="6"/>
  <c r="B76" i="6"/>
  <c r="D98" i="6"/>
  <c r="D94" i="6"/>
  <c r="A87" i="6"/>
  <c r="C79" i="6"/>
  <c r="F97" i="6"/>
  <c r="B71" i="6"/>
  <c r="C100" i="6"/>
  <c r="C77" i="6"/>
  <c r="B81" i="6"/>
  <c r="A88" i="6"/>
  <c r="A70" i="6"/>
  <c r="B86" i="6"/>
  <c r="F101" i="6"/>
  <c r="B77" i="6"/>
  <c r="D95" i="6"/>
  <c r="D80" i="6"/>
  <c r="D89" i="6"/>
  <c r="C71" i="6"/>
  <c r="D105" i="6"/>
  <c r="B106" i="6"/>
  <c r="A69" i="6"/>
  <c r="B99" i="6"/>
  <c r="A80" i="6"/>
  <c r="F95" i="6"/>
  <c r="A72" i="6"/>
  <c r="D93" i="6"/>
  <c r="F84" i="6"/>
  <c r="C103" i="6"/>
  <c r="B90" i="6"/>
  <c r="D85" i="6"/>
  <c r="B84" i="6"/>
  <c r="B67" i="6"/>
  <c r="A105" i="6"/>
  <c r="F98" i="6"/>
  <c r="C83" i="6"/>
  <c r="F105" i="6"/>
  <c r="C93" i="6"/>
  <c r="C68" i="6"/>
  <c r="C74" i="6"/>
  <c r="D87" i="6"/>
  <c r="A75" i="6"/>
  <c r="D92" i="6"/>
  <c r="D88" i="6"/>
  <c r="D74" i="6"/>
  <c r="A79" i="6"/>
  <c r="C105" i="6"/>
  <c r="C70" i="6"/>
  <c r="C69" i="6"/>
  <c r="F67" i="6"/>
  <c r="A68" i="6"/>
  <c r="C102" i="6"/>
  <c r="D72" i="6"/>
  <c r="C97" i="6"/>
  <c r="A101" i="6"/>
  <c r="F86" i="6"/>
  <c r="B68" i="6"/>
  <c r="C72" i="6"/>
  <c r="C104" i="6"/>
  <c r="A85" i="6"/>
  <c r="C96" i="6"/>
  <c r="B101" i="6"/>
  <c r="F96" i="6"/>
  <c r="A103" i="6"/>
  <c r="D86" i="6"/>
  <c r="F88" i="6"/>
  <c r="C73" i="6"/>
  <c r="F93" i="6"/>
  <c r="A90" i="6"/>
  <c r="D104" i="6"/>
  <c r="C88" i="6"/>
  <c r="D76" i="6"/>
  <c r="F74" i="6"/>
  <c r="D68" i="6"/>
  <c r="B88" i="6"/>
  <c r="B80" i="6"/>
  <c r="A93" i="6"/>
  <c r="C101" i="6"/>
  <c r="D102" i="6"/>
  <c r="A83" i="6"/>
  <c r="A99" i="6"/>
  <c r="D81" i="6"/>
  <c r="F99" i="6"/>
  <c r="B89" i="6"/>
  <c r="A81" i="6"/>
  <c r="B93" i="6"/>
  <c r="F104" i="6"/>
  <c r="F79" i="6"/>
  <c r="A95" i="6"/>
  <c r="C78" i="6"/>
  <c r="F77" i="6"/>
  <c r="D101" i="6"/>
  <c r="C89" i="6"/>
  <c r="A77" i="6"/>
  <c r="B83" i="6"/>
  <c r="A92" i="6"/>
  <c r="B72" i="6"/>
  <c r="F102" i="6"/>
  <c r="C98" i="6"/>
  <c r="B87" i="6"/>
  <c r="C87" i="6"/>
  <c r="C81" i="6"/>
  <c r="A94" i="6"/>
  <c r="F106" i="6"/>
  <c r="C91" i="6"/>
  <c r="D83" i="6"/>
  <c r="C67" i="6"/>
  <c r="F70" i="6"/>
  <c r="D69" i="6"/>
  <c r="A98" i="6"/>
  <c r="B102" i="6"/>
  <c r="C75" i="6"/>
  <c r="F91" i="6"/>
  <c r="F100" i="6"/>
  <c r="A74" i="6"/>
  <c r="B103" i="6"/>
  <c r="A86" i="6"/>
  <c r="F75" i="6"/>
  <c r="A76" i="6"/>
  <c r="D67" i="6"/>
  <c r="D97" i="6"/>
  <c r="D91" i="6"/>
  <c r="F78" i="6"/>
  <c r="B73" i="6"/>
  <c r="F81" i="6"/>
  <c r="A82" i="6"/>
  <c r="B94" i="6"/>
  <c r="B104" i="6"/>
  <c r="F73" i="6"/>
  <c r="A100" i="6"/>
  <c r="D100" i="6"/>
  <c r="B79" i="6"/>
  <c r="C106" i="6"/>
  <c r="C92" i="6"/>
  <c r="F94" i="6"/>
  <c r="A78" i="6"/>
  <c r="B96" i="6"/>
  <c r="C85" i="6"/>
  <c r="B95" i="6"/>
  <c r="F155" i="5"/>
  <c r="D155" i="5"/>
  <c r="E155" i="5"/>
  <c r="J155" i="5" l="1"/>
</calcChain>
</file>

<file path=xl/sharedStrings.xml><?xml version="1.0" encoding="utf-8"?>
<sst xmlns="http://schemas.openxmlformats.org/spreadsheetml/2006/main" count="858" uniqueCount="270">
  <si>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</si>
  <si>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</si>
  <si>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</si>
  <si>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</si>
  <si>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</si>
  <si>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</si>
  <si>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</si>
  <si>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</si>
  <si>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</si>
  <si>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</si>
  <si>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</si>
  <si>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</si>
  <si>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</si>
  <si>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</si>
  <si>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</si>
  <si>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</si>
  <si>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</si>
  <si>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</si>
  <si>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</si>
  <si>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</si>
  <si>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</si>
  <si>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</si>
  <si>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</si>
  <si>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</si>
  <si>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</si>
  <si>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</si>
  <si>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</si>
  <si>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</si>
  <si>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</si>
  <si>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</si>
  <si>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</si>
  <si>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</si>
  <si>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</si>
  <si>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</si>
  <si>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</si>
  <si>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</si>
  <si>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</si>
  <si>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</si>
  <si>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</si>
  <si>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</si>
  <si>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</si>
  <si>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</si>
  <si>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</si>
  <si>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</si>
  <si>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</si>
  <si>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</si>
  <si>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</si>
  <si>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</si>
  <si>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</si>
  <si>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</si>
  <si>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</si>
  <si>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</si>
  <si>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</si>
  <si>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</si>
  <si>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</si>
  <si>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</si>
  <si>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</si>
  <si>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</si>
  <si>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</si>
  <si>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</si>
  <si>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</si>
  <si>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</si>
  <si>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</si>
  <si>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</si>
  <si>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</si>
  <si>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</si>
  <si>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</si>
  <si>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</si>
  <si>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</si>
  <si>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</si>
  <si>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</si>
  <si>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</si>
  <si>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</si>
  <si>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</si>
  <si>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</si>
  <si>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</si>
  <si>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</si>
  <si>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</si>
  <si>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</si>
  <si>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</si>
  <si>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</si>
  <si>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</si>
  <si>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</si>
  <si>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</si>
  <si>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</si>
  <si>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</si>
  <si>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</si>
  <si>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</si>
  <si>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</si>
  <si>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</si>
  <si>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</si>
  <si>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</si>
  <si>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</si>
  <si>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</si>
  <si>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</si>
  <si>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</si>
  <si>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</si>
  <si>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</si>
  <si>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</si>
  <si>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</si>
  <si>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</si>
  <si>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</si>
  <si>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</si>
  <si>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</si>
  <si>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</si>
  <si>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</si>
  <si>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</si>
  <si>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</si>
  <si>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</si>
  <si>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</si>
  <si>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</si>
  <si>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</si>
  <si>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</si>
  <si>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</si>
  <si>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</si>
  <si>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</si>
  <si>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</si>
  <si>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</si>
  <si>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</si>
  <si>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</si>
  <si>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</si>
  <si>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</si>
  <si>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</si>
  <si>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</si>
  <si>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</si>
  <si>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</si>
  <si>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</si>
  <si>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</si>
  <si>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</si>
  <si>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</si>
  <si>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</si>
  <si>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</si>
  <si>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</si>
  <si>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</si>
  <si>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</si>
  <si>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</si>
  <si>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</si>
  <si>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</si>
  <si>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</si>
  <si>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</si>
  <si>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</si>
  <si>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</si>
  <si>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</si>
  <si>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</si>
  <si>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</si>
  <si>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</si>
  <si>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</si>
  <si>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</si>
  <si>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</si>
  <si>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</si>
  <si>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</si>
  <si>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</si>
  <si>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</si>
  <si>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</si>
  <si>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</si>
  <si>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</si>
  <si>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</si>
  <si>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</si>
  <si>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</si>
  <si>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</si>
  <si>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</si>
  <si>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</si>
  <si>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</si>
  <si>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</si>
  <si>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</si>
  <si>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</si>
  <si>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</si>
  <si>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</si>
  <si>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</si>
  <si>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</si>
  <si>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</si>
  <si>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</si>
  <si>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</si>
  <si>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</si>
  <si>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</si>
  <si>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</si>
  <si>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</si>
  <si>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</si>
  <si>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</si>
  <si>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</si>
  <si>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</si>
  <si>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</si>
  <si>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</si>
  <si>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</si>
  <si>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</si>
  <si>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</si>
  <si>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</si>
  <si>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</si>
  <si>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</si>
  <si>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</si>
  <si>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</si>
  <si>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</si>
  <si>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</si>
  <si>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</si>
  <si>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</si>
  <si>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</si>
  <si>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</si>
  <si>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</si>
  <si>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</si>
  <si>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</si>
  <si>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</si>
  <si>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</si>
  <si>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</si>
  <si>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</si>
  <si>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</si>
  <si>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</si>
  <si>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</si>
  <si>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</si>
  <si>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</si>
  <si>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</si>
  <si>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</si>
  <si>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</si>
  <si>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</si>
  <si>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</si>
  <si>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</si>
  <si>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</si>
  <si>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</si>
  <si>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</si>
  <si>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</si>
  <si>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</si>
  <si>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</si>
  <si>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</si>
  <si>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</si>
  <si>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</si>
  <si>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</si>
  <si>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</si>
  <si>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</si>
  <si>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</si>
  <si>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</si>
  <si>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</si>
  <si>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</si>
  <si>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</si>
  <si>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</si>
  <si>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</si>
  <si>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</si>
  <si>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</si>
  <si>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</si>
  <si>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</si>
  <si>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</si>
  <si>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</si>
  <si>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</si>
  <si>
    <t>Inv-70</t>
  </si>
  <si>
    <t>افوبياعدد 1 الحبه .0.750</t>
  </si>
  <si>
    <t>Inv-71</t>
  </si>
  <si>
    <t>دارسينا عدد 1 الحبه 1.500</t>
  </si>
  <si>
    <t>Inv-72</t>
  </si>
  <si>
    <t>Inv-73</t>
  </si>
  <si>
    <t>فل عدد 1 الحبه 0.750</t>
  </si>
  <si>
    <t>ودليه عدد 3 الحبه 1</t>
  </si>
  <si>
    <t>Inv-74</t>
  </si>
  <si>
    <t>Inv-75</t>
  </si>
  <si>
    <t>ربل عدد 11 الحبه 2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</si>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</sst>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1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39" t="s">
        <v>0</v>
      </c>
      <c r="B1" s="139"/>
      <c r="C1" s="139"/>
      <c r="D1" s="139"/>
      <c r="E1" s="139"/>
      <c r="F1" s="139"/>
      <c r="G1" s="139"/>
    </row>
    <row r="2" spans="1:8" ht="24" customHeight="1">
      <c r="A2" s="140" t="s">
        <v>1</v>
      </c>
      <c r="B2" s="140"/>
      <c r="C2" s="140"/>
      <c r="D2" s="1">
        <v>0</v>
      </c>
      <c r="E2" s="141" t="s">
        <v>2</v>
      </c>
      <c r="F2" s="141"/>
      <c r="G2" s="141"/>
    </row>
    <row r="3" spans="1:8" ht="24" customHeight="1">
      <c r="A3" s="142" t="s">
        <v>3</v>
      </c>
      <c r="B3" s="142"/>
      <c r="C3" s="2">
        <f>$D$2+SUM(E5:E104)-SUM(D106:D205)</f>
        <v>418.1</v>
      </c>
      <c r="D3" s="143" t="s">
        <v>4</v>
      </c>
      <c r="E3" s="143"/>
      <c r="F3" s="143"/>
      <c r="G3" s="143"/>
    </row>
    <row r="4" spans="1:8" ht="21.75" customHeight="1">
      <c r="A4" s="144" t="s">
        <v>5</v>
      </c>
      <c r="B4" s="144"/>
      <c r="C4" s="144"/>
      <c r="D4" s="144"/>
      <c r="E4" s="144"/>
      <c r="F4" s="144"/>
      <c r="G4" s="144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أون لاين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>
        <f>IFERROR(INDEX('كشف الحساب'!$A$4:$A$203,MATCH(56,'كشف الحساب'!$L$4:$L$203,0)),"")</f>
        <v>46190</v>
      </c>
      <c r="B60" s="11" t="str">
        <f>IFERROR(INDEX('كشف الحساب'!$B$4:$B$203,MATCH(56,'كشف الحساب'!$L$4:$L$203,0)),"")</f>
        <v>Inv-71</v>
      </c>
      <c r="C60" s="12" t="str">
        <f>IFERROR(INDEX('كشف الحساب'!$C$4:$C$203,MATCH(56,'كشف الحساب'!$L$4:$L$203,0)),"")</f>
        <v>دارسينا عدد 1 الحبه 1.500</v>
      </c>
      <c r="D60" s="13" t="s">
        <v>6</v>
      </c>
      <c r="E60" s="14">
        <f>IFERROR(INDEX('كشف الحساب'!$E$4:$E$203,MATCH(56,'كشف الحساب'!$L$4:$L$203,0)),"")</f>
        <v>1.5</v>
      </c>
      <c r="F60" s="15" t="str">
        <f>IFERROR(INDEX('كشف الحساب'!$F$4:$F$203,MATCH(56,'كشف الحساب'!$L$4:$L$203,0)),"")</f>
        <v>أون لاين</v>
      </c>
      <c r="G60" s="16"/>
      <c r="H60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>18</v>
      </c>
    </row>
    <row r="61" spans="1:8" ht="18" customHeight="1">
      <c r="A61" s="3">
        <f>IFERROR(INDEX('كشف الحساب'!$A$4:$A$203,MATCH(57,'كشف الحساب'!$L$4:$L$203,0)),"")</f>
        <v>46191</v>
      </c>
      <c r="B61" s="4" t="str">
        <f>IFERROR(INDEX('كشف الحساب'!$B$4:$B$203,MATCH(57,'كشف الحساب'!$L$4:$L$203,0)),"")</f>
        <v>Inv-72</v>
      </c>
      <c r="C61" s="5" t="str">
        <f>IFERROR(INDEX('كشف الحساب'!$C$4:$C$203,MATCH(57,'كشف الحساب'!$L$4:$L$203,0)),"")</f>
        <v>فل عدد 1 الحبه 0.750</v>
      </c>
      <c r="D61" s="6" t="s">
        <v>6</v>
      </c>
      <c r="E61" s="7">
        <f>IFERROR(INDEX('كشف الحساب'!$E$4:$E$203,MATCH(57,'كشف الحساب'!$L$4:$L$203,0)),"")</f>
        <v>0.75</v>
      </c>
      <c r="F61" s="8" t="str">
        <f>IFERROR(INDEX('كشف الحساب'!$F$4:$F$203,MATCH(57,'كشف الحساب'!$L$4:$L$203,0)),"")</f>
        <v>أون لاين</v>
      </c>
      <c r="G61" s="9"/>
      <c r="H61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>19</v>
      </c>
    </row>
    <row r="62" spans="1:8" ht="18" customHeight="1">
      <c r="A62" s="10">
        <f>IFERROR(INDEX('كشف الحساب'!$A$4:$A$203,MATCH(58,'كشف الحساب'!$L$4:$L$203,0)),"")</f>
        <v>46191</v>
      </c>
      <c r="B62" s="11" t="str">
        <f>IFERROR(INDEX('كشف الحساب'!$B$4:$B$203,MATCH(58,'كشف الحساب'!$L$4:$L$203,0)),"")</f>
        <v>Inv-73</v>
      </c>
      <c r="C62" s="12" t="str">
        <f>IFERROR(INDEX('كشف الحساب'!$C$4:$C$203,MATCH(58,'كشف الحساب'!$L$4:$L$203,0)),"")</f>
        <v>ودليه عدد 3 الحبه 1</v>
      </c>
      <c r="D62" s="13" t="s">
        <v>6</v>
      </c>
      <c r="E62" s="14">
        <f>IFERROR(INDEX('كشف الحساب'!$E$4:$E$203,MATCH(58,'كشف الحساب'!$L$4:$L$203,0)),"")</f>
        <v>3</v>
      </c>
      <c r="F62" s="15" t="str">
        <f>IFERROR(INDEX('كشف الحساب'!$F$4:$F$203,MATCH(58,'كشف الحساب'!$L$4:$L$203,0)),"")</f>
        <v>أون لاين</v>
      </c>
      <c r="G62" s="16"/>
      <c r="H62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>20</v>
      </c>
    </row>
    <row r="63" spans="1:8" ht="18" customHeight="1">
      <c r="A63" s="3">
        <f>IFERROR(INDEX('كشف الحساب'!$A$4:$A$203,MATCH(59,'كشف الحساب'!$L$4:$L$203,0)),"")</f>
        <v>46199</v>
      </c>
      <c r="B63" s="4" t="str">
        <f>IFERROR(INDEX('كشف الحساب'!$B$4:$B$203,MATCH(59,'كشف الحساب'!$L$4:$L$203,0)),"")</f>
        <v>Inv-74</v>
      </c>
      <c r="C63" s="5" t="str">
        <f>IFERROR(INDEX('كشف الحساب'!$C$4:$C$203,MATCH(59,'كشف الحساب'!$L$4:$L$203,0)),"")</f>
        <v>ربل عدد 11 الحبه 2</v>
      </c>
      <c r="D63" s="6" t="s">
        <v>6</v>
      </c>
      <c r="E63" s="7">
        <f>IFERROR(INDEX('كشف الحساب'!$E$4:$E$203,MATCH(59,'كشف الحساب'!$L$4:$L$203,0)),"")</f>
        <v>22</v>
      </c>
      <c r="F63" s="8" t="str">
        <f>IFERROR(INDEX('كشف الحساب'!$F$4:$F$203,MATCH(59,'كشف الحساب'!$L$4:$L$203,0)),"")</f>
        <v>أون لاين</v>
      </c>
      <c r="G63" s="9"/>
      <c r="H63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>21</v>
      </c>
    </row>
    <row r="64" spans="1:8" ht="18" customHeight="1">
      <c r="A64" s="10">
        <f>IFERROR(INDEX('كشف الحساب'!$A$4:$A$203,MATCH(60,'كشف الحساب'!$L$4:$L$203,0)),"")</f>
        <v>46199</v>
      </c>
      <c r="B64" s="11" t="str">
        <f>IFERROR(INDEX('كشف الحساب'!$B$4:$B$203,MATCH(60,'كشف الحساب'!$L$4:$L$203,0)),"")</f>
        <v>Inv-75</v>
      </c>
      <c r="C64" s="12" t="str">
        <f>IFERROR(INDEX('كشف الحساب'!$C$4:$C$203,MATCH(60,'كشف الحساب'!$L$4:$L$203,0)),"")</f>
        <v>شوفليرا عدد6 الحبه 1.500</v>
      </c>
      <c r="D64" s="13" t="s">
        <v>6</v>
      </c>
      <c r="E64" s="14">
        <f>IFERROR(INDEX('كشف الحساب'!$E$4:$E$203,MATCH(60,'كشف الحساب'!$L$4:$L$203,0)),"")</f>
        <v>9</v>
      </c>
      <c r="F64" s="15" t="str">
        <f>IFERROR(INDEX('كشف الحساب'!$F$4:$F$203,MATCH(60,'كشف الحساب'!$L$4:$L$203,0)),"")</f>
        <v>أون لاين</v>
      </c>
      <c r="G64" s="16"/>
      <c r="H64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>22</v>
      </c>
    </row>
    <row r="65" spans="1:8" ht="18" customHeight="1">
      <c r="A65" s="3">
        <f>IFERROR(INDEX('كشف الحساب'!$A$4:$A$203,MATCH(61,'كشف الحساب'!$L$4:$L$203,0)),"")</f>
        <v>46197</v>
      </c>
      <c r="B65" s="4">
        <f>IFERROR(INDEX('كشف الحساب'!$B$4:$B$203,MATCH(61,'كشف الحساب'!$L$4:$L$203,0)),"")</f>
        <v>0</v>
      </c>
      <c r="C65" s="5" t="str">
        <f>IFERROR(INDEX('كشف الحساب'!$C$4:$C$203,MATCH(61,'كشف الحساب'!$L$4:$L$203,0)),"")</f>
        <v>nbk 18-18-18</v>
      </c>
      <c r="D65" s="6" t="s">
        <v>6</v>
      </c>
      <c r="E65" s="7">
        <f>IFERROR(INDEX('كشف الحساب'!$E$4:$E$203,MATCH(61,'كشف الحساب'!$L$4:$L$203,0)),"")</f>
        <v>0</v>
      </c>
      <c r="F65" s="8" t="str">
        <f>IFERROR(INDEX('كشف الحساب'!$F$4:$F$203,MATCH(61,'كشف الحساب'!$L$4:$L$203,0)),"")</f>
        <v>نقداً</v>
      </c>
      <c r="G65" s="9"/>
      <c r="H65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>23</v>
      </c>
    </row>
    <row r="66" spans="1:8" ht="18" customHeight="1">
      <c r="A66" s="10">
        <f>IFERROR(INDEX('كشف الحساب'!$A$4:$A$203,MATCH(62,'كشف الحساب'!$L$4:$L$203,0)),"")</f>
        <v>46202</v>
      </c>
      <c r="B66" s="11" t="str">
        <f>IFERROR(INDEX('كشف الحساب'!$B$4:$B$203,MATCH(62,'كشف الحساب'!$L$4:$L$203,0)),"")</f>
        <v>Inv-77</v>
      </c>
      <c r="C66" s="12" t="str">
        <f>IFERROR(INDEX('كشف الحساب'!$C$4:$C$203,MATCH(62,'كشف الحساب'!$L$4:$L$203,0)),"")</f>
        <v>عطره عدد 3 الحبه 0.750</v>
      </c>
      <c r="D66" s="13" t="s">
        <v>6</v>
      </c>
      <c r="E66" s="14">
        <f>IFERROR(INDEX('كشف الحساب'!$E$4:$E$203,MATCH(62,'كشف الحساب'!$L$4:$L$203,0)),"")</f>
        <v>2.25</v>
      </c>
      <c r="F66" s="15" t="str">
        <f>IFERROR(INDEX('كشف الحساب'!$F$4:$F$203,MATCH(62,'كشف الحساب'!$L$4:$L$203,0)),"")</f>
        <v>أون لاين</v>
      </c>
      <c r="G66" s="16"/>
      <c r="H66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>24</v>
      </c>
    </row>
    <row r="67" spans="1:8" ht="18" customHeight="1">
      <c r="A67" s="3">
        <f>IFERROR(INDEX('كشف الحساب'!$A$4:$A$203,MATCH(63,'كشف الحساب'!$L$4:$L$203,0)),"")</f>
        <v>46202</v>
      </c>
      <c r="B67" s="4" t="str">
        <f>IFERROR(INDEX('كشف الحساب'!$B$4:$B$203,MATCH(63,'كشف الحساب'!$L$4:$L$203,0)),"")</f>
        <v>Inv-78</v>
      </c>
      <c r="C67" s="5" t="str">
        <f>IFERROR(INDEX('كشف الحساب'!$C$4:$C$203,MATCH(63,'كشف الحساب'!$L$4:$L$203,0)),"")</f>
        <v>معلقات عدد 3 الحبه 1</v>
      </c>
      <c r="D67" s="6" t="s">
        <v>6</v>
      </c>
      <c r="E67" s="7">
        <f>IFERROR(INDEX('كشف الحساب'!$E$4:$E$203,MATCH(63,'كشف الحساب'!$L$4:$L$203,0)),"")</f>
        <v>3</v>
      </c>
      <c r="F67" s="8" t="str">
        <f>IFERROR(INDEX('كشف الحساب'!$F$4:$F$203,MATCH(63,'كشف الحساب'!$L$4:$L$203,0)),"")</f>
        <v>أون لاين</v>
      </c>
      <c r="G67" s="9"/>
      <c r="H67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>25</v>
      </c>
    </row>
    <row r="68" spans="1:8" ht="18" customHeight="1">
      <c r="A68" s="10">
        <f>IFERROR(INDEX('كشف الحساب'!$A$4:$A$203,MATCH(64,'كشف الحساب'!$L$4:$L$203,0)),"")</f>
        <v>46203</v>
      </c>
      <c r="B68" s="11" t="str">
        <f>IFERROR(INDEX('كشف الحساب'!$B$4:$B$203,MATCH(64,'كشف الحساب'!$L$4:$L$203,0)),"")</f>
        <v>Inv-79</v>
      </c>
      <c r="C68" s="12" t="str">
        <f>IFERROR(INDEX('كشف الحساب'!$C$4:$C$203,MATCH(64,'كشف الحساب'!$L$4:$L$203,0)),"")</f>
        <v>معلقات عدد 4 الحبه 1</v>
      </c>
      <c r="D68" s="13" t="s">
        <v>6</v>
      </c>
      <c r="E68" s="14">
        <f>IFERROR(INDEX('كشف الحساب'!$E$4:$E$203,MATCH(64,'كشف الحساب'!$L$4:$L$203,0)),"")</f>
        <v>4</v>
      </c>
      <c r="F68" s="15" t="str">
        <f>IFERROR(INDEX('كشف الحساب'!$F$4:$F$203,MATCH(64,'كشف الحساب'!$L$4:$L$203,0)),"")</f>
        <v>أون لاين</v>
      </c>
      <c r="G68" s="16"/>
      <c r="H68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>26</v>
      </c>
    </row>
    <row r="69" spans="1:8" ht="18" customHeight="1">
      <c r="A69" s="3">
        <f>IFERROR(INDEX('كشف الحساب'!$A$4:$A$203,MATCH(65,'كشف الحساب'!$L$4:$L$203,0)),"")</f>
        <v>46203</v>
      </c>
      <c r="B69" s="4" t="str">
        <f>IFERROR(INDEX('كشف الحساب'!$B$4:$B$203,MATCH(65,'كشف الحساب'!$L$4:$L$203,0)),"")</f>
        <v>Inv-80</v>
      </c>
      <c r="C69" s="5" t="str">
        <f>IFERROR(INDEX('كشف الحساب'!$C$4:$C$203,MATCH(65,'كشف الحساب'!$L$4:$L$203,0)),"")</f>
        <v>معلقات عدد4 الحبه 1</v>
      </c>
      <c r="D69" s="6" t="s">
        <v>6</v>
      </c>
      <c r="E69" s="7">
        <f>IFERROR(INDEX('كشف الحساب'!$E$4:$E$203,MATCH(65,'كشف الحساب'!$L$4:$L$203,0)),"")</f>
        <v>4</v>
      </c>
      <c r="F69" s="8" t="str">
        <f>IFERROR(INDEX('كشف الحساب'!$F$4:$F$203,MATCH(65,'كشف الحساب'!$L$4:$L$203,0)),"")</f>
        <v>أون لاين</v>
      </c>
      <c r="G69" s="9"/>
      <c r="H69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>27</v>
      </c>
    </row>
    <row r="70" spans="1:8" ht="18" customHeight="1">
      <c r="A70" s="10">
        <f>IFERROR(INDEX('كشف الحساب'!$A$4:$A$203,MATCH(66,'كشف الحساب'!$L$4:$L$203,0)),"")</f>
        <v>46203</v>
      </c>
      <c r="B70" s="11" t="str">
        <f>IFERROR(INDEX('كشف الحساب'!$B$4:$B$203,MATCH(66,'كشف الحساب'!$L$4:$L$203,0)),"")</f>
        <v>Inv-81</v>
      </c>
      <c r="C70" s="12" t="str">
        <f>IFERROR(INDEX('كشف الحساب'!$C$4:$C$203,MATCH(66,'كشف الحساب'!$L$4:$L$203,0)),"")</f>
        <v>افوبيا عدد 2 الحبه 1</v>
      </c>
      <c r="D70" s="13" t="s">
        <v>6</v>
      </c>
      <c r="E70" s="14">
        <f>IFERROR(INDEX('كشف الحساب'!$E$4:$E$203,MATCH(66,'كشف الحساب'!$L$4:$L$203,0)),"")</f>
        <v>2</v>
      </c>
      <c r="F70" s="15" t="str">
        <f>IFERROR(INDEX('كشف الحساب'!$F$4:$F$203,MATCH(66,'كشف الحساب'!$L$4:$L$203,0)),"")</f>
        <v>أون لاين</v>
      </c>
      <c r="G70" s="16"/>
      <c r="H70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>28</v>
      </c>
    </row>
    <row r="71" spans="1:8" ht="18" customHeight="1">
      <c r="A71" s="3">
        <f>IFERROR(INDEX('كشف الحساب'!$A$4:$A$203,MATCH(67,'كشف الحساب'!$L$4:$L$203,0)),"")</f>
        <v>46203</v>
      </c>
      <c r="B71" s="4">
        <f>IFERROR(INDEX('كشف الحساب'!$B$4:$B$203,MATCH(67,'كشف الحساب'!$L$4:$L$203,0)),"")</f>
        <v>0</v>
      </c>
      <c r="C71" s="5" t="str">
        <f>IFERROR(INDEX('كشف الحساب'!$C$4:$C$203,MATCH(67,'كشف الحساب'!$L$4:$L$203,0)),"")</f>
        <v>رواتب عماله شهر يونيو 2026</v>
      </c>
      <c r="D71" s="6" t="s">
        <v>6</v>
      </c>
      <c r="E71" s="7">
        <f>IFERROR(INDEX('كشف الحساب'!$E$4:$E$203,MATCH(67,'كشف الحساب'!$L$4:$L$203,0)),"")</f>
        <v>0</v>
      </c>
      <c r="F71" s="8" t="str">
        <f>IFERROR(INDEX('كشف الحساب'!$F$4:$F$203,MATCH(67,'كشف الحساب'!$L$4:$L$203,0)),"")</f>
        <v>نقداً</v>
      </c>
      <c r="G71" s="9"/>
      <c r="H71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>29</v>
      </c>
    </row>
    <row r="72" spans="1:8" ht="18" customHeight="1">
      <c r="A72" s="10">
        <f>IFERROR(INDEX('كشف الحساب'!$A$4:$A$203,MATCH(68,'كشف الحساب'!$L$4:$L$203,0)),"")</f>
        <v>46203</v>
      </c>
      <c r="B72" s="11">
        <f>IFERROR(INDEX('كشف الحساب'!$B$4:$B$203,MATCH(68,'كشف الحساب'!$L$4:$L$203,0)),"")</f>
        <v>0</v>
      </c>
      <c r="C72" s="12" t="str">
        <f>IFERROR(INDEX('كشف الحساب'!$C$4:$C$203,MATCH(68,'كشف الحساب'!$L$4:$L$203,0)),"")</f>
        <v>تكمله رواتب يونيو 2026 ابواسحاق</v>
      </c>
      <c r="D72" s="13" t="s">
        <v>6</v>
      </c>
      <c r="E72" s="14">
        <f>IFERROR(INDEX('كشف الحساب'!$E$4:$E$203,MATCH(68,'كشف الحساب'!$L$4:$L$203,0)),"")</f>
        <v>50</v>
      </c>
      <c r="F72" s="15" t="str">
        <f>IFERROR(INDEX('كشف الحساب'!$F$4:$F$203,MATCH(68,'كشف الحساب'!$L$4:$L$203,0)),"")</f>
        <v>نقداً</v>
      </c>
      <c r="G72" s="16"/>
      <c r="H72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>30</v>
      </c>
    </row>
    <row r="73" spans="1:8" ht="18" customHeight="1">
      <c r="A73" s="3">
        <f>IFERROR(INDEX('كشف الحساب'!$A$4:$A$203,MATCH(69,'كشف الحساب'!$L$4:$L$203,0)),"")</f>
        <v>46203</v>
      </c>
      <c r="B73" s="4">
        <f>IFERROR(INDEX('كشف الحساب'!$B$4:$B$203,MATCH(69,'كشف الحساب'!$L$4:$L$203,0)),"")</f>
        <v>0</v>
      </c>
      <c r="C73" s="5" t="str">
        <f>IFERROR(INDEX('كشف الحساب'!$C$4:$C$203,MATCH(69,'كشف الحساب'!$L$4:$L$203,0)),"")</f>
        <v>احواض عدد 1000 مقاس 25 سم</v>
      </c>
      <c r="D73" s="6" t="s">
        <v>6</v>
      </c>
      <c r="E73" s="7">
        <f>IFERROR(INDEX('كشف الحساب'!$E$4:$E$203,MATCH(69,'كشف الحساب'!$L$4:$L$203,0)),"")</f>
        <v>0</v>
      </c>
      <c r="F73" s="8" t="str">
        <f>IFERROR(INDEX('كشف الحساب'!$F$4:$F$203,MATCH(69,'كشف الحساب'!$L$4:$L$203,0)),"")</f>
        <v>نقداً</v>
      </c>
      <c r="G73" s="9"/>
      <c r="H73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>31</v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45" t="s">
        <v>7</v>
      </c>
      <c r="B105" s="145"/>
      <c r="C105" s="145"/>
      <c r="D105" s="145"/>
      <c r="E105" s="17">
        <f>SUM(E5:E104)</f>
        <v>620.6</v>
      </c>
    </row>
    <row r="106" spans="1:8" ht="21.75" customHeight="1">
      <c r="A106" s="146" t="s">
        <v>8</v>
      </c>
      <c r="B106" s="146"/>
      <c r="C106" s="146"/>
      <c r="D106" s="146"/>
      <c r="E106" s="146"/>
      <c r="F106" s="146"/>
      <c r="G106" s="146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46190</v>
      </c>
      <c r="B122" s="26" t="str">
        <f>IFERROR(INDEX('كشف الحساب'!$B$4:$B$203,MATCH(16,'كشف الحساب'!$M$4:$M$203,0)),"")</f>
        <v>Inv-70</v>
      </c>
      <c r="C122" s="27" t="str">
        <f>IFERROR(INDEX('كشف الحساب'!$C$4:$C$203,MATCH(16,'كشف الحساب'!$M$4:$M$203,0)),"")</f>
        <v>افوبياعدد 1 الحبه .0.750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>9</v>
      </c>
    </row>
    <row r="123" spans="1:8" ht="18" customHeight="1">
      <c r="A123" s="18">
        <f>IFERROR(INDEX('كشف الحساب'!$A$4:$A$203,MATCH(17,'كشف الحساب'!$M$4:$M$203,0)),"")</f>
        <v>46201</v>
      </c>
      <c r="B123" s="19" t="str">
        <f>IFERROR(INDEX('كشف الحساب'!$B$4:$B$203,MATCH(17,'كشف الحساب'!$M$4:$M$203,0)),"")</f>
        <v>Inv-76</v>
      </c>
      <c r="C123" s="20" t="str">
        <f>IFERROR(INDEX('كشف الحساب'!$C$4:$C$203,MATCH(17,'كشف الحساب'!$M$4:$M$203,0)),"")</f>
        <v>فل عدد 11 الحبه 0.750</v>
      </c>
      <c r="D123" s="21">
        <f>IFERROR(INDEX('كشف الحساب'!$D$4:$D$203,MATCH(17,'كشف الحساب'!$M$4:$M$203,0)),"")</f>
        <v>0</v>
      </c>
      <c r="E123" s="22" t="s">
        <v>6</v>
      </c>
      <c r="F123" s="23">
        <f>IFERROR(INDEX('كشف الحساب'!$I$4:$I$203,MATCH(17,'كشف الحساب'!$M$4:$M$203,0)),"")</f>
        <v>0</v>
      </c>
      <c r="G123" s="24"/>
      <c r="H123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>10</v>
      </c>
    </row>
    <row r="124" spans="1:8" ht="18" customHeight="1">
      <c r="A124" s="25">
        <f>IFERROR(INDEX('كشف الحساب'!$A$4:$A$203,MATCH(18,'كشف الحساب'!$M$4:$M$203,0)),"")</f>
        <v>46203</v>
      </c>
      <c r="B124" s="26">
        <f>IFERROR(INDEX('كشف الحساب'!$B$4:$B$203,MATCH(18,'كشف الحساب'!$M$4:$M$203,0)),"")</f>
        <v>0</v>
      </c>
      <c r="C124" s="27" t="str">
        <f>IFERROR(INDEX('كشف الحساب'!$C$4:$C$203,MATCH(18,'كشف الحساب'!$M$4:$M$203,0)),"")</f>
        <v>تكمله رواتب يونيو 2026 ابوادم</v>
      </c>
      <c r="D124" s="28">
        <f>IFERROR(INDEX('كشف الحساب'!$D$4:$D$203,MATCH(18,'كشف الحساب'!$M$4:$M$203,0)),"")</f>
        <v>0</v>
      </c>
      <c r="E124" s="29" t="s">
        <v>6</v>
      </c>
      <c r="F124" s="30">
        <f>IFERROR(INDEX('كشف الحساب'!$I$4:$I$203,MATCH(18,'كشف الحساب'!$M$4:$M$203,0)),"")</f>
        <v>0</v>
      </c>
      <c r="G124" s="31"/>
      <c r="H124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>11</v>
      </c>
    </row>
    <row r="125" spans="1:8" ht="18" customHeight="1">
      <c r="A125" s="18">
        <f>IFERROR(INDEX('كشف الحساب'!$A$4:$A$203,MATCH(19,'كشف الحساب'!$M$4:$M$203,0)),"")</f>
        <v>0</v>
      </c>
      <c r="B125" s="19">
        <f>IFERROR(INDEX('كشف الحساب'!$B$4:$B$203,MATCH(19,'كشف الحساب'!$M$4:$M$203,0)),"")</f>
        <v>0</v>
      </c>
      <c r="C125" s="20">
        <f>IFERROR(INDEX('كشف الحساب'!$C$4:$C$203,MATCH(19,'كشف الحساب'!$M$4:$M$203,0)),"")</f>
        <v>0</v>
      </c>
      <c r="D125" s="21">
        <f>IFERROR(INDEX('كشف الحساب'!$D$4:$D$203,MATCH(19,'كشف الحساب'!$M$4:$M$203,0)),"")</f>
        <v>0</v>
      </c>
      <c r="E125" s="22" t="s">
        <v>6</v>
      </c>
      <c r="F125" s="23">
        <f>IFERROR(INDEX('كشف الحساب'!$I$4:$I$203,MATCH(19,'كشف الحساب'!$M$4:$M$203,0)),"")</f>
        <v>0</v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7" t="s">
        <v>9</v>
      </c>
      <c r="B207" s="147"/>
      <c r="C207" s="147"/>
      <c r="D207" s="32">
        <f>SUM(D107:D206)</f>
        <v>202.5</v>
      </c>
    </row>
    <row r="208" spans="1:8" ht="27.75" customHeight="1">
      <c r="A208" s="148" t="s">
        <v>10</v>
      </c>
      <c r="B208" s="148"/>
      <c r="C208" s="148"/>
      <c r="D208" s="34">
        <f>$D$2+E105-D207</f>
        <v>418.1</v>
      </c>
      <c r="E208" s="149" t="s">
        <v>11</v>
      </c>
      <c r="F208" s="149"/>
      <c r="G208" s="149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4:G4"/>
    <mergeCell ref="A105:D105"/>
    <mergeCell ref="A106:G106"/>
    <mergeCell ref="A207:C207"/>
    <mergeCell ref="A208:C208"/>
    <mergeCell ref="E208:G208"/>
    <mergeCell ref="A1:G1"/>
    <mergeCell ref="A2:C2"/>
    <mergeCell ref="E2:G2"/>
    <mergeCell ref="A3:B3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92" activePane="bottomLeft" state="frozen"/>
      <selection pane="bottomLeft" activeCell="G99" sqref="G99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39" t="s">
        <v>22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15" ht="24" customHeight="1">
      <c r="A2" s="140" t="s">
        <v>23</v>
      </c>
      <c r="B2" s="140"/>
      <c r="C2" s="140"/>
      <c r="D2" s="1">
        <v>0</v>
      </c>
      <c r="E2" s="141" t="s">
        <v>24</v>
      </c>
      <c r="F2" s="141"/>
      <c r="G2" s="141"/>
      <c r="H2" s="141"/>
      <c r="I2" s="141"/>
      <c r="J2" s="141"/>
      <c r="K2" s="141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233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>
        <v>46190</v>
      </c>
      <c r="B84" s="57" t="s">
        <v>241</v>
      </c>
      <c r="C84" s="58" t="s">
        <v>242</v>
      </c>
      <c r="D84" s="59"/>
      <c r="E84" s="60">
        <v>0.75</v>
      </c>
      <c r="F84" s="61" t="s">
        <v>233</v>
      </c>
      <c r="G84" s="62"/>
      <c r="H84" s="63" t="s">
        <v>44</v>
      </c>
      <c r="I84" s="64"/>
      <c r="J84" s="65">
        <f>IF(AND(D84="",E84="",A84="",B84="",C84=""),"", IFERROR(IF(J83="",D2,J83),D2)+IF(E84="",0,E84)-IF(OR(G84="أبو اسحاق",G84="أبو آدم",G84="أبو اسحاق ",G84="أبو آدم "),0,IF(D84="",0,D84)))</f>
        <v>349.8</v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134">
        <v>46190</v>
      </c>
      <c r="B85" s="57" t="s">
        <v>243</v>
      </c>
      <c r="C85" s="47" t="s">
        <v>244</v>
      </c>
      <c r="D85" s="48"/>
      <c r="E85" s="49">
        <v>1.5</v>
      </c>
      <c r="F85" s="50" t="s">
        <v>233</v>
      </c>
      <c r="G85" s="51"/>
      <c r="H85" s="52" t="s">
        <v>44</v>
      </c>
      <c r="I85" s="53"/>
      <c r="J85" s="54">
        <f>IF(AND(D85="",E85="",A85="",B85="",C85=""),"", IFERROR(IF(J84="",D2,J84),D2)+IF(E85="",0,E85)-IF(OR(G85="أبو اسحاق",G85="أبو آدم",G85="أبو اسحاق ",G85="أبو آدم "),0,IF(D85="",0,D85)))</f>
        <v>351.3</v>
      </c>
      <c r="K85" s="55"/>
      <c r="L85">
        <f>IF(E84&gt;0,COUNTIF($E$4:E84,"&gt;0"),"")</f>
        <v>56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>
        <v>46191</v>
      </c>
      <c r="B86" s="57" t="s">
        <v>245</v>
      </c>
      <c r="C86" s="58" t="s">
        <v>247</v>
      </c>
      <c r="D86" s="59"/>
      <c r="E86" s="60">
        <v>0.75</v>
      </c>
      <c r="F86" s="61" t="s">
        <v>233</v>
      </c>
      <c r="G86" s="62"/>
      <c r="H86" s="63" t="s">
        <v>44</v>
      </c>
      <c r="I86" s="64"/>
      <c r="J86" s="65">
        <f>IF(AND(D86="",E86="",A86="",B86="",C86=""),"", IFERROR(IF(J85="",D2,J85),D2)+IF(E86="",0,E86)-IF(OR(G86="أبو اسحاق",G86="أبو آدم",G86="أبو اسحاق ",G86="أبو آدم "),0,IF(D86="",0,D86)))</f>
        <v>352.05</v>
      </c>
      <c r="K86" s="66"/>
      <c r="L86">
        <f>IF(E85&gt;0,COUNTIF($E$4:E85,"&gt;0"),"")</f>
        <v>57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135">
        <v>46191</v>
      </c>
      <c r="B87" s="57" t="s">
        <v>246</v>
      </c>
      <c r="C87" s="47" t="s">
        <v>248</v>
      </c>
      <c r="D87" s="48"/>
      <c r="E87" s="49">
        <v>3</v>
      </c>
      <c r="F87" s="50" t="s">
        <v>233</v>
      </c>
      <c r="G87" s="51"/>
      <c r="H87" s="52" t="s">
        <v>44</v>
      </c>
      <c r="I87" s="53"/>
      <c r="J87" s="54">
        <f>IF(AND(D87="",E87="",A87="",B87="",C87=""),"", IFERROR(IF(J86="",D2,J86),D2)+IF(E87="",0,E87)-IF(OR(G87="أبو اسحاق",G87="أبو آدم",G87="أبو اسحاق ",G87="أبو آدم "),0,IF(D87="",0,D87)))</f>
        <v>355.05</v>
      </c>
      <c r="K87" s="55"/>
      <c r="L87">
        <f>IF(E86&gt;0,COUNTIF($E$4:E86,"&gt;0"),"")</f>
        <v>58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>
        <v>46199</v>
      </c>
      <c r="B88" s="57" t="s">
        <v>249</v>
      </c>
      <c r="C88" s="58" t="s">
        <v>251</v>
      </c>
      <c r="D88" s="59"/>
      <c r="E88" s="60">
        <v>22</v>
      </c>
      <c r="F88" s="61" t="s">
        <v>233</v>
      </c>
      <c r="G88" s="62"/>
      <c r="H88" s="63" t="s">
        <v>44</v>
      </c>
      <c r="I88" s="64"/>
      <c r="J88" s="65">
        <f>IF(AND(D88="",E88="",A88="",B88="",C88=""),"", IFERROR(IF(J87="",D2,J87),D2)+IF(E88="",0,E88)-IF(OR(G88="أبو اسحاق",G88="أبو آدم",G88="أبو اسحاق ",G88="أبو آدم "),0,IF(D88="",0,D88)))</f>
        <v>377.05</v>
      </c>
      <c r="K88" s="66"/>
      <c r="L88">
        <f>IF(E87&gt;0,COUNTIF($E$4:E87,"&gt;0"),"")</f>
        <v>59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136">
        <v>46199</v>
      </c>
      <c r="B89" s="57" t="s">
        <v>250</v>
      </c>
      <c r="C89" s="47" t="s">
        <v>252</v>
      </c>
      <c r="D89" s="48"/>
      <c r="E89" s="49">
        <v>9</v>
      </c>
      <c r="F89" s="50" t="s">
        <v>233</v>
      </c>
      <c r="G89" s="51"/>
      <c r="H89" s="52" t="s">
        <v>44</v>
      </c>
      <c r="I89" s="53"/>
      <c r="J89" s="54">
        <f>IF(AND(D89="",E89="",A89="",B89="",C89=""),"", IFERROR(IF(J88="",D2,J88),D2)+IF(E89="",0,E89)-IF(OR(G89="أبو اسحاق",G89="أبو آدم",G89="أبو اسحاق ",G89="أبو آدم "),0,IF(D89="",0,D89)))</f>
        <v>386.05</v>
      </c>
      <c r="K89" s="55"/>
      <c r="L89">
        <f>IF(E88&gt;0,COUNTIF($E$4:E88,"&gt;0"),"")</f>
        <v>60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>
        <v>46197</v>
      </c>
      <c r="B90" s="57"/>
      <c r="C90" s="58" t="s">
        <v>253</v>
      </c>
      <c r="D90" s="59">
        <v>12</v>
      </c>
      <c r="E90" s="60"/>
      <c r="F90" s="61" t="s">
        <v>42</v>
      </c>
      <c r="G90" s="62" t="s">
        <v>43</v>
      </c>
      <c r="H90" s="63" t="s">
        <v>44</v>
      </c>
      <c r="I90" s="64"/>
      <c r="J90" s="65">
        <f>IF(AND(D90="",E90="",A90="",B90="",C90=""),"", IFERROR(IF(J89="",D2,J89),D2)+IF(E90="",0,E90)-IF(OR(G90="أبو اسحاق",G90="أبو آدم",G90="أبو اسحاق ",G90="أبو آدم "),0,IF(D90="",0,D90)))</f>
        <v>374.05</v>
      </c>
      <c r="K90" s="66"/>
      <c r="L90">
        <f>IF(E89&gt;0,COUNTIF($E$4:E89,"&gt;0"),"")</f>
        <v>61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>
        <v>46201</v>
      </c>
      <c r="B91" s="57" t="s">
        <v>254</v>
      </c>
      <c r="C91" s="47" t="s">
        <v>255</v>
      </c>
      <c r="D91" s="48"/>
      <c r="E91" s="49">
        <v>8.25</v>
      </c>
      <c r="F91" s="50" t="s">
        <v>233</v>
      </c>
      <c r="G91" s="51"/>
      <c r="H91" s="52" t="s">
        <v>44</v>
      </c>
      <c r="I91" s="53"/>
      <c r="J91" s="54">
        <f>IF(AND(D91="",E91="",A91="",B91="",C91=""),"", IFERROR(IF(J90="",D2,J90),D2)+IF(E91="",0,E91)-IF(OR(G91="أبو اسحاق",G91="أبو آدم",G91="أبو اسحاق ",G91="أبو آدم "),0,IF(D91="",0,D91)))</f>
        <v>382.3</v>
      </c>
      <c r="K91" s="55"/>
      <c r="L91" t="str">
        <f>IF(E90&gt;0,COUNTIF($E$4:E90,"&gt;0"),"")</f>
        <v/>
      </c>
      <c r="M91">
        <f>IF(AND(D90&gt;0,G90="المحفظة"),COUNTIFS($D$4:D90,"&gt;"&amp;0,$G$4:G90,"المحفظة"),"")</f>
        <v>17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>
        <v>46202</v>
      </c>
      <c r="B92" s="57" t="s">
        <v>256</v>
      </c>
      <c r="C92" s="58" t="s">
        <v>257</v>
      </c>
      <c r="D92" s="59"/>
      <c r="E92" s="60">
        <v>2.25</v>
      </c>
      <c r="F92" s="61" t="s">
        <v>233</v>
      </c>
      <c r="G92" s="62"/>
      <c r="H92" s="63" t="s">
        <v>44</v>
      </c>
      <c r="I92" s="64"/>
      <c r="J92" s="65">
        <f>IF(AND(D92="",E92="",A92="",B92="",C92=""),"", IFERROR(IF(J91="",D2,J91),D2)+IF(E92="",0,E92)-IF(OR(G92="أبو اسحاق",G92="أبو آدم",G92="أبو اسحاق ",G92="أبو آدم "),0,IF(D92="",0,D92)))</f>
        <v>384.55</v>
      </c>
      <c r="K92" s="66"/>
      <c r="L92">
        <f>IF(E91&gt;0,COUNTIF($E$4:E91,"&gt;0"),"")</f>
        <v>62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137">
        <v>46202</v>
      </c>
      <c r="B93" s="57" t="s">
        <v>258</v>
      </c>
      <c r="C93" s="47" t="s">
        <v>259</v>
      </c>
      <c r="D93" s="48"/>
      <c r="E93" s="49">
        <v>3</v>
      </c>
      <c r="F93" s="50" t="s">
        <v>233</v>
      </c>
      <c r="G93" s="51"/>
      <c r="H93" s="52" t="s">
        <v>44</v>
      </c>
      <c r="I93" s="53"/>
      <c r="J93" s="54">
        <f>IF(AND(D93="",E93="",A93="",B93="",C93=""),"", IFERROR(IF(J92="",D2,J92),D2)+IF(E93="",0,E93)-IF(OR(G93="أبو اسحاق",G93="أبو آدم",G93="أبو اسحاق ",G93="أبو آدم "),0,IF(D93="",0,D93)))</f>
        <v>387.55</v>
      </c>
      <c r="K93" s="55"/>
      <c r="L93">
        <f>IF(E92&gt;0,COUNTIF($E$4:E92,"&gt;0"),"")</f>
        <v>63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>
        <v>46203</v>
      </c>
      <c r="B94" s="57" t="s">
        <v>260</v>
      </c>
      <c r="C94" s="58" t="s">
        <v>261</v>
      </c>
      <c r="D94" s="59"/>
      <c r="E94" s="60">
        <v>4</v>
      </c>
      <c r="F94" s="61" t="s">
        <v>233</v>
      </c>
      <c r="G94" s="62"/>
      <c r="H94" s="63" t="s">
        <v>44</v>
      </c>
      <c r="I94" s="64"/>
      <c r="J94" s="65">
        <f>IF(AND(D94="",E94="",A94="",B94="",C94=""),"", IFERROR(IF(J93="",D2,J93),D2)+IF(E94="",0,E94)-IF(OR(G94="أبو اسحاق",G94="أبو آدم",G94="أبو اسحاق ",G94="أبو آدم "),0,IF(D94="",0,D94)))</f>
        <v>391.55</v>
      </c>
      <c r="K94" s="66"/>
      <c r="L94">
        <f>IF(E93&gt;0,COUNTIF($E$4:E93,"&gt;0"),"")</f>
        <v>64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138">
        <v>46203</v>
      </c>
      <c r="B95" s="57" t="s">
        <v>262</v>
      </c>
      <c r="C95" s="47" t="s">
        <v>263</v>
      </c>
      <c r="D95" s="48"/>
      <c r="E95" s="49">
        <v>4</v>
      </c>
      <c r="F95" s="50" t="s">
        <v>233</v>
      </c>
      <c r="G95" s="51"/>
      <c r="H95" s="52" t="s">
        <v>44</v>
      </c>
      <c r="I95" s="53"/>
      <c r="J95" s="54">
        <f>IF(AND(D95="",E95="",A95="",B95="",C95=""),"", IFERROR(IF(J94="",D2,J94),D2)+IF(E95="",0,E95)-IF(OR(G95="أبو اسحاق",G95="أبو آدم",G95="أبو اسحاق ",G95="أبو آدم "),0,IF(D95="",0,D95)))</f>
        <v>395.55</v>
      </c>
      <c r="K95" s="55"/>
      <c r="L95">
        <f>IF(E94&gt;0,COUNTIF($E$4:E94,"&gt;0"),"")</f>
        <v>65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138">
        <v>46203</v>
      </c>
      <c r="B96" s="57" t="s">
        <v>264</v>
      </c>
      <c r="C96" s="58" t="s">
        <v>265</v>
      </c>
      <c r="D96" s="59"/>
      <c r="E96" s="60">
        <v>2</v>
      </c>
      <c r="F96" s="61" t="s">
        <v>233</v>
      </c>
      <c r="G96" s="62"/>
      <c r="H96" s="63" t="s">
        <v>44</v>
      </c>
      <c r="I96" s="64"/>
      <c r="J96" s="65">
        <f>IF(AND(D96="",E96="",A96="",B96="",C96=""),"", IFERROR(IF(J95="",D2,J95),D2)+IF(E96="",0,E96)-IF(OR(G96="أبو اسحاق",G96="أبو آدم",G96="أبو اسحاق ",G96="أبو آدم "),0,IF(D96="",0,D96)))</f>
        <v>397.55</v>
      </c>
      <c r="K96" s="66"/>
      <c r="L96">
        <f>IF(E95&gt;0,COUNTIF($E$4:E95,"&gt;0"),"")</f>
        <v>66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138">
        <v>46203</v>
      </c>
      <c r="B97" s="46"/>
      <c r="C97" s="47" t="s">
        <v>266</v>
      </c>
      <c r="D97" s="48">
        <v>380</v>
      </c>
      <c r="E97" s="49"/>
      <c r="F97" s="50" t="s">
        <v>42</v>
      </c>
      <c r="G97" s="51" t="s">
        <v>43</v>
      </c>
      <c r="H97" s="52" t="s">
        <v>44</v>
      </c>
      <c r="I97" s="53"/>
      <c r="J97" s="54">
        <f>IF(AND(D97="",E97="",A97="",B97="",C97=""),"", IFERROR(IF(J96="",D2,J96),D2)+IF(E97="",0,E97)-IF(OR(G97="أبو اسحاق",G97="أبو آدم",G97="أبو اسحاق ",G97="أبو آدم "),0,IF(D97="",0,D97)))</f>
        <v>17.550000000000011</v>
      </c>
      <c r="K97" s="55"/>
      <c r="L97">
        <f>IF(E96&gt;0,COUNTIF($E$4:E96,"&gt;0"),"")</f>
        <v>67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138">
        <v>46203</v>
      </c>
      <c r="B98" s="57"/>
      <c r="C98" s="58" t="s">
        <v>267</v>
      </c>
      <c r="D98" s="59"/>
      <c r="E98" s="60">
        <v>50</v>
      </c>
      <c r="F98" s="61" t="s">
        <v>42</v>
      </c>
      <c r="G98" s="62" t="s">
        <v>64</v>
      </c>
      <c r="H98" s="63" t="s">
        <v>44</v>
      </c>
      <c r="I98" s="64"/>
      <c r="J98" s="65">
        <f>IF(AND(D98="",E98="",A98="",B98="",C98=""),"", IFERROR(IF(J97="",D2,J97),D2)+IF(E98="",0,E98)-IF(OR(G98="أبو اسحاق",G98="أبو آدم",G98="أبو اسحاق ",G98="أبو آدم "),0,IF(D98="",0,D98)))</f>
        <v>67.550000000000011</v>
      </c>
      <c r="K98" s="66"/>
      <c r="L98" t="str">
        <f>IF(E97&gt;0,COUNTIF($E$4:E97,"&gt;0"),"")</f>
        <v/>
      </c>
      <c r="M98">
        <f>IF(AND(D97&gt;0,G97="المحفظة"),COUNTIFS($D$4:D97,"&gt;"&amp;0,$G$4:G97,"المحفظة"),"")</f>
        <v>18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138">
        <v>46203</v>
      </c>
      <c r="B99" s="46"/>
      <c r="C99" s="58" t="s">
        <v>268</v>
      </c>
      <c r="D99" s="48"/>
      <c r="E99" s="49">
        <v>50</v>
      </c>
      <c r="F99" s="50" t="s">
        <v>42</v>
      </c>
      <c r="G99" s="51" t="s">
        <v>53</v>
      </c>
      <c r="H99" s="52" t="s">
        <v>44</v>
      </c>
      <c r="I99" s="53"/>
      <c r="J99" s="54">
        <f>IF(AND(D99="",E99="",A99="",B99="",C99=""),"", IFERROR(IF(J98="",D2,J98),D2)+IF(E99="",0,E99)-IF(OR(G99="أبو اسحاق",G99="أبو آدم",G99="أبو اسحاق ",G99="أبو آدم "),0,IF(D99="",0,D99)))</f>
        <v>117.55000000000001</v>
      </c>
      <c r="K99" s="55"/>
      <c r="L99">
        <f>IF(E98&gt;0,COUNTIF($E$4:E98,"&gt;0"),"")</f>
        <v>68</v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138">
        <v>46203</v>
      </c>
      <c r="B100" s="57"/>
      <c r="C100" s="58" t="s">
        <v>269</v>
      </c>
      <c r="D100" s="59">
        <v>80</v>
      </c>
      <c r="E100" s="60"/>
      <c r="F100" s="61" t="s">
        <v>42</v>
      </c>
      <c r="G100" s="62" t="s">
        <v>43</v>
      </c>
      <c r="H100" s="63" t="s">
        <v>44</v>
      </c>
      <c r="I100" s="64"/>
      <c r="J100" s="65">
        <f>IF(AND(D100="",E100="",A100="",B100="",C100=""),"", IFERROR(IF(J99="",D2,J99),D2)+IF(E100="",0,E100)-IF(OR(G100="أبو اسحاق",G100="أبو آدم",G100="أبو اسحاق ",G100="أبو آدم "),0,IF(D100="",0,D100)))</f>
        <v>37.550000000000011</v>
      </c>
      <c r="K100" s="66"/>
      <c r="L100">
        <f>IF(E99&gt;0,COUNTIF($E$4:E99,"&gt;0"),"")</f>
        <v>69</v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>
        <f>IF(AND(D100&gt;0,G100="المحفظة"),COUNTIFS($D$4:D100,"&gt;"&amp;0,$G$4:G100,"المحفظة"),"")</f>
        <v>19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50"/>
      <c r="B204" s="150"/>
      <c r="C204" s="150"/>
      <c r="D204" s="59"/>
      <c r="E204" s="60"/>
      <c r="F204" s="151"/>
      <c r="G204" s="151"/>
      <c r="H204" s="151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1687.05</v>
      </c>
      <c r="E205" s="70">
        <f>SUM(E4:E203)</f>
        <v>812.6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52" t="s">
        <v>176</v>
      </c>
      <c r="B1" s="152"/>
      <c r="C1" s="152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53" t="s">
        <v>191</v>
      </c>
      <c r="B1" s="153"/>
    </row>
    <row r="2" spans="1:2" ht="21.75" customHeight="1">
      <c r="A2" s="154" t="s">
        <v>192</v>
      </c>
      <c r="B2" s="154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54" t="s">
        <v>197</v>
      </c>
      <c r="B5" s="154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54" t="s">
        <v>206</v>
      </c>
      <c r="B11" s="154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39" t="s">
        <v>22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11" ht="24" customHeight="1">
      <c r="A2" s="157"/>
      <c r="B2" s="157"/>
      <c r="C2" s="81" t="s">
        <v>240</v>
      </c>
      <c r="D2" s="157">
        <v>2026</v>
      </c>
      <c r="E2" s="157"/>
      <c r="F2" s="81" t="s">
        <v>211</v>
      </c>
      <c r="G2" s="158" t="s">
        <v>212</v>
      </c>
      <c r="H2" s="158"/>
      <c r="I2" s="158"/>
      <c r="J2" s="158"/>
      <c r="K2" s="158"/>
    </row>
    <row r="3" spans="1:11" ht="19.5" customHeight="1">
      <c r="A3" s="159" t="s">
        <v>213</v>
      </c>
      <c r="B3" s="159"/>
      <c r="C3" s="159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أون لاين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46190</v>
      </c>
      <c r="B31" s="84" t="str">
        <f>IFERROR(IF(IFERROR(MATCH(27,'كشف الحساب'!$N$4:$N$203,0),0)=0,"",INDEX('كشف الحساب'!$B$4:$B$203,IFERROR(MATCH(27,'كشف الحساب'!$N$4:$N$203,0),0))),"")</f>
        <v>Inv-70</v>
      </c>
      <c r="C31" s="58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5">
        <f>IFERROR(IF(IFERROR(MATCH(27,'كشف الحساب'!$N$4:$N$203,0),0)=0,"",INDEX('كشف الحساب'!$E$4:$E$203,IFERROR(MATCH(27,'كشف الحساب'!$N$4:$N$203,0),0))),"")</f>
        <v>0.75</v>
      </c>
      <c r="F31" s="84" t="str">
        <f>IFERROR(IF(IFERROR(MATCH(27,'كشف الحساب'!$N$4:$N$203,0),0)=0,"",INDEX('كشف الحساب'!$F$4:$F$203,IFERROR(MATCH(27,'كشف الحساب'!$N$4:$N$203,0),0))),"")</f>
        <v>أون لاين</v>
      </c>
      <c r="G31" s="84">
        <f>IFERROR(IF(IFERROR(MATCH(27,'كشف الحساب'!$N$4:$N$203,0),0)=0,"",INDEX('كشف الحساب'!$G$4:$G$203,IFERROR(MATCH(27,'كشف الحساب'!$N$4:$N$203,0),0))),"")</f>
        <v>0</v>
      </c>
      <c r="H31" s="84" t="str">
        <f>IFERROR(IF(IFERROR(MATCH(27,'كشف الحساب'!$N$4:$N$203,0),0)=0,"",INDEX('كشف الحساب'!$H$4:$H$203,IFERROR(MATCH(27,'كشف الحساب'!$N$4:$N$203,0),0))),"")</f>
        <v>تم الدفع</v>
      </c>
      <c r="I31" s="84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349.8</v>
      </c>
      <c r="K31" s="84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46190</v>
      </c>
      <c r="B32" s="86" t="str">
        <f>IFERROR(IF(IFERROR(MATCH(28,'كشف الحساب'!$N$4:$N$203,0),0)=0,"",INDEX('كشف الحساب'!$B$4:$B$203,IFERROR(MATCH(28,'كشف الحساب'!$N$4:$N$203,0),0))),"")</f>
        <v>Inv-71</v>
      </c>
      <c r="C32" s="4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7">
        <f>IFERROR(IF(IFERROR(MATCH(28,'كشف الحساب'!$N$4:$N$203,0),0)=0,"",INDEX('كشف الحساب'!$E$4:$E$203,IFERROR(MATCH(28,'كشف الحساب'!$N$4:$N$203,0),0))),"")</f>
        <v>1.5</v>
      </c>
      <c r="F32" s="86" t="str">
        <f>IFERROR(IF(IFERROR(MATCH(28,'كشف الحساب'!$N$4:$N$203,0),0)=0,"",INDEX('كشف الحساب'!$F$4:$F$203,IFERROR(MATCH(28,'كشف الحساب'!$N$4:$N$203,0),0))),"")</f>
        <v>أون لاين</v>
      </c>
      <c r="G32" s="86">
        <f>IFERROR(IF(IFERROR(MATCH(28,'كشف الحساب'!$N$4:$N$203,0),0)=0,"",INDEX('كشف الحساب'!$G$4:$G$203,IFERROR(MATCH(28,'كشف الحساب'!$N$4:$N$203,0),0))),"")</f>
        <v>0</v>
      </c>
      <c r="H32" s="86" t="str">
        <f>IFERROR(IF(IFERROR(MATCH(28,'كشف الحساب'!$N$4:$N$203,0),0)=0,"",INDEX('كشف الحساب'!$H$4:$H$203,IFERROR(MATCH(28,'كشف الحساب'!$N$4:$N$203,0),0))),"")</f>
        <v>تم الدفع</v>
      </c>
      <c r="I32" s="86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351.3</v>
      </c>
      <c r="K32" s="86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46191</v>
      </c>
      <c r="B33" s="84" t="str">
        <f>IFERROR(IF(IFERROR(MATCH(29,'كشف الحساب'!$N$4:$N$203,0),0)=0,"",INDEX('كشف الحساب'!$B$4:$B$203,IFERROR(MATCH(29,'كشف الحساب'!$N$4:$N$203,0),0))),"")</f>
        <v>Inv-72</v>
      </c>
      <c r="C33" s="58" t="str">
        <f>IFERROR(IF(IFERROR(MATCH(29,'كشف الحساب'!$N$4:$N$203,0),0)=0,"",INDEX('كشف الحساب'!$C$4:$C$203,IFERROR(MATCH(29,'كشف الحساب'!$N$4:$N$203,0),0))),"")</f>
        <v>فل عدد 1 الحبه 0.750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5">
        <f>IFERROR(IF(IFERROR(MATCH(29,'كشف الحساب'!$N$4:$N$203,0),0)=0,"",INDEX('كشف الحساب'!$E$4:$E$203,IFERROR(MATCH(29,'كشف الحساب'!$N$4:$N$203,0),0))),"")</f>
        <v>0.75</v>
      </c>
      <c r="F33" s="84" t="str">
        <f>IFERROR(IF(IFERROR(MATCH(29,'كشف الحساب'!$N$4:$N$203,0),0)=0,"",INDEX('كشف الحساب'!$F$4:$F$203,IFERROR(MATCH(29,'كشف الحساب'!$N$4:$N$203,0),0))),"")</f>
        <v>أون لاين</v>
      </c>
      <c r="G33" s="84">
        <f>IFERROR(IF(IFERROR(MATCH(29,'كشف الحساب'!$N$4:$N$203,0),0)=0,"",INDEX('كشف الحساب'!$G$4:$G$203,IFERROR(MATCH(29,'كشف الحساب'!$N$4:$N$203,0),0))),"")</f>
        <v>0</v>
      </c>
      <c r="H33" s="84" t="str">
        <f>IFERROR(IF(IFERROR(MATCH(29,'كشف الحساب'!$N$4:$N$203,0),0)=0,"",INDEX('كشف الحساب'!$H$4:$H$203,IFERROR(MATCH(29,'كشف الحساب'!$N$4:$N$203,0),0))),"")</f>
        <v>تم الدفع</v>
      </c>
      <c r="I33" s="84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352.05</v>
      </c>
      <c r="K33" s="84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46191</v>
      </c>
      <c r="B34" s="86" t="str">
        <f>IFERROR(IF(IFERROR(MATCH(30,'كشف الحساب'!$N$4:$N$203,0),0)=0,"",INDEX('كشف الحساب'!$B$4:$B$203,IFERROR(MATCH(30,'كشف الحساب'!$N$4:$N$203,0),0))),"")</f>
        <v>Inv-73</v>
      </c>
      <c r="C34" s="4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7">
        <f>IFERROR(IF(IFERROR(MATCH(30,'كشف الحساب'!$N$4:$N$203,0),0)=0,"",INDEX('كشف الحساب'!$E$4:$E$203,IFERROR(MATCH(30,'كشف الحساب'!$N$4:$N$203,0),0))),"")</f>
        <v>3</v>
      </c>
      <c r="F34" s="86" t="str">
        <f>IFERROR(IF(IFERROR(MATCH(30,'كشف الحساب'!$N$4:$N$203,0),0)=0,"",INDEX('كشف الحساب'!$F$4:$F$203,IFERROR(MATCH(30,'كشف الحساب'!$N$4:$N$203,0),0))),"")</f>
        <v>أون لاين</v>
      </c>
      <c r="G34" s="86">
        <f>IFERROR(IF(IFERROR(MATCH(30,'كشف الحساب'!$N$4:$N$203,0),0)=0,"",INDEX('كشف الحساب'!$G$4:$G$203,IFERROR(MATCH(30,'كشف الحساب'!$N$4:$N$203,0),0))),"")</f>
        <v>0</v>
      </c>
      <c r="H34" s="86" t="str">
        <f>IFERROR(IF(IFERROR(MATCH(30,'كشف الحساب'!$N$4:$N$203,0),0)=0,"",INDEX('كشف الحساب'!$H$4:$H$203,IFERROR(MATCH(30,'كشف الحساب'!$N$4:$N$203,0),0))),"")</f>
        <v>تم الدفع</v>
      </c>
      <c r="I34" s="86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355.05</v>
      </c>
      <c r="K34" s="86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8">
        <f>IFERROR(IF(IFERROR(MATCH(31,'كشف الحساب'!$N$4:$N$203,0),0)=0,"",INDEX('كشف الحساب'!$A$4:$A$203,IFERROR(MATCH(31,'كشف الحساب'!$N$4:$N$203,0),0))),"")</f>
        <v>46199</v>
      </c>
      <c r="B35" s="89" t="str">
        <f>IFERROR(IF(IFERROR(MATCH(31,'كشف الحساب'!$N$4:$N$203,0),0)=0,"",INDEX('كشف الحساب'!$B$4:$B$203,IFERROR(MATCH(31,'كشف الحساب'!$N$4:$N$203,0),0))),"")</f>
        <v>Inv-74</v>
      </c>
      <c r="C35" s="90" t="str">
        <f>IFERROR(IF(IFERROR(MATCH(31,'كشف الحساب'!$N$4:$N$203,0),0)=0,"",INDEX('كشف الحساب'!$C$4:$C$203,IFERROR(MATCH(31,'كشف الحساب'!$N$4:$N$203,0),0))),"")</f>
        <v>ربل عدد 11 الحبه 2</v>
      </c>
      <c r="D35" s="91">
        <f>IFERROR(IF(IFERROR(MATCH(31,'كشف الحساب'!$N$4:$N$203,0),0)=0,"",INDEX('كشف الحساب'!$D$4:$D$203,IFERROR(MATCH(31,'كشف الحساب'!$N$4:$N$203,0),0))),"")</f>
        <v>0</v>
      </c>
      <c r="E35" s="92">
        <f>IFERROR(IF(IFERROR(MATCH(31,'كشف الحساب'!$N$4:$N$203,0),0)=0,"",INDEX('كشف الحساب'!$E$4:$E$203,IFERROR(MATCH(31,'كشف الحساب'!$N$4:$N$203,0),0))),"")</f>
        <v>22</v>
      </c>
      <c r="F35" s="89" t="str">
        <f>IFERROR(IF(IFERROR(MATCH(31,'كشف الحساب'!$N$4:$N$203,0),0)=0,"",INDEX('كشف الحساب'!$F$4:$F$203,IFERROR(MATCH(31,'كشف الحساب'!$N$4:$N$203,0),0))),"")</f>
        <v>أون لاين</v>
      </c>
      <c r="G35" s="89">
        <f>IFERROR(IF(IFERROR(MATCH(31,'كشف الحساب'!$N$4:$N$203,0),0)=0,"",INDEX('كشف الحساب'!$G$4:$G$203,IFERROR(MATCH(31,'كشف الحساب'!$N$4:$N$203,0),0))),"")</f>
        <v>0</v>
      </c>
      <c r="H35" s="89" t="str">
        <f>IFERROR(IF(IFERROR(MATCH(31,'كشف الحساب'!$N$4:$N$203,0),0)=0,"",INDEX('كشف الحساب'!$H$4:$H$203,IFERROR(MATCH(31,'كشف الحساب'!$N$4:$N$203,0),0))),"")</f>
        <v>تم الدفع</v>
      </c>
      <c r="I35" s="89">
        <f>IFERROR(IF(IFERROR(MATCH(31,'كشف الحساب'!$N$4:$N$203,0),0)=0,"",INDEX('كشف الحساب'!$I$4:$I$203,IFERROR(MATCH(31,'كشف الحساب'!$N$4:$N$203,0),0))),"")</f>
        <v>0</v>
      </c>
      <c r="J35" s="93">
        <f>IFERROR(IF(IFERROR(MATCH(31,'كشف الحساب'!$N$4:$N$203,0),0)=0,"",INDEX('كشف الحساب'!$J$4:$J$203,IFERROR(MATCH(31,'كشف الحساب'!$N$4:$N$203,0),0))),"")</f>
        <v>377.05</v>
      </c>
      <c r="K35" s="89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4">
        <f>IFERROR(IF(IFERROR(MATCH(32,'كشف الحساب'!$N$4:$N$203,0),0)=0,"",INDEX('كشف الحساب'!$A$4:$A$203,IFERROR(MATCH(32,'كشف الحساب'!$N$4:$N$203,0),0))),"")</f>
        <v>46199</v>
      </c>
      <c r="B36" s="95" t="str">
        <f>IFERROR(IF(IFERROR(MATCH(32,'كشف الحساب'!$N$4:$N$203,0),0)=0,"",INDEX('كشف الحساب'!$B$4:$B$203,IFERROR(MATCH(32,'كشف الحساب'!$N$4:$N$203,0),0))),"")</f>
        <v>Inv-75</v>
      </c>
      <c r="C36" s="96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97">
        <f>IFERROR(IF(IFERROR(MATCH(32,'كشف الحساب'!$N$4:$N$203,0),0)=0,"",INDEX('كشف الحساب'!$D$4:$D$203,IFERROR(MATCH(32,'كشف الحساب'!$N$4:$N$203,0),0))),"")</f>
        <v>0</v>
      </c>
      <c r="E36" s="98">
        <f>IFERROR(IF(IFERROR(MATCH(32,'كشف الحساب'!$N$4:$N$203,0),0)=0,"",INDEX('كشف الحساب'!$E$4:$E$203,IFERROR(MATCH(32,'كشف الحساب'!$N$4:$N$203,0),0))),"")</f>
        <v>9</v>
      </c>
      <c r="F36" s="95" t="str">
        <f>IFERROR(IF(IFERROR(MATCH(32,'كشف الحساب'!$N$4:$N$203,0),0)=0,"",INDEX('كشف الحساب'!$F$4:$F$203,IFERROR(MATCH(32,'كشف الحساب'!$N$4:$N$203,0),0))),"")</f>
        <v>أون لاين</v>
      </c>
      <c r="G36" s="95">
        <f>IFERROR(IF(IFERROR(MATCH(32,'كشف الحساب'!$N$4:$N$203,0),0)=0,"",INDEX('كشف الحساب'!$G$4:$G$203,IFERROR(MATCH(32,'كشف الحساب'!$N$4:$N$203,0),0))),"")</f>
        <v>0</v>
      </c>
      <c r="H36" s="95" t="str">
        <f>IFERROR(IF(IFERROR(MATCH(32,'كشف الحساب'!$N$4:$N$203,0),0)=0,"",INDEX('كشف الحساب'!$H$4:$H$203,IFERROR(MATCH(32,'كشف الحساب'!$N$4:$N$203,0),0))),"")</f>
        <v>تم الدفع</v>
      </c>
      <c r="I36" s="95">
        <f>IFERROR(IF(IFERROR(MATCH(32,'كشف الحساب'!$N$4:$N$203,0),0)=0,"",INDEX('كشف الحساب'!$I$4:$I$203,IFERROR(MATCH(32,'كشف الحساب'!$N$4:$N$203,0),0))),"")</f>
        <v>0</v>
      </c>
      <c r="J36" s="99">
        <f>IFERROR(IF(IFERROR(MATCH(32,'كشف الحساب'!$N$4:$N$203,0),0)=0,"",INDEX('كشف الحساب'!$J$4:$J$203,IFERROR(MATCH(32,'كشف الحساب'!$N$4:$N$203,0),0))),"")</f>
        <v>386.05</v>
      </c>
      <c r="K36" s="95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8">
        <f>IFERROR(IF(IFERROR(MATCH(33,'كشف الحساب'!$N$4:$N$203,0),0)=0,"",INDEX('كشف الحساب'!$A$4:$A$203,IFERROR(MATCH(33,'كشف الحساب'!$N$4:$N$203,0),0))),"")</f>
        <v>46197</v>
      </c>
      <c r="B37" s="89">
        <f>IFERROR(IF(IFERROR(MATCH(33,'كشف الحساب'!$N$4:$N$203,0),0)=0,"",INDEX('كشف الحساب'!$B$4:$B$203,IFERROR(MATCH(33,'كشف الحساب'!$N$4:$N$203,0),0))),"")</f>
        <v>0</v>
      </c>
      <c r="C37" s="90" t="str">
        <f>IFERROR(IF(IFERROR(MATCH(33,'كشف الحساب'!$N$4:$N$203,0),0)=0,"",INDEX('كشف الحساب'!$C$4:$C$203,IFERROR(MATCH(33,'كشف الحساب'!$N$4:$N$203,0),0))),"")</f>
        <v>nbk 18-18-18</v>
      </c>
      <c r="D37" s="91">
        <f>IFERROR(IF(IFERROR(MATCH(33,'كشف الحساب'!$N$4:$N$203,0),0)=0,"",INDEX('كشف الحساب'!$D$4:$D$203,IFERROR(MATCH(33,'كشف الحساب'!$N$4:$N$203,0),0))),"")</f>
        <v>12</v>
      </c>
      <c r="E37" s="92">
        <f>IFERROR(IF(IFERROR(MATCH(33,'كشف الحساب'!$N$4:$N$203,0),0)=0,"",INDEX('كشف الحساب'!$E$4:$E$203,IFERROR(MATCH(33,'كشف الحساب'!$N$4:$N$203,0),0))),"")</f>
        <v>0</v>
      </c>
      <c r="F37" s="89" t="str">
        <f>IFERROR(IF(IFERROR(MATCH(33,'كشف الحساب'!$N$4:$N$203,0),0)=0,"",INDEX('كشف الحساب'!$F$4:$F$203,IFERROR(MATCH(33,'كشف الحساب'!$N$4:$N$203,0),0))),"")</f>
        <v>نقداً</v>
      </c>
      <c r="G37" s="89" t="str">
        <f>IFERROR(IF(IFERROR(MATCH(33,'كشف الحساب'!$N$4:$N$203,0),0)=0,"",INDEX('كشف الحساب'!$G$4:$G$203,IFERROR(MATCH(33,'كشف الحساب'!$N$4:$N$203,0),0))),"")</f>
        <v>المحفظة</v>
      </c>
      <c r="H37" s="89" t="str">
        <f>IFERROR(IF(IFERROR(MATCH(33,'كشف الحساب'!$N$4:$N$203,0),0)=0,"",INDEX('كشف الحساب'!$H$4:$H$203,IFERROR(MATCH(33,'كشف الحساب'!$N$4:$N$203,0),0))),"")</f>
        <v>تم الدفع</v>
      </c>
      <c r="I37" s="89">
        <f>IFERROR(IF(IFERROR(MATCH(33,'كشف الحساب'!$N$4:$N$203,0),0)=0,"",INDEX('كشف الحساب'!$I$4:$I$203,IFERROR(MATCH(33,'كشف الحساب'!$N$4:$N$203,0),0))),"")</f>
        <v>0</v>
      </c>
      <c r="J37" s="93">
        <f>IFERROR(IF(IFERROR(MATCH(33,'كشف الحساب'!$N$4:$N$203,0),0)=0,"",INDEX('كشف الحساب'!$J$4:$J$203,IFERROR(MATCH(33,'كشف الحساب'!$N$4:$N$203,0),0))),"")</f>
        <v>374.05</v>
      </c>
      <c r="K37" s="89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4">
        <f>IFERROR(IF(IFERROR(MATCH(34,'كشف الحساب'!$N$4:$N$203,0),0)=0,"",INDEX('كشف الحساب'!$A$4:$A$203,IFERROR(MATCH(34,'كشف الحساب'!$N$4:$N$203,0),0))),"")</f>
        <v>46201</v>
      </c>
      <c r="B38" s="95" t="str">
        <f>IFERROR(IF(IFERROR(MATCH(34,'كشف الحساب'!$N$4:$N$203,0),0)=0,"",INDEX('كشف الحساب'!$B$4:$B$203,IFERROR(MATCH(34,'كشف الحساب'!$N$4:$N$203,0),0))),"")</f>
        <v>Inv-76</v>
      </c>
      <c r="C38" s="96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97">
        <f>IFERROR(IF(IFERROR(MATCH(34,'كشف الحساب'!$N$4:$N$203,0),0)=0,"",INDEX('كشف الحساب'!$D$4:$D$203,IFERROR(MATCH(34,'كشف الحساب'!$N$4:$N$203,0),0))),"")</f>
        <v>0</v>
      </c>
      <c r="E38" s="98">
        <f>IFERROR(IF(IFERROR(MATCH(34,'كشف الحساب'!$N$4:$N$203,0),0)=0,"",INDEX('كشف الحساب'!$E$4:$E$203,IFERROR(MATCH(34,'كشف الحساب'!$N$4:$N$203,0),0))),"")</f>
        <v>8.25</v>
      </c>
      <c r="F38" s="95" t="str">
        <f>IFERROR(IF(IFERROR(MATCH(34,'كشف الحساب'!$N$4:$N$203,0),0)=0,"",INDEX('كشف الحساب'!$F$4:$F$203,IFERROR(MATCH(34,'كشف الحساب'!$N$4:$N$203,0),0))),"")</f>
        <v>أون لاين</v>
      </c>
      <c r="G38" s="95">
        <f>IFERROR(IF(IFERROR(MATCH(34,'كشف الحساب'!$N$4:$N$203,0),0)=0,"",INDEX('كشف الحساب'!$G$4:$G$203,IFERROR(MATCH(34,'كشف الحساب'!$N$4:$N$203,0),0))),"")</f>
        <v>0</v>
      </c>
      <c r="H38" s="95" t="str">
        <f>IFERROR(IF(IFERROR(MATCH(34,'كشف الحساب'!$N$4:$N$203,0),0)=0,"",INDEX('كشف الحساب'!$H$4:$H$203,IFERROR(MATCH(34,'كشف الحساب'!$N$4:$N$203,0),0))),"")</f>
        <v>تم الدفع</v>
      </c>
      <c r="I38" s="95">
        <f>IFERROR(IF(IFERROR(MATCH(34,'كشف الحساب'!$N$4:$N$203,0),0)=0,"",INDEX('كشف الحساب'!$I$4:$I$203,IFERROR(MATCH(34,'كشف الحساب'!$N$4:$N$203,0),0))),"")</f>
        <v>0</v>
      </c>
      <c r="J38" s="99">
        <f>IFERROR(IF(IFERROR(MATCH(34,'كشف الحساب'!$N$4:$N$203,0),0)=0,"",INDEX('كشف الحساب'!$J$4:$J$203,IFERROR(MATCH(34,'كشف الحساب'!$N$4:$N$203,0),0))),"")</f>
        <v>382.3</v>
      </c>
      <c r="K38" s="95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8">
        <f>IFERROR(IF(IFERROR(MATCH(35,'كشف الحساب'!$N$4:$N$203,0),0)=0,"",INDEX('كشف الحساب'!$A$4:$A$203,IFERROR(MATCH(35,'كشف الحساب'!$N$4:$N$203,0),0))),"")</f>
        <v>46202</v>
      </c>
      <c r="B39" s="89" t="str">
        <f>IFERROR(IF(IFERROR(MATCH(35,'كشف الحساب'!$N$4:$N$203,0),0)=0,"",INDEX('كشف الحساب'!$B$4:$B$203,IFERROR(MATCH(35,'كشف الحساب'!$N$4:$N$203,0),0))),"")</f>
        <v>Inv-77</v>
      </c>
      <c r="C39" s="90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91">
        <f>IFERROR(IF(IFERROR(MATCH(35,'كشف الحساب'!$N$4:$N$203,0),0)=0,"",INDEX('كشف الحساب'!$D$4:$D$203,IFERROR(MATCH(35,'كشف الحساب'!$N$4:$N$203,0),0))),"")</f>
        <v>0</v>
      </c>
      <c r="E39" s="92">
        <f>IFERROR(IF(IFERROR(MATCH(35,'كشف الحساب'!$N$4:$N$203,0),0)=0,"",INDEX('كشف الحساب'!$E$4:$E$203,IFERROR(MATCH(35,'كشف الحساب'!$N$4:$N$203,0),0))),"")</f>
        <v>2.25</v>
      </c>
      <c r="F39" s="89" t="str">
        <f>IFERROR(IF(IFERROR(MATCH(35,'كشف الحساب'!$N$4:$N$203,0),0)=0,"",INDEX('كشف الحساب'!$F$4:$F$203,IFERROR(MATCH(35,'كشف الحساب'!$N$4:$N$203,0),0))),"")</f>
        <v>أون لاين</v>
      </c>
      <c r="G39" s="89">
        <f>IFERROR(IF(IFERROR(MATCH(35,'كشف الحساب'!$N$4:$N$203,0),0)=0,"",INDEX('كشف الحساب'!$G$4:$G$203,IFERROR(MATCH(35,'كشف الحساب'!$N$4:$N$203,0),0))),"")</f>
        <v>0</v>
      </c>
      <c r="H39" s="89" t="str">
        <f>IFERROR(IF(IFERROR(MATCH(35,'كشف الحساب'!$N$4:$N$203,0),0)=0,"",INDEX('كشف الحساب'!$H$4:$H$203,IFERROR(MATCH(35,'كشف الحساب'!$N$4:$N$203,0),0))),"")</f>
        <v>تم الدفع</v>
      </c>
      <c r="I39" s="89">
        <f>IFERROR(IF(IFERROR(MATCH(35,'كشف الحساب'!$N$4:$N$203,0),0)=0,"",INDEX('كشف الحساب'!$I$4:$I$203,IFERROR(MATCH(35,'كشف الحساب'!$N$4:$N$203,0),0))),"")</f>
        <v>0</v>
      </c>
      <c r="J39" s="93">
        <f>IFERROR(IF(IFERROR(MATCH(35,'كشف الحساب'!$N$4:$N$203,0),0)=0,"",INDEX('كشف الحساب'!$J$4:$J$203,IFERROR(MATCH(35,'كشف الحساب'!$N$4:$N$203,0),0))),"")</f>
        <v>384.55</v>
      </c>
      <c r="K39" s="89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4">
        <f>IFERROR(IF(IFERROR(MATCH(36,'كشف الحساب'!$N$4:$N$203,0),0)=0,"",INDEX('كشف الحساب'!$A$4:$A$203,IFERROR(MATCH(36,'كشف الحساب'!$N$4:$N$203,0),0))),"")</f>
        <v>46202</v>
      </c>
      <c r="B40" s="95" t="str">
        <f>IFERROR(IF(IFERROR(MATCH(36,'كشف الحساب'!$N$4:$N$203,0),0)=0,"",INDEX('كشف الحساب'!$B$4:$B$203,IFERROR(MATCH(36,'كشف الحساب'!$N$4:$N$203,0),0))),"")</f>
        <v>Inv-78</v>
      </c>
      <c r="C40" s="96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97">
        <f>IFERROR(IF(IFERROR(MATCH(36,'كشف الحساب'!$N$4:$N$203,0),0)=0,"",INDEX('كشف الحساب'!$D$4:$D$203,IFERROR(MATCH(36,'كشف الحساب'!$N$4:$N$203,0),0))),"")</f>
        <v>0</v>
      </c>
      <c r="E40" s="98">
        <f>IFERROR(IF(IFERROR(MATCH(36,'كشف الحساب'!$N$4:$N$203,0),0)=0,"",INDEX('كشف الحساب'!$E$4:$E$203,IFERROR(MATCH(36,'كشف الحساب'!$N$4:$N$203,0),0))),"")</f>
        <v>3</v>
      </c>
      <c r="F40" s="95" t="str">
        <f>IFERROR(IF(IFERROR(MATCH(36,'كشف الحساب'!$N$4:$N$203,0),0)=0,"",INDEX('كشف الحساب'!$F$4:$F$203,IFERROR(MATCH(36,'كشف الحساب'!$N$4:$N$203,0),0))),"")</f>
        <v>أون لاين</v>
      </c>
      <c r="G40" s="95">
        <f>IFERROR(IF(IFERROR(MATCH(36,'كشف الحساب'!$N$4:$N$203,0),0)=0,"",INDEX('كشف الحساب'!$G$4:$G$203,IFERROR(MATCH(36,'كشف الحساب'!$N$4:$N$203,0),0))),"")</f>
        <v>0</v>
      </c>
      <c r="H40" s="95" t="str">
        <f>IFERROR(IF(IFERROR(MATCH(36,'كشف الحساب'!$N$4:$N$203,0),0)=0,"",INDEX('كشف الحساب'!$H$4:$H$203,IFERROR(MATCH(36,'كشف الحساب'!$N$4:$N$203,0),0))),"")</f>
        <v>تم الدفع</v>
      </c>
      <c r="I40" s="95">
        <f>IFERROR(IF(IFERROR(MATCH(36,'كشف الحساب'!$N$4:$N$203,0),0)=0,"",INDEX('كشف الحساب'!$I$4:$I$203,IFERROR(MATCH(36,'كشف الحساب'!$N$4:$N$203,0),0))),"")</f>
        <v>0</v>
      </c>
      <c r="J40" s="99">
        <f>IFERROR(IF(IFERROR(MATCH(36,'كشف الحساب'!$N$4:$N$203,0),0)=0,"",INDEX('كشف الحساب'!$J$4:$J$203,IFERROR(MATCH(36,'كشف الحساب'!$N$4:$N$203,0),0))),"")</f>
        <v>387.55</v>
      </c>
      <c r="K40" s="95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8">
        <f>IFERROR(IF(IFERROR(MATCH(37,'كشف الحساب'!$N$4:$N$203,0),0)=0,"",INDEX('كشف الحساب'!$A$4:$A$203,IFERROR(MATCH(37,'كشف الحساب'!$N$4:$N$203,0),0))),"")</f>
        <v>46203</v>
      </c>
      <c r="B41" s="89" t="str">
        <f>IFERROR(IF(IFERROR(MATCH(37,'كشف الحساب'!$N$4:$N$203,0),0)=0,"",INDEX('كشف الحساب'!$B$4:$B$203,IFERROR(MATCH(37,'كشف الحساب'!$N$4:$N$203,0),0))),"")</f>
        <v>Inv-79</v>
      </c>
      <c r="C41" s="90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91">
        <f>IFERROR(IF(IFERROR(MATCH(37,'كشف الحساب'!$N$4:$N$203,0),0)=0,"",INDEX('كشف الحساب'!$D$4:$D$203,IFERROR(MATCH(37,'كشف الحساب'!$N$4:$N$203,0),0))),"")</f>
        <v>0</v>
      </c>
      <c r="E41" s="92">
        <f>IFERROR(IF(IFERROR(MATCH(37,'كشف الحساب'!$N$4:$N$203,0),0)=0,"",INDEX('كشف الحساب'!$E$4:$E$203,IFERROR(MATCH(37,'كشف الحساب'!$N$4:$N$203,0),0))),"")</f>
        <v>4</v>
      </c>
      <c r="F41" s="89" t="str">
        <f>IFERROR(IF(IFERROR(MATCH(37,'كشف الحساب'!$N$4:$N$203,0),0)=0,"",INDEX('كشف الحساب'!$F$4:$F$203,IFERROR(MATCH(37,'كشف الحساب'!$N$4:$N$203,0),0))),"")</f>
        <v>أون لاين</v>
      </c>
      <c r="G41" s="89">
        <f>IFERROR(IF(IFERROR(MATCH(37,'كشف الحساب'!$N$4:$N$203,0),0)=0,"",INDEX('كشف الحساب'!$G$4:$G$203,IFERROR(MATCH(37,'كشف الحساب'!$N$4:$N$203,0),0))),"")</f>
        <v>0</v>
      </c>
      <c r="H41" s="89" t="str">
        <f>IFERROR(IF(IFERROR(MATCH(37,'كشف الحساب'!$N$4:$N$203,0),0)=0,"",INDEX('كشف الحساب'!$H$4:$H$203,IFERROR(MATCH(37,'كشف الحساب'!$N$4:$N$203,0),0))),"")</f>
        <v>تم الدفع</v>
      </c>
      <c r="I41" s="89">
        <f>IFERROR(IF(IFERROR(MATCH(37,'كشف الحساب'!$N$4:$N$203,0),0)=0,"",INDEX('كشف الحساب'!$I$4:$I$203,IFERROR(MATCH(37,'كشف الحساب'!$N$4:$N$203,0),0))),"")</f>
        <v>0</v>
      </c>
      <c r="J41" s="93">
        <f>IFERROR(IF(IFERROR(MATCH(37,'كشف الحساب'!$N$4:$N$203,0),0)=0,"",INDEX('كشف الحساب'!$J$4:$J$203,IFERROR(MATCH(37,'كشف الحساب'!$N$4:$N$203,0),0))),"")</f>
        <v>391.55</v>
      </c>
      <c r="K41" s="89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4">
        <f>IFERROR(IF(IFERROR(MATCH(38,'كشف الحساب'!$N$4:$N$203,0),0)=0,"",INDEX('كشف الحساب'!$A$4:$A$203,IFERROR(MATCH(38,'كشف الحساب'!$N$4:$N$203,0),0))),"")</f>
        <v>46203</v>
      </c>
      <c r="B42" s="95" t="str">
        <f>IFERROR(IF(IFERROR(MATCH(38,'كشف الحساب'!$N$4:$N$203,0),0)=0,"",INDEX('كشف الحساب'!$B$4:$B$203,IFERROR(MATCH(38,'كشف الحساب'!$N$4:$N$203,0),0))),"")</f>
        <v>Inv-80</v>
      </c>
      <c r="C42" s="96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97">
        <f>IFERROR(IF(IFERROR(MATCH(38,'كشف الحساب'!$N$4:$N$203,0),0)=0,"",INDEX('كشف الحساب'!$D$4:$D$203,IFERROR(MATCH(38,'كشف الحساب'!$N$4:$N$203,0),0))),"")</f>
        <v>0</v>
      </c>
      <c r="E42" s="98">
        <f>IFERROR(IF(IFERROR(MATCH(38,'كشف الحساب'!$N$4:$N$203,0),0)=0,"",INDEX('كشف الحساب'!$E$4:$E$203,IFERROR(MATCH(38,'كشف الحساب'!$N$4:$N$203,0),0))),"")</f>
        <v>4</v>
      </c>
      <c r="F42" s="95" t="str">
        <f>IFERROR(IF(IFERROR(MATCH(38,'كشف الحساب'!$N$4:$N$203,0),0)=0,"",INDEX('كشف الحساب'!$F$4:$F$203,IFERROR(MATCH(38,'كشف الحساب'!$N$4:$N$203,0),0))),"")</f>
        <v>أون لاين</v>
      </c>
      <c r="G42" s="95">
        <f>IFERROR(IF(IFERROR(MATCH(38,'كشف الحساب'!$N$4:$N$203,0),0)=0,"",INDEX('كشف الحساب'!$G$4:$G$203,IFERROR(MATCH(38,'كشف الحساب'!$N$4:$N$203,0),0))),"")</f>
        <v>0</v>
      </c>
      <c r="H42" s="95" t="str">
        <f>IFERROR(IF(IFERROR(MATCH(38,'كشف الحساب'!$N$4:$N$203,0),0)=0,"",INDEX('كشف الحساب'!$H$4:$H$203,IFERROR(MATCH(38,'كشف الحساب'!$N$4:$N$203,0),0))),"")</f>
        <v>تم الدفع</v>
      </c>
      <c r="I42" s="95">
        <f>IFERROR(IF(IFERROR(MATCH(38,'كشف الحساب'!$N$4:$N$203,0),0)=0,"",INDEX('كشف الحساب'!$I$4:$I$203,IFERROR(MATCH(38,'كشف الحساب'!$N$4:$N$203,0),0))),"")</f>
        <v>0</v>
      </c>
      <c r="J42" s="99">
        <f>IFERROR(IF(IFERROR(MATCH(38,'كشف الحساب'!$N$4:$N$203,0),0)=0,"",INDEX('كشف الحساب'!$J$4:$J$203,IFERROR(MATCH(38,'كشف الحساب'!$N$4:$N$203,0),0))),"")</f>
        <v>395.55</v>
      </c>
      <c r="K42" s="95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8">
        <f>IFERROR(IF(IFERROR(MATCH(39,'كشف الحساب'!$N$4:$N$203,0),0)=0,"",INDEX('كشف الحساب'!$A$4:$A$203,IFERROR(MATCH(39,'كشف الحساب'!$N$4:$N$203,0),0))),"")</f>
        <v>46203</v>
      </c>
      <c r="B43" s="89" t="str">
        <f>IFERROR(IF(IFERROR(MATCH(39,'كشف الحساب'!$N$4:$N$203,0),0)=0,"",INDEX('كشف الحساب'!$B$4:$B$203,IFERROR(MATCH(39,'كشف الحساب'!$N$4:$N$203,0),0))),"")</f>
        <v>Inv-81</v>
      </c>
      <c r="C43" s="90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91">
        <f>IFERROR(IF(IFERROR(MATCH(39,'كشف الحساب'!$N$4:$N$203,0),0)=0,"",INDEX('كشف الحساب'!$D$4:$D$203,IFERROR(MATCH(39,'كشف الحساب'!$N$4:$N$203,0),0))),"")</f>
        <v>0</v>
      </c>
      <c r="E43" s="92">
        <f>IFERROR(IF(IFERROR(MATCH(39,'كشف الحساب'!$N$4:$N$203,0),0)=0,"",INDEX('كشف الحساب'!$E$4:$E$203,IFERROR(MATCH(39,'كشف الحساب'!$N$4:$N$203,0),0))),"")</f>
        <v>2</v>
      </c>
      <c r="F43" s="89" t="str">
        <f>IFERROR(IF(IFERROR(MATCH(39,'كشف الحساب'!$N$4:$N$203,0),0)=0,"",INDEX('كشف الحساب'!$F$4:$F$203,IFERROR(MATCH(39,'كشف الحساب'!$N$4:$N$203,0),0))),"")</f>
        <v>أون لاين</v>
      </c>
      <c r="G43" s="89">
        <f>IFERROR(IF(IFERROR(MATCH(39,'كشف الحساب'!$N$4:$N$203,0),0)=0,"",INDEX('كشف الحساب'!$G$4:$G$203,IFERROR(MATCH(39,'كشف الحساب'!$N$4:$N$203,0),0))),"")</f>
        <v>0</v>
      </c>
      <c r="H43" s="89" t="str">
        <f>IFERROR(IF(IFERROR(MATCH(39,'كشف الحساب'!$N$4:$N$203,0),0)=0,"",INDEX('كشف الحساب'!$H$4:$H$203,IFERROR(MATCH(39,'كشف الحساب'!$N$4:$N$203,0),0))),"")</f>
        <v>تم الدفع</v>
      </c>
      <c r="I43" s="89">
        <f>IFERROR(IF(IFERROR(MATCH(39,'كشف الحساب'!$N$4:$N$203,0),0)=0,"",INDEX('كشف الحساب'!$I$4:$I$203,IFERROR(MATCH(39,'كشف الحساب'!$N$4:$N$203,0),0))),"")</f>
        <v>0</v>
      </c>
      <c r="J43" s="93">
        <f>IFERROR(IF(IFERROR(MATCH(39,'كشف الحساب'!$N$4:$N$203,0),0)=0,"",INDEX('كشف الحساب'!$J$4:$J$203,IFERROR(MATCH(39,'كشف الحساب'!$N$4:$N$203,0),0))),"")</f>
        <v>397.55</v>
      </c>
      <c r="K43" s="89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4">
        <f>IFERROR(IF(IFERROR(MATCH(40,'كشف الحساب'!$N$4:$N$203,0),0)=0,"",INDEX('كشف الحساب'!$A$4:$A$203,IFERROR(MATCH(40,'كشف الحساب'!$N$4:$N$203,0),0))),"")</f>
        <v>46203</v>
      </c>
      <c r="B44" s="95">
        <f>IFERROR(IF(IFERROR(MATCH(40,'كشف الحساب'!$N$4:$N$203,0),0)=0,"",INDEX('كشف الحساب'!$B$4:$B$203,IFERROR(MATCH(40,'كشف الحساب'!$N$4:$N$203,0),0))),"")</f>
        <v>0</v>
      </c>
      <c r="C44" s="96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97">
        <f>IFERROR(IF(IFERROR(MATCH(40,'كشف الحساب'!$N$4:$N$203,0),0)=0,"",INDEX('كشف الحساب'!$D$4:$D$203,IFERROR(MATCH(40,'كشف الحساب'!$N$4:$N$203,0),0))),"")</f>
        <v>380</v>
      </c>
      <c r="E44" s="98">
        <f>IFERROR(IF(IFERROR(MATCH(40,'كشف الحساب'!$N$4:$N$203,0),0)=0,"",INDEX('كشف الحساب'!$E$4:$E$203,IFERROR(MATCH(40,'كشف الحساب'!$N$4:$N$203,0),0))),"")</f>
        <v>0</v>
      </c>
      <c r="F44" s="95" t="str">
        <f>IFERROR(IF(IFERROR(MATCH(40,'كشف الحساب'!$N$4:$N$203,0),0)=0,"",INDEX('كشف الحساب'!$F$4:$F$203,IFERROR(MATCH(40,'كشف الحساب'!$N$4:$N$203,0),0))),"")</f>
        <v>نقداً</v>
      </c>
      <c r="G44" s="95" t="str">
        <f>IFERROR(IF(IFERROR(MATCH(40,'كشف الحساب'!$N$4:$N$203,0),0)=0,"",INDEX('كشف الحساب'!$G$4:$G$203,IFERROR(MATCH(40,'كشف الحساب'!$N$4:$N$203,0),0))),"")</f>
        <v>المحفظة</v>
      </c>
      <c r="H44" s="95" t="str">
        <f>IFERROR(IF(IFERROR(MATCH(40,'كشف الحساب'!$N$4:$N$203,0),0)=0,"",INDEX('كشف الحساب'!$H$4:$H$203,IFERROR(MATCH(40,'كشف الحساب'!$N$4:$N$203,0),0))),"")</f>
        <v>تم الدفع</v>
      </c>
      <c r="I44" s="95">
        <f>IFERROR(IF(IFERROR(MATCH(40,'كشف الحساب'!$N$4:$N$203,0),0)=0,"",INDEX('كشف الحساب'!$I$4:$I$203,IFERROR(MATCH(40,'كشف الحساب'!$N$4:$N$203,0),0))),"")</f>
        <v>0</v>
      </c>
      <c r="J44" s="99">
        <f>IFERROR(IF(IFERROR(MATCH(40,'كشف الحساب'!$N$4:$N$203,0),0)=0,"",INDEX('كشف الحساب'!$J$4:$J$203,IFERROR(MATCH(40,'كشف الحساب'!$N$4:$N$203,0),0))),"")</f>
        <v>17.550000000000011</v>
      </c>
      <c r="K44" s="95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8">
        <f>IFERROR(IF(IFERROR(MATCH(41,'كشف الحساب'!$N$4:$N$203,0),0)=0,"",INDEX('كشف الحساب'!$A$4:$A$203,IFERROR(MATCH(41,'كشف الحساب'!$N$4:$N$203,0),0))),"")</f>
        <v>46203</v>
      </c>
      <c r="B45" s="89">
        <f>IFERROR(IF(IFERROR(MATCH(41,'كشف الحساب'!$N$4:$N$203,0),0)=0,"",INDEX('كشف الحساب'!$B$4:$B$203,IFERROR(MATCH(41,'كشف الحساب'!$N$4:$N$203,0),0))),"")</f>
        <v>0</v>
      </c>
      <c r="C45" s="90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91">
        <f>IFERROR(IF(IFERROR(MATCH(41,'كشف الحساب'!$N$4:$N$203,0),0)=0,"",INDEX('كشف الحساب'!$D$4:$D$203,IFERROR(MATCH(41,'كشف الحساب'!$N$4:$N$203,0),0))),"")</f>
        <v>0</v>
      </c>
      <c r="E45" s="92">
        <f>IFERROR(IF(IFERROR(MATCH(41,'كشف الحساب'!$N$4:$N$203,0),0)=0,"",INDEX('كشف الحساب'!$E$4:$E$203,IFERROR(MATCH(41,'كشف الحساب'!$N$4:$N$203,0),0))),"")</f>
        <v>50</v>
      </c>
      <c r="F45" s="89" t="str">
        <f>IFERROR(IF(IFERROR(MATCH(41,'كشف الحساب'!$N$4:$N$203,0),0)=0,"",INDEX('كشف الحساب'!$F$4:$F$203,IFERROR(MATCH(41,'كشف الحساب'!$N$4:$N$203,0),0))),"")</f>
        <v>نقداً</v>
      </c>
      <c r="G45" s="89" t="str">
        <f>IFERROR(IF(IFERROR(MATCH(41,'كشف الحساب'!$N$4:$N$203,0),0)=0,"",INDEX('كشف الحساب'!$G$4:$G$203,IFERROR(MATCH(41,'كشف الحساب'!$N$4:$N$203,0),0))),"")</f>
        <v>أبو آدم</v>
      </c>
      <c r="H45" s="89" t="str">
        <f>IFERROR(IF(IFERROR(MATCH(41,'كشف الحساب'!$N$4:$N$203,0),0)=0,"",INDEX('كشف الحساب'!$H$4:$H$203,IFERROR(MATCH(41,'كشف الحساب'!$N$4:$N$203,0),0))),"")</f>
        <v>تم الدفع</v>
      </c>
      <c r="I45" s="89">
        <f>IFERROR(IF(IFERROR(MATCH(41,'كشف الحساب'!$N$4:$N$203,0),0)=0,"",INDEX('كشف الحساب'!$I$4:$I$203,IFERROR(MATCH(41,'كشف الحساب'!$N$4:$N$203,0),0))),"")</f>
        <v>0</v>
      </c>
      <c r="J45" s="93">
        <f>IFERROR(IF(IFERROR(MATCH(41,'كشف الحساب'!$N$4:$N$203,0),0)=0,"",INDEX('كشف الحساب'!$J$4:$J$203,IFERROR(MATCH(41,'كشف الحساب'!$N$4:$N$203,0),0))),"")</f>
        <v>67.550000000000011</v>
      </c>
      <c r="K45" s="89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4">
        <f>IFERROR(IF(IFERROR(MATCH(42,'كشف الحساب'!$N$4:$N$203,0),0)=0,"",INDEX('كشف الحساب'!$A$4:$A$203,IFERROR(MATCH(42,'كشف الحساب'!$N$4:$N$203,0),0))),"")</f>
        <v>46203</v>
      </c>
      <c r="B46" s="95">
        <f>IFERROR(IF(IFERROR(MATCH(42,'كشف الحساب'!$N$4:$N$203,0),0)=0,"",INDEX('كشف الحساب'!$B$4:$B$203,IFERROR(MATCH(42,'كشف الحساب'!$N$4:$N$203,0),0))),"")</f>
        <v>0</v>
      </c>
      <c r="C46" s="96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97">
        <f>IFERROR(IF(IFERROR(MATCH(42,'كشف الحساب'!$N$4:$N$203,0),0)=0,"",INDEX('كشف الحساب'!$D$4:$D$203,IFERROR(MATCH(42,'كشف الحساب'!$N$4:$N$203,0),0))),"")</f>
        <v>0</v>
      </c>
      <c r="E46" s="98">
        <f>IFERROR(IF(IFERROR(MATCH(42,'كشف الحساب'!$N$4:$N$203,0),0)=0,"",INDEX('كشف الحساب'!$E$4:$E$203,IFERROR(MATCH(42,'كشف الحساب'!$N$4:$N$203,0),0))),"")</f>
        <v>50</v>
      </c>
      <c r="F46" s="95" t="str">
        <f>IFERROR(IF(IFERROR(MATCH(42,'كشف الحساب'!$N$4:$N$203,0),0)=0,"",INDEX('كشف الحساب'!$F$4:$F$203,IFERROR(MATCH(42,'كشف الحساب'!$N$4:$N$203,0),0))),"")</f>
        <v>نقداً</v>
      </c>
      <c r="G46" s="95" t="str">
        <f>IFERROR(IF(IFERROR(MATCH(42,'كشف الحساب'!$N$4:$N$203,0),0)=0,"",INDEX('كشف الحساب'!$G$4:$G$203,IFERROR(MATCH(42,'كشف الحساب'!$N$4:$N$203,0),0))),"")</f>
        <v>أبو اسحاق</v>
      </c>
      <c r="H46" s="95" t="str">
        <f>IFERROR(IF(IFERROR(MATCH(42,'كشف الحساب'!$N$4:$N$203,0),0)=0,"",INDEX('كشف الحساب'!$H$4:$H$203,IFERROR(MATCH(42,'كشف الحساب'!$N$4:$N$203,0),0))),"")</f>
        <v>تم الدفع</v>
      </c>
      <c r="I46" s="95">
        <f>IFERROR(IF(IFERROR(MATCH(42,'كشف الحساب'!$N$4:$N$203,0),0)=0,"",INDEX('كشف الحساب'!$I$4:$I$203,IFERROR(MATCH(42,'كشف الحساب'!$N$4:$N$203,0),0))),"")</f>
        <v>0</v>
      </c>
      <c r="J46" s="99">
        <f>IFERROR(IF(IFERROR(MATCH(42,'كشف الحساب'!$N$4:$N$203,0),0)=0,"",INDEX('كشف الحساب'!$J$4:$J$203,IFERROR(MATCH(42,'كشف الحساب'!$N$4:$N$203,0),0))),"")</f>
        <v>117.55000000000001</v>
      </c>
      <c r="K46" s="95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8">
        <f>IFERROR(IF(IFERROR(MATCH(43,'كشف الحساب'!$N$4:$N$203,0),0)=0,"",INDEX('كشف الحساب'!$A$4:$A$203,IFERROR(MATCH(43,'كشف الحساب'!$N$4:$N$203,0),0))),"")</f>
        <v>46203</v>
      </c>
      <c r="B47" s="89">
        <f>IFERROR(IF(IFERROR(MATCH(43,'كشف الحساب'!$N$4:$N$203,0),0)=0,"",INDEX('كشف الحساب'!$B$4:$B$203,IFERROR(MATCH(43,'كشف الحساب'!$N$4:$N$203,0),0))),"")</f>
        <v>0</v>
      </c>
      <c r="C47" s="90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91">
        <f>IFERROR(IF(IFERROR(MATCH(43,'كشف الحساب'!$N$4:$N$203,0),0)=0,"",INDEX('كشف الحساب'!$D$4:$D$203,IFERROR(MATCH(43,'كشف الحساب'!$N$4:$N$203,0),0))),"")</f>
        <v>80</v>
      </c>
      <c r="E47" s="92">
        <f>IFERROR(IF(IFERROR(MATCH(43,'كشف الحساب'!$N$4:$N$203,0),0)=0,"",INDEX('كشف الحساب'!$E$4:$E$203,IFERROR(MATCH(43,'كشف الحساب'!$N$4:$N$203,0),0))),"")</f>
        <v>0</v>
      </c>
      <c r="F47" s="89" t="str">
        <f>IFERROR(IF(IFERROR(MATCH(43,'كشف الحساب'!$N$4:$N$203,0),0)=0,"",INDEX('كشف الحساب'!$F$4:$F$203,IFERROR(MATCH(43,'كشف الحساب'!$N$4:$N$203,0),0))),"")</f>
        <v>نقداً</v>
      </c>
      <c r="G47" s="89" t="str">
        <f>IFERROR(IF(IFERROR(MATCH(43,'كشف الحساب'!$N$4:$N$203,0),0)=0,"",INDEX('كشف الحساب'!$G$4:$G$203,IFERROR(MATCH(43,'كشف الحساب'!$N$4:$N$203,0),0))),"")</f>
        <v>المحفظة</v>
      </c>
      <c r="H47" s="89" t="str">
        <f>IFERROR(IF(IFERROR(MATCH(43,'كشف الحساب'!$N$4:$N$203,0),0)=0,"",INDEX('كشف الحساب'!$H$4:$H$203,IFERROR(MATCH(43,'كشف الحساب'!$N$4:$N$203,0),0))),"")</f>
        <v>تم الدفع</v>
      </c>
      <c r="I47" s="89">
        <f>IFERROR(IF(IFERROR(MATCH(43,'كشف الحساب'!$N$4:$N$203,0),0)=0,"",INDEX('كشف الحساب'!$I$4:$I$203,IFERROR(MATCH(43,'كشف الحساب'!$N$4:$N$203,0),0))),"")</f>
        <v>0</v>
      </c>
      <c r="J47" s="93">
        <f>IFERROR(IF(IFERROR(MATCH(43,'كشف الحساب'!$N$4:$N$203,0),0)=0,"",INDEX('كشف الحساب'!$J$4:$J$203,IFERROR(MATCH(43,'كشف الحساب'!$N$4:$N$203,0),0))),"")</f>
        <v>37.550000000000011</v>
      </c>
      <c r="K47" s="89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5" t="s">
        <v>220</v>
      </c>
      <c r="B155" s="155"/>
      <c r="C155" s="155"/>
      <c r="D155" s="100">
        <f>SUM(D5:D154)</f>
        <v>684.8</v>
      </c>
      <c r="E155" s="100">
        <f>SUM(E5:E154)</f>
        <v>310.5</v>
      </c>
      <c r="F155" s="156">
        <f>COUNTIF(H5:H154,"معلق")</f>
        <v>0</v>
      </c>
      <c r="G155" s="156"/>
      <c r="H155" s="156"/>
      <c r="I155" s="101"/>
      <c r="J155" s="100">
        <f>E155-D155</f>
        <v>-374.29999999999995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39" t="s">
        <v>0</v>
      </c>
      <c r="B1" s="139"/>
      <c r="C1" s="139"/>
      <c r="D1" s="139"/>
      <c r="E1" s="139"/>
      <c r="F1" s="139"/>
      <c r="G1" s="139"/>
    </row>
    <row r="2" spans="1:7" ht="24" customHeight="1">
      <c r="A2" s="157" t="s">
        <v>222</v>
      </c>
      <c r="B2" s="157"/>
      <c r="C2" s="81" t="s">
        <v>240</v>
      </c>
      <c r="D2" s="157" t="s">
        <v>223</v>
      </c>
      <c r="E2" s="157"/>
      <c r="F2" s="81">
        <v>2026</v>
      </c>
    </row>
    <row r="3" spans="1:7" ht="21.75" customHeight="1">
      <c r="A3" s="159" t="s">
        <v>224</v>
      </c>
      <c r="B3" s="159"/>
      <c r="C3" s="82">
        <f>المحفظة!$D$2</f>
        <v>0</v>
      </c>
      <c r="D3" s="159" t="s">
        <v>225</v>
      </c>
      <c r="E3" s="159"/>
      <c r="F3" s="103">
        <f>المحفظة!$C$3</f>
        <v>418.1</v>
      </c>
    </row>
    <row r="4" spans="1:7" ht="21.75" customHeight="1">
      <c r="A4" s="145" t="s">
        <v>226</v>
      </c>
      <c r="B4" s="145"/>
      <c r="C4" s="145"/>
      <c r="D4" s="145"/>
      <c r="E4" s="145"/>
      <c r="F4" s="145"/>
      <c r="G4" s="145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أون لاين</v>
      </c>
      <c r="G21" s="105"/>
    </row>
    <row r="22" spans="1:7" ht="16.5" customHeight="1">
      <c r="A22" s="10">
        <f>IFERROR(IF(IFERROR(MATCH(18,المحفظة!$H$5:$H$104,0),0)=0,"",INDEX(المحفظة!$A$5:$A$104,IFERROR(MATCH(18,المحفظة!$H$5:$H$104,0),0))),"")</f>
        <v>46190</v>
      </c>
      <c r="B22" s="11" t="str">
        <f>IFERROR(IF(IFERROR(MATCH(18,المحفظة!$H$5:$H$104,0),0)=0,"",INDEX(المحفظة!$B$5:$B$104,IFERROR(MATCH(18,المحفظة!$H$5:$H$104,0),0))),"")</f>
        <v>Inv-71</v>
      </c>
      <c r="C22" s="106" t="str">
        <f>IFERROR(IF(IFERROR(MATCH(18,المحفظة!$H$5:$H$104,0),0)=0,"",INDEX(المحفظة!$C$5:$C$104,IFERROR(MATCH(18,المحفظة!$H$5:$H$104,0),0))),"")</f>
        <v>دارسينا عدد 1 الحبه 1.500</v>
      </c>
      <c r="D22" s="13" t="s">
        <v>6</v>
      </c>
      <c r="E22" s="14">
        <f>IFERROR(IF(IFERROR(MATCH(18,المحفظة!$H$5:$H$104,0),0)=0,"",INDEX(المحفظة!$E$5:$E$104,IFERROR(MATCH(18,المحفظة!$H$5:$H$104,0),0))),"")</f>
        <v>1.5</v>
      </c>
      <c r="F22" s="11" t="str">
        <f>IFERROR(IF(IFERROR(MATCH(18,المحفظة!$H$5:$H$104,0),0)=0,"",INDEX(المحفظة!$F$5:$F$104,IFERROR(MATCH(18,المحفظة!$H$5:$H$104,0),0))),"")</f>
        <v>أون لاين</v>
      </c>
      <c r="G22" s="107"/>
    </row>
    <row r="23" spans="1:7" ht="16.5" customHeight="1">
      <c r="A23" s="3">
        <f>IFERROR(IF(IFERROR(MATCH(19,المحفظة!$H$5:$H$104,0),0)=0,"",INDEX(المحفظة!$A$5:$A$104,IFERROR(MATCH(19,المحفظة!$H$5:$H$104,0),0))),"")</f>
        <v>46191</v>
      </c>
      <c r="B23" s="4" t="str">
        <f>IFERROR(IF(IFERROR(MATCH(19,المحفظة!$H$5:$H$104,0),0)=0,"",INDEX(المحفظة!$B$5:$B$104,IFERROR(MATCH(19,المحفظة!$H$5:$H$104,0),0))),"")</f>
        <v>Inv-72</v>
      </c>
      <c r="C23" s="104" t="str">
        <f>IFERROR(IF(IFERROR(MATCH(19,المحفظة!$H$5:$H$104,0),0)=0,"",INDEX(المحفظة!$C$5:$C$104,IFERROR(MATCH(19,المحفظة!$H$5:$H$104,0),0))),"")</f>
        <v>فل عدد 1 الحبه 0.750</v>
      </c>
      <c r="D23" s="6" t="s">
        <v>6</v>
      </c>
      <c r="E23" s="7">
        <f>IFERROR(IF(IFERROR(MATCH(19,المحفظة!$H$5:$H$104,0),0)=0,"",INDEX(المحفظة!$E$5:$E$104,IFERROR(MATCH(19,المحفظة!$H$5:$H$104,0),0))),"")</f>
        <v>0.75</v>
      </c>
      <c r="F23" s="4" t="str">
        <f>IFERROR(IF(IFERROR(MATCH(19,المحفظة!$H$5:$H$104,0),0)=0,"",INDEX(المحفظة!$F$5:$F$104,IFERROR(MATCH(19,المحفظة!$H$5:$H$104,0),0))),"")</f>
        <v>أون لاين</v>
      </c>
      <c r="G23" s="105"/>
    </row>
    <row r="24" spans="1:7" ht="15" customHeight="1">
      <c r="A24" s="108">
        <f>IFERROR(IF(IFERROR(MATCH(20,المحفظة!$H$5:$H$104,0),0)=0,"",INDEX(المحفظة!$A$5:$A$104,IFERROR(MATCH(20,المحفظة!$H$5:$H$104,0),0))),"")</f>
        <v>46191</v>
      </c>
      <c r="B24" s="109" t="str">
        <f>IFERROR(IF(IFERROR(MATCH(20,المحفظة!$H$5:$H$104,0),0)=0,"",INDEX(المحفظة!$B$5:$B$104,IFERROR(MATCH(20,المحفظة!$H$5:$H$104,0),0))),"")</f>
        <v>Inv-73</v>
      </c>
      <c r="C24" s="110" t="str">
        <f>IFERROR(IF(IFERROR(MATCH(20,المحفظة!$H$5:$H$104,0),0)=0,"",INDEX(المحفظة!$C$5:$C$104,IFERROR(MATCH(20,المحفظة!$H$5:$H$104,0),0))),"")</f>
        <v>ودليه عدد 3 الحبه 1</v>
      </c>
      <c r="D24" s="111" t="s">
        <v>6</v>
      </c>
      <c r="E24" s="112">
        <f>IFERROR(IF(IFERROR(MATCH(20,المحفظة!$H$5:$H$104,0),0)=0,"",INDEX(المحفظة!$E$5:$E$104,IFERROR(MATCH(20,المحفظة!$H$5:$H$104,0),0))),"")</f>
        <v>3</v>
      </c>
      <c r="F24" s="109" t="str">
        <f>IFERROR(IF(IFERROR(MATCH(20,المحفظة!$H$5:$H$104,0),0)=0,"",INDEX(المحفظة!$F$5:$F$104,IFERROR(MATCH(20,المحفظة!$H$5:$H$104,0),0))),"")</f>
        <v>أون لاين</v>
      </c>
      <c r="G24" s="16"/>
    </row>
    <row r="25" spans="1:7" ht="15" customHeight="1">
      <c r="A25" s="113">
        <f>IFERROR(IF(IFERROR(MATCH(21,المحفظة!$H$5:$H$104,0),0)=0,"",INDEX(المحفظة!$A$5:$A$104,IFERROR(MATCH(21,المحفظة!$H$5:$H$104,0),0))),"")</f>
        <v>46199</v>
      </c>
      <c r="B25" s="114" t="str">
        <f>IFERROR(IF(IFERROR(MATCH(21,المحفظة!$H$5:$H$104,0),0)=0,"",INDEX(المحفظة!$B$5:$B$104,IFERROR(MATCH(21,المحفظة!$H$5:$H$104,0),0))),"")</f>
        <v>Inv-74</v>
      </c>
      <c r="C25" s="115" t="str">
        <f>IFERROR(IF(IFERROR(MATCH(21,المحفظة!$H$5:$H$104,0),0)=0,"",INDEX(المحفظة!$C$5:$C$104,IFERROR(MATCH(21,المحفظة!$H$5:$H$104,0),0))),"")</f>
        <v>ربل عدد 11 الحبه 2</v>
      </c>
      <c r="D25" s="116" t="s">
        <v>6</v>
      </c>
      <c r="E25" s="117">
        <f>IFERROR(IF(IFERROR(MATCH(21,المحفظة!$H$5:$H$104,0),0)=0,"",INDEX(المحفظة!$E$5:$E$104,IFERROR(MATCH(21,المحفظة!$H$5:$H$104,0),0))),"")</f>
        <v>22</v>
      </c>
      <c r="F25" s="114" t="str">
        <f>IFERROR(IF(IFERROR(MATCH(21,المحفظة!$H$5:$H$104,0),0)=0,"",INDEX(المحفظة!$F$5:$F$104,IFERROR(MATCH(21,المحفظة!$H$5:$H$104,0),0))),"")</f>
        <v>أون لاين</v>
      </c>
      <c r="G25" s="9"/>
    </row>
    <row r="26" spans="1:7" ht="15" customHeight="1">
      <c r="A26" s="108">
        <f>IFERROR(IF(IFERROR(MATCH(22,المحفظة!$H$5:$H$104,0),0)=0,"",INDEX(المحفظة!$A$5:$A$104,IFERROR(MATCH(22,المحفظة!$H$5:$H$104,0),0))),"")</f>
        <v>46199</v>
      </c>
      <c r="B26" s="109" t="str">
        <f>IFERROR(IF(IFERROR(MATCH(22,المحفظة!$H$5:$H$104,0),0)=0,"",INDEX(المحفظة!$B$5:$B$104,IFERROR(MATCH(22,المحفظة!$H$5:$H$104,0),0))),"")</f>
        <v>Inv-75</v>
      </c>
      <c r="C26" s="110" t="str">
        <f>IFERROR(IF(IFERROR(MATCH(22,المحفظة!$H$5:$H$104,0),0)=0,"",INDEX(المحفظة!$C$5:$C$104,IFERROR(MATCH(22,المحفظة!$H$5:$H$104,0),0))),"")</f>
        <v>شوفليرا عدد6 الحبه 1.500</v>
      </c>
      <c r="D26" s="111" t="s">
        <v>6</v>
      </c>
      <c r="E26" s="112">
        <f>IFERROR(IF(IFERROR(MATCH(22,المحفظة!$H$5:$H$104,0),0)=0,"",INDEX(المحفظة!$E$5:$E$104,IFERROR(MATCH(22,المحفظة!$H$5:$H$104,0),0))),"")</f>
        <v>9</v>
      </c>
      <c r="F26" s="109" t="str">
        <f>IFERROR(IF(IFERROR(MATCH(22,المحفظة!$H$5:$H$104,0),0)=0,"",INDEX(المحفظة!$F$5:$F$104,IFERROR(MATCH(22,المحفظة!$H$5:$H$104,0),0))),"")</f>
        <v>أون لاين</v>
      </c>
      <c r="G26" s="16"/>
    </row>
    <row r="27" spans="1:7" ht="15" customHeight="1">
      <c r="A27" s="113">
        <f>IFERROR(IF(IFERROR(MATCH(23,المحفظة!$H$5:$H$104,0),0)=0,"",INDEX(المحفظة!$A$5:$A$104,IFERROR(MATCH(23,المحفظة!$H$5:$H$104,0),0))),"")</f>
        <v>46197</v>
      </c>
      <c r="B27" s="114">
        <f>IFERROR(IF(IFERROR(MATCH(23,المحفظة!$H$5:$H$104,0),0)=0,"",INDEX(المحفظة!$B$5:$B$104,IFERROR(MATCH(23,المحفظة!$H$5:$H$104,0),0))),"")</f>
        <v>0</v>
      </c>
      <c r="C27" s="115" t="str">
        <f>IFERROR(IF(IFERROR(MATCH(23,المحفظة!$H$5:$H$104,0),0)=0,"",INDEX(المحفظة!$C$5:$C$104,IFERROR(MATCH(23,المحفظة!$H$5:$H$104,0),0))),"")</f>
        <v>nbk 18-18-18</v>
      </c>
      <c r="D27" s="116" t="s">
        <v>6</v>
      </c>
      <c r="E27" s="117">
        <f>IFERROR(IF(IFERROR(MATCH(23,المحفظة!$H$5:$H$104,0),0)=0,"",INDEX(المحفظة!$E$5:$E$104,IFERROR(MATCH(23,المحفظة!$H$5:$H$104,0),0))),"")</f>
        <v>0</v>
      </c>
      <c r="F27" s="114" t="str">
        <f>IFERROR(IF(IFERROR(MATCH(23,المحفظة!$H$5:$H$104,0),0)=0,"",INDEX(المحفظة!$F$5:$F$104,IFERROR(MATCH(23,المحفظة!$H$5:$H$104,0),0))),"")</f>
        <v>نقداً</v>
      </c>
      <c r="G27" s="9"/>
    </row>
    <row r="28" spans="1:7" ht="15" customHeight="1">
      <c r="A28" s="108">
        <f>IFERROR(IF(IFERROR(MATCH(24,المحفظة!$H$5:$H$104,0),0)=0,"",INDEX(المحفظة!$A$5:$A$104,IFERROR(MATCH(24,المحفظة!$H$5:$H$104,0),0))),"")</f>
        <v>46202</v>
      </c>
      <c r="B28" s="109" t="str">
        <f>IFERROR(IF(IFERROR(MATCH(24,المحفظة!$H$5:$H$104,0),0)=0,"",INDEX(المحفظة!$B$5:$B$104,IFERROR(MATCH(24,المحفظة!$H$5:$H$104,0),0))),"")</f>
        <v>Inv-77</v>
      </c>
      <c r="C28" s="110" t="str">
        <f>IFERROR(IF(IFERROR(MATCH(24,المحفظة!$H$5:$H$104,0),0)=0,"",INDEX(المحفظة!$C$5:$C$104,IFERROR(MATCH(24,المحفظة!$H$5:$H$104,0),0))),"")</f>
        <v>عطره عدد 3 الحبه 0.750</v>
      </c>
      <c r="D28" s="111" t="s">
        <v>6</v>
      </c>
      <c r="E28" s="112">
        <f>IFERROR(IF(IFERROR(MATCH(24,المحفظة!$H$5:$H$104,0),0)=0,"",INDEX(المحفظة!$E$5:$E$104,IFERROR(MATCH(24,المحفظة!$H$5:$H$104,0),0))),"")</f>
        <v>2.25</v>
      </c>
      <c r="F28" s="109" t="str">
        <f>IFERROR(IF(IFERROR(MATCH(24,المحفظة!$H$5:$H$104,0),0)=0,"",INDEX(المحفظة!$F$5:$F$104,IFERROR(MATCH(24,المحفظة!$H$5:$H$104,0),0))),"")</f>
        <v>أون لاين</v>
      </c>
      <c r="G28" s="16"/>
    </row>
    <row r="29" spans="1:7" ht="15" customHeight="1">
      <c r="A29" s="113">
        <f>IFERROR(IF(IFERROR(MATCH(25,المحفظة!$H$5:$H$104,0),0)=0,"",INDEX(المحفظة!$A$5:$A$104,IFERROR(MATCH(25,المحفظة!$H$5:$H$104,0),0))),"")</f>
        <v>46202</v>
      </c>
      <c r="B29" s="114" t="str">
        <f>IFERROR(IF(IFERROR(MATCH(25,المحفظة!$H$5:$H$104,0),0)=0,"",INDEX(المحفظة!$B$5:$B$104,IFERROR(MATCH(25,المحفظة!$H$5:$H$104,0),0))),"")</f>
        <v>Inv-78</v>
      </c>
      <c r="C29" s="115" t="str">
        <f>IFERROR(IF(IFERROR(MATCH(25,المحفظة!$H$5:$H$104,0),0)=0,"",INDEX(المحفظة!$C$5:$C$104,IFERROR(MATCH(25,المحفظة!$H$5:$H$104,0),0))),"")</f>
        <v>معلقات عدد 3 الحبه 1</v>
      </c>
      <c r="D29" s="116" t="s">
        <v>6</v>
      </c>
      <c r="E29" s="117">
        <f>IFERROR(IF(IFERROR(MATCH(25,المحفظة!$H$5:$H$104,0),0)=0,"",INDEX(المحفظة!$E$5:$E$104,IFERROR(MATCH(25,المحفظة!$H$5:$H$104,0),0))),"")</f>
        <v>3</v>
      </c>
      <c r="F29" s="114" t="str">
        <f>IFERROR(IF(IFERROR(MATCH(25,المحفظة!$H$5:$H$104,0),0)=0,"",INDEX(المحفظة!$F$5:$F$104,IFERROR(MATCH(25,المحفظة!$H$5:$H$104,0),0))),"")</f>
        <v>أون لاين</v>
      </c>
      <c r="G29" s="9"/>
    </row>
    <row r="30" spans="1:7" ht="15" customHeight="1">
      <c r="A30" s="108">
        <f>IFERROR(IF(IFERROR(MATCH(26,المحفظة!$H$5:$H$104,0),0)=0,"",INDEX(المحفظة!$A$5:$A$104,IFERROR(MATCH(26,المحفظة!$H$5:$H$104,0),0))),"")</f>
        <v>46203</v>
      </c>
      <c r="B30" s="109" t="str">
        <f>IFERROR(IF(IFERROR(MATCH(26,المحفظة!$H$5:$H$104,0),0)=0,"",INDEX(المحفظة!$B$5:$B$104,IFERROR(MATCH(26,المحفظة!$H$5:$H$104,0),0))),"")</f>
        <v>Inv-79</v>
      </c>
      <c r="C30" s="110" t="str">
        <f>IFERROR(IF(IFERROR(MATCH(26,المحفظة!$H$5:$H$104,0),0)=0,"",INDEX(المحفظة!$C$5:$C$104,IFERROR(MATCH(26,المحفظة!$H$5:$H$104,0),0))),"")</f>
        <v>معلقات عدد 4 الحبه 1</v>
      </c>
      <c r="D30" s="111" t="s">
        <v>6</v>
      </c>
      <c r="E30" s="112">
        <f>IFERROR(IF(IFERROR(MATCH(26,المحفظة!$H$5:$H$104,0),0)=0,"",INDEX(المحفظة!$E$5:$E$104,IFERROR(MATCH(26,المحفظة!$H$5:$H$104,0),0))),"")</f>
        <v>4</v>
      </c>
      <c r="F30" s="109" t="str">
        <f>IFERROR(IF(IFERROR(MATCH(26,المحفظة!$H$5:$H$104,0),0)=0,"",INDEX(المحفظة!$F$5:$F$104,IFERROR(MATCH(26,المحفظة!$H$5:$H$104,0),0))),"")</f>
        <v>أون لاين</v>
      </c>
      <c r="G30" s="16"/>
    </row>
    <row r="31" spans="1:7" ht="15" customHeight="1">
      <c r="A31" s="113">
        <f>IFERROR(IF(IFERROR(MATCH(27,المحفظة!$H$5:$H$104,0),0)=0,"",INDEX(المحفظة!$A$5:$A$104,IFERROR(MATCH(27,المحفظة!$H$5:$H$104,0),0))),"")</f>
        <v>46203</v>
      </c>
      <c r="B31" s="114" t="str">
        <f>IFERROR(IF(IFERROR(MATCH(27,المحفظة!$H$5:$H$104,0),0)=0,"",INDEX(المحفظة!$B$5:$B$104,IFERROR(MATCH(27,المحفظة!$H$5:$H$104,0),0))),"")</f>
        <v>Inv-80</v>
      </c>
      <c r="C31" s="115" t="str">
        <f>IFERROR(IF(IFERROR(MATCH(27,المحفظة!$H$5:$H$104,0),0)=0,"",INDEX(المحفظة!$C$5:$C$104,IFERROR(MATCH(27,المحفظة!$H$5:$H$104,0),0))),"")</f>
        <v>معلقات عدد4 الحبه 1</v>
      </c>
      <c r="D31" s="116" t="s">
        <v>6</v>
      </c>
      <c r="E31" s="117">
        <f>IFERROR(IF(IFERROR(MATCH(27,المحفظة!$H$5:$H$104,0),0)=0,"",INDEX(المحفظة!$E$5:$E$104,IFERROR(MATCH(27,المحفظة!$H$5:$H$104,0),0))),"")</f>
        <v>4</v>
      </c>
      <c r="F31" s="114" t="str">
        <f>IFERROR(IF(IFERROR(MATCH(27,المحفظة!$H$5:$H$104,0),0)=0,"",INDEX(المحفظة!$F$5:$F$104,IFERROR(MATCH(27,المحفظة!$H$5:$H$104,0),0))),"")</f>
        <v>أون لاين</v>
      </c>
      <c r="G31" s="9"/>
    </row>
    <row r="32" spans="1:7" ht="15" customHeight="1">
      <c r="A32" s="108">
        <f>IFERROR(IF(IFERROR(MATCH(28,المحفظة!$H$5:$H$104,0),0)=0,"",INDEX(المحفظة!$A$5:$A$104,IFERROR(MATCH(28,المحفظة!$H$5:$H$104,0),0))),"")</f>
        <v>46203</v>
      </c>
      <c r="B32" s="109" t="str">
        <f>IFERROR(IF(IFERROR(MATCH(28,المحفظة!$H$5:$H$104,0),0)=0,"",INDEX(المحفظة!$B$5:$B$104,IFERROR(MATCH(28,المحفظة!$H$5:$H$104,0),0))),"")</f>
        <v>Inv-81</v>
      </c>
      <c r="C32" s="110" t="str">
        <f>IFERROR(IF(IFERROR(MATCH(28,المحفظة!$H$5:$H$104,0),0)=0,"",INDEX(المحفظة!$C$5:$C$104,IFERROR(MATCH(28,المحفظة!$H$5:$H$104,0),0))),"")</f>
        <v>افوبيا عدد 2 الحبه 1</v>
      </c>
      <c r="D32" s="111" t="s">
        <v>6</v>
      </c>
      <c r="E32" s="112">
        <f>IFERROR(IF(IFERROR(MATCH(28,المحفظة!$H$5:$H$104,0),0)=0,"",INDEX(المحفظة!$E$5:$E$104,IFERROR(MATCH(28,المحفظة!$H$5:$H$104,0),0))),"")</f>
        <v>2</v>
      </c>
      <c r="F32" s="109" t="str">
        <f>IFERROR(IF(IFERROR(MATCH(28,المحفظة!$H$5:$H$104,0),0)=0,"",INDEX(المحفظة!$F$5:$F$104,IFERROR(MATCH(28,المحفظة!$H$5:$H$104,0),0))),"")</f>
        <v>أون لاين</v>
      </c>
      <c r="G32" s="16"/>
    </row>
    <row r="33" spans="1:7" ht="15" customHeight="1">
      <c r="A33" s="113">
        <f>IFERROR(IF(IFERROR(MATCH(29,المحفظة!$H$5:$H$104,0),0)=0,"",INDEX(المحفظة!$A$5:$A$104,IFERROR(MATCH(29,المحفظة!$H$5:$H$104,0),0))),"")</f>
        <v>46203</v>
      </c>
      <c r="B33" s="114">
        <f>IFERROR(IF(IFERROR(MATCH(29,المحفظة!$H$5:$H$104,0),0)=0,"",INDEX(المحفظة!$B$5:$B$104,IFERROR(MATCH(29,المحفظة!$H$5:$H$104,0),0))),"")</f>
        <v>0</v>
      </c>
      <c r="C33" s="115" t="str">
        <f>IFERROR(IF(IFERROR(MATCH(29,المحفظة!$H$5:$H$104,0),0)=0,"",INDEX(المحفظة!$C$5:$C$104,IFERROR(MATCH(29,المحفظة!$H$5:$H$104,0),0))),"")</f>
        <v>رواتب عماله شهر يونيو 2026</v>
      </c>
      <c r="D33" s="116" t="s">
        <v>6</v>
      </c>
      <c r="E33" s="117">
        <f>IFERROR(IF(IFERROR(MATCH(29,المحفظة!$H$5:$H$104,0),0)=0,"",INDEX(المحفظة!$E$5:$E$104,IFERROR(MATCH(29,المحفظة!$H$5:$H$104,0),0))),"")</f>
        <v>0</v>
      </c>
      <c r="F33" s="114" t="str">
        <f>IFERROR(IF(IFERROR(MATCH(29,المحفظة!$H$5:$H$104,0),0)=0,"",INDEX(المحفظة!$F$5:$F$104,IFERROR(MATCH(29,المحفظة!$H$5:$H$104,0),0))),"")</f>
        <v>نقداً</v>
      </c>
      <c r="G33" s="9"/>
    </row>
    <row r="34" spans="1:7" ht="15" customHeight="1">
      <c r="A34" s="108">
        <f>IFERROR(IF(IFERROR(MATCH(30,المحفظة!$H$5:$H$104,0),0)=0,"",INDEX(المحفظة!$A$5:$A$104,IFERROR(MATCH(30,المحفظة!$H$5:$H$104,0),0))),"")</f>
        <v>46203</v>
      </c>
      <c r="B34" s="109">
        <f>IFERROR(IF(IFERROR(MATCH(30,المحفظة!$H$5:$H$104,0),0)=0,"",INDEX(المحفظة!$B$5:$B$104,IFERROR(MATCH(30,المحفظة!$H$5:$H$104,0),0))),"")</f>
        <v>0</v>
      </c>
      <c r="C34" s="110" t="str">
        <f>IFERROR(IF(IFERROR(MATCH(30,المحفظة!$H$5:$H$104,0),0)=0,"",INDEX(المحفظة!$C$5:$C$104,IFERROR(MATCH(30,المحفظة!$H$5:$H$104,0),0))),"")</f>
        <v>تكمله رواتب يونيو 2026 ابواسحاق</v>
      </c>
      <c r="D34" s="111" t="s">
        <v>6</v>
      </c>
      <c r="E34" s="112">
        <f>IFERROR(IF(IFERROR(MATCH(30,المحفظة!$H$5:$H$104,0),0)=0,"",INDEX(المحفظة!$E$5:$E$104,IFERROR(MATCH(30,المحفظة!$H$5:$H$104,0),0))),"")</f>
        <v>50</v>
      </c>
      <c r="F34" s="109" t="str">
        <f>IFERROR(IF(IFERROR(MATCH(30,المحفظة!$H$5:$H$104,0),0)=0,"",INDEX(المحفظة!$F$5:$F$104,IFERROR(MATCH(30,المحفظة!$H$5:$H$104,0),0))),"")</f>
        <v>نقداً</v>
      </c>
      <c r="G34" s="16"/>
    </row>
    <row r="35" spans="1:7" ht="15" customHeight="1">
      <c r="A35" s="113">
        <f>IFERROR(IF(IFERROR(MATCH(31,المحفظة!$H$5:$H$104,0),0)=0,"",INDEX(المحفظة!$A$5:$A$104,IFERROR(MATCH(31,المحفظة!$H$5:$H$104,0),0))),"")</f>
        <v>46203</v>
      </c>
      <c r="B35" s="114">
        <f>IFERROR(IF(IFERROR(MATCH(31,المحفظة!$H$5:$H$104,0),0)=0,"",INDEX(المحفظة!$B$5:$B$104,IFERROR(MATCH(31,المحفظة!$H$5:$H$104,0),0))),"")</f>
        <v>0</v>
      </c>
      <c r="C35" s="115" t="str">
        <f>IFERROR(IF(IFERROR(MATCH(31,المحفظة!$H$5:$H$104,0),0)=0,"",INDEX(المحفظة!$C$5:$C$104,IFERROR(MATCH(31,المحفظة!$H$5:$H$104,0),0))),"")</f>
        <v>احواض عدد 1000 مقاس 25 سم</v>
      </c>
      <c r="D35" s="116" t="s">
        <v>6</v>
      </c>
      <c r="E35" s="117">
        <f>IFERROR(IF(IFERROR(MATCH(31,المحفظة!$H$5:$H$104,0),0)=0,"",INDEX(المحفظة!$E$5:$E$104,IFERROR(MATCH(31,المحفظة!$H$5:$H$104,0),0))),"")</f>
        <v>0</v>
      </c>
      <c r="F35" s="114" t="str">
        <f>IFERROR(IF(IFERROR(MATCH(31,المحفظة!$H$5:$H$104,0),0)=0,"",INDEX(المحفظة!$F$5:$F$104,IFERROR(MATCH(31,المحفظة!$H$5:$H$104,0),0))),"")</f>
        <v>نقداً</v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45" t="s">
        <v>7</v>
      </c>
      <c r="B55" s="145"/>
      <c r="C55" s="145"/>
      <c r="D55" s="145"/>
      <c r="E55" s="118">
        <f>SUMIF(المحفظة!$H$5:$H$104,"&gt;0",المحفظة!$E$5:$E$104)</f>
        <v>168</v>
      </c>
      <c r="F55" s="101"/>
      <c r="G55" s="101"/>
    </row>
    <row r="56" spans="1:7" ht="19.5" customHeight="1">
      <c r="A56" s="147" t="s">
        <v>227</v>
      </c>
      <c r="B56" s="147"/>
      <c r="C56" s="147"/>
      <c r="D56" s="147"/>
      <c r="E56" s="147"/>
      <c r="F56" s="147"/>
      <c r="G56" s="147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>
        <f>IFERROR(IF(IFERROR(MATCH(9,المحفظة!$H$107:$H$206,0),0)=0,"",INDEX(المحفظة!$A$107:$A$206,IFERROR(MATCH(9,المحفظة!$H$107:$H$206,0),0))),"")</f>
        <v>46190</v>
      </c>
      <c r="B65" s="124" t="str">
        <f>IFERROR(IF(IFERROR(MATCH(9,المحفظة!$H$107:$H$206,0),0)=0,"",INDEX(المحفظة!$B$107:$B$206,IFERROR(MATCH(9,المحفظة!$H$107:$H$206,0),0))),"")</f>
        <v>Inv-70</v>
      </c>
      <c r="C65" s="125" t="str">
        <f>IFERROR(IF(IFERROR(MATCH(9,المحفظة!$H$107:$H$206,0),0)=0,"",INDEX(المحفظة!$C$107:$C$206,IFERROR(MATCH(9,المحفظة!$H$107:$H$206,0),0))),"")</f>
        <v>افوبياعدد 1 الحبه .0.750</v>
      </c>
      <c r="D65" s="126">
        <f>IFERROR(IF(IFERROR(MATCH(9,المحفظة!$H$107:$H$206,0),0)=0,"",INDEX(المحفظة!$D$107:$D$206,IFERROR(MATCH(9,المحفظة!$H$107:$H$206,0),0))),"")</f>
        <v>0</v>
      </c>
      <c r="E65" s="127" t="s">
        <v>6</v>
      </c>
      <c r="F65" s="124">
        <f>IFERROR(IF(IFERROR(MATCH(9,المحفظة!$H$107:$H$206,0),0)=0,"",INDEX(المحفظة!$F$107:$F$206,IFERROR(MATCH(9,المحفظة!$H$107:$H$206,0),0))),"")</f>
        <v>0</v>
      </c>
      <c r="G65" s="24"/>
    </row>
    <row r="66" spans="1:7" ht="15" customHeight="1">
      <c r="A66" s="128">
        <f>IFERROR(IF(IFERROR(MATCH(10,المحفظة!$H$107:$H$206,0),0)=0,"",INDEX(المحفظة!$A$107:$A$206,IFERROR(MATCH(10,المحفظة!$H$107:$H$206,0),0))),"")</f>
        <v>46201</v>
      </c>
      <c r="B66" s="129" t="str">
        <f>IFERROR(IF(IFERROR(MATCH(10,المحفظة!$H$107:$H$206,0),0)=0,"",INDEX(المحفظة!$B$107:$B$206,IFERROR(MATCH(10,المحفظة!$H$107:$H$206,0),0))),"")</f>
        <v>Inv-76</v>
      </c>
      <c r="C66" s="130" t="str">
        <f>IFERROR(IF(IFERROR(MATCH(10,المحفظة!$H$107:$H$206,0),0)=0,"",INDEX(المحفظة!$C$107:$C$206,IFERROR(MATCH(10,المحفظة!$H$107:$H$206,0),0))),"")</f>
        <v>فل عدد 11 الحبه 0.750</v>
      </c>
      <c r="D66" s="131">
        <f>IFERROR(IF(IFERROR(MATCH(10,المحفظة!$H$107:$H$206,0),0)=0,"",INDEX(المحفظة!$D$107:$D$206,IFERROR(MATCH(10,المحفظة!$H$107:$H$206,0),0))),"")</f>
        <v>0</v>
      </c>
      <c r="E66" s="132" t="s">
        <v>6</v>
      </c>
      <c r="F66" s="129">
        <f>IFERROR(IF(IFERROR(MATCH(10,المحفظة!$H$107:$H$206,0),0)=0,"",INDEX(المحفظة!$F$107:$F$206,IFERROR(MATCH(10,المحفظة!$H$107:$H$206,0),0))),"")</f>
        <v>0</v>
      </c>
      <c r="G66" s="31"/>
    </row>
    <row r="67" spans="1:7" ht="15" customHeight="1">
      <c r="A67" s="123">
        <f>IFERROR(IF(IFERROR(MATCH(11,المحفظة!$H$107:$H$206,0),0)=0,"",INDEX(المحفظة!$A$107:$A$206,IFERROR(MATCH(11,المحفظة!$H$107:$H$206,0),0))),"")</f>
        <v>46203</v>
      </c>
      <c r="B67" s="124">
        <f>IFERROR(IF(IFERROR(MATCH(11,المحفظة!$H$107:$H$206,0),0)=0,"",INDEX(المحفظة!$B$107:$B$206,IFERROR(MATCH(11,المحفظة!$H$107:$H$206,0),0))),"")</f>
        <v>0</v>
      </c>
      <c r="C67" s="125" t="str">
        <f>IFERROR(IF(IFERROR(MATCH(11,المحفظة!$H$107:$H$206,0),0)=0,"",INDEX(المحفظة!$C$107:$C$206,IFERROR(MATCH(11,المحفظة!$H$107:$H$206,0),0))),"")</f>
        <v>تكمله رواتب يونيو 2026 ابوادم</v>
      </c>
      <c r="D67" s="126">
        <f>IFERROR(IF(IFERROR(MATCH(11,المحفظة!$H$107:$H$206,0),0)=0,"",INDEX(المحفظة!$D$107:$D$206,IFERROR(MATCH(11,المحفظة!$H$107:$H$206,0),0))),"")</f>
        <v>0</v>
      </c>
      <c r="E67" s="127" t="s">
        <v>6</v>
      </c>
      <c r="F67" s="124">
        <f>IFERROR(IF(IFERROR(MATCH(11,المحفظة!$H$107:$H$206,0),0)=0,"",INDEX(المحفظة!$F$107:$F$206,IFERROR(MATCH(11,المحفظة!$H$107:$H$206,0),0))),"")</f>
        <v>0</v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47" t="s">
        <v>228</v>
      </c>
      <c r="B107" s="147"/>
      <c r="C107" s="147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5" t="s">
        <v>229</v>
      </c>
      <c r="B108" s="155"/>
      <c r="C108" s="155"/>
      <c r="D108" s="100">
        <f>E55-D107</f>
        <v>106</v>
      </c>
      <c r="E108" s="160">
        <f>SUM(E5:E107)</f>
        <v>336</v>
      </c>
      <c r="F108" s="160"/>
      <c r="G108" s="160"/>
    </row>
  </sheetData>
  <mergeCells count="11">
    <mergeCell ref="A4:G4"/>
    <mergeCell ref="A55:D55"/>
    <mergeCell ref="A56:G56"/>
    <mergeCell ref="A107:C107"/>
    <mergeCell ref="A108:C108"/>
    <mergeCell ref="E108:G108"/>
    <mergeCell ref="A1:G1"/>
    <mergeCell ref="A2:B2"/>
    <mergeCell ref="D2:E2"/>
    <mergeCell ref="A3:B3"/>
    <mergeCell ref="D3:E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2026-06-30T21:15:51Z</dcterms:modified>
  <dc:language>en-US</dc:language>
</cp:coreProperties>
</file>