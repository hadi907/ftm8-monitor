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F3823653-582B-4A7E-8940-051B98CEBE41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J272" i="2"/>
  <c r="Q271" i="2"/>
  <c r="P271" i="2"/>
  <c r="O271" i="2"/>
  <c r="N271" i="2"/>
  <c r="M271" i="2"/>
  <c r="L271" i="2"/>
  <c r="J271" i="2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J267" i="2"/>
  <c r="Q266" i="2"/>
  <c r="P266" i="2"/>
  <c r="O266" i="2"/>
  <c r="N266" i="2"/>
  <c r="M266" i="2"/>
  <c r="L266" i="2"/>
  <c r="J266" i="2"/>
  <c r="Q265" i="2"/>
  <c r="P265" i="2"/>
  <c r="O265" i="2"/>
  <c r="N265" i="2"/>
  <c r="M265" i="2"/>
  <c r="L265" i="2"/>
  <c r="J265" i="2"/>
  <c r="Q264" i="2"/>
  <c r="P264" i="2"/>
  <c r="O264" i="2"/>
  <c r="N264" i="2"/>
  <c r="M264" i="2"/>
  <c r="L264" i="2"/>
  <c r="J264" i="2"/>
  <c r="Q263" i="2"/>
  <c r="P263" i="2"/>
  <c r="O263" i="2"/>
  <c r="N263" i="2"/>
  <c r="M263" i="2"/>
  <c r="L263" i="2"/>
  <c r="J263" i="2"/>
  <c r="Q262" i="2"/>
  <c r="P262" i="2"/>
  <c r="O262" i="2"/>
  <c r="N262" i="2"/>
  <c r="M262" i="2"/>
  <c r="L262" i="2"/>
  <c r="J262" i="2"/>
  <c r="Q261" i="2"/>
  <c r="P261" i="2"/>
  <c r="O261" i="2"/>
  <c r="N261" i="2"/>
  <c r="M261" i="2"/>
  <c r="L261" i="2"/>
  <c r="J261" i="2"/>
  <c r="Q260" i="2"/>
  <c r="P260" i="2"/>
  <c r="O260" i="2"/>
  <c r="N260" i="2"/>
  <c r="M260" i="2"/>
  <c r="L260" i="2"/>
  <c r="J260" i="2"/>
  <c r="Q259" i="2"/>
  <c r="P259" i="2"/>
  <c r="O259" i="2"/>
  <c r="N259" i="2"/>
  <c r="M259" i="2"/>
  <c r="L259" i="2"/>
  <c r="J259" i="2"/>
  <c r="Q258" i="2"/>
  <c r="P258" i="2"/>
  <c r="O258" i="2"/>
  <c r="N258" i="2"/>
  <c r="M258" i="2"/>
  <c r="L258" i="2"/>
  <c r="J258" i="2"/>
  <c r="Q257" i="2"/>
  <c r="P257" i="2"/>
  <c r="O257" i="2"/>
  <c r="N257" i="2"/>
  <c r="M257" i="2"/>
  <c r="L257" i="2"/>
  <c r="J257" i="2"/>
  <c r="Q256" i="2"/>
  <c r="P256" i="2"/>
  <c r="O256" i="2"/>
  <c r="N256" i="2"/>
  <c r="M256" i="2"/>
  <c r="L256" i="2"/>
  <c r="J256" i="2"/>
  <c r="Q255" i="2"/>
  <c r="P255" i="2"/>
  <c r="O255" i="2"/>
  <c r="N255" i="2"/>
  <c r="M255" i="2"/>
  <c r="L255" i="2"/>
  <c r="J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B191" i="1" s="1"/>
  <c r="O8" i="2"/>
  <c r="N8" i="2"/>
  <c r="M8" i="2"/>
  <c r="L8" i="2"/>
  <c r="Q7" i="2"/>
  <c r="P7" i="2"/>
  <c r="D204" i="1" s="1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Q4" i="2"/>
  <c r="P4" i="2"/>
  <c r="O4" i="2"/>
  <c r="N4" i="2"/>
  <c r="M4" i="2"/>
  <c r="L4" i="2"/>
  <c r="J4" i="2"/>
  <c r="A222" i="1"/>
  <c r="B219" i="1"/>
  <c r="D217" i="1"/>
  <c r="D216" i="1"/>
  <c r="C213" i="1"/>
  <c r="C212" i="1"/>
  <c r="E210" i="1"/>
  <c r="A200" i="1"/>
  <c r="E194" i="1"/>
  <c r="A188" i="1"/>
  <c r="B182" i="1"/>
  <c r="A176" i="1"/>
  <c r="B170" i="1"/>
  <c r="D163" i="1"/>
  <c r="B158" i="1"/>
  <c r="D151" i="1"/>
  <c r="C145" i="1"/>
  <c r="D139" i="1"/>
  <c r="A135" i="1"/>
  <c r="C131" i="1"/>
  <c r="A128" i="1"/>
  <c r="C124" i="1"/>
  <c r="E120" i="1"/>
  <c r="B118" i="1"/>
  <c r="D115" i="1"/>
  <c r="E112" i="1"/>
  <c r="B110" i="1"/>
  <c r="D107" i="1"/>
  <c r="E104" i="1"/>
  <c r="B102" i="1"/>
  <c r="D99" i="1"/>
  <c r="E96" i="1"/>
  <c r="B94" i="1"/>
  <c r="D91" i="1"/>
  <c r="E88" i="1"/>
  <c r="C86" i="1"/>
  <c r="C84" i="1"/>
  <c r="C82" i="1"/>
  <c r="C80" i="1"/>
  <c r="C78" i="1"/>
  <c r="C76" i="1"/>
  <c r="C74" i="1"/>
  <c r="C72" i="1"/>
  <c r="C70" i="1"/>
  <c r="C68" i="1"/>
  <c r="C66" i="1"/>
  <c r="C65" i="1"/>
  <c r="A64" i="1"/>
  <c r="C62" i="1"/>
  <c r="C61" i="1"/>
  <c r="A60" i="1"/>
  <c r="C58" i="1"/>
  <c r="C57" i="1"/>
  <c r="A56" i="1"/>
  <c r="C54" i="1"/>
  <c r="C53" i="1"/>
  <c r="A52" i="1"/>
  <c r="C50" i="1"/>
  <c r="C49" i="1"/>
  <c r="A48" i="1"/>
  <c r="C46" i="1"/>
  <c r="C45" i="1"/>
  <c r="A44" i="1"/>
  <c r="C42" i="1"/>
  <c r="C41" i="1"/>
  <c r="A40" i="1"/>
  <c r="C38" i="1"/>
  <c r="C37" i="1"/>
  <c r="A36" i="1"/>
  <c r="C34" i="1"/>
  <c r="C33" i="1"/>
  <c r="C32" i="1"/>
  <c r="B31" i="1"/>
  <c r="B30" i="1"/>
  <c r="B29" i="1"/>
  <c r="A28" i="1"/>
  <c r="A27" i="1"/>
  <c r="A26" i="1"/>
  <c r="E24" i="1"/>
  <c r="E23" i="1"/>
  <c r="E22" i="1"/>
  <c r="D21" i="1"/>
  <c r="D20" i="1"/>
  <c r="D19" i="1"/>
  <c r="C18" i="1"/>
  <c r="C17" i="1"/>
  <c r="C16" i="1"/>
  <c r="B15" i="1"/>
  <c r="B14" i="1"/>
  <c r="B13" i="1"/>
  <c r="A12" i="1"/>
  <c r="A11" i="1"/>
  <c r="A10" i="1"/>
  <c r="E8" i="1"/>
  <c r="E7" i="1"/>
  <c r="E6" i="1"/>
  <c r="C6" i="1"/>
  <c r="B6" i="1"/>
  <c r="A6" i="1"/>
  <c r="C270" i="1" l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F6" i="1" s="1"/>
  <c r="F7" i="1" s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N135" i="2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8" i="1" l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G8" i="5"/>
  <c r="I7" i="5"/>
  <c r="D7" i="5"/>
  <c r="H7" i="5"/>
  <c r="B7" i="5"/>
  <c r="F7" i="5"/>
  <c r="N137" i="2"/>
  <c r="C9" i="5" s="1"/>
  <c r="E7" i="5"/>
  <c r="N138" i="2"/>
  <c r="E9" i="5" s="1"/>
  <c r="J7" i="5"/>
  <c r="A8" i="5"/>
  <c r="G9" i="5" l="1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C10" i="5"/>
  <c r="I8" i="5"/>
  <c r="F8" i="5"/>
  <c r="N140" i="2"/>
  <c r="B10" i="5" l="1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D13" i="5" s="1"/>
  <c r="H10" i="5"/>
  <c r="C11" i="5"/>
  <c r="K11" i="5"/>
  <c r="A10" i="5"/>
  <c r="N142" i="2"/>
  <c r="E10" i="5"/>
  <c r="N143" i="2" l="1"/>
  <c r="C14" i="5" s="1"/>
  <c r="C12" i="5"/>
  <c r="B13" i="5"/>
  <c r="E13" i="5"/>
  <c r="H12" i="5"/>
  <c r="I12" i="5"/>
  <c r="C13" i="5"/>
  <c r="G12" i="5"/>
  <c r="J12" i="5"/>
  <c r="B14" i="5"/>
  <c r="H13" i="5"/>
  <c r="F12" i="5"/>
  <c r="D12" i="5"/>
  <c r="J13" i="5"/>
  <c r="K14" i="5"/>
  <c r="B12" i="5"/>
  <c r="F14" i="5" l="1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<sst xmlns="http://schemas.openxmlformats.org/spreadsheetml/2006/main" count="1246" uniqueCount="523">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</sst>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50" activePane="bottomLeft" state="frozen"/>
      <selection pane="bottomLeft" activeCell="G261" sqref="G261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1217.0450000000001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1265.0450000000001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1244.0450000000001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38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1254.0450000000001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1280.2950000000001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1256.2950000000001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1266.2950000000001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1316.2950000000001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65</v>
      </c>
      <c r="F255" s="30"/>
      <c r="G255" s="31"/>
      <c r="H255" s="32" t="s">
        <v>50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1316.2950000000001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1116.2950000000001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1146.7950000000001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1128.0450000000001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1140.0450000000001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/>
      <c r="B260" s="36"/>
      <c r="C260" s="37"/>
      <c r="D260" s="38"/>
      <c r="E260" s="39"/>
      <c r="F260" s="136"/>
      <c r="G260" s="40"/>
      <c r="H260" s="41"/>
      <c r="I260" s="42"/>
      <c r="J260" s="43" t="str">
        <f>IF(AND(D260="",E260="",A260="",B260="",C260=""),"", IFERROR(IF(J259="",D2,J259),D2)+IF(OR(E260="",H260="معلق"),0,E260)-IF(OR(G260="أبو اسحاق",G260="أبو آدم",G260="أبو اسحاق ",G260="أبو آدم "),0,IF(D260="",0,D260)))</f>
        <v/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 t="str">
        <f>IF(OR($A260="",$F260="أحد الشركاء",AND($D260="",$E260="")),"",SUMPRODUCT(($A$4:$A260&lt;&gt;"")*($F$4:$F260&lt;&gt;"أحد الشركاء")*((($D$4:$D260&lt;&gt;"")+($E$4:$E260&lt;&gt;""))&gt;0)))</f>
        <v/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/>
      <c r="B261" s="26"/>
      <c r="C261" s="27"/>
      <c r="D261" s="28"/>
      <c r="E261" s="29"/>
      <c r="F261" s="30"/>
      <c r="G261" s="31"/>
      <c r="H261" s="32"/>
      <c r="I261" s="33"/>
      <c r="J261" s="34" t="str">
        <f>IF(AND(D261="",E261="",A261="",B261="",C261=""),"", IFERROR(IF(J260="",D2,J260),D2)+IF(OR(E261="",H261="معلق"),0,E261)-IF(OR(G261="أبو اسحاق",G261="أبو آدم",G261="أبو اسحاق ",G261="أبو آدم "),0,IF(D261="",0,D261)))</f>
        <v/>
      </c>
      <c r="K261" s="35"/>
      <c r="L261" t="str">
        <f>IF(E260&gt;0,COUNTIF($E$4:E260,"&gt;0"),"")</f>
        <v/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 t="str">
        <f>IF(OR($A261="",$F261="أحد الشركاء",AND($D261="",$E261="")),"",SUMPRODUCT(($A$4:$A261&lt;&gt;"")*($F$4:$F261&lt;&gt;"أحد الشركاء")*((($D$4:$D261&lt;&gt;"")+($E$4:$E261&lt;&gt;""))&gt;0)))</f>
        <v/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/>
      <c r="B262" s="36"/>
      <c r="C262" s="37"/>
      <c r="D262" s="38"/>
      <c r="E262" s="39"/>
      <c r="F262" s="136"/>
      <c r="G262" s="40"/>
      <c r="H262" s="41"/>
      <c r="I262" s="42"/>
      <c r="J262" s="43" t="str">
        <f>IF(AND(D262="",E262="",A262="",B262="",C262=""),"", IFERROR(IF(J261="",D2,J261),D2)+IF(OR(E262="",H262="معلق"),0,E262)-IF(OR(G262="أبو اسحاق",G262="أبو آدم",G262="أبو اسحاق ",G262="أبو آدم "),0,IF(D262="",0,D262)))</f>
        <v/>
      </c>
      <c r="K262" s="44"/>
      <c r="L262" t="str">
        <f>IF(E261&gt;0,COUNTIF($E$4:E261,"&gt;0"),"")</f>
        <v/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 t="str">
        <f>IF(OR($A262="",$F262="أحد الشركاء",AND($D262="",$E262="")),"",SUMPRODUCT(($A$4:$A262&lt;&gt;"")*($F$4:$F262&lt;&gt;"أحد الشركاء")*((($D$4:$D262&lt;&gt;"")+($E$4:$E262&lt;&gt;""))&gt;0)))</f>
        <v/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/>
      <c r="B263" s="26"/>
      <c r="C263" s="27"/>
      <c r="D263" s="28"/>
      <c r="E263" s="29"/>
      <c r="F263" s="30"/>
      <c r="G263" s="31"/>
      <c r="H263" s="32"/>
      <c r="I263" s="33"/>
      <c r="J263" s="34" t="str">
        <f>IF(AND(D263="",E263="",A263="",B263="",C263=""),"", IFERROR(IF(J262="",D2,J262),D2)+IF(OR(E263="",H263="معلق"),0,E263)-IF(OR(G263="أبو اسحاق",G263="أبو آدم",G263="أبو اسحاق ",G263="أبو آدم "),0,IF(D263="",0,D263)))</f>
        <v/>
      </c>
      <c r="K263" s="35"/>
      <c r="L263" t="str">
        <f>IF(E262&gt;0,COUNTIF($E$4:E262,"&gt;0"),"")</f>
        <v/>
      </c>
      <c r="M263" t="str">
        <f>IF(AND(D262&gt;0,G262="المحفظة"),COUNTIFS($D$4:D262,"&gt;"&amp;0,$G$4:G262,"المحفظة"),"")</f>
        <v/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 t="str">
        <f>IF(OR($A263="",$F263="أحد الشركاء",AND($D263="",$E263="")),"",SUMPRODUCT(($A$4:$A263&lt;&gt;"")*($F$4:$F263&lt;&gt;"أحد الشركاء")*((($D$4:$D263&lt;&gt;"")+($E$4:$E263&lt;&gt;""))&gt;0)))</f>
        <v/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/>
      <c r="B264" s="36"/>
      <c r="C264" s="37"/>
      <c r="D264" s="38"/>
      <c r="E264" s="39"/>
      <c r="F264" s="136"/>
      <c r="G264" s="40"/>
      <c r="H264" s="41"/>
      <c r="I264" s="42"/>
      <c r="J264" s="43" t="str">
        <f>IF(AND(D264="",E264="",A264="",B264="",C264=""),"", IFERROR(IF(J263="",D2,J263),D2)+IF(OR(E264="",H264="معلق"),0,E264)-IF(OR(G264="أبو اسحاق",G264="أبو آدم",G264="أبو اسحاق ",G264="أبو آدم "),0,IF(D264="",0,D264)))</f>
        <v/>
      </c>
      <c r="K264" s="44"/>
      <c r="L264" t="str">
        <f>IF(E263&gt;0,COUNTIF($E$4:E263,"&gt;0"),"")</f>
        <v/>
      </c>
      <c r="M264" t="str">
        <f>IF(AND(D263&gt;0,G263="المحفظة"),COUNTIFS($D$4:D263,"&gt;"&amp;0,$G$4:G263,"المحفظة"),"")</f>
        <v/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 t="str">
        <f>IF(OR($A264="",$F264="أحد الشركاء",AND($D264="",$E264="")),"",SUMPRODUCT(($A$4:$A264&lt;&gt;"")*($F$4:$F264&lt;&gt;"أحد الشركاء")*((($D$4:$D264&lt;&gt;"")+($E$4:$E264&lt;&gt;""))&gt;0)))</f>
        <v/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/>
      <c r="B265" s="26"/>
      <c r="C265" s="27"/>
      <c r="D265" s="28"/>
      <c r="E265" s="29"/>
      <c r="F265" s="30"/>
      <c r="G265" s="31"/>
      <c r="H265" s="32"/>
      <c r="I265" s="33"/>
      <c r="J265" s="34" t="str">
        <f>IF(AND(D265="",E265="",A265="",B265="",C265=""),"", IFERROR(IF(J264="",D2,J264),D2)+IF(OR(E265="",H265="معلق"),0,E265)-IF(OR(G265="أبو اسحاق",G265="أبو آدم",G265="أبو اسحاق ",G265="أبو آدم "),0,IF(D265="",0,D265)))</f>
        <v/>
      </c>
      <c r="K265" s="35"/>
      <c r="L265" t="str">
        <f>IF(E264&gt;0,COUNTIF($E$4:E264,"&gt;0"),"")</f>
        <v/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 t="str">
        <f>IF(OR($A265="",$F265="أحد الشركاء",AND($D265="",$E265="")),"",SUMPRODUCT(($A$4:$A265&lt;&gt;"")*($F$4:$F265&lt;&gt;"أحد الشركاء")*((($D$4:$D265&lt;&gt;"")+($E$4:$E265&lt;&gt;""))&gt;0)))</f>
        <v/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/>
      <c r="B266" s="36"/>
      <c r="C266" s="37"/>
      <c r="D266" s="38"/>
      <c r="E266" s="39"/>
      <c r="F266" s="136"/>
      <c r="G266" s="40"/>
      <c r="H266" s="41"/>
      <c r="I266" s="42"/>
      <c r="J266" s="43" t="str">
        <f>IF(AND(D266="",E266="",A266="",B266="",C266=""),"", IFERROR(IF(J265="",D2,J265),D2)+IF(OR(E266="",H266="معلق"),0,E266)-IF(OR(G266="أبو اسحاق",G266="أبو آدم",G266="أبو اسحاق ",G266="أبو آدم "),0,IF(D266="",0,D266)))</f>
        <v/>
      </c>
      <c r="K266" s="44"/>
      <c r="L266" t="str">
        <f>IF(E265&gt;0,COUNTIF($E$4:E265,"&gt;0"),"")</f>
        <v/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 t="str">
        <f>IF(OR($A266="",$F266="أحد الشركاء",AND($D266="",$E266="")),"",SUMPRODUCT(($A$4:$A266&lt;&gt;"")*($F$4:$F266&lt;&gt;"أحد الشركاء")*((($D$4:$D266&lt;&gt;"")+($E$4:$E266&lt;&gt;""))&gt;0)))</f>
        <v/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/>
      <c r="B267" s="26"/>
      <c r="C267" s="27"/>
      <c r="D267" s="28"/>
      <c r="E267" s="29"/>
      <c r="F267" s="30"/>
      <c r="G267" s="31"/>
      <c r="H267" s="32"/>
      <c r="I267" s="33"/>
      <c r="J267" s="34" t="str">
        <f>IF(AND(D267="",E267="",A267="",B267="",C267=""),"", IFERROR(IF(J266="",D2,J266),D2)+IF(OR(E267="",H267="معلق"),0,E267)-IF(OR(G267="أبو اسحاق",G267="أبو آدم",G267="أبو اسحاق ",G267="أبو آدم "),0,IF(D267="",0,D267)))</f>
        <v/>
      </c>
      <c r="K267" s="35"/>
      <c r="L267" t="str">
        <f>IF(E266&gt;0,COUNTIF($E$4:E266,"&gt;0"),"")</f>
        <v/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 t="str">
        <f>IF(OR($A267="",$F267="أحد الشركاء",AND($D267="",$E267="")),"",SUMPRODUCT(($A$4:$A267&lt;&gt;"")*($F$4:$F267&lt;&gt;"أحد الشركاء")*((($D$4:$D267&lt;&gt;"")+($E$4:$E267&lt;&gt;""))&gt;0)))</f>
        <v/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/>
      <c r="B268" s="36"/>
      <c r="C268" s="37"/>
      <c r="D268" s="38"/>
      <c r="E268" s="39"/>
      <c r="F268" s="136"/>
      <c r="G268" s="40"/>
      <c r="H268" s="41"/>
      <c r="I268" s="42"/>
      <c r="J268" s="43" t="str">
        <f>IF(AND(D268="",E268="",A268="",B268="",C268=""),"", IFERROR(IF(J267="",D2,J267),D2)+IF(OR(E268="",H268="معلق"),0,E268)-IF(OR(G268="أبو اسحاق",G268="أبو آدم",G268="أبو اسحاق ",G268="أبو آدم "),0,IF(D268="",0,D268)))</f>
        <v/>
      </c>
      <c r="K268" s="44"/>
      <c r="L268" t="str">
        <f>IF(E267&gt;0,COUNTIF($E$4:E267,"&gt;0"),"")</f>
        <v/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 t="str">
        <f>IF(OR($A268="",$F268="أحد الشركاء",AND($D268="",$E268="")),"",SUMPRODUCT(($A$4:$A268&lt;&gt;"")*($F$4:$F268&lt;&gt;"أحد الشركاء")*((($D$4:$D268&lt;&gt;"")+($E$4:$E268&lt;&gt;""))&gt;0)))</f>
        <v/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/>
      <c r="B269" s="26"/>
      <c r="C269" s="27"/>
      <c r="D269" s="28"/>
      <c r="E269" s="29"/>
      <c r="F269" s="30"/>
      <c r="G269" s="31"/>
      <c r="H269" s="32"/>
      <c r="I269" s="33"/>
      <c r="J269" s="34" t="str">
        <f>IF(AND(D269="",E269="",A269="",B269="",C269=""),"", IFERROR(IF(J268="",D2,J268),D2)+IF(OR(E269="",H269="معلق"),0,E269)-IF(OR(G269="أبو اسحاق",G269="أبو آدم",G269="أبو اسحاق ",G269="أبو آدم "),0,IF(D269="",0,D269)))</f>
        <v/>
      </c>
      <c r="K269" s="35"/>
      <c r="L269" t="str">
        <f>IF(E268&gt;0,COUNTIF($E$4:E268,"&gt;0"),"")</f>
        <v/>
      </c>
      <c r="M269" t="str">
        <f>IF(AND(D268&gt;0,G268="المحفظة"),COUNTIFS($D$4:D268,"&gt;"&amp;0,$G$4:G268,"المحفظة"),"")</f>
        <v/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 t="str">
        <f>IF(OR($A269="",$F269="أحد الشركاء",AND($D269="",$E269="")),"",SUMPRODUCT(($A$4:$A269&lt;&gt;"")*($F$4:$F269&lt;&gt;"أحد الشركاء")*((($D$4:$D269&lt;&gt;"")+($E$4:$E269&lt;&gt;""))&gt;0)))</f>
        <v/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/>
      <c r="B270" s="36"/>
      <c r="C270" s="37"/>
      <c r="D270" s="38"/>
      <c r="E270" s="39"/>
      <c r="F270" s="136"/>
      <c r="G270" s="40"/>
      <c r="H270" s="41"/>
      <c r="I270" s="42"/>
      <c r="J270" s="43" t="str">
        <f>IF(AND(D270="",E270="",A270="",B270="",C270=""),"", IFERROR(IF(J269="",D2,J269),D2)+IF(OR(E270="",H270="معلق"),0,E270)-IF(OR(G270="أبو اسحاق",G270="أبو آدم",G270="أبو اسحاق ",G270="أبو آدم "),0,IF(D270="",0,D270)))</f>
        <v/>
      </c>
      <c r="K270" s="44"/>
      <c r="L270" t="str">
        <f>IF(E269&gt;0,COUNTIF($E$4:E269,"&gt;0"),"")</f>
        <v/>
      </c>
      <c r="M270" t="str">
        <f>IF(AND(D269&gt;0,G269="المحفظة"),COUNTIFS($D$4:D269,"&gt;"&amp;0,$G$4:G269,"المحفظة"),"")</f>
        <v/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 t="str">
        <f>IF(OR($A270="",$F270="أحد الشركاء",AND($D270="",$E270="")),"",SUMPRODUCT(($A$4:$A270&lt;&gt;"")*($F$4:$F270&lt;&gt;"أحد الشركاء")*((($D$4:$D270&lt;&gt;"")+($E$4:$E270&lt;&gt;""))&gt;0)))</f>
        <v/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/>
      <c r="B271" s="26"/>
      <c r="C271" s="27"/>
      <c r="D271" s="28"/>
      <c r="E271" s="29"/>
      <c r="F271" s="30"/>
      <c r="G271" s="31"/>
      <c r="H271" s="32"/>
      <c r="I271" s="33"/>
      <c r="J271" s="34" t="str">
        <f>IF(AND(D271="",E271="",A271="",B271="",C271=""),"", IFERROR(IF(J270="",D2,J270),D2)+IF(OR(E271="",H271="معلق"),0,E271)-IF(OR(G271="أبو اسحاق",G271="أبو آدم",G271="أبو اسحاق ",G271="أبو آدم "),0,IF(D271="",0,D271)))</f>
        <v/>
      </c>
      <c r="K271" s="35"/>
      <c r="L271" t="str">
        <f>IF(E270&gt;0,COUNTIF($E$4:E270,"&gt;0"),"")</f>
        <v/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 t="str">
        <f>IF(OR($A271="",$F271="أحد الشركاء",AND($D271="",$E271="")),"",SUMPRODUCT(($A$4:$A271&lt;&gt;"")*($F$4:$F271&lt;&gt;"أحد الشركاء")*((($D$4:$D271&lt;&gt;"")+($E$4:$E271&lt;&gt;""))&gt;0)))</f>
        <v/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/>
      <c r="B272" s="36"/>
      <c r="C272" s="37"/>
      <c r="D272" s="38"/>
      <c r="E272" s="39"/>
      <c r="F272" s="136"/>
      <c r="G272" s="40"/>
      <c r="H272" s="41"/>
      <c r="I272" s="42"/>
      <c r="J272" s="43" t="str">
        <f>IF(AND(D272="",E272="",A272="",B272="",C272=""),"", IFERROR(IF(J271="",D2,J271),D2)+IF(OR(E272="",H272="معلق"),0,E272)-IF(OR(G272="أبو اسحاق",G272="أبو آدم",G272="أبو اسحاق ",G272="أبو آدم "),0,IF(D272="",0,D272)))</f>
        <v/>
      </c>
      <c r="K272" s="44"/>
      <c r="L272" t="str">
        <f>IF(E271&gt;0,COUNTIF($E$4:E271,"&gt;0"),"")</f>
        <v/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 t="str">
        <f>IF(OR($A272="",$F272="أحد الشركاء",AND($D272="",$E272="")),"",SUMPRODUCT(($A$4:$A272&lt;&gt;"")*($F$4:$F272&lt;&gt;"أحد الشركاء")*((($D$4:$D272&lt;&gt;"")+($E$4:$E272&lt;&gt;""))&gt;0)))</f>
        <v/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/>
      <c r="B273" s="26"/>
      <c r="C273" s="27"/>
      <c r="D273" s="28"/>
      <c r="E273" s="29"/>
      <c r="F273" s="30"/>
      <c r="G273" s="31"/>
      <c r="H273" s="32"/>
      <c r="I273" s="33"/>
      <c r="J273" s="34" t="str">
        <f>IF(AND(D273="",E273="",A273="",B273="",C273=""),"", IFERROR(IF(J272="",D2,J272),D2)+IF(OR(E273="",H273="معلق"),0,E273)-IF(OR(G273="أبو اسحاق",G273="أبو آدم",G273="أبو اسحاق ",G273="أبو آدم "),0,IF(D273="",0,D273)))</f>
        <v/>
      </c>
      <c r="K273" s="35"/>
      <c r="L273" t="str">
        <f>IF(E272&gt;0,COUNTIF($E$4:E272,"&gt;0"),"")</f>
        <v/>
      </c>
      <c r="M273" t="str">
        <f>IF(AND(D272&gt;0,G272="المحفظة"),COUNTIFS($D$4:D272,"&gt;"&amp;0,$G$4:G272,"المحفظة"),"")</f>
        <v/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 t="str">
        <f>IF(OR($A273="",$F273="أحد الشركاء",AND($D273="",$E273="")),"",SUMPRODUCT(($A$4:$A273&lt;&gt;"")*($F$4:$F273&lt;&gt;"أحد الشركاء")*((($D$4:$D273&lt;&gt;"")+($E$4:$E273&lt;&gt;""))&gt;0)))</f>
        <v/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IFERROR(IF(J273="",D2,J273),D2)+IF(OR(E274="",H274="معلق"),0,E274)-IF(OR(G274="أبو اسحاق",G274="أبو آدم",G274="أبو اسحاق ",G274="أبو آدم "),0,IF(D274="",0,D274)))</f>
        <v/>
      </c>
      <c r="K274" s="44"/>
      <c r="L274" t="str">
        <f>IF(E273&gt;0,COUNTIF($E$4:E273,"&gt;0"),"")</f>
        <v/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IFERROR(IF(J274="",D2,J274),D2)+IF(OR(E275="",H275="معلق"),0,E275)-IF(OR(G275="أبو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67"/>
      <c r="B354" s="161"/>
      <c r="C354" s="162"/>
      <c r="D354" s="38"/>
      <c r="E354" s="39"/>
      <c r="F354" s="160"/>
      <c r="G354" s="161"/>
      <c r="H354" s="162"/>
      <c r="I354" s="42"/>
      <c r="J354" s="43">
        <f t="array" ref="J354">IFERROR(LOOKUP(2,1/(J4:J353&lt;&gt;""),J4:J353),$D$2)</f>
        <v>1140.0450000000001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4662.6450000000004</v>
      </c>
      <c r="E355" s="46">
        <f ca="1">SUMPRODUCT(SUBTOTAL(9,OFFSET(E4,ROW(E4:E353)-ROW(E4),0)),--(H4:H353&lt;&gt;"معلق"))</f>
        <v>4021.19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1140.0450000000001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5" t="s">
        <v>265</v>
      </c>
      <c r="B355" s="161"/>
      <c r="C355" s="161"/>
      <c r="D355" s="75">
        <f>SUM(D5:D354)</f>
        <v>1364.45</v>
      </c>
      <c r="E355" s="75">
        <f>SUM(E5:E354)</f>
        <v>602.5</v>
      </c>
      <c r="F355" s="176">
        <f>COUNTIF(H5:H354,"معلق")</f>
        <v>0</v>
      </c>
      <c r="G355" s="161"/>
      <c r="H355" s="161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2026-10-07T18:49:42Z</dcterms:modified>
  <dc:language>en-US</dc:language>
</cp:coreProperties>
</file>