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B723839B-100D-48F4-A76B-65DB5F53D8CE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J127" i="2" l="1"/>
  <c r="J126" i="2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Q152" i="2"/>
  <c r="P152" i="2"/>
  <c r="O152" i="2"/>
  <c r="N152" i="2"/>
  <c r="M152" i="2"/>
  <c r="L152" i="2"/>
  <c r="Q151" i="2"/>
  <c r="P151" i="2"/>
  <c r="O151" i="2"/>
  <c r="N151" i="2"/>
  <c r="M151" i="2"/>
  <c r="L151" i="2"/>
  <c r="Q150" i="2"/>
  <c r="P150" i="2"/>
  <c r="O150" i="2"/>
  <c r="N150" i="2"/>
  <c r="M150" i="2"/>
  <c r="L150" i="2"/>
  <c r="Q149" i="2"/>
  <c r="P149" i="2"/>
  <c r="O149" i="2"/>
  <c r="N149" i="2"/>
  <c r="M149" i="2"/>
  <c r="L149" i="2"/>
  <c r="Q148" i="2"/>
  <c r="P148" i="2"/>
  <c r="O148" i="2"/>
  <c r="N148" i="2"/>
  <c r="M148" i="2"/>
  <c r="L148" i="2"/>
  <c r="Q147" i="2"/>
  <c r="P147" i="2"/>
  <c r="O147" i="2"/>
  <c r="N147" i="2"/>
  <c r="M147" i="2"/>
  <c r="L147" i="2"/>
  <c r="Q146" i="2"/>
  <c r="P146" i="2"/>
  <c r="O146" i="2"/>
  <c r="N146" i="2"/>
  <c r="M146" i="2"/>
  <c r="L146" i="2"/>
  <c r="Q145" i="2"/>
  <c r="P145" i="2"/>
  <c r="O145" i="2"/>
  <c r="N145" i="2"/>
  <c r="M145" i="2"/>
  <c r="L145" i="2"/>
  <c r="J145" i="2"/>
  <c r="J146" i="2" s="1"/>
  <c r="J147" i="2" s="1"/>
  <c r="J148" i="2" s="1"/>
  <c r="J149" i="2" s="1"/>
  <c r="J150" i="2" s="1"/>
  <c r="J151" i="2" s="1"/>
  <c r="J152" i="2" s="1"/>
  <c r="J153" i="2" s="1"/>
  <c r="Q144" i="2"/>
  <c r="P144" i="2"/>
  <c r="O144" i="2"/>
  <c r="N144" i="2"/>
  <c r="M144" i="2"/>
  <c r="L144" i="2"/>
  <c r="J144" i="2"/>
  <c r="Q143" i="2"/>
  <c r="P143" i="2"/>
  <c r="O143" i="2"/>
  <c r="M143" i="2"/>
  <c r="L143" i="2"/>
  <c r="J143" i="2"/>
  <c r="Q142" i="2"/>
  <c r="P142" i="2"/>
  <c r="O142" i="2"/>
  <c r="M142" i="2"/>
  <c r="L142" i="2"/>
  <c r="J142" i="2"/>
  <c r="Q141" i="2"/>
  <c r="P141" i="2"/>
  <c r="O141" i="2"/>
  <c r="M141" i="2"/>
  <c r="L141" i="2"/>
  <c r="J141" i="2"/>
  <c r="Q140" i="2"/>
  <c r="P140" i="2"/>
  <c r="O140" i="2"/>
  <c r="M140" i="2"/>
  <c r="L140" i="2"/>
  <c r="J140" i="2"/>
  <c r="Q139" i="2"/>
  <c r="P139" i="2"/>
  <c r="O139" i="2"/>
  <c r="M139" i="2"/>
  <c r="L139" i="2"/>
  <c r="J139" i="2"/>
  <c r="Q138" i="2"/>
  <c r="P138" i="2"/>
  <c r="O138" i="2"/>
  <c r="M138" i="2"/>
  <c r="L138" i="2"/>
  <c r="J138" i="2"/>
  <c r="Q137" i="2"/>
  <c r="P137" i="2"/>
  <c r="O137" i="2"/>
  <c r="M137" i="2"/>
  <c r="L137" i="2"/>
  <c r="J137" i="2"/>
  <c r="Q136" i="2"/>
  <c r="P136" i="2"/>
  <c r="O136" i="2"/>
  <c r="M136" i="2"/>
  <c r="L136" i="2"/>
  <c r="J136" i="2"/>
  <c r="Q135" i="2"/>
  <c r="P135" i="2"/>
  <c r="O135" i="2"/>
  <c r="M135" i="2"/>
  <c r="L135" i="2"/>
  <c r="J135" i="2"/>
  <c r="Q134" i="2"/>
  <c r="P134" i="2"/>
  <c r="O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M131" i="2"/>
  <c r="L131" i="2"/>
  <c r="J131" i="2"/>
  <c r="Q130" i="2"/>
  <c r="P130" i="2"/>
  <c r="O130" i="2"/>
  <c r="N130" i="2"/>
  <c r="N131" i="2" s="1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E125" i="1"/>
  <c r="C139" i="1"/>
  <c r="D90" i="1"/>
  <c r="B92" i="1"/>
  <c r="D94" i="1"/>
  <c r="E97" i="1"/>
  <c r="A101" i="1"/>
  <c r="B104" i="1"/>
  <c r="C107" i="1"/>
  <c r="D110" i="1"/>
  <c r="E113" i="1"/>
  <c r="A117" i="1"/>
  <c r="B120" i="1"/>
  <c r="C123" i="1"/>
  <c r="D126" i="1"/>
  <c r="E129" i="1"/>
  <c r="A133" i="1"/>
  <c r="B136" i="1"/>
  <c r="A141" i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B124" i="1"/>
  <c r="C127" i="1"/>
  <c r="D130" i="1"/>
  <c r="E133" i="1"/>
  <c r="A137" i="1"/>
  <c r="D142" i="1"/>
  <c r="A149" i="1"/>
  <c r="A157" i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F160" i="1" s="1"/>
  <c r="B159" i="1"/>
  <c r="C158" i="1"/>
  <c r="D157" i="1"/>
  <c r="E156" i="1"/>
  <c r="A156" i="1"/>
  <c r="B155" i="1"/>
  <c r="C154" i="1"/>
  <c r="D153" i="1"/>
  <c r="E152" i="1"/>
  <c r="A152" i="1"/>
  <c r="B151" i="1"/>
  <c r="C150" i="1"/>
  <c r="D149" i="1"/>
  <c r="E148" i="1"/>
  <c r="A148" i="1"/>
  <c r="B147" i="1"/>
  <c r="C146" i="1"/>
  <c r="D145" i="1"/>
  <c r="E144" i="1"/>
  <c r="A144" i="1"/>
  <c r="B143" i="1"/>
  <c r="C142" i="1"/>
  <c r="D141" i="1"/>
  <c r="E140" i="1"/>
  <c r="A140" i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B158" i="1"/>
  <c r="C157" i="1"/>
  <c r="D156" i="1"/>
  <c r="E155" i="1"/>
  <c r="A155" i="1"/>
  <c r="B154" i="1"/>
  <c r="C153" i="1"/>
  <c r="D152" i="1"/>
  <c r="E151" i="1"/>
  <c r="A151" i="1"/>
  <c r="B150" i="1"/>
  <c r="C149" i="1"/>
  <c r="D148" i="1"/>
  <c r="E147" i="1"/>
  <c r="A147" i="1"/>
  <c r="B146" i="1"/>
  <c r="C145" i="1"/>
  <c r="D144" i="1"/>
  <c r="E143" i="1"/>
  <c r="A143" i="1"/>
  <c r="B142" i="1"/>
  <c r="C141" i="1"/>
  <c r="D140" i="1"/>
  <c r="E139" i="1"/>
  <c r="A139" i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B157" i="1"/>
  <c r="C156" i="1"/>
  <c r="D155" i="1"/>
  <c r="E154" i="1"/>
  <c r="A154" i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C148" i="1"/>
  <c r="E146" i="1"/>
  <c r="B145" i="1"/>
  <c r="D143" i="1"/>
  <c r="A142" i="1"/>
  <c r="C140" i="1"/>
  <c r="E138" i="1"/>
  <c r="D137" i="1"/>
  <c r="E136" i="1"/>
  <c r="A136" i="1"/>
  <c r="B135" i="1"/>
  <c r="C134" i="1"/>
  <c r="D133" i="1"/>
  <c r="E132" i="1"/>
  <c r="A132" i="1"/>
  <c r="B131" i="1"/>
  <c r="C130" i="1"/>
  <c r="D129" i="1"/>
  <c r="E128" i="1"/>
  <c r="A128" i="1"/>
  <c r="B127" i="1"/>
  <c r="C126" i="1"/>
  <c r="D125" i="1"/>
  <c r="E124" i="1"/>
  <c r="A124" i="1"/>
  <c r="B123" i="1"/>
  <c r="C122" i="1"/>
  <c r="D121" i="1"/>
  <c r="E120" i="1"/>
  <c r="A120" i="1"/>
  <c r="B119" i="1"/>
  <c r="C118" i="1"/>
  <c r="D117" i="1"/>
  <c r="E116" i="1"/>
  <c r="A116" i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C151" i="1"/>
  <c r="E149" i="1"/>
  <c r="B148" i="1"/>
  <c r="D146" i="1"/>
  <c r="A145" i="1"/>
  <c r="C143" i="1"/>
  <c r="E141" i="1"/>
  <c r="B140" i="1"/>
  <c r="D138" i="1"/>
  <c r="C137" i="1"/>
  <c r="D136" i="1"/>
  <c r="E135" i="1"/>
  <c r="A135" i="1"/>
  <c r="B134" i="1"/>
  <c r="C133" i="1"/>
  <c r="D132" i="1"/>
  <c r="E131" i="1"/>
  <c r="A131" i="1"/>
  <c r="B130" i="1"/>
  <c r="C129" i="1"/>
  <c r="D128" i="1"/>
  <c r="E127" i="1"/>
  <c r="A127" i="1"/>
  <c r="B126" i="1"/>
  <c r="C125" i="1"/>
  <c r="D124" i="1"/>
  <c r="E123" i="1"/>
  <c r="A123" i="1"/>
  <c r="B122" i="1"/>
  <c r="C121" i="1"/>
  <c r="D120" i="1"/>
  <c r="E119" i="1"/>
  <c r="A119" i="1"/>
  <c r="B118" i="1"/>
  <c r="C117" i="1"/>
  <c r="D116" i="1"/>
  <c r="E115" i="1"/>
  <c r="A115" i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F161" i="1" s="1"/>
  <c r="E157" i="1"/>
  <c r="D154" i="1"/>
  <c r="C152" i="1"/>
  <c r="E150" i="1"/>
  <c r="B149" i="1"/>
  <c r="D147" i="1"/>
  <c r="A146" i="1"/>
  <c r="C144" i="1"/>
  <c r="E142" i="1"/>
  <c r="B141" i="1"/>
  <c r="D139" i="1"/>
  <c r="A138" i="1"/>
  <c r="B137" i="1"/>
  <c r="C136" i="1"/>
  <c r="D135" i="1"/>
  <c r="E134" i="1"/>
  <c r="A134" i="1"/>
  <c r="B133" i="1"/>
  <c r="C132" i="1"/>
  <c r="D131" i="1"/>
  <c r="E130" i="1"/>
  <c r="A130" i="1"/>
  <c r="B129" i="1"/>
  <c r="C128" i="1"/>
  <c r="D127" i="1"/>
  <c r="E126" i="1"/>
  <c r="A126" i="1"/>
  <c r="B125" i="1"/>
  <c r="C124" i="1"/>
  <c r="D123" i="1"/>
  <c r="E122" i="1"/>
  <c r="A122" i="1"/>
  <c r="B121" i="1"/>
  <c r="C120" i="1"/>
  <c r="D119" i="1"/>
  <c r="E118" i="1"/>
  <c r="A118" i="1"/>
  <c r="B117" i="1"/>
  <c r="C116" i="1"/>
  <c r="D115" i="1"/>
  <c r="E114" i="1"/>
  <c r="A114" i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<sst xmlns="http://schemas.openxmlformats.org/spreadsheetml/2006/main" count="923" uniqueCount="396">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</sst>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5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3" t="s">
        <v>0</v>
      </c>
      <c r="B1" s="150"/>
      <c r="C1" s="150"/>
      <c r="D1" s="150"/>
      <c r="E1" s="150"/>
      <c r="F1" s="151"/>
    </row>
    <row r="2" spans="1:6" ht="30" customHeight="1" x14ac:dyDescent="0.25">
      <c r="A2" s="152" t="s">
        <v>1</v>
      </c>
      <c r="B2" s="150"/>
      <c r="C2" s="150"/>
      <c r="D2" s="150"/>
      <c r="E2" s="151"/>
      <c r="F2" s="119">
        <f>F206</f>
        <v>97.94500000000005</v>
      </c>
    </row>
    <row r="3" spans="1:6" ht="6" customHeight="1" x14ac:dyDescent="0.25">
      <c r="A3" s="155"/>
      <c r="B3" s="150"/>
      <c r="C3" s="150"/>
      <c r="D3" s="150"/>
      <c r="E3" s="150"/>
      <c r="F3" s="151"/>
    </row>
    <row r="4" spans="1:6" ht="27.95" customHeight="1" x14ac:dyDescent="0.25">
      <c r="A4" s="154" t="s">
        <v>2</v>
      </c>
      <c r="B4" s="150"/>
      <c r="C4" s="150"/>
      <c r="D4" s="150"/>
      <c r="E4" s="150"/>
      <c r="F4" s="151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المتوفر 107.305 (صافي الشهر 99.075 + فائض عام 16.750)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الحساب'!$A$4:$A$204,MATCH(108,'كشف الحساب'!$P$4:$P$204,0)),"")</f>
        <v>46231</v>
      </c>
      <c r="B113" s="122" t="str">
        <f>IFERROR(INDEX('كشف الحساب'!$B$4:$B$204,MATCH(108,'كشف الحساب'!$P$4:$P$204,0)),"")</f>
        <v>Inv-104</v>
      </c>
      <c r="C113" s="121" t="str">
        <f>IFERROR(INDEX('كشف الحساب'!$C$4:$C$204,MATCH(108,'كشف الحساب'!$P$4:$P$204,0)),"")</f>
        <v>متنوع عدد 1 الحبه 2.500</v>
      </c>
      <c r="D113" s="123">
        <f>IFERROR(INDEX('كشف الحساب'!$E$4:$E$204,MATCH(108,'كشف الحساب'!$P$4:$P$204,0)),"")</f>
        <v>2.5</v>
      </c>
      <c r="E113" s="124">
        <f>IFERROR(INDEX('كشف الحساب'!$D$4:$D$204,MATCH(108,'كشف الحساب'!$P$4:$P$204,0)),"")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الحساب'!$A$4:$A$204,MATCH(109,'كشف الحساب'!$P$4:$P$204,0)),"")</f>
        <v>46231</v>
      </c>
      <c r="B114" s="122" t="str">
        <f>IFERROR(INDEX('كشف الحساب'!$B$4:$B$204,MATCH(109,'كشف الحساب'!$P$4:$P$204,0)),"")</f>
        <v>Inv-105</v>
      </c>
      <c r="C114" s="121" t="str">
        <f>IFERROR(INDEX('كشف الحساب'!$C$4:$C$204,MATCH(109,'كشف الحساب'!$P$4:$P$204,0)),"")</f>
        <v>دارسينا عدد 1 الحبه 3</v>
      </c>
      <c r="D114" s="123">
        <f>IFERROR(INDEX('كشف الحساب'!$E$4:$E$204,MATCH(109,'كشف الحساب'!$P$4:$P$204,0)),"")</f>
        <v>3</v>
      </c>
      <c r="E114" s="124">
        <f>IFERROR(INDEX('كشف الحساب'!$D$4:$D$204,MATCH(109,'كشف الحساب'!$P$4:$P$204,0)),"")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الحساب'!$A$4:$A$204,MATCH(110,'كشف الحساب'!$P$4:$P$204,0)),"")</f>
        <v>46232</v>
      </c>
      <c r="B115" s="122">
        <f>IFERROR(INDEX('كشف الحساب'!$B$4:$B$204,MATCH(110,'كشف الحساب'!$P$4:$P$204,0)),"")</f>
        <v>0</v>
      </c>
      <c r="C115" s="121" t="str">
        <f>IFERROR(INDEX('كشف الحساب'!$C$4:$C$204,MATCH(110,'كشف الحساب'!$P$4:$P$204,0)),"")</f>
        <v>عدد 3 عماله + 10 ايام العامل البديل 40 دينار</v>
      </c>
      <c r="D115" s="123">
        <f>IFERROR(INDEX('كشف الحساب'!$E$4:$E$204,MATCH(110,'كشف الحساب'!$P$4:$P$204,0)),"")</f>
        <v>0</v>
      </c>
      <c r="E115" s="124">
        <f>IFERROR(INDEX('كشف الحساب'!$D$4:$D$204,MATCH(110,'كشف الحساب'!$P$4:$P$204,0)),"")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الحساب'!$A$4:$A$204,MATCH(111,'كشف الحساب'!$P$4:$P$204,0)),"")</f>
        <v>46234</v>
      </c>
      <c r="B116" s="122">
        <f>IFERROR(INDEX('كشف الحساب'!$B$4:$B$204,MATCH(111,'كشف الحساب'!$P$4:$P$204,0)),"")</f>
        <v>0</v>
      </c>
      <c r="C116" s="121" t="str">
        <f>IFERROR(INDEX('كشف الحساب'!$C$4:$C$204,MATCH(111,'كشف الحساب'!$P$4:$P$204,0)),"")</f>
        <v>تعديل رصيد</v>
      </c>
      <c r="D116" s="123">
        <f>IFERROR(INDEX('كشف الحساب'!$E$4:$E$204,MATCH(111,'كشف الحساب'!$P$4:$P$204,0)),"")</f>
        <v>8.59</v>
      </c>
      <c r="E116" s="124">
        <f>IFERROR(INDEX('كشف الحساب'!$D$4:$D$204,MATCH(111,'كشف الحساب'!$P$4:$P$204,0)),"")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الحساب'!$A$4:$A$204,MATCH(112,'كشف الحساب'!$P$4:$P$204,0)),"")</f>
        <v>46235</v>
      </c>
      <c r="B117" s="122" t="str">
        <f>IFERROR(INDEX('كشف الحساب'!$B$4:$B$204,MATCH(112,'كشف الحساب'!$P$4:$P$204,0)),"")</f>
        <v>Inv-106</v>
      </c>
      <c r="C117" s="121" t="str">
        <f>IFERROR(INDEX('كشف الحساب'!$C$4:$C$204,MATCH(112,'كشف الحساب'!$P$4:$P$204,0)),"")</f>
        <v>ربل عدد 11 الحبه 2</v>
      </c>
      <c r="D117" s="123">
        <f>IFERROR(INDEX('كشف الحساب'!$E$4:$E$204,MATCH(112,'كشف الحساب'!$P$4:$P$204,0)),"")</f>
        <v>22</v>
      </c>
      <c r="E117" s="124">
        <f>IFERROR(INDEX('كشف الحساب'!$D$4:$D$204,MATCH(112,'كشف الحساب'!$P$4:$P$204,0)),"")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الحساب'!$A$4:$A$204,MATCH(113,'كشف الحساب'!$P$4:$P$204,0)),"")</f>
        <v>46235</v>
      </c>
      <c r="B118" s="122" t="str">
        <f>IFERROR(INDEX('كشف الحساب'!$B$4:$B$204,MATCH(113,'كشف الحساب'!$P$4:$P$204,0)),"")</f>
        <v>Inv-107</v>
      </c>
      <c r="C118" s="121" t="str">
        <f>IFERROR(INDEX('كشف الحساب'!$C$4:$C$204,MATCH(113,'كشف الحساب'!$P$4:$P$204,0)),"")</f>
        <v>متنوع عدد 1 بقيمه 2.500</v>
      </c>
      <c r="D118" s="123">
        <f>IFERROR(INDEX('كشف الحساب'!$E$4:$E$204,MATCH(113,'كشف الحساب'!$P$4:$P$204,0)),"")</f>
        <v>2.5</v>
      </c>
      <c r="E118" s="124">
        <f>IFERROR(INDEX('كشف الحساب'!$D$4:$D$204,MATCH(113,'كشف الحساب'!$P$4:$P$204,0)),"")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الحساب'!$A$4:$A$204,MATCH(114,'كشف الحساب'!$P$4:$P$204,0)),"")</f>
        <v>46235</v>
      </c>
      <c r="B119" s="122" t="str">
        <f>IFERROR(INDEX('كشف الحساب'!$B$4:$B$204,MATCH(114,'كشف الحساب'!$P$4:$P$204,0)),"")</f>
        <v>Inv-108</v>
      </c>
      <c r="C119" s="121" t="str">
        <f>IFERROR(INDEX('كشف الحساب'!$C$4:$C$204,MATCH(114,'كشف الحساب'!$P$4:$P$204,0)),"")</f>
        <v>فل عدد 1 بقيمه .750</v>
      </c>
      <c r="D119" s="123">
        <f>IFERROR(INDEX('كشف الحساب'!$E$4:$E$204,MATCH(114,'كشف الحساب'!$P$4:$P$204,0)),"")</f>
        <v>0.75</v>
      </c>
      <c r="E119" s="124">
        <f>IFERROR(INDEX('كشف الحساب'!$D$4:$D$204,MATCH(114,'كشف الحساب'!$P$4:$P$204,0)),"")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الحساب'!$A$4:$A$204,MATCH(115,'كشف الحساب'!$P$4:$P$204,0)),"")</f>
        <v>46235</v>
      </c>
      <c r="B120" s="122">
        <f>IFERROR(INDEX('كشف الحساب'!$B$4:$B$204,MATCH(115,'كشف الحساب'!$P$4:$P$204,0)),"")</f>
        <v>0</v>
      </c>
      <c r="C120" s="121" t="str">
        <f>IFERROR(INDEX('كشف الحساب'!$C$4:$C$204,MATCH(115,'كشف الحساب'!$P$4:$P$204,0)),"")</f>
        <v>بتموس عدد 2 الواحده 12</v>
      </c>
      <c r="D120" s="123">
        <f>IFERROR(INDEX('كشف الحساب'!$E$4:$E$204,MATCH(115,'كشف الحساب'!$P$4:$P$204,0)),"")</f>
        <v>0</v>
      </c>
      <c r="E120" s="124">
        <f>IFERROR(INDEX('كشف الحساب'!$D$4:$D$204,MATCH(115,'كشف الحساب'!$P$4:$P$204,0)),"")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الحساب'!$A$4:$A$204,MATCH(116,'كشف الحساب'!$P$4:$P$204,0)),"")</f>
        <v>46239</v>
      </c>
      <c r="B121" s="122" t="str">
        <f>IFERROR(INDEX('كشف الحساب'!$B$4:$B$204,MATCH(116,'كشف الحساب'!$P$4:$P$204,0)),"")</f>
        <v>Inv-109</v>
      </c>
      <c r="C121" s="121" t="str">
        <f>IFERROR(INDEX('كشف الحساب'!$C$4:$C$204,MATCH(116,'كشف الحساب'!$P$4:$P$204,0)),"")</f>
        <v>متنوع عدد 1 الحبه 1</v>
      </c>
      <c r="D121" s="123">
        <f>IFERROR(INDEX('كشف الحساب'!$E$4:$E$204,MATCH(116,'كشف الحساب'!$P$4:$P$204,0)),"")</f>
        <v>1</v>
      </c>
      <c r="E121" s="124">
        <f>IFERROR(INDEX('كشف الحساب'!$D$4:$D$204,MATCH(116,'كشف الحساب'!$P$4:$P$204,0)),"")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الحساب'!$A$4:$A$204,MATCH(117,'كشف الحساب'!$P$4:$P$204,0)),"")</f>
        <v>46240</v>
      </c>
      <c r="B122" s="122" t="str">
        <f>IFERROR(INDEX('كشف الحساب'!$B$4:$B$204,MATCH(117,'كشف الحساب'!$P$4:$P$204,0)),"")</f>
        <v>Inv-110</v>
      </c>
      <c r="C122" s="121" t="str">
        <f>IFERROR(INDEX('كشف الحساب'!$C$4:$C$204,MATCH(117,'كشف الحساب'!$P$4:$P$204,0)),"")</f>
        <v>متنوع عدد10 الحبه 1</v>
      </c>
      <c r="D122" s="123">
        <f>IFERROR(INDEX('كشف الحساب'!$E$4:$E$204,MATCH(117,'كشف الحساب'!$P$4:$P$204,0)),"")</f>
        <v>10</v>
      </c>
      <c r="E122" s="124">
        <f>IFERROR(INDEX('كشف الحساب'!$D$4:$D$204,MATCH(117,'كشف الحساب'!$P$4:$P$204,0)),"")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الحساب'!$A$4:$A$204,MATCH(118,'كشف الحساب'!$P$4:$P$204,0)),"")</f>
        <v>46240</v>
      </c>
      <c r="B123" s="122" t="str">
        <f>IFERROR(INDEX('كشف الحساب'!$B$4:$B$204,MATCH(118,'كشف الحساب'!$P$4:$P$204,0)),"")</f>
        <v>Inv-111</v>
      </c>
      <c r="C123" s="121" t="str">
        <f>IFERROR(INDEX('كشف الحساب'!$C$4:$C$204,MATCH(118,'كشف الحساب'!$P$4:$P$204,0)),"")</f>
        <v>متنوع 6 عدد 1</v>
      </c>
      <c r="D123" s="123">
        <f>IFERROR(INDEX('كشف الحساب'!$E$4:$E$204,MATCH(118,'كشف الحساب'!$P$4:$P$204,0)),"")</f>
        <v>6</v>
      </c>
      <c r="E123" s="124">
        <f>IFERROR(INDEX('كشف الحساب'!$D$4:$D$204,MATCH(118,'كشف الحساب'!$P$4:$P$204,0)),"")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الحساب'!$A$4:$A$204,MATCH(119,'كشف الحساب'!$P$4:$P$204,0)),"")</f>
        <v>46240</v>
      </c>
      <c r="B124" s="122" t="str">
        <f>IFERROR(INDEX('كشف الحساب'!$B$4:$B$204,MATCH(119,'كشف الحساب'!$P$4:$P$204,0)),"")</f>
        <v>Inv-112</v>
      </c>
      <c r="C124" s="121" t="str">
        <f>IFERROR(INDEX('كشف الحساب'!$C$4:$C$204,MATCH(119,'كشف الحساب'!$P$4:$P$204,0)),"")</f>
        <v>ربل عدد 15 الحبه2</v>
      </c>
      <c r="D124" s="123">
        <f>IFERROR(INDEX('كشف الحساب'!$E$4:$E$204,MATCH(119,'كشف الحساب'!$P$4:$P$204,0)),"")</f>
        <v>29</v>
      </c>
      <c r="E124" s="124">
        <f>IFERROR(INDEX('كشف الحساب'!$D$4:$D$204,MATCH(119,'كشف الحساب'!$P$4:$P$204,0)),"")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الحساب'!$A$4:$A$204,MATCH(120,'كشف الحساب'!$P$4:$P$204,0)),"")</f>
        <v>46240</v>
      </c>
      <c r="B125" s="122">
        <f>IFERROR(INDEX('كشف الحساب'!$B$4:$B$204,MATCH(120,'كشف الحساب'!$P$4:$P$204,0)),"")</f>
        <v>0</v>
      </c>
      <c r="C125" s="121" t="str">
        <f>IFERROR(INDEX('كشف الحساب'!$C$4:$C$204,MATCH(120,'كشف الحساب'!$P$4:$P$204,0)),"")</f>
        <v>كيميكل للمعالج</v>
      </c>
      <c r="D125" s="123">
        <f>IFERROR(INDEX('كشف الحساب'!$E$4:$E$204,MATCH(120,'كشف الحساب'!$P$4:$P$204,0)),"")</f>
        <v>0</v>
      </c>
      <c r="E125" s="124">
        <f>IFERROR(INDEX('كشف الحساب'!$D$4:$D$204,MATCH(120,'كشف الحساب'!$P$4:$P$204,0)),"")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الحساب'!$A$4:$A$204,MATCH(121,'كشف الحساب'!$P$4:$P$204,0)),"")</f>
        <v>46240</v>
      </c>
      <c r="B126" s="122">
        <f>IFERROR(INDEX('كشف الحساب'!$B$4:$B$204,MATCH(121,'كشف الحساب'!$P$4:$P$204,0)),"")</f>
        <v>0</v>
      </c>
      <c r="C126" s="121" t="str">
        <f>IFERROR(INDEX('كشف الحساب'!$C$4:$C$204,MATCH(121,'كشف الحساب'!$P$4:$P$204,0)),"")</f>
        <v>ترمستات الثلاجه الكبيره</v>
      </c>
      <c r="D126" s="123">
        <f>IFERROR(INDEX('كشف الحساب'!$E$4:$E$204,MATCH(121,'كشف الحساب'!$P$4:$P$204,0)),"")</f>
        <v>0</v>
      </c>
      <c r="E126" s="124">
        <f>IFERROR(INDEX('كشف الحساب'!$D$4:$D$204,MATCH(121,'كشف الحساب'!$P$4:$P$204,0)),"")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الحساب'!$A$4:$A$204,MATCH(122,'كشف الحساب'!$P$4:$P$204,0)),"")</f>
        <v>46244</v>
      </c>
      <c r="B127" s="122" t="str">
        <f>IFERROR(INDEX('كشف الحساب'!$B$4:$B$204,MATCH(122,'كشف الحساب'!$P$4:$P$204,0)),"")</f>
        <v>Inv-113</v>
      </c>
      <c r="C127" s="121" t="str">
        <f>IFERROR(INDEX('كشف الحساب'!$C$4:$C$204,MATCH(122,'كشف الحساب'!$P$4:$P$204,0)),"")</f>
        <v>ربل  عدد 40 الحبه 2.250</v>
      </c>
      <c r="D127" s="123">
        <f>IFERROR(INDEX('كشف الحساب'!$E$4:$E$204,MATCH(122,'كشف الحساب'!$P$4:$P$204,0)),"")</f>
        <v>90</v>
      </c>
      <c r="E127" s="124">
        <f>IFERROR(INDEX('كشف الحساب'!$D$4:$D$204,MATCH(122,'كشف الحساب'!$P$4:$P$204,0)),"")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الحساب'!$A$4:$A$204,MATCH(123,'كشف الحساب'!$P$4:$P$204,0)),"")</f>
        <v>46244</v>
      </c>
      <c r="B128" s="122" t="str">
        <f>IFERROR(INDEX('كشف الحساب'!$B$4:$B$204,MATCH(123,'كشف الحساب'!$P$4:$P$204,0)),"")</f>
        <v>Inv-114</v>
      </c>
      <c r="C128" s="121" t="str">
        <f>IFERROR(INDEX('كشف الحساب'!$C$4:$C$204,MATCH(123,'كشف الحساب'!$P$4:$P$204,0)),"")</f>
        <v>متنوع 8 الحبه 1</v>
      </c>
      <c r="D128" s="123">
        <f>IFERROR(INDEX('كشف الحساب'!$E$4:$E$204,MATCH(123,'كشف الحساب'!$P$4:$P$204,0)),"")</f>
        <v>8</v>
      </c>
      <c r="E128" s="124">
        <f>IFERROR(INDEX('كشف الحساب'!$D$4:$D$204,MATCH(123,'كشف الحساب'!$P$4:$P$204,0)),"")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الحساب'!$A$4:$A$204,MATCH(124,'كشف الحساب'!$P$4:$P$204,0)),"")</f>
        <v>46245</v>
      </c>
      <c r="B129" s="122">
        <f>IFERROR(INDEX('كشف الحساب'!$B$4:$B$204,MATCH(124,'كشف الحساب'!$P$4:$P$204,0)),"")</f>
        <v>0</v>
      </c>
      <c r="C129" s="121" t="str">
        <f>IFERROR(INDEX('كشف الحساب'!$C$4:$C$204,MATCH(124,'كشف الحساب'!$P$4:$P$204,0)),"")</f>
        <v>احواض معلقه + كوكوبيت</v>
      </c>
      <c r="D129" s="123">
        <f>IFERROR(INDEX('كشف الحساب'!$E$4:$E$204,MATCH(124,'كشف الحساب'!$P$4:$P$204,0)),"")</f>
        <v>0</v>
      </c>
      <c r="E129" s="124">
        <f>IFERROR(INDEX('كشف الحساب'!$D$4:$D$204,MATCH(124,'كشف الحساب'!$P$4:$P$204,0)),"")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الحساب'!$A$4:$A$204,MATCH(125,'كشف الحساب'!$P$4:$P$204,0)),"")</f>
        <v>46245</v>
      </c>
      <c r="B130" s="122">
        <f>IFERROR(INDEX('كشف الحساب'!$B$4:$B$204,MATCH(125,'كشف الحساب'!$P$4:$P$204,0)),"")</f>
        <v>0</v>
      </c>
      <c r="C130" s="121" t="str">
        <f>IFERROR(INDEX('كشف الحساب'!$C$4:$C$204,MATCH(125,'كشف الحساب'!$P$4:$P$204,0)),"")</f>
        <v>15-15-15 خرماشه</v>
      </c>
      <c r="D130" s="123">
        <f>IFERROR(INDEX('كشف الحساب'!$E$4:$E$204,MATCH(125,'كشف الحساب'!$P$4:$P$204,0)),"")</f>
        <v>0</v>
      </c>
      <c r="E130" s="124">
        <f>IFERROR(INDEX('كشف الحساب'!$D$4:$D$204,MATCH(125,'كشف الحساب'!$P$4:$P$204,0)),"")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الحساب'!$A$4:$A$204,MATCH(126,'كشف الحساب'!$P$4:$P$204,0)),"")</f>
        <v>46247</v>
      </c>
      <c r="B131" s="122">
        <f>IFERROR(INDEX('كشف الحساب'!$B$4:$B$204,MATCH(126,'كشف الحساب'!$P$4:$P$204,0)),"")</f>
        <v>0</v>
      </c>
      <c r="C131" s="121" t="str">
        <f>IFERROR(INDEX('كشف الحساب'!$C$4:$C$204,MATCH(126,'كشف الحساب'!$P$4:$P$204,0)),"")</f>
        <v>هرمون تدير</v>
      </c>
      <c r="D131" s="123">
        <f>IFERROR(INDEX('كشف الحساب'!$E$4:$E$204,MATCH(126,'كشف الحساب'!$P$4:$P$204,0)),"")</f>
        <v>0</v>
      </c>
      <c r="E131" s="124">
        <f>IFERROR(INDEX('كشف الحساب'!$D$4:$D$204,MATCH(126,'كشف الحساب'!$P$4:$P$204,0)),"")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الحساب'!$A$4:$A$204,MATCH(127,'كشف الحساب'!$P$4:$P$204,0)),"")</f>
        <v>46247</v>
      </c>
      <c r="B132" s="122">
        <f>IFERROR(INDEX('كشف الحساب'!$B$4:$B$204,MATCH(127,'كشف الحساب'!$P$4:$P$204,0)),"")</f>
        <v>0</v>
      </c>
      <c r="C132" s="121" t="str">
        <f>IFERROR(INDEX('كشف الحساب'!$C$4:$C$204,MATCH(127,'كشف الحساب'!$P$4:$P$204,0)),"")</f>
        <v>احواض مقاس 14 عدد 1000</v>
      </c>
      <c r="D132" s="123">
        <f>IFERROR(INDEX('كشف الحساب'!$E$4:$E$204,MATCH(127,'كشف الحساب'!$P$4:$P$204,0)),"")</f>
        <v>0</v>
      </c>
      <c r="E132" s="124">
        <f>IFERROR(INDEX('كشف الحساب'!$D$4:$D$204,MATCH(127,'كشف الحساب'!$P$4:$P$204,0)),"")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الحساب'!$A$4:$A$204,MATCH(128,'كشف الحساب'!$P$4:$P$204,0)),"")</f>
        <v>46247</v>
      </c>
      <c r="B133" s="122">
        <f>IFERROR(INDEX('كشف الحساب'!$B$4:$B$204,MATCH(128,'كشف الحساب'!$P$4:$P$204,0)),"")</f>
        <v>0</v>
      </c>
      <c r="C133" s="121" t="str">
        <f>IFERROR(INDEX('كشف الحساب'!$C$4:$C$204,MATCH(128,'كشف الحساب'!$P$4:$P$204,0)),"")</f>
        <v>وصلات</v>
      </c>
      <c r="D133" s="123">
        <f>IFERROR(INDEX('كشف الحساب'!$E$4:$E$204,MATCH(128,'كشف الحساب'!$P$4:$P$204,0)),"")</f>
        <v>0</v>
      </c>
      <c r="E133" s="124">
        <f>IFERROR(INDEX('كشف الحساب'!$D$4:$D$204,MATCH(128,'كشف الحساب'!$P$4:$P$204,0)),"")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الحساب'!$A$4:$A$204,MATCH(129,'كشف الحساب'!$P$4:$P$204,0)),"")</f>
        <v>46249</v>
      </c>
      <c r="B134" s="122">
        <f>IFERROR(INDEX('كشف الحساب'!$B$4:$B$204,MATCH(129,'كشف الحساب'!$P$4:$P$204,0)),"")</f>
        <v>0</v>
      </c>
      <c r="C134" s="121" t="str">
        <f>IFERROR(INDEX('كشف الحساب'!$C$4:$C$204,MATCH(129,'كشف الحساب'!$P$4:$P$204,0)),"")</f>
        <v>وصلات وحنفيه</v>
      </c>
      <c r="D134" s="123">
        <f>IFERROR(INDEX('كشف الحساب'!$E$4:$E$204,MATCH(129,'كشف الحساب'!$P$4:$P$204,0)),"")</f>
        <v>0</v>
      </c>
      <c r="E134" s="124">
        <f>IFERROR(INDEX('كشف الحساب'!$D$4:$D$204,MATCH(129,'كشف الحساب'!$P$4:$P$204,0)),"")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الحساب'!$A$4:$A$204,MATCH(130,'كشف الحساب'!$P$4:$P$204,0)),"")</f>
        <v>46252</v>
      </c>
      <c r="B135" s="122" t="str">
        <f>IFERROR(INDEX('كشف الحساب'!$B$4:$B$204,MATCH(130,'كشف الحساب'!$P$4:$P$204,0)),"")</f>
        <v>Inv-115</v>
      </c>
      <c r="C135" s="121" t="str">
        <f>IFERROR(INDEX('كشف الحساب'!$C$4:$C$204,MATCH(130,'كشف الحساب'!$P$4:$P$204,0)),"")</f>
        <v>فل عدد 14 الحبه .750</v>
      </c>
      <c r="D135" s="123">
        <f>IFERROR(INDEX('كشف الحساب'!$E$4:$E$204,MATCH(130,'كشف الحساب'!$P$4:$P$204,0)),"")</f>
        <v>10.5</v>
      </c>
      <c r="E135" s="124">
        <f>IFERROR(INDEX('كشف الحساب'!$D$4:$D$204,MATCH(130,'كشف الحساب'!$P$4:$P$204,0)),"")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الحساب'!$A$4:$A$204,MATCH(131,'كشف الحساب'!$P$4:$P$204,0)),"")</f>
        <v>46252</v>
      </c>
      <c r="B136" s="122" t="str">
        <f>IFERROR(INDEX('كشف الحساب'!$B$4:$B$204,MATCH(131,'كشف الحساب'!$P$4:$P$204,0)),"")</f>
        <v>Inv-116</v>
      </c>
      <c r="C136" s="121" t="str">
        <f>IFERROR(INDEX('كشف الحساب'!$C$4:$C$204,MATCH(131,'كشف الحساب'!$P$4:$P$204,0)),"")</f>
        <v>متنوع عدد 1 الحبه 2.500</v>
      </c>
      <c r="D136" s="123">
        <f>IFERROR(INDEX('كشف الحساب'!$E$4:$E$204,MATCH(131,'كشف الحساب'!$P$4:$P$204,0)),"")</f>
        <v>2.5</v>
      </c>
      <c r="E136" s="124">
        <f>IFERROR(INDEX('كشف الحساب'!$D$4:$D$204,MATCH(131,'كشف الحساب'!$P$4:$P$204,0)),"")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الحساب'!$A$4:$A$204,MATCH(132,'كشف الحساب'!$P$4:$P$204,0)),"")</f>
        <v>46258</v>
      </c>
      <c r="B137" s="122" t="str">
        <f>IFERROR(INDEX('كشف الحساب'!$B$4:$B$204,MATCH(132,'كشف الحساب'!$P$4:$P$204,0)),"")</f>
        <v>Inv-117</v>
      </c>
      <c r="C137" s="121" t="str">
        <f>IFERROR(INDEX('كشف الحساب'!$C$4:$C$204,MATCH(132,'كشف الحساب'!$P$4:$P$204,0)),"")</f>
        <v>ربل عدد 10 الحبه 2.250</v>
      </c>
      <c r="D137" s="123">
        <f>IFERROR(INDEX('كشف الحساب'!$E$4:$E$204,MATCH(132,'كشف الحساب'!$P$4:$P$204,0)),"")</f>
        <v>22.5</v>
      </c>
      <c r="E137" s="124">
        <f>IFERROR(INDEX('كشف الحساب'!$D$4:$D$204,MATCH(132,'كشف الحساب'!$P$4:$P$204,0)),"")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الحساب'!$A$4:$A$204,MATCH(133,'كشف الحساب'!$P$4:$P$204,0)),"")</f>
        <v>46258</v>
      </c>
      <c r="B138" s="122" t="str">
        <f>IFERROR(INDEX('كشف الحساب'!$B$4:$B$204,MATCH(133,'كشف الحساب'!$P$4:$P$204,0)),"")</f>
        <v>Inv-118</v>
      </c>
      <c r="C138" s="121" t="str">
        <f>IFERROR(INDEX('كشف الحساب'!$C$4:$C$204,MATCH(133,'كشف الحساب'!$P$4:$P$204,0)),"")</f>
        <v>متنوع عدد 4 الحبه 1</v>
      </c>
      <c r="D138" s="123">
        <f>IFERROR(INDEX('كشف الحساب'!$E$4:$E$204,MATCH(133,'كشف الحساب'!$P$4:$P$204,0)),"")</f>
        <v>4</v>
      </c>
      <c r="E138" s="124">
        <f>IFERROR(INDEX('كشف الحساب'!$D$4:$D$204,MATCH(133,'كشف الحساب'!$P$4:$P$204,0)),"")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الحساب'!$A$4:$A$204,MATCH(134,'كشف الحساب'!$P$4:$P$204,0)),"")</f>
        <v>46258</v>
      </c>
      <c r="B139" s="122" t="str">
        <f>IFERROR(INDEX('كشف الحساب'!$B$4:$B$204,MATCH(134,'كشف الحساب'!$P$4:$P$204,0)),"")</f>
        <v>Inv-119</v>
      </c>
      <c r="C139" s="121" t="str">
        <f>IFERROR(INDEX('كشف الحساب'!$C$4:$C$204,MATCH(134,'كشف الحساب'!$P$4:$P$204,0)),"")</f>
        <v>دارسينا عدد 2 الحبه 3</v>
      </c>
      <c r="D139" s="123">
        <f>IFERROR(INDEX('كشف الحساب'!$E$4:$E$204,MATCH(134,'كشف الحساب'!$P$4:$P$204,0)),"")</f>
        <v>6</v>
      </c>
      <c r="E139" s="124">
        <f>IFERROR(INDEX('كشف الحساب'!$D$4:$D$204,MATCH(134,'كشف الحساب'!$P$4:$P$204,0)),"")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الحساب'!$A$4:$A$204,MATCH(135,'كشف الحساب'!$P$4:$P$204,0)),"")</f>
        <v>46258</v>
      </c>
      <c r="B140" s="122" t="str">
        <f>IFERROR(INDEX('كشف الحساب'!$B$4:$B$204,MATCH(135,'كشف الحساب'!$P$4:$P$204,0)),"")</f>
        <v>Inv-120</v>
      </c>
      <c r="C140" s="121" t="str">
        <f>IFERROR(INDEX('كشف الحساب'!$C$4:$C$204,MATCH(135,'كشف الحساب'!$P$4:$P$204,0)),"")</f>
        <v>فل عدد 2 الحبه .750</v>
      </c>
      <c r="D140" s="123">
        <f>IFERROR(INDEX('كشف الحساب'!$E$4:$E$204,MATCH(135,'كشف الحساب'!$P$4:$P$204,0)),"")</f>
        <v>1.5</v>
      </c>
      <c r="E140" s="124">
        <f>IFERROR(INDEX('كشف الحساب'!$D$4:$D$204,MATCH(135,'كشف الحساب'!$P$4:$P$204,0)),"")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الحساب'!$A$4:$A$204,MATCH(136,'كشف الحساب'!$P$4:$P$204,0)),"")</f>
        <v>46258</v>
      </c>
      <c r="B141" s="122">
        <f>IFERROR(INDEX('كشف الحساب'!$B$4:$B$204,MATCH(136,'كشف الحساب'!$P$4:$P$204,0)),"")</f>
        <v>0</v>
      </c>
      <c r="C141" s="121" t="str">
        <f>IFERROR(INDEX('كشف الحساب'!$C$4:$C$204,MATCH(136,'كشف الحساب'!$P$4:$P$204,0)),"")</f>
        <v>اسمده</v>
      </c>
      <c r="D141" s="123">
        <f>IFERROR(INDEX('كشف الحساب'!$E$4:$E$204,MATCH(136,'كشف الحساب'!$P$4:$P$204,0)),"")</f>
        <v>0</v>
      </c>
      <c r="E141" s="124">
        <f>IFERROR(INDEX('كشف الحساب'!$D$4:$D$204,MATCH(136,'كشف الحساب'!$P$4:$P$204,0)),"")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الحساب'!$A$4:$A$204,MATCH(137,'كشف الحساب'!$P$4:$P$204,0)),"")</f>
        <v>46260</v>
      </c>
      <c r="B142" s="122" t="str">
        <f>IFERROR(INDEX('كشف الحساب'!$B$4:$B$204,MATCH(137,'كشف الحساب'!$P$4:$P$204,0)),"")</f>
        <v>Inv-121</v>
      </c>
      <c r="C142" s="121" t="str">
        <f>IFERROR(INDEX('كشف الحساب'!$C$4:$C$204,MATCH(137,'كشف الحساب'!$P$4:$P$204,0)),"")</f>
        <v>شركه التهاني</v>
      </c>
      <c r="D142" s="123">
        <f>IFERROR(INDEX('كشف الحساب'!$E$4:$E$204,MATCH(137,'كشف الحساب'!$P$4:$P$204,0)),"")</f>
        <v>260</v>
      </c>
      <c r="E142" s="124">
        <f>IFERROR(INDEX('كشف الحساب'!$D$4:$D$204,MATCH(137,'كشف الحساب'!$P$4:$P$204,0)),"")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الحساب'!$A$4:$A$204,MATCH(138,'كشف الحساب'!$P$4:$P$204,0)),"")</f>
        <v>46260</v>
      </c>
      <c r="B143" s="122">
        <f>IFERROR(INDEX('كشف الحساب'!$B$4:$B$204,MATCH(138,'كشف الحساب'!$P$4:$P$204,0)),"")</f>
        <v>0</v>
      </c>
      <c r="C143" s="121" t="str">
        <f>IFERROR(INDEX('كشف الحساب'!$C$4:$C$204,MATCH(138,'كشف الحساب'!$P$4:$P$204,0)),"")</f>
        <v>, حوض معلق عدد500 (الوحده.170(,بتموس عدد 10 الحبه 15</v>
      </c>
      <c r="D143" s="123">
        <f>IFERROR(INDEX('كشف الحساب'!$E$4:$E$204,MATCH(138,'كشف الحساب'!$P$4:$P$204,0)),"")</f>
        <v>0</v>
      </c>
      <c r="E143" s="124">
        <f>IFERROR(INDEX('كشف الحساب'!$D$4:$D$204,MATCH(138,'كشف الحساب'!$P$4:$P$204,0)),"")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الحساب'!$A$4:$A$204,MATCH(139,'كشف الحساب'!$P$4:$P$204,0)),"")</f>
        <v>46251</v>
      </c>
      <c r="B144" s="122">
        <f>IFERROR(INDEX('كشف الحساب'!$B$4:$B$204,MATCH(139,'كشف الحساب'!$P$4:$P$204,0)),"")</f>
        <v>0</v>
      </c>
      <c r="C144" s="121" t="str">
        <f>IFERROR(INDEX('كشف الحساب'!$C$4:$C$204,MATCH(139,'كشف الحساب'!$P$4:$P$204,0)),"")</f>
        <v>تاير توكتوك</v>
      </c>
      <c r="D144" s="123">
        <f>IFERROR(INDEX('كشف الحساب'!$E$4:$E$204,MATCH(139,'كشف الحساب'!$P$4:$P$204,0)),"")</f>
        <v>0</v>
      </c>
      <c r="E144" s="124">
        <f>IFERROR(INDEX('كشف الحساب'!$D$4:$D$204,MATCH(139,'كشف الحساب'!$P$4:$P$204,0)),"")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الحساب'!$A$4:$A$204,MATCH(140,'كشف الحساب'!$P$4:$P$204,0)),"")</f>
        <v>46229</v>
      </c>
      <c r="B145" s="122" t="str">
        <f>IFERROR(INDEX('كشف الحساب'!$B$4:$B$204,MATCH(140,'كشف الحساب'!$P$4:$P$204,0)),"")</f>
        <v>Inv-122</v>
      </c>
      <c r="C145" s="121" t="str">
        <f>IFERROR(INDEX('كشف الحساب'!$C$4:$C$204,MATCH(140,'كشف الحساب'!$P$4:$P$204,0)),"")</f>
        <v>متنوع عدد10 الحبه 1</v>
      </c>
      <c r="D145" s="123">
        <f>IFERROR(INDEX('كشف الحساب'!$E$4:$E$204,MATCH(140,'كشف الحساب'!$P$4:$P$204,0)),"")</f>
        <v>10</v>
      </c>
      <c r="E145" s="124">
        <f>IFERROR(INDEX('كشف الحساب'!$D$4:$D$204,MATCH(140,'كشف الحساب'!$P$4:$P$204,0)),"")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الحساب'!$A$4:$A$204,MATCH(141,'كشف الحساب'!$P$4:$P$204,0)),"")</f>
        <v>46229</v>
      </c>
      <c r="B146" s="122" t="str">
        <f>IFERROR(INDEX('كشف الحساب'!$B$4:$B$204,MATCH(141,'كشف الحساب'!$P$4:$P$204,0)),"")</f>
        <v>Inv-123</v>
      </c>
      <c r="C146" s="121" t="str">
        <f>IFERROR(INDEX('كشف الحساب'!$C$4:$C$204,MATCH(141,'كشف الحساب'!$P$4:$P$204,0)),"")</f>
        <v>ربل عدد 4 الحبه 2.250</v>
      </c>
      <c r="D146" s="123">
        <f>IFERROR(INDEX('كشف الحساب'!$E$4:$E$204,MATCH(141,'كشف الحساب'!$P$4:$P$204,0)),"")</f>
        <v>9</v>
      </c>
      <c r="E146" s="124">
        <f>IFERROR(INDEX('كشف الحساب'!$D$4:$D$204,MATCH(141,'كشف الحساب'!$P$4:$P$204,0)),"")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الحساب'!$A$4:$A$204,MATCH(142,'كشف الحساب'!$P$4:$P$204,0)),"")</f>
        <v>46229</v>
      </c>
      <c r="B147" s="122" t="str">
        <f>IFERROR(INDEX('كشف الحساب'!$B$4:$B$204,MATCH(142,'كشف الحساب'!$P$4:$P$204,0)),"")</f>
        <v>Inv-124</v>
      </c>
      <c r="C147" s="121" t="str">
        <f>IFERROR(INDEX('كشف الحساب'!$C$4:$C$204,MATCH(142,'كشف الحساب'!$P$4:$P$204,0)),"")</f>
        <v>متنوع عدد 10 الحبه 1</v>
      </c>
      <c r="D147" s="123">
        <f>IFERROR(INDEX('كشف الحساب'!$E$4:$E$204,MATCH(142,'كشف الحساب'!$P$4:$P$204,0)),"")</f>
        <v>10</v>
      </c>
      <c r="E147" s="124">
        <f>IFERROR(INDEX('كشف الحساب'!$D$4:$D$204,MATCH(142,'كشف الحساب'!$P$4:$P$204,0)),"")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الحساب'!$A$4:$A$204,MATCH(143,'كشف الحساب'!$P$4:$P$204,0)),"")</f>
        <v>46251</v>
      </c>
      <c r="B148" s="122">
        <f>IFERROR(INDEX('كشف الحساب'!$B$4:$B$204,MATCH(143,'كشف الحساب'!$P$4:$P$204,0)),"")</f>
        <v>0</v>
      </c>
      <c r="C148" s="121" t="str">
        <f>IFERROR(INDEX('كشف الحساب'!$C$4:$C$204,MATCH(143,'كشف الحساب'!$P$4:$P$204,0)),"")</f>
        <v>هوز اصفر 3/4 طول 50 متر</v>
      </c>
      <c r="D148" s="123">
        <f>IFERROR(INDEX('كشف الحساب'!$E$4:$E$204,MATCH(143,'كشف الحساب'!$P$4:$P$204,0)),"")</f>
        <v>0</v>
      </c>
      <c r="E148" s="124">
        <f>IFERROR(INDEX('كشف الحساب'!$D$4:$D$204,MATCH(143,'كشف الحساب'!$P$4:$P$204,0)),"")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الحساب'!$A$4:$A$204,MATCH(144,'كشف الحساب'!$P$4:$P$204,0)),"")</f>
        <v>46254</v>
      </c>
      <c r="B149" s="122" t="str">
        <f>IFERROR(INDEX('كشف الحساب'!$B$4:$B$204,MATCH(144,'كشف الحساب'!$P$4:$P$204,0)),"")</f>
        <v>Inv-125</v>
      </c>
      <c r="C149" s="121" t="str">
        <f>IFERROR(INDEX('كشف الحساب'!$C$4:$C$204,MATCH(144,'كشف الحساب'!$P$4:$P$204,0)),"")</f>
        <v>متنوع - تم الدفع 26/8</v>
      </c>
      <c r="D149" s="123">
        <f>IFERROR(INDEX('كشف الحساب'!$E$4:$E$204,MATCH(144,'كشف الحساب'!$P$4:$P$204,0)),"")</f>
        <v>59</v>
      </c>
      <c r="E149" s="124">
        <f>IFERROR(INDEX('كشف الحساب'!$D$4:$D$204,MATCH(144,'كشف الحساب'!$P$4:$P$204,0)),"")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الحساب'!$A$4:$A$204,MATCH(145,'كشف الحساب'!$P$4:$P$204,0)),"")</f>
        <v>46263</v>
      </c>
      <c r="B150" s="122" t="str">
        <f>IFERROR(INDEX('كشف الحساب'!$B$4:$B$204,MATCH(145,'كشف الحساب'!$P$4:$P$204,0)),"")</f>
        <v>Inv-126</v>
      </c>
      <c r="C150" s="121" t="str">
        <f>IFERROR(INDEX('كشف الحساب'!$C$4:$C$204,MATCH(145,'كشف الحساب'!$P$4:$P$204,0)),"")</f>
        <v>فاتوره لزهور التهاني</v>
      </c>
      <c r="D150" s="123">
        <f>IFERROR(INDEX('كشف الحساب'!$E$4:$E$204,MATCH(145,'كشف الحساب'!$P$4:$P$204,0)),"")</f>
        <v>400</v>
      </c>
      <c r="E150" s="124">
        <f>IFERROR(INDEX('كشف الحساب'!$D$4:$D$204,MATCH(145,'كشف الحساب'!$P$4:$P$204,0)),"")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الحساب'!$A$4:$A$204,MATCH(146,'كشف الحساب'!$P$4:$P$204,0)),"")</f>
        <v>46263</v>
      </c>
      <c r="B151" s="122">
        <f>IFERROR(INDEX('كشف الحساب'!$B$4:$B$204,MATCH(146,'كشف الحساب'!$P$4:$P$204,0)),"")</f>
        <v>0</v>
      </c>
      <c r="C151" s="121" t="str">
        <f>IFERROR(INDEX('كشف الحساب'!$C$4:$C$204,MATCH(146,'كشف الحساب'!$P$4:$P$204,0)),"")</f>
        <v>صبار عدد 15 الحبه 1</v>
      </c>
      <c r="D151" s="123">
        <f>IFERROR(INDEX('كشف الحساب'!$E$4:$E$204,MATCH(146,'كشف الحساب'!$P$4:$P$204,0)),"")</f>
        <v>0</v>
      </c>
      <c r="E151" s="124">
        <f>IFERROR(INDEX('كشف الحساب'!$D$4:$D$204,MATCH(146,'كشف الحساب'!$P$4:$P$204,0)),"")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الحساب'!$A$4:$A$204,MATCH(147,'كشف الحساب'!$P$4:$P$204,0)),"")</f>
        <v>46263</v>
      </c>
      <c r="B152" s="122">
        <f>IFERROR(INDEX('كشف الحساب'!$B$4:$B$204,MATCH(147,'كشف الحساب'!$P$4:$P$204,0)),"")</f>
        <v>0</v>
      </c>
      <c r="C152" s="121" t="str">
        <f>IFERROR(INDEX('كشف الحساب'!$C$4:$C$204,MATCH(147,'كشف الحساب'!$P$4:$P$204,0)),"")</f>
        <v>زيتون عدد 2 الحبه 12</v>
      </c>
      <c r="D152" s="123">
        <f>IFERROR(INDEX('كشف الحساب'!$E$4:$E$204,MATCH(147,'كشف الحساب'!$P$4:$P$204,0)),"")</f>
        <v>0</v>
      </c>
      <c r="E152" s="124">
        <f>IFERROR(INDEX('كشف الحساب'!$D$4:$D$204,MATCH(147,'كشف الحساب'!$P$4:$P$204,0)),"")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الحساب'!$A$4:$A$204,MATCH(148,'كشف الحساب'!$P$4:$P$204,0)),"")</f>
        <v>46264</v>
      </c>
      <c r="B153" s="122" t="str">
        <f>IFERROR(INDEX('كشف الحساب'!$B$4:$B$204,MATCH(148,'كشف الحساب'!$P$4:$P$204,0)),"")</f>
        <v>Inv-127</v>
      </c>
      <c r="C153" s="121" t="str">
        <f>IFERROR(INDEX('كشف الحساب'!$C$4:$C$204,MATCH(148,'كشف الحساب'!$P$4:$P$204,0)),"")</f>
        <v>اناناس عدد 4 الواحده 4</v>
      </c>
      <c r="D153" s="123">
        <f>IFERROR(INDEX('كشف الحساب'!$E$4:$E$204,MATCH(148,'كشف الحساب'!$P$4:$P$204,0)),"")</f>
        <v>16</v>
      </c>
      <c r="E153" s="124">
        <f>IFERROR(INDEX('كشف الحساب'!$D$4:$D$204,MATCH(148,'كشف الحساب'!$P$4:$P$204,0)),"")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الحساب'!$A$4:$A$204,MATCH(149,'كشف الحساب'!$P$4:$P$204,0)),"")</f>
        <v>46264</v>
      </c>
      <c r="B154" s="122" t="str">
        <f>IFERROR(INDEX('كشف الحساب'!$B$4:$B$204,MATCH(149,'كشف الحساب'!$P$4:$P$204,0)),"")</f>
        <v>Inv-128</v>
      </c>
      <c r="C154" s="121" t="str">
        <f>IFERROR(INDEX('كشف الحساب'!$C$4:$C$204,MATCH(149,'كشف الحساب'!$P$4:$P$204,0)),"")</f>
        <v>ربل عدد 6 الحبه 2.500</v>
      </c>
      <c r="D154" s="123">
        <f>IFERROR(INDEX('كشف الحساب'!$E$4:$E$204,MATCH(149,'كشف الحساب'!$P$4:$P$204,0)),"")</f>
        <v>15</v>
      </c>
      <c r="E154" s="124">
        <f>IFERROR(INDEX('كشف الحساب'!$D$4:$D$204,MATCH(149,'كشف الحساب'!$P$4:$P$204,0)),"")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الحساب'!$A$4:$A$204,MATCH(150,'كشف الحساب'!$P$4:$P$204,0)),"")</f>
        <v>46264</v>
      </c>
      <c r="B155" s="122" t="str">
        <f>IFERROR(INDEX('كشف الحساب'!$B$4:$B$204,MATCH(150,'كشف الحساب'!$P$4:$P$204,0)),"")</f>
        <v>Inv-129</v>
      </c>
      <c r="C155" s="121" t="str">
        <f>IFERROR(INDEX('كشف الحساب'!$C$4:$C$204,MATCH(150,'كشف الحساب'!$P$4:$P$204,0)),"")</f>
        <v>متنوع عدد 17 الحبه 1</v>
      </c>
      <c r="D155" s="123">
        <f>IFERROR(INDEX('كشف الحساب'!$E$4:$E$204,MATCH(150,'كشف الحساب'!$P$4:$P$204,0)),"")</f>
        <v>17</v>
      </c>
      <c r="E155" s="124">
        <f>IFERROR(INDEX('كشف الحساب'!$D$4:$D$204,MATCH(150,'كشف الحساب'!$P$4:$P$204,0)),"")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الحساب'!$A$4:$A$204,MATCH(151,'كشف الحساب'!$P$4:$P$204,0)),"")</f>
        <v>46264</v>
      </c>
      <c r="B156" s="122" t="str">
        <f>IFERROR(INDEX('كشف الحساب'!$B$4:$B$204,MATCH(151,'كشف الحساب'!$P$4:$P$204,0)),"")</f>
        <v>Inv-130</v>
      </c>
      <c r="C156" s="121" t="str">
        <f>IFERROR(INDEX('كشف الحساب'!$C$4:$C$204,MATCH(151,'كشف الحساب'!$P$4:$P$204,0)),"")</f>
        <v>صبار عدد 13 الحبه 0.750</v>
      </c>
      <c r="D156" s="123">
        <f>IFERROR(INDEX('كشف الحساب'!$E$4:$E$204,MATCH(151,'كشف الحساب'!$P$4:$P$204,0)),"")</f>
        <v>9.75</v>
      </c>
      <c r="E156" s="124">
        <f>IFERROR(INDEX('كشف الحساب'!$D$4:$D$204,MATCH(151,'كشف الحساب'!$P$4:$P$204,0)),"")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الحساب'!$A$4:$A$204,MATCH(152,'كشف الحساب'!$P$4:$P$204,0)),"")</f>
        <v>46264</v>
      </c>
      <c r="B157" s="122" t="str">
        <f>IFERROR(INDEX('كشف الحساب'!$B$4:$B$204,MATCH(152,'كشف الحساب'!$P$4:$P$204,0)),"")</f>
        <v>Inv-131</v>
      </c>
      <c r="C157" s="121" t="str">
        <f>IFERROR(INDEX('كشف الحساب'!$C$4:$C$204,MATCH(152,'كشف الحساب'!$P$4:$P$204,0)),"")</f>
        <v>تين عدد5 الحبه 1.500</v>
      </c>
      <c r="D157" s="123">
        <f>IFERROR(INDEX('كشف الحساب'!$E$4:$E$204,MATCH(152,'كشف الحساب'!$P$4:$P$204,0)),"")</f>
        <v>7.5</v>
      </c>
      <c r="E157" s="124">
        <f>IFERROR(INDEX('كشف الحساب'!$D$4:$D$204,MATCH(152,'كشف الحساب'!$P$4:$P$204,0)),"")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الحساب'!$A$4:$A$204,MATCH(153,'كشف الحساب'!$P$4:$P$204,0)),"")</f>
        <v>46264</v>
      </c>
      <c r="B158" s="122">
        <f>IFERROR(INDEX('كشف الحساب'!$B$4:$B$204,MATCH(153,'كشف الحساب'!$P$4:$P$204,0)),"")</f>
        <v>0</v>
      </c>
      <c r="C158" s="121" t="str">
        <f>IFERROR(INDEX('كشف الحساب'!$C$4:$C$204,MATCH(153,'كشف الحساب'!$P$4:$P$204,0)),"")</f>
        <v>أقامه نزمول 3 سنوات</v>
      </c>
      <c r="D158" s="123">
        <f>IFERROR(INDEX('كشف الحساب'!$E$4:$E$204,MATCH(153,'كشف الحساب'!$P$4:$P$204,0)),"")</f>
        <v>0</v>
      </c>
      <c r="E158" s="124">
        <f>IFERROR(INDEX('كشف الحساب'!$D$4:$D$204,MATCH(153,'كشف الحساب'!$P$4:$P$204,0)),"")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الحساب'!$A$4:$A$204,MATCH(154,'كشف الحساب'!$P$4:$P$204,0)),"")</f>
        <v>46265</v>
      </c>
      <c r="B159" s="122">
        <f>IFERROR(INDEX('كشف الحساب'!$B$4:$B$204,MATCH(154,'كشف الحساب'!$P$4:$P$204,0)),"")</f>
        <v>0</v>
      </c>
      <c r="C159" s="121" t="str">
        <f>IFERROR(INDEX('كشف الحساب'!$C$4:$C$204,MATCH(154,'كشف الحساب'!$P$4:$P$204,0)),"")</f>
        <v>رواتب + كهرباء وماء</v>
      </c>
      <c r="D159" s="123">
        <f>IFERROR(INDEX('كشف الحساب'!$E$4:$E$204,MATCH(154,'كشف الحساب'!$P$4:$P$204,0)),"")</f>
        <v>0</v>
      </c>
      <c r="E159" s="124">
        <f>IFERROR(INDEX('كشف الحساب'!$D$4:$D$204,MATCH(154,'كشف الحساب'!$P$4:$P$204,0)),"")</f>
        <v>470</v>
      </c>
      <c r="F159" s="125">
        <f t="shared" si="4"/>
        <v>97.94500000000005</v>
      </c>
    </row>
    <row r="160" spans="1:6" ht="18" customHeight="1" x14ac:dyDescent="0.25">
      <c r="A160" s="142" t="str">
        <f>IFERROR(INDEX('كشف الحساب'!$A$4:$A$204,MATCH(155,'كشف الحساب'!$P$4:$P$204,0)),"")</f>
        <v/>
      </c>
      <c r="B160" s="122" t="str">
        <f>IFERROR(INDEX('كشف الحساب'!$B$4:$B$204,MATCH(155,'كشف الحساب'!$P$4:$P$204,0)),"")</f>
        <v/>
      </c>
      <c r="C160" s="121" t="str">
        <f>IFERROR(INDEX('كشف الحساب'!$C$4:$C$204,MATCH(155,'كشف الحساب'!$P$4:$P$204,0)),"")</f>
        <v/>
      </c>
      <c r="D160" s="123" t="str">
        <f>IFERROR(INDEX('كشف الحساب'!$E$4:$E$204,MATCH(155,'كشف الحساب'!$P$4:$P$204,0)),"")</f>
        <v/>
      </c>
      <c r="E160" s="124" t="str">
        <f>IFERROR(INDEX('كشف الحساب'!$D$4:$D$204,MATCH(155,'كشف الحساب'!$P$4:$P$204,0)),"")</f>
        <v/>
      </c>
      <c r="F160" s="125" t="str">
        <f t="shared" si="4"/>
        <v/>
      </c>
    </row>
    <row r="161" spans="1:6" ht="18" customHeight="1" x14ac:dyDescent="0.25">
      <c r="A161" s="142" t="str">
        <f>IFERROR(INDEX('كشف الحساب'!$A$4:$A$204,MATCH(156,'كشف الحساب'!$P$4:$P$204,0)),"")</f>
        <v/>
      </c>
      <c r="B161" s="122" t="str">
        <f>IFERROR(INDEX('كشف الحساب'!$B$4:$B$204,MATCH(156,'كشف الحساب'!$P$4:$P$204,0)),"")</f>
        <v/>
      </c>
      <c r="C161" s="121" t="str">
        <f>IFERROR(INDEX('كشف الحساب'!$C$4:$C$204,MATCH(156,'كشف الحساب'!$P$4:$P$204,0)),"")</f>
        <v/>
      </c>
      <c r="D161" s="123" t="str">
        <f>IFERROR(INDEX('كشف الحساب'!$E$4:$E$204,MATCH(156,'كشف الحساب'!$P$4:$P$204,0)),"")</f>
        <v/>
      </c>
      <c r="E161" s="124" t="str">
        <f>IFERROR(INDEX('كشف الحساب'!$D$4:$D$204,MATCH(156,'كشف الحساب'!$P$4:$P$204,0)),"")</f>
        <v/>
      </c>
      <c r="F161" s="125" t="str">
        <f t="shared" si="4"/>
        <v/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1751.69</v>
      </c>
      <c r="E206" s="129">
        <f>SUM(E6:E205)</f>
        <v>1653.7449999999999</v>
      </c>
      <c r="F206" s="130">
        <f>IFERROR(LOOKUP(2,1/($F$6:$F$205&lt;&gt;""),$F$6:$F$205),0)</f>
        <v>97.94500000000005</v>
      </c>
    </row>
    <row r="208" spans="1:6" ht="18" customHeight="1" x14ac:dyDescent="0.25">
      <c r="A208" s="149" t="s">
        <v>10</v>
      </c>
      <c r="B208" s="150"/>
      <c r="C208" s="150"/>
      <c r="D208" s="150"/>
      <c r="E208" s="150"/>
      <c r="F208" s="151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>
        <f>IFERROR(INDEX('كشف الحساب'!$A$4:$A$204,MATCH(12,'كشف الحساب'!$Q$4:$Q$204,0)),"")</f>
        <v>46232</v>
      </c>
      <c r="B221" s="133">
        <f>IFERROR(INDEX('كشف الحساب'!$B$4:$B$204,MATCH(12,'كشف الحساب'!$Q$4:$Q$204,0)),"")</f>
        <v>0</v>
      </c>
      <c r="C221" s="132" t="str">
        <f>IFERROR(INDEX('كشف الحساب'!$C$4:$C$204,MATCH(12,'كشف الحساب'!$Q$4:$Q$204,0)),"")</f>
        <v>عدد 3 عماله + 10 ايام العامل البديل 40 دينار +50 كهرباء (تم دفه 99 من المحفظه)</v>
      </c>
      <c r="D221" s="134">
        <f>IFERROR(INDEX('كشف الحساب'!$D$4:$D$204,MATCH(12,'كشف الحساب'!$Q$4:$Q$204,0)),"")</f>
        <v>205.5</v>
      </c>
      <c r="E221" s="135" t="str">
        <f>IFERROR(INDEX('كشف الحساب'!$G$4:$G$204,MATCH(12,'كشف الحساب'!$Q$4:$Q$204,0)),"")</f>
        <v>أبو آدم</v>
      </c>
      <c r="F221" s="132"/>
    </row>
    <row r="222" spans="1:6" ht="18" customHeight="1" x14ac:dyDescent="0.25">
      <c r="A222" s="143">
        <f>IFERROR(INDEX('كشف الحساب'!$A$4:$A$204,MATCH(13,'كشف الحساب'!$Q$4:$Q$204,0)),"")</f>
        <v>46232</v>
      </c>
      <c r="B222" s="133">
        <f>IFERROR(INDEX('كشف الحساب'!$B$4:$B$204,MATCH(13,'كشف الحساب'!$Q$4:$Q$204,0)),"")</f>
        <v>0</v>
      </c>
      <c r="C222" s="132" t="str">
        <f>IFERROR(INDEX('كشف الحساب'!$C$4:$C$204,MATCH(13,'كشف الحساب'!$Q$4:$Q$204,0)),"")</f>
        <v>عدد 3 عماله + 10 ايام العامل البديل 40 دينار +50 كهرباء (تم دفه 99 من المحفظه)</v>
      </c>
      <c r="D222" s="134">
        <f>IFERROR(INDEX('كشف الحساب'!$D$4:$D$204,MATCH(13,'كشف الحساب'!$Q$4:$Q$204,0)),"")</f>
        <v>205.5</v>
      </c>
      <c r="E222" s="135" t="str">
        <f>IFERROR(INDEX('كشف الحساب'!$G$4:$G$204,MATCH(13,'كشف الحساب'!$Q$4:$Q$204,0)),"")</f>
        <v>أبو اسحاق</v>
      </c>
      <c r="F222" s="132"/>
    </row>
    <row r="223" spans="1:6" ht="18" customHeight="1" x14ac:dyDescent="0.25">
      <c r="A223" s="143">
        <f>IFERROR(INDEX('كشف الحساب'!$A$4:$A$204,MATCH(14,'كشف الحساب'!$Q$4:$Q$204,0)),"")</f>
        <v>46235</v>
      </c>
      <c r="B223" s="133">
        <f>IFERROR(INDEX('كشف الحساب'!$B$4:$B$204,MATCH(14,'كشف الحساب'!$Q$4:$Q$204,0)),"")</f>
        <v>0</v>
      </c>
      <c r="C223" s="132" t="str">
        <f>IFERROR(INDEX('كشف الحساب'!$C$4:$C$204,MATCH(14,'كشف الحساب'!$Q$4:$Q$204,0)),"")</f>
        <v>احواض عدد 3500 مقاس 25 سم</v>
      </c>
      <c r="D223" s="134">
        <f>IFERROR(INDEX('كشف الحساب'!$D$4:$D$204,MATCH(14,'كشف الحساب'!$Q$4:$Q$204,0)),"")</f>
        <v>280</v>
      </c>
      <c r="E223" s="135" t="str">
        <f>IFERROR(INDEX('كشف الحساب'!$G$4:$G$204,MATCH(14,'كشف الحساب'!$Q$4:$Q$204,0)),"")</f>
        <v>أبو آدم</v>
      </c>
      <c r="F223" s="132"/>
    </row>
    <row r="224" spans="1:6" ht="18" customHeight="1" x14ac:dyDescent="0.25">
      <c r="A224" s="143">
        <f>IFERROR(INDEX('كشف الحساب'!$A$4:$A$204,MATCH(15,'كشف الحساب'!$Q$4:$Q$204,0)),"")</f>
        <v>46238</v>
      </c>
      <c r="B224" s="133">
        <f>IFERROR(INDEX('كشف الحساب'!$B$4:$B$204,MATCH(15,'كشف الحساب'!$Q$4:$Q$204,0)),"")</f>
        <v>0</v>
      </c>
      <c r="C224" s="132" t="str">
        <f>IFERROR(INDEX('كشف الحساب'!$C$4:$C$204,MATCH(15,'كشف الحساب'!$Q$4:$Q$204,0)),"")</f>
        <v>حديد كحميه 2</v>
      </c>
      <c r="D224" s="134">
        <f>IFERROR(INDEX('كشف الحساب'!$D$4:$D$204,MATCH(15,'كشف الحساب'!$Q$4:$Q$204,0)),"")</f>
        <v>68</v>
      </c>
      <c r="E224" s="135" t="str">
        <f>IFERROR(INDEX('كشف الحساب'!$G$4:$G$204,MATCH(15,'كشف الحساب'!$Q$4:$Q$204,0)),"")</f>
        <v>أبو اسحاق</v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66" activePane="bottomLeft" state="frozen"/>
      <selection pane="bottomLeft" activeCell="H178" sqref="H178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2" t="s">
        <v>16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</row>
    <row r="2" spans="1:17" ht="24" customHeight="1" x14ac:dyDescent="0.25">
      <c r="A2" s="159" t="s">
        <v>17</v>
      </c>
      <c r="B2" s="157"/>
      <c r="C2" s="157"/>
      <c r="D2" s="1">
        <v>0</v>
      </c>
      <c r="E2" s="160" t="s">
        <v>18</v>
      </c>
      <c r="F2" s="161"/>
      <c r="G2" s="161"/>
      <c r="H2" s="161"/>
      <c r="I2" s="161"/>
      <c r="J2" s="161"/>
      <c r="K2" s="161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IFERROR(IF(J176="",D2,J176),D2)+IF(E177="",0,E177)-IF(OR(G177="أبو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IFERROR(IF(J177="",D2,J177),D2)+IF(E178="",0,E178)-IF(OR(G178="أبو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25"/>
      <c r="B179" s="26"/>
      <c r="C179" s="27"/>
      <c r="D179" s="28"/>
      <c r="E179" s="29"/>
      <c r="F179" s="30"/>
      <c r="G179" s="31"/>
      <c r="H179" s="32"/>
      <c r="I179" s="33"/>
      <c r="J179" s="3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  <c r="P179" t="str">
        <f>IF(OR($A179="",$F179="أحد الشركاء",AND($D179="",$E179="")),"",SUMPRODUCT(($A$4:$A179&lt;&gt;"")*($F$4:$F179&lt;&gt;"أحد الشركاء")*((($D$4:$D179&lt;&gt;"")+($E$4:$E179&lt;&gt;""))&gt;0)))</f>
        <v/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39"/>
      <c r="B180" s="36"/>
      <c r="C180" s="37"/>
      <c r="D180" s="38"/>
      <c r="E180" s="39"/>
      <c r="F180" s="136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  <c r="P180" t="str">
        <f>IF(OR($A180="",$F180="أحد الشركاء",AND($D180="",$E180="")),"",SUMPRODUCT(($A$4:$A180&lt;&gt;"")*($F$4:$F180&lt;&gt;"أحد الشركاء")*((($D$4:$D180&lt;&gt;"")+($E$4:$E180&lt;&gt;""))&gt;0)))</f>
        <v/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3"/>
      <c r="B204" s="157"/>
      <c r="C204" s="158"/>
      <c r="D204" s="38"/>
      <c r="E204" s="39"/>
      <c r="F204" s="156"/>
      <c r="G204" s="157"/>
      <c r="H204" s="158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3435.2450000000003</v>
      </c>
      <c r="E205" s="46">
        <f>SUM(E4:E203)</f>
        <v>1751.69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4" t="s">
        <v>220</v>
      </c>
      <c r="B1" s="157"/>
      <c r="C1" s="157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6" t="s">
        <v>236</v>
      </c>
      <c r="B1" s="157"/>
    </row>
    <row r="2" spans="1:2" ht="21.75" customHeight="1" x14ac:dyDescent="0.25">
      <c r="A2" s="165" t="s">
        <v>237</v>
      </c>
      <c r="B2" s="157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5" t="s">
        <v>242</v>
      </c>
      <c r="B5" s="157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5" t="s">
        <v>251</v>
      </c>
      <c r="B11" s="157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2" t="s">
        <v>16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</row>
    <row r="2" spans="1:11" ht="24" customHeight="1" x14ac:dyDescent="0.25">
      <c r="A2" s="167"/>
      <c r="B2" s="157"/>
      <c r="C2" s="56" t="s">
        <v>342</v>
      </c>
      <c r="D2" s="167">
        <v>2026</v>
      </c>
      <c r="E2" s="157"/>
      <c r="F2" s="56" t="s">
        <v>256</v>
      </c>
      <c r="G2" s="170" t="s">
        <v>257</v>
      </c>
      <c r="H2" s="161"/>
      <c r="I2" s="161"/>
      <c r="J2" s="161"/>
      <c r="K2" s="161"/>
    </row>
    <row r="3" spans="1:11" ht="19.5" customHeight="1" x14ac:dyDescent="0.25">
      <c r="A3" s="171" t="s">
        <v>258</v>
      </c>
      <c r="B3" s="157"/>
      <c r="C3" s="157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46235</v>
      </c>
      <c r="B5" s="59" t="str">
        <f>IFERROR(IF(IFERROR(MATCH(1,'كشف الحساب'!$N$4:$N$203,0),0)=0,"",INDEX('كشف الحساب'!$B$4:$B$203,IFERROR(MATCH(1,'كشف الحساب'!$N$4:$N$203,0),0))),"")</f>
        <v>Inv-106</v>
      </c>
      <c r="C5" s="37" t="str">
        <f>IFERROR(IF(IFERROR(MATCH(1,'كشف الحساب'!$N$4:$N$203,0),0)=0,"",INDEX('كشف الحساب'!$C$4:$C$203,IFERROR(MATCH(1,'كشف الحساب'!$N$4:$N$203,0),0))),"")</f>
        <v>ربل عدد 11 الحبه 2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22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44.39500000000001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46235</v>
      </c>
      <c r="B6" s="61" t="str">
        <f>IFERROR(IF(IFERROR(MATCH(2,'كشف الحساب'!$N$4:$N$203,0),0)=0,"",INDEX('كشف الحساب'!$B$4:$B$203,IFERROR(MATCH(2,'كشف الحساب'!$N$4:$N$203,0),0))),"")</f>
        <v>Inv-107</v>
      </c>
      <c r="C6" s="27" t="str">
        <f>IFERROR(IF(IFERROR(MATCH(2,'كشف الحساب'!$N$4:$N$203,0),0)=0,"",INDEX('كشف الحساب'!$C$4:$C$203,IFERROR(MATCH(2,'كشف الحساب'!$N$4:$N$203,0),0))),"")</f>
        <v>متنوع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46.89500000000001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46235</v>
      </c>
      <c r="B7" s="59" t="str">
        <f>IFERROR(IF(IFERROR(MATCH(3,'كشف الحساب'!$N$4:$N$203,0),0)=0,"",INDEX('كشف الحساب'!$B$4:$B$203,IFERROR(MATCH(3,'كشف الحساب'!$N$4:$N$203,0),0))),"")</f>
        <v>Inv-108</v>
      </c>
      <c r="C7" s="37" t="str">
        <f>IFERROR(IF(IFERROR(MATCH(3,'كشف الحساب'!$N$4:$N$203,0),0)=0,"",INDEX('كشف الحساب'!$C$4:$C$203,IFERROR(MATCH(3,'كشف الحساب'!$N$4:$N$203,0),0))),"")</f>
        <v>فل عدد 1 بقيمه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0.75</v>
      </c>
      <c r="F7" s="59" t="str">
        <f>IFERROR(IF(IFERROR(MATCH(3,'كشف الحساب'!$N$4:$N$203,0),0)=0,"",INDEX('كشف الحساب'!$F$4:$F$203,IFERROR(MATCH(3,'كشف الحساب'!$N$4:$N$203,0),0))),"")</f>
        <v>أون لاين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47.64500000000001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46235</v>
      </c>
      <c r="B8" s="61">
        <f>IFERROR(IF(IFERROR(MATCH(4,'كشف الحساب'!$N$4:$N$203,0),0)=0,"",INDEX('كشف الحساب'!$B$4:$B$203,IFERROR(MATCH(4,'كشف الحساب'!$N$4:$N$203,0),0))),"")</f>
        <v>0</v>
      </c>
      <c r="C8" s="27" t="str">
        <f>IFERROR(IF(IFERROR(MATCH(4,'كشف الحساب'!$N$4:$N$203,0),0)=0,"",INDEX('كشف الحساب'!$C$4:$C$203,IFERROR(MATCH(4,'كشف الحساب'!$N$4:$N$203,0),0))),"")</f>
        <v>بتموس عدد 2 الواحده 12</v>
      </c>
      <c r="D8" s="28">
        <f>IFERROR(IF(IFERROR(MATCH(4,'كشف الحساب'!$N$4:$N$203,0),0)=0,"",INDEX('كشف الحساب'!$D$4:$D$203,IFERROR(MATCH(4,'كشف الحساب'!$N$4:$N$203,0),0))),"")</f>
        <v>24</v>
      </c>
      <c r="E8" s="62">
        <f>IFERROR(IF(IFERROR(MATCH(4,'كشف الحساب'!$N$4:$N$203,0),0)=0,"",INDEX('كشف الحساب'!$E$4:$E$203,IFERROR(MATCH(4,'كشف الحساب'!$N$4:$N$203,0),0))),"")</f>
        <v>0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 t="str">
        <f>IFERROR(IF(IFERROR(MATCH(4,'كشف الحساب'!$N$4:$N$203,0),0)=0,"",INDEX('كشف الحساب'!$G$4:$G$203,IFERROR(MATCH(4,'كشف الحساب'!$N$4:$N$203,0),0))),"")</f>
        <v>المحفظة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23.64500000000001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46239</v>
      </c>
      <c r="B9" s="59" t="str">
        <f>IFERROR(IF(IFERROR(MATCH(5,'كشف الحساب'!$N$4:$N$203,0),0)=0,"",INDEX('كشف الحساب'!$B$4:$B$203,IFERROR(MATCH(5,'كشف الحساب'!$N$4:$N$203,0),0))),"")</f>
        <v>Inv-109</v>
      </c>
      <c r="C9" s="37" t="str">
        <f>IFERROR(IF(IFERROR(MATCH(5,'كشف الحساب'!$N$4:$N$203,0),0)=0,"",INDEX('كشف الحساب'!$C$4:$C$203,IFERROR(MATCH(5,'كشف الحساب'!$N$4:$N$203,0),0))),"")</f>
        <v>متنوع عدد 1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24.64500000000001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46240</v>
      </c>
      <c r="B10" s="61" t="str">
        <f>IFERROR(IF(IFERROR(MATCH(6,'كشف الحساب'!$N$4:$N$203,0),0)=0,"",INDEX('كشف الحساب'!$B$4:$B$203,IFERROR(MATCH(6,'كشف الحساب'!$N$4:$N$203,0),0))),"")</f>
        <v>Inv-110</v>
      </c>
      <c r="C10" s="27" t="str">
        <f>IFERROR(IF(IFERROR(MATCH(6,'كشف الحساب'!$N$4:$N$203,0),0)=0,"",INDEX('كشف الحساب'!$C$4:$C$203,IFERROR(MATCH(6,'كشف الحساب'!$N$4:$N$203,0),0))),"")</f>
        <v>متنوع عدد10 الحبه 1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10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34.64500000000001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46240</v>
      </c>
      <c r="B11" s="59" t="str">
        <f>IFERROR(IF(IFERROR(MATCH(7,'كشف الحساب'!$N$4:$N$203,0),0)=0,"",INDEX('كشف الحساب'!$B$4:$B$203,IFERROR(MATCH(7,'كشف الحساب'!$N$4:$N$203,0),0))),"")</f>
        <v>Inv-111</v>
      </c>
      <c r="C11" s="37" t="str">
        <f>IFERROR(IF(IFERROR(MATCH(7,'كشف الحساب'!$N$4:$N$203,0),0)=0,"",INDEX('كشف الحساب'!$C$4:$C$203,IFERROR(MATCH(7,'كشف الحساب'!$N$4:$N$203,0),0))),"")</f>
        <v>متنوع 6 عدد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6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40.64500000000001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46240</v>
      </c>
      <c r="B12" s="61" t="str">
        <f>IFERROR(IF(IFERROR(MATCH(8,'كشف الحساب'!$N$4:$N$203,0),0)=0,"",INDEX('كشف الحساب'!$B$4:$B$203,IFERROR(MATCH(8,'كشف الحساب'!$N$4:$N$203,0),0))),"")</f>
        <v>Inv-112</v>
      </c>
      <c r="C12" s="27" t="str">
        <f>IFERROR(IF(IFERROR(MATCH(8,'كشف الحساب'!$N$4:$N$203,0),0)=0,"",INDEX('كشف الحساب'!$C$4:$C$203,IFERROR(MATCH(8,'كشف الحساب'!$N$4:$N$203,0),0))),"")</f>
        <v>ربل عدد 15 الحبه2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29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69.64500000000001</v>
      </c>
      <c r="K12" s="61" t="str">
        <f>IFERROR(IF(IFERROR(MATCH(8,'كشف الحساب'!$N$4:$N$203,0),0)=0,"",INDEX('كشف الحساب'!$K$4:$K$203,IFERROR(MATCH(8,'كشف الحساب'!$N$4:$N$203,0),0))),"")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46240</v>
      </c>
      <c r="B13" s="59">
        <f>IFERROR(IF(IFERROR(MATCH(9,'كشف الحساب'!$N$4:$N$203,0),0)=0,"",INDEX('كشف الحساب'!$B$4:$B$203,IFERROR(MATCH(9,'كشف الحساب'!$N$4:$N$203,0),0))),"")</f>
        <v>0</v>
      </c>
      <c r="C13" s="37" t="str">
        <f>IFERROR(IF(IFERROR(MATCH(9,'كشف الحساب'!$N$4:$N$203,0),0)=0,"",INDEX('كشف الحساب'!$C$4:$C$203,IFERROR(MATCH(9,'كشف الحساب'!$N$4:$N$203,0),0))),"")</f>
        <v>كيميكل للمعالج</v>
      </c>
      <c r="D13" s="38">
        <f>IFERROR(IF(IFERROR(MATCH(9,'كشف الحساب'!$N$4:$N$203,0),0)=0,"",INDEX('كشف الحساب'!$D$4:$D$203,IFERROR(MATCH(9,'كشف الحساب'!$N$4:$N$203,0),0))),"")</f>
        <v>29</v>
      </c>
      <c r="E13" s="60">
        <f>IFERROR(IF(IFERROR(MATCH(9,'كشف الحساب'!$N$4:$N$203,0),0)=0,"",INDEX('كشف الحساب'!$E$4:$E$203,IFERROR(MATCH(9,'كشف الحساب'!$N$4:$N$203,0),0))),"")</f>
        <v>0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 t="str">
        <f>IFERROR(IF(IFERROR(MATCH(9,'كشف الحساب'!$N$4:$N$203,0),0)=0,"",INDEX('كشف الحساب'!$G$4:$G$203,IFERROR(MATCH(9,'كشف الحساب'!$N$4:$N$203,0),0))),"")</f>
        <v>المحفظة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40.64500000000001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46240</v>
      </c>
      <c r="B14" s="61">
        <f>IFERROR(IF(IFERROR(MATCH(10,'كشف الحساب'!$N$4:$N$203,0),0)=0,"",INDEX('كشف الحساب'!$B$4:$B$203,IFERROR(MATCH(10,'كشف الحساب'!$N$4:$N$203,0),0))),"")</f>
        <v>0</v>
      </c>
      <c r="C14" s="27" t="str">
        <f>IFERROR(IF(IFERROR(MATCH(10,'كشف الحساب'!$N$4:$N$203,0),0)=0,"",INDEX('كشف الحساب'!$C$4:$C$203,IFERROR(MATCH(10,'كشف الحساب'!$N$4:$N$203,0),0))),"")</f>
        <v>ترمستات الثلاجه الكبيره</v>
      </c>
      <c r="D14" s="28">
        <f>IFERROR(IF(IFERROR(MATCH(10,'كشف الحساب'!$N$4:$N$203,0),0)=0,"",INDEX('كشف الحساب'!$D$4:$D$203,IFERROR(MATCH(10,'كشف الحساب'!$N$4:$N$203,0),0))),"")</f>
        <v>5.75</v>
      </c>
      <c r="E14" s="62">
        <f>IFERROR(IF(IFERROR(MATCH(10,'كشف الحساب'!$N$4:$N$203,0),0)=0,"",INDEX('كشف الحساب'!$E$4:$E$203,IFERROR(MATCH(10,'كشف الحساب'!$N$4:$N$203,0),0))),"")</f>
        <v>0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 t="str">
        <f>IFERROR(IF(IFERROR(MATCH(10,'كشف الحساب'!$N$4:$N$203,0),0)=0,"",INDEX('كشف الحساب'!$G$4:$G$203,IFERROR(MATCH(10,'كشف الحساب'!$N$4:$N$203,0),0))),"")</f>
        <v>المحفظة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34.89500000000001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46244</v>
      </c>
      <c r="B15" s="59" t="str">
        <f>IFERROR(IF(IFERROR(MATCH(11,'كشف الحساب'!$N$4:$N$203,0),0)=0,"",INDEX('كشف الحساب'!$B$4:$B$203,IFERROR(MATCH(11,'كشف الحساب'!$N$4:$N$203,0),0))),"")</f>
        <v>Inv-113</v>
      </c>
      <c r="C15" s="37" t="str">
        <f>IFERROR(IF(IFERROR(MATCH(11,'كشف الحساب'!$N$4:$N$203,0),0)=0,"",INDEX('كشف الحساب'!$C$4:$C$203,IFERROR(MATCH(11,'كشف الحساب'!$N$4:$N$203,0),0))),"")</f>
        <v>ربل  عدد 40 الحبه 2.250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90</v>
      </c>
      <c r="F15" s="59" t="str">
        <f>IFERROR(IF(IFERROR(MATCH(11,'كشف الحساب'!$N$4:$N$203,0),0)=0,"",INDEX('كشف الحساب'!$F$4:$F$203,IFERROR(MATCH(11,'كشف الحساب'!$N$4:$N$203,0),0))),"")</f>
        <v>نقداً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124.89500000000001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46244</v>
      </c>
      <c r="B16" s="61" t="str">
        <f>IFERROR(IF(IFERROR(MATCH(12,'كشف الحساب'!$N$4:$N$203,0),0)=0,"",INDEX('كشف الحساب'!$B$4:$B$203,IFERROR(MATCH(12,'كشف الحساب'!$N$4:$N$203,0),0))),"")</f>
        <v>Inv-114</v>
      </c>
      <c r="C16" s="27" t="str">
        <f>IFERROR(IF(IFERROR(MATCH(12,'كشف الحساب'!$N$4:$N$203,0),0)=0,"",INDEX('كشف الحساب'!$C$4:$C$203,IFERROR(MATCH(12,'كشف الحساب'!$N$4:$N$203,0),0))),"")</f>
        <v>متنوع 8 الحبه 1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8</v>
      </c>
      <c r="F16" s="61" t="str">
        <f>IFERROR(IF(IFERROR(MATCH(12,'كشف الحساب'!$N$4:$N$203,0),0)=0,"",INDEX('كشف الحساب'!$F$4:$F$203,IFERROR(MATCH(12,'كشف الحساب'!$N$4:$N$203,0),0))),"")</f>
        <v>نقداً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132.89500000000001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46245</v>
      </c>
      <c r="B17" s="59">
        <f>IFERROR(IF(IFERROR(MATCH(13,'كشف الحساب'!$N$4:$N$203,0),0)=0,"",INDEX('كشف الحساب'!$B$4:$B$203,IFERROR(MATCH(13,'كشف الحساب'!$N$4:$N$203,0),0))),"")</f>
        <v>0</v>
      </c>
      <c r="C17" s="37" t="str">
        <f>IFERROR(IF(IFERROR(MATCH(13,'كشف الحساب'!$N$4:$N$203,0),0)=0,"",INDEX('كشف الحساب'!$C$4:$C$203,IFERROR(MATCH(13,'كشف الحساب'!$N$4:$N$203,0),0))),"")</f>
        <v>احواض معلقه + كوكوبيت</v>
      </c>
      <c r="D17" s="38">
        <f>IFERROR(IF(IFERROR(MATCH(13,'كشف الحساب'!$N$4:$N$203,0),0)=0,"",INDEX('كشف الحساب'!$D$4:$D$203,IFERROR(MATCH(13,'كشف الحساب'!$N$4:$N$203,0),0))),"")</f>
        <v>55</v>
      </c>
      <c r="E17" s="60">
        <f>IFERROR(IF(IFERROR(MATCH(13,'كشف الحساب'!$N$4:$N$203,0),0)=0,"",INDEX('كشف الحساب'!$E$4:$E$203,IFERROR(MATCH(13,'كشف الحساب'!$N$4:$N$203,0),0))),"")</f>
        <v>0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 t="str">
        <f>IFERROR(IF(IFERROR(MATCH(13,'كشف الحساب'!$N$4:$N$203,0),0)=0,"",INDEX('كشف الحساب'!$G$4:$G$203,IFERROR(MATCH(13,'كشف الحساب'!$N$4:$N$203,0),0))),"")</f>
        <v>المحفظة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77.89500000000001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46245</v>
      </c>
      <c r="B18" s="61">
        <f>IFERROR(IF(IFERROR(MATCH(14,'كشف الحساب'!$N$4:$N$203,0),0)=0,"",INDEX('كشف الحساب'!$B$4:$B$203,IFERROR(MATCH(14,'كشف الحساب'!$N$4:$N$203,0),0))),"")</f>
        <v>0</v>
      </c>
      <c r="C18" s="27" t="str">
        <f>IFERROR(IF(IFERROR(MATCH(14,'كشف الحساب'!$N$4:$N$203,0),0)=0,"",INDEX('كشف الحساب'!$C$4:$C$203,IFERROR(MATCH(14,'كشف الحساب'!$N$4:$N$203,0),0))),"")</f>
        <v>15-15-15 خرماشه</v>
      </c>
      <c r="D18" s="28">
        <f>IFERROR(IF(IFERROR(MATCH(14,'كشف الحساب'!$N$4:$N$203,0),0)=0,"",INDEX('كشف الحساب'!$D$4:$D$203,IFERROR(MATCH(14,'كشف الحساب'!$N$4:$N$203,0),0))),"")</f>
        <v>7.6749999999999998</v>
      </c>
      <c r="E18" s="62">
        <f>IFERROR(IF(IFERROR(MATCH(14,'كشف الحساب'!$N$4:$N$203,0),0)=0,"",INDEX('كشف الحساب'!$E$4:$E$203,IFERROR(MATCH(14,'كشف الحساب'!$N$4:$N$203,0),0))),"")</f>
        <v>0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 t="str">
        <f>IFERROR(IF(IFERROR(MATCH(14,'كشف الحساب'!$N$4:$N$203,0),0)=0,"",INDEX('كشف الحساب'!$G$4:$G$203,IFERROR(MATCH(14,'كشف الحساب'!$N$4:$N$203,0),0))),"")</f>
        <v>المحفظة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70.220000000000013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46247</v>
      </c>
      <c r="B19" s="59">
        <f>IFERROR(IF(IFERROR(MATCH(15,'كشف الحساب'!$N$4:$N$203,0),0)=0,"",INDEX('كشف الحساب'!$B$4:$B$203,IFERROR(MATCH(15,'كشف الحساب'!$N$4:$N$203,0),0))),"")</f>
        <v>0</v>
      </c>
      <c r="C19" s="37" t="str">
        <f>IFERROR(IF(IFERROR(MATCH(15,'كشف الحساب'!$N$4:$N$203,0),0)=0,"",INDEX('كشف الحساب'!$C$4:$C$203,IFERROR(MATCH(15,'كشف الحساب'!$N$4:$N$203,0),0))),"")</f>
        <v>هرمون تدير</v>
      </c>
      <c r="D19" s="38">
        <f>IFERROR(IF(IFERROR(MATCH(15,'كشف الحساب'!$N$4:$N$203,0),0)=0,"",INDEX('كشف الحساب'!$D$4:$D$203,IFERROR(MATCH(15,'كشف الحساب'!$N$4:$N$203,0),0))),"")</f>
        <v>4</v>
      </c>
      <c r="E19" s="60">
        <f>IFERROR(IF(IFERROR(MATCH(15,'كشف الحساب'!$N$4:$N$203,0),0)=0,"",INDEX('كشف الحساب'!$E$4:$E$203,IFERROR(MATCH(15,'كشف الحساب'!$N$4:$N$203,0),0))),"")</f>
        <v>0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 t="str">
        <f>IFERROR(IF(IFERROR(MATCH(15,'كشف الحساب'!$N$4:$N$203,0),0)=0,"",INDEX('كشف الحساب'!$G$4:$G$203,IFERROR(MATCH(15,'كشف الحساب'!$N$4:$N$203,0),0))),"")</f>
        <v>المحفظة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66.220000000000013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46247</v>
      </c>
      <c r="B20" s="61">
        <f>IFERROR(IF(IFERROR(MATCH(16,'كشف الحساب'!$N$4:$N$203,0),0)=0,"",INDEX('كشف الحساب'!$B$4:$B$203,IFERROR(MATCH(16,'كشف الحساب'!$N$4:$N$203,0),0))),"")</f>
        <v>0</v>
      </c>
      <c r="C20" s="27" t="str">
        <f>IFERROR(IF(IFERROR(MATCH(16,'كشف الحساب'!$N$4:$N$203,0),0)=0,"",INDEX('كشف الحساب'!$C$4:$C$203,IFERROR(MATCH(16,'كشف الحساب'!$N$4:$N$203,0),0))),"")</f>
        <v>احواض مقاس 14 عدد 1000</v>
      </c>
      <c r="D20" s="28">
        <f>IFERROR(IF(IFERROR(MATCH(16,'كشف الحساب'!$N$4:$N$203,0),0)=0,"",INDEX('كشف الحساب'!$D$4:$D$203,IFERROR(MATCH(16,'كشف الحساب'!$N$4:$N$203,0),0))),"")</f>
        <v>20</v>
      </c>
      <c r="E20" s="62">
        <f>IFERROR(IF(IFERROR(MATCH(16,'كشف الحساب'!$N$4:$N$203,0),0)=0,"",INDEX('كشف الحساب'!$E$4:$E$203,IFERROR(MATCH(16,'كشف الحساب'!$N$4:$N$203,0),0))),"")</f>
        <v>0</v>
      </c>
      <c r="F20" s="61" t="str">
        <f>IFERROR(IF(IFERROR(MATCH(16,'كشف الحساب'!$N$4:$N$203,0),0)=0,"",INDEX('كشف الحساب'!$F$4:$F$203,IFERROR(MATCH(16,'كشف الحساب'!$N$4:$N$203,0),0))),"")</f>
        <v>نقداً</v>
      </c>
      <c r="G20" s="61" t="str">
        <f>IFERROR(IF(IFERROR(MATCH(16,'كشف الحساب'!$N$4:$N$203,0),0)=0,"",INDEX('كشف الحساب'!$G$4:$G$203,IFERROR(MATCH(16,'كشف الحساب'!$N$4:$N$203,0),0))),"")</f>
        <v>المحفظة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46.220000000000013</v>
      </c>
      <c r="K20" s="61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46247</v>
      </c>
      <c r="B21" s="59">
        <f>IFERROR(IF(IFERROR(MATCH(17,'كشف الحساب'!$N$4:$N$203,0),0)=0,"",INDEX('كشف الحساب'!$B$4:$B$203,IFERROR(MATCH(17,'كشف الحساب'!$N$4:$N$203,0),0))),"")</f>
        <v>0</v>
      </c>
      <c r="C21" s="37" t="str">
        <f>IFERROR(IF(IFERROR(MATCH(17,'كشف الحساب'!$N$4:$N$203,0),0)=0,"",INDEX('كشف الحساب'!$C$4:$C$203,IFERROR(MATCH(17,'كشف الحساب'!$N$4:$N$203,0),0))),"")</f>
        <v>وصلات</v>
      </c>
      <c r="D21" s="38">
        <f>IFERROR(IF(IFERROR(MATCH(17,'كشف الحساب'!$N$4:$N$203,0),0)=0,"",INDEX('كشف الحساب'!$D$4:$D$203,IFERROR(MATCH(17,'كشف الحساب'!$N$4:$N$203,0),0))),"")</f>
        <v>0.9</v>
      </c>
      <c r="E21" s="60">
        <f>IFERROR(IF(IFERROR(MATCH(17,'كشف الحساب'!$N$4:$N$203,0),0)=0,"",INDEX('كشف الحساب'!$E$4:$E$203,IFERROR(MATCH(17,'كشف الحساب'!$N$4:$N$203,0),0))),"")</f>
        <v>0</v>
      </c>
      <c r="F21" s="59" t="str">
        <f>IFERROR(IF(IFERROR(MATCH(17,'كشف الحساب'!$N$4:$N$203,0),0)=0,"",INDEX('كشف الحساب'!$F$4:$F$203,IFERROR(MATCH(17,'كشف الحساب'!$N$4:$N$203,0),0))),"")</f>
        <v>نقداً</v>
      </c>
      <c r="G21" s="59" t="str">
        <f>IFERROR(IF(IFERROR(MATCH(17,'كشف الحساب'!$N$4:$N$203,0),0)=0,"",INDEX('كشف الحساب'!$G$4:$G$203,IFERROR(MATCH(17,'كشف الحساب'!$N$4:$N$203,0),0))),"")</f>
        <v>المحفظة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45.320000000000014</v>
      </c>
      <c r="K21" s="59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46249</v>
      </c>
      <c r="B22" s="61">
        <f>IFERROR(IF(IFERROR(MATCH(18,'كشف الحساب'!$N$4:$N$203,0),0)=0,"",INDEX('كشف الحساب'!$B$4:$B$203,IFERROR(MATCH(18,'كشف الحساب'!$N$4:$N$203,0),0))),"")</f>
        <v>0</v>
      </c>
      <c r="C22" s="27" t="str">
        <f>IFERROR(IF(IFERROR(MATCH(18,'كشف الحساب'!$N$4:$N$203,0),0)=0,"",INDEX('كشف الحساب'!$C$4:$C$203,IFERROR(MATCH(18,'كشف الحساب'!$N$4:$N$203,0),0))),"")</f>
        <v>وصلات وحنفيه</v>
      </c>
      <c r="D22" s="28">
        <f>IFERROR(IF(IFERROR(MATCH(18,'كشف الحساب'!$N$4:$N$203,0),0)=0,"",INDEX('كشف الحساب'!$D$4:$D$203,IFERROR(MATCH(18,'كشف الحساب'!$N$4:$N$203,0),0))),"")</f>
        <v>2</v>
      </c>
      <c r="E22" s="62">
        <f>IFERROR(IF(IFERROR(MATCH(18,'كشف الحساب'!$N$4:$N$203,0),0)=0,"",INDEX('كشف الحساب'!$E$4:$E$203,IFERROR(MATCH(18,'كشف الحساب'!$N$4:$N$203,0),0))),"")</f>
        <v>0</v>
      </c>
      <c r="F22" s="61" t="str">
        <f>IFERROR(IF(IFERROR(MATCH(18,'كشف الحساب'!$N$4:$N$203,0),0)=0,"",INDEX('كشف الحساب'!$F$4:$F$203,IFERROR(MATCH(18,'كشف الحساب'!$N$4:$N$203,0),0))),"")</f>
        <v>نقداً</v>
      </c>
      <c r="G22" s="61" t="str">
        <f>IFERROR(IF(IFERROR(MATCH(18,'كشف الحساب'!$N$4:$N$203,0),0)=0,"",INDEX('كشف الحساب'!$G$4:$G$203,IFERROR(MATCH(18,'كشف الحساب'!$N$4:$N$203,0),0))),"")</f>
        <v>المحفظة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43.320000000000014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46252</v>
      </c>
      <c r="B23" s="59" t="str">
        <f>IFERROR(IF(IFERROR(MATCH(19,'كشف الحساب'!$N$4:$N$203,0),0)=0,"",INDEX('كشف الحساب'!$B$4:$B$203,IFERROR(MATCH(19,'كشف الحساب'!$N$4:$N$203,0),0))),"")</f>
        <v>Inv-115</v>
      </c>
      <c r="C23" s="37" t="str">
        <f>IFERROR(IF(IFERROR(MATCH(19,'كشف الحساب'!$N$4:$N$203,0),0)=0,"",INDEX('كشف الحساب'!$C$4:$C$203,IFERROR(MATCH(19,'كشف الحساب'!$N$4:$N$203,0),0))),"")</f>
        <v>فل عدد 14 الحبه .750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10.5</v>
      </c>
      <c r="F23" s="59" t="str">
        <f>IFERROR(IF(IFERROR(MATCH(19,'كشف الحساب'!$N$4:$N$203,0),0)=0,"",INDEX('كشف الحساب'!$F$4:$F$203,IFERROR(MATCH(19,'كشف الحساب'!$N$4:$N$203,0),0))),"")</f>
        <v>نقداً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53.820000000000014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46252</v>
      </c>
      <c r="B24" s="61" t="str">
        <f>IFERROR(IF(IFERROR(MATCH(20,'كشف الحساب'!$N$4:$N$203,0),0)=0,"",INDEX('كشف الحساب'!$B$4:$B$203,IFERROR(MATCH(20,'كشف الحساب'!$N$4:$N$203,0),0))),"")</f>
        <v>Inv-116</v>
      </c>
      <c r="C24" s="27" t="str">
        <f>IFERROR(IF(IFERROR(MATCH(20,'كشف الحساب'!$N$4:$N$203,0),0)=0,"",INDEX('كشف الحساب'!$C$4:$C$203,IFERROR(MATCH(20,'كشف الحساب'!$N$4:$N$203,0),0))),"")</f>
        <v>متنوع عدد 1 الحبه 2.500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2.5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56.320000000000014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>
        <f>IFERROR(IF(IFERROR(MATCH(21,'كشف الحساب'!$N$4:$N$203,0),0)=0,"",INDEX('كشف الحساب'!$A$4:$A$203,IFERROR(MATCH(21,'كشف الحساب'!$N$4:$N$203,0),0))),"")</f>
        <v>46258</v>
      </c>
      <c r="B25" s="59" t="str">
        <f>IFERROR(IF(IFERROR(MATCH(21,'كشف الحساب'!$N$4:$N$203,0),0)=0,"",INDEX('كشف الحساب'!$B$4:$B$203,IFERROR(MATCH(21,'كشف الحساب'!$N$4:$N$203,0),0))),"")</f>
        <v>Inv-117</v>
      </c>
      <c r="C25" s="37" t="str">
        <f>IFERROR(IF(IFERROR(MATCH(21,'كشف الحساب'!$N$4:$N$203,0),0)=0,"",INDEX('كشف الحساب'!$C$4:$C$203,IFERROR(MATCH(21,'كشف الحساب'!$N$4:$N$203,0),0))),"")</f>
        <v>ربل عدد 10 الحبه 2.250</v>
      </c>
      <c r="D25" s="38">
        <f>IFERROR(IF(IFERROR(MATCH(21,'كشف الحساب'!$N$4:$N$203,0),0)=0,"",INDEX('كشف الحساب'!$D$4:$D$203,IFERROR(MATCH(21,'كشف الحساب'!$N$4:$N$203,0),0))),"")</f>
        <v>0</v>
      </c>
      <c r="E25" s="60">
        <f>IFERROR(IF(IFERROR(MATCH(21,'كشف الحساب'!$N$4:$N$203,0),0)=0,"",INDEX('كشف الحساب'!$E$4:$E$203,IFERROR(MATCH(21,'كشف الحساب'!$N$4:$N$203,0),0))),"")</f>
        <v>22.5</v>
      </c>
      <c r="F25" s="59" t="str">
        <f>IFERROR(IF(IFERROR(MATCH(21,'كشف الحساب'!$N$4:$N$203,0),0)=0,"",INDEX('كشف الحساب'!$F$4:$F$203,IFERROR(MATCH(21,'كشف الحساب'!$N$4:$N$203,0),0))),"")</f>
        <v>نقداً</v>
      </c>
      <c r="G25" s="59">
        <f>IFERROR(IF(IFERROR(MATCH(21,'كشف الحساب'!$N$4:$N$203,0),0)=0,"",INDEX('كشف الحساب'!$G$4:$G$203,IFERROR(MATCH(21,'كشف الحساب'!$N$4:$N$203,0),0))),"")</f>
        <v>0</v>
      </c>
      <c r="H25" s="59" t="str">
        <f>IFERROR(IF(IFERROR(MATCH(21,'كشف الحساب'!$N$4:$N$203,0),0)=0,"",INDEX('كشف الحساب'!$H$4:$H$203,IFERROR(MATCH(21,'كشف الحساب'!$N$4:$N$203,0),0))),"")</f>
        <v>تم الدفع</v>
      </c>
      <c r="I25" s="59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78.820000000000022</v>
      </c>
      <c r="K25" s="59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46258</v>
      </c>
      <c r="B26" s="61" t="str">
        <f>IFERROR(IF(IFERROR(MATCH(22,'كشف الحساب'!$N$4:$N$203,0),0)=0,"",INDEX('كشف الحساب'!$B$4:$B$203,IFERROR(MATCH(22,'كشف الحساب'!$N$4:$N$203,0),0))),"")</f>
        <v>Inv-118</v>
      </c>
      <c r="C26" s="27" t="str">
        <f>IFERROR(IF(IFERROR(MATCH(22,'كشف الحساب'!$N$4:$N$203,0),0)=0,"",INDEX('كشف الحساب'!$C$4:$C$203,IFERROR(MATCH(22,'كشف الحساب'!$N$4:$N$203,0),0))),"")</f>
        <v>متنوع عدد 4 الحبه 1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2">
        <f>IFERROR(IF(IFERROR(MATCH(22,'كشف الحساب'!$N$4:$N$203,0),0)=0,"",INDEX('كشف الحساب'!$E$4:$E$203,IFERROR(MATCH(22,'كشف الحساب'!$N$4:$N$203,0),0))),"")</f>
        <v>4</v>
      </c>
      <c r="F26" s="61" t="str">
        <f>IFERROR(IF(IFERROR(MATCH(22,'كشف الحساب'!$N$4:$N$203,0),0)=0,"",INDEX('كشف الحساب'!$F$4:$F$203,IFERROR(MATCH(22,'كشف الحساب'!$N$4:$N$203,0),0))),"")</f>
        <v>نقداً</v>
      </c>
      <c r="G26" s="61">
        <f>IFERROR(IF(IFERROR(MATCH(22,'كشف الحساب'!$N$4:$N$203,0),0)=0,"",INDEX('كشف الحساب'!$G$4:$G$203,IFERROR(MATCH(22,'كشف الحساب'!$N$4:$N$203,0),0))),"")</f>
        <v>0</v>
      </c>
      <c r="H26" s="61" t="str">
        <f>IFERROR(IF(IFERROR(MATCH(22,'كشف الحساب'!$N$4:$N$203,0),0)=0,"",INDEX('كشف الحساب'!$H$4:$H$203,IFERROR(MATCH(22,'كشف الحساب'!$N$4:$N$203,0),0))),"")</f>
        <v>تم الدفع</v>
      </c>
      <c r="I26" s="61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82.820000000000022</v>
      </c>
      <c r="K26" s="61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39">
        <f>IFERROR(IF(IFERROR(MATCH(23,'كشف الحساب'!$N$4:$N$203,0),0)=0,"",INDEX('كشف الحساب'!$A$4:$A$203,IFERROR(MATCH(23,'كشف الحساب'!$N$4:$N$203,0),0))),"")</f>
        <v>46258</v>
      </c>
      <c r="B27" s="59" t="str">
        <f>IFERROR(IF(IFERROR(MATCH(23,'كشف الحساب'!$N$4:$N$203,0),0)=0,"",INDEX('كشف الحساب'!$B$4:$B$203,IFERROR(MATCH(23,'كشف الحساب'!$N$4:$N$203,0),0))),"")</f>
        <v>Inv-119</v>
      </c>
      <c r="C27" s="37" t="str">
        <f>IFERROR(IF(IFERROR(MATCH(23,'كشف الحساب'!$N$4:$N$203,0),0)=0,"",INDEX('كشف الحساب'!$C$4:$C$203,IFERROR(MATCH(23,'كشف الحساب'!$N$4:$N$203,0),0))),"")</f>
        <v>دارسينا عدد 2 الحبه 3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0">
        <f>IFERROR(IF(IFERROR(MATCH(23,'كشف الحساب'!$N$4:$N$203,0),0)=0,"",INDEX('كشف الحساب'!$E$4:$E$203,IFERROR(MATCH(23,'كشف الحساب'!$N$4:$N$203,0),0))),"")</f>
        <v>6</v>
      </c>
      <c r="F27" s="59" t="str">
        <f>IFERROR(IF(IFERROR(MATCH(23,'كشف الحساب'!$N$4:$N$203,0),0)=0,"",INDEX('كشف الحساب'!$F$4:$F$203,IFERROR(MATCH(23,'كشف الحساب'!$N$4:$N$203,0),0))),"")</f>
        <v>نقداً</v>
      </c>
      <c r="G27" s="59">
        <f>IFERROR(IF(IFERROR(MATCH(23,'كشف الحساب'!$N$4:$N$203,0),0)=0,"",INDEX('كشف الحساب'!$G$4:$G$203,IFERROR(MATCH(23,'كشف الحساب'!$N$4:$N$203,0),0))),"")</f>
        <v>0</v>
      </c>
      <c r="H27" s="59" t="str">
        <f>IFERROR(IF(IFERROR(MATCH(23,'كشف الحساب'!$N$4:$N$203,0),0)=0,"",INDEX('كشف الحساب'!$H$4:$H$203,IFERROR(MATCH(23,'كشف الحساب'!$N$4:$N$203,0),0))),"")</f>
        <v>تم الدفع</v>
      </c>
      <c r="I27" s="59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88.820000000000022</v>
      </c>
      <c r="K27" s="59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46258</v>
      </c>
      <c r="B28" s="61" t="str">
        <f>IFERROR(IF(IFERROR(MATCH(24,'كشف الحساب'!$N$4:$N$203,0),0)=0,"",INDEX('كشف الحساب'!$B$4:$B$203,IFERROR(MATCH(24,'كشف الحساب'!$N$4:$N$203,0),0))),"")</f>
        <v>Inv-120</v>
      </c>
      <c r="C28" s="27" t="str">
        <f>IFERROR(IF(IFERROR(MATCH(24,'كشف الحساب'!$N$4:$N$203,0),0)=0,"",INDEX('كشف الحساب'!$C$4:$C$203,IFERROR(MATCH(24,'كشف الحساب'!$N$4:$N$203,0),0))),"")</f>
        <v>فل عدد 2 الحبه .750</v>
      </c>
      <c r="D28" s="28">
        <f>IFERROR(IF(IFERROR(MATCH(24,'كشف الحساب'!$N$4:$N$203,0),0)=0,"",INDEX('كشف الحساب'!$D$4:$D$203,IFERROR(MATCH(24,'كشف الحساب'!$N$4:$N$203,0),0))),"")</f>
        <v>0</v>
      </c>
      <c r="E28" s="62">
        <f>IFERROR(IF(IFERROR(MATCH(24,'كشف الحساب'!$N$4:$N$203,0),0)=0,"",INDEX('كشف الحساب'!$E$4:$E$203,IFERROR(MATCH(24,'كشف الحساب'!$N$4:$N$203,0),0))),"")</f>
        <v>1.5</v>
      </c>
      <c r="F28" s="61" t="str">
        <f>IFERROR(IF(IFERROR(MATCH(24,'كشف الحساب'!$N$4:$N$203,0),0)=0,"",INDEX('كشف الحساب'!$F$4:$F$203,IFERROR(MATCH(24,'كشف الحساب'!$N$4:$N$203,0),0))),"")</f>
        <v>نقداً</v>
      </c>
      <c r="G28" s="61">
        <f>IFERROR(IF(IFERROR(MATCH(24,'كشف الحساب'!$N$4:$N$203,0),0)=0,"",INDEX('كشف الحساب'!$G$4:$G$203,IFERROR(MATCH(24,'كشف الحساب'!$N$4:$N$203,0),0))),"")</f>
        <v>0</v>
      </c>
      <c r="H28" s="61" t="str">
        <f>IFERROR(IF(IFERROR(MATCH(24,'كشف الحساب'!$N$4:$N$203,0),0)=0,"",INDEX('كشف الحساب'!$H$4:$H$203,IFERROR(MATCH(24,'كشف الحساب'!$N$4:$N$203,0),0))),"")</f>
        <v>تم الدفع</v>
      </c>
      <c r="I28" s="61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90.320000000000022</v>
      </c>
      <c r="K28" s="61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39">
        <f>IFERROR(IF(IFERROR(MATCH(25,'كشف الحساب'!$N$4:$N$203,0),0)=0,"",INDEX('كشف الحساب'!$A$4:$A$203,IFERROR(MATCH(25,'كشف الحساب'!$N$4:$N$203,0),0))),"")</f>
        <v>46235</v>
      </c>
      <c r="B29" s="59">
        <f>IFERROR(IF(IFERROR(MATCH(25,'كشف الحساب'!$N$4:$N$203,0),0)=0,"",INDEX('كشف الحساب'!$B$4:$B$203,IFERROR(MATCH(25,'كشف الحساب'!$N$4:$N$203,0),0))),"")</f>
        <v>0</v>
      </c>
      <c r="C29" s="37" t="str">
        <f>IFERROR(IF(IFERROR(MATCH(25,'كشف الحساب'!$N$4:$N$203,0),0)=0,"",INDEX('كشف الحساب'!$C$4:$C$203,IFERROR(MATCH(25,'كشف الحساب'!$N$4:$N$203,0),0))),"")</f>
        <v>احواض عدد 3500 مقاس 25 سم</v>
      </c>
      <c r="D29" s="38">
        <f>IFERROR(IF(IFERROR(MATCH(25,'كشف الحساب'!$N$4:$N$203,0),0)=0,"",INDEX('كشف الحساب'!$D$4:$D$203,IFERROR(MATCH(25,'كشف الحساب'!$N$4:$N$203,0),0))),"")</f>
        <v>280</v>
      </c>
      <c r="E29" s="60">
        <f>IFERROR(IF(IFERROR(MATCH(25,'كشف الحساب'!$N$4:$N$203,0),0)=0,"",INDEX('كشف الحساب'!$E$4:$E$203,IFERROR(MATCH(25,'كشف الحساب'!$N$4:$N$203,0),0))),"")</f>
        <v>0</v>
      </c>
      <c r="F29" s="59" t="str">
        <f>IFERROR(IF(IFERROR(MATCH(25,'كشف الحساب'!$N$4:$N$203,0),0)=0,"",INDEX('كشف الحساب'!$F$4:$F$203,IFERROR(MATCH(25,'كشف الحساب'!$N$4:$N$203,0),0))),"")</f>
        <v>أحد الشركاء</v>
      </c>
      <c r="G29" s="59" t="str">
        <f>IFERROR(IF(IFERROR(MATCH(25,'كشف الحساب'!$N$4:$N$203,0),0)=0,"",INDEX('كشف الحساب'!$G$4:$G$203,IFERROR(MATCH(25,'كشف الحساب'!$N$4:$N$203,0),0))),"")</f>
        <v>أبو آدم</v>
      </c>
      <c r="H29" s="59" t="str">
        <f>IFERROR(IF(IFERROR(MATCH(25,'كشف الحساب'!$N$4:$N$203,0),0)=0,"",INDEX('كشف الحساب'!$H$4:$H$203,IFERROR(MATCH(25,'كشف الحساب'!$N$4:$N$203,0),0))),"")</f>
        <v>تم الدفع</v>
      </c>
      <c r="I29" s="59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90.320000000000022</v>
      </c>
      <c r="K29" s="59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46238</v>
      </c>
      <c r="B30" s="61">
        <f>IFERROR(IF(IFERROR(MATCH(26,'كشف الحساب'!$N$4:$N$203,0),0)=0,"",INDEX('كشف الحساب'!$B$4:$B$203,IFERROR(MATCH(26,'كشف الحساب'!$N$4:$N$203,0),0))),"")</f>
        <v>0</v>
      </c>
      <c r="C30" s="27" t="str">
        <f>IFERROR(IF(IFERROR(MATCH(26,'كشف الحساب'!$N$4:$N$203,0),0)=0,"",INDEX('كشف الحساب'!$C$4:$C$203,IFERROR(MATCH(26,'كشف الحساب'!$N$4:$N$203,0),0))),"")</f>
        <v>حديد كحميه 2</v>
      </c>
      <c r="D30" s="28">
        <f>IFERROR(IF(IFERROR(MATCH(26,'كشف الحساب'!$N$4:$N$203,0),0)=0,"",INDEX('كشف الحساب'!$D$4:$D$203,IFERROR(MATCH(26,'كشف الحساب'!$N$4:$N$203,0),0))),"")</f>
        <v>68</v>
      </c>
      <c r="E30" s="62">
        <f>IFERROR(IF(IFERROR(MATCH(26,'كشف الحساب'!$N$4:$N$203,0),0)=0,"",INDEX('كشف الحساب'!$E$4:$E$203,IFERROR(MATCH(26,'كشف الحساب'!$N$4:$N$203,0),0))),"")</f>
        <v>0</v>
      </c>
      <c r="F30" s="61" t="str">
        <f>IFERROR(IF(IFERROR(MATCH(26,'كشف الحساب'!$N$4:$N$203,0),0)=0,"",INDEX('كشف الحساب'!$F$4:$F$203,IFERROR(MATCH(26,'كشف الحساب'!$N$4:$N$203,0),0))),"")</f>
        <v>أحد الشركاء</v>
      </c>
      <c r="G30" s="61" t="str">
        <f>IFERROR(IF(IFERROR(MATCH(26,'كشف الحساب'!$N$4:$N$203,0),0)=0,"",INDEX('كشف الحساب'!$G$4:$G$203,IFERROR(MATCH(26,'كشف الحساب'!$N$4:$N$203,0),0))),"")</f>
        <v>أبو اسحاق</v>
      </c>
      <c r="H30" s="61" t="str">
        <f>IFERROR(IF(IFERROR(MATCH(26,'كشف الحساب'!$N$4:$N$203,0),0)=0,"",INDEX('كشف الحساب'!$H$4:$H$203,IFERROR(MATCH(26,'كشف الحساب'!$N$4:$N$203,0),0))),"")</f>
        <v>تم الدفع</v>
      </c>
      <c r="I30" s="61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90.320000000000022</v>
      </c>
      <c r="K30" s="61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39">
        <f>IFERROR(IF(IFERROR(MATCH(27,'كشف الحساب'!$N$4:$N$203,0),0)=0,"",INDEX('كشف الحساب'!$A$4:$A$203,IFERROR(MATCH(27,'كشف الحساب'!$N$4:$N$203,0),0))),"")</f>
        <v>46258</v>
      </c>
      <c r="B31" s="59">
        <f>IFERROR(IF(IFERROR(MATCH(27,'كشف الحساب'!$N$4:$N$203,0),0)=0,"",INDEX('كشف الحساب'!$B$4:$B$203,IFERROR(MATCH(27,'كشف الحساب'!$N$4:$N$203,0),0))),"")</f>
        <v>0</v>
      </c>
      <c r="C31" s="37" t="str">
        <f>IFERROR(IF(IFERROR(MATCH(27,'كشف الحساب'!$N$4:$N$203,0),0)=0,"",INDEX('كشف الحساب'!$C$4:$C$203,IFERROR(MATCH(27,'كشف الحساب'!$N$4:$N$203,0),0))),"")</f>
        <v>اسمده</v>
      </c>
      <c r="D31" s="38">
        <f>IFERROR(IF(IFERROR(MATCH(27,'كشف الحساب'!$N$4:$N$203,0),0)=0,"",INDEX('كشف الحساب'!$D$4:$D$203,IFERROR(MATCH(27,'كشف الحساب'!$N$4:$N$203,0),0))),"")</f>
        <v>4.125</v>
      </c>
      <c r="E31" s="60">
        <f>IFERROR(IF(IFERROR(MATCH(27,'كشف الحساب'!$N$4:$N$203,0),0)=0,"",INDEX('كشف الحساب'!$E$4:$E$203,IFERROR(MATCH(27,'كشف الحساب'!$N$4:$N$203,0),0))),"")</f>
        <v>0</v>
      </c>
      <c r="F31" s="59" t="str">
        <f>IFERROR(IF(IFERROR(MATCH(27,'كشف الحساب'!$N$4:$N$203,0),0)=0,"",INDEX('كشف الحساب'!$F$4:$F$203,IFERROR(MATCH(27,'كشف الحساب'!$N$4:$N$203,0),0))),"")</f>
        <v>نقداً</v>
      </c>
      <c r="G31" s="59" t="str">
        <f>IFERROR(IF(IFERROR(MATCH(27,'كشف الحساب'!$N$4:$N$203,0),0)=0,"",INDEX('كشف الحساب'!$G$4:$G$203,IFERROR(MATCH(27,'كشف الحساب'!$N$4:$N$203,0),0))),"")</f>
        <v>المحفظة</v>
      </c>
      <c r="H31" s="59" t="str">
        <f>IFERROR(IF(IFERROR(MATCH(27,'كشف الحساب'!$N$4:$N$203,0),0)=0,"",INDEX('كشف الحساب'!$H$4:$H$203,IFERROR(MATCH(27,'كشف الحساب'!$N$4:$N$203,0),0))),"")</f>
        <v>تم الدفع</v>
      </c>
      <c r="I31" s="59">
        <f>IFERROR(IF(IFERROR(MATCH(27,'كشف الحساب'!$N$4:$N$203,0),0)=0,"",INDEX('كشف الحساب'!$I$4:$I$203,IFERROR(MATCH(27,'كشف الحساب'!$N$4:$N$203,0),0))),"")</f>
        <v>0</v>
      </c>
      <c r="J31" s="43">
        <f>IFERROR(IF(IFERROR(MATCH(27,'كشف الحساب'!$N$4:$N$203,0),0)=0,"",INDEX('كشف الحساب'!$J$4:$J$203,IFERROR(MATCH(27,'كشف الحساب'!$N$4:$N$203,0),0))),"")</f>
        <v>86.195000000000022</v>
      </c>
      <c r="K31" s="59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 x14ac:dyDescent="0.25">
      <c r="A32" s="25">
        <f>IFERROR(IF(IFERROR(MATCH(28,'كشف الحساب'!$N$4:$N$203,0),0)=0,"",INDEX('كشف الحساب'!$A$4:$A$203,IFERROR(MATCH(28,'كشف الحساب'!$N$4:$N$203,0),0))),"")</f>
        <v>46260</v>
      </c>
      <c r="B32" s="61" t="str">
        <f>IFERROR(IF(IFERROR(MATCH(28,'كشف الحساب'!$N$4:$N$203,0),0)=0,"",INDEX('كشف الحساب'!$B$4:$B$203,IFERROR(MATCH(28,'كشف الحساب'!$N$4:$N$203,0),0))),"")</f>
        <v>Inv-121</v>
      </c>
      <c r="C32" s="27" t="str">
        <f>IFERROR(IF(IFERROR(MATCH(28,'كشف الحساب'!$N$4:$N$203,0),0)=0,"",INDEX('كشف الحساب'!$C$4:$C$203,IFERROR(MATCH(28,'كشف الحساب'!$N$4:$N$203,0),0))),"")</f>
        <v>شركه التهاني</v>
      </c>
      <c r="D32" s="28">
        <f>IFERROR(IF(IFERROR(MATCH(28,'كشف الحساب'!$N$4:$N$203,0),0)=0,"",INDEX('كشف الحساب'!$D$4:$D$203,IFERROR(MATCH(28,'كشف الحساب'!$N$4:$N$203,0),0))),"")</f>
        <v>0</v>
      </c>
      <c r="E32" s="62">
        <f>IFERROR(IF(IFERROR(MATCH(28,'كشف الحساب'!$N$4:$N$203,0),0)=0,"",INDEX('كشف الحساب'!$E$4:$E$203,IFERROR(MATCH(28,'كشف الحساب'!$N$4:$N$203,0),0))),"")</f>
        <v>260</v>
      </c>
      <c r="F32" s="61" t="str">
        <f>IFERROR(IF(IFERROR(MATCH(28,'كشف الحساب'!$N$4:$N$203,0),0)=0,"",INDEX('كشف الحساب'!$F$4:$F$203,IFERROR(MATCH(28,'كشف الحساب'!$N$4:$N$203,0),0))),"")</f>
        <v>نقداً</v>
      </c>
      <c r="G32" s="61">
        <f>IFERROR(IF(IFERROR(MATCH(28,'كشف الحساب'!$N$4:$N$203,0),0)=0,"",INDEX('كشف الحساب'!$G$4:$G$203,IFERROR(MATCH(28,'كشف الحساب'!$N$4:$N$203,0),0))),"")</f>
        <v>0</v>
      </c>
      <c r="H32" s="61" t="str">
        <f>IFERROR(IF(IFERROR(MATCH(28,'كشف الحساب'!$N$4:$N$203,0),0)=0,"",INDEX('كشف الحساب'!$H$4:$H$203,IFERROR(MATCH(28,'كشف الحساب'!$N$4:$N$203,0),0))),"")</f>
        <v>تم الدفع</v>
      </c>
      <c r="I32" s="61">
        <f>IFERROR(IF(IFERROR(MATCH(28,'كشف الحساب'!$N$4:$N$203,0),0)=0,"",INDEX('كشف الحساب'!$I$4:$I$203,IFERROR(MATCH(28,'كشف الحساب'!$N$4:$N$203,0),0))),"")</f>
        <v>0</v>
      </c>
      <c r="J32" s="34">
        <f>IFERROR(IF(IFERROR(MATCH(28,'كشف الحساب'!$N$4:$N$203,0),0)=0,"",INDEX('كشف الحساب'!$J$4:$J$203,IFERROR(MATCH(28,'كشف الحساب'!$N$4:$N$203,0),0))),"")</f>
        <v>346.19500000000005</v>
      </c>
      <c r="K32" s="61" t="str">
        <f>IFERROR(IF(IFERROR(MATCH(28,'كشف الحساب'!$N$4:$N$203,0),0)=0,"",INDEX('كشف الحساب'!$K$4:$K$203,IFERROR(MATCH(28,'كشف الحساب'!$N$4:$N$203,0),0))),"")</f>
        <v>تم عمل خصم من ابوادم 3.750</v>
      </c>
    </row>
    <row r="33" spans="1:11" ht="16.5" customHeight="1" x14ac:dyDescent="0.25">
      <c r="A33" s="139">
        <f>IFERROR(IF(IFERROR(MATCH(29,'كشف الحساب'!$N$4:$N$203,0),0)=0,"",INDEX('كشف الحساب'!$A$4:$A$203,IFERROR(MATCH(29,'كشف الحساب'!$N$4:$N$203,0),0))),"")</f>
        <v>46260</v>
      </c>
      <c r="B33" s="59">
        <f>IFERROR(IF(IFERROR(MATCH(29,'كشف الحساب'!$N$4:$N$203,0),0)=0,"",INDEX('كشف الحساب'!$B$4:$B$203,IFERROR(MATCH(29,'كشف الحساب'!$N$4:$N$203,0),0))),"")</f>
        <v>0</v>
      </c>
      <c r="C33" s="37" t="str">
        <f>IFERROR(IF(IFERROR(MATCH(29,'كشف الحساب'!$N$4:$N$203,0),0)=0,"",INDEX('كشف الحساب'!$C$4:$C$203,IFERROR(MATCH(29,'كشف الحساب'!$N$4:$N$203,0),0))),"")</f>
        <v>, حوض معلق عدد500 (الوحده.170(,بتموس عدد 10 الحبه 15</v>
      </c>
      <c r="D33" s="38">
        <f>IFERROR(IF(IFERROR(MATCH(29,'كشف الحساب'!$N$4:$N$203,0),0)=0,"",INDEX('كشف الحساب'!$D$4:$D$203,IFERROR(MATCH(29,'كشف الحساب'!$N$4:$N$203,0),0))),"")</f>
        <v>243</v>
      </c>
      <c r="E33" s="60">
        <f>IFERROR(IF(IFERROR(MATCH(29,'كشف الحساب'!$N$4:$N$203,0),0)=0,"",INDEX('كشف الحساب'!$E$4:$E$203,IFERROR(MATCH(29,'كشف الحساب'!$N$4:$N$203,0),0))),"")</f>
        <v>0</v>
      </c>
      <c r="F33" s="59" t="str">
        <f>IFERROR(IF(IFERROR(MATCH(29,'كشف الحساب'!$N$4:$N$203,0),0)=0,"",INDEX('كشف الحساب'!$F$4:$F$203,IFERROR(MATCH(29,'كشف الحساب'!$N$4:$N$203,0),0))),"")</f>
        <v>نقداً</v>
      </c>
      <c r="G33" s="59" t="str">
        <f>IFERROR(IF(IFERROR(MATCH(29,'كشف الحساب'!$N$4:$N$203,0),0)=0,"",INDEX('كشف الحساب'!$G$4:$G$203,IFERROR(MATCH(29,'كشف الحساب'!$N$4:$N$203,0),0))),"")</f>
        <v>المحفظة</v>
      </c>
      <c r="H33" s="59" t="str">
        <f>IFERROR(IF(IFERROR(MATCH(29,'كشف الحساب'!$N$4:$N$203,0),0)=0,"",INDEX('كشف الحساب'!$H$4:$H$203,IFERROR(MATCH(29,'كشف الحساب'!$N$4:$N$203,0),0))),"")</f>
        <v>تم الدفع</v>
      </c>
      <c r="I33" s="59">
        <f>IFERROR(IF(IFERROR(MATCH(29,'كشف الحساب'!$N$4:$N$203,0),0)=0,"",INDEX('كشف الحساب'!$I$4:$I$203,IFERROR(MATCH(29,'كشف الحساب'!$N$4:$N$203,0),0))),"")</f>
        <v>0</v>
      </c>
      <c r="J33" s="43">
        <f>IFERROR(IF(IFERROR(MATCH(29,'كشف الحساب'!$N$4:$N$203,0),0)=0,"",INDEX('كشف الحساب'!$J$4:$J$203,IFERROR(MATCH(29,'كشف الحساب'!$N$4:$N$203,0),0))),"")</f>
        <v>103.19500000000005</v>
      </c>
      <c r="K33" s="59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 x14ac:dyDescent="0.25">
      <c r="A34" s="25">
        <f>IFERROR(IF(IFERROR(MATCH(30,'كشف الحساب'!$N$4:$N$203,0),0)=0,"",INDEX('كشف الحساب'!$A$4:$A$203,IFERROR(MATCH(30,'كشف الحساب'!$N$4:$N$203,0),0))),"")</f>
        <v>46251</v>
      </c>
      <c r="B34" s="61">
        <f>IFERROR(IF(IFERROR(MATCH(30,'كشف الحساب'!$N$4:$N$203,0),0)=0,"",INDEX('كشف الحساب'!$B$4:$B$203,IFERROR(MATCH(30,'كشف الحساب'!$N$4:$N$203,0),0))),"")</f>
        <v>0</v>
      </c>
      <c r="C34" s="27" t="str">
        <f>IFERROR(IF(IFERROR(MATCH(30,'كشف الحساب'!$N$4:$N$203,0),0)=0,"",INDEX('كشف الحساب'!$C$4:$C$203,IFERROR(MATCH(30,'كشف الحساب'!$N$4:$N$203,0),0))),"")</f>
        <v>تاير توكتوك</v>
      </c>
      <c r="D34" s="28">
        <f>IFERROR(IF(IFERROR(MATCH(30,'كشف الحساب'!$N$4:$N$203,0),0)=0,"",INDEX('كشف الحساب'!$D$4:$D$203,IFERROR(MATCH(30,'كشف الحساب'!$N$4:$N$203,0),0))),"")</f>
        <v>3</v>
      </c>
      <c r="E34" s="62">
        <f>IFERROR(IF(IFERROR(MATCH(30,'كشف الحساب'!$N$4:$N$203,0),0)=0,"",INDEX('كشف الحساب'!$E$4:$E$203,IFERROR(MATCH(30,'كشف الحساب'!$N$4:$N$203,0),0))),"")</f>
        <v>0</v>
      </c>
      <c r="F34" s="61" t="str">
        <f>IFERROR(IF(IFERROR(MATCH(30,'كشف الحساب'!$N$4:$N$203,0),0)=0,"",INDEX('كشف الحساب'!$F$4:$F$203,IFERROR(MATCH(30,'كشف الحساب'!$N$4:$N$203,0),0))),"")</f>
        <v>نقداً</v>
      </c>
      <c r="G34" s="61" t="str">
        <f>IFERROR(IF(IFERROR(MATCH(30,'كشف الحساب'!$N$4:$N$203,0),0)=0,"",INDEX('كشف الحساب'!$G$4:$G$203,IFERROR(MATCH(30,'كشف الحساب'!$N$4:$N$203,0),0))),"")</f>
        <v>المحفظة</v>
      </c>
      <c r="H34" s="61" t="str">
        <f>IFERROR(IF(IFERROR(MATCH(30,'كشف الحساب'!$N$4:$N$203,0),0)=0,"",INDEX('كشف الحساب'!$H$4:$H$203,IFERROR(MATCH(30,'كشف الحساب'!$N$4:$N$203,0),0))),"")</f>
        <v>تم الدفع</v>
      </c>
      <c r="I34" s="61">
        <f>IFERROR(IF(IFERROR(MATCH(30,'كشف الحساب'!$N$4:$N$203,0),0)=0,"",INDEX('كشف الحساب'!$I$4:$I$203,IFERROR(MATCH(30,'كشف الحساب'!$N$4:$N$203,0),0))),"")</f>
        <v>0</v>
      </c>
      <c r="J34" s="34">
        <f>IFERROR(IF(IFERROR(MATCH(30,'كشف الحساب'!$N$4:$N$203,0),0)=0,"",INDEX('كشف الحساب'!$J$4:$J$203,IFERROR(MATCH(30,'كشف الحساب'!$N$4:$N$203,0),0))),"")</f>
        <v>100.19500000000005</v>
      </c>
      <c r="K34" s="61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 x14ac:dyDescent="0.25">
      <c r="A35" s="63">
        <f>IFERROR(IF(IFERROR(MATCH(31,'كشف الحساب'!$N$4:$N$203,0),0)=0,"",INDEX('كشف الحساب'!$A$4:$A$203,IFERROR(MATCH(31,'كشف الحساب'!$N$4:$N$203,0),0))),"")</f>
        <v>46251</v>
      </c>
      <c r="B35" s="64">
        <f>IFERROR(IF(IFERROR(MATCH(31,'كشف الحساب'!$N$4:$N$203,0),0)=0,"",INDEX('كشف الحساب'!$B$4:$B$203,IFERROR(MATCH(31,'كشف الحساب'!$N$4:$N$203,0),0))),"")</f>
        <v>0</v>
      </c>
      <c r="C35" s="65" t="str">
        <f>IFERROR(IF(IFERROR(MATCH(31,'كشف الحساب'!$N$4:$N$203,0),0)=0,"",INDEX('كشف الحساب'!$C$4:$C$203,IFERROR(MATCH(31,'كشف الحساب'!$N$4:$N$203,0),0))),"")</f>
        <v>هوز اصفر 3/4 طول 50 متر</v>
      </c>
      <c r="D35" s="66">
        <f>IFERROR(IF(IFERROR(MATCH(31,'كشف الحساب'!$N$4:$N$203,0),0)=0,"",INDEX('كشف الحساب'!$D$4:$D$203,IFERROR(MATCH(31,'كشف الحساب'!$N$4:$N$203,0),0))),"")</f>
        <v>11.5</v>
      </c>
      <c r="E35" s="67">
        <f>IFERROR(IF(IFERROR(MATCH(31,'كشف الحساب'!$N$4:$N$203,0),0)=0,"",INDEX('كشف الحساب'!$E$4:$E$203,IFERROR(MATCH(31,'كشف الحساب'!$N$4:$N$203,0),0))),"")</f>
        <v>0</v>
      </c>
      <c r="F35" s="64" t="str">
        <f>IFERROR(IF(IFERROR(MATCH(31,'كشف الحساب'!$N$4:$N$203,0),0)=0,"",INDEX('كشف الحساب'!$F$4:$F$203,IFERROR(MATCH(31,'كشف الحساب'!$N$4:$N$203,0),0))),"")</f>
        <v>نقداً</v>
      </c>
      <c r="G35" s="64" t="str">
        <f>IFERROR(IF(IFERROR(MATCH(31,'كشف الحساب'!$N$4:$N$203,0),0)=0,"",INDEX('كشف الحساب'!$G$4:$G$203,IFERROR(MATCH(31,'كشف الحساب'!$N$4:$N$203,0),0))),"")</f>
        <v>المحفظة</v>
      </c>
      <c r="H35" s="64" t="str">
        <f>IFERROR(IF(IFERROR(MATCH(31,'كشف الحساب'!$N$4:$N$203,0),0)=0,"",INDEX('كشف الحساب'!$H$4:$H$203,IFERROR(MATCH(31,'كشف الحساب'!$N$4:$N$203,0),0))),"")</f>
        <v>تم الدفع</v>
      </c>
      <c r="I35" s="64">
        <f>IFERROR(IF(IFERROR(MATCH(31,'كشف الحساب'!$N$4:$N$203,0),0)=0,"",INDEX('كشف الحساب'!$I$4:$I$203,IFERROR(MATCH(31,'كشف الحساب'!$N$4:$N$203,0),0))),"")</f>
        <v>0</v>
      </c>
      <c r="J35" s="68">
        <f>IFERROR(IF(IFERROR(MATCH(31,'كشف الحساب'!$N$4:$N$203,0),0)=0,"",INDEX('كشف الحساب'!$J$4:$J$203,IFERROR(MATCH(31,'كشف الحساب'!$N$4:$N$203,0),0))),"")</f>
        <v>117.69500000000005</v>
      </c>
      <c r="K35" s="64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 x14ac:dyDescent="0.25">
      <c r="A36" s="69">
        <f>IFERROR(IF(IFERROR(MATCH(32,'كشف الحساب'!$N$4:$N$203,0),0)=0,"",INDEX('كشف الحساب'!$A$4:$A$203,IFERROR(MATCH(32,'كشف الحساب'!$N$4:$N$203,0),0))),"")</f>
        <v>46254</v>
      </c>
      <c r="B36" s="70" t="str">
        <f>IFERROR(IF(IFERROR(MATCH(32,'كشف الحساب'!$N$4:$N$203,0),0)=0,"",INDEX('كشف الحساب'!$B$4:$B$203,IFERROR(MATCH(32,'كشف الحساب'!$N$4:$N$203,0),0))),"")</f>
        <v>Inv-125</v>
      </c>
      <c r="C36" s="71" t="str">
        <f>IFERROR(IF(IFERROR(MATCH(32,'كشف الحساب'!$N$4:$N$203,0),0)=0,"",INDEX('كشف الحساب'!$C$4:$C$203,IFERROR(MATCH(32,'كشف الحساب'!$N$4:$N$203,0),0))),"")</f>
        <v>متنوع - تم الدفع 26/8</v>
      </c>
      <c r="D36" s="72">
        <f>IFERROR(IF(IFERROR(MATCH(32,'كشف الحساب'!$N$4:$N$203,0),0)=0,"",INDEX('كشف الحساب'!$D$4:$D$203,IFERROR(MATCH(32,'كشف الحساب'!$N$4:$N$203,0),0))),"")</f>
        <v>0</v>
      </c>
      <c r="E36" s="73">
        <f>IFERROR(IF(IFERROR(MATCH(32,'كشف الحساب'!$N$4:$N$203,0),0)=0,"",INDEX('كشف الحساب'!$E$4:$E$203,IFERROR(MATCH(32,'كشف الحساب'!$N$4:$N$203,0),0))),"")</f>
        <v>59</v>
      </c>
      <c r="F36" s="70" t="str">
        <f>IFERROR(IF(IFERROR(MATCH(32,'كشف الحساب'!$N$4:$N$203,0),0)=0,"",INDEX('كشف الحساب'!$F$4:$F$203,IFERROR(MATCH(32,'كشف الحساب'!$N$4:$N$203,0),0))),"")</f>
        <v>نقداً</v>
      </c>
      <c r="G36" s="70">
        <f>IFERROR(IF(IFERROR(MATCH(32,'كشف الحساب'!$N$4:$N$203,0),0)=0,"",INDEX('كشف الحساب'!$G$4:$G$203,IFERROR(MATCH(32,'كشف الحساب'!$N$4:$N$203,0),0))),"")</f>
        <v>0</v>
      </c>
      <c r="H36" s="70" t="str">
        <f>IFERROR(IF(IFERROR(MATCH(32,'كشف الحساب'!$N$4:$N$203,0),0)=0,"",INDEX('كشف الحساب'!$H$4:$H$203,IFERROR(MATCH(32,'كشف الحساب'!$N$4:$N$203,0),0))),"")</f>
        <v>تم الدفع</v>
      </c>
      <c r="I36" s="70">
        <f>IFERROR(IF(IFERROR(MATCH(32,'كشف الحساب'!$N$4:$N$203,0),0)=0,"",INDEX('كشف الحساب'!$I$4:$I$203,IFERROR(MATCH(32,'كشف الحساب'!$N$4:$N$203,0),0))),"")</f>
        <v>0</v>
      </c>
      <c r="J36" s="74">
        <f>IFERROR(IF(IFERROR(MATCH(32,'كشف الحساب'!$N$4:$N$203,0),0)=0,"",INDEX('كشف الحساب'!$J$4:$J$203,IFERROR(MATCH(32,'كشف الحساب'!$N$4:$N$203,0),0))),"")</f>
        <v>176.69500000000005</v>
      </c>
      <c r="K36" s="70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 x14ac:dyDescent="0.25">
      <c r="A37" s="63"/>
      <c r="B37" s="64" t="str">
        <f>IFERROR(IF(IFERROR(MATCH(33,'كشف الحساب'!$N$4:$N$203,0),0)=0,"",INDEX('كشف الحساب'!$B$4:$B$203,IFERROR(MATCH(33,'كشف الحساب'!$N$4:$N$203,0),0))),"")</f>
        <v>Inv-126</v>
      </c>
      <c r="C37" s="65"/>
      <c r="D37" s="66">
        <f>IFERROR(IF(IFERROR(MATCH(33,'كشف الحساب'!$N$4:$N$203,0),0)=0,"",INDEX('كشف الحساب'!$D$4:$D$203,IFERROR(MATCH(33,'كشف الحساب'!$N$4:$N$203,0),0))),"")</f>
        <v>0</v>
      </c>
      <c r="E37"/>
      <c r="F37" s="64" t="str">
        <f>IFERROR(IF(IFERROR(MATCH(33,'كشف الحساب'!$N$4:$N$203,0),0)=0,"",INDEX('كشف الحساب'!$F$4:$F$203,IFERROR(MATCH(33,'كشف الحساب'!$N$4:$N$203,0),0))),"")</f>
        <v>نقداً</v>
      </c>
      <c r="G37" s="64">
        <f>IFERROR(IF(IFERROR(MATCH(33,'كشف الحساب'!$N$4:$N$203,0),0)=0,"",INDEX('كشف الحساب'!$G$4:$G$203,IFERROR(MATCH(33,'كشف الحساب'!$N$4:$N$203,0),0))),"")</f>
        <v>0</v>
      </c>
      <c r="H37" s="64" t="str">
        <f>IFERROR(IF(IFERROR(MATCH(33,'كشف الحساب'!$N$4:$N$203,0),0)=0,"",INDEX('كشف الحساب'!$H$4:$H$203,IFERROR(MATCH(33,'كشف الحساب'!$N$4:$N$203,0),0))),"")</f>
        <v>تم الدفع</v>
      </c>
      <c r="I37" s="64">
        <f>IFERROR(IF(IFERROR(MATCH(33,'كشف الحساب'!$N$4:$N$203,0),0)=0,"",INDEX('كشف الحساب'!$I$4:$I$203,IFERROR(MATCH(33,'كشف الحساب'!$N$4:$N$203,0),0))),"")</f>
        <v>0</v>
      </c>
      <c r="J37" s="68">
        <f>IFERROR(IF(IFERROR(MATCH(33,'كشف الحساب'!$N$4:$N$203,0),0)=0,"",INDEX('كشف الحساب'!$J$4:$J$203,IFERROR(MATCH(33,'كشف الحساب'!$N$4:$N$203,0),0))),"")</f>
        <v>576.69500000000005</v>
      </c>
      <c r="K37" s="64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 x14ac:dyDescent="0.25">
      <c r="A38" s="69">
        <f>IFERROR(IF(IFERROR(MATCH(34,'كشف الحساب'!$N$4:$N$203,0),0)=0,"",INDEX('كشف الحساب'!$A$4:$A$203,IFERROR(MATCH(34,'كشف الحساب'!$N$4:$N$203,0),0))),"")</f>
        <v>46263</v>
      </c>
      <c r="B38" s="70">
        <f>IFERROR(IF(IFERROR(MATCH(34,'كشف الحساب'!$N$4:$N$203,0),0)=0,"",INDEX('كشف الحساب'!$B$4:$B$203,IFERROR(MATCH(34,'كشف الحساب'!$N$4:$N$203,0),0))),"")</f>
        <v>0</v>
      </c>
      <c r="C38" s="71" t="str">
        <f>IFERROR(IF(IFERROR(MATCH(34,'كشف الحساب'!$N$4:$N$203,0),0)=0,"",INDEX('كشف الحساب'!$C$4:$C$203,IFERROR(MATCH(34,'كشف الحساب'!$N$4:$N$203,0),0))),"")</f>
        <v>صبار عدد 15 الحبه 1</v>
      </c>
      <c r="D38" s="72">
        <f>IFERROR(IF(IFERROR(MATCH(34,'كشف الحساب'!$N$4:$N$203,0),0)=0,"",INDEX('كشف الحساب'!$D$4:$D$203,IFERROR(MATCH(34,'كشف الحساب'!$N$4:$N$203,0),0))),"")</f>
        <v>15</v>
      </c>
      <c r="E38" s="73">
        <f>IFERROR(IF(IFERROR(MATCH(34,'كشف الحساب'!$N$4:$N$203,0),0)=0,"",INDEX('كشف الحساب'!$E$4:$E$203,IFERROR(MATCH(34,'كشف الحساب'!$N$4:$N$203,0),0))),"")</f>
        <v>0</v>
      </c>
      <c r="F38" s="70" t="str">
        <f>IFERROR(IF(IFERROR(MATCH(34,'كشف الحساب'!$N$4:$N$203,0),0)=0,"",INDEX('كشف الحساب'!$F$4:$F$203,IFERROR(MATCH(34,'كشف الحساب'!$N$4:$N$203,0),0))),"")</f>
        <v>نقداً</v>
      </c>
      <c r="G38" s="70" t="str">
        <f>IFERROR(IF(IFERROR(MATCH(34,'كشف الحساب'!$N$4:$N$203,0),0)=0,"",INDEX('كشف الحساب'!$G$4:$G$203,IFERROR(MATCH(34,'كشف الحساب'!$N$4:$N$203,0),0))),"")</f>
        <v>المحفظة</v>
      </c>
      <c r="H38" s="70" t="str">
        <f>IFERROR(IF(IFERROR(MATCH(34,'كشف الحساب'!$N$4:$N$203,0),0)=0,"",INDEX('كشف الحساب'!$H$4:$H$203,IFERROR(MATCH(34,'كشف الحساب'!$N$4:$N$203,0),0))),"")</f>
        <v>تم الدفع</v>
      </c>
      <c r="I38" s="70">
        <f>IFERROR(IF(IFERROR(MATCH(34,'كشف الحساب'!$N$4:$N$203,0),0)=0,"",INDEX('كشف الحساب'!$I$4:$I$203,IFERROR(MATCH(34,'كشف الحساب'!$N$4:$N$203,0),0))),"")</f>
        <v>0</v>
      </c>
      <c r="J38" s="74">
        <f>IFERROR(IF(IFERROR(MATCH(34,'كشف الحساب'!$N$4:$N$203,0),0)=0,"",INDEX('كشف الحساب'!$J$4:$J$203,IFERROR(MATCH(34,'كشف الحساب'!$N$4:$N$203,0),0))),"")</f>
        <v>561.69500000000005</v>
      </c>
      <c r="K38" s="70">
        <f>IFERROR(IF(IFERROR(MATCH(34,'كشف الحساب'!$N$4:$N$203,0),0)=0,"",INDEX('كشف الحساب'!$K$4:$K$203,IFERROR(MATCH(34,'كشف الحساب'!$N$4:$N$203,0),0))),"")</f>
        <v>0</v>
      </c>
    </row>
    <row r="39" spans="1:11" ht="15" customHeight="1" x14ac:dyDescent="0.25">
      <c r="A39" s="63">
        <f>IFERROR(IF(IFERROR(MATCH(35,'كشف الحساب'!$N$4:$N$203,0),0)=0,"",INDEX('كشف الحساب'!$A$4:$A$203,IFERROR(MATCH(35,'كشف الحساب'!$N$4:$N$203,0),0))),"")</f>
        <v>46263</v>
      </c>
      <c r="B39" s="64">
        <f>IFERROR(IF(IFERROR(MATCH(35,'كشف الحساب'!$N$4:$N$203,0),0)=0,"",INDEX('كشف الحساب'!$B$4:$B$203,IFERROR(MATCH(35,'كشف الحساب'!$N$4:$N$203,0),0))),"")</f>
        <v>0</v>
      </c>
      <c r="C39" s="65" t="str">
        <f>IFERROR(IF(IFERROR(MATCH(35,'كشف الحساب'!$N$4:$N$203,0),0)=0,"",INDEX('كشف الحساب'!$C$4:$C$203,IFERROR(MATCH(35,'كشف الحساب'!$N$4:$N$203,0),0))),"")</f>
        <v>زيتون عدد 2 الحبه 12</v>
      </c>
      <c r="D39" s="66">
        <f>IFERROR(IF(IFERROR(MATCH(35,'كشف الحساب'!$N$4:$N$203,0),0)=0,"",INDEX('كشف الحساب'!$D$4:$D$203,IFERROR(MATCH(35,'كشف الحساب'!$N$4:$N$203,0),0))),"")</f>
        <v>24</v>
      </c>
      <c r="E39" s="67">
        <f>IFERROR(IF(IFERROR(MATCH(35,'كشف الحساب'!$N$4:$N$203,0),0)=0,"",INDEX('كشف الحساب'!$E$4:$E$203,IFERROR(MATCH(35,'كشف الحساب'!$N$4:$N$203,0),0))),"")</f>
        <v>0</v>
      </c>
      <c r="F39" s="64" t="str">
        <f>IFERROR(IF(IFERROR(MATCH(35,'كشف الحساب'!$N$4:$N$203,0),0)=0,"",INDEX('كشف الحساب'!$F$4:$F$203,IFERROR(MATCH(35,'كشف الحساب'!$N$4:$N$203,0),0))),"")</f>
        <v>نقداً</v>
      </c>
      <c r="G39" s="64" t="str">
        <f>IFERROR(IF(IFERROR(MATCH(35,'كشف الحساب'!$N$4:$N$203,0),0)=0,"",INDEX('كشف الحساب'!$G$4:$G$203,IFERROR(MATCH(35,'كشف الحساب'!$N$4:$N$203,0),0))),"")</f>
        <v>المحفظة</v>
      </c>
      <c r="H39" s="64" t="str">
        <f>IFERROR(IF(IFERROR(MATCH(35,'كشف الحساب'!$N$4:$N$203,0),0)=0,"",INDEX('كشف الحساب'!$H$4:$H$203,IFERROR(MATCH(35,'كشف الحساب'!$N$4:$N$203,0),0))),"")</f>
        <v>تم الدفع</v>
      </c>
      <c r="I39" s="64">
        <f>IFERROR(IF(IFERROR(MATCH(35,'كشف الحساب'!$N$4:$N$203,0),0)=0,"",INDEX('كشف الحساب'!$I$4:$I$203,IFERROR(MATCH(35,'كشف الحساب'!$N$4:$N$203,0),0))),"")</f>
        <v>0</v>
      </c>
      <c r="J39" s="68">
        <f>IFERROR(IF(IFERROR(MATCH(35,'كشف الحساب'!$N$4:$N$203,0),0)=0,"",INDEX('كشف الحساب'!$J$4:$J$203,IFERROR(MATCH(35,'كشف الحساب'!$N$4:$N$203,0),0))),"")</f>
        <v>537.69500000000005</v>
      </c>
      <c r="K39" s="64">
        <f>IFERROR(IF(IFERROR(MATCH(35,'كشف الحساب'!$N$4:$N$203,0),0)=0,"",INDEX('كشف الحساب'!$K$4:$K$203,IFERROR(MATCH(35,'كشف الحساب'!$N$4:$N$203,0),0))),"")</f>
        <v>0</v>
      </c>
    </row>
    <row r="40" spans="1:11" ht="15" customHeight="1" x14ac:dyDescent="0.25">
      <c r="A40" s="69">
        <f>IFERROR(IF(IFERROR(MATCH(36,'كشف الحساب'!$N$4:$N$203,0),0)=0,"",INDEX('كشف الحساب'!$A$4:$A$203,IFERROR(MATCH(36,'كشف الحساب'!$N$4:$N$203,0),0))),"")</f>
        <v>46264</v>
      </c>
      <c r="B40" s="70" t="str">
        <f>IFERROR(IF(IFERROR(MATCH(36,'كشف الحساب'!$N$4:$N$203,0),0)=0,"",INDEX('كشف الحساب'!$B$4:$B$203,IFERROR(MATCH(36,'كشف الحساب'!$N$4:$N$203,0),0))),"")</f>
        <v>Inv-127</v>
      </c>
      <c r="C40" s="71" t="str">
        <f>IFERROR(IF(IFERROR(MATCH(36,'كشف الحساب'!$N$4:$N$203,0),0)=0,"",INDEX('كشف الحساب'!$C$4:$C$203,IFERROR(MATCH(36,'كشف الحساب'!$N$4:$N$203,0),0))),"")</f>
        <v>اناناس عدد 4 الواحده 4</v>
      </c>
      <c r="D40" s="72">
        <f>IFERROR(IF(IFERROR(MATCH(36,'كشف الحساب'!$N$4:$N$203,0),0)=0,"",INDEX('كشف الحساب'!$D$4:$D$203,IFERROR(MATCH(36,'كشف الحساب'!$N$4:$N$203,0),0))),"")</f>
        <v>0</v>
      </c>
      <c r="E40" s="73">
        <f>IFERROR(IF(IFERROR(MATCH(36,'كشف الحساب'!$N$4:$N$203,0),0)=0,"",INDEX('كشف الحساب'!$E$4:$E$203,IFERROR(MATCH(36,'كشف الحساب'!$N$4:$N$203,0),0))),"")</f>
        <v>16</v>
      </c>
      <c r="F40" s="70" t="str">
        <f>IFERROR(IF(IFERROR(MATCH(36,'كشف الحساب'!$N$4:$N$203,0),0)=0,"",INDEX('كشف الحساب'!$F$4:$F$203,IFERROR(MATCH(36,'كشف الحساب'!$N$4:$N$203,0),0))),"")</f>
        <v>نقداً</v>
      </c>
      <c r="G40" s="70">
        <f>IFERROR(IF(IFERROR(MATCH(36,'كشف الحساب'!$N$4:$N$203,0),0)=0,"",INDEX('كشف الحساب'!$G$4:$G$203,IFERROR(MATCH(36,'كشف الحساب'!$N$4:$N$203,0),0))),"")</f>
        <v>0</v>
      </c>
      <c r="H40" s="70" t="str">
        <f>IFERROR(IF(IFERROR(MATCH(36,'كشف الحساب'!$N$4:$N$203,0),0)=0,"",INDEX('كشف الحساب'!$H$4:$H$203,IFERROR(MATCH(36,'كشف الحساب'!$N$4:$N$203,0),0))),"")</f>
        <v>تم الدفع</v>
      </c>
      <c r="I40" s="70">
        <f>IFERROR(IF(IFERROR(MATCH(36,'كشف الحساب'!$N$4:$N$203,0),0)=0,"",INDEX('كشف الحساب'!$I$4:$I$203,IFERROR(MATCH(36,'كشف الحساب'!$N$4:$N$203,0),0))),"")</f>
        <v>0</v>
      </c>
      <c r="J40" s="74">
        <f>IFERROR(IF(IFERROR(MATCH(36,'كشف الحساب'!$N$4:$N$203,0),0)=0,"",INDEX('كشف الحساب'!$J$4:$J$203,IFERROR(MATCH(36,'كشف الحساب'!$N$4:$N$203,0),0))),"")</f>
        <v>553.69500000000005</v>
      </c>
      <c r="K40" s="70">
        <f>IFERROR(IF(IFERROR(MATCH(36,'كشف الحساب'!$N$4:$N$203,0),0)=0,"",INDEX('كشف الحساب'!$K$4:$K$203,IFERROR(MATCH(36,'كشف الحساب'!$N$4:$N$203,0),0))),"")</f>
        <v>0</v>
      </c>
    </row>
    <row r="41" spans="1:11" ht="15" customHeight="1" x14ac:dyDescent="0.25">
      <c r="A41" s="63">
        <f>IFERROR(IF(IFERROR(MATCH(37,'كشف الحساب'!$N$4:$N$203,0),0)=0,"",INDEX('كشف الحساب'!$A$4:$A$203,IFERROR(MATCH(37,'كشف الحساب'!$N$4:$N$203,0),0))),"")</f>
        <v>46264</v>
      </c>
      <c r="B41" s="64" t="str">
        <f>IFERROR(IF(IFERROR(MATCH(37,'كشف الحساب'!$N$4:$N$203,0),0)=0,"",INDEX('كشف الحساب'!$B$4:$B$203,IFERROR(MATCH(37,'كشف الحساب'!$N$4:$N$203,0),0))),"")</f>
        <v>Inv-128</v>
      </c>
      <c r="C41" s="65" t="str">
        <f>IFERROR(IF(IFERROR(MATCH(37,'كشف الحساب'!$N$4:$N$203,0),0)=0,"",INDEX('كشف الحساب'!$C$4:$C$203,IFERROR(MATCH(37,'كشف الحساب'!$N$4:$N$203,0),0))),"")</f>
        <v>ربل عدد 6 الحبه 2.500</v>
      </c>
      <c r="D41" s="66">
        <f>IFERROR(IF(IFERROR(MATCH(37,'كشف الحساب'!$N$4:$N$203,0),0)=0,"",INDEX('كشف الحساب'!$D$4:$D$203,IFERROR(MATCH(37,'كشف الحساب'!$N$4:$N$203,0),0))),"")</f>
        <v>0</v>
      </c>
      <c r="E41" s="67">
        <f>IFERROR(IF(IFERROR(MATCH(37,'كشف الحساب'!$N$4:$N$203,0),0)=0,"",INDEX('كشف الحساب'!$E$4:$E$203,IFERROR(MATCH(37,'كشف الحساب'!$N$4:$N$203,0),0))),"")</f>
        <v>15</v>
      </c>
      <c r="F41" s="64" t="str">
        <f>IFERROR(IF(IFERROR(MATCH(37,'كشف الحساب'!$N$4:$N$203,0),0)=0,"",INDEX('كشف الحساب'!$F$4:$F$203,IFERROR(MATCH(37,'كشف الحساب'!$N$4:$N$203,0),0))),"")</f>
        <v>نقداً</v>
      </c>
      <c r="G41" s="64">
        <f>IFERROR(IF(IFERROR(MATCH(37,'كشف الحساب'!$N$4:$N$203,0),0)=0,"",INDEX('كشف الحساب'!$G$4:$G$203,IFERROR(MATCH(37,'كشف الحساب'!$N$4:$N$203,0),0))),"")</f>
        <v>0</v>
      </c>
      <c r="H41" s="64" t="str">
        <f>IFERROR(IF(IFERROR(MATCH(37,'كشف الحساب'!$N$4:$N$203,0),0)=0,"",INDEX('كشف الحساب'!$H$4:$H$203,IFERROR(MATCH(37,'كشف الحساب'!$N$4:$N$203,0),0))),"")</f>
        <v>تم الدفع</v>
      </c>
      <c r="I41" s="64">
        <f>IFERROR(IF(IFERROR(MATCH(37,'كشف الحساب'!$N$4:$N$203,0),0)=0,"",INDEX('كشف الحساب'!$I$4:$I$203,IFERROR(MATCH(37,'كشف الحساب'!$N$4:$N$203,0),0))),"")</f>
        <v>0</v>
      </c>
      <c r="J41" s="68">
        <f>IFERROR(IF(IFERROR(MATCH(37,'كشف الحساب'!$N$4:$N$203,0),0)=0,"",INDEX('كشف الحساب'!$J$4:$J$203,IFERROR(MATCH(37,'كشف الحساب'!$N$4:$N$203,0),0))),"")</f>
        <v>568.69500000000005</v>
      </c>
      <c r="K41" s="64">
        <f>IFERROR(IF(IFERROR(MATCH(37,'كشف الحساب'!$N$4:$N$203,0),0)=0,"",INDEX('كشف الحساب'!$K$4:$K$203,IFERROR(MATCH(37,'كشف الحساب'!$N$4:$N$203,0),0))),"")</f>
        <v>0</v>
      </c>
    </row>
    <row r="42" spans="1:11" ht="15" customHeight="1" x14ac:dyDescent="0.25">
      <c r="A42" s="69">
        <f>IFERROR(IF(IFERROR(MATCH(38,'كشف الحساب'!$N$4:$N$203,0),0)=0,"",INDEX('كشف الحساب'!$A$4:$A$203,IFERROR(MATCH(38,'كشف الحساب'!$N$4:$N$203,0),0))),"")</f>
        <v>46264</v>
      </c>
      <c r="B42" s="70" t="str">
        <f>IFERROR(IF(IFERROR(MATCH(38,'كشف الحساب'!$N$4:$N$203,0),0)=0,"",INDEX('كشف الحساب'!$B$4:$B$203,IFERROR(MATCH(38,'كشف الحساب'!$N$4:$N$203,0),0))),"")</f>
        <v>Inv-129</v>
      </c>
      <c r="C42" s="71" t="str">
        <f>IFERROR(IF(IFERROR(MATCH(38,'كشف الحساب'!$N$4:$N$203,0),0)=0,"",INDEX('كشف الحساب'!$C$4:$C$203,IFERROR(MATCH(38,'كشف الحساب'!$N$4:$N$203,0),0))),"")</f>
        <v>متنوع عدد 17 الحبه 1</v>
      </c>
      <c r="D42" s="72">
        <f>IFERROR(IF(IFERROR(MATCH(38,'كشف الحساب'!$N$4:$N$203,0),0)=0,"",INDEX('كشف الحساب'!$D$4:$D$203,IFERROR(MATCH(38,'كشف الحساب'!$N$4:$N$203,0),0))),"")</f>
        <v>0</v>
      </c>
      <c r="E42" s="73">
        <f>IFERROR(IF(IFERROR(MATCH(38,'كشف الحساب'!$N$4:$N$203,0),0)=0,"",INDEX('كشف الحساب'!$E$4:$E$203,IFERROR(MATCH(38,'كشف الحساب'!$N$4:$N$203,0),0))),"")</f>
        <v>17</v>
      </c>
      <c r="F42" s="70" t="str">
        <f>IFERROR(IF(IFERROR(MATCH(38,'كشف الحساب'!$N$4:$N$203,0),0)=0,"",INDEX('كشف الحساب'!$F$4:$F$203,IFERROR(MATCH(38,'كشف الحساب'!$N$4:$N$203,0),0))),"")</f>
        <v>نقداً</v>
      </c>
      <c r="G42" s="70">
        <f>IFERROR(IF(IFERROR(MATCH(38,'كشف الحساب'!$N$4:$N$203,0),0)=0,"",INDEX('كشف الحساب'!$G$4:$G$203,IFERROR(MATCH(38,'كشف الحساب'!$N$4:$N$203,0),0))),"")</f>
        <v>0</v>
      </c>
      <c r="H42" s="70" t="str">
        <f>IFERROR(IF(IFERROR(MATCH(38,'كشف الحساب'!$N$4:$N$203,0),0)=0,"",INDEX('كشف الحساب'!$H$4:$H$203,IFERROR(MATCH(38,'كشف الحساب'!$N$4:$N$203,0),0))),"")</f>
        <v>تم الدفع</v>
      </c>
      <c r="I42" s="70">
        <f>IFERROR(IF(IFERROR(MATCH(38,'كشف الحساب'!$N$4:$N$203,0),0)=0,"",INDEX('كشف الحساب'!$I$4:$I$203,IFERROR(MATCH(38,'كشف الحساب'!$N$4:$N$203,0),0))),"")</f>
        <v>0</v>
      </c>
      <c r="J42" s="74">
        <f>IFERROR(IF(IFERROR(MATCH(38,'كشف الحساب'!$N$4:$N$203,0),0)=0,"",INDEX('كشف الحساب'!$J$4:$J$203,IFERROR(MATCH(38,'كشف الحساب'!$N$4:$N$203,0),0))),"")</f>
        <v>585.69500000000005</v>
      </c>
      <c r="K42" s="70">
        <f>IFERROR(IF(IFERROR(MATCH(38,'كشف الحساب'!$N$4:$N$203,0),0)=0,"",INDEX('كشف الحساب'!$K$4:$K$203,IFERROR(MATCH(38,'كشف الحساب'!$N$4:$N$203,0),0))),"")</f>
        <v>0</v>
      </c>
    </row>
    <row r="43" spans="1:11" ht="15" customHeight="1" x14ac:dyDescent="0.25">
      <c r="A43" s="63">
        <f>IFERROR(IF(IFERROR(MATCH(39,'كشف الحساب'!$N$4:$N$203,0),0)=0,"",INDEX('كشف الحساب'!$A$4:$A$203,IFERROR(MATCH(39,'كشف الحساب'!$N$4:$N$203,0),0))),"")</f>
        <v>46264</v>
      </c>
      <c r="B43" s="64" t="str">
        <f>IFERROR(IF(IFERROR(MATCH(39,'كشف الحساب'!$N$4:$N$203,0),0)=0,"",INDEX('كشف الحساب'!$B$4:$B$203,IFERROR(MATCH(39,'كشف الحساب'!$N$4:$N$203,0),0))),"")</f>
        <v>Inv-130</v>
      </c>
      <c r="C43" s="65" t="str">
        <f>IFERROR(IF(IFERROR(MATCH(39,'كشف الحساب'!$N$4:$N$203,0),0)=0,"",INDEX('كشف الحساب'!$C$4:$C$203,IFERROR(MATCH(39,'كشف الحساب'!$N$4:$N$203,0),0))),"")</f>
        <v>صبار عدد 13 الحبه 0.750</v>
      </c>
      <c r="D43" s="66">
        <f>IFERROR(IF(IFERROR(MATCH(39,'كشف الحساب'!$N$4:$N$203,0),0)=0,"",INDEX('كشف الحساب'!$D$4:$D$203,IFERROR(MATCH(39,'كشف الحساب'!$N$4:$N$203,0),0))),"")</f>
        <v>0</v>
      </c>
      <c r="E43" s="67">
        <f>IFERROR(IF(IFERROR(MATCH(39,'كشف الحساب'!$N$4:$N$203,0),0)=0,"",INDEX('كشف الحساب'!$E$4:$E$203,IFERROR(MATCH(39,'كشف الحساب'!$N$4:$N$203,0),0))),"")</f>
        <v>9.75</v>
      </c>
      <c r="F43" s="64" t="str">
        <f>IFERROR(IF(IFERROR(MATCH(39,'كشف الحساب'!$N$4:$N$203,0),0)=0,"",INDEX('كشف الحساب'!$F$4:$F$203,IFERROR(MATCH(39,'كشف الحساب'!$N$4:$N$203,0),0))),"")</f>
        <v>نقداً</v>
      </c>
      <c r="G43" s="64">
        <f>IFERROR(IF(IFERROR(MATCH(39,'كشف الحساب'!$N$4:$N$203,0),0)=0,"",INDEX('كشف الحساب'!$G$4:$G$203,IFERROR(MATCH(39,'كشف الحساب'!$N$4:$N$203,0),0))),"")</f>
        <v>0</v>
      </c>
      <c r="H43" s="64" t="str">
        <f>IFERROR(IF(IFERROR(MATCH(39,'كشف الحساب'!$N$4:$N$203,0),0)=0,"",INDEX('كشف الحساب'!$H$4:$H$203,IFERROR(MATCH(39,'كشف الحساب'!$N$4:$N$203,0),0))),"")</f>
        <v>تم الدفع</v>
      </c>
      <c r="I43" s="64">
        <f>IFERROR(IF(IFERROR(MATCH(39,'كشف الحساب'!$N$4:$N$203,0),0)=0,"",INDEX('كشف الحساب'!$I$4:$I$203,IFERROR(MATCH(39,'كشف الحساب'!$N$4:$N$203,0),0))),"")</f>
        <v>0</v>
      </c>
      <c r="J43" s="68">
        <f>IFERROR(IF(IFERROR(MATCH(39,'كشف الحساب'!$N$4:$N$203,0),0)=0,"",INDEX('كشف الحساب'!$J$4:$J$203,IFERROR(MATCH(39,'كشف الحساب'!$N$4:$N$203,0),0))),"")</f>
        <v>595.44500000000005</v>
      </c>
      <c r="K43" s="64">
        <f>IFERROR(IF(IFERROR(MATCH(39,'كشف الحساب'!$N$4:$N$203,0),0)=0,"",INDEX('كشف الحساب'!$K$4:$K$203,IFERROR(MATCH(39,'كشف الحساب'!$N$4:$N$203,0),0))),"")</f>
        <v>0</v>
      </c>
    </row>
    <row r="44" spans="1:11" ht="15" customHeight="1" x14ac:dyDescent="0.25">
      <c r="A44" s="69">
        <f>IFERROR(IF(IFERROR(MATCH(40,'كشف الحساب'!$N$4:$N$203,0),0)=0,"",INDEX('كشف الحساب'!$A$4:$A$203,IFERROR(MATCH(40,'كشف الحساب'!$N$4:$N$203,0),0))),"")</f>
        <v>46264</v>
      </c>
      <c r="B44" s="70" t="str">
        <f>IFERROR(IF(IFERROR(MATCH(40,'كشف الحساب'!$N$4:$N$203,0),0)=0,"",INDEX('كشف الحساب'!$B$4:$B$203,IFERROR(MATCH(40,'كشف الحساب'!$N$4:$N$203,0),0))),"")</f>
        <v>Inv-131</v>
      </c>
      <c r="C44" s="71" t="str">
        <f>IFERROR(IF(IFERROR(MATCH(40,'كشف الحساب'!$N$4:$N$203,0),0)=0,"",INDEX('كشف الحساب'!$C$4:$C$203,IFERROR(MATCH(40,'كشف الحساب'!$N$4:$N$203,0),0))),"")</f>
        <v>تين عدد5 الحبه 1.500</v>
      </c>
      <c r="D44" s="72">
        <f>IFERROR(IF(IFERROR(MATCH(40,'كشف الحساب'!$N$4:$N$203,0),0)=0,"",INDEX('كشف الحساب'!$D$4:$D$203,IFERROR(MATCH(40,'كشف الحساب'!$N$4:$N$203,0),0))),"")</f>
        <v>0</v>
      </c>
      <c r="E44" s="73">
        <f>IFERROR(IF(IFERROR(MATCH(40,'كشف الحساب'!$N$4:$N$203,0),0)=0,"",INDEX('كشف الحساب'!$E$4:$E$203,IFERROR(MATCH(40,'كشف الحساب'!$N$4:$N$203,0),0))),"")</f>
        <v>7.5</v>
      </c>
      <c r="F44" s="70" t="str">
        <f>IFERROR(IF(IFERROR(MATCH(40,'كشف الحساب'!$N$4:$N$203,0),0)=0,"",INDEX('كشف الحساب'!$F$4:$F$203,IFERROR(MATCH(40,'كشف الحساب'!$N$4:$N$203,0),0))),"")</f>
        <v>نقداً</v>
      </c>
      <c r="G44" s="70">
        <f>IFERROR(IF(IFERROR(MATCH(40,'كشف الحساب'!$N$4:$N$203,0),0)=0,"",INDEX('كشف الحساب'!$G$4:$G$203,IFERROR(MATCH(40,'كشف الحساب'!$N$4:$N$203,0),0))),"")</f>
        <v>0</v>
      </c>
      <c r="H44" s="70" t="str">
        <f>IFERROR(IF(IFERROR(MATCH(40,'كشف الحساب'!$N$4:$N$203,0),0)=0,"",INDEX('كشف الحساب'!$H$4:$H$203,IFERROR(MATCH(40,'كشف الحساب'!$N$4:$N$203,0),0))),"")</f>
        <v>تم الدفع</v>
      </c>
      <c r="I44" s="70">
        <f>IFERROR(IF(IFERROR(MATCH(40,'كشف الحساب'!$N$4:$N$203,0),0)=0,"",INDEX('كشف الحساب'!$I$4:$I$203,IFERROR(MATCH(40,'كشف الحساب'!$N$4:$N$203,0),0))),"")</f>
        <v>0</v>
      </c>
      <c r="J44" s="74">
        <f>IFERROR(IF(IFERROR(MATCH(40,'كشف الحساب'!$N$4:$N$203,0),0)=0,"",INDEX('كشف الحساب'!$J$4:$J$203,IFERROR(MATCH(40,'كشف الحساب'!$N$4:$N$203,0),0))),"")</f>
        <v>602.94500000000005</v>
      </c>
      <c r="K44" s="70">
        <f>IFERROR(IF(IFERROR(MATCH(40,'كشف الحساب'!$N$4:$N$203,0),0)=0,"",INDEX('كشف الحساب'!$K$4:$K$203,IFERROR(MATCH(40,'كشف الحساب'!$N$4:$N$203,0),0))),"")</f>
        <v>0</v>
      </c>
    </row>
    <row r="45" spans="1:11" ht="15" customHeight="1" x14ac:dyDescent="0.25">
      <c r="A45" s="63">
        <f>IFERROR(IF(IFERROR(MATCH(41,'كشف الحساب'!$N$4:$N$203,0),0)=0,"",INDEX('كشف الحساب'!$A$4:$A$203,IFERROR(MATCH(41,'كشف الحساب'!$N$4:$N$203,0),0))),"")</f>
        <v>46264</v>
      </c>
      <c r="B45" s="64">
        <f>IFERROR(IF(IFERROR(MATCH(41,'كشف الحساب'!$N$4:$N$203,0),0)=0,"",INDEX('كشف الحساب'!$B$4:$B$203,IFERROR(MATCH(41,'كشف الحساب'!$N$4:$N$203,0),0))),"")</f>
        <v>0</v>
      </c>
      <c r="C45" s="65" t="str">
        <f>IFERROR(IF(IFERROR(MATCH(41,'كشف الحساب'!$N$4:$N$203,0),0)=0,"",INDEX('كشف الحساب'!$C$4:$C$203,IFERROR(MATCH(41,'كشف الحساب'!$N$4:$N$203,0),0))),"")</f>
        <v>أقامه نزمول 3 سنوات</v>
      </c>
      <c r="D45" s="66">
        <f>IFERROR(IF(IFERROR(MATCH(41,'كشف الحساب'!$N$4:$N$203,0),0)=0,"",INDEX('كشف الحساب'!$D$4:$D$203,IFERROR(MATCH(41,'كشف الحساب'!$N$4:$N$203,0),0))),"")</f>
        <v>35</v>
      </c>
      <c r="E45" s="67">
        <f>IFERROR(IF(IFERROR(MATCH(41,'كشف الحساب'!$N$4:$N$203,0),0)=0,"",INDEX('كشف الحساب'!$E$4:$E$203,IFERROR(MATCH(41,'كشف الحساب'!$N$4:$N$203,0),0))),"")</f>
        <v>0</v>
      </c>
      <c r="F45" s="64" t="str">
        <f>IFERROR(IF(IFERROR(MATCH(41,'كشف الحساب'!$N$4:$N$203,0),0)=0,"",INDEX('كشف الحساب'!$F$4:$F$203,IFERROR(MATCH(41,'كشف الحساب'!$N$4:$N$203,0),0))),"")</f>
        <v>نقداً</v>
      </c>
      <c r="G45" s="64" t="str">
        <f>IFERROR(IF(IFERROR(MATCH(41,'كشف الحساب'!$N$4:$N$203,0),0)=0,"",INDEX('كشف الحساب'!$G$4:$G$203,IFERROR(MATCH(41,'كشف الحساب'!$N$4:$N$203,0),0))),"")</f>
        <v>المحفظة</v>
      </c>
      <c r="H45" s="64" t="str">
        <f>IFERROR(IF(IFERROR(MATCH(41,'كشف الحساب'!$N$4:$N$203,0),0)=0,"",INDEX('كشف الحساب'!$H$4:$H$203,IFERROR(MATCH(41,'كشف الحساب'!$N$4:$N$203,0),0))),"")</f>
        <v>تم الدفع</v>
      </c>
      <c r="I45" s="64">
        <f>IFERROR(IF(IFERROR(MATCH(41,'كشف الحساب'!$N$4:$N$203,0),0)=0,"",INDEX('كشف الحساب'!$I$4:$I$203,IFERROR(MATCH(41,'كشف الحساب'!$N$4:$N$203,0),0))),"")</f>
        <v>0</v>
      </c>
      <c r="J45" s="68">
        <f>IFERROR(IF(IFERROR(MATCH(41,'كشف الحساب'!$N$4:$N$203,0),0)=0,"",INDEX('كشف الحساب'!$J$4:$J$203,IFERROR(MATCH(41,'كشف الحساب'!$N$4:$N$203,0),0))),"")</f>
        <v>567.94500000000005</v>
      </c>
      <c r="K45" s="64">
        <f>IFERROR(IF(IFERROR(MATCH(41,'كشف الحساب'!$N$4:$N$203,0),0)=0,"",INDEX('كشف الحساب'!$K$4:$K$203,IFERROR(MATCH(41,'كشف الحساب'!$N$4:$N$203,0),0))),"")</f>
        <v>0</v>
      </c>
    </row>
    <row r="46" spans="1:11" ht="15" customHeight="1" x14ac:dyDescent="0.25">
      <c r="A46" s="69">
        <f>IFERROR(IF(IFERROR(MATCH(42,'كشف الحساب'!$N$4:$N$203,0),0)=0,"",INDEX('كشف الحساب'!$A$4:$A$203,IFERROR(MATCH(42,'كشف الحساب'!$N$4:$N$203,0),0))),"")</f>
        <v>46265</v>
      </c>
      <c r="B46" s="70">
        <f>IFERROR(IF(IFERROR(MATCH(42,'كشف الحساب'!$N$4:$N$203,0),0)=0,"",INDEX('كشف الحساب'!$B$4:$B$203,IFERROR(MATCH(42,'كشف الحساب'!$N$4:$N$203,0),0))),"")</f>
        <v>0</v>
      </c>
      <c r="C46" s="71" t="str">
        <f>IFERROR(IF(IFERROR(MATCH(42,'كشف الحساب'!$N$4:$N$203,0),0)=0,"",INDEX('كشف الحساب'!$C$4:$C$203,IFERROR(MATCH(42,'كشف الحساب'!$N$4:$N$203,0),0))),"")</f>
        <v>رواتب + كهرباء وماء</v>
      </c>
      <c r="D46" s="72">
        <f>IFERROR(IF(IFERROR(MATCH(42,'كشف الحساب'!$N$4:$N$203,0),0)=0,"",INDEX('كشف الحساب'!$D$4:$D$203,IFERROR(MATCH(42,'كشف الحساب'!$N$4:$N$203,0),0))),"")</f>
        <v>470</v>
      </c>
      <c r="E46" s="73">
        <f>IFERROR(IF(IFERROR(MATCH(42,'كشف الحساب'!$N$4:$N$203,0),0)=0,"",INDEX('كشف الحساب'!$E$4:$E$203,IFERROR(MATCH(42,'كشف الحساب'!$N$4:$N$203,0),0))),"")</f>
        <v>0</v>
      </c>
      <c r="F46" s="70" t="str">
        <f>IFERROR(IF(IFERROR(MATCH(42,'كشف الحساب'!$N$4:$N$203,0),0)=0,"",INDEX('كشف الحساب'!$F$4:$F$203,IFERROR(MATCH(42,'كشف الحساب'!$N$4:$N$203,0),0))),"")</f>
        <v>نقداً</v>
      </c>
      <c r="G46" s="70" t="str">
        <f>IFERROR(IF(IFERROR(MATCH(42,'كشف الحساب'!$N$4:$N$203,0),0)=0,"",INDEX('كشف الحساب'!$G$4:$G$203,IFERROR(MATCH(42,'كشف الحساب'!$N$4:$N$203,0),0))),"")</f>
        <v>المحفظة</v>
      </c>
      <c r="H46" s="70" t="str">
        <f>IFERROR(IF(IFERROR(MATCH(42,'كشف الحساب'!$N$4:$N$203,0),0)=0,"",INDEX('كشف الحساب'!$H$4:$H$203,IFERROR(MATCH(42,'كشف الحساب'!$N$4:$N$203,0),0))),"")</f>
        <v>تم الدفع</v>
      </c>
      <c r="I46" s="70">
        <f>IFERROR(IF(IFERROR(MATCH(42,'كشف الحساب'!$N$4:$N$203,0),0)=0,"",INDEX('كشف الحساب'!$I$4:$I$203,IFERROR(MATCH(42,'كشف الحساب'!$N$4:$N$203,0),0))),"")</f>
        <v>0</v>
      </c>
      <c r="J46" s="74">
        <f>IFERROR(IF(IFERROR(MATCH(42,'كشف الحساب'!$N$4:$N$203,0),0)=0,"",INDEX('كشف الحساب'!$J$4:$J$203,IFERROR(MATCH(42,'كشف الحساب'!$N$4:$N$203,0),0))),"")</f>
        <v>97.94500000000005</v>
      </c>
      <c r="K46" s="70">
        <f>IFERROR(IF(IFERROR(MATCH(42,'كشف الحساب'!$N$4:$N$203,0),0)=0,"",INDEX('كشف الحساب'!$K$4:$K$203,IFERROR(MATCH(42,'كشف الحساب'!$N$4:$N$203,0),0))),"")</f>
        <v>0</v>
      </c>
    </row>
    <row r="47" spans="1:11" ht="15" customHeight="1" x14ac:dyDescent="0.25">
      <c r="A47" s="63" t="str">
        <f>IFERROR(IF(IFERROR(MATCH(43,'كشف الحساب'!$N$4:$N$203,0),0)=0,"",INDEX('كشف الحساب'!$A$4:$A$203,IFERROR(MATCH(43,'كشف الحساب'!$N$4:$N$203,0),0))),"")</f>
        <v/>
      </c>
      <c r="B47" s="64" t="str">
        <f>IFERROR(IF(IFERROR(MATCH(43,'كشف الحساب'!$N$4:$N$203,0),0)=0,"",INDEX('كشف الحساب'!$B$4:$B$203,IFERROR(MATCH(43,'كشف الحساب'!$N$4:$N$203,0),0))),"")</f>
        <v/>
      </c>
      <c r="C47" s="65" t="str">
        <f>IFERROR(IF(IFERROR(MATCH(43,'كشف الحساب'!$N$4:$N$203,0),0)=0,"",INDEX('كشف الحساب'!$C$4:$C$203,IFERROR(MATCH(43,'كشف الحساب'!$N$4:$N$203,0),0))),"")</f>
        <v/>
      </c>
      <c r="D47" s="66" t="str">
        <f>IFERROR(IF(IFERROR(MATCH(43,'كشف الحساب'!$N$4:$N$203,0),0)=0,"",INDEX('كشف الحساب'!$D$4:$D$203,IFERROR(MATCH(43,'كشف الحساب'!$N$4:$N$203,0),0))),"")</f>
        <v/>
      </c>
      <c r="E47" s="67" t="str">
        <f>IFERROR(IF(IFERROR(MATCH(43,'كشف الحساب'!$N$4:$N$203,0),0)=0,"",INDEX('كشف الحساب'!$E$4:$E$203,IFERROR(MATCH(43,'كشف الحساب'!$N$4:$N$203,0),0))),"")</f>
        <v/>
      </c>
      <c r="F47" s="64" t="str">
        <f>IFERROR(IF(IFERROR(MATCH(43,'كشف الحساب'!$N$4:$N$203,0),0)=0,"",INDEX('كشف الحساب'!$F$4:$F$203,IFERROR(MATCH(43,'كشف الحساب'!$N$4:$N$203,0),0))),"")</f>
        <v/>
      </c>
      <c r="G47" s="64" t="str">
        <f>IFERROR(IF(IFERROR(MATCH(43,'كشف الحساب'!$N$4:$N$203,0),0)=0,"",INDEX('كشف الحساب'!$G$4:$G$203,IFERROR(MATCH(43,'كشف الحساب'!$N$4:$N$203,0),0))),"")</f>
        <v/>
      </c>
      <c r="H47" s="64" t="str">
        <f>IFERROR(IF(IFERROR(MATCH(43,'كشف الحساب'!$N$4:$N$203,0),0)=0,"",INDEX('كشف الحساب'!$H$4:$H$203,IFERROR(MATCH(43,'كشف الحساب'!$N$4:$N$203,0),0))),"")</f>
        <v/>
      </c>
      <c r="I47" s="64" t="str">
        <f>IFERROR(IF(IFERROR(MATCH(43,'كشف الحساب'!$N$4:$N$203,0),0)=0,"",INDEX('كشف الحساب'!$I$4:$I$203,IFERROR(MATCH(43,'كشف الحساب'!$N$4:$N$203,0),0))),"")</f>
        <v/>
      </c>
      <c r="J47" s="68" t="str">
        <f>IFERROR(IF(IFERROR(MATCH(43,'كشف الحساب'!$N$4:$N$203,0),0)=0,"",INDEX('كشف الحساب'!$J$4:$J$203,IFERROR(MATCH(43,'كشف الحساب'!$N$4:$N$203,0),0))),"")</f>
        <v/>
      </c>
      <c r="K47" s="64" t="str">
        <f>IFERROR(IF(IFERROR(MATCH(43,'كشف الحساب'!$N$4:$N$203,0),0)=0,"",INDEX('كشف الحساب'!$K$4:$K$203,IFERROR(MATCH(43,'كشف الحساب'!$N$4:$N$203,0),0))),"")</f>
        <v/>
      </c>
    </row>
    <row r="48" spans="1:11" ht="15" customHeight="1" x14ac:dyDescent="0.25">
      <c r="A48" s="69" t="str">
        <f>IFERROR(IF(IFERROR(MATCH(44,'كشف الحساب'!$N$4:$N$203,0),0)=0,"",INDEX('كشف الحساب'!$A$4:$A$203,IFERROR(MATCH(44,'كشف الحساب'!$N$4:$N$203,0),0))),"")</f>
        <v/>
      </c>
      <c r="B48" s="70" t="str">
        <f>IFERROR(IF(IFERROR(MATCH(44,'كشف الحساب'!$N$4:$N$203,0),0)=0,"",INDEX('كشف الحساب'!$B$4:$B$203,IFERROR(MATCH(44,'كشف الحساب'!$N$4:$N$203,0),0))),"")</f>
        <v/>
      </c>
      <c r="C48" s="71" t="str">
        <f>IFERROR(IF(IFERROR(MATCH(44,'كشف الحساب'!$N$4:$N$203,0),0)=0,"",INDEX('كشف الحساب'!$C$4:$C$203,IFERROR(MATCH(44,'كشف الحساب'!$N$4:$N$203,0),0))),"")</f>
        <v/>
      </c>
      <c r="D48" s="72" t="str">
        <f>IFERROR(IF(IFERROR(MATCH(44,'كشف الحساب'!$N$4:$N$203,0),0)=0,"",INDEX('كشف الحساب'!$D$4:$D$203,IFERROR(MATCH(44,'كشف الحساب'!$N$4:$N$203,0),0))),"")</f>
        <v/>
      </c>
      <c r="E48" s="73" t="str">
        <f>IFERROR(IF(IFERROR(MATCH(44,'كشف الحساب'!$N$4:$N$203,0),0)=0,"",INDEX('كشف الحساب'!$E$4:$E$203,IFERROR(MATCH(44,'كشف الحساب'!$N$4:$N$203,0),0))),"")</f>
        <v/>
      </c>
      <c r="F48" s="70" t="str">
        <f>IFERROR(IF(IFERROR(MATCH(44,'كشف الحساب'!$N$4:$N$203,0),0)=0,"",INDEX('كشف الحساب'!$F$4:$F$203,IFERROR(MATCH(44,'كشف الحساب'!$N$4:$N$203,0),0))),"")</f>
        <v/>
      </c>
      <c r="G48" s="70" t="str">
        <f>IFERROR(IF(IFERROR(MATCH(44,'كشف الحساب'!$N$4:$N$203,0),0)=0,"",INDEX('كشف الحساب'!$G$4:$G$203,IFERROR(MATCH(44,'كشف الحساب'!$N$4:$N$203,0),0))),"")</f>
        <v/>
      </c>
      <c r="H48" s="70" t="str">
        <f>IFERROR(IF(IFERROR(MATCH(44,'كشف الحساب'!$N$4:$N$203,0),0)=0,"",INDEX('كشف الحساب'!$H$4:$H$203,IFERROR(MATCH(44,'كشف الحساب'!$N$4:$N$203,0),0))),"")</f>
        <v/>
      </c>
      <c r="I48" s="70" t="str">
        <f>IFERROR(IF(IFERROR(MATCH(44,'كشف الحساب'!$N$4:$N$203,0),0)=0,"",INDEX('كشف الحساب'!$I$4:$I$203,IFERROR(MATCH(44,'كشف الحساب'!$N$4:$N$203,0),0))),"")</f>
        <v/>
      </c>
      <c r="J48" s="74" t="str">
        <f>IFERROR(IF(IFERROR(MATCH(44,'كشف الحساب'!$N$4:$N$203,0),0)=0,"",INDEX('كشف الحساب'!$J$4:$J$203,IFERROR(MATCH(44,'كشف الحساب'!$N$4:$N$203,0),0))),"")</f>
        <v/>
      </c>
      <c r="K48" s="70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68" t="s">
        <v>265</v>
      </c>
      <c r="B155" s="157"/>
      <c r="C155" s="157"/>
      <c r="D155" s="75">
        <f>SUM(D5:D154)</f>
        <v>1301.95</v>
      </c>
      <c r="E155" s="75">
        <f>SUM(E5:E154)</f>
        <v>600.5</v>
      </c>
      <c r="F155" s="169">
        <f>COUNTIF(H5:H154,"معلق")</f>
        <v>0</v>
      </c>
      <c r="G155" s="157"/>
      <c r="H155" s="157"/>
      <c r="I155" s="76"/>
      <c r="J155" s="75">
        <f>E155-D155</f>
        <v>-701.45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2" t="s">
        <v>268</v>
      </c>
      <c r="B1" s="157"/>
      <c r="C1" s="157"/>
      <c r="D1" s="157"/>
      <c r="E1" s="157"/>
      <c r="F1" s="157"/>
      <c r="G1" s="157"/>
    </row>
    <row r="2" spans="1:7" ht="24" customHeight="1" x14ac:dyDescent="0.25">
      <c r="A2" s="167" t="s">
        <v>269</v>
      </c>
      <c r="B2" s="157"/>
      <c r="C2" s="56" t="s">
        <v>342</v>
      </c>
      <c r="D2" s="167" t="s">
        <v>270</v>
      </c>
      <c r="E2" s="157"/>
      <c r="F2" s="56">
        <v>2026</v>
      </c>
    </row>
    <row r="3" spans="1:7" ht="21.75" customHeight="1" x14ac:dyDescent="0.25">
      <c r="A3" s="171" t="s">
        <v>271</v>
      </c>
      <c r="B3" s="157"/>
      <c r="C3" s="57">
        <f>المحفظة!$D$2</f>
        <v>0</v>
      </c>
      <c r="D3" s="171" t="s">
        <v>272</v>
      </c>
      <c r="E3" s="157"/>
      <c r="F3" s="78">
        <f>المحفظة!$C$3</f>
        <v>0</v>
      </c>
    </row>
    <row r="4" spans="1:7" ht="21.75" customHeight="1" x14ac:dyDescent="0.25">
      <c r="A4" s="173" t="s">
        <v>273</v>
      </c>
      <c r="B4" s="157"/>
      <c r="C4" s="157"/>
      <c r="D4" s="157"/>
      <c r="E4" s="157"/>
      <c r="F4" s="157"/>
      <c r="G4" s="157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3" t="s">
        <v>266</v>
      </c>
      <c r="B55" s="157"/>
      <c r="C55" s="157"/>
      <c r="D55" s="157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2" t="s">
        <v>275</v>
      </c>
      <c r="B56" s="157"/>
      <c r="C56" s="157"/>
      <c r="D56" s="157"/>
      <c r="E56" s="157"/>
      <c r="F56" s="157"/>
      <c r="G56" s="157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2" t="s">
        <v>276</v>
      </c>
      <c r="B107" s="157"/>
      <c r="C107" s="157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68" t="s">
        <v>277</v>
      </c>
      <c r="B108" s="157"/>
      <c r="C108" s="157"/>
      <c r="D108" s="75">
        <f>E55-D107</f>
        <v>0</v>
      </c>
      <c r="E108" s="174">
        <f>SUM(E5:E107)</f>
        <v>0</v>
      </c>
      <c r="F108" s="157"/>
      <c r="G108" s="158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2026-08-30T20:13:55Z</dcterms:modified>
  <dc:language>en-US</dc:language>
</cp:coreProperties>
</file>