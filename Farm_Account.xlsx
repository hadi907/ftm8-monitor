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437AA31C-524B-4691-AE98-39E374D6DAFB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N131" i="2"/>
  <c r="M131" i="2"/>
  <c r="L131" i="2"/>
  <c r="J131" i="2"/>
  <c r="Q130" i="2"/>
  <c r="P130" i="2"/>
  <c r="O130" i="2"/>
  <c r="N130" i="2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J127" i="2"/>
  <c r="Q126" i="2"/>
  <c r="P126" i="2"/>
  <c r="O126" i="2"/>
  <c r="N126" i="2"/>
  <c r="M126" i="2"/>
  <c r="L126" i="2"/>
  <c r="J126" i="2"/>
  <c r="Q125" i="2"/>
  <c r="P125" i="2"/>
  <c r="O125" i="2"/>
  <c r="N125" i="2"/>
  <c r="M125" i="2"/>
  <c r="L125" i="2"/>
  <c r="J125" i="2"/>
  <c r="Q124" i="2"/>
  <c r="P124" i="2"/>
  <c r="O124" i="2"/>
  <c r="N124" i="2"/>
  <c r="M124" i="2"/>
  <c r="L124" i="2"/>
  <c r="J124" i="2"/>
  <c r="Q123" i="2"/>
  <c r="P123" i="2"/>
  <c r="O123" i="2"/>
  <c r="N123" i="2"/>
  <c r="M123" i="2"/>
  <c r="L123" i="2"/>
  <c r="J123" i="2"/>
  <c r="Q122" i="2"/>
  <c r="P122" i="2"/>
  <c r="O122" i="2"/>
  <c r="N122" i="2"/>
  <c r="M122" i="2"/>
  <c r="L122" i="2"/>
  <c r="J122" i="2"/>
  <c r="Q121" i="2"/>
  <c r="P121" i="2"/>
  <c r="O121" i="2"/>
  <c r="N121" i="2"/>
  <c r="M121" i="2"/>
  <c r="L121" i="2"/>
  <c r="J121" i="2"/>
  <c r="Q120" i="2"/>
  <c r="P120" i="2"/>
  <c r="O120" i="2"/>
  <c r="N120" i="2"/>
  <c r="M120" i="2"/>
  <c r="L120" i="2"/>
  <c r="J120" i="2"/>
  <c r="Q119" i="2"/>
  <c r="P119" i="2"/>
  <c r="O119" i="2"/>
  <c r="N119" i="2"/>
  <c r="M119" i="2"/>
  <c r="L119" i="2"/>
  <c r="J119" i="2"/>
  <c r="Q118" i="2"/>
  <c r="P118" i="2"/>
  <c r="O118" i="2"/>
  <c r="N118" i="2"/>
  <c r="M118" i="2"/>
  <c r="L118" i="2"/>
  <c r="J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J116" i="2"/>
  <c r="J117" i="2" s="1"/>
  <c r="Q115" i="2"/>
  <c r="P115" i="2"/>
  <c r="O115" i="2"/>
  <c r="N115" i="2"/>
  <c r="M115" i="2"/>
  <c r="L115" i="2"/>
  <c r="J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J113" i="2"/>
  <c r="J114" i="2" s="1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F113" i="1" s="1"/>
  <c r="E125" i="1"/>
  <c r="C139" i="1"/>
  <c r="D90" i="1"/>
  <c r="B92" i="1"/>
  <c r="D94" i="1"/>
  <c r="E97" i="1"/>
  <c r="A101" i="1"/>
  <c r="B104" i="1"/>
  <c r="C107" i="1"/>
  <c r="D110" i="1"/>
  <c r="E113" i="1"/>
  <c r="A117" i="1"/>
  <c r="F117" i="1" s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F116" i="1" s="1"/>
  <c r="B115" i="1"/>
  <c r="C114" i="1"/>
  <c r="D113" i="1"/>
  <c r="E112" i="1"/>
  <c r="A112" i="1"/>
  <c r="F112" i="1" s="1"/>
  <c r="B111" i="1"/>
  <c r="C110" i="1"/>
  <c r="D109" i="1"/>
  <c r="E108" i="1"/>
  <c r="A108" i="1"/>
  <c r="F108" i="1" s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F115" i="1" s="1"/>
  <c r="B114" i="1"/>
  <c r="C113" i="1"/>
  <c r="D112" i="1"/>
  <c r="E111" i="1"/>
  <c r="A111" i="1"/>
  <c r="F111" i="1" s="1"/>
  <c r="B110" i="1"/>
  <c r="C109" i="1"/>
  <c r="D108" i="1"/>
  <c r="E107" i="1"/>
  <c r="A107" i="1"/>
  <c r="F107" i="1" s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F114" i="1" s="1"/>
  <c r="B113" i="1"/>
  <c r="C112" i="1"/>
  <c r="D111" i="1"/>
  <c r="E110" i="1"/>
  <c r="A110" i="1"/>
  <c r="F110" i="1" s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F109" i="1" s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E5" i="5"/>
  <c r="H5" i="5"/>
  <c r="B6" i="5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6" i="5"/>
  <c r="E108" i="6"/>
  <c r="E206" i="1" l="1"/>
  <c r="D206" i="1"/>
  <c r="A5" i="5"/>
  <c r="J5" i="5"/>
  <c r="K5" i="5"/>
  <c r="D312" i="1"/>
  <c r="I5" i="5"/>
  <c r="D5" i="5"/>
  <c r="C6" i="5"/>
  <c r="D6" i="5"/>
  <c r="D310" i="1"/>
  <c r="J6" i="5"/>
  <c r="F6" i="5"/>
  <c r="A6" i="5"/>
  <c r="B5" i="5"/>
  <c r="G6" i="5"/>
  <c r="C5" i="5"/>
  <c r="H6" i="5"/>
  <c r="G7" i="5"/>
  <c r="N60" i="2"/>
  <c r="B7" i="5"/>
  <c r="C7" i="5"/>
  <c r="I6" i="5"/>
  <c r="F5" i="5"/>
  <c r="K6" i="5"/>
  <c r="G5" i="5"/>
  <c r="A7" i="5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D311" i="1"/>
  <c r="F206" i="1" l="1"/>
  <c r="F2" i="1" s="1"/>
  <c r="J7" i="5"/>
  <c r="E7" i="5"/>
  <c r="H7" i="5"/>
  <c r="N61" i="2"/>
  <c r="B8" i="5"/>
  <c r="J8" i="5"/>
  <c r="N62" i="2"/>
  <c r="B9" i="5"/>
  <c r="I7" i="5"/>
  <c r="G8" i="5"/>
  <c r="G9" i="5"/>
  <c r="F7" i="5"/>
  <c r="D8" i="5"/>
  <c r="C9" i="5"/>
  <c r="K8" i="5"/>
  <c r="K7" i="5"/>
  <c r="D7" i="5"/>
  <c r="C8" i="5"/>
  <c r="E9" i="5"/>
  <c r="D9" i="5" l="1"/>
  <c r="I9" i="5"/>
  <c r="F9" i="5"/>
  <c r="H9" i="5"/>
  <c r="E8" i="5"/>
  <c r="J9" i="5"/>
  <c r="F8" i="5"/>
  <c r="K9" i="5"/>
  <c r="I8" i="5"/>
  <c r="A8" i="5"/>
  <c r="H8" i="5"/>
  <c r="N63" i="2"/>
  <c r="A9" i="5"/>
  <c r="B10" i="5" l="1"/>
  <c r="C10" i="5"/>
  <c r="E10" i="5"/>
  <c r="D10" i="5"/>
  <c r="G10" i="5"/>
  <c r="K10" i="5"/>
  <c r="N64" i="2"/>
  <c r="I11" i="5"/>
  <c r="A11" i="5"/>
  <c r="H10" i="5"/>
  <c r="J10" i="5"/>
  <c r="K11" i="5"/>
  <c r="I10" i="5"/>
  <c r="B11" i="5"/>
  <c r="G11" i="5"/>
  <c r="F10" i="5"/>
  <c r="F11" i="5"/>
  <c r="A10" i="5"/>
  <c r="C11" i="5"/>
  <c r="D11" i="5"/>
  <c r="N65" i="2" l="1"/>
  <c r="K12" i="5"/>
  <c r="J11" i="5"/>
  <c r="A12" i="5"/>
  <c r="H11" i="5"/>
  <c r="E12" i="5"/>
  <c r="C12" i="5"/>
  <c r="E11" i="5"/>
  <c r="J13" i="5" l="1"/>
  <c r="I12" i="5"/>
  <c r="N66" i="2"/>
  <c r="F12" i="5"/>
  <c r="G12" i="5"/>
  <c r="J12" i="5"/>
  <c r="E13" i="5"/>
  <c r="A13" i="5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K26" i="5" l="1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C37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37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E37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<sst xmlns="http://schemas.openxmlformats.org/spreadsheetml/2006/main" count="694" uniqueCount="311">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</sst>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3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1" t="s">
        <v>0</v>
      </c>
      <c r="B1" s="148"/>
      <c r="C1" s="148"/>
      <c r="D1" s="148"/>
      <c r="E1" s="148"/>
      <c r="F1" s="149"/>
    </row>
    <row r="2" spans="1:6" ht="30" customHeight="1" x14ac:dyDescent="0.25">
      <c r="A2" s="150" t="s">
        <v>1</v>
      </c>
      <c r="B2" s="148"/>
      <c r="C2" s="148"/>
      <c r="D2" s="148"/>
      <c r="E2" s="149"/>
      <c r="F2" s="119">
        <f>F206</f>
        <v>142.625</v>
      </c>
    </row>
    <row r="3" spans="1:6" ht="6" customHeight="1" x14ac:dyDescent="0.25">
      <c r="A3" s="153"/>
      <c r="B3" s="148"/>
      <c r="C3" s="148"/>
      <c r="D3" s="148"/>
      <c r="E3" s="148"/>
      <c r="F3" s="149"/>
    </row>
    <row r="4" spans="1:6" ht="27.95" customHeight="1" x14ac:dyDescent="0.25">
      <c r="A4" s="152" t="s">
        <v>2</v>
      </c>
      <c r="B4" s="148"/>
      <c r="C4" s="148"/>
      <c r="D4" s="148"/>
      <c r="E4" s="148"/>
      <c r="F4" s="14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 t="str">
        <f>IFERROR(INDEX('كشف الحساب'!$A$4:$A$204,MATCH(102,'كشف الحساب'!$P$4:$P$204,0)),"")</f>
        <v/>
      </c>
      <c r="B107" s="122" t="str">
        <f>IFERROR(INDEX('كشف الحساب'!$B$4:$B$204,MATCH(102,'كشف الحساب'!$P$4:$P$204,0)),"")</f>
        <v/>
      </c>
      <c r="C107" s="121" t="str">
        <f>IFERROR(INDEX('كشف الحساب'!$C$4:$C$204,MATCH(102,'كشف الحساب'!$P$4:$P$204,0)),"")</f>
        <v/>
      </c>
      <c r="D107" s="123" t="str">
        <f>IFERROR(INDEX('كشف الحساب'!$E$4:$E$204,MATCH(102,'كشف الحساب'!$P$4:$P$204,0)),"")</f>
        <v/>
      </c>
      <c r="E107" s="124" t="str">
        <f>IFERROR(INDEX('كشف الحساب'!$D$4:$D$204,MATCH(102,'كشف الحساب'!$P$4:$P$204,0)),"")</f>
        <v/>
      </c>
      <c r="F107" s="125" t="str">
        <f t="shared" si="3"/>
        <v/>
      </c>
    </row>
    <row r="108" spans="1:6" ht="18" customHeight="1" x14ac:dyDescent="0.25">
      <c r="A108" s="142" t="str">
        <f>IFERROR(INDEX('كشف الحساب'!$A$4:$A$204,MATCH(103,'كشف الحساب'!$P$4:$P$204,0)),"")</f>
        <v/>
      </c>
      <c r="B108" s="122" t="str">
        <f>IFERROR(INDEX('كشف الحساب'!$B$4:$B$204,MATCH(103,'كشف الحساب'!$P$4:$P$204,0)),"")</f>
        <v/>
      </c>
      <c r="C108" s="121" t="str">
        <f>IFERROR(INDEX('كشف الحساب'!$C$4:$C$204,MATCH(103,'كشف الحساب'!$P$4:$P$204,0)),"")</f>
        <v/>
      </c>
      <c r="D108" s="123" t="str">
        <f>IFERROR(INDEX('كشف الحساب'!$E$4:$E$204,MATCH(103,'كشف الحساب'!$P$4:$P$204,0)),"")</f>
        <v/>
      </c>
      <c r="E108" s="124" t="str">
        <f>IFERROR(INDEX('كشف الحساب'!$D$4:$D$204,MATCH(103,'كشف الحساب'!$P$4:$P$204,0)),"")</f>
        <v/>
      </c>
      <c r="F108" s="125" t="str">
        <f t="shared" si="3"/>
        <v/>
      </c>
    </row>
    <row r="109" spans="1:6" ht="18" customHeight="1" x14ac:dyDescent="0.25">
      <c r="A109" s="142" t="str">
        <f>IFERROR(INDEX('كشف الحساب'!$A$4:$A$204,MATCH(104,'كشف الحساب'!$P$4:$P$204,0)),"")</f>
        <v/>
      </c>
      <c r="B109" s="122" t="str">
        <f>IFERROR(INDEX('كشف الحساب'!$B$4:$B$204,MATCH(104,'كشف الحساب'!$P$4:$P$204,0)),"")</f>
        <v/>
      </c>
      <c r="C109" s="121" t="str">
        <f>IFERROR(INDEX('كشف الحساب'!$C$4:$C$204,MATCH(104,'كشف الحساب'!$P$4:$P$204,0)),"")</f>
        <v/>
      </c>
      <c r="D109" s="123" t="str">
        <f>IFERROR(INDEX('كشف الحساب'!$E$4:$E$204,MATCH(104,'كشف الحساب'!$P$4:$P$204,0)),"")</f>
        <v/>
      </c>
      <c r="E109" s="124" t="str">
        <f>IFERROR(INDEX('كشف الحساب'!$D$4:$D$204,MATCH(104,'كشف الحساب'!$P$4:$P$204,0)),"")</f>
        <v/>
      </c>
      <c r="F109" s="125" t="str">
        <f t="shared" si="3"/>
        <v/>
      </c>
    </row>
    <row r="110" spans="1:6" ht="18" customHeight="1" x14ac:dyDescent="0.25">
      <c r="A110" s="142" t="str">
        <f>IFERROR(INDEX('كشف الحساب'!$A$4:$A$204,MATCH(105,'كشف الحساب'!$P$4:$P$204,0)),"")</f>
        <v/>
      </c>
      <c r="B110" s="122" t="str">
        <f>IFERROR(INDEX('كشف الحساب'!$B$4:$B$204,MATCH(105,'كشف الحساب'!$P$4:$P$204,0)),"")</f>
        <v/>
      </c>
      <c r="C110" s="121" t="str">
        <f>IFERROR(INDEX('كشف الحساب'!$C$4:$C$204,MATCH(105,'كشف الحساب'!$P$4:$P$204,0)),"")</f>
        <v/>
      </c>
      <c r="D110" s="123" t="str">
        <f>IFERROR(INDEX('كشف الحساب'!$E$4:$E$204,MATCH(105,'كشف الحساب'!$P$4:$P$204,0)),"")</f>
        <v/>
      </c>
      <c r="E110" s="124" t="str">
        <f>IFERROR(INDEX('كشف الحساب'!$D$4:$D$204,MATCH(105,'كشف الحساب'!$P$4:$P$204,0)),"")</f>
        <v/>
      </c>
      <c r="F110" s="125" t="str">
        <f t="shared" si="3"/>
        <v/>
      </c>
    </row>
    <row r="111" spans="1:6" ht="18" customHeight="1" x14ac:dyDescent="0.25">
      <c r="A111" s="142" t="str">
        <f>IFERROR(INDEX('كشف الحساب'!$A$4:$A$204,MATCH(106,'كشف الحساب'!$P$4:$P$204,0)),"")</f>
        <v/>
      </c>
      <c r="B111" s="122" t="str">
        <f>IFERROR(INDEX('كشف الحساب'!$B$4:$B$204,MATCH(106,'كشف الحساب'!$P$4:$P$204,0)),"")</f>
        <v/>
      </c>
      <c r="C111" s="121" t="str">
        <f>IFERROR(INDEX('كشف الحساب'!$C$4:$C$204,MATCH(106,'كشف الحساب'!$P$4:$P$204,0)),"")</f>
        <v/>
      </c>
      <c r="D111" s="123" t="str">
        <f>IFERROR(INDEX('كشف الحساب'!$E$4:$E$204,MATCH(106,'كشف الحساب'!$P$4:$P$204,0)),"")</f>
        <v/>
      </c>
      <c r="E111" s="124" t="str">
        <f>IFERROR(INDEX('كشف الحساب'!$D$4:$D$204,MATCH(106,'كشف الحساب'!$P$4:$P$204,0)),"")</f>
        <v/>
      </c>
      <c r="F111" s="125" t="str">
        <f t="shared" si="3"/>
        <v/>
      </c>
    </row>
    <row r="112" spans="1:6" ht="18" customHeight="1" x14ac:dyDescent="0.25">
      <c r="A112" s="142" t="str">
        <f>IFERROR(INDEX('كشف الحساب'!$A$4:$A$204,MATCH(107,'كشف الحساب'!$P$4:$P$204,0)),"")</f>
        <v/>
      </c>
      <c r="B112" s="122" t="str">
        <f>IFERROR(INDEX('كشف الحساب'!$B$4:$B$204,MATCH(107,'كشف الحساب'!$P$4:$P$204,0)),"")</f>
        <v/>
      </c>
      <c r="C112" s="121" t="str">
        <f>IFERROR(INDEX('كشف الحساب'!$C$4:$C$204,MATCH(107,'كشف الحساب'!$P$4:$P$204,0)),"")</f>
        <v/>
      </c>
      <c r="D112" s="123" t="str">
        <f>IFERROR(INDEX('كشف الحساب'!$E$4:$E$204,MATCH(107,'كشف الحساب'!$P$4:$P$204,0)),"")</f>
        <v/>
      </c>
      <c r="E112" s="124" t="str">
        <f>IFERROR(INDEX('كشف الحساب'!$D$4:$D$204,MATCH(107,'كشف الحساب'!$P$4:$P$204,0)),"")</f>
        <v/>
      </c>
      <c r="F112" s="125" t="str">
        <f t="shared" si="3"/>
        <v/>
      </c>
    </row>
    <row r="113" spans="1:6" ht="18" customHeight="1" x14ac:dyDescent="0.25">
      <c r="A113" s="142" t="str">
        <f>IFERROR(INDEX('كشف الحساب'!$A$4:$A$204,MATCH(108,'كشف الحساب'!$P$4:$P$204,0)),"")</f>
        <v/>
      </c>
      <c r="B113" s="122" t="str">
        <f>IFERROR(INDEX('كشف الحساب'!$B$4:$B$204,MATCH(108,'كشف الحساب'!$P$4:$P$204,0)),"")</f>
        <v/>
      </c>
      <c r="C113" s="121" t="str">
        <f>IFERROR(INDEX('كشف الحساب'!$C$4:$C$204,MATCH(108,'كشف الحساب'!$P$4:$P$204,0)),"")</f>
        <v/>
      </c>
      <c r="D113" s="123" t="str">
        <f>IFERROR(INDEX('كشف الحساب'!$E$4:$E$204,MATCH(108,'كشف الحساب'!$P$4:$P$204,0)),"")</f>
        <v/>
      </c>
      <c r="E113" s="124" t="str">
        <f>IFERROR(INDEX('كشف الحساب'!$D$4:$D$204,MATCH(108,'كشف الحساب'!$P$4:$P$204,0)),"")</f>
        <v/>
      </c>
      <c r="F113" s="125" t="str">
        <f t="shared" si="3"/>
        <v/>
      </c>
    </row>
    <row r="114" spans="1:6" ht="18" customHeight="1" x14ac:dyDescent="0.25">
      <c r="A114" s="142" t="str">
        <f>IFERROR(INDEX('كشف الحساب'!$A$4:$A$204,MATCH(109,'كشف الحساب'!$P$4:$P$204,0)),"")</f>
        <v/>
      </c>
      <c r="B114" s="122" t="str">
        <f>IFERROR(INDEX('كشف الحساب'!$B$4:$B$204,MATCH(109,'كشف الحساب'!$P$4:$P$204,0)),"")</f>
        <v/>
      </c>
      <c r="C114" s="121" t="str">
        <f>IFERROR(INDEX('كشف الحساب'!$C$4:$C$204,MATCH(109,'كشف الحساب'!$P$4:$P$204,0)),"")</f>
        <v/>
      </c>
      <c r="D114" s="123" t="str">
        <f>IFERROR(INDEX('كشف الحساب'!$E$4:$E$204,MATCH(109,'كشف الحساب'!$P$4:$P$204,0)),"")</f>
        <v/>
      </c>
      <c r="E114" s="124" t="str">
        <f>IFERROR(INDEX('كشف الحساب'!$D$4:$D$204,MATCH(109,'كشف الحساب'!$P$4:$P$204,0)),"")</f>
        <v/>
      </c>
      <c r="F114" s="125" t="str">
        <f t="shared" si="3"/>
        <v/>
      </c>
    </row>
    <row r="115" spans="1:6" ht="18" customHeight="1" x14ac:dyDescent="0.25">
      <c r="A115" s="142" t="str">
        <f>IFERROR(INDEX('كشف الحساب'!$A$4:$A$204,MATCH(110,'كشف الحساب'!$P$4:$P$204,0)),"")</f>
        <v/>
      </c>
      <c r="B115" s="122" t="str">
        <f>IFERROR(INDEX('كشف الحساب'!$B$4:$B$204,MATCH(110,'كشف الحساب'!$P$4:$P$204,0)),"")</f>
        <v/>
      </c>
      <c r="C115" s="121" t="str">
        <f>IFERROR(INDEX('كشف الحساب'!$C$4:$C$204,MATCH(110,'كشف الحساب'!$P$4:$P$204,0)),"")</f>
        <v/>
      </c>
      <c r="D115" s="123" t="str">
        <f>IFERROR(INDEX('كشف الحساب'!$E$4:$E$204,MATCH(110,'كشف الحساب'!$P$4:$P$204,0)),"")</f>
        <v/>
      </c>
      <c r="E115" s="124" t="str">
        <f>IFERROR(INDEX('كشف الحساب'!$D$4:$D$204,MATCH(110,'كشف الحساب'!$P$4:$P$204,0)),"")</f>
        <v/>
      </c>
      <c r="F115" s="125" t="str">
        <f t="shared" si="3"/>
        <v/>
      </c>
    </row>
    <row r="116" spans="1:6" ht="18" customHeight="1" x14ac:dyDescent="0.25">
      <c r="A116" s="142" t="str">
        <f>IFERROR(INDEX('كشف الحساب'!$A$4:$A$204,MATCH(111,'كشف الحساب'!$P$4:$P$204,0)),"")</f>
        <v/>
      </c>
      <c r="B116" s="122" t="str">
        <f>IFERROR(INDEX('كشف الحساب'!$B$4:$B$204,MATCH(111,'كشف الحساب'!$P$4:$P$204,0)),"")</f>
        <v/>
      </c>
      <c r="C116" s="121" t="str">
        <f>IFERROR(INDEX('كشف الحساب'!$C$4:$C$204,MATCH(111,'كشف الحساب'!$P$4:$P$204,0)),"")</f>
        <v/>
      </c>
      <c r="D116" s="123" t="str">
        <f>IFERROR(INDEX('كشف الحساب'!$E$4:$E$204,MATCH(111,'كشف الحساب'!$P$4:$P$204,0)),"")</f>
        <v/>
      </c>
      <c r="E116" s="124" t="str">
        <f>IFERROR(INDEX('كشف الحساب'!$D$4:$D$204,MATCH(111,'كشف الحساب'!$P$4:$P$204,0)),"")</f>
        <v/>
      </c>
      <c r="F116" s="125" t="str">
        <f t="shared" si="3"/>
        <v/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696.6</v>
      </c>
      <c r="E206" s="129">
        <f>SUM(E6:E205)</f>
        <v>553.97499999999991</v>
      </c>
      <c r="F206" s="130">
        <f>IFERROR(LOOKUP(2,1/($F$6:$F$205&lt;&gt;""),$F$6:$F$205),0)</f>
        <v>142.625</v>
      </c>
    </row>
    <row r="208" spans="1:6" ht="18" customHeight="1" x14ac:dyDescent="0.25">
      <c r="A208" s="147" t="s">
        <v>10</v>
      </c>
      <c r="B208" s="148"/>
      <c r="C208" s="148"/>
      <c r="D208" s="148"/>
      <c r="E208" s="148"/>
      <c r="F208" s="14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 t="str">
        <f>IFERROR(INDEX('كشف الحساب'!$A$4:$A$204,MATCH(12,'كشف الحساب'!$Q$4:$Q$204,0)),"")</f>
        <v/>
      </c>
      <c r="B221" s="133" t="str">
        <f>IFERROR(INDEX('كشف الحساب'!$B$4:$B$204,MATCH(12,'كشف الحساب'!$Q$4:$Q$204,0)),"")</f>
        <v/>
      </c>
      <c r="C221" s="132" t="str">
        <f>IFERROR(INDEX('كشف الحساب'!$C$4:$C$204,MATCH(12,'كشف الحساب'!$Q$4:$Q$204,0)),"")</f>
        <v/>
      </c>
      <c r="D221" s="134" t="str">
        <f>IFERROR(INDEX('كشف الحساب'!$D$4:$D$204,MATCH(12,'كشف الحساب'!$Q$4:$Q$204,0)),"")</f>
        <v/>
      </c>
      <c r="E221" s="135" t="str">
        <f>IFERROR(INDEX('كشف الحساب'!$G$4:$G$204,MATCH(12,'كشف الحساب'!$Q$4:$Q$204,0)),"")</f>
        <v/>
      </c>
      <c r="F221" s="132"/>
    </row>
    <row r="222" spans="1:6" ht="18" customHeight="1" x14ac:dyDescent="0.25">
      <c r="A222" s="143" t="str">
        <f>IFERROR(INDEX('كشف الحساب'!$A$4:$A$204,MATCH(13,'كشف الحساب'!$Q$4:$Q$204,0)),"")</f>
        <v/>
      </c>
      <c r="B222" s="133" t="str">
        <f>IFERROR(INDEX('كشف الحساب'!$B$4:$B$204,MATCH(13,'كشف الحساب'!$Q$4:$Q$204,0)),"")</f>
        <v/>
      </c>
      <c r="C222" s="132" t="str">
        <f>IFERROR(INDEX('كشف الحساب'!$C$4:$C$204,MATCH(13,'كشف الحساب'!$Q$4:$Q$204,0)),"")</f>
        <v/>
      </c>
      <c r="D222" s="134" t="str">
        <f>IFERROR(INDEX('كشف الحساب'!$D$4:$D$204,MATCH(13,'كشف الحساب'!$Q$4:$Q$204,0)),"")</f>
        <v/>
      </c>
      <c r="E222" s="135" t="str">
        <f>IFERROR(INDEX('كشف الحساب'!$G$4:$G$204,MATCH(13,'كشف الحساب'!$Q$4:$Q$204,0)),"")</f>
        <v/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1022.5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562.5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460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13" activePane="bottomLeft" state="frozen"/>
      <selection pane="bottomLeft" activeCell="I122" sqref="I122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0" t="s">
        <v>16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7" ht="24" customHeight="1" x14ac:dyDescent="0.25">
      <c r="A2" s="157" t="s">
        <v>17</v>
      </c>
      <c r="B2" s="155"/>
      <c r="C2" s="155"/>
      <c r="D2" s="1">
        <v>0</v>
      </c>
      <c r="E2" s="158" t="s">
        <v>18</v>
      </c>
      <c r="F2" s="159"/>
      <c r="G2" s="159"/>
      <c r="H2" s="159"/>
      <c r="I2" s="159"/>
      <c r="J2" s="159"/>
      <c r="K2" s="15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>34</v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>35</v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>36</v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>37</v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>38</v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>39</v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>40</v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>41</v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>42</v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>43</v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50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50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308</v>
      </c>
      <c r="C120" s="37" t="s">
        <v>309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310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/>
      <c r="B122" s="36"/>
      <c r="C122" s="37"/>
      <c r="D122" s="38"/>
      <c r="E122" s="39"/>
      <c r="F122" s="136"/>
      <c r="G122" s="40"/>
      <c r="H122" s="41"/>
      <c r="I122" s="42"/>
      <c r="J122" s="43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 t="str">
        <f>IF(OR($A122="",$F122="أحد الشركاء",AND($D122="",$E122="")),"",SUMPRODUCT(($A$4:$A122&lt;&gt;"")*($F$4:$F122&lt;&gt;"أحد الشركاء")*((($D$4:$D122&lt;&gt;"")+($E$4:$E122&lt;&gt;""))&gt;0)))</f>
        <v/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/>
      <c r="B123" s="26"/>
      <c r="C123" s="27"/>
      <c r="D123" s="28"/>
      <c r="E123" s="29"/>
      <c r="F123" s="30"/>
      <c r="G123" s="31"/>
      <c r="H123" s="32"/>
      <c r="I123" s="33"/>
      <c r="J123" s="3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3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 t="str">
        <f>IF(OR($A123="",$F123="أحد الشركاء",AND($D123="",$E123="")),"",SUMPRODUCT(($A$4:$A123&lt;&gt;"")*($F$4:$F123&lt;&gt;"أحد الشركاء")*((($D$4:$D123&lt;&gt;"")+($E$4:$E123&lt;&gt;""))&gt;0)))</f>
        <v/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/>
      <c r="B124" s="36"/>
      <c r="C124" s="37"/>
      <c r="D124" s="38"/>
      <c r="E124" s="39"/>
      <c r="F124" s="136"/>
      <c r="G124" s="40"/>
      <c r="H124" s="41"/>
      <c r="I124" s="42"/>
      <c r="J124" s="43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44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 t="str">
        <f>IF(OR($A124="",$F124="أحد الشركاء",AND($D124="",$E124="")),"",SUMPRODUCT(($A$4:$A124&lt;&gt;"")*($F$4:$F124&lt;&gt;"أحد الشركاء")*((($D$4:$D124&lt;&gt;"")+($E$4:$E124&lt;&gt;""))&gt;0)))</f>
        <v/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/>
      <c r="B125" s="26"/>
      <c r="C125" s="27"/>
      <c r="D125" s="28"/>
      <c r="E125" s="29"/>
      <c r="F125" s="30"/>
      <c r="G125" s="31"/>
      <c r="H125" s="32"/>
      <c r="I125" s="33"/>
      <c r="J125" s="3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3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 t="str">
        <f>IF(OR($A125="",$F125="أحد الشركاء",AND($D125="",$E125="")),"",SUMPRODUCT(($A$4:$A125&lt;&gt;"")*($F$4:$F125&lt;&gt;"أحد الشركاء")*((($D$4:$D125&lt;&gt;"")+($E$4:$E125&lt;&gt;""))&gt;0)))</f>
        <v/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/>
      <c r="B126" s="36"/>
      <c r="C126" s="37"/>
      <c r="D126" s="38"/>
      <c r="E126" s="39"/>
      <c r="F126" s="136"/>
      <c r="G126" s="40"/>
      <c r="H126" s="41"/>
      <c r="I126" s="42"/>
      <c r="J126" s="43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44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 t="str">
        <f>IF(OR($A126="",$F126="أحد الشركاء",AND($D126="",$E126="")),"",SUMPRODUCT(($A$4:$A126&lt;&gt;"")*($F$4:$F126&lt;&gt;"أحد الشركاء")*((($D$4:$D126&lt;&gt;"")+($E$4:$E126&lt;&gt;""))&gt;0)))</f>
        <v/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/>
      <c r="B127" s="26"/>
      <c r="C127" s="27"/>
      <c r="D127" s="28"/>
      <c r="E127" s="29"/>
      <c r="F127" s="30"/>
      <c r="G127" s="31"/>
      <c r="H127" s="32"/>
      <c r="I127" s="33"/>
      <c r="J127" s="3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3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 t="str">
        <f>IF(OR($A127="",$F127="أحد الشركاء",AND($D127="",$E127="")),"",SUMPRODUCT(($A$4:$A127&lt;&gt;"")*($F$4:$F127&lt;&gt;"أحد الشركاء")*((($D$4:$D127&lt;&gt;"")+($E$4:$E127&lt;&gt;""))&gt;0)))</f>
        <v/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/>
      <c r="B128" s="36"/>
      <c r="C128" s="37"/>
      <c r="D128" s="38"/>
      <c r="E128" s="39"/>
      <c r="F128" s="136"/>
      <c r="G128" s="40"/>
      <c r="H128" s="41"/>
      <c r="I128" s="42"/>
      <c r="J128" s="43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44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 t="str">
        <f>IF(OR($A128="",$F128="أحد الشركاء",AND($D128="",$E128="")),"",SUMPRODUCT(($A$4:$A128&lt;&gt;"")*($F$4:$F128&lt;&gt;"أحد الشركاء")*((($D$4:$D128&lt;&gt;"")+($E$4:$E128&lt;&gt;""))&gt;0)))</f>
        <v/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25"/>
      <c r="B129" s="26"/>
      <c r="C129" s="27"/>
      <c r="D129" s="28"/>
      <c r="E129" s="29"/>
      <c r="F129" s="30"/>
      <c r="G129" s="31"/>
      <c r="H129" s="32"/>
      <c r="I129" s="33"/>
      <c r="J129" s="3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3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 t="str">
        <f>IF(OR($A129="",$F129="أحد الشركاء",AND($D129="",$E129="")),"",SUMPRODUCT(($A$4:$A129&lt;&gt;"")*($F$4:$F129&lt;&gt;"أحد الشركاء")*((($D$4:$D129&lt;&gt;"")+($E$4:$E129&lt;&gt;""))&gt;0)))</f>
        <v/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/>
      <c r="B130" s="36"/>
      <c r="C130" s="37"/>
      <c r="D130" s="38"/>
      <c r="E130" s="39"/>
      <c r="F130" s="136"/>
      <c r="G130" s="40"/>
      <c r="H130" s="41"/>
      <c r="I130" s="42"/>
      <c r="J130" s="43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 t="str">
        <f>IF(OR($A130="",$F130="أحد الشركاء",AND($D130="",$E130="")),"",SUMPRODUCT(($A$4:$A130&lt;&gt;"")*($F$4:$F130&lt;&gt;"أحد الشركاء")*((($D$4:$D130&lt;&gt;"")+($E$4:$E130&lt;&gt;""))&gt;0)))</f>
        <v/>
      </c>
      <c r="Q130" t="str">
        <f>IF(OR($A130="",$F130&lt;&gt;"أحد الشركاء"),"",COUNTIFS($A$4:A130,"&lt;&gt;",$F$4:F130,"أحد الشركاء"))</f>
        <v/>
      </c>
    </row>
    <row r="131" spans="1:17" ht="18.75" customHeight="1" x14ac:dyDescent="0.25">
      <c r="A131" s="25"/>
      <c r="B131" s="26"/>
      <c r="C131" s="27"/>
      <c r="D131" s="28"/>
      <c r="E131" s="29"/>
      <c r="F131" s="30"/>
      <c r="G131" s="31"/>
      <c r="H131" s="32"/>
      <c r="I131" s="33"/>
      <c r="J131" s="3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 t="str">
        <f>IF(OR($A131="",$F131&lt;&gt;"أحد الشركاء"),"",COUNTIFS($A$4:A131,"&lt;&gt;",$F$4:F131,"أحد الشركاء"))</f>
        <v/>
      </c>
    </row>
    <row r="132" spans="1:17" ht="18.75" customHeight="1" x14ac:dyDescent="0.25">
      <c r="A132" s="139"/>
      <c r="B132" s="36"/>
      <c r="C132" s="37"/>
      <c r="D132" s="38"/>
      <c r="E132" s="39"/>
      <c r="F132" s="136"/>
      <c r="G132" s="40"/>
      <c r="H132" s="41"/>
      <c r="I132" s="42"/>
      <c r="J132" s="43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 t="str">
        <f>IF(OR($A132="",$F132&lt;&gt;"أحد الشركاء"),"",COUNTIFS($A$4:A132,"&lt;&gt;",$F$4:F132,"أحد الشركاء"))</f>
        <v/>
      </c>
    </row>
    <row r="133" spans="1:17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  <c r="P133" t="str">
        <f>IF(OR($A133="",$F133="أحد الشركاء",AND($D133="",$E133="")),"",SUMPRODUCT(($A$4:$A133&lt;&gt;"")*($F$4:$F133&lt;&gt;"أحد الشركاء")*((($D$4:$D133&lt;&gt;"")+($E$4:$E133&lt;&gt;""))&gt;0)))</f>
        <v/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1"/>
      <c r="B204" s="155"/>
      <c r="C204" s="156"/>
      <c r="D204" s="38"/>
      <c r="E204" s="39"/>
      <c r="F204" s="154"/>
      <c r="G204" s="155"/>
      <c r="H204" s="156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1576.4749999999999</v>
      </c>
      <c r="E205" s="46">
        <f>SUM(E4:E203)</f>
        <v>696.6</v>
      </c>
      <c r="F205" s="140">
        <f>COUNTIF(H4:H203,"معلق")</f>
        <v>13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2" t="s">
        <v>220</v>
      </c>
      <c r="B1" s="155"/>
      <c r="C1" s="15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4" t="s">
        <v>236</v>
      </c>
      <c r="B1" s="155"/>
    </row>
    <row r="2" spans="1:2" ht="21.75" customHeight="1" x14ac:dyDescent="0.25">
      <c r="A2" s="163" t="s">
        <v>237</v>
      </c>
      <c r="B2" s="15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3" t="s">
        <v>242</v>
      </c>
      <c r="B5" s="15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3" t="s">
        <v>251</v>
      </c>
      <c r="B11" s="15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0" t="s">
        <v>16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t="24" customHeight="1" x14ac:dyDescent="0.25">
      <c r="A2" s="165"/>
      <c r="B2" s="155"/>
      <c r="C2" s="56" t="s">
        <v>256</v>
      </c>
      <c r="D2" s="165">
        <v>2026</v>
      </c>
      <c r="E2" s="155"/>
      <c r="F2" s="56" t="s">
        <v>257</v>
      </c>
      <c r="G2" s="168" t="s">
        <v>258</v>
      </c>
      <c r="H2" s="159"/>
      <c r="I2" s="159"/>
      <c r="J2" s="159"/>
      <c r="K2" s="159"/>
    </row>
    <row r="3" spans="1:11" ht="19.5" customHeight="1" x14ac:dyDescent="0.25">
      <c r="A3" s="169" t="s">
        <v>259</v>
      </c>
      <c r="B3" s="155"/>
      <c r="C3" s="15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46175</v>
      </c>
      <c r="B5" s="59" t="str">
        <f>IFERROR(IF(IFERROR(MATCH(1,'كشف الحساب'!$N$4:$N$203,0),0)=0,"",INDEX('كشف الحساب'!$B$4:$B$203,IFERROR(MATCH(1,'كشف الحساب'!$N$4:$N$203,0),0))),"")</f>
        <v>Inv-53</v>
      </c>
      <c r="C5" s="37" t="str">
        <f>IFERROR(IF(IFERROR(MATCH(1,'كشف الحساب'!$N$4:$N$203,0),0)=0,"",INDEX('كشف الحساب'!$C$4:$C$203,IFERROR(MATCH(1,'كشف الحساب'!$N$4:$N$203,0),0))),"")</f>
        <v>فل عدد 24 الحبه .750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18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364.85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46175</v>
      </c>
      <c r="B6" s="61" t="str">
        <f>IFERROR(IF(IFERROR(MATCH(2,'كشف الحساب'!$N$4:$N$203,0),0)=0,"",INDEX('كشف الحساب'!$B$4:$B$203,IFERROR(MATCH(2,'كشف الحساب'!$N$4:$N$203,0),0))),"")</f>
        <v>Inv-54</v>
      </c>
      <c r="C6" s="2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</v>
      </c>
      <c r="F6" s="61" t="str">
        <f>IFERROR(IF(IFERROR(MATCH(2,'كشف الحساب'!$N$4:$N$203,0),0)=0,"",INDEX('كشف الحساب'!$F$4:$F$203,IFERROR(MATCH(2,'كشف الحساب'!$N$4:$N$203,0),0))),"")</f>
        <v>نقداً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366.85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46175</v>
      </c>
      <c r="B7" s="59" t="str">
        <f>IFERROR(IF(IFERROR(MATCH(3,'كشف الحساب'!$N$4:$N$203,0),0)=0,"",INDEX('كشف الحساب'!$B$4:$B$203,IFERROR(MATCH(3,'كشف الحساب'!$N$4:$N$203,0),0))),"")</f>
        <v>Inv-55</v>
      </c>
      <c r="C7" s="37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1.5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368.35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46175</v>
      </c>
      <c r="B8" s="61" t="str">
        <f>IFERROR(IF(IFERROR(MATCH(4,'كشف الحساب'!$N$4:$N$203,0),0)=0,"",INDEX('كشف الحساب'!$B$4:$B$203,IFERROR(MATCH(4,'كشف الحساب'!$N$4:$N$203,0),0))),"")</f>
        <v>Inv-56</v>
      </c>
      <c r="C8" s="2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3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371.35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46177</v>
      </c>
      <c r="B9" s="59" t="str">
        <f>IFERROR(IF(IFERROR(MATCH(5,'كشف الحساب'!$N$4:$N$203,0),0)=0,"",INDEX('كشف الحساب'!$B$4:$B$203,IFERROR(MATCH(5,'كشف الحساب'!$N$4:$N$203,0),0))),"")</f>
        <v>inv-57</v>
      </c>
      <c r="C9" s="37" t="str">
        <f>IFERROR(IF(IFERROR(MATCH(5,'كشف الحساب'!$N$4:$N$203,0),0)=0,"",INDEX('كشف الحساب'!$C$4:$C$203,IFERROR(MATCH(5,'كشف الحساب'!$N$4:$N$203,0),0))),"")</f>
        <v>فوزير عدد1 قيمه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نقداً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372.35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46177</v>
      </c>
      <c r="B10" s="61">
        <f>IFERROR(IF(IFERROR(MATCH(6,'كشف الحساب'!$N$4:$N$203,0),0)=0,"",INDEX('كشف الحساب'!$B$4:$B$203,IFERROR(MATCH(6,'كشف الحساب'!$N$4:$N$203,0),0))),"")</f>
        <v>0</v>
      </c>
      <c r="C10" s="27" t="str">
        <f>IFERROR(IF(IFERROR(MATCH(6,'كشف الحساب'!$N$4:$N$203,0),0)=0,"",INDEX('كشف الحساب'!$C$4:$C$203,IFERROR(MATCH(6,'كشف الحساب'!$N$4:$N$203,0),0))),"")</f>
        <v>سماد</v>
      </c>
      <c r="D10" s="28">
        <f>IFERROR(IF(IFERROR(MATCH(6,'كشف الحساب'!$N$4:$N$203,0),0)=0,"",INDEX('كشف الحساب'!$D$4:$D$203,IFERROR(MATCH(6,'كشف الحساب'!$N$4:$N$203,0),0))),"")</f>
        <v>10</v>
      </c>
      <c r="E10" s="62">
        <f>IFERROR(IF(IFERROR(MATCH(6,'كشف الحساب'!$N$4:$N$203,0),0)=0,"",INDEX('كشف الحساب'!$E$4:$E$203,IFERROR(MATCH(6,'كشف الحساب'!$N$4:$N$203,0),0))),"")</f>
        <v>0</v>
      </c>
      <c r="F10" s="61" t="str">
        <f>IFERROR(IF(IFERROR(MATCH(6,'كشف الحساب'!$N$4:$N$203,0),0)=0,"",INDEX('كشف الحساب'!$F$4:$F$203,IFERROR(MATCH(6,'كشف الحساب'!$N$4:$N$203,0),0))),"")</f>
        <v>نقداً</v>
      </c>
      <c r="G10" s="61" t="str">
        <f>IFERROR(IF(IFERROR(MATCH(6,'كشف الحساب'!$N$4:$N$203,0),0)=0,"",INDEX('كشف الحساب'!$G$4:$G$203,IFERROR(MATCH(6,'كشف الحساب'!$N$4:$N$203,0),0))),"")</f>
        <v>المحفظة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362.35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46177</v>
      </c>
      <c r="B11" s="59">
        <f>IFERROR(IF(IFERROR(MATCH(7,'كشف الحساب'!$N$4:$N$203,0),0)=0,"",INDEX('كشف الحساب'!$B$4:$B$203,IFERROR(MATCH(7,'كشف الحساب'!$N$4:$N$203,0),0))),"")</f>
        <v>0</v>
      </c>
      <c r="C11" s="37" t="str">
        <f>IFERROR(IF(IFERROR(MATCH(7,'كشف الحساب'!$N$4:$N$203,0),0)=0,"",INDEX('كشف الحساب'!$C$4:$C$203,IFERROR(MATCH(7,'كشف الحساب'!$N$4:$N$203,0),0))),"")</f>
        <v>تاير لعربة الرش</v>
      </c>
      <c r="D11" s="38">
        <f>IFERROR(IF(IFERROR(MATCH(7,'كشف الحساب'!$N$4:$N$203,0),0)=0,"",INDEX('كشف الحساب'!$D$4:$D$203,IFERROR(MATCH(7,'كشف الحساب'!$N$4:$N$203,0),0))),"")</f>
        <v>3.25</v>
      </c>
      <c r="E11" s="60">
        <f>IFERROR(IF(IFERROR(MATCH(7,'كشف الحساب'!$N$4:$N$203,0),0)=0,"",INDEX('كشف الحساب'!$E$4:$E$203,IFERROR(MATCH(7,'كشف الحساب'!$N$4:$N$203,0),0))),"")</f>
        <v>0</v>
      </c>
      <c r="F11" s="59" t="str">
        <f>IFERROR(IF(IFERROR(MATCH(7,'كشف الحساب'!$N$4:$N$203,0),0)=0,"",INDEX('كشف الحساب'!$F$4:$F$203,IFERROR(MATCH(7,'كشف الحساب'!$N$4:$N$203,0),0))),"")</f>
        <v>نقداً</v>
      </c>
      <c r="G11" s="59" t="str">
        <f>IFERROR(IF(IFERROR(MATCH(7,'كشف الحساب'!$N$4:$N$203,0),0)=0,"",INDEX('كشف الحساب'!$G$4:$G$203,IFERROR(MATCH(7,'كشف الحساب'!$N$4:$N$203,0),0))),"")</f>
        <v>المحفظة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359.1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46177</v>
      </c>
      <c r="B12" s="61">
        <f>IFERROR(IF(IFERROR(MATCH(8,'كشف الحساب'!$N$4:$N$203,0),0)=0,"",INDEX('كشف الحساب'!$B$4:$B$203,IFERROR(MATCH(8,'كشف الحساب'!$N$4:$N$203,0),0))),"")</f>
        <v>0</v>
      </c>
      <c r="C12" s="27" t="str">
        <f>IFERROR(IF(IFERROR(MATCH(8,'كشف الحساب'!$N$4:$N$203,0),0)=0,"",INDEX('كشف الحساب'!$C$4:$C$203,IFERROR(MATCH(8,'كشف الحساب'!$N$4:$N$203,0),0))),"")</f>
        <v>حفاره خلط السماد</v>
      </c>
      <c r="D12" s="28">
        <f>IFERROR(IF(IFERROR(MATCH(8,'كشف الحساب'!$N$4:$N$203,0),0)=0,"",INDEX('كشف الحساب'!$D$4:$D$203,IFERROR(MATCH(8,'كشف الحساب'!$N$4:$N$203,0),0))),"")</f>
        <v>12</v>
      </c>
      <c r="E12" s="62">
        <f>IFERROR(IF(IFERROR(MATCH(8,'كشف الحساب'!$N$4:$N$203,0),0)=0,"",INDEX('كشف الحساب'!$E$4:$E$203,IFERROR(MATCH(8,'كشف الحساب'!$N$4:$N$203,0),0))),"")</f>
        <v>0</v>
      </c>
      <c r="F12" s="61" t="str">
        <f>IFERROR(IF(IFERROR(MATCH(8,'كشف الحساب'!$N$4:$N$203,0),0)=0,"",INDEX('كشف الحساب'!$F$4:$F$203,IFERROR(MATCH(8,'كشف الحساب'!$N$4:$N$203,0),0))),"")</f>
        <v>نقداً</v>
      </c>
      <c r="G12" s="61" t="str">
        <f>IFERROR(IF(IFERROR(MATCH(8,'كشف الحساب'!$N$4:$N$203,0),0)=0,"",INDEX('كشف الحساب'!$G$4:$G$203,IFERROR(MATCH(8,'كشف الحساب'!$N$4:$N$203,0),0))),"")</f>
        <v>المحفظة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347.1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46179</v>
      </c>
      <c r="B13" s="59" t="str">
        <f>IFERROR(IF(IFERROR(MATCH(9,'كشف الحساب'!$N$4:$N$203,0),0)=0,"",INDEX('كشف الحساب'!$B$4:$B$203,IFERROR(MATCH(9,'كشف الحساب'!$N$4:$N$203,0),0))),"")</f>
        <v>Inv-58</v>
      </c>
      <c r="C13" s="37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3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350.1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46179</v>
      </c>
      <c r="B14" s="61" t="str">
        <f>IFERROR(IF(IFERROR(MATCH(10,'كشف الحساب'!$N$4:$N$203,0),0)=0,"",INDEX('كشف الحساب'!$B$4:$B$203,IFERROR(MATCH(10,'كشف الحساب'!$N$4:$N$203,0),0))),"")</f>
        <v>Inv-59</v>
      </c>
      <c r="C14" s="2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351.1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46179</v>
      </c>
      <c r="B15" s="59" t="str">
        <f>IFERROR(IF(IFERROR(MATCH(11,'كشف الحساب'!$N$4:$N$203,0),0)=0,"",INDEX('كشف الحساب'!$B$4:$B$203,IFERROR(MATCH(11,'كشف الحساب'!$N$4:$N$203,0),0))),"")</f>
        <v>Inv-60</v>
      </c>
      <c r="C15" s="37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3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354.1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46181</v>
      </c>
      <c r="B16" s="61" t="str">
        <f>IFERROR(IF(IFERROR(MATCH(12,'كشف الحساب'!$N$4:$N$203,0),0)=0,"",INDEX('كشف الحساب'!$B$4:$B$203,IFERROR(MATCH(12,'كشف الحساب'!$N$4:$N$203,0),0))),"")</f>
        <v>Inv-61</v>
      </c>
      <c r="C16" s="2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15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369.1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46181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38">
        <f>IFERROR(IF(IFERROR(MATCH(13,'كشف الحساب'!$N$4:$N$203,0),0)=0,"",INDEX('كشف الحساب'!$D$4:$D$203,IFERROR(MATCH(13,'كشف الحساب'!$N$4:$N$203,0),0))),"")</f>
        <v>2.8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366.3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46181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28">
        <f>IFERROR(IF(IFERROR(MATCH(14,'كشف الحساب'!$N$4:$N$203,0),0)=0,"",INDEX('كشف الحساب'!$D$4:$D$203,IFERROR(MATCH(14,'كشف الحساب'!$N$4:$N$203,0),0))),"")</f>
        <v>46.75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319.55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46182</v>
      </c>
      <c r="B19" s="59" t="str">
        <f>IFERROR(IF(IFERROR(MATCH(15,'كشف الحساب'!$N$4:$N$203,0),0)=0,"",INDEX('كشف الحساب'!$B$4:$B$203,IFERROR(MATCH(15,'كشف الحساب'!$N$4:$N$203,0),0))),"")</f>
        <v>Inv-62</v>
      </c>
      <c r="C19" s="37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38">
        <f>IFERROR(IF(IFERROR(MATCH(15,'كشف الحساب'!$N$4:$N$203,0),0)=0,"",INDEX('كشف الحساب'!$D$4:$D$203,IFERROR(MATCH(15,'كشف الحساب'!$N$4:$N$203,0),0))),"")</f>
        <v>0</v>
      </c>
      <c r="E19" s="60">
        <f>IFERROR(IF(IFERROR(MATCH(15,'كشف الحساب'!$N$4:$N$203,0),0)=0,"",INDEX('كشف الحساب'!$E$4:$E$203,IFERROR(MATCH(15,'كشف الحساب'!$N$4:$N$203,0),0))),"")</f>
        <v>22.5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>
        <f>IFERROR(IF(IFERROR(MATCH(15,'كشف الحساب'!$N$4:$N$203,0),0)=0,"",INDEX('كشف الحساب'!$G$4:$G$203,IFERROR(MATCH(15,'كشف الحساب'!$N$4:$N$203,0),0))),"")</f>
        <v>0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342.05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46184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براغي</v>
      </c>
      <c r="D20" s="28">
        <f>IFERROR(IF(IFERROR(MATCH(16,'كشف الحساب'!$N$4:$N$203,0),0)=0,"",INDEX('كشف الحساب'!$D$4:$D$203,IFERROR(MATCH(16,'كشف الحساب'!$N$4:$N$203,0),0))),"")</f>
        <v>3.5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338.55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46184</v>
      </c>
      <c r="B21" s="59" t="str">
        <f>IFERROR(IF(IFERROR(MATCH(17,'كشف الحساب'!$N$4:$N$203,0),0)=0,"",INDEX('كشف الحساب'!$B$4:$B$203,IFERROR(MATCH(17,'كشف الحساب'!$N$4:$N$203,0),0))),"")</f>
        <v>Inv-63</v>
      </c>
      <c r="C21" s="37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338.55</v>
      </c>
      <c r="K21" s="59" t="str">
        <f>IFERROR(IF(IFERROR(MATCH(17,'كشف الحساب'!$N$4:$N$203,0),0)=0,"",INDEX('كشف الحساب'!$K$4:$K$203,IFERROR(MATCH(17,'كشف الحساب'!$N$4:$N$203,0),0))),"")</f>
        <v>ملغيه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46185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رول لحيم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336.55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46186</v>
      </c>
      <c r="B23" s="59" t="str">
        <f>IFERROR(IF(IFERROR(MATCH(19,'كشف الحساب'!$N$4:$N$203,0),0)=0,"",INDEX('كشف الحساب'!$B$4:$B$203,IFERROR(MATCH(19,'كشف الحساب'!$N$4:$N$203,0),0))),"")</f>
        <v>Inv-64</v>
      </c>
      <c r="C23" s="37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346.55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46186</v>
      </c>
      <c r="B24" s="61" t="str">
        <f>IFERROR(IF(IFERROR(MATCH(20,'كشف الحساب'!$N$4:$N$203,0),0)=0,"",INDEX('كشف الحساب'!$B$4:$B$203,IFERROR(MATCH(20,'كشف الحساب'!$N$4:$N$203,0),0))),"")</f>
        <v>Inv-65</v>
      </c>
      <c r="C24" s="2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351.55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46187</v>
      </c>
      <c r="B25" s="59">
        <f>IFERROR(IF(IFERROR(MATCH(21,'كشف الحساب'!$N$4:$N$203,0),0)=0,"",INDEX('كشف الحساب'!$B$4:$B$203,IFERROR(MATCH(21,'كشف الحساب'!$N$4:$N$203,0),0))),"")</f>
        <v>0</v>
      </c>
      <c r="C25" s="37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38">
        <f>IFERROR(IF(IFERROR(MATCH(21,'كشف الحساب'!$N$4:$N$203,0),0)=0,"",INDEX('كشف الحساب'!$D$4:$D$203,IFERROR(MATCH(21,'كشف الحساب'!$N$4:$N$203,0),0))),"")</f>
        <v>107.5</v>
      </c>
      <c r="E25" s="60">
        <f>IFERROR(IF(IFERROR(MATCH(21,'كشف الحساب'!$N$4:$N$203,0),0)=0,"",INDEX('كشف الحساب'!$E$4:$E$203,IFERROR(MATCH(21,'كشف الحساب'!$N$4:$N$203,0),0))),"")</f>
        <v>0</v>
      </c>
      <c r="F25" s="59" t="str">
        <f>IFERROR(IF(IFERROR(MATCH(21,'كشف الحساب'!$N$4:$N$203,0),0)=0,"",INDEX('كشف الحساب'!$F$4:$F$203,IFERROR(MATCH(21,'كشف الحساب'!$N$4:$N$203,0),0))),"")</f>
        <v>أحد الشركاء</v>
      </c>
      <c r="G25" s="59" t="str">
        <f>IFERROR(IF(IFERROR(MATCH(21,'كشف الحساب'!$N$4:$N$203,0),0)=0,"",INDEX('كشف الحساب'!$G$4:$G$203,IFERROR(MATCH(21,'كشف الحساب'!$N$4:$N$203,0),0))),"")</f>
        <v>أبو اسحاق</v>
      </c>
      <c r="H25" s="59" t="str">
        <f>IFERROR(IF(IFERROR(MATCH(21,'كشف الحساب'!$N$4:$N$203,0),0)=0,"",INDEX('كشف الحساب'!$H$4:$H$203,IFERROR(MATCH(21,'كشف الحساب'!$N$4:$N$203,0),0))),"")</f>
        <v>معلق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351.55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46189</v>
      </c>
      <c r="B26" s="61" t="str">
        <f>IFERROR(IF(IFERROR(MATCH(22,'كشف الحساب'!$N$4:$N$203,0),0)=0,"",INDEX('كشف الحساب'!$B$4:$B$203,IFERROR(MATCH(22,'كشف الحساب'!$N$4:$N$203,0),0))),"")</f>
        <v>Inv-66</v>
      </c>
      <c r="C26" s="2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15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366.55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46189</v>
      </c>
      <c r="B27" s="59" t="str">
        <f>IFERROR(IF(IFERROR(MATCH(23,'كشف الحساب'!$N$4:$N$203,0),0)=0,"",INDEX('كشف الحساب'!$B$4:$B$203,IFERROR(MATCH(23,'كشف الحساب'!$N$4:$N$203,0),0))),"")</f>
        <v>Inv-67</v>
      </c>
      <c r="C27" s="37" t="str">
        <f>IFERROR(IF(IFERROR(MATCH(23,'كشف الحساب'!$N$4:$N$203,0),0)=0,"",INDEX('كشف الحساب'!$C$4:$C$203,IFERROR(MATCH(23,'كشف الحساب'!$N$4:$N$203,0),0))),"")</f>
        <v>فيكس عدد7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7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373.55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46189</v>
      </c>
      <c r="B28" s="61" t="str">
        <f>IFERROR(IF(IFERROR(MATCH(24,'كشف الحساب'!$N$4:$N$203,0),0)=0,"",INDEX('كشف الحساب'!$B$4:$B$203,IFERROR(MATCH(24,'كشف الحساب'!$N$4:$N$203,0),0))),"")</f>
        <v>Inv-68</v>
      </c>
      <c r="C28" s="27" t="str">
        <f>IFERROR(IF(IFERROR(MATCH(24,'كشف الحساب'!$N$4:$N$203,0),0)=0,"",INDEX('كشف الحساب'!$C$4:$C$203,IFERROR(MATCH(24,'كشف الحساب'!$N$4:$N$203,0),0))),"")</f>
        <v>ربل عدد 5 الحبه 2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10</v>
      </c>
      <c r="F28" s="61" t="str">
        <f>IFERROR(IF(IFERROR(MATCH(24,'كشف الحساب'!$N$4:$N$203,0),0)=0,"",INDEX('كشف الحساب'!$F$4:$F$203,IFERROR(MATCH(24,'كشف الحساب'!$N$4:$N$203,0),0))),"")</f>
        <v>أون لاين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383.55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46189</v>
      </c>
      <c r="B29" s="59" t="str">
        <f>IFERROR(IF(IFERROR(MATCH(25,'كشف الحساب'!$N$4:$N$203,0),0)=0,"",INDEX('كشف الحساب'!$B$4:$B$203,IFERROR(MATCH(25,'كشف الحساب'!$N$4:$N$203,0),0))),"")</f>
        <v>Inv-69</v>
      </c>
      <c r="C29" s="37" t="str">
        <f>IFERROR(IF(IFERROR(MATCH(25,'كشف الحساب'!$N$4:$N$203,0),0)=0,"",INDEX('كشف الحساب'!$C$4:$C$203,IFERROR(MATCH(25,'كشف الحساب'!$N$4:$N$203,0),0))),"")</f>
        <v>فل عدد 24 الحبه .750</v>
      </c>
      <c r="D29" s="38">
        <f>IFERROR(IF(IFERROR(MATCH(25,'كشف الحساب'!$N$4:$N$203,0),0)=0,"",INDEX('كشف الحساب'!$D$4:$D$203,IFERROR(MATCH(25,'كشف الحساب'!$N$4:$N$203,0),0))),"")</f>
        <v>0</v>
      </c>
      <c r="E29" s="60">
        <f>IFERROR(IF(IFERROR(MATCH(25,'كشف الحساب'!$N$4:$N$203,0),0)=0,"",INDEX('كشف الحساب'!$E$4:$E$203,IFERROR(MATCH(25,'كشف الحساب'!$N$4:$N$203,0),0))),"")</f>
        <v>18</v>
      </c>
      <c r="F29" s="59" t="str">
        <f>IFERROR(IF(IFERROR(MATCH(25,'كشف الحساب'!$N$4:$N$203,0),0)=0,"",INDEX('كشف الحساب'!$F$4:$F$203,IFERROR(MATCH(25,'كشف الحساب'!$N$4:$N$203,0),0))),"")</f>
        <v>أون لاين</v>
      </c>
      <c r="G29" s="59">
        <f>IFERROR(IF(IFERROR(MATCH(25,'كشف الحساب'!$N$4:$N$203,0),0)=0,"",INDEX('كشف الحساب'!$G$4:$G$203,IFERROR(MATCH(25,'كشف الحساب'!$N$4:$N$203,0),0))),"")</f>
        <v>0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401.55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46188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أقامه عبدول</v>
      </c>
      <c r="D30" s="28">
        <f>IFERROR(IF(IFERROR(MATCH(26,'كشف الحساب'!$N$4:$N$203,0),0)=0,"",INDEX('كشف الحساب'!$D$4:$D$203,IFERROR(MATCH(26,'كشف الحساب'!$N$4:$N$203,0),0))),"")</f>
        <v>25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أون لاين</v>
      </c>
      <c r="G30" s="61" t="str">
        <f>IFERROR(IF(IFERROR(MATCH(26,'كشف الحساب'!$N$4:$N$203,0),0)=0,"",INDEX('كشف الحساب'!$G$4:$G$203,IFERROR(MATCH(26,'كشف الحساب'!$N$4:$N$203,0),0))),"")</f>
        <v>المحفظة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376.55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46190</v>
      </c>
      <c r="B31" s="59" t="str">
        <f>IFERROR(IF(IFERROR(MATCH(27,'كشف الحساب'!$N$4:$N$203,0),0)=0,"",INDEX('كشف الحساب'!$B$4:$B$203,IFERROR(MATCH(27,'كشف الحساب'!$N$4:$N$203,0),0))),"")</f>
        <v>Inv-70</v>
      </c>
      <c r="C31" s="37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38">
        <f>IFERROR(IF(IFERROR(MATCH(27,'كشف الحساب'!$N$4:$N$203,0),0)=0,"",INDEX('كشف الحساب'!$D$4:$D$203,IFERROR(MATCH(27,'كشف الحساب'!$N$4:$N$203,0),0))),"")</f>
        <v>0</v>
      </c>
      <c r="E31" s="60">
        <f>IFERROR(IF(IFERROR(MATCH(27,'كشف الحساب'!$N$4:$N$203,0),0)=0,"",INDEX('كشف الحساب'!$E$4:$E$203,IFERROR(MATCH(27,'كشف الحساب'!$N$4:$N$203,0),0))),"")</f>
        <v>0.75</v>
      </c>
      <c r="F31" s="59" t="str">
        <f>IFERROR(IF(IFERROR(MATCH(27,'كشف الحساب'!$N$4:$N$203,0),0)=0,"",INDEX('كشف الحساب'!$F$4:$F$203,IFERROR(MATCH(27,'كشف الحساب'!$N$4:$N$203,0),0))),"")</f>
        <v>أون لاين</v>
      </c>
      <c r="G31" s="59">
        <f>IFERROR(IF(IFERROR(MATCH(27,'كشف الحساب'!$N$4:$N$203,0),0)=0,"",INDEX('كشف الحساب'!$G$4:$G$203,IFERROR(MATCH(27,'كشف الحساب'!$N$4:$N$203,0),0))),"")</f>
        <v>0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377.3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46190</v>
      </c>
      <c r="B32" s="61" t="str">
        <f>IFERROR(IF(IFERROR(MATCH(28,'كشف الحساب'!$N$4:$N$203,0),0)=0,"",INDEX('كشف الحساب'!$B$4:$B$203,IFERROR(MATCH(28,'كشف الحساب'!$N$4:$N$203,0),0))),"")</f>
        <v>Inv-71</v>
      </c>
      <c r="C32" s="2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1.5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378.8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46191</v>
      </c>
      <c r="B33" s="59" t="str">
        <f>IFERROR(IF(IFERROR(MATCH(29,'كشف الحساب'!$N$4:$N$203,0),0)=0,"",INDEX('كشف الحساب'!$B$4:$B$203,IFERROR(MATCH(29,'كشف الحساب'!$N$4:$N$203,0),0))),"")</f>
        <v>Inv-72</v>
      </c>
      <c r="C33" s="37" t="str">
        <f>IFERROR(IF(IFERROR(MATCH(29,'كشف الحساب'!$N$4:$N$203,0),0)=0,"",INDEX('كشف الحساب'!$C$4:$C$203,IFERROR(MATCH(29,'كشف الحساب'!$N$4:$N$203,0),0))),"")</f>
        <v>فل عدد 1 الحبه 0.750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0.75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379.55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46191</v>
      </c>
      <c r="B34" s="61" t="str">
        <f>IFERROR(IF(IFERROR(MATCH(30,'كشف الحساب'!$N$4:$N$203,0),0)=0,"",INDEX('كشف الحساب'!$B$4:$B$203,IFERROR(MATCH(30,'كشف الحساب'!$N$4:$N$203,0),0))),"")</f>
        <v>Inv-73</v>
      </c>
      <c r="C34" s="2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28">
        <f>IFERROR(IF(IFERROR(MATCH(30,'كشف الحساب'!$N$4:$N$203,0),0)=0,"",INDEX('كشف الحساب'!$D$4:$D$203,IFERROR(MATCH(30,'كشف الحساب'!$N$4:$N$203,0),0))),"")</f>
        <v>0</v>
      </c>
      <c r="E34" s="62">
        <f>IFERROR(IF(IFERROR(MATCH(30,'كشف الحساب'!$N$4:$N$203,0),0)=0,"",INDEX('كشف الحساب'!$E$4:$E$203,IFERROR(MATCH(30,'كشف الحساب'!$N$4:$N$203,0),0))),"")</f>
        <v>3</v>
      </c>
      <c r="F34" s="61" t="str">
        <f>IFERROR(IF(IFERROR(MATCH(30,'كشف الحساب'!$N$4:$N$203,0),0)=0,"",INDEX('كشف الحساب'!$F$4:$F$203,IFERROR(MATCH(30,'كشف الحساب'!$N$4:$N$203,0),0))),"")</f>
        <v>أون لاين</v>
      </c>
      <c r="G34" s="61">
        <f>IFERROR(IF(IFERROR(MATCH(30,'كشف الحساب'!$N$4:$N$203,0),0)=0,"",INDEX('كشف الحساب'!$G$4:$G$203,IFERROR(MATCH(30,'كشف الحساب'!$N$4:$N$203,0),0))),"")</f>
        <v>0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382.55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46199</v>
      </c>
      <c r="B35" s="64" t="str">
        <f>IFERROR(IF(IFERROR(MATCH(31,'كشف الحساب'!$N$4:$N$203,0),0)=0,"",INDEX('كشف الحساب'!$B$4:$B$203,IFERROR(MATCH(31,'كشف الحساب'!$N$4:$N$203,0),0))),"")</f>
        <v>Inv-74</v>
      </c>
      <c r="C35" s="65" t="str">
        <f>IFERROR(IF(IFERROR(MATCH(31,'كشف الحساب'!$N$4:$N$203,0),0)=0,"",INDEX('كشف الحساب'!$C$4:$C$203,IFERROR(MATCH(31,'كشف الحساب'!$N$4:$N$203,0),0))),"")</f>
        <v>ربل عدد 11 الحبه 2</v>
      </c>
      <c r="D35" s="66">
        <f>IFERROR(IF(IFERROR(MATCH(31,'كشف الحساب'!$N$4:$N$203,0),0)=0,"",INDEX('كشف الحساب'!$D$4:$D$203,IFERROR(MATCH(31,'كشف الحساب'!$N$4:$N$203,0),0))),"")</f>
        <v>0</v>
      </c>
      <c r="E35" s="67">
        <f>IFERROR(IF(IFERROR(MATCH(31,'كشف الحساب'!$N$4:$N$203,0),0)=0,"",INDEX('كشف الحساب'!$E$4:$E$203,IFERROR(MATCH(31,'كشف الحساب'!$N$4:$N$203,0),0))),"")</f>
        <v>22</v>
      </c>
      <c r="F35" s="64" t="str">
        <f>IFERROR(IF(IFERROR(MATCH(31,'كشف الحساب'!$N$4:$N$203,0),0)=0,"",INDEX('كشف الحساب'!$F$4:$F$203,IFERROR(MATCH(31,'كشف الحساب'!$N$4:$N$203,0),0))),"")</f>
        <v>أون لاين</v>
      </c>
      <c r="G35" s="64">
        <f>IFERROR(IF(IFERROR(MATCH(31,'كشف الحساب'!$N$4:$N$203,0),0)=0,"",INDEX('كشف الحساب'!$G$4:$G$203,IFERROR(MATCH(31,'كشف الحساب'!$N$4:$N$203,0),0))),"")</f>
        <v>0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404.55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46199</v>
      </c>
      <c r="B36" s="70" t="str">
        <f>IFERROR(IF(IFERROR(MATCH(32,'كشف الحساب'!$N$4:$N$203,0),0)=0,"",INDEX('كشف الحساب'!$B$4:$B$203,IFERROR(MATCH(32,'كشف الحساب'!$N$4:$N$203,0),0))),"")</f>
        <v>Inv-75</v>
      </c>
      <c r="C36" s="71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9</v>
      </c>
      <c r="F36" s="70" t="str">
        <f>IFERROR(IF(IFERROR(MATCH(32,'كشف الحساب'!$N$4:$N$203,0),0)=0,"",INDEX('كشف الحساب'!$F$4:$F$203,IFERROR(MATCH(32,'كشف الحساب'!$N$4:$N$203,0),0))),"")</f>
        <v>أون لاين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413.55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>
        <f>IFERROR(IF(IFERROR(MATCH(33,'كشف الحساب'!$N$4:$N$203,0),0)=0,"",INDEX('كشف الحساب'!$A$4:$A$203,IFERROR(MATCH(33,'كشف الحساب'!$N$4:$N$203,0),0))),"")</f>
        <v>46197</v>
      </c>
      <c r="B37" s="64">
        <f>IFERROR(IF(IFERROR(MATCH(33,'كشف الحساب'!$N$4:$N$203,0),0)=0,"",INDEX('كشف الحساب'!$B$4:$B$203,IFERROR(MATCH(33,'كشف الحساب'!$N$4:$N$203,0),0))),"")</f>
        <v>0</v>
      </c>
      <c r="C37" s="65" t="str">
        <f>IFERROR(IF(IFERROR(MATCH(33,'كشف الحساب'!$N$4:$N$203,0),0)=0,"",INDEX('كشف الحساب'!$C$4:$C$203,IFERROR(MATCH(33,'كشف الحساب'!$N$4:$N$203,0),0))),"")</f>
        <v>nbk 18-18-18</v>
      </c>
      <c r="D37" s="66">
        <f>IFERROR(IF(IFERROR(MATCH(33,'كشف الحساب'!$N$4:$N$203,0),0)=0,"",INDEX('كشف الحساب'!$D$4:$D$203,IFERROR(MATCH(33,'كشف الحساب'!$N$4:$N$203,0),0))),"")</f>
        <v>12</v>
      </c>
      <c r="E37" s="67">
        <f>IFERROR(IF(IFERROR(MATCH(33,'كشف الحساب'!$N$4:$N$203,0),0)=0,"",INDEX('كشف الحساب'!$E$4:$E$203,IFERROR(MATCH(33,'كشف الحساب'!$N$4:$N$203,0),0))),"")</f>
        <v>0</v>
      </c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 t="str">
        <f>IFERROR(IF(IFERROR(MATCH(33,'كشف الحساب'!$N$4:$N$203,0),0)=0,"",INDEX('كشف الحساب'!$G$4:$G$203,IFERROR(MATCH(33,'كشف الحساب'!$N$4:$N$203,0),0))),"")</f>
        <v>المحفظة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401.55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46201</v>
      </c>
      <c r="B38" s="70" t="str">
        <f>IFERROR(IF(IFERROR(MATCH(34,'كشف الحساب'!$N$4:$N$203,0),0)=0,"",INDEX('كشف الحساب'!$B$4:$B$203,IFERROR(MATCH(34,'كشف الحساب'!$N$4:$N$203,0),0))),"")</f>
        <v>Inv-76</v>
      </c>
      <c r="C38" s="71" t="str">
        <f>IFERROR(IF(IFERROR(MATCH(34,'كشف الحساب'!$N$4:$N$203,0),0)=0,"",INDEX('كشف الحساب'!$C$4:$C$203,IFERROR(MATCH(34,'كشف الحساب'!$N$4:$N$203,0),0))),"")</f>
        <v>فل عدد 11 الحبه 0.750</v>
      </c>
      <c r="D38" s="72">
        <f>IFERROR(IF(IFERROR(MATCH(34,'كشف الحساب'!$N$4:$N$203,0),0)=0,"",INDEX('كشف الحساب'!$D$4:$D$203,IFERROR(MATCH(34,'كشف الحساب'!$N$4:$N$203,0),0))),"")</f>
        <v>0</v>
      </c>
      <c r="E38" s="73">
        <f>IFERROR(IF(IFERROR(MATCH(34,'كشف الحساب'!$N$4:$N$203,0),0)=0,"",INDEX('كشف الحساب'!$E$4:$E$203,IFERROR(MATCH(34,'كشف الحساب'!$N$4:$N$203,0),0))),"")</f>
        <v>8.25</v>
      </c>
      <c r="F38" s="70" t="str">
        <f>IFERROR(IF(IFERROR(MATCH(34,'كشف الحساب'!$N$4:$N$203,0),0)=0,"",INDEX('كشف الحساب'!$F$4:$F$203,IFERROR(MATCH(34,'كشف الحساب'!$N$4:$N$203,0),0))),"")</f>
        <v>أون لاين</v>
      </c>
      <c r="G38" s="70">
        <f>IFERROR(IF(IFERROR(MATCH(34,'كشف الحساب'!$N$4:$N$203,0),0)=0,"",INDEX('كشف الحساب'!$G$4:$G$203,IFERROR(MATCH(34,'كشف الحساب'!$N$4:$N$203,0),0))),"")</f>
        <v>0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409.8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46202</v>
      </c>
      <c r="B39" s="64" t="str">
        <f>IFERROR(IF(IFERROR(MATCH(35,'كشف الحساب'!$N$4:$N$203,0),0)=0,"",INDEX('كشف الحساب'!$B$4:$B$203,IFERROR(MATCH(35,'كشف الحساب'!$N$4:$N$203,0),0))),"")</f>
        <v>Inv-77</v>
      </c>
      <c r="C39" s="65" t="str">
        <f>IFERROR(IF(IFERROR(MATCH(35,'كشف الحساب'!$N$4:$N$203,0),0)=0,"",INDEX('كشف الحساب'!$C$4:$C$203,IFERROR(MATCH(35,'كشف الحساب'!$N$4:$N$203,0),0))),"")</f>
        <v>عطره عدد 3 الحبه 0.750</v>
      </c>
      <c r="D39" s="66">
        <f>IFERROR(IF(IFERROR(MATCH(35,'كشف الحساب'!$N$4:$N$203,0),0)=0,"",INDEX('كشف الحساب'!$D$4:$D$203,IFERROR(MATCH(35,'كشف الحساب'!$N$4:$N$203,0),0))),"")</f>
        <v>0</v>
      </c>
      <c r="E39" s="67">
        <f>IFERROR(IF(IFERROR(MATCH(35,'كشف الحساب'!$N$4:$N$203,0),0)=0,"",INDEX('كشف الحساب'!$E$4:$E$203,IFERROR(MATCH(35,'كشف الحساب'!$N$4:$N$203,0),0))),"")</f>
        <v>2.25</v>
      </c>
      <c r="F39" s="64" t="str">
        <f>IFERROR(IF(IFERROR(MATCH(35,'كشف الحساب'!$N$4:$N$203,0),0)=0,"",INDEX('كشف الحساب'!$F$4:$F$203,IFERROR(MATCH(35,'كشف الحساب'!$N$4:$N$203,0),0))),"")</f>
        <v>أون لاين</v>
      </c>
      <c r="G39" s="64">
        <f>IFERROR(IF(IFERROR(MATCH(35,'كشف الحساب'!$N$4:$N$203,0),0)=0,"",INDEX('كشف الحساب'!$G$4:$G$203,IFERROR(MATCH(35,'كشف الحساب'!$N$4:$N$203,0),0))),"")</f>
        <v>0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412.05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46202</v>
      </c>
      <c r="B40" s="70" t="str">
        <f>IFERROR(IF(IFERROR(MATCH(36,'كشف الحساب'!$N$4:$N$203,0),0)=0,"",INDEX('كشف الحساب'!$B$4:$B$203,IFERROR(MATCH(36,'كشف الحساب'!$N$4:$N$203,0),0))),"")</f>
        <v>Inv-78</v>
      </c>
      <c r="C40" s="71" t="str">
        <f>IFERROR(IF(IFERROR(MATCH(36,'كشف الحساب'!$N$4:$N$203,0),0)=0,"",INDEX('كشف الحساب'!$C$4:$C$203,IFERROR(MATCH(36,'كشف الحساب'!$N$4:$N$203,0),0))),"")</f>
        <v>معلقات عدد 3 الحبه 1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3</v>
      </c>
      <c r="F40" s="70" t="str">
        <f>IFERROR(IF(IFERROR(MATCH(36,'كشف الحساب'!$N$4:$N$203,0),0)=0,"",INDEX('كشف الحساب'!$F$4:$F$203,IFERROR(MATCH(36,'كشف الحساب'!$N$4:$N$203,0),0))),"")</f>
        <v>أون لاين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415.05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46203</v>
      </c>
      <c r="B41" s="64" t="str">
        <f>IFERROR(IF(IFERROR(MATCH(37,'كشف الحساب'!$N$4:$N$203,0),0)=0,"",INDEX('كشف الحساب'!$B$4:$B$203,IFERROR(MATCH(37,'كشف الحساب'!$N$4:$N$203,0),0))),"")</f>
        <v>Inv-79</v>
      </c>
      <c r="C41" s="65" t="str">
        <f>IFERROR(IF(IFERROR(MATCH(37,'كشف الحساب'!$N$4:$N$203,0),0)=0,"",INDEX('كشف الحساب'!$C$4:$C$203,IFERROR(MATCH(37,'كشف الحساب'!$N$4:$N$203,0),0))),"")</f>
        <v>معلقات عدد 4 الحبه 1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4</v>
      </c>
      <c r="F41" s="64" t="str">
        <f>IFERROR(IF(IFERROR(MATCH(37,'كشف الحساب'!$N$4:$N$203,0),0)=0,"",INDEX('كشف الحساب'!$F$4:$F$203,IFERROR(MATCH(37,'كشف الحساب'!$N$4:$N$203,0),0))),"")</f>
        <v>أون لاين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419.05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46203</v>
      </c>
      <c r="B42" s="70" t="str">
        <f>IFERROR(IF(IFERROR(MATCH(38,'كشف الحساب'!$N$4:$N$203,0),0)=0,"",INDEX('كشف الحساب'!$B$4:$B$203,IFERROR(MATCH(38,'كشف الحساب'!$N$4:$N$203,0),0))),"")</f>
        <v>Inv-80</v>
      </c>
      <c r="C42" s="71" t="str">
        <f>IFERROR(IF(IFERROR(MATCH(38,'كشف الحساب'!$N$4:$N$203,0),0)=0,"",INDEX('كشف الحساب'!$C$4:$C$203,IFERROR(MATCH(38,'كشف الحساب'!$N$4:$N$203,0),0))),"")</f>
        <v>معلقات عدد4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4</v>
      </c>
      <c r="F42" s="70" t="str">
        <f>IFERROR(IF(IFERROR(MATCH(38,'كشف الحساب'!$N$4:$N$203,0),0)=0,"",INDEX('كشف الحساب'!$F$4:$F$203,IFERROR(MATCH(38,'كشف الحساب'!$N$4:$N$203,0),0))),"")</f>
        <v>أون لاين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423.05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46203</v>
      </c>
      <c r="B43" s="64" t="str">
        <f>IFERROR(IF(IFERROR(MATCH(39,'كشف الحساب'!$N$4:$N$203,0),0)=0,"",INDEX('كشف الحساب'!$B$4:$B$203,IFERROR(MATCH(39,'كشف الحساب'!$N$4:$N$203,0),0))),"")</f>
        <v>Inv-81</v>
      </c>
      <c r="C43" s="65" t="str">
        <f>IFERROR(IF(IFERROR(MATCH(39,'كشف الحساب'!$N$4:$N$203,0),0)=0,"",INDEX('كشف الحساب'!$C$4:$C$203,IFERROR(MATCH(39,'كشف الحساب'!$N$4:$N$203,0),0))),"")</f>
        <v>افوبيا عدد 2 الحبه 1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2</v>
      </c>
      <c r="F43" s="64" t="str">
        <f>IFERROR(IF(IFERROR(MATCH(39,'كشف الحساب'!$N$4:$N$203,0),0)=0,"",INDEX('كشف الحساب'!$F$4:$F$203,IFERROR(MATCH(39,'كشف الحساب'!$N$4:$N$203,0),0))),"")</f>
        <v>أون لاين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425.05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46203</v>
      </c>
      <c r="B44" s="70">
        <f>IFERROR(IF(IFERROR(MATCH(40,'كشف الحساب'!$N$4:$N$203,0),0)=0,"",INDEX('كشف الحساب'!$B$4:$B$203,IFERROR(MATCH(40,'كشف الحساب'!$N$4:$N$203,0),0))),"")</f>
        <v>0</v>
      </c>
      <c r="C44" s="71" t="str">
        <f>IFERROR(IF(IFERROR(MATCH(40,'كشف الحساب'!$N$4:$N$203,0),0)=0,"",INDEX('كشف الحساب'!$C$4:$C$203,IFERROR(MATCH(40,'كشف الحساب'!$N$4:$N$203,0),0))),"")</f>
        <v>رواتب عماله شهر يونيو 2026</v>
      </c>
      <c r="D44" s="72">
        <f>IFERROR(IF(IFERROR(MATCH(40,'كشف الحساب'!$N$4:$N$203,0),0)=0,"",INDEX('كشف الحساب'!$D$4:$D$203,IFERROR(MATCH(40,'كشف الحساب'!$N$4:$N$203,0),0))),"")</f>
        <v>320</v>
      </c>
      <c r="E44" s="73">
        <f>IFERROR(IF(IFERROR(MATCH(40,'كشف الحساب'!$N$4:$N$203,0),0)=0,"",INDEX('كشف الحساب'!$E$4:$E$203,IFERROR(MATCH(40,'كشف الحساب'!$N$4:$N$203,0),0))),"")</f>
        <v>0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 t="str">
        <f>IFERROR(IF(IFERROR(MATCH(40,'كشف الحساب'!$N$4:$N$203,0),0)=0,"",INDEX('كشف الحساب'!$G$4:$G$203,IFERROR(MATCH(40,'كشف الحساب'!$N$4:$N$203,0),0))),"")</f>
        <v>المحفظة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105.05000000000001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46203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تكمله رواتب يونيو 2026 ابوادم</v>
      </c>
      <c r="D45" s="66">
        <f>IFERROR(IF(IFERROR(MATCH(41,'كشف الحساب'!$N$4:$N$203,0),0)=0,"",INDEX('كشف الحساب'!$D$4:$D$203,IFERROR(MATCH(41,'كشف الحساب'!$N$4:$N$203,0),0))),"")</f>
        <v>50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أحد الشركاء</v>
      </c>
      <c r="G45" s="64" t="str">
        <f>IFERROR(IF(IFERROR(MATCH(41,'كشف الحساب'!$N$4:$N$203,0),0)=0,"",INDEX('كشف الحساب'!$G$4:$G$203,IFERROR(MATCH(41,'كشف الحساب'!$N$4:$N$203,0),0))),"")</f>
        <v>أبو آدم</v>
      </c>
      <c r="H45" s="64" t="str">
        <f>IFERROR(IF(IFERROR(MATCH(41,'كشف الحساب'!$N$4:$N$203,0),0)=0,"",INDEX('كشف الحساب'!$H$4:$H$203,IFERROR(MATCH(41,'كشف الحساب'!$N$4:$N$203,0),0))),"")</f>
        <v>معلق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105.05000000000001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46203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تكمله رواتب يونيو 2026 ابواسحاق</v>
      </c>
      <c r="D46" s="72">
        <f>IFERROR(IF(IFERROR(MATCH(42,'كشف الحساب'!$N$4:$N$203,0),0)=0,"",INDEX('كشف الحساب'!$D$4:$D$203,IFERROR(MATCH(42,'كشف الحساب'!$N$4:$N$203,0),0))),"")</f>
        <v>50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أحد الشركاء</v>
      </c>
      <c r="G46" s="70" t="str">
        <f>IFERROR(IF(IFERROR(MATCH(42,'كشف الحساب'!$N$4:$N$203,0),0)=0,"",INDEX('كشف الحساب'!$G$4:$G$203,IFERROR(MATCH(42,'كشف الحساب'!$N$4:$N$203,0),0))),"")</f>
        <v>أبو اسحاق</v>
      </c>
      <c r="H46" s="70" t="str">
        <f>IFERROR(IF(IFERROR(MATCH(42,'كشف الحساب'!$N$4:$N$203,0),0)=0,"",INDEX('كشف الحساب'!$H$4:$H$203,IFERROR(MATCH(42,'كشف الحساب'!$N$4:$N$203,0),0))),"")</f>
        <v>معلق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105.05000000000001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46203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احواض عدد 1000 مقاس 25 سم</v>
      </c>
      <c r="D47" s="66">
        <f>IFERROR(IF(IFERROR(MATCH(43,'كشف الحساب'!$N$4:$N$203,0),0)=0,"",INDEX('كشف الحساب'!$D$4:$D$203,IFERROR(MATCH(43,'كشف الحساب'!$N$4:$N$203,0),0))),"")</f>
        <v>80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 t="str">
        <f>IFERROR(IF(IFERROR(MATCH(43,'كشف الحساب'!$N$4:$N$203,0),0)=0,"",INDEX('كشف الحساب'!$F$4:$F$203,IFERROR(MATCH(43,'كشف الحساب'!$N$4:$N$203,0),0))),"")</f>
        <v>نقداً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25.050000000000011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6" t="s">
        <v>266</v>
      </c>
      <c r="B155" s="155"/>
      <c r="C155" s="155"/>
      <c r="D155" s="75">
        <f>SUM(D5:D154)</f>
        <v>724.8</v>
      </c>
      <c r="E155" s="75">
        <f>SUM(E5:E154)</f>
        <v>195.5</v>
      </c>
      <c r="F155" s="167">
        <f>COUNTIF(H5:H154,"معلق")</f>
        <v>3</v>
      </c>
      <c r="G155" s="155"/>
      <c r="H155" s="155"/>
      <c r="I155" s="76"/>
      <c r="J155" s="75">
        <f>E155-D155</f>
        <v>-529.29999999999995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0" t="s">
        <v>269</v>
      </c>
      <c r="B1" s="155"/>
      <c r="C1" s="155"/>
      <c r="D1" s="155"/>
      <c r="E1" s="155"/>
      <c r="F1" s="155"/>
      <c r="G1" s="155"/>
    </row>
    <row r="2" spans="1:7" ht="24" customHeight="1" x14ac:dyDescent="0.25">
      <c r="A2" s="165" t="s">
        <v>270</v>
      </c>
      <c r="B2" s="155"/>
      <c r="C2" s="56" t="s">
        <v>256</v>
      </c>
      <c r="D2" s="165" t="s">
        <v>271</v>
      </c>
      <c r="E2" s="155"/>
      <c r="F2" s="56">
        <v>2026</v>
      </c>
    </row>
    <row r="3" spans="1:7" ht="21.75" customHeight="1" x14ac:dyDescent="0.25">
      <c r="A3" s="169" t="s">
        <v>272</v>
      </c>
      <c r="B3" s="155"/>
      <c r="C3" s="57">
        <f>المحفظة!$D$2</f>
        <v>0</v>
      </c>
      <c r="D3" s="169" t="s">
        <v>273</v>
      </c>
      <c r="E3" s="155"/>
      <c r="F3" s="78">
        <f>المحفظة!$C$3</f>
        <v>0</v>
      </c>
    </row>
    <row r="4" spans="1:7" ht="21.75" customHeight="1" x14ac:dyDescent="0.25">
      <c r="A4" s="170" t="s">
        <v>274</v>
      </c>
      <c r="B4" s="155"/>
      <c r="C4" s="155"/>
      <c r="D4" s="155"/>
      <c r="E4" s="155"/>
      <c r="F4" s="155"/>
      <c r="G4" s="15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0" t="s">
        <v>267</v>
      </c>
      <c r="B55" s="155"/>
      <c r="C55" s="155"/>
      <c r="D55" s="15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2" t="s">
        <v>276</v>
      </c>
      <c r="B56" s="155"/>
      <c r="C56" s="155"/>
      <c r="D56" s="155"/>
      <c r="E56" s="155"/>
      <c r="F56" s="155"/>
      <c r="G56" s="15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2" t="s">
        <v>277</v>
      </c>
      <c r="B107" s="155"/>
      <c r="C107" s="15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6" t="s">
        <v>278</v>
      </c>
      <c r="B108" s="155"/>
      <c r="C108" s="155"/>
      <c r="D108" s="75">
        <f>E55-D107</f>
        <v>0</v>
      </c>
      <c r="E108" s="171">
        <f>SUM(E5:E107)</f>
        <v>0</v>
      </c>
      <c r="F108" s="155"/>
      <c r="G108" s="156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2026-07-21T18:24:37Z</dcterms:modified>
  <dc:language>en-US</dc:language>
</cp:coreProperties>
</file>