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06D588C2-7686-48A4-AC99-D80DC23A3377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J244" i="2"/>
  <c r="Q243" i="2"/>
  <c r="P243" i="2"/>
  <c r="O243" i="2"/>
  <c r="N243" i="2"/>
  <c r="M243" i="2"/>
  <c r="L243" i="2"/>
  <c r="J243" i="2"/>
  <c r="Q242" i="2"/>
  <c r="P242" i="2"/>
  <c r="O242" i="2"/>
  <c r="N242" i="2"/>
  <c r="M242" i="2"/>
  <c r="L242" i="2"/>
  <c r="J242" i="2"/>
  <c r="Q241" i="2"/>
  <c r="P241" i="2"/>
  <c r="O241" i="2"/>
  <c r="N241" i="2"/>
  <c r="M241" i="2"/>
  <c r="L241" i="2"/>
  <c r="J241" i="2"/>
  <c r="Q240" i="2"/>
  <c r="P240" i="2"/>
  <c r="O240" i="2"/>
  <c r="N240" i="2"/>
  <c r="M240" i="2"/>
  <c r="L240" i="2"/>
  <c r="J240" i="2"/>
  <c r="Q239" i="2"/>
  <c r="P239" i="2"/>
  <c r="O239" i="2"/>
  <c r="N239" i="2"/>
  <c r="M239" i="2"/>
  <c r="L239" i="2"/>
  <c r="J239" i="2"/>
  <c r="Q238" i="2"/>
  <c r="P238" i="2"/>
  <c r="O238" i="2"/>
  <c r="N238" i="2"/>
  <c r="M238" i="2"/>
  <c r="L238" i="2"/>
  <c r="J238" i="2"/>
  <c r="Q237" i="2"/>
  <c r="P237" i="2"/>
  <c r="O237" i="2"/>
  <c r="N237" i="2"/>
  <c r="M237" i="2"/>
  <c r="L237" i="2"/>
  <c r="J237" i="2"/>
  <c r="Q236" i="2"/>
  <c r="P236" i="2"/>
  <c r="O236" i="2"/>
  <c r="N236" i="2"/>
  <c r="M236" i="2"/>
  <c r="L236" i="2"/>
  <c r="J236" i="2"/>
  <c r="Q235" i="2"/>
  <c r="P235" i="2"/>
  <c r="O235" i="2"/>
  <c r="N235" i="2"/>
  <c r="M235" i="2"/>
  <c r="L235" i="2"/>
  <c r="J235" i="2"/>
  <c r="Q234" i="2"/>
  <c r="P234" i="2"/>
  <c r="O234" i="2"/>
  <c r="N234" i="2"/>
  <c r="M234" i="2"/>
  <c r="L234" i="2"/>
  <c r="J234" i="2"/>
  <c r="Q233" i="2"/>
  <c r="P233" i="2"/>
  <c r="O233" i="2"/>
  <c r="N233" i="2"/>
  <c r="M233" i="2"/>
  <c r="L233" i="2"/>
  <c r="J233" i="2"/>
  <c r="Q232" i="2"/>
  <c r="P232" i="2"/>
  <c r="O232" i="2"/>
  <c r="N232" i="2"/>
  <c r="M232" i="2"/>
  <c r="L232" i="2"/>
  <c r="J232" i="2"/>
  <c r="Q231" i="2"/>
  <c r="P231" i="2"/>
  <c r="O231" i="2"/>
  <c r="N231" i="2"/>
  <c r="M231" i="2"/>
  <c r="L231" i="2"/>
  <c r="J231" i="2"/>
  <c r="Q230" i="2"/>
  <c r="P230" i="2"/>
  <c r="O230" i="2"/>
  <c r="N230" i="2"/>
  <c r="M230" i="2"/>
  <c r="L230" i="2"/>
  <c r="J230" i="2"/>
  <c r="Q229" i="2"/>
  <c r="P229" i="2"/>
  <c r="O229" i="2"/>
  <c r="N229" i="2"/>
  <c r="M229" i="2"/>
  <c r="L229" i="2"/>
  <c r="J229" i="2"/>
  <c r="Q228" i="2"/>
  <c r="P228" i="2"/>
  <c r="O228" i="2"/>
  <c r="N228" i="2"/>
  <c r="M228" i="2"/>
  <c r="L228" i="2"/>
  <c r="J228" i="2"/>
  <c r="Q227" i="2"/>
  <c r="P227" i="2"/>
  <c r="O227" i="2"/>
  <c r="N227" i="2"/>
  <c r="M227" i="2"/>
  <c r="L227" i="2"/>
  <c r="J227" i="2"/>
  <c r="Q226" i="2"/>
  <c r="P226" i="2"/>
  <c r="O226" i="2"/>
  <c r="N226" i="2"/>
  <c r="M226" i="2"/>
  <c r="L226" i="2"/>
  <c r="J226" i="2"/>
  <c r="Q225" i="2"/>
  <c r="P225" i="2"/>
  <c r="O225" i="2"/>
  <c r="N225" i="2"/>
  <c r="M225" i="2"/>
  <c r="L225" i="2"/>
  <c r="J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J219" i="2"/>
  <c r="J220" i="2" s="1"/>
  <c r="J221" i="2" s="1"/>
  <c r="J222" i="2" s="1"/>
  <c r="J223" i="2" s="1"/>
  <c r="J224" i="2" s="1"/>
  <c r="Q218" i="2"/>
  <c r="P218" i="2"/>
  <c r="O218" i="2"/>
  <c r="N218" i="2"/>
  <c r="M218" i="2"/>
  <c r="L218" i="2"/>
  <c r="J218" i="2"/>
  <c r="Q217" i="2"/>
  <c r="P217" i="2"/>
  <c r="O217" i="2"/>
  <c r="N217" i="2"/>
  <c r="M217" i="2"/>
  <c r="L217" i="2"/>
  <c r="J217" i="2"/>
  <c r="Q216" i="2"/>
  <c r="P216" i="2"/>
  <c r="O216" i="2"/>
  <c r="N216" i="2"/>
  <c r="M216" i="2"/>
  <c r="L216" i="2"/>
  <c r="J216" i="2"/>
  <c r="Q215" i="2"/>
  <c r="P215" i="2"/>
  <c r="O215" i="2"/>
  <c r="N215" i="2"/>
  <c r="M215" i="2"/>
  <c r="L215" i="2"/>
  <c r="J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F205" i="1" s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<sst xmlns="http://schemas.openxmlformats.org/spreadsheetml/2006/main" count="1105" uniqueCount="468">
  <si>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</si>
  <si>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</si>
  <si>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</si>
  <si>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</si>
  <si>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</si>
  <si>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</si>
  <si>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</si>
  <si>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</si>
  <si>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</si>
  <si>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</si>
  <si>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</si>
  <si>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</si>
  <si>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</si>
  <si>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</si>
  <si>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</si>
  <si>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</si>
  <si>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</si>
  <si>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</si>
  <si>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</si>
  <si>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</si>
  <si>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</si>
  <si>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</si>
  <si>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</si>
  <si>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</si>
  <si>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</si>
  <si>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</si>
  <si>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</si>
  <si>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</si>
  <si>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</si>
  <si>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</si>
  <si>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</si>
  <si>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</si>
  <si>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</si>
  <si>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</si>
  <si>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</si>
  <si>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</si>
  <si>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</si>
  <si>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</si>
  <si>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</si>
  <si>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</si>
  <si>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</si>
  <si>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</si>
  <si>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</si>
  <si>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</si>
  <si>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</si>
  <si>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</si>
  <si>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</si>
  <si>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</si>
  <si>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</si>
  <si>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</si>
  <si>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</si>
  <si>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</si>
  <si>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</si>
  <si>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</si>
  <si>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</si>
  <si>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</si>
  <si>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</si>
  <si>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</si>
  <si>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</si>
  <si>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</si>
  <si>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</si>
  <si>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</si>
  <si>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</si>
  <si>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</si>
  <si>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</si>
  <si>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</si>
  <si>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</si>
  <si>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</si>
  <si>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</si>
  <si>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</si>
  <si>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</si>
  <si>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</si>
  <si>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</si>
  <si>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</si>
  <si>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</si>
  <si>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</si>
  <si>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</si>
  <si>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</si>
  <si>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</si>
  <si>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</si>
  <si>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</si>
  <si>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</si>
  <si>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</si>
  <si>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</si>
  <si>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</si>
  <si>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</si>
  <si>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</si>
  <si>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</si>
  <si>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</si>
  <si>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</si>
  <si>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</si>
  <si>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</si>
  <si>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</si>
  <si>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</si>
  <si>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</si>
  <si>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</si>
  <si>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</si>
  <si>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</si>
  <si>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</si>
  <si>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</si>
  <si>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</si>
  <si>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</si>
  <si>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</si>
  <si>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</si>
  <si>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</si>
  <si>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</si>
  <si>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</si>
  <si>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</si>
  <si>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</si>
  <si>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</si>
  <si>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</si>
  <si>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</si>
  <si>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</si>
  <si>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</si>
  <si>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</si>
  <si>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</si>
  <si>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</si>
  <si>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</si>
  <si>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</si>
  <si>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</si>
  <si>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</si>
  <si>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</si>
  <si>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</si>
  <si>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</si>
  <si>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</si>
  <si>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</si>
  <si>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</si>
  <si>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</si>
  <si>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</si>
  <si>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</si>
  <si>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</si>
  <si>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</si>
  <si>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</si>
  <si>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</si>
  <si>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</si>
  <si>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</si>
  <si>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</si>
  <si>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</si>
  <si>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</si>
  <si>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</si>
  <si>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</si>
  <si>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</si>
  <si>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</si>
  <si>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</si>
  <si>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</si>
  <si>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</si>
  <si>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</si>
  <si>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</si>
  <si>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</si>
  <si>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</si>
  <si>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</si>
  <si>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</si>
  <si>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</si>
  <si>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</si>
  <si>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</si>
  <si>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</si>
  <si>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</si>
  <si>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</si>
  <si>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</si>
  <si>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</si>
  <si>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</si>
  <si>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</si>
  <si>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</si>
  <si>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</si>
  <si>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</si>
  <si>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</si>
  <si>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</si>
  <si>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</si>
  <si>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</si>
  <si>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</si>
  <si>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</si>
  <si>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</si>
  <si>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</si>
  <si>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</si>
  <si>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</si>
  <si>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</si>
  <si>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</si>
  <si>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</si>
  <si>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</si>
  <si>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</si>
  <si>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</si>
  <si>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</si>
  <si>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</si>
  <si>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</si>
  <si>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</si>
  <si>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</si>
  <si>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</si>
  <si>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</si>
  <si>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</si>
  <si>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</si>
  <si>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</si>
  <si>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</si>
  <si>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</si>
  <si>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</si>
  <si>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</si>
  <si>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</si>
  <si>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</si>
  <si>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</si>
  <si>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</si>
  <si>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</si>
  <si>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</si>
  <si>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</si>
  <si>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</si>
  <si>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</si>
  <si>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</si>
  <si>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</si>
  <si>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</si>
  <si>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</si>
  <si>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</si>
  <si>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</si>
  <si>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</si>
  <si>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</si>
  <si>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</si>
  <si>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</si>
  <si>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</si>
  <si>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</si>
  <si>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</si>
  <si>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</si>
  <si>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</si>
  <si>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</si>
  <si>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</si>
  <si>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</si>
  <si>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</si>
  <si>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</si>
  <si>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</si>
  <si>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</si>
  <si>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</si>
  <si>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</si>
  <si>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</si>
  <si>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</si>
  <si>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</si>
  <si>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</si>
  <si>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</si>
  <si>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</si>
  <si>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</si>
  <si>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</si>
  <si>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</si>
  <si>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</si>
  <si>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</si>
  <si>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</si>
  <si>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</si>
  <si>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</si>
  <si>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</si>
  <si>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</si>
  <si>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</si>
  <si>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</si>
  <si>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</si>
  <si>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</si>
  <si>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</si>
  <si>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</si>
  <si>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</si>
  <si>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</si>
  <si>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</si>
  <si>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</si>
  <si>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</si>
  <si>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</si>
  <si>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</si>
  <si>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</si>
  <si>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</si>
  <si>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</si>
  <si>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</si>
  <si>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</si>
  <si>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</si>
  <si>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</si>
  <si>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</si>
  <si>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</si>
  <si>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</si>
  <si>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</si>
  <si>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</si>
  <si>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</si>
  <si>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</si>
  <si>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</si>
  <si>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</si>
  <si>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</si>
  <si>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</si>
  <si>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</si>
  <si>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</si>
  <si>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</si>
  <si>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</si>
  <si>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</si>
  <si>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</si>
  <si>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</si>
  <si>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</si>
  <si>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</si>
  <si>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</si>
  <si>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</si>
  <si>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</si>
  <si>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</si>
  <si>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</si>
  <si>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</si>
  <si>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</si>
  <si>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</si>
  <si>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</si>
  <si>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</si>
  <si>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</si>
  <si>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</si>
  <si>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</si>
  <si>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</si>
  <si>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</si>
  <si>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</si>
  <si>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</si>
  <si>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</si>
  <si>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</si>
  <si>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</si>
  <si>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</si>
  <si>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</si>
  <si>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</si>
  <si>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</si>
  <si>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</si>
  <si>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</si>
  <si>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</si>
  <si>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</si>
  <si>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</si>
  <si>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</si>
  <si>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</si>
  <si>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</si>
  <si>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</si>
  <si>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</si>
  <si>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</si>
  <si>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</si>
  <si>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</si>
  <si>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</si>
  <si>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</si>
  <si>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</si>
  <si>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</si>
  <si>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</si>
  <si>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</si>
  <si>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</si>
  <si>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</si>
  <si>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</si>
  <si>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</si>
  <si>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</si>
  <si>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</si>
  <si>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</si>
  <si>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</si>
  <si>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</si>
  <si>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</si>
  <si>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</si>
  <si>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</si>
  <si>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</si>
  <si>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</si>
  <si>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</si>
  <si>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</si>
  <si>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</si>
  <si>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</si>
  <si>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</si>
  <si>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</si>
  <si>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</si>
  <si>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</si>
  <si>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</si>
  <si>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</si>
  <si>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</si>
  <si>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</si>
  <si>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</si>
  <si>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</si>
  <si>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</si>
  <si>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</si>
  <si>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</si>
  <si>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</si>
  <si>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</si>
  <si>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</si>
  <si>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</si>
  <si>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</si>
  <si>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</si>
  <si>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</si>
  <si>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</si>
  <si>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</si>
  <si>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</si>
  <si>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</si>
  <si>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</si>
  <si>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</si>
  <si>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</si>
  <si>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</si>
  <si>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</si>
  <si>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</si>
  <si>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</si>
  <si>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</si>
  <si>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</si>
  <si>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</si>
  <si>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</si>
  <si>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</si>
  <si>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</si>
  <si>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</si>
  <si>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</si>
  <si>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</si>
  <si>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</si>
  <si>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</si>
  <si>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</si>
  <si>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</si>
  <si>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</si>
  <si>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</si>
  <si>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</si>
  <si>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</si>
  <si>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</si>
  <si>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</si>
  <si>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</si>
  <si>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</si>
  <si>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</si>
  <si>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</si>
  <si>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</si>
  <si>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</si>
  <si>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</si>
  <si>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</si>
  <si>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</si>
  <si>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</si>
  <si>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</si>
  <si>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</si>
  <si>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</si>
  <si>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</si>
  <si>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</si>
  <si>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</si>
  <si>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</si>
  <si>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</si>
  <si>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</si>
  <si>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</si>
  <si>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</si>
  <si>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</si>
  <si>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</si>
  <si>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</si>
  <si>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</si>
  <si>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</si>
  <si>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</si>
  <si>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</si>
  <si>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</si>
  <si>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</si>
  <si>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</si>
  <si>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</si>
  <si>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</si>
  <si>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</si>
  <si>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</si>
  <si>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</si>
  <si>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</si>
  <si>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</si>
  <si>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</si>
  <si>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</si>
  <si>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</si>
  <si>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</si>
  <si>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</si>
  <si>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</si>
  <si>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</si>
  <si>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</si>
  <si>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</si>
  <si>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</si>
  <si>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</si>
  <si>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</si>
  <si>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</si>
  <si>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</si>
  <si>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</si>
  <si>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</si>
  <si>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</si>
  <si>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</si>
  <si>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</si>
  <si>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</si>
  <si>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</si>
  <si>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لم يدفع  63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</si>
  <si>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</si>
  <si>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</si>
  <si>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</si>
  <si>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</si>
  <si>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</si>
  <si>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</si>
  <si>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</si>
  <si>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</si>
  <si>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</si>
  <si>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</si>
  <si>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</si>
  <si>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</si>
  <si>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لم يدفه أبو ادم 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</si>
</sst>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936.79500000000007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20</v>
      </c>
      <c r="F185" s="125">
        <f t="shared" si="5"/>
        <v>583.04500000000007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586.04500000000007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596.04500000000007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606.04500000000007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616.04500000000007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625.04500000000007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631.04500000000007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661.04500000000007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668.54500000000007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671.04500000000007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678.54500000000007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653.54500000000007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896.54500000000007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877.79500000000007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857.79500000000007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859.29500000000007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860.29500000000007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862.79500000000007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935.29500000000007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936.79500000000007</v>
      </c>
    </row>
    <row r="205" spans="1:6" ht="18" customHeight="1" x14ac:dyDescent="0.25">
      <c r="A205" s="142" t="str">
        <f>IFERROR(INDEX('كشف الحساب'!$A$4:$A$254,MATCH(200,'كشف الحساب'!$P$4:$P$254,0)),"")</f>
        <v/>
      </c>
      <c r="B205" s="122" t="str">
        <f>IFERROR(INDEX('كشف الحساب'!$B$4:$B$254,MATCH(200,'كشف الحساب'!$P$4:$P$254,0)),"")</f>
        <v/>
      </c>
      <c r="C205" s="121" t="str">
        <f>IFERROR(INDEX('كشف الحساب'!$C$4:$C$254,MATCH(200,'كشف الحساب'!$P$4:$P$254,0)),"")</f>
        <v/>
      </c>
      <c r="D205" s="123" t="str">
        <f>IFERROR(INDEX('كشف الحساب'!$E$4:$E$254,MATCH(200,'كشف الحساب'!$P$4:$P$254,0)),"")</f>
        <v/>
      </c>
      <c r="E205" s="124" t="str">
        <f>IFERROR(INDEX('كشف الحساب'!$D$4:$D$254,MATCH(200,'كشف الحساب'!$P$4:$P$254,0)),"")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2883.19</v>
      </c>
      <c r="E206" s="129">
        <f>SUM(E6:E205)</f>
        <v>1946.395</v>
      </c>
      <c r="F206" s="130">
        <f>IFERROR(LOOKUP(2,1/($F$6:$F$205&lt;&gt;""),$F$6:$F$205),0)</f>
        <v>936.79500000000007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topLeftCell="B1" zoomScaleNormal="100" workbookViewId="0">
      <pane ySplit="3" topLeftCell="A214" activePane="bottomLeft" state="frozen"/>
      <selection pane="bottomLeft" activeCell="K224" sqref="K224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20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583.04500000000007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586.04500000000007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596.04500000000007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606.04500000000007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616.04500000000007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625.04500000000007</v>
      </c>
      <c r="K209" s="168" t="s">
        <v>454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631.04500000000007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661.04500000000007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668.54500000000007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671.04500000000007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678.54500000000007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455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653.54500000000007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456</v>
      </c>
      <c r="C216" s="37" t="s">
        <v>457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896.54500000000007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458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877.79500000000007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857.79500000000007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459</v>
      </c>
      <c r="C219" s="27" t="s">
        <v>460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859.29500000000007</v>
      </c>
      <c r="K219" s="168" t="s">
        <v>467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461</v>
      </c>
      <c r="C220" s="37" t="s">
        <v>460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860.29500000000007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462</v>
      </c>
      <c r="C221" s="27" t="s">
        <v>463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862.79500000000007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464</v>
      </c>
      <c r="C222" s="37" t="s">
        <v>465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935.29500000000007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466</v>
      </c>
      <c r="C223" s="27" t="s">
        <v>460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936.79500000000007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46286</v>
      </c>
      <c r="B224" s="36" t="s">
        <v>456</v>
      </c>
      <c r="C224" s="37"/>
      <c r="D224" s="38"/>
      <c r="E224" s="39"/>
      <c r="F224" s="136"/>
      <c r="G224" s="40"/>
      <c r="H224" s="41"/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936.79500000000007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 t="str">
        <f>IF(OR($A224="",$F224="أحد الشركاء",AND($D224="",$E224="")),"",SUMPRODUCT(($A$4:$A224&lt;&gt;"")*($F$4:$F224&lt;&gt;"أحد الشركاء")*((($D$4:$D224&lt;&gt;"")+($E$4:$E224&lt;&gt;""))&gt;0)))</f>
        <v/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/>
      <c r="B225" s="26"/>
      <c r="C225" s="27"/>
      <c r="D225" s="28"/>
      <c r="E225" s="29"/>
      <c r="F225" s="30"/>
      <c r="G225" s="31"/>
      <c r="H225" s="32"/>
      <c r="I225" s="33"/>
      <c r="J225" s="34" t="str">
        <f>IF(AND(D225="",E225="",A225="",B225="",C225=""),"", IFERROR(IF(J224="",D2,J224),D2)+IF(E225="",0,E225)-IF(OR(G225="أبو اسحاق",G225="أبو آدم",G225="أبو اسحاق ",G225="أبو آدم "),0,IF(D225="",0,D225)))</f>
        <v/>
      </c>
      <c r="K225" s="35"/>
      <c r="L225" t="str">
        <f>IF(E224&gt;0,COUNTIF($E$4:E224,"&gt;0"),"")</f>
        <v/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 t="str">
        <f>IF(OR($A225="",$F225="أحد الشركاء",AND($D225="",$E225="")),"",SUMPRODUCT(($A$4:$A225&lt;&gt;"")*($F$4:$F225&lt;&gt;"أحد الشركاء")*((($D$4:$D225&lt;&gt;"")+($E$4:$E225&lt;&gt;""))&gt;0)))</f>
        <v/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/>
      <c r="B226" s="36"/>
      <c r="C226" s="37"/>
      <c r="D226" s="38"/>
      <c r="E226" s="39"/>
      <c r="F226" s="136"/>
      <c r="G226" s="40"/>
      <c r="H226" s="41"/>
      <c r="I226" s="42"/>
      <c r="J226" s="43" t="str">
        <f>IF(AND(D226="",E226="",A226="",B226="",C226=""),"", IFERROR(IF(J225="",D2,J225),D2)+IF(E226="",0,E226)-IF(OR(G226="أبو اسحاق",G226="أبو آدم",G226="أبو اسحاق ",G226="أبو آدم "),0,IF(D226="",0,D226)))</f>
        <v/>
      </c>
      <c r="K226" s="44"/>
      <c r="L226" t="str">
        <f>IF(E225&gt;0,COUNTIF($E$4:E225,"&gt;0"),"")</f>
        <v/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 t="str">
        <f>IF(OR($A226="",$F226="أحد الشركاء",AND($D226="",$E226="")),"",SUMPRODUCT(($A$4:$A226&lt;&gt;"")*($F$4:$F226&lt;&gt;"أحد الشركاء")*((($D$4:$D226&lt;&gt;"")+($E$4:$E226&lt;&gt;""))&gt;0)))</f>
        <v/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/>
      <c r="B227" s="26"/>
      <c r="C227" s="27"/>
      <c r="D227" s="28"/>
      <c r="E227" s="29"/>
      <c r="F227" s="30"/>
      <c r="G227" s="31"/>
      <c r="H227" s="32"/>
      <c r="I227" s="33"/>
      <c r="J227" s="34" t="str">
        <f>IF(AND(D227="",E227="",A227="",B227="",C227=""),"", IFERROR(IF(J226="",D2,J226),D2)+IF(E227="",0,E227)-IF(OR(G227="أبو اسحاق",G227="أبو آدم",G227="أبو اسحاق ",G227="أبو آدم "),0,IF(D227="",0,D227)))</f>
        <v/>
      </c>
      <c r="K227" s="35"/>
      <c r="L227" t="str">
        <f>IF(E226&gt;0,COUNTIF($E$4:E226,"&gt;0"),"")</f>
        <v/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 t="str">
        <f>IF(OR($A227="",$F227="أحد الشركاء",AND($D227="",$E227="")),"",SUMPRODUCT(($A$4:$A227&lt;&gt;"")*($F$4:$F227&lt;&gt;"أحد الشركاء")*((($D$4:$D227&lt;&gt;"")+($E$4:$E227&lt;&gt;""))&gt;0)))</f>
        <v/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/>
      <c r="B228" s="36"/>
      <c r="C228" s="37"/>
      <c r="D228" s="38"/>
      <c r="E228" s="39"/>
      <c r="F228" s="136"/>
      <c r="G228" s="40"/>
      <c r="H228" s="41"/>
      <c r="I228" s="42"/>
      <c r="J228" s="43" t="str">
        <f>IF(AND(D228="",E228="",A228="",B228="",C228=""),"", IFERROR(IF(J227="",D2,J227),D2)+IF(E228="",0,E228)-IF(OR(G228="أبو اسحاق",G228="أبو آدم",G228="أبو اسحاق ",G228="أبو آدم "),0,IF(D228="",0,D228)))</f>
        <v/>
      </c>
      <c r="K228" s="44"/>
      <c r="L228" t="str">
        <f>IF(E227&gt;0,COUNTIF($E$4:E227,"&gt;0"),"")</f>
        <v/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 t="str">
        <f>IF(OR($A228="",$F228="أحد الشركاء",AND($D228="",$E228="")),"",SUMPRODUCT(($A$4:$A228&lt;&gt;"")*($F$4:$F228&lt;&gt;"أحد الشركاء")*((($D$4:$D228&lt;&gt;"")+($E$4:$E228&lt;&gt;""))&gt;0)))</f>
        <v/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/>
      <c r="B229" s="26"/>
      <c r="C229" s="27"/>
      <c r="D229" s="28"/>
      <c r="E229" s="29"/>
      <c r="F229" s="30"/>
      <c r="G229" s="31"/>
      <c r="H229" s="32"/>
      <c r="I229" s="33"/>
      <c r="J229" s="34" t="str">
        <f>IF(AND(D229="",E229="",A229="",B229="",C229=""),"", IFERROR(IF(J228="",D2,J228),D2)+IF(E229="",0,E229)-IF(OR(G229="أبو اسحاق",G229="أبو آدم",G229="أبو اسحاق ",G229="أبو آدم "),0,IF(D229="",0,D229)))</f>
        <v/>
      </c>
      <c r="K229" s="35"/>
      <c r="L229" t="str">
        <f>IF(E228&gt;0,COUNTIF($E$4:E228,"&gt;0"),"")</f>
        <v/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 t="str">
        <f>IF(OR($A229="",$F229="أحد الشركاء",AND($D229="",$E229="")),"",SUMPRODUCT(($A$4:$A229&lt;&gt;"")*($F$4:$F229&lt;&gt;"أحد الشركاء")*((($D$4:$D229&lt;&gt;"")+($E$4:$E229&lt;&gt;""))&gt;0)))</f>
        <v/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/>
      <c r="B230" s="36"/>
      <c r="C230" s="37"/>
      <c r="D230" s="38"/>
      <c r="E230" s="39"/>
      <c r="F230" s="136"/>
      <c r="G230" s="40"/>
      <c r="H230" s="41"/>
      <c r="I230" s="42"/>
      <c r="J230" s="43" t="str">
        <f>IF(AND(D230="",E230="",A230="",B230="",C230=""),"", IFERROR(IF(J229="",D2,J229),D2)+IF(E230="",0,E230)-IF(OR(G230="أبو اسحاق",G230="أبو آدم",G230="أبو اسحاق ",G230="أبو آدم "),0,IF(D230="",0,D230)))</f>
        <v/>
      </c>
      <c r="K230" s="44"/>
      <c r="L230" t="str">
        <f>IF(E229&gt;0,COUNTIF($E$4:E229,"&gt;0"),"")</f>
        <v/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 t="str">
        <f>IF(OR($A230="",$F230="أحد الشركاء",AND($D230="",$E230="")),"",SUMPRODUCT(($A$4:$A230&lt;&gt;"")*($F$4:$F230&lt;&gt;"أحد الشركاء")*((($D$4:$D230&lt;&gt;"")+($E$4:$E230&lt;&gt;""))&gt;0)))</f>
        <v/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/>
      <c r="B231" s="26"/>
      <c r="C231" s="27"/>
      <c r="D231" s="28"/>
      <c r="E231" s="29"/>
      <c r="F231" s="30"/>
      <c r="G231" s="31"/>
      <c r="H231" s="32"/>
      <c r="I231" s="33"/>
      <c r="J231" s="34" t="str">
        <f>IF(AND(D231="",E231="",A231="",B231="",C231=""),"", IFERROR(IF(J230="",D2,J230),D2)+IF(E231="",0,E231)-IF(OR(G231="أبو اسحاق",G231="أبو آدم",G231="أبو اسحاق ",G231="أبو آدم "),0,IF(D231="",0,D231)))</f>
        <v/>
      </c>
      <c r="K231" s="35"/>
      <c r="L231" t="str">
        <f>IF(E230&gt;0,COUNTIF($E$4:E230,"&gt;0"),"")</f>
        <v/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 t="str">
        <f>IF(OR($A231="",$F231="أحد الشركاء",AND($D231="",$E231="")),"",SUMPRODUCT(($A$4:$A231&lt;&gt;"")*($F$4:$F231&lt;&gt;"أحد الشركاء")*((($D$4:$D231&lt;&gt;"")+($E$4:$E231&lt;&gt;""))&gt;0)))</f>
        <v/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/>
      <c r="B232" s="36"/>
      <c r="C232" s="37"/>
      <c r="D232" s="38"/>
      <c r="E232" s="39"/>
      <c r="F232" s="136"/>
      <c r="G232" s="40"/>
      <c r="H232" s="41"/>
      <c r="I232" s="42"/>
      <c r="J232" s="43" t="str">
        <f>IF(AND(D232="",E232="",A232="",B232="",C232=""),"", IFERROR(IF(J231="",D2,J231),D2)+IF(E232="",0,E232)-IF(OR(G232="أبو اسحاق",G232="أبو آدم",G232="أبو اسحاق ",G232="أبو آدم "),0,IF(D232="",0,D232)))</f>
        <v/>
      </c>
      <c r="K232" s="44"/>
      <c r="L232" t="str">
        <f>IF(E231&gt;0,COUNTIF($E$4:E231,"&gt;0"),"")</f>
        <v/>
      </c>
      <c r="M232" t="str">
        <f>IF(AND(D231&gt;0,G231="المحفظة"),COUNTIFS($D$4:D231,"&gt;"&amp;0,$G$4:G231,"المحفظة"),"")</f>
        <v/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 t="str">
        <f>IF(OR($A232="",$F232="أحد الشركاء",AND($D232="",$E232="")),"",SUMPRODUCT(($A$4:$A232&lt;&gt;"")*($F$4:$F232&lt;&gt;"أحد الشركاء")*((($D$4:$D232&lt;&gt;"")+($E$4:$E232&lt;&gt;""))&gt;0)))</f>
        <v/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/>
      <c r="B233" s="26"/>
      <c r="C233" s="27"/>
      <c r="D233" s="28"/>
      <c r="E233" s="29"/>
      <c r="F233" s="30"/>
      <c r="G233" s="31"/>
      <c r="H233" s="32"/>
      <c r="I233" s="33"/>
      <c r="J233" s="34" t="str">
        <f>IF(AND(D233="",E233="",A233="",B233="",C233=""),"", IFERROR(IF(J232="",D2,J232),D2)+IF(E233="",0,E233)-IF(OR(G233="أبو اسحاق",G233="أبو آدم",G233="أبو اسحاق ",G233="أبو آدم "),0,IF(D233="",0,D233)))</f>
        <v/>
      </c>
      <c r="K233" s="35"/>
      <c r="L233" t="str">
        <f>IF(E232&gt;0,COUNTIF($E$4:E232,"&gt;0"),"")</f>
        <v/>
      </c>
      <c r="M233" t="str">
        <f>IF(AND(D232&gt;0,G232="المحفظة"),COUNTIFS($D$4:D232,"&gt;"&amp;0,$G$4:G232,"المحفظة"),"")</f>
        <v/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 t="str">
        <f>IF(OR($A233="",$F233="أحد الشركاء",AND($D233="",$E233="")),"",SUMPRODUCT(($A$4:$A233&lt;&gt;"")*($F$4:$F233&lt;&gt;"أحد الشركاء")*((($D$4:$D233&lt;&gt;"")+($E$4:$E233&lt;&gt;""))&gt;0)))</f>
        <v/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/>
      <c r="B234" s="36"/>
      <c r="C234" s="37"/>
      <c r="D234" s="38"/>
      <c r="E234" s="39"/>
      <c r="F234" s="136"/>
      <c r="G234" s="40"/>
      <c r="H234" s="41"/>
      <c r="I234" s="42"/>
      <c r="J234" s="43" t="str">
        <f>IF(AND(D234="",E234="",A234="",B234="",C234=""),"", IFERROR(IF(J233="",D2,J233),D2)+IF(E234="",0,E234)-IF(OR(G234="أبو اسحاق",G234="أبو آدم",G234="أبو اسحاق ",G234="أبو آدم "),0,IF(D234="",0,D234)))</f>
        <v/>
      </c>
      <c r="K234" s="44"/>
      <c r="L234" t="str">
        <f>IF(E233&gt;0,COUNTIF($E$4:E233,"&gt;0"),"")</f>
        <v/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 t="str">
        <f>IF(OR($A234="",$F234="أحد الشركاء",AND($D234="",$E234="")),"",SUMPRODUCT(($A$4:$A234&lt;&gt;"")*($F$4:$F234&lt;&gt;"أحد الشركاء")*((($D$4:$D234&lt;&gt;"")+($E$4:$E234&lt;&gt;""))&gt;0)))</f>
        <v/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/>
      <c r="B235" s="26"/>
      <c r="C235" s="27"/>
      <c r="D235" s="28"/>
      <c r="E235" s="29"/>
      <c r="F235" s="30"/>
      <c r="G235" s="31"/>
      <c r="H235" s="32"/>
      <c r="I235" s="33"/>
      <c r="J235" s="34" t="str">
        <f>IF(AND(D235="",E235="",A235="",B235="",C235=""),"", IFERROR(IF(J234="",D2,J234),D2)+IF(E235="",0,E235)-IF(OR(G235="أبو اسحاق",G235="أبو آدم",G235="أبو اسحاق ",G235="أبو آدم "),0,IF(D235="",0,D235)))</f>
        <v/>
      </c>
      <c r="K235" s="35"/>
      <c r="L235" t="str">
        <f>IF(E234&gt;0,COUNTIF($E$4:E234,"&gt;0"),"")</f>
        <v/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 t="str">
        <f>IF(OR($A235="",$F235="أحد الشركاء",AND($D235="",$E235="")),"",SUMPRODUCT(($A$4:$A235&lt;&gt;"")*($F$4:$F235&lt;&gt;"أحد الشركاء")*((($D$4:$D235&lt;&gt;"")+($E$4:$E235&lt;&gt;""))&gt;0)))</f>
        <v/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/>
      <c r="B236" s="36"/>
      <c r="C236" s="37"/>
      <c r="D236" s="38"/>
      <c r="E236" s="39"/>
      <c r="F236" s="136"/>
      <c r="G236" s="40"/>
      <c r="H236" s="41"/>
      <c r="I236" s="42"/>
      <c r="J236" s="43" t="str">
        <f>IF(AND(D236="",E236="",A236="",B236="",C236=""),"", IFERROR(IF(J235="",D2,J235),D2)+IF(E236="",0,E236)-IF(OR(G236="أبو اسحاق",G236="أبو آدم",G236="أبو اسحاق ",G236="أبو آدم "),0,IF(D236="",0,D236)))</f>
        <v/>
      </c>
      <c r="K236" s="44"/>
      <c r="L236" t="str">
        <f>IF(E235&gt;0,COUNTIF($E$4:E235,"&gt;0"),"")</f>
        <v/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 t="str">
        <f>IF(OR($A236="",$F236="أحد الشركاء",AND($D236="",$E236="")),"",SUMPRODUCT(($A$4:$A236&lt;&gt;"")*($F$4:$F236&lt;&gt;"أحد الشركاء")*((($D$4:$D236&lt;&gt;"")+($E$4:$E236&lt;&gt;""))&gt;0)))</f>
        <v/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/>
      <c r="B237" s="26"/>
      <c r="C237" s="27"/>
      <c r="D237" s="28"/>
      <c r="E237" s="29"/>
      <c r="F237" s="30"/>
      <c r="G237" s="31"/>
      <c r="H237" s="32"/>
      <c r="I237" s="33"/>
      <c r="J237" s="34" t="str">
        <f>IF(AND(D237="",E237="",A237="",B237="",C237=""),"", IFERROR(IF(J236="",D2,J236),D2)+IF(E237="",0,E237)-IF(OR(G237="أبو اسحاق",G237="أبو آدم",G237="أبو اسحاق ",G237="أبو آدم "),0,IF(D237="",0,D237)))</f>
        <v/>
      </c>
      <c r="K237" s="35"/>
      <c r="L237" t="str">
        <f>IF(E236&gt;0,COUNTIF($E$4:E236,"&gt;0"),"")</f>
        <v/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 t="str">
        <f>IF(OR($A237="",$F237="أحد الشركاء",AND($D237="",$E237="")),"",SUMPRODUCT(($A$4:$A237&lt;&gt;"")*($F$4:$F237&lt;&gt;"أحد الشركاء")*((($D$4:$D237&lt;&gt;"")+($E$4:$E237&lt;&gt;""))&gt;0)))</f>
        <v/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/>
      <c r="B238" s="36"/>
      <c r="C238" s="37"/>
      <c r="D238" s="38"/>
      <c r="E238" s="39"/>
      <c r="F238" s="136"/>
      <c r="G238" s="40"/>
      <c r="H238" s="41"/>
      <c r="I238" s="42"/>
      <c r="J238" s="43" t="str">
        <f>IF(AND(D238="",E238="",A238="",B238="",C238=""),"", IFERROR(IF(J237="",D2,J237),D2)+IF(E238="",0,E238)-IF(OR(G238="أبو اسحاق",G238="أبو آدم",G238="أبو اسحاق ",G238="أبو آدم "),0,IF(D238="",0,D238)))</f>
        <v/>
      </c>
      <c r="K238" s="44"/>
      <c r="L238" t="str">
        <f>IF(E237&gt;0,COUNTIF($E$4:E237,"&gt;0"),"")</f>
        <v/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 t="str">
        <f>IF(OR($A238="",$F238="أحد الشركاء",AND($D238="",$E238="")),"",SUMPRODUCT(($A$4:$A238&lt;&gt;"")*($F$4:$F238&lt;&gt;"أحد الشركاء")*((($D$4:$D238&lt;&gt;"")+($E$4:$E238&lt;&gt;""))&gt;0)))</f>
        <v/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/>
      <c r="B239" s="26"/>
      <c r="C239" s="27"/>
      <c r="D239" s="28"/>
      <c r="E239" s="29"/>
      <c r="F239" s="30"/>
      <c r="G239" s="31"/>
      <c r="H239" s="32"/>
      <c r="I239" s="33"/>
      <c r="J239" s="34" t="str">
        <f>IF(AND(D239="",E239="",A239="",B239="",C239=""),"", IFERROR(IF(J238="",D2,J238),D2)+IF(E239="",0,E239)-IF(OR(G239="أبو اسحاق",G239="أبو آدم",G239="أبو اسحاق ",G239="أبو آدم "),0,IF(D239="",0,D239)))</f>
        <v/>
      </c>
      <c r="K239" s="35"/>
      <c r="L239" t="str">
        <f>IF(E238&gt;0,COUNTIF($E$4:E238,"&gt;0"),"")</f>
        <v/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 t="str">
        <f>IF(OR($A239="",$F239="أحد الشركاء",AND($D239="",$E239="")),"",SUMPRODUCT(($A$4:$A239&lt;&gt;"")*($F$4:$F239&lt;&gt;"أحد الشركاء")*((($D$4:$D239&lt;&gt;"")+($E$4:$E239&lt;&gt;""))&gt;0)))</f>
        <v/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/>
      <c r="B240" s="36"/>
      <c r="C240" s="37"/>
      <c r="D240" s="38"/>
      <c r="E240" s="39"/>
      <c r="F240" s="136"/>
      <c r="G240" s="40"/>
      <c r="H240" s="41"/>
      <c r="I240" s="42"/>
      <c r="J240" s="43" t="str">
        <f>IF(AND(D240="",E240="",A240="",B240="",C240=""),"", IFERROR(IF(J239="",D2,J239),D2)+IF(E240="",0,E240)-IF(OR(G240="أبو اسحاق",G240="أبو آدم",G240="أبو اسحاق ",G240="أبو آدم "),0,IF(D240="",0,D240)))</f>
        <v/>
      </c>
      <c r="K240" s="44"/>
      <c r="L240" t="str">
        <f>IF(E239&gt;0,COUNTIF($E$4:E239,"&gt;0"),"")</f>
        <v/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 t="str">
        <f>IF(OR($A240="",$F240="أحد الشركاء",AND($D240="",$E240="")),"",SUMPRODUCT(($A$4:$A240&lt;&gt;"")*($F$4:$F240&lt;&gt;"أحد الشركاء")*((($D$4:$D240&lt;&gt;"")+($E$4:$E240&lt;&gt;""))&gt;0)))</f>
        <v/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/>
      <c r="B241" s="26"/>
      <c r="C241" s="27"/>
      <c r="D241" s="28"/>
      <c r="E241" s="29"/>
      <c r="F241" s="30"/>
      <c r="G241" s="31"/>
      <c r="H241" s="32"/>
      <c r="I241" s="33"/>
      <c r="J241" s="34" t="str">
        <f>IF(AND(D241="",E241="",A241="",B241="",C241=""),"", IFERROR(IF(J240="",D2,J240),D2)+IF(E241="",0,E241)-IF(OR(G241="أبو اسحاق",G241="أبو آدم",G241="أبو اسحاق ",G241="أبو آدم "),0,IF(D241="",0,D241)))</f>
        <v/>
      </c>
      <c r="K241" s="35"/>
      <c r="L241" t="str">
        <f>IF(E240&gt;0,COUNTIF($E$4:E240,"&gt;0"),"")</f>
        <v/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 t="str">
        <f>IF(OR($A241="",$F241="أحد الشركاء",AND($D241="",$E241="")),"",SUMPRODUCT(($A$4:$A241&lt;&gt;"")*($F$4:$F241&lt;&gt;"أحد الشركاء")*((($D$4:$D241&lt;&gt;"")+($E$4:$E241&lt;&gt;""))&gt;0)))</f>
        <v/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/>
      <c r="B242" s="36"/>
      <c r="C242" s="37"/>
      <c r="D242" s="38"/>
      <c r="E242" s="39"/>
      <c r="F242" s="136"/>
      <c r="G242" s="40"/>
      <c r="H242" s="41"/>
      <c r="I242" s="42"/>
      <c r="J242" s="43" t="str">
        <f>IF(AND(D242="",E242="",A242="",B242="",C242=""),"", IFERROR(IF(J241="",D2,J241),D2)+IF(E242="",0,E242)-IF(OR(G242="أبو اسحاق",G242="أبو آدم",G242="أبو اسحاق ",G242="أبو آدم "),0,IF(D242="",0,D242)))</f>
        <v/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 t="str">
        <f>IF(OR($A242="",$F242="أحد الشركاء",AND($D242="",$E242="")),"",SUMPRODUCT(($A$4:$A242&lt;&gt;"")*($F$4:$F242&lt;&gt;"أحد الشركاء")*((($D$4:$D242&lt;&gt;"")+($E$4:$E242&lt;&gt;""))&gt;0)))</f>
        <v/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/>
      <c r="B243" s="26"/>
      <c r="C243" s="27"/>
      <c r="D243" s="28"/>
      <c r="E243" s="29"/>
      <c r="F243" s="30"/>
      <c r="G243" s="31"/>
      <c r="H243" s="32"/>
      <c r="I243" s="33"/>
      <c r="J243" s="34" t="str">
        <f>IF(AND(D243="",E243="",A243="",B243="",C243=""),"", IFERROR(IF(J242="",D2,J242),D2)+IF(E243="",0,E243)-IF(OR(G243="أبو اسحاق",G243="أبو آدم",G243="أبو اسحاق ",G243="أبو آدم "),0,IF(D243="",0,D243)))</f>
        <v/>
      </c>
      <c r="K243" s="35"/>
      <c r="L243" t="str">
        <f>IF(E242&gt;0,COUNTIF($E$4:E242,"&gt;0"),"")</f>
        <v/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 t="str">
        <f>IF(OR($A243="",$F243="أحد الشركاء",AND($D243="",$E243="")),"",SUMPRODUCT(($A$4:$A243&lt;&gt;"")*($F$4:$F243&lt;&gt;"أحد الشركاء")*((($D$4:$D243&lt;&gt;"")+($E$4:$E243&lt;&gt;""))&gt;0)))</f>
        <v/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/>
      <c r="B244" s="36"/>
      <c r="C244" s="37"/>
      <c r="D244" s="38"/>
      <c r="E244" s="39"/>
      <c r="F244" s="136"/>
      <c r="G244" s="40"/>
      <c r="H244" s="41"/>
      <c r="I244" s="42"/>
      <c r="J244" s="43" t="str">
        <f>IF(AND(D244="",E244="",A244="",B244="",C244=""),"", IFERROR(IF(J243="",D2,J243),D2)+IF(E244="",0,E244)-IF(OR(G244="أبو اسحاق",G244="أبو آدم",G244="أبو اسحاق ",G244="أبو آدم "),0,IF(D244="",0,D244)))</f>
        <v/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 t="str">
        <f>IF(OR($A244="",$F244="أحد الشركاء",AND($D244="",$E244="")),"",SUMPRODUCT(($A$4:$A244&lt;&gt;"")*($F$4:$F244&lt;&gt;"أحد الشركاء")*((($D$4:$D244&lt;&gt;"")+($E$4:$E244&lt;&gt;""))&gt;0)))</f>
        <v/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 t="str">
        <f>IF(AND(D244&gt;0,G244="المحفظة"),COUNTIFS($D$4:D244,"&gt;"&amp;0,$G$4:G244,"المحفظة"),"")</f>
        <v/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3727.8950000000004</v>
      </c>
      <c r="E255" s="46">
        <f>SUM(E4:E253)</f>
        <v>2883.19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8">
    <mergeCell ref="F254:H254"/>
    <mergeCell ref="A2:C2"/>
    <mergeCell ref="E2:K2"/>
    <mergeCell ref="A1:K1"/>
    <mergeCell ref="A254:C254"/>
    <mergeCell ref="K189:K193"/>
    <mergeCell ref="K209:K214"/>
    <mergeCell ref="K219:K223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2026-09-22T15:02:17Z</dcterms:modified>
  <dc:language>en-US</dc:language>
</cp:coreProperties>
</file>