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083D78B9-6EF6-4252-8DAC-1ECA322110CD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J274" i="2"/>
  <c r="Q273" i="2"/>
  <c r="P273" i="2"/>
  <c r="O273" i="2"/>
  <c r="N273" i="2"/>
  <c r="M273" i="2"/>
  <c r="L273" i="2"/>
  <c r="J273" i="2"/>
  <c r="Q272" i="2"/>
  <c r="P272" i="2"/>
  <c r="O272" i="2"/>
  <c r="N272" i="2"/>
  <c r="M272" i="2"/>
  <c r="L272" i="2"/>
  <c r="Q271" i="2"/>
  <c r="P271" i="2"/>
  <c r="O271" i="2"/>
  <c r="N271" i="2"/>
  <c r="M271" i="2"/>
  <c r="L271" i="2"/>
  <c r="J271" i="2"/>
  <c r="J272" i="2" s="1"/>
  <c r="Q270" i="2"/>
  <c r="P270" i="2"/>
  <c r="O270" i="2"/>
  <c r="N270" i="2"/>
  <c r="M270" i="2"/>
  <c r="L270" i="2"/>
  <c r="J270" i="2"/>
  <c r="Q269" i="2"/>
  <c r="P269" i="2"/>
  <c r="O269" i="2"/>
  <c r="N269" i="2"/>
  <c r="M269" i="2"/>
  <c r="L269" i="2"/>
  <c r="J269" i="2"/>
  <c r="Q268" i="2"/>
  <c r="P268" i="2"/>
  <c r="O268" i="2"/>
  <c r="N268" i="2"/>
  <c r="M268" i="2"/>
  <c r="L268" i="2"/>
  <c r="J268" i="2"/>
  <c r="Q267" i="2"/>
  <c r="P267" i="2"/>
  <c r="O267" i="2"/>
  <c r="N267" i="2"/>
  <c r="M267" i="2"/>
  <c r="L267" i="2"/>
  <c r="Q266" i="2"/>
  <c r="P266" i="2"/>
  <c r="O266" i="2"/>
  <c r="N266" i="2"/>
  <c r="M266" i="2"/>
  <c r="L266" i="2"/>
  <c r="Q265" i="2"/>
  <c r="P265" i="2"/>
  <c r="O265" i="2"/>
  <c r="N265" i="2"/>
  <c r="M265" i="2"/>
  <c r="L265" i="2"/>
  <c r="Q264" i="2"/>
  <c r="P264" i="2"/>
  <c r="O264" i="2"/>
  <c r="N264" i="2"/>
  <c r="M264" i="2"/>
  <c r="L264" i="2"/>
  <c r="Q263" i="2"/>
  <c r="P263" i="2"/>
  <c r="O263" i="2"/>
  <c r="N263" i="2"/>
  <c r="M263" i="2"/>
  <c r="L263" i="2"/>
  <c r="Q262" i="2"/>
  <c r="P262" i="2"/>
  <c r="O262" i="2"/>
  <c r="N262" i="2"/>
  <c r="M262" i="2"/>
  <c r="L262" i="2"/>
  <c r="Q261" i="2"/>
  <c r="P261" i="2"/>
  <c r="O261" i="2"/>
  <c r="N261" i="2"/>
  <c r="M261" i="2"/>
  <c r="L261" i="2"/>
  <c r="Q260" i="2"/>
  <c r="P260" i="2"/>
  <c r="O260" i="2"/>
  <c r="N260" i="2"/>
  <c r="M260" i="2"/>
  <c r="L260" i="2"/>
  <c r="Q259" i="2"/>
  <c r="P259" i="2"/>
  <c r="O259" i="2"/>
  <c r="N259" i="2"/>
  <c r="M259" i="2"/>
  <c r="L259" i="2"/>
  <c r="Q258" i="2"/>
  <c r="P258" i="2"/>
  <c r="O258" i="2"/>
  <c r="N258" i="2"/>
  <c r="M258" i="2"/>
  <c r="L258" i="2"/>
  <c r="Q257" i="2"/>
  <c r="P257" i="2"/>
  <c r="O257" i="2"/>
  <c r="N257" i="2"/>
  <c r="M257" i="2"/>
  <c r="L257" i="2"/>
  <c r="Q256" i="2"/>
  <c r="P256" i="2"/>
  <c r="O256" i="2"/>
  <c r="N256" i="2"/>
  <c r="M256" i="2"/>
  <c r="L256" i="2"/>
  <c r="Q255" i="2"/>
  <c r="P255" i="2"/>
  <c r="O255" i="2"/>
  <c r="N255" i="2"/>
  <c r="M255" i="2"/>
  <c r="L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B191" i="1" s="1"/>
  <c r="O8" i="2"/>
  <c r="N8" i="2"/>
  <c r="M8" i="2"/>
  <c r="L8" i="2"/>
  <c r="Q7" i="2"/>
  <c r="P7" i="2"/>
  <c r="D204" i="1" s="1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Q4" i="2"/>
  <c r="P4" i="2"/>
  <c r="O4" i="2"/>
  <c r="N4" i="2"/>
  <c r="M4" i="2"/>
  <c r="L4" i="2"/>
  <c r="J4" i="2"/>
  <c r="A222" i="1"/>
  <c r="B219" i="1"/>
  <c r="D217" i="1"/>
  <c r="D216" i="1"/>
  <c r="C213" i="1"/>
  <c r="C212" i="1"/>
  <c r="E210" i="1"/>
  <c r="A200" i="1"/>
  <c r="E194" i="1"/>
  <c r="A188" i="1"/>
  <c r="B182" i="1"/>
  <c r="A176" i="1"/>
  <c r="B170" i="1"/>
  <c r="D163" i="1"/>
  <c r="B158" i="1"/>
  <c r="D151" i="1"/>
  <c r="C145" i="1"/>
  <c r="D139" i="1"/>
  <c r="A135" i="1"/>
  <c r="C131" i="1"/>
  <c r="A128" i="1"/>
  <c r="C124" i="1"/>
  <c r="E120" i="1"/>
  <c r="B118" i="1"/>
  <c r="D115" i="1"/>
  <c r="E112" i="1"/>
  <c r="B110" i="1"/>
  <c r="D107" i="1"/>
  <c r="E104" i="1"/>
  <c r="B102" i="1"/>
  <c r="D99" i="1"/>
  <c r="E96" i="1"/>
  <c r="B94" i="1"/>
  <c r="D91" i="1"/>
  <c r="E88" i="1"/>
  <c r="C86" i="1"/>
  <c r="C84" i="1"/>
  <c r="C82" i="1"/>
  <c r="C80" i="1"/>
  <c r="C78" i="1"/>
  <c r="C76" i="1"/>
  <c r="C74" i="1"/>
  <c r="C72" i="1"/>
  <c r="C70" i="1"/>
  <c r="C68" i="1"/>
  <c r="C66" i="1"/>
  <c r="C65" i="1"/>
  <c r="A64" i="1"/>
  <c r="C62" i="1"/>
  <c r="C61" i="1"/>
  <c r="A60" i="1"/>
  <c r="C58" i="1"/>
  <c r="C57" i="1"/>
  <c r="A56" i="1"/>
  <c r="C54" i="1"/>
  <c r="C53" i="1"/>
  <c r="A52" i="1"/>
  <c r="C50" i="1"/>
  <c r="C49" i="1"/>
  <c r="A48" i="1"/>
  <c r="C46" i="1"/>
  <c r="C45" i="1"/>
  <c r="A44" i="1"/>
  <c r="C42" i="1"/>
  <c r="C41" i="1"/>
  <c r="A40" i="1"/>
  <c r="C38" i="1"/>
  <c r="C37" i="1"/>
  <c r="A36" i="1"/>
  <c r="C34" i="1"/>
  <c r="C33" i="1"/>
  <c r="C32" i="1"/>
  <c r="B31" i="1"/>
  <c r="B30" i="1"/>
  <c r="B29" i="1"/>
  <c r="A28" i="1"/>
  <c r="A27" i="1"/>
  <c r="A26" i="1"/>
  <c r="E24" i="1"/>
  <c r="E23" i="1"/>
  <c r="E22" i="1"/>
  <c r="D21" i="1"/>
  <c r="D20" i="1"/>
  <c r="D19" i="1"/>
  <c r="C18" i="1"/>
  <c r="C17" i="1"/>
  <c r="C16" i="1"/>
  <c r="B15" i="1"/>
  <c r="B14" i="1"/>
  <c r="B13" i="1"/>
  <c r="A12" i="1"/>
  <c r="A11" i="1"/>
  <c r="A10" i="1"/>
  <c r="E8" i="1"/>
  <c r="E7" i="1"/>
  <c r="E6" i="1"/>
  <c r="C6" i="1"/>
  <c r="B6" i="1"/>
  <c r="A6" i="1"/>
  <c r="D108" i="6" l="1"/>
  <c r="C270" i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F6" i="1" s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N135" i="2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7" i="1" l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G8" i="5"/>
  <c r="I7" i="5"/>
  <c r="D7" i="5"/>
  <c r="H7" i="5"/>
  <c r="B7" i="5"/>
  <c r="F7" i="5"/>
  <c r="N137" i="2"/>
  <c r="C9" i="5" s="1"/>
  <c r="E7" i="5"/>
  <c r="N138" i="2"/>
  <c r="E9" i="5" s="1"/>
  <c r="J7" i="5"/>
  <c r="A8" i="5"/>
  <c r="G9" i="5" l="1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C10" i="5"/>
  <c r="I8" i="5"/>
  <c r="F8" i="5"/>
  <c r="N140" i="2"/>
  <c r="B10" i="5" l="1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D13" i="5" s="1"/>
  <c r="H10" i="5"/>
  <c r="C11" i="5"/>
  <c r="K11" i="5"/>
  <c r="A10" i="5"/>
  <c r="N142" i="2"/>
  <c r="E10" i="5"/>
  <c r="N143" i="2" l="1"/>
  <c r="C14" i="5" s="1"/>
  <c r="C12" i="5"/>
  <c r="B13" i="5"/>
  <c r="E13" i="5"/>
  <c r="H12" i="5"/>
  <c r="I12" i="5"/>
  <c r="C13" i="5"/>
  <c r="G12" i="5"/>
  <c r="J12" i="5"/>
  <c r="B14" i="5"/>
  <c r="H13" i="5"/>
  <c r="F12" i="5"/>
  <c r="D12" i="5"/>
  <c r="J13" i="5"/>
  <c r="K14" i="5"/>
  <c r="B12" i="5"/>
  <c r="F14" i="5" l="1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<sst xmlns="http://schemas.openxmlformats.org/spreadsheetml/2006/main" count="1302" uniqueCount="542">
  <si>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</si>
  <si>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</si>
  <si>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</si>
  <si>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</si>
  <si>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</si>
  <si>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</si>
  <si>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</si>
  <si>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</si>
  <si>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</si>
  <si>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</si>
  <si>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</si>
  <si>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</si>
  <si>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</si>
  <si>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</si>
  <si>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</si>
  <si>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</si>
  <si>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</si>
  <si>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</si>
  <si>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</si>
  <si>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</si>
  <si>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</si>
  <si>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</si>
  <si>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</si>
  <si>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</si>
  <si>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</si>
  <si>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</si>
  <si>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</si>
  <si>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</si>
  <si>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</si>
  <si>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</si>
  <si>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</si>
  <si>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</si>
  <si>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</si>
  <si>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</si>
  <si>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</si>
  <si>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</si>
  <si>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</si>
  <si>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</si>
  <si>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</si>
  <si>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</si>
  <si>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</si>
  <si>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</si>
  <si>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</si>
  <si>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</si>
  <si>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</si>
  <si>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</si>
  <si>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</si>
  <si>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</si>
  <si>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</si>
  <si>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</si>
  <si>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</si>
  <si>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</si>
  <si>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</si>
  <si>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</si>
  <si>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</si>
  <si>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</si>
  <si>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</si>
  <si>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</si>
  <si>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</si>
  <si>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</si>
  <si>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</si>
  <si>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</si>
  <si>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</si>
  <si>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</si>
  <si>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</si>
  <si>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</si>
  <si>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</si>
  <si>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</si>
  <si>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</si>
  <si>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</si>
  <si>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</si>
  <si>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</si>
  <si>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</si>
  <si>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</si>
  <si>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</si>
  <si>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</si>
  <si>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</si>
  <si>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</si>
  <si>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</si>
  <si>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</si>
  <si>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</si>
  <si>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</si>
  <si>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</si>
  <si>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</si>
  <si>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</si>
  <si>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</si>
  <si>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</si>
  <si>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</si>
  <si>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</si>
  <si>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</si>
  <si>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</si>
  <si>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</si>
  <si>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</si>
  <si>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</si>
  <si>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</si>
  <si>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</si>
  <si>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</si>
  <si>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</si>
  <si>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</si>
  <si>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</si>
  <si>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</si>
  <si>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</si>
  <si>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</si>
  <si>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</si>
  <si>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</si>
  <si>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</si>
  <si>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</si>
  <si>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</si>
  <si>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</si>
  <si>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</si>
  <si>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</si>
  <si>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</si>
  <si>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</si>
  <si>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</si>
  <si>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</si>
  <si>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</si>
  <si>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</si>
  <si>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</si>
  <si>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</si>
  <si>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</si>
  <si>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</si>
  <si>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</si>
  <si>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</si>
  <si>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</si>
  <si>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</si>
  <si>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</si>
  <si>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</si>
  <si>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</si>
  <si>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</si>
  <si>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</si>
  <si>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</si>
  <si>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</si>
  <si>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</si>
  <si>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</si>
  <si>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</si>
  <si>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</si>
  <si>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</si>
  <si>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</si>
  <si>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</si>
  <si>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</si>
  <si>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</si>
  <si>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</si>
  <si>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</si>
  <si>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</si>
  <si>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</si>
  <si>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</si>
  <si>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</si>
  <si>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</si>
  <si>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</si>
  <si>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</si>
  <si>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</si>
  <si>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</si>
  <si>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</si>
  <si>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</si>
  <si>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</si>
  <si>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</si>
  <si>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</si>
  <si>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</si>
  <si>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</si>
  <si>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</si>
  <si>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</si>
  <si>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</si>
  <si>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</si>
  <si>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</si>
  <si>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</si>
  <si>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</si>
  <si>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</si>
  <si>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</si>
  <si>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</si>
  <si>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</si>
  <si>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</si>
  <si>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</si>
  <si>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</si>
  <si>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</si>
  <si>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</si>
  <si>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</si>
  <si>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</si>
  <si>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</si>
  <si>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</si>
  <si>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</si>
  <si>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</si>
  <si>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</si>
  <si>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</si>
  <si>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</si>
  <si>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</si>
  <si>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</si>
  <si>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</si>
  <si>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</si>
  <si>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</si>
  <si>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</si>
  <si>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</si>
  <si>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</si>
  <si>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</si>
  <si>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</si>
  <si>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</si>
  <si>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</si>
  <si>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</si>
  <si>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</si>
  <si>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</si>
  <si>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</si>
  <si>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</si>
  <si>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</si>
  <si>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</si>
  <si>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</si>
  <si>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</si>
  <si>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</si>
  <si>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</si>
  <si>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</si>
  <si>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</si>
  <si>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</si>
  <si>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</si>
  <si>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</si>
  <si>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</si>
  <si>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</si>
  <si>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</si>
  <si>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</si>
  <si>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</si>
  <si>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</si>
  <si>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</si>
  <si>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</si>
  <si>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</si>
  <si>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</si>
  <si>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</si>
  <si>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</si>
  <si>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</si>
  <si>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</si>
  <si>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</si>
  <si>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</si>
  <si>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</si>
  <si>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</si>
  <si>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</si>
  <si>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</si>
  <si>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</si>
  <si>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</si>
  <si>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</si>
  <si>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</si>
  <si>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</si>
  <si>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</si>
  <si>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</si>
  <si>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</si>
  <si>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</si>
  <si>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</si>
  <si>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</si>
  <si>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</si>
  <si>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</si>
  <si>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</si>
  <si>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</si>
  <si>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</si>
  <si>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</si>
  <si>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</si>
  <si>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</si>
  <si>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</si>
  <si>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</si>
  <si>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</si>
  <si>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</si>
  <si>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</si>
  <si>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</si>
  <si>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</si>
  <si>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</si>
  <si>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</si>
  <si>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</si>
  <si>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</si>
  <si>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</si>
  <si>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</si>
  <si>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</si>
  <si>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</si>
  <si>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</si>
  <si>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</si>
  <si>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</si>
  <si>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</si>
  <si>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</si>
  <si>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</si>
  <si>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</si>
  <si>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</si>
  <si>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</si>
  <si>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</si>
  <si>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</si>
  <si>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</si>
  <si>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</si>
  <si>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</si>
  <si>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</si>
  <si>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</si>
  <si>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</si>
  <si>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</si>
  <si>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</si>
  <si>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</si>
  <si>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</si>
  <si>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</si>
  <si>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</si>
  <si>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</si>
  <si>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</si>
  <si>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</si>
  <si>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</si>
  <si>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</si>
  <si>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</si>
  <si>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</si>
  <si>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</si>
  <si>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</si>
  <si>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</si>
  <si>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</si>
  <si>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</si>
  <si>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</si>
  <si>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</si>
  <si>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</si>
  <si>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</si>
  <si>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</si>
  <si>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</si>
  <si>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</si>
  <si>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</si>
  <si>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</si>
  <si>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</si>
  <si>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</si>
  <si>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</si>
  <si>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</si>
  <si>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</si>
  <si>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</si>
  <si>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</si>
  <si>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</si>
  <si>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</si>
  <si>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</si>
  <si>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</si>
  <si>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</si>
  <si>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</si>
  <si>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</si>
  <si>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</si>
  <si>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</si>
  <si>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</si>
  <si>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</si>
  <si>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</si>
  <si>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</si>
  <si>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</si>
  <si>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</si>
  <si>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</si>
  <si>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</si>
  <si>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</si>
  <si>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</si>
  <si>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</si>
  <si>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</si>
  <si>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</si>
  <si>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</si>
  <si>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</si>
  <si>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</si>
  <si>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</si>
  <si>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</si>
  <si>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</si>
  <si>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</si>
  <si>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</si>
  <si>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</si>
  <si>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</si>
  <si>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</si>
  <si>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</si>
  <si>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</si>
  <si>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</si>
  <si>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</si>
  <si>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</si>
  <si>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</si>
  <si>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</si>
  <si>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</si>
  <si>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</si>
  <si>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</si>
  <si>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</si>
  <si>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</si>
  <si>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</si>
  <si>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</si>
  <si>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</si>
  <si>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</si>
  <si>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</si>
  <si>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</si>
  <si>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</si>
  <si>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</si>
  <si>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</si>
  <si>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</si>
  <si>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</si>
  <si>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</si>
  <si>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</si>
  <si>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</si>
  <si>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</si>
  <si>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</si>
  <si>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</si>
  <si>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</si>
  <si>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</si>
  <si>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</si>
  <si>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</si>
  <si>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</si>
  <si>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</si>
  <si>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</si>
  <si>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</si>
  <si>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</si>
  <si>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</si>
  <si>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</si>
  <si>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</si>
  <si>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</si>
  <si>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</si>
  <si>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</si>
  <si>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</si>
  <si>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</si>
  <si>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</si>
  <si>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</si>
  <si>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</si>
  <si>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</si>
  <si>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</si>
  <si>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</si>
  <si>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</si>
  <si>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</si>
  <si>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</si>
  <si>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</si>
  <si>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</si>
  <si>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</si>
  <si>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</si>
  <si>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</si>
  <si>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</si>
  <si>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</si>
  <si>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</si>
  <si>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</si>
  <si>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</si>
  <si>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</si>
  <si>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</si>
  <si>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</si>
  <si>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</si>
  <si>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</si>
  <si>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</si>
  <si>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</si>
  <si>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</si>
  <si>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</si>
  <si>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</si>
  <si>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</si>
  <si>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</si>
  <si>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</si>
  <si>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</si>
  <si>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</si>
  <si>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</si>
  <si>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</si>
  <si>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</si>
  <si>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</si>
  <si>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</si>
  <si>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</si>
  <si>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</si>
  <si>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</si>
  <si>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</si>
  <si>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</si>
  <si>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</si>
  <si>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</si>
  <si>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</si>
  <si>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</si>
  <si>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</si>
  <si>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</si>
  <si>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</si>
  <si>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</si>
  <si>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</si>
  <si>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</si>
  <si>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</si>
  <si>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</si>
  <si>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</si>
  <si>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</si>
  <si>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</si>
  <si>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</si>
  <si>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</si>
  <si>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</si>
  <si>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</si>
  <si>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</si>
  <si>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</si>
  <si>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</si>
  <si>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</si>
  <si>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</si>
  <si>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</si>
  <si>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</si>
  <si>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</si>
  <si>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</si>
  <si>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</si>
  <si>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</si>
  <si>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</si>
  <si>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</si>
  <si>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</si>
  <si>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</si>
  <si>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</si>
  <si>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</si>
  <si>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</si>
  <si>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</si>
  <si>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</si>
  <si>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</si>
  <si>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</si>
  <si>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</si>
  <si>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</si>
  <si>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</si>
  <si>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</si>
  <si>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</si>
  <si>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</si>
  <si>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</si>
  <si>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</si>
  <si>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</si>
  <si>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</si>
  <si>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</si>
  <si>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</si>
  <si>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</si>
  <si>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</si>
  <si>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</si>
  <si>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</si>
  <si>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</si>
  <si>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</si>
  <si>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</si>
  <si>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</si>
  <si>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</si>
  <si>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</si>
  <si>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</si>
  <si>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</si>
  <si>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</si>
  <si>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</si>
  <si>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</si>
  <si>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</si>
  <si>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</si>
  <si>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</si>
  <si>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</si>
  <si>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</si>
  <si>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</si>
  <si>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</si>
  <si>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</si>
  <si>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</si>
  <si>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</si>
  <si>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</si>
  <si>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</si>
  <si>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</si>
  <si>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</si>
  <si>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</si>
  <si>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</si>
  <si>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</si>
  <si>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</si>
  <si>
    <t>NBK 18-18-18</t>
  </si>
  <si>
    <t>Inv-194</t>
  </si>
  <si>
    <t>Inv-195</t>
  </si>
  <si>
    <t>عدد 3 حبات الحبه 0.750</t>
  </si>
  <si>
    <t>Inv-196</t>
  </si>
  <si>
    <t>صبار عدد 20 الحبه .750 - ابوادم</t>
  </si>
  <si>
    <t>Inv-197</t>
  </si>
  <si>
    <t>فردوس تدكره 103+راتب 14 يوم 40</t>
  </si>
  <si>
    <t>20 بديل فردوس مقدم +20 سيور مراوح+مضخه الرش</t>
  </si>
  <si>
    <t>Inv-198</t>
  </si>
  <si>
    <t>Inv-199</t>
  </si>
  <si>
    <t>متنوع - ابوادم</t>
  </si>
  <si>
    <t>متنوع - زهور التهاني</t>
  </si>
  <si>
    <t>عامل اضافي اوفرتايم لتحميل زهور التهاني</t>
  </si>
  <si>
    <t>متنوع - هاني</t>
  </si>
  <si>
    <t>Inv-200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</si>
</sst>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5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  <font>
      <sz val="9"/>
      <color rgb="FF1C1C1C"/>
      <name val="Arial"/>
      <family val="2"/>
    </font>
    <font>
      <b/>
      <sz val="10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6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49" fillId="0" borderId="0" xfId="0" applyFont="1"/>
    <xf numFmtId="0" fontId="50" fillId="19" borderId="2" xfId="0" applyFont="1" applyFill="1" applyBorder="1" applyAlignment="1">
      <alignment horizontal="center" vertical="center"/>
    </xf>
    <xf numFmtId="0" fontId="50" fillId="20" borderId="2" xfId="0" applyFont="1" applyFill="1" applyBorder="1" applyAlignment="1">
      <alignment horizontal="center" vertical="center"/>
    </xf>
    <xf numFmtId="0" fontId="50" fillId="21" borderId="2" xfId="0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61" t="s">
        <v>0</v>
      </c>
      <c r="B1" s="158"/>
      <c r="C1" s="158"/>
      <c r="D1" s="158"/>
      <c r="E1" s="158"/>
      <c r="F1" s="159"/>
    </row>
    <row r="2" spans="1:6" ht="30" customHeight="1" x14ac:dyDescent="0.25">
      <c r="A2" s="160" t="s">
        <v>1</v>
      </c>
      <c r="B2" s="158"/>
      <c r="C2" s="158"/>
      <c r="D2" s="158"/>
      <c r="E2" s="159"/>
      <c r="F2" s="119">
        <f>F206</f>
        <v>921.79500000000007</v>
      </c>
    </row>
    <row r="3" spans="1:6" ht="6" customHeight="1" x14ac:dyDescent="0.25">
      <c r="A3" s="163"/>
      <c r="B3" s="158"/>
      <c r="C3" s="158"/>
      <c r="D3" s="158"/>
      <c r="E3" s="158"/>
      <c r="F3" s="159"/>
    </row>
    <row r="4" spans="1:6" ht="27.95" customHeight="1" x14ac:dyDescent="0.25">
      <c r="A4" s="162" t="s">
        <v>2</v>
      </c>
      <c r="B4" s="158"/>
      <c r="C4" s="158"/>
      <c r="D4" s="158"/>
      <c r="E4" s="158"/>
      <c r="F4" s="159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7" t="s">
        <v>10</v>
      </c>
      <c r="B208" s="158"/>
      <c r="C208" s="158"/>
      <c r="D208" s="158"/>
      <c r="E208" s="158"/>
      <c r="F208" s="159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62" activePane="bottomLeft" state="frozen"/>
      <selection pane="bottomLeft" activeCell="B273" sqref="B273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7" ht="24" customHeight="1" x14ac:dyDescent="0.25">
      <c r="A2" s="167" t="s">
        <v>17</v>
      </c>
      <c r="B2" s="165"/>
      <c r="C2" s="165"/>
      <c r="D2" s="1">
        <v>0</v>
      </c>
      <c r="E2" s="168" t="s">
        <v>18</v>
      </c>
      <c r="F2" s="169"/>
      <c r="G2" s="169"/>
      <c r="H2" s="169"/>
      <c r="I2" s="169"/>
      <c r="J2" s="169"/>
      <c r="K2" s="169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72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73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73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73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4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72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73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73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73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73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4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72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73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73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73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4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72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73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73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4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172</v>
      </c>
      <c r="G247" s="31"/>
      <c r="H247" s="32" t="s">
        <v>40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172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1385.2950000000001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1361.2950000000001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1371.2950000000001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1421.2950000000001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48.8</v>
      </c>
      <c r="F255" s="30" t="s">
        <v>172</v>
      </c>
      <c r="G255" s="31"/>
      <c r="H255" s="32" t="s">
        <v>40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1470.095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1270.095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1300.595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1281.845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1293.845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1685.845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1717.845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1637.845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>
        <v>46305</v>
      </c>
      <c r="B263" s="26"/>
      <c r="C263" s="27" t="s">
        <v>526</v>
      </c>
      <c r="D263" s="28">
        <v>12.5</v>
      </c>
      <c r="E263" s="29"/>
      <c r="F263" s="30" t="s">
        <v>38</v>
      </c>
      <c r="G263" s="31" t="s">
        <v>39</v>
      </c>
      <c r="H263" s="32" t="s">
        <v>40</v>
      </c>
      <c r="I263" s="33"/>
      <c r="J263" s="34">
        <f>IF(AND(D263="",E263="",A263="",B263="",C263=""),"", IFERROR(IF(J262="",D2,J262),D2)+IF(OR(E263="",H263="معلق"),0,E263)-IF(OR(G263="أبو اسحاق",G263="أبو آدم",G263="أبو اسحاق ",G263="أبو آدم "),0,IF(D263="",0,D263)))</f>
        <v>1625.345</v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>
        <f>IF(OR($A263="",$F263="أحد الشركاء",AND($D263="",$E263="")),"",SUMPRODUCT(($A$4:$A263&lt;&gt;"")*($F$4:$F263&lt;&gt;"أحد الشركاء")*((($D$4:$D263&lt;&gt;"")+($E$4:$E263&lt;&gt;""))&gt;0)))</f>
        <v>239</v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>
        <v>46305</v>
      </c>
      <c r="B264" s="36" t="s">
        <v>527</v>
      </c>
      <c r="C264" s="37" t="s">
        <v>459</v>
      </c>
      <c r="D264" s="38"/>
      <c r="E264" s="39">
        <v>60</v>
      </c>
      <c r="F264" s="136" t="s">
        <v>172</v>
      </c>
      <c r="G264" s="40"/>
      <c r="H264" s="41" t="s">
        <v>40</v>
      </c>
      <c r="I264" s="42"/>
      <c r="J264" s="43">
        <f>IF(AND(D264="",E264="",A264="",B264="",C264=""),"", IFERROR(IF(J263="",D2,J263),D2)+IF(OR(E264="",H264="معلق"),0,E264)-IF(OR(G264="أبو اسحاق",G264="أبو آدم",G264="أبو اسحاق ",G264="أبو آدم "),0,IF(D264="",0,D264)))</f>
        <v>1685.345</v>
      </c>
      <c r="K264" s="44"/>
      <c r="L264" t="str">
        <f>IF(E263&gt;0,COUNTIF($E$4:E263,"&gt;0"),"")</f>
        <v/>
      </c>
      <c r="M264">
        <f>IF(AND(D263&gt;0,G263="المحفظة"),COUNTIFS($D$4:D263,"&gt;"&amp;0,$G$4:G263,"المحفظة"),"")</f>
        <v>57</v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>
        <f>IF(OR($A264="",$F264="أحد الشركاء",AND($D264="",$E264="")),"",SUMPRODUCT(($A$4:$A264&lt;&gt;"")*($F$4:$F264&lt;&gt;"أحد الشركاء")*((($D$4:$D264&lt;&gt;"")+($E$4:$E264&lt;&gt;""))&gt;0)))</f>
        <v>240</v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>
        <v>46305</v>
      </c>
      <c r="B265" s="26" t="s">
        <v>528</v>
      </c>
      <c r="C265" s="27" t="s">
        <v>529</v>
      </c>
      <c r="D265" s="28"/>
      <c r="E265" s="29">
        <v>2.25</v>
      </c>
      <c r="F265" s="30" t="s">
        <v>38</v>
      </c>
      <c r="G265" s="31"/>
      <c r="H265" s="32" t="s">
        <v>40</v>
      </c>
      <c r="I265" s="33"/>
      <c r="J265" s="34">
        <f>IF(AND(D265="",E265="",A265="",B265="",C265=""),"", IFERROR(IF(J264="",D2,J264),D2)+IF(OR(E265="",H265="معلق"),0,E265)-IF(OR(G265="أبو اسحاق",G265="أبو آدم",G265="أبو اسحاق ",G265="أبو آدم "),0,IF(D265="",0,D265)))</f>
        <v>1687.595</v>
      </c>
      <c r="K265" s="35"/>
      <c r="L265">
        <f>IF(E264&gt;0,COUNTIF($E$4:E264,"&gt;0"),"")</f>
        <v>180</v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>
        <f>IF(OR($A265="",$F265="أحد الشركاء",AND($D265="",$E265="")),"",SUMPRODUCT(($A$4:$A265&lt;&gt;"")*($F$4:$F265&lt;&gt;"أحد الشركاء")*((($D$4:$D265&lt;&gt;"")+($E$4:$E265&lt;&gt;""))&gt;0)))</f>
        <v>241</v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>
        <v>46306</v>
      </c>
      <c r="B266" s="36" t="s">
        <v>530</v>
      </c>
      <c r="C266" s="37" t="s">
        <v>531</v>
      </c>
      <c r="D266" s="38"/>
      <c r="E266" s="39">
        <v>15</v>
      </c>
      <c r="F266" s="136" t="s">
        <v>172</v>
      </c>
      <c r="G266" s="40"/>
      <c r="H266" s="41" t="s">
        <v>40</v>
      </c>
      <c r="I266" s="42"/>
      <c r="J266" s="43">
        <f>IF(AND(D266="",E266="",A266="",B266="",C266=""),"", IFERROR(IF(J265="",D2,J265),D2)+IF(OR(E266="",H266="معلق"),0,E266)-IF(OR(G266="أبو اسحاق",G266="أبو آدم",G266="أبو اسحاق ",G266="أبو آدم "),0,IF(D266="",0,D266)))</f>
        <v>1702.595</v>
      </c>
      <c r="K266" s="44"/>
      <c r="L266">
        <f>IF(E265&gt;0,COUNTIF($E$4:E265,"&gt;0"),"")</f>
        <v>181</v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>
        <f>IF(OR($A266="",$F266="أحد الشركاء",AND($D266="",$E266="")),"",SUMPRODUCT(($A$4:$A266&lt;&gt;"")*($F$4:$F266&lt;&gt;"أحد الشركاء")*((($D$4:$D266&lt;&gt;"")+($E$4:$E266&lt;&gt;""))&gt;0)))</f>
        <v>242</v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>
        <v>46307</v>
      </c>
      <c r="B267" s="26" t="s">
        <v>532</v>
      </c>
      <c r="C267" s="27" t="s">
        <v>459</v>
      </c>
      <c r="D267" s="28"/>
      <c r="E267" s="29">
        <v>21</v>
      </c>
      <c r="F267" s="30" t="s">
        <v>38</v>
      </c>
      <c r="G267" s="31"/>
      <c r="H267" s="32" t="s">
        <v>40</v>
      </c>
      <c r="I267" s="33"/>
      <c r="J267" s="34">
        <f>IF(AND(D267="",E267="",A267="",B267="",C267=""),"", IFERROR(IF(J266="",D2,J266),D2)+IF(OR(E267="",H267="معلق"),0,E267)-IF(OR(G267="أبو اسحاق",G267="أبو آدم",G267="أبو اسحاق ",G267="أبو آدم "),0,IF(D267="",0,D267)))</f>
        <v>1723.595</v>
      </c>
      <c r="K267" s="35"/>
      <c r="L267">
        <f>IF(E266&gt;0,COUNTIF($E$4:E266,"&gt;0"),"")</f>
        <v>182</v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>
        <f>IF(OR($A267="",$F267="أحد الشركاء",AND($D267="",$E267="")),"",SUMPRODUCT(($A$4:$A267&lt;&gt;"")*($F$4:$F267&lt;&gt;"أحد الشركاء")*((($D$4:$D267&lt;&gt;"")+($E$4:$E267&lt;&gt;""))&gt;0)))</f>
        <v>243</v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>
        <v>46307</v>
      </c>
      <c r="B268" s="36"/>
      <c r="C268" s="37" t="s">
        <v>533</v>
      </c>
      <c r="D268" s="38">
        <v>143</v>
      </c>
      <c r="E268" s="39"/>
      <c r="F268" s="136" t="s">
        <v>38</v>
      </c>
      <c r="G268" s="40" t="s">
        <v>39</v>
      </c>
      <c r="H268" s="41" t="s">
        <v>40</v>
      </c>
      <c r="I268" s="42"/>
      <c r="J268" s="43">
        <f>IF(AND(D268="",E268="",A268="",B268="",C268=""),"", IFERROR(IF(J267="",D2,J267),D2)+IF(OR(E268="",H268="معلق"),0,E268)-IF(OR(G268="أبو اسحاق",G268="أبو آدم",G268="أبو اسحاق ",G268="أبو آدم "),0,IF(D268="",0,D268)))</f>
        <v>1580.595</v>
      </c>
      <c r="K268" s="44"/>
      <c r="L268">
        <f>IF(E267&gt;0,COUNTIF($E$4:E267,"&gt;0"),"")</f>
        <v>183</v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>
        <f>IF(OR($A268="",$F268="أحد الشركاء",AND($D268="",$E268="")),"",SUMPRODUCT(($A$4:$A268&lt;&gt;"")*($F$4:$F268&lt;&gt;"أحد الشركاء")*((($D$4:$D268&lt;&gt;"")+($E$4:$E268&lt;&gt;""))&gt;0)))</f>
        <v>244</v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>
        <v>46307</v>
      </c>
      <c r="B269" s="26"/>
      <c r="C269" s="27" t="s">
        <v>534</v>
      </c>
      <c r="D269" s="28">
        <v>40</v>
      </c>
      <c r="E269" s="29"/>
      <c r="F269" s="30" t="s">
        <v>38</v>
      </c>
      <c r="G269" s="31" t="s">
        <v>39</v>
      </c>
      <c r="H269" s="32" t="s">
        <v>40</v>
      </c>
      <c r="I269" s="33"/>
      <c r="J269" s="34">
        <f>IF(AND(D269="",E269="",A269="",B269="",C269=""),"", IFERROR(IF(J268="",D2,J268),D2)+IF(OR(E269="",H269="معلق"),0,E269)-IF(OR(G269="أبو اسحاق",G269="أبو آدم",G269="أبو اسحاق ",G269="أبو آدم "),0,IF(D269="",0,D269)))</f>
        <v>1540.595</v>
      </c>
      <c r="K269" s="35"/>
      <c r="L269" t="str">
        <f>IF(E268&gt;0,COUNTIF($E$4:E268,"&gt;0"),"")</f>
        <v/>
      </c>
      <c r="M269">
        <f>IF(AND(D268&gt;0,G268="المحفظة"),COUNTIFS($D$4:D268,"&gt;"&amp;0,$G$4:G268,"المحفظة"),"")</f>
        <v>58</v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>
        <f>IF(OR($A269="",$F269="أحد الشركاء",AND($D269="",$E269="")),"",SUMPRODUCT(($A$4:$A269&lt;&gt;"")*($F$4:$F269&lt;&gt;"أحد الشركاء")*((($D$4:$D269&lt;&gt;"")+($E$4:$E269&lt;&gt;""))&gt;0)))</f>
        <v>245</v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>
        <v>46310</v>
      </c>
      <c r="B270" s="36" t="s">
        <v>535</v>
      </c>
      <c r="C270" s="37" t="s">
        <v>538</v>
      </c>
      <c r="D270" s="38"/>
      <c r="E270" s="39">
        <v>378</v>
      </c>
      <c r="F270" s="136" t="s">
        <v>38</v>
      </c>
      <c r="G270" s="40"/>
      <c r="H270" s="41" t="s">
        <v>40</v>
      </c>
      <c r="I270" s="42"/>
      <c r="J270" s="43">
        <f>IF(AND(D270="",E270="",A270="",B270="",C270=""),"", IFERROR(IF(J269="",D2,J269),D2)+IF(OR(E270="",H270="معلق"),0,E270)-IF(OR(G270="أبو اسحاق",G270="أبو آدم",G270="أبو اسحاق ",G270="أبو آدم "),0,IF(D270="",0,D270)))</f>
        <v>1918.595</v>
      </c>
      <c r="K270" s="44"/>
      <c r="L270" t="str">
        <f>IF(E269&gt;0,COUNTIF($E$4:E269,"&gt;0"),"")</f>
        <v/>
      </c>
      <c r="M270">
        <f>IF(AND(D269&gt;0,G269="المحفظة"),COUNTIFS($D$4:D269,"&gt;"&amp;0,$G$4:G269,"المحفظة"),"")</f>
        <v>59</v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>
        <f>IF(OR($A270="",$F270="أحد الشركاء",AND($D270="",$E270="")),"",SUMPRODUCT(($A$4:$A270&lt;&gt;"")*($F$4:$F270&lt;&gt;"أحد الشركاء")*((($D$4:$D270&lt;&gt;"")+($E$4:$E270&lt;&gt;""))&gt;0)))</f>
        <v>246</v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>
        <v>46310</v>
      </c>
      <c r="B271" s="26" t="s">
        <v>536</v>
      </c>
      <c r="C271" s="27" t="s">
        <v>537</v>
      </c>
      <c r="D271" s="28"/>
      <c r="E271" s="29">
        <v>16.5</v>
      </c>
      <c r="F271" s="30" t="s">
        <v>38</v>
      </c>
      <c r="G271" s="31"/>
      <c r="H271" s="32" t="s">
        <v>50</v>
      </c>
      <c r="I271" s="33"/>
      <c r="J271" s="34">
        <f>IF(AND(D271="",E271="",A271="",B271="",C271=""),"", IFERROR(IF(J270="",D2,J270),D2)+IF(OR(E271="",H271="معلق"),0,E271)-IF(OR(G271="أبو اسحاق",G271="أبو آدم",G271="أبو اسحاق ",G271="أبو آدم "),0,IF(D271="",0,D271)))</f>
        <v>1918.595</v>
      </c>
      <c r="K271" s="35"/>
      <c r="L271">
        <f>IF(E270&gt;0,COUNTIF($E$4:E270,"&gt;0"),"")</f>
        <v>184</v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>
        <f>IF(OR($A271="",$F271="أحد الشركاء",AND($D271="",$E271="")),"",SUMPRODUCT(($A$4:$A271&lt;&gt;"")*($F$4:$F271&lt;&gt;"أحد الشركاء")*((($D$4:$D271&lt;&gt;"")+($E$4:$E271&lt;&gt;""))&gt;0)))</f>
        <v>247</v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>
        <v>46310</v>
      </c>
      <c r="B272" s="36"/>
      <c r="C272" s="153" t="s">
        <v>539</v>
      </c>
      <c r="D272" s="38">
        <v>3</v>
      </c>
      <c r="E272" s="39"/>
      <c r="F272" s="154" t="s">
        <v>38</v>
      </c>
      <c r="G272" s="155" t="s">
        <v>39</v>
      </c>
      <c r="H272" s="156" t="s">
        <v>40</v>
      </c>
      <c r="I272" s="42"/>
      <c r="J272" s="43">
        <f>IF(AND(D272="",E272="",A272="",B272="",C272=""),"", IFERROR(IF(J271="",D2,J271),D2)+IF(OR(E272="",H272="معلق"),0,E272)-IF(OR(G272="أبو اسحاق",G272="أبو آدم",G272="أبو اسحاق ",G272="أبو آدم "),0,IF(D272="",0,D272)))</f>
        <v>1915.595</v>
      </c>
      <c r="K272" s="44"/>
      <c r="L272">
        <f>IF(E271&gt;0,COUNTIF($E$4:E271,"&gt;0"),"")</f>
        <v>185</v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>
        <f>IF(OR($A272="",$F272="أحد الشركاء",AND($D272="",$E272="")),"",SUMPRODUCT(($A$4:$A272&lt;&gt;"")*($F$4:$F272&lt;&gt;"أحد الشركاء")*((($D$4:$D272&lt;&gt;"")+($E$4:$E272&lt;&gt;""))&gt;0)))</f>
        <v>248</v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>
        <v>46311</v>
      </c>
      <c r="B273" s="26" t="s">
        <v>541</v>
      </c>
      <c r="C273" s="27" t="s">
        <v>540</v>
      </c>
      <c r="D273" s="28"/>
      <c r="E273" s="29">
        <v>139.25</v>
      </c>
      <c r="F273" s="30"/>
      <c r="G273" s="31"/>
      <c r="H273" s="32" t="s">
        <v>50</v>
      </c>
      <c r="I273" s="33"/>
      <c r="J273" s="34">
        <f>IF(AND(D273="",E273="",A273="",B273="",C273=""),"", IFERROR(IF(J272="",D2,J272),D2)+IF(OR(E273="",H273="معلق"),0,E273)-IF(OR(G273="أبو اسحاق",G273="أبو آدم",G273="أبو اسحاق ",G273="أبو آدم "),0,IF(D273="",0,D273)))</f>
        <v>1915.595</v>
      </c>
      <c r="K273" s="35"/>
      <c r="L273" t="str">
        <f>IF(E272&gt;0,COUNTIF($E$4:E272,"&gt;0"),"")</f>
        <v/>
      </c>
      <c r="M273">
        <f>IF(AND(D272&gt;0,G272="المحفظة"),COUNTIFS($D$4:D272,"&gt;"&amp;0,$G$4:G272,"المحفظة"),"")</f>
        <v>60</v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>
        <f>IF(OR($A273="",$F273="أحد الشركاء",AND($D273="",$E273="")),"",SUMPRODUCT(($A$4:$A273&lt;&gt;"")*($F$4:$F273&lt;&gt;"أحد الشركاء")*((($D$4:$D273&lt;&gt;"")+($E$4:$E273&lt;&gt;""))&gt;0)))</f>
        <v>249</v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/>
      <c r="B274" s="36"/>
      <c r="C274" s="37"/>
      <c r="D274" s="38"/>
      <c r="E274" s="39"/>
      <c r="F274" s="136"/>
      <c r="G274" s="40"/>
      <c r="H274" s="41"/>
      <c r="I274" s="42"/>
      <c r="J274" s="43" t="str">
        <f>IF(AND(D274="",E274="",A274="",B274="",C274=""),"", IFERROR(IF(J273="",D2,J273),D2)+IF(OR(E274="",H274="معلق"),0,E274)-IF(OR(G274="أبو اسحاق",G274="أبو آدم",G274="أبو اسحاق ",G274="أبو آدم "),0,IF(D274="",0,D274)))</f>
        <v/>
      </c>
      <c r="K274" s="44"/>
      <c r="L274">
        <f>IF(E273&gt;0,COUNTIF($E$4:E273,"&gt;0"),"")</f>
        <v>186</v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 t="str">
        <f>IF(OR($A274="",$F274="أحد الشركاء",AND($D274="",$E274="")),"",SUMPRODUCT(($A$4:$A274&lt;&gt;"")*($F$4:$F274&lt;&gt;"أحد الشركاء")*((($D$4:$D274&lt;&gt;"")+($E$4:$E274&lt;&gt;""))&gt;0)))</f>
        <v/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/>
      <c r="B275" s="26"/>
      <c r="C275" s="27"/>
      <c r="D275" s="28"/>
      <c r="E275" s="29"/>
      <c r="F275" s="30"/>
      <c r="G275" s="31"/>
      <c r="H275" s="32"/>
      <c r="I275" s="33"/>
      <c r="J275" s="34" t="str">
        <f>IF(AND(D275="",E275="",A275="",B275="",C275=""),"", IFERROR(IF(J274="",D2,J274),D2)+IF(OR(E275="",H275="معلق"),0,E275)-IF(OR(G275="أبو اسحاق",G275="أبو آدم",G275="أبو اسحاق ",G275="أبو آدم "),0,IF(D275="",0,D275)))</f>
        <v/>
      </c>
      <c r="K275" s="35"/>
      <c r="L275" t="str">
        <f>IF(E274&gt;0,COUNTIF($E$4:E274,"&gt;0"),"")</f>
        <v/>
      </c>
      <c r="M275" t="str">
        <f>IF(AND(D274&gt;0,G274="المحفظة"),COUNTIFS($D$4:D274,"&gt;"&amp;0,$G$4:G274,"المحفظة"),"")</f>
        <v/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 t="str">
        <f>IF(OR($A275="",$F275="أحد الشركاء",AND($D275="",$E275="")),"",SUMPRODUCT(($A$4:$A275&lt;&gt;"")*($F$4:$F275&lt;&gt;"أحد الشركاء")*((($D$4:$D275&lt;&gt;"")+($E$4:$E275&lt;&gt;""))&gt;0)))</f>
        <v/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/>
      <c r="B276" s="36"/>
      <c r="C276" s="37"/>
      <c r="D276" s="38"/>
      <c r="E276" s="39"/>
      <c r="F276" s="136"/>
      <c r="G276" s="40"/>
      <c r="H276" s="41"/>
      <c r="I276" s="42"/>
      <c r="J276" s="43" t="str">
        <f>IF(AND(D276="",E276="",A276="",B276="",C276=""),"", IFERROR(IF(J275="",D2,J275),D2)+IF(OR(E276="",H276="معلق"),0,E276)-IF(OR(G276="أبو اسحاق",G276="أبو آدم",G276="أبو اسحاق ",G276="أبو آدم "),0,IF(D276="",0,D276)))</f>
        <v/>
      </c>
      <c r="K276" s="44"/>
      <c r="L276" t="str">
        <f>IF(E275&gt;0,COUNTIF($E$4:E275,"&gt;0"),"")</f>
        <v/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 t="str">
        <f>IF(OR($A276="",$F276="أحد الشركاء",AND($D276="",$E276="")),"",SUMPRODUCT(($A$4:$A276&lt;&gt;"")*($F$4:$F276&lt;&gt;"أحد الشركاء")*((($D$4:$D276&lt;&gt;"")+($E$4:$E276&lt;&gt;""))&gt;0)))</f>
        <v/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/>
      <c r="B277" s="26"/>
      <c r="C277" s="27"/>
      <c r="D277" s="28"/>
      <c r="E277" s="29"/>
      <c r="F277" s="30"/>
      <c r="G277" s="31"/>
      <c r="H277" s="32"/>
      <c r="I277" s="33"/>
      <c r="J277" s="34" t="str">
        <f>IF(AND(D277="",E277="",A277="",B277="",C277=""),"", IFERROR(IF(J276="",D2,J276),D2)+IF(OR(E277="",H277="معلق"),0,E277)-IF(OR(G277="أبو اسحاق",G277="أبو آدم",G277="أبو اسحاق ",G277="أبو آدم "),0,IF(D277="",0,D277)))</f>
        <v/>
      </c>
      <c r="K277" s="35"/>
      <c r="L277" t="str">
        <f>IF(E276&gt;0,COUNTIF($E$4:E276,"&gt;0"),"")</f>
        <v/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 t="str">
        <f>IF(OR($A277="",$F277="أحد الشركاء",AND($D277="",$E277="")),"",SUMPRODUCT(($A$4:$A277&lt;&gt;"")*($F$4:$F277&lt;&gt;"أحد الشركاء")*((($D$4:$D277&lt;&gt;"")+($E$4:$E277&lt;&gt;""))&gt;0)))</f>
        <v/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/>
      <c r="B278" s="36"/>
      <c r="C278" s="37"/>
      <c r="D278" s="38"/>
      <c r="E278" s="39"/>
      <c r="F278" s="136"/>
      <c r="G278" s="40"/>
      <c r="H278" s="41"/>
      <c r="I278" s="42"/>
      <c r="J278" s="43" t="str">
        <f>IF(AND(D278="",E278="",A278="",B278="",C278=""),"", IFERROR(IF(J277="",D2,J277),D2)+IF(OR(E278="",H278="معلق"),0,E278)-IF(OR(G278="أبو اسحاق",G278="أبو آدم",G278="أبو اسحاق ",G278="أبو آدم "),0,IF(D278="",0,D278)))</f>
        <v/>
      </c>
      <c r="K278" s="44"/>
      <c r="L278" t="str">
        <f>IF(E277&gt;0,COUNTIF($E$4:E277,"&gt;0"),"")</f>
        <v/>
      </c>
      <c r="M278" t="str">
        <f>IF(AND(D277&gt;0,G277="المحفظة"),COUNTIFS($D$4:D277,"&gt;"&amp;0,$G$4:G277,"المحفظة"),"")</f>
        <v/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 t="str">
        <f>IF(OR($A278="",$F278="أحد الشركاء",AND($D278="",$E278="")),"",SUMPRODUCT(($A$4:$A278&lt;&gt;"")*($F$4:$F278&lt;&gt;"أحد الشركاء")*((($D$4:$D278&lt;&gt;"")+($E$4:$E278&lt;&gt;""))&gt;0)))</f>
        <v/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/>
      <c r="B279" s="26"/>
      <c r="C279" s="27"/>
      <c r="D279" s="28"/>
      <c r="E279" s="29"/>
      <c r="F279" s="30"/>
      <c r="G279" s="31"/>
      <c r="H279" s="32"/>
      <c r="I279" s="33"/>
      <c r="J279" s="34" t="str">
        <f>IF(AND(D279="",E279="",A279="",B279="",C279=""),"", IFERROR(IF(J278="",D2,J278),D2)+IF(OR(E279="",H279="معلق"),0,E279)-IF(OR(G279="أبو اسحاق",G279="أبو آدم",G279="أبو اسحاق ",G279="أبو آدم "),0,IF(D279="",0,D279)))</f>
        <v/>
      </c>
      <c r="K279" s="35"/>
      <c r="L279" t="str">
        <f>IF(E278&gt;0,COUNTIF($E$4:E278,"&gt;0"),"")</f>
        <v/>
      </c>
      <c r="M279" t="str">
        <f>IF(AND(D278&gt;0,G278="المحفظة"),COUNTIFS($D$4:D278,"&gt;"&amp;0,$G$4:G278,"المحفظة"),"")</f>
        <v/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 t="str">
        <f>IF(OR($A279="",$F279="أحد الشركاء",AND($D279="",$E279="")),"",SUMPRODUCT(($A$4:$A279&lt;&gt;"")*($F$4:$F279&lt;&gt;"أحد الشركاء")*((($D$4:$D279&lt;&gt;"")+($E$4:$E279&lt;&gt;""))&gt;0)))</f>
        <v/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IFERROR(IF(J279="",D2,J279),D2)+IF(OR(E280="",H280="معلق"),0,E280)-IF(OR(G280="أبو اسحاق",G280="أبو آدم",G280="أبو اسحاق ",G280="أبو آدم "),0,IF(D280="",0,D280)))</f>
        <v/>
      </c>
      <c r="K280" s="44"/>
      <c r="L280" t="str">
        <f>IF(E279&gt;0,COUNTIF($E$4:E279,"&gt;0"),"")</f>
        <v/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IFERROR(IF(J280="",D2,J280),D2)+IF(OR(E281="",H281="معلق"),0,E281)-IF(OR(G281="أبو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71"/>
      <c r="B354" s="165"/>
      <c r="C354" s="166"/>
      <c r="D354" s="38"/>
      <c r="E354" s="39"/>
      <c r="F354" s="164"/>
      <c r="G354" s="165"/>
      <c r="H354" s="166"/>
      <c r="I354" s="42"/>
      <c r="J354" s="43">
        <f t="array" ref="J354">IFERROR(LOOKUP(2,1/(J4:J353&lt;&gt;""),J4:J353),$D$2)</f>
        <v>1915.595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4941.1450000000004</v>
      </c>
      <c r="E355" s="46">
        <f ca="1">SUMPRODUCT(SUBTOTAL(9,OFFSET(E4,ROW(E4:E353)-ROW(E4),0)),--(H4:H353&lt;&gt;"معلق"))</f>
        <v>5075.24</v>
      </c>
      <c r="F355" s="140">
        <f ca="1">SUMPRODUCT(SUBTOTAL(3,OFFSET(H4,ROW(H4:H353)-ROW(H4),0))*(H4:H353="معلق"))</f>
        <v>13</v>
      </c>
      <c r="G355" s="137"/>
      <c r="H355" s="137"/>
      <c r="J355" s="46">
        <f t="array" aca="1" ref="J355" ca="1">IFERROR(LOOKUP(2,1/((SUBTOTAL(3,OFFSET(J4,ROW(J4:J353)-ROW(J4),0))&gt;0)*(J4:J353&lt;&gt;"")),J4:J353),$D$2)</f>
        <v>1915.595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5" t="s">
        <v>220</v>
      </c>
      <c r="B1" s="165"/>
      <c r="C1" s="165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7" t="s">
        <v>236</v>
      </c>
      <c r="B1" s="165"/>
    </row>
    <row r="2" spans="1:2" ht="21.75" customHeight="1" x14ac:dyDescent="0.25">
      <c r="A2" s="176" t="s">
        <v>237</v>
      </c>
      <c r="B2" s="165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6" t="s">
        <v>242</v>
      </c>
      <c r="B5" s="165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6" t="s">
        <v>251</v>
      </c>
      <c r="B11" s="165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24" customHeight="1" x14ac:dyDescent="0.25">
      <c r="A2" s="178"/>
      <c r="B2" s="165"/>
      <c r="C2" s="56" t="s">
        <v>342</v>
      </c>
      <c r="D2" s="178">
        <v>2026</v>
      </c>
      <c r="E2" s="165"/>
      <c r="F2" s="56" t="s">
        <v>256</v>
      </c>
      <c r="G2" s="181" t="s">
        <v>257</v>
      </c>
      <c r="H2" s="169"/>
      <c r="I2" s="169"/>
      <c r="J2" s="169"/>
      <c r="K2" s="169"/>
    </row>
    <row r="3" spans="1:11" ht="19.5" customHeight="1" x14ac:dyDescent="0.25">
      <c r="A3" s="182" t="s">
        <v>258</v>
      </c>
      <c r="B3" s="165"/>
      <c r="C3" s="165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9" t="s">
        <v>265</v>
      </c>
      <c r="B355" s="165"/>
      <c r="C355" s="165"/>
      <c r="D355" s="75">
        <f>SUM(D5:D354)</f>
        <v>1364.45</v>
      </c>
      <c r="E355" s="75">
        <f>SUM(E5:E354)</f>
        <v>602.5</v>
      </c>
      <c r="F355" s="180">
        <f>COUNTIF(H5:H354,"معلق")</f>
        <v>0</v>
      </c>
      <c r="G355" s="165"/>
      <c r="H355" s="165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70" t="s">
        <v>268</v>
      </c>
      <c r="B1" s="165"/>
      <c r="C1" s="165"/>
      <c r="D1" s="165"/>
      <c r="E1" s="165"/>
      <c r="F1" s="165"/>
      <c r="G1" s="165"/>
    </row>
    <row r="2" spans="1:7" ht="24" customHeight="1" x14ac:dyDescent="0.25">
      <c r="A2" s="178" t="s">
        <v>269</v>
      </c>
      <c r="B2" s="165"/>
      <c r="C2" s="56" t="s">
        <v>342</v>
      </c>
      <c r="D2" s="178" t="s">
        <v>270</v>
      </c>
      <c r="E2" s="165"/>
      <c r="F2" s="56">
        <v>2026</v>
      </c>
    </row>
    <row r="3" spans="1:7" ht="21.75" customHeight="1" x14ac:dyDescent="0.25">
      <c r="A3" s="182" t="s">
        <v>271</v>
      </c>
      <c r="B3" s="165"/>
      <c r="C3" s="57">
        <f>المحفظة!$D$2</f>
        <v>0</v>
      </c>
      <c r="D3" s="182" t="s">
        <v>272</v>
      </c>
      <c r="E3" s="165"/>
      <c r="F3" s="78">
        <f>المحفظة!$C$3</f>
        <v>0</v>
      </c>
    </row>
    <row r="4" spans="1:7" ht="21.75" customHeight="1" x14ac:dyDescent="0.25">
      <c r="A4" s="183" t="s">
        <v>273</v>
      </c>
      <c r="B4" s="165"/>
      <c r="C4" s="165"/>
      <c r="D4" s="165"/>
      <c r="E4" s="165"/>
      <c r="F4" s="165"/>
      <c r="G4" s="165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3" t="s">
        <v>266</v>
      </c>
      <c r="B55" s="165"/>
      <c r="C55" s="165"/>
      <c r="D55" s="165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5" t="s">
        <v>275</v>
      </c>
      <c r="B56" s="165"/>
      <c r="C56" s="165"/>
      <c r="D56" s="165"/>
      <c r="E56" s="165"/>
      <c r="F56" s="165"/>
      <c r="G56" s="165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5" t="s">
        <v>276</v>
      </c>
      <c r="B107" s="165"/>
      <c r="C107" s="165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9" t="s">
        <v>277</v>
      </c>
      <c r="B108" s="165"/>
      <c r="C108" s="165"/>
      <c r="D108" s="75">
        <f>E55-D107</f>
        <v>0</v>
      </c>
      <c r="E108" s="184">
        <f>SUM(E5:E107)</f>
        <v>0</v>
      </c>
      <c r="F108" s="165"/>
      <c r="G108" s="166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2026-10-16T12:58:41Z</dcterms:modified>
  <dc:language>en-US</dc:language>
</cp:coreProperties>
</file>