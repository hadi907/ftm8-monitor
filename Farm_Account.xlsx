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577CF6A6-9C9D-460F-B0BF-8BC693A1504F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<sst xmlns="http://schemas.openxmlformats.org/spreadsheetml/2006/main" count="846" uniqueCount="366">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</sst>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90.320000000000022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938.44</v>
      </c>
      <c r="E206" s="129">
        <f>SUM(E6:E205)</f>
        <v>848.11999999999989</v>
      </c>
      <c r="F206" s="130">
        <f>IFERROR(LOOKUP(2,1/($F$6:$F$205&lt;&gt;""),$F$6:$F$205),0)</f>
        <v>90.320000000000022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49" activePane="bottomLeft" state="frozen"/>
      <selection pane="bottomLeft" activeCell="H159" sqref="H159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>
        <f>IF(AND(D159&gt;0,F159="أحد الشركاء"),COUNTIFS($D$4:D159,"&gt;"&amp;0,$F$4:F159,"أحد الشركاء"),"")</f>
        <v>15</v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2629.6200000000003</v>
      </c>
      <c r="E205" s="46">
        <f>SUM(E4:E203)</f>
        <v>938.44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496.32500000000005</v>
      </c>
      <c r="E155" s="75">
        <f>SUM(E5:E154)</f>
        <v>216.25</v>
      </c>
      <c r="F155" s="168">
        <f>COUNTIF(H5:H154,"معلق")</f>
        <v>0</v>
      </c>
      <c r="G155" s="156"/>
      <c r="H155" s="156"/>
      <c r="I155" s="76"/>
      <c r="J155" s="75">
        <f>E155-D155</f>
        <v>-280.07500000000005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1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3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3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2">
        <f>SUM(E5:E107)</f>
        <v>0</v>
      </c>
      <c r="F108" s="156"/>
      <c r="G108" s="157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2026-08-25T20:24:18Z</dcterms:modified>
  <dc:language>en-US</dc:language>
</cp:coreProperties>
</file>