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C2EB15F3-66D3-4AD6-B898-D478B882C63F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<sst xmlns="http://schemas.openxmlformats.org/spreadsheetml/2006/main" count="850" uniqueCount="367">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</sst>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86.195000000000022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938.44</v>
      </c>
      <c r="E206" s="129">
        <f>SUM(E6:E205)</f>
        <v>852.24499999999989</v>
      </c>
      <c r="F206" s="130">
        <f>IFERROR(LOOKUP(2,1/($F$6:$F$205&lt;&gt;""),$F$6:$F$205),0)</f>
        <v>86.195000000000022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9" activePane="bottomLeft" state="frozen"/>
      <selection pane="bottomLeft" activeCell="H160" sqref="H16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2633.7450000000003</v>
      </c>
      <c r="E205" s="46">
        <f>SUM(E4:E203)</f>
        <v>938.44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500.45000000000005</v>
      </c>
      <c r="E155" s="75">
        <f>SUM(E5:E154)</f>
        <v>216.25</v>
      </c>
      <c r="F155" s="168">
        <f>COUNTIF(H5:H154,"معلق")</f>
        <v>0</v>
      </c>
      <c r="G155" s="156"/>
      <c r="H155" s="156"/>
      <c r="I155" s="76"/>
      <c r="J155" s="75">
        <f>E155-D155</f>
        <v>-284.20000000000005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2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2026-08-25T20:43:58Z</dcterms:modified>
  <dc:language>en-US</dc:language>
</cp:coreProperties>
</file>