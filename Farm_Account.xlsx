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243DC22-8DE7-4837-8A10-CAC89C4B8604}" xr6:coauthVersionLast="36" xr6:coauthVersionMax="36" xr10:uidLastSave="{00000000-0000-0000-0000-000000000000}"/>
  <bookViews>
    <workbookView xWindow="0" yWindow="0" windowWidth="16380" windowHeight="8190" tabRatio="500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J153" i="2"/>
  <c r="Q152" i="2"/>
  <c r="P152" i="2"/>
  <c r="O152" i="2"/>
  <c r="N152" i="2"/>
  <c r="M152" i="2"/>
  <c r="L152" i="2"/>
  <c r="J152" i="2"/>
  <c r="Q151" i="2"/>
  <c r="P151" i="2"/>
  <c r="O151" i="2"/>
  <c r="N151" i="2"/>
  <c r="M151" i="2"/>
  <c r="L151" i="2"/>
  <c r="J151" i="2"/>
  <c r="Q150" i="2"/>
  <c r="P150" i="2"/>
  <c r="O150" i="2"/>
  <c r="N150" i="2"/>
  <c r="M150" i="2"/>
  <c r="L150" i="2"/>
  <c r="J150" i="2"/>
  <c r="Q149" i="2"/>
  <c r="P149" i="2"/>
  <c r="O149" i="2"/>
  <c r="N149" i="2"/>
  <c r="M149" i="2"/>
  <c r="L149" i="2"/>
  <c r="J149" i="2"/>
  <c r="Q148" i="2"/>
  <c r="P148" i="2"/>
  <c r="O148" i="2"/>
  <c r="N148" i="2"/>
  <c r="M148" i="2"/>
  <c r="L148" i="2"/>
  <c r="J148" i="2"/>
  <c r="Q147" i="2"/>
  <c r="P147" i="2"/>
  <c r="O147" i="2"/>
  <c r="N147" i="2"/>
  <c r="M147" i="2"/>
  <c r="L147" i="2"/>
  <c r="J147" i="2"/>
  <c r="Q146" i="2"/>
  <c r="P146" i="2"/>
  <c r="O146" i="2"/>
  <c r="N146" i="2"/>
  <c r="M146" i="2"/>
  <c r="L146" i="2"/>
  <c r="J146" i="2"/>
  <c r="Q145" i="2"/>
  <c r="P145" i="2"/>
  <c r="O145" i="2"/>
  <c r="N145" i="2"/>
  <c r="M145" i="2"/>
  <c r="L145" i="2"/>
  <c r="J145" i="2"/>
  <c r="Q144" i="2"/>
  <c r="P144" i="2"/>
  <c r="O144" i="2"/>
  <c r="N144" i="2"/>
  <c r="M144" i="2"/>
  <c r="L144" i="2"/>
  <c r="J144" i="2"/>
  <c r="Q143" i="2"/>
  <c r="P143" i="2"/>
  <c r="O143" i="2"/>
  <c r="N143" i="2"/>
  <c r="M143" i="2"/>
  <c r="L143" i="2"/>
  <c r="J143" i="2"/>
  <c r="Q142" i="2"/>
  <c r="P142" i="2"/>
  <c r="O142" i="2"/>
  <c r="N142" i="2"/>
  <c r="M142" i="2"/>
  <c r="L142" i="2"/>
  <c r="J142" i="2"/>
  <c r="Q141" i="2"/>
  <c r="P141" i="2"/>
  <c r="O141" i="2"/>
  <c r="N141" i="2"/>
  <c r="M141" i="2"/>
  <c r="L141" i="2"/>
  <c r="J141" i="2"/>
  <c r="Q140" i="2"/>
  <c r="P140" i="2"/>
  <c r="O140" i="2"/>
  <c r="N140" i="2"/>
  <c r="M140" i="2"/>
  <c r="L140" i="2"/>
  <c r="J140" i="2"/>
  <c r="Q139" i="2"/>
  <c r="P139" i="2"/>
  <c r="O139" i="2"/>
  <c r="N139" i="2"/>
  <c r="M139" i="2"/>
  <c r="L139" i="2"/>
  <c r="J139" i="2"/>
  <c r="Q138" i="2"/>
  <c r="P138" i="2"/>
  <c r="O138" i="2"/>
  <c r="N138" i="2"/>
  <c r="M138" i="2"/>
  <c r="L138" i="2"/>
  <c r="J138" i="2"/>
  <c r="Q137" i="2"/>
  <c r="P137" i="2"/>
  <c r="O137" i="2"/>
  <c r="N137" i="2"/>
  <c r="M137" i="2"/>
  <c r="L137" i="2"/>
  <c r="J137" i="2"/>
  <c r="Q136" i="2"/>
  <c r="P136" i="2"/>
  <c r="O136" i="2"/>
  <c r="N136" i="2"/>
  <c r="M136" i="2"/>
  <c r="L136" i="2"/>
  <c r="J136" i="2"/>
  <c r="Q135" i="2"/>
  <c r="P135" i="2"/>
  <c r="O135" i="2"/>
  <c r="N135" i="2"/>
  <c r="M135" i="2"/>
  <c r="L135" i="2"/>
  <c r="J135" i="2"/>
  <c r="Q134" i="2"/>
  <c r="P134" i="2"/>
  <c r="O134" i="2"/>
  <c r="N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N131" i="2"/>
  <c r="M131" i="2"/>
  <c r="L131" i="2"/>
  <c r="J131" i="2"/>
  <c r="Q130" i="2"/>
  <c r="P130" i="2"/>
  <c r="O130" i="2"/>
  <c r="N130" i="2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J127" i="2"/>
  <c r="Q126" i="2"/>
  <c r="P126" i="2"/>
  <c r="O126" i="2"/>
  <c r="N126" i="2"/>
  <c r="M126" i="2"/>
  <c r="L126" i="2"/>
  <c r="J126" i="2"/>
  <c r="Q125" i="2"/>
  <c r="P125" i="2"/>
  <c r="O125" i="2"/>
  <c r="N125" i="2"/>
  <c r="M125" i="2"/>
  <c r="L125" i="2"/>
  <c r="J125" i="2"/>
  <c r="Q124" i="2"/>
  <c r="P124" i="2"/>
  <c r="O124" i="2"/>
  <c r="N124" i="2"/>
  <c r="M124" i="2"/>
  <c r="L124" i="2"/>
  <c r="J124" i="2"/>
  <c r="Q123" i="2"/>
  <c r="P123" i="2"/>
  <c r="O123" i="2"/>
  <c r="N123" i="2"/>
  <c r="M123" i="2"/>
  <c r="L123" i="2"/>
  <c r="J123" i="2"/>
  <c r="Q122" i="2"/>
  <c r="P122" i="2"/>
  <c r="O122" i="2"/>
  <c r="N122" i="2"/>
  <c r="M122" i="2"/>
  <c r="L122" i="2"/>
  <c r="J122" i="2"/>
  <c r="Q121" i="2"/>
  <c r="P121" i="2"/>
  <c r="O121" i="2"/>
  <c r="N121" i="2"/>
  <c r="M121" i="2"/>
  <c r="L121" i="2"/>
  <c r="J121" i="2"/>
  <c r="Q120" i="2"/>
  <c r="P120" i="2"/>
  <c r="O120" i="2"/>
  <c r="N120" i="2"/>
  <c r="M120" i="2"/>
  <c r="L120" i="2"/>
  <c r="J120" i="2"/>
  <c r="Q119" i="2"/>
  <c r="P119" i="2"/>
  <c r="O119" i="2"/>
  <c r="N119" i="2"/>
  <c r="M119" i="2"/>
  <c r="L119" i="2"/>
  <c r="J119" i="2"/>
  <c r="Q118" i="2"/>
  <c r="P118" i="2"/>
  <c r="O118" i="2"/>
  <c r="N118" i="2"/>
  <c r="M118" i="2"/>
  <c r="L118" i="2"/>
  <c r="J118" i="2"/>
  <c r="Q117" i="2"/>
  <c r="P117" i="2"/>
  <c r="O117" i="2"/>
  <c r="N117" i="2"/>
  <c r="M117" i="2"/>
  <c r="L117" i="2"/>
  <c r="Q116" i="2"/>
  <c r="P116" i="2"/>
  <c r="O116" i="2"/>
  <c r="N116" i="2"/>
  <c r="M116" i="2"/>
  <c r="L116" i="2"/>
  <c r="J116" i="2"/>
  <c r="J117" i="2" s="1"/>
  <c r="Q115" i="2"/>
  <c r="P115" i="2"/>
  <c r="O115" i="2"/>
  <c r="N115" i="2"/>
  <c r="M115" i="2"/>
  <c r="L115" i="2"/>
  <c r="J115" i="2"/>
  <c r="Q114" i="2"/>
  <c r="P114" i="2"/>
  <c r="O114" i="2"/>
  <c r="N114" i="2"/>
  <c r="M114" i="2"/>
  <c r="L114" i="2"/>
  <c r="Q113" i="2"/>
  <c r="P113" i="2"/>
  <c r="O113" i="2"/>
  <c r="N113" i="2"/>
  <c r="M113" i="2"/>
  <c r="L113" i="2"/>
  <c r="J113" i="2"/>
  <c r="J114" i="2" s="1"/>
  <c r="Q112" i="2"/>
  <c r="P112" i="2"/>
  <c r="O112" i="2"/>
  <c r="N112" i="2"/>
  <c r="M112" i="2"/>
  <c r="L112" i="2"/>
  <c r="Q111" i="2"/>
  <c r="P111" i="2"/>
  <c r="O111" i="2"/>
  <c r="N111" i="2"/>
  <c r="M111" i="2"/>
  <c r="L111" i="2"/>
  <c r="Q110" i="2"/>
  <c r="P110" i="2"/>
  <c r="O110" i="2"/>
  <c r="N110" i="2"/>
  <c r="M110" i="2"/>
  <c r="L110" i="2"/>
  <c r="Q109" i="2"/>
  <c r="P109" i="2"/>
  <c r="O109" i="2"/>
  <c r="N109" i="2"/>
  <c r="M109" i="2"/>
  <c r="L109" i="2"/>
  <c r="Q108" i="2"/>
  <c r="P108" i="2"/>
  <c r="O108" i="2"/>
  <c r="N108" i="2"/>
  <c r="M108" i="2"/>
  <c r="L108" i="2"/>
  <c r="Q107" i="2"/>
  <c r="P107" i="2"/>
  <c r="O107" i="2"/>
  <c r="N107" i="2"/>
  <c r="M107" i="2"/>
  <c r="L107" i="2"/>
  <c r="Q106" i="2"/>
  <c r="P106" i="2"/>
  <c r="O106" i="2"/>
  <c r="N106" i="2"/>
  <c r="M106" i="2"/>
  <c r="L106" i="2"/>
  <c r="Q105" i="2"/>
  <c r="P105" i="2"/>
  <c r="O105" i="2"/>
  <c r="N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N104" i="2"/>
  <c r="M104" i="2"/>
  <c r="L104" i="2"/>
  <c r="Q103" i="2"/>
  <c r="P103" i="2"/>
  <c r="O103" i="2"/>
  <c r="N103" i="2"/>
  <c r="M103" i="2"/>
  <c r="L103" i="2"/>
  <c r="Q102" i="2"/>
  <c r="P102" i="2"/>
  <c r="O102" i="2"/>
  <c r="N102" i="2"/>
  <c r="M102" i="2"/>
  <c r="L102" i="2"/>
  <c r="Q101" i="2"/>
  <c r="P101" i="2"/>
  <c r="O101" i="2"/>
  <c r="N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F129" i="1" s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F113" i="1" s="1"/>
  <c r="E125" i="1"/>
  <c r="C139" i="1"/>
  <c r="D90" i="1"/>
  <c r="B92" i="1"/>
  <c r="D94" i="1"/>
  <c r="E97" i="1"/>
  <c r="A101" i="1"/>
  <c r="B104" i="1"/>
  <c r="C107" i="1"/>
  <c r="D110" i="1"/>
  <c r="E113" i="1"/>
  <c r="A117" i="1"/>
  <c r="F117" i="1" s="1"/>
  <c r="B120" i="1"/>
  <c r="C123" i="1"/>
  <c r="D126" i="1"/>
  <c r="E129" i="1"/>
  <c r="A133" i="1"/>
  <c r="F133" i="1" s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F121" i="1" s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F136" i="1" s="1"/>
  <c r="B135" i="1"/>
  <c r="C134" i="1"/>
  <c r="D133" i="1"/>
  <c r="E132" i="1"/>
  <c r="A132" i="1"/>
  <c r="F132" i="1" s="1"/>
  <c r="B131" i="1"/>
  <c r="C130" i="1"/>
  <c r="D129" i="1"/>
  <c r="E128" i="1"/>
  <c r="A128" i="1"/>
  <c r="F128" i="1" s="1"/>
  <c r="B127" i="1"/>
  <c r="C126" i="1"/>
  <c r="D125" i="1"/>
  <c r="E124" i="1"/>
  <c r="A124" i="1"/>
  <c r="F124" i="1" s="1"/>
  <c r="B123" i="1"/>
  <c r="C122" i="1"/>
  <c r="D121" i="1"/>
  <c r="E120" i="1"/>
  <c r="A120" i="1"/>
  <c r="F120" i="1" s="1"/>
  <c r="B119" i="1"/>
  <c r="C118" i="1"/>
  <c r="D117" i="1"/>
  <c r="E116" i="1"/>
  <c r="A116" i="1"/>
  <c r="F116" i="1" s="1"/>
  <c r="B115" i="1"/>
  <c r="C114" i="1"/>
  <c r="D113" i="1"/>
  <c r="E112" i="1"/>
  <c r="A112" i="1"/>
  <c r="F112" i="1" s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F135" i="1" s="1"/>
  <c r="B134" i="1"/>
  <c r="C133" i="1"/>
  <c r="D132" i="1"/>
  <c r="E131" i="1"/>
  <c r="A131" i="1"/>
  <c r="F131" i="1" s="1"/>
  <c r="B130" i="1"/>
  <c r="C129" i="1"/>
  <c r="D128" i="1"/>
  <c r="E127" i="1"/>
  <c r="A127" i="1"/>
  <c r="F127" i="1" s="1"/>
  <c r="B126" i="1"/>
  <c r="C125" i="1"/>
  <c r="D124" i="1"/>
  <c r="E123" i="1"/>
  <c r="A123" i="1"/>
  <c r="F123" i="1" s="1"/>
  <c r="B122" i="1"/>
  <c r="C121" i="1"/>
  <c r="D120" i="1"/>
  <c r="E119" i="1"/>
  <c r="A119" i="1"/>
  <c r="F119" i="1" s="1"/>
  <c r="B118" i="1"/>
  <c r="C117" i="1"/>
  <c r="D116" i="1"/>
  <c r="E115" i="1"/>
  <c r="A115" i="1"/>
  <c r="F115" i="1" s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F134" i="1" s="1"/>
  <c r="B133" i="1"/>
  <c r="C132" i="1"/>
  <c r="D131" i="1"/>
  <c r="E130" i="1"/>
  <c r="A130" i="1"/>
  <c r="F130" i="1" s="1"/>
  <c r="B129" i="1"/>
  <c r="C128" i="1"/>
  <c r="D127" i="1"/>
  <c r="E126" i="1"/>
  <c r="A126" i="1"/>
  <c r="F126" i="1" s="1"/>
  <c r="B125" i="1"/>
  <c r="C124" i="1"/>
  <c r="D123" i="1"/>
  <c r="E122" i="1"/>
  <c r="A122" i="1"/>
  <c r="F122" i="1" s="1"/>
  <c r="B121" i="1"/>
  <c r="C120" i="1"/>
  <c r="D119" i="1"/>
  <c r="E118" i="1"/>
  <c r="A118" i="1"/>
  <c r="F118" i="1" s="1"/>
  <c r="B117" i="1"/>
  <c r="C116" i="1"/>
  <c r="D115" i="1"/>
  <c r="E114" i="1"/>
  <c r="A114" i="1"/>
  <c r="F114" i="1" s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F125" i="1" s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E5" i="5"/>
  <c r="H5" i="5"/>
  <c r="B6" i="5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6" i="5"/>
  <c r="E108" i="6"/>
  <c r="E206" i="1" l="1"/>
  <c r="D206" i="1"/>
  <c r="A5" i="5"/>
  <c r="J5" i="5"/>
  <c r="K5" i="5"/>
  <c r="D312" i="1"/>
  <c r="I5" i="5"/>
  <c r="D5" i="5"/>
  <c r="C6" i="5"/>
  <c r="D6" i="5"/>
  <c r="D310" i="1"/>
  <c r="J6" i="5"/>
  <c r="F6" i="5"/>
  <c r="A6" i="5"/>
  <c r="B5" i="5"/>
  <c r="G6" i="5"/>
  <c r="C5" i="5"/>
  <c r="H6" i="5"/>
  <c r="G7" i="5"/>
  <c r="N60" i="2"/>
  <c r="B7" i="5"/>
  <c r="C7" i="5"/>
  <c r="I6" i="5"/>
  <c r="F5" i="5"/>
  <c r="K6" i="5"/>
  <c r="G5" i="5"/>
  <c r="A7" i="5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D311" i="1"/>
  <c r="F206" i="1" l="1"/>
  <c r="F2" i="1" s="1"/>
  <c r="J7" i="5"/>
  <c r="E7" i="5"/>
  <c r="H7" i="5"/>
  <c r="N61" i="2"/>
  <c r="B8" i="5"/>
  <c r="J8" i="5"/>
  <c r="N62" i="2"/>
  <c r="B9" i="5"/>
  <c r="I7" i="5"/>
  <c r="G8" i="5"/>
  <c r="G9" i="5"/>
  <c r="F7" i="5"/>
  <c r="D8" i="5"/>
  <c r="C9" i="5"/>
  <c r="K8" i="5"/>
  <c r="K7" i="5"/>
  <c r="D7" i="5"/>
  <c r="C8" i="5"/>
  <c r="E9" i="5"/>
  <c r="D9" i="5" l="1"/>
  <c r="I9" i="5"/>
  <c r="F9" i="5"/>
  <c r="H9" i="5"/>
  <c r="E8" i="5"/>
  <c r="J9" i="5"/>
  <c r="F8" i="5"/>
  <c r="K9" i="5"/>
  <c r="I8" i="5"/>
  <c r="A8" i="5"/>
  <c r="H8" i="5"/>
  <c r="N63" i="2"/>
  <c r="A9" i="5"/>
  <c r="B10" i="5" l="1"/>
  <c r="C10" i="5"/>
  <c r="E10" i="5"/>
  <c r="D10" i="5"/>
  <c r="G10" i="5"/>
  <c r="K10" i="5"/>
  <c r="N64" i="2"/>
  <c r="I11" i="5"/>
  <c r="A11" i="5"/>
  <c r="H10" i="5"/>
  <c r="J10" i="5"/>
  <c r="K11" i="5"/>
  <c r="I10" i="5"/>
  <c r="B11" i="5"/>
  <c r="G11" i="5"/>
  <c r="F10" i="5"/>
  <c r="F11" i="5"/>
  <c r="A10" i="5"/>
  <c r="C11" i="5"/>
  <c r="D11" i="5"/>
  <c r="N65" i="2" l="1"/>
  <c r="K12" i="5"/>
  <c r="J11" i="5"/>
  <c r="A12" i="5"/>
  <c r="H11" i="5"/>
  <c r="E12" i="5"/>
  <c r="C12" i="5"/>
  <c r="E11" i="5"/>
  <c r="J13" i="5" l="1"/>
  <c r="I12" i="5"/>
  <c r="N66" i="2"/>
  <c r="F12" i="5"/>
  <c r="G12" i="5"/>
  <c r="J12" i="5"/>
  <c r="E13" i="5"/>
  <c r="A13" i="5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K26" i="5" l="1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C37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37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E37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<sst xmlns="http://schemas.openxmlformats.org/spreadsheetml/2006/main" count="714" uniqueCount="318">
  <si>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</si>
  <si>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</si>
  <si>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</si>
  <si>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</si>
  <si>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</si>
  <si>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</si>
  <si>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</si>
  <si>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</si>
  <si>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</si>
  <si>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</si>
  <si>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</si>
  <si>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</si>
  <si>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</si>
  <si>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</si>
  <si>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</si>
  <si>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</si>
  <si>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</si>
  <si>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</si>
  <si>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</si>
  <si>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</si>
  <si>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</si>
  <si>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</si>
  <si>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</si>
  <si>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</si>
  <si>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</si>
  <si>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</si>
  <si>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</si>
  <si>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</si>
  <si>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</si>
  <si>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</si>
  <si>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</si>
  <si>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</si>
  <si>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</si>
  <si>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</si>
  <si>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</si>
  <si>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</si>
  <si>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</si>
  <si>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</si>
  <si>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</si>
  <si>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</si>
  <si>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</si>
  <si>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</si>
  <si>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</si>
  <si>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</si>
  <si>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</si>
  <si>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</si>
  <si>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</si>
  <si>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</si>
  <si>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</si>
  <si>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</si>
  <si>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</si>
  <si>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</si>
  <si>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</si>
  <si>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</si>
  <si>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</si>
  <si>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</si>
  <si>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</si>
  <si>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</si>
  <si>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</si>
  <si>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</si>
  <si>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</si>
  <si>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</si>
  <si>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</si>
  <si>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</si>
  <si>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</si>
  <si>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</si>
  <si>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</si>
  <si>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</si>
  <si>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</si>
  <si>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</si>
  <si>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</si>
  <si>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</si>
  <si>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</si>
  <si>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</si>
  <si>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</si>
  <si>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</si>
  <si>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</si>
  <si>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</si>
  <si>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</si>
  <si>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</si>
  <si>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</si>
  <si>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</si>
  <si>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</si>
  <si>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</si>
  <si>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</si>
  <si>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</si>
  <si>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</si>
  <si>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</si>
  <si>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</si>
  <si>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</si>
  <si>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</si>
  <si>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</si>
  <si>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</si>
  <si>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</si>
  <si>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</si>
  <si>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</si>
  <si>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</si>
  <si>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</si>
  <si>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</si>
  <si>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</si>
  <si>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</si>
  <si>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</si>
  <si>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</si>
  <si>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</si>
  <si>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</si>
  <si>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</si>
  <si>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</si>
  <si>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</si>
  <si>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</si>
  <si>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</si>
  <si>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</si>
  <si>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</si>
  <si>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</si>
  <si>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</si>
  <si>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</si>
  <si>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</si>
  <si>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</si>
  <si>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</si>
  <si>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</si>
  <si>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</si>
  <si>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</si>
  <si>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</si>
  <si>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</si>
  <si>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</si>
  <si>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</si>
  <si>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</si>
  <si>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</si>
  <si>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</si>
  <si>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</si>
  <si>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</si>
  <si>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</si>
  <si>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</si>
  <si>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</si>
  <si>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</si>
  <si>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</si>
  <si>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</si>
  <si>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</si>
  <si>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</si>
  <si>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</si>
  <si>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</si>
  <si>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</si>
  <si>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</si>
  <si>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</si>
  <si>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</si>
  <si>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</si>
  <si>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</si>
  <si>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</si>
  <si>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</si>
  <si>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</si>
  <si>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</si>
  <si>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</si>
  <si>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</si>
  <si>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</si>
  <si>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</si>
  <si>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</si>
  <si>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</si>
  <si>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</si>
  <si>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</si>
  <si>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</si>
  <si>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</si>
  <si>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</si>
  <si>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</si>
  <si>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</si>
  <si>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</si>
  <si>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</si>
  <si>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</si>
  <si>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</si>
  <si>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</si>
  <si>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</si>
  <si>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</si>
  <si>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</si>
  <si>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</si>
  <si>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</si>
  <si>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</si>
  <si>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</si>
  <si>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</si>
  <si>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</si>
  <si>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</si>
  <si>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</si>
  <si>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</si>
  <si>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</si>
  <si>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</si>
  <si>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</si>
  <si>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</si>
  <si>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</si>
  <si>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</si>
  <si>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</si>
  <si>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</si>
  <si>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</si>
  <si>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</si>
  <si>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</si>
  <si>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</si>
  <si>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</si>
  <si>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</si>
  <si>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</si>
  <si>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</si>
  <si>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</si>
  <si>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</si>
  <si>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</si>
  <si>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</si>
  <si>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</si>
  <si>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</si>
  <si>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</si>
  <si>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</si>
  <si>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</si>
  <si>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</si>
  <si>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</si>
  <si>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</si>
  <si>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</si>
  <si>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</si>
  <si>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</si>
  <si>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</si>
  <si>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</si>
  <si>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</si>
  <si>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</si>
  <si>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</si>
  <si>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</si>
  <si>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</si>
  <si>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</si>
  <si>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</si>
  <si>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</si>
  <si>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</si>
  <si>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</si>
  <si>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</si>
  <si>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</si>
  <si>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</si>
  <si>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</si>
  <si>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</si>
  <si>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</si>
  <si>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</si>
  <si>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</si>
  <si>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</si>
  <si>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</si>
  <si>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</si>
  <si>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</si>
  <si>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</si>
  <si>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</si>
  <si>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</si>
  <si>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</si>
  <si>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</si>
  <si>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</si>
  <si>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</si>
  <si>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</si>
  <si>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</si>
  <si>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</si>
  <si>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</si>
  <si>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</si>
  <si>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</si>
  <si>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</si>
  <si>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</si>
  <si>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</si>
  <si>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</si>
  <si>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</si>
  <si>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</si>
  <si>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</si>
  <si>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</si>
  <si>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يونيو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</si>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</sst>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3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98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1" t="s">
        <v>0</v>
      </c>
      <c r="B1" s="148"/>
      <c r="C1" s="148"/>
      <c r="D1" s="148"/>
      <c r="E1" s="148"/>
      <c r="F1" s="149"/>
    </row>
    <row r="2" spans="1:6" ht="30" customHeight="1" x14ac:dyDescent="0.25">
      <c r="A2" s="150" t="s">
        <v>1</v>
      </c>
      <c r="B2" s="148"/>
      <c r="C2" s="148"/>
      <c r="D2" s="148"/>
      <c r="E2" s="149"/>
      <c r="F2" s="119">
        <f>F206</f>
        <v>124.125</v>
      </c>
    </row>
    <row r="3" spans="1:6" ht="6" customHeight="1" x14ac:dyDescent="0.25">
      <c r="A3" s="153"/>
      <c r="B3" s="148"/>
      <c r="C3" s="148"/>
      <c r="D3" s="148"/>
      <c r="E3" s="148"/>
      <c r="F3" s="149"/>
    </row>
    <row r="4" spans="1:6" ht="27.95" customHeight="1" x14ac:dyDescent="0.25">
      <c r="A4" s="152" t="s">
        <v>2</v>
      </c>
      <c r="B4" s="148"/>
      <c r="C4" s="148"/>
      <c r="D4" s="148"/>
      <c r="E4" s="148"/>
      <c r="F4" s="149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 t="str">
        <f>IFERROR(INDEX('كشف الحساب'!$A$4:$A$204,MATCH(107,'كشف الحساب'!$P$4:$P$204,0)),"")</f>
        <v/>
      </c>
      <c r="B112" s="122" t="str">
        <f>IFERROR(INDEX('كشف الحساب'!$B$4:$B$204,MATCH(107,'كشف الحساب'!$P$4:$P$204,0)),"")</f>
        <v/>
      </c>
      <c r="C112" s="121" t="str">
        <f>IFERROR(INDEX('كشف الحساب'!$C$4:$C$204,MATCH(107,'كشف الحساب'!$P$4:$P$204,0)),"")</f>
        <v/>
      </c>
      <c r="D112" s="123" t="str">
        <f>IFERROR(INDEX('كشف الحساب'!$E$4:$E$204,MATCH(107,'كشف الحساب'!$P$4:$P$204,0)),"")</f>
        <v/>
      </c>
      <c r="E112" s="124" t="str">
        <f>IFERROR(INDEX('كشف الحساب'!$D$4:$D$204,MATCH(107,'كشف الحساب'!$P$4:$P$204,0)),"")</f>
        <v/>
      </c>
      <c r="F112" s="125" t="str">
        <f t="shared" si="3"/>
        <v/>
      </c>
    </row>
    <row r="113" spans="1:6" ht="18" customHeight="1" x14ac:dyDescent="0.25">
      <c r="A113" s="142" t="str">
        <f>IFERROR(INDEX('كشف الحساب'!$A$4:$A$204,MATCH(108,'كشف الحساب'!$P$4:$P$204,0)),"")</f>
        <v/>
      </c>
      <c r="B113" s="122" t="str">
        <f>IFERROR(INDEX('كشف الحساب'!$B$4:$B$204,MATCH(108,'كشف الحساب'!$P$4:$P$204,0)),"")</f>
        <v/>
      </c>
      <c r="C113" s="121" t="str">
        <f>IFERROR(INDEX('كشف الحساب'!$C$4:$C$204,MATCH(108,'كشف الحساب'!$P$4:$P$204,0)),"")</f>
        <v/>
      </c>
      <c r="D113" s="123" t="str">
        <f>IFERROR(INDEX('كشف الحساب'!$E$4:$E$204,MATCH(108,'كشف الحساب'!$P$4:$P$204,0)),"")</f>
        <v/>
      </c>
      <c r="E113" s="124" t="str">
        <f>IFERROR(INDEX('كشف الحساب'!$D$4:$D$204,MATCH(108,'كشف الحساب'!$P$4:$P$204,0)),"")</f>
        <v/>
      </c>
      <c r="F113" s="125" t="str">
        <f t="shared" si="3"/>
        <v/>
      </c>
    </row>
    <row r="114" spans="1:6" ht="18" customHeight="1" x14ac:dyDescent="0.25">
      <c r="A114" s="142" t="str">
        <f>IFERROR(INDEX('كشف الحساب'!$A$4:$A$204,MATCH(109,'كشف الحساب'!$P$4:$P$204,0)),"")</f>
        <v/>
      </c>
      <c r="B114" s="122" t="str">
        <f>IFERROR(INDEX('كشف الحساب'!$B$4:$B$204,MATCH(109,'كشف الحساب'!$P$4:$P$204,0)),"")</f>
        <v/>
      </c>
      <c r="C114" s="121" t="str">
        <f>IFERROR(INDEX('كشف الحساب'!$C$4:$C$204,MATCH(109,'كشف الحساب'!$P$4:$P$204,0)),"")</f>
        <v/>
      </c>
      <c r="D114" s="123" t="str">
        <f>IFERROR(INDEX('كشف الحساب'!$E$4:$E$204,MATCH(109,'كشف الحساب'!$P$4:$P$204,0)),"")</f>
        <v/>
      </c>
      <c r="E114" s="124" t="str">
        <f>IFERROR(INDEX('كشف الحساب'!$D$4:$D$204,MATCH(109,'كشف الحساب'!$P$4:$P$204,0)),"")</f>
        <v/>
      </c>
      <c r="F114" s="125" t="str">
        <f t="shared" si="3"/>
        <v/>
      </c>
    </row>
    <row r="115" spans="1:6" ht="18" customHeight="1" x14ac:dyDescent="0.25">
      <c r="A115" s="142" t="str">
        <f>IFERROR(INDEX('كشف الحساب'!$A$4:$A$204,MATCH(110,'كشف الحساب'!$P$4:$P$204,0)),"")</f>
        <v/>
      </c>
      <c r="B115" s="122" t="str">
        <f>IFERROR(INDEX('كشف الحساب'!$B$4:$B$204,MATCH(110,'كشف الحساب'!$P$4:$P$204,0)),"")</f>
        <v/>
      </c>
      <c r="C115" s="121" t="str">
        <f>IFERROR(INDEX('كشف الحساب'!$C$4:$C$204,MATCH(110,'كشف الحساب'!$P$4:$P$204,0)),"")</f>
        <v/>
      </c>
      <c r="D115" s="123" t="str">
        <f>IFERROR(INDEX('كشف الحساب'!$E$4:$E$204,MATCH(110,'كشف الحساب'!$P$4:$P$204,0)),"")</f>
        <v/>
      </c>
      <c r="E115" s="124" t="str">
        <f>IFERROR(INDEX('كشف الحساب'!$D$4:$D$204,MATCH(110,'كشف الحساب'!$P$4:$P$204,0)),"")</f>
        <v/>
      </c>
      <c r="F115" s="125" t="str">
        <f t="shared" si="3"/>
        <v/>
      </c>
    </row>
    <row r="116" spans="1:6" ht="18" customHeight="1" x14ac:dyDescent="0.25">
      <c r="A116" s="142" t="str">
        <f>IFERROR(INDEX('كشف الحساب'!$A$4:$A$204,MATCH(111,'كشف الحساب'!$P$4:$P$204,0)),"")</f>
        <v/>
      </c>
      <c r="B116" s="122" t="str">
        <f>IFERROR(INDEX('كشف الحساب'!$B$4:$B$204,MATCH(111,'كشف الحساب'!$P$4:$P$204,0)),"")</f>
        <v/>
      </c>
      <c r="C116" s="121" t="str">
        <f>IFERROR(INDEX('كشف الحساب'!$C$4:$C$204,MATCH(111,'كشف الحساب'!$P$4:$P$204,0)),"")</f>
        <v/>
      </c>
      <c r="D116" s="123" t="str">
        <f>IFERROR(INDEX('كشف الحساب'!$E$4:$E$204,MATCH(111,'كشف الحساب'!$P$4:$P$204,0)),"")</f>
        <v/>
      </c>
      <c r="E116" s="124" t="str">
        <f>IFERROR(INDEX('كشف الحساب'!$D$4:$D$204,MATCH(111,'كشف الحساب'!$P$4:$P$204,0)),"")</f>
        <v/>
      </c>
      <c r="F116" s="125" t="str">
        <f t="shared" si="3"/>
        <v/>
      </c>
    </row>
    <row r="117" spans="1:6" ht="18" customHeight="1" x14ac:dyDescent="0.25">
      <c r="A117" s="142" t="str">
        <f>IFERROR(INDEX('كشف الحساب'!$A$4:$A$204,MATCH(112,'كشف الحساب'!$P$4:$P$204,0)),"")</f>
        <v/>
      </c>
      <c r="B117" s="122" t="str">
        <f>IFERROR(INDEX('كشف الحساب'!$B$4:$B$204,MATCH(112,'كشف الحساب'!$P$4:$P$204,0)),"")</f>
        <v/>
      </c>
      <c r="C117" s="121" t="str">
        <f>IFERROR(INDEX('كشف الحساب'!$C$4:$C$204,MATCH(112,'كشف الحساب'!$P$4:$P$204,0)),"")</f>
        <v/>
      </c>
      <c r="D117" s="123" t="str">
        <f>IFERROR(INDEX('كشف الحساب'!$E$4:$E$204,MATCH(112,'كشف الحساب'!$P$4:$P$204,0)),"")</f>
        <v/>
      </c>
      <c r="E117" s="124" t="str">
        <f>IFERROR(INDEX('كشف الحساب'!$D$4:$D$204,MATCH(112,'كشف الحساب'!$P$4:$P$204,0)),"")</f>
        <v/>
      </c>
      <c r="F117" s="125" t="str">
        <f t="shared" si="3"/>
        <v/>
      </c>
    </row>
    <row r="118" spans="1:6" ht="18" customHeight="1" x14ac:dyDescent="0.25">
      <c r="A118" s="142" t="str">
        <f>IFERROR(INDEX('كشف الحساب'!$A$4:$A$204,MATCH(113,'كشف الحساب'!$P$4:$P$204,0)),"")</f>
        <v/>
      </c>
      <c r="B118" s="122" t="str">
        <f>IFERROR(INDEX('كشف الحساب'!$B$4:$B$204,MATCH(113,'كشف الحساب'!$P$4:$P$204,0)),"")</f>
        <v/>
      </c>
      <c r="C118" s="121" t="str">
        <f>IFERROR(INDEX('كشف الحساب'!$C$4:$C$204,MATCH(113,'كشف الحساب'!$P$4:$P$204,0)),"")</f>
        <v/>
      </c>
      <c r="D118" s="123" t="str">
        <f>IFERROR(INDEX('كشف الحساب'!$E$4:$E$204,MATCH(113,'كشف الحساب'!$P$4:$P$204,0)),"")</f>
        <v/>
      </c>
      <c r="E118" s="124" t="str">
        <f>IFERROR(INDEX('كشف الحساب'!$D$4:$D$204,MATCH(113,'كشف الحساب'!$P$4:$P$204,0)),"")</f>
        <v/>
      </c>
      <c r="F118" s="125" t="str">
        <f t="shared" si="3"/>
        <v/>
      </c>
    </row>
    <row r="119" spans="1:6" ht="18" customHeight="1" x14ac:dyDescent="0.25">
      <c r="A119" s="142" t="str">
        <f>IFERROR(INDEX('كشف الحساب'!$A$4:$A$204,MATCH(114,'كشف الحساب'!$P$4:$P$204,0)),"")</f>
        <v/>
      </c>
      <c r="B119" s="122" t="str">
        <f>IFERROR(INDEX('كشف الحساب'!$B$4:$B$204,MATCH(114,'كشف الحساب'!$P$4:$P$204,0)),"")</f>
        <v/>
      </c>
      <c r="C119" s="121" t="str">
        <f>IFERROR(INDEX('كشف الحساب'!$C$4:$C$204,MATCH(114,'كشف الحساب'!$P$4:$P$204,0)),"")</f>
        <v/>
      </c>
      <c r="D119" s="123" t="str">
        <f>IFERROR(INDEX('كشف الحساب'!$E$4:$E$204,MATCH(114,'كشف الحساب'!$P$4:$P$204,0)),"")</f>
        <v/>
      </c>
      <c r="E119" s="124" t="str">
        <f>IFERROR(INDEX('كشف الحساب'!$D$4:$D$204,MATCH(114,'كشف الحساب'!$P$4:$P$204,0)),"")</f>
        <v/>
      </c>
      <c r="F119" s="125" t="str">
        <f t="shared" si="3"/>
        <v/>
      </c>
    </row>
    <row r="120" spans="1:6" ht="18" customHeight="1" x14ac:dyDescent="0.25">
      <c r="A120" s="142" t="str">
        <f>IFERROR(INDEX('كشف الحساب'!$A$4:$A$204,MATCH(115,'كشف الحساب'!$P$4:$P$204,0)),"")</f>
        <v/>
      </c>
      <c r="B120" s="122" t="str">
        <f>IFERROR(INDEX('كشف الحساب'!$B$4:$B$204,MATCH(115,'كشف الحساب'!$P$4:$P$204,0)),"")</f>
        <v/>
      </c>
      <c r="C120" s="121" t="str">
        <f>IFERROR(INDEX('كشف الحساب'!$C$4:$C$204,MATCH(115,'كشف الحساب'!$P$4:$P$204,0)),"")</f>
        <v/>
      </c>
      <c r="D120" s="123" t="str">
        <f>IFERROR(INDEX('كشف الحساب'!$E$4:$E$204,MATCH(115,'كشف الحساب'!$P$4:$P$204,0)),"")</f>
        <v/>
      </c>
      <c r="E120" s="124" t="str">
        <f>IFERROR(INDEX('كشف الحساب'!$D$4:$D$204,MATCH(115,'كشف الحساب'!$P$4:$P$204,0)),"")</f>
        <v/>
      </c>
      <c r="F120" s="125" t="str">
        <f t="shared" si="3"/>
        <v/>
      </c>
    </row>
    <row r="121" spans="1:6" ht="18" customHeight="1" x14ac:dyDescent="0.25">
      <c r="A121" s="142" t="str">
        <f>IFERROR(INDEX('كشف الحساب'!$A$4:$A$204,MATCH(116,'كشف الحساب'!$P$4:$P$204,0)),"")</f>
        <v/>
      </c>
      <c r="B121" s="122" t="str">
        <f>IFERROR(INDEX('كشف الحساب'!$B$4:$B$204,MATCH(116,'كشف الحساب'!$P$4:$P$204,0)),"")</f>
        <v/>
      </c>
      <c r="C121" s="121" t="str">
        <f>IFERROR(INDEX('كشف الحساب'!$C$4:$C$204,MATCH(116,'كشف الحساب'!$P$4:$P$204,0)),"")</f>
        <v/>
      </c>
      <c r="D121" s="123" t="str">
        <f>IFERROR(INDEX('كشف الحساب'!$E$4:$E$204,MATCH(116,'كشف الحساب'!$P$4:$P$204,0)),"")</f>
        <v/>
      </c>
      <c r="E121" s="124" t="str">
        <f>IFERROR(INDEX('كشف الحساب'!$D$4:$D$204,MATCH(116,'كشف الحساب'!$P$4:$P$204,0)),"")</f>
        <v/>
      </c>
      <c r="F121" s="125" t="str">
        <f t="shared" si="3"/>
        <v/>
      </c>
    </row>
    <row r="122" spans="1:6" ht="18" customHeight="1" x14ac:dyDescent="0.25">
      <c r="A122" s="142" t="str">
        <f>IFERROR(INDEX('كشف الحساب'!$A$4:$A$204,MATCH(117,'كشف الحساب'!$P$4:$P$204,0)),"")</f>
        <v/>
      </c>
      <c r="B122" s="122" t="str">
        <f>IFERROR(INDEX('كشف الحساب'!$B$4:$B$204,MATCH(117,'كشف الحساب'!$P$4:$P$204,0)),"")</f>
        <v/>
      </c>
      <c r="C122" s="121" t="str">
        <f>IFERROR(INDEX('كشف الحساب'!$C$4:$C$204,MATCH(117,'كشف الحساب'!$P$4:$P$204,0)),"")</f>
        <v/>
      </c>
      <c r="D122" s="123" t="str">
        <f>IFERROR(INDEX('كشف الحساب'!$E$4:$E$204,MATCH(117,'كشف الحساب'!$P$4:$P$204,0)),"")</f>
        <v/>
      </c>
      <c r="E122" s="124" t="str">
        <f>IFERROR(INDEX('كشف الحساب'!$D$4:$D$204,MATCH(117,'كشف الحساب'!$P$4:$P$204,0)),"")</f>
        <v/>
      </c>
      <c r="F122" s="125" t="str">
        <f t="shared" si="3"/>
        <v/>
      </c>
    </row>
    <row r="123" spans="1:6" ht="18" customHeight="1" x14ac:dyDescent="0.25">
      <c r="A123" s="142" t="str">
        <f>IFERROR(INDEX('كشف الحساب'!$A$4:$A$204,MATCH(118,'كشف الحساب'!$P$4:$P$204,0)),"")</f>
        <v/>
      </c>
      <c r="B123" s="122" t="str">
        <f>IFERROR(INDEX('كشف الحساب'!$B$4:$B$204,MATCH(118,'كشف الحساب'!$P$4:$P$204,0)),"")</f>
        <v/>
      </c>
      <c r="C123" s="121" t="str">
        <f>IFERROR(INDEX('كشف الحساب'!$C$4:$C$204,MATCH(118,'كشف الحساب'!$P$4:$P$204,0)),"")</f>
        <v/>
      </c>
      <c r="D123" s="123" t="str">
        <f>IFERROR(INDEX('كشف الحساب'!$E$4:$E$204,MATCH(118,'كشف الحساب'!$P$4:$P$204,0)),"")</f>
        <v/>
      </c>
      <c r="E123" s="124" t="str">
        <f>IFERROR(INDEX('كشف الحساب'!$D$4:$D$204,MATCH(118,'كشف الحساب'!$P$4:$P$204,0)),"")</f>
        <v/>
      </c>
      <c r="F123" s="125" t="str">
        <f t="shared" si="3"/>
        <v/>
      </c>
    </row>
    <row r="124" spans="1:6" ht="18" customHeight="1" x14ac:dyDescent="0.25">
      <c r="A124" s="142" t="str">
        <f>IFERROR(INDEX('كشف الحساب'!$A$4:$A$204,MATCH(119,'كشف الحساب'!$P$4:$P$204,0)),"")</f>
        <v/>
      </c>
      <c r="B124" s="122" t="str">
        <f>IFERROR(INDEX('كشف الحساب'!$B$4:$B$204,MATCH(119,'كشف الحساب'!$P$4:$P$204,0)),"")</f>
        <v/>
      </c>
      <c r="C124" s="121" t="str">
        <f>IFERROR(INDEX('كشف الحساب'!$C$4:$C$204,MATCH(119,'كشف الحساب'!$P$4:$P$204,0)),"")</f>
        <v/>
      </c>
      <c r="D124" s="123" t="str">
        <f>IFERROR(INDEX('كشف الحساب'!$E$4:$E$204,MATCH(119,'كشف الحساب'!$P$4:$P$204,0)),"")</f>
        <v/>
      </c>
      <c r="E124" s="124" t="str">
        <f>IFERROR(INDEX('كشف الحساب'!$D$4:$D$204,MATCH(119,'كشف الحساب'!$P$4:$P$204,0)),"")</f>
        <v/>
      </c>
      <c r="F124" s="125" t="str">
        <f t="shared" si="3"/>
        <v/>
      </c>
    </row>
    <row r="125" spans="1:6" ht="18" customHeight="1" x14ac:dyDescent="0.25">
      <c r="A125" s="142" t="str">
        <f>IFERROR(INDEX('كشف الحساب'!$A$4:$A$204,MATCH(120,'كشف الحساب'!$P$4:$P$204,0)),"")</f>
        <v/>
      </c>
      <c r="B125" s="122" t="str">
        <f>IFERROR(INDEX('كشف الحساب'!$B$4:$B$204,MATCH(120,'كشف الحساب'!$P$4:$P$204,0)),"")</f>
        <v/>
      </c>
      <c r="C125" s="121" t="str">
        <f>IFERROR(INDEX('كشف الحساب'!$C$4:$C$204,MATCH(120,'كشف الحساب'!$P$4:$P$204,0)),"")</f>
        <v/>
      </c>
      <c r="D125" s="123" t="str">
        <f>IFERROR(INDEX('كشف الحساب'!$E$4:$E$204,MATCH(120,'كشف الحساب'!$P$4:$P$204,0)),"")</f>
        <v/>
      </c>
      <c r="E125" s="124" t="str">
        <f>IFERROR(INDEX('كشف الحساب'!$D$4:$D$204,MATCH(120,'كشف الحساب'!$P$4:$P$204,0)),"")</f>
        <v/>
      </c>
      <c r="F125" s="125" t="str">
        <f t="shared" si="3"/>
        <v/>
      </c>
    </row>
    <row r="126" spans="1:6" ht="18" customHeight="1" x14ac:dyDescent="0.25">
      <c r="A126" s="142" t="str">
        <f>IFERROR(INDEX('كشف الحساب'!$A$4:$A$204,MATCH(121,'كشف الحساب'!$P$4:$P$204,0)),"")</f>
        <v/>
      </c>
      <c r="B126" s="122" t="str">
        <f>IFERROR(INDEX('كشف الحساب'!$B$4:$B$204,MATCH(121,'كشف الحساب'!$P$4:$P$204,0)),"")</f>
        <v/>
      </c>
      <c r="C126" s="121" t="str">
        <f>IFERROR(INDEX('كشف الحساب'!$C$4:$C$204,MATCH(121,'كشف الحساب'!$P$4:$P$204,0)),"")</f>
        <v/>
      </c>
      <c r="D126" s="123" t="str">
        <f>IFERROR(INDEX('كشف الحساب'!$E$4:$E$204,MATCH(121,'كشف الحساب'!$P$4:$P$204,0)),"")</f>
        <v/>
      </c>
      <c r="E126" s="124" t="str">
        <f>IFERROR(INDEX('كشف الحساب'!$D$4:$D$204,MATCH(121,'كشف الحساب'!$P$4:$P$204,0)),"")</f>
        <v/>
      </c>
      <c r="F126" s="125" t="str">
        <f t="shared" si="3"/>
        <v/>
      </c>
    </row>
    <row r="127" spans="1:6" ht="18" customHeight="1" x14ac:dyDescent="0.25">
      <c r="A127" s="142" t="str">
        <f>IFERROR(INDEX('كشف الحساب'!$A$4:$A$204,MATCH(122,'كشف الحساب'!$P$4:$P$204,0)),"")</f>
        <v/>
      </c>
      <c r="B127" s="122" t="str">
        <f>IFERROR(INDEX('كشف الحساب'!$B$4:$B$204,MATCH(122,'كشف الحساب'!$P$4:$P$204,0)),"")</f>
        <v/>
      </c>
      <c r="C127" s="121" t="str">
        <f>IFERROR(INDEX('كشف الحساب'!$C$4:$C$204,MATCH(122,'كشف الحساب'!$P$4:$P$204,0)),"")</f>
        <v/>
      </c>
      <c r="D127" s="123" t="str">
        <f>IFERROR(INDEX('كشف الحساب'!$E$4:$E$204,MATCH(122,'كشف الحساب'!$P$4:$P$204,0)),"")</f>
        <v/>
      </c>
      <c r="E127" s="124" t="str">
        <f>IFERROR(INDEX('كشف الحساب'!$D$4:$D$204,MATCH(122,'كشف الحساب'!$P$4:$P$204,0)),"")</f>
        <v/>
      </c>
      <c r="F127" s="125" t="str">
        <f t="shared" si="3"/>
        <v/>
      </c>
    </row>
    <row r="128" spans="1:6" ht="18" customHeight="1" x14ac:dyDescent="0.25">
      <c r="A128" s="142" t="str">
        <f>IFERROR(INDEX('كشف الحساب'!$A$4:$A$204,MATCH(123,'كشف الحساب'!$P$4:$P$204,0)),"")</f>
        <v/>
      </c>
      <c r="B128" s="122" t="str">
        <f>IFERROR(INDEX('كشف الحساب'!$B$4:$B$204,MATCH(123,'كشف الحساب'!$P$4:$P$204,0)),"")</f>
        <v/>
      </c>
      <c r="C128" s="121" t="str">
        <f>IFERROR(INDEX('كشف الحساب'!$C$4:$C$204,MATCH(123,'كشف الحساب'!$P$4:$P$204,0)),"")</f>
        <v/>
      </c>
      <c r="D128" s="123" t="str">
        <f>IFERROR(INDEX('كشف الحساب'!$E$4:$E$204,MATCH(123,'كشف الحساب'!$P$4:$P$204,0)),"")</f>
        <v/>
      </c>
      <c r="E128" s="124" t="str">
        <f>IFERROR(INDEX('كشف الحساب'!$D$4:$D$204,MATCH(123,'كشف الحساب'!$P$4:$P$204,0)),"")</f>
        <v/>
      </c>
      <c r="F128" s="125" t="str">
        <f t="shared" si="3"/>
        <v/>
      </c>
    </row>
    <row r="129" spans="1:6" ht="18" customHeight="1" x14ac:dyDescent="0.25">
      <c r="A129" s="142" t="str">
        <f>IFERROR(INDEX('كشف الحساب'!$A$4:$A$204,MATCH(124,'كشف الحساب'!$P$4:$P$204,0)),"")</f>
        <v/>
      </c>
      <c r="B129" s="122" t="str">
        <f>IFERROR(INDEX('كشف الحساب'!$B$4:$B$204,MATCH(124,'كشف الحساب'!$P$4:$P$204,0)),"")</f>
        <v/>
      </c>
      <c r="C129" s="121" t="str">
        <f>IFERROR(INDEX('كشف الحساب'!$C$4:$C$204,MATCH(124,'كشف الحساب'!$P$4:$P$204,0)),"")</f>
        <v/>
      </c>
      <c r="D129" s="123" t="str">
        <f>IFERROR(INDEX('كشف الحساب'!$E$4:$E$204,MATCH(124,'كشف الحساب'!$P$4:$P$204,0)),"")</f>
        <v/>
      </c>
      <c r="E129" s="124" t="str">
        <f>IFERROR(INDEX('كشف الحساب'!$D$4:$D$204,MATCH(124,'كشف الحساب'!$P$4:$P$204,0)),"")</f>
        <v/>
      </c>
      <c r="F129" s="125" t="str">
        <f t="shared" si="3"/>
        <v/>
      </c>
    </row>
    <row r="130" spans="1:6" ht="18" customHeight="1" x14ac:dyDescent="0.25">
      <c r="A130" s="142" t="str">
        <f>IFERROR(INDEX('كشف الحساب'!$A$4:$A$204,MATCH(125,'كشف الحساب'!$P$4:$P$204,0)),"")</f>
        <v/>
      </c>
      <c r="B130" s="122" t="str">
        <f>IFERROR(INDEX('كشف الحساب'!$B$4:$B$204,MATCH(125,'كشف الحساب'!$P$4:$P$204,0)),"")</f>
        <v/>
      </c>
      <c r="C130" s="121" t="str">
        <f>IFERROR(INDEX('كشف الحساب'!$C$4:$C$204,MATCH(125,'كشف الحساب'!$P$4:$P$204,0)),"")</f>
        <v/>
      </c>
      <c r="D130" s="123" t="str">
        <f>IFERROR(INDEX('كشف الحساب'!$E$4:$E$204,MATCH(125,'كشف الحساب'!$P$4:$P$204,0)),"")</f>
        <v/>
      </c>
      <c r="E130" s="124" t="str">
        <f>IFERROR(INDEX('كشف الحساب'!$D$4:$D$204,MATCH(125,'كشف الحساب'!$P$4:$P$204,0)),"")</f>
        <v/>
      </c>
      <c r="F130" s="125" t="str">
        <f t="shared" si="3"/>
        <v/>
      </c>
    </row>
    <row r="131" spans="1:6" ht="18" customHeight="1" x14ac:dyDescent="0.25">
      <c r="A131" s="142" t="str">
        <f>IFERROR(INDEX('كشف الحساب'!$A$4:$A$204,MATCH(126,'كشف الحساب'!$P$4:$P$204,0)),"")</f>
        <v/>
      </c>
      <c r="B131" s="122" t="str">
        <f>IFERROR(INDEX('كشف الحساب'!$B$4:$B$204,MATCH(126,'كشف الحساب'!$P$4:$P$204,0)),"")</f>
        <v/>
      </c>
      <c r="C131" s="121" t="str">
        <f>IFERROR(INDEX('كشف الحساب'!$C$4:$C$204,MATCH(126,'كشف الحساب'!$P$4:$P$204,0)),"")</f>
        <v/>
      </c>
      <c r="D131" s="123" t="str">
        <f>IFERROR(INDEX('كشف الحساب'!$E$4:$E$204,MATCH(126,'كشف الحساب'!$P$4:$P$204,0)),"")</f>
        <v/>
      </c>
      <c r="E131" s="124" t="str">
        <f>IFERROR(INDEX('كشف الحساب'!$D$4:$D$204,MATCH(126,'كشف الحساب'!$P$4:$P$204,0)),"")</f>
        <v/>
      </c>
      <c r="F131" s="125" t="str">
        <f t="shared" si="3"/>
        <v/>
      </c>
    </row>
    <row r="132" spans="1:6" ht="18" customHeight="1" x14ac:dyDescent="0.25">
      <c r="A132" s="142" t="str">
        <f>IFERROR(INDEX('كشف الحساب'!$A$4:$A$204,MATCH(127,'كشف الحساب'!$P$4:$P$204,0)),"")</f>
        <v/>
      </c>
      <c r="B132" s="122" t="str">
        <f>IFERROR(INDEX('كشف الحساب'!$B$4:$B$204,MATCH(127,'كشف الحساب'!$P$4:$P$204,0)),"")</f>
        <v/>
      </c>
      <c r="C132" s="121" t="str">
        <f>IFERROR(INDEX('كشف الحساب'!$C$4:$C$204,MATCH(127,'كشف الحساب'!$P$4:$P$204,0)),"")</f>
        <v/>
      </c>
      <c r="D132" s="123" t="str">
        <f>IFERROR(INDEX('كشف الحساب'!$E$4:$E$204,MATCH(127,'كشف الحساب'!$P$4:$P$204,0)),"")</f>
        <v/>
      </c>
      <c r="E132" s="124" t="str">
        <f>IFERROR(INDEX('كشف الحساب'!$D$4:$D$204,MATCH(127,'كشف الحساب'!$P$4:$P$204,0)),"")</f>
        <v/>
      </c>
      <c r="F132" s="125" t="str">
        <f t="shared" si="3"/>
        <v/>
      </c>
    </row>
    <row r="133" spans="1:6" ht="18" customHeight="1" x14ac:dyDescent="0.25">
      <c r="A133" s="142" t="str">
        <f>IFERROR(INDEX('كشف الحساب'!$A$4:$A$204,MATCH(128,'كشف الحساب'!$P$4:$P$204,0)),"")</f>
        <v/>
      </c>
      <c r="B133" s="122" t="str">
        <f>IFERROR(INDEX('كشف الحساب'!$B$4:$B$204,MATCH(128,'كشف الحساب'!$P$4:$P$204,0)),"")</f>
        <v/>
      </c>
      <c r="C133" s="121" t="str">
        <f>IFERROR(INDEX('كشف الحساب'!$C$4:$C$204,MATCH(128,'كشف الحساب'!$P$4:$P$204,0)),"")</f>
        <v/>
      </c>
      <c r="D133" s="123" t="str">
        <f>IFERROR(INDEX('كشف الحساب'!$E$4:$E$204,MATCH(128,'كشف الحساب'!$P$4:$P$204,0)),"")</f>
        <v/>
      </c>
      <c r="E133" s="124" t="str">
        <f>IFERROR(INDEX('كشف الحساب'!$D$4:$D$204,MATCH(128,'كشف الحساب'!$P$4:$P$204,0)),"")</f>
        <v/>
      </c>
      <c r="F133" s="125" t="str">
        <f t="shared" si="3"/>
        <v/>
      </c>
    </row>
    <row r="134" spans="1:6" ht="18" customHeight="1" x14ac:dyDescent="0.25">
      <c r="A134" s="142" t="str">
        <f>IFERROR(INDEX('كشف الحساب'!$A$4:$A$204,MATCH(129,'كشف الحساب'!$P$4:$P$204,0)),"")</f>
        <v/>
      </c>
      <c r="B134" s="122" t="str">
        <f>IFERROR(INDEX('كشف الحساب'!$B$4:$B$204,MATCH(129,'كشف الحساب'!$P$4:$P$204,0)),"")</f>
        <v/>
      </c>
      <c r="C134" s="121" t="str">
        <f>IFERROR(INDEX('كشف الحساب'!$C$4:$C$204,MATCH(129,'كشف الحساب'!$P$4:$P$204,0)),"")</f>
        <v/>
      </c>
      <c r="D134" s="123" t="str">
        <f>IFERROR(INDEX('كشف الحساب'!$E$4:$E$204,MATCH(129,'كشف الحساب'!$P$4:$P$204,0)),"")</f>
        <v/>
      </c>
      <c r="E134" s="124" t="str">
        <f>IFERROR(INDEX('كشف الحساب'!$D$4:$D$204,MATCH(129,'كشف الحساب'!$P$4:$P$204,0)),"")</f>
        <v/>
      </c>
      <c r="F134" s="125" t="str">
        <f t="shared" si="3"/>
        <v/>
      </c>
    </row>
    <row r="135" spans="1:6" ht="18" customHeight="1" x14ac:dyDescent="0.25">
      <c r="A135" s="142" t="str">
        <f>IFERROR(INDEX('كشف الحساب'!$A$4:$A$204,MATCH(130,'كشف الحساب'!$P$4:$P$204,0)),"")</f>
        <v/>
      </c>
      <c r="B135" s="122" t="str">
        <f>IFERROR(INDEX('كشف الحساب'!$B$4:$B$204,MATCH(130,'كشف الحساب'!$P$4:$P$204,0)),"")</f>
        <v/>
      </c>
      <c r="C135" s="121" t="str">
        <f>IFERROR(INDEX('كشف الحساب'!$C$4:$C$204,MATCH(130,'كشف الحساب'!$P$4:$P$204,0)),"")</f>
        <v/>
      </c>
      <c r="D135" s="123" t="str">
        <f>IFERROR(INDEX('كشف الحساب'!$E$4:$E$204,MATCH(130,'كشف الحساب'!$P$4:$P$204,0)),"")</f>
        <v/>
      </c>
      <c r="E135" s="124" t="str">
        <f>IFERROR(INDEX('كشف الحساب'!$D$4:$D$204,MATCH(130,'كشف الحساب'!$P$4:$P$204,0)),"")</f>
        <v/>
      </c>
      <c r="F135" s="125" t="str">
        <f t="shared" ref="F135:F166" si="4">IF($A135="","",IF($F134="",0,$F134)+IF($D135="",0,$D135)-IF($E135="",0,$E135))</f>
        <v/>
      </c>
    </row>
    <row r="136" spans="1:6" ht="18" customHeight="1" x14ac:dyDescent="0.25">
      <c r="A136" s="142" t="str">
        <f>IFERROR(INDEX('كشف الحساب'!$A$4:$A$204,MATCH(131,'كشف الحساب'!$P$4:$P$204,0)),"")</f>
        <v/>
      </c>
      <c r="B136" s="122" t="str">
        <f>IFERROR(INDEX('كشف الحساب'!$B$4:$B$204,MATCH(131,'كشف الحساب'!$P$4:$P$204,0)),"")</f>
        <v/>
      </c>
      <c r="C136" s="121" t="str">
        <f>IFERROR(INDEX('كشف الحساب'!$C$4:$C$204,MATCH(131,'كشف الحساب'!$P$4:$P$204,0)),"")</f>
        <v/>
      </c>
      <c r="D136" s="123" t="str">
        <f>IFERROR(INDEX('كشف الحساب'!$E$4:$E$204,MATCH(131,'كشف الحساب'!$P$4:$P$204,0)),"")</f>
        <v/>
      </c>
      <c r="E136" s="124" t="str">
        <f>IFERROR(INDEX('كشف الحساب'!$D$4:$D$204,MATCH(131,'كشف الحساب'!$P$4:$P$204,0)),"")</f>
        <v/>
      </c>
      <c r="F136" s="125" t="str">
        <f t="shared" si="4"/>
        <v/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708.1</v>
      </c>
      <c r="E206" s="129">
        <f>SUM(E6:E205)</f>
        <v>583.97499999999991</v>
      </c>
      <c r="F206" s="130">
        <f>IFERROR(LOOKUP(2,1/($F$6:$F$205&lt;&gt;""),$F$6:$F$205),0)</f>
        <v>124.125</v>
      </c>
    </row>
    <row r="208" spans="1:6" ht="18" customHeight="1" x14ac:dyDescent="0.25">
      <c r="A208" s="147" t="s">
        <v>10</v>
      </c>
      <c r="B208" s="148"/>
      <c r="C208" s="148"/>
      <c r="D208" s="148"/>
      <c r="E208" s="148"/>
      <c r="F208" s="149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 t="str">
        <f>IFERROR(INDEX('كشف الحساب'!$A$4:$A$204,MATCH(12,'كشف الحساب'!$Q$4:$Q$204,0)),"")</f>
        <v/>
      </c>
      <c r="B221" s="133" t="str">
        <f>IFERROR(INDEX('كشف الحساب'!$B$4:$B$204,MATCH(12,'كشف الحساب'!$Q$4:$Q$204,0)),"")</f>
        <v/>
      </c>
      <c r="C221" s="132" t="str">
        <f>IFERROR(INDEX('كشف الحساب'!$C$4:$C$204,MATCH(12,'كشف الحساب'!$Q$4:$Q$204,0)),"")</f>
        <v/>
      </c>
      <c r="D221" s="134" t="str">
        <f>IFERROR(INDEX('كشف الحساب'!$D$4:$D$204,MATCH(12,'كشف الحساب'!$Q$4:$Q$204,0)),"")</f>
        <v/>
      </c>
      <c r="E221" s="135" t="str">
        <f>IFERROR(INDEX('كشف الحساب'!$G$4:$G$204,MATCH(12,'كشف الحساب'!$Q$4:$Q$204,0)),"")</f>
        <v/>
      </c>
      <c r="F221" s="132"/>
    </row>
    <row r="222" spans="1:6" ht="18" customHeight="1" x14ac:dyDescent="0.25">
      <c r="A222" s="143" t="str">
        <f>IFERROR(INDEX('كشف الحساب'!$A$4:$A$204,MATCH(13,'كشف الحساب'!$Q$4:$Q$204,0)),"")</f>
        <v/>
      </c>
      <c r="B222" s="133" t="str">
        <f>IFERROR(INDEX('كشف الحساب'!$B$4:$B$204,MATCH(13,'كشف الحساب'!$Q$4:$Q$204,0)),"")</f>
        <v/>
      </c>
      <c r="C222" s="132" t="str">
        <f>IFERROR(INDEX('كشف الحساب'!$C$4:$C$204,MATCH(13,'كشف الحساب'!$Q$4:$Q$204,0)),"")</f>
        <v/>
      </c>
      <c r="D222" s="134" t="str">
        <f>IFERROR(INDEX('كشف الحساب'!$D$4:$D$204,MATCH(13,'كشف الحساب'!$Q$4:$Q$204,0)),"")</f>
        <v/>
      </c>
      <c r="E222" s="135" t="str">
        <f>IFERROR(INDEX('كشف الحساب'!$G$4:$G$204,MATCH(13,'كشف الحساب'!$Q$4:$Q$204,0)),"")</f>
        <v/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1022.5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562.5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460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16" activePane="bottomLeft" state="frozen"/>
      <selection pane="bottomLeft" activeCell="I127" sqref="I127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7" ht="24" customHeight="1" x14ac:dyDescent="0.25">
      <c r="A2" s="157" t="s">
        <v>17</v>
      </c>
      <c r="B2" s="155"/>
      <c r="C2" s="155"/>
      <c r="D2" s="1">
        <v>0</v>
      </c>
      <c r="E2" s="158" t="s">
        <v>18</v>
      </c>
      <c r="F2" s="159"/>
      <c r="G2" s="159"/>
      <c r="H2" s="159"/>
      <c r="I2" s="159"/>
      <c r="J2" s="159"/>
      <c r="K2" s="159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1</v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2</v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3</v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4</v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</v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</v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7</v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8</v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9</v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10</v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11</v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12</v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13</v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14</v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15</v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>16</v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>17</v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>18</v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>19</v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>20</v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>21</v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>22</v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>23</v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>24</v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>25</v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>26</v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>27</v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>28</v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>29</v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>30</v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>31</v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>32</v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>33</v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>34</v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>35</v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>36</v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>37</v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>38</v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>39</v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>40</v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>41</v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>42</v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>43</v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279</v>
      </c>
      <c r="C105" s="27" t="s">
        <v>293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280</v>
      </c>
      <c r="C106" s="37" t="s">
        <v>281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282</v>
      </c>
      <c r="C107" s="27" t="s">
        <v>283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285</v>
      </c>
      <c r="C108" s="37" t="s">
        <v>284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287</v>
      </c>
      <c r="C109" s="27" t="s">
        <v>286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288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289</v>
      </c>
      <c r="C111" s="27" t="s">
        <v>290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291</v>
      </c>
      <c r="C112" s="37" t="s">
        <v>292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294</v>
      </c>
      <c r="C113" s="27" t="s">
        <v>296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295</v>
      </c>
      <c r="C114" s="37" t="s">
        <v>297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298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299</v>
      </c>
      <c r="C116" s="37" t="s">
        <v>300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301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302</v>
      </c>
      <c r="C117" s="27" t="s">
        <v>303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301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305</v>
      </c>
      <c r="C118" s="37" t="s">
        <v>304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306</v>
      </c>
      <c r="C119" s="27" t="s">
        <v>307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308</v>
      </c>
      <c r="C120" s="37" t="s">
        <v>309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310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311</v>
      </c>
      <c r="C122" s="37" t="s">
        <v>312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313</v>
      </c>
      <c r="C123" s="27" t="s">
        <v>314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315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316</v>
      </c>
      <c r="C126" s="37" t="s">
        <v>317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/>
      <c r="B127" s="26"/>
      <c r="C127" s="27"/>
      <c r="D127" s="28"/>
      <c r="E127" s="29"/>
      <c r="F127" s="30"/>
      <c r="G127" s="31"/>
      <c r="H127" s="32"/>
      <c r="I127" s="33"/>
      <c r="J127" s="34" t="str">
        <f>IF(AND(D127="",E127="",A127="",B127="",C127=""),"", IFERROR(IF(J126="",D2,J126),D2)+IF(E127="",0,E127)-IF(OR(G127="أبو اسحاق",G127="أبو آدم",G127="أبو اسحاق ",G127="أبو آدم "),0,IF(D127="",0,D127)))</f>
        <v/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 t="str">
        <f>IF(OR($A127="",$F127="أحد الشركاء",AND($D127="",$E127="")),"",SUMPRODUCT(($A$4:$A127&lt;&gt;"")*($F$4:$F127&lt;&gt;"أحد الشركاء")*((($D$4:$D127&lt;&gt;"")+($E$4:$E127&lt;&gt;""))&gt;0)))</f>
        <v/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/>
      <c r="B128" s="36"/>
      <c r="C128" s="37"/>
      <c r="D128" s="38"/>
      <c r="E128" s="39"/>
      <c r="F128" s="136"/>
      <c r="G128" s="40"/>
      <c r="H128" s="41"/>
      <c r="I128" s="42"/>
      <c r="J128" s="43" t="str">
        <f>IF(AND(D128="",E128="",A128="",B128="",C128=""),"", IFERROR(IF(J127="",D2,J127),D2)+IF(E128="",0,E128)-IF(OR(G128="أبو اسحاق",G128="أبو آدم",G128="أبو اسحاق ",G128="أبو آدم "),0,IF(D128="",0,D128)))</f>
        <v/>
      </c>
      <c r="K128" s="44"/>
      <c r="L128" t="str">
        <f>IF(E127&gt;0,COUNTIF($E$4:E127,"&gt;0"),"")</f>
        <v/>
      </c>
      <c r="M128" t="str">
        <f>IF(AND(D127&gt;0,G127="المحفظة"),COUNTIFS($D$4:D127,"&gt;"&amp;0,$G$4:G127,"المحفظة"),"")</f>
        <v/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 t="str">
        <f>IF(OR($A128="",$F128="أحد الشركاء",AND($D128="",$E128="")),"",SUMPRODUCT(($A$4:$A128&lt;&gt;"")*($F$4:$F128&lt;&gt;"أحد الشركاء")*((($D$4:$D128&lt;&gt;"")+($E$4:$E128&lt;&gt;""))&gt;0)))</f>
        <v/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25"/>
      <c r="B129" s="26"/>
      <c r="C129" s="27"/>
      <c r="D129" s="28"/>
      <c r="E129" s="29"/>
      <c r="F129" s="30"/>
      <c r="G129" s="31"/>
      <c r="H129" s="32"/>
      <c r="I129" s="33"/>
      <c r="J129" s="34" t="str">
        <f>IF(AND(D129="",E129="",A129="",B129="",C129=""),"", IFERROR(IF(J128="",D2,J128),D2)+IF(E129="",0,E129)-IF(OR(G129="أبو اسحاق",G129="أبو آدم",G129="أبو اسحاق ",G129="أبو آدم "),0,IF(D129="",0,D129)))</f>
        <v/>
      </c>
      <c r="K129" s="35"/>
      <c r="L129" t="str">
        <f>IF(E128&gt;0,COUNTIF($E$4:E128,"&gt;0"),"")</f>
        <v/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 t="str">
        <f>IF(OR($A129="",$F129="أحد الشركاء",AND($D129="",$E129="")),"",SUMPRODUCT(($A$4:$A129&lt;&gt;"")*($F$4:$F129&lt;&gt;"أحد الشركاء")*((($D$4:$D129&lt;&gt;"")+($E$4:$E129&lt;&gt;""))&gt;0)))</f>
        <v/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/>
      <c r="B130" s="36"/>
      <c r="C130" s="37"/>
      <c r="D130" s="38"/>
      <c r="E130" s="39"/>
      <c r="F130" s="136"/>
      <c r="G130" s="40"/>
      <c r="H130" s="41"/>
      <c r="I130" s="42"/>
      <c r="J130" s="43" t="str">
        <f>IF(AND(D130="",E130="",A130="",B130="",C130=""),"", IFERROR(IF(J129="",D2,J129),D2)+IF(E130="",0,E130)-IF(OR(G130="أبو اسحاق",G130="أبو آدم",G130="أبو اسحاق ",G130="أبو آدم "),0,IF(D130="",0,D130)))</f>
        <v/>
      </c>
      <c r="K130" s="44"/>
      <c r="L130" t="str">
        <f>IF(E129&gt;0,COUNTIF($E$4:E129,"&gt;0"),"")</f>
        <v/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 t="str">
        <f>IF(OR($A130="",$F130="أحد الشركاء",AND($D130="",$E130="")),"",SUMPRODUCT(($A$4:$A130&lt;&gt;"")*($F$4:$F130&lt;&gt;"أحد الشركاء")*((($D$4:$D130&lt;&gt;"")+($E$4:$E130&lt;&gt;""))&gt;0)))</f>
        <v/>
      </c>
      <c r="Q130" t="str">
        <f>IF(OR($A130="",$F130&lt;&gt;"أحد الشركاء"),"",COUNTIFS($A$4:A130,"&lt;&gt;",$F$4:F130,"أحد الشركاء"))</f>
        <v/>
      </c>
    </row>
    <row r="131" spans="1:17" ht="18.75" customHeight="1" x14ac:dyDescent="0.25">
      <c r="A131" s="25"/>
      <c r="B131" s="26"/>
      <c r="C131" s="27"/>
      <c r="D131" s="28"/>
      <c r="E131" s="29"/>
      <c r="F131" s="30"/>
      <c r="G131" s="31"/>
      <c r="H131" s="32"/>
      <c r="I131" s="33"/>
      <c r="J131" s="34" t="str">
        <f>IF(AND(D131="",E131="",A131="",B131="",C131=""),"", IFERROR(IF(J130="",D2,J130),D2)+IF(E131="",0,E131)-IF(OR(G131="أبو اسحاق",G131="أبو آدم",G131="أبو اسحاق ",G131="أبو آدم "),0,IF(D131="",0,D131)))</f>
        <v/>
      </c>
      <c r="K131" s="35"/>
      <c r="L131" t="str">
        <f>IF(E130&gt;0,COUNTIF($E$4:E130,"&gt;0"),"")</f>
        <v/>
      </c>
      <c r="M131" t="str">
        <f>IF(AND(D130&gt;0,G130="المحفظة"),COUNTIFS($D$4:D130,"&gt;"&amp;0,$G$4:G130,"المحفظة"),"")</f>
        <v/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 t="str">
        <f>IF(OR($A131="",$F131&lt;&gt;"أحد الشركاء"),"",COUNTIFS($A$4:A131,"&lt;&gt;",$F$4:F131,"أحد الشركاء"))</f>
        <v/>
      </c>
    </row>
    <row r="132" spans="1:17" ht="18.75" customHeight="1" x14ac:dyDescent="0.25">
      <c r="A132" s="139"/>
      <c r="B132" s="36"/>
      <c r="C132" s="37"/>
      <c r="D132" s="38"/>
      <c r="E132" s="39"/>
      <c r="F132" s="136"/>
      <c r="G132" s="40"/>
      <c r="H132" s="41"/>
      <c r="I132" s="42"/>
      <c r="J132" s="43" t="str">
        <f>IF(AND(D132="",E132="",A132="",B132="",C132=""),"", IFERROR(IF(J131="",D2,J131),D2)+IF(E132="",0,E132)-IF(OR(G132="أبو اسحاق",G132="أبو آدم",G132="أبو اسحاق ",G132="أبو آدم "),0,IF(D132="",0,D132)))</f>
        <v/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 t="str">
        <f>IF(AND(D131&gt;0,F131="أحد الشركاء"),COUNTIFS($D$4:D131,"&gt;"&amp;0,$F$4:F131,"أحد الشركاء"),"")</f>
        <v/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 t="str">
        <f>IF(OR($A132="",$F132&lt;&gt;"أحد الشركاء"),"",COUNTIFS($A$4:A132,"&lt;&gt;",$F$4:F132,"أحد الشركاء"))</f>
        <v/>
      </c>
    </row>
    <row r="133" spans="1:17" ht="18.75" customHeight="1" x14ac:dyDescent="0.25">
      <c r="A133" s="25"/>
      <c r="B133" s="26"/>
      <c r="C133" s="27"/>
      <c r="D133" s="28"/>
      <c r="E133" s="29"/>
      <c r="F133" s="30"/>
      <c r="G133" s="31"/>
      <c r="H133" s="32"/>
      <c r="I133" s="33"/>
      <c r="J133" s="34" t="str">
        <f>IF(AND(D133="",E133="",A133="",B133="",C133=""),"", IFERROR(IF(J132="",D2,J132),D2)+IF(E133="",0,E133)-IF(OR(G133="أبو اسحاق",G133="أبو آدم",G133="أبو اسحاق ",G133="أبو آدم "),0,IF(D133="",0,D133)))</f>
        <v/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 t="str">
        <f>IF(AND(D132&gt;0,F132="أحد الشركاء"),COUNTIFS($D$4:D132,"&gt;"&amp;0,$F$4:F132,"أحد الشركاء"),"")</f>
        <v/>
      </c>
      <c r="P133" t="str">
        <f>IF(OR($A133="",$F133="أحد الشركاء",AND($D133="",$E133="")),"",SUMPRODUCT(($A$4:$A133&lt;&gt;"")*($F$4:$F133&lt;&gt;"أحد الشركاء")*((($D$4:$D133&lt;&gt;"")+($E$4:$E133&lt;&gt;""))&gt;0)))</f>
        <v/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/>
      <c r="B134" s="36"/>
      <c r="C134" s="37"/>
      <c r="D134" s="38"/>
      <c r="E134" s="39"/>
      <c r="F134" s="136"/>
      <c r="G134" s="40"/>
      <c r="H134" s="41"/>
      <c r="I134" s="42"/>
      <c r="J134" s="43" t="str">
        <f>IF(AND(D134="",E134="",A134="",B134="",C134=""),"", IFERROR(IF(J133="",D2,J133),D2)+IF(E134="",0,E134)-IF(OR(G134="أبو اسحاق",G134="أبو آدم",G134="أبو اسحاق ",G134="أبو آدم "),0,IF(D134="",0,D134)))</f>
        <v/>
      </c>
      <c r="K134" s="44"/>
      <c r="L134" t="str">
        <f>IF(E133&gt;0,COUNTIF($E$4:E133,"&gt;0"),"")</f>
        <v/>
      </c>
      <c r="M134" t="str">
        <f>IF(AND(D133&gt;0,G133="المحفظة"),COUNTIFS($D$4:D133,"&gt;"&amp;0,$G$4:G133,"المحفظة"),"")</f>
        <v/>
      </c>
      <c r="N134" t="str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4" t="str">
        <f>IF(AND(D133&gt;0,F133="أحد الشركاء"),COUNTIFS($D$4:D133,"&gt;"&amp;0,$F$4:F133,"أحد الشركاء"),"")</f>
        <v/>
      </c>
      <c r="P134" t="str">
        <f>IF(OR($A134="",$F134="أحد الشركاء",AND($D134="",$E134="")),"",SUMPRODUCT(($A$4:$A134&lt;&gt;"")*($F$4:$F134&lt;&gt;"أحد الشركاء")*((($D$4:$D134&lt;&gt;"")+($E$4:$E134&lt;&gt;""))&gt;0)))</f>
        <v/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/>
      <c r="B135" s="26"/>
      <c r="C135" s="27"/>
      <c r="D135" s="28"/>
      <c r="E135" s="29"/>
      <c r="F135" s="30"/>
      <c r="G135" s="31"/>
      <c r="H135" s="32"/>
      <c r="I135" s="33"/>
      <c r="J135" s="34" t="str">
        <f>IF(AND(D135="",E135="",A135="",B135="",C135=""),"", IFERROR(IF(J134="",D2,J134),D2)+IF(E135="",0,E135)-IF(OR(G135="أبو اسحاق",G135="أبو آدم",G135="أبو اسحاق ",G135="أبو آدم "),0,IF(D135="",0,D135)))</f>
        <v/>
      </c>
      <c r="K135" s="35"/>
      <c r="L135" t="str">
        <f>IF(E134&gt;0,COUNTIF($E$4:E134,"&gt;0"),"")</f>
        <v/>
      </c>
      <c r="M135" t="str">
        <f>IF(AND(D134&gt;0,G134="المحفظة"),COUNTIFS($D$4:D134,"&gt;"&amp;0,$G$4:G134,"المحفظة"),"")</f>
        <v/>
      </c>
      <c r="N135" t="str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5" t="str">
        <f>IF(AND(D134&gt;0,F134="أحد الشركاء"),COUNTIFS($D$4:D134,"&gt;"&amp;0,$F$4:F134,"أحد الشركاء"),"")</f>
        <v/>
      </c>
      <c r="P135" t="str">
        <f>IF(OR($A135="",$F135="أحد الشركاء",AND($D135="",$E135="")),"",SUMPRODUCT(($A$4:$A135&lt;&gt;"")*($F$4:$F135&lt;&gt;"أحد الشركاء")*((($D$4:$D135&lt;&gt;"")+($E$4:$E135&lt;&gt;""))&gt;0)))</f>
        <v/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/>
      <c r="B136" s="36"/>
      <c r="C136" s="37"/>
      <c r="D136" s="38"/>
      <c r="E136" s="39"/>
      <c r="F136" s="136"/>
      <c r="G136" s="40"/>
      <c r="H136" s="41"/>
      <c r="I136" s="42"/>
      <c r="J136" s="43" t="str">
        <f>IF(AND(D136="",E136="",A136="",B136="",C136=""),"", IFERROR(IF(J135="",D2,J135),D2)+IF(E136="",0,E136)-IF(OR(G136="أبو اسحاق",G136="أبو آدم",G136="أبو اسحاق ",G136="أبو آدم "),0,IF(D136="",0,D136)))</f>
        <v/>
      </c>
      <c r="K136" s="44"/>
      <c r="L136" t="str">
        <f>IF(E135&gt;0,COUNTIF($E$4:E135,"&gt;0"),"")</f>
        <v/>
      </c>
      <c r="M136" t="str">
        <f>IF(AND(D135&gt;0,G135="المحفظة"),COUNTIFS($D$4:D135,"&gt;"&amp;0,$G$4:G135,"المحفظة"),"")</f>
        <v/>
      </c>
      <c r="N136" t="str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6" t="str">
        <f>IF(AND(D135&gt;0,F135="أحد الشركاء"),COUNTIFS($D$4:D135,"&gt;"&amp;0,$F$4:F135,"أحد الشركاء"),"")</f>
        <v/>
      </c>
      <c r="P136" t="str">
        <f>IF(OR($A136="",$F136="أحد الشركاء",AND($D136="",$E136="")),"",SUMPRODUCT(($A$4:$A136&lt;&gt;"")*($F$4:$F136&lt;&gt;"أحد الشركاء")*((($D$4:$D136&lt;&gt;"")+($E$4:$E136&lt;&gt;""))&gt;0)))</f>
        <v/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/>
      <c r="B137" s="26"/>
      <c r="C137" s="27"/>
      <c r="D137" s="28"/>
      <c r="E137" s="29"/>
      <c r="F137" s="30"/>
      <c r="G137" s="31"/>
      <c r="H137" s="32"/>
      <c r="I137" s="33"/>
      <c r="J137" s="34" t="str">
        <f>IF(AND(D137="",E137="",A137="",B137="",C137=""),"", IFERROR(IF(J136="",D2,J136),D2)+IF(E137="",0,E137)-IF(OR(G137="أبو اسحاق",G137="أبو آدم",G137="أبو اسحاق ",G137="أبو آدم "),0,IF(D137="",0,D137)))</f>
        <v/>
      </c>
      <c r="K137" s="35"/>
      <c r="L137" t="str">
        <f>IF(E136&gt;0,COUNTIF($E$4:E136,"&gt;0"),"")</f>
        <v/>
      </c>
      <c r="M137" t="str">
        <f>IF(AND(D136&gt;0,G136="المحفظة"),COUNTIFS($D$4:D136,"&gt;"&amp;0,$G$4:G136,"المحفظة"),"")</f>
        <v/>
      </c>
      <c r="N137" t="str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7" t="str">
        <f>IF(AND(D136&gt;0,F136="أحد الشركاء"),COUNTIFS($D$4:D136,"&gt;"&amp;0,$F$4:F136,"أحد الشركاء"),"")</f>
        <v/>
      </c>
      <c r="P137" t="str">
        <f>IF(OR($A137="",$F137="أحد الشركاء",AND($D137="",$E137="")),"",SUMPRODUCT(($A$4:$A137&lt;&gt;"")*($F$4:$F137&lt;&gt;"أحد الشركاء")*((($D$4:$D137&lt;&gt;"")+($E$4:$E137&lt;&gt;""))&gt;0)))</f>
        <v/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/>
      <c r="B138" s="36"/>
      <c r="C138" s="37"/>
      <c r="D138" s="38"/>
      <c r="E138" s="39"/>
      <c r="F138" s="136"/>
      <c r="G138" s="40"/>
      <c r="H138" s="41"/>
      <c r="I138" s="42"/>
      <c r="J138" s="43" t="str">
        <f>IF(AND(D138="",E138="",A138="",B138="",C138=""),"", IFERROR(IF(J137="",D2,J137),D2)+IF(E138="",0,E138)-IF(OR(G138="أبو اسحاق",G138="أبو آدم",G138="أبو اسحاق ",G138="أبو آدم "),0,IF(D138="",0,D138)))</f>
        <v/>
      </c>
      <c r="K138" s="44"/>
      <c r="L138" t="str">
        <f>IF(E137&gt;0,COUNTIF($E$4:E137,"&gt;0"),"")</f>
        <v/>
      </c>
      <c r="M138" t="str">
        <f>IF(AND(D137&gt;0,G137="المحفظة"),COUNTIFS($D$4:D137,"&gt;"&amp;0,$G$4:G137,"المحفظة"),"")</f>
        <v/>
      </c>
      <c r="N138" t="str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8" t="str">
        <f>IF(AND(D137&gt;0,F137="أحد الشركاء"),COUNTIFS($D$4:D137,"&gt;"&amp;0,$F$4:F137,"أحد الشركاء"),"")</f>
        <v/>
      </c>
      <c r="P138" t="str">
        <f>IF(OR($A138="",$F138="أحد الشركاء",AND($D138="",$E138="")),"",SUMPRODUCT(($A$4:$A138&lt;&gt;"")*($F$4:$F138&lt;&gt;"أحد الشركاء")*((($D$4:$D138&lt;&gt;"")+($E$4:$E138&lt;&gt;""))&gt;0)))</f>
        <v/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/>
      <c r="B139" s="26"/>
      <c r="C139" s="27"/>
      <c r="D139" s="28"/>
      <c r="E139" s="29"/>
      <c r="F139" s="30"/>
      <c r="G139" s="31"/>
      <c r="H139" s="32"/>
      <c r="I139" s="33"/>
      <c r="J139" s="34" t="str">
        <f>IF(AND(D139="",E139="",A139="",B139="",C139=""),"", IFERROR(IF(J138="",D2,J138),D2)+IF(E139="",0,E139)-IF(OR(G139="أبو اسحاق",G139="أبو آدم",G139="أبو اسحاق ",G139="أبو آدم "),0,IF(D139="",0,D139)))</f>
        <v/>
      </c>
      <c r="K139" s="35"/>
      <c r="L139" t="str">
        <f>IF(E138&gt;0,COUNTIF($E$4:E138,"&gt;0"),"")</f>
        <v/>
      </c>
      <c r="M139" t="str">
        <f>IF(AND(D138&gt;0,G138="المحفظة"),COUNTIFS($D$4:D138,"&gt;"&amp;0,$G$4:G138,"المحفظة"),"")</f>
        <v/>
      </c>
      <c r="N139" t="str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39" t="str">
        <f>IF(AND(D138&gt;0,F138="أحد الشركاء"),COUNTIFS($D$4:D138,"&gt;"&amp;0,$F$4:F138,"أحد الشركاء"),"")</f>
        <v/>
      </c>
      <c r="P139" t="str">
        <f>IF(OR($A139="",$F139="أحد الشركاء",AND($D139="",$E139="")),"",SUMPRODUCT(($A$4:$A139&lt;&gt;"")*($F$4:$F139&lt;&gt;"أحد الشركاء")*((($D$4:$D139&lt;&gt;"")+($E$4:$E139&lt;&gt;""))&gt;0)))</f>
        <v/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/>
      <c r="B140" s="36"/>
      <c r="C140" s="37"/>
      <c r="D140" s="38"/>
      <c r="E140" s="39"/>
      <c r="F140" s="136"/>
      <c r="G140" s="40"/>
      <c r="H140" s="41"/>
      <c r="I140" s="42"/>
      <c r="J140" s="43" t="str">
        <f>IF(AND(D140="",E140="",A140="",B140="",C140=""),"", IFERROR(IF(J139="",D2,J139),D2)+IF(E140="",0,E140)-IF(OR(G140="أبو اسحاق",G140="أبو آدم",G140="أبو اسحاق ",G140="أبو آدم "),0,IF(D140="",0,D140)))</f>
        <v/>
      </c>
      <c r="K140" s="44"/>
      <c r="L140" t="str">
        <f>IF(E139&gt;0,COUNTIF($E$4:E139,"&gt;0"),"")</f>
        <v/>
      </c>
      <c r="M140" t="str">
        <f>IF(AND(D139&gt;0,G139="المحفظة"),COUNTIFS($D$4:D139,"&gt;"&amp;0,$G$4:G139,"المحفظة"),"")</f>
        <v/>
      </c>
      <c r="N140" t="str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0" t="str">
        <f>IF(AND(D139&gt;0,F139="أحد الشركاء"),COUNTIFS($D$4:D139,"&gt;"&amp;0,$F$4:F139,"أحد الشركاء"),"")</f>
        <v/>
      </c>
      <c r="P140" t="str">
        <f>IF(OR($A140="",$F140="أحد الشركاء",AND($D140="",$E140="")),"",SUMPRODUCT(($A$4:$A140&lt;&gt;"")*($F$4:$F140&lt;&gt;"أحد الشركاء")*((($D$4:$D140&lt;&gt;"")+($E$4:$E140&lt;&gt;""))&gt;0)))</f>
        <v/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/>
      <c r="B141" s="26"/>
      <c r="C141" s="27"/>
      <c r="D141" s="28"/>
      <c r="E141" s="29"/>
      <c r="F141" s="30"/>
      <c r="G141" s="31"/>
      <c r="H141" s="32"/>
      <c r="I141" s="33"/>
      <c r="J141" s="34" t="str">
        <f>IF(AND(D141="",E141="",A141="",B141="",C141=""),"", IFERROR(IF(J140="",D2,J140),D2)+IF(E141="",0,E141)-IF(OR(G141="أبو اسحاق",G141="أبو آدم",G141="أبو اسحاق ",G141="أبو آدم "),0,IF(D141="",0,D141)))</f>
        <v/>
      </c>
      <c r="K141" s="35"/>
      <c r="L141" t="str">
        <f>IF(E140&gt;0,COUNTIF($E$4:E140,"&gt;0"),"")</f>
        <v/>
      </c>
      <c r="M141" t="str">
        <f>IF(AND(D140&gt;0,G140="المحفظة"),COUNTIFS($D$4:D140,"&gt;"&amp;0,$G$4:G140,"المحفظة"),"")</f>
        <v/>
      </c>
      <c r="N141" t="str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1" t="str">
        <f>IF(AND(D140&gt;0,F140="أحد الشركاء"),COUNTIFS($D$4:D140,"&gt;"&amp;0,$F$4:F140,"أحد الشركاء"),"")</f>
        <v/>
      </c>
      <c r="P141" t="str">
        <f>IF(OR($A141="",$F141="أحد الشركاء",AND($D141="",$E141="")),"",SUMPRODUCT(($A$4:$A141&lt;&gt;"")*($F$4:$F141&lt;&gt;"أحد الشركاء")*((($D$4:$D141&lt;&gt;"")+($E$4:$E141&lt;&gt;""))&gt;0)))</f>
        <v/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/>
      <c r="B142" s="36"/>
      <c r="C142" s="37"/>
      <c r="D142" s="38"/>
      <c r="E142" s="39"/>
      <c r="F142" s="136"/>
      <c r="G142" s="40"/>
      <c r="H142" s="41"/>
      <c r="I142" s="42"/>
      <c r="J142" s="43" t="str">
        <f>IF(AND(D142="",E142="",A142="",B142="",C142=""),"", IFERROR(IF(J141="",D2,J141),D2)+IF(E142="",0,E142)-IF(OR(G142="أبو اسحاق",G142="أبو آدم",G142="أبو اسحاق ",G142="أبو آدم "),0,IF(D142="",0,D142)))</f>
        <v/>
      </c>
      <c r="K142" s="44"/>
      <c r="L142" t="str">
        <f>IF(E141&gt;0,COUNTIF($E$4:E141,"&gt;0"),"")</f>
        <v/>
      </c>
      <c r="M142" t="str">
        <f>IF(AND(D141&gt;0,G141="المحفظة"),COUNTIFS($D$4:D141,"&gt;"&amp;0,$G$4:G141,"المحفظة"),"")</f>
        <v/>
      </c>
      <c r="N142" t="str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2" t="str">
        <f>IF(AND(D141&gt;0,F141="أحد الشركاء"),COUNTIFS($D$4:D141,"&gt;"&amp;0,$F$4:F141,"أحد الشركاء"),"")</f>
        <v/>
      </c>
      <c r="P142" t="str">
        <f>IF(OR($A142="",$F142="أحد الشركاء",AND($D142="",$E142="")),"",SUMPRODUCT(($A$4:$A142&lt;&gt;"")*($F$4:$F142&lt;&gt;"أحد الشركاء")*((($D$4:$D142&lt;&gt;"")+($E$4:$E142&lt;&gt;""))&gt;0)))</f>
        <v/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/>
      <c r="B143" s="26"/>
      <c r="C143" s="27"/>
      <c r="D143" s="28"/>
      <c r="E143" s="29"/>
      <c r="F143" s="30"/>
      <c r="G143" s="31"/>
      <c r="H143" s="32"/>
      <c r="I143" s="33"/>
      <c r="J143" s="34" t="str">
        <f>IF(AND(D143="",E143="",A143="",B143="",C143=""),"", IFERROR(IF(J142="",D2,J142),D2)+IF(E143="",0,E143)-IF(OR(G143="أبو اسحاق",G143="أبو آدم",G143="أبو اسحاق ",G143="أبو آدم "),0,IF(D143="",0,D143)))</f>
        <v/>
      </c>
      <c r="K143" s="35"/>
      <c r="L143" t="str">
        <f>IF(E142&gt;0,COUNTIF($E$4:E142,"&gt;0"),"")</f>
        <v/>
      </c>
      <c r="M143" t="str">
        <f>IF(AND(D142&gt;0,G142="المحفظة"),COUNTIFS($D$4:D142,"&gt;"&amp;0,$G$4:G142,"المحفظة"),"")</f>
        <v/>
      </c>
      <c r="N143" t="str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3" t="str">
        <f>IF(AND(D142&gt;0,F142="أحد الشركاء"),COUNTIFS($D$4:D142,"&gt;"&amp;0,$F$4:F142,"أحد الشركاء"),"")</f>
        <v/>
      </c>
      <c r="P143" t="str">
        <f>IF(OR($A143="",$F143="أحد الشركاء",AND($D143="",$E143="")),"",SUMPRODUCT(($A$4:$A143&lt;&gt;"")*($F$4:$F143&lt;&gt;"أحد الشركاء")*((($D$4:$D143&lt;&gt;"")+($E$4:$E143&lt;&gt;""))&gt;0)))</f>
        <v/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/>
      <c r="B144" s="36"/>
      <c r="C144" s="37"/>
      <c r="D144" s="38"/>
      <c r="E144" s="39"/>
      <c r="F144" s="136"/>
      <c r="G144" s="40"/>
      <c r="H144" s="41"/>
      <c r="I144" s="42"/>
      <c r="J144" s="43" t="str">
        <f>IF(AND(D144="",E144="",A144="",B144="",C144=""),"", IFERROR(IF(J143="",D2,J143),D2)+IF(E144="",0,E144)-IF(OR(G144="أبو اسحاق",G144="أبو آدم",G144="أبو اسحاق ",G144="أبو آدم "),0,IF(D144="",0,D144)))</f>
        <v/>
      </c>
      <c r="K144" s="44"/>
      <c r="L144" t="str">
        <f>IF(E143&gt;0,COUNTIF($E$4:E143,"&gt;0"),"")</f>
        <v/>
      </c>
      <c r="M144" t="str">
        <f>IF(AND(D143&gt;0,G143="المحفظة"),COUNTIFS($D$4:D143,"&gt;"&amp;0,$G$4:G143,"المحفظة"),"")</f>
        <v/>
      </c>
      <c r="N144" t="str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4" t="str">
        <f>IF(AND(D143&gt;0,F143="أحد الشركاء"),COUNTIFS($D$4:D143,"&gt;"&amp;0,$F$4:F143,"أحد الشركاء"),"")</f>
        <v/>
      </c>
      <c r="P144" t="str">
        <f>IF(OR($A144="",$F144="أحد الشركاء",AND($D144="",$E144="")),"",SUMPRODUCT(($A$4:$A144&lt;&gt;"")*($F$4:$F144&lt;&gt;"أحد الشركاء")*((($D$4:$D144&lt;&gt;"")+($E$4:$E144&lt;&gt;""))&gt;0)))</f>
        <v/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/>
      <c r="B145" s="26"/>
      <c r="C145" s="27"/>
      <c r="D145" s="28"/>
      <c r="E145" s="29"/>
      <c r="F145" s="30"/>
      <c r="G145" s="31"/>
      <c r="H145" s="32"/>
      <c r="I145" s="33"/>
      <c r="J145" s="34" t="str">
        <f>IF(AND(D145="",E145="",A145="",B145="",C145=""),"", IFERROR(IF(J144="",D2,J144),D2)+IF(E145="",0,E145)-IF(OR(G145="أبو اسحاق",G145="أبو آدم",G145="أبو اسحاق ",G145="أبو آدم "),0,IF(D145="",0,D145)))</f>
        <v/>
      </c>
      <c r="K145" s="35"/>
      <c r="L145" t="str">
        <f>IF(E144&gt;0,COUNTIF($E$4:E144,"&gt;0"),"")</f>
        <v/>
      </c>
      <c r="M145" t="str">
        <f>IF(AND(D144&gt;0,G144="المحفظة"),COUNTIFS($D$4:D144,"&gt;"&amp;0,$G$4:G144,"المحفظة"),"")</f>
        <v/>
      </c>
      <c r="N145" t="str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5" t="str">
        <f>IF(AND(D144&gt;0,F144="أحد الشركاء"),COUNTIFS($D$4:D144,"&gt;"&amp;0,$F$4:F144,"أحد الشركاء"),"")</f>
        <v/>
      </c>
      <c r="P145" t="str">
        <f>IF(OR($A145="",$F145="أحد الشركاء",AND($D145="",$E145="")),"",SUMPRODUCT(($A$4:$A145&lt;&gt;"")*($F$4:$F145&lt;&gt;"أحد الشركاء")*((($D$4:$D145&lt;&gt;"")+($E$4:$E145&lt;&gt;""))&gt;0)))</f>
        <v/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/>
      <c r="B146" s="36"/>
      <c r="C146" s="37"/>
      <c r="D146" s="38"/>
      <c r="E146" s="39"/>
      <c r="F146" s="136"/>
      <c r="G146" s="40"/>
      <c r="H146" s="41"/>
      <c r="I146" s="42"/>
      <c r="J146" s="43" t="str">
        <f>IF(AND(D146="",E146="",A146="",B146="",C146=""),"", IFERROR(IF(J145="",D2,J145),D2)+IF(E146="",0,E146)-IF(OR(G146="أبو اسحاق",G146="أبو آدم",G146="أبو اسحاق ",G146="أبو آدم "),0,IF(D146="",0,D146)))</f>
        <v/>
      </c>
      <c r="K146" s="44"/>
      <c r="L146" t="str">
        <f>IF(E145&gt;0,COUNTIF($E$4:E145,"&gt;0"),"")</f>
        <v/>
      </c>
      <c r="M146" t="str">
        <f>IF(AND(D145&gt;0,G145="المحفظة"),COUNTIFS($D$4:D145,"&gt;"&amp;0,$G$4:G145,"المحفظة"),"")</f>
        <v/>
      </c>
      <c r="N146" t="str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6" t="str">
        <f>IF(AND(D145&gt;0,F145="أحد الشركاء"),COUNTIFS($D$4:D145,"&gt;"&amp;0,$F$4:F145,"أحد الشركاء"),"")</f>
        <v/>
      </c>
      <c r="P146" t="str">
        <f>IF(OR($A146="",$F146="أحد الشركاء",AND($D146="",$E146="")),"",SUMPRODUCT(($A$4:$A146&lt;&gt;"")*($F$4:$F146&lt;&gt;"أحد الشركاء")*((($D$4:$D146&lt;&gt;"")+($E$4:$E146&lt;&gt;""))&gt;0)))</f>
        <v/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/>
      <c r="B147" s="26"/>
      <c r="C147" s="27"/>
      <c r="D147" s="28"/>
      <c r="E147" s="29"/>
      <c r="F147" s="30"/>
      <c r="G147" s="31"/>
      <c r="H147" s="32"/>
      <c r="I147" s="33"/>
      <c r="J147" s="34" t="str">
        <f>IF(AND(D147="",E147="",A147="",B147="",C147=""),"", IFERROR(IF(J146="",D2,J146),D2)+IF(E147="",0,E147)-IF(OR(G147="أبو اسحاق",G147="أبو آدم",G147="أبو اسحاق ",G147="أبو آدم "),0,IF(D147="",0,D147)))</f>
        <v/>
      </c>
      <c r="K147" s="35"/>
      <c r="L147" t="str">
        <f>IF(E146&gt;0,COUNTIF($E$4:E146,"&gt;0"),"")</f>
        <v/>
      </c>
      <c r="M147" t="str">
        <f>IF(AND(D146&gt;0,G146="المحفظة"),COUNTIFS($D$4:D146,"&gt;"&amp;0,$G$4:G146,"المحفظة"),"")</f>
        <v/>
      </c>
      <c r="N147" t="str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7" t="str">
        <f>IF(AND(D146&gt;0,F146="أحد الشركاء"),COUNTIFS($D$4:D146,"&gt;"&amp;0,$F$4:F146,"أحد الشركاء"),"")</f>
        <v/>
      </c>
      <c r="P147" t="str">
        <f>IF(OR($A147="",$F147="أحد الشركاء",AND($D147="",$E147="")),"",SUMPRODUCT(($A$4:$A147&lt;&gt;"")*($F$4:$F147&lt;&gt;"أحد الشركاء")*((($D$4:$D147&lt;&gt;"")+($E$4:$E147&lt;&gt;""))&gt;0)))</f>
        <v/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/>
      <c r="B148" s="36"/>
      <c r="C148" s="37"/>
      <c r="D148" s="38"/>
      <c r="E148" s="39"/>
      <c r="F148" s="136"/>
      <c r="G148" s="40"/>
      <c r="H148" s="41"/>
      <c r="I148" s="42"/>
      <c r="J148" s="43" t="str">
        <f>IF(AND(D148="",E148="",A148="",B148="",C148=""),"", IFERROR(IF(J147="",D2,J147),D2)+IF(E148="",0,E148)-IF(OR(G148="أبو اسحاق",G148="أبو آدم",G148="أبو اسحاق ",G148="أبو آدم "),0,IF(D148="",0,D148)))</f>
        <v/>
      </c>
      <c r="K148" s="44"/>
      <c r="L148" t="str">
        <f>IF(E147&gt;0,COUNTIF($E$4:E147,"&gt;0"),"")</f>
        <v/>
      </c>
      <c r="M148" t="str">
        <f>IF(AND(D147&gt;0,G147="المحفظة"),COUNTIFS($D$4:D147,"&gt;"&amp;0,$G$4:G147,"المحفظة"),"")</f>
        <v/>
      </c>
      <c r="N148" t="str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8" t="str">
        <f>IF(AND(D147&gt;0,F147="أحد الشركاء"),COUNTIFS($D$4:D147,"&gt;"&amp;0,$F$4:F147,"أحد الشركاء"),"")</f>
        <v/>
      </c>
      <c r="P148" t="str">
        <f>IF(OR($A148="",$F148="أحد الشركاء",AND($D148="",$E148="")),"",SUMPRODUCT(($A$4:$A148&lt;&gt;"")*($F$4:$F148&lt;&gt;"أحد الشركاء")*((($D$4:$D148&lt;&gt;"")+($E$4:$E148&lt;&gt;""))&gt;0)))</f>
        <v/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/>
      <c r="B149" s="26"/>
      <c r="C149" s="27"/>
      <c r="D149" s="28"/>
      <c r="E149" s="29"/>
      <c r="F149" s="30"/>
      <c r="G149" s="31"/>
      <c r="H149" s="32"/>
      <c r="I149" s="33"/>
      <c r="J149" s="34" t="str">
        <f>IF(AND(D149="",E149="",A149="",B149="",C149=""),"", IFERROR(IF(J148="",D2,J148),D2)+IF(E149="",0,E149)-IF(OR(G149="أبو اسحاق",G149="أبو آدم",G149="أبو اسحاق ",G149="أبو آدم "),0,IF(D149="",0,D149)))</f>
        <v/>
      </c>
      <c r="K149" s="35"/>
      <c r="L149" t="str">
        <f>IF(E148&gt;0,COUNTIF($E$4:E148,"&gt;0"),"")</f>
        <v/>
      </c>
      <c r="M149" t="str">
        <f>IF(AND(D148&gt;0,G148="المحفظة"),COUNTIFS($D$4:D148,"&gt;"&amp;0,$G$4:G148,"المحفظة"),"")</f>
        <v/>
      </c>
      <c r="N149" t="str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49" t="str">
        <f>IF(AND(D148&gt;0,F148="أحد الشركاء"),COUNTIFS($D$4:D148,"&gt;"&amp;0,$F$4:F148,"أحد الشركاء"),"")</f>
        <v/>
      </c>
      <c r="P149" t="str">
        <f>IF(OR($A149="",$F149="أحد الشركاء",AND($D149="",$E149="")),"",SUMPRODUCT(($A$4:$A149&lt;&gt;"")*($F$4:$F149&lt;&gt;"أحد الشركاء")*((($D$4:$D149&lt;&gt;"")+($E$4:$E149&lt;&gt;""))&gt;0)))</f>
        <v/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/>
      <c r="B150" s="36"/>
      <c r="C150" s="37"/>
      <c r="D150" s="38"/>
      <c r="E150" s="39"/>
      <c r="F150" s="136"/>
      <c r="G150" s="40"/>
      <c r="H150" s="41"/>
      <c r="I150" s="42"/>
      <c r="J150" s="43" t="str">
        <f>IF(AND(D150="",E150="",A150="",B150="",C150=""),"", IFERROR(IF(J149="",D2,J149),D2)+IF(E150="",0,E150)-IF(OR(G150="أبو اسحاق",G150="أبو آدم",G150="أبو اسحاق ",G150="أبو آدم "),0,IF(D150="",0,D150)))</f>
        <v/>
      </c>
      <c r="K150" s="44"/>
      <c r="L150" t="str">
        <f>IF(E149&gt;0,COUNTIF($E$4:E149,"&gt;0"),"")</f>
        <v/>
      </c>
      <c r="M150" t="str">
        <f>IF(AND(D149&gt;0,G149="المحفظة"),COUNTIFS($D$4:D149,"&gt;"&amp;0,$G$4:G149,"المحفظة"),"")</f>
        <v/>
      </c>
      <c r="N150" t="str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0" t="str">
        <f>IF(AND(D149&gt;0,F149="أحد الشركاء"),COUNTIFS($D$4:D149,"&gt;"&amp;0,$F$4:F149,"أحد الشركاء"),"")</f>
        <v/>
      </c>
      <c r="P150" t="str">
        <f>IF(OR($A150="",$F150="أحد الشركاء",AND($D150="",$E150="")),"",SUMPRODUCT(($A$4:$A150&lt;&gt;"")*($F$4:$F150&lt;&gt;"أحد الشركاء")*((($D$4:$D150&lt;&gt;"")+($E$4:$E150&lt;&gt;""))&gt;0)))</f>
        <v/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/>
      <c r="B151" s="26"/>
      <c r="C151" s="27"/>
      <c r="D151" s="28"/>
      <c r="E151" s="29"/>
      <c r="F151" s="30"/>
      <c r="G151" s="31"/>
      <c r="H151" s="32"/>
      <c r="I151" s="33"/>
      <c r="J151" s="34" t="str">
        <f>IF(AND(D151="",E151="",A151="",B151="",C151=""),"", IFERROR(IF(J150="",D2,J150),D2)+IF(E151="",0,E151)-IF(OR(G151="أبو اسحاق",G151="أبو آدم",G151="أبو اسحاق ",G151="أبو آدم "),0,IF(D151="",0,D151)))</f>
        <v/>
      </c>
      <c r="K151" s="35"/>
      <c r="L151" t="str">
        <f>IF(E150&gt;0,COUNTIF($E$4:E150,"&gt;0"),"")</f>
        <v/>
      </c>
      <c r="M151" t="str">
        <f>IF(AND(D150&gt;0,G150="المحفظة"),COUNTIFS($D$4:D150,"&gt;"&amp;0,$G$4:G150,"المحفظة"),"")</f>
        <v/>
      </c>
      <c r="N151" t="str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1" t="str">
        <f>IF(AND(D150&gt;0,F150="أحد الشركاء"),COUNTIFS($D$4:D150,"&gt;"&amp;0,$F$4:F150,"أحد الشركاء"),"")</f>
        <v/>
      </c>
      <c r="P151" t="str">
        <f>IF(OR($A151="",$F151="أحد الشركاء",AND($D151="",$E151="")),"",SUMPRODUCT(($A$4:$A151&lt;&gt;"")*($F$4:$F151&lt;&gt;"أحد الشركاء")*((($D$4:$D151&lt;&gt;"")+($E$4:$E151&lt;&gt;""))&gt;0)))</f>
        <v/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/>
      <c r="B152" s="36"/>
      <c r="C152" s="37"/>
      <c r="D152" s="38"/>
      <c r="E152" s="39"/>
      <c r="F152" s="136"/>
      <c r="G152" s="40"/>
      <c r="H152" s="41"/>
      <c r="I152" s="42"/>
      <c r="J152" s="43" t="str">
        <f>IF(AND(D152="",E152="",A152="",B152="",C152=""),"", IFERROR(IF(J151="",D2,J151),D2)+IF(E152="",0,E152)-IF(OR(G152="أبو اسحاق",G152="أبو آدم",G152="أبو اسحاق ",G152="أبو آدم "),0,IF(D152="",0,D152)))</f>
        <v/>
      </c>
      <c r="K152" s="44"/>
      <c r="L152" t="str">
        <f>IF(E151&gt;0,COUNTIF($E$4:E151,"&gt;0"),"")</f>
        <v/>
      </c>
      <c r="M152" t="str">
        <f>IF(AND(D151&gt;0,G151="المحفظة"),COUNTIFS($D$4:D151,"&gt;"&amp;0,$G$4:G151,"المحفظة"),"")</f>
        <v/>
      </c>
      <c r="N152" t="str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2" t="str">
        <f>IF(AND(D151&gt;0,F151="أحد الشركاء"),COUNTIFS($D$4:D151,"&gt;"&amp;0,$F$4:F151,"أحد الشركاء"),"")</f>
        <v/>
      </c>
      <c r="P152" t="str">
        <f>IF(OR($A152="",$F152="أحد الشركاء",AND($D152="",$E152="")),"",SUMPRODUCT(($A$4:$A152&lt;&gt;"")*($F$4:$F152&lt;&gt;"أحد الشركاء")*((($D$4:$D152&lt;&gt;"")+($E$4:$E152&lt;&gt;""))&gt;0)))</f>
        <v/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/>
      <c r="B153" s="26"/>
      <c r="C153" s="27"/>
      <c r="D153" s="28"/>
      <c r="E153" s="29"/>
      <c r="F153" s="30"/>
      <c r="G153" s="31"/>
      <c r="H153" s="32"/>
      <c r="I153" s="33"/>
      <c r="J153" s="34" t="str">
        <f>IF(AND(D153="",E153="",A153="",B153="",C153=""),"", IFERROR(IF(J152="",D2,J152),D2)+IF(E153="",0,E153)-IF(OR(G153="أبو اسحاق",G153="أبو آدم",G153="أبو اسحاق ",G153="أبو آدم "),0,IF(D153="",0,D153)))</f>
        <v/>
      </c>
      <c r="K153" s="35"/>
      <c r="L153" t="str">
        <f>IF(E152&gt;0,COUNTIF($E$4:E152,"&gt;0"),"")</f>
        <v/>
      </c>
      <c r="M153" t="str">
        <f>IF(AND(D152&gt;0,G152="المحفظة"),COUNTIFS($D$4:D152,"&gt;"&amp;0,$G$4:G152,"المحفظة"),"")</f>
        <v/>
      </c>
      <c r="N153" t="str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3" t="str">
        <f>IF(AND(D152&gt;0,F152="أحد الشركاء"),COUNTIFS($D$4:D152,"&gt;"&amp;0,$F$4:F152,"أحد الشركاء"),"")</f>
        <v/>
      </c>
      <c r="P153" t="str">
        <f>IF(OR($A153="",$F153="أحد الشركاء",AND($D153="",$E153="")),"",SUMPRODUCT(($A$4:$A153&lt;&gt;"")*($F$4:$F153&lt;&gt;"أحد الشركاء")*((($D$4:$D153&lt;&gt;"")+($E$4:$E153&lt;&gt;""))&gt;0)))</f>
        <v/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 t="str">
        <f>IF(E153&gt;0,COUNTIF($E$4:E153,"&gt;0"),"")</f>
        <v/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1"/>
      <c r="B204" s="155"/>
      <c r="C204" s="156"/>
      <c r="D204" s="38"/>
      <c r="E204" s="39"/>
      <c r="F204" s="154"/>
      <c r="G204" s="155"/>
      <c r="H204" s="156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1606.4749999999999</v>
      </c>
      <c r="E205" s="46">
        <f>SUM(E4:E203)</f>
        <v>708.1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2" t="s">
        <v>220</v>
      </c>
      <c r="B1" s="155"/>
      <c r="C1" s="155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4" t="s">
        <v>236</v>
      </c>
      <c r="B1" s="155"/>
    </row>
    <row r="2" spans="1:2" ht="21.75" customHeight="1" x14ac:dyDescent="0.25">
      <c r="A2" s="163" t="s">
        <v>237</v>
      </c>
      <c r="B2" s="155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3" t="s">
        <v>242</v>
      </c>
      <c r="B5" s="155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3" t="s">
        <v>251</v>
      </c>
      <c r="B11" s="155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0" t="s">
        <v>16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</row>
    <row r="2" spans="1:11" ht="24" customHeight="1" x14ac:dyDescent="0.25">
      <c r="A2" s="165"/>
      <c r="B2" s="155"/>
      <c r="C2" s="56" t="s">
        <v>256</v>
      </c>
      <c r="D2" s="165">
        <v>2026</v>
      </c>
      <c r="E2" s="155"/>
      <c r="F2" s="56" t="s">
        <v>257</v>
      </c>
      <c r="G2" s="168" t="s">
        <v>258</v>
      </c>
      <c r="H2" s="159"/>
      <c r="I2" s="159"/>
      <c r="J2" s="159"/>
      <c r="K2" s="159"/>
    </row>
    <row r="3" spans="1:11" ht="19.5" customHeight="1" x14ac:dyDescent="0.25">
      <c r="A3" s="169" t="s">
        <v>259</v>
      </c>
      <c r="B3" s="155"/>
      <c r="C3" s="155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260</v>
      </c>
      <c r="E4" s="58" t="s">
        <v>261</v>
      </c>
      <c r="F4" s="58" t="s">
        <v>262</v>
      </c>
      <c r="G4" s="58" t="s">
        <v>263</v>
      </c>
      <c r="H4" s="58" t="s">
        <v>264</v>
      </c>
      <c r="I4" s="58" t="s">
        <v>221</v>
      </c>
      <c r="J4" s="58" t="s">
        <v>265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46175</v>
      </c>
      <c r="B5" s="59" t="str">
        <f>IFERROR(IF(IFERROR(MATCH(1,'كشف الحساب'!$N$4:$N$203,0),0)=0,"",INDEX('كشف الحساب'!$B$4:$B$203,IFERROR(MATCH(1,'كشف الحساب'!$N$4:$N$203,0),0))),"")</f>
        <v>Inv-53</v>
      </c>
      <c r="C5" s="37" t="str">
        <f>IFERROR(IF(IFERROR(MATCH(1,'كشف الحساب'!$N$4:$N$203,0),0)=0,"",INDEX('كشف الحساب'!$C$4:$C$203,IFERROR(MATCH(1,'كشف الحساب'!$N$4:$N$203,0),0))),"")</f>
        <v>فل عدد 24 الحبه .750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18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364.85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46175</v>
      </c>
      <c r="B6" s="61" t="str">
        <f>IFERROR(IF(IFERROR(MATCH(2,'كشف الحساب'!$N$4:$N$203,0),0)=0,"",INDEX('كشف الحساب'!$B$4:$B$203,IFERROR(MATCH(2,'كشف الحساب'!$N$4:$N$203,0),0))),"")</f>
        <v>Inv-54</v>
      </c>
      <c r="C6" s="27" t="str">
        <f>IFERROR(IF(IFERROR(MATCH(2,'كشف الحساب'!$N$4:$N$203,0),0)=0,"",INDEX('كشف الحساب'!$C$4:$C$203,IFERROR(MATCH(2,'كشف الحساب'!$N$4:$N$203,0),0))),"")</f>
        <v>دارسينا خضراء عدد 1 الحبه 2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</v>
      </c>
      <c r="F6" s="61" t="str">
        <f>IFERROR(IF(IFERROR(MATCH(2,'كشف الحساب'!$N$4:$N$203,0),0)=0,"",INDEX('كشف الحساب'!$F$4:$F$203,IFERROR(MATCH(2,'كشف الحساب'!$N$4:$N$203,0),0))),"")</f>
        <v>نقداً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366.85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46175</v>
      </c>
      <c r="B7" s="59" t="str">
        <f>IFERROR(IF(IFERROR(MATCH(3,'كشف الحساب'!$N$4:$N$203,0),0)=0,"",INDEX('كشف الحساب'!$B$4:$B$203,IFERROR(MATCH(3,'كشف الحساب'!$N$4:$N$203,0),0))),"")</f>
        <v>Inv-55</v>
      </c>
      <c r="C7" s="37" t="str">
        <f>IFERROR(IF(IFERROR(MATCH(3,'كشف الحساب'!$N$4:$N$203,0),0)=0,"",INDEX('كشف الحساب'!$C$4:$C$203,IFERROR(MATCH(3,'كشف الحساب'!$N$4:$N$203,0),0))),"")</f>
        <v>افوبيا عدد 2 الحبه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1.5</v>
      </c>
      <c r="F7" s="59" t="str">
        <f>IFERROR(IF(IFERROR(MATCH(3,'كشف الحساب'!$N$4:$N$203,0),0)=0,"",INDEX('كشف الحساب'!$F$4:$F$203,IFERROR(MATCH(3,'كشف الحساب'!$N$4:$N$203,0),0))),"")</f>
        <v>نقداً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368.35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46175</v>
      </c>
      <c r="B8" s="61" t="str">
        <f>IFERROR(IF(IFERROR(MATCH(4,'كشف الحساب'!$N$4:$N$203,0),0)=0,"",INDEX('كشف الحساب'!$B$4:$B$203,IFERROR(MATCH(4,'كشف الحساب'!$N$4:$N$203,0),0))),"")</f>
        <v>Inv-56</v>
      </c>
      <c r="C8" s="27" t="str">
        <f>IFERROR(IF(IFERROR(MATCH(4,'كشف الحساب'!$N$4:$N$203,0),0)=0,"",INDEX('كشف الحساب'!$C$4:$C$203,IFERROR(MATCH(4,'كشف الحساب'!$N$4:$N$203,0),0))),"")</f>
        <v>دارسينا سوداء عدد 3 الحبه 1</v>
      </c>
      <c r="D8" s="28">
        <f>IFERROR(IF(IFERROR(MATCH(4,'كشف الحساب'!$N$4:$N$203,0),0)=0,"",INDEX('كشف الحساب'!$D$4:$D$203,IFERROR(MATCH(4,'كشف الحساب'!$N$4:$N$203,0),0))),"")</f>
        <v>0</v>
      </c>
      <c r="E8" s="62">
        <f>IFERROR(IF(IFERROR(MATCH(4,'كشف الحساب'!$N$4:$N$203,0),0)=0,"",INDEX('كشف الحساب'!$E$4:$E$203,IFERROR(MATCH(4,'كشف الحساب'!$N$4:$N$203,0),0))),"")</f>
        <v>3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>
        <f>IFERROR(IF(IFERROR(MATCH(4,'كشف الحساب'!$N$4:$N$203,0),0)=0,"",INDEX('كشف الحساب'!$G$4:$G$203,IFERROR(MATCH(4,'كشف الحساب'!$N$4:$N$203,0),0))),"")</f>
        <v>0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371.35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46177</v>
      </c>
      <c r="B9" s="59" t="str">
        <f>IFERROR(IF(IFERROR(MATCH(5,'كشف الحساب'!$N$4:$N$203,0),0)=0,"",INDEX('كشف الحساب'!$B$4:$B$203,IFERROR(MATCH(5,'كشف الحساب'!$N$4:$N$203,0),0))),"")</f>
        <v>inv-57</v>
      </c>
      <c r="C9" s="37" t="str">
        <f>IFERROR(IF(IFERROR(MATCH(5,'كشف الحساب'!$N$4:$N$203,0),0)=0,"",INDEX('كشف الحساب'!$C$4:$C$203,IFERROR(MATCH(5,'كشف الحساب'!$N$4:$N$203,0),0))),"")</f>
        <v>فوزير عدد1 قيمه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نقداً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372.35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46177</v>
      </c>
      <c r="B10" s="61">
        <f>IFERROR(IF(IFERROR(MATCH(6,'كشف الحساب'!$N$4:$N$203,0),0)=0,"",INDEX('كشف الحساب'!$B$4:$B$203,IFERROR(MATCH(6,'كشف الحساب'!$N$4:$N$203,0),0))),"")</f>
        <v>0</v>
      </c>
      <c r="C10" s="27" t="str">
        <f>IFERROR(IF(IFERROR(MATCH(6,'كشف الحساب'!$N$4:$N$203,0),0)=0,"",INDEX('كشف الحساب'!$C$4:$C$203,IFERROR(MATCH(6,'كشف الحساب'!$N$4:$N$203,0),0))),"")</f>
        <v>سماد</v>
      </c>
      <c r="D10" s="28">
        <f>IFERROR(IF(IFERROR(MATCH(6,'كشف الحساب'!$N$4:$N$203,0),0)=0,"",INDEX('كشف الحساب'!$D$4:$D$203,IFERROR(MATCH(6,'كشف الحساب'!$N$4:$N$203,0),0))),"")</f>
        <v>10</v>
      </c>
      <c r="E10" s="62">
        <f>IFERROR(IF(IFERROR(MATCH(6,'كشف الحساب'!$N$4:$N$203,0),0)=0,"",INDEX('كشف الحساب'!$E$4:$E$203,IFERROR(MATCH(6,'كشف الحساب'!$N$4:$N$203,0),0))),"")</f>
        <v>0</v>
      </c>
      <c r="F10" s="61" t="str">
        <f>IFERROR(IF(IFERROR(MATCH(6,'كشف الحساب'!$N$4:$N$203,0),0)=0,"",INDEX('كشف الحساب'!$F$4:$F$203,IFERROR(MATCH(6,'كشف الحساب'!$N$4:$N$203,0),0))),"")</f>
        <v>نقداً</v>
      </c>
      <c r="G10" s="61" t="str">
        <f>IFERROR(IF(IFERROR(MATCH(6,'كشف الحساب'!$N$4:$N$203,0),0)=0,"",INDEX('كشف الحساب'!$G$4:$G$203,IFERROR(MATCH(6,'كشف الحساب'!$N$4:$N$203,0),0))),"")</f>
        <v>المحفظة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362.35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46177</v>
      </c>
      <c r="B11" s="59">
        <f>IFERROR(IF(IFERROR(MATCH(7,'كشف الحساب'!$N$4:$N$203,0),0)=0,"",INDEX('كشف الحساب'!$B$4:$B$203,IFERROR(MATCH(7,'كشف الحساب'!$N$4:$N$203,0),0))),"")</f>
        <v>0</v>
      </c>
      <c r="C11" s="37" t="str">
        <f>IFERROR(IF(IFERROR(MATCH(7,'كشف الحساب'!$N$4:$N$203,0),0)=0,"",INDEX('كشف الحساب'!$C$4:$C$203,IFERROR(MATCH(7,'كشف الحساب'!$N$4:$N$203,0),0))),"")</f>
        <v>تاير لعربة الرش</v>
      </c>
      <c r="D11" s="38">
        <f>IFERROR(IF(IFERROR(MATCH(7,'كشف الحساب'!$N$4:$N$203,0),0)=0,"",INDEX('كشف الحساب'!$D$4:$D$203,IFERROR(MATCH(7,'كشف الحساب'!$N$4:$N$203,0),0))),"")</f>
        <v>3.25</v>
      </c>
      <c r="E11" s="60">
        <f>IFERROR(IF(IFERROR(MATCH(7,'كشف الحساب'!$N$4:$N$203,0),0)=0,"",INDEX('كشف الحساب'!$E$4:$E$203,IFERROR(MATCH(7,'كشف الحساب'!$N$4:$N$203,0),0))),"")</f>
        <v>0</v>
      </c>
      <c r="F11" s="59" t="str">
        <f>IFERROR(IF(IFERROR(MATCH(7,'كشف الحساب'!$N$4:$N$203,0),0)=0,"",INDEX('كشف الحساب'!$F$4:$F$203,IFERROR(MATCH(7,'كشف الحساب'!$N$4:$N$203,0),0))),"")</f>
        <v>نقداً</v>
      </c>
      <c r="G11" s="59" t="str">
        <f>IFERROR(IF(IFERROR(MATCH(7,'كشف الحساب'!$N$4:$N$203,0),0)=0,"",INDEX('كشف الحساب'!$G$4:$G$203,IFERROR(MATCH(7,'كشف الحساب'!$N$4:$N$203,0),0))),"")</f>
        <v>المحفظة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359.1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46177</v>
      </c>
      <c r="B12" s="61">
        <f>IFERROR(IF(IFERROR(MATCH(8,'كشف الحساب'!$N$4:$N$203,0),0)=0,"",INDEX('كشف الحساب'!$B$4:$B$203,IFERROR(MATCH(8,'كشف الحساب'!$N$4:$N$203,0),0))),"")</f>
        <v>0</v>
      </c>
      <c r="C12" s="27" t="str">
        <f>IFERROR(IF(IFERROR(MATCH(8,'كشف الحساب'!$N$4:$N$203,0),0)=0,"",INDEX('كشف الحساب'!$C$4:$C$203,IFERROR(MATCH(8,'كشف الحساب'!$N$4:$N$203,0),0))),"")</f>
        <v>حفاره خلط السماد</v>
      </c>
      <c r="D12" s="28">
        <f>IFERROR(IF(IFERROR(MATCH(8,'كشف الحساب'!$N$4:$N$203,0),0)=0,"",INDEX('كشف الحساب'!$D$4:$D$203,IFERROR(MATCH(8,'كشف الحساب'!$N$4:$N$203,0),0))),"")</f>
        <v>12</v>
      </c>
      <c r="E12" s="62">
        <f>IFERROR(IF(IFERROR(MATCH(8,'كشف الحساب'!$N$4:$N$203,0),0)=0,"",INDEX('كشف الحساب'!$E$4:$E$203,IFERROR(MATCH(8,'كشف الحساب'!$N$4:$N$203,0),0))),"")</f>
        <v>0</v>
      </c>
      <c r="F12" s="61" t="str">
        <f>IFERROR(IF(IFERROR(MATCH(8,'كشف الحساب'!$N$4:$N$203,0),0)=0,"",INDEX('كشف الحساب'!$F$4:$F$203,IFERROR(MATCH(8,'كشف الحساب'!$N$4:$N$203,0),0))),"")</f>
        <v>نقداً</v>
      </c>
      <c r="G12" s="61" t="str">
        <f>IFERROR(IF(IFERROR(MATCH(8,'كشف الحساب'!$N$4:$N$203,0),0)=0,"",INDEX('كشف الحساب'!$G$4:$G$203,IFERROR(MATCH(8,'كشف الحساب'!$N$4:$N$203,0),0))),"")</f>
        <v>المحفظة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347.1</v>
      </c>
      <c r="K12" s="61">
        <f>IFERROR(IF(IFERROR(MATCH(8,'كشف الحساب'!$N$4:$N$203,0),0)=0,"",INDEX('كشف الحساب'!$K$4:$K$203,IFERROR(MATCH(8,'كشف الحساب'!$N$4:$N$203,0),0))),"")</f>
        <v>0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46179</v>
      </c>
      <c r="B13" s="59" t="str">
        <f>IFERROR(IF(IFERROR(MATCH(9,'كشف الحساب'!$N$4:$N$203,0),0)=0,"",INDEX('كشف الحساب'!$B$4:$B$203,IFERROR(MATCH(9,'كشف الحساب'!$N$4:$N$203,0),0))),"")</f>
        <v>Inv-58</v>
      </c>
      <c r="C13" s="37" t="str">
        <f>IFERROR(IF(IFERROR(MATCH(9,'كشف الحساب'!$N$4:$N$203,0),0)=0,"",INDEX('كشف الحساب'!$C$4:$C$203,IFERROR(MATCH(9,'كشف الحساب'!$N$4:$N$203,0),0))),"")</f>
        <v>دارسينا عدد3 بقيمه 1 للحبه</v>
      </c>
      <c r="D13" s="38">
        <f>IFERROR(IF(IFERROR(MATCH(9,'كشف الحساب'!$N$4:$N$203,0),0)=0,"",INDEX('كشف الحساب'!$D$4:$D$203,IFERROR(MATCH(9,'كشف الحساب'!$N$4:$N$203,0),0))),"")</f>
        <v>0</v>
      </c>
      <c r="E13" s="60">
        <f>IFERROR(IF(IFERROR(MATCH(9,'كشف الحساب'!$N$4:$N$203,0),0)=0,"",INDEX('كشف الحساب'!$E$4:$E$203,IFERROR(MATCH(9,'كشف الحساب'!$N$4:$N$203,0),0))),"")</f>
        <v>3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>
        <f>IFERROR(IF(IFERROR(MATCH(9,'كشف الحساب'!$N$4:$N$203,0),0)=0,"",INDEX('كشف الحساب'!$G$4:$G$203,IFERROR(MATCH(9,'كشف الحساب'!$N$4:$N$203,0),0))),"")</f>
        <v>0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350.1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46179</v>
      </c>
      <c r="B14" s="61" t="str">
        <f>IFERROR(IF(IFERROR(MATCH(10,'كشف الحساب'!$N$4:$N$203,0),0)=0,"",INDEX('كشف الحساب'!$B$4:$B$203,IFERROR(MATCH(10,'كشف الحساب'!$N$4:$N$203,0),0))),"")</f>
        <v>Inv-59</v>
      </c>
      <c r="C14" s="27" t="str">
        <f>IFERROR(IF(IFERROR(MATCH(10,'كشف الحساب'!$N$4:$N$203,0),0)=0,"",INDEX('كشف الحساب'!$C$4:$C$203,IFERROR(MATCH(10,'كشف الحساب'!$N$4:$N$203,0),0))),"")</f>
        <v>ودليه عدد 1 بقيمه 1</v>
      </c>
      <c r="D14" s="28">
        <f>IFERROR(IF(IFERROR(MATCH(10,'كشف الحساب'!$N$4:$N$203,0),0)=0,"",INDEX('كشف الحساب'!$D$4:$D$203,IFERROR(MATCH(10,'كشف الحساب'!$N$4:$N$203,0),0))),"")</f>
        <v>0</v>
      </c>
      <c r="E14" s="62">
        <f>IFERROR(IF(IFERROR(MATCH(10,'كشف الحساب'!$N$4:$N$203,0),0)=0,"",INDEX('كشف الحساب'!$E$4:$E$203,IFERROR(MATCH(10,'كشف الحساب'!$N$4:$N$203,0),0))),"")</f>
        <v>1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>
        <f>IFERROR(IF(IFERROR(MATCH(10,'كشف الحساب'!$N$4:$N$203,0),0)=0,"",INDEX('كشف الحساب'!$G$4:$G$203,IFERROR(MATCH(10,'كشف الحساب'!$N$4:$N$203,0),0))),"")</f>
        <v>0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351.1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46179</v>
      </c>
      <c r="B15" s="59" t="str">
        <f>IFERROR(IF(IFERROR(MATCH(11,'كشف الحساب'!$N$4:$N$203,0),0)=0,"",INDEX('كشف الحساب'!$B$4:$B$203,IFERROR(MATCH(11,'كشف الحساب'!$N$4:$N$203,0),0))),"")</f>
        <v>Inv-60</v>
      </c>
      <c r="C15" s="37" t="str">
        <f>IFERROR(IF(IFERROR(MATCH(11,'كشف الحساب'!$N$4:$N$203,0),0)=0,"",INDEX('كشف الحساب'!$C$4:$C$203,IFERROR(MATCH(11,'كشف الحساب'!$N$4:$N$203,0),0))),"")</f>
        <v>دارسينا حمراء عدد 1 بقيمه 3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3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354.1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46181</v>
      </c>
      <c r="B16" s="61" t="str">
        <f>IFERROR(IF(IFERROR(MATCH(12,'كشف الحساب'!$N$4:$N$203,0),0)=0,"",INDEX('كشف الحساب'!$B$4:$B$203,IFERROR(MATCH(12,'كشف الحساب'!$N$4:$N$203,0),0))),"")</f>
        <v>Inv-61</v>
      </c>
      <c r="C16" s="27" t="str">
        <f>IFERROR(IF(IFERROR(MATCH(12,'كشف الحساب'!$N$4:$N$203,0),0)=0,"",INDEX('كشف الحساب'!$C$4:$C$203,IFERROR(MATCH(12,'كشف الحساب'!$N$4:$N$203,0),0))),"")</f>
        <v>فل عدد 20 بقيمه 0.750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15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369.1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46181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اسمنت اسود للمحميه الصغيره الجديده</v>
      </c>
      <c r="D17" s="38">
        <f>IFERROR(IF(IFERROR(MATCH(13,'كشف الحساب'!$N$4:$N$203,0),0)=0,"",INDEX('كشف الحساب'!$D$4:$D$203,IFERROR(MATCH(13,'كشف الحساب'!$N$4:$N$203,0),0))),"")</f>
        <v>2.8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366.3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46181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حديد اسود للمحميه الصغيره الجديده</v>
      </c>
      <c r="D18" s="28">
        <f>IFERROR(IF(IFERROR(MATCH(14,'كشف الحساب'!$N$4:$N$203,0),0)=0,"",INDEX('كشف الحساب'!$D$4:$D$203,IFERROR(MATCH(14,'كشف الحساب'!$N$4:$N$203,0),0))),"")</f>
        <v>46.75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319.55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46182</v>
      </c>
      <c r="B19" s="59" t="str">
        <f>IFERROR(IF(IFERROR(MATCH(15,'كشف الحساب'!$N$4:$N$203,0),0)=0,"",INDEX('كشف الحساب'!$B$4:$B$203,IFERROR(MATCH(15,'كشف الحساب'!$N$4:$N$203,0),0))),"")</f>
        <v>Inv-62</v>
      </c>
      <c r="C19" s="37" t="str">
        <f>IFERROR(IF(IFERROR(MATCH(15,'كشف الحساب'!$N$4:$N$203,0),0)=0,"",INDEX('كشف الحساب'!$C$4:$C$203,IFERROR(MATCH(15,'كشف الحساب'!$N$4:$N$203,0),0))),"")</f>
        <v>فل عدد 30 الحبه 0.750</v>
      </c>
      <c r="D19" s="38">
        <f>IFERROR(IF(IFERROR(MATCH(15,'كشف الحساب'!$N$4:$N$203,0),0)=0,"",INDEX('كشف الحساب'!$D$4:$D$203,IFERROR(MATCH(15,'كشف الحساب'!$N$4:$N$203,0),0))),"")</f>
        <v>0</v>
      </c>
      <c r="E19" s="60">
        <f>IFERROR(IF(IFERROR(MATCH(15,'كشف الحساب'!$N$4:$N$203,0),0)=0,"",INDEX('كشف الحساب'!$E$4:$E$203,IFERROR(MATCH(15,'كشف الحساب'!$N$4:$N$203,0),0))),"")</f>
        <v>22.5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>
        <f>IFERROR(IF(IFERROR(MATCH(15,'كشف الحساب'!$N$4:$N$203,0),0)=0,"",INDEX('كشف الحساب'!$G$4:$G$203,IFERROR(MATCH(15,'كشف الحساب'!$N$4:$N$203,0),0))),"")</f>
        <v>0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342.05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46184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براغي</v>
      </c>
      <c r="D20" s="28">
        <f>IFERROR(IF(IFERROR(MATCH(16,'كشف الحساب'!$N$4:$N$203,0),0)=0,"",INDEX('كشف الحساب'!$D$4:$D$203,IFERROR(MATCH(16,'كشف الحساب'!$N$4:$N$203,0),0))),"")</f>
        <v>3.5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338.55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46184</v>
      </c>
      <c r="B21" s="59" t="str">
        <f>IFERROR(IF(IFERROR(MATCH(17,'كشف الحساب'!$N$4:$N$203,0),0)=0,"",INDEX('كشف الحساب'!$B$4:$B$203,IFERROR(MATCH(17,'كشف الحساب'!$N$4:$N$203,0),0))),"")</f>
        <v>Inv-63</v>
      </c>
      <c r="C21" s="37" t="str">
        <f>IFERROR(IF(IFERROR(MATCH(17,'كشف الحساب'!$N$4:$N$203,0),0)=0,"",INDEX('كشف الحساب'!$C$4:$C$203,IFERROR(MATCH(17,'كشف الحساب'!$N$4:$N$203,0),0))),"")</f>
        <v>فل عدد 20 بقيمه 0.750</v>
      </c>
      <c r="D21" s="38">
        <f>IFERROR(IF(IFERROR(MATCH(17,'كشف الحساب'!$N$4:$N$203,0),0)=0,"",INDEX('كشف الحساب'!$D$4:$D$203,IFERROR(MATCH(17,'كشف الحساب'!$N$4:$N$203,0),0))),"")</f>
        <v>0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>
        <f>IFERROR(IF(IFERROR(MATCH(17,'كشف الحساب'!$N$4:$N$203,0),0)=0,"",INDEX('كشف الحساب'!$G$4:$G$203,IFERROR(MATCH(17,'كشف الحساب'!$N$4:$N$203,0),0))),"")</f>
        <v>0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338.55</v>
      </c>
      <c r="K21" s="59" t="str">
        <f>IFERROR(IF(IFERROR(MATCH(17,'كشف الحساب'!$N$4:$N$203,0),0)=0,"",INDEX('كشف الحساب'!$K$4:$K$203,IFERROR(MATCH(17,'كشف الحساب'!$N$4:$N$203,0),0))),"")</f>
        <v>ملغيه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46185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رول لحيم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336.55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46186</v>
      </c>
      <c r="B23" s="59" t="str">
        <f>IFERROR(IF(IFERROR(MATCH(19,'كشف الحساب'!$N$4:$N$203,0),0)=0,"",INDEX('كشف الحساب'!$B$4:$B$203,IFERROR(MATCH(19,'كشف الحساب'!$N$4:$N$203,0),0))),"")</f>
        <v>Inv-64</v>
      </c>
      <c r="C23" s="37" t="str">
        <f>IFERROR(IF(IFERROR(MATCH(19,'كشف الحساب'!$N$4:$N$203,0),0)=0,"",INDEX('كشف الحساب'!$C$4:$C$203,IFERROR(MATCH(19,'كشف الحساب'!$N$4:$N$203,0),0))),"")</f>
        <v>معلقات عدد 10 الحبه 1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346.55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46186</v>
      </c>
      <c r="B24" s="61" t="str">
        <f>IFERROR(IF(IFERROR(MATCH(20,'كشف الحساب'!$N$4:$N$203,0),0)=0,"",INDEX('كشف الحساب'!$B$4:$B$203,IFERROR(MATCH(20,'كشف الحساب'!$N$4:$N$203,0),0))),"")</f>
        <v>Inv-65</v>
      </c>
      <c r="C24" s="27" t="str">
        <f>IFERROR(IF(IFERROR(MATCH(20,'كشف الحساب'!$N$4:$N$203,0),0)=0,"",INDEX('كشف الحساب'!$C$4:$C$203,IFERROR(MATCH(20,'كشف الحساب'!$N$4:$N$203,0),0))),"")</f>
        <v>ودوليه عدد 5 الحبه 1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351.55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>
        <f>IFERROR(IF(IFERROR(MATCH(21,'كشف الحساب'!$N$4:$N$203,0),0)=0,"",INDEX('كشف الحساب'!$A$4:$A$203,IFERROR(MATCH(21,'كشف الحساب'!$N$4:$N$203,0),0))),"")</f>
        <v>46187</v>
      </c>
      <c r="B25" s="59">
        <f>IFERROR(IF(IFERROR(MATCH(21,'كشف الحساب'!$N$4:$N$203,0),0)=0,"",INDEX('كشف الحساب'!$B$4:$B$203,IFERROR(MATCH(21,'كشف الحساب'!$N$4:$N$203,0),0))),"")</f>
        <v>0</v>
      </c>
      <c r="C25" s="37" t="str">
        <f>IFERROR(IF(IFERROR(MATCH(21,'كشف الحساب'!$N$4:$N$203,0),0)=0,"",INDEX('كشف الحساب'!$C$4:$C$203,IFERROR(MATCH(21,'كشف الحساب'!$N$4:$N$203,0),0))),"")</f>
        <v>عصايا عدد 2000 احواض معاقات عدد 250</v>
      </c>
      <c r="D25" s="38">
        <f>IFERROR(IF(IFERROR(MATCH(21,'كشف الحساب'!$N$4:$N$203,0),0)=0,"",INDEX('كشف الحساب'!$D$4:$D$203,IFERROR(MATCH(21,'كشف الحساب'!$N$4:$N$203,0),0))),"")</f>
        <v>107.5</v>
      </c>
      <c r="E25" s="60">
        <f>IFERROR(IF(IFERROR(MATCH(21,'كشف الحساب'!$N$4:$N$203,0),0)=0,"",INDEX('كشف الحساب'!$E$4:$E$203,IFERROR(MATCH(21,'كشف الحساب'!$N$4:$N$203,0),0))),"")</f>
        <v>0</v>
      </c>
      <c r="F25" s="59" t="str">
        <f>IFERROR(IF(IFERROR(MATCH(21,'كشف الحساب'!$N$4:$N$203,0),0)=0,"",INDEX('كشف الحساب'!$F$4:$F$203,IFERROR(MATCH(21,'كشف الحساب'!$N$4:$N$203,0),0))),"")</f>
        <v>أحد الشركاء</v>
      </c>
      <c r="G25" s="59" t="str">
        <f>IFERROR(IF(IFERROR(MATCH(21,'كشف الحساب'!$N$4:$N$203,0),0)=0,"",INDEX('كشف الحساب'!$G$4:$G$203,IFERROR(MATCH(21,'كشف الحساب'!$N$4:$N$203,0),0))),"")</f>
        <v>أبو اسحاق</v>
      </c>
      <c r="H25" s="59" t="str">
        <f>IFERROR(IF(IFERROR(MATCH(21,'كشف الحساب'!$N$4:$N$203,0),0)=0,"",INDEX('كشف الحساب'!$H$4:$H$203,IFERROR(MATCH(21,'كشف الحساب'!$N$4:$N$203,0),0))),"")</f>
        <v>معلق</v>
      </c>
      <c r="I25" s="59">
        <f>IFERROR(IF(IFERROR(MATCH(21,'كشف الحساب'!$N$4:$N$203,0),0)=0,"",INDEX('كشف الحساب'!$I$4:$I$203,IFERROR(MATCH(21,'كشف الحساب'!$N$4:$N$203,0),0))),"")</f>
        <v>0</v>
      </c>
      <c r="J25" s="43">
        <f>IFERROR(IF(IFERROR(MATCH(21,'كشف الحساب'!$N$4:$N$203,0),0)=0,"",INDEX('كشف الحساب'!$J$4:$J$203,IFERROR(MATCH(21,'كشف الحساب'!$N$4:$N$203,0),0))),"")</f>
        <v>351.55</v>
      </c>
      <c r="K25" s="59">
        <f>IFERROR(IF(IFERROR(MATCH(21,'كشف الحساب'!$N$4:$N$203,0),0)=0,"",INDEX('كشف الحساب'!$K$4:$K$203,IFERROR(MATCH(21,'كشف الحساب'!$N$4:$N$203,0),0))),"")</f>
        <v>0</v>
      </c>
    </row>
    <row r="26" spans="1:11" ht="16.5" customHeight="1" x14ac:dyDescent="0.25">
      <c r="A26" s="25">
        <f>IFERROR(IF(IFERROR(MATCH(22,'كشف الحساب'!$N$4:$N$203,0),0)=0,"",INDEX('كشف الحساب'!$A$4:$A$203,IFERROR(MATCH(22,'كشف الحساب'!$N$4:$N$203,0),0))),"")</f>
        <v>46189</v>
      </c>
      <c r="B26" s="61" t="str">
        <f>IFERROR(IF(IFERROR(MATCH(22,'كشف الحساب'!$N$4:$N$203,0),0)=0,"",INDEX('كشف الحساب'!$B$4:$B$203,IFERROR(MATCH(22,'كشف الحساب'!$N$4:$N$203,0),0))),"")</f>
        <v>Inv-66</v>
      </c>
      <c r="C26" s="27" t="str">
        <f>IFERROR(IF(IFERROR(MATCH(22,'كشف الحساب'!$N$4:$N$203,0),0)=0,"",INDEX('كشف الحساب'!$C$4:$C$203,IFERROR(MATCH(22,'كشف الحساب'!$N$4:$N$203,0),0))),"")</f>
        <v>شوكليرا عدد10 الحبه 1.500</v>
      </c>
      <c r="D26" s="28">
        <f>IFERROR(IF(IFERROR(MATCH(22,'كشف الحساب'!$N$4:$N$203,0),0)=0,"",INDEX('كشف الحساب'!$D$4:$D$203,IFERROR(MATCH(22,'كشف الحساب'!$N$4:$N$203,0),0))),"")</f>
        <v>0</v>
      </c>
      <c r="E26" s="62">
        <f>IFERROR(IF(IFERROR(MATCH(22,'كشف الحساب'!$N$4:$N$203,0),0)=0,"",INDEX('كشف الحساب'!$E$4:$E$203,IFERROR(MATCH(22,'كشف الحساب'!$N$4:$N$203,0),0))),"")</f>
        <v>15</v>
      </c>
      <c r="F26" s="61" t="str">
        <f>IFERROR(IF(IFERROR(MATCH(22,'كشف الحساب'!$N$4:$N$203,0),0)=0,"",INDEX('كشف الحساب'!$F$4:$F$203,IFERROR(MATCH(22,'كشف الحساب'!$N$4:$N$203,0),0))),"")</f>
        <v>أون لاين</v>
      </c>
      <c r="G26" s="61">
        <f>IFERROR(IF(IFERROR(MATCH(22,'كشف الحساب'!$N$4:$N$203,0),0)=0,"",INDEX('كشف الحساب'!$G$4:$G$203,IFERROR(MATCH(22,'كشف الحساب'!$N$4:$N$203,0),0))),"")</f>
        <v>0</v>
      </c>
      <c r="H26" s="61" t="str">
        <f>IFERROR(IF(IFERROR(MATCH(22,'كشف الحساب'!$N$4:$N$203,0),0)=0,"",INDEX('كشف الحساب'!$H$4:$H$203,IFERROR(MATCH(22,'كشف الحساب'!$N$4:$N$203,0),0))),"")</f>
        <v>تم الدفع</v>
      </c>
      <c r="I26" s="61">
        <f>IFERROR(IF(IFERROR(MATCH(22,'كشف الحساب'!$N$4:$N$203,0),0)=0,"",INDEX('كشف الحساب'!$I$4:$I$203,IFERROR(MATCH(22,'كشف الحساب'!$N$4:$N$203,0),0))),"")</f>
        <v>0</v>
      </c>
      <c r="J26" s="34">
        <f>IFERROR(IF(IFERROR(MATCH(22,'كشف الحساب'!$N$4:$N$203,0),0)=0,"",INDEX('كشف الحساب'!$J$4:$J$203,IFERROR(MATCH(22,'كشف الحساب'!$N$4:$N$203,0),0))),"")</f>
        <v>366.55</v>
      </c>
      <c r="K26" s="61">
        <f>IFERROR(IF(IFERROR(MATCH(22,'كشف الحساب'!$N$4:$N$203,0),0)=0,"",INDEX('كشف الحساب'!$K$4:$K$203,IFERROR(MATCH(22,'كشف الحساب'!$N$4:$N$203,0),0))),"")</f>
        <v>0</v>
      </c>
    </row>
    <row r="27" spans="1:11" ht="16.5" customHeight="1" x14ac:dyDescent="0.25">
      <c r="A27" s="139">
        <f>IFERROR(IF(IFERROR(MATCH(23,'كشف الحساب'!$N$4:$N$203,0),0)=0,"",INDEX('كشف الحساب'!$A$4:$A$203,IFERROR(MATCH(23,'كشف الحساب'!$N$4:$N$203,0),0))),"")</f>
        <v>46189</v>
      </c>
      <c r="B27" s="59" t="str">
        <f>IFERROR(IF(IFERROR(MATCH(23,'كشف الحساب'!$N$4:$N$203,0),0)=0,"",INDEX('كشف الحساب'!$B$4:$B$203,IFERROR(MATCH(23,'كشف الحساب'!$N$4:$N$203,0),0))),"")</f>
        <v>Inv-67</v>
      </c>
      <c r="C27" s="37" t="str">
        <f>IFERROR(IF(IFERROR(MATCH(23,'كشف الحساب'!$N$4:$N$203,0),0)=0,"",INDEX('كشف الحساب'!$C$4:$C$203,IFERROR(MATCH(23,'كشف الحساب'!$N$4:$N$203,0),0))),"")</f>
        <v>فيكس عدد7 الحبه 1</v>
      </c>
      <c r="D27" s="38">
        <f>IFERROR(IF(IFERROR(MATCH(23,'كشف الحساب'!$N$4:$N$203,0),0)=0,"",INDEX('كشف الحساب'!$D$4:$D$203,IFERROR(MATCH(23,'كشف الحساب'!$N$4:$N$203,0),0))),"")</f>
        <v>0</v>
      </c>
      <c r="E27" s="60">
        <f>IFERROR(IF(IFERROR(MATCH(23,'كشف الحساب'!$N$4:$N$203,0),0)=0,"",INDEX('كشف الحساب'!$E$4:$E$203,IFERROR(MATCH(23,'كشف الحساب'!$N$4:$N$203,0),0))),"")</f>
        <v>7</v>
      </c>
      <c r="F27" s="59" t="str">
        <f>IFERROR(IF(IFERROR(MATCH(23,'كشف الحساب'!$N$4:$N$203,0),0)=0,"",INDEX('كشف الحساب'!$F$4:$F$203,IFERROR(MATCH(23,'كشف الحساب'!$N$4:$N$203,0),0))),"")</f>
        <v>أون لاين</v>
      </c>
      <c r="G27" s="59">
        <f>IFERROR(IF(IFERROR(MATCH(23,'كشف الحساب'!$N$4:$N$203,0),0)=0,"",INDEX('كشف الحساب'!$G$4:$G$203,IFERROR(MATCH(23,'كشف الحساب'!$N$4:$N$203,0),0))),"")</f>
        <v>0</v>
      </c>
      <c r="H27" s="59" t="str">
        <f>IFERROR(IF(IFERROR(MATCH(23,'كشف الحساب'!$N$4:$N$203,0),0)=0,"",INDEX('كشف الحساب'!$H$4:$H$203,IFERROR(MATCH(23,'كشف الحساب'!$N$4:$N$203,0),0))),"")</f>
        <v>تم الدفع</v>
      </c>
      <c r="I27" s="59">
        <f>IFERROR(IF(IFERROR(MATCH(23,'كشف الحساب'!$N$4:$N$203,0),0)=0,"",INDEX('كشف الحساب'!$I$4:$I$203,IFERROR(MATCH(23,'كشف الحساب'!$N$4:$N$203,0),0))),"")</f>
        <v>0</v>
      </c>
      <c r="J27" s="43">
        <f>IFERROR(IF(IFERROR(MATCH(23,'كشف الحساب'!$N$4:$N$203,0),0)=0,"",INDEX('كشف الحساب'!$J$4:$J$203,IFERROR(MATCH(23,'كشف الحساب'!$N$4:$N$203,0),0))),"")</f>
        <v>373.55</v>
      </c>
      <c r="K27" s="59">
        <f>IFERROR(IF(IFERROR(MATCH(23,'كشف الحساب'!$N$4:$N$203,0),0)=0,"",INDEX('كشف الحساب'!$K$4:$K$203,IFERROR(MATCH(23,'كشف الحساب'!$N$4:$N$203,0),0))),"")</f>
        <v>0</v>
      </c>
    </row>
    <row r="28" spans="1:11" ht="16.5" customHeight="1" x14ac:dyDescent="0.25">
      <c r="A28" s="25">
        <f>IFERROR(IF(IFERROR(MATCH(24,'كشف الحساب'!$N$4:$N$203,0),0)=0,"",INDEX('كشف الحساب'!$A$4:$A$203,IFERROR(MATCH(24,'كشف الحساب'!$N$4:$N$203,0),0))),"")</f>
        <v>46189</v>
      </c>
      <c r="B28" s="61" t="str">
        <f>IFERROR(IF(IFERROR(MATCH(24,'كشف الحساب'!$N$4:$N$203,0),0)=0,"",INDEX('كشف الحساب'!$B$4:$B$203,IFERROR(MATCH(24,'كشف الحساب'!$N$4:$N$203,0),0))),"")</f>
        <v>Inv-68</v>
      </c>
      <c r="C28" s="27" t="str">
        <f>IFERROR(IF(IFERROR(MATCH(24,'كشف الحساب'!$N$4:$N$203,0),0)=0,"",INDEX('كشف الحساب'!$C$4:$C$203,IFERROR(MATCH(24,'كشف الحساب'!$N$4:$N$203,0),0))),"")</f>
        <v>ربل عدد 5 الحبه 2</v>
      </c>
      <c r="D28" s="28">
        <f>IFERROR(IF(IFERROR(MATCH(24,'كشف الحساب'!$N$4:$N$203,0),0)=0,"",INDEX('كشف الحساب'!$D$4:$D$203,IFERROR(MATCH(24,'كشف الحساب'!$N$4:$N$203,0),0))),"")</f>
        <v>0</v>
      </c>
      <c r="E28" s="62">
        <f>IFERROR(IF(IFERROR(MATCH(24,'كشف الحساب'!$N$4:$N$203,0),0)=0,"",INDEX('كشف الحساب'!$E$4:$E$203,IFERROR(MATCH(24,'كشف الحساب'!$N$4:$N$203,0),0))),"")</f>
        <v>10</v>
      </c>
      <c r="F28" s="61" t="str">
        <f>IFERROR(IF(IFERROR(MATCH(24,'كشف الحساب'!$N$4:$N$203,0),0)=0,"",INDEX('كشف الحساب'!$F$4:$F$203,IFERROR(MATCH(24,'كشف الحساب'!$N$4:$N$203,0),0))),"")</f>
        <v>أون لاين</v>
      </c>
      <c r="G28" s="61">
        <f>IFERROR(IF(IFERROR(MATCH(24,'كشف الحساب'!$N$4:$N$203,0),0)=0,"",INDEX('كشف الحساب'!$G$4:$G$203,IFERROR(MATCH(24,'كشف الحساب'!$N$4:$N$203,0),0))),"")</f>
        <v>0</v>
      </c>
      <c r="H28" s="61" t="str">
        <f>IFERROR(IF(IFERROR(MATCH(24,'كشف الحساب'!$N$4:$N$203,0),0)=0,"",INDEX('كشف الحساب'!$H$4:$H$203,IFERROR(MATCH(24,'كشف الحساب'!$N$4:$N$203,0),0))),"")</f>
        <v>تم الدفع</v>
      </c>
      <c r="I28" s="61">
        <f>IFERROR(IF(IFERROR(MATCH(24,'كشف الحساب'!$N$4:$N$203,0),0)=0,"",INDEX('كشف الحساب'!$I$4:$I$203,IFERROR(MATCH(24,'كشف الحساب'!$N$4:$N$203,0),0))),"")</f>
        <v>0</v>
      </c>
      <c r="J28" s="34">
        <f>IFERROR(IF(IFERROR(MATCH(24,'كشف الحساب'!$N$4:$N$203,0),0)=0,"",INDEX('كشف الحساب'!$J$4:$J$203,IFERROR(MATCH(24,'كشف الحساب'!$N$4:$N$203,0),0))),"")</f>
        <v>383.55</v>
      </c>
      <c r="K28" s="61">
        <f>IFERROR(IF(IFERROR(MATCH(24,'كشف الحساب'!$N$4:$N$203,0),0)=0,"",INDEX('كشف الحساب'!$K$4:$K$203,IFERROR(MATCH(24,'كشف الحساب'!$N$4:$N$203,0),0))),"")</f>
        <v>0</v>
      </c>
    </row>
    <row r="29" spans="1:11" ht="16.5" customHeight="1" x14ac:dyDescent="0.25">
      <c r="A29" s="139">
        <f>IFERROR(IF(IFERROR(MATCH(25,'كشف الحساب'!$N$4:$N$203,0),0)=0,"",INDEX('كشف الحساب'!$A$4:$A$203,IFERROR(MATCH(25,'كشف الحساب'!$N$4:$N$203,0),0))),"")</f>
        <v>46189</v>
      </c>
      <c r="B29" s="59" t="str">
        <f>IFERROR(IF(IFERROR(MATCH(25,'كشف الحساب'!$N$4:$N$203,0),0)=0,"",INDEX('كشف الحساب'!$B$4:$B$203,IFERROR(MATCH(25,'كشف الحساب'!$N$4:$N$203,0),0))),"")</f>
        <v>Inv-69</v>
      </c>
      <c r="C29" s="37" t="str">
        <f>IFERROR(IF(IFERROR(MATCH(25,'كشف الحساب'!$N$4:$N$203,0),0)=0,"",INDEX('كشف الحساب'!$C$4:$C$203,IFERROR(MATCH(25,'كشف الحساب'!$N$4:$N$203,0),0))),"")</f>
        <v>فل عدد 24 الحبه .750</v>
      </c>
      <c r="D29" s="38">
        <f>IFERROR(IF(IFERROR(MATCH(25,'كشف الحساب'!$N$4:$N$203,0),0)=0,"",INDEX('كشف الحساب'!$D$4:$D$203,IFERROR(MATCH(25,'كشف الحساب'!$N$4:$N$203,0),0))),"")</f>
        <v>0</v>
      </c>
      <c r="E29" s="60">
        <f>IFERROR(IF(IFERROR(MATCH(25,'كشف الحساب'!$N$4:$N$203,0),0)=0,"",INDEX('كشف الحساب'!$E$4:$E$203,IFERROR(MATCH(25,'كشف الحساب'!$N$4:$N$203,0),0))),"")</f>
        <v>18</v>
      </c>
      <c r="F29" s="59" t="str">
        <f>IFERROR(IF(IFERROR(MATCH(25,'كشف الحساب'!$N$4:$N$203,0),0)=0,"",INDEX('كشف الحساب'!$F$4:$F$203,IFERROR(MATCH(25,'كشف الحساب'!$N$4:$N$203,0),0))),"")</f>
        <v>أون لاين</v>
      </c>
      <c r="G29" s="59">
        <f>IFERROR(IF(IFERROR(MATCH(25,'كشف الحساب'!$N$4:$N$203,0),0)=0,"",INDEX('كشف الحساب'!$G$4:$G$203,IFERROR(MATCH(25,'كشف الحساب'!$N$4:$N$203,0),0))),"")</f>
        <v>0</v>
      </c>
      <c r="H29" s="59" t="str">
        <f>IFERROR(IF(IFERROR(MATCH(25,'كشف الحساب'!$N$4:$N$203,0),0)=0,"",INDEX('كشف الحساب'!$H$4:$H$203,IFERROR(MATCH(25,'كشف الحساب'!$N$4:$N$203,0),0))),"")</f>
        <v>تم الدفع</v>
      </c>
      <c r="I29" s="59">
        <f>IFERROR(IF(IFERROR(MATCH(25,'كشف الحساب'!$N$4:$N$203,0),0)=0,"",INDEX('كشف الحساب'!$I$4:$I$203,IFERROR(MATCH(25,'كشف الحساب'!$N$4:$N$203,0),0))),"")</f>
        <v>0</v>
      </c>
      <c r="J29" s="43">
        <f>IFERROR(IF(IFERROR(MATCH(25,'كشف الحساب'!$N$4:$N$203,0),0)=0,"",INDEX('كشف الحساب'!$J$4:$J$203,IFERROR(MATCH(25,'كشف الحساب'!$N$4:$N$203,0),0))),"")</f>
        <v>401.55</v>
      </c>
      <c r="K29" s="59">
        <f>IFERROR(IF(IFERROR(MATCH(25,'كشف الحساب'!$N$4:$N$203,0),0)=0,"",INDEX('كشف الحساب'!$K$4:$K$203,IFERROR(MATCH(25,'كشف الحساب'!$N$4:$N$203,0),0))),"")</f>
        <v>0</v>
      </c>
    </row>
    <row r="30" spans="1:11" ht="16.5" customHeight="1" x14ac:dyDescent="0.25">
      <c r="A30" s="25">
        <f>IFERROR(IF(IFERROR(MATCH(26,'كشف الحساب'!$N$4:$N$203,0),0)=0,"",INDEX('كشف الحساب'!$A$4:$A$203,IFERROR(MATCH(26,'كشف الحساب'!$N$4:$N$203,0),0))),"")</f>
        <v>46188</v>
      </c>
      <c r="B30" s="61">
        <f>IFERROR(IF(IFERROR(MATCH(26,'كشف الحساب'!$N$4:$N$203,0),0)=0,"",INDEX('كشف الحساب'!$B$4:$B$203,IFERROR(MATCH(26,'كشف الحساب'!$N$4:$N$203,0),0))),"")</f>
        <v>0</v>
      </c>
      <c r="C30" s="27" t="str">
        <f>IFERROR(IF(IFERROR(MATCH(26,'كشف الحساب'!$N$4:$N$203,0),0)=0,"",INDEX('كشف الحساب'!$C$4:$C$203,IFERROR(MATCH(26,'كشف الحساب'!$N$4:$N$203,0),0))),"")</f>
        <v>أقامه عبدول</v>
      </c>
      <c r="D30" s="28">
        <f>IFERROR(IF(IFERROR(MATCH(26,'كشف الحساب'!$N$4:$N$203,0),0)=0,"",INDEX('كشف الحساب'!$D$4:$D$203,IFERROR(MATCH(26,'كشف الحساب'!$N$4:$N$203,0),0))),"")</f>
        <v>25</v>
      </c>
      <c r="E30" s="62">
        <f>IFERROR(IF(IFERROR(MATCH(26,'كشف الحساب'!$N$4:$N$203,0),0)=0,"",INDEX('كشف الحساب'!$E$4:$E$203,IFERROR(MATCH(26,'كشف الحساب'!$N$4:$N$203,0),0))),"")</f>
        <v>0</v>
      </c>
      <c r="F30" s="61" t="str">
        <f>IFERROR(IF(IFERROR(MATCH(26,'كشف الحساب'!$N$4:$N$203,0),0)=0,"",INDEX('كشف الحساب'!$F$4:$F$203,IFERROR(MATCH(26,'كشف الحساب'!$N$4:$N$203,0),0))),"")</f>
        <v>أون لاين</v>
      </c>
      <c r="G30" s="61" t="str">
        <f>IFERROR(IF(IFERROR(MATCH(26,'كشف الحساب'!$N$4:$N$203,0),0)=0,"",INDEX('كشف الحساب'!$G$4:$G$203,IFERROR(MATCH(26,'كشف الحساب'!$N$4:$N$203,0),0))),"")</f>
        <v>المحفظة</v>
      </c>
      <c r="H30" s="61" t="str">
        <f>IFERROR(IF(IFERROR(MATCH(26,'كشف الحساب'!$N$4:$N$203,0),0)=0,"",INDEX('كشف الحساب'!$H$4:$H$203,IFERROR(MATCH(26,'كشف الحساب'!$N$4:$N$203,0),0))),"")</f>
        <v>تم الدفع</v>
      </c>
      <c r="I30" s="61">
        <f>IFERROR(IF(IFERROR(MATCH(26,'كشف الحساب'!$N$4:$N$203,0),0)=0,"",INDEX('كشف الحساب'!$I$4:$I$203,IFERROR(MATCH(26,'كشف الحساب'!$N$4:$N$203,0),0))),"")</f>
        <v>0</v>
      </c>
      <c r="J30" s="34">
        <f>IFERROR(IF(IFERROR(MATCH(26,'كشف الحساب'!$N$4:$N$203,0),0)=0,"",INDEX('كشف الحساب'!$J$4:$J$203,IFERROR(MATCH(26,'كشف الحساب'!$N$4:$N$203,0),0))),"")</f>
        <v>376.55</v>
      </c>
      <c r="K30" s="61">
        <f>IFERROR(IF(IFERROR(MATCH(26,'كشف الحساب'!$N$4:$N$203,0),0)=0,"",INDEX('كشف الحساب'!$K$4:$K$203,IFERROR(MATCH(26,'كشف الحساب'!$N$4:$N$203,0),0))),"")</f>
        <v>0</v>
      </c>
    </row>
    <row r="31" spans="1:11" ht="16.5" customHeight="1" x14ac:dyDescent="0.25">
      <c r="A31" s="139">
        <f>IFERROR(IF(IFERROR(MATCH(27,'كشف الحساب'!$N$4:$N$203,0),0)=0,"",INDEX('كشف الحساب'!$A$4:$A$203,IFERROR(MATCH(27,'كشف الحساب'!$N$4:$N$203,0),0))),"")</f>
        <v>46190</v>
      </c>
      <c r="B31" s="59" t="str">
        <f>IFERROR(IF(IFERROR(MATCH(27,'كشف الحساب'!$N$4:$N$203,0),0)=0,"",INDEX('كشف الحساب'!$B$4:$B$203,IFERROR(MATCH(27,'كشف الحساب'!$N$4:$N$203,0),0))),"")</f>
        <v>Inv-70</v>
      </c>
      <c r="C31" s="37" t="str">
        <f>IFERROR(IF(IFERROR(MATCH(27,'كشف الحساب'!$N$4:$N$203,0),0)=0,"",INDEX('كشف الحساب'!$C$4:$C$203,IFERROR(MATCH(27,'كشف الحساب'!$N$4:$N$203,0),0))),"")</f>
        <v>افوبياعدد 1 الحبه .0.750</v>
      </c>
      <c r="D31" s="38">
        <f>IFERROR(IF(IFERROR(MATCH(27,'كشف الحساب'!$N$4:$N$203,0),0)=0,"",INDEX('كشف الحساب'!$D$4:$D$203,IFERROR(MATCH(27,'كشف الحساب'!$N$4:$N$203,0),0))),"")</f>
        <v>0</v>
      </c>
      <c r="E31" s="60">
        <f>IFERROR(IF(IFERROR(MATCH(27,'كشف الحساب'!$N$4:$N$203,0),0)=0,"",INDEX('كشف الحساب'!$E$4:$E$203,IFERROR(MATCH(27,'كشف الحساب'!$N$4:$N$203,0),0))),"")</f>
        <v>0.75</v>
      </c>
      <c r="F31" s="59" t="str">
        <f>IFERROR(IF(IFERROR(MATCH(27,'كشف الحساب'!$N$4:$N$203,0),0)=0,"",INDEX('كشف الحساب'!$F$4:$F$203,IFERROR(MATCH(27,'كشف الحساب'!$N$4:$N$203,0),0))),"")</f>
        <v>أون لاين</v>
      </c>
      <c r="G31" s="59">
        <f>IFERROR(IF(IFERROR(MATCH(27,'كشف الحساب'!$N$4:$N$203,0),0)=0,"",INDEX('كشف الحساب'!$G$4:$G$203,IFERROR(MATCH(27,'كشف الحساب'!$N$4:$N$203,0),0))),"")</f>
        <v>0</v>
      </c>
      <c r="H31" s="59" t="str">
        <f>IFERROR(IF(IFERROR(MATCH(27,'كشف الحساب'!$N$4:$N$203,0),0)=0,"",INDEX('كشف الحساب'!$H$4:$H$203,IFERROR(MATCH(27,'كشف الحساب'!$N$4:$N$203,0),0))),"")</f>
        <v>تم الدفع</v>
      </c>
      <c r="I31" s="59">
        <f>IFERROR(IF(IFERROR(MATCH(27,'كشف الحساب'!$N$4:$N$203,0),0)=0,"",INDEX('كشف الحساب'!$I$4:$I$203,IFERROR(MATCH(27,'كشف الحساب'!$N$4:$N$203,0),0))),"")</f>
        <v>0</v>
      </c>
      <c r="J31" s="43">
        <f>IFERROR(IF(IFERROR(MATCH(27,'كشف الحساب'!$N$4:$N$203,0),0)=0,"",INDEX('كشف الحساب'!$J$4:$J$203,IFERROR(MATCH(27,'كشف الحساب'!$N$4:$N$203,0),0))),"")</f>
        <v>377.3</v>
      </c>
      <c r="K31" s="59">
        <f>IFERROR(IF(IFERROR(MATCH(27,'كشف الحساب'!$N$4:$N$203,0),0)=0,"",INDEX('كشف الحساب'!$K$4:$K$203,IFERROR(MATCH(27,'كشف الحساب'!$N$4:$N$203,0),0))),"")</f>
        <v>0</v>
      </c>
    </row>
    <row r="32" spans="1:11" ht="16.5" customHeight="1" x14ac:dyDescent="0.25">
      <c r="A32" s="25">
        <f>IFERROR(IF(IFERROR(MATCH(28,'كشف الحساب'!$N$4:$N$203,0),0)=0,"",INDEX('كشف الحساب'!$A$4:$A$203,IFERROR(MATCH(28,'كشف الحساب'!$N$4:$N$203,0),0))),"")</f>
        <v>46190</v>
      </c>
      <c r="B32" s="61" t="str">
        <f>IFERROR(IF(IFERROR(MATCH(28,'كشف الحساب'!$N$4:$N$203,0),0)=0,"",INDEX('كشف الحساب'!$B$4:$B$203,IFERROR(MATCH(28,'كشف الحساب'!$N$4:$N$203,0),0))),"")</f>
        <v>Inv-71</v>
      </c>
      <c r="C32" s="27" t="str">
        <f>IFERROR(IF(IFERROR(MATCH(28,'كشف الحساب'!$N$4:$N$203,0),0)=0,"",INDEX('كشف الحساب'!$C$4:$C$203,IFERROR(MATCH(28,'كشف الحساب'!$N$4:$N$203,0),0))),"")</f>
        <v>دارسينا عدد 1 الحبه 1.500</v>
      </c>
      <c r="D32" s="28">
        <f>IFERROR(IF(IFERROR(MATCH(28,'كشف الحساب'!$N$4:$N$203,0),0)=0,"",INDEX('كشف الحساب'!$D$4:$D$203,IFERROR(MATCH(28,'كشف الحساب'!$N$4:$N$203,0),0))),"")</f>
        <v>0</v>
      </c>
      <c r="E32" s="62">
        <f>IFERROR(IF(IFERROR(MATCH(28,'كشف الحساب'!$N$4:$N$203,0),0)=0,"",INDEX('كشف الحساب'!$E$4:$E$203,IFERROR(MATCH(28,'كشف الحساب'!$N$4:$N$203,0),0))),"")</f>
        <v>1.5</v>
      </c>
      <c r="F32" s="61" t="str">
        <f>IFERROR(IF(IFERROR(MATCH(28,'كشف الحساب'!$N$4:$N$203,0),0)=0,"",INDEX('كشف الحساب'!$F$4:$F$203,IFERROR(MATCH(28,'كشف الحساب'!$N$4:$N$203,0),0))),"")</f>
        <v>أون لاين</v>
      </c>
      <c r="G32" s="61">
        <f>IFERROR(IF(IFERROR(MATCH(28,'كشف الحساب'!$N$4:$N$203,0),0)=0,"",INDEX('كشف الحساب'!$G$4:$G$203,IFERROR(MATCH(28,'كشف الحساب'!$N$4:$N$203,0),0))),"")</f>
        <v>0</v>
      </c>
      <c r="H32" s="61" t="str">
        <f>IFERROR(IF(IFERROR(MATCH(28,'كشف الحساب'!$N$4:$N$203,0),0)=0,"",INDEX('كشف الحساب'!$H$4:$H$203,IFERROR(MATCH(28,'كشف الحساب'!$N$4:$N$203,0),0))),"")</f>
        <v>تم الدفع</v>
      </c>
      <c r="I32" s="61">
        <f>IFERROR(IF(IFERROR(MATCH(28,'كشف الحساب'!$N$4:$N$203,0),0)=0,"",INDEX('كشف الحساب'!$I$4:$I$203,IFERROR(MATCH(28,'كشف الحساب'!$N$4:$N$203,0),0))),"")</f>
        <v>0</v>
      </c>
      <c r="J32" s="34">
        <f>IFERROR(IF(IFERROR(MATCH(28,'كشف الحساب'!$N$4:$N$203,0),0)=0,"",INDEX('كشف الحساب'!$J$4:$J$203,IFERROR(MATCH(28,'كشف الحساب'!$N$4:$N$203,0),0))),"")</f>
        <v>378.8</v>
      </c>
      <c r="K32" s="61">
        <f>IFERROR(IF(IFERROR(MATCH(28,'كشف الحساب'!$N$4:$N$203,0),0)=0,"",INDEX('كشف الحساب'!$K$4:$K$203,IFERROR(MATCH(28,'كشف الحساب'!$N$4:$N$203,0),0))),"")</f>
        <v>0</v>
      </c>
    </row>
    <row r="33" spans="1:11" ht="16.5" customHeight="1" x14ac:dyDescent="0.25">
      <c r="A33" s="139">
        <f>IFERROR(IF(IFERROR(MATCH(29,'كشف الحساب'!$N$4:$N$203,0),0)=0,"",INDEX('كشف الحساب'!$A$4:$A$203,IFERROR(MATCH(29,'كشف الحساب'!$N$4:$N$203,0),0))),"")</f>
        <v>46191</v>
      </c>
      <c r="B33" s="59" t="str">
        <f>IFERROR(IF(IFERROR(MATCH(29,'كشف الحساب'!$N$4:$N$203,0),0)=0,"",INDEX('كشف الحساب'!$B$4:$B$203,IFERROR(MATCH(29,'كشف الحساب'!$N$4:$N$203,0),0))),"")</f>
        <v>Inv-72</v>
      </c>
      <c r="C33" s="37" t="str">
        <f>IFERROR(IF(IFERROR(MATCH(29,'كشف الحساب'!$N$4:$N$203,0),0)=0,"",INDEX('كشف الحساب'!$C$4:$C$203,IFERROR(MATCH(29,'كشف الحساب'!$N$4:$N$203,0),0))),"")</f>
        <v>فل عدد 1 الحبه 0.750</v>
      </c>
      <c r="D33" s="38">
        <f>IFERROR(IF(IFERROR(MATCH(29,'كشف الحساب'!$N$4:$N$203,0),0)=0,"",INDEX('كشف الحساب'!$D$4:$D$203,IFERROR(MATCH(29,'كشف الحساب'!$N$4:$N$203,0),0))),"")</f>
        <v>0</v>
      </c>
      <c r="E33" s="60">
        <f>IFERROR(IF(IFERROR(MATCH(29,'كشف الحساب'!$N$4:$N$203,0),0)=0,"",INDEX('كشف الحساب'!$E$4:$E$203,IFERROR(MATCH(29,'كشف الحساب'!$N$4:$N$203,0),0))),"")</f>
        <v>0.75</v>
      </c>
      <c r="F33" s="59" t="str">
        <f>IFERROR(IF(IFERROR(MATCH(29,'كشف الحساب'!$N$4:$N$203,0),0)=0,"",INDEX('كشف الحساب'!$F$4:$F$203,IFERROR(MATCH(29,'كشف الحساب'!$N$4:$N$203,0),0))),"")</f>
        <v>أون لاين</v>
      </c>
      <c r="G33" s="59">
        <f>IFERROR(IF(IFERROR(MATCH(29,'كشف الحساب'!$N$4:$N$203,0),0)=0,"",INDEX('كشف الحساب'!$G$4:$G$203,IFERROR(MATCH(29,'كشف الحساب'!$N$4:$N$203,0),0))),"")</f>
        <v>0</v>
      </c>
      <c r="H33" s="59" t="str">
        <f>IFERROR(IF(IFERROR(MATCH(29,'كشف الحساب'!$N$4:$N$203,0),0)=0,"",INDEX('كشف الحساب'!$H$4:$H$203,IFERROR(MATCH(29,'كشف الحساب'!$N$4:$N$203,0),0))),"")</f>
        <v>تم الدفع</v>
      </c>
      <c r="I33" s="59">
        <f>IFERROR(IF(IFERROR(MATCH(29,'كشف الحساب'!$N$4:$N$203,0),0)=0,"",INDEX('كشف الحساب'!$I$4:$I$203,IFERROR(MATCH(29,'كشف الحساب'!$N$4:$N$203,0),0))),"")</f>
        <v>0</v>
      </c>
      <c r="J33" s="43">
        <f>IFERROR(IF(IFERROR(MATCH(29,'كشف الحساب'!$N$4:$N$203,0),0)=0,"",INDEX('كشف الحساب'!$J$4:$J$203,IFERROR(MATCH(29,'كشف الحساب'!$N$4:$N$203,0),0))),"")</f>
        <v>379.55</v>
      </c>
      <c r="K33" s="59">
        <f>IFERROR(IF(IFERROR(MATCH(29,'كشف الحساب'!$N$4:$N$203,0),0)=0,"",INDEX('كشف الحساب'!$K$4:$K$203,IFERROR(MATCH(29,'كشف الحساب'!$N$4:$N$203,0),0))),"")</f>
        <v>0</v>
      </c>
    </row>
    <row r="34" spans="1:11" ht="16.5" customHeight="1" x14ac:dyDescent="0.25">
      <c r="A34" s="25">
        <f>IFERROR(IF(IFERROR(MATCH(30,'كشف الحساب'!$N$4:$N$203,0),0)=0,"",INDEX('كشف الحساب'!$A$4:$A$203,IFERROR(MATCH(30,'كشف الحساب'!$N$4:$N$203,0),0))),"")</f>
        <v>46191</v>
      </c>
      <c r="B34" s="61" t="str">
        <f>IFERROR(IF(IFERROR(MATCH(30,'كشف الحساب'!$N$4:$N$203,0),0)=0,"",INDEX('كشف الحساب'!$B$4:$B$203,IFERROR(MATCH(30,'كشف الحساب'!$N$4:$N$203,0),0))),"")</f>
        <v>Inv-73</v>
      </c>
      <c r="C34" s="27" t="str">
        <f>IFERROR(IF(IFERROR(MATCH(30,'كشف الحساب'!$N$4:$N$203,0),0)=0,"",INDEX('كشف الحساب'!$C$4:$C$203,IFERROR(MATCH(30,'كشف الحساب'!$N$4:$N$203,0),0))),"")</f>
        <v>ودليه عدد 3 الحبه 1</v>
      </c>
      <c r="D34" s="28">
        <f>IFERROR(IF(IFERROR(MATCH(30,'كشف الحساب'!$N$4:$N$203,0),0)=0,"",INDEX('كشف الحساب'!$D$4:$D$203,IFERROR(MATCH(30,'كشف الحساب'!$N$4:$N$203,0),0))),"")</f>
        <v>0</v>
      </c>
      <c r="E34" s="62">
        <f>IFERROR(IF(IFERROR(MATCH(30,'كشف الحساب'!$N$4:$N$203,0),0)=0,"",INDEX('كشف الحساب'!$E$4:$E$203,IFERROR(MATCH(30,'كشف الحساب'!$N$4:$N$203,0),0))),"")</f>
        <v>3</v>
      </c>
      <c r="F34" s="61" t="str">
        <f>IFERROR(IF(IFERROR(MATCH(30,'كشف الحساب'!$N$4:$N$203,0),0)=0,"",INDEX('كشف الحساب'!$F$4:$F$203,IFERROR(MATCH(30,'كشف الحساب'!$N$4:$N$203,0),0))),"")</f>
        <v>أون لاين</v>
      </c>
      <c r="G34" s="61">
        <f>IFERROR(IF(IFERROR(MATCH(30,'كشف الحساب'!$N$4:$N$203,0),0)=0,"",INDEX('كشف الحساب'!$G$4:$G$203,IFERROR(MATCH(30,'كشف الحساب'!$N$4:$N$203,0),0))),"")</f>
        <v>0</v>
      </c>
      <c r="H34" s="61" t="str">
        <f>IFERROR(IF(IFERROR(MATCH(30,'كشف الحساب'!$N$4:$N$203,0),0)=0,"",INDEX('كشف الحساب'!$H$4:$H$203,IFERROR(MATCH(30,'كشف الحساب'!$N$4:$N$203,0),0))),"")</f>
        <v>تم الدفع</v>
      </c>
      <c r="I34" s="61">
        <f>IFERROR(IF(IFERROR(MATCH(30,'كشف الحساب'!$N$4:$N$203,0),0)=0,"",INDEX('كشف الحساب'!$I$4:$I$203,IFERROR(MATCH(30,'كشف الحساب'!$N$4:$N$203,0),0))),"")</f>
        <v>0</v>
      </c>
      <c r="J34" s="34">
        <f>IFERROR(IF(IFERROR(MATCH(30,'كشف الحساب'!$N$4:$N$203,0),0)=0,"",INDEX('كشف الحساب'!$J$4:$J$203,IFERROR(MATCH(30,'كشف الحساب'!$N$4:$N$203,0),0))),"")</f>
        <v>382.55</v>
      </c>
      <c r="K34" s="61">
        <f>IFERROR(IF(IFERROR(MATCH(30,'كشف الحساب'!$N$4:$N$203,0),0)=0,"",INDEX('كشف الحساب'!$K$4:$K$203,IFERROR(MATCH(30,'كشف الحساب'!$N$4:$N$203,0),0))),"")</f>
        <v>0</v>
      </c>
    </row>
    <row r="35" spans="1:11" ht="15" customHeight="1" x14ac:dyDescent="0.25">
      <c r="A35" s="63">
        <f>IFERROR(IF(IFERROR(MATCH(31,'كشف الحساب'!$N$4:$N$203,0),0)=0,"",INDEX('كشف الحساب'!$A$4:$A$203,IFERROR(MATCH(31,'كشف الحساب'!$N$4:$N$203,0),0))),"")</f>
        <v>46199</v>
      </c>
      <c r="B35" s="64" t="str">
        <f>IFERROR(IF(IFERROR(MATCH(31,'كشف الحساب'!$N$4:$N$203,0),0)=0,"",INDEX('كشف الحساب'!$B$4:$B$203,IFERROR(MATCH(31,'كشف الحساب'!$N$4:$N$203,0),0))),"")</f>
        <v>Inv-74</v>
      </c>
      <c r="C35" s="65" t="str">
        <f>IFERROR(IF(IFERROR(MATCH(31,'كشف الحساب'!$N$4:$N$203,0),0)=0,"",INDEX('كشف الحساب'!$C$4:$C$203,IFERROR(MATCH(31,'كشف الحساب'!$N$4:$N$203,0),0))),"")</f>
        <v>ربل عدد 11 الحبه 2</v>
      </c>
      <c r="D35" s="66">
        <f>IFERROR(IF(IFERROR(MATCH(31,'كشف الحساب'!$N$4:$N$203,0),0)=0,"",INDEX('كشف الحساب'!$D$4:$D$203,IFERROR(MATCH(31,'كشف الحساب'!$N$4:$N$203,0),0))),"")</f>
        <v>0</v>
      </c>
      <c r="E35" s="67">
        <f>IFERROR(IF(IFERROR(MATCH(31,'كشف الحساب'!$N$4:$N$203,0),0)=0,"",INDEX('كشف الحساب'!$E$4:$E$203,IFERROR(MATCH(31,'كشف الحساب'!$N$4:$N$203,0),0))),"")</f>
        <v>22</v>
      </c>
      <c r="F35" s="64" t="str">
        <f>IFERROR(IF(IFERROR(MATCH(31,'كشف الحساب'!$N$4:$N$203,0),0)=0,"",INDEX('كشف الحساب'!$F$4:$F$203,IFERROR(MATCH(31,'كشف الحساب'!$N$4:$N$203,0),0))),"")</f>
        <v>أون لاين</v>
      </c>
      <c r="G35" s="64">
        <f>IFERROR(IF(IFERROR(MATCH(31,'كشف الحساب'!$N$4:$N$203,0),0)=0,"",INDEX('كشف الحساب'!$G$4:$G$203,IFERROR(MATCH(31,'كشف الحساب'!$N$4:$N$203,0),0))),"")</f>
        <v>0</v>
      </c>
      <c r="H35" s="64" t="str">
        <f>IFERROR(IF(IFERROR(MATCH(31,'كشف الحساب'!$N$4:$N$203,0),0)=0,"",INDEX('كشف الحساب'!$H$4:$H$203,IFERROR(MATCH(31,'كشف الحساب'!$N$4:$N$203,0),0))),"")</f>
        <v>تم الدفع</v>
      </c>
      <c r="I35" s="64">
        <f>IFERROR(IF(IFERROR(MATCH(31,'كشف الحساب'!$N$4:$N$203,0),0)=0,"",INDEX('كشف الحساب'!$I$4:$I$203,IFERROR(MATCH(31,'كشف الحساب'!$N$4:$N$203,0),0))),"")</f>
        <v>0</v>
      </c>
      <c r="J35" s="68">
        <f>IFERROR(IF(IFERROR(MATCH(31,'كشف الحساب'!$N$4:$N$203,0),0)=0,"",INDEX('كشف الحساب'!$J$4:$J$203,IFERROR(MATCH(31,'كشف الحساب'!$N$4:$N$203,0),0))),"")</f>
        <v>404.55</v>
      </c>
      <c r="K35" s="64">
        <f>IFERROR(IF(IFERROR(MATCH(31,'كشف الحساب'!$N$4:$N$203,0),0)=0,"",INDEX('كشف الحساب'!$K$4:$K$203,IFERROR(MATCH(31,'كشف الحساب'!$N$4:$N$203,0),0))),"")</f>
        <v>0</v>
      </c>
    </row>
    <row r="36" spans="1:11" ht="15" customHeight="1" x14ac:dyDescent="0.25">
      <c r="A36" s="69">
        <f>IFERROR(IF(IFERROR(MATCH(32,'كشف الحساب'!$N$4:$N$203,0),0)=0,"",INDEX('كشف الحساب'!$A$4:$A$203,IFERROR(MATCH(32,'كشف الحساب'!$N$4:$N$203,0),0))),"")</f>
        <v>46199</v>
      </c>
      <c r="B36" s="70" t="str">
        <f>IFERROR(IF(IFERROR(MATCH(32,'كشف الحساب'!$N$4:$N$203,0),0)=0,"",INDEX('كشف الحساب'!$B$4:$B$203,IFERROR(MATCH(32,'كشف الحساب'!$N$4:$N$203,0),0))),"")</f>
        <v>Inv-75</v>
      </c>
      <c r="C36" s="71" t="str">
        <f>IFERROR(IF(IFERROR(MATCH(32,'كشف الحساب'!$N$4:$N$203,0),0)=0,"",INDEX('كشف الحساب'!$C$4:$C$203,IFERROR(MATCH(32,'كشف الحساب'!$N$4:$N$203,0),0))),"")</f>
        <v>شوفليرا عدد6 الحبه 1.500</v>
      </c>
      <c r="D36" s="72">
        <f>IFERROR(IF(IFERROR(MATCH(32,'كشف الحساب'!$N$4:$N$203,0),0)=0,"",INDEX('كشف الحساب'!$D$4:$D$203,IFERROR(MATCH(32,'كشف الحساب'!$N$4:$N$203,0),0))),"")</f>
        <v>0</v>
      </c>
      <c r="E36" s="73">
        <f>IFERROR(IF(IFERROR(MATCH(32,'كشف الحساب'!$N$4:$N$203,0),0)=0,"",INDEX('كشف الحساب'!$E$4:$E$203,IFERROR(MATCH(32,'كشف الحساب'!$N$4:$N$203,0),0))),"")</f>
        <v>9</v>
      </c>
      <c r="F36" s="70" t="str">
        <f>IFERROR(IF(IFERROR(MATCH(32,'كشف الحساب'!$N$4:$N$203,0),0)=0,"",INDEX('كشف الحساب'!$F$4:$F$203,IFERROR(MATCH(32,'كشف الحساب'!$N$4:$N$203,0),0))),"")</f>
        <v>أون لاين</v>
      </c>
      <c r="G36" s="70">
        <f>IFERROR(IF(IFERROR(MATCH(32,'كشف الحساب'!$N$4:$N$203,0),0)=0,"",INDEX('كشف الحساب'!$G$4:$G$203,IFERROR(MATCH(32,'كشف الحساب'!$N$4:$N$203,0),0))),"")</f>
        <v>0</v>
      </c>
      <c r="H36" s="70" t="str">
        <f>IFERROR(IF(IFERROR(MATCH(32,'كشف الحساب'!$N$4:$N$203,0),0)=0,"",INDEX('كشف الحساب'!$H$4:$H$203,IFERROR(MATCH(32,'كشف الحساب'!$N$4:$N$203,0),0))),"")</f>
        <v>تم الدفع</v>
      </c>
      <c r="I36" s="70">
        <f>IFERROR(IF(IFERROR(MATCH(32,'كشف الحساب'!$N$4:$N$203,0),0)=0,"",INDEX('كشف الحساب'!$I$4:$I$203,IFERROR(MATCH(32,'كشف الحساب'!$N$4:$N$203,0),0))),"")</f>
        <v>0</v>
      </c>
      <c r="J36" s="74">
        <f>IFERROR(IF(IFERROR(MATCH(32,'كشف الحساب'!$N$4:$N$203,0),0)=0,"",INDEX('كشف الحساب'!$J$4:$J$203,IFERROR(MATCH(32,'كشف الحساب'!$N$4:$N$203,0),0))),"")</f>
        <v>413.55</v>
      </c>
      <c r="K36" s="70">
        <f>IFERROR(IF(IFERROR(MATCH(32,'كشف الحساب'!$N$4:$N$203,0),0)=0,"",INDEX('كشف الحساب'!$K$4:$K$203,IFERROR(MATCH(32,'كشف الحساب'!$N$4:$N$203,0),0))),"")</f>
        <v>0</v>
      </c>
    </row>
    <row r="37" spans="1:11" ht="15" customHeight="1" x14ac:dyDescent="0.25">
      <c r="A37" s="63">
        <f>IFERROR(IF(IFERROR(MATCH(33,'كشف الحساب'!$N$4:$N$203,0),0)=0,"",INDEX('كشف الحساب'!$A$4:$A$203,IFERROR(MATCH(33,'كشف الحساب'!$N$4:$N$203,0),0))),"")</f>
        <v>46197</v>
      </c>
      <c r="B37" s="64">
        <f>IFERROR(IF(IFERROR(MATCH(33,'كشف الحساب'!$N$4:$N$203,0),0)=0,"",INDEX('كشف الحساب'!$B$4:$B$203,IFERROR(MATCH(33,'كشف الحساب'!$N$4:$N$203,0),0))),"")</f>
        <v>0</v>
      </c>
      <c r="C37" s="65" t="str">
        <f>IFERROR(IF(IFERROR(MATCH(33,'كشف الحساب'!$N$4:$N$203,0),0)=0,"",INDEX('كشف الحساب'!$C$4:$C$203,IFERROR(MATCH(33,'كشف الحساب'!$N$4:$N$203,0),0))),"")</f>
        <v>nbk 18-18-18</v>
      </c>
      <c r="D37" s="66">
        <f>IFERROR(IF(IFERROR(MATCH(33,'كشف الحساب'!$N$4:$N$203,0),0)=0,"",INDEX('كشف الحساب'!$D$4:$D$203,IFERROR(MATCH(33,'كشف الحساب'!$N$4:$N$203,0),0))),"")</f>
        <v>12</v>
      </c>
      <c r="E37" s="67">
        <f>IFERROR(IF(IFERROR(MATCH(33,'كشف الحساب'!$N$4:$N$203,0),0)=0,"",INDEX('كشف الحساب'!$E$4:$E$203,IFERROR(MATCH(33,'كشف الحساب'!$N$4:$N$203,0),0))),"")</f>
        <v>0</v>
      </c>
      <c r="F37" s="64" t="str">
        <f>IFERROR(IF(IFERROR(MATCH(33,'كشف الحساب'!$N$4:$N$203,0),0)=0,"",INDEX('كشف الحساب'!$F$4:$F$203,IFERROR(MATCH(33,'كشف الحساب'!$N$4:$N$203,0),0))),"")</f>
        <v>نقداً</v>
      </c>
      <c r="G37" s="64" t="str">
        <f>IFERROR(IF(IFERROR(MATCH(33,'كشف الحساب'!$N$4:$N$203,0),0)=0,"",INDEX('كشف الحساب'!$G$4:$G$203,IFERROR(MATCH(33,'كشف الحساب'!$N$4:$N$203,0),0))),"")</f>
        <v>المحفظة</v>
      </c>
      <c r="H37" s="64" t="str">
        <f>IFERROR(IF(IFERROR(MATCH(33,'كشف الحساب'!$N$4:$N$203,0),0)=0,"",INDEX('كشف الحساب'!$H$4:$H$203,IFERROR(MATCH(33,'كشف الحساب'!$N$4:$N$203,0),0))),"")</f>
        <v>تم الدفع</v>
      </c>
      <c r="I37" s="64">
        <f>IFERROR(IF(IFERROR(MATCH(33,'كشف الحساب'!$N$4:$N$203,0),0)=0,"",INDEX('كشف الحساب'!$I$4:$I$203,IFERROR(MATCH(33,'كشف الحساب'!$N$4:$N$203,0),0))),"")</f>
        <v>0</v>
      </c>
      <c r="J37" s="68">
        <f>IFERROR(IF(IFERROR(MATCH(33,'كشف الحساب'!$N$4:$N$203,0),0)=0,"",INDEX('كشف الحساب'!$J$4:$J$203,IFERROR(MATCH(33,'كشف الحساب'!$N$4:$N$203,0),0))),"")</f>
        <v>401.55</v>
      </c>
      <c r="K37" s="64">
        <f>IFERROR(IF(IFERROR(MATCH(33,'كشف الحساب'!$N$4:$N$203,0),0)=0,"",INDEX('كشف الحساب'!$K$4:$K$203,IFERROR(MATCH(33,'كشف الحساب'!$N$4:$N$203,0),0))),"")</f>
        <v>0</v>
      </c>
    </row>
    <row r="38" spans="1:11" ht="15" customHeight="1" x14ac:dyDescent="0.25">
      <c r="A38" s="69">
        <f>IFERROR(IF(IFERROR(MATCH(34,'كشف الحساب'!$N$4:$N$203,0),0)=0,"",INDEX('كشف الحساب'!$A$4:$A$203,IFERROR(MATCH(34,'كشف الحساب'!$N$4:$N$203,0),0))),"")</f>
        <v>46201</v>
      </c>
      <c r="B38" s="70" t="str">
        <f>IFERROR(IF(IFERROR(MATCH(34,'كشف الحساب'!$N$4:$N$203,0),0)=0,"",INDEX('كشف الحساب'!$B$4:$B$203,IFERROR(MATCH(34,'كشف الحساب'!$N$4:$N$203,0),0))),"")</f>
        <v>Inv-76</v>
      </c>
      <c r="C38" s="71" t="str">
        <f>IFERROR(IF(IFERROR(MATCH(34,'كشف الحساب'!$N$4:$N$203,0),0)=0,"",INDEX('كشف الحساب'!$C$4:$C$203,IFERROR(MATCH(34,'كشف الحساب'!$N$4:$N$203,0),0))),"")</f>
        <v>فل عدد 11 الحبه 0.750</v>
      </c>
      <c r="D38" s="72">
        <f>IFERROR(IF(IFERROR(MATCH(34,'كشف الحساب'!$N$4:$N$203,0),0)=0,"",INDEX('كشف الحساب'!$D$4:$D$203,IFERROR(MATCH(34,'كشف الحساب'!$N$4:$N$203,0),0))),"")</f>
        <v>0</v>
      </c>
      <c r="E38" s="73">
        <f>IFERROR(IF(IFERROR(MATCH(34,'كشف الحساب'!$N$4:$N$203,0),0)=0,"",INDEX('كشف الحساب'!$E$4:$E$203,IFERROR(MATCH(34,'كشف الحساب'!$N$4:$N$203,0),0))),"")</f>
        <v>8.25</v>
      </c>
      <c r="F38" s="70" t="str">
        <f>IFERROR(IF(IFERROR(MATCH(34,'كشف الحساب'!$N$4:$N$203,0),0)=0,"",INDEX('كشف الحساب'!$F$4:$F$203,IFERROR(MATCH(34,'كشف الحساب'!$N$4:$N$203,0),0))),"")</f>
        <v>أون لاين</v>
      </c>
      <c r="G38" s="70">
        <f>IFERROR(IF(IFERROR(MATCH(34,'كشف الحساب'!$N$4:$N$203,0),0)=0,"",INDEX('كشف الحساب'!$G$4:$G$203,IFERROR(MATCH(34,'كشف الحساب'!$N$4:$N$203,0),0))),"")</f>
        <v>0</v>
      </c>
      <c r="H38" s="70" t="str">
        <f>IFERROR(IF(IFERROR(MATCH(34,'كشف الحساب'!$N$4:$N$203,0),0)=0,"",INDEX('كشف الحساب'!$H$4:$H$203,IFERROR(MATCH(34,'كشف الحساب'!$N$4:$N$203,0),0))),"")</f>
        <v>تم الدفع</v>
      </c>
      <c r="I38" s="70">
        <f>IFERROR(IF(IFERROR(MATCH(34,'كشف الحساب'!$N$4:$N$203,0),0)=0,"",INDEX('كشف الحساب'!$I$4:$I$203,IFERROR(MATCH(34,'كشف الحساب'!$N$4:$N$203,0),0))),"")</f>
        <v>0</v>
      </c>
      <c r="J38" s="74">
        <f>IFERROR(IF(IFERROR(MATCH(34,'كشف الحساب'!$N$4:$N$203,0),0)=0,"",INDEX('كشف الحساب'!$J$4:$J$203,IFERROR(MATCH(34,'كشف الحساب'!$N$4:$N$203,0),0))),"")</f>
        <v>409.8</v>
      </c>
      <c r="K38" s="70">
        <f>IFERROR(IF(IFERROR(MATCH(34,'كشف الحساب'!$N$4:$N$203,0),0)=0,"",INDEX('كشف الحساب'!$K$4:$K$203,IFERROR(MATCH(34,'كشف الحساب'!$N$4:$N$203,0),0))),"")</f>
        <v>0</v>
      </c>
    </row>
    <row r="39" spans="1:11" ht="15" customHeight="1" x14ac:dyDescent="0.25">
      <c r="A39" s="63">
        <f>IFERROR(IF(IFERROR(MATCH(35,'كشف الحساب'!$N$4:$N$203,0),0)=0,"",INDEX('كشف الحساب'!$A$4:$A$203,IFERROR(MATCH(35,'كشف الحساب'!$N$4:$N$203,0),0))),"")</f>
        <v>46202</v>
      </c>
      <c r="B39" s="64" t="str">
        <f>IFERROR(IF(IFERROR(MATCH(35,'كشف الحساب'!$N$4:$N$203,0),0)=0,"",INDEX('كشف الحساب'!$B$4:$B$203,IFERROR(MATCH(35,'كشف الحساب'!$N$4:$N$203,0),0))),"")</f>
        <v>Inv-77</v>
      </c>
      <c r="C39" s="65" t="str">
        <f>IFERROR(IF(IFERROR(MATCH(35,'كشف الحساب'!$N$4:$N$203,0),0)=0,"",INDEX('كشف الحساب'!$C$4:$C$203,IFERROR(MATCH(35,'كشف الحساب'!$N$4:$N$203,0),0))),"")</f>
        <v>عطره عدد 3 الحبه 0.750</v>
      </c>
      <c r="D39" s="66">
        <f>IFERROR(IF(IFERROR(MATCH(35,'كشف الحساب'!$N$4:$N$203,0),0)=0,"",INDEX('كشف الحساب'!$D$4:$D$203,IFERROR(MATCH(35,'كشف الحساب'!$N$4:$N$203,0),0))),"")</f>
        <v>0</v>
      </c>
      <c r="E39" s="67">
        <f>IFERROR(IF(IFERROR(MATCH(35,'كشف الحساب'!$N$4:$N$203,0),0)=0,"",INDEX('كشف الحساب'!$E$4:$E$203,IFERROR(MATCH(35,'كشف الحساب'!$N$4:$N$203,0),0))),"")</f>
        <v>2.25</v>
      </c>
      <c r="F39" s="64" t="str">
        <f>IFERROR(IF(IFERROR(MATCH(35,'كشف الحساب'!$N$4:$N$203,0),0)=0,"",INDEX('كشف الحساب'!$F$4:$F$203,IFERROR(MATCH(35,'كشف الحساب'!$N$4:$N$203,0),0))),"")</f>
        <v>أون لاين</v>
      </c>
      <c r="G39" s="64">
        <f>IFERROR(IF(IFERROR(MATCH(35,'كشف الحساب'!$N$4:$N$203,0),0)=0,"",INDEX('كشف الحساب'!$G$4:$G$203,IFERROR(MATCH(35,'كشف الحساب'!$N$4:$N$203,0),0))),"")</f>
        <v>0</v>
      </c>
      <c r="H39" s="64" t="str">
        <f>IFERROR(IF(IFERROR(MATCH(35,'كشف الحساب'!$N$4:$N$203,0),0)=0,"",INDEX('كشف الحساب'!$H$4:$H$203,IFERROR(MATCH(35,'كشف الحساب'!$N$4:$N$203,0),0))),"")</f>
        <v>تم الدفع</v>
      </c>
      <c r="I39" s="64">
        <f>IFERROR(IF(IFERROR(MATCH(35,'كشف الحساب'!$N$4:$N$203,0),0)=0,"",INDEX('كشف الحساب'!$I$4:$I$203,IFERROR(MATCH(35,'كشف الحساب'!$N$4:$N$203,0),0))),"")</f>
        <v>0</v>
      </c>
      <c r="J39" s="68">
        <f>IFERROR(IF(IFERROR(MATCH(35,'كشف الحساب'!$N$4:$N$203,0),0)=0,"",INDEX('كشف الحساب'!$J$4:$J$203,IFERROR(MATCH(35,'كشف الحساب'!$N$4:$N$203,0),0))),"")</f>
        <v>412.05</v>
      </c>
      <c r="K39" s="64">
        <f>IFERROR(IF(IFERROR(MATCH(35,'كشف الحساب'!$N$4:$N$203,0),0)=0,"",INDEX('كشف الحساب'!$K$4:$K$203,IFERROR(MATCH(35,'كشف الحساب'!$N$4:$N$203,0),0))),"")</f>
        <v>0</v>
      </c>
    </row>
    <row r="40" spans="1:11" ht="15" customHeight="1" x14ac:dyDescent="0.25">
      <c r="A40" s="69">
        <f>IFERROR(IF(IFERROR(MATCH(36,'كشف الحساب'!$N$4:$N$203,0),0)=0,"",INDEX('كشف الحساب'!$A$4:$A$203,IFERROR(MATCH(36,'كشف الحساب'!$N$4:$N$203,0),0))),"")</f>
        <v>46202</v>
      </c>
      <c r="B40" s="70" t="str">
        <f>IFERROR(IF(IFERROR(MATCH(36,'كشف الحساب'!$N$4:$N$203,0),0)=0,"",INDEX('كشف الحساب'!$B$4:$B$203,IFERROR(MATCH(36,'كشف الحساب'!$N$4:$N$203,0),0))),"")</f>
        <v>Inv-78</v>
      </c>
      <c r="C40" s="71" t="str">
        <f>IFERROR(IF(IFERROR(MATCH(36,'كشف الحساب'!$N$4:$N$203,0),0)=0,"",INDEX('كشف الحساب'!$C$4:$C$203,IFERROR(MATCH(36,'كشف الحساب'!$N$4:$N$203,0),0))),"")</f>
        <v>معلقات عدد 3 الحبه 1</v>
      </c>
      <c r="D40" s="72">
        <f>IFERROR(IF(IFERROR(MATCH(36,'كشف الحساب'!$N$4:$N$203,0),0)=0,"",INDEX('كشف الحساب'!$D$4:$D$203,IFERROR(MATCH(36,'كشف الحساب'!$N$4:$N$203,0),0))),"")</f>
        <v>0</v>
      </c>
      <c r="E40" s="73">
        <f>IFERROR(IF(IFERROR(MATCH(36,'كشف الحساب'!$N$4:$N$203,0),0)=0,"",INDEX('كشف الحساب'!$E$4:$E$203,IFERROR(MATCH(36,'كشف الحساب'!$N$4:$N$203,0),0))),"")</f>
        <v>3</v>
      </c>
      <c r="F40" s="70" t="str">
        <f>IFERROR(IF(IFERROR(MATCH(36,'كشف الحساب'!$N$4:$N$203,0),0)=0,"",INDEX('كشف الحساب'!$F$4:$F$203,IFERROR(MATCH(36,'كشف الحساب'!$N$4:$N$203,0),0))),"")</f>
        <v>أون لاين</v>
      </c>
      <c r="G40" s="70">
        <f>IFERROR(IF(IFERROR(MATCH(36,'كشف الحساب'!$N$4:$N$203,0),0)=0,"",INDEX('كشف الحساب'!$G$4:$G$203,IFERROR(MATCH(36,'كشف الحساب'!$N$4:$N$203,0),0))),"")</f>
        <v>0</v>
      </c>
      <c r="H40" s="70" t="str">
        <f>IFERROR(IF(IFERROR(MATCH(36,'كشف الحساب'!$N$4:$N$203,0),0)=0,"",INDEX('كشف الحساب'!$H$4:$H$203,IFERROR(MATCH(36,'كشف الحساب'!$N$4:$N$203,0),0))),"")</f>
        <v>تم الدفع</v>
      </c>
      <c r="I40" s="70">
        <f>IFERROR(IF(IFERROR(MATCH(36,'كشف الحساب'!$N$4:$N$203,0),0)=0,"",INDEX('كشف الحساب'!$I$4:$I$203,IFERROR(MATCH(36,'كشف الحساب'!$N$4:$N$203,0),0))),"")</f>
        <v>0</v>
      </c>
      <c r="J40" s="74">
        <f>IFERROR(IF(IFERROR(MATCH(36,'كشف الحساب'!$N$4:$N$203,0),0)=0,"",INDEX('كشف الحساب'!$J$4:$J$203,IFERROR(MATCH(36,'كشف الحساب'!$N$4:$N$203,0),0))),"")</f>
        <v>415.05</v>
      </c>
      <c r="K40" s="70">
        <f>IFERROR(IF(IFERROR(MATCH(36,'كشف الحساب'!$N$4:$N$203,0),0)=0,"",INDEX('كشف الحساب'!$K$4:$K$203,IFERROR(MATCH(36,'كشف الحساب'!$N$4:$N$203,0),0))),"")</f>
        <v>0</v>
      </c>
    </row>
    <row r="41" spans="1:11" ht="15" customHeight="1" x14ac:dyDescent="0.25">
      <c r="A41" s="63">
        <f>IFERROR(IF(IFERROR(MATCH(37,'كشف الحساب'!$N$4:$N$203,0),0)=0,"",INDEX('كشف الحساب'!$A$4:$A$203,IFERROR(MATCH(37,'كشف الحساب'!$N$4:$N$203,0),0))),"")</f>
        <v>46203</v>
      </c>
      <c r="B41" s="64" t="str">
        <f>IFERROR(IF(IFERROR(MATCH(37,'كشف الحساب'!$N$4:$N$203,0),0)=0,"",INDEX('كشف الحساب'!$B$4:$B$203,IFERROR(MATCH(37,'كشف الحساب'!$N$4:$N$203,0),0))),"")</f>
        <v>Inv-79</v>
      </c>
      <c r="C41" s="65" t="str">
        <f>IFERROR(IF(IFERROR(MATCH(37,'كشف الحساب'!$N$4:$N$203,0),0)=0,"",INDEX('كشف الحساب'!$C$4:$C$203,IFERROR(MATCH(37,'كشف الحساب'!$N$4:$N$203,0),0))),"")</f>
        <v>معلقات عدد 4 الحبه 1</v>
      </c>
      <c r="D41" s="66">
        <f>IFERROR(IF(IFERROR(MATCH(37,'كشف الحساب'!$N$4:$N$203,0),0)=0,"",INDEX('كشف الحساب'!$D$4:$D$203,IFERROR(MATCH(37,'كشف الحساب'!$N$4:$N$203,0),0))),"")</f>
        <v>0</v>
      </c>
      <c r="E41" s="67">
        <f>IFERROR(IF(IFERROR(MATCH(37,'كشف الحساب'!$N$4:$N$203,0),0)=0,"",INDEX('كشف الحساب'!$E$4:$E$203,IFERROR(MATCH(37,'كشف الحساب'!$N$4:$N$203,0),0))),"")</f>
        <v>4</v>
      </c>
      <c r="F41" s="64" t="str">
        <f>IFERROR(IF(IFERROR(MATCH(37,'كشف الحساب'!$N$4:$N$203,0),0)=0,"",INDEX('كشف الحساب'!$F$4:$F$203,IFERROR(MATCH(37,'كشف الحساب'!$N$4:$N$203,0),0))),"")</f>
        <v>أون لاين</v>
      </c>
      <c r="G41" s="64">
        <f>IFERROR(IF(IFERROR(MATCH(37,'كشف الحساب'!$N$4:$N$203,0),0)=0,"",INDEX('كشف الحساب'!$G$4:$G$203,IFERROR(MATCH(37,'كشف الحساب'!$N$4:$N$203,0),0))),"")</f>
        <v>0</v>
      </c>
      <c r="H41" s="64" t="str">
        <f>IFERROR(IF(IFERROR(MATCH(37,'كشف الحساب'!$N$4:$N$203,0),0)=0,"",INDEX('كشف الحساب'!$H$4:$H$203,IFERROR(MATCH(37,'كشف الحساب'!$N$4:$N$203,0),0))),"")</f>
        <v>تم الدفع</v>
      </c>
      <c r="I41" s="64">
        <f>IFERROR(IF(IFERROR(MATCH(37,'كشف الحساب'!$N$4:$N$203,0),0)=0,"",INDEX('كشف الحساب'!$I$4:$I$203,IFERROR(MATCH(37,'كشف الحساب'!$N$4:$N$203,0),0))),"")</f>
        <v>0</v>
      </c>
      <c r="J41" s="68">
        <f>IFERROR(IF(IFERROR(MATCH(37,'كشف الحساب'!$N$4:$N$203,0),0)=0,"",INDEX('كشف الحساب'!$J$4:$J$203,IFERROR(MATCH(37,'كشف الحساب'!$N$4:$N$203,0),0))),"")</f>
        <v>419.05</v>
      </c>
      <c r="K41" s="64">
        <f>IFERROR(IF(IFERROR(MATCH(37,'كشف الحساب'!$N$4:$N$203,0),0)=0,"",INDEX('كشف الحساب'!$K$4:$K$203,IFERROR(MATCH(37,'كشف الحساب'!$N$4:$N$203,0),0))),"")</f>
        <v>0</v>
      </c>
    </row>
    <row r="42" spans="1:11" ht="15" customHeight="1" x14ac:dyDescent="0.25">
      <c r="A42" s="69">
        <f>IFERROR(IF(IFERROR(MATCH(38,'كشف الحساب'!$N$4:$N$203,0),0)=0,"",INDEX('كشف الحساب'!$A$4:$A$203,IFERROR(MATCH(38,'كشف الحساب'!$N$4:$N$203,0),0))),"")</f>
        <v>46203</v>
      </c>
      <c r="B42" s="70" t="str">
        <f>IFERROR(IF(IFERROR(MATCH(38,'كشف الحساب'!$N$4:$N$203,0),0)=0,"",INDEX('كشف الحساب'!$B$4:$B$203,IFERROR(MATCH(38,'كشف الحساب'!$N$4:$N$203,0),0))),"")</f>
        <v>Inv-80</v>
      </c>
      <c r="C42" s="71" t="str">
        <f>IFERROR(IF(IFERROR(MATCH(38,'كشف الحساب'!$N$4:$N$203,0),0)=0,"",INDEX('كشف الحساب'!$C$4:$C$203,IFERROR(MATCH(38,'كشف الحساب'!$N$4:$N$203,0),0))),"")</f>
        <v>معلقات عدد4 الحبه 1</v>
      </c>
      <c r="D42" s="72">
        <f>IFERROR(IF(IFERROR(MATCH(38,'كشف الحساب'!$N$4:$N$203,0),0)=0,"",INDEX('كشف الحساب'!$D$4:$D$203,IFERROR(MATCH(38,'كشف الحساب'!$N$4:$N$203,0),0))),"")</f>
        <v>0</v>
      </c>
      <c r="E42" s="73">
        <f>IFERROR(IF(IFERROR(MATCH(38,'كشف الحساب'!$N$4:$N$203,0),0)=0,"",INDEX('كشف الحساب'!$E$4:$E$203,IFERROR(MATCH(38,'كشف الحساب'!$N$4:$N$203,0),0))),"")</f>
        <v>4</v>
      </c>
      <c r="F42" s="70" t="str">
        <f>IFERROR(IF(IFERROR(MATCH(38,'كشف الحساب'!$N$4:$N$203,0),0)=0,"",INDEX('كشف الحساب'!$F$4:$F$203,IFERROR(MATCH(38,'كشف الحساب'!$N$4:$N$203,0),0))),"")</f>
        <v>أون لاين</v>
      </c>
      <c r="G42" s="70">
        <f>IFERROR(IF(IFERROR(MATCH(38,'كشف الحساب'!$N$4:$N$203,0),0)=0,"",INDEX('كشف الحساب'!$G$4:$G$203,IFERROR(MATCH(38,'كشف الحساب'!$N$4:$N$203,0),0))),"")</f>
        <v>0</v>
      </c>
      <c r="H42" s="70" t="str">
        <f>IFERROR(IF(IFERROR(MATCH(38,'كشف الحساب'!$N$4:$N$203,0),0)=0,"",INDEX('كشف الحساب'!$H$4:$H$203,IFERROR(MATCH(38,'كشف الحساب'!$N$4:$N$203,0),0))),"")</f>
        <v>تم الدفع</v>
      </c>
      <c r="I42" s="70">
        <f>IFERROR(IF(IFERROR(MATCH(38,'كشف الحساب'!$N$4:$N$203,0),0)=0,"",INDEX('كشف الحساب'!$I$4:$I$203,IFERROR(MATCH(38,'كشف الحساب'!$N$4:$N$203,0),0))),"")</f>
        <v>0</v>
      </c>
      <c r="J42" s="74">
        <f>IFERROR(IF(IFERROR(MATCH(38,'كشف الحساب'!$N$4:$N$203,0),0)=0,"",INDEX('كشف الحساب'!$J$4:$J$203,IFERROR(MATCH(38,'كشف الحساب'!$N$4:$N$203,0),0))),"")</f>
        <v>423.05</v>
      </c>
      <c r="K42" s="70">
        <f>IFERROR(IF(IFERROR(MATCH(38,'كشف الحساب'!$N$4:$N$203,0),0)=0,"",INDEX('كشف الحساب'!$K$4:$K$203,IFERROR(MATCH(38,'كشف الحساب'!$N$4:$N$203,0),0))),"")</f>
        <v>0</v>
      </c>
    </row>
    <row r="43" spans="1:11" ht="15" customHeight="1" x14ac:dyDescent="0.25">
      <c r="A43" s="63">
        <f>IFERROR(IF(IFERROR(MATCH(39,'كشف الحساب'!$N$4:$N$203,0),0)=0,"",INDEX('كشف الحساب'!$A$4:$A$203,IFERROR(MATCH(39,'كشف الحساب'!$N$4:$N$203,0),0))),"")</f>
        <v>46203</v>
      </c>
      <c r="B43" s="64" t="str">
        <f>IFERROR(IF(IFERROR(MATCH(39,'كشف الحساب'!$N$4:$N$203,0),0)=0,"",INDEX('كشف الحساب'!$B$4:$B$203,IFERROR(MATCH(39,'كشف الحساب'!$N$4:$N$203,0),0))),"")</f>
        <v>Inv-81</v>
      </c>
      <c r="C43" s="65" t="str">
        <f>IFERROR(IF(IFERROR(MATCH(39,'كشف الحساب'!$N$4:$N$203,0),0)=0,"",INDEX('كشف الحساب'!$C$4:$C$203,IFERROR(MATCH(39,'كشف الحساب'!$N$4:$N$203,0),0))),"")</f>
        <v>افوبيا عدد 2 الحبه 1</v>
      </c>
      <c r="D43" s="66">
        <f>IFERROR(IF(IFERROR(MATCH(39,'كشف الحساب'!$N$4:$N$203,0),0)=0,"",INDEX('كشف الحساب'!$D$4:$D$203,IFERROR(MATCH(39,'كشف الحساب'!$N$4:$N$203,0),0))),"")</f>
        <v>0</v>
      </c>
      <c r="E43" s="67">
        <f>IFERROR(IF(IFERROR(MATCH(39,'كشف الحساب'!$N$4:$N$203,0),0)=0,"",INDEX('كشف الحساب'!$E$4:$E$203,IFERROR(MATCH(39,'كشف الحساب'!$N$4:$N$203,0),0))),"")</f>
        <v>2</v>
      </c>
      <c r="F43" s="64" t="str">
        <f>IFERROR(IF(IFERROR(MATCH(39,'كشف الحساب'!$N$4:$N$203,0),0)=0,"",INDEX('كشف الحساب'!$F$4:$F$203,IFERROR(MATCH(39,'كشف الحساب'!$N$4:$N$203,0),0))),"")</f>
        <v>أون لاين</v>
      </c>
      <c r="G43" s="64">
        <f>IFERROR(IF(IFERROR(MATCH(39,'كشف الحساب'!$N$4:$N$203,0),0)=0,"",INDEX('كشف الحساب'!$G$4:$G$203,IFERROR(MATCH(39,'كشف الحساب'!$N$4:$N$203,0),0))),"")</f>
        <v>0</v>
      </c>
      <c r="H43" s="64" t="str">
        <f>IFERROR(IF(IFERROR(MATCH(39,'كشف الحساب'!$N$4:$N$203,0),0)=0,"",INDEX('كشف الحساب'!$H$4:$H$203,IFERROR(MATCH(39,'كشف الحساب'!$N$4:$N$203,0),0))),"")</f>
        <v>تم الدفع</v>
      </c>
      <c r="I43" s="64">
        <f>IFERROR(IF(IFERROR(MATCH(39,'كشف الحساب'!$N$4:$N$203,0),0)=0,"",INDEX('كشف الحساب'!$I$4:$I$203,IFERROR(MATCH(39,'كشف الحساب'!$N$4:$N$203,0),0))),"")</f>
        <v>0</v>
      </c>
      <c r="J43" s="68">
        <f>IFERROR(IF(IFERROR(MATCH(39,'كشف الحساب'!$N$4:$N$203,0),0)=0,"",INDEX('كشف الحساب'!$J$4:$J$203,IFERROR(MATCH(39,'كشف الحساب'!$N$4:$N$203,0),0))),"")</f>
        <v>425.05</v>
      </c>
      <c r="K43" s="64">
        <f>IFERROR(IF(IFERROR(MATCH(39,'كشف الحساب'!$N$4:$N$203,0),0)=0,"",INDEX('كشف الحساب'!$K$4:$K$203,IFERROR(MATCH(39,'كشف الحساب'!$N$4:$N$203,0),0))),"")</f>
        <v>0</v>
      </c>
    </row>
    <row r="44" spans="1:11" ht="15" customHeight="1" x14ac:dyDescent="0.25">
      <c r="A44" s="69">
        <f>IFERROR(IF(IFERROR(MATCH(40,'كشف الحساب'!$N$4:$N$203,0),0)=0,"",INDEX('كشف الحساب'!$A$4:$A$203,IFERROR(MATCH(40,'كشف الحساب'!$N$4:$N$203,0),0))),"")</f>
        <v>46203</v>
      </c>
      <c r="B44" s="70">
        <f>IFERROR(IF(IFERROR(MATCH(40,'كشف الحساب'!$N$4:$N$203,0),0)=0,"",INDEX('كشف الحساب'!$B$4:$B$203,IFERROR(MATCH(40,'كشف الحساب'!$N$4:$N$203,0),0))),"")</f>
        <v>0</v>
      </c>
      <c r="C44" s="71" t="str">
        <f>IFERROR(IF(IFERROR(MATCH(40,'كشف الحساب'!$N$4:$N$203,0),0)=0,"",INDEX('كشف الحساب'!$C$4:$C$203,IFERROR(MATCH(40,'كشف الحساب'!$N$4:$N$203,0),0))),"")</f>
        <v>رواتب عماله شهر يونيو 2026</v>
      </c>
      <c r="D44" s="72">
        <f>IFERROR(IF(IFERROR(MATCH(40,'كشف الحساب'!$N$4:$N$203,0),0)=0,"",INDEX('كشف الحساب'!$D$4:$D$203,IFERROR(MATCH(40,'كشف الحساب'!$N$4:$N$203,0),0))),"")</f>
        <v>320</v>
      </c>
      <c r="E44" s="73">
        <f>IFERROR(IF(IFERROR(MATCH(40,'كشف الحساب'!$N$4:$N$203,0),0)=0,"",INDEX('كشف الحساب'!$E$4:$E$203,IFERROR(MATCH(40,'كشف الحساب'!$N$4:$N$203,0),0))),"")</f>
        <v>0</v>
      </c>
      <c r="F44" s="70" t="str">
        <f>IFERROR(IF(IFERROR(MATCH(40,'كشف الحساب'!$N$4:$N$203,0),0)=0,"",INDEX('كشف الحساب'!$F$4:$F$203,IFERROR(MATCH(40,'كشف الحساب'!$N$4:$N$203,0),0))),"")</f>
        <v>نقداً</v>
      </c>
      <c r="G44" s="70" t="str">
        <f>IFERROR(IF(IFERROR(MATCH(40,'كشف الحساب'!$N$4:$N$203,0),0)=0,"",INDEX('كشف الحساب'!$G$4:$G$203,IFERROR(MATCH(40,'كشف الحساب'!$N$4:$N$203,0),0))),"")</f>
        <v>المحفظة</v>
      </c>
      <c r="H44" s="70" t="str">
        <f>IFERROR(IF(IFERROR(MATCH(40,'كشف الحساب'!$N$4:$N$203,0),0)=0,"",INDEX('كشف الحساب'!$H$4:$H$203,IFERROR(MATCH(40,'كشف الحساب'!$N$4:$N$203,0),0))),"")</f>
        <v>تم الدفع</v>
      </c>
      <c r="I44" s="70">
        <f>IFERROR(IF(IFERROR(MATCH(40,'كشف الحساب'!$N$4:$N$203,0),0)=0,"",INDEX('كشف الحساب'!$I$4:$I$203,IFERROR(MATCH(40,'كشف الحساب'!$N$4:$N$203,0),0))),"")</f>
        <v>0</v>
      </c>
      <c r="J44" s="74">
        <f>IFERROR(IF(IFERROR(MATCH(40,'كشف الحساب'!$N$4:$N$203,0),0)=0,"",INDEX('كشف الحساب'!$J$4:$J$203,IFERROR(MATCH(40,'كشف الحساب'!$N$4:$N$203,0),0))),"")</f>
        <v>105.05000000000001</v>
      </c>
      <c r="K44" s="70">
        <f>IFERROR(IF(IFERROR(MATCH(40,'كشف الحساب'!$N$4:$N$203,0),0)=0,"",INDEX('كشف الحساب'!$K$4:$K$203,IFERROR(MATCH(40,'كشف الحساب'!$N$4:$N$203,0),0))),"")</f>
        <v>0</v>
      </c>
    </row>
    <row r="45" spans="1:11" ht="15" customHeight="1" x14ac:dyDescent="0.25">
      <c r="A45" s="63">
        <f>IFERROR(IF(IFERROR(MATCH(41,'كشف الحساب'!$N$4:$N$203,0),0)=0,"",INDEX('كشف الحساب'!$A$4:$A$203,IFERROR(MATCH(41,'كشف الحساب'!$N$4:$N$203,0),0))),"")</f>
        <v>46203</v>
      </c>
      <c r="B45" s="64">
        <f>IFERROR(IF(IFERROR(MATCH(41,'كشف الحساب'!$N$4:$N$203,0),0)=0,"",INDEX('كشف الحساب'!$B$4:$B$203,IFERROR(MATCH(41,'كشف الحساب'!$N$4:$N$203,0),0))),"")</f>
        <v>0</v>
      </c>
      <c r="C45" s="65" t="str">
        <f>IFERROR(IF(IFERROR(MATCH(41,'كشف الحساب'!$N$4:$N$203,0),0)=0,"",INDEX('كشف الحساب'!$C$4:$C$203,IFERROR(MATCH(41,'كشف الحساب'!$N$4:$N$203,0),0))),"")</f>
        <v>تكمله رواتب يونيو 2026 ابوادم</v>
      </c>
      <c r="D45" s="66">
        <f>IFERROR(IF(IFERROR(MATCH(41,'كشف الحساب'!$N$4:$N$203,0),0)=0,"",INDEX('كشف الحساب'!$D$4:$D$203,IFERROR(MATCH(41,'كشف الحساب'!$N$4:$N$203,0),0))),"")</f>
        <v>50</v>
      </c>
      <c r="E45" s="67">
        <f>IFERROR(IF(IFERROR(MATCH(41,'كشف الحساب'!$N$4:$N$203,0),0)=0,"",INDEX('كشف الحساب'!$E$4:$E$203,IFERROR(MATCH(41,'كشف الحساب'!$N$4:$N$203,0),0))),"")</f>
        <v>0</v>
      </c>
      <c r="F45" s="64" t="str">
        <f>IFERROR(IF(IFERROR(MATCH(41,'كشف الحساب'!$N$4:$N$203,0),0)=0,"",INDEX('كشف الحساب'!$F$4:$F$203,IFERROR(MATCH(41,'كشف الحساب'!$N$4:$N$203,0),0))),"")</f>
        <v>أحد الشركاء</v>
      </c>
      <c r="G45" s="64" t="str">
        <f>IFERROR(IF(IFERROR(MATCH(41,'كشف الحساب'!$N$4:$N$203,0),0)=0,"",INDEX('كشف الحساب'!$G$4:$G$203,IFERROR(MATCH(41,'كشف الحساب'!$N$4:$N$203,0),0))),"")</f>
        <v>أبو آدم</v>
      </c>
      <c r="H45" s="64" t="str">
        <f>IFERROR(IF(IFERROR(MATCH(41,'كشف الحساب'!$N$4:$N$203,0),0)=0,"",INDEX('كشف الحساب'!$H$4:$H$203,IFERROR(MATCH(41,'كشف الحساب'!$N$4:$N$203,0),0))),"")</f>
        <v>معلق</v>
      </c>
      <c r="I45" s="64">
        <f>IFERROR(IF(IFERROR(MATCH(41,'كشف الحساب'!$N$4:$N$203,0),0)=0,"",INDEX('كشف الحساب'!$I$4:$I$203,IFERROR(MATCH(41,'كشف الحساب'!$N$4:$N$203,0),0))),"")</f>
        <v>0</v>
      </c>
      <c r="J45" s="68">
        <f>IFERROR(IF(IFERROR(MATCH(41,'كشف الحساب'!$N$4:$N$203,0),0)=0,"",INDEX('كشف الحساب'!$J$4:$J$203,IFERROR(MATCH(41,'كشف الحساب'!$N$4:$N$203,0),0))),"")</f>
        <v>105.05000000000001</v>
      </c>
      <c r="K45" s="64">
        <f>IFERROR(IF(IFERROR(MATCH(41,'كشف الحساب'!$N$4:$N$203,0),0)=0,"",INDEX('كشف الحساب'!$K$4:$K$203,IFERROR(MATCH(41,'كشف الحساب'!$N$4:$N$203,0),0))),"")</f>
        <v>0</v>
      </c>
    </row>
    <row r="46" spans="1:11" ht="15" customHeight="1" x14ac:dyDescent="0.25">
      <c r="A46" s="69">
        <f>IFERROR(IF(IFERROR(MATCH(42,'كشف الحساب'!$N$4:$N$203,0),0)=0,"",INDEX('كشف الحساب'!$A$4:$A$203,IFERROR(MATCH(42,'كشف الحساب'!$N$4:$N$203,0),0))),"")</f>
        <v>46203</v>
      </c>
      <c r="B46" s="70">
        <f>IFERROR(IF(IFERROR(MATCH(42,'كشف الحساب'!$N$4:$N$203,0),0)=0,"",INDEX('كشف الحساب'!$B$4:$B$203,IFERROR(MATCH(42,'كشف الحساب'!$N$4:$N$203,0),0))),"")</f>
        <v>0</v>
      </c>
      <c r="C46" s="71" t="str">
        <f>IFERROR(IF(IFERROR(MATCH(42,'كشف الحساب'!$N$4:$N$203,0),0)=0,"",INDEX('كشف الحساب'!$C$4:$C$203,IFERROR(MATCH(42,'كشف الحساب'!$N$4:$N$203,0),0))),"")</f>
        <v>تكمله رواتب يونيو 2026 ابواسحاق</v>
      </c>
      <c r="D46" s="72">
        <f>IFERROR(IF(IFERROR(MATCH(42,'كشف الحساب'!$N$4:$N$203,0),0)=0,"",INDEX('كشف الحساب'!$D$4:$D$203,IFERROR(MATCH(42,'كشف الحساب'!$N$4:$N$203,0),0))),"")</f>
        <v>50</v>
      </c>
      <c r="E46" s="73">
        <f>IFERROR(IF(IFERROR(MATCH(42,'كشف الحساب'!$N$4:$N$203,0),0)=0,"",INDEX('كشف الحساب'!$E$4:$E$203,IFERROR(MATCH(42,'كشف الحساب'!$N$4:$N$203,0),0))),"")</f>
        <v>0</v>
      </c>
      <c r="F46" s="70" t="str">
        <f>IFERROR(IF(IFERROR(MATCH(42,'كشف الحساب'!$N$4:$N$203,0),0)=0,"",INDEX('كشف الحساب'!$F$4:$F$203,IFERROR(MATCH(42,'كشف الحساب'!$N$4:$N$203,0),0))),"")</f>
        <v>أحد الشركاء</v>
      </c>
      <c r="G46" s="70" t="str">
        <f>IFERROR(IF(IFERROR(MATCH(42,'كشف الحساب'!$N$4:$N$203,0),0)=0,"",INDEX('كشف الحساب'!$G$4:$G$203,IFERROR(MATCH(42,'كشف الحساب'!$N$4:$N$203,0),0))),"")</f>
        <v>أبو اسحاق</v>
      </c>
      <c r="H46" s="70" t="str">
        <f>IFERROR(IF(IFERROR(MATCH(42,'كشف الحساب'!$N$4:$N$203,0),0)=0,"",INDEX('كشف الحساب'!$H$4:$H$203,IFERROR(MATCH(42,'كشف الحساب'!$N$4:$N$203,0),0))),"")</f>
        <v>معلق</v>
      </c>
      <c r="I46" s="70">
        <f>IFERROR(IF(IFERROR(MATCH(42,'كشف الحساب'!$N$4:$N$203,0),0)=0,"",INDEX('كشف الحساب'!$I$4:$I$203,IFERROR(MATCH(42,'كشف الحساب'!$N$4:$N$203,0),0))),"")</f>
        <v>0</v>
      </c>
      <c r="J46" s="74">
        <f>IFERROR(IF(IFERROR(MATCH(42,'كشف الحساب'!$N$4:$N$203,0),0)=0,"",INDEX('كشف الحساب'!$J$4:$J$203,IFERROR(MATCH(42,'كشف الحساب'!$N$4:$N$203,0),0))),"")</f>
        <v>105.05000000000001</v>
      </c>
      <c r="K46" s="70">
        <f>IFERROR(IF(IFERROR(MATCH(42,'كشف الحساب'!$N$4:$N$203,0),0)=0,"",INDEX('كشف الحساب'!$K$4:$K$203,IFERROR(MATCH(42,'كشف الحساب'!$N$4:$N$203,0),0))),"")</f>
        <v>0</v>
      </c>
    </row>
    <row r="47" spans="1:11" ht="15" customHeight="1" x14ac:dyDescent="0.25">
      <c r="A47" s="63">
        <f>IFERROR(IF(IFERROR(MATCH(43,'كشف الحساب'!$N$4:$N$203,0),0)=0,"",INDEX('كشف الحساب'!$A$4:$A$203,IFERROR(MATCH(43,'كشف الحساب'!$N$4:$N$203,0),0))),"")</f>
        <v>46203</v>
      </c>
      <c r="B47" s="64">
        <f>IFERROR(IF(IFERROR(MATCH(43,'كشف الحساب'!$N$4:$N$203,0),0)=0,"",INDEX('كشف الحساب'!$B$4:$B$203,IFERROR(MATCH(43,'كشف الحساب'!$N$4:$N$203,0),0))),"")</f>
        <v>0</v>
      </c>
      <c r="C47" s="65" t="str">
        <f>IFERROR(IF(IFERROR(MATCH(43,'كشف الحساب'!$N$4:$N$203,0),0)=0,"",INDEX('كشف الحساب'!$C$4:$C$203,IFERROR(MATCH(43,'كشف الحساب'!$N$4:$N$203,0),0))),"")</f>
        <v>احواض عدد 1000 مقاس 25 سم</v>
      </c>
      <c r="D47" s="66">
        <f>IFERROR(IF(IFERROR(MATCH(43,'كشف الحساب'!$N$4:$N$203,0),0)=0,"",INDEX('كشف الحساب'!$D$4:$D$203,IFERROR(MATCH(43,'كشف الحساب'!$N$4:$N$203,0),0))),"")</f>
        <v>80</v>
      </c>
      <c r="E47" s="67">
        <f>IFERROR(IF(IFERROR(MATCH(43,'كشف الحساب'!$N$4:$N$203,0),0)=0,"",INDEX('كشف الحساب'!$E$4:$E$203,IFERROR(MATCH(43,'كشف الحساب'!$N$4:$N$203,0),0))),"")</f>
        <v>0</v>
      </c>
      <c r="F47" s="64" t="str">
        <f>IFERROR(IF(IFERROR(MATCH(43,'كشف الحساب'!$N$4:$N$203,0),0)=0,"",INDEX('كشف الحساب'!$F$4:$F$203,IFERROR(MATCH(43,'كشف الحساب'!$N$4:$N$203,0),0))),"")</f>
        <v>نقداً</v>
      </c>
      <c r="G47" s="64" t="str">
        <f>IFERROR(IF(IFERROR(MATCH(43,'كشف الحساب'!$N$4:$N$203,0),0)=0,"",INDEX('كشف الحساب'!$G$4:$G$203,IFERROR(MATCH(43,'كشف الحساب'!$N$4:$N$203,0),0))),"")</f>
        <v>المحفظة</v>
      </c>
      <c r="H47" s="64" t="str">
        <f>IFERROR(IF(IFERROR(MATCH(43,'كشف الحساب'!$N$4:$N$203,0),0)=0,"",INDEX('كشف الحساب'!$H$4:$H$203,IFERROR(MATCH(43,'كشف الحساب'!$N$4:$N$203,0),0))),"")</f>
        <v>تم الدفع</v>
      </c>
      <c r="I47" s="64">
        <f>IFERROR(IF(IFERROR(MATCH(43,'كشف الحساب'!$N$4:$N$203,0),0)=0,"",INDEX('كشف الحساب'!$I$4:$I$203,IFERROR(MATCH(43,'كشف الحساب'!$N$4:$N$203,0),0))),"")</f>
        <v>0</v>
      </c>
      <c r="J47" s="68">
        <f>IFERROR(IF(IFERROR(MATCH(43,'كشف الحساب'!$N$4:$N$203,0),0)=0,"",INDEX('كشف الحساب'!$J$4:$J$203,IFERROR(MATCH(43,'كشف الحساب'!$N$4:$N$203,0),0))),"")</f>
        <v>25.050000000000011</v>
      </c>
      <c r="K47" s="64">
        <f>IFERROR(IF(IFERROR(MATCH(43,'كشف الحساب'!$N$4:$N$203,0),0)=0,"",INDEX('كشف الحساب'!$K$4:$K$203,IFERROR(MATCH(43,'كشف الحساب'!$N$4:$N$203,0),0))),"")</f>
        <v>0</v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6" t="s">
        <v>266</v>
      </c>
      <c r="B155" s="155"/>
      <c r="C155" s="155"/>
      <c r="D155" s="75">
        <f>SUM(D5:D154)</f>
        <v>724.8</v>
      </c>
      <c r="E155" s="75">
        <f>SUM(E5:E154)</f>
        <v>195.5</v>
      </c>
      <c r="F155" s="167">
        <f>COUNTIF(H5:H154,"معلق")</f>
        <v>3</v>
      </c>
      <c r="G155" s="155"/>
      <c r="H155" s="155"/>
      <c r="I155" s="76"/>
      <c r="J155" s="75">
        <f>E155-D155</f>
        <v>-529.29999999999995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267</v>
      </c>
      <c r="F156" s="49" t="s">
        <v>218</v>
      </c>
      <c r="G156" s="77"/>
      <c r="H156" s="77"/>
      <c r="I156" s="77"/>
      <c r="J156" s="50" t="s">
        <v>268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0" t="s">
        <v>269</v>
      </c>
      <c r="B1" s="155"/>
      <c r="C1" s="155"/>
      <c r="D1" s="155"/>
      <c r="E1" s="155"/>
      <c r="F1" s="155"/>
      <c r="G1" s="155"/>
    </row>
    <row r="2" spans="1:7" ht="24" customHeight="1" x14ac:dyDescent="0.25">
      <c r="A2" s="165" t="s">
        <v>270</v>
      </c>
      <c r="B2" s="155"/>
      <c r="C2" s="56" t="s">
        <v>256</v>
      </c>
      <c r="D2" s="165" t="s">
        <v>271</v>
      </c>
      <c r="E2" s="155"/>
      <c r="F2" s="56">
        <v>2026</v>
      </c>
    </row>
    <row r="3" spans="1:7" ht="21.75" customHeight="1" x14ac:dyDescent="0.25">
      <c r="A3" s="169" t="s">
        <v>272</v>
      </c>
      <c r="B3" s="155"/>
      <c r="C3" s="57">
        <f>المحفظة!$D$2</f>
        <v>0</v>
      </c>
      <c r="D3" s="169" t="s">
        <v>273</v>
      </c>
      <c r="E3" s="155"/>
      <c r="F3" s="78">
        <f>المحفظة!$C$3</f>
        <v>0</v>
      </c>
    </row>
    <row r="4" spans="1:7" ht="21.75" customHeight="1" x14ac:dyDescent="0.25">
      <c r="A4" s="171" t="s">
        <v>274</v>
      </c>
      <c r="B4" s="155"/>
      <c r="C4" s="155"/>
      <c r="D4" s="155"/>
      <c r="E4" s="155"/>
      <c r="F4" s="155"/>
      <c r="G4" s="155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275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275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275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275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275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275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275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275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275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275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275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275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275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275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275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275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275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275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275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275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275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275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275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275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275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275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275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275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275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275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275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275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275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275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275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275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275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275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275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275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275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275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275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275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275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275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275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275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275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275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1" t="s">
        <v>267</v>
      </c>
      <c r="B55" s="155"/>
      <c r="C55" s="155"/>
      <c r="D55" s="155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0" t="s">
        <v>276</v>
      </c>
      <c r="B56" s="155"/>
      <c r="C56" s="155"/>
      <c r="D56" s="155"/>
      <c r="E56" s="155"/>
      <c r="F56" s="155"/>
      <c r="G56" s="155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275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275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275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275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275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275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275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275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275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275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275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275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275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275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275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275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275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275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275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275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275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275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275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275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275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275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275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275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275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275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275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275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275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275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275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275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275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275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275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275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275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275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275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275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275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275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275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275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275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275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0" t="s">
        <v>277</v>
      </c>
      <c r="B107" s="155"/>
      <c r="C107" s="155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6" t="s">
        <v>278</v>
      </c>
      <c r="B108" s="155"/>
      <c r="C108" s="155"/>
      <c r="D108" s="75">
        <f>E55-D107</f>
        <v>0</v>
      </c>
      <c r="E108" s="172">
        <f>SUM(E5:E107)</f>
        <v>0</v>
      </c>
      <c r="F108" s="155"/>
      <c r="G108" s="156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2026-07-26T19:19:34Z</dcterms:modified>
  <dc:language>en-US</dc:language>
</cp:coreProperties>
</file>