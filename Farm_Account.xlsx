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di Ishak\Downloads\"/>
    </mc:Choice>
  </mc:AlternateContent>
  <xr:revisionPtr revIDLastSave="0" documentId="13_ncr:1_{2700984F-B734-42DD-86B6-E137E378433D}" xr6:coauthVersionLast="36" xr6:coauthVersionMax="36" xr10:uidLastSave="{00000000-0000-0000-0000-000000000000}"/>
  <bookViews>
    <workbookView xWindow="0" yWindow="0" windowWidth="16380" windowHeight="8190" tabRatio="500" firstSheet="1" activeTab="1" xr2:uid="{00000000-000D-0000-FFFF-FFFF00000000}"/>
  </bookViews>
  <sheets>
    <sheet name="المحفظة" sheetId="1" r:id="rId1"/>
    <sheet name="كشف الحساب" sheetId="2" r:id="rId2"/>
    <sheet name="بنود المحفظة" sheetId="3" r:id="rId3"/>
    <sheet name="تعليمات" sheetId="4" r:id="rId4"/>
    <sheet name="طباعة كشف الحساب" sheetId="5" r:id="rId5"/>
    <sheet name="طباعة المحفظة" sheetId="6" r:id="rId6"/>
  </sheets>
  <definedNames>
    <definedName name="_xlnm._FilterDatabase" localSheetId="1" hidden="1">'كشف الحساب'!$A$3:$K$353</definedName>
    <definedName name="_xlnm.Print_Area" localSheetId="5">'طباعة المحفظة'!$A$1:$G$52,'طباعة المحفظة'!$A$55:$G$69,'طباعة المحفظة'!$A$107:$G$108</definedName>
    <definedName name="_xlnm.Print_Area" localSheetId="4">'طباعة كشف الحساب'!$A$1:$K$356</definedName>
    <definedName name="_xlnm.Print_Titles" localSheetId="5">'طباعة المحفظة'!$1:$4</definedName>
    <definedName name="_xlnm.Print_Titles" localSheetId="4">'طباعة كشف الحساب'!$1:$4</definedName>
  </definedNames>
  <calcPr calcId="191029"/>
</workbook>
</file>

<file path=xl/calcChain.xml><?xml version="1.0" encoding="utf-8"?>
<calcChain xmlns="http://schemas.openxmlformats.org/spreadsheetml/2006/main">
  <c r="D107" i="6" l="1"/>
  <c r="F106" i="6"/>
  <c r="D106" i="6"/>
  <c r="C106" i="6"/>
  <c r="B106" i="6"/>
  <c r="A106" i="6"/>
  <c r="F105" i="6"/>
  <c r="D105" i="6"/>
  <c r="C105" i="6"/>
  <c r="B105" i="6"/>
  <c r="A105" i="6"/>
  <c r="F104" i="6"/>
  <c r="D104" i="6"/>
  <c r="C104" i="6"/>
  <c r="B104" i="6"/>
  <c r="A104" i="6"/>
  <c r="F103" i="6"/>
  <c r="D103" i="6"/>
  <c r="C103" i="6"/>
  <c r="B103" i="6"/>
  <c r="A103" i="6"/>
  <c r="F102" i="6"/>
  <c r="D102" i="6"/>
  <c r="C102" i="6"/>
  <c r="B102" i="6"/>
  <c r="A102" i="6"/>
  <c r="F101" i="6"/>
  <c r="D101" i="6"/>
  <c r="C101" i="6"/>
  <c r="B101" i="6"/>
  <c r="A101" i="6"/>
  <c r="F100" i="6"/>
  <c r="D100" i="6"/>
  <c r="C100" i="6"/>
  <c r="B100" i="6"/>
  <c r="A100" i="6"/>
  <c r="F99" i="6"/>
  <c r="D99" i="6"/>
  <c r="C99" i="6"/>
  <c r="B99" i="6"/>
  <c r="A99" i="6"/>
  <c r="F98" i="6"/>
  <c r="D98" i="6"/>
  <c r="C98" i="6"/>
  <c r="B98" i="6"/>
  <c r="A98" i="6"/>
  <c r="F97" i="6"/>
  <c r="D97" i="6"/>
  <c r="C97" i="6"/>
  <c r="B97" i="6"/>
  <c r="A97" i="6"/>
  <c r="F96" i="6"/>
  <c r="D96" i="6"/>
  <c r="C96" i="6"/>
  <c r="B96" i="6"/>
  <c r="A96" i="6"/>
  <c r="F95" i="6"/>
  <c r="D95" i="6"/>
  <c r="C95" i="6"/>
  <c r="B95" i="6"/>
  <c r="A95" i="6"/>
  <c r="F94" i="6"/>
  <c r="D94" i="6"/>
  <c r="C94" i="6"/>
  <c r="B94" i="6"/>
  <c r="A94" i="6"/>
  <c r="F93" i="6"/>
  <c r="D93" i="6"/>
  <c r="C93" i="6"/>
  <c r="B93" i="6"/>
  <c r="A93" i="6"/>
  <c r="F92" i="6"/>
  <c r="D92" i="6"/>
  <c r="C92" i="6"/>
  <c r="B92" i="6"/>
  <c r="A92" i="6"/>
  <c r="F91" i="6"/>
  <c r="D91" i="6"/>
  <c r="C91" i="6"/>
  <c r="B91" i="6"/>
  <c r="A91" i="6"/>
  <c r="F90" i="6"/>
  <c r="D90" i="6"/>
  <c r="C90" i="6"/>
  <c r="B90" i="6"/>
  <c r="A90" i="6"/>
  <c r="F89" i="6"/>
  <c r="D89" i="6"/>
  <c r="C89" i="6"/>
  <c r="B89" i="6"/>
  <c r="A89" i="6"/>
  <c r="F88" i="6"/>
  <c r="D88" i="6"/>
  <c r="C88" i="6"/>
  <c r="B88" i="6"/>
  <c r="A88" i="6"/>
  <c r="F87" i="6"/>
  <c r="D87" i="6"/>
  <c r="C87" i="6"/>
  <c r="B87" i="6"/>
  <c r="A87" i="6"/>
  <c r="F86" i="6"/>
  <c r="D86" i="6"/>
  <c r="C86" i="6"/>
  <c r="B86" i="6"/>
  <c r="A86" i="6"/>
  <c r="F85" i="6"/>
  <c r="D85" i="6"/>
  <c r="C85" i="6"/>
  <c r="B85" i="6"/>
  <c r="A85" i="6"/>
  <c r="F84" i="6"/>
  <c r="D84" i="6"/>
  <c r="C84" i="6"/>
  <c r="B84" i="6"/>
  <c r="A84" i="6"/>
  <c r="F83" i="6"/>
  <c r="D83" i="6"/>
  <c r="C83" i="6"/>
  <c r="B83" i="6"/>
  <c r="A83" i="6"/>
  <c r="F82" i="6"/>
  <c r="D82" i="6"/>
  <c r="C82" i="6"/>
  <c r="B82" i="6"/>
  <c r="A82" i="6"/>
  <c r="F81" i="6"/>
  <c r="D81" i="6"/>
  <c r="C81" i="6"/>
  <c r="B81" i="6"/>
  <c r="A81" i="6"/>
  <c r="F80" i="6"/>
  <c r="D80" i="6"/>
  <c r="C80" i="6"/>
  <c r="B80" i="6"/>
  <c r="A80" i="6"/>
  <c r="F79" i="6"/>
  <c r="D79" i="6"/>
  <c r="C79" i="6"/>
  <c r="B79" i="6"/>
  <c r="A79" i="6"/>
  <c r="F78" i="6"/>
  <c r="D78" i="6"/>
  <c r="C78" i="6"/>
  <c r="B78" i="6"/>
  <c r="A78" i="6"/>
  <c r="F77" i="6"/>
  <c r="D77" i="6"/>
  <c r="C77" i="6"/>
  <c r="B77" i="6"/>
  <c r="A77" i="6"/>
  <c r="F76" i="6"/>
  <c r="D76" i="6"/>
  <c r="C76" i="6"/>
  <c r="B76" i="6"/>
  <c r="A76" i="6"/>
  <c r="F75" i="6"/>
  <c r="D75" i="6"/>
  <c r="C75" i="6"/>
  <c r="B75" i="6"/>
  <c r="A75" i="6"/>
  <c r="F74" i="6"/>
  <c r="D74" i="6"/>
  <c r="C74" i="6"/>
  <c r="B74" i="6"/>
  <c r="A74" i="6"/>
  <c r="F73" i="6"/>
  <c r="D73" i="6"/>
  <c r="C73" i="6"/>
  <c r="B73" i="6"/>
  <c r="A73" i="6"/>
  <c r="F72" i="6"/>
  <c r="D72" i="6"/>
  <c r="C72" i="6"/>
  <c r="B72" i="6"/>
  <c r="A72" i="6"/>
  <c r="F71" i="6"/>
  <c r="D71" i="6"/>
  <c r="C71" i="6"/>
  <c r="B71" i="6"/>
  <c r="A71" i="6"/>
  <c r="F70" i="6"/>
  <c r="D70" i="6"/>
  <c r="C70" i="6"/>
  <c r="B70" i="6"/>
  <c r="A70" i="6"/>
  <c r="F69" i="6"/>
  <c r="D69" i="6"/>
  <c r="C69" i="6"/>
  <c r="B69" i="6"/>
  <c r="A69" i="6"/>
  <c r="F68" i="6"/>
  <c r="D68" i="6"/>
  <c r="C68" i="6"/>
  <c r="B68" i="6"/>
  <c r="A68" i="6"/>
  <c r="F67" i="6"/>
  <c r="D67" i="6"/>
  <c r="C67" i="6"/>
  <c r="B67" i="6"/>
  <c r="A67" i="6"/>
  <c r="F66" i="6"/>
  <c r="D66" i="6"/>
  <c r="C66" i="6"/>
  <c r="B66" i="6"/>
  <c r="A66" i="6"/>
  <c r="F65" i="6"/>
  <c r="D65" i="6"/>
  <c r="C65" i="6"/>
  <c r="B65" i="6"/>
  <c r="A65" i="6"/>
  <c r="F64" i="6"/>
  <c r="D64" i="6"/>
  <c r="C64" i="6"/>
  <c r="B64" i="6"/>
  <c r="A64" i="6"/>
  <c r="F63" i="6"/>
  <c r="D63" i="6"/>
  <c r="C63" i="6"/>
  <c r="B63" i="6"/>
  <c r="A63" i="6"/>
  <c r="F62" i="6"/>
  <c r="D62" i="6"/>
  <c r="C62" i="6"/>
  <c r="B62" i="6"/>
  <c r="A62" i="6"/>
  <c r="F61" i="6"/>
  <c r="D61" i="6"/>
  <c r="C61" i="6"/>
  <c r="B61" i="6"/>
  <c r="A61" i="6"/>
  <c r="F60" i="6"/>
  <c r="D60" i="6"/>
  <c r="C60" i="6"/>
  <c r="B60" i="6"/>
  <c r="A60" i="6"/>
  <c r="F59" i="6"/>
  <c r="D59" i="6"/>
  <c r="C59" i="6"/>
  <c r="B59" i="6"/>
  <c r="A59" i="6"/>
  <c r="F58" i="6"/>
  <c r="D58" i="6"/>
  <c r="C58" i="6"/>
  <c r="B58" i="6"/>
  <c r="A58" i="6"/>
  <c r="F57" i="6"/>
  <c r="D57" i="6"/>
  <c r="C57" i="6"/>
  <c r="B57" i="6"/>
  <c r="A57" i="6"/>
  <c r="E55" i="6"/>
  <c r="F54" i="6"/>
  <c r="E54" i="6"/>
  <c r="C54" i="6"/>
  <c r="B54" i="6"/>
  <c r="A54" i="6"/>
  <c r="F53" i="6"/>
  <c r="E53" i="6"/>
  <c r="C53" i="6"/>
  <c r="B53" i="6"/>
  <c r="A53" i="6"/>
  <c r="F52" i="6"/>
  <c r="E52" i="6"/>
  <c r="C52" i="6"/>
  <c r="B52" i="6"/>
  <c r="A52" i="6"/>
  <c r="F51" i="6"/>
  <c r="E51" i="6"/>
  <c r="C51" i="6"/>
  <c r="B51" i="6"/>
  <c r="A51" i="6"/>
  <c r="F50" i="6"/>
  <c r="E50" i="6"/>
  <c r="C50" i="6"/>
  <c r="B50" i="6"/>
  <c r="A50" i="6"/>
  <c r="F49" i="6"/>
  <c r="E49" i="6"/>
  <c r="C49" i="6"/>
  <c r="B49" i="6"/>
  <c r="A49" i="6"/>
  <c r="F48" i="6"/>
  <c r="E48" i="6"/>
  <c r="C48" i="6"/>
  <c r="B48" i="6"/>
  <c r="A48" i="6"/>
  <c r="F47" i="6"/>
  <c r="E47" i="6"/>
  <c r="C47" i="6"/>
  <c r="B47" i="6"/>
  <c r="A47" i="6"/>
  <c r="F46" i="6"/>
  <c r="E46" i="6"/>
  <c r="C46" i="6"/>
  <c r="B46" i="6"/>
  <c r="A46" i="6"/>
  <c r="F45" i="6"/>
  <c r="E45" i="6"/>
  <c r="C45" i="6"/>
  <c r="B45" i="6"/>
  <c r="A45" i="6"/>
  <c r="F44" i="6"/>
  <c r="E44" i="6"/>
  <c r="C44" i="6"/>
  <c r="B44" i="6"/>
  <c r="A44" i="6"/>
  <c r="F43" i="6"/>
  <c r="E43" i="6"/>
  <c r="C43" i="6"/>
  <c r="B43" i="6"/>
  <c r="A43" i="6"/>
  <c r="F42" i="6"/>
  <c r="E42" i="6"/>
  <c r="C42" i="6"/>
  <c r="B42" i="6"/>
  <c r="A42" i="6"/>
  <c r="F41" i="6"/>
  <c r="E41" i="6"/>
  <c r="C41" i="6"/>
  <c r="B41" i="6"/>
  <c r="A41" i="6"/>
  <c r="F40" i="6"/>
  <c r="E40" i="6"/>
  <c r="C40" i="6"/>
  <c r="B40" i="6"/>
  <c r="A40" i="6"/>
  <c r="F39" i="6"/>
  <c r="E39" i="6"/>
  <c r="C39" i="6"/>
  <c r="B39" i="6"/>
  <c r="A39" i="6"/>
  <c r="F38" i="6"/>
  <c r="E38" i="6"/>
  <c r="C38" i="6"/>
  <c r="B38" i="6"/>
  <c r="A38" i="6"/>
  <c r="F37" i="6"/>
  <c r="E37" i="6"/>
  <c r="C37" i="6"/>
  <c r="B37" i="6"/>
  <c r="A37" i="6"/>
  <c r="F36" i="6"/>
  <c r="E36" i="6"/>
  <c r="C36" i="6"/>
  <c r="B36" i="6"/>
  <c r="A36" i="6"/>
  <c r="F35" i="6"/>
  <c r="E35" i="6"/>
  <c r="C35" i="6"/>
  <c r="B35" i="6"/>
  <c r="A35" i="6"/>
  <c r="F34" i="6"/>
  <c r="E34" i="6"/>
  <c r="C34" i="6"/>
  <c r="B34" i="6"/>
  <c r="A34" i="6"/>
  <c r="F33" i="6"/>
  <c r="E33" i="6"/>
  <c r="C33" i="6"/>
  <c r="B33" i="6"/>
  <c r="A33" i="6"/>
  <c r="F32" i="6"/>
  <c r="E32" i="6"/>
  <c r="C32" i="6"/>
  <c r="B32" i="6"/>
  <c r="A32" i="6"/>
  <c r="F31" i="6"/>
  <c r="E31" i="6"/>
  <c r="C31" i="6"/>
  <c r="B31" i="6"/>
  <c r="A31" i="6"/>
  <c r="F30" i="6"/>
  <c r="E30" i="6"/>
  <c r="C30" i="6"/>
  <c r="B30" i="6"/>
  <c r="A30" i="6"/>
  <c r="F29" i="6"/>
  <c r="E29" i="6"/>
  <c r="C29" i="6"/>
  <c r="B29" i="6"/>
  <c r="A29" i="6"/>
  <c r="F28" i="6"/>
  <c r="E28" i="6"/>
  <c r="C28" i="6"/>
  <c r="B28" i="6"/>
  <c r="A28" i="6"/>
  <c r="F27" i="6"/>
  <c r="E27" i="6"/>
  <c r="C27" i="6"/>
  <c r="B27" i="6"/>
  <c r="A27" i="6"/>
  <c r="F26" i="6"/>
  <c r="E26" i="6"/>
  <c r="C26" i="6"/>
  <c r="B26" i="6"/>
  <c r="A26" i="6"/>
  <c r="F25" i="6"/>
  <c r="E25" i="6"/>
  <c r="C25" i="6"/>
  <c r="B25" i="6"/>
  <c r="A25" i="6"/>
  <c r="F24" i="6"/>
  <c r="E24" i="6"/>
  <c r="C24" i="6"/>
  <c r="B24" i="6"/>
  <c r="A24" i="6"/>
  <c r="F23" i="6"/>
  <c r="E23" i="6"/>
  <c r="C23" i="6"/>
  <c r="B23" i="6"/>
  <c r="A23" i="6"/>
  <c r="F22" i="6"/>
  <c r="E22" i="6"/>
  <c r="C22" i="6"/>
  <c r="B22" i="6"/>
  <c r="A22" i="6"/>
  <c r="F21" i="6"/>
  <c r="E21" i="6"/>
  <c r="C21" i="6"/>
  <c r="B21" i="6"/>
  <c r="A21" i="6"/>
  <c r="F20" i="6"/>
  <c r="E20" i="6"/>
  <c r="C20" i="6"/>
  <c r="B20" i="6"/>
  <c r="A20" i="6"/>
  <c r="F19" i="6"/>
  <c r="E19" i="6"/>
  <c r="C19" i="6"/>
  <c r="B19" i="6"/>
  <c r="A19" i="6"/>
  <c r="F18" i="6"/>
  <c r="E18" i="6"/>
  <c r="C18" i="6"/>
  <c r="B18" i="6"/>
  <c r="A18" i="6"/>
  <c r="F17" i="6"/>
  <c r="E17" i="6"/>
  <c r="C17" i="6"/>
  <c r="B17" i="6"/>
  <c r="A17" i="6"/>
  <c r="F16" i="6"/>
  <c r="E16" i="6"/>
  <c r="C16" i="6"/>
  <c r="B16" i="6"/>
  <c r="A16" i="6"/>
  <c r="F15" i="6"/>
  <c r="E15" i="6"/>
  <c r="C15" i="6"/>
  <c r="B15" i="6"/>
  <c r="A15" i="6"/>
  <c r="F14" i="6"/>
  <c r="E14" i="6"/>
  <c r="C14" i="6"/>
  <c r="B14" i="6"/>
  <c r="A14" i="6"/>
  <c r="F13" i="6"/>
  <c r="E13" i="6"/>
  <c r="C13" i="6"/>
  <c r="B13" i="6"/>
  <c r="A13" i="6"/>
  <c r="F12" i="6"/>
  <c r="E12" i="6"/>
  <c r="C12" i="6"/>
  <c r="B12" i="6"/>
  <c r="A12" i="6"/>
  <c r="F11" i="6"/>
  <c r="E11" i="6"/>
  <c r="C11" i="6"/>
  <c r="B11" i="6"/>
  <c r="A11" i="6"/>
  <c r="F10" i="6"/>
  <c r="E10" i="6"/>
  <c r="C10" i="6"/>
  <c r="B10" i="6"/>
  <c r="A10" i="6"/>
  <c r="F9" i="6"/>
  <c r="E9" i="6"/>
  <c r="C9" i="6"/>
  <c r="B9" i="6"/>
  <c r="A9" i="6"/>
  <c r="F8" i="6"/>
  <c r="E8" i="6"/>
  <c r="C8" i="6"/>
  <c r="B8" i="6"/>
  <c r="A8" i="6"/>
  <c r="F7" i="6"/>
  <c r="E7" i="6"/>
  <c r="C7" i="6"/>
  <c r="B7" i="6"/>
  <c r="A7" i="6"/>
  <c r="F6" i="6"/>
  <c r="E6" i="6"/>
  <c r="C6" i="6"/>
  <c r="B6" i="6"/>
  <c r="A6" i="6"/>
  <c r="F5" i="6"/>
  <c r="E5" i="6"/>
  <c r="C5" i="6"/>
  <c r="B5" i="6"/>
  <c r="A5" i="6"/>
  <c r="F3" i="6"/>
  <c r="C3" i="6"/>
  <c r="D3" i="5"/>
  <c r="N355" i="2"/>
  <c r="F355" i="2"/>
  <c r="E355" i="2"/>
  <c r="D355" i="2"/>
  <c r="Q354" i="2"/>
  <c r="P354" i="2"/>
  <c r="O354" i="2"/>
  <c r="N354" i="2"/>
  <c r="M354" i="2"/>
  <c r="L354" i="2"/>
  <c r="Q353" i="2"/>
  <c r="P353" i="2"/>
  <c r="O353" i="2"/>
  <c r="N353" i="2"/>
  <c r="M353" i="2"/>
  <c r="L353" i="2"/>
  <c r="J353" i="2"/>
  <c r="Q352" i="2"/>
  <c r="P352" i="2"/>
  <c r="O352" i="2"/>
  <c r="N352" i="2"/>
  <c r="M352" i="2"/>
  <c r="L352" i="2"/>
  <c r="J352" i="2"/>
  <c r="Q351" i="2"/>
  <c r="P351" i="2"/>
  <c r="O351" i="2"/>
  <c r="N351" i="2"/>
  <c r="M351" i="2"/>
  <c r="L351" i="2"/>
  <c r="J351" i="2"/>
  <c r="Q350" i="2"/>
  <c r="P350" i="2"/>
  <c r="O350" i="2"/>
  <c r="N350" i="2"/>
  <c r="M350" i="2"/>
  <c r="L350" i="2"/>
  <c r="J350" i="2"/>
  <c r="Q349" i="2"/>
  <c r="P349" i="2"/>
  <c r="O349" i="2"/>
  <c r="N349" i="2"/>
  <c r="M349" i="2"/>
  <c r="L349" i="2"/>
  <c r="J349" i="2"/>
  <c r="Q348" i="2"/>
  <c r="P348" i="2"/>
  <c r="O348" i="2"/>
  <c r="N348" i="2"/>
  <c r="M348" i="2"/>
  <c r="L348" i="2"/>
  <c r="J348" i="2"/>
  <c r="Q347" i="2"/>
  <c r="P347" i="2"/>
  <c r="O347" i="2"/>
  <c r="N347" i="2"/>
  <c r="M347" i="2"/>
  <c r="L347" i="2"/>
  <c r="J347" i="2"/>
  <c r="Q346" i="2"/>
  <c r="P346" i="2"/>
  <c r="O346" i="2"/>
  <c r="N346" i="2"/>
  <c r="M346" i="2"/>
  <c r="L346" i="2"/>
  <c r="J346" i="2"/>
  <c r="Q345" i="2"/>
  <c r="P345" i="2"/>
  <c r="O345" i="2"/>
  <c r="N345" i="2"/>
  <c r="M345" i="2"/>
  <c r="L345" i="2"/>
  <c r="J345" i="2"/>
  <c r="Q344" i="2"/>
  <c r="P344" i="2"/>
  <c r="O344" i="2"/>
  <c r="N344" i="2"/>
  <c r="M344" i="2"/>
  <c r="L344" i="2"/>
  <c r="J344" i="2"/>
  <c r="Q343" i="2"/>
  <c r="P343" i="2"/>
  <c r="O343" i="2"/>
  <c r="N343" i="2"/>
  <c r="M343" i="2"/>
  <c r="L343" i="2"/>
  <c r="J343" i="2"/>
  <c r="Q342" i="2"/>
  <c r="P342" i="2"/>
  <c r="O342" i="2"/>
  <c r="N342" i="2"/>
  <c r="M342" i="2"/>
  <c r="L342" i="2"/>
  <c r="J342" i="2"/>
  <c r="Q341" i="2"/>
  <c r="P341" i="2"/>
  <c r="O341" i="2"/>
  <c r="N341" i="2"/>
  <c r="M341" i="2"/>
  <c r="L341" i="2"/>
  <c r="J341" i="2"/>
  <c r="Q340" i="2"/>
  <c r="P340" i="2"/>
  <c r="O340" i="2"/>
  <c r="N340" i="2"/>
  <c r="M340" i="2"/>
  <c r="L340" i="2"/>
  <c r="J340" i="2"/>
  <c r="Q339" i="2"/>
  <c r="P339" i="2"/>
  <c r="O339" i="2"/>
  <c r="N339" i="2"/>
  <c r="M339" i="2"/>
  <c r="L339" i="2"/>
  <c r="J339" i="2"/>
  <c r="Q338" i="2"/>
  <c r="P338" i="2"/>
  <c r="O338" i="2"/>
  <c r="N338" i="2"/>
  <c r="M338" i="2"/>
  <c r="L338" i="2"/>
  <c r="J338" i="2"/>
  <c r="Q337" i="2"/>
  <c r="P337" i="2"/>
  <c r="O337" i="2"/>
  <c r="N337" i="2"/>
  <c r="M337" i="2"/>
  <c r="L337" i="2"/>
  <c r="J337" i="2"/>
  <c r="Q336" i="2"/>
  <c r="P336" i="2"/>
  <c r="O336" i="2"/>
  <c r="N336" i="2"/>
  <c r="M336" i="2"/>
  <c r="L336" i="2"/>
  <c r="J336" i="2"/>
  <c r="Q335" i="2"/>
  <c r="P335" i="2"/>
  <c r="O335" i="2"/>
  <c r="N335" i="2"/>
  <c r="M335" i="2"/>
  <c r="L335" i="2"/>
  <c r="J335" i="2"/>
  <c r="Q334" i="2"/>
  <c r="P334" i="2"/>
  <c r="O334" i="2"/>
  <c r="N334" i="2"/>
  <c r="M334" i="2"/>
  <c r="L334" i="2"/>
  <c r="J334" i="2"/>
  <c r="Q333" i="2"/>
  <c r="P333" i="2"/>
  <c r="O333" i="2"/>
  <c r="N333" i="2"/>
  <c r="M333" i="2"/>
  <c r="L333" i="2"/>
  <c r="J333" i="2"/>
  <c r="Q332" i="2"/>
  <c r="P332" i="2"/>
  <c r="O332" i="2"/>
  <c r="N332" i="2"/>
  <c r="M332" i="2"/>
  <c r="L332" i="2"/>
  <c r="J332" i="2"/>
  <c r="Q331" i="2"/>
  <c r="P331" i="2"/>
  <c r="O331" i="2"/>
  <c r="N331" i="2"/>
  <c r="M331" i="2"/>
  <c r="L331" i="2"/>
  <c r="J331" i="2"/>
  <c r="Q330" i="2"/>
  <c r="P330" i="2"/>
  <c r="O330" i="2"/>
  <c r="N330" i="2"/>
  <c r="M330" i="2"/>
  <c r="L330" i="2"/>
  <c r="J330" i="2"/>
  <c r="Q329" i="2"/>
  <c r="P329" i="2"/>
  <c r="O329" i="2"/>
  <c r="N329" i="2"/>
  <c r="M329" i="2"/>
  <c r="L329" i="2"/>
  <c r="J329" i="2"/>
  <c r="Q328" i="2"/>
  <c r="P328" i="2"/>
  <c r="O328" i="2"/>
  <c r="N328" i="2"/>
  <c r="M328" i="2"/>
  <c r="L328" i="2"/>
  <c r="J328" i="2"/>
  <c r="Q327" i="2"/>
  <c r="P327" i="2"/>
  <c r="O327" i="2"/>
  <c r="N327" i="2"/>
  <c r="M327" i="2"/>
  <c r="L327" i="2"/>
  <c r="J327" i="2"/>
  <c r="Q326" i="2"/>
  <c r="P326" i="2"/>
  <c r="O326" i="2"/>
  <c r="N326" i="2"/>
  <c r="M326" i="2"/>
  <c r="L326" i="2"/>
  <c r="J326" i="2"/>
  <c r="Q325" i="2"/>
  <c r="P325" i="2"/>
  <c r="O325" i="2"/>
  <c r="N325" i="2"/>
  <c r="M325" i="2"/>
  <c r="L325" i="2"/>
  <c r="J325" i="2"/>
  <c r="Q324" i="2"/>
  <c r="P324" i="2"/>
  <c r="O324" i="2"/>
  <c r="N324" i="2"/>
  <c r="M324" i="2"/>
  <c r="L324" i="2"/>
  <c r="J324" i="2"/>
  <c r="Q323" i="2"/>
  <c r="P323" i="2"/>
  <c r="O323" i="2"/>
  <c r="N323" i="2"/>
  <c r="M323" i="2"/>
  <c r="L323" i="2"/>
  <c r="J323" i="2"/>
  <c r="Q322" i="2"/>
  <c r="P322" i="2"/>
  <c r="O322" i="2"/>
  <c r="N322" i="2"/>
  <c r="M322" i="2"/>
  <c r="L322" i="2"/>
  <c r="J322" i="2"/>
  <c r="Q321" i="2"/>
  <c r="P321" i="2"/>
  <c r="O321" i="2"/>
  <c r="N321" i="2"/>
  <c r="M321" i="2"/>
  <c r="L321" i="2"/>
  <c r="J321" i="2"/>
  <c r="Q320" i="2"/>
  <c r="P320" i="2"/>
  <c r="O320" i="2"/>
  <c r="N320" i="2"/>
  <c r="M320" i="2"/>
  <c r="L320" i="2"/>
  <c r="J320" i="2"/>
  <c r="Q319" i="2"/>
  <c r="P319" i="2"/>
  <c r="O319" i="2"/>
  <c r="N319" i="2"/>
  <c r="M319" i="2"/>
  <c r="L319" i="2"/>
  <c r="J319" i="2"/>
  <c r="Q318" i="2"/>
  <c r="P318" i="2"/>
  <c r="O318" i="2"/>
  <c r="N318" i="2"/>
  <c r="M318" i="2"/>
  <c r="L318" i="2"/>
  <c r="J318" i="2"/>
  <c r="Q317" i="2"/>
  <c r="P317" i="2"/>
  <c r="O317" i="2"/>
  <c r="N317" i="2"/>
  <c r="M317" i="2"/>
  <c r="L317" i="2"/>
  <c r="J317" i="2"/>
  <c r="Q316" i="2"/>
  <c r="P316" i="2"/>
  <c r="O316" i="2"/>
  <c r="N316" i="2"/>
  <c r="M316" i="2"/>
  <c r="L316" i="2"/>
  <c r="J316" i="2"/>
  <c r="Q315" i="2"/>
  <c r="P315" i="2"/>
  <c r="O315" i="2"/>
  <c r="N315" i="2"/>
  <c r="M315" i="2"/>
  <c r="L315" i="2"/>
  <c r="J315" i="2"/>
  <c r="Q314" i="2"/>
  <c r="P314" i="2"/>
  <c r="O314" i="2"/>
  <c r="N314" i="2"/>
  <c r="M314" i="2"/>
  <c r="L314" i="2"/>
  <c r="J314" i="2"/>
  <c r="Q313" i="2"/>
  <c r="P313" i="2"/>
  <c r="O313" i="2"/>
  <c r="N313" i="2"/>
  <c r="M313" i="2"/>
  <c r="L313" i="2"/>
  <c r="J313" i="2"/>
  <c r="Q312" i="2"/>
  <c r="P312" i="2"/>
  <c r="O312" i="2"/>
  <c r="N312" i="2"/>
  <c r="M312" i="2"/>
  <c r="L312" i="2"/>
  <c r="J312" i="2"/>
  <c r="Q311" i="2"/>
  <c r="P311" i="2"/>
  <c r="O311" i="2"/>
  <c r="N311" i="2"/>
  <c r="M311" i="2"/>
  <c r="L311" i="2"/>
  <c r="J311" i="2"/>
  <c r="Q310" i="2"/>
  <c r="P310" i="2"/>
  <c r="O310" i="2"/>
  <c r="N310" i="2"/>
  <c r="M310" i="2"/>
  <c r="L310" i="2"/>
  <c r="J310" i="2"/>
  <c r="Q309" i="2"/>
  <c r="P309" i="2"/>
  <c r="O309" i="2"/>
  <c r="N309" i="2"/>
  <c r="M309" i="2"/>
  <c r="L309" i="2"/>
  <c r="J309" i="2"/>
  <c r="Q308" i="2"/>
  <c r="P308" i="2"/>
  <c r="O308" i="2"/>
  <c r="N308" i="2"/>
  <c r="M308" i="2"/>
  <c r="L308" i="2"/>
  <c r="J308" i="2"/>
  <c r="Q307" i="2"/>
  <c r="P307" i="2"/>
  <c r="O307" i="2"/>
  <c r="N307" i="2"/>
  <c r="M307" i="2"/>
  <c r="L307" i="2"/>
  <c r="J307" i="2"/>
  <c r="Q306" i="2"/>
  <c r="P306" i="2"/>
  <c r="O306" i="2"/>
  <c r="N306" i="2"/>
  <c r="M306" i="2"/>
  <c r="L306" i="2"/>
  <c r="J306" i="2"/>
  <c r="Q305" i="2"/>
  <c r="P305" i="2"/>
  <c r="O305" i="2"/>
  <c r="N305" i="2"/>
  <c r="M305" i="2"/>
  <c r="L305" i="2"/>
  <c r="J305" i="2"/>
  <c r="Q304" i="2"/>
  <c r="P304" i="2"/>
  <c r="O304" i="2"/>
  <c r="N304" i="2"/>
  <c r="M304" i="2"/>
  <c r="L304" i="2"/>
  <c r="J304" i="2"/>
  <c r="Q303" i="2"/>
  <c r="P303" i="2"/>
  <c r="O303" i="2"/>
  <c r="N303" i="2"/>
  <c r="M303" i="2"/>
  <c r="L303" i="2"/>
  <c r="J303" i="2"/>
  <c r="Q302" i="2"/>
  <c r="P302" i="2"/>
  <c r="O302" i="2"/>
  <c r="N302" i="2"/>
  <c r="M302" i="2"/>
  <c r="L302" i="2"/>
  <c r="J302" i="2"/>
  <c r="Q301" i="2"/>
  <c r="P301" i="2"/>
  <c r="O301" i="2"/>
  <c r="N301" i="2"/>
  <c r="M301" i="2"/>
  <c r="L301" i="2"/>
  <c r="J301" i="2"/>
  <c r="Q300" i="2"/>
  <c r="P300" i="2"/>
  <c r="O300" i="2"/>
  <c r="N300" i="2"/>
  <c r="M300" i="2"/>
  <c r="L300" i="2"/>
  <c r="J300" i="2"/>
  <c r="Q299" i="2"/>
  <c r="P299" i="2"/>
  <c r="O299" i="2"/>
  <c r="N299" i="2"/>
  <c r="M299" i="2"/>
  <c r="L299" i="2"/>
  <c r="J299" i="2"/>
  <c r="Q298" i="2"/>
  <c r="P298" i="2"/>
  <c r="O298" i="2"/>
  <c r="N298" i="2"/>
  <c r="M298" i="2"/>
  <c r="L298" i="2"/>
  <c r="J298" i="2"/>
  <c r="Q297" i="2"/>
  <c r="P297" i="2"/>
  <c r="O297" i="2"/>
  <c r="N297" i="2"/>
  <c r="M297" i="2"/>
  <c r="L297" i="2"/>
  <c r="J297" i="2"/>
  <c r="Q296" i="2"/>
  <c r="P296" i="2"/>
  <c r="O296" i="2"/>
  <c r="N296" i="2"/>
  <c r="M296" i="2"/>
  <c r="L296" i="2"/>
  <c r="J296" i="2"/>
  <c r="Q295" i="2"/>
  <c r="P295" i="2"/>
  <c r="O295" i="2"/>
  <c r="N295" i="2"/>
  <c r="M295" i="2"/>
  <c r="L295" i="2"/>
  <c r="J295" i="2"/>
  <c r="Q294" i="2"/>
  <c r="P294" i="2"/>
  <c r="O294" i="2"/>
  <c r="N294" i="2"/>
  <c r="M294" i="2"/>
  <c r="L294" i="2"/>
  <c r="J294" i="2"/>
  <c r="Q293" i="2"/>
  <c r="P293" i="2"/>
  <c r="O293" i="2"/>
  <c r="N293" i="2"/>
  <c r="M293" i="2"/>
  <c r="L293" i="2"/>
  <c r="J293" i="2"/>
  <c r="Q292" i="2"/>
  <c r="P292" i="2"/>
  <c r="O292" i="2"/>
  <c r="N292" i="2"/>
  <c r="M292" i="2"/>
  <c r="L292" i="2"/>
  <c r="J292" i="2"/>
  <c r="Q291" i="2"/>
  <c r="P291" i="2"/>
  <c r="O291" i="2"/>
  <c r="N291" i="2"/>
  <c r="M291" i="2"/>
  <c r="L291" i="2"/>
  <c r="J291" i="2"/>
  <c r="Q290" i="2"/>
  <c r="P290" i="2"/>
  <c r="O290" i="2"/>
  <c r="N290" i="2"/>
  <c r="M290" i="2"/>
  <c r="L290" i="2"/>
  <c r="J290" i="2"/>
  <c r="Q289" i="2"/>
  <c r="P289" i="2"/>
  <c r="O289" i="2"/>
  <c r="N289" i="2"/>
  <c r="M289" i="2"/>
  <c r="L289" i="2"/>
  <c r="J289" i="2"/>
  <c r="Q288" i="2"/>
  <c r="P288" i="2"/>
  <c r="O288" i="2"/>
  <c r="N288" i="2"/>
  <c r="M288" i="2"/>
  <c r="L288" i="2"/>
  <c r="J288" i="2"/>
  <c r="Q287" i="2"/>
  <c r="P287" i="2"/>
  <c r="O287" i="2"/>
  <c r="N287" i="2"/>
  <c r="M287" i="2"/>
  <c r="L287" i="2"/>
  <c r="J287" i="2"/>
  <c r="Q286" i="2"/>
  <c r="P286" i="2"/>
  <c r="O286" i="2"/>
  <c r="N286" i="2"/>
  <c r="M286" i="2"/>
  <c r="L286" i="2"/>
  <c r="J286" i="2"/>
  <c r="Q285" i="2"/>
  <c r="P285" i="2"/>
  <c r="O285" i="2"/>
  <c r="N285" i="2"/>
  <c r="M285" i="2"/>
  <c r="L285" i="2"/>
  <c r="J285" i="2"/>
  <c r="Q284" i="2"/>
  <c r="P284" i="2"/>
  <c r="O284" i="2"/>
  <c r="N284" i="2"/>
  <c r="M284" i="2"/>
  <c r="L284" i="2"/>
  <c r="J284" i="2"/>
  <c r="Q283" i="2"/>
  <c r="P283" i="2"/>
  <c r="O283" i="2"/>
  <c r="N283" i="2"/>
  <c r="M283" i="2"/>
  <c r="L283" i="2"/>
  <c r="J283" i="2"/>
  <c r="Q282" i="2"/>
  <c r="P282" i="2"/>
  <c r="O282" i="2"/>
  <c r="N282" i="2"/>
  <c r="M282" i="2"/>
  <c r="L282" i="2"/>
  <c r="J282" i="2"/>
  <c r="Q281" i="2"/>
  <c r="P281" i="2"/>
  <c r="O281" i="2"/>
  <c r="N281" i="2"/>
  <c r="M281" i="2"/>
  <c r="L281" i="2"/>
  <c r="J281" i="2"/>
  <c r="Q280" i="2"/>
  <c r="P280" i="2"/>
  <c r="O280" i="2"/>
  <c r="N280" i="2"/>
  <c r="M280" i="2"/>
  <c r="L280" i="2"/>
  <c r="J280" i="2"/>
  <c r="Q279" i="2"/>
  <c r="P279" i="2"/>
  <c r="O279" i="2"/>
  <c r="N279" i="2"/>
  <c r="M279" i="2"/>
  <c r="L279" i="2"/>
  <c r="J279" i="2"/>
  <c r="Q278" i="2"/>
  <c r="P278" i="2"/>
  <c r="O278" i="2"/>
  <c r="N278" i="2"/>
  <c r="M278" i="2"/>
  <c r="L278" i="2"/>
  <c r="J278" i="2"/>
  <c r="Q277" i="2"/>
  <c r="P277" i="2"/>
  <c r="O277" i="2"/>
  <c r="N277" i="2"/>
  <c r="M277" i="2"/>
  <c r="L277" i="2"/>
  <c r="J277" i="2"/>
  <c r="Q276" i="2"/>
  <c r="P276" i="2"/>
  <c r="O276" i="2"/>
  <c r="N276" i="2"/>
  <c r="M276" i="2"/>
  <c r="L276" i="2"/>
  <c r="J276" i="2"/>
  <c r="Q275" i="2"/>
  <c r="P275" i="2"/>
  <c r="O275" i="2"/>
  <c r="N275" i="2"/>
  <c r="M275" i="2"/>
  <c r="L275" i="2"/>
  <c r="J275" i="2"/>
  <c r="Q274" i="2"/>
  <c r="P274" i="2"/>
  <c r="O274" i="2"/>
  <c r="N274" i="2"/>
  <c r="M274" i="2"/>
  <c r="L274" i="2"/>
  <c r="J274" i="2"/>
  <c r="Q273" i="2"/>
  <c r="P273" i="2"/>
  <c r="O273" i="2"/>
  <c r="N273" i="2"/>
  <c r="M273" i="2"/>
  <c r="L273" i="2"/>
  <c r="J273" i="2"/>
  <c r="Q272" i="2"/>
  <c r="P272" i="2"/>
  <c r="O272" i="2"/>
  <c r="N272" i="2"/>
  <c r="M272" i="2"/>
  <c r="L272" i="2"/>
  <c r="Q271" i="2"/>
  <c r="P271" i="2"/>
  <c r="O271" i="2"/>
  <c r="N271" i="2"/>
  <c r="M271" i="2"/>
  <c r="L271" i="2"/>
  <c r="J271" i="2"/>
  <c r="J272" i="2" s="1"/>
  <c r="Q270" i="2"/>
  <c r="P270" i="2"/>
  <c r="O270" i="2"/>
  <c r="N270" i="2"/>
  <c r="M270" i="2"/>
  <c r="L270" i="2"/>
  <c r="J270" i="2"/>
  <c r="Q269" i="2"/>
  <c r="P269" i="2"/>
  <c r="O269" i="2"/>
  <c r="N269" i="2"/>
  <c r="M269" i="2"/>
  <c r="L269" i="2"/>
  <c r="J269" i="2"/>
  <c r="Q268" i="2"/>
  <c r="P268" i="2"/>
  <c r="O268" i="2"/>
  <c r="N268" i="2"/>
  <c r="M268" i="2"/>
  <c r="L268" i="2"/>
  <c r="J268" i="2"/>
  <c r="Q267" i="2"/>
  <c r="P267" i="2"/>
  <c r="O267" i="2"/>
  <c r="N267" i="2"/>
  <c r="M267" i="2"/>
  <c r="L267" i="2"/>
  <c r="Q266" i="2"/>
  <c r="P266" i="2"/>
  <c r="O266" i="2"/>
  <c r="N266" i="2"/>
  <c r="M266" i="2"/>
  <c r="L266" i="2"/>
  <c r="Q265" i="2"/>
  <c r="P265" i="2"/>
  <c r="O265" i="2"/>
  <c r="N265" i="2"/>
  <c r="M265" i="2"/>
  <c r="L265" i="2"/>
  <c r="Q264" i="2"/>
  <c r="P264" i="2"/>
  <c r="O264" i="2"/>
  <c r="N264" i="2"/>
  <c r="M264" i="2"/>
  <c r="L264" i="2"/>
  <c r="Q263" i="2"/>
  <c r="P263" i="2"/>
  <c r="O263" i="2"/>
  <c r="N263" i="2"/>
  <c r="M263" i="2"/>
  <c r="L263" i="2"/>
  <c r="Q262" i="2"/>
  <c r="P262" i="2"/>
  <c r="O262" i="2"/>
  <c r="N262" i="2"/>
  <c r="M262" i="2"/>
  <c r="L262" i="2"/>
  <c r="Q261" i="2"/>
  <c r="P261" i="2"/>
  <c r="O261" i="2"/>
  <c r="N261" i="2"/>
  <c r="M261" i="2"/>
  <c r="L261" i="2"/>
  <c r="Q260" i="2"/>
  <c r="P260" i="2"/>
  <c r="O260" i="2"/>
  <c r="N260" i="2"/>
  <c r="M260" i="2"/>
  <c r="L260" i="2"/>
  <c r="Q259" i="2"/>
  <c r="P259" i="2"/>
  <c r="O259" i="2"/>
  <c r="N259" i="2"/>
  <c r="M259" i="2"/>
  <c r="L259" i="2"/>
  <c r="Q258" i="2"/>
  <c r="P258" i="2"/>
  <c r="O258" i="2"/>
  <c r="N258" i="2"/>
  <c r="M258" i="2"/>
  <c r="L258" i="2"/>
  <c r="Q257" i="2"/>
  <c r="P257" i="2"/>
  <c r="O257" i="2"/>
  <c r="N257" i="2"/>
  <c r="M257" i="2"/>
  <c r="L257" i="2"/>
  <c r="Q256" i="2"/>
  <c r="P256" i="2"/>
  <c r="O256" i="2"/>
  <c r="N256" i="2"/>
  <c r="M256" i="2"/>
  <c r="L256" i="2"/>
  <c r="Q255" i="2"/>
  <c r="P255" i="2"/>
  <c r="O255" i="2"/>
  <c r="N255" i="2"/>
  <c r="M255" i="2"/>
  <c r="L255" i="2"/>
  <c r="Q254" i="2"/>
  <c r="P254" i="2"/>
  <c r="O254" i="2"/>
  <c r="N254" i="2"/>
  <c r="M254" i="2"/>
  <c r="L254" i="2"/>
  <c r="Q253" i="2"/>
  <c r="P253" i="2"/>
  <c r="O253" i="2"/>
  <c r="N253" i="2"/>
  <c r="M253" i="2"/>
  <c r="L253" i="2"/>
  <c r="Q252" i="2"/>
  <c r="P252" i="2"/>
  <c r="O252" i="2"/>
  <c r="N252" i="2"/>
  <c r="M252" i="2"/>
  <c r="L252" i="2"/>
  <c r="Q251" i="2"/>
  <c r="P251" i="2"/>
  <c r="O251" i="2"/>
  <c r="N251" i="2"/>
  <c r="M251" i="2"/>
  <c r="L251" i="2"/>
  <c r="Q250" i="2"/>
  <c r="P250" i="2"/>
  <c r="O250" i="2"/>
  <c r="N250" i="2"/>
  <c r="M250" i="2"/>
  <c r="L250" i="2"/>
  <c r="Q249" i="2"/>
  <c r="P249" i="2"/>
  <c r="O249" i="2"/>
  <c r="N249" i="2"/>
  <c r="M249" i="2"/>
  <c r="L249" i="2"/>
  <c r="Q248" i="2"/>
  <c r="P248" i="2"/>
  <c r="O248" i="2"/>
  <c r="N248" i="2"/>
  <c r="M248" i="2"/>
  <c r="L248" i="2"/>
  <c r="Q247" i="2"/>
  <c r="P247" i="2"/>
  <c r="O247" i="2"/>
  <c r="N247" i="2"/>
  <c r="M247" i="2"/>
  <c r="L247" i="2"/>
  <c r="Q246" i="2"/>
  <c r="P246" i="2"/>
  <c r="O246" i="2"/>
  <c r="N246" i="2"/>
  <c r="M246" i="2"/>
  <c r="L246" i="2"/>
  <c r="Q245" i="2"/>
  <c r="P245" i="2"/>
  <c r="O245" i="2"/>
  <c r="N245" i="2"/>
  <c r="M245" i="2"/>
  <c r="L245" i="2"/>
  <c r="Q244" i="2"/>
  <c r="P244" i="2"/>
  <c r="O244" i="2"/>
  <c r="N244" i="2"/>
  <c r="M244" i="2"/>
  <c r="L244" i="2"/>
  <c r="Q243" i="2"/>
  <c r="P243" i="2"/>
  <c r="O243" i="2"/>
  <c r="N243" i="2"/>
  <c r="M243" i="2"/>
  <c r="L243" i="2"/>
  <c r="Q242" i="2"/>
  <c r="P242" i="2"/>
  <c r="O242" i="2"/>
  <c r="N242" i="2"/>
  <c r="M242" i="2"/>
  <c r="L242" i="2"/>
  <c r="Q241" i="2"/>
  <c r="P241" i="2"/>
  <c r="O241" i="2"/>
  <c r="N241" i="2"/>
  <c r="M241" i="2"/>
  <c r="L241" i="2"/>
  <c r="Q240" i="2"/>
  <c r="P240" i="2"/>
  <c r="O240" i="2"/>
  <c r="N240" i="2"/>
  <c r="M240" i="2"/>
  <c r="L240" i="2"/>
  <c r="Q239" i="2"/>
  <c r="P239" i="2"/>
  <c r="O239" i="2"/>
  <c r="N239" i="2"/>
  <c r="M239" i="2"/>
  <c r="L239" i="2"/>
  <c r="Q238" i="2"/>
  <c r="P238" i="2"/>
  <c r="O238" i="2"/>
  <c r="N238" i="2"/>
  <c r="M238" i="2"/>
  <c r="L238" i="2"/>
  <c r="Q237" i="2"/>
  <c r="P237" i="2"/>
  <c r="O237" i="2"/>
  <c r="N237" i="2"/>
  <c r="M237" i="2"/>
  <c r="L237" i="2"/>
  <c r="Q236" i="2"/>
  <c r="P236" i="2"/>
  <c r="O236" i="2"/>
  <c r="N236" i="2"/>
  <c r="M236" i="2"/>
  <c r="L236" i="2"/>
  <c r="Q235" i="2"/>
  <c r="P235" i="2"/>
  <c r="O235" i="2"/>
  <c r="N235" i="2"/>
  <c r="M235" i="2"/>
  <c r="L235" i="2"/>
  <c r="Q234" i="2"/>
  <c r="P234" i="2"/>
  <c r="O234" i="2"/>
  <c r="N234" i="2"/>
  <c r="M234" i="2"/>
  <c r="L234" i="2"/>
  <c r="Q233" i="2"/>
  <c r="P233" i="2"/>
  <c r="O233" i="2"/>
  <c r="N233" i="2"/>
  <c r="M233" i="2"/>
  <c r="L233" i="2"/>
  <c r="Q232" i="2"/>
  <c r="P232" i="2"/>
  <c r="O232" i="2"/>
  <c r="N232" i="2"/>
  <c r="M232" i="2"/>
  <c r="L232" i="2"/>
  <c r="Q231" i="2"/>
  <c r="P231" i="2"/>
  <c r="O231" i="2"/>
  <c r="N231" i="2"/>
  <c r="M231" i="2"/>
  <c r="L231" i="2"/>
  <c r="Q230" i="2"/>
  <c r="P230" i="2"/>
  <c r="O230" i="2"/>
  <c r="N230" i="2"/>
  <c r="M230" i="2"/>
  <c r="L230" i="2"/>
  <c r="Q229" i="2"/>
  <c r="P229" i="2"/>
  <c r="O229" i="2"/>
  <c r="N229" i="2"/>
  <c r="M229" i="2"/>
  <c r="L229" i="2"/>
  <c r="Q228" i="2"/>
  <c r="P228" i="2"/>
  <c r="O228" i="2"/>
  <c r="N228" i="2"/>
  <c r="M228" i="2"/>
  <c r="L228" i="2"/>
  <c r="Q227" i="2"/>
  <c r="P227" i="2"/>
  <c r="O227" i="2"/>
  <c r="N227" i="2"/>
  <c r="M227" i="2"/>
  <c r="L227" i="2"/>
  <c r="Q226" i="2"/>
  <c r="P226" i="2"/>
  <c r="O226" i="2"/>
  <c r="N226" i="2"/>
  <c r="M226" i="2"/>
  <c r="L226" i="2"/>
  <c r="Q225" i="2"/>
  <c r="P225" i="2"/>
  <c r="O225" i="2"/>
  <c r="N225" i="2"/>
  <c r="M225" i="2"/>
  <c r="L225" i="2"/>
  <c r="Q224" i="2"/>
  <c r="P224" i="2"/>
  <c r="O224" i="2"/>
  <c r="N224" i="2"/>
  <c r="M224" i="2"/>
  <c r="L224" i="2"/>
  <c r="Q223" i="2"/>
  <c r="P223" i="2"/>
  <c r="O223" i="2"/>
  <c r="N223" i="2"/>
  <c r="M223" i="2"/>
  <c r="L223" i="2"/>
  <c r="Q222" i="2"/>
  <c r="P222" i="2"/>
  <c r="O222" i="2"/>
  <c r="N222" i="2"/>
  <c r="M222" i="2"/>
  <c r="L222" i="2"/>
  <c r="Q221" i="2"/>
  <c r="P221" i="2"/>
  <c r="O221" i="2"/>
  <c r="N221" i="2"/>
  <c r="M221" i="2"/>
  <c r="L221" i="2"/>
  <c r="Q220" i="2"/>
  <c r="P220" i="2"/>
  <c r="O220" i="2"/>
  <c r="N220" i="2"/>
  <c r="M220" i="2"/>
  <c r="L220" i="2"/>
  <c r="Q219" i="2"/>
  <c r="P219" i="2"/>
  <c r="O219" i="2"/>
  <c r="N219" i="2"/>
  <c r="M219" i="2"/>
  <c r="L219" i="2"/>
  <c r="Q218" i="2"/>
  <c r="P218" i="2"/>
  <c r="O218" i="2"/>
  <c r="N218" i="2"/>
  <c r="M218" i="2"/>
  <c r="L218" i="2"/>
  <c r="Q217" i="2"/>
  <c r="P217" i="2"/>
  <c r="O217" i="2"/>
  <c r="N217" i="2"/>
  <c r="M217" i="2"/>
  <c r="L217" i="2"/>
  <c r="Q216" i="2"/>
  <c r="P216" i="2"/>
  <c r="O216" i="2"/>
  <c r="N216" i="2"/>
  <c r="M216" i="2"/>
  <c r="L216" i="2"/>
  <c r="Q215" i="2"/>
  <c r="P215" i="2"/>
  <c r="O215" i="2"/>
  <c r="N215" i="2"/>
  <c r="M215" i="2"/>
  <c r="L215" i="2"/>
  <c r="Q214" i="2"/>
  <c r="P214" i="2"/>
  <c r="O214" i="2"/>
  <c r="N214" i="2"/>
  <c r="M214" i="2"/>
  <c r="L214" i="2"/>
  <c r="Q213" i="2"/>
  <c r="P213" i="2"/>
  <c r="O213" i="2"/>
  <c r="N213" i="2"/>
  <c r="M213" i="2"/>
  <c r="L213" i="2"/>
  <c r="Q212" i="2"/>
  <c r="P212" i="2"/>
  <c r="O212" i="2"/>
  <c r="N212" i="2"/>
  <c r="M212" i="2"/>
  <c r="L212" i="2"/>
  <c r="Q211" i="2"/>
  <c r="P211" i="2"/>
  <c r="O211" i="2"/>
  <c r="N211" i="2"/>
  <c r="M211" i="2"/>
  <c r="L211" i="2"/>
  <c r="Q210" i="2"/>
  <c r="P210" i="2"/>
  <c r="O210" i="2"/>
  <c r="N210" i="2"/>
  <c r="M210" i="2"/>
  <c r="L210" i="2"/>
  <c r="Q209" i="2"/>
  <c r="P209" i="2"/>
  <c r="O209" i="2"/>
  <c r="N209" i="2"/>
  <c r="M209" i="2"/>
  <c r="L209" i="2"/>
  <c r="Q208" i="2"/>
  <c r="P208" i="2"/>
  <c r="O208" i="2"/>
  <c r="N208" i="2"/>
  <c r="M208" i="2"/>
  <c r="L208" i="2"/>
  <c r="Q207" i="2"/>
  <c r="P207" i="2"/>
  <c r="O207" i="2"/>
  <c r="N207" i="2"/>
  <c r="M207" i="2"/>
  <c r="L207" i="2"/>
  <c r="Q206" i="2"/>
  <c r="P206" i="2"/>
  <c r="O206" i="2"/>
  <c r="N206" i="2"/>
  <c r="M206" i="2"/>
  <c r="L206" i="2"/>
  <c r="Q205" i="2"/>
  <c r="P205" i="2"/>
  <c r="O205" i="2"/>
  <c r="N205" i="2"/>
  <c r="M205" i="2"/>
  <c r="L205" i="2"/>
  <c r="Q204" i="2"/>
  <c r="P204" i="2"/>
  <c r="O204" i="2"/>
  <c r="N204" i="2"/>
  <c r="M204" i="2"/>
  <c r="L204" i="2"/>
  <c r="Q203" i="2"/>
  <c r="P203" i="2"/>
  <c r="O203" i="2"/>
  <c r="N203" i="2"/>
  <c r="M203" i="2"/>
  <c r="L203" i="2"/>
  <c r="Q202" i="2"/>
  <c r="P202" i="2"/>
  <c r="O202" i="2"/>
  <c r="N202" i="2"/>
  <c r="M202" i="2"/>
  <c r="L202" i="2"/>
  <c r="Q201" i="2"/>
  <c r="P201" i="2"/>
  <c r="O201" i="2"/>
  <c r="N201" i="2"/>
  <c r="M201" i="2"/>
  <c r="L201" i="2"/>
  <c r="Q200" i="2"/>
  <c r="P200" i="2"/>
  <c r="O200" i="2"/>
  <c r="N200" i="2"/>
  <c r="M200" i="2"/>
  <c r="L200" i="2"/>
  <c r="Q199" i="2"/>
  <c r="P199" i="2"/>
  <c r="O199" i="2"/>
  <c r="N199" i="2"/>
  <c r="M199" i="2"/>
  <c r="L199" i="2"/>
  <c r="Q198" i="2"/>
  <c r="P198" i="2"/>
  <c r="O198" i="2"/>
  <c r="N198" i="2"/>
  <c r="M198" i="2"/>
  <c r="L198" i="2"/>
  <c r="Q197" i="2"/>
  <c r="P197" i="2"/>
  <c r="O197" i="2"/>
  <c r="N197" i="2"/>
  <c r="M197" i="2"/>
  <c r="L197" i="2"/>
  <c r="Q196" i="2"/>
  <c r="P196" i="2"/>
  <c r="O196" i="2"/>
  <c r="N196" i="2"/>
  <c r="M196" i="2"/>
  <c r="L196" i="2"/>
  <c r="Q195" i="2"/>
  <c r="P195" i="2"/>
  <c r="O195" i="2"/>
  <c r="N195" i="2"/>
  <c r="M195" i="2"/>
  <c r="L195" i="2"/>
  <c r="Q194" i="2"/>
  <c r="P194" i="2"/>
  <c r="O194" i="2"/>
  <c r="N194" i="2"/>
  <c r="M194" i="2"/>
  <c r="L194" i="2"/>
  <c r="Q193" i="2"/>
  <c r="P193" i="2"/>
  <c r="O193" i="2"/>
  <c r="N193" i="2"/>
  <c r="M193" i="2"/>
  <c r="L193" i="2"/>
  <c r="Q192" i="2"/>
  <c r="P192" i="2"/>
  <c r="O192" i="2"/>
  <c r="N192" i="2"/>
  <c r="M192" i="2"/>
  <c r="L192" i="2"/>
  <c r="Q191" i="2"/>
  <c r="P191" i="2"/>
  <c r="O191" i="2"/>
  <c r="N191" i="2"/>
  <c r="M191" i="2"/>
  <c r="L191" i="2"/>
  <c r="Q190" i="2"/>
  <c r="P190" i="2"/>
  <c r="O190" i="2"/>
  <c r="N190" i="2"/>
  <c r="M190" i="2"/>
  <c r="L190" i="2"/>
  <c r="Q189" i="2"/>
  <c r="P189" i="2"/>
  <c r="O189" i="2"/>
  <c r="N189" i="2"/>
  <c r="M189" i="2"/>
  <c r="L189" i="2"/>
  <c r="Q188" i="2"/>
  <c r="P188" i="2"/>
  <c r="O188" i="2"/>
  <c r="N188" i="2"/>
  <c r="M188" i="2"/>
  <c r="L188" i="2"/>
  <c r="Q187" i="2"/>
  <c r="P187" i="2"/>
  <c r="O187" i="2"/>
  <c r="N187" i="2"/>
  <c r="M187" i="2"/>
  <c r="L187" i="2"/>
  <c r="Q186" i="2"/>
  <c r="P186" i="2"/>
  <c r="O186" i="2"/>
  <c r="N186" i="2"/>
  <c r="M186" i="2"/>
  <c r="L186" i="2"/>
  <c r="Q185" i="2"/>
  <c r="P185" i="2"/>
  <c r="O185" i="2"/>
  <c r="N185" i="2"/>
  <c r="M185" i="2"/>
  <c r="L185" i="2"/>
  <c r="Q184" i="2"/>
  <c r="P184" i="2"/>
  <c r="O184" i="2"/>
  <c r="N184" i="2"/>
  <c r="M184" i="2"/>
  <c r="L184" i="2"/>
  <c r="Q183" i="2"/>
  <c r="P183" i="2"/>
  <c r="O183" i="2"/>
  <c r="N183" i="2"/>
  <c r="M183" i="2"/>
  <c r="L183" i="2"/>
  <c r="Q182" i="2"/>
  <c r="P182" i="2"/>
  <c r="O182" i="2"/>
  <c r="N182" i="2"/>
  <c r="M182" i="2"/>
  <c r="L182" i="2"/>
  <c r="Q181" i="2"/>
  <c r="P181" i="2"/>
  <c r="O181" i="2"/>
  <c r="N181" i="2"/>
  <c r="M181" i="2"/>
  <c r="L181" i="2"/>
  <c r="Q180" i="2"/>
  <c r="P180" i="2"/>
  <c r="O180" i="2"/>
  <c r="M180" i="2"/>
  <c r="L180" i="2"/>
  <c r="Q179" i="2"/>
  <c r="P179" i="2"/>
  <c r="O179" i="2"/>
  <c r="M179" i="2"/>
  <c r="L179" i="2"/>
  <c r="Q178" i="2"/>
  <c r="P178" i="2"/>
  <c r="O178" i="2"/>
  <c r="M178" i="2"/>
  <c r="L178" i="2"/>
  <c r="Q177" i="2"/>
  <c r="P177" i="2"/>
  <c r="O177" i="2"/>
  <c r="M177" i="2"/>
  <c r="L177" i="2"/>
  <c r="Q176" i="2"/>
  <c r="P176" i="2"/>
  <c r="O176" i="2"/>
  <c r="M176" i="2"/>
  <c r="L176" i="2"/>
  <c r="Q175" i="2"/>
  <c r="P175" i="2"/>
  <c r="O175" i="2"/>
  <c r="M175" i="2"/>
  <c r="L175" i="2"/>
  <c r="Q174" i="2"/>
  <c r="P174" i="2"/>
  <c r="O174" i="2"/>
  <c r="M174" i="2"/>
  <c r="L174" i="2"/>
  <c r="Q173" i="2"/>
  <c r="P173" i="2"/>
  <c r="O173" i="2"/>
  <c r="M173" i="2"/>
  <c r="L173" i="2"/>
  <c r="Q172" i="2"/>
  <c r="P172" i="2"/>
  <c r="O172" i="2"/>
  <c r="M172" i="2"/>
  <c r="L172" i="2"/>
  <c r="Q171" i="2"/>
  <c r="P171" i="2"/>
  <c r="O171" i="2"/>
  <c r="M171" i="2"/>
  <c r="L171" i="2"/>
  <c r="Q170" i="2"/>
  <c r="P170" i="2"/>
  <c r="O170" i="2"/>
  <c r="M170" i="2"/>
  <c r="L170" i="2"/>
  <c r="Q169" i="2"/>
  <c r="P169" i="2"/>
  <c r="O169" i="2"/>
  <c r="M169" i="2"/>
  <c r="L169" i="2"/>
  <c r="Q168" i="2"/>
  <c r="P168" i="2"/>
  <c r="O168" i="2"/>
  <c r="M168" i="2"/>
  <c r="L168" i="2"/>
  <c r="Q167" i="2"/>
  <c r="P167" i="2"/>
  <c r="O167" i="2"/>
  <c r="M167" i="2"/>
  <c r="L167" i="2"/>
  <c r="Q166" i="2"/>
  <c r="P166" i="2"/>
  <c r="O166" i="2"/>
  <c r="N166" i="2"/>
  <c r="M166" i="2"/>
  <c r="L166" i="2"/>
  <c r="Q165" i="2"/>
  <c r="P165" i="2"/>
  <c r="O165" i="2"/>
  <c r="N165" i="2"/>
  <c r="M165" i="2"/>
  <c r="L165" i="2"/>
  <c r="Q164" i="2"/>
  <c r="P164" i="2"/>
  <c r="O164" i="2"/>
  <c r="N164" i="2"/>
  <c r="M164" i="2"/>
  <c r="L164" i="2"/>
  <c r="Q163" i="2"/>
  <c r="P163" i="2"/>
  <c r="O163" i="2"/>
  <c r="M163" i="2"/>
  <c r="L163" i="2"/>
  <c r="Q162" i="2"/>
  <c r="P162" i="2"/>
  <c r="O162" i="2"/>
  <c r="M162" i="2"/>
  <c r="L162" i="2"/>
  <c r="Q161" i="2"/>
  <c r="P161" i="2"/>
  <c r="O161" i="2"/>
  <c r="M161" i="2"/>
  <c r="L161" i="2"/>
  <c r="Q160" i="2"/>
  <c r="P160" i="2"/>
  <c r="O160" i="2"/>
  <c r="M160" i="2"/>
  <c r="L160" i="2"/>
  <c r="Q159" i="2"/>
  <c r="P159" i="2"/>
  <c r="O159" i="2"/>
  <c r="M159" i="2"/>
  <c r="L159" i="2"/>
  <c r="Q158" i="2"/>
  <c r="P158" i="2"/>
  <c r="O158" i="2"/>
  <c r="M158" i="2"/>
  <c r="L158" i="2"/>
  <c r="Q157" i="2"/>
  <c r="P157" i="2"/>
  <c r="O157" i="2"/>
  <c r="M157" i="2"/>
  <c r="L157" i="2"/>
  <c r="Q156" i="2"/>
  <c r="P156" i="2"/>
  <c r="O156" i="2"/>
  <c r="M156" i="2"/>
  <c r="L156" i="2"/>
  <c r="Q155" i="2"/>
  <c r="P155" i="2"/>
  <c r="O155" i="2"/>
  <c r="M155" i="2"/>
  <c r="L155" i="2"/>
  <c r="Q154" i="2"/>
  <c r="P154" i="2"/>
  <c r="O154" i="2"/>
  <c r="M154" i="2"/>
  <c r="L154" i="2"/>
  <c r="Q153" i="2"/>
  <c r="P153" i="2"/>
  <c r="O153" i="2"/>
  <c r="M153" i="2"/>
  <c r="L153" i="2"/>
  <c r="Q152" i="2"/>
  <c r="P152" i="2"/>
  <c r="O152" i="2"/>
  <c r="M152" i="2"/>
  <c r="L152" i="2"/>
  <c r="Q151" i="2"/>
  <c r="P151" i="2"/>
  <c r="O151" i="2"/>
  <c r="M151" i="2"/>
  <c r="L151" i="2"/>
  <c r="Q150" i="2"/>
  <c r="P150" i="2"/>
  <c r="O150" i="2"/>
  <c r="M150" i="2"/>
  <c r="L150" i="2"/>
  <c r="Q149" i="2"/>
  <c r="P149" i="2"/>
  <c r="O149" i="2"/>
  <c r="M149" i="2"/>
  <c r="L149" i="2"/>
  <c r="Q148" i="2"/>
  <c r="P148" i="2"/>
  <c r="O148" i="2"/>
  <c r="M148" i="2"/>
  <c r="L148" i="2"/>
  <c r="Q147" i="2"/>
  <c r="P147" i="2"/>
  <c r="O147" i="2"/>
  <c r="M147" i="2"/>
  <c r="L147" i="2"/>
  <c r="Q146" i="2"/>
  <c r="P146" i="2"/>
  <c r="O146" i="2"/>
  <c r="M146" i="2"/>
  <c r="L146" i="2"/>
  <c r="Q145" i="2"/>
  <c r="P145" i="2"/>
  <c r="O145" i="2"/>
  <c r="M145" i="2"/>
  <c r="L145" i="2"/>
  <c r="Q144" i="2"/>
  <c r="P144" i="2"/>
  <c r="O144" i="2"/>
  <c r="M144" i="2"/>
  <c r="L144" i="2"/>
  <c r="Q143" i="2"/>
  <c r="P143" i="2"/>
  <c r="O143" i="2"/>
  <c r="M143" i="2"/>
  <c r="L143" i="2"/>
  <c r="Q142" i="2"/>
  <c r="P142" i="2"/>
  <c r="O142" i="2"/>
  <c r="M142" i="2"/>
  <c r="L142" i="2"/>
  <c r="Q141" i="2"/>
  <c r="P141" i="2"/>
  <c r="O141" i="2"/>
  <c r="M141" i="2"/>
  <c r="L141" i="2"/>
  <c r="Q140" i="2"/>
  <c r="P140" i="2"/>
  <c r="O140" i="2"/>
  <c r="M140" i="2"/>
  <c r="L140" i="2"/>
  <c r="Q139" i="2"/>
  <c r="P139" i="2"/>
  <c r="O139" i="2"/>
  <c r="M139" i="2"/>
  <c r="L139" i="2"/>
  <c r="Q138" i="2"/>
  <c r="P138" i="2"/>
  <c r="O138" i="2"/>
  <c r="M138" i="2"/>
  <c r="L138" i="2"/>
  <c r="Q137" i="2"/>
  <c r="P137" i="2"/>
  <c r="O137" i="2"/>
  <c r="M137" i="2"/>
  <c r="L137" i="2"/>
  <c r="Q136" i="2"/>
  <c r="P136" i="2"/>
  <c r="O136" i="2"/>
  <c r="M136" i="2"/>
  <c r="L136" i="2"/>
  <c r="Q135" i="2"/>
  <c r="P135" i="2"/>
  <c r="O135" i="2"/>
  <c r="M135" i="2"/>
  <c r="L135" i="2"/>
  <c r="Q134" i="2"/>
  <c r="P134" i="2"/>
  <c r="O134" i="2"/>
  <c r="M134" i="2"/>
  <c r="L134" i="2"/>
  <c r="Q133" i="2"/>
  <c r="P133" i="2"/>
  <c r="O133" i="2"/>
  <c r="N133" i="2"/>
  <c r="M133" i="2"/>
  <c r="L133" i="2"/>
  <c r="Q132" i="2"/>
  <c r="P132" i="2"/>
  <c r="O132" i="2"/>
  <c r="N132" i="2"/>
  <c r="M132" i="2"/>
  <c r="L132" i="2"/>
  <c r="Q131" i="2"/>
  <c r="P131" i="2"/>
  <c r="O131" i="2"/>
  <c r="N131" i="2"/>
  <c r="M131" i="2"/>
  <c r="L131" i="2"/>
  <c r="Q130" i="2"/>
  <c r="P130" i="2"/>
  <c r="O130" i="2"/>
  <c r="N130" i="2"/>
  <c r="M130" i="2"/>
  <c r="L130" i="2"/>
  <c r="Q129" i="2"/>
  <c r="P129" i="2"/>
  <c r="O129" i="2"/>
  <c r="N129" i="2"/>
  <c r="M129" i="2"/>
  <c r="L129" i="2"/>
  <c r="Q128" i="2"/>
  <c r="P128" i="2"/>
  <c r="O128" i="2"/>
  <c r="N128" i="2"/>
  <c r="M128" i="2"/>
  <c r="L128" i="2"/>
  <c r="Q127" i="2"/>
  <c r="P127" i="2"/>
  <c r="O127" i="2"/>
  <c r="N127" i="2"/>
  <c r="M127" i="2"/>
  <c r="L127" i="2"/>
  <c r="Q126" i="2"/>
  <c r="P126" i="2"/>
  <c r="O126" i="2"/>
  <c r="N126" i="2"/>
  <c r="M126" i="2"/>
  <c r="L126" i="2"/>
  <c r="Q125" i="2"/>
  <c r="P125" i="2"/>
  <c r="O125" i="2"/>
  <c r="N125" i="2"/>
  <c r="M125" i="2"/>
  <c r="L125" i="2"/>
  <c r="Q124" i="2"/>
  <c r="P124" i="2"/>
  <c r="O124" i="2"/>
  <c r="N124" i="2"/>
  <c r="M124" i="2"/>
  <c r="L124" i="2"/>
  <c r="Q123" i="2"/>
  <c r="P123" i="2"/>
  <c r="O123" i="2"/>
  <c r="N123" i="2"/>
  <c r="M123" i="2"/>
  <c r="L123" i="2"/>
  <c r="Q122" i="2"/>
  <c r="P122" i="2"/>
  <c r="O122" i="2"/>
  <c r="N122" i="2"/>
  <c r="M122" i="2"/>
  <c r="L122" i="2"/>
  <c r="Q121" i="2"/>
  <c r="P121" i="2"/>
  <c r="O121" i="2"/>
  <c r="N121" i="2"/>
  <c r="M121" i="2"/>
  <c r="L121" i="2"/>
  <c r="Q120" i="2"/>
  <c r="P120" i="2"/>
  <c r="O120" i="2"/>
  <c r="N120" i="2"/>
  <c r="M120" i="2"/>
  <c r="L120" i="2"/>
  <c r="Q119" i="2"/>
  <c r="P119" i="2"/>
  <c r="O119" i="2"/>
  <c r="N119" i="2"/>
  <c r="M119" i="2"/>
  <c r="L119" i="2"/>
  <c r="Q118" i="2"/>
  <c r="P118" i="2"/>
  <c r="O118" i="2"/>
  <c r="N118" i="2"/>
  <c r="M118" i="2"/>
  <c r="L118" i="2"/>
  <c r="Q117" i="2"/>
  <c r="P117" i="2"/>
  <c r="O117" i="2"/>
  <c r="N117" i="2"/>
  <c r="M117" i="2"/>
  <c r="L117" i="2"/>
  <c r="Q116" i="2"/>
  <c r="P116" i="2"/>
  <c r="O116" i="2"/>
  <c r="N116" i="2"/>
  <c r="M116" i="2"/>
  <c r="L116" i="2"/>
  <c r="Q115" i="2"/>
  <c r="P115" i="2"/>
  <c r="O115" i="2"/>
  <c r="N115" i="2"/>
  <c r="M115" i="2"/>
  <c r="L115" i="2"/>
  <c r="Q114" i="2"/>
  <c r="P114" i="2"/>
  <c r="O114" i="2"/>
  <c r="N114" i="2"/>
  <c r="M114" i="2"/>
  <c r="L114" i="2"/>
  <c r="Q113" i="2"/>
  <c r="P113" i="2"/>
  <c r="O113" i="2"/>
  <c r="N113" i="2"/>
  <c r="M113" i="2"/>
  <c r="L113" i="2"/>
  <c r="Q112" i="2"/>
  <c r="P112" i="2"/>
  <c r="O112" i="2"/>
  <c r="N112" i="2"/>
  <c r="M112" i="2"/>
  <c r="L112" i="2"/>
  <c r="Q111" i="2"/>
  <c r="P111" i="2"/>
  <c r="O111" i="2"/>
  <c r="N111" i="2"/>
  <c r="M111" i="2"/>
  <c r="L111" i="2"/>
  <c r="Q110" i="2"/>
  <c r="P110" i="2"/>
  <c r="O110" i="2"/>
  <c r="N110" i="2"/>
  <c r="M110" i="2"/>
  <c r="L110" i="2"/>
  <c r="Q109" i="2"/>
  <c r="P109" i="2"/>
  <c r="O109" i="2"/>
  <c r="N109" i="2"/>
  <c r="M109" i="2"/>
  <c r="L109" i="2"/>
  <c r="Q108" i="2"/>
  <c r="P108" i="2"/>
  <c r="O108" i="2"/>
  <c r="N108" i="2"/>
  <c r="M108" i="2"/>
  <c r="L108" i="2"/>
  <c r="Q107" i="2"/>
  <c r="P107" i="2"/>
  <c r="O107" i="2"/>
  <c r="N107" i="2"/>
  <c r="M107" i="2"/>
  <c r="L107" i="2"/>
  <c r="Q106" i="2"/>
  <c r="P106" i="2"/>
  <c r="O106" i="2"/>
  <c r="N106" i="2"/>
  <c r="M106" i="2"/>
  <c r="L106" i="2"/>
  <c r="Q105" i="2"/>
  <c r="P105" i="2"/>
  <c r="O105" i="2"/>
  <c r="N105" i="2"/>
  <c r="M105" i="2"/>
  <c r="L105" i="2"/>
  <c r="Q104" i="2"/>
  <c r="P104" i="2"/>
  <c r="O104" i="2"/>
  <c r="N104" i="2"/>
  <c r="M104" i="2"/>
  <c r="L104" i="2"/>
  <c r="Q103" i="2"/>
  <c r="P103" i="2"/>
  <c r="O103" i="2"/>
  <c r="N103" i="2"/>
  <c r="M103" i="2"/>
  <c r="L103" i="2"/>
  <c r="Q102" i="2"/>
  <c r="P102" i="2"/>
  <c r="O102" i="2"/>
  <c r="N102" i="2"/>
  <c r="M102" i="2"/>
  <c r="L102" i="2"/>
  <c r="Q101" i="2"/>
  <c r="P101" i="2"/>
  <c r="O101" i="2"/>
  <c r="N101" i="2"/>
  <c r="M101" i="2"/>
  <c r="L101" i="2"/>
  <c r="Q100" i="2"/>
  <c r="P100" i="2"/>
  <c r="O100" i="2"/>
  <c r="N100" i="2"/>
  <c r="M100" i="2"/>
  <c r="L100" i="2"/>
  <c r="Q99" i="2"/>
  <c r="P99" i="2"/>
  <c r="O99" i="2"/>
  <c r="N99" i="2"/>
  <c r="M99" i="2"/>
  <c r="L99" i="2"/>
  <c r="Q98" i="2"/>
  <c r="P98" i="2"/>
  <c r="O98" i="2"/>
  <c r="N98" i="2"/>
  <c r="M98" i="2"/>
  <c r="L98" i="2"/>
  <c r="Q97" i="2"/>
  <c r="P97" i="2"/>
  <c r="O97" i="2"/>
  <c r="N97" i="2"/>
  <c r="M97" i="2"/>
  <c r="L97" i="2"/>
  <c r="Q96" i="2"/>
  <c r="P96" i="2"/>
  <c r="O96" i="2"/>
  <c r="N96" i="2"/>
  <c r="M96" i="2"/>
  <c r="L96" i="2"/>
  <c r="Q95" i="2"/>
  <c r="P95" i="2"/>
  <c r="O95" i="2"/>
  <c r="N95" i="2"/>
  <c r="M95" i="2"/>
  <c r="L95" i="2"/>
  <c r="Q94" i="2"/>
  <c r="P94" i="2"/>
  <c r="O94" i="2"/>
  <c r="N94" i="2"/>
  <c r="M94" i="2"/>
  <c r="L94" i="2"/>
  <c r="Q93" i="2"/>
  <c r="P93" i="2"/>
  <c r="O93" i="2"/>
  <c r="N93" i="2"/>
  <c r="M93" i="2"/>
  <c r="L93" i="2"/>
  <c r="Q92" i="2"/>
  <c r="P92" i="2"/>
  <c r="O92" i="2"/>
  <c r="N92" i="2"/>
  <c r="M92" i="2"/>
  <c r="L92" i="2"/>
  <c r="Q91" i="2"/>
  <c r="P91" i="2"/>
  <c r="O91" i="2"/>
  <c r="N91" i="2"/>
  <c r="M91" i="2"/>
  <c r="L91" i="2"/>
  <c r="Q90" i="2"/>
  <c r="P90" i="2"/>
  <c r="O90" i="2"/>
  <c r="N90" i="2"/>
  <c r="M90" i="2"/>
  <c r="L90" i="2"/>
  <c r="Q89" i="2"/>
  <c r="P89" i="2"/>
  <c r="O89" i="2"/>
  <c r="N89" i="2"/>
  <c r="M89" i="2"/>
  <c r="L89" i="2"/>
  <c r="Q88" i="2"/>
  <c r="P88" i="2"/>
  <c r="O88" i="2"/>
  <c r="N88" i="2"/>
  <c r="M88" i="2"/>
  <c r="L88" i="2"/>
  <c r="Q87" i="2"/>
  <c r="P87" i="2"/>
  <c r="O87" i="2"/>
  <c r="N87" i="2"/>
  <c r="M87" i="2"/>
  <c r="L87" i="2"/>
  <c r="Q86" i="2"/>
  <c r="P86" i="2"/>
  <c r="O86" i="2"/>
  <c r="N86" i="2"/>
  <c r="M86" i="2"/>
  <c r="L86" i="2"/>
  <c r="Q85" i="2"/>
  <c r="P85" i="2"/>
  <c r="O85" i="2"/>
  <c r="N85" i="2"/>
  <c r="M85" i="2"/>
  <c r="L85" i="2"/>
  <c r="Q84" i="2"/>
  <c r="P84" i="2"/>
  <c r="O84" i="2"/>
  <c r="N84" i="2"/>
  <c r="M84" i="2"/>
  <c r="L84" i="2"/>
  <c r="Q83" i="2"/>
  <c r="P83" i="2"/>
  <c r="O83" i="2"/>
  <c r="N83" i="2"/>
  <c r="M83" i="2"/>
  <c r="L83" i="2"/>
  <c r="Q82" i="2"/>
  <c r="P82" i="2"/>
  <c r="O82" i="2"/>
  <c r="N82" i="2"/>
  <c r="M82" i="2"/>
  <c r="L82" i="2"/>
  <c r="Q81" i="2"/>
  <c r="P81" i="2"/>
  <c r="O81" i="2"/>
  <c r="N81" i="2"/>
  <c r="M81" i="2"/>
  <c r="L81" i="2"/>
  <c r="Q80" i="2"/>
  <c r="P80" i="2"/>
  <c r="O80" i="2"/>
  <c r="N80" i="2"/>
  <c r="M80" i="2"/>
  <c r="L80" i="2"/>
  <c r="Q79" i="2"/>
  <c r="P79" i="2"/>
  <c r="O79" i="2"/>
  <c r="N79" i="2"/>
  <c r="M79" i="2"/>
  <c r="L79" i="2"/>
  <c r="Q78" i="2"/>
  <c r="P78" i="2"/>
  <c r="O78" i="2"/>
  <c r="N78" i="2"/>
  <c r="M78" i="2"/>
  <c r="L78" i="2"/>
  <c r="Q77" i="2"/>
  <c r="P77" i="2"/>
  <c r="O77" i="2"/>
  <c r="N77" i="2"/>
  <c r="M77" i="2"/>
  <c r="L77" i="2"/>
  <c r="Q76" i="2"/>
  <c r="P76" i="2"/>
  <c r="O76" i="2"/>
  <c r="N76" i="2"/>
  <c r="M76" i="2"/>
  <c r="L76" i="2"/>
  <c r="Q75" i="2"/>
  <c r="P75" i="2"/>
  <c r="O75" i="2"/>
  <c r="N75" i="2"/>
  <c r="M75" i="2"/>
  <c r="L75" i="2"/>
  <c r="Q74" i="2"/>
  <c r="P74" i="2"/>
  <c r="O74" i="2"/>
  <c r="N74" i="2"/>
  <c r="M74" i="2"/>
  <c r="L74" i="2"/>
  <c r="Q73" i="2"/>
  <c r="P73" i="2"/>
  <c r="O73" i="2"/>
  <c r="N73" i="2"/>
  <c r="M73" i="2"/>
  <c r="L73" i="2"/>
  <c r="Q72" i="2"/>
  <c r="P72" i="2"/>
  <c r="O72" i="2"/>
  <c r="N72" i="2"/>
  <c r="M72" i="2"/>
  <c r="L72" i="2"/>
  <c r="Q71" i="2"/>
  <c r="P71" i="2"/>
  <c r="O71" i="2"/>
  <c r="N71" i="2"/>
  <c r="M71" i="2"/>
  <c r="L71" i="2"/>
  <c r="Q70" i="2"/>
  <c r="P70" i="2"/>
  <c r="O70" i="2"/>
  <c r="N70" i="2"/>
  <c r="M70" i="2"/>
  <c r="L70" i="2"/>
  <c r="Q69" i="2"/>
  <c r="P69" i="2"/>
  <c r="O69" i="2"/>
  <c r="N69" i="2"/>
  <c r="M69" i="2"/>
  <c r="L69" i="2"/>
  <c r="Q68" i="2"/>
  <c r="P68" i="2"/>
  <c r="O68" i="2"/>
  <c r="N68" i="2"/>
  <c r="M68" i="2"/>
  <c r="L68" i="2"/>
  <c r="Q67" i="2"/>
  <c r="P67" i="2"/>
  <c r="O67" i="2"/>
  <c r="N67" i="2"/>
  <c r="M67" i="2"/>
  <c r="L67" i="2"/>
  <c r="Q66" i="2"/>
  <c r="P66" i="2"/>
  <c r="O66" i="2"/>
  <c r="N66" i="2"/>
  <c r="M66" i="2"/>
  <c r="L66" i="2"/>
  <c r="Q65" i="2"/>
  <c r="P65" i="2"/>
  <c r="O65" i="2"/>
  <c r="N65" i="2"/>
  <c r="M65" i="2"/>
  <c r="L65" i="2"/>
  <c r="Q64" i="2"/>
  <c r="P64" i="2"/>
  <c r="O64" i="2"/>
  <c r="N64" i="2"/>
  <c r="M64" i="2"/>
  <c r="L64" i="2"/>
  <c r="Q63" i="2"/>
  <c r="P63" i="2"/>
  <c r="O63" i="2"/>
  <c r="N63" i="2"/>
  <c r="M63" i="2"/>
  <c r="L63" i="2"/>
  <c r="Q62" i="2"/>
  <c r="P62" i="2"/>
  <c r="O62" i="2"/>
  <c r="N62" i="2"/>
  <c r="M62" i="2"/>
  <c r="L62" i="2"/>
  <c r="Q61" i="2"/>
  <c r="P61" i="2"/>
  <c r="O61" i="2"/>
  <c r="N61" i="2"/>
  <c r="M61" i="2"/>
  <c r="L61" i="2"/>
  <c r="Q60" i="2"/>
  <c r="P60" i="2"/>
  <c r="O60" i="2"/>
  <c r="N60" i="2"/>
  <c r="M60" i="2"/>
  <c r="L60" i="2"/>
  <c r="Q59" i="2"/>
  <c r="P59" i="2"/>
  <c r="O59" i="2"/>
  <c r="N59" i="2"/>
  <c r="M59" i="2"/>
  <c r="L59" i="2"/>
  <c r="Q58" i="2"/>
  <c r="P58" i="2"/>
  <c r="O58" i="2"/>
  <c r="N58" i="2"/>
  <c r="M58" i="2"/>
  <c r="L58" i="2"/>
  <c r="Q57" i="2"/>
  <c r="P57" i="2"/>
  <c r="O57" i="2"/>
  <c r="N57" i="2"/>
  <c r="M57" i="2"/>
  <c r="L57" i="2"/>
  <c r="Q56" i="2"/>
  <c r="P56" i="2"/>
  <c r="O56" i="2"/>
  <c r="N56" i="2"/>
  <c r="M56" i="2"/>
  <c r="L56" i="2"/>
  <c r="Q55" i="2"/>
  <c r="P55" i="2"/>
  <c r="O55" i="2"/>
  <c r="N55" i="2"/>
  <c r="M55" i="2"/>
  <c r="L55" i="2"/>
  <c r="Q54" i="2"/>
  <c r="P54" i="2"/>
  <c r="O54" i="2"/>
  <c r="N54" i="2"/>
  <c r="M54" i="2"/>
  <c r="L54" i="2"/>
  <c r="Q53" i="2"/>
  <c r="P53" i="2"/>
  <c r="O53" i="2"/>
  <c r="N53" i="2"/>
  <c r="M53" i="2"/>
  <c r="L53" i="2"/>
  <c r="Q52" i="2"/>
  <c r="P52" i="2"/>
  <c r="O52" i="2"/>
  <c r="N52" i="2"/>
  <c r="M52" i="2"/>
  <c r="L52" i="2"/>
  <c r="Q51" i="2"/>
  <c r="P51" i="2"/>
  <c r="O51" i="2"/>
  <c r="N51" i="2"/>
  <c r="M51" i="2"/>
  <c r="L51" i="2"/>
  <c r="Q50" i="2"/>
  <c r="P50" i="2"/>
  <c r="O50" i="2"/>
  <c r="N50" i="2"/>
  <c r="M50" i="2"/>
  <c r="L50" i="2"/>
  <c r="Q49" i="2"/>
  <c r="P49" i="2"/>
  <c r="O49" i="2"/>
  <c r="N49" i="2"/>
  <c r="M49" i="2"/>
  <c r="L49" i="2"/>
  <c r="Q48" i="2"/>
  <c r="P48" i="2"/>
  <c r="O48" i="2"/>
  <c r="N48" i="2"/>
  <c r="M48" i="2"/>
  <c r="L48" i="2"/>
  <c r="Q47" i="2"/>
  <c r="P47" i="2"/>
  <c r="O47" i="2"/>
  <c r="N47" i="2"/>
  <c r="M47" i="2"/>
  <c r="L47" i="2"/>
  <c r="Q46" i="2"/>
  <c r="P46" i="2"/>
  <c r="O46" i="2"/>
  <c r="N46" i="2"/>
  <c r="M46" i="2"/>
  <c r="L46" i="2"/>
  <c r="Q45" i="2"/>
  <c r="P45" i="2"/>
  <c r="O45" i="2"/>
  <c r="N45" i="2"/>
  <c r="M45" i="2"/>
  <c r="L45" i="2"/>
  <c r="Q44" i="2"/>
  <c r="P44" i="2"/>
  <c r="O44" i="2"/>
  <c r="N44" i="2"/>
  <c r="M44" i="2"/>
  <c r="L44" i="2"/>
  <c r="Q43" i="2"/>
  <c r="P43" i="2"/>
  <c r="O43" i="2"/>
  <c r="N43" i="2"/>
  <c r="M43" i="2"/>
  <c r="L43" i="2"/>
  <c r="Q42" i="2"/>
  <c r="P42" i="2"/>
  <c r="O42" i="2"/>
  <c r="N42" i="2"/>
  <c r="M42" i="2"/>
  <c r="L42" i="2"/>
  <c r="Q41" i="2"/>
  <c r="P41" i="2"/>
  <c r="O41" i="2"/>
  <c r="N41" i="2"/>
  <c r="M41" i="2"/>
  <c r="L41" i="2"/>
  <c r="Q40" i="2"/>
  <c r="P40" i="2"/>
  <c r="O40" i="2"/>
  <c r="N40" i="2"/>
  <c r="M40" i="2"/>
  <c r="L40" i="2"/>
  <c r="Q39" i="2"/>
  <c r="P39" i="2"/>
  <c r="O39" i="2"/>
  <c r="N39" i="2"/>
  <c r="M39" i="2"/>
  <c r="L39" i="2"/>
  <c r="Q38" i="2"/>
  <c r="P38" i="2"/>
  <c r="O38" i="2"/>
  <c r="N38" i="2"/>
  <c r="M38" i="2"/>
  <c r="L38" i="2"/>
  <c r="Q37" i="2"/>
  <c r="P37" i="2"/>
  <c r="O37" i="2"/>
  <c r="N37" i="2"/>
  <c r="M37" i="2"/>
  <c r="L37" i="2"/>
  <c r="Q36" i="2"/>
  <c r="P36" i="2"/>
  <c r="O36" i="2"/>
  <c r="N36" i="2"/>
  <c r="M36" i="2"/>
  <c r="L36" i="2"/>
  <c r="Q35" i="2"/>
  <c r="P35" i="2"/>
  <c r="O35" i="2"/>
  <c r="N35" i="2"/>
  <c r="M35" i="2"/>
  <c r="L35" i="2"/>
  <c r="Q34" i="2"/>
  <c r="P34" i="2"/>
  <c r="O34" i="2"/>
  <c r="N34" i="2"/>
  <c r="M34" i="2"/>
  <c r="L34" i="2"/>
  <c r="Q33" i="2"/>
  <c r="P33" i="2"/>
  <c r="O33" i="2"/>
  <c r="N33" i="2"/>
  <c r="M33" i="2"/>
  <c r="L33" i="2"/>
  <c r="Q32" i="2"/>
  <c r="P32" i="2"/>
  <c r="O32" i="2"/>
  <c r="N32" i="2"/>
  <c r="M32" i="2"/>
  <c r="L32" i="2"/>
  <c r="Q31" i="2"/>
  <c r="P31" i="2"/>
  <c r="O31" i="2"/>
  <c r="N31" i="2"/>
  <c r="M31" i="2"/>
  <c r="L31" i="2"/>
  <c r="Q30" i="2"/>
  <c r="P30" i="2"/>
  <c r="O30" i="2"/>
  <c r="N30" i="2"/>
  <c r="M30" i="2"/>
  <c r="L30" i="2"/>
  <c r="Q29" i="2"/>
  <c r="P29" i="2"/>
  <c r="O29" i="2"/>
  <c r="N29" i="2"/>
  <c r="M29" i="2"/>
  <c r="L29" i="2"/>
  <c r="Q28" i="2"/>
  <c r="P28" i="2"/>
  <c r="O28" i="2"/>
  <c r="N28" i="2"/>
  <c r="M28" i="2"/>
  <c r="L28" i="2"/>
  <c r="Q27" i="2"/>
  <c r="P27" i="2"/>
  <c r="O27" i="2"/>
  <c r="N27" i="2"/>
  <c r="M27" i="2"/>
  <c r="L27" i="2"/>
  <c r="Q26" i="2"/>
  <c r="P26" i="2"/>
  <c r="O26" i="2"/>
  <c r="N26" i="2"/>
  <c r="M26" i="2"/>
  <c r="L26" i="2"/>
  <c r="Q25" i="2"/>
  <c r="P25" i="2"/>
  <c r="O25" i="2"/>
  <c r="N25" i="2"/>
  <c r="M25" i="2"/>
  <c r="L25" i="2"/>
  <c r="Q24" i="2"/>
  <c r="P24" i="2"/>
  <c r="O24" i="2"/>
  <c r="N24" i="2"/>
  <c r="M24" i="2"/>
  <c r="L24" i="2"/>
  <c r="Q23" i="2"/>
  <c r="P23" i="2"/>
  <c r="O23" i="2"/>
  <c r="N23" i="2"/>
  <c r="M23" i="2"/>
  <c r="L23" i="2"/>
  <c r="Q22" i="2"/>
  <c r="P22" i="2"/>
  <c r="O22" i="2"/>
  <c r="N22" i="2"/>
  <c r="M22" i="2"/>
  <c r="L22" i="2"/>
  <c r="Q21" i="2"/>
  <c r="P21" i="2"/>
  <c r="O21" i="2"/>
  <c r="N21" i="2"/>
  <c r="M21" i="2"/>
  <c r="L21" i="2"/>
  <c r="Q20" i="2"/>
  <c r="P20" i="2"/>
  <c r="O20" i="2"/>
  <c r="N20" i="2"/>
  <c r="M20" i="2"/>
  <c r="L20" i="2"/>
  <c r="Q19" i="2"/>
  <c r="P19" i="2"/>
  <c r="O19" i="2"/>
  <c r="N19" i="2"/>
  <c r="M19" i="2"/>
  <c r="L19" i="2"/>
  <c r="Q18" i="2"/>
  <c r="P18" i="2"/>
  <c r="O18" i="2"/>
  <c r="N18" i="2"/>
  <c r="M18" i="2"/>
  <c r="L18" i="2"/>
  <c r="Q17" i="2"/>
  <c r="P17" i="2"/>
  <c r="O17" i="2"/>
  <c r="N17" i="2"/>
  <c r="M17" i="2"/>
  <c r="L17" i="2"/>
  <c r="Q16" i="2"/>
  <c r="P16" i="2"/>
  <c r="O16" i="2"/>
  <c r="N16" i="2"/>
  <c r="M16" i="2"/>
  <c r="L16" i="2"/>
  <c r="Q15" i="2"/>
  <c r="P15" i="2"/>
  <c r="N15" i="2"/>
  <c r="L15" i="2"/>
  <c r="Q14" i="2"/>
  <c r="P14" i="2"/>
  <c r="O14" i="2"/>
  <c r="N14" i="2"/>
  <c r="M14" i="2"/>
  <c r="L14" i="2"/>
  <c r="Q13" i="2"/>
  <c r="P13" i="2"/>
  <c r="O13" i="2"/>
  <c r="N13" i="2"/>
  <c r="M13" i="2"/>
  <c r="L13" i="2"/>
  <c r="Q12" i="2"/>
  <c r="P12" i="2"/>
  <c r="O12" i="2"/>
  <c r="N12" i="2"/>
  <c r="M12" i="2"/>
  <c r="L12" i="2"/>
  <c r="Q11" i="2"/>
  <c r="P11" i="2"/>
  <c r="O11" i="2"/>
  <c r="N11" i="2"/>
  <c r="M11" i="2"/>
  <c r="L11" i="2"/>
  <c r="Q10" i="2"/>
  <c r="P10" i="2"/>
  <c r="O10" i="2"/>
  <c r="N10" i="2"/>
  <c r="M10" i="2"/>
  <c r="L10" i="2"/>
  <c r="Q9" i="2"/>
  <c r="P9" i="2"/>
  <c r="O9" i="2"/>
  <c r="N9" i="2"/>
  <c r="M9" i="2"/>
  <c r="L9" i="2"/>
  <c r="Q8" i="2"/>
  <c r="P8" i="2"/>
  <c r="B191" i="1" s="1"/>
  <c r="O8" i="2"/>
  <c r="N8" i="2"/>
  <c r="M8" i="2"/>
  <c r="L8" i="2"/>
  <c r="Q7" i="2"/>
  <c r="P7" i="2"/>
  <c r="D204" i="1" s="1"/>
  <c r="O7" i="2"/>
  <c r="N7" i="2"/>
  <c r="M7" i="2"/>
  <c r="L7" i="2"/>
  <c r="Q6" i="2"/>
  <c r="P6" i="2"/>
  <c r="O6" i="2"/>
  <c r="N6" i="2"/>
  <c r="M6" i="2"/>
  <c r="L6" i="2"/>
  <c r="Q5" i="2"/>
  <c r="P5" i="2"/>
  <c r="O5" i="2"/>
  <c r="N5" i="2"/>
  <c r="M5" i="2"/>
  <c r="L5" i="2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Q4" i="2"/>
  <c r="P4" i="2"/>
  <c r="O4" i="2"/>
  <c r="N4" i="2"/>
  <c r="M4" i="2"/>
  <c r="L4" i="2"/>
  <c r="J4" i="2"/>
  <c r="A222" i="1"/>
  <c r="B219" i="1"/>
  <c r="D217" i="1"/>
  <c r="D216" i="1"/>
  <c r="C213" i="1"/>
  <c r="C212" i="1"/>
  <c r="E210" i="1"/>
  <c r="A200" i="1"/>
  <c r="E194" i="1"/>
  <c r="A188" i="1"/>
  <c r="B182" i="1"/>
  <c r="A176" i="1"/>
  <c r="B170" i="1"/>
  <c r="D163" i="1"/>
  <c r="B158" i="1"/>
  <c r="D151" i="1"/>
  <c r="C145" i="1"/>
  <c r="D139" i="1"/>
  <c r="A135" i="1"/>
  <c r="C131" i="1"/>
  <c r="A128" i="1"/>
  <c r="C124" i="1"/>
  <c r="E120" i="1"/>
  <c r="B118" i="1"/>
  <c r="D115" i="1"/>
  <c r="E112" i="1"/>
  <c r="B110" i="1"/>
  <c r="D107" i="1"/>
  <c r="E104" i="1"/>
  <c r="B102" i="1"/>
  <c r="D99" i="1"/>
  <c r="E96" i="1"/>
  <c r="B94" i="1"/>
  <c r="D91" i="1"/>
  <c r="E88" i="1"/>
  <c r="C86" i="1"/>
  <c r="C84" i="1"/>
  <c r="C82" i="1"/>
  <c r="C80" i="1"/>
  <c r="C78" i="1"/>
  <c r="C76" i="1"/>
  <c r="C74" i="1"/>
  <c r="C72" i="1"/>
  <c r="C70" i="1"/>
  <c r="C68" i="1"/>
  <c r="C66" i="1"/>
  <c r="C65" i="1"/>
  <c r="A64" i="1"/>
  <c r="C62" i="1"/>
  <c r="C61" i="1"/>
  <c r="A60" i="1"/>
  <c r="C58" i="1"/>
  <c r="C57" i="1"/>
  <c r="A56" i="1"/>
  <c r="C54" i="1"/>
  <c r="C53" i="1"/>
  <c r="A52" i="1"/>
  <c r="C50" i="1"/>
  <c r="C49" i="1"/>
  <c r="A48" i="1"/>
  <c r="C46" i="1"/>
  <c r="C45" i="1"/>
  <c r="A44" i="1"/>
  <c r="C42" i="1"/>
  <c r="C41" i="1"/>
  <c r="A40" i="1"/>
  <c r="C38" i="1"/>
  <c r="C37" i="1"/>
  <c r="A36" i="1"/>
  <c r="C34" i="1"/>
  <c r="C33" i="1"/>
  <c r="C32" i="1"/>
  <c r="B31" i="1"/>
  <c r="B30" i="1"/>
  <c r="B29" i="1"/>
  <c r="A28" i="1"/>
  <c r="A27" i="1"/>
  <c r="A26" i="1"/>
  <c r="E24" i="1"/>
  <c r="E23" i="1"/>
  <c r="E22" i="1"/>
  <c r="D21" i="1"/>
  <c r="D20" i="1"/>
  <c r="D19" i="1"/>
  <c r="C18" i="1"/>
  <c r="C17" i="1"/>
  <c r="C16" i="1"/>
  <c r="B15" i="1"/>
  <c r="B14" i="1"/>
  <c r="B13" i="1"/>
  <c r="A12" i="1"/>
  <c r="A11" i="1"/>
  <c r="A10" i="1"/>
  <c r="E8" i="1"/>
  <c r="E7" i="1"/>
  <c r="E6" i="1"/>
  <c r="C6" i="1"/>
  <c r="B6" i="1"/>
  <c r="A6" i="1"/>
  <c r="D108" i="6" l="1"/>
  <c r="C270" i="1"/>
  <c r="E227" i="1"/>
  <c r="E308" i="1"/>
  <c r="E244" i="1"/>
  <c r="A7" i="1"/>
  <c r="A8" i="1"/>
  <c r="B9" i="1"/>
  <c r="B10" i="1"/>
  <c r="B11" i="1"/>
  <c r="C12" i="1"/>
  <c r="C13" i="1"/>
  <c r="C14" i="1"/>
  <c r="D15" i="1"/>
  <c r="D16" i="1"/>
  <c r="D17" i="1"/>
  <c r="E18" i="1"/>
  <c r="E19" i="1"/>
  <c r="E20" i="1"/>
  <c r="A22" i="1"/>
  <c r="A23" i="1"/>
  <c r="A24" i="1"/>
  <c r="B25" i="1"/>
  <c r="B26" i="1"/>
  <c r="B27" i="1"/>
  <c r="C28" i="1"/>
  <c r="C29" i="1"/>
  <c r="C30" i="1"/>
  <c r="D31" i="1"/>
  <c r="D32" i="1"/>
  <c r="D33" i="1"/>
  <c r="A35" i="1"/>
  <c r="B36" i="1"/>
  <c r="D37" i="1"/>
  <c r="A39" i="1"/>
  <c r="B40" i="1"/>
  <c r="D41" i="1"/>
  <c r="A43" i="1"/>
  <c r="B44" i="1"/>
  <c r="D45" i="1"/>
  <c r="A47" i="1"/>
  <c r="B48" i="1"/>
  <c r="D49" i="1"/>
  <c r="A51" i="1"/>
  <c r="B52" i="1"/>
  <c r="D53" i="1"/>
  <c r="A55" i="1"/>
  <c r="B56" i="1"/>
  <c r="D57" i="1"/>
  <c r="A59" i="1"/>
  <c r="B60" i="1"/>
  <c r="D61" i="1"/>
  <c r="A63" i="1"/>
  <c r="B64" i="1"/>
  <c r="D65" i="1"/>
  <c r="A67" i="1"/>
  <c r="A69" i="1"/>
  <c r="A71" i="1"/>
  <c r="A73" i="1"/>
  <c r="A75" i="1"/>
  <c r="A77" i="1"/>
  <c r="A79" i="1"/>
  <c r="A81" i="1"/>
  <c r="A83" i="1"/>
  <c r="A85" i="1"/>
  <c r="A87" i="1"/>
  <c r="D89" i="1"/>
  <c r="B92" i="1"/>
  <c r="E94" i="1"/>
  <c r="D97" i="1"/>
  <c r="B100" i="1"/>
  <c r="E102" i="1"/>
  <c r="D105" i="1"/>
  <c r="B108" i="1"/>
  <c r="E110" i="1"/>
  <c r="D113" i="1"/>
  <c r="B116" i="1"/>
  <c r="E118" i="1"/>
  <c r="E121" i="1"/>
  <c r="C125" i="1"/>
  <c r="E128" i="1"/>
  <c r="C132" i="1"/>
  <c r="A136" i="1"/>
  <c r="D140" i="1"/>
  <c r="B147" i="1"/>
  <c r="C153" i="1"/>
  <c r="B159" i="1"/>
  <c r="C165" i="1"/>
  <c r="D171" i="1"/>
  <c r="C177" i="1"/>
  <c r="D183" i="1"/>
  <c r="B190" i="1"/>
  <c r="D195" i="1"/>
  <c r="B202" i="1"/>
  <c r="D223" i="1"/>
  <c r="C8" i="1"/>
  <c r="C10" i="1"/>
  <c r="D12" i="1"/>
  <c r="E14" i="1"/>
  <c r="E16" i="1"/>
  <c r="A19" i="1"/>
  <c r="B21" i="1"/>
  <c r="B23" i="1"/>
  <c r="C25" i="1"/>
  <c r="D27" i="1"/>
  <c r="D28" i="1"/>
  <c r="E30" i="1"/>
  <c r="E32" i="1"/>
  <c r="C35" i="1"/>
  <c r="A38" i="1"/>
  <c r="C40" i="1"/>
  <c r="C43" i="1"/>
  <c r="A46" i="1"/>
  <c r="C48" i="1"/>
  <c r="C51" i="1"/>
  <c r="A54" i="1"/>
  <c r="C56" i="1"/>
  <c r="C59" i="1"/>
  <c r="A62" i="1"/>
  <c r="C64" i="1"/>
  <c r="D67" i="1"/>
  <c r="D71" i="1"/>
  <c r="D75" i="1"/>
  <c r="D79" i="1"/>
  <c r="D83" i="1"/>
  <c r="D87" i="1"/>
  <c r="E92" i="1"/>
  <c r="B98" i="1"/>
  <c r="D103" i="1"/>
  <c r="E108" i="1"/>
  <c r="B114" i="1"/>
  <c r="D119" i="1"/>
  <c r="A126" i="1"/>
  <c r="C133" i="1"/>
  <c r="E142" i="1"/>
  <c r="E154" i="1"/>
  <c r="B167" i="1"/>
  <c r="B179" i="1"/>
  <c r="C185" i="1"/>
  <c r="C197" i="1"/>
  <c r="D203" i="1"/>
  <c r="B7" i="1"/>
  <c r="C9" i="1"/>
  <c r="D11" i="1"/>
  <c r="D13" i="1"/>
  <c r="E15" i="1"/>
  <c r="A18" i="1"/>
  <c r="A20" i="1"/>
  <c r="B22" i="1"/>
  <c r="C24" i="1"/>
  <c r="C26" i="1"/>
  <c r="D29" i="1"/>
  <c r="E31" i="1"/>
  <c r="A34" i="1"/>
  <c r="C36" i="1"/>
  <c r="C39" i="1"/>
  <c r="A42" i="1"/>
  <c r="C44" i="1"/>
  <c r="C47" i="1"/>
  <c r="A50" i="1"/>
  <c r="C52" i="1"/>
  <c r="C55" i="1"/>
  <c r="A58" i="1"/>
  <c r="C60" i="1"/>
  <c r="C63" i="1"/>
  <c r="A66" i="1"/>
  <c r="D69" i="1"/>
  <c r="D73" i="1"/>
  <c r="D77" i="1"/>
  <c r="D81" i="1"/>
  <c r="D85" i="1"/>
  <c r="B90" i="1"/>
  <c r="D95" i="1"/>
  <c r="E100" i="1"/>
  <c r="B106" i="1"/>
  <c r="D111" i="1"/>
  <c r="E116" i="1"/>
  <c r="E122" i="1"/>
  <c r="E129" i="1"/>
  <c r="E136" i="1"/>
  <c r="D148" i="1"/>
  <c r="D160" i="1"/>
  <c r="D172" i="1"/>
  <c r="D7" i="1"/>
  <c r="D8" i="1"/>
  <c r="D9" i="1"/>
  <c r="E10" i="1"/>
  <c r="E11" i="1"/>
  <c r="E12" i="1"/>
  <c r="A14" i="1"/>
  <c r="A15" i="1"/>
  <c r="A16" i="1"/>
  <c r="B17" i="1"/>
  <c r="B18" i="1"/>
  <c r="B19" i="1"/>
  <c r="C20" i="1"/>
  <c r="C21" i="1"/>
  <c r="C22" i="1"/>
  <c r="D23" i="1"/>
  <c r="D24" i="1"/>
  <c r="D25" i="1"/>
  <c r="E26" i="1"/>
  <c r="E27" i="1"/>
  <c r="E28" i="1"/>
  <c r="A30" i="1"/>
  <c r="A31" i="1"/>
  <c r="A32" i="1"/>
  <c r="B33" i="1"/>
  <c r="B34" i="1"/>
  <c r="D35" i="1"/>
  <c r="A37" i="1"/>
  <c r="B38" i="1"/>
  <c r="D39" i="1"/>
  <c r="A41" i="1"/>
  <c r="B42" i="1"/>
  <c r="D43" i="1"/>
  <c r="A45" i="1"/>
  <c r="B46" i="1"/>
  <c r="D47" i="1"/>
  <c r="A49" i="1"/>
  <c r="B50" i="1"/>
  <c r="D51" i="1"/>
  <c r="A53" i="1"/>
  <c r="B54" i="1"/>
  <c r="D55" i="1"/>
  <c r="A57" i="1"/>
  <c r="B58" i="1"/>
  <c r="D59" i="1"/>
  <c r="A61" i="1"/>
  <c r="B62" i="1"/>
  <c r="D63" i="1"/>
  <c r="A65" i="1"/>
  <c r="B66" i="1"/>
  <c r="A68" i="1"/>
  <c r="A70" i="1"/>
  <c r="A72" i="1"/>
  <c r="A74" i="1"/>
  <c r="A76" i="1"/>
  <c r="A78" i="1"/>
  <c r="A80" i="1"/>
  <c r="A82" i="1"/>
  <c r="A84" i="1"/>
  <c r="A86" i="1"/>
  <c r="B88" i="1"/>
  <c r="E90" i="1"/>
  <c r="D93" i="1"/>
  <c r="B96" i="1"/>
  <c r="E98" i="1"/>
  <c r="D101" i="1"/>
  <c r="B104" i="1"/>
  <c r="E106" i="1"/>
  <c r="D109" i="1"/>
  <c r="B112" i="1"/>
  <c r="E114" i="1"/>
  <c r="D117" i="1"/>
  <c r="B120" i="1"/>
  <c r="C123" i="1"/>
  <c r="A127" i="1"/>
  <c r="E130" i="1"/>
  <c r="A134" i="1"/>
  <c r="B138" i="1"/>
  <c r="A144" i="1"/>
  <c r="B150" i="1"/>
  <c r="A156" i="1"/>
  <c r="E162" i="1"/>
  <c r="A168" i="1"/>
  <c r="E174" i="1"/>
  <c r="D180" i="1"/>
  <c r="E186" i="1"/>
  <c r="D192" i="1"/>
  <c r="B199" i="1"/>
  <c r="A215" i="1"/>
  <c r="E220" i="1"/>
  <c r="C205" i="1"/>
  <c r="B203" i="1"/>
  <c r="D200" i="1"/>
  <c r="E198" i="1"/>
  <c r="A196" i="1"/>
  <c r="B194" i="1"/>
  <c r="D191" i="1"/>
  <c r="C189" i="1"/>
  <c r="B187" i="1"/>
  <c r="D184" i="1"/>
  <c r="E182" i="1"/>
  <c r="A180" i="1"/>
  <c r="B178" i="1"/>
  <c r="D175" i="1"/>
  <c r="C173" i="1"/>
  <c r="B171" i="1"/>
  <c r="D168" i="1"/>
  <c r="E166" i="1"/>
  <c r="A164" i="1"/>
  <c r="B162" i="1"/>
  <c r="D159" i="1"/>
  <c r="C157" i="1"/>
  <c r="B155" i="1"/>
  <c r="D152" i="1"/>
  <c r="E150" i="1"/>
  <c r="A148" i="1"/>
  <c r="B146" i="1"/>
  <c r="D143" i="1"/>
  <c r="C141" i="1"/>
  <c r="B139" i="1"/>
  <c r="A137" i="1"/>
  <c r="E135" i="1"/>
  <c r="C134" i="1"/>
  <c r="A133" i="1"/>
  <c r="E131" i="1"/>
  <c r="C130" i="1"/>
  <c r="A129" i="1"/>
  <c r="E127" i="1"/>
  <c r="C126" i="1"/>
  <c r="A125" i="1"/>
  <c r="E123" i="1"/>
  <c r="C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204" i="1"/>
  <c r="C201" i="1"/>
  <c r="B198" i="1"/>
  <c r="B195" i="1"/>
  <c r="A192" i="1"/>
  <c r="D188" i="1"/>
  <c r="B186" i="1"/>
  <c r="B183" i="1"/>
  <c r="D179" i="1"/>
  <c r="D176" i="1"/>
  <c r="B174" i="1"/>
  <c r="E170" i="1"/>
  <c r="D167" i="1"/>
  <c r="D164" i="1"/>
  <c r="C161" i="1"/>
  <c r="E158" i="1"/>
  <c r="D155" i="1"/>
  <c r="A152" i="1"/>
  <c r="C149" i="1"/>
  <c r="E146" i="1"/>
  <c r="B143" i="1"/>
  <c r="A140" i="1"/>
  <c r="C137" i="1"/>
  <c r="C135" i="1"/>
  <c r="E133" i="1"/>
  <c r="A132" i="1"/>
  <c r="A130" i="1"/>
  <c r="C128" i="1"/>
  <c r="E126" i="1"/>
  <c r="E124" i="1"/>
  <c r="A123" i="1"/>
  <c r="C121" i="1"/>
  <c r="E119" i="1"/>
  <c r="C118" i="1"/>
  <c r="C117" i="1"/>
  <c r="E115" i="1"/>
  <c r="C114" i="1"/>
  <c r="C113" i="1"/>
  <c r="E111" i="1"/>
  <c r="C110" i="1"/>
  <c r="C109" i="1"/>
  <c r="E107" i="1"/>
  <c r="C106" i="1"/>
  <c r="C105" i="1"/>
  <c r="E103" i="1"/>
  <c r="C102" i="1"/>
  <c r="C101" i="1"/>
  <c r="E99" i="1"/>
  <c r="C98" i="1"/>
  <c r="C97" i="1"/>
  <c r="E95" i="1"/>
  <c r="C94" i="1"/>
  <c r="C93" i="1"/>
  <c r="E91" i="1"/>
  <c r="C90" i="1"/>
  <c r="C89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A33" i="1"/>
  <c r="B32" i="1"/>
  <c r="C31" i="1"/>
  <c r="D30" i="1"/>
  <c r="E29" i="1"/>
  <c r="A29" i="1"/>
  <c r="B28" i="1"/>
  <c r="C27" i="1"/>
  <c r="D26" i="1"/>
  <c r="E25" i="1"/>
  <c r="A25" i="1"/>
  <c r="B24" i="1"/>
  <c r="C23" i="1"/>
  <c r="D22" i="1"/>
  <c r="E21" i="1"/>
  <c r="A21" i="1"/>
  <c r="B20" i="1"/>
  <c r="C19" i="1"/>
  <c r="D18" i="1"/>
  <c r="E17" i="1"/>
  <c r="A17" i="1"/>
  <c r="B16" i="1"/>
  <c r="C15" i="1"/>
  <c r="D14" i="1"/>
  <c r="E13" i="1"/>
  <c r="A13" i="1"/>
  <c r="B12" i="1"/>
  <c r="C11" i="1"/>
  <c r="D10" i="1"/>
  <c r="E9" i="1"/>
  <c r="A9" i="1"/>
  <c r="B8" i="1"/>
  <c r="C7" i="1"/>
  <c r="D6" i="1"/>
  <c r="F6" i="1" s="1"/>
  <c r="E202" i="1"/>
  <c r="D199" i="1"/>
  <c r="D196" i="1"/>
  <c r="C193" i="1"/>
  <c r="E190" i="1"/>
  <c r="D187" i="1"/>
  <c r="A184" i="1"/>
  <c r="C181" i="1"/>
  <c r="E178" i="1"/>
  <c r="B175" i="1"/>
  <c r="A172" i="1"/>
  <c r="C169" i="1"/>
  <c r="B166" i="1"/>
  <c r="B163" i="1"/>
  <c r="A160" i="1"/>
  <c r="D156" i="1"/>
  <c r="B154" i="1"/>
  <c r="B151" i="1"/>
  <c r="D147" i="1"/>
  <c r="D144" i="1"/>
  <c r="B142" i="1"/>
  <c r="E138" i="1"/>
  <c r="C136" i="1"/>
  <c r="E134" i="1"/>
  <c r="E132" i="1"/>
  <c r="A131" i="1"/>
  <c r="C129" i="1"/>
  <c r="C127" i="1"/>
  <c r="E125" i="1"/>
  <c r="A124" i="1"/>
  <c r="A122" i="1"/>
  <c r="C120" i="1"/>
  <c r="C119" i="1"/>
  <c r="E117" i="1"/>
  <c r="C116" i="1"/>
  <c r="C115" i="1"/>
  <c r="E113" i="1"/>
  <c r="C112" i="1"/>
  <c r="C111" i="1"/>
  <c r="E109" i="1"/>
  <c r="C108" i="1"/>
  <c r="C107" i="1"/>
  <c r="E105" i="1"/>
  <c r="C104" i="1"/>
  <c r="C103" i="1"/>
  <c r="E101" i="1"/>
  <c r="C100" i="1"/>
  <c r="C99" i="1"/>
  <c r="E97" i="1"/>
  <c r="C96" i="1"/>
  <c r="C95" i="1"/>
  <c r="E93" i="1"/>
  <c r="C92" i="1"/>
  <c r="C91" i="1"/>
  <c r="E89" i="1"/>
  <c r="C88" i="1"/>
  <c r="C87" i="1"/>
  <c r="B86" i="1"/>
  <c r="C85" i="1"/>
  <c r="B84" i="1"/>
  <c r="C83" i="1"/>
  <c r="B82" i="1"/>
  <c r="C81" i="1"/>
  <c r="B80" i="1"/>
  <c r="C79" i="1"/>
  <c r="B78" i="1"/>
  <c r="C77" i="1"/>
  <c r="B76" i="1"/>
  <c r="C75" i="1"/>
  <c r="B74" i="1"/>
  <c r="C73" i="1"/>
  <c r="B72" i="1"/>
  <c r="C71" i="1"/>
  <c r="B70" i="1"/>
  <c r="C69" i="1"/>
  <c r="B68" i="1"/>
  <c r="C67" i="1"/>
  <c r="E291" i="1"/>
  <c r="C253" i="1"/>
  <c r="D224" i="1"/>
  <c r="C222" i="1"/>
  <c r="C220" i="1"/>
  <c r="B218" i="1"/>
  <c r="A216" i="1"/>
  <c r="A214" i="1"/>
  <c r="E211" i="1"/>
  <c r="D279" i="1"/>
  <c r="C236" i="1"/>
  <c r="A223" i="1"/>
  <c r="E219" i="1"/>
  <c r="B217" i="1"/>
  <c r="C214" i="1"/>
  <c r="B211" i="1"/>
  <c r="A262" i="1"/>
  <c r="A224" i="1"/>
  <c r="C221" i="1"/>
  <c r="E218" i="1"/>
  <c r="D215" i="1"/>
  <c r="E212" i="1"/>
  <c r="B210" i="1"/>
  <c r="E306" i="1"/>
  <c r="A230" i="1"/>
  <c r="C238" i="1"/>
  <c r="A247" i="1"/>
  <c r="D255" i="1"/>
  <c r="A264" i="1"/>
  <c r="D272" i="1"/>
  <c r="E282" i="1"/>
  <c r="A296" i="1"/>
  <c r="C308" i="1"/>
  <c r="A232" i="1"/>
  <c r="D240" i="1"/>
  <c r="B249" i="1"/>
  <c r="D257" i="1"/>
  <c r="B266" i="1"/>
  <c r="E274" i="1"/>
  <c r="C285" i="1"/>
  <c r="C300" i="1"/>
  <c r="D225" i="1"/>
  <c r="B234" i="1"/>
  <c r="E242" i="1"/>
  <c r="B251" i="1"/>
  <c r="E259" i="1"/>
  <c r="C268" i="1"/>
  <c r="E276" i="1"/>
  <c r="A288" i="1"/>
  <c r="D304" i="1"/>
  <c r="B226" i="1"/>
  <c r="C228" i="1"/>
  <c r="C230" i="1"/>
  <c r="D232" i="1"/>
  <c r="E234" i="1"/>
  <c r="E236" i="1"/>
  <c r="A239" i="1"/>
  <c r="B241" i="1"/>
  <c r="B243" i="1"/>
  <c r="C245" i="1"/>
  <c r="D247" i="1"/>
  <c r="D249" i="1"/>
  <c r="E251" i="1"/>
  <c r="A254" i="1"/>
  <c r="A256" i="1"/>
  <c r="B258" i="1"/>
  <c r="C260" i="1"/>
  <c r="C262" i="1"/>
  <c r="D264" i="1"/>
  <c r="E266" i="1"/>
  <c r="E268" i="1"/>
  <c r="A271" i="1"/>
  <c r="B273" i="1"/>
  <c r="B275" i="1"/>
  <c r="C277" i="1"/>
  <c r="D280" i="1"/>
  <c r="B283" i="1"/>
  <c r="A286" i="1"/>
  <c r="B289" i="1"/>
  <c r="C293" i="1"/>
  <c r="D297" i="1"/>
  <c r="A302" i="1"/>
  <c r="B306" i="1"/>
  <c r="E307" i="1"/>
  <c r="E108" i="6"/>
  <c r="E226" i="1"/>
  <c r="E228" i="1"/>
  <c r="A231" i="1"/>
  <c r="B233" i="1"/>
  <c r="B235" i="1"/>
  <c r="C237" i="1"/>
  <c r="D239" i="1"/>
  <c r="D241" i="1"/>
  <c r="E243" i="1"/>
  <c r="A246" i="1"/>
  <c r="A248" i="1"/>
  <c r="B250" i="1"/>
  <c r="C252" i="1"/>
  <c r="C254" i="1"/>
  <c r="D256" i="1"/>
  <c r="E258" i="1"/>
  <c r="E260" i="1"/>
  <c r="A263" i="1"/>
  <c r="B265" i="1"/>
  <c r="B267" i="1"/>
  <c r="C269" i="1"/>
  <c r="D271" i="1"/>
  <c r="D273" i="1"/>
  <c r="E275" i="1"/>
  <c r="C278" i="1"/>
  <c r="B281" i="1"/>
  <c r="E283" i="1"/>
  <c r="A287" i="1"/>
  <c r="D289" i="1"/>
  <c r="A294" i="1"/>
  <c r="B298" i="1"/>
  <c r="C302" i="1"/>
  <c r="B225" i="1"/>
  <c r="B227" i="1"/>
  <c r="C229" i="1"/>
  <c r="D231" i="1"/>
  <c r="D233" i="1"/>
  <c r="E235" i="1"/>
  <c r="A238" i="1"/>
  <c r="A240" i="1"/>
  <c r="B242" i="1"/>
  <c r="C244" i="1"/>
  <c r="C246" i="1"/>
  <c r="D248" i="1"/>
  <c r="E250" i="1"/>
  <c r="E252" i="1"/>
  <c r="A255" i="1"/>
  <c r="B257" i="1"/>
  <c r="B259" i="1"/>
  <c r="C261" i="1"/>
  <c r="D263" i="1"/>
  <c r="D265" i="1"/>
  <c r="E267" i="1"/>
  <c r="A270" i="1"/>
  <c r="A272" i="1"/>
  <c r="B274" i="1"/>
  <c r="C276" i="1"/>
  <c r="A279" i="1"/>
  <c r="D281" i="1"/>
  <c r="E284" i="1"/>
  <c r="D287" i="1"/>
  <c r="B291" i="1"/>
  <c r="D295" i="1"/>
  <c r="E299" i="1"/>
  <c r="A304" i="1"/>
  <c r="J179" i="2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B290" i="1"/>
  <c r="C292" i="1"/>
  <c r="C294" i="1"/>
  <c r="D296" i="1"/>
  <c r="E298" i="1"/>
  <c r="E300" i="1"/>
  <c r="A303" i="1"/>
  <c r="B305" i="1"/>
  <c r="B307" i="1"/>
  <c r="C309" i="1"/>
  <c r="E205" i="1"/>
  <c r="A205" i="1"/>
  <c r="C204" i="1"/>
  <c r="E203" i="1"/>
  <c r="A203" i="1"/>
  <c r="C202" i="1"/>
  <c r="E201" i="1"/>
  <c r="A201" i="1"/>
  <c r="C200" i="1"/>
  <c r="E199" i="1"/>
  <c r="A199" i="1"/>
  <c r="C198" i="1"/>
  <c r="E197" i="1"/>
  <c r="A197" i="1"/>
  <c r="C196" i="1"/>
  <c r="E195" i="1"/>
  <c r="A195" i="1"/>
  <c r="C194" i="1"/>
  <c r="E193" i="1"/>
  <c r="A193" i="1"/>
  <c r="C192" i="1"/>
  <c r="E191" i="1"/>
  <c r="A191" i="1"/>
  <c r="C190" i="1"/>
  <c r="E189" i="1"/>
  <c r="A189" i="1"/>
  <c r="C188" i="1"/>
  <c r="E187" i="1"/>
  <c r="A187" i="1"/>
  <c r="C186" i="1"/>
  <c r="E185" i="1"/>
  <c r="A185" i="1"/>
  <c r="C184" i="1"/>
  <c r="E183" i="1"/>
  <c r="A183" i="1"/>
  <c r="C182" i="1"/>
  <c r="E181" i="1"/>
  <c r="A181" i="1"/>
  <c r="C180" i="1"/>
  <c r="E179" i="1"/>
  <c r="A179" i="1"/>
  <c r="C178" i="1"/>
  <c r="E177" i="1"/>
  <c r="A177" i="1"/>
  <c r="C176" i="1"/>
  <c r="E175" i="1"/>
  <c r="A175" i="1"/>
  <c r="C174" i="1"/>
  <c r="E173" i="1"/>
  <c r="A173" i="1"/>
  <c r="C172" i="1"/>
  <c r="E171" i="1"/>
  <c r="A171" i="1"/>
  <c r="C170" i="1"/>
  <c r="E169" i="1"/>
  <c r="A169" i="1"/>
  <c r="C168" i="1"/>
  <c r="E167" i="1"/>
  <c r="A167" i="1"/>
  <c r="C166" i="1"/>
  <c r="E165" i="1"/>
  <c r="A165" i="1"/>
  <c r="C164" i="1"/>
  <c r="E163" i="1"/>
  <c r="A163" i="1"/>
  <c r="C162" i="1"/>
  <c r="E161" i="1"/>
  <c r="A161" i="1"/>
  <c r="C160" i="1"/>
  <c r="E159" i="1"/>
  <c r="A159" i="1"/>
  <c r="C158" i="1"/>
  <c r="E157" i="1"/>
  <c r="A157" i="1"/>
  <c r="C156" i="1"/>
  <c r="E155" i="1"/>
  <c r="A155" i="1"/>
  <c r="C154" i="1"/>
  <c r="E153" i="1"/>
  <c r="A153" i="1"/>
  <c r="C152" i="1"/>
  <c r="E151" i="1"/>
  <c r="A151" i="1"/>
  <c r="C150" i="1"/>
  <c r="E149" i="1"/>
  <c r="A149" i="1"/>
  <c r="C148" i="1"/>
  <c r="E147" i="1"/>
  <c r="A147" i="1"/>
  <c r="C146" i="1"/>
  <c r="E145" i="1"/>
  <c r="A145" i="1"/>
  <c r="C144" i="1"/>
  <c r="E143" i="1"/>
  <c r="A143" i="1"/>
  <c r="C142" i="1"/>
  <c r="E141" i="1"/>
  <c r="A141" i="1"/>
  <c r="C140" i="1"/>
  <c r="E139" i="1"/>
  <c r="A139" i="1"/>
  <c r="C138" i="1"/>
  <c r="E137" i="1"/>
  <c r="D205" i="1"/>
  <c r="E204" i="1"/>
  <c r="A202" i="1"/>
  <c r="B201" i="1"/>
  <c r="B200" i="1"/>
  <c r="C199" i="1"/>
  <c r="D198" i="1"/>
  <c r="D197" i="1"/>
  <c r="E196" i="1"/>
  <c r="A194" i="1"/>
  <c r="B193" i="1"/>
  <c r="B192" i="1"/>
  <c r="C191" i="1"/>
  <c r="D190" i="1"/>
  <c r="D189" i="1"/>
  <c r="E188" i="1"/>
  <c r="A186" i="1"/>
  <c r="B185" i="1"/>
  <c r="B184" i="1"/>
  <c r="C183" i="1"/>
  <c r="D182" i="1"/>
  <c r="D181" i="1"/>
  <c r="E180" i="1"/>
  <c r="A178" i="1"/>
  <c r="B177" i="1"/>
  <c r="B176" i="1"/>
  <c r="C175" i="1"/>
  <c r="D174" i="1"/>
  <c r="D173" i="1"/>
  <c r="E172" i="1"/>
  <c r="A170" i="1"/>
  <c r="B169" i="1"/>
  <c r="B168" i="1"/>
  <c r="C167" i="1"/>
  <c r="D166" i="1"/>
  <c r="D165" i="1"/>
  <c r="E164" i="1"/>
  <c r="A162" i="1"/>
  <c r="B161" i="1"/>
  <c r="B160" i="1"/>
  <c r="C159" i="1"/>
  <c r="D158" i="1"/>
  <c r="D157" i="1"/>
  <c r="E156" i="1"/>
  <c r="A154" i="1"/>
  <c r="B153" i="1"/>
  <c r="B152" i="1"/>
  <c r="C151" i="1"/>
  <c r="D150" i="1"/>
  <c r="D149" i="1"/>
  <c r="E148" i="1"/>
  <c r="A146" i="1"/>
  <c r="B145" i="1"/>
  <c r="B144" i="1"/>
  <c r="C143" i="1"/>
  <c r="D142" i="1"/>
  <c r="D141" i="1"/>
  <c r="E140" i="1"/>
  <c r="A138" i="1"/>
  <c r="B137" i="1"/>
  <c r="D136" i="1"/>
  <c r="B135" i="1"/>
  <c r="D134" i="1"/>
  <c r="B133" i="1"/>
  <c r="D132" i="1"/>
  <c r="B131" i="1"/>
  <c r="D130" i="1"/>
  <c r="B129" i="1"/>
  <c r="D128" i="1"/>
  <c r="B127" i="1"/>
  <c r="D126" i="1"/>
  <c r="B125" i="1"/>
  <c r="D124" i="1"/>
  <c r="B123" i="1"/>
  <c r="D122" i="1"/>
  <c r="B121" i="1"/>
  <c r="D120" i="1"/>
  <c r="B119" i="1"/>
  <c r="D118" i="1"/>
  <c r="B117" i="1"/>
  <c r="D116" i="1"/>
  <c r="B115" i="1"/>
  <c r="D114" i="1"/>
  <c r="B113" i="1"/>
  <c r="D112" i="1"/>
  <c r="B111" i="1"/>
  <c r="D110" i="1"/>
  <c r="B109" i="1"/>
  <c r="D108" i="1"/>
  <c r="B107" i="1"/>
  <c r="D106" i="1"/>
  <c r="B105" i="1"/>
  <c r="D104" i="1"/>
  <c r="B103" i="1"/>
  <c r="D102" i="1"/>
  <c r="B101" i="1"/>
  <c r="D100" i="1"/>
  <c r="B99" i="1"/>
  <c r="D98" i="1"/>
  <c r="B97" i="1"/>
  <c r="D96" i="1"/>
  <c r="B95" i="1"/>
  <c r="D94" i="1"/>
  <c r="B93" i="1"/>
  <c r="D92" i="1"/>
  <c r="B91" i="1"/>
  <c r="D90" i="1"/>
  <c r="B89" i="1"/>
  <c r="D88" i="1"/>
  <c r="B87" i="1"/>
  <c r="D86" i="1"/>
  <c r="B85" i="1"/>
  <c r="D84" i="1"/>
  <c r="B83" i="1"/>
  <c r="D82" i="1"/>
  <c r="B81" i="1"/>
  <c r="D80" i="1"/>
  <c r="B79" i="1"/>
  <c r="D78" i="1"/>
  <c r="B77" i="1"/>
  <c r="D76" i="1"/>
  <c r="B75" i="1"/>
  <c r="D74" i="1"/>
  <c r="B73" i="1"/>
  <c r="D72" i="1"/>
  <c r="B71" i="1"/>
  <c r="D70" i="1"/>
  <c r="B69" i="1"/>
  <c r="D68" i="1"/>
  <c r="B67" i="1"/>
  <c r="D66" i="1"/>
  <c r="B65" i="1"/>
  <c r="D64" i="1"/>
  <c r="B63" i="1"/>
  <c r="D62" i="1"/>
  <c r="B61" i="1"/>
  <c r="D60" i="1"/>
  <c r="B59" i="1"/>
  <c r="D58" i="1"/>
  <c r="B57" i="1"/>
  <c r="D56" i="1"/>
  <c r="B55" i="1"/>
  <c r="D54" i="1"/>
  <c r="B53" i="1"/>
  <c r="D52" i="1"/>
  <c r="B51" i="1"/>
  <c r="D50" i="1"/>
  <c r="B49" i="1"/>
  <c r="D48" i="1"/>
  <c r="B47" i="1"/>
  <c r="D46" i="1"/>
  <c r="B45" i="1"/>
  <c r="D44" i="1"/>
  <c r="B43" i="1"/>
  <c r="D42" i="1"/>
  <c r="B41" i="1"/>
  <c r="D40" i="1"/>
  <c r="B39" i="1"/>
  <c r="D38" i="1"/>
  <c r="B37" i="1"/>
  <c r="D36" i="1"/>
  <c r="B35" i="1"/>
  <c r="D34" i="1"/>
  <c r="B205" i="1"/>
  <c r="B204" i="1"/>
  <c r="C203" i="1"/>
  <c r="D202" i="1"/>
  <c r="D201" i="1"/>
  <c r="E200" i="1"/>
  <c r="A198" i="1"/>
  <c r="B197" i="1"/>
  <c r="B196" i="1"/>
  <c r="C195" i="1"/>
  <c r="D194" i="1"/>
  <c r="D193" i="1"/>
  <c r="E192" i="1"/>
  <c r="A190" i="1"/>
  <c r="B189" i="1"/>
  <c r="B188" i="1"/>
  <c r="C187" i="1"/>
  <c r="D186" i="1"/>
  <c r="D185" i="1"/>
  <c r="E184" i="1"/>
  <c r="A182" i="1"/>
  <c r="B181" i="1"/>
  <c r="B180" i="1"/>
  <c r="C179" i="1"/>
  <c r="D178" i="1"/>
  <c r="D177" i="1"/>
  <c r="E176" i="1"/>
  <c r="A174" i="1"/>
  <c r="B173" i="1"/>
  <c r="B172" i="1"/>
  <c r="C171" i="1"/>
  <c r="D170" i="1"/>
  <c r="D169" i="1"/>
  <c r="E168" i="1"/>
  <c r="A166" i="1"/>
  <c r="B165" i="1"/>
  <c r="B164" i="1"/>
  <c r="C163" i="1"/>
  <c r="D162" i="1"/>
  <c r="D161" i="1"/>
  <c r="E160" i="1"/>
  <c r="A158" i="1"/>
  <c r="B157" i="1"/>
  <c r="B156" i="1"/>
  <c r="C155" i="1"/>
  <c r="D154" i="1"/>
  <c r="D153" i="1"/>
  <c r="E152" i="1"/>
  <c r="A150" i="1"/>
  <c r="B149" i="1"/>
  <c r="B148" i="1"/>
  <c r="C147" i="1"/>
  <c r="D146" i="1"/>
  <c r="D145" i="1"/>
  <c r="E144" i="1"/>
  <c r="A142" i="1"/>
  <c r="B141" i="1"/>
  <c r="B140" i="1"/>
  <c r="C139" i="1"/>
  <c r="D138" i="1"/>
  <c r="D137" i="1"/>
  <c r="B136" i="1"/>
  <c r="D135" i="1"/>
  <c r="B134" i="1"/>
  <c r="D133" i="1"/>
  <c r="B132" i="1"/>
  <c r="D131" i="1"/>
  <c r="B130" i="1"/>
  <c r="D129" i="1"/>
  <c r="B128" i="1"/>
  <c r="D127" i="1"/>
  <c r="B126" i="1"/>
  <c r="D125" i="1"/>
  <c r="B124" i="1"/>
  <c r="D123" i="1"/>
  <c r="B122" i="1"/>
  <c r="D121" i="1"/>
  <c r="B309" i="1"/>
  <c r="A308" i="1"/>
  <c r="A307" i="1"/>
  <c r="A306" i="1"/>
  <c r="E304" i="1"/>
  <c r="E303" i="1"/>
  <c r="E302" i="1"/>
  <c r="D301" i="1"/>
  <c r="D300" i="1"/>
  <c r="D299" i="1"/>
  <c r="C298" i="1"/>
  <c r="C297" i="1"/>
  <c r="C296" i="1"/>
  <c r="B295" i="1"/>
  <c r="B294" i="1"/>
  <c r="B293" i="1"/>
  <c r="A292" i="1"/>
  <c r="A291" i="1"/>
  <c r="A290" i="1"/>
  <c r="E288" i="1"/>
  <c r="E287" i="1"/>
  <c r="E286" i="1"/>
  <c r="D285" i="1"/>
  <c r="D284" i="1"/>
  <c r="D283" i="1"/>
  <c r="C282" i="1"/>
  <c r="C281" i="1"/>
  <c r="C280" i="1"/>
  <c r="B279" i="1"/>
  <c r="B278" i="1"/>
  <c r="B277" i="1"/>
  <c r="A276" i="1"/>
  <c r="A275" i="1"/>
  <c r="A274" i="1"/>
  <c r="E272" i="1"/>
  <c r="E271" i="1"/>
  <c r="E270" i="1"/>
  <c r="D269" i="1"/>
  <c r="D268" i="1"/>
  <c r="D267" i="1"/>
  <c r="C266" i="1"/>
  <c r="C265" i="1"/>
  <c r="C264" i="1"/>
  <c r="B263" i="1"/>
  <c r="B262" i="1"/>
  <c r="B261" i="1"/>
  <c r="A260" i="1"/>
  <c r="A259" i="1"/>
  <c r="A258" i="1"/>
  <c r="E256" i="1"/>
  <c r="E255" i="1"/>
  <c r="E254" i="1"/>
  <c r="D253" i="1"/>
  <c r="D252" i="1"/>
  <c r="D251" i="1"/>
  <c r="C250" i="1"/>
  <c r="C249" i="1"/>
  <c r="C248" i="1"/>
  <c r="B247" i="1"/>
  <c r="B246" i="1"/>
  <c r="B245" i="1"/>
  <c r="A244" i="1"/>
  <c r="A243" i="1"/>
  <c r="A242" i="1"/>
  <c r="E240" i="1"/>
  <c r="E239" i="1"/>
  <c r="E238" i="1"/>
  <c r="D237" i="1"/>
  <c r="D236" i="1"/>
  <c r="D235" i="1"/>
  <c r="C234" i="1"/>
  <c r="C233" i="1"/>
  <c r="C232" i="1"/>
  <c r="B231" i="1"/>
  <c r="B230" i="1"/>
  <c r="B229" i="1"/>
  <c r="A228" i="1"/>
  <c r="A227" i="1"/>
  <c r="A226" i="1"/>
  <c r="E224" i="1"/>
  <c r="E223" i="1"/>
  <c r="E222" i="1"/>
  <c r="D221" i="1"/>
  <c r="D220" i="1"/>
  <c r="D219" i="1"/>
  <c r="C218" i="1"/>
  <c r="C217" i="1"/>
  <c r="C216" i="1"/>
  <c r="B215" i="1"/>
  <c r="B214" i="1"/>
  <c r="B213" i="1"/>
  <c r="A212" i="1"/>
  <c r="A211" i="1"/>
  <c r="A210" i="1"/>
  <c r="D309" i="1"/>
  <c r="D308" i="1"/>
  <c r="D307" i="1"/>
  <c r="C306" i="1"/>
  <c r="C305" i="1"/>
  <c r="C304" i="1"/>
  <c r="B303" i="1"/>
  <c r="B302" i="1"/>
  <c r="B301" i="1"/>
  <c r="A300" i="1"/>
  <c r="A299" i="1"/>
  <c r="A298" i="1"/>
  <c r="E296" i="1"/>
  <c r="E295" i="1"/>
  <c r="E294" i="1"/>
  <c r="D293" i="1"/>
  <c r="D292" i="1"/>
  <c r="D291" i="1"/>
  <c r="C290" i="1"/>
  <c r="C289" i="1"/>
  <c r="C288" i="1"/>
  <c r="B287" i="1"/>
  <c r="B286" i="1"/>
  <c r="B285" i="1"/>
  <c r="A284" i="1"/>
  <c r="A283" i="1"/>
  <c r="A282" i="1"/>
  <c r="E280" i="1"/>
  <c r="E279" i="1"/>
  <c r="E278" i="1"/>
  <c r="D277" i="1"/>
  <c r="D276" i="1"/>
  <c r="D275" i="1"/>
  <c r="C274" i="1"/>
  <c r="C273" i="1"/>
  <c r="C272" i="1"/>
  <c r="B271" i="1"/>
  <c r="B270" i="1"/>
  <c r="B269" i="1"/>
  <c r="A268" i="1"/>
  <c r="A267" i="1"/>
  <c r="A266" i="1"/>
  <c r="E264" i="1"/>
  <c r="E263" i="1"/>
  <c r="E262" i="1"/>
  <c r="D261" i="1"/>
  <c r="D260" i="1"/>
  <c r="D259" i="1"/>
  <c r="C258" i="1"/>
  <c r="C257" i="1"/>
  <c r="C256" i="1"/>
  <c r="B255" i="1"/>
  <c r="B254" i="1"/>
  <c r="B253" i="1"/>
  <c r="A252" i="1"/>
  <c r="A251" i="1"/>
  <c r="A250" i="1"/>
  <c r="E248" i="1"/>
  <c r="E247" i="1"/>
  <c r="E246" i="1"/>
  <c r="D245" i="1"/>
  <c r="D244" i="1"/>
  <c r="D243" i="1"/>
  <c r="C242" i="1"/>
  <c r="C241" i="1"/>
  <c r="C240" i="1"/>
  <c r="B239" i="1"/>
  <c r="B238" i="1"/>
  <c r="B237" i="1"/>
  <c r="A236" i="1"/>
  <c r="A235" i="1"/>
  <c r="A234" i="1"/>
  <c r="E232" i="1"/>
  <c r="E231" i="1"/>
  <c r="E230" i="1"/>
  <c r="D229" i="1"/>
  <c r="D228" i="1"/>
  <c r="D227" i="1"/>
  <c r="C226" i="1"/>
  <c r="C225" i="1"/>
  <c r="C224" i="1"/>
  <c r="B223" i="1"/>
  <c r="B222" i="1"/>
  <c r="B221" i="1"/>
  <c r="A220" i="1"/>
  <c r="A219" i="1"/>
  <c r="A218" i="1"/>
  <c r="E216" i="1"/>
  <c r="E215" i="1"/>
  <c r="E214" i="1"/>
  <c r="D213" i="1"/>
  <c r="D212" i="1"/>
  <c r="D211" i="1"/>
  <c r="C210" i="1"/>
  <c r="A278" i="1"/>
  <c r="A280" i="1"/>
  <c r="B282" i="1"/>
  <c r="C284" i="1"/>
  <c r="C286" i="1"/>
  <c r="D288" i="1"/>
  <c r="E290" i="1"/>
  <c r="E292" i="1"/>
  <c r="A295" i="1"/>
  <c r="B297" i="1"/>
  <c r="B299" i="1"/>
  <c r="C301" i="1"/>
  <c r="D303" i="1"/>
  <c r="D305" i="1"/>
  <c r="N134" i="2"/>
  <c r="D5" i="5" s="1"/>
  <c r="N135" i="2"/>
  <c r="E309" i="1"/>
  <c r="A309" i="1"/>
  <c r="B308" i="1"/>
  <c r="C307" i="1"/>
  <c r="D306" i="1"/>
  <c r="E305" i="1"/>
  <c r="A305" i="1"/>
  <c r="B304" i="1"/>
  <c r="C303" i="1"/>
  <c r="D302" i="1"/>
  <c r="E301" i="1"/>
  <c r="A301" i="1"/>
  <c r="B300" i="1"/>
  <c r="C299" i="1"/>
  <c r="D298" i="1"/>
  <c r="E297" i="1"/>
  <c r="A297" i="1"/>
  <c r="B296" i="1"/>
  <c r="C295" i="1"/>
  <c r="D294" i="1"/>
  <c r="E293" i="1"/>
  <c r="A293" i="1"/>
  <c r="B292" i="1"/>
  <c r="C291" i="1"/>
  <c r="D290" i="1"/>
  <c r="E289" i="1"/>
  <c r="A289" i="1"/>
  <c r="B288" i="1"/>
  <c r="C287" i="1"/>
  <c r="D286" i="1"/>
  <c r="E285" i="1"/>
  <c r="A285" i="1"/>
  <c r="B284" i="1"/>
  <c r="C283" i="1"/>
  <c r="D282" i="1"/>
  <c r="E281" i="1"/>
  <c r="A281" i="1"/>
  <c r="B280" i="1"/>
  <c r="C279" i="1"/>
  <c r="D278" i="1"/>
  <c r="E277" i="1"/>
  <c r="A277" i="1"/>
  <c r="B276" i="1"/>
  <c r="C275" i="1"/>
  <c r="D274" i="1"/>
  <c r="E273" i="1"/>
  <c r="A273" i="1"/>
  <c r="B272" i="1"/>
  <c r="C271" i="1"/>
  <c r="D270" i="1"/>
  <c r="E269" i="1"/>
  <c r="A269" i="1"/>
  <c r="B268" i="1"/>
  <c r="C267" i="1"/>
  <c r="D266" i="1"/>
  <c r="E265" i="1"/>
  <c r="A265" i="1"/>
  <c r="B264" i="1"/>
  <c r="C263" i="1"/>
  <c r="D262" i="1"/>
  <c r="E261" i="1"/>
  <c r="A261" i="1"/>
  <c r="B260" i="1"/>
  <c r="C259" i="1"/>
  <c r="D258" i="1"/>
  <c r="E257" i="1"/>
  <c r="A257" i="1"/>
  <c r="B256" i="1"/>
  <c r="C255" i="1"/>
  <c r="D254" i="1"/>
  <c r="E253" i="1"/>
  <c r="A253" i="1"/>
  <c r="B252" i="1"/>
  <c r="C251" i="1"/>
  <c r="D250" i="1"/>
  <c r="E249" i="1"/>
  <c r="A249" i="1"/>
  <c r="B248" i="1"/>
  <c r="C247" i="1"/>
  <c r="D246" i="1"/>
  <c r="E245" i="1"/>
  <c r="A245" i="1"/>
  <c r="B244" i="1"/>
  <c r="C243" i="1"/>
  <c r="D242" i="1"/>
  <c r="E241" i="1"/>
  <c r="A241" i="1"/>
  <c r="B240" i="1"/>
  <c r="C239" i="1"/>
  <c r="D238" i="1"/>
  <c r="E237" i="1"/>
  <c r="A237" i="1"/>
  <c r="B236" i="1"/>
  <c r="C235" i="1"/>
  <c r="D234" i="1"/>
  <c r="E233" i="1"/>
  <c r="A233" i="1"/>
  <c r="B232" i="1"/>
  <c r="C231" i="1"/>
  <c r="D230" i="1"/>
  <c r="E229" i="1"/>
  <c r="A229" i="1"/>
  <c r="B228" i="1"/>
  <c r="C227" i="1"/>
  <c r="D226" i="1"/>
  <c r="E225" i="1"/>
  <c r="A225" i="1"/>
  <c r="B224" i="1"/>
  <c r="C223" i="1"/>
  <c r="D222" i="1"/>
  <c r="E221" i="1"/>
  <c r="A221" i="1"/>
  <c r="B220" i="1"/>
  <c r="C219" i="1"/>
  <c r="D218" i="1"/>
  <c r="E217" i="1"/>
  <c r="A217" i="1"/>
  <c r="B216" i="1"/>
  <c r="C215" i="1"/>
  <c r="D214" i="1"/>
  <c r="E213" i="1"/>
  <c r="A213" i="1"/>
  <c r="B212" i="1"/>
  <c r="C211" i="1"/>
  <c r="D210" i="1"/>
  <c r="F7" i="1" l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D206" i="1"/>
  <c r="H5" i="5"/>
  <c r="E206" i="1"/>
  <c r="D310" i="1"/>
  <c r="D311" i="1"/>
  <c r="D312" i="1"/>
  <c r="E6" i="5"/>
  <c r="B6" i="5"/>
  <c r="C6" i="5"/>
  <c r="K5" i="5"/>
  <c r="I6" i="5"/>
  <c r="A5" i="5"/>
  <c r="F6" i="5"/>
  <c r="B5" i="5"/>
  <c r="G6" i="5"/>
  <c r="D6" i="5"/>
  <c r="E5" i="5"/>
  <c r="J6" i="5"/>
  <c r="F5" i="5"/>
  <c r="K6" i="5"/>
  <c r="C5" i="5"/>
  <c r="H6" i="5"/>
  <c r="A6" i="5"/>
  <c r="I5" i="5"/>
  <c r="J5" i="5"/>
  <c r="N136" i="2"/>
  <c r="A7" i="5" s="1"/>
  <c r="G5" i="5"/>
  <c r="J355" i="2" a="1"/>
  <c r="J355" i="2" s="1"/>
  <c r="J354" i="2" a="1"/>
  <c r="J354" i="2" s="1"/>
  <c r="F156" i="1" l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K7" i="5"/>
  <c r="C7" i="5"/>
  <c r="G7" i="5"/>
  <c r="G8" i="5"/>
  <c r="I7" i="5"/>
  <c r="D7" i="5"/>
  <c r="H7" i="5"/>
  <c r="B7" i="5"/>
  <c r="F7" i="5"/>
  <c r="N137" i="2"/>
  <c r="C9" i="5" s="1"/>
  <c r="E7" i="5"/>
  <c r="N138" i="2"/>
  <c r="E9" i="5" s="1"/>
  <c r="J7" i="5"/>
  <c r="A8" i="5"/>
  <c r="G9" i="5" l="1"/>
  <c r="H9" i="5"/>
  <c r="F9" i="5"/>
  <c r="F206" i="1"/>
  <c r="F2" i="1" s="1"/>
  <c r="J9" i="5"/>
  <c r="D8" i="5"/>
  <c r="K9" i="5"/>
  <c r="E8" i="5"/>
  <c r="I9" i="5"/>
  <c r="C8" i="5"/>
  <c r="J8" i="5"/>
  <c r="A9" i="5"/>
  <c r="N139" i="2"/>
  <c r="F10" i="5" s="1"/>
  <c r="B8" i="5"/>
  <c r="H8" i="5"/>
  <c r="D9" i="5"/>
  <c r="B9" i="5"/>
  <c r="K8" i="5"/>
  <c r="C10" i="5"/>
  <c r="I8" i="5"/>
  <c r="F8" i="5"/>
  <c r="N140" i="2"/>
  <c r="B10" i="5" l="1"/>
  <c r="D10" i="5"/>
  <c r="G10" i="5"/>
  <c r="G11" i="5"/>
  <c r="E11" i="5"/>
  <c r="F11" i="5"/>
  <c r="H11" i="5"/>
  <c r="I11" i="5"/>
  <c r="K10" i="5"/>
  <c r="J10" i="5"/>
  <c r="I10" i="5"/>
  <c r="A11" i="5"/>
  <c r="B11" i="5"/>
  <c r="J11" i="5"/>
  <c r="D11" i="5"/>
  <c r="N141" i="2"/>
  <c r="D13" i="5" s="1"/>
  <c r="H10" i="5"/>
  <c r="C11" i="5"/>
  <c r="K11" i="5"/>
  <c r="A10" i="5"/>
  <c r="N142" i="2"/>
  <c r="E10" i="5"/>
  <c r="N143" i="2" l="1"/>
  <c r="C14" i="5" s="1"/>
  <c r="C12" i="5"/>
  <c r="B13" i="5"/>
  <c r="E13" i="5"/>
  <c r="H12" i="5"/>
  <c r="I12" i="5"/>
  <c r="C13" i="5"/>
  <c r="G12" i="5"/>
  <c r="J12" i="5"/>
  <c r="B14" i="5"/>
  <c r="H13" i="5"/>
  <c r="F12" i="5"/>
  <c r="D12" i="5"/>
  <c r="J13" i="5"/>
  <c r="K14" i="5"/>
  <c r="B12" i="5"/>
  <c r="F14" i="5" l="1"/>
  <c r="A14" i="5"/>
  <c r="N144" i="2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H63" i="5" s="1"/>
  <c r="K22" i="5" l="1"/>
  <c r="F102" i="5"/>
  <c r="F78" i="5"/>
  <c r="F24" i="5"/>
  <c r="G158" i="5"/>
  <c r="G83" i="5"/>
  <c r="K19" i="5"/>
  <c r="E92" i="5"/>
  <c r="D27" i="5"/>
  <c r="J106" i="5"/>
  <c r="A169" i="5"/>
  <c r="D167" i="5"/>
  <c r="K87" i="5"/>
  <c r="B35" i="5"/>
  <c r="C111" i="5"/>
  <c r="J47" i="5"/>
  <c r="H58" i="5"/>
  <c r="I71" i="5"/>
  <c r="F134" i="5"/>
  <c r="B71" i="5"/>
  <c r="D82" i="5"/>
  <c r="A31" i="5"/>
  <c r="H167" i="5"/>
  <c r="D216" i="5"/>
  <c r="E206" i="5"/>
  <c r="I272" i="5"/>
  <c r="A331" i="5"/>
  <c r="I61" i="5"/>
  <c r="E349" i="5"/>
  <c r="G112" i="5"/>
  <c r="C237" i="5"/>
  <c r="B348" i="5"/>
  <c r="E168" i="5"/>
  <c r="B167" i="5"/>
  <c r="H163" i="5"/>
  <c r="I89" i="5"/>
  <c r="A302" i="5"/>
  <c r="D218" i="5"/>
  <c r="F67" i="5"/>
  <c r="D279" i="5"/>
  <c r="A64" i="5"/>
  <c r="I312" i="5"/>
  <c r="I86" i="5"/>
  <c r="C76" i="5"/>
  <c r="B297" i="5"/>
  <c r="C211" i="5"/>
  <c r="E208" i="5"/>
  <c r="C228" i="5"/>
  <c r="K269" i="5"/>
  <c r="G289" i="5"/>
  <c r="J321" i="5"/>
  <c r="K73" i="5"/>
  <c r="K271" i="5"/>
  <c r="F200" i="5"/>
  <c r="G213" i="5"/>
  <c r="J317" i="5"/>
  <c r="G298" i="5"/>
  <c r="C277" i="5"/>
  <c r="B218" i="5"/>
  <c r="H330" i="5"/>
  <c r="J60" i="5"/>
  <c r="F98" i="5"/>
  <c r="B249" i="5"/>
  <c r="E199" i="5"/>
  <c r="D343" i="5"/>
  <c r="C332" i="5"/>
  <c r="G311" i="5"/>
  <c r="K264" i="5"/>
  <c r="G354" i="5"/>
  <c r="G33" i="5"/>
  <c r="D20" i="5"/>
  <c r="I223" i="5"/>
  <c r="D177" i="5"/>
  <c r="H89" i="5"/>
  <c r="F271" i="5"/>
  <c r="K253" i="5"/>
  <c r="C268" i="5"/>
  <c r="H315" i="5"/>
  <c r="B282" i="5"/>
  <c r="D148" i="5"/>
  <c r="D29" i="5"/>
  <c r="H43" i="5"/>
  <c r="K120" i="5"/>
  <c r="G208" i="5"/>
  <c r="A56" i="5"/>
  <c r="A22" i="5"/>
  <c r="H286" i="5"/>
  <c r="C292" i="5"/>
  <c r="G223" i="5"/>
  <c r="G341" i="5"/>
  <c r="J269" i="5"/>
  <c r="E129" i="5"/>
  <c r="D26" i="5"/>
  <c r="D102" i="5"/>
  <c r="E118" i="5"/>
  <c r="K105" i="5"/>
  <c r="B227" i="5"/>
  <c r="K234" i="5"/>
  <c r="I324" i="5"/>
  <c r="A318" i="5"/>
  <c r="D250" i="5"/>
  <c r="G150" i="5"/>
  <c r="K55" i="5"/>
  <c r="D66" i="5"/>
  <c r="K204" i="5"/>
  <c r="D117" i="5"/>
  <c r="H345" i="5"/>
  <c r="F272" i="5"/>
  <c r="D232" i="5"/>
  <c r="J312" i="5"/>
  <c r="G278" i="5"/>
  <c r="H120" i="5"/>
  <c r="F20" i="5"/>
  <c r="D39" i="5"/>
  <c r="A234" i="5"/>
  <c r="J213" i="5"/>
  <c r="H209" i="5"/>
  <c r="B301" i="5"/>
  <c r="I313" i="5"/>
  <c r="J236" i="5"/>
  <c r="E230" i="5"/>
  <c r="K316" i="5"/>
  <c r="J30" i="5"/>
  <c r="C107" i="5"/>
  <c r="B173" i="5"/>
  <c r="D182" i="5"/>
  <c r="A30" i="5"/>
  <c r="J142" i="5"/>
  <c r="E249" i="5"/>
  <c r="B232" i="5"/>
  <c r="G244" i="5"/>
  <c r="H324" i="5"/>
  <c r="D286" i="5"/>
  <c r="E108" i="5"/>
  <c r="E16" i="5"/>
  <c r="D71" i="5"/>
  <c r="I164" i="5"/>
  <c r="F275" i="5"/>
  <c r="B192" i="5"/>
  <c r="A336" i="5"/>
  <c r="H322" i="5"/>
  <c r="H302" i="5"/>
  <c r="F257" i="5"/>
  <c r="D347" i="5"/>
  <c r="A35" i="5"/>
  <c r="I21" i="5"/>
  <c r="C164" i="5"/>
  <c r="G162" i="5"/>
  <c r="A269" i="5"/>
  <c r="J240" i="5"/>
  <c r="D253" i="5"/>
  <c r="B339" i="5"/>
  <c r="K328" i="5"/>
  <c r="J165" i="5"/>
  <c r="G20" i="5"/>
  <c r="I56" i="5"/>
  <c r="C230" i="5"/>
  <c r="E203" i="5"/>
  <c r="E219" i="5"/>
  <c r="I320" i="5"/>
  <c r="F301" i="5"/>
  <c r="B280" i="5"/>
  <c r="A221" i="5"/>
  <c r="F336" i="5"/>
  <c r="I63" i="5"/>
  <c r="E96" i="5"/>
  <c r="A213" i="5"/>
  <c r="C248" i="5"/>
  <c r="E119" i="5"/>
  <c r="B102" i="5"/>
  <c r="K277" i="5"/>
  <c r="K239" i="5"/>
  <c r="I341" i="5"/>
  <c r="E139" i="5"/>
  <c r="J151" i="5"/>
  <c r="A78" i="5"/>
  <c r="B121" i="5"/>
  <c r="H255" i="5"/>
  <c r="H183" i="5"/>
  <c r="H280" i="5"/>
  <c r="C262" i="5"/>
  <c r="C349" i="5"/>
  <c r="H347" i="5"/>
  <c r="H59" i="5"/>
  <c r="K344" i="5"/>
  <c r="G302" i="5"/>
  <c r="E259" i="5"/>
  <c r="F99" i="5"/>
  <c r="K211" i="5"/>
  <c r="K322" i="5"/>
  <c r="G292" i="5"/>
  <c r="A141" i="5"/>
  <c r="E26" i="5"/>
  <c r="C42" i="5"/>
  <c r="J191" i="5"/>
  <c r="C104" i="5"/>
  <c r="C269" i="5"/>
  <c r="D272" i="5"/>
  <c r="C219" i="5"/>
  <c r="J332" i="5"/>
  <c r="F265" i="5"/>
  <c r="K127" i="5"/>
  <c r="G46" i="5"/>
  <c r="J193" i="5"/>
  <c r="I190" i="5"/>
  <c r="K320" i="5"/>
  <c r="B292" i="5"/>
  <c r="B267" i="5"/>
  <c r="K345" i="5"/>
  <c r="F293" i="5"/>
  <c r="A50" i="5"/>
  <c r="D99" i="5"/>
  <c r="E194" i="5"/>
  <c r="F115" i="5"/>
  <c r="H289" i="5"/>
  <c r="F223" i="5"/>
  <c r="A232" i="5"/>
  <c r="D352" i="5"/>
  <c r="C311" i="5"/>
  <c r="E247" i="5"/>
  <c r="G167" i="5"/>
  <c r="H64" i="5"/>
  <c r="I51" i="5"/>
  <c r="B187" i="5"/>
  <c r="J185" i="5"/>
  <c r="G47" i="5"/>
  <c r="D139" i="5"/>
  <c r="K252" i="5"/>
  <c r="K250" i="5"/>
  <c r="I340" i="5"/>
  <c r="F297" i="5"/>
  <c r="K267" i="5"/>
  <c r="F137" i="5"/>
  <c r="I45" i="5"/>
  <c r="H38" i="5"/>
  <c r="I131" i="5"/>
  <c r="H293" i="5"/>
  <c r="A163" i="5"/>
  <c r="E337" i="5"/>
  <c r="A324" i="5"/>
  <c r="C278" i="5"/>
  <c r="E228" i="5"/>
  <c r="H348" i="5"/>
  <c r="E32" i="5"/>
  <c r="A43" i="5"/>
  <c r="I181" i="5"/>
  <c r="G140" i="5"/>
  <c r="D297" i="5"/>
  <c r="D305" i="5"/>
  <c r="G255" i="5"/>
  <c r="G344" i="5"/>
  <c r="C297" i="5"/>
  <c r="E97" i="5"/>
  <c r="I137" i="5"/>
  <c r="J182" i="5"/>
  <c r="E150" i="5"/>
  <c r="K137" i="5"/>
  <c r="C223" i="5"/>
  <c r="D269" i="5"/>
  <c r="A347" i="5"/>
  <c r="D321" i="5"/>
  <c r="C273" i="5"/>
  <c r="F121" i="5"/>
  <c r="J28" i="5"/>
  <c r="D55" i="5"/>
  <c r="G132" i="5"/>
  <c r="I173" i="5"/>
  <c r="E44" i="5"/>
  <c r="J298" i="5"/>
  <c r="C282" i="5"/>
  <c r="D251" i="5"/>
  <c r="B341" i="5"/>
  <c r="K311" i="5"/>
  <c r="G64" i="5"/>
  <c r="A108" i="5"/>
  <c r="A16" i="5"/>
  <c r="A186" i="5"/>
  <c r="E98" i="5"/>
  <c r="A255" i="5"/>
  <c r="H262" i="5"/>
  <c r="E213" i="5"/>
  <c r="E324" i="5"/>
  <c r="E298" i="5"/>
  <c r="I133" i="5"/>
  <c r="E52" i="5"/>
  <c r="A188" i="5"/>
  <c r="K184" i="5"/>
  <c r="G307" i="5"/>
  <c r="I298" i="5"/>
  <c r="A260" i="5"/>
  <c r="J349" i="5"/>
  <c r="H287" i="5"/>
  <c r="J55" i="5"/>
  <c r="K72" i="5"/>
  <c r="G188" i="5"/>
  <c r="H109" i="5"/>
  <c r="B299" i="5"/>
  <c r="K216" i="5"/>
  <c r="C226" i="5"/>
  <c r="F346" i="5"/>
  <c r="K303" i="5"/>
  <c r="G241" i="5"/>
  <c r="F70" i="5"/>
  <c r="G57" i="5"/>
  <c r="J195" i="5"/>
  <c r="H191" i="5"/>
  <c r="A65" i="5"/>
  <c r="D168" i="5"/>
  <c r="I330" i="5"/>
  <c r="K317" i="5"/>
  <c r="J39" i="5"/>
  <c r="F296" i="5"/>
  <c r="C216" i="5"/>
  <c r="I352" i="5"/>
  <c r="B340" i="5"/>
  <c r="B116" i="5"/>
  <c r="G128" i="5"/>
  <c r="K69" i="5"/>
  <c r="A12" i="5"/>
  <c r="I286" i="5"/>
  <c r="B183" i="5"/>
  <c r="H350" i="5"/>
  <c r="B349" i="5"/>
  <c r="H92" i="5"/>
  <c r="A283" i="5"/>
  <c r="D206" i="5"/>
  <c r="H351" i="5"/>
  <c r="G270" i="5"/>
  <c r="C176" i="5"/>
  <c r="K207" i="5"/>
  <c r="A187" i="5"/>
  <c r="K296" i="5"/>
  <c r="E257" i="5"/>
  <c r="B351" i="5"/>
  <c r="I96" i="5"/>
  <c r="E58" i="5"/>
  <c r="A238" i="5"/>
  <c r="H219" i="5"/>
  <c r="F213" i="5"/>
  <c r="A304" i="5"/>
  <c r="B323" i="5"/>
  <c r="I239" i="5"/>
  <c r="D233" i="5"/>
  <c r="K329" i="5"/>
  <c r="B22" i="5"/>
  <c r="A145" i="5"/>
  <c r="G252" i="5"/>
  <c r="F217" i="5"/>
  <c r="B343" i="5"/>
  <c r="J313" i="5"/>
  <c r="A268" i="5"/>
  <c r="G267" i="5"/>
  <c r="F338" i="5"/>
  <c r="E80" i="5"/>
  <c r="B67" i="5"/>
  <c r="H223" i="5"/>
  <c r="I138" i="5"/>
  <c r="D126" i="5"/>
  <c r="H261" i="5"/>
  <c r="D255" i="5"/>
  <c r="B345" i="5"/>
  <c r="J301" i="5"/>
  <c r="G280" i="5"/>
  <c r="B133" i="5"/>
  <c r="E41" i="5"/>
  <c r="K98" i="5"/>
  <c r="F159" i="5"/>
  <c r="H208" i="5"/>
  <c r="J70" i="5"/>
  <c r="I237" i="5"/>
  <c r="D226" i="5"/>
  <c r="D354" i="5"/>
  <c r="J318" i="5"/>
  <c r="F280" i="5"/>
  <c r="C114" i="5"/>
  <c r="C22" i="5"/>
  <c r="B77" i="5"/>
  <c r="A155" i="5"/>
  <c r="I257" i="5"/>
  <c r="D186" i="5"/>
  <c r="C330" i="5"/>
  <c r="J316" i="5"/>
  <c r="J296" i="5"/>
  <c r="H251" i="5"/>
  <c r="F341" i="5"/>
  <c r="B41" i="5"/>
  <c r="F81" i="5"/>
  <c r="A205" i="5"/>
  <c r="J170" i="5"/>
  <c r="B310" i="5"/>
  <c r="B307" i="5"/>
  <c r="K230" i="5"/>
  <c r="C351" i="5"/>
  <c r="I289" i="5"/>
  <c r="E88" i="5"/>
  <c r="A148" i="5"/>
  <c r="B54" i="5"/>
  <c r="F262" i="5"/>
  <c r="G197" i="5"/>
  <c r="I209" i="5"/>
  <c r="K314" i="5"/>
  <c r="H295" i="5"/>
  <c r="D274" i="5"/>
  <c r="C215" i="5"/>
  <c r="I326" i="5"/>
  <c r="D46" i="5"/>
  <c r="F71" i="5"/>
  <c r="D194" i="5"/>
  <c r="A222" i="5"/>
  <c r="I169" i="5"/>
  <c r="D96" i="5"/>
  <c r="D225" i="5"/>
  <c r="F233" i="5"/>
  <c r="I353" i="5"/>
  <c r="B314" i="5"/>
  <c r="J248" i="5"/>
  <c r="C163" i="5"/>
  <c r="C63" i="5"/>
  <c r="B56" i="5"/>
  <c r="D267" i="5"/>
  <c r="E238" i="5"/>
  <c r="D207" i="5"/>
  <c r="D329" i="5"/>
  <c r="K348" i="5"/>
  <c r="I302" i="5"/>
  <c r="J258" i="5"/>
  <c r="C331" i="5"/>
  <c r="C82" i="5"/>
  <c r="G68" i="5"/>
  <c r="H125" i="5"/>
  <c r="C113" i="5"/>
  <c r="K236" i="5"/>
  <c r="C242" i="5"/>
  <c r="A332" i="5"/>
  <c r="I288" i="5"/>
  <c r="G257" i="5"/>
  <c r="E148" i="5"/>
  <c r="F54" i="5"/>
  <c r="G41" i="5"/>
  <c r="I242" i="5"/>
  <c r="F225" i="5"/>
  <c r="D219" i="5"/>
  <c r="K306" i="5"/>
  <c r="K341" i="5"/>
  <c r="H242" i="5"/>
  <c r="C236" i="5"/>
  <c r="D316" i="5"/>
  <c r="A25" i="5"/>
  <c r="H124" i="5"/>
  <c r="K28" i="5"/>
  <c r="E240" i="5"/>
  <c r="I82" i="5"/>
  <c r="E66" i="5"/>
  <c r="K273" i="5"/>
  <c r="I200" i="5"/>
  <c r="D349" i="5"/>
  <c r="F111" i="5"/>
  <c r="G159" i="5"/>
  <c r="B229" i="5"/>
  <c r="B36" i="5"/>
  <c r="G299" i="5"/>
  <c r="H304" i="5"/>
  <c r="F237" i="5"/>
  <c r="A82" i="5"/>
  <c r="G29" i="5"/>
  <c r="E75" i="5"/>
  <c r="J319" i="5"/>
  <c r="J228" i="5"/>
  <c r="C307" i="5"/>
  <c r="K295" i="5"/>
  <c r="F263" i="5"/>
  <c r="E174" i="5"/>
  <c r="F298" i="5"/>
  <c r="I243" i="5"/>
  <c r="C120" i="5"/>
  <c r="J207" i="5"/>
  <c r="C202" i="5"/>
  <c r="C301" i="5"/>
  <c r="A256" i="5"/>
  <c r="J345" i="5"/>
  <c r="G42" i="5"/>
  <c r="F65" i="5"/>
  <c r="F83" i="5"/>
  <c r="D243" i="5"/>
  <c r="K197" i="5"/>
  <c r="J341" i="5"/>
  <c r="I329" i="5"/>
  <c r="H308" i="5"/>
  <c r="D263" i="5"/>
  <c r="B353" i="5"/>
  <c r="B100" i="5"/>
  <c r="K15" i="5"/>
  <c r="A170" i="5"/>
  <c r="E82" i="5"/>
  <c r="K238" i="5"/>
  <c r="H246" i="5"/>
  <c r="B259" i="5"/>
  <c r="E308" i="5"/>
  <c r="J274" i="5"/>
  <c r="G155" i="5"/>
  <c r="B20" i="5"/>
  <c r="C74" i="5"/>
  <c r="A203" i="5"/>
  <c r="J177" i="5"/>
  <c r="I174" i="5"/>
  <c r="E297" i="5"/>
  <c r="I280" i="5"/>
  <c r="J249" i="5"/>
  <c r="H339" i="5"/>
  <c r="A309" i="5"/>
  <c r="A66" i="5"/>
  <c r="H103" i="5"/>
  <c r="A111" i="5"/>
  <c r="F123" i="5"/>
  <c r="C93" i="5"/>
  <c r="H193" i="5"/>
  <c r="G337" i="5"/>
  <c r="A295" i="5"/>
  <c r="K272" i="5"/>
  <c r="J348" i="5"/>
  <c r="E296" i="5"/>
  <c r="B47" i="5"/>
  <c r="D152" i="5"/>
  <c r="G13" i="5"/>
  <c r="F203" i="5"/>
  <c r="J115" i="5"/>
  <c r="A294" i="5"/>
  <c r="A271" i="5"/>
  <c r="J230" i="5"/>
  <c r="E311" i="5"/>
  <c r="B277" i="5"/>
  <c r="D116" i="5"/>
  <c r="H34" i="5"/>
  <c r="F205" i="5"/>
  <c r="E202" i="5"/>
  <c r="J293" i="5"/>
  <c r="I303" i="5"/>
  <c r="G229" i="5"/>
  <c r="B223" i="5"/>
  <c r="B305" i="5"/>
  <c r="E38" i="5"/>
  <c r="B165" i="5"/>
  <c r="J19" i="5"/>
  <c r="C117" i="5"/>
  <c r="J243" i="5"/>
  <c r="C210" i="5"/>
  <c r="E334" i="5"/>
  <c r="F309" i="5"/>
  <c r="A325" i="5"/>
  <c r="I261" i="5"/>
  <c r="B334" i="5"/>
  <c r="F61" i="5"/>
  <c r="H24" i="5"/>
  <c r="J155" i="5"/>
  <c r="A197" i="5"/>
  <c r="E83" i="5"/>
  <c r="E22" i="5"/>
  <c r="D306" i="5"/>
  <c r="F295" i="5"/>
  <c r="A228" i="5"/>
  <c r="D348" i="5"/>
  <c r="A350" i="5"/>
  <c r="C94" i="5"/>
  <c r="D131" i="5"/>
  <c r="G39" i="5"/>
  <c r="I162" i="5"/>
  <c r="H159" i="5"/>
  <c r="K263" i="5"/>
  <c r="E239" i="5"/>
  <c r="J251" i="5"/>
  <c r="C336" i="5"/>
  <c r="E310" i="5"/>
  <c r="B157" i="5"/>
  <c r="A23" i="5"/>
  <c r="H75" i="5"/>
  <c r="J210" i="5"/>
  <c r="H161" i="5"/>
  <c r="F328" i="5"/>
  <c r="H267" i="5"/>
  <c r="I236" i="5"/>
  <c r="G326" i="5"/>
  <c r="G295" i="5"/>
  <c r="B79" i="5"/>
  <c r="I116" i="5"/>
  <c r="I24" i="5"/>
  <c r="E86" i="5"/>
  <c r="K254" i="5"/>
  <c r="J200" i="5"/>
  <c r="I344" i="5"/>
  <c r="B335" i="5"/>
  <c r="F314" i="5"/>
  <c r="J267" i="5"/>
  <c r="D346" i="5"/>
  <c r="B32" i="5"/>
  <c r="J80" i="5"/>
  <c r="K179" i="5"/>
  <c r="C218" i="5"/>
  <c r="I41" i="5"/>
  <c r="F133" i="5"/>
  <c r="I67" i="5"/>
  <c r="A273" i="5"/>
  <c r="H309" i="5"/>
  <c r="G231" i="5"/>
  <c r="K141" i="5"/>
  <c r="A131" i="5"/>
  <c r="C60" i="5"/>
  <c r="G286" i="5"/>
  <c r="J208" i="5"/>
  <c r="C314" i="5"/>
  <c r="C88" i="5"/>
  <c r="E274" i="5"/>
  <c r="I203" i="5"/>
  <c r="K25" i="5"/>
  <c r="C256" i="5"/>
  <c r="D241" i="5"/>
  <c r="C221" i="5"/>
  <c r="H234" i="5"/>
  <c r="B257" i="5"/>
  <c r="K346" i="5"/>
  <c r="H334" i="5"/>
  <c r="I58" i="5"/>
  <c r="K170" i="5"/>
  <c r="E223" i="5"/>
  <c r="E192" i="5"/>
  <c r="D189" i="5"/>
  <c r="G315" i="5"/>
  <c r="J336" i="5"/>
  <c r="E264" i="5"/>
  <c r="C354" i="5"/>
  <c r="A292" i="5"/>
  <c r="H45" i="5"/>
  <c r="G106" i="5"/>
  <c r="G14" i="5"/>
  <c r="A218" i="5"/>
  <c r="D191" i="5"/>
  <c r="B312" i="5"/>
  <c r="E321" i="5"/>
  <c r="K275" i="5"/>
  <c r="J242" i="5"/>
  <c r="E323" i="5"/>
  <c r="K41" i="5"/>
  <c r="A83" i="5"/>
  <c r="K194" i="5"/>
  <c r="G200" i="5"/>
  <c r="K112" i="5"/>
  <c r="B278" i="5"/>
  <c r="B268" i="5"/>
  <c r="K227" i="5"/>
  <c r="F308" i="5"/>
  <c r="C274" i="5"/>
  <c r="A125" i="5"/>
  <c r="H29" i="5"/>
  <c r="K81" i="5"/>
  <c r="H97" i="5"/>
  <c r="D185" i="5"/>
  <c r="D79" i="5"/>
  <c r="J131" i="5"/>
  <c r="J281" i="5"/>
  <c r="B287" i="5"/>
  <c r="J246" i="5"/>
  <c r="D328" i="5"/>
  <c r="F307" i="5"/>
  <c r="B106" i="5"/>
  <c r="A107" i="5"/>
  <c r="H68" i="5"/>
  <c r="H141" i="5"/>
  <c r="C129" i="5"/>
  <c r="E270" i="5"/>
  <c r="C258" i="5"/>
  <c r="A348" i="5"/>
  <c r="I304" i="5"/>
  <c r="J303" i="5"/>
  <c r="E124" i="5"/>
  <c r="A73" i="5"/>
  <c r="A167" i="5"/>
  <c r="C179" i="5"/>
  <c r="B344" i="5"/>
  <c r="D296" i="5"/>
  <c r="J252" i="5"/>
  <c r="E246" i="5"/>
  <c r="B327" i="5"/>
  <c r="J14" i="5"/>
  <c r="F55" i="5"/>
  <c r="B168" i="5"/>
  <c r="A189" i="5"/>
  <c r="J147" i="5"/>
  <c r="C293" i="5"/>
  <c r="A277" i="5"/>
  <c r="J262" i="5"/>
  <c r="C335" i="5"/>
  <c r="F304" i="5"/>
  <c r="B90" i="5"/>
  <c r="D115" i="5"/>
  <c r="D23" i="5"/>
  <c r="H122" i="5"/>
  <c r="B135" i="5"/>
  <c r="I75" i="5"/>
  <c r="I176" i="5"/>
  <c r="C329" i="5"/>
  <c r="D309" i="5"/>
  <c r="J287" i="5"/>
  <c r="D228" i="5"/>
  <c r="J308" i="5"/>
  <c r="F56" i="5"/>
  <c r="F93" i="5"/>
  <c r="I211" i="5"/>
  <c r="G186" i="5"/>
  <c r="F183" i="5"/>
  <c r="B306" i="5"/>
  <c r="K292" i="5"/>
  <c r="G258" i="5"/>
  <c r="E348" i="5"/>
  <c r="B347" i="5"/>
  <c r="F51" i="5"/>
  <c r="E112" i="5"/>
  <c r="E20" i="5"/>
  <c r="C212" i="5"/>
  <c r="F185" i="5"/>
  <c r="E346" i="5"/>
  <c r="G348" i="5"/>
  <c r="I306" i="5"/>
  <c r="A237" i="5"/>
  <c r="G317" i="5"/>
  <c r="I47" i="5"/>
  <c r="J64" i="5"/>
  <c r="B189" i="5"/>
  <c r="I194" i="5"/>
  <c r="B107" i="5"/>
  <c r="J280" i="5"/>
  <c r="F283" i="5"/>
  <c r="B222" i="5"/>
  <c r="H338" i="5"/>
  <c r="E268" i="5"/>
  <c r="J130" i="5"/>
  <c r="G17" i="5"/>
  <c r="G93" i="5"/>
  <c r="F103" i="5"/>
  <c r="B191" i="5"/>
  <c r="I34" i="5"/>
  <c r="F19" i="5"/>
  <c r="H248" i="5"/>
  <c r="B197" i="5"/>
  <c r="J297" i="5"/>
  <c r="K352" i="5"/>
  <c r="J75" i="5"/>
  <c r="K262" i="5"/>
  <c r="C249" i="5"/>
  <c r="I246" i="5"/>
  <c r="H118" i="5"/>
  <c r="K140" i="5"/>
  <c r="F142" i="5"/>
  <c r="I259" i="5"/>
  <c r="F177" i="5"/>
  <c r="C280" i="5"/>
  <c r="C205" i="5"/>
  <c r="A55" i="5"/>
  <c r="E304" i="5"/>
  <c r="J241" i="5"/>
  <c r="J261" i="5"/>
  <c r="E340" i="5"/>
  <c r="J156" i="5"/>
  <c r="D161" i="5"/>
  <c r="B329" i="5"/>
  <c r="E343" i="5"/>
  <c r="H254" i="5"/>
  <c r="E152" i="5"/>
  <c r="E57" i="5"/>
  <c r="D50" i="5"/>
  <c r="B120" i="5"/>
  <c r="H249" i="5"/>
  <c r="G214" i="5"/>
  <c r="C340" i="5"/>
  <c r="E312" i="5"/>
  <c r="G266" i="5"/>
  <c r="H264" i="5"/>
  <c r="A337" i="5"/>
  <c r="A76" i="5"/>
  <c r="I62" i="5"/>
  <c r="F131" i="5"/>
  <c r="A119" i="5"/>
  <c r="B247" i="5"/>
  <c r="A248" i="5"/>
  <c r="J337" i="5"/>
  <c r="G294" i="5"/>
  <c r="E263" i="5"/>
  <c r="I140" i="5"/>
  <c r="H48" i="5"/>
  <c r="A59" i="5"/>
  <c r="I224" i="5"/>
  <c r="E177" i="5"/>
  <c r="C136" i="5"/>
  <c r="C286" i="5"/>
  <c r="G300" i="5"/>
  <c r="C251" i="5"/>
  <c r="J335" i="5"/>
  <c r="J292" i="5"/>
  <c r="I101" i="5"/>
  <c r="J153" i="5"/>
  <c r="F58" i="5"/>
  <c r="C158" i="5"/>
  <c r="A162" i="5"/>
  <c r="J40" i="5"/>
  <c r="B155" i="5"/>
  <c r="F300" i="5"/>
  <c r="D284" i="5"/>
  <c r="E278" i="5"/>
  <c r="F342" i="5"/>
  <c r="C315" i="5"/>
  <c r="J82" i="5"/>
  <c r="B137" i="5"/>
  <c r="E45" i="5"/>
  <c r="K156" i="5"/>
  <c r="F152" i="5"/>
  <c r="D252" i="5"/>
  <c r="G233" i="5"/>
  <c r="A246" i="5"/>
  <c r="H326" i="5"/>
  <c r="G288" i="5"/>
  <c r="I168" i="5"/>
  <c r="C142" i="5"/>
  <c r="I49" i="5"/>
  <c r="D190" i="5"/>
  <c r="F202" i="5"/>
  <c r="D353" i="5"/>
  <c r="E288" i="5"/>
  <c r="A267" i="5"/>
  <c r="G276" i="5"/>
  <c r="K318" i="5"/>
  <c r="J76" i="5"/>
  <c r="F114" i="5"/>
  <c r="G170" i="5"/>
  <c r="H231" i="5"/>
  <c r="A195" i="5"/>
  <c r="K338" i="5"/>
  <c r="K325" i="5"/>
  <c r="G305" i="5"/>
  <c r="E260" i="5"/>
  <c r="C350" i="5"/>
  <c r="D76" i="5"/>
  <c r="E63" i="5"/>
  <c r="B203" i="5"/>
  <c r="F197" i="5"/>
  <c r="H35" i="5"/>
  <c r="H127" i="5"/>
  <c r="K283" i="5"/>
  <c r="G269" i="5"/>
  <c r="E229" i="5"/>
  <c r="K309" i="5"/>
  <c r="H275" i="5"/>
  <c r="G123" i="5"/>
  <c r="H14" i="5"/>
  <c r="H90" i="5"/>
  <c r="C124" i="5"/>
  <c r="I111" i="5"/>
  <c r="B235" i="5"/>
  <c r="I240" i="5"/>
  <c r="G330" i="5"/>
  <c r="D287" i="5"/>
  <c r="B256" i="5"/>
  <c r="G142" i="5"/>
  <c r="B50" i="5"/>
  <c r="F60" i="5"/>
  <c r="I210" i="5"/>
  <c r="B123" i="5"/>
  <c r="B273" i="5"/>
  <c r="D278" i="5"/>
  <c r="B238" i="5"/>
  <c r="H318" i="5"/>
  <c r="E284" i="5"/>
  <c r="J114" i="5"/>
  <c r="G71" i="5"/>
  <c r="A123" i="5"/>
  <c r="F255" i="5"/>
  <c r="E220" i="5"/>
  <c r="I346" i="5"/>
  <c r="D315" i="5"/>
  <c r="F269" i="5"/>
  <c r="F270" i="5"/>
  <c r="K339" i="5"/>
  <c r="K78" i="5"/>
  <c r="E42" i="5"/>
  <c r="J197" i="5"/>
  <c r="I268" i="5"/>
  <c r="E68" i="5"/>
  <c r="F226" i="5"/>
  <c r="B199" i="5"/>
  <c r="F244" i="5"/>
  <c r="J219" i="5"/>
  <c r="I14" i="5"/>
  <c r="B342" i="5"/>
  <c r="B216" i="5"/>
  <c r="A199" i="5"/>
  <c r="B266" i="5"/>
  <c r="J164" i="5"/>
  <c r="C313" i="5"/>
  <c r="C337" i="5"/>
  <c r="K59" i="5"/>
  <c r="C338" i="5"/>
  <c r="D173" i="5"/>
  <c r="E145" i="5"/>
  <c r="A251" i="5"/>
  <c r="H27" i="5"/>
  <c r="F329" i="5"/>
  <c r="E316" i="5"/>
  <c r="D110" i="5"/>
  <c r="I122" i="5"/>
  <c r="E250" i="5"/>
  <c r="D333" i="5"/>
  <c r="F303" i="5"/>
  <c r="H171" i="5"/>
  <c r="F125" i="5"/>
  <c r="F33" i="5"/>
  <c r="G168" i="5"/>
  <c r="D171" i="5"/>
  <c r="B233" i="5"/>
  <c r="C245" i="5"/>
  <c r="H257" i="5"/>
  <c r="E350" i="5"/>
  <c r="E273" i="5"/>
  <c r="C151" i="5"/>
  <c r="J69" i="5"/>
  <c r="G221" i="5"/>
  <c r="F167" i="5"/>
  <c r="B290" i="5"/>
  <c r="F273" i="5"/>
  <c r="G242" i="5"/>
  <c r="E332" i="5"/>
  <c r="E301" i="5"/>
  <c r="D73" i="5"/>
  <c r="C134" i="5"/>
  <c r="F42" i="5"/>
  <c r="F253" i="5"/>
  <c r="C209" i="5"/>
  <c r="D175" i="5"/>
  <c r="C327" i="5"/>
  <c r="D307" i="5"/>
  <c r="K285" i="5"/>
  <c r="J226" i="5"/>
  <c r="I350" i="5"/>
  <c r="K57" i="5"/>
  <c r="I84" i="5"/>
  <c r="C232" i="5"/>
  <c r="D237" i="5"/>
  <c r="G113" i="5"/>
  <c r="H84" i="5"/>
  <c r="C194" i="5"/>
  <c r="A315" i="5"/>
  <c r="D324" i="5"/>
  <c r="J278" i="5"/>
  <c r="I245" i="5"/>
  <c r="J326" i="5"/>
  <c r="A39" i="5"/>
  <c r="A70" i="5"/>
  <c r="E222" i="5"/>
  <c r="A204" i="5"/>
  <c r="K200" i="5"/>
  <c r="E292" i="5"/>
  <c r="D302" i="5"/>
  <c r="B228" i="5"/>
  <c r="H221" i="5"/>
  <c r="H303" i="5"/>
  <c r="I33" i="5"/>
  <c r="H156" i="5"/>
  <c r="D22" i="5"/>
  <c r="G232" i="5"/>
  <c r="K202" i="5"/>
  <c r="I323" i="5"/>
  <c r="E338" i="5"/>
  <c r="C288" i="5"/>
  <c r="F254" i="5"/>
  <c r="E342" i="5"/>
  <c r="G102" i="5"/>
  <c r="I78" i="5"/>
  <c r="A206" i="5"/>
  <c r="B127" i="5"/>
  <c r="H114" i="5"/>
  <c r="I238" i="5"/>
  <c r="H243" i="5"/>
  <c r="F333" i="5"/>
  <c r="C290" i="5"/>
  <c r="A259" i="5"/>
  <c r="G146" i="5"/>
  <c r="F29" i="5"/>
  <c r="G78" i="5"/>
  <c r="D114" i="5"/>
  <c r="K145" i="5"/>
  <c r="K159" i="5"/>
  <c r="F52" i="5"/>
  <c r="G199" i="5"/>
  <c r="F343" i="5"/>
  <c r="F340" i="5"/>
  <c r="A298" i="5"/>
  <c r="K268" i="5"/>
  <c r="A316" i="5"/>
  <c r="I79" i="5"/>
  <c r="K99" i="5"/>
  <c r="E14" i="5"/>
  <c r="E209" i="5"/>
  <c r="C160" i="5"/>
  <c r="H321" i="5"/>
  <c r="C266" i="5"/>
  <c r="D235" i="5"/>
  <c r="B325" i="5"/>
  <c r="B294" i="5"/>
  <c r="I74" i="5"/>
  <c r="H135" i="5"/>
  <c r="K43" i="5"/>
  <c r="B196" i="5"/>
  <c r="D208" i="5"/>
  <c r="F313" i="5"/>
  <c r="C294" i="5"/>
  <c r="J272" i="5"/>
  <c r="I213" i="5"/>
  <c r="J324" i="5"/>
  <c r="A71" i="5"/>
  <c r="E85" i="5"/>
  <c r="B212" i="5"/>
  <c r="F171" i="5"/>
  <c r="J83" i="5"/>
  <c r="I244" i="5"/>
  <c r="B248" i="5"/>
  <c r="G260" i="5"/>
  <c r="J309" i="5"/>
  <c r="D276" i="5"/>
  <c r="B154" i="5"/>
  <c r="C17" i="5"/>
  <c r="F49" i="5"/>
  <c r="I126" i="5"/>
  <c r="B217" i="5"/>
  <c r="F73" i="5"/>
  <c r="J74" i="5"/>
  <c r="H329" i="5"/>
  <c r="E167" i="5"/>
  <c r="I175" i="5"/>
  <c r="J218" i="5"/>
  <c r="J283" i="5"/>
  <c r="G325" i="5"/>
  <c r="C303" i="5"/>
  <c r="J101" i="5"/>
  <c r="D265" i="5"/>
  <c r="J175" i="5"/>
  <c r="G324" i="5"/>
  <c r="G268" i="5"/>
  <c r="A160" i="5"/>
  <c r="D317" i="5"/>
  <c r="B211" i="5"/>
  <c r="B185" i="5"/>
  <c r="D210" i="5"/>
  <c r="J307" i="5"/>
  <c r="B234" i="5"/>
  <c r="H314" i="5"/>
  <c r="H50" i="5"/>
  <c r="J81" i="5"/>
  <c r="I263" i="5"/>
  <c r="G216" i="5"/>
  <c r="J189" i="5"/>
  <c r="H310" i="5"/>
  <c r="K319" i="5"/>
  <c r="F274" i="5"/>
  <c r="E241" i="5"/>
  <c r="K321" i="5"/>
  <c r="G37" i="5"/>
  <c r="G90" i="5"/>
  <c r="C108" i="5"/>
  <c r="C285" i="5"/>
  <c r="F215" i="5"/>
  <c r="D290" i="5"/>
  <c r="A345" i="5"/>
  <c r="F302" i="5"/>
  <c r="B240" i="5"/>
  <c r="K71" i="5"/>
  <c r="K50" i="5"/>
  <c r="B219" i="5"/>
  <c r="B201" i="5"/>
  <c r="A198" i="5"/>
  <c r="F289" i="5"/>
  <c r="E299" i="5"/>
  <c r="G296" i="5"/>
  <c r="C353" i="5"/>
  <c r="I300" i="5"/>
  <c r="I42" i="5"/>
  <c r="B142" i="5"/>
  <c r="K16" i="5"/>
  <c r="D262" i="5"/>
  <c r="C100" i="5"/>
  <c r="E25" i="5"/>
  <c r="C222" i="5"/>
  <c r="G308" i="5"/>
  <c r="G287" i="5"/>
  <c r="B244" i="5"/>
  <c r="H237" i="5"/>
  <c r="I317" i="5"/>
  <c r="G23" i="5"/>
  <c r="A129" i="5"/>
  <c r="D180" i="5"/>
  <c r="B139" i="5"/>
  <c r="F291" i="5"/>
  <c r="C316" i="5"/>
  <c r="B254" i="5"/>
  <c r="H341" i="5"/>
  <c r="I295" i="5"/>
  <c r="A93" i="5"/>
  <c r="E133" i="5"/>
  <c r="B214" i="5"/>
  <c r="F164" i="5"/>
  <c r="J338" i="5"/>
  <c r="I325" i="5"/>
  <c r="H279" i="5"/>
  <c r="J229" i="5"/>
  <c r="B350" i="5"/>
  <c r="I68" i="5"/>
  <c r="E47" i="5"/>
  <c r="K215" i="5"/>
  <c r="D174" i="5"/>
  <c r="F186" i="5"/>
  <c r="F322" i="5"/>
  <c r="G303" i="5"/>
  <c r="B260" i="5"/>
  <c r="H253" i="5"/>
  <c r="J339" i="5"/>
  <c r="G69" i="5"/>
  <c r="K83" i="5"/>
  <c r="G259" i="5"/>
  <c r="J259" i="5"/>
  <c r="C125" i="5"/>
  <c r="C86" i="5"/>
  <c r="B208" i="5"/>
  <c r="A352" i="5"/>
  <c r="A354" i="5"/>
  <c r="K287" i="5"/>
  <c r="E302" i="5"/>
  <c r="G353" i="5"/>
  <c r="E91" i="5"/>
  <c r="E79" i="5"/>
  <c r="F240" i="5"/>
  <c r="B224" i="5"/>
  <c r="A184" i="5"/>
  <c r="A343" i="5"/>
  <c r="E335" i="5"/>
  <c r="A322" i="5"/>
  <c r="G235" i="5"/>
  <c r="B316" i="5"/>
  <c r="E43" i="5"/>
  <c r="C102" i="5"/>
  <c r="E102" i="5"/>
  <c r="A282" i="5"/>
  <c r="K221" i="5"/>
  <c r="A351" i="5"/>
  <c r="C339" i="5"/>
  <c r="H296" i="5"/>
  <c r="D234" i="5"/>
  <c r="K12" i="5"/>
  <c r="I77" i="5"/>
  <c r="C33" i="5"/>
  <c r="D213" i="5"/>
  <c r="D195" i="5"/>
  <c r="C192" i="5"/>
  <c r="F327" i="5"/>
  <c r="G293" i="5"/>
  <c r="A270" i="5"/>
  <c r="E347" i="5"/>
  <c r="K294" i="5"/>
  <c r="G48" i="5"/>
  <c r="K147" i="5"/>
  <c r="G28" i="5"/>
  <c r="F276" i="5"/>
  <c r="A106" i="5"/>
  <c r="B43" i="5"/>
  <c r="A97" i="5"/>
  <c r="I281" i="5"/>
  <c r="K224" i="5"/>
  <c r="D350" i="5"/>
  <c r="B195" i="5"/>
  <c r="J44" i="5"/>
  <c r="A326" i="5"/>
  <c r="G182" i="5"/>
  <c r="I216" i="5"/>
  <c r="J235" i="5"/>
  <c r="F128" i="5"/>
  <c r="K288" i="5"/>
  <c r="E243" i="5"/>
  <c r="A38" i="5"/>
  <c r="C333" i="5"/>
  <c r="B288" i="5"/>
  <c r="D342" i="5"/>
  <c r="H323" i="5"/>
  <c r="F100" i="5"/>
  <c r="A307" i="5"/>
  <c r="C287" i="5"/>
  <c r="D268" i="5"/>
  <c r="J161" i="5"/>
  <c r="C235" i="5"/>
  <c r="I315" i="5"/>
  <c r="F281" i="5"/>
  <c r="I117" i="5"/>
  <c r="I26" i="5"/>
  <c r="D80" i="5"/>
  <c r="A130" i="5"/>
  <c r="G117" i="5"/>
  <c r="C244" i="5"/>
  <c r="G246" i="5"/>
  <c r="E336" i="5"/>
  <c r="B293" i="5"/>
  <c r="K261" i="5"/>
  <c r="A136" i="5"/>
  <c r="D44" i="5"/>
  <c r="H54" i="5"/>
  <c r="F221" i="5"/>
  <c r="K128" i="5"/>
  <c r="K278" i="5"/>
  <c r="B284" i="5"/>
  <c r="K243" i="5"/>
  <c r="F324" i="5"/>
  <c r="J295" i="5"/>
  <c r="A109" i="5"/>
  <c r="F96" i="5"/>
  <c r="E254" i="5"/>
  <c r="H162" i="5"/>
  <c r="J174" i="5"/>
  <c r="E318" i="5"/>
  <c r="K291" i="5"/>
  <c r="F248" i="5"/>
  <c r="A242" i="5"/>
  <c r="B322" i="5"/>
  <c r="C19" i="5"/>
  <c r="J118" i="5"/>
  <c r="D17" i="5"/>
  <c r="C271" i="5"/>
  <c r="D163" i="5"/>
  <c r="K48" i="5"/>
  <c r="I193" i="5"/>
  <c r="J331" i="5"/>
  <c r="E313" i="5"/>
  <c r="B270" i="5"/>
  <c r="K260" i="5"/>
  <c r="C310" i="5"/>
  <c r="G89" i="5"/>
  <c r="I105" i="5"/>
  <c r="A26" i="5"/>
  <c r="G203" i="5"/>
  <c r="K167" i="5"/>
  <c r="I307" i="5"/>
  <c r="D301" i="5"/>
  <c r="F229" i="5"/>
  <c r="I349" i="5"/>
  <c r="D288" i="5"/>
  <c r="G80" i="5"/>
  <c r="B110" i="5"/>
  <c r="H260" i="5"/>
  <c r="I187" i="5"/>
  <c r="H331" i="5"/>
  <c r="D318" i="5"/>
  <c r="D298" i="5"/>
  <c r="B253" i="5"/>
  <c r="K342" i="5"/>
  <c r="F45" i="5"/>
  <c r="K31" i="5"/>
  <c r="B206" i="5"/>
  <c r="H165" i="5"/>
  <c r="F165" i="5"/>
  <c r="K276" i="5"/>
  <c r="D242" i="5"/>
  <c r="I254" i="5"/>
  <c r="A342" i="5"/>
  <c r="C308" i="5"/>
  <c r="K162" i="5"/>
  <c r="C29" i="5"/>
  <c r="I31" i="5"/>
  <c r="D109" i="5"/>
  <c r="K196" i="5"/>
  <c r="H67" i="5"/>
  <c r="F199" i="5"/>
  <c r="K290" i="5"/>
  <c r="J300" i="5"/>
  <c r="H226" i="5"/>
  <c r="H354" i="5"/>
  <c r="C302" i="5"/>
  <c r="D41" i="5"/>
  <c r="F146" i="5"/>
  <c r="D209" i="5"/>
  <c r="H121" i="5"/>
  <c r="H271" i="5"/>
  <c r="J276" i="5"/>
  <c r="H236" i="5"/>
  <c r="C317" i="5"/>
  <c r="K282" i="5"/>
  <c r="F110" i="5"/>
  <c r="E99" i="5"/>
  <c r="D211" i="5"/>
  <c r="C208" i="5"/>
  <c r="H299" i="5"/>
  <c r="J310" i="5"/>
  <c r="E235" i="5"/>
  <c r="K228" i="5"/>
  <c r="H313" i="5"/>
  <c r="D32" i="5"/>
  <c r="K131" i="5"/>
  <c r="A212" i="5"/>
  <c r="K132" i="5"/>
  <c r="F120" i="5"/>
  <c r="A250" i="5"/>
  <c r="F249" i="5"/>
  <c r="D339" i="5"/>
  <c r="A296" i="5"/>
  <c r="I118" i="5"/>
  <c r="F126" i="5"/>
  <c r="H266" i="5"/>
  <c r="B72" i="5"/>
  <c r="J306" i="5"/>
  <c r="H276" i="5"/>
  <c r="C135" i="5"/>
  <c r="C289" i="5"/>
  <c r="A182" i="5"/>
  <c r="I215" i="5"/>
  <c r="J192" i="5"/>
  <c r="K195" i="5"/>
  <c r="H232" i="5"/>
  <c r="B181" i="5"/>
  <c r="H155" i="5"/>
  <c r="E248" i="5"/>
  <c r="E176" i="5"/>
  <c r="C279" i="5"/>
  <c r="E256" i="5"/>
  <c r="H119" i="5"/>
  <c r="H239" i="5"/>
  <c r="D227" i="5"/>
  <c r="G236" i="5"/>
  <c r="H305" i="5"/>
  <c r="J233" i="5"/>
  <c r="B354" i="5"/>
  <c r="H292" i="5"/>
  <c r="G82" i="5"/>
  <c r="B94" i="5"/>
  <c r="H218" i="5"/>
  <c r="A166" i="5"/>
  <c r="H288" i="5"/>
  <c r="A272" i="5"/>
  <c r="B241" i="5"/>
  <c r="K330" i="5"/>
  <c r="K299" i="5"/>
  <c r="K68" i="5"/>
  <c r="J129" i="5"/>
  <c r="B38" i="5"/>
  <c r="K201" i="5"/>
  <c r="F216" i="5"/>
  <c r="D319" i="5"/>
  <c r="A300" i="5"/>
  <c r="H278" i="5"/>
  <c r="G219" i="5"/>
  <c r="G333" i="5"/>
  <c r="C65" i="5"/>
  <c r="J102" i="5"/>
  <c r="B171" i="5"/>
  <c r="C92" i="5"/>
  <c r="D230" i="5"/>
  <c r="H206" i="5"/>
  <c r="G350" i="5"/>
  <c r="C348" i="5"/>
  <c r="J344" i="5"/>
  <c r="A286" i="5"/>
  <c r="B352" i="5"/>
  <c r="D94" i="5"/>
  <c r="A75" i="5"/>
  <c r="H172" i="5"/>
  <c r="B209" i="5"/>
  <c r="A24" i="5"/>
  <c r="A116" i="5"/>
  <c r="E218" i="5"/>
  <c r="H227" i="5"/>
  <c r="K347" i="5"/>
  <c r="E305" i="5"/>
  <c r="A243" i="5"/>
  <c r="F108" i="5"/>
  <c r="A69" i="5"/>
  <c r="K61" i="5"/>
  <c r="C275" i="5"/>
  <c r="I230" i="5"/>
  <c r="F201" i="5"/>
  <c r="D322" i="5"/>
  <c r="F335" i="5"/>
  <c r="B286" i="5"/>
  <c r="A253" i="5"/>
  <c r="F339" i="5"/>
  <c r="J93" i="5"/>
  <c r="E74" i="5"/>
  <c r="J119" i="5"/>
  <c r="E107" i="5"/>
  <c r="D229" i="5"/>
  <c r="E236" i="5"/>
  <c r="C326" i="5"/>
  <c r="J323" i="5"/>
  <c r="I251" i="5"/>
  <c r="E156" i="5"/>
  <c r="D60" i="5"/>
  <c r="H70" i="5"/>
  <c r="G206" i="5"/>
  <c r="I212" i="5"/>
  <c r="G124" i="5"/>
  <c r="G274" i="5"/>
  <c r="I279" i="5"/>
  <c r="G239" i="5"/>
  <c r="B320" i="5"/>
  <c r="J285" i="5"/>
  <c r="E113" i="5"/>
  <c r="G138" i="5"/>
  <c r="J46" i="5"/>
  <c r="H244" i="5"/>
  <c r="F148" i="5"/>
  <c r="G60" i="5"/>
  <c r="J184" i="5"/>
  <c r="I328" i="5"/>
  <c r="E315" i="5"/>
  <c r="E295" i="5"/>
  <c r="C250" i="5"/>
  <c r="A340" i="5"/>
  <c r="E48" i="5"/>
  <c r="E17" i="5"/>
  <c r="H256" i="5"/>
  <c r="H194" i="5"/>
  <c r="J206" i="5"/>
  <c r="A312" i="5"/>
  <c r="I292" i="5"/>
  <c r="E271" i="5"/>
  <c r="D212" i="5"/>
  <c r="D323" i="5"/>
  <c r="H66" i="5"/>
  <c r="D104" i="5"/>
  <c r="B23" i="5"/>
  <c r="J225" i="5"/>
  <c r="G193" i="5"/>
  <c r="F337" i="5"/>
  <c r="B324" i="5"/>
  <c r="B304" i="5"/>
  <c r="K258" i="5"/>
  <c r="I348" i="5"/>
  <c r="H39" i="5"/>
  <c r="H94" i="5"/>
  <c r="C197" i="5"/>
  <c r="F224" i="5"/>
  <c r="K168" i="5"/>
  <c r="G291" i="5"/>
  <c r="K274" i="5"/>
  <c r="A244" i="5"/>
  <c r="J333" i="5"/>
  <c r="J302" i="5"/>
  <c r="J71" i="5"/>
  <c r="F109" i="5"/>
  <c r="F17" i="5"/>
  <c r="J116" i="5"/>
  <c r="D129" i="5"/>
  <c r="G19" i="5"/>
  <c r="F320" i="5"/>
  <c r="H342" i="5"/>
  <c r="A165" i="5"/>
  <c r="F190" i="5"/>
  <c r="G169" i="5"/>
  <c r="D246" i="5"/>
  <c r="F345" i="5"/>
  <c r="G180" i="5"/>
  <c r="I149" i="5"/>
  <c r="F252" i="5"/>
  <c r="F88" i="5"/>
  <c r="K340" i="5"/>
  <c r="D89" i="5"/>
  <c r="F323" i="5"/>
  <c r="B245" i="5"/>
  <c r="K96" i="5"/>
  <c r="G184" i="5"/>
  <c r="D336" i="5"/>
  <c r="I293" i="5"/>
  <c r="E231" i="5"/>
  <c r="I18" i="5"/>
  <c r="H80" i="5"/>
  <c r="G73" i="5"/>
  <c r="I106" i="5"/>
  <c r="E279" i="5"/>
  <c r="A214" i="5"/>
  <c r="I282" i="5"/>
  <c r="G343" i="5"/>
  <c r="A301" i="5"/>
  <c r="H238" i="5"/>
  <c r="F104" i="5"/>
  <c r="G67" i="5"/>
  <c r="K77" i="5"/>
  <c r="D193" i="5"/>
  <c r="H105" i="5"/>
  <c r="A275" i="5"/>
  <c r="H277" i="5"/>
  <c r="H220" i="5"/>
  <c r="I335" i="5"/>
  <c r="K266" i="5"/>
  <c r="D132" i="5"/>
  <c r="K110" i="5"/>
  <c r="K18" i="5"/>
  <c r="D293" i="5"/>
  <c r="I226" i="5"/>
  <c r="G198" i="5"/>
  <c r="E319" i="5"/>
  <c r="A330" i="5"/>
  <c r="C283" i="5"/>
  <c r="B250" i="5"/>
  <c r="H333" i="5"/>
  <c r="E34" i="5"/>
  <c r="J59" i="5"/>
  <c r="A171" i="5"/>
  <c r="H222" i="5"/>
  <c r="H151" i="5"/>
  <c r="K107" i="5"/>
  <c r="D223" i="5"/>
  <c r="G352" i="5"/>
  <c r="I316" i="5"/>
  <c r="K270" i="5"/>
  <c r="A274" i="5"/>
  <c r="E341" i="5"/>
  <c r="F77" i="5"/>
  <c r="I46" i="5"/>
  <c r="C260" i="5"/>
  <c r="G165" i="5"/>
  <c r="I177" i="5"/>
  <c r="F332" i="5"/>
  <c r="J294" i="5"/>
  <c r="E251" i="5"/>
  <c r="K244" i="5"/>
  <c r="C325" i="5"/>
  <c r="E64" i="5"/>
  <c r="B51" i="5"/>
  <c r="B143" i="5"/>
  <c r="H130" i="5"/>
  <c r="F279" i="5"/>
  <c r="H259" i="5"/>
  <c r="F349" i="5"/>
  <c r="C306" i="5"/>
  <c r="K265" i="5"/>
  <c r="I128" i="5"/>
  <c r="I36" i="5"/>
  <c r="E77" i="5"/>
  <c r="F140" i="5"/>
  <c r="H228" i="5"/>
  <c r="I171" i="5"/>
  <c r="B346" i="5"/>
  <c r="K337" i="5"/>
  <c r="A287" i="5"/>
  <c r="B237" i="5"/>
  <c r="K326" i="5"/>
  <c r="C38" i="5"/>
  <c r="I91" i="5"/>
  <c r="C187" i="5"/>
  <c r="A159" i="5"/>
  <c r="E12" i="5"/>
  <c r="E104" i="5"/>
  <c r="K225" i="5"/>
  <c r="E255" i="5"/>
  <c r="B271" i="5"/>
  <c r="B317" i="5"/>
  <c r="G283" i="5"/>
  <c r="J146" i="5"/>
  <c r="A48" i="5"/>
  <c r="K100" i="5"/>
  <c r="I265" i="5"/>
  <c r="A219" i="5"/>
  <c r="G349" i="5"/>
  <c r="I337" i="5"/>
  <c r="C295" i="5"/>
  <c r="J232" i="5"/>
  <c r="J15" i="5"/>
  <c r="E73" i="5"/>
  <c r="K85" i="5"/>
  <c r="F187" i="5"/>
  <c r="J99" i="5"/>
  <c r="J260" i="5"/>
  <c r="B264" i="5"/>
  <c r="J214" i="5"/>
  <c r="D326" i="5"/>
  <c r="C304" i="5"/>
  <c r="B138" i="5"/>
  <c r="C155" i="5"/>
  <c r="E19" i="5"/>
  <c r="D266" i="5"/>
  <c r="F219" i="5"/>
  <c r="I192" i="5"/>
  <c r="G313" i="5"/>
  <c r="J322" i="5"/>
  <c r="E277" i="5"/>
  <c r="D244" i="5"/>
  <c r="K324" i="5"/>
  <c r="F40" i="5"/>
  <c r="H65" i="5"/>
  <c r="H182" i="5"/>
  <c r="J215" i="5"/>
  <c r="B158" i="5"/>
  <c r="E125" i="5"/>
  <c r="J35" i="5"/>
  <c r="B328" i="5"/>
  <c r="A168" i="5"/>
  <c r="I278" i="5"/>
  <c r="C198" i="5"/>
  <c r="G290" i="5"/>
  <c r="C261" i="5"/>
  <c r="A126" i="5"/>
  <c r="H215" i="5"/>
  <c r="A208" i="5"/>
  <c r="B29" i="5"/>
  <c r="F321" i="5"/>
  <c r="F95" i="5"/>
  <c r="C97" i="5"/>
  <c r="J343" i="5"/>
  <c r="K223" i="5"/>
  <c r="C225" i="5"/>
  <c r="F36" i="5"/>
  <c r="J327" i="5"/>
  <c r="F196" i="5"/>
  <c r="C193" i="5"/>
  <c r="I253" i="5"/>
  <c r="F232" i="5"/>
  <c r="A226" i="5"/>
  <c r="A308" i="5"/>
  <c r="C35" i="5"/>
  <c r="H140" i="5"/>
  <c r="H25" i="5"/>
  <c r="G218" i="5"/>
  <c r="F127" i="5"/>
  <c r="F277" i="5"/>
  <c r="H282" i="5"/>
  <c r="F242" i="5"/>
  <c r="A323" i="5"/>
  <c r="H290" i="5"/>
  <c r="H104" i="5"/>
  <c r="J23" i="5"/>
  <c r="I87" i="5"/>
  <c r="G222" i="5"/>
  <c r="E216" i="5"/>
  <c r="F305" i="5"/>
  <c r="E330" i="5"/>
  <c r="C241" i="5"/>
  <c r="I234" i="5"/>
  <c r="C341" i="5"/>
  <c r="F26" i="5"/>
  <c r="E149" i="5"/>
  <c r="J128" i="5"/>
  <c r="H269" i="5"/>
  <c r="B160" i="5"/>
  <c r="F334" i="5"/>
  <c r="B321" i="5"/>
  <c r="D275" i="5"/>
  <c r="K300" i="5"/>
  <c r="I345" i="5"/>
  <c r="B73" i="5"/>
  <c r="D36" i="5"/>
  <c r="H187" i="5"/>
  <c r="K193" i="5"/>
  <c r="K29" i="5"/>
  <c r="C131" i="5"/>
  <c r="A179" i="5"/>
  <c r="E353" i="5"/>
  <c r="G309" i="5"/>
  <c r="F315" i="5"/>
  <c r="E244" i="5"/>
  <c r="C334" i="5"/>
  <c r="C54" i="5"/>
  <c r="C23" i="5"/>
  <c r="A245" i="5"/>
  <c r="J188" i="5"/>
  <c r="A201" i="5"/>
  <c r="F347" i="5"/>
  <c r="K286" i="5"/>
  <c r="G265" i="5"/>
  <c r="J271" i="5"/>
  <c r="F317" i="5"/>
  <c r="F72" i="5"/>
  <c r="G27" i="5"/>
  <c r="E158" i="5"/>
  <c r="K153" i="5"/>
  <c r="C255" i="5"/>
  <c r="A235" i="5"/>
  <c r="F247" i="5"/>
  <c r="G328" i="5"/>
  <c r="J291" i="5"/>
  <c r="F105" i="5"/>
  <c r="F13" i="5"/>
  <c r="C90" i="5"/>
  <c r="E191" i="5"/>
  <c r="J212" i="5"/>
  <c r="B163" i="5"/>
  <c r="A339" i="5"/>
  <c r="B269" i="5"/>
  <c r="C238" i="5"/>
  <c r="A328" i="5"/>
  <c r="A297" i="5"/>
  <c r="H77" i="5"/>
  <c r="I153" i="5"/>
  <c r="F16" i="5"/>
  <c r="I273" i="5"/>
  <c r="J111" i="5"/>
  <c r="I13" i="5"/>
  <c r="A200" i="5"/>
  <c r="J320" i="5"/>
  <c r="G332" i="5"/>
  <c r="H284" i="5"/>
  <c r="G251" i="5"/>
  <c r="G336" i="5"/>
  <c r="K32" i="5"/>
  <c r="C64" i="5"/>
  <c r="A230" i="5"/>
  <c r="J209" i="5"/>
  <c r="I206" i="5"/>
  <c r="C298" i="5"/>
  <c r="B308" i="5"/>
  <c r="K233" i="5"/>
  <c r="F227" i="5"/>
  <c r="I310" i="5"/>
  <c r="K27" i="5"/>
  <c r="J150" i="5"/>
  <c r="K240" i="5"/>
  <c r="I208" i="5"/>
  <c r="F331" i="5"/>
  <c r="I354" i="5"/>
  <c r="K308" i="5"/>
  <c r="D260" i="5"/>
  <c r="H332" i="5"/>
  <c r="K90" i="5"/>
  <c r="H49" i="5"/>
  <c r="B213" i="5"/>
  <c r="E224" i="5"/>
  <c r="E130" i="5"/>
  <c r="E280" i="5"/>
  <c r="G285" i="5"/>
  <c r="E245" i="5"/>
  <c r="E326" i="5"/>
  <c r="H301" i="5"/>
  <c r="G107" i="5"/>
  <c r="B166" i="5"/>
  <c r="D64" i="5"/>
  <c r="J169" i="5"/>
  <c r="J167" i="5"/>
  <c r="D58" i="5"/>
  <c r="C47" i="5"/>
  <c r="C217" i="5"/>
  <c r="I152" i="5"/>
  <c r="E269" i="5"/>
  <c r="H137" i="5"/>
  <c r="A173" i="5"/>
  <c r="A216" i="5"/>
  <c r="G54" i="5"/>
  <c r="B28" i="5"/>
  <c r="G224" i="5"/>
  <c r="J203" i="5"/>
  <c r="E128" i="5"/>
  <c r="G284" i="5"/>
  <c r="H199" i="5"/>
  <c r="D271" i="5"/>
  <c r="K304" i="5"/>
  <c r="D159" i="5"/>
  <c r="I217" i="5"/>
  <c r="F214" i="5"/>
  <c r="B215" i="5"/>
  <c r="K257" i="5"/>
  <c r="G179" i="5"/>
  <c r="H21" i="5"/>
  <c r="H346" i="5"/>
  <c r="K176" i="5"/>
  <c r="E225" i="5"/>
  <c r="J173" i="5"/>
  <c r="B63" i="5"/>
  <c r="J277" i="5"/>
  <c r="B200" i="5"/>
  <c r="H216" i="5"/>
  <c r="D337" i="5"/>
  <c r="G133" i="5"/>
  <c r="A146" i="5"/>
  <c r="E352" i="5"/>
  <c r="A310" i="5"/>
  <c r="J268" i="5"/>
  <c r="J125" i="5"/>
  <c r="J33" i="5"/>
  <c r="A96" i="5"/>
  <c r="E143" i="5"/>
  <c r="F234" i="5"/>
  <c r="H174" i="5"/>
  <c r="A349" i="5"/>
  <c r="I343" i="5"/>
  <c r="E294" i="5"/>
  <c r="A240" i="5"/>
  <c r="J329" i="5"/>
  <c r="I52" i="5"/>
  <c r="F39" i="5"/>
  <c r="I154" i="5"/>
  <c r="D142" i="5"/>
  <c r="K231" i="5"/>
  <c r="B283" i="5"/>
  <c r="E351" i="5"/>
  <c r="E354" i="5"/>
  <c r="G277" i="5"/>
  <c r="B117" i="5"/>
  <c r="B25" i="5"/>
  <c r="F35" i="5"/>
  <c r="I179" i="5"/>
  <c r="H200" i="5"/>
  <c r="B162" i="5"/>
  <c r="J304" i="5"/>
  <c r="E290" i="5"/>
  <c r="G226" i="5"/>
  <c r="J346" i="5"/>
  <c r="B336" i="5"/>
  <c r="B97" i="5"/>
  <c r="K126" i="5"/>
  <c r="K34" i="5"/>
  <c r="D134" i="5"/>
  <c r="I146" i="5"/>
  <c r="B64" i="5"/>
  <c r="D222" i="5"/>
  <c r="C322" i="5"/>
  <c r="K302" i="5"/>
  <c r="G281" i="5"/>
  <c r="F222" i="5"/>
  <c r="E339" i="5"/>
  <c r="D62" i="5"/>
  <c r="F82" i="5"/>
  <c r="K205" i="5"/>
  <c r="I180" i="5"/>
  <c r="H177" i="5"/>
  <c r="D300" i="5"/>
  <c r="H283" i="5"/>
  <c r="I252" i="5"/>
  <c r="G342" i="5"/>
  <c r="J314" i="5"/>
  <c r="D57" i="5"/>
  <c r="C118" i="5"/>
  <c r="C26" i="5"/>
  <c r="E215" i="5"/>
  <c r="H179" i="5"/>
  <c r="D334" i="5"/>
  <c r="B315" i="5"/>
  <c r="C296" i="5"/>
  <c r="C231" i="5"/>
  <c r="I311" i="5"/>
  <c r="G53" i="5"/>
  <c r="C91" i="5"/>
  <c r="D183" i="5"/>
  <c r="K188" i="5"/>
  <c r="D101" i="5"/>
  <c r="H268" i="5"/>
  <c r="F266" i="5"/>
  <c r="F261" i="5"/>
  <c r="D351" i="5"/>
  <c r="B289" i="5"/>
  <c r="E54" i="5"/>
  <c r="F130" i="5"/>
  <c r="J16" i="5"/>
  <c r="H263" i="5"/>
  <c r="G88" i="5"/>
  <c r="B37" i="5"/>
  <c r="G161" i="5"/>
  <c r="K335" i="5"/>
  <c r="G322" i="5"/>
  <c r="I276" i="5"/>
  <c r="K226" i="5"/>
  <c r="C347" i="5"/>
  <c r="H71" i="5"/>
  <c r="K40" i="5"/>
  <c r="D285" i="5"/>
  <c r="E171" i="5"/>
  <c r="G183" i="5"/>
  <c r="G319" i="5"/>
  <c r="H300" i="5"/>
  <c r="C257" i="5"/>
  <c r="I250" i="5"/>
  <c r="A334" i="5"/>
  <c r="D98" i="5"/>
  <c r="G127" i="5"/>
  <c r="I225" i="5"/>
  <c r="D170" i="5"/>
  <c r="H344" i="5"/>
  <c r="A335" i="5"/>
  <c r="F285" i="5"/>
  <c r="H235" i="5"/>
  <c r="F325" i="5"/>
  <c r="K30" i="5"/>
  <c r="A80" i="5"/>
  <c r="K173" i="5"/>
  <c r="J194" i="5"/>
  <c r="H153" i="5"/>
  <c r="A299" i="5"/>
  <c r="J282" i="5"/>
  <c r="H272" i="5"/>
  <c r="A341" i="5"/>
  <c r="D312" i="5"/>
  <c r="D84" i="5"/>
  <c r="I132" i="5"/>
  <c r="A41" i="5"/>
  <c r="B140" i="5"/>
  <c r="G152" i="5"/>
  <c r="G81" i="5"/>
  <c r="A34" i="5"/>
  <c r="D18" i="5"/>
  <c r="J231" i="5"/>
  <c r="C309" i="5"/>
  <c r="K121" i="5"/>
  <c r="E134" i="5"/>
  <c r="G114" i="5"/>
  <c r="F90" i="5"/>
  <c r="C162" i="5"/>
  <c r="A231" i="5"/>
  <c r="K206" i="5"/>
  <c r="C44" i="5"/>
  <c r="K297" i="5"/>
  <c r="I40" i="5"/>
  <c r="F344" i="5"/>
  <c r="A110" i="5"/>
  <c r="K52" i="5"/>
  <c r="C299" i="5"/>
  <c r="B182" i="5"/>
  <c r="K190" i="5"/>
  <c r="F220" i="5"/>
  <c r="E138" i="5"/>
  <c r="K229" i="5"/>
  <c r="C213" i="5"/>
  <c r="D120" i="5"/>
  <c r="F284" i="5"/>
  <c r="I207" i="5"/>
  <c r="I305" i="5"/>
  <c r="F294" i="5"/>
  <c r="D88" i="5"/>
  <c r="I275" i="5"/>
  <c r="A276" i="5"/>
  <c r="K219" i="5"/>
  <c r="B136" i="5"/>
  <c r="F258" i="5"/>
  <c r="J330" i="5"/>
  <c r="B300" i="5"/>
  <c r="F94" i="5"/>
  <c r="A152" i="5"/>
  <c r="A57" i="5"/>
  <c r="D153" i="5"/>
  <c r="J140" i="5"/>
  <c r="A229" i="5"/>
  <c r="D277" i="5"/>
  <c r="K349" i="5"/>
  <c r="D338" i="5"/>
  <c r="B276" i="5"/>
  <c r="I112" i="5"/>
  <c r="I20" i="5"/>
  <c r="B31" i="5"/>
  <c r="E193" i="5"/>
  <c r="C152" i="5"/>
  <c r="G297" i="5"/>
  <c r="E281" i="5"/>
  <c r="I269" i="5"/>
  <c r="G339" i="5"/>
  <c r="E309" i="5"/>
  <c r="I85" i="5"/>
  <c r="F170" i="5"/>
  <c r="I65" i="5"/>
  <c r="C239" i="5"/>
  <c r="K185" i="5"/>
  <c r="B198" i="5"/>
  <c r="G340" i="5"/>
  <c r="E329" i="5"/>
  <c r="K284" i="5"/>
  <c r="A266" i="5"/>
  <c r="G314" i="5"/>
  <c r="C81" i="5"/>
  <c r="G95" i="5"/>
  <c r="I115" i="5"/>
  <c r="E221" i="5"/>
  <c r="J136" i="5"/>
  <c r="C72" i="5"/>
  <c r="D202" i="5"/>
  <c r="C346" i="5"/>
  <c r="A338" i="5"/>
  <c r="I318" i="5"/>
  <c r="I270" i="5"/>
  <c r="I347" i="5"/>
  <c r="H30" i="5"/>
  <c r="J88" i="5"/>
  <c r="H265" i="5"/>
  <c r="F212" i="5"/>
  <c r="C178" i="5"/>
  <c r="E331" i="5"/>
  <c r="C312" i="5"/>
  <c r="I290" i="5"/>
  <c r="I229" i="5"/>
  <c r="D310" i="5"/>
  <c r="C49" i="5"/>
  <c r="J86" i="5"/>
  <c r="G96" i="5"/>
  <c r="I247" i="5"/>
  <c r="A211" i="5"/>
  <c r="K354" i="5"/>
  <c r="E333" i="5"/>
  <c r="J290" i="5"/>
  <c r="F228" i="5"/>
  <c r="G24" i="5"/>
  <c r="G85" i="5"/>
  <c r="G62" i="5"/>
  <c r="G217" i="5"/>
  <c r="F189" i="5"/>
  <c r="E186" i="5"/>
  <c r="I309" i="5"/>
  <c r="G304" i="5"/>
  <c r="H317" i="5"/>
  <c r="F238" i="5"/>
  <c r="A319" i="5"/>
  <c r="A88" i="5"/>
  <c r="C48" i="5"/>
  <c r="F209" i="5"/>
  <c r="G205" i="5"/>
  <c r="A140" i="5"/>
  <c r="G119" i="5"/>
  <c r="G264" i="5"/>
  <c r="I256" i="5"/>
  <c r="G346" i="5"/>
  <c r="D303" i="5"/>
  <c r="E286" i="5"/>
  <c r="H131" i="5"/>
  <c r="K39" i="5"/>
  <c r="G32" i="5"/>
  <c r="G137" i="5"/>
  <c r="J222" i="5"/>
  <c r="J168" i="5"/>
  <c r="C343" i="5"/>
  <c r="B332" i="5"/>
  <c r="A284" i="5"/>
  <c r="C234" i="5"/>
  <c r="F354" i="5"/>
  <c r="G58" i="5"/>
  <c r="D45" i="5"/>
  <c r="K148" i="5"/>
  <c r="F136" i="5"/>
  <c r="D220" i="5"/>
  <c r="E266" i="5"/>
  <c r="G345" i="5"/>
  <c r="J315" i="5"/>
  <c r="I271" i="5"/>
  <c r="K122" i="5"/>
  <c r="E140" i="5"/>
  <c r="D48" i="5"/>
  <c r="G227" i="5"/>
  <c r="B180" i="5"/>
  <c r="D192" i="5"/>
  <c r="G329" i="5"/>
  <c r="F310" i="5"/>
  <c r="C267" i="5"/>
  <c r="F259" i="5"/>
  <c r="I308" i="5"/>
  <c r="F92" i="5"/>
  <c r="E101" i="5"/>
  <c r="A139" i="5"/>
  <c r="A233" i="5"/>
  <c r="H142" i="5"/>
  <c r="J97" i="5"/>
  <c r="A265" i="5"/>
  <c r="D165" i="5"/>
  <c r="A95" i="5"/>
  <c r="D238" i="5"/>
  <c r="J288" i="5"/>
  <c r="E258" i="5"/>
  <c r="F124" i="5"/>
  <c r="C83" i="5"/>
  <c r="H117" i="5"/>
  <c r="H36" i="5"/>
  <c r="C305" i="5"/>
  <c r="E226" i="5"/>
  <c r="D299" i="5"/>
  <c r="A288" i="5"/>
  <c r="E23" i="5"/>
  <c r="A225" i="5"/>
  <c r="H197" i="5"/>
  <c r="K333" i="5"/>
  <c r="G262" i="5"/>
  <c r="I102" i="5"/>
  <c r="E190" i="5"/>
  <c r="K21" i="5"/>
  <c r="B61" i="5"/>
  <c r="D292" i="5"/>
  <c r="G253" i="5"/>
  <c r="E59" i="5"/>
  <c r="J305" i="5"/>
  <c r="A32" i="5"/>
  <c r="I336" i="5"/>
  <c r="J171" i="5"/>
  <c r="B68" i="5"/>
  <c r="K310" i="5"/>
  <c r="H211" i="5"/>
  <c r="K169" i="5"/>
  <c r="H273" i="5"/>
  <c r="I255" i="5"/>
  <c r="D249" i="5"/>
  <c r="B331" i="5"/>
  <c r="E117" i="5"/>
  <c r="K13" i="5"/>
  <c r="K191" i="5"/>
  <c r="I150" i="5"/>
  <c r="B296" i="5"/>
  <c r="K279" i="5"/>
  <c r="J266" i="5"/>
  <c r="B338" i="5"/>
  <c r="E307" i="5"/>
  <c r="A103" i="5"/>
  <c r="J158" i="5"/>
  <c r="E61" i="5"/>
  <c r="H178" i="5"/>
  <c r="J190" i="5"/>
  <c r="G327" i="5"/>
  <c r="K307" i="5"/>
  <c r="F264" i="5"/>
  <c r="A258" i="5"/>
  <c r="J351" i="5"/>
  <c r="E95" i="5"/>
  <c r="B126" i="5"/>
  <c r="C20" i="5"/>
  <c r="B152" i="5"/>
  <c r="K251" i="5"/>
  <c r="E183" i="5"/>
  <c r="D327" i="5"/>
  <c r="K313" i="5"/>
  <c r="K293" i="5"/>
  <c r="I248" i="5"/>
  <c r="G338" i="5"/>
  <c r="J49" i="5"/>
  <c r="A13" i="5"/>
  <c r="C203" i="5"/>
  <c r="H170" i="5"/>
  <c r="K17" i="5"/>
  <c r="F154" i="5"/>
  <c r="G250" i="5"/>
  <c r="G249" i="5"/>
  <c r="A262" i="5"/>
  <c r="D311" i="5"/>
  <c r="I277" i="5"/>
  <c r="H152" i="5"/>
  <c r="D14" i="5"/>
  <c r="J53" i="5"/>
  <c r="B95" i="5"/>
  <c r="K241" i="5"/>
  <c r="G209" i="5"/>
  <c r="F353" i="5"/>
  <c r="K331" i="5"/>
  <c r="E289" i="5"/>
  <c r="A227" i="5"/>
  <c r="F27" i="5"/>
  <c r="C79" i="5"/>
  <c r="G97" i="5"/>
  <c r="H181" i="5"/>
  <c r="A94" i="5"/>
  <c r="G237" i="5"/>
  <c r="D258" i="5"/>
  <c r="K280" i="5"/>
  <c r="A320" i="5"/>
  <c r="F286" i="5"/>
  <c r="K143" i="5"/>
  <c r="G30" i="5"/>
  <c r="B252" i="5"/>
  <c r="H213" i="5"/>
  <c r="K186" i="5"/>
  <c r="C352" i="5"/>
  <c r="A317" i="5"/>
  <c r="B298" i="5"/>
  <c r="I235" i="5"/>
  <c r="A53" i="5"/>
  <c r="B40" i="5"/>
  <c r="G172" i="5"/>
  <c r="C174" i="5"/>
  <c r="C59" i="5"/>
  <c r="K154" i="5"/>
  <c r="F288" i="5"/>
  <c r="E306" i="5"/>
  <c r="H252" i="5"/>
  <c r="I338" i="5"/>
  <c r="D294" i="5"/>
  <c r="D100" i="5"/>
  <c r="F162" i="5"/>
  <c r="J62" i="5"/>
  <c r="F147" i="5"/>
  <c r="A135" i="5"/>
  <c r="E217" i="5"/>
  <c r="A264" i="5"/>
  <c r="J353" i="5"/>
  <c r="K312" i="5"/>
  <c r="D270" i="5"/>
  <c r="G118" i="5"/>
  <c r="G26" i="5"/>
  <c r="K36" i="5"/>
  <c r="G187" i="5"/>
  <c r="E146" i="5"/>
  <c r="I291" i="5"/>
  <c r="G275" i="5"/>
  <c r="E261" i="5"/>
  <c r="I333" i="5"/>
  <c r="A303" i="5"/>
  <c r="G91" i="5"/>
  <c r="H108" i="5"/>
  <c r="D146" i="5"/>
  <c r="D240" i="5"/>
  <c r="G177" i="5"/>
  <c r="K351" i="5"/>
  <c r="H353" i="5"/>
  <c r="A306" i="5"/>
  <c r="K242" i="5"/>
  <c r="I332" i="5"/>
  <c r="H55" i="5"/>
  <c r="J18" i="5"/>
  <c r="F210" i="5"/>
  <c r="F176" i="5"/>
  <c r="C18" i="5"/>
  <c r="C110" i="5"/>
  <c r="K138" i="5"/>
  <c r="I199" i="5"/>
  <c r="H148" i="5"/>
  <c r="F318" i="5"/>
  <c r="E188" i="5"/>
  <c r="D158" i="5"/>
  <c r="H245" i="5"/>
  <c r="D90" i="5"/>
  <c r="J265" i="5"/>
  <c r="G306" i="5"/>
  <c r="D295" i="5"/>
  <c r="E36" i="5"/>
  <c r="I351" i="5"/>
  <c r="G196" i="5"/>
  <c r="B122" i="5"/>
  <c r="C265" i="5"/>
  <c r="C25" i="5"/>
  <c r="B330" i="5"/>
  <c r="B318" i="5"/>
  <c r="G273" i="5"/>
  <c r="D105" i="5"/>
  <c r="G38" i="5"/>
  <c r="A44" i="5"/>
  <c r="J334" i="5"/>
  <c r="A98" i="5"/>
  <c r="C345" i="5"/>
  <c r="D325" i="5"/>
  <c r="A124" i="5"/>
  <c r="K246" i="5"/>
  <c r="K174" i="5"/>
  <c r="H328" i="5"/>
  <c r="C281" i="5"/>
  <c r="D149" i="5"/>
  <c r="H184" i="5"/>
  <c r="I163" i="5"/>
  <c r="G282" i="5"/>
  <c r="I232" i="5"/>
  <c r="A353" i="5"/>
  <c r="J65" i="5"/>
  <c r="J34" i="5"/>
  <c r="I221" i="5"/>
  <c r="C177" i="5"/>
  <c r="E189" i="5"/>
  <c r="H325" i="5"/>
  <c r="F306" i="5"/>
  <c r="A263" i="5"/>
  <c r="G256" i="5"/>
  <c r="A346" i="5"/>
  <c r="H86" i="5"/>
  <c r="I121" i="5"/>
  <c r="H22" i="5"/>
  <c r="E237" i="5"/>
  <c r="B176" i="5"/>
  <c r="F350" i="5"/>
  <c r="J347" i="5"/>
  <c r="C300" i="5"/>
  <c r="F241" i="5"/>
  <c r="D331" i="5"/>
  <c r="B57" i="5"/>
  <c r="J43" i="5"/>
  <c r="F194" i="5"/>
  <c r="C167" i="5"/>
  <c r="G149" i="5"/>
  <c r="F246" i="5"/>
  <c r="H230" i="5"/>
  <c r="B243" i="5"/>
  <c r="C323" i="5"/>
  <c r="J284" i="5"/>
  <c r="J109" i="5"/>
  <c r="J17" i="5"/>
  <c r="K66" i="5"/>
  <c r="C144" i="5"/>
  <c r="E185" i="5"/>
  <c r="F32" i="5"/>
  <c r="E170" i="5"/>
  <c r="A293" i="5"/>
  <c r="E276" i="5"/>
  <c r="F245" i="5"/>
  <c r="D335" i="5"/>
  <c r="D304" i="5"/>
  <c r="E70" i="5"/>
  <c r="J113" i="5"/>
  <c r="J21" i="5"/>
  <c r="C180" i="5"/>
  <c r="G92" i="5"/>
  <c r="I231" i="5"/>
  <c r="J256" i="5"/>
  <c r="B275" i="5"/>
  <c r="G318" i="5"/>
  <c r="A285" i="5"/>
  <c r="G139" i="5"/>
  <c r="F23" i="5"/>
  <c r="C58" i="5"/>
  <c r="C182" i="5"/>
  <c r="B179" i="5"/>
  <c r="I301" i="5"/>
  <c r="B285" i="5"/>
  <c r="C254" i="5"/>
  <c r="A344" i="5"/>
  <c r="F319" i="5"/>
  <c r="H61" i="5"/>
  <c r="G122" i="5"/>
  <c r="I182" i="5"/>
  <c r="J103" i="5"/>
  <c r="I267" i="5"/>
  <c r="J224" i="5"/>
  <c r="F352" i="5"/>
  <c r="H340" i="5"/>
  <c r="C328" i="5"/>
  <c r="J311" i="5"/>
  <c r="H136" i="5"/>
  <c r="J112" i="5"/>
  <c r="B70" i="5"/>
  <c r="A86" i="5"/>
  <c r="H173" i="5"/>
  <c r="E100" i="5"/>
  <c r="D176" i="5"/>
  <c r="C324" i="5"/>
  <c r="E293" i="5"/>
  <c r="K249" i="5"/>
  <c r="F243" i="5"/>
  <c r="G323" i="5"/>
  <c r="I17" i="5"/>
  <c r="C123" i="5"/>
  <c r="G25" i="5"/>
  <c r="B186" i="5"/>
  <c r="K144" i="5"/>
  <c r="A327" i="5"/>
  <c r="B274" i="5"/>
  <c r="K259" i="5"/>
  <c r="D332" i="5"/>
  <c r="G301" i="5"/>
  <c r="C87" i="5"/>
  <c r="B104" i="5"/>
  <c r="C67" i="5"/>
  <c r="J172" i="5"/>
  <c r="A185" i="5"/>
  <c r="A321" i="5"/>
  <c r="B302" i="5"/>
  <c r="H258" i="5"/>
  <c r="C252" i="5"/>
  <c r="K336" i="5"/>
  <c r="K62" i="5"/>
  <c r="B26" i="5"/>
  <c r="H188" i="5"/>
  <c r="C156" i="5"/>
  <c r="I143" i="5"/>
  <c r="J234" i="5"/>
  <c r="A291" i="5"/>
  <c r="J352" i="5"/>
  <c r="E317" i="5"/>
  <c r="A279" i="5"/>
  <c r="H115" i="5"/>
  <c r="H23" i="5"/>
  <c r="I72" i="5"/>
  <c r="A150" i="5"/>
  <c r="C191" i="5"/>
  <c r="C50" i="5"/>
  <c r="A117" i="5"/>
  <c r="F161" i="5"/>
  <c r="B98" i="5"/>
  <c r="E121" i="5"/>
  <c r="H139" i="5"/>
  <c r="K47" i="5"/>
  <c r="I60" i="5"/>
  <c r="C73" i="5"/>
  <c r="D140" i="5"/>
  <c r="F145" i="5"/>
  <c r="D95" i="5"/>
  <c r="J68" i="5"/>
  <c r="D49" i="5"/>
  <c r="C106" i="5"/>
  <c r="D151" i="5"/>
  <c r="E24" i="5"/>
  <c r="A87" i="5"/>
  <c r="J134" i="5"/>
  <c r="D283" i="5"/>
  <c r="J286" i="5"/>
  <c r="D341" i="5"/>
  <c r="B52" i="5"/>
  <c r="F316" i="5"/>
  <c r="J328" i="5"/>
  <c r="I233" i="5"/>
  <c r="H17" i="5"/>
  <c r="J61" i="5"/>
  <c r="H327" i="5"/>
  <c r="E39" i="5"/>
  <c r="B272" i="5"/>
  <c r="C145" i="5"/>
  <c r="G312" i="5"/>
  <c r="B15" i="5"/>
  <c r="A289" i="5"/>
  <c r="F38" i="5"/>
  <c r="I284" i="5"/>
  <c r="E291" i="5"/>
  <c r="D162" i="5"/>
  <c r="A314" i="5"/>
  <c r="A18" i="5"/>
  <c r="D221" i="5"/>
  <c r="I331" i="5"/>
  <c r="H62" i="5"/>
  <c r="I147" i="5"/>
  <c r="D85" i="5"/>
  <c r="A305" i="5"/>
  <c r="G52" i="5"/>
  <c r="C318" i="5"/>
  <c r="E314" i="5"/>
  <c r="H320" i="5"/>
  <c r="F267" i="5"/>
  <c r="I297" i="5"/>
  <c r="G230" i="5"/>
  <c r="H214" i="5"/>
  <c r="I129" i="5"/>
  <c r="C196" i="5"/>
  <c r="C173" i="5"/>
  <c r="H291" i="5"/>
  <c r="J135" i="5"/>
  <c r="B239" i="5"/>
  <c r="I22" i="5"/>
  <c r="H319" i="5"/>
  <c r="G74" i="5"/>
  <c r="A217" i="5"/>
  <c r="B281" i="5"/>
  <c r="A54" i="5"/>
  <c r="J350" i="5"/>
  <c r="C154" i="5"/>
  <c r="F47" i="5"/>
  <c r="B111" i="5"/>
  <c r="I158" i="5"/>
  <c r="K334" i="5"/>
  <c r="F74" i="5"/>
  <c r="G245" i="5"/>
  <c r="K56" i="5"/>
  <c r="J253" i="5"/>
  <c r="G134" i="5"/>
  <c r="G144" i="5"/>
  <c r="K350" i="5"/>
  <c r="J58" i="5"/>
  <c r="E53" i="5"/>
  <c r="F179" i="5"/>
  <c r="H47" i="5"/>
  <c r="G34" i="5"/>
  <c r="G126" i="5"/>
  <c r="E137" i="5"/>
  <c r="F101" i="5"/>
  <c r="D38" i="5"/>
  <c r="J92" i="5"/>
  <c r="I104" i="5"/>
  <c r="F86" i="5"/>
  <c r="B178" i="5"/>
  <c r="K155" i="5"/>
  <c r="F41" i="5"/>
  <c r="C109" i="5"/>
  <c r="B91" i="5"/>
  <c r="K343" i="5"/>
  <c r="G143" i="5"/>
  <c r="A104" i="5"/>
  <c r="G171" i="5"/>
  <c r="A178" i="5"/>
  <c r="A49" i="5"/>
  <c r="G211" i="5"/>
  <c r="F181" i="5"/>
  <c r="K116" i="5"/>
  <c r="D264" i="5"/>
  <c r="C240" i="5"/>
  <c r="D247" i="5"/>
  <c r="C133" i="5"/>
  <c r="B230" i="5"/>
  <c r="C141" i="5"/>
  <c r="C115" i="5"/>
  <c r="A118" i="5"/>
  <c r="H205" i="5"/>
  <c r="D47" i="5"/>
  <c r="K84" i="5"/>
  <c r="G247" i="5"/>
  <c r="K149" i="5"/>
  <c r="B59" i="5"/>
  <c r="F139" i="5"/>
  <c r="J166" i="5"/>
  <c r="G94" i="5"/>
  <c r="I155" i="5"/>
  <c r="B164" i="5"/>
  <c r="K305" i="5"/>
  <c r="K281" i="5"/>
  <c r="K20" i="5"/>
  <c r="A158" i="5"/>
  <c r="C207" i="5"/>
  <c r="H60" i="5"/>
  <c r="I156" i="5"/>
  <c r="E285" i="5"/>
  <c r="I114" i="5"/>
  <c r="E87" i="5"/>
  <c r="A215" i="5"/>
  <c r="K177" i="5"/>
  <c r="I16" i="5"/>
  <c r="I108" i="5"/>
  <c r="F84" i="5"/>
  <c r="K217" i="5"/>
  <c r="E179" i="5"/>
  <c r="B134" i="5"/>
  <c r="B99" i="5"/>
  <c r="I186" i="5"/>
  <c r="K70" i="5"/>
  <c r="B58" i="5"/>
  <c r="F153" i="5"/>
  <c r="E164" i="5"/>
  <c r="K103" i="5"/>
  <c r="G61" i="5"/>
  <c r="B49" i="5"/>
  <c r="A36" i="5"/>
  <c r="A128" i="5"/>
  <c r="I109" i="5"/>
  <c r="H168" i="5"/>
  <c r="B141" i="5"/>
  <c r="G49" i="5"/>
  <c r="H26" i="5"/>
  <c r="G164" i="5"/>
  <c r="H311" i="5"/>
  <c r="K203" i="5"/>
  <c r="A113" i="5"/>
  <c r="K208" i="5"/>
  <c r="J180" i="5"/>
  <c r="J176" i="5"/>
  <c r="K80" i="5"/>
  <c r="K51" i="5"/>
  <c r="J254" i="5"/>
  <c r="A120" i="5"/>
  <c r="D78" i="5"/>
  <c r="J84" i="5"/>
  <c r="F178" i="5"/>
  <c r="D215" i="5"/>
  <c r="J54" i="5"/>
  <c r="H250" i="5"/>
  <c r="D97" i="5"/>
  <c r="H16" i="5"/>
  <c r="B190" i="5"/>
  <c r="F160" i="5"/>
  <c r="K42" i="5"/>
  <c r="K136" i="5"/>
  <c r="G157" i="5"/>
  <c r="I228" i="5"/>
  <c r="C153" i="5"/>
  <c r="A19" i="5"/>
  <c r="G334" i="5"/>
  <c r="H146" i="5"/>
  <c r="C229" i="5"/>
  <c r="A281" i="5"/>
  <c r="F218" i="5"/>
  <c r="E135" i="5"/>
  <c r="A62" i="5"/>
  <c r="F175" i="5"/>
  <c r="B177" i="5"/>
  <c r="H44" i="5"/>
  <c r="E136" i="5"/>
  <c r="D118" i="5"/>
  <c r="I130" i="5"/>
  <c r="B18" i="5"/>
  <c r="C43" i="5"/>
  <c r="K134" i="5"/>
  <c r="I119" i="5"/>
  <c r="C132" i="5"/>
  <c r="A67" i="5"/>
  <c r="G190" i="5"/>
  <c r="E195" i="5"/>
  <c r="E15" i="5"/>
  <c r="J122" i="5"/>
  <c r="F59" i="5"/>
  <c r="D70" i="5"/>
  <c r="G36" i="5"/>
  <c r="F21" i="5"/>
  <c r="F113" i="5"/>
  <c r="A101" i="5"/>
  <c r="H37" i="5"/>
  <c r="H42" i="5"/>
  <c r="K209" i="5"/>
  <c r="H73" i="5"/>
  <c r="H157" i="5"/>
  <c r="A278" i="5"/>
  <c r="A311" i="5"/>
  <c r="D111" i="5"/>
  <c r="C291" i="5"/>
  <c r="B188" i="5"/>
  <c r="E163" i="5"/>
  <c r="E110" i="5"/>
  <c r="E242" i="5"/>
  <c r="E197" i="5"/>
  <c r="G135" i="5"/>
  <c r="A261" i="5"/>
  <c r="E233" i="5"/>
  <c r="K181" i="5"/>
  <c r="C189" i="5"/>
  <c r="A102" i="5"/>
  <c r="H189" i="5"/>
  <c r="B48" i="5"/>
  <c r="I184" i="5"/>
  <c r="A191" i="5"/>
  <c r="B24" i="5"/>
  <c r="F122" i="5"/>
  <c r="I110" i="5"/>
  <c r="E198" i="5"/>
  <c r="C66" i="5"/>
  <c r="E90" i="5"/>
  <c r="I172" i="5"/>
  <c r="K212" i="5"/>
  <c r="J244" i="5"/>
  <c r="C181" i="5"/>
  <c r="I264" i="5"/>
  <c r="F180" i="5"/>
  <c r="F312" i="5"/>
  <c r="C224" i="5"/>
  <c r="F235" i="5"/>
  <c r="B112" i="5"/>
  <c r="B89" i="5"/>
  <c r="H160" i="5"/>
  <c r="K199" i="5"/>
  <c r="K67" i="5"/>
  <c r="C105" i="5"/>
  <c r="D282" i="5"/>
  <c r="F107" i="5"/>
  <c r="H41" i="5"/>
  <c r="F66" i="5"/>
  <c r="K171" i="5"/>
  <c r="D289" i="5"/>
  <c r="K108" i="5"/>
  <c r="A99" i="5"/>
  <c r="H204" i="5"/>
  <c r="B172" i="5"/>
  <c r="A15" i="5"/>
  <c r="J63" i="5"/>
  <c r="H74" i="5"/>
  <c r="C62" i="5"/>
  <c r="H98" i="5"/>
  <c r="A45" i="5"/>
  <c r="I136" i="5"/>
  <c r="D124" i="5"/>
  <c r="K60" i="5"/>
  <c r="K65" i="5"/>
  <c r="J201" i="5"/>
  <c r="E109" i="5"/>
  <c r="I32" i="5"/>
  <c r="J95" i="5"/>
  <c r="I314" i="5"/>
  <c r="D273" i="5"/>
  <c r="D51" i="5"/>
  <c r="E320" i="5"/>
  <c r="J202" i="5"/>
  <c r="J220" i="5"/>
  <c r="B96" i="5"/>
  <c r="I139" i="5"/>
  <c r="G189" i="5"/>
  <c r="I339" i="5"/>
  <c r="C321" i="5"/>
  <c r="G316" i="5"/>
  <c r="I321" i="5"/>
  <c r="E344" i="5"/>
  <c r="G234" i="5"/>
  <c r="A172" i="5"/>
  <c r="K91" i="5"/>
  <c r="D141" i="5"/>
  <c r="F182" i="5"/>
  <c r="C89" i="5"/>
  <c r="B16" i="5"/>
  <c r="J275" i="5"/>
  <c r="A90" i="5"/>
  <c r="G35" i="5"/>
  <c r="D201" i="5"/>
  <c r="I123" i="5"/>
  <c r="G79" i="5"/>
  <c r="B119" i="5"/>
  <c r="J178" i="5"/>
  <c r="G238" i="5"/>
  <c r="J245" i="5"/>
  <c r="I83" i="5"/>
  <c r="H185" i="5"/>
  <c r="E184" i="5"/>
  <c r="D37" i="5"/>
  <c r="B129" i="5"/>
  <c r="G125" i="5"/>
  <c r="A138" i="5"/>
  <c r="C61" i="5"/>
  <c r="D199" i="5"/>
  <c r="C201" i="5"/>
  <c r="B27" i="5"/>
  <c r="C147" i="5"/>
  <c r="I59" i="5"/>
  <c r="H203" i="5"/>
  <c r="H202" i="5"/>
  <c r="J110" i="5"/>
  <c r="E122" i="5"/>
  <c r="A210" i="5"/>
  <c r="C168" i="5"/>
  <c r="F50" i="5"/>
  <c r="F112" i="5"/>
  <c r="K82" i="5"/>
  <c r="J89" i="5"/>
  <c r="E27" i="5"/>
  <c r="C71" i="5"/>
  <c r="C46" i="5"/>
  <c r="G15" i="5"/>
  <c r="B39" i="5"/>
  <c r="D108" i="5"/>
  <c r="I120" i="5"/>
  <c r="I28" i="5"/>
  <c r="B33" i="5"/>
  <c r="D52" i="5"/>
  <c r="J32" i="5"/>
  <c r="D54" i="5"/>
  <c r="A58" i="5"/>
  <c r="H112" i="5"/>
  <c r="J154" i="5"/>
  <c r="K79" i="5"/>
  <c r="F37" i="5"/>
  <c r="C41" i="5"/>
  <c r="E62" i="5"/>
  <c r="A290" i="5"/>
  <c r="E234" i="5"/>
  <c r="B291" i="5"/>
  <c r="D77" i="5"/>
  <c r="B326" i="5"/>
  <c r="F31" i="5"/>
  <c r="D314" i="5"/>
  <c r="J37" i="5"/>
  <c r="F282" i="5"/>
  <c r="H82" i="5"/>
  <c r="I70" i="5"/>
  <c r="F158" i="5"/>
  <c r="J187" i="5"/>
  <c r="A241" i="5"/>
  <c r="G248" i="5"/>
  <c r="E272" i="5"/>
  <c r="J48" i="5"/>
  <c r="I294" i="5"/>
  <c r="C103" i="5"/>
  <c r="C183" i="5"/>
  <c r="A257" i="5"/>
  <c r="J91" i="5"/>
  <c r="K245" i="5"/>
  <c r="C69" i="5"/>
  <c r="F106" i="5"/>
  <c r="K172" i="5"/>
  <c r="K187" i="5"/>
  <c r="B265" i="5"/>
  <c r="K125" i="5"/>
  <c r="K298" i="5"/>
  <c r="J78" i="5"/>
  <c r="F290" i="5"/>
  <c r="H20" i="5"/>
  <c r="F168" i="5"/>
  <c r="D254" i="5"/>
  <c r="D136" i="5"/>
  <c r="C171" i="5"/>
  <c r="I107" i="5"/>
  <c r="B19" i="5"/>
  <c r="G181" i="5"/>
  <c r="H312" i="5"/>
  <c r="I287" i="5"/>
  <c r="B225" i="5"/>
  <c r="C319" i="5"/>
  <c r="C264" i="5"/>
  <c r="J273" i="5"/>
  <c r="H87" i="5"/>
  <c r="K165" i="5"/>
  <c r="D231" i="5"/>
  <c r="E159" i="5"/>
  <c r="B66" i="5"/>
  <c r="E210" i="5"/>
  <c r="A153" i="5"/>
  <c r="D196" i="5"/>
  <c r="G212" i="5"/>
  <c r="G321" i="5"/>
  <c r="I159" i="5"/>
  <c r="J279" i="5"/>
  <c r="D137" i="5"/>
  <c r="H343" i="5"/>
  <c r="J42" i="5"/>
  <c r="B132" i="5"/>
  <c r="H307" i="5"/>
  <c r="K45" i="5"/>
  <c r="K146" i="5"/>
  <c r="I88" i="5"/>
  <c r="A79" i="5"/>
  <c r="G66" i="5"/>
  <c r="I53" i="5"/>
  <c r="A20" i="5"/>
  <c r="A112" i="5"/>
  <c r="E46" i="5"/>
  <c r="C57" i="5"/>
  <c r="I44" i="5"/>
  <c r="J25" i="5"/>
  <c r="J117" i="5"/>
  <c r="I185" i="5"/>
  <c r="F191" i="5"/>
  <c r="F169" i="5"/>
  <c r="K101" i="5"/>
  <c r="E327" i="5"/>
  <c r="E33" i="5"/>
  <c r="G263" i="5"/>
  <c r="C146" i="5"/>
  <c r="H46" i="5"/>
  <c r="H169" i="5"/>
  <c r="E50" i="5"/>
  <c r="G154" i="5"/>
  <c r="A27" i="5"/>
  <c r="G228" i="5"/>
  <c r="I342" i="5"/>
  <c r="K106" i="5"/>
  <c r="D61" i="5"/>
  <c r="A209" i="5"/>
  <c r="A175" i="5"/>
  <c r="D31" i="5"/>
  <c r="B149" i="5"/>
  <c r="B108" i="5"/>
  <c r="G120" i="5"/>
  <c r="H78" i="5"/>
  <c r="G174" i="5"/>
  <c r="I183" i="5"/>
  <c r="F15" i="5"/>
  <c r="E141" i="5"/>
  <c r="B131" i="5"/>
  <c r="F251" i="5"/>
  <c r="I124" i="5"/>
  <c r="F68" i="5"/>
  <c r="E114" i="5"/>
  <c r="A144" i="5"/>
  <c r="G55" i="5"/>
  <c r="B258" i="5"/>
  <c r="B156" i="5"/>
  <c r="G160" i="5"/>
  <c r="E30" i="5"/>
  <c r="G201" i="5"/>
  <c r="H225" i="5"/>
  <c r="J104" i="5"/>
  <c r="I81" i="5"/>
  <c r="F151" i="5"/>
  <c r="H192" i="5"/>
  <c r="I48" i="5"/>
  <c r="G129" i="5"/>
  <c r="I100" i="5"/>
  <c r="K152" i="5"/>
  <c r="B194" i="5"/>
  <c r="I73" i="5"/>
  <c r="G16" i="5"/>
  <c r="G271" i="5"/>
  <c r="H101" i="5"/>
  <c r="A17" i="5"/>
  <c r="C98" i="5"/>
  <c r="A77" i="5"/>
  <c r="G43" i="5"/>
  <c r="D135" i="5"/>
  <c r="H69" i="5"/>
  <c r="F80" i="5"/>
  <c r="A68" i="5"/>
  <c r="E49" i="5"/>
  <c r="J141" i="5"/>
  <c r="E154" i="5"/>
  <c r="J123" i="5"/>
  <c r="C28" i="5"/>
  <c r="D112" i="5"/>
  <c r="K237" i="5"/>
  <c r="J325" i="5"/>
  <c r="F268" i="5"/>
  <c r="D256" i="5"/>
  <c r="J227" i="5"/>
  <c r="A157" i="5"/>
  <c r="J264" i="5"/>
  <c r="J181" i="5"/>
  <c r="G76" i="5"/>
  <c r="H190" i="5"/>
  <c r="C51" i="5"/>
  <c r="A249" i="5"/>
  <c r="D157" i="5"/>
  <c r="D125" i="5"/>
  <c r="C214" i="5"/>
  <c r="H91" i="5"/>
  <c r="C165" i="5"/>
  <c r="J216" i="5"/>
  <c r="I148" i="5"/>
  <c r="C99" i="5"/>
  <c r="A134" i="5"/>
  <c r="C175" i="5"/>
  <c r="D74" i="5"/>
  <c r="H186" i="5"/>
  <c r="H133" i="5"/>
  <c r="K164" i="5"/>
  <c r="D204" i="5"/>
  <c r="H93" i="5"/>
  <c r="G261" i="5"/>
  <c r="C284" i="5"/>
  <c r="E283" i="5"/>
  <c r="I201" i="5"/>
  <c r="C169" i="5"/>
  <c r="D144" i="5"/>
  <c r="K88" i="5"/>
  <c r="G176" i="5"/>
  <c r="E76" i="5"/>
  <c r="H224" i="5"/>
  <c r="B251" i="5"/>
  <c r="J120" i="5"/>
  <c r="H100" i="5"/>
  <c r="K74" i="5"/>
  <c r="D236" i="5"/>
  <c r="A254" i="5"/>
  <c r="D122" i="5"/>
  <c r="B75" i="5"/>
  <c r="K160" i="5"/>
  <c r="B210" i="5"/>
  <c r="F62" i="5"/>
  <c r="I161" i="5"/>
  <c r="I141" i="5"/>
  <c r="J90" i="5"/>
  <c r="K44" i="5"/>
  <c r="F53" i="5"/>
  <c r="H40" i="5"/>
  <c r="E132" i="5"/>
  <c r="K119" i="5"/>
  <c r="I50" i="5"/>
  <c r="K92" i="5"/>
  <c r="E127" i="5"/>
  <c r="B34" i="5"/>
  <c r="C75" i="5"/>
  <c r="K232" i="5"/>
  <c r="D91" i="5"/>
  <c r="G185" i="5"/>
  <c r="D67" i="5"/>
  <c r="E18" i="5"/>
  <c r="F156" i="5"/>
  <c r="D42" i="5"/>
  <c r="E126" i="5"/>
  <c r="F231" i="5"/>
  <c r="B242" i="5"/>
  <c r="H306" i="5"/>
  <c r="J354" i="5"/>
  <c r="B295" i="5"/>
  <c r="I299" i="5"/>
  <c r="H270" i="5"/>
  <c r="G104" i="5"/>
  <c r="F79" i="5"/>
  <c r="E172" i="5"/>
  <c r="I205" i="5"/>
  <c r="B62" i="5"/>
  <c r="D160" i="5"/>
  <c r="G279" i="5"/>
  <c r="D113" i="5"/>
  <c r="E201" i="5"/>
  <c r="B87" i="5"/>
  <c r="B103" i="5"/>
  <c r="C204" i="5"/>
  <c r="B170" i="5"/>
  <c r="K327" i="5"/>
  <c r="D320" i="5"/>
  <c r="B337" i="5"/>
  <c r="I220" i="5"/>
  <c r="H207" i="5"/>
  <c r="J105" i="5"/>
  <c r="J148" i="5"/>
  <c r="I165" i="5"/>
  <c r="K37" i="5"/>
  <c r="B184" i="5"/>
  <c r="D217" i="5"/>
  <c r="A161" i="5"/>
  <c r="K123" i="5"/>
  <c r="C36" i="5"/>
  <c r="F188" i="5"/>
  <c r="I218" i="5"/>
  <c r="K163" i="5"/>
  <c r="G87" i="5"/>
  <c r="H145" i="5"/>
  <c r="J186" i="5"/>
  <c r="B146" i="5"/>
  <c r="A84" i="5"/>
  <c r="G31" i="5"/>
  <c r="B60" i="5"/>
  <c r="I76" i="5"/>
  <c r="K63" i="5"/>
  <c r="E165" i="5"/>
  <c r="C143" i="5"/>
  <c r="A74" i="5"/>
  <c r="K189" i="5"/>
  <c r="A192" i="5"/>
  <c r="E93" i="5"/>
  <c r="J85" i="5"/>
  <c r="K315" i="5"/>
  <c r="J159" i="5"/>
  <c r="D35" i="5"/>
  <c r="H76" i="5"/>
  <c r="D313" i="5"/>
  <c r="F117" i="5"/>
  <c r="I64" i="5"/>
  <c r="F132" i="5"/>
  <c r="G202" i="5"/>
  <c r="H274" i="5"/>
  <c r="C320" i="5"/>
  <c r="D19" i="5"/>
  <c r="F193" i="5"/>
  <c r="D198" i="5"/>
  <c r="D21" i="5"/>
  <c r="D123" i="5"/>
  <c r="E131" i="5"/>
  <c r="J143" i="5"/>
  <c r="E55" i="5"/>
  <c r="K210" i="5"/>
  <c r="A207" i="5"/>
  <c r="F141" i="5"/>
  <c r="B118" i="5"/>
  <c r="H201" i="5"/>
  <c r="H116" i="5"/>
  <c r="J36" i="5"/>
  <c r="I127" i="5"/>
  <c r="C101" i="5"/>
  <c r="J149" i="5"/>
  <c r="E155" i="5"/>
  <c r="C96" i="5"/>
  <c r="J183" i="5"/>
  <c r="B69" i="5"/>
  <c r="H247" i="5"/>
  <c r="I266" i="5"/>
  <c r="B128" i="5"/>
  <c r="D69" i="5"/>
  <c r="I166" i="5"/>
  <c r="B220" i="5"/>
  <c r="B92" i="5"/>
  <c r="J152" i="5"/>
  <c r="J67" i="5"/>
  <c r="A223" i="5"/>
  <c r="D143" i="5"/>
  <c r="K124" i="5"/>
  <c r="F239" i="5"/>
  <c r="K24" i="5"/>
  <c r="G86" i="5"/>
  <c r="F64" i="5"/>
  <c r="F69" i="5"/>
  <c r="I30" i="5"/>
  <c r="I25" i="5"/>
  <c r="E89" i="5"/>
  <c r="C170" i="5"/>
  <c r="B65" i="5"/>
  <c r="G45" i="5"/>
  <c r="K93" i="5"/>
  <c r="H144" i="5"/>
  <c r="B125" i="5"/>
  <c r="H18" i="5"/>
  <c r="I37" i="5"/>
  <c r="K49" i="5"/>
  <c r="B30" i="5"/>
  <c r="G72" i="5"/>
  <c r="I322" i="5"/>
  <c r="F174" i="5"/>
  <c r="D248" i="5"/>
  <c r="E204" i="5"/>
  <c r="K255" i="5"/>
  <c r="I222" i="5"/>
  <c r="D280" i="5"/>
  <c r="C80" i="5"/>
  <c r="A280" i="5"/>
  <c r="B115" i="5"/>
  <c r="D308" i="5"/>
  <c r="H229" i="5"/>
  <c r="J137" i="5"/>
  <c r="F173" i="5"/>
  <c r="B226" i="5"/>
  <c r="C263" i="5"/>
  <c r="D261" i="5"/>
  <c r="J270" i="5"/>
  <c r="K175" i="5"/>
  <c r="I249" i="5"/>
  <c r="A142" i="5"/>
  <c r="H349" i="5"/>
  <c r="E94" i="5"/>
  <c r="D203" i="5"/>
  <c r="K109" i="5"/>
  <c r="I196" i="5"/>
  <c r="H294" i="5"/>
  <c r="F260" i="5"/>
  <c r="E123" i="5"/>
  <c r="G320" i="5"/>
  <c r="C161" i="5"/>
  <c r="A247" i="5"/>
  <c r="B105" i="5"/>
  <c r="H180" i="5"/>
  <c r="J247" i="5"/>
  <c r="F28" i="5"/>
  <c r="B231" i="5"/>
  <c r="E69" i="5"/>
  <c r="F230" i="5"/>
  <c r="I260" i="5"/>
  <c r="C272" i="5"/>
  <c r="B85" i="5"/>
  <c r="G331" i="5"/>
  <c r="D16" i="5"/>
  <c r="H158" i="5"/>
  <c r="H285" i="5"/>
  <c r="I19" i="5"/>
  <c r="D340" i="5"/>
  <c r="G351" i="5"/>
  <c r="E211" i="5"/>
  <c r="C200" i="5"/>
  <c r="J29" i="5"/>
  <c r="E175" i="5"/>
  <c r="J204" i="5"/>
  <c r="K323" i="5"/>
  <c r="G335" i="5"/>
  <c r="C157" i="5"/>
  <c r="J342" i="5"/>
  <c r="J124" i="5"/>
  <c r="E300" i="5"/>
  <c r="F76" i="5"/>
  <c r="F299" i="5"/>
  <c r="E267" i="5"/>
  <c r="J179" i="5"/>
  <c r="K95" i="5"/>
  <c r="C31" i="5"/>
  <c r="I92" i="5"/>
  <c r="F89" i="5"/>
  <c r="A52" i="5"/>
  <c r="H128" i="5"/>
  <c r="D65" i="5"/>
  <c r="B76" i="5"/>
  <c r="J57" i="5"/>
  <c r="H281" i="5"/>
  <c r="J196" i="5"/>
  <c r="G116" i="5"/>
  <c r="D259" i="5"/>
  <c r="G243" i="5"/>
  <c r="I319" i="5"/>
  <c r="H52" i="5"/>
  <c r="J221" i="5"/>
  <c r="C220" i="5"/>
  <c r="J27" i="5"/>
  <c r="I29" i="5"/>
  <c r="D205" i="5"/>
  <c r="G111" i="5"/>
  <c r="C199" i="5"/>
  <c r="I191" i="5"/>
  <c r="G148" i="5"/>
  <c r="I189" i="5"/>
  <c r="D63" i="5"/>
  <c r="H217" i="5"/>
  <c r="H233" i="5"/>
  <c r="H110" i="5"/>
  <c r="A92" i="5"/>
  <c r="I157" i="5"/>
  <c r="F198" i="5"/>
  <c r="A81" i="5"/>
  <c r="A193" i="5"/>
  <c r="B204" i="5"/>
  <c r="K113" i="5"/>
  <c r="E169" i="5"/>
  <c r="E120" i="5"/>
  <c r="I296" i="5"/>
  <c r="A183" i="5"/>
  <c r="H337" i="5"/>
  <c r="E282" i="5"/>
  <c r="E265" i="5"/>
  <c r="E160" i="5"/>
  <c r="I38" i="5"/>
  <c r="F207" i="5"/>
  <c r="E200" i="5"/>
  <c r="B21" i="5"/>
  <c r="B113" i="5"/>
  <c r="G141" i="5"/>
  <c r="A154" i="5"/>
  <c r="B80" i="5"/>
  <c r="H19" i="5"/>
  <c r="H111" i="5"/>
  <c r="A143" i="5"/>
  <c r="F155" i="5"/>
  <c r="I43" i="5"/>
  <c r="F172" i="5"/>
  <c r="G225" i="5"/>
  <c r="B153" i="5"/>
  <c r="G99" i="5"/>
  <c r="K35" i="5"/>
  <c r="A47" i="5"/>
  <c r="D75" i="5"/>
  <c r="K151" i="5"/>
  <c r="H95" i="5"/>
  <c r="B81" i="5"/>
  <c r="K178" i="5"/>
  <c r="F25" i="5"/>
  <c r="I188" i="5"/>
  <c r="K129" i="5"/>
  <c r="G153" i="5"/>
  <c r="E161" i="5"/>
  <c r="F326" i="5"/>
  <c r="H297" i="5"/>
  <c r="D154" i="5"/>
  <c r="C116" i="5"/>
  <c r="F57" i="5"/>
  <c r="C188" i="5"/>
  <c r="H106" i="5"/>
  <c r="F204" i="5"/>
  <c r="E275" i="5"/>
  <c r="H240" i="5"/>
  <c r="H241" i="5"/>
  <c r="K248" i="5"/>
  <c r="E115" i="5"/>
  <c r="J127" i="5"/>
  <c r="C56" i="5"/>
  <c r="C184" i="5"/>
  <c r="K182" i="5"/>
  <c r="J38" i="5"/>
  <c r="G130" i="5"/>
  <c r="B124" i="5"/>
  <c r="G136" i="5"/>
  <c r="D83" i="5"/>
  <c r="K247" i="5"/>
  <c r="J20" i="5"/>
  <c r="J72" i="5"/>
  <c r="D147" i="5"/>
  <c r="H210" i="5"/>
  <c r="E328" i="5"/>
  <c r="H335" i="5"/>
  <c r="J250" i="5"/>
  <c r="I142" i="5"/>
  <c r="K183" i="5"/>
  <c r="D86" i="5"/>
  <c r="D25" i="5"/>
  <c r="E227" i="5"/>
  <c r="F91" i="5"/>
  <c r="F22" i="5"/>
  <c r="E181" i="5"/>
  <c r="B221" i="5"/>
  <c r="D40" i="5"/>
  <c r="A132" i="5"/>
  <c r="A21" i="5"/>
  <c r="D184" i="5"/>
  <c r="A224" i="5"/>
  <c r="I23" i="5"/>
  <c r="J157" i="5"/>
  <c r="B161" i="5"/>
  <c r="F163" i="5"/>
  <c r="C32" i="5"/>
  <c r="E81" i="5"/>
  <c r="D30" i="5"/>
  <c r="C122" i="5"/>
  <c r="C127" i="5"/>
  <c r="B88" i="5"/>
  <c r="E72" i="5"/>
  <c r="G59" i="5"/>
  <c r="D155" i="5"/>
  <c r="A133" i="5"/>
  <c r="G84" i="5"/>
  <c r="C137" i="5"/>
  <c r="J211" i="5"/>
  <c r="K157" i="5"/>
  <c r="C344" i="5"/>
  <c r="F184" i="5"/>
  <c r="A313" i="5"/>
  <c r="F30" i="5"/>
  <c r="A137" i="5"/>
  <c r="F144" i="5"/>
  <c r="H132" i="5"/>
  <c r="D56" i="5"/>
  <c r="E142" i="5"/>
  <c r="B202" i="5"/>
  <c r="B255" i="5"/>
  <c r="E262" i="5"/>
  <c r="A100" i="5"/>
  <c r="D178" i="5"/>
  <c r="E214" i="5"/>
  <c r="A156" i="5"/>
  <c r="G166" i="5"/>
  <c r="H154" i="5"/>
  <c r="B159" i="5"/>
  <c r="J31" i="5"/>
  <c r="I195" i="5"/>
  <c r="J223" i="5"/>
  <c r="E103" i="5"/>
  <c r="J94" i="5"/>
  <c r="B205" i="5"/>
  <c r="D72" i="5"/>
  <c r="H57" i="5"/>
  <c r="E28" i="5"/>
  <c r="B236" i="5"/>
  <c r="H88" i="5"/>
  <c r="K46" i="5"/>
  <c r="F206" i="5"/>
  <c r="F119" i="5"/>
  <c r="B207" i="5"/>
  <c r="J45" i="5"/>
  <c r="I90" i="5"/>
  <c r="F250" i="5"/>
  <c r="E151" i="5"/>
  <c r="A46" i="5"/>
  <c r="D197" i="5"/>
  <c r="B193" i="5"/>
  <c r="G63" i="5"/>
  <c r="H164" i="5"/>
  <c r="G44" i="5"/>
  <c r="I198" i="5"/>
  <c r="G194" i="5"/>
  <c r="K26" i="5"/>
  <c r="K118" i="5"/>
  <c r="I135" i="5"/>
  <c r="C148" i="5"/>
  <c r="K89" i="5"/>
  <c r="D103" i="5"/>
  <c r="B114" i="5"/>
  <c r="C68" i="5"/>
  <c r="J22" i="5"/>
  <c r="H33" i="5"/>
  <c r="B84" i="5"/>
  <c r="G21" i="5"/>
  <c r="D156" i="5"/>
  <c r="I241" i="5"/>
  <c r="C227" i="5"/>
  <c r="D181" i="5"/>
  <c r="G220" i="5"/>
  <c r="K289" i="5"/>
  <c r="C159" i="5"/>
  <c r="F236" i="5"/>
  <c r="D87" i="5"/>
  <c r="D150" i="5"/>
  <c r="G195" i="5"/>
  <c r="B147" i="5"/>
  <c r="K150" i="5"/>
  <c r="C45" i="5"/>
  <c r="F143" i="5"/>
  <c r="A28" i="5"/>
  <c r="B93" i="5"/>
  <c r="K158" i="5"/>
  <c r="J163" i="5"/>
  <c r="D214" i="5"/>
  <c r="A40" i="5"/>
  <c r="I283" i="5"/>
  <c r="G215" i="5"/>
  <c r="K133" i="5"/>
  <c r="F63" i="5"/>
  <c r="A174" i="5"/>
  <c r="H175" i="5"/>
  <c r="I57" i="5"/>
  <c r="E207" i="5"/>
  <c r="K256" i="5"/>
  <c r="G100" i="5"/>
  <c r="K214" i="5"/>
  <c r="I160" i="5"/>
  <c r="C270" i="5"/>
  <c r="C149" i="5"/>
  <c r="H196" i="5"/>
  <c r="E232" i="5"/>
  <c r="F256" i="5"/>
  <c r="I98" i="5"/>
  <c r="C15" i="5"/>
  <c r="G191" i="5"/>
  <c r="K161" i="5"/>
  <c r="G151" i="5"/>
  <c r="H81" i="5"/>
  <c r="D169" i="5"/>
  <c r="J56" i="5"/>
  <c r="B150" i="5"/>
  <c r="B83" i="5"/>
  <c r="J239" i="5"/>
  <c r="J41" i="5"/>
  <c r="H53" i="5"/>
  <c r="A85" i="5"/>
  <c r="F129" i="5"/>
  <c r="E157" i="5"/>
  <c r="A61" i="5"/>
  <c r="H79" i="5"/>
  <c r="H102" i="5"/>
  <c r="D81" i="5"/>
  <c r="F34" i="5"/>
  <c r="K76" i="5"/>
  <c r="G131" i="5"/>
  <c r="H56" i="5"/>
  <c r="G75" i="5"/>
  <c r="E56" i="5"/>
  <c r="G77" i="5"/>
  <c r="I93" i="5"/>
  <c r="K135" i="5"/>
  <c r="E116" i="5"/>
  <c r="E29" i="5"/>
  <c r="D133" i="5"/>
  <c r="D330" i="5"/>
  <c r="E325" i="5"/>
  <c r="D345" i="5"/>
  <c r="H195" i="5"/>
  <c r="C247" i="5"/>
  <c r="A114" i="5"/>
  <c r="C119" i="5"/>
  <c r="I202" i="5"/>
  <c r="D121" i="5"/>
  <c r="J121" i="5"/>
  <c r="H198" i="5"/>
  <c r="K220" i="5"/>
  <c r="G347" i="5"/>
  <c r="I144" i="5"/>
  <c r="J255" i="5"/>
  <c r="C130" i="5"/>
  <c r="I134" i="5"/>
  <c r="K332" i="5"/>
  <c r="B45" i="5"/>
  <c r="B303" i="5"/>
  <c r="H298" i="5"/>
  <c r="I113" i="5"/>
  <c r="J108" i="5"/>
  <c r="B46" i="5"/>
  <c r="I214" i="5"/>
  <c r="C243" i="5"/>
  <c r="K353" i="5"/>
  <c r="K111" i="5"/>
  <c r="F311" i="5"/>
  <c r="J98" i="5"/>
  <c r="E173" i="5"/>
  <c r="G240" i="5"/>
  <c r="H316" i="5"/>
  <c r="A329" i="5"/>
  <c r="A239" i="5"/>
  <c r="C253" i="5"/>
  <c r="K23" i="5"/>
  <c r="J87" i="5"/>
  <c r="G108" i="5"/>
  <c r="J340" i="5"/>
  <c r="F44" i="5"/>
  <c r="C342" i="5"/>
  <c r="C139" i="5"/>
  <c r="A333" i="5"/>
  <c r="D344" i="5"/>
  <c r="H134" i="5"/>
  <c r="I327" i="5"/>
  <c r="H99" i="5"/>
  <c r="J145" i="5"/>
  <c r="J237" i="5"/>
  <c r="J77" i="5"/>
  <c r="A236" i="5"/>
  <c r="B311" i="5"/>
  <c r="F278" i="5"/>
  <c r="G51" i="5"/>
  <c r="E252" i="5"/>
  <c r="C70" i="5"/>
  <c r="I258" i="5"/>
  <c r="I274" i="5"/>
  <c r="A177" i="5"/>
  <c r="B261" i="5"/>
  <c r="D127" i="5"/>
  <c r="A180" i="5"/>
  <c r="K75" i="5"/>
  <c r="H15" i="5"/>
  <c r="H107" i="5"/>
  <c r="C95" i="5"/>
  <c r="B55" i="5"/>
  <c r="C85" i="5"/>
  <c r="D68" i="5"/>
  <c r="G105" i="5"/>
  <c r="G147" i="5"/>
  <c r="K86" i="5"/>
  <c r="J96" i="5"/>
  <c r="A127" i="5"/>
  <c r="G65" i="5"/>
  <c r="B169" i="5"/>
  <c r="I204" i="5"/>
  <c r="D179" i="5"/>
  <c r="K301" i="5"/>
  <c r="J263" i="5"/>
  <c r="G254" i="5"/>
  <c r="I151" i="5"/>
  <c r="C233" i="5"/>
  <c r="F195" i="5"/>
  <c r="A164" i="5"/>
  <c r="D93" i="5"/>
  <c r="E196" i="5"/>
  <c r="D239" i="5"/>
  <c r="G156" i="5"/>
  <c r="F287" i="5"/>
  <c r="B319" i="5"/>
  <c r="H138" i="5"/>
  <c r="B151" i="5"/>
  <c r="H32" i="5"/>
  <c r="J217" i="5"/>
  <c r="C206" i="5"/>
  <c r="D15" i="5"/>
  <c r="D107" i="5"/>
  <c r="E147" i="5"/>
  <c r="J162" i="5"/>
  <c r="A51" i="5"/>
  <c r="G272" i="5"/>
  <c r="C172" i="5"/>
  <c r="D188" i="5"/>
  <c r="D166" i="5"/>
  <c r="D130" i="5"/>
  <c r="F348" i="5"/>
  <c r="I285" i="5"/>
  <c r="E345" i="5"/>
  <c r="C186" i="5"/>
  <c r="F192" i="5"/>
  <c r="C21" i="5"/>
  <c r="A121" i="5"/>
  <c r="C112" i="5"/>
  <c r="J199" i="5"/>
  <c r="B53" i="5"/>
  <c r="J144" i="5"/>
  <c r="K235" i="5"/>
  <c r="B144" i="5"/>
  <c r="K94" i="5"/>
  <c r="H51" i="5"/>
  <c r="H150" i="5"/>
  <c r="J238" i="5"/>
  <c r="G145" i="5"/>
  <c r="J51" i="5"/>
  <c r="A190" i="5"/>
  <c r="D187" i="5"/>
  <c r="C39" i="5"/>
  <c r="K130" i="5"/>
  <c r="F118" i="5"/>
  <c r="E78" i="5"/>
  <c r="E21" i="5"/>
  <c r="G101" i="5"/>
  <c r="B17" i="5"/>
  <c r="B109" i="5"/>
  <c r="H96" i="5"/>
  <c r="C27" i="5"/>
  <c r="E253" i="5"/>
  <c r="J26" i="5"/>
  <c r="F116" i="5"/>
  <c r="A181" i="5"/>
  <c r="E187" i="5"/>
  <c r="I227" i="5"/>
  <c r="C53" i="5"/>
  <c r="F85" i="5"/>
  <c r="I54" i="5"/>
  <c r="J107" i="5"/>
  <c r="B86" i="5"/>
  <c r="C24" i="5"/>
  <c r="K180" i="5"/>
  <c r="I178" i="5"/>
  <c r="H336" i="5"/>
  <c r="F351" i="5"/>
  <c r="B313" i="5"/>
  <c r="B263" i="5"/>
  <c r="D245" i="5"/>
  <c r="K117" i="5"/>
  <c r="F138" i="5"/>
  <c r="I94" i="5"/>
  <c r="E182" i="5"/>
  <c r="G70" i="5"/>
  <c r="E287" i="5"/>
  <c r="I262" i="5"/>
  <c r="H126" i="5"/>
  <c r="K102" i="5"/>
  <c r="C121" i="5"/>
  <c r="G207" i="5"/>
  <c r="C276" i="5"/>
  <c r="D53" i="5"/>
  <c r="E205" i="5"/>
  <c r="A29" i="5"/>
  <c r="D164" i="5"/>
  <c r="B333" i="5"/>
  <c r="J132" i="5"/>
  <c r="D145" i="5"/>
  <c r="K53" i="5"/>
  <c r="K218" i="5"/>
  <c r="F208" i="5"/>
  <c r="K142" i="5"/>
  <c r="A105" i="5"/>
  <c r="C128" i="5"/>
  <c r="A220" i="5"/>
  <c r="A72" i="5"/>
  <c r="D106" i="5"/>
  <c r="G103" i="5"/>
  <c r="H129" i="5"/>
  <c r="K222" i="5"/>
  <c r="E35" i="5"/>
  <c r="C16" i="5"/>
  <c r="D281" i="5"/>
  <c r="C166" i="5"/>
  <c r="G40" i="5"/>
  <c r="E51" i="5"/>
  <c r="K38" i="5"/>
  <c r="J66" i="5"/>
  <c r="I103" i="5"/>
  <c r="B82" i="5"/>
  <c r="F18" i="5"/>
  <c r="B101" i="5"/>
  <c r="H72" i="5"/>
  <c r="E178" i="5"/>
  <c r="K33" i="5"/>
  <c r="F211" i="5"/>
  <c r="C259" i="5"/>
  <c r="C140" i="5"/>
  <c r="B246" i="5"/>
  <c r="E322" i="5"/>
  <c r="F330" i="5"/>
  <c r="E180" i="5"/>
  <c r="G163" i="5"/>
  <c r="A196" i="5"/>
  <c r="G175" i="5"/>
  <c r="K139" i="5"/>
  <c r="E60" i="5"/>
  <c r="A151" i="5"/>
  <c r="A60" i="5"/>
  <c r="K115" i="5"/>
  <c r="D200" i="5"/>
  <c r="K192" i="5"/>
  <c r="C190" i="5"/>
  <c r="B78" i="5"/>
  <c r="J24" i="5"/>
  <c r="B262" i="5"/>
  <c r="F157" i="5"/>
  <c r="C40" i="5"/>
  <c r="G204" i="5"/>
  <c r="K198" i="5"/>
  <c r="C34" i="5"/>
  <c r="C126" i="5"/>
  <c r="J257" i="5"/>
  <c r="E162" i="5"/>
  <c r="J160" i="5"/>
  <c r="A89" i="5"/>
  <c r="J205" i="5"/>
  <c r="E84" i="5"/>
  <c r="B148" i="5"/>
  <c r="J289" i="5"/>
  <c r="G109" i="5"/>
  <c r="A122" i="5"/>
  <c r="C77" i="5"/>
  <c r="A176" i="5"/>
  <c r="C185" i="5"/>
  <c r="D128" i="5"/>
  <c r="K104" i="5"/>
  <c r="G192" i="5"/>
  <c r="D33" i="5"/>
  <c r="E144" i="5"/>
  <c r="J126" i="5"/>
  <c r="E106" i="5"/>
  <c r="A194" i="5"/>
  <c r="K58" i="5"/>
  <c r="G121" i="5"/>
  <c r="D224" i="5"/>
  <c r="D138" i="5"/>
  <c r="I55" i="5"/>
  <c r="D43" i="5"/>
  <c r="C30" i="5"/>
  <c r="H147" i="5"/>
  <c r="F150" i="5"/>
  <c r="E105" i="5"/>
  <c r="A42" i="5"/>
  <c r="J52" i="5"/>
  <c r="D34" i="5"/>
  <c r="H113" i="5"/>
  <c r="I80" i="5"/>
  <c r="H149" i="5"/>
  <c r="K213" i="5"/>
  <c r="A202" i="5"/>
  <c r="C195" i="5"/>
  <c r="F292" i="5"/>
  <c r="H352" i="5"/>
  <c r="F166" i="5"/>
  <c r="G178" i="5"/>
  <c r="A147" i="5"/>
  <c r="G173" i="5"/>
  <c r="J139" i="5"/>
  <c r="B145" i="5"/>
  <c r="G310" i="5"/>
  <c r="I197" i="5"/>
  <c r="E303" i="5"/>
  <c r="B309" i="5"/>
  <c r="K166" i="5"/>
  <c r="E166" i="5"/>
  <c r="E71" i="5"/>
  <c r="J198" i="5"/>
  <c r="I167" i="5"/>
  <c r="I145" i="5"/>
  <c r="F87" i="5"/>
  <c r="B175" i="5"/>
  <c r="F97" i="5"/>
  <c r="J299" i="5"/>
  <c r="D172" i="5"/>
  <c r="E212" i="5"/>
  <c r="H212" i="5"/>
  <c r="D257" i="5"/>
  <c r="D291" i="5"/>
  <c r="I334" i="5"/>
  <c r="B279" i="5"/>
  <c r="H166" i="5"/>
  <c r="I219" i="5"/>
  <c r="C150" i="5"/>
  <c r="I97" i="5"/>
  <c r="F135" i="5"/>
  <c r="H176" i="5"/>
  <c r="J100" i="5"/>
  <c r="I27" i="5"/>
  <c r="C246" i="5"/>
  <c r="C84" i="5"/>
  <c r="K64" i="5"/>
  <c r="K97" i="5"/>
  <c r="A252" i="5"/>
  <c r="H85" i="5"/>
  <c r="D28" i="5"/>
  <c r="B174" i="5"/>
  <c r="G210" i="5"/>
  <c r="G22" i="5"/>
  <c r="I170" i="5"/>
  <c r="A115" i="5"/>
  <c r="F46" i="5"/>
  <c r="J50" i="5"/>
  <c r="H143" i="5"/>
  <c r="B130" i="5"/>
  <c r="I66" i="5"/>
  <c r="D92" i="5"/>
  <c r="I15" i="5"/>
  <c r="E153" i="5"/>
  <c r="G98" i="5"/>
  <c r="A33" i="5"/>
  <c r="K114" i="5"/>
  <c r="I99" i="5"/>
  <c r="E67" i="5"/>
  <c r="K54" i="5"/>
  <c r="B42" i="5"/>
  <c r="J133" i="5"/>
  <c r="J138" i="5"/>
  <c r="D119" i="5"/>
  <c r="F43" i="5"/>
  <c r="F48" i="5"/>
  <c r="B44" i="5"/>
  <c r="D24" i="5"/>
  <c r="H83" i="5"/>
  <c r="I69" i="5"/>
  <c r="E111" i="5"/>
  <c r="A149" i="5"/>
  <c r="H123" i="5"/>
  <c r="E31" i="5"/>
  <c r="G18" i="5"/>
  <c r="G110" i="5"/>
  <c r="G115" i="5"/>
  <c r="I35" i="5"/>
  <c r="G56" i="5"/>
  <c r="E65" i="5"/>
  <c r="F75" i="5"/>
  <c r="A91" i="5"/>
  <c r="J73" i="5"/>
  <c r="C55" i="5"/>
  <c r="B74" i="5"/>
  <c r="C78" i="5"/>
  <c r="I125" i="5"/>
  <c r="J79" i="5"/>
  <c r="D59" i="5"/>
  <c r="C138" i="5"/>
  <c r="H28" i="5"/>
  <c r="I39" i="5"/>
  <c r="I95" i="5"/>
  <c r="E40" i="5"/>
  <c r="C52" i="5"/>
  <c r="A63" i="5"/>
  <c r="G50" i="5"/>
  <c r="H31" i="5"/>
  <c r="F149" i="5"/>
  <c r="F355" i="5" l="1"/>
  <c r="D355" i="5"/>
  <c r="E355" i="5"/>
  <c r="J355" i="5" l="1"/>
</calcChain>
</file>

<file path=xl/sharedStrings.xml><?xml version="1.0" encoding="utf-8"?>
<sst xmlns="http://schemas.openxmlformats.org/spreadsheetml/2006/main" count="1306" uniqueCount="543">
  <si>
    <t>💰  محفظة مزرعة هادي إسحاق</t>
  </si>
  <si>
    <t>رصيد المحفظة الحالي</t>
  </si>
  <si>
    <t>📋  جدول حركات المحفظة  (دخل وصرف)</t>
  </si>
  <si>
    <t>التاريخ</t>
  </si>
  <si>
    <t>المرجع</t>
  </si>
  <si>
    <t>البيان / الوصف</t>
  </si>
  <si>
    <t>دخل (KD)</t>
  </si>
  <si>
    <t>صرف (KD)</t>
  </si>
  <si>
    <t>رصيد (KD)</t>
  </si>
  <si>
    <t>الإجمالي</t>
  </si>
  <si>
    <t>🔵  مصروفات الشركاء  —  مستحقة السداد للمزرعة</t>
  </si>
  <si>
    <t>المبلغ (KD)</t>
  </si>
  <si>
    <t>الشريك</t>
  </si>
  <si>
    <t>إجمالي مدفوعات الشركاء</t>
  </si>
  <si>
    <t>دين أبو اسحاق</t>
  </si>
  <si>
    <t>دين أبو آدم</t>
  </si>
  <si>
    <t>كشف حساب المزرعة  —  Farm Account Statement</t>
  </si>
  <si>
    <t>الرصيد الافتتاحي  /  Opening Balance</t>
  </si>
  <si>
    <t>← اكتب الرصيد الافتتاحي هنا</t>
  </si>
  <si>
    <t>التاريخ
Date</t>
  </si>
  <si>
    <t>المرجع
Ref #</t>
  </si>
  <si>
    <t>البيان / الوصف
Description</t>
  </si>
  <si>
    <t>سحب (مدين)
Debit</t>
  </si>
  <si>
    <t>إيداع (دائن)
Credit</t>
  </si>
  <si>
    <t>طريقة الدفع
Pay Method</t>
  </si>
  <si>
    <t>الدافع / من المحفظة
Paid By</t>
  </si>
  <si>
    <t>الحالة
Status</t>
  </si>
  <si>
    <t>بند الصرف
Wallet Band</t>
  </si>
  <si>
    <t>الرصيد
Balance</t>
  </si>
  <si>
    <t>ملاحظات
Notes</t>
  </si>
  <si>
    <t># إيداع</t>
  </si>
  <si>
    <t># محفظة</t>
  </si>
  <si>
    <t># طباعة</t>
  </si>
  <si>
    <t># شركاء</t>
  </si>
  <si>
    <t>تسلسل_محفظة</t>
  </si>
  <si>
    <t>تسلسل_شركاء</t>
  </si>
  <si>
    <t>82869</t>
  </si>
  <si>
    <t>مبيدات الاتحاد الكويتي للمزارعين(4.500)</t>
  </si>
  <si>
    <t>نقداً</t>
  </si>
  <si>
    <t>المحفظة</t>
  </si>
  <si>
    <t>تم الدفع</t>
  </si>
  <si>
    <t>مبيدات وأسمدة</t>
  </si>
  <si>
    <t>Inv-001</t>
  </si>
  <si>
    <t>بيع عدد١ اناناس</t>
  </si>
  <si>
    <t>242</t>
  </si>
  <si>
    <t>احواض حجم 18سم عدد 2000-(90)</t>
  </si>
  <si>
    <t>مستلزمات زراعية</t>
  </si>
  <si>
    <t>تبديل كمبرسيور ثلاجة العمال</t>
  </si>
  <si>
    <t>أحد الشركاء</t>
  </si>
  <si>
    <t>أبو اسحاق</t>
  </si>
  <si>
    <t>معلق</t>
  </si>
  <si>
    <t>صيانة المعدات</t>
  </si>
  <si>
    <t>11300</t>
  </si>
  <si>
    <t>فلاتر كيميكال لمحطة التحلية</t>
  </si>
  <si>
    <t>وقود ومحروقات</t>
  </si>
  <si>
    <t>ديزل لمكينة الكهرباء</t>
  </si>
  <si>
    <t>8127</t>
  </si>
  <si>
    <t>تاير لعربة الرش</t>
  </si>
  <si>
    <t>تم الصرف</t>
  </si>
  <si>
    <t>احواض حجم25سم عدد 2000</t>
  </si>
  <si>
    <t>أبو آدم</t>
  </si>
  <si>
    <t>أحواض وأدوات</t>
  </si>
  <si>
    <t>مدخول شهر ابريل</t>
  </si>
  <si>
    <t>احواض حجم 14سم عدد 2000(40)</t>
  </si>
  <si>
    <t>جبس لتغطيه المحميه(3)</t>
  </si>
  <si>
    <t>بونص عمالة أبريل(5)</t>
  </si>
  <si>
    <t>رواتب وعمالة</t>
  </si>
  <si>
    <t>Inv-013</t>
  </si>
  <si>
    <t>فل عدد 21 سعر الحبه .0.750</t>
  </si>
  <si>
    <t>Inv-013A</t>
  </si>
  <si>
    <t>برازيليا عدد 25 سعر الحبه .500</t>
  </si>
  <si>
    <t>شراء دريل</t>
  </si>
  <si>
    <t>Inv-016</t>
  </si>
  <si>
    <t>ودليه عدد 3 الحبه 0.750</t>
  </si>
  <si>
    <t>Inv-017</t>
  </si>
  <si>
    <t>فل عدد 10 الحبه 0.750</t>
  </si>
  <si>
    <t>Inv-18A</t>
  </si>
  <si>
    <t>ربل 4 حبات الحبه 1.500</t>
  </si>
  <si>
    <t>Inv-18</t>
  </si>
  <si>
    <t>ودليه 8 حبات الحبه 1</t>
  </si>
  <si>
    <t>Inv-19</t>
  </si>
  <si>
    <t>فل عدد 2 الحبه 0.750</t>
  </si>
  <si>
    <t>Inv-20</t>
  </si>
  <si>
    <t>صبار اوليفيرا عدد 3 الحبه 0.750</t>
  </si>
  <si>
    <t>Inv-21</t>
  </si>
  <si>
    <t>دارسينا عدد 1 الحبه 2.500</t>
  </si>
  <si>
    <t>Inv-22</t>
  </si>
  <si>
    <t>فل عدد 30 الحبه 0.750</t>
  </si>
  <si>
    <t>تم إعطاء 1 حبه هديه الإجمالي 31 حبه</t>
  </si>
  <si>
    <t>Inv-23</t>
  </si>
  <si>
    <t>برازيليا عدد 16 الحبه 0.500</t>
  </si>
  <si>
    <t>Inv-24</t>
  </si>
  <si>
    <t>فل عدد10 الحبه 0.750</t>
  </si>
  <si>
    <t>Inv-25</t>
  </si>
  <si>
    <t>دارسيناحمراء عدد 1</t>
  </si>
  <si>
    <t>Inv-26</t>
  </si>
  <si>
    <t>دارسينا خضراء عدد 2 الحبه 1.500</t>
  </si>
  <si>
    <t>Inv-27</t>
  </si>
  <si>
    <t>ربل عدد 2 الحبه 1.500</t>
  </si>
  <si>
    <t>Inv-28</t>
  </si>
  <si>
    <t>دارسينا حمراء عدد2 الحبه 2.500</t>
  </si>
  <si>
    <t>Inv-29</t>
  </si>
  <si>
    <t>برازيليا عدد 10 الحبه 0.500</t>
  </si>
  <si>
    <t>85164</t>
  </si>
  <si>
    <t>مبيد اسيتبلان عدد 1</t>
  </si>
  <si>
    <t>Inv-30</t>
  </si>
  <si>
    <t>Inv-31</t>
  </si>
  <si>
    <t>فل عدد30 الحبه 0.750</t>
  </si>
  <si>
    <t>Inv-32</t>
  </si>
  <si>
    <t>برازيليا عدد 50 الحبه0.500</t>
  </si>
  <si>
    <t>Inv-33</t>
  </si>
  <si>
    <t>برازيليا عدد 75 الحبه 0.500</t>
  </si>
  <si>
    <t>Inv-34</t>
  </si>
  <si>
    <t>دارسينيا احمر عدد1 حبه 2.500</t>
  </si>
  <si>
    <t>Inv-35</t>
  </si>
  <si>
    <t>دارسينا حمراء عدد 6 الحبه 2,500</t>
  </si>
  <si>
    <t>Inv-36</t>
  </si>
  <si>
    <t>ربل عدد4 الحبه 1.500</t>
  </si>
  <si>
    <t>Inv-37</t>
  </si>
  <si>
    <t>عطره عدد 10 الحبه 0.750</t>
  </si>
  <si>
    <t>Inv-38</t>
  </si>
  <si>
    <t>ودليه عدد 2 الحبه 1</t>
  </si>
  <si>
    <t>Inv-39</t>
  </si>
  <si>
    <t>داراسينا حمراء عدد4 الحبه 1</t>
  </si>
  <si>
    <t>يزل ماكينه كهرباء</t>
  </si>
  <si>
    <t>راتب عماله مايو 2025</t>
  </si>
  <si>
    <t>رواتب العمال</t>
  </si>
  <si>
    <t>Inv-40</t>
  </si>
  <si>
    <t>other</t>
  </si>
  <si>
    <t>Inv-41</t>
  </si>
  <si>
    <t>Inv-42</t>
  </si>
  <si>
    <t>Inv-43</t>
  </si>
  <si>
    <t>Inv-44a</t>
  </si>
  <si>
    <t>Inv-44</t>
  </si>
  <si>
    <t>Inv-45</t>
  </si>
  <si>
    <t>Inv-46</t>
  </si>
  <si>
    <t>Inv-47</t>
  </si>
  <si>
    <t>جبس لتغطيه المحميه</t>
  </si>
  <si>
    <t>Inv-53</t>
  </si>
  <si>
    <t>فل عدد 24 الحبه .750</t>
  </si>
  <si>
    <t>Inv-54</t>
  </si>
  <si>
    <t>دارسينا خضراء عدد 1 الحبه 2</t>
  </si>
  <si>
    <t>Inv-55</t>
  </si>
  <si>
    <t>افوبيا عدد 2 الحبه .750</t>
  </si>
  <si>
    <t>Inv-56</t>
  </si>
  <si>
    <t>دارسينا سوداء عدد 3 الحبه 1</t>
  </si>
  <si>
    <t>inv-57</t>
  </si>
  <si>
    <t>فوزير عدد1 قيمه 1</t>
  </si>
  <si>
    <t>سماد</t>
  </si>
  <si>
    <t>حفاره خلط السماد</t>
  </si>
  <si>
    <t>Inv-58</t>
  </si>
  <si>
    <t>دارسينا عدد3 بقيمه 1 للحبه</t>
  </si>
  <si>
    <t>Inv-59</t>
  </si>
  <si>
    <t>ودليه عدد 1 بقيمه 1</t>
  </si>
  <si>
    <t>Inv-60</t>
  </si>
  <si>
    <t>دارسينا حمراء عدد 1 بقيمه 3</t>
  </si>
  <si>
    <t>Inv-61</t>
  </si>
  <si>
    <t>فل عدد 20 بقيمه 0.750</t>
  </si>
  <si>
    <t>اسمنت اسود للمحميه الصغيره الجديده</t>
  </si>
  <si>
    <t>حديد اسود للمحميه الصغيره الجديده</t>
  </si>
  <si>
    <t>Inv-62</t>
  </si>
  <si>
    <t>براغي</t>
  </si>
  <si>
    <t>Inv-63</t>
  </si>
  <si>
    <t>ملغيه</t>
  </si>
  <si>
    <t>رول لحيم</t>
  </si>
  <si>
    <t>Inv-64</t>
  </si>
  <si>
    <t>معلقات عدد 10 الحبه 1</t>
  </si>
  <si>
    <t>Inv-65</t>
  </si>
  <si>
    <t>ودوليه عدد 5 الحبه 1</t>
  </si>
  <si>
    <t>عصايا عدد 2000 احواض معاقات عدد 250</t>
  </si>
  <si>
    <t>Inv-66</t>
  </si>
  <si>
    <t>شوكليرا عدد10 الحبه 1.500</t>
  </si>
  <si>
    <t>أون لاين</t>
  </si>
  <si>
    <t>Inv-67</t>
  </si>
  <si>
    <t>فيكس عدد7 الحبه 1</t>
  </si>
  <si>
    <t>Inv-68</t>
  </si>
  <si>
    <t>ربل عدد 5 الحبه 2</t>
  </si>
  <si>
    <t>Inv-69</t>
  </si>
  <si>
    <t>أقامه عبدول</t>
  </si>
  <si>
    <t>Inv-70</t>
  </si>
  <si>
    <t>افوبياعدد 1 الحبه .0.750</t>
  </si>
  <si>
    <t>Inv-71</t>
  </si>
  <si>
    <t>دارسينا عدد 1 الحبه 1.500</t>
  </si>
  <si>
    <t>Inv-72</t>
  </si>
  <si>
    <t>فل عدد 1 الحبه 0.750</t>
  </si>
  <si>
    <t>Inv-73</t>
  </si>
  <si>
    <t>ودليه عدد 3 الحبه 1</t>
  </si>
  <si>
    <t>Inv-74</t>
  </si>
  <si>
    <t>ربل عدد 11 الحبه 2</t>
  </si>
  <si>
    <t>Inv-75</t>
  </si>
  <si>
    <t>شوفليرا عدد6 الحبه 1.500</t>
  </si>
  <si>
    <t>nbk 18-18-18</t>
  </si>
  <si>
    <t>Inv-76</t>
  </si>
  <si>
    <t>فل عدد 11 الحبه 0.750</t>
  </si>
  <si>
    <t>Inv-77</t>
  </si>
  <si>
    <t>عطره عدد 3 الحبه 0.750</t>
  </si>
  <si>
    <t>Inv-78</t>
  </si>
  <si>
    <t>معلقات عدد 3 الحبه 1</t>
  </si>
  <si>
    <t>Inv-79</t>
  </si>
  <si>
    <t>معلقات عدد 4 الحبه 1</t>
  </si>
  <si>
    <t>Inv-80</t>
  </si>
  <si>
    <t>معلقات عدد4 الحبه 1</t>
  </si>
  <si>
    <t>Inv-81</t>
  </si>
  <si>
    <t>افوبيا عدد 2 الحبه 1</t>
  </si>
  <si>
    <t>رواتب عماله شهر يونيو 2026</t>
  </si>
  <si>
    <t>تكمله رواتب يونيو 2026 ابوادم</t>
  </si>
  <si>
    <t>تكمله رواتب يونيو 2026 ابواسحاق</t>
  </si>
  <si>
    <t>احواض عدد 1000 مقاس 25 سم</t>
  </si>
  <si>
    <t>احواض عدد 1000 مقاس 14 سم</t>
  </si>
  <si>
    <t>Inv-82</t>
  </si>
  <si>
    <t>دارسينا عدد 1 بقيمه 2.500</t>
  </si>
  <si>
    <t>Inv-83</t>
  </si>
  <si>
    <t>ودليه عدد13 الحبه 1</t>
  </si>
  <si>
    <t>Inv-84</t>
  </si>
  <si>
    <t>معلقات عدد 4 الحبه 2</t>
  </si>
  <si>
    <t>الإجمالي  /  TOTALS</t>
  </si>
  <si>
    <t>إجمالي السحوبات</t>
  </si>
  <si>
    <t>إجمالي الإيداعات</t>
  </si>
  <si>
    <t>عدد المعلقات</t>
  </si>
  <si>
    <t>الرصيد الختامي</t>
  </si>
  <si>
    <t>بنود التسديد من المحفظة</t>
  </si>
  <si>
    <t>بند الصرف</t>
  </si>
  <si>
    <t>الوصف</t>
  </si>
  <si>
    <t>ملاحظات</t>
  </si>
  <si>
    <t>مياه وكهرباء</t>
  </si>
  <si>
    <t>نقليات وتوصيل</t>
  </si>
  <si>
    <t>إيجارات</t>
  </si>
  <si>
    <t>مصاريف إدارية</t>
  </si>
  <si>
    <t>مدفوعات المهندس مختار</t>
  </si>
  <si>
    <t>مدفوعات محمد أبو آدم</t>
  </si>
  <si>
    <t>مبيعات الجمعيات</t>
  </si>
  <si>
    <t>مبيعات أون لاين</t>
  </si>
  <si>
    <t>مبيعات المزرعة المباشرة</t>
  </si>
  <si>
    <t>ديون مستردة</t>
  </si>
  <si>
    <t>مصاريف طارئة</t>
  </si>
  <si>
    <t>أخرى</t>
  </si>
  <si>
    <t>📘  تعليمات الاستخدام</t>
  </si>
  <si>
    <t>كشف الحساب — الدفع العادي</t>
  </si>
  <si>
    <t>①</t>
  </si>
  <si>
    <t>اكتب المبلغ في عمود D (سحب) واختر طريقة الدفع = نقداً أو أون لاين أو أحد الشركاء</t>
  </si>
  <si>
    <t>②</t>
  </si>
  <si>
    <t>اختر الدافع G: أبو اسحاق / أبو آدم / نزمول — لا يخصم من المحفظة</t>
  </si>
  <si>
    <t>كشف الحساب — الدفع من المحفظة</t>
  </si>
  <si>
    <t>اكتب المبلغ في عمود D (سحب)</t>
  </si>
  <si>
    <t>عمود F (طريقة الدفع): اختر  "من المحفظة"</t>
  </si>
  <si>
    <t>③</t>
  </si>
  <si>
    <t>عمود G (الدافع): اختر  "المحفظة"  ← هذا هو المفتاح للخصم التلقائي</t>
  </si>
  <si>
    <t>④</t>
  </si>
  <si>
    <t>عمود I (بند الصرف): اختر البند المناسب مثل رواتب / وقود / إلخ</t>
  </si>
  <si>
    <t>⑤</t>
  </si>
  <si>
    <t>🔄 المبلغ يُخصم تلقائياً من المحفظة — لا تحتاج كتابة أي شيء في ورقة المحفظة</t>
  </si>
  <si>
    <t>المحفظة — كيف تعمل</t>
  </si>
  <si>
    <t>القسم الأخضر: جميع الإيرادات (عمود إيداع E في كشف الحساب) تظهر تلقائياً</t>
  </si>
  <si>
    <t>القسم الأحمر: جميع المصروفات المدفوعة من المحفظة (عند اختيار المحفظة كدافع) تظهر تلقائياً</t>
  </si>
  <si>
    <t>رصيد المحفظة = الافتتاحي + إجمالي الإيرادات − إجمالي المصروفات</t>
  </si>
  <si>
    <t>الرصيد في الخلية C3 يتحدث فورياً مع أي تغيير في كشف الحساب</t>
  </si>
  <si>
    <t>الكل</t>
  </si>
  <si>
    <t>⬆ اختر الشهر والسنة ثم  Ctrl+P  أو  File → Export → PDF</t>
  </si>
  <si>
    <t>الرصيد الافتتاحي:</t>
  </si>
  <si>
    <t>سحب</t>
  </si>
  <si>
    <t>إيداع</t>
  </si>
  <si>
    <t>طريقة الدفع</t>
  </si>
  <si>
    <t>الدافع</t>
  </si>
  <si>
    <t>الحالة</t>
  </si>
  <si>
    <t>الرصيد</t>
  </si>
  <si>
    <t>ملخص الفترة المختارة</t>
  </si>
  <si>
    <t>إجمالي الإيرادات</t>
  </si>
  <si>
    <t>صافي الفترة</t>
  </si>
  <si>
    <t>💰  المحفظة  —  Farm Wallet</t>
  </si>
  <si>
    <t>اختر الشهر:</t>
  </si>
  <si>
    <t>اختر السنة:</t>
  </si>
  <si>
    <t>رصيد المحفظة الافتتاحي:</t>
  </si>
  <si>
    <t>رصيد المحفظة الحالي:</t>
  </si>
  <si>
    <t>🟢  الإيرادات</t>
  </si>
  <si>
    <t>—</t>
  </si>
  <si>
    <t>🔴  المصروفات من المحفظة</t>
  </si>
  <si>
    <t>إجمالي المصروفات</t>
  </si>
  <si>
    <t>💰  صافي المحفظة للفترة</t>
  </si>
  <si>
    <t>Inv-85</t>
  </si>
  <si>
    <t>Inv-86</t>
  </si>
  <si>
    <t>دارسينا سوداء عدد 12 الحبه 2</t>
  </si>
  <si>
    <t>Inv-87</t>
  </si>
  <si>
    <t>عطريات عدد 8 الحبه 1</t>
  </si>
  <si>
    <t>دارسنا عدد1 الحبه 5</t>
  </si>
  <si>
    <t>Inv-88</t>
  </si>
  <si>
    <t>فل عدد1 الحبه .750</t>
  </si>
  <si>
    <t>Inv-89</t>
  </si>
  <si>
    <t>Inv-90</t>
  </si>
  <si>
    <t>Inv-91</t>
  </si>
  <si>
    <t>افبوديا عدد الحبه 0.750</t>
  </si>
  <si>
    <t>Inv-92</t>
  </si>
  <si>
    <t>عطريات عدد 1 الفحبه 1</t>
  </si>
  <si>
    <t>عطريات عدد8 الحبه 1</t>
  </si>
  <si>
    <t>Inv-93</t>
  </si>
  <si>
    <t>Inv-94</t>
  </si>
  <si>
    <t>متنوع عدد 2 الحبه 2.500</t>
  </si>
  <si>
    <t>متنوع عدد 12 الحبه 2</t>
  </si>
  <si>
    <t>حبل تعليق</t>
  </si>
  <si>
    <t>Inv-95</t>
  </si>
  <si>
    <t>ربل عدد 1 الحبه 2</t>
  </si>
  <si>
    <t>مهندس عامر</t>
  </si>
  <si>
    <t>Inv-96</t>
  </si>
  <si>
    <t xml:space="preserve">دارسينا عدد 1 الحبه 2 </t>
  </si>
  <si>
    <t>افوبيا عدد 1 الحبه 1</t>
  </si>
  <si>
    <t>Inv-97</t>
  </si>
  <si>
    <t>Inv-98</t>
  </si>
  <si>
    <t>دارسينا عدد 1 الحبه 2</t>
  </si>
  <si>
    <t>Inv-99</t>
  </si>
  <si>
    <t>افوبيا عدد 9 الحبه 1</t>
  </si>
  <si>
    <t>Inv-100</t>
  </si>
  <si>
    <t>Inv-101</t>
  </si>
  <si>
    <t>افوبيا عدد2 الحبه 1</t>
  </si>
  <si>
    <t>Inv-102</t>
  </si>
  <si>
    <t>متنوع عدد2 الحبه 1</t>
  </si>
  <si>
    <t>كوكوبيد</t>
  </si>
  <si>
    <t>Inv-103</t>
  </si>
  <si>
    <t>متفرقات</t>
  </si>
  <si>
    <t>تسوية رصيد فعلي - المتوفر 107.305 (صافي الشهر 99.075 + فائض عام 16.750)</t>
  </si>
  <si>
    <t>Inv-104</t>
  </si>
  <si>
    <t>متنوع عدد 1 الحبه 2.500</t>
  </si>
  <si>
    <t>Inv-105</t>
  </si>
  <si>
    <t>دارسينا عدد 1 الحبه 3</t>
  </si>
  <si>
    <t>عدد 3 عماله + 10 ايام العامل البديل 40 دينار</t>
  </si>
  <si>
    <t>عدد 3 عماله + 10 ايام العامل البديل 40 دينار +50 كهرباء (تم دفه 99 من المحفظه)</t>
  </si>
  <si>
    <t>تعديل رصيد</t>
  </si>
  <si>
    <t>Inv-106</t>
  </si>
  <si>
    <t>Inv-107</t>
  </si>
  <si>
    <t>متنوع عدد 1 بقيمه 2.500</t>
  </si>
  <si>
    <t>Inv-108</t>
  </si>
  <si>
    <t>فل عدد 1 بقيمه .750</t>
  </si>
  <si>
    <t>بتموس عدد 2 الواحده 12</t>
  </si>
  <si>
    <t>Inv-109</t>
  </si>
  <si>
    <t>متنوع عدد 1 الحبه 1</t>
  </si>
  <si>
    <t>Inv-110</t>
  </si>
  <si>
    <t>متنوع عدد10 الحبه 1</t>
  </si>
  <si>
    <t>Inv-111</t>
  </si>
  <si>
    <t>متنوع 6 عدد 1</t>
  </si>
  <si>
    <t>Inv-112</t>
  </si>
  <si>
    <t>ربل عدد 15 الحبه2</t>
  </si>
  <si>
    <t>السعر الأصلي 30 تم خصم 1 ليكون 29</t>
  </si>
  <si>
    <t>كيميكل للمعالج</t>
  </si>
  <si>
    <t>ترمستات الثلاجه الكبيره</t>
  </si>
  <si>
    <t>أغسطس</t>
  </si>
  <si>
    <t>Inv-113</t>
  </si>
  <si>
    <t>ربل  عدد 40 الحبه 2.250</t>
  </si>
  <si>
    <t>متنوع 8 الحبه 1</t>
  </si>
  <si>
    <t>احواض معلقه + كوكوبيت</t>
  </si>
  <si>
    <t>15-15-15 خرماشه</t>
  </si>
  <si>
    <t>هرمون تدير</t>
  </si>
  <si>
    <t>احواض مقاس 14 عدد 1000</t>
  </si>
  <si>
    <t>وصلات</t>
  </si>
  <si>
    <t>وصلات وحنفيه</t>
  </si>
  <si>
    <t>فل عدد 14 الحبه .750</t>
  </si>
  <si>
    <t>Inv-114</t>
  </si>
  <si>
    <t>Inv-115</t>
  </si>
  <si>
    <t>Inv-116</t>
  </si>
  <si>
    <t>Inv-117</t>
  </si>
  <si>
    <t>ربل عدد 10 الحبه 2.250</t>
  </si>
  <si>
    <t>Inv-118</t>
  </si>
  <si>
    <t>متنوع عدد 4 الحبه 1</t>
  </si>
  <si>
    <t>Inv-119</t>
  </si>
  <si>
    <t>دارسينا عدد 2 الحبه 3</t>
  </si>
  <si>
    <t>Inv-120</t>
  </si>
  <si>
    <t>فل عدد 2 الحبه .750</t>
  </si>
  <si>
    <t>احواض عدد 3500 مقاس 25 سم</t>
  </si>
  <si>
    <t>حديد كحميه 2</t>
  </si>
  <si>
    <t>اسمده</t>
  </si>
  <si>
    <t>Inv-121</t>
  </si>
  <si>
    <t>شركه التهاني</t>
  </si>
  <si>
    <t>تم عمل خصم من ابوادم 3.750</t>
  </si>
  <si>
    <t>, حوض معلق عدد500 (الوحده.170(,بتموس عدد 10 الحبه 15</t>
  </si>
  <si>
    <t>تاير توكتوك</t>
  </si>
  <si>
    <t>Inv-122</t>
  </si>
  <si>
    <t>Inv-123</t>
  </si>
  <si>
    <t>ربل عدد 4 الحبه 2.250</t>
  </si>
  <si>
    <t>Inv-124</t>
  </si>
  <si>
    <t>متنوع عدد 10 الحبه 1</t>
  </si>
  <si>
    <t>هوز اصفر 3/4 طول 50 متر</t>
  </si>
  <si>
    <t>Inv-125</t>
  </si>
  <si>
    <t>متنوع - تم الدفع 26/8</t>
  </si>
  <si>
    <t>Inv-126</t>
  </si>
  <si>
    <t>فاتوره لزهور التهاني</t>
  </si>
  <si>
    <t>صبار عدد 15 الحبه 1</t>
  </si>
  <si>
    <t>زيتون عدد 2 الحبه 12</t>
  </si>
  <si>
    <t>Inv-127</t>
  </si>
  <si>
    <t>اناناس عدد 4 الواحده 4</t>
  </si>
  <si>
    <t>Inv-128</t>
  </si>
  <si>
    <t>ربل عدد 6 الحبه 2.500</t>
  </si>
  <si>
    <t>Inv-129</t>
  </si>
  <si>
    <t>متنوع عدد 17 الحبه 1</t>
  </si>
  <si>
    <t>Inv-130</t>
  </si>
  <si>
    <t>صبار عدد 13 الحبه 0.750</t>
  </si>
  <si>
    <t>Inv-131</t>
  </si>
  <si>
    <t>تين عدد5 الحبه 1.500</t>
  </si>
  <si>
    <t>أقامه نزمول 3 سنوات</t>
  </si>
  <si>
    <t>رواتب + كهرباء وماء</t>
  </si>
  <si>
    <t>نصف قيمه فلتر المالج</t>
  </si>
  <si>
    <t>Inv-132</t>
  </si>
  <si>
    <t>Inv-133</t>
  </si>
  <si>
    <t>زهور التهاني</t>
  </si>
  <si>
    <t>يوريا  عدد1 (12.250) + مقص عدد1(1.250)</t>
  </si>
  <si>
    <t>Inv-134</t>
  </si>
  <si>
    <t>ليمون جراس عدد 4 الحبه 3</t>
  </si>
  <si>
    <t>Inv-135</t>
  </si>
  <si>
    <t>Inv-136</t>
  </si>
  <si>
    <t>متنوع عدد 7 الحبه 1</t>
  </si>
  <si>
    <t>احواض  عدد 1000 الحجم 25 سم</t>
  </si>
  <si>
    <t>Inv-137</t>
  </si>
  <si>
    <t>صبار عدد 5 الحبه 1</t>
  </si>
  <si>
    <t>Inv-138</t>
  </si>
  <si>
    <t>متنوع عدد 10 الحبه 1.500</t>
  </si>
  <si>
    <t>Inv-139</t>
  </si>
  <si>
    <t>متنوع عدد 20 الحبه 1</t>
  </si>
  <si>
    <t>Inv-140</t>
  </si>
  <si>
    <t>صبار عدد 35 الحبه 1</t>
  </si>
  <si>
    <t>Inv-141</t>
  </si>
  <si>
    <t>متنوع عدد 5 الحبه 1</t>
  </si>
  <si>
    <t>Inv-142</t>
  </si>
  <si>
    <t>عطره العدد 10 الحبه .750</t>
  </si>
  <si>
    <t>Inv-143</t>
  </si>
  <si>
    <t>دارسينا متنوع عدد 2  الحبه 3</t>
  </si>
  <si>
    <t>Inv-144</t>
  </si>
  <si>
    <t>معلقات عدد 2 الحبه 1</t>
  </si>
  <si>
    <t>Inv-145</t>
  </si>
  <si>
    <t>دارسينا اسود عدد 2 الحبه 2.500</t>
  </si>
  <si>
    <t>Inv-146</t>
  </si>
  <si>
    <t>متنوع عدد 2 الحبه 1</t>
  </si>
  <si>
    <t>Inv-147</t>
  </si>
  <si>
    <t>متنوع عدد 2 الحبه 1.500</t>
  </si>
  <si>
    <t>Inv-148</t>
  </si>
  <si>
    <t>عصايا  500 حجم 120سم 500 90 سم 2 ابريق ماء 8 لتر</t>
  </si>
  <si>
    <t>Inv-149</t>
  </si>
  <si>
    <t>فيتامين حديد</t>
  </si>
  <si>
    <t>142 السعر الأصلي 7.500 ولكن تم عمله 10 لان نزمول باع شي اخر بقيمه2.5</t>
  </si>
  <si>
    <t>زيتون عدد 5 الوحده 1.250</t>
  </si>
  <si>
    <t>احواض عدد 1000 الحجم 25 سم</t>
  </si>
  <si>
    <t>Inv-150</t>
  </si>
  <si>
    <t>صبار عدد 6 الحبه .500</t>
  </si>
  <si>
    <t>Inv-151</t>
  </si>
  <si>
    <t>ودليه عدد 1- الحبه 1</t>
  </si>
  <si>
    <t>Inv-152</t>
  </si>
  <si>
    <t>Inv-153</t>
  </si>
  <si>
    <t>دارسينا كبيره عدد 1</t>
  </si>
  <si>
    <t>Inv-154</t>
  </si>
  <si>
    <t>متنوع عدد 6 الحبه 1,500</t>
  </si>
  <si>
    <t>Inv-155</t>
  </si>
  <si>
    <t>Inv-156</t>
  </si>
  <si>
    <t>صبار تايجر عدد 30 الحبه 1</t>
  </si>
  <si>
    <t>Inv-157</t>
  </si>
  <si>
    <t>صبار تايجر صغير عدد 10 الحبه .750</t>
  </si>
  <si>
    <t>Inv-158</t>
  </si>
  <si>
    <t>نعناع عدد 5 الحبه .500</t>
  </si>
  <si>
    <t>Inv-159</t>
  </si>
  <si>
    <t>زعتر عدد 10 الحبه ,750</t>
  </si>
  <si>
    <t>طربال اسود</t>
  </si>
  <si>
    <t>Inv-160</t>
  </si>
  <si>
    <t>التهاني</t>
  </si>
  <si>
    <t>صبار اوليفيرا عدد 25 الحبه 0.750</t>
  </si>
  <si>
    <t>Inv-161</t>
  </si>
  <si>
    <t>متنوع</t>
  </si>
  <si>
    <t>Inv-162</t>
  </si>
  <si>
    <t>Inv-163</t>
  </si>
  <si>
    <t>دارسينا اخضر عدد1 القيمه 2.500</t>
  </si>
  <si>
    <t>Inv-164</t>
  </si>
  <si>
    <t>دارسينا اسودعدد 29 الحبه 2.500</t>
  </si>
  <si>
    <t>Inv-165</t>
  </si>
  <si>
    <t>Inv-166</t>
  </si>
  <si>
    <t>Inv-167</t>
  </si>
  <si>
    <t>صبار عدد 60 الحبه .750</t>
  </si>
  <si>
    <t>تين عدد 10 الحبه 1</t>
  </si>
  <si>
    <t>Inv-168</t>
  </si>
  <si>
    <t>Inv-169</t>
  </si>
  <si>
    <t>Inv-170</t>
  </si>
  <si>
    <t>Inv-171</t>
  </si>
  <si>
    <t>Inv-172</t>
  </si>
  <si>
    <t>اناناس عدد6الحبه 4</t>
  </si>
  <si>
    <t>عطره عدد 20 الحبه .650</t>
  </si>
  <si>
    <t>أبو ادم لم يدفع 66</t>
  </si>
  <si>
    <t>تاير توكتوك تيوب</t>
  </si>
  <si>
    <t xml:space="preserve">نصف فلتر الماء </t>
  </si>
  <si>
    <t>Inv-173</t>
  </si>
  <si>
    <t>ياسمين هندي عدد 10 الحبه 1</t>
  </si>
  <si>
    <t>روزميري عدد 10 الحبه.650</t>
  </si>
  <si>
    <t>معلقه كبيره عدد 20 الحبه 1</t>
  </si>
  <si>
    <t>مجنونه قزميه عدد 15 الحبه 1</t>
  </si>
  <si>
    <t>Inv-174</t>
  </si>
  <si>
    <t>Inv-175</t>
  </si>
  <si>
    <t>Inv-176</t>
  </si>
  <si>
    <t>مجموعه متنوعه زهور التهاني</t>
  </si>
  <si>
    <t>Inv-177</t>
  </si>
  <si>
    <t>عطره معلقه عدد 1 الحبه 1.500</t>
  </si>
  <si>
    <t>دارسينا صغيره عدد 1 الحبه 1.500</t>
  </si>
  <si>
    <t>Inv-178</t>
  </si>
  <si>
    <t>Inv-179</t>
  </si>
  <si>
    <t>متنوع عدد 120 الحبه 1.500</t>
  </si>
  <si>
    <t>Inv-180</t>
  </si>
  <si>
    <t>ياسمين ازرق عدد 5 الحبه 1.250</t>
  </si>
  <si>
    <t xml:space="preserve"> أبو ادم 79 تم دفع 78 خصم دينار</t>
  </si>
  <si>
    <t>تم يدفع  63</t>
  </si>
  <si>
    <t>Inv-181</t>
  </si>
  <si>
    <t>صبار تايجر</t>
  </si>
  <si>
    <t>رمل سافي</t>
  </si>
  <si>
    <t>احواض عدد 3000 الحبه 20 فلس</t>
  </si>
  <si>
    <t>بونص نزمول 20 + رواتب 420+50 كهرباء وماء</t>
  </si>
  <si>
    <t>Inv-182</t>
  </si>
  <si>
    <t>متنوع زهور التهاني</t>
  </si>
  <si>
    <t>Inv-183</t>
  </si>
  <si>
    <t>متنوع ايمن</t>
  </si>
  <si>
    <t>Inv-184</t>
  </si>
  <si>
    <t>متنوع ابوادم</t>
  </si>
  <si>
    <t>كوكوبيت عدد 7 الحبه 3</t>
  </si>
  <si>
    <t>شجره بونسيانا</t>
  </si>
  <si>
    <t>Inv-185</t>
  </si>
  <si>
    <t>Inv-186</t>
  </si>
  <si>
    <t>اوليفيرا+حلفا</t>
  </si>
  <si>
    <t>Inv-187</t>
  </si>
  <si>
    <t>مجنونخ عدد 10 الحبه 1</t>
  </si>
  <si>
    <t>Inv-188</t>
  </si>
  <si>
    <t>Inv-189</t>
  </si>
  <si>
    <t>بتموس عدد 13 كيس</t>
  </si>
  <si>
    <t>Inv-190</t>
  </si>
  <si>
    <t>صبار عدد 25 الحبه.750</t>
  </si>
  <si>
    <t>Inv-191</t>
  </si>
  <si>
    <t>Inv-192</t>
  </si>
  <si>
    <t>Inv-193</t>
  </si>
  <si>
    <t>احواض عدد 1000 حجم 25</t>
  </si>
  <si>
    <t>NBK 18-18-18</t>
  </si>
  <si>
    <t>Inv-194</t>
  </si>
  <si>
    <t>Inv-195</t>
  </si>
  <si>
    <t>عدد 3 حبات الحبه 0.750</t>
  </si>
  <si>
    <t>Inv-196</t>
  </si>
  <si>
    <t>صبار عدد 20 الحبه .750 - ابوادم</t>
  </si>
  <si>
    <t>Inv-197</t>
  </si>
  <si>
    <t>فردوس تدكره 103+راتب 14 يوم 40</t>
  </si>
  <si>
    <t>20 بديل فردوس مقدم +20 سيور مراوح+مضخه الرش</t>
  </si>
  <si>
    <t>Inv-198</t>
  </si>
  <si>
    <t>Inv-199</t>
  </si>
  <si>
    <t>متنوع - ابوادم</t>
  </si>
  <si>
    <t>متنوع - زهور التهاني</t>
  </si>
  <si>
    <t>عامل اضافي اوفرتايم لتحميل زهور التهاني</t>
  </si>
  <si>
    <t>متنوع - هاني</t>
  </si>
  <si>
    <t>Inv-200</t>
  </si>
  <si>
    <t>شراء عدد 10 نبتات (شيا)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</si>
</sst>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d\-mmm\-yy"/>
    <numFmt numFmtId="166" formatCode="m/d/yyyy"/>
    <numFmt numFmtId="167" formatCode="#,##0.000\ &quot;KD&quot;"/>
    <numFmt numFmtId="168" formatCode="yyyy\-mm\-dd"/>
  </numFmts>
  <fonts count="5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3"/>
      <color rgb="FFC00000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sz val="10"/>
      <color rgb="FF375623"/>
      <name val="Arial"/>
      <charset val="1"/>
    </font>
    <font>
      <b/>
      <sz val="10"/>
      <color rgb="FF375623"/>
      <name val="Arial"/>
      <charset val="1"/>
    </font>
    <font>
      <sz val="10"/>
      <color rgb="FFAAAAAA"/>
      <name val="Arial"/>
      <charset val="1"/>
    </font>
    <font>
      <sz val="9"/>
      <name val="Arial"/>
      <charset val="1"/>
    </font>
    <font>
      <sz val="10"/>
      <color rgb="FF8B0000"/>
      <name val="Arial"/>
      <charset val="1"/>
    </font>
    <font>
      <b/>
      <sz val="10"/>
      <color rgb="FF8B0000"/>
      <name val="Arial"/>
      <charset val="1"/>
    </font>
    <font>
      <b/>
      <sz val="9"/>
      <color rgb="FFFFFFFF"/>
      <name val="Arial"/>
      <charset val="1"/>
    </font>
    <font>
      <sz val="7"/>
      <color rgb="FFFFFFFF"/>
      <name val="Arial"/>
      <charset val="1"/>
    </font>
    <font>
      <sz val="8"/>
      <color rgb="FFAAAAAA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sz val="10"/>
      <color rgb="FF1E5C1E"/>
      <name val="Arial"/>
      <charset val="1"/>
    </font>
    <font>
      <b/>
      <sz val="10"/>
      <name val="Arial"/>
      <charset val="1"/>
    </font>
    <font>
      <i/>
      <sz val="9"/>
      <color rgb="FF7030A0"/>
      <name val="Arial"/>
      <charset val="1"/>
    </font>
    <font>
      <i/>
      <sz val="9"/>
      <color rgb="FF606060"/>
      <name val="Arial"/>
      <charset val="1"/>
    </font>
    <font>
      <b/>
      <sz val="9"/>
      <name val="Arial"/>
      <charset val="1"/>
    </font>
    <font>
      <b/>
      <sz val="12"/>
      <color rgb="FFFFFFFF"/>
      <name val="Arial"/>
      <charset val="1"/>
    </font>
    <font>
      <b/>
      <sz val="10"/>
      <color rgb="FF000000"/>
      <name val="Arial"/>
      <charset val="1"/>
    </font>
    <font>
      <b/>
      <sz val="12"/>
      <color rgb="FFC00000"/>
      <name val="Arial"/>
      <charset val="1"/>
    </font>
    <font>
      <b/>
      <sz val="10"/>
      <color rgb="FF1F4E79"/>
      <name val="Arial"/>
      <charset val="1"/>
    </font>
    <font>
      <b/>
      <sz val="11"/>
      <color rgb="FFC00000"/>
      <name val="Arial"/>
      <charset val="1"/>
    </font>
    <font>
      <sz val="9"/>
      <color rgb="FF8B0000"/>
      <name val="Arial"/>
      <charset val="1"/>
    </font>
    <font>
      <sz val="9"/>
      <color rgb="FF375623"/>
      <name val="Arial"/>
      <charset val="1"/>
    </font>
    <font>
      <sz val="10"/>
      <color theme="1"/>
      <name val="Calibri"/>
      <charset val="1"/>
    </font>
    <font>
      <sz val="9"/>
      <color theme="1"/>
      <name val="Calibri"/>
      <charset val="1"/>
    </font>
    <font>
      <b/>
      <sz val="12"/>
      <color rgb="FF375623"/>
      <name val="Arial"/>
      <charset val="1"/>
    </font>
    <font>
      <sz val="9"/>
      <color rgb="FFAAAAAA"/>
      <name val="Arial"/>
      <charset val="1"/>
    </font>
    <font>
      <b/>
      <sz val="9"/>
      <color rgb="FF375623"/>
      <name val="Arial"/>
      <charset val="1"/>
    </font>
    <font>
      <b/>
      <sz val="9"/>
      <color rgb="FF8B0000"/>
      <name val="Arial"/>
      <charset val="1"/>
    </font>
    <font>
      <b/>
      <sz val="14"/>
      <color rgb="FFFFFFFF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sz val="8"/>
      <color rgb="FF0D2137"/>
      <name val="Arial"/>
    </font>
    <font>
      <b/>
      <sz val="10"/>
      <color rgb="FFFFFFFF"/>
      <name val="Arial"/>
    </font>
    <font>
      <sz val="9"/>
      <color rgb="FF000000"/>
      <name val="Arial"/>
    </font>
    <font>
      <sz val="9"/>
      <color rgb="FF1A7A1A"/>
      <name val="Arial"/>
    </font>
    <font>
      <sz val="9"/>
      <color rgb="FFC0392B"/>
      <name val="Arial"/>
    </font>
    <font>
      <b/>
      <sz val="9"/>
      <color rgb="FF1B2631"/>
      <name val="Arial"/>
    </font>
    <font>
      <b/>
      <sz val="10"/>
      <color rgb="FFA9DFBF"/>
      <name val="Arial"/>
    </font>
    <font>
      <b/>
      <sz val="10"/>
      <color rgb="FFF1948A"/>
      <name val="Arial"/>
    </font>
    <font>
      <b/>
      <sz val="10"/>
      <color rgb="FF6C3483"/>
      <name val="Arial"/>
    </font>
    <font>
      <b/>
      <sz val="9"/>
      <color rgb="FF6C3483"/>
      <name val="Arial"/>
    </font>
    <font>
      <sz val="9"/>
      <color rgb="FF1C1C1C"/>
      <name val="Arial"/>
      <family val="2"/>
    </font>
    <font>
      <b/>
      <sz val="1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1F4E79"/>
        <bgColor rgb="FF1A3C5E"/>
      </patternFill>
    </fill>
    <fill>
      <patternFill patternType="solid">
        <fgColor rgb="FF2E75B6"/>
        <bgColor rgb="FF008080"/>
      </patternFill>
    </fill>
    <fill>
      <patternFill patternType="solid">
        <fgColor rgb="FFFFF2CC"/>
        <bgColor rgb="FFFFFACD"/>
      </patternFill>
    </fill>
    <fill>
      <patternFill patternType="solid">
        <fgColor rgb="FF1E5C1E"/>
        <bgColor rgb="FF375623"/>
      </patternFill>
    </fill>
    <fill>
      <patternFill patternType="solid">
        <fgColor rgb="FFE5FFE5"/>
        <bgColor rgb="FFE0FFE0"/>
      </patternFill>
    </fill>
    <fill>
      <patternFill patternType="solid">
        <fgColor rgb="FFD0FFD0"/>
        <bgColor rgb="FFCCFFCC"/>
      </patternFill>
    </fill>
    <fill>
      <patternFill patternType="solid">
        <fgColor rgb="FF8B0000"/>
        <bgColor rgb="FF800000"/>
      </patternFill>
    </fill>
    <fill>
      <patternFill patternType="solid">
        <fgColor rgb="FFFFE5E5"/>
        <bgColor rgb="FFFFE5CC"/>
      </patternFill>
    </fill>
    <fill>
      <patternFill patternType="solid">
        <fgColor rgb="FFFFD0D0"/>
        <bgColor rgb="FFFFCCCC"/>
      </patternFill>
    </fill>
    <fill>
      <patternFill patternType="solid">
        <fgColor rgb="FF404040"/>
        <bgColor rgb="FF375623"/>
      </patternFill>
    </fill>
    <fill>
      <patternFill patternType="solid">
        <fgColor rgb="FFF5F5F5"/>
        <bgColor rgb="FFF0F4F8"/>
      </patternFill>
    </fill>
    <fill>
      <patternFill patternType="solid">
        <fgColor rgb="FFFFF8DC"/>
        <bgColor rgb="FFFFFACD"/>
      </patternFill>
    </fill>
    <fill>
      <patternFill patternType="solid">
        <fgColor rgb="FFF0F0FF"/>
        <bgColor rgb="FFF5EEFF"/>
      </patternFill>
    </fill>
    <fill>
      <patternFill patternType="solid">
        <fgColor rgb="FFF0FFF0"/>
        <bgColor rgb="FFE5FFE5"/>
      </patternFill>
    </fill>
    <fill>
      <patternFill patternType="solid">
        <fgColor rgb="FFF5EEFF"/>
        <bgColor rgb="FFF0F0FF"/>
      </patternFill>
    </fill>
    <fill>
      <patternFill patternType="solid">
        <fgColor rgb="FFC2D8EE"/>
        <bgColor rgb="FFBDD7EE"/>
      </patternFill>
    </fill>
    <fill>
      <patternFill patternType="solid">
        <fgColor rgb="FFFFFFFF"/>
        <bgColor rgb="FFF0FFF0"/>
      </patternFill>
    </fill>
    <fill>
      <patternFill patternType="solid">
        <fgColor rgb="FFFFFACD"/>
        <bgColor rgb="FFFFF8DC"/>
      </patternFill>
    </fill>
    <fill>
      <patternFill patternType="solid">
        <fgColor rgb="FFE8E8FF"/>
        <bgColor rgb="FFEDE0FF"/>
      </patternFill>
    </fill>
    <fill>
      <patternFill patternType="solid">
        <fgColor rgb="FFE0FFE0"/>
        <bgColor rgb="FFE5FFE5"/>
      </patternFill>
    </fill>
    <fill>
      <patternFill patternType="solid">
        <fgColor rgb="FFEDE0FF"/>
        <bgColor rgb="FFE8E8FF"/>
      </patternFill>
    </fill>
    <fill>
      <patternFill patternType="solid">
        <fgColor rgb="FFD6E4F0"/>
        <bgColor rgb="FFE8E8FF"/>
      </patternFill>
    </fill>
    <fill>
      <patternFill patternType="solid">
        <fgColor rgb="FFC00000"/>
        <bgColor rgb="FF8B0000"/>
      </patternFill>
    </fill>
    <fill>
      <patternFill patternType="solid">
        <fgColor rgb="FFFFCCCC"/>
        <bgColor rgb="FFFFD0D0"/>
      </patternFill>
    </fill>
    <fill>
      <patternFill patternType="solid">
        <fgColor rgb="FFCCFFCC"/>
        <bgColor rgb="FFD0FFD0"/>
      </patternFill>
    </fill>
    <fill>
      <patternFill patternType="solid">
        <fgColor rgb="FFFFE5CC"/>
        <bgColor rgb="FFFFE5E5"/>
      </patternFill>
    </fill>
    <fill>
      <patternFill patternType="solid">
        <fgColor rgb="FFEBF3FB"/>
        <bgColor rgb="FFF0F4F8"/>
      </patternFill>
    </fill>
    <fill>
      <patternFill patternType="solid">
        <fgColor rgb="FFF0F4F8"/>
        <bgColor rgb="FFF5F5F5"/>
      </patternFill>
    </fill>
    <fill>
      <patternFill patternType="solid">
        <fgColor rgb="FFFF0000"/>
        <bgColor rgb="FFF0FFF0"/>
      </patternFill>
    </fill>
    <fill>
      <patternFill patternType="solid">
        <fgColor rgb="FFFF0000"/>
        <bgColor rgb="FFFFE5CC"/>
      </patternFill>
    </fill>
    <fill>
      <patternFill patternType="solid">
        <fgColor rgb="FFFF0000"/>
        <bgColor rgb="FFE0FFE0"/>
      </patternFill>
    </fill>
    <fill>
      <patternFill patternType="solid">
        <fgColor rgb="FFFF0000"/>
        <bgColor rgb="FFFFF8DC"/>
      </patternFill>
    </fill>
    <fill>
      <patternFill patternType="solid">
        <fgColor rgb="FFFF0000"/>
        <bgColor rgb="FFEDE0FF"/>
      </patternFill>
    </fill>
    <fill>
      <patternFill patternType="solid">
        <fgColor rgb="FFFF0000"/>
        <bgColor rgb="FFE5FFE5"/>
      </patternFill>
    </fill>
    <fill>
      <patternFill patternType="solid">
        <fgColor rgb="FFFF0000"/>
        <bgColor rgb="FFE8E8FF"/>
      </patternFill>
    </fill>
    <fill>
      <patternFill patternType="solid">
        <fgColor rgb="FF1B3A6B"/>
      </patternFill>
    </fill>
    <fill>
      <patternFill patternType="solid">
        <fgColor rgb="FF2C5F9E"/>
      </patternFill>
    </fill>
    <fill>
      <patternFill patternType="solid">
        <fgColor rgb="FF1E8449"/>
      </patternFill>
    </fill>
    <fill>
      <patternFill patternType="solid">
        <fgColor rgb="FF0D2137"/>
      </patternFill>
    </fill>
    <fill>
      <patternFill patternType="solid">
        <fgColor rgb="FF1A5276"/>
      </patternFill>
    </fill>
    <fill>
      <patternFill patternType="solid">
        <fgColor rgb="FF2980B9"/>
      </patternFill>
    </fill>
    <fill>
      <patternFill patternType="solid">
        <fgColor rgb="FFE8F5E9"/>
      </patternFill>
    </fill>
    <fill>
      <patternFill patternType="solid">
        <fgColor rgb="FF0D3349"/>
      </patternFill>
    </fill>
    <fill>
      <patternFill patternType="solid">
        <fgColor rgb="FF27AE60"/>
      </patternFill>
    </fill>
    <fill>
      <patternFill patternType="solid">
        <fgColor rgb="FF4A235A"/>
      </patternFill>
    </fill>
    <fill>
      <patternFill patternType="solid">
        <fgColor rgb="FF6C3483"/>
      </patternFill>
    </fill>
    <fill>
      <patternFill patternType="solid">
        <fgColor rgb="FFF3E5F5"/>
      </patternFill>
    </fill>
  </fills>
  <borders count="11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186">
    <xf numFmtId="0" fontId="0" fillId="0" borderId="0" xfId="0"/>
    <xf numFmtId="164" fontId="3" fillId="4" borderId="2" xfId="0" applyNumberFormat="1" applyFont="1" applyFill="1" applyBorder="1" applyAlignment="1">
      <alignment horizontal="right" vertical="center"/>
    </xf>
    <xf numFmtId="165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right" vertical="center"/>
    </xf>
    <xf numFmtId="0" fontId="0" fillId="6" borderId="2" xfId="0" applyFill="1" applyBorder="1"/>
    <xf numFmtId="165" fontId="7" fillId="7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right" vertical="center"/>
    </xf>
    <xf numFmtId="0" fontId="0" fillId="7" borderId="2" xfId="0" applyFill="1" applyBorder="1"/>
    <xf numFmtId="165" fontId="11" fillId="9" borderId="2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4" fontId="12" fillId="9" borderId="2" xfId="0" applyNumberFormat="1" applyFont="1" applyFill="1" applyBorder="1" applyAlignment="1">
      <alignment horizontal="right" vertical="center"/>
    </xf>
    <xf numFmtId="0" fontId="9" fillId="9" borderId="2" xfId="0" applyFont="1" applyFill="1" applyBorder="1" applyAlignment="1">
      <alignment horizontal="center" vertical="center"/>
    </xf>
    <xf numFmtId="0" fontId="0" fillId="9" borderId="2" xfId="0" applyFill="1" applyBorder="1"/>
    <xf numFmtId="165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4" fontId="12" fillId="10" borderId="2" xfId="0" applyNumberFormat="1" applyFont="1" applyFill="1" applyBorder="1" applyAlignment="1">
      <alignment horizontal="right" vertical="center"/>
    </xf>
    <xf numFmtId="0" fontId="9" fillId="10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13" fillId="2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/>
    </xf>
    <xf numFmtId="0" fontId="15" fillId="0" borderId="0" xfId="0" applyFont="1"/>
    <xf numFmtId="165" fontId="16" fillId="12" borderId="2" xfId="0" applyNumberFormat="1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right" vertical="center" wrapText="1"/>
    </xf>
    <xf numFmtId="164" fontId="11" fillId="10" borderId="2" xfId="0" applyNumberFormat="1" applyFont="1" applyFill="1" applyBorder="1" applyAlignment="1">
      <alignment horizontal="right" vertical="center"/>
    </xf>
    <xf numFmtId="164" fontId="18" fillId="7" borderId="2" xfId="0" applyNumberFormat="1" applyFont="1" applyFill="1" applyBorder="1" applyAlignment="1">
      <alignment horizontal="right" vertical="center"/>
    </xf>
    <xf numFmtId="0" fontId="19" fillId="13" borderId="2" xfId="0" applyFont="1" applyFill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/>
    </xf>
    <xf numFmtId="0" fontId="20" fillId="16" borderId="2" xfId="0" applyFont="1" applyFill="1" applyBorder="1" applyAlignment="1">
      <alignment horizontal="right" vertical="center"/>
    </xf>
    <xf numFmtId="164" fontId="19" fillId="17" borderId="2" xfId="0" applyNumberFormat="1" applyFont="1" applyFill="1" applyBorder="1" applyAlignment="1">
      <alignment horizontal="right" vertical="center"/>
    </xf>
    <xf numFmtId="0" fontId="21" fillId="12" borderId="2" xfId="0" applyFont="1" applyFill="1" applyBorder="1" applyAlignment="1">
      <alignment horizontal="right" vertical="center"/>
    </xf>
    <xf numFmtId="0" fontId="17" fillId="18" borderId="2" xfId="0" applyFont="1" applyFill="1" applyBorder="1" applyAlignment="1">
      <alignment horizontal="center" vertical="center"/>
    </xf>
    <xf numFmtId="0" fontId="16" fillId="18" borderId="2" xfId="0" applyFont="1" applyFill="1" applyBorder="1" applyAlignment="1">
      <alignment horizontal="right" vertical="center" wrapText="1"/>
    </xf>
    <xf numFmtId="164" fontId="11" fillId="9" borderId="2" xfId="0" applyNumberFormat="1" applyFont="1" applyFill="1" applyBorder="1" applyAlignment="1">
      <alignment horizontal="right" vertical="center"/>
    </xf>
    <xf numFmtId="164" fontId="18" fillId="6" borderId="2" xfId="0" applyNumberFormat="1" applyFont="1" applyFill="1" applyBorder="1" applyAlignment="1">
      <alignment horizontal="right" vertical="center"/>
    </xf>
    <xf numFmtId="0" fontId="19" fillId="20" borderId="2" xfId="0" applyFont="1" applyFill="1" applyBorder="1" applyAlignment="1">
      <alignment horizontal="center" vertical="center"/>
    </xf>
    <xf numFmtId="0" fontId="19" fillId="21" borderId="2" xfId="0" applyFont="1" applyFill="1" applyBorder="1" applyAlignment="1">
      <alignment horizontal="center" vertical="center"/>
    </xf>
    <xf numFmtId="0" fontId="20" fillId="22" borderId="2" xfId="0" applyFont="1" applyFill="1" applyBorder="1" applyAlignment="1">
      <alignment horizontal="right" vertical="center"/>
    </xf>
    <xf numFmtId="164" fontId="19" fillId="23" borderId="2" xfId="0" applyNumberFormat="1" applyFont="1" applyFill="1" applyBorder="1" applyAlignment="1">
      <alignment horizontal="right" vertical="center"/>
    </xf>
    <xf numFmtId="0" fontId="21" fillId="18" borderId="2" xfId="0" applyFont="1" applyFill="1" applyBorder="1" applyAlignment="1">
      <alignment horizontal="right" vertical="center"/>
    </xf>
    <xf numFmtId="166" fontId="16" fillId="1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right" vertical="center"/>
    </xf>
    <xf numFmtId="0" fontId="22" fillId="25" borderId="2" xfId="0" applyFont="1" applyFill="1" applyBorder="1" applyAlignment="1">
      <alignment horizontal="center" vertical="center"/>
    </xf>
    <xf numFmtId="0" fontId="22" fillId="26" borderId="2" xfId="0" applyFont="1" applyFill="1" applyBorder="1" applyAlignment="1">
      <alignment horizontal="center" vertical="center"/>
    </xf>
    <xf numFmtId="0" fontId="22" fillId="27" borderId="2" xfId="0" applyFont="1" applyFill="1" applyBorder="1" applyAlignment="1">
      <alignment horizontal="center" vertical="center"/>
    </xf>
    <xf numFmtId="0" fontId="22" fillId="2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right" vertical="center"/>
    </xf>
    <xf numFmtId="0" fontId="17" fillId="18" borderId="2" xfId="0" applyFont="1" applyFill="1" applyBorder="1" applyAlignment="1">
      <alignment horizontal="right" vertical="center"/>
    </xf>
    <xf numFmtId="0" fontId="24" fillId="18" borderId="2" xfId="0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164" fontId="27" fillId="4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16" fillId="18" borderId="2" xfId="0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right" vertical="center"/>
    </xf>
    <xf numFmtId="0" fontId="16" fillId="12" borderId="2" xfId="0" applyFont="1" applyFill="1" applyBorder="1" applyAlignment="1">
      <alignment horizontal="center" vertical="center"/>
    </xf>
    <xf numFmtId="164" fontId="7" fillId="7" borderId="2" xfId="0" applyNumberFormat="1" applyFont="1" applyFill="1" applyBorder="1" applyAlignment="1">
      <alignment horizontal="right" vertical="center"/>
    </xf>
    <xf numFmtId="165" fontId="10" fillId="18" borderId="2" xfId="0" applyNumberFormat="1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right" vertical="center" wrapText="1"/>
    </xf>
    <xf numFmtId="164" fontId="28" fillId="9" borderId="2" xfId="0" applyNumberFormat="1" applyFont="1" applyFill="1" applyBorder="1" applyAlignment="1">
      <alignment horizontal="right" vertical="center"/>
    </xf>
    <xf numFmtId="164" fontId="29" fillId="6" borderId="2" xfId="0" applyNumberFormat="1" applyFont="1" applyFill="1" applyBorder="1" applyAlignment="1">
      <alignment horizontal="right" vertical="center"/>
    </xf>
    <xf numFmtId="164" fontId="22" fillId="23" borderId="2" xfId="0" applyNumberFormat="1" applyFont="1" applyFill="1" applyBorder="1" applyAlignment="1">
      <alignment horizontal="right" vertical="center"/>
    </xf>
    <xf numFmtId="165" fontId="10" fillId="12" borderId="2" xfId="0" applyNumberFormat="1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right" vertical="center" wrapText="1"/>
    </xf>
    <xf numFmtId="164" fontId="28" fillId="10" borderId="2" xfId="0" applyNumberFormat="1" applyFont="1" applyFill="1" applyBorder="1" applyAlignment="1">
      <alignment horizontal="right" vertical="center"/>
    </xf>
    <xf numFmtId="164" fontId="29" fillId="7" borderId="2" xfId="0" applyNumberFormat="1" applyFont="1" applyFill="1" applyBorder="1" applyAlignment="1">
      <alignment horizontal="right" vertical="center"/>
    </xf>
    <xf numFmtId="164" fontId="22" fillId="17" borderId="2" xfId="0" applyNumberFormat="1" applyFont="1" applyFill="1" applyBorder="1" applyAlignment="1">
      <alignment horizontal="righ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30" fillId="0" borderId="0" xfId="0" applyFont="1"/>
    <xf numFmtId="0" fontId="31" fillId="0" borderId="0" xfId="0" applyFont="1"/>
    <xf numFmtId="164" fontId="32" fillId="26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right" vertical="center"/>
    </xf>
    <xf numFmtId="0" fontId="30" fillId="6" borderId="2" xfId="0" applyFont="1" applyFill="1" applyBorder="1"/>
    <xf numFmtId="0" fontId="7" fillId="7" borderId="2" xfId="0" applyFont="1" applyFill="1" applyBorder="1" applyAlignment="1">
      <alignment horizontal="right" vertical="center"/>
    </xf>
    <xf numFmtId="0" fontId="30" fillId="7" borderId="2" xfId="0" applyFont="1" applyFill="1" applyBorder="1"/>
    <xf numFmtId="165" fontId="29" fillId="7" borderId="2" xfId="0" applyNumberFormat="1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right" vertical="center"/>
    </xf>
    <xf numFmtId="0" fontId="33" fillId="7" borderId="2" xfId="0" applyFont="1" applyFill="1" applyBorder="1" applyAlignment="1">
      <alignment horizontal="center" vertical="center"/>
    </xf>
    <xf numFmtId="164" fontId="34" fillId="7" borderId="2" xfId="0" applyNumberFormat="1" applyFont="1" applyFill="1" applyBorder="1" applyAlignment="1">
      <alignment horizontal="right" vertical="center"/>
    </xf>
    <xf numFmtId="165" fontId="29" fillId="6" borderId="2" xfId="0" applyNumberFormat="1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right" vertical="center"/>
    </xf>
    <xf numFmtId="0" fontId="33" fillId="6" borderId="2" xfId="0" applyFont="1" applyFill="1" applyBorder="1" applyAlignment="1">
      <alignment horizontal="center" vertical="center"/>
    </xf>
    <xf numFmtId="164" fontId="34" fillId="6" borderId="2" xfId="0" applyNumberFormat="1" applyFont="1" applyFill="1" applyBorder="1" applyAlignment="1">
      <alignment horizontal="right" vertical="center"/>
    </xf>
    <xf numFmtId="0" fontId="11" fillId="9" borderId="2" xfId="0" applyFont="1" applyFill="1" applyBorder="1" applyAlignment="1">
      <alignment horizontal="right" vertical="center"/>
    </xf>
    <xf numFmtId="0" fontId="30" fillId="9" borderId="2" xfId="0" applyFont="1" applyFill="1" applyBorder="1"/>
    <xf numFmtId="0" fontId="11" fillId="10" borderId="2" xfId="0" applyFont="1" applyFill="1" applyBorder="1" applyAlignment="1">
      <alignment horizontal="right" vertical="center"/>
    </xf>
    <xf numFmtId="0" fontId="30" fillId="10" borderId="2" xfId="0" applyFont="1" applyFill="1" applyBorder="1"/>
    <xf numFmtId="165" fontId="28" fillId="9" borderId="2" xfId="0" applyNumberFormat="1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right" vertical="center"/>
    </xf>
    <xf numFmtId="164" fontId="35" fillId="9" borderId="2" xfId="0" applyNumberFormat="1" applyFont="1" applyFill="1" applyBorder="1" applyAlignment="1">
      <alignment horizontal="right" vertical="center"/>
    </xf>
    <xf numFmtId="0" fontId="33" fillId="9" borderId="2" xfId="0" applyFont="1" applyFill="1" applyBorder="1" applyAlignment="1">
      <alignment horizontal="center" vertical="center"/>
    </xf>
    <xf numFmtId="165" fontId="28" fillId="10" borderId="2" xfId="0" applyNumberFormat="1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right" vertical="center"/>
    </xf>
    <xf numFmtId="164" fontId="35" fillId="10" borderId="2" xfId="0" applyNumberFormat="1" applyFont="1" applyFill="1" applyBorder="1" applyAlignment="1">
      <alignment horizontal="right" vertical="center"/>
    </xf>
    <xf numFmtId="0" fontId="33" fillId="10" borderId="2" xfId="0" applyFont="1" applyFill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17" fillId="30" borderId="2" xfId="0" applyFont="1" applyFill="1" applyBorder="1" applyAlignment="1">
      <alignment horizontal="center" vertical="center"/>
    </xf>
    <xf numFmtId="0" fontId="16" fillId="30" borderId="2" xfId="0" applyFont="1" applyFill="1" applyBorder="1" applyAlignment="1">
      <alignment horizontal="right" vertical="center" wrapText="1"/>
    </xf>
    <xf numFmtId="164" fontId="11" fillId="31" borderId="2" xfId="0" applyNumberFormat="1" applyFont="1" applyFill="1" applyBorder="1" applyAlignment="1">
      <alignment horizontal="right" vertical="center"/>
    </xf>
    <xf numFmtId="164" fontId="18" fillId="32" borderId="2" xfId="0" applyNumberFormat="1" applyFont="1" applyFill="1" applyBorder="1" applyAlignment="1">
      <alignment horizontal="right" vertical="center"/>
    </xf>
    <xf numFmtId="0" fontId="19" fillId="33" borderId="2" xfId="0" applyFont="1" applyFill="1" applyBorder="1" applyAlignment="1">
      <alignment horizontal="center" vertical="center"/>
    </xf>
    <xf numFmtId="0" fontId="19" fillId="34" borderId="2" xfId="0" applyFont="1" applyFill="1" applyBorder="1" applyAlignment="1">
      <alignment horizontal="center" vertical="center"/>
    </xf>
    <xf numFmtId="0" fontId="19" fillId="35" borderId="2" xfId="0" applyFont="1" applyFill="1" applyBorder="1" applyAlignment="1">
      <alignment horizontal="center" vertical="center"/>
    </xf>
    <xf numFmtId="0" fontId="20" fillId="36" borderId="2" xfId="0" applyFont="1" applyFill="1" applyBorder="1" applyAlignment="1">
      <alignment horizontal="right" vertical="center"/>
    </xf>
    <xf numFmtId="164" fontId="19" fillId="36" borderId="2" xfId="0" applyNumberFormat="1" applyFont="1" applyFill="1" applyBorder="1" applyAlignment="1">
      <alignment horizontal="right" vertical="center"/>
    </xf>
    <xf numFmtId="0" fontId="21" fillId="30" borderId="2" xfId="0" applyFont="1" applyFill="1" applyBorder="1" applyAlignment="1">
      <alignment horizontal="right" vertical="center"/>
    </xf>
    <xf numFmtId="167" fontId="38" fillId="39" borderId="5" xfId="0" applyNumberFormat="1" applyFont="1" applyFill="1" applyBorder="1" applyAlignment="1">
      <alignment horizontal="center" vertical="center" readingOrder="2"/>
    </xf>
    <xf numFmtId="0" fontId="40" fillId="42" borderId="5" xfId="0" applyFont="1" applyFill="1" applyBorder="1" applyAlignment="1">
      <alignment horizontal="center" vertical="center" readingOrder="2"/>
    </xf>
    <xf numFmtId="0" fontId="41" fillId="43" borderId="5" xfId="0" applyFont="1" applyFill="1" applyBorder="1" applyAlignment="1">
      <alignment horizontal="right" vertical="center" readingOrder="2"/>
    </xf>
    <xf numFmtId="0" fontId="41" fillId="43" borderId="5" xfId="0" applyFont="1" applyFill="1" applyBorder="1" applyAlignment="1">
      <alignment horizontal="center" vertical="center" readingOrder="2"/>
    </xf>
    <xf numFmtId="164" fontId="42" fillId="43" borderId="5" xfId="0" applyNumberFormat="1" applyFont="1" applyFill="1" applyBorder="1" applyAlignment="1">
      <alignment horizontal="center" vertical="center" readingOrder="2"/>
    </xf>
    <xf numFmtId="164" fontId="43" fillId="43" borderId="5" xfId="0" applyNumberFormat="1" applyFont="1" applyFill="1" applyBorder="1" applyAlignment="1">
      <alignment horizontal="center" vertical="center" readingOrder="2"/>
    </xf>
    <xf numFmtId="164" fontId="44" fillId="43" borderId="5" xfId="0" applyNumberFormat="1" applyFont="1" applyFill="1" applyBorder="1" applyAlignment="1">
      <alignment horizontal="center" vertical="center" readingOrder="2"/>
    </xf>
    <xf numFmtId="0" fontId="41" fillId="44" borderId="5" xfId="0" applyFont="1" applyFill="1" applyBorder="1" applyAlignment="1">
      <alignment horizontal="right" vertical="center" readingOrder="2"/>
    </xf>
    <xf numFmtId="0" fontId="40" fillId="44" borderId="5" xfId="0" applyFont="1" applyFill="1" applyBorder="1" applyAlignment="1">
      <alignment horizontal="center" vertical="center" readingOrder="2"/>
    </xf>
    <xf numFmtId="164" fontId="45" fillId="44" borderId="5" xfId="0" applyNumberFormat="1" applyFont="1" applyFill="1" applyBorder="1" applyAlignment="1">
      <alignment horizontal="center" vertical="center" readingOrder="2"/>
    </xf>
    <xf numFmtId="164" fontId="46" fillId="44" borderId="5" xfId="0" applyNumberFormat="1" applyFont="1" applyFill="1" applyBorder="1" applyAlignment="1">
      <alignment horizontal="center" vertical="center" readingOrder="2"/>
    </xf>
    <xf numFmtId="164" fontId="40" fillId="45" borderId="5" xfId="0" applyNumberFormat="1" applyFont="1" applyFill="1" applyBorder="1" applyAlignment="1">
      <alignment horizontal="center" vertical="center" readingOrder="2"/>
    </xf>
    <xf numFmtId="0" fontId="40" fillId="47" borderId="5" xfId="0" applyFont="1" applyFill="1" applyBorder="1" applyAlignment="1">
      <alignment horizontal="center" vertical="center" readingOrder="2"/>
    </xf>
    <xf numFmtId="0" fontId="41" fillId="48" borderId="5" xfId="0" applyFont="1" applyFill="1" applyBorder="1" applyAlignment="1">
      <alignment horizontal="right" vertical="center" readingOrder="2"/>
    </xf>
    <xf numFmtId="0" fontId="41" fillId="48" borderId="5" xfId="0" applyFont="1" applyFill="1" applyBorder="1" applyAlignment="1">
      <alignment horizontal="center" vertical="center" readingOrder="2"/>
    </xf>
    <xf numFmtId="164" fontId="47" fillId="48" borderId="5" xfId="0" applyNumberFormat="1" applyFont="1" applyFill="1" applyBorder="1" applyAlignment="1">
      <alignment horizontal="center" vertical="center" readingOrder="2"/>
    </xf>
    <xf numFmtId="0" fontId="48" fillId="48" borderId="5" xfId="0" applyFont="1" applyFill="1" applyBorder="1" applyAlignment="1">
      <alignment horizontal="center" vertical="center" readingOrder="2"/>
    </xf>
    <xf numFmtId="0" fontId="19" fillId="19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0" xfId="0"/>
    <xf numFmtId="165" fontId="16" fillId="18" borderId="2" xfId="0" applyNumberFormat="1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right" vertical="center"/>
    </xf>
    <xf numFmtId="168" fontId="41" fillId="43" borderId="5" xfId="0" applyNumberFormat="1" applyFont="1" applyFill="1" applyBorder="1" applyAlignment="1">
      <alignment horizontal="right" vertical="center" readingOrder="2"/>
    </xf>
    <xf numFmtId="168" fontId="41" fillId="48" borderId="5" xfId="0" applyNumberFormat="1" applyFont="1" applyFill="1" applyBorder="1" applyAlignment="1">
      <alignment horizontal="right" vertical="center" readingOrder="2"/>
    </xf>
    <xf numFmtId="165" fontId="16" fillId="18" borderId="2" xfId="0" applyNumberFormat="1" applyFont="1" applyFill="1" applyBorder="1" applyAlignment="1">
      <alignment horizontal="center" vertical="center"/>
    </xf>
    <xf numFmtId="165" fontId="16" fillId="18" borderId="2" xfId="0" applyNumberFormat="1" applyFont="1" applyFill="1" applyBorder="1" applyAlignment="1">
      <alignment horizontal="center" vertical="center"/>
    </xf>
    <xf numFmtId="165" fontId="16" fillId="18" borderId="2" xfId="0" applyNumberFormat="1" applyFont="1" applyFill="1" applyBorder="1" applyAlignment="1">
      <alignment horizontal="center" vertical="center"/>
    </xf>
    <xf numFmtId="165" fontId="16" fillId="18" borderId="2" xfId="0" applyNumberFormat="1" applyFont="1" applyFill="1" applyBorder="1" applyAlignment="1">
      <alignment horizontal="center" vertical="center"/>
    </xf>
    <xf numFmtId="165" fontId="16" fillId="18" borderId="2" xfId="0" applyNumberFormat="1" applyFont="1" applyFill="1" applyBorder="1" applyAlignment="1">
      <alignment horizontal="center" vertical="center"/>
    </xf>
    <xf numFmtId="165" fontId="16" fillId="18" borderId="2" xfId="0" applyNumberFormat="1" applyFont="1" applyFill="1" applyBorder="1" applyAlignment="1">
      <alignment horizontal="center" vertical="center"/>
    </xf>
    <xf numFmtId="165" fontId="16" fillId="18" borderId="2" xfId="0" applyNumberFormat="1" applyFont="1" applyFill="1" applyBorder="1" applyAlignment="1">
      <alignment horizontal="center" vertical="center"/>
    </xf>
    <xf numFmtId="14" fontId="17" fillId="12" borderId="2" xfId="0" applyNumberFormat="1" applyFont="1" applyFill="1" applyBorder="1" applyAlignment="1">
      <alignment horizontal="center" vertical="center"/>
    </xf>
    <xf numFmtId="14" fontId="17" fillId="18" borderId="2" xfId="0" applyNumberFormat="1" applyFont="1" applyFill="1" applyBorder="1" applyAlignment="1">
      <alignment horizontal="center" vertical="center"/>
    </xf>
    <xf numFmtId="0" fontId="49" fillId="0" borderId="0" xfId="0" applyFont="1"/>
    <xf numFmtId="0" fontId="50" fillId="19" borderId="2" xfId="0" applyFont="1" applyFill="1" applyBorder="1" applyAlignment="1">
      <alignment horizontal="center" vertical="center"/>
    </xf>
    <xf numFmtId="0" fontId="50" fillId="20" borderId="2" xfId="0" applyFont="1" applyFill="1" applyBorder="1" applyAlignment="1">
      <alignment horizontal="center" vertical="center"/>
    </xf>
    <xf numFmtId="0" fontId="50" fillId="21" borderId="2" xfId="0" applyFont="1" applyFill="1" applyBorder="1" applyAlignment="1">
      <alignment horizontal="center" vertical="center"/>
    </xf>
    <xf numFmtId="0" fontId="37" fillId="46" borderId="5" xfId="0" applyFont="1" applyFill="1" applyBorder="1" applyAlignment="1">
      <alignment horizontal="center" vertical="center" readingOrder="2"/>
    </xf>
    <xf numFmtId="0" fontId="0" fillId="0" borderId="6" xfId="0" applyBorder="1"/>
    <xf numFmtId="0" fontId="0" fillId="0" borderId="7" xfId="0" applyBorder="1"/>
    <xf numFmtId="0" fontId="37" fillId="38" borderId="5" xfId="0" applyFont="1" applyFill="1" applyBorder="1" applyAlignment="1">
      <alignment horizontal="center" vertical="center" readingOrder="2"/>
    </xf>
    <xf numFmtId="0" fontId="36" fillId="37" borderId="5" xfId="0" applyFont="1" applyFill="1" applyBorder="1" applyAlignment="1">
      <alignment horizontal="center" vertical="center" readingOrder="2"/>
    </xf>
    <xf numFmtId="0" fontId="37" fillId="41" borderId="5" xfId="0" applyFont="1" applyFill="1" applyBorder="1" applyAlignment="1">
      <alignment horizontal="center" vertical="center" readingOrder="2"/>
    </xf>
    <xf numFmtId="0" fontId="39" fillId="40" borderId="5" xfId="0" applyFont="1" applyFill="1" applyBorder="1" applyAlignment="1">
      <alignment horizontal="center" vertical="center" readingOrder="2"/>
    </xf>
    <xf numFmtId="0" fontId="19" fillId="19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3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16" fillId="18" borderId="2" xfId="0" applyNumberFormat="1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 vertical="center"/>
    </xf>
    <xf numFmtId="0" fontId="21" fillId="12" borderId="9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6" fillId="28" borderId="0" xfId="0" applyFont="1" applyFill="1" applyAlignment="1">
      <alignment horizontal="right" vertical="center"/>
    </xf>
    <xf numFmtId="0" fontId="26" fillId="29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8">
    <dxf>
      <font>
        <b/>
        <color rgb="FF375623"/>
      </font>
    </dxf>
    <dxf>
      <font>
        <b/>
        <color rgb="FFC00000"/>
      </font>
    </dxf>
    <dxf>
      <font>
        <b/>
        <color rgb="FF4B0082"/>
        <name val="Arial"/>
        <charset val="1"/>
      </font>
      <fill>
        <patternFill>
          <bgColor rgb="FFD9B3FF"/>
        </patternFill>
      </fill>
    </dxf>
    <dxf>
      <font>
        <b/>
        <color rgb="FFFFFFFF"/>
        <name val="Arial"/>
        <charset val="1"/>
      </font>
      <fill>
        <patternFill>
          <bgColor rgb="FFFF6B35"/>
        </patternFill>
      </fill>
    </dxf>
    <dxf>
      <font>
        <b/>
        <color rgb="FF375623"/>
      </font>
    </dxf>
    <dxf>
      <font>
        <b/>
        <color rgb="FFC00000"/>
      </font>
    </dxf>
    <dxf>
      <fill>
        <patternFill patternType="solid">
          <fgColor rgb="FFFDEDEC"/>
          <bgColor rgb="FFFDEDEC"/>
        </patternFill>
      </fill>
    </dxf>
    <dxf>
      <fill>
        <patternFill patternType="solid">
          <fgColor rgb="FFE8F5E9"/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F5F5F5"/>
      <rgbColor rgb="FF0000FF"/>
      <rgbColor rgb="FFFFF8DC"/>
      <rgbColor rgb="FFFF00FF"/>
      <rgbColor rgb="FFEBF3FB"/>
      <rgbColor rgb="FF8B0000"/>
      <rgbColor rgb="FF1E5C1E"/>
      <rgbColor rgb="FF000080"/>
      <rgbColor rgb="FFF5EEFF"/>
      <rgbColor rgb="FF800080"/>
      <rgbColor rgb="FF008080"/>
      <rgbColor rgb="FFBBBBBB"/>
      <rgbColor rgb="FF808080"/>
      <rgbColor rgb="FFBDD7EE"/>
      <rgbColor rgb="FF7030A0"/>
      <rgbColor rgb="FFFFFACD"/>
      <rgbColor rgb="FFE0FFE0"/>
      <rgbColor rgb="FF4B0082"/>
      <rgbColor rgb="FFFFE5E5"/>
      <rgbColor rgb="FF1F4E79"/>
      <rgbColor rgb="FFC2D8EE"/>
      <rgbColor rgb="FF000080"/>
      <rgbColor rgb="FFFF00FF"/>
      <rgbColor rgb="FFE5FFE5"/>
      <rgbColor rgb="FFF0FFF0"/>
      <rgbColor rgb="FF800080"/>
      <rgbColor rgb="FF800000"/>
      <rgbColor rgb="FF008080"/>
      <rgbColor rgb="FF0000FF"/>
      <rgbColor rgb="FFF0F4F8"/>
      <rgbColor rgb="FFD0FFD0"/>
      <rgbColor rgb="FFCCFFCC"/>
      <rgbColor rgb="FFFFF2CC"/>
      <rgbColor rgb="FFA9D1F5"/>
      <rgbColor rgb="FFFFD0D0"/>
      <rgbColor rgb="FFD9B3FF"/>
      <rgbColor rgb="FFFFCCCC"/>
      <rgbColor rgb="FF2E75B6"/>
      <rgbColor rgb="FFE8E8FF"/>
      <rgbColor rgb="FFD6E4F0"/>
      <rgbColor rgb="FFFFE5CC"/>
      <rgbColor rgb="FFEDE0FF"/>
      <rgbColor rgb="FFFF6B35"/>
      <rgbColor rgb="FF606060"/>
      <rgbColor rgb="FFAAAAAA"/>
      <rgbColor rgb="FF002060"/>
      <rgbColor rgb="FFF0F0FF"/>
      <rgbColor rgb="FF003300"/>
      <rgbColor rgb="FF375623"/>
      <rgbColor rgb="FF843C0C"/>
      <rgbColor rgb="FF993366"/>
      <rgbColor rgb="FF1A3C5E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2"/>
  <sheetViews>
    <sheetView rightToLeft="1" topLeftCell="A116" workbookViewId="0">
      <selection sqref="A1:F1"/>
    </sheetView>
  </sheetViews>
  <sheetFormatPr defaultRowHeight="15" x14ac:dyDescent="0.25"/>
  <cols>
    <col min="1" max="1" width="13" style="138" customWidth="1"/>
    <col min="2" max="2" width="12" style="138" customWidth="1"/>
    <col min="3" max="3" width="40" style="138" customWidth="1"/>
    <col min="4" max="5" width="12" style="138" customWidth="1"/>
    <col min="6" max="6" width="14" style="138" customWidth="1"/>
  </cols>
  <sheetData>
    <row r="1" spans="1:6" ht="38.1" customHeight="1" x14ac:dyDescent="0.25">
      <c r="A1" s="161" t="s">
        <v>0</v>
      </c>
      <c r="B1" s="158"/>
      <c r="C1" s="158"/>
      <c r="D1" s="158"/>
      <c r="E1" s="158"/>
      <c r="F1" s="159"/>
    </row>
    <row r="2" spans="1:6" ht="30" customHeight="1" x14ac:dyDescent="0.25">
      <c r="A2" s="160" t="s">
        <v>1</v>
      </c>
      <c r="B2" s="158"/>
      <c r="C2" s="158"/>
      <c r="D2" s="158"/>
      <c r="E2" s="159"/>
      <c r="F2" s="119">
        <f>F206</f>
        <v>921.79500000000007</v>
      </c>
    </row>
    <row r="3" spans="1:6" ht="6" customHeight="1" x14ac:dyDescent="0.25">
      <c r="A3" s="163"/>
      <c r="B3" s="158"/>
      <c r="C3" s="158"/>
      <c r="D3" s="158"/>
      <c r="E3" s="158"/>
      <c r="F3" s="159"/>
    </row>
    <row r="4" spans="1:6" ht="27.95" customHeight="1" x14ac:dyDescent="0.25">
      <c r="A4" s="162" t="s">
        <v>2</v>
      </c>
      <c r="B4" s="158"/>
      <c r="C4" s="158"/>
      <c r="D4" s="158"/>
      <c r="E4" s="158"/>
      <c r="F4" s="159"/>
    </row>
    <row r="5" spans="1:6" ht="24" customHeight="1" x14ac:dyDescent="0.25">
      <c r="A5" s="120" t="s">
        <v>3</v>
      </c>
      <c r="B5" s="120" t="s">
        <v>4</v>
      </c>
      <c r="C5" s="120" t="s">
        <v>5</v>
      </c>
      <c r="D5" s="120" t="s">
        <v>6</v>
      </c>
      <c r="E5" s="120" t="s">
        <v>7</v>
      </c>
      <c r="F5" s="120" t="s">
        <v>8</v>
      </c>
    </row>
    <row r="6" spans="1:6" ht="18" customHeight="1" x14ac:dyDescent="0.25">
      <c r="A6" s="142">
        <f>IFERROR(INDEX('كشف الحساب'!$A$4:$A$354,MATCH(1,'كشف الحساب'!$P$4:$P$354,0)),"")</f>
        <v>46121</v>
      </c>
      <c r="B6" s="122" t="str">
        <f>IFERROR(INDEX('كشف الحساب'!$B$4:$B$354,MATCH(1,'كشف الحساب'!$P$4:$P$354,0)),"")</f>
        <v>Inv-001</v>
      </c>
      <c r="C6" s="121" t="str">
        <f>IFERROR(INDEX('كشف الحساب'!$C$4:$C$354,MATCH(1,'كشف الحساب'!$P$4:$P$354,0)),"")</f>
        <v>بيع عدد١ اناناس</v>
      </c>
      <c r="D6" s="123">
        <f>IFERROR(INDEX('كشف الحساب'!$E$4:$E$354,MATCH(1,'كشف الحساب'!$P$4:$P$354,0)),"")</f>
        <v>5</v>
      </c>
      <c r="E6" s="124">
        <f>IFERROR(INDEX('كشف الحساب'!$D$4:$D$354,MATCH(1,'كشف الحساب'!$P$4:$P$354,0)),"")</f>
        <v>0</v>
      </c>
      <c r="F6" s="125">
        <f>IF($A6="","",0+IF($D6="",0,$D6)-IF($E6="",0,$E6))</f>
        <v>5</v>
      </c>
    </row>
    <row r="7" spans="1:6" ht="18" customHeight="1" x14ac:dyDescent="0.25">
      <c r="A7" s="142">
        <f>IFERROR(INDEX('كشف الحساب'!$A$4:$A$354,MATCH(2,'كشف الحساب'!$P$4:$P$354,0)),"")</f>
        <v>46134</v>
      </c>
      <c r="B7" s="122" t="str">
        <f>IFERROR(INDEX('كشف الحساب'!$B$4:$B$354,MATCH(2,'كشف الحساب'!$P$4:$P$354,0)),"")</f>
        <v>8127</v>
      </c>
      <c r="C7" s="121" t="str">
        <f>IFERROR(INDEX('كشف الحساب'!$C$4:$C$354,MATCH(2,'كشف الحساب'!$P$4:$P$354,0)),"")</f>
        <v>تاير لعربة الرش</v>
      </c>
      <c r="D7" s="123">
        <f>IFERROR(INDEX('كشف الحساب'!$E$4:$E$354,MATCH(2,'كشف الحساب'!$P$4:$P$354,0)),"")</f>
        <v>0</v>
      </c>
      <c r="E7" s="124">
        <f>IFERROR(INDEX('كشف الحساب'!$D$4:$D$354,MATCH(2,'كشف الحساب'!$P$4:$P$354,0)),"")</f>
        <v>3</v>
      </c>
      <c r="F7" s="125">
        <f t="shared" ref="F7:F38" si="0">IF($A7="","",IF($F6="",0,$F6)+IF($D7="",0,$D7)-IF($E7="",0,$E7))</f>
        <v>2</v>
      </c>
    </row>
    <row r="8" spans="1:6" ht="18" customHeight="1" x14ac:dyDescent="0.25">
      <c r="A8" s="142">
        <f>IFERROR(INDEX('كشف الحساب'!$A$4:$A$354,MATCH(3,'كشف الحساب'!$P$4:$P$354,0)),"")</f>
        <v>46142</v>
      </c>
      <c r="B8" s="122">
        <f>IFERROR(INDEX('كشف الحساب'!$B$4:$B$354,MATCH(3,'كشف الحساب'!$P$4:$P$354,0)),"")</f>
        <v>0</v>
      </c>
      <c r="C8" s="121" t="str">
        <f>IFERROR(INDEX('كشف الحساب'!$C$4:$C$354,MATCH(3,'كشف الحساب'!$P$4:$P$354,0)),"")</f>
        <v>مدخول شهر ابريل</v>
      </c>
      <c r="D8" s="123">
        <f>IFERROR(INDEX('كشف الحساب'!$E$4:$E$354,MATCH(3,'كشف الحساب'!$P$4:$P$354,0)),"")</f>
        <v>40.5</v>
      </c>
      <c r="E8" s="124">
        <f>IFERROR(INDEX('كشف الحساب'!$D$4:$D$354,MATCH(3,'كشف الحساب'!$P$4:$P$354,0)),"")</f>
        <v>0</v>
      </c>
      <c r="F8" s="125">
        <f t="shared" si="0"/>
        <v>42.5</v>
      </c>
    </row>
    <row r="9" spans="1:6" ht="18" customHeight="1" x14ac:dyDescent="0.25">
      <c r="A9" s="142">
        <f>IFERROR(INDEX('كشف الحساب'!$A$4:$A$354,MATCH(4,'كشف الحساب'!$P$4:$P$354,0)),"")</f>
        <v>46151</v>
      </c>
      <c r="B9" s="122" t="str">
        <f>IFERROR(INDEX('كشف الحساب'!$B$4:$B$354,MATCH(4,'كشف الحساب'!$P$4:$P$354,0)),"")</f>
        <v>Inv-013</v>
      </c>
      <c r="C9" s="121" t="str">
        <f>IFERROR(INDEX('كشف الحساب'!$C$4:$C$354,MATCH(4,'كشف الحساب'!$P$4:$P$354,0)),"")</f>
        <v>فل عدد 21 سعر الحبه .0.750</v>
      </c>
      <c r="D9" s="123">
        <f>IFERROR(INDEX('كشف الحساب'!$E$4:$E$354,MATCH(4,'كشف الحساب'!$P$4:$P$354,0)),"")</f>
        <v>15.75</v>
      </c>
      <c r="E9" s="124">
        <f>IFERROR(INDEX('كشف الحساب'!$D$4:$D$354,MATCH(4,'كشف الحساب'!$P$4:$P$354,0)),"")</f>
        <v>0</v>
      </c>
      <c r="F9" s="125">
        <f t="shared" si="0"/>
        <v>58.25</v>
      </c>
    </row>
    <row r="10" spans="1:6" ht="18" customHeight="1" x14ac:dyDescent="0.25">
      <c r="A10" s="142">
        <f>IFERROR(INDEX('كشف الحساب'!$A$4:$A$354,MATCH(5,'كشف الحساب'!$P$4:$P$354,0)),"")</f>
        <v>46151</v>
      </c>
      <c r="B10" s="122" t="str">
        <f>IFERROR(INDEX('كشف الحساب'!$B$4:$B$354,MATCH(5,'كشف الحساب'!$P$4:$P$354,0)),"")</f>
        <v>Inv-013A</v>
      </c>
      <c r="C10" s="121" t="str">
        <f>IFERROR(INDEX('كشف الحساب'!$C$4:$C$354,MATCH(5,'كشف الحساب'!$P$4:$P$354,0)),"")</f>
        <v>برازيليا عدد 25 سعر الحبه .500</v>
      </c>
      <c r="D10" s="123">
        <f>IFERROR(INDEX('كشف الحساب'!$E$4:$E$354,MATCH(5,'كشف الحساب'!$P$4:$P$354,0)),"")</f>
        <v>12.5</v>
      </c>
      <c r="E10" s="124">
        <f>IFERROR(INDEX('كشف الحساب'!$D$4:$D$354,MATCH(5,'كشف الحساب'!$P$4:$P$354,0)),"")</f>
        <v>0</v>
      </c>
      <c r="F10" s="125">
        <f t="shared" si="0"/>
        <v>70.75</v>
      </c>
    </row>
    <row r="11" spans="1:6" ht="18" customHeight="1" x14ac:dyDescent="0.25">
      <c r="A11" s="142">
        <f>IFERROR(INDEX('كشف الحساب'!$A$4:$A$354,MATCH(6,'كشف الحساب'!$P$4:$P$354,0)),"")</f>
        <v>46152</v>
      </c>
      <c r="B11" s="122" t="str">
        <f>IFERROR(INDEX('كشف الحساب'!$B$4:$B$354,MATCH(6,'كشف الحساب'!$P$4:$P$354,0)),"")</f>
        <v>Inv-016</v>
      </c>
      <c r="C11" s="121" t="str">
        <f>IFERROR(INDEX('كشف الحساب'!$C$4:$C$354,MATCH(6,'كشف الحساب'!$P$4:$P$354,0)),"")</f>
        <v>ودليه عدد 3 الحبه 0.750</v>
      </c>
      <c r="D11" s="123">
        <f>IFERROR(INDEX('كشف الحساب'!$E$4:$E$354,MATCH(6,'كشف الحساب'!$P$4:$P$354,0)),"")</f>
        <v>2.25</v>
      </c>
      <c r="E11" s="124">
        <f>IFERROR(INDEX('كشف الحساب'!$D$4:$D$354,MATCH(6,'كشف الحساب'!$P$4:$P$354,0)),"")</f>
        <v>0</v>
      </c>
      <c r="F11" s="125">
        <f t="shared" si="0"/>
        <v>73</v>
      </c>
    </row>
    <row r="12" spans="1:6" ht="18" customHeight="1" x14ac:dyDescent="0.25">
      <c r="A12" s="142">
        <f>IFERROR(INDEX('كشف الحساب'!$A$4:$A$354,MATCH(7,'كشف الحساب'!$P$4:$P$354,0)),"")</f>
        <v>46155</v>
      </c>
      <c r="B12" s="122" t="str">
        <f>IFERROR(INDEX('كشف الحساب'!$B$4:$B$354,MATCH(7,'كشف الحساب'!$P$4:$P$354,0)),"")</f>
        <v>Inv-017</v>
      </c>
      <c r="C12" s="121" t="str">
        <f>IFERROR(INDEX('كشف الحساب'!$C$4:$C$354,MATCH(7,'كشف الحساب'!$P$4:$P$354,0)),"")</f>
        <v>فل عدد 10 الحبه 0.750</v>
      </c>
      <c r="D12" s="123">
        <f>IFERROR(INDEX('كشف الحساب'!$E$4:$E$354,MATCH(7,'كشف الحساب'!$P$4:$P$354,0)),"")</f>
        <v>7.5</v>
      </c>
      <c r="E12" s="124">
        <f>IFERROR(INDEX('كشف الحساب'!$D$4:$D$354,MATCH(7,'كشف الحساب'!$P$4:$P$354,0)),"")</f>
        <v>0</v>
      </c>
      <c r="F12" s="125">
        <f t="shared" si="0"/>
        <v>80.5</v>
      </c>
    </row>
    <row r="13" spans="1:6" ht="18" customHeight="1" x14ac:dyDescent="0.25">
      <c r="A13" s="142">
        <f>IFERROR(INDEX('كشف الحساب'!$A$4:$A$354,MATCH(8,'كشف الحساب'!$P$4:$P$354,0)),"")</f>
        <v>46156</v>
      </c>
      <c r="B13" s="122" t="str">
        <f>IFERROR(INDEX('كشف الحساب'!$B$4:$B$354,MATCH(8,'كشف الحساب'!$P$4:$P$354,0)),"")</f>
        <v>Inv-18A</v>
      </c>
      <c r="C13" s="121" t="str">
        <f>IFERROR(INDEX('كشف الحساب'!$C$4:$C$354,MATCH(8,'كشف الحساب'!$P$4:$P$354,0)),"")</f>
        <v>ربل 4 حبات الحبه 1.500</v>
      </c>
      <c r="D13" s="123">
        <f>IFERROR(INDEX('كشف الحساب'!$E$4:$E$354,MATCH(8,'كشف الحساب'!$P$4:$P$354,0)),"")</f>
        <v>6</v>
      </c>
      <c r="E13" s="124">
        <f>IFERROR(INDEX('كشف الحساب'!$D$4:$D$354,MATCH(8,'كشف الحساب'!$P$4:$P$354,0)),"")</f>
        <v>0</v>
      </c>
      <c r="F13" s="125">
        <f t="shared" si="0"/>
        <v>86.5</v>
      </c>
    </row>
    <row r="14" spans="1:6" ht="18" customHeight="1" x14ac:dyDescent="0.25">
      <c r="A14" s="142">
        <f>IFERROR(INDEX('كشف الحساب'!$A$4:$A$354,MATCH(9,'كشف الحساب'!$P$4:$P$354,0)),"")</f>
        <v>46156</v>
      </c>
      <c r="B14" s="122" t="str">
        <f>IFERROR(INDEX('كشف الحساب'!$B$4:$B$354,MATCH(9,'كشف الحساب'!$P$4:$P$354,0)),"")</f>
        <v>Inv-18</v>
      </c>
      <c r="C14" s="121" t="str">
        <f>IFERROR(INDEX('كشف الحساب'!$C$4:$C$354,MATCH(9,'كشف الحساب'!$P$4:$P$354,0)),"")</f>
        <v>ودليه 8 حبات الحبه 1</v>
      </c>
      <c r="D14" s="123">
        <f>IFERROR(INDEX('كشف الحساب'!$E$4:$E$354,MATCH(9,'كشف الحساب'!$P$4:$P$354,0)),"")</f>
        <v>8</v>
      </c>
      <c r="E14" s="124">
        <f>IFERROR(INDEX('كشف الحساب'!$D$4:$D$354,MATCH(9,'كشف الحساب'!$P$4:$P$354,0)),"")</f>
        <v>0</v>
      </c>
      <c r="F14" s="125">
        <f t="shared" si="0"/>
        <v>94.5</v>
      </c>
    </row>
    <row r="15" spans="1:6" ht="18" customHeight="1" x14ac:dyDescent="0.25">
      <c r="A15" s="142">
        <f>IFERROR(INDEX('كشف الحساب'!$A$4:$A$354,MATCH(10,'كشف الحساب'!$P$4:$P$354,0)),"")</f>
        <v>46158</v>
      </c>
      <c r="B15" s="122" t="str">
        <f>IFERROR(INDEX('كشف الحساب'!$B$4:$B$354,MATCH(10,'كشف الحساب'!$P$4:$P$354,0)),"")</f>
        <v>Inv-19</v>
      </c>
      <c r="C15" s="121" t="str">
        <f>IFERROR(INDEX('كشف الحساب'!$C$4:$C$354,MATCH(10,'كشف الحساب'!$P$4:$P$354,0)),"")</f>
        <v>فل عدد 2 الحبه 0.750</v>
      </c>
      <c r="D15" s="123">
        <f>IFERROR(INDEX('كشف الحساب'!$E$4:$E$354,MATCH(10,'كشف الحساب'!$P$4:$P$354,0)),"")</f>
        <v>1.5</v>
      </c>
      <c r="E15" s="124">
        <f>IFERROR(INDEX('كشف الحساب'!$D$4:$D$354,MATCH(10,'كشف الحساب'!$P$4:$P$354,0)),"")</f>
        <v>0</v>
      </c>
      <c r="F15" s="125">
        <f t="shared" si="0"/>
        <v>96</v>
      </c>
    </row>
    <row r="16" spans="1:6" ht="18" customHeight="1" x14ac:dyDescent="0.25">
      <c r="A16" s="142">
        <f>IFERROR(INDEX('كشف الحساب'!$A$4:$A$354,MATCH(11,'كشف الحساب'!$P$4:$P$354,0)),"")</f>
        <v>46158</v>
      </c>
      <c r="B16" s="122" t="str">
        <f>IFERROR(INDEX('كشف الحساب'!$B$4:$B$354,MATCH(11,'كشف الحساب'!$P$4:$P$354,0)),"")</f>
        <v>Inv-20</v>
      </c>
      <c r="C16" s="121" t="str">
        <f>IFERROR(INDEX('كشف الحساب'!$C$4:$C$354,MATCH(11,'كشف الحساب'!$P$4:$P$354,0)),"")</f>
        <v>صبار اوليفيرا عدد 3 الحبه 0.750</v>
      </c>
      <c r="D16" s="123">
        <f>IFERROR(INDEX('كشف الحساب'!$E$4:$E$354,MATCH(11,'كشف الحساب'!$P$4:$P$354,0)),"")</f>
        <v>2.25</v>
      </c>
      <c r="E16" s="124">
        <f>IFERROR(INDEX('كشف الحساب'!$D$4:$D$354,MATCH(11,'كشف الحساب'!$P$4:$P$354,0)),"")</f>
        <v>0</v>
      </c>
      <c r="F16" s="125">
        <f t="shared" si="0"/>
        <v>98.25</v>
      </c>
    </row>
    <row r="17" spans="1:6" ht="18" customHeight="1" x14ac:dyDescent="0.25">
      <c r="A17" s="142">
        <f>IFERROR(INDEX('كشف الحساب'!$A$4:$A$354,MATCH(12,'كشف الحساب'!$P$4:$P$354,0)),"")</f>
        <v>46158</v>
      </c>
      <c r="B17" s="122" t="str">
        <f>IFERROR(INDEX('كشف الحساب'!$B$4:$B$354,MATCH(12,'كشف الحساب'!$P$4:$P$354,0)),"")</f>
        <v>Inv-21</v>
      </c>
      <c r="C17" s="121" t="str">
        <f>IFERROR(INDEX('كشف الحساب'!$C$4:$C$354,MATCH(12,'كشف الحساب'!$P$4:$P$354,0)),"")</f>
        <v>دارسينا عدد 1 الحبه 2.500</v>
      </c>
      <c r="D17" s="123">
        <f>IFERROR(INDEX('كشف الحساب'!$E$4:$E$354,MATCH(12,'كشف الحساب'!$P$4:$P$354,0)),"")</f>
        <v>2.5</v>
      </c>
      <c r="E17" s="124">
        <f>IFERROR(INDEX('كشف الحساب'!$D$4:$D$354,MATCH(12,'كشف الحساب'!$P$4:$P$354,0)),"")</f>
        <v>0</v>
      </c>
      <c r="F17" s="125">
        <f t="shared" si="0"/>
        <v>100.75</v>
      </c>
    </row>
    <row r="18" spans="1:6" ht="18" customHeight="1" x14ac:dyDescent="0.25">
      <c r="A18" s="142">
        <f>IFERROR(INDEX('كشف الحساب'!$A$4:$A$354,MATCH(13,'كشف الحساب'!$P$4:$P$354,0)),"")</f>
        <v>46159</v>
      </c>
      <c r="B18" s="122" t="str">
        <f>IFERROR(INDEX('كشف الحساب'!$B$4:$B$354,MATCH(13,'كشف الحساب'!$P$4:$P$354,0)),"")</f>
        <v>Inv-22</v>
      </c>
      <c r="C18" s="121" t="str">
        <f>IFERROR(INDEX('كشف الحساب'!$C$4:$C$354,MATCH(13,'كشف الحساب'!$P$4:$P$354,0)),"")</f>
        <v>فل عدد 30 الحبه 0.750</v>
      </c>
      <c r="D18" s="123">
        <f>IFERROR(INDEX('كشف الحساب'!$E$4:$E$354,MATCH(13,'كشف الحساب'!$P$4:$P$354,0)),"")</f>
        <v>22.5</v>
      </c>
      <c r="E18" s="124">
        <f>IFERROR(INDEX('كشف الحساب'!$D$4:$D$354,MATCH(13,'كشف الحساب'!$P$4:$P$354,0)),"")</f>
        <v>0</v>
      </c>
      <c r="F18" s="125">
        <f t="shared" si="0"/>
        <v>123.25</v>
      </c>
    </row>
    <row r="19" spans="1:6" ht="18" customHeight="1" x14ac:dyDescent="0.25">
      <c r="A19" s="142">
        <f>IFERROR(INDEX('كشف الحساب'!$A$4:$A$354,MATCH(14,'كشف الحساب'!$P$4:$P$354,0)),"")</f>
        <v>46159</v>
      </c>
      <c r="B19" s="122" t="str">
        <f>IFERROR(INDEX('كشف الحساب'!$B$4:$B$354,MATCH(14,'كشف الحساب'!$P$4:$P$354,0)),"")</f>
        <v>Inv-23</v>
      </c>
      <c r="C19" s="121" t="str">
        <f>IFERROR(INDEX('كشف الحساب'!$C$4:$C$354,MATCH(14,'كشف الحساب'!$P$4:$P$354,0)),"")</f>
        <v>برازيليا عدد 16 الحبه 0.500</v>
      </c>
      <c r="D19" s="123">
        <f>IFERROR(INDEX('كشف الحساب'!$E$4:$E$354,MATCH(14,'كشف الحساب'!$P$4:$P$354,0)),"")</f>
        <v>8</v>
      </c>
      <c r="E19" s="124">
        <f>IFERROR(INDEX('كشف الحساب'!$D$4:$D$354,MATCH(14,'كشف الحساب'!$P$4:$P$354,0)),"")</f>
        <v>0</v>
      </c>
      <c r="F19" s="125">
        <f t="shared" si="0"/>
        <v>131.25</v>
      </c>
    </row>
    <row r="20" spans="1:6" ht="18" customHeight="1" x14ac:dyDescent="0.25">
      <c r="A20" s="142">
        <f>IFERROR(INDEX('كشف الحساب'!$A$4:$A$354,MATCH(15,'كشف الحساب'!$P$4:$P$354,0)),"")</f>
        <v>46160</v>
      </c>
      <c r="B20" s="122" t="str">
        <f>IFERROR(INDEX('كشف الحساب'!$B$4:$B$354,MATCH(15,'كشف الحساب'!$P$4:$P$354,0)),"")</f>
        <v>Inv-24</v>
      </c>
      <c r="C20" s="121" t="str">
        <f>IFERROR(INDEX('كشف الحساب'!$C$4:$C$354,MATCH(15,'كشف الحساب'!$P$4:$P$354,0)),"")</f>
        <v>فل عدد10 الحبه 0.750</v>
      </c>
      <c r="D20" s="123">
        <f>IFERROR(INDEX('كشف الحساب'!$E$4:$E$354,MATCH(15,'كشف الحساب'!$P$4:$P$354,0)),"")</f>
        <v>7.5</v>
      </c>
      <c r="E20" s="124">
        <f>IFERROR(INDEX('كشف الحساب'!$D$4:$D$354,MATCH(15,'كشف الحساب'!$P$4:$P$354,0)),"")</f>
        <v>0</v>
      </c>
      <c r="F20" s="125">
        <f t="shared" si="0"/>
        <v>138.75</v>
      </c>
    </row>
    <row r="21" spans="1:6" ht="18" customHeight="1" x14ac:dyDescent="0.25">
      <c r="A21" s="142">
        <f>IFERROR(INDEX('كشف الحساب'!$A$4:$A$354,MATCH(16,'كشف الحساب'!$P$4:$P$354,0)),"")</f>
        <v>46160</v>
      </c>
      <c r="B21" s="122" t="str">
        <f>IFERROR(INDEX('كشف الحساب'!$B$4:$B$354,MATCH(16,'كشف الحساب'!$P$4:$P$354,0)),"")</f>
        <v>Inv-25</v>
      </c>
      <c r="C21" s="121" t="str">
        <f>IFERROR(INDEX('كشف الحساب'!$C$4:$C$354,MATCH(16,'كشف الحساب'!$P$4:$P$354,0)),"")</f>
        <v>دارسيناحمراء عدد 1</v>
      </c>
      <c r="D21" s="123">
        <f>IFERROR(INDEX('كشف الحساب'!$E$4:$E$354,MATCH(16,'كشف الحساب'!$P$4:$P$354,0)),"")</f>
        <v>5</v>
      </c>
      <c r="E21" s="124">
        <f>IFERROR(INDEX('كشف الحساب'!$D$4:$D$354,MATCH(16,'كشف الحساب'!$P$4:$P$354,0)),"")</f>
        <v>0</v>
      </c>
      <c r="F21" s="125">
        <f t="shared" si="0"/>
        <v>143.75</v>
      </c>
    </row>
    <row r="22" spans="1:6" ht="18" customHeight="1" x14ac:dyDescent="0.25">
      <c r="A22" s="142">
        <f>IFERROR(INDEX('كشف الحساب'!$A$4:$A$354,MATCH(17,'كشف الحساب'!$P$4:$P$354,0)),"")</f>
        <v>46160</v>
      </c>
      <c r="B22" s="122" t="str">
        <f>IFERROR(INDEX('كشف الحساب'!$B$4:$B$354,MATCH(17,'كشف الحساب'!$P$4:$P$354,0)),"")</f>
        <v>Inv-26</v>
      </c>
      <c r="C22" s="121" t="str">
        <f>IFERROR(INDEX('كشف الحساب'!$C$4:$C$354,MATCH(17,'كشف الحساب'!$P$4:$P$354,0)),"")</f>
        <v>دارسينا خضراء عدد 2 الحبه 1.500</v>
      </c>
      <c r="D22" s="123">
        <f>IFERROR(INDEX('كشف الحساب'!$E$4:$E$354,MATCH(17,'كشف الحساب'!$P$4:$P$354,0)),"")</f>
        <v>3</v>
      </c>
      <c r="E22" s="124">
        <f>IFERROR(INDEX('كشف الحساب'!$D$4:$D$354,MATCH(17,'كشف الحساب'!$P$4:$P$354,0)),"")</f>
        <v>0</v>
      </c>
      <c r="F22" s="125">
        <f t="shared" si="0"/>
        <v>146.75</v>
      </c>
    </row>
    <row r="23" spans="1:6" ht="18" customHeight="1" x14ac:dyDescent="0.25">
      <c r="A23" s="142">
        <f>IFERROR(INDEX('كشف الحساب'!$A$4:$A$354,MATCH(18,'كشف الحساب'!$P$4:$P$354,0)),"")</f>
        <v>46160</v>
      </c>
      <c r="B23" s="122" t="str">
        <f>IFERROR(INDEX('كشف الحساب'!$B$4:$B$354,MATCH(18,'كشف الحساب'!$P$4:$P$354,0)),"")</f>
        <v>Inv-27</v>
      </c>
      <c r="C23" s="121" t="str">
        <f>IFERROR(INDEX('كشف الحساب'!$C$4:$C$354,MATCH(18,'كشف الحساب'!$P$4:$P$354,0)),"")</f>
        <v>ربل عدد 2 الحبه 1.500</v>
      </c>
      <c r="D23" s="123">
        <f>IFERROR(INDEX('كشف الحساب'!$E$4:$E$354,MATCH(18,'كشف الحساب'!$P$4:$P$354,0)),"")</f>
        <v>3</v>
      </c>
      <c r="E23" s="124">
        <f>IFERROR(INDEX('كشف الحساب'!$D$4:$D$354,MATCH(18,'كشف الحساب'!$P$4:$P$354,0)),"")</f>
        <v>0</v>
      </c>
      <c r="F23" s="125">
        <f t="shared" si="0"/>
        <v>149.75</v>
      </c>
    </row>
    <row r="24" spans="1:6" ht="18" customHeight="1" x14ac:dyDescent="0.25">
      <c r="A24" s="142">
        <f>IFERROR(INDEX('كشف الحساب'!$A$4:$A$354,MATCH(19,'كشف الحساب'!$P$4:$P$354,0)),"")</f>
        <v>46160</v>
      </c>
      <c r="B24" s="122" t="str">
        <f>IFERROR(INDEX('كشف الحساب'!$B$4:$B$354,MATCH(19,'كشف الحساب'!$P$4:$P$354,0)),"")</f>
        <v>Inv-28</v>
      </c>
      <c r="C24" s="121" t="str">
        <f>IFERROR(INDEX('كشف الحساب'!$C$4:$C$354,MATCH(19,'كشف الحساب'!$P$4:$P$354,0)),"")</f>
        <v>دارسينا حمراء عدد2 الحبه 2.500</v>
      </c>
      <c r="D24" s="123">
        <f>IFERROR(INDEX('كشف الحساب'!$E$4:$E$354,MATCH(19,'كشف الحساب'!$P$4:$P$354,0)),"")</f>
        <v>5</v>
      </c>
      <c r="E24" s="124">
        <f>IFERROR(INDEX('كشف الحساب'!$D$4:$D$354,MATCH(19,'كشف الحساب'!$P$4:$P$354,0)),"")</f>
        <v>0</v>
      </c>
      <c r="F24" s="125">
        <f t="shared" si="0"/>
        <v>154.75</v>
      </c>
    </row>
    <row r="25" spans="1:6" ht="18" customHeight="1" x14ac:dyDescent="0.25">
      <c r="A25" s="142">
        <f>IFERROR(INDEX('كشف الحساب'!$A$4:$A$354,MATCH(20,'كشف الحساب'!$P$4:$P$354,0)),"")</f>
        <v>46160</v>
      </c>
      <c r="B25" s="122" t="str">
        <f>IFERROR(INDEX('كشف الحساب'!$B$4:$B$354,MATCH(20,'كشف الحساب'!$P$4:$P$354,0)),"")</f>
        <v>Inv-29</v>
      </c>
      <c r="C25" s="121" t="str">
        <f>IFERROR(INDEX('كشف الحساب'!$C$4:$C$354,MATCH(20,'كشف الحساب'!$P$4:$P$354,0)),"")</f>
        <v>برازيليا عدد 10 الحبه 0.500</v>
      </c>
      <c r="D25" s="123">
        <f>IFERROR(INDEX('كشف الحساب'!$E$4:$E$354,MATCH(20,'كشف الحساب'!$P$4:$P$354,0)),"")</f>
        <v>5</v>
      </c>
      <c r="E25" s="124">
        <f>IFERROR(INDEX('كشف الحساب'!$D$4:$D$354,MATCH(20,'كشف الحساب'!$P$4:$P$354,0)),"")</f>
        <v>0</v>
      </c>
      <c r="F25" s="125">
        <f t="shared" si="0"/>
        <v>159.75</v>
      </c>
    </row>
    <row r="26" spans="1:6" ht="18" customHeight="1" x14ac:dyDescent="0.25">
      <c r="A26" s="142">
        <f>IFERROR(INDEX('كشف الحساب'!$A$4:$A$354,MATCH(21,'كشف الحساب'!$P$4:$P$354,0)),"")</f>
        <v>46160</v>
      </c>
      <c r="B26" s="122" t="str">
        <f>IFERROR(INDEX('كشف الحساب'!$B$4:$B$354,MATCH(21,'كشف الحساب'!$P$4:$P$354,0)),"")</f>
        <v>85164</v>
      </c>
      <c r="C26" s="121" t="str">
        <f>IFERROR(INDEX('كشف الحساب'!$C$4:$C$354,MATCH(21,'كشف الحساب'!$P$4:$P$354,0)),"")</f>
        <v>مبيد اسيتبلان عدد 1</v>
      </c>
      <c r="D26" s="123">
        <f>IFERROR(INDEX('كشف الحساب'!$E$4:$E$354,MATCH(21,'كشف الحساب'!$P$4:$P$354,0)),"")</f>
        <v>0</v>
      </c>
      <c r="E26" s="124">
        <f>IFERROR(INDEX('كشف الحساب'!$D$4:$D$354,MATCH(21,'كشف الحساب'!$P$4:$P$354,0)),"")</f>
        <v>9</v>
      </c>
      <c r="F26" s="125">
        <f t="shared" si="0"/>
        <v>150.75</v>
      </c>
    </row>
    <row r="27" spans="1:6" ht="18" customHeight="1" x14ac:dyDescent="0.25">
      <c r="A27" s="142">
        <f>IFERROR(INDEX('كشف الحساب'!$A$4:$A$354,MATCH(22,'كشف الحساب'!$P$4:$P$354,0)),"")</f>
        <v>46161</v>
      </c>
      <c r="B27" s="122" t="str">
        <f>IFERROR(INDEX('كشف الحساب'!$B$4:$B$354,MATCH(22,'كشف الحساب'!$P$4:$P$354,0)),"")</f>
        <v>Inv-30</v>
      </c>
      <c r="C27" s="121" t="str">
        <f>IFERROR(INDEX('كشف الحساب'!$C$4:$C$354,MATCH(22,'كشف الحساب'!$P$4:$P$354,0)),"")</f>
        <v>فل عدد 30 الحبه 0.750</v>
      </c>
      <c r="D27" s="123">
        <f>IFERROR(INDEX('كشف الحساب'!$E$4:$E$354,MATCH(22,'كشف الحساب'!$P$4:$P$354,0)),"")</f>
        <v>22.5</v>
      </c>
      <c r="E27" s="124">
        <f>IFERROR(INDEX('كشف الحساب'!$D$4:$D$354,MATCH(22,'كشف الحساب'!$P$4:$P$354,0)),"")</f>
        <v>0</v>
      </c>
      <c r="F27" s="125">
        <f t="shared" si="0"/>
        <v>173.25</v>
      </c>
    </row>
    <row r="28" spans="1:6" ht="18" customHeight="1" x14ac:dyDescent="0.25">
      <c r="A28" s="142">
        <f>IFERROR(INDEX('كشف الحساب'!$A$4:$A$354,MATCH(23,'كشف الحساب'!$P$4:$P$354,0)),"")</f>
        <v>46162</v>
      </c>
      <c r="B28" s="122" t="str">
        <f>IFERROR(INDEX('كشف الحساب'!$B$4:$B$354,MATCH(23,'كشف الحساب'!$P$4:$P$354,0)),"")</f>
        <v>Inv-31</v>
      </c>
      <c r="C28" s="121" t="str">
        <f>IFERROR(INDEX('كشف الحساب'!$C$4:$C$354,MATCH(23,'كشف الحساب'!$P$4:$P$354,0)),"")</f>
        <v>فل عدد30 الحبه 0.750</v>
      </c>
      <c r="D28" s="123">
        <f>IFERROR(INDEX('كشف الحساب'!$E$4:$E$354,MATCH(23,'كشف الحساب'!$P$4:$P$354,0)),"")</f>
        <v>22.5</v>
      </c>
      <c r="E28" s="124">
        <f>IFERROR(INDEX('كشف الحساب'!$D$4:$D$354,MATCH(23,'كشف الحساب'!$P$4:$P$354,0)),"")</f>
        <v>0</v>
      </c>
      <c r="F28" s="125">
        <f t="shared" si="0"/>
        <v>195.75</v>
      </c>
    </row>
    <row r="29" spans="1:6" ht="18" customHeight="1" x14ac:dyDescent="0.25">
      <c r="A29" s="142">
        <f>IFERROR(INDEX('كشف الحساب'!$A$4:$A$354,MATCH(24,'كشف الحساب'!$P$4:$P$354,0)),"")</f>
        <v>46162</v>
      </c>
      <c r="B29" s="122" t="str">
        <f>IFERROR(INDEX('كشف الحساب'!$B$4:$B$354,MATCH(24,'كشف الحساب'!$P$4:$P$354,0)),"")</f>
        <v>Inv-32</v>
      </c>
      <c r="C29" s="121" t="str">
        <f>IFERROR(INDEX('كشف الحساب'!$C$4:$C$354,MATCH(24,'كشف الحساب'!$P$4:$P$354,0)),"")</f>
        <v>برازيليا عدد 50 الحبه0.500</v>
      </c>
      <c r="D29" s="123">
        <f>IFERROR(INDEX('كشف الحساب'!$E$4:$E$354,MATCH(24,'كشف الحساب'!$P$4:$P$354,0)),"")</f>
        <v>25</v>
      </c>
      <c r="E29" s="124">
        <f>IFERROR(INDEX('كشف الحساب'!$D$4:$D$354,MATCH(24,'كشف الحساب'!$P$4:$P$354,0)),"")</f>
        <v>0</v>
      </c>
      <c r="F29" s="125">
        <f t="shared" si="0"/>
        <v>220.75</v>
      </c>
    </row>
    <row r="30" spans="1:6" ht="18" customHeight="1" x14ac:dyDescent="0.25">
      <c r="A30" s="142">
        <f>IFERROR(INDEX('كشف الحساب'!$A$4:$A$354,MATCH(25,'كشف الحساب'!$P$4:$P$354,0)),"")</f>
        <v>46163</v>
      </c>
      <c r="B30" s="122" t="str">
        <f>IFERROR(INDEX('كشف الحساب'!$B$4:$B$354,MATCH(25,'كشف الحساب'!$P$4:$P$354,0)),"")</f>
        <v>Inv-33</v>
      </c>
      <c r="C30" s="121" t="str">
        <f>IFERROR(INDEX('كشف الحساب'!$C$4:$C$354,MATCH(25,'كشف الحساب'!$P$4:$P$354,0)),"")</f>
        <v>برازيليا عدد 75 الحبه 0.500</v>
      </c>
      <c r="D30" s="123">
        <f>IFERROR(INDEX('كشف الحساب'!$E$4:$E$354,MATCH(25,'كشف الحساب'!$P$4:$P$354,0)),"")</f>
        <v>37.5</v>
      </c>
      <c r="E30" s="124">
        <f>IFERROR(INDEX('كشف الحساب'!$D$4:$D$354,MATCH(25,'كشف الحساب'!$P$4:$P$354,0)),"")</f>
        <v>0</v>
      </c>
      <c r="F30" s="125">
        <f t="shared" si="0"/>
        <v>258.25</v>
      </c>
    </row>
    <row r="31" spans="1:6" ht="18" customHeight="1" x14ac:dyDescent="0.25">
      <c r="A31" s="142">
        <f>IFERROR(INDEX('كشف الحساب'!$A$4:$A$354,MATCH(26,'كشف الحساب'!$P$4:$P$354,0)),"")</f>
        <v>46163</v>
      </c>
      <c r="B31" s="122" t="str">
        <f>IFERROR(INDEX('كشف الحساب'!$B$4:$B$354,MATCH(26,'كشف الحساب'!$P$4:$P$354,0)),"")</f>
        <v>Inv-34</v>
      </c>
      <c r="C31" s="121" t="str">
        <f>IFERROR(INDEX('كشف الحساب'!$C$4:$C$354,MATCH(26,'كشف الحساب'!$P$4:$P$354,0)),"")</f>
        <v>دارسينيا احمر عدد1 حبه 2.500</v>
      </c>
      <c r="D31" s="123">
        <f>IFERROR(INDEX('كشف الحساب'!$E$4:$E$354,MATCH(26,'كشف الحساب'!$P$4:$P$354,0)),"")</f>
        <v>2.5</v>
      </c>
      <c r="E31" s="124">
        <f>IFERROR(INDEX('كشف الحساب'!$D$4:$D$354,MATCH(26,'كشف الحساب'!$P$4:$P$354,0)),"")</f>
        <v>0</v>
      </c>
      <c r="F31" s="125">
        <f t="shared" si="0"/>
        <v>260.75</v>
      </c>
    </row>
    <row r="32" spans="1:6" ht="18" customHeight="1" x14ac:dyDescent="0.25">
      <c r="A32" s="142">
        <f>IFERROR(INDEX('كشف الحساب'!$A$4:$A$354,MATCH(27,'كشف الحساب'!$P$4:$P$354,0)),"")</f>
        <v>46164</v>
      </c>
      <c r="B32" s="122" t="str">
        <f>IFERROR(INDEX('كشف الحساب'!$B$4:$B$354,MATCH(27,'كشف الحساب'!$P$4:$P$354,0)),"")</f>
        <v>Inv-35</v>
      </c>
      <c r="C32" s="121" t="str">
        <f>IFERROR(INDEX('كشف الحساب'!$C$4:$C$354,MATCH(27,'كشف الحساب'!$P$4:$P$354,0)),"")</f>
        <v>دارسينا حمراء عدد 6 الحبه 2,500</v>
      </c>
      <c r="D32" s="123">
        <f>IFERROR(INDEX('كشف الحساب'!$E$4:$E$354,MATCH(27,'كشف الحساب'!$P$4:$P$354,0)),"")</f>
        <v>15</v>
      </c>
      <c r="E32" s="124">
        <f>IFERROR(INDEX('كشف الحساب'!$D$4:$D$354,MATCH(27,'كشف الحساب'!$P$4:$P$354,0)),"")</f>
        <v>0</v>
      </c>
      <c r="F32" s="125">
        <f t="shared" si="0"/>
        <v>275.75</v>
      </c>
    </row>
    <row r="33" spans="1:6" ht="18" customHeight="1" x14ac:dyDescent="0.25">
      <c r="A33" s="142">
        <f>IFERROR(INDEX('كشف الحساب'!$A$4:$A$354,MATCH(28,'كشف الحساب'!$P$4:$P$354,0)),"")</f>
        <v>46164</v>
      </c>
      <c r="B33" s="122" t="str">
        <f>IFERROR(INDEX('كشف الحساب'!$B$4:$B$354,MATCH(28,'كشف الحساب'!$P$4:$P$354,0)),"")</f>
        <v>Inv-36</v>
      </c>
      <c r="C33" s="121" t="str">
        <f>IFERROR(INDEX('كشف الحساب'!$C$4:$C$354,MATCH(28,'كشف الحساب'!$P$4:$P$354,0)),"")</f>
        <v>ربل عدد4 الحبه 1.500</v>
      </c>
      <c r="D33" s="123">
        <f>IFERROR(INDEX('كشف الحساب'!$E$4:$E$354,MATCH(28,'كشف الحساب'!$P$4:$P$354,0)),"")</f>
        <v>6</v>
      </c>
      <c r="E33" s="124">
        <f>IFERROR(INDEX('كشف الحساب'!$D$4:$D$354,MATCH(28,'كشف الحساب'!$P$4:$P$354,0)),"")</f>
        <v>0</v>
      </c>
      <c r="F33" s="125">
        <f t="shared" si="0"/>
        <v>281.75</v>
      </c>
    </row>
    <row r="34" spans="1:6" ht="18" customHeight="1" x14ac:dyDescent="0.25">
      <c r="A34" s="142">
        <f>IFERROR(INDEX('كشف الحساب'!$A$4:$A$354,MATCH(29,'كشف الحساب'!$P$4:$P$354,0)),"")</f>
        <v>46167</v>
      </c>
      <c r="B34" s="122" t="str">
        <f>IFERROR(INDEX('كشف الحساب'!$B$4:$B$354,MATCH(29,'كشف الحساب'!$P$4:$P$354,0)),"")</f>
        <v>Inv-37</v>
      </c>
      <c r="C34" s="121" t="str">
        <f>IFERROR(INDEX('كشف الحساب'!$C$4:$C$354,MATCH(29,'كشف الحساب'!$P$4:$P$354,0)),"")</f>
        <v>عطره عدد 10 الحبه 0.750</v>
      </c>
      <c r="D34" s="123">
        <f>IFERROR(INDEX('كشف الحساب'!$E$4:$E$354,MATCH(29,'كشف الحساب'!$P$4:$P$354,0)),"")</f>
        <v>7.5</v>
      </c>
      <c r="E34" s="124">
        <f>IFERROR(INDEX('كشف الحساب'!$D$4:$D$354,MATCH(29,'كشف الحساب'!$P$4:$P$354,0)),"")</f>
        <v>0</v>
      </c>
      <c r="F34" s="125">
        <f t="shared" si="0"/>
        <v>289.25</v>
      </c>
    </row>
    <row r="35" spans="1:6" ht="18" customHeight="1" x14ac:dyDescent="0.25">
      <c r="A35" s="142">
        <f>IFERROR(INDEX('كشف الحساب'!$A$4:$A$354,MATCH(30,'كشف الحساب'!$P$4:$P$354,0)),"")</f>
        <v>46167</v>
      </c>
      <c r="B35" s="122" t="str">
        <f>IFERROR(INDEX('كشف الحساب'!$B$4:$B$354,MATCH(30,'كشف الحساب'!$P$4:$P$354,0)),"")</f>
        <v>Inv-38</v>
      </c>
      <c r="C35" s="121" t="str">
        <f>IFERROR(INDEX('كشف الحساب'!$C$4:$C$354,MATCH(30,'كشف الحساب'!$P$4:$P$354,0)),"")</f>
        <v>ودليه عدد 2 الحبه 1</v>
      </c>
      <c r="D35" s="123">
        <f>IFERROR(INDEX('كشف الحساب'!$E$4:$E$354,MATCH(30,'كشف الحساب'!$P$4:$P$354,0)),"")</f>
        <v>2</v>
      </c>
      <c r="E35" s="124">
        <f>IFERROR(INDEX('كشف الحساب'!$D$4:$D$354,MATCH(30,'كشف الحساب'!$P$4:$P$354,0)),"")</f>
        <v>0</v>
      </c>
      <c r="F35" s="125">
        <f t="shared" si="0"/>
        <v>291.25</v>
      </c>
    </row>
    <row r="36" spans="1:6" ht="18" customHeight="1" x14ac:dyDescent="0.25">
      <c r="A36" s="142">
        <f>IFERROR(INDEX('كشف الحساب'!$A$4:$A$354,MATCH(31,'كشف الحساب'!$P$4:$P$354,0)),"")</f>
        <v>46167</v>
      </c>
      <c r="B36" s="122" t="str">
        <f>IFERROR(INDEX('كشف الحساب'!$B$4:$B$354,MATCH(31,'كشف الحساب'!$P$4:$P$354,0)),"")</f>
        <v>Inv-39</v>
      </c>
      <c r="C36" s="121" t="str">
        <f>IFERROR(INDEX('كشف الحساب'!$C$4:$C$354,MATCH(31,'كشف الحساب'!$P$4:$P$354,0)),"")</f>
        <v>داراسينا حمراء عدد4 الحبه 1</v>
      </c>
      <c r="D36" s="123">
        <f>IFERROR(INDEX('كشف الحساب'!$E$4:$E$354,MATCH(31,'كشف الحساب'!$P$4:$P$354,0)),"")</f>
        <v>4</v>
      </c>
      <c r="E36" s="124">
        <f>IFERROR(INDEX('كشف الحساب'!$D$4:$D$354,MATCH(31,'كشف الحساب'!$P$4:$P$354,0)),"")</f>
        <v>0</v>
      </c>
      <c r="F36" s="125">
        <f t="shared" si="0"/>
        <v>295.25</v>
      </c>
    </row>
    <row r="37" spans="1:6" ht="18" customHeight="1" x14ac:dyDescent="0.25">
      <c r="A37" s="142">
        <f>IFERROR(INDEX('كشف الحساب'!$A$4:$A$354,MATCH(32,'كشف الحساب'!$P$4:$P$354,0)),"")</f>
        <v>46146</v>
      </c>
      <c r="B37" s="122" t="str">
        <f>IFERROR(INDEX('كشف الحساب'!$B$4:$B$354,MATCH(32,'كشف الحساب'!$P$4:$P$354,0)),"")</f>
        <v>Inv-40</v>
      </c>
      <c r="C37" s="121" t="str">
        <f>IFERROR(INDEX('كشف الحساب'!$C$4:$C$354,MATCH(32,'كشف الحساب'!$P$4:$P$354,0)),"")</f>
        <v>other</v>
      </c>
      <c r="D37" s="123">
        <f>IFERROR(INDEX('كشف الحساب'!$E$4:$E$354,MATCH(32,'كشف الحساب'!$P$4:$P$354,0)),"")</f>
        <v>9</v>
      </c>
      <c r="E37" s="124">
        <f>IFERROR(INDEX('كشف الحساب'!$D$4:$D$354,MATCH(32,'كشف الحساب'!$P$4:$P$354,0)),"")</f>
        <v>0</v>
      </c>
      <c r="F37" s="125">
        <f t="shared" si="0"/>
        <v>304.25</v>
      </c>
    </row>
    <row r="38" spans="1:6" ht="18" customHeight="1" x14ac:dyDescent="0.25">
      <c r="A38" s="142">
        <f>IFERROR(INDEX('كشف الحساب'!$A$4:$A$354,MATCH(33,'كشف الحساب'!$P$4:$P$354,0)),"")</f>
        <v>46146</v>
      </c>
      <c r="B38" s="122" t="str">
        <f>IFERROR(INDEX('كشف الحساب'!$B$4:$B$354,MATCH(33,'كشف الحساب'!$P$4:$P$354,0)),"")</f>
        <v>Inv-41</v>
      </c>
      <c r="C38" s="121" t="str">
        <f>IFERROR(INDEX('كشف الحساب'!$C$4:$C$354,MATCH(33,'كشف الحساب'!$P$4:$P$354,0)),"")</f>
        <v>other</v>
      </c>
      <c r="D38" s="123">
        <f>IFERROR(INDEX('كشف الحساب'!$E$4:$E$354,MATCH(33,'كشف الحساب'!$P$4:$P$354,0)),"")</f>
        <v>9</v>
      </c>
      <c r="E38" s="124">
        <f>IFERROR(INDEX('كشف الحساب'!$D$4:$D$354,MATCH(33,'كشف الحساب'!$P$4:$P$354,0)),"")</f>
        <v>0</v>
      </c>
      <c r="F38" s="125">
        <f t="shared" si="0"/>
        <v>313.25</v>
      </c>
    </row>
    <row r="39" spans="1:6" ht="18" customHeight="1" x14ac:dyDescent="0.25">
      <c r="A39" s="142">
        <f>IFERROR(INDEX('كشف الحساب'!$A$4:$A$354,MATCH(34,'كشف الحساب'!$P$4:$P$354,0)),"")</f>
        <v>46146</v>
      </c>
      <c r="B39" s="122" t="str">
        <f>IFERROR(INDEX('كشف الحساب'!$B$4:$B$354,MATCH(34,'كشف الحساب'!$P$4:$P$354,0)),"")</f>
        <v>Inv-42</v>
      </c>
      <c r="C39" s="121" t="str">
        <f>IFERROR(INDEX('كشف الحساب'!$C$4:$C$354,MATCH(34,'كشف الحساب'!$P$4:$P$354,0)),"")</f>
        <v>other</v>
      </c>
      <c r="D39" s="123">
        <f>IFERROR(INDEX('كشف الحساب'!$E$4:$E$354,MATCH(34,'كشف الحساب'!$P$4:$P$354,0)),"")</f>
        <v>2</v>
      </c>
      <c r="E39" s="124">
        <f>IFERROR(INDEX('كشف الحساب'!$D$4:$D$354,MATCH(34,'كشف الحساب'!$P$4:$P$354,0)),"")</f>
        <v>0</v>
      </c>
      <c r="F39" s="125">
        <f t="shared" ref="F39:F70" si="1">IF($A39="","",IF($F38="",0,$F38)+IF($D39="",0,$D39)-IF($E39="",0,$E39))</f>
        <v>315.25</v>
      </c>
    </row>
    <row r="40" spans="1:6" ht="18" customHeight="1" x14ac:dyDescent="0.25">
      <c r="A40" s="142">
        <f>IFERROR(INDEX('كشف الحساب'!$A$4:$A$354,MATCH(35,'كشف الحساب'!$P$4:$P$354,0)),"")</f>
        <v>46147</v>
      </c>
      <c r="B40" s="122" t="str">
        <f>IFERROR(INDEX('كشف الحساب'!$B$4:$B$354,MATCH(35,'كشف الحساب'!$P$4:$P$354,0)),"")</f>
        <v>Inv-43</v>
      </c>
      <c r="C40" s="121" t="str">
        <f>IFERROR(INDEX('كشف الحساب'!$C$4:$C$354,MATCH(35,'كشف الحساب'!$P$4:$P$354,0)),"")</f>
        <v>other</v>
      </c>
      <c r="D40" s="123">
        <f>IFERROR(INDEX('كشف الحساب'!$E$4:$E$354,MATCH(35,'كشف الحساب'!$P$4:$P$354,0)),"")</f>
        <v>3.75</v>
      </c>
      <c r="E40" s="124">
        <f>IFERROR(INDEX('كشف الحساب'!$D$4:$D$354,MATCH(35,'كشف الحساب'!$P$4:$P$354,0)),"")</f>
        <v>0</v>
      </c>
      <c r="F40" s="125">
        <f t="shared" si="1"/>
        <v>319</v>
      </c>
    </row>
    <row r="41" spans="1:6" ht="18" customHeight="1" x14ac:dyDescent="0.25">
      <c r="A41" s="142">
        <f>IFERROR(INDEX('كشف الحساب'!$A$4:$A$354,MATCH(36,'كشف الحساب'!$P$4:$P$354,0)),"")</f>
        <v>46149</v>
      </c>
      <c r="B41" s="122" t="str">
        <f>IFERROR(INDEX('كشف الحساب'!$B$4:$B$354,MATCH(36,'كشف الحساب'!$P$4:$P$354,0)),"")</f>
        <v>Inv-44a</v>
      </c>
      <c r="C41" s="121" t="str">
        <f>IFERROR(INDEX('كشف الحساب'!$C$4:$C$354,MATCH(36,'كشف الحساب'!$P$4:$P$354,0)),"")</f>
        <v>other</v>
      </c>
      <c r="D41" s="123">
        <f>IFERROR(INDEX('كشف الحساب'!$E$4:$E$354,MATCH(36,'كشف الحساب'!$P$4:$P$354,0)),"")</f>
        <v>5</v>
      </c>
      <c r="E41" s="124">
        <f>IFERROR(INDEX('كشف الحساب'!$D$4:$D$354,MATCH(36,'كشف الحساب'!$P$4:$P$354,0)),"")</f>
        <v>0</v>
      </c>
      <c r="F41" s="125">
        <f t="shared" si="1"/>
        <v>324</v>
      </c>
    </row>
    <row r="42" spans="1:6" ht="18" customHeight="1" x14ac:dyDescent="0.25">
      <c r="A42" s="142">
        <f>IFERROR(INDEX('كشف الحساب'!$A$4:$A$354,MATCH(37,'كشف الحساب'!$P$4:$P$354,0)),"")</f>
        <v>46155</v>
      </c>
      <c r="B42" s="122" t="str">
        <f>IFERROR(INDEX('كشف الحساب'!$B$4:$B$354,MATCH(37,'كشف الحساب'!$P$4:$P$354,0)),"")</f>
        <v>Inv-44</v>
      </c>
      <c r="C42" s="121" t="str">
        <f>IFERROR(INDEX('كشف الحساب'!$C$4:$C$354,MATCH(37,'كشف الحساب'!$P$4:$P$354,0)),"")</f>
        <v>other</v>
      </c>
      <c r="D42" s="123">
        <f>IFERROR(INDEX('كشف الحساب'!$E$4:$E$354,MATCH(37,'كشف الحساب'!$P$4:$P$354,0)),"")</f>
        <v>15</v>
      </c>
      <c r="E42" s="124">
        <f>IFERROR(INDEX('كشف الحساب'!$D$4:$D$354,MATCH(37,'كشف الحساب'!$P$4:$P$354,0)),"")</f>
        <v>0</v>
      </c>
      <c r="F42" s="125">
        <f t="shared" si="1"/>
        <v>339</v>
      </c>
    </row>
    <row r="43" spans="1:6" ht="18" customHeight="1" x14ac:dyDescent="0.25">
      <c r="A43" s="142">
        <f>IFERROR(INDEX('كشف الحساب'!$A$4:$A$354,MATCH(38,'كشف الحساب'!$P$4:$P$354,0)),"")</f>
        <v>46155</v>
      </c>
      <c r="B43" s="122" t="str">
        <f>IFERROR(INDEX('كشف الحساب'!$B$4:$B$354,MATCH(38,'كشف الحساب'!$P$4:$P$354,0)),"")</f>
        <v>Inv-45</v>
      </c>
      <c r="C43" s="121" t="str">
        <f>IFERROR(INDEX('كشف الحساب'!$C$4:$C$354,MATCH(38,'كشف الحساب'!$P$4:$P$354,0)),"")</f>
        <v>other</v>
      </c>
      <c r="D43" s="123">
        <f>IFERROR(INDEX('كشف الحساب'!$E$4:$E$354,MATCH(38,'كشف الحساب'!$P$4:$P$354,0)),"")</f>
        <v>4</v>
      </c>
      <c r="E43" s="124">
        <f>IFERROR(INDEX('كشف الحساب'!$D$4:$D$354,MATCH(38,'كشف الحساب'!$P$4:$P$354,0)),"")</f>
        <v>0</v>
      </c>
      <c r="F43" s="125">
        <f t="shared" si="1"/>
        <v>343</v>
      </c>
    </row>
    <row r="44" spans="1:6" ht="18" customHeight="1" x14ac:dyDescent="0.25">
      <c r="A44" s="142">
        <f>IFERROR(INDEX('كشف الحساب'!$A$4:$A$354,MATCH(39,'كشف الحساب'!$P$4:$P$354,0)),"")</f>
        <v>46155</v>
      </c>
      <c r="B44" s="122" t="str">
        <f>IFERROR(INDEX('كشف الحساب'!$B$4:$B$354,MATCH(39,'كشف الحساب'!$P$4:$P$354,0)),"")</f>
        <v>Inv-46</v>
      </c>
      <c r="C44" s="121" t="str">
        <f>IFERROR(INDEX('كشف الحساب'!$C$4:$C$354,MATCH(39,'كشف الحساب'!$P$4:$P$354,0)),"")</f>
        <v>other</v>
      </c>
      <c r="D44" s="123">
        <f>IFERROR(INDEX('كشف الحساب'!$E$4:$E$354,MATCH(39,'كشف الحساب'!$P$4:$P$354,0)),"")</f>
        <v>3.6</v>
      </c>
      <c r="E44" s="124">
        <f>IFERROR(INDEX('كشف الحساب'!$D$4:$D$354,MATCH(39,'كشف الحساب'!$P$4:$P$354,0)),"")</f>
        <v>0</v>
      </c>
      <c r="F44" s="125">
        <f t="shared" si="1"/>
        <v>346.6</v>
      </c>
    </row>
    <row r="45" spans="1:6" ht="18" customHeight="1" x14ac:dyDescent="0.25">
      <c r="A45" s="142">
        <f>IFERROR(INDEX('كشف الحساب'!$A$4:$A$354,MATCH(40,'كشف الحساب'!$P$4:$P$354,0)),"")</f>
        <v>46158</v>
      </c>
      <c r="B45" s="122" t="str">
        <f>IFERROR(INDEX('كشف الحساب'!$B$4:$B$354,MATCH(40,'كشف الحساب'!$P$4:$P$354,0)),"")</f>
        <v>Inv-47</v>
      </c>
      <c r="C45" s="121" t="str">
        <f>IFERROR(INDEX('كشف الحساب'!$C$4:$C$354,MATCH(40,'كشف الحساب'!$P$4:$P$354,0)),"")</f>
        <v>other</v>
      </c>
      <c r="D45" s="123">
        <f>IFERROR(INDEX('كشف الحساب'!$E$4:$E$354,MATCH(40,'كشف الحساب'!$P$4:$P$354,0)),"")</f>
        <v>3</v>
      </c>
      <c r="E45" s="124">
        <f>IFERROR(INDEX('كشف الحساب'!$D$4:$D$354,MATCH(40,'كشف الحساب'!$P$4:$P$354,0)),"")</f>
        <v>0</v>
      </c>
      <c r="F45" s="125">
        <f t="shared" si="1"/>
        <v>349.6</v>
      </c>
    </row>
    <row r="46" spans="1:6" ht="18" customHeight="1" x14ac:dyDescent="0.25">
      <c r="A46" s="142">
        <f>IFERROR(INDEX('كشف الحساب'!$A$4:$A$354,MATCH(41,'كشف الحساب'!$P$4:$P$354,0)),"")</f>
        <v>46155</v>
      </c>
      <c r="B46" s="122">
        <f>IFERROR(INDEX('كشف الحساب'!$B$4:$B$354,MATCH(41,'كشف الحساب'!$P$4:$P$354,0)),"")</f>
        <v>0</v>
      </c>
      <c r="C46" s="121" t="str">
        <f>IFERROR(INDEX('كشف الحساب'!$C$4:$C$354,MATCH(41,'كشف الحساب'!$P$4:$P$354,0)),"")</f>
        <v>جبس لتغطيه المحميه</v>
      </c>
      <c r="D46" s="123">
        <f>IFERROR(INDEX('كشف الحساب'!$E$4:$E$354,MATCH(41,'كشف الحساب'!$P$4:$P$354,0)),"")</f>
        <v>0</v>
      </c>
      <c r="E46" s="124">
        <f>IFERROR(INDEX('كشف الحساب'!$D$4:$D$354,MATCH(41,'كشف الحساب'!$P$4:$P$354,0)),"")</f>
        <v>2.75</v>
      </c>
      <c r="F46" s="125">
        <f t="shared" si="1"/>
        <v>346.85</v>
      </c>
    </row>
    <row r="47" spans="1:6" ht="18" customHeight="1" x14ac:dyDescent="0.25">
      <c r="A47" s="142">
        <f>IFERROR(INDEX('كشف الحساب'!$A$4:$A$354,MATCH(42,'كشف الحساب'!$P$4:$P$354,0)),"")</f>
        <v>46175</v>
      </c>
      <c r="B47" s="122" t="str">
        <f>IFERROR(INDEX('كشف الحساب'!$B$4:$B$354,MATCH(42,'كشف الحساب'!$P$4:$P$354,0)),"")</f>
        <v>Inv-53</v>
      </c>
      <c r="C47" s="121" t="str">
        <f>IFERROR(INDEX('كشف الحساب'!$C$4:$C$354,MATCH(42,'كشف الحساب'!$P$4:$P$354,0)),"")</f>
        <v>فل عدد 24 الحبه .750</v>
      </c>
      <c r="D47" s="123">
        <f>IFERROR(INDEX('كشف الحساب'!$E$4:$E$354,MATCH(42,'كشف الحساب'!$P$4:$P$354,0)),"")</f>
        <v>18</v>
      </c>
      <c r="E47" s="124">
        <f>IFERROR(INDEX('كشف الحساب'!$D$4:$D$354,MATCH(42,'كشف الحساب'!$P$4:$P$354,0)),"")</f>
        <v>0</v>
      </c>
      <c r="F47" s="125">
        <f t="shared" si="1"/>
        <v>364.85</v>
      </c>
    </row>
    <row r="48" spans="1:6" ht="18" customHeight="1" x14ac:dyDescent="0.25">
      <c r="A48" s="142">
        <f>IFERROR(INDEX('كشف الحساب'!$A$4:$A$354,MATCH(43,'كشف الحساب'!$P$4:$P$354,0)),"")</f>
        <v>46175</v>
      </c>
      <c r="B48" s="122" t="str">
        <f>IFERROR(INDEX('كشف الحساب'!$B$4:$B$354,MATCH(43,'كشف الحساب'!$P$4:$P$354,0)),"")</f>
        <v>Inv-54</v>
      </c>
      <c r="C48" s="121" t="str">
        <f>IFERROR(INDEX('كشف الحساب'!$C$4:$C$354,MATCH(43,'كشف الحساب'!$P$4:$P$354,0)),"")</f>
        <v>دارسينا خضراء عدد 1 الحبه 2</v>
      </c>
      <c r="D48" s="123">
        <f>IFERROR(INDEX('كشف الحساب'!$E$4:$E$354,MATCH(43,'كشف الحساب'!$P$4:$P$354,0)),"")</f>
        <v>2</v>
      </c>
      <c r="E48" s="124">
        <f>IFERROR(INDEX('كشف الحساب'!$D$4:$D$354,MATCH(43,'كشف الحساب'!$P$4:$P$354,0)),"")</f>
        <v>0</v>
      </c>
      <c r="F48" s="125">
        <f t="shared" si="1"/>
        <v>366.85</v>
      </c>
    </row>
    <row r="49" spans="1:6" ht="18" customHeight="1" x14ac:dyDescent="0.25">
      <c r="A49" s="142">
        <f>IFERROR(INDEX('كشف الحساب'!$A$4:$A$354,MATCH(44,'كشف الحساب'!$P$4:$P$354,0)),"")</f>
        <v>46175</v>
      </c>
      <c r="B49" s="122" t="str">
        <f>IFERROR(INDEX('كشف الحساب'!$B$4:$B$354,MATCH(44,'كشف الحساب'!$P$4:$P$354,0)),"")</f>
        <v>Inv-55</v>
      </c>
      <c r="C49" s="121" t="str">
        <f>IFERROR(INDEX('كشف الحساب'!$C$4:$C$354,MATCH(44,'كشف الحساب'!$P$4:$P$354,0)),"")</f>
        <v>افوبيا عدد 2 الحبه .750</v>
      </c>
      <c r="D49" s="123">
        <f>IFERROR(INDEX('كشف الحساب'!$E$4:$E$354,MATCH(44,'كشف الحساب'!$P$4:$P$354,0)),"")</f>
        <v>1.5</v>
      </c>
      <c r="E49" s="124">
        <f>IFERROR(INDEX('كشف الحساب'!$D$4:$D$354,MATCH(44,'كشف الحساب'!$P$4:$P$354,0)),"")</f>
        <v>0</v>
      </c>
      <c r="F49" s="125">
        <f t="shared" si="1"/>
        <v>368.35</v>
      </c>
    </row>
    <row r="50" spans="1:6" ht="18" customHeight="1" x14ac:dyDescent="0.25">
      <c r="A50" s="142">
        <f>IFERROR(INDEX('كشف الحساب'!$A$4:$A$354,MATCH(45,'كشف الحساب'!$P$4:$P$354,0)),"")</f>
        <v>46175</v>
      </c>
      <c r="B50" s="122" t="str">
        <f>IFERROR(INDEX('كشف الحساب'!$B$4:$B$354,MATCH(45,'كشف الحساب'!$P$4:$P$354,0)),"")</f>
        <v>Inv-56</v>
      </c>
      <c r="C50" s="121" t="str">
        <f>IFERROR(INDEX('كشف الحساب'!$C$4:$C$354,MATCH(45,'كشف الحساب'!$P$4:$P$354,0)),"")</f>
        <v>دارسينا سوداء عدد 3 الحبه 1</v>
      </c>
      <c r="D50" s="123">
        <f>IFERROR(INDEX('كشف الحساب'!$E$4:$E$354,MATCH(45,'كشف الحساب'!$P$4:$P$354,0)),"")</f>
        <v>3</v>
      </c>
      <c r="E50" s="124">
        <f>IFERROR(INDEX('كشف الحساب'!$D$4:$D$354,MATCH(45,'كشف الحساب'!$P$4:$P$354,0)),"")</f>
        <v>0</v>
      </c>
      <c r="F50" s="125">
        <f t="shared" si="1"/>
        <v>371.35</v>
      </c>
    </row>
    <row r="51" spans="1:6" ht="18" customHeight="1" x14ac:dyDescent="0.25">
      <c r="A51" s="142">
        <f>IFERROR(INDEX('كشف الحساب'!$A$4:$A$354,MATCH(46,'كشف الحساب'!$P$4:$P$354,0)),"")</f>
        <v>46177</v>
      </c>
      <c r="B51" s="122" t="str">
        <f>IFERROR(INDEX('كشف الحساب'!$B$4:$B$354,MATCH(46,'كشف الحساب'!$P$4:$P$354,0)),"")</f>
        <v>inv-57</v>
      </c>
      <c r="C51" s="121" t="str">
        <f>IFERROR(INDEX('كشف الحساب'!$C$4:$C$354,MATCH(46,'كشف الحساب'!$P$4:$P$354,0)),"")</f>
        <v>فوزير عدد1 قيمه 1</v>
      </c>
      <c r="D51" s="123">
        <f>IFERROR(INDEX('كشف الحساب'!$E$4:$E$354,MATCH(46,'كشف الحساب'!$P$4:$P$354,0)),"")</f>
        <v>1</v>
      </c>
      <c r="E51" s="124">
        <f>IFERROR(INDEX('كشف الحساب'!$D$4:$D$354,MATCH(46,'كشف الحساب'!$P$4:$P$354,0)),"")</f>
        <v>0</v>
      </c>
      <c r="F51" s="125">
        <f t="shared" si="1"/>
        <v>372.35</v>
      </c>
    </row>
    <row r="52" spans="1:6" ht="18" customHeight="1" x14ac:dyDescent="0.25">
      <c r="A52" s="142">
        <f>IFERROR(INDEX('كشف الحساب'!$A$4:$A$354,MATCH(47,'كشف الحساب'!$P$4:$P$354,0)),"")</f>
        <v>46177</v>
      </c>
      <c r="B52" s="122">
        <f>IFERROR(INDEX('كشف الحساب'!$B$4:$B$354,MATCH(47,'كشف الحساب'!$P$4:$P$354,0)),"")</f>
        <v>0</v>
      </c>
      <c r="C52" s="121" t="str">
        <f>IFERROR(INDEX('كشف الحساب'!$C$4:$C$354,MATCH(47,'كشف الحساب'!$P$4:$P$354,0)),"")</f>
        <v>سماد</v>
      </c>
      <c r="D52" s="123">
        <f>IFERROR(INDEX('كشف الحساب'!$E$4:$E$354,MATCH(47,'كشف الحساب'!$P$4:$P$354,0)),"")</f>
        <v>0</v>
      </c>
      <c r="E52" s="124">
        <f>IFERROR(INDEX('كشف الحساب'!$D$4:$D$354,MATCH(47,'كشف الحساب'!$P$4:$P$354,0)),"")</f>
        <v>10</v>
      </c>
      <c r="F52" s="125">
        <f t="shared" si="1"/>
        <v>362.35</v>
      </c>
    </row>
    <row r="53" spans="1:6" ht="18" customHeight="1" x14ac:dyDescent="0.25">
      <c r="A53" s="142">
        <f>IFERROR(INDEX('كشف الحساب'!$A$4:$A$354,MATCH(48,'كشف الحساب'!$P$4:$P$354,0)),"")</f>
        <v>46177</v>
      </c>
      <c r="B53" s="122">
        <f>IFERROR(INDEX('كشف الحساب'!$B$4:$B$354,MATCH(48,'كشف الحساب'!$P$4:$P$354,0)),"")</f>
        <v>0</v>
      </c>
      <c r="C53" s="121" t="str">
        <f>IFERROR(INDEX('كشف الحساب'!$C$4:$C$354,MATCH(48,'كشف الحساب'!$P$4:$P$354,0)),"")</f>
        <v>تاير لعربة الرش</v>
      </c>
      <c r="D53" s="123">
        <f>IFERROR(INDEX('كشف الحساب'!$E$4:$E$354,MATCH(48,'كشف الحساب'!$P$4:$P$354,0)),"")</f>
        <v>0</v>
      </c>
      <c r="E53" s="124">
        <f>IFERROR(INDEX('كشف الحساب'!$D$4:$D$354,MATCH(48,'كشف الحساب'!$P$4:$P$354,0)),"")</f>
        <v>3.25</v>
      </c>
      <c r="F53" s="125">
        <f t="shared" si="1"/>
        <v>359.1</v>
      </c>
    </row>
    <row r="54" spans="1:6" ht="18" customHeight="1" x14ac:dyDescent="0.25">
      <c r="A54" s="142">
        <f>IFERROR(INDEX('كشف الحساب'!$A$4:$A$354,MATCH(49,'كشف الحساب'!$P$4:$P$354,0)),"")</f>
        <v>46177</v>
      </c>
      <c r="B54" s="122">
        <f>IFERROR(INDEX('كشف الحساب'!$B$4:$B$354,MATCH(49,'كشف الحساب'!$P$4:$P$354,0)),"")</f>
        <v>0</v>
      </c>
      <c r="C54" s="121" t="str">
        <f>IFERROR(INDEX('كشف الحساب'!$C$4:$C$354,MATCH(49,'كشف الحساب'!$P$4:$P$354,0)),"")</f>
        <v>حفاره خلط السماد</v>
      </c>
      <c r="D54" s="123">
        <f>IFERROR(INDEX('كشف الحساب'!$E$4:$E$354,MATCH(49,'كشف الحساب'!$P$4:$P$354,0)),"")</f>
        <v>0</v>
      </c>
      <c r="E54" s="124">
        <f>IFERROR(INDEX('كشف الحساب'!$D$4:$D$354,MATCH(49,'كشف الحساب'!$P$4:$P$354,0)),"")</f>
        <v>12</v>
      </c>
      <c r="F54" s="125">
        <f t="shared" si="1"/>
        <v>347.1</v>
      </c>
    </row>
    <row r="55" spans="1:6" ht="18" customHeight="1" x14ac:dyDescent="0.25">
      <c r="A55" s="142">
        <f>IFERROR(INDEX('كشف الحساب'!$A$4:$A$354,MATCH(50,'كشف الحساب'!$P$4:$P$354,0)),"")</f>
        <v>46179</v>
      </c>
      <c r="B55" s="122" t="str">
        <f>IFERROR(INDEX('كشف الحساب'!$B$4:$B$354,MATCH(50,'كشف الحساب'!$P$4:$P$354,0)),"")</f>
        <v>Inv-58</v>
      </c>
      <c r="C55" s="121" t="str">
        <f>IFERROR(INDEX('كشف الحساب'!$C$4:$C$354,MATCH(50,'كشف الحساب'!$P$4:$P$354,0)),"")</f>
        <v>دارسينا عدد3 بقيمه 1 للحبه</v>
      </c>
      <c r="D55" s="123">
        <f>IFERROR(INDEX('كشف الحساب'!$E$4:$E$354,MATCH(50,'كشف الحساب'!$P$4:$P$354,0)),"")</f>
        <v>3</v>
      </c>
      <c r="E55" s="124">
        <f>IFERROR(INDEX('كشف الحساب'!$D$4:$D$354,MATCH(50,'كشف الحساب'!$P$4:$P$354,0)),"")</f>
        <v>0</v>
      </c>
      <c r="F55" s="125">
        <f t="shared" si="1"/>
        <v>350.1</v>
      </c>
    </row>
    <row r="56" spans="1:6" ht="18" customHeight="1" x14ac:dyDescent="0.25">
      <c r="A56" s="142">
        <f>IFERROR(INDEX('كشف الحساب'!$A$4:$A$354,MATCH(51,'كشف الحساب'!$P$4:$P$354,0)),"")</f>
        <v>46179</v>
      </c>
      <c r="B56" s="122" t="str">
        <f>IFERROR(INDEX('كشف الحساب'!$B$4:$B$354,MATCH(51,'كشف الحساب'!$P$4:$P$354,0)),"")</f>
        <v>Inv-59</v>
      </c>
      <c r="C56" s="121" t="str">
        <f>IFERROR(INDEX('كشف الحساب'!$C$4:$C$354,MATCH(51,'كشف الحساب'!$P$4:$P$354,0)),"")</f>
        <v>ودليه عدد 1 بقيمه 1</v>
      </c>
      <c r="D56" s="123">
        <f>IFERROR(INDEX('كشف الحساب'!$E$4:$E$354,MATCH(51,'كشف الحساب'!$P$4:$P$354,0)),"")</f>
        <v>1</v>
      </c>
      <c r="E56" s="124">
        <f>IFERROR(INDEX('كشف الحساب'!$D$4:$D$354,MATCH(51,'كشف الحساب'!$P$4:$P$354,0)),"")</f>
        <v>0</v>
      </c>
      <c r="F56" s="125">
        <f t="shared" si="1"/>
        <v>351.1</v>
      </c>
    </row>
    <row r="57" spans="1:6" ht="18" customHeight="1" x14ac:dyDescent="0.25">
      <c r="A57" s="142">
        <f>IFERROR(INDEX('كشف الحساب'!$A$4:$A$354,MATCH(52,'كشف الحساب'!$P$4:$P$354,0)),"")</f>
        <v>46179</v>
      </c>
      <c r="B57" s="122" t="str">
        <f>IFERROR(INDEX('كشف الحساب'!$B$4:$B$354,MATCH(52,'كشف الحساب'!$P$4:$P$354,0)),"")</f>
        <v>Inv-60</v>
      </c>
      <c r="C57" s="121" t="str">
        <f>IFERROR(INDEX('كشف الحساب'!$C$4:$C$354,MATCH(52,'كشف الحساب'!$P$4:$P$354,0)),"")</f>
        <v>دارسينا حمراء عدد 1 بقيمه 3</v>
      </c>
      <c r="D57" s="123">
        <f>IFERROR(INDEX('كشف الحساب'!$E$4:$E$354,MATCH(52,'كشف الحساب'!$P$4:$P$354,0)),"")</f>
        <v>3</v>
      </c>
      <c r="E57" s="124">
        <f>IFERROR(INDEX('كشف الحساب'!$D$4:$D$354,MATCH(52,'كشف الحساب'!$P$4:$P$354,0)),"")</f>
        <v>0</v>
      </c>
      <c r="F57" s="125">
        <f t="shared" si="1"/>
        <v>354.1</v>
      </c>
    </row>
    <row r="58" spans="1:6" ht="18" customHeight="1" x14ac:dyDescent="0.25">
      <c r="A58" s="142">
        <f>IFERROR(INDEX('كشف الحساب'!$A$4:$A$354,MATCH(53,'كشف الحساب'!$P$4:$P$354,0)),"")</f>
        <v>46181</v>
      </c>
      <c r="B58" s="122" t="str">
        <f>IFERROR(INDEX('كشف الحساب'!$B$4:$B$354,MATCH(53,'كشف الحساب'!$P$4:$P$354,0)),"")</f>
        <v>Inv-61</v>
      </c>
      <c r="C58" s="121" t="str">
        <f>IFERROR(INDEX('كشف الحساب'!$C$4:$C$354,MATCH(53,'كشف الحساب'!$P$4:$P$354,0)),"")</f>
        <v>فل عدد 20 بقيمه 0.750</v>
      </c>
      <c r="D58" s="123">
        <f>IFERROR(INDEX('كشف الحساب'!$E$4:$E$354,MATCH(53,'كشف الحساب'!$P$4:$P$354,0)),"")</f>
        <v>15</v>
      </c>
      <c r="E58" s="124">
        <f>IFERROR(INDEX('كشف الحساب'!$D$4:$D$354,MATCH(53,'كشف الحساب'!$P$4:$P$354,0)),"")</f>
        <v>0</v>
      </c>
      <c r="F58" s="125">
        <f t="shared" si="1"/>
        <v>369.1</v>
      </c>
    </row>
    <row r="59" spans="1:6" ht="18" customHeight="1" x14ac:dyDescent="0.25">
      <c r="A59" s="142">
        <f>IFERROR(INDEX('كشف الحساب'!$A$4:$A$354,MATCH(54,'كشف الحساب'!$P$4:$P$354,0)),"")</f>
        <v>46181</v>
      </c>
      <c r="B59" s="122">
        <f>IFERROR(INDEX('كشف الحساب'!$B$4:$B$354,MATCH(54,'كشف الحساب'!$P$4:$P$354,0)),"")</f>
        <v>0</v>
      </c>
      <c r="C59" s="121" t="str">
        <f>IFERROR(INDEX('كشف الحساب'!$C$4:$C$354,MATCH(54,'كشف الحساب'!$P$4:$P$354,0)),"")</f>
        <v>اسمنت اسود للمحميه الصغيره الجديده</v>
      </c>
      <c r="D59" s="123">
        <f>IFERROR(INDEX('كشف الحساب'!$E$4:$E$354,MATCH(54,'كشف الحساب'!$P$4:$P$354,0)),"")</f>
        <v>0</v>
      </c>
      <c r="E59" s="124">
        <f>IFERROR(INDEX('كشف الحساب'!$D$4:$D$354,MATCH(54,'كشف الحساب'!$P$4:$P$354,0)),"")</f>
        <v>2.8</v>
      </c>
      <c r="F59" s="125">
        <f t="shared" si="1"/>
        <v>366.3</v>
      </c>
    </row>
    <row r="60" spans="1:6" ht="18" customHeight="1" x14ac:dyDescent="0.25">
      <c r="A60" s="142">
        <f>IFERROR(INDEX('كشف الحساب'!$A$4:$A$354,MATCH(55,'كشف الحساب'!$P$4:$P$354,0)),"")</f>
        <v>46181</v>
      </c>
      <c r="B60" s="122">
        <f>IFERROR(INDEX('كشف الحساب'!$B$4:$B$354,MATCH(55,'كشف الحساب'!$P$4:$P$354,0)),"")</f>
        <v>0</v>
      </c>
      <c r="C60" s="121" t="str">
        <f>IFERROR(INDEX('كشف الحساب'!$C$4:$C$354,MATCH(55,'كشف الحساب'!$P$4:$P$354,0)),"")</f>
        <v>حديد اسود للمحميه الصغيره الجديده</v>
      </c>
      <c r="D60" s="123">
        <f>IFERROR(INDEX('كشف الحساب'!$E$4:$E$354,MATCH(55,'كشف الحساب'!$P$4:$P$354,0)),"")</f>
        <v>0</v>
      </c>
      <c r="E60" s="124">
        <f>IFERROR(INDEX('كشف الحساب'!$D$4:$D$354,MATCH(55,'كشف الحساب'!$P$4:$P$354,0)),"")</f>
        <v>46.75</v>
      </c>
      <c r="F60" s="125">
        <f t="shared" si="1"/>
        <v>319.55</v>
      </c>
    </row>
    <row r="61" spans="1:6" ht="18" customHeight="1" x14ac:dyDescent="0.25">
      <c r="A61" s="142">
        <f>IFERROR(INDEX('كشف الحساب'!$A$4:$A$354,MATCH(56,'كشف الحساب'!$P$4:$P$354,0)),"")</f>
        <v>46182</v>
      </c>
      <c r="B61" s="122" t="str">
        <f>IFERROR(INDEX('كشف الحساب'!$B$4:$B$354,MATCH(56,'كشف الحساب'!$P$4:$P$354,0)),"")</f>
        <v>Inv-62</v>
      </c>
      <c r="C61" s="121" t="str">
        <f>IFERROR(INDEX('كشف الحساب'!$C$4:$C$354,MATCH(56,'كشف الحساب'!$P$4:$P$354,0)),"")</f>
        <v>فل عدد 30 الحبه 0.750</v>
      </c>
      <c r="D61" s="123">
        <f>IFERROR(INDEX('كشف الحساب'!$E$4:$E$354,MATCH(56,'كشف الحساب'!$P$4:$P$354,0)),"")</f>
        <v>22.5</v>
      </c>
      <c r="E61" s="124">
        <f>IFERROR(INDEX('كشف الحساب'!$D$4:$D$354,MATCH(56,'كشف الحساب'!$P$4:$P$354,0)),"")</f>
        <v>0</v>
      </c>
      <c r="F61" s="125">
        <f t="shared" si="1"/>
        <v>342.05</v>
      </c>
    </row>
    <row r="62" spans="1:6" ht="18" customHeight="1" x14ac:dyDescent="0.25">
      <c r="A62" s="142">
        <f>IFERROR(INDEX('كشف الحساب'!$A$4:$A$354,MATCH(57,'كشف الحساب'!$P$4:$P$354,0)),"")</f>
        <v>46184</v>
      </c>
      <c r="B62" s="122">
        <f>IFERROR(INDEX('كشف الحساب'!$B$4:$B$354,MATCH(57,'كشف الحساب'!$P$4:$P$354,0)),"")</f>
        <v>0</v>
      </c>
      <c r="C62" s="121" t="str">
        <f>IFERROR(INDEX('كشف الحساب'!$C$4:$C$354,MATCH(57,'كشف الحساب'!$P$4:$P$354,0)),"")</f>
        <v>براغي</v>
      </c>
      <c r="D62" s="123">
        <f>IFERROR(INDEX('كشف الحساب'!$E$4:$E$354,MATCH(57,'كشف الحساب'!$P$4:$P$354,0)),"")</f>
        <v>0</v>
      </c>
      <c r="E62" s="124">
        <f>IFERROR(INDEX('كشف الحساب'!$D$4:$D$354,MATCH(57,'كشف الحساب'!$P$4:$P$354,0)),"")</f>
        <v>3.5</v>
      </c>
      <c r="F62" s="125">
        <f t="shared" si="1"/>
        <v>338.55</v>
      </c>
    </row>
    <row r="63" spans="1:6" ht="18" customHeight="1" x14ac:dyDescent="0.25">
      <c r="A63" s="142">
        <f>IFERROR(INDEX('كشف الحساب'!$A$4:$A$354,MATCH(58,'كشف الحساب'!$P$4:$P$354,0)),"")</f>
        <v>46185</v>
      </c>
      <c r="B63" s="122">
        <f>IFERROR(INDEX('كشف الحساب'!$B$4:$B$354,MATCH(58,'كشف الحساب'!$P$4:$P$354,0)),"")</f>
        <v>0</v>
      </c>
      <c r="C63" s="121" t="str">
        <f>IFERROR(INDEX('كشف الحساب'!$C$4:$C$354,MATCH(58,'كشف الحساب'!$P$4:$P$354,0)),"")</f>
        <v>رول لحيم</v>
      </c>
      <c r="D63" s="123">
        <f>IFERROR(INDEX('كشف الحساب'!$E$4:$E$354,MATCH(58,'كشف الحساب'!$P$4:$P$354,0)),"")</f>
        <v>0</v>
      </c>
      <c r="E63" s="124">
        <f>IFERROR(INDEX('كشف الحساب'!$D$4:$D$354,MATCH(58,'كشف الحساب'!$P$4:$P$354,0)),"")</f>
        <v>2</v>
      </c>
      <c r="F63" s="125">
        <f t="shared" si="1"/>
        <v>336.55</v>
      </c>
    </row>
    <row r="64" spans="1:6" ht="18" customHeight="1" x14ac:dyDescent="0.25">
      <c r="A64" s="142">
        <f>IFERROR(INDEX('كشف الحساب'!$A$4:$A$354,MATCH(59,'كشف الحساب'!$P$4:$P$354,0)),"")</f>
        <v>46186</v>
      </c>
      <c r="B64" s="122" t="str">
        <f>IFERROR(INDEX('كشف الحساب'!$B$4:$B$354,MATCH(59,'كشف الحساب'!$P$4:$P$354,0)),"")</f>
        <v>Inv-64</v>
      </c>
      <c r="C64" s="121" t="str">
        <f>IFERROR(INDEX('كشف الحساب'!$C$4:$C$354,MATCH(59,'كشف الحساب'!$P$4:$P$354,0)),"")</f>
        <v>معلقات عدد 10 الحبه 1</v>
      </c>
      <c r="D64" s="123">
        <f>IFERROR(INDEX('كشف الحساب'!$E$4:$E$354,MATCH(59,'كشف الحساب'!$P$4:$P$354,0)),"")</f>
        <v>10</v>
      </c>
      <c r="E64" s="124">
        <f>IFERROR(INDEX('كشف الحساب'!$D$4:$D$354,MATCH(59,'كشف الحساب'!$P$4:$P$354,0)),"")</f>
        <v>0</v>
      </c>
      <c r="F64" s="125">
        <f t="shared" si="1"/>
        <v>346.55</v>
      </c>
    </row>
    <row r="65" spans="1:6" ht="18" customHeight="1" x14ac:dyDescent="0.25">
      <c r="A65" s="142">
        <f>IFERROR(INDEX('كشف الحساب'!$A$4:$A$354,MATCH(60,'كشف الحساب'!$P$4:$P$354,0)),"")</f>
        <v>46186</v>
      </c>
      <c r="B65" s="122" t="str">
        <f>IFERROR(INDEX('كشف الحساب'!$B$4:$B$354,MATCH(60,'كشف الحساب'!$P$4:$P$354,0)),"")</f>
        <v>Inv-65</v>
      </c>
      <c r="C65" s="121" t="str">
        <f>IFERROR(INDEX('كشف الحساب'!$C$4:$C$354,MATCH(60,'كشف الحساب'!$P$4:$P$354,0)),"")</f>
        <v>ودوليه عدد 5 الحبه 1</v>
      </c>
      <c r="D65" s="123">
        <f>IFERROR(INDEX('كشف الحساب'!$E$4:$E$354,MATCH(60,'كشف الحساب'!$P$4:$P$354,0)),"")</f>
        <v>5</v>
      </c>
      <c r="E65" s="124">
        <f>IFERROR(INDEX('كشف الحساب'!$D$4:$D$354,MATCH(60,'كشف الحساب'!$P$4:$P$354,0)),"")</f>
        <v>0</v>
      </c>
      <c r="F65" s="125">
        <f t="shared" si="1"/>
        <v>351.55</v>
      </c>
    </row>
    <row r="66" spans="1:6" ht="18" customHeight="1" x14ac:dyDescent="0.25">
      <c r="A66" s="142">
        <f>IFERROR(INDEX('كشف الحساب'!$A$4:$A$354,MATCH(61,'كشف الحساب'!$P$4:$P$354,0)),"")</f>
        <v>46189</v>
      </c>
      <c r="B66" s="122" t="str">
        <f>IFERROR(INDEX('كشف الحساب'!$B$4:$B$354,MATCH(61,'كشف الحساب'!$P$4:$P$354,0)),"")</f>
        <v>Inv-66</v>
      </c>
      <c r="C66" s="121" t="str">
        <f>IFERROR(INDEX('كشف الحساب'!$C$4:$C$354,MATCH(61,'كشف الحساب'!$P$4:$P$354,0)),"")</f>
        <v>شوكليرا عدد10 الحبه 1.500</v>
      </c>
      <c r="D66" s="123">
        <f>IFERROR(INDEX('كشف الحساب'!$E$4:$E$354,MATCH(61,'كشف الحساب'!$P$4:$P$354,0)),"")</f>
        <v>15</v>
      </c>
      <c r="E66" s="124">
        <f>IFERROR(INDEX('كشف الحساب'!$D$4:$D$354,MATCH(61,'كشف الحساب'!$P$4:$P$354,0)),"")</f>
        <v>0</v>
      </c>
      <c r="F66" s="125">
        <f t="shared" si="1"/>
        <v>366.55</v>
      </c>
    </row>
    <row r="67" spans="1:6" ht="18" customHeight="1" x14ac:dyDescent="0.25">
      <c r="A67" s="142">
        <f>IFERROR(INDEX('كشف الحساب'!$A$4:$A$354,MATCH(62,'كشف الحساب'!$P$4:$P$354,0)),"")</f>
        <v>46189</v>
      </c>
      <c r="B67" s="122" t="str">
        <f>IFERROR(INDEX('كشف الحساب'!$B$4:$B$354,MATCH(62,'كشف الحساب'!$P$4:$P$354,0)),"")</f>
        <v>Inv-67</v>
      </c>
      <c r="C67" s="121" t="str">
        <f>IFERROR(INDEX('كشف الحساب'!$C$4:$C$354,MATCH(62,'كشف الحساب'!$P$4:$P$354,0)),"")</f>
        <v>فيكس عدد7 الحبه 1</v>
      </c>
      <c r="D67" s="123">
        <f>IFERROR(INDEX('كشف الحساب'!$E$4:$E$354,MATCH(62,'كشف الحساب'!$P$4:$P$354,0)),"")</f>
        <v>7</v>
      </c>
      <c r="E67" s="124">
        <f>IFERROR(INDEX('كشف الحساب'!$D$4:$D$354,MATCH(62,'كشف الحساب'!$P$4:$P$354,0)),"")</f>
        <v>0</v>
      </c>
      <c r="F67" s="125">
        <f t="shared" si="1"/>
        <v>373.55</v>
      </c>
    </row>
    <row r="68" spans="1:6" ht="18" customHeight="1" x14ac:dyDescent="0.25">
      <c r="A68" s="142">
        <f>IFERROR(INDEX('كشف الحساب'!$A$4:$A$354,MATCH(63,'كشف الحساب'!$P$4:$P$354,0)),"")</f>
        <v>46189</v>
      </c>
      <c r="B68" s="122" t="str">
        <f>IFERROR(INDEX('كشف الحساب'!$B$4:$B$354,MATCH(63,'كشف الحساب'!$P$4:$P$354,0)),"")</f>
        <v>Inv-68</v>
      </c>
      <c r="C68" s="121" t="str">
        <f>IFERROR(INDEX('كشف الحساب'!$C$4:$C$354,MATCH(63,'كشف الحساب'!$P$4:$P$354,0)),"")</f>
        <v>ربل عدد 5 الحبه 2</v>
      </c>
      <c r="D68" s="123">
        <f>IFERROR(INDEX('كشف الحساب'!$E$4:$E$354,MATCH(63,'كشف الحساب'!$P$4:$P$354,0)),"")</f>
        <v>10</v>
      </c>
      <c r="E68" s="124">
        <f>IFERROR(INDEX('كشف الحساب'!$D$4:$D$354,MATCH(63,'كشف الحساب'!$P$4:$P$354,0)),"")</f>
        <v>0</v>
      </c>
      <c r="F68" s="125">
        <f t="shared" si="1"/>
        <v>383.55</v>
      </c>
    </row>
    <row r="69" spans="1:6" ht="18" customHeight="1" x14ac:dyDescent="0.25">
      <c r="A69" s="142">
        <f>IFERROR(INDEX('كشف الحساب'!$A$4:$A$354,MATCH(64,'كشف الحساب'!$P$4:$P$354,0)),"")</f>
        <v>46189</v>
      </c>
      <c r="B69" s="122" t="str">
        <f>IFERROR(INDEX('كشف الحساب'!$B$4:$B$354,MATCH(64,'كشف الحساب'!$P$4:$P$354,0)),"")</f>
        <v>Inv-69</v>
      </c>
      <c r="C69" s="121" t="str">
        <f>IFERROR(INDEX('كشف الحساب'!$C$4:$C$354,MATCH(64,'كشف الحساب'!$P$4:$P$354,0)),"")</f>
        <v>فل عدد 24 الحبه .750</v>
      </c>
      <c r="D69" s="123">
        <f>IFERROR(INDEX('كشف الحساب'!$E$4:$E$354,MATCH(64,'كشف الحساب'!$P$4:$P$354,0)),"")</f>
        <v>18</v>
      </c>
      <c r="E69" s="124">
        <f>IFERROR(INDEX('كشف الحساب'!$D$4:$D$354,MATCH(64,'كشف الحساب'!$P$4:$P$354,0)),"")</f>
        <v>0</v>
      </c>
      <c r="F69" s="125">
        <f t="shared" si="1"/>
        <v>401.55</v>
      </c>
    </row>
    <row r="70" spans="1:6" ht="18" customHeight="1" x14ac:dyDescent="0.25">
      <c r="A70" s="142">
        <f>IFERROR(INDEX('كشف الحساب'!$A$4:$A$354,MATCH(65,'كشف الحساب'!$P$4:$P$354,0)),"")</f>
        <v>46188</v>
      </c>
      <c r="B70" s="122">
        <f>IFERROR(INDEX('كشف الحساب'!$B$4:$B$354,MATCH(65,'كشف الحساب'!$P$4:$P$354,0)),"")</f>
        <v>0</v>
      </c>
      <c r="C70" s="121" t="str">
        <f>IFERROR(INDEX('كشف الحساب'!$C$4:$C$354,MATCH(65,'كشف الحساب'!$P$4:$P$354,0)),"")</f>
        <v>أقامه عبدول</v>
      </c>
      <c r="D70" s="123">
        <f>IFERROR(INDEX('كشف الحساب'!$E$4:$E$354,MATCH(65,'كشف الحساب'!$P$4:$P$354,0)),"")</f>
        <v>0</v>
      </c>
      <c r="E70" s="124">
        <f>IFERROR(INDEX('كشف الحساب'!$D$4:$D$354,MATCH(65,'كشف الحساب'!$P$4:$P$354,0)),"")</f>
        <v>25</v>
      </c>
      <c r="F70" s="125">
        <f t="shared" si="1"/>
        <v>376.55</v>
      </c>
    </row>
    <row r="71" spans="1:6" ht="18" customHeight="1" x14ac:dyDescent="0.25">
      <c r="A71" s="142">
        <f>IFERROR(INDEX('كشف الحساب'!$A$4:$A$354,MATCH(66,'كشف الحساب'!$P$4:$P$354,0)),"")</f>
        <v>46190</v>
      </c>
      <c r="B71" s="122" t="str">
        <f>IFERROR(INDEX('كشف الحساب'!$B$4:$B$354,MATCH(66,'كشف الحساب'!$P$4:$P$354,0)),"")</f>
        <v>Inv-70</v>
      </c>
      <c r="C71" s="121" t="str">
        <f>IFERROR(INDEX('كشف الحساب'!$C$4:$C$354,MATCH(66,'كشف الحساب'!$P$4:$P$354,0)),"")</f>
        <v>افوبياعدد 1 الحبه .0.750</v>
      </c>
      <c r="D71" s="123">
        <f>IFERROR(INDEX('كشف الحساب'!$E$4:$E$354,MATCH(66,'كشف الحساب'!$P$4:$P$354,0)),"")</f>
        <v>0.75</v>
      </c>
      <c r="E71" s="124">
        <f>IFERROR(INDEX('كشف الحساب'!$D$4:$D$354,MATCH(66,'كشف الحساب'!$P$4:$P$354,0)),"")</f>
        <v>0</v>
      </c>
      <c r="F71" s="125">
        <f t="shared" ref="F71:F102" si="2">IF($A71="","",IF($F70="",0,$F70)+IF($D71="",0,$D71)-IF($E71="",0,$E71))</f>
        <v>377.3</v>
      </c>
    </row>
    <row r="72" spans="1:6" ht="18" customHeight="1" x14ac:dyDescent="0.25">
      <c r="A72" s="142">
        <f>IFERROR(INDEX('كشف الحساب'!$A$4:$A$354,MATCH(67,'كشف الحساب'!$P$4:$P$354,0)),"")</f>
        <v>46190</v>
      </c>
      <c r="B72" s="122" t="str">
        <f>IFERROR(INDEX('كشف الحساب'!$B$4:$B$354,MATCH(67,'كشف الحساب'!$P$4:$P$354,0)),"")</f>
        <v>Inv-71</v>
      </c>
      <c r="C72" s="121" t="str">
        <f>IFERROR(INDEX('كشف الحساب'!$C$4:$C$354,MATCH(67,'كشف الحساب'!$P$4:$P$354,0)),"")</f>
        <v>دارسينا عدد 1 الحبه 1.500</v>
      </c>
      <c r="D72" s="123">
        <f>IFERROR(INDEX('كشف الحساب'!$E$4:$E$354,MATCH(67,'كشف الحساب'!$P$4:$P$354,0)),"")</f>
        <v>1.5</v>
      </c>
      <c r="E72" s="124">
        <f>IFERROR(INDEX('كشف الحساب'!$D$4:$D$354,MATCH(67,'كشف الحساب'!$P$4:$P$354,0)),"")</f>
        <v>0</v>
      </c>
      <c r="F72" s="125">
        <f t="shared" si="2"/>
        <v>378.8</v>
      </c>
    </row>
    <row r="73" spans="1:6" ht="18" customHeight="1" x14ac:dyDescent="0.25">
      <c r="A73" s="142">
        <f>IFERROR(INDEX('كشف الحساب'!$A$4:$A$354,MATCH(68,'كشف الحساب'!$P$4:$P$354,0)),"")</f>
        <v>46191</v>
      </c>
      <c r="B73" s="122" t="str">
        <f>IFERROR(INDEX('كشف الحساب'!$B$4:$B$354,MATCH(68,'كشف الحساب'!$P$4:$P$354,0)),"")</f>
        <v>Inv-72</v>
      </c>
      <c r="C73" s="121" t="str">
        <f>IFERROR(INDEX('كشف الحساب'!$C$4:$C$354,MATCH(68,'كشف الحساب'!$P$4:$P$354,0)),"")</f>
        <v>فل عدد 1 الحبه 0.750</v>
      </c>
      <c r="D73" s="123">
        <f>IFERROR(INDEX('كشف الحساب'!$E$4:$E$354,MATCH(68,'كشف الحساب'!$P$4:$P$354,0)),"")</f>
        <v>0.75</v>
      </c>
      <c r="E73" s="124">
        <f>IFERROR(INDEX('كشف الحساب'!$D$4:$D$354,MATCH(68,'كشف الحساب'!$P$4:$P$354,0)),"")</f>
        <v>0</v>
      </c>
      <c r="F73" s="125">
        <f t="shared" si="2"/>
        <v>379.55</v>
      </c>
    </row>
    <row r="74" spans="1:6" ht="18" customHeight="1" x14ac:dyDescent="0.25">
      <c r="A74" s="142">
        <f>IFERROR(INDEX('كشف الحساب'!$A$4:$A$354,MATCH(69,'كشف الحساب'!$P$4:$P$354,0)),"")</f>
        <v>46191</v>
      </c>
      <c r="B74" s="122" t="str">
        <f>IFERROR(INDEX('كشف الحساب'!$B$4:$B$354,MATCH(69,'كشف الحساب'!$P$4:$P$354,0)),"")</f>
        <v>Inv-73</v>
      </c>
      <c r="C74" s="121" t="str">
        <f>IFERROR(INDEX('كشف الحساب'!$C$4:$C$354,MATCH(69,'كشف الحساب'!$P$4:$P$354,0)),"")</f>
        <v>ودليه عدد 3 الحبه 1</v>
      </c>
      <c r="D74" s="123">
        <f>IFERROR(INDEX('كشف الحساب'!$E$4:$E$354,MATCH(69,'كشف الحساب'!$P$4:$P$354,0)),"")</f>
        <v>3</v>
      </c>
      <c r="E74" s="124">
        <f>IFERROR(INDEX('كشف الحساب'!$D$4:$D$354,MATCH(69,'كشف الحساب'!$P$4:$P$354,0)),"")</f>
        <v>0</v>
      </c>
      <c r="F74" s="125">
        <f t="shared" si="2"/>
        <v>382.55</v>
      </c>
    </row>
    <row r="75" spans="1:6" ht="18" customHeight="1" x14ac:dyDescent="0.25">
      <c r="A75" s="142">
        <f>IFERROR(INDEX('كشف الحساب'!$A$4:$A$354,MATCH(70,'كشف الحساب'!$P$4:$P$354,0)),"")</f>
        <v>46199</v>
      </c>
      <c r="B75" s="122" t="str">
        <f>IFERROR(INDEX('كشف الحساب'!$B$4:$B$354,MATCH(70,'كشف الحساب'!$P$4:$P$354,0)),"")</f>
        <v>Inv-74</v>
      </c>
      <c r="C75" s="121" t="str">
        <f>IFERROR(INDEX('كشف الحساب'!$C$4:$C$354,MATCH(70,'كشف الحساب'!$P$4:$P$354,0)),"")</f>
        <v>ربل عدد 11 الحبه 2</v>
      </c>
      <c r="D75" s="123">
        <f>IFERROR(INDEX('كشف الحساب'!$E$4:$E$354,MATCH(70,'كشف الحساب'!$P$4:$P$354,0)),"")</f>
        <v>22</v>
      </c>
      <c r="E75" s="124">
        <f>IFERROR(INDEX('كشف الحساب'!$D$4:$D$354,MATCH(70,'كشف الحساب'!$P$4:$P$354,0)),"")</f>
        <v>0</v>
      </c>
      <c r="F75" s="125">
        <f t="shared" si="2"/>
        <v>404.55</v>
      </c>
    </row>
    <row r="76" spans="1:6" ht="18" customHeight="1" x14ac:dyDescent="0.25">
      <c r="A76" s="142">
        <f>IFERROR(INDEX('كشف الحساب'!$A$4:$A$354,MATCH(71,'كشف الحساب'!$P$4:$P$354,0)),"")</f>
        <v>46199</v>
      </c>
      <c r="B76" s="122" t="str">
        <f>IFERROR(INDEX('كشف الحساب'!$B$4:$B$354,MATCH(71,'كشف الحساب'!$P$4:$P$354,0)),"")</f>
        <v>Inv-75</v>
      </c>
      <c r="C76" s="121" t="str">
        <f>IFERROR(INDEX('كشف الحساب'!$C$4:$C$354,MATCH(71,'كشف الحساب'!$P$4:$P$354,0)),"")</f>
        <v>شوفليرا عدد6 الحبه 1.500</v>
      </c>
      <c r="D76" s="123">
        <f>IFERROR(INDEX('كشف الحساب'!$E$4:$E$354,MATCH(71,'كشف الحساب'!$P$4:$P$354,0)),"")</f>
        <v>9</v>
      </c>
      <c r="E76" s="124">
        <f>IFERROR(INDEX('كشف الحساب'!$D$4:$D$354,MATCH(71,'كشف الحساب'!$P$4:$P$354,0)),"")</f>
        <v>0</v>
      </c>
      <c r="F76" s="125">
        <f t="shared" si="2"/>
        <v>413.55</v>
      </c>
    </row>
    <row r="77" spans="1:6" ht="18" customHeight="1" x14ac:dyDescent="0.25">
      <c r="A77" s="142">
        <f>IFERROR(INDEX('كشف الحساب'!$A$4:$A$354,MATCH(72,'كشف الحساب'!$P$4:$P$354,0)),"")</f>
        <v>46197</v>
      </c>
      <c r="B77" s="122">
        <f>IFERROR(INDEX('كشف الحساب'!$B$4:$B$354,MATCH(72,'كشف الحساب'!$P$4:$P$354,0)),"")</f>
        <v>0</v>
      </c>
      <c r="C77" s="121" t="str">
        <f>IFERROR(INDEX('كشف الحساب'!$C$4:$C$354,MATCH(72,'كشف الحساب'!$P$4:$P$354,0)),"")</f>
        <v>nbk 18-18-18</v>
      </c>
      <c r="D77" s="123">
        <f>IFERROR(INDEX('كشف الحساب'!$E$4:$E$354,MATCH(72,'كشف الحساب'!$P$4:$P$354,0)),"")</f>
        <v>0</v>
      </c>
      <c r="E77" s="124">
        <f>IFERROR(INDEX('كشف الحساب'!$D$4:$D$354,MATCH(72,'كشف الحساب'!$P$4:$P$354,0)),"")</f>
        <v>12</v>
      </c>
      <c r="F77" s="125">
        <f t="shared" si="2"/>
        <v>401.55</v>
      </c>
    </row>
    <row r="78" spans="1:6" ht="18" customHeight="1" x14ac:dyDescent="0.25">
      <c r="A78" s="142">
        <f>IFERROR(INDEX('كشف الحساب'!$A$4:$A$354,MATCH(73,'كشف الحساب'!$P$4:$P$354,0)),"")</f>
        <v>46201</v>
      </c>
      <c r="B78" s="122" t="str">
        <f>IFERROR(INDEX('كشف الحساب'!$B$4:$B$354,MATCH(73,'كشف الحساب'!$P$4:$P$354,0)),"")</f>
        <v>Inv-76</v>
      </c>
      <c r="C78" s="121" t="str">
        <f>IFERROR(INDEX('كشف الحساب'!$C$4:$C$354,MATCH(73,'كشف الحساب'!$P$4:$P$354,0)),"")</f>
        <v>فل عدد 11 الحبه 0.750</v>
      </c>
      <c r="D78" s="123">
        <f>IFERROR(INDEX('كشف الحساب'!$E$4:$E$354,MATCH(73,'كشف الحساب'!$P$4:$P$354,0)),"")</f>
        <v>8.25</v>
      </c>
      <c r="E78" s="124">
        <f>IFERROR(INDEX('كشف الحساب'!$D$4:$D$354,MATCH(73,'كشف الحساب'!$P$4:$P$354,0)),"")</f>
        <v>0</v>
      </c>
      <c r="F78" s="125">
        <f t="shared" si="2"/>
        <v>409.8</v>
      </c>
    </row>
    <row r="79" spans="1:6" ht="18" customHeight="1" x14ac:dyDescent="0.25">
      <c r="A79" s="142">
        <f>IFERROR(INDEX('كشف الحساب'!$A$4:$A$354,MATCH(74,'كشف الحساب'!$P$4:$P$354,0)),"")</f>
        <v>46202</v>
      </c>
      <c r="B79" s="122" t="str">
        <f>IFERROR(INDEX('كشف الحساب'!$B$4:$B$354,MATCH(74,'كشف الحساب'!$P$4:$P$354,0)),"")</f>
        <v>Inv-77</v>
      </c>
      <c r="C79" s="121" t="str">
        <f>IFERROR(INDEX('كشف الحساب'!$C$4:$C$354,MATCH(74,'كشف الحساب'!$P$4:$P$354,0)),"")</f>
        <v>عطره عدد 3 الحبه 0.750</v>
      </c>
      <c r="D79" s="123">
        <f>IFERROR(INDEX('كشف الحساب'!$E$4:$E$354,MATCH(74,'كشف الحساب'!$P$4:$P$354,0)),"")</f>
        <v>2.25</v>
      </c>
      <c r="E79" s="124">
        <f>IFERROR(INDEX('كشف الحساب'!$D$4:$D$354,MATCH(74,'كشف الحساب'!$P$4:$P$354,0)),"")</f>
        <v>0</v>
      </c>
      <c r="F79" s="125">
        <f t="shared" si="2"/>
        <v>412.05</v>
      </c>
    </row>
    <row r="80" spans="1:6" ht="18" customHeight="1" x14ac:dyDescent="0.25">
      <c r="A80" s="142">
        <f>IFERROR(INDEX('كشف الحساب'!$A$4:$A$354,MATCH(75,'كشف الحساب'!$P$4:$P$354,0)),"")</f>
        <v>46202</v>
      </c>
      <c r="B80" s="122" t="str">
        <f>IFERROR(INDEX('كشف الحساب'!$B$4:$B$354,MATCH(75,'كشف الحساب'!$P$4:$P$354,0)),"")</f>
        <v>Inv-78</v>
      </c>
      <c r="C80" s="121" t="str">
        <f>IFERROR(INDEX('كشف الحساب'!$C$4:$C$354,MATCH(75,'كشف الحساب'!$P$4:$P$354,0)),"")</f>
        <v>معلقات عدد 3 الحبه 1</v>
      </c>
      <c r="D80" s="123">
        <f>IFERROR(INDEX('كشف الحساب'!$E$4:$E$354,MATCH(75,'كشف الحساب'!$P$4:$P$354,0)),"")</f>
        <v>3</v>
      </c>
      <c r="E80" s="124">
        <f>IFERROR(INDEX('كشف الحساب'!$D$4:$D$354,MATCH(75,'كشف الحساب'!$P$4:$P$354,0)),"")</f>
        <v>0</v>
      </c>
      <c r="F80" s="125">
        <f t="shared" si="2"/>
        <v>415.05</v>
      </c>
    </row>
    <row r="81" spans="1:6" ht="18" customHeight="1" x14ac:dyDescent="0.25">
      <c r="A81" s="142">
        <f>IFERROR(INDEX('كشف الحساب'!$A$4:$A$354,MATCH(76,'كشف الحساب'!$P$4:$P$354,0)),"")</f>
        <v>46203</v>
      </c>
      <c r="B81" s="122" t="str">
        <f>IFERROR(INDEX('كشف الحساب'!$B$4:$B$354,MATCH(76,'كشف الحساب'!$P$4:$P$354,0)),"")</f>
        <v>Inv-79</v>
      </c>
      <c r="C81" s="121" t="str">
        <f>IFERROR(INDEX('كشف الحساب'!$C$4:$C$354,MATCH(76,'كشف الحساب'!$P$4:$P$354,0)),"")</f>
        <v>معلقات عدد 4 الحبه 1</v>
      </c>
      <c r="D81" s="123">
        <f>IFERROR(INDEX('كشف الحساب'!$E$4:$E$354,MATCH(76,'كشف الحساب'!$P$4:$P$354,0)),"")</f>
        <v>4</v>
      </c>
      <c r="E81" s="124">
        <f>IFERROR(INDEX('كشف الحساب'!$D$4:$D$354,MATCH(76,'كشف الحساب'!$P$4:$P$354,0)),"")</f>
        <v>0</v>
      </c>
      <c r="F81" s="125">
        <f t="shared" si="2"/>
        <v>419.05</v>
      </c>
    </row>
    <row r="82" spans="1:6" ht="18" customHeight="1" x14ac:dyDescent="0.25">
      <c r="A82" s="142">
        <f>IFERROR(INDEX('كشف الحساب'!$A$4:$A$354,MATCH(77,'كشف الحساب'!$P$4:$P$354,0)),"")</f>
        <v>46203</v>
      </c>
      <c r="B82" s="122" t="str">
        <f>IFERROR(INDEX('كشف الحساب'!$B$4:$B$354,MATCH(77,'كشف الحساب'!$P$4:$P$354,0)),"")</f>
        <v>Inv-80</v>
      </c>
      <c r="C82" s="121" t="str">
        <f>IFERROR(INDEX('كشف الحساب'!$C$4:$C$354,MATCH(77,'كشف الحساب'!$P$4:$P$354,0)),"")</f>
        <v>معلقات عدد4 الحبه 1</v>
      </c>
      <c r="D82" s="123">
        <f>IFERROR(INDEX('كشف الحساب'!$E$4:$E$354,MATCH(77,'كشف الحساب'!$P$4:$P$354,0)),"")</f>
        <v>4</v>
      </c>
      <c r="E82" s="124">
        <f>IFERROR(INDEX('كشف الحساب'!$D$4:$D$354,MATCH(77,'كشف الحساب'!$P$4:$P$354,0)),"")</f>
        <v>0</v>
      </c>
      <c r="F82" s="125">
        <f t="shared" si="2"/>
        <v>423.05</v>
      </c>
    </row>
    <row r="83" spans="1:6" ht="18" customHeight="1" x14ac:dyDescent="0.25">
      <c r="A83" s="142">
        <f>IFERROR(INDEX('كشف الحساب'!$A$4:$A$354,MATCH(78,'كشف الحساب'!$P$4:$P$354,0)),"")</f>
        <v>46203</v>
      </c>
      <c r="B83" s="122" t="str">
        <f>IFERROR(INDEX('كشف الحساب'!$B$4:$B$354,MATCH(78,'كشف الحساب'!$P$4:$P$354,0)),"")</f>
        <v>Inv-81</v>
      </c>
      <c r="C83" s="121" t="str">
        <f>IFERROR(INDEX('كشف الحساب'!$C$4:$C$354,MATCH(78,'كشف الحساب'!$P$4:$P$354,0)),"")</f>
        <v>افوبيا عدد 2 الحبه 1</v>
      </c>
      <c r="D83" s="123">
        <f>IFERROR(INDEX('كشف الحساب'!$E$4:$E$354,MATCH(78,'كشف الحساب'!$P$4:$P$354,0)),"")</f>
        <v>2</v>
      </c>
      <c r="E83" s="124">
        <f>IFERROR(INDEX('كشف الحساب'!$D$4:$D$354,MATCH(78,'كشف الحساب'!$P$4:$P$354,0)),"")</f>
        <v>0</v>
      </c>
      <c r="F83" s="125">
        <f t="shared" si="2"/>
        <v>425.05</v>
      </c>
    </row>
    <row r="84" spans="1:6" ht="18" customHeight="1" x14ac:dyDescent="0.25">
      <c r="A84" s="142">
        <f>IFERROR(INDEX('كشف الحساب'!$A$4:$A$354,MATCH(79,'كشف الحساب'!$P$4:$P$354,0)),"")</f>
        <v>46203</v>
      </c>
      <c r="B84" s="122">
        <f>IFERROR(INDEX('كشف الحساب'!$B$4:$B$354,MATCH(79,'كشف الحساب'!$P$4:$P$354,0)),"")</f>
        <v>0</v>
      </c>
      <c r="C84" s="121" t="str">
        <f>IFERROR(INDEX('كشف الحساب'!$C$4:$C$354,MATCH(79,'كشف الحساب'!$P$4:$P$354,0)),"")</f>
        <v>رواتب عماله شهر يونيو 2026</v>
      </c>
      <c r="D84" s="123">
        <f>IFERROR(INDEX('كشف الحساب'!$E$4:$E$354,MATCH(79,'كشف الحساب'!$P$4:$P$354,0)),"")</f>
        <v>0</v>
      </c>
      <c r="E84" s="124">
        <f>IFERROR(INDEX('كشف الحساب'!$D$4:$D$354,MATCH(79,'كشف الحساب'!$P$4:$P$354,0)),"")</f>
        <v>320</v>
      </c>
      <c r="F84" s="125">
        <f t="shared" si="2"/>
        <v>105.05000000000001</v>
      </c>
    </row>
    <row r="85" spans="1:6" ht="18" customHeight="1" x14ac:dyDescent="0.25">
      <c r="A85" s="142">
        <f>IFERROR(INDEX('كشف الحساب'!$A$4:$A$354,MATCH(80,'كشف الحساب'!$P$4:$P$354,0)),"")</f>
        <v>46203</v>
      </c>
      <c r="B85" s="122">
        <f>IFERROR(INDEX('كشف الحساب'!$B$4:$B$354,MATCH(80,'كشف الحساب'!$P$4:$P$354,0)),"")</f>
        <v>0</v>
      </c>
      <c r="C85" s="121" t="str">
        <f>IFERROR(INDEX('كشف الحساب'!$C$4:$C$354,MATCH(80,'كشف الحساب'!$P$4:$P$354,0)),"")</f>
        <v>احواض عدد 1000 مقاس 25 سم</v>
      </c>
      <c r="D85" s="123">
        <f>IFERROR(INDEX('كشف الحساب'!$E$4:$E$354,MATCH(80,'كشف الحساب'!$P$4:$P$354,0)),"")</f>
        <v>0</v>
      </c>
      <c r="E85" s="124">
        <f>IFERROR(INDEX('كشف الحساب'!$D$4:$D$354,MATCH(80,'كشف الحساب'!$P$4:$P$354,0)),"")</f>
        <v>80</v>
      </c>
      <c r="F85" s="125">
        <f t="shared" si="2"/>
        <v>25.050000000000011</v>
      </c>
    </row>
    <row r="86" spans="1:6" ht="18" customHeight="1" x14ac:dyDescent="0.25">
      <c r="A86" s="142">
        <f>IFERROR(INDEX('كشف الحساب'!$A$4:$A$354,MATCH(81,'كشف الحساب'!$P$4:$P$354,0)),"")</f>
        <v>46207</v>
      </c>
      <c r="B86" s="122">
        <f>IFERROR(INDEX('كشف الحساب'!$B$4:$B$354,MATCH(81,'كشف الحساب'!$P$4:$P$354,0)),"")</f>
        <v>0</v>
      </c>
      <c r="C86" s="121" t="str">
        <f>IFERROR(INDEX('كشف الحساب'!$C$4:$C$354,MATCH(81,'كشف الحساب'!$P$4:$P$354,0)),"")</f>
        <v>احواض عدد 1000 مقاس 14 سم</v>
      </c>
      <c r="D86" s="123">
        <f>IFERROR(INDEX('كشف الحساب'!$E$4:$E$354,MATCH(81,'كشف الحساب'!$P$4:$P$354,0)),"")</f>
        <v>0</v>
      </c>
      <c r="E86" s="124">
        <f>IFERROR(INDEX('كشف الحساب'!$D$4:$D$354,MATCH(81,'كشف الحساب'!$P$4:$P$354,0)),"")</f>
        <v>20</v>
      </c>
      <c r="F86" s="125">
        <f t="shared" si="2"/>
        <v>5.0500000000000114</v>
      </c>
    </row>
    <row r="87" spans="1:6" ht="18" customHeight="1" x14ac:dyDescent="0.25">
      <c r="A87" s="142">
        <f>IFERROR(INDEX('كشف الحساب'!$A$4:$A$354,MATCH(82,'كشف الحساب'!$P$4:$P$354,0)),"")</f>
        <v>46206</v>
      </c>
      <c r="B87" s="122" t="str">
        <f>IFERROR(INDEX('كشف الحساب'!$B$4:$B$354,MATCH(82,'كشف الحساب'!$P$4:$P$354,0)),"")</f>
        <v>Inv-82</v>
      </c>
      <c r="C87" s="121" t="str">
        <f>IFERROR(INDEX('كشف الحساب'!$C$4:$C$354,MATCH(82,'كشف الحساب'!$P$4:$P$354,0)),"")</f>
        <v>دارسينا عدد 1 بقيمه 2.500</v>
      </c>
      <c r="D87" s="123">
        <f>IFERROR(INDEX('كشف الحساب'!$E$4:$E$354,MATCH(82,'كشف الحساب'!$P$4:$P$354,0)),"")</f>
        <v>2.5</v>
      </c>
      <c r="E87" s="124">
        <f>IFERROR(INDEX('كشف الحساب'!$D$4:$D$354,MATCH(82,'كشف الحساب'!$P$4:$P$354,0)),"")</f>
        <v>0</v>
      </c>
      <c r="F87" s="125">
        <f t="shared" si="2"/>
        <v>7.5500000000000114</v>
      </c>
    </row>
    <row r="88" spans="1:6" ht="18" customHeight="1" x14ac:dyDescent="0.25">
      <c r="A88" s="142">
        <f>IFERROR(INDEX('كشف الحساب'!$A$4:$A$354,MATCH(83,'كشف الحساب'!$P$4:$P$354,0)),"")</f>
        <v>46207</v>
      </c>
      <c r="B88" s="122" t="str">
        <f>IFERROR(INDEX('كشف الحساب'!$B$4:$B$354,MATCH(83,'كشف الحساب'!$P$4:$P$354,0)),"")</f>
        <v>Inv-83</v>
      </c>
      <c r="C88" s="121" t="str">
        <f>IFERROR(INDEX('كشف الحساب'!$C$4:$C$354,MATCH(83,'كشف الحساب'!$P$4:$P$354,0)),"")</f>
        <v>ودليه عدد13 الحبه 1</v>
      </c>
      <c r="D88" s="123">
        <f>IFERROR(INDEX('كشف الحساب'!$E$4:$E$354,MATCH(83,'كشف الحساب'!$P$4:$P$354,0)),"")</f>
        <v>13</v>
      </c>
      <c r="E88" s="124">
        <f>IFERROR(INDEX('كشف الحساب'!$D$4:$D$354,MATCH(83,'كشف الحساب'!$P$4:$P$354,0)),"")</f>
        <v>0</v>
      </c>
      <c r="F88" s="125">
        <f t="shared" si="2"/>
        <v>20.550000000000011</v>
      </c>
    </row>
    <row r="89" spans="1:6" ht="18" customHeight="1" x14ac:dyDescent="0.25">
      <c r="A89" s="142">
        <f>IFERROR(INDEX('كشف الحساب'!$A$4:$A$354,MATCH(84,'كشف الحساب'!$P$4:$P$354,0)),"")</f>
        <v>46207</v>
      </c>
      <c r="B89" s="122" t="str">
        <f>IFERROR(INDEX('كشف الحساب'!$B$4:$B$354,MATCH(84,'كشف الحساب'!$P$4:$P$354,0)),"")</f>
        <v>Inv-84</v>
      </c>
      <c r="C89" s="121" t="str">
        <f>IFERROR(INDEX('كشف الحساب'!$C$4:$C$354,MATCH(84,'كشف الحساب'!$P$4:$P$354,0)),"")</f>
        <v>معلقات عدد 4 الحبه 2</v>
      </c>
      <c r="D89" s="123">
        <f>IFERROR(INDEX('كشف الحساب'!$E$4:$E$354,MATCH(84,'كشف الحساب'!$P$4:$P$354,0)),"")</f>
        <v>8</v>
      </c>
      <c r="E89" s="124">
        <f>IFERROR(INDEX('كشف الحساب'!$D$4:$D$354,MATCH(84,'كشف الحساب'!$P$4:$P$354,0)),"")</f>
        <v>0</v>
      </c>
      <c r="F89" s="125">
        <f t="shared" si="2"/>
        <v>28.550000000000011</v>
      </c>
    </row>
    <row r="90" spans="1:6" ht="18" customHeight="1" x14ac:dyDescent="0.25">
      <c r="A90" s="142">
        <f>IFERROR(INDEX('كشف الحساب'!$A$4:$A$354,MATCH(85,'كشف الحساب'!$P$4:$P$354,0)),"")</f>
        <v>46211</v>
      </c>
      <c r="B90" s="122" t="str">
        <f>IFERROR(INDEX('كشف الحساب'!$B$4:$B$354,MATCH(85,'كشف الحساب'!$P$4:$P$354,0)),"")</f>
        <v>Inv-85</v>
      </c>
      <c r="C90" s="121" t="str">
        <f>IFERROR(INDEX('كشف الحساب'!$C$4:$C$354,MATCH(85,'كشف الحساب'!$P$4:$P$354,0)),"")</f>
        <v>عطريات عدد8 الحبه 1</v>
      </c>
      <c r="D90" s="123">
        <f>IFERROR(INDEX('كشف الحساب'!$E$4:$E$354,MATCH(85,'كشف الحساب'!$P$4:$P$354,0)),"")</f>
        <v>8</v>
      </c>
      <c r="E90" s="124">
        <f>IFERROR(INDEX('كشف الحساب'!$D$4:$D$354,MATCH(85,'كشف الحساب'!$P$4:$P$354,0)),"")</f>
        <v>0</v>
      </c>
      <c r="F90" s="125">
        <f t="shared" si="2"/>
        <v>36.550000000000011</v>
      </c>
    </row>
    <row r="91" spans="1:6" ht="18" customHeight="1" x14ac:dyDescent="0.25">
      <c r="A91" s="142">
        <f>IFERROR(INDEX('كشف الحساب'!$A$4:$A$354,MATCH(86,'كشف الحساب'!$P$4:$P$354,0)),"")</f>
        <v>46211</v>
      </c>
      <c r="B91" s="122" t="str">
        <f>IFERROR(INDEX('كشف الحساب'!$B$4:$B$354,MATCH(86,'كشف الحساب'!$P$4:$P$354,0)),"")</f>
        <v>Inv-86</v>
      </c>
      <c r="C91" s="121" t="str">
        <f>IFERROR(INDEX('كشف الحساب'!$C$4:$C$354,MATCH(86,'كشف الحساب'!$P$4:$P$354,0)),"")</f>
        <v>دارسينا سوداء عدد 12 الحبه 2</v>
      </c>
      <c r="D91" s="123">
        <f>IFERROR(INDEX('كشف الحساب'!$E$4:$E$354,MATCH(86,'كشف الحساب'!$P$4:$P$354,0)),"")</f>
        <v>24</v>
      </c>
      <c r="E91" s="124">
        <f>IFERROR(INDEX('كشف الحساب'!$D$4:$D$354,MATCH(86,'كشف الحساب'!$P$4:$P$354,0)),"")</f>
        <v>0</v>
      </c>
      <c r="F91" s="125">
        <f t="shared" si="2"/>
        <v>60.550000000000011</v>
      </c>
    </row>
    <row r="92" spans="1:6" ht="18" customHeight="1" x14ac:dyDescent="0.25">
      <c r="A92" s="142">
        <f>IFERROR(INDEX('كشف الحساب'!$A$4:$A$354,MATCH(87,'كشف الحساب'!$P$4:$P$354,0)),"")</f>
        <v>46211</v>
      </c>
      <c r="B92" s="122" t="str">
        <f>IFERROR(INDEX('كشف الحساب'!$B$4:$B$354,MATCH(87,'كشف الحساب'!$P$4:$P$354,0)),"")</f>
        <v>Inv-87</v>
      </c>
      <c r="C92" s="121" t="str">
        <f>IFERROR(INDEX('كشف الحساب'!$C$4:$C$354,MATCH(87,'كشف الحساب'!$P$4:$P$354,0)),"")</f>
        <v>عطريات عدد 8 الحبه 1</v>
      </c>
      <c r="D92" s="123">
        <f>IFERROR(INDEX('كشف الحساب'!$E$4:$E$354,MATCH(87,'كشف الحساب'!$P$4:$P$354,0)),"")</f>
        <v>8</v>
      </c>
      <c r="E92" s="124">
        <f>IFERROR(INDEX('كشف الحساب'!$D$4:$D$354,MATCH(87,'كشف الحساب'!$P$4:$P$354,0)),"")</f>
        <v>0</v>
      </c>
      <c r="F92" s="125">
        <f t="shared" si="2"/>
        <v>68.550000000000011</v>
      </c>
    </row>
    <row r="93" spans="1:6" ht="18" customHeight="1" x14ac:dyDescent="0.25">
      <c r="A93" s="142">
        <f>IFERROR(INDEX('كشف الحساب'!$A$4:$A$354,MATCH(88,'كشف الحساب'!$P$4:$P$354,0)),"")</f>
        <v>46212</v>
      </c>
      <c r="B93" s="122" t="str">
        <f>IFERROR(INDEX('كشف الحساب'!$B$4:$B$354,MATCH(88,'كشف الحساب'!$P$4:$P$354,0)),"")</f>
        <v>Inv-88</v>
      </c>
      <c r="C93" s="121" t="str">
        <f>IFERROR(INDEX('كشف الحساب'!$C$4:$C$354,MATCH(88,'كشف الحساب'!$P$4:$P$354,0)),"")</f>
        <v>دارسنا عدد1 الحبه 5</v>
      </c>
      <c r="D93" s="123">
        <f>IFERROR(INDEX('كشف الحساب'!$E$4:$E$354,MATCH(88,'كشف الحساب'!$P$4:$P$354,0)),"")</f>
        <v>5</v>
      </c>
      <c r="E93" s="124">
        <f>IFERROR(INDEX('كشف الحساب'!$D$4:$D$354,MATCH(88,'كشف الحساب'!$P$4:$P$354,0)),"")</f>
        <v>0</v>
      </c>
      <c r="F93" s="125">
        <f t="shared" si="2"/>
        <v>73.550000000000011</v>
      </c>
    </row>
    <row r="94" spans="1:6" ht="18" customHeight="1" x14ac:dyDescent="0.25">
      <c r="A94" s="142">
        <f>IFERROR(INDEX('كشف الحساب'!$A$4:$A$354,MATCH(89,'كشف الحساب'!$P$4:$P$354,0)),"")</f>
        <v>46212</v>
      </c>
      <c r="B94" s="122" t="str">
        <f>IFERROR(INDEX('كشف الحساب'!$B$4:$B$354,MATCH(89,'كشف الحساب'!$P$4:$P$354,0)),"")</f>
        <v>Inv-89</v>
      </c>
      <c r="C94" s="121" t="str">
        <f>IFERROR(INDEX('كشف الحساب'!$C$4:$C$354,MATCH(89,'كشف الحساب'!$P$4:$P$354,0)),"")</f>
        <v>فل عدد1 الحبه .750</v>
      </c>
      <c r="D94" s="123">
        <f>IFERROR(INDEX('كشف الحساب'!$E$4:$E$354,MATCH(89,'كشف الحساب'!$P$4:$P$354,0)),"")</f>
        <v>0.75</v>
      </c>
      <c r="E94" s="124">
        <f>IFERROR(INDEX('كشف الحساب'!$D$4:$D$354,MATCH(89,'كشف الحساب'!$P$4:$P$354,0)),"")</f>
        <v>0</v>
      </c>
      <c r="F94" s="125">
        <f t="shared" si="2"/>
        <v>74.300000000000011</v>
      </c>
    </row>
    <row r="95" spans="1:6" ht="18" customHeight="1" x14ac:dyDescent="0.25">
      <c r="A95" s="142">
        <f>IFERROR(INDEX('كشف الحساب'!$A$4:$A$354,MATCH(90,'كشف الحساب'!$P$4:$P$354,0)),"")</f>
        <v>46212</v>
      </c>
      <c r="B95" s="122" t="str">
        <f>IFERROR(INDEX('كشف الحساب'!$B$4:$B$354,MATCH(90,'كشف الحساب'!$P$4:$P$354,0)),"")</f>
        <v>Inv-90</v>
      </c>
      <c r="C95" s="121" t="str">
        <f>IFERROR(INDEX('كشف الحساب'!$C$4:$C$354,MATCH(90,'كشف الحساب'!$P$4:$P$354,0)),"")</f>
        <v>دارسينا عدد 1 الحبه 1.500</v>
      </c>
      <c r="D95" s="123">
        <f>IFERROR(INDEX('كشف الحساب'!$E$4:$E$354,MATCH(90,'كشف الحساب'!$P$4:$P$354,0)),"")</f>
        <v>1.5</v>
      </c>
      <c r="E95" s="124">
        <f>IFERROR(INDEX('كشف الحساب'!$D$4:$D$354,MATCH(90,'كشف الحساب'!$P$4:$P$354,0)),"")</f>
        <v>0</v>
      </c>
      <c r="F95" s="125">
        <f t="shared" si="2"/>
        <v>75.800000000000011</v>
      </c>
    </row>
    <row r="96" spans="1:6" ht="18" customHeight="1" x14ac:dyDescent="0.25">
      <c r="A96" s="142">
        <f>IFERROR(INDEX('كشف الحساب'!$A$4:$A$354,MATCH(91,'كشف الحساب'!$P$4:$P$354,0)),"")</f>
        <v>46212</v>
      </c>
      <c r="B96" s="122" t="str">
        <f>IFERROR(INDEX('كشف الحساب'!$B$4:$B$354,MATCH(91,'كشف الحساب'!$P$4:$P$354,0)),"")</f>
        <v>Inv-91</v>
      </c>
      <c r="C96" s="121" t="str">
        <f>IFERROR(INDEX('كشف الحساب'!$C$4:$C$354,MATCH(91,'كشف الحساب'!$P$4:$P$354,0)),"")</f>
        <v>افبوديا عدد الحبه 0.750</v>
      </c>
      <c r="D96" s="123">
        <f>IFERROR(INDEX('كشف الحساب'!$E$4:$E$354,MATCH(91,'كشف الحساب'!$P$4:$P$354,0)),"")</f>
        <v>0.75</v>
      </c>
      <c r="E96" s="124">
        <f>IFERROR(INDEX('كشف الحساب'!$D$4:$D$354,MATCH(91,'كشف الحساب'!$P$4:$P$354,0)),"")</f>
        <v>0</v>
      </c>
      <c r="F96" s="125">
        <f t="shared" si="2"/>
        <v>76.550000000000011</v>
      </c>
    </row>
    <row r="97" spans="1:6" ht="18" customHeight="1" x14ac:dyDescent="0.25">
      <c r="A97" s="142">
        <f>IFERROR(INDEX('كشف الحساب'!$A$4:$A$354,MATCH(92,'كشف الحساب'!$P$4:$P$354,0)),"")</f>
        <v>46212</v>
      </c>
      <c r="B97" s="122" t="str">
        <f>IFERROR(INDEX('كشف الحساب'!$B$4:$B$354,MATCH(92,'كشف الحساب'!$P$4:$P$354,0)),"")</f>
        <v>Inv-92</v>
      </c>
      <c r="C97" s="121" t="str">
        <f>IFERROR(INDEX('كشف الحساب'!$C$4:$C$354,MATCH(92,'كشف الحساب'!$P$4:$P$354,0)),"")</f>
        <v>عطريات عدد 1 الفحبه 1</v>
      </c>
      <c r="D97" s="123">
        <f>IFERROR(INDEX('كشف الحساب'!$E$4:$E$354,MATCH(92,'كشف الحساب'!$P$4:$P$354,0)),"")</f>
        <v>1</v>
      </c>
      <c r="E97" s="124">
        <f>IFERROR(INDEX('كشف الحساب'!$D$4:$D$354,MATCH(92,'كشف الحساب'!$P$4:$P$354,0)),"")</f>
        <v>0</v>
      </c>
      <c r="F97" s="125">
        <f t="shared" si="2"/>
        <v>77.550000000000011</v>
      </c>
    </row>
    <row r="98" spans="1:6" ht="18" customHeight="1" x14ac:dyDescent="0.25">
      <c r="A98" s="142">
        <f>IFERROR(INDEX('كشف الحساب'!$A$4:$A$354,MATCH(93,'كشف الحساب'!$P$4:$P$354,0)),"")</f>
        <v>46217</v>
      </c>
      <c r="B98" s="122" t="str">
        <f>IFERROR(INDEX('كشف الحساب'!$B$4:$B$354,MATCH(93,'كشف الحساب'!$P$4:$P$354,0)),"")</f>
        <v>Inv-93</v>
      </c>
      <c r="C98" s="121" t="str">
        <f>IFERROR(INDEX('كشف الحساب'!$C$4:$C$354,MATCH(93,'كشف الحساب'!$P$4:$P$354,0)),"")</f>
        <v>متنوع عدد 2 الحبه 2.500</v>
      </c>
      <c r="D98" s="123">
        <f>IFERROR(INDEX('كشف الحساب'!$E$4:$E$354,MATCH(93,'كشف الحساب'!$P$4:$P$354,0)),"")</f>
        <v>5</v>
      </c>
      <c r="E98" s="124">
        <f>IFERROR(INDEX('كشف الحساب'!$D$4:$D$354,MATCH(93,'كشف الحساب'!$P$4:$P$354,0)),"")</f>
        <v>0</v>
      </c>
      <c r="F98" s="125">
        <f t="shared" si="2"/>
        <v>82.550000000000011</v>
      </c>
    </row>
    <row r="99" spans="1:6" ht="18" customHeight="1" x14ac:dyDescent="0.25">
      <c r="A99" s="142">
        <f>IFERROR(INDEX('كشف الحساب'!$A$4:$A$354,MATCH(94,'كشف الحساب'!$P$4:$P$354,0)),"")</f>
        <v>46217</v>
      </c>
      <c r="B99" s="122" t="str">
        <f>IFERROR(INDEX('كشف الحساب'!$B$4:$B$354,MATCH(94,'كشف الحساب'!$P$4:$P$354,0)),"")</f>
        <v>Inv-94</v>
      </c>
      <c r="C99" s="121" t="str">
        <f>IFERROR(INDEX('كشف الحساب'!$C$4:$C$354,MATCH(94,'كشف الحساب'!$P$4:$P$354,0)),"")</f>
        <v>متنوع عدد 12 الحبه 2</v>
      </c>
      <c r="D99" s="123">
        <f>IFERROR(INDEX('كشف الحساب'!$E$4:$E$354,MATCH(94,'كشف الحساب'!$P$4:$P$354,0)),"")</f>
        <v>24</v>
      </c>
      <c r="E99" s="124">
        <f>IFERROR(INDEX('كشف الحساب'!$D$4:$D$354,MATCH(94,'كشف الحساب'!$P$4:$P$354,0)),"")</f>
        <v>0</v>
      </c>
      <c r="F99" s="125">
        <f t="shared" si="2"/>
        <v>106.55000000000001</v>
      </c>
    </row>
    <row r="100" spans="1:6" ht="18" customHeight="1" x14ac:dyDescent="0.25">
      <c r="A100" s="142">
        <f>IFERROR(INDEX('كشف الحساب'!$A$4:$A$354,MATCH(95,'كشف الحساب'!$P$4:$P$354,0)),"")</f>
        <v>46217</v>
      </c>
      <c r="B100" s="122">
        <f>IFERROR(INDEX('كشف الحساب'!$B$4:$B$354,MATCH(95,'كشف الحساب'!$P$4:$P$354,0)),"")</f>
        <v>0</v>
      </c>
      <c r="C100" s="121" t="str">
        <f>IFERROR(INDEX('كشف الحساب'!$C$4:$C$354,MATCH(95,'كشف الحساب'!$P$4:$P$354,0)),"")</f>
        <v>حبل تعليق</v>
      </c>
      <c r="D100" s="123">
        <f>IFERROR(INDEX('كشف الحساب'!$E$4:$E$354,MATCH(95,'كشف الحساب'!$P$4:$P$354,0)),"")</f>
        <v>0</v>
      </c>
      <c r="E100" s="124">
        <f>IFERROR(INDEX('كشف الحساب'!$D$4:$D$354,MATCH(95,'كشف الحساب'!$P$4:$P$354,0)),"")</f>
        <v>1.925</v>
      </c>
      <c r="F100" s="125">
        <f t="shared" si="2"/>
        <v>104.62500000000001</v>
      </c>
    </row>
    <row r="101" spans="1:6" ht="18" customHeight="1" x14ac:dyDescent="0.25">
      <c r="A101" s="142">
        <f>IFERROR(INDEX('كشف الحساب'!$A$4:$A$354,MATCH(96,'كشف الحساب'!$P$4:$P$354,0)),"")</f>
        <v>46219</v>
      </c>
      <c r="B101" s="122" t="str">
        <f>IFERROR(INDEX('كشف الحساب'!$B$4:$B$354,MATCH(96,'كشف الحساب'!$P$4:$P$354,0)),"")</f>
        <v>Inv-95</v>
      </c>
      <c r="C101" s="121" t="str">
        <f>IFERROR(INDEX('كشف الحساب'!$C$4:$C$354,MATCH(96,'كشف الحساب'!$P$4:$P$354,0)),"")</f>
        <v>ربل عدد 1 الحبه 2</v>
      </c>
      <c r="D101" s="123">
        <f>IFERROR(INDEX('كشف الحساب'!$E$4:$E$354,MATCH(96,'كشف الحساب'!$P$4:$P$354,0)),"")</f>
        <v>2</v>
      </c>
      <c r="E101" s="124">
        <f>IFERROR(INDEX('كشف الحساب'!$D$4:$D$354,MATCH(96,'كشف الحساب'!$P$4:$P$354,0)),"")</f>
        <v>0</v>
      </c>
      <c r="F101" s="125">
        <f t="shared" si="2"/>
        <v>106.62500000000001</v>
      </c>
    </row>
    <row r="102" spans="1:6" ht="18" customHeight="1" x14ac:dyDescent="0.25">
      <c r="A102" s="142">
        <f>IFERROR(INDEX('كشف الحساب'!$A$4:$A$354,MATCH(97,'كشف الحساب'!$P$4:$P$354,0)),"")</f>
        <v>46219</v>
      </c>
      <c r="B102" s="122" t="str">
        <f>IFERROR(INDEX('كشف الحساب'!$B$4:$B$354,MATCH(97,'كشف الحساب'!$P$4:$P$354,0)),"")</f>
        <v>Inv-96</v>
      </c>
      <c r="C102" s="121" t="str">
        <f>IFERROR(INDEX('كشف الحساب'!$C$4:$C$354,MATCH(97,'كشف الحساب'!$P$4:$P$354,0)),"")</f>
        <v xml:space="preserve">دارسينا عدد 1 الحبه 2 </v>
      </c>
      <c r="D102" s="123">
        <f>IFERROR(INDEX('كشف الحساب'!$E$4:$E$354,MATCH(97,'كشف الحساب'!$P$4:$P$354,0)),"")</f>
        <v>2</v>
      </c>
      <c r="E102" s="124">
        <f>IFERROR(INDEX('كشف الحساب'!$D$4:$D$354,MATCH(97,'كشف الحساب'!$P$4:$P$354,0)),"")</f>
        <v>0</v>
      </c>
      <c r="F102" s="125">
        <f t="shared" si="2"/>
        <v>108.62500000000001</v>
      </c>
    </row>
    <row r="103" spans="1:6" ht="18" customHeight="1" x14ac:dyDescent="0.25">
      <c r="A103" s="142">
        <f>IFERROR(INDEX('كشف الحساب'!$A$4:$A$354,MATCH(98,'كشف الحساب'!$P$4:$P$354,0)),"")</f>
        <v>46221</v>
      </c>
      <c r="B103" s="122" t="str">
        <f>IFERROR(INDEX('كشف الحساب'!$B$4:$B$354,MATCH(98,'كشف الحساب'!$P$4:$P$354,0)),"")</f>
        <v>Inv-97</v>
      </c>
      <c r="C103" s="121" t="str">
        <f>IFERROR(INDEX('كشف الحساب'!$C$4:$C$354,MATCH(98,'كشف الحساب'!$P$4:$P$354,0)),"")</f>
        <v>افوبيا عدد 1 الحبه 1</v>
      </c>
      <c r="D103" s="123">
        <f>IFERROR(INDEX('كشف الحساب'!$E$4:$E$354,MATCH(98,'كشف الحساب'!$P$4:$P$354,0)),"")</f>
        <v>1</v>
      </c>
      <c r="E103" s="124">
        <f>IFERROR(INDEX('كشف الحساب'!$D$4:$D$354,MATCH(98,'كشف الحساب'!$P$4:$P$354,0)),"")</f>
        <v>0</v>
      </c>
      <c r="F103" s="125">
        <f t="shared" ref="F103:F134" si="3">IF($A103="","",IF($F102="",0,$F102)+IF($D103="",0,$D103)-IF($E103="",0,$E103))</f>
        <v>109.62500000000001</v>
      </c>
    </row>
    <row r="104" spans="1:6" ht="18" customHeight="1" x14ac:dyDescent="0.25">
      <c r="A104" s="142">
        <f>IFERROR(INDEX('كشف الحساب'!$A$4:$A$354,MATCH(99,'كشف الحساب'!$P$4:$P$354,0)),"")</f>
        <v>46221</v>
      </c>
      <c r="B104" s="122" t="str">
        <f>IFERROR(INDEX('كشف الحساب'!$B$4:$B$354,MATCH(99,'كشف الحساب'!$P$4:$P$354,0)),"")</f>
        <v>Inv-98</v>
      </c>
      <c r="C104" s="121" t="str">
        <f>IFERROR(INDEX('كشف الحساب'!$C$4:$C$354,MATCH(99,'كشف الحساب'!$P$4:$P$354,0)),"")</f>
        <v>دارسينا عدد 1 الحبه 2</v>
      </c>
      <c r="D104" s="123">
        <f>IFERROR(INDEX('كشف الحساب'!$E$4:$E$354,MATCH(99,'كشف الحساب'!$P$4:$P$354,0)),"")</f>
        <v>2</v>
      </c>
      <c r="E104" s="124">
        <f>IFERROR(INDEX('كشف الحساب'!$D$4:$D$354,MATCH(99,'كشف الحساب'!$P$4:$P$354,0)),"")</f>
        <v>0</v>
      </c>
      <c r="F104" s="125">
        <f t="shared" si="3"/>
        <v>111.62500000000001</v>
      </c>
    </row>
    <row r="105" spans="1:6" ht="18" customHeight="1" x14ac:dyDescent="0.25">
      <c r="A105" s="142">
        <f>IFERROR(INDEX('كشف الحساب'!$A$4:$A$354,MATCH(100,'كشف الحساب'!$P$4:$P$354,0)),"")</f>
        <v>46224</v>
      </c>
      <c r="B105" s="122" t="str">
        <f>IFERROR(INDEX('كشف الحساب'!$B$4:$B$354,MATCH(100,'كشف الحساب'!$P$4:$P$354,0)),"")</f>
        <v>Inv-99</v>
      </c>
      <c r="C105" s="121" t="str">
        <f>IFERROR(INDEX('كشف الحساب'!$C$4:$C$354,MATCH(100,'كشف الحساب'!$P$4:$P$354,0)),"")</f>
        <v>افوبيا عدد 9 الحبه 1</v>
      </c>
      <c r="D105" s="123">
        <f>IFERROR(INDEX('كشف الحساب'!$E$4:$E$354,MATCH(100,'كشف الحساب'!$P$4:$P$354,0)),"")</f>
        <v>9</v>
      </c>
      <c r="E105" s="124">
        <f>IFERROR(INDEX('كشف الحساب'!$D$4:$D$354,MATCH(100,'كشف الحساب'!$P$4:$P$354,0)),"")</f>
        <v>0</v>
      </c>
      <c r="F105" s="125">
        <f t="shared" si="3"/>
        <v>120.62500000000001</v>
      </c>
    </row>
    <row r="106" spans="1:6" ht="18" customHeight="1" x14ac:dyDescent="0.25">
      <c r="A106" s="142">
        <f>IFERROR(INDEX('كشف الحساب'!$A$4:$A$354,MATCH(101,'كشف الحساب'!$P$4:$P$354,0)),"")</f>
        <v>46224</v>
      </c>
      <c r="B106" s="122" t="str">
        <f>IFERROR(INDEX('كشف الحساب'!$B$4:$B$354,MATCH(101,'كشف الحساب'!$P$4:$P$354,0)),"")</f>
        <v>Inv-100</v>
      </c>
      <c r="C106" s="121" t="str">
        <f>IFERROR(INDEX('كشف الحساب'!$C$4:$C$354,MATCH(101,'كشف الحساب'!$P$4:$P$354,0)),"")</f>
        <v>ربل عدد 11 الحبه 2</v>
      </c>
      <c r="D106" s="123">
        <f>IFERROR(INDEX('كشف الحساب'!$E$4:$E$354,MATCH(101,'كشف الحساب'!$P$4:$P$354,0)),"")</f>
        <v>22</v>
      </c>
      <c r="E106" s="124">
        <f>IFERROR(INDEX('كشف الحساب'!$D$4:$D$354,MATCH(101,'كشف الحساب'!$P$4:$P$354,0)),"")</f>
        <v>0</v>
      </c>
      <c r="F106" s="125">
        <f t="shared" si="3"/>
        <v>142.625</v>
      </c>
    </row>
    <row r="107" spans="1:6" ht="18" customHeight="1" x14ac:dyDescent="0.25">
      <c r="A107" s="142">
        <f>IFERROR(INDEX('كشف الحساب'!$A$4:$A$354,MATCH(102,'كشف الحساب'!$P$4:$P$354,0)),"")</f>
        <v>46225</v>
      </c>
      <c r="B107" s="122" t="str">
        <f>IFERROR(INDEX('كشف الحساب'!$B$4:$B$354,MATCH(102,'كشف الحساب'!$P$4:$P$354,0)),"")</f>
        <v>Inv-101</v>
      </c>
      <c r="C107" s="121" t="str">
        <f>IFERROR(INDEX('كشف الحساب'!$C$4:$C$354,MATCH(102,'كشف الحساب'!$P$4:$P$354,0)),"")</f>
        <v>افوبيا عدد2 الحبه 1</v>
      </c>
      <c r="D107" s="123">
        <f>IFERROR(INDEX('كشف الحساب'!$E$4:$E$354,MATCH(102,'كشف الحساب'!$P$4:$P$354,0)),"")</f>
        <v>2</v>
      </c>
      <c r="E107" s="124">
        <f>IFERROR(INDEX('كشف الحساب'!$D$4:$D$354,MATCH(102,'كشف الحساب'!$P$4:$P$354,0)),"")</f>
        <v>0</v>
      </c>
      <c r="F107" s="125">
        <f t="shared" si="3"/>
        <v>144.625</v>
      </c>
    </row>
    <row r="108" spans="1:6" ht="18" customHeight="1" x14ac:dyDescent="0.25">
      <c r="A108" s="142">
        <f>IFERROR(INDEX('كشف الحساب'!$A$4:$A$354,MATCH(103,'كشف الحساب'!$P$4:$P$354,0)),"")</f>
        <v>46227</v>
      </c>
      <c r="B108" s="122" t="str">
        <f>IFERROR(INDEX('كشف الحساب'!$B$4:$B$354,MATCH(103,'كشف الحساب'!$P$4:$P$354,0)),"")</f>
        <v>Inv-102</v>
      </c>
      <c r="C108" s="121" t="str">
        <f>IFERROR(INDEX('كشف الحساب'!$C$4:$C$354,MATCH(103,'كشف الحساب'!$P$4:$P$354,0)),"")</f>
        <v>متنوع عدد2 الحبه 1</v>
      </c>
      <c r="D108" s="123">
        <f>IFERROR(INDEX('كشف الحساب'!$E$4:$E$354,MATCH(103,'كشف الحساب'!$P$4:$P$354,0)),"")</f>
        <v>2</v>
      </c>
      <c r="E108" s="124">
        <f>IFERROR(INDEX('كشف الحساب'!$D$4:$D$354,MATCH(103,'كشف الحساب'!$P$4:$P$354,0)),"")</f>
        <v>0</v>
      </c>
      <c r="F108" s="125">
        <f t="shared" si="3"/>
        <v>146.625</v>
      </c>
    </row>
    <row r="109" spans="1:6" ht="18" customHeight="1" x14ac:dyDescent="0.25">
      <c r="A109" s="142">
        <f>IFERROR(INDEX('كشف الحساب'!$A$4:$A$354,MATCH(104,'كشف الحساب'!$P$4:$P$354,0)),"")</f>
        <v>46229</v>
      </c>
      <c r="B109" s="122">
        <f>IFERROR(INDEX('كشف الحساب'!$B$4:$B$354,MATCH(104,'كشف الحساب'!$P$4:$P$354,0)),"")</f>
        <v>0</v>
      </c>
      <c r="C109" s="121" t="str">
        <f>IFERROR(INDEX('كشف الحساب'!$C$4:$C$354,MATCH(104,'كشف الحساب'!$P$4:$P$354,0)),"")</f>
        <v>كوكوبيد</v>
      </c>
      <c r="D109" s="123">
        <f>IFERROR(INDEX('كشف الحساب'!$E$4:$E$354,MATCH(104,'كشف الحساب'!$P$4:$P$354,0)),"")</f>
        <v>0</v>
      </c>
      <c r="E109" s="124">
        <f>IFERROR(INDEX('كشف الحساب'!$D$4:$D$354,MATCH(104,'كشف الحساب'!$P$4:$P$354,0)),"")</f>
        <v>10</v>
      </c>
      <c r="F109" s="125">
        <f t="shared" si="3"/>
        <v>136.625</v>
      </c>
    </row>
    <row r="110" spans="1:6" ht="18" customHeight="1" x14ac:dyDescent="0.25">
      <c r="A110" s="142">
        <f>IFERROR(INDEX('كشف الحساب'!$A$4:$A$354,MATCH(105,'كشف الحساب'!$P$4:$P$354,0)),"")</f>
        <v>46229</v>
      </c>
      <c r="B110" s="122">
        <f>IFERROR(INDEX('كشف الحساب'!$B$4:$B$354,MATCH(105,'كشف الحساب'!$P$4:$P$354,0)),"")</f>
        <v>0</v>
      </c>
      <c r="C110" s="121" t="str">
        <f>IFERROR(INDEX('كشف الحساب'!$C$4:$C$354,MATCH(105,'كشف الحساب'!$P$4:$P$354,0)),"")</f>
        <v>احواض عدد 1000 مقاس 14 سم</v>
      </c>
      <c r="D110" s="123">
        <f>IFERROR(INDEX('كشف الحساب'!$E$4:$E$354,MATCH(105,'كشف الحساب'!$P$4:$P$354,0)),"")</f>
        <v>0</v>
      </c>
      <c r="E110" s="124">
        <f>IFERROR(INDEX('كشف الحساب'!$D$4:$D$354,MATCH(105,'كشف الحساب'!$P$4:$P$354,0)),"")</f>
        <v>20</v>
      </c>
      <c r="F110" s="125">
        <f t="shared" si="3"/>
        <v>116.625</v>
      </c>
    </row>
    <row r="111" spans="1:6" ht="18" customHeight="1" x14ac:dyDescent="0.25">
      <c r="A111" s="142">
        <f>IFERROR(INDEX('كشف الحساب'!$A$4:$A$354,MATCH(106,'كشف الحساب'!$P$4:$P$354,0)),"")</f>
        <v>46594</v>
      </c>
      <c r="B111" s="122" t="str">
        <f>IFERROR(INDEX('كشف الحساب'!$B$4:$B$354,MATCH(106,'كشف الحساب'!$P$4:$P$354,0)),"")</f>
        <v>Inv-103</v>
      </c>
      <c r="C111" s="121" t="str">
        <f>IFERROR(INDEX('كشف الحساب'!$C$4:$C$354,MATCH(106,'كشف الحساب'!$P$4:$P$354,0)),"")</f>
        <v>متفرقات</v>
      </c>
      <c r="D111" s="123">
        <f>IFERROR(INDEX('كشف الحساب'!$E$4:$E$354,MATCH(106,'كشف الحساب'!$P$4:$P$354,0)),"")</f>
        <v>7.5</v>
      </c>
      <c r="E111" s="124">
        <f>IFERROR(INDEX('كشف الحساب'!$D$4:$D$354,MATCH(106,'كشف الحساب'!$P$4:$P$354,0)),"")</f>
        <v>0</v>
      </c>
      <c r="F111" s="125">
        <f t="shared" si="3"/>
        <v>124.125</v>
      </c>
    </row>
    <row r="112" spans="1:6" ht="18" customHeight="1" x14ac:dyDescent="0.25">
      <c r="A112" s="142">
        <f>IFERROR(INDEX('كشف الحساب'!$A$4:$A$354,MATCH(107,'كشف الحساب'!$P$4:$P$354,0)),"")</f>
        <v>46229</v>
      </c>
      <c r="B112" s="122">
        <f>IFERROR(INDEX('كشف الحساب'!$B$4:$B$354,MATCH(107,'كشف الحساب'!$P$4:$P$354,0)),"")</f>
        <v>0</v>
      </c>
      <c r="C112" s="121" t="str">
        <f>IFERROR(INDEX('كشف الحساب'!$C$4:$C$354,MATCH(107,'كشف الحساب'!$P$4:$P$354,0)),"")</f>
        <v>تسوية رصيد فعلي - المتوفر 107.305 (صافي الشهر 99.075 + فائض عام 16.750)</v>
      </c>
      <c r="D112" s="123">
        <f>IFERROR(INDEX('كشف الحساب'!$E$4:$E$354,MATCH(107,'كشف الحساب'!$P$4:$P$354,0)),"")</f>
        <v>0</v>
      </c>
      <c r="E112" s="124">
        <f>IFERROR(INDEX('كشف الحساب'!$D$4:$D$354,MATCH(107,'كشف الحساب'!$P$4:$P$354,0)),"")</f>
        <v>16.82</v>
      </c>
      <c r="F112" s="125">
        <f t="shared" si="3"/>
        <v>107.30500000000001</v>
      </c>
    </row>
    <row r="113" spans="1:6" ht="18" customHeight="1" x14ac:dyDescent="0.25">
      <c r="A113" s="142">
        <f>IFERROR(INDEX('كشف الحساب'!$A$4:$A$354,MATCH(108,'كشف الحساب'!$P$4:$P$354,0)),"")</f>
        <v>46231</v>
      </c>
      <c r="B113" s="122" t="str">
        <f>IFERROR(INDEX('كشف الحساب'!$B$4:$B$354,MATCH(108,'كشف الحساب'!$P$4:$P$354,0)),"")</f>
        <v>Inv-104</v>
      </c>
      <c r="C113" s="121" t="str">
        <f>IFERROR(INDEX('كشف الحساب'!$C$4:$C$354,MATCH(108,'كشف الحساب'!$P$4:$P$354,0)),"")</f>
        <v>متنوع عدد 1 الحبه 2.500</v>
      </c>
      <c r="D113" s="123">
        <f>IFERROR(INDEX('كشف الحساب'!$E$4:$E$354,MATCH(108,'كشف الحساب'!$P$4:$P$354,0)),"")</f>
        <v>2.5</v>
      </c>
      <c r="E113" s="124">
        <f>IFERROR(INDEX('كشف الحساب'!$D$4:$D$354,MATCH(108,'كشف الحساب'!$P$4:$P$354,0)),"")</f>
        <v>0</v>
      </c>
      <c r="F113" s="125">
        <f t="shared" si="3"/>
        <v>109.80500000000001</v>
      </c>
    </row>
    <row r="114" spans="1:6" ht="18" customHeight="1" x14ac:dyDescent="0.25">
      <c r="A114" s="142">
        <f>IFERROR(INDEX('كشف الحساب'!$A$4:$A$354,MATCH(109,'كشف الحساب'!$P$4:$P$354,0)),"")</f>
        <v>46231</v>
      </c>
      <c r="B114" s="122" t="str">
        <f>IFERROR(INDEX('كشف الحساب'!$B$4:$B$354,MATCH(109,'كشف الحساب'!$P$4:$P$354,0)),"")</f>
        <v>Inv-105</v>
      </c>
      <c r="C114" s="121" t="str">
        <f>IFERROR(INDEX('كشف الحساب'!$C$4:$C$354,MATCH(109,'كشف الحساب'!$P$4:$P$354,0)),"")</f>
        <v>دارسينا عدد 1 الحبه 3</v>
      </c>
      <c r="D114" s="123">
        <f>IFERROR(INDEX('كشف الحساب'!$E$4:$E$354,MATCH(109,'كشف الحساب'!$P$4:$P$354,0)),"")</f>
        <v>3</v>
      </c>
      <c r="E114" s="124">
        <f>IFERROR(INDEX('كشف الحساب'!$D$4:$D$354,MATCH(109,'كشف الحساب'!$P$4:$P$354,0)),"")</f>
        <v>0</v>
      </c>
      <c r="F114" s="125">
        <f t="shared" si="3"/>
        <v>112.80500000000001</v>
      </c>
    </row>
    <row r="115" spans="1:6" ht="18" customHeight="1" x14ac:dyDescent="0.25">
      <c r="A115" s="142">
        <f>IFERROR(INDEX('كشف الحساب'!$A$4:$A$354,MATCH(110,'كشف الحساب'!$P$4:$P$354,0)),"")</f>
        <v>46232</v>
      </c>
      <c r="B115" s="122">
        <f>IFERROR(INDEX('كشف الحساب'!$B$4:$B$354,MATCH(110,'كشف الحساب'!$P$4:$P$354,0)),"")</f>
        <v>0</v>
      </c>
      <c r="C115" s="121" t="str">
        <f>IFERROR(INDEX('كشف الحساب'!$C$4:$C$354,MATCH(110,'كشف الحساب'!$P$4:$P$354,0)),"")</f>
        <v>عدد 3 عماله + 10 ايام العامل البديل 40 دينار</v>
      </c>
      <c r="D115" s="123">
        <f>IFERROR(INDEX('كشف الحساب'!$E$4:$E$354,MATCH(110,'كشف الحساب'!$P$4:$P$354,0)),"")</f>
        <v>0</v>
      </c>
      <c r="E115" s="124">
        <f>IFERROR(INDEX('كشف الحساب'!$D$4:$D$354,MATCH(110,'كشف الحساب'!$P$4:$P$354,0)),"")</f>
        <v>99</v>
      </c>
      <c r="F115" s="125">
        <f t="shared" si="3"/>
        <v>13.805000000000007</v>
      </c>
    </row>
    <row r="116" spans="1:6" ht="18" customHeight="1" x14ac:dyDescent="0.25">
      <c r="A116" s="142">
        <f>IFERROR(INDEX('كشف الحساب'!$A$4:$A$354,MATCH(111,'كشف الحساب'!$P$4:$P$354,0)),"")</f>
        <v>46234</v>
      </c>
      <c r="B116" s="122">
        <f>IFERROR(INDEX('كشف الحساب'!$B$4:$B$354,MATCH(111,'كشف الحساب'!$P$4:$P$354,0)),"")</f>
        <v>0</v>
      </c>
      <c r="C116" s="121" t="str">
        <f>IFERROR(INDEX('كشف الحساب'!$C$4:$C$354,MATCH(111,'كشف الحساب'!$P$4:$P$354,0)),"")</f>
        <v>تعديل رصيد</v>
      </c>
      <c r="D116" s="123">
        <f>IFERROR(INDEX('كشف الحساب'!$E$4:$E$354,MATCH(111,'كشف الحساب'!$P$4:$P$354,0)),"")</f>
        <v>8.59</v>
      </c>
      <c r="E116" s="124">
        <f>IFERROR(INDEX('كشف الحساب'!$D$4:$D$354,MATCH(111,'كشف الحساب'!$P$4:$P$354,0)),"")</f>
        <v>0</v>
      </c>
      <c r="F116" s="125">
        <f t="shared" si="3"/>
        <v>22.395000000000007</v>
      </c>
    </row>
    <row r="117" spans="1:6" ht="18" customHeight="1" x14ac:dyDescent="0.25">
      <c r="A117" s="142">
        <f>IFERROR(INDEX('كشف الحساب'!$A$4:$A$354,MATCH(112,'كشف الحساب'!$P$4:$P$354,0)),"")</f>
        <v>46235</v>
      </c>
      <c r="B117" s="122" t="str">
        <f>IFERROR(INDEX('كشف الحساب'!$B$4:$B$354,MATCH(112,'كشف الحساب'!$P$4:$P$354,0)),"")</f>
        <v>Inv-106</v>
      </c>
      <c r="C117" s="121" t="str">
        <f>IFERROR(INDEX('كشف الحساب'!$C$4:$C$354,MATCH(112,'كشف الحساب'!$P$4:$P$354,0)),"")</f>
        <v>ربل عدد 11 الحبه 2</v>
      </c>
      <c r="D117" s="123">
        <f>IFERROR(INDEX('كشف الحساب'!$E$4:$E$354,MATCH(112,'كشف الحساب'!$P$4:$P$354,0)),"")</f>
        <v>22</v>
      </c>
      <c r="E117" s="124">
        <f>IFERROR(INDEX('كشف الحساب'!$D$4:$D$354,MATCH(112,'كشف الحساب'!$P$4:$P$354,0)),"")</f>
        <v>0</v>
      </c>
      <c r="F117" s="125">
        <f t="shared" si="3"/>
        <v>44.39500000000001</v>
      </c>
    </row>
    <row r="118" spans="1:6" ht="18" customHeight="1" x14ac:dyDescent="0.25">
      <c r="A118" s="142">
        <f>IFERROR(INDEX('كشف الحساب'!$A$4:$A$354,MATCH(113,'كشف الحساب'!$P$4:$P$354,0)),"")</f>
        <v>46235</v>
      </c>
      <c r="B118" s="122" t="str">
        <f>IFERROR(INDEX('كشف الحساب'!$B$4:$B$354,MATCH(113,'كشف الحساب'!$P$4:$P$354,0)),"")</f>
        <v>Inv-107</v>
      </c>
      <c r="C118" s="121" t="str">
        <f>IFERROR(INDEX('كشف الحساب'!$C$4:$C$354,MATCH(113,'كشف الحساب'!$P$4:$P$354,0)),"")</f>
        <v>متنوع عدد 1 بقيمه 2.500</v>
      </c>
      <c r="D118" s="123">
        <f>IFERROR(INDEX('كشف الحساب'!$E$4:$E$354,MATCH(113,'كشف الحساب'!$P$4:$P$354,0)),"")</f>
        <v>2.5</v>
      </c>
      <c r="E118" s="124">
        <f>IFERROR(INDEX('كشف الحساب'!$D$4:$D$354,MATCH(113,'كشف الحساب'!$P$4:$P$354,0)),"")</f>
        <v>0</v>
      </c>
      <c r="F118" s="125">
        <f t="shared" si="3"/>
        <v>46.89500000000001</v>
      </c>
    </row>
    <row r="119" spans="1:6" ht="18" customHeight="1" x14ac:dyDescent="0.25">
      <c r="A119" s="142">
        <f>IFERROR(INDEX('كشف الحساب'!$A$4:$A$354,MATCH(114,'كشف الحساب'!$P$4:$P$354,0)),"")</f>
        <v>46235</v>
      </c>
      <c r="B119" s="122" t="str">
        <f>IFERROR(INDEX('كشف الحساب'!$B$4:$B$354,MATCH(114,'كشف الحساب'!$P$4:$P$354,0)),"")</f>
        <v>Inv-108</v>
      </c>
      <c r="C119" s="121" t="str">
        <f>IFERROR(INDEX('كشف الحساب'!$C$4:$C$354,MATCH(114,'كشف الحساب'!$P$4:$P$354,0)),"")</f>
        <v>فل عدد 1 بقيمه .750</v>
      </c>
      <c r="D119" s="123">
        <f>IFERROR(INDEX('كشف الحساب'!$E$4:$E$354,MATCH(114,'كشف الحساب'!$P$4:$P$354,0)),"")</f>
        <v>0.75</v>
      </c>
      <c r="E119" s="124">
        <f>IFERROR(INDEX('كشف الحساب'!$D$4:$D$354,MATCH(114,'كشف الحساب'!$P$4:$P$354,0)),"")</f>
        <v>0</v>
      </c>
      <c r="F119" s="125">
        <f t="shared" si="3"/>
        <v>47.64500000000001</v>
      </c>
    </row>
    <row r="120" spans="1:6" ht="18" customHeight="1" x14ac:dyDescent="0.25">
      <c r="A120" s="142">
        <f>IFERROR(INDEX('كشف الحساب'!$A$4:$A$354,MATCH(115,'كشف الحساب'!$P$4:$P$354,0)),"")</f>
        <v>46235</v>
      </c>
      <c r="B120" s="122">
        <f>IFERROR(INDEX('كشف الحساب'!$B$4:$B$354,MATCH(115,'كشف الحساب'!$P$4:$P$354,0)),"")</f>
        <v>0</v>
      </c>
      <c r="C120" s="121" t="str">
        <f>IFERROR(INDEX('كشف الحساب'!$C$4:$C$354,MATCH(115,'كشف الحساب'!$P$4:$P$354,0)),"")</f>
        <v>بتموس عدد 2 الواحده 12</v>
      </c>
      <c r="D120" s="123">
        <f>IFERROR(INDEX('كشف الحساب'!$E$4:$E$354,MATCH(115,'كشف الحساب'!$P$4:$P$354,0)),"")</f>
        <v>0</v>
      </c>
      <c r="E120" s="124">
        <f>IFERROR(INDEX('كشف الحساب'!$D$4:$D$354,MATCH(115,'كشف الحساب'!$P$4:$P$354,0)),"")</f>
        <v>24</v>
      </c>
      <c r="F120" s="125">
        <f t="shared" si="3"/>
        <v>23.64500000000001</v>
      </c>
    </row>
    <row r="121" spans="1:6" ht="18" customHeight="1" x14ac:dyDescent="0.25">
      <c r="A121" s="142">
        <f>IFERROR(INDEX('كشف الحساب'!$A$4:$A$354,MATCH(116,'كشف الحساب'!$P$4:$P$354,0)),"")</f>
        <v>46239</v>
      </c>
      <c r="B121" s="122" t="str">
        <f>IFERROR(INDEX('كشف الحساب'!$B$4:$B$354,MATCH(116,'كشف الحساب'!$P$4:$P$354,0)),"")</f>
        <v>Inv-109</v>
      </c>
      <c r="C121" s="121" t="str">
        <f>IFERROR(INDEX('كشف الحساب'!$C$4:$C$354,MATCH(116,'كشف الحساب'!$P$4:$P$354,0)),"")</f>
        <v>متنوع عدد 1 الحبه 1</v>
      </c>
      <c r="D121" s="123">
        <f>IFERROR(INDEX('كشف الحساب'!$E$4:$E$354,MATCH(116,'كشف الحساب'!$P$4:$P$354,0)),"")</f>
        <v>1</v>
      </c>
      <c r="E121" s="124">
        <f>IFERROR(INDEX('كشف الحساب'!$D$4:$D$354,MATCH(116,'كشف الحساب'!$P$4:$P$354,0)),"")</f>
        <v>0</v>
      </c>
      <c r="F121" s="125">
        <f t="shared" si="3"/>
        <v>24.64500000000001</v>
      </c>
    </row>
    <row r="122" spans="1:6" ht="18" customHeight="1" x14ac:dyDescent="0.25">
      <c r="A122" s="142">
        <f>IFERROR(INDEX('كشف الحساب'!$A$4:$A$354,MATCH(117,'كشف الحساب'!$P$4:$P$354,0)),"")</f>
        <v>46240</v>
      </c>
      <c r="B122" s="122" t="str">
        <f>IFERROR(INDEX('كشف الحساب'!$B$4:$B$354,MATCH(117,'كشف الحساب'!$P$4:$P$354,0)),"")</f>
        <v>Inv-110</v>
      </c>
      <c r="C122" s="121" t="str">
        <f>IFERROR(INDEX('كشف الحساب'!$C$4:$C$354,MATCH(117,'كشف الحساب'!$P$4:$P$354,0)),"")</f>
        <v>متنوع عدد10 الحبه 1</v>
      </c>
      <c r="D122" s="123">
        <f>IFERROR(INDEX('كشف الحساب'!$E$4:$E$354,MATCH(117,'كشف الحساب'!$P$4:$P$354,0)),"")</f>
        <v>10</v>
      </c>
      <c r="E122" s="124">
        <f>IFERROR(INDEX('كشف الحساب'!$D$4:$D$354,MATCH(117,'كشف الحساب'!$P$4:$P$354,0)),"")</f>
        <v>0</v>
      </c>
      <c r="F122" s="125">
        <f t="shared" si="3"/>
        <v>34.64500000000001</v>
      </c>
    </row>
    <row r="123" spans="1:6" ht="18" customHeight="1" x14ac:dyDescent="0.25">
      <c r="A123" s="142">
        <f>IFERROR(INDEX('كشف الحساب'!$A$4:$A$354,MATCH(118,'كشف الحساب'!$P$4:$P$354,0)),"")</f>
        <v>46240</v>
      </c>
      <c r="B123" s="122" t="str">
        <f>IFERROR(INDEX('كشف الحساب'!$B$4:$B$354,MATCH(118,'كشف الحساب'!$P$4:$P$354,0)),"")</f>
        <v>Inv-111</v>
      </c>
      <c r="C123" s="121" t="str">
        <f>IFERROR(INDEX('كشف الحساب'!$C$4:$C$354,MATCH(118,'كشف الحساب'!$P$4:$P$354,0)),"")</f>
        <v>متنوع 6 عدد 1</v>
      </c>
      <c r="D123" s="123">
        <f>IFERROR(INDEX('كشف الحساب'!$E$4:$E$354,MATCH(118,'كشف الحساب'!$P$4:$P$354,0)),"")</f>
        <v>6</v>
      </c>
      <c r="E123" s="124">
        <f>IFERROR(INDEX('كشف الحساب'!$D$4:$D$354,MATCH(118,'كشف الحساب'!$P$4:$P$354,0)),"")</f>
        <v>0</v>
      </c>
      <c r="F123" s="125">
        <f t="shared" si="3"/>
        <v>40.64500000000001</v>
      </c>
    </row>
    <row r="124" spans="1:6" ht="18" customHeight="1" x14ac:dyDescent="0.25">
      <c r="A124" s="142">
        <f>IFERROR(INDEX('كشف الحساب'!$A$4:$A$354,MATCH(119,'كشف الحساب'!$P$4:$P$354,0)),"")</f>
        <v>46240</v>
      </c>
      <c r="B124" s="122" t="str">
        <f>IFERROR(INDEX('كشف الحساب'!$B$4:$B$354,MATCH(119,'كشف الحساب'!$P$4:$P$354,0)),"")</f>
        <v>Inv-112</v>
      </c>
      <c r="C124" s="121" t="str">
        <f>IFERROR(INDEX('كشف الحساب'!$C$4:$C$354,MATCH(119,'كشف الحساب'!$P$4:$P$354,0)),"")</f>
        <v>ربل عدد 15 الحبه2</v>
      </c>
      <c r="D124" s="123">
        <f>IFERROR(INDEX('كشف الحساب'!$E$4:$E$354,MATCH(119,'كشف الحساب'!$P$4:$P$354,0)),"")</f>
        <v>29</v>
      </c>
      <c r="E124" s="124">
        <f>IFERROR(INDEX('كشف الحساب'!$D$4:$D$354,MATCH(119,'كشف الحساب'!$P$4:$P$354,0)),"")</f>
        <v>0</v>
      </c>
      <c r="F124" s="125">
        <f t="shared" si="3"/>
        <v>69.64500000000001</v>
      </c>
    </row>
    <row r="125" spans="1:6" ht="18" customHeight="1" x14ac:dyDescent="0.25">
      <c r="A125" s="142">
        <f>IFERROR(INDEX('كشف الحساب'!$A$4:$A$354,MATCH(120,'كشف الحساب'!$P$4:$P$354,0)),"")</f>
        <v>46240</v>
      </c>
      <c r="B125" s="122">
        <f>IFERROR(INDEX('كشف الحساب'!$B$4:$B$354,MATCH(120,'كشف الحساب'!$P$4:$P$354,0)),"")</f>
        <v>0</v>
      </c>
      <c r="C125" s="121" t="str">
        <f>IFERROR(INDEX('كشف الحساب'!$C$4:$C$354,MATCH(120,'كشف الحساب'!$P$4:$P$354,0)),"")</f>
        <v>كيميكل للمعالج</v>
      </c>
      <c r="D125" s="123">
        <f>IFERROR(INDEX('كشف الحساب'!$E$4:$E$354,MATCH(120,'كشف الحساب'!$P$4:$P$354,0)),"")</f>
        <v>0</v>
      </c>
      <c r="E125" s="124">
        <f>IFERROR(INDEX('كشف الحساب'!$D$4:$D$354,MATCH(120,'كشف الحساب'!$P$4:$P$354,0)),"")</f>
        <v>29</v>
      </c>
      <c r="F125" s="125">
        <f t="shared" si="3"/>
        <v>40.64500000000001</v>
      </c>
    </row>
    <row r="126" spans="1:6" ht="18" customHeight="1" x14ac:dyDescent="0.25">
      <c r="A126" s="142">
        <f>IFERROR(INDEX('كشف الحساب'!$A$4:$A$354,MATCH(121,'كشف الحساب'!$P$4:$P$354,0)),"")</f>
        <v>46240</v>
      </c>
      <c r="B126" s="122">
        <f>IFERROR(INDEX('كشف الحساب'!$B$4:$B$354,MATCH(121,'كشف الحساب'!$P$4:$P$354,0)),"")</f>
        <v>0</v>
      </c>
      <c r="C126" s="121" t="str">
        <f>IFERROR(INDEX('كشف الحساب'!$C$4:$C$354,MATCH(121,'كشف الحساب'!$P$4:$P$354,0)),"")</f>
        <v>ترمستات الثلاجه الكبيره</v>
      </c>
      <c r="D126" s="123">
        <f>IFERROR(INDEX('كشف الحساب'!$E$4:$E$354,MATCH(121,'كشف الحساب'!$P$4:$P$354,0)),"")</f>
        <v>0</v>
      </c>
      <c r="E126" s="124">
        <f>IFERROR(INDEX('كشف الحساب'!$D$4:$D$354,MATCH(121,'كشف الحساب'!$P$4:$P$354,0)),"")</f>
        <v>5.75</v>
      </c>
      <c r="F126" s="125">
        <f t="shared" si="3"/>
        <v>34.89500000000001</v>
      </c>
    </row>
    <row r="127" spans="1:6" ht="18" customHeight="1" x14ac:dyDescent="0.25">
      <c r="A127" s="142">
        <f>IFERROR(INDEX('كشف الحساب'!$A$4:$A$354,MATCH(122,'كشف الحساب'!$P$4:$P$354,0)),"")</f>
        <v>46244</v>
      </c>
      <c r="B127" s="122" t="str">
        <f>IFERROR(INDEX('كشف الحساب'!$B$4:$B$354,MATCH(122,'كشف الحساب'!$P$4:$P$354,0)),"")</f>
        <v>Inv-113</v>
      </c>
      <c r="C127" s="121" t="str">
        <f>IFERROR(INDEX('كشف الحساب'!$C$4:$C$354,MATCH(122,'كشف الحساب'!$P$4:$P$354,0)),"")</f>
        <v>ربل  عدد 40 الحبه 2.250</v>
      </c>
      <c r="D127" s="123">
        <f>IFERROR(INDEX('كشف الحساب'!$E$4:$E$354,MATCH(122,'كشف الحساب'!$P$4:$P$354,0)),"")</f>
        <v>90</v>
      </c>
      <c r="E127" s="124">
        <f>IFERROR(INDEX('كشف الحساب'!$D$4:$D$354,MATCH(122,'كشف الحساب'!$P$4:$P$354,0)),"")</f>
        <v>0</v>
      </c>
      <c r="F127" s="125">
        <f t="shared" si="3"/>
        <v>124.89500000000001</v>
      </c>
    </row>
    <row r="128" spans="1:6" ht="18" customHeight="1" x14ac:dyDescent="0.25">
      <c r="A128" s="142">
        <f>IFERROR(INDEX('كشف الحساب'!$A$4:$A$354,MATCH(123,'كشف الحساب'!$P$4:$P$354,0)),"")</f>
        <v>46244</v>
      </c>
      <c r="B128" s="122" t="str">
        <f>IFERROR(INDEX('كشف الحساب'!$B$4:$B$354,MATCH(123,'كشف الحساب'!$P$4:$P$354,0)),"")</f>
        <v>Inv-114</v>
      </c>
      <c r="C128" s="121" t="str">
        <f>IFERROR(INDEX('كشف الحساب'!$C$4:$C$354,MATCH(123,'كشف الحساب'!$P$4:$P$354,0)),"")</f>
        <v>متنوع 8 الحبه 1</v>
      </c>
      <c r="D128" s="123">
        <f>IFERROR(INDEX('كشف الحساب'!$E$4:$E$354,MATCH(123,'كشف الحساب'!$P$4:$P$354,0)),"")</f>
        <v>8</v>
      </c>
      <c r="E128" s="124">
        <f>IFERROR(INDEX('كشف الحساب'!$D$4:$D$354,MATCH(123,'كشف الحساب'!$P$4:$P$354,0)),"")</f>
        <v>0</v>
      </c>
      <c r="F128" s="125">
        <f t="shared" si="3"/>
        <v>132.89500000000001</v>
      </c>
    </row>
    <row r="129" spans="1:6" ht="18" customHeight="1" x14ac:dyDescent="0.25">
      <c r="A129" s="142">
        <f>IFERROR(INDEX('كشف الحساب'!$A$4:$A$354,MATCH(124,'كشف الحساب'!$P$4:$P$354,0)),"")</f>
        <v>46245</v>
      </c>
      <c r="B129" s="122">
        <f>IFERROR(INDEX('كشف الحساب'!$B$4:$B$354,MATCH(124,'كشف الحساب'!$P$4:$P$354,0)),"")</f>
        <v>0</v>
      </c>
      <c r="C129" s="121" t="str">
        <f>IFERROR(INDEX('كشف الحساب'!$C$4:$C$354,MATCH(124,'كشف الحساب'!$P$4:$P$354,0)),"")</f>
        <v>احواض معلقه + كوكوبيت</v>
      </c>
      <c r="D129" s="123">
        <f>IFERROR(INDEX('كشف الحساب'!$E$4:$E$354,MATCH(124,'كشف الحساب'!$P$4:$P$354,0)),"")</f>
        <v>0</v>
      </c>
      <c r="E129" s="124">
        <f>IFERROR(INDEX('كشف الحساب'!$D$4:$D$354,MATCH(124,'كشف الحساب'!$P$4:$P$354,0)),"")</f>
        <v>55</v>
      </c>
      <c r="F129" s="125">
        <f t="shared" si="3"/>
        <v>77.89500000000001</v>
      </c>
    </row>
    <row r="130" spans="1:6" ht="18" customHeight="1" x14ac:dyDescent="0.25">
      <c r="A130" s="142">
        <f>IFERROR(INDEX('كشف الحساب'!$A$4:$A$354,MATCH(125,'كشف الحساب'!$P$4:$P$354,0)),"")</f>
        <v>46245</v>
      </c>
      <c r="B130" s="122">
        <f>IFERROR(INDEX('كشف الحساب'!$B$4:$B$354,MATCH(125,'كشف الحساب'!$P$4:$P$354,0)),"")</f>
        <v>0</v>
      </c>
      <c r="C130" s="121" t="str">
        <f>IFERROR(INDEX('كشف الحساب'!$C$4:$C$354,MATCH(125,'كشف الحساب'!$P$4:$P$354,0)),"")</f>
        <v>15-15-15 خرماشه</v>
      </c>
      <c r="D130" s="123">
        <f>IFERROR(INDEX('كشف الحساب'!$E$4:$E$354,MATCH(125,'كشف الحساب'!$P$4:$P$354,0)),"")</f>
        <v>0</v>
      </c>
      <c r="E130" s="124">
        <f>IFERROR(INDEX('كشف الحساب'!$D$4:$D$354,MATCH(125,'كشف الحساب'!$P$4:$P$354,0)),"")</f>
        <v>7.6749999999999998</v>
      </c>
      <c r="F130" s="125">
        <f t="shared" si="3"/>
        <v>70.220000000000013</v>
      </c>
    </row>
    <row r="131" spans="1:6" ht="18" customHeight="1" x14ac:dyDescent="0.25">
      <c r="A131" s="142">
        <f>IFERROR(INDEX('كشف الحساب'!$A$4:$A$354,MATCH(126,'كشف الحساب'!$P$4:$P$354,0)),"")</f>
        <v>46247</v>
      </c>
      <c r="B131" s="122">
        <f>IFERROR(INDEX('كشف الحساب'!$B$4:$B$354,MATCH(126,'كشف الحساب'!$P$4:$P$354,0)),"")</f>
        <v>0</v>
      </c>
      <c r="C131" s="121" t="str">
        <f>IFERROR(INDEX('كشف الحساب'!$C$4:$C$354,MATCH(126,'كشف الحساب'!$P$4:$P$354,0)),"")</f>
        <v>هرمون تدير</v>
      </c>
      <c r="D131" s="123">
        <f>IFERROR(INDEX('كشف الحساب'!$E$4:$E$354,MATCH(126,'كشف الحساب'!$P$4:$P$354,0)),"")</f>
        <v>0</v>
      </c>
      <c r="E131" s="124">
        <f>IFERROR(INDEX('كشف الحساب'!$D$4:$D$354,MATCH(126,'كشف الحساب'!$P$4:$P$354,0)),"")</f>
        <v>4</v>
      </c>
      <c r="F131" s="125">
        <f t="shared" si="3"/>
        <v>66.220000000000013</v>
      </c>
    </row>
    <row r="132" spans="1:6" ht="18" customHeight="1" x14ac:dyDescent="0.25">
      <c r="A132" s="142">
        <f>IFERROR(INDEX('كشف الحساب'!$A$4:$A$354,MATCH(127,'كشف الحساب'!$P$4:$P$354,0)),"")</f>
        <v>46247</v>
      </c>
      <c r="B132" s="122">
        <f>IFERROR(INDEX('كشف الحساب'!$B$4:$B$354,MATCH(127,'كشف الحساب'!$P$4:$P$354,0)),"")</f>
        <v>0</v>
      </c>
      <c r="C132" s="121" t="str">
        <f>IFERROR(INDEX('كشف الحساب'!$C$4:$C$354,MATCH(127,'كشف الحساب'!$P$4:$P$354,0)),"")</f>
        <v>احواض مقاس 14 عدد 1000</v>
      </c>
      <c r="D132" s="123">
        <f>IFERROR(INDEX('كشف الحساب'!$E$4:$E$354,MATCH(127,'كشف الحساب'!$P$4:$P$354,0)),"")</f>
        <v>0</v>
      </c>
      <c r="E132" s="124">
        <f>IFERROR(INDEX('كشف الحساب'!$D$4:$D$354,MATCH(127,'كشف الحساب'!$P$4:$P$354,0)),"")</f>
        <v>20</v>
      </c>
      <c r="F132" s="125">
        <f t="shared" si="3"/>
        <v>46.220000000000013</v>
      </c>
    </row>
    <row r="133" spans="1:6" ht="18" customHeight="1" x14ac:dyDescent="0.25">
      <c r="A133" s="142">
        <f>IFERROR(INDEX('كشف الحساب'!$A$4:$A$354,MATCH(128,'كشف الحساب'!$P$4:$P$354,0)),"")</f>
        <v>46247</v>
      </c>
      <c r="B133" s="122">
        <f>IFERROR(INDEX('كشف الحساب'!$B$4:$B$354,MATCH(128,'كشف الحساب'!$P$4:$P$354,0)),"")</f>
        <v>0</v>
      </c>
      <c r="C133" s="121" t="str">
        <f>IFERROR(INDEX('كشف الحساب'!$C$4:$C$354,MATCH(128,'كشف الحساب'!$P$4:$P$354,0)),"")</f>
        <v>وصلات</v>
      </c>
      <c r="D133" s="123">
        <f>IFERROR(INDEX('كشف الحساب'!$E$4:$E$354,MATCH(128,'كشف الحساب'!$P$4:$P$354,0)),"")</f>
        <v>0</v>
      </c>
      <c r="E133" s="124">
        <f>IFERROR(INDEX('كشف الحساب'!$D$4:$D$354,MATCH(128,'كشف الحساب'!$P$4:$P$354,0)),"")</f>
        <v>0.9</v>
      </c>
      <c r="F133" s="125">
        <f t="shared" si="3"/>
        <v>45.320000000000014</v>
      </c>
    </row>
    <row r="134" spans="1:6" ht="18" customHeight="1" x14ac:dyDescent="0.25">
      <c r="A134" s="142">
        <f>IFERROR(INDEX('كشف الحساب'!$A$4:$A$354,MATCH(129,'كشف الحساب'!$P$4:$P$354,0)),"")</f>
        <v>46249</v>
      </c>
      <c r="B134" s="122">
        <f>IFERROR(INDEX('كشف الحساب'!$B$4:$B$354,MATCH(129,'كشف الحساب'!$P$4:$P$354,0)),"")</f>
        <v>0</v>
      </c>
      <c r="C134" s="121" t="str">
        <f>IFERROR(INDEX('كشف الحساب'!$C$4:$C$354,MATCH(129,'كشف الحساب'!$P$4:$P$354,0)),"")</f>
        <v>وصلات وحنفيه</v>
      </c>
      <c r="D134" s="123">
        <f>IFERROR(INDEX('كشف الحساب'!$E$4:$E$354,MATCH(129,'كشف الحساب'!$P$4:$P$354,0)),"")</f>
        <v>0</v>
      </c>
      <c r="E134" s="124">
        <f>IFERROR(INDEX('كشف الحساب'!$D$4:$D$354,MATCH(129,'كشف الحساب'!$P$4:$P$354,0)),"")</f>
        <v>2</v>
      </c>
      <c r="F134" s="125">
        <f t="shared" si="3"/>
        <v>43.320000000000014</v>
      </c>
    </row>
    <row r="135" spans="1:6" ht="18" customHeight="1" x14ac:dyDescent="0.25">
      <c r="A135" s="142">
        <f>IFERROR(INDEX('كشف الحساب'!$A$4:$A$354,MATCH(130,'كشف الحساب'!$P$4:$P$354,0)),"")</f>
        <v>46252</v>
      </c>
      <c r="B135" s="122" t="str">
        <f>IFERROR(INDEX('كشف الحساب'!$B$4:$B$354,MATCH(130,'كشف الحساب'!$P$4:$P$354,0)),"")</f>
        <v>Inv-115</v>
      </c>
      <c r="C135" s="121" t="str">
        <f>IFERROR(INDEX('كشف الحساب'!$C$4:$C$354,MATCH(130,'كشف الحساب'!$P$4:$P$354,0)),"")</f>
        <v>فل عدد 14 الحبه .750</v>
      </c>
      <c r="D135" s="123">
        <f>IFERROR(INDEX('كشف الحساب'!$E$4:$E$354,MATCH(130,'كشف الحساب'!$P$4:$P$354,0)),"")</f>
        <v>10.5</v>
      </c>
      <c r="E135" s="124">
        <f>IFERROR(INDEX('كشف الحساب'!$D$4:$D$354,MATCH(130,'كشف الحساب'!$P$4:$P$354,0)),"")</f>
        <v>0</v>
      </c>
      <c r="F135" s="125">
        <f t="shared" ref="F135:F166" si="4">IF($A135="","",IF($F134="",0,$F134)+IF($D135="",0,$D135)-IF($E135="",0,$E135))</f>
        <v>53.820000000000014</v>
      </c>
    </row>
    <row r="136" spans="1:6" ht="18" customHeight="1" x14ac:dyDescent="0.25">
      <c r="A136" s="142">
        <f>IFERROR(INDEX('كشف الحساب'!$A$4:$A$354,MATCH(131,'كشف الحساب'!$P$4:$P$354,0)),"")</f>
        <v>46252</v>
      </c>
      <c r="B136" s="122" t="str">
        <f>IFERROR(INDEX('كشف الحساب'!$B$4:$B$354,MATCH(131,'كشف الحساب'!$P$4:$P$354,0)),"")</f>
        <v>Inv-116</v>
      </c>
      <c r="C136" s="121" t="str">
        <f>IFERROR(INDEX('كشف الحساب'!$C$4:$C$354,MATCH(131,'كشف الحساب'!$P$4:$P$354,0)),"")</f>
        <v>متنوع عدد 1 الحبه 2.500</v>
      </c>
      <c r="D136" s="123">
        <f>IFERROR(INDEX('كشف الحساب'!$E$4:$E$354,MATCH(131,'كشف الحساب'!$P$4:$P$354,0)),"")</f>
        <v>2.5</v>
      </c>
      <c r="E136" s="124">
        <f>IFERROR(INDEX('كشف الحساب'!$D$4:$D$354,MATCH(131,'كشف الحساب'!$P$4:$P$354,0)),"")</f>
        <v>0</v>
      </c>
      <c r="F136" s="125">
        <f t="shared" si="4"/>
        <v>56.320000000000014</v>
      </c>
    </row>
    <row r="137" spans="1:6" ht="18" customHeight="1" x14ac:dyDescent="0.25">
      <c r="A137" s="142">
        <f>IFERROR(INDEX('كشف الحساب'!$A$4:$A$354,MATCH(132,'كشف الحساب'!$P$4:$P$354,0)),"")</f>
        <v>46258</v>
      </c>
      <c r="B137" s="122" t="str">
        <f>IFERROR(INDEX('كشف الحساب'!$B$4:$B$354,MATCH(132,'كشف الحساب'!$P$4:$P$354,0)),"")</f>
        <v>Inv-117</v>
      </c>
      <c r="C137" s="121" t="str">
        <f>IFERROR(INDEX('كشف الحساب'!$C$4:$C$354,MATCH(132,'كشف الحساب'!$P$4:$P$354,0)),"")</f>
        <v>ربل عدد 10 الحبه 2.250</v>
      </c>
      <c r="D137" s="123">
        <f>IFERROR(INDEX('كشف الحساب'!$E$4:$E$354,MATCH(132,'كشف الحساب'!$P$4:$P$354,0)),"")</f>
        <v>22.5</v>
      </c>
      <c r="E137" s="124">
        <f>IFERROR(INDEX('كشف الحساب'!$D$4:$D$354,MATCH(132,'كشف الحساب'!$P$4:$P$354,0)),"")</f>
        <v>0</v>
      </c>
      <c r="F137" s="125">
        <f t="shared" si="4"/>
        <v>78.820000000000022</v>
      </c>
    </row>
    <row r="138" spans="1:6" ht="18" customHeight="1" x14ac:dyDescent="0.25">
      <c r="A138" s="142">
        <f>IFERROR(INDEX('كشف الحساب'!$A$4:$A$354,MATCH(133,'كشف الحساب'!$P$4:$P$354,0)),"")</f>
        <v>46258</v>
      </c>
      <c r="B138" s="122" t="str">
        <f>IFERROR(INDEX('كشف الحساب'!$B$4:$B$354,MATCH(133,'كشف الحساب'!$P$4:$P$354,0)),"")</f>
        <v>Inv-118</v>
      </c>
      <c r="C138" s="121" t="str">
        <f>IFERROR(INDEX('كشف الحساب'!$C$4:$C$354,MATCH(133,'كشف الحساب'!$P$4:$P$354,0)),"")</f>
        <v>متنوع عدد 4 الحبه 1</v>
      </c>
      <c r="D138" s="123">
        <f>IFERROR(INDEX('كشف الحساب'!$E$4:$E$354,MATCH(133,'كشف الحساب'!$P$4:$P$354,0)),"")</f>
        <v>4</v>
      </c>
      <c r="E138" s="124">
        <f>IFERROR(INDEX('كشف الحساب'!$D$4:$D$354,MATCH(133,'كشف الحساب'!$P$4:$P$354,0)),"")</f>
        <v>0</v>
      </c>
      <c r="F138" s="125">
        <f t="shared" si="4"/>
        <v>82.820000000000022</v>
      </c>
    </row>
    <row r="139" spans="1:6" ht="18" customHeight="1" x14ac:dyDescent="0.25">
      <c r="A139" s="142">
        <f>IFERROR(INDEX('كشف الحساب'!$A$4:$A$354,MATCH(134,'كشف الحساب'!$P$4:$P$354,0)),"")</f>
        <v>46258</v>
      </c>
      <c r="B139" s="122" t="str">
        <f>IFERROR(INDEX('كشف الحساب'!$B$4:$B$354,MATCH(134,'كشف الحساب'!$P$4:$P$354,0)),"")</f>
        <v>Inv-119</v>
      </c>
      <c r="C139" s="121" t="str">
        <f>IFERROR(INDEX('كشف الحساب'!$C$4:$C$354,MATCH(134,'كشف الحساب'!$P$4:$P$354,0)),"")</f>
        <v>دارسينا عدد 2 الحبه 3</v>
      </c>
      <c r="D139" s="123">
        <f>IFERROR(INDEX('كشف الحساب'!$E$4:$E$354,MATCH(134,'كشف الحساب'!$P$4:$P$354,0)),"")</f>
        <v>6</v>
      </c>
      <c r="E139" s="124">
        <f>IFERROR(INDEX('كشف الحساب'!$D$4:$D$354,MATCH(134,'كشف الحساب'!$P$4:$P$354,0)),"")</f>
        <v>0</v>
      </c>
      <c r="F139" s="125">
        <f t="shared" si="4"/>
        <v>88.820000000000022</v>
      </c>
    </row>
    <row r="140" spans="1:6" ht="18" customHeight="1" x14ac:dyDescent="0.25">
      <c r="A140" s="142">
        <f>IFERROR(INDEX('كشف الحساب'!$A$4:$A$354,MATCH(135,'كشف الحساب'!$P$4:$P$354,0)),"")</f>
        <v>46258</v>
      </c>
      <c r="B140" s="122" t="str">
        <f>IFERROR(INDEX('كشف الحساب'!$B$4:$B$354,MATCH(135,'كشف الحساب'!$P$4:$P$354,0)),"")</f>
        <v>Inv-120</v>
      </c>
      <c r="C140" s="121" t="str">
        <f>IFERROR(INDEX('كشف الحساب'!$C$4:$C$354,MATCH(135,'كشف الحساب'!$P$4:$P$354,0)),"")</f>
        <v>فل عدد 2 الحبه .750</v>
      </c>
      <c r="D140" s="123">
        <f>IFERROR(INDEX('كشف الحساب'!$E$4:$E$354,MATCH(135,'كشف الحساب'!$P$4:$P$354,0)),"")</f>
        <v>1.5</v>
      </c>
      <c r="E140" s="124">
        <f>IFERROR(INDEX('كشف الحساب'!$D$4:$D$354,MATCH(135,'كشف الحساب'!$P$4:$P$354,0)),"")</f>
        <v>0</v>
      </c>
      <c r="F140" s="125">
        <f t="shared" si="4"/>
        <v>90.320000000000022</v>
      </c>
    </row>
    <row r="141" spans="1:6" ht="18" customHeight="1" x14ac:dyDescent="0.25">
      <c r="A141" s="142">
        <f>IFERROR(INDEX('كشف الحساب'!$A$4:$A$354,MATCH(136,'كشف الحساب'!$P$4:$P$354,0)),"")</f>
        <v>46258</v>
      </c>
      <c r="B141" s="122">
        <f>IFERROR(INDEX('كشف الحساب'!$B$4:$B$354,MATCH(136,'كشف الحساب'!$P$4:$P$354,0)),"")</f>
        <v>0</v>
      </c>
      <c r="C141" s="121" t="str">
        <f>IFERROR(INDEX('كشف الحساب'!$C$4:$C$354,MATCH(136,'كشف الحساب'!$P$4:$P$354,0)),"")</f>
        <v>اسمده</v>
      </c>
      <c r="D141" s="123">
        <f>IFERROR(INDEX('كشف الحساب'!$E$4:$E$354,MATCH(136,'كشف الحساب'!$P$4:$P$354,0)),"")</f>
        <v>0</v>
      </c>
      <c r="E141" s="124">
        <f>IFERROR(INDEX('كشف الحساب'!$D$4:$D$354,MATCH(136,'كشف الحساب'!$P$4:$P$354,0)),"")</f>
        <v>4.125</v>
      </c>
      <c r="F141" s="125">
        <f t="shared" si="4"/>
        <v>86.195000000000022</v>
      </c>
    </row>
    <row r="142" spans="1:6" ht="18" customHeight="1" x14ac:dyDescent="0.25">
      <c r="A142" s="142">
        <f>IFERROR(INDEX('كشف الحساب'!$A$4:$A$354,MATCH(137,'كشف الحساب'!$P$4:$P$354,0)),"")</f>
        <v>46260</v>
      </c>
      <c r="B142" s="122" t="str">
        <f>IFERROR(INDEX('كشف الحساب'!$B$4:$B$354,MATCH(137,'كشف الحساب'!$P$4:$P$354,0)),"")</f>
        <v>Inv-121</v>
      </c>
      <c r="C142" s="121" t="str">
        <f>IFERROR(INDEX('كشف الحساب'!$C$4:$C$354,MATCH(137,'كشف الحساب'!$P$4:$P$354,0)),"")</f>
        <v>شركه التهاني</v>
      </c>
      <c r="D142" s="123">
        <f>IFERROR(INDEX('كشف الحساب'!$E$4:$E$354,MATCH(137,'كشف الحساب'!$P$4:$P$354,0)),"")</f>
        <v>260</v>
      </c>
      <c r="E142" s="124">
        <f>IFERROR(INDEX('كشف الحساب'!$D$4:$D$354,MATCH(137,'كشف الحساب'!$P$4:$P$354,0)),"")</f>
        <v>0</v>
      </c>
      <c r="F142" s="125">
        <f t="shared" si="4"/>
        <v>346.19500000000005</v>
      </c>
    </row>
    <row r="143" spans="1:6" ht="18" customHeight="1" x14ac:dyDescent="0.25">
      <c r="A143" s="142">
        <f>IFERROR(INDEX('كشف الحساب'!$A$4:$A$354,MATCH(138,'كشف الحساب'!$P$4:$P$354,0)),"")</f>
        <v>46260</v>
      </c>
      <c r="B143" s="122">
        <f>IFERROR(INDEX('كشف الحساب'!$B$4:$B$354,MATCH(138,'كشف الحساب'!$P$4:$P$354,0)),"")</f>
        <v>0</v>
      </c>
      <c r="C143" s="121" t="str">
        <f>IFERROR(INDEX('كشف الحساب'!$C$4:$C$354,MATCH(138,'كشف الحساب'!$P$4:$P$354,0)),"")</f>
        <v>, حوض معلق عدد500 (الوحده.170(,بتموس عدد 10 الحبه 15</v>
      </c>
      <c r="D143" s="123">
        <f>IFERROR(INDEX('كشف الحساب'!$E$4:$E$354,MATCH(138,'كشف الحساب'!$P$4:$P$354,0)),"")</f>
        <v>0</v>
      </c>
      <c r="E143" s="124">
        <f>IFERROR(INDEX('كشف الحساب'!$D$4:$D$354,MATCH(138,'كشف الحساب'!$P$4:$P$354,0)),"")</f>
        <v>243</v>
      </c>
      <c r="F143" s="125">
        <f t="shared" si="4"/>
        <v>103.19500000000005</v>
      </c>
    </row>
    <row r="144" spans="1:6" ht="18" customHeight="1" x14ac:dyDescent="0.25">
      <c r="A144" s="142">
        <f>IFERROR(INDEX('كشف الحساب'!$A$4:$A$354,MATCH(139,'كشف الحساب'!$P$4:$P$354,0)),"")</f>
        <v>46251</v>
      </c>
      <c r="B144" s="122">
        <f>IFERROR(INDEX('كشف الحساب'!$B$4:$B$354,MATCH(139,'كشف الحساب'!$P$4:$P$354,0)),"")</f>
        <v>0</v>
      </c>
      <c r="C144" s="121" t="str">
        <f>IFERROR(INDEX('كشف الحساب'!$C$4:$C$354,MATCH(139,'كشف الحساب'!$P$4:$P$354,0)),"")</f>
        <v>تاير توكتوك</v>
      </c>
      <c r="D144" s="123">
        <f>IFERROR(INDEX('كشف الحساب'!$E$4:$E$354,MATCH(139,'كشف الحساب'!$P$4:$P$354,0)),"")</f>
        <v>0</v>
      </c>
      <c r="E144" s="124">
        <f>IFERROR(INDEX('كشف الحساب'!$D$4:$D$354,MATCH(139,'كشف الحساب'!$P$4:$P$354,0)),"")</f>
        <v>3</v>
      </c>
      <c r="F144" s="125">
        <f t="shared" si="4"/>
        <v>100.19500000000005</v>
      </c>
    </row>
    <row r="145" spans="1:6" ht="18" customHeight="1" x14ac:dyDescent="0.25">
      <c r="A145" s="142">
        <f>IFERROR(INDEX('كشف الحساب'!$A$4:$A$354,MATCH(140,'كشف الحساب'!$P$4:$P$354,0)),"")</f>
        <v>46229</v>
      </c>
      <c r="B145" s="122" t="str">
        <f>IFERROR(INDEX('كشف الحساب'!$B$4:$B$354,MATCH(140,'كشف الحساب'!$P$4:$P$354,0)),"")</f>
        <v>Inv-122</v>
      </c>
      <c r="C145" s="121" t="str">
        <f>IFERROR(INDEX('كشف الحساب'!$C$4:$C$354,MATCH(140,'كشف الحساب'!$P$4:$P$354,0)),"")</f>
        <v>متنوع عدد10 الحبه 1</v>
      </c>
      <c r="D145" s="123">
        <f>IFERROR(INDEX('كشف الحساب'!$E$4:$E$354,MATCH(140,'كشف الحساب'!$P$4:$P$354,0)),"")</f>
        <v>10</v>
      </c>
      <c r="E145" s="124">
        <f>IFERROR(INDEX('كشف الحساب'!$D$4:$D$354,MATCH(140,'كشف الحساب'!$P$4:$P$354,0)),"")</f>
        <v>0</v>
      </c>
      <c r="F145" s="125">
        <f t="shared" si="4"/>
        <v>110.19500000000005</v>
      </c>
    </row>
    <row r="146" spans="1:6" ht="18" customHeight="1" x14ac:dyDescent="0.25">
      <c r="A146" s="142">
        <f>IFERROR(INDEX('كشف الحساب'!$A$4:$A$354,MATCH(141,'كشف الحساب'!$P$4:$P$354,0)),"")</f>
        <v>46229</v>
      </c>
      <c r="B146" s="122" t="str">
        <f>IFERROR(INDEX('كشف الحساب'!$B$4:$B$354,MATCH(141,'كشف الحساب'!$P$4:$P$354,0)),"")</f>
        <v>Inv-123</v>
      </c>
      <c r="C146" s="121" t="str">
        <f>IFERROR(INDEX('كشف الحساب'!$C$4:$C$354,MATCH(141,'كشف الحساب'!$P$4:$P$354,0)),"")</f>
        <v>ربل عدد 4 الحبه 2.250</v>
      </c>
      <c r="D146" s="123">
        <f>IFERROR(INDEX('كشف الحساب'!$E$4:$E$354,MATCH(141,'كشف الحساب'!$P$4:$P$354,0)),"")</f>
        <v>9</v>
      </c>
      <c r="E146" s="124">
        <f>IFERROR(INDEX('كشف الحساب'!$D$4:$D$354,MATCH(141,'كشف الحساب'!$P$4:$P$354,0)),"")</f>
        <v>0</v>
      </c>
      <c r="F146" s="125">
        <f t="shared" si="4"/>
        <v>119.19500000000005</v>
      </c>
    </row>
    <row r="147" spans="1:6" ht="18" customHeight="1" x14ac:dyDescent="0.25">
      <c r="A147" s="142">
        <f>IFERROR(INDEX('كشف الحساب'!$A$4:$A$354,MATCH(142,'كشف الحساب'!$P$4:$P$354,0)),"")</f>
        <v>46229</v>
      </c>
      <c r="B147" s="122" t="str">
        <f>IFERROR(INDEX('كشف الحساب'!$B$4:$B$354,MATCH(142,'كشف الحساب'!$P$4:$P$354,0)),"")</f>
        <v>Inv-124</v>
      </c>
      <c r="C147" s="121" t="str">
        <f>IFERROR(INDEX('كشف الحساب'!$C$4:$C$354,MATCH(142,'كشف الحساب'!$P$4:$P$354,0)),"")</f>
        <v>متنوع عدد 10 الحبه 1</v>
      </c>
      <c r="D147" s="123">
        <f>IFERROR(INDEX('كشف الحساب'!$E$4:$E$354,MATCH(142,'كشف الحساب'!$P$4:$P$354,0)),"")</f>
        <v>10</v>
      </c>
      <c r="E147" s="124">
        <f>IFERROR(INDEX('كشف الحساب'!$D$4:$D$354,MATCH(142,'كشف الحساب'!$P$4:$P$354,0)),"")</f>
        <v>0</v>
      </c>
      <c r="F147" s="125">
        <f t="shared" si="4"/>
        <v>129.19500000000005</v>
      </c>
    </row>
    <row r="148" spans="1:6" ht="18" customHeight="1" x14ac:dyDescent="0.25">
      <c r="A148" s="142">
        <f>IFERROR(INDEX('كشف الحساب'!$A$4:$A$354,MATCH(143,'كشف الحساب'!$P$4:$P$354,0)),"")</f>
        <v>46251</v>
      </c>
      <c r="B148" s="122">
        <f>IFERROR(INDEX('كشف الحساب'!$B$4:$B$354,MATCH(143,'كشف الحساب'!$P$4:$P$354,0)),"")</f>
        <v>0</v>
      </c>
      <c r="C148" s="121" t="str">
        <f>IFERROR(INDEX('كشف الحساب'!$C$4:$C$354,MATCH(143,'كشف الحساب'!$P$4:$P$354,0)),"")</f>
        <v>هوز اصفر 3/4 طول 50 متر</v>
      </c>
      <c r="D148" s="123">
        <f>IFERROR(INDEX('كشف الحساب'!$E$4:$E$354,MATCH(143,'كشف الحساب'!$P$4:$P$354,0)),"")</f>
        <v>0</v>
      </c>
      <c r="E148" s="124">
        <f>IFERROR(INDEX('كشف الحساب'!$D$4:$D$354,MATCH(143,'كشف الحساب'!$P$4:$P$354,0)),"")</f>
        <v>11.5</v>
      </c>
      <c r="F148" s="125">
        <f t="shared" si="4"/>
        <v>117.69500000000005</v>
      </c>
    </row>
    <row r="149" spans="1:6" ht="18" customHeight="1" x14ac:dyDescent="0.25">
      <c r="A149" s="142">
        <f>IFERROR(INDEX('كشف الحساب'!$A$4:$A$354,MATCH(144,'كشف الحساب'!$P$4:$P$354,0)),"")</f>
        <v>46254</v>
      </c>
      <c r="B149" s="122" t="str">
        <f>IFERROR(INDEX('كشف الحساب'!$B$4:$B$354,MATCH(144,'كشف الحساب'!$P$4:$P$354,0)),"")</f>
        <v>Inv-125</v>
      </c>
      <c r="C149" s="121" t="str">
        <f>IFERROR(INDEX('كشف الحساب'!$C$4:$C$354,MATCH(144,'كشف الحساب'!$P$4:$P$354,0)),"")</f>
        <v>متنوع - تم الدفع 26/8</v>
      </c>
      <c r="D149" s="123">
        <f>IFERROR(INDEX('كشف الحساب'!$E$4:$E$354,MATCH(144,'كشف الحساب'!$P$4:$P$354,0)),"")</f>
        <v>59</v>
      </c>
      <c r="E149" s="124">
        <f>IFERROR(INDEX('كشف الحساب'!$D$4:$D$354,MATCH(144,'كشف الحساب'!$P$4:$P$354,0)),"")</f>
        <v>0</v>
      </c>
      <c r="F149" s="125">
        <f t="shared" si="4"/>
        <v>176.69500000000005</v>
      </c>
    </row>
    <row r="150" spans="1:6" ht="18" customHeight="1" x14ac:dyDescent="0.25">
      <c r="A150" s="142">
        <f>IFERROR(INDEX('كشف الحساب'!$A$4:$A$354,MATCH(145,'كشف الحساب'!$P$4:$P$354,0)),"")</f>
        <v>46263</v>
      </c>
      <c r="B150" s="122" t="str">
        <f>IFERROR(INDEX('كشف الحساب'!$B$4:$B$354,MATCH(145,'كشف الحساب'!$P$4:$P$354,0)),"")</f>
        <v>Inv-126</v>
      </c>
      <c r="C150" s="121" t="str">
        <f>IFERROR(INDEX('كشف الحساب'!$C$4:$C$354,MATCH(145,'كشف الحساب'!$P$4:$P$354,0)),"")</f>
        <v>فاتوره لزهور التهاني</v>
      </c>
      <c r="D150" s="123">
        <f>IFERROR(INDEX('كشف الحساب'!$E$4:$E$354,MATCH(145,'كشف الحساب'!$P$4:$P$354,0)),"")</f>
        <v>400</v>
      </c>
      <c r="E150" s="124">
        <f>IFERROR(INDEX('كشف الحساب'!$D$4:$D$354,MATCH(145,'كشف الحساب'!$P$4:$P$354,0)),"")</f>
        <v>0</v>
      </c>
      <c r="F150" s="125">
        <f t="shared" si="4"/>
        <v>576.69500000000005</v>
      </c>
    </row>
    <row r="151" spans="1:6" ht="18" customHeight="1" x14ac:dyDescent="0.25">
      <c r="A151" s="142">
        <f>IFERROR(INDEX('كشف الحساب'!$A$4:$A$354,MATCH(146,'كشف الحساب'!$P$4:$P$354,0)),"")</f>
        <v>46263</v>
      </c>
      <c r="B151" s="122">
        <f>IFERROR(INDEX('كشف الحساب'!$B$4:$B$354,MATCH(146,'كشف الحساب'!$P$4:$P$354,0)),"")</f>
        <v>0</v>
      </c>
      <c r="C151" s="121" t="str">
        <f>IFERROR(INDEX('كشف الحساب'!$C$4:$C$354,MATCH(146,'كشف الحساب'!$P$4:$P$354,0)),"")</f>
        <v>صبار عدد 15 الحبه 1</v>
      </c>
      <c r="D151" s="123">
        <f>IFERROR(INDEX('كشف الحساب'!$E$4:$E$354,MATCH(146,'كشف الحساب'!$P$4:$P$354,0)),"")</f>
        <v>0</v>
      </c>
      <c r="E151" s="124">
        <f>IFERROR(INDEX('كشف الحساب'!$D$4:$D$354,MATCH(146,'كشف الحساب'!$P$4:$P$354,0)),"")</f>
        <v>15</v>
      </c>
      <c r="F151" s="125">
        <f t="shared" si="4"/>
        <v>561.69500000000005</v>
      </c>
    </row>
    <row r="152" spans="1:6" ht="18" customHeight="1" x14ac:dyDescent="0.25">
      <c r="A152" s="142">
        <f>IFERROR(INDEX('كشف الحساب'!$A$4:$A$354,MATCH(147,'كشف الحساب'!$P$4:$P$354,0)),"")</f>
        <v>46263</v>
      </c>
      <c r="B152" s="122">
        <f>IFERROR(INDEX('كشف الحساب'!$B$4:$B$354,MATCH(147,'كشف الحساب'!$P$4:$P$354,0)),"")</f>
        <v>0</v>
      </c>
      <c r="C152" s="121" t="str">
        <f>IFERROR(INDEX('كشف الحساب'!$C$4:$C$354,MATCH(147,'كشف الحساب'!$P$4:$P$354,0)),"")</f>
        <v>زيتون عدد 2 الحبه 12</v>
      </c>
      <c r="D152" s="123">
        <f>IFERROR(INDEX('كشف الحساب'!$E$4:$E$354,MATCH(147,'كشف الحساب'!$P$4:$P$354,0)),"")</f>
        <v>0</v>
      </c>
      <c r="E152" s="124">
        <f>IFERROR(INDEX('كشف الحساب'!$D$4:$D$354,MATCH(147,'كشف الحساب'!$P$4:$P$354,0)),"")</f>
        <v>24</v>
      </c>
      <c r="F152" s="125">
        <f t="shared" si="4"/>
        <v>537.69500000000005</v>
      </c>
    </row>
    <row r="153" spans="1:6" ht="18" customHeight="1" x14ac:dyDescent="0.25">
      <c r="A153" s="142">
        <f>IFERROR(INDEX('كشف الحساب'!$A$4:$A$354,MATCH(148,'كشف الحساب'!$P$4:$P$354,0)),"")</f>
        <v>46264</v>
      </c>
      <c r="B153" s="122" t="str">
        <f>IFERROR(INDEX('كشف الحساب'!$B$4:$B$354,MATCH(148,'كشف الحساب'!$P$4:$P$354,0)),"")</f>
        <v>Inv-127</v>
      </c>
      <c r="C153" s="121" t="str">
        <f>IFERROR(INDEX('كشف الحساب'!$C$4:$C$354,MATCH(148,'كشف الحساب'!$P$4:$P$354,0)),"")</f>
        <v>اناناس عدد 4 الواحده 4</v>
      </c>
      <c r="D153" s="123">
        <f>IFERROR(INDEX('كشف الحساب'!$E$4:$E$354,MATCH(148,'كشف الحساب'!$P$4:$P$354,0)),"")</f>
        <v>16</v>
      </c>
      <c r="E153" s="124">
        <f>IFERROR(INDEX('كشف الحساب'!$D$4:$D$354,MATCH(148,'كشف الحساب'!$P$4:$P$354,0)),"")</f>
        <v>0</v>
      </c>
      <c r="F153" s="125">
        <f t="shared" si="4"/>
        <v>553.69500000000005</v>
      </c>
    </row>
    <row r="154" spans="1:6" ht="18" customHeight="1" x14ac:dyDescent="0.25">
      <c r="A154" s="142">
        <f>IFERROR(INDEX('كشف الحساب'!$A$4:$A$354,MATCH(149,'كشف الحساب'!$P$4:$P$354,0)),"")</f>
        <v>46264</v>
      </c>
      <c r="B154" s="122" t="str">
        <f>IFERROR(INDEX('كشف الحساب'!$B$4:$B$354,MATCH(149,'كشف الحساب'!$P$4:$P$354,0)),"")</f>
        <v>Inv-128</v>
      </c>
      <c r="C154" s="121" t="str">
        <f>IFERROR(INDEX('كشف الحساب'!$C$4:$C$354,MATCH(149,'كشف الحساب'!$P$4:$P$354,0)),"")</f>
        <v>ربل عدد 6 الحبه 2.500</v>
      </c>
      <c r="D154" s="123">
        <f>IFERROR(INDEX('كشف الحساب'!$E$4:$E$354,MATCH(149,'كشف الحساب'!$P$4:$P$354,0)),"")</f>
        <v>15</v>
      </c>
      <c r="E154" s="124">
        <f>IFERROR(INDEX('كشف الحساب'!$D$4:$D$354,MATCH(149,'كشف الحساب'!$P$4:$P$354,0)),"")</f>
        <v>0</v>
      </c>
      <c r="F154" s="125">
        <f t="shared" si="4"/>
        <v>568.69500000000005</v>
      </c>
    </row>
    <row r="155" spans="1:6" ht="18" customHeight="1" x14ac:dyDescent="0.25">
      <c r="A155" s="142">
        <f>IFERROR(INDEX('كشف الحساب'!$A$4:$A$354,MATCH(150,'كشف الحساب'!$P$4:$P$354,0)),"")</f>
        <v>46264</v>
      </c>
      <c r="B155" s="122" t="str">
        <f>IFERROR(INDEX('كشف الحساب'!$B$4:$B$354,MATCH(150,'كشف الحساب'!$P$4:$P$354,0)),"")</f>
        <v>Inv-129</v>
      </c>
      <c r="C155" s="121" t="str">
        <f>IFERROR(INDEX('كشف الحساب'!$C$4:$C$354,MATCH(150,'كشف الحساب'!$P$4:$P$354,0)),"")</f>
        <v>متنوع عدد 17 الحبه 1</v>
      </c>
      <c r="D155" s="123">
        <f>IFERROR(INDEX('كشف الحساب'!$E$4:$E$354,MATCH(150,'كشف الحساب'!$P$4:$P$354,0)),"")</f>
        <v>17</v>
      </c>
      <c r="E155" s="124">
        <f>IFERROR(INDEX('كشف الحساب'!$D$4:$D$354,MATCH(150,'كشف الحساب'!$P$4:$P$354,0)),"")</f>
        <v>0</v>
      </c>
      <c r="F155" s="125">
        <f t="shared" si="4"/>
        <v>585.69500000000005</v>
      </c>
    </row>
    <row r="156" spans="1:6" ht="18" customHeight="1" x14ac:dyDescent="0.25">
      <c r="A156" s="142">
        <f>IFERROR(INDEX('كشف الحساب'!$A$4:$A$354,MATCH(151,'كشف الحساب'!$P$4:$P$354,0)),"")</f>
        <v>46264</v>
      </c>
      <c r="B156" s="122" t="str">
        <f>IFERROR(INDEX('كشف الحساب'!$B$4:$B$354,MATCH(151,'كشف الحساب'!$P$4:$P$354,0)),"")</f>
        <v>Inv-130</v>
      </c>
      <c r="C156" s="121" t="str">
        <f>IFERROR(INDEX('كشف الحساب'!$C$4:$C$354,MATCH(151,'كشف الحساب'!$P$4:$P$354,0)),"")</f>
        <v>صبار عدد 13 الحبه 0.750</v>
      </c>
      <c r="D156" s="123">
        <f>IFERROR(INDEX('كشف الحساب'!$E$4:$E$354,MATCH(151,'كشف الحساب'!$P$4:$P$354,0)),"")</f>
        <v>9.75</v>
      </c>
      <c r="E156" s="124">
        <f>IFERROR(INDEX('كشف الحساب'!$D$4:$D$354,MATCH(151,'كشف الحساب'!$P$4:$P$354,0)),"")</f>
        <v>0</v>
      </c>
      <c r="F156" s="125">
        <f t="shared" si="4"/>
        <v>595.44500000000005</v>
      </c>
    </row>
    <row r="157" spans="1:6" ht="18" customHeight="1" x14ac:dyDescent="0.25">
      <c r="A157" s="142">
        <f>IFERROR(INDEX('كشف الحساب'!$A$4:$A$354,MATCH(152,'كشف الحساب'!$P$4:$P$354,0)),"")</f>
        <v>46264</v>
      </c>
      <c r="B157" s="122" t="str">
        <f>IFERROR(INDEX('كشف الحساب'!$B$4:$B$354,MATCH(152,'كشف الحساب'!$P$4:$P$354,0)),"")</f>
        <v>Inv-131</v>
      </c>
      <c r="C157" s="121" t="str">
        <f>IFERROR(INDEX('كشف الحساب'!$C$4:$C$354,MATCH(152,'كشف الحساب'!$P$4:$P$354,0)),"")</f>
        <v>تين عدد5 الحبه 1.500</v>
      </c>
      <c r="D157" s="123">
        <f>IFERROR(INDEX('كشف الحساب'!$E$4:$E$354,MATCH(152,'كشف الحساب'!$P$4:$P$354,0)),"")</f>
        <v>7.5</v>
      </c>
      <c r="E157" s="124">
        <f>IFERROR(INDEX('كشف الحساب'!$D$4:$D$354,MATCH(152,'كشف الحساب'!$P$4:$P$354,0)),"")</f>
        <v>0</v>
      </c>
      <c r="F157" s="125">
        <f t="shared" si="4"/>
        <v>602.94500000000005</v>
      </c>
    </row>
    <row r="158" spans="1:6" ht="18" customHeight="1" x14ac:dyDescent="0.25">
      <c r="A158" s="142">
        <f>IFERROR(INDEX('كشف الحساب'!$A$4:$A$354,MATCH(153,'كشف الحساب'!$P$4:$P$354,0)),"")</f>
        <v>46264</v>
      </c>
      <c r="B158" s="122">
        <f>IFERROR(INDEX('كشف الحساب'!$B$4:$B$354,MATCH(153,'كشف الحساب'!$P$4:$P$354,0)),"")</f>
        <v>0</v>
      </c>
      <c r="C158" s="121" t="str">
        <f>IFERROR(INDEX('كشف الحساب'!$C$4:$C$354,MATCH(153,'كشف الحساب'!$P$4:$P$354,0)),"")</f>
        <v>أقامه نزمول 3 سنوات</v>
      </c>
      <c r="D158" s="123">
        <f>IFERROR(INDEX('كشف الحساب'!$E$4:$E$354,MATCH(153,'كشف الحساب'!$P$4:$P$354,0)),"")</f>
        <v>0</v>
      </c>
      <c r="E158" s="124">
        <f>IFERROR(INDEX('كشف الحساب'!$D$4:$D$354,MATCH(153,'كشف الحساب'!$P$4:$P$354,0)),"")</f>
        <v>35</v>
      </c>
      <c r="F158" s="125">
        <f t="shared" si="4"/>
        <v>567.94500000000005</v>
      </c>
    </row>
    <row r="159" spans="1:6" ht="18" customHeight="1" x14ac:dyDescent="0.25">
      <c r="A159" s="142">
        <f>IFERROR(INDEX('كشف الحساب'!$A$4:$A$354,MATCH(154,'كشف الحساب'!$P$4:$P$354,0)),"")</f>
        <v>46265</v>
      </c>
      <c r="B159" s="122">
        <f>IFERROR(INDEX('كشف الحساب'!$B$4:$B$354,MATCH(154,'كشف الحساب'!$P$4:$P$354,0)),"")</f>
        <v>0</v>
      </c>
      <c r="C159" s="121" t="str">
        <f>IFERROR(INDEX('كشف الحساب'!$C$4:$C$354,MATCH(154,'كشف الحساب'!$P$4:$P$354,0)),"")</f>
        <v>رواتب + كهرباء وماء</v>
      </c>
      <c r="D159" s="123">
        <f>IFERROR(INDEX('كشف الحساب'!$E$4:$E$354,MATCH(154,'كشف الحساب'!$P$4:$P$354,0)),"")</f>
        <v>0</v>
      </c>
      <c r="E159" s="124">
        <f>IFERROR(INDEX('كشف الحساب'!$D$4:$D$354,MATCH(154,'كشف الحساب'!$P$4:$P$354,0)),"")</f>
        <v>470</v>
      </c>
      <c r="F159" s="125">
        <f t="shared" si="4"/>
        <v>97.94500000000005</v>
      </c>
    </row>
    <row r="160" spans="1:6" ht="18" customHeight="1" x14ac:dyDescent="0.25">
      <c r="A160" s="142">
        <f>IFERROR(INDEX('كشف الحساب'!$A$4:$A$354,MATCH(155,'كشف الحساب'!$P$4:$P$354,0)),"")</f>
        <v>46265</v>
      </c>
      <c r="B160" s="122">
        <f>IFERROR(INDEX('كشف الحساب'!$B$4:$B$354,MATCH(155,'كشف الحساب'!$P$4:$P$354,0)),"")</f>
        <v>0</v>
      </c>
      <c r="C160" s="121" t="str">
        <f>IFERROR(INDEX('كشف الحساب'!$C$4:$C$354,MATCH(155,'كشف الحساب'!$P$4:$P$354,0)),"")</f>
        <v>نصف قيمه فلتر المالج</v>
      </c>
      <c r="D160" s="123">
        <f>IFERROR(INDEX('كشف الحساب'!$E$4:$E$354,MATCH(155,'كشف الحساب'!$P$4:$P$354,0)),"")</f>
        <v>0</v>
      </c>
      <c r="E160" s="124">
        <f>IFERROR(INDEX('كشف الحساب'!$D$4:$D$354,MATCH(155,'كشف الحساب'!$P$4:$P$354,0)),"")</f>
        <v>62.5</v>
      </c>
      <c r="F160" s="125">
        <f t="shared" si="4"/>
        <v>35.44500000000005</v>
      </c>
    </row>
    <row r="161" spans="1:6" ht="18" customHeight="1" x14ac:dyDescent="0.25">
      <c r="A161" s="142">
        <f>IFERROR(INDEX('كشف الحساب'!$A$4:$A$354,MATCH(156,'كشف الحساب'!$P$4:$P$354,0)),"")</f>
        <v>46265</v>
      </c>
      <c r="B161" s="122" t="str">
        <f>IFERROR(INDEX('كشف الحساب'!$B$4:$B$354,MATCH(156,'كشف الحساب'!$P$4:$P$354,0)),"")</f>
        <v>Inv-132</v>
      </c>
      <c r="C161" s="121" t="str">
        <f>IFERROR(INDEX('كشف الحساب'!$C$4:$C$354,MATCH(156,'كشف الحساب'!$P$4:$P$354,0)),"")</f>
        <v>ودليه عدد 2 الحبه 1</v>
      </c>
      <c r="D161" s="123">
        <f>IFERROR(INDEX('كشف الحساب'!$E$4:$E$354,MATCH(156,'كشف الحساب'!$P$4:$P$354,0)),"")</f>
        <v>2</v>
      </c>
      <c r="E161" s="124">
        <f>IFERROR(INDEX('كشف الحساب'!$D$4:$D$354,MATCH(156,'كشف الحساب'!$P$4:$P$354,0)),"")</f>
        <v>0</v>
      </c>
      <c r="F161" s="125">
        <f t="shared" si="4"/>
        <v>37.44500000000005</v>
      </c>
    </row>
    <row r="162" spans="1:6" ht="18" customHeight="1" x14ac:dyDescent="0.25">
      <c r="A162" s="142">
        <f>IFERROR(INDEX('كشف الحساب'!$A$4:$A$354,MATCH(157,'كشف الحساب'!$P$4:$P$354,0)),"")</f>
        <v>46268</v>
      </c>
      <c r="B162" s="122" t="str">
        <f>IFERROR(INDEX('كشف الحساب'!$B$4:$B$354,MATCH(157,'كشف الحساب'!$P$4:$P$354,0)),"")</f>
        <v>Inv-133</v>
      </c>
      <c r="C162" s="121" t="str">
        <f>IFERROR(INDEX('كشف الحساب'!$C$4:$C$354,MATCH(157,'كشف الحساب'!$P$4:$P$354,0)),"")</f>
        <v>زهور التهاني</v>
      </c>
      <c r="D162" s="123">
        <f>IFERROR(INDEX('كشف الحساب'!$E$4:$E$354,MATCH(157,'كشف الحساب'!$P$4:$P$354,0)),"")</f>
        <v>270</v>
      </c>
      <c r="E162" s="124">
        <f>IFERROR(INDEX('كشف الحساب'!$D$4:$D$354,MATCH(157,'كشف الحساب'!$P$4:$P$354,0)),"")</f>
        <v>0</v>
      </c>
      <c r="F162" s="125">
        <f t="shared" si="4"/>
        <v>307.44500000000005</v>
      </c>
    </row>
    <row r="163" spans="1:6" ht="18" customHeight="1" x14ac:dyDescent="0.25">
      <c r="A163" s="142">
        <f>IFERROR(INDEX('كشف الحساب'!$A$4:$A$354,MATCH(158,'كشف الحساب'!$P$4:$P$354,0)),"")</f>
        <v>46269</v>
      </c>
      <c r="B163" s="122">
        <f>IFERROR(INDEX('كشف الحساب'!$B$4:$B$354,MATCH(158,'كشف الحساب'!$P$4:$P$354,0)),"")</f>
        <v>0</v>
      </c>
      <c r="C163" s="121" t="str">
        <f>IFERROR(INDEX('كشف الحساب'!$C$4:$C$354,MATCH(158,'كشف الحساب'!$P$4:$P$354,0)),"")</f>
        <v>يوريا  عدد1 (12.250) + مقص عدد1(1.250)</v>
      </c>
      <c r="D163" s="123">
        <f>IFERROR(INDEX('كشف الحساب'!$E$4:$E$354,MATCH(158,'كشف الحساب'!$P$4:$P$354,0)),"")</f>
        <v>0</v>
      </c>
      <c r="E163" s="124">
        <f>IFERROR(INDEX('كشف الحساب'!$D$4:$D$354,MATCH(158,'كشف الحساب'!$P$4:$P$354,0)),"")</f>
        <v>13.5</v>
      </c>
      <c r="F163" s="125">
        <f t="shared" si="4"/>
        <v>293.94500000000005</v>
      </c>
    </row>
    <row r="164" spans="1:6" ht="18" customHeight="1" x14ac:dyDescent="0.25">
      <c r="A164" s="142">
        <f>IFERROR(INDEX('كشف الحساب'!$A$4:$A$354,MATCH(159,'كشف الحساب'!$P$4:$P$354,0)),"")</f>
        <v>46271</v>
      </c>
      <c r="B164" s="122" t="str">
        <f>IFERROR(INDEX('كشف الحساب'!$B$4:$B$354,MATCH(159,'كشف الحساب'!$P$4:$P$354,0)),"")</f>
        <v>Inv-134</v>
      </c>
      <c r="C164" s="121" t="str">
        <f>IFERROR(INDEX('كشف الحساب'!$C$4:$C$354,MATCH(159,'كشف الحساب'!$P$4:$P$354,0)),"")</f>
        <v>ليمون جراس عدد 4 الحبه 3</v>
      </c>
      <c r="D164" s="123">
        <f>IFERROR(INDEX('كشف الحساب'!$E$4:$E$354,MATCH(159,'كشف الحساب'!$P$4:$P$354,0)),"")</f>
        <v>12</v>
      </c>
      <c r="E164" s="124">
        <f>IFERROR(INDEX('كشف الحساب'!$D$4:$D$354,MATCH(159,'كشف الحساب'!$P$4:$P$354,0)),"")</f>
        <v>0</v>
      </c>
      <c r="F164" s="125">
        <f t="shared" si="4"/>
        <v>305.94500000000005</v>
      </c>
    </row>
    <row r="165" spans="1:6" ht="18" customHeight="1" x14ac:dyDescent="0.25">
      <c r="A165" s="142">
        <f>IFERROR(INDEX('كشف الحساب'!$A$4:$A$354,MATCH(160,'كشف الحساب'!$P$4:$P$354,0)),"")</f>
        <v>46271</v>
      </c>
      <c r="B165" s="122" t="str">
        <f>IFERROR(INDEX('كشف الحساب'!$B$4:$B$354,MATCH(160,'كشف الحساب'!$P$4:$P$354,0)),"")</f>
        <v>Inv-135</v>
      </c>
      <c r="C165" s="121" t="str">
        <f>IFERROR(INDEX('كشف الحساب'!$C$4:$C$354,MATCH(160,'كشف الحساب'!$P$4:$P$354,0)),"")</f>
        <v>ربل عدد 2 الحبه 1.500</v>
      </c>
      <c r="D165" s="123">
        <f>IFERROR(INDEX('كشف الحساب'!$E$4:$E$354,MATCH(160,'كشف الحساب'!$P$4:$P$354,0)),"")</f>
        <v>3</v>
      </c>
      <c r="E165" s="124">
        <f>IFERROR(INDEX('كشف الحساب'!$D$4:$D$354,MATCH(160,'كشف الحساب'!$P$4:$P$354,0)),"")</f>
        <v>0</v>
      </c>
      <c r="F165" s="125">
        <f t="shared" si="4"/>
        <v>308.94500000000005</v>
      </c>
    </row>
    <row r="166" spans="1:6" ht="18" customHeight="1" x14ac:dyDescent="0.25">
      <c r="A166" s="142">
        <f>IFERROR(INDEX('كشف الحساب'!$A$4:$A$354,MATCH(161,'كشف الحساب'!$P$4:$P$354,0)),"")</f>
        <v>46271</v>
      </c>
      <c r="B166" s="122" t="str">
        <f>IFERROR(INDEX('كشف الحساب'!$B$4:$B$354,MATCH(161,'كشف الحساب'!$P$4:$P$354,0)),"")</f>
        <v>Inv-136</v>
      </c>
      <c r="C166" s="121" t="str">
        <f>IFERROR(INDEX('كشف الحساب'!$C$4:$C$354,MATCH(161,'كشف الحساب'!$P$4:$P$354,0)),"")</f>
        <v>متنوع عدد 7 الحبه 1</v>
      </c>
      <c r="D166" s="123">
        <f>IFERROR(INDEX('كشف الحساب'!$E$4:$E$354,MATCH(161,'كشف الحساب'!$P$4:$P$354,0)),"")</f>
        <v>7</v>
      </c>
      <c r="E166" s="124">
        <f>IFERROR(INDEX('كشف الحساب'!$D$4:$D$354,MATCH(161,'كشف الحساب'!$P$4:$P$354,0)),"")</f>
        <v>0</v>
      </c>
      <c r="F166" s="125">
        <f t="shared" si="4"/>
        <v>315.94500000000005</v>
      </c>
    </row>
    <row r="167" spans="1:6" ht="18" customHeight="1" x14ac:dyDescent="0.25">
      <c r="A167" s="142">
        <f>IFERROR(INDEX('كشف الحساب'!$A$4:$A$354,MATCH(162,'كشف الحساب'!$P$4:$P$354,0)),"")</f>
        <v>46271</v>
      </c>
      <c r="B167" s="122">
        <f>IFERROR(INDEX('كشف الحساب'!$B$4:$B$354,MATCH(162,'كشف الحساب'!$P$4:$P$354,0)),"")</f>
        <v>0</v>
      </c>
      <c r="C167" s="121" t="str">
        <f>IFERROR(INDEX('كشف الحساب'!$C$4:$C$354,MATCH(162,'كشف الحساب'!$P$4:$P$354,0)),"")</f>
        <v>احواض  عدد 1000 الحجم 25 سم</v>
      </c>
      <c r="D167" s="123">
        <f>IFERROR(INDEX('كشف الحساب'!$E$4:$E$354,MATCH(162,'كشف الحساب'!$P$4:$P$354,0)),"")</f>
        <v>0</v>
      </c>
      <c r="E167" s="124">
        <f>IFERROR(INDEX('كشف الحساب'!$D$4:$D$354,MATCH(162,'كشف الحساب'!$P$4:$P$354,0)),"")</f>
        <v>85</v>
      </c>
      <c r="F167" s="125">
        <f t="shared" ref="F167:F198" si="5">IF($A167="","",IF($F166="",0,$F166)+IF($D167="",0,$D167)-IF($E167="",0,$E167))</f>
        <v>230.94500000000005</v>
      </c>
    </row>
    <row r="168" spans="1:6" ht="18" customHeight="1" x14ac:dyDescent="0.25">
      <c r="A168" s="142">
        <f>IFERROR(INDEX('كشف الحساب'!$A$4:$A$354,MATCH(163,'كشف الحساب'!$P$4:$P$354,0)),"")</f>
        <v>46272</v>
      </c>
      <c r="B168" s="122">
        <f>IFERROR(INDEX('كشف الحساب'!$B$4:$B$354,MATCH(163,'كشف الحساب'!$P$4:$P$354,0)),"")</f>
        <v>0</v>
      </c>
      <c r="C168" s="121" t="str">
        <f>IFERROR(INDEX('كشف الحساب'!$C$4:$C$354,MATCH(163,'كشف الحساب'!$P$4:$P$354,0)),"")</f>
        <v>وصلات</v>
      </c>
      <c r="D168" s="123">
        <f>IFERROR(INDEX('كشف الحساب'!$E$4:$E$354,MATCH(163,'كشف الحساب'!$P$4:$P$354,0)),"")</f>
        <v>0</v>
      </c>
      <c r="E168" s="124">
        <f>IFERROR(INDEX('كشف الحساب'!$D$4:$D$354,MATCH(163,'كشف الحساب'!$P$4:$P$354,0)),"")</f>
        <v>2.15</v>
      </c>
      <c r="F168" s="125">
        <f t="shared" si="5"/>
        <v>228.79500000000004</v>
      </c>
    </row>
    <row r="169" spans="1:6" ht="18" customHeight="1" x14ac:dyDescent="0.25">
      <c r="A169" s="142">
        <f>IFERROR(INDEX('كشف الحساب'!$A$4:$A$354,MATCH(164,'كشف الحساب'!$P$4:$P$354,0)),"")</f>
        <v>46275</v>
      </c>
      <c r="B169" s="122" t="str">
        <f>IFERROR(INDEX('كشف الحساب'!$B$4:$B$354,MATCH(164,'كشف الحساب'!$P$4:$P$354,0)),"")</f>
        <v>Inv-137</v>
      </c>
      <c r="C169" s="121" t="str">
        <f>IFERROR(INDEX('كشف الحساب'!$C$4:$C$354,MATCH(164,'كشف الحساب'!$P$4:$P$354,0)),"")</f>
        <v>صبار عدد 5 الحبه 1</v>
      </c>
      <c r="D169" s="123">
        <f>IFERROR(INDEX('كشف الحساب'!$E$4:$E$354,MATCH(164,'كشف الحساب'!$P$4:$P$354,0)),"")</f>
        <v>5</v>
      </c>
      <c r="E169" s="124">
        <f>IFERROR(INDEX('كشف الحساب'!$D$4:$D$354,MATCH(164,'كشف الحساب'!$P$4:$P$354,0)),"")</f>
        <v>0</v>
      </c>
      <c r="F169" s="125">
        <f t="shared" si="5"/>
        <v>233.79500000000004</v>
      </c>
    </row>
    <row r="170" spans="1:6" ht="18" customHeight="1" x14ac:dyDescent="0.25">
      <c r="A170" s="142">
        <f>IFERROR(INDEX('كشف الحساب'!$A$4:$A$354,MATCH(165,'كشف الحساب'!$P$4:$P$354,0)),"")</f>
        <v>46276</v>
      </c>
      <c r="B170" s="122" t="str">
        <f>IFERROR(INDEX('كشف الحساب'!$B$4:$B$354,MATCH(165,'كشف الحساب'!$P$4:$P$354,0)),"")</f>
        <v>Inv-138</v>
      </c>
      <c r="C170" s="121" t="str">
        <f>IFERROR(INDEX('كشف الحساب'!$C$4:$C$354,MATCH(165,'كشف الحساب'!$P$4:$P$354,0)),"")</f>
        <v>متنوع عدد 10 الحبه 1.500</v>
      </c>
      <c r="D170" s="123">
        <f>IFERROR(INDEX('كشف الحساب'!$E$4:$E$354,MATCH(165,'كشف الحساب'!$P$4:$P$354,0)),"")</f>
        <v>15</v>
      </c>
      <c r="E170" s="124">
        <f>IFERROR(INDEX('كشف الحساب'!$D$4:$D$354,MATCH(165,'كشف الحساب'!$P$4:$P$354,0)),"")</f>
        <v>0</v>
      </c>
      <c r="F170" s="125">
        <f t="shared" si="5"/>
        <v>248.79500000000004</v>
      </c>
    </row>
    <row r="171" spans="1:6" ht="18" customHeight="1" x14ac:dyDescent="0.25">
      <c r="A171" s="142">
        <f>IFERROR(INDEX('كشف الحساب'!$A$4:$A$354,MATCH(166,'كشف الحساب'!$P$4:$P$354,0)),"")</f>
        <v>46276</v>
      </c>
      <c r="B171" s="122" t="str">
        <f>IFERROR(INDEX('كشف الحساب'!$B$4:$B$354,MATCH(166,'كشف الحساب'!$P$4:$P$354,0)),"")</f>
        <v>Inv-139</v>
      </c>
      <c r="C171" s="121" t="str">
        <f>IFERROR(INDEX('كشف الحساب'!$C$4:$C$354,MATCH(166,'كشف الحساب'!$P$4:$P$354,0)),"")</f>
        <v>متنوع عدد 20 الحبه 1</v>
      </c>
      <c r="D171" s="123">
        <f>IFERROR(INDEX('كشف الحساب'!$E$4:$E$354,MATCH(166,'كشف الحساب'!$P$4:$P$354,0)),"")</f>
        <v>20</v>
      </c>
      <c r="E171" s="124">
        <f>IFERROR(INDEX('كشف الحساب'!$D$4:$D$354,MATCH(166,'كشف الحساب'!$P$4:$P$354,0)),"")</f>
        <v>0</v>
      </c>
      <c r="F171" s="125">
        <f t="shared" si="5"/>
        <v>268.79500000000007</v>
      </c>
    </row>
    <row r="172" spans="1:6" ht="18" customHeight="1" x14ac:dyDescent="0.25">
      <c r="A172" s="142">
        <f>IFERROR(INDEX('كشف الحساب'!$A$4:$A$354,MATCH(167,'كشف الحساب'!$P$4:$P$354,0)),"")</f>
        <v>46276</v>
      </c>
      <c r="B172" s="122" t="str">
        <f>IFERROR(INDEX('كشف الحساب'!$B$4:$B$354,MATCH(167,'كشف الحساب'!$P$4:$P$354,0)),"")</f>
        <v>Inv-140</v>
      </c>
      <c r="C172" s="121" t="str">
        <f>IFERROR(INDEX('كشف الحساب'!$C$4:$C$354,MATCH(167,'كشف الحساب'!$P$4:$P$354,0)),"")</f>
        <v>صبار عدد 35 الحبه 1</v>
      </c>
      <c r="D172" s="123">
        <f>IFERROR(INDEX('كشف الحساب'!$E$4:$E$354,MATCH(167,'كشف الحساب'!$P$4:$P$354,0)),"")</f>
        <v>35</v>
      </c>
      <c r="E172" s="124">
        <f>IFERROR(INDEX('كشف الحساب'!$D$4:$D$354,MATCH(167,'كشف الحساب'!$P$4:$P$354,0)),"")</f>
        <v>0</v>
      </c>
      <c r="F172" s="125">
        <f t="shared" si="5"/>
        <v>303.79500000000007</v>
      </c>
    </row>
    <row r="173" spans="1:6" ht="18" customHeight="1" x14ac:dyDescent="0.25">
      <c r="A173" s="142">
        <f>IFERROR(INDEX('كشف الحساب'!$A$4:$A$354,MATCH(168,'كشف الحساب'!$P$4:$P$354,0)),"")</f>
        <v>46276</v>
      </c>
      <c r="B173" s="122" t="str">
        <f>IFERROR(INDEX('كشف الحساب'!$B$4:$B$354,MATCH(168,'كشف الحساب'!$P$4:$P$354,0)),"")</f>
        <v>Inv-141</v>
      </c>
      <c r="C173" s="121" t="str">
        <f>IFERROR(INDEX('كشف الحساب'!$C$4:$C$354,MATCH(168,'كشف الحساب'!$P$4:$P$354,0)),"")</f>
        <v>متنوع عدد 5 الحبه 1</v>
      </c>
      <c r="D173" s="123">
        <f>IFERROR(INDEX('كشف الحساب'!$E$4:$E$354,MATCH(168,'كشف الحساب'!$P$4:$P$354,0)),"")</f>
        <v>5</v>
      </c>
      <c r="E173" s="124">
        <f>IFERROR(INDEX('كشف الحساب'!$D$4:$D$354,MATCH(168,'كشف الحساب'!$P$4:$P$354,0)),"")</f>
        <v>0</v>
      </c>
      <c r="F173" s="125">
        <f t="shared" si="5"/>
        <v>308.79500000000007</v>
      </c>
    </row>
    <row r="174" spans="1:6" ht="18" customHeight="1" x14ac:dyDescent="0.25">
      <c r="A174" s="142">
        <f>IFERROR(INDEX('كشف الحساب'!$A$4:$A$354,MATCH(169,'كشف الحساب'!$P$4:$P$354,0)),"")</f>
        <v>46276</v>
      </c>
      <c r="B174" s="122" t="str">
        <f>IFERROR(INDEX('كشف الحساب'!$B$4:$B$354,MATCH(169,'كشف الحساب'!$P$4:$P$354,0)),"")</f>
        <v>Inv-142</v>
      </c>
      <c r="C174" s="121" t="str">
        <f>IFERROR(INDEX('كشف الحساب'!$C$4:$C$354,MATCH(169,'كشف الحساب'!$P$4:$P$354,0)),"")</f>
        <v>عطره العدد 10 الحبه .750</v>
      </c>
      <c r="D174" s="123">
        <f>IFERROR(INDEX('كشف الحساب'!$E$4:$E$354,MATCH(169,'كشف الحساب'!$P$4:$P$354,0)),"")</f>
        <v>10</v>
      </c>
      <c r="E174" s="124">
        <f>IFERROR(INDEX('كشف الحساب'!$D$4:$D$354,MATCH(169,'كشف الحساب'!$P$4:$P$354,0)),"")</f>
        <v>0</v>
      </c>
      <c r="F174" s="125">
        <f t="shared" si="5"/>
        <v>318.79500000000007</v>
      </c>
    </row>
    <row r="175" spans="1:6" ht="18" customHeight="1" x14ac:dyDescent="0.25">
      <c r="A175" s="142">
        <f>IFERROR(INDEX('كشف الحساب'!$A$4:$A$354,MATCH(170,'كشف الحساب'!$P$4:$P$354,0)),"")</f>
        <v>46276</v>
      </c>
      <c r="B175" s="122" t="str">
        <f>IFERROR(INDEX('كشف الحساب'!$B$4:$B$354,MATCH(170,'كشف الحساب'!$P$4:$P$354,0)),"")</f>
        <v>Inv-143</v>
      </c>
      <c r="C175" s="121" t="str">
        <f>IFERROR(INDEX('كشف الحساب'!$C$4:$C$354,MATCH(170,'كشف الحساب'!$P$4:$P$354,0)),"")</f>
        <v>دارسينا متنوع عدد 2  الحبه 3</v>
      </c>
      <c r="D175" s="123">
        <f>IFERROR(INDEX('كشف الحساب'!$E$4:$E$354,MATCH(170,'كشف الحساب'!$P$4:$P$354,0)),"")</f>
        <v>6</v>
      </c>
      <c r="E175" s="124">
        <f>IFERROR(INDEX('كشف الحساب'!$D$4:$D$354,MATCH(170,'كشف الحساب'!$P$4:$P$354,0)),"")</f>
        <v>0</v>
      </c>
      <c r="F175" s="125">
        <f t="shared" si="5"/>
        <v>324.79500000000007</v>
      </c>
    </row>
    <row r="176" spans="1:6" ht="18" customHeight="1" x14ac:dyDescent="0.25">
      <c r="A176" s="142">
        <f>IFERROR(INDEX('كشف الحساب'!$A$4:$A$354,MATCH(171,'كشف الحساب'!$P$4:$P$354,0)),"")</f>
        <v>46276</v>
      </c>
      <c r="B176" s="122" t="str">
        <f>IFERROR(INDEX('كشف الحساب'!$B$4:$B$354,MATCH(171,'كشف الحساب'!$P$4:$P$354,0)),"")</f>
        <v>Inv-144</v>
      </c>
      <c r="C176" s="121" t="str">
        <f>IFERROR(INDEX('كشف الحساب'!$C$4:$C$354,MATCH(171,'كشف الحساب'!$P$4:$P$354,0)),"")</f>
        <v>معلقات عدد 2 الحبه 1</v>
      </c>
      <c r="D176" s="123">
        <f>IFERROR(INDEX('كشف الحساب'!$E$4:$E$354,MATCH(171,'كشف الحساب'!$P$4:$P$354,0)),"")</f>
        <v>2</v>
      </c>
      <c r="E176" s="124">
        <f>IFERROR(INDEX('كشف الحساب'!$D$4:$D$354,MATCH(171,'كشف الحساب'!$P$4:$P$354,0)),"")</f>
        <v>0</v>
      </c>
      <c r="F176" s="125">
        <f t="shared" si="5"/>
        <v>326.79500000000007</v>
      </c>
    </row>
    <row r="177" spans="1:6" ht="18" customHeight="1" x14ac:dyDescent="0.25">
      <c r="A177" s="142">
        <f>IFERROR(INDEX('كشف الحساب'!$A$4:$A$354,MATCH(172,'كشف الحساب'!$P$4:$P$354,0)),"")</f>
        <v>46276</v>
      </c>
      <c r="B177" s="122" t="str">
        <f>IFERROR(INDEX('كشف الحساب'!$B$4:$B$354,MATCH(172,'كشف الحساب'!$P$4:$P$354,0)),"")</f>
        <v>Inv-145</v>
      </c>
      <c r="C177" s="121" t="str">
        <f>IFERROR(INDEX('كشف الحساب'!$C$4:$C$354,MATCH(172,'كشف الحساب'!$P$4:$P$354,0)),"")</f>
        <v>دارسينا اسود عدد 2 الحبه 2.500</v>
      </c>
      <c r="D177" s="123">
        <f>IFERROR(INDEX('كشف الحساب'!$E$4:$E$354,MATCH(172,'كشف الحساب'!$P$4:$P$354,0)),"")</f>
        <v>5</v>
      </c>
      <c r="E177" s="124">
        <f>IFERROR(INDEX('كشف الحساب'!$D$4:$D$354,MATCH(172,'كشف الحساب'!$P$4:$P$354,0)),"")</f>
        <v>0</v>
      </c>
      <c r="F177" s="125">
        <f t="shared" si="5"/>
        <v>331.79500000000007</v>
      </c>
    </row>
    <row r="178" spans="1:6" ht="18" customHeight="1" x14ac:dyDescent="0.25">
      <c r="A178" s="142">
        <f>IFERROR(INDEX('كشف الحساب'!$A$4:$A$354,MATCH(173,'كشف الحساب'!$P$4:$P$354,0)),"")</f>
        <v>46276</v>
      </c>
      <c r="B178" s="122" t="str">
        <f>IFERROR(INDEX('كشف الحساب'!$B$4:$B$354,MATCH(173,'كشف الحساب'!$P$4:$P$354,0)),"")</f>
        <v>Inv-146</v>
      </c>
      <c r="C178" s="121" t="str">
        <f>IFERROR(INDEX('كشف الحساب'!$C$4:$C$354,MATCH(173,'كشف الحساب'!$P$4:$P$354,0)),"")</f>
        <v>متنوع عدد 2 الحبه 1</v>
      </c>
      <c r="D178" s="123">
        <f>IFERROR(INDEX('كشف الحساب'!$E$4:$E$354,MATCH(173,'كشف الحساب'!$P$4:$P$354,0)),"")</f>
        <v>2</v>
      </c>
      <c r="E178" s="124">
        <f>IFERROR(INDEX('كشف الحساب'!$D$4:$D$354,MATCH(173,'كشف الحساب'!$P$4:$P$354,0)),"")</f>
        <v>0</v>
      </c>
      <c r="F178" s="125">
        <f t="shared" si="5"/>
        <v>333.79500000000007</v>
      </c>
    </row>
    <row r="179" spans="1:6" ht="18" customHeight="1" x14ac:dyDescent="0.25">
      <c r="A179" s="142">
        <f>IFERROR(INDEX('كشف الحساب'!$A$4:$A$354,MATCH(174,'كشف الحساب'!$P$4:$P$354,0)),"")</f>
        <v>46276</v>
      </c>
      <c r="B179" s="122" t="str">
        <f>IFERROR(INDEX('كشف الحساب'!$B$4:$B$354,MATCH(174,'كشف الحساب'!$P$4:$P$354,0)),"")</f>
        <v>Inv-147</v>
      </c>
      <c r="C179" s="121" t="str">
        <f>IFERROR(INDEX('كشف الحساب'!$C$4:$C$354,MATCH(174,'كشف الحساب'!$P$4:$P$354,0)),"")</f>
        <v>متنوع عدد 2 الحبه 1.500</v>
      </c>
      <c r="D179" s="123">
        <f>IFERROR(INDEX('كشف الحساب'!$E$4:$E$354,MATCH(174,'كشف الحساب'!$P$4:$P$354,0)),"")</f>
        <v>3</v>
      </c>
      <c r="E179" s="124">
        <f>IFERROR(INDEX('كشف الحساب'!$D$4:$D$354,MATCH(174,'كشف الحساب'!$P$4:$P$354,0)),"")</f>
        <v>0</v>
      </c>
      <c r="F179" s="125">
        <f t="shared" si="5"/>
        <v>336.79500000000007</v>
      </c>
    </row>
    <row r="180" spans="1:6" ht="18" customHeight="1" x14ac:dyDescent="0.25">
      <c r="A180" s="142">
        <f>IFERROR(INDEX('كشف الحساب'!$A$4:$A$354,MATCH(175,'كشف الحساب'!$P$4:$P$354,0)),"")</f>
        <v>46276</v>
      </c>
      <c r="B180" s="122" t="str">
        <f>IFERROR(INDEX('كشف الحساب'!$B$4:$B$354,MATCH(175,'كشف الحساب'!$P$4:$P$354,0)),"")</f>
        <v>Inv-148</v>
      </c>
      <c r="C180" s="121" t="str">
        <f>IFERROR(INDEX('كشف الحساب'!$C$4:$C$354,MATCH(175,'كشف الحساب'!$P$4:$P$354,0)),"")</f>
        <v>متنوع عدد 2 الحبه 1</v>
      </c>
      <c r="D180" s="123">
        <f>IFERROR(INDEX('كشف الحساب'!$E$4:$E$354,MATCH(175,'كشف الحساب'!$P$4:$P$354,0)),"")</f>
        <v>2</v>
      </c>
      <c r="E180" s="124">
        <f>IFERROR(INDEX('كشف الحساب'!$D$4:$D$354,MATCH(175,'كشف الحساب'!$P$4:$P$354,0)),"")</f>
        <v>0</v>
      </c>
      <c r="F180" s="125">
        <f t="shared" si="5"/>
        <v>338.79500000000007</v>
      </c>
    </row>
    <row r="181" spans="1:6" ht="18" customHeight="1" x14ac:dyDescent="0.25">
      <c r="A181" s="142">
        <f>IFERROR(INDEX('كشف الحساب'!$A$4:$A$354,MATCH(176,'كشف الحساب'!$P$4:$P$354,0)),"")</f>
        <v>46277</v>
      </c>
      <c r="B181" s="122">
        <f>IFERROR(INDEX('كشف الحساب'!$B$4:$B$354,MATCH(176,'كشف الحساب'!$P$4:$P$354,0)),"")</f>
        <v>0</v>
      </c>
      <c r="C181" s="121" t="str">
        <f>IFERROR(INDEX('كشف الحساب'!$C$4:$C$354,MATCH(176,'كشف الحساب'!$P$4:$P$354,0)),"")</f>
        <v>عصايا  500 حجم 120سم 500 90 سم 2 ابريق ماء 8 لتر</v>
      </c>
      <c r="D181" s="123">
        <f>IFERROR(INDEX('كشف الحساب'!$E$4:$E$354,MATCH(176,'كشف الحساب'!$P$4:$P$354,0)),"")</f>
        <v>0</v>
      </c>
      <c r="E181" s="124">
        <f>IFERROR(INDEX('كشف الحساب'!$D$4:$D$354,MATCH(176,'كشف الحساب'!$P$4:$P$354,0)),"")</f>
        <v>34.5</v>
      </c>
      <c r="F181" s="125">
        <f t="shared" si="5"/>
        <v>304.29500000000007</v>
      </c>
    </row>
    <row r="182" spans="1:6" ht="18" customHeight="1" x14ac:dyDescent="0.25">
      <c r="A182" s="142">
        <f>IFERROR(INDEX('كشف الحساب'!$A$4:$A$354,MATCH(177,'كشف الحساب'!$P$4:$P$354,0)),"")</f>
        <v>46278</v>
      </c>
      <c r="B182" s="122" t="str">
        <f>IFERROR(INDEX('كشف الحساب'!$B$4:$B$354,MATCH(177,'كشف الحساب'!$P$4:$P$354,0)),"")</f>
        <v>Inv-149</v>
      </c>
      <c r="C182" s="121" t="str">
        <f>IFERROR(INDEX('كشف الحساب'!$C$4:$C$354,MATCH(177,'كشف الحساب'!$P$4:$P$354,0)),"")</f>
        <v>زهور التهاني</v>
      </c>
      <c r="D182" s="123">
        <f>IFERROR(INDEX('كشف الحساب'!$E$4:$E$354,MATCH(177,'كشف الحساب'!$P$4:$P$354,0)),"")</f>
        <v>310</v>
      </c>
      <c r="E182" s="124">
        <f>IFERROR(INDEX('كشف الحساب'!$D$4:$D$354,MATCH(177,'كشف الحساب'!$P$4:$P$354,0)),"")</f>
        <v>0</v>
      </c>
      <c r="F182" s="125">
        <f t="shared" si="5"/>
        <v>614.29500000000007</v>
      </c>
    </row>
    <row r="183" spans="1:6" ht="18" customHeight="1" x14ac:dyDescent="0.25">
      <c r="A183" s="142">
        <f>IFERROR(INDEX('كشف الحساب'!$A$4:$A$354,MATCH(178,'كشف الحساب'!$P$4:$P$354,0)),"")</f>
        <v>46278</v>
      </c>
      <c r="B183" s="122">
        <f>IFERROR(INDEX('كشف الحساب'!$B$4:$B$354,MATCH(178,'كشف الحساب'!$P$4:$P$354,0)),"")</f>
        <v>0</v>
      </c>
      <c r="C183" s="121" t="str">
        <f>IFERROR(INDEX('كشف الحساب'!$C$4:$C$354,MATCH(178,'كشف الحساب'!$P$4:$P$354,0)),"")</f>
        <v>فيتامين حديد</v>
      </c>
      <c r="D183" s="123">
        <f>IFERROR(INDEX('كشف الحساب'!$E$4:$E$354,MATCH(178,'كشف الحساب'!$P$4:$P$354,0)),"")</f>
        <v>0</v>
      </c>
      <c r="E183" s="124">
        <f>IFERROR(INDEX('كشف الحساب'!$D$4:$D$354,MATCH(178,'كشف الحساب'!$P$4:$P$354,0)),"")</f>
        <v>5</v>
      </c>
      <c r="F183" s="125">
        <f t="shared" si="5"/>
        <v>609.29500000000007</v>
      </c>
    </row>
    <row r="184" spans="1:6" ht="18" customHeight="1" x14ac:dyDescent="0.25">
      <c r="A184" s="142">
        <f>IFERROR(INDEX('كشف الحساب'!$A$4:$A$354,MATCH(179,'كشف الحساب'!$P$4:$P$354,0)),"")</f>
        <v>46282</v>
      </c>
      <c r="B184" s="122">
        <f>IFERROR(INDEX('كشف الحساب'!$B$4:$B$354,MATCH(179,'كشف الحساب'!$P$4:$P$354,0)),"")</f>
        <v>0</v>
      </c>
      <c r="C184" s="121" t="str">
        <f>IFERROR(INDEX('كشف الحساب'!$C$4:$C$354,MATCH(179,'كشف الحساب'!$P$4:$P$354,0)),"")</f>
        <v>زيتون عدد 5 الوحده 1.250</v>
      </c>
      <c r="D184" s="123">
        <f>IFERROR(INDEX('كشف الحساب'!$E$4:$E$354,MATCH(179,'كشف الحساب'!$P$4:$P$354,0)),"")</f>
        <v>0</v>
      </c>
      <c r="E184" s="124">
        <f>IFERROR(INDEX('كشف الحساب'!$D$4:$D$354,MATCH(179,'كشف الحساب'!$P$4:$P$354,0)),"")</f>
        <v>6.25</v>
      </c>
      <c r="F184" s="125">
        <f t="shared" si="5"/>
        <v>603.04500000000007</v>
      </c>
    </row>
    <row r="185" spans="1:6" ht="18" customHeight="1" x14ac:dyDescent="0.25">
      <c r="A185" s="142">
        <f>IFERROR(INDEX('كشف الحساب'!$A$4:$A$354,MATCH(180,'كشف الحساب'!$P$4:$P$354,0)),"")</f>
        <v>46282</v>
      </c>
      <c r="B185" s="122">
        <f>IFERROR(INDEX('كشف الحساب'!$B$4:$B$354,MATCH(180,'كشف الحساب'!$P$4:$P$354,0)),"")</f>
        <v>0</v>
      </c>
      <c r="C185" s="121" t="str">
        <f>IFERROR(INDEX('كشف الحساب'!$C$4:$C$354,MATCH(180,'كشف الحساب'!$P$4:$P$354,0)),"")</f>
        <v>احواض عدد 1000 الحجم 25 سم</v>
      </c>
      <c r="D185" s="123">
        <f>IFERROR(INDEX('كشف الحساب'!$E$4:$E$354,MATCH(180,'كشف الحساب'!$P$4:$P$354,0)),"")</f>
        <v>0</v>
      </c>
      <c r="E185" s="124">
        <f>IFERROR(INDEX('كشف الحساب'!$D$4:$D$354,MATCH(180,'كشف الحساب'!$P$4:$P$354,0)),"")</f>
        <v>80</v>
      </c>
      <c r="F185" s="125">
        <f t="shared" si="5"/>
        <v>523.04500000000007</v>
      </c>
    </row>
    <row r="186" spans="1:6" ht="18" customHeight="1" x14ac:dyDescent="0.25">
      <c r="A186" s="142">
        <f>IFERROR(INDEX('كشف الحساب'!$A$4:$A$354,MATCH(181,'كشف الحساب'!$P$4:$P$354,0)),"")</f>
        <v>46282</v>
      </c>
      <c r="B186" s="122" t="str">
        <f>IFERROR(INDEX('كشف الحساب'!$B$4:$B$354,MATCH(181,'كشف الحساب'!$P$4:$P$354,0)),"")</f>
        <v>Inv-150</v>
      </c>
      <c r="C186" s="121" t="str">
        <f>IFERROR(INDEX('كشف الحساب'!$C$4:$C$354,MATCH(181,'كشف الحساب'!$P$4:$P$354,0)),"")</f>
        <v>صبار عدد 6 الحبه .500</v>
      </c>
      <c r="D186" s="123">
        <f>IFERROR(INDEX('كشف الحساب'!$E$4:$E$354,MATCH(181,'كشف الحساب'!$P$4:$P$354,0)),"")</f>
        <v>3</v>
      </c>
      <c r="E186" s="124">
        <f>IFERROR(INDEX('كشف الحساب'!$D$4:$D$354,MATCH(181,'كشف الحساب'!$P$4:$P$354,0)),"")</f>
        <v>0</v>
      </c>
      <c r="F186" s="125">
        <f t="shared" si="5"/>
        <v>526.04500000000007</v>
      </c>
    </row>
    <row r="187" spans="1:6" ht="18" customHeight="1" x14ac:dyDescent="0.25">
      <c r="A187" s="142">
        <f>IFERROR(INDEX('كشف الحساب'!$A$4:$A$354,MATCH(182,'كشف الحساب'!$P$4:$P$354,0)),"")</f>
        <v>46282</v>
      </c>
      <c r="B187" s="122" t="str">
        <f>IFERROR(INDEX('كشف الحساب'!$B$4:$B$354,MATCH(182,'كشف الحساب'!$P$4:$P$354,0)),"")</f>
        <v>Inv-151</v>
      </c>
      <c r="C187" s="121" t="str">
        <f>IFERROR(INDEX('كشف الحساب'!$C$4:$C$354,MATCH(182,'كشف الحساب'!$P$4:$P$354,0)),"")</f>
        <v>متنوع عدد 10 الحبه 1</v>
      </c>
      <c r="D187" s="123">
        <f>IFERROR(INDEX('كشف الحساب'!$E$4:$E$354,MATCH(182,'كشف الحساب'!$P$4:$P$354,0)),"")</f>
        <v>10</v>
      </c>
      <c r="E187" s="124">
        <f>IFERROR(INDEX('كشف الحساب'!$D$4:$D$354,MATCH(182,'كشف الحساب'!$P$4:$P$354,0)),"")</f>
        <v>0</v>
      </c>
      <c r="F187" s="125">
        <f t="shared" si="5"/>
        <v>536.04500000000007</v>
      </c>
    </row>
    <row r="188" spans="1:6" ht="18" customHeight="1" x14ac:dyDescent="0.25">
      <c r="A188" s="142">
        <f>IFERROR(INDEX('كشف الحساب'!$A$4:$A$354,MATCH(183,'كشف الحساب'!$P$4:$P$354,0)),"")</f>
        <v>46282</v>
      </c>
      <c r="B188" s="122" t="str">
        <f>IFERROR(INDEX('كشف الحساب'!$B$4:$B$354,MATCH(183,'كشف الحساب'!$P$4:$P$354,0)),"")</f>
        <v>Inv-152</v>
      </c>
      <c r="C188" s="121" t="str">
        <f>IFERROR(INDEX('كشف الحساب'!$C$4:$C$354,MATCH(183,'كشف الحساب'!$P$4:$P$354,0)),"")</f>
        <v>ودليه عدد 1- الحبه 1</v>
      </c>
      <c r="D188" s="123">
        <f>IFERROR(INDEX('كشف الحساب'!$E$4:$E$354,MATCH(183,'كشف الحساب'!$P$4:$P$354,0)),"")</f>
        <v>10</v>
      </c>
      <c r="E188" s="124">
        <f>IFERROR(INDEX('كشف الحساب'!$D$4:$D$354,MATCH(183,'كشف الحساب'!$P$4:$P$354,0)),"")</f>
        <v>0</v>
      </c>
      <c r="F188" s="125">
        <f t="shared" si="5"/>
        <v>546.04500000000007</v>
      </c>
    </row>
    <row r="189" spans="1:6" ht="18" customHeight="1" x14ac:dyDescent="0.25">
      <c r="A189" s="142">
        <f>IFERROR(INDEX('كشف الحساب'!$A$4:$A$354,MATCH(184,'كشف الحساب'!$P$4:$P$354,0)),"")</f>
        <v>46282</v>
      </c>
      <c r="B189" s="122" t="str">
        <f>IFERROR(INDEX('كشف الحساب'!$B$4:$B$354,MATCH(184,'كشف الحساب'!$P$4:$P$354,0)),"")</f>
        <v>Inv-153</v>
      </c>
      <c r="C189" s="121" t="str">
        <f>IFERROR(INDEX('كشف الحساب'!$C$4:$C$354,MATCH(184,'كشف الحساب'!$P$4:$P$354,0)),"")</f>
        <v>دارسينا كبيره عدد 1</v>
      </c>
      <c r="D189" s="123">
        <f>IFERROR(INDEX('كشف الحساب'!$E$4:$E$354,MATCH(184,'كشف الحساب'!$P$4:$P$354,0)),"")</f>
        <v>10</v>
      </c>
      <c r="E189" s="124">
        <f>IFERROR(INDEX('كشف الحساب'!$D$4:$D$354,MATCH(184,'كشف الحساب'!$P$4:$P$354,0)),"")</f>
        <v>0</v>
      </c>
      <c r="F189" s="125">
        <f t="shared" si="5"/>
        <v>556.04500000000007</v>
      </c>
    </row>
    <row r="190" spans="1:6" ht="18" customHeight="1" x14ac:dyDescent="0.25">
      <c r="A190" s="142">
        <f>IFERROR(INDEX('كشف الحساب'!$A$4:$A$354,MATCH(185,'كشف الحساب'!$P$4:$P$354,0)),"")</f>
        <v>46282</v>
      </c>
      <c r="B190" s="122" t="str">
        <f>IFERROR(INDEX('كشف الحساب'!$B$4:$B$354,MATCH(185,'كشف الحساب'!$P$4:$P$354,0)),"")</f>
        <v>Inv-154</v>
      </c>
      <c r="C190" s="121" t="str">
        <f>IFERROR(INDEX('كشف الحساب'!$C$4:$C$354,MATCH(185,'كشف الحساب'!$P$4:$P$354,0)),"")</f>
        <v>متنوع عدد 6 الحبه 1,500</v>
      </c>
      <c r="D190" s="123">
        <f>IFERROR(INDEX('كشف الحساب'!$E$4:$E$354,MATCH(185,'كشف الحساب'!$P$4:$P$354,0)),"")</f>
        <v>9</v>
      </c>
      <c r="E190" s="124">
        <f>IFERROR(INDEX('كشف الحساب'!$D$4:$D$354,MATCH(185,'كشف الحساب'!$P$4:$P$354,0)),"")</f>
        <v>0</v>
      </c>
      <c r="F190" s="125">
        <f t="shared" si="5"/>
        <v>565.04500000000007</v>
      </c>
    </row>
    <row r="191" spans="1:6" ht="18" customHeight="1" x14ac:dyDescent="0.25">
      <c r="A191" s="142">
        <f>IFERROR(INDEX('كشف الحساب'!$A$4:$A$354,MATCH(186,'كشف الحساب'!$P$4:$P$354,0)),"")</f>
        <v>46282</v>
      </c>
      <c r="B191" s="122" t="str">
        <f>IFERROR(INDEX('كشف الحساب'!$B$4:$B$354,MATCH(186,'كشف الحساب'!$P$4:$P$354,0)),"")</f>
        <v>Inv-155</v>
      </c>
      <c r="C191" s="121" t="str">
        <f>IFERROR(INDEX('كشف الحساب'!$C$4:$C$354,MATCH(186,'كشف الحساب'!$P$4:$P$354,0)),"")</f>
        <v>متنوع عدد 6 الحبه 1,500</v>
      </c>
      <c r="D191" s="123">
        <f>IFERROR(INDEX('كشف الحساب'!$E$4:$E$354,MATCH(186,'كشف الحساب'!$P$4:$P$354,0)),"")</f>
        <v>6</v>
      </c>
      <c r="E191" s="124">
        <f>IFERROR(INDEX('كشف الحساب'!$D$4:$D$354,MATCH(186,'كشف الحساب'!$P$4:$P$354,0)),"")</f>
        <v>0</v>
      </c>
      <c r="F191" s="125">
        <f t="shared" si="5"/>
        <v>571.04500000000007</v>
      </c>
    </row>
    <row r="192" spans="1:6" ht="18" customHeight="1" x14ac:dyDescent="0.25">
      <c r="A192" s="142">
        <f>IFERROR(INDEX('كشف الحساب'!$A$4:$A$354,MATCH(187,'كشف الحساب'!$P$4:$P$354,0)),"")</f>
        <v>46282</v>
      </c>
      <c r="B192" s="122" t="str">
        <f>IFERROR(INDEX('كشف الحساب'!$B$4:$B$354,MATCH(187,'كشف الحساب'!$P$4:$P$354,0)),"")</f>
        <v>Inv-156</v>
      </c>
      <c r="C192" s="121" t="str">
        <f>IFERROR(INDEX('كشف الحساب'!$C$4:$C$354,MATCH(187,'كشف الحساب'!$P$4:$P$354,0)),"")</f>
        <v>صبار تايجر عدد 30 الحبه 1</v>
      </c>
      <c r="D192" s="123">
        <f>IFERROR(INDEX('كشف الحساب'!$E$4:$E$354,MATCH(187,'كشف الحساب'!$P$4:$P$354,0)),"")</f>
        <v>30</v>
      </c>
      <c r="E192" s="124">
        <f>IFERROR(INDEX('كشف الحساب'!$D$4:$D$354,MATCH(187,'كشف الحساب'!$P$4:$P$354,0)),"")</f>
        <v>0</v>
      </c>
      <c r="F192" s="125">
        <f t="shared" si="5"/>
        <v>601.04500000000007</v>
      </c>
    </row>
    <row r="193" spans="1:6" ht="18" customHeight="1" x14ac:dyDescent="0.25">
      <c r="A193" s="142">
        <f>IFERROR(INDEX('كشف الحساب'!$A$4:$A$354,MATCH(188,'كشف الحساب'!$P$4:$P$354,0)),"")</f>
        <v>46282</v>
      </c>
      <c r="B193" s="122" t="str">
        <f>IFERROR(INDEX('كشف الحساب'!$B$4:$B$354,MATCH(188,'كشف الحساب'!$P$4:$P$354,0)),"")</f>
        <v>Inv-157</v>
      </c>
      <c r="C193" s="121" t="str">
        <f>IFERROR(INDEX('كشف الحساب'!$C$4:$C$354,MATCH(188,'كشف الحساب'!$P$4:$P$354,0)),"")</f>
        <v>صبار تايجر صغير عدد 10 الحبه .750</v>
      </c>
      <c r="D193" s="123">
        <f>IFERROR(INDEX('كشف الحساب'!$E$4:$E$354,MATCH(188,'كشف الحساب'!$P$4:$P$354,0)),"")</f>
        <v>7.5</v>
      </c>
      <c r="E193" s="124">
        <f>IFERROR(INDEX('كشف الحساب'!$D$4:$D$354,MATCH(188,'كشف الحساب'!$P$4:$P$354,0)),"")</f>
        <v>0</v>
      </c>
      <c r="F193" s="125">
        <f t="shared" si="5"/>
        <v>608.54500000000007</v>
      </c>
    </row>
    <row r="194" spans="1:6" ht="18" customHeight="1" x14ac:dyDescent="0.25">
      <c r="A194" s="142">
        <f>IFERROR(INDEX('كشف الحساب'!$A$4:$A$354,MATCH(189,'كشف الحساب'!$P$4:$P$354,0)),"")</f>
        <v>46282</v>
      </c>
      <c r="B194" s="122" t="str">
        <f>IFERROR(INDEX('كشف الحساب'!$B$4:$B$354,MATCH(189,'كشف الحساب'!$P$4:$P$354,0)),"")</f>
        <v>Inv-158</v>
      </c>
      <c r="C194" s="121" t="str">
        <f>IFERROR(INDEX('كشف الحساب'!$C$4:$C$354,MATCH(189,'كشف الحساب'!$P$4:$P$354,0)),"")</f>
        <v>نعناع عدد 5 الحبه .500</v>
      </c>
      <c r="D194" s="123">
        <f>IFERROR(INDEX('كشف الحساب'!$E$4:$E$354,MATCH(189,'كشف الحساب'!$P$4:$P$354,0)),"")</f>
        <v>2.5</v>
      </c>
      <c r="E194" s="124">
        <f>IFERROR(INDEX('كشف الحساب'!$D$4:$D$354,MATCH(189,'كشف الحساب'!$P$4:$P$354,0)),"")</f>
        <v>0</v>
      </c>
      <c r="F194" s="125">
        <f t="shared" si="5"/>
        <v>611.04500000000007</v>
      </c>
    </row>
    <row r="195" spans="1:6" ht="18" customHeight="1" x14ac:dyDescent="0.25">
      <c r="A195" s="142">
        <f>IFERROR(INDEX('كشف الحساب'!$A$4:$A$354,MATCH(190,'كشف الحساب'!$P$4:$P$354,0)),"")</f>
        <v>46282</v>
      </c>
      <c r="B195" s="122" t="str">
        <f>IFERROR(INDEX('كشف الحساب'!$B$4:$B$354,MATCH(190,'كشف الحساب'!$P$4:$P$354,0)),"")</f>
        <v>Inv-159</v>
      </c>
      <c r="C195" s="121" t="str">
        <f>IFERROR(INDEX('كشف الحساب'!$C$4:$C$354,MATCH(190,'كشف الحساب'!$P$4:$P$354,0)),"")</f>
        <v>زعتر عدد 10 الحبه ,750</v>
      </c>
      <c r="D195" s="123">
        <f>IFERROR(INDEX('كشف الحساب'!$E$4:$E$354,MATCH(190,'كشف الحساب'!$P$4:$P$354,0)),"")</f>
        <v>7.5</v>
      </c>
      <c r="E195" s="124">
        <f>IFERROR(INDEX('كشف الحساب'!$D$4:$D$354,MATCH(190,'كشف الحساب'!$P$4:$P$354,0)),"")</f>
        <v>0</v>
      </c>
      <c r="F195" s="125">
        <f t="shared" si="5"/>
        <v>618.54500000000007</v>
      </c>
    </row>
    <row r="196" spans="1:6" ht="18" customHeight="1" x14ac:dyDescent="0.25">
      <c r="A196" s="142">
        <f>IFERROR(INDEX('كشف الحساب'!$A$4:$A$354,MATCH(191,'كشف الحساب'!$P$4:$P$354,0)),"")</f>
        <v>46284</v>
      </c>
      <c r="B196" s="122">
        <f>IFERROR(INDEX('كشف الحساب'!$B$4:$B$354,MATCH(191,'كشف الحساب'!$P$4:$P$354,0)),"")</f>
        <v>0</v>
      </c>
      <c r="C196" s="121" t="str">
        <f>IFERROR(INDEX('كشف الحساب'!$C$4:$C$354,MATCH(191,'كشف الحساب'!$P$4:$P$354,0)),"")</f>
        <v>طربال اسود</v>
      </c>
      <c r="D196" s="123">
        <f>IFERROR(INDEX('كشف الحساب'!$E$4:$E$354,MATCH(191,'كشف الحساب'!$P$4:$P$354,0)),"")</f>
        <v>0</v>
      </c>
      <c r="E196" s="124">
        <f>IFERROR(INDEX('كشف الحساب'!$D$4:$D$354,MATCH(191,'كشف الحساب'!$P$4:$P$354,0)),"")</f>
        <v>25</v>
      </c>
      <c r="F196" s="125">
        <f t="shared" si="5"/>
        <v>593.54500000000007</v>
      </c>
    </row>
    <row r="197" spans="1:6" ht="18" customHeight="1" x14ac:dyDescent="0.25">
      <c r="A197" s="142">
        <f>IFERROR(INDEX('كشف الحساب'!$A$4:$A$354,MATCH(192,'كشف الحساب'!$P$4:$P$354,0)),"")</f>
        <v>46284</v>
      </c>
      <c r="B197" s="122" t="str">
        <f>IFERROR(INDEX('كشف الحساب'!$B$4:$B$354,MATCH(192,'كشف الحساب'!$P$4:$P$354,0)),"")</f>
        <v>Inv-160</v>
      </c>
      <c r="C197" s="121" t="str">
        <f>IFERROR(INDEX('كشف الحساب'!$C$4:$C$354,MATCH(192,'كشف الحساب'!$P$4:$P$354,0)),"")</f>
        <v>التهاني</v>
      </c>
      <c r="D197" s="123">
        <f>IFERROR(INDEX('كشف الحساب'!$E$4:$E$354,MATCH(192,'كشف الحساب'!$P$4:$P$354,0)),"")</f>
        <v>243</v>
      </c>
      <c r="E197" s="124">
        <f>IFERROR(INDEX('كشف الحساب'!$D$4:$D$354,MATCH(192,'كشف الحساب'!$P$4:$P$354,0)),"")</f>
        <v>0</v>
      </c>
      <c r="F197" s="125">
        <f t="shared" si="5"/>
        <v>836.54500000000007</v>
      </c>
    </row>
    <row r="198" spans="1:6" ht="18" customHeight="1" x14ac:dyDescent="0.25">
      <c r="A198" s="142">
        <f>IFERROR(INDEX('كشف الحساب'!$A$4:$A$354,MATCH(193,'كشف الحساب'!$P$4:$P$354,0)),"")</f>
        <v>46284</v>
      </c>
      <c r="B198" s="122">
        <f>IFERROR(INDEX('كشف الحساب'!$B$4:$B$354,MATCH(193,'كشف الحساب'!$P$4:$P$354,0)),"")</f>
        <v>0</v>
      </c>
      <c r="C198" s="121" t="str">
        <f>IFERROR(INDEX('كشف الحساب'!$C$4:$C$354,MATCH(193,'كشف الحساب'!$P$4:$P$354,0)),"")</f>
        <v>صبار اوليفيرا عدد 25 الحبه 0.750</v>
      </c>
      <c r="D198" s="123">
        <f>IFERROR(INDEX('كشف الحساب'!$E$4:$E$354,MATCH(193,'كشف الحساب'!$P$4:$P$354,0)),"")</f>
        <v>0</v>
      </c>
      <c r="E198" s="124">
        <f>IFERROR(INDEX('كشف الحساب'!$D$4:$D$354,MATCH(193,'كشف الحساب'!$P$4:$P$354,0)),"")</f>
        <v>18.75</v>
      </c>
      <c r="F198" s="125">
        <f t="shared" si="5"/>
        <v>817.79500000000007</v>
      </c>
    </row>
    <row r="199" spans="1:6" ht="18" customHeight="1" x14ac:dyDescent="0.25">
      <c r="A199" s="142">
        <f>IFERROR(INDEX('كشف الحساب'!$A$4:$A$354,MATCH(194,'كشف الحساب'!$P$4:$P$354,0)),"")</f>
        <v>46286</v>
      </c>
      <c r="B199" s="122">
        <f>IFERROR(INDEX('كشف الحساب'!$B$4:$B$354,MATCH(194,'كشف الحساب'!$P$4:$P$354,0)),"")</f>
        <v>0</v>
      </c>
      <c r="C199" s="121" t="str">
        <f>IFERROR(INDEX('كشف الحساب'!$C$4:$C$354,MATCH(194,'كشف الحساب'!$P$4:$P$354,0)),"")</f>
        <v>احواض عدد 1000 مقاس 14 سم</v>
      </c>
      <c r="D199" s="123">
        <f>IFERROR(INDEX('كشف الحساب'!$E$4:$E$354,MATCH(194,'كشف الحساب'!$P$4:$P$354,0)),"")</f>
        <v>0</v>
      </c>
      <c r="E199" s="124">
        <f>IFERROR(INDEX('كشف الحساب'!$D$4:$D$354,MATCH(194,'كشف الحساب'!$P$4:$P$354,0)),"")</f>
        <v>20</v>
      </c>
      <c r="F199" s="125">
        <f t="shared" ref="F199:F205" si="6">IF($A199="","",IF($F198="",0,$F198)+IF($D199="",0,$D199)-IF($E199="",0,$E199))</f>
        <v>797.79500000000007</v>
      </c>
    </row>
    <row r="200" spans="1:6" ht="18" customHeight="1" x14ac:dyDescent="0.25">
      <c r="A200" s="142">
        <f>IFERROR(INDEX('كشف الحساب'!$A$4:$A$354,MATCH(195,'كشف الحساب'!$P$4:$P$354,0)),"")</f>
        <v>46286</v>
      </c>
      <c r="B200" s="122" t="str">
        <f>IFERROR(INDEX('كشف الحساب'!$B$4:$B$354,MATCH(195,'كشف الحساب'!$P$4:$P$354,0)),"")</f>
        <v>Inv-161</v>
      </c>
      <c r="C200" s="121" t="str">
        <f>IFERROR(INDEX('كشف الحساب'!$C$4:$C$354,MATCH(195,'كشف الحساب'!$P$4:$P$354,0)),"")</f>
        <v>متنوع</v>
      </c>
      <c r="D200" s="123">
        <f>IFERROR(INDEX('كشف الحساب'!$E$4:$E$354,MATCH(195,'كشف الحساب'!$P$4:$P$354,0)),"")</f>
        <v>1.5</v>
      </c>
      <c r="E200" s="124">
        <f>IFERROR(INDEX('كشف الحساب'!$D$4:$D$354,MATCH(195,'كشف الحساب'!$P$4:$P$354,0)),"")</f>
        <v>0</v>
      </c>
      <c r="F200" s="125">
        <f t="shared" si="6"/>
        <v>799.29500000000007</v>
      </c>
    </row>
    <row r="201" spans="1:6" ht="18" customHeight="1" x14ac:dyDescent="0.25">
      <c r="A201" s="142">
        <f>IFERROR(INDEX('كشف الحساب'!$A$4:$A$354,MATCH(196,'كشف الحساب'!$P$4:$P$354,0)),"")</f>
        <v>46286</v>
      </c>
      <c r="B201" s="122" t="str">
        <f>IFERROR(INDEX('كشف الحساب'!$B$4:$B$354,MATCH(196,'كشف الحساب'!$P$4:$P$354,0)),"")</f>
        <v>Inv-162</v>
      </c>
      <c r="C201" s="121" t="str">
        <f>IFERROR(INDEX('كشف الحساب'!$C$4:$C$354,MATCH(196,'كشف الحساب'!$P$4:$P$354,0)),"")</f>
        <v>متنوع</v>
      </c>
      <c r="D201" s="123">
        <f>IFERROR(INDEX('كشف الحساب'!$E$4:$E$354,MATCH(196,'كشف الحساب'!$P$4:$P$354,0)),"")</f>
        <v>1</v>
      </c>
      <c r="E201" s="124">
        <f>IFERROR(INDEX('كشف الحساب'!$D$4:$D$354,MATCH(196,'كشف الحساب'!$P$4:$P$354,0)),"")</f>
        <v>0</v>
      </c>
      <c r="F201" s="125">
        <f t="shared" si="6"/>
        <v>800.29500000000007</v>
      </c>
    </row>
    <row r="202" spans="1:6" ht="18" customHeight="1" x14ac:dyDescent="0.25">
      <c r="A202" s="142">
        <f>IFERROR(INDEX('كشف الحساب'!$A$4:$A$354,MATCH(197,'كشف الحساب'!$P$4:$P$354,0)),"")</f>
        <v>46286</v>
      </c>
      <c r="B202" s="122" t="str">
        <f>IFERROR(INDEX('كشف الحساب'!$B$4:$B$354,MATCH(197,'كشف الحساب'!$P$4:$P$354,0)),"")</f>
        <v>Inv-163</v>
      </c>
      <c r="C202" s="121" t="str">
        <f>IFERROR(INDEX('كشف الحساب'!$C$4:$C$354,MATCH(197,'كشف الحساب'!$P$4:$P$354,0)),"")</f>
        <v>دارسينا اخضر عدد1 القيمه 2.500</v>
      </c>
      <c r="D202" s="123">
        <f>IFERROR(INDEX('كشف الحساب'!$E$4:$E$354,MATCH(197,'كشف الحساب'!$P$4:$P$354,0)),"")</f>
        <v>2.5</v>
      </c>
      <c r="E202" s="124">
        <f>IFERROR(INDEX('كشف الحساب'!$D$4:$D$354,MATCH(197,'كشف الحساب'!$P$4:$P$354,0)),"")</f>
        <v>0</v>
      </c>
      <c r="F202" s="125">
        <f t="shared" si="6"/>
        <v>802.79500000000007</v>
      </c>
    </row>
    <row r="203" spans="1:6" ht="18" customHeight="1" x14ac:dyDescent="0.25">
      <c r="A203" s="142">
        <f>IFERROR(INDEX('كشف الحساب'!$A$4:$A$354,MATCH(198,'كشف الحساب'!$P$4:$P$354,0)),"")</f>
        <v>46286</v>
      </c>
      <c r="B203" s="122" t="str">
        <f>IFERROR(INDEX('كشف الحساب'!$B$4:$B$354,MATCH(198,'كشف الحساب'!$P$4:$P$354,0)),"")</f>
        <v>Inv-164</v>
      </c>
      <c r="C203" s="121" t="str">
        <f>IFERROR(INDEX('كشف الحساب'!$C$4:$C$354,MATCH(198,'كشف الحساب'!$P$4:$P$354,0)),"")</f>
        <v>دارسينا اسودعدد 29 الحبه 2.500</v>
      </c>
      <c r="D203" s="123">
        <f>IFERROR(INDEX('كشف الحساب'!$E$4:$E$354,MATCH(198,'كشف الحساب'!$P$4:$P$354,0)),"")</f>
        <v>72.5</v>
      </c>
      <c r="E203" s="124">
        <f>IFERROR(INDEX('كشف الحساب'!$D$4:$D$354,MATCH(198,'كشف الحساب'!$P$4:$P$354,0)),"")</f>
        <v>0</v>
      </c>
      <c r="F203" s="125">
        <f t="shared" si="6"/>
        <v>875.29500000000007</v>
      </c>
    </row>
    <row r="204" spans="1:6" ht="18" customHeight="1" x14ac:dyDescent="0.25">
      <c r="A204" s="142">
        <f>IFERROR(INDEX('كشف الحساب'!$A$4:$A$354,MATCH(199,'كشف الحساب'!$P$4:$P$354,0)),"")</f>
        <v>46286</v>
      </c>
      <c r="B204" s="122" t="str">
        <f>IFERROR(INDEX('كشف الحساب'!$B$4:$B$354,MATCH(199,'كشف الحساب'!$P$4:$P$354,0)),"")</f>
        <v>Inv-165</v>
      </c>
      <c r="C204" s="121" t="str">
        <f>IFERROR(INDEX('كشف الحساب'!$C$4:$C$354,MATCH(199,'كشف الحساب'!$P$4:$P$354,0)),"")</f>
        <v>متنوع</v>
      </c>
      <c r="D204" s="123">
        <f>IFERROR(INDEX('كشف الحساب'!$E$4:$E$354,MATCH(199,'كشف الحساب'!$P$4:$P$354,0)),"")</f>
        <v>1.5</v>
      </c>
      <c r="E204" s="124">
        <f>IFERROR(INDEX('كشف الحساب'!$D$4:$D$354,MATCH(199,'كشف الحساب'!$P$4:$P$354,0)),"")</f>
        <v>0</v>
      </c>
      <c r="F204" s="125">
        <f t="shared" si="6"/>
        <v>876.79500000000007</v>
      </c>
    </row>
    <row r="205" spans="1:6" ht="18" customHeight="1" x14ac:dyDescent="0.25">
      <c r="A205" s="142">
        <f>IFERROR(INDEX('كشف الحساب'!$A$4:$A$354,MATCH(200,'كشف الحساب'!$P$4:$P$354,0)),"")</f>
        <v>46287</v>
      </c>
      <c r="B205" s="122" t="str">
        <f>IFERROR(INDEX('كشف الحساب'!$B$4:$B$354,MATCH(200,'كشف الحساب'!$P$4:$P$354,0)),"")</f>
        <v>Inv-166</v>
      </c>
      <c r="C205" s="121" t="str">
        <f>IFERROR(INDEX('كشف الحساب'!$C$4:$C$354,MATCH(200,'كشف الحساب'!$P$4:$P$354,0)),"")</f>
        <v>صبار عدد 60 الحبه .750</v>
      </c>
      <c r="D205" s="123">
        <f>IFERROR(INDEX('كشف الحساب'!$E$4:$E$354,MATCH(200,'كشف الحساب'!$P$4:$P$354,0)),"")</f>
        <v>45</v>
      </c>
      <c r="E205" s="124">
        <f>IFERROR(INDEX('كشف الحساب'!$D$4:$D$354,MATCH(200,'كشف الحساب'!$P$4:$P$354,0)),"")</f>
        <v>0</v>
      </c>
      <c r="F205" s="125">
        <f t="shared" si="6"/>
        <v>921.79500000000007</v>
      </c>
    </row>
    <row r="206" spans="1:6" ht="18" customHeight="1" x14ac:dyDescent="0.25">
      <c r="A206" s="126"/>
      <c r="B206" s="126"/>
      <c r="C206" s="127" t="s">
        <v>9</v>
      </c>
      <c r="D206" s="128">
        <f>SUM(D6:D205)</f>
        <v>2928.19</v>
      </c>
      <c r="E206" s="129">
        <f>SUM(E6:E205)</f>
        <v>2006.395</v>
      </c>
      <c r="F206" s="130">
        <f>IFERROR(LOOKUP(2,1/($F$6:$F$205&lt;&gt;""),$F$6:$F$205),0)</f>
        <v>921.79500000000007</v>
      </c>
    </row>
    <row r="208" spans="1:6" ht="18" customHeight="1" x14ac:dyDescent="0.25">
      <c r="A208" s="157" t="s">
        <v>10</v>
      </c>
      <c r="B208" s="158"/>
      <c r="C208" s="158"/>
      <c r="D208" s="158"/>
      <c r="E208" s="158"/>
      <c r="F208" s="159"/>
    </row>
    <row r="209" spans="1:6" ht="18" customHeight="1" x14ac:dyDescent="0.25">
      <c r="A209" s="131" t="s">
        <v>3</v>
      </c>
      <c r="B209" s="131" t="s">
        <v>4</v>
      </c>
      <c r="C209" s="131" t="s">
        <v>5</v>
      </c>
      <c r="D209" s="131" t="s">
        <v>11</v>
      </c>
      <c r="E209" s="131" t="s">
        <v>12</v>
      </c>
      <c r="F209" s="131"/>
    </row>
    <row r="210" spans="1:6" ht="18" customHeight="1" x14ac:dyDescent="0.25">
      <c r="A210" s="143">
        <f>IFERROR(INDEX('كشف الحساب'!$A$4:$A$354,MATCH(1,'كشف الحساب'!$Q$4:$Q$354,0)),"")</f>
        <v>46131</v>
      </c>
      <c r="B210" s="133">
        <f>IFERROR(INDEX('كشف الحساب'!$B$4:$B$354,MATCH(1,'كشف الحساب'!$Q$4:$Q$354,0)),"")</f>
        <v>0</v>
      </c>
      <c r="C210" s="132" t="str">
        <f>IFERROR(INDEX('كشف الحساب'!$C$4:$C$354,MATCH(1,'كشف الحساب'!$Q$4:$Q$354,0)),"")</f>
        <v>تبديل كمبرسيور ثلاجة العمال</v>
      </c>
      <c r="D210" s="134">
        <f>IFERROR(INDEX('كشف الحساب'!$D$4:$D$354,MATCH(1,'كشف الحساب'!$Q$4:$Q$354,0)),"")</f>
        <v>45</v>
      </c>
      <c r="E210" s="135" t="str">
        <f>IFERROR(INDEX('كشف الحساب'!$G$4:$G$354,MATCH(1,'كشف الحساب'!$Q$4:$Q$354,0)),"")</f>
        <v>أبو اسحاق</v>
      </c>
      <c r="F210" s="132"/>
    </row>
    <row r="211" spans="1:6" ht="18" customHeight="1" x14ac:dyDescent="0.25">
      <c r="A211" s="143">
        <f>IFERROR(INDEX('كشف الحساب'!$A$4:$A$354,MATCH(2,'كشف الحساب'!$Q$4:$Q$354,0)),"")</f>
        <v>46134</v>
      </c>
      <c r="B211" s="133" t="str">
        <f>IFERROR(INDEX('كشف الحساب'!$B$4:$B$354,MATCH(2,'كشف الحساب'!$Q$4:$Q$354,0)),"")</f>
        <v>11300</v>
      </c>
      <c r="C211" s="132" t="str">
        <f>IFERROR(INDEX('كشف الحساب'!$C$4:$C$354,MATCH(2,'كشف الحساب'!$Q$4:$Q$354,0)),"")</f>
        <v>فلاتر كيميكال لمحطة التحلية</v>
      </c>
      <c r="D211" s="134">
        <f>IFERROR(INDEX('كشف الحساب'!$D$4:$D$354,MATCH(2,'كشف الحساب'!$Q$4:$Q$354,0)),"")</f>
        <v>55</v>
      </c>
      <c r="E211" s="135" t="str">
        <f>IFERROR(INDEX('كشف الحساب'!$G$4:$G$354,MATCH(2,'كشف الحساب'!$Q$4:$Q$354,0)),"")</f>
        <v>أبو اسحاق</v>
      </c>
      <c r="F211" s="132"/>
    </row>
    <row r="212" spans="1:6" ht="18" customHeight="1" x14ac:dyDescent="0.25">
      <c r="A212" s="143">
        <f>IFERROR(INDEX('كشف الحساب'!$A$4:$A$354,MATCH(3,'كشف الحساب'!$Q$4:$Q$354,0)),"")</f>
        <v>46134</v>
      </c>
      <c r="B212" s="133">
        <f>IFERROR(INDEX('كشف الحساب'!$B$4:$B$354,MATCH(3,'كشف الحساب'!$Q$4:$Q$354,0)),"")</f>
        <v>0</v>
      </c>
      <c r="C212" s="132" t="str">
        <f>IFERROR(INDEX('كشف الحساب'!$C$4:$C$354,MATCH(3,'كشف الحساب'!$Q$4:$Q$354,0)),"")</f>
        <v>ديزل لمكينة الكهرباء</v>
      </c>
      <c r="D212" s="134">
        <f>IFERROR(INDEX('كشف الحساب'!$D$4:$D$354,MATCH(3,'كشف الحساب'!$Q$4:$Q$354,0)),"")</f>
        <v>20</v>
      </c>
      <c r="E212" s="135" t="str">
        <f>IFERROR(INDEX('كشف الحساب'!$G$4:$G$354,MATCH(3,'كشف الحساب'!$Q$4:$Q$354,0)),"")</f>
        <v>أبو اسحاق</v>
      </c>
      <c r="F212" s="132"/>
    </row>
    <row r="213" spans="1:6" ht="18" customHeight="1" x14ac:dyDescent="0.25">
      <c r="A213" s="143">
        <f>IFERROR(INDEX('كشف الحساب'!$A$4:$A$354,MATCH(4,'كشف الحساب'!$Q$4:$Q$354,0)),"")</f>
        <v>46134</v>
      </c>
      <c r="B213" s="133" t="str">
        <f>IFERROR(INDEX('كشف الحساب'!$B$4:$B$354,MATCH(4,'كشف الحساب'!$Q$4:$Q$354,0)),"")</f>
        <v>242</v>
      </c>
      <c r="C213" s="132" t="str">
        <f>IFERROR(INDEX('كشف الحساب'!$C$4:$C$354,MATCH(4,'كشف الحساب'!$Q$4:$Q$354,0)),"")</f>
        <v>احواض حجم25سم عدد 2000</v>
      </c>
      <c r="D213" s="134">
        <f>IFERROR(INDEX('كشف الحساب'!$D$4:$D$354,MATCH(4,'كشف الحساب'!$Q$4:$Q$354,0)),"")</f>
        <v>160</v>
      </c>
      <c r="E213" s="135" t="str">
        <f>IFERROR(INDEX('كشف الحساب'!$G$4:$G$354,MATCH(4,'كشف الحساب'!$Q$4:$Q$354,0)),"")</f>
        <v>أبو آدم</v>
      </c>
      <c r="F213" s="132"/>
    </row>
    <row r="214" spans="1:6" ht="18" customHeight="1" x14ac:dyDescent="0.25">
      <c r="A214" s="143">
        <f>IFERROR(INDEX('كشف الحساب'!$A$4:$A$354,MATCH(5,'كشف الحساب'!$Q$4:$Q$354,0)),"")</f>
        <v>46151</v>
      </c>
      <c r="B214" s="133">
        <f>IFERROR(INDEX('كشف الحساب'!$B$4:$B$354,MATCH(5,'كشف الحساب'!$Q$4:$Q$354,0)),"")</f>
        <v>18213</v>
      </c>
      <c r="C214" s="132" t="str">
        <f>IFERROR(INDEX('كشف الحساب'!$C$4:$C$354,MATCH(5,'كشف الحساب'!$Q$4:$Q$354,0)),"")</f>
        <v>شراء دريل</v>
      </c>
      <c r="D214" s="134">
        <f>IFERROR(INDEX('كشف الحساب'!$D$4:$D$354,MATCH(5,'كشف الحساب'!$Q$4:$Q$354,0)),"")</f>
        <v>9</v>
      </c>
      <c r="E214" s="135" t="str">
        <f>IFERROR(INDEX('كشف الحساب'!$G$4:$G$354,MATCH(5,'كشف الحساب'!$Q$4:$Q$354,0)),"")</f>
        <v>أبو اسحاق</v>
      </c>
      <c r="F214" s="132"/>
    </row>
    <row r="215" spans="1:6" ht="18" customHeight="1" x14ac:dyDescent="0.25">
      <c r="A215" s="143">
        <f>IFERROR(INDEX('كشف الحساب'!$A$4:$A$354,MATCH(6,'كشف الحساب'!$Q$4:$Q$354,0)),"")</f>
        <v>46167</v>
      </c>
      <c r="B215" s="133">
        <f>IFERROR(INDEX('كشف الحساب'!$B$4:$B$354,MATCH(6,'كشف الحساب'!$Q$4:$Q$354,0)),"")</f>
        <v>0</v>
      </c>
      <c r="C215" s="132" t="str">
        <f>IFERROR(INDEX('كشف الحساب'!$C$4:$C$354,MATCH(6,'كشف الحساب'!$Q$4:$Q$354,0)),"")</f>
        <v>يزل ماكينه كهرباء</v>
      </c>
      <c r="D215" s="134">
        <f>IFERROR(INDEX('كشف الحساب'!$D$4:$D$354,MATCH(6,'كشف الحساب'!$Q$4:$Q$354,0)),"")</f>
        <v>26</v>
      </c>
      <c r="E215" s="135" t="str">
        <f>IFERROR(INDEX('كشف الحساب'!$G$4:$G$354,MATCH(6,'كشف الحساب'!$Q$4:$Q$354,0)),"")</f>
        <v>أبو اسحاق</v>
      </c>
      <c r="F215" s="132"/>
    </row>
    <row r="216" spans="1:6" ht="18" customHeight="1" x14ac:dyDescent="0.25">
      <c r="A216" s="143">
        <f>IFERROR(INDEX('كشف الحساب'!$A$4:$A$354,MATCH(7,'كشف الحساب'!$Q$4:$Q$354,0)),"")</f>
        <v>46167</v>
      </c>
      <c r="B216" s="133">
        <f>IFERROR(INDEX('كشف الحساب'!$B$4:$B$354,MATCH(7,'كشف الحساب'!$Q$4:$Q$354,0)),"")</f>
        <v>0</v>
      </c>
      <c r="C216" s="132" t="str">
        <f>IFERROR(INDEX('كشف الحساب'!$C$4:$C$354,MATCH(7,'كشف الحساب'!$Q$4:$Q$354,0)),"")</f>
        <v>راتب عماله مايو 2025</v>
      </c>
      <c r="D216" s="134">
        <f>IFERROR(INDEX('كشف الحساب'!$D$4:$D$354,MATCH(7,'كشف الحساب'!$Q$4:$Q$354,0)),"")</f>
        <v>250</v>
      </c>
      <c r="E216" s="135" t="str">
        <f>IFERROR(INDEX('كشف الحساب'!$G$4:$G$354,MATCH(7,'كشف الحساب'!$Q$4:$Q$354,0)),"")</f>
        <v>أبو آدم</v>
      </c>
      <c r="F216" s="132"/>
    </row>
    <row r="217" spans="1:6" ht="18" customHeight="1" x14ac:dyDescent="0.25">
      <c r="A217" s="143">
        <f>IFERROR(INDEX('كشف الحساب'!$A$4:$A$354,MATCH(8,'كشف الحساب'!$Q$4:$Q$354,0)),"")</f>
        <v>46167</v>
      </c>
      <c r="B217" s="133">
        <f>IFERROR(INDEX('كشف الحساب'!$B$4:$B$354,MATCH(8,'كشف الحساب'!$Q$4:$Q$354,0)),"")</f>
        <v>0</v>
      </c>
      <c r="C217" s="132" t="str">
        <f>IFERROR(INDEX('كشف الحساب'!$C$4:$C$354,MATCH(8,'كشف الحساب'!$Q$4:$Q$354,0)),"")</f>
        <v>راتب عماله مايو 2025</v>
      </c>
      <c r="D217" s="134">
        <f>IFERROR(INDEX('كشف الحساب'!$D$4:$D$354,MATCH(8,'كشف الحساب'!$Q$4:$Q$354,0)),"")</f>
        <v>250</v>
      </c>
      <c r="E217" s="135" t="str">
        <f>IFERROR(INDEX('كشف الحساب'!$G$4:$G$354,MATCH(8,'كشف الحساب'!$Q$4:$Q$354,0)),"")</f>
        <v>أبو اسحاق</v>
      </c>
      <c r="F217" s="132"/>
    </row>
    <row r="218" spans="1:6" ht="18" customHeight="1" x14ac:dyDescent="0.25">
      <c r="A218" s="143">
        <f>IFERROR(INDEX('كشف الحساب'!$A$4:$A$354,MATCH(9,'كشف الحساب'!$Q$4:$Q$354,0)),"")</f>
        <v>46187</v>
      </c>
      <c r="B218" s="133">
        <f>IFERROR(INDEX('كشف الحساب'!$B$4:$B$354,MATCH(9,'كشف الحساب'!$Q$4:$Q$354,0)),"")</f>
        <v>0</v>
      </c>
      <c r="C218" s="132" t="str">
        <f>IFERROR(INDEX('كشف الحساب'!$C$4:$C$354,MATCH(9,'كشف الحساب'!$Q$4:$Q$354,0)),"")</f>
        <v>عصايا عدد 2000 احواض معاقات عدد 250</v>
      </c>
      <c r="D218" s="134">
        <f>IFERROR(INDEX('كشف الحساب'!$D$4:$D$354,MATCH(9,'كشف الحساب'!$Q$4:$Q$354,0)),"")</f>
        <v>107.5</v>
      </c>
      <c r="E218" s="135" t="str">
        <f>IFERROR(INDEX('كشف الحساب'!$G$4:$G$354,MATCH(9,'كشف الحساب'!$Q$4:$Q$354,0)),"")</f>
        <v>أبو اسحاق</v>
      </c>
      <c r="F218" s="132"/>
    </row>
    <row r="219" spans="1:6" ht="18" customHeight="1" x14ac:dyDescent="0.25">
      <c r="A219" s="143">
        <f>IFERROR(INDEX('كشف الحساب'!$A$4:$A$354,MATCH(10,'كشف الحساب'!$Q$4:$Q$354,0)),"")</f>
        <v>46203</v>
      </c>
      <c r="B219" s="133">
        <f>IFERROR(INDEX('كشف الحساب'!$B$4:$B$354,MATCH(10,'كشف الحساب'!$Q$4:$Q$354,0)),"")</f>
        <v>0</v>
      </c>
      <c r="C219" s="132" t="str">
        <f>IFERROR(INDEX('كشف الحساب'!$C$4:$C$354,MATCH(10,'كشف الحساب'!$Q$4:$Q$354,0)),"")</f>
        <v>تكمله رواتب يونيو 2026 ابوادم</v>
      </c>
      <c r="D219" s="134">
        <f>IFERROR(INDEX('كشف الحساب'!$D$4:$D$354,MATCH(10,'كشف الحساب'!$Q$4:$Q$354,0)),"")</f>
        <v>50</v>
      </c>
      <c r="E219" s="135" t="str">
        <f>IFERROR(INDEX('كشف الحساب'!$G$4:$G$354,MATCH(10,'كشف الحساب'!$Q$4:$Q$354,0)),"")</f>
        <v>أبو آدم</v>
      </c>
      <c r="F219" s="132"/>
    </row>
    <row r="220" spans="1:6" ht="18" customHeight="1" x14ac:dyDescent="0.25">
      <c r="A220" s="143">
        <f>IFERROR(INDEX('كشف الحساب'!$A$4:$A$354,MATCH(11,'كشف الحساب'!$Q$4:$Q$354,0)),"")</f>
        <v>46203</v>
      </c>
      <c r="B220" s="133">
        <f>IFERROR(INDEX('كشف الحساب'!$B$4:$B$354,MATCH(11,'كشف الحساب'!$Q$4:$Q$354,0)),"")</f>
        <v>0</v>
      </c>
      <c r="C220" s="132" t="str">
        <f>IFERROR(INDEX('كشف الحساب'!$C$4:$C$354,MATCH(11,'كشف الحساب'!$Q$4:$Q$354,0)),"")</f>
        <v>تكمله رواتب يونيو 2026 ابواسحاق</v>
      </c>
      <c r="D220" s="134">
        <f>IFERROR(INDEX('كشف الحساب'!$D$4:$D$354,MATCH(11,'كشف الحساب'!$Q$4:$Q$354,0)),"")</f>
        <v>50</v>
      </c>
      <c r="E220" s="135" t="str">
        <f>IFERROR(INDEX('كشف الحساب'!$G$4:$G$354,MATCH(11,'كشف الحساب'!$Q$4:$Q$354,0)),"")</f>
        <v>أبو اسحاق</v>
      </c>
      <c r="F220" s="132"/>
    </row>
    <row r="221" spans="1:6" ht="18" customHeight="1" x14ac:dyDescent="0.25">
      <c r="A221" s="143">
        <f>IFERROR(INDEX('كشف الحساب'!$A$4:$A$354,MATCH(12,'كشف الحساب'!$Q$4:$Q$354,0)),"")</f>
        <v>46232</v>
      </c>
      <c r="B221" s="133">
        <f>IFERROR(INDEX('كشف الحساب'!$B$4:$B$354,MATCH(12,'كشف الحساب'!$Q$4:$Q$354,0)),"")</f>
        <v>0</v>
      </c>
      <c r="C221" s="132" t="str">
        <f>IFERROR(INDEX('كشف الحساب'!$C$4:$C$354,MATCH(12,'كشف الحساب'!$Q$4:$Q$354,0)),"")</f>
        <v>عدد 3 عماله + 10 ايام العامل البديل 40 دينار +50 كهرباء (تم دفه 99 من المحفظه)</v>
      </c>
      <c r="D221" s="134">
        <f>IFERROR(INDEX('كشف الحساب'!$D$4:$D$354,MATCH(12,'كشف الحساب'!$Q$4:$Q$354,0)),"")</f>
        <v>205.5</v>
      </c>
      <c r="E221" s="135" t="str">
        <f>IFERROR(INDEX('كشف الحساب'!$G$4:$G$354,MATCH(12,'كشف الحساب'!$Q$4:$Q$354,0)),"")</f>
        <v>أبو آدم</v>
      </c>
      <c r="F221" s="132"/>
    </row>
    <row r="222" spans="1:6" ht="18" customHeight="1" x14ac:dyDescent="0.25">
      <c r="A222" s="143">
        <f>IFERROR(INDEX('كشف الحساب'!$A$4:$A$354,MATCH(13,'كشف الحساب'!$Q$4:$Q$354,0)),"")</f>
        <v>46232</v>
      </c>
      <c r="B222" s="133">
        <f>IFERROR(INDEX('كشف الحساب'!$B$4:$B$354,MATCH(13,'كشف الحساب'!$Q$4:$Q$354,0)),"")</f>
        <v>0</v>
      </c>
      <c r="C222" s="132" t="str">
        <f>IFERROR(INDEX('كشف الحساب'!$C$4:$C$354,MATCH(13,'كشف الحساب'!$Q$4:$Q$354,0)),"")</f>
        <v>عدد 3 عماله + 10 ايام العامل البديل 40 دينار +50 كهرباء (تم دفه 99 من المحفظه)</v>
      </c>
      <c r="D222" s="134">
        <f>IFERROR(INDEX('كشف الحساب'!$D$4:$D$354,MATCH(13,'كشف الحساب'!$Q$4:$Q$354,0)),"")</f>
        <v>205.5</v>
      </c>
      <c r="E222" s="135" t="str">
        <f>IFERROR(INDEX('كشف الحساب'!$G$4:$G$354,MATCH(13,'كشف الحساب'!$Q$4:$Q$354,0)),"")</f>
        <v>أبو اسحاق</v>
      </c>
      <c r="F222" s="132"/>
    </row>
    <row r="223" spans="1:6" ht="18" customHeight="1" x14ac:dyDescent="0.25">
      <c r="A223" s="143">
        <f>IFERROR(INDEX('كشف الحساب'!$A$4:$A$354,MATCH(14,'كشف الحساب'!$Q$4:$Q$354,0)),"")</f>
        <v>46235</v>
      </c>
      <c r="B223" s="133">
        <f>IFERROR(INDEX('كشف الحساب'!$B$4:$B$354,MATCH(14,'كشف الحساب'!$Q$4:$Q$354,0)),"")</f>
        <v>0</v>
      </c>
      <c r="C223" s="132" t="str">
        <f>IFERROR(INDEX('كشف الحساب'!$C$4:$C$354,MATCH(14,'كشف الحساب'!$Q$4:$Q$354,0)),"")</f>
        <v>احواض عدد 3500 مقاس 25 سم</v>
      </c>
      <c r="D223" s="134">
        <f>IFERROR(INDEX('كشف الحساب'!$D$4:$D$354,MATCH(14,'كشف الحساب'!$Q$4:$Q$354,0)),"")</f>
        <v>280</v>
      </c>
      <c r="E223" s="135" t="str">
        <f>IFERROR(INDEX('كشف الحساب'!$G$4:$G$354,MATCH(14,'كشف الحساب'!$Q$4:$Q$354,0)),"")</f>
        <v>أبو آدم</v>
      </c>
      <c r="F223" s="132"/>
    </row>
    <row r="224" spans="1:6" ht="18" customHeight="1" x14ac:dyDescent="0.25">
      <c r="A224" s="143">
        <f>IFERROR(INDEX('كشف الحساب'!$A$4:$A$354,MATCH(15,'كشف الحساب'!$Q$4:$Q$354,0)),"")</f>
        <v>46238</v>
      </c>
      <c r="B224" s="133">
        <f>IFERROR(INDEX('كشف الحساب'!$B$4:$B$354,MATCH(15,'كشف الحساب'!$Q$4:$Q$354,0)),"")</f>
        <v>0</v>
      </c>
      <c r="C224" s="132" t="str">
        <f>IFERROR(INDEX('كشف الحساب'!$C$4:$C$354,MATCH(15,'كشف الحساب'!$Q$4:$Q$354,0)),"")</f>
        <v>حديد كحميه 2</v>
      </c>
      <c r="D224" s="134">
        <f>IFERROR(INDEX('كشف الحساب'!$D$4:$D$354,MATCH(15,'كشف الحساب'!$Q$4:$Q$354,0)),"")</f>
        <v>68</v>
      </c>
      <c r="E224" s="135" t="str">
        <f>IFERROR(INDEX('كشف الحساب'!$G$4:$G$354,MATCH(15,'كشف الحساب'!$Q$4:$Q$354,0)),"")</f>
        <v>أبو اسحاق</v>
      </c>
      <c r="F224" s="132"/>
    </row>
    <row r="225" spans="1:6" ht="18" customHeight="1" x14ac:dyDescent="0.25">
      <c r="A225" s="143" t="str">
        <f>IFERROR(INDEX('كشف الحساب'!$A$4:$A$354,MATCH(16,'كشف الحساب'!$Q$4:$Q$354,0)),"")</f>
        <v/>
      </c>
      <c r="B225" s="133" t="str">
        <f>IFERROR(INDEX('كشف الحساب'!$B$4:$B$354,MATCH(16,'كشف الحساب'!$Q$4:$Q$354,0)),"")</f>
        <v/>
      </c>
      <c r="C225" s="132" t="str">
        <f>IFERROR(INDEX('كشف الحساب'!$C$4:$C$354,MATCH(16,'كشف الحساب'!$Q$4:$Q$354,0)),"")</f>
        <v/>
      </c>
      <c r="D225" s="134" t="str">
        <f>IFERROR(INDEX('كشف الحساب'!$D$4:$D$354,MATCH(16,'كشف الحساب'!$Q$4:$Q$354,0)),"")</f>
        <v/>
      </c>
      <c r="E225" s="135" t="str">
        <f>IFERROR(INDEX('كشف الحساب'!$G$4:$G$354,MATCH(16,'كشف الحساب'!$Q$4:$Q$354,0)),"")</f>
        <v/>
      </c>
      <c r="F225" s="132"/>
    </row>
    <row r="226" spans="1:6" ht="18" customHeight="1" x14ac:dyDescent="0.25">
      <c r="A226" s="143" t="str">
        <f>IFERROR(INDEX('كشف الحساب'!$A$4:$A$354,MATCH(17,'كشف الحساب'!$Q$4:$Q$354,0)),"")</f>
        <v/>
      </c>
      <c r="B226" s="133" t="str">
        <f>IFERROR(INDEX('كشف الحساب'!$B$4:$B$354,MATCH(17,'كشف الحساب'!$Q$4:$Q$354,0)),"")</f>
        <v/>
      </c>
      <c r="C226" s="132" t="str">
        <f>IFERROR(INDEX('كشف الحساب'!$C$4:$C$354,MATCH(17,'كشف الحساب'!$Q$4:$Q$354,0)),"")</f>
        <v/>
      </c>
      <c r="D226" s="134" t="str">
        <f>IFERROR(INDEX('كشف الحساب'!$D$4:$D$354,MATCH(17,'كشف الحساب'!$Q$4:$Q$354,0)),"")</f>
        <v/>
      </c>
      <c r="E226" s="135" t="str">
        <f>IFERROR(INDEX('كشف الحساب'!$G$4:$G$354,MATCH(17,'كشف الحساب'!$Q$4:$Q$354,0)),"")</f>
        <v/>
      </c>
      <c r="F226" s="132"/>
    </row>
    <row r="227" spans="1:6" ht="18" customHeight="1" x14ac:dyDescent="0.25">
      <c r="A227" s="143" t="str">
        <f>IFERROR(INDEX('كشف الحساب'!$A$4:$A$354,MATCH(18,'كشف الحساب'!$Q$4:$Q$354,0)),"")</f>
        <v/>
      </c>
      <c r="B227" s="133" t="str">
        <f>IFERROR(INDEX('كشف الحساب'!$B$4:$B$354,MATCH(18,'كشف الحساب'!$Q$4:$Q$354,0)),"")</f>
        <v/>
      </c>
      <c r="C227" s="132" t="str">
        <f>IFERROR(INDEX('كشف الحساب'!$C$4:$C$354,MATCH(18,'كشف الحساب'!$Q$4:$Q$354,0)),"")</f>
        <v/>
      </c>
      <c r="D227" s="134" t="str">
        <f>IFERROR(INDEX('كشف الحساب'!$D$4:$D$354,MATCH(18,'كشف الحساب'!$Q$4:$Q$354,0)),"")</f>
        <v/>
      </c>
      <c r="E227" s="135" t="str">
        <f>IFERROR(INDEX('كشف الحساب'!$G$4:$G$354,MATCH(18,'كشف الحساب'!$Q$4:$Q$354,0)),"")</f>
        <v/>
      </c>
      <c r="F227" s="132"/>
    </row>
    <row r="228" spans="1:6" ht="18" customHeight="1" x14ac:dyDescent="0.25">
      <c r="A228" s="143" t="str">
        <f>IFERROR(INDEX('كشف الحساب'!$A$4:$A$354,MATCH(19,'كشف الحساب'!$Q$4:$Q$354,0)),"")</f>
        <v/>
      </c>
      <c r="B228" s="133" t="str">
        <f>IFERROR(INDEX('كشف الحساب'!$B$4:$B$354,MATCH(19,'كشف الحساب'!$Q$4:$Q$354,0)),"")</f>
        <v/>
      </c>
      <c r="C228" s="132" t="str">
        <f>IFERROR(INDEX('كشف الحساب'!$C$4:$C$354,MATCH(19,'كشف الحساب'!$Q$4:$Q$354,0)),"")</f>
        <v/>
      </c>
      <c r="D228" s="134" t="str">
        <f>IFERROR(INDEX('كشف الحساب'!$D$4:$D$354,MATCH(19,'كشف الحساب'!$Q$4:$Q$354,0)),"")</f>
        <v/>
      </c>
      <c r="E228" s="135" t="str">
        <f>IFERROR(INDEX('كشف الحساب'!$G$4:$G$354,MATCH(19,'كشف الحساب'!$Q$4:$Q$354,0)),"")</f>
        <v/>
      </c>
      <c r="F228" s="132"/>
    </row>
    <row r="229" spans="1:6" ht="18" customHeight="1" x14ac:dyDescent="0.25">
      <c r="A229" s="143" t="str">
        <f>IFERROR(INDEX('كشف الحساب'!$A$4:$A$354,MATCH(20,'كشف الحساب'!$Q$4:$Q$354,0)),"")</f>
        <v/>
      </c>
      <c r="B229" s="133" t="str">
        <f>IFERROR(INDEX('كشف الحساب'!$B$4:$B$354,MATCH(20,'كشف الحساب'!$Q$4:$Q$354,0)),"")</f>
        <v/>
      </c>
      <c r="C229" s="132" t="str">
        <f>IFERROR(INDEX('كشف الحساب'!$C$4:$C$354,MATCH(20,'كشف الحساب'!$Q$4:$Q$354,0)),"")</f>
        <v/>
      </c>
      <c r="D229" s="134" t="str">
        <f>IFERROR(INDEX('كشف الحساب'!$D$4:$D$354,MATCH(20,'كشف الحساب'!$Q$4:$Q$354,0)),"")</f>
        <v/>
      </c>
      <c r="E229" s="135" t="str">
        <f>IFERROR(INDEX('كشف الحساب'!$G$4:$G$354,MATCH(20,'كشف الحساب'!$Q$4:$Q$354,0)),"")</f>
        <v/>
      </c>
      <c r="F229" s="132"/>
    </row>
    <row r="230" spans="1:6" ht="18" customHeight="1" x14ac:dyDescent="0.25">
      <c r="A230" s="143" t="str">
        <f>IFERROR(INDEX('كشف الحساب'!$A$4:$A$354,MATCH(21,'كشف الحساب'!$Q$4:$Q$354,0)),"")</f>
        <v/>
      </c>
      <c r="B230" s="133" t="str">
        <f>IFERROR(INDEX('كشف الحساب'!$B$4:$B$354,MATCH(21,'كشف الحساب'!$Q$4:$Q$354,0)),"")</f>
        <v/>
      </c>
      <c r="C230" s="132" t="str">
        <f>IFERROR(INDEX('كشف الحساب'!$C$4:$C$354,MATCH(21,'كشف الحساب'!$Q$4:$Q$354,0)),"")</f>
        <v/>
      </c>
      <c r="D230" s="134" t="str">
        <f>IFERROR(INDEX('كشف الحساب'!$D$4:$D$354,MATCH(21,'كشف الحساب'!$Q$4:$Q$354,0)),"")</f>
        <v/>
      </c>
      <c r="E230" s="135" t="str">
        <f>IFERROR(INDEX('كشف الحساب'!$G$4:$G$354,MATCH(21,'كشف الحساب'!$Q$4:$Q$354,0)),"")</f>
        <v/>
      </c>
      <c r="F230" s="132"/>
    </row>
    <row r="231" spans="1:6" ht="18" customHeight="1" x14ac:dyDescent="0.25">
      <c r="A231" s="143" t="str">
        <f>IFERROR(INDEX('كشف الحساب'!$A$4:$A$354,MATCH(22,'كشف الحساب'!$Q$4:$Q$354,0)),"")</f>
        <v/>
      </c>
      <c r="B231" s="133" t="str">
        <f>IFERROR(INDEX('كشف الحساب'!$B$4:$B$354,MATCH(22,'كشف الحساب'!$Q$4:$Q$354,0)),"")</f>
        <v/>
      </c>
      <c r="C231" s="132" t="str">
        <f>IFERROR(INDEX('كشف الحساب'!$C$4:$C$354,MATCH(22,'كشف الحساب'!$Q$4:$Q$354,0)),"")</f>
        <v/>
      </c>
      <c r="D231" s="134" t="str">
        <f>IFERROR(INDEX('كشف الحساب'!$D$4:$D$354,MATCH(22,'كشف الحساب'!$Q$4:$Q$354,0)),"")</f>
        <v/>
      </c>
      <c r="E231" s="135" t="str">
        <f>IFERROR(INDEX('كشف الحساب'!$G$4:$G$354,MATCH(22,'كشف الحساب'!$Q$4:$Q$354,0)),"")</f>
        <v/>
      </c>
      <c r="F231" s="132"/>
    </row>
    <row r="232" spans="1:6" ht="18" customHeight="1" x14ac:dyDescent="0.25">
      <c r="A232" s="143" t="str">
        <f>IFERROR(INDEX('كشف الحساب'!$A$4:$A$354,MATCH(23,'كشف الحساب'!$Q$4:$Q$354,0)),"")</f>
        <v/>
      </c>
      <c r="B232" s="133" t="str">
        <f>IFERROR(INDEX('كشف الحساب'!$B$4:$B$354,MATCH(23,'كشف الحساب'!$Q$4:$Q$354,0)),"")</f>
        <v/>
      </c>
      <c r="C232" s="132" t="str">
        <f>IFERROR(INDEX('كشف الحساب'!$C$4:$C$354,MATCH(23,'كشف الحساب'!$Q$4:$Q$354,0)),"")</f>
        <v/>
      </c>
      <c r="D232" s="134" t="str">
        <f>IFERROR(INDEX('كشف الحساب'!$D$4:$D$354,MATCH(23,'كشف الحساب'!$Q$4:$Q$354,0)),"")</f>
        <v/>
      </c>
      <c r="E232" s="135" t="str">
        <f>IFERROR(INDEX('كشف الحساب'!$G$4:$G$354,MATCH(23,'كشف الحساب'!$Q$4:$Q$354,0)),"")</f>
        <v/>
      </c>
      <c r="F232" s="132"/>
    </row>
    <row r="233" spans="1:6" ht="18" customHeight="1" x14ac:dyDescent="0.25">
      <c r="A233" s="143" t="str">
        <f>IFERROR(INDEX('كشف الحساب'!$A$4:$A$354,MATCH(24,'كشف الحساب'!$Q$4:$Q$354,0)),"")</f>
        <v/>
      </c>
      <c r="B233" s="133" t="str">
        <f>IFERROR(INDEX('كشف الحساب'!$B$4:$B$354,MATCH(24,'كشف الحساب'!$Q$4:$Q$354,0)),"")</f>
        <v/>
      </c>
      <c r="C233" s="132" t="str">
        <f>IFERROR(INDEX('كشف الحساب'!$C$4:$C$354,MATCH(24,'كشف الحساب'!$Q$4:$Q$354,0)),"")</f>
        <v/>
      </c>
      <c r="D233" s="134" t="str">
        <f>IFERROR(INDEX('كشف الحساب'!$D$4:$D$354,MATCH(24,'كشف الحساب'!$Q$4:$Q$354,0)),"")</f>
        <v/>
      </c>
      <c r="E233" s="135" t="str">
        <f>IFERROR(INDEX('كشف الحساب'!$G$4:$G$354,MATCH(24,'كشف الحساب'!$Q$4:$Q$354,0)),"")</f>
        <v/>
      </c>
      <c r="F233" s="132"/>
    </row>
    <row r="234" spans="1:6" ht="18" customHeight="1" x14ac:dyDescent="0.25">
      <c r="A234" s="143" t="str">
        <f>IFERROR(INDEX('كشف الحساب'!$A$4:$A$354,MATCH(25,'كشف الحساب'!$Q$4:$Q$354,0)),"")</f>
        <v/>
      </c>
      <c r="B234" s="133" t="str">
        <f>IFERROR(INDEX('كشف الحساب'!$B$4:$B$354,MATCH(25,'كشف الحساب'!$Q$4:$Q$354,0)),"")</f>
        <v/>
      </c>
      <c r="C234" s="132" t="str">
        <f>IFERROR(INDEX('كشف الحساب'!$C$4:$C$354,MATCH(25,'كشف الحساب'!$Q$4:$Q$354,0)),"")</f>
        <v/>
      </c>
      <c r="D234" s="134" t="str">
        <f>IFERROR(INDEX('كشف الحساب'!$D$4:$D$354,MATCH(25,'كشف الحساب'!$Q$4:$Q$354,0)),"")</f>
        <v/>
      </c>
      <c r="E234" s="135" t="str">
        <f>IFERROR(INDEX('كشف الحساب'!$G$4:$G$354,MATCH(25,'كشف الحساب'!$Q$4:$Q$354,0)),"")</f>
        <v/>
      </c>
      <c r="F234" s="132"/>
    </row>
    <row r="235" spans="1:6" ht="18" customHeight="1" x14ac:dyDescent="0.25">
      <c r="A235" s="143" t="str">
        <f>IFERROR(INDEX('كشف الحساب'!$A$4:$A$354,MATCH(26,'كشف الحساب'!$Q$4:$Q$354,0)),"")</f>
        <v/>
      </c>
      <c r="B235" s="133" t="str">
        <f>IFERROR(INDEX('كشف الحساب'!$B$4:$B$354,MATCH(26,'كشف الحساب'!$Q$4:$Q$354,0)),"")</f>
        <v/>
      </c>
      <c r="C235" s="132" t="str">
        <f>IFERROR(INDEX('كشف الحساب'!$C$4:$C$354,MATCH(26,'كشف الحساب'!$Q$4:$Q$354,0)),"")</f>
        <v/>
      </c>
      <c r="D235" s="134" t="str">
        <f>IFERROR(INDEX('كشف الحساب'!$D$4:$D$354,MATCH(26,'كشف الحساب'!$Q$4:$Q$354,0)),"")</f>
        <v/>
      </c>
      <c r="E235" s="135" t="str">
        <f>IFERROR(INDEX('كشف الحساب'!$G$4:$G$354,MATCH(26,'كشف الحساب'!$Q$4:$Q$354,0)),"")</f>
        <v/>
      </c>
      <c r="F235" s="132"/>
    </row>
    <row r="236" spans="1:6" ht="18" customHeight="1" x14ac:dyDescent="0.25">
      <c r="A236" s="143" t="str">
        <f>IFERROR(INDEX('كشف الحساب'!$A$4:$A$354,MATCH(27,'كشف الحساب'!$Q$4:$Q$354,0)),"")</f>
        <v/>
      </c>
      <c r="B236" s="133" t="str">
        <f>IFERROR(INDEX('كشف الحساب'!$B$4:$B$354,MATCH(27,'كشف الحساب'!$Q$4:$Q$354,0)),"")</f>
        <v/>
      </c>
      <c r="C236" s="132" t="str">
        <f>IFERROR(INDEX('كشف الحساب'!$C$4:$C$354,MATCH(27,'كشف الحساب'!$Q$4:$Q$354,0)),"")</f>
        <v/>
      </c>
      <c r="D236" s="134" t="str">
        <f>IFERROR(INDEX('كشف الحساب'!$D$4:$D$354,MATCH(27,'كشف الحساب'!$Q$4:$Q$354,0)),"")</f>
        <v/>
      </c>
      <c r="E236" s="135" t="str">
        <f>IFERROR(INDEX('كشف الحساب'!$G$4:$G$354,MATCH(27,'كشف الحساب'!$Q$4:$Q$354,0)),"")</f>
        <v/>
      </c>
      <c r="F236" s="132"/>
    </row>
    <row r="237" spans="1:6" ht="18" customHeight="1" x14ac:dyDescent="0.25">
      <c r="A237" s="143" t="str">
        <f>IFERROR(INDEX('كشف الحساب'!$A$4:$A$354,MATCH(28,'كشف الحساب'!$Q$4:$Q$354,0)),"")</f>
        <v/>
      </c>
      <c r="B237" s="133" t="str">
        <f>IFERROR(INDEX('كشف الحساب'!$B$4:$B$354,MATCH(28,'كشف الحساب'!$Q$4:$Q$354,0)),"")</f>
        <v/>
      </c>
      <c r="C237" s="132" t="str">
        <f>IFERROR(INDEX('كشف الحساب'!$C$4:$C$354,MATCH(28,'كشف الحساب'!$Q$4:$Q$354,0)),"")</f>
        <v/>
      </c>
      <c r="D237" s="134" t="str">
        <f>IFERROR(INDEX('كشف الحساب'!$D$4:$D$354,MATCH(28,'كشف الحساب'!$Q$4:$Q$354,0)),"")</f>
        <v/>
      </c>
      <c r="E237" s="135" t="str">
        <f>IFERROR(INDEX('كشف الحساب'!$G$4:$G$354,MATCH(28,'كشف الحساب'!$Q$4:$Q$354,0)),"")</f>
        <v/>
      </c>
      <c r="F237" s="132"/>
    </row>
    <row r="238" spans="1:6" ht="18" customHeight="1" x14ac:dyDescent="0.25">
      <c r="A238" s="143" t="str">
        <f>IFERROR(INDEX('كشف الحساب'!$A$4:$A$354,MATCH(29,'كشف الحساب'!$Q$4:$Q$354,0)),"")</f>
        <v/>
      </c>
      <c r="B238" s="133" t="str">
        <f>IFERROR(INDEX('كشف الحساب'!$B$4:$B$354,MATCH(29,'كشف الحساب'!$Q$4:$Q$354,0)),"")</f>
        <v/>
      </c>
      <c r="C238" s="132" t="str">
        <f>IFERROR(INDEX('كشف الحساب'!$C$4:$C$354,MATCH(29,'كشف الحساب'!$Q$4:$Q$354,0)),"")</f>
        <v/>
      </c>
      <c r="D238" s="134" t="str">
        <f>IFERROR(INDEX('كشف الحساب'!$D$4:$D$354,MATCH(29,'كشف الحساب'!$Q$4:$Q$354,0)),"")</f>
        <v/>
      </c>
      <c r="E238" s="135" t="str">
        <f>IFERROR(INDEX('كشف الحساب'!$G$4:$G$354,MATCH(29,'كشف الحساب'!$Q$4:$Q$354,0)),"")</f>
        <v/>
      </c>
      <c r="F238" s="132"/>
    </row>
    <row r="239" spans="1:6" ht="18" customHeight="1" x14ac:dyDescent="0.25">
      <c r="A239" s="143" t="str">
        <f>IFERROR(INDEX('كشف الحساب'!$A$4:$A$354,MATCH(30,'كشف الحساب'!$Q$4:$Q$354,0)),"")</f>
        <v/>
      </c>
      <c r="B239" s="133" t="str">
        <f>IFERROR(INDEX('كشف الحساب'!$B$4:$B$354,MATCH(30,'كشف الحساب'!$Q$4:$Q$354,0)),"")</f>
        <v/>
      </c>
      <c r="C239" s="132" t="str">
        <f>IFERROR(INDEX('كشف الحساب'!$C$4:$C$354,MATCH(30,'كشف الحساب'!$Q$4:$Q$354,0)),"")</f>
        <v/>
      </c>
      <c r="D239" s="134" t="str">
        <f>IFERROR(INDEX('كشف الحساب'!$D$4:$D$354,MATCH(30,'كشف الحساب'!$Q$4:$Q$354,0)),"")</f>
        <v/>
      </c>
      <c r="E239" s="135" t="str">
        <f>IFERROR(INDEX('كشف الحساب'!$G$4:$G$354,MATCH(30,'كشف الحساب'!$Q$4:$Q$354,0)),"")</f>
        <v/>
      </c>
      <c r="F239" s="132"/>
    </row>
    <row r="240" spans="1:6" ht="18" customHeight="1" x14ac:dyDescent="0.25">
      <c r="A240" s="143" t="str">
        <f>IFERROR(INDEX('كشف الحساب'!$A$4:$A$354,MATCH(31,'كشف الحساب'!$Q$4:$Q$354,0)),"")</f>
        <v/>
      </c>
      <c r="B240" s="133" t="str">
        <f>IFERROR(INDEX('كشف الحساب'!$B$4:$B$354,MATCH(31,'كشف الحساب'!$Q$4:$Q$354,0)),"")</f>
        <v/>
      </c>
      <c r="C240" s="132" t="str">
        <f>IFERROR(INDEX('كشف الحساب'!$C$4:$C$354,MATCH(31,'كشف الحساب'!$Q$4:$Q$354,0)),"")</f>
        <v/>
      </c>
      <c r="D240" s="134" t="str">
        <f>IFERROR(INDEX('كشف الحساب'!$D$4:$D$354,MATCH(31,'كشف الحساب'!$Q$4:$Q$354,0)),"")</f>
        <v/>
      </c>
      <c r="E240" s="135" t="str">
        <f>IFERROR(INDEX('كشف الحساب'!$G$4:$G$354,MATCH(31,'كشف الحساب'!$Q$4:$Q$354,0)),"")</f>
        <v/>
      </c>
      <c r="F240" s="132"/>
    </row>
    <row r="241" spans="1:6" ht="18" customHeight="1" x14ac:dyDescent="0.25">
      <c r="A241" s="143" t="str">
        <f>IFERROR(INDEX('كشف الحساب'!$A$4:$A$354,MATCH(32,'كشف الحساب'!$Q$4:$Q$354,0)),"")</f>
        <v/>
      </c>
      <c r="B241" s="133" t="str">
        <f>IFERROR(INDEX('كشف الحساب'!$B$4:$B$354,MATCH(32,'كشف الحساب'!$Q$4:$Q$354,0)),"")</f>
        <v/>
      </c>
      <c r="C241" s="132" t="str">
        <f>IFERROR(INDEX('كشف الحساب'!$C$4:$C$354,MATCH(32,'كشف الحساب'!$Q$4:$Q$354,0)),"")</f>
        <v/>
      </c>
      <c r="D241" s="134" t="str">
        <f>IFERROR(INDEX('كشف الحساب'!$D$4:$D$354,MATCH(32,'كشف الحساب'!$Q$4:$Q$354,0)),"")</f>
        <v/>
      </c>
      <c r="E241" s="135" t="str">
        <f>IFERROR(INDEX('كشف الحساب'!$G$4:$G$354,MATCH(32,'كشف الحساب'!$Q$4:$Q$354,0)),"")</f>
        <v/>
      </c>
      <c r="F241" s="132"/>
    </row>
    <row r="242" spans="1:6" ht="18" customHeight="1" x14ac:dyDescent="0.25">
      <c r="A242" s="143" t="str">
        <f>IFERROR(INDEX('كشف الحساب'!$A$4:$A$354,MATCH(33,'كشف الحساب'!$Q$4:$Q$354,0)),"")</f>
        <v/>
      </c>
      <c r="B242" s="133" t="str">
        <f>IFERROR(INDEX('كشف الحساب'!$B$4:$B$354,MATCH(33,'كشف الحساب'!$Q$4:$Q$354,0)),"")</f>
        <v/>
      </c>
      <c r="C242" s="132" t="str">
        <f>IFERROR(INDEX('كشف الحساب'!$C$4:$C$354,MATCH(33,'كشف الحساب'!$Q$4:$Q$354,0)),"")</f>
        <v/>
      </c>
      <c r="D242" s="134" t="str">
        <f>IFERROR(INDEX('كشف الحساب'!$D$4:$D$354,MATCH(33,'كشف الحساب'!$Q$4:$Q$354,0)),"")</f>
        <v/>
      </c>
      <c r="E242" s="135" t="str">
        <f>IFERROR(INDEX('كشف الحساب'!$G$4:$G$354,MATCH(33,'كشف الحساب'!$Q$4:$Q$354,0)),"")</f>
        <v/>
      </c>
      <c r="F242" s="132"/>
    </row>
    <row r="243" spans="1:6" ht="18" customHeight="1" x14ac:dyDescent="0.25">
      <c r="A243" s="143" t="str">
        <f>IFERROR(INDEX('كشف الحساب'!$A$4:$A$354,MATCH(34,'كشف الحساب'!$Q$4:$Q$354,0)),"")</f>
        <v/>
      </c>
      <c r="B243" s="133" t="str">
        <f>IFERROR(INDEX('كشف الحساب'!$B$4:$B$354,MATCH(34,'كشف الحساب'!$Q$4:$Q$354,0)),"")</f>
        <v/>
      </c>
      <c r="C243" s="132" t="str">
        <f>IFERROR(INDEX('كشف الحساب'!$C$4:$C$354,MATCH(34,'كشف الحساب'!$Q$4:$Q$354,0)),"")</f>
        <v/>
      </c>
      <c r="D243" s="134" t="str">
        <f>IFERROR(INDEX('كشف الحساب'!$D$4:$D$354,MATCH(34,'كشف الحساب'!$Q$4:$Q$354,0)),"")</f>
        <v/>
      </c>
      <c r="E243" s="135" t="str">
        <f>IFERROR(INDEX('كشف الحساب'!$G$4:$G$354,MATCH(34,'كشف الحساب'!$Q$4:$Q$354,0)),"")</f>
        <v/>
      </c>
      <c r="F243" s="132"/>
    </row>
    <row r="244" spans="1:6" ht="18" customHeight="1" x14ac:dyDescent="0.25">
      <c r="A244" s="143" t="str">
        <f>IFERROR(INDEX('كشف الحساب'!$A$4:$A$354,MATCH(35,'كشف الحساب'!$Q$4:$Q$354,0)),"")</f>
        <v/>
      </c>
      <c r="B244" s="133" t="str">
        <f>IFERROR(INDEX('كشف الحساب'!$B$4:$B$354,MATCH(35,'كشف الحساب'!$Q$4:$Q$354,0)),"")</f>
        <v/>
      </c>
      <c r="C244" s="132" t="str">
        <f>IFERROR(INDEX('كشف الحساب'!$C$4:$C$354,MATCH(35,'كشف الحساب'!$Q$4:$Q$354,0)),"")</f>
        <v/>
      </c>
      <c r="D244" s="134" t="str">
        <f>IFERROR(INDEX('كشف الحساب'!$D$4:$D$354,MATCH(35,'كشف الحساب'!$Q$4:$Q$354,0)),"")</f>
        <v/>
      </c>
      <c r="E244" s="135" t="str">
        <f>IFERROR(INDEX('كشف الحساب'!$G$4:$G$354,MATCH(35,'كشف الحساب'!$Q$4:$Q$354,0)),"")</f>
        <v/>
      </c>
      <c r="F244" s="132"/>
    </row>
    <row r="245" spans="1:6" ht="18" customHeight="1" x14ac:dyDescent="0.25">
      <c r="A245" s="143" t="str">
        <f>IFERROR(INDEX('كشف الحساب'!$A$4:$A$354,MATCH(36,'كشف الحساب'!$Q$4:$Q$354,0)),"")</f>
        <v/>
      </c>
      <c r="B245" s="133" t="str">
        <f>IFERROR(INDEX('كشف الحساب'!$B$4:$B$354,MATCH(36,'كشف الحساب'!$Q$4:$Q$354,0)),"")</f>
        <v/>
      </c>
      <c r="C245" s="132" t="str">
        <f>IFERROR(INDEX('كشف الحساب'!$C$4:$C$354,MATCH(36,'كشف الحساب'!$Q$4:$Q$354,0)),"")</f>
        <v/>
      </c>
      <c r="D245" s="134" t="str">
        <f>IFERROR(INDEX('كشف الحساب'!$D$4:$D$354,MATCH(36,'كشف الحساب'!$Q$4:$Q$354,0)),"")</f>
        <v/>
      </c>
      <c r="E245" s="135" t="str">
        <f>IFERROR(INDEX('كشف الحساب'!$G$4:$G$354,MATCH(36,'كشف الحساب'!$Q$4:$Q$354,0)),"")</f>
        <v/>
      </c>
      <c r="F245" s="132"/>
    </row>
    <row r="246" spans="1:6" ht="18" customHeight="1" x14ac:dyDescent="0.25">
      <c r="A246" s="143" t="str">
        <f>IFERROR(INDEX('كشف الحساب'!$A$4:$A$354,MATCH(37,'كشف الحساب'!$Q$4:$Q$354,0)),"")</f>
        <v/>
      </c>
      <c r="B246" s="133" t="str">
        <f>IFERROR(INDEX('كشف الحساب'!$B$4:$B$354,MATCH(37,'كشف الحساب'!$Q$4:$Q$354,0)),"")</f>
        <v/>
      </c>
      <c r="C246" s="132" t="str">
        <f>IFERROR(INDEX('كشف الحساب'!$C$4:$C$354,MATCH(37,'كشف الحساب'!$Q$4:$Q$354,0)),"")</f>
        <v/>
      </c>
      <c r="D246" s="134" t="str">
        <f>IFERROR(INDEX('كشف الحساب'!$D$4:$D$354,MATCH(37,'كشف الحساب'!$Q$4:$Q$354,0)),"")</f>
        <v/>
      </c>
      <c r="E246" s="135" t="str">
        <f>IFERROR(INDEX('كشف الحساب'!$G$4:$G$354,MATCH(37,'كشف الحساب'!$Q$4:$Q$354,0)),"")</f>
        <v/>
      </c>
      <c r="F246" s="132"/>
    </row>
    <row r="247" spans="1:6" ht="18" customHeight="1" x14ac:dyDescent="0.25">
      <c r="A247" s="143" t="str">
        <f>IFERROR(INDEX('كشف الحساب'!$A$4:$A$354,MATCH(38,'كشف الحساب'!$Q$4:$Q$354,0)),"")</f>
        <v/>
      </c>
      <c r="B247" s="133" t="str">
        <f>IFERROR(INDEX('كشف الحساب'!$B$4:$B$354,MATCH(38,'كشف الحساب'!$Q$4:$Q$354,0)),"")</f>
        <v/>
      </c>
      <c r="C247" s="132" t="str">
        <f>IFERROR(INDEX('كشف الحساب'!$C$4:$C$354,MATCH(38,'كشف الحساب'!$Q$4:$Q$354,0)),"")</f>
        <v/>
      </c>
      <c r="D247" s="134" t="str">
        <f>IFERROR(INDEX('كشف الحساب'!$D$4:$D$354,MATCH(38,'كشف الحساب'!$Q$4:$Q$354,0)),"")</f>
        <v/>
      </c>
      <c r="E247" s="135" t="str">
        <f>IFERROR(INDEX('كشف الحساب'!$G$4:$G$354,MATCH(38,'كشف الحساب'!$Q$4:$Q$354,0)),"")</f>
        <v/>
      </c>
      <c r="F247" s="132"/>
    </row>
    <row r="248" spans="1:6" ht="18" customHeight="1" x14ac:dyDescent="0.25">
      <c r="A248" s="143" t="str">
        <f>IFERROR(INDEX('كشف الحساب'!$A$4:$A$354,MATCH(39,'كشف الحساب'!$Q$4:$Q$354,0)),"")</f>
        <v/>
      </c>
      <c r="B248" s="133" t="str">
        <f>IFERROR(INDEX('كشف الحساب'!$B$4:$B$354,MATCH(39,'كشف الحساب'!$Q$4:$Q$354,0)),"")</f>
        <v/>
      </c>
      <c r="C248" s="132" t="str">
        <f>IFERROR(INDEX('كشف الحساب'!$C$4:$C$354,MATCH(39,'كشف الحساب'!$Q$4:$Q$354,0)),"")</f>
        <v/>
      </c>
      <c r="D248" s="134" t="str">
        <f>IFERROR(INDEX('كشف الحساب'!$D$4:$D$354,MATCH(39,'كشف الحساب'!$Q$4:$Q$354,0)),"")</f>
        <v/>
      </c>
      <c r="E248" s="135" t="str">
        <f>IFERROR(INDEX('كشف الحساب'!$G$4:$G$354,MATCH(39,'كشف الحساب'!$Q$4:$Q$354,0)),"")</f>
        <v/>
      </c>
      <c r="F248" s="132"/>
    </row>
    <row r="249" spans="1:6" ht="18" customHeight="1" x14ac:dyDescent="0.25">
      <c r="A249" s="143" t="str">
        <f>IFERROR(INDEX('كشف الحساب'!$A$4:$A$354,MATCH(40,'كشف الحساب'!$Q$4:$Q$354,0)),"")</f>
        <v/>
      </c>
      <c r="B249" s="133" t="str">
        <f>IFERROR(INDEX('كشف الحساب'!$B$4:$B$354,MATCH(40,'كشف الحساب'!$Q$4:$Q$354,0)),"")</f>
        <v/>
      </c>
      <c r="C249" s="132" t="str">
        <f>IFERROR(INDEX('كشف الحساب'!$C$4:$C$354,MATCH(40,'كشف الحساب'!$Q$4:$Q$354,0)),"")</f>
        <v/>
      </c>
      <c r="D249" s="134" t="str">
        <f>IFERROR(INDEX('كشف الحساب'!$D$4:$D$354,MATCH(40,'كشف الحساب'!$Q$4:$Q$354,0)),"")</f>
        <v/>
      </c>
      <c r="E249" s="135" t="str">
        <f>IFERROR(INDEX('كشف الحساب'!$G$4:$G$354,MATCH(40,'كشف الحساب'!$Q$4:$Q$354,0)),"")</f>
        <v/>
      </c>
      <c r="F249" s="132"/>
    </row>
    <row r="250" spans="1:6" ht="18" customHeight="1" x14ac:dyDescent="0.25">
      <c r="A250" s="143" t="str">
        <f>IFERROR(INDEX('كشف الحساب'!$A$4:$A$354,MATCH(41,'كشف الحساب'!$Q$4:$Q$354,0)),"")</f>
        <v/>
      </c>
      <c r="B250" s="133" t="str">
        <f>IFERROR(INDEX('كشف الحساب'!$B$4:$B$354,MATCH(41,'كشف الحساب'!$Q$4:$Q$354,0)),"")</f>
        <v/>
      </c>
      <c r="C250" s="132" t="str">
        <f>IFERROR(INDEX('كشف الحساب'!$C$4:$C$354,MATCH(41,'كشف الحساب'!$Q$4:$Q$354,0)),"")</f>
        <v/>
      </c>
      <c r="D250" s="134" t="str">
        <f>IFERROR(INDEX('كشف الحساب'!$D$4:$D$354,MATCH(41,'كشف الحساب'!$Q$4:$Q$354,0)),"")</f>
        <v/>
      </c>
      <c r="E250" s="135" t="str">
        <f>IFERROR(INDEX('كشف الحساب'!$G$4:$G$354,MATCH(41,'كشف الحساب'!$Q$4:$Q$354,0)),"")</f>
        <v/>
      </c>
      <c r="F250" s="132"/>
    </row>
    <row r="251" spans="1:6" ht="18" customHeight="1" x14ac:dyDescent="0.25">
      <c r="A251" s="143" t="str">
        <f>IFERROR(INDEX('كشف الحساب'!$A$4:$A$354,MATCH(42,'كشف الحساب'!$Q$4:$Q$354,0)),"")</f>
        <v/>
      </c>
      <c r="B251" s="133" t="str">
        <f>IFERROR(INDEX('كشف الحساب'!$B$4:$B$354,MATCH(42,'كشف الحساب'!$Q$4:$Q$354,0)),"")</f>
        <v/>
      </c>
      <c r="C251" s="132" t="str">
        <f>IFERROR(INDEX('كشف الحساب'!$C$4:$C$354,MATCH(42,'كشف الحساب'!$Q$4:$Q$354,0)),"")</f>
        <v/>
      </c>
      <c r="D251" s="134" t="str">
        <f>IFERROR(INDEX('كشف الحساب'!$D$4:$D$354,MATCH(42,'كشف الحساب'!$Q$4:$Q$354,0)),"")</f>
        <v/>
      </c>
      <c r="E251" s="135" t="str">
        <f>IFERROR(INDEX('كشف الحساب'!$G$4:$G$354,MATCH(42,'كشف الحساب'!$Q$4:$Q$354,0)),"")</f>
        <v/>
      </c>
      <c r="F251" s="132"/>
    </row>
    <row r="252" spans="1:6" ht="18" customHeight="1" x14ac:dyDescent="0.25">
      <c r="A252" s="143" t="str">
        <f>IFERROR(INDEX('كشف الحساب'!$A$4:$A$354,MATCH(43,'كشف الحساب'!$Q$4:$Q$354,0)),"")</f>
        <v/>
      </c>
      <c r="B252" s="133" t="str">
        <f>IFERROR(INDEX('كشف الحساب'!$B$4:$B$354,MATCH(43,'كشف الحساب'!$Q$4:$Q$354,0)),"")</f>
        <v/>
      </c>
      <c r="C252" s="132" t="str">
        <f>IFERROR(INDEX('كشف الحساب'!$C$4:$C$354,MATCH(43,'كشف الحساب'!$Q$4:$Q$354,0)),"")</f>
        <v/>
      </c>
      <c r="D252" s="134" t="str">
        <f>IFERROR(INDEX('كشف الحساب'!$D$4:$D$354,MATCH(43,'كشف الحساب'!$Q$4:$Q$354,0)),"")</f>
        <v/>
      </c>
      <c r="E252" s="135" t="str">
        <f>IFERROR(INDEX('كشف الحساب'!$G$4:$G$354,MATCH(43,'كشف الحساب'!$Q$4:$Q$354,0)),"")</f>
        <v/>
      </c>
      <c r="F252" s="132"/>
    </row>
    <row r="253" spans="1:6" ht="18" customHeight="1" x14ac:dyDescent="0.25">
      <c r="A253" s="143" t="str">
        <f>IFERROR(INDEX('كشف الحساب'!$A$4:$A$354,MATCH(44,'كشف الحساب'!$Q$4:$Q$354,0)),"")</f>
        <v/>
      </c>
      <c r="B253" s="133" t="str">
        <f>IFERROR(INDEX('كشف الحساب'!$B$4:$B$354,MATCH(44,'كشف الحساب'!$Q$4:$Q$354,0)),"")</f>
        <v/>
      </c>
      <c r="C253" s="132" t="str">
        <f>IFERROR(INDEX('كشف الحساب'!$C$4:$C$354,MATCH(44,'كشف الحساب'!$Q$4:$Q$354,0)),"")</f>
        <v/>
      </c>
      <c r="D253" s="134" t="str">
        <f>IFERROR(INDEX('كشف الحساب'!$D$4:$D$354,MATCH(44,'كشف الحساب'!$Q$4:$Q$354,0)),"")</f>
        <v/>
      </c>
      <c r="E253" s="135" t="str">
        <f>IFERROR(INDEX('كشف الحساب'!$G$4:$G$354,MATCH(44,'كشف الحساب'!$Q$4:$Q$354,0)),"")</f>
        <v/>
      </c>
      <c r="F253" s="132"/>
    </row>
    <row r="254" spans="1:6" ht="18" customHeight="1" x14ac:dyDescent="0.25">
      <c r="A254" s="143" t="str">
        <f>IFERROR(INDEX('كشف الحساب'!$A$4:$A$354,MATCH(45,'كشف الحساب'!$Q$4:$Q$354,0)),"")</f>
        <v/>
      </c>
      <c r="B254" s="133" t="str">
        <f>IFERROR(INDEX('كشف الحساب'!$B$4:$B$354,MATCH(45,'كشف الحساب'!$Q$4:$Q$354,0)),"")</f>
        <v/>
      </c>
      <c r="C254" s="132" t="str">
        <f>IFERROR(INDEX('كشف الحساب'!$C$4:$C$354,MATCH(45,'كشف الحساب'!$Q$4:$Q$354,0)),"")</f>
        <v/>
      </c>
      <c r="D254" s="134" t="str">
        <f>IFERROR(INDEX('كشف الحساب'!$D$4:$D$354,MATCH(45,'كشف الحساب'!$Q$4:$Q$354,0)),"")</f>
        <v/>
      </c>
      <c r="E254" s="135" t="str">
        <f>IFERROR(INDEX('كشف الحساب'!$G$4:$G$354,MATCH(45,'كشف الحساب'!$Q$4:$Q$354,0)),"")</f>
        <v/>
      </c>
      <c r="F254" s="132"/>
    </row>
    <row r="255" spans="1:6" ht="18" customHeight="1" x14ac:dyDescent="0.25">
      <c r="A255" s="143" t="str">
        <f>IFERROR(INDEX('كشف الحساب'!$A$4:$A$354,MATCH(46,'كشف الحساب'!$Q$4:$Q$354,0)),"")</f>
        <v/>
      </c>
      <c r="B255" s="133" t="str">
        <f>IFERROR(INDEX('كشف الحساب'!$B$4:$B$354,MATCH(46,'كشف الحساب'!$Q$4:$Q$354,0)),"")</f>
        <v/>
      </c>
      <c r="C255" s="132" t="str">
        <f>IFERROR(INDEX('كشف الحساب'!$C$4:$C$354,MATCH(46,'كشف الحساب'!$Q$4:$Q$354,0)),"")</f>
        <v/>
      </c>
      <c r="D255" s="134" t="str">
        <f>IFERROR(INDEX('كشف الحساب'!$D$4:$D$354,MATCH(46,'كشف الحساب'!$Q$4:$Q$354,0)),"")</f>
        <v/>
      </c>
      <c r="E255" s="135" t="str">
        <f>IFERROR(INDEX('كشف الحساب'!$G$4:$G$354,MATCH(46,'كشف الحساب'!$Q$4:$Q$354,0)),"")</f>
        <v/>
      </c>
      <c r="F255" s="132"/>
    </row>
    <row r="256" spans="1:6" ht="18" customHeight="1" x14ac:dyDescent="0.25">
      <c r="A256" s="143" t="str">
        <f>IFERROR(INDEX('كشف الحساب'!$A$4:$A$354,MATCH(47,'كشف الحساب'!$Q$4:$Q$354,0)),"")</f>
        <v/>
      </c>
      <c r="B256" s="133" t="str">
        <f>IFERROR(INDEX('كشف الحساب'!$B$4:$B$354,MATCH(47,'كشف الحساب'!$Q$4:$Q$354,0)),"")</f>
        <v/>
      </c>
      <c r="C256" s="132" t="str">
        <f>IFERROR(INDEX('كشف الحساب'!$C$4:$C$354,MATCH(47,'كشف الحساب'!$Q$4:$Q$354,0)),"")</f>
        <v/>
      </c>
      <c r="D256" s="134" t="str">
        <f>IFERROR(INDEX('كشف الحساب'!$D$4:$D$354,MATCH(47,'كشف الحساب'!$Q$4:$Q$354,0)),"")</f>
        <v/>
      </c>
      <c r="E256" s="135" t="str">
        <f>IFERROR(INDEX('كشف الحساب'!$G$4:$G$354,MATCH(47,'كشف الحساب'!$Q$4:$Q$354,0)),"")</f>
        <v/>
      </c>
      <c r="F256" s="132"/>
    </row>
    <row r="257" spans="1:6" ht="18" customHeight="1" x14ac:dyDescent="0.25">
      <c r="A257" s="143" t="str">
        <f>IFERROR(INDEX('كشف الحساب'!$A$4:$A$354,MATCH(48,'كشف الحساب'!$Q$4:$Q$354,0)),"")</f>
        <v/>
      </c>
      <c r="B257" s="133" t="str">
        <f>IFERROR(INDEX('كشف الحساب'!$B$4:$B$354,MATCH(48,'كشف الحساب'!$Q$4:$Q$354,0)),"")</f>
        <v/>
      </c>
      <c r="C257" s="132" t="str">
        <f>IFERROR(INDEX('كشف الحساب'!$C$4:$C$354,MATCH(48,'كشف الحساب'!$Q$4:$Q$354,0)),"")</f>
        <v/>
      </c>
      <c r="D257" s="134" t="str">
        <f>IFERROR(INDEX('كشف الحساب'!$D$4:$D$354,MATCH(48,'كشف الحساب'!$Q$4:$Q$354,0)),"")</f>
        <v/>
      </c>
      <c r="E257" s="135" t="str">
        <f>IFERROR(INDEX('كشف الحساب'!$G$4:$G$354,MATCH(48,'كشف الحساب'!$Q$4:$Q$354,0)),"")</f>
        <v/>
      </c>
      <c r="F257" s="132"/>
    </row>
    <row r="258" spans="1:6" ht="18" customHeight="1" x14ac:dyDescent="0.25">
      <c r="A258" s="143" t="str">
        <f>IFERROR(INDEX('كشف الحساب'!$A$4:$A$354,MATCH(49,'كشف الحساب'!$Q$4:$Q$354,0)),"")</f>
        <v/>
      </c>
      <c r="B258" s="133" t="str">
        <f>IFERROR(INDEX('كشف الحساب'!$B$4:$B$354,MATCH(49,'كشف الحساب'!$Q$4:$Q$354,0)),"")</f>
        <v/>
      </c>
      <c r="C258" s="132" t="str">
        <f>IFERROR(INDEX('كشف الحساب'!$C$4:$C$354,MATCH(49,'كشف الحساب'!$Q$4:$Q$354,0)),"")</f>
        <v/>
      </c>
      <c r="D258" s="134" t="str">
        <f>IFERROR(INDEX('كشف الحساب'!$D$4:$D$354,MATCH(49,'كشف الحساب'!$Q$4:$Q$354,0)),"")</f>
        <v/>
      </c>
      <c r="E258" s="135" t="str">
        <f>IFERROR(INDEX('كشف الحساب'!$G$4:$G$354,MATCH(49,'كشف الحساب'!$Q$4:$Q$354,0)),"")</f>
        <v/>
      </c>
      <c r="F258" s="132"/>
    </row>
    <row r="259" spans="1:6" ht="18" customHeight="1" x14ac:dyDescent="0.25">
      <c r="A259" s="143" t="str">
        <f>IFERROR(INDEX('كشف الحساب'!$A$4:$A$354,MATCH(50,'كشف الحساب'!$Q$4:$Q$354,0)),"")</f>
        <v/>
      </c>
      <c r="B259" s="133" t="str">
        <f>IFERROR(INDEX('كشف الحساب'!$B$4:$B$354,MATCH(50,'كشف الحساب'!$Q$4:$Q$354,0)),"")</f>
        <v/>
      </c>
      <c r="C259" s="132" t="str">
        <f>IFERROR(INDEX('كشف الحساب'!$C$4:$C$354,MATCH(50,'كشف الحساب'!$Q$4:$Q$354,0)),"")</f>
        <v/>
      </c>
      <c r="D259" s="134" t="str">
        <f>IFERROR(INDEX('كشف الحساب'!$D$4:$D$354,MATCH(50,'كشف الحساب'!$Q$4:$Q$354,0)),"")</f>
        <v/>
      </c>
      <c r="E259" s="135" t="str">
        <f>IFERROR(INDEX('كشف الحساب'!$G$4:$G$354,MATCH(50,'كشف الحساب'!$Q$4:$Q$354,0)),"")</f>
        <v/>
      </c>
      <c r="F259" s="132"/>
    </row>
    <row r="260" spans="1:6" ht="18" customHeight="1" x14ac:dyDescent="0.25">
      <c r="A260" s="143" t="str">
        <f>IFERROR(INDEX('كشف الحساب'!$A$4:$A$354,MATCH(51,'كشف الحساب'!$Q$4:$Q$354,0)),"")</f>
        <v/>
      </c>
      <c r="B260" s="133" t="str">
        <f>IFERROR(INDEX('كشف الحساب'!$B$4:$B$354,MATCH(51,'كشف الحساب'!$Q$4:$Q$354,0)),"")</f>
        <v/>
      </c>
      <c r="C260" s="132" t="str">
        <f>IFERROR(INDEX('كشف الحساب'!$C$4:$C$354,MATCH(51,'كشف الحساب'!$Q$4:$Q$354,0)),"")</f>
        <v/>
      </c>
      <c r="D260" s="134" t="str">
        <f>IFERROR(INDEX('كشف الحساب'!$D$4:$D$354,MATCH(51,'كشف الحساب'!$Q$4:$Q$354,0)),"")</f>
        <v/>
      </c>
      <c r="E260" s="135" t="str">
        <f>IFERROR(INDEX('كشف الحساب'!$G$4:$G$354,MATCH(51,'كشف الحساب'!$Q$4:$Q$354,0)),"")</f>
        <v/>
      </c>
      <c r="F260" s="132"/>
    </row>
    <row r="261" spans="1:6" ht="18" customHeight="1" x14ac:dyDescent="0.25">
      <c r="A261" s="143" t="str">
        <f>IFERROR(INDEX('كشف الحساب'!$A$4:$A$354,MATCH(52,'كشف الحساب'!$Q$4:$Q$354,0)),"")</f>
        <v/>
      </c>
      <c r="B261" s="133" t="str">
        <f>IFERROR(INDEX('كشف الحساب'!$B$4:$B$354,MATCH(52,'كشف الحساب'!$Q$4:$Q$354,0)),"")</f>
        <v/>
      </c>
      <c r="C261" s="132" t="str">
        <f>IFERROR(INDEX('كشف الحساب'!$C$4:$C$354,MATCH(52,'كشف الحساب'!$Q$4:$Q$354,0)),"")</f>
        <v/>
      </c>
      <c r="D261" s="134" t="str">
        <f>IFERROR(INDEX('كشف الحساب'!$D$4:$D$354,MATCH(52,'كشف الحساب'!$Q$4:$Q$354,0)),"")</f>
        <v/>
      </c>
      <c r="E261" s="135" t="str">
        <f>IFERROR(INDEX('كشف الحساب'!$G$4:$G$354,MATCH(52,'كشف الحساب'!$Q$4:$Q$354,0)),"")</f>
        <v/>
      </c>
      <c r="F261" s="132"/>
    </row>
    <row r="262" spans="1:6" ht="18" customHeight="1" x14ac:dyDescent="0.25">
      <c r="A262" s="143" t="str">
        <f>IFERROR(INDEX('كشف الحساب'!$A$4:$A$354,MATCH(53,'كشف الحساب'!$Q$4:$Q$354,0)),"")</f>
        <v/>
      </c>
      <c r="B262" s="133" t="str">
        <f>IFERROR(INDEX('كشف الحساب'!$B$4:$B$354,MATCH(53,'كشف الحساب'!$Q$4:$Q$354,0)),"")</f>
        <v/>
      </c>
      <c r="C262" s="132" t="str">
        <f>IFERROR(INDEX('كشف الحساب'!$C$4:$C$354,MATCH(53,'كشف الحساب'!$Q$4:$Q$354,0)),"")</f>
        <v/>
      </c>
      <c r="D262" s="134" t="str">
        <f>IFERROR(INDEX('كشف الحساب'!$D$4:$D$354,MATCH(53,'كشف الحساب'!$Q$4:$Q$354,0)),"")</f>
        <v/>
      </c>
      <c r="E262" s="135" t="str">
        <f>IFERROR(INDEX('كشف الحساب'!$G$4:$G$354,MATCH(53,'كشف الحساب'!$Q$4:$Q$354,0)),"")</f>
        <v/>
      </c>
      <c r="F262" s="132"/>
    </row>
    <row r="263" spans="1:6" ht="18" customHeight="1" x14ac:dyDescent="0.25">
      <c r="A263" s="143" t="str">
        <f>IFERROR(INDEX('كشف الحساب'!$A$4:$A$354,MATCH(54,'كشف الحساب'!$Q$4:$Q$354,0)),"")</f>
        <v/>
      </c>
      <c r="B263" s="133" t="str">
        <f>IFERROR(INDEX('كشف الحساب'!$B$4:$B$354,MATCH(54,'كشف الحساب'!$Q$4:$Q$354,0)),"")</f>
        <v/>
      </c>
      <c r="C263" s="132" t="str">
        <f>IFERROR(INDEX('كشف الحساب'!$C$4:$C$354,MATCH(54,'كشف الحساب'!$Q$4:$Q$354,0)),"")</f>
        <v/>
      </c>
      <c r="D263" s="134" t="str">
        <f>IFERROR(INDEX('كشف الحساب'!$D$4:$D$354,MATCH(54,'كشف الحساب'!$Q$4:$Q$354,0)),"")</f>
        <v/>
      </c>
      <c r="E263" s="135" t="str">
        <f>IFERROR(INDEX('كشف الحساب'!$G$4:$G$354,MATCH(54,'كشف الحساب'!$Q$4:$Q$354,0)),"")</f>
        <v/>
      </c>
      <c r="F263" s="132"/>
    </row>
    <row r="264" spans="1:6" ht="18" customHeight="1" x14ac:dyDescent="0.25">
      <c r="A264" s="143" t="str">
        <f>IFERROR(INDEX('كشف الحساب'!$A$4:$A$354,MATCH(55,'كشف الحساب'!$Q$4:$Q$354,0)),"")</f>
        <v/>
      </c>
      <c r="B264" s="133" t="str">
        <f>IFERROR(INDEX('كشف الحساب'!$B$4:$B$354,MATCH(55,'كشف الحساب'!$Q$4:$Q$354,0)),"")</f>
        <v/>
      </c>
      <c r="C264" s="132" t="str">
        <f>IFERROR(INDEX('كشف الحساب'!$C$4:$C$354,MATCH(55,'كشف الحساب'!$Q$4:$Q$354,0)),"")</f>
        <v/>
      </c>
      <c r="D264" s="134" t="str">
        <f>IFERROR(INDEX('كشف الحساب'!$D$4:$D$354,MATCH(55,'كشف الحساب'!$Q$4:$Q$354,0)),"")</f>
        <v/>
      </c>
      <c r="E264" s="135" t="str">
        <f>IFERROR(INDEX('كشف الحساب'!$G$4:$G$354,MATCH(55,'كشف الحساب'!$Q$4:$Q$354,0)),"")</f>
        <v/>
      </c>
      <c r="F264" s="132"/>
    </row>
    <row r="265" spans="1:6" ht="18" customHeight="1" x14ac:dyDescent="0.25">
      <c r="A265" s="143" t="str">
        <f>IFERROR(INDEX('كشف الحساب'!$A$4:$A$354,MATCH(56,'كشف الحساب'!$Q$4:$Q$354,0)),"")</f>
        <v/>
      </c>
      <c r="B265" s="133" t="str">
        <f>IFERROR(INDEX('كشف الحساب'!$B$4:$B$354,MATCH(56,'كشف الحساب'!$Q$4:$Q$354,0)),"")</f>
        <v/>
      </c>
      <c r="C265" s="132" t="str">
        <f>IFERROR(INDEX('كشف الحساب'!$C$4:$C$354,MATCH(56,'كشف الحساب'!$Q$4:$Q$354,0)),"")</f>
        <v/>
      </c>
      <c r="D265" s="134" t="str">
        <f>IFERROR(INDEX('كشف الحساب'!$D$4:$D$354,MATCH(56,'كشف الحساب'!$Q$4:$Q$354,0)),"")</f>
        <v/>
      </c>
      <c r="E265" s="135" t="str">
        <f>IFERROR(INDEX('كشف الحساب'!$G$4:$G$354,MATCH(56,'كشف الحساب'!$Q$4:$Q$354,0)),"")</f>
        <v/>
      </c>
      <c r="F265" s="132"/>
    </row>
    <row r="266" spans="1:6" ht="18" customHeight="1" x14ac:dyDescent="0.25">
      <c r="A266" s="143" t="str">
        <f>IFERROR(INDEX('كشف الحساب'!$A$4:$A$354,MATCH(57,'كشف الحساب'!$Q$4:$Q$354,0)),"")</f>
        <v/>
      </c>
      <c r="B266" s="133" t="str">
        <f>IFERROR(INDEX('كشف الحساب'!$B$4:$B$354,MATCH(57,'كشف الحساب'!$Q$4:$Q$354,0)),"")</f>
        <v/>
      </c>
      <c r="C266" s="132" t="str">
        <f>IFERROR(INDEX('كشف الحساب'!$C$4:$C$354,MATCH(57,'كشف الحساب'!$Q$4:$Q$354,0)),"")</f>
        <v/>
      </c>
      <c r="D266" s="134" t="str">
        <f>IFERROR(INDEX('كشف الحساب'!$D$4:$D$354,MATCH(57,'كشف الحساب'!$Q$4:$Q$354,0)),"")</f>
        <v/>
      </c>
      <c r="E266" s="135" t="str">
        <f>IFERROR(INDEX('كشف الحساب'!$G$4:$G$354,MATCH(57,'كشف الحساب'!$Q$4:$Q$354,0)),"")</f>
        <v/>
      </c>
      <c r="F266" s="132"/>
    </row>
    <row r="267" spans="1:6" ht="18" customHeight="1" x14ac:dyDescent="0.25">
      <c r="A267" s="143" t="str">
        <f>IFERROR(INDEX('كشف الحساب'!$A$4:$A$354,MATCH(58,'كشف الحساب'!$Q$4:$Q$354,0)),"")</f>
        <v/>
      </c>
      <c r="B267" s="133" t="str">
        <f>IFERROR(INDEX('كشف الحساب'!$B$4:$B$354,MATCH(58,'كشف الحساب'!$Q$4:$Q$354,0)),"")</f>
        <v/>
      </c>
      <c r="C267" s="132" t="str">
        <f>IFERROR(INDEX('كشف الحساب'!$C$4:$C$354,MATCH(58,'كشف الحساب'!$Q$4:$Q$354,0)),"")</f>
        <v/>
      </c>
      <c r="D267" s="134" t="str">
        <f>IFERROR(INDEX('كشف الحساب'!$D$4:$D$354,MATCH(58,'كشف الحساب'!$Q$4:$Q$354,0)),"")</f>
        <v/>
      </c>
      <c r="E267" s="135" t="str">
        <f>IFERROR(INDEX('كشف الحساب'!$G$4:$G$354,MATCH(58,'كشف الحساب'!$Q$4:$Q$354,0)),"")</f>
        <v/>
      </c>
      <c r="F267" s="132"/>
    </row>
    <row r="268" spans="1:6" ht="18" customHeight="1" x14ac:dyDescent="0.25">
      <c r="A268" s="143" t="str">
        <f>IFERROR(INDEX('كشف الحساب'!$A$4:$A$354,MATCH(59,'كشف الحساب'!$Q$4:$Q$354,0)),"")</f>
        <v/>
      </c>
      <c r="B268" s="133" t="str">
        <f>IFERROR(INDEX('كشف الحساب'!$B$4:$B$354,MATCH(59,'كشف الحساب'!$Q$4:$Q$354,0)),"")</f>
        <v/>
      </c>
      <c r="C268" s="132" t="str">
        <f>IFERROR(INDEX('كشف الحساب'!$C$4:$C$354,MATCH(59,'كشف الحساب'!$Q$4:$Q$354,0)),"")</f>
        <v/>
      </c>
      <c r="D268" s="134" t="str">
        <f>IFERROR(INDEX('كشف الحساب'!$D$4:$D$354,MATCH(59,'كشف الحساب'!$Q$4:$Q$354,0)),"")</f>
        <v/>
      </c>
      <c r="E268" s="135" t="str">
        <f>IFERROR(INDEX('كشف الحساب'!$G$4:$G$354,MATCH(59,'كشف الحساب'!$Q$4:$Q$354,0)),"")</f>
        <v/>
      </c>
      <c r="F268" s="132"/>
    </row>
    <row r="269" spans="1:6" ht="18" customHeight="1" x14ac:dyDescent="0.25">
      <c r="A269" s="143" t="str">
        <f>IFERROR(INDEX('كشف الحساب'!$A$4:$A$354,MATCH(60,'كشف الحساب'!$Q$4:$Q$354,0)),"")</f>
        <v/>
      </c>
      <c r="B269" s="133" t="str">
        <f>IFERROR(INDEX('كشف الحساب'!$B$4:$B$354,MATCH(60,'كشف الحساب'!$Q$4:$Q$354,0)),"")</f>
        <v/>
      </c>
      <c r="C269" s="132" t="str">
        <f>IFERROR(INDEX('كشف الحساب'!$C$4:$C$354,MATCH(60,'كشف الحساب'!$Q$4:$Q$354,0)),"")</f>
        <v/>
      </c>
      <c r="D269" s="134" t="str">
        <f>IFERROR(INDEX('كشف الحساب'!$D$4:$D$354,MATCH(60,'كشف الحساب'!$Q$4:$Q$354,0)),"")</f>
        <v/>
      </c>
      <c r="E269" s="135" t="str">
        <f>IFERROR(INDEX('كشف الحساب'!$G$4:$G$354,MATCH(60,'كشف الحساب'!$Q$4:$Q$354,0)),"")</f>
        <v/>
      </c>
      <c r="F269" s="132"/>
    </row>
    <row r="270" spans="1:6" ht="18" customHeight="1" x14ac:dyDescent="0.25">
      <c r="A270" s="143" t="str">
        <f>IFERROR(INDEX('كشف الحساب'!$A$4:$A$354,MATCH(61,'كشف الحساب'!$Q$4:$Q$354,0)),"")</f>
        <v/>
      </c>
      <c r="B270" s="133" t="str">
        <f>IFERROR(INDEX('كشف الحساب'!$B$4:$B$354,MATCH(61,'كشف الحساب'!$Q$4:$Q$354,0)),"")</f>
        <v/>
      </c>
      <c r="C270" s="132" t="str">
        <f>IFERROR(INDEX('كشف الحساب'!$C$4:$C$354,MATCH(61,'كشف الحساب'!$Q$4:$Q$354,0)),"")</f>
        <v/>
      </c>
      <c r="D270" s="134" t="str">
        <f>IFERROR(INDEX('كشف الحساب'!$D$4:$D$354,MATCH(61,'كشف الحساب'!$Q$4:$Q$354,0)),"")</f>
        <v/>
      </c>
      <c r="E270" s="135" t="str">
        <f>IFERROR(INDEX('كشف الحساب'!$G$4:$G$354,MATCH(61,'كشف الحساب'!$Q$4:$Q$354,0)),"")</f>
        <v/>
      </c>
      <c r="F270" s="132"/>
    </row>
    <row r="271" spans="1:6" ht="18" customHeight="1" x14ac:dyDescent="0.25">
      <c r="A271" s="143" t="str">
        <f>IFERROR(INDEX('كشف الحساب'!$A$4:$A$354,MATCH(62,'كشف الحساب'!$Q$4:$Q$354,0)),"")</f>
        <v/>
      </c>
      <c r="B271" s="133" t="str">
        <f>IFERROR(INDEX('كشف الحساب'!$B$4:$B$354,MATCH(62,'كشف الحساب'!$Q$4:$Q$354,0)),"")</f>
        <v/>
      </c>
      <c r="C271" s="132" t="str">
        <f>IFERROR(INDEX('كشف الحساب'!$C$4:$C$354,MATCH(62,'كشف الحساب'!$Q$4:$Q$354,0)),"")</f>
        <v/>
      </c>
      <c r="D271" s="134" t="str">
        <f>IFERROR(INDEX('كشف الحساب'!$D$4:$D$354,MATCH(62,'كشف الحساب'!$Q$4:$Q$354,0)),"")</f>
        <v/>
      </c>
      <c r="E271" s="135" t="str">
        <f>IFERROR(INDEX('كشف الحساب'!$G$4:$G$354,MATCH(62,'كشف الحساب'!$Q$4:$Q$354,0)),"")</f>
        <v/>
      </c>
      <c r="F271" s="132"/>
    </row>
    <row r="272" spans="1:6" ht="18" customHeight="1" x14ac:dyDescent="0.25">
      <c r="A272" s="143" t="str">
        <f>IFERROR(INDEX('كشف الحساب'!$A$4:$A$354,MATCH(63,'كشف الحساب'!$Q$4:$Q$354,0)),"")</f>
        <v/>
      </c>
      <c r="B272" s="133" t="str">
        <f>IFERROR(INDEX('كشف الحساب'!$B$4:$B$354,MATCH(63,'كشف الحساب'!$Q$4:$Q$354,0)),"")</f>
        <v/>
      </c>
      <c r="C272" s="132" t="str">
        <f>IFERROR(INDEX('كشف الحساب'!$C$4:$C$354,MATCH(63,'كشف الحساب'!$Q$4:$Q$354,0)),"")</f>
        <v/>
      </c>
      <c r="D272" s="134" t="str">
        <f>IFERROR(INDEX('كشف الحساب'!$D$4:$D$354,MATCH(63,'كشف الحساب'!$Q$4:$Q$354,0)),"")</f>
        <v/>
      </c>
      <c r="E272" s="135" t="str">
        <f>IFERROR(INDEX('كشف الحساب'!$G$4:$G$354,MATCH(63,'كشف الحساب'!$Q$4:$Q$354,0)),"")</f>
        <v/>
      </c>
      <c r="F272" s="132"/>
    </row>
    <row r="273" spans="1:6" ht="18" customHeight="1" x14ac:dyDescent="0.25">
      <c r="A273" s="143" t="str">
        <f>IFERROR(INDEX('كشف الحساب'!$A$4:$A$354,MATCH(64,'كشف الحساب'!$Q$4:$Q$354,0)),"")</f>
        <v/>
      </c>
      <c r="B273" s="133" t="str">
        <f>IFERROR(INDEX('كشف الحساب'!$B$4:$B$354,MATCH(64,'كشف الحساب'!$Q$4:$Q$354,0)),"")</f>
        <v/>
      </c>
      <c r="C273" s="132" t="str">
        <f>IFERROR(INDEX('كشف الحساب'!$C$4:$C$354,MATCH(64,'كشف الحساب'!$Q$4:$Q$354,0)),"")</f>
        <v/>
      </c>
      <c r="D273" s="134" t="str">
        <f>IFERROR(INDEX('كشف الحساب'!$D$4:$D$354,MATCH(64,'كشف الحساب'!$Q$4:$Q$354,0)),"")</f>
        <v/>
      </c>
      <c r="E273" s="135" t="str">
        <f>IFERROR(INDEX('كشف الحساب'!$G$4:$G$354,MATCH(64,'كشف الحساب'!$Q$4:$Q$354,0)),"")</f>
        <v/>
      </c>
      <c r="F273" s="132"/>
    </row>
    <row r="274" spans="1:6" ht="18" customHeight="1" x14ac:dyDescent="0.25">
      <c r="A274" s="143" t="str">
        <f>IFERROR(INDEX('كشف الحساب'!$A$4:$A$354,MATCH(65,'كشف الحساب'!$Q$4:$Q$354,0)),"")</f>
        <v/>
      </c>
      <c r="B274" s="133" t="str">
        <f>IFERROR(INDEX('كشف الحساب'!$B$4:$B$354,MATCH(65,'كشف الحساب'!$Q$4:$Q$354,0)),"")</f>
        <v/>
      </c>
      <c r="C274" s="132" t="str">
        <f>IFERROR(INDEX('كشف الحساب'!$C$4:$C$354,MATCH(65,'كشف الحساب'!$Q$4:$Q$354,0)),"")</f>
        <v/>
      </c>
      <c r="D274" s="134" t="str">
        <f>IFERROR(INDEX('كشف الحساب'!$D$4:$D$354,MATCH(65,'كشف الحساب'!$Q$4:$Q$354,0)),"")</f>
        <v/>
      </c>
      <c r="E274" s="135" t="str">
        <f>IFERROR(INDEX('كشف الحساب'!$G$4:$G$354,MATCH(65,'كشف الحساب'!$Q$4:$Q$354,0)),"")</f>
        <v/>
      </c>
      <c r="F274" s="132"/>
    </row>
    <row r="275" spans="1:6" ht="18" customHeight="1" x14ac:dyDescent="0.25">
      <c r="A275" s="143" t="str">
        <f>IFERROR(INDEX('كشف الحساب'!$A$4:$A$354,MATCH(66,'كشف الحساب'!$Q$4:$Q$354,0)),"")</f>
        <v/>
      </c>
      <c r="B275" s="133" t="str">
        <f>IFERROR(INDEX('كشف الحساب'!$B$4:$B$354,MATCH(66,'كشف الحساب'!$Q$4:$Q$354,0)),"")</f>
        <v/>
      </c>
      <c r="C275" s="132" t="str">
        <f>IFERROR(INDEX('كشف الحساب'!$C$4:$C$354,MATCH(66,'كشف الحساب'!$Q$4:$Q$354,0)),"")</f>
        <v/>
      </c>
      <c r="D275" s="134" t="str">
        <f>IFERROR(INDEX('كشف الحساب'!$D$4:$D$354,MATCH(66,'كشف الحساب'!$Q$4:$Q$354,0)),"")</f>
        <v/>
      </c>
      <c r="E275" s="135" t="str">
        <f>IFERROR(INDEX('كشف الحساب'!$G$4:$G$354,MATCH(66,'كشف الحساب'!$Q$4:$Q$354,0)),"")</f>
        <v/>
      </c>
      <c r="F275" s="132"/>
    </row>
    <row r="276" spans="1:6" ht="18" customHeight="1" x14ac:dyDescent="0.25">
      <c r="A276" s="143" t="str">
        <f>IFERROR(INDEX('كشف الحساب'!$A$4:$A$354,MATCH(67,'كشف الحساب'!$Q$4:$Q$354,0)),"")</f>
        <v/>
      </c>
      <c r="B276" s="133" t="str">
        <f>IFERROR(INDEX('كشف الحساب'!$B$4:$B$354,MATCH(67,'كشف الحساب'!$Q$4:$Q$354,0)),"")</f>
        <v/>
      </c>
      <c r="C276" s="132" t="str">
        <f>IFERROR(INDEX('كشف الحساب'!$C$4:$C$354,MATCH(67,'كشف الحساب'!$Q$4:$Q$354,0)),"")</f>
        <v/>
      </c>
      <c r="D276" s="134" t="str">
        <f>IFERROR(INDEX('كشف الحساب'!$D$4:$D$354,MATCH(67,'كشف الحساب'!$Q$4:$Q$354,0)),"")</f>
        <v/>
      </c>
      <c r="E276" s="135" t="str">
        <f>IFERROR(INDEX('كشف الحساب'!$G$4:$G$354,MATCH(67,'كشف الحساب'!$Q$4:$Q$354,0)),"")</f>
        <v/>
      </c>
      <c r="F276" s="132"/>
    </row>
    <row r="277" spans="1:6" ht="18" customHeight="1" x14ac:dyDescent="0.25">
      <c r="A277" s="143" t="str">
        <f>IFERROR(INDEX('كشف الحساب'!$A$4:$A$354,MATCH(68,'كشف الحساب'!$Q$4:$Q$354,0)),"")</f>
        <v/>
      </c>
      <c r="B277" s="133" t="str">
        <f>IFERROR(INDEX('كشف الحساب'!$B$4:$B$354,MATCH(68,'كشف الحساب'!$Q$4:$Q$354,0)),"")</f>
        <v/>
      </c>
      <c r="C277" s="132" t="str">
        <f>IFERROR(INDEX('كشف الحساب'!$C$4:$C$354,MATCH(68,'كشف الحساب'!$Q$4:$Q$354,0)),"")</f>
        <v/>
      </c>
      <c r="D277" s="134" t="str">
        <f>IFERROR(INDEX('كشف الحساب'!$D$4:$D$354,MATCH(68,'كشف الحساب'!$Q$4:$Q$354,0)),"")</f>
        <v/>
      </c>
      <c r="E277" s="135" t="str">
        <f>IFERROR(INDEX('كشف الحساب'!$G$4:$G$354,MATCH(68,'كشف الحساب'!$Q$4:$Q$354,0)),"")</f>
        <v/>
      </c>
      <c r="F277" s="132"/>
    </row>
    <row r="278" spans="1:6" ht="18" customHeight="1" x14ac:dyDescent="0.25">
      <c r="A278" s="143" t="str">
        <f>IFERROR(INDEX('كشف الحساب'!$A$4:$A$354,MATCH(69,'كشف الحساب'!$Q$4:$Q$354,0)),"")</f>
        <v/>
      </c>
      <c r="B278" s="133" t="str">
        <f>IFERROR(INDEX('كشف الحساب'!$B$4:$B$354,MATCH(69,'كشف الحساب'!$Q$4:$Q$354,0)),"")</f>
        <v/>
      </c>
      <c r="C278" s="132" t="str">
        <f>IFERROR(INDEX('كشف الحساب'!$C$4:$C$354,MATCH(69,'كشف الحساب'!$Q$4:$Q$354,0)),"")</f>
        <v/>
      </c>
      <c r="D278" s="134" t="str">
        <f>IFERROR(INDEX('كشف الحساب'!$D$4:$D$354,MATCH(69,'كشف الحساب'!$Q$4:$Q$354,0)),"")</f>
        <v/>
      </c>
      <c r="E278" s="135" t="str">
        <f>IFERROR(INDEX('كشف الحساب'!$G$4:$G$354,MATCH(69,'كشف الحساب'!$Q$4:$Q$354,0)),"")</f>
        <v/>
      </c>
      <c r="F278" s="132"/>
    </row>
    <row r="279" spans="1:6" ht="18" customHeight="1" x14ac:dyDescent="0.25">
      <c r="A279" s="143" t="str">
        <f>IFERROR(INDEX('كشف الحساب'!$A$4:$A$354,MATCH(70,'كشف الحساب'!$Q$4:$Q$354,0)),"")</f>
        <v/>
      </c>
      <c r="B279" s="133" t="str">
        <f>IFERROR(INDEX('كشف الحساب'!$B$4:$B$354,MATCH(70,'كشف الحساب'!$Q$4:$Q$354,0)),"")</f>
        <v/>
      </c>
      <c r="C279" s="132" t="str">
        <f>IFERROR(INDEX('كشف الحساب'!$C$4:$C$354,MATCH(70,'كشف الحساب'!$Q$4:$Q$354,0)),"")</f>
        <v/>
      </c>
      <c r="D279" s="134" t="str">
        <f>IFERROR(INDEX('كشف الحساب'!$D$4:$D$354,MATCH(70,'كشف الحساب'!$Q$4:$Q$354,0)),"")</f>
        <v/>
      </c>
      <c r="E279" s="135" t="str">
        <f>IFERROR(INDEX('كشف الحساب'!$G$4:$G$354,MATCH(70,'كشف الحساب'!$Q$4:$Q$354,0)),"")</f>
        <v/>
      </c>
      <c r="F279" s="132"/>
    </row>
    <row r="280" spans="1:6" ht="18" customHeight="1" x14ac:dyDescent="0.25">
      <c r="A280" s="143" t="str">
        <f>IFERROR(INDEX('كشف الحساب'!$A$4:$A$354,MATCH(71,'كشف الحساب'!$Q$4:$Q$354,0)),"")</f>
        <v/>
      </c>
      <c r="B280" s="133" t="str">
        <f>IFERROR(INDEX('كشف الحساب'!$B$4:$B$354,MATCH(71,'كشف الحساب'!$Q$4:$Q$354,0)),"")</f>
        <v/>
      </c>
      <c r="C280" s="132" t="str">
        <f>IFERROR(INDEX('كشف الحساب'!$C$4:$C$354,MATCH(71,'كشف الحساب'!$Q$4:$Q$354,0)),"")</f>
        <v/>
      </c>
      <c r="D280" s="134" t="str">
        <f>IFERROR(INDEX('كشف الحساب'!$D$4:$D$354,MATCH(71,'كشف الحساب'!$Q$4:$Q$354,0)),"")</f>
        <v/>
      </c>
      <c r="E280" s="135" t="str">
        <f>IFERROR(INDEX('كشف الحساب'!$G$4:$G$354,MATCH(71,'كشف الحساب'!$Q$4:$Q$354,0)),"")</f>
        <v/>
      </c>
      <c r="F280" s="132"/>
    </row>
    <row r="281" spans="1:6" ht="18" customHeight="1" x14ac:dyDescent="0.25">
      <c r="A281" s="143" t="str">
        <f>IFERROR(INDEX('كشف الحساب'!$A$4:$A$354,MATCH(72,'كشف الحساب'!$Q$4:$Q$354,0)),"")</f>
        <v/>
      </c>
      <c r="B281" s="133" t="str">
        <f>IFERROR(INDEX('كشف الحساب'!$B$4:$B$354,MATCH(72,'كشف الحساب'!$Q$4:$Q$354,0)),"")</f>
        <v/>
      </c>
      <c r="C281" s="132" t="str">
        <f>IFERROR(INDEX('كشف الحساب'!$C$4:$C$354,MATCH(72,'كشف الحساب'!$Q$4:$Q$354,0)),"")</f>
        <v/>
      </c>
      <c r="D281" s="134" t="str">
        <f>IFERROR(INDEX('كشف الحساب'!$D$4:$D$354,MATCH(72,'كشف الحساب'!$Q$4:$Q$354,0)),"")</f>
        <v/>
      </c>
      <c r="E281" s="135" t="str">
        <f>IFERROR(INDEX('كشف الحساب'!$G$4:$G$354,MATCH(72,'كشف الحساب'!$Q$4:$Q$354,0)),"")</f>
        <v/>
      </c>
      <c r="F281" s="132"/>
    </row>
    <row r="282" spans="1:6" ht="18" customHeight="1" x14ac:dyDescent="0.25">
      <c r="A282" s="143" t="str">
        <f>IFERROR(INDEX('كشف الحساب'!$A$4:$A$354,MATCH(73,'كشف الحساب'!$Q$4:$Q$354,0)),"")</f>
        <v/>
      </c>
      <c r="B282" s="133" t="str">
        <f>IFERROR(INDEX('كشف الحساب'!$B$4:$B$354,MATCH(73,'كشف الحساب'!$Q$4:$Q$354,0)),"")</f>
        <v/>
      </c>
      <c r="C282" s="132" t="str">
        <f>IFERROR(INDEX('كشف الحساب'!$C$4:$C$354,MATCH(73,'كشف الحساب'!$Q$4:$Q$354,0)),"")</f>
        <v/>
      </c>
      <c r="D282" s="134" t="str">
        <f>IFERROR(INDEX('كشف الحساب'!$D$4:$D$354,MATCH(73,'كشف الحساب'!$Q$4:$Q$354,0)),"")</f>
        <v/>
      </c>
      <c r="E282" s="135" t="str">
        <f>IFERROR(INDEX('كشف الحساب'!$G$4:$G$354,MATCH(73,'كشف الحساب'!$Q$4:$Q$354,0)),"")</f>
        <v/>
      </c>
      <c r="F282" s="132"/>
    </row>
    <row r="283" spans="1:6" ht="18" customHeight="1" x14ac:dyDescent="0.25">
      <c r="A283" s="143" t="str">
        <f>IFERROR(INDEX('كشف الحساب'!$A$4:$A$354,MATCH(74,'كشف الحساب'!$Q$4:$Q$354,0)),"")</f>
        <v/>
      </c>
      <c r="B283" s="133" t="str">
        <f>IFERROR(INDEX('كشف الحساب'!$B$4:$B$354,MATCH(74,'كشف الحساب'!$Q$4:$Q$354,0)),"")</f>
        <v/>
      </c>
      <c r="C283" s="132" t="str">
        <f>IFERROR(INDEX('كشف الحساب'!$C$4:$C$354,MATCH(74,'كشف الحساب'!$Q$4:$Q$354,0)),"")</f>
        <v/>
      </c>
      <c r="D283" s="134" t="str">
        <f>IFERROR(INDEX('كشف الحساب'!$D$4:$D$354,MATCH(74,'كشف الحساب'!$Q$4:$Q$354,0)),"")</f>
        <v/>
      </c>
      <c r="E283" s="135" t="str">
        <f>IFERROR(INDEX('كشف الحساب'!$G$4:$G$354,MATCH(74,'كشف الحساب'!$Q$4:$Q$354,0)),"")</f>
        <v/>
      </c>
      <c r="F283" s="132"/>
    </row>
    <row r="284" spans="1:6" ht="18" customHeight="1" x14ac:dyDescent="0.25">
      <c r="A284" s="143" t="str">
        <f>IFERROR(INDEX('كشف الحساب'!$A$4:$A$354,MATCH(75,'كشف الحساب'!$Q$4:$Q$354,0)),"")</f>
        <v/>
      </c>
      <c r="B284" s="133" t="str">
        <f>IFERROR(INDEX('كشف الحساب'!$B$4:$B$354,MATCH(75,'كشف الحساب'!$Q$4:$Q$354,0)),"")</f>
        <v/>
      </c>
      <c r="C284" s="132" t="str">
        <f>IFERROR(INDEX('كشف الحساب'!$C$4:$C$354,MATCH(75,'كشف الحساب'!$Q$4:$Q$354,0)),"")</f>
        <v/>
      </c>
      <c r="D284" s="134" t="str">
        <f>IFERROR(INDEX('كشف الحساب'!$D$4:$D$354,MATCH(75,'كشف الحساب'!$Q$4:$Q$354,0)),"")</f>
        <v/>
      </c>
      <c r="E284" s="135" t="str">
        <f>IFERROR(INDEX('كشف الحساب'!$G$4:$G$354,MATCH(75,'كشف الحساب'!$Q$4:$Q$354,0)),"")</f>
        <v/>
      </c>
      <c r="F284" s="132"/>
    </row>
    <row r="285" spans="1:6" ht="18" customHeight="1" x14ac:dyDescent="0.25">
      <c r="A285" s="143" t="str">
        <f>IFERROR(INDEX('كشف الحساب'!$A$4:$A$354,MATCH(76,'كشف الحساب'!$Q$4:$Q$354,0)),"")</f>
        <v/>
      </c>
      <c r="B285" s="133" t="str">
        <f>IFERROR(INDEX('كشف الحساب'!$B$4:$B$354,MATCH(76,'كشف الحساب'!$Q$4:$Q$354,0)),"")</f>
        <v/>
      </c>
      <c r="C285" s="132" t="str">
        <f>IFERROR(INDEX('كشف الحساب'!$C$4:$C$354,MATCH(76,'كشف الحساب'!$Q$4:$Q$354,0)),"")</f>
        <v/>
      </c>
      <c r="D285" s="134" t="str">
        <f>IFERROR(INDEX('كشف الحساب'!$D$4:$D$354,MATCH(76,'كشف الحساب'!$Q$4:$Q$354,0)),"")</f>
        <v/>
      </c>
      <c r="E285" s="135" t="str">
        <f>IFERROR(INDEX('كشف الحساب'!$G$4:$G$354,MATCH(76,'كشف الحساب'!$Q$4:$Q$354,0)),"")</f>
        <v/>
      </c>
      <c r="F285" s="132"/>
    </row>
    <row r="286" spans="1:6" ht="18" customHeight="1" x14ac:dyDescent="0.25">
      <c r="A286" s="143" t="str">
        <f>IFERROR(INDEX('كشف الحساب'!$A$4:$A$354,MATCH(77,'كشف الحساب'!$Q$4:$Q$354,0)),"")</f>
        <v/>
      </c>
      <c r="B286" s="133" t="str">
        <f>IFERROR(INDEX('كشف الحساب'!$B$4:$B$354,MATCH(77,'كشف الحساب'!$Q$4:$Q$354,0)),"")</f>
        <v/>
      </c>
      <c r="C286" s="132" t="str">
        <f>IFERROR(INDEX('كشف الحساب'!$C$4:$C$354,MATCH(77,'كشف الحساب'!$Q$4:$Q$354,0)),"")</f>
        <v/>
      </c>
      <c r="D286" s="134" t="str">
        <f>IFERROR(INDEX('كشف الحساب'!$D$4:$D$354,MATCH(77,'كشف الحساب'!$Q$4:$Q$354,0)),"")</f>
        <v/>
      </c>
      <c r="E286" s="135" t="str">
        <f>IFERROR(INDEX('كشف الحساب'!$G$4:$G$354,MATCH(77,'كشف الحساب'!$Q$4:$Q$354,0)),"")</f>
        <v/>
      </c>
      <c r="F286" s="132"/>
    </row>
    <row r="287" spans="1:6" ht="18" customHeight="1" x14ac:dyDescent="0.25">
      <c r="A287" s="143" t="str">
        <f>IFERROR(INDEX('كشف الحساب'!$A$4:$A$354,MATCH(78,'كشف الحساب'!$Q$4:$Q$354,0)),"")</f>
        <v/>
      </c>
      <c r="B287" s="133" t="str">
        <f>IFERROR(INDEX('كشف الحساب'!$B$4:$B$354,MATCH(78,'كشف الحساب'!$Q$4:$Q$354,0)),"")</f>
        <v/>
      </c>
      <c r="C287" s="132" t="str">
        <f>IFERROR(INDEX('كشف الحساب'!$C$4:$C$354,MATCH(78,'كشف الحساب'!$Q$4:$Q$354,0)),"")</f>
        <v/>
      </c>
      <c r="D287" s="134" t="str">
        <f>IFERROR(INDEX('كشف الحساب'!$D$4:$D$354,MATCH(78,'كشف الحساب'!$Q$4:$Q$354,0)),"")</f>
        <v/>
      </c>
      <c r="E287" s="135" t="str">
        <f>IFERROR(INDEX('كشف الحساب'!$G$4:$G$354,MATCH(78,'كشف الحساب'!$Q$4:$Q$354,0)),"")</f>
        <v/>
      </c>
      <c r="F287" s="132"/>
    </row>
    <row r="288" spans="1:6" ht="18" customHeight="1" x14ac:dyDescent="0.25">
      <c r="A288" s="143" t="str">
        <f>IFERROR(INDEX('كشف الحساب'!$A$4:$A$354,MATCH(79,'كشف الحساب'!$Q$4:$Q$354,0)),"")</f>
        <v/>
      </c>
      <c r="B288" s="133" t="str">
        <f>IFERROR(INDEX('كشف الحساب'!$B$4:$B$354,MATCH(79,'كشف الحساب'!$Q$4:$Q$354,0)),"")</f>
        <v/>
      </c>
      <c r="C288" s="132" t="str">
        <f>IFERROR(INDEX('كشف الحساب'!$C$4:$C$354,MATCH(79,'كشف الحساب'!$Q$4:$Q$354,0)),"")</f>
        <v/>
      </c>
      <c r="D288" s="134" t="str">
        <f>IFERROR(INDEX('كشف الحساب'!$D$4:$D$354,MATCH(79,'كشف الحساب'!$Q$4:$Q$354,0)),"")</f>
        <v/>
      </c>
      <c r="E288" s="135" t="str">
        <f>IFERROR(INDEX('كشف الحساب'!$G$4:$G$354,MATCH(79,'كشف الحساب'!$Q$4:$Q$354,0)),"")</f>
        <v/>
      </c>
      <c r="F288" s="132"/>
    </row>
    <row r="289" spans="1:6" ht="18" customHeight="1" x14ac:dyDescent="0.25">
      <c r="A289" s="143" t="str">
        <f>IFERROR(INDEX('كشف الحساب'!$A$4:$A$354,MATCH(80,'كشف الحساب'!$Q$4:$Q$354,0)),"")</f>
        <v/>
      </c>
      <c r="B289" s="133" t="str">
        <f>IFERROR(INDEX('كشف الحساب'!$B$4:$B$354,MATCH(80,'كشف الحساب'!$Q$4:$Q$354,0)),"")</f>
        <v/>
      </c>
      <c r="C289" s="132" t="str">
        <f>IFERROR(INDEX('كشف الحساب'!$C$4:$C$354,MATCH(80,'كشف الحساب'!$Q$4:$Q$354,0)),"")</f>
        <v/>
      </c>
      <c r="D289" s="134" t="str">
        <f>IFERROR(INDEX('كشف الحساب'!$D$4:$D$354,MATCH(80,'كشف الحساب'!$Q$4:$Q$354,0)),"")</f>
        <v/>
      </c>
      <c r="E289" s="135" t="str">
        <f>IFERROR(INDEX('كشف الحساب'!$G$4:$G$354,MATCH(80,'كشف الحساب'!$Q$4:$Q$354,0)),"")</f>
        <v/>
      </c>
      <c r="F289" s="132"/>
    </row>
    <row r="290" spans="1:6" ht="18" customHeight="1" x14ac:dyDescent="0.25">
      <c r="A290" s="143" t="str">
        <f>IFERROR(INDEX('كشف الحساب'!$A$4:$A$354,MATCH(81,'كشف الحساب'!$Q$4:$Q$354,0)),"")</f>
        <v/>
      </c>
      <c r="B290" s="133" t="str">
        <f>IFERROR(INDEX('كشف الحساب'!$B$4:$B$354,MATCH(81,'كشف الحساب'!$Q$4:$Q$354,0)),"")</f>
        <v/>
      </c>
      <c r="C290" s="132" t="str">
        <f>IFERROR(INDEX('كشف الحساب'!$C$4:$C$354,MATCH(81,'كشف الحساب'!$Q$4:$Q$354,0)),"")</f>
        <v/>
      </c>
      <c r="D290" s="134" t="str">
        <f>IFERROR(INDEX('كشف الحساب'!$D$4:$D$354,MATCH(81,'كشف الحساب'!$Q$4:$Q$354,0)),"")</f>
        <v/>
      </c>
      <c r="E290" s="135" t="str">
        <f>IFERROR(INDEX('كشف الحساب'!$G$4:$G$354,MATCH(81,'كشف الحساب'!$Q$4:$Q$354,0)),"")</f>
        <v/>
      </c>
      <c r="F290" s="132"/>
    </row>
    <row r="291" spans="1:6" ht="18" customHeight="1" x14ac:dyDescent="0.25">
      <c r="A291" s="143" t="str">
        <f>IFERROR(INDEX('كشف الحساب'!$A$4:$A$354,MATCH(82,'كشف الحساب'!$Q$4:$Q$354,0)),"")</f>
        <v/>
      </c>
      <c r="B291" s="133" t="str">
        <f>IFERROR(INDEX('كشف الحساب'!$B$4:$B$354,MATCH(82,'كشف الحساب'!$Q$4:$Q$354,0)),"")</f>
        <v/>
      </c>
      <c r="C291" s="132" t="str">
        <f>IFERROR(INDEX('كشف الحساب'!$C$4:$C$354,MATCH(82,'كشف الحساب'!$Q$4:$Q$354,0)),"")</f>
        <v/>
      </c>
      <c r="D291" s="134" t="str">
        <f>IFERROR(INDEX('كشف الحساب'!$D$4:$D$354,MATCH(82,'كشف الحساب'!$Q$4:$Q$354,0)),"")</f>
        <v/>
      </c>
      <c r="E291" s="135" t="str">
        <f>IFERROR(INDEX('كشف الحساب'!$G$4:$G$354,MATCH(82,'كشف الحساب'!$Q$4:$Q$354,0)),"")</f>
        <v/>
      </c>
      <c r="F291" s="132"/>
    </row>
    <row r="292" spans="1:6" ht="18" customHeight="1" x14ac:dyDescent="0.25">
      <c r="A292" s="143" t="str">
        <f>IFERROR(INDEX('كشف الحساب'!$A$4:$A$354,MATCH(83,'كشف الحساب'!$Q$4:$Q$354,0)),"")</f>
        <v/>
      </c>
      <c r="B292" s="133" t="str">
        <f>IFERROR(INDEX('كشف الحساب'!$B$4:$B$354,MATCH(83,'كشف الحساب'!$Q$4:$Q$354,0)),"")</f>
        <v/>
      </c>
      <c r="C292" s="132" t="str">
        <f>IFERROR(INDEX('كشف الحساب'!$C$4:$C$354,MATCH(83,'كشف الحساب'!$Q$4:$Q$354,0)),"")</f>
        <v/>
      </c>
      <c r="D292" s="134" t="str">
        <f>IFERROR(INDEX('كشف الحساب'!$D$4:$D$354,MATCH(83,'كشف الحساب'!$Q$4:$Q$354,0)),"")</f>
        <v/>
      </c>
      <c r="E292" s="135" t="str">
        <f>IFERROR(INDEX('كشف الحساب'!$G$4:$G$354,MATCH(83,'كشف الحساب'!$Q$4:$Q$354,0)),"")</f>
        <v/>
      </c>
      <c r="F292" s="132"/>
    </row>
    <row r="293" spans="1:6" ht="18" customHeight="1" x14ac:dyDescent="0.25">
      <c r="A293" s="143" t="str">
        <f>IFERROR(INDEX('كشف الحساب'!$A$4:$A$354,MATCH(84,'كشف الحساب'!$Q$4:$Q$354,0)),"")</f>
        <v/>
      </c>
      <c r="B293" s="133" t="str">
        <f>IFERROR(INDEX('كشف الحساب'!$B$4:$B$354,MATCH(84,'كشف الحساب'!$Q$4:$Q$354,0)),"")</f>
        <v/>
      </c>
      <c r="C293" s="132" t="str">
        <f>IFERROR(INDEX('كشف الحساب'!$C$4:$C$354,MATCH(84,'كشف الحساب'!$Q$4:$Q$354,0)),"")</f>
        <v/>
      </c>
      <c r="D293" s="134" t="str">
        <f>IFERROR(INDEX('كشف الحساب'!$D$4:$D$354,MATCH(84,'كشف الحساب'!$Q$4:$Q$354,0)),"")</f>
        <v/>
      </c>
      <c r="E293" s="135" t="str">
        <f>IFERROR(INDEX('كشف الحساب'!$G$4:$G$354,MATCH(84,'كشف الحساب'!$Q$4:$Q$354,0)),"")</f>
        <v/>
      </c>
      <c r="F293" s="132"/>
    </row>
    <row r="294" spans="1:6" ht="18" customHeight="1" x14ac:dyDescent="0.25">
      <c r="A294" s="143" t="str">
        <f>IFERROR(INDEX('كشف الحساب'!$A$4:$A$354,MATCH(85,'كشف الحساب'!$Q$4:$Q$354,0)),"")</f>
        <v/>
      </c>
      <c r="B294" s="133" t="str">
        <f>IFERROR(INDEX('كشف الحساب'!$B$4:$B$354,MATCH(85,'كشف الحساب'!$Q$4:$Q$354,0)),"")</f>
        <v/>
      </c>
      <c r="C294" s="132" t="str">
        <f>IFERROR(INDEX('كشف الحساب'!$C$4:$C$354,MATCH(85,'كشف الحساب'!$Q$4:$Q$354,0)),"")</f>
        <v/>
      </c>
      <c r="D294" s="134" t="str">
        <f>IFERROR(INDEX('كشف الحساب'!$D$4:$D$354,MATCH(85,'كشف الحساب'!$Q$4:$Q$354,0)),"")</f>
        <v/>
      </c>
      <c r="E294" s="135" t="str">
        <f>IFERROR(INDEX('كشف الحساب'!$G$4:$G$354,MATCH(85,'كشف الحساب'!$Q$4:$Q$354,0)),"")</f>
        <v/>
      </c>
      <c r="F294" s="132"/>
    </row>
    <row r="295" spans="1:6" ht="18" customHeight="1" x14ac:dyDescent="0.25">
      <c r="A295" s="143" t="str">
        <f>IFERROR(INDEX('كشف الحساب'!$A$4:$A$354,MATCH(86,'كشف الحساب'!$Q$4:$Q$354,0)),"")</f>
        <v/>
      </c>
      <c r="B295" s="133" t="str">
        <f>IFERROR(INDEX('كشف الحساب'!$B$4:$B$354,MATCH(86,'كشف الحساب'!$Q$4:$Q$354,0)),"")</f>
        <v/>
      </c>
      <c r="C295" s="132" t="str">
        <f>IFERROR(INDEX('كشف الحساب'!$C$4:$C$354,MATCH(86,'كشف الحساب'!$Q$4:$Q$354,0)),"")</f>
        <v/>
      </c>
      <c r="D295" s="134" t="str">
        <f>IFERROR(INDEX('كشف الحساب'!$D$4:$D$354,MATCH(86,'كشف الحساب'!$Q$4:$Q$354,0)),"")</f>
        <v/>
      </c>
      <c r="E295" s="135" t="str">
        <f>IFERROR(INDEX('كشف الحساب'!$G$4:$G$354,MATCH(86,'كشف الحساب'!$Q$4:$Q$354,0)),"")</f>
        <v/>
      </c>
      <c r="F295" s="132"/>
    </row>
    <row r="296" spans="1:6" ht="18" customHeight="1" x14ac:dyDescent="0.25">
      <c r="A296" s="143" t="str">
        <f>IFERROR(INDEX('كشف الحساب'!$A$4:$A$354,MATCH(87,'كشف الحساب'!$Q$4:$Q$354,0)),"")</f>
        <v/>
      </c>
      <c r="B296" s="133" t="str">
        <f>IFERROR(INDEX('كشف الحساب'!$B$4:$B$354,MATCH(87,'كشف الحساب'!$Q$4:$Q$354,0)),"")</f>
        <v/>
      </c>
      <c r="C296" s="132" t="str">
        <f>IFERROR(INDEX('كشف الحساب'!$C$4:$C$354,MATCH(87,'كشف الحساب'!$Q$4:$Q$354,0)),"")</f>
        <v/>
      </c>
      <c r="D296" s="134" t="str">
        <f>IFERROR(INDEX('كشف الحساب'!$D$4:$D$354,MATCH(87,'كشف الحساب'!$Q$4:$Q$354,0)),"")</f>
        <v/>
      </c>
      <c r="E296" s="135" t="str">
        <f>IFERROR(INDEX('كشف الحساب'!$G$4:$G$354,MATCH(87,'كشف الحساب'!$Q$4:$Q$354,0)),"")</f>
        <v/>
      </c>
      <c r="F296" s="132"/>
    </row>
    <row r="297" spans="1:6" ht="18" customHeight="1" x14ac:dyDescent="0.25">
      <c r="A297" s="143" t="str">
        <f>IFERROR(INDEX('كشف الحساب'!$A$4:$A$354,MATCH(88,'كشف الحساب'!$Q$4:$Q$354,0)),"")</f>
        <v/>
      </c>
      <c r="B297" s="133" t="str">
        <f>IFERROR(INDEX('كشف الحساب'!$B$4:$B$354,MATCH(88,'كشف الحساب'!$Q$4:$Q$354,0)),"")</f>
        <v/>
      </c>
      <c r="C297" s="132" t="str">
        <f>IFERROR(INDEX('كشف الحساب'!$C$4:$C$354,MATCH(88,'كشف الحساب'!$Q$4:$Q$354,0)),"")</f>
        <v/>
      </c>
      <c r="D297" s="134" t="str">
        <f>IFERROR(INDEX('كشف الحساب'!$D$4:$D$354,MATCH(88,'كشف الحساب'!$Q$4:$Q$354,0)),"")</f>
        <v/>
      </c>
      <c r="E297" s="135" t="str">
        <f>IFERROR(INDEX('كشف الحساب'!$G$4:$G$354,MATCH(88,'كشف الحساب'!$Q$4:$Q$354,0)),"")</f>
        <v/>
      </c>
      <c r="F297" s="132"/>
    </row>
    <row r="298" spans="1:6" ht="18" customHeight="1" x14ac:dyDescent="0.25">
      <c r="A298" s="143" t="str">
        <f>IFERROR(INDEX('كشف الحساب'!$A$4:$A$354,MATCH(89,'كشف الحساب'!$Q$4:$Q$354,0)),"")</f>
        <v/>
      </c>
      <c r="B298" s="133" t="str">
        <f>IFERROR(INDEX('كشف الحساب'!$B$4:$B$354,MATCH(89,'كشف الحساب'!$Q$4:$Q$354,0)),"")</f>
        <v/>
      </c>
      <c r="C298" s="132" t="str">
        <f>IFERROR(INDEX('كشف الحساب'!$C$4:$C$354,MATCH(89,'كشف الحساب'!$Q$4:$Q$354,0)),"")</f>
        <v/>
      </c>
      <c r="D298" s="134" t="str">
        <f>IFERROR(INDEX('كشف الحساب'!$D$4:$D$354,MATCH(89,'كشف الحساب'!$Q$4:$Q$354,0)),"")</f>
        <v/>
      </c>
      <c r="E298" s="135" t="str">
        <f>IFERROR(INDEX('كشف الحساب'!$G$4:$G$354,MATCH(89,'كشف الحساب'!$Q$4:$Q$354,0)),"")</f>
        <v/>
      </c>
      <c r="F298" s="132"/>
    </row>
    <row r="299" spans="1:6" ht="18" customHeight="1" x14ac:dyDescent="0.25">
      <c r="A299" s="143" t="str">
        <f>IFERROR(INDEX('كشف الحساب'!$A$4:$A$354,MATCH(90,'كشف الحساب'!$Q$4:$Q$354,0)),"")</f>
        <v/>
      </c>
      <c r="B299" s="133" t="str">
        <f>IFERROR(INDEX('كشف الحساب'!$B$4:$B$354,MATCH(90,'كشف الحساب'!$Q$4:$Q$354,0)),"")</f>
        <v/>
      </c>
      <c r="C299" s="132" t="str">
        <f>IFERROR(INDEX('كشف الحساب'!$C$4:$C$354,MATCH(90,'كشف الحساب'!$Q$4:$Q$354,0)),"")</f>
        <v/>
      </c>
      <c r="D299" s="134" t="str">
        <f>IFERROR(INDEX('كشف الحساب'!$D$4:$D$354,MATCH(90,'كشف الحساب'!$Q$4:$Q$354,0)),"")</f>
        <v/>
      </c>
      <c r="E299" s="135" t="str">
        <f>IFERROR(INDEX('كشف الحساب'!$G$4:$G$354,MATCH(90,'كشف الحساب'!$Q$4:$Q$354,0)),"")</f>
        <v/>
      </c>
      <c r="F299" s="132"/>
    </row>
    <row r="300" spans="1:6" ht="18" customHeight="1" x14ac:dyDescent="0.25">
      <c r="A300" s="143" t="str">
        <f>IFERROR(INDEX('كشف الحساب'!$A$4:$A$354,MATCH(91,'كشف الحساب'!$Q$4:$Q$354,0)),"")</f>
        <v/>
      </c>
      <c r="B300" s="133" t="str">
        <f>IFERROR(INDEX('كشف الحساب'!$B$4:$B$354,MATCH(91,'كشف الحساب'!$Q$4:$Q$354,0)),"")</f>
        <v/>
      </c>
      <c r="C300" s="132" t="str">
        <f>IFERROR(INDEX('كشف الحساب'!$C$4:$C$354,MATCH(91,'كشف الحساب'!$Q$4:$Q$354,0)),"")</f>
        <v/>
      </c>
      <c r="D300" s="134" t="str">
        <f>IFERROR(INDEX('كشف الحساب'!$D$4:$D$354,MATCH(91,'كشف الحساب'!$Q$4:$Q$354,0)),"")</f>
        <v/>
      </c>
      <c r="E300" s="135" t="str">
        <f>IFERROR(INDEX('كشف الحساب'!$G$4:$G$354,MATCH(91,'كشف الحساب'!$Q$4:$Q$354,0)),"")</f>
        <v/>
      </c>
      <c r="F300" s="132"/>
    </row>
    <row r="301" spans="1:6" ht="18" customHeight="1" x14ac:dyDescent="0.25">
      <c r="A301" s="143" t="str">
        <f>IFERROR(INDEX('كشف الحساب'!$A$4:$A$354,MATCH(92,'كشف الحساب'!$Q$4:$Q$354,0)),"")</f>
        <v/>
      </c>
      <c r="B301" s="133" t="str">
        <f>IFERROR(INDEX('كشف الحساب'!$B$4:$B$354,MATCH(92,'كشف الحساب'!$Q$4:$Q$354,0)),"")</f>
        <v/>
      </c>
      <c r="C301" s="132" t="str">
        <f>IFERROR(INDEX('كشف الحساب'!$C$4:$C$354,MATCH(92,'كشف الحساب'!$Q$4:$Q$354,0)),"")</f>
        <v/>
      </c>
      <c r="D301" s="134" t="str">
        <f>IFERROR(INDEX('كشف الحساب'!$D$4:$D$354,MATCH(92,'كشف الحساب'!$Q$4:$Q$354,0)),"")</f>
        <v/>
      </c>
      <c r="E301" s="135" t="str">
        <f>IFERROR(INDEX('كشف الحساب'!$G$4:$G$354,MATCH(92,'كشف الحساب'!$Q$4:$Q$354,0)),"")</f>
        <v/>
      </c>
      <c r="F301" s="132"/>
    </row>
    <row r="302" spans="1:6" ht="18" customHeight="1" x14ac:dyDescent="0.25">
      <c r="A302" s="143" t="str">
        <f>IFERROR(INDEX('كشف الحساب'!$A$4:$A$354,MATCH(93,'كشف الحساب'!$Q$4:$Q$354,0)),"")</f>
        <v/>
      </c>
      <c r="B302" s="133" t="str">
        <f>IFERROR(INDEX('كشف الحساب'!$B$4:$B$354,MATCH(93,'كشف الحساب'!$Q$4:$Q$354,0)),"")</f>
        <v/>
      </c>
      <c r="C302" s="132" t="str">
        <f>IFERROR(INDEX('كشف الحساب'!$C$4:$C$354,MATCH(93,'كشف الحساب'!$Q$4:$Q$354,0)),"")</f>
        <v/>
      </c>
      <c r="D302" s="134" t="str">
        <f>IFERROR(INDEX('كشف الحساب'!$D$4:$D$354,MATCH(93,'كشف الحساب'!$Q$4:$Q$354,0)),"")</f>
        <v/>
      </c>
      <c r="E302" s="135" t="str">
        <f>IFERROR(INDEX('كشف الحساب'!$G$4:$G$354,MATCH(93,'كشف الحساب'!$Q$4:$Q$354,0)),"")</f>
        <v/>
      </c>
      <c r="F302" s="132"/>
    </row>
    <row r="303" spans="1:6" ht="18" customHeight="1" x14ac:dyDescent="0.25">
      <c r="A303" s="143" t="str">
        <f>IFERROR(INDEX('كشف الحساب'!$A$4:$A$354,MATCH(94,'كشف الحساب'!$Q$4:$Q$354,0)),"")</f>
        <v/>
      </c>
      <c r="B303" s="133" t="str">
        <f>IFERROR(INDEX('كشف الحساب'!$B$4:$B$354,MATCH(94,'كشف الحساب'!$Q$4:$Q$354,0)),"")</f>
        <v/>
      </c>
      <c r="C303" s="132" t="str">
        <f>IFERROR(INDEX('كشف الحساب'!$C$4:$C$354,MATCH(94,'كشف الحساب'!$Q$4:$Q$354,0)),"")</f>
        <v/>
      </c>
      <c r="D303" s="134" t="str">
        <f>IFERROR(INDEX('كشف الحساب'!$D$4:$D$354,MATCH(94,'كشف الحساب'!$Q$4:$Q$354,0)),"")</f>
        <v/>
      </c>
      <c r="E303" s="135" t="str">
        <f>IFERROR(INDEX('كشف الحساب'!$G$4:$G$354,MATCH(94,'كشف الحساب'!$Q$4:$Q$354,0)),"")</f>
        <v/>
      </c>
      <c r="F303" s="132"/>
    </row>
    <row r="304" spans="1:6" ht="18" customHeight="1" x14ac:dyDescent="0.25">
      <c r="A304" s="143" t="str">
        <f>IFERROR(INDEX('كشف الحساب'!$A$4:$A$354,MATCH(95,'كشف الحساب'!$Q$4:$Q$354,0)),"")</f>
        <v/>
      </c>
      <c r="B304" s="133" t="str">
        <f>IFERROR(INDEX('كشف الحساب'!$B$4:$B$354,MATCH(95,'كشف الحساب'!$Q$4:$Q$354,0)),"")</f>
        <v/>
      </c>
      <c r="C304" s="132" t="str">
        <f>IFERROR(INDEX('كشف الحساب'!$C$4:$C$354,MATCH(95,'كشف الحساب'!$Q$4:$Q$354,0)),"")</f>
        <v/>
      </c>
      <c r="D304" s="134" t="str">
        <f>IFERROR(INDEX('كشف الحساب'!$D$4:$D$354,MATCH(95,'كشف الحساب'!$Q$4:$Q$354,0)),"")</f>
        <v/>
      </c>
      <c r="E304" s="135" t="str">
        <f>IFERROR(INDEX('كشف الحساب'!$G$4:$G$354,MATCH(95,'كشف الحساب'!$Q$4:$Q$354,0)),"")</f>
        <v/>
      </c>
      <c r="F304" s="132"/>
    </row>
    <row r="305" spans="1:6" ht="18" customHeight="1" x14ac:dyDescent="0.25">
      <c r="A305" s="143" t="str">
        <f>IFERROR(INDEX('كشف الحساب'!$A$4:$A$354,MATCH(96,'كشف الحساب'!$Q$4:$Q$354,0)),"")</f>
        <v/>
      </c>
      <c r="B305" s="133" t="str">
        <f>IFERROR(INDEX('كشف الحساب'!$B$4:$B$354,MATCH(96,'كشف الحساب'!$Q$4:$Q$354,0)),"")</f>
        <v/>
      </c>
      <c r="C305" s="132" t="str">
        <f>IFERROR(INDEX('كشف الحساب'!$C$4:$C$354,MATCH(96,'كشف الحساب'!$Q$4:$Q$354,0)),"")</f>
        <v/>
      </c>
      <c r="D305" s="134" t="str">
        <f>IFERROR(INDEX('كشف الحساب'!$D$4:$D$354,MATCH(96,'كشف الحساب'!$Q$4:$Q$354,0)),"")</f>
        <v/>
      </c>
      <c r="E305" s="135" t="str">
        <f>IFERROR(INDEX('كشف الحساب'!$G$4:$G$354,MATCH(96,'كشف الحساب'!$Q$4:$Q$354,0)),"")</f>
        <v/>
      </c>
      <c r="F305" s="132"/>
    </row>
    <row r="306" spans="1:6" ht="18" customHeight="1" x14ac:dyDescent="0.25">
      <c r="A306" s="143" t="str">
        <f>IFERROR(INDEX('كشف الحساب'!$A$4:$A$354,MATCH(97,'كشف الحساب'!$Q$4:$Q$354,0)),"")</f>
        <v/>
      </c>
      <c r="B306" s="133" t="str">
        <f>IFERROR(INDEX('كشف الحساب'!$B$4:$B$354,MATCH(97,'كشف الحساب'!$Q$4:$Q$354,0)),"")</f>
        <v/>
      </c>
      <c r="C306" s="132" t="str">
        <f>IFERROR(INDEX('كشف الحساب'!$C$4:$C$354,MATCH(97,'كشف الحساب'!$Q$4:$Q$354,0)),"")</f>
        <v/>
      </c>
      <c r="D306" s="134" t="str">
        <f>IFERROR(INDEX('كشف الحساب'!$D$4:$D$354,MATCH(97,'كشف الحساب'!$Q$4:$Q$354,0)),"")</f>
        <v/>
      </c>
      <c r="E306" s="135" t="str">
        <f>IFERROR(INDEX('كشف الحساب'!$G$4:$G$354,MATCH(97,'كشف الحساب'!$Q$4:$Q$354,0)),"")</f>
        <v/>
      </c>
      <c r="F306" s="132"/>
    </row>
    <row r="307" spans="1:6" ht="18" customHeight="1" x14ac:dyDescent="0.25">
      <c r="A307" s="143" t="str">
        <f>IFERROR(INDEX('كشف الحساب'!$A$4:$A$354,MATCH(98,'كشف الحساب'!$Q$4:$Q$354,0)),"")</f>
        <v/>
      </c>
      <c r="B307" s="133" t="str">
        <f>IFERROR(INDEX('كشف الحساب'!$B$4:$B$354,MATCH(98,'كشف الحساب'!$Q$4:$Q$354,0)),"")</f>
        <v/>
      </c>
      <c r="C307" s="132" t="str">
        <f>IFERROR(INDEX('كشف الحساب'!$C$4:$C$354,MATCH(98,'كشف الحساب'!$Q$4:$Q$354,0)),"")</f>
        <v/>
      </c>
      <c r="D307" s="134" t="str">
        <f>IFERROR(INDEX('كشف الحساب'!$D$4:$D$354,MATCH(98,'كشف الحساب'!$Q$4:$Q$354,0)),"")</f>
        <v/>
      </c>
      <c r="E307" s="135" t="str">
        <f>IFERROR(INDEX('كشف الحساب'!$G$4:$G$354,MATCH(98,'كشف الحساب'!$Q$4:$Q$354,0)),"")</f>
        <v/>
      </c>
      <c r="F307" s="132"/>
    </row>
    <row r="308" spans="1:6" ht="18" customHeight="1" x14ac:dyDescent="0.25">
      <c r="A308" s="143" t="str">
        <f>IFERROR(INDEX('كشف الحساب'!$A$4:$A$354,MATCH(99,'كشف الحساب'!$Q$4:$Q$354,0)),"")</f>
        <v/>
      </c>
      <c r="B308" s="133" t="str">
        <f>IFERROR(INDEX('كشف الحساب'!$B$4:$B$354,MATCH(99,'كشف الحساب'!$Q$4:$Q$354,0)),"")</f>
        <v/>
      </c>
      <c r="C308" s="132" t="str">
        <f>IFERROR(INDEX('كشف الحساب'!$C$4:$C$354,MATCH(99,'كشف الحساب'!$Q$4:$Q$354,0)),"")</f>
        <v/>
      </c>
      <c r="D308" s="134" t="str">
        <f>IFERROR(INDEX('كشف الحساب'!$D$4:$D$354,MATCH(99,'كشف الحساب'!$Q$4:$Q$354,0)),"")</f>
        <v/>
      </c>
      <c r="E308" s="135" t="str">
        <f>IFERROR(INDEX('كشف الحساب'!$G$4:$G$354,MATCH(99,'كشف الحساب'!$Q$4:$Q$354,0)),"")</f>
        <v/>
      </c>
      <c r="F308" s="132"/>
    </row>
    <row r="309" spans="1:6" ht="18" customHeight="1" x14ac:dyDescent="0.25">
      <c r="A309" s="143" t="str">
        <f>IFERROR(INDEX('كشف الحساب'!$A$4:$A$354,MATCH(100,'كشف الحساب'!$Q$4:$Q$354,0)),"")</f>
        <v/>
      </c>
      <c r="B309" s="133" t="str">
        <f>IFERROR(INDEX('كشف الحساب'!$B$4:$B$354,MATCH(100,'كشف الحساب'!$Q$4:$Q$354,0)),"")</f>
        <v/>
      </c>
      <c r="C309" s="132" t="str">
        <f>IFERROR(INDEX('كشف الحساب'!$C$4:$C$354,MATCH(100,'كشف الحساب'!$Q$4:$Q$354,0)),"")</f>
        <v/>
      </c>
      <c r="D309" s="134" t="str">
        <f>IFERROR(INDEX('كشف الحساب'!$D$4:$D$354,MATCH(100,'كشف الحساب'!$Q$4:$Q$354,0)),"")</f>
        <v/>
      </c>
      <c r="E309" s="135" t="str">
        <f>IFERROR(INDEX('كشف الحساب'!$G$4:$G$354,MATCH(100,'كشف الحساب'!$Q$4:$Q$354,0)),"")</f>
        <v/>
      </c>
      <c r="F309" s="132"/>
    </row>
    <row r="310" spans="1:6" x14ac:dyDescent="0.25">
      <c r="A310" s="126"/>
      <c r="B310" s="126"/>
      <c r="C310" s="127" t="s">
        <v>13</v>
      </c>
      <c r="D310" s="128">
        <f>SUM(D210:D309)</f>
        <v>1781.5</v>
      </c>
      <c r="E310" s="129"/>
      <c r="F310" s="130"/>
    </row>
    <row r="311" spans="1:6" x14ac:dyDescent="0.25">
      <c r="A311" s="126"/>
      <c r="B311" s="126"/>
      <c r="C311" s="127" t="s">
        <v>14</v>
      </c>
      <c r="D311" s="128">
        <f>SUMIF(E210:E309,"أبو اسحاق",D210:D309)</f>
        <v>836</v>
      </c>
      <c r="E311" s="129"/>
      <c r="F311" s="130"/>
    </row>
    <row r="312" spans="1:6" x14ac:dyDescent="0.25">
      <c r="A312" s="126"/>
      <c r="B312" s="126"/>
      <c r="C312" s="127" t="s">
        <v>15</v>
      </c>
      <c r="D312" s="128">
        <f>SUMIF(E210:E309,"أبو آدم",D210:D309)</f>
        <v>945.5</v>
      </c>
      <c r="E312" s="129"/>
      <c r="F312" s="130"/>
    </row>
  </sheetData>
  <mergeCells count="5">
    <mergeCell ref="A208:F208"/>
    <mergeCell ref="A2:E2"/>
    <mergeCell ref="A1:F1"/>
    <mergeCell ref="A4:F4"/>
    <mergeCell ref="A3:F3"/>
  </mergeCells>
  <conditionalFormatting sqref="A6:F205">
    <cfRule type="expression" dxfId="7" priority="1">
      <formula>AND($A6&lt;&gt;"",$E6="")</formula>
    </cfRule>
    <cfRule type="expression" dxfId="6" priority="2">
      <formula>AND($A6&lt;&gt;"",$D6="")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56"/>
  <sheetViews>
    <sheetView rightToLeft="1" tabSelected="1" zoomScaleNormal="100" workbookViewId="0">
      <pane ySplit="3" topLeftCell="A262" activePane="bottomLeft" state="frozen"/>
      <selection pane="bottomLeft" activeCell="C274" sqref="C274"/>
    </sheetView>
  </sheetViews>
  <sheetFormatPr defaultColWidth="8.7109375" defaultRowHeight="15" x14ac:dyDescent="0.25"/>
  <cols>
    <col min="1" max="1" width="13" style="138" customWidth="1"/>
    <col min="2" max="2" width="14" style="138" customWidth="1"/>
    <col min="3" max="3" width="27.85546875" style="138" customWidth="1"/>
    <col min="4" max="6" width="16" style="138" customWidth="1"/>
    <col min="7" max="8" width="14" style="138" customWidth="1"/>
    <col min="9" max="10" width="22" style="138" customWidth="1"/>
    <col min="11" max="11" width="20" style="138" customWidth="1"/>
    <col min="12" max="14" width="4" style="138" hidden="1" customWidth="1"/>
  </cols>
  <sheetData>
    <row r="1" spans="1:17" ht="31.5" customHeight="1" x14ac:dyDescent="0.25">
      <c r="A1" s="170" t="s">
        <v>16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</row>
    <row r="2" spans="1:17" ht="24" customHeight="1" x14ac:dyDescent="0.25">
      <c r="A2" s="167" t="s">
        <v>17</v>
      </c>
      <c r="B2" s="165"/>
      <c r="C2" s="165"/>
      <c r="D2" s="1">
        <v>0</v>
      </c>
      <c r="E2" s="168" t="s">
        <v>18</v>
      </c>
      <c r="F2" s="169"/>
      <c r="G2" s="169"/>
      <c r="H2" s="169"/>
      <c r="I2" s="169"/>
      <c r="J2" s="169"/>
      <c r="K2" s="169"/>
    </row>
    <row r="3" spans="1:17" ht="36" customHeight="1" x14ac:dyDescent="0.25">
      <c r="A3" s="22" t="s">
        <v>19</v>
      </c>
      <c r="B3" s="22" t="s">
        <v>20</v>
      </c>
      <c r="C3" s="22" t="s">
        <v>21</v>
      </c>
      <c r="D3" s="22" t="s">
        <v>22</v>
      </c>
      <c r="E3" s="22" t="s">
        <v>23</v>
      </c>
      <c r="F3" s="22" t="s">
        <v>24</v>
      </c>
      <c r="G3" s="22" t="s">
        <v>25</v>
      </c>
      <c r="H3" s="22" t="s">
        <v>26</v>
      </c>
      <c r="I3" s="22" t="s">
        <v>27</v>
      </c>
      <c r="J3" s="22" t="s">
        <v>28</v>
      </c>
      <c r="K3" s="22" t="s">
        <v>29</v>
      </c>
      <c r="L3" s="23" t="s">
        <v>30</v>
      </c>
      <c r="M3" s="23" t="s">
        <v>31</v>
      </c>
      <c r="N3" s="24" t="s">
        <v>32</v>
      </c>
      <c r="O3" s="24" t="s">
        <v>33</v>
      </c>
      <c r="P3" s="24" t="s">
        <v>34</v>
      </c>
      <c r="Q3" s="24" t="s">
        <v>35</v>
      </c>
    </row>
    <row r="4" spans="1:17" ht="18.75" customHeight="1" x14ac:dyDescent="0.25">
      <c r="A4" s="25">
        <v>46117</v>
      </c>
      <c r="B4" s="26" t="s">
        <v>36</v>
      </c>
      <c r="C4" s="27" t="s">
        <v>37</v>
      </c>
      <c r="D4" s="28"/>
      <c r="E4" s="29"/>
      <c r="F4" s="30" t="s">
        <v>38</v>
      </c>
      <c r="G4" s="31" t="s">
        <v>39</v>
      </c>
      <c r="H4" s="32" t="s">
        <v>40</v>
      </c>
      <c r="I4" s="33" t="s">
        <v>41</v>
      </c>
      <c r="J4" s="34">
        <f>IFERROR(IF(AND(D4="",E4="",A4="",B4="",C4=""),"", D2+IF(OR(E4="",H4="معلق"),0,E4)-IF(OR(G4="أبو اسحاق",G4="أبو آدم",G4="أبو اسحاق ",G4="أبو آدم "),0,IF(D4="",0,D4))),D2)</f>
        <v>0</v>
      </c>
      <c r="K4" s="35"/>
      <c r="L4" t="str">
        <f>IF(E4&gt;0,COUNTIF($E$4:E4,"&gt;0"),"")</f>
        <v/>
      </c>
      <c r="M4" t="str">
        <f>IF(AND(D4&gt;0,G4="المحفظة"),COUNTIFS($D$4:D4,"&gt;"&amp;0,$G$4:G4,"المحفظة"),"")</f>
        <v/>
      </c>
      <c r="N4" t="str">
        <f>IF(AND(OR('طباعة كشف الحساب'!$C$2="الكل",MONTH(A4)=IFERROR(MATCH('طباعة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الحساب'!$F$2="الكل",YEAR(A4)=IFERROR(VALUE('طباعة كشف الحساب'!$F$2),0)),A4&lt;&gt;""),1,"")</f>
        <v/>
      </c>
      <c r="O4" t="str">
        <f>IF(AND(D4&gt;0,F4="أحد الشركاء"),1,"")</f>
        <v/>
      </c>
      <c r="P4" t="str">
        <f>IF(OR($A4="",$F4="أحد الشركاء",AND($D4="",$E4="")),"",SUMPRODUCT(($A$4:$A4&lt;&gt;"")*($F$4:$F4&lt;&gt;"أحد الشركاء")*((($D$4:$D4&lt;&gt;"")+($E$4:$E4&lt;&gt;""))&gt;0)))</f>
        <v/>
      </c>
      <c r="Q4" t="str">
        <f>IF(OR($A4="",$F4&lt;&gt;"أحد الشركاء"),"",COUNTIFS($A$4:A4,"&lt;&gt;",$F$4:F4,"أحد الشركاء"))</f>
        <v/>
      </c>
    </row>
    <row r="5" spans="1:17" ht="18.75" customHeight="1" x14ac:dyDescent="0.25">
      <c r="A5" s="139">
        <v>46121</v>
      </c>
      <c r="B5" s="36" t="s">
        <v>42</v>
      </c>
      <c r="C5" s="37" t="s">
        <v>43</v>
      </c>
      <c r="D5" s="38"/>
      <c r="E5" s="39">
        <v>5</v>
      </c>
      <c r="F5" s="136" t="s">
        <v>38</v>
      </c>
      <c r="G5" s="40"/>
      <c r="H5" s="41" t="s">
        <v>40</v>
      </c>
      <c r="I5" s="42"/>
      <c r="J5" s="43">
        <f>IF(AND(D5="",E5="",A5="",B5="",C5=""),"", IFERROR(IF(J4="",D2,J4),D2)+IF(OR(E5="",H5="معلق"),0,E5)-IF(OR(G5="أبو اسحاق",G5="أبو آدم",G5="أبو اسحاق ",G5="أبو آدم "),0,IF(D5="",0,D5)))</f>
        <v>5</v>
      </c>
      <c r="K5" s="44"/>
      <c r="L5">
        <f>IF(E5&gt;0,COUNTIF($E$4:E5,"&gt;0"),"")</f>
        <v>1</v>
      </c>
      <c r="M5" t="str">
        <f>IF(AND(D5&gt;0,G5="المحفظة"),COUNTIFS($D$4:D5,"&gt;"&amp;0,$G$4:G5,"المحفظة"),"")</f>
        <v/>
      </c>
      <c r="N5" t="str">
        <f>IF(AND(OR('طباعة كشف الحساب'!$C$2="الكل",MONTH(A5)=IFERROR(MATCH('طباعة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الحساب'!$F$2="الكل",YEAR(A5)=IFERROR(VALUE('طباعة كشف الحساب'!$F$2),0)),A5&lt;&gt;""),IFERROR(MAX($N$4:N4),0)+1,"")</f>
        <v/>
      </c>
      <c r="O5" t="str">
        <f>IF(AND(D5&gt;0,F5="أحد الشركاء"),COUNTIFS($D$4:D5,"&gt;"&amp;0,$F$4:F5,"أحد الشركاء"),"")</f>
        <v/>
      </c>
      <c r="P5">
        <f>IF(OR($A5="",$F5="أحد الشركاء",AND($D5="",$E5="")),"",SUMPRODUCT(($A$4:$A5&lt;&gt;"")*($F$4:$F5&lt;&gt;"أحد الشركاء")*((($D$4:$D5&lt;&gt;"")+($E$4:$E5&lt;&gt;""))&gt;0)))</f>
        <v>1</v>
      </c>
      <c r="Q5" t="str">
        <f>IF(OR($A5="",$F5&lt;&gt;"أحد الشركاء"),"",COUNTIFS($A$4:A5,"&lt;&gt;",$F$4:F5,"أحد الشركاء"))</f>
        <v/>
      </c>
    </row>
    <row r="6" spans="1:17" ht="18.75" customHeight="1" x14ac:dyDescent="0.25">
      <c r="A6" s="25">
        <v>46124</v>
      </c>
      <c r="B6" s="26" t="s">
        <v>44</v>
      </c>
      <c r="C6" s="27" t="s">
        <v>45</v>
      </c>
      <c r="D6" s="28"/>
      <c r="E6" s="29"/>
      <c r="F6" s="30" t="s">
        <v>38</v>
      </c>
      <c r="G6" s="31" t="s">
        <v>39</v>
      </c>
      <c r="H6" s="32" t="s">
        <v>40</v>
      </c>
      <c r="I6" s="33" t="s">
        <v>46</v>
      </c>
      <c r="J6" s="34">
        <f>IF(AND(D6="",E6="",A6="",B6="",C6=""),"", IFERROR(IF(J5="",D2,J5),D2)+IF(OR(E6="",H6="معلق"),0,E6)-IF(OR(G6="أبو اسحاق",G6="أبو آدم",G6="أبو اسحاق ",G6="أبو آدم "),0,IF(D6="",0,D6)))</f>
        <v>5</v>
      </c>
      <c r="K6" s="35"/>
      <c r="L6" t="str">
        <f>IF(E6&gt;0,COUNTIF($E$4:E6,"&gt;0"),"")</f>
        <v/>
      </c>
      <c r="M6" t="str">
        <f>IF(AND(D6&gt;0,G6="المحفظة"),COUNTIFS($D$4:D6,"&gt;"&amp;0,$G$4:G6,"المحفظة"),"")</f>
        <v/>
      </c>
      <c r="N6" t="str">
        <f>IF(AND(OR('طباعة كشف الحساب'!$C$2="الكل",MONTH(A6)=IFERROR(MATCH('طباعة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الحساب'!$F$2="الكل",YEAR(A6)=IFERROR(VALUE('طباعة كشف الحساب'!$F$2),0)),A6&lt;&gt;""),IFERROR(MAX($N$4:N5),0)+1,"")</f>
        <v/>
      </c>
      <c r="O6" t="str">
        <f>IF(AND(D6&gt;0,F6="أحد الشركاء"),COUNTIFS($D$4:D6,"&gt;"&amp;0,$F$4:F6,"أحد الشركاء"),"")</f>
        <v/>
      </c>
      <c r="P6" t="str">
        <f>IF(OR($A6="",$F6="أحد الشركاء",AND($D6="",$E6="")),"",SUMPRODUCT(($A$4:$A6&lt;&gt;"")*($F$4:$F6&lt;&gt;"أحد الشركاء")*((($D$4:$D6&lt;&gt;"")+($E$4:$E6&lt;&gt;""))&gt;0)))</f>
        <v/>
      </c>
      <c r="Q6" t="str">
        <f>IF(OR($A6="",$F6&lt;&gt;"أحد الشركاء"),"",COUNTIFS($A$4:A6,"&lt;&gt;",$F$4:F6,"أحد الشركاء"))</f>
        <v/>
      </c>
    </row>
    <row r="7" spans="1:17" ht="18.75" customHeight="1" x14ac:dyDescent="0.25">
      <c r="A7" s="139">
        <v>46131</v>
      </c>
      <c r="B7" s="36"/>
      <c r="C7" s="37" t="s">
        <v>47</v>
      </c>
      <c r="D7" s="38">
        <v>45</v>
      </c>
      <c r="E7" s="39"/>
      <c r="F7" s="136" t="s">
        <v>48</v>
      </c>
      <c r="G7" s="40" t="s">
        <v>49</v>
      </c>
      <c r="H7" s="41" t="s">
        <v>50</v>
      </c>
      <c r="I7" s="42" t="s">
        <v>51</v>
      </c>
      <c r="J7" s="43">
        <f>IF(AND(D7="",E7="",A7="",B7="",C7=""),"", IFERROR(IF(J6="",D2,J6),D2)+IF(OR(E7="",H7="معلق"),0,E7)-IF(OR(G7="أبو اسحاق",G7="أبو آدم",G7="أبو اسحاق ",G7="أبو آدم "),0,IF(D7="",0,D7)))</f>
        <v>5</v>
      </c>
      <c r="K7" s="44"/>
      <c r="L7" t="str">
        <f>IF(E7&gt;0,COUNTIF($E$4:E7,"&gt;0"),"")</f>
        <v/>
      </c>
      <c r="M7" t="str">
        <f>IF(AND(D7&gt;0,G7="المحفظة"),COUNTIFS($D$4:D7,"&gt;"&amp;0,$G$4:G7,"المحفظة"),"")</f>
        <v/>
      </c>
      <c r="N7" t="str">
        <f>IF(AND(OR('طباعة كشف الحساب'!$C$2="الكل",MONTH(A7)=IFERROR(MATCH('طباعة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الحساب'!$F$2="الكل",YEAR(A7)=IFERROR(VALUE('طباعة كشف الحساب'!$F$2),0)),A7&lt;&gt;""),IFERROR(MAX($N$4:N6),0)+1,"")</f>
        <v/>
      </c>
      <c r="O7">
        <f>IF(AND(D7&gt;0,F7="أحد الشركاء"),COUNTIFS($D$4:D7,"&gt;"&amp;0,$F$4:F7,"أحد الشركاء"),"")</f>
        <v>1</v>
      </c>
      <c r="P7" t="str">
        <f>IF(OR($A7="",$F7="أحد الشركاء",AND($D7="",$E7="")),"",SUMPRODUCT(($A$4:$A7&lt;&gt;"")*($F$4:$F7&lt;&gt;"أحد الشركاء")*((($D$4:$D7&lt;&gt;"")+($E$4:$E7&lt;&gt;""))&gt;0)))</f>
        <v/>
      </c>
      <c r="Q7">
        <f>IF(OR($A7="",$F7&lt;&gt;"أحد الشركاء"),"",COUNTIFS($A$4:A7,"&lt;&gt;",$F$4:F7,"أحد الشركاء"))</f>
        <v>1</v>
      </c>
    </row>
    <row r="8" spans="1:17" ht="18.75" customHeight="1" x14ac:dyDescent="0.25">
      <c r="A8" s="25">
        <v>46134</v>
      </c>
      <c r="B8" s="26" t="s">
        <v>52</v>
      </c>
      <c r="C8" s="27" t="s">
        <v>53</v>
      </c>
      <c r="D8" s="28">
        <v>55</v>
      </c>
      <c r="E8" s="29"/>
      <c r="F8" s="30" t="s">
        <v>48</v>
      </c>
      <c r="G8" s="31" t="s">
        <v>49</v>
      </c>
      <c r="H8" s="32" t="s">
        <v>50</v>
      </c>
      <c r="I8" s="33" t="s">
        <v>54</v>
      </c>
      <c r="J8" s="34">
        <f>IF(AND(D8="",E8="",A8="",B8="",C8=""),"", IFERROR(IF(J7="",D2,J7),D2)+IF(OR(E8="",H8="معلق"),0,E8)-IF(OR(G8="أبو اسحاق",G8="أبو آدم",G8="أبو اسحاق ",G8="أبو آدم "),0,IF(D8="",0,D8)))</f>
        <v>5</v>
      </c>
      <c r="K8" s="35"/>
      <c r="L8" t="str">
        <f>IF(E8&gt;0,COUNTIF($E$4:E8,"&gt;0"),"")</f>
        <v/>
      </c>
      <c r="M8" t="str">
        <f>IF(AND(D8&gt;0,G8="المحفظة"),COUNTIFS($D$4:D8,"&gt;"&amp;0,$G$4:G8,"المحفظة"),"")</f>
        <v/>
      </c>
      <c r="N8" t="str">
        <f>IF(AND(OR('طباعة كشف الحساب'!$C$2="الكل",MONTH(A8)=IFERROR(MATCH('طباعة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الحساب'!$F$2="الكل",YEAR(A8)=IFERROR(VALUE('طباعة كشف الحساب'!$F$2),0)),A8&lt;&gt;""),IFERROR(MAX($N$4:N7),0)+1,"")</f>
        <v/>
      </c>
      <c r="O8">
        <f>IF(AND(D8&gt;0,F8="أحد الشركاء"),COUNTIFS($D$4:D8,"&gt;"&amp;0,$F$4:F8,"أحد الشركاء"),"")</f>
        <v>2</v>
      </c>
      <c r="P8" t="str">
        <f>IF(OR($A8="",$F8="أحد الشركاء",AND($D8="",$E8="")),"",SUMPRODUCT(($A$4:$A8&lt;&gt;"")*($F$4:$F8&lt;&gt;"أحد الشركاء")*((($D$4:$D8&lt;&gt;"")+($E$4:$E8&lt;&gt;""))&gt;0)))</f>
        <v/>
      </c>
      <c r="Q8">
        <f>IF(OR($A8="",$F8&lt;&gt;"أحد الشركاء"),"",COUNTIFS($A$4:A8,"&lt;&gt;",$F$4:F8,"أحد الشركاء"))</f>
        <v>2</v>
      </c>
    </row>
    <row r="9" spans="1:17" ht="18.75" customHeight="1" x14ac:dyDescent="0.25">
      <c r="A9" s="139">
        <v>46134</v>
      </c>
      <c r="B9" s="36"/>
      <c r="C9" s="37" t="s">
        <v>55</v>
      </c>
      <c r="D9" s="38">
        <v>20</v>
      </c>
      <c r="E9" s="39"/>
      <c r="F9" s="136" t="s">
        <v>48</v>
      </c>
      <c r="G9" s="40" t="s">
        <v>49</v>
      </c>
      <c r="H9" s="41" t="s">
        <v>50</v>
      </c>
      <c r="I9" s="42" t="s">
        <v>54</v>
      </c>
      <c r="J9" s="43">
        <f>IF(AND(D9="",E9="",A9="",B9="",C9=""),"", IFERROR(IF(J8="",D2,J8),D2)+IF(OR(E9="",H9="معلق"),0,E9)-IF(OR(G9="أبو اسحاق",G9="أبو آدم",G9="أبو اسحاق ",G9="أبو آدم "),0,IF(D9="",0,D9)))</f>
        <v>5</v>
      </c>
      <c r="K9" s="44"/>
      <c r="L9" t="str">
        <f>IF(E9&gt;0,COUNTIF($E$4:E9,"&gt;0"),"")</f>
        <v/>
      </c>
      <c r="M9" t="str">
        <f>IF(AND(D9&gt;0,G9="المحفظة"),COUNTIFS($D$4:D9,"&gt;"&amp;0,$G$4:G9,"المحفظة"),"")</f>
        <v/>
      </c>
      <c r="N9" t="str">
        <f>IF(AND(OR('طباعة كشف الحساب'!$C$2="الكل",MONTH(A9)=IFERROR(MATCH('طباعة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الحساب'!$F$2="الكل",YEAR(A9)=IFERROR(VALUE('طباعة كشف الحساب'!$F$2),0)),A9&lt;&gt;""),IFERROR(MAX($N$4:N8),0)+1,"")</f>
        <v/>
      </c>
      <c r="O9">
        <f>IF(AND(D9&gt;0,F9="أحد الشركاء"),COUNTIFS($D$4:D9,"&gt;"&amp;0,$F$4:F9,"أحد الشركاء"),"")</f>
        <v>3</v>
      </c>
      <c r="P9" t="str">
        <f>IF(OR($A9="",$F9="أحد الشركاء",AND($D9="",$E9="")),"",SUMPRODUCT(($A$4:$A9&lt;&gt;"")*($F$4:$F9&lt;&gt;"أحد الشركاء")*((($D$4:$D9&lt;&gt;"")+($E$4:$E9&lt;&gt;""))&gt;0)))</f>
        <v/>
      </c>
      <c r="Q9">
        <f>IF(OR($A9="",$F9&lt;&gt;"أحد الشركاء"),"",COUNTIFS($A$4:A9,"&lt;&gt;",$F$4:F9,"أحد الشركاء"))</f>
        <v>3</v>
      </c>
    </row>
    <row r="10" spans="1:17" ht="18.75" customHeight="1" x14ac:dyDescent="0.25">
      <c r="A10" s="25">
        <v>46134</v>
      </c>
      <c r="B10" s="26" t="s">
        <v>56</v>
      </c>
      <c r="C10" s="27" t="s">
        <v>57</v>
      </c>
      <c r="D10" s="28">
        <v>3</v>
      </c>
      <c r="E10" s="29"/>
      <c r="F10" s="30" t="s">
        <v>38</v>
      </c>
      <c r="G10" s="31" t="s">
        <v>39</v>
      </c>
      <c r="H10" s="32" t="s">
        <v>40</v>
      </c>
      <c r="I10" s="33" t="s">
        <v>46</v>
      </c>
      <c r="J10" s="34">
        <f>IF(AND(D10="",E10="",A10="",B10="",C10=""),"", IFERROR(IF(J9="",D2,J9),D2)+IF(OR(E10="",H10="معلق"),0,E10)-IF(OR(G10="أبو اسحاق",G10="أبو آدم",G10="أبو اسحاق ",G10="أبو آدم "),0,IF(D10="",0,D10)))</f>
        <v>2</v>
      </c>
      <c r="K10" s="35" t="s">
        <v>58</v>
      </c>
      <c r="L10" t="str">
        <f>IF(E10&gt;0,COUNTIF($E$4:E10,"&gt;0"),"")</f>
        <v/>
      </c>
      <c r="M10">
        <f>IF(AND(D10&gt;0,G10="المحفظة"),COUNTIFS($D$4:D10,"&gt;"&amp;0,$G$4:G10,"المحفظة"),"")</f>
        <v>1</v>
      </c>
      <c r="N10" t="str">
        <f>IF(AND(OR('طباعة كشف الحساب'!$C$2="الكل",MONTH(A10)=IFERROR(MATCH('طباعة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الحساب'!$F$2="الكل",YEAR(A10)=IFERROR(VALUE('طباعة كشف الحساب'!$F$2),0)),A10&lt;&gt;""),IFERROR(MAX($N$4:N9),0)+1,"")</f>
        <v/>
      </c>
      <c r="O10" t="str">
        <f>IF(AND(D10&gt;0,F10="أحد الشركاء"),COUNTIFS($D$4:D10,"&gt;"&amp;0,$F$4:F10,"أحد الشركاء"),"")</f>
        <v/>
      </c>
      <c r="P10">
        <f>IF(OR($A10="",$F10="أحد الشركاء",AND($D10="",$E10="")),"",SUMPRODUCT(($A$4:$A10&lt;&gt;"")*($F$4:$F10&lt;&gt;"أحد الشركاء")*((($D$4:$D10&lt;&gt;"")+($E$4:$E10&lt;&gt;""))&gt;0)))</f>
        <v>2</v>
      </c>
      <c r="Q10" t="str">
        <f>IF(OR($A10="",$F10&lt;&gt;"أحد الشركاء"),"",COUNTIFS($A$4:A10,"&lt;&gt;",$F$4:F10,"أحد الشركاء"))</f>
        <v/>
      </c>
    </row>
    <row r="11" spans="1:17" ht="18.75" customHeight="1" x14ac:dyDescent="0.25">
      <c r="A11" s="139">
        <v>46134</v>
      </c>
      <c r="B11" s="36" t="s">
        <v>44</v>
      </c>
      <c r="C11" s="37" t="s">
        <v>59</v>
      </c>
      <c r="D11" s="38">
        <v>160</v>
      </c>
      <c r="E11" s="39"/>
      <c r="F11" s="136" t="s">
        <v>48</v>
      </c>
      <c r="G11" s="40" t="s">
        <v>60</v>
      </c>
      <c r="H11" s="41" t="s">
        <v>50</v>
      </c>
      <c r="I11" s="42" t="s">
        <v>61</v>
      </c>
      <c r="J11" s="43">
        <f>IF(AND(D11="",E11="",A11="",B11="",C11=""),"", IFERROR(IF(J10="",D2,J10),D2)+IF(OR(E11="",H11="معلق"),0,E11)-IF(OR(G11="أبو اسحاق",G11="أبو آدم",G11="أبو اسحاق ",G11="أبو آدم "),0,IF(D11="",0,D11)))</f>
        <v>2</v>
      </c>
      <c r="K11" s="44"/>
      <c r="L11" t="str">
        <f>IF(E11&gt;0,COUNTIF($E$4:E11,"&gt;0"),"")</f>
        <v/>
      </c>
      <c r="M11" t="str">
        <f>IF(AND(D11&gt;0,G11="المحفظة"),COUNTIFS($D$4:D11,"&gt;"&amp;0,$G$4:G11,"المحفظة"),"")</f>
        <v/>
      </c>
      <c r="N11" t="str">
        <f>IF(AND(OR('طباعة كشف الحساب'!$C$2="الكل",MONTH(A11)=IFERROR(MATCH('طباعة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الحساب'!$F$2="الكل",YEAR(A11)=IFERROR(VALUE('طباعة كشف الحساب'!$F$2),0)),A11&lt;&gt;""),IFERROR(MAX($N$4:N10),0)+1,"")</f>
        <v/>
      </c>
      <c r="O11">
        <f>IF(AND(D11&gt;0,F11="أحد الشركاء"),COUNTIFS($D$4:D11,"&gt;"&amp;0,$F$4:F11,"أحد الشركاء"),"")</f>
        <v>4</v>
      </c>
      <c r="P11" t="str">
        <f>IF(OR($A11="",$F11="أحد الشركاء",AND($D11="",$E11="")),"",SUMPRODUCT(($A$4:$A11&lt;&gt;"")*($F$4:$F11&lt;&gt;"أحد الشركاء")*((($D$4:$D11&lt;&gt;"")+($E$4:$E11&lt;&gt;""))&gt;0)))</f>
        <v/>
      </c>
      <c r="Q11">
        <f>IF(OR($A11="",$F11&lt;&gt;"أحد الشركاء"),"",COUNTIFS($A$4:A11,"&lt;&gt;",$F$4:F11,"أحد الشركاء"))</f>
        <v>4</v>
      </c>
    </row>
    <row r="12" spans="1:17" ht="18.75" customHeight="1" x14ac:dyDescent="0.25">
      <c r="A12" s="25">
        <v>46142</v>
      </c>
      <c r="B12" s="26"/>
      <c r="C12" s="27" t="s">
        <v>62</v>
      </c>
      <c r="D12" s="28"/>
      <c r="E12" s="29">
        <v>40.5</v>
      </c>
      <c r="F12" s="30"/>
      <c r="G12" s="31"/>
      <c r="H12" s="32"/>
      <c r="I12" s="33"/>
      <c r="J12" s="34">
        <f>IF(AND(D12="",E12="",A12="",B12="",C12=""),"", IFERROR(IF(J11="",D2,J11),D2)+IF(OR(E12="",H12="معلق"),0,E12)-IF(OR(G12="أبو اسحاق",G12="أبو آدم",G12="أبو اسحاق ",G12="أبو آدم "),0,IF(D12="",0,D12)))</f>
        <v>42.5</v>
      </c>
      <c r="K12" s="35"/>
      <c r="L12">
        <f>IF(E12&gt;0,COUNTIF($E$4:E12,"&gt;0"),"")</f>
        <v>2</v>
      </c>
      <c r="M12" t="str">
        <f>IF(AND(D12&gt;0,G12="المحفظة"),COUNTIFS($D$4:D12,"&gt;"&amp;0,$G$4:G12,"المحفظة"),"")</f>
        <v/>
      </c>
      <c r="N12" t="str">
        <f>IF(AND(OR('طباعة كشف الحساب'!$C$2="الكل",MONTH(A12)=IFERROR(MATCH('طباعة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الحساب'!$F$2="الكل",YEAR(A12)=IFERROR(VALUE('طباعة كشف الحساب'!$F$2),0)),A12&lt;&gt;""),IFERROR(MAX($N$4:N11),0)+1,"")</f>
        <v/>
      </c>
      <c r="O12" t="str">
        <f>IF(AND(D12&gt;0,F12="أحد الشركاء"),COUNTIFS($D$4:D12,"&gt;"&amp;0,$F$4:F12,"أحد الشركاء"),"")</f>
        <v/>
      </c>
      <c r="P12">
        <f>IF(OR($A12="",$F12="أحد الشركاء",AND($D12="",$E12="")),"",SUMPRODUCT(($A$4:$A12&lt;&gt;"")*($F$4:$F12&lt;&gt;"أحد الشركاء")*((($D$4:$D12&lt;&gt;"")+($E$4:$E12&lt;&gt;""))&gt;0)))</f>
        <v>3</v>
      </c>
      <c r="Q12" t="str">
        <f>IF(OR($A12="",$F12&lt;&gt;"أحد الشركاء"),"",COUNTIFS($A$4:A12,"&lt;&gt;",$F$4:F12,"أحد الشركاء"))</f>
        <v/>
      </c>
    </row>
    <row r="13" spans="1:17" ht="18.75" customHeight="1" x14ac:dyDescent="0.25">
      <c r="A13" s="25">
        <v>46142</v>
      </c>
      <c r="B13" s="36">
        <v>40505</v>
      </c>
      <c r="C13" s="37" t="s">
        <v>63</v>
      </c>
      <c r="D13" s="38"/>
      <c r="E13" s="39"/>
      <c r="F13" s="136" t="s">
        <v>38</v>
      </c>
      <c r="G13" s="40" t="s">
        <v>39</v>
      </c>
      <c r="H13" s="41" t="s">
        <v>40</v>
      </c>
      <c r="I13" s="42" t="s">
        <v>61</v>
      </c>
      <c r="J13" s="43">
        <f>IF(AND(D13="",E13="",A13="",B13="",C13=""),"", IFERROR(IF(J12="",D2,J12),D2)+IF(OR(E13="",H13="معلق"),0,E13)-IF(OR(G13="أبو اسحاق",G13="أبو آدم",G13="أبو اسحاق ",G13="أبو آدم "),0,IF(D13="",0,D13)))</f>
        <v>42.5</v>
      </c>
      <c r="K13" s="44"/>
      <c r="L13" t="str">
        <f>IF(E13&gt;0,COUNTIF($E$4:E13,"&gt;0"),"")</f>
        <v/>
      </c>
      <c r="M13" t="str">
        <f>IF(AND(D13&gt;0,G13="المحفظة"),COUNTIFS($D$4:D13,"&gt;"&amp;0,$G$4:G13,"المحفظة"),"")</f>
        <v/>
      </c>
      <c r="N13" t="str">
        <f>IF(AND(OR('طباعة كشف الحساب'!$C$2="الكل",MONTH(A13)=IFERROR(MATCH('طباعة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الحساب'!$F$2="الكل",YEAR(A13)=IFERROR(VALUE('طباعة كشف الحساب'!$F$2),0)),A13&lt;&gt;""),IFERROR(MAX($N$4:N12),0)+1,"")</f>
        <v/>
      </c>
      <c r="O13" t="str">
        <f>IF(AND(D13&gt;0,F13="أحد الشركاء"),COUNTIFS($D$4:D13,"&gt;"&amp;0,$F$4:F13,"أحد الشركاء"),"")</f>
        <v/>
      </c>
      <c r="P13" t="str">
        <f>IF(OR($A13="",$F13="أحد الشركاء",AND($D13="",$E13="")),"",SUMPRODUCT(($A$4:$A13&lt;&gt;"")*($F$4:$F13&lt;&gt;"أحد الشركاء")*((($D$4:$D13&lt;&gt;"")+($E$4:$E13&lt;&gt;""))&gt;0)))</f>
        <v/>
      </c>
      <c r="Q13" t="str">
        <f>IF(OR($A13="",$F13&lt;&gt;"أحد الشركاء"),"",COUNTIFS($A$4:A13,"&lt;&gt;",$F$4:F13,"أحد الشركاء"))</f>
        <v/>
      </c>
    </row>
    <row r="14" spans="1:17" ht="18.75" customHeight="1" x14ac:dyDescent="0.25">
      <c r="A14" s="25">
        <v>46142</v>
      </c>
      <c r="B14" s="26">
        <v>5370</v>
      </c>
      <c r="C14" s="27" t="s">
        <v>64</v>
      </c>
      <c r="D14" s="28"/>
      <c r="E14" s="29"/>
      <c r="F14" s="30" t="s">
        <v>38</v>
      </c>
      <c r="G14" s="31" t="s">
        <v>39</v>
      </c>
      <c r="H14" s="32" t="s">
        <v>40</v>
      </c>
      <c r="I14" s="33" t="s">
        <v>41</v>
      </c>
      <c r="J14" s="34">
        <f>IF(AND(D14="",E14="",A14="",B14="",C14=""),"", IFERROR(IF(J13="",D2,J13),D2)+IF(OR(E14="",H14="معلق"),0,E14)-IF(OR(G14="أبو اسحاق",G14="أبو آدم",G14="أبو اسحاق ",G14="أبو آدم "),0,IF(D14="",0,D14)))</f>
        <v>42.5</v>
      </c>
      <c r="K14" s="35"/>
      <c r="L14" t="str">
        <f>IF(E14&gt;0,COUNTIF($E$4:E14,"&gt;0"),"")</f>
        <v/>
      </c>
      <c r="M14" t="str">
        <f>IF(AND(D14&gt;0,G14="المحفظة"),COUNTIFS($D$4:D14,"&gt;"&amp;0,$G$4:G14,"المحفظة"),"")</f>
        <v/>
      </c>
      <c r="N14" t="str">
        <f>IF(AND(OR('طباعة كشف الحساب'!$C$2="الكل",MONTH(A14)=IFERROR(MATCH('طباعة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الحساب'!$F$2="الكل",YEAR(A14)=IFERROR(VALUE('طباعة كشف الحساب'!$F$2),0)),A14&lt;&gt;""),IFERROR(MAX($N$4:N13),0)+1,"")</f>
        <v/>
      </c>
      <c r="O14" t="str">
        <f>IF(AND(D14&gt;0,F14="أحد الشركاء"),COUNTIFS($D$4:D14,"&gt;"&amp;0,$F$4:F14,"أحد الشركاء"),"")</f>
        <v/>
      </c>
      <c r="P14" t="str">
        <f>IF(OR($A14="",$F14="أحد الشركاء",AND($D14="",$E14="")),"",SUMPRODUCT(($A$4:$A14&lt;&gt;"")*($F$4:$F14&lt;&gt;"أحد الشركاء")*((($D$4:$D14&lt;&gt;"")+($E$4:$E14&lt;&gt;""))&gt;0)))</f>
        <v/>
      </c>
      <c r="Q14" t="str">
        <f>IF(OR($A14="",$F14&lt;&gt;"أحد الشركاء"),"",COUNTIFS($A$4:A14,"&lt;&gt;",$F$4:F14,"أحد الشركاء"))</f>
        <v/>
      </c>
    </row>
    <row r="15" spans="1:17" ht="18.75" customHeight="1" x14ac:dyDescent="0.25">
      <c r="A15" s="45">
        <v>46142</v>
      </c>
      <c r="B15" s="26"/>
      <c r="C15" s="27" t="s">
        <v>65</v>
      </c>
      <c r="D15" s="28"/>
      <c r="E15" s="29"/>
      <c r="F15" s="30" t="s">
        <v>38</v>
      </c>
      <c r="G15" s="31" t="s">
        <v>39</v>
      </c>
      <c r="H15" s="32" t="s">
        <v>40</v>
      </c>
      <c r="I15" s="33" t="s">
        <v>66</v>
      </c>
      <c r="J15" s="34">
        <f>IF(AND(D15="",E15="",A15="",B15="",C15=""),"", IFERROR(IF(J14="",D3,J14),D3)+IF(OR(E15="",H15="معلق"),0,E15)-IF(OR(G15="أبو اسحاق",G15="أبو آدم",G15="أبو اسحاق ",G15="أبو آدم "),0,IF(D15="",0,D15)))</f>
        <v>42.5</v>
      </c>
      <c r="K15" s="35"/>
      <c r="L15" t="str">
        <f>IF(E15&gt;0,COUNTIF($E$4:E15,"&gt;0"),"")</f>
        <v/>
      </c>
      <c r="N15" t="str">
        <f>IF(AND(OR('طباعة كشف الحساب'!$C$2="الكل",MONTH(A15)=IFERROR(MATCH('طباعة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الحساب'!$F$2="الكل",YEAR(A15)=IFERROR(VALUE('طباعة كشف الحساب'!$F$2),0)),A15&lt;&gt;""),IFERROR(MAX($N$4:N14),0)+1,"")</f>
        <v/>
      </c>
      <c r="P15" t="str">
        <f>IF(OR($A15="",$F15="أحد الشركاء",AND($D15="",$E15="")),"",SUMPRODUCT(($A$4:$A15&lt;&gt;"")*($F$4:$F15&lt;&gt;"أحد الشركاء")*((($D$4:$D15&lt;&gt;"")+($E$4:$E15&lt;&gt;""))&gt;0)))</f>
        <v/>
      </c>
      <c r="Q15" t="str">
        <f>IF(OR($A15="",$F15&lt;&gt;"أحد الشركاء"),"",COUNTIFS($A$4:A15,"&lt;&gt;",$F$4:F15,"أحد الشركاء"))</f>
        <v/>
      </c>
    </row>
    <row r="16" spans="1:17" ht="18.75" customHeight="1" x14ac:dyDescent="0.25">
      <c r="A16" s="139">
        <v>46151</v>
      </c>
      <c r="B16" s="36" t="s">
        <v>67</v>
      </c>
      <c r="C16" s="37" t="s">
        <v>68</v>
      </c>
      <c r="D16" s="38"/>
      <c r="E16" s="39">
        <v>15.75</v>
      </c>
      <c r="F16" s="136" t="s">
        <v>38</v>
      </c>
      <c r="G16" s="40"/>
      <c r="H16" s="41" t="s">
        <v>40</v>
      </c>
      <c r="I16" s="42"/>
      <c r="J16" s="43">
        <f>IF(AND(D16="",E16="",A16="",B16="",C16=""),"", IFERROR(IF(J15="",D2,J15),D2)+IF(OR(E16="",H16="معلق"),0,E16)-IF(OR(G16="أبو اسحاق",G16="أبو آدم",G16="أبو اسحاق ",G16="أبو آدم "),0,IF(D16="",0,D16)))</f>
        <v>58.25</v>
      </c>
      <c r="K16" s="44"/>
      <c r="L16" t="str">
        <f>IF(E15&gt;0,COUNTIF($E$4:E15,"&gt;0"),"")</f>
        <v/>
      </c>
      <c r="M16" t="str">
        <f>IF(AND(D15&gt;0,G15="المحفظة"),COUNTIFS($D$4:D15,"&gt;"&amp;0,$G$4:G15,"المحفظة"),"")</f>
        <v/>
      </c>
      <c r="N16" t="str">
        <f>IF(AND(OR('طباعة كشف الحساب'!$C$2="الكل",MONTH(A16)=IFERROR(MATCH('طباعة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الحساب'!$F$2="الكل",YEAR(A16)=IFERROR(VALUE('طباعة كشف الحساب'!$F$2),0)),A16&lt;&gt;""),IFERROR(MAX($N$4:N15),0)+1,"")</f>
        <v/>
      </c>
      <c r="O16" t="str">
        <f>IF(AND(D15&gt;0,F15="أحد الشركاء"),COUNTIFS($D$4:D15,"&gt;"&amp;0,$F$4:F15,"أحد الشركاء"),"")</f>
        <v/>
      </c>
      <c r="P16">
        <f>IF(OR($A16="",$F16="أحد الشركاء",AND($D16="",$E16="")),"",SUMPRODUCT(($A$4:$A16&lt;&gt;"")*($F$4:$F16&lt;&gt;"أحد الشركاء")*((($D$4:$D16&lt;&gt;"")+($E$4:$E16&lt;&gt;""))&gt;0)))</f>
        <v>4</v>
      </c>
      <c r="Q16" t="str">
        <f>IF(OR($A16="",$F16&lt;&gt;"أحد الشركاء"),"",COUNTIFS($A$4:A16,"&lt;&gt;",$F$4:F16,"أحد الشركاء"))</f>
        <v/>
      </c>
    </row>
    <row r="17" spans="1:17" ht="18.75" customHeight="1" x14ac:dyDescent="0.25">
      <c r="A17" s="139">
        <v>46151</v>
      </c>
      <c r="B17" s="36" t="s">
        <v>69</v>
      </c>
      <c r="C17" s="27" t="s">
        <v>70</v>
      </c>
      <c r="D17" s="28"/>
      <c r="E17" s="29">
        <v>12.5</v>
      </c>
      <c r="F17" s="30" t="s">
        <v>38</v>
      </c>
      <c r="G17" s="31" t="s">
        <v>39</v>
      </c>
      <c r="H17" s="32" t="s">
        <v>40</v>
      </c>
      <c r="I17" s="33"/>
      <c r="J17" s="34">
        <f>IF(AND(D17="",E17="",A17="",B17="",C17=""),"", IFERROR(IF(J16="",D2,J16),D2)+IF(OR(E17="",H17="معلق"),0,E17)-IF(OR(G17="أبو اسحاق",G17="أبو آدم",G17="أبو اسحاق ",G17="أبو آدم "),0,IF(D17="",0,D17)))</f>
        <v>70.75</v>
      </c>
      <c r="K17" s="35"/>
      <c r="L17">
        <f>IF(E16&gt;0,COUNTIF($E$4:E16,"&gt;0"),"")</f>
        <v>3</v>
      </c>
      <c r="M17" t="str">
        <f>IF(AND(D16&gt;0,G16="المحفظة"),COUNTIFS($D$4:D16,"&gt;"&amp;0,$G$4:G16,"المحفظة"),"")</f>
        <v/>
      </c>
      <c r="N17" t="str">
        <f>IF(AND(OR('طباعة كشف الحساب'!$C$2="الكل",MONTH(A17)=IFERROR(MATCH('طباعة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الحساب'!$F$2="الكل",YEAR(A17)=IFERROR(VALUE('طباعة كشف الحساب'!$F$2),0)),A17&lt;&gt;""),IFERROR(MAX($N$4:N16),0)+1,"")</f>
        <v/>
      </c>
      <c r="O17" t="str">
        <f>IF(AND(D16&gt;0,F16="أحد الشركاء"),COUNTIFS($D$4:D16,"&gt;"&amp;0,$F$4:F16,"أحد الشركاء"),"")</f>
        <v/>
      </c>
      <c r="P17">
        <f>IF(OR($A17="",$F17="أحد الشركاء",AND($D17="",$E17="")),"",SUMPRODUCT(($A$4:$A17&lt;&gt;"")*($F$4:$F17&lt;&gt;"أحد الشركاء")*((($D$4:$D17&lt;&gt;"")+($E$4:$E17&lt;&gt;""))&gt;0)))</f>
        <v>5</v>
      </c>
      <c r="Q17" t="str">
        <f>IF(OR($A17="",$F17&lt;&gt;"أحد الشركاء"),"",COUNTIFS($A$4:A17,"&lt;&gt;",$F$4:F17,"أحد الشركاء"))</f>
        <v/>
      </c>
    </row>
    <row r="18" spans="1:17" ht="18.75" customHeight="1" x14ac:dyDescent="0.25">
      <c r="A18" s="139">
        <v>46151</v>
      </c>
      <c r="B18" s="36">
        <v>18213</v>
      </c>
      <c r="C18" s="37" t="s">
        <v>71</v>
      </c>
      <c r="D18" s="38">
        <v>9</v>
      </c>
      <c r="E18" s="39"/>
      <c r="F18" s="136" t="s">
        <v>48</v>
      </c>
      <c r="G18" s="40" t="s">
        <v>49</v>
      </c>
      <c r="H18" s="41" t="s">
        <v>50</v>
      </c>
      <c r="I18" s="42" t="s">
        <v>46</v>
      </c>
      <c r="J18" s="43">
        <f>IF(AND(D18="",E18="",A18="",B18="",C18=""),"", IFERROR(IF(J17="",D2,J17),D2)+IF(OR(E18="",H18="معلق"),0,E18)-IF(OR(G18="أبو اسحاق",G18="أبو آدم",G18="أبو اسحاق ",G18="أبو آدم "),0,IF(D18="",0,D18)))</f>
        <v>70.75</v>
      </c>
      <c r="K18" s="44"/>
      <c r="L18">
        <f>IF(E17&gt;0,COUNTIF($E$4:E17,"&gt;0"),"")</f>
        <v>4</v>
      </c>
      <c r="M18" t="str">
        <f>IF(AND(D17&gt;0,G17="المحفظة"),COUNTIFS($D$4:D17,"&gt;"&amp;0,$G$4:G17,"المحفظة"),"")</f>
        <v/>
      </c>
      <c r="N18" t="str">
        <f>IF(AND(OR('طباعة كشف الحساب'!$C$2="الكل",MONTH(A18)=IFERROR(MATCH('طباعة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الحساب'!$F$2="الكل",YEAR(A18)=IFERROR(VALUE('طباعة كشف الحساب'!$F$2),0)),A18&lt;&gt;""),IFERROR(MAX($N$4:N17),0)+1,"")</f>
        <v/>
      </c>
      <c r="O18" t="str">
        <f>IF(AND(D17&gt;0,F17="أحد الشركاء"),COUNTIFS($D$4:D17,"&gt;"&amp;0,$F$4:F17,"أحد الشركاء"),"")</f>
        <v/>
      </c>
      <c r="P18" t="str">
        <f>IF(OR($A18="",$F18="أحد الشركاء",AND($D18="",$E18="")),"",SUMPRODUCT(($A$4:$A18&lt;&gt;"")*($F$4:$F18&lt;&gt;"أحد الشركاء")*((($D$4:$D18&lt;&gt;"")+($E$4:$E18&lt;&gt;""))&gt;0)))</f>
        <v/>
      </c>
      <c r="Q18">
        <f>IF(OR($A18="",$F18&lt;&gt;"أحد الشركاء"),"",COUNTIFS($A$4:A18,"&lt;&gt;",$F$4:F18,"أحد الشركاء"))</f>
        <v>5</v>
      </c>
    </row>
    <row r="19" spans="1:17" ht="18.75" customHeight="1" x14ac:dyDescent="0.25">
      <c r="A19" s="25">
        <v>46152</v>
      </c>
      <c r="B19" s="26" t="s">
        <v>72</v>
      </c>
      <c r="C19" s="27" t="s">
        <v>73</v>
      </c>
      <c r="D19" s="28"/>
      <c r="E19" s="29">
        <v>2.25</v>
      </c>
      <c r="F19" s="30" t="s">
        <v>38</v>
      </c>
      <c r="G19" s="31"/>
      <c r="H19" s="32"/>
      <c r="I19" s="33"/>
      <c r="J19" s="34">
        <f>IF(AND(D19="",E19="",A19="",B19="",C19=""),"", IFERROR(IF(J18="",D2,J18),D2)+IF(OR(E19="",H19="معلق"),0,E19)-IF(OR(G19="أبو اسحاق",G19="أبو آدم",G19="أبو اسحاق ",G19="أبو آدم "),0,IF(D19="",0,D19)))</f>
        <v>73</v>
      </c>
      <c r="K19" s="35"/>
      <c r="L19" t="str">
        <f>IF(E18&gt;0,COUNTIF($E$4:E18,"&gt;0"),"")</f>
        <v/>
      </c>
      <c r="M19" t="str">
        <f>IF(AND(D18&gt;0,G18="المحفظة"),COUNTIFS($D$4:D18,"&gt;"&amp;0,$G$4:G18,"المحفظة"),"")</f>
        <v/>
      </c>
      <c r="N19" t="str">
        <f>IF(AND(OR('طباعة كشف الحساب'!$C$2="الكل",MONTH(A19)=IFERROR(MATCH('طباعة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الحساب'!$F$2="الكل",YEAR(A19)=IFERROR(VALUE('طباعة كشف الحساب'!$F$2),0)),A19&lt;&gt;""),IFERROR(MAX($N$4:N18),0)+1,"")</f>
        <v/>
      </c>
      <c r="O19">
        <f>IF(AND(D18&gt;0,F18="أحد الشركاء"),COUNTIFS($D$4:D18,"&gt;"&amp;0,$F$4:F18,"أحد الشركاء"),"")</f>
        <v>5</v>
      </c>
      <c r="P19">
        <f>IF(OR($A19="",$F19="أحد الشركاء",AND($D19="",$E19="")),"",SUMPRODUCT(($A$4:$A19&lt;&gt;"")*($F$4:$F19&lt;&gt;"أحد الشركاء")*((($D$4:$D19&lt;&gt;"")+($E$4:$E19&lt;&gt;""))&gt;0)))</f>
        <v>6</v>
      </c>
      <c r="Q19" t="str">
        <f>IF(OR($A19="",$F19&lt;&gt;"أحد الشركاء"),"",COUNTIFS($A$4:A19,"&lt;&gt;",$F$4:F19,"أحد الشركاء"))</f>
        <v/>
      </c>
    </row>
    <row r="20" spans="1:17" ht="18.75" customHeight="1" x14ac:dyDescent="0.25">
      <c r="A20" s="139">
        <v>46155</v>
      </c>
      <c r="B20" s="36" t="s">
        <v>74</v>
      </c>
      <c r="C20" s="37" t="s">
        <v>75</v>
      </c>
      <c r="D20" s="38"/>
      <c r="E20" s="39">
        <v>7.5</v>
      </c>
      <c r="F20" s="136" t="s">
        <v>38</v>
      </c>
      <c r="G20" s="40"/>
      <c r="H20" s="41"/>
      <c r="I20" s="42"/>
      <c r="J20" s="43">
        <f>IF(AND(D20="",E20="",A20="",B20="",C20=""),"", IFERROR(IF(J19="",D2,J19),D2)+IF(OR(E20="",H20="معلق"),0,E20)-IF(OR(G20="أبو اسحاق",G20="أبو آدم",G20="أبو اسحاق ",G20="أبو آدم "),0,IF(D20="",0,D20)))</f>
        <v>80.5</v>
      </c>
      <c r="K20" s="44"/>
      <c r="L20">
        <f>IF(E19&gt;0,COUNTIF($E$4:E19,"&gt;0"),"")</f>
        <v>5</v>
      </c>
      <c r="M20" t="str">
        <f>IF(AND(D19&gt;0,G19="المحفظة"),COUNTIFS($D$4:D19,"&gt;"&amp;0,$G$4:G19,"المحفظة"),"")</f>
        <v/>
      </c>
      <c r="N20" t="str">
        <f>IF(AND(OR('طباعة كشف الحساب'!$C$2="الكل",MONTH(A20)=IFERROR(MATCH('طباعة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الحساب'!$F$2="الكل",YEAR(A20)=IFERROR(VALUE('طباعة كشف الحساب'!$F$2),0)),A20&lt;&gt;""),IFERROR(MAX($N$4:N19),0)+1,"")</f>
        <v/>
      </c>
      <c r="O20" t="str">
        <f>IF(AND(D19&gt;0,F19="أحد الشركاء"),COUNTIFS($D$4:D19,"&gt;"&amp;0,$F$4:F19,"أحد الشركاء"),"")</f>
        <v/>
      </c>
      <c r="P20">
        <f>IF(OR($A20="",$F20="أحد الشركاء",AND($D20="",$E20="")),"",SUMPRODUCT(($A$4:$A20&lt;&gt;"")*($F$4:$F20&lt;&gt;"أحد الشركاء")*((($D$4:$D20&lt;&gt;"")+($E$4:$E20&lt;&gt;""))&gt;0)))</f>
        <v>7</v>
      </c>
      <c r="Q20" t="str">
        <f>IF(OR($A20="",$F20&lt;&gt;"أحد الشركاء"),"",COUNTIFS($A$4:A20,"&lt;&gt;",$F$4:F20,"أحد الشركاء"))</f>
        <v/>
      </c>
    </row>
    <row r="21" spans="1:17" ht="18.75" customHeight="1" x14ac:dyDescent="0.25">
      <c r="A21" s="139">
        <v>46156</v>
      </c>
      <c r="B21" s="26" t="s">
        <v>76</v>
      </c>
      <c r="C21" s="27" t="s">
        <v>77</v>
      </c>
      <c r="D21" s="28"/>
      <c r="E21" s="29">
        <v>6</v>
      </c>
      <c r="F21" s="30" t="s">
        <v>38</v>
      </c>
      <c r="G21" s="31"/>
      <c r="H21" s="32"/>
      <c r="I21" s="33"/>
      <c r="J21" s="34">
        <f>IF(AND(D21="",E21="",A21="",B21="",C21=""),"", IFERROR(IF(J20="",D2,J20),D2)+IF(OR(E21="",H21="معلق"),0,E21)-IF(OR(G21="أبو اسحاق",G21="أبو آدم",G21="أبو اسحاق ",G21="أبو آدم "),0,IF(D21="",0,D21)))</f>
        <v>86.5</v>
      </c>
      <c r="K21" s="35"/>
      <c r="L21">
        <f>IF(E20&gt;0,COUNTIF($E$4:E20,"&gt;0"),"")</f>
        <v>6</v>
      </c>
      <c r="M21" t="str">
        <f>IF(AND(D20&gt;0,G20="المحفظة"),COUNTIFS($D$4:D20,"&gt;"&amp;0,$G$4:G20,"المحفظة"),"")</f>
        <v/>
      </c>
      <c r="N21" t="str">
        <f>IF(AND(OR('طباعة كشف الحساب'!$C$2="الكل",MONTH(A21)=IFERROR(MATCH('طباعة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الحساب'!$F$2="الكل",YEAR(A21)=IFERROR(VALUE('طباعة كشف الحساب'!$F$2),0)),A21&lt;&gt;""),IFERROR(MAX($N$4:N20),0)+1,"")</f>
        <v/>
      </c>
      <c r="O21" t="str">
        <f>IF(AND(D20&gt;0,F20="أحد الشركاء"),COUNTIFS($D$4:D20,"&gt;"&amp;0,$F$4:F20,"أحد الشركاء"),"")</f>
        <v/>
      </c>
      <c r="P21">
        <f>IF(OR($A21="",$F21="أحد الشركاء",AND($D21="",$E21="")),"",SUMPRODUCT(($A$4:$A21&lt;&gt;"")*($F$4:$F21&lt;&gt;"أحد الشركاء")*((($D$4:$D21&lt;&gt;"")+($E$4:$E21&lt;&gt;""))&gt;0)))</f>
        <v>8</v>
      </c>
      <c r="Q21" t="str">
        <f>IF(OR($A21="",$F21&lt;&gt;"أحد الشركاء"),"",COUNTIFS($A$4:A21,"&lt;&gt;",$F$4:F21,"أحد الشركاء"))</f>
        <v/>
      </c>
    </row>
    <row r="22" spans="1:17" ht="18.75" customHeight="1" x14ac:dyDescent="0.25">
      <c r="A22" s="139">
        <v>46156</v>
      </c>
      <c r="B22" s="36" t="s">
        <v>78</v>
      </c>
      <c r="C22" s="37" t="s">
        <v>79</v>
      </c>
      <c r="D22" s="38"/>
      <c r="E22" s="39">
        <v>8</v>
      </c>
      <c r="F22" s="136" t="s">
        <v>38</v>
      </c>
      <c r="G22" s="40"/>
      <c r="H22" s="41"/>
      <c r="I22" s="42"/>
      <c r="J22" s="43">
        <f>IF(AND(D22="",E22="",A22="",B22="",C22=""),"", IFERROR(IF(J21="",D2,J21),D2)+IF(OR(E22="",H22="معلق"),0,E22)-IF(OR(G22="أبو اسحاق",G22="أبو آدم",G22="أبو اسحاق ",G22="أبو آدم "),0,IF(D22="",0,D22)))</f>
        <v>94.5</v>
      </c>
      <c r="K22" s="44"/>
      <c r="L22">
        <f>IF(E21&gt;0,COUNTIF($E$4:E21,"&gt;0"),"")</f>
        <v>7</v>
      </c>
      <c r="M22" t="str">
        <f>IF(AND(D21&gt;0,G21="المحفظة"),COUNTIFS($D$4:D21,"&gt;"&amp;0,$G$4:G21,"المحفظة"),"")</f>
        <v/>
      </c>
      <c r="N22" t="str">
        <f>IF(AND(OR('طباعة كشف الحساب'!$C$2="الكل",MONTH(A22)=IFERROR(MATCH('طباعة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الحساب'!$F$2="الكل",YEAR(A22)=IFERROR(VALUE('طباعة كشف الحساب'!$F$2),0)),A22&lt;&gt;""),IFERROR(MAX($N$4:N21),0)+1,"")</f>
        <v/>
      </c>
      <c r="O22" t="str">
        <f>IF(AND(D21&gt;0,F21="أحد الشركاء"),COUNTIFS($D$4:D21,"&gt;"&amp;0,$F$4:F21,"أحد الشركاء"),"")</f>
        <v/>
      </c>
      <c r="P22">
        <f>IF(OR($A22="",$F22="أحد الشركاء",AND($D22="",$E22="")),"",SUMPRODUCT(($A$4:$A22&lt;&gt;"")*($F$4:$F22&lt;&gt;"أحد الشركاء")*((($D$4:$D22&lt;&gt;"")+($E$4:$E22&lt;&gt;""))&gt;0)))</f>
        <v>9</v>
      </c>
      <c r="Q22" t="str">
        <f>IF(OR($A22="",$F22&lt;&gt;"أحد الشركاء"),"",COUNTIFS($A$4:A22,"&lt;&gt;",$F$4:F22,"أحد الشركاء"))</f>
        <v/>
      </c>
    </row>
    <row r="23" spans="1:17" ht="18.75" customHeight="1" x14ac:dyDescent="0.25">
      <c r="A23" s="25">
        <v>46158</v>
      </c>
      <c r="B23" s="26" t="s">
        <v>80</v>
      </c>
      <c r="C23" s="27" t="s">
        <v>81</v>
      </c>
      <c r="D23" s="28"/>
      <c r="E23" s="29">
        <v>1.5</v>
      </c>
      <c r="F23" s="30" t="s">
        <v>38</v>
      </c>
      <c r="G23" s="31"/>
      <c r="H23" s="32"/>
      <c r="I23" s="33"/>
      <c r="J23" s="34">
        <f>IF(AND(D23="",E23="",A23="",B23="",C23=""),"", IFERROR(IF(J22="",D2,J22),D2)+IF(OR(E23="",H23="معلق"),0,E23)-IF(OR(G23="أبو اسحاق",G23="أبو آدم",G23="أبو اسحاق ",G23="أبو آدم "),0,IF(D23="",0,D23)))</f>
        <v>96</v>
      </c>
      <c r="K23" s="35"/>
      <c r="L23">
        <f>IF(E22&gt;0,COUNTIF($E$4:E22,"&gt;0"),"")</f>
        <v>8</v>
      </c>
      <c r="M23" t="str">
        <f>IF(AND(D22&gt;0,G22="المحفظة"),COUNTIFS($D$4:D22,"&gt;"&amp;0,$G$4:G22,"المحفظة"),"")</f>
        <v/>
      </c>
      <c r="N23" t="str">
        <f>IF(AND(OR('طباعة كشف الحساب'!$C$2="الكل",MONTH(A23)=IFERROR(MATCH('طباعة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الحساب'!$F$2="الكل",YEAR(A23)=IFERROR(VALUE('طباعة كشف الحساب'!$F$2),0)),A23&lt;&gt;""),IFERROR(MAX($N$4:N22),0)+1,"")</f>
        <v/>
      </c>
      <c r="O23" t="str">
        <f>IF(AND(D22&gt;0,F22="أحد الشركاء"),COUNTIFS($D$4:D22,"&gt;"&amp;0,$F$4:F22,"أحد الشركاء"),"")</f>
        <v/>
      </c>
      <c r="P23">
        <f>IF(OR($A23="",$F23="أحد الشركاء",AND($D23="",$E23="")),"",SUMPRODUCT(($A$4:$A23&lt;&gt;"")*($F$4:$F23&lt;&gt;"أحد الشركاء")*((($D$4:$D23&lt;&gt;"")+($E$4:$E23&lt;&gt;""))&gt;0)))</f>
        <v>10</v>
      </c>
      <c r="Q23" t="str">
        <f>IF(OR($A23="",$F23&lt;&gt;"أحد الشركاء"),"",COUNTIFS($A$4:A23,"&lt;&gt;",$F$4:F23,"أحد الشركاء"))</f>
        <v/>
      </c>
    </row>
    <row r="24" spans="1:17" ht="18.75" customHeight="1" x14ac:dyDescent="0.25">
      <c r="A24" s="25">
        <v>46158</v>
      </c>
      <c r="B24" s="36" t="s">
        <v>82</v>
      </c>
      <c r="C24" s="37" t="s">
        <v>83</v>
      </c>
      <c r="D24" s="38"/>
      <c r="E24" s="39">
        <v>2.25</v>
      </c>
      <c r="F24" s="136" t="s">
        <v>38</v>
      </c>
      <c r="G24" s="40"/>
      <c r="H24" s="41"/>
      <c r="I24" s="42"/>
      <c r="J24" s="43">
        <f>IF(AND(D24="",E24="",A24="",B24="",C24=""),"", IFERROR(IF(J23="",D2,J23),D2)+IF(OR(E24="",H24="معلق"),0,E24)-IF(OR(G24="أبو اسحاق",G24="أبو آدم",G24="أبو اسحاق ",G24="أبو آدم "),0,IF(D24="",0,D24)))</f>
        <v>98.25</v>
      </c>
      <c r="K24" s="44"/>
      <c r="L24">
        <f>IF(E23&gt;0,COUNTIF($E$4:E23,"&gt;0"),"")</f>
        <v>9</v>
      </c>
      <c r="M24" t="str">
        <f>IF(AND(D23&gt;0,G23="المحفظة"),COUNTIFS($D$4:D23,"&gt;"&amp;0,$G$4:G23,"المحفظة"),"")</f>
        <v/>
      </c>
      <c r="N24" t="str">
        <f>IF(AND(OR('طباعة كشف الحساب'!$C$2="الكل",MONTH(A24)=IFERROR(MATCH('طباعة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الحساب'!$F$2="الكل",YEAR(A24)=IFERROR(VALUE('طباعة كشف الحساب'!$F$2),0)),A24&lt;&gt;""),IFERROR(MAX($N$4:N23),0)+1,"")</f>
        <v/>
      </c>
      <c r="O24" t="str">
        <f>IF(AND(D23&gt;0,F23="أحد الشركاء"),COUNTIFS($D$4:D23,"&gt;"&amp;0,$F$4:F23,"أحد الشركاء"),"")</f>
        <v/>
      </c>
      <c r="P24">
        <f>IF(OR($A24="",$F24="أحد الشركاء",AND($D24="",$E24="")),"",SUMPRODUCT(($A$4:$A24&lt;&gt;"")*($F$4:$F24&lt;&gt;"أحد الشركاء")*((($D$4:$D24&lt;&gt;"")+($E$4:$E24&lt;&gt;""))&gt;0)))</f>
        <v>11</v>
      </c>
      <c r="Q24" t="str">
        <f>IF(OR($A24="",$F24&lt;&gt;"أحد الشركاء"),"",COUNTIFS($A$4:A24,"&lt;&gt;",$F$4:F24,"أحد الشركاء"))</f>
        <v/>
      </c>
    </row>
    <row r="25" spans="1:17" ht="18.75" customHeight="1" x14ac:dyDescent="0.25">
      <c r="A25" s="25">
        <v>46158</v>
      </c>
      <c r="B25" s="26" t="s">
        <v>84</v>
      </c>
      <c r="C25" s="27" t="s">
        <v>85</v>
      </c>
      <c r="D25" s="28"/>
      <c r="E25" s="29">
        <v>2.5</v>
      </c>
      <c r="F25" s="30" t="s">
        <v>38</v>
      </c>
      <c r="G25" s="31"/>
      <c r="H25" s="32"/>
      <c r="I25" s="33"/>
      <c r="J25" s="34">
        <f>IF(AND(D25="",E25="",A25="",B25="",C25=""),"", IFERROR(IF(J24="",D2,J24),D2)+IF(OR(E25="",H25="معلق"),0,E25)-IF(OR(G25="أبو اسحاق",G25="أبو آدم",G25="أبو اسحاق ",G25="أبو آدم "),0,IF(D25="",0,D25)))</f>
        <v>100.75</v>
      </c>
      <c r="K25" s="35"/>
      <c r="L25">
        <f>IF(E24&gt;0,COUNTIF($E$4:E24,"&gt;0"),"")</f>
        <v>10</v>
      </c>
      <c r="M25" t="str">
        <f>IF(AND(D24&gt;0,G24="المحفظة"),COUNTIFS($D$4:D24,"&gt;"&amp;0,$G$4:G24,"المحفظة"),"")</f>
        <v/>
      </c>
      <c r="N25" t="str">
        <f>IF(AND(OR('طباعة كشف الحساب'!$C$2="الكل",MONTH(A25)=IFERROR(MATCH('طباعة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الحساب'!$F$2="الكل",YEAR(A25)=IFERROR(VALUE('طباعة كشف الحساب'!$F$2),0)),A25&lt;&gt;""),IFERROR(MAX($N$4:N24),0)+1,"")</f>
        <v/>
      </c>
      <c r="O25" t="str">
        <f>IF(AND(D24&gt;0,F24="أحد الشركاء"),COUNTIFS($D$4:D24,"&gt;"&amp;0,$F$4:F24,"أحد الشركاء"),"")</f>
        <v/>
      </c>
      <c r="P25">
        <f>IF(OR($A25="",$F25="أحد الشركاء",AND($D25="",$E25="")),"",SUMPRODUCT(($A$4:$A25&lt;&gt;"")*($F$4:$F25&lt;&gt;"أحد الشركاء")*((($D$4:$D25&lt;&gt;"")+($E$4:$E25&lt;&gt;""))&gt;0)))</f>
        <v>12</v>
      </c>
      <c r="Q25" t="str">
        <f>IF(OR($A25="",$F25&lt;&gt;"أحد الشركاء"),"",COUNTIFS($A$4:A25,"&lt;&gt;",$F$4:F25,"أحد الشركاء"))</f>
        <v/>
      </c>
    </row>
    <row r="26" spans="1:17" ht="18.75" customHeight="1" x14ac:dyDescent="0.25">
      <c r="A26" s="139">
        <v>46159</v>
      </c>
      <c r="B26" s="36" t="s">
        <v>86</v>
      </c>
      <c r="C26" s="37" t="s">
        <v>87</v>
      </c>
      <c r="D26" s="38"/>
      <c r="E26" s="39">
        <v>22.5</v>
      </c>
      <c r="F26" s="136" t="s">
        <v>38</v>
      </c>
      <c r="G26" s="40"/>
      <c r="H26" s="41"/>
      <c r="I26" s="42"/>
      <c r="J26" s="43">
        <f>IF(AND(D26="",E26="",A26="",B26="",C26=""),"", IFERROR(IF(J25="",D2,J25),D2)+IF(OR(E26="",H26="معلق"),0,E26)-IF(OR(G26="أبو اسحاق",G26="أبو آدم",G26="أبو اسحاق ",G26="أبو آدم "),0,IF(D26="",0,D26)))</f>
        <v>123.25</v>
      </c>
      <c r="K26" s="44" t="s">
        <v>88</v>
      </c>
      <c r="L26">
        <f>IF(E25&gt;0,COUNTIF($E$4:E25,"&gt;0"),"")</f>
        <v>11</v>
      </c>
      <c r="M26" t="str">
        <f>IF(AND(D25&gt;0,G25="المحفظة"),COUNTIFS($D$4:D25,"&gt;"&amp;0,$G$4:G25,"المحفظة"),"")</f>
        <v/>
      </c>
      <c r="N26" t="str">
        <f>IF(AND(OR('طباعة كشف الحساب'!$C$2="الكل",MONTH(A26)=IFERROR(MATCH('طباعة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الحساب'!$F$2="الكل",YEAR(A26)=IFERROR(VALUE('طباعة كشف الحساب'!$F$2),0)),A26&lt;&gt;""),IFERROR(MAX($N$4:N25),0)+1,"")</f>
        <v/>
      </c>
      <c r="O26" t="str">
        <f>IF(AND(D25&gt;0,F25="أحد الشركاء"),COUNTIFS($D$4:D25,"&gt;"&amp;0,$F$4:F25,"أحد الشركاء"),"")</f>
        <v/>
      </c>
      <c r="P26">
        <f>IF(OR($A26="",$F26="أحد الشركاء",AND($D26="",$E26="")),"",SUMPRODUCT(($A$4:$A26&lt;&gt;"")*($F$4:$F26&lt;&gt;"أحد الشركاء")*((($D$4:$D26&lt;&gt;"")+($E$4:$E26&lt;&gt;""))&gt;0)))</f>
        <v>13</v>
      </c>
      <c r="Q26" t="str">
        <f>IF(OR($A26="",$F26&lt;&gt;"أحد الشركاء"),"",COUNTIFS($A$4:A26,"&lt;&gt;",$F$4:F26,"أحد الشركاء"))</f>
        <v/>
      </c>
    </row>
    <row r="27" spans="1:17" ht="18.75" customHeight="1" x14ac:dyDescent="0.25">
      <c r="A27" s="139">
        <v>46159</v>
      </c>
      <c r="B27" s="26" t="s">
        <v>89</v>
      </c>
      <c r="C27" s="27" t="s">
        <v>90</v>
      </c>
      <c r="D27" s="28"/>
      <c r="E27" s="29">
        <v>8</v>
      </c>
      <c r="F27" s="30" t="s">
        <v>38</v>
      </c>
      <c r="G27" s="31"/>
      <c r="H27" s="32"/>
      <c r="I27" s="33"/>
      <c r="J27" s="34">
        <f>IF(AND(D27="",E27="",A27="",B27="",C27=""),"", IFERROR(IF(J26="",D2,J26),D2)+IF(OR(E27="",H27="معلق"),0,E27)-IF(OR(G27="أبو اسحاق",G27="أبو آدم",G27="أبو اسحاق ",G27="أبو آدم "),0,IF(D27="",0,D27)))</f>
        <v>131.25</v>
      </c>
      <c r="K27" s="35"/>
      <c r="L27">
        <f>IF(E26&gt;0,COUNTIF($E$4:E26,"&gt;0"),"")</f>
        <v>12</v>
      </c>
      <c r="M27" t="str">
        <f>IF(AND(D26&gt;0,G26="المحفظة"),COUNTIFS($D$4:D26,"&gt;"&amp;0,$G$4:G26,"المحفظة"),"")</f>
        <v/>
      </c>
      <c r="N27" t="str">
        <f>IF(AND(OR('طباعة كشف الحساب'!$C$2="الكل",MONTH(A27)=IFERROR(MATCH('طباعة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الحساب'!$F$2="الكل",YEAR(A27)=IFERROR(VALUE('طباعة كشف الحساب'!$F$2),0)),A27&lt;&gt;""),IFERROR(MAX($N$4:N26),0)+1,"")</f>
        <v/>
      </c>
      <c r="O27" t="str">
        <f>IF(AND(D26&gt;0,F26="أحد الشركاء"),COUNTIFS($D$4:D26,"&gt;"&amp;0,$F$4:F26,"أحد الشركاء"),"")</f>
        <v/>
      </c>
      <c r="P27">
        <f>IF(OR($A27="",$F27="أحد الشركاء",AND($D27="",$E27="")),"",SUMPRODUCT(($A$4:$A27&lt;&gt;"")*($F$4:$F27&lt;&gt;"أحد الشركاء")*((($D$4:$D27&lt;&gt;"")+($E$4:$E27&lt;&gt;""))&gt;0)))</f>
        <v>14</v>
      </c>
      <c r="Q27" t="str">
        <f>IF(OR($A27="",$F27&lt;&gt;"أحد الشركاء"),"",COUNTIFS($A$4:A27,"&lt;&gt;",$F$4:F27,"أحد الشركاء"))</f>
        <v/>
      </c>
    </row>
    <row r="28" spans="1:17" ht="18.75" customHeight="1" x14ac:dyDescent="0.25">
      <c r="A28" s="139">
        <v>46160</v>
      </c>
      <c r="B28" s="26" t="s">
        <v>91</v>
      </c>
      <c r="C28" s="27" t="s">
        <v>92</v>
      </c>
      <c r="D28" s="28"/>
      <c r="E28" s="29">
        <v>7.5</v>
      </c>
      <c r="F28" s="30" t="s">
        <v>38</v>
      </c>
      <c r="G28" s="31"/>
      <c r="H28" s="32"/>
      <c r="I28" s="33"/>
      <c r="J28" s="34">
        <f>IF(AND(D28="",E28="",A28="",B28="",C28=""),"", IFERROR(IF(J27="",D2,J27),D2)+IF(OR(E28="",H28="معلق"),0,E28)-IF(OR(G28="أبو اسحاق",G28="أبو آدم",G28="أبو اسحاق ",G28="أبو آدم "),0,IF(D28="",0,D28)))</f>
        <v>138.75</v>
      </c>
      <c r="K28" s="35"/>
      <c r="L28">
        <f>IF(E27&gt;0,COUNTIF($E$4:E27,"&gt;0"),"")</f>
        <v>13</v>
      </c>
      <c r="M28" t="str">
        <f>IF(AND(D27&gt;0,G27="المحفظة"),COUNTIFS($D$4:D27,"&gt;"&amp;0,$G$4:G27,"المحفظة"),"")</f>
        <v/>
      </c>
      <c r="N28" t="str">
        <f>IF(AND(OR('طباعة كشف الحساب'!$C$2="الكل",MONTH(A28)=IFERROR(MATCH('طباعة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الحساب'!$F$2="الكل",YEAR(A28)=IFERROR(VALUE('طباعة كشف الحساب'!$F$2),0)),A28&lt;&gt;""),IFERROR(MAX($N$4:N27),0)+1,"")</f>
        <v/>
      </c>
      <c r="O28" t="str">
        <f>IF(AND(D27&gt;0,F27="أحد الشركاء"),COUNTIFS($D$4:D27,"&gt;"&amp;0,$F$4:F27,"أحد الشركاء"),"")</f>
        <v/>
      </c>
      <c r="P28">
        <f>IF(OR($A28="",$F28="أحد الشركاء",AND($D28="",$E28="")),"",SUMPRODUCT(($A$4:$A28&lt;&gt;"")*($F$4:$F28&lt;&gt;"أحد الشركاء")*((($D$4:$D28&lt;&gt;"")+($E$4:$E28&lt;&gt;""))&gt;0)))</f>
        <v>15</v>
      </c>
      <c r="Q28" t="str">
        <f>IF(OR($A28="",$F28&lt;&gt;"أحد الشركاء"),"",COUNTIFS($A$4:A28,"&lt;&gt;",$F$4:F28,"أحد الشركاء"))</f>
        <v/>
      </c>
    </row>
    <row r="29" spans="1:17" ht="18.75" customHeight="1" x14ac:dyDescent="0.25">
      <c r="A29" s="139">
        <v>46160</v>
      </c>
      <c r="B29" s="26" t="s">
        <v>93</v>
      </c>
      <c r="C29" s="27" t="s">
        <v>94</v>
      </c>
      <c r="D29" s="28"/>
      <c r="E29" s="29">
        <v>5</v>
      </c>
      <c r="F29" s="30" t="s">
        <v>38</v>
      </c>
      <c r="G29" s="31"/>
      <c r="H29" s="32"/>
      <c r="I29" s="33"/>
      <c r="J29" s="34">
        <f>IF(AND(D29="",E29="",A29="",B29="",C29=""),"", IFERROR(IF(J28="",D2,J28),D2)+IF(OR(E29="",H29="معلق"),0,E29)-IF(OR(G29="أبو اسحاق",G29="أبو آدم",G29="أبو اسحاق ",G29="أبو آدم "),0,IF(D29="",0,D29)))</f>
        <v>143.75</v>
      </c>
      <c r="K29" s="35"/>
      <c r="L29">
        <f>IF(E28&gt;0,COUNTIF($E$4:E28,"&gt;0"),"")</f>
        <v>14</v>
      </c>
      <c r="M29" t="str">
        <f>IF(AND(D28&gt;0,G28="المحفظة"),COUNTIFS($D$4:D28,"&gt;"&amp;0,$G$4:G28,"المحفظة"),"")</f>
        <v/>
      </c>
      <c r="N29" t="str">
        <f>IF(AND(OR('طباعة كشف الحساب'!$C$2="الكل",MONTH(A29)=IFERROR(MATCH('طباعة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الحساب'!$F$2="الكل",YEAR(A29)=IFERROR(VALUE('طباعة كشف الحساب'!$F$2),0)),A29&lt;&gt;""),IFERROR(MAX($N$4:N28),0)+1,"")</f>
        <v/>
      </c>
      <c r="O29" t="str">
        <f>IF(AND(D28&gt;0,F28="أحد الشركاء"),COUNTIFS($D$4:D28,"&gt;"&amp;0,$F$4:F28,"أحد الشركاء"),"")</f>
        <v/>
      </c>
      <c r="P29">
        <f>IF(OR($A29="",$F29="أحد الشركاء",AND($D29="",$E29="")),"",SUMPRODUCT(($A$4:$A29&lt;&gt;"")*($F$4:$F29&lt;&gt;"أحد الشركاء")*((($D$4:$D29&lt;&gt;"")+($E$4:$E29&lt;&gt;""))&gt;0)))</f>
        <v>16</v>
      </c>
      <c r="Q29" t="str">
        <f>IF(OR($A29="",$F29&lt;&gt;"أحد الشركاء"),"",COUNTIFS($A$4:A29,"&lt;&gt;",$F$4:F29,"أحد الشركاء"))</f>
        <v/>
      </c>
    </row>
    <row r="30" spans="1:17" ht="18.75" customHeight="1" x14ac:dyDescent="0.25">
      <c r="A30" s="139">
        <v>46160</v>
      </c>
      <c r="B30" s="26" t="s">
        <v>95</v>
      </c>
      <c r="C30" s="27" t="s">
        <v>96</v>
      </c>
      <c r="D30" s="28"/>
      <c r="E30" s="29">
        <v>3</v>
      </c>
      <c r="F30" s="30" t="s">
        <v>38</v>
      </c>
      <c r="G30" s="31"/>
      <c r="H30" s="32"/>
      <c r="I30" s="33"/>
      <c r="J30" s="34">
        <f>IF(AND(D30="",E30="",A30="",B30="",C30=""),"", IFERROR(IF(J29="",D2,J29),D2)+IF(OR(E30="",H30="معلق"),0,E30)-IF(OR(G30="أبو اسحاق",G30="أبو آدم",G30="أبو اسحاق ",G30="أبو آدم "),0,IF(D30="",0,D30)))</f>
        <v>146.75</v>
      </c>
      <c r="K30" s="35"/>
      <c r="L30">
        <f>IF(E29&gt;0,COUNTIF($E$4:E29,"&gt;0"),"")</f>
        <v>15</v>
      </c>
      <c r="M30" t="str">
        <f>IF(AND(D29&gt;0,G29="المحفظة"),COUNTIFS($D$4:D29,"&gt;"&amp;0,$G$4:G29,"المحفظة"),"")</f>
        <v/>
      </c>
      <c r="N30" t="str">
        <f>IF(AND(OR('طباعة كشف الحساب'!$C$2="الكل",MONTH(A30)=IFERROR(MATCH('طباعة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الحساب'!$F$2="الكل",YEAR(A30)=IFERROR(VALUE('طباعة كشف الحساب'!$F$2),0)),A30&lt;&gt;""),IFERROR(MAX($N$4:N29),0)+1,"")</f>
        <v/>
      </c>
      <c r="O30" t="str">
        <f>IF(AND(D29&gt;0,F29="أحد الشركاء"),COUNTIFS($D$4:D29,"&gt;"&amp;0,$F$4:F29,"أحد الشركاء"),"")</f>
        <v/>
      </c>
      <c r="P30">
        <f>IF(OR($A30="",$F30="أحد الشركاء",AND($D30="",$E30="")),"",SUMPRODUCT(($A$4:$A30&lt;&gt;"")*($F$4:$F30&lt;&gt;"أحد الشركاء")*((($D$4:$D30&lt;&gt;"")+($E$4:$E30&lt;&gt;""))&gt;0)))</f>
        <v>17</v>
      </c>
      <c r="Q30" t="str">
        <f>IF(OR($A30="",$F30&lt;&gt;"أحد الشركاء"),"",COUNTIFS($A$4:A30,"&lt;&gt;",$F$4:F30,"أحد الشركاء"))</f>
        <v/>
      </c>
    </row>
    <row r="31" spans="1:17" ht="18.75" customHeight="1" x14ac:dyDescent="0.25">
      <c r="A31" s="139">
        <v>46160</v>
      </c>
      <c r="B31" s="26" t="s">
        <v>97</v>
      </c>
      <c r="C31" s="27" t="s">
        <v>98</v>
      </c>
      <c r="D31" s="28"/>
      <c r="E31" s="29">
        <v>3</v>
      </c>
      <c r="F31" s="30" t="s">
        <v>38</v>
      </c>
      <c r="G31" s="31"/>
      <c r="H31" s="32"/>
      <c r="I31" s="33"/>
      <c r="J31" s="34">
        <f>IF(AND(D31="",E31="",A31="",B31="",C31=""),"", IFERROR(IF(J30="",D2,J30),D2)+IF(OR(E31="",H31="معلق"),0,E31)-IF(OR(G31="أبو اسحاق",G31="أبو آدم",G31="أبو اسحاق ",G31="أبو آدم "),0,IF(D31="",0,D31)))</f>
        <v>149.75</v>
      </c>
      <c r="K31" s="35"/>
      <c r="L31">
        <f>IF(E30&gt;0,COUNTIF($E$4:E30,"&gt;0"),"")</f>
        <v>16</v>
      </c>
      <c r="M31" t="str">
        <f>IF(AND(D30&gt;0,G30="المحفظة"),COUNTIFS($D$4:D30,"&gt;"&amp;0,$G$4:G30,"المحفظة"),"")</f>
        <v/>
      </c>
      <c r="N31" t="str">
        <f>IF(AND(OR('طباعة كشف الحساب'!$C$2="الكل",MONTH(A31)=IFERROR(MATCH('طباعة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الحساب'!$F$2="الكل",YEAR(A31)=IFERROR(VALUE('طباعة كشف الحساب'!$F$2),0)),A31&lt;&gt;""),IFERROR(MAX($N$4:N30),0)+1,"")</f>
        <v/>
      </c>
      <c r="O31" t="str">
        <f>IF(AND(D30&gt;0,F30="أحد الشركاء"),COUNTIFS($D$4:D30,"&gt;"&amp;0,$F$4:F30,"أحد الشركاء"),"")</f>
        <v/>
      </c>
      <c r="P31">
        <f>IF(OR($A31="",$F31="أحد الشركاء",AND($D31="",$E31="")),"",SUMPRODUCT(($A$4:$A31&lt;&gt;"")*($F$4:$F31&lt;&gt;"أحد الشركاء")*((($D$4:$D31&lt;&gt;"")+($E$4:$E31&lt;&gt;""))&gt;0)))</f>
        <v>18</v>
      </c>
      <c r="Q31" t="str">
        <f>IF(OR($A31="",$F31&lt;&gt;"أحد الشركاء"),"",COUNTIFS($A$4:A31,"&lt;&gt;",$F$4:F31,"أحد الشركاء"))</f>
        <v/>
      </c>
    </row>
    <row r="32" spans="1:17" ht="18.75" customHeight="1" x14ac:dyDescent="0.25">
      <c r="A32" s="139">
        <v>46160</v>
      </c>
      <c r="B32" s="26" t="s">
        <v>99</v>
      </c>
      <c r="C32" s="27" t="s">
        <v>100</v>
      </c>
      <c r="D32" s="28"/>
      <c r="E32" s="29">
        <v>5</v>
      </c>
      <c r="F32" s="30" t="s">
        <v>38</v>
      </c>
      <c r="G32" s="31"/>
      <c r="H32" s="32"/>
      <c r="I32" s="33"/>
      <c r="J32" s="34">
        <f>IF(AND(D32="",E32="",A32="",B32="",C32=""),"", IFERROR(IF(J31="",D2,J31),D2)+IF(OR(E32="",H32="معلق"),0,E32)-IF(OR(G32="أبو اسحاق",G32="أبو آدم",G32="أبو اسحاق ",G32="أبو آدم "),0,IF(D32="",0,D32)))</f>
        <v>154.75</v>
      </c>
      <c r="K32" s="35"/>
      <c r="L32">
        <f>IF(E31&gt;0,COUNTIF($E$4:E31,"&gt;0"),"")</f>
        <v>17</v>
      </c>
      <c r="M32" t="str">
        <f>IF(AND(D31&gt;0,G31="المحفظة"),COUNTIFS($D$4:D31,"&gt;"&amp;0,$G$4:G31,"المحفظة"),"")</f>
        <v/>
      </c>
      <c r="N32" t="str">
        <f>IF(AND(OR('طباعة كشف الحساب'!$C$2="الكل",MONTH(A32)=IFERROR(MATCH('طباعة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الحساب'!$F$2="الكل",YEAR(A32)=IFERROR(VALUE('طباعة كشف الحساب'!$F$2),0)),A32&lt;&gt;""),IFERROR(MAX($N$4:N31),0)+1,"")</f>
        <v/>
      </c>
      <c r="O32" t="str">
        <f>IF(AND(D31&gt;0,F31="أحد الشركاء"),COUNTIFS($D$4:D31,"&gt;"&amp;0,$F$4:F31,"أحد الشركاء"),"")</f>
        <v/>
      </c>
      <c r="P32">
        <f>IF(OR($A32="",$F32="أحد الشركاء",AND($D32="",$E32="")),"",SUMPRODUCT(($A$4:$A32&lt;&gt;"")*($F$4:$F32&lt;&gt;"أحد الشركاء")*((($D$4:$D32&lt;&gt;"")+($E$4:$E32&lt;&gt;""))&gt;0)))</f>
        <v>19</v>
      </c>
      <c r="Q32" t="str">
        <f>IF(OR($A32="",$F32&lt;&gt;"أحد الشركاء"),"",COUNTIFS($A$4:A32,"&lt;&gt;",$F$4:F32,"أحد الشركاء"))</f>
        <v/>
      </c>
    </row>
    <row r="33" spans="1:17" ht="18.75" customHeight="1" x14ac:dyDescent="0.25">
      <c r="A33" s="139">
        <v>46160</v>
      </c>
      <c r="B33" s="26" t="s">
        <v>101</v>
      </c>
      <c r="C33" s="27" t="s">
        <v>102</v>
      </c>
      <c r="D33" s="28"/>
      <c r="E33" s="29">
        <v>5</v>
      </c>
      <c r="F33" s="30" t="s">
        <v>38</v>
      </c>
      <c r="G33" s="31"/>
      <c r="H33" s="32"/>
      <c r="I33" s="33"/>
      <c r="J33" s="34">
        <f>IF(AND(D33="",E33="",A33="",B33="",C33=""),"", IFERROR(IF(J32="",D2,J32),D2)+IF(OR(E33="",H33="معلق"),0,E33)-IF(OR(G33="أبو اسحاق",G33="أبو آدم",G33="أبو اسحاق ",G33="أبو آدم "),0,IF(D33="",0,D33)))</f>
        <v>159.75</v>
      </c>
      <c r="K33" s="35"/>
      <c r="L33">
        <f>IF(E32&gt;0,COUNTIF($E$4:E32,"&gt;0"),"")</f>
        <v>18</v>
      </c>
      <c r="M33" t="str">
        <f>IF(AND(D32&gt;0,G32="المحفظة"),COUNTIFS($D$4:D32,"&gt;"&amp;0,$G$4:G32,"المحفظة"),"")</f>
        <v/>
      </c>
      <c r="N33" t="str">
        <f>IF(AND(OR('طباعة كشف الحساب'!$C$2="الكل",MONTH(A33)=IFERROR(MATCH('طباعة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الحساب'!$F$2="الكل",YEAR(A33)=IFERROR(VALUE('طباعة كشف الحساب'!$F$2),0)),A33&lt;&gt;""),IFERROR(MAX($N$4:N32),0)+1,"")</f>
        <v/>
      </c>
      <c r="O33" t="str">
        <f>IF(AND(D32&gt;0,F32="أحد الشركاء"),COUNTIFS($D$4:D32,"&gt;"&amp;0,$F$4:F32,"أحد الشركاء"),"")</f>
        <v/>
      </c>
      <c r="P33">
        <f>IF(OR($A33="",$F33="أحد الشركاء",AND($D33="",$E33="")),"",SUMPRODUCT(($A$4:$A33&lt;&gt;"")*($F$4:$F33&lt;&gt;"أحد الشركاء")*((($D$4:$D33&lt;&gt;"")+($E$4:$E33&lt;&gt;""))&gt;0)))</f>
        <v>20</v>
      </c>
      <c r="Q33" t="str">
        <f>IF(OR($A33="",$F33&lt;&gt;"أحد الشركاء"),"",COUNTIFS($A$4:A33,"&lt;&gt;",$F$4:F33,"أحد الشركاء"))</f>
        <v/>
      </c>
    </row>
    <row r="34" spans="1:17" ht="18.75" customHeight="1" x14ac:dyDescent="0.25">
      <c r="A34" s="139">
        <v>46160</v>
      </c>
      <c r="B34" s="26" t="s">
        <v>103</v>
      </c>
      <c r="C34" s="27" t="s">
        <v>104</v>
      </c>
      <c r="D34" s="28">
        <v>9</v>
      </c>
      <c r="E34" s="29"/>
      <c r="F34" s="30" t="s">
        <v>38</v>
      </c>
      <c r="G34" s="31" t="s">
        <v>39</v>
      </c>
      <c r="H34" s="32" t="s">
        <v>40</v>
      </c>
      <c r="I34" s="33" t="s">
        <v>41</v>
      </c>
      <c r="J34" s="34">
        <f>IF(AND(D34="",E34="",A34="",B34="",C34=""),"", IFERROR(IF(J33="",D2,J33),D2)+IF(OR(E34="",H34="معلق"),0,E34)-IF(OR(G34="أبو اسحاق",G34="أبو آدم",G34="أبو اسحاق ",G34="أبو آدم "),0,IF(D34="",0,D34)))</f>
        <v>150.75</v>
      </c>
      <c r="K34" s="35"/>
      <c r="L34">
        <f>IF(E33&gt;0,COUNTIF($E$4:E33,"&gt;0"),"")</f>
        <v>19</v>
      </c>
      <c r="M34" t="str">
        <f>IF(AND(D33&gt;0,G33="المحفظة"),COUNTIFS($D$4:D33,"&gt;"&amp;0,$G$4:G33,"المحفظة"),"")</f>
        <v/>
      </c>
      <c r="N34" t="str">
        <f>IF(AND(OR('طباعة كشف الحساب'!$C$2="الكل",MONTH(A34)=IFERROR(MATCH('طباعة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الحساب'!$F$2="الكل",YEAR(A34)=IFERROR(VALUE('طباعة كشف الحساب'!$F$2),0)),A34&lt;&gt;""),IFERROR(MAX($N$4:N33),0)+1,"")</f>
        <v/>
      </c>
      <c r="O34" t="str">
        <f>IF(AND(D33&gt;0,F33="أحد الشركاء"),COUNTIFS($D$4:D33,"&gt;"&amp;0,$F$4:F33,"أحد الشركاء"),"")</f>
        <v/>
      </c>
      <c r="P34">
        <f>IF(OR($A34="",$F34="أحد الشركاء",AND($D34="",$E34="")),"",SUMPRODUCT(($A$4:$A34&lt;&gt;"")*($F$4:$F34&lt;&gt;"أحد الشركاء")*((($D$4:$D34&lt;&gt;"")+($E$4:$E34&lt;&gt;""))&gt;0)))</f>
        <v>21</v>
      </c>
      <c r="Q34" t="str">
        <f>IF(OR($A34="",$F34&lt;&gt;"أحد الشركاء"),"",COUNTIFS($A$4:A34,"&lt;&gt;",$F$4:F34,"أحد الشركاء"))</f>
        <v/>
      </c>
    </row>
    <row r="35" spans="1:17" ht="18.75" customHeight="1" x14ac:dyDescent="0.25">
      <c r="A35" s="25">
        <v>46161</v>
      </c>
      <c r="B35" s="26" t="s">
        <v>105</v>
      </c>
      <c r="C35" s="27" t="s">
        <v>87</v>
      </c>
      <c r="D35" s="28"/>
      <c r="E35" s="29">
        <v>22.5</v>
      </c>
      <c r="F35" s="30" t="s">
        <v>38</v>
      </c>
      <c r="G35" s="31"/>
      <c r="H35" s="32"/>
      <c r="I35" s="33"/>
      <c r="J35" s="34">
        <f>IF(AND(D35="",E35="",A35="",B35="",C35=""),"", IFERROR(IF(J34="",D2,J34),D2)+IF(OR(E35="",H35="معلق"),0,E35)-IF(OR(G35="أبو اسحاق",G35="أبو آدم",G35="أبو اسحاق ",G35="أبو آدم "),0,IF(D35="",0,D35)))</f>
        <v>173.25</v>
      </c>
      <c r="K35" s="35"/>
      <c r="L35" t="str">
        <f>IF(E34&gt;0,COUNTIF($E$4:E34,"&gt;0"),"")</f>
        <v/>
      </c>
      <c r="M35">
        <f>IF(AND(D34&gt;0,G34="المحفظة"),COUNTIFS($D$4:D34,"&gt;"&amp;0,$G$4:G34,"المحفظة"),"")</f>
        <v>2</v>
      </c>
      <c r="N35" t="str">
        <f>IF(AND(OR('طباعة كشف الحساب'!$C$2="الكل",MONTH(A35)=IFERROR(MATCH('طباعة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الحساب'!$F$2="الكل",YEAR(A35)=IFERROR(VALUE('طباعة كشف الحساب'!$F$2),0)),A35&lt;&gt;""),IFERROR(MAX($N$4:N34),0)+1,"")</f>
        <v/>
      </c>
      <c r="O35" t="str">
        <f>IF(AND(D34&gt;0,F34="أحد الشركاء"),COUNTIFS($D$4:D34,"&gt;"&amp;0,$F$4:F34,"أحد الشركاء"),"")</f>
        <v/>
      </c>
      <c r="P35">
        <f>IF(OR($A35="",$F35="أحد الشركاء",AND($D35="",$E35="")),"",SUMPRODUCT(($A$4:$A35&lt;&gt;"")*($F$4:$F35&lt;&gt;"أحد الشركاء")*((($D$4:$D35&lt;&gt;"")+($E$4:$E35&lt;&gt;""))&gt;0)))</f>
        <v>22</v>
      </c>
      <c r="Q35" t="str">
        <f>IF(OR($A35="",$F35&lt;&gt;"أحد الشركاء"),"",COUNTIFS($A$4:A35,"&lt;&gt;",$F$4:F35,"أحد الشركاء"))</f>
        <v/>
      </c>
    </row>
    <row r="36" spans="1:17" ht="18.75" customHeight="1" x14ac:dyDescent="0.25">
      <c r="A36" s="139">
        <v>46162</v>
      </c>
      <c r="B36" s="36" t="s">
        <v>106</v>
      </c>
      <c r="C36" s="37" t="s">
        <v>107</v>
      </c>
      <c r="D36" s="38"/>
      <c r="E36" s="39">
        <v>22.5</v>
      </c>
      <c r="F36" s="136" t="s">
        <v>38</v>
      </c>
      <c r="G36" s="40"/>
      <c r="H36" s="41"/>
      <c r="I36" s="42"/>
      <c r="J36" s="43">
        <f>IF(AND(D36="",E36="",A36="",B36="",C36=""),"", IFERROR(IF(J35="",D2,J35),D2)+IF(OR(E36="",H36="معلق"),0,E36)-IF(OR(G36="أبو اسحاق",G36="أبو آدم",G36="أبو اسحاق ",G36="أبو آدم "),0,IF(D36="",0,D36)))</f>
        <v>195.75</v>
      </c>
      <c r="K36" s="44"/>
      <c r="L36">
        <f>IF(E35&gt;0,COUNTIF($E$4:E35,"&gt;0"),"")</f>
        <v>20</v>
      </c>
      <c r="M36" t="str">
        <f>IF(AND(D35&gt;0,G35="المحفظة"),COUNTIFS($D$4:D35,"&gt;"&amp;0,$G$4:G35,"المحفظة"),"")</f>
        <v/>
      </c>
      <c r="N36" t="str">
        <f>IF(AND(OR('طباعة كشف الحساب'!$C$2="الكل",MONTH(A36)=IFERROR(MATCH('طباعة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الحساب'!$F$2="الكل",YEAR(A36)=IFERROR(VALUE('طباعة كشف الحساب'!$F$2),0)),A36&lt;&gt;""),IFERROR(MAX($N$4:N35),0)+1,"")</f>
        <v/>
      </c>
      <c r="O36" t="str">
        <f>IF(AND(D35&gt;0,F35="أحد الشركاء"),COUNTIFS($D$4:D35,"&gt;"&amp;0,$F$4:F35,"أحد الشركاء"),"")</f>
        <v/>
      </c>
      <c r="P36">
        <f>IF(OR($A36="",$F36="أحد الشركاء",AND($D36="",$E36="")),"",SUMPRODUCT(($A$4:$A36&lt;&gt;"")*($F$4:$F36&lt;&gt;"أحد الشركاء")*((($D$4:$D36&lt;&gt;"")+($E$4:$E36&lt;&gt;""))&gt;0)))</f>
        <v>23</v>
      </c>
      <c r="Q36" t="str">
        <f>IF(OR($A36="",$F36&lt;&gt;"أحد الشركاء"),"",COUNTIFS($A$4:A36,"&lt;&gt;",$F$4:F36,"أحد الشركاء"))</f>
        <v/>
      </c>
    </row>
    <row r="37" spans="1:17" ht="18.75" customHeight="1" x14ac:dyDescent="0.25">
      <c r="A37" s="139">
        <v>46162</v>
      </c>
      <c r="B37" s="26" t="s">
        <v>108</v>
      </c>
      <c r="C37" s="27" t="s">
        <v>109</v>
      </c>
      <c r="D37" s="28"/>
      <c r="E37" s="29">
        <v>25</v>
      </c>
      <c r="F37" s="30" t="s">
        <v>38</v>
      </c>
      <c r="G37" s="31"/>
      <c r="H37" s="32"/>
      <c r="I37" s="33"/>
      <c r="J37" s="34">
        <f>IF(AND(D37="",E37="",A37="",B37="",C37=""),"", IFERROR(IF(J36="",D2,J36),D2)+IF(OR(E37="",H37="معلق"),0,E37)-IF(OR(G37="أبو اسحاق",G37="أبو آدم",G37="أبو اسحاق ",G37="أبو آدم "),0,IF(D37="",0,D37)))</f>
        <v>220.75</v>
      </c>
      <c r="K37" s="35"/>
      <c r="L37">
        <f>IF(E36&gt;0,COUNTIF($E$4:E36,"&gt;0"),"")</f>
        <v>21</v>
      </c>
      <c r="M37" t="str">
        <f>IF(AND(D36&gt;0,G36="المحفظة"),COUNTIFS($D$4:D36,"&gt;"&amp;0,$G$4:G36,"المحفظة"),"")</f>
        <v/>
      </c>
      <c r="N37" t="str">
        <f>IF(AND(OR('طباعة كشف الحساب'!$C$2="الكل",MONTH(A37)=IFERROR(MATCH('طباعة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الحساب'!$F$2="الكل",YEAR(A37)=IFERROR(VALUE('طباعة كشف الحساب'!$F$2),0)),A37&lt;&gt;""),IFERROR(MAX($N$4:N36),0)+1,"")</f>
        <v/>
      </c>
      <c r="O37" t="str">
        <f>IF(AND(D36&gt;0,F36="أحد الشركاء"),COUNTIFS($D$4:D36,"&gt;"&amp;0,$F$4:F36,"أحد الشركاء"),"")</f>
        <v/>
      </c>
      <c r="P37">
        <f>IF(OR($A37="",$F37="أحد الشركاء",AND($D37="",$E37="")),"",SUMPRODUCT(($A$4:$A37&lt;&gt;"")*($F$4:$F37&lt;&gt;"أحد الشركاء")*((($D$4:$D37&lt;&gt;"")+($E$4:$E37&lt;&gt;""))&gt;0)))</f>
        <v>24</v>
      </c>
      <c r="Q37" t="str">
        <f>IF(OR($A37="",$F37&lt;&gt;"أحد الشركاء"),"",COUNTIFS($A$4:A37,"&lt;&gt;",$F$4:F37,"أحد الشركاء"))</f>
        <v/>
      </c>
    </row>
    <row r="38" spans="1:17" ht="18.75" customHeight="1" x14ac:dyDescent="0.25">
      <c r="A38" s="139">
        <v>46163</v>
      </c>
      <c r="B38" s="36" t="s">
        <v>110</v>
      </c>
      <c r="C38" s="37" t="s">
        <v>111</v>
      </c>
      <c r="D38" s="38"/>
      <c r="E38" s="39">
        <v>37.5</v>
      </c>
      <c r="F38" s="136" t="s">
        <v>38</v>
      </c>
      <c r="G38" s="40"/>
      <c r="H38" s="41"/>
      <c r="I38" s="42"/>
      <c r="J38" s="43">
        <f>IF(AND(D38="",E38="",A38="",B38="",C38=""),"", IFERROR(IF(J37="",D2,J37),D2)+IF(OR(E38="",H38="معلق"),0,E38)-IF(OR(G38="أبو اسحاق",G38="أبو آدم",G38="أبو اسحاق ",G38="أبو آدم "),0,IF(D38="",0,D38)))</f>
        <v>258.25</v>
      </c>
      <c r="K38" s="44"/>
      <c r="L38">
        <f>IF(E37&gt;0,COUNTIF($E$4:E37,"&gt;0"),"")</f>
        <v>22</v>
      </c>
      <c r="M38" t="str">
        <f>IF(AND(D37&gt;0,G37="المحفظة"),COUNTIFS($D$4:D37,"&gt;"&amp;0,$G$4:G37,"المحفظة"),"")</f>
        <v/>
      </c>
      <c r="N38" t="str">
        <f>IF(AND(OR('طباعة كشف الحساب'!$C$2="الكل",MONTH(A38)=IFERROR(MATCH('طباعة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الحساب'!$F$2="الكل",YEAR(A38)=IFERROR(VALUE('طباعة كشف الحساب'!$F$2),0)),A38&lt;&gt;""),IFERROR(MAX($N$4:N37),0)+1,"")</f>
        <v/>
      </c>
      <c r="O38" t="str">
        <f>IF(AND(D37&gt;0,F37="أحد الشركاء"),COUNTIFS($D$4:D37,"&gt;"&amp;0,$F$4:F37,"أحد الشركاء"),"")</f>
        <v/>
      </c>
      <c r="P38">
        <f>IF(OR($A38="",$F38="أحد الشركاء",AND($D38="",$E38="")),"",SUMPRODUCT(($A$4:$A38&lt;&gt;"")*($F$4:$F38&lt;&gt;"أحد الشركاء")*((($D$4:$D38&lt;&gt;"")+($E$4:$E38&lt;&gt;""))&gt;0)))</f>
        <v>25</v>
      </c>
      <c r="Q38" t="str">
        <f>IF(OR($A38="",$F38&lt;&gt;"أحد الشركاء"),"",COUNTIFS($A$4:A38,"&lt;&gt;",$F$4:F38,"أحد الشركاء"))</f>
        <v/>
      </c>
    </row>
    <row r="39" spans="1:17" ht="18.75" customHeight="1" x14ac:dyDescent="0.25">
      <c r="A39" s="25">
        <v>46163</v>
      </c>
      <c r="B39" s="26" t="s">
        <v>112</v>
      </c>
      <c r="C39" s="27" t="s">
        <v>113</v>
      </c>
      <c r="D39" s="28"/>
      <c r="E39" s="29">
        <v>2.5</v>
      </c>
      <c r="F39" s="30" t="s">
        <v>38</v>
      </c>
      <c r="G39" s="31"/>
      <c r="H39" s="32"/>
      <c r="I39" s="33"/>
      <c r="J39" s="34">
        <f>IF(AND(D39="",E39="",A39="",B39="",C39=""),"", IFERROR(IF(J38="",D2,J38),D2)+IF(OR(E39="",H39="معلق"),0,E39)-IF(OR(G39="أبو اسحاق",G39="أبو آدم",G39="أبو اسحاق ",G39="أبو آدم "),0,IF(D39="",0,D39)))</f>
        <v>260.75</v>
      </c>
      <c r="K39" s="35"/>
      <c r="L39">
        <f>IF(E38&gt;0,COUNTIF($E$4:E38,"&gt;0"),"")</f>
        <v>23</v>
      </c>
      <c r="M39" t="str">
        <f>IF(AND(D38&gt;0,G38="المحفظة"),COUNTIFS($D$4:D38,"&gt;"&amp;0,$G$4:G38,"المحفظة"),"")</f>
        <v/>
      </c>
      <c r="N39" t="str">
        <f>IF(AND(OR('طباعة كشف الحساب'!$C$2="الكل",MONTH(A39)=IFERROR(MATCH('طباعة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الحساب'!$F$2="الكل",YEAR(A39)=IFERROR(VALUE('طباعة كشف الحساب'!$F$2),0)),A39&lt;&gt;""),IFERROR(MAX($N$4:N38),0)+1,"")</f>
        <v/>
      </c>
      <c r="O39" t="str">
        <f>IF(AND(D38&gt;0,F38="أحد الشركاء"),COUNTIFS($D$4:D38,"&gt;"&amp;0,$F$4:F38,"أحد الشركاء"),"")</f>
        <v/>
      </c>
      <c r="P39">
        <f>IF(OR($A39="",$F39="أحد الشركاء",AND($D39="",$E39="")),"",SUMPRODUCT(($A$4:$A39&lt;&gt;"")*($F$4:$F39&lt;&gt;"أحد الشركاء")*((($D$4:$D39&lt;&gt;"")+($E$4:$E39&lt;&gt;""))&gt;0)))</f>
        <v>26</v>
      </c>
      <c r="Q39" t="str">
        <f>IF(OR($A39="",$F39&lt;&gt;"أحد الشركاء"),"",COUNTIFS($A$4:A39,"&lt;&gt;",$F$4:F39,"أحد الشركاء"))</f>
        <v/>
      </c>
    </row>
    <row r="40" spans="1:17" ht="18.75" customHeight="1" x14ac:dyDescent="0.25">
      <c r="A40" s="139">
        <v>46164</v>
      </c>
      <c r="B40" s="36" t="s">
        <v>114</v>
      </c>
      <c r="C40" s="37" t="s">
        <v>115</v>
      </c>
      <c r="D40" s="38"/>
      <c r="E40" s="39">
        <v>15</v>
      </c>
      <c r="F40" s="136" t="s">
        <v>38</v>
      </c>
      <c r="G40" s="40"/>
      <c r="H40" s="41"/>
      <c r="I40" s="42"/>
      <c r="J40" s="43">
        <f>IF(AND(D40="",E40="",A40="",B40="",C40=""),"", IFERROR(IF(J39="",D2,J39),D2)+IF(OR(E40="",H40="معلق"),0,E40)-IF(OR(G40="أبو اسحاق",G40="أبو آدم",G40="أبو اسحاق ",G40="أبو آدم "),0,IF(D40="",0,D40)))</f>
        <v>275.75</v>
      </c>
      <c r="K40" s="44"/>
      <c r="L40">
        <f>IF(E39&gt;0,COUNTIF($E$4:E39,"&gt;0"),"")</f>
        <v>24</v>
      </c>
      <c r="M40" t="str">
        <f>IF(AND(D39&gt;0,G39="المحفظة"),COUNTIFS($D$4:D39,"&gt;"&amp;0,$G$4:G39,"المحفظة"),"")</f>
        <v/>
      </c>
      <c r="N40" t="str">
        <f>IF(AND(OR('طباعة كشف الحساب'!$C$2="الكل",MONTH(A40)=IFERROR(MATCH('طباعة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الحساب'!$F$2="الكل",YEAR(A40)=IFERROR(VALUE('طباعة كشف الحساب'!$F$2),0)),A40&lt;&gt;""),IFERROR(MAX($N$4:N39),0)+1,"")</f>
        <v/>
      </c>
      <c r="O40" t="str">
        <f>IF(AND(D39&gt;0,F39="أحد الشركاء"),COUNTIFS($D$4:D39,"&gt;"&amp;0,$F$4:F39,"أحد الشركاء"),"")</f>
        <v/>
      </c>
      <c r="P40">
        <f>IF(OR($A40="",$F40="أحد الشركاء",AND($D40="",$E40="")),"",SUMPRODUCT(($A$4:$A40&lt;&gt;"")*($F$4:$F40&lt;&gt;"أحد الشركاء")*((($D$4:$D40&lt;&gt;"")+($E$4:$E40&lt;&gt;""))&gt;0)))</f>
        <v>27</v>
      </c>
      <c r="Q40" t="str">
        <f>IF(OR($A40="",$F40&lt;&gt;"أحد الشركاء"),"",COUNTIFS($A$4:A40,"&lt;&gt;",$F$4:F40,"أحد الشركاء"))</f>
        <v/>
      </c>
    </row>
    <row r="41" spans="1:17" ht="18.75" customHeight="1" x14ac:dyDescent="0.25">
      <c r="A41" s="139">
        <v>46164</v>
      </c>
      <c r="B41" s="26" t="s">
        <v>116</v>
      </c>
      <c r="C41" s="27" t="s">
        <v>117</v>
      </c>
      <c r="D41" s="28"/>
      <c r="E41" s="29">
        <v>6</v>
      </c>
      <c r="F41" s="30" t="s">
        <v>38</v>
      </c>
      <c r="G41" s="31"/>
      <c r="H41" s="32"/>
      <c r="I41" s="33"/>
      <c r="J41" s="34">
        <f>IF(AND(D41="",E41="",A41="",B41="",C41=""),"", IFERROR(IF(J40="",D2,J40),D2)+IF(OR(E41="",H41="معلق"),0,E41)-IF(OR(G41="أبو اسحاق",G41="أبو آدم",G41="أبو اسحاق ",G41="أبو آدم "),0,IF(D41="",0,D41)))</f>
        <v>281.75</v>
      </c>
      <c r="K41" s="35"/>
      <c r="L41">
        <f>IF(E40&gt;0,COUNTIF($E$4:E40,"&gt;0"),"")</f>
        <v>25</v>
      </c>
      <c r="M41" t="str">
        <f>IF(AND(D40&gt;0,G40="المحفظة"),COUNTIFS($D$4:D40,"&gt;"&amp;0,$G$4:G40,"المحفظة"),"")</f>
        <v/>
      </c>
      <c r="N41" t="str">
        <f>IF(AND(OR('طباعة كشف الحساب'!$C$2="الكل",MONTH(A41)=IFERROR(MATCH('طباعة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الحساب'!$F$2="الكل",YEAR(A41)=IFERROR(VALUE('طباعة كشف الحساب'!$F$2),0)),A41&lt;&gt;""),IFERROR(MAX($N$4:N40),0)+1,"")</f>
        <v/>
      </c>
      <c r="O41" t="str">
        <f>IF(AND(D40&gt;0,F40="أحد الشركاء"),COUNTIFS($D$4:D40,"&gt;"&amp;0,$F$4:F40,"أحد الشركاء"),"")</f>
        <v/>
      </c>
      <c r="P41">
        <f>IF(OR($A41="",$F41="أحد الشركاء",AND($D41="",$E41="")),"",SUMPRODUCT(($A$4:$A41&lt;&gt;"")*($F$4:$F41&lt;&gt;"أحد الشركاء")*((($D$4:$D41&lt;&gt;"")+($E$4:$E41&lt;&gt;""))&gt;0)))</f>
        <v>28</v>
      </c>
      <c r="Q41" t="str">
        <f>IF(OR($A41="",$F41&lt;&gt;"أحد الشركاء"),"",COUNTIFS($A$4:A41,"&lt;&gt;",$F$4:F41,"أحد الشركاء"))</f>
        <v/>
      </c>
    </row>
    <row r="42" spans="1:17" ht="18.75" customHeight="1" x14ac:dyDescent="0.25">
      <c r="A42" s="139">
        <v>46167</v>
      </c>
      <c r="B42" s="36" t="s">
        <v>118</v>
      </c>
      <c r="C42" s="37" t="s">
        <v>119</v>
      </c>
      <c r="D42" s="38"/>
      <c r="E42" s="39">
        <v>7.5</v>
      </c>
      <c r="F42" s="136" t="s">
        <v>38</v>
      </c>
      <c r="G42" s="40"/>
      <c r="H42" s="41"/>
      <c r="I42" s="42"/>
      <c r="J42" s="43">
        <f>IF(AND(D42="",E42="",A42="",B42="",C42=""),"", IFERROR(IF(J41="",D2,J41),D2)+IF(OR(E42="",H42="معلق"),0,E42)-IF(OR(G42="أبو اسحاق",G42="أبو آدم",G42="أبو اسحاق ",G42="أبو آدم "),0,IF(D42="",0,D42)))</f>
        <v>289.25</v>
      </c>
      <c r="K42" s="44"/>
      <c r="L42">
        <f>IF(E41&gt;0,COUNTIF($E$4:E41,"&gt;0"),"")</f>
        <v>26</v>
      </c>
      <c r="M42" t="str">
        <f>IF(AND(D41&gt;0,G41="المحفظة"),COUNTIFS($D$4:D41,"&gt;"&amp;0,$G$4:G41,"المحفظة"),"")</f>
        <v/>
      </c>
      <c r="N42" t="str">
        <f>IF(AND(OR('طباعة كشف الحساب'!$C$2="الكل",MONTH(A42)=IFERROR(MATCH('طباعة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الحساب'!$F$2="الكل",YEAR(A42)=IFERROR(VALUE('طباعة كشف الحساب'!$F$2),0)),A42&lt;&gt;""),IFERROR(MAX($N$4:N41),0)+1,"")</f>
        <v/>
      </c>
      <c r="O42" t="str">
        <f>IF(AND(D41&gt;0,F41="أحد الشركاء"),COUNTIFS($D$4:D41,"&gt;"&amp;0,$F$4:F41,"أحد الشركاء"),"")</f>
        <v/>
      </c>
      <c r="P42">
        <f>IF(OR($A42="",$F42="أحد الشركاء",AND($D42="",$E42="")),"",SUMPRODUCT(($A$4:$A42&lt;&gt;"")*($F$4:$F42&lt;&gt;"أحد الشركاء")*((($D$4:$D42&lt;&gt;"")+($E$4:$E42&lt;&gt;""))&gt;0)))</f>
        <v>29</v>
      </c>
      <c r="Q42" t="str">
        <f>IF(OR($A42="",$F42&lt;&gt;"أحد الشركاء"),"",COUNTIFS($A$4:A42,"&lt;&gt;",$F$4:F42,"أحد الشركاء"))</f>
        <v/>
      </c>
    </row>
    <row r="43" spans="1:17" ht="18.75" customHeight="1" x14ac:dyDescent="0.25">
      <c r="A43" s="139">
        <v>46167</v>
      </c>
      <c r="B43" s="26" t="s">
        <v>120</v>
      </c>
      <c r="C43" s="27" t="s">
        <v>121</v>
      </c>
      <c r="D43" s="28"/>
      <c r="E43" s="29">
        <v>2</v>
      </c>
      <c r="F43" s="30" t="s">
        <v>38</v>
      </c>
      <c r="G43" s="31"/>
      <c r="H43" s="32"/>
      <c r="I43" s="33"/>
      <c r="J43" s="34">
        <f>IF(AND(D43="",E43="",A43="",B43="",C43=""),"", IFERROR(IF(J42="",D2,J42),D2)+IF(OR(E43="",H43="معلق"),0,E43)-IF(OR(G43="أبو اسحاق",G43="أبو آدم",G43="أبو اسحاق ",G43="أبو آدم "),0,IF(D43="",0,D43)))</f>
        <v>291.25</v>
      </c>
      <c r="K43" s="35"/>
      <c r="L43">
        <f>IF(E42&gt;0,COUNTIF($E$4:E42,"&gt;0"),"")</f>
        <v>27</v>
      </c>
      <c r="M43" t="str">
        <f>IF(AND(D42&gt;0,G42="المحفظة"),COUNTIFS($D$4:D42,"&gt;"&amp;0,$G$4:G42,"المحفظة"),"")</f>
        <v/>
      </c>
      <c r="N43" t="str">
        <f>IF(AND(OR('طباعة كشف الحساب'!$C$2="الكل",MONTH(A43)=IFERROR(MATCH('طباعة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الحساب'!$F$2="الكل",YEAR(A43)=IFERROR(VALUE('طباعة كشف الحساب'!$F$2),0)),A43&lt;&gt;""),IFERROR(MAX($N$4:N42),0)+1,"")</f>
        <v/>
      </c>
      <c r="O43" t="str">
        <f>IF(AND(D42&gt;0,F42="أحد الشركاء"),COUNTIFS($D$4:D42,"&gt;"&amp;0,$F$4:F42,"أحد الشركاء"),"")</f>
        <v/>
      </c>
      <c r="P43">
        <f>IF(OR($A43="",$F43="أحد الشركاء",AND($D43="",$E43="")),"",SUMPRODUCT(($A$4:$A43&lt;&gt;"")*($F$4:$F43&lt;&gt;"أحد الشركاء")*((($D$4:$D43&lt;&gt;"")+($E$4:$E43&lt;&gt;""))&gt;0)))</f>
        <v>30</v>
      </c>
      <c r="Q43" t="str">
        <f>IF(OR($A43="",$F43&lt;&gt;"أحد الشركاء"),"",COUNTIFS($A$4:A43,"&lt;&gt;",$F$4:F43,"أحد الشركاء"))</f>
        <v/>
      </c>
    </row>
    <row r="44" spans="1:17" ht="18.75" customHeight="1" x14ac:dyDescent="0.25">
      <c r="A44" s="139">
        <v>46167</v>
      </c>
      <c r="B44" s="36" t="s">
        <v>122</v>
      </c>
      <c r="C44" s="37" t="s">
        <v>123</v>
      </c>
      <c r="D44" s="38"/>
      <c r="E44" s="39">
        <v>4</v>
      </c>
      <c r="F44" s="136" t="s">
        <v>38</v>
      </c>
      <c r="G44" s="40"/>
      <c r="H44" s="41"/>
      <c r="I44" s="42"/>
      <c r="J44" s="43">
        <f>IF(AND(D44="",E44="",A44="",B44="",C44=""),"", IFERROR(IF(J43="",D2,J43),D2)+IF(OR(E44="",H44="معلق"),0,E44)-IF(OR(G44="أبو اسحاق",G44="أبو آدم",G44="أبو اسحاق ",G44="أبو آدم "),0,IF(D44="",0,D44)))</f>
        <v>295.25</v>
      </c>
      <c r="K44" s="44"/>
      <c r="L44">
        <f>IF(E43&gt;0,COUNTIF($E$4:E43,"&gt;0"),"")</f>
        <v>28</v>
      </c>
      <c r="M44" t="str">
        <f>IF(AND(D43&gt;0,G43="المحفظة"),COUNTIFS($D$4:D43,"&gt;"&amp;0,$G$4:G43,"المحفظة"),"")</f>
        <v/>
      </c>
      <c r="N44" t="str">
        <f>IF(AND(OR('طباعة كشف الحساب'!$C$2="الكل",MONTH(A44)=IFERROR(MATCH('طباعة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الحساب'!$F$2="الكل",YEAR(A44)=IFERROR(VALUE('طباعة كشف الحساب'!$F$2),0)),A44&lt;&gt;""),IFERROR(MAX($N$4:N43),0)+1,"")</f>
        <v/>
      </c>
      <c r="O44" t="str">
        <f>IF(AND(D43&gt;0,F43="أحد الشركاء"),COUNTIFS($D$4:D43,"&gt;"&amp;0,$F$4:F43,"أحد الشركاء"),"")</f>
        <v/>
      </c>
      <c r="P44">
        <f>IF(OR($A44="",$F44="أحد الشركاء",AND($D44="",$E44="")),"",SUMPRODUCT(($A$4:$A44&lt;&gt;"")*($F$4:$F44&lt;&gt;"أحد الشركاء")*((($D$4:$D44&lt;&gt;"")+($E$4:$E44&lt;&gt;""))&gt;0)))</f>
        <v>31</v>
      </c>
      <c r="Q44" t="str">
        <f>IF(OR($A44="",$F44&lt;&gt;"أحد الشركاء"),"",COUNTIFS($A$4:A44,"&lt;&gt;",$F$4:F44,"أحد الشركاء"))</f>
        <v/>
      </c>
    </row>
    <row r="45" spans="1:17" ht="18.75" customHeight="1" x14ac:dyDescent="0.25">
      <c r="A45" s="139">
        <v>46167</v>
      </c>
      <c r="B45" s="26"/>
      <c r="C45" s="27" t="s">
        <v>124</v>
      </c>
      <c r="D45" s="28">
        <v>26</v>
      </c>
      <c r="E45" s="29"/>
      <c r="F45" s="30" t="s">
        <v>48</v>
      </c>
      <c r="G45" s="31" t="s">
        <v>49</v>
      </c>
      <c r="H45" s="32" t="s">
        <v>50</v>
      </c>
      <c r="I45" s="33"/>
      <c r="J45" s="34">
        <f>IF(AND(D45="",E45="",A45="",B45="",C45=""),"", IFERROR(IF(J44="",D2,J44),D2)+IF(OR(E45="",H45="معلق"),0,E45)-IF(OR(G45="أبو اسحاق",G45="أبو آدم",G45="أبو اسحاق ",G45="أبو آدم "),0,IF(D45="",0,D45)))</f>
        <v>295.25</v>
      </c>
      <c r="K45" s="35"/>
      <c r="L45">
        <f>IF(E44&gt;0,COUNTIF($E$4:E44,"&gt;0"),"")</f>
        <v>29</v>
      </c>
      <c r="M45" t="str">
        <f>IF(AND(D44&gt;0,G44="المحفظة"),COUNTIFS($D$4:D44,"&gt;"&amp;0,$G$4:G44,"المحفظة"),"")</f>
        <v/>
      </c>
      <c r="N45" t="str">
        <f>IF(AND(OR('طباعة كشف الحساب'!$C$2="الكل",MONTH(A45)=IFERROR(MATCH('طباعة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الحساب'!$F$2="الكل",YEAR(A45)=IFERROR(VALUE('طباعة كشف الحساب'!$F$2),0)),A45&lt;&gt;""),IFERROR(MAX($N$4:N44),0)+1,"")</f>
        <v/>
      </c>
      <c r="O45" t="str">
        <f>IF(AND(D44&gt;0,F44="أحد الشركاء"),COUNTIFS($D$4:D44,"&gt;"&amp;0,$F$4:F44,"أحد الشركاء"),"")</f>
        <v/>
      </c>
      <c r="P45" t="str">
        <f>IF(OR($A45="",$F45="أحد الشركاء",AND($D45="",$E45="")),"",SUMPRODUCT(($A$4:$A45&lt;&gt;"")*($F$4:$F45&lt;&gt;"أحد الشركاء")*((($D$4:$D45&lt;&gt;"")+($E$4:$E45&lt;&gt;""))&gt;0)))</f>
        <v/>
      </c>
      <c r="Q45">
        <f>IF(OR($A45="",$F45&lt;&gt;"أحد الشركاء"),"",COUNTIFS($A$4:A45,"&lt;&gt;",$F$4:F45,"أحد الشركاء"))</f>
        <v>6</v>
      </c>
    </row>
    <row r="46" spans="1:17" ht="18.75" customHeight="1" x14ac:dyDescent="0.25">
      <c r="A46" s="139">
        <v>46167</v>
      </c>
      <c r="B46" s="36"/>
      <c r="C46" s="37" t="s">
        <v>125</v>
      </c>
      <c r="D46" s="38">
        <v>250</v>
      </c>
      <c r="E46" s="39"/>
      <c r="F46" s="136" t="s">
        <v>48</v>
      </c>
      <c r="G46" s="40" t="s">
        <v>60</v>
      </c>
      <c r="H46" s="41" t="s">
        <v>50</v>
      </c>
      <c r="I46" s="42" t="s">
        <v>126</v>
      </c>
      <c r="J46" s="43">
        <f>IF(AND(D46="",E46="",A46="",B46="",C46=""),"", IFERROR(IF(J45="",D2,J45),D2)+IF(OR(E46="",H46="معلق"),0,E46)-IF(OR(G46="أبو اسحاق",G46="أبو آدم",G46="أبو اسحاق ",G46="أبو آدم "),0,IF(D46="",0,D46)))</f>
        <v>295.25</v>
      </c>
      <c r="K46" s="44"/>
      <c r="L46" t="str">
        <f>IF(E45&gt;0,COUNTIF($E$4:E45,"&gt;0"),"")</f>
        <v/>
      </c>
      <c r="M46" t="str">
        <f>IF(AND(D45&gt;0,G45="المحفظة"),COUNTIFS($D$4:D45,"&gt;"&amp;0,$G$4:G45,"المحفظة"),"")</f>
        <v/>
      </c>
      <c r="N46" t="str">
        <f>IF(AND(OR('طباعة كشف الحساب'!$C$2="الكل",MONTH(A46)=IFERROR(MATCH('طباعة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الحساب'!$F$2="الكل",YEAR(A46)=IFERROR(VALUE('طباعة كشف الحساب'!$F$2),0)),A46&lt;&gt;""),IFERROR(MAX($N$4:N45),0)+1,"")</f>
        <v/>
      </c>
      <c r="O46">
        <f>IF(AND(D45&gt;0,F45="أحد الشركاء"),COUNTIFS($D$4:D45,"&gt;"&amp;0,$F$4:F45,"أحد الشركاء"),"")</f>
        <v>6</v>
      </c>
      <c r="P46" t="str">
        <f>IF(OR($A46="",$F46="أحد الشركاء",AND($D46="",$E46="")),"",SUMPRODUCT(($A$4:$A46&lt;&gt;"")*($F$4:$F46&lt;&gt;"أحد الشركاء")*((($D$4:$D46&lt;&gt;"")+($E$4:$E46&lt;&gt;""))&gt;0)))</f>
        <v/>
      </c>
      <c r="Q46">
        <f>IF(OR($A46="",$F46&lt;&gt;"أحد الشركاء"),"",COUNTIFS($A$4:A46,"&lt;&gt;",$F$4:F46,"أحد الشركاء"))</f>
        <v>7</v>
      </c>
    </row>
    <row r="47" spans="1:17" ht="18.75" customHeight="1" x14ac:dyDescent="0.25">
      <c r="A47" s="25">
        <v>46167</v>
      </c>
      <c r="B47" s="26"/>
      <c r="C47" s="27" t="s">
        <v>125</v>
      </c>
      <c r="D47" s="28">
        <v>250</v>
      </c>
      <c r="E47" s="29"/>
      <c r="F47" s="30" t="s">
        <v>48</v>
      </c>
      <c r="G47" s="31" t="s">
        <v>49</v>
      </c>
      <c r="H47" s="32" t="s">
        <v>50</v>
      </c>
      <c r="I47" s="33" t="s">
        <v>126</v>
      </c>
      <c r="J47" s="34">
        <f>IF(AND(D47="",E47="",A47="",B47="",C47=""),"", IFERROR(IF(J46="",D2,J46),D2)+IF(OR(E47="",H47="معلق"),0,E47)-IF(OR(G47="أبو اسحاق",G47="أبو آدم",G47="أبو اسحاق ",G47="أبو آدم "),0,IF(D47="",0,D47)))</f>
        <v>295.25</v>
      </c>
      <c r="K47" s="35"/>
      <c r="L47" t="str">
        <f>IF(E46&gt;0,COUNTIF($E$4:E46,"&gt;0"),"")</f>
        <v/>
      </c>
      <c r="M47" t="str">
        <f>IF(AND(D46&gt;0,G46="المحفظة"),COUNTIFS($D$4:D46,"&gt;"&amp;0,$G$4:G46,"المحفظة"),"")</f>
        <v/>
      </c>
      <c r="N47" t="str">
        <f>IF(AND(OR('طباعة كشف الحساب'!$C$2="الكل",MONTH(A47)=IFERROR(MATCH('طباعة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الحساب'!$F$2="الكل",YEAR(A47)=IFERROR(VALUE('طباعة كشف الحساب'!$F$2),0)),A47&lt;&gt;""),IFERROR(MAX($N$4:N46),0)+1,"")</f>
        <v/>
      </c>
      <c r="O47">
        <f>IF(AND(D46&gt;0,F46="أحد الشركاء"),COUNTIFS($D$4:D46,"&gt;"&amp;0,$F$4:F46,"أحد الشركاء"),"")</f>
        <v>7</v>
      </c>
      <c r="P47" t="str">
        <f>IF(OR($A47="",$F47="أحد الشركاء",AND($D47="",$E47="")),"",SUMPRODUCT(($A$4:$A47&lt;&gt;"")*($F$4:$F47&lt;&gt;"أحد الشركاء")*((($D$4:$D47&lt;&gt;"")+($E$4:$E47&lt;&gt;""))&gt;0)))</f>
        <v/>
      </c>
      <c r="Q47">
        <f>IF(OR($A47="",$F47&lt;&gt;"أحد الشركاء"),"",COUNTIFS($A$4:A47,"&lt;&gt;",$F$4:F47,"أحد الشركاء"))</f>
        <v>8</v>
      </c>
    </row>
    <row r="48" spans="1:17" ht="18.75" customHeight="1" x14ac:dyDescent="0.25">
      <c r="A48" s="139">
        <v>46146</v>
      </c>
      <c r="B48" s="36" t="s">
        <v>127</v>
      </c>
      <c r="C48" s="37" t="s">
        <v>128</v>
      </c>
      <c r="D48" s="38"/>
      <c r="E48" s="39">
        <v>9</v>
      </c>
      <c r="F48" s="136" t="s">
        <v>38</v>
      </c>
      <c r="G48" s="40"/>
      <c r="H48" s="41" t="s">
        <v>40</v>
      </c>
      <c r="I48" s="42"/>
      <c r="J48" s="43">
        <f>IF(AND(D48="",E48="",A48="",B48="",C48=""),"", IFERROR(IF(J47="",D2,J47),D2)+IF(OR(E48="",H48="معلق"),0,E48)-IF(OR(G48="أبو اسحاق",G48="أبو آدم",G48="أبو اسحاق ",G48="أبو آدم "),0,IF(D48="",0,D48)))</f>
        <v>304.25</v>
      </c>
      <c r="K48" s="44"/>
      <c r="L48" t="str">
        <f>IF(E47&gt;0,COUNTIF($E$4:E47,"&gt;0"),"")</f>
        <v/>
      </c>
      <c r="M48" t="str">
        <f>IF(AND(D47&gt;0,G47="المحفظة"),COUNTIFS($D$4:D47,"&gt;"&amp;0,$G$4:G47,"المحفظة"),"")</f>
        <v/>
      </c>
      <c r="N48" t="str">
        <f>IF(AND(OR('طباعة كشف الحساب'!$C$2="الكل",MONTH(A48)=IFERROR(MATCH('طباعة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الحساب'!$F$2="الكل",YEAR(A48)=IFERROR(VALUE('طباعة كشف الحساب'!$F$2),0)),A48&lt;&gt;""),IFERROR(MAX($N$4:N47),0)+1,"")</f>
        <v/>
      </c>
      <c r="O48">
        <f>IF(AND(D47&gt;0,F47="أحد الشركاء"),COUNTIFS($D$4:D47,"&gt;"&amp;0,$F$4:F47,"أحد الشركاء"),"")</f>
        <v>8</v>
      </c>
      <c r="P48">
        <f>IF(OR($A48="",$F48="أحد الشركاء",AND($D48="",$E48="")),"",SUMPRODUCT(($A$4:$A48&lt;&gt;"")*($F$4:$F48&lt;&gt;"أحد الشركاء")*((($D$4:$D48&lt;&gt;"")+($E$4:$E48&lt;&gt;""))&gt;0)))</f>
        <v>32</v>
      </c>
      <c r="Q48" t="str">
        <f>IF(OR($A48="",$F48&lt;&gt;"أحد الشركاء"),"",COUNTIFS($A$4:A48,"&lt;&gt;",$F$4:F48,"أحد الشركاء"))</f>
        <v/>
      </c>
    </row>
    <row r="49" spans="1:17" ht="18.75" customHeight="1" x14ac:dyDescent="0.25">
      <c r="A49" s="25">
        <v>46146</v>
      </c>
      <c r="B49" s="26" t="s">
        <v>129</v>
      </c>
      <c r="C49" s="27" t="s">
        <v>128</v>
      </c>
      <c r="D49" s="28"/>
      <c r="E49" s="29">
        <v>9</v>
      </c>
      <c r="F49" s="30" t="s">
        <v>38</v>
      </c>
      <c r="G49" s="31"/>
      <c r="H49" s="32" t="s">
        <v>40</v>
      </c>
      <c r="I49" s="33"/>
      <c r="J49" s="34">
        <f>IF(AND(D49="",E49="",A49="",B49="",C49=""),"", IFERROR(IF(J48="",D2,J48),D2)+IF(OR(E49="",H49="معلق"),0,E49)-IF(OR(G49="أبو اسحاق",G49="أبو آدم",G49="أبو اسحاق ",G49="أبو آدم "),0,IF(D49="",0,D49)))</f>
        <v>313.25</v>
      </c>
      <c r="K49" s="35"/>
      <c r="L49">
        <f>IF(E48&gt;0,COUNTIF($E$4:E48,"&gt;0"),"")</f>
        <v>30</v>
      </c>
      <c r="M49" t="str">
        <f>IF(AND(D48&gt;0,G48="المحفظة"),COUNTIFS($D$4:D48,"&gt;"&amp;0,$G$4:G48,"المحفظة"),"")</f>
        <v/>
      </c>
      <c r="N49" t="str">
        <f>IF(AND(OR('طباعة كشف الحساب'!$C$2="الكل",MONTH(A49)=IFERROR(MATCH('طباعة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الحساب'!$F$2="الكل",YEAR(A49)=IFERROR(VALUE('طباعة كشف الحساب'!$F$2),0)),A49&lt;&gt;""),IFERROR(MAX($N$4:N48),0)+1,"")</f>
        <v/>
      </c>
      <c r="O49" t="str">
        <f>IF(AND(D48&gt;0,F48="أحد الشركاء"),COUNTIFS($D$4:D48,"&gt;"&amp;0,$F$4:F48,"أحد الشركاء"),"")</f>
        <v/>
      </c>
      <c r="P49">
        <f>IF(OR($A49="",$F49="أحد الشركاء",AND($D49="",$E49="")),"",SUMPRODUCT(($A$4:$A49&lt;&gt;"")*($F$4:$F49&lt;&gt;"أحد الشركاء")*((($D$4:$D49&lt;&gt;"")+($E$4:$E49&lt;&gt;""))&gt;0)))</f>
        <v>33</v>
      </c>
      <c r="Q49" t="str">
        <f>IF(OR($A49="",$F49&lt;&gt;"أحد الشركاء"),"",COUNTIFS($A$4:A49,"&lt;&gt;",$F$4:F49,"أحد الشركاء"))</f>
        <v/>
      </c>
    </row>
    <row r="50" spans="1:17" ht="18.75" customHeight="1" x14ac:dyDescent="0.25">
      <c r="A50" s="139">
        <v>46146</v>
      </c>
      <c r="B50" s="36" t="s">
        <v>130</v>
      </c>
      <c r="C50" s="37" t="s">
        <v>128</v>
      </c>
      <c r="D50" s="38"/>
      <c r="E50" s="39">
        <v>2</v>
      </c>
      <c r="F50" s="136" t="s">
        <v>38</v>
      </c>
      <c r="G50" s="40"/>
      <c r="H50" s="41" t="s">
        <v>40</v>
      </c>
      <c r="I50" s="42"/>
      <c r="J50" s="43">
        <f>IF(AND(D50="",E50="",A50="",B50="",C50=""),"", IFERROR(IF(J49="",D2,J49),D2)+IF(OR(E50="",H50="معلق"),0,E50)-IF(OR(G50="أبو اسحاق",G50="أبو آدم",G50="أبو اسحاق ",G50="أبو آدم "),0,IF(D50="",0,D50)))</f>
        <v>315.25</v>
      </c>
      <c r="K50" s="44"/>
      <c r="L50">
        <f>IF(E49&gt;0,COUNTIF($E$4:E49,"&gt;0"),"")</f>
        <v>31</v>
      </c>
      <c r="M50" t="str">
        <f>IF(AND(D49&gt;0,G49="المحفظة"),COUNTIFS($D$4:D49,"&gt;"&amp;0,$G$4:G49,"المحفظة"),"")</f>
        <v/>
      </c>
      <c r="N50" t="str">
        <f>IF(AND(OR('طباعة كشف الحساب'!$C$2="الكل",MONTH(A50)=IFERROR(MATCH('طباعة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الحساب'!$F$2="الكل",YEAR(A50)=IFERROR(VALUE('طباعة كشف الحساب'!$F$2),0)),A50&lt;&gt;""),IFERROR(MAX($N$4:N49),0)+1,"")</f>
        <v/>
      </c>
      <c r="O50" t="str">
        <f>IF(AND(D49&gt;0,F49="أحد الشركاء"),COUNTIFS($D$4:D49,"&gt;"&amp;0,$F$4:F49,"أحد الشركاء"),"")</f>
        <v/>
      </c>
      <c r="P50">
        <f>IF(OR($A50="",$F50="أحد الشركاء",AND($D50="",$E50="")),"",SUMPRODUCT(($A$4:$A50&lt;&gt;"")*($F$4:$F50&lt;&gt;"أحد الشركاء")*((($D$4:$D50&lt;&gt;"")+($E$4:$E50&lt;&gt;""))&gt;0)))</f>
        <v>34</v>
      </c>
      <c r="Q50" t="str">
        <f>IF(OR($A50="",$F50&lt;&gt;"أحد الشركاء"),"",COUNTIFS($A$4:A50,"&lt;&gt;",$F$4:F50,"أحد الشركاء"))</f>
        <v/>
      </c>
    </row>
    <row r="51" spans="1:17" ht="18.75" customHeight="1" x14ac:dyDescent="0.25">
      <c r="A51" s="25">
        <v>46147</v>
      </c>
      <c r="B51" s="26" t="s">
        <v>131</v>
      </c>
      <c r="C51" s="27" t="s">
        <v>128</v>
      </c>
      <c r="D51" s="28"/>
      <c r="E51" s="29">
        <v>3.75</v>
      </c>
      <c r="F51" s="30" t="s">
        <v>38</v>
      </c>
      <c r="G51" s="31"/>
      <c r="H51" s="32" t="s">
        <v>40</v>
      </c>
      <c r="I51" s="33"/>
      <c r="J51" s="34">
        <f>IF(AND(D51="",E51="",A51="",B51="",C51=""),"", IFERROR(IF(J50="",D2,J50),D2)+IF(OR(E51="",H51="معلق"),0,E51)-IF(OR(G51="أبو اسحاق",G51="أبو آدم",G51="أبو اسحاق ",G51="أبو آدم "),0,IF(D51="",0,D51)))</f>
        <v>319</v>
      </c>
      <c r="K51" s="35"/>
      <c r="L51">
        <f>IF(E50&gt;0,COUNTIF($E$4:E50,"&gt;0"),"")</f>
        <v>32</v>
      </c>
      <c r="M51" t="str">
        <f>IF(AND(D50&gt;0,G50="المحفظة"),COUNTIFS($D$4:D50,"&gt;"&amp;0,$G$4:G50,"المحفظة"),"")</f>
        <v/>
      </c>
      <c r="N51" t="str">
        <f>IF(AND(OR('طباعة كشف الحساب'!$C$2="الكل",MONTH(A51)=IFERROR(MATCH('طباعة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الحساب'!$F$2="الكل",YEAR(A51)=IFERROR(VALUE('طباعة كشف الحساب'!$F$2),0)),A51&lt;&gt;""),IFERROR(MAX($N$4:N50),0)+1,"")</f>
        <v/>
      </c>
      <c r="O51" t="str">
        <f>IF(AND(D50&gt;0,F50="أحد الشركاء"),COUNTIFS($D$4:D50,"&gt;"&amp;0,$F$4:F50,"أحد الشركاء"),"")</f>
        <v/>
      </c>
      <c r="P51">
        <f>IF(OR($A51="",$F51="أحد الشركاء",AND($D51="",$E51="")),"",SUMPRODUCT(($A$4:$A51&lt;&gt;"")*($F$4:$F51&lt;&gt;"أحد الشركاء")*((($D$4:$D51&lt;&gt;"")+($E$4:$E51&lt;&gt;""))&gt;0)))</f>
        <v>35</v>
      </c>
      <c r="Q51" t="str">
        <f>IF(OR($A51="",$F51&lt;&gt;"أحد الشركاء"),"",COUNTIFS($A$4:A51,"&lt;&gt;",$F$4:F51,"أحد الشركاء"))</f>
        <v/>
      </c>
    </row>
    <row r="52" spans="1:17" ht="18.75" customHeight="1" x14ac:dyDescent="0.25">
      <c r="A52" s="139">
        <v>46149</v>
      </c>
      <c r="B52" s="36" t="s">
        <v>132</v>
      </c>
      <c r="C52" s="37" t="s">
        <v>128</v>
      </c>
      <c r="D52" s="38"/>
      <c r="E52" s="39">
        <v>5</v>
      </c>
      <c r="F52" s="136" t="s">
        <v>38</v>
      </c>
      <c r="G52" s="40"/>
      <c r="H52" s="41" t="s">
        <v>40</v>
      </c>
      <c r="I52" s="42"/>
      <c r="J52" s="43">
        <f>IF(AND(D52="",E52="",A52="",B52="",C52=""),"", IFERROR(IF(J51="",D2,J51),D2)+IF(OR(E52="",H52="معلق"),0,E52)-IF(OR(G52="أبو اسحاق",G52="أبو آدم",G52="أبو اسحاق ",G52="أبو آدم "),0,IF(D52="",0,D52)))</f>
        <v>324</v>
      </c>
      <c r="K52" s="44"/>
      <c r="L52">
        <f>IF(E51&gt;0,COUNTIF($E$4:E51,"&gt;0"),"")</f>
        <v>33</v>
      </c>
      <c r="M52" t="str">
        <f>IF(AND(D51&gt;0,G51="المحفظة"),COUNTIFS($D$4:D51,"&gt;"&amp;0,$G$4:G51,"المحفظة"),"")</f>
        <v/>
      </c>
      <c r="N52" t="str">
        <f>IF(AND(OR('طباعة كشف الحساب'!$C$2="الكل",MONTH(A52)=IFERROR(MATCH('طباعة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الحساب'!$F$2="الكل",YEAR(A52)=IFERROR(VALUE('طباعة كشف الحساب'!$F$2),0)),A52&lt;&gt;""),IFERROR(MAX($N$4:N51),0)+1,"")</f>
        <v/>
      </c>
      <c r="O52" t="str">
        <f>IF(AND(D51&gt;0,F51="أحد الشركاء"),COUNTIFS($D$4:D51,"&gt;"&amp;0,$F$4:F51,"أحد الشركاء"),"")</f>
        <v/>
      </c>
      <c r="P52">
        <f>IF(OR($A52="",$F52="أحد الشركاء",AND($D52="",$E52="")),"",SUMPRODUCT(($A$4:$A52&lt;&gt;"")*($F$4:$F52&lt;&gt;"أحد الشركاء")*((($D$4:$D52&lt;&gt;"")+($E$4:$E52&lt;&gt;""))&gt;0)))</f>
        <v>36</v>
      </c>
      <c r="Q52" t="str">
        <f>IF(OR($A52="",$F52&lt;&gt;"أحد الشركاء"),"",COUNTIFS($A$4:A52,"&lt;&gt;",$F$4:F52,"أحد الشركاء"))</f>
        <v/>
      </c>
    </row>
    <row r="53" spans="1:17" ht="18.75" customHeight="1" x14ac:dyDescent="0.25">
      <c r="A53" s="25">
        <v>46155</v>
      </c>
      <c r="B53" s="26" t="s">
        <v>133</v>
      </c>
      <c r="C53" s="27" t="s">
        <v>128</v>
      </c>
      <c r="D53" s="28"/>
      <c r="E53" s="29">
        <v>15</v>
      </c>
      <c r="F53" s="30" t="s">
        <v>38</v>
      </c>
      <c r="G53" s="31"/>
      <c r="H53" s="32" t="s">
        <v>40</v>
      </c>
      <c r="I53" s="33"/>
      <c r="J53" s="34">
        <f>IF(AND(D53="",E53="",A53="",B53="",C53=""),"", IFERROR(IF(J52="",D2,J52),D2)+IF(OR(E53="",H53="معلق"),0,E53)-IF(OR(G53="أبو اسحاق",G53="أبو آدم",G53="أبو اسحاق ",G53="أبو آدم "),0,IF(D53="",0,D53)))</f>
        <v>339</v>
      </c>
      <c r="K53" s="35"/>
      <c r="L53">
        <f>IF(E52&gt;0,COUNTIF($E$4:E52,"&gt;0"),"")</f>
        <v>34</v>
      </c>
      <c r="M53" t="str">
        <f>IF(AND(D52&gt;0,G52="المحفظة"),COUNTIFS($D$4:D52,"&gt;"&amp;0,$G$4:G52,"المحفظة"),"")</f>
        <v/>
      </c>
      <c r="N53" t="str">
        <f>IF(AND(OR('طباعة كشف الحساب'!$C$2="الكل",MONTH(A53)=IFERROR(MATCH('طباعة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الحساب'!$F$2="الكل",YEAR(A53)=IFERROR(VALUE('طباعة كشف الحساب'!$F$2),0)),A53&lt;&gt;""),IFERROR(MAX($N$4:N52),0)+1,"")</f>
        <v/>
      </c>
      <c r="O53" t="str">
        <f>IF(AND(D52&gt;0,F52="أحد الشركاء"),COUNTIFS($D$4:D52,"&gt;"&amp;0,$F$4:F52,"أحد الشركاء"),"")</f>
        <v/>
      </c>
      <c r="P53">
        <f>IF(OR($A53="",$F53="أحد الشركاء",AND($D53="",$E53="")),"",SUMPRODUCT(($A$4:$A53&lt;&gt;"")*($F$4:$F53&lt;&gt;"أحد الشركاء")*((($D$4:$D53&lt;&gt;"")+($E$4:$E53&lt;&gt;""))&gt;0)))</f>
        <v>37</v>
      </c>
      <c r="Q53" t="str">
        <f>IF(OR($A53="",$F53&lt;&gt;"أحد الشركاء"),"",COUNTIFS($A$4:A53,"&lt;&gt;",$F$4:F53,"أحد الشركاء"))</f>
        <v/>
      </c>
    </row>
    <row r="54" spans="1:17" ht="18.75" customHeight="1" x14ac:dyDescent="0.25">
      <c r="A54" s="139">
        <v>46155</v>
      </c>
      <c r="B54" s="36" t="s">
        <v>134</v>
      </c>
      <c r="C54" s="37" t="s">
        <v>128</v>
      </c>
      <c r="D54" s="38"/>
      <c r="E54" s="39">
        <v>4</v>
      </c>
      <c r="F54" s="136" t="s">
        <v>38</v>
      </c>
      <c r="G54" s="40"/>
      <c r="H54" s="41" t="s">
        <v>40</v>
      </c>
      <c r="I54" s="42"/>
      <c r="J54" s="43">
        <f>IF(AND(D54="",E54="",A54="",B54="",C54=""),"", IFERROR(IF(J53="",D2,J53),D2)+IF(OR(E54="",H54="معلق"),0,E54)-IF(OR(G54="أبو اسحاق",G54="أبو آدم",G54="أبو اسحاق ",G54="أبو آدم "),0,IF(D54="",0,D54)))</f>
        <v>343</v>
      </c>
      <c r="K54" s="44"/>
      <c r="L54">
        <f>IF(E53&gt;0,COUNTIF($E$4:E53,"&gt;0"),"")</f>
        <v>35</v>
      </c>
      <c r="M54" t="str">
        <f>IF(AND(D53&gt;0,G53="المحفظة"),COUNTIFS($D$4:D53,"&gt;"&amp;0,$G$4:G53,"المحفظة"),"")</f>
        <v/>
      </c>
      <c r="N54" t="str">
        <f>IF(AND(OR('طباعة كشف الحساب'!$C$2="الكل",MONTH(A54)=IFERROR(MATCH('طباعة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الحساب'!$F$2="الكل",YEAR(A54)=IFERROR(VALUE('طباعة كشف الحساب'!$F$2),0)),A54&lt;&gt;""),IFERROR(MAX($N$4:N53),0)+1,"")</f>
        <v/>
      </c>
      <c r="O54" t="str">
        <f>IF(AND(D53&gt;0,F53="أحد الشركاء"),COUNTIFS($D$4:D53,"&gt;"&amp;0,$F$4:F53,"أحد الشركاء"),"")</f>
        <v/>
      </c>
      <c r="P54">
        <f>IF(OR($A54="",$F54="أحد الشركاء",AND($D54="",$E54="")),"",SUMPRODUCT(($A$4:$A54&lt;&gt;"")*($F$4:$F54&lt;&gt;"أحد الشركاء")*((($D$4:$D54&lt;&gt;"")+($E$4:$E54&lt;&gt;""))&gt;0)))</f>
        <v>38</v>
      </c>
      <c r="Q54" t="str">
        <f>IF(OR($A54="",$F54&lt;&gt;"أحد الشركاء"),"",COUNTIFS($A$4:A54,"&lt;&gt;",$F$4:F54,"أحد الشركاء"))</f>
        <v/>
      </c>
    </row>
    <row r="55" spans="1:17" ht="18.75" customHeight="1" x14ac:dyDescent="0.25">
      <c r="A55" s="25">
        <v>46155</v>
      </c>
      <c r="B55" s="26" t="s">
        <v>135</v>
      </c>
      <c r="C55" s="27" t="s">
        <v>128</v>
      </c>
      <c r="D55" s="28"/>
      <c r="E55" s="29">
        <v>3.6</v>
      </c>
      <c r="F55" s="30" t="s">
        <v>38</v>
      </c>
      <c r="G55" s="31"/>
      <c r="H55" s="32" t="s">
        <v>40</v>
      </c>
      <c r="I55" s="33"/>
      <c r="J55" s="34">
        <f>IF(AND(D55="",E55="",A55="",B55="",C55=""),"", IFERROR(IF(J54="",D2,J54),D2)+IF(OR(E55="",H55="معلق"),0,E55)-IF(OR(G55="أبو اسحاق",G55="أبو آدم",G55="أبو اسحاق ",G55="أبو آدم "),0,IF(D55="",0,D55)))</f>
        <v>346.6</v>
      </c>
      <c r="K55" s="35"/>
      <c r="L55">
        <f>IF(E54&gt;0,COUNTIF($E$4:E54,"&gt;0"),"")</f>
        <v>36</v>
      </c>
      <c r="M55" t="str">
        <f>IF(AND(D54&gt;0,G54="المحفظة"),COUNTIFS($D$4:D54,"&gt;"&amp;0,$G$4:G54,"المحفظة"),"")</f>
        <v/>
      </c>
      <c r="N55" t="str">
        <f>IF(AND(OR('طباعة كشف الحساب'!$C$2="الكل",MONTH(A55)=IFERROR(MATCH('طباعة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الحساب'!$F$2="الكل",YEAR(A55)=IFERROR(VALUE('طباعة كشف الحساب'!$F$2),0)),A55&lt;&gt;""),IFERROR(MAX($N$4:N54),0)+1,"")</f>
        <v/>
      </c>
      <c r="O55" t="str">
        <f>IF(AND(D54&gt;0,F54="أحد الشركاء"),COUNTIFS($D$4:D54,"&gt;"&amp;0,$F$4:F54,"أحد الشركاء"),"")</f>
        <v/>
      </c>
      <c r="P55">
        <f>IF(OR($A55="",$F55="أحد الشركاء",AND($D55="",$E55="")),"",SUMPRODUCT(($A$4:$A55&lt;&gt;"")*($F$4:$F55&lt;&gt;"أحد الشركاء")*((($D$4:$D55&lt;&gt;"")+($E$4:$E55&lt;&gt;""))&gt;0)))</f>
        <v>39</v>
      </c>
      <c r="Q55" t="str">
        <f>IF(OR($A55="",$F55&lt;&gt;"أحد الشركاء"),"",COUNTIFS($A$4:A55,"&lt;&gt;",$F$4:F55,"أحد الشركاء"))</f>
        <v/>
      </c>
    </row>
    <row r="56" spans="1:17" ht="18.75" customHeight="1" x14ac:dyDescent="0.25">
      <c r="A56" s="139">
        <v>46158</v>
      </c>
      <c r="B56" s="36" t="s">
        <v>136</v>
      </c>
      <c r="C56" s="37" t="s">
        <v>128</v>
      </c>
      <c r="D56" s="38"/>
      <c r="E56" s="39">
        <v>3</v>
      </c>
      <c r="F56" s="136" t="s">
        <v>38</v>
      </c>
      <c r="G56" s="40"/>
      <c r="H56" s="41" t="s">
        <v>40</v>
      </c>
      <c r="I56" s="42"/>
      <c r="J56" s="43">
        <f>IF(AND(D56="",E56="",A56="",B56="",C56=""),"", IFERROR(IF(J55="",D2,J55),D2)+IF(OR(E56="",H56="معلق"),0,E56)-IF(OR(G56="أبو اسحاق",G56="أبو آدم",G56="أبو اسحاق ",G56="أبو آدم "),0,IF(D56="",0,D56)))</f>
        <v>349.6</v>
      </c>
      <c r="K56" s="44"/>
      <c r="L56">
        <f>IF(E55&gt;0,COUNTIF($E$4:E55,"&gt;0"),"")</f>
        <v>37</v>
      </c>
      <c r="M56" t="str">
        <f>IF(AND(D55&gt;0,G55="المحفظة"),COUNTIFS($D$4:D55,"&gt;"&amp;0,$G$4:G55,"المحفظة"),"")</f>
        <v/>
      </c>
      <c r="N56" t="str">
        <f>IF(AND(OR('طباعة كشف الحساب'!$C$2="الكل",MONTH(A56)=IFERROR(MATCH('طباعة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الحساب'!$F$2="الكل",YEAR(A56)=IFERROR(VALUE('طباعة كشف الحساب'!$F$2),0)),A56&lt;&gt;""),IFERROR(MAX($N$4:N55),0)+1,"")</f>
        <v/>
      </c>
      <c r="O56" t="str">
        <f>IF(AND(D55&gt;0,F55="أحد الشركاء"),COUNTIFS($D$4:D55,"&gt;"&amp;0,$F$4:F55,"أحد الشركاء"),"")</f>
        <v/>
      </c>
      <c r="P56">
        <f>IF(OR($A56="",$F56="أحد الشركاء",AND($D56="",$E56="")),"",SUMPRODUCT(($A$4:$A56&lt;&gt;"")*($F$4:$F56&lt;&gt;"أحد الشركاء")*((($D$4:$D56&lt;&gt;"")+($E$4:$E56&lt;&gt;""))&gt;0)))</f>
        <v>40</v>
      </c>
      <c r="Q56" t="str">
        <f>IF(OR($A56="",$F56&lt;&gt;"أحد الشركاء"),"",COUNTIFS($A$4:A56,"&lt;&gt;",$F$4:F56,"أحد الشركاء"))</f>
        <v/>
      </c>
    </row>
    <row r="57" spans="1:17" ht="18.75" customHeight="1" x14ac:dyDescent="0.25">
      <c r="A57" s="25">
        <v>46155</v>
      </c>
      <c r="B57" s="26"/>
      <c r="C57" s="27" t="s">
        <v>137</v>
      </c>
      <c r="D57" s="28">
        <v>2.75</v>
      </c>
      <c r="E57" s="29"/>
      <c r="F57" s="30" t="s">
        <v>38</v>
      </c>
      <c r="G57" s="31" t="s">
        <v>39</v>
      </c>
      <c r="H57" s="32" t="s">
        <v>40</v>
      </c>
      <c r="I57" s="33"/>
      <c r="J57" s="34">
        <f>IF(AND(D57="",E57="",A57="",B57="",C57=""),"", IFERROR(IF(J56="",D2,J56),D2)+IF(OR(E57="",H57="معلق"),0,E57)-IF(OR(G57="أبو اسحاق",G57="أبو آدم",G57="أبو اسحاق ",G57="أبو آدم "),0,IF(D57="",0,D57)))</f>
        <v>346.85</v>
      </c>
      <c r="K57" s="35"/>
      <c r="L57">
        <f>IF(E56&gt;0,COUNTIF($E$4:E56,"&gt;0"),"")</f>
        <v>38</v>
      </c>
      <c r="M57" t="str">
        <f>IF(AND(D56&gt;0,G56="المحفظة"),COUNTIFS($D$4:D56,"&gt;"&amp;0,$G$4:G56,"المحفظة"),"")</f>
        <v/>
      </c>
      <c r="N57" t="str">
        <f>IF(AND(OR('طباعة كشف الحساب'!$C$2="الكل",MONTH(A57)=IFERROR(MATCH('طباعة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الحساب'!$F$2="الكل",YEAR(A57)=IFERROR(VALUE('طباعة كشف الحساب'!$F$2),0)),A57&lt;&gt;""),IFERROR(MAX($N$4:N56),0)+1,"")</f>
        <v/>
      </c>
      <c r="O57" t="str">
        <f>IF(AND(D56&gt;0,F56="أحد الشركاء"),COUNTIFS($D$4:D56,"&gt;"&amp;0,$F$4:F56,"أحد الشركاء"),"")</f>
        <v/>
      </c>
      <c r="P57">
        <f>IF(OR($A57="",$F57="أحد الشركاء",AND($D57="",$E57="")),"",SUMPRODUCT(($A$4:$A57&lt;&gt;"")*($F$4:$F57&lt;&gt;"أحد الشركاء")*((($D$4:$D57&lt;&gt;"")+($E$4:$E57&lt;&gt;""))&gt;0)))</f>
        <v>41</v>
      </c>
      <c r="Q57" t="str">
        <f>IF(OR($A57="",$F57&lt;&gt;"أحد الشركاء"),"",COUNTIFS($A$4:A57,"&lt;&gt;",$F$4:F57,"أحد الشركاء"))</f>
        <v/>
      </c>
    </row>
    <row r="58" spans="1:17" ht="18.75" customHeight="1" x14ac:dyDescent="0.25">
      <c r="A58" s="139">
        <v>46175</v>
      </c>
      <c r="B58" s="26" t="s">
        <v>138</v>
      </c>
      <c r="C58" s="37" t="s">
        <v>139</v>
      </c>
      <c r="D58" s="38"/>
      <c r="E58" s="39">
        <v>18</v>
      </c>
      <c r="F58" s="136" t="s">
        <v>38</v>
      </c>
      <c r="G58" s="40"/>
      <c r="H58" s="41" t="s">
        <v>40</v>
      </c>
      <c r="I58" s="42"/>
      <c r="J58" s="43">
        <f>IF(AND(D58="",E58="",A58="",B58="",C58=""),"", IFERROR(IF(J57="",D2,J57),D2)+IF(OR(E58="",H58="معلق"),0,E58)-IF(OR(G58="أبو اسحاق",G58="أبو آدم",G58="أبو اسحاق ",G58="أبو آدم "),0,IF(D58="",0,D58)))</f>
        <v>364.85</v>
      </c>
      <c r="K58" s="44"/>
      <c r="L58" t="str">
        <f>IF(E57&gt;0,COUNTIF($E$4:E57,"&gt;0"),"")</f>
        <v/>
      </c>
      <c r="M58">
        <f>IF(AND(D57&gt;0,G57="المحفظة"),COUNTIFS($D$4:D57,"&gt;"&amp;0,$G$4:G57,"المحفظة"),"")</f>
        <v>3</v>
      </c>
      <c r="N58" t="str">
        <f>IF(AND(OR('طباعة كشف الحساب'!$C$2="الكل",MONTH(A58)=IFERROR(MATCH('طباعة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الحساب'!$F$2="الكل",YEAR(A58)=IFERROR(VALUE('طباعة كشف الحساب'!$F$2),0)),A58&lt;&gt;""),IFERROR(MAX($N$4:N57),0)+1,"")</f>
        <v/>
      </c>
      <c r="O58" t="str">
        <f>IF(AND(D57&gt;0,F57="أحد الشركاء"),COUNTIFS($D$4:D57,"&gt;"&amp;0,$F$4:F57,"أحد الشركاء"),"")</f>
        <v/>
      </c>
      <c r="P58">
        <f>IF(OR($A58="",$F58="أحد الشركاء",AND($D58="",$E58="")),"",SUMPRODUCT(($A$4:$A58&lt;&gt;"")*($F$4:$F58&lt;&gt;"أحد الشركاء")*((($D$4:$D58&lt;&gt;"")+($E$4:$E58&lt;&gt;""))&gt;0)))</f>
        <v>42</v>
      </c>
      <c r="Q58" t="str">
        <f>IF(OR($A58="",$F58&lt;&gt;"أحد الشركاء"),"",COUNTIFS($A$4:A58,"&lt;&gt;",$F$4:F58,"أحد الشركاء"))</f>
        <v/>
      </c>
    </row>
    <row r="59" spans="1:17" ht="18.75" customHeight="1" x14ac:dyDescent="0.25">
      <c r="A59" s="139">
        <v>46175</v>
      </c>
      <c r="B59" s="36" t="s">
        <v>140</v>
      </c>
      <c r="C59" s="27" t="s">
        <v>141</v>
      </c>
      <c r="D59" s="28"/>
      <c r="E59" s="29">
        <v>2</v>
      </c>
      <c r="F59" s="30" t="s">
        <v>38</v>
      </c>
      <c r="G59" s="31"/>
      <c r="H59" s="32" t="s">
        <v>40</v>
      </c>
      <c r="I59" s="33"/>
      <c r="J59" s="34">
        <f>IF(AND(D59="",E59="",A59="",B59="",C59=""),"", IFERROR(IF(J58="",D2,J58),D2)+IF(OR(E59="",H59="معلق"),0,E59)-IF(OR(G59="أبو اسحاق",G59="أبو آدم",G59="أبو اسحاق ",G59="أبو آدم "),0,IF(D59="",0,D59)))</f>
        <v>366.85</v>
      </c>
      <c r="K59" s="35"/>
      <c r="L59">
        <f>IF(E58&gt;0,COUNTIF($E$4:E58,"&gt;0"),"")</f>
        <v>39</v>
      </c>
      <c r="M59" t="str">
        <f>IF(AND(D58&gt;0,G58="المحفظة"),COUNTIFS($D$4:D58,"&gt;"&amp;0,$G$4:G58,"المحفظة"),"")</f>
        <v/>
      </c>
      <c r="N59" t="str">
        <f>IF(AND(OR('طباعة كشف الحساب'!$C$2="الكل",MONTH(A59)=IFERROR(MATCH('طباعة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الحساب'!$F$2="الكل",YEAR(A59)=IFERROR(VALUE('طباعة كشف الحساب'!$F$2),0)),A59&lt;&gt;""),IFERROR(MAX($N$4:N58),0)+1,"")</f>
        <v/>
      </c>
      <c r="O59" t="str">
        <f>IF(AND(D58&gt;0,F58="أحد الشركاء"),COUNTIFS($D$4:D58,"&gt;"&amp;0,$F$4:F58,"أحد الشركاء"),"")</f>
        <v/>
      </c>
      <c r="P59">
        <f>IF(OR($A59="",$F59="أحد الشركاء",AND($D59="",$E59="")),"",SUMPRODUCT(($A$4:$A59&lt;&gt;"")*($F$4:$F59&lt;&gt;"أحد الشركاء")*((($D$4:$D59&lt;&gt;"")+($E$4:$E59&lt;&gt;""))&gt;0)))</f>
        <v>43</v>
      </c>
      <c r="Q59" t="str">
        <f>IF(OR($A59="",$F59&lt;&gt;"أحد الشركاء"),"",COUNTIFS($A$4:A59,"&lt;&gt;",$F$4:F59,"أحد الشركاء"))</f>
        <v/>
      </c>
    </row>
    <row r="60" spans="1:17" ht="18.75" customHeight="1" x14ac:dyDescent="0.25">
      <c r="A60" s="139">
        <v>46175</v>
      </c>
      <c r="B60" s="26" t="s">
        <v>142</v>
      </c>
      <c r="C60" s="37" t="s">
        <v>143</v>
      </c>
      <c r="D60" s="38"/>
      <c r="E60" s="39">
        <v>1.5</v>
      </c>
      <c r="F60" s="136" t="s">
        <v>38</v>
      </c>
      <c r="G60" s="40"/>
      <c r="H60" s="41" t="s">
        <v>40</v>
      </c>
      <c r="I60" s="42"/>
      <c r="J60" s="43">
        <f>IF(AND(D60="",E60="",A60="",B60="",C60=""),"", IFERROR(IF(J59="",D2,J59),D2)+IF(OR(E60="",H60="معلق"),0,E60)-IF(OR(G60="أبو اسحاق",G60="أبو آدم",G60="أبو اسحاق ",G60="أبو آدم "),0,IF(D60="",0,D60)))</f>
        <v>368.35</v>
      </c>
      <c r="K60" s="44"/>
      <c r="L60">
        <f>IF(E59&gt;0,COUNTIF($E$4:E59,"&gt;0"),"")</f>
        <v>40</v>
      </c>
      <c r="M60" t="str">
        <f>IF(AND(D59&gt;0,G59="المحفظة"),COUNTIFS($D$4:D59,"&gt;"&amp;0,$G$4:G59,"المحفظة"),"")</f>
        <v/>
      </c>
      <c r="N60" t="str">
        <f>IF(AND(OR('طباعة كشف الحساب'!$C$2="الكل",MONTH(A60)=IFERROR(MATCH('طباعة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الحساب'!$F$2="الكل",YEAR(A60)=IFERROR(VALUE('طباعة كشف الحساب'!$F$2),0)),A60&lt;&gt;""),IFERROR(MAX($N$4:N59),0)+1,"")</f>
        <v/>
      </c>
      <c r="O60" t="str">
        <f>IF(AND(D59&gt;0,F59="أحد الشركاء"),COUNTIFS($D$4:D59,"&gt;"&amp;0,$F$4:F59,"أحد الشركاء"),"")</f>
        <v/>
      </c>
      <c r="P60">
        <f>IF(OR($A60="",$F60="أحد الشركاء",AND($D60="",$E60="")),"",SUMPRODUCT(($A$4:$A60&lt;&gt;"")*($F$4:$F60&lt;&gt;"أحد الشركاء")*((($D$4:$D60&lt;&gt;"")+($E$4:$E60&lt;&gt;""))&gt;0)))</f>
        <v>44</v>
      </c>
      <c r="Q60" t="str">
        <f>IF(OR($A60="",$F60&lt;&gt;"أحد الشركاء"),"",COUNTIFS($A$4:A60,"&lt;&gt;",$F$4:F60,"أحد الشركاء"))</f>
        <v/>
      </c>
    </row>
    <row r="61" spans="1:17" ht="18.75" customHeight="1" x14ac:dyDescent="0.25">
      <c r="A61" s="139">
        <v>46175</v>
      </c>
      <c r="B61" s="36" t="s">
        <v>144</v>
      </c>
      <c r="C61" s="27" t="s">
        <v>145</v>
      </c>
      <c r="D61" s="28"/>
      <c r="E61" s="29">
        <v>3</v>
      </c>
      <c r="F61" s="30" t="s">
        <v>38</v>
      </c>
      <c r="G61" s="31"/>
      <c r="H61" s="32" t="s">
        <v>40</v>
      </c>
      <c r="I61" s="33"/>
      <c r="J61" s="34">
        <f>IF(AND(D61="",E61="",A61="",B61="",C61=""),"", IFERROR(IF(J60="",D2,J60),D2)+IF(OR(E61="",H61="معلق"),0,E61)-IF(OR(G61="أبو اسحاق",G61="أبو آدم",G61="أبو اسحاق ",G61="أبو آدم "),0,IF(D61="",0,D61)))</f>
        <v>371.35</v>
      </c>
      <c r="K61" s="35"/>
      <c r="L61">
        <f>IF(E60&gt;0,COUNTIF($E$4:E60,"&gt;0"),"")</f>
        <v>41</v>
      </c>
      <c r="M61" t="str">
        <f>IF(AND(D60&gt;0,G60="المحفظة"),COUNTIFS($D$4:D60,"&gt;"&amp;0,$G$4:G60,"المحفظة"),"")</f>
        <v/>
      </c>
      <c r="N61" t="str">
        <f>IF(AND(OR('طباعة كشف الحساب'!$C$2="الكل",MONTH(A61)=IFERROR(MATCH('طباعة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الحساب'!$F$2="الكل",YEAR(A61)=IFERROR(VALUE('طباعة كشف الحساب'!$F$2),0)),A61&lt;&gt;""),IFERROR(MAX($N$4:N60),0)+1,"")</f>
        <v/>
      </c>
      <c r="O61" t="str">
        <f>IF(AND(D60&gt;0,F60="أحد الشركاء"),COUNTIFS($D$4:D60,"&gt;"&amp;0,$F$4:F60,"أحد الشركاء"),"")</f>
        <v/>
      </c>
      <c r="P61">
        <f>IF(OR($A61="",$F61="أحد الشركاء",AND($D61="",$E61="")),"",SUMPRODUCT(($A$4:$A61&lt;&gt;"")*($F$4:$F61&lt;&gt;"أحد الشركاء")*((($D$4:$D61&lt;&gt;"")+($E$4:$E61&lt;&gt;""))&gt;0)))</f>
        <v>45</v>
      </c>
      <c r="Q61" t="str">
        <f>IF(OR($A61="",$F61&lt;&gt;"أحد الشركاء"),"",COUNTIFS($A$4:A61,"&lt;&gt;",$F$4:F61,"أحد الشركاء"))</f>
        <v/>
      </c>
    </row>
    <row r="62" spans="1:17" ht="18.75" customHeight="1" x14ac:dyDescent="0.25">
      <c r="A62" s="139">
        <v>46177</v>
      </c>
      <c r="B62" s="36" t="s">
        <v>146</v>
      </c>
      <c r="C62" s="37" t="s">
        <v>147</v>
      </c>
      <c r="D62" s="38"/>
      <c r="E62" s="39">
        <v>1</v>
      </c>
      <c r="F62" s="136" t="s">
        <v>38</v>
      </c>
      <c r="G62" s="40"/>
      <c r="H62" s="41" t="s">
        <v>40</v>
      </c>
      <c r="I62" s="42"/>
      <c r="J62" s="43">
        <f>IF(AND(D62="",E62="",A62="",B62="",C62=""),"", IFERROR(IF(J61="",D2,J61),D2)+IF(OR(E62="",H62="معلق"),0,E62)-IF(OR(G62="أبو اسحاق",G62="أبو آدم",G62="أبو اسحاق ",G62="أبو آدم "),0,IF(D62="",0,D62)))</f>
        <v>372.35</v>
      </c>
      <c r="K62" s="44"/>
      <c r="L62">
        <f>IF(E61&gt;0,COUNTIF($E$4:E61,"&gt;0"),"")</f>
        <v>42</v>
      </c>
      <c r="M62" t="str">
        <f>IF(AND(D61&gt;0,G61="المحفظة"),COUNTIFS($D$4:D61,"&gt;"&amp;0,$G$4:G61,"المحفظة"),"")</f>
        <v/>
      </c>
      <c r="N62" t="str">
        <f>IF(AND(OR('طباعة كشف الحساب'!$C$2="الكل",MONTH(A62)=IFERROR(MATCH('طباعة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الحساب'!$F$2="الكل",YEAR(A62)=IFERROR(VALUE('طباعة كشف الحساب'!$F$2),0)),A62&lt;&gt;""),IFERROR(MAX($N$4:N61),0)+1,"")</f>
        <v/>
      </c>
      <c r="O62" t="str">
        <f>IF(AND(D61&gt;0,F61="أحد الشركاء"),COUNTIFS($D$4:D61,"&gt;"&amp;0,$F$4:F61,"أحد الشركاء"),"")</f>
        <v/>
      </c>
      <c r="P62">
        <f>IF(OR($A62="",$F62="أحد الشركاء",AND($D62="",$E62="")),"",SUMPRODUCT(($A$4:$A62&lt;&gt;"")*($F$4:$F62&lt;&gt;"أحد الشركاء")*((($D$4:$D62&lt;&gt;"")+($E$4:$E62&lt;&gt;""))&gt;0)))</f>
        <v>46</v>
      </c>
      <c r="Q62" t="str">
        <f>IF(OR($A62="",$F62&lt;&gt;"أحد الشركاء"),"",COUNTIFS($A$4:A62,"&lt;&gt;",$F$4:F62,"أحد الشركاء"))</f>
        <v/>
      </c>
    </row>
    <row r="63" spans="1:17" ht="18.75" customHeight="1" x14ac:dyDescent="0.25">
      <c r="A63" s="139">
        <v>46177</v>
      </c>
      <c r="B63" s="26"/>
      <c r="C63" s="27" t="s">
        <v>148</v>
      </c>
      <c r="D63" s="28">
        <v>10</v>
      </c>
      <c r="E63" s="29"/>
      <c r="F63" s="30" t="s">
        <v>38</v>
      </c>
      <c r="G63" s="31" t="s">
        <v>39</v>
      </c>
      <c r="H63" s="32" t="s">
        <v>40</v>
      </c>
      <c r="I63" s="33"/>
      <c r="J63" s="34">
        <f>IF(AND(D63="",E63="",A63="",B63="",C63=""),"", IFERROR(IF(J62="",D2,J62),D2)+IF(OR(E63="",H63="معلق"),0,E63)-IF(OR(G63="أبو اسحاق",G63="أبو آدم",G63="أبو اسحاق ",G63="أبو آدم "),0,IF(D63="",0,D63)))</f>
        <v>362.35</v>
      </c>
      <c r="K63" s="35"/>
      <c r="L63">
        <f>IF(E62&gt;0,COUNTIF($E$4:E62,"&gt;0"),"")</f>
        <v>43</v>
      </c>
      <c r="M63" t="str">
        <f>IF(AND(D62&gt;0,G62="المحفظة"),COUNTIFS($D$4:D62,"&gt;"&amp;0,$G$4:G62,"المحفظة"),"")</f>
        <v/>
      </c>
      <c r="N63" t="str">
        <f>IF(AND(OR('طباعة كشف الحساب'!$C$2="الكل",MONTH(A63)=IFERROR(MATCH('طباعة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الحساب'!$F$2="الكل",YEAR(A63)=IFERROR(VALUE('طباعة كشف الحساب'!$F$2),0)),A63&lt;&gt;""),IFERROR(MAX($N$4:N62),0)+1,"")</f>
        <v/>
      </c>
      <c r="O63" t="str">
        <f>IF(AND(D62&gt;0,F62="أحد الشركاء"),COUNTIFS($D$4:D62,"&gt;"&amp;0,$F$4:F62,"أحد الشركاء"),"")</f>
        <v/>
      </c>
      <c r="P63">
        <f>IF(OR($A63="",$F63="أحد الشركاء",AND($D63="",$E63="")),"",SUMPRODUCT(($A$4:$A63&lt;&gt;"")*($F$4:$F63&lt;&gt;"أحد الشركاء")*((($D$4:$D63&lt;&gt;"")+($E$4:$E63&lt;&gt;""))&gt;0)))</f>
        <v>47</v>
      </c>
      <c r="Q63" t="str">
        <f>IF(OR($A63="",$F63&lt;&gt;"أحد الشركاء"),"",COUNTIFS($A$4:A63,"&lt;&gt;",$F$4:F63,"أحد الشركاء"))</f>
        <v/>
      </c>
    </row>
    <row r="64" spans="1:17" ht="18.75" customHeight="1" x14ac:dyDescent="0.25">
      <c r="A64" s="139">
        <v>46177</v>
      </c>
      <c r="B64" s="36"/>
      <c r="C64" s="37" t="s">
        <v>57</v>
      </c>
      <c r="D64" s="38">
        <v>3.25</v>
      </c>
      <c r="E64" s="39"/>
      <c r="F64" s="136" t="s">
        <v>38</v>
      </c>
      <c r="G64" s="40" t="s">
        <v>39</v>
      </c>
      <c r="H64" s="41" t="s">
        <v>40</v>
      </c>
      <c r="I64" s="42"/>
      <c r="J64" s="43">
        <f>IF(AND(D64="",E64="",A64="",B64="",C64=""),"", IFERROR(IF(J63="",D2,J63),D2)+IF(OR(E64="",H64="معلق"),0,E64)-IF(OR(G64="أبو اسحاق",G64="أبو آدم",G64="أبو اسحاق ",G64="أبو آدم "),0,IF(D64="",0,D64)))</f>
        <v>359.1</v>
      </c>
      <c r="K64" s="44"/>
      <c r="L64" t="str">
        <f>IF(E63&gt;0,COUNTIF($E$4:E63,"&gt;0"),"")</f>
        <v/>
      </c>
      <c r="M64">
        <f>IF(AND(D63&gt;0,G63="المحفظة"),COUNTIFS($D$4:D63,"&gt;"&amp;0,$G$4:G63,"المحفظة"),"")</f>
        <v>4</v>
      </c>
      <c r="N64" t="str">
        <f>IF(AND(OR('طباعة كشف الحساب'!$C$2="الكل",MONTH(A64)=IFERROR(MATCH('طباعة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الحساب'!$F$2="الكل",YEAR(A64)=IFERROR(VALUE('طباعة كشف الحساب'!$F$2),0)),A64&lt;&gt;""),IFERROR(MAX($N$4:N63),0)+1,"")</f>
        <v/>
      </c>
      <c r="O64" t="str">
        <f>IF(AND(D63&gt;0,F63="أحد الشركاء"),COUNTIFS($D$4:D63,"&gt;"&amp;0,$F$4:F63,"أحد الشركاء"),"")</f>
        <v/>
      </c>
      <c r="P64">
        <f>IF(OR($A64="",$F64="أحد الشركاء",AND($D64="",$E64="")),"",SUMPRODUCT(($A$4:$A64&lt;&gt;"")*($F$4:$F64&lt;&gt;"أحد الشركاء")*((($D$4:$D64&lt;&gt;"")+($E$4:$E64&lt;&gt;""))&gt;0)))</f>
        <v>48</v>
      </c>
      <c r="Q64" t="str">
        <f>IF(OR($A64="",$F64&lt;&gt;"أحد الشركاء"),"",COUNTIFS($A$4:A64,"&lt;&gt;",$F$4:F64,"أحد الشركاء"))</f>
        <v/>
      </c>
    </row>
    <row r="65" spans="1:17" ht="18.75" customHeight="1" x14ac:dyDescent="0.25">
      <c r="A65" s="139">
        <v>46177</v>
      </c>
      <c r="B65" s="26"/>
      <c r="C65" s="27" t="s">
        <v>149</v>
      </c>
      <c r="D65" s="28">
        <v>12</v>
      </c>
      <c r="E65" s="29"/>
      <c r="F65" s="30" t="s">
        <v>38</v>
      </c>
      <c r="G65" s="31" t="s">
        <v>39</v>
      </c>
      <c r="H65" s="32" t="s">
        <v>40</v>
      </c>
      <c r="I65" s="33"/>
      <c r="J65" s="34">
        <f>IF(AND(D65="",E65="",A65="",B65="",C65=""),"", IFERROR(IF(J64="",D2,J64),D2)+IF(OR(E65="",H65="معلق"),0,E65)-IF(OR(G65="أبو اسحاق",G65="أبو آدم",G65="أبو اسحاق ",G65="أبو آدم "),0,IF(D65="",0,D65)))</f>
        <v>347.1</v>
      </c>
      <c r="K65" s="35"/>
      <c r="L65" t="str">
        <f>IF(E64&gt;0,COUNTIF($E$4:E64,"&gt;0"),"")</f>
        <v/>
      </c>
      <c r="M65">
        <f>IF(AND(D64&gt;0,G64="المحفظة"),COUNTIFS($D$4:D64,"&gt;"&amp;0,$G$4:G64,"المحفظة"),"")</f>
        <v>5</v>
      </c>
      <c r="N65" t="str">
        <f>IF(AND(OR('طباعة كشف الحساب'!$C$2="الكل",MONTH(A65)=IFERROR(MATCH('طباعة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الحساب'!$F$2="الكل",YEAR(A65)=IFERROR(VALUE('طباعة كشف الحساب'!$F$2),0)),A65&lt;&gt;""),IFERROR(MAX($N$4:N64),0)+1,"")</f>
        <v/>
      </c>
      <c r="O65" t="str">
        <f>IF(AND(D64&gt;0,F64="أحد الشركاء"),COUNTIFS($D$4:D64,"&gt;"&amp;0,$F$4:F64,"أحد الشركاء"),"")</f>
        <v/>
      </c>
      <c r="P65">
        <f>IF(OR($A65="",$F65="أحد الشركاء",AND($D65="",$E65="")),"",SUMPRODUCT(($A$4:$A65&lt;&gt;"")*($F$4:$F65&lt;&gt;"أحد الشركاء")*((($D$4:$D65&lt;&gt;"")+($E$4:$E65&lt;&gt;""))&gt;0)))</f>
        <v>49</v>
      </c>
      <c r="Q65" t="str">
        <f>IF(OR($A65="",$F65&lt;&gt;"أحد الشركاء"),"",COUNTIFS($A$4:A65,"&lt;&gt;",$F$4:F65,"أحد الشركاء"))</f>
        <v/>
      </c>
    </row>
    <row r="66" spans="1:17" ht="18.75" customHeight="1" x14ac:dyDescent="0.25">
      <c r="A66" s="139">
        <v>46179</v>
      </c>
      <c r="B66" s="36" t="s">
        <v>150</v>
      </c>
      <c r="C66" s="37" t="s">
        <v>151</v>
      </c>
      <c r="D66" s="38"/>
      <c r="E66" s="39">
        <v>3</v>
      </c>
      <c r="F66" s="136" t="s">
        <v>38</v>
      </c>
      <c r="G66" s="40"/>
      <c r="H66" s="41" t="s">
        <v>40</v>
      </c>
      <c r="I66" s="42"/>
      <c r="J66" s="43">
        <f>IF(AND(D66="",E66="",A66="",B66="",C66=""),"", IFERROR(IF(J65="",D2,J65),D2)+IF(OR(E66="",H66="معلق"),0,E66)-IF(OR(G66="أبو اسحاق",G66="أبو آدم",G66="أبو اسحاق ",G66="أبو آدم "),0,IF(D66="",0,D66)))</f>
        <v>350.1</v>
      </c>
      <c r="K66" s="44"/>
      <c r="L66" t="str">
        <f>IF(E65&gt;0,COUNTIF($E$4:E65,"&gt;0"),"")</f>
        <v/>
      </c>
      <c r="M66">
        <f>IF(AND(D65&gt;0,G65="المحفظة"),COUNTIFS($D$4:D65,"&gt;"&amp;0,$G$4:G65,"المحفظة"),"")</f>
        <v>6</v>
      </c>
      <c r="N66" t="str">
        <f>IF(AND(OR('طباعة كشف الحساب'!$C$2="الكل",MONTH(A66)=IFERROR(MATCH('طباعة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الحساب'!$F$2="الكل",YEAR(A66)=IFERROR(VALUE('طباعة كشف الحساب'!$F$2),0)),A66&lt;&gt;""),IFERROR(MAX($N$4:N65),0)+1,"")</f>
        <v/>
      </c>
      <c r="O66" t="str">
        <f>IF(AND(D65&gt;0,F65="أحد الشركاء"),COUNTIFS($D$4:D65,"&gt;"&amp;0,$F$4:F65,"أحد الشركاء"),"")</f>
        <v/>
      </c>
      <c r="P66">
        <f>IF(OR($A66="",$F66="أحد الشركاء",AND($D66="",$E66="")),"",SUMPRODUCT(($A$4:$A66&lt;&gt;"")*($F$4:$F66&lt;&gt;"أحد الشركاء")*((($D$4:$D66&lt;&gt;"")+($E$4:$E66&lt;&gt;""))&gt;0)))</f>
        <v>50</v>
      </c>
      <c r="Q66" t="str">
        <f>IF(OR($A66="",$F66&lt;&gt;"أحد الشركاء"),"",COUNTIFS($A$4:A66,"&lt;&gt;",$F$4:F66,"أحد الشركاء"))</f>
        <v/>
      </c>
    </row>
    <row r="67" spans="1:17" ht="18.75" customHeight="1" x14ac:dyDescent="0.25">
      <c r="A67" s="139">
        <v>46179</v>
      </c>
      <c r="B67" s="36" t="s">
        <v>152</v>
      </c>
      <c r="C67" s="27" t="s">
        <v>153</v>
      </c>
      <c r="D67" s="28"/>
      <c r="E67" s="29">
        <v>1</v>
      </c>
      <c r="F67" s="30" t="s">
        <v>38</v>
      </c>
      <c r="G67" s="31"/>
      <c r="H67" s="32" t="s">
        <v>40</v>
      </c>
      <c r="I67" s="33"/>
      <c r="J67" s="34">
        <f>IF(AND(D67="",E67="",A67="",B67="",C67=""),"", IFERROR(IF(J66="",D2,J66),D2)+IF(OR(E67="",H67="معلق"),0,E67)-IF(OR(G67="أبو اسحاق",G67="أبو آدم",G67="أبو اسحاق ",G67="أبو آدم "),0,IF(D67="",0,D67)))</f>
        <v>351.1</v>
      </c>
      <c r="K67" s="35"/>
      <c r="L67">
        <f>IF(E66&gt;0,COUNTIF($E$4:E66,"&gt;0"),"")</f>
        <v>44</v>
      </c>
      <c r="M67" t="str">
        <f>IF(AND(D66&gt;0,G66="المحفظة"),COUNTIFS($D$4:D66,"&gt;"&amp;0,$G$4:G66,"المحفظة"),"")</f>
        <v/>
      </c>
      <c r="N67" t="str">
        <f>IF(AND(OR('طباعة كشف الحساب'!$C$2="الكل",MONTH(A67)=IFERROR(MATCH('طباعة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الحساب'!$F$2="الكل",YEAR(A67)=IFERROR(VALUE('طباعة كشف الحساب'!$F$2),0)),A67&lt;&gt;""),IFERROR(MAX($N$4:N66),0)+1,"")</f>
        <v/>
      </c>
      <c r="O67" t="str">
        <f>IF(AND(D66&gt;0,F66="أحد الشركاء"),COUNTIFS($D$4:D66,"&gt;"&amp;0,$F$4:F66,"أحد الشركاء"),"")</f>
        <v/>
      </c>
      <c r="P67">
        <f>IF(OR($A67="",$F67="أحد الشركاء",AND($D67="",$E67="")),"",SUMPRODUCT(($A$4:$A67&lt;&gt;"")*($F$4:$F67&lt;&gt;"أحد الشركاء")*((($D$4:$D67&lt;&gt;"")+($E$4:$E67&lt;&gt;""))&gt;0)))</f>
        <v>51</v>
      </c>
      <c r="Q67" t="str">
        <f>IF(OR($A67="",$F67&lt;&gt;"أحد الشركاء"),"",COUNTIFS($A$4:A67,"&lt;&gt;",$F$4:F67,"أحد الشركاء"))</f>
        <v/>
      </c>
    </row>
    <row r="68" spans="1:17" ht="18.75" customHeight="1" x14ac:dyDescent="0.25">
      <c r="A68" s="139">
        <v>46179</v>
      </c>
      <c r="B68" s="36" t="s">
        <v>154</v>
      </c>
      <c r="C68" s="37" t="s">
        <v>155</v>
      </c>
      <c r="D68" s="38"/>
      <c r="E68" s="39">
        <v>3</v>
      </c>
      <c r="F68" s="136" t="s">
        <v>38</v>
      </c>
      <c r="G68" s="40"/>
      <c r="H68" s="41" t="s">
        <v>40</v>
      </c>
      <c r="I68" s="42"/>
      <c r="J68" s="43">
        <f>IF(AND(D68="",E68="",A68="",B68="",C68=""),"", IFERROR(IF(J67="",D2,J67),D2)+IF(OR(E68="",H68="معلق"),0,E68)-IF(OR(G68="أبو اسحاق",G68="أبو آدم",G68="أبو اسحاق ",G68="أبو آدم "),0,IF(D68="",0,D68)))</f>
        <v>354.1</v>
      </c>
      <c r="K68" s="44"/>
      <c r="L68">
        <f>IF(E67&gt;0,COUNTIF($E$4:E67,"&gt;0"),"")</f>
        <v>45</v>
      </c>
      <c r="M68" t="str">
        <f>IF(AND(D67&gt;0,G67="المحفظة"),COUNTIFS($D$4:D67,"&gt;"&amp;0,$G$4:G67,"المحفظة"),"")</f>
        <v/>
      </c>
      <c r="N68" t="str">
        <f>IF(AND(OR('طباعة كشف الحساب'!$C$2="الكل",MONTH(A68)=IFERROR(MATCH('طباعة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الحساب'!$F$2="الكل",YEAR(A68)=IFERROR(VALUE('طباعة كشف الحساب'!$F$2),0)),A68&lt;&gt;""),IFERROR(MAX($N$4:N67),0)+1,"")</f>
        <v/>
      </c>
      <c r="O68" t="str">
        <f>IF(AND(D67&gt;0,F67="أحد الشركاء"),COUNTIFS($D$4:D67,"&gt;"&amp;0,$F$4:F67,"أحد الشركاء"),"")</f>
        <v/>
      </c>
      <c r="P68">
        <f>IF(OR($A68="",$F68="أحد الشركاء",AND($D68="",$E68="")),"",SUMPRODUCT(($A$4:$A68&lt;&gt;"")*($F$4:$F68&lt;&gt;"أحد الشركاء")*((($D$4:$D68&lt;&gt;"")+($E$4:$E68&lt;&gt;""))&gt;0)))</f>
        <v>52</v>
      </c>
      <c r="Q68" t="str">
        <f>IF(OR($A68="",$F68&lt;&gt;"أحد الشركاء"),"",COUNTIFS($A$4:A68,"&lt;&gt;",$F$4:F68,"أحد الشركاء"))</f>
        <v/>
      </c>
    </row>
    <row r="69" spans="1:17" ht="18.75" customHeight="1" x14ac:dyDescent="0.25">
      <c r="A69" s="25">
        <v>46181</v>
      </c>
      <c r="B69" s="26" t="s">
        <v>156</v>
      </c>
      <c r="C69" s="27" t="s">
        <v>157</v>
      </c>
      <c r="D69" s="28"/>
      <c r="E69" s="29">
        <v>15</v>
      </c>
      <c r="F69" s="30" t="s">
        <v>38</v>
      </c>
      <c r="G69" s="31"/>
      <c r="H69" s="32" t="s">
        <v>40</v>
      </c>
      <c r="I69" s="33"/>
      <c r="J69" s="34">
        <f>IF(AND(D69="",E69="",A69="",B69="",C69=""),"", IFERROR(IF(J68="",D2,J68),D2)+IF(OR(E69="",H69="معلق"),0,E69)-IF(OR(G69="أبو اسحاق",G69="أبو آدم",G69="أبو اسحاق ",G69="أبو آدم "),0,IF(D69="",0,D69)))</f>
        <v>369.1</v>
      </c>
      <c r="K69" s="35"/>
      <c r="L69">
        <f>IF(E68&gt;0,COUNTIF($E$4:E68,"&gt;0"),"")</f>
        <v>46</v>
      </c>
      <c r="M69" t="str">
        <f>IF(AND(D68&gt;0,G68="المحفظة"),COUNTIFS($D$4:D68,"&gt;"&amp;0,$G$4:G68,"المحفظة"),"")</f>
        <v/>
      </c>
      <c r="N69" t="str">
        <f>IF(AND(OR('طباعة كشف الحساب'!$C$2="الكل",MONTH(A69)=IFERROR(MATCH('طباعة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الحساب'!$F$2="الكل",YEAR(A69)=IFERROR(VALUE('طباعة كشف الحساب'!$F$2),0)),A69&lt;&gt;""),IFERROR(MAX($N$4:N68),0)+1,"")</f>
        <v/>
      </c>
      <c r="O69" t="str">
        <f>IF(AND(D68&gt;0,F68="أحد الشركاء"),COUNTIFS($D$4:D68,"&gt;"&amp;0,$F$4:F68,"أحد الشركاء"),"")</f>
        <v/>
      </c>
      <c r="P69">
        <f>IF(OR($A69="",$F69="أحد الشركاء",AND($D69="",$E69="")),"",SUMPRODUCT(($A$4:$A69&lt;&gt;"")*($F$4:$F69&lt;&gt;"أحد الشركاء")*((($D$4:$D69&lt;&gt;"")+($E$4:$E69&lt;&gt;""))&gt;0)))</f>
        <v>53</v>
      </c>
      <c r="Q69" t="str">
        <f>IF(OR($A69="",$F69&lt;&gt;"أحد الشركاء"),"",COUNTIFS($A$4:A69,"&lt;&gt;",$F$4:F69,"أحد الشركاء"))</f>
        <v/>
      </c>
    </row>
    <row r="70" spans="1:17" ht="18.75" customHeight="1" x14ac:dyDescent="0.25">
      <c r="A70" s="139">
        <v>46181</v>
      </c>
      <c r="C70" s="37" t="s">
        <v>158</v>
      </c>
      <c r="D70" s="38">
        <v>2.8</v>
      </c>
      <c r="E70" s="39"/>
      <c r="F70" s="136" t="s">
        <v>38</v>
      </c>
      <c r="G70" s="40" t="s">
        <v>39</v>
      </c>
      <c r="H70" s="41" t="s">
        <v>40</v>
      </c>
      <c r="I70" s="42"/>
      <c r="J70" s="43">
        <f>IF(AND(D70="",E70="",A70="",B70="",C70=""),"", IFERROR(IF(J69="",D2,J69),D2)+IF(OR(E70="",H70="معلق"),0,E70)-IF(OR(G70="أبو اسحاق",G70="أبو آدم",G70="أبو اسحاق ",G70="أبو آدم "),0,IF(D70="",0,D70)))</f>
        <v>366.3</v>
      </c>
      <c r="K70" s="44"/>
      <c r="L70">
        <f>IF(E69&gt;0,COUNTIF($E$4:E69,"&gt;0"),"")</f>
        <v>47</v>
      </c>
      <c r="M70" t="str">
        <f>IF(AND(D69&gt;0,G69="المحفظة"),COUNTIFS($D$4:D69,"&gt;"&amp;0,$G$4:G69,"المحفظة"),"")</f>
        <v/>
      </c>
      <c r="N70" t="str">
        <f>IF(AND(OR('طباعة كشف الحساب'!$C$2="الكل",MONTH(A70)=IFERROR(MATCH('طباعة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الحساب'!$F$2="الكل",YEAR(A70)=IFERROR(VALUE('طباعة كشف الحساب'!$F$2),0)),A70&lt;&gt;""),IFERROR(MAX($N$4:N69),0)+1,"")</f>
        <v/>
      </c>
      <c r="O70" t="str">
        <f>IF(AND(D69&gt;0,F69="أحد الشركاء"),COUNTIFS($D$4:D69,"&gt;"&amp;0,$F$4:F69,"أحد الشركاء"),"")</f>
        <v/>
      </c>
      <c r="P70">
        <f>IF(OR($A70="",$F70="أحد الشركاء",AND($D70="",$E70="")),"",SUMPRODUCT(($A$4:$A70&lt;&gt;"")*($F$4:$F70&lt;&gt;"أحد الشركاء")*((($D$4:$D70&lt;&gt;"")+($E$4:$E70&lt;&gt;""))&gt;0)))</f>
        <v>54</v>
      </c>
      <c r="Q70" t="str">
        <f>IF(OR($A70="",$F70&lt;&gt;"أحد الشركاء"),"",COUNTIFS($A$4:A70,"&lt;&gt;",$F$4:F70,"أحد الشركاء"))</f>
        <v/>
      </c>
    </row>
    <row r="71" spans="1:17" ht="18.75" customHeight="1" x14ac:dyDescent="0.25">
      <c r="A71" s="139">
        <v>46181</v>
      </c>
      <c r="C71" s="37" t="s">
        <v>159</v>
      </c>
      <c r="D71" s="28">
        <v>46.75</v>
      </c>
      <c r="E71" s="29"/>
      <c r="F71" s="30" t="s">
        <v>38</v>
      </c>
      <c r="G71" s="31" t="s">
        <v>39</v>
      </c>
      <c r="H71" s="32" t="s">
        <v>40</v>
      </c>
      <c r="I71" s="33"/>
      <c r="J71" s="34">
        <f>IF(AND(D71="",E71="",A71="",B71="",C71=""),"", IFERROR(IF(J70="",D2,J70),D2)+IF(OR(E71="",H71="معلق"),0,E71)-IF(OR(G71="أبو اسحاق",G71="أبو آدم",G71="أبو اسحاق ",G71="أبو آدم "),0,IF(D71="",0,D71)))</f>
        <v>319.55</v>
      </c>
      <c r="K71" s="35"/>
      <c r="L71" t="str">
        <f>IF(E70&gt;0,COUNTIF($E$4:E70,"&gt;0"),"")</f>
        <v/>
      </c>
      <c r="M71">
        <f>IF(AND(D70&gt;0,G70="المحفظة"),COUNTIFS($D$4:D70,"&gt;"&amp;0,$G$4:G70,"المحفظة"),"")</f>
        <v>7</v>
      </c>
      <c r="N71" t="str">
        <f>IF(AND(OR('طباعة كشف الحساب'!$C$2="الكل",MONTH(A71)=IFERROR(MATCH('طباعة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الحساب'!$F$2="الكل",YEAR(A71)=IFERROR(VALUE('طباعة كشف الحساب'!$F$2),0)),A71&lt;&gt;""),IFERROR(MAX($N$4:N70),0)+1,"")</f>
        <v/>
      </c>
      <c r="O71" t="str">
        <f>IF(AND(D70&gt;0,F70="أحد الشركاء"),COUNTIFS($D$4:D70,"&gt;"&amp;0,$F$4:F70,"أحد الشركاء"),"")</f>
        <v/>
      </c>
      <c r="P71">
        <f>IF(OR($A71="",$F71="أحد الشركاء",AND($D71="",$E71="")),"",SUMPRODUCT(($A$4:$A71&lt;&gt;"")*($F$4:$F71&lt;&gt;"أحد الشركاء")*((($D$4:$D71&lt;&gt;"")+($E$4:$E71&lt;&gt;""))&gt;0)))</f>
        <v>55</v>
      </c>
      <c r="Q71" t="str">
        <f>IF(OR($A71="",$F71&lt;&gt;"أحد الشركاء"),"",COUNTIFS($A$4:A71,"&lt;&gt;",$F$4:F71,"أحد الشركاء"))</f>
        <v/>
      </c>
    </row>
    <row r="72" spans="1:17" ht="18.75" customHeight="1" x14ac:dyDescent="0.25">
      <c r="A72" s="139">
        <v>46182</v>
      </c>
      <c r="B72" s="26" t="s">
        <v>160</v>
      </c>
      <c r="C72" s="37" t="s">
        <v>87</v>
      </c>
      <c r="D72" s="38"/>
      <c r="E72" s="39">
        <v>22.5</v>
      </c>
      <c r="F72" s="136" t="s">
        <v>38</v>
      </c>
      <c r="G72" s="40"/>
      <c r="H72" s="41" t="s">
        <v>40</v>
      </c>
      <c r="I72" s="42"/>
      <c r="J72" s="43">
        <f>IF(AND(D72="",E72="",A72="",B72="",C72=""),"", IFERROR(IF(J71="",D2,J71),D2)+IF(OR(E72="",H72="معلق"),0,E72)-IF(OR(G72="أبو اسحاق",G72="أبو آدم",G72="أبو اسحاق ",G72="أبو آدم "),0,IF(D72="",0,D72)))</f>
        <v>342.05</v>
      </c>
      <c r="K72" s="44"/>
      <c r="L72" t="str">
        <f>IF(E71&gt;0,COUNTIF($E$4:E71,"&gt;0"),"")</f>
        <v/>
      </c>
      <c r="M72">
        <f>IF(AND(D71&gt;0,G71="المحفظة"),COUNTIFS($D$4:D71,"&gt;"&amp;0,$G$4:G71,"المحفظة"),"")</f>
        <v>8</v>
      </c>
      <c r="N72" t="str">
        <f>IF(AND(OR('طباعة كشف الحساب'!$C$2="الكل",MONTH(A72)=IFERROR(MATCH('طباعة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الحساب'!$F$2="الكل",YEAR(A72)=IFERROR(VALUE('طباعة كشف الحساب'!$F$2),0)),A72&lt;&gt;""),IFERROR(MAX($N$4:N71),0)+1,"")</f>
        <v/>
      </c>
      <c r="O72" t="str">
        <f>IF(AND(D71&gt;0,F71="أحد الشركاء"),COUNTIFS($D$4:D71,"&gt;"&amp;0,$F$4:F71,"أحد الشركاء"),"")</f>
        <v/>
      </c>
      <c r="P72">
        <f>IF(OR($A72="",$F72="أحد الشركاء",AND($D72="",$E72="")),"",SUMPRODUCT(($A$4:$A72&lt;&gt;"")*($F$4:$F72&lt;&gt;"أحد الشركاء")*((($D$4:$D72&lt;&gt;"")+($E$4:$E72&lt;&gt;""))&gt;0)))</f>
        <v>56</v>
      </c>
      <c r="Q72" t="str">
        <f>IF(OR($A72="",$F72&lt;&gt;"أحد الشركاء"),"",COUNTIFS($A$4:A72,"&lt;&gt;",$F$4:F72,"أحد الشركاء"))</f>
        <v/>
      </c>
    </row>
    <row r="73" spans="1:17" ht="18.75" customHeight="1" x14ac:dyDescent="0.25">
      <c r="A73" s="25">
        <v>46184</v>
      </c>
      <c r="B73" s="26"/>
      <c r="C73" s="27" t="s">
        <v>161</v>
      </c>
      <c r="D73" s="28">
        <v>3.5</v>
      </c>
      <c r="E73" s="29"/>
      <c r="F73" s="30" t="s">
        <v>38</v>
      </c>
      <c r="G73" s="31" t="s">
        <v>39</v>
      </c>
      <c r="H73" s="32" t="s">
        <v>40</v>
      </c>
      <c r="I73" s="33"/>
      <c r="J73" s="34">
        <f>IF(AND(D73="",E73="",A73="",B73="",C73=""),"", IFERROR(IF(J72="",D2,J72),D2)+IF(OR(E73="",H73="معلق"),0,E73)-IF(OR(G73="أبو اسحاق",G73="أبو آدم",G73="أبو اسحاق ",G73="أبو آدم "),0,IF(D73="",0,D73)))</f>
        <v>338.55</v>
      </c>
      <c r="K73" s="35"/>
      <c r="L73">
        <f>IF(E72&gt;0,COUNTIF($E$4:E72,"&gt;0"),"")</f>
        <v>48</v>
      </c>
      <c r="M73" t="str">
        <f>IF(AND(D72&gt;0,G72="المحفظة"),COUNTIFS($D$4:D72,"&gt;"&amp;0,$G$4:G72,"المحفظة"),"")</f>
        <v/>
      </c>
      <c r="N73" t="str">
        <f>IF(AND(OR('طباعة كشف الحساب'!$C$2="الكل",MONTH(A73)=IFERROR(MATCH('طباعة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الحساب'!$F$2="الكل",YEAR(A73)=IFERROR(VALUE('طباعة كشف الحساب'!$F$2),0)),A73&lt;&gt;""),IFERROR(MAX($N$4:N72),0)+1,"")</f>
        <v/>
      </c>
      <c r="O73" t="str">
        <f>IF(AND(D72&gt;0,F72="أحد الشركاء"),COUNTIFS($D$4:D72,"&gt;"&amp;0,$F$4:F72,"أحد الشركاء"),"")</f>
        <v/>
      </c>
      <c r="P73">
        <f>IF(OR($A73="",$F73="أحد الشركاء",AND($D73="",$E73="")),"",SUMPRODUCT(($A$4:$A73&lt;&gt;"")*($F$4:$F73&lt;&gt;"أحد الشركاء")*((($D$4:$D73&lt;&gt;"")+($E$4:$E73&lt;&gt;""))&gt;0)))</f>
        <v>57</v>
      </c>
      <c r="Q73" t="str">
        <f>IF(OR($A73="",$F73&lt;&gt;"أحد الشركاء"),"",COUNTIFS($A$4:A73,"&lt;&gt;",$F$4:F73,"أحد الشركاء"))</f>
        <v/>
      </c>
    </row>
    <row r="74" spans="1:17" ht="18.75" customHeight="1" x14ac:dyDescent="0.25">
      <c r="A74" s="139">
        <v>46184</v>
      </c>
      <c r="B74" s="109" t="s">
        <v>162</v>
      </c>
      <c r="C74" s="110" t="s">
        <v>157</v>
      </c>
      <c r="D74" s="111"/>
      <c r="E74" s="112"/>
      <c r="F74" s="113" t="s">
        <v>38</v>
      </c>
      <c r="G74" s="114"/>
      <c r="H74" s="115" t="s">
        <v>40</v>
      </c>
      <c r="I74" s="116"/>
      <c r="J74" s="117">
        <f>IF(AND(D74="",E74="",A74="",B74="",C74=""),"", IFERROR(IF(J73="",D2,J73),D2)+IF(OR(E74="",H74="معلق"),0,E74)-IF(OR(G74="أبو اسحاق",G74="أبو آدم",G74="أبو اسحاق ",G74="أبو آدم "),0,IF(D74="",0,D74)))</f>
        <v>338.55</v>
      </c>
      <c r="K74" s="118" t="s">
        <v>163</v>
      </c>
      <c r="L74" t="str">
        <f>IF(E73&gt;0,COUNTIF($E$4:E73,"&gt;0"),"")</f>
        <v/>
      </c>
      <c r="M74">
        <f>IF(AND(D73&gt;0,G73="المحفظة"),COUNTIFS($D$4:D73,"&gt;"&amp;0,$G$4:G73,"المحفظة"),"")</f>
        <v>9</v>
      </c>
      <c r="N74" t="str">
        <f>IF(AND(OR('طباعة كشف الحساب'!$C$2="الكل",MONTH(A74)=IFERROR(MATCH('طباعة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الحساب'!$F$2="الكل",YEAR(A74)=IFERROR(VALUE('طباعة كشف الحساب'!$F$2),0)),A74&lt;&gt;""),IFERROR(MAX($N$4:N73),0)+1,"")</f>
        <v/>
      </c>
      <c r="O74" t="str">
        <f>IF(AND(D73&gt;0,F73="أحد الشركاء"),COUNTIFS($D$4:D73,"&gt;"&amp;0,$F$4:F73,"أحد الشركاء"),"")</f>
        <v/>
      </c>
      <c r="P74" t="str">
        <f>IF(OR($A74="",$F74="أحد الشركاء",AND($D74="",$E74="")),"",SUMPRODUCT(($A$4:$A74&lt;&gt;"")*($F$4:$F74&lt;&gt;"أحد الشركاء")*((($D$4:$D74&lt;&gt;"")+($E$4:$E74&lt;&gt;""))&gt;0)))</f>
        <v/>
      </c>
      <c r="Q74" t="str">
        <f>IF(OR($A74="",$F74&lt;&gt;"أحد الشركاء"),"",COUNTIFS($A$4:A74,"&lt;&gt;",$F$4:F74,"أحد الشركاء"))</f>
        <v/>
      </c>
    </row>
    <row r="75" spans="1:17" ht="18.75" customHeight="1" x14ac:dyDescent="0.25">
      <c r="A75" s="25">
        <v>46185</v>
      </c>
      <c r="B75" s="26"/>
      <c r="C75" s="27" t="s">
        <v>164</v>
      </c>
      <c r="D75" s="28">
        <v>2</v>
      </c>
      <c r="E75" s="29"/>
      <c r="F75" s="30" t="s">
        <v>38</v>
      </c>
      <c r="G75" s="31" t="s">
        <v>39</v>
      </c>
      <c r="H75" s="32" t="s">
        <v>40</v>
      </c>
      <c r="I75" s="33"/>
      <c r="J75" s="34">
        <f>IF(AND(D75="",E75="",A75="",B75="",C75=""),"", IFERROR(IF(J74="",D2,J74),D2)+IF(OR(E75="",H75="معلق"),0,E75)-IF(OR(G75="أبو اسحاق",G75="أبو آدم",G75="أبو اسحاق ",G75="أبو آدم "),0,IF(D75="",0,D75)))</f>
        <v>336.55</v>
      </c>
      <c r="K75" s="35"/>
      <c r="L75" t="str">
        <f>IF(E74&gt;0,COUNTIF($E$4:E74,"&gt;0"),"")</f>
        <v/>
      </c>
      <c r="M75" t="str">
        <f>IF(AND(D74&gt;0,G74="المحفظة"),COUNTIFS($D$4:D74,"&gt;"&amp;0,$G$4:G74,"المحفظة"),"")</f>
        <v/>
      </c>
      <c r="N75" t="str">
        <f>IF(AND(OR('طباعة كشف الحساب'!$C$2="الكل",MONTH(A75)=IFERROR(MATCH('طباعة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الحساب'!$F$2="الكل",YEAR(A75)=IFERROR(VALUE('طباعة كشف الحساب'!$F$2),0)),A75&lt;&gt;""),IFERROR(MAX($N$4:N74),0)+1,"")</f>
        <v/>
      </c>
      <c r="O75" t="str">
        <f>IF(AND(D74&gt;0,F74="أحد الشركاء"),COUNTIFS($D$4:D74,"&gt;"&amp;0,$F$4:F74,"أحد الشركاء"),"")</f>
        <v/>
      </c>
      <c r="P75">
        <f>IF(OR($A75="",$F75="أحد الشركاء",AND($D75="",$E75="")),"",SUMPRODUCT(($A$4:$A75&lt;&gt;"")*($F$4:$F75&lt;&gt;"أحد الشركاء")*((($D$4:$D75&lt;&gt;"")+($E$4:$E75&lt;&gt;""))&gt;0)))</f>
        <v>58</v>
      </c>
      <c r="Q75" t="str">
        <f>IF(OR($A75="",$F75&lt;&gt;"أحد الشركاء"),"",COUNTIFS($A$4:A75,"&lt;&gt;",$F$4:F75,"أحد الشركاء"))</f>
        <v/>
      </c>
    </row>
    <row r="76" spans="1:17" ht="18.75" customHeight="1" x14ac:dyDescent="0.25">
      <c r="A76" s="139">
        <v>46186</v>
      </c>
      <c r="B76" s="36" t="s">
        <v>165</v>
      </c>
      <c r="C76" s="37" t="s">
        <v>166</v>
      </c>
      <c r="D76" s="38"/>
      <c r="E76" s="39">
        <v>10</v>
      </c>
      <c r="F76" s="136" t="s">
        <v>38</v>
      </c>
      <c r="G76" s="40"/>
      <c r="H76" s="41" t="s">
        <v>40</v>
      </c>
      <c r="I76" s="42"/>
      <c r="J76" s="43">
        <f>IF(AND(D76="",E76="",A76="",B76="",C76=""),"", IFERROR(IF(J75="",D2,J75),D2)+IF(OR(E76="",H76="معلق"),0,E76)-IF(OR(G76="أبو اسحاق",G76="أبو آدم",G76="أبو اسحاق ",G76="أبو آدم "),0,IF(D76="",0,D76)))</f>
        <v>346.55</v>
      </c>
      <c r="K76" s="44"/>
      <c r="L76" t="str">
        <f>IF(E75&gt;0,COUNTIF($E$4:E75,"&gt;0"),"")</f>
        <v/>
      </c>
      <c r="M76">
        <f>IF(AND(D75&gt;0,G75="المحفظة"),COUNTIFS($D$4:D75,"&gt;"&amp;0,$G$4:G75,"المحفظة"),"")</f>
        <v>10</v>
      </c>
      <c r="N76" t="str">
        <f>IF(AND(OR('طباعة كشف الحساب'!$C$2="الكل",MONTH(A76)=IFERROR(MATCH('طباعة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الحساب'!$F$2="الكل",YEAR(A76)=IFERROR(VALUE('طباعة كشف الحساب'!$F$2),0)),A76&lt;&gt;""),IFERROR(MAX($N$4:N75),0)+1,"")</f>
        <v/>
      </c>
      <c r="O76" t="str">
        <f>IF(AND(D75&gt;0,F75="أحد الشركاء"),COUNTIFS($D$4:D75,"&gt;"&amp;0,$F$4:F75,"أحد الشركاء"),"")</f>
        <v/>
      </c>
      <c r="P76">
        <f>IF(OR($A76="",$F76="أحد الشركاء",AND($D76="",$E76="")),"",SUMPRODUCT(($A$4:$A76&lt;&gt;"")*($F$4:$F76&lt;&gt;"أحد الشركاء")*((($D$4:$D76&lt;&gt;"")+($E$4:$E76&lt;&gt;""))&gt;0)))</f>
        <v>59</v>
      </c>
      <c r="Q76" t="str">
        <f>IF(OR($A76="",$F76&lt;&gt;"أحد الشركاء"),"",COUNTIFS($A$4:A76,"&lt;&gt;",$F$4:F76,"أحد الشركاء"))</f>
        <v/>
      </c>
    </row>
    <row r="77" spans="1:17" ht="18.75" customHeight="1" x14ac:dyDescent="0.25">
      <c r="A77" s="139">
        <v>46186</v>
      </c>
      <c r="B77" s="36" t="s">
        <v>167</v>
      </c>
      <c r="C77" s="27" t="s">
        <v>168</v>
      </c>
      <c r="D77" s="28"/>
      <c r="E77" s="29">
        <v>5</v>
      </c>
      <c r="F77" s="30" t="s">
        <v>38</v>
      </c>
      <c r="G77" s="31"/>
      <c r="H77" s="32" t="s">
        <v>40</v>
      </c>
      <c r="I77" s="33"/>
      <c r="J77" s="34">
        <f>IF(AND(D77="",E77="",A77="",B77="",C77=""),"", IFERROR(IF(J76="",D2,J76),D2)+IF(OR(E77="",H77="معلق"),0,E77)-IF(OR(G77="أبو اسحاق",G77="أبو آدم",G77="أبو اسحاق ",G77="أبو آدم "),0,IF(D77="",0,D77)))</f>
        <v>351.55</v>
      </c>
      <c r="K77" s="35"/>
      <c r="L77">
        <f>IF(E76&gt;0,COUNTIF($E$4:E76,"&gt;0"),"")</f>
        <v>49</v>
      </c>
      <c r="M77" t="str">
        <f>IF(AND(D76&gt;0,G76="المحفظة"),COUNTIFS($D$4:D76,"&gt;"&amp;0,$G$4:G76,"المحفظة"),"")</f>
        <v/>
      </c>
      <c r="N77" t="str">
        <f>IF(AND(OR('طباعة كشف الحساب'!$C$2="الكل",MONTH(A77)=IFERROR(MATCH('طباعة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الحساب'!$F$2="الكل",YEAR(A77)=IFERROR(VALUE('طباعة كشف الحساب'!$F$2),0)),A77&lt;&gt;""),IFERROR(MAX($N$4:N76),0)+1,"")</f>
        <v/>
      </c>
      <c r="O77" t="str">
        <f>IF(AND(D76&gt;0,F76="أحد الشركاء"),COUNTIFS($D$4:D76,"&gt;"&amp;0,$F$4:F76,"أحد الشركاء"),"")</f>
        <v/>
      </c>
      <c r="P77">
        <f>IF(OR($A77="",$F77="أحد الشركاء",AND($D77="",$E77="")),"",SUMPRODUCT(($A$4:$A77&lt;&gt;"")*($F$4:$F77&lt;&gt;"أحد الشركاء")*((($D$4:$D77&lt;&gt;"")+($E$4:$E77&lt;&gt;""))&gt;0)))</f>
        <v>60</v>
      </c>
      <c r="Q77" t="str">
        <f>IF(OR($A77="",$F77&lt;&gt;"أحد الشركاء"),"",COUNTIFS($A$4:A77,"&lt;&gt;",$F$4:F77,"أحد الشركاء"))</f>
        <v/>
      </c>
    </row>
    <row r="78" spans="1:17" ht="18.75" customHeight="1" x14ac:dyDescent="0.25">
      <c r="A78" s="139">
        <v>46187</v>
      </c>
      <c r="B78" s="36"/>
      <c r="C78" s="37" t="s">
        <v>169</v>
      </c>
      <c r="D78" s="38">
        <v>107.5</v>
      </c>
      <c r="E78" s="39"/>
      <c r="F78" s="136" t="s">
        <v>48</v>
      </c>
      <c r="G78" s="40" t="s">
        <v>49</v>
      </c>
      <c r="H78" s="41" t="s">
        <v>50</v>
      </c>
      <c r="I78" s="42"/>
      <c r="J78" s="43">
        <f>IF(AND(D78="",E78="",A78="",B78="",C78=""),"", IFERROR(IF(J77="",D2,J77),D2)+IF(OR(E78="",H78="معلق"),0,E78)-IF(OR(G78="أبو اسحاق",G78="أبو آدم",G78="أبو اسحاق ",G78="أبو آدم "),0,IF(D78="",0,D78)))</f>
        <v>351.55</v>
      </c>
      <c r="K78" s="44"/>
      <c r="L78">
        <f>IF(E77&gt;0,COUNTIF($E$4:E77,"&gt;0"),"")</f>
        <v>50</v>
      </c>
      <c r="M78" t="str">
        <f>IF(AND(D77&gt;0,G77="المحفظة"),COUNTIFS($D$4:D77,"&gt;"&amp;0,$G$4:G77,"المحفظة"),"")</f>
        <v/>
      </c>
      <c r="N78" t="str">
        <f>IF(AND(OR('طباعة كشف الحساب'!$C$2="الكل",MONTH(A78)=IFERROR(MATCH('طباعة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الحساب'!$F$2="الكل",YEAR(A78)=IFERROR(VALUE('طباعة كشف الحساب'!$F$2),0)),A78&lt;&gt;""),IFERROR(MAX($N$4:N77),0)+1,"")</f>
        <v/>
      </c>
      <c r="O78" t="str">
        <f>IF(AND(D77&gt;0,F77="أحد الشركاء"),COUNTIFS($D$4:D77,"&gt;"&amp;0,$F$4:F77,"أحد الشركاء"),"")</f>
        <v/>
      </c>
      <c r="P78" t="str">
        <f>IF(OR($A78="",$F78="أحد الشركاء",AND($D78="",$E78="")),"",SUMPRODUCT(($A$4:$A78&lt;&gt;"")*($F$4:$F78&lt;&gt;"أحد الشركاء")*((($D$4:$D78&lt;&gt;"")+($E$4:$E78&lt;&gt;""))&gt;0)))</f>
        <v/>
      </c>
      <c r="Q78">
        <f>IF(OR($A78="",$F78&lt;&gt;"أحد الشركاء"),"",COUNTIFS($A$4:A78,"&lt;&gt;",$F$4:F78,"أحد الشركاء"))</f>
        <v>9</v>
      </c>
    </row>
    <row r="79" spans="1:17" ht="18.75" customHeight="1" x14ac:dyDescent="0.25">
      <c r="A79" s="25">
        <v>46189</v>
      </c>
      <c r="B79" s="36" t="s">
        <v>170</v>
      </c>
      <c r="C79" s="27" t="s">
        <v>171</v>
      </c>
      <c r="D79" s="28"/>
      <c r="E79" s="29">
        <v>15</v>
      </c>
      <c r="F79" s="30" t="s">
        <v>172</v>
      </c>
      <c r="G79" s="31"/>
      <c r="H79" s="32" t="s">
        <v>40</v>
      </c>
      <c r="I79" s="33"/>
      <c r="J79" s="34">
        <f>IF(AND(D79="",E79="",A79="",B79="",C79=""),"", IFERROR(IF(J78="",D2,J78),D2)+IF(OR(E79="",H79="معلق"),0,E79)-IF(OR(G79="أبو اسحاق",G79="أبو آدم",G79="أبو اسحاق ",G79="أبو آدم "),0,IF(D79="",0,D79)))</f>
        <v>366.55</v>
      </c>
      <c r="K79" s="35"/>
      <c r="L79" t="str">
        <f>IF(E78&gt;0,COUNTIF($E$4:E78,"&gt;0"),"")</f>
        <v/>
      </c>
      <c r="M79" t="str">
        <f>IF(AND(D78&gt;0,G78="المحفظة"),COUNTIFS($D$4:D78,"&gt;"&amp;0,$G$4:G78,"المحفظة"),"")</f>
        <v/>
      </c>
      <c r="N79" t="str">
        <f>IF(AND(OR('طباعة كشف الحساب'!$C$2="الكل",MONTH(A79)=IFERROR(MATCH('طباعة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الحساب'!$F$2="الكل",YEAR(A79)=IFERROR(VALUE('طباعة كشف الحساب'!$F$2),0)),A79&lt;&gt;""),IFERROR(MAX($N$4:N78),0)+1,"")</f>
        <v/>
      </c>
      <c r="O79">
        <f>IF(AND(D78&gt;0,F78="أحد الشركاء"),COUNTIFS($D$4:D78,"&gt;"&amp;0,$F$4:F78,"أحد الشركاء"),"")</f>
        <v>9</v>
      </c>
      <c r="P79">
        <f>IF(OR($A79="",$F79="أحد الشركاء",AND($D79="",$E79="")),"",SUMPRODUCT(($A$4:$A79&lt;&gt;"")*($F$4:$F79&lt;&gt;"أحد الشركاء")*((($D$4:$D79&lt;&gt;"")+($E$4:$E79&lt;&gt;""))&gt;0)))</f>
        <v>61</v>
      </c>
      <c r="Q79" t="str">
        <f>IF(OR($A79="",$F79&lt;&gt;"أحد الشركاء"),"",COUNTIFS($A$4:A79,"&lt;&gt;",$F$4:F79,"أحد الشركاء"))</f>
        <v/>
      </c>
    </row>
    <row r="80" spans="1:17" ht="18.75" customHeight="1" x14ac:dyDescent="0.25">
      <c r="A80" s="25">
        <v>46189</v>
      </c>
      <c r="B80" s="36" t="s">
        <v>173</v>
      </c>
      <c r="C80" s="37" t="s">
        <v>174</v>
      </c>
      <c r="D80" s="38"/>
      <c r="E80" s="39">
        <v>7</v>
      </c>
      <c r="F80" s="136" t="s">
        <v>172</v>
      </c>
      <c r="G80" s="40"/>
      <c r="H80" s="41" t="s">
        <v>40</v>
      </c>
      <c r="I80" s="42"/>
      <c r="J80" s="43">
        <f>IF(AND(D80="",E80="",A80="",B80="",C80=""),"", IFERROR(IF(J79="",D2,J79),D2)+IF(OR(E80="",H80="معلق"),0,E80)-IF(OR(G80="أبو اسحاق",G80="أبو آدم",G80="أبو اسحاق ",G80="أبو آدم "),0,IF(D80="",0,D80)))</f>
        <v>373.55</v>
      </c>
      <c r="K80" s="44"/>
      <c r="L80">
        <f>IF(E79&gt;0,COUNTIF($E$4:E79,"&gt;0"),"")</f>
        <v>51</v>
      </c>
      <c r="M80" t="str">
        <f>IF(AND(D79&gt;0,G79="المحفظة"),COUNTIFS($D$4:D79,"&gt;"&amp;0,$G$4:G79,"المحفظة"),"")</f>
        <v/>
      </c>
      <c r="N80" t="str">
        <f>IF(AND(OR('طباعة كشف الحساب'!$C$2="الكل",MONTH(A80)=IFERROR(MATCH('طباعة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الحساب'!$F$2="الكل",YEAR(A80)=IFERROR(VALUE('طباعة كشف الحساب'!$F$2),0)),A80&lt;&gt;""),IFERROR(MAX($N$4:N79),0)+1,"")</f>
        <v/>
      </c>
      <c r="O80" t="str">
        <f>IF(AND(D79&gt;0,F79="أحد الشركاء"),COUNTIFS($D$4:D79,"&gt;"&amp;0,$F$4:F79,"أحد الشركاء"),"")</f>
        <v/>
      </c>
      <c r="P80">
        <f>IF(OR($A80="",$F80="أحد الشركاء",AND($D80="",$E80="")),"",SUMPRODUCT(($A$4:$A80&lt;&gt;"")*($F$4:$F80&lt;&gt;"أحد الشركاء")*((($D$4:$D80&lt;&gt;"")+($E$4:$E80&lt;&gt;""))&gt;0)))</f>
        <v>62</v>
      </c>
      <c r="Q80" t="str">
        <f>IF(OR($A80="",$F80&lt;&gt;"أحد الشركاء"),"",COUNTIFS($A$4:A80,"&lt;&gt;",$F$4:F80,"أحد الشركاء"))</f>
        <v/>
      </c>
    </row>
    <row r="81" spans="1:17" ht="18.75" customHeight="1" x14ac:dyDescent="0.25">
      <c r="A81" s="25">
        <v>46189</v>
      </c>
      <c r="B81" s="36" t="s">
        <v>175</v>
      </c>
      <c r="C81" s="27" t="s">
        <v>176</v>
      </c>
      <c r="D81" s="28"/>
      <c r="E81" s="29">
        <v>10</v>
      </c>
      <c r="F81" s="30" t="s">
        <v>172</v>
      </c>
      <c r="G81" s="31"/>
      <c r="H81" s="32" t="s">
        <v>40</v>
      </c>
      <c r="I81" s="33"/>
      <c r="J81" s="34">
        <f>IF(AND(D81="",E81="",A81="",B81="",C81=""),"", IFERROR(IF(J80="",D2,J80),D2)+IF(OR(E81="",H81="معلق"),0,E81)-IF(OR(G81="أبو اسحاق",G81="أبو آدم",G81="أبو اسحاق ",G81="أبو آدم "),0,IF(D81="",0,D81)))</f>
        <v>383.55</v>
      </c>
      <c r="K81" s="35"/>
      <c r="L81">
        <f>IF(E80&gt;0,COUNTIF($E$4:E80,"&gt;0"),"")</f>
        <v>52</v>
      </c>
      <c r="M81" t="str">
        <f>IF(AND(D80&gt;0,G80="المحفظة"),COUNTIFS($D$4:D80,"&gt;"&amp;0,$G$4:G80,"المحفظة"),"")</f>
        <v/>
      </c>
      <c r="N81" t="str">
        <f>IF(AND(OR('طباعة كشف الحساب'!$C$2="الكل",MONTH(A81)=IFERROR(MATCH('طباعة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الحساب'!$F$2="الكل",YEAR(A81)=IFERROR(VALUE('طباعة كشف الحساب'!$F$2),0)),A81&lt;&gt;""),IFERROR(MAX($N$4:N80),0)+1,"")</f>
        <v/>
      </c>
      <c r="O81" t="str">
        <f>IF(AND(D80&gt;0,F80="أحد الشركاء"),COUNTIFS($D$4:D80,"&gt;"&amp;0,$F$4:F80,"أحد الشركاء"),"")</f>
        <v/>
      </c>
      <c r="P81">
        <f>IF(OR($A81="",$F81="أحد الشركاء",AND($D81="",$E81="")),"",SUMPRODUCT(($A$4:$A81&lt;&gt;"")*($F$4:$F81&lt;&gt;"أحد الشركاء")*((($D$4:$D81&lt;&gt;"")+($E$4:$E81&lt;&gt;""))&gt;0)))</f>
        <v>63</v>
      </c>
      <c r="Q81" t="str">
        <f>IF(OR($A81="",$F81&lt;&gt;"أحد الشركاء"),"",COUNTIFS($A$4:A81,"&lt;&gt;",$F$4:F81,"أحد الشركاء"))</f>
        <v/>
      </c>
    </row>
    <row r="82" spans="1:17" ht="18.75" customHeight="1" x14ac:dyDescent="0.25">
      <c r="A82" s="25">
        <v>46189</v>
      </c>
      <c r="B82" s="36" t="s">
        <v>177</v>
      </c>
      <c r="C82" s="37" t="s">
        <v>139</v>
      </c>
      <c r="D82" s="38"/>
      <c r="E82" s="39">
        <v>18</v>
      </c>
      <c r="F82" s="136" t="s">
        <v>172</v>
      </c>
      <c r="G82" s="40"/>
      <c r="H82" s="41" t="s">
        <v>40</v>
      </c>
      <c r="I82" s="42"/>
      <c r="J82" s="43">
        <f>IF(AND(D82="",E82="",A82="",B82="",C82=""),"", IFERROR(IF(J81="",D2,J81),D2)+IF(OR(E82="",H82="معلق"),0,E82)-IF(OR(G82="أبو اسحاق",G82="أبو آدم",G82="أبو اسحاق ",G82="أبو آدم "),0,IF(D82="",0,D82)))</f>
        <v>401.55</v>
      </c>
      <c r="K82" s="44"/>
      <c r="L82">
        <f>IF(E81&gt;0,COUNTIF($E$4:E81,"&gt;0"),"")</f>
        <v>53</v>
      </c>
      <c r="M82" t="str">
        <f>IF(AND(D81&gt;0,G81="المحفظة"),COUNTIFS($D$4:D81,"&gt;"&amp;0,$G$4:G81,"المحفظة"),"")</f>
        <v/>
      </c>
      <c r="N82" t="str">
        <f>IF(AND(OR('طباعة كشف الحساب'!$C$2="الكل",MONTH(A82)=IFERROR(MATCH('طباعة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الحساب'!$F$2="الكل",YEAR(A82)=IFERROR(VALUE('طباعة كشف الحساب'!$F$2),0)),A82&lt;&gt;""),IFERROR(MAX($N$4:N81),0)+1,"")</f>
        <v/>
      </c>
      <c r="O82" t="str">
        <f>IF(AND(D81&gt;0,F81="أحد الشركاء"),COUNTIFS($D$4:D81,"&gt;"&amp;0,$F$4:F81,"أحد الشركاء"),"")</f>
        <v/>
      </c>
      <c r="P82">
        <f>IF(OR($A82="",$F82="أحد الشركاء",AND($D82="",$E82="")),"",SUMPRODUCT(($A$4:$A82&lt;&gt;"")*($F$4:$F82&lt;&gt;"أحد الشركاء")*((($D$4:$D82&lt;&gt;"")+($E$4:$E82&lt;&gt;""))&gt;0)))</f>
        <v>64</v>
      </c>
      <c r="Q82" t="str">
        <f>IF(OR($A82="",$F82&lt;&gt;"أحد الشركاء"),"",COUNTIFS($A$4:A82,"&lt;&gt;",$F$4:F82,"أحد الشركاء"))</f>
        <v/>
      </c>
    </row>
    <row r="83" spans="1:17" ht="18.75" customHeight="1" x14ac:dyDescent="0.25">
      <c r="A83" s="25">
        <v>46188</v>
      </c>
      <c r="B83" s="26"/>
      <c r="C83" s="27" t="s">
        <v>178</v>
      </c>
      <c r="D83" s="28">
        <v>25</v>
      </c>
      <c r="E83" s="29"/>
      <c r="F83" s="30" t="s">
        <v>172</v>
      </c>
      <c r="G83" s="31" t="s">
        <v>39</v>
      </c>
      <c r="H83" s="32" t="s">
        <v>40</v>
      </c>
      <c r="I83" s="33"/>
      <c r="J83" s="34">
        <f>IF(AND(D83="",E83="",A83="",B83="",C83=""),"", IFERROR(IF(J82="",D2,J82),D2)+IF(OR(E83="",H83="معلق"),0,E83)-IF(OR(G83="أبو اسحاق",G83="أبو آدم",G83="أبو اسحاق ",G83="أبو آدم "),0,IF(D83="",0,D83)))</f>
        <v>376.55</v>
      </c>
      <c r="K83" s="35"/>
      <c r="L83">
        <f>IF(E82&gt;0,COUNTIF($E$4:E82,"&gt;0"),"")</f>
        <v>54</v>
      </c>
      <c r="M83" t="str">
        <f>IF(AND(D82&gt;0,G82="المحفظة"),COUNTIFS($D$4:D82,"&gt;"&amp;0,$G$4:G82,"المحفظة"),"")</f>
        <v/>
      </c>
      <c r="N83" t="str">
        <f>IF(AND(OR('طباعة كشف الحساب'!$C$2="الكل",MONTH(A83)=IFERROR(MATCH('طباعة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الحساب'!$F$2="الكل",YEAR(A83)=IFERROR(VALUE('طباعة كشف الحساب'!$F$2),0)),A83&lt;&gt;""),IFERROR(MAX($N$4:N82),0)+1,"")</f>
        <v/>
      </c>
      <c r="O83" t="str">
        <f>IF(AND(D82&gt;0,F82="أحد الشركاء"),COUNTIFS($D$4:D82,"&gt;"&amp;0,$F$4:F82,"أحد الشركاء"),"")</f>
        <v/>
      </c>
      <c r="P83">
        <f>IF(OR($A83="",$F83="أحد الشركاء",AND($D83="",$E83="")),"",SUMPRODUCT(($A$4:$A83&lt;&gt;"")*($F$4:$F83&lt;&gt;"أحد الشركاء")*((($D$4:$D83&lt;&gt;"")+($E$4:$E83&lt;&gt;""))&gt;0)))</f>
        <v>65</v>
      </c>
      <c r="Q83" t="str">
        <f>IF(OR($A83="",$F83&lt;&gt;"أحد الشركاء"),"",COUNTIFS($A$4:A83,"&lt;&gt;",$F$4:F83,"أحد الشركاء"))</f>
        <v/>
      </c>
    </row>
    <row r="84" spans="1:17" ht="18.75" customHeight="1" x14ac:dyDescent="0.25">
      <c r="A84" s="139">
        <v>46190</v>
      </c>
      <c r="B84" s="36" t="s">
        <v>179</v>
      </c>
      <c r="C84" s="37" t="s">
        <v>180</v>
      </c>
      <c r="D84" s="38"/>
      <c r="E84" s="39">
        <v>0.75</v>
      </c>
      <c r="F84" s="136" t="s">
        <v>172</v>
      </c>
      <c r="G84" s="40"/>
      <c r="H84" s="41" t="s">
        <v>40</v>
      </c>
      <c r="I84" s="42"/>
      <c r="J84" s="43">
        <f>IF(AND(D84="",E84="",A84="",B84="",C84=""),"", IFERROR(IF(J83="",D2,J83),D2)+IF(OR(E84="",H84="معلق"),0,E84)-IF(OR(G84="أبو اسحاق",G84="أبو آدم",G84="أبو اسحاق ",G84="أبو آدم "),0,IF(D84="",0,D84)))</f>
        <v>377.3</v>
      </c>
      <c r="K84" s="44"/>
      <c r="L84" t="str">
        <f>IF(E83&gt;0,COUNTIF($E$4:E83,"&gt;0"),"")</f>
        <v/>
      </c>
      <c r="M84">
        <f>IF(AND(D83&gt;0,G83="المحفظة"),COUNTIFS($D$4:D83,"&gt;"&amp;0,$G$4:G83,"المحفظة"),"")</f>
        <v>11</v>
      </c>
      <c r="N84" t="str">
        <f>IF(AND(OR('طباعة كشف الحساب'!$C$2="الكل",MONTH(A84)=IFERROR(MATCH('طباعة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الحساب'!$F$2="الكل",YEAR(A84)=IFERROR(VALUE('طباعة كشف الحساب'!$F$2),0)),A84&lt;&gt;""),IFERROR(MAX($N$4:N83),0)+1,"")</f>
        <v/>
      </c>
      <c r="O84" t="str">
        <f>IF(AND(D83&gt;0,F83="أحد الشركاء"),COUNTIFS($D$4:D83,"&gt;"&amp;0,$F$4:F83,"أحد الشركاء"),"")</f>
        <v/>
      </c>
      <c r="P84">
        <f>IF(OR($A84="",$F84="أحد الشركاء",AND($D84="",$E84="")),"",SUMPRODUCT(($A$4:$A84&lt;&gt;"")*($F$4:$F84&lt;&gt;"أحد الشركاء")*((($D$4:$D84&lt;&gt;"")+($E$4:$E84&lt;&gt;""))&gt;0)))</f>
        <v>66</v>
      </c>
      <c r="Q84" t="str">
        <f>IF(OR($A84="",$F84&lt;&gt;"أحد الشركاء"),"",COUNTIFS($A$4:A84,"&lt;&gt;",$F$4:F84,"أحد الشركاء"))</f>
        <v/>
      </c>
    </row>
    <row r="85" spans="1:17" ht="18.75" customHeight="1" x14ac:dyDescent="0.25">
      <c r="A85" s="139">
        <v>46190</v>
      </c>
      <c r="B85" s="36" t="s">
        <v>181</v>
      </c>
      <c r="C85" s="27" t="s">
        <v>182</v>
      </c>
      <c r="D85" s="28"/>
      <c r="E85" s="29">
        <v>1.5</v>
      </c>
      <c r="F85" s="30" t="s">
        <v>172</v>
      </c>
      <c r="G85" s="31"/>
      <c r="H85" s="32" t="s">
        <v>40</v>
      </c>
      <c r="I85" s="33"/>
      <c r="J85" s="34">
        <f>IF(AND(D85="",E85="",A85="",B85="",C85=""),"", IFERROR(IF(J84="",D2,J84),D2)+IF(OR(E85="",H85="معلق"),0,E85)-IF(OR(G85="أبو اسحاق",G85="أبو آدم",G85="أبو اسحاق ",G85="أبو آدم "),0,IF(D85="",0,D85)))</f>
        <v>378.8</v>
      </c>
      <c r="K85" s="35"/>
      <c r="L85">
        <f>IF(E84&gt;0,COUNTIF($E$4:E84,"&gt;0"),"")</f>
        <v>55</v>
      </c>
      <c r="M85" t="str">
        <f>IF(AND(D84&gt;0,G84="المحفظة"),COUNTIFS($D$4:D84,"&gt;"&amp;0,$G$4:G84,"المحفظة"),"")</f>
        <v/>
      </c>
      <c r="N85" t="str">
        <f>IF(AND(OR('طباعة كشف الحساب'!$C$2="الكل",MONTH(A85)=IFERROR(MATCH('طباعة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الحساب'!$F$2="الكل",YEAR(A85)=IFERROR(VALUE('طباعة كشف الحساب'!$F$2),0)),A85&lt;&gt;""),IFERROR(MAX($N$4:N84),0)+1,"")</f>
        <v/>
      </c>
      <c r="O85" t="str">
        <f>IF(AND(D84&gt;0,F84="أحد الشركاء"),COUNTIFS($D$4:D84,"&gt;"&amp;0,$F$4:F84,"أحد الشركاء"),"")</f>
        <v/>
      </c>
      <c r="P85">
        <f>IF(OR($A85="",$F85="أحد الشركاء",AND($D85="",$E85="")),"",SUMPRODUCT(($A$4:$A85&lt;&gt;"")*($F$4:$F85&lt;&gt;"أحد الشركاء")*((($D$4:$D85&lt;&gt;"")+($E$4:$E85&lt;&gt;""))&gt;0)))</f>
        <v>67</v>
      </c>
      <c r="Q85" t="str">
        <f>IF(OR($A85="",$F85&lt;&gt;"أحد الشركاء"),"",COUNTIFS($A$4:A85,"&lt;&gt;",$F$4:F85,"أحد الشركاء"))</f>
        <v/>
      </c>
    </row>
    <row r="86" spans="1:17" ht="18.75" customHeight="1" x14ac:dyDescent="0.25">
      <c r="A86" s="139">
        <v>46191</v>
      </c>
      <c r="B86" s="36" t="s">
        <v>183</v>
      </c>
      <c r="C86" s="37" t="s">
        <v>184</v>
      </c>
      <c r="D86" s="38"/>
      <c r="E86" s="39">
        <v>0.75</v>
      </c>
      <c r="F86" s="136" t="s">
        <v>172</v>
      </c>
      <c r="G86" s="40"/>
      <c r="H86" s="41" t="s">
        <v>40</v>
      </c>
      <c r="I86" s="42"/>
      <c r="J86" s="43">
        <f>IF(AND(D86="",E86="",A86="",B86="",C86=""),"", IFERROR(IF(J85="",D2,J85),D2)+IF(OR(E86="",H86="معلق"),0,E86)-IF(OR(G86="أبو اسحاق",G86="أبو آدم",G86="أبو اسحاق ",G86="أبو آدم "),0,IF(D86="",0,D86)))</f>
        <v>379.55</v>
      </c>
      <c r="K86" s="44"/>
      <c r="L86">
        <f>IF(E85&gt;0,COUNTIF($E$4:E85,"&gt;0"),"")</f>
        <v>56</v>
      </c>
      <c r="M86" t="str">
        <f>IF(AND(D85&gt;0,G85="المحفظة"),COUNTIFS($D$4:D85,"&gt;"&amp;0,$G$4:G85,"المحفظة"),"")</f>
        <v/>
      </c>
      <c r="N86" t="str">
        <f>IF(AND(OR('طباعة كشف الحساب'!$C$2="الكل",MONTH(A86)=IFERROR(MATCH('طباعة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الحساب'!$F$2="الكل",YEAR(A86)=IFERROR(VALUE('طباعة كشف الحساب'!$F$2),0)),A86&lt;&gt;""),IFERROR(MAX($N$4:N85),0)+1,"")</f>
        <v/>
      </c>
      <c r="O86" t="str">
        <f>IF(AND(D85&gt;0,F85="أحد الشركاء"),COUNTIFS($D$4:D85,"&gt;"&amp;0,$F$4:F85,"أحد الشركاء"),"")</f>
        <v/>
      </c>
      <c r="P86">
        <f>IF(OR($A86="",$F86="أحد الشركاء",AND($D86="",$E86="")),"",SUMPRODUCT(($A$4:$A86&lt;&gt;"")*($F$4:$F86&lt;&gt;"أحد الشركاء")*((($D$4:$D86&lt;&gt;"")+($E$4:$E86&lt;&gt;""))&gt;0)))</f>
        <v>68</v>
      </c>
      <c r="Q86" t="str">
        <f>IF(OR($A86="",$F86&lt;&gt;"أحد الشركاء"),"",COUNTIFS($A$4:A86,"&lt;&gt;",$F$4:F86,"أحد الشركاء"))</f>
        <v/>
      </c>
    </row>
    <row r="87" spans="1:17" ht="18.75" customHeight="1" x14ac:dyDescent="0.25">
      <c r="A87" s="139">
        <v>46191</v>
      </c>
      <c r="B87" s="36" t="s">
        <v>185</v>
      </c>
      <c r="C87" s="27" t="s">
        <v>186</v>
      </c>
      <c r="D87" s="28"/>
      <c r="E87" s="29">
        <v>3</v>
      </c>
      <c r="F87" s="30" t="s">
        <v>172</v>
      </c>
      <c r="G87" s="31"/>
      <c r="H87" s="32" t="s">
        <v>40</v>
      </c>
      <c r="I87" s="33"/>
      <c r="J87" s="34">
        <f>IF(AND(D87="",E87="",A87="",B87="",C87=""),"", IFERROR(IF(J86="",D2,J86),D2)+IF(OR(E87="",H87="معلق"),0,E87)-IF(OR(G87="أبو اسحاق",G87="أبو آدم",G87="أبو اسحاق ",G87="أبو آدم "),0,IF(D87="",0,D87)))</f>
        <v>382.55</v>
      </c>
      <c r="K87" s="35"/>
      <c r="L87">
        <f>IF(E86&gt;0,COUNTIF($E$4:E86,"&gt;0"),"")</f>
        <v>57</v>
      </c>
      <c r="M87" t="str">
        <f>IF(AND(D86&gt;0,G86="المحفظة"),COUNTIFS($D$4:D86,"&gt;"&amp;0,$G$4:G86,"المحفظة"),"")</f>
        <v/>
      </c>
      <c r="N87" t="str">
        <f>IF(AND(OR('طباعة كشف الحساب'!$C$2="الكل",MONTH(A87)=IFERROR(MATCH('طباعة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الحساب'!$F$2="الكل",YEAR(A87)=IFERROR(VALUE('طباعة كشف الحساب'!$F$2),0)),A87&lt;&gt;""),IFERROR(MAX($N$4:N86),0)+1,"")</f>
        <v/>
      </c>
      <c r="O87" t="str">
        <f>IF(AND(D86&gt;0,F86="أحد الشركاء"),COUNTIFS($D$4:D86,"&gt;"&amp;0,$F$4:F86,"أحد الشركاء"),"")</f>
        <v/>
      </c>
      <c r="P87">
        <f>IF(OR($A87="",$F87="أحد الشركاء",AND($D87="",$E87="")),"",SUMPRODUCT(($A$4:$A87&lt;&gt;"")*($F$4:$F87&lt;&gt;"أحد الشركاء")*((($D$4:$D87&lt;&gt;"")+($E$4:$E87&lt;&gt;""))&gt;0)))</f>
        <v>69</v>
      </c>
      <c r="Q87" t="str">
        <f>IF(OR($A87="",$F87&lt;&gt;"أحد الشركاء"),"",COUNTIFS($A$4:A87,"&lt;&gt;",$F$4:F87,"أحد الشركاء"))</f>
        <v/>
      </c>
    </row>
    <row r="88" spans="1:17" ht="18.75" customHeight="1" x14ac:dyDescent="0.25">
      <c r="A88" s="139">
        <v>46199</v>
      </c>
      <c r="B88" s="36" t="s">
        <v>187</v>
      </c>
      <c r="C88" s="37" t="s">
        <v>188</v>
      </c>
      <c r="D88" s="38"/>
      <c r="E88" s="39">
        <v>22</v>
      </c>
      <c r="F88" s="136" t="s">
        <v>172</v>
      </c>
      <c r="G88" s="40"/>
      <c r="H88" s="41" t="s">
        <v>40</v>
      </c>
      <c r="I88" s="42"/>
      <c r="J88" s="43">
        <f>IF(AND(D88="",E88="",A88="",B88="",C88=""),"", IFERROR(IF(J87="",D2,J87),D2)+IF(OR(E88="",H88="معلق"),0,E88)-IF(OR(G88="أبو اسحاق",G88="أبو آدم",G88="أبو اسحاق ",G88="أبو آدم "),0,IF(D88="",0,D88)))</f>
        <v>404.55</v>
      </c>
      <c r="K88" s="44"/>
      <c r="L88">
        <f>IF(E87&gt;0,COUNTIF($E$4:E87,"&gt;0"),"")</f>
        <v>58</v>
      </c>
      <c r="M88" t="str">
        <f>IF(AND(D87&gt;0,G87="المحفظة"),COUNTIFS($D$4:D87,"&gt;"&amp;0,$G$4:G87,"المحفظة"),"")</f>
        <v/>
      </c>
      <c r="N88" t="str">
        <f>IF(AND(OR('طباعة كشف الحساب'!$C$2="الكل",MONTH(A88)=IFERROR(MATCH('طباعة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الحساب'!$F$2="الكل",YEAR(A88)=IFERROR(VALUE('طباعة كشف الحساب'!$F$2),0)),A88&lt;&gt;""),IFERROR(MAX($N$4:N87),0)+1,"")</f>
        <v/>
      </c>
      <c r="O88" t="str">
        <f>IF(AND(D87&gt;0,F87="أحد الشركاء"),COUNTIFS($D$4:D87,"&gt;"&amp;0,$F$4:F87,"أحد الشركاء"),"")</f>
        <v/>
      </c>
      <c r="P88">
        <f>IF(OR($A88="",$F88="أحد الشركاء",AND($D88="",$E88="")),"",SUMPRODUCT(($A$4:$A88&lt;&gt;"")*($F$4:$F88&lt;&gt;"أحد الشركاء")*((($D$4:$D88&lt;&gt;"")+($E$4:$E88&lt;&gt;""))&gt;0)))</f>
        <v>70</v>
      </c>
      <c r="Q88" t="str">
        <f>IF(OR($A88="",$F88&lt;&gt;"أحد الشركاء"),"",COUNTIFS($A$4:A88,"&lt;&gt;",$F$4:F88,"أحد الشركاء"))</f>
        <v/>
      </c>
    </row>
    <row r="89" spans="1:17" ht="18.75" customHeight="1" x14ac:dyDescent="0.25">
      <c r="A89" s="139">
        <v>46199</v>
      </c>
      <c r="B89" s="36" t="s">
        <v>189</v>
      </c>
      <c r="C89" s="27" t="s">
        <v>190</v>
      </c>
      <c r="D89" s="28"/>
      <c r="E89" s="29">
        <v>9</v>
      </c>
      <c r="F89" s="30" t="s">
        <v>172</v>
      </c>
      <c r="G89" s="31"/>
      <c r="H89" s="32" t="s">
        <v>40</v>
      </c>
      <c r="I89" s="33"/>
      <c r="J89" s="34">
        <f>IF(AND(D89="",E89="",A89="",B89="",C89=""),"", IFERROR(IF(J88="",D2,J88),D2)+IF(OR(E89="",H89="معلق"),0,E89)-IF(OR(G89="أبو اسحاق",G89="أبو آدم",G89="أبو اسحاق ",G89="أبو آدم "),0,IF(D89="",0,D89)))</f>
        <v>413.55</v>
      </c>
      <c r="K89" s="35"/>
      <c r="L89">
        <f>IF(E88&gt;0,COUNTIF($E$4:E88,"&gt;0"),"")</f>
        <v>59</v>
      </c>
      <c r="M89" t="str">
        <f>IF(AND(D88&gt;0,G88="المحفظة"),COUNTIFS($D$4:D88,"&gt;"&amp;0,$G$4:G88,"المحفظة"),"")</f>
        <v/>
      </c>
      <c r="N89" t="str">
        <f>IF(AND(OR('طباعة كشف الحساب'!$C$2="الكل",MONTH(A89)=IFERROR(MATCH('طباعة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الحساب'!$F$2="الكل",YEAR(A89)=IFERROR(VALUE('طباعة كشف الحساب'!$F$2),0)),A89&lt;&gt;""),IFERROR(MAX($N$4:N88),0)+1,"")</f>
        <v/>
      </c>
      <c r="O89" t="str">
        <f>IF(AND(D88&gt;0,F88="أحد الشركاء"),COUNTIFS($D$4:D88,"&gt;"&amp;0,$F$4:F88,"أحد الشركاء"),"")</f>
        <v/>
      </c>
      <c r="P89">
        <f>IF(OR($A89="",$F89="أحد الشركاء",AND($D89="",$E89="")),"",SUMPRODUCT(($A$4:$A89&lt;&gt;"")*($F$4:$F89&lt;&gt;"أحد الشركاء")*((($D$4:$D89&lt;&gt;"")+($E$4:$E89&lt;&gt;""))&gt;0)))</f>
        <v>71</v>
      </c>
      <c r="Q89" t="str">
        <f>IF(OR($A89="",$F89&lt;&gt;"أحد الشركاء"),"",COUNTIFS($A$4:A89,"&lt;&gt;",$F$4:F89,"أحد الشركاء"))</f>
        <v/>
      </c>
    </row>
    <row r="90" spans="1:17" ht="18.75" customHeight="1" x14ac:dyDescent="0.25">
      <c r="A90" s="139">
        <v>46197</v>
      </c>
      <c r="B90" s="36"/>
      <c r="C90" s="37" t="s">
        <v>191</v>
      </c>
      <c r="D90" s="38">
        <v>12</v>
      </c>
      <c r="E90" s="39"/>
      <c r="F90" s="136" t="s">
        <v>38</v>
      </c>
      <c r="G90" s="40" t="s">
        <v>39</v>
      </c>
      <c r="H90" s="41" t="s">
        <v>40</v>
      </c>
      <c r="I90" s="42"/>
      <c r="J90" s="43">
        <f>IF(AND(D90="",E90="",A90="",B90="",C90=""),"", IFERROR(IF(J89="",D2,J89),D2)+IF(OR(E90="",H90="معلق"),0,E90)-IF(OR(G90="أبو اسحاق",G90="أبو آدم",G90="أبو اسحاق ",G90="أبو آدم "),0,IF(D90="",0,D90)))</f>
        <v>401.55</v>
      </c>
      <c r="K90" s="44"/>
      <c r="L90">
        <f>IF(E89&gt;0,COUNTIF($E$4:E89,"&gt;0"),"")</f>
        <v>60</v>
      </c>
      <c r="M90" t="str">
        <f>IF(AND(D89&gt;0,G89="المحفظة"),COUNTIFS($D$4:D89,"&gt;"&amp;0,$G$4:G89,"المحفظة"),"")</f>
        <v/>
      </c>
      <c r="N90" t="str">
        <f>IF(AND(OR('طباعة كشف الحساب'!$C$2="الكل",MONTH(A90)=IFERROR(MATCH('طباعة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الحساب'!$F$2="الكل",YEAR(A90)=IFERROR(VALUE('طباعة كشف الحساب'!$F$2),0)),A90&lt;&gt;""),IFERROR(MAX($N$4:N89),0)+1,"")</f>
        <v/>
      </c>
      <c r="O90" t="str">
        <f>IF(AND(D89&gt;0,F89="أحد الشركاء"),COUNTIFS($D$4:D89,"&gt;"&amp;0,$F$4:F89,"أحد الشركاء"),"")</f>
        <v/>
      </c>
      <c r="P90">
        <f>IF(OR($A90="",$F90="أحد الشركاء",AND($D90="",$E90="")),"",SUMPRODUCT(($A$4:$A90&lt;&gt;"")*($F$4:$F90&lt;&gt;"أحد الشركاء")*((($D$4:$D90&lt;&gt;"")+($E$4:$E90&lt;&gt;""))&gt;0)))</f>
        <v>72</v>
      </c>
      <c r="Q90" t="str">
        <f>IF(OR($A90="",$F90&lt;&gt;"أحد الشركاء"),"",COUNTIFS($A$4:A90,"&lt;&gt;",$F$4:F90,"أحد الشركاء"))</f>
        <v/>
      </c>
    </row>
    <row r="91" spans="1:17" ht="18.75" customHeight="1" x14ac:dyDescent="0.25">
      <c r="A91" s="25">
        <v>46201</v>
      </c>
      <c r="B91" s="36" t="s">
        <v>192</v>
      </c>
      <c r="C91" s="27" t="s">
        <v>193</v>
      </c>
      <c r="D91" s="28"/>
      <c r="E91" s="29">
        <v>8.25</v>
      </c>
      <c r="F91" s="30" t="s">
        <v>172</v>
      </c>
      <c r="G91" s="31"/>
      <c r="H91" s="32" t="s">
        <v>40</v>
      </c>
      <c r="I91" s="33"/>
      <c r="J91" s="34">
        <f>IF(AND(D91="",E91="",A91="",B91="",C91=""),"", IFERROR(IF(J90="",D2,J90),D2)+IF(OR(E91="",H91="معلق"),0,E91)-IF(OR(G91="أبو اسحاق",G91="أبو آدم",G91="أبو اسحاق ",G91="أبو آدم "),0,IF(D91="",0,D91)))</f>
        <v>409.8</v>
      </c>
      <c r="K91" s="35"/>
      <c r="L91" t="str">
        <f>IF(E90&gt;0,COUNTIF($E$4:E90,"&gt;0"),"")</f>
        <v/>
      </c>
      <c r="M91">
        <f>IF(AND(D90&gt;0,G90="المحفظة"),COUNTIFS($D$4:D90,"&gt;"&amp;0,$G$4:G90,"المحفظة"),"")</f>
        <v>12</v>
      </c>
      <c r="N91" t="str">
        <f>IF(AND(OR('طباعة كشف الحساب'!$C$2="الكل",MONTH(A91)=IFERROR(MATCH('طباعة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الحساب'!$F$2="الكل",YEAR(A91)=IFERROR(VALUE('طباعة كشف الحساب'!$F$2),0)),A91&lt;&gt;""),IFERROR(MAX($N$4:N90),0)+1,"")</f>
        <v/>
      </c>
      <c r="O91" t="str">
        <f>IF(AND(D90&gt;0,F90="أحد الشركاء"),COUNTIFS($D$4:D90,"&gt;"&amp;0,$F$4:F90,"أحد الشركاء"),"")</f>
        <v/>
      </c>
      <c r="P91">
        <f>IF(OR($A91="",$F91="أحد الشركاء",AND($D91="",$E91="")),"",SUMPRODUCT(($A$4:$A91&lt;&gt;"")*($F$4:$F91&lt;&gt;"أحد الشركاء")*((($D$4:$D91&lt;&gt;"")+($E$4:$E91&lt;&gt;""))&gt;0)))</f>
        <v>73</v>
      </c>
      <c r="Q91" t="str">
        <f>IF(OR($A91="",$F91&lt;&gt;"أحد الشركاء"),"",COUNTIFS($A$4:A91,"&lt;&gt;",$F$4:F91,"أحد الشركاء"))</f>
        <v/>
      </c>
    </row>
    <row r="92" spans="1:17" ht="18.75" customHeight="1" x14ac:dyDescent="0.25">
      <c r="A92" s="139">
        <v>46202</v>
      </c>
      <c r="B92" s="36" t="s">
        <v>194</v>
      </c>
      <c r="C92" s="37" t="s">
        <v>195</v>
      </c>
      <c r="D92" s="38"/>
      <c r="E92" s="39">
        <v>2.25</v>
      </c>
      <c r="F92" s="136" t="s">
        <v>172</v>
      </c>
      <c r="G92" s="40"/>
      <c r="H92" s="41" t="s">
        <v>40</v>
      </c>
      <c r="I92" s="42"/>
      <c r="J92" s="43">
        <f>IF(AND(D92="",E92="",A92="",B92="",C92=""),"", IFERROR(IF(J91="",D2,J91),D2)+IF(OR(E92="",H92="معلق"),0,E92)-IF(OR(G92="أبو اسحاق",G92="أبو آدم",G92="أبو اسحاق ",G92="أبو آدم "),0,IF(D92="",0,D92)))</f>
        <v>412.05</v>
      </c>
      <c r="K92" s="44"/>
      <c r="L92">
        <f>IF(E91&gt;0,COUNTIF($E$4:E91,"&gt;0"),"")</f>
        <v>61</v>
      </c>
      <c r="M92" t="str">
        <f>IF(AND(D91&gt;0,G91="المحفظة"),COUNTIFS($D$4:D91,"&gt;"&amp;0,$G$4:G91,"المحفظة"),"")</f>
        <v/>
      </c>
      <c r="N92" t="str">
        <f>IF(AND(OR('طباعة كشف الحساب'!$C$2="الكل",MONTH(A92)=IFERROR(MATCH('طباعة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الحساب'!$F$2="الكل",YEAR(A92)=IFERROR(VALUE('طباعة كشف الحساب'!$F$2),0)),A92&lt;&gt;""),IFERROR(MAX($N$4:N91),0)+1,"")</f>
        <v/>
      </c>
      <c r="O92" t="str">
        <f>IF(AND(D91&gt;0,F91="أحد الشركاء"),COUNTIFS($D$4:D91,"&gt;"&amp;0,$F$4:F91,"أحد الشركاء"),"")</f>
        <v/>
      </c>
      <c r="P92">
        <f>IF(OR($A92="",$F92="أحد الشركاء",AND($D92="",$E92="")),"",SUMPRODUCT(($A$4:$A92&lt;&gt;"")*($F$4:$F92&lt;&gt;"أحد الشركاء")*((($D$4:$D92&lt;&gt;"")+($E$4:$E92&lt;&gt;""))&gt;0)))</f>
        <v>74</v>
      </c>
      <c r="Q92" t="str">
        <f>IF(OR($A92="",$F92&lt;&gt;"أحد الشركاء"),"",COUNTIFS($A$4:A92,"&lt;&gt;",$F$4:F92,"أحد الشركاء"))</f>
        <v/>
      </c>
    </row>
    <row r="93" spans="1:17" ht="18.75" customHeight="1" x14ac:dyDescent="0.25">
      <c r="A93" s="139">
        <v>46202</v>
      </c>
      <c r="B93" s="36" t="s">
        <v>196</v>
      </c>
      <c r="C93" s="27" t="s">
        <v>197</v>
      </c>
      <c r="D93" s="28"/>
      <c r="E93" s="29">
        <v>3</v>
      </c>
      <c r="F93" s="30" t="s">
        <v>172</v>
      </c>
      <c r="G93" s="31"/>
      <c r="H93" s="32" t="s">
        <v>40</v>
      </c>
      <c r="I93" s="33"/>
      <c r="J93" s="34">
        <f>IF(AND(D93="",E93="",A93="",B93="",C93=""),"", IFERROR(IF(J92="",D2,J92),D2)+IF(OR(E93="",H93="معلق"),0,E93)-IF(OR(G93="أبو اسحاق",G93="أبو آدم",G93="أبو اسحاق ",G93="أبو آدم "),0,IF(D93="",0,D93)))</f>
        <v>415.05</v>
      </c>
      <c r="K93" s="35"/>
      <c r="L93">
        <f>IF(E92&gt;0,COUNTIF($E$4:E92,"&gt;0"),"")</f>
        <v>62</v>
      </c>
      <c r="M93" t="str">
        <f>IF(AND(D92&gt;0,G92="المحفظة"),COUNTIFS($D$4:D92,"&gt;"&amp;0,$G$4:G92,"المحفظة"),"")</f>
        <v/>
      </c>
      <c r="N93" t="str">
        <f>IF(AND(OR('طباعة كشف الحساب'!$C$2="الكل",MONTH(A93)=IFERROR(MATCH('طباعة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الحساب'!$F$2="الكل",YEAR(A93)=IFERROR(VALUE('طباعة كشف الحساب'!$F$2),0)),A93&lt;&gt;""),IFERROR(MAX($N$4:N92),0)+1,"")</f>
        <v/>
      </c>
      <c r="O93" t="str">
        <f>IF(AND(D92&gt;0,F92="أحد الشركاء"),COUNTIFS($D$4:D92,"&gt;"&amp;0,$F$4:F92,"أحد الشركاء"),"")</f>
        <v/>
      </c>
      <c r="P93">
        <f>IF(OR($A93="",$F93="أحد الشركاء",AND($D93="",$E93="")),"",SUMPRODUCT(($A$4:$A93&lt;&gt;"")*($F$4:$F93&lt;&gt;"أحد الشركاء")*((($D$4:$D93&lt;&gt;"")+($E$4:$E93&lt;&gt;""))&gt;0)))</f>
        <v>75</v>
      </c>
      <c r="Q93" t="str">
        <f>IF(OR($A93="",$F93&lt;&gt;"أحد الشركاء"),"",COUNTIFS($A$4:A93,"&lt;&gt;",$F$4:F93,"أحد الشركاء"))</f>
        <v/>
      </c>
    </row>
    <row r="94" spans="1:17" ht="18.75" customHeight="1" x14ac:dyDescent="0.25">
      <c r="A94" s="139">
        <v>46203</v>
      </c>
      <c r="B94" s="36" t="s">
        <v>198</v>
      </c>
      <c r="C94" s="37" t="s">
        <v>199</v>
      </c>
      <c r="D94" s="38"/>
      <c r="E94" s="39">
        <v>4</v>
      </c>
      <c r="F94" s="136" t="s">
        <v>172</v>
      </c>
      <c r="G94" s="40"/>
      <c r="H94" s="41" t="s">
        <v>40</v>
      </c>
      <c r="I94" s="42"/>
      <c r="J94" s="43">
        <f>IF(AND(D94="",E94="",A94="",B94="",C94=""),"", IFERROR(IF(J93="",D2,J93),D2)+IF(OR(E94="",H94="معلق"),0,E94)-IF(OR(G94="أبو اسحاق",G94="أبو آدم",G94="أبو اسحاق ",G94="أبو آدم "),0,IF(D94="",0,D94)))</f>
        <v>419.05</v>
      </c>
      <c r="K94" s="44"/>
      <c r="L94">
        <f>IF(E93&gt;0,COUNTIF($E$4:E93,"&gt;0"),"")</f>
        <v>63</v>
      </c>
      <c r="M94" t="str">
        <f>IF(AND(D93&gt;0,G93="المحفظة"),COUNTIFS($D$4:D93,"&gt;"&amp;0,$G$4:G93,"المحفظة"),"")</f>
        <v/>
      </c>
      <c r="N94" t="str">
        <f>IF(AND(OR('طباعة كشف الحساب'!$C$2="الكل",MONTH(A94)=IFERROR(MATCH('طباعة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الحساب'!$F$2="الكل",YEAR(A94)=IFERROR(VALUE('طباعة كشف الحساب'!$F$2),0)),A94&lt;&gt;""),IFERROR(MAX($N$4:N93),0)+1,"")</f>
        <v/>
      </c>
      <c r="O94" t="str">
        <f>IF(AND(D93&gt;0,F93="أحد الشركاء"),COUNTIFS($D$4:D93,"&gt;"&amp;0,$F$4:F93,"أحد الشركاء"),"")</f>
        <v/>
      </c>
      <c r="P94">
        <f>IF(OR($A94="",$F94="أحد الشركاء",AND($D94="",$E94="")),"",SUMPRODUCT(($A$4:$A94&lt;&gt;"")*($F$4:$F94&lt;&gt;"أحد الشركاء")*((($D$4:$D94&lt;&gt;"")+($E$4:$E94&lt;&gt;""))&gt;0)))</f>
        <v>76</v>
      </c>
      <c r="Q94" t="str">
        <f>IF(OR($A94="",$F94&lt;&gt;"أحد الشركاء"),"",COUNTIFS($A$4:A94,"&lt;&gt;",$F$4:F94,"أحد الشركاء"))</f>
        <v/>
      </c>
    </row>
    <row r="95" spans="1:17" ht="18.75" customHeight="1" x14ac:dyDescent="0.25">
      <c r="A95" s="139">
        <v>46203</v>
      </c>
      <c r="B95" s="36" t="s">
        <v>200</v>
      </c>
      <c r="C95" s="27" t="s">
        <v>201</v>
      </c>
      <c r="D95" s="28"/>
      <c r="E95" s="29">
        <v>4</v>
      </c>
      <c r="F95" s="30" t="s">
        <v>172</v>
      </c>
      <c r="G95" s="31"/>
      <c r="H95" s="32" t="s">
        <v>40</v>
      </c>
      <c r="I95" s="33"/>
      <c r="J95" s="34">
        <f>IF(AND(D95="",E95="",A95="",B95="",C95=""),"", IFERROR(IF(J94="",D2,J94),D2)+IF(OR(E95="",H95="معلق"),0,E95)-IF(OR(G95="أبو اسحاق",G95="أبو آدم",G95="أبو اسحاق ",G95="أبو آدم "),0,IF(D95="",0,D95)))</f>
        <v>423.05</v>
      </c>
      <c r="K95" s="35"/>
      <c r="L95">
        <f>IF(E94&gt;0,COUNTIF($E$4:E94,"&gt;0"),"")</f>
        <v>64</v>
      </c>
      <c r="M95" t="str">
        <f>IF(AND(D94&gt;0,G94="المحفظة"),COUNTIFS($D$4:D94,"&gt;"&amp;0,$G$4:G94,"المحفظة"),"")</f>
        <v/>
      </c>
      <c r="N95" t="str">
        <f>IF(AND(OR('طباعة كشف الحساب'!$C$2="الكل",MONTH(A95)=IFERROR(MATCH('طباعة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الحساب'!$F$2="الكل",YEAR(A95)=IFERROR(VALUE('طباعة كشف الحساب'!$F$2),0)),A95&lt;&gt;""),IFERROR(MAX($N$4:N94),0)+1,"")</f>
        <v/>
      </c>
      <c r="O95" t="str">
        <f>IF(AND(D94&gt;0,F94="أحد الشركاء"),COUNTIFS($D$4:D94,"&gt;"&amp;0,$F$4:F94,"أحد الشركاء"),"")</f>
        <v/>
      </c>
      <c r="P95">
        <f>IF(OR($A95="",$F95="أحد الشركاء",AND($D95="",$E95="")),"",SUMPRODUCT(($A$4:$A95&lt;&gt;"")*($F$4:$F95&lt;&gt;"أحد الشركاء")*((($D$4:$D95&lt;&gt;"")+($E$4:$E95&lt;&gt;""))&gt;0)))</f>
        <v>77</v>
      </c>
      <c r="Q95" t="str">
        <f>IF(OR($A95="",$F95&lt;&gt;"أحد الشركاء"),"",COUNTIFS($A$4:A95,"&lt;&gt;",$F$4:F95,"أحد الشركاء"))</f>
        <v/>
      </c>
    </row>
    <row r="96" spans="1:17" ht="18.75" customHeight="1" x14ac:dyDescent="0.25">
      <c r="A96" s="139">
        <v>46203</v>
      </c>
      <c r="B96" s="36" t="s">
        <v>202</v>
      </c>
      <c r="C96" s="37" t="s">
        <v>203</v>
      </c>
      <c r="D96" s="38"/>
      <c r="E96" s="39">
        <v>2</v>
      </c>
      <c r="F96" s="136" t="s">
        <v>172</v>
      </c>
      <c r="G96" s="40"/>
      <c r="H96" s="41" t="s">
        <v>40</v>
      </c>
      <c r="I96" s="42"/>
      <c r="J96" s="43">
        <f>IF(AND(D96="",E96="",A96="",B96="",C96=""),"", IFERROR(IF(J95="",D2,J95),D2)+IF(OR(E96="",H96="معلق"),0,E96)-IF(OR(G96="أبو اسحاق",G96="أبو آدم",G96="أبو اسحاق ",G96="أبو آدم "),0,IF(D96="",0,D96)))</f>
        <v>425.05</v>
      </c>
      <c r="K96" s="44"/>
      <c r="L96">
        <f>IF(E95&gt;0,COUNTIF($E$4:E95,"&gt;0"),"")</f>
        <v>65</v>
      </c>
      <c r="M96" t="str">
        <f>IF(AND(D95&gt;0,G95="المحفظة"),COUNTIFS($D$4:D95,"&gt;"&amp;0,$G$4:G95,"المحفظة"),"")</f>
        <v/>
      </c>
      <c r="N96" t="str">
        <f>IF(AND(OR('طباعة كشف الحساب'!$C$2="الكل",MONTH(A96)=IFERROR(MATCH('طباعة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الحساب'!$F$2="الكل",YEAR(A96)=IFERROR(VALUE('طباعة كشف الحساب'!$F$2),0)),A96&lt;&gt;""),IFERROR(MAX($N$4:N95),0)+1,"")</f>
        <v/>
      </c>
      <c r="O96" t="str">
        <f>IF(AND(D95&gt;0,F95="أحد الشركاء"),COUNTIFS($D$4:D95,"&gt;"&amp;0,$F$4:F95,"أحد الشركاء"),"")</f>
        <v/>
      </c>
      <c r="P96">
        <f>IF(OR($A96="",$F96="أحد الشركاء",AND($D96="",$E96="")),"",SUMPRODUCT(($A$4:$A96&lt;&gt;"")*($F$4:$F96&lt;&gt;"أحد الشركاء")*((($D$4:$D96&lt;&gt;"")+($E$4:$E96&lt;&gt;""))&gt;0)))</f>
        <v>78</v>
      </c>
      <c r="Q96" t="str">
        <f>IF(OR($A96="",$F96&lt;&gt;"أحد الشركاء"),"",COUNTIFS($A$4:A96,"&lt;&gt;",$F$4:F96,"أحد الشركاء"))</f>
        <v/>
      </c>
    </row>
    <row r="97" spans="1:17" ht="18.75" customHeight="1" x14ac:dyDescent="0.25">
      <c r="A97" s="139">
        <v>46203</v>
      </c>
      <c r="B97" s="26"/>
      <c r="C97" s="27" t="s">
        <v>204</v>
      </c>
      <c r="D97" s="28">
        <v>320</v>
      </c>
      <c r="E97" s="29"/>
      <c r="F97" s="30" t="s">
        <v>38</v>
      </c>
      <c r="G97" s="31" t="s">
        <v>39</v>
      </c>
      <c r="H97" s="32" t="s">
        <v>40</v>
      </c>
      <c r="I97" s="33"/>
      <c r="J97" s="34">
        <f>IF(AND(D97="",E97="",A97="",B97="",C97=""),"", IFERROR(IF(J96="",D2,J96),D2)+IF(OR(E97="",H97="معلق"),0,E97)-IF(OR(G97="أبو اسحاق",G97="أبو آدم",G97="أبو اسحاق ",G97="أبو آدم "),0,IF(D97="",0,D97)))</f>
        <v>105.05000000000001</v>
      </c>
      <c r="K97" s="35"/>
      <c r="L97">
        <f>IF(E96&gt;0,COUNTIF($E$4:E96,"&gt;0"),"")</f>
        <v>66</v>
      </c>
      <c r="M97" t="str">
        <f>IF(AND(D96&gt;0,G96="المحفظة"),COUNTIFS($D$4:D96,"&gt;"&amp;0,$G$4:G96,"المحفظة"),"")</f>
        <v/>
      </c>
      <c r="N97" t="str">
        <f>IF(AND(OR('طباعة كشف الحساب'!$C$2="الكل",MONTH(A97)=IFERROR(MATCH('طباعة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الحساب'!$F$2="الكل",YEAR(A97)=IFERROR(VALUE('طباعة كشف الحساب'!$F$2),0)),A97&lt;&gt;""),IFERROR(MAX($N$4:N96),0)+1,"")</f>
        <v/>
      </c>
      <c r="O97" t="str">
        <f>IF(AND(D96&gt;0,F96="أحد الشركاء"),COUNTIFS($D$4:D96,"&gt;"&amp;0,$F$4:F96,"أحد الشركاء"),"")</f>
        <v/>
      </c>
      <c r="P97">
        <f>IF(OR($A97="",$F97="أحد الشركاء",AND($D97="",$E97="")),"",SUMPRODUCT(($A$4:$A97&lt;&gt;"")*($F$4:$F97&lt;&gt;"أحد الشركاء")*((($D$4:$D97&lt;&gt;"")+($E$4:$E97&lt;&gt;""))&gt;0)))</f>
        <v>79</v>
      </c>
      <c r="Q97" t="str">
        <f>IF(OR($A97="",$F97&lt;&gt;"أحد الشركاء"),"",COUNTIFS($A$4:A97,"&lt;&gt;",$F$4:F97,"أحد الشركاء"))</f>
        <v/>
      </c>
    </row>
    <row r="98" spans="1:17" ht="18.75" customHeight="1" x14ac:dyDescent="0.25">
      <c r="A98" s="139">
        <v>46203</v>
      </c>
      <c r="B98" s="36"/>
      <c r="C98" s="37" t="s">
        <v>205</v>
      </c>
      <c r="D98" s="38">
        <v>50</v>
      </c>
      <c r="E98" s="39"/>
      <c r="F98" s="136" t="s">
        <v>48</v>
      </c>
      <c r="G98" s="40" t="s">
        <v>60</v>
      </c>
      <c r="H98" s="41" t="s">
        <v>50</v>
      </c>
      <c r="I98" s="42"/>
      <c r="J98" s="43">
        <f>IF(AND(D98="",E98="",A98="",B98="",C98=""),"", IFERROR(IF(J97="",D2,J97),D2)+IF(OR(E98="",H98="معلق"),0,E98)-IF(OR(G98="أبو اسحاق",G98="أبو آدم",G98="أبو اسحاق ",G98="أبو آدم "),0,IF(D98="",0,D98)))</f>
        <v>105.05000000000001</v>
      </c>
      <c r="K98" s="44"/>
      <c r="L98" t="str">
        <f>IF(E97&gt;0,COUNTIF($E$4:E97,"&gt;0"),"")</f>
        <v/>
      </c>
      <c r="M98">
        <f>IF(AND(D97&gt;0,G97="المحفظة"),COUNTIFS($D$4:D97,"&gt;"&amp;0,$G$4:G97,"المحفظة"),"")</f>
        <v>13</v>
      </c>
      <c r="N98" t="str">
        <f>IF(AND(OR('طباعة كشف الحساب'!$C$2="الكل",MONTH(A98)=IFERROR(MATCH('طباعة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الحساب'!$F$2="الكل",YEAR(A98)=IFERROR(VALUE('طباعة كشف الحساب'!$F$2),0)),A98&lt;&gt;""),IFERROR(MAX($N$4:N97),0)+1,"")</f>
        <v/>
      </c>
      <c r="O98" t="str">
        <f>IF(AND(D97&gt;0,F97="أحد الشركاء"),COUNTIFS($D$4:D97,"&gt;"&amp;0,$F$4:F97,"أحد الشركاء"),"")</f>
        <v/>
      </c>
      <c r="P98" t="str">
        <f>IF(OR($A98="",$F98="أحد الشركاء",AND($D98="",$E98="")),"",SUMPRODUCT(($A$4:$A98&lt;&gt;"")*($F$4:$F98&lt;&gt;"أحد الشركاء")*((($D$4:$D98&lt;&gt;"")+($E$4:$E98&lt;&gt;""))&gt;0)))</f>
        <v/>
      </c>
      <c r="Q98">
        <f>IF(OR($A98="",$F98&lt;&gt;"أحد الشركاء"),"",COUNTIFS($A$4:A98,"&lt;&gt;",$F$4:F98,"أحد الشركاء"))</f>
        <v>10</v>
      </c>
    </row>
    <row r="99" spans="1:17" ht="18.75" customHeight="1" x14ac:dyDescent="0.25">
      <c r="A99" s="139">
        <v>46203</v>
      </c>
      <c r="B99" s="26"/>
      <c r="C99" s="37" t="s">
        <v>206</v>
      </c>
      <c r="D99" s="28">
        <v>50</v>
      </c>
      <c r="E99" s="29"/>
      <c r="F99" s="30" t="s">
        <v>48</v>
      </c>
      <c r="G99" s="31" t="s">
        <v>49</v>
      </c>
      <c r="H99" s="32" t="s">
        <v>50</v>
      </c>
      <c r="I99" s="33"/>
      <c r="J99" s="34">
        <f>IF(AND(D99="",E99="",A99="",B99="",C99=""),"", IFERROR(IF(J98="",D2,J98),D2)+IF(OR(E99="",H99="معلق"),0,E99)-IF(OR(G99="أبو اسحاق",G99="أبو آدم",G99="أبو اسحاق ",G99="أبو آدم "),0,IF(D99="",0,D99)))</f>
        <v>105.05000000000001</v>
      </c>
      <c r="K99" s="35"/>
      <c r="L99" t="str">
        <f>IF(E98&gt;0,COUNTIF($E$4:E98,"&gt;0"),"")</f>
        <v/>
      </c>
      <c r="M99" t="str">
        <f>IF(AND(D98&gt;0,G98="المحفظة"),COUNTIFS($D$4:D98,"&gt;"&amp;0,$G$4:G98,"المحفظة"),"")</f>
        <v/>
      </c>
      <c r="N99" t="str">
        <f>IF(AND(OR('طباعة كشف الحساب'!$C$2="الكل",MONTH(A99)=IFERROR(MATCH('طباعة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الحساب'!$F$2="الكل",YEAR(A99)=IFERROR(VALUE('طباعة كشف الحساب'!$F$2),0)),A99&lt;&gt;""),IFERROR(MAX($N$4:N98),0)+1,"")</f>
        <v/>
      </c>
      <c r="O99">
        <f>IF(AND(D98&gt;0,F98="أحد الشركاء"),COUNTIFS($D$4:D98,"&gt;"&amp;0,$F$4:F98,"أحد الشركاء"),"")</f>
        <v>10</v>
      </c>
      <c r="P99" t="str">
        <f>IF(OR($A99="",$F99="أحد الشركاء",AND($D99="",$E99="")),"",SUMPRODUCT(($A$4:$A99&lt;&gt;"")*($F$4:$F99&lt;&gt;"أحد الشركاء")*((($D$4:$D99&lt;&gt;"")+($E$4:$E99&lt;&gt;""))&gt;0)))</f>
        <v/>
      </c>
      <c r="Q99">
        <f>IF(OR($A99="",$F99&lt;&gt;"أحد الشركاء"),"",COUNTIFS($A$4:A99,"&lt;&gt;",$F$4:F99,"أحد الشركاء"))</f>
        <v>11</v>
      </c>
    </row>
    <row r="100" spans="1:17" ht="18.75" customHeight="1" x14ac:dyDescent="0.25">
      <c r="A100" s="139">
        <v>46203</v>
      </c>
      <c r="B100" s="36"/>
      <c r="C100" s="37" t="s">
        <v>207</v>
      </c>
      <c r="D100" s="38">
        <v>80</v>
      </c>
      <c r="E100" s="39"/>
      <c r="F100" s="136" t="s">
        <v>38</v>
      </c>
      <c r="G100" s="40" t="s">
        <v>39</v>
      </c>
      <c r="H100" s="41" t="s">
        <v>40</v>
      </c>
      <c r="I100" s="42"/>
      <c r="J100" s="43">
        <f>IF(AND(D100="",E100="",A100="",B100="",C100=""),"", IFERROR(IF(J99="",D2,J99),D2)+IF(OR(E100="",H100="معلق"),0,E100)-IF(OR(G100="أبو اسحاق",G100="أبو آدم",G100="أبو اسحاق ",G100="أبو آدم "),0,IF(D100="",0,D100)))</f>
        <v>25.050000000000011</v>
      </c>
      <c r="K100" s="44"/>
      <c r="L100" t="str">
        <f>IF(E99&gt;0,COUNTIF($E$4:E99,"&gt;0"),"")</f>
        <v/>
      </c>
      <c r="M100" t="str">
        <f>IF(AND(D99&gt;0,G99="المحفظة"),COUNTIFS($D$4:D99,"&gt;"&amp;0,$G$4:G99,"المحفظة"),"")</f>
        <v/>
      </c>
      <c r="N100" t="str">
        <f>IF(AND(OR('طباعة كشف الحساب'!$C$2="الكل",MONTH(A100)=IFERROR(MATCH('طباعة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الحساب'!$F$2="الكل",YEAR(A100)=IFERROR(VALUE('طباعة كشف الحساب'!$F$2),0)),A100&lt;&gt;""),IFERROR(MAX($N$4:N99),0)+1,"")</f>
        <v/>
      </c>
      <c r="O100">
        <f>IF(AND(D99&gt;0,F99="أحد الشركاء"),COUNTIFS($D$4:D99,"&gt;"&amp;0,$F$4:F99,"أحد الشركاء"),"")</f>
        <v>11</v>
      </c>
      <c r="P100">
        <f>IF(OR($A100="",$F100="أحد الشركاء",AND($D100="",$E100="")),"",SUMPRODUCT(($A$4:$A100&lt;&gt;"")*($F$4:$F100&lt;&gt;"أحد الشركاء")*((($D$4:$D100&lt;&gt;"")+($E$4:$E100&lt;&gt;""))&gt;0)))</f>
        <v>80</v>
      </c>
      <c r="Q100" t="str">
        <f>IF(OR($A100="",$F100&lt;&gt;"أحد الشركاء"),"",COUNTIFS($A$4:A100,"&lt;&gt;",$F$4:F100,"أحد الشركاء"))</f>
        <v/>
      </c>
    </row>
    <row r="101" spans="1:17" ht="18.75" customHeight="1" x14ac:dyDescent="0.25">
      <c r="A101" s="25">
        <v>46207</v>
      </c>
      <c r="B101" s="36"/>
      <c r="C101" s="37" t="s">
        <v>208</v>
      </c>
      <c r="D101" s="28">
        <v>20</v>
      </c>
      <c r="E101" s="29"/>
      <c r="F101" s="30" t="s">
        <v>38</v>
      </c>
      <c r="G101" s="31" t="s">
        <v>39</v>
      </c>
      <c r="H101" s="32" t="s">
        <v>40</v>
      </c>
      <c r="I101" s="33"/>
      <c r="J101" s="34">
        <f>IF(AND(D101="",E101="",A101="",B101="",C101=""),"", IFERROR(IF(J100="",D2,J100),D2)+IF(OR(E101="",H101="معلق"),0,E101)-IF(OR(G101="أبو اسحاق",G101="أبو آدم",G101="أبو اسحاق ",G101="أبو آدم "),0,IF(D101="",0,D101)))</f>
        <v>5.0500000000000114</v>
      </c>
      <c r="K101" s="35"/>
      <c r="L101" t="str">
        <f>IF(E100&gt;0,COUNTIF($E$4:E100,"&gt;0"),"")</f>
        <v/>
      </c>
      <c r="M101">
        <f>IF(AND(D100&gt;0,G100="المحفظة"),COUNTIFS($D$4:D100,"&gt;"&amp;0,$G$4:G100,"المحفظة"),"")</f>
        <v>14</v>
      </c>
      <c r="N101" t="str">
        <f>IF(AND(OR('طباعة كشف الحساب'!$C$2="الكل",MONTH(A101)=IFERROR(MATCH('طباعة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الحساب'!$F$2="الكل",YEAR(A101)=IFERROR(VALUE('طباعة كشف الحساب'!$F$2),0)),A101&lt;&gt;""),IFERROR(MAX($N$4:N100),0)+1,"")</f>
        <v/>
      </c>
      <c r="O101" t="str">
        <f>IF(AND(D100&gt;0,F100="أحد الشركاء"),COUNTIFS($D$4:D100,"&gt;"&amp;0,$F$4:F100,"أحد الشركاء"),"")</f>
        <v/>
      </c>
      <c r="P101">
        <f>IF(OR($A101="",$F101="أحد الشركاء",AND($D101="",$E101="")),"",SUMPRODUCT(($A$4:$A101&lt;&gt;"")*($F$4:$F101&lt;&gt;"أحد الشركاء")*((($D$4:$D101&lt;&gt;"")+($E$4:$E101&lt;&gt;""))&gt;0)))</f>
        <v>81</v>
      </c>
      <c r="Q101" t="str">
        <f>IF(OR($A101="",$F101&lt;&gt;"أحد الشركاء"),"",COUNTIFS($A$4:A101,"&lt;&gt;",$F$4:F101,"أحد الشركاء"))</f>
        <v/>
      </c>
    </row>
    <row r="102" spans="1:17" ht="18.75" customHeight="1" x14ac:dyDescent="0.25">
      <c r="A102" s="139">
        <v>46206</v>
      </c>
      <c r="B102" s="36" t="s">
        <v>209</v>
      </c>
      <c r="C102" s="37" t="s">
        <v>210</v>
      </c>
      <c r="D102" s="38"/>
      <c r="E102" s="39">
        <v>2.5</v>
      </c>
      <c r="F102" s="136" t="s">
        <v>172</v>
      </c>
      <c r="G102" s="40"/>
      <c r="H102" s="41" t="s">
        <v>40</v>
      </c>
      <c r="I102" s="42"/>
      <c r="J102" s="43">
        <f>IF(AND(D102="",E102="",A102="",B102="",C102=""),"", IFERROR(IF(J101="",D2,J101),D2)+IF(OR(E102="",H102="معلق"),0,E102)-IF(OR(G102="أبو اسحاق",G102="أبو آدم",G102="أبو اسحاق ",G102="أبو آدم "),0,IF(D102="",0,D102)))</f>
        <v>7.5500000000000114</v>
      </c>
      <c r="K102" s="44"/>
      <c r="L102" t="str">
        <f>IF(E101&gt;0,COUNTIF($E$4:E101,"&gt;0"),"")</f>
        <v/>
      </c>
      <c r="M102">
        <f>IF(AND(D101&gt;0,G101="المحفظة"),COUNTIFS($D$4:D101,"&gt;"&amp;0,$G$4:G101,"المحفظة"),"")</f>
        <v>15</v>
      </c>
      <c r="N102" t="str">
        <f>IF(AND(OR('طباعة كشف الحساب'!$C$2="الكل",MONTH(A102)=IFERROR(MATCH('طباعة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الحساب'!$F$2="الكل",YEAR(A102)=IFERROR(VALUE('طباعة كشف الحساب'!$F$2),0)),A102&lt;&gt;""),IFERROR(MAX($N$4:N101),0)+1,"")</f>
        <v/>
      </c>
      <c r="O102" t="str">
        <f>IF(AND(D101&gt;0,F101="أحد الشركاء"),COUNTIFS($D$4:D101,"&gt;"&amp;0,$F$4:F101,"أحد الشركاء"),"")</f>
        <v/>
      </c>
      <c r="P102">
        <f>IF(OR($A102="",$F102="أحد الشركاء",AND($D102="",$E102="")),"",SUMPRODUCT(($A$4:$A102&lt;&gt;"")*($F$4:$F102&lt;&gt;"أحد الشركاء")*((($D$4:$D102&lt;&gt;"")+($E$4:$E102&lt;&gt;""))&gt;0)))</f>
        <v>82</v>
      </c>
      <c r="Q102" t="str">
        <f>IF(OR($A102="",$F102&lt;&gt;"أحد الشركاء"),"",COUNTIFS($A$4:A102,"&lt;&gt;",$F$4:F102,"أحد الشركاء"))</f>
        <v/>
      </c>
    </row>
    <row r="103" spans="1:17" ht="18.75" customHeight="1" x14ac:dyDescent="0.25">
      <c r="A103" s="25">
        <v>46207</v>
      </c>
      <c r="B103" s="36" t="s">
        <v>211</v>
      </c>
      <c r="C103" s="27" t="s">
        <v>212</v>
      </c>
      <c r="D103" s="28"/>
      <c r="E103" s="29">
        <v>13</v>
      </c>
      <c r="F103" s="30" t="s">
        <v>38</v>
      </c>
      <c r="G103" s="31"/>
      <c r="H103" s="32" t="s">
        <v>40</v>
      </c>
      <c r="I103" s="33"/>
      <c r="J103" s="34">
        <f>IF(AND(D103="",E103="",A103="",B103="",C103=""),"", IFERROR(IF(J102="",D2,J102),D2)+IF(OR(E103="",H103="معلق"),0,E103)-IF(OR(G103="أبو اسحاق",G103="أبو آدم",G103="أبو اسحاق ",G103="أبو آدم "),0,IF(D103="",0,D103)))</f>
        <v>20.550000000000011</v>
      </c>
      <c r="K103" s="35"/>
      <c r="L103">
        <f>IF(E102&gt;0,COUNTIF($E$4:E102,"&gt;0"),"")</f>
        <v>67</v>
      </c>
      <c r="M103" t="str">
        <f>IF(AND(D102&gt;0,G102="المحفظة"),COUNTIFS($D$4:D102,"&gt;"&amp;0,$G$4:G102,"المحفظة"),"")</f>
        <v/>
      </c>
      <c r="N103" t="str">
        <f>IF(AND(OR('طباعة كشف الحساب'!$C$2="الكل",MONTH(A103)=IFERROR(MATCH('طباعة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الحساب'!$F$2="الكل",YEAR(A103)=IFERROR(VALUE('طباعة كشف الحساب'!$F$2),0)),A103&lt;&gt;""),IFERROR(MAX($N$4:N102),0)+1,"")</f>
        <v/>
      </c>
      <c r="O103" t="str">
        <f>IF(AND(D102&gt;0,F102="أحد الشركاء"),COUNTIFS($D$4:D102,"&gt;"&amp;0,$F$4:F102,"أحد الشركاء"),"")</f>
        <v/>
      </c>
      <c r="P103">
        <f>IF(OR($A103="",$F103="أحد الشركاء",AND($D103="",$E103="")),"",SUMPRODUCT(($A$4:$A103&lt;&gt;"")*($F$4:$F103&lt;&gt;"أحد الشركاء")*((($D$4:$D103&lt;&gt;"")+($E$4:$E103&lt;&gt;""))&gt;0)))</f>
        <v>83</v>
      </c>
      <c r="Q103" t="str">
        <f>IF(OR($A103="",$F103&lt;&gt;"أحد الشركاء"),"",COUNTIFS($A$4:A103,"&lt;&gt;",$F$4:F103,"أحد الشركاء"))</f>
        <v/>
      </c>
    </row>
    <row r="104" spans="1:17" ht="18.75" customHeight="1" x14ac:dyDescent="0.25">
      <c r="A104" s="25">
        <v>46207</v>
      </c>
      <c r="B104" s="36" t="s">
        <v>213</v>
      </c>
      <c r="C104" s="37" t="s">
        <v>214</v>
      </c>
      <c r="D104" s="38"/>
      <c r="E104" s="39">
        <v>8</v>
      </c>
      <c r="F104" s="136" t="s">
        <v>38</v>
      </c>
      <c r="G104" s="40"/>
      <c r="H104" s="41" t="s">
        <v>40</v>
      </c>
      <c r="I104" s="42"/>
      <c r="J104" s="43">
        <f>IF(AND(D104="",E104="",A104="",B104="",C104=""),"", IFERROR(IF(J103="",D2,J103),D2)+IF(OR(E104="",H104="معلق"),0,E104)-IF(OR(G104="أبو اسحاق",G104="أبو آدم",G104="أبو اسحاق ",G104="أبو آدم "),0,IF(D104="",0,D104)))</f>
        <v>28.550000000000011</v>
      </c>
      <c r="K104" s="44"/>
      <c r="L104">
        <f>IF(E103&gt;0,COUNTIF($E$4:E103,"&gt;0"),"")</f>
        <v>68</v>
      </c>
      <c r="M104" t="str">
        <f>IF(AND(D103&gt;0,G103="المحفظة"),COUNTIFS($D$4:D103,"&gt;"&amp;0,$G$4:G103,"المحفظة"),"")</f>
        <v/>
      </c>
      <c r="N104" t="str">
        <f>IF(AND(OR('طباعة كشف الحساب'!$C$2="الكل",MONTH(A104)=IFERROR(MATCH('طباعة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الحساب'!$F$2="الكل",YEAR(A104)=IFERROR(VALUE('طباعة كشف الحساب'!$F$2),0)),A104&lt;&gt;""),IFERROR(MAX($N$4:N103),0)+1,"")</f>
        <v/>
      </c>
      <c r="O104" t="str">
        <f>IF(AND(D103&gt;0,F103="أحد الشركاء"),COUNTIFS($D$4:D103,"&gt;"&amp;0,$F$4:F103,"أحد الشركاء"),"")</f>
        <v/>
      </c>
      <c r="P104">
        <f>IF(OR($A104="",$F104="أحد الشركاء",AND($D104="",$E104="")),"",SUMPRODUCT(($A$4:$A104&lt;&gt;"")*($F$4:$F104&lt;&gt;"أحد الشركاء")*((($D$4:$D104&lt;&gt;"")+($E$4:$E104&lt;&gt;""))&gt;0)))</f>
        <v>84</v>
      </c>
      <c r="Q104" t="str">
        <f>IF(OR($A104="",$F104&lt;&gt;"أحد الشركاء"),"",COUNTIFS($A$4:A104,"&lt;&gt;",$F$4:F104,"أحد الشركاء"))</f>
        <v/>
      </c>
    </row>
    <row r="105" spans="1:17" ht="18.75" customHeight="1" x14ac:dyDescent="0.25">
      <c r="A105" s="25">
        <v>46211</v>
      </c>
      <c r="B105" s="36" t="s">
        <v>278</v>
      </c>
      <c r="C105" s="27" t="s">
        <v>292</v>
      </c>
      <c r="D105" s="28"/>
      <c r="E105" s="29">
        <v>8</v>
      </c>
      <c r="F105" s="30" t="s">
        <v>172</v>
      </c>
      <c r="G105" s="31"/>
      <c r="H105" s="32" t="s">
        <v>40</v>
      </c>
      <c r="I105" s="33"/>
      <c r="J105" s="34">
        <f>IF(AND(D105="",E105="",A105="",B105="",C105=""),"", IFERROR(IF(J104="",D2,J104),D2)+IF(OR(E105="",H105="معلق"),0,E105)-IF(OR(G105="أبو اسحاق",G105="أبو آدم",G105="أبو اسحاق ",G105="أبو آدم "),0,IF(D105="",0,D105)))</f>
        <v>36.550000000000011</v>
      </c>
      <c r="K105" s="35"/>
      <c r="L105">
        <f>IF(E104&gt;0,COUNTIF($E$4:E104,"&gt;0"),"")</f>
        <v>69</v>
      </c>
      <c r="M105" t="str">
        <f>IF(AND(D104&gt;0,G104="المحفظة"),COUNTIFS($D$4:D104,"&gt;"&amp;0,$G$4:G104,"المحفظة"),"")</f>
        <v/>
      </c>
      <c r="N105" t="str">
        <f>IF(AND(OR('طباعة كشف الحساب'!$C$2="الكل",MONTH(A105)=IFERROR(MATCH('طباعة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الحساب'!$F$2="الكل",YEAR(A105)=IFERROR(VALUE('طباعة كشف الحساب'!$F$2),0)),A105&lt;&gt;""),IFERROR(MAX($N$4:N104),0)+1,"")</f>
        <v/>
      </c>
      <c r="O105" t="str">
        <f>IF(AND(D104&gt;0,F104="أحد الشركاء"),COUNTIFS($D$4:D104,"&gt;"&amp;0,$F$4:F104,"أحد الشركاء"),"")</f>
        <v/>
      </c>
      <c r="P105">
        <f>IF(OR($A105="",$F105="أحد الشركاء",AND($D105="",$E105="")),"",SUMPRODUCT(($A$4:$A105&lt;&gt;"")*($F$4:$F105&lt;&gt;"أحد الشركاء")*((($D$4:$D105&lt;&gt;"")+($E$4:$E105&lt;&gt;""))&gt;0)))</f>
        <v>85</v>
      </c>
      <c r="Q105" t="str">
        <f>IF(OR($A105="",$F105&lt;&gt;"أحد الشركاء"),"",COUNTIFS($A$4:A105,"&lt;&gt;",$F$4:F105,"أحد الشركاء"))</f>
        <v/>
      </c>
    </row>
    <row r="106" spans="1:17" ht="18.75" customHeight="1" x14ac:dyDescent="0.25">
      <c r="A106" s="25">
        <v>46211</v>
      </c>
      <c r="B106" s="36" t="s">
        <v>279</v>
      </c>
      <c r="C106" s="37" t="s">
        <v>280</v>
      </c>
      <c r="D106" s="38"/>
      <c r="E106" s="39">
        <v>24</v>
      </c>
      <c r="F106" s="136" t="s">
        <v>172</v>
      </c>
      <c r="G106" s="40"/>
      <c r="H106" s="41" t="s">
        <v>40</v>
      </c>
      <c r="I106" s="42"/>
      <c r="J106" s="43">
        <f>IF(AND(D106="",E106="",A106="",B106="",C106=""),"", IFERROR(IF(J105="",D2,J105),D2)+IF(OR(E106="",H106="معلق"),0,E106)-IF(OR(G106="أبو اسحاق",G106="أبو آدم",G106="أبو اسحاق ",G106="أبو آدم "),0,IF(D106="",0,D106)))</f>
        <v>60.550000000000011</v>
      </c>
      <c r="K106" s="44"/>
      <c r="L106">
        <f>IF(E105&gt;0,COUNTIF($E$4:E105,"&gt;0"),"")</f>
        <v>70</v>
      </c>
      <c r="M106" t="str">
        <f>IF(AND(D105&gt;0,G105="المحفظة"),COUNTIFS($D$4:D105,"&gt;"&amp;0,$G$4:G105,"المحفظة"),"")</f>
        <v/>
      </c>
      <c r="N106" t="str">
        <f>IF(AND(OR('طباعة كشف الحساب'!$C$2="الكل",MONTH(A106)=IFERROR(MATCH('طباعة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الحساب'!$F$2="الكل",YEAR(A106)=IFERROR(VALUE('طباعة كشف الحساب'!$F$2),0)),A106&lt;&gt;""),IFERROR(MAX($N$4:N105),0)+1,"")</f>
        <v/>
      </c>
      <c r="O106" t="str">
        <f>IF(AND(D105&gt;0,F105="أحد الشركاء"),COUNTIFS($D$4:D105,"&gt;"&amp;0,$F$4:F105,"أحد الشركاء"),"")</f>
        <v/>
      </c>
      <c r="P106">
        <f>IF(OR($A106="",$F106="أحد الشركاء",AND($D106="",$E106="")),"",SUMPRODUCT(($A$4:$A106&lt;&gt;"")*($F$4:$F106&lt;&gt;"أحد الشركاء")*((($D$4:$D106&lt;&gt;"")+($E$4:$E106&lt;&gt;""))&gt;0)))</f>
        <v>86</v>
      </c>
      <c r="Q106" t="str">
        <f>IF(OR($A106="",$F106&lt;&gt;"أحد الشركاء"),"",COUNTIFS($A$4:A106,"&lt;&gt;",$F$4:F106,"أحد الشركاء"))</f>
        <v/>
      </c>
    </row>
    <row r="107" spans="1:17" ht="18.75" customHeight="1" x14ac:dyDescent="0.25">
      <c r="A107" s="25">
        <v>46211</v>
      </c>
      <c r="B107" s="36" t="s">
        <v>281</v>
      </c>
      <c r="C107" s="27" t="s">
        <v>282</v>
      </c>
      <c r="D107" s="28"/>
      <c r="E107" s="29">
        <v>8</v>
      </c>
      <c r="F107" s="30" t="s">
        <v>172</v>
      </c>
      <c r="G107" s="31"/>
      <c r="H107" s="32" t="s">
        <v>40</v>
      </c>
      <c r="I107" s="33"/>
      <c r="J107" s="34">
        <f>IF(AND(D107="",E107="",A107="",B107="",C107=""),"", IFERROR(IF(J106="",D2,J106),D2)+IF(OR(E107="",H107="معلق"),0,E107)-IF(OR(G107="أبو اسحاق",G107="أبو آدم",G107="أبو اسحاق ",G107="أبو آدم "),0,IF(D107="",0,D107)))</f>
        <v>68.550000000000011</v>
      </c>
      <c r="K107" s="35"/>
      <c r="L107">
        <f>IF(E106&gt;0,COUNTIF($E$4:E106,"&gt;0"),"")</f>
        <v>71</v>
      </c>
      <c r="M107" t="str">
        <f>IF(AND(D106&gt;0,G106="المحفظة"),COUNTIFS($D$4:D106,"&gt;"&amp;0,$G$4:G106,"المحفظة"),"")</f>
        <v/>
      </c>
      <c r="N107" t="str">
        <f>IF(AND(OR('طباعة كشف الحساب'!$C$2="الكل",MONTH(A107)=IFERROR(MATCH('طباعة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الحساب'!$F$2="الكل",YEAR(A107)=IFERROR(VALUE('طباعة كشف الحساب'!$F$2),0)),A107&lt;&gt;""),IFERROR(MAX($N$4:N106),0)+1,"")</f>
        <v/>
      </c>
      <c r="O107" t="str">
        <f>IF(AND(D106&gt;0,F106="أحد الشركاء"),COUNTIFS($D$4:D106,"&gt;"&amp;0,$F$4:F106,"أحد الشركاء"),"")</f>
        <v/>
      </c>
      <c r="P107">
        <f>IF(OR($A107="",$F107="أحد الشركاء",AND($D107="",$E107="")),"",SUMPRODUCT(($A$4:$A107&lt;&gt;"")*($F$4:$F107&lt;&gt;"أحد الشركاء")*((($D$4:$D107&lt;&gt;"")+($E$4:$E107&lt;&gt;""))&gt;0)))</f>
        <v>87</v>
      </c>
      <c r="Q107" t="str">
        <f>IF(OR($A107="",$F107&lt;&gt;"أحد الشركاء"),"",COUNTIFS($A$4:A107,"&lt;&gt;",$F$4:F107,"أحد الشركاء"))</f>
        <v/>
      </c>
    </row>
    <row r="108" spans="1:17" ht="18.75" customHeight="1" x14ac:dyDescent="0.25">
      <c r="A108" s="139">
        <v>46212</v>
      </c>
      <c r="B108" s="36" t="s">
        <v>284</v>
      </c>
      <c r="C108" s="37" t="s">
        <v>283</v>
      </c>
      <c r="D108" s="38"/>
      <c r="E108" s="39">
        <v>5</v>
      </c>
      <c r="F108" s="136" t="s">
        <v>172</v>
      </c>
      <c r="G108" s="40"/>
      <c r="H108" s="41" t="s">
        <v>40</v>
      </c>
      <c r="I108" s="42"/>
      <c r="J108" s="43">
        <f>IF(AND(D108="",E108="",A108="",B108="",C108=""),"", IFERROR(IF(J107="",D2,J107),D2)+IF(OR(E108="",H108="معلق"),0,E108)-IF(OR(G108="أبو اسحاق",G108="أبو آدم",G108="أبو اسحاق ",G108="أبو آدم "),0,IF(D108="",0,D108)))</f>
        <v>73.550000000000011</v>
      </c>
      <c r="K108" s="44"/>
      <c r="L108">
        <f>IF(E107&gt;0,COUNTIF($E$4:E107,"&gt;0"),"")</f>
        <v>72</v>
      </c>
      <c r="M108" t="str">
        <f>IF(AND(D107&gt;0,G107="المحفظة"),COUNTIFS($D$4:D107,"&gt;"&amp;0,$G$4:G107,"المحفظة"),"")</f>
        <v/>
      </c>
      <c r="N108" t="str">
        <f>IF(AND(OR('طباعة كشف الحساب'!$C$2="الكل",MONTH(A108)=IFERROR(MATCH('طباعة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الحساب'!$F$2="الكل",YEAR(A108)=IFERROR(VALUE('طباعة كشف الحساب'!$F$2),0)),A108&lt;&gt;""),IFERROR(MAX($N$4:N107),0)+1,"")</f>
        <v/>
      </c>
      <c r="O108" t="str">
        <f>IF(AND(D107&gt;0,F107="أحد الشركاء"),COUNTIFS($D$4:D107,"&gt;"&amp;0,$F$4:F107,"أحد الشركاء"),"")</f>
        <v/>
      </c>
      <c r="P108">
        <f>IF(OR($A108="",$F108="أحد الشركاء",AND($D108="",$E108="")),"",SUMPRODUCT(($A$4:$A108&lt;&gt;"")*($F$4:$F108&lt;&gt;"أحد الشركاء")*((($D$4:$D108&lt;&gt;"")+($E$4:$E108&lt;&gt;""))&gt;0)))</f>
        <v>88</v>
      </c>
      <c r="Q108" t="str">
        <f>IF(OR($A108="",$F108&lt;&gt;"أحد الشركاء"),"",COUNTIFS($A$4:A108,"&lt;&gt;",$F$4:F108,"أحد الشركاء"))</f>
        <v/>
      </c>
    </row>
    <row r="109" spans="1:17" ht="18.75" customHeight="1" x14ac:dyDescent="0.25">
      <c r="A109" s="144">
        <v>46212</v>
      </c>
      <c r="B109" s="36" t="s">
        <v>286</v>
      </c>
      <c r="C109" s="27" t="s">
        <v>285</v>
      </c>
      <c r="D109" s="28"/>
      <c r="E109" s="29">
        <v>0.75</v>
      </c>
      <c r="F109" s="30" t="s">
        <v>172</v>
      </c>
      <c r="G109" s="31"/>
      <c r="H109" s="32" t="s">
        <v>40</v>
      </c>
      <c r="I109" s="33"/>
      <c r="J109" s="34">
        <f>IF(AND(D109="",E109="",A109="",B109="",C109=""),"", IFERROR(IF(J108="",D2,J108),D2)+IF(OR(E109="",H109="معلق"),0,E109)-IF(OR(G109="أبو اسحاق",G109="أبو آدم",G109="أبو اسحاق ",G109="أبو آدم "),0,IF(D109="",0,D109)))</f>
        <v>74.300000000000011</v>
      </c>
      <c r="K109" s="35"/>
      <c r="L109">
        <f>IF(E108&gt;0,COUNTIF($E$4:E108,"&gt;0"),"")</f>
        <v>73</v>
      </c>
      <c r="M109" t="str">
        <f>IF(AND(D108&gt;0,G108="المحفظة"),COUNTIFS($D$4:D108,"&gt;"&amp;0,$G$4:G108,"المحفظة"),"")</f>
        <v/>
      </c>
      <c r="N109" t="str">
        <f>IF(AND(OR('طباعة كشف الحساب'!$C$2="الكل",MONTH(A109)=IFERROR(MATCH('طباعة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الحساب'!$F$2="الكل",YEAR(A109)=IFERROR(VALUE('طباعة كشف الحساب'!$F$2),0)),A109&lt;&gt;""),IFERROR(MAX($N$4:N108),0)+1,"")</f>
        <v/>
      </c>
      <c r="O109" t="str">
        <f>IF(AND(D108&gt;0,F108="أحد الشركاء"),COUNTIFS($D$4:D108,"&gt;"&amp;0,$F$4:F108,"أحد الشركاء"),"")</f>
        <v/>
      </c>
      <c r="P109">
        <f>IF(OR($A109="",$F109="أحد الشركاء",AND($D109="",$E109="")),"",SUMPRODUCT(($A$4:$A109&lt;&gt;"")*($F$4:$F109&lt;&gt;"أحد الشركاء")*((($D$4:$D109&lt;&gt;"")+($E$4:$E109&lt;&gt;""))&gt;0)))</f>
        <v>89</v>
      </c>
      <c r="Q109" t="str">
        <f>IF(OR($A109="",$F109&lt;&gt;"أحد الشركاء"),"",COUNTIFS($A$4:A109,"&lt;&gt;",$F$4:F109,"أحد الشركاء"))</f>
        <v/>
      </c>
    </row>
    <row r="110" spans="1:17" ht="18.75" customHeight="1" x14ac:dyDescent="0.25">
      <c r="A110" s="144">
        <v>46212</v>
      </c>
      <c r="B110" s="36" t="s">
        <v>287</v>
      </c>
      <c r="C110" s="37" t="s">
        <v>182</v>
      </c>
      <c r="D110" s="38"/>
      <c r="E110" s="39">
        <v>1.5</v>
      </c>
      <c r="F110" s="136" t="s">
        <v>172</v>
      </c>
      <c r="G110" s="40"/>
      <c r="H110" s="41" t="s">
        <v>40</v>
      </c>
      <c r="I110" s="42"/>
      <c r="J110" s="43">
        <f>IF(AND(D110="",E110="",A110="",B110="",C110=""),"", IFERROR(IF(J109="",D2,J109),D2)+IF(OR(E110="",H110="معلق"),0,E110)-IF(OR(G110="أبو اسحاق",G110="أبو آدم",G110="أبو اسحاق ",G110="أبو آدم "),0,IF(D110="",0,D110)))</f>
        <v>75.800000000000011</v>
      </c>
      <c r="K110" s="44"/>
      <c r="L110">
        <f>IF(E109&gt;0,COUNTIF($E$4:E109,"&gt;0"),"")</f>
        <v>74</v>
      </c>
      <c r="M110" t="str">
        <f>IF(AND(D109&gt;0,G109="المحفظة"),COUNTIFS($D$4:D109,"&gt;"&amp;0,$G$4:G109,"المحفظة"),"")</f>
        <v/>
      </c>
      <c r="N110" t="str">
        <f>IF(AND(OR('طباعة كشف الحساب'!$C$2="الكل",MONTH(A110)=IFERROR(MATCH('طباعة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الحساب'!$F$2="الكل",YEAR(A110)=IFERROR(VALUE('طباعة كشف الحساب'!$F$2),0)),A110&lt;&gt;""),IFERROR(MAX($N$4:N109),0)+1,"")</f>
        <v/>
      </c>
      <c r="O110" t="str">
        <f>IF(AND(D109&gt;0,F109="أحد الشركاء"),COUNTIFS($D$4:D109,"&gt;"&amp;0,$F$4:F109,"أحد الشركاء"),"")</f>
        <v/>
      </c>
      <c r="P110">
        <f>IF(OR($A110="",$F110="أحد الشركاء",AND($D110="",$E110="")),"",SUMPRODUCT(($A$4:$A110&lt;&gt;"")*($F$4:$F110&lt;&gt;"أحد الشركاء")*((($D$4:$D110&lt;&gt;"")+($E$4:$E110&lt;&gt;""))&gt;0)))</f>
        <v>90</v>
      </c>
      <c r="Q110" t="str">
        <f>IF(OR($A110="",$F110&lt;&gt;"أحد الشركاء"),"",COUNTIFS($A$4:A110,"&lt;&gt;",$F$4:F110,"أحد الشركاء"))</f>
        <v/>
      </c>
    </row>
    <row r="111" spans="1:17" ht="18.75" customHeight="1" x14ac:dyDescent="0.25">
      <c r="A111" s="144">
        <v>46212</v>
      </c>
      <c r="B111" s="36" t="s">
        <v>288</v>
      </c>
      <c r="C111" s="27" t="s">
        <v>289</v>
      </c>
      <c r="D111" s="28"/>
      <c r="E111" s="29">
        <v>0.75</v>
      </c>
      <c r="F111" s="30" t="s">
        <v>172</v>
      </c>
      <c r="G111" s="31"/>
      <c r="H111" s="32" t="s">
        <v>40</v>
      </c>
      <c r="I111" s="33"/>
      <c r="J111" s="34">
        <f>IF(AND(D111="",E111="",A111="",B111="",C111=""),"", IFERROR(IF(J110="",D2,J110),D2)+IF(OR(E111="",H111="معلق"),0,E111)-IF(OR(G111="أبو اسحاق",G111="أبو آدم",G111="أبو اسحاق ",G111="أبو آدم "),0,IF(D111="",0,D111)))</f>
        <v>76.550000000000011</v>
      </c>
      <c r="K111" s="35"/>
      <c r="L111">
        <f>IF(E110&gt;0,COUNTIF($E$4:E110,"&gt;0"),"")</f>
        <v>75</v>
      </c>
      <c r="M111" t="str">
        <f>IF(AND(D110&gt;0,G110="المحفظة"),COUNTIFS($D$4:D110,"&gt;"&amp;0,$G$4:G110,"المحفظة"),"")</f>
        <v/>
      </c>
      <c r="N111" t="str">
        <f>IF(AND(OR('طباعة كشف الحساب'!$C$2="الكل",MONTH(A111)=IFERROR(MATCH('طباعة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الحساب'!$F$2="الكل",YEAR(A111)=IFERROR(VALUE('طباعة كشف الحساب'!$F$2),0)),A111&lt;&gt;""),IFERROR(MAX($N$4:N110),0)+1,"")</f>
        <v/>
      </c>
      <c r="O111" t="str">
        <f>IF(AND(D110&gt;0,F110="أحد الشركاء"),COUNTIFS($D$4:D110,"&gt;"&amp;0,$F$4:F110,"أحد الشركاء"),"")</f>
        <v/>
      </c>
      <c r="P111">
        <f>IF(OR($A111="",$F111="أحد الشركاء",AND($D111="",$E111="")),"",SUMPRODUCT(($A$4:$A111&lt;&gt;"")*($F$4:$F111&lt;&gt;"أحد الشركاء")*((($D$4:$D111&lt;&gt;"")+($E$4:$E111&lt;&gt;""))&gt;0)))</f>
        <v>91</v>
      </c>
      <c r="Q111" t="str">
        <f>IF(OR($A111="",$F111&lt;&gt;"أحد الشركاء"),"",COUNTIFS($A$4:A111,"&lt;&gt;",$F$4:F111,"أحد الشركاء"))</f>
        <v/>
      </c>
    </row>
    <row r="112" spans="1:17" ht="18.75" customHeight="1" x14ac:dyDescent="0.25">
      <c r="A112" s="144">
        <v>46212</v>
      </c>
      <c r="B112" s="36" t="s">
        <v>290</v>
      </c>
      <c r="C112" s="37" t="s">
        <v>291</v>
      </c>
      <c r="D112" s="38"/>
      <c r="E112" s="39">
        <v>1</v>
      </c>
      <c r="F112" s="136" t="s">
        <v>172</v>
      </c>
      <c r="G112" s="40"/>
      <c r="H112" s="41" t="s">
        <v>40</v>
      </c>
      <c r="I112" s="42"/>
      <c r="J112" s="43">
        <f>IF(AND(D112="",E112="",A112="",B112="",C112=""),"", IFERROR(IF(J111="",D2,J111),D2)+IF(OR(E112="",H112="معلق"),0,E112)-IF(OR(G112="أبو اسحاق",G112="أبو آدم",G112="أبو اسحاق ",G112="أبو آدم "),0,IF(D112="",0,D112)))</f>
        <v>77.550000000000011</v>
      </c>
      <c r="K112" s="44"/>
      <c r="L112">
        <f>IF(E111&gt;0,COUNTIF($E$4:E111,"&gt;0"),"")</f>
        <v>76</v>
      </c>
      <c r="M112" t="str">
        <f>IF(AND(D111&gt;0,G111="المحفظة"),COUNTIFS($D$4:D111,"&gt;"&amp;0,$G$4:G111,"المحفظة"),"")</f>
        <v/>
      </c>
      <c r="N112" t="str">
        <f>IF(AND(OR('طباعة كشف الحساب'!$C$2="الكل",MONTH(A112)=IFERROR(MATCH('طباعة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الحساب'!$F$2="الكل",YEAR(A112)=IFERROR(VALUE('طباعة كشف الحساب'!$F$2),0)),A112&lt;&gt;""),IFERROR(MAX($N$4:N111),0)+1,"")</f>
        <v/>
      </c>
      <c r="O112" t="str">
        <f>IF(AND(D111&gt;0,F111="أحد الشركاء"),COUNTIFS($D$4:D111,"&gt;"&amp;0,$F$4:F111,"أحد الشركاء"),"")</f>
        <v/>
      </c>
      <c r="P112">
        <f>IF(OR($A112="",$F112="أحد الشركاء",AND($D112="",$E112="")),"",SUMPRODUCT(($A$4:$A112&lt;&gt;"")*($F$4:$F112&lt;&gt;"أحد الشركاء")*((($D$4:$D112&lt;&gt;"")+($E$4:$E112&lt;&gt;""))&gt;0)))</f>
        <v>92</v>
      </c>
      <c r="Q112" t="str">
        <f>IF(OR($A112="",$F112&lt;&gt;"أحد الشركاء"),"",COUNTIFS($A$4:A112,"&lt;&gt;",$F$4:F112,"أحد الشركاء"))</f>
        <v/>
      </c>
    </row>
    <row r="113" spans="1:17" ht="18.75" customHeight="1" x14ac:dyDescent="0.25">
      <c r="A113" s="25">
        <v>46217</v>
      </c>
      <c r="B113" s="36" t="s">
        <v>293</v>
      </c>
      <c r="C113" s="27" t="s">
        <v>295</v>
      </c>
      <c r="D113" s="28"/>
      <c r="E113" s="29">
        <v>5</v>
      </c>
      <c r="F113" s="30" t="s">
        <v>38</v>
      </c>
      <c r="G113" s="31"/>
      <c r="H113" s="32" t="s">
        <v>40</v>
      </c>
      <c r="I113" s="33"/>
      <c r="J113" s="34">
        <f>IF(AND(D113="",E113="",A113="",B113="",C113=""),"", IFERROR(IF(J112="",D2,J112),D2)+IF(OR(E113="",H113="معلق"),0,E113)-IF(OR(G113="أبو اسحاق",G113="أبو آدم",G113="أبو اسحاق ",G113="أبو آدم "),0,IF(D113="",0,D113)))</f>
        <v>82.550000000000011</v>
      </c>
      <c r="K113" s="35"/>
      <c r="L113">
        <f>IF(E112&gt;0,COUNTIF($E$4:E112,"&gt;0"),"")</f>
        <v>77</v>
      </c>
      <c r="M113" t="str">
        <f>IF(AND(D112&gt;0,G112="المحفظة"),COUNTIFS($D$4:D112,"&gt;"&amp;0,$G$4:G112,"المحفظة"),"")</f>
        <v/>
      </c>
      <c r="N113" t="str">
        <f>IF(AND(OR('طباعة كشف الحساب'!$C$2="الكل",MONTH(A113)=IFERROR(MATCH('طباعة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الحساب'!$F$2="الكل",YEAR(A113)=IFERROR(VALUE('طباعة كشف الحساب'!$F$2),0)),A113&lt;&gt;""),IFERROR(MAX($N$4:N112),0)+1,"")</f>
        <v/>
      </c>
      <c r="O113" t="str">
        <f>IF(AND(D112&gt;0,F112="أحد الشركاء"),COUNTIFS($D$4:D112,"&gt;"&amp;0,$F$4:F112,"أحد الشركاء"),"")</f>
        <v/>
      </c>
      <c r="P113">
        <f>IF(OR($A113="",$F113="أحد الشركاء",AND($D113="",$E113="")),"",SUMPRODUCT(($A$4:$A113&lt;&gt;"")*($F$4:$F113&lt;&gt;"أحد الشركاء")*((($D$4:$D113&lt;&gt;"")+($E$4:$E113&lt;&gt;""))&gt;0)))</f>
        <v>93</v>
      </c>
      <c r="Q113" t="str">
        <f>IF(OR($A113="",$F113&lt;&gt;"أحد الشركاء"),"",COUNTIFS($A$4:A113,"&lt;&gt;",$F$4:F113,"أحد الشركاء"))</f>
        <v/>
      </c>
    </row>
    <row r="114" spans="1:17" ht="18.75" customHeight="1" x14ac:dyDescent="0.25">
      <c r="A114" s="139">
        <v>46217</v>
      </c>
      <c r="B114" s="36" t="s">
        <v>294</v>
      </c>
      <c r="C114" s="37" t="s">
        <v>296</v>
      </c>
      <c r="D114" s="38"/>
      <c r="E114" s="39">
        <v>24</v>
      </c>
      <c r="F114" s="136" t="s">
        <v>38</v>
      </c>
      <c r="G114" s="40"/>
      <c r="H114" s="41" t="s">
        <v>40</v>
      </c>
      <c r="I114" s="42"/>
      <c r="J114" s="43">
        <f>IF(AND(D114="",E114="",A114="",B114="",C114=""),"", IFERROR(IF(J113="",D2,J113),D2)+IF(OR(E114="",H114="معلق"),0,E114)-IF(OR(G114="أبو اسحاق",G114="أبو آدم",G114="أبو اسحاق ",G114="أبو آدم "),0,IF(D114="",0,D114)))</f>
        <v>106.55000000000001</v>
      </c>
      <c r="K114" s="44"/>
      <c r="L114">
        <f>IF(E113&gt;0,COUNTIF($E$4:E113,"&gt;0"),"")</f>
        <v>78</v>
      </c>
      <c r="M114" t="str">
        <f>IF(AND(D113&gt;0,G113="المحفظة"),COUNTIFS($D$4:D113,"&gt;"&amp;0,$G$4:G113,"المحفظة"),"")</f>
        <v/>
      </c>
      <c r="N114" t="str">
        <f>IF(AND(OR('طباعة كشف الحساب'!$C$2="الكل",MONTH(A114)=IFERROR(MATCH('طباعة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الحساب'!$F$2="الكل",YEAR(A114)=IFERROR(VALUE('طباعة كشف الحساب'!$F$2),0)),A114&lt;&gt;""),IFERROR(MAX($N$4:N113),0)+1,"")</f>
        <v/>
      </c>
      <c r="O114" t="str">
        <f>IF(AND(D113&gt;0,F113="أحد الشركاء"),COUNTIFS($D$4:D113,"&gt;"&amp;0,$F$4:F113,"أحد الشركاء"),"")</f>
        <v/>
      </c>
      <c r="P114">
        <f>IF(OR($A114="",$F114="أحد الشركاء",AND($D114="",$E114="")),"",SUMPRODUCT(($A$4:$A114&lt;&gt;"")*($F$4:$F114&lt;&gt;"أحد الشركاء")*((($D$4:$D114&lt;&gt;"")+($E$4:$E114&lt;&gt;""))&gt;0)))</f>
        <v>94</v>
      </c>
      <c r="Q114" t="str">
        <f>IF(OR($A114="",$F114&lt;&gt;"أحد الشركاء"),"",COUNTIFS($A$4:A114,"&lt;&gt;",$F$4:F114,"أحد الشركاء"))</f>
        <v/>
      </c>
    </row>
    <row r="115" spans="1:17" ht="18.75" customHeight="1" x14ac:dyDescent="0.25">
      <c r="A115" s="25">
        <v>46217</v>
      </c>
      <c r="B115" s="26"/>
      <c r="C115" s="27" t="s">
        <v>297</v>
      </c>
      <c r="D115" s="28">
        <v>1.925</v>
      </c>
      <c r="E115" s="29"/>
      <c r="F115" s="30" t="s">
        <v>38</v>
      </c>
      <c r="G115" s="31" t="s">
        <v>39</v>
      </c>
      <c r="H115" s="32" t="s">
        <v>40</v>
      </c>
      <c r="I115" s="33"/>
      <c r="J115" s="34">
        <f>IF(AND(D115="",E115="",A115="",B115="",C115=""),"", IFERROR(IF(J114="",D2,J114),D2)+IF(OR(E115="",H115="معلق"),0,E115)-IF(OR(G115="أبو اسحاق",G115="أبو آدم",G115="أبو اسحاق ",G115="أبو آدم "),0,IF(D115="",0,D115)))</f>
        <v>104.62500000000001</v>
      </c>
      <c r="K115" s="35"/>
      <c r="L115">
        <f>IF(E114&gt;0,COUNTIF($E$4:E114,"&gt;0"),"")</f>
        <v>79</v>
      </c>
      <c r="M115" t="str">
        <f>IF(AND(D114&gt;0,G114="المحفظة"),COUNTIFS($D$4:D114,"&gt;"&amp;0,$G$4:G114,"المحفظة"),"")</f>
        <v/>
      </c>
      <c r="N115" t="str">
        <f>IF(AND(OR('طباعة كشف الحساب'!$C$2="الكل",MONTH(A115)=IFERROR(MATCH('طباعة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الحساب'!$F$2="الكل",YEAR(A115)=IFERROR(VALUE('طباعة كشف الحساب'!$F$2),0)),A115&lt;&gt;""),IFERROR(MAX($N$4:N114),0)+1,"")</f>
        <v/>
      </c>
      <c r="O115" t="str">
        <f>IF(AND(D114&gt;0,F114="أحد الشركاء"),COUNTIFS($D$4:D114,"&gt;"&amp;0,$F$4:F114,"أحد الشركاء"),"")</f>
        <v/>
      </c>
      <c r="P115">
        <f>IF(OR($A115="",$F115="أحد الشركاء",AND($D115="",$E115="")),"",SUMPRODUCT(($A$4:$A115&lt;&gt;"")*($F$4:$F115&lt;&gt;"أحد الشركاء")*((($D$4:$D115&lt;&gt;"")+($E$4:$E115&lt;&gt;""))&gt;0)))</f>
        <v>95</v>
      </c>
      <c r="Q115" t="str">
        <f>IF(OR($A115="",$F115&lt;&gt;"أحد الشركاء"),"",COUNTIFS($A$4:A115,"&lt;&gt;",$F$4:F115,"أحد الشركاء"))</f>
        <v/>
      </c>
    </row>
    <row r="116" spans="1:17" ht="18.75" customHeight="1" x14ac:dyDescent="0.25">
      <c r="A116" s="139">
        <v>46219</v>
      </c>
      <c r="B116" s="36" t="s">
        <v>298</v>
      </c>
      <c r="C116" s="37" t="s">
        <v>299</v>
      </c>
      <c r="D116" s="38"/>
      <c r="E116" s="39">
        <v>2</v>
      </c>
      <c r="F116" s="136" t="s">
        <v>172</v>
      </c>
      <c r="G116" s="40"/>
      <c r="H116" s="41" t="s">
        <v>40</v>
      </c>
      <c r="I116" s="42"/>
      <c r="J116" s="43">
        <f>IF(AND(D116="",E116="",A116="",B116="",C116=""),"", IFERROR(IF(J115="",D2,J115),D2)+IF(OR(E116="",H116="معلق"),0,E116)-IF(OR(G116="أبو اسحاق",G116="أبو آدم",G116="أبو اسحاق ",G116="أبو آدم "),0,IF(D116="",0,D116)))</f>
        <v>106.62500000000001</v>
      </c>
      <c r="K116" s="44" t="s">
        <v>300</v>
      </c>
      <c r="L116" t="str">
        <f>IF(E115&gt;0,COUNTIF($E$4:E115,"&gt;0"),"")</f>
        <v/>
      </c>
      <c r="M116">
        <f>IF(AND(D115&gt;0,G115="المحفظة"),COUNTIFS($D$4:D115,"&gt;"&amp;0,$G$4:G115,"المحفظة"),"")</f>
        <v>16</v>
      </c>
      <c r="N116" t="str">
        <f>IF(AND(OR('طباعة كشف الحساب'!$C$2="الكل",MONTH(A116)=IFERROR(MATCH('طباعة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الحساب'!$F$2="الكل",YEAR(A116)=IFERROR(VALUE('طباعة كشف الحساب'!$F$2),0)),A116&lt;&gt;""),IFERROR(MAX($N$4:N115),0)+1,"")</f>
        <v/>
      </c>
      <c r="O116" t="str">
        <f>IF(AND(D115&gt;0,F115="أحد الشركاء"),COUNTIFS($D$4:D115,"&gt;"&amp;0,$F$4:F115,"أحد الشركاء"),"")</f>
        <v/>
      </c>
      <c r="P116">
        <f>IF(OR($A116="",$F116="أحد الشركاء",AND($D116="",$E116="")),"",SUMPRODUCT(($A$4:$A116&lt;&gt;"")*($F$4:$F116&lt;&gt;"أحد الشركاء")*((($D$4:$D116&lt;&gt;"")+($E$4:$E116&lt;&gt;""))&gt;0)))</f>
        <v>96</v>
      </c>
      <c r="Q116" t="str">
        <f>IF(OR($A116="",$F116&lt;&gt;"أحد الشركاء"),"",COUNTIFS($A$4:A116,"&lt;&gt;",$F$4:F116,"أحد الشركاء"))</f>
        <v/>
      </c>
    </row>
    <row r="117" spans="1:17" ht="18.75" customHeight="1" x14ac:dyDescent="0.25">
      <c r="A117" s="145">
        <v>46219</v>
      </c>
      <c r="B117" s="36" t="s">
        <v>301</v>
      </c>
      <c r="C117" s="27" t="s">
        <v>302</v>
      </c>
      <c r="D117" s="28"/>
      <c r="E117" s="29">
        <v>2</v>
      </c>
      <c r="F117" s="30" t="s">
        <v>172</v>
      </c>
      <c r="G117" s="31"/>
      <c r="H117" s="32" t="s">
        <v>40</v>
      </c>
      <c r="I117" s="33"/>
      <c r="J117" s="34">
        <f>IF(AND(D117="",E117="",A117="",B117="",C117=""),"", IFERROR(IF(J116="",D2,J116),D2)+IF(OR(E117="",H117="معلق"),0,E117)-IF(OR(G117="أبو اسحاق",G117="أبو آدم",G117="أبو اسحاق ",G117="أبو آدم "),0,IF(D117="",0,D117)))</f>
        <v>108.62500000000001</v>
      </c>
      <c r="K117" s="44" t="s">
        <v>300</v>
      </c>
      <c r="L117">
        <f>IF(E116&gt;0,COUNTIF($E$4:E116,"&gt;0"),"")</f>
        <v>80</v>
      </c>
      <c r="M117" t="str">
        <f>IF(AND(D116&gt;0,G116="المحفظة"),COUNTIFS($D$4:D116,"&gt;"&amp;0,$G$4:G116,"المحفظة"),"")</f>
        <v/>
      </c>
      <c r="N117" t="str">
        <f>IF(AND(OR('طباعة كشف الحساب'!$C$2="الكل",MONTH(A117)=IFERROR(MATCH('طباعة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الحساب'!$F$2="الكل",YEAR(A117)=IFERROR(VALUE('طباعة كشف الحساب'!$F$2),0)),A117&lt;&gt;""),IFERROR(MAX($N$4:N116),0)+1,"")</f>
        <v/>
      </c>
      <c r="O117" t="str">
        <f>IF(AND(D116&gt;0,F116="أحد الشركاء"),COUNTIFS($D$4:D116,"&gt;"&amp;0,$F$4:F116,"أحد الشركاء"),"")</f>
        <v/>
      </c>
      <c r="P117">
        <f>IF(OR($A117="",$F117="أحد الشركاء",AND($D117="",$E117="")),"",SUMPRODUCT(($A$4:$A117&lt;&gt;"")*($F$4:$F117&lt;&gt;"أحد الشركاء")*((($D$4:$D117&lt;&gt;"")+($E$4:$E117&lt;&gt;""))&gt;0)))</f>
        <v>97</v>
      </c>
      <c r="Q117" t="str">
        <f>IF(OR($A117="",$F117&lt;&gt;"أحد الشركاء"),"",COUNTIFS($A$4:A117,"&lt;&gt;",$F$4:F117,"أحد الشركاء"))</f>
        <v/>
      </c>
    </row>
    <row r="118" spans="1:17" ht="18.75" customHeight="1" x14ac:dyDescent="0.25">
      <c r="A118" s="139">
        <v>46221</v>
      </c>
      <c r="B118" s="36" t="s">
        <v>304</v>
      </c>
      <c r="C118" s="37" t="s">
        <v>303</v>
      </c>
      <c r="D118" s="38"/>
      <c r="E118" s="39">
        <v>1</v>
      </c>
      <c r="F118" s="136" t="s">
        <v>172</v>
      </c>
      <c r="G118" s="40"/>
      <c r="H118" s="41" t="s">
        <v>40</v>
      </c>
      <c r="I118" s="42"/>
      <c r="J118" s="43">
        <f>IF(AND(D118="",E118="",A118="",B118="",C118=""),"", IFERROR(IF(J117="",D2,J117),D2)+IF(OR(E118="",H118="معلق"),0,E118)-IF(OR(G118="أبو اسحاق",G118="أبو آدم",G118="أبو اسحاق ",G118="أبو آدم "),0,IF(D118="",0,D118)))</f>
        <v>109.62500000000001</v>
      </c>
      <c r="K118" s="44"/>
      <c r="L118">
        <f>IF(E117&gt;0,COUNTIF($E$4:E117,"&gt;0"),"")</f>
        <v>81</v>
      </c>
      <c r="M118" t="str">
        <f>IF(AND(D117&gt;0,G117="المحفظة"),COUNTIFS($D$4:D117,"&gt;"&amp;0,$G$4:G117,"المحفظة"),"")</f>
        <v/>
      </c>
      <c r="N118" t="str">
        <f>IF(AND(OR('طباعة كشف الحساب'!$C$2="الكل",MONTH(A118)=IFERROR(MATCH('طباعة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الحساب'!$F$2="الكل",YEAR(A118)=IFERROR(VALUE('طباعة كشف الحساب'!$F$2),0)),A118&lt;&gt;""),IFERROR(MAX($N$4:N117),0)+1,"")</f>
        <v/>
      </c>
      <c r="O118" t="str">
        <f>IF(AND(D117&gt;0,F117="أحد الشركاء"),COUNTIFS($D$4:D117,"&gt;"&amp;0,$F$4:F117,"أحد الشركاء"),"")</f>
        <v/>
      </c>
      <c r="P118">
        <f>IF(OR($A118="",$F118="أحد الشركاء",AND($D118="",$E118="")),"",SUMPRODUCT(($A$4:$A118&lt;&gt;"")*($F$4:$F118&lt;&gt;"أحد الشركاء")*((($D$4:$D118&lt;&gt;"")+($E$4:$E118&lt;&gt;""))&gt;0)))</f>
        <v>98</v>
      </c>
      <c r="Q118" t="str">
        <f>IF(OR($A118="",$F118&lt;&gt;"أحد الشركاء"),"",COUNTIFS($A$4:A118,"&lt;&gt;",$F$4:F118,"أحد الشركاء"))</f>
        <v/>
      </c>
    </row>
    <row r="119" spans="1:17" ht="18.75" customHeight="1" x14ac:dyDescent="0.25">
      <c r="A119" s="145">
        <v>46221</v>
      </c>
      <c r="B119" s="36" t="s">
        <v>305</v>
      </c>
      <c r="C119" s="27" t="s">
        <v>306</v>
      </c>
      <c r="D119" s="28"/>
      <c r="E119" s="29">
        <v>2</v>
      </c>
      <c r="F119" s="30" t="s">
        <v>172</v>
      </c>
      <c r="G119" s="31"/>
      <c r="H119" s="32" t="s">
        <v>40</v>
      </c>
      <c r="I119" s="33"/>
      <c r="J119" s="34">
        <f>IF(AND(D119="",E119="",A119="",B119="",C119=""),"", IFERROR(IF(J118="",D2,J118),D2)+IF(OR(E119="",H119="معلق"),0,E119)-IF(OR(G119="أبو اسحاق",G119="أبو آدم",G119="أبو اسحاق ",G119="أبو آدم "),0,IF(D119="",0,D119)))</f>
        <v>111.62500000000001</v>
      </c>
      <c r="K119" s="35"/>
      <c r="L119">
        <f>IF(E118&gt;0,COUNTIF($E$4:E118,"&gt;0"),"")</f>
        <v>82</v>
      </c>
      <c r="M119" t="str">
        <f>IF(AND(D118&gt;0,G118="المحفظة"),COUNTIFS($D$4:D118,"&gt;"&amp;0,$G$4:G118,"المحفظة"),"")</f>
        <v/>
      </c>
      <c r="N119" t="str">
        <f>IF(AND(OR('طباعة كشف الحساب'!$C$2="الكل",MONTH(A119)=IFERROR(MATCH('طباعة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الحساب'!$F$2="الكل",YEAR(A119)=IFERROR(VALUE('طباعة كشف الحساب'!$F$2),0)),A119&lt;&gt;""),IFERROR(MAX($N$4:N118),0)+1,"")</f>
        <v/>
      </c>
      <c r="O119" t="str">
        <f>IF(AND(D118&gt;0,F118="أحد الشركاء"),COUNTIFS($D$4:D118,"&gt;"&amp;0,$F$4:F118,"أحد الشركاء"),"")</f>
        <v/>
      </c>
      <c r="P119">
        <f>IF(OR($A119="",$F119="أحد الشركاء",AND($D119="",$E119="")),"",SUMPRODUCT(($A$4:$A119&lt;&gt;"")*($F$4:$F119&lt;&gt;"أحد الشركاء")*((($D$4:$D119&lt;&gt;"")+($E$4:$E119&lt;&gt;""))&gt;0)))</f>
        <v>99</v>
      </c>
      <c r="Q119" t="str">
        <f>IF(OR($A119="",$F119&lt;&gt;"أحد الشركاء"),"",COUNTIFS($A$4:A119,"&lt;&gt;",$F$4:F119,"أحد الشركاء"))</f>
        <v/>
      </c>
    </row>
    <row r="120" spans="1:17" ht="18.75" customHeight="1" x14ac:dyDescent="0.25">
      <c r="A120" s="139">
        <v>46224</v>
      </c>
      <c r="B120" s="36" t="s">
        <v>307</v>
      </c>
      <c r="C120" s="37" t="s">
        <v>308</v>
      </c>
      <c r="D120" s="38"/>
      <c r="E120" s="39">
        <v>9</v>
      </c>
      <c r="F120" s="136" t="s">
        <v>38</v>
      </c>
      <c r="G120" s="40"/>
      <c r="H120" s="41" t="s">
        <v>40</v>
      </c>
      <c r="I120" s="42"/>
      <c r="J120" s="43">
        <f>IF(AND(D120="",E120="",A120="",B120="",C120=""),"", IFERROR(IF(J119="",D2,J119),D2)+IF(OR(E120="",H120="معلق"),0,E120)-IF(OR(G120="أبو اسحاق",G120="أبو آدم",G120="أبو اسحاق ",G120="أبو آدم "),0,IF(D120="",0,D120)))</f>
        <v>120.62500000000001</v>
      </c>
      <c r="K120" s="44"/>
      <c r="L120">
        <f>IF(E119&gt;0,COUNTIF($E$4:E119,"&gt;0"),"")</f>
        <v>83</v>
      </c>
      <c r="M120" t="str">
        <f>IF(AND(D119&gt;0,G119="المحفظة"),COUNTIFS($D$4:D119,"&gt;"&amp;0,$G$4:G119,"المحفظة"),"")</f>
        <v/>
      </c>
      <c r="N120" t="str">
        <f>IF(AND(OR('طباعة كشف الحساب'!$C$2="الكل",MONTH(A120)=IFERROR(MATCH('طباعة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الحساب'!$F$2="الكل",YEAR(A120)=IFERROR(VALUE('طباعة كشف الحساب'!$F$2),0)),A120&lt;&gt;""),IFERROR(MAX($N$4:N119),0)+1,"")</f>
        <v/>
      </c>
      <c r="O120" t="str">
        <f>IF(AND(D119&gt;0,F119="أحد الشركاء"),COUNTIFS($D$4:D119,"&gt;"&amp;0,$F$4:F119,"أحد الشركاء"),"")</f>
        <v/>
      </c>
      <c r="P120">
        <f>IF(OR($A120="",$F120="أحد الشركاء",AND($D120="",$E120="")),"",SUMPRODUCT(($A$4:$A120&lt;&gt;"")*($F$4:$F120&lt;&gt;"أحد الشركاء")*((($D$4:$D120&lt;&gt;"")+($E$4:$E120&lt;&gt;""))&gt;0)))</f>
        <v>100</v>
      </c>
      <c r="Q120" t="str">
        <f>IF(OR($A120="",$F120&lt;&gt;"أحد الشركاء"),"",COUNTIFS($A$4:A120,"&lt;&gt;",$F$4:F120,"أحد الشركاء"))</f>
        <v/>
      </c>
    </row>
    <row r="121" spans="1:17" ht="18.75" customHeight="1" x14ac:dyDescent="0.25">
      <c r="A121" s="146">
        <v>46224</v>
      </c>
      <c r="B121" s="36" t="s">
        <v>309</v>
      </c>
      <c r="C121" s="27" t="s">
        <v>188</v>
      </c>
      <c r="D121" s="28"/>
      <c r="E121" s="29">
        <v>22</v>
      </c>
      <c r="F121" s="30" t="s">
        <v>38</v>
      </c>
      <c r="G121" s="31"/>
      <c r="H121" s="32" t="s">
        <v>40</v>
      </c>
      <c r="I121" s="33"/>
      <c r="J121" s="34">
        <f>IF(AND(D121="",E121="",A121="",B121="",C121=""),"", IFERROR(IF(J120="",D2,J120),D2)+IF(OR(E121="",H121="معلق"),0,E121)-IF(OR(G121="أبو اسحاق",G121="أبو آدم",G121="أبو اسحاق ",G121="أبو آدم "),0,IF(D121="",0,D121)))</f>
        <v>142.625</v>
      </c>
      <c r="K121" s="35"/>
      <c r="L121">
        <f>IF(E120&gt;0,COUNTIF($E$4:E120,"&gt;0"),"")</f>
        <v>84</v>
      </c>
      <c r="M121" t="str">
        <f>IF(AND(D120&gt;0,G120="المحفظة"),COUNTIFS($D$4:D120,"&gt;"&amp;0,$G$4:G120,"المحفظة"),"")</f>
        <v/>
      </c>
      <c r="N121" t="str">
        <f>IF(AND(OR('طباعة كشف الحساب'!$C$2="الكل",MONTH(A121)=IFERROR(MATCH('طباعة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الحساب'!$F$2="الكل",YEAR(A121)=IFERROR(VALUE('طباعة كشف الحساب'!$F$2),0)),A121&lt;&gt;""),IFERROR(MAX($N$4:N120),0)+1,"")</f>
        <v/>
      </c>
      <c r="O121" t="str">
        <f>IF(AND(D120&gt;0,F120="أحد الشركاء"),COUNTIFS($D$4:D120,"&gt;"&amp;0,$F$4:F120,"أحد الشركاء"),"")</f>
        <v/>
      </c>
      <c r="P121">
        <f>IF(OR($A121="",$F121="أحد الشركاء",AND($D121="",$E121="")),"",SUMPRODUCT(($A$4:$A121&lt;&gt;"")*($F$4:$F121&lt;&gt;"أحد الشركاء")*((($D$4:$D121&lt;&gt;"")+($E$4:$E121&lt;&gt;""))&gt;0)))</f>
        <v>101</v>
      </c>
      <c r="Q121" t="str">
        <f>IF(OR($A121="",$F121&lt;&gt;"أحد الشركاء"),"",COUNTIFS($A$4:A121,"&lt;&gt;",$F$4:F121,"أحد الشركاء"))</f>
        <v/>
      </c>
    </row>
    <row r="122" spans="1:17" ht="18.75" customHeight="1" x14ac:dyDescent="0.25">
      <c r="A122" s="139">
        <v>46225</v>
      </c>
      <c r="B122" s="36" t="s">
        <v>310</v>
      </c>
      <c r="C122" s="37" t="s">
        <v>311</v>
      </c>
      <c r="D122" s="38"/>
      <c r="E122" s="39">
        <v>2</v>
      </c>
      <c r="F122" s="136" t="s">
        <v>172</v>
      </c>
      <c r="G122" s="40"/>
      <c r="H122" s="41" t="s">
        <v>40</v>
      </c>
      <c r="I122" s="42"/>
      <c r="J122" s="43">
        <f>IF(AND(D122="",E122="",A122="",B122="",C122=""),"", IFERROR(IF(J121="",D2,J121),D2)+IF(OR(E122="",H122="معلق"),0,E122)-IF(OR(G122="أبو اسحاق",G122="أبو آدم",G122="أبو اسحاق ",G122="أبو آدم "),0,IF(D122="",0,D122)))</f>
        <v>144.625</v>
      </c>
      <c r="K122" s="44"/>
      <c r="L122">
        <f>IF(E121&gt;0,COUNTIF($E$4:E121,"&gt;0"),"")</f>
        <v>85</v>
      </c>
      <c r="M122" t="str">
        <f>IF(AND(D121&gt;0,G121="المحفظة"),COUNTIFS($D$4:D121,"&gt;"&amp;0,$G$4:G121,"المحفظة"),"")</f>
        <v/>
      </c>
      <c r="N122" t="str">
        <f>IF(AND(OR('طباعة كشف الحساب'!$C$2="الكل",MONTH(A122)=IFERROR(MATCH('طباعة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الحساب'!$F$2="الكل",YEAR(A122)=IFERROR(VALUE('طباعة كشف الحساب'!$F$2),0)),A122&lt;&gt;""),IFERROR(MAX($N$4:N121),0)+1,"")</f>
        <v/>
      </c>
      <c r="O122" t="str">
        <f>IF(AND(D121&gt;0,F121="أحد الشركاء"),COUNTIFS($D$4:D121,"&gt;"&amp;0,$F$4:F121,"أحد الشركاء"),"")</f>
        <v/>
      </c>
      <c r="P122">
        <f>IF(OR($A122="",$F122="أحد الشركاء",AND($D122="",$E122="")),"",SUMPRODUCT(($A$4:$A122&lt;&gt;"")*($F$4:$F122&lt;&gt;"أحد الشركاء")*((($D$4:$D122&lt;&gt;"")+($E$4:$E122&lt;&gt;""))&gt;0)))</f>
        <v>102</v>
      </c>
      <c r="Q122" t="str">
        <f>IF(OR($A122="",$F122&lt;&gt;"أحد الشركاء"),"",COUNTIFS($A$4:A122,"&lt;&gt;",$F$4:F122,"أحد الشركاء"))</f>
        <v/>
      </c>
    </row>
    <row r="123" spans="1:17" ht="18.75" customHeight="1" x14ac:dyDescent="0.25">
      <c r="A123" s="25">
        <v>46227</v>
      </c>
      <c r="B123" s="36" t="s">
        <v>312</v>
      </c>
      <c r="C123" s="27" t="s">
        <v>313</v>
      </c>
      <c r="D123" s="28"/>
      <c r="E123" s="29">
        <v>2</v>
      </c>
      <c r="F123" s="30" t="s">
        <v>172</v>
      </c>
      <c r="G123" s="31"/>
      <c r="H123" s="32" t="s">
        <v>40</v>
      </c>
      <c r="I123" s="33"/>
      <c r="J123" s="34">
        <f>IF(AND(D123="",E123="",A123="",B123="",C123=""),"", IFERROR(IF(J122="",D2,J122),D2)+IF(OR(E123="",H123="معلق"),0,E123)-IF(OR(G123="أبو اسحاق",G123="أبو آدم",G123="أبو اسحاق ",G123="أبو آدم "),0,IF(D123="",0,D123)))</f>
        <v>146.625</v>
      </c>
      <c r="K123" s="35"/>
      <c r="L123">
        <f>IF(E122&gt;0,COUNTIF($E$4:E122,"&gt;0"),"")</f>
        <v>86</v>
      </c>
      <c r="M123" t="str">
        <f>IF(AND(D122&gt;0,G122="المحفظة"),COUNTIFS($D$4:D122,"&gt;"&amp;0,$G$4:G122,"المحفظة"),"")</f>
        <v/>
      </c>
      <c r="N123" t="str">
        <f>IF(AND(OR('طباعة كشف الحساب'!$C$2="الكل",MONTH(A123)=IFERROR(MATCH('طباعة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الحساب'!$F$2="الكل",YEAR(A123)=IFERROR(VALUE('طباعة كشف الحساب'!$F$2),0)),A123&lt;&gt;""),IFERROR(MAX($N$4:N122),0)+1,"")</f>
        <v/>
      </c>
      <c r="O123" t="str">
        <f>IF(AND(D122&gt;0,F122="أحد الشركاء"),COUNTIFS($D$4:D122,"&gt;"&amp;0,$F$4:F122,"أحد الشركاء"),"")</f>
        <v/>
      </c>
      <c r="P123">
        <f>IF(OR($A123="",$F123="أحد الشركاء",AND($D123="",$E123="")),"",SUMPRODUCT(($A$4:$A123&lt;&gt;"")*($F$4:$F123&lt;&gt;"أحد الشركاء")*((($D$4:$D123&lt;&gt;"")+($E$4:$E123&lt;&gt;""))&gt;0)))</f>
        <v>103</v>
      </c>
      <c r="Q123" t="str">
        <f>IF(OR($A123="",$F123&lt;&gt;"أحد الشركاء"),"",COUNTIFS($A$4:A123,"&lt;&gt;",$F$4:F123,"أحد الشركاء"))</f>
        <v/>
      </c>
    </row>
    <row r="124" spans="1:17" ht="18.75" customHeight="1" x14ac:dyDescent="0.25">
      <c r="A124" s="139">
        <v>46229</v>
      </c>
      <c r="B124" s="36"/>
      <c r="C124" s="37" t="s">
        <v>314</v>
      </c>
      <c r="D124" s="38">
        <v>10</v>
      </c>
      <c r="E124" s="39"/>
      <c r="F124" s="136" t="s">
        <v>38</v>
      </c>
      <c r="G124" s="40" t="s">
        <v>39</v>
      </c>
      <c r="H124" s="41" t="s">
        <v>40</v>
      </c>
      <c r="I124" s="42"/>
      <c r="J124" s="43">
        <f>IF(AND(D124="",E124="",A124="",B124="",C124=""),"", IFERROR(IF(J123="",D2,J123),D2)+IF(OR(E124="",H124="معلق"),0,E124)-IF(OR(G124="أبو اسحاق",G124="أبو آدم",G124="أبو اسحاق ",G124="أبو آدم "),0,IF(D124="",0,D124)))</f>
        <v>136.625</v>
      </c>
      <c r="K124" s="44"/>
      <c r="L124">
        <f>IF(E123&gt;0,COUNTIF($E$4:E123,"&gt;0"),"")</f>
        <v>87</v>
      </c>
      <c r="M124" t="str">
        <f>IF(AND(D123&gt;0,G123="المحفظة"),COUNTIFS($D$4:D123,"&gt;"&amp;0,$G$4:G123,"المحفظة"),"")</f>
        <v/>
      </c>
      <c r="N124" t="str">
        <f>IF(AND(OR('طباعة كشف الحساب'!$C$2="الكل",MONTH(A124)=IFERROR(MATCH('طباعة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الحساب'!$F$2="الكل",YEAR(A124)=IFERROR(VALUE('طباعة كشف الحساب'!$F$2),0)),A124&lt;&gt;""),IFERROR(MAX($N$4:N123),0)+1,"")</f>
        <v/>
      </c>
      <c r="O124" t="str">
        <f>IF(AND(D123&gt;0,F123="أحد الشركاء"),COUNTIFS($D$4:D123,"&gt;"&amp;0,$F$4:F123,"أحد الشركاء"),"")</f>
        <v/>
      </c>
      <c r="P124">
        <f>IF(OR($A124="",$F124="أحد الشركاء",AND($D124="",$E124="")),"",SUMPRODUCT(($A$4:$A124&lt;&gt;"")*($F$4:$F124&lt;&gt;"أحد الشركاء")*((($D$4:$D124&lt;&gt;"")+($E$4:$E124&lt;&gt;""))&gt;0)))</f>
        <v>104</v>
      </c>
      <c r="Q124" t="str">
        <f>IF(OR($A124="",$F124&lt;&gt;"أحد الشركاء"),"",COUNTIFS($A$4:A124,"&lt;&gt;",$F$4:F124,"أحد الشركاء"))</f>
        <v/>
      </c>
    </row>
    <row r="125" spans="1:17" ht="18.75" customHeight="1" x14ac:dyDescent="0.25">
      <c r="A125" s="25">
        <v>46229</v>
      </c>
      <c r="B125" s="26"/>
      <c r="C125" s="27" t="s">
        <v>208</v>
      </c>
      <c r="D125" s="28">
        <v>20</v>
      </c>
      <c r="E125" s="29"/>
      <c r="F125" s="30" t="s">
        <v>38</v>
      </c>
      <c r="G125" s="31" t="s">
        <v>39</v>
      </c>
      <c r="H125" s="32" t="s">
        <v>40</v>
      </c>
      <c r="I125" s="33"/>
      <c r="J125" s="34">
        <f>IF(AND(D125="",E125="",A125="",B125="",C125=""),"", IFERROR(IF(J124="",D2,J124),D2)+IF(OR(E125="",H125="معلق"),0,E125)-IF(OR(G125="أبو اسحاق",G125="أبو آدم",G125="أبو اسحاق ",G125="أبو آدم "),0,IF(D125="",0,D125)))</f>
        <v>116.625</v>
      </c>
      <c r="K125" s="35"/>
      <c r="L125" t="str">
        <f>IF(E124&gt;0,COUNTIF($E$4:E124,"&gt;0"),"")</f>
        <v/>
      </c>
      <c r="M125">
        <f>IF(AND(D124&gt;0,G124="المحفظة"),COUNTIFS($D$4:D124,"&gt;"&amp;0,$G$4:G124,"المحفظة"),"")</f>
        <v>17</v>
      </c>
      <c r="N125" t="str">
        <f>IF(AND(OR('طباعة كشف الحساب'!$C$2="الكل",MONTH(A125)=IFERROR(MATCH('طباعة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الحساب'!$F$2="الكل",YEAR(A125)=IFERROR(VALUE('طباعة كشف الحساب'!$F$2),0)),A125&lt;&gt;""),IFERROR(MAX($N$4:N124),0)+1,"")</f>
        <v/>
      </c>
      <c r="O125" t="str">
        <f>IF(AND(D124&gt;0,F124="أحد الشركاء"),COUNTIFS($D$4:D124,"&gt;"&amp;0,$F$4:F124,"أحد الشركاء"),"")</f>
        <v/>
      </c>
      <c r="P125">
        <f>IF(OR($A125="",$F125="أحد الشركاء",AND($D125="",$E125="")),"",SUMPRODUCT(($A$4:$A125&lt;&gt;"")*($F$4:$F125&lt;&gt;"أحد الشركاء")*((($D$4:$D125&lt;&gt;"")+($E$4:$E125&lt;&gt;""))&gt;0)))</f>
        <v>105</v>
      </c>
      <c r="Q125" t="str">
        <f>IF(OR($A125="",$F125&lt;&gt;"أحد الشركاء"),"",COUNTIFS($A$4:A125,"&lt;&gt;",$F$4:F125,"أحد الشركاء"))</f>
        <v/>
      </c>
    </row>
    <row r="126" spans="1:17" ht="18.75" customHeight="1" x14ac:dyDescent="0.25">
      <c r="A126" s="139">
        <v>46594</v>
      </c>
      <c r="B126" s="36" t="s">
        <v>315</v>
      </c>
      <c r="C126" s="37" t="s">
        <v>316</v>
      </c>
      <c r="D126" s="38"/>
      <c r="E126" s="39">
        <v>7.5</v>
      </c>
      <c r="F126" s="136" t="s">
        <v>38</v>
      </c>
      <c r="G126" s="40"/>
      <c r="H126" s="41" t="s">
        <v>40</v>
      </c>
      <c r="I126" s="42"/>
      <c r="J126" s="43">
        <f>IF(AND(D126="",E126="",A126="",B126="",C126=""),"", IFERROR(IF(J125="",D2,J125),D2)+IF(OR(E126="",H126="معلق"),0,E126)-IF(OR(G126="أبو اسحاق",G126="أبو آدم",G126="أبو اسحاق ",G126="أبو آدم "),0,IF(D126="",0,D126)))</f>
        <v>124.125</v>
      </c>
      <c r="K126" s="44"/>
      <c r="L126" t="str">
        <f>IF(E125&gt;0,COUNTIF($E$4:E125,"&gt;0"),"")</f>
        <v/>
      </c>
      <c r="M126">
        <f>IF(AND(D125&gt;0,G125="المحفظة"),COUNTIFS($D$4:D125,"&gt;"&amp;0,$G$4:G125,"المحفظة"),"")</f>
        <v>18</v>
      </c>
      <c r="N126" t="str">
        <f>IF(AND(OR('طباعة كشف الحساب'!$C$2="الكل",MONTH(A126)=IFERROR(MATCH('طباعة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الحساب'!$F$2="الكل",YEAR(A126)=IFERROR(VALUE('طباعة كشف الحساب'!$F$2),0)),A126&lt;&gt;""),IFERROR(MAX($N$4:N125),0)+1,"")</f>
        <v/>
      </c>
      <c r="O126" t="str">
        <f>IF(AND(D125&gt;0,F125="أحد الشركاء"),COUNTIFS($D$4:D125,"&gt;"&amp;0,$F$4:F125,"أحد الشركاء"),"")</f>
        <v/>
      </c>
      <c r="P126">
        <f>IF(OR($A126="",$F126="أحد الشركاء",AND($D126="",$E126="")),"",SUMPRODUCT(($A$4:$A126&lt;&gt;"")*($F$4:$F126&lt;&gt;"أحد الشركاء")*((($D$4:$D126&lt;&gt;"")+($E$4:$E126&lt;&gt;""))&gt;0)))</f>
        <v>106</v>
      </c>
      <c r="Q126" t="str">
        <f>IF(OR($A126="",$F126&lt;&gt;"أحد الشركاء"),"",COUNTIFS($A$4:A126,"&lt;&gt;",$F$4:F126,"أحد الشركاء"))</f>
        <v/>
      </c>
    </row>
    <row r="127" spans="1:17" ht="18.75" customHeight="1" x14ac:dyDescent="0.25">
      <c r="A127" s="25">
        <v>46229</v>
      </c>
      <c r="B127" s="26"/>
      <c r="C127" s="27" t="s">
        <v>317</v>
      </c>
      <c r="D127" s="28">
        <v>16.82</v>
      </c>
      <c r="E127" s="29"/>
      <c r="F127" s="30" t="s">
        <v>38</v>
      </c>
      <c r="G127" s="31" t="s">
        <v>39</v>
      </c>
      <c r="H127" s="32" t="s">
        <v>40</v>
      </c>
      <c r="I127" s="33"/>
      <c r="J127" s="34">
        <f>IF(AND(D127="",E127="",A127="",B127="",C127=""),"", IFERROR(IF(J126="",D2,J126),D2)+IF(OR(E127="",H127="معلق"),0,E127)-IF(OR(G127="أبو اسحاق",G127="أبو آدم",G127="أبو اسحاق ",G127="أبو آدم "),0,IF(D127="",0,D127)))</f>
        <v>107.30500000000001</v>
      </c>
      <c r="K127" s="35"/>
      <c r="L127">
        <f>IF(E126&gt;0,COUNTIF($E$4:E126,"&gt;0"),"")</f>
        <v>88</v>
      </c>
      <c r="M127" t="str">
        <f>IF(AND(D126&gt;0,G126="المحفظة"),COUNTIFS($D$4:D126,"&gt;"&amp;0,$G$4:G126,"المحفظة"),"")</f>
        <v/>
      </c>
      <c r="N127" t="str">
        <f>IF(AND(OR('طباعة كشف الحساب'!$C$2="الكل",MONTH(A127)=IFERROR(MATCH('طباعة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الحساب'!$F$2="الكل",YEAR(A127)=IFERROR(VALUE('طباعة كشف الحساب'!$F$2),0)),A127&lt;&gt;""),IFERROR(MAX($N$4:N126),0)+1,"")</f>
        <v/>
      </c>
      <c r="O127" t="str">
        <f>IF(AND(D126&gt;0,F126="أحد الشركاء"),COUNTIFS($D$4:D126,"&gt;"&amp;0,$F$4:F126,"أحد الشركاء"),"")</f>
        <v/>
      </c>
      <c r="P127">
        <f>IF(OR($A127="",$F127="أحد الشركاء",AND($D127="",$E127="")),"",SUMPRODUCT(($A$4:$A127&lt;&gt;"")*($F$4:$F127&lt;&gt;"أحد الشركاء")*((($D$4:$D127&lt;&gt;"")+($E$4:$E127&lt;&gt;""))&gt;0)))</f>
        <v>107</v>
      </c>
      <c r="Q127" t="str">
        <f>IF(OR($A127="",$F127&lt;&gt;"أحد الشركاء"),"",COUNTIFS($A$4:A127,"&lt;&gt;",$F$4:F127,"أحد الشركاء"))</f>
        <v/>
      </c>
    </row>
    <row r="128" spans="1:17" ht="18.75" customHeight="1" x14ac:dyDescent="0.25">
      <c r="A128" s="139">
        <v>46231</v>
      </c>
      <c r="B128" s="36" t="s">
        <v>318</v>
      </c>
      <c r="C128" s="37" t="s">
        <v>319</v>
      </c>
      <c r="D128" s="38"/>
      <c r="E128" s="39">
        <v>2.5</v>
      </c>
      <c r="F128" s="136" t="s">
        <v>172</v>
      </c>
      <c r="G128" s="40"/>
      <c r="H128" s="41" t="s">
        <v>40</v>
      </c>
      <c r="I128" s="42"/>
      <c r="J128" s="43">
        <f>IF(AND(D128="",E128="",A128="",B128="",C128=""),"", IFERROR(IF(J127="",D2,J127),D2)+IF(OR(E128="",H128="معلق"),0,E128)-IF(OR(G128="أبو اسحاق",G128="أبو آدم",G128="أبو اسحاق ",G128="أبو آدم "),0,IF(D128="",0,D128)))</f>
        <v>109.80500000000001</v>
      </c>
      <c r="K128" s="44"/>
      <c r="L128" t="str">
        <f>IF(E127&gt;0,COUNTIF($E$4:E127,"&gt;0"),"")</f>
        <v/>
      </c>
      <c r="M128">
        <f>IF(AND(D127&gt;0,G127="المحفظة"),COUNTIFS($D$4:D127,"&gt;"&amp;0,$G$4:G127,"المحفظة"),"")</f>
        <v>19</v>
      </c>
      <c r="N128" t="str">
        <f>IF(AND(OR('طباعة كشف الحساب'!$C$2="الكل",MONTH(A128)=IFERROR(MATCH('طباعة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الحساب'!$F$2="الكل",YEAR(A128)=IFERROR(VALUE('طباعة كشف الحساب'!$F$2),0)),A128&lt;&gt;""),IFERROR(MAX($N$4:N127),0)+1,"")</f>
        <v/>
      </c>
      <c r="O128" t="str">
        <f>IF(AND(D127&gt;0,F127="أحد الشركاء"),COUNTIFS($D$4:D127,"&gt;"&amp;0,$F$4:F127,"أحد الشركاء"),"")</f>
        <v/>
      </c>
      <c r="P128">
        <f>IF(OR($A128="",$F128="أحد الشركاء",AND($D128="",$E128="")),"",SUMPRODUCT(($A$4:$A128&lt;&gt;"")*($F$4:$F128&lt;&gt;"أحد الشركاء")*((($D$4:$D128&lt;&gt;"")+($E$4:$E128&lt;&gt;""))&gt;0)))</f>
        <v>108</v>
      </c>
      <c r="Q128" t="str">
        <f>IF(OR($A128="",$F128&lt;&gt;"أحد الشركاء"),"",COUNTIFS($A$4:A128,"&lt;&gt;",$F$4:F128,"أحد الشركاء"))</f>
        <v/>
      </c>
    </row>
    <row r="129" spans="1:17" ht="18.75" customHeight="1" x14ac:dyDescent="0.25">
      <c r="A129" s="147">
        <v>46231</v>
      </c>
      <c r="B129" s="36" t="s">
        <v>320</v>
      </c>
      <c r="C129" s="27" t="s">
        <v>321</v>
      </c>
      <c r="D129" s="28"/>
      <c r="E129" s="29">
        <v>3</v>
      </c>
      <c r="F129" s="30" t="s">
        <v>172</v>
      </c>
      <c r="G129" s="31"/>
      <c r="H129" s="32" t="s">
        <v>40</v>
      </c>
      <c r="I129" s="33"/>
      <c r="J129" s="34">
        <f>IF(AND(D129="",E129="",A129="",B129="",C129=""),"", IFERROR(IF(J128="",D2,J128),D2)+IF(OR(E129="",H129="معلق"),0,E129)-IF(OR(G129="أبو اسحاق",G129="أبو آدم",G129="أبو اسحاق ",G129="أبو آدم "),0,IF(D129="",0,D129)))</f>
        <v>112.80500000000001</v>
      </c>
      <c r="K129" s="35"/>
      <c r="L129">
        <f>IF(E128&gt;0,COUNTIF($E$4:E128,"&gt;0"),"")</f>
        <v>89</v>
      </c>
      <c r="M129" t="str">
        <f>IF(AND(D128&gt;0,G128="المحفظة"),COUNTIFS($D$4:D128,"&gt;"&amp;0,$G$4:G128,"المحفظة"),"")</f>
        <v/>
      </c>
      <c r="N129" t="str">
        <f>IF(AND(OR('طباعة كشف الحساب'!$C$2="الكل",MONTH(A129)=IFERROR(MATCH('طباعة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الحساب'!$F$2="الكل",YEAR(A129)=IFERROR(VALUE('طباعة كشف الحساب'!$F$2),0)),A129&lt;&gt;""),IFERROR(MAX($N$4:N128),0)+1,"")</f>
        <v/>
      </c>
      <c r="O129" t="str">
        <f>IF(AND(D128&gt;0,F128="أحد الشركاء"),COUNTIFS($D$4:D128,"&gt;"&amp;0,$F$4:F128,"أحد الشركاء"),"")</f>
        <v/>
      </c>
      <c r="P129">
        <f>IF(OR($A129="",$F129="أحد الشركاء",AND($D129="",$E129="")),"",SUMPRODUCT(($A$4:$A129&lt;&gt;"")*($F$4:$F129&lt;&gt;"أحد الشركاء")*((($D$4:$D129&lt;&gt;"")+($E$4:$E129&lt;&gt;""))&gt;0)))</f>
        <v>109</v>
      </c>
      <c r="Q129" t="str">
        <f>IF(OR($A129="",$F129&lt;&gt;"أحد الشركاء"),"",COUNTIFS($A$4:A129,"&lt;&gt;",$F$4:F129,"أحد الشركاء"))</f>
        <v/>
      </c>
    </row>
    <row r="130" spans="1:17" ht="18.75" customHeight="1" x14ac:dyDescent="0.25">
      <c r="A130" s="139">
        <v>46232</v>
      </c>
      <c r="B130" s="36"/>
      <c r="C130" s="37" t="s">
        <v>322</v>
      </c>
      <c r="D130" s="38">
        <v>99</v>
      </c>
      <c r="E130" s="39"/>
      <c r="F130" s="136" t="s">
        <v>38</v>
      </c>
      <c r="G130" s="40" t="s">
        <v>39</v>
      </c>
      <c r="H130" s="41" t="s">
        <v>40</v>
      </c>
      <c r="I130" s="42"/>
      <c r="J130" s="43">
        <f>IF(AND(D130="",E130="",A130="",B130="",C130=""),"", IFERROR(IF(J129="",D2,J129),D2)+IF(OR(E130="",H130="معلق"),0,E130)-IF(OR(G130="أبو اسحاق",G130="أبو آدم",G130="أبو اسحاق ",G130="أبو آدم "),0,IF(D130="",0,D130)))</f>
        <v>13.805000000000007</v>
      </c>
      <c r="K130" s="44"/>
      <c r="L130">
        <f>IF(E129&gt;0,COUNTIF($E$4:E129,"&gt;0"),"")</f>
        <v>90</v>
      </c>
      <c r="M130" t="str">
        <f>IF(AND(D129&gt;0,G129="المحفظة"),COUNTIFS($D$4:D129,"&gt;"&amp;0,$G$4:G129,"المحفظة"),"")</f>
        <v/>
      </c>
      <c r="N130" t="str">
        <f>IF(AND(OR('طباعة كشف الحساب'!$C$2="الكل",MONTH(A130)=IFERROR(MATCH('طباعة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الحساب'!$F$2="الكل",YEAR(A130)=IFERROR(VALUE('طباعة كشف الحساب'!$F$2),0)),A130&lt;&gt;""),IFERROR(MAX($N$4:N129),0)+1,"")</f>
        <v/>
      </c>
      <c r="O130" t="str">
        <f>IF(AND(D129&gt;0,F129="أحد الشركاء"),COUNTIFS($D$4:D129,"&gt;"&amp;0,$F$4:F129,"أحد الشركاء"),"")</f>
        <v/>
      </c>
      <c r="P130">
        <f>IF(OR($A130="",$F130="أحد الشركاء",AND($D130="",$E130="")),"",SUMPRODUCT(($A$4:$A130&lt;&gt;"")*($F$4:$F130&lt;&gt;"أحد الشركاء")*((($D$4:$D130&lt;&gt;"")+($E$4:$E130&lt;&gt;""))&gt;0)))</f>
        <v>110</v>
      </c>
      <c r="Q130" t="str">
        <f>IF(OR($A130="",$F130&lt;&gt;"أحد الشركاء"),"",COUNTIFS($A$4:A130,"&lt;&gt;",$F$4:F130,"أحد الشركاء"))</f>
        <v/>
      </c>
    </row>
    <row r="131" spans="1:17" ht="27" customHeight="1" x14ac:dyDescent="0.25">
      <c r="A131" s="25">
        <v>46232</v>
      </c>
      <c r="B131" s="26"/>
      <c r="C131" s="27" t="s">
        <v>323</v>
      </c>
      <c r="D131" s="28">
        <v>205.5</v>
      </c>
      <c r="E131" s="29"/>
      <c r="F131" s="30" t="s">
        <v>48</v>
      </c>
      <c r="G131" s="31" t="s">
        <v>60</v>
      </c>
      <c r="H131" s="32" t="s">
        <v>40</v>
      </c>
      <c r="I131" s="33"/>
      <c r="J131" s="34">
        <f>IF(AND(D131="",E131="",A131="",B131="",C131=""),"", IFERROR(IF(J130="",D2,J130),D2)+IF(OR(E131="",H131="معلق"),0,E131)-IF(OR(G131="أبو اسحاق",G131="أبو آدم",G131="أبو اسحاق ",G131="أبو آدم "),0,IF(D131="",0,D131)))</f>
        <v>13.805000000000007</v>
      </c>
      <c r="K131" s="35"/>
      <c r="L131" t="str">
        <f>IF(E130&gt;0,COUNTIF($E$4:E130,"&gt;0"),"")</f>
        <v/>
      </c>
      <c r="M131">
        <f>IF(AND(D130&gt;0,G130="المحفظة"),COUNTIFS($D$4:D130,"&gt;"&amp;0,$G$4:G130,"المحفظة"),"")</f>
        <v>20</v>
      </c>
      <c r="N131" t="str">
        <f>IF(AND(OR('طباعة كشف الحساب'!$C$2="الكل",MONTH(A131)=IFERROR(MATCH('طباعة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الحساب'!$F$2="الكل",YEAR(A131)=IFERROR(VALUE('طباعة كشف الحساب'!$F$2),0)),A131&lt;&gt;""),IFERROR(MAX($N$4:N130),0)+1,"")</f>
        <v/>
      </c>
      <c r="O131" t="str">
        <f>IF(AND(D130&gt;0,F130="أحد الشركاء"),COUNTIFS($D$4:D130,"&gt;"&amp;0,$F$4:F130,"أحد الشركاء"),"")</f>
        <v/>
      </c>
      <c r="P131" t="str">
        <f>IF(OR($A131="",$F131="أحد الشركاء",AND($D131="",$E131="")),"",SUMPRODUCT(($A$4:$A131&lt;&gt;"")*($F$4:$F131&lt;&gt;"أحد الشركاء")*((($D$4:$D131&lt;&gt;"")+($E$4:$E131&lt;&gt;""))&gt;0)))</f>
        <v/>
      </c>
      <c r="Q131">
        <f>IF(OR($A131="",$F131&lt;&gt;"أحد الشركاء"),"",COUNTIFS($A$4:A131,"&lt;&gt;",$F$4:F131,"أحد الشركاء"))</f>
        <v>12</v>
      </c>
    </row>
    <row r="132" spans="1:17" ht="18.75" customHeight="1" x14ac:dyDescent="0.25">
      <c r="A132" s="139">
        <v>46232</v>
      </c>
      <c r="B132" s="36"/>
      <c r="C132" s="37" t="s">
        <v>323</v>
      </c>
      <c r="D132" s="38">
        <v>205.5</v>
      </c>
      <c r="E132" s="39"/>
      <c r="F132" s="136" t="s">
        <v>48</v>
      </c>
      <c r="G132" s="40" t="s">
        <v>49</v>
      </c>
      <c r="H132" s="41" t="s">
        <v>40</v>
      </c>
      <c r="I132" s="42"/>
      <c r="J132" s="43">
        <f>IF(AND(D132="",E132="",A132="",B132="",C132=""),"", IFERROR(IF(J131="",D2,J131),D2)+IF(OR(E132="",H132="معلق"),0,E132)-IF(OR(G132="أبو اسحاق",G132="أبو آدم",G132="أبو اسحاق ",G132="أبو آدم "),0,IF(D132="",0,D132)))</f>
        <v>13.805000000000007</v>
      </c>
      <c r="K132" s="44"/>
      <c r="L132" t="str">
        <f>IF(E131&gt;0,COUNTIF($E$4:E131,"&gt;0"),"")</f>
        <v/>
      </c>
      <c r="M132" t="str">
        <f>IF(AND(D131&gt;0,G131="المحفظة"),COUNTIFS($D$4:D131,"&gt;"&amp;0,$G$4:G131,"المحفظة"),"")</f>
        <v/>
      </c>
      <c r="N132" t="str">
        <f>IF(AND(OR('طباعة كشف الحساب'!$C$2="الكل",MONTH(A132)=IFERROR(MATCH('طباعة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الحساب'!$F$2="الكل",YEAR(A132)=IFERROR(VALUE('طباعة كشف الحساب'!$F$2),0)),A132&lt;&gt;""),IFERROR(MAX($N$4:N131),0)+1,"")</f>
        <v/>
      </c>
      <c r="O132">
        <f>IF(AND(D131&gt;0,F131="أحد الشركاء"),COUNTIFS($D$4:D131,"&gt;"&amp;0,$F$4:F131,"أحد الشركاء"),"")</f>
        <v>12</v>
      </c>
      <c r="P132" t="str">
        <f>IF(OR($A132="",$F132="أحد الشركاء",AND($D132="",$E132="")),"",SUMPRODUCT(($A$4:$A132&lt;&gt;"")*($F$4:$F132&lt;&gt;"أحد الشركاء")*((($D$4:$D132&lt;&gt;"")+($E$4:$E132&lt;&gt;""))&gt;0)))</f>
        <v/>
      </c>
      <c r="Q132">
        <f>IF(OR($A132="",$F132&lt;&gt;"أحد الشركاء"),"",COUNTIFS($A$4:A132,"&lt;&gt;",$F$4:F132,"أحد الشركاء"))</f>
        <v>13</v>
      </c>
    </row>
    <row r="133" spans="1:17" ht="18.75" customHeight="1" x14ac:dyDescent="0.25">
      <c r="A133" s="25">
        <v>46234</v>
      </c>
      <c r="B133" s="26"/>
      <c r="C133" s="27" t="s">
        <v>324</v>
      </c>
      <c r="D133" s="28"/>
      <c r="E133" s="29">
        <v>8.59</v>
      </c>
      <c r="F133" s="30" t="s">
        <v>38</v>
      </c>
      <c r="G133" s="31"/>
      <c r="H133" s="32" t="s">
        <v>40</v>
      </c>
      <c r="I133" s="33"/>
      <c r="J133" s="34">
        <f>IF(AND(D133="",E133="",A133="",B133="",C133=""),"", IFERROR(IF(J132="",D2,J132),D2)+IF(OR(E133="",H133="معلق"),0,E133)-IF(OR(G133="أبو اسحاق",G133="أبو آدم",G133="أبو اسحاق ",G133="أبو آدم "),0,IF(D133="",0,D133)))</f>
        <v>22.395000000000007</v>
      </c>
      <c r="K133" s="35"/>
      <c r="L133" t="str">
        <f>IF(E132&gt;0,COUNTIF($E$4:E132,"&gt;0"),"")</f>
        <v/>
      </c>
      <c r="M133" t="str">
        <f>IF(AND(D132&gt;0,G132="المحفظة"),COUNTIFS($D$4:D132,"&gt;"&amp;0,$G$4:G132,"المحفظة"),"")</f>
        <v/>
      </c>
      <c r="N133" t="str">
        <f>IF(AND(OR('طباعة كشف الحساب'!$C$2="الكل",MONTH(A133)=IFERROR(MATCH('طباعة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الحساب'!$F$2="الكل",YEAR(A133)=IFERROR(VALUE('طباعة كشف الحساب'!$F$2),0)),A133&lt;&gt;""),IFERROR(MAX($N$4:N132),0)+1,"")</f>
        <v/>
      </c>
      <c r="O133">
        <f>IF(AND(D132&gt;0,F132="أحد الشركاء"),COUNTIFS($D$4:D132,"&gt;"&amp;0,$F$4:F132,"أحد الشركاء"),"")</f>
        <v>13</v>
      </c>
      <c r="P133">
        <f>IF(OR($A133="",$F133="أحد الشركاء",AND($D133="",$E133="")),"",SUMPRODUCT(($A$4:$A133&lt;&gt;"")*($F$4:$F133&lt;&gt;"أحد الشركاء")*((($D$4:$D133&lt;&gt;"")+($E$4:$E133&lt;&gt;""))&gt;0)))</f>
        <v>111</v>
      </c>
      <c r="Q133" t="str">
        <f>IF(OR($A133="",$F133&lt;&gt;"أحد الشركاء"),"",COUNTIFS($A$4:A133,"&lt;&gt;",$F$4:F133,"أحد الشركاء"))</f>
        <v/>
      </c>
    </row>
    <row r="134" spans="1:17" ht="18.75" customHeight="1" x14ac:dyDescent="0.25">
      <c r="A134" s="139">
        <v>46235</v>
      </c>
      <c r="B134" s="36" t="s">
        <v>325</v>
      </c>
      <c r="C134" s="37" t="s">
        <v>188</v>
      </c>
      <c r="D134" s="38"/>
      <c r="E134" s="39">
        <v>22</v>
      </c>
      <c r="F134" s="136" t="s">
        <v>38</v>
      </c>
      <c r="G134" s="40"/>
      <c r="H134" s="41" t="s">
        <v>40</v>
      </c>
      <c r="I134" s="42"/>
      <c r="J134" s="43">
        <f>IF(AND(D134="",E134="",A134="",B134="",C134=""),"", IFERROR(IF(J133="",D2,J133),D2)+IF(OR(E134="",H134="معلق"),0,E134)-IF(OR(G134="أبو اسحاق",G134="أبو آدم",G134="أبو اسحاق ",G134="أبو آدم "),0,IF(D134="",0,D134)))</f>
        <v>44.39500000000001</v>
      </c>
      <c r="K134" s="44"/>
      <c r="L134">
        <f>IF(E133&gt;0,COUNTIF($E$4:E133,"&gt;0"),"")</f>
        <v>91</v>
      </c>
      <c r="M134" t="str">
        <f>IF(AND(D133&gt;0,G133="المحفظة"),COUNTIFS($D$4:D133,"&gt;"&amp;0,$G$4:G133,"المحفظة"),"")</f>
        <v/>
      </c>
      <c r="N134">
        <f>IF(AND(OR('طباعة كشف الحساب'!$C$2="الكل",MONTH(A134)=IFERROR(MATCH('طباعة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الحساب'!$F$2="الكل",YEAR(A134)=IFERROR(VALUE('طباعة كشف الحساب'!$F$2),0)),A134&lt;&gt;""),IFERROR(MAX($N$4:N133),0)+1,"")</f>
        <v>1</v>
      </c>
      <c r="O134" t="str">
        <f>IF(AND(D133&gt;0,F133="أحد الشركاء"),COUNTIFS($D$4:D133,"&gt;"&amp;0,$F$4:F133,"أحد الشركاء"),"")</f>
        <v/>
      </c>
      <c r="P134">
        <f>IF(OR($A134="",$F134="أحد الشركاء",AND($D134="",$E134="")),"",SUMPRODUCT(($A$4:$A134&lt;&gt;"")*($F$4:$F134&lt;&gt;"أحد الشركاء")*((($D$4:$D134&lt;&gt;"")+($E$4:$E134&lt;&gt;""))&gt;0)))</f>
        <v>112</v>
      </c>
      <c r="Q134" t="str">
        <f>IF(OR($A134="",$F134&lt;&gt;"أحد الشركاء"),"",COUNTIFS($A$4:A134,"&lt;&gt;",$F$4:F134,"أحد الشركاء"))</f>
        <v/>
      </c>
    </row>
    <row r="135" spans="1:17" ht="18.75" customHeight="1" x14ac:dyDescent="0.25">
      <c r="A135" s="25">
        <v>46235</v>
      </c>
      <c r="B135" s="36" t="s">
        <v>326</v>
      </c>
      <c r="C135" s="27" t="s">
        <v>327</v>
      </c>
      <c r="D135" s="28"/>
      <c r="E135" s="29">
        <v>2.5</v>
      </c>
      <c r="F135" s="30" t="s">
        <v>172</v>
      </c>
      <c r="G135" s="31"/>
      <c r="H135" s="32" t="s">
        <v>40</v>
      </c>
      <c r="I135" s="33"/>
      <c r="J135" s="34">
        <f>IF(AND(D135="",E135="",A135="",B135="",C135=""),"", IFERROR(IF(J134="",D2,J134),D2)+IF(OR(E135="",H135="معلق"),0,E135)-IF(OR(G135="أبو اسحاق",G135="أبو آدم",G135="أبو اسحاق ",G135="أبو آدم "),0,IF(D135="",0,D135)))</f>
        <v>46.89500000000001</v>
      </c>
      <c r="K135" s="35"/>
      <c r="L135">
        <f>IF(E134&gt;0,COUNTIF($E$4:E134,"&gt;0"),"")</f>
        <v>92</v>
      </c>
      <c r="M135" t="str">
        <f>IF(AND(D134&gt;0,G134="المحفظة"),COUNTIFS($D$4:D134,"&gt;"&amp;0,$G$4:G134,"المحفظة"),"")</f>
        <v/>
      </c>
      <c r="N135">
        <f>IF(AND(OR('طباعة كشف الحساب'!$C$2="الكل",MONTH(A135)=IFERROR(MATCH('طباعة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الحساب'!$F$2="الكل",YEAR(A135)=IFERROR(VALUE('طباعة كشف الحساب'!$F$2),0)),A135&lt;&gt;""),IFERROR(MAX($N$4:N134),0)+1,"")</f>
        <v>2</v>
      </c>
      <c r="O135" t="str">
        <f>IF(AND(D134&gt;0,F134="أحد الشركاء"),COUNTIFS($D$4:D134,"&gt;"&amp;0,$F$4:F134,"أحد الشركاء"),"")</f>
        <v/>
      </c>
      <c r="P135">
        <f>IF(OR($A135="",$F135="أحد الشركاء",AND($D135="",$E135="")),"",SUMPRODUCT(($A$4:$A135&lt;&gt;"")*($F$4:$F135&lt;&gt;"أحد الشركاء")*((($D$4:$D135&lt;&gt;"")+($E$4:$E135&lt;&gt;""))&gt;0)))</f>
        <v>113</v>
      </c>
      <c r="Q135" t="str">
        <f>IF(OR($A135="",$F135&lt;&gt;"أحد الشركاء"),"",COUNTIFS($A$4:A135,"&lt;&gt;",$F$4:F135,"أحد الشركاء"))</f>
        <v/>
      </c>
    </row>
    <row r="136" spans="1:17" ht="18.75" customHeight="1" x14ac:dyDescent="0.25">
      <c r="A136" s="139">
        <v>46235</v>
      </c>
      <c r="B136" s="36" t="s">
        <v>328</v>
      </c>
      <c r="C136" s="37" t="s">
        <v>329</v>
      </c>
      <c r="D136" s="38"/>
      <c r="E136" s="39">
        <v>0.75</v>
      </c>
      <c r="F136" s="136" t="s">
        <v>172</v>
      </c>
      <c r="G136" s="40"/>
      <c r="H136" s="41" t="s">
        <v>40</v>
      </c>
      <c r="I136" s="42"/>
      <c r="J136" s="43">
        <f>IF(AND(D136="",E136="",A136="",B136="",C136=""),"", IFERROR(IF(J135="",D2,J135),D2)+IF(OR(E136="",H136="معلق"),0,E136)-IF(OR(G136="أبو اسحاق",G136="أبو آدم",G136="أبو اسحاق ",G136="أبو آدم "),0,IF(D136="",0,D136)))</f>
        <v>47.64500000000001</v>
      </c>
      <c r="K136" s="44"/>
      <c r="L136">
        <f>IF(E135&gt;0,COUNTIF($E$4:E135,"&gt;0"),"")</f>
        <v>93</v>
      </c>
      <c r="M136" t="str">
        <f>IF(AND(D135&gt;0,G135="المحفظة"),COUNTIFS($D$4:D135,"&gt;"&amp;0,$G$4:G135,"المحفظة"),"")</f>
        <v/>
      </c>
      <c r="N136">
        <f>IF(AND(OR('طباعة كشف الحساب'!$C$2="الكل",MONTH(A136)=IFERROR(MATCH('طباعة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الحساب'!$F$2="الكل",YEAR(A136)=IFERROR(VALUE('طباعة كشف الحساب'!$F$2),0)),A136&lt;&gt;""),IFERROR(MAX($N$4:N135),0)+1,"")</f>
        <v>3</v>
      </c>
      <c r="O136" t="str">
        <f>IF(AND(D135&gt;0,F135="أحد الشركاء"),COUNTIFS($D$4:D135,"&gt;"&amp;0,$F$4:F135,"أحد الشركاء"),"")</f>
        <v/>
      </c>
      <c r="P136">
        <f>IF(OR($A136="",$F136="أحد الشركاء",AND($D136="",$E136="")),"",SUMPRODUCT(($A$4:$A136&lt;&gt;"")*($F$4:$F136&lt;&gt;"أحد الشركاء")*((($D$4:$D136&lt;&gt;"")+($E$4:$E136&lt;&gt;""))&gt;0)))</f>
        <v>114</v>
      </c>
      <c r="Q136" t="str">
        <f>IF(OR($A136="",$F136&lt;&gt;"أحد الشركاء"),"",COUNTIFS($A$4:A136,"&lt;&gt;",$F$4:F136,"أحد الشركاء"))</f>
        <v/>
      </c>
    </row>
    <row r="137" spans="1:17" ht="18.75" customHeight="1" x14ac:dyDescent="0.25">
      <c r="A137" s="25">
        <v>46235</v>
      </c>
      <c r="B137" s="26"/>
      <c r="C137" s="27" t="s">
        <v>330</v>
      </c>
      <c r="D137" s="28">
        <v>24</v>
      </c>
      <c r="E137" s="29"/>
      <c r="F137" s="30" t="s">
        <v>38</v>
      </c>
      <c r="G137" s="31" t="s">
        <v>39</v>
      </c>
      <c r="H137" s="32" t="s">
        <v>40</v>
      </c>
      <c r="I137" s="33"/>
      <c r="J137" s="34">
        <f>IF(AND(D137="",E137="",A137="",B137="",C137=""),"", IFERROR(IF(J136="",D2,J136),D2)+IF(OR(E137="",H137="معلق"),0,E137)-IF(OR(G137="أبو اسحاق",G137="أبو آدم",G137="أبو اسحاق ",G137="أبو آدم "),0,IF(D137="",0,D137)))</f>
        <v>23.64500000000001</v>
      </c>
      <c r="K137" s="35"/>
      <c r="L137">
        <f>IF(E136&gt;0,COUNTIF($E$4:E136,"&gt;0"),"")</f>
        <v>94</v>
      </c>
      <c r="M137" t="str">
        <f>IF(AND(D136&gt;0,G136="المحفظة"),COUNTIFS($D$4:D136,"&gt;"&amp;0,$G$4:G136,"المحفظة"),"")</f>
        <v/>
      </c>
      <c r="N137">
        <f>IF(AND(OR('طباعة كشف الحساب'!$C$2="الكل",MONTH(A137)=IFERROR(MATCH('طباعة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الحساب'!$F$2="الكل",YEAR(A137)=IFERROR(VALUE('طباعة كشف الحساب'!$F$2),0)),A137&lt;&gt;""),IFERROR(MAX($N$4:N136),0)+1,"")</f>
        <v>4</v>
      </c>
      <c r="O137" t="str">
        <f>IF(AND(D136&gt;0,F136="أحد الشركاء"),COUNTIFS($D$4:D136,"&gt;"&amp;0,$F$4:F136,"أحد الشركاء"),"")</f>
        <v/>
      </c>
      <c r="P137">
        <f>IF(OR($A137="",$F137="أحد الشركاء",AND($D137="",$E137="")),"",SUMPRODUCT(($A$4:$A137&lt;&gt;"")*($F$4:$F137&lt;&gt;"أحد الشركاء")*((($D$4:$D137&lt;&gt;"")+($E$4:$E137&lt;&gt;""))&gt;0)))</f>
        <v>115</v>
      </c>
      <c r="Q137" t="str">
        <f>IF(OR($A137="",$F137&lt;&gt;"أحد الشركاء"),"",COUNTIFS($A$4:A137,"&lt;&gt;",$F$4:F137,"أحد الشركاء"))</f>
        <v/>
      </c>
    </row>
    <row r="138" spans="1:17" ht="18.75" customHeight="1" x14ac:dyDescent="0.25">
      <c r="A138" s="139">
        <v>46239</v>
      </c>
      <c r="B138" s="36" t="s">
        <v>331</v>
      </c>
      <c r="C138" s="37" t="s">
        <v>332</v>
      </c>
      <c r="D138" s="38"/>
      <c r="E138" s="39">
        <v>1</v>
      </c>
      <c r="F138" s="136" t="s">
        <v>172</v>
      </c>
      <c r="G138" s="40"/>
      <c r="H138" s="41" t="s">
        <v>40</v>
      </c>
      <c r="I138" s="42"/>
      <c r="J138" s="43">
        <f>IF(AND(D138="",E138="",A138="",B138="",C138=""),"", IFERROR(IF(J137="",D2,J137),D2)+IF(OR(E138="",H138="معلق"),0,E138)-IF(OR(G138="أبو اسحاق",G138="أبو آدم",G138="أبو اسحاق ",G138="أبو آدم "),0,IF(D138="",0,D138)))</f>
        <v>24.64500000000001</v>
      </c>
      <c r="K138" s="44"/>
      <c r="L138" t="str">
        <f>IF(E137&gt;0,COUNTIF($E$4:E137,"&gt;0"),"")</f>
        <v/>
      </c>
      <c r="M138">
        <f>IF(AND(D137&gt;0,G137="المحفظة"),COUNTIFS($D$4:D137,"&gt;"&amp;0,$G$4:G137,"المحفظة"),"")</f>
        <v>21</v>
      </c>
      <c r="N138">
        <f>IF(AND(OR('طباعة كشف الحساب'!$C$2="الكل",MONTH(A138)=IFERROR(MATCH('طباعة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الحساب'!$F$2="الكل",YEAR(A138)=IFERROR(VALUE('طباعة كشف الحساب'!$F$2),0)),A138&lt;&gt;""),IFERROR(MAX($N$4:N137),0)+1,"")</f>
        <v>5</v>
      </c>
      <c r="O138" t="str">
        <f>IF(AND(D137&gt;0,F137="أحد الشركاء"),COUNTIFS($D$4:D137,"&gt;"&amp;0,$F$4:F137,"أحد الشركاء"),"")</f>
        <v/>
      </c>
      <c r="P138">
        <f>IF(OR($A138="",$F138="أحد الشركاء",AND($D138="",$E138="")),"",SUMPRODUCT(($A$4:$A138&lt;&gt;"")*($F$4:$F138&lt;&gt;"أحد الشركاء")*((($D$4:$D138&lt;&gt;"")+($E$4:$E138&lt;&gt;""))&gt;0)))</f>
        <v>116</v>
      </c>
      <c r="Q138" t="str">
        <f>IF(OR($A138="",$F138&lt;&gt;"أحد الشركاء"),"",COUNTIFS($A$4:A138,"&lt;&gt;",$F$4:F138,"أحد الشركاء"))</f>
        <v/>
      </c>
    </row>
    <row r="139" spans="1:17" ht="18.75" customHeight="1" x14ac:dyDescent="0.25">
      <c r="A139" s="25">
        <v>46240</v>
      </c>
      <c r="B139" s="36" t="s">
        <v>333</v>
      </c>
      <c r="C139" s="27" t="s">
        <v>334</v>
      </c>
      <c r="D139" s="28"/>
      <c r="E139" s="29">
        <v>10</v>
      </c>
      <c r="F139" s="30" t="s">
        <v>172</v>
      </c>
      <c r="G139" s="31"/>
      <c r="H139" s="32" t="s">
        <v>40</v>
      </c>
      <c r="I139" s="33"/>
      <c r="J139" s="34">
        <f>IF(AND(D139="",E139="",A139="",B139="",C139=""),"", IFERROR(IF(J138="",D2,J138),D2)+IF(OR(E139="",H139="معلق"),0,E139)-IF(OR(G139="أبو اسحاق",G139="أبو آدم",G139="أبو اسحاق ",G139="أبو آدم "),0,IF(D139="",0,D139)))</f>
        <v>34.64500000000001</v>
      </c>
      <c r="K139" s="35"/>
      <c r="L139">
        <f>IF(E138&gt;0,COUNTIF($E$4:E138,"&gt;0"),"")</f>
        <v>95</v>
      </c>
      <c r="M139" t="str">
        <f>IF(AND(D138&gt;0,G138="المحفظة"),COUNTIFS($D$4:D138,"&gt;"&amp;0,$G$4:G138,"المحفظة"),"")</f>
        <v/>
      </c>
      <c r="N139">
        <f>IF(AND(OR('طباعة كشف الحساب'!$C$2="الكل",MONTH(A139)=IFERROR(MATCH('طباعة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الحساب'!$F$2="الكل",YEAR(A139)=IFERROR(VALUE('طباعة كشف الحساب'!$F$2),0)),A139&lt;&gt;""),IFERROR(MAX($N$4:N138),0)+1,"")</f>
        <v>6</v>
      </c>
      <c r="O139" t="str">
        <f>IF(AND(D138&gt;0,F138="أحد الشركاء"),COUNTIFS($D$4:D138,"&gt;"&amp;0,$F$4:F138,"أحد الشركاء"),"")</f>
        <v/>
      </c>
      <c r="P139">
        <f>IF(OR($A139="",$F139="أحد الشركاء",AND($D139="",$E139="")),"",SUMPRODUCT(($A$4:$A139&lt;&gt;"")*($F$4:$F139&lt;&gt;"أحد الشركاء")*((($D$4:$D139&lt;&gt;"")+($E$4:$E139&lt;&gt;""))&gt;0)))</f>
        <v>117</v>
      </c>
      <c r="Q139" t="str">
        <f>IF(OR($A139="",$F139&lt;&gt;"أحد الشركاء"),"",COUNTIFS($A$4:A139,"&lt;&gt;",$F$4:F139,"أحد الشركاء"))</f>
        <v/>
      </c>
    </row>
    <row r="140" spans="1:17" ht="18.75" customHeight="1" x14ac:dyDescent="0.25">
      <c r="A140" s="139">
        <v>46240</v>
      </c>
      <c r="B140" s="36" t="s">
        <v>335</v>
      </c>
      <c r="C140" s="37" t="s">
        <v>336</v>
      </c>
      <c r="D140" s="38"/>
      <c r="E140" s="39">
        <v>6</v>
      </c>
      <c r="F140" s="136" t="s">
        <v>172</v>
      </c>
      <c r="G140" s="40"/>
      <c r="H140" s="41" t="s">
        <v>40</v>
      </c>
      <c r="I140" s="42"/>
      <c r="J140" s="43">
        <f>IF(AND(D140="",E140="",A140="",B140="",C140=""),"", IFERROR(IF(J139="",D2,J139),D2)+IF(OR(E140="",H140="معلق"),0,E140)-IF(OR(G140="أبو اسحاق",G140="أبو آدم",G140="أبو اسحاق ",G140="أبو آدم "),0,IF(D140="",0,D140)))</f>
        <v>40.64500000000001</v>
      </c>
      <c r="K140" s="44"/>
      <c r="L140">
        <f>IF(E139&gt;0,COUNTIF($E$4:E139,"&gt;0"),"")</f>
        <v>96</v>
      </c>
      <c r="M140" t="str">
        <f>IF(AND(D139&gt;0,G139="المحفظة"),COUNTIFS($D$4:D139,"&gt;"&amp;0,$G$4:G139,"المحفظة"),"")</f>
        <v/>
      </c>
      <c r="N140">
        <f>IF(AND(OR('طباعة كشف الحساب'!$C$2="الكل",MONTH(A140)=IFERROR(MATCH('طباعة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الحساب'!$F$2="الكل",YEAR(A140)=IFERROR(VALUE('طباعة كشف الحساب'!$F$2),0)),A140&lt;&gt;""),IFERROR(MAX($N$4:N139),0)+1,"")</f>
        <v>7</v>
      </c>
      <c r="O140" t="str">
        <f>IF(AND(D139&gt;0,F139="أحد الشركاء"),COUNTIFS($D$4:D139,"&gt;"&amp;0,$F$4:F139,"أحد الشركاء"),"")</f>
        <v/>
      </c>
      <c r="P140">
        <f>IF(OR($A140="",$F140="أحد الشركاء",AND($D140="",$E140="")),"",SUMPRODUCT(($A$4:$A140&lt;&gt;"")*($F$4:$F140&lt;&gt;"أحد الشركاء")*((($D$4:$D140&lt;&gt;"")+($E$4:$E140&lt;&gt;""))&gt;0)))</f>
        <v>118</v>
      </c>
      <c r="Q140" t="str">
        <f>IF(OR($A140="",$F140&lt;&gt;"أحد الشركاء"),"",COUNTIFS($A$4:A140,"&lt;&gt;",$F$4:F140,"أحد الشركاء"))</f>
        <v/>
      </c>
    </row>
    <row r="141" spans="1:17" ht="18.75" customHeight="1" x14ac:dyDescent="0.25">
      <c r="A141" s="25">
        <v>46240</v>
      </c>
      <c r="B141" s="36" t="s">
        <v>337</v>
      </c>
      <c r="C141" s="27" t="s">
        <v>338</v>
      </c>
      <c r="D141" s="28"/>
      <c r="E141" s="29">
        <v>29</v>
      </c>
      <c r="F141" s="30" t="s">
        <v>172</v>
      </c>
      <c r="G141" s="31"/>
      <c r="H141" s="32" t="s">
        <v>40</v>
      </c>
      <c r="I141" s="33"/>
      <c r="J141" s="34">
        <f>IF(AND(D141="",E141="",A141="",B141="",C141=""),"", IFERROR(IF(J140="",D2,J140),D2)+IF(OR(E141="",H141="معلق"),0,E141)-IF(OR(G141="أبو اسحاق",G141="أبو آدم",G141="أبو اسحاق ",G141="أبو آدم "),0,IF(D141="",0,D141)))</f>
        <v>69.64500000000001</v>
      </c>
      <c r="K141" s="35" t="s">
        <v>339</v>
      </c>
      <c r="L141">
        <f>IF(E140&gt;0,COUNTIF($E$4:E140,"&gt;0"),"")</f>
        <v>97</v>
      </c>
      <c r="M141" t="str">
        <f>IF(AND(D140&gt;0,G140="المحفظة"),COUNTIFS($D$4:D140,"&gt;"&amp;0,$G$4:G140,"المحفظة"),"")</f>
        <v/>
      </c>
      <c r="N141">
        <f>IF(AND(OR('طباعة كشف الحساب'!$C$2="الكل",MONTH(A141)=IFERROR(MATCH('طباعة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الحساب'!$F$2="الكل",YEAR(A141)=IFERROR(VALUE('طباعة كشف الحساب'!$F$2),0)),A141&lt;&gt;""),IFERROR(MAX($N$4:N140),0)+1,"")</f>
        <v>8</v>
      </c>
      <c r="O141" t="str">
        <f>IF(AND(D140&gt;0,F140="أحد الشركاء"),COUNTIFS($D$4:D140,"&gt;"&amp;0,$F$4:F140,"أحد الشركاء"),"")</f>
        <v/>
      </c>
      <c r="P141">
        <f>IF(OR($A141="",$F141="أحد الشركاء",AND($D141="",$E141="")),"",SUMPRODUCT(($A$4:$A141&lt;&gt;"")*($F$4:$F141&lt;&gt;"أحد الشركاء")*((($D$4:$D141&lt;&gt;"")+($E$4:$E141&lt;&gt;""))&gt;0)))</f>
        <v>119</v>
      </c>
      <c r="Q141" t="str">
        <f>IF(OR($A141="",$F141&lt;&gt;"أحد الشركاء"),"",COUNTIFS($A$4:A141,"&lt;&gt;",$F$4:F141,"أحد الشركاء"))</f>
        <v/>
      </c>
    </row>
    <row r="142" spans="1:17" ht="18.75" customHeight="1" x14ac:dyDescent="0.25">
      <c r="A142" s="139">
        <v>46240</v>
      </c>
      <c r="B142" s="36"/>
      <c r="C142" s="37" t="s">
        <v>340</v>
      </c>
      <c r="D142" s="38">
        <v>29</v>
      </c>
      <c r="E142" s="39"/>
      <c r="F142" s="136" t="s">
        <v>38</v>
      </c>
      <c r="G142" s="40" t="s">
        <v>39</v>
      </c>
      <c r="H142" s="41" t="s">
        <v>40</v>
      </c>
      <c r="I142" s="42"/>
      <c r="J142" s="43">
        <f>IF(AND(D142="",E142="",A142="",B142="",C142=""),"", IFERROR(IF(J141="",D2,J141),D2)+IF(OR(E142="",H142="معلق"),0,E142)-IF(OR(G142="أبو اسحاق",G142="أبو آدم",G142="أبو اسحاق ",G142="أبو آدم "),0,IF(D142="",0,D142)))</f>
        <v>40.64500000000001</v>
      </c>
      <c r="K142" s="44"/>
      <c r="L142">
        <f>IF(E141&gt;0,COUNTIF($E$4:E141,"&gt;0"),"")</f>
        <v>98</v>
      </c>
      <c r="M142" t="str">
        <f>IF(AND(D141&gt;0,G141="المحفظة"),COUNTIFS($D$4:D141,"&gt;"&amp;0,$G$4:G141,"المحفظة"),"")</f>
        <v/>
      </c>
      <c r="N142">
        <f>IF(AND(OR('طباعة كشف الحساب'!$C$2="الكل",MONTH(A142)=IFERROR(MATCH('طباعة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الحساب'!$F$2="الكل",YEAR(A142)=IFERROR(VALUE('طباعة كشف الحساب'!$F$2),0)),A142&lt;&gt;""),IFERROR(MAX($N$4:N141),0)+1,"")</f>
        <v>9</v>
      </c>
      <c r="O142" t="str">
        <f>IF(AND(D141&gt;0,F141="أحد الشركاء"),COUNTIFS($D$4:D141,"&gt;"&amp;0,$F$4:F141,"أحد الشركاء"),"")</f>
        <v/>
      </c>
      <c r="P142">
        <f>IF(OR($A142="",$F142="أحد الشركاء",AND($D142="",$E142="")),"",SUMPRODUCT(($A$4:$A142&lt;&gt;"")*($F$4:$F142&lt;&gt;"أحد الشركاء")*((($D$4:$D142&lt;&gt;"")+($E$4:$E142&lt;&gt;""))&gt;0)))</f>
        <v>120</v>
      </c>
      <c r="Q142" t="str">
        <f>IF(OR($A142="",$F142&lt;&gt;"أحد الشركاء"),"",COUNTIFS($A$4:A142,"&lt;&gt;",$F$4:F142,"أحد الشركاء"))</f>
        <v/>
      </c>
    </row>
    <row r="143" spans="1:17" ht="18.75" customHeight="1" x14ac:dyDescent="0.25">
      <c r="A143" s="25">
        <v>46240</v>
      </c>
      <c r="B143" s="26"/>
      <c r="C143" s="27" t="s">
        <v>341</v>
      </c>
      <c r="D143" s="28">
        <v>5.75</v>
      </c>
      <c r="E143" s="29"/>
      <c r="F143" s="30" t="s">
        <v>38</v>
      </c>
      <c r="G143" s="31" t="s">
        <v>39</v>
      </c>
      <c r="H143" s="32" t="s">
        <v>40</v>
      </c>
      <c r="I143" s="33"/>
      <c r="J143" s="34">
        <f>IF(AND(D143="",E143="",A143="",B143="",C143=""),"", IFERROR(IF(J142="",D2,J142),D2)+IF(OR(E143="",H143="معلق"),0,E143)-IF(OR(G143="أبو اسحاق",G143="أبو آدم",G143="أبو اسحاق ",G143="أبو آدم "),0,IF(D143="",0,D143)))</f>
        <v>34.89500000000001</v>
      </c>
      <c r="K143" s="35"/>
      <c r="L143" t="str">
        <f>IF(E142&gt;0,COUNTIF($E$4:E142,"&gt;0"),"")</f>
        <v/>
      </c>
      <c r="M143">
        <f>IF(AND(D142&gt;0,G142="المحفظة"),COUNTIFS($D$4:D142,"&gt;"&amp;0,$G$4:G142,"المحفظة"),"")</f>
        <v>22</v>
      </c>
      <c r="N143">
        <f>IF(AND(OR('طباعة كشف الحساب'!$C$2="الكل",MONTH(A143)=IFERROR(MATCH('طباعة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الحساب'!$F$2="الكل",YEAR(A143)=IFERROR(VALUE('طباعة كشف الحساب'!$F$2),0)),A143&lt;&gt;""),IFERROR(MAX($N$4:N142),0)+1,"")</f>
        <v>10</v>
      </c>
      <c r="O143" t="str">
        <f>IF(AND(D142&gt;0,F142="أحد الشركاء"),COUNTIFS($D$4:D142,"&gt;"&amp;0,$F$4:F142,"أحد الشركاء"),"")</f>
        <v/>
      </c>
      <c r="P143">
        <f>IF(OR($A143="",$F143="أحد الشركاء",AND($D143="",$E143="")),"",SUMPRODUCT(($A$4:$A143&lt;&gt;"")*($F$4:$F143&lt;&gt;"أحد الشركاء")*((($D$4:$D143&lt;&gt;"")+($E$4:$E143&lt;&gt;""))&gt;0)))</f>
        <v>121</v>
      </c>
      <c r="Q143" t="str">
        <f>IF(OR($A143="",$F143&lt;&gt;"أحد الشركاء"),"",COUNTIFS($A$4:A143,"&lt;&gt;",$F$4:F143,"أحد الشركاء"))</f>
        <v/>
      </c>
    </row>
    <row r="144" spans="1:17" ht="18.75" customHeight="1" x14ac:dyDescent="0.25">
      <c r="A144" s="139">
        <v>46244</v>
      </c>
      <c r="B144" s="36" t="s">
        <v>343</v>
      </c>
      <c r="C144" s="37" t="s">
        <v>344</v>
      </c>
      <c r="D144" s="38"/>
      <c r="E144" s="39">
        <v>90</v>
      </c>
      <c r="F144" s="136" t="s">
        <v>38</v>
      </c>
      <c r="G144" s="40"/>
      <c r="H144" s="41" t="s">
        <v>40</v>
      </c>
      <c r="I144" s="42"/>
      <c r="J144" s="43">
        <f>IF(AND(D144="",E144="",A144="",B144="",C144=""),"", IFERROR(IF(J143="",D2,J143),D2)+IF(OR(E144="",H144="معلق"),0,E144)-IF(OR(G144="أبو اسحاق",G144="أبو آدم",G144="أبو اسحاق ",G144="أبو آدم "),0,IF(D144="",0,D144)))</f>
        <v>124.89500000000001</v>
      </c>
      <c r="K144" s="44"/>
      <c r="L144" t="str">
        <f>IF(E143&gt;0,COUNTIF($E$4:E143,"&gt;0"),"")</f>
        <v/>
      </c>
      <c r="M144">
        <f>IF(AND(D143&gt;0,G143="المحفظة"),COUNTIFS($D$4:D143,"&gt;"&amp;0,$G$4:G143,"المحفظة"),"")</f>
        <v>23</v>
      </c>
      <c r="N144">
        <f>IF(AND(OR('طباعة كشف الحساب'!$C$2="الكل",MONTH(A144)=IFERROR(MATCH('طباعة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الحساب'!$F$2="الكل",YEAR(A144)=IFERROR(VALUE('طباعة كشف الحساب'!$F$2),0)),A144&lt;&gt;""),IFERROR(MAX($N$4:N143),0)+1,"")</f>
        <v>11</v>
      </c>
      <c r="O144" t="str">
        <f>IF(AND(D143&gt;0,F143="أحد الشركاء"),COUNTIFS($D$4:D143,"&gt;"&amp;0,$F$4:F143,"أحد الشركاء"),"")</f>
        <v/>
      </c>
      <c r="P144">
        <f>IF(OR($A144="",$F144="أحد الشركاء",AND($D144="",$E144="")),"",SUMPRODUCT(($A$4:$A144&lt;&gt;"")*($F$4:$F144&lt;&gt;"أحد الشركاء")*((($D$4:$D144&lt;&gt;"")+($E$4:$E144&lt;&gt;""))&gt;0)))</f>
        <v>122</v>
      </c>
      <c r="Q144" t="str">
        <f>IF(OR($A144="",$F144&lt;&gt;"أحد الشركاء"),"",COUNTIFS($A$4:A144,"&lt;&gt;",$F$4:F144,"أحد الشركاء"))</f>
        <v/>
      </c>
    </row>
    <row r="145" spans="1:17" ht="18.75" customHeight="1" x14ac:dyDescent="0.25">
      <c r="A145" s="25">
        <v>46244</v>
      </c>
      <c r="B145" s="36" t="s">
        <v>353</v>
      </c>
      <c r="C145" s="27" t="s">
        <v>345</v>
      </c>
      <c r="D145" s="28"/>
      <c r="E145" s="29">
        <v>8</v>
      </c>
      <c r="F145" s="30" t="s">
        <v>38</v>
      </c>
      <c r="G145" s="31"/>
      <c r="H145" s="32" t="s">
        <v>40</v>
      </c>
      <c r="I145" s="33"/>
      <c r="J145" s="34">
        <f>IF(AND(D145="",E145="",A145="",B145="",C145=""),"", IFERROR(IF(J144="",D2,J144),D2)+IF(OR(E145="",H145="معلق"),0,E145)-IF(OR(G145="أبو اسحاق",G145="أبو آدم",G145="أبو اسحاق ",G145="أبو آدم "),0,IF(D145="",0,D145)))</f>
        <v>132.89500000000001</v>
      </c>
      <c r="K145" s="35"/>
      <c r="L145">
        <f>IF(E144&gt;0,COUNTIF($E$4:E144,"&gt;0"),"")</f>
        <v>99</v>
      </c>
      <c r="M145" t="str">
        <f>IF(AND(D144&gt;0,G144="المحفظة"),COUNTIFS($D$4:D144,"&gt;"&amp;0,$G$4:G144,"المحفظة"),"")</f>
        <v/>
      </c>
      <c r="N145">
        <f>IF(AND(OR('طباعة كشف الحساب'!$C$2="الكل",MONTH(A145)=IFERROR(MATCH('طباعة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الحساب'!$F$2="الكل",YEAR(A145)=IFERROR(VALUE('طباعة كشف الحساب'!$F$2),0)),A145&lt;&gt;""),IFERROR(MAX($N$4:N144),0)+1,"")</f>
        <v>12</v>
      </c>
      <c r="O145" t="str">
        <f>IF(AND(D144&gt;0,F144="أحد الشركاء"),COUNTIFS($D$4:D144,"&gt;"&amp;0,$F$4:F144,"أحد الشركاء"),"")</f>
        <v/>
      </c>
      <c r="P145">
        <f>IF(OR($A145="",$F145="أحد الشركاء",AND($D145="",$E145="")),"",SUMPRODUCT(($A$4:$A145&lt;&gt;"")*($F$4:$F145&lt;&gt;"أحد الشركاء")*((($D$4:$D145&lt;&gt;"")+($E$4:$E145&lt;&gt;""))&gt;0)))</f>
        <v>123</v>
      </c>
      <c r="Q145" t="str">
        <f>IF(OR($A145="",$F145&lt;&gt;"أحد الشركاء"),"",COUNTIFS($A$4:A145,"&lt;&gt;",$F$4:F145,"أحد الشركاء"))</f>
        <v/>
      </c>
    </row>
    <row r="146" spans="1:17" ht="18.75" customHeight="1" x14ac:dyDescent="0.25">
      <c r="A146" s="139">
        <v>46245</v>
      </c>
      <c r="B146" s="36"/>
      <c r="C146" s="37" t="s">
        <v>346</v>
      </c>
      <c r="D146" s="38">
        <v>55</v>
      </c>
      <c r="E146" s="39"/>
      <c r="F146" s="136" t="s">
        <v>38</v>
      </c>
      <c r="G146" s="40" t="s">
        <v>39</v>
      </c>
      <c r="H146" s="41" t="s">
        <v>40</v>
      </c>
      <c r="I146" s="42"/>
      <c r="J146" s="43">
        <f>IF(AND(D146="",E146="",A146="",B146="",C146=""),"", IFERROR(IF(J145="",D2,J145),D2)+IF(OR(E146="",H146="معلق"),0,E146)-IF(OR(G146="أبو اسحاق",G146="أبو آدم",G146="أبو اسحاق ",G146="أبو آدم "),0,IF(D146="",0,D146)))</f>
        <v>77.89500000000001</v>
      </c>
      <c r="K146" s="44"/>
      <c r="L146">
        <f>IF(E145&gt;0,COUNTIF($E$4:E145,"&gt;0"),"")</f>
        <v>100</v>
      </c>
      <c r="M146" t="str">
        <f>IF(AND(D145&gt;0,G145="المحفظة"),COUNTIFS($D$4:D145,"&gt;"&amp;0,$G$4:G145,"المحفظة"),"")</f>
        <v/>
      </c>
      <c r="N146">
        <f>IF(AND(OR('طباعة كشف الحساب'!$C$2="الكل",MONTH(A146)=IFERROR(MATCH('طباعة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الحساب'!$F$2="الكل",YEAR(A146)=IFERROR(VALUE('طباعة كشف الحساب'!$F$2),0)),A146&lt;&gt;""),IFERROR(MAX($N$4:N145),0)+1,"")</f>
        <v>13</v>
      </c>
      <c r="O146" t="str">
        <f>IF(AND(D145&gt;0,F145="أحد الشركاء"),COUNTIFS($D$4:D145,"&gt;"&amp;0,$F$4:F145,"أحد الشركاء"),"")</f>
        <v/>
      </c>
      <c r="P146">
        <f>IF(OR($A146="",$F146="أحد الشركاء",AND($D146="",$E146="")),"",SUMPRODUCT(($A$4:$A146&lt;&gt;"")*($F$4:$F146&lt;&gt;"أحد الشركاء")*((($D$4:$D146&lt;&gt;"")+($E$4:$E146&lt;&gt;""))&gt;0)))</f>
        <v>124</v>
      </c>
      <c r="Q146" t="str">
        <f>IF(OR($A146="",$F146&lt;&gt;"أحد الشركاء"),"",COUNTIFS($A$4:A146,"&lt;&gt;",$F$4:F146,"أحد الشركاء"))</f>
        <v/>
      </c>
    </row>
    <row r="147" spans="1:17" ht="18.75" customHeight="1" x14ac:dyDescent="0.25">
      <c r="A147" s="25">
        <v>46245</v>
      </c>
      <c r="B147" s="26"/>
      <c r="C147" s="27" t="s">
        <v>347</v>
      </c>
      <c r="D147" s="28">
        <v>7.6749999999999998</v>
      </c>
      <c r="E147" s="29"/>
      <c r="F147" s="30" t="s">
        <v>38</v>
      </c>
      <c r="G147" s="31" t="s">
        <v>39</v>
      </c>
      <c r="H147" s="32" t="s">
        <v>40</v>
      </c>
      <c r="I147" s="33"/>
      <c r="J147" s="34">
        <f>IF(AND(D147="",E147="",A147="",B147="",C147=""),"", IFERROR(IF(J146="",D2,J146),D2)+IF(OR(E147="",H147="معلق"),0,E147)-IF(OR(G147="أبو اسحاق",G147="أبو آدم",G147="أبو اسحاق ",G147="أبو آدم "),0,IF(D147="",0,D147)))</f>
        <v>70.220000000000013</v>
      </c>
      <c r="K147" s="35"/>
      <c r="L147" t="str">
        <f>IF(E146&gt;0,COUNTIF($E$4:E146,"&gt;0"),"")</f>
        <v/>
      </c>
      <c r="M147">
        <f>IF(AND(D146&gt;0,G146="المحفظة"),COUNTIFS($D$4:D146,"&gt;"&amp;0,$G$4:G146,"المحفظة"),"")</f>
        <v>24</v>
      </c>
      <c r="N147">
        <f>IF(AND(OR('طباعة كشف الحساب'!$C$2="الكل",MONTH(A147)=IFERROR(MATCH('طباعة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الحساب'!$F$2="الكل",YEAR(A147)=IFERROR(VALUE('طباعة كشف الحساب'!$F$2),0)),A147&lt;&gt;""),IFERROR(MAX($N$4:N146),0)+1,"")</f>
        <v>14</v>
      </c>
      <c r="O147" t="str">
        <f>IF(AND(D146&gt;0,F146="أحد الشركاء"),COUNTIFS($D$4:D146,"&gt;"&amp;0,$F$4:F146,"أحد الشركاء"),"")</f>
        <v/>
      </c>
      <c r="P147">
        <f>IF(OR($A147="",$F147="أحد الشركاء",AND($D147="",$E147="")),"",SUMPRODUCT(($A$4:$A147&lt;&gt;"")*($F$4:$F147&lt;&gt;"أحد الشركاء")*((($D$4:$D147&lt;&gt;"")+($E$4:$E147&lt;&gt;""))&gt;0)))</f>
        <v>125</v>
      </c>
      <c r="Q147" t="str">
        <f>IF(OR($A147="",$F147&lt;&gt;"أحد الشركاء"),"",COUNTIFS($A$4:A147,"&lt;&gt;",$F$4:F147,"أحد الشركاء"))</f>
        <v/>
      </c>
    </row>
    <row r="148" spans="1:17" ht="18.75" customHeight="1" x14ac:dyDescent="0.25">
      <c r="A148" s="139">
        <v>46247</v>
      </c>
      <c r="B148" s="36"/>
      <c r="C148" s="37" t="s">
        <v>348</v>
      </c>
      <c r="D148" s="38">
        <v>4</v>
      </c>
      <c r="E148" s="39"/>
      <c r="F148" s="136" t="s">
        <v>38</v>
      </c>
      <c r="G148" s="40" t="s">
        <v>39</v>
      </c>
      <c r="H148" s="41" t="s">
        <v>40</v>
      </c>
      <c r="I148" s="42"/>
      <c r="J148" s="43">
        <f>IF(AND(D148="",E148="",A148="",B148="",C148=""),"", IFERROR(IF(J147="",D2,J147),D2)+IF(OR(E148="",H148="معلق"),0,E148)-IF(OR(G148="أبو اسحاق",G148="أبو آدم",G148="أبو اسحاق ",G148="أبو آدم "),0,IF(D148="",0,D148)))</f>
        <v>66.220000000000013</v>
      </c>
      <c r="K148" s="44"/>
      <c r="L148" t="str">
        <f>IF(E147&gt;0,COUNTIF($E$4:E147,"&gt;0"),"")</f>
        <v/>
      </c>
      <c r="M148">
        <f>IF(AND(D147&gt;0,G147="المحفظة"),COUNTIFS($D$4:D147,"&gt;"&amp;0,$G$4:G147,"المحفظة"),"")</f>
        <v>25</v>
      </c>
      <c r="N148">
        <f>IF(AND(OR('طباعة كشف الحساب'!$C$2="الكل",MONTH(A148)=IFERROR(MATCH('طباعة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الحساب'!$F$2="الكل",YEAR(A148)=IFERROR(VALUE('طباعة كشف الحساب'!$F$2),0)),A148&lt;&gt;""),IFERROR(MAX($N$4:N147),0)+1,"")</f>
        <v>15</v>
      </c>
      <c r="O148" t="str">
        <f>IF(AND(D147&gt;0,F147="أحد الشركاء"),COUNTIFS($D$4:D147,"&gt;"&amp;0,$F$4:F147,"أحد الشركاء"),"")</f>
        <v/>
      </c>
      <c r="P148">
        <f>IF(OR($A148="",$F148="أحد الشركاء",AND($D148="",$E148="")),"",SUMPRODUCT(($A$4:$A148&lt;&gt;"")*($F$4:$F148&lt;&gt;"أحد الشركاء")*((($D$4:$D148&lt;&gt;"")+($E$4:$E148&lt;&gt;""))&gt;0)))</f>
        <v>126</v>
      </c>
      <c r="Q148" t="str">
        <f>IF(OR($A148="",$F148&lt;&gt;"أحد الشركاء"),"",COUNTIFS($A$4:A148,"&lt;&gt;",$F$4:F148,"أحد الشركاء"))</f>
        <v/>
      </c>
    </row>
    <row r="149" spans="1:17" ht="18.75" customHeight="1" x14ac:dyDescent="0.25">
      <c r="A149" s="25">
        <v>46247</v>
      </c>
      <c r="B149" s="26"/>
      <c r="C149" s="27" t="s">
        <v>349</v>
      </c>
      <c r="D149" s="28">
        <v>20</v>
      </c>
      <c r="E149" s="29"/>
      <c r="F149" s="30" t="s">
        <v>38</v>
      </c>
      <c r="G149" s="31" t="s">
        <v>39</v>
      </c>
      <c r="H149" s="32" t="s">
        <v>40</v>
      </c>
      <c r="I149" s="33"/>
      <c r="J149" s="34">
        <f>IF(AND(D149="",E149="",A149="",B149="",C149=""),"", IFERROR(IF(J148="",D2,J148),D2)+IF(OR(E149="",H149="معلق"),0,E149)-IF(OR(G149="أبو اسحاق",G149="أبو آدم",G149="أبو اسحاق ",G149="أبو آدم "),0,IF(D149="",0,D149)))</f>
        <v>46.220000000000013</v>
      </c>
      <c r="K149" s="35"/>
      <c r="L149" t="str">
        <f>IF(E148&gt;0,COUNTIF($E$4:E148,"&gt;0"),"")</f>
        <v/>
      </c>
      <c r="M149">
        <f>IF(AND(D148&gt;0,G148="المحفظة"),COUNTIFS($D$4:D148,"&gt;"&amp;0,$G$4:G148,"المحفظة"),"")</f>
        <v>26</v>
      </c>
      <c r="N149">
        <f>IF(AND(OR('طباعة كشف الحساب'!$C$2="الكل",MONTH(A149)=IFERROR(MATCH('طباعة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الحساب'!$F$2="الكل",YEAR(A149)=IFERROR(VALUE('طباعة كشف الحساب'!$F$2),0)),A149&lt;&gt;""),IFERROR(MAX($N$4:N148),0)+1,"")</f>
        <v>16</v>
      </c>
      <c r="O149" t="str">
        <f>IF(AND(D148&gt;0,F148="أحد الشركاء"),COUNTIFS($D$4:D148,"&gt;"&amp;0,$F$4:F148,"أحد الشركاء"),"")</f>
        <v/>
      </c>
      <c r="P149">
        <f>IF(OR($A149="",$F149="أحد الشركاء",AND($D149="",$E149="")),"",SUMPRODUCT(($A$4:$A149&lt;&gt;"")*($F$4:$F149&lt;&gt;"أحد الشركاء")*((($D$4:$D149&lt;&gt;"")+($E$4:$E149&lt;&gt;""))&gt;0)))</f>
        <v>127</v>
      </c>
      <c r="Q149" t="str">
        <f>IF(OR($A149="",$F149&lt;&gt;"أحد الشركاء"),"",COUNTIFS($A$4:A149,"&lt;&gt;",$F$4:F149,"أحد الشركاء"))</f>
        <v/>
      </c>
    </row>
    <row r="150" spans="1:17" ht="18.75" customHeight="1" x14ac:dyDescent="0.25">
      <c r="A150" s="139">
        <v>46247</v>
      </c>
      <c r="B150" s="36"/>
      <c r="C150" s="37" t="s">
        <v>350</v>
      </c>
      <c r="D150" s="38">
        <v>0.9</v>
      </c>
      <c r="E150" s="39"/>
      <c r="F150" s="136" t="s">
        <v>38</v>
      </c>
      <c r="G150" s="40" t="s">
        <v>39</v>
      </c>
      <c r="H150" s="41" t="s">
        <v>40</v>
      </c>
      <c r="I150" s="42"/>
      <c r="J150" s="43">
        <f>IF(AND(D150="",E150="",A150="",B150="",C150=""),"", IFERROR(IF(J149="",D2,J149),D2)+IF(OR(E150="",H150="معلق"),0,E150)-IF(OR(G150="أبو اسحاق",G150="أبو آدم",G150="أبو اسحاق ",G150="أبو آدم "),0,IF(D150="",0,D150)))</f>
        <v>45.320000000000014</v>
      </c>
      <c r="K150" s="44"/>
      <c r="L150" t="str">
        <f>IF(E149&gt;0,COUNTIF($E$4:E149,"&gt;0"),"")</f>
        <v/>
      </c>
      <c r="M150">
        <f>IF(AND(D149&gt;0,G149="المحفظة"),COUNTIFS($D$4:D149,"&gt;"&amp;0,$G$4:G149,"المحفظة"),"")</f>
        <v>27</v>
      </c>
      <c r="N150">
        <f>IF(AND(OR('طباعة كشف الحساب'!$C$2="الكل",MONTH(A150)=IFERROR(MATCH('طباعة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الحساب'!$F$2="الكل",YEAR(A150)=IFERROR(VALUE('طباعة كشف الحساب'!$F$2),0)),A150&lt;&gt;""),IFERROR(MAX($N$4:N149),0)+1,"")</f>
        <v>17</v>
      </c>
      <c r="O150" t="str">
        <f>IF(AND(D149&gt;0,F149="أحد الشركاء"),COUNTIFS($D$4:D149,"&gt;"&amp;0,$F$4:F149,"أحد الشركاء"),"")</f>
        <v/>
      </c>
      <c r="P150">
        <f>IF(OR($A150="",$F150="أحد الشركاء",AND($D150="",$E150="")),"",SUMPRODUCT(($A$4:$A150&lt;&gt;"")*($F$4:$F150&lt;&gt;"أحد الشركاء")*((($D$4:$D150&lt;&gt;"")+($E$4:$E150&lt;&gt;""))&gt;0)))</f>
        <v>128</v>
      </c>
      <c r="Q150" t="str">
        <f>IF(OR($A150="",$F150&lt;&gt;"أحد الشركاء"),"",COUNTIFS($A$4:A150,"&lt;&gt;",$F$4:F150,"أحد الشركاء"))</f>
        <v/>
      </c>
    </row>
    <row r="151" spans="1:17" ht="18.75" customHeight="1" x14ac:dyDescent="0.25">
      <c r="A151" s="25">
        <v>46249</v>
      </c>
      <c r="B151" s="26"/>
      <c r="C151" s="27" t="s">
        <v>351</v>
      </c>
      <c r="D151" s="28">
        <v>2</v>
      </c>
      <c r="E151" s="29"/>
      <c r="F151" s="30" t="s">
        <v>38</v>
      </c>
      <c r="G151" s="31" t="s">
        <v>39</v>
      </c>
      <c r="H151" s="32" t="s">
        <v>40</v>
      </c>
      <c r="I151" s="33"/>
      <c r="J151" s="34">
        <f>IF(AND(D151="",E151="",A151="",B151="",C151=""),"", IFERROR(IF(J150="",D2,J150),D2)+IF(OR(E151="",H151="معلق"),0,E151)-IF(OR(G151="أبو اسحاق",G151="أبو آدم",G151="أبو اسحاق ",G151="أبو آدم "),0,IF(D151="",0,D151)))</f>
        <v>43.320000000000014</v>
      </c>
      <c r="K151" s="35"/>
      <c r="L151" t="str">
        <f>IF(E150&gt;0,COUNTIF($E$4:E150,"&gt;0"),"")</f>
        <v/>
      </c>
      <c r="M151">
        <f>IF(AND(D150&gt;0,G150="المحفظة"),COUNTIFS($D$4:D150,"&gt;"&amp;0,$G$4:G150,"المحفظة"),"")</f>
        <v>28</v>
      </c>
      <c r="N151">
        <f>IF(AND(OR('طباعة كشف الحساب'!$C$2="الكل",MONTH(A151)=IFERROR(MATCH('طباعة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الحساب'!$F$2="الكل",YEAR(A151)=IFERROR(VALUE('طباعة كشف الحساب'!$F$2),0)),A151&lt;&gt;""),IFERROR(MAX($N$4:N150),0)+1,"")</f>
        <v>18</v>
      </c>
      <c r="O151" t="str">
        <f>IF(AND(D150&gt;0,F150="أحد الشركاء"),COUNTIFS($D$4:D150,"&gt;"&amp;0,$F$4:F150,"أحد الشركاء"),"")</f>
        <v/>
      </c>
      <c r="P151">
        <f>IF(OR($A151="",$F151="أحد الشركاء",AND($D151="",$E151="")),"",SUMPRODUCT(($A$4:$A151&lt;&gt;"")*($F$4:$F151&lt;&gt;"أحد الشركاء")*((($D$4:$D151&lt;&gt;"")+($E$4:$E151&lt;&gt;""))&gt;0)))</f>
        <v>129</v>
      </c>
      <c r="Q151" t="str">
        <f>IF(OR($A151="",$F151&lt;&gt;"أحد الشركاء"),"",COUNTIFS($A$4:A151,"&lt;&gt;",$F$4:F151,"أحد الشركاء"))</f>
        <v/>
      </c>
    </row>
    <row r="152" spans="1:17" ht="18.75" customHeight="1" x14ac:dyDescent="0.25">
      <c r="A152" s="139">
        <v>46252</v>
      </c>
      <c r="B152" s="36" t="s">
        <v>354</v>
      </c>
      <c r="C152" s="37" t="s">
        <v>352</v>
      </c>
      <c r="D152" s="38"/>
      <c r="E152" s="39">
        <v>10.5</v>
      </c>
      <c r="F152" s="136" t="s">
        <v>38</v>
      </c>
      <c r="G152" s="40"/>
      <c r="H152" s="41" t="s">
        <v>40</v>
      </c>
      <c r="I152" s="42"/>
      <c r="J152" s="43">
        <f>IF(AND(D152="",E152="",A152="",B152="",C152=""),"", IFERROR(IF(J151="",D2,J151),D2)+IF(OR(E152="",H152="معلق"),0,E152)-IF(OR(G152="أبو اسحاق",G152="أبو آدم",G152="أبو اسحاق ",G152="أبو آدم "),0,IF(D152="",0,D152)))</f>
        <v>53.820000000000014</v>
      </c>
      <c r="K152" s="44"/>
      <c r="L152" t="str">
        <f>IF(E151&gt;0,COUNTIF($E$4:E151,"&gt;0"),"")</f>
        <v/>
      </c>
      <c r="M152">
        <f>IF(AND(D151&gt;0,G151="المحفظة"),COUNTIFS($D$4:D151,"&gt;"&amp;0,$G$4:G151,"المحفظة"),"")</f>
        <v>29</v>
      </c>
      <c r="N152">
        <f>IF(AND(OR('طباعة كشف الحساب'!$C$2="الكل",MONTH(A152)=IFERROR(MATCH('طباعة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الحساب'!$F$2="الكل",YEAR(A152)=IFERROR(VALUE('طباعة كشف الحساب'!$F$2),0)),A152&lt;&gt;""),IFERROR(MAX($N$4:N151),0)+1,"")</f>
        <v>19</v>
      </c>
      <c r="O152" t="str">
        <f>IF(AND(D151&gt;0,F151="أحد الشركاء"),COUNTIFS($D$4:D151,"&gt;"&amp;0,$F$4:F151,"أحد الشركاء"),"")</f>
        <v/>
      </c>
      <c r="P152">
        <f>IF(OR($A152="",$F152="أحد الشركاء",AND($D152="",$E152="")),"",SUMPRODUCT(($A$4:$A152&lt;&gt;"")*($F$4:$F152&lt;&gt;"أحد الشركاء")*((($D$4:$D152&lt;&gt;"")+($E$4:$E152&lt;&gt;""))&gt;0)))</f>
        <v>130</v>
      </c>
      <c r="Q152" t="str">
        <f>IF(OR($A152="",$F152&lt;&gt;"أحد الشركاء"),"",COUNTIFS($A$4:A152,"&lt;&gt;",$F$4:F152,"أحد الشركاء"))</f>
        <v/>
      </c>
    </row>
    <row r="153" spans="1:17" ht="18.75" customHeight="1" x14ac:dyDescent="0.25">
      <c r="A153" s="25">
        <v>46252</v>
      </c>
      <c r="B153" s="36" t="s">
        <v>355</v>
      </c>
      <c r="C153" s="27" t="s">
        <v>319</v>
      </c>
      <c r="D153" s="28"/>
      <c r="E153" s="29">
        <v>2.5</v>
      </c>
      <c r="F153" s="30" t="s">
        <v>38</v>
      </c>
      <c r="G153" s="31"/>
      <c r="H153" s="32" t="s">
        <v>40</v>
      </c>
      <c r="I153" s="33"/>
      <c r="J153" s="34">
        <f>IF(AND(D153="",E153="",A153="",B153="",C153=""),"", IFERROR(IF(J152="",D2,J152),D2)+IF(OR(E153="",H153="معلق"),0,E153)-IF(OR(G153="أبو اسحاق",G153="أبو آدم",G153="أبو اسحاق ",G153="أبو آدم "),0,IF(D153="",0,D153)))</f>
        <v>56.320000000000014</v>
      </c>
      <c r="K153" s="35"/>
      <c r="L153">
        <f>IF(E152&gt;0,COUNTIF($E$4:E152,"&gt;0"),"")</f>
        <v>101</v>
      </c>
      <c r="M153" t="str">
        <f>IF(AND(D152&gt;0,G152="المحفظة"),COUNTIFS($D$4:D152,"&gt;"&amp;0,$G$4:G152,"المحفظة"),"")</f>
        <v/>
      </c>
      <c r="N153">
        <f>IF(AND(OR('طباعة كشف الحساب'!$C$2="الكل",MONTH(A153)=IFERROR(MATCH('طباعة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الحساب'!$F$2="الكل",YEAR(A153)=IFERROR(VALUE('طباعة كشف الحساب'!$F$2),0)),A153&lt;&gt;""),IFERROR(MAX($N$4:N152),0)+1,"")</f>
        <v>20</v>
      </c>
      <c r="O153" t="str">
        <f>IF(AND(D152&gt;0,F152="أحد الشركاء"),COUNTIFS($D$4:D152,"&gt;"&amp;0,$F$4:F152,"أحد الشركاء"),"")</f>
        <v/>
      </c>
      <c r="P153">
        <f>IF(OR($A153="",$F153="أحد الشركاء",AND($D153="",$E153="")),"",SUMPRODUCT(($A$4:$A153&lt;&gt;"")*($F$4:$F153&lt;&gt;"أحد الشركاء")*((($D$4:$D153&lt;&gt;"")+($E$4:$E153&lt;&gt;""))&gt;0)))</f>
        <v>131</v>
      </c>
      <c r="Q153" t="str">
        <f>IF(OR($A153="",$F153&lt;&gt;"أحد الشركاء"),"",COUNTIFS($A$4:A153,"&lt;&gt;",$F$4:F153,"أحد الشركاء"))</f>
        <v/>
      </c>
    </row>
    <row r="154" spans="1:17" ht="18.75" customHeight="1" x14ac:dyDescent="0.25">
      <c r="A154" s="139">
        <v>46258</v>
      </c>
      <c r="B154" s="36" t="s">
        <v>356</v>
      </c>
      <c r="C154" s="37" t="s">
        <v>357</v>
      </c>
      <c r="D154" s="38"/>
      <c r="E154" s="39">
        <v>22.5</v>
      </c>
      <c r="F154" s="136" t="s">
        <v>38</v>
      </c>
      <c r="G154" s="40"/>
      <c r="H154" s="41" t="s">
        <v>40</v>
      </c>
      <c r="I154" s="42"/>
      <c r="J154" s="43">
        <f>IF(AND(D154="",E154="",A154="",B154="",C154=""),"", IFERROR(IF(J153="",D2,J153),D2)+IF(OR(E154="",H154="معلق"),0,E154)-IF(OR(G154="أبو اسحاق",G154="أبو آدم",G154="أبو اسحاق ",G154="أبو آدم "),0,IF(D154="",0,D154)))</f>
        <v>78.820000000000022</v>
      </c>
      <c r="K154" s="44"/>
      <c r="L154">
        <f>IF(E153&gt;0,COUNTIF($E$4:E153,"&gt;0"),"")</f>
        <v>102</v>
      </c>
      <c r="M154" t="str">
        <f>IF(AND(D153&gt;0,G153="المحفظة"),COUNTIFS($D$4:D153,"&gt;"&amp;0,$G$4:G153,"المحفظة"),"")</f>
        <v/>
      </c>
      <c r="N154">
        <f>IF(AND(OR('طباعة كشف الحساب'!$C$2="الكل",MONTH(A154)=IFERROR(MATCH('طباعة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الحساب'!$F$2="الكل",YEAR(A154)=IFERROR(VALUE('طباعة كشف الحساب'!$F$2),0)),A154&lt;&gt;""),IFERROR(MAX($N$4:N153),0)+1,"")</f>
        <v>21</v>
      </c>
      <c r="O154" t="str">
        <f>IF(AND(D153&gt;0,F153="أحد الشركاء"),COUNTIFS($D$4:D153,"&gt;"&amp;0,$F$4:F153,"أحد الشركاء"),"")</f>
        <v/>
      </c>
      <c r="P154">
        <f>IF(OR($A154="",$F154="أحد الشركاء",AND($D154="",$E154="")),"",SUMPRODUCT(($A$4:$A154&lt;&gt;"")*($F$4:$F154&lt;&gt;"أحد الشركاء")*((($D$4:$D154&lt;&gt;"")+($E$4:$E154&lt;&gt;""))&gt;0)))</f>
        <v>132</v>
      </c>
      <c r="Q154" t="str">
        <f>IF(OR($A154="",$F154&lt;&gt;"أحد الشركاء"),"",COUNTIFS($A$4:A154,"&lt;&gt;",$F$4:F154,"أحد الشركاء"))</f>
        <v/>
      </c>
    </row>
    <row r="155" spans="1:17" ht="18.75" customHeight="1" x14ac:dyDescent="0.25">
      <c r="A155" s="25">
        <v>46258</v>
      </c>
      <c r="B155" s="36" t="s">
        <v>358</v>
      </c>
      <c r="C155" s="27" t="s">
        <v>359</v>
      </c>
      <c r="D155" s="28"/>
      <c r="E155" s="29">
        <v>4</v>
      </c>
      <c r="F155" s="30" t="s">
        <v>38</v>
      </c>
      <c r="G155" s="31"/>
      <c r="H155" s="32" t="s">
        <v>40</v>
      </c>
      <c r="I155" s="33"/>
      <c r="J155" s="34">
        <f>IF(AND(D155="",E155="",A155="",B155="",C155=""),"", IFERROR(IF(J154="",D2,J154),D2)+IF(OR(E155="",H155="معلق"),0,E155)-IF(OR(G155="أبو اسحاق",G155="أبو آدم",G155="أبو اسحاق ",G155="أبو آدم "),0,IF(D155="",0,D155)))</f>
        <v>82.820000000000022</v>
      </c>
      <c r="K155" s="35"/>
      <c r="L155">
        <f>IF(E154&gt;0,COUNTIF($E$4:E154,"&gt;0"),"")</f>
        <v>103</v>
      </c>
      <c r="M155" t="str">
        <f>IF(AND(D154&gt;0,G154="المحفظة"),COUNTIFS($D$4:D154,"&gt;"&amp;0,$G$4:G154,"المحفظة"),"")</f>
        <v/>
      </c>
      <c r="N155">
        <f>IF(AND(OR('طباعة كشف الحساب'!$C$2="الكل",MONTH(A155)=IFERROR(MATCH('طباعة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الحساب'!$F$2="الكل",YEAR(A155)=IFERROR(VALUE('طباعة كشف الحساب'!$F$2),0)),A155&lt;&gt;""),IFERROR(MAX($N$4:N154),0)+1,"")</f>
        <v>22</v>
      </c>
      <c r="O155" t="str">
        <f>IF(AND(D154&gt;0,F154="أحد الشركاء"),COUNTIFS($D$4:D154,"&gt;"&amp;0,$F$4:F154,"أحد الشركاء"),"")</f>
        <v/>
      </c>
      <c r="P155">
        <f>IF(OR($A155="",$F155="أحد الشركاء",AND($D155="",$E155="")),"",SUMPRODUCT(($A$4:$A155&lt;&gt;"")*($F$4:$F155&lt;&gt;"أحد الشركاء")*((($D$4:$D155&lt;&gt;"")+($E$4:$E155&lt;&gt;""))&gt;0)))</f>
        <v>133</v>
      </c>
      <c r="Q155" t="str">
        <f>IF(OR($A155="",$F155&lt;&gt;"أحد الشركاء"),"",COUNTIFS($A$4:A155,"&lt;&gt;",$F$4:F155,"أحد الشركاء"))</f>
        <v/>
      </c>
    </row>
    <row r="156" spans="1:17" ht="18.75" customHeight="1" x14ac:dyDescent="0.25">
      <c r="A156" s="139">
        <v>46258</v>
      </c>
      <c r="B156" s="36" t="s">
        <v>360</v>
      </c>
      <c r="C156" s="37" t="s">
        <v>361</v>
      </c>
      <c r="D156" s="38"/>
      <c r="E156" s="39">
        <v>6</v>
      </c>
      <c r="F156" s="136" t="s">
        <v>38</v>
      </c>
      <c r="G156" s="40"/>
      <c r="H156" s="41" t="s">
        <v>40</v>
      </c>
      <c r="I156" s="42"/>
      <c r="J156" s="43">
        <f>IF(AND(D156="",E156="",A156="",B156="",C156=""),"", IFERROR(IF(J155="",D2,J155),D2)+IF(OR(E156="",H156="معلق"),0,E156)-IF(OR(G156="أبو اسحاق",G156="أبو آدم",G156="أبو اسحاق ",G156="أبو آدم "),0,IF(D156="",0,D156)))</f>
        <v>88.820000000000022</v>
      </c>
      <c r="K156" s="44"/>
      <c r="L156">
        <f>IF(E155&gt;0,COUNTIF($E$4:E155,"&gt;0"),"")</f>
        <v>104</v>
      </c>
      <c r="M156" t="str">
        <f>IF(AND(D155&gt;0,G155="المحفظة"),COUNTIFS($D$4:D155,"&gt;"&amp;0,$G$4:G155,"المحفظة"),"")</f>
        <v/>
      </c>
      <c r="N156">
        <f>IF(AND(OR('طباعة كشف الحساب'!$C$2="الكل",MONTH(A156)=IFERROR(MATCH('طباعة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الحساب'!$F$2="الكل",YEAR(A156)=IFERROR(VALUE('طباعة كشف الحساب'!$F$2),0)),A156&lt;&gt;""),IFERROR(MAX($N$4:N155),0)+1,"")</f>
        <v>23</v>
      </c>
      <c r="O156" t="str">
        <f>IF(AND(D155&gt;0,F155="أحد الشركاء"),COUNTIFS($D$4:D155,"&gt;"&amp;0,$F$4:F155,"أحد الشركاء"),"")</f>
        <v/>
      </c>
      <c r="P156">
        <f>IF(OR($A156="",$F156="أحد الشركاء",AND($D156="",$E156="")),"",SUMPRODUCT(($A$4:$A156&lt;&gt;"")*($F$4:$F156&lt;&gt;"أحد الشركاء")*((($D$4:$D156&lt;&gt;"")+($E$4:$E156&lt;&gt;""))&gt;0)))</f>
        <v>134</v>
      </c>
      <c r="Q156" t="str">
        <f>IF(OR($A156="",$F156&lt;&gt;"أحد الشركاء"),"",COUNTIFS($A$4:A156,"&lt;&gt;",$F$4:F156,"أحد الشركاء"))</f>
        <v/>
      </c>
    </row>
    <row r="157" spans="1:17" ht="18.75" customHeight="1" x14ac:dyDescent="0.25">
      <c r="A157" s="25">
        <v>46258</v>
      </c>
      <c r="B157" s="36" t="s">
        <v>362</v>
      </c>
      <c r="C157" s="27" t="s">
        <v>363</v>
      </c>
      <c r="D157" s="28"/>
      <c r="E157" s="29">
        <v>1.5</v>
      </c>
      <c r="F157" s="30" t="s">
        <v>38</v>
      </c>
      <c r="G157" s="31"/>
      <c r="H157" s="32" t="s">
        <v>40</v>
      </c>
      <c r="I157" s="33"/>
      <c r="J157" s="34">
        <f>IF(AND(D157="",E157="",A157="",B157="",C157=""),"", IFERROR(IF(J156="",D2,J156),D2)+IF(OR(E157="",H157="معلق"),0,E157)-IF(OR(G157="أبو اسحاق",G157="أبو آدم",G157="أبو اسحاق ",G157="أبو آدم "),0,IF(D157="",0,D157)))</f>
        <v>90.320000000000022</v>
      </c>
      <c r="K157" s="35"/>
      <c r="L157">
        <f>IF(E156&gt;0,COUNTIF($E$4:E156,"&gt;0"),"")</f>
        <v>105</v>
      </c>
      <c r="M157" t="str">
        <f>IF(AND(D156&gt;0,G156="المحفظة"),COUNTIFS($D$4:D156,"&gt;"&amp;0,$G$4:G156,"المحفظة"),"")</f>
        <v/>
      </c>
      <c r="N157">
        <f>IF(AND(OR('طباعة كشف الحساب'!$C$2="الكل",MONTH(A157)=IFERROR(MATCH('طباعة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الحساب'!$F$2="الكل",YEAR(A157)=IFERROR(VALUE('طباعة كشف الحساب'!$F$2),0)),A157&lt;&gt;""),IFERROR(MAX($N$4:N156),0)+1,"")</f>
        <v>24</v>
      </c>
      <c r="O157" t="str">
        <f>IF(AND(D156&gt;0,F156="أحد الشركاء"),COUNTIFS($D$4:D156,"&gt;"&amp;0,$F$4:F156,"أحد الشركاء"),"")</f>
        <v/>
      </c>
      <c r="P157">
        <f>IF(OR($A157="",$F157="أحد الشركاء",AND($D157="",$E157="")),"",SUMPRODUCT(($A$4:$A157&lt;&gt;"")*($F$4:$F157&lt;&gt;"أحد الشركاء")*((($D$4:$D157&lt;&gt;"")+($E$4:$E157&lt;&gt;""))&gt;0)))</f>
        <v>135</v>
      </c>
      <c r="Q157" t="str">
        <f>IF(OR($A157="",$F157&lt;&gt;"أحد الشركاء"),"",COUNTIFS($A$4:A157,"&lt;&gt;",$F$4:F157,"أحد الشركاء"))</f>
        <v/>
      </c>
    </row>
    <row r="158" spans="1:17" ht="18.75" customHeight="1" x14ac:dyDescent="0.25">
      <c r="A158" s="139">
        <v>46235</v>
      </c>
      <c r="B158" s="36"/>
      <c r="C158" s="37" t="s">
        <v>364</v>
      </c>
      <c r="D158" s="38">
        <v>280</v>
      </c>
      <c r="E158" s="39"/>
      <c r="F158" s="136" t="s">
        <v>48</v>
      </c>
      <c r="G158" s="40" t="s">
        <v>60</v>
      </c>
      <c r="H158" s="41" t="s">
        <v>40</v>
      </c>
      <c r="I158" s="42"/>
      <c r="J158" s="43">
        <f>IF(AND(D158="",E158="",A158="",B158="",C158=""),"", IFERROR(IF(J157="",D2,J157),D2)+IF(OR(E158="",H158="معلق"),0,E158)-IF(OR(G158="أبو اسحاق",G158="أبو آدم",G158="أبو اسحاق ",G158="أبو آدم "),0,IF(D158="",0,D158)))</f>
        <v>90.320000000000022</v>
      </c>
      <c r="K158" s="44"/>
      <c r="L158">
        <f>IF(E157&gt;0,COUNTIF($E$4:E157,"&gt;0"),"")</f>
        <v>106</v>
      </c>
      <c r="M158" t="str">
        <f>IF(AND(D157&gt;0,G157="المحفظة"),COUNTIFS($D$4:D157,"&gt;"&amp;0,$G$4:G157,"المحفظة"),"")</f>
        <v/>
      </c>
      <c r="N158">
        <f>IF(AND(OR('طباعة كشف الحساب'!$C$2="الكل",MONTH(A158)=IFERROR(MATCH('طباعة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الحساب'!$F$2="الكل",YEAR(A158)=IFERROR(VALUE('طباعة كشف الحساب'!$F$2),0)),A158&lt;&gt;""),IFERROR(MAX($N$4:N157),0)+1,"")</f>
        <v>25</v>
      </c>
      <c r="O158" t="str">
        <f>IF(AND(D157&gt;0,F157="أحد الشركاء"),COUNTIFS($D$4:D157,"&gt;"&amp;0,$F$4:F157,"أحد الشركاء"),"")</f>
        <v/>
      </c>
      <c r="P158" t="str">
        <f>IF(OR($A158="",$F158="أحد الشركاء",AND($D158="",$E158="")),"",SUMPRODUCT(($A$4:$A158&lt;&gt;"")*($F$4:$F158&lt;&gt;"أحد الشركاء")*((($D$4:$D158&lt;&gt;"")+($E$4:$E158&lt;&gt;""))&gt;0)))</f>
        <v/>
      </c>
      <c r="Q158">
        <f>IF(OR($A158="",$F158&lt;&gt;"أحد الشركاء"),"",COUNTIFS($A$4:A158,"&lt;&gt;",$F$4:F158,"أحد الشركاء"))</f>
        <v>14</v>
      </c>
    </row>
    <row r="159" spans="1:17" ht="18.75" customHeight="1" x14ac:dyDescent="0.25">
      <c r="A159" s="25">
        <v>46238</v>
      </c>
      <c r="B159" s="26"/>
      <c r="C159" s="27" t="s">
        <v>365</v>
      </c>
      <c r="D159" s="28">
        <v>68</v>
      </c>
      <c r="E159" s="29"/>
      <c r="F159" s="30" t="s">
        <v>48</v>
      </c>
      <c r="G159" s="31" t="s">
        <v>49</v>
      </c>
      <c r="H159" s="32" t="s">
        <v>40</v>
      </c>
      <c r="I159" s="33"/>
      <c r="J159" s="34">
        <f>IF(AND(D159="",E159="",A159="",B159="",C159=""),"", IFERROR(IF(J158="",D2,J158),D2)+IF(OR(E159="",H159="معلق"),0,E159)-IF(OR(G159="أبو اسحاق",G159="أبو آدم",G159="أبو اسحاق ",G159="أبو آدم "),0,IF(D159="",0,D159)))</f>
        <v>90.320000000000022</v>
      </c>
      <c r="K159" s="35"/>
      <c r="L159" t="str">
        <f>IF(E158&gt;0,COUNTIF($E$4:E158,"&gt;0"),"")</f>
        <v/>
      </c>
      <c r="M159" t="str">
        <f>IF(AND(D158&gt;0,G158="المحفظة"),COUNTIFS($D$4:D158,"&gt;"&amp;0,$G$4:G158,"المحفظة"),"")</f>
        <v/>
      </c>
      <c r="N159">
        <f>IF(AND(OR('طباعة كشف الحساب'!$C$2="الكل",MONTH(A159)=IFERROR(MATCH('طباعة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الحساب'!$F$2="الكل",YEAR(A159)=IFERROR(VALUE('طباعة كشف الحساب'!$F$2),0)),A159&lt;&gt;""),IFERROR(MAX($N$4:N158),0)+1,"")</f>
        <v>26</v>
      </c>
      <c r="O159">
        <f>IF(AND(D158&gt;0,F158="أحد الشركاء"),COUNTIFS($D$4:D158,"&gt;"&amp;0,$F$4:F158,"أحد الشركاء"),"")</f>
        <v>14</v>
      </c>
      <c r="P159" t="str">
        <f>IF(OR($A159="",$F159="أحد الشركاء",AND($D159="",$E159="")),"",SUMPRODUCT(($A$4:$A159&lt;&gt;"")*($F$4:$F159&lt;&gt;"أحد الشركاء")*((($D$4:$D159&lt;&gt;"")+($E$4:$E159&lt;&gt;""))&gt;0)))</f>
        <v/>
      </c>
      <c r="Q159">
        <f>IF(OR($A159="",$F159&lt;&gt;"أحد الشركاء"),"",COUNTIFS($A$4:A159,"&lt;&gt;",$F$4:F159,"أحد الشركاء"))</f>
        <v>15</v>
      </c>
    </row>
    <row r="160" spans="1:17" ht="18.75" customHeight="1" x14ac:dyDescent="0.25">
      <c r="A160" s="139">
        <v>46258</v>
      </c>
      <c r="B160" s="36"/>
      <c r="C160" s="37" t="s">
        <v>366</v>
      </c>
      <c r="D160" s="38">
        <v>4.125</v>
      </c>
      <c r="E160" s="39"/>
      <c r="F160" s="136" t="s">
        <v>38</v>
      </c>
      <c r="G160" s="40" t="s">
        <v>39</v>
      </c>
      <c r="H160" s="41" t="s">
        <v>40</v>
      </c>
      <c r="I160" s="42"/>
      <c r="J160" s="43">
        <f>IF(AND(D160="",E160="",A160="",B160="",C160=""),"", IFERROR(IF(J159="",D2,J159),D2)+IF(OR(E160="",H160="معلق"),0,E160)-IF(OR(G160="أبو اسحاق",G160="أبو آدم",G160="أبو اسحاق ",G160="أبو آدم "),0,IF(D160="",0,D160)))</f>
        <v>86.195000000000022</v>
      </c>
      <c r="K160" s="44"/>
      <c r="L160" t="str">
        <f>IF(E159&gt;0,COUNTIF($E$4:E159,"&gt;0"),"")</f>
        <v/>
      </c>
      <c r="M160" t="str">
        <f>IF(AND(D159&gt;0,G159="المحفظة"),COUNTIFS($D$4:D159,"&gt;"&amp;0,$G$4:G159,"المحفظة"),"")</f>
        <v/>
      </c>
      <c r="N160">
        <f>IF(AND(OR('طباعة كشف الحساب'!$C$2="الكل",MONTH(A160)=IFERROR(MATCH('طباعة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الحساب'!$F$2="الكل",YEAR(A160)=IFERROR(VALUE('طباعة كشف الحساب'!$F$2),0)),A160&lt;&gt;""),IFERROR(MAX($N$4:N159),0)+1,"")</f>
        <v>27</v>
      </c>
      <c r="O160">
        <f>IF(AND(D159&gt;0,F159="أحد الشركاء"),COUNTIFS($D$4:D159,"&gt;"&amp;0,$F$4:F159,"أحد الشركاء"),"")</f>
        <v>15</v>
      </c>
      <c r="P160">
        <f>IF(OR($A160="",$F160="أحد الشركاء",AND($D160="",$E160="")),"",SUMPRODUCT(($A$4:$A160&lt;&gt;"")*($F$4:$F160&lt;&gt;"أحد الشركاء")*((($D$4:$D160&lt;&gt;"")+($E$4:$E160&lt;&gt;""))&gt;0)))</f>
        <v>136</v>
      </c>
      <c r="Q160" t="str">
        <f>IF(OR($A160="",$F160&lt;&gt;"أحد الشركاء"),"",COUNTIFS($A$4:A160,"&lt;&gt;",$F$4:F160,"أحد الشركاء"))</f>
        <v/>
      </c>
    </row>
    <row r="161" spans="1:17" ht="18.75" customHeight="1" x14ac:dyDescent="0.25">
      <c r="A161" s="25">
        <v>46260</v>
      </c>
      <c r="B161" s="36" t="s">
        <v>367</v>
      </c>
      <c r="C161" s="27" t="s">
        <v>368</v>
      </c>
      <c r="D161" s="28"/>
      <c r="E161" s="29">
        <v>260</v>
      </c>
      <c r="F161" s="30" t="s">
        <v>38</v>
      </c>
      <c r="G161" s="31"/>
      <c r="H161" s="32" t="s">
        <v>40</v>
      </c>
      <c r="I161" s="33"/>
      <c r="J161" s="34">
        <f>IF(AND(D161="",E161="",A161="",B161="",C161=""),"", IFERROR(IF(J160="",D2,J160),D2)+IF(OR(E161="",H161="معلق"),0,E161)-IF(OR(G161="أبو اسحاق",G161="أبو آدم",G161="أبو اسحاق ",G161="أبو آدم "),0,IF(D161="",0,D161)))</f>
        <v>346.19500000000005</v>
      </c>
      <c r="K161" s="35" t="s">
        <v>369</v>
      </c>
      <c r="L161" t="str">
        <f>IF(E160&gt;0,COUNTIF($E$4:E160,"&gt;0"),"")</f>
        <v/>
      </c>
      <c r="M161">
        <f>IF(AND(D160&gt;0,G160="المحفظة"),COUNTIFS($D$4:D160,"&gt;"&amp;0,$G$4:G160,"المحفظة"),"")</f>
        <v>30</v>
      </c>
      <c r="N161">
        <f>IF(AND(OR('طباعة كشف الحساب'!$C$2="الكل",MONTH(A161)=IFERROR(MATCH('طباعة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الحساب'!$F$2="الكل",YEAR(A161)=IFERROR(VALUE('طباعة كشف الحساب'!$F$2),0)),A161&lt;&gt;""),IFERROR(MAX($N$4:N160),0)+1,"")</f>
        <v>28</v>
      </c>
      <c r="O161" t="str">
        <f>IF(AND(D160&gt;0,F160="أحد الشركاء"),COUNTIFS($D$4:D160,"&gt;"&amp;0,$F$4:F160,"أحد الشركاء"),"")</f>
        <v/>
      </c>
      <c r="P161">
        <f>IF(OR($A161="",$F161="أحد الشركاء",AND($D161="",$E161="")),"",SUMPRODUCT(($A$4:$A161&lt;&gt;"")*($F$4:$F161&lt;&gt;"أحد الشركاء")*((($D$4:$D161&lt;&gt;"")+($E$4:$E161&lt;&gt;""))&gt;0)))</f>
        <v>137</v>
      </c>
      <c r="Q161" t="str">
        <f>IF(OR($A161="",$F161&lt;&gt;"أحد الشركاء"),"",COUNTIFS($A$4:A161,"&lt;&gt;",$F$4:F161,"أحد الشركاء"))</f>
        <v/>
      </c>
    </row>
    <row r="162" spans="1:17" ht="26.25" customHeight="1" x14ac:dyDescent="0.25">
      <c r="A162" s="139">
        <v>46260</v>
      </c>
      <c r="B162" s="36"/>
      <c r="C162" s="37" t="s">
        <v>370</v>
      </c>
      <c r="D162" s="38">
        <v>243</v>
      </c>
      <c r="E162" s="39"/>
      <c r="F162" s="136" t="s">
        <v>38</v>
      </c>
      <c r="G162" s="40" t="s">
        <v>39</v>
      </c>
      <c r="H162" s="41" t="s">
        <v>40</v>
      </c>
      <c r="I162" s="42"/>
      <c r="J162" s="43">
        <f>IF(AND(D162="",E162="",A162="",B162="",C162=""),"", IFERROR(IF(J161="",D2,J161),D2)+IF(OR(E162="",H162="معلق"),0,E162)-IF(OR(G162="أبو اسحاق",G162="أبو آدم",G162="أبو اسحاق ",G162="أبو آدم "),0,IF(D162="",0,D162)))</f>
        <v>103.19500000000005</v>
      </c>
      <c r="K162" s="44"/>
      <c r="L162">
        <f>IF(E161&gt;0,COUNTIF($E$4:E161,"&gt;0"),"")</f>
        <v>107</v>
      </c>
      <c r="M162" t="str">
        <f>IF(AND(D161&gt;0,G161="المحفظة"),COUNTIFS($D$4:D161,"&gt;"&amp;0,$G$4:G161,"المحفظة"),"")</f>
        <v/>
      </c>
      <c r="N162">
        <f>IF(AND(OR('طباعة كشف الحساب'!$C$2="الكل",MONTH(A162)=IFERROR(MATCH('طباعة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الحساب'!$F$2="الكل",YEAR(A162)=IFERROR(VALUE('طباعة كشف الحساب'!$F$2),0)),A162&lt;&gt;""),IFERROR(MAX($N$4:N161),0)+1,"")</f>
        <v>29</v>
      </c>
      <c r="O162" t="str">
        <f>IF(AND(D161&gt;0,F161="أحد الشركاء"),COUNTIFS($D$4:D161,"&gt;"&amp;0,$F$4:F161,"أحد الشركاء"),"")</f>
        <v/>
      </c>
      <c r="P162">
        <f>IF(OR($A162="",$F162="أحد الشركاء",AND($D162="",$E162="")),"",SUMPRODUCT(($A$4:$A162&lt;&gt;"")*($F$4:$F162&lt;&gt;"أحد الشركاء")*((($D$4:$D162&lt;&gt;"")+($E$4:$E162&lt;&gt;""))&gt;0)))</f>
        <v>138</v>
      </c>
      <c r="Q162" t="str">
        <f>IF(OR($A162="",$F162&lt;&gt;"أحد الشركاء"),"",COUNTIFS($A$4:A162,"&lt;&gt;",$F$4:F162,"أحد الشركاء"))</f>
        <v/>
      </c>
    </row>
    <row r="163" spans="1:17" ht="18.75" customHeight="1" x14ac:dyDescent="0.25">
      <c r="A163" s="25">
        <v>46251</v>
      </c>
      <c r="B163" s="26"/>
      <c r="C163" s="27" t="s">
        <v>371</v>
      </c>
      <c r="D163" s="28">
        <v>3</v>
      </c>
      <c r="E163" s="29"/>
      <c r="F163" s="30" t="s">
        <v>38</v>
      </c>
      <c r="G163" s="31" t="s">
        <v>39</v>
      </c>
      <c r="H163" s="32" t="s">
        <v>40</v>
      </c>
      <c r="I163" s="33"/>
      <c r="J163" s="34">
        <f>IF(AND(D163="",E163="",A163="",B163="",C163=""),"", IFERROR(IF(J162="",D2,J162),D2)+IF(OR(E163="",H163="معلق"),0,E163)-IF(OR(G163="أبو اسحاق",G163="أبو آدم",G163="أبو اسحاق ",G163="أبو آدم "),0,IF(D163="",0,D163)))</f>
        <v>100.19500000000005</v>
      </c>
      <c r="K163" s="35"/>
      <c r="L163" t="str">
        <f>IF(E162&gt;0,COUNTIF($E$4:E162,"&gt;0"),"")</f>
        <v/>
      </c>
      <c r="M163">
        <f>IF(AND(D162&gt;0,G162="المحفظة"),COUNTIFS($D$4:D162,"&gt;"&amp;0,$G$4:G162,"المحفظة"),"")</f>
        <v>31</v>
      </c>
      <c r="N163">
        <f>IF(AND(OR('طباعة كشف الحساب'!$C$2="الكل",MONTH(A163)=IFERROR(MATCH('طباعة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الحساب'!$F$2="الكل",YEAR(A163)=IFERROR(VALUE('طباعة كشف الحساب'!$F$2),0)),A163&lt;&gt;""),IFERROR(MAX($N$4:N162),0)+1,"")</f>
        <v>30</v>
      </c>
      <c r="O163" t="str">
        <f>IF(AND(D162&gt;0,F162="أحد الشركاء"),COUNTIFS($D$4:D162,"&gt;"&amp;0,$F$4:F162,"أحد الشركاء"),"")</f>
        <v/>
      </c>
      <c r="P163">
        <f>IF(OR($A163="",$F163="أحد الشركاء",AND($D163="",$E163="")),"",SUMPRODUCT(($A$4:$A163&lt;&gt;"")*($F$4:$F163&lt;&gt;"أحد الشركاء")*((($D$4:$D163&lt;&gt;"")+($E$4:$E163&lt;&gt;""))&gt;0)))</f>
        <v>139</v>
      </c>
      <c r="Q163" t="str">
        <f>IF(OR($A163="",$F163&lt;&gt;"أحد الشركاء"),"",COUNTIFS($A$4:A163,"&lt;&gt;",$F$4:F163,"أحد الشركاء"))</f>
        <v/>
      </c>
    </row>
    <row r="164" spans="1:17" ht="18.75" customHeight="1" x14ac:dyDescent="0.25">
      <c r="A164" s="139">
        <v>46229</v>
      </c>
      <c r="B164" s="36" t="s">
        <v>372</v>
      </c>
      <c r="C164" s="37" t="s">
        <v>334</v>
      </c>
      <c r="D164" s="38"/>
      <c r="E164" s="39">
        <v>10</v>
      </c>
      <c r="F164" s="136" t="s">
        <v>38</v>
      </c>
      <c r="G164" s="40"/>
      <c r="H164" s="41" t="s">
        <v>40</v>
      </c>
      <c r="I164" s="42"/>
      <c r="J164" s="43">
        <f>IF(AND(D164="",E164="",A164="",B164="",C164=""),"", IFERROR(IF(J163="",D2,J163),D2)+IF(OR(E164="",H164="معلق"),0,E164)-IF(OR(G164="أبو اسحاق",G164="أبو آدم",G164="أبو اسحاق ",G164="أبو آدم "),0,IF(D164="",0,D164)))</f>
        <v>110.19500000000005</v>
      </c>
      <c r="K164" s="44"/>
      <c r="L164" t="str">
        <f>IF(E163&gt;0,COUNTIF($E$4:E163,"&gt;0"),"")</f>
        <v/>
      </c>
      <c r="M164">
        <f>IF(AND(D163&gt;0,G163="المحفظة"),COUNTIFS($D$4:D163,"&gt;"&amp;0,$G$4:G163,"المحفظة"),"")</f>
        <v>32</v>
      </c>
      <c r="N164" t="str">
        <f>IF(AND(OR('طباعة كشف الحساب'!$C$2="الكل",MONTH(A164)=IFERROR(MATCH('طباعة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الحساب'!$F$2="الكل",YEAR(A164)=IFERROR(VALUE('طباعة كشف الحساب'!$F$2),0)),A164&lt;&gt;""),IFERROR(MAX($N$4:N163),0)+1,"")</f>
        <v/>
      </c>
      <c r="O164" t="str">
        <f>IF(AND(D163&gt;0,F163="أحد الشركاء"),COUNTIFS($D$4:D163,"&gt;"&amp;0,$F$4:F163,"أحد الشركاء"),"")</f>
        <v/>
      </c>
      <c r="P164">
        <f>IF(OR($A164="",$F164="أحد الشركاء",AND($D164="",$E164="")),"",SUMPRODUCT(($A$4:$A164&lt;&gt;"")*($F$4:$F164&lt;&gt;"أحد الشركاء")*((($D$4:$D164&lt;&gt;"")+($E$4:$E164&lt;&gt;""))&gt;0)))</f>
        <v>140</v>
      </c>
      <c r="Q164" t="str">
        <f>IF(OR($A164="",$F164&lt;&gt;"أحد الشركاء"),"",COUNTIFS($A$4:A164,"&lt;&gt;",$F$4:F164,"أحد الشركاء"))</f>
        <v/>
      </c>
    </row>
    <row r="165" spans="1:17" ht="18.75" customHeight="1" x14ac:dyDescent="0.25">
      <c r="A165" s="148">
        <v>46229</v>
      </c>
      <c r="B165" s="36" t="s">
        <v>373</v>
      </c>
      <c r="C165" s="27" t="s">
        <v>374</v>
      </c>
      <c r="D165" s="28"/>
      <c r="E165" s="29">
        <v>9</v>
      </c>
      <c r="F165" s="30" t="s">
        <v>38</v>
      </c>
      <c r="G165" s="31"/>
      <c r="H165" s="32" t="s">
        <v>40</v>
      </c>
      <c r="I165" s="33"/>
      <c r="J165" s="34">
        <f>IF(AND(D165="",E165="",A165="",B165="",C165=""),"", IFERROR(IF(J164="",D2,J164),D2)+IF(OR(E165="",H165="معلق"),0,E165)-IF(OR(G165="أبو اسحاق",G165="أبو آدم",G165="أبو اسحاق ",G165="أبو آدم "),0,IF(D165="",0,D165)))</f>
        <v>119.19500000000005</v>
      </c>
      <c r="K165" s="35"/>
      <c r="L165">
        <f>IF(E164&gt;0,COUNTIF($E$4:E164,"&gt;0"),"")</f>
        <v>108</v>
      </c>
      <c r="M165" t="str">
        <f>IF(AND(D164&gt;0,G164="المحفظة"),COUNTIFS($D$4:D164,"&gt;"&amp;0,$G$4:G164,"المحفظة"),"")</f>
        <v/>
      </c>
      <c r="N165" t="str">
        <f>IF(AND(OR('طباعة كشف الحساب'!$C$2="الكل",MONTH(A165)=IFERROR(MATCH('طباعة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الحساب'!$F$2="الكل",YEAR(A165)=IFERROR(VALUE('طباعة كشف الحساب'!$F$2),0)),A165&lt;&gt;""),IFERROR(MAX($N$4:N164),0)+1,"")</f>
        <v/>
      </c>
      <c r="O165" t="str">
        <f>IF(AND(D164&gt;0,F164="أحد الشركاء"),COUNTIFS($D$4:D164,"&gt;"&amp;0,$F$4:F164,"أحد الشركاء"),"")</f>
        <v/>
      </c>
      <c r="P165">
        <f>IF(OR($A165="",$F165="أحد الشركاء",AND($D165="",$E165="")),"",SUMPRODUCT(($A$4:$A165&lt;&gt;"")*($F$4:$F165&lt;&gt;"أحد الشركاء")*((($D$4:$D165&lt;&gt;"")+($E$4:$E165&lt;&gt;""))&gt;0)))</f>
        <v>141</v>
      </c>
      <c r="Q165" t="str">
        <f>IF(OR($A165="",$F165&lt;&gt;"أحد الشركاء"),"",COUNTIFS($A$4:A165,"&lt;&gt;",$F$4:F165,"أحد الشركاء"))</f>
        <v/>
      </c>
    </row>
    <row r="166" spans="1:17" ht="18.75" customHeight="1" x14ac:dyDescent="0.25">
      <c r="A166" s="148">
        <v>46229</v>
      </c>
      <c r="B166" s="36" t="s">
        <v>375</v>
      </c>
      <c r="C166" s="37" t="s">
        <v>376</v>
      </c>
      <c r="D166" s="38"/>
      <c r="E166" s="39">
        <v>10</v>
      </c>
      <c r="F166" s="136" t="s">
        <v>38</v>
      </c>
      <c r="G166" s="40"/>
      <c r="H166" s="41" t="s">
        <v>40</v>
      </c>
      <c r="I166" s="42"/>
      <c r="J166" s="43">
        <f>IF(AND(D166="",E166="",A166="",B166="",C166=""),"", IFERROR(IF(J165="",D2,J165),D2)+IF(OR(E166="",H166="معلق"),0,E166)-IF(OR(G166="أبو اسحاق",G166="أبو آدم",G166="أبو اسحاق ",G166="أبو آدم "),0,IF(D166="",0,D166)))</f>
        <v>129.19500000000005</v>
      </c>
      <c r="K166" s="44"/>
      <c r="L166">
        <f>IF(E165&gt;0,COUNTIF($E$4:E165,"&gt;0"),"")</f>
        <v>109</v>
      </c>
      <c r="M166" t="str">
        <f>IF(AND(D165&gt;0,G165="المحفظة"),COUNTIFS($D$4:D165,"&gt;"&amp;0,$G$4:G165,"المحفظة"),"")</f>
        <v/>
      </c>
      <c r="N166" t="str">
        <f>IF(AND(OR('طباعة كشف الحساب'!$C$2="الكل",MONTH(A166)=IFERROR(MATCH('طباعة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الحساب'!$F$2="الكل",YEAR(A166)=IFERROR(VALUE('طباعة كشف الحساب'!$F$2),0)),A166&lt;&gt;""),IFERROR(MAX($N$4:N165),0)+1,"")</f>
        <v/>
      </c>
      <c r="O166" t="str">
        <f>IF(AND(D165&gt;0,F165="أحد الشركاء"),COUNTIFS($D$4:D165,"&gt;"&amp;0,$F$4:F165,"أحد الشركاء"),"")</f>
        <v/>
      </c>
      <c r="P166">
        <f>IF(OR($A166="",$F166="أحد الشركاء",AND($D166="",$E166="")),"",SUMPRODUCT(($A$4:$A166&lt;&gt;"")*($F$4:$F166&lt;&gt;"أحد الشركاء")*((($D$4:$D166&lt;&gt;"")+($E$4:$E166&lt;&gt;""))&gt;0)))</f>
        <v>142</v>
      </c>
      <c r="Q166" t="str">
        <f>IF(OR($A166="",$F166&lt;&gt;"أحد الشركاء"),"",COUNTIFS($A$4:A166,"&lt;&gt;",$F$4:F166,"أحد الشركاء"))</f>
        <v/>
      </c>
    </row>
    <row r="167" spans="1:17" ht="18.75" customHeight="1" x14ac:dyDescent="0.25">
      <c r="A167" s="25">
        <v>46251</v>
      </c>
      <c r="B167" s="26"/>
      <c r="C167" s="27" t="s">
        <v>377</v>
      </c>
      <c r="D167" s="28">
        <v>11.5</v>
      </c>
      <c r="E167" s="29"/>
      <c r="F167" s="30" t="s">
        <v>38</v>
      </c>
      <c r="G167" s="31" t="s">
        <v>39</v>
      </c>
      <c r="H167" s="32" t="s">
        <v>40</v>
      </c>
      <c r="I167" s="33"/>
      <c r="J167" s="34">
        <f>IF(AND(D167="",E167="",A167="",B167="",C167=""),"", IFERROR(IF(J166="",D2,J166),D2)+IF(OR(E167="",H167="معلق"),0,E167)-IF(OR(G167="أبو اسحاق",G167="أبو آدم",G167="أبو اسحاق ",G167="أبو آدم "),0,IF(D167="",0,D167)))</f>
        <v>117.69500000000005</v>
      </c>
      <c r="K167" s="35"/>
      <c r="L167">
        <f>IF(E166&gt;0,COUNTIF($E$4:E166,"&gt;0"),"")</f>
        <v>110</v>
      </c>
      <c r="M167" t="str">
        <f>IF(AND(D166&gt;0,G166="المحفظة"),COUNTIFS($D$4:D166,"&gt;"&amp;0,$G$4:G166,"المحفظة"),"")</f>
        <v/>
      </c>
      <c r="N167">
        <f>IF(AND(OR('طباعة كشف الحساب'!$C$2="الكل",MONTH(A167)=IFERROR(MATCH('طباعة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الحساب'!$F$2="الكل",YEAR(A167)=IFERROR(VALUE('طباعة كشف الحساب'!$F$2),0)),A167&lt;&gt;""),IFERROR(MAX($N$4:N166),0)+1,"")</f>
        <v>31</v>
      </c>
      <c r="O167" t="str">
        <f>IF(AND(D166&gt;0,F166="أحد الشركاء"),COUNTIFS($D$4:D166,"&gt;"&amp;0,$F$4:F166,"أحد الشركاء"),"")</f>
        <v/>
      </c>
      <c r="P167">
        <f>IF(OR($A167="",$F167="أحد الشركاء",AND($D167="",$E167="")),"",SUMPRODUCT(($A$4:$A167&lt;&gt;"")*($F$4:$F167&lt;&gt;"أحد الشركاء")*((($D$4:$D167&lt;&gt;"")+($E$4:$E167&lt;&gt;""))&gt;0)))</f>
        <v>143</v>
      </c>
      <c r="Q167" t="str">
        <f>IF(OR($A167="",$F167&lt;&gt;"أحد الشركاء"),"",COUNTIFS($A$4:A167,"&lt;&gt;",$F$4:F167,"أحد الشركاء"))</f>
        <v/>
      </c>
    </row>
    <row r="168" spans="1:17" ht="18.75" customHeight="1" x14ac:dyDescent="0.25">
      <c r="A168" s="139">
        <v>46254</v>
      </c>
      <c r="B168" s="36" t="s">
        <v>378</v>
      </c>
      <c r="C168" s="37" t="s">
        <v>379</v>
      </c>
      <c r="D168" s="38"/>
      <c r="E168" s="39">
        <v>59</v>
      </c>
      <c r="F168" s="136" t="s">
        <v>38</v>
      </c>
      <c r="G168" s="40"/>
      <c r="H168" s="41" t="s">
        <v>40</v>
      </c>
      <c r="I168" s="42"/>
      <c r="J168" s="43">
        <f>IF(AND(D168="",E168="",A168="",B168="",C168=""),"", IFERROR(IF(J167="",D2,J167),D2)+IF(OR(E168="",H168="معلق"),0,E168)-IF(OR(G168="أبو اسحاق",G168="أبو آدم",G168="أبو اسحاق ",G168="أبو آدم "),0,IF(D168="",0,D168)))</f>
        <v>176.69500000000005</v>
      </c>
      <c r="K168" s="44"/>
      <c r="L168" t="str">
        <f>IF(E167&gt;0,COUNTIF($E$4:E167,"&gt;0"),"")</f>
        <v/>
      </c>
      <c r="M168">
        <f>IF(AND(D167&gt;0,G167="المحفظة"),COUNTIFS($D$4:D167,"&gt;"&amp;0,$G$4:G167,"المحفظة"),"")</f>
        <v>33</v>
      </c>
      <c r="N168">
        <f>IF(AND(OR('طباعة كشف الحساب'!$C$2="الكل",MONTH(A168)=IFERROR(MATCH('طباعة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الحساب'!$F$2="الكل",YEAR(A168)=IFERROR(VALUE('طباعة كشف الحساب'!$F$2),0)),A168&lt;&gt;""),IFERROR(MAX($N$4:N167),0)+1,"")</f>
        <v>32</v>
      </c>
      <c r="O168" t="str">
        <f>IF(AND(D167&gt;0,F167="أحد الشركاء"),COUNTIFS($D$4:D167,"&gt;"&amp;0,$F$4:F167,"أحد الشركاء"),"")</f>
        <v/>
      </c>
      <c r="P168">
        <f>IF(OR($A168="",$F168="أحد الشركاء",AND($D168="",$E168="")),"",SUMPRODUCT(($A$4:$A168&lt;&gt;"")*($F$4:$F168&lt;&gt;"أحد الشركاء")*((($D$4:$D168&lt;&gt;"")+($E$4:$E168&lt;&gt;""))&gt;0)))</f>
        <v>144</v>
      </c>
      <c r="Q168" t="str">
        <f>IF(OR($A168="",$F168&lt;&gt;"أحد الشركاء"),"",COUNTIFS($A$4:A168,"&lt;&gt;",$F$4:F168,"أحد الشركاء"))</f>
        <v/>
      </c>
    </row>
    <row r="169" spans="1:17" ht="18.75" customHeight="1" x14ac:dyDescent="0.25">
      <c r="A169" s="25">
        <v>46263</v>
      </c>
      <c r="B169" s="36" t="s">
        <v>380</v>
      </c>
      <c r="C169" s="27" t="s">
        <v>381</v>
      </c>
      <c r="D169" s="28"/>
      <c r="E169" s="29">
        <v>400</v>
      </c>
      <c r="F169" s="30" t="s">
        <v>38</v>
      </c>
      <c r="G169" s="31"/>
      <c r="H169" s="32" t="s">
        <v>40</v>
      </c>
      <c r="I169" s="33"/>
      <c r="J169" s="34">
        <f>IF(AND(D169="",E169="",A169="",B169="",C169=""),"", IFERROR(IF(J168="",D2,J168),D2)+IF(OR(E169="",H169="معلق"),0,E169)-IF(OR(G169="أبو اسحاق",G169="أبو آدم",G169="أبو اسحاق ",G169="أبو آدم "),0,IF(D169="",0,D169)))</f>
        <v>576.69500000000005</v>
      </c>
      <c r="K169" s="35"/>
      <c r="L169">
        <f>IF(E168&gt;0,COUNTIF($E$4:E168,"&gt;0"),"")</f>
        <v>111</v>
      </c>
      <c r="M169" t="str">
        <f>IF(AND(D168&gt;0,G168="المحفظة"),COUNTIFS($D$4:D168,"&gt;"&amp;0,$G$4:G168,"المحفظة"),"")</f>
        <v/>
      </c>
      <c r="N169">
        <f>IF(AND(OR('طباعة كشف الحساب'!$C$2="الكل",MONTH(A169)=IFERROR(MATCH('طباعة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الحساب'!$F$2="الكل",YEAR(A169)=IFERROR(VALUE('طباعة كشف الحساب'!$F$2),0)),A169&lt;&gt;""),IFERROR(MAX($N$4:N168),0)+1,"")</f>
        <v>33</v>
      </c>
      <c r="O169" t="str">
        <f>IF(AND(D168&gt;0,F168="أحد الشركاء"),COUNTIFS($D$4:D168,"&gt;"&amp;0,$F$4:F168,"أحد الشركاء"),"")</f>
        <v/>
      </c>
      <c r="P169">
        <f>IF(OR($A169="",$F169="أحد الشركاء",AND($D169="",$E169="")),"",SUMPRODUCT(($A$4:$A169&lt;&gt;"")*($F$4:$F169&lt;&gt;"أحد الشركاء")*((($D$4:$D169&lt;&gt;"")+($E$4:$E169&lt;&gt;""))&gt;0)))</f>
        <v>145</v>
      </c>
      <c r="Q169" t="str">
        <f>IF(OR($A169="",$F169&lt;&gt;"أحد الشركاء"),"",COUNTIFS($A$4:A169,"&lt;&gt;",$F$4:F169,"أحد الشركاء"))</f>
        <v/>
      </c>
    </row>
    <row r="170" spans="1:17" ht="18.75" customHeight="1" x14ac:dyDescent="0.25">
      <c r="A170" s="139">
        <v>46263</v>
      </c>
      <c r="B170" s="36"/>
      <c r="C170" s="37" t="s">
        <v>382</v>
      </c>
      <c r="D170" s="38">
        <v>15</v>
      </c>
      <c r="E170" s="39"/>
      <c r="F170" s="136" t="s">
        <v>38</v>
      </c>
      <c r="G170" s="40" t="s">
        <v>39</v>
      </c>
      <c r="H170" s="41" t="s">
        <v>40</v>
      </c>
      <c r="I170" s="42"/>
      <c r="J170" s="43">
        <f>IF(AND(D170="",E170="",A170="",B170="",C170=""),"", IFERROR(IF(J169="",D2,J169),D2)+IF(OR(E170="",H170="معلق"),0,E170)-IF(OR(G170="أبو اسحاق",G170="أبو آدم",G170="أبو اسحاق ",G170="أبو آدم "),0,IF(D170="",0,D170)))</f>
        <v>561.69500000000005</v>
      </c>
      <c r="K170" s="44"/>
      <c r="L170">
        <f>IF(E169&gt;0,COUNTIF($E$4:E169,"&gt;0"),"")</f>
        <v>112</v>
      </c>
      <c r="M170" t="str">
        <f>IF(AND(D169&gt;0,G169="المحفظة"),COUNTIFS($D$4:D169,"&gt;"&amp;0,$G$4:G169,"المحفظة"),"")</f>
        <v/>
      </c>
      <c r="N170">
        <f>IF(AND(OR('طباعة كشف الحساب'!$C$2="الكل",MONTH(A170)=IFERROR(MATCH('طباعة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الحساب'!$F$2="الكل",YEAR(A170)=IFERROR(VALUE('طباعة كشف الحساب'!$F$2),0)),A170&lt;&gt;""),IFERROR(MAX($N$4:N169),0)+1,"")</f>
        <v>34</v>
      </c>
      <c r="O170" t="str">
        <f>IF(AND(D169&gt;0,F169="أحد الشركاء"),COUNTIFS($D$4:D169,"&gt;"&amp;0,$F$4:F169,"أحد الشركاء"),"")</f>
        <v/>
      </c>
      <c r="P170">
        <f>IF(OR($A170="",$F170="أحد الشركاء",AND($D170="",$E170="")),"",SUMPRODUCT(($A$4:$A170&lt;&gt;"")*($F$4:$F170&lt;&gt;"أحد الشركاء")*((($D$4:$D170&lt;&gt;"")+($E$4:$E170&lt;&gt;""))&gt;0)))</f>
        <v>146</v>
      </c>
      <c r="Q170" t="str">
        <f>IF(OR($A170="",$F170&lt;&gt;"أحد الشركاء"),"",COUNTIFS($A$4:A170,"&lt;&gt;",$F$4:F170,"أحد الشركاء"))</f>
        <v/>
      </c>
    </row>
    <row r="171" spans="1:17" ht="18.75" customHeight="1" x14ac:dyDescent="0.25">
      <c r="A171" s="25">
        <v>46263</v>
      </c>
      <c r="B171" s="26"/>
      <c r="C171" s="27" t="s">
        <v>383</v>
      </c>
      <c r="D171" s="28">
        <v>24</v>
      </c>
      <c r="E171" s="29"/>
      <c r="F171" s="30" t="s">
        <v>38</v>
      </c>
      <c r="G171" s="31" t="s">
        <v>39</v>
      </c>
      <c r="H171" s="32" t="s">
        <v>40</v>
      </c>
      <c r="I171" s="33"/>
      <c r="J171" s="34">
        <f>IF(AND(D171="",E171="",A171="",B171="",C171=""),"", IFERROR(IF(J170="",D2,J170),D2)+IF(OR(E171="",H171="معلق"),0,E171)-IF(OR(G171="أبو اسحاق",G171="أبو آدم",G171="أبو اسحاق ",G171="أبو آدم "),0,IF(D171="",0,D171)))</f>
        <v>537.69500000000005</v>
      </c>
      <c r="K171" s="35"/>
      <c r="L171" t="str">
        <f>IF(E170&gt;0,COUNTIF($E$4:E170,"&gt;0"),"")</f>
        <v/>
      </c>
      <c r="M171">
        <f>IF(AND(D170&gt;0,G170="المحفظة"),COUNTIFS($D$4:D170,"&gt;"&amp;0,$G$4:G170,"المحفظة"),"")</f>
        <v>34</v>
      </c>
      <c r="N171">
        <f>IF(AND(OR('طباعة كشف الحساب'!$C$2="الكل",MONTH(A171)=IFERROR(MATCH('طباعة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الحساب'!$F$2="الكل",YEAR(A171)=IFERROR(VALUE('طباعة كشف الحساب'!$F$2),0)),A171&lt;&gt;""),IFERROR(MAX($N$4:N170),0)+1,"")</f>
        <v>35</v>
      </c>
      <c r="O171" t="str">
        <f>IF(AND(D170&gt;0,F170="أحد الشركاء"),COUNTIFS($D$4:D170,"&gt;"&amp;0,$F$4:F170,"أحد الشركاء"),"")</f>
        <v/>
      </c>
      <c r="P171">
        <f>IF(OR($A171="",$F171="أحد الشركاء",AND($D171="",$E171="")),"",SUMPRODUCT(($A$4:$A171&lt;&gt;"")*($F$4:$F171&lt;&gt;"أحد الشركاء")*((($D$4:$D171&lt;&gt;"")+($E$4:$E171&lt;&gt;""))&gt;0)))</f>
        <v>147</v>
      </c>
      <c r="Q171" t="str">
        <f>IF(OR($A171="",$F171&lt;&gt;"أحد الشركاء"),"",COUNTIFS($A$4:A171,"&lt;&gt;",$F$4:F171,"أحد الشركاء"))</f>
        <v/>
      </c>
    </row>
    <row r="172" spans="1:17" ht="18.75" customHeight="1" x14ac:dyDescent="0.25">
      <c r="A172" s="139">
        <v>46264</v>
      </c>
      <c r="B172" s="36" t="s">
        <v>384</v>
      </c>
      <c r="C172" s="37" t="s">
        <v>385</v>
      </c>
      <c r="D172" s="38"/>
      <c r="E172" s="39">
        <v>16</v>
      </c>
      <c r="F172" s="136" t="s">
        <v>38</v>
      </c>
      <c r="G172" s="40"/>
      <c r="H172" s="41" t="s">
        <v>40</v>
      </c>
      <c r="I172" s="42"/>
      <c r="J172" s="43">
        <f>IF(AND(D172="",E172="",A172="",B172="",C172=""),"", IFERROR(IF(J171="",D2,J171),D2)+IF(OR(E172="",H172="معلق"),0,E172)-IF(OR(G172="أبو اسحاق",G172="أبو آدم",G172="أبو اسحاق ",G172="أبو آدم "),0,IF(D172="",0,D172)))</f>
        <v>553.69500000000005</v>
      </c>
      <c r="K172" s="44"/>
      <c r="L172" t="str">
        <f>IF(E171&gt;0,COUNTIF($E$4:E171,"&gt;0"),"")</f>
        <v/>
      </c>
      <c r="M172">
        <f>IF(AND(D171&gt;0,G171="المحفظة"),COUNTIFS($D$4:D171,"&gt;"&amp;0,$G$4:G171,"المحفظة"),"")</f>
        <v>35</v>
      </c>
      <c r="N172">
        <f>IF(AND(OR('طباعة كشف الحساب'!$C$2="الكل",MONTH(A172)=IFERROR(MATCH('طباعة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الحساب'!$F$2="الكل",YEAR(A172)=IFERROR(VALUE('طباعة كشف الحساب'!$F$2),0)),A172&lt;&gt;""),IFERROR(MAX($N$4:N171),0)+1,"")</f>
        <v>36</v>
      </c>
      <c r="O172" t="str">
        <f>IF(AND(D171&gt;0,F171="أحد الشركاء"),COUNTIFS($D$4:D171,"&gt;"&amp;0,$F$4:F171,"أحد الشركاء"),"")</f>
        <v/>
      </c>
      <c r="P172">
        <f>IF(OR($A172="",$F172="أحد الشركاء",AND($D172="",$E172="")),"",SUMPRODUCT(($A$4:$A172&lt;&gt;"")*($F$4:$F172&lt;&gt;"أحد الشركاء")*((($D$4:$D172&lt;&gt;"")+($E$4:$E172&lt;&gt;""))&gt;0)))</f>
        <v>148</v>
      </c>
      <c r="Q172" t="str">
        <f>IF(OR($A172="",$F172&lt;&gt;"أحد الشركاء"),"",COUNTIFS($A$4:A172,"&lt;&gt;",$F$4:F172,"أحد الشركاء"))</f>
        <v/>
      </c>
    </row>
    <row r="173" spans="1:17" ht="18.75" customHeight="1" x14ac:dyDescent="0.25">
      <c r="A173" s="25">
        <v>46264</v>
      </c>
      <c r="B173" s="36" t="s">
        <v>386</v>
      </c>
      <c r="C173" s="27" t="s">
        <v>387</v>
      </c>
      <c r="D173" s="28"/>
      <c r="E173" s="29">
        <v>15</v>
      </c>
      <c r="F173" s="30" t="s">
        <v>38</v>
      </c>
      <c r="G173" s="31"/>
      <c r="H173" s="32" t="s">
        <v>40</v>
      </c>
      <c r="I173" s="33"/>
      <c r="J173" s="34">
        <f>IF(AND(D173="",E173="",A173="",B173="",C173=""),"", IFERROR(IF(J172="",D2,J172),D2)+IF(OR(E173="",H173="معلق"),0,E173)-IF(OR(G173="أبو اسحاق",G173="أبو آدم",G173="أبو اسحاق ",G173="أبو آدم "),0,IF(D173="",0,D173)))</f>
        <v>568.69500000000005</v>
      </c>
      <c r="K173" s="35"/>
      <c r="L173">
        <f>IF(E172&gt;0,COUNTIF($E$4:E172,"&gt;0"),"")</f>
        <v>113</v>
      </c>
      <c r="M173" t="str">
        <f>IF(AND(D172&gt;0,G172="المحفظة"),COUNTIFS($D$4:D172,"&gt;"&amp;0,$G$4:G172,"المحفظة"),"")</f>
        <v/>
      </c>
      <c r="N173">
        <f>IF(AND(OR('طباعة كشف الحساب'!$C$2="الكل",MONTH(A173)=IFERROR(MATCH('طباعة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الحساب'!$F$2="الكل",YEAR(A173)=IFERROR(VALUE('طباعة كشف الحساب'!$F$2),0)),A173&lt;&gt;""),IFERROR(MAX($N$4:N172),0)+1,"")</f>
        <v>37</v>
      </c>
      <c r="O173" t="str">
        <f>IF(AND(D172&gt;0,F172="أحد الشركاء"),COUNTIFS($D$4:D172,"&gt;"&amp;0,$F$4:F172,"أحد الشركاء"),"")</f>
        <v/>
      </c>
      <c r="P173">
        <f>IF(OR($A173="",$F173="أحد الشركاء",AND($D173="",$E173="")),"",SUMPRODUCT(($A$4:$A173&lt;&gt;"")*($F$4:$F173&lt;&gt;"أحد الشركاء")*((($D$4:$D173&lt;&gt;"")+($E$4:$E173&lt;&gt;""))&gt;0)))</f>
        <v>149</v>
      </c>
      <c r="Q173" t="str">
        <f>IF(OR($A173="",$F173&lt;&gt;"أحد الشركاء"),"",COUNTIFS($A$4:A173,"&lt;&gt;",$F$4:F173,"أحد الشركاء"))</f>
        <v/>
      </c>
    </row>
    <row r="174" spans="1:17" ht="18.75" customHeight="1" x14ac:dyDescent="0.25">
      <c r="A174" s="139">
        <v>46264</v>
      </c>
      <c r="B174" s="36" t="s">
        <v>388</v>
      </c>
      <c r="C174" s="37" t="s">
        <v>389</v>
      </c>
      <c r="D174" s="38"/>
      <c r="E174" s="39">
        <v>17</v>
      </c>
      <c r="F174" s="136" t="s">
        <v>38</v>
      </c>
      <c r="G174" s="40"/>
      <c r="H174" s="41" t="s">
        <v>40</v>
      </c>
      <c r="I174" s="42"/>
      <c r="J174" s="43">
        <f>IF(AND(D174="",E174="",A174="",B174="",C174=""),"", IFERROR(IF(J173="",D2,J173),D2)+IF(OR(E174="",H174="معلق"),0,E174)-IF(OR(G174="أبو اسحاق",G174="أبو آدم",G174="أبو اسحاق ",G174="أبو آدم "),0,IF(D174="",0,D174)))</f>
        <v>585.69500000000005</v>
      </c>
      <c r="K174" s="44"/>
      <c r="L174">
        <f>IF(E173&gt;0,COUNTIF($E$4:E173,"&gt;0"),"")</f>
        <v>114</v>
      </c>
      <c r="M174" t="str">
        <f>IF(AND(D173&gt;0,G173="المحفظة"),COUNTIFS($D$4:D173,"&gt;"&amp;0,$G$4:G173,"المحفظة"),"")</f>
        <v/>
      </c>
      <c r="N174">
        <f>IF(AND(OR('طباعة كشف الحساب'!$C$2="الكل",MONTH(A174)=IFERROR(MATCH('طباعة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الحساب'!$F$2="الكل",YEAR(A174)=IFERROR(VALUE('طباعة كشف الحساب'!$F$2),0)),A174&lt;&gt;""),IFERROR(MAX($N$4:N173),0)+1,"")</f>
        <v>38</v>
      </c>
      <c r="O174" t="str">
        <f>IF(AND(D173&gt;0,F173="أحد الشركاء"),COUNTIFS($D$4:D173,"&gt;"&amp;0,$F$4:F173,"أحد الشركاء"),"")</f>
        <v/>
      </c>
      <c r="P174">
        <f>IF(OR($A174="",$F174="أحد الشركاء",AND($D174="",$E174="")),"",SUMPRODUCT(($A$4:$A174&lt;&gt;"")*($F$4:$F174&lt;&gt;"أحد الشركاء")*((($D$4:$D174&lt;&gt;"")+($E$4:$E174&lt;&gt;""))&gt;0)))</f>
        <v>150</v>
      </c>
      <c r="Q174" t="str">
        <f>IF(OR($A174="",$F174&lt;&gt;"أحد الشركاء"),"",COUNTIFS($A$4:A174,"&lt;&gt;",$F$4:F174,"أحد الشركاء"))</f>
        <v/>
      </c>
    </row>
    <row r="175" spans="1:17" ht="18.75" customHeight="1" x14ac:dyDescent="0.25">
      <c r="A175" s="25">
        <v>46264</v>
      </c>
      <c r="B175" s="36" t="s">
        <v>390</v>
      </c>
      <c r="C175" s="27" t="s">
        <v>391</v>
      </c>
      <c r="D175" s="28"/>
      <c r="E175" s="29">
        <v>9.75</v>
      </c>
      <c r="F175" s="30" t="s">
        <v>38</v>
      </c>
      <c r="G175" s="31"/>
      <c r="H175" s="32" t="s">
        <v>40</v>
      </c>
      <c r="I175" s="33"/>
      <c r="J175" s="34">
        <f>IF(AND(D175="",E175="",A175="",B175="",C175=""),"", IFERROR(IF(J174="",D2,J174),D2)+IF(OR(E175="",H175="معلق"),0,E175)-IF(OR(G175="أبو اسحاق",G175="أبو آدم",G175="أبو اسحاق ",G175="أبو آدم "),0,IF(D175="",0,D175)))</f>
        <v>595.44500000000005</v>
      </c>
      <c r="K175" s="35"/>
      <c r="L175">
        <f>IF(E174&gt;0,COUNTIF($E$4:E174,"&gt;0"),"")</f>
        <v>115</v>
      </c>
      <c r="M175" t="str">
        <f>IF(AND(D174&gt;0,G174="المحفظة"),COUNTIFS($D$4:D174,"&gt;"&amp;0,$G$4:G174,"المحفظة"),"")</f>
        <v/>
      </c>
      <c r="N175">
        <f>IF(AND(OR('طباعة كشف الحساب'!$C$2="الكل",MONTH(A175)=IFERROR(MATCH('طباعة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الحساب'!$F$2="الكل",YEAR(A175)=IFERROR(VALUE('طباعة كشف الحساب'!$F$2),0)),A175&lt;&gt;""),IFERROR(MAX($N$4:N174),0)+1,"")</f>
        <v>39</v>
      </c>
      <c r="O175" t="str">
        <f>IF(AND(D174&gt;0,F174="أحد الشركاء"),COUNTIFS($D$4:D174,"&gt;"&amp;0,$F$4:F174,"أحد الشركاء"),"")</f>
        <v/>
      </c>
      <c r="P175">
        <f>IF(OR($A175="",$F175="أحد الشركاء",AND($D175="",$E175="")),"",SUMPRODUCT(($A$4:$A175&lt;&gt;"")*($F$4:$F175&lt;&gt;"أحد الشركاء")*((($D$4:$D175&lt;&gt;"")+($E$4:$E175&lt;&gt;""))&gt;0)))</f>
        <v>151</v>
      </c>
      <c r="Q175" t="str">
        <f>IF(OR($A175="",$F175&lt;&gt;"أحد الشركاء"),"",COUNTIFS($A$4:A175,"&lt;&gt;",$F$4:F175,"أحد الشركاء"))</f>
        <v/>
      </c>
    </row>
    <row r="176" spans="1:17" ht="18.75" customHeight="1" x14ac:dyDescent="0.25">
      <c r="A176" s="139">
        <v>46264</v>
      </c>
      <c r="B176" s="36" t="s">
        <v>392</v>
      </c>
      <c r="C176" s="37" t="s">
        <v>393</v>
      </c>
      <c r="D176" s="38"/>
      <c r="E176" s="39">
        <v>7.5</v>
      </c>
      <c r="F176" s="136" t="s">
        <v>38</v>
      </c>
      <c r="G176" s="40"/>
      <c r="H176" s="41" t="s">
        <v>40</v>
      </c>
      <c r="I176" s="42"/>
      <c r="J176" s="43">
        <f>IF(AND(D176="",E176="",A176="",B176="",C176=""),"", IFERROR(IF(J175="",D2,J175),D2)+IF(OR(E176="",H176="معلق"),0,E176)-IF(OR(G176="أبو اسحاق",G176="أبو آدم",G176="أبو اسحاق ",G176="أبو آدم "),0,IF(D176="",0,D176)))</f>
        <v>602.94500000000005</v>
      </c>
      <c r="K176" s="44"/>
      <c r="L176">
        <f>IF(E175&gt;0,COUNTIF($E$4:E175,"&gt;0"),"")</f>
        <v>116</v>
      </c>
      <c r="M176" t="str">
        <f>IF(AND(D175&gt;0,G175="المحفظة"),COUNTIFS($D$4:D175,"&gt;"&amp;0,$G$4:G175,"المحفظة"),"")</f>
        <v/>
      </c>
      <c r="N176">
        <f>IF(AND(OR('طباعة كشف الحساب'!$C$2="الكل",MONTH(A176)=IFERROR(MATCH('طباعة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الحساب'!$F$2="الكل",YEAR(A176)=IFERROR(VALUE('طباعة كشف الحساب'!$F$2),0)),A176&lt;&gt;""),IFERROR(MAX($N$4:N175),0)+1,"")</f>
        <v>40</v>
      </c>
      <c r="O176" t="str">
        <f>IF(AND(D175&gt;0,F175="أحد الشركاء"),COUNTIFS($D$4:D175,"&gt;"&amp;0,$F$4:F175,"أحد الشركاء"),"")</f>
        <v/>
      </c>
      <c r="P176">
        <f>IF(OR($A176="",$F176="أحد الشركاء",AND($D176="",$E176="")),"",SUMPRODUCT(($A$4:$A176&lt;&gt;"")*($F$4:$F176&lt;&gt;"أحد الشركاء")*((($D$4:$D176&lt;&gt;"")+($E$4:$E176&lt;&gt;""))&gt;0)))</f>
        <v>152</v>
      </c>
      <c r="Q176" t="str">
        <f>IF(OR($A176="",$F176&lt;&gt;"أحد الشركاء"),"",COUNTIFS($A$4:A176,"&lt;&gt;",$F$4:F176,"أحد الشركاء"))</f>
        <v/>
      </c>
    </row>
    <row r="177" spans="1:17" ht="18.75" customHeight="1" x14ac:dyDescent="0.25">
      <c r="A177" s="25">
        <v>46264</v>
      </c>
      <c r="B177" s="26"/>
      <c r="C177" s="27" t="s">
        <v>394</v>
      </c>
      <c r="D177" s="28">
        <v>35</v>
      </c>
      <c r="E177" s="29"/>
      <c r="F177" s="30" t="s">
        <v>38</v>
      </c>
      <c r="G177" s="31" t="s">
        <v>39</v>
      </c>
      <c r="H177" s="32" t="s">
        <v>40</v>
      </c>
      <c r="I177" s="33"/>
      <c r="J177" s="34">
        <f>IF(AND(D177="",E177="",A177="",B177="",C177=""),"", IFERROR(IF(J176="",D2,J176),D2)+IF(OR(E177="",H177="معلق"),0,E177)-IF(OR(G177="أبو اسحاق",G177="أبو آدم",G177="أبو اسحاق ",G177="أبو آدم "),0,IF(D177="",0,D177)))</f>
        <v>567.94500000000005</v>
      </c>
      <c r="K177" s="35"/>
      <c r="L177">
        <f>IF(E176&gt;0,COUNTIF($E$4:E176,"&gt;0"),"")</f>
        <v>117</v>
      </c>
      <c r="M177" t="str">
        <f>IF(AND(D176&gt;0,G176="المحفظة"),COUNTIFS($D$4:D176,"&gt;"&amp;0,$G$4:G176,"المحفظة"),"")</f>
        <v/>
      </c>
      <c r="N177">
        <f>IF(AND(OR('طباعة كشف الحساب'!$C$2="الكل",MONTH(A177)=IFERROR(MATCH('طباعة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الحساب'!$F$2="الكل",YEAR(A177)=IFERROR(VALUE('طباعة كشف الحساب'!$F$2),0)),A177&lt;&gt;""),IFERROR(MAX($N$4:N176),0)+1,"")</f>
        <v>41</v>
      </c>
      <c r="O177" t="str">
        <f>IF(AND(D176&gt;0,F176="أحد الشركاء"),COUNTIFS($D$4:D176,"&gt;"&amp;0,$F$4:F176,"أحد الشركاء"),"")</f>
        <v/>
      </c>
      <c r="P177">
        <f>IF(OR($A177="",$F177="أحد الشركاء",AND($D177="",$E177="")),"",SUMPRODUCT(($A$4:$A177&lt;&gt;"")*($F$4:$F177&lt;&gt;"أحد الشركاء")*((($D$4:$D177&lt;&gt;"")+($E$4:$E177&lt;&gt;""))&gt;0)))</f>
        <v>153</v>
      </c>
      <c r="Q177" t="str">
        <f>IF(OR($A177="",$F177&lt;&gt;"أحد الشركاء"),"",COUNTIFS($A$4:A177,"&lt;&gt;",$F$4:F177,"أحد الشركاء"))</f>
        <v/>
      </c>
    </row>
    <row r="178" spans="1:17" ht="18.75" customHeight="1" x14ac:dyDescent="0.25">
      <c r="A178" s="139">
        <v>46265</v>
      </c>
      <c r="B178" s="36"/>
      <c r="C178" s="37" t="s">
        <v>395</v>
      </c>
      <c r="D178" s="38">
        <v>470</v>
      </c>
      <c r="E178" s="39"/>
      <c r="F178" s="136" t="s">
        <v>38</v>
      </c>
      <c r="G178" s="40" t="s">
        <v>39</v>
      </c>
      <c r="H178" s="41" t="s">
        <v>40</v>
      </c>
      <c r="I178" s="42"/>
      <c r="J178" s="43">
        <f>IF(AND(D178="",E178="",A178="",B178="",C178=""),"", IFERROR(IF(J177="",D2,J177),D2)+IF(OR(E178="",H178="معلق"),0,E178)-IF(OR(G178="أبو اسحاق",G178="أبو آدم",G178="أبو اسحاق ",G178="أبو آدم "),0,IF(D178="",0,D178)))</f>
        <v>97.94500000000005</v>
      </c>
      <c r="K178" s="44"/>
      <c r="L178" t="str">
        <f>IF(E177&gt;0,COUNTIF($E$4:E177,"&gt;0"),"")</f>
        <v/>
      </c>
      <c r="M178">
        <f>IF(AND(D177&gt;0,G177="المحفظة"),COUNTIFS($D$4:D177,"&gt;"&amp;0,$G$4:G177,"المحفظة"),"")</f>
        <v>36</v>
      </c>
      <c r="N178">
        <f>IF(AND(OR('طباعة كشف الحساب'!$C$2="الكل",MONTH(A178)=IFERROR(MATCH('طباعة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الحساب'!$F$2="الكل",YEAR(A178)=IFERROR(VALUE('طباعة كشف الحساب'!$F$2),0)),A178&lt;&gt;""),IFERROR(MAX($N$4:N177),0)+1,"")</f>
        <v>42</v>
      </c>
      <c r="O178" t="str">
        <f>IF(AND(D177&gt;0,F177="أحد الشركاء"),COUNTIFS($D$4:D177,"&gt;"&amp;0,$F$4:F177,"أحد الشركاء"),"")</f>
        <v/>
      </c>
      <c r="P178">
        <f>IF(OR($A178="",$F178="أحد الشركاء",AND($D178="",$E178="")),"",SUMPRODUCT(($A$4:$A178&lt;&gt;"")*($F$4:$F178&lt;&gt;"أحد الشركاء")*((($D$4:$D178&lt;&gt;"")+($E$4:$E178&lt;&gt;""))&gt;0)))</f>
        <v>154</v>
      </c>
      <c r="Q178" t="str">
        <f>IF(OR($A178="",$F178&lt;&gt;"أحد الشركاء"),"",COUNTIFS($A$4:A178,"&lt;&gt;",$F$4:F178,"أحد الشركاء"))</f>
        <v/>
      </c>
    </row>
    <row r="179" spans="1:17" ht="18.75" customHeight="1" x14ac:dyDescent="0.25">
      <c r="A179" s="149">
        <v>46265</v>
      </c>
      <c r="B179" s="26"/>
      <c r="C179" s="27" t="s">
        <v>396</v>
      </c>
      <c r="D179" s="28">
        <v>62.5</v>
      </c>
      <c r="E179" s="29"/>
      <c r="F179" s="30"/>
      <c r="G179" s="31" t="s">
        <v>39</v>
      </c>
      <c r="H179" s="32" t="s">
        <v>40</v>
      </c>
      <c r="I179" s="33"/>
      <c r="J179" s="34">
        <f>IF(AND(D179="",E179="",A179="",B179="",C179=""),"", IFERROR(IF(J178="",D2,J178),D2)+IF(OR(E179="",H179="معلق"),0,E179)-IF(OR(G179="أبو اسحاق",G179="أبو آدم",G179="أبو اسحاق ",G179="أبو آدم "),0,IF(D179="",0,D179)))</f>
        <v>35.44500000000005</v>
      </c>
      <c r="K179" s="35"/>
      <c r="L179" t="str">
        <f>IF(E178&gt;0,COUNTIF($E$4:E178,"&gt;0"),"")</f>
        <v/>
      </c>
      <c r="M179">
        <f>IF(AND(D178&gt;0,G178="المحفظة"),COUNTIFS($D$4:D178,"&gt;"&amp;0,$G$4:G178,"المحفظة"),"")</f>
        <v>37</v>
      </c>
      <c r="N179">
        <f>IF(AND(OR('طباعة كشف الحساب'!$C$2="الكل",MONTH(A179)=IFERROR(MATCH('طباعة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الحساب'!$F$2="الكل",YEAR(A179)=IFERROR(VALUE('طباعة كشف الحساب'!$F$2),0)),A179&lt;&gt;""),IFERROR(MAX($N$4:N178),0)+1,"")</f>
        <v>43</v>
      </c>
      <c r="O179" t="str">
        <f>IF(AND(D178&gt;0,F178="أحد الشركاء"),COUNTIFS($D$4:D178,"&gt;"&amp;0,$F$4:F178,"أحد الشركاء"),"")</f>
        <v/>
      </c>
      <c r="P179">
        <f>IF(OR($A179="",$F179="أحد الشركاء",AND($D179="",$E179="")),"",SUMPRODUCT(($A$4:$A179&lt;&gt;"")*($F$4:$F179&lt;&gt;"أحد الشركاء")*((($D$4:$D179&lt;&gt;"")+($E$4:$E179&lt;&gt;""))&gt;0)))</f>
        <v>155</v>
      </c>
      <c r="Q179" t="str">
        <f>IF(OR($A179="",$F179&lt;&gt;"أحد الشركاء"),"",COUNTIFS($A$4:A179,"&lt;&gt;",$F$4:F179,"أحد الشركاء"))</f>
        <v/>
      </c>
    </row>
    <row r="180" spans="1:17" ht="18.75" customHeight="1" x14ac:dyDescent="0.25">
      <c r="A180" s="150">
        <v>46265</v>
      </c>
      <c r="B180" s="36" t="s">
        <v>397</v>
      </c>
      <c r="C180" s="37" t="s">
        <v>121</v>
      </c>
      <c r="D180" s="38"/>
      <c r="E180" s="39">
        <v>2</v>
      </c>
      <c r="F180" s="136" t="s">
        <v>172</v>
      </c>
      <c r="G180" s="40"/>
      <c r="H180" s="41" t="s">
        <v>40</v>
      </c>
      <c r="I180" s="42"/>
      <c r="J180" s="43">
        <f>IF(AND(D180="",E180="",A180="",B180="",C180=""),"", IFERROR(IF(J179="",D2,J179),D2)+IF(OR(E180="",H180="معلق"),0,E180)-IF(OR(G180="أبو اسحاق",G180="أبو آدم",G180="أبو اسحاق ",G180="أبو آدم "),0,IF(D180="",0,D180)))</f>
        <v>37.44500000000005</v>
      </c>
      <c r="K180" s="44"/>
      <c r="L180" t="str">
        <f>IF(E179&gt;0,COUNTIF($E$4:E179,"&gt;0"),"")</f>
        <v/>
      </c>
      <c r="M180">
        <f>IF(AND(D179&gt;0,G179="المحفظة"),COUNTIFS($D$4:D179,"&gt;"&amp;0,$G$4:G179,"المحفظة"),"")</f>
        <v>38</v>
      </c>
      <c r="N180">
        <f>IF(AND(OR('طباعة كشف الحساب'!$C$2="الكل",MONTH(A180)=IFERROR(MATCH('طباعة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الحساب'!$F$2="الكل",YEAR(A180)=IFERROR(VALUE('طباعة كشف الحساب'!$F$2),0)),A180&lt;&gt;""),IFERROR(MAX($N$4:N179),0)+1,"")</f>
        <v>44</v>
      </c>
      <c r="O180" t="str">
        <f>IF(AND(D179&gt;0,F179="أحد الشركاء"),COUNTIFS($D$4:D179,"&gt;"&amp;0,$F$4:F179,"أحد الشركاء"),"")</f>
        <v/>
      </c>
      <c r="P180">
        <f>IF(OR($A180="",$F180="أحد الشركاء",AND($D180="",$E180="")),"",SUMPRODUCT(($A$4:$A180&lt;&gt;"")*($F$4:$F180&lt;&gt;"أحد الشركاء")*((($D$4:$D180&lt;&gt;"")+($E$4:$E180&lt;&gt;""))&gt;0)))</f>
        <v>156</v>
      </c>
      <c r="Q180" t="str">
        <f>IF(OR($A180="",$F180&lt;&gt;"أحد الشركاء"),"",COUNTIFS($A$4:A180,"&lt;&gt;",$F$4:F180,"أحد الشركاء"))</f>
        <v/>
      </c>
    </row>
    <row r="181" spans="1:17" ht="18.75" customHeight="1" x14ac:dyDescent="0.25">
      <c r="A181" s="25">
        <v>46268</v>
      </c>
      <c r="B181" s="36" t="s">
        <v>398</v>
      </c>
      <c r="C181" s="27" t="s">
        <v>399</v>
      </c>
      <c r="D181" s="28"/>
      <c r="E181" s="29">
        <v>270</v>
      </c>
      <c r="F181" s="30" t="s">
        <v>38</v>
      </c>
      <c r="G181" s="31"/>
      <c r="H181" s="32" t="s">
        <v>40</v>
      </c>
      <c r="I181" s="33"/>
      <c r="J181" s="34">
        <f>IF(AND(D181="",E181="",A181="",B181="",C181=""),"", IFERROR(IF(J180="",D2,J180),D2)+IF(OR(E181="",H181="معلق"),0,E181)-IF(OR(G181="أبو اسحاق",G181="أبو آدم",G181="أبو اسحاق ",G181="أبو آدم "),0,IF(D181="",0,D181)))</f>
        <v>307.44500000000005</v>
      </c>
      <c r="K181" s="35"/>
      <c r="L181">
        <f>IF(E180&gt;0,COUNTIF($E$4:E180,"&gt;0"),"")</f>
        <v>118</v>
      </c>
      <c r="M181" t="str">
        <f>IF(AND(D180&gt;0,G180="المحفظة"),COUNTIFS($D$4:D180,"&gt;"&amp;0,$G$4:G180,"المحفظة"),"")</f>
        <v/>
      </c>
      <c r="N181" t="str">
        <f>IF(AND(OR('طباعة كشف الحساب'!$C$2="الكل",MONTH(A181)=IFERROR(MATCH('طباعة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الحساب'!$F$2="الكل",YEAR(A181)=IFERROR(VALUE('طباعة كشف الحساب'!$F$2),0)),A181&lt;&gt;""),IFERROR(MAX($N$4:N180),0)+1,"")</f>
        <v/>
      </c>
      <c r="O181" t="str">
        <f>IF(AND(D180&gt;0,F180="أحد الشركاء"),COUNTIFS($D$4:D180,"&gt;"&amp;0,$F$4:F180,"أحد الشركاء"),"")</f>
        <v/>
      </c>
      <c r="P181">
        <f>IF(OR($A181="",$F181="أحد الشركاء",AND($D181="",$E181="")),"",SUMPRODUCT(($A$4:$A181&lt;&gt;"")*($F$4:$F181&lt;&gt;"أحد الشركاء")*((($D$4:$D181&lt;&gt;"")+($E$4:$E181&lt;&gt;""))&gt;0)))</f>
        <v>157</v>
      </c>
      <c r="Q181" t="str">
        <f>IF(OR($A181="",$F181&lt;&gt;"أحد الشركاء"),"",COUNTIFS($A$4:A181,"&lt;&gt;",$F$4:F181,"أحد الشركاء"))</f>
        <v/>
      </c>
    </row>
    <row r="182" spans="1:17" ht="18.75" customHeight="1" x14ac:dyDescent="0.25">
      <c r="A182" s="139">
        <v>46269</v>
      </c>
      <c r="B182" s="36"/>
      <c r="C182" s="37" t="s">
        <v>400</v>
      </c>
      <c r="D182" s="38">
        <v>13.5</v>
      </c>
      <c r="E182" s="39"/>
      <c r="F182" s="136" t="s">
        <v>38</v>
      </c>
      <c r="G182" s="40" t="s">
        <v>39</v>
      </c>
      <c r="H182" s="41" t="s">
        <v>40</v>
      </c>
      <c r="I182" s="42"/>
      <c r="J182" s="43">
        <f>IF(AND(D182="",E182="",A182="",B182="",C182=""),"", IFERROR(IF(J181="",D2,J181),D2)+IF(OR(E182="",H182="معلق"),0,E182)-IF(OR(G182="أبو اسحاق",G182="أبو آدم",G182="أبو اسحاق ",G182="أبو آدم "),0,IF(D182="",0,D182)))</f>
        <v>293.94500000000005</v>
      </c>
      <c r="K182" s="44"/>
      <c r="L182">
        <f>IF(E181&gt;0,COUNTIF($E$4:E181,"&gt;0"),"")</f>
        <v>119</v>
      </c>
      <c r="M182" t="str">
        <f>IF(AND(D181&gt;0,G181="المحفظة"),COUNTIFS($D$4:D181,"&gt;"&amp;0,$G$4:G181,"المحفظة"),"")</f>
        <v/>
      </c>
      <c r="N182" t="str">
        <f>IF(AND(OR('طباعة كشف الحساب'!$C$2="الكل",MONTH(A182)=IFERROR(MATCH('طباعة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الحساب'!$F$2="الكل",YEAR(A182)=IFERROR(VALUE('طباعة كشف الحساب'!$F$2),0)),A182&lt;&gt;""),IFERROR(MAX($N$4:N181),0)+1,"")</f>
        <v/>
      </c>
      <c r="O182" t="str">
        <f>IF(AND(D181&gt;0,F181="أحد الشركاء"),COUNTIFS($D$4:D181,"&gt;"&amp;0,$F$4:F181,"أحد الشركاء"),"")</f>
        <v/>
      </c>
      <c r="P182">
        <f>IF(OR($A182="",$F182="أحد الشركاء",AND($D182="",$E182="")),"",SUMPRODUCT(($A$4:$A182&lt;&gt;"")*($F$4:$F182&lt;&gt;"أحد الشركاء")*((($D$4:$D182&lt;&gt;"")+($E$4:$E182&lt;&gt;""))&gt;0)))</f>
        <v>158</v>
      </c>
      <c r="Q182" t="str">
        <f>IF(OR($A182="",$F182&lt;&gt;"أحد الشركاء"),"",COUNTIFS($A$4:A182,"&lt;&gt;",$F$4:F182,"أحد الشركاء"))</f>
        <v/>
      </c>
    </row>
    <row r="183" spans="1:17" ht="18.75" customHeight="1" x14ac:dyDescent="0.25">
      <c r="A183" s="25">
        <v>46271</v>
      </c>
      <c r="B183" s="36" t="s">
        <v>401</v>
      </c>
      <c r="C183" s="27" t="s">
        <v>402</v>
      </c>
      <c r="D183" s="28"/>
      <c r="E183" s="29">
        <v>12</v>
      </c>
      <c r="F183" s="30" t="s">
        <v>38</v>
      </c>
      <c r="G183" s="31"/>
      <c r="H183" s="32" t="s">
        <v>40</v>
      </c>
      <c r="I183" s="33"/>
      <c r="J183" s="34">
        <f>IF(AND(D183="",E183="",A183="",B183="",C183=""),"", IFERROR(IF(J182="",D2,J182),D2)+IF(OR(E183="",H183="معلق"),0,E183)-IF(OR(G183="أبو اسحاق",G183="أبو آدم",G183="أبو اسحاق ",G183="أبو آدم "),0,IF(D183="",0,D183)))</f>
        <v>305.94500000000005</v>
      </c>
      <c r="K183" s="35"/>
      <c r="L183" t="str">
        <f>IF(E182&gt;0,COUNTIF($E$4:E182,"&gt;0"),"")</f>
        <v/>
      </c>
      <c r="M183">
        <f>IF(AND(D182&gt;0,G182="المحفظة"),COUNTIFS($D$4:D182,"&gt;"&amp;0,$G$4:G182,"المحفظة"),"")</f>
        <v>39</v>
      </c>
      <c r="N183" t="str">
        <f>IF(AND(OR('طباعة كشف الحساب'!$C$2="الكل",MONTH(A183)=IFERROR(MATCH('طباعة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الحساب'!$F$2="الكل",YEAR(A183)=IFERROR(VALUE('طباعة كشف الحساب'!$F$2),0)),A183&lt;&gt;""),IFERROR(MAX($N$4:N182),0)+1,"")</f>
        <v/>
      </c>
      <c r="O183" t="str">
        <f>IF(AND(D182&gt;0,F182="أحد الشركاء"),COUNTIFS($D$4:D182,"&gt;"&amp;0,$F$4:F182,"أحد الشركاء"),"")</f>
        <v/>
      </c>
      <c r="P183">
        <f>IF(OR($A183="",$F183="أحد الشركاء",AND($D183="",$E183="")),"",SUMPRODUCT(($A$4:$A183&lt;&gt;"")*($F$4:$F183&lt;&gt;"أحد الشركاء")*((($D$4:$D183&lt;&gt;"")+($E$4:$E183&lt;&gt;""))&gt;0)))</f>
        <v>159</v>
      </c>
      <c r="Q183" t="str">
        <f>IF(OR($A183="",$F183&lt;&gt;"أحد الشركاء"),"",COUNTIFS($A$4:A183,"&lt;&gt;",$F$4:F183,"أحد الشركاء"))</f>
        <v/>
      </c>
    </row>
    <row r="184" spans="1:17" ht="18.75" customHeight="1" x14ac:dyDescent="0.25">
      <c r="A184" s="25">
        <v>46271</v>
      </c>
      <c r="B184" s="36" t="s">
        <v>403</v>
      </c>
      <c r="C184" s="37" t="s">
        <v>98</v>
      </c>
      <c r="D184" s="38"/>
      <c r="E184" s="39">
        <v>3</v>
      </c>
      <c r="F184" s="136" t="s">
        <v>38</v>
      </c>
      <c r="G184" s="40"/>
      <c r="H184" s="41" t="s">
        <v>40</v>
      </c>
      <c r="I184" s="42"/>
      <c r="J184" s="43">
        <f>IF(AND(D184="",E184="",A184="",B184="",C184=""),"", IFERROR(IF(J183="",D2,J183),D2)+IF(OR(E184="",H184="معلق"),0,E184)-IF(OR(G184="أبو اسحاق",G184="أبو آدم",G184="أبو اسحاق ",G184="أبو آدم "),0,IF(D184="",0,D184)))</f>
        <v>308.94500000000005</v>
      </c>
      <c r="K184" s="44"/>
      <c r="L184">
        <f>IF(E183&gt;0,COUNTIF($E$4:E183,"&gt;0"),"")</f>
        <v>120</v>
      </c>
      <c r="M184" t="str">
        <f>IF(AND(D183&gt;0,G183="المحفظة"),COUNTIFS($D$4:D183,"&gt;"&amp;0,$G$4:G183,"المحفظة"),"")</f>
        <v/>
      </c>
      <c r="N184" t="str">
        <f>IF(AND(OR('طباعة كشف الحساب'!$C$2="الكل",MONTH(A184)=IFERROR(MATCH('طباعة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الحساب'!$F$2="الكل",YEAR(A184)=IFERROR(VALUE('طباعة كشف الحساب'!$F$2),0)),A184&lt;&gt;""),IFERROR(MAX($N$4:N183),0)+1,"")</f>
        <v/>
      </c>
      <c r="O184" t="str">
        <f>IF(AND(D183&gt;0,F183="أحد الشركاء"),COUNTIFS($D$4:D183,"&gt;"&amp;0,$F$4:F183,"أحد الشركاء"),"")</f>
        <v/>
      </c>
      <c r="P184">
        <f>IF(OR($A184="",$F184="أحد الشركاء",AND($D184="",$E184="")),"",SUMPRODUCT(($A$4:$A184&lt;&gt;"")*($F$4:$F184&lt;&gt;"أحد الشركاء")*((($D$4:$D184&lt;&gt;"")+($E$4:$E184&lt;&gt;""))&gt;0)))</f>
        <v>160</v>
      </c>
      <c r="Q184" t="str">
        <f>IF(OR($A184="",$F184&lt;&gt;"أحد الشركاء"),"",COUNTIFS($A$4:A184,"&lt;&gt;",$F$4:F184,"أحد الشركاء"))</f>
        <v/>
      </c>
    </row>
    <row r="185" spans="1:17" ht="18.75" customHeight="1" x14ac:dyDescent="0.25">
      <c r="A185" s="25">
        <v>46271</v>
      </c>
      <c r="B185" s="36" t="s">
        <v>404</v>
      </c>
      <c r="C185" s="27" t="s">
        <v>405</v>
      </c>
      <c r="D185" s="28"/>
      <c r="E185" s="29">
        <v>7</v>
      </c>
      <c r="F185" s="30" t="s">
        <v>38</v>
      </c>
      <c r="G185" s="31"/>
      <c r="H185" s="32" t="s">
        <v>40</v>
      </c>
      <c r="I185" s="33"/>
      <c r="J185" s="34">
        <f>IF(AND(D185="",E185="",A185="",B185="",C185=""),"", IFERROR(IF(J184="",D2,J184),D2)+IF(OR(E185="",H185="معلق"),0,E185)-IF(OR(G185="أبو اسحاق",G185="أبو آدم",G185="أبو اسحاق ",G185="أبو آدم "),0,IF(D185="",0,D185)))</f>
        <v>315.94500000000005</v>
      </c>
      <c r="K185" s="35"/>
      <c r="L185">
        <f>IF(E184&gt;0,COUNTIF($E$4:E184,"&gt;0"),"")</f>
        <v>121</v>
      </c>
      <c r="M185" t="str">
        <f>IF(AND(D184&gt;0,G184="المحفظة"),COUNTIFS($D$4:D184,"&gt;"&amp;0,$G$4:G184,"المحفظة"),"")</f>
        <v/>
      </c>
      <c r="N185" t="str">
        <f>IF(AND(OR('طباعة كشف الحساب'!$C$2="الكل",MONTH(A185)=IFERROR(MATCH('طباعة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الحساب'!$F$2="الكل",YEAR(A185)=IFERROR(VALUE('طباعة كشف الحساب'!$F$2),0)),A185&lt;&gt;""),IFERROR(MAX($N$4:N184),0)+1,"")</f>
        <v/>
      </c>
      <c r="O185" t="str">
        <f>IF(AND(D184&gt;0,F184="أحد الشركاء"),COUNTIFS($D$4:D184,"&gt;"&amp;0,$F$4:F184,"أحد الشركاء"),"")</f>
        <v/>
      </c>
      <c r="P185">
        <f>IF(OR($A185="",$F185="أحد الشركاء",AND($D185="",$E185="")),"",SUMPRODUCT(($A$4:$A185&lt;&gt;"")*($F$4:$F185&lt;&gt;"أحد الشركاء")*((($D$4:$D185&lt;&gt;"")+($E$4:$E185&lt;&gt;""))&gt;0)))</f>
        <v>161</v>
      </c>
      <c r="Q185" t="str">
        <f>IF(OR($A185="",$F185&lt;&gt;"أحد الشركاء"),"",COUNTIFS($A$4:A185,"&lt;&gt;",$F$4:F185,"أحد الشركاء"))</f>
        <v/>
      </c>
    </row>
    <row r="186" spans="1:17" ht="18.75" customHeight="1" x14ac:dyDescent="0.25">
      <c r="A186" s="25">
        <v>46271</v>
      </c>
      <c r="B186" s="36"/>
      <c r="C186" s="37" t="s">
        <v>406</v>
      </c>
      <c r="D186" s="38">
        <v>85</v>
      </c>
      <c r="E186" s="39"/>
      <c r="F186" s="136" t="s">
        <v>38</v>
      </c>
      <c r="G186" s="40" t="s">
        <v>39</v>
      </c>
      <c r="H186" s="41" t="s">
        <v>40</v>
      </c>
      <c r="I186" s="42"/>
      <c r="J186" s="43">
        <f>IF(AND(D186="",E186="",A186="",B186="",C186=""),"", IFERROR(IF(J185="",D2,J185),D2)+IF(OR(E186="",H186="معلق"),0,E186)-IF(OR(G186="أبو اسحاق",G186="أبو آدم",G186="أبو اسحاق ",G186="أبو آدم "),0,IF(D186="",0,D186)))</f>
        <v>230.94500000000005</v>
      </c>
      <c r="K186" s="44"/>
      <c r="L186">
        <f>IF(E185&gt;0,COUNTIF($E$4:E185,"&gt;0"),"")</f>
        <v>122</v>
      </c>
      <c r="M186" t="str">
        <f>IF(AND(D185&gt;0,G185="المحفظة"),COUNTIFS($D$4:D185,"&gt;"&amp;0,$G$4:G185,"المحفظة"),"")</f>
        <v/>
      </c>
      <c r="N186" t="str">
        <f>IF(AND(OR('طباعة كشف الحساب'!$C$2="الكل",MONTH(A186)=IFERROR(MATCH('طباعة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الحساب'!$F$2="الكل",YEAR(A186)=IFERROR(VALUE('طباعة كشف الحساب'!$F$2),0)),A186&lt;&gt;""),IFERROR(MAX($N$4:N185),0)+1,"")</f>
        <v/>
      </c>
      <c r="O186" t="str">
        <f>IF(AND(D185&gt;0,F185="أحد الشركاء"),COUNTIFS($D$4:D185,"&gt;"&amp;0,$F$4:F185,"أحد الشركاء"),"")</f>
        <v/>
      </c>
      <c r="P186">
        <f>IF(OR($A186="",$F186="أحد الشركاء",AND($D186="",$E186="")),"",SUMPRODUCT(($A$4:$A186&lt;&gt;"")*($F$4:$F186&lt;&gt;"أحد الشركاء")*((($D$4:$D186&lt;&gt;"")+($E$4:$E186&lt;&gt;""))&gt;0)))</f>
        <v>162</v>
      </c>
      <c r="Q186" t="str">
        <f>IF(OR($A186="",$F186&lt;&gt;"أحد الشركاء"),"",COUNTIFS($A$4:A186,"&lt;&gt;",$F$4:F186,"أحد الشركاء"))</f>
        <v/>
      </c>
    </row>
    <row r="187" spans="1:17" ht="18.75" customHeight="1" x14ac:dyDescent="0.25">
      <c r="A187" s="25">
        <v>46272</v>
      </c>
      <c r="B187" s="26"/>
      <c r="C187" s="27" t="s">
        <v>350</v>
      </c>
      <c r="D187" s="28">
        <v>2.15</v>
      </c>
      <c r="E187" s="29"/>
      <c r="F187" s="30" t="s">
        <v>38</v>
      </c>
      <c r="G187" s="31"/>
      <c r="H187" s="32" t="s">
        <v>40</v>
      </c>
      <c r="I187" s="33"/>
      <c r="J187" s="34">
        <f>IF(AND(D187="",E187="",A187="",B187="",C187=""),"", IFERROR(IF(J186="",D2,J186),D2)+IF(OR(E187="",H187="معلق"),0,E187)-IF(OR(G187="أبو اسحاق",G187="أبو آدم",G187="أبو اسحاق ",G187="أبو آدم "),0,IF(D187="",0,D187)))</f>
        <v>228.79500000000004</v>
      </c>
      <c r="K187" s="35"/>
      <c r="L187" t="str">
        <f>IF(E186&gt;0,COUNTIF($E$4:E186,"&gt;0"),"")</f>
        <v/>
      </c>
      <c r="M187">
        <f>IF(AND(D186&gt;0,G186="المحفظة"),COUNTIFS($D$4:D186,"&gt;"&amp;0,$G$4:G186,"المحفظة"),"")</f>
        <v>40</v>
      </c>
      <c r="N187" t="str">
        <f>IF(AND(OR('طباعة كشف الحساب'!$C$2="الكل",MONTH(A187)=IFERROR(MATCH('طباعة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الحساب'!$F$2="الكل",YEAR(A187)=IFERROR(VALUE('طباعة كشف الحساب'!$F$2),0)),A187&lt;&gt;""),IFERROR(MAX($N$4:N186),0)+1,"")</f>
        <v/>
      </c>
      <c r="O187" t="str">
        <f>IF(AND(D186&gt;0,F186="أحد الشركاء"),COUNTIFS($D$4:D186,"&gt;"&amp;0,$F$4:F186,"أحد الشركاء"),"")</f>
        <v/>
      </c>
      <c r="P187">
        <f>IF(OR($A187="",$F187="أحد الشركاء",AND($D187="",$E187="")),"",SUMPRODUCT(($A$4:$A187&lt;&gt;"")*($F$4:$F187&lt;&gt;"أحد الشركاء")*((($D$4:$D187&lt;&gt;"")+($E$4:$E187&lt;&gt;""))&gt;0)))</f>
        <v>163</v>
      </c>
      <c r="Q187" t="str">
        <f>IF(OR($A187="",$F187&lt;&gt;"أحد الشركاء"),"",COUNTIFS($A$4:A187,"&lt;&gt;",$F$4:F187,"أحد الشركاء"))</f>
        <v/>
      </c>
    </row>
    <row r="188" spans="1:17" ht="18.75" customHeight="1" x14ac:dyDescent="0.25">
      <c r="A188" s="139">
        <v>46275</v>
      </c>
      <c r="B188" s="36" t="s">
        <v>407</v>
      </c>
      <c r="C188" s="37" t="s">
        <v>408</v>
      </c>
      <c r="D188" s="38"/>
      <c r="E188" s="39">
        <v>5</v>
      </c>
      <c r="F188" s="136" t="s">
        <v>172</v>
      </c>
      <c r="G188" s="40"/>
      <c r="H188" s="41" t="s">
        <v>40</v>
      </c>
      <c r="I188" s="42"/>
      <c r="J188" s="43">
        <f>IF(AND(D188="",E188="",A188="",B188="",C188=""),"", IFERROR(IF(J187="",D2,J187),D2)+IF(OR(E188="",H188="معلق"),0,E188)-IF(OR(G188="أبو اسحاق",G188="أبو آدم",G188="أبو اسحاق ",G188="أبو آدم "),0,IF(D188="",0,D188)))</f>
        <v>233.79500000000004</v>
      </c>
      <c r="K188" s="44"/>
      <c r="L188" t="str">
        <f>IF(E187&gt;0,COUNTIF($E$4:E187,"&gt;0"),"")</f>
        <v/>
      </c>
      <c r="M188" t="str">
        <f>IF(AND(D187&gt;0,G187="المحفظة"),COUNTIFS($D$4:D187,"&gt;"&amp;0,$G$4:G187,"المحفظة"),"")</f>
        <v/>
      </c>
      <c r="N188" t="str">
        <f>IF(AND(OR('طباعة كشف الحساب'!$C$2="الكل",MONTH(A188)=IFERROR(MATCH('طباعة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الحساب'!$F$2="الكل",YEAR(A188)=IFERROR(VALUE('طباعة كشف الحساب'!$F$2),0)),A188&lt;&gt;""),IFERROR(MAX($N$4:N187),0)+1,"")</f>
        <v/>
      </c>
      <c r="O188" t="str">
        <f>IF(AND(D187&gt;0,F187="أحد الشركاء"),COUNTIFS($D$4:D187,"&gt;"&amp;0,$F$4:F187,"أحد الشركاء"),"")</f>
        <v/>
      </c>
      <c r="P188">
        <f>IF(OR($A188="",$F188="أحد الشركاء",AND($D188="",$E188="")),"",SUMPRODUCT(($A$4:$A188&lt;&gt;"")*($F$4:$F188&lt;&gt;"أحد الشركاء")*((($D$4:$D188&lt;&gt;"")+($E$4:$E188&lt;&gt;""))&gt;0)))</f>
        <v>164</v>
      </c>
      <c r="Q188" t="str">
        <f>IF(OR($A188="",$F188&lt;&gt;"أحد الشركاء"),"",COUNTIFS($A$4:A188,"&lt;&gt;",$F$4:F188,"أحد الشركاء"))</f>
        <v/>
      </c>
    </row>
    <row r="189" spans="1:17" ht="18.75" customHeight="1" x14ac:dyDescent="0.25">
      <c r="A189" s="25">
        <v>46276</v>
      </c>
      <c r="B189" s="36" t="s">
        <v>409</v>
      </c>
      <c r="C189" s="27" t="s">
        <v>410</v>
      </c>
      <c r="D189" s="28"/>
      <c r="E189" s="29">
        <v>15</v>
      </c>
      <c r="F189" s="30" t="s">
        <v>172</v>
      </c>
      <c r="G189" s="31"/>
      <c r="H189" s="32" t="s">
        <v>40</v>
      </c>
      <c r="I189" s="33"/>
      <c r="J189" s="34">
        <f>IF(AND(D189="",E189="",A189="",B189="",C189=""),"", IFERROR(IF(J188="",D2,J188),D2)+IF(OR(E189="",H189="معلق"),0,E189)-IF(OR(G189="أبو اسحاق",G189="أبو آدم",G189="أبو اسحاق ",G189="أبو آدم "),0,IF(D189="",0,D189)))</f>
        <v>248.79500000000004</v>
      </c>
      <c r="K189" s="172" t="s">
        <v>433</v>
      </c>
      <c r="L189">
        <f>IF(E188&gt;0,COUNTIF($E$4:E188,"&gt;0"),"")</f>
        <v>123</v>
      </c>
      <c r="M189" t="str">
        <f>IF(AND(D188&gt;0,G188="المحفظة"),COUNTIFS($D$4:D188,"&gt;"&amp;0,$G$4:G188,"المحفظة"),"")</f>
        <v/>
      </c>
      <c r="N189" t="str">
        <f>IF(AND(OR('طباعة كشف الحساب'!$C$2="الكل",MONTH(A189)=IFERROR(MATCH('طباعة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الحساب'!$F$2="الكل",YEAR(A189)=IFERROR(VALUE('طباعة كشف الحساب'!$F$2),0)),A189&lt;&gt;""),IFERROR(MAX($N$4:N188),0)+1,"")</f>
        <v/>
      </c>
      <c r="O189" t="str">
        <f>IF(AND(D188&gt;0,F188="أحد الشركاء"),COUNTIFS($D$4:D188,"&gt;"&amp;0,$F$4:F188,"أحد الشركاء"),"")</f>
        <v/>
      </c>
      <c r="P189">
        <f>IF(OR($A189="",$F189="أحد الشركاء",AND($D189="",$E189="")),"",SUMPRODUCT(($A$4:$A189&lt;&gt;"")*($F$4:$F189&lt;&gt;"أحد الشركاء")*((($D$4:$D189&lt;&gt;"")+($E$4:$E189&lt;&gt;""))&gt;0)))</f>
        <v>165</v>
      </c>
      <c r="Q189" t="str">
        <f>IF(OR($A189="",$F189&lt;&gt;"أحد الشركاء"),"",COUNTIFS($A$4:A189,"&lt;&gt;",$F$4:F189,"أحد الشركاء"))</f>
        <v/>
      </c>
    </row>
    <row r="190" spans="1:17" ht="18.75" customHeight="1" x14ac:dyDescent="0.25">
      <c r="A190" s="25">
        <v>46276</v>
      </c>
      <c r="B190" s="36" t="s">
        <v>411</v>
      </c>
      <c r="C190" s="37" t="s">
        <v>412</v>
      </c>
      <c r="D190" s="38"/>
      <c r="E190" s="39">
        <v>20</v>
      </c>
      <c r="F190" s="136" t="s">
        <v>172</v>
      </c>
      <c r="G190" s="40"/>
      <c r="H190" s="41" t="s">
        <v>40</v>
      </c>
      <c r="I190" s="42"/>
      <c r="J190" s="43">
        <f>IF(AND(D190="",E190="",A190="",B190="",C190=""),"", IFERROR(IF(J189="",D2,J189),D2)+IF(OR(E190="",H190="معلق"),0,E190)-IF(OR(G190="أبو اسحاق",G190="أبو آدم",G190="أبو اسحاق ",G190="أبو آدم "),0,IF(D190="",0,D190)))</f>
        <v>268.79500000000007</v>
      </c>
      <c r="K190" s="173"/>
      <c r="L190">
        <f>IF(E189&gt;0,COUNTIF($E$4:E189,"&gt;0"),"")</f>
        <v>124</v>
      </c>
      <c r="M190" t="str">
        <f>IF(AND(D189&gt;0,G189="المحفظة"),COUNTIFS($D$4:D189,"&gt;"&amp;0,$G$4:G189,"المحفظة"),"")</f>
        <v/>
      </c>
      <c r="N190" t="str">
        <f>IF(AND(OR('طباعة كشف الحساب'!$C$2="الكل",MONTH(A190)=IFERROR(MATCH('طباعة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الحساب'!$F$2="الكل",YEAR(A190)=IFERROR(VALUE('طباعة كشف الحساب'!$F$2),0)),A190&lt;&gt;""),IFERROR(MAX($N$4:N189),0)+1,"")</f>
        <v/>
      </c>
      <c r="O190" t="str">
        <f>IF(AND(D189&gt;0,F189="أحد الشركاء"),COUNTIFS($D$4:D189,"&gt;"&amp;0,$F$4:F189,"أحد الشركاء"),"")</f>
        <v/>
      </c>
      <c r="P190">
        <f>IF(OR($A190="",$F190="أحد الشركاء",AND($D190="",$E190="")),"",SUMPRODUCT(($A$4:$A190&lt;&gt;"")*($F$4:$F190&lt;&gt;"أحد الشركاء")*((($D$4:$D190&lt;&gt;"")+($E$4:$E190&lt;&gt;""))&gt;0)))</f>
        <v>166</v>
      </c>
      <c r="Q190" t="str">
        <f>IF(OR($A190="",$F190&lt;&gt;"أحد الشركاء"),"",COUNTIFS($A$4:A190,"&lt;&gt;",$F$4:F190,"أحد الشركاء"))</f>
        <v/>
      </c>
    </row>
    <row r="191" spans="1:17" ht="18.75" customHeight="1" x14ac:dyDescent="0.25">
      <c r="A191" s="25">
        <v>46276</v>
      </c>
      <c r="B191" s="36" t="s">
        <v>413</v>
      </c>
      <c r="C191" s="27" t="s">
        <v>414</v>
      </c>
      <c r="D191" s="28"/>
      <c r="E191" s="29">
        <v>35</v>
      </c>
      <c r="F191" s="30" t="s">
        <v>172</v>
      </c>
      <c r="G191" s="31"/>
      <c r="H191" s="32" t="s">
        <v>40</v>
      </c>
      <c r="I191" s="33"/>
      <c r="J191" s="34">
        <f>IF(AND(D191="",E191="",A191="",B191="",C191=""),"", IFERROR(IF(J190="",D2,J190),D2)+IF(OR(E191="",H191="معلق"),0,E191)-IF(OR(G191="أبو اسحاق",G191="أبو آدم",G191="أبو اسحاق ",G191="أبو آدم "),0,IF(D191="",0,D191)))</f>
        <v>303.79500000000007</v>
      </c>
      <c r="K191" s="173"/>
      <c r="L191">
        <f>IF(E190&gt;0,COUNTIF($E$4:E190,"&gt;0"),"")</f>
        <v>125</v>
      </c>
      <c r="M191" t="str">
        <f>IF(AND(D190&gt;0,G190="المحفظة"),COUNTIFS($D$4:D190,"&gt;"&amp;0,$G$4:G190,"المحفظة"),"")</f>
        <v/>
      </c>
      <c r="N191" t="str">
        <f>IF(AND(OR('طباعة كشف الحساب'!$C$2="الكل",MONTH(A191)=IFERROR(MATCH('طباعة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الحساب'!$F$2="الكل",YEAR(A191)=IFERROR(VALUE('طباعة كشف الحساب'!$F$2),0)),A191&lt;&gt;""),IFERROR(MAX($N$4:N190),0)+1,"")</f>
        <v/>
      </c>
      <c r="O191" t="str">
        <f>IF(AND(D190&gt;0,F190="أحد الشركاء"),COUNTIFS($D$4:D190,"&gt;"&amp;0,$F$4:F190,"أحد الشركاء"),"")</f>
        <v/>
      </c>
      <c r="P191">
        <f>IF(OR($A191="",$F191="أحد الشركاء",AND($D191="",$E191="")),"",SUMPRODUCT(($A$4:$A191&lt;&gt;"")*($F$4:$F191&lt;&gt;"أحد الشركاء")*((($D$4:$D191&lt;&gt;"")+($E$4:$E191&lt;&gt;""))&gt;0)))</f>
        <v>167</v>
      </c>
      <c r="Q191" t="str">
        <f>IF(OR($A191="",$F191&lt;&gt;"أحد الشركاء"),"",COUNTIFS($A$4:A191,"&lt;&gt;",$F$4:F191,"أحد الشركاء"))</f>
        <v/>
      </c>
    </row>
    <row r="192" spans="1:17" ht="18.75" customHeight="1" x14ac:dyDescent="0.25">
      <c r="A192" s="25">
        <v>46276</v>
      </c>
      <c r="B192" s="36" t="s">
        <v>415</v>
      </c>
      <c r="C192" s="37" t="s">
        <v>416</v>
      </c>
      <c r="D192" s="38"/>
      <c r="E192" s="39">
        <v>5</v>
      </c>
      <c r="F192" s="136" t="s">
        <v>172</v>
      </c>
      <c r="G192" s="40"/>
      <c r="H192" s="41" t="s">
        <v>40</v>
      </c>
      <c r="I192" s="42"/>
      <c r="J192" s="43">
        <f>IF(AND(D192="",E192="",A192="",B192="",C192=""),"", IFERROR(IF(J191="",D2,J191),D2)+IF(OR(E192="",H192="معلق"),0,E192)-IF(OR(G192="أبو اسحاق",G192="أبو آدم",G192="أبو اسحاق ",G192="أبو آدم "),0,IF(D192="",0,D192)))</f>
        <v>308.79500000000007</v>
      </c>
      <c r="K192" s="173"/>
      <c r="L192">
        <f>IF(E191&gt;0,COUNTIF($E$4:E191,"&gt;0"),"")</f>
        <v>126</v>
      </c>
      <c r="M192" t="str">
        <f>IF(AND(D191&gt;0,G191="المحفظة"),COUNTIFS($D$4:D191,"&gt;"&amp;0,$G$4:G191,"المحفظة"),"")</f>
        <v/>
      </c>
      <c r="N192" t="str">
        <f>IF(AND(OR('طباعة كشف الحساب'!$C$2="الكل",MONTH(A192)=IFERROR(MATCH('طباعة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الحساب'!$F$2="الكل",YEAR(A192)=IFERROR(VALUE('طباعة كشف الحساب'!$F$2),0)),A192&lt;&gt;""),IFERROR(MAX($N$4:N191),0)+1,"")</f>
        <v/>
      </c>
      <c r="O192" t="str">
        <f>IF(AND(D191&gt;0,F191="أحد الشركاء"),COUNTIFS($D$4:D191,"&gt;"&amp;0,$F$4:F191,"أحد الشركاء"),"")</f>
        <v/>
      </c>
      <c r="P192">
        <f>IF(OR($A192="",$F192="أحد الشركاء",AND($D192="",$E192="")),"",SUMPRODUCT(($A$4:$A192&lt;&gt;"")*($F$4:$F192&lt;&gt;"أحد الشركاء")*((($D$4:$D192&lt;&gt;"")+($E$4:$E192&lt;&gt;""))&gt;0)))</f>
        <v>168</v>
      </c>
      <c r="Q192" t="str">
        <f>IF(OR($A192="",$F192&lt;&gt;"أحد الشركاء"),"",COUNTIFS($A$4:A192,"&lt;&gt;",$F$4:F192,"أحد الشركاء"))</f>
        <v/>
      </c>
    </row>
    <row r="193" spans="1:17" ht="18.75" customHeight="1" x14ac:dyDescent="0.25">
      <c r="A193" s="25">
        <v>46276</v>
      </c>
      <c r="B193" s="36" t="s">
        <v>417</v>
      </c>
      <c r="C193" s="27" t="s">
        <v>418</v>
      </c>
      <c r="D193" s="28"/>
      <c r="E193" s="29">
        <v>10</v>
      </c>
      <c r="F193" s="30" t="s">
        <v>172</v>
      </c>
      <c r="G193" s="31"/>
      <c r="H193" s="32" t="s">
        <v>40</v>
      </c>
      <c r="I193" s="33"/>
      <c r="J193" s="34">
        <f>IF(AND(D193="",E193="",A193="",B193="",C193=""),"", IFERROR(IF(J192="",D2,J192),D2)+IF(OR(E193="",H193="معلق"),0,E193)-IF(OR(G193="أبو اسحاق",G193="أبو آدم",G193="أبو اسحاق ",G193="أبو آدم "),0,IF(D193="",0,D193)))</f>
        <v>318.79500000000007</v>
      </c>
      <c r="K193" s="174"/>
      <c r="L193">
        <f>IF(E192&gt;0,COUNTIF($E$4:E192,"&gt;0"),"")</f>
        <v>127</v>
      </c>
      <c r="M193" t="str">
        <f>IF(AND(D192&gt;0,G192="المحفظة"),COUNTIFS($D$4:D192,"&gt;"&amp;0,$G$4:G192,"المحفظة"),"")</f>
        <v/>
      </c>
      <c r="N193" t="str">
        <f>IF(AND(OR('طباعة كشف الحساب'!$C$2="الكل",MONTH(A193)=IFERROR(MATCH('طباعة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الحساب'!$F$2="الكل",YEAR(A193)=IFERROR(VALUE('طباعة كشف الحساب'!$F$2),0)),A193&lt;&gt;""),IFERROR(MAX($N$4:N192),0)+1,"")</f>
        <v/>
      </c>
      <c r="O193" t="str">
        <f>IF(AND(D192&gt;0,F192="أحد الشركاء"),COUNTIFS($D$4:D192,"&gt;"&amp;0,$F$4:F192,"أحد الشركاء"),"")</f>
        <v/>
      </c>
      <c r="P193">
        <f>IF(OR($A193="",$F193="أحد الشركاء",AND($D193="",$E193="")),"",SUMPRODUCT(($A$4:$A193&lt;&gt;"")*($F$4:$F193&lt;&gt;"أحد الشركاء")*((($D$4:$D193&lt;&gt;"")+($E$4:$E193&lt;&gt;""))&gt;0)))</f>
        <v>169</v>
      </c>
      <c r="Q193" t="str">
        <f>IF(OR($A193="",$F193&lt;&gt;"أحد الشركاء"),"",COUNTIFS($A$4:A193,"&lt;&gt;",$F$4:F193,"أحد الشركاء"))</f>
        <v/>
      </c>
    </row>
    <row r="194" spans="1:17" ht="18.75" customHeight="1" x14ac:dyDescent="0.25">
      <c r="A194" s="25">
        <v>46276</v>
      </c>
      <c r="B194" s="36" t="s">
        <v>419</v>
      </c>
      <c r="C194" s="37" t="s">
        <v>420</v>
      </c>
      <c r="D194" s="38"/>
      <c r="E194" s="39">
        <v>6</v>
      </c>
      <c r="F194" s="136" t="s">
        <v>38</v>
      </c>
      <c r="G194" s="40"/>
      <c r="H194" s="41" t="s">
        <v>40</v>
      </c>
      <c r="I194" s="42"/>
      <c r="J194" s="43">
        <f>IF(AND(D194="",E194="",A194="",B194="",C194=""),"", IFERROR(IF(J193="",D2,J193),D2)+IF(OR(E194="",H194="معلق"),0,E194)-IF(OR(G194="أبو اسحاق",G194="أبو آدم",G194="أبو اسحاق ",G194="أبو آدم "),0,IF(D194="",0,D194)))</f>
        <v>324.79500000000007</v>
      </c>
      <c r="K194" s="44"/>
      <c r="L194">
        <f>IF(E193&gt;0,COUNTIF($E$4:E193,"&gt;0"),"")</f>
        <v>128</v>
      </c>
      <c r="M194" t="str">
        <f>IF(AND(D193&gt;0,G193="المحفظة"),COUNTIFS($D$4:D193,"&gt;"&amp;0,$G$4:G193,"المحفظة"),"")</f>
        <v/>
      </c>
      <c r="N194" t="str">
        <f>IF(AND(OR('طباعة كشف الحساب'!$C$2="الكل",MONTH(A194)=IFERROR(MATCH('طباعة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الحساب'!$F$2="الكل",YEAR(A194)=IFERROR(VALUE('طباعة كشف الحساب'!$F$2),0)),A194&lt;&gt;""),IFERROR(MAX($N$4:N193),0)+1,"")</f>
        <v/>
      </c>
      <c r="O194" t="str">
        <f>IF(AND(D193&gt;0,F193="أحد الشركاء"),COUNTIFS($D$4:D193,"&gt;"&amp;0,$F$4:F193,"أحد الشركاء"),"")</f>
        <v/>
      </c>
      <c r="P194">
        <f>IF(OR($A194="",$F194="أحد الشركاء",AND($D194="",$E194="")),"",SUMPRODUCT(($A$4:$A194&lt;&gt;"")*($F$4:$F194&lt;&gt;"أحد الشركاء")*((($D$4:$D194&lt;&gt;"")+($E$4:$E194&lt;&gt;""))&gt;0)))</f>
        <v>170</v>
      </c>
      <c r="Q194" t="str">
        <f>IF(OR($A194="",$F194&lt;&gt;"أحد الشركاء"),"",COUNTIFS($A$4:A194,"&lt;&gt;",$F$4:F194,"أحد الشركاء"))</f>
        <v/>
      </c>
    </row>
    <row r="195" spans="1:17" ht="18.75" customHeight="1" x14ac:dyDescent="0.25">
      <c r="A195" s="25">
        <v>46276</v>
      </c>
      <c r="B195" s="36" t="s">
        <v>421</v>
      </c>
      <c r="C195" s="27" t="s">
        <v>422</v>
      </c>
      <c r="D195" s="28"/>
      <c r="E195" s="29">
        <v>2</v>
      </c>
      <c r="F195" s="30" t="s">
        <v>38</v>
      </c>
      <c r="G195" s="31"/>
      <c r="H195" s="32" t="s">
        <v>40</v>
      </c>
      <c r="I195" s="33"/>
      <c r="J195" s="34">
        <f>IF(AND(D195="",E195="",A195="",B195="",C195=""),"", IFERROR(IF(J194="",D2,J194),D2)+IF(OR(E195="",H195="معلق"),0,E195)-IF(OR(G195="أبو اسحاق",G195="أبو آدم",G195="أبو اسحاق ",G195="أبو آدم "),0,IF(D195="",0,D195)))</f>
        <v>326.79500000000007</v>
      </c>
      <c r="K195" s="35"/>
      <c r="L195">
        <f>IF(E194&gt;0,COUNTIF($E$4:E194,"&gt;0"),"")</f>
        <v>129</v>
      </c>
      <c r="M195" t="str">
        <f>IF(AND(D194&gt;0,G194="المحفظة"),COUNTIFS($D$4:D194,"&gt;"&amp;0,$G$4:G194,"المحفظة"),"")</f>
        <v/>
      </c>
      <c r="N195" t="str">
        <f>IF(AND(OR('طباعة كشف الحساب'!$C$2="الكل",MONTH(A195)=IFERROR(MATCH('طباعة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الحساب'!$F$2="الكل",YEAR(A195)=IFERROR(VALUE('طباعة كشف الحساب'!$F$2),0)),A195&lt;&gt;""),IFERROR(MAX($N$4:N194),0)+1,"")</f>
        <v/>
      </c>
      <c r="O195" t="str">
        <f>IF(AND(D194&gt;0,F194="أحد الشركاء"),COUNTIFS($D$4:D194,"&gt;"&amp;0,$F$4:F194,"أحد الشركاء"),"")</f>
        <v/>
      </c>
      <c r="P195">
        <f>IF(OR($A195="",$F195="أحد الشركاء",AND($D195="",$E195="")),"",SUMPRODUCT(($A$4:$A195&lt;&gt;"")*($F$4:$F195&lt;&gt;"أحد الشركاء")*((($D$4:$D195&lt;&gt;"")+($E$4:$E195&lt;&gt;""))&gt;0)))</f>
        <v>171</v>
      </c>
      <c r="Q195" t="str">
        <f>IF(OR($A195="",$F195&lt;&gt;"أحد الشركاء"),"",COUNTIFS($A$4:A195,"&lt;&gt;",$F$4:F195,"أحد الشركاء"))</f>
        <v/>
      </c>
    </row>
    <row r="196" spans="1:17" ht="18.75" customHeight="1" x14ac:dyDescent="0.25">
      <c r="A196" s="25">
        <v>46276</v>
      </c>
      <c r="B196" s="36" t="s">
        <v>423</v>
      </c>
      <c r="C196" s="37" t="s">
        <v>424</v>
      </c>
      <c r="D196" s="38"/>
      <c r="E196" s="39">
        <v>5</v>
      </c>
      <c r="F196" s="136" t="s">
        <v>38</v>
      </c>
      <c r="G196" s="40"/>
      <c r="H196" s="41" t="s">
        <v>40</v>
      </c>
      <c r="I196" s="42"/>
      <c r="J196" s="43">
        <f>IF(AND(D196="",E196="",A196="",B196="",C196=""),"", IFERROR(IF(J195="",D2,J195),D2)+IF(OR(E196="",H196="معلق"),0,E196)-IF(OR(G196="أبو اسحاق",G196="أبو آدم",G196="أبو اسحاق ",G196="أبو آدم "),0,IF(D196="",0,D196)))</f>
        <v>331.79500000000007</v>
      </c>
      <c r="K196" s="44"/>
      <c r="L196">
        <f>IF(E195&gt;0,COUNTIF($E$4:E195,"&gt;0"),"")</f>
        <v>130</v>
      </c>
      <c r="M196" t="str">
        <f>IF(AND(D195&gt;0,G195="المحفظة"),COUNTIFS($D$4:D195,"&gt;"&amp;0,$G$4:G195,"المحفظة"),"")</f>
        <v/>
      </c>
      <c r="N196" t="str">
        <f>IF(AND(OR('طباعة كشف الحساب'!$C$2="الكل",MONTH(A196)=IFERROR(MATCH('طباعة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الحساب'!$F$2="الكل",YEAR(A196)=IFERROR(VALUE('طباعة كشف الحساب'!$F$2),0)),A196&lt;&gt;""),IFERROR(MAX($N$4:N195),0)+1,"")</f>
        <v/>
      </c>
      <c r="O196" t="str">
        <f>IF(AND(D195&gt;0,F195="أحد الشركاء"),COUNTIFS($D$4:D195,"&gt;"&amp;0,$F$4:F195,"أحد الشركاء"),"")</f>
        <v/>
      </c>
      <c r="P196">
        <f>IF(OR($A196="",$F196="أحد الشركاء",AND($D196="",$E196="")),"",SUMPRODUCT(($A$4:$A196&lt;&gt;"")*($F$4:$F196&lt;&gt;"أحد الشركاء")*((($D$4:$D196&lt;&gt;"")+($E$4:$E196&lt;&gt;""))&gt;0)))</f>
        <v>172</v>
      </c>
      <c r="Q196" t="str">
        <f>IF(OR($A196="",$F196&lt;&gt;"أحد الشركاء"),"",COUNTIFS($A$4:A196,"&lt;&gt;",$F$4:F196,"أحد الشركاء"))</f>
        <v/>
      </c>
    </row>
    <row r="197" spans="1:17" ht="18.75" customHeight="1" x14ac:dyDescent="0.25">
      <c r="A197" s="25">
        <v>46276</v>
      </c>
      <c r="B197" s="36" t="s">
        <v>425</v>
      </c>
      <c r="C197" s="27" t="s">
        <v>426</v>
      </c>
      <c r="D197" s="28"/>
      <c r="E197" s="29">
        <v>2</v>
      </c>
      <c r="F197" s="30" t="s">
        <v>38</v>
      </c>
      <c r="G197" s="31"/>
      <c r="H197" s="32" t="s">
        <v>40</v>
      </c>
      <c r="I197" s="33"/>
      <c r="J197" s="34">
        <f>IF(AND(D197="",E197="",A197="",B197="",C197=""),"", IFERROR(IF(J196="",D2,J196),D2)+IF(OR(E197="",H197="معلق"),0,E197)-IF(OR(G197="أبو اسحاق",G197="أبو آدم",G197="أبو اسحاق ",G197="أبو آدم "),0,IF(D197="",0,D197)))</f>
        <v>333.79500000000007</v>
      </c>
      <c r="K197" s="35"/>
      <c r="L197">
        <f>IF(E196&gt;0,COUNTIF($E$4:E196,"&gt;0"),"")</f>
        <v>131</v>
      </c>
      <c r="M197" t="str">
        <f>IF(AND(D196&gt;0,G196="المحفظة"),COUNTIFS($D$4:D196,"&gt;"&amp;0,$G$4:G196,"المحفظة"),"")</f>
        <v/>
      </c>
      <c r="N197" t="str">
        <f>IF(AND(OR('طباعة كشف الحساب'!$C$2="الكل",MONTH(A197)=IFERROR(MATCH('طباعة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الحساب'!$F$2="الكل",YEAR(A197)=IFERROR(VALUE('طباعة كشف الحساب'!$F$2),0)),A197&lt;&gt;""),IFERROR(MAX($N$4:N196),0)+1,"")</f>
        <v/>
      </c>
      <c r="O197" t="str">
        <f>IF(AND(D196&gt;0,F196="أحد الشركاء"),COUNTIFS($D$4:D196,"&gt;"&amp;0,$F$4:F196,"أحد الشركاء"),"")</f>
        <v/>
      </c>
      <c r="P197">
        <f>IF(OR($A197="",$F197="أحد الشركاء",AND($D197="",$E197="")),"",SUMPRODUCT(($A$4:$A197&lt;&gt;"")*($F$4:$F197&lt;&gt;"أحد الشركاء")*((($D$4:$D197&lt;&gt;"")+($E$4:$E197&lt;&gt;""))&gt;0)))</f>
        <v>173</v>
      </c>
      <c r="Q197" t="str">
        <f>IF(OR($A197="",$F197&lt;&gt;"أحد الشركاء"),"",COUNTIFS($A$4:A197,"&lt;&gt;",$F$4:F197,"أحد الشركاء"))</f>
        <v/>
      </c>
    </row>
    <row r="198" spans="1:17" ht="18.75" customHeight="1" x14ac:dyDescent="0.25">
      <c r="A198" s="25">
        <v>46276</v>
      </c>
      <c r="B198" s="36" t="s">
        <v>427</v>
      </c>
      <c r="C198" s="37" t="s">
        <v>428</v>
      </c>
      <c r="D198" s="38"/>
      <c r="E198" s="39">
        <v>3</v>
      </c>
      <c r="F198" s="136" t="s">
        <v>38</v>
      </c>
      <c r="G198" s="40"/>
      <c r="H198" s="41" t="s">
        <v>40</v>
      </c>
      <c r="I198" s="42"/>
      <c r="J198" s="43">
        <f>IF(AND(D198="",E198="",A198="",B198="",C198=""),"", IFERROR(IF(J197="",D2,J197),D2)+IF(OR(E198="",H198="معلق"),0,E198)-IF(OR(G198="أبو اسحاق",G198="أبو آدم",G198="أبو اسحاق ",G198="أبو آدم "),0,IF(D198="",0,D198)))</f>
        <v>336.79500000000007</v>
      </c>
      <c r="K198" s="44"/>
      <c r="L198">
        <f>IF(E197&gt;0,COUNTIF($E$4:E197,"&gt;0"),"")</f>
        <v>132</v>
      </c>
      <c r="M198" t="str">
        <f>IF(AND(D197&gt;0,G197="المحفظة"),COUNTIFS($D$4:D197,"&gt;"&amp;0,$G$4:G197,"المحفظة"),"")</f>
        <v/>
      </c>
      <c r="N198" t="str">
        <f>IF(AND(OR('طباعة كشف الحساب'!$C$2="الكل",MONTH(A198)=IFERROR(MATCH('طباعة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الحساب'!$F$2="الكل",YEAR(A198)=IFERROR(VALUE('طباعة كشف الحساب'!$F$2),0)),A198&lt;&gt;""),IFERROR(MAX($N$4:N197),0)+1,"")</f>
        <v/>
      </c>
      <c r="O198" t="str">
        <f>IF(AND(D197&gt;0,F197="أحد الشركاء"),COUNTIFS($D$4:D197,"&gt;"&amp;0,$F$4:F197,"أحد الشركاء"),"")</f>
        <v/>
      </c>
      <c r="P198">
        <f>IF(OR($A198="",$F198="أحد الشركاء",AND($D198="",$E198="")),"",SUMPRODUCT(($A$4:$A198&lt;&gt;"")*($F$4:$F198&lt;&gt;"أحد الشركاء")*((($D$4:$D198&lt;&gt;"")+($E$4:$E198&lt;&gt;""))&gt;0)))</f>
        <v>174</v>
      </c>
      <c r="Q198" t="str">
        <f>IF(OR($A198="",$F198&lt;&gt;"أحد الشركاء"),"",COUNTIFS($A$4:A198,"&lt;&gt;",$F$4:F198,"أحد الشركاء"))</f>
        <v/>
      </c>
    </row>
    <row r="199" spans="1:17" ht="18.75" customHeight="1" x14ac:dyDescent="0.25">
      <c r="A199" s="25">
        <v>46276</v>
      </c>
      <c r="B199" s="36" t="s">
        <v>429</v>
      </c>
      <c r="C199" s="27" t="s">
        <v>426</v>
      </c>
      <c r="D199" s="28"/>
      <c r="E199" s="29">
        <v>2</v>
      </c>
      <c r="F199" s="30" t="s">
        <v>38</v>
      </c>
      <c r="G199" s="31"/>
      <c r="H199" s="32" t="s">
        <v>40</v>
      </c>
      <c r="I199" s="33"/>
      <c r="J199" s="34">
        <f>IF(AND(D199="",E199="",A199="",B199="",C199=""),"", IFERROR(IF(J198="",D2,J198),D2)+IF(OR(E199="",H199="معلق"),0,E199)-IF(OR(G199="أبو اسحاق",G199="أبو آدم",G199="أبو اسحاق ",G199="أبو آدم "),0,IF(D199="",0,D199)))</f>
        <v>338.79500000000007</v>
      </c>
      <c r="K199" s="35"/>
      <c r="L199">
        <f>IF(E198&gt;0,COUNTIF($E$4:E198,"&gt;0"),"")</f>
        <v>133</v>
      </c>
      <c r="M199" t="str">
        <f>IF(AND(D198&gt;0,G198="المحفظة"),COUNTIFS($D$4:D198,"&gt;"&amp;0,$G$4:G198,"المحفظة"),"")</f>
        <v/>
      </c>
      <c r="N199" t="str">
        <f>IF(AND(OR('طباعة كشف الحساب'!$C$2="الكل",MONTH(A199)=IFERROR(MATCH('طباعة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الحساب'!$F$2="الكل",YEAR(A199)=IFERROR(VALUE('طباعة كشف الحساب'!$F$2),0)),A199&lt;&gt;""),IFERROR(MAX($N$4:N198),0)+1,"")</f>
        <v/>
      </c>
      <c r="O199" t="str">
        <f>IF(AND(D198&gt;0,F198="أحد الشركاء"),COUNTIFS($D$4:D198,"&gt;"&amp;0,$F$4:F198,"أحد الشركاء"),"")</f>
        <v/>
      </c>
      <c r="P199">
        <f>IF(OR($A199="",$F199="أحد الشركاء",AND($D199="",$E199="")),"",SUMPRODUCT(($A$4:$A199&lt;&gt;"")*($F$4:$F199&lt;&gt;"أحد الشركاء")*((($D$4:$D199&lt;&gt;"")+($E$4:$E199&lt;&gt;""))&gt;0)))</f>
        <v>175</v>
      </c>
      <c r="Q199" t="str">
        <f>IF(OR($A199="",$F199&lt;&gt;"أحد الشركاء"),"",COUNTIFS($A$4:A199,"&lt;&gt;",$F$4:F199,"أحد الشركاء"))</f>
        <v/>
      </c>
    </row>
    <row r="200" spans="1:17" ht="18.75" customHeight="1" x14ac:dyDescent="0.25">
      <c r="A200" s="139">
        <v>46277</v>
      </c>
      <c r="B200" s="36"/>
      <c r="C200" s="37" t="s">
        <v>430</v>
      </c>
      <c r="D200" s="38">
        <v>34.5</v>
      </c>
      <c r="E200" s="39"/>
      <c r="F200" s="136" t="s">
        <v>38</v>
      </c>
      <c r="G200" s="40" t="s">
        <v>39</v>
      </c>
      <c r="H200" s="41" t="s">
        <v>40</v>
      </c>
      <c r="I200" s="42"/>
      <c r="J200" s="43">
        <f>IF(AND(D200="",E200="",A200="",B200="",C200=""),"", IFERROR(IF(J199="",D2,J199),D2)+IF(OR(E200="",H200="معلق"),0,E200)-IF(OR(G200="أبو اسحاق",G200="أبو آدم",G200="أبو اسحاق ",G200="أبو آدم "),0,IF(D200="",0,D200)))</f>
        <v>304.29500000000007</v>
      </c>
      <c r="K200" s="44"/>
      <c r="L200">
        <f>IF(E199&gt;0,COUNTIF($E$4:E199,"&gt;0"),"")</f>
        <v>134</v>
      </c>
      <c r="M200" t="str">
        <f>IF(AND(D199&gt;0,G199="المحفظة"),COUNTIFS($D$4:D199,"&gt;"&amp;0,$G$4:G199,"المحفظة"),"")</f>
        <v/>
      </c>
      <c r="N200" t="str">
        <f>IF(AND(OR('طباعة كشف الحساب'!$C$2="الكل",MONTH(A200)=IFERROR(MATCH('طباعة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الحساب'!$F$2="الكل",YEAR(A200)=IFERROR(VALUE('طباعة كشف الحساب'!$F$2),0)),A200&lt;&gt;""),IFERROR(MAX($N$4:N199),0)+1,"")</f>
        <v/>
      </c>
      <c r="O200" t="str">
        <f>IF(AND(D199&gt;0,F199="أحد الشركاء"),COUNTIFS($D$4:D199,"&gt;"&amp;0,$F$4:F199,"أحد الشركاء"),"")</f>
        <v/>
      </c>
      <c r="P200">
        <f>IF(OR($A200="",$F200="أحد الشركاء",AND($D200="",$E200="")),"",SUMPRODUCT(($A$4:$A200&lt;&gt;"")*($F$4:$F200&lt;&gt;"أحد الشركاء")*((($D$4:$D200&lt;&gt;"")+($E$4:$E200&lt;&gt;""))&gt;0)))</f>
        <v>176</v>
      </c>
      <c r="Q200" t="str">
        <f>IF(OR($A200="",$F200&lt;&gt;"أحد الشركاء"),"",COUNTIFS($A$4:A200,"&lt;&gt;",$F$4:F200,"أحد الشركاء"))</f>
        <v/>
      </c>
    </row>
    <row r="201" spans="1:17" ht="18.75" customHeight="1" x14ac:dyDescent="0.25">
      <c r="A201" s="25">
        <v>46278</v>
      </c>
      <c r="B201" s="36" t="s">
        <v>431</v>
      </c>
      <c r="C201" s="27" t="s">
        <v>399</v>
      </c>
      <c r="D201" s="28"/>
      <c r="E201" s="29">
        <v>310</v>
      </c>
      <c r="F201" s="30" t="s">
        <v>38</v>
      </c>
      <c r="G201" s="31"/>
      <c r="H201" s="32" t="s">
        <v>40</v>
      </c>
      <c r="I201" s="33"/>
      <c r="J201" s="34">
        <f>IF(AND(D201="",E201="",A201="",B201="",C201=""),"", IFERROR(IF(J200="",D2,J200),D2)+IF(OR(E201="",H201="معلق"),0,E201)-IF(OR(G201="أبو اسحاق",G201="أبو آدم",G201="أبو اسحاق ",G201="أبو آدم "),0,IF(D201="",0,D201)))</f>
        <v>614.29500000000007</v>
      </c>
      <c r="K201" s="35"/>
      <c r="L201" t="str">
        <f>IF(E200&gt;0,COUNTIF($E$4:E200,"&gt;0"),"")</f>
        <v/>
      </c>
      <c r="M201">
        <f>IF(AND(D200&gt;0,G200="المحفظة"),COUNTIFS($D$4:D200,"&gt;"&amp;0,$G$4:G200,"المحفظة"),"")</f>
        <v>41</v>
      </c>
      <c r="N201" t="str">
        <f>IF(AND(OR('طباعة كشف الحساب'!$C$2="الكل",MONTH(A201)=IFERROR(MATCH('طباعة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الحساب'!$F$2="الكل",YEAR(A201)=IFERROR(VALUE('طباعة كشف الحساب'!$F$2),0)),A201&lt;&gt;""),IFERROR(MAX($N$4:N200),0)+1,"")</f>
        <v/>
      </c>
      <c r="O201" t="str">
        <f>IF(AND(D200&gt;0,F200="أحد الشركاء"),COUNTIFS($D$4:D200,"&gt;"&amp;0,$F$4:F200,"أحد الشركاء"),"")</f>
        <v/>
      </c>
      <c r="P201">
        <f>IF(OR($A201="",$F201="أحد الشركاء",AND($D201="",$E201="")),"",SUMPRODUCT(($A$4:$A201&lt;&gt;"")*($F$4:$F201&lt;&gt;"أحد الشركاء")*((($D$4:$D201&lt;&gt;"")+($E$4:$E201&lt;&gt;""))&gt;0)))</f>
        <v>177</v>
      </c>
      <c r="Q201" t="str">
        <f>IF(OR($A201="",$F201&lt;&gt;"أحد الشركاء"),"",COUNTIFS($A$4:A201,"&lt;&gt;",$F$4:F201,"أحد الشركاء"))</f>
        <v/>
      </c>
    </row>
    <row r="202" spans="1:17" ht="18.75" customHeight="1" x14ac:dyDescent="0.25">
      <c r="A202" s="139">
        <v>46278</v>
      </c>
      <c r="B202" s="36"/>
      <c r="C202" s="37" t="s">
        <v>432</v>
      </c>
      <c r="D202" s="38">
        <v>5</v>
      </c>
      <c r="E202" s="39"/>
      <c r="F202" s="136" t="s">
        <v>38</v>
      </c>
      <c r="G202" s="40" t="s">
        <v>39</v>
      </c>
      <c r="H202" s="41" t="s">
        <v>40</v>
      </c>
      <c r="I202" s="42"/>
      <c r="J202" s="43">
        <f>IF(AND(D202="",E202="",A202="",B202="",C202=""),"", IFERROR(IF(J201="",D2,J201),D2)+IF(OR(E202="",H202="معلق"),0,E202)-IF(OR(G202="أبو اسحاق",G202="أبو آدم",G202="أبو اسحاق ",G202="أبو آدم "),0,IF(D202="",0,D202)))</f>
        <v>609.29500000000007</v>
      </c>
      <c r="K202" s="44"/>
      <c r="L202">
        <f>IF(E201&gt;0,COUNTIF($E$4:E201,"&gt;0"),"")</f>
        <v>135</v>
      </c>
      <c r="M202" t="str">
        <f>IF(AND(D201&gt;0,G201="المحفظة"),COUNTIFS($D$4:D201,"&gt;"&amp;0,$G$4:G201,"المحفظة"),"")</f>
        <v/>
      </c>
      <c r="N202" t="str">
        <f>IF(AND(OR('طباعة كشف الحساب'!$C$2="الكل",MONTH(A202)=IFERROR(MATCH('طباعة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الحساب'!$F$2="الكل",YEAR(A202)=IFERROR(VALUE('طباعة كشف الحساب'!$F$2),0)),A202&lt;&gt;""),IFERROR(MAX($N$4:N201),0)+1,"")</f>
        <v/>
      </c>
      <c r="O202" t="str">
        <f>IF(AND(D201&gt;0,F201="أحد الشركاء"),COUNTIFS($D$4:D201,"&gt;"&amp;0,$F$4:F201,"أحد الشركاء"),"")</f>
        <v/>
      </c>
      <c r="P202">
        <f>IF(OR($A202="",$F202="أحد الشركاء",AND($D202="",$E202="")),"",SUMPRODUCT(($A$4:$A202&lt;&gt;"")*($F$4:$F202&lt;&gt;"أحد الشركاء")*((($D$4:$D202&lt;&gt;"")+($E$4:$E202&lt;&gt;""))&gt;0)))</f>
        <v>178</v>
      </c>
      <c r="Q202" t="str">
        <f>IF(OR($A202="",$F202&lt;&gt;"أحد الشركاء"),"",COUNTIFS($A$4:A202,"&lt;&gt;",$F$4:F202,"أحد الشركاء"))</f>
        <v/>
      </c>
    </row>
    <row r="203" spans="1:17" ht="18.75" customHeight="1" x14ac:dyDescent="0.25">
      <c r="A203" s="151">
        <v>46282</v>
      </c>
      <c r="C203" s="27" t="s">
        <v>434</v>
      </c>
      <c r="D203" s="28">
        <v>6.25</v>
      </c>
      <c r="E203" s="29"/>
      <c r="F203" s="30" t="s">
        <v>38</v>
      </c>
      <c r="G203" s="31" t="s">
        <v>39</v>
      </c>
      <c r="H203" s="32" t="s">
        <v>40</v>
      </c>
      <c r="I203" s="33"/>
      <c r="J203" s="34">
        <f>IF(AND(D203="",E203="",A203="",B203="",C203=""),"", IFERROR(IF(J202="",D2,J202),D2)+IF(OR(E203="",H203="معلق"),0,E203)-IF(OR(G203="أبو اسحاق",G203="أبو آدم",G203="أبو اسحاق ",G203="أبو آدم "),0,IF(D203="",0,D203)))</f>
        <v>603.04500000000007</v>
      </c>
      <c r="K203" s="35"/>
      <c r="L203" t="str">
        <f>IF(E202&gt;0,COUNTIF($E$4:E202,"&gt;0"),"")</f>
        <v/>
      </c>
      <c r="M203">
        <f>IF(AND(D202&gt;0,G202="المحفظة"),COUNTIFS($D$4:D202,"&gt;"&amp;0,$G$4:G202,"المحفظة"),"")</f>
        <v>42</v>
      </c>
      <c r="N203" t="str">
        <f>IF(AND(OR('طباعة كشف الحساب'!$C$2="الكل",MONTH(A203)=IFERROR(MATCH('طباعة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الحساب'!$F$2="الكل",YEAR(A203)=IFERROR(VALUE('طباعة كشف الحساب'!$F$2),0)),A203&lt;&gt;""),IFERROR(MAX($N$4:N202),0)+1,"")</f>
        <v/>
      </c>
      <c r="O203" t="str">
        <f>IF(AND(D202&gt;0,F202="أحد الشركاء"),COUNTIFS($D$4:D202,"&gt;"&amp;0,$F$4:F202,"أحد الشركاء"),"")</f>
        <v/>
      </c>
      <c r="P203">
        <f>IF(OR($A203="",$F203="أحد الشركاء",AND($D203="",$E203="")),"",SUMPRODUCT(($A$4:$A203&lt;&gt;"")*($F$4:$F203&lt;&gt;"أحد الشركاء")*((($D$4:$D203&lt;&gt;"")+($E$4:$E203&lt;&gt;""))&gt;0)))</f>
        <v>179</v>
      </c>
      <c r="Q203" t="str">
        <f>IF(OR($A203="",$F203&lt;&gt;"أحد الشركاء"),"",COUNTIFS($A$4:A203,"&lt;&gt;",$F$4:F203,"أحد الشركاء"))</f>
        <v/>
      </c>
    </row>
    <row r="204" spans="1:17" ht="18.75" customHeight="1" x14ac:dyDescent="0.25">
      <c r="A204" s="152">
        <v>46282</v>
      </c>
      <c r="B204" s="152"/>
      <c r="C204" s="37" t="s">
        <v>435</v>
      </c>
      <c r="D204" s="38">
        <v>80</v>
      </c>
      <c r="E204" s="39"/>
      <c r="F204" s="136" t="s">
        <v>38</v>
      </c>
      <c r="G204" s="40" t="s">
        <v>39</v>
      </c>
      <c r="H204" s="41" t="s">
        <v>40</v>
      </c>
      <c r="I204" s="42"/>
      <c r="J204" s="43">
        <f>IF(AND(D204="",E204="",A204="",B204="",C204=""),"", IFERROR(IF(J203="",D2,J203),D2)+IF(OR(E204="",H204="معلق"),0,E204)-IF(OR(G204="أبو اسحاق",G204="أبو آدم",G204="أبو اسحاق ",G204="أبو آدم "),0,IF(D204="",0,D204)))</f>
        <v>523.04500000000007</v>
      </c>
      <c r="K204" s="44"/>
      <c r="L204" t="str">
        <f>IF(E203&gt;0,COUNTIF($E$4:E203,"&gt;0"),"")</f>
        <v/>
      </c>
      <c r="M204">
        <f>IF(AND(D203&gt;0,G203="المحفظة"),COUNTIFS($D$4:D203,"&gt;"&amp;0,$G$4:G203,"المحفظة"),"")</f>
        <v>43</v>
      </c>
      <c r="N204" t="str">
        <f>IF(AND(OR('طباعة كشف الحساب'!$C$2="الكل",MONTH(A204)=IFERROR(MATCH('طباعة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الحساب'!$F$2="الكل",YEAR(A204)=IFERROR(VALUE('طباعة كشف الحساب'!$F$2),0)),A204&lt;&gt;""),IFERROR(MAX($N$4:N203),0)+1,"")</f>
        <v/>
      </c>
      <c r="O204" t="str">
        <f>IF(AND(D203&gt;0,F203="أحد الشركاء"),COUNTIFS($D$4:D203,"&gt;"&amp;0,$F$4:F203,"أحد الشركاء"),"")</f>
        <v/>
      </c>
      <c r="P204">
        <f>IF(OR($A204="",$F204="أحد الشركاء",AND($D204="",$E204="")),"",SUMPRODUCT(($A$4:$A204&lt;&gt;"")*($F$4:$F204&lt;&gt;"أحد الشركاء")*((($D$4:$D204&lt;&gt;"")+($E$4:$E204&lt;&gt;""))&gt;0)))</f>
        <v>180</v>
      </c>
      <c r="Q204" t="str">
        <f>IF(OR($A204="",$F204&lt;&gt;"أحد الشركاء"),"",COUNTIFS($A$4:A204,"&lt;&gt;",$F$4:F204,"أحد الشركاء"))</f>
        <v/>
      </c>
    </row>
    <row r="205" spans="1:17" ht="18.75" customHeight="1" x14ac:dyDescent="0.25">
      <c r="A205" s="152">
        <v>46282</v>
      </c>
      <c r="B205" s="36" t="s">
        <v>436</v>
      </c>
      <c r="C205" s="27" t="s">
        <v>437</v>
      </c>
      <c r="D205" s="28"/>
      <c r="E205" s="29">
        <v>3</v>
      </c>
      <c r="F205" s="30" t="s">
        <v>38</v>
      </c>
      <c r="G205" s="31"/>
      <c r="H205" s="32" t="s">
        <v>40</v>
      </c>
      <c r="I205" s="33"/>
      <c r="J205" s="34">
        <f>IF(AND(D205="",E205="",A205="",B205="",C205=""),"", IFERROR(IF(J204="",D2,J204),D2)+IF(OR(E205="",H205="معلق"),0,E205)-IF(OR(G205="أبو اسحاق",G205="أبو آدم",G205="أبو اسحاق ",G205="أبو آدم "),0,IF(D205="",0,D205)))</f>
        <v>526.04500000000007</v>
      </c>
      <c r="K205" s="35"/>
      <c r="L205" t="str">
        <f>IF(E204&gt;0,COUNTIF($E$4:E204,"&gt;0"),"")</f>
        <v/>
      </c>
      <c r="M205">
        <f>IF(AND(D204&gt;0,G204="المحفظة"),COUNTIFS($D$4:D204,"&gt;"&amp;0,$G$4:G204,"المحفظة"),"")</f>
        <v>44</v>
      </c>
      <c r="N205" t="str">
        <f>IF(AND(OR('طباعة كشف الحساب'!$C$2="الكل",MONTH(A205)=IFERROR(MATCH('طباعة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الحساب'!$F$2="الكل",YEAR(A205)=IFERROR(VALUE('طباعة كشف الحساب'!$F$2),0)),A205&lt;&gt;""),IFERROR(MAX($N$4:N204),0)+1,"")</f>
        <v/>
      </c>
      <c r="O205" t="str">
        <f>IF(AND(D204&gt;0,F204="أحد الشركاء"),COUNTIFS($D$4:D204,"&gt;"&amp;0,$F$4:F204,"أحد الشركاء"),"")</f>
        <v/>
      </c>
      <c r="P205">
        <f>IF(OR($A205="",$F205="أحد الشركاء",AND($D205="",$E205="")),"",SUMPRODUCT(($A$4:$A205&lt;&gt;"")*($F$4:$F205&lt;&gt;"أحد الشركاء")*((($D$4:$D205&lt;&gt;"")+($E$4:$E205&lt;&gt;""))&gt;0)))</f>
        <v>181</v>
      </c>
      <c r="Q205" t="str">
        <f>IF(OR($A205="",$F205&lt;&gt;"أحد الشركاء"),"",COUNTIFS($A$4:A205,"&lt;&gt;",$F$4:F205,"أحد الشركاء"))</f>
        <v/>
      </c>
    </row>
    <row r="206" spans="1:17" ht="18.75" customHeight="1" x14ac:dyDescent="0.25">
      <c r="A206" s="152">
        <v>46282</v>
      </c>
      <c r="B206" s="36" t="s">
        <v>438</v>
      </c>
      <c r="C206" s="37" t="s">
        <v>376</v>
      </c>
      <c r="D206" s="38"/>
      <c r="E206" s="39">
        <v>10</v>
      </c>
      <c r="F206" s="136" t="s">
        <v>38</v>
      </c>
      <c r="G206" s="40"/>
      <c r="H206" s="41" t="s">
        <v>40</v>
      </c>
      <c r="I206" s="42"/>
      <c r="J206" s="43">
        <f>IF(AND(D206="",E206="",A206="",B206="",C206=""),"", IFERROR(IF(J205="",D2,J205),D2)+IF(OR(E206="",H206="معلق"),0,E206)-IF(OR(G206="أبو اسحاق",G206="أبو آدم",G206="أبو اسحاق ",G206="أبو آدم "),0,IF(D206="",0,D206)))</f>
        <v>536.04500000000007</v>
      </c>
      <c r="K206" s="44"/>
      <c r="L206">
        <f>IF(E205&gt;0,COUNTIF($E$4:E205,"&gt;0"),"")</f>
        <v>136</v>
      </c>
      <c r="M206" t="str">
        <f>IF(AND(D205&gt;0,G205="المحفظة"),COUNTIFS($D$4:D205,"&gt;"&amp;0,$G$4:G205,"المحفظة"),"")</f>
        <v/>
      </c>
      <c r="N206" t="str">
        <f>IF(AND(OR('طباعة كشف الحساب'!$C$2="الكل",MONTH(A206)=IFERROR(MATCH('طباعة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الحساب'!$F$2="الكل",YEAR(A206)=IFERROR(VALUE('طباعة كشف الحساب'!$F$2),0)),A206&lt;&gt;""),IFERROR(MAX($N$4:N205),0)+1,"")</f>
        <v/>
      </c>
      <c r="O206" t="str">
        <f>IF(AND(D205&gt;0,F205="أحد الشركاء"),COUNTIFS($D$4:D205,"&gt;"&amp;0,$F$4:F205,"أحد الشركاء"),"")</f>
        <v/>
      </c>
      <c r="P206">
        <f>IF(OR($A206="",$F206="أحد الشركاء",AND($D206="",$E206="")),"",SUMPRODUCT(($A$4:$A206&lt;&gt;"")*($F$4:$F206&lt;&gt;"أحد الشركاء")*((($D$4:$D206&lt;&gt;"")+($E$4:$E206&lt;&gt;""))&gt;0)))</f>
        <v>182</v>
      </c>
      <c r="Q206" t="str">
        <f>IF(OR($A206="",$F206&lt;&gt;"أحد الشركاء"),"",COUNTIFS($A$4:A206,"&lt;&gt;",$F$4:F206,"أحد الشركاء"))</f>
        <v/>
      </c>
    </row>
    <row r="207" spans="1:17" ht="18.75" customHeight="1" x14ac:dyDescent="0.25">
      <c r="A207" s="152">
        <v>46282</v>
      </c>
      <c r="B207" s="36" t="s">
        <v>440</v>
      </c>
      <c r="C207" s="27" t="s">
        <v>439</v>
      </c>
      <c r="D207" s="28"/>
      <c r="E207" s="29">
        <v>10</v>
      </c>
      <c r="F207" s="30" t="s">
        <v>38</v>
      </c>
      <c r="G207" s="31"/>
      <c r="H207" s="32" t="s">
        <v>40</v>
      </c>
      <c r="I207" s="33"/>
      <c r="J207" s="34">
        <f>IF(AND(D207="",E207="",A207="",B207="",C207=""),"", IFERROR(IF(J206="",D2,J206),D2)+IF(OR(E207="",H207="معلق"),0,E207)-IF(OR(G207="أبو اسحاق",G207="أبو آدم",G207="أبو اسحاق ",G207="أبو آدم "),0,IF(D207="",0,D207)))</f>
        <v>546.04500000000007</v>
      </c>
      <c r="K207" s="35"/>
      <c r="L207">
        <f>IF(E206&gt;0,COUNTIF($E$4:E206,"&gt;0"),"")</f>
        <v>137</v>
      </c>
      <c r="M207" t="str">
        <f>IF(AND(D206&gt;0,G206="المحفظة"),COUNTIFS($D$4:D206,"&gt;"&amp;0,$G$4:G206,"المحفظة"),"")</f>
        <v/>
      </c>
      <c r="N207" t="str">
        <f>IF(AND(OR('طباعة كشف الحساب'!$C$2="الكل",MONTH(A207)=IFERROR(MATCH('طباعة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الحساب'!$F$2="الكل",YEAR(A207)=IFERROR(VALUE('طباعة كشف الحساب'!$F$2),0)),A207&lt;&gt;""),IFERROR(MAX($N$4:N206),0)+1,"")</f>
        <v/>
      </c>
      <c r="O207" t="str">
        <f>IF(AND(D206&gt;0,F206="أحد الشركاء"),COUNTIFS($D$4:D206,"&gt;"&amp;0,$F$4:F206,"أحد الشركاء"),"")</f>
        <v/>
      </c>
      <c r="P207">
        <f>IF(OR($A207="",$F207="أحد الشركاء",AND($D207="",$E207="")),"",SUMPRODUCT(($A$4:$A207&lt;&gt;"")*($F$4:$F207&lt;&gt;"أحد الشركاء")*((($D$4:$D207&lt;&gt;"")+($E$4:$E207&lt;&gt;""))&gt;0)))</f>
        <v>183</v>
      </c>
      <c r="Q207" t="str">
        <f>IF(OR($A207="",$F207&lt;&gt;"أحد الشركاء"),"",COUNTIFS($A$4:A207,"&lt;&gt;",$F$4:F207,"أحد الشركاء"))</f>
        <v/>
      </c>
    </row>
    <row r="208" spans="1:17" ht="18.75" customHeight="1" x14ac:dyDescent="0.25">
      <c r="A208" s="152">
        <v>46282</v>
      </c>
      <c r="B208" s="36" t="s">
        <v>441</v>
      </c>
      <c r="C208" s="37" t="s">
        <v>442</v>
      </c>
      <c r="D208" s="38"/>
      <c r="E208" s="39">
        <v>10</v>
      </c>
      <c r="F208" s="136" t="s">
        <v>38</v>
      </c>
      <c r="G208" s="40"/>
      <c r="H208" s="41" t="s">
        <v>40</v>
      </c>
      <c r="I208" s="42"/>
      <c r="J208" s="43">
        <f>IF(AND(D208="",E208="",A208="",B208="",C208=""),"", IFERROR(IF(J207="",D2,J207),D2)+IF(OR(E208="",H208="معلق"),0,E208)-IF(OR(G208="أبو اسحاق",G208="أبو آدم",G208="أبو اسحاق ",G208="أبو آدم "),0,IF(D208="",0,D208)))</f>
        <v>556.04500000000007</v>
      </c>
      <c r="K208" s="44"/>
      <c r="L208">
        <f>IF(E207&gt;0,COUNTIF($E$4:E207,"&gt;0"),"")</f>
        <v>138</v>
      </c>
      <c r="M208" t="str">
        <f>IF(AND(D207&gt;0,G207="المحفظة"),COUNTIFS($D$4:D207,"&gt;"&amp;0,$G$4:G207,"المحفظة"),"")</f>
        <v/>
      </c>
      <c r="N208" t="str">
        <f>IF(AND(OR('طباعة كشف الحساب'!$C$2="الكل",MONTH(A208)=IFERROR(MATCH('طباعة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الحساب'!$F$2="الكل",YEAR(A208)=IFERROR(VALUE('طباعة كشف الحساب'!$F$2),0)),A208&lt;&gt;""),IFERROR(MAX($N$4:N207),0)+1,"")</f>
        <v/>
      </c>
      <c r="O208" t="str">
        <f>IF(AND(D207&gt;0,F207="أحد الشركاء"),COUNTIFS($D$4:D207,"&gt;"&amp;0,$F$4:F207,"أحد الشركاء"),"")</f>
        <v/>
      </c>
      <c r="P208">
        <f>IF(OR($A208="",$F208="أحد الشركاء",AND($D208="",$E208="")),"",SUMPRODUCT(($A$4:$A208&lt;&gt;"")*($F$4:$F208&lt;&gt;"أحد الشركاء")*((($D$4:$D208&lt;&gt;"")+($E$4:$E208&lt;&gt;""))&gt;0)))</f>
        <v>184</v>
      </c>
      <c r="Q208" t="str">
        <f>IF(OR($A208="",$F208&lt;&gt;"أحد الشركاء"),"",COUNTIFS($A$4:A208,"&lt;&gt;",$F$4:F208,"أحد الشركاء"))</f>
        <v/>
      </c>
    </row>
    <row r="209" spans="1:17" ht="18.75" customHeight="1" x14ac:dyDescent="0.25">
      <c r="A209" s="152">
        <v>46282</v>
      </c>
      <c r="B209" s="36" t="s">
        <v>443</v>
      </c>
      <c r="C209" s="27" t="s">
        <v>444</v>
      </c>
      <c r="D209" s="28"/>
      <c r="E209" s="29">
        <v>9</v>
      </c>
      <c r="F209" s="30" t="s">
        <v>38</v>
      </c>
      <c r="G209" s="31"/>
      <c r="H209" s="32" t="s">
        <v>40</v>
      </c>
      <c r="I209" s="33"/>
      <c r="J209" s="34">
        <f>IF(AND(D209="",E209="",A209="",B209="",C209=""),"", IFERROR(IF(J208="",D2,J208),D2)+IF(OR(E209="",H209="معلق"),0,E209)-IF(OR(G209="أبو اسحاق",G209="أبو آدم",G209="أبو اسحاق ",G209="أبو آدم "),0,IF(D209="",0,D209)))</f>
        <v>565.04500000000007</v>
      </c>
      <c r="K209" s="172" t="s">
        <v>498</v>
      </c>
      <c r="L209">
        <f>IF(E208&gt;0,COUNTIF($E$4:E208,"&gt;0"),"")</f>
        <v>139</v>
      </c>
      <c r="M209" t="str">
        <f>IF(AND(D208&gt;0,G208="المحفظة"),COUNTIFS($D$4:D208,"&gt;"&amp;0,$G$4:G208,"المحفظة"),"")</f>
        <v/>
      </c>
      <c r="N209" t="str">
        <f>IF(AND(OR('طباعة كشف الحساب'!$C$2="الكل",MONTH(A209)=IFERROR(MATCH('طباعة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الحساب'!$F$2="الكل",YEAR(A209)=IFERROR(VALUE('طباعة كشف الحساب'!$F$2),0)),A209&lt;&gt;""),IFERROR(MAX($N$4:N208),0)+1,"")</f>
        <v/>
      </c>
      <c r="O209" t="str">
        <f>IF(AND(D208&gt;0,F208="أحد الشركاء"),COUNTIFS($D$4:D208,"&gt;"&amp;0,$F$4:F208,"أحد الشركاء"),"")</f>
        <v/>
      </c>
      <c r="P209">
        <f>IF(OR($A209="",$F209="أحد الشركاء",AND($D209="",$E209="")),"",SUMPRODUCT(($A$4:$A209&lt;&gt;"")*($F$4:$F209&lt;&gt;"أحد الشركاء")*((($D$4:$D209&lt;&gt;"")+($E$4:$E209&lt;&gt;""))&gt;0)))</f>
        <v>185</v>
      </c>
      <c r="Q209" t="str">
        <f>IF(OR($A209="",$F209&lt;&gt;"أحد الشركاء"),"",COUNTIFS($A$4:A209,"&lt;&gt;",$F$4:F209,"أحد الشركاء"))</f>
        <v/>
      </c>
    </row>
    <row r="210" spans="1:17" ht="18.75" customHeight="1" x14ac:dyDescent="0.25">
      <c r="A210" s="152">
        <v>46282</v>
      </c>
      <c r="B210" s="36" t="s">
        <v>445</v>
      </c>
      <c r="C210" s="37" t="s">
        <v>444</v>
      </c>
      <c r="D210" s="38"/>
      <c r="E210" s="39">
        <v>6</v>
      </c>
      <c r="F210" s="136" t="s">
        <v>38</v>
      </c>
      <c r="G210" s="40"/>
      <c r="H210" s="41" t="s">
        <v>40</v>
      </c>
      <c r="I210" s="42"/>
      <c r="J210" s="43">
        <f>IF(AND(D210="",E210="",A210="",B210="",C210=""),"", IFERROR(IF(J209="",D2,J209),D2)+IF(OR(E210="",H210="معلق"),0,E210)-IF(OR(G210="أبو اسحاق",G210="أبو آدم",G210="أبو اسحاق ",G210="أبو آدم "),0,IF(D210="",0,D210)))</f>
        <v>571.04500000000007</v>
      </c>
      <c r="K210" s="173"/>
      <c r="L210">
        <f>IF(E209&gt;0,COUNTIF($E$4:E209,"&gt;0"),"")</f>
        <v>140</v>
      </c>
      <c r="M210" t="str">
        <f>IF(AND(D209&gt;0,G209="المحفظة"),COUNTIFS($D$4:D209,"&gt;"&amp;0,$G$4:G209,"المحفظة"),"")</f>
        <v/>
      </c>
      <c r="N210" t="str">
        <f>IF(AND(OR('طباعة كشف الحساب'!$C$2="الكل",MONTH(A210)=IFERROR(MATCH('طباعة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الحساب'!$F$2="الكل",YEAR(A210)=IFERROR(VALUE('طباعة كشف الحساب'!$F$2),0)),A210&lt;&gt;""),IFERROR(MAX($N$4:N209),0)+1,"")</f>
        <v/>
      </c>
      <c r="O210" t="str">
        <f>IF(AND(D209&gt;0,F209="أحد الشركاء"),COUNTIFS($D$4:D209,"&gt;"&amp;0,$F$4:F209,"أحد الشركاء"),"")</f>
        <v/>
      </c>
      <c r="P210">
        <f>IF(OR($A210="",$F210="أحد الشركاء",AND($D210="",$E210="")),"",SUMPRODUCT(($A$4:$A210&lt;&gt;"")*($F$4:$F210&lt;&gt;"أحد الشركاء")*((($D$4:$D210&lt;&gt;"")+($E$4:$E210&lt;&gt;""))&gt;0)))</f>
        <v>186</v>
      </c>
      <c r="Q210" t="str">
        <f>IF(OR($A210="",$F210&lt;&gt;"أحد الشركاء"),"",COUNTIFS($A$4:A210,"&lt;&gt;",$F$4:F210,"أحد الشركاء"))</f>
        <v/>
      </c>
    </row>
    <row r="211" spans="1:17" ht="18.75" customHeight="1" x14ac:dyDescent="0.25">
      <c r="A211" s="152">
        <v>46282</v>
      </c>
      <c r="B211" s="36" t="s">
        <v>446</v>
      </c>
      <c r="C211" s="27" t="s">
        <v>447</v>
      </c>
      <c r="D211" s="28"/>
      <c r="E211" s="29">
        <v>30</v>
      </c>
      <c r="F211" s="30" t="s">
        <v>38</v>
      </c>
      <c r="G211" s="31"/>
      <c r="H211" s="32" t="s">
        <v>40</v>
      </c>
      <c r="I211" s="33"/>
      <c r="J211" s="34">
        <f>IF(AND(D211="",E211="",A211="",B211="",C211=""),"", IFERROR(IF(J210="",D2,J210),D2)+IF(OR(E211="",H211="معلق"),0,E211)-IF(OR(G211="أبو اسحاق",G211="أبو آدم",G211="أبو اسحاق ",G211="أبو آدم "),0,IF(D211="",0,D211)))</f>
        <v>601.04500000000007</v>
      </c>
      <c r="K211" s="173"/>
      <c r="L211">
        <f>IF(E210&gt;0,COUNTIF($E$4:E210,"&gt;0"),"")</f>
        <v>141</v>
      </c>
      <c r="M211" t="str">
        <f>IF(AND(D210&gt;0,G210="المحفظة"),COUNTIFS($D$4:D210,"&gt;"&amp;0,$G$4:G210,"المحفظة"),"")</f>
        <v/>
      </c>
      <c r="N211" t="str">
        <f>IF(AND(OR('طباعة كشف الحساب'!$C$2="الكل",MONTH(A211)=IFERROR(MATCH('طباعة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الحساب'!$F$2="الكل",YEAR(A211)=IFERROR(VALUE('طباعة كشف الحساب'!$F$2),0)),A211&lt;&gt;""),IFERROR(MAX($N$4:N210),0)+1,"")</f>
        <v/>
      </c>
      <c r="O211" t="str">
        <f>IF(AND(D210&gt;0,F210="أحد الشركاء"),COUNTIFS($D$4:D210,"&gt;"&amp;0,$F$4:F210,"أحد الشركاء"),"")</f>
        <v/>
      </c>
      <c r="P211">
        <f>IF(OR($A211="",$F211="أحد الشركاء",AND($D211="",$E211="")),"",SUMPRODUCT(($A$4:$A211&lt;&gt;"")*($F$4:$F211&lt;&gt;"أحد الشركاء")*((($D$4:$D211&lt;&gt;"")+($E$4:$E211&lt;&gt;""))&gt;0)))</f>
        <v>187</v>
      </c>
      <c r="Q211" t="str">
        <f>IF(OR($A211="",$F211&lt;&gt;"أحد الشركاء"),"",COUNTIFS($A$4:A211,"&lt;&gt;",$F$4:F211,"أحد الشركاء"))</f>
        <v/>
      </c>
    </row>
    <row r="212" spans="1:17" ht="18.75" customHeight="1" x14ac:dyDescent="0.25">
      <c r="A212" s="152">
        <v>46282</v>
      </c>
      <c r="B212" s="36" t="s">
        <v>448</v>
      </c>
      <c r="C212" s="37" t="s">
        <v>449</v>
      </c>
      <c r="D212" s="38"/>
      <c r="E212" s="39">
        <v>7.5</v>
      </c>
      <c r="F212" s="136" t="s">
        <v>38</v>
      </c>
      <c r="G212" s="40"/>
      <c r="H212" s="41" t="s">
        <v>40</v>
      </c>
      <c r="I212" s="42"/>
      <c r="J212" s="43">
        <f>IF(AND(D212="",E212="",A212="",B212="",C212=""),"", IFERROR(IF(J211="",D2,J211),D2)+IF(OR(E212="",H212="معلق"),0,E212)-IF(OR(G212="أبو اسحاق",G212="أبو آدم",G212="أبو اسحاق ",G212="أبو آدم "),0,IF(D212="",0,D212)))</f>
        <v>608.54500000000007</v>
      </c>
      <c r="K212" s="173"/>
      <c r="L212">
        <f>IF(E211&gt;0,COUNTIF($E$4:E211,"&gt;0"),"")</f>
        <v>142</v>
      </c>
      <c r="M212" t="str">
        <f>IF(AND(D211&gt;0,G211="المحفظة"),COUNTIFS($D$4:D211,"&gt;"&amp;0,$G$4:G211,"المحفظة"),"")</f>
        <v/>
      </c>
      <c r="N212" t="str">
        <f>IF(AND(OR('طباعة كشف الحساب'!$C$2="الكل",MONTH(A212)=IFERROR(MATCH('طباعة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الحساب'!$F$2="الكل",YEAR(A212)=IFERROR(VALUE('طباعة كشف الحساب'!$F$2),0)),A212&lt;&gt;""),IFERROR(MAX($N$4:N211),0)+1,"")</f>
        <v/>
      </c>
      <c r="O212" t="str">
        <f>IF(AND(D211&gt;0,F211="أحد الشركاء"),COUNTIFS($D$4:D211,"&gt;"&amp;0,$F$4:F211,"أحد الشركاء"),"")</f>
        <v/>
      </c>
      <c r="P212">
        <f>IF(OR($A212="",$F212="أحد الشركاء",AND($D212="",$E212="")),"",SUMPRODUCT(($A$4:$A212&lt;&gt;"")*($F$4:$F212&lt;&gt;"أحد الشركاء")*((($D$4:$D212&lt;&gt;"")+($E$4:$E212&lt;&gt;""))&gt;0)))</f>
        <v>188</v>
      </c>
      <c r="Q212" t="str">
        <f>IF(OR($A212="",$F212&lt;&gt;"أحد الشركاء"),"",COUNTIFS($A$4:A212,"&lt;&gt;",$F$4:F212,"أحد الشركاء"))</f>
        <v/>
      </c>
    </row>
    <row r="213" spans="1:17" ht="18.75" customHeight="1" x14ac:dyDescent="0.25">
      <c r="A213" s="152">
        <v>46282</v>
      </c>
      <c r="B213" s="36" t="s">
        <v>450</v>
      </c>
      <c r="C213" s="27" t="s">
        <v>451</v>
      </c>
      <c r="D213" s="28"/>
      <c r="E213" s="29">
        <v>2.5</v>
      </c>
      <c r="F213" s="30" t="s">
        <v>38</v>
      </c>
      <c r="G213" s="31"/>
      <c r="H213" s="32" t="s">
        <v>40</v>
      </c>
      <c r="I213" s="33"/>
      <c r="J213" s="34">
        <f>IF(AND(D213="",E213="",A213="",B213="",C213=""),"", IFERROR(IF(J212="",D2,J212),D2)+IF(OR(E213="",H213="معلق"),0,E213)-IF(OR(G213="أبو اسحاق",G213="أبو آدم",G213="أبو اسحاق ",G213="أبو آدم "),0,IF(D213="",0,D213)))</f>
        <v>611.04500000000007</v>
      </c>
      <c r="K213" s="173"/>
      <c r="L213">
        <f>IF(E212&gt;0,COUNTIF($E$4:E212,"&gt;0"),"")</f>
        <v>143</v>
      </c>
      <c r="M213" t="str">
        <f>IF(AND(D212&gt;0,G212="المحفظة"),COUNTIFS($D$4:D212,"&gt;"&amp;0,$G$4:G212,"المحفظة"),"")</f>
        <v/>
      </c>
      <c r="N213" t="str">
        <f>IF(AND(OR('طباعة كشف الحساب'!$C$2="الكل",MONTH(A213)=IFERROR(MATCH('طباعة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الحساب'!$F$2="الكل",YEAR(A213)=IFERROR(VALUE('طباعة كشف الحساب'!$F$2),0)),A213&lt;&gt;""),IFERROR(MAX($N$4:N212),0)+1,"")</f>
        <v/>
      </c>
      <c r="O213" t="str">
        <f>IF(AND(D212&gt;0,F212="أحد الشركاء"),COUNTIFS($D$4:D212,"&gt;"&amp;0,$F$4:F212,"أحد الشركاء"),"")</f>
        <v/>
      </c>
      <c r="P213">
        <f>IF(OR($A213="",$F213="أحد الشركاء",AND($D213="",$E213="")),"",SUMPRODUCT(($A$4:$A213&lt;&gt;"")*($F$4:$F213&lt;&gt;"أحد الشركاء")*((($D$4:$D213&lt;&gt;"")+($E$4:$E213&lt;&gt;""))&gt;0)))</f>
        <v>189</v>
      </c>
      <c r="Q213" t="str">
        <f>IF(OR($A213="",$F213&lt;&gt;"أحد الشركاء"),"",COUNTIFS($A$4:A213,"&lt;&gt;",$F$4:F213,"أحد الشركاء"))</f>
        <v/>
      </c>
    </row>
    <row r="214" spans="1:17" ht="18.75" customHeight="1" x14ac:dyDescent="0.25">
      <c r="A214" s="152">
        <v>46282</v>
      </c>
      <c r="B214" s="36" t="s">
        <v>452</v>
      </c>
      <c r="C214" s="37" t="s">
        <v>453</v>
      </c>
      <c r="D214" s="38"/>
      <c r="E214" s="39">
        <v>7.5</v>
      </c>
      <c r="F214" s="136" t="s">
        <v>38</v>
      </c>
      <c r="G214" s="40"/>
      <c r="H214" s="41" t="s">
        <v>40</v>
      </c>
      <c r="I214" s="42"/>
      <c r="J214" s="43">
        <f>IF(AND(D214="",E214="",A214="",B214="",C214=""),"", IFERROR(IF(J213="",D2,J213),D2)+IF(OR(E214="",H214="معلق"),0,E214)-IF(OR(G214="أبو اسحاق",G214="أبو آدم",G214="أبو اسحاق ",G214="أبو آدم "),0,IF(D214="",0,D214)))</f>
        <v>618.54500000000007</v>
      </c>
      <c r="K214" s="174"/>
      <c r="L214">
        <f>IF(E213&gt;0,COUNTIF($E$4:E213,"&gt;0"),"")</f>
        <v>144</v>
      </c>
      <c r="M214" t="str">
        <f>IF(AND(D213&gt;0,G213="المحفظة"),COUNTIFS($D$4:D213,"&gt;"&amp;0,$G$4:G213,"المحفظة"),"")</f>
        <v/>
      </c>
      <c r="N214" t="str">
        <f>IF(AND(OR('طباعة كشف الحساب'!$C$2="الكل",MONTH(A214)=IFERROR(MATCH('طباعة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الحساب'!$F$2="الكل",YEAR(A214)=IFERROR(VALUE('طباعة كشف الحساب'!$F$2),0)),A214&lt;&gt;""),IFERROR(MAX($N$4:N213),0)+1,"")</f>
        <v/>
      </c>
      <c r="O214" t="str">
        <f>IF(AND(D213&gt;0,F213="أحد الشركاء"),COUNTIFS($D$4:D213,"&gt;"&amp;0,$F$4:F213,"أحد الشركاء"),"")</f>
        <v/>
      </c>
      <c r="P214">
        <f>IF(OR($A214="",$F214="أحد الشركاء",AND($D214="",$E214="")),"",SUMPRODUCT(($A$4:$A214&lt;&gt;"")*($F$4:$F214&lt;&gt;"أحد الشركاء")*((($D$4:$D214&lt;&gt;"")+($E$4:$E214&lt;&gt;""))&gt;0)))</f>
        <v>190</v>
      </c>
      <c r="Q214" t="str">
        <f>IF(OR($A214="",$F214&lt;&gt;"أحد الشركاء"),"",COUNTIFS($A$4:A214,"&lt;&gt;",$F$4:F214,"أحد الشركاء"))</f>
        <v/>
      </c>
    </row>
    <row r="215" spans="1:17" ht="18.75" customHeight="1" x14ac:dyDescent="0.25">
      <c r="A215" s="25">
        <v>46284</v>
      </c>
      <c r="B215" s="26"/>
      <c r="C215" s="27" t="s">
        <v>454</v>
      </c>
      <c r="D215" s="28">
        <v>25</v>
      </c>
      <c r="E215" s="29"/>
      <c r="F215" s="30" t="s">
        <v>38</v>
      </c>
      <c r="G215" s="31" t="s">
        <v>39</v>
      </c>
      <c r="H215" s="32" t="s">
        <v>40</v>
      </c>
      <c r="I215" s="33"/>
      <c r="J215" s="34">
        <f>IF(AND(D215="",E215="",A215="",B215="",C215=""),"", IFERROR(IF(J214="",D2,J214),D2)+IF(OR(E215="",H215="معلق"),0,E215)-IF(OR(G215="أبو اسحاق",G215="أبو آدم",G215="أبو اسحاق ",G215="أبو آدم "),0,IF(D215="",0,D215)))</f>
        <v>593.54500000000007</v>
      </c>
      <c r="K215" s="35"/>
      <c r="L215">
        <f>IF(E214&gt;0,COUNTIF($E$4:E214,"&gt;0"),"")</f>
        <v>145</v>
      </c>
      <c r="M215" t="str">
        <f>IF(AND(D214&gt;0,G214="المحفظة"),COUNTIFS($D$4:D214,"&gt;"&amp;0,$G$4:G214,"المحفظة"),"")</f>
        <v/>
      </c>
      <c r="N215" t="str">
        <f>IF(AND(OR('طباعة كشف الحساب'!$C$2="الكل",MONTH(A215)=IFERROR(MATCH('طباعة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الحساب'!$F$2="الكل",YEAR(A215)=IFERROR(VALUE('طباعة كشف الحساب'!$F$2),0)),A215&lt;&gt;""),IFERROR(MAX($N$4:N214),0)+1,"")</f>
        <v/>
      </c>
      <c r="O215" t="str">
        <f>IF(AND(D214&gt;0,F214="أحد الشركاء"),COUNTIFS($D$4:D214,"&gt;"&amp;0,$F$4:F214,"أحد الشركاء"),"")</f>
        <v/>
      </c>
      <c r="P215">
        <f>IF(OR($A215="",$F215="أحد الشركاء",AND($D215="",$E215="")),"",SUMPRODUCT(($A$4:$A215&lt;&gt;"")*($F$4:$F215&lt;&gt;"أحد الشركاء")*((($D$4:$D215&lt;&gt;"")+($E$4:$E215&lt;&gt;""))&gt;0)))</f>
        <v>191</v>
      </c>
      <c r="Q215" t="str">
        <f>IF(OR($A215="",$F215&lt;&gt;"أحد الشركاء"),"",COUNTIFS($A$4:A215,"&lt;&gt;",$F$4:F215,"أحد الشركاء"))</f>
        <v/>
      </c>
    </row>
    <row r="216" spans="1:17" ht="18.75" customHeight="1" x14ac:dyDescent="0.25">
      <c r="A216" s="25">
        <v>46284</v>
      </c>
      <c r="B216" s="36" t="s">
        <v>455</v>
      </c>
      <c r="C216" s="37" t="s">
        <v>456</v>
      </c>
      <c r="D216" s="38"/>
      <c r="E216" s="39">
        <v>243</v>
      </c>
      <c r="F216" s="136" t="s">
        <v>38</v>
      </c>
      <c r="G216" s="40"/>
      <c r="H216" s="41" t="s">
        <v>40</v>
      </c>
      <c r="I216" s="42"/>
      <c r="J216" s="43">
        <f>IF(AND(D216="",E216="",A216="",B216="",C216=""),"", IFERROR(IF(J215="",D2,J215),D2)+IF(OR(E216="",H216="معلق"),0,E216)-IF(OR(G216="أبو اسحاق",G216="أبو آدم",G216="أبو اسحاق ",G216="أبو آدم "),0,IF(D216="",0,D216)))</f>
        <v>836.54500000000007</v>
      </c>
      <c r="K216" s="44"/>
      <c r="L216" t="str">
        <f>IF(E215&gt;0,COUNTIF($E$4:E215,"&gt;0"),"")</f>
        <v/>
      </c>
      <c r="M216">
        <f>IF(AND(D215&gt;0,G215="المحفظة"),COUNTIFS($D$4:D215,"&gt;"&amp;0,$G$4:G215,"المحفظة"),"")</f>
        <v>45</v>
      </c>
      <c r="N216" t="str">
        <f>IF(AND(OR('طباعة كشف الحساب'!$C$2="الكل",MONTH(A216)=IFERROR(MATCH('طباعة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الحساب'!$F$2="الكل",YEAR(A216)=IFERROR(VALUE('طباعة كشف الحساب'!$F$2),0)),A216&lt;&gt;""),IFERROR(MAX($N$4:N215),0)+1,"")</f>
        <v/>
      </c>
      <c r="O216" t="str">
        <f>IF(AND(D215&gt;0,F215="أحد الشركاء"),COUNTIFS($D$4:D215,"&gt;"&amp;0,$F$4:F215,"أحد الشركاء"),"")</f>
        <v/>
      </c>
      <c r="P216">
        <f>IF(OR($A216="",$F216="أحد الشركاء",AND($D216="",$E216="")),"",SUMPRODUCT(($A$4:$A216&lt;&gt;"")*($F$4:$F216&lt;&gt;"أحد الشركاء")*((($D$4:$D216&lt;&gt;"")+($E$4:$E216&lt;&gt;""))&gt;0)))</f>
        <v>192</v>
      </c>
      <c r="Q216" t="str">
        <f>IF(OR($A216="",$F216&lt;&gt;"أحد الشركاء"),"",COUNTIFS($A$4:A216,"&lt;&gt;",$F$4:F216,"أحد الشركاء"))</f>
        <v/>
      </c>
    </row>
    <row r="217" spans="1:17" ht="18.75" customHeight="1" x14ac:dyDescent="0.25">
      <c r="A217" s="25">
        <v>46284</v>
      </c>
      <c r="B217" s="26"/>
      <c r="C217" s="27" t="s">
        <v>457</v>
      </c>
      <c r="D217" s="28">
        <v>18.75</v>
      </c>
      <c r="E217" s="29"/>
      <c r="F217" s="30" t="s">
        <v>38</v>
      </c>
      <c r="G217" s="31" t="s">
        <v>39</v>
      </c>
      <c r="H217" s="32" t="s">
        <v>40</v>
      </c>
      <c r="I217" s="33"/>
      <c r="J217" s="34">
        <f>IF(AND(D217="",E217="",A217="",B217="",C217=""),"", IFERROR(IF(J216="",D2,J216),D2)+IF(OR(E217="",H217="معلق"),0,E217)-IF(OR(G217="أبو اسحاق",G217="أبو آدم",G217="أبو اسحاق ",G217="أبو آدم "),0,IF(D217="",0,D217)))</f>
        <v>817.79500000000007</v>
      </c>
      <c r="K217" s="35"/>
      <c r="L217">
        <f>IF(E216&gt;0,COUNTIF($E$4:E216,"&gt;0"),"")</f>
        <v>146</v>
      </c>
      <c r="M217" t="str">
        <f>IF(AND(D216&gt;0,G216="المحفظة"),COUNTIFS($D$4:D216,"&gt;"&amp;0,$G$4:G216,"المحفظة"),"")</f>
        <v/>
      </c>
      <c r="N217" t="str">
        <f>IF(AND(OR('طباعة كشف الحساب'!$C$2="الكل",MONTH(A217)=IFERROR(MATCH('طباعة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الحساب'!$F$2="الكل",YEAR(A217)=IFERROR(VALUE('طباعة كشف الحساب'!$F$2),0)),A217&lt;&gt;""),IFERROR(MAX($N$4:N216),0)+1,"")</f>
        <v/>
      </c>
      <c r="O217" t="str">
        <f>IF(AND(D216&gt;0,F216="أحد الشركاء"),COUNTIFS($D$4:D216,"&gt;"&amp;0,$F$4:F216,"أحد الشركاء"),"")</f>
        <v/>
      </c>
      <c r="P217">
        <f>IF(OR($A217="",$F217="أحد الشركاء",AND($D217="",$E217="")),"",SUMPRODUCT(($A$4:$A217&lt;&gt;"")*($F$4:$F217&lt;&gt;"أحد الشركاء")*((($D$4:$D217&lt;&gt;"")+($E$4:$E217&lt;&gt;""))&gt;0)))</f>
        <v>193</v>
      </c>
      <c r="Q217" t="str">
        <f>IF(OR($A217="",$F217&lt;&gt;"أحد الشركاء"),"",COUNTIFS($A$4:A217,"&lt;&gt;",$F$4:F217,"أحد الشركاء"))</f>
        <v/>
      </c>
    </row>
    <row r="218" spans="1:17" ht="18.75" customHeight="1" x14ac:dyDescent="0.25">
      <c r="A218" s="25">
        <v>46286</v>
      </c>
      <c r="B218" s="36"/>
      <c r="C218" s="37" t="s">
        <v>208</v>
      </c>
      <c r="D218" s="38">
        <v>20</v>
      </c>
      <c r="E218" s="39"/>
      <c r="F218" s="136" t="s">
        <v>38</v>
      </c>
      <c r="G218" s="40" t="s">
        <v>39</v>
      </c>
      <c r="H218" s="41" t="s">
        <v>40</v>
      </c>
      <c r="I218" s="42"/>
      <c r="J218" s="43">
        <f>IF(AND(D218="",E218="",A218="",B218="",C218=""),"", IFERROR(IF(J217="",D2,J217),D2)+IF(OR(E218="",H218="معلق"),0,E218)-IF(OR(G218="أبو اسحاق",G218="أبو آدم",G218="أبو اسحاق ",G218="أبو آدم "),0,IF(D218="",0,D218)))</f>
        <v>797.79500000000007</v>
      </c>
      <c r="K218" s="44"/>
      <c r="L218" t="str">
        <f>IF(E217&gt;0,COUNTIF($E$4:E217,"&gt;0"),"")</f>
        <v/>
      </c>
      <c r="M218">
        <f>IF(AND(D217&gt;0,G217="المحفظة"),COUNTIFS($D$4:D217,"&gt;"&amp;0,$G$4:G217,"المحفظة"),"")</f>
        <v>46</v>
      </c>
      <c r="N218" t="str">
        <f>IF(AND(OR('طباعة كشف الحساب'!$C$2="الكل",MONTH(A218)=IFERROR(MATCH('طباعة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الحساب'!$F$2="الكل",YEAR(A218)=IFERROR(VALUE('طباعة كشف الحساب'!$F$2),0)),A218&lt;&gt;""),IFERROR(MAX($N$4:N217),0)+1,"")</f>
        <v/>
      </c>
      <c r="O218" t="str">
        <f>IF(AND(D217&gt;0,F217="أحد الشركاء"),COUNTIFS($D$4:D217,"&gt;"&amp;0,$F$4:F217,"أحد الشركاء"),"")</f>
        <v/>
      </c>
      <c r="P218">
        <f>IF(OR($A218="",$F218="أحد الشركاء",AND($D218="",$E218="")),"",SUMPRODUCT(($A$4:$A218&lt;&gt;"")*($F$4:$F218&lt;&gt;"أحد الشركاء")*((($D$4:$D218&lt;&gt;"")+($E$4:$E218&lt;&gt;""))&gt;0)))</f>
        <v>194</v>
      </c>
      <c r="Q218" t="str">
        <f>IF(OR($A218="",$F218&lt;&gt;"أحد الشركاء"),"",COUNTIFS($A$4:A218,"&lt;&gt;",$F$4:F218,"أحد الشركاء"))</f>
        <v/>
      </c>
    </row>
    <row r="219" spans="1:17" ht="18.75" customHeight="1" x14ac:dyDescent="0.25">
      <c r="A219" s="25">
        <v>46286</v>
      </c>
      <c r="B219" s="36" t="s">
        <v>458</v>
      </c>
      <c r="C219" s="27" t="s">
        <v>459</v>
      </c>
      <c r="D219" s="28"/>
      <c r="E219" s="29">
        <v>1.5</v>
      </c>
      <c r="F219" s="30" t="s">
        <v>38</v>
      </c>
      <c r="G219" s="31"/>
      <c r="H219" s="32" t="s">
        <v>40</v>
      </c>
      <c r="I219" s="33"/>
      <c r="J219" s="34">
        <f>IF(AND(D219="",E219="",A219="",B219="",C219=""),"", IFERROR(IF(J218="",D2,J218),D2)+IF(OR(E219="",H219="معلق"),0,E219)-IF(OR(G219="أبو اسحاق",G219="أبو آدم",G219="أبو اسحاق ",G219="أبو آدم "),0,IF(D219="",0,D219)))</f>
        <v>799.29500000000007</v>
      </c>
      <c r="K219" s="172" t="s">
        <v>497</v>
      </c>
      <c r="L219" t="str">
        <f>IF(E218&gt;0,COUNTIF($E$4:E218,"&gt;0"),"")</f>
        <v/>
      </c>
      <c r="M219">
        <f>IF(AND(D218&gt;0,G218="المحفظة"),COUNTIFS($D$4:D218,"&gt;"&amp;0,$G$4:G218,"المحفظة"),"")</f>
        <v>47</v>
      </c>
      <c r="N219" t="str">
        <f>IF(AND(OR('طباعة كشف الحساب'!$C$2="الكل",MONTH(A219)=IFERROR(MATCH('طباعة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الحساب'!$F$2="الكل",YEAR(A219)=IFERROR(VALUE('طباعة كشف الحساب'!$F$2),0)),A219&lt;&gt;""),IFERROR(MAX($N$4:N218),0)+1,"")</f>
        <v/>
      </c>
      <c r="O219" t="str">
        <f>IF(AND(D218&gt;0,F218="أحد الشركاء"),COUNTIFS($D$4:D218,"&gt;"&amp;0,$F$4:F218,"أحد الشركاء"),"")</f>
        <v/>
      </c>
      <c r="P219">
        <f>IF(OR($A219="",$F219="أحد الشركاء",AND($D219="",$E219="")),"",SUMPRODUCT(($A$4:$A219&lt;&gt;"")*($F$4:$F219&lt;&gt;"أحد الشركاء")*((($D$4:$D219&lt;&gt;"")+($E$4:$E219&lt;&gt;""))&gt;0)))</f>
        <v>195</v>
      </c>
      <c r="Q219" t="str">
        <f>IF(OR($A219="",$F219&lt;&gt;"أحد الشركاء"),"",COUNTIFS($A$4:A219,"&lt;&gt;",$F$4:F219,"أحد الشركاء"))</f>
        <v/>
      </c>
    </row>
    <row r="220" spans="1:17" ht="18.75" customHeight="1" x14ac:dyDescent="0.25">
      <c r="A220" s="25">
        <v>46286</v>
      </c>
      <c r="B220" s="36" t="s">
        <v>460</v>
      </c>
      <c r="C220" s="37" t="s">
        <v>459</v>
      </c>
      <c r="D220" s="38"/>
      <c r="E220" s="39">
        <v>1</v>
      </c>
      <c r="F220" s="136" t="s">
        <v>38</v>
      </c>
      <c r="G220" s="40"/>
      <c r="H220" s="41" t="s">
        <v>40</v>
      </c>
      <c r="I220" s="42"/>
      <c r="J220" s="43">
        <f>IF(AND(D220="",E220="",A220="",B220="",C220=""),"", IFERROR(IF(J219="",D2,J219),D2)+IF(OR(E220="",H220="معلق"),0,E220)-IF(OR(G220="أبو اسحاق",G220="أبو آدم",G220="أبو اسحاق ",G220="أبو آدم "),0,IF(D220="",0,D220)))</f>
        <v>800.29500000000007</v>
      </c>
      <c r="K220" s="173"/>
      <c r="L220">
        <f>IF(E219&gt;0,COUNTIF($E$4:E219,"&gt;0"),"")</f>
        <v>147</v>
      </c>
      <c r="M220" t="str">
        <f>IF(AND(D219&gt;0,G219="المحفظة"),COUNTIFS($D$4:D219,"&gt;"&amp;0,$G$4:G219,"المحفظة"),"")</f>
        <v/>
      </c>
      <c r="N220" t="str">
        <f>IF(AND(OR('طباعة كشف الحساب'!$C$2="الكل",MONTH(A220)=IFERROR(MATCH('طباعة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الحساب'!$F$2="الكل",YEAR(A220)=IFERROR(VALUE('طباعة كشف الحساب'!$F$2),0)),A220&lt;&gt;""),IFERROR(MAX($N$4:N219),0)+1,"")</f>
        <v/>
      </c>
      <c r="O220" t="str">
        <f>IF(AND(D219&gt;0,F219="أحد الشركاء"),COUNTIFS($D$4:D219,"&gt;"&amp;0,$F$4:F219,"أحد الشركاء"),"")</f>
        <v/>
      </c>
      <c r="P220">
        <f>IF(OR($A220="",$F220="أحد الشركاء",AND($D220="",$E220="")),"",SUMPRODUCT(($A$4:$A220&lt;&gt;"")*($F$4:$F220&lt;&gt;"أحد الشركاء")*((($D$4:$D220&lt;&gt;"")+($E$4:$E220&lt;&gt;""))&gt;0)))</f>
        <v>196</v>
      </c>
      <c r="Q220" t="str">
        <f>IF(OR($A220="",$F220&lt;&gt;"أحد الشركاء"),"",COUNTIFS($A$4:A220,"&lt;&gt;",$F$4:F220,"أحد الشركاء"))</f>
        <v/>
      </c>
    </row>
    <row r="221" spans="1:17" ht="18.75" customHeight="1" x14ac:dyDescent="0.25">
      <c r="A221" s="25">
        <v>46286</v>
      </c>
      <c r="B221" s="36" t="s">
        <v>461</v>
      </c>
      <c r="C221" s="27" t="s">
        <v>462</v>
      </c>
      <c r="D221" s="28"/>
      <c r="E221" s="29">
        <v>2.5</v>
      </c>
      <c r="F221" s="30" t="s">
        <v>38</v>
      </c>
      <c r="G221" s="31"/>
      <c r="H221" s="32" t="s">
        <v>40</v>
      </c>
      <c r="I221" s="33"/>
      <c r="J221" s="34">
        <f>IF(AND(D221="",E221="",A221="",B221="",C221=""),"", IFERROR(IF(J220="",D2,J220),D2)+IF(OR(E221="",H221="معلق"),0,E221)-IF(OR(G221="أبو اسحاق",G221="أبو آدم",G221="أبو اسحاق ",G221="أبو آدم "),0,IF(D221="",0,D221)))</f>
        <v>802.79500000000007</v>
      </c>
      <c r="K221" s="173"/>
      <c r="L221">
        <f>IF(E220&gt;0,COUNTIF($E$4:E220,"&gt;0"),"")</f>
        <v>148</v>
      </c>
      <c r="M221" t="str">
        <f>IF(AND(D220&gt;0,G220="المحفظة"),COUNTIFS($D$4:D220,"&gt;"&amp;0,$G$4:G220,"المحفظة"),"")</f>
        <v/>
      </c>
      <c r="N221" t="str">
        <f>IF(AND(OR('طباعة كشف الحساب'!$C$2="الكل",MONTH(A221)=IFERROR(MATCH('طباعة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الحساب'!$F$2="الكل",YEAR(A221)=IFERROR(VALUE('طباعة كشف الحساب'!$F$2),0)),A221&lt;&gt;""),IFERROR(MAX($N$4:N220),0)+1,"")</f>
        <v/>
      </c>
      <c r="O221" t="str">
        <f>IF(AND(D220&gt;0,F220="أحد الشركاء"),COUNTIFS($D$4:D220,"&gt;"&amp;0,$F$4:F220,"أحد الشركاء"),"")</f>
        <v/>
      </c>
      <c r="P221">
        <f>IF(OR($A221="",$F221="أحد الشركاء",AND($D221="",$E221="")),"",SUMPRODUCT(($A$4:$A221&lt;&gt;"")*($F$4:$F221&lt;&gt;"أحد الشركاء")*((($D$4:$D221&lt;&gt;"")+($E$4:$E221&lt;&gt;""))&gt;0)))</f>
        <v>197</v>
      </c>
      <c r="Q221" t="str">
        <f>IF(OR($A221="",$F221&lt;&gt;"أحد الشركاء"),"",COUNTIFS($A$4:A221,"&lt;&gt;",$F$4:F221,"أحد الشركاء"))</f>
        <v/>
      </c>
    </row>
    <row r="222" spans="1:17" ht="18.75" customHeight="1" x14ac:dyDescent="0.25">
      <c r="A222" s="25">
        <v>46286</v>
      </c>
      <c r="B222" s="36" t="s">
        <v>463</v>
      </c>
      <c r="C222" s="37" t="s">
        <v>464</v>
      </c>
      <c r="D222" s="38"/>
      <c r="E222" s="39">
        <v>72.5</v>
      </c>
      <c r="F222" s="136" t="s">
        <v>38</v>
      </c>
      <c r="G222" s="40"/>
      <c r="H222" s="41" t="s">
        <v>40</v>
      </c>
      <c r="I222" s="42"/>
      <c r="J222" s="43">
        <f>IF(AND(D222="",E222="",A222="",B222="",C222=""),"", IFERROR(IF(J221="",D2,J221),D2)+IF(OR(E222="",H222="معلق"),0,E222)-IF(OR(G222="أبو اسحاق",G222="أبو آدم",G222="أبو اسحاق ",G222="أبو آدم "),0,IF(D222="",0,D222)))</f>
        <v>875.29500000000007</v>
      </c>
      <c r="K222" s="173"/>
      <c r="L222">
        <f>IF(E221&gt;0,COUNTIF($E$4:E221,"&gt;0"),"")</f>
        <v>149</v>
      </c>
      <c r="M222" t="str">
        <f>IF(AND(D221&gt;0,G221="المحفظة"),COUNTIFS($D$4:D221,"&gt;"&amp;0,$G$4:G221,"المحفظة"),"")</f>
        <v/>
      </c>
      <c r="N222" t="str">
        <f>IF(AND(OR('طباعة كشف الحساب'!$C$2="الكل",MONTH(A222)=IFERROR(MATCH('طباعة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الحساب'!$F$2="الكل",YEAR(A222)=IFERROR(VALUE('طباعة كشف الحساب'!$F$2),0)),A222&lt;&gt;""),IFERROR(MAX($N$4:N221),0)+1,"")</f>
        <v/>
      </c>
      <c r="O222" t="str">
        <f>IF(AND(D221&gt;0,F221="أحد الشركاء"),COUNTIFS($D$4:D221,"&gt;"&amp;0,$F$4:F221,"أحد الشركاء"),"")</f>
        <v/>
      </c>
      <c r="P222">
        <f>IF(OR($A222="",$F222="أحد الشركاء",AND($D222="",$E222="")),"",SUMPRODUCT(($A$4:$A222&lt;&gt;"")*($F$4:$F222&lt;&gt;"أحد الشركاء")*((($D$4:$D222&lt;&gt;"")+($E$4:$E222&lt;&gt;""))&gt;0)))</f>
        <v>198</v>
      </c>
      <c r="Q222" t="str">
        <f>IF(OR($A222="",$F222&lt;&gt;"أحد الشركاء"),"",COUNTIFS($A$4:A222,"&lt;&gt;",$F$4:F222,"أحد الشركاء"))</f>
        <v/>
      </c>
    </row>
    <row r="223" spans="1:17" ht="18.75" customHeight="1" x14ac:dyDescent="0.25">
      <c r="A223" s="25">
        <v>46286</v>
      </c>
      <c r="B223" s="36" t="s">
        <v>465</v>
      </c>
      <c r="C223" s="27" t="s">
        <v>459</v>
      </c>
      <c r="D223" s="28"/>
      <c r="E223" s="29">
        <v>1.5</v>
      </c>
      <c r="F223" s="30" t="s">
        <v>38</v>
      </c>
      <c r="G223" s="31"/>
      <c r="H223" s="32" t="s">
        <v>40</v>
      </c>
      <c r="I223" s="33"/>
      <c r="J223" s="34">
        <f>IF(AND(D223="",E223="",A223="",B223="",C223=""),"", IFERROR(IF(J222="",D2,J222),D2)+IF(OR(E223="",H223="معلق"),0,E223)-IF(OR(G223="أبو اسحاق",G223="أبو آدم",G223="أبو اسحاق ",G223="أبو آدم "),0,IF(D223="",0,D223)))</f>
        <v>876.79500000000007</v>
      </c>
      <c r="K223" s="174"/>
      <c r="L223">
        <f>IF(E222&gt;0,COUNTIF($E$4:E222,"&gt;0"),"")</f>
        <v>150</v>
      </c>
      <c r="M223" t="str">
        <f>IF(AND(D222&gt;0,G222="المحفظة"),COUNTIFS($D$4:D222,"&gt;"&amp;0,$G$4:G222,"المحفظة"),"")</f>
        <v/>
      </c>
      <c r="N223" t="str">
        <f>IF(AND(OR('طباعة كشف الحساب'!$C$2="الكل",MONTH(A223)=IFERROR(MATCH('طباعة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الحساب'!$F$2="الكل",YEAR(A223)=IFERROR(VALUE('طباعة كشف الحساب'!$F$2),0)),A223&lt;&gt;""),IFERROR(MAX($N$4:N222),0)+1,"")</f>
        <v/>
      </c>
      <c r="O223" t="str">
        <f>IF(AND(D222&gt;0,F222="أحد الشركاء"),COUNTIFS($D$4:D222,"&gt;"&amp;0,$F$4:F222,"أحد الشركاء"),"")</f>
        <v/>
      </c>
      <c r="P223">
        <f>IF(OR($A223="",$F223="أحد الشركاء",AND($D223="",$E223="")),"",SUMPRODUCT(($A$4:$A223&lt;&gt;"")*($F$4:$F223&lt;&gt;"أحد الشركاء")*((($D$4:$D223&lt;&gt;"")+($E$4:$E223&lt;&gt;""))&gt;0)))</f>
        <v>199</v>
      </c>
      <c r="Q223" t="str">
        <f>IF(OR($A223="",$F223&lt;&gt;"أحد الشركاء"),"",COUNTIFS($A$4:A223,"&lt;&gt;",$F$4:F223,"أحد الشركاء"))</f>
        <v/>
      </c>
    </row>
    <row r="224" spans="1:17" ht="18.75" customHeight="1" x14ac:dyDescent="0.25">
      <c r="A224" s="25">
        <v>46287</v>
      </c>
      <c r="B224" s="36" t="s">
        <v>466</v>
      </c>
      <c r="C224" s="37" t="s">
        <v>468</v>
      </c>
      <c r="D224" s="38"/>
      <c r="E224" s="39">
        <v>45</v>
      </c>
      <c r="F224" s="136" t="s">
        <v>38</v>
      </c>
      <c r="G224" s="40"/>
      <c r="H224" s="41" t="s">
        <v>40</v>
      </c>
      <c r="I224" s="42"/>
      <c r="J224" s="43">
        <f>IF(AND(D224="",E224="",A224="",B224="",C224=""),"", IFERROR(IF(J223="",D2,J223),D2)+IF(OR(E224="",H224="معلق"),0,E224)-IF(OR(G224="أبو اسحاق",G224="أبو آدم",G224="أبو اسحاق ",G224="أبو آدم "),0,IF(D224="",0,D224)))</f>
        <v>921.79500000000007</v>
      </c>
      <c r="K224" s="44"/>
      <c r="L224">
        <f>IF(E223&gt;0,COUNTIF($E$4:E223,"&gt;0"),"")</f>
        <v>151</v>
      </c>
      <c r="M224" t="str">
        <f>IF(AND(D223&gt;0,G223="المحفظة"),COUNTIFS($D$4:D223,"&gt;"&amp;0,$G$4:G223,"المحفظة"),"")</f>
        <v/>
      </c>
      <c r="N224" t="str">
        <f>IF(AND(OR('طباعة كشف الحساب'!$C$2="الكل",MONTH(A224)=IFERROR(MATCH('طباعة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الحساب'!$F$2="الكل",YEAR(A224)=IFERROR(VALUE('طباعة كشف الحساب'!$F$2),0)),A224&lt;&gt;""),IFERROR(MAX($N$4:N223),0)+1,"")</f>
        <v/>
      </c>
      <c r="O224" t="str">
        <f>IF(AND(D223&gt;0,F223="أحد الشركاء"),COUNTIFS($D$4:D223,"&gt;"&amp;0,$F$4:F223,"أحد الشركاء"),"")</f>
        <v/>
      </c>
      <c r="P224">
        <f>IF(OR($A224="",$F224="أحد الشركاء",AND($D224="",$E224="")),"",SUMPRODUCT(($A$4:$A224&lt;&gt;"")*($F$4:$F224&lt;&gt;"أحد الشركاء")*((($D$4:$D224&lt;&gt;"")+($E$4:$E224&lt;&gt;""))&gt;0)))</f>
        <v>200</v>
      </c>
      <c r="Q224" t="str">
        <f>IF(OR($A224="",$F224&lt;&gt;"أحد الشركاء"),"",COUNTIFS($A$4:A224,"&lt;&gt;",$F$4:F224,"أحد الشركاء"))</f>
        <v/>
      </c>
    </row>
    <row r="225" spans="1:17" ht="18.75" customHeight="1" x14ac:dyDescent="0.25">
      <c r="A225" s="25">
        <v>46287</v>
      </c>
      <c r="B225" s="26" t="s">
        <v>467</v>
      </c>
      <c r="C225" s="27" t="s">
        <v>459</v>
      </c>
      <c r="D225" s="28"/>
      <c r="E225" s="29">
        <v>5</v>
      </c>
      <c r="F225" s="30" t="s">
        <v>38</v>
      </c>
      <c r="G225" s="31"/>
      <c r="H225" s="32" t="s">
        <v>40</v>
      </c>
      <c r="I225" s="33"/>
      <c r="J225" s="34">
        <f>IF(AND(D225="",E225="",A225="",B225="",C225=""),"", IFERROR(IF(J224="",D2,J224),D2)+IF(OR(E225="",H225="معلق"),0,E225)-IF(OR(G225="أبو اسحاق",G225="أبو آدم",G225="أبو اسحاق ",G225="أبو آدم "),0,IF(D225="",0,D225)))</f>
        <v>926.79500000000007</v>
      </c>
      <c r="K225" s="35"/>
      <c r="L225">
        <f>IF(E224&gt;0,COUNTIF($E$4:E224,"&gt;0"),"")</f>
        <v>152</v>
      </c>
      <c r="M225" t="str">
        <f>IF(AND(D224&gt;0,G224="المحفظة"),COUNTIFS($D$4:D224,"&gt;"&amp;0,$G$4:G224,"المحفظة"),"")</f>
        <v/>
      </c>
      <c r="N225" t="str">
        <f>IF(AND(OR('طباعة كشف الحساب'!$C$2="الكل",MONTH(A225)=IFERROR(MATCH('طباعة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الحساب'!$F$2="الكل",YEAR(A225)=IFERROR(VALUE('طباعة كشف الحساب'!$F$2),0)),A225&lt;&gt;""),IFERROR(MAX($N$4:N224),0)+1,"")</f>
        <v/>
      </c>
      <c r="O225" t="str">
        <f>IF(AND(D224&gt;0,F224="أحد الشركاء"),COUNTIFS($D$4:D224,"&gt;"&amp;0,$F$4:F224,"أحد الشركاء"),"")</f>
        <v/>
      </c>
      <c r="P225">
        <f>IF(OR($A225="",$F225="أحد الشركاء",AND($D225="",$E225="")),"",SUMPRODUCT(($A$4:$A225&lt;&gt;"")*($F$4:$F225&lt;&gt;"أحد الشركاء")*((($D$4:$D225&lt;&gt;"")+($E$4:$E225&lt;&gt;""))&gt;0)))</f>
        <v>201</v>
      </c>
      <c r="Q225" t="str">
        <f>IF(OR($A225="",$F225&lt;&gt;"أحد الشركاء"),"",COUNTIFS($A$4:A225,"&lt;&gt;",$F$4:F225,"أحد الشركاء"))</f>
        <v/>
      </c>
    </row>
    <row r="226" spans="1:17" ht="18.75" customHeight="1" x14ac:dyDescent="0.25">
      <c r="A226" s="25">
        <v>46287</v>
      </c>
      <c r="B226" s="36" t="s">
        <v>470</v>
      </c>
      <c r="C226" s="37" t="s">
        <v>469</v>
      </c>
      <c r="D226" s="38"/>
      <c r="E226" s="39">
        <v>10</v>
      </c>
      <c r="F226" s="136" t="s">
        <v>38</v>
      </c>
      <c r="G226" s="40"/>
      <c r="H226" s="41" t="s">
        <v>40</v>
      </c>
      <c r="I226" s="42"/>
      <c r="J226" s="43">
        <f>IF(AND(D226="",E226="",A226="",B226="",C226=""),"", IFERROR(IF(J225="",D2,J225),D2)+IF(OR(E226="",H226="معلق"),0,E226)-IF(OR(G226="أبو اسحاق",G226="أبو آدم",G226="أبو اسحاق ",G226="أبو آدم "),0,IF(D226="",0,D226)))</f>
        <v>936.79500000000007</v>
      </c>
      <c r="K226" s="44"/>
      <c r="L226">
        <f>IF(E225&gt;0,COUNTIF($E$4:E225,"&gt;0"),"")</f>
        <v>153</v>
      </c>
      <c r="M226" t="str">
        <f>IF(AND(D225&gt;0,G225="المحفظة"),COUNTIFS($D$4:D225,"&gt;"&amp;0,$G$4:G225,"المحفظة"),"")</f>
        <v/>
      </c>
      <c r="N226" t="str">
        <f>IF(AND(OR('طباعة كشف الحساب'!$C$2="الكل",MONTH(A226)=IFERROR(MATCH('طباعة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الحساب'!$F$2="الكل",YEAR(A226)=IFERROR(VALUE('طباعة كشف الحساب'!$F$2),0)),A226&lt;&gt;""),IFERROR(MAX($N$4:N225),0)+1,"")</f>
        <v/>
      </c>
      <c r="O226" t="str">
        <f>IF(AND(D225&gt;0,F225="أحد الشركاء"),COUNTIFS($D$4:D225,"&gt;"&amp;0,$F$4:F225,"أحد الشركاء"),"")</f>
        <v/>
      </c>
      <c r="P226">
        <f>IF(OR($A226="",$F226="أحد الشركاء",AND($D226="",$E226="")),"",SUMPRODUCT(($A$4:$A226&lt;&gt;"")*($F$4:$F226&lt;&gt;"أحد الشركاء")*((($D$4:$D226&lt;&gt;"")+($E$4:$E226&lt;&gt;""))&gt;0)))</f>
        <v>202</v>
      </c>
      <c r="Q226" t="str">
        <f>IF(OR($A226="",$F226&lt;&gt;"أحد الشركاء"),"",COUNTIFS($A$4:A226,"&lt;&gt;",$F$4:F226,"أحد الشركاء"))</f>
        <v/>
      </c>
    </row>
    <row r="227" spans="1:17" ht="18.75" customHeight="1" x14ac:dyDescent="0.25">
      <c r="A227" s="25">
        <v>46287</v>
      </c>
      <c r="B227" s="26" t="s">
        <v>471</v>
      </c>
      <c r="C227" s="27" t="s">
        <v>459</v>
      </c>
      <c r="D227" s="28"/>
      <c r="E227" s="29">
        <v>20</v>
      </c>
      <c r="F227" s="30" t="s">
        <v>38</v>
      </c>
      <c r="G227" s="31"/>
      <c r="H227" s="32" t="s">
        <v>40</v>
      </c>
      <c r="I227" s="33"/>
      <c r="J227" s="34">
        <f>IF(AND(D227="",E227="",A227="",B227="",C227=""),"", IFERROR(IF(J226="",D2,J226),D2)+IF(OR(E227="",H227="معلق"),0,E227)-IF(OR(G227="أبو اسحاق",G227="أبو آدم",G227="أبو اسحاق ",G227="أبو آدم "),0,IF(D227="",0,D227)))</f>
        <v>956.79500000000007</v>
      </c>
      <c r="K227" s="172" t="s">
        <v>477</v>
      </c>
      <c r="L227">
        <f>IF(E226&gt;0,COUNTIF($E$4:E226,"&gt;0"),"")</f>
        <v>154</v>
      </c>
      <c r="M227" t="str">
        <f>IF(AND(D226&gt;0,G226="المحفظة"),COUNTIFS($D$4:D226,"&gt;"&amp;0,$G$4:G226,"المحفظة"),"")</f>
        <v/>
      </c>
      <c r="N227" t="str">
        <f>IF(AND(OR('طباعة كشف الحساب'!$C$2="الكل",MONTH(A227)=IFERROR(MATCH('طباعة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الحساب'!$F$2="الكل",YEAR(A227)=IFERROR(VALUE('طباعة كشف الحساب'!$F$2),0)),A227&lt;&gt;""),IFERROR(MAX($N$4:N226),0)+1,"")</f>
        <v/>
      </c>
      <c r="O227" t="str">
        <f>IF(AND(D226&gt;0,F226="أحد الشركاء"),COUNTIFS($D$4:D226,"&gt;"&amp;0,$F$4:F226,"أحد الشركاء"),"")</f>
        <v/>
      </c>
      <c r="P227">
        <f>IF(OR($A227="",$F227="أحد الشركاء",AND($D227="",$E227="")),"",SUMPRODUCT(($A$4:$A227&lt;&gt;"")*($F$4:$F227&lt;&gt;"أحد الشركاء")*((($D$4:$D227&lt;&gt;"")+($E$4:$E227&lt;&gt;""))&gt;0)))</f>
        <v>203</v>
      </c>
      <c r="Q227" t="str">
        <f>IF(OR($A227="",$F227&lt;&gt;"أحد الشركاء"),"",COUNTIFS($A$4:A227,"&lt;&gt;",$F$4:F227,"أحد الشركاء"))</f>
        <v/>
      </c>
    </row>
    <row r="228" spans="1:17" ht="18.75" customHeight="1" x14ac:dyDescent="0.25">
      <c r="A228" s="25">
        <v>46287</v>
      </c>
      <c r="B228" s="36" t="s">
        <v>472</v>
      </c>
      <c r="C228" s="37" t="s">
        <v>459</v>
      </c>
      <c r="D228" s="38"/>
      <c r="E228" s="39">
        <v>9</v>
      </c>
      <c r="F228" s="136" t="s">
        <v>38</v>
      </c>
      <c r="G228" s="40"/>
      <c r="H228" s="41" t="s">
        <v>40</v>
      </c>
      <c r="I228" s="42"/>
      <c r="J228" s="43">
        <f>IF(AND(D228="",E228="",A228="",B228="",C228=""),"", IFERROR(IF(J227="",D2,J227),D2)+IF(OR(E228="",H228="معلق"),0,E228)-IF(OR(G228="أبو اسحاق",G228="أبو آدم",G228="أبو اسحاق ",G228="أبو آدم "),0,IF(D228="",0,D228)))</f>
        <v>965.79500000000007</v>
      </c>
      <c r="K228" s="173"/>
      <c r="L228">
        <f>IF(E227&gt;0,COUNTIF($E$4:E227,"&gt;0"),"")</f>
        <v>155</v>
      </c>
      <c r="M228" t="str">
        <f>IF(AND(D227&gt;0,G227="المحفظة"),COUNTIFS($D$4:D227,"&gt;"&amp;0,$G$4:G227,"المحفظة"),"")</f>
        <v/>
      </c>
      <c r="N228" t="str">
        <f>IF(AND(OR('طباعة كشف الحساب'!$C$2="الكل",MONTH(A228)=IFERROR(MATCH('طباعة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الحساب'!$F$2="الكل",YEAR(A228)=IFERROR(VALUE('طباعة كشف الحساب'!$F$2),0)),A228&lt;&gt;""),IFERROR(MAX($N$4:N227),0)+1,"")</f>
        <v/>
      </c>
      <c r="O228" t="str">
        <f>IF(AND(D227&gt;0,F227="أحد الشركاء"),COUNTIFS($D$4:D227,"&gt;"&amp;0,$F$4:F227,"أحد الشركاء"),"")</f>
        <v/>
      </c>
      <c r="P228">
        <f>IF(OR($A228="",$F228="أحد الشركاء",AND($D228="",$E228="")),"",SUMPRODUCT(($A$4:$A228&lt;&gt;"")*($F$4:$F228&lt;&gt;"أحد الشركاء")*((($D$4:$D228&lt;&gt;"")+($E$4:$E228&lt;&gt;""))&gt;0)))</f>
        <v>204</v>
      </c>
      <c r="Q228" t="str">
        <f>IF(OR($A228="",$F228&lt;&gt;"أحد الشركاء"),"",COUNTIFS($A$4:A228,"&lt;&gt;",$F$4:F228,"أحد الشركاء"))</f>
        <v/>
      </c>
    </row>
    <row r="229" spans="1:17" ht="18.75" customHeight="1" x14ac:dyDescent="0.25">
      <c r="A229" s="25">
        <v>46287</v>
      </c>
      <c r="B229" s="26" t="s">
        <v>473</v>
      </c>
      <c r="C229" s="27" t="s">
        <v>475</v>
      </c>
      <c r="D229" s="28"/>
      <c r="E229" s="29">
        <v>24</v>
      </c>
      <c r="F229" s="30" t="s">
        <v>38</v>
      </c>
      <c r="G229" s="31"/>
      <c r="H229" s="32" t="s">
        <v>40</v>
      </c>
      <c r="I229" s="33"/>
      <c r="J229" s="34">
        <f>IF(AND(D229="",E229="",A229="",B229="",C229=""),"", IFERROR(IF(J228="",D2,J228),D2)+IF(OR(E229="",H229="معلق"),0,E229)-IF(OR(G229="أبو اسحاق",G229="أبو آدم",G229="أبو اسحاق ",G229="أبو آدم "),0,IF(D229="",0,D229)))</f>
        <v>989.79500000000007</v>
      </c>
      <c r="K229" s="173"/>
      <c r="L229">
        <f>IF(E228&gt;0,COUNTIF($E$4:E228,"&gt;0"),"")</f>
        <v>156</v>
      </c>
      <c r="M229" t="str">
        <f>IF(AND(D228&gt;0,G228="المحفظة"),COUNTIFS($D$4:D228,"&gt;"&amp;0,$G$4:G228,"المحفظة"),"")</f>
        <v/>
      </c>
      <c r="N229" t="str">
        <f>IF(AND(OR('طباعة كشف الحساب'!$C$2="الكل",MONTH(A229)=IFERROR(MATCH('طباعة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الحساب'!$F$2="الكل",YEAR(A229)=IFERROR(VALUE('طباعة كشف الحساب'!$F$2),0)),A229&lt;&gt;""),IFERROR(MAX($N$4:N228),0)+1,"")</f>
        <v/>
      </c>
      <c r="O229" t="str">
        <f>IF(AND(D228&gt;0,F228="أحد الشركاء"),COUNTIFS($D$4:D228,"&gt;"&amp;0,$F$4:F228,"أحد الشركاء"),"")</f>
        <v/>
      </c>
      <c r="P229">
        <f>IF(OR($A229="",$F229="أحد الشركاء",AND($D229="",$E229="")),"",SUMPRODUCT(($A$4:$A229&lt;&gt;"")*($F$4:$F229&lt;&gt;"أحد الشركاء")*((($D$4:$D229&lt;&gt;"")+($E$4:$E229&lt;&gt;""))&gt;0)))</f>
        <v>205</v>
      </c>
      <c r="Q229" t="str">
        <f>IF(OR($A229="",$F229&lt;&gt;"أحد الشركاء"),"",COUNTIFS($A$4:A229,"&lt;&gt;",$F$4:F229,"أحد الشركاء"))</f>
        <v/>
      </c>
    </row>
    <row r="230" spans="1:17" ht="18.75" customHeight="1" x14ac:dyDescent="0.25">
      <c r="A230" s="25">
        <v>46287</v>
      </c>
      <c r="B230" s="36" t="s">
        <v>474</v>
      </c>
      <c r="C230" s="37" t="s">
        <v>476</v>
      </c>
      <c r="D230" s="38"/>
      <c r="E230" s="39">
        <v>13</v>
      </c>
      <c r="F230" s="136" t="s">
        <v>38</v>
      </c>
      <c r="G230" s="40"/>
      <c r="H230" s="41" t="s">
        <v>40</v>
      </c>
      <c r="I230" s="42"/>
      <c r="J230" s="43">
        <f>IF(AND(D230="",E230="",A230="",B230="",C230=""),"", IFERROR(IF(J229="",D2,J229),D2)+IF(OR(E230="",H230="معلق"),0,E230)-IF(OR(G230="أبو اسحاق",G230="أبو آدم",G230="أبو اسحاق ",G230="أبو آدم "),0,IF(D230="",0,D230)))</f>
        <v>1002.7950000000001</v>
      </c>
      <c r="K230" s="174"/>
      <c r="L230">
        <f>IF(E229&gt;0,COUNTIF($E$4:E229,"&gt;0"),"")</f>
        <v>157</v>
      </c>
      <c r="M230" t="str">
        <f>IF(AND(D229&gt;0,G229="المحفظة"),COUNTIFS($D$4:D229,"&gt;"&amp;0,$G$4:G229,"المحفظة"),"")</f>
        <v/>
      </c>
      <c r="N230" t="str">
        <f>IF(AND(OR('طباعة كشف الحساب'!$C$2="الكل",MONTH(A230)=IFERROR(MATCH('طباعة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الحساب'!$F$2="الكل",YEAR(A230)=IFERROR(VALUE('طباعة كشف الحساب'!$F$2),0)),A230&lt;&gt;""),IFERROR(MAX($N$4:N229),0)+1,"")</f>
        <v/>
      </c>
      <c r="O230" t="str">
        <f>IF(AND(D229&gt;0,F229="أحد الشركاء"),COUNTIFS($D$4:D229,"&gt;"&amp;0,$F$4:F229,"أحد الشركاء"),"")</f>
        <v/>
      </c>
      <c r="P230">
        <f>IF(OR($A230="",$F230="أحد الشركاء",AND($D230="",$E230="")),"",SUMPRODUCT(($A$4:$A230&lt;&gt;"")*($F$4:$F230&lt;&gt;"أحد الشركاء")*((($D$4:$D230&lt;&gt;"")+($E$4:$E230&lt;&gt;""))&gt;0)))</f>
        <v>206</v>
      </c>
      <c r="Q230" t="str">
        <f>IF(OR($A230="",$F230&lt;&gt;"أحد الشركاء"),"",COUNTIFS($A$4:A230,"&lt;&gt;",$F$4:F230,"أحد الشركاء"))</f>
        <v/>
      </c>
    </row>
    <row r="231" spans="1:17" ht="18.75" customHeight="1" x14ac:dyDescent="0.25">
      <c r="A231" s="25">
        <v>46288</v>
      </c>
      <c r="B231" s="26"/>
      <c r="C231" s="27" t="s">
        <v>478</v>
      </c>
      <c r="D231" s="28">
        <v>3.5</v>
      </c>
      <c r="E231" s="29"/>
      <c r="F231" s="30" t="s">
        <v>38</v>
      </c>
      <c r="G231" s="31" t="s">
        <v>39</v>
      </c>
      <c r="H231" s="32" t="s">
        <v>40</v>
      </c>
      <c r="I231" s="33"/>
      <c r="J231" s="34">
        <f>IF(AND(D231="",E231="",A231="",B231="",C231=""),"", IFERROR(IF(J230="",D2,J230),D2)+IF(OR(E231="",H231="معلق"),0,E231)-IF(OR(G231="أبو اسحاق",G231="أبو آدم",G231="أبو اسحاق ",G231="أبو آدم "),0,IF(D231="",0,D231)))</f>
        <v>999.29500000000007</v>
      </c>
      <c r="K231" s="35"/>
      <c r="L231">
        <f>IF(E230&gt;0,COUNTIF($E$4:E230,"&gt;0"),"")</f>
        <v>158</v>
      </c>
      <c r="M231" t="str">
        <f>IF(AND(D230&gt;0,G230="المحفظة"),COUNTIFS($D$4:D230,"&gt;"&amp;0,$G$4:G230,"المحفظة"),"")</f>
        <v/>
      </c>
      <c r="N231" t="str">
        <f>IF(AND(OR('طباعة كشف الحساب'!$C$2="الكل",MONTH(A231)=IFERROR(MATCH('طباعة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الحساب'!$F$2="الكل",YEAR(A231)=IFERROR(VALUE('طباعة كشف الحساب'!$F$2),0)),A231&lt;&gt;""),IFERROR(MAX($N$4:N230),0)+1,"")</f>
        <v/>
      </c>
      <c r="O231" t="str">
        <f>IF(AND(D230&gt;0,F230="أحد الشركاء"),COUNTIFS($D$4:D230,"&gt;"&amp;0,$F$4:F230,"أحد الشركاء"),"")</f>
        <v/>
      </c>
      <c r="P231">
        <f>IF(OR($A231="",$F231="أحد الشركاء",AND($D231="",$E231="")),"",SUMPRODUCT(($A$4:$A231&lt;&gt;"")*($F$4:$F231&lt;&gt;"أحد الشركاء")*((($D$4:$D231&lt;&gt;"")+($E$4:$E231&lt;&gt;""))&gt;0)))</f>
        <v>207</v>
      </c>
      <c r="Q231" t="str">
        <f>IF(OR($A231="",$F231&lt;&gt;"أحد الشركاء"),"",COUNTIFS($A$4:A231,"&lt;&gt;",$F$4:F231,"أحد الشركاء"))</f>
        <v/>
      </c>
    </row>
    <row r="232" spans="1:17" ht="18.75" customHeight="1" x14ac:dyDescent="0.25">
      <c r="A232" s="25">
        <v>46288</v>
      </c>
      <c r="B232" s="36"/>
      <c r="C232" s="37" t="s">
        <v>479</v>
      </c>
      <c r="D232" s="38">
        <v>31.5</v>
      </c>
      <c r="E232" s="39"/>
      <c r="F232" s="136" t="s">
        <v>38</v>
      </c>
      <c r="G232" s="40" t="s">
        <v>39</v>
      </c>
      <c r="H232" s="41" t="s">
        <v>40</v>
      </c>
      <c r="I232" s="42"/>
      <c r="J232" s="43">
        <f>IF(AND(D232="",E232="",A232="",B232="",C232=""),"", IFERROR(IF(J231="",D2,J231),D2)+IF(OR(E232="",H232="معلق"),0,E232)-IF(OR(G232="أبو اسحاق",G232="أبو آدم",G232="أبو اسحاق ",G232="أبو آدم "),0,IF(D232="",0,D232)))</f>
        <v>967.79500000000007</v>
      </c>
      <c r="K232" s="44"/>
      <c r="L232" t="str">
        <f>IF(E231&gt;0,COUNTIF($E$4:E231,"&gt;0"),"")</f>
        <v/>
      </c>
      <c r="M232">
        <f>IF(AND(D231&gt;0,G231="المحفظة"),COUNTIFS($D$4:D231,"&gt;"&amp;0,$G$4:G231,"المحفظة"),"")</f>
        <v>48</v>
      </c>
      <c r="N232" t="str">
        <f>IF(AND(OR('طباعة كشف الحساب'!$C$2="الكل",MONTH(A232)=IFERROR(MATCH('طباعة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الحساب'!$F$2="الكل",YEAR(A232)=IFERROR(VALUE('طباعة كشف الحساب'!$F$2),0)),A232&lt;&gt;""),IFERROR(MAX($N$4:N231),0)+1,"")</f>
        <v/>
      </c>
      <c r="O232" t="str">
        <f>IF(AND(D231&gt;0,F231="أحد الشركاء"),COUNTIFS($D$4:D231,"&gt;"&amp;0,$F$4:F231,"أحد الشركاء"),"")</f>
        <v/>
      </c>
      <c r="P232">
        <f>IF(OR($A232="",$F232="أحد الشركاء",AND($D232="",$E232="")),"",SUMPRODUCT(($A$4:$A232&lt;&gt;"")*($F$4:$F232&lt;&gt;"أحد الشركاء")*((($D$4:$D232&lt;&gt;"")+($E$4:$E232&lt;&gt;""))&gt;0)))</f>
        <v>208</v>
      </c>
      <c r="Q232" t="str">
        <f>IF(OR($A232="",$F232&lt;&gt;"أحد الشركاء"),"",COUNTIFS($A$4:A232,"&lt;&gt;",$F$4:F232,"أحد الشركاء"))</f>
        <v/>
      </c>
    </row>
    <row r="233" spans="1:17" ht="18.75" customHeight="1" x14ac:dyDescent="0.25">
      <c r="A233" s="25">
        <v>46290</v>
      </c>
      <c r="B233" s="26" t="s">
        <v>480</v>
      </c>
      <c r="C233" s="27" t="s">
        <v>481</v>
      </c>
      <c r="D233" s="28"/>
      <c r="E233" s="29">
        <v>10</v>
      </c>
      <c r="F233" s="30" t="s">
        <v>38</v>
      </c>
      <c r="G233" s="31"/>
      <c r="H233" s="32" t="s">
        <v>40</v>
      </c>
      <c r="I233" s="33"/>
      <c r="J233" s="34">
        <f>IF(AND(D233="",E233="",A233="",B233="",C233=""),"", IFERROR(IF(J232="",D2,J232),D2)+IF(OR(E233="",H233="معلق"),0,E233)-IF(OR(G233="أبو اسحاق",G233="أبو آدم",G233="أبو اسحاق ",G233="أبو آدم "),0,IF(D233="",0,D233)))</f>
        <v>977.79500000000007</v>
      </c>
      <c r="K233" s="35"/>
      <c r="L233" t="str">
        <f>IF(E232&gt;0,COUNTIF($E$4:E232,"&gt;0"),"")</f>
        <v/>
      </c>
      <c r="M233">
        <f>IF(AND(D232&gt;0,G232="المحفظة"),COUNTIFS($D$4:D232,"&gt;"&amp;0,$G$4:G232,"المحفظة"),"")</f>
        <v>49</v>
      </c>
      <c r="N233" t="str">
        <f>IF(AND(OR('طباعة كشف الحساب'!$C$2="الكل",MONTH(A233)=IFERROR(MATCH('طباعة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الحساب'!$F$2="الكل",YEAR(A233)=IFERROR(VALUE('طباعة كشف الحساب'!$F$2),0)),A233&lt;&gt;""),IFERROR(MAX($N$4:N232),0)+1,"")</f>
        <v/>
      </c>
      <c r="O233" t="str">
        <f>IF(AND(D232&gt;0,F232="أحد الشركاء"),COUNTIFS($D$4:D232,"&gt;"&amp;0,$F$4:F232,"أحد الشركاء"),"")</f>
        <v/>
      </c>
      <c r="P233">
        <f>IF(OR($A233="",$F233="أحد الشركاء",AND($D233="",$E233="")),"",SUMPRODUCT(($A$4:$A233&lt;&gt;"")*($F$4:$F233&lt;&gt;"أحد الشركاء")*((($D$4:$D233&lt;&gt;"")+($E$4:$E233&lt;&gt;""))&gt;0)))</f>
        <v>209</v>
      </c>
      <c r="Q233" t="str">
        <f>IF(OR($A233="",$F233&lt;&gt;"أحد الشركاء"),"",COUNTIFS($A$4:A233,"&lt;&gt;",$F$4:F233,"أحد الشركاء"))</f>
        <v/>
      </c>
    </row>
    <row r="234" spans="1:17" ht="18.75" customHeight="1" x14ac:dyDescent="0.25">
      <c r="A234" s="25">
        <v>46290</v>
      </c>
      <c r="B234" s="36" t="s">
        <v>485</v>
      </c>
      <c r="C234" s="37" t="s">
        <v>482</v>
      </c>
      <c r="D234" s="38"/>
      <c r="E234" s="39">
        <v>9.75</v>
      </c>
      <c r="F234" s="136" t="s">
        <v>38</v>
      </c>
      <c r="G234" s="40"/>
      <c r="H234" s="41" t="s">
        <v>40</v>
      </c>
      <c r="I234" s="42"/>
      <c r="J234" s="43">
        <f>IF(AND(D234="",E234="",A234="",B234="",C234=""),"", IFERROR(IF(J233="",D2,J233),D2)+IF(OR(E234="",H234="معلق"),0,E234)-IF(OR(G234="أبو اسحاق",G234="أبو آدم",G234="أبو اسحاق ",G234="أبو آدم "),0,IF(D234="",0,D234)))</f>
        <v>987.54500000000007</v>
      </c>
      <c r="K234" s="44"/>
      <c r="L234">
        <f>IF(E233&gt;0,COUNTIF($E$4:E233,"&gt;0"),"")</f>
        <v>159</v>
      </c>
      <c r="M234" t="str">
        <f>IF(AND(D233&gt;0,G233="المحفظة"),COUNTIFS($D$4:D233,"&gt;"&amp;0,$G$4:G233,"المحفظة"),"")</f>
        <v/>
      </c>
      <c r="N234" t="str">
        <f>IF(AND(OR('طباعة كشف الحساب'!$C$2="الكل",MONTH(A234)=IFERROR(MATCH('طباعة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الحساب'!$F$2="الكل",YEAR(A234)=IFERROR(VALUE('طباعة كشف الحساب'!$F$2),0)),A234&lt;&gt;""),IFERROR(MAX($N$4:N233),0)+1,"")</f>
        <v/>
      </c>
      <c r="O234" t="str">
        <f>IF(AND(D233&gt;0,F233="أحد الشركاء"),COUNTIFS($D$4:D233,"&gt;"&amp;0,$F$4:F233,"أحد الشركاء"),"")</f>
        <v/>
      </c>
      <c r="P234">
        <f>IF(OR($A234="",$F234="أحد الشركاء",AND($D234="",$E234="")),"",SUMPRODUCT(($A$4:$A234&lt;&gt;"")*($F$4:$F234&lt;&gt;"أحد الشركاء")*((($D$4:$D234&lt;&gt;"")+($E$4:$E234&lt;&gt;""))&gt;0)))</f>
        <v>210</v>
      </c>
      <c r="Q234" t="str">
        <f>IF(OR($A234="",$F234&lt;&gt;"أحد الشركاء"),"",COUNTIFS($A$4:A234,"&lt;&gt;",$F$4:F234,"أحد الشركاء"))</f>
        <v/>
      </c>
    </row>
    <row r="235" spans="1:17" ht="18.75" customHeight="1" x14ac:dyDescent="0.25">
      <c r="A235" s="25">
        <v>46290</v>
      </c>
      <c r="B235" s="26" t="s">
        <v>486</v>
      </c>
      <c r="C235" s="27" t="s">
        <v>483</v>
      </c>
      <c r="D235" s="28"/>
      <c r="E235" s="29">
        <v>20</v>
      </c>
      <c r="F235" s="30" t="s">
        <v>38</v>
      </c>
      <c r="G235" s="31"/>
      <c r="H235" s="32" t="s">
        <v>40</v>
      </c>
      <c r="I235" s="33"/>
      <c r="J235" s="34">
        <f>IF(AND(D235="",E235="",A235="",B235="",C235=""),"", IFERROR(IF(J234="",D2,J234),D2)+IF(OR(E235="",H235="معلق"),0,E235)-IF(OR(G235="أبو اسحاق",G235="أبو آدم",G235="أبو اسحاق ",G235="أبو آدم "),0,IF(D235="",0,D235)))</f>
        <v>1007.5450000000001</v>
      </c>
      <c r="K235" s="35"/>
      <c r="L235">
        <f>IF(E234&gt;0,COUNTIF($E$4:E234,"&gt;0"),"")</f>
        <v>160</v>
      </c>
      <c r="M235" t="str">
        <f>IF(AND(D234&gt;0,G234="المحفظة"),COUNTIFS($D$4:D234,"&gt;"&amp;0,$G$4:G234,"المحفظة"),"")</f>
        <v/>
      </c>
      <c r="N235" t="str">
        <f>IF(AND(OR('طباعة كشف الحساب'!$C$2="الكل",MONTH(A235)=IFERROR(MATCH('طباعة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الحساب'!$F$2="الكل",YEAR(A235)=IFERROR(VALUE('طباعة كشف الحساب'!$F$2),0)),A235&lt;&gt;""),IFERROR(MAX($N$4:N234),0)+1,"")</f>
        <v/>
      </c>
      <c r="O235" t="str">
        <f>IF(AND(D234&gt;0,F234="أحد الشركاء"),COUNTIFS($D$4:D234,"&gt;"&amp;0,$F$4:F234,"أحد الشركاء"),"")</f>
        <v/>
      </c>
      <c r="P235">
        <f>IF(OR($A235="",$F235="أحد الشركاء",AND($D235="",$E235="")),"",SUMPRODUCT(($A$4:$A235&lt;&gt;"")*($F$4:$F235&lt;&gt;"أحد الشركاء")*((($D$4:$D235&lt;&gt;"")+($E$4:$E235&lt;&gt;""))&gt;0)))</f>
        <v>211</v>
      </c>
      <c r="Q235" t="str">
        <f>IF(OR($A235="",$F235&lt;&gt;"أحد الشركاء"),"",COUNTIFS($A$4:A235,"&lt;&gt;",$F$4:F235,"أحد الشركاء"))</f>
        <v/>
      </c>
    </row>
    <row r="236" spans="1:17" ht="18.75" customHeight="1" x14ac:dyDescent="0.25">
      <c r="A236" s="25">
        <v>46290</v>
      </c>
      <c r="B236" s="36" t="s">
        <v>487</v>
      </c>
      <c r="C236" s="37" t="s">
        <v>484</v>
      </c>
      <c r="D236" s="38"/>
      <c r="E236" s="39">
        <v>15</v>
      </c>
      <c r="F236" s="136" t="s">
        <v>38</v>
      </c>
      <c r="G236" s="40"/>
      <c r="H236" s="41" t="s">
        <v>40</v>
      </c>
      <c r="I236" s="42"/>
      <c r="J236" s="43">
        <f>IF(AND(D236="",E236="",A236="",B236="",C236=""),"", IFERROR(IF(J235="",D2,J235),D2)+IF(OR(E236="",H236="معلق"),0,E236)-IF(OR(G236="أبو اسحاق",G236="أبو آدم",G236="أبو اسحاق ",G236="أبو آدم "),0,IF(D236="",0,D236)))</f>
        <v>1022.5450000000001</v>
      </c>
      <c r="K236" s="44"/>
      <c r="L236">
        <f>IF(E235&gt;0,COUNTIF($E$4:E235,"&gt;0"),"")</f>
        <v>161</v>
      </c>
      <c r="M236" t="str">
        <f>IF(AND(D235&gt;0,G235="المحفظة"),COUNTIFS($D$4:D235,"&gt;"&amp;0,$G$4:G235,"المحفظة"),"")</f>
        <v/>
      </c>
      <c r="N236" t="str">
        <f>IF(AND(OR('طباعة كشف الحساب'!$C$2="الكل",MONTH(A236)=IFERROR(MATCH('طباعة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الحساب'!$F$2="الكل",YEAR(A236)=IFERROR(VALUE('طباعة كشف الحساب'!$F$2),0)),A236&lt;&gt;""),IFERROR(MAX($N$4:N235),0)+1,"")</f>
        <v/>
      </c>
      <c r="O236" t="str">
        <f>IF(AND(D235&gt;0,F235="أحد الشركاء"),COUNTIFS($D$4:D235,"&gt;"&amp;0,$F$4:F235,"أحد الشركاء"),"")</f>
        <v/>
      </c>
      <c r="P236">
        <f>IF(OR($A236="",$F236="أحد الشركاء",AND($D236="",$E236="")),"",SUMPRODUCT(($A$4:$A236&lt;&gt;"")*($F$4:$F236&lt;&gt;"أحد الشركاء")*((($D$4:$D236&lt;&gt;"")+($E$4:$E236&lt;&gt;""))&gt;0)))</f>
        <v>212</v>
      </c>
      <c r="Q236" t="str">
        <f>IF(OR($A236="",$F236&lt;&gt;"أحد الشركاء"),"",COUNTIFS($A$4:A236,"&lt;&gt;",$F$4:F236,"أحد الشركاء"))</f>
        <v/>
      </c>
    </row>
    <row r="237" spans="1:17" ht="18.75" customHeight="1" x14ac:dyDescent="0.25">
      <c r="A237" s="25">
        <v>46290</v>
      </c>
      <c r="B237" s="26" t="s">
        <v>489</v>
      </c>
      <c r="C237" s="27" t="s">
        <v>488</v>
      </c>
      <c r="D237" s="28"/>
      <c r="E237" s="29">
        <v>260</v>
      </c>
      <c r="F237" s="30" t="s">
        <v>38</v>
      </c>
      <c r="G237" s="31"/>
      <c r="H237" s="32" t="s">
        <v>40</v>
      </c>
      <c r="I237" s="33"/>
      <c r="J237" s="34">
        <f>IF(AND(D237="",E237="",A237="",B237="",C237=""),"", IFERROR(IF(J236="",D2,J236),D2)+IF(OR(E237="",H237="معلق"),0,E237)-IF(OR(G237="أبو اسحاق",G237="أبو آدم",G237="أبو اسحاق ",G237="أبو آدم "),0,IF(D237="",0,D237)))</f>
        <v>1282.5450000000001</v>
      </c>
      <c r="K237" s="35"/>
      <c r="L237">
        <f>IF(E236&gt;0,COUNTIF($E$4:E236,"&gt;0"),"")</f>
        <v>162</v>
      </c>
      <c r="M237" t="str">
        <f>IF(AND(D236&gt;0,G236="المحفظة"),COUNTIFS($D$4:D236,"&gt;"&amp;0,$G$4:G236,"المحفظة"),"")</f>
        <v/>
      </c>
      <c r="N237" t="str">
        <f>IF(AND(OR('طباعة كشف الحساب'!$C$2="الكل",MONTH(A237)=IFERROR(MATCH('طباعة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الحساب'!$F$2="الكل",YEAR(A237)=IFERROR(VALUE('طباعة كشف الحساب'!$F$2),0)),A237&lt;&gt;""),IFERROR(MAX($N$4:N236),0)+1,"")</f>
        <v/>
      </c>
      <c r="O237" t="str">
        <f>IF(AND(D236&gt;0,F236="أحد الشركاء"),COUNTIFS($D$4:D236,"&gt;"&amp;0,$F$4:F236,"أحد الشركاء"),"")</f>
        <v/>
      </c>
      <c r="P237">
        <f>IF(OR($A237="",$F237="أحد الشركاء",AND($D237="",$E237="")),"",SUMPRODUCT(($A$4:$A237&lt;&gt;"")*($F$4:$F237&lt;&gt;"أحد الشركاء")*((($D$4:$D237&lt;&gt;"")+($E$4:$E237&lt;&gt;""))&gt;0)))</f>
        <v>213</v>
      </c>
      <c r="Q237" t="str">
        <f>IF(OR($A237="",$F237&lt;&gt;"أحد الشركاء"),"",COUNTIFS($A$4:A237,"&lt;&gt;",$F$4:F237,"أحد الشركاء"))</f>
        <v/>
      </c>
    </row>
    <row r="238" spans="1:17" ht="18.75" customHeight="1" x14ac:dyDescent="0.25">
      <c r="A238" s="25">
        <v>46290</v>
      </c>
      <c r="B238" s="36" t="s">
        <v>492</v>
      </c>
      <c r="C238" s="37" t="s">
        <v>490</v>
      </c>
      <c r="D238" s="38"/>
      <c r="E238" s="39">
        <v>1.5</v>
      </c>
      <c r="F238" s="136" t="s">
        <v>38</v>
      </c>
      <c r="G238" s="40"/>
      <c r="H238" s="41" t="s">
        <v>40</v>
      </c>
      <c r="I238" s="42"/>
      <c r="J238" s="43">
        <f>IF(AND(D238="",E238="",A238="",B238="",C238=""),"", IFERROR(IF(J237="",D2,J237),D2)+IF(OR(E238="",H238="معلق"),0,E238)-IF(OR(G238="أبو اسحاق",G238="أبو آدم",G238="أبو اسحاق ",G238="أبو آدم "),0,IF(D238="",0,D238)))</f>
        <v>1284.0450000000001</v>
      </c>
      <c r="K238" s="44"/>
      <c r="L238">
        <f>IF(E237&gt;0,COUNTIF($E$4:E237,"&gt;0"),"")</f>
        <v>163</v>
      </c>
      <c r="M238" t="str">
        <f>IF(AND(D237&gt;0,G237="المحفظة"),COUNTIFS($D$4:D237,"&gt;"&amp;0,$G$4:G237,"المحفظة"),"")</f>
        <v/>
      </c>
      <c r="N238" t="str">
        <f>IF(AND(OR('طباعة كشف الحساب'!$C$2="الكل",MONTH(A238)=IFERROR(MATCH('طباعة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الحساب'!$F$2="الكل",YEAR(A238)=IFERROR(VALUE('طباعة كشف الحساب'!$F$2),0)),A238&lt;&gt;""),IFERROR(MAX($N$4:N237),0)+1,"")</f>
        <v/>
      </c>
      <c r="O238" t="str">
        <f>IF(AND(D237&gt;0,F237="أحد الشركاء"),COUNTIFS($D$4:D237,"&gt;"&amp;0,$F$4:F237,"أحد الشركاء"),"")</f>
        <v/>
      </c>
      <c r="P238">
        <f>IF(OR($A238="",$F238="أحد الشركاء",AND($D238="",$E238="")),"",SUMPRODUCT(($A$4:$A238&lt;&gt;"")*($F$4:$F238&lt;&gt;"أحد الشركاء")*((($D$4:$D238&lt;&gt;"")+($E$4:$E238&lt;&gt;""))&gt;0)))</f>
        <v>214</v>
      </c>
      <c r="Q238" t="str">
        <f>IF(OR($A238="",$F238&lt;&gt;"أحد الشركاء"),"",COUNTIFS($A$4:A238,"&lt;&gt;",$F$4:F238,"أحد الشركاء"))</f>
        <v/>
      </c>
    </row>
    <row r="239" spans="1:17" ht="18.75" customHeight="1" x14ac:dyDescent="0.25">
      <c r="A239" s="25">
        <v>46290</v>
      </c>
      <c r="B239" s="26" t="s">
        <v>493</v>
      </c>
      <c r="C239" s="27" t="s">
        <v>491</v>
      </c>
      <c r="D239" s="28"/>
      <c r="E239" s="29">
        <v>1.5</v>
      </c>
      <c r="F239" s="30" t="s">
        <v>38</v>
      </c>
      <c r="G239" s="31"/>
      <c r="H239" s="32" t="s">
        <v>40</v>
      </c>
      <c r="I239" s="33"/>
      <c r="J239" s="34">
        <f>IF(AND(D239="",E239="",A239="",B239="",C239=""),"", IFERROR(IF(J238="",D2,J238),D2)+IF(OR(E239="",H239="معلق"),0,E239)-IF(OR(G239="أبو اسحاق",G239="أبو آدم",G239="أبو اسحاق ",G239="أبو آدم "),0,IF(D239="",0,D239)))</f>
        <v>1285.5450000000001</v>
      </c>
      <c r="K239" s="35"/>
      <c r="L239">
        <f>IF(E238&gt;0,COUNTIF($E$4:E238,"&gt;0"),"")</f>
        <v>164</v>
      </c>
      <c r="M239" t="str">
        <f>IF(AND(D238&gt;0,G238="المحفظة"),COUNTIFS($D$4:D238,"&gt;"&amp;0,$G$4:G238,"المحفظة"),"")</f>
        <v/>
      </c>
      <c r="N239" t="str">
        <f>IF(AND(OR('طباعة كشف الحساب'!$C$2="الكل",MONTH(A239)=IFERROR(MATCH('طباعة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الحساب'!$F$2="الكل",YEAR(A239)=IFERROR(VALUE('طباعة كشف الحساب'!$F$2),0)),A239&lt;&gt;""),IFERROR(MAX($N$4:N238),0)+1,"")</f>
        <v/>
      </c>
      <c r="O239" t="str">
        <f>IF(AND(D238&gt;0,F238="أحد الشركاء"),COUNTIFS($D$4:D238,"&gt;"&amp;0,$F$4:F238,"أحد الشركاء"),"")</f>
        <v/>
      </c>
      <c r="P239">
        <f>IF(OR($A239="",$F239="أحد الشركاء",AND($D239="",$E239="")),"",SUMPRODUCT(($A$4:$A239&lt;&gt;"")*($F$4:$F239&lt;&gt;"أحد الشركاء")*((($D$4:$D239&lt;&gt;"")+($E$4:$E239&lt;&gt;""))&gt;0)))</f>
        <v>215</v>
      </c>
      <c r="Q239" t="str">
        <f>IF(OR($A239="",$F239&lt;&gt;"أحد الشركاء"),"",COUNTIFS($A$4:A239,"&lt;&gt;",$F$4:F239,"أحد الشركاء"))</f>
        <v/>
      </c>
    </row>
    <row r="240" spans="1:17" ht="18.75" customHeight="1" x14ac:dyDescent="0.25">
      <c r="A240" s="25">
        <v>46290</v>
      </c>
      <c r="B240" s="36" t="s">
        <v>495</v>
      </c>
      <c r="C240" s="37" t="s">
        <v>494</v>
      </c>
      <c r="D240" s="38"/>
      <c r="E240" s="39">
        <v>180</v>
      </c>
      <c r="F240" s="136" t="s">
        <v>38</v>
      </c>
      <c r="G240" s="40"/>
      <c r="H240" s="41" t="s">
        <v>40</v>
      </c>
      <c r="I240" s="42"/>
      <c r="J240" s="43">
        <f>IF(AND(D240="",E240="",A240="",B240="",C240=""),"", IFERROR(IF(J239="",D2,J239),D2)+IF(OR(E240="",H240="معلق"),0,E240)-IF(OR(G240="أبو اسحاق",G240="أبو آدم",G240="أبو اسحاق ",G240="أبو آدم "),0,IF(D240="",0,D240)))</f>
        <v>1465.5450000000001</v>
      </c>
      <c r="K240" s="44"/>
      <c r="L240">
        <f>IF(E239&gt;0,COUNTIF($E$4:E239,"&gt;0"),"")</f>
        <v>165</v>
      </c>
      <c r="M240" t="str">
        <f>IF(AND(D239&gt;0,G239="المحفظة"),COUNTIFS($D$4:D239,"&gt;"&amp;0,$G$4:G239,"المحفظة"),"")</f>
        <v/>
      </c>
      <c r="N240" t="str">
        <f>IF(AND(OR('طباعة كشف الحساب'!$C$2="الكل",MONTH(A240)=IFERROR(MATCH('طباعة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الحساب'!$F$2="الكل",YEAR(A240)=IFERROR(VALUE('طباعة كشف الحساب'!$F$2),0)),A240&lt;&gt;""),IFERROR(MAX($N$4:N239),0)+1,"")</f>
        <v/>
      </c>
      <c r="O240" t="str">
        <f>IF(AND(D239&gt;0,F239="أحد الشركاء"),COUNTIFS($D$4:D239,"&gt;"&amp;0,$F$4:F239,"أحد الشركاء"),"")</f>
        <v/>
      </c>
      <c r="P240">
        <f>IF(OR($A240="",$F240="أحد الشركاء",AND($D240="",$E240="")),"",SUMPRODUCT(($A$4:$A240&lt;&gt;"")*($F$4:$F240&lt;&gt;"أحد الشركاء")*((($D$4:$D240&lt;&gt;"")+($E$4:$E240&lt;&gt;""))&gt;0)))</f>
        <v>216</v>
      </c>
      <c r="Q240" t="str">
        <f>IF(OR($A240="",$F240&lt;&gt;"أحد الشركاء"),"",COUNTIFS($A$4:A240,"&lt;&gt;",$F$4:F240,"أحد الشركاء"))</f>
        <v/>
      </c>
    </row>
    <row r="241" spans="1:17" ht="18.75" customHeight="1" x14ac:dyDescent="0.25">
      <c r="A241" s="25">
        <v>46292</v>
      </c>
      <c r="B241" s="26"/>
      <c r="C241" s="27" t="s">
        <v>496</v>
      </c>
      <c r="D241" s="28">
        <v>6</v>
      </c>
      <c r="E241" s="29"/>
      <c r="F241" s="30" t="s">
        <v>38</v>
      </c>
      <c r="G241" s="31"/>
      <c r="H241" s="32" t="s">
        <v>40</v>
      </c>
      <c r="I241" s="33"/>
      <c r="J241" s="34">
        <f>IF(AND(D241="",E241="",A241="",B241="",C241=""),"", IFERROR(IF(J240="",D2,J240),D2)+IF(OR(E241="",H241="معلق"),0,E241)-IF(OR(G241="أبو اسحاق",G241="أبو آدم",G241="أبو اسحاق ",G241="أبو آدم "),0,IF(D241="",0,D241)))</f>
        <v>1459.5450000000001</v>
      </c>
      <c r="K241" s="35"/>
      <c r="L241">
        <f>IF(E240&gt;0,COUNTIF($E$4:E240,"&gt;0"),"")</f>
        <v>166</v>
      </c>
      <c r="M241" t="str">
        <f>IF(AND(D240&gt;0,G240="المحفظة"),COUNTIFS($D$4:D240,"&gt;"&amp;0,$G$4:G240,"المحفظة"),"")</f>
        <v/>
      </c>
      <c r="N241" t="str">
        <f>IF(AND(OR('طباعة كشف الحساب'!$C$2="الكل",MONTH(A241)=IFERROR(MATCH('طباعة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الحساب'!$F$2="الكل",YEAR(A241)=IFERROR(VALUE('طباعة كشف الحساب'!$F$2),0)),A241&lt;&gt;""),IFERROR(MAX($N$4:N240),0)+1,"")</f>
        <v/>
      </c>
      <c r="O241" t="str">
        <f>IF(AND(D240&gt;0,F240="أحد الشركاء"),COUNTIFS($D$4:D240,"&gt;"&amp;0,$F$4:F240,"أحد الشركاء"),"")</f>
        <v/>
      </c>
      <c r="P241">
        <f>IF(OR($A241="",$F241="أحد الشركاء",AND($D241="",$E241="")),"",SUMPRODUCT(($A$4:$A241&lt;&gt;"")*($F$4:$F241&lt;&gt;"أحد الشركاء")*((($D$4:$D241&lt;&gt;"")+($E$4:$E241&lt;&gt;""))&gt;0)))</f>
        <v>217</v>
      </c>
      <c r="Q241" t="str">
        <f>IF(OR($A241="",$F241&lt;&gt;"أحد الشركاء"),"",COUNTIFS($A$4:A241,"&lt;&gt;",$F$4:F241,"أحد الشركاء"))</f>
        <v/>
      </c>
    </row>
    <row r="242" spans="1:17" ht="18.75" customHeight="1" x14ac:dyDescent="0.25">
      <c r="A242" s="25">
        <v>46293</v>
      </c>
      <c r="B242" s="36" t="s">
        <v>499</v>
      </c>
      <c r="C242" s="37" t="s">
        <v>500</v>
      </c>
      <c r="D242" s="38"/>
      <c r="E242" s="39">
        <v>37.5</v>
      </c>
      <c r="F242" s="136" t="s">
        <v>38</v>
      </c>
      <c r="G242" s="40"/>
      <c r="H242" s="41" t="s">
        <v>40</v>
      </c>
      <c r="I242" s="42"/>
      <c r="J242" s="43">
        <f>IF(AND(D242="",E242="",A242="",B242="",C242=""),"", IFERROR(IF(J241="",D2,J241),D2)+IF(OR(E242="",H242="معلق"),0,E242)-IF(OR(G242="أبو اسحاق",G242="أبو آدم",G242="أبو اسحاق ",G242="أبو آدم "),0,IF(D242="",0,D242)))</f>
        <v>1497.0450000000001</v>
      </c>
      <c r="K242" s="44"/>
      <c r="L242" t="str">
        <f>IF(E241&gt;0,COUNTIF($E$4:E241,"&gt;0"),"")</f>
        <v/>
      </c>
      <c r="M242" t="str">
        <f>IF(AND(D241&gt;0,G241="المحفظة"),COUNTIFS($D$4:D241,"&gt;"&amp;0,$G$4:G241,"المحفظة"),"")</f>
        <v/>
      </c>
      <c r="N242" t="str">
        <f>IF(AND(OR('طباعة كشف الحساب'!$C$2="الكل",MONTH(A242)=IFERROR(MATCH('طباعة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الحساب'!$F$2="الكل",YEAR(A242)=IFERROR(VALUE('طباعة كشف الحساب'!$F$2),0)),A242&lt;&gt;""),IFERROR(MAX($N$4:N241),0)+1,"")</f>
        <v/>
      </c>
      <c r="O242" t="str">
        <f>IF(AND(D241&gt;0,F241="أحد الشركاء"),COUNTIFS($D$4:D241,"&gt;"&amp;0,$F$4:F241,"أحد الشركاء"),"")</f>
        <v/>
      </c>
      <c r="P242">
        <f>IF(OR($A242="",$F242="أحد الشركاء",AND($D242="",$E242="")),"",SUMPRODUCT(($A$4:$A242&lt;&gt;"")*($F$4:$F242&lt;&gt;"أحد الشركاء")*((($D$4:$D242&lt;&gt;"")+($E$4:$E242&lt;&gt;""))&gt;0)))</f>
        <v>218</v>
      </c>
      <c r="Q242" t="str">
        <f>IF(OR($A242="",$F242&lt;&gt;"أحد الشركاء"),"",COUNTIFS($A$4:A242,"&lt;&gt;",$F$4:F242,"أحد الشركاء"))</f>
        <v/>
      </c>
    </row>
    <row r="243" spans="1:17" ht="18.75" customHeight="1" x14ac:dyDescent="0.25">
      <c r="A243" s="25">
        <v>46293</v>
      </c>
      <c r="B243" s="26"/>
      <c r="C243" s="27" t="s">
        <v>501</v>
      </c>
      <c r="D243" s="28">
        <v>20</v>
      </c>
      <c r="E243" s="29"/>
      <c r="F243" s="30" t="s">
        <v>38</v>
      </c>
      <c r="G243" s="31"/>
      <c r="H243" s="32" t="s">
        <v>40</v>
      </c>
      <c r="I243" s="33"/>
      <c r="J243" s="34">
        <f>IF(AND(D243="",E243="",A243="",B243="",C243=""),"", IFERROR(IF(J242="",D2,J242),D2)+IF(OR(E243="",H243="معلق"),0,E243)-IF(OR(G243="أبو اسحاق",G243="أبو آدم",G243="أبو اسحاق ",G243="أبو آدم "),0,IF(D243="",0,D243)))</f>
        <v>1477.0450000000001</v>
      </c>
      <c r="K243" s="35"/>
      <c r="L243">
        <f>IF(E242&gt;0,COUNTIF($E$4:E242,"&gt;0"),"")</f>
        <v>167</v>
      </c>
      <c r="M243" t="str">
        <f>IF(AND(D242&gt;0,G242="المحفظة"),COUNTIFS($D$4:D242,"&gt;"&amp;0,$G$4:G242,"المحفظة"),"")</f>
        <v/>
      </c>
      <c r="N243" t="str">
        <f>IF(AND(OR('طباعة كشف الحساب'!$C$2="الكل",MONTH(A243)=IFERROR(MATCH('طباعة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الحساب'!$F$2="الكل",YEAR(A243)=IFERROR(VALUE('طباعة كشف الحساب'!$F$2),0)),A243&lt;&gt;""),IFERROR(MAX($N$4:N242),0)+1,"")</f>
        <v/>
      </c>
      <c r="O243" t="str">
        <f>IF(AND(D242&gt;0,F242="أحد الشركاء"),COUNTIFS($D$4:D242,"&gt;"&amp;0,$F$4:F242,"أحد الشركاء"),"")</f>
        <v/>
      </c>
      <c r="P243">
        <f>IF(OR($A243="",$F243="أحد الشركاء",AND($D243="",$E243="")),"",SUMPRODUCT(($A$4:$A243&lt;&gt;"")*($F$4:$F243&lt;&gt;"أحد الشركاء")*((($D$4:$D243&lt;&gt;"")+($E$4:$E243&lt;&gt;""))&gt;0)))</f>
        <v>219</v>
      </c>
      <c r="Q243" t="str">
        <f>IF(OR($A243="",$F243&lt;&gt;"أحد الشركاء"),"",COUNTIFS($A$4:A243,"&lt;&gt;",$F$4:F243,"أحد الشركاء"))</f>
        <v/>
      </c>
    </row>
    <row r="244" spans="1:17" ht="18.75" customHeight="1" x14ac:dyDescent="0.25">
      <c r="A244" s="25">
        <v>46293</v>
      </c>
      <c r="B244" s="36"/>
      <c r="C244" s="37" t="s">
        <v>502</v>
      </c>
      <c r="D244" s="38">
        <v>60</v>
      </c>
      <c r="E244" s="39"/>
      <c r="F244" s="136" t="s">
        <v>38</v>
      </c>
      <c r="G244" s="40" t="s">
        <v>39</v>
      </c>
      <c r="H244" s="41" t="s">
        <v>40</v>
      </c>
      <c r="I244" s="42"/>
      <c r="J244" s="43">
        <f>IF(AND(D244="",E244="",A244="",B244="",C244=""),"", IFERROR(IF(J243="",D2,J243),D2)+IF(OR(E244="",H244="معلق"),0,E244)-IF(OR(G244="أبو اسحاق",G244="أبو آدم",G244="أبو اسحاق ",G244="أبو آدم "),0,IF(D244="",0,D244)))</f>
        <v>1417.0450000000001</v>
      </c>
      <c r="K244" s="44"/>
      <c r="L244" t="str">
        <f>IF(E243&gt;0,COUNTIF($E$4:E243,"&gt;0"),"")</f>
        <v/>
      </c>
      <c r="M244" t="str">
        <f>IF(AND(D243&gt;0,G243="المحفظة"),COUNTIFS($D$4:D243,"&gt;"&amp;0,$G$4:G243,"المحفظة"),"")</f>
        <v/>
      </c>
      <c r="N244" t="str">
        <f>IF(AND(OR('طباعة كشف الحساب'!$C$2="الكل",MONTH(A244)=IFERROR(MATCH('طباعة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الحساب'!$F$2="الكل",YEAR(A244)=IFERROR(VALUE('طباعة كشف الحساب'!$F$2),0)),A244&lt;&gt;""),IFERROR(MAX($N$4:N243),0)+1,"")</f>
        <v/>
      </c>
      <c r="O244" t="str">
        <f>IF(AND(D243&gt;0,F243="أحد الشركاء"),COUNTIFS($D$4:D243,"&gt;"&amp;0,$F$4:F243,"أحد الشركاء"),"")</f>
        <v/>
      </c>
      <c r="P244">
        <f>IF(OR($A244="",$F244="أحد الشركاء",AND($D244="",$E244="")),"",SUMPRODUCT(($A$4:$A244&lt;&gt;"")*($F$4:$F244&lt;&gt;"أحد الشركاء")*((($D$4:$D244&lt;&gt;"")+($E$4:$E244&lt;&gt;""))&gt;0)))</f>
        <v>220</v>
      </c>
      <c r="Q244" t="str">
        <f>IF(OR($A244="",$F244&lt;&gt;"أحد الشركاء"),"",COUNTIFS($A$4:A244,"&lt;&gt;",$F$4:F244,"أحد الشركاء"))</f>
        <v/>
      </c>
    </row>
    <row r="245" spans="1:17" ht="18.75" customHeight="1" x14ac:dyDescent="0.25">
      <c r="A245" s="25">
        <v>46284</v>
      </c>
      <c r="B245" s="26"/>
      <c r="C245" s="27" t="s">
        <v>503</v>
      </c>
      <c r="D245" s="28">
        <v>490</v>
      </c>
      <c r="E245" s="29"/>
      <c r="F245" s="30" t="s">
        <v>38</v>
      </c>
      <c r="G245" s="31" t="s">
        <v>39</v>
      </c>
      <c r="H245" s="32" t="s">
        <v>40</v>
      </c>
      <c r="I245" s="33"/>
      <c r="J245" s="34">
        <f>IF(AND(D245="",E245="",A245="",B245="",C245=""),"", IFERROR(IF(J244="",D2,J244),D2)+IF(OR(E245="",H245="معلق"),0,E245)-IF(OR(G245="أبو اسحاق",G245="أبو آدم",G245="أبو اسحاق ",G245="أبو آدم "),0,IF(D245="",0,D245)))</f>
        <v>927.04500000000007</v>
      </c>
      <c r="K245" s="35"/>
      <c r="L245" t="str">
        <f>IF(E244&gt;0,COUNTIF($E$4:E244,"&gt;0"),"")</f>
        <v/>
      </c>
      <c r="M245">
        <f>IF(AND(D244&gt;0,G244="المحفظة"),COUNTIFS($D$4:D244,"&gt;"&amp;0,$G$4:G244,"المحفظة"),"")</f>
        <v>50</v>
      </c>
      <c r="N245" t="str">
        <f>IF(AND(OR('طباعة كشف الحساب'!$C$2="الكل",MONTH(A245)=IFERROR(MATCH('طباعة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الحساب'!$F$2="الكل",YEAR(A245)=IFERROR(VALUE('طباعة كشف الحساب'!$F$2),0)),A245&lt;&gt;""),IFERROR(MAX($N$4:N244),0)+1,"")</f>
        <v/>
      </c>
      <c r="O245" t="str">
        <f>IF(AND(D244&gt;0,F244="أحد الشركاء"),COUNTIFS($D$4:D244,"&gt;"&amp;0,$F$4:F244,"أحد الشركاء"),"")</f>
        <v/>
      </c>
      <c r="P245">
        <f>IF(OR($A245="",$F245="أحد الشركاء",AND($D245="",$E245="")),"",SUMPRODUCT(($A$4:$A245&lt;&gt;"")*($F$4:$F245&lt;&gt;"أحد الشركاء")*((($D$4:$D245&lt;&gt;"")+($E$4:$E245&lt;&gt;""))&gt;0)))</f>
        <v>221</v>
      </c>
      <c r="Q245" t="str">
        <f>IF(OR($A245="",$F245&lt;&gt;"أحد الشركاء"),"",COUNTIFS($A$4:A245,"&lt;&gt;",$F$4:F245,"أحد الشركاء"))</f>
        <v/>
      </c>
    </row>
    <row r="246" spans="1:17" ht="18.75" customHeight="1" x14ac:dyDescent="0.25">
      <c r="A246" s="25">
        <v>46296</v>
      </c>
      <c r="B246" s="36" t="s">
        <v>504</v>
      </c>
      <c r="C246" s="37" t="s">
        <v>505</v>
      </c>
      <c r="D246" s="38"/>
      <c r="E246" s="39">
        <v>290</v>
      </c>
      <c r="F246" s="136" t="s">
        <v>38</v>
      </c>
      <c r="G246" s="40"/>
      <c r="H246" s="41" t="s">
        <v>40</v>
      </c>
      <c r="I246" s="42"/>
      <c r="J246" s="43">
        <f>IF(AND(D246="",E246="",A246="",B246="",C246=""),"", IFERROR(IF(J245="",D2,J245),D2)+IF(OR(E246="",H246="معلق"),0,E246)-IF(OR(G246="أبو اسحاق",G246="أبو آدم",G246="أبو اسحاق ",G246="أبو آدم "),0,IF(D246="",0,D246)))</f>
        <v>1217.0450000000001</v>
      </c>
      <c r="K246" s="44"/>
      <c r="L246" t="str">
        <f>IF(E245&gt;0,COUNTIF($E$4:E245,"&gt;0"),"")</f>
        <v/>
      </c>
      <c r="M246">
        <f>IF(AND(D245&gt;0,G245="المحفظة"),COUNTIFS($D$4:D245,"&gt;"&amp;0,$G$4:G245,"المحفظة"),"")</f>
        <v>51</v>
      </c>
      <c r="N246" t="str">
        <f>IF(AND(OR('طباعة كشف الحساب'!$C$2="الكل",MONTH(A246)=IFERROR(MATCH('طباعة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الحساب'!$F$2="الكل",YEAR(A246)=IFERROR(VALUE('طباعة كشف الحساب'!$F$2),0)),A246&lt;&gt;""),IFERROR(MAX($N$4:N245),0)+1,"")</f>
        <v/>
      </c>
      <c r="O246" t="str">
        <f>IF(AND(D245&gt;0,F245="أحد الشركاء"),COUNTIFS($D$4:D245,"&gt;"&amp;0,$F$4:F245,"أحد الشركاء"),"")</f>
        <v/>
      </c>
      <c r="P246">
        <f>IF(OR($A246="",$F246="أحد الشركاء",AND($D246="",$E246="")),"",SUMPRODUCT(($A$4:$A246&lt;&gt;"")*($F$4:$F246&lt;&gt;"أحد الشركاء")*((($D$4:$D246&lt;&gt;"")+($E$4:$E246&lt;&gt;""))&gt;0)))</f>
        <v>222</v>
      </c>
      <c r="Q246" t="str">
        <f>IF(OR($A246="",$F246&lt;&gt;"أحد الشركاء"),"",COUNTIFS($A$4:A246,"&lt;&gt;",$F$4:F246,"أحد الشركاء"))</f>
        <v/>
      </c>
    </row>
    <row r="247" spans="1:17" ht="18.75" customHeight="1" x14ac:dyDescent="0.25">
      <c r="A247" s="25">
        <v>46297</v>
      </c>
      <c r="B247" s="26" t="s">
        <v>506</v>
      </c>
      <c r="C247" s="27" t="s">
        <v>507</v>
      </c>
      <c r="D247" s="28"/>
      <c r="E247" s="29">
        <v>105</v>
      </c>
      <c r="F247" s="30" t="s">
        <v>172</v>
      </c>
      <c r="G247" s="31"/>
      <c r="H247" s="32" t="s">
        <v>40</v>
      </c>
      <c r="I247" s="33"/>
      <c r="J247" s="34">
        <f>IF(AND(D247="",E247="",A247="",B247="",C247=""),"", IFERROR(IF(J246="",D2,J246),D2)+IF(OR(E247="",H247="معلق"),0,E247)-IF(OR(G247="أبو اسحاق",G247="أبو آدم",G247="أبو اسحاق ",G247="أبو آدم "),0,IF(D247="",0,D247)))</f>
        <v>1322.0450000000001</v>
      </c>
      <c r="K247" s="35"/>
      <c r="L247">
        <f>IF(E246&gt;0,COUNTIF($E$4:E246,"&gt;0"),"")</f>
        <v>168</v>
      </c>
      <c r="M247" t="str">
        <f>IF(AND(D246&gt;0,G246="المحفظة"),COUNTIFS($D$4:D246,"&gt;"&amp;0,$G$4:G246,"المحفظة"),"")</f>
        <v/>
      </c>
      <c r="N247" t="str">
        <f>IF(AND(OR('طباعة كشف الحساب'!$C$2="الكل",MONTH(A247)=IFERROR(MATCH('طباعة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الحساب'!$F$2="الكل",YEAR(A247)=IFERROR(VALUE('طباعة كشف الحساب'!$F$2),0)),A247&lt;&gt;""),IFERROR(MAX($N$4:N246),0)+1,"")</f>
        <v/>
      </c>
      <c r="O247" t="str">
        <f>IF(AND(D246&gt;0,F246="أحد الشركاء"),COUNTIFS($D$4:D246,"&gt;"&amp;0,$F$4:F246,"أحد الشركاء"),"")</f>
        <v/>
      </c>
      <c r="P247">
        <f>IF(OR($A247="",$F247="أحد الشركاء",AND($D247="",$E247="")),"",SUMPRODUCT(($A$4:$A247&lt;&gt;"")*($F$4:$F247&lt;&gt;"أحد الشركاء")*((($D$4:$D247&lt;&gt;"")+($E$4:$E247&lt;&gt;""))&gt;0)))</f>
        <v>223</v>
      </c>
      <c r="Q247" t="str">
        <f>IF(OR($A247="",$F247&lt;&gt;"أحد الشركاء"),"",COUNTIFS($A$4:A247,"&lt;&gt;",$F$4:F247,"أحد الشركاء"))</f>
        <v/>
      </c>
    </row>
    <row r="248" spans="1:17" ht="18.75" customHeight="1" x14ac:dyDescent="0.25">
      <c r="A248" s="25">
        <v>46297</v>
      </c>
      <c r="B248" s="36" t="s">
        <v>508</v>
      </c>
      <c r="C248" s="37" t="s">
        <v>509</v>
      </c>
      <c r="D248" s="38"/>
      <c r="E248" s="39">
        <v>48</v>
      </c>
      <c r="F248" s="136" t="s">
        <v>38</v>
      </c>
      <c r="G248" s="40"/>
      <c r="H248" s="41" t="s">
        <v>40</v>
      </c>
      <c r="I248" s="42"/>
      <c r="J248" s="43">
        <f>IF(AND(D248="",E248="",A248="",B248="",C248=""),"", IFERROR(IF(J247="",D2,J247),D2)+IF(OR(E248="",H248="معلق"),0,E248)-IF(OR(G248="أبو اسحاق",G248="أبو آدم",G248="أبو اسحاق ",G248="أبو آدم "),0,IF(D248="",0,D248)))</f>
        <v>1370.0450000000001</v>
      </c>
      <c r="K248" s="44"/>
      <c r="L248">
        <f>IF(E247&gt;0,COUNTIF($E$4:E247,"&gt;0"),"")</f>
        <v>169</v>
      </c>
      <c r="M248" t="str">
        <f>IF(AND(D247&gt;0,G247="المحفظة"),COUNTIFS($D$4:D247,"&gt;"&amp;0,$G$4:G247,"المحفظة"),"")</f>
        <v/>
      </c>
      <c r="N248" t="str">
        <f>IF(AND(OR('طباعة كشف الحساب'!$C$2="الكل",MONTH(A248)=IFERROR(MATCH('طباعة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الحساب'!$F$2="الكل",YEAR(A248)=IFERROR(VALUE('طباعة كشف الحساب'!$F$2),0)),A248&lt;&gt;""),IFERROR(MAX($N$4:N247),0)+1,"")</f>
        <v/>
      </c>
      <c r="O248" t="str">
        <f>IF(AND(D247&gt;0,F247="أحد الشركاء"),COUNTIFS($D$4:D247,"&gt;"&amp;0,$F$4:F247,"أحد الشركاء"),"")</f>
        <v/>
      </c>
      <c r="P248">
        <f>IF(OR($A248="",$F248="أحد الشركاء",AND($D248="",$E248="")),"",SUMPRODUCT(($A$4:$A248&lt;&gt;"")*($F$4:$F248&lt;&gt;"أحد الشركاء")*((($D$4:$D248&lt;&gt;"")+($E$4:$E248&lt;&gt;""))&gt;0)))</f>
        <v>224</v>
      </c>
      <c r="Q248" t="str">
        <f>IF(OR($A248="",$F248&lt;&gt;"أحد الشركاء"),"",COUNTIFS($A$4:A248,"&lt;&gt;",$F$4:F248,"أحد الشركاء"))</f>
        <v/>
      </c>
    </row>
    <row r="249" spans="1:17" ht="18.75" customHeight="1" x14ac:dyDescent="0.25">
      <c r="A249" s="25">
        <v>46297</v>
      </c>
      <c r="B249" s="26"/>
      <c r="C249" s="27" t="s">
        <v>510</v>
      </c>
      <c r="D249" s="28">
        <v>21</v>
      </c>
      <c r="E249" s="29"/>
      <c r="F249" s="30" t="s">
        <v>38</v>
      </c>
      <c r="G249" s="31" t="s">
        <v>39</v>
      </c>
      <c r="H249" s="32" t="s">
        <v>40</v>
      </c>
      <c r="I249" s="33"/>
      <c r="J249" s="34">
        <f>IF(AND(D249="",E249="",A249="",B249="",C249=""),"", IFERROR(IF(J248="",D2,J248),D2)+IF(OR(E249="",H249="معلق"),0,E249)-IF(OR(G249="أبو اسحاق",G249="أبو آدم",G249="أبو اسحاق ",G249="أبو آدم "),0,IF(D249="",0,D249)))</f>
        <v>1349.0450000000001</v>
      </c>
      <c r="K249" s="35"/>
      <c r="L249">
        <f>IF(E248&gt;0,COUNTIF($E$4:E248,"&gt;0"),"")</f>
        <v>170</v>
      </c>
      <c r="M249" t="str">
        <f>IF(AND(D248&gt;0,G248="المحفظة"),COUNTIFS($D$4:D248,"&gt;"&amp;0,$G$4:G248,"المحفظة"),"")</f>
        <v/>
      </c>
      <c r="N249" t="str">
        <f>IF(AND(OR('طباعة كشف الحساب'!$C$2="الكل",MONTH(A249)=IFERROR(MATCH('طباعة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الحساب'!$F$2="الكل",YEAR(A249)=IFERROR(VALUE('طباعة كشف الحساب'!$F$2),0)),A249&lt;&gt;""),IFERROR(MAX($N$4:N248),0)+1,"")</f>
        <v/>
      </c>
      <c r="O249" t="str">
        <f>IF(AND(D248&gt;0,F248="أحد الشركاء"),COUNTIFS($D$4:D248,"&gt;"&amp;0,$F$4:F248,"أحد الشركاء"),"")</f>
        <v/>
      </c>
      <c r="P249">
        <f>IF(OR($A249="",$F249="أحد الشركاء",AND($D249="",$E249="")),"",SUMPRODUCT(($A$4:$A249&lt;&gt;"")*($F$4:$F249&lt;&gt;"أحد الشركاء")*((($D$4:$D249&lt;&gt;"")+($E$4:$E249&lt;&gt;""))&gt;0)))</f>
        <v>225</v>
      </c>
      <c r="Q249" t="str">
        <f>IF(OR($A249="",$F249&lt;&gt;"أحد الشركاء"),"",COUNTIFS($A$4:A249,"&lt;&gt;",$F$4:F249,"أحد الشركاء"))</f>
        <v/>
      </c>
    </row>
    <row r="250" spans="1:17" ht="18.75" customHeight="1" x14ac:dyDescent="0.25">
      <c r="A250" s="25">
        <v>46298</v>
      </c>
      <c r="B250" s="36" t="s">
        <v>512</v>
      </c>
      <c r="C250" s="37" t="s">
        <v>511</v>
      </c>
      <c r="D250" s="38"/>
      <c r="E250" s="39">
        <v>10</v>
      </c>
      <c r="F250" s="136" t="s">
        <v>172</v>
      </c>
      <c r="G250" s="40"/>
      <c r="H250" s="41" t="s">
        <v>40</v>
      </c>
      <c r="I250" s="42"/>
      <c r="J250" s="43">
        <f>IF(AND(D250="",E250="",A250="",B250="",C250=""),"", IFERROR(IF(J249="",D2,J249),D2)+IF(OR(E250="",H250="معلق"),0,E250)-IF(OR(G250="أبو اسحاق",G250="أبو آدم",G250="أبو اسحاق ",G250="أبو آدم "),0,IF(D250="",0,D250)))</f>
        <v>1359.0450000000001</v>
      </c>
      <c r="K250" s="44"/>
      <c r="L250" t="str">
        <f>IF(E249&gt;0,COUNTIF($E$4:E249,"&gt;0"),"")</f>
        <v/>
      </c>
      <c r="M250">
        <f>IF(AND(D249&gt;0,G249="المحفظة"),COUNTIFS($D$4:D249,"&gt;"&amp;0,$G$4:G249,"المحفظة"),"")</f>
        <v>52</v>
      </c>
      <c r="N250" t="str">
        <f>IF(AND(OR('طباعة كشف الحساب'!$C$2="الكل",MONTH(A250)=IFERROR(MATCH('طباعة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الحساب'!$F$2="الكل",YEAR(A250)=IFERROR(VALUE('طباعة كشف الحساب'!$F$2),0)),A250&lt;&gt;""),IFERROR(MAX($N$4:N249),0)+1,"")</f>
        <v/>
      </c>
      <c r="O250" t="str">
        <f>IF(AND(D249&gt;0,F249="أحد الشركاء"),COUNTIFS($D$4:D249,"&gt;"&amp;0,$F$4:F249,"أحد الشركاء"),"")</f>
        <v/>
      </c>
      <c r="P250">
        <f>IF(OR($A250="",$F250="أحد الشركاء",AND($D250="",$E250="")),"",SUMPRODUCT(($A$4:$A250&lt;&gt;"")*($F$4:$F250&lt;&gt;"أحد الشركاء")*((($D$4:$D250&lt;&gt;"")+($E$4:$E250&lt;&gt;""))&gt;0)))</f>
        <v>226</v>
      </c>
      <c r="Q250" t="str">
        <f>IF(OR($A250="",$F250&lt;&gt;"أحد الشركاء"),"",COUNTIFS($A$4:A250,"&lt;&gt;",$F$4:F250,"أحد الشركاء"))</f>
        <v/>
      </c>
    </row>
    <row r="251" spans="1:17" ht="18.75" customHeight="1" x14ac:dyDescent="0.25">
      <c r="A251" s="25">
        <v>46299</v>
      </c>
      <c r="B251" s="26" t="s">
        <v>513</v>
      </c>
      <c r="C251" s="27" t="s">
        <v>459</v>
      </c>
      <c r="D251" s="28"/>
      <c r="E251" s="29">
        <v>26.25</v>
      </c>
      <c r="F251" s="30" t="s">
        <v>38</v>
      </c>
      <c r="G251" s="31"/>
      <c r="H251" s="32" t="s">
        <v>40</v>
      </c>
      <c r="I251" s="33"/>
      <c r="J251" s="34">
        <f>IF(AND(D251="",E251="",A251="",B251="",C251=""),"", IFERROR(IF(J250="",D2,J250),D2)+IF(OR(E251="",H251="معلق"),0,E251)-IF(OR(G251="أبو اسحاق",G251="أبو آدم",G251="أبو اسحاق ",G251="أبو آدم "),0,IF(D251="",0,D251)))</f>
        <v>1385.2950000000001</v>
      </c>
      <c r="K251" s="35"/>
      <c r="L251">
        <f>IF(E250&gt;0,COUNTIF($E$4:E250,"&gt;0"),"")</f>
        <v>171</v>
      </c>
      <c r="M251" t="str">
        <f>IF(AND(D250&gt;0,G250="المحفظة"),COUNTIFS($D$4:D250,"&gt;"&amp;0,$G$4:G250,"المحفظة"),"")</f>
        <v/>
      </c>
      <c r="N251" t="str">
        <f>IF(AND(OR('طباعة كشف الحساب'!$C$2="الكل",MONTH(A251)=IFERROR(MATCH('طباعة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الحساب'!$F$2="الكل",YEAR(A251)=IFERROR(VALUE('طباعة كشف الحساب'!$F$2),0)),A251&lt;&gt;""),IFERROR(MAX($N$4:N250),0)+1,"")</f>
        <v/>
      </c>
      <c r="O251" t="str">
        <f>IF(AND(D250&gt;0,F250="أحد الشركاء"),COUNTIFS($D$4:D250,"&gt;"&amp;0,$F$4:F250,"أحد الشركاء"),"")</f>
        <v/>
      </c>
      <c r="P251">
        <f>IF(OR($A251="",$F251="أحد الشركاء",AND($D251="",$E251="")),"",SUMPRODUCT(($A$4:$A251&lt;&gt;"")*($F$4:$F251&lt;&gt;"أحد الشركاء")*((($D$4:$D251&lt;&gt;"")+($E$4:$E251&lt;&gt;""))&gt;0)))</f>
        <v>227</v>
      </c>
      <c r="Q251" t="str">
        <f>IF(OR($A251="",$F251&lt;&gt;"أحد الشركاء"),"",COUNTIFS($A$4:A251,"&lt;&gt;",$F$4:F251,"أحد الشركاء"))</f>
        <v/>
      </c>
    </row>
    <row r="252" spans="1:17" ht="18.75" customHeight="1" x14ac:dyDescent="0.25">
      <c r="A252" s="25">
        <v>46299</v>
      </c>
      <c r="B252" s="36"/>
      <c r="C252" s="37" t="s">
        <v>514</v>
      </c>
      <c r="D252" s="38">
        <v>24</v>
      </c>
      <c r="E252" s="39"/>
      <c r="F252" s="136" t="s">
        <v>38</v>
      </c>
      <c r="G252" s="40" t="s">
        <v>39</v>
      </c>
      <c r="H252" s="41" t="s">
        <v>40</v>
      </c>
      <c r="I252" s="42"/>
      <c r="J252" s="43">
        <f>IF(AND(D252="",E252="",A252="",B252="",C252=""),"", IFERROR(IF(J251="",D2,J251),D2)+IF(OR(E252="",H252="معلق"),0,E252)-IF(OR(G252="أبو اسحاق",G252="أبو آدم",G252="أبو اسحاق ",G252="أبو آدم "),0,IF(D252="",0,D252)))</f>
        <v>1361.2950000000001</v>
      </c>
      <c r="K252" s="44"/>
      <c r="L252">
        <f>IF(E251&gt;0,COUNTIF($E$4:E251,"&gt;0"),"")</f>
        <v>172</v>
      </c>
      <c r="M252" t="str">
        <f>IF(AND(D251&gt;0,G251="المحفظة"),COUNTIFS($D$4:D251,"&gt;"&amp;0,$G$4:G251,"المحفظة"),"")</f>
        <v/>
      </c>
      <c r="N252" t="str">
        <f>IF(AND(OR('طباعة كشف الحساب'!$C$2="الكل",MONTH(A252)=IFERROR(MATCH('طباعة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الحساب'!$F$2="الكل",YEAR(A252)=IFERROR(VALUE('طباعة كشف الحساب'!$F$2),0)),A252&lt;&gt;""),IFERROR(MAX($N$4:N251),0)+1,"")</f>
        <v/>
      </c>
      <c r="O252" t="str">
        <f>IF(AND(D251&gt;0,F251="أحد الشركاء"),COUNTIFS($D$4:D251,"&gt;"&amp;0,$F$4:F251,"أحد الشركاء"),"")</f>
        <v/>
      </c>
      <c r="P252">
        <f>IF(OR($A252="",$F252="أحد الشركاء",AND($D252="",$E252="")),"",SUMPRODUCT(($A$4:$A252&lt;&gt;"")*($F$4:$F252&lt;&gt;"أحد الشركاء")*((($D$4:$D252&lt;&gt;"")+($E$4:$E252&lt;&gt;""))&gt;0)))</f>
        <v>228</v>
      </c>
      <c r="Q252" t="str">
        <f>IF(OR($A252="",$F252&lt;&gt;"أحد الشركاء"),"",COUNTIFS($A$4:A252,"&lt;&gt;",$F$4:F252,"أحد الشركاء"))</f>
        <v/>
      </c>
    </row>
    <row r="253" spans="1:17" ht="18.75" customHeight="1" x14ac:dyDescent="0.25">
      <c r="A253" s="25">
        <v>46300</v>
      </c>
      <c r="B253" s="26" t="s">
        <v>515</v>
      </c>
      <c r="C253" s="27" t="s">
        <v>516</v>
      </c>
      <c r="D253" s="28"/>
      <c r="E253" s="29">
        <v>10</v>
      </c>
      <c r="F253" s="30" t="s">
        <v>172</v>
      </c>
      <c r="G253" s="31"/>
      <c r="H253" s="32" t="s">
        <v>40</v>
      </c>
      <c r="I253" s="33"/>
      <c r="J253" s="34">
        <f>IF(AND(D253="",E253="",A253="",B253="",C253=""),"", IFERROR(IF(J252="",D2,J252),D2)+IF(OR(E253="",H253="معلق"),0,E253)-IF(OR(G253="أبو اسحاق",G253="أبو آدم",G253="أبو اسحاق ",G253="أبو آدم "),0,IF(D253="",0,D253)))</f>
        <v>1371.2950000000001</v>
      </c>
      <c r="K253" s="35"/>
      <c r="L253" t="str">
        <f>IF(E252&gt;0,COUNTIF($E$4:E252,"&gt;0"),"")</f>
        <v/>
      </c>
      <c r="M253">
        <f>IF(AND(D252&gt;0,G252="المحفظة"),COUNTIFS($D$4:D252,"&gt;"&amp;0,$G$4:G252,"المحفظة"),"")</f>
        <v>53</v>
      </c>
      <c r="N253" t="str">
        <f>IF(AND(OR('طباعة كشف الحساب'!$C$2="الكل",MONTH(A253)=IFERROR(MATCH('طباعة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الحساب'!$F$2="الكل",YEAR(A253)=IFERROR(VALUE('طباعة كشف الحساب'!$F$2),0)),A253&lt;&gt;""),IFERROR(MAX($N$4:N252),0)+1,"")</f>
        <v/>
      </c>
      <c r="O253" t="str">
        <f>IF(AND(D252&gt;0,F252="أحد الشركاء"),COUNTIFS($D$4:D252,"&gt;"&amp;0,$F$4:F252,"أحد الشركاء"),"")</f>
        <v/>
      </c>
      <c r="P253">
        <f>IF(OR($A253="",$F253="أحد الشركاء",AND($D253="",$E253="")),"",SUMPRODUCT(($A$4:$A253&lt;&gt;"")*($F$4:$F253&lt;&gt;"أحد الشركاء")*((($D$4:$D253&lt;&gt;"")+($E$4:$E253&lt;&gt;""))&gt;0)))</f>
        <v>229</v>
      </c>
      <c r="Q253" t="str">
        <f>IF(OR($A253="",$F253&lt;&gt;"أحد الشركاء"),"",COUNTIFS($A$4:A253,"&lt;&gt;",$F$4:F253,"أحد الشركاء"))</f>
        <v/>
      </c>
    </row>
    <row r="254" spans="1:17" ht="18.75" customHeight="1" x14ac:dyDescent="0.25">
      <c r="A254" s="25">
        <v>46300</v>
      </c>
      <c r="B254" s="36" t="s">
        <v>517</v>
      </c>
      <c r="C254" s="37" t="s">
        <v>459</v>
      </c>
      <c r="D254" s="38"/>
      <c r="E254" s="39">
        <v>50</v>
      </c>
      <c r="F254" s="136" t="s">
        <v>38</v>
      </c>
      <c r="G254" s="40"/>
      <c r="H254" s="41" t="s">
        <v>40</v>
      </c>
      <c r="I254" s="42"/>
      <c r="J254" s="43">
        <f>IF(AND(D254="",E254="",A254="",B254="",C254=""),"", IFERROR(IF(J253="",D2,J253),D2)+IF(OR(E254="",H254="معلق"),0,E254)-IF(OR(G254="أبو اسحاق",G254="أبو آدم",G254="أبو اسحاق ",G254="أبو آدم "),0,IF(D254="",0,D254)))</f>
        <v>1421.2950000000001</v>
      </c>
      <c r="K254" s="44"/>
      <c r="L254">
        <f>IF(E253&gt;0,COUNTIF($E$4:E253,"&gt;0"),"")</f>
        <v>173</v>
      </c>
      <c r="M254" t="str">
        <f>IF(AND(D253&gt;0,G253="المحفظة"),COUNTIFS($D$4:D253,"&gt;"&amp;0,$G$4:G253,"المحفظة"),"")</f>
        <v/>
      </c>
      <c r="N254" t="str">
        <f>IF(AND(OR('طباعة كشف الحساب'!$C$2="الكل",MONTH(A254)=IFERROR(MATCH('طباعة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الحساب'!$F$2="الكل",YEAR(A254)=IFERROR(VALUE('طباعة كشف الحساب'!$F$2),0)),A254&lt;&gt;""),IFERROR(MAX($N$4:N253),0)+1,"")</f>
        <v/>
      </c>
      <c r="O254" t="str">
        <f>IF(AND(D253&gt;0,F253="أحد الشركاء"),COUNTIFS($D$4:D253,"&gt;"&amp;0,$F$4:F253,"أحد الشركاء"),"")</f>
        <v/>
      </c>
      <c r="P254">
        <f>IF(OR($A254="",$F254="أحد الشركاء",AND($D254="",$E254="")),"",SUMPRODUCT(($A$4:$A254&lt;&gt;"")*($F$4:$F254&lt;&gt;"أحد الشركاء")*((($D$4:$D254&lt;&gt;"")+($E$4:$E254&lt;&gt;""))&gt;0)))</f>
        <v>230</v>
      </c>
      <c r="Q254" t="str">
        <f>IF(OR($A254="",$F254&lt;&gt;"أحد الشركاء"),"",COUNTIFS($A$4:A254,"&lt;&gt;",$F$4:F254,"أحد الشركاء"))</f>
        <v/>
      </c>
    </row>
    <row r="255" spans="1:17" ht="18.75" customHeight="1" x14ac:dyDescent="0.25">
      <c r="A255" s="25">
        <v>46300</v>
      </c>
      <c r="B255" s="26" t="s">
        <v>518</v>
      </c>
      <c r="C255" s="27" t="s">
        <v>459</v>
      </c>
      <c r="D255" s="28"/>
      <c r="E255" s="29">
        <v>48.8</v>
      </c>
      <c r="F255" s="30" t="s">
        <v>172</v>
      </c>
      <c r="G255" s="31"/>
      <c r="H255" s="32" t="s">
        <v>40</v>
      </c>
      <c r="I255" s="33"/>
      <c r="J255" s="34">
        <f>IF(AND(D255="",E255="",A255="",B255="",C255=""),"", IFERROR(IF(J254="",D2,J254),D2)+IF(OR(E255="",H255="معلق"),0,E255)-IF(OR(G255="أبو اسحاق",G255="أبو آدم",G255="أبو اسحاق ",G255="أبو آدم "),0,IF(D255="",0,D255)))</f>
        <v>1470.095</v>
      </c>
      <c r="K255" s="35"/>
      <c r="L255">
        <f>IF(E254&gt;0,COUNTIF($E$4:E254,"&gt;0"),"")</f>
        <v>174</v>
      </c>
      <c r="M255" t="str">
        <f>IF(AND(D254&gt;0,G254="المحفظة"),COUNTIFS($D$4:D254,"&gt;"&amp;0,$G$4:G254,"المحفظة"),"")</f>
        <v/>
      </c>
      <c r="N255" t="str">
        <f>IF(AND(OR('طباعة كشف الحساب'!$C$2="الكل",MONTH(A255)=IFERROR(MATCH('طباعة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الحساب'!$F$2="الكل",YEAR(A255)=IFERROR(VALUE('طباعة كشف الحساب'!$F$2),0)),A255&lt;&gt;""),IFERROR(MAX($N$4:N254),0)+1,"")</f>
        <v/>
      </c>
      <c r="O255" t="str">
        <f>IF(AND(D254&gt;0,F254="أحد الشركاء"),COUNTIFS($D$4:D254,"&gt;"&amp;0,$F$4:F254,"أحد الشركاء"),"")</f>
        <v/>
      </c>
      <c r="P255">
        <f>IF(OR($A255="",$F255="أحد الشركاء",AND($D255="",$E255="")),"",SUMPRODUCT(($A$4:$A255&lt;&gt;"")*($F$4:$F255&lt;&gt;"أحد الشركاء")*((($D$4:$D255&lt;&gt;"")+($E$4:$E255&lt;&gt;""))&gt;0)))</f>
        <v>231</v>
      </c>
      <c r="Q255" t="str">
        <f>IF(OR($A255="",$F255&lt;&gt;"أحد الشركاء"),"",COUNTIFS($A$4:A255,"&lt;&gt;",$F$4:F255,"أحد الشركاء"))</f>
        <v/>
      </c>
    </row>
    <row r="256" spans="1:17" ht="18.75" customHeight="1" x14ac:dyDescent="0.25">
      <c r="A256" s="25">
        <v>46301</v>
      </c>
      <c r="B256" s="36"/>
      <c r="C256" s="37" t="s">
        <v>519</v>
      </c>
      <c r="D256" s="38">
        <v>200</v>
      </c>
      <c r="E256" s="39"/>
      <c r="F256" s="136" t="s">
        <v>38</v>
      </c>
      <c r="G256" s="40" t="s">
        <v>39</v>
      </c>
      <c r="H256" s="41" t="s">
        <v>40</v>
      </c>
      <c r="I256" s="42"/>
      <c r="J256" s="43">
        <f>IF(AND(D256="",E256="",A256="",B256="",C256=""),"", IFERROR(IF(J255="",D2,J255),D2)+IF(OR(E256="",H256="معلق"),0,E256)-IF(OR(G256="أبو اسحاق",G256="أبو آدم",G256="أبو اسحاق ",G256="أبو آدم "),0,IF(D256="",0,D256)))</f>
        <v>1270.095</v>
      </c>
      <c r="K256" s="44"/>
      <c r="L256">
        <f>IF(E255&gt;0,COUNTIF($E$4:E255,"&gt;0"),"")</f>
        <v>175</v>
      </c>
      <c r="M256" t="str">
        <f>IF(AND(D255&gt;0,G255="المحفظة"),COUNTIFS($D$4:D255,"&gt;"&amp;0,$G$4:G255,"المحفظة"),"")</f>
        <v/>
      </c>
      <c r="N256" t="str">
        <f>IF(AND(OR('طباعة كشف الحساب'!$C$2="الكل",MONTH(A256)=IFERROR(MATCH('طباعة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الحساب'!$F$2="الكل",YEAR(A256)=IFERROR(VALUE('طباعة كشف الحساب'!$F$2),0)),A256&lt;&gt;""),IFERROR(MAX($N$4:N255),0)+1,"")</f>
        <v/>
      </c>
      <c r="O256" t="str">
        <f>IF(AND(D255&gt;0,F255="أحد الشركاء"),COUNTIFS($D$4:D255,"&gt;"&amp;0,$F$4:F255,"أحد الشركاء"),"")</f>
        <v/>
      </c>
      <c r="P256">
        <f>IF(OR($A256="",$F256="أحد الشركاء",AND($D256="",$E256="")),"",SUMPRODUCT(($A$4:$A256&lt;&gt;"")*($F$4:$F256&lt;&gt;"أحد الشركاء")*((($D$4:$D256&lt;&gt;"")+($E$4:$E256&lt;&gt;""))&gt;0)))</f>
        <v>232</v>
      </c>
      <c r="Q256" t="str">
        <f>IF(OR($A256="",$F256&lt;&gt;"أحد الشركاء"),"",COUNTIFS($A$4:A256,"&lt;&gt;",$F$4:F256,"أحد الشركاء"))</f>
        <v/>
      </c>
    </row>
    <row r="257" spans="1:17" ht="18.75" customHeight="1" x14ac:dyDescent="0.25">
      <c r="A257" s="25">
        <v>46302</v>
      </c>
      <c r="B257" s="26" t="s">
        <v>520</v>
      </c>
      <c r="C257" s="27" t="s">
        <v>459</v>
      </c>
      <c r="D257" s="28"/>
      <c r="E257" s="29">
        <v>30.5</v>
      </c>
      <c r="F257" s="30" t="s">
        <v>38</v>
      </c>
      <c r="G257" s="31"/>
      <c r="H257" s="32" t="s">
        <v>40</v>
      </c>
      <c r="I257" s="33"/>
      <c r="J257" s="34">
        <f>IF(AND(D257="",E257="",A257="",B257="",C257=""),"", IFERROR(IF(J256="",D2,J256),D2)+IF(OR(E257="",H257="معلق"),0,E257)-IF(OR(G257="أبو اسحاق",G257="أبو آدم",G257="أبو اسحاق ",G257="أبو آدم "),0,IF(D257="",0,D257)))</f>
        <v>1300.595</v>
      </c>
      <c r="K257" s="35"/>
      <c r="L257" t="str">
        <f>IF(E256&gt;0,COUNTIF($E$4:E256,"&gt;0"),"")</f>
        <v/>
      </c>
      <c r="M257">
        <f>IF(AND(D256&gt;0,G256="المحفظة"),COUNTIFS($D$4:D256,"&gt;"&amp;0,$G$4:G256,"المحفظة"),"")</f>
        <v>54</v>
      </c>
      <c r="N257" t="str">
        <f>IF(AND(OR('طباعة كشف الحساب'!$C$2="الكل",MONTH(A257)=IFERROR(MATCH('طباعة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الحساب'!$F$2="الكل",YEAR(A257)=IFERROR(VALUE('طباعة كشف الحساب'!$F$2),0)),A257&lt;&gt;""),IFERROR(MAX($N$4:N256),0)+1,"")</f>
        <v/>
      </c>
      <c r="O257" t="str">
        <f>IF(AND(D256&gt;0,F256="أحد الشركاء"),COUNTIFS($D$4:D256,"&gt;"&amp;0,$F$4:F256,"أحد الشركاء"),"")</f>
        <v/>
      </c>
      <c r="P257">
        <f>IF(OR($A257="",$F257="أحد الشركاء",AND($D257="",$E257="")),"",SUMPRODUCT(($A$4:$A257&lt;&gt;"")*($F$4:$F257&lt;&gt;"أحد الشركاء")*((($D$4:$D257&lt;&gt;"")+($E$4:$E257&lt;&gt;""))&gt;0)))</f>
        <v>233</v>
      </c>
      <c r="Q257" t="str">
        <f>IF(OR($A257="",$F257&lt;&gt;"أحد الشركاء"),"",COUNTIFS($A$4:A257,"&lt;&gt;",$F$4:F257,"أحد الشركاء"))</f>
        <v/>
      </c>
    </row>
    <row r="258" spans="1:17" ht="18.75" customHeight="1" x14ac:dyDescent="0.25">
      <c r="A258" s="25">
        <v>46302</v>
      </c>
      <c r="B258" s="36"/>
      <c r="C258" s="37" t="s">
        <v>521</v>
      </c>
      <c r="D258" s="38">
        <v>18.75</v>
      </c>
      <c r="E258" s="39"/>
      <c r="F258" s="136" t="s">
        <v>38</v>
      </c>
      <c r="G258" s="40" t="s">
        <v>39</v>
      </c>
      <c r="H258" s="41" t="s">
        <v>40</v>
      </c>
      <c r="I258" s="42"/>
      <c r="J258" s="43">
        <f>IF(AND(D258="",E258="",A258="",B258="",C258=""),"", IFERROR(IF(J257="",D2,J257),D2)+IF(OR(E258="",H258="معلق"),0,E258)-IF(OR(G258="أبو اسحاق",G258="أبو آدم",G258="أبو اسحاق ",G258="أبو آدم "),0,IF(D258="",0,D258)))</f>
        <v>1281.845</v>
      </c>
      <c r="K258" s="44"/>
      <c r="L258">
        <f>IF(E257&gt;0,COUNTIF($E$4:E257,"&gt;0"),"")</f>
        <v>176</v>
      </c>
      <c r="M258" t="str">
        <f>IF(AND(D257&gt;0,G257="المحفظة"),COUNTIFS($D$4:D257,"&gt;"&amp;0,$G$4:G257,"المحفظة"),"")</f>
        <v/>
      </c>
      <c r="N258" t="str">
        <f>IF(AND(OR('طباعة كشف الحساب'!$C$2="الكل",MONTH(A258)=IFERROR(MATCH('طباعة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الحساب'!$F$2="الكل",YEAR(A258)=IFERROR(VALUE('طباعة كشف الحساب'!$F$2),0)),A258&lt;&gt;""),IFERROR(MAX($N$4:N257),0)+1,"")</f>
        <v/>
      </c>
      <c r="O258" t="str">
        <f>IF(AND(D257&gt;0,F257="أحد الشركاء"),COUNTIFS($D$4:D257,"&gt;"&amp;0,$F$4:F257,"أحد الشركاء"),"")</f>
        <v/>
      </c>
      <c r="P258">
        <f>IF(OR($A258="",$F258="أحد الشركاء",AND($D258="",$E258="")),"",SUMPRODUCT(($A$4:$A258&lt;&gt;"")*($F$4:$F258&lt;&gt;"أحد الشركاء")*((($D$4:$D258&lt;&gt;"")+($E$4:$E258&lt;&gt;""))&gt;0)))</f>
        <v>234</v>
      </c>
      <c r="Q258" t="str">
        <f>IF(OR($A258="",$F258&lt;&gt;"أحد الشركاء"),"",COUNTIFS($A$4:A258,"&lt;&gt;",$F$4:F258,"أحد الشركاء"))</f>
        <v/>
      </c>
    </row>
    <row r="259" spans="1:17" ht="18.75" customHeight="1" x14ac:dyDescent="0.25">
      <c r="A259" s="25">
        <v>46302</v>
      </c>
      <c r="B259" s="26" t="s">
        <v>522</v>
      </c>
      <c r="C259" s="27" t="s">
        <v>459</v>
      </c>
      <c r="D259" s="28"/>
      <c r="E259" s="29">
        <v>12</v>
      </c>
      <c r="F259" s="30" t="s">
        <v>38</v>
      </c>
      <c r="G259" s="31"/>
      <c r="H259" s="32" t="s">
        <v>40</v>
      </c>
      <c r="I259" s="33"/>
      <c r="J259" s="34">
        <f>IF(AND(D259="",E259="",A259="",B259="",C259=""),"", IFERROR(IF(J258="",D2,J258),D2)+IF(OR(E259="",H259="معلق"),0,E259)-IF(OR(G259="أبو اسحاق",G259="أبو آدم",G259="أبو اسحاق ",G259="أبو آدم "),0,IF(D259="",0,D259)))</f>
        <v>1293.845</v>
      </c>
      <c r="K259" s="35"/>
      <c r="L259" t="str">
        <f>IF(E258&gt;0,COUNTIF($E$4:E258,"&gt;0"),"")</f>
        <v/>
      </c>
      <c r="M259">
        <f>IF(AND(D258&gt;0,G258="المحفظة"),COUNTIFS($D$4:D258,"&gt;"&amp;0,$G$4:G258,"المحفظة"),"")</f>
        <v>55</v>
      </c>
      <c r="N259" t="str">
        <f>IF(AND(OR('طباعة كشف الحساب'!$C$2="الكل",MONTH(A259)=IFERROR(MATCH('طباعة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الحساب'!$F$2="الكل",YEAR(A259)=IFERROR(VALUE('طباعة كشف الحساب'!$F$2),0)),A259&lt;&gt;""),IFERROR(MAX($N$4:N258),0)+1,"")</f>
        <v/>
      </c>
      <c r="O259" t="str">
        <f>IF(AND(D258&gt;0,F258="أحد الشركاء"),COUNTIFS($D$4:D258,"&gt;"&amp;0,$F$4:F258,"أحد الشركاء"),"")</f>
        <v/>
      </c>
      <c r="P259">
        <f>IF(OR($A259="",$F259="أحد الشركاء",AND($D259="",$E259="")),"",SUMPRODUCT(($A$4:$A259&lt;&gt;"")*($F$4:$F259&lt;&gt;"أحد الشركاء")*((($D$4:$D259&lt;&gt;"")+($E$4:$E259&lt;&gt;""))&gt;0)))</f>
        <v>235</v>
      </c>
      <c r="Q259" t="str">
        <f>IF(OR($A259="",$F259&lt;&gt;"أحد الشركاء"),"",COUNTIFS($A$4:A259,"&lt;&gt;",$F$4:F259,"أحد الشركاء"))</f>
        <v/>
      </c>
    </row>
    <row r="260" spans="1:17" ht="18.75" customHeight="1" x14ac:dyDescent="0.25">
      <c r="A260" s="25">
        <v>46303</v>
      </c>
      <c r="B260" s="36" t="s">
        <v>523</v>
      </c>
      <c r="C260" s="37" t="s">
        <v>459</v>
      </c>
      <c r="D260" s="38"/>
      <c r="E260" s="39">
        <v>392</v>
      </c>
      <c r="F260" s="136" t="s">
        <v>38</v>
      </c>
      <c r="G260" s="40"/>
      <c r="H260" s="41" t="s">
        <v>40</v>
      </c>
      <c r="I260" s="42"/>
      <c r="J260" s="43">
        <f>IF(AND(D260="",E260="",A260="",B260="",C260=""),"", IFERROR(IF(J259="",D2,J259),D2)+IF(OR(E260="",H260="معلق"),0,E260)-IF(OR(G260="أبو اسحاق",G260="أبو آدم",G260="أبو اسحاق ",G260="أبو آدم "),0,IF(D260="",0,D260)))</f>
        <v>1685.845</v>
      </c>
      <c r="K260" s="44"/>
      <c r="L260">
        <f>IF(E259&gt;0,COUNTIF($E$4:E259,"&gt;0"),"")</f>
        <v>177</v>
      </c>
      <c r="M260" t="str">
        <f>IF(AND(D259&gt;0,G259="المحفظة"),COUNTIFS($D$4:D259,"&gt;"&amp;0,$G$4:G259,"المحفظة"),"")</f>
        <v/>
      </c>
      <c r="N260" t="str">
        <f>IF(AND(OR('طباعة كشف الحساب'!$C$2="الكل",MONTH(A260)=IFERROR(MATCH('طباعة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الحساب'!$F$2="الكل",YEAR(A260)=IFERROR(VALUE('طباعة كشف الحساب'!$F$2),0)),A260&lt;&gt;""),IFERROR(MAX($N$4:N259),0)+1,"")</f>
        <v/>
      </c>
      <c r="O260" t="str">
        <f>IF(AND(D259&gt;0,F259="أحد الشركاء"),COUNTIFS($D$4:D259,"&gt;"&amp;0,$F$4:F259,"أحد الشركاء"),"")</f>
        <v/>
      </c>
      <c r="P260">
        <f>IF(OR($A260="",$F260="أحد الشركاء",AND($D260="",$E260="")),"",SUMPRODUCT(($A$4:$A260&lt;&gt;"")*($F$4:$F260&lt;&gt;"أحد الشركاء")*((($D$4:$D260&lt;&gt;"")+($E$4:$E260&lt;&gt;""))&gt;0)))</f>
        <v>236</v>
      </c>
      <c r="Q260" t="str">
        <f>IF(OR($A260="",$F260&lt;&gt;"أحد الشركاء"),"",COUNTIFS($A$4:A260,"&lt;&gt;",$F$4:F260,"أحد الشركاء"))</f>
        <v/>
      </c>
    </row>
    <row r="261" spans="1:17" ht="18.75" customHeight="1" x14ac:dyDescent="0.25">
      <c r="A261" s="25">
        <v>46304</v>
      </c>
      <c r="B261" s="26" t="s">
        <v>524</v>
      </c>
      <c r="C261" s="27" t="s">
        <v>459</v>
      </c>
      <c r="D261" s="28"/>
      <c r="E261" s="29">
        <v>32</v>
      </c>
      <c r="F261" s="30" t="s">
        <v>38</v>
      </c>
      <c r="G261" s="31"/>
      <c r="H261" s="32" t="s">
        <v>40</v>
      </c>
      <c r="I261" s="33"/>
      <c r="J261" s="34">
        <f>IF(AND(D261="",E261="",A261="",B261="",C261=""),"", IFERROR(IF(J260="",D2,J260),D2)+IF(OR(E261="",H261="معلق"),0,E261)-IF(OR(G261="أبو اسحاق",G261="أبو آدم",G261="أبو اسحاق ",G261="أبو آدم "),0,IF(D261="",0,D261)))</f>
        <v>1717.845</v>
      </c>
      <c r="K261" s="35"/>
      <c r="L261">
        <f>IF(E260&gt;0,COUNTIF($E$4:E260,"&gt;0"),"")</f>
        <v>178</v>
      </c>
      <c r="M261" t="str">
        <f>IF(AND(D260&gt;0,G260="المحفظة"),COUNTIFS($D$4:D260,"&gt;"&amp;0,$G$4:G260,"المحفظة"),"")</f>
        <v/>
      </c>
      <c r="N261" t="str">
        <f>IF(AND(OR('طباعة كشف الحساب'!$C$2="الكل",MONTH(A261)=IFERROR(MATCH('طباعة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الحساب'!$F$2="الكل",YEAR(A261)=IFERROR(VALUE('طباعة كشف الحساب'!$F$2),0)),A261&lt;&gt;""),IFERROR(MAX($N$4:N260),0)+1,"")</f>
        <v/>
      </c>
      <c r="O261" t="str">
        <f>IF(AND(D260&gt;0,F260="أحد الشركاء"),COUNTIFS($D$4:D260,"&gt;"&amp;0,$F$4:F260,"أحد الشركاء"),"")</f>
        <v/>
      </c>
      <c r="P261">
        <f>IF(OR($A261="",$F261="أحد الشركاء",AND($D261="",$E261="")),"",SUMPRODUCT(($A$4:$A261&lt;&gt;"")*($F$4:$F261&lt;&gt;"أحد الشركاء")*((($D$4:$D261&lt;&gt;"")+($E$4:$E261&lt;&gt;""))&gt;0)))</f>
        <v>237</v>
      </c>
      <c r="Q261" t="str">
        <f>IF(OR($A261="",$F261&lt;&gt;"أحد الشركاء"),"",COUNTIFS($A$4:A261,"&lt;&gt;",$F$4:F261,"أحد الشركاء"))</f>
        <v/>
      </c>
    </row>
    <row r="262" spans="1:17" ht="18.75" customHeight="1" x14ac:dyDescent="0.25">
      <c r="A262" s="25">
        <v>46303</v>
      </c>
      <c r="B262" s="36"/>
      <c r="C262" s="37" t="s">
        <v>525</v>
      </c>
      <c r="D262" s="38">
        <v>80</v>
      </c>
      <c r="E262" s="39"/>
      <c r="F262" s="136" t="s">
        <v>38</v>
      </c>
      <c r="G262" s="40" t="s">
        <v>39</v>
      </c>
      <c r="H262" s="41" t="s">
        <v>40</v>
      </c>
      <c r="I262" s="42"/>
      <c r="J262" s="43">
        <f>IF(AND(D262="",E262="",A262="",B262="",C262=""),"", IFERROR(IF(J261="",D2,J261),D2)+IF(OR(E262="",H262="معلق"),0,E262)-IF(OR(G262="أبو اسحاق",G262="أبو آدم",G262="أبو اسحاق ",G262="أبو آدم "),0,IF(D262="",0,D262)))</f>
        <v>1637.845</v>
      </c>
      <c r="K262" s="44"/>
      <c r="L262">
        <f>IF(E261&gt;0,COUNTIF($E$4:E261,"&gt;0"),"")</f>
        <v>179</v>
      </c>
      <c r="M262" t="str">
        <f>IF(AND(D261&gt;0,G261="المحفظة"),COUNTIFS($D$4:D261,"&gt;"&amp;0,$G$4:G261,"المحفظة"),"")</f>
        <v/>
      </c>
      <c r="N262" t="str">
        <f>IF(AND(OR('طباعة كشف الحساب'!$C$2="الكل",MONTH(A262)=IFERROR(MATCH('طباعة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الحساب'!$F$2="الكل",YEAR(A262)=IFERROR(VALUE('طباعة كشف الحساب'!$F$2),0)),A262&lt;&gt;""),IFERROR(MAX($N$4:N261),0)+1,"")</f>
        <v/>
      </c>
      <c r="O262" t="str">
        <f>IF(AND(D261&gt;0,F261="أحد الشركاء"),COUNTIFS($D$4:D261,"&gt;"&amp;0,$F$4:F261,"أحد الشركاء"),"")</f>
        <v/>
      </c>
      <c r="P262">
        <f>IF(OR($A262="",$F262="أحد الشركاء",AND($D262="",$E262="")),"",SUMPRODUCT(($A$4:$A262&lt;&gt;"")*($F$4:$F262&lt;&gt;"أحد الشركاء")*((($D$4:$D262&lt;&gt;"")+($E$4:$E262&lt;&gt;""))&gt;0)))</f>
        <v>238</v>
      </c>
      <c r="Q262" t="str">
        <f>IF(OR($A262="",$F262&lt;&gt;"أحد الشركاء"),"",COUNTIFS($A$4:A262,"&lt;&gt;",$F$4:F262,"أحد الشركاء"))</f>
        <v/>
      </c>
    </row>
    <row r="263" spans="1:17" ht="18.75" customHeight="1" x14ac:dyDescent="0.25">
      <c r="A263" s="25">
        <v>46305</v>
      </c>
      <c r="B263" s="26"/>
      <c r="C263" s="27" t="s">
        <v>526</v>
      </c>
      <c r="D263" s="28">
        <v>12.5</v>
      </c>
      <c r="E263" s="29"/>
      <c r="F263" s="30" t="s">
        <v>38</v>
      </c>
      <c r="G263" s="31" t="s">
        <v>39</v>
      </c>
      <c r="H263" s="32" t="s">
        <v>40</v>
      </c>
      <c r="I263" s="33"/>
      <c r="J263" s="34">
        <f>IF(AND(D263="",E263="",A263="",B263="",C263=""),"", IFERROR(IF(J262="",D2,J262),D2)+IF(OR(E263="",H263="معلق"),0,E263)-IF(OR(G263="أبو اسحاق",G263="أبو آدم",G263="أبو اسحاق ",G263="أبو آدم "),0,IF(D263="",0,D263)))</f>
        <v>1625.345</v>
      </c>
      <c r="K263" s="35"/>
      <c r="L263" t="str">
        <f>IF(E262&gt;0,COUNTIF($E$4:E262,"&gt;0"),"")</f>
        <v/>
      </c>
      <c r="M263">
        <f>IF(AND(D262&gt;0,G262="المحفظة"),COUNTIFS($D$4:D262,"&gt;"&amp;0,$G$4:G262,"المحفظة"),"")</f>
        <v>56</v>
      </c>
      <c r="N263" t="str">
        <f>IF(AND(OR('طباعة كشف الحساب'!$C$2="الكل",MONTH(A263)=IFERROR(MATCH('طباعة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الحساب'!$F$2="الكل",YEAR(A263)=IFERROR(VALUE('طباعة كشف الحساب'!$F$2),0)),A263&lt;&gt;""),IFERROR(MAX($N$4:N262),0)+1,"")</f>
        <v/>
      </c>
      <c r="O263" t="str">
        <f>IF(AND(D262&gt;0,F262="أحد الشركاء"),COUNTIFS($D$4:D262,"&gt;"&amp;0,$F$4:F262,"أحد الشركاء"),"")</f>
        <v/>
      </c>
      <c r="P263">
        <f>IF(OR($A263="",$F263="أحد الشركاء",AND($D263="",$E263="")),"",SUMPRODUCT(($A$4:$A263&lt;&gt;"")*($F$4:$F263&lt;&gt;"أحد الشركاء")*((($D$4:$D263&lt;&gt;"")+($E$4:$E263&lt;&gt;""))&gt;0)))</f>
        <v>239</v>
      </c>
      <c r="Q263" t="str">
        <f>IF(OR($A263="",$F263&lt;&gt;"أحد الشركاء"),"",COUNTIFS($A$4:A263,"&lt;&gt;",$F$4:F263,"أحد الشركاء"))</f>
        <v/>
      </c>
    </row>
    <row r="264" spans="1:17" ht="18.75" customHeight="1" x14ac:dyDescent="0.25">
      <c r="A264" s="25">
        <v>46305</v>
      </c>
      <c r="B264" s="36" t="s">
        <v>527</v>
      </c>
      <c r="C264" s="37" t="s">
        <v>459</v>
      </c>
      <c r="D264" s="38"/>
      <c r="E264" s="39">
        <v>60</v>
      </c>
      <c r="F264" s="136" t="s">
        <v>172</v>
      </c>
      <c r="G264" s="40"/>
      <c r="H264" s="41" t="s">
        <v>40</v>
      </c>
      <c r="I264" s="42"/>
      <c r="J264" s="43">
        <f>IF(AND(D264="",E264="",A264="",B264="",C264=""),"", IFERROR(IF(J263="",D2,J263),D2)+IF(OR(E264="",H264="معلق"),0,E264)-IF(OR(G264="أبو اسحاق",G264="أبو آدم",G264="أبو اسحاق ",G264="أبو آدم "),0,IF(D264="",0,D264)))</f>
        <v>1685.345</v>
      </c>
      <c r="K264" s="44"/>
      <c r="L264" t="str">
        <f>IF(E263&gt;0,COUNTIF($E$4:E263,"&gt;0"),"")</f>
        <v/>
      </c>
      <c r="M264">
        <f>IF(AND(D263&gt;0,G263="المحفظة"),COUNTIFS($D$4:D263,"&gt;"&amp;0,$G$4:G263,"المحفظة"),"")</f>
        <v>57</v>
      </c>
      <c r="N264" t="str">
        <f>IF(AND(OR('طباعة كشف الحساب'!$C$2="الكل",MONTH(A264)=IFERROR(MATCH('طباعة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الحساب'!$F$2="الكل",YEAR(A264)=IFERROR(VALUE('طباعة كشف الحساب'!$F$2),0)),A264&lt;&gt;""),IFERROR(MAX($N$4:N263),0)+1,"")</f>
        <v/>
      </c>
      <c r="O264" t="str">
        <f>IF(AND(D263&gt;0,F263="أحد الشركاء"),COUNTIFS($D$4:D263,"&gt;"&amp;0,$F$4:F263,"أحد الشركاء"),"")</f>
        <v/>
      </c>
      <c r="P264">
        <f>IF(OR($A264="",$F264="أحد الشركاء",AND($D264="",$E264="")),"",SUMPRODUCT(($A$4:$A264&lt;&gt;"")*($F$4:$F264&lt;&gt;"أحد الشركاء")*((($D$4:$D264&lt;&gt;"")+($E$4:$E264&lt;&gt;""))&gt;0)))</f>
        <v>240</v>
      </c>
      <c r="Q264" t="str">
        <f>IF(OR($A264="",$F264&lt;&gt;"أحد الشركاء"),"",COUNTIFS($A$4:A264,"&lt;&gt;",$F$4:F264,"أحد الشركاء"))</f>
        <v/>
      </c>
    </row>
    <row r="265" spans="1:17" ht="18.75" customHeight="1" x14ac:dyDescent="0.25">
      <c r="A265" s="25">
        <v>46305</v>
      </c>
      <c r="B265" s="26" t="s">
        <v>528</v>
      </c>
      <c r="C265" s="27" t="s">
        <v>529</v>
      </c>
      <c r="D265" s="28"/>
      <c r="E265" s="29">
        <v>2.25</v>
      </c>
      <c r="F265" s="30" t="s">
        <v>38</v>
      </c>
      <c r="G265" s="31"/>
      <c r="H265" s="32" t="s">
        <v>40</v>
      </c>
      <c r="I265" s="33"/>
      <c r="J265" s="34">
        <f>IF(AND(D265="",E265="",A265="",B265="",C265=""),"", IFERROR(IF(J264="",D2,J264),D2)+IF(OR(E265="",H265="معلق"),0,E265)-IF(OR(G265="أبو اسحاق",G265="أبو آدم",G265="أبو اسحاق ",G265="أبو آدم "),0,IF(D265="",0,D265)))</f>
        <v>1687.595</v>
      </c>
      <c r="K265" s="35"/>
      <c r="L265">
        <f>IF(E264&gt;0,COUNTIF($E$4:E264,"&gt;0"),"")</f>
        <v>180</v>
      </c>
      <c r="M265" t="str">
        <f>IF(AND(D264&gt;0,G264="المحفظة"),COUNTIFS($D$4:D264,"&gt;"&amp;0,$G$4:G264,"المحفظة"),"")</f>
        <v/>
      </c>
      <c r="N265" t="str">
        <f>IF(AND(OR('طباعة كشف الحساب'!$C$2="الكل",MONTH(A265)=IFERROR(MATCH('طباعة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الحساب'!$F$2="الكل",YEAR(A265)=IFERROR(VALUE('طباعة كشف الحساب'!$F$2),0)),A265&lt;&gt;""),IFERROR(MAX($N$4:N264),0)+1,"")</f>
        <v/>
      </c>
      <c r="O265" t="str">
        <f>IF(AND(D264&gt;0,F264="أحد الشركاء"),COUNTIFS($D$4:D264,"&gt;"&amp;0,$F$4:F264,"أحد الشركاء"),"")</f>
        <v/>
      </c>
      <c r="P265">
        <f>IF(OR($A265="",$F265="أحد الشركاء",AND($D265="",$E265="")),"",SUMPRODUCT(($A$4:$A265&lt;&gt;"")*($F$4:$F265&lt;&gt;"أحد الشركاء")*((($D$4:$D265&lt;&gt;"")+($E$4:$E265&lt;&gt;""))&gt;0)))</f>
        <v>241</v>
      </c>
      <c r="Q265" t="str">
        <f>IF(OR($A265="",$F265&lt;&gt;"أحد الشركاء"),"",COUNTIFS($A$4:A265,"&lt;&gt;",$F$4:F265,"أحد الشركاء"))</f>
        <v/>
      </c>
    </row>
    <row r="266" spans="1:17" ht="18.75" customHeight="1" x14ac:dyDescent="0.25">
      <c r="A266" s="25">
        <v>46306</v>
      </c>
      <c r="B266" s="36" t="s">
        <v>530</v>
      </c>
      <c r="C266" s="37" t="s">
        <v>531</v>
      </c>
      <c r="D266" s="38"/>
      <c r="E266" s="39">
        <v>15</v>
      </c>
      <c r="F266" s="136" t="s">
        <v>172</v>
      </c>
      <c r="G266" s="40"/>
      <c r="H266" s="41" t="s">
        <v>40</v>
      </c>
      <c r="I266" s="42"/>
      <c r="J266" s="43">
        <f>IF(AND(D266="",E266="",A266="",B266="",C266=""),"", IFERROR(IF(J265="",D2,J265),D2)+IF(OR(E266="",H266="معلق"),0,E266)-IF(OR(G266="أبو اسحاق",G266="أبو آدم",G266="أبو اسحاق ",G266="أبو آدم "),0,IF(D266="",0,D266)))</f>
        <v>1702.595</v>
      </c>
      <c r="K266" s="44"/>
      <c r="L266">
        <f>IF(E265&gt;0,COUNTIF($E$4:E265,"&gt;0"),"")</f>
        <v>181</v>
      </c>
      <c r="M266" t="str">
        <f>IF(AND(D265&gt;0,G265="المحفظة"),COUNTIFS($D$4:D265,"&gt;"&amp;0,$G$4:G265,"المحفظة"),"")</f>
        <v/>
      </c>
      <c r="N266" t="str">
        <f>IF(AND(OR('طباعة كشف الحساب'!$C$2="الكل",MONTH(A266)=IFERROR(MATCH('طباعة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الحساب'!$F$2="الكل",YEAR(A266)=IFERROR(VALUE('طباعة كشف الحساب'!$F$2),0)),A266&lt;&gt;""),IFERROR(MAX($N$4:N265),0)+1,"")</f>
        <v/>
      </c>
      <c r="O266" t="str">
        <f>IF(AND(D265&gt;0,F265="أحد الشركاء"),COUNTIFS($D$4:D265,"&gt;"&amp;0,$F$4:F265,"أحد الشركاء"),"")</f>
        <v/>
      </c>
      <c r="P266">
        <f>IF(OR($A266="",$F266="أحد الشركاء",AND($D266="",$E266="")),"",SUMPRODUCT(($A$4:$A266&lt;&gt;"")*($F$4:$F266&lt;&gt;"أحد الشركاء")*((($D$4:$D266&lt;&gt;"")+($E$4:$E266&lt;&gt;""))&gt;0)))</f>
        <v>242</v>
      </c>
      <c r="Q266" t="str">
        <f>IF(OR($A266="",$F266&lt;&gt;"أحد الشركاء"),"",COUNTIFS($A$4:A266,"&lt;&gt;",$F$4:F266,"أحد الشركاء"))</f>
        <v/>
      </c>
    </row>
    <row r="267" spans="1:17" ht="18.75" customHeight="1" x14ac:dyDescent="0.25">
      <c r="A267" s="25">
        <v>46307</v>
      </c>
      <c r="B267" s="26" t="s">
        <v>532</v>
      </c>
      <c r="C267" s="27" t="s">
        <v>459</v>
      </c>
      <c r="D267" s="28"/>
      <c r="E267" s="29">
        <v>21</v>
      </c>
      <c r="F267" s="30" t="s">
        <v>38</v>
      </c>
      <c r="G267" s="31"/>
      <c r="H267" s="32" t="s">
        <v>40</v>
      </c>
      <c r="I267" s="33"/>
      <c r="J267" s="34">
        <f>IF(AND(D267="",E267="",A267="",B267="",C267=""),"", IFERROR(IF(J266="",D2,J266),D2)+IF(OR(E267="",H267="معلق"),0,E267)-IF(OR(G267="أبو اسحاق",G267="أبو آدم",G267="أبو اسحاق ",G267="أبو آدم "),0,IF(D267="",0,D267)))</f>
        <v>1723.595</v>
      </c>
      <c r="K267" s="35"/>
      <c r="L267">
        <f>IF(E266&gt;0,COUNTIF($E$4:E266,"&gt;0"),"")</f>
        <v>182</v>
      </c>
      <c r="M267" t="str">
        <f>IF(AND(D266&gt;0,G266="المحفظة"),COUNTIFS($D$4:D266,"&gt;"&amp;0,$G$4:G266,"المحفظة"),"")</f>
        <v/>
      </c>
      <c r="N267" t="str">
        <f>IF(AND(OR('طباعة كشف الحساب'!$C$2="الكل",MONTH(A267)=IFERROR(MATCH('طباعة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الحساب'!$F$2="الكل",YEAR(A267)=IFERROR(VALUE('طباعة كشف الحساب'!$F$2),0)),A267&lt;&gt;""),IFERROR(MAX($N$4:N266),0)+1,"")</f>
        <v/>
      </c>
      <c r="O267" t="str">
        <f>IF(AND(D266&gt;0,F266="أحد الشركاء"),COUNTIFS($D$4:D266,"&gt;"&amp;0,$F$4:F266,"أحد الشركاء"),"")</f>
        <v/>
      </c>
      <c r="P267">
        <f>IF(OR($A267="",$F267="أحد الشركاء",AND($D267="",$E267="")),"",SUMPRODUCT(($A$4:$A267&lt;&gt;"")*($F$4:$F267&lt;&gt;"أحد الشركاء")*((($D$4:$D267&lt;&gt;"")+($E$4:$E267&lt;&gt;""))&gt;0)))</f>
        <v>243</v>
      </c>
      <c r="Q267" t="str">
        <f>IF(OR($A267="",$F267&lt;&gt;"أحد الشركاء"),"",COUNTIFS($A$4:A267,"&lt;&gt;",$F$4:F267,"أحد الشركاء"))</f>
        <v/>
      </c>
    </row>
    <row r="268" spans="1:17" ht="18.75" customHeight="1" x14ac:dyDescent="0.25">
      <c r="A268" s="25">
        <v>46307</v>
      </c>
      <c r="B268" s="36"/>
      <c r="C268" s="37" t="s">
        <v>533</v>
      </c>
      <c r="D268" s="38">
        <v>143</v>
      </c>
      <c r="E268" s="39"/>
      <c r="F268" s="136" t="s">
        <v>38</v>
      </c>
      <c r="G268" s="40" t="s">
        <v>39</v>
      </c>
      <c r="H268" s="41" t="s">
        <v>40</v>
      </c>
      <c r="I268" s="42"/>
      <c r="J268" s="43">
        <f>IF(AND(D268="",E268="",A268="",B268="",C268=""),"", IFERROR(IF(J267="",D2,J267),D2)+IF(OR(E268="",H268="معلق"),0,E268)-IF(OR(G268="أبو اسحاق",G268="أبو آدم",G268="أبو اسحاق ",G268="أبو آدم "),0,IF(D268="",0,D268)))</f>
        <v>1580.595</v>
      </c>
      <c r="K268" s="44"/>
      <c r="L268">
        <f>IF(E267&gt;0,COUNTIF($E$4:E267,"&gt;0"),"")</f>
        <v>183</v>
      </c>
      <c r="M268" t="str">
        <f>IF(AND(D267&gt;0,G267="المحفظة"),COUNTIFS($D$4:D267,"&gt;"&amp;0,$G$4:G267,"المحفظة"),"")</f>
        <v/>
      </c>
      <c r="N268" t="str">
        <f>IF(AND(OR('طباعة كشف الحساب'!$C$2="الكل",MONTH(A268)=IFERROR(MATCH('طباعة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الحساب'!$F$2="الكل",YEAR(A268)=IFERROR(VALUE('طباعة كشف الحساب'!$F$2),0)),A268&lt;&gt;""),IFERROR(MAX($N$4:N267),0)+1,"")</f>
        <v/>
      </c>
      <c r="O268" t="str">
        <f>IF(AND(D267&gt;0,F267="أحد الشركاء"),COUNTIFS($D$4:D267,"&gt;"&amp;0,$F$4:F267,"أحد الشركاء"),"")</f>
        <v/>
      </c>
      <c r="P268">
        <f>IF(OR($A268="",$F268="أحد الشركاء",AND($D268="",$E268="")),"",SUMPRODUCT(($A$4:$A268&lt;&gt;"")*($F$4:$F268&lt;&gt;"أحد الشركاء")*((($D$4:$D268&lt;&gt;"")+($E$4:$E268&lt;&gt;""))&gt;0)))</f>
        <v>244</v>
      </c>
      <c r="Q268" t="str">
        <f>IF(OR($A268="",$F268&lt;&gt;"أحد الشركاء"),"",COUNTIFS($A$4:A268,"&lt;&gt;",$F$4:F268,"أحد الشركاء"))</f>
        <v/>
      </c>
    </row>
    <row r="269" spans="1:17" ht="18.75" customHeight="1" x14ac:dyDescent="0.25">
      <c r="A269" s="25">
        <v>46307</v>
      </c>
      <c r="B269" s="26"/>
      <c r="C269" s="27" t="s">
        <v>534</v>
      </c>
      <c r="D269" s="28">
        <v>40</v>
      </c>
      <c r="E269" s="29"/>
      <c r="F269" s="30" t="s">
        <v>38</v>
      </c>
      <c r="G269" s="31" t="s">
        <v>39</v>
      </c>
      <c r="H269" s="32" t="s">
        <v>40</v>
      </c>
      <c r="I269" s="33"/>
      <c r="J269" s="34">
        <f>IF(AND(D269="",E269="",A269="",B269="",C269=""),"", IFERROR(IF(J268="",D2,J268),D2)+IF(OR(E269="",H269="معلق"),0,E269)-IF(OR(G269="أبو اسحاق",G269="أبو آدم",G269="أبو اسحاق ",G269="أبو آدم "),0,IF(D269="",0,D269)))</f>
        <v>1540.595</v>
      </c>
      <c r="K269" s="35"/>
      <c r="L269" t="str">
        <f>IF(E268&gt;0,COUNTIF($E$4:E268,"&gt;0"),"")</f>
        <v/>
      </c>
      <c r="M269">
        <f>IF(AND(D268&gt;0,G268="المحفظة"),COUNTIFS($D$4:D268,"&gt;"&amp;0,$G$4:G268,"المحفظة"),"")</f>
        <v>58</v>
      </c>
      <c r="N269" t="str">
        <f>IF(AND(OR('طباعة كشف الحساب'!$C$2="الكل",MONTH(A269)=IFERROR(MATCH('طباعة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الحساب'!$F$2="الكل",YEAR(A269)=IFERROR(VALUE('طباعة كشف الحساب'!$F$2),0)),A269&lt;&gt;""),IFERROR(MAX($N$4:N268),0)+1,"")</f>
        <v/>
      </c>
      <c r="O269" t="str">
        <f>IF(AND(D268&gt;0,F268="أحد الشركاء"),COUNTIFS($D$4:D268,"&gt;"&amp;0,$F$4:F268,"أحد الشركاء"),"")</f>
        <v/>
      </c>
      <c r="P269">
        <f>IF(OR($A269="",$F269="أحد الشركاء",AND($D269="",$E269="")),"",SUMPRODUCT(($A$4:$A269&lt;&gt;"")*($F$4:$F269&lt;&gt;"أحد الشركاء")*((($D$4:$D269&lt;&gt;"")+($E$4:$E269&lt;&gt;""))&gt;0)))</f>
        <v>245</v>
      </c>
      <c r="Q269" t="str">
        <f>IF(OR($A269="",$F269&lt;&gt;"أحد الشركاء"),"",COUNTIFS($A$4:A269,"&lt;&gt;",$F$4:F269,"أحد الشركاء"))</f>
        <v/>
      </c>
    </row>
    <row r="270" spans="1:17" ht="18.75" customHeight="1" x14ac:dyDescent="0.25">
      <c r="A270" s="25">
        <v>46310</v>
      </c>
      <c r="B270" s="36" t="s">
        <v>535</v>
      </c>
      <c r="C270" s="37" t="s">
        <v>538</v>
      </c>
      <c r="D270" s="38"/>
      <c r="E270" s="39">
        <v>378</v>
      </c>
      <c r="F270" s="136" t="s">
        <v>38</v>
      </c>
      <c r="G270" s="40"/>
      <c r="H270" s="41" t="s">
        <v>40</v>
      </c>
      <c r="I270" s="42"/>
      <c r="J270" s="43">
        <f>IF(AND(D270="",E270="",A270="",B270="",C270=""),"", IFERROR(IF(J269="",D2,J269),D2)+IF(OR(E270="",H270="معلق"),0,E270)-IF(OR(G270="أبو اسحاق",G270="أبو آدم",G270="أبو اسحاق ",G270="أبو آدم "),0,IF(D270="",0,D270)))</f>
        <v>1918.595</v>
      </c>
      <c r="K270" s="44"/>
      <c r="L270" t="str">
        <f>IF(E269&gt;0,COUNTIF($E$4:E269,"&gt;0"),"")</f>
        <v/>
      </c>
      <c r="M270">
        <f>IF(AND(D269&gt;0,G269="المحفظة"),COUNTIFS($D$4:D269,"&gt;"&amp;0,$G$4:G269,"المحفظة"),"")</f>
        <v>59</v>
      </c>
      <c r="N270" t="str">
        <f>IF(AND(OR('طباعة كشف الحساب'!$C$2="الكل",MONTH(A270)=IFERROR(MATCH('طباعة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الحساب'!$F$2="الكل",YEAR(A270)=IFERROR(VALUE('طباعة كشف الحساب'!$F$2),0)),A270&lt;&gt;""),IFERROR(MAX($N$4:N269),0)+1,"")</f>
        <v/>
      </c>
      <c r="O270" t="str">
        <f>IF(AND(D269&gt;0,F269="أحد الشركاء"),COUNTIFS($D$4:D269,"&gt;"&amp;0,$F$4:F269,"أحد الشركاء"),"")</f>
        <v/>
      </c>
      <c r="P270">
        <f>IF(OR($A270="",$F270="أحد الشركاء",AND($D270="",$E270="")),"",SUMPRODUCT(($A$4:$A270&lt;&gt;"")*($F$4:$F270&lt;&gt;"أحد الشركاء")*((($D$4:$D270&lt;&gt;"")+($E$4:$E270&lt;&gt;""))&gt;0)))</f>
        <v>246</v>
      </c>
      <c r="Q270" t="str">
        <f>IF(OR($A270="",$F270&lt;&gt;"أحد الشركاء"),"",COUNTIFS($A$4:A270,"&lt;&gt;",$F$4:F270,"أحد الشركاء"))</f>
        <v/>
      </c>
    </row>
    <row r="271" spans="1:17" ht="18.75" customHeight="1" x14ac:dyDescent="0.25">
      <c r="A271" s="25">
        <v>46310</v>
      </c>
      <c r="B271" s="26" t="s">
        <v>536</v>
      </c>
      <c r="C271" s="27" t="s">
        <v>537</v>
      </c>
      <c r="D271" s="28"/>
      <c r="E271" s="29">
        <v>16.5</v>
      </c>
      <c r="F271" s="30" t="s">
        <v>38</v>
      </c>
      <c r="G271" s="31"/>
      <c r="H271" s="32" t="s">
        <v>50</v>
      </c>
      <c r="I271" s="33"/>
      <c r="J271" s="34">
        <f>IF(AND(D271="",E271="",A271="",B271="",C271=""),"", IFERROR(IF(J270="",D2,J270),D2)+IF(OR(E271="",H271="معلق"),0,E271)-IF(OR(G271="أبو اسحاق",G271="أبو آدم",G271="أبو اسحاق ",G271="أبو آدم "),0,IF(D271="",0,D271)))</f>
        <v>1918.595</v>
      </c>
      <c r="K271" s="35"/>
      <c r="L271">
        <f>IF(E270&gt;0,COUNTIF($E$4:E270,"&gt;0"),"")</f>
        <v>184</v>
      </c>
      <c r="M271" t="str">
        <f>IF(AND(D270&gt;0,G270="المحفظة"),COUNTIFS($D$4:D270,"&gt;"&amp;0,$G$4:G270,"المحفظة"),"")</f>
        <v/>
      </c>
      <c r="N271" t="str">
        <f>IF(AND(OR('طباعة كشف الحساب'!$C$2="الكل",MONTH(A271)=IFERROR(MATCH('طباعة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الحساب'!$F$2="الكل",YEAR(A271)=IFERROR(VALUE('طباعة كشف الحساب'!$F$2),0)),A271&lt;&gt;""),IFERROR(MAX($N$4:N270),0)+1,"")</f>
        <v/>
      </c>
      <c r="O271" t="str">
        <f>IF(AND(D270&gt;0,F270="أحد الشركاء"),COUNTIFS($D$4:D270,"&gt;"&amp;0,$F$4:F270,"أحد الشركاء"),"")</f>
        <v/>
      </c>
      <c r="P271">
        <f>IF(OR($A271="",$F271="أحد الشركاء",AND($D271="",$E271="")),"",SUMPRODUCT(($A$4:$A271&lt;&gt;"")*($F$4:$F271&lt;&gt;"أحد الشركاء")*((($D$4:$D271&lt;&gt;"")+($E$4:$E271&lt;&gt;""))&gt;0)))</f>
        <v>247</v>
      </c>
      <c r="Q271" t="str">
        <f>IF(OR($A271="",$F271&lt;&gt;"أحد الشركاء"),"",COUNTIFS($A$4:A271,"&lt;&gt;",$F$4:F271,"أحد الشركاء"))</f>
        <v/>
      </c>
    </row>
    <row r="272" spans="1:17" ht="18.75" customHeight="1" x14ac:dyDescent="0.25">
      <c r="A272" s="25">
        <v>46310</v>
      </c>
      <c r="B272" s="36"/>
      <c r="C272" s="153" t="s">
        <v>539</v>
      </c>
      <c r="D272" s="38">
        <v>3</v>
      </c>
      <c r="E272" s="39"/>
      <c r="F272" s="154" t="s">
        <v>38</v>
      </c>
      <c r="G272" s="155" t="s">
        <v>39</v>
      </c>
      <c r="H272" s="156" t="s">
        <v>40</v>
      </c>
      <c r="I272" s="42"/>
      <c r="J272" s="43">
        <f>IF(AND(D272="",E272="",A272="",B272="",C272=""),"", IFERROR(IF(J271="",D2,J271),D2)+IF(OR(E272="",H272="معلق"),0,E272)-IF(OR(G272="أبو اسحاق",G272="أبو آدم",G272="أبو اسحاق ",G272="أبو آدم "),0,IF(D272="",0,D272)))</f>
        <v>1915.595</v>
      </c>
      <c r="K272" s="44"/>
      <c r="L272">
        <f>IF(E271&gt;0,COUNTIF($E$4:E271,"&gt;0"),"")</f>
        <v>185</v>
      </c>
      <c r="M272" t="str">
        <f>IF(AND(D271&gt;0,G271="المحفظة"),COUNTIFS($D$4:D271,"&gt;"&amp;0,$G$4:G271,"المحفظة"),"")</f>
        <v/>
      </c>
      <c r="N272" t="str">
        <f>IF(AND(OR('طباعة كشف الحساب'!$C$2="الكل",MONTH(A272)=IFERROR(MATCH('طباعة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الحساب'!$F$2="الكل",YEAR(A272)=IFERROR(VALUE('طباعة كشف الحساب'!$F$2),0)),A272&lt;&gt;""),IFERROR(MAX($N$4:N271),0)+1,"")</f>
        <v/>
      </c>
      <c r="O272" t="str">
        <f>IF(AND(D271&gt;0,F271="أحد الشركاء"),COUNTIFS($D$4:D271,"&gt;"&amp;0,$F$4:F271,"أحد الشركاء"),"")</f>
        <v/>
      </c>
      <c r="P272">
        <f>IF(OR($A272="",$F272="أحد الشركاء",AND($D272="",$E272="")),"",SUMPRODUCT(($A$4:$A272&lt;&gt;"")*($F$4:$F272&lt;&gt;"أحد الشركاء")*((($D$4:$D272&lt;&gt;"")+($E$4:$E272&lt;&gt;""))&gt;0)))</f>
        <v>248</v>
      </c>
      <c r="Q272" t="str">
        <f>IF(OR($A272="",$F272&lt;&gt;"أحد الشركاء"),"",COUNTIFS($A$4:A272,"&lt;&gt;",$F$4:F272,"أحد الشركاء"))</f>
        <v/>
      </c>
    </row>
    <row r="273" spans="1:17" ht="18.75" customHeight="1" x14ac:dyDescent="0.25">
      <c r="A273" s="25">
        <v>46311</v>
      </c>
      <c r="B273" s="26" t="s">
        <v>541</v>
      </c>
      <c r="C273" s="27" t="s">
        <v>540</v>
      </c>
      <c r="D273" s="28"/>
      <c r="E273" s="29">
        <v>139.25</v>
      </c>
      <c r="F273" s="30"/>
      <c r="G273" s="31"/>
      <c r="H273" s="32" t="s">
        <v>50</v>
      </c>
      <c r="I273" s="33"/>
      <c r="J273" s="34">
        <f>IF(AND(D273="",E273="",A273="",B273="",C273=""),"", IFERROR(IF(J272="",D2,J272),D2)+IF(OR(E273="",H273="معلق"),0,E273)-IF(OR(G273="أبو اسحاق",G273="أبو آدم",G273="أبو اسحاق ",G273="أبو آدم "),0,IF(D273="",0,D273)))</f>
        <v>1915.595</v>
      </c>
      <c r="K273" s="35"/>
      <c r="L273" t="str">
        <f>IF(E272&gt;0,COUNTIF($E$4:E272,"&gt;0"),"")</f>
        <v/>
      </c>
      <c r="M273">
        <f>IF(AND(D272&gt;0,G272="المحفظة"),COUNTIFS($D$4:D272,"&gt;"&amp;0,$G$4:G272,"المحفظة"),"")</f>
        <v>60</v>
      </c>
      <c r="N273" t="str">
        <f>IF(AND(OR('طباعة كشف الحساب'!$C$2="الكل",MONTH(A273)=IFERROR(MATCH('طباعة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الحساب'!$F$2="الكل",YEAR(A273)=IFERROR(VALUE('طباعة كشف الحساب'!$F$2),0)),A273&lt;&gt;""),IFERROR(MAX($N$4:N272),0)+1,"")</f>
        <v/>
      </c>
      <c r="O273" t="str">
        <f>IF(AND(D272&gt;0,F272="أحد الشركاء"),COUNTIFS($D$4:D272,"&gt;"&amp;0,$F$4:F272,"أحد الشركاء"),"")</f>
        <v/>
      </c>
      <c r="P273">
        <f>IF(OR($A273="",$F273="أحد الشركاء",AND($D273="",$E273="")),"",SUMPRODUCT(($A$4:$A273&lt;&gt;"")*($F$4:$F273&lt;&gt;"أحد الشركاء")*((($D$4:$D273&lt;&gt;"")+($E$4:$E273&lt;&gt;""))&gt;0)))</f>
        <v>249</v>
      </c>
      <c r="Q273" t="str">
        <f>IF(OR($A273="",$F273&lt;&gt;"أحد الشركاء"),"",COUNTIFS($A$4:A273,"&lt;&gt;",$F$4:F273,"أحد الشركاء"))</f>
        <v/>
      </c>
    </row>
    <row r="274" spans="1:17" ht="18.75" customHeight="1" x14ac:dyDescent="0.25">
      <c r="A274" s="25">
        <v>46311</v>
      </c>
      <c r="B274" s="36"/>
      <c r="C274" s="37" t="s">
        <v>542</v>
      </c>
      <c r="D274" s="38">
        <v>10</v>
      </c>
      <c r="E274" s="39"/>
      <c r="F274" s="136" t="s">
        <v>38</v>
      </c>
      <c r="G274" s="40" t="s">
        <v>39</v>
      </c>
      <c r="H274" s="41" t="s">
        <v>40</v>
      </c>
      <c r="I274" s="42"/>
      <c r="J274" s="43">
        <f>IF(AND(D274="",E274="",A274="",B274="",C274=""),"", IFERROR(IF(J273="",D2,J273),D2)+IF(OR(E274="",H274="معلق"),0,E274)-IF(OR(G274="أبو اسحاق",G274="أبو آدم",G274="أبو اسحاق ",G274="أبو آدم "),0,IF(D274="",0,D274)))</f>
        <v>1905.595</v>
      </c>
      <c r="K274" s="44"/>
      <c r="L274">
        <f>IF(E273&gt;0,COUNTIF($E$4:E273,"&gt;0"),"")</f>
        <v>186</v>
      </c>
      <c r="M274" t="str">
        <f>IF(AND(D273&gt;0,G273="المحفظة"),COUNTIFS($D$4:D273,"&gt;"&amp;0,$G$4:G273,"المحفظة"),"")</f>
        <v/>
      </c>
      <c r="N274" t="str">
        <f>IF(AND(OR('طباعة كشف الحساب'!$C$2="الكل",MONTH(A274)=IFERROR(MATCH('طباعة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الحساب'!$F$2="الكل",YEAR(A274)=IFERROR(VALUE('طباعة كشف الحساب'!$F$2),0)),A274&lt;&gt;""),IFERROR(MAX($N$4:N273),0)+1,"")</f>
        <v/>
      </c>
      <c r="O274" t="str">
        <f>IF(AND(D273&gt;0,F273="أحد الشركاء"),COUNTIFS($D$4:D273,"&gt;"&amp;0,$F$4:F273,"أحد الشركاء"),"")</f>
        <v/>
      </c>
      <c r="P274">
        <f>IF(OR($A274="",$F274="أحد الشركاء",AND($D274="",$E274="")),"",SUMPRODUCT(($A$4:$A274&lt;&gt;"")*($F$4:$F274&lt;&gt;"أحد الشركاء")*((($D$4:$D274&lt;&gt;"")+($E$4:$E274&lt;&gt;""))&gt;0)))</f>
        <v>250</v>
      </c>
      <c r="Q274" t="str">
        <f>IF(OR($A274="",$F274&lt;&gt;"أحد الشركاء"),"",COUNTIFS($A$4:A274,"&lt;&gt;",$F$4:F274,"أحد الشركاء"))</f>
        <v/>
      </c>
    </row>
    <row r="275" spans="1:17" ht="18.75" customHeight="1" x14ac:dyDescent="0.25">
      <c r="A275" s="25"/>
      <c r="B275" s="26"/>
      <c r="C275" s="27"/>
      <c r="D275" s="28"/>
      <c r="E275" s="29"/>
      <c r="F275" s="30"/>
      <c r="G275" s="31"/>
      <c r="H275" s="32"/>
      <c r="I275" s="33"/>
      <c r="J275" s="34" t="str">
        <f>IF(AND(D275="",E275="",A275="",B275="",C275=""),"", IFERROR(IF(J274="",D2,J274),D2)+IF(OR(E275="",H275="معلق"),0,E275)-IF(OR(G275="أبو اسحاق",G275="أبو آدم",G275="أبو اسحاق ",G275="أبو آدم "),0,IF(D275="",0,D275)))</f>
        <v/>
      </c>
      <c r="K275" s="35"/>
      <c r="L275" t="str">
        <f>IF(E274&gt;0,COUNTIF($E$4:E274,"&gt;0"),"")</f>
        <v/>
      </c>
      <c r="M275">
        <f>IF(AND(D274&gt;0,G274="المحفظة"),COUNTIFS($D$4:D274,"&gt;"&amp;0,$G$4:G274,"المحفظة"),"")</f>
        <v>61</v>
      </c>
      <c r="N275" t="str">
        <f>IF(AND(OR('طباعة كشف الحساب'!$C$2="الكل",MONTH(A275)=IFERROR(MATCH('طباعة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الحساب'!$F$2="الكل",YEAR(A275)=IFERROR(VALUE('طباعة كشف الحساب'!$F$2),0)),A275&lt;&gt;""),IFERROR(MAX($N$4:N274),0)+1,"")</f>
        <v/>
      </c>
      <c r="O275" t="str">
        <f>IF(AND(D274&gt;0,F274="أحد الشركاء"),COUNTIFS($D$4:D274,"&gt;"&amp;0,$F$4:F274,"أحد الشركاء"),"")</f>
        <v/>
      </c>
      <c r="P275" t="str">
        <f>IF(OR($A275="",$F275="أحد الشركاء",AND($D275="",$E275="")),"",SUMPRODUCT(($A$4:$A275&lt;&gt;"")*($F$4:$F275&lt;&gt;"أحد الشركاء")*((($D$4:$D275&lt;&gt;"")+($E$4:$E275&lt;&gt;""))&gt;0)))</f>
        <v/>
      </c>
      <c r="Q275" t="str">
        <f>IF(OR($A275="",$F275&lt;&gt;"أحد الشركاء"),"",COUNTIFS($A$4:A275,"&lt;&gt;",$F$4:F275,"أحد الشركاء"))</f>
        <v/>
      </c>
    </row>
    <row r="276" spans="1:17" ht="18.75" customHeight="1" x14ac:dyDescent="0.25">
      <c r="A276" s="25"/>
      <c r="B276" s="36"/>
      <c r="C276" s="37"/>
      <c r="D276" s="38"/>
      <c r="E276" s="39"/>
      <c r="F276" s="136"/>
      <c r="G276" s="40"/>
      <c r="H276" s="41"/>
      <c r="I276" s="42"/>
      <c r="J276" s="43" t="str">
        <f>IF(AND(D276="",E276="",A276="",B276="",C276=""),"", IFERROR(IF(J275="",D2,J275),D2)+IF(OR(E276="",H276="معلق"),0,E276)-IF(OR(G276="أبو اسحاق",G276="أبو آدم",G276="أبو اسحاق ",G276="أبو آدم "),0,IF(D276="",0,D276)))</f>
        <v/>
      </c>
      <c r="K276" s="44"/>
      <c r="L276" t="str">
        <f>IF(E275&gt;0,COUNTIF($E$4:E275,"&gt;0"),"")</f>
        <v/>
      </c>
      <c r="M276" t="str">
        <f>IF(AND(D275&gt;0,G275="المحفظة"),COUNTIFS($D$4:D275,"&gt;"&amp;0,$G$4:G275,"المحفظة"),"")</f>
        <v/>
      </c>
      <c r="N276" t="str">
        <f>IF(AND(OR('طباعة كشف الحساب'!$C$2="الكل",MONTH(A276)=IFERROR(MATCH('طباعة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الحساب'!$F$2="الكل",YEAR(A276)=IFERROR(VALUE('طباعة كشف الحساب'!$F$2),0)),A276&lt;&gt;""),IFERROR(MAX($N$4:N275),0)+1,"")</f>
        <v/>
      </c>
      <c r="O276" t="str">
        <f>IF(AND(D275&gt;0,F275="أحد الشركاء"),COUNTIFS($D$4:D275,"&gt;"&amp;0,$F$4:F275,"أحد الشركاء"),"")</f>
        <v/>
      </c>
      <c r="P276" t="str">
        <f>IF(OR($A276="",$F276="أحد الشركاء",AND($D276="",$E276="")),"",SUMPRODUCT(($A$4:$A276&lt;&gt;"")*($F$4:$F276&lt;&gt;"أحد الشركاء")*((($D$4:$D276&lt;&gt;"")+($E$4:$E276&lt;&gt;""))&gt;0)))</f>
        <v/>
      </c>
      <c r="Q276" t="str">
        <f>IF(OR($A276="",$F276&lt;&gt;"أحد الشركاء"),"",COUNTIFS($A$4:A276,"&lt;&gt;",$F$4:F276,"أحد الشركاء"))</f>
        <v/>
      </c>
    </row>
    <row r="277" spans="1:17" ht="18.75" customHeight="1" x14ac:dyDescent="0.25">
      <c r="A277" s="25"/>
      <c r="B277" s="26"/>
      <c r="C277" s="27"/>
      <c r="D277" s="28"/>
      <c r="E277" s="29"/>
      <c r="F277" s="30"/>
      <c r="G277" s="31"/>
      <c r="H277" s="32"/>
      <c r="I277" s="33"/>
      <c r="J277" s="34" t="str">
        <f>IF(AND(D277="",E277="",A277="",B277="",C277=""),"", IFERROR(IF(J276="",D2,J276),D2)+IF(OR(E277="",H277="معلق"),0,E277)-IF(OR(G277="أبو اسحاق",G277="أبو آدم",G277="أبو اسحاق ",G277="أبو آدم "),0,IF(D277="",0,D277)))</f>
        <v/>
      </c>
      <c r="K277" s="35"/>
      <c r="L277" t="str">
        <f>IF(E276&gt;0,COUNTIF($E$4:E276,"&gt;0"),"")</f>
        <v/>
      </c>
      <c r="M277" t="str">
        <f>IF(AND(D276&gt;0,G276="المحفظة"),COUNTIFS($D$4:D276,"&gt;"&amp;0,$G$4:G276,"المحفظة"),"")</f>
        <v/>
      </c>
      <c r="N277" t="str">
        <f>IF(AND(OR('طباعة كشف الحساب'!$C$2="الكل",MONTH(A277)=IFERROR(MATCH('طباعة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الحساب'!$F$2="الكل",YEAR(A277)=IFERROR(VALUE('طباعة كشف الحساب'!$F$2),0)),A277&lt;&gt;""),IFERROR(MAX($N$4:N276),0)+1,"")</f>
        <v/>
      </c>
      <c r="O277" t="str">
        <f>IF(AND(D276&gt;0,F276="أحد الشركاء"),COUNTIFS($D$4:D276,"&gt;"&amp;0,$F$4:F276,"أحد الشركاء"),"")</f>
        <v/>
      </c>
      <c r="P277" t="str">
        <f>IF(OR($A277="",$F277="أحد الشركاء",AND($D277="",$E277="")),"",SUMPRODUCT(($A$4:$A277&lt;&gt;"")*($F$4:$F277&lt;&gt;"أحد الشركاء")*((($D$4:$D277&lt;&gt;"")+($E$4:$E277&lt;&gt;""))&gt;0)))</f>
        <v/>
      </c>
      <c r="Q277" t="str">
        <f>IF(OR($A277="",$F277&lt;&gt;"أحد الشركاء"),"",COUNTIFS($A$4:A277,"&lt;&gt;",$F$4:F277,"أحد الشركاء"))</f>
        <v/>
      </c>
    </row>
    <row r="278" spans="1:17" ht="18.75" customHeight="1" x14ac:dyDescent="0.25">
      <c r="A278" s="25"/>
      <c r="B278" s="36"/>
      <c r="C278" s="37"/>
      <c r="D278" s="38"/>
      <c r="E278" s="39"/>
      <c r="F278" s="136"/>
      <c r="G278" s="40"/>
      <c r="H278" s="41"/>
      <c r="I278" s="42"/>
      <c r="J278" s="43" t="str">
        <f>IF(AND(D278="",E278="",A278="",B278="",C278=""),"", IFERROR(IF(J277="",D2,J277),D2)+IF(OR(E278="",H278="معلق"),0,E278)-IF(OR(G278="أبو اسحاق",G278="أبو آدم",G278="أبو اسحاق ",G278="أبو آدم "),0,IF(D278="",0,D278)))</f>
        <v/>
      </c>
      <c r="K278" s="44"/>
      <c r="L278" t="str">
        <f>IF(E277&gt;0,COUNTIF($E$4:E277,"&gt;0"),"")</f>
        <v/>
      </c>
      <c r="M278" t="str">
        <f>IF(AND(D277&gt;0,G277="المحفظة"),COUNTIFS($D$4:D277,"&gt;"&amp;0,$G$4:G277,"المحفظة"),"")</f>
        <v/>
      </c>
      <c r="N278" t="str">
        <f>IF(AND(OR('طباعة كشف الحساب'!$C$2="الكل",MONTH(A278)=IFERROR(MATCH('طباعة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الحساب'!$F$2="الكل",YEAR(A278)=IFERROR(VALUE('طباعة كشف الحساب'!$F$2),0)),A278&lt;&gt;""),IFERROR(MAX($N$4:N277),0)+1,"")</f>
        <v/>
      </c>
      <c r="O278" t="str">
        <f>IF(AND(D277&gt;0,F277="أحد الشركاء"),COUNTIFS($D$4:D277,"&gt;"&amp;0,$F$4:F277,"أحد الشركاء"),"")</f>
        <v/>
      </c>
      <c r="P278" t="str">
        <f>IF(OR($A278="",$F278="أحد الشركاء",AND($D278="",$E278="")),"",SUMPRODUCT(($A$4:$A278&lt;&gt;"")*($F$4:$F278&lt;&gt;"أحد الشركاء")*((($D$4:$D278&lt;&gt;"")+($E$4:$E278&lt;&gt;""))&gt;0)))</f>
        <v/>
      </c>
      <c r="Q278" t="str">
        <f>IF(OR($A278="",$F278&lt;&gt;"أحد الشركاء"),"",COUNTIFS($A$4:A278,"&lt;&gt;",$F$4:F278,"أحد الشركاء"))</f>
        <v/>
      </c>
    </row>
    <row r="279" spans="1:17" ht="18.75" customHeight="1" x14ac:dyDescent="0.25">
      <c r="A279" s="25"/>
      <c r="B279" s="26"/>
      <c r="C279" s="27"/>
      <c r="D279" s="28"/>
      <c r="E279" s="29"/>
      <c r="F279" s="30"/>
      <c r="G279" s="31"/>
      <c r="H279" s="32"/>
      <c r="I279" s="33"/>
      <c r="J279" s="34" t="str">
        <f>IF(AND(D279="",E279="",A279="",B279="",C279=""),"", IFERROR(IF(J278="",D2,J278),D2)+IF(OR(E279="",H279="معلق"),0,E279)-IF(OR(G279="أبو اسحاق",G279="أبو آدم",G279="أبو اسحاق ",G279="أبو آدم "),0,IF(D279="",0,D279)))</f>
        <v/>
      </c>
      <c r="K279" s="35"/>
      <c r="L279" t="str">
        <f>IF(E278&gt;0,COUNTIF($E$4:E278,"&gt;0"),"")</f>
        <v/>
      </c>
      <c r="M279" t="str">
        <f>IF(AND(D278&gt;0,G278="المحفظة"),COUNTIFS($D$4:D278,"&gt;"&amp;0,$G$4:G278,"المحفظة"),"")</f>
        <v/>
      </c>
      <c r="N279" t="str">
        <f>IF(AND(OR('طباعة كشف الحساب'!$C$2="الكل",MONTH(A279)=IFERROR(MATCH('طباعة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الحساب'!$F$2="الكل",YEAR(A279)=IFERROR(VALUE('طباعة كشف الحساب'!$F$2),0)),A279&lt;&gt;""),IFERROR(MAX($N$4:N278),0)+1,"")</f>
        <v/>
      </c>
      <c r="O279" t="str">
        <f>IF(AND(D278&gt;0,F278="أحد الشركاء"),COUNTIFS($D$4:D278,"&gt;"&amp;0,$F$4:F278,"أحد الشركاء"),"")</f>
        <v/>
      </c>
      <c r="P279" t="str">
        <f>IF(OR($A279="",$F279="أحد الشركاء",AND($D279="",$E279="")),"",SUMPRODUCT(($A$4:$A279&lt;&gt;"")*($F$4:$F279&lt;&gt;"أحد الشركاء")*((($D$4:$D279&lt;&gt;"")+($E$4:$E279&lt;&gt;""))&gt;0)))</f>
        <v/>
      </c>
      <c r="Q279" t="str">
        <f>IF(OR($A279="",$F279&lt;&gt;"أحد الشركاء"),"",COUNTIFS($A$4:A279,"&lt;&gt;",$F$4:F279,"أحد الشركاء"))</f>
        <v/>
      </c>
    </row>
    <row r="280" spans="1:17" ht="18.75" customHeight="1" x14ac:dyDescent="0.25">
      <c r="A280" s="25"/>
      <c r="B280" s="36"/>
      <c r="C280" s="37"/>
      <c r="D280" s="38"/>
      <c r="E280" s="39"/>
      <c r="F280" s="136"/>
      <c r="G280" s="40"/>
      <c r="H280" s="41"/>
      <c r="I280" s="42"/>
      <c r="J280" s="43" t="str">
        <f>IF(AND(D280="",E280="",A280="",B280="",C280=""),"", IFERROR(IF(J279="",D2,J279),D2)+IF(OR(E280="",H280="معلق"),0,E280)-IF(OR(G280="أبو اسحاق",G280="أبو آدم",G280="أبو اسحاق ",G280="أبو آدم "),0,IF(D280="",0,D280)))</f>
        <v/>
      </c>
      <c r="K280" s="44"/>
      <c r="L280" t="str">
        <f>IF(E279&gt;0,COUNTIF($E$4:E279,"&gt;0"),"")</f>
        <v/>
      </c>
      <c r="M280" t="str">
        <f>IF(AND(D279&gt;0,G279="المحفظة"),COUNTIFS($D$4:D279,"&gt;"&amp;0,$G$4:G279,"المحفظة"),"")</f>
        <v/>
      </c>
      <c r="N280" t="str">
        <f>IF(AND(OR('طباعة كشف الحساب'!$C$2="الكل",MONTH(A280)=IFERROR(MATCH('طباعة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الحساب'!$F$2="الكل",YEAR(A280)=IFERROR(VALUE('طباعة كشف الحساب'!$F$2),0)),A280&lt;&gt;""),IFERROR(MAX($N$4:N279),0)+1,"")</f>
        <v/>
      </c>
      <c r="O280" t="str">
        <f>IF(AND(D279&gt;0,F279="أحد الشركاء"),COUNTIFS($D$4:D279,"&gt;"&amp;0,$F$4:F279,"أحد الشركاء"),"")</f>
        <v/>
      </c>
      <c r="P280" t="str">
        <f>IF(OR($A280="",$F280="أحد الشركاء",AND($D280="",$E280="")),"",SUMPRODUCT(($A$4:$A280&lt;&gt;"")*($F$4:$F280&lt;&gt;"أحد الشركاء")*((($D$4:$D280&lt;&gt;"")+($E$4:$E280&lt;&gt;""))&gt;0)))</f>
        <v/>
      </c>
      <c r="Q280" t="str">
        <f>IF(OR($A280="",$F280&lt;&gt;"أحد الشركاء"),"",COUNTIFS($A$4:A280,"&lt;&gt;",$F$4:F280,"أحد الشركاء"))</f>
        <v/>
      </c>
    </row>
    <row r="281" spans="1:17" ht="18.75" customHeight="1" x14ac:dyDescent="0.25">
      <c r="A281" s="25"/>
      <c r="B281" s="26"/>
      <c r="C281" s="27"/>
      <c r="D281" s="28"/>
      <c r="E281" s="29"/>
      <c r="F281" s="30"/>
      <c r="G281" s="31"/>
      <c r="H281" s="32"/>
      <c r="I281" s="33"/>
      <c r="J281" s="34" t="str">
        <f>IF(AND(D281="",E281="",A281="",B281="",C281=""),"", IFERROR(IF(J280="",D2,J280),D2)+IF(OR(E281="",H281="معلق"),0,E281)-IF(OR(G281="أبو اسحاق",G281="أبو آدم",G281="أبو اسحاق ",G281="أبو آدم "),0,IF(D281="",0,D281)))</f>
        <v/>
      </c>
      <c r="K281" s="35"/>
      <c r="L281" t="str">
        <f>IF(E280&gt;0,COUNTIF($E$4:E280,"&gt;0"),"")</f>
        <v/>
      </c>
      <c r="M281" t="str">
        <f>IF(AND(D280&gt;0,G280="المحفظة"),COUNTIFS($D$4:D280,"&gt;"&amp;0,$G$4:G280,"المحفظة"),"")</f>
        <v/>
      </c>
      <c r="N281" t="str">
        <f>IF(AND(OR('طباعة كشف الحساب'!$C$2="الكل",MONTH(A281)=IFERROR(MATCH('طباعة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الحساب'!$F$2="الكل",YEAR(A281)=IFERROR(VALUE('طباعة كشف الحساب'!$F$2),0)),A281&lt;&gt;""),IFERROR(MAX($N$4:N280),0)+1,"")</f>
        <v/>
      </c>
      <c r="O281" t="str">
        <f>IF(AND(D280&gt;0,F280="أحد الشركاء"),COUNTIFS($D$4:D280,"&gt;"&amp;0,$F$4:F280,"أحد الشركاء"),"")</f>
        <v/>
      </c>
      <c r="P281" t="str">
        <f>IF(OR($A281="",$F281="أحد الشركاء",AND($D281="",$E281="")),"",SUMPRODUCT(($A$4:$A281&lt;&gt;"")*($F$4:$F281&lt;&gt;"أحد الشركاء")*((($D$4:$D281&lt;&gt;"")+($E$4:$E281&lt;&gt;""))&gt;0)))</f>
        <v/>
      </c>
      <c r="Q281" t="str">
        <f>IF(OR($A281="",$F281&lt;&gt;"أحد الشركاء"),"",COUNTIFS($A$4:A281,"&lt;&gt;",$F$4:F281,"أحد الشركاء"))</f>
        <v/>
      </c>
    </row>
    <row r="282" spans="1:17" ht="18.75" customHeight="1" x14ac:dyDescent="0.25">
      <c r="A282" s="25"/>
      <c r="B282" s="36"/>
      <c r="C282" s="37"/>
      <c r="D282" s="38"/>
      <c r="E282" s="39"/>
      <c r="F282" s="136"/>
      <c r="G282" s="40"/>
      <c r="H282" s="41"/>
      <c r="I282" s="42"/>
      <c r="J282" s="43" t="str">
        <f>IF(AND(D282="",E282="",A282="",B282="",C282=""),"", IFERROR(IF(J281="",D2,J281),D2)+IF(OR(E282="",H282="معلق"),0,E282)-IF(OR(G282="أبو اسحاق",G282="أبو آدم",G282="أبو اسحاق ",G282="أبو آدم "),0,IF(D282="",0,D282)))</f>
        <v/>
      </c>
      <c r="K282" s="44"/>
      <c r="L282" t="str">
        <f>IF(E281&gt;0,COUNTIF($E$4:E281,"&gt;0"),"")</f>
        <v/>
      </c>
      <c r="M282" t="str">
        <f>IF(AND(D281&gt;0,G281="المحفظة"),COUNTIFS($D$4:D281,"&gt;"&amp;0,$G$4:G281,"المحفظة"),"")</f>
        <v/>
      </c>
      <c r="N282" t="str">
        <f>IF(AND(OR('طباعة كشف الحساب'!$C$2="الكل",MONTH(A282)=IFERROR(MATCH('طباعة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الحساب'!$F$2="الكل",YEAR(A282)=IFERROR(VALUE('طباعة كشف الحساب'!$F$2),0)),A282&lt;&gt;""),IFERROR(MAX($N$4:N281),0)+1,"")</f>
        <v/>
      </c>
      <c r="O282" t="str">
        <f>IF(AND(D281&gt;0,F281="أحد الشركاء"),COUNTIFS($D$4:D281,"&gt;"&amp;0,$F$4:F281,"أحد الشركاء"),"")</f>
        <v/>
      </c>
      <c r="P282" t="str">
        <f>IF(OR($A282="",$F282="أحد الشركاء",AND($D282="",$E282="")),"",SUMPRODUCT(($A$4:$A282&lt;&gt;"")*($F$4:$F282&lt;&gt;"أحد الشركاء")*((($D$4:$D282&lt;&gt;"")+($E$4:$E282&lt;&gt;""))&gt;0)))</f>
        <v/>
      </c>
      <c r="Q282" t="str">
        <f>IF(OR($A282="",$F282&lt;&gt;"أحد الشركاء"),"",COUNTIFS($A$4:A282,"&lt;&gt;",$F$4:F282,"أحد الشركاء"))</f>
        <v/>
      </c>
    </row>
    <row r="283" spans="1:17" ht="18.75" customHeight="1" x14ac:dyDescent="0.25">
      <c r="A283" s="25"/>
      <c r="B283" s="26"/>
      <c r="C283" s="27"/>
      <c r="D283" s="28"/>
      <c r="E283" s="29"/>
      <c r="F283" s="30"/>
      <c r="G283" s="31"/>
      <c r="H283" s="32"/>
      <c r="I283" s="33"/>
      <c r="J283" s="34" t="str">
        <f>IF(AND(D283="",E283="",A283="",B283="",C283=""),"", IFERROR(IF(J282="",D2,J282),D2)+IF(OR(E283="",H283="معلق"),0,E283)-IF(OR(G283="أبو اسحاق",G283="أبو آدم",G283="أبو اسحاق ",G283="أبو آدم "),0,IF(D283="",0,D283)))</f>
        <v/>
      </c>
      <c r="K283" s="35"/>
      <c r="L283" t="str">
        <f>IF(E282&gt;0,COUNTIF($E$4:E282,"&gt;0"),"")</f>
        <v/>
      </c>
      <c r="M283" t="str">
        <f>IF(AND(D282&gt;0,G282="المحفظة"),COUNTIFS($D$4:D282,"&gt;"&amp;0,$G$4:G282,"المحفظة"),"")</f>
        <v/>
      </c>
      <c r="N283" t="str">
        <f>IF(AND(OR('طباعة كشف الحساب'!$C$2="الكل",MONTH(A283)=IFERROR(MATCH('طباعة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الحساب'!$F$2="الكل",YEAR(A283)=IFERROR(VALUE('طباعة كشف الحساب'!$F$2),0)),A283&lt;&gt;""),IFERROR(MAX($N$4:N282),0)+1,"")</f>
        <v/>
      </c>
      <c r="O283" t="str">
        <f>IF(AND(D282&gt;0,F282="أحد الشركاء"),COUNTIFS($D$4:D282,"&gt;"&amp;0,$F$4:F282,"أحد الشركاء"),"")</f>
        <v/>
      </c>
      <c r="P283" t="str">
        <f>IF(OR($A283="",$F283="أحد الشركاء",AND($D283="",$E283="")),"",SUMPRODUCT(($A$4:$A283&lt;&gt;"")*($F$4:$F283&lt;&gt;"أحد الشركاء")*((($D$4:$D283&lt;&gt;"")+($E$4:$E283&lt;&gt;""))&gt;0)))</f>
        <v/>
      </c>
      <c r="Q283" t="str">
        <f>IF(OR($A283="",$F283&lt;&gt;"أحد الشركاء"),"",COUNTIFS($A$4:A283,"&lt;&gt;",$F$4:F283,"أحد الشركاء"))</f>
        <v/>
      </c>
    </row>
    <row r="284" spans="1:17" ht="18.75" customHeight="1" x14ac:dyDescent="0.25">
      <c r="A284" s="25"/>
      <c r="B284" s="36"/>
      <c r="C284" s="37"/>
      <c r="D284" s="38"/>
      <c r="E284" s="39"/>
      <c r="F284" s="136"/>
      <c r="G284" s="40"/>
      <c r="H284" s="41"/>
      <c r="I284" s="42"/>
      <c r="J284" s="43" t="str">
        <f>IF(AND(D284="",E284="",A284="",B284="",C284=""),"", IFERROR(IF(J283="",D2,J283),D2)+IF(OR(E284="",H284="معلق"),0,E284)-IF(OR(G284="أبو اسحاق",G284="أبو آدم",G284="أبو اسحاق ",G284="أبو آدم "),0,IF(D284="",0,D284)))</f>
        <v/>
      </c>
      <c r="K284" s="44"/>
      <c r="L284" t="str">
        <f>IF(E283&gt;0,COUNTIF($E$4:E283,"&gt;0"),"")</f>
        <v/>
      </c>
      <c r="M284" t="str">
        <f>IF(AND(D283&gt;0,G283="المحفظة"),COUNTIFS($D$4:D283,"&gt;"&amp;0,$G$4:G283,"المحفظة"),"")</f>
        <v/>
      </c>
      <c r="N284" t="str">
        <f>IF(AND(OR('طباعة كشف الحساب'!$C$2="الكل",MONTH(A284)=IFERROR(MATCH('طباعة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الحساب'!$F$2="الكل",YEAR(A284)=IFERROR(VALUE('طباعة كشف الحساب'!$F$2),0)),A284&lt;&gt;""),IFERROR(MAX($N$4:N283),0)+1,"")</f>
        <v/>
      </c>
      <c r="O284" t="str">
        <f>IF(AND(D283&gt;0,F283="أحد الشركاء"),COUNTIFS($D$4:D283,"&gt;"&amp;0,$F$4:F283,"أحد الشركاء"),"")</f>
        <v/>
      </c>
      <c r="P284" t="str">
        <f>IF(OR($A284="",$F284="أحد الشركاء",AND($D284="",$E284="")),"",SUMPRODUCT(($A$4:$A284&lt;&gt;"")*($F$4:$F284&lt;&gt;"أحد الشركاء")*((($D$4:$D284&lt;&gt;"")+($E$4:$E284&lt;&gt;""))&gt;0)))</f>
        <v/>
      </c>
      <c r="Q284" t="str">
        <f>IF(OR($A284="",$F284&lt;&gt;"أحد الشركاء"),"",COUNTIFS($A$4:A284,"&lt;&gt;",$F$4:F284,"أحد الشركاء"))</f>
        <v/>
      </c>
    </row>
    <row r="285" spans="1:17" ht="18.75" customHeight="1" x14ac:dyDescent="0.25">
      <c r="A285" s="25"/>
      <c r="B285" s="26"/>
      <c r="C285" s="27"/>
      <c r="D285" s="28"/>
      <c r="E285" s="29"/>
      <c r="F285" s="30"/>
      <c r="G285" s="31"/>
      <c r="H285" s="32"/>
      <c r="I285" s="33"/>
      <c r="J285" s="34" t="str">
        <f>IF(AND(D285="",E285="",A285="",B285="",C285=""),"", IFERROR(IF(J284="",D2,J284),D2)+IF(OR(E285="",H285="معلق"),0,E285)-IF(OR(G285="أبو اسحاق",G285="أبو آدم",G285="أبو اسحاق ",G285="أبو آدم "),0,IF(D285="",0,D285)))</f>
        <v/>
      </c>
      <c r="K285" s="35"/>
      <c r="L285" t="str">
        <f>IF(E284&gt;0,COUNTIF($E$4:E284,"&gt;0"),"")</f>
        <v/>
      </c>
      <c r="M285" t="str">
        <f>IF(AND(D284&gt;0,G284="المحفظة"),COUNTIFS($D$4:D284,"&gt;"&amp;0,$G$4:G284,"المحفظة"),"")</f>
        <v/>
      </c>
      <c r="N285" t="str">
        <f>IF(AND(OR('طباعة كشف الحساب'!$C$2="الكل",MONTH(A285)=IFERROR(MATCH('طباعة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الحساب'!$F$2="الكل",YEAR(A285)=IFERROR(VALUE('طباعة كشف الحساب'!$F$2),0)),A285&lt;&gt;""),IFERROR(MAX($N$4:N284),0)+1,"")</f>
        <v/>
      </c>
      <c r="O285" t="str">
        <f>IF(AND(D284&gt;0,F284="أحد الشركاء"),COUNTIFS($D$4:D284,"&gt;"&amp;0,$F$4:F284,"أحد الشركاء"),"")</f>
        <v/>
      </c>
      <c r="P285" t="str">
        <f>IF(OR($A285="",$F285="أحد الشركاء",AND($D285="",$E285="")),"",SUMPRODUCT(($A$4:$A285&lt;&gt;"")*($F$4:$F285&lt;&gt;"أحد الشركاء")*((($D$4:$D285&lt;&gt;"")+($E$4:$E285&lt;&gt;""))&gt;0)))</f>
        <v/>
      </c>
      <c r="Q285" t="str">
        <f>IF(OR($A285="",$F285&lt;&gt;"أحد الشركاء"),"",COUNTIFS($A$4:A285,"&lt;&gt;",$F$4:F285,"أحد الشركاء"))</f>
        <v/>
      </c>
    </row>
    <row r="286" spans="1:17" ht="18.75" customHeight="1" x14ac:dyDescent="0.25">
      <c r="A286" s="25"/>
      <c r="B286" s="36"/>
      <c r="C286" s="37"/>
      <c r="D286" s="38"/>
      <c r="E286" s="39"/>
      <c r="F286" s="136"/>
      <c r="G286" s="40"/>
      <c r="H286" s="41"/>
      <c r="I286" s="42"/>
      <c r="J286" s="43" t="str">
        <f>IF(AND(D286="",E286="",A286="",B286="",C286=""),"", IFERROR(IF(J285="",D2,J285),D2)+IF(OR(E286="",H286="معلق"),0,E286)-IF(OR(G286="أبو اسحاق",G286="أبو آدم",G286="أبو اسحاق ",G286="أبو آدم "),0,IF(D286="",0,D286)))</f>
        <v/>
      </c>
      <c r="K286" s="44"/>
      <c r="L286" t="str">
        <f>IF(E285&gt;0,COUNTIF($E$4:E285,"&gt;0"),"")</f>
        <v/>
      </c>
      <c r="M286" t="str">
        <f>IF(AND(D285&gt;0,G285="المحفظة"),COUNTIFS($D$4:D285,"&gt;"&amp;0,$G$4:G285,"المحفظة"),"")</f>
        <v/>
      </c>
      <c r="N286" t="str">
        <f>IF(AND(OR('طباعة كشف الحساب'!$C$2="الكل",MONTH(A286)=IFERROR(MATCH('طباعة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الحساب'!$F$2="الكل",YEAR(A286)=IFERROR(VALUE('طباعة كشف الحساب'!$F$2),0)),A286&lt;&gt;""),IFERROR(MAX($N$4:N285),0)+1,"")</f>
        <v/>
      </c>
      <c r="O286" t="str">
        <f>IF(AND(D285&gt;0,F285="أحد الشركاء"),COUNTIFS($D$4:D285,"&gt;"&amp;0,$F$4:F285,"أحد الشركاء"),"")</f>
        <v/>
      </c>
      <c r="P286" t="str">
        <f>IF(OR($A286="",$F286="أحد الشركاء",AND($D286="",$E286="")),"",SUMPRODUCT(($A$4:$A286&lt;&gt;"")*($F$4:$F286&lt;&gt;"أحد الشركاء")*((($D$4:$D286&lt;&gt;"")+($E$4:$E286&lt;&gt;""))&gt;0)))</f>
        <v/>
      </c>
      <c r="Q286" t="str">
        <f>IF(OR($A286="",$F286&lt;&gt;"أحد الشركاء"),"",COUNTIFS($A$4:A286,"&lt;&gt;",$F$4:F286,"أحد الشركاء"))</f>
        <v/>
      </c>
    </row>
    <row r="287" spans="1:17" ht="18.75" customHeight="1" x14ac:dyDescent="0.25">
      <c r="A287" s="25"/>
      <c r="B287" s="26"/>
      <c r="C287" s="27"/>
      <c r="D287" s="28"/>
      <c r="E287" s="29"/>
      <c r="F287" s="30"/>
      <c r="G287" s="31"/>
      <c r="H287" s="32"/>
      <c r="I287" s="33"/>
      <c r="J287" s="34" t="str">
        <f>IF(AND(D287="",E287="",A287="",B287="",C287=""),"", IFERROR(IF(J286="",D2,J286),D2)+IF(OR(E287="",H287="معلق"),0,E287)-IF(OR(G287="أبو اسحاق",G287="أبو آدم",G287="أبو اسحاق ",G287="أبو آدم "),0,IF(D287="",0,D287)))</f>
        <v/>
      </c>
      <c r="K287" s="35"/>
      <c r="L287" t="str">
        <f>IF(E286&gt;0,COUNTIF($E$4:E286,"&gt;0"),"")</f>
        <v/>
      </c>
      <c r="M287" t="str">
        <f>IF(AND(D286&gt;0,G286="المحفظة"),COUNTIFS($D$4:D286,"&gt;"&amp;0,$G$4:G286,"المحفظة"),"")</f>
        <v/>
      </c>
      <c r="N287" t="str">
        <f>IF(AND(OR('طباعة كشف الحساب'!$C$2="الكل",MONTH(A287)=IFERROR(MATCH('طباعة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الحساب'!$F$2="الكل",YEAR(A287)=IFERROR(VALUE('طباعة كشف الحساب'!$F$2),0)),A287&lt;&gt;""),IFERROR(MAX($N$4:N286),0)+1,"")</f>
        <v/>
      </c>
      <c r="O287" t="str">
        <f>IF(AND(D286&gt;0,F286="أحد الشركاء"),COUNTIFS($D$4:D286,"&gt;"&amp;0,$F$4:F286,"أحد الشركاء"),"")</f>
        <v/>
      </c>
      <c r="P287" t="str">
        <f>IF(OR($A287="",$F287="أحد الشركاء",AND($D287="",$E287="")),"",SUMPRODUCT(($A$4:$A287&lt;&gt;"")*($F$4:$F287&lt;&gt;"أحد الشركاء")*((($D$4:$D287&lt;&gt;"")+($E$4:$E287&lt;&gt;""))&gt;0)))</f>
        <v/>
      </c>
      <c r="Q287" t="str">
        <f>IF(OR($A287="",$F287&lt;&gt;"أحد الشركاء"),"",COUNTIFS($A$4:A287,"&lt;&gt;",$F$4:F287,"أحد الشركاء"))</f>
        <v/>
      </c>
    </row>
    <row r="288" spans="1:17" ht="18.75" customHeight="1" x14ac:dyDescent="0.25">
      <c r="A288" s="25"/>
      <c r="B288" s="36"/>
      <c r="C288" s="37"/>
      <c r="D288" s="38"/>
      <c r="E288" s="39"/>
      <c r="F288" s="136"/>
      <c r="G288" s="40"/>
      <c r="H288" s="41"/>
      <c r="I288" s="42"/>
      <c r="J288" s="43" t="str">
        <f>IF(AND(D288="",E288="",A288="",B288="",C288=""),"", IFERROR(IF(J287="",D2,J287),D2)+IF(OR(E288="",H288="معلق"),0,E288)-IF(OR(G288="أبو اسحاق",G288="أبو آدم",G288="أبو اسحاق ",G288="أبو آدم "),0,IF(D288="",0,D288)))</f>
        <v/>
      </c>
      <c r="K288" s="44"/>
      <c r="L288" t="str">
        <f>IF(E287&gt;0,COUNTIF($E$4:E287,"&gt;0"),"")</f>
        <v/>
      </c>
      <c r="M288" t="str">
        <f>IF(AND(D287&gt;0,G287="المحفظة"),COUNTIFS($D$4:D287,"&gt;"&amp;0,$G$4:G287,"المحفظة"),"")</f>
        <v/>
      </c>
      <c r="N288" t="str">
        <f>IF(AND(OR('طباعة كشف الحساب'!$C$2="الكل",MONTH(A288)=IFERROR(MATCH('طباعة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الحساب'!$F$2="الكل",YEAR(A288)=IFERROR(VALUE('طباعة كشف الحساب'!$F$2),0)),A288&lt;&gt;""),IFERROR(MAX($N$4:N287),0)+1,"")</f>
        <v/>
      </c>
      <c r="O288" t="str">
        <f>IF(AND(D287&gt;0,F287="أحد الشركاء"),COUNTIFS($D$4:D287,"&gt;"&amp;0,$F$4:F287,"أحد الشركاء"),"")</f>
        <v/>
      </c>
      <c r="P288" t="str">
        <f>IF(OR($A288="",$F288="أحد الشركاء",AND($D288="",$E288="")),"",SUMPRODUCT(($A$4:$A288&lt;&gt;"")*($F$4:$F288&lt;&gt;"أحد الشركاء")*((($D$4:$D288&lt;&gt;"")+($E$4:$E288&lt;&gt;""))&gt;0)))</f>
        <v/>
      </c>
      <c r="Q288" t="str">
        <f>IF(OR($A288="",$F288&lt;&gt;"أحد الشركاء"),"",COUNTIFS($A$4:A288,"&lt;&gt;",$F$4:F288,"أحد الشركاء"))</f>
        <v/>
      </c>
    </row>
    <row r="289" spans="1:17" ht="18.75" customHeight="1" x14ac:dyDescent="0.25">
      <c r="A289" s="25"/>
      <c r="B289" s="26"/>
      <c r="C289" s="27"/>
      <c r="D289" s="28"/>
      <c r="E289" s="29"/>
      <c r="F289" s="30"/>
      <c r="G289" s="31"/>
      <c r="H289" s="32"/>
      <c r="I289" s="33"/>
      <c r="J289" s="34" t="str">
        <f>IF(AND(D289="",E289="",A289="",B289="",C289=""),"", IFERROR(IF(J288="",D2,J288),D2)+IF(OR(E289="",H289="معلق"),0,E289)-IF(OR(G289="أبو اسحاق",G289="أبو آدم",G289="أبو اسحاق ",G289="أبو آدم "),0,IF(D289="",0,D289)))</f>
        <v/>
      </c>
      <c r="K289" s="35"/>
      <c r="L289" t="str">
        <f>IF(E288&gt;0,COUNTIF($E$4:E288,"&gt;0"),"")</f>
        <v/>
      </c>
      <c r="M289" t="str">
        <f>IF(AND(D288&gt;0,G288="المحفظة"),COUNTIFS($D$4:D288,"&gt;"&amp;0,$G$4:G288,"المحفظة"),"")</f>
        <v/>
      </c>
      <c r="N289" t="str">
        <f>IF(AND(OR('طباعة كشف الحساب'!$C$2="الكل",MONTH(A289)=IFERROR(MATCH('طباعة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الحساب'!$F$2="الكل",YEAR(A289)=IFERROR(VALUE('طباعة كشف الحساب'!$F$2),0)),A289&lt;&gt;""),IFERROR(MAX($N$4:N288),0)+1,"")</f>
        <v/>
      </c>
      <c r="O289" t="str">
        <f>IF(AND(D288&gt;0,F288="أحد الشركاء"),COUNTIFS($D$4:D288,"&gt;"&amp;0,$F$4:F288,"أحد الشركاء"),"")</f>
        <v/>
      </c>
      <c r="P289" t="str">
        <f>IF(OR($A289="",$F289="أحد الشركاء",AND($D289="",$E289="")),"",SUMPRODUCT(($A$4:$A289&lt;&gt;"")*($F$4:$F289&lt;&gt;"أحد الشركاء")*((($D$4:$D289&lt;&gt;"")+($E$4:$E289&lt;&gt;""))&gt;0)))</f>
        <v/>
      </c>
      <c r="Q289" t="str">
        <f>IF(OR($A289="",$F289&lt;&gt;"أحد الشركاء"),"",COUNTIFS($A$4:A289,"&lt;&gt;",$F$4:F289,"أحد الشركاء"))</f>
        <v/>
      </c>
    </row>
    <row r="290" spans="1:17" ht="18.75" customHeight="1" x14ac:dyDescent="0.25">
      <c r="A290" s="25"/>
      <c r="B290" s="36"/>
      <c r="C290" s="37"/>
      <c r="D290" s="38"/>
      <c r="E290" s="39"/>
      <c r="F290" s="136"/>
      <c r="G290" s="40"/>
      <c r="H290" s="41"/>
      <c r="I290" s="42"/>
      <c r="J290" s="43" t="str">
        <f>IF(AND(D290="",E290="",A290="",B290="",C290=""),"", IFERROR(IF(J289="",D2,J289),D2)+IF(OR(E290="",H290="معلق"),0,E290)-IF(OR(G290="أبو اسحاق",G290="أبو آدم",G290="أبو اسحاق ",G290="أبو آدم "),0,IF(D290="",0,D290)))</f>
        <v/>
      </c>
      <c r="K290" s="44"/>
      <c r="L290" t="str">
        <f>IF(E289&gt;0,COUNTIF($E$4:E289,"&gt;0"),"")</f>
        <v/>
      </c>
      <c r="M290" t="str">
        <f>IF(AND(D289&gt;0,G289="المحفظة"),COUNTIFS($D$4:D289,"&gt;"&amp;0,$G$4:G289,"المحفظة"),"")</f>
        <v/>
      </c>
      <c r="N290" t="str">
        <f>IF(AND(OR('طباعة كشف الحساب'!$C$2="الكل",MONTH(A290)=IFERROR(MATCH('طباعة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الحساب'!$F$2="الكل",YEAR(A290)=IFERROR(VALUE('طباعة كشف الحساب'!$F$2),0)),A290&lt;&gt;""),IFERROR(MAX($N$4:N289),0)+1,"")</f>
        <v/>
      </c>
      <c r="O290" t="str">
        <f>IF(AND(D289&gt;0,F289="أحد الشركاء"),COUNTIFS($D$4:D289,"&gt;"&amp;0,$F$4:F289,"أحد الشركاء"),"")</f>
        <v/>
      </c>
      <c r="P290" t="str">
        <f>IF(OR($A290="",$F290="أحد الشركاء",AND($D290="",$E290="")),"",SUMPRODUCT(($A$4:$A290&lt;&gt;"")*($F$4:$F290&lt;&gt;"أحد الشركاء")*((($D$4:$D290&lt;&gt;"")+($E$4:$E290&lt;&gt;""))&gt;0)))</f>
        <v/>
      </c>
      <c r="Q290" t="str">
        <f>IF(OR($A290="",$F290&lt;&gt;"أحد الشركاء"),"",COUNTIFS($A$4:A290,"&lt;&gt;",$F$4:F290,"أحد الشركاء"))</f>
        <v/>
      </c>
    </row>
    <row r="291" spans="1:17" ht="18.75" customHeight="1" x14ac:dyDescent="0.25">
      <c r="A291" s="25"/>
      <c r="B291" s="26"/>
      <c r="C291" s="27"/>
      <c r="D291" s="28"/>
      <c r="E291" s="29"/>
      <c r="F291" s="30"/>
      <c r="G291" s="31"/>
      <c r="H291" s="32"/>
      <c r="I291" s="33"/>
      <c r="J291" s="34" t="str">
        <f>IF(AND(D291="",E291="",A291="",B291="",C291=""),"", IFERROR(IF(J290="",D2,J290),D2)+IF(OR(E291="",H291="معلق"),0,E291)-IF(OR(G291="أبو اسحاق",G291="أبو آدم",G291="أبو اسحاق ",G291="أبو آدم "),0,IF(D291="",0,D291)))</f>
        <v/>
      </c>
      <c r="K291" s="35"/>
      <c r="L291" t="str">
        <f>IF(E290&gt;0,COUNTIF($E$4:E290,"&gt;0"),"")</f>
        <v/>
      </c>
      <c r="M291" t="str">
        <f>IF(AND(D290&gt;0,G290="المحفظة"),COUNTIFS($D$4:D290,"&gt;"&amp;0,$G$4:G290,"المحفظة"),"")</f>
        <v/>
      </c>
      <c r="N291" t="str">
        <f>IF(AND(OR('طباعة كشف الحساب'!$C$2="الكل",MONTH(A291)=IFERROR(MATCH('طباعة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الحساب'!$F$2="الكل",YEAR(A291)=IFERROR(VALUE('طباعة كشف الحساب'!$F$2),0)),A291&lt;&gt;""),IFERROR(MAX($N$4:N290),0)+1,"")</f>
        <v/>
      </c>
      <c r="O291" t="str">
        <f>IF(AND(D290&gt;0,F290="أحد الشركاء"),COUNTIFS($D$4:D290,"&gt;"&amp;0,$F$4:F290,"أحد الشركاء"),"")</f>
        <v/>
      </c>
      <c r="P291" t="str">
        <f>IF(OR($A291="",$F291="أحد الشركاء",AND($D291="",$E291="")),"",SUMPRODUCT(($A$4:$A291&lt;&gt;"")*($F$4:$F291&lt;&gt;"أحد الشركاء")*((($D$4:$D291&lt;&gt;"")+($E$4:$E291&lt;&gt;""))&gt;0)))</f>
        <v/>
      </c>
      <c r="Q291" t="str">
        <f>IF(OR($A291="",$F291&lt;&gt;"أحد الشركاء"),"",COUNTIFS($A$4:A291,"&lt;&gt;",$F$4:F291,"أحد الشركاء"))</f>
        <v/>
      </c>
    </row>
    <row r="292" spans="1:17" ht="18.75" customHeight="1" x14ac:dyDescent="0.25">
      <c r="A292" s="25"/>
      <c r="B292" s="36"/>
      <c r="C292" s="37"/>
      <c r="D292" s="38"/>
      <c r="E292" s="39"/>
      <c r="F292" s="136"/>
      <c r="G292" s="40"/>
      <c r="H292" s="41"/>
      <c r="I292" s="42"/>
      <c r="J292" s="43" t="str">
        <f>IF(AND(D292="",E292="",A292="",B292="",C292=""),"", IFERROR(IF(J291="",D2,J291),D2)+IF(OR(E292="",H292="معلق"),0,E292)-IF(OR(G292="أبو اسحاق",G292="أبو آدم",G292="أبو اسحاق ",G292="أبو آدم "),0,IF(D292="",0,D292)))</f>
        <v/>
      </c>
      <c r="K292" s="44"/>
      <c r="L292" t="str">
        <f>IF(E291&gt;0,COUNTIF($E$4:E291,"&gt;0"),"")</f>
        <v/>
      </c>
      <c r="M292" t="str">
        <f>IF(AND(D291&gt;0,G291="المحفظة"),COUNTIFS($D$4:D291,"&gt;"&amp;0,$G$4:G291,"المحفظة"),"")</f>
        <v/>
      </c>
      <c r="N292" t="str">
        <f>IF(AND(OR('طباعة كشف الحساب'!$C$2="الكل",MONTH(A292)=IFERROR(MATCH('طباعة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الحساب'!$F$2="الكل",YEAR(A292)=IFERROR(VALUE('طباعة كشف الحساب'!$F$2),0)),A292&lt;&gt;""),IFERROR(MAX($N$4:N291),0)+1,"")</f>
        <v/>
      </c>
      <c r="O292" t="str">
        <f>IF(AND(D291&gt;0,F291="أحد الشركاء"),COUNTIFS($D$4:D291,"&gt;"&amp;0,$F$4:F291,"أحد الشركاء"),"")</f>
        <v/>
      </c>
      <c r="P292" t="str">
        <f>IF(OR($A292="",$F292="أحد الشركاء",AND($D292="",$E292="")),"",SUMPRODUCT(($A$4:$A292&lt;&gt;"")*($F$4:$F292&lt;&gt;"أحد الشركاء")*((($D$4:$D292&lt;&gt;"")+($E$4:$E292&lt;&gt;""))&gt;0)))</f>
        <v/>
      </c>
      <c r="Q292" t="str">
        <f>IF(OR($A292="",$F292&lt;&gt;"أحد الشركاء"),"",COUNTIFS($A$4:A292,"&lt;&gt;",$F$4:F292,"أحد الشركاء"))</f>
        <v/>
      </c>
    </row>
    <row r="293" spans="1:17" ht="18.75" customHeight="1" x14ac:dyDescent="0.25">
      <c r="A293" s="25"/>
      <c r="B293" s="26"/>
      <c r="C293" s="27"/>
      <c r="D293" s="28"/>
      <c r="E293" s="29"/>
      <c r="F293" s="30"/>
      <c r="G293" s="31"/>
      <c r="H293" s="32"/>
      <c r="I293" s="33"/>
      <c r="J293" s="34" t="str">
        <f>IF(AND(D293="",E293="",A293="",B293="",C293=""),"", IFERROR(IF(J292="",D2,J292),D2)+IF(OR(E293="",H293="معلق"),0,E293)-IF(OR(G293="أبو اسحاق",G293="أبو آدم",G293="أبو اسحاق ",G293="أبو آدم "),0,IF(D293="",0,D293)))</f>
        <v/>
      </c>
      <c r="K293" s="35"/>
      <c r="L293" t="str">
        <f>IF(E292&gt;0,COUNTIF($E$4:E292,"&gt;0"),"")</f>
        <v/>
      </c>
      <c r="M293" t="str">
        <f>IF(AND(D292&gt;0,G292="المحفظة"),COUNTIFS($D$4:D292,"&gt;"&amp;0,$G$4:G292,"المحفظة"),"")</f>
        <v/>
      </c>
      <c r="N293" t="str">
        <f>IF(AND(OR('طباعة كشف الحساب'!$C$2="الكل",MONTH(A293)=IFERROR(MATCH('طباعة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الحساب'!$F$2="الكل",YEAR(A293)=IFERROR(VALUE('طباعة كشف الحساب'!$F$2),0)),A293&lt;&gt;""),IFERROR(MAX($N$4:N292),0)+1,"")</f>
        <v/>
      </c>
      <c r="O293" t="str">
        <f>IF(AND(D292&gt;0,F292="أحد الشركاء"),COUNTIFS($D$4:D292,"&gt;"&amp;0,$F$4:F292,"أحد الشركاء"),"")</f>
        <v/>
      </c>
      <c r="P293" t="str">
        <f>IF(OR($A293="",$F293="أحد الشركاء",AND($D293="",$E293="")),"",SUMPRODUCT(($A$4:$A293&lt;&gt;"")*($F$4:$F293&lt;&gt;"أحد الشركاء")*((($D$4:$D293&lt;&gt;"")+($E$4:$E293&lt;&gt;""))&gt;0)))</f>
        <v/>
      </c>
      <c r="Q293" t="str">
        <f>IF(OR($A293="",$F293&lt;&gt;"أحد الشركاء"),"",COUNTIFS($A$4:A293,"&lt;&gt;",$F$4:F293,"أحد الشركاء"))</f>
        <v/>
      </c>
    </row>
    <row r="294" spans="1:17" ht="18.75" customHeight="1" x14ac:dyDescent="0.25">
      <c r="A294" s="25"/>
      <c r="B294" s="36"/>
      <c r="C294" s="37"/>
      <c r="D294" s="38"/>
      <c r="E294" s="39"/>
      <c r="F294" s="136"/>
      <c r="G294" s="40"/>
      <c r="H294" s="41"/>
      <c r="I294" s="42"/>
      <c r="J294" s="43" t="str">
        <f>IF(AND(D294="",E294="",A294="",B294="",C294=""),"", IFERROR(IF(J293="",D2,J293),D2)+IF(OR(E294="",H294="معلق"),0,E294)-IF(OR(G294="أبو اسحاق",G294="أبو آدم",G294="أبو اسحاق ",G294="أبو آدم "),0,IF(D294="",0,D294)))</f>
        <v/>
      </c>
      <c r="K294" s="44"/>
      <c r="L294" t="str">
        <f>IF(E293&gt;0,COUNTIF($E$4:E293,"&gt;0"),"")</f>
        <v/>
      </c>
      <c r="M294" t="str">
        <f>IF(AND(D293&gt;0,G293="المحفظة"),COUNTIFS($D$4:D293,"&gt;"&amp;0,$G$4:G293,"المحفظة"),"")</f>
        <v/>
      </c>
      <c r="N294" t="str">
        <f>IF(AND(OR('طباعة كشف الحساب'!$C$2="الكل",MONTH(A294)=IFERROR(MATCH('طباعة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الحساب'!$F$2="الكل",YEAR(A294)=IFERROR(VALUE('طباعة كشف الحساب'!$F$2),0)),A294&lt;&gt;""),IFERROR(MAX($N$4:N293),0)+1,"")</f>
        <v/>
      </c>
      <c r="O294" t="str">
        <f>IF(AND(D293&gt;0,F293="أحد الشركاء"),COUNTIFS($D$4:D293,"&gt;"&amp;0,$F$4:F293,"أحد الشركاء"),"")</f>
        <v/>
      </c>
      <c r="P294" t="str">
        <f>IF(OR($A294="",$F294="أحد الشركاء",AND($D294="",$E294="")),"",SUMPRODUCT(($A$4:$A294&lt;&gt;"")*($F$4:$F294&lt;&gt;"أحد الشركاء")*((($D$4:$D294&lt;&gt;"")+($E$4:$E294&lt;&gt;""))&gt;0)))</f>
        <v/>
      </c>
      <c r="Q294" t="str">
        <f>IF(OR($A294="",$F294&lt;&gt;"أحد الشركاء"),"",COUNTIFS($A$4:A294,"&lt;&gt;",$F$4:F294,"أحد الشركاء"))</f>
        <v/>
      </c>
    </row>
    <row r="295" spans="1:17" ht="18.75" customHeight="1" x14ac:dyDescent="0.25">
      <c r="A295" s="25"/>
      <c r="B295" s="26"/>
      <c r="C295" s="27"/>
      <c r="D295" s="28"/>
      <c r="E295" s="29"/>
      <c r="F295" s="30"/>
      <c r="G295" s="31"/>
      <c r="H295" s="32"/>
      <c r="I295" s="33"/>
      <c r="J295" s="34" t="str">
        <f>IF(AND(D295="",E295="",A295="",B295="",C295=""),"", IFERROR(IF(J294="",D2,J294),D2)+IF(OR(E295="",H295="معلق"),0,E295)-IF(OR(G295="أبو اسحاق",G295="أبو آدم",G295="أبو اسحاق ",G295="أبو آدم "),0,IF(D295="",0,D295)))</f>
        <v/>
      </c>
      <c r="K295" s="35"/>
      <c r="L295" t="str">
        <f>IF(E294&gt;0,COUNTIF($E$4:E294,"&gt;0"),"")</f>
        <v/>
      </c>
      <c r="M295" t="str">
        <f>IF(AND(D294&gt;0,G294="المحفظة"),COUNTIFS($D$4:D294,"&gt;"&amp;0,$G$4:G294,"المحفظة"),"")</f>
        <v/>
      </c>
      <c r="N295" t="str">
        <f>IF(AND(OR('طباعة كشف الحساب'!$C$2="الكل",MONTH(A295)=IFERROR(MATCH('طباعة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الحساب'!$F$2="الكل",YEAR(A295)=IFERROR(VALUE('طباعة كشف الحساب'!$F$2),0)),A295&lt;&gt;""),IFERROR(MAX($N$4:N294),0)+1,"")</f>
        <v/>
      </c>
      <c r="O295" t="str">
        <f>IF(AND(D294&gt;0,F294="أحد الشركاء"),COUNTIFS($D$4:D294,"&gt;"&amp;0,$F$4:F294,"أحد الشركاء"),"")</f>
        <v/>
      </c>
      <c r="P295" t="str">
        <f>IF(OR($A295="",$F295="أحد الشركاء",AND($D295="",$E295="")),"",SUMPRODUCT(($A$4:$A295&lt;&gt;"")*($F$4:$F295&lt;&gt;"أحد الشركاء")*((($D$4:$D295&lt;&gt;"")+($E$4:$E295&lt;&gt;""))&gt;0)))</f>
        <v/>
      </c>
      <c r="Q295" t="str">
        <f>IF(OR($A295="",$F295&lt;&gt;"أحد الشركاء"),"",COUNTIFS($A$4:A295,"&lt;&gt;",$F$4:F295,"أحد الشركاء"))</f>
        <v/>
      </c>
    </row>
    <row r="296" spans="1:17" ht="18.75" customHeight="1" x14ac:dyDescent="0.25">
      <c r="A296" s="25"/>
      <c r="B296" s="36"/>
      <c r="C296" s="37"/>
      <c r="D296" s="38"/>
      <c r="E296" s="39"/>
      <c r="F296" s="136"/>
      <c r="G296" s="40"/>
      <c r="H296" s="41"/>
      <c r="I296" s="42"/>
      <c r="J296" s="43" t="str">
        <f>IF(AND(D296="",E296="",A296="",B296="",C296=""),"", IFERROR(IF(J295="",D2,J295),D2)+IF(OR(E296="",H296="معلق"),0,E296)-IF(OR(G296="أبو اسحاق",G296="أبو آدم",G296="أبو اسحاق ",G296="أبو آدم "),0,IF(D296="",0,D296)))</f>
        <v/>
      </c>
      <c r="K296" s="44"/>
      <c r="L296" t="str">
        <f>IF(E295&gt;0,COUNTIF($E$4:E295,"&gt;0"),"")</f>
        <v/>
      </c>
      <c r="M296" t="str">
        <f>IF(AND(D295&gt;0,G295="المحفظة"),COUNTIFS($D$4:D295,"&gt;"&amp;0,$G$4:G295,"المحفظة"),"")</f>
        <v/>
      </c>
      <c r="N296" t="str">
        <f>IF(AND(OR('طباعة كشف الحساب'!$C$2="الكل",MONTH(A296)=IFERROR(MATCH('طباعة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الحساب'!$F$2="الكل",YEAR(A296)=IFERROR(VALUE('طباعة كشف الحساب'!$F$2),0)),A296&lt;&gt;""),IFERROR(MAX($N$4:N295),0)+1,"")</f>
        <v/>
      </c>
      <c r="O296" t="str">
        <f>IF(AND(D295&gt;0,F295="أحد الشركاء"),COUNTIFS($D$4:D295,"&gt;"&amp;0,$F$4:F295,"أحد الشركاء"),"")</f>
        <v/>
      </c>
      <c r="P296" t="str">
        <f>IF(OR($A296="",$F296="أحد الشركاء",AND($D296="",$E296="")),"",SUMPRODUCT(($A$4:$A296&lt;&gt;"")*($F$4:$F296&lt;&gt;"أحد الشركاء")*((($D$4:$D296&lt;&gt;"")+($E$4:$E296&lt;&gt;""))&gt;0)))</f>
        <v/>
      </c>
      <c r="Q296" t="str">
        <f>IF(OR($A296="",$F296&lt;&gt;"أحد الشركاء"),"",COUNTIFS($A$4:A296,"&lt;&gt;",$F$4:F296,"أحد الشركاء"))</f>
        <v/>
      </c>
    </row>
    <row r="297" spans="1:17" ht="18.75" customHeight="1" x14ac:dyDescent="0.25">
      <c r="A297" s="25"/>
      <c r="B297" s="26"/>
      <c r="C297" s="27"/>
      <c r="D297" s="28"/>
      <c r="E297" s="29"/>
      <c r="F297" s="30"/>
      <c r="G297" s="31"/>
      <c r="H297" s="32"/>
      <c r="I297" s="33"/>
      <c r="J297" s="34" t="str">
        <f>IF(AND(D297="",E297="",A297="",B297="",C297=""),"", IFERROR(IF(J296="",D2,J296),D2)+IF(OR(E297="",H297="معلق"),0,E297)-IF(OR(G297="أبو اسحاق",G297="أبو آدم",G297="أبو اسحاق ",G297="أبو آدم "),0,IF(D297="",0,D297)))</f>
        <v/>
      </c>
      <c r="K297" s="35"/>
      <c r="L297" t="str">
        <f>IF(E296&gt;0,COUNTIF($E$4:E296,"&gt;0"),"")</f>
        <v/>
      </c>
      <c r="M297" t="str">
        <f>IF(AND(D296&gt;0,G296="المحفظة"),COUNTIFS($D$4:D296,"&gt;"&amp;0,$G$4:G296,"المحفظة"),"")</f>
        <v/>
      </c>
      <c r="N297" t="str">
        <f>IF(AND(OR('طباعة كشف الحساب'!$C$2="الكل",MONTH(A297)=IFERROR(MATCH('طباعة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الحساب'!$F$2="الكل",YEAR(A297)=IFERROR(VALUE('طباعة كشف الحساب'!$F$2),0)),A297&lt;&gt;""),IFERROR(MAX($N$4:N296),0)+1,"")</f>
        <v/>
      </c>
      <c r="O297" t="str">
        <f>IF(AND(D296&gt;0,F296="أحد الشركاء"),COUNTIFS($D$4:D296,"&gt;"&amp;0,$F$4:F296,"أحد الشركاء"),"")</f>
        <v/>
      </c>
      <c r="P297" t="str">
        <f>IF(OR($A297="",$F297="أحد الشركاء",AND($D297="",$E297="")),"",SUMPRODUCT(($A$4:$A297&lt;&gt;"")*($F$4:$F297&lt;&gt;"أحد الشركاء")*((($D$4:$D297&lt;&gt;"")+($E$4:$E297&lt;&gt;""))&gt;0)))</f>
        <v/>
      </c>
      <c r="Q297" t="str">
        <f>IF(OR($A297="",$F297&lt;&gt;"أحد الشركاء"),"",COUNTIFS($A$4:A297,"&lt;&gt;",$F$4:F297,"أحد الشركاء"))</f>
        <v/>
      </c>
    </row>
    <row r="298" spans="1:17" ht="18.75" customHeight="1" x14ac:dyDescent="0.25">
      <c r="A298" s="25"/>
      <c r="B298" s="36"/>
      <c r="C298" s="37"/>
      <c r="D298" s="38"/>
      <c r="E298" s="39"/>
      <c r="F298" s="136"/>
      <c r="G298" s="40"/>
      <c r="H298" s="41"/>
      <c r="I298" s="42"/>
      <c r="J298" s="43" t="str">
        <f>IF(AND(D298="",E298="",A298="",B298="",C298=""),"", IFERROR(IF(J297="",D2,J297),D2)+IF(OR(E298="",H298="معلق"),0,E298)-IF(OR(G298="أبو اسحاق",G298="أبو آدم",G298="أبو اسحاق ",G298="أبو آدم "),0,IF(D298="",0,D298)))</f>
        <v/>
      </c>
      <c r="K298" s="44"/>
      <c r="L298" t="str">
        <f>IF(E297&gt;0,COUNTIF($E$4:E297,"&gt;0"),"")</f>
        <v/>
      </c>
      <c r="M298" t="str">
        <f>IF(AND(D297&gt;0,G297="المحفظة"),COUNTIFS($D$4:D297,"&gt;"&amp;0,$G$4:G297,"المحفظة"),"")</f>
        <v/>
      </c>
      <c r="N298" t="str">
        <f>IF(AND(OR('طباعة كشف الحساب'!$C$2="الكل",MONTH(A298)=IFERROR(MATCH('طباعة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الحساب'!$F$2="الكل",YEAR(A298)=IFERROR(VALUE('طباعة كشف الحساب'!$F$2),0)),A298&lt;&gt;""),IFERROR(MAX($N$4:N297),0)+1,"")</f>
        <v/>
      </c>
      <c r="O298" t="str">
        <f>IF(AND(D297&gt;0,F297="أحد الشركاء"),COUNTIFS($D$4:D297,"&gt;"&amp;0,$F$4:F297,"أحد الشركاء"),"")</f>
        <v/>
      </c>
      <c r="P298" t="str">
        <f>IF(OR($A298="",$F298="أحد الشركاء",AND($D298="",$E298="")),"",SUMPRODUCT(($A$4:$A298&lt;&gt;"")*($F$4:$F298&lt;&gt;"أحد الشركاء")*((($D$4:$D298&lt;&gt;"")+($E$4:$E298&lt;&gt;""))&gt;0)))</f>
        <v/>
      </c>
      <c r="Q298" t="str">
        <f>IF(OR($A298="",$F298&lt;&gt;"أحد الشركاء"),"",COUNTIFS($A$4:A298,"&lt;&gt;",$F$4:F298,"أحد الشركاء"))</f>
        <v/>
      </c>
    </row>
    <row r="299" spans="1:17" ht="18.75" customHeight="1" x14ac:dyDescent="0.25">
      <c r="A299" s="25"/>
      <c r="B299" s="26"/>
      <c r="C299" s="27"/>
      <c r="D299" s="28"/>
      <c r="E299" s="29"/>
      <c r="F299" s="30"/>
      <c r="G299" s="31"/>
      <c r="H299" s="32"/>
      <c r="I299" s="33"/>
      <c r="J299" s="34" t="str">
        <f>IF(AND(D299="",E299="",A299="",B299="",C299=""),"", IFERROR(IF(J298="",D2,J298),D2)+IF(OR(E299="",H299="معلق"),0,E299)-IF(OR(G299="أبو اسحاق",G299="أبو آدم",G299="أبو اسحاق ",G299="أبو آدم "),0,IF(D299="",0,D299)))</f>
        <v/>
      </c>
      <c r="K299" s="35"/>
      <c r="L299" t="str">
        <f>IF(E298&gt;0,COUNTIF($E$4:E298,"&gt;0"),"")</f>
        <v/>
      </c>
      <c r="M299" t="str">
        <f>IF(AND(D298&gt;0,G298="المحفظة"),COUNTIFS($D$4:D298,"&gt;"&amp;0,$G$4:G298,"المحفظة"),"")</f>
        <v/>
      </c>
      <c r="N299" t="str">
        <f>IF(AND(OR('طباعة كشف الحساب'!$C$2="الكل",MONTH(A299)=IFERROR(MATCH('طباعة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الحساب'!$F$2="الكل",YEAR(A299)=IFERROR(VALUE('طباعة كشف الحساب'!$F$2),0)),A299&lt;&gt;""),IFERROR(MAX($N$4:N298),0)+1,"")</f>
        <v/>
      </c>
      <c r="O299" t="str">
        <f>IF(AND(D298&gt;0,F298="أحد الشركاء"),COUNTIFS($D$4:D298,"&gt;"&amp;0,$F$4:F298,"أحد الشركاء"),"")</f>
        <v/>
      </c>
      <c r="P299" t="str">
        <f>IF(OR($A299="",$F299="أحد الشركاء",AND($D299="",$E299="")),"",SUMPRODUCT(($A$4:$A299&lt;&gt;"")*($F$4:$F299&lt;&gt;"أحد الشركاء")*((($D$4:$D299&lt;&gt;"")+($E$4:$E299&lt;&gt;""))&gt;0)))</f>
        <v/>
      </c>
      <c r="Q299" t="str">
        <f>IF(OR($A299="",$F299&lt;&gt;"أحد الشركاء"),"",COUNTIFS($A$4:A299,"&lt;&gt;",$F$4:F299,"أحد الشركاء"))</f>
        <v/>
      </c>
    </row>
    <row r="300" spans="1:17" ht="18.75" customHeight="1" x14ac:dyDescent="0.25">
      <c r="A300" s="25"/>
      <c r="B300" s="36"/>
      <c r="C300" s="37"/>
      <c r="D300" s="38"/>
      <c r="E300" s="39"/>
      <c r="F300" s="136"/>
      <c r="G300" s="40"/>
      <c r="H300" s="41"/>
      <c r="I300" s="42"/>
      <c r="J300" s="43" t="str">
        <f>IF(AND(D300="",E300="",A300="",B300="",C300=""),"", IFERROR(IF(J299="",D2,J299),D2)+IF(OR(E300="",H300="معلق"),0,E300)-IF(OR(G300="أبو اسحاق",G300="أبو آدم",G300="أبو اسحاق ",G300="أبو آدم "),0,IF(D300="",0,D300)))</f>
        <v/>
      </c>
      <c r="K300" s="44"/>
      <c r="L300" t="str">
        <f>IF(E299&gt;0,COUNTIF($E$4:E299,"&gt;0"),"")</f>
        <v/>
      </c>
      <c r="M300" t="str">
        <f>IF(AND(D299&gt;0,G299="المحفظة"),COUNTIFS($D$4:D299,"&gt;"&amp;0,$G$4:G299,"المحفظة"),"")</f>
        <v/>
      </c>
      <c r="N300" t="str">
        <f>IF(AND(OR('طباعة كشف الحساب'!$C$2="الكل",MONTH(A300)=IFERROR(MATCH('طباعة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الحساب'!$F$2="الكل",YEAR(A300)=IFERROR(VALUE('طباعة كشف الحساب'!$F$2),0)),A300&lt;&gt;""),IFERROR(MAX($N$4:N299),0)+1,"")</f>
        <v/>
      </c>
      <c r="O300" t="str">
        <f>IF(AND(D299&gt;0,F299="أحد الشركاء"),COUNTIFS($D$4:D299,"&gt;"&amp;0,$F$4:F299,"أحد الشركاء"),"")</f>
        <v/>
      </c>
      <c r="P300" t="str">
        <f>IF(OR($A300="",$F300="أحد الشركاء",AND($D300="",$E300="")),"",SUMPRODUCT(($A$4:$A300&lt;&gt;"")*($F$4:$F300&lt;&gt;"أحد الشركاء")*((($D$4:$D300&lt;&gt;"")+($E$4:$E300&lt;&gt;""))&gt;0)))</f>
        <v/>
      </c>
      <c r="Q300" t="str">
        <f>IF(OR($A300="",$F300&lt;&gt;"أحد الشركاء"),"",COUNTIFS($A$4:A300,"&lt;&gt;",$F$4:F300,"أحد الشركاء"))</f>
        <v/>
      </c>
    </row>
    <row r="301" spans="1:17" ht="18.75" customHeight="1" x14ac:dyDescent="0.25">
      <c r="A301" s="25"/>
      <c r="B301" s="26"/>
      <c r="C301" s="27"/>
      <c r="D301" s="28"/>
      <c r="E301" s="29"/>
      <c r="F301" s="30"/>
      <c r="G301" s="31"/>
      <c r="H301" s="32"/>
      <c r="I301" s="33"/>
      <c r="J301" s="34" t="str">
        <f>IF(AND(D301="",E301="",A301="",B301="",C301=""),"", IFERROR(IF(J300="",D2,J300),D2)+IF(OR(E301="",H301="معلق"),0,E301)-IF(OR(G301="أبو اسحاق",G301="أبو آدم",G301="أبو اسحاق ",G301="أبو آدم "),0,IF(D301="",0,D301)))</f>
        <v/>
      </c>
      <c r="K301" s="35"/>
      <c r="L301" t="str">
        <f>IF(E300&gt;0,COUNTIF($E$4:E300,"&gt;0"),"")</f>
        <v/>
      </c>
      <c r="M301" t="str">
        <f>IF(AND(D300&gt;0,G300="المحفظة"),COUNTIFS($D$4:D300,"&gt;"&amp;0,$G$4:G300,"المحفظة"),"")</f>
        <v/>
      </c>
      <c r="N301" t="str">
        <f>IF(AND(OR('طباعة كشف الحساب'!$C$2="الكل",MONTH(A301)=IFERROR(MATCH('طباعة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الحساب'!$F$2="الكل",YEAR(A301)=IFERROR(VALUE('طباعة كشف الحساب'!$F$2),0)),A301&lt;&gt;""),IFERROR(MAX($N$4:N300),0)+1,"")</f>
        <v/>
      </c>
      <c r="O301" t="str">
        <f>IF(AND(D300&gt;0,F300="أحد الشركاء"),COUNTIFS($D$4:D300,"&gt;"&amp;0,$F$4:F300,"أحد الشركاء"),"")</f>
        <v/>
      </c>
      <c r="P301" t="str">
        <f>IF(OR($A301="",$F301="أحد الشركاء",AND($D301="",$E301="")),"",SUMPRODUCT(($A$4:$A301&lt;&gt;"")*($F$4:$F301&lt;&gt;"أحد الشركاء")*((($D$4:$D301&lt;&gt;"")+($E$4:$E301&lt;&gt;""))&gt;0)))</f>
        <v/>
      </c>
      <c r="Q301" t="str">
        <f>IF(OR($A301="",$F301&lt;&gt;"أحد الشركاء"),"",COUNTIFS($A$4:A301,"&lt;&gt;",$F$4:F301,"أحد الشركاء"))</f>
        <v/>
      </c>
    </row>
    <row r="302" spans="1:17" ht="18.75" customHeight="1" x14ac:dyDescent="0.25">
      <c r="A302" s="25"/>
      <c r="B302" s="36"/>
      <c r="C302" s="37"/>
      <c r="D302" s="38"/>
      <c r="E302" s="39"/>
      <c r="F302" s="136"/>
      <c r="G302" s="40"/>
      <c r="H302" s="41"/>
      <c r="I302" s="42"/>
      <c r="J302" s="43" t="str">
        <f>IF(AND(D302="",E302="",A302="",B302="",C302=""),"", IFERROR(IF(J301="",D2,J301),D2)+IF(OR(E302="",H302="معلق"),0,E302)-IF(OR(G302="أبو اسحاق",G302="أبو آدم",G302="أبو اسحاق ",G302="أبو آدم "),0,IF(D302="",0,D302)))</f>
        <v/>
      </c>
      <c r="K302" s="44"/>
      <c r="L302" t="str">
        <f>IF(E301&gt;0,COUNTIF($E$4:E301,"&gt;0"),"")</f>
        <v/>
      </c>
      <c r="M302" t="str">
        <f>IF(AND(D301&gt;0,G301="المحفظة"),COUNTIFS($D$4:D301,"&gt;"&amp;0,$G$4:G301,"المحفظة"),"")</f>
        <v/>
      </c>
      <c r="N302" t="str">
        <f>IF(AND(OR('طباعة كشف الحساب'!$C$2="الكل",MONTH(A302)=IFERROR(MATCH('طباعة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الحساب'!$F$2="الكل",YEAR(A302)=IFERROR(VALUE('طباعة كشف الحساب'!$F$2),0)),A302&lt;&gt;""),IFERROR(MAX($N$4:N301),0)+1,"")</f>
        <v/>
      </c>
      <c r="O302" t="str">
        <f>IF(AND(D301&gt;0,F301="أحد الشركاء"),COUNTIFS($D$4:D301,"&gt;"&amp;0,$F$4:F301,"أحد الشركاء"),"")</f>
        <v/>
      </c>
      <c r="P302" t="str">
        <f>IF(OR($A302="",$F302="أحد الشركاء",AND($D302="",$E302="")),"",SUMPRODUCT(($A$4:$A302&lt;&gt;"")*($F$4:$F302&lt;&gt;"أحد الشركاء")*((($D$4:$D302&lt;&gt;"")+($E$4:$E302&lt;&gt;""))&gt;0)))</f>
        <v/>
      </c>
      <c r="Q302" t="str">
        <f>IF(OR($A302="",$F302&lt;&gt;"أحد الشركاء"),"",COUNTIFS($A$4:A302,"&lt;&gt;",$F$4:F302,"أحد الشركاء"))</f>
        <v/>
      </c>
    </row>
    <row r="303" spans="1:17" ht="18.75" customHeight="1" x14ac:dyDescent="0.25">
      <c r="A303" s="25"/>
      <c r="B303" s="26"/>
      <c r="C303" s="27"/>
      <c r="D303" s="28"/>
      <c r="E303" s="29"/>
      <c r="F303" s="30"/>
      <c r="G303" s="31"/>
      <c r="H303" s="32"/>
      <c r="I303" s="33"/>
      <c r="J303" s="34" t="str">
        <f>IF(AND(D303="",E303="",A303="",B303="",C303=""),"", IFERROR(IF(J302="",D2,J302),D2)+IF(OR(E303="",H303="معلق"),0,E303)-IF(OR(G303="أبو اسحاق",G303="أبو آدم",G303="أبو اسحاق ",G303="أبو آدم "),0,IF(D303="",0,D303)))</f>
        <v/>
      </c>
      <c r="K303" s="35"/>
      <c r="L303" t="str">
        <f>IF(E302&gt;0,COUNTIF($E$4:E302,"&gt;0"),"")</f>
        <v/>
      </c>
      <c r="M303" t="str">
        <f>IF(AND(D302&gt;0,G302="المحفظة"),COUNTIFS($D$4:D302,"&gt;"&amp;0,$G$4:G302,"المحفظة"),"")</f>
        <v/>
      </c>
      <c r="N303" t="str">
        <f>IF(AND(OR('طباعة كشف الحساب'!$C$2="الكل",MONTH(A303)=IFERROR(MATCH('طباعة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الحساب'!$F$2="الكل",YEAR(A303)=IFERROR(VALUE('طباعة كشف الحساب'!$F$2),0)),A303&lt;&gt;""),IFERROR(MAX($N$4:N302),0)+1,"")</f>
        <v/>
      </c>
      <c r="O303" t="str">
        <f>IF(AND(D302&gt;0,F302="أحد الشركاء"),COUNTIFS($D$4:D302,"&gt;"&amp;0,$F$4:F302,"أحد الشركاء"),"")</f>
        <v/>
      </c>
      <c r="P303" t="str">
        <f>IF(OR($A303="",$F303="أحد الشركاء",AND($D303="",$E303="")),"",SUMPRODUCT(($A$4:$A303&lt;&gt;"")*($F$4:$F303&lt;&gt;"أحد الشركاء")*((($D$4:$D303&lt;&gt;"")+($E$4:$E303&lt;&gt;""))&gt;0)))</f>
        <v/>
      </c>
      <c r="Q303" t="str">
        <f>IF(OR($A303="",$F303&lt;&gt;"أحد الشركاء"),"",COUNTIFS($A$4:A303,"&lt;&gt;",$F$4:F303,"أحد الشركاء"))</f>
        <v/>
      </c>
    </row>
    <row r="304" spans="1:17" ht="18.75" customHeight="1" x14ac:dyDescent="0.25">
      <c r="A304" s="25"/>
      <c r="B304" s="36"/>
      <c r="C304" s="37"/>
      <c r="D304" s="38"/>
      <c r="E304" s="39"/>
      <c r="F304" s="136"/>
      <c r="G304" s="40"/>
      <c r="H304" s="41"/>
      <c r="I304" s="42"/>
      <c r="J304" s="43" t="str">
        <f>IF(AND(D304="",E304="",A304="",B304="",C304=""),"", IFERROR(IF(J303="",D2,J303),D2)+IF(OR(E304="",H304="معلق"),0,E304)-IF(OR(G304="أبو اسحاق",G304="أبو آدم",G304="أبو اسحاق ",G304="أبو آدم "),0,IF(D304="",0,D304)))</f>
        <v/>
      </c>
      <c r="K304" s="44"/>
      <c r="L304" t="str">
        <f>IF(E303&gt;0,COUNTIF($E$4:E303,"&gt;0"),"")</f>
        <v/>
      </c>
      <c r="M304" t="str">
        <f>IF(AND(D303&gt;0,G303="المحفظة"),COUNTIFS($D$4:D303,"&gt;"&amp;0,$G$4:G303,"المحفظة"),"")</f>
        <v/>
      </c>
      <c r="N304" t="str">
        <f>IF(AND(OR('طباعة كشف الحساب'!$C$2="الكل",MONTH(A304)=IFERROR(MATCH('طباعة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الحساب'!$F$2="الكل",YEAR(A304)=IFERROR(VALUE('طباعة كشف الحساب'!$F$2),0)),A304&lt;&gt;""),IFERROR(MAX($N$4:N303),0)+1,"")</f>
        <v/>
      </c>
      <c r="O304" t="str">
        <f>IF(AND(D303&gt;0,F303="أحد الشركاء"),COUNTIFS($D$4:D303,"&gt;"&amp;0,$F$4:F303,"أحد الشركاء"),"")</f>
        <v/>
      </c>
      <c r="P304" t="str">
        <f>IF(OR($A304="",$F304="أحد الشركاء",AND($D304="",$E304="")),"",SUMPRODUCT(($A$4:$A304&lt;&gt;"")*($F$4:$F304&lt;&gt;"أحد الشركاء")*((($D$4:$D304&lt;&gt;"")+($E$4:$E304&lt;&gt;""))&gt;0)))</f>
        <v/>
      </c>
      <c r="Q304" t="str">
        <f>IF(OR($A304="",$F304&lt;&gt;"أحد الشركاء"),"",COUNTIFS($A$4:A304,"&lt;&gt;",$F$4:F304,"أحد الشركاء"))</f>
        <v/>
      </c>
    </row>
    <row r="305" spans="1:17" ht="18.75" customHeight="1" x14ac:dyDescent="0.25">
      <c r="A305" s="25"/>
      <c r="B305" s="26"/>
      <c r="C305" s="27"/>
      <c r="D305" s="28"/>
      <c r="E305" s="29"/>
      <c r="F305" s="30"/>
      <c r="G305" s="31"/>
      <c r="H305" s="32"/>
      <c r="I305" s="33"/>
      <c r="J305" s="34" t="str">
        <f>IF(AND(D305="",E305="",A305="",B305="",C305=""),"", IFERROR(IF(J304="",D2,J304),D2)+IF(OR(E305="",H305="معلق"),0,E305)-IF(OR(G305="أبو اسحاق",G305="أبو آدم",G305="أبو اسحاق ",G305="أبو آدم "),0,IF(D305="",0,D305)))</f>
        <v/>
      </c>
      <c r="K305" s="35"/>
      <c r="L305" t="str">
        <f>IF(E304&gt;0,COUNTIF($E$4:E304,"&gt;0"),"")</f>
        <v/>
      </c>
      <c r="M305" t="str">
        <f>IF(AND(D304&gt;0,G304="المحفظة"),COUNTIFS($D$4:D304,"&gt;"&amp;0,$G$4:G304,"المحفظة"),"")</f>
        <v/>
      </c>
      <c r="N305" t="str">
        <f>IF(AND(OR('طباعة كشف الحساب'!$C$2="الكل",MONTH(A305)=IFERROR(MATCH('طباعة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الحساب'!$F$2="الكل",YEAR(A305)=IFERROR(VALUE('طباعة كشف الحساب'!$F$2),0)),A305&lt;&gt;""),IFERROR(MAX($N$4:N304),0)+1,"")</f>
        <v/>
      </c>
      <c r="O305" t="str">
        <f>IF(AND(D304&gt;0,F304="أحد الشركاء"),COUNTIFS($D$4:D304,"&gt;"&amp;0,$F$4:F304,"أحد الشركاء"),"")</f>
        <v/>
      </c>
      <c r="P305" t="str">
        <f>IF(OR($A305="",$F305="أحد الشركاء",AND($D305="",$E305="")),"",SUMPRODUCT(($A$4:$A305&lt;&gt;"")*($F$4:$F305&lt;&gt;"أحد الشركاء")*((($D$4:$D305&lt;&gt;"")+($E$4:$E305&lt;&gt;""))&gt;0)))</f>
        <v/>
      </c>
      <c r="Q305" t="str">
        <f>IF(OR($A305="",$F305&lt;&gt;"أحد الشركاء"),"",COUNTIFS($A$4:A305,"&lt;&gt;",$F$4:F305,"أحد الشركاء"))</f>
        <v/>
      </c>
    </row>
    <row r="306" spans="1:17" ht="18.75" customHeight="1" x14ac:dyDescent="0.25">
      <c r="A306" s="25"/>
      <c r="B306" s="36"/>
      <c r="C306" s="37"/>
      <c r="D306" s="38"/>
      <c r="E306" s="39"/>
      <c r="F306" s="136"/>
      <c r="G306" s="40"/>
      <c r="H306" s="41"/>
      <c r="I306" s="42"/>
      <c r="J306" s="43" t="str">
        <f>IF(AND(D306="",E306="",A306="",B306="",C306=""),"", IFERROR(IF(J305="",D2,J305),D2)+IF(OR(E306="",H306="معلق"),0,E306)-IF(OR(G306="أبو اسحاق",G306="أبو آدم",G306="أبو اسحاق ",G306="أبو آدم "),0,IF(D306="",0,D306)))</f>
        <v/>
      </c>
      <c r="K306" s="44"/>
      <c r="L306" t="str">
        <f>IF(E305&gt;0,COUNTIF($E$4:E305,"&gt;0"),"")</f>
        <v/>
      </c>
      <c r="M306" t="str">
        <f>IF(AND(D305&gt;0,G305="المحفظة"),COUNTIFS($D$4:D305,"&gt;"&amp;0,$G$4:G305,"المحفظة"),"")</f>
        <v/>
      </c>
      <c r="N306" t="str">
        <f>IF(AND(OR('طباعة كشف الحساب'!$C$2="الكل",MONTH(A306)=IFERROR(MATCH('طباعة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الحساب'!$F$2="الكل",YEAR(A306)=IFERROR(VALUE('طباعة كشف الحساب'!$F$2),0)),A306&lt;&gt;""),IFERROR(MAX($N$4:N305),0)+1,"")</f>
        <v/>
      </c>
      <c r="O306" t="str">
        <f>IF(AND(D305&gt;0,F305="أحد الشركاء"),COUNTIFS($D$4:D305,"&gt;"&amp;0,$F$4:F305,"أحد الشركاء"),"")</f>
        <v/>
      </c>
      <c r="P306" t="str">
        <f>IF(OR($A306="",$F306="أحد الشركاء",AND($D306="",$E306="")),"",SUMPRODUCT(($A$4:$A306&lt;&gt;"")*($F$4:$F306&lt;&gt;"أحد الشركاء")*((($D$4:$D306&lt;&gt;"")+($E$4:$E306&lt;&gt;""))&gt;0)))</f>
        <v/>
      </c>
      <c r="Q306" t="str">
        <f>IF(OR($A306="",$F306&lt;&gt;"أحد الشركاء"),"",COUNTIFS($A$4:A306,"&lt;&gt;",$F$4:F306,"أحد الشركاء"))</f>
        <v/>
      </c>
    </row>
    <row r="307" spans="1:17" ht="18.75" customHeight="1" x14ac:dyDescent="0.25">
      <c r="A307" s="25"/>
      <c r="B307" s="26"/>
      <c r="C307" s="27"/>
      <c r="D307" s="28"/>
      <c r="E307" s="29"/>
      <c r="F307" s="30"/>
      <c r="G307" s="31"/>
      <c r="H307" s="32"/>
      <c r="I307" s="33"/>
      <c r="J307" s="34" t="str">
        <f>IF(AND(D307="",E307="",A307="",B307="",C307=""),"", IFERROR(IF(J306="",D2,J306),D2)+IF(OR(E307="",H307="معلق"),0,E307)-IF(OR(G307="أبو اسحاق",G307="أبو آدم",G307="أبو اسحاق ",G307="أبو آدم "),0,IF(D307="",0,D307)))</f>
        <v/>
      </c>
      <c r="K307" s="35"/>
      <c r="L307" t="str">
        <f>IF(E306&gt;0,COUNTIF($E$4:E306,"&gt;0"),"")</f>
        <v/>
      </c>
      <c r="M307" t="str">
        <f>IF(AND(D306&gt;0,G306="المحفظة"),COUNTIFS($D$4:D306,"&gt;"&amp;0,$G$4:G306,"المحفظة"),"")</f>
        <v/>
      </c>
      <c r="N307" t="str">
        <f>IF(AND(OR('طباعة كشف الحساب'!$C$2="الكل",MONTH(A307)=IFERROR(MATCH('طباعة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الحساب'!$F$2="الكل",YEAR(A307)=IFERROR(VALUE('طباعة كشف الحساب'!$F$2),0)),A307&lt;&gt;""),IFERROR(MAX($N$4:N306),0)+1,"")</f>
        <v/>
      </c>
      <c r="O307" t="str">
        <f>IF(AND(D306&gt;0,F306="أحد الشركاء"),COUNTIFS($D$4:D306,"&gt;"&amp;0,$F$4:F306,"أحد الشركاء"),"")</f>
        <v/>
      </c>
      <c r="P307" t="str">
        <f>IF(OR($A307="",$F307="أحد الشركاء",AND($D307="",$E307="")),"",SUMPRODUCT(($A$4:$A307&lt;&gt;"")*($F$4:$F307&lt;&gt;"أحد الشركاء")*((($D$4:$D307&lt;&gt;"")+($E$4:$E307&lt;&gt;""))&gt;0)))</f>
        <v/>
      </c>
      <c r="Q307" t="str">
        <f>IF(OR($A307="",$F307&lt;&gt;"أحد الشركاء"),"",COUNTIFS($A$4:A307,"&lt;&gt;",$F$4:F307,"أحد الشركاء"))</f>
        <v/>
      </c>
    </row>
    <row r="308" spans="1:17" ht="18.75" customHeight="1" x14ac:dyDescent="0.25">
      <c r="A308" s="25"/>
      <c r="B308" s="36"/>
      <c r="C308" s="37"/>
      <c r="D308" s="38"/>
      <c r="E308" s="39"/>
      <c r="F308" s="136"/>
      <c r="G308" s="40"/>
      <c r="H308" s="41"/>
      <c r="I308" s="42"/>
      <c r="J308" s="43" t="str">
        <f>IF(AND(D308="",E308="",A308="",B308="",C308=""),"", IFERROR(IF(J307="",D2,J307),D2)+IF(OR(E308="",H308="معلق"),0,E308)-IF(OR(G308="أبو اسحاق",G308="أبو آدم",G308="أبو اسحاق ",G308="أبو آدم "),0,IF(D308="",0,D308)))</f>
        <v/>
      </c>
      <c r="K308" s="44"/>
      <c r="L308" t="str">
        <f>IF(E307&gt;0,COUNTIF($E$4:E307,"&gt;0"),"")</f>
        <v/>
      </c>
      <c r="M308" t="str">
        <f>IF(AND(D307&gt;0,G307="المحفظة"),COUNTIFS($D$4:D307,"&gt;"&amp;0,$G$4:G307,"المحفظة"),"")</f>
        <v/>
      </c>
      <c r="N308" t="str">
        <f>IF(AND(OR('طباعة كشف الحساب'!$C$2="الكل",MONTH(A308)=IFERROR(MATCH('طباعة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الحساب'!$F$2="الكل",YEAR(A308)=IFERROR(VALUE('طباعة كشف الحساب'!$F$2),0)),A308&lt;&gt;""),IFERROR(MAX($N$4:N307),0)+1,"")</f>
        <v/>
      </c>
      <c r="O308" t="str">
        <f>IF(AND(D307&gt;0,F307="أحد الشركاء"),COUNTIFS($D$4:D307,"&gt;"&amp;0,$F$4:F307,"أحد الشركاء"),"")</f>
        <v/>
      </c>
      <c r="P308" t="str">
        <f>IF(OR($A308="",$F308="أحد الشركاء",AND($D308="",$E308="")),"",SUMPRODUCT(($A$4:$A308&lt;&gt;"")*($F$4:$F308&lt;&gt;"أحد الشركاء")*((($D$4:$D308&lt;&gt;"")+($E$4:$E308&lt;&gt;""))&gt;0)))</f>
        <v/>
      </c>
      <c r="Q308" t="str">
        <f>IF(OR($A308="",$F308&lt;&gt;"أحد الشركاء"),"",COUNTIFS($A$4:A308,"&lt;&gt;",$F$4:F308,"أحد الشركاء"))</f>
        <v/>
      </c>
    </row>
    <row r="309" spans="1:17" ht="18.75" customHeight="1" x14ac:dyDescent="0.25">
      <c r="A309" s="25"/>
      <c r="B309" s="26"/>
      <c r="C309" s="27"/>
      <c r="D309" s="28"/>
      <c r="E309" s="29"/>
      <c r="F309" s="30"/>
      <c r="G309" s="31"/>
      <c r="H309" s="32"/>
      <c r="I309" s="33"/>
      <c r="J309" s="34" t="str">
        <f>IF(AND(D309="",E309="",A309="",B309="",C309=""),"", IFERROR(IF(J308="",D2,J308),D2)+IF(OR(E309="",H309="معلق"),0,E309)-IF(OR(G309="أبو اسحاق",G309="أبو آدم",G309="أبو اسحاق ",G309="أبو آدم "),0,IF(D309="",0,D309)))</f>
        <v/>
      </c>
      <c r="K309" s="35"/>
      <c r="L309" t="str">
        <f>IF(E308&gt;0,COUNTIF($E$4:E308,"&gt;0"),"")</f>
        <v/>
      </c>
      <c r="M309" t="str">
        <f>IF(AND(D308&gt;0,G308="المحفظة"),COUNTIFS($D$4:D308,"&gt;"&amp;0,$G$4:G308,"المحفظة"),"")</f>
        <v/>
      </c>
      <c r="N309" t="str">
        <f>IF(AND(OR('طباعة كشف الحساب'!$C$2="الكل",MONTH(A309)=IFERROR(MATCH('طباعة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الحساب'!$F$2="الكل",YEAR(A309)=IFERROR(VALUE('طباعة كشف الحساب'!$F$2),0)),A309&lt;&gt;""),IFERROR(MAX($N$4:N308),0)+1,"")</f>
        <v/>
      </c>
      <c r="O309" t="str">
        <f>IF(AND(D308&gt;0,F308="أحد الشركاء"),COUNTIFS($D$4:D308,"&gt;"&amp;0,$F$4:F308,"أحد الشركاء"),"")</f>
        <v/>
      </c>
      <c r="P309" t="str">
        <f>IF(OR($A309="",$F309="أحد الشركاء",AND($D309="",$E309="")),"",SUMPRODUCT(($A$4:$A309&lt;&gt;"")*($F$4:$F309&lt;&gt;"أحد الشركاء")*((($D$4:$D309&lt;&gt;"")+($E$4:$E309&lt;&gt;""))&gt;0)))</f>
        <v/>
      </c>
      <c r="Q309" t="str">
        <f>IF(OR($A309="",$F309&lt;&gt;"أحد الشركاء"),"",COUNTIFS($A$4:A309,"&lt;&gt;",$F$4:F309,"أحد الشركاء"))</f>
        <v/>
      </c>
    </row>
    <row r="310" spans="1:17" ht="18.75" customHeight="1" x14ac:dyDescent="0.25">
      <c r="A310" s="25"/>
      <c r="B310" s="36"/>
      <c r="C310" s="37"/>
      <c r="D310" s="38"/>
      <c r="E310" s="39"/>
      <c r="F310" s="136"/>
      <c r="G310" s="40"/>
      <c r="H310" s="41"/>
      <c r="I310" s="42"/>
      <c r="J310" s="43" t="str">
        <f>IF(AND(D310="",E310="",A310="",B310="",C310=""),"", IFERROR(IF(J309="",D2,J309),D2)+IF(OR(E310="",H310="معلق"),0,E310)-IF(OR(G310="أبو اسحاق",G310="أبو آدم",G310="أبو اسحاق ",G310="أبو آدم "),0,IF(D310="",0,D310)))</f>
        <v/>
      </c>
      <c r="K310" s="44"/>
      <c r="L310" t="str">
        <f>IF(E309&gt;0,COUNTIF($E$4:E309,"&gt;0"),"")</f>
        <v/>
      </c>
      <c r="M310" t="str">
        <f>IF(AND(D309&gt;0,G309="المحفظة"),COUNTIFS($D$4:D309,"&gt;"&amp;0,$G$4:G309,"المحفظة"),"")</f>
        <v/>
      </c>
      <c r="N310" t="str">
        <f>IF(AND(OR('طباعة كشف الحساب'!$C$2="الكل",MONTH(A310)=IFERROR(MATCH('طباعة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الحساب'!$F$2="الكل",YEAR(A310)=IFERROR(VALUE('طباعة كشف الحساب'!$F$2),0)),A310&lt;&gt;""),IFERROR(MAX($N$4:N309),0)+1,"")</f>
        <v/>
      </c>
      <c r="O310" t="str">
        <f>IF(AND(D309&gt;0,F309="أحد الشركاء"),COUNTIFS($D$4:D309,"&gt;"&amp;0,$F$4:F309,"أحد الشركاء"),"")</f>
        <v/>
      </c>
      <c r="P310" t="str">
        <f>IF(OR($A310="",$F310="أحد الشركاء",AND($D310="",$E310="")),"",SUMPRODUCT(($A$4:$A310&lt;&gt;"")*($F$4:$F310&lt;&gt;"أحد الشركاء")*((($D$4:$D310&lt;&gt;"")+($E$4:$E310&lt;&gt;""))&gt;0)))</f>
        <v/>
      </c>
      <c r="Q310" t="str">
        <f>IF(OR($A310="",$F310&lt;&gt;"أحد الشركاء"),"",COUNTIFS($A$4:A310,"&lt;&gt;",$F$4:F310,"أحد الشركاء"))</f>
        <v/>
      </c>
    </row>
    <row r="311" spans="1:17" ht="18.75" customHeight="1" x14ac:dyDescent="0.25">
      <c r="A311" s="25"/>
      <c r="B311" s="26"/>
      <c r="C311" s="27"/>
      <c r="D311" s="28"/>
      <c r="E311" s="29"/>
      <c r="F311" s="30"/>
      <c r="G311" s="31"/>
      <c r="H311" s="32"/>
      <c r="I311" s="33"/>
      <c r="J311" s="34" t="str">
        <f>IF(AND(D311="",E311="",A311="",B311="",C311=""),"", IFERROR(IF(J310="",D2,J310),D2)+IF(OR(E311="",H311="معلق"),0,E311)-IF(OR(G311="أبو اسحاق",G311="أبو آدم",G311="أبو اسحاق ",G311="أبو آدم "),0,IF(D311="",0,D311)))</f>
        <v/>
      </c>
      <c r="K311" s="35"/>
      <c r="L311" t="str">
        <f>IF(E310&gt;0,COUNTIF($E$4:E310,"&gt;0"),"")</f>
        <v/>
      </c>
      <c r="M311" t="str">
        <f>IF(AND(D310&gt;0,G310="المحفظة"),COUNTIFS($D$4:D310,"&gt;"&amp;0,$G$4:G310,"المحفظة"),"")</f>
        <v/>
      </c>
      <c r="N311" t="str">
        <f>IF(AND(OR('طباعة كشف الحساب'!$C$2="الكل",MONTH(A311)=IFERROR(MATCH('طباعة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الحساب'!$F$2="الكل",YEAR(A311)=IFERROR(VALUE('طباعة كشف الحساب'!$F$2),0)),A311&lt;&gt;""),IFERROR(MAX($N$4:N310),0)+1,"")</f>
        <v/>
      </c>
      <c r="O311" t="str">
        <f>IF(AND(D310&gt;0,F310="أحد الشركاء"),COUNTIFS($D$4:D310,"&gt;"&amp;0,$F$4:F310,"أحد الشركاء"),"")</f>
        <v/>
      </c>
      <c r="P311" t="str">
        <f>IF(OR($A311="",$F311="أحد الشركاء",AND($D311="",$E311="")),"",SUMPRODUCT(($A$4:$A311&lt;&gt;"")*($F$4:$F311&lt;&gt;"أحد الشركاء")*((($D$4:$D311&lt;&gt;"")+($E$4:$E311&lt;&gt;""))&gt;0)))</f>
        <v/>
      </c>
      <c r="Q311" t="str">
        <f>IF(OR($A311="",$F311&lt;&gt;"أحد الشركاء"),"",COUNTIFS($A$4:A311,"&lt;&gt;",$F$4:F311,"أحد الشركاء"))</f>
        <v/>
      </c>
    </row>
    <row r="312" spans="1:17" ht="18.75" customHeight="1" x14ac:dyDescent="0.25">
      <c r="A312" s="25"/>
      <c r="B312" s="36"/>
      <c r="C312" s="37"/>
      <c r="D312" s="38"/>
      <c r="E312" s="39"/>
      <c r="F312" s="136"/>
      <c r="G312" s="40"/>
      <c r="H312" s="41"/>
      <c r="I312" s="42"/>
      <c r="J312" s="43" t="str">
        <f>IF(AND(D312="",E312="",A312="",B312="",C312=""),"", IFERROR(IF(J311="",D2,J311),D2)+IF(OR(E312="",H312="معلق"),0,E312)-IF(OR(G312="أبو اسحاق",G312="أبو آدم",G312="أبو اسحاق ",G312="أبو آدم "),0,IF(D312="",0,D312)))</f>
        <v/>
      </c>
      <c r="K312" s="44"/>
      <c r="L312" t="str">
        <f>IF(E311&gt;0,COUNTIF($E$4:E311,"&gt;0"),"")</f>
        <v/>
      </c>
      <c r="M312" t="str">
        <f>IF(AND(D311&gt;0,G311="المحفظة"),COUNTIFS($D$4:D311,"&gt;"&amp;0,$G$4:G311,"المحفظة"),"")</f>
        <v/>
      </c>
      <c r="N312" t="str">
        <f>IF(AND(OR('طباعة كشف الحساب'!$C$2="الكل",MONTH(A312)=IFERROR(MATCH('طباعة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الحساب'!$F$2="الكل",YEAR(A312)=IFERROR(VALUE('طباعة كشف الحساب'!$F$2),0)),A312&lt;&gt;""),IFERROR(MAX($N$4:N311),0)+1,"")</f>
        <v/>
      </c>
      <c r="O312" t="str">
        <f>IF(AND(D311&gt;0,F311="أحد الشركاء"),COUNTIFS($D$4:D311,"&gt;"&amp;0,$F$4:F311,"أحد الشركاء"),"")</f>
        <v/>
      </c>
      <c r="P312" t="str">
        <f>IF(OR($A312="",$F312="أحد الشركاء",AND($D312="",$E312="")),"",SUMPRODUCT(($A$4:$A312&lt;&gt;"")*($F$4:$F312&lt;&gt;"أحد الشركاء")*((($D$4:$D312&lt;&gt;"")+($E$4:$E312&lt;&gt;""))&gt;0)))</f>
        <v/>
      </c>
      <c r="Q312" t="str">
        <f>IF(OR($A312="",$F312&lt;&gt;"أحد الشركاء"),"",COUNTIFS($A$4:A312,"&lt;&gt;",$F$4:F312,"أحد الشركاء"))</f>
        <v/>
      </c>
    </row>
    <row r="313" spans="1:17" ht="18.75" customHeight="1" x14ac:dyDescent="0.25">
      <c r="A313" s="25"/>
      <c r="B313" s="26"/>
      <c r="C313" s="27"/>
      <c r="D313" s="28"/>
      <c r="E313" s="29"/>
      <c r="F313" s="30"/>
      <c r="G313" s="31"/>
      <c r="H313" s="32"/>
      <c r="I313" s="33"/>
      <c r="J313" s="34" t="str">
        <f>IF(AND(D313="",E313="",A313="",B313="",C313=""),"", IFERROR(IF(J312="",D2,J312),D2)+IF(OR(E313="",H313="معلق"),0,E313)-IF(OR(G313="أبو اسحاق",G313="أبو آدم",G313="أبو اسحاق ",G313="أبو آدم "),0,IF(D313="",0,D313)))</f>
        <v/>
      </c>
      <c r="K313" s="35"/>
      <c r="L313" t="str">
        <f>IF(E312&gt;0,COUNTIF($E$4:E312,"&gt;0"),"")</f>
        <v/>
      </c>
      <c r="M313" t="str">
        <f>IF(AND(D312&gt;0,G312="المحفظة"),COUNTIFS($D$4:D312,"&gt;"&amp;0,$G$4:G312,"المحفظة"),"")</f>
        <v/>
      </c>
      <c r="N313" t="str">
        <f>IF(AND(OR('طباعة كشف الحساب'!$C$2="الكل",MONTH(A313)=IFERROR(MATCH('طباعة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الحساب'!$F$2="الكل",YEAR(A313)=IFERROR(VALUE('طباعة كشف الحساب'!$F$2),0)),A313&lt;&gt;""),IFERROR(MAX($N$4:N312),0)+1,"")</f>
        <v/>
      </c>
      <c r="O313" t="str">
        <f>IF(AND(D312&gt;0,F312="أحد الشركاء"),COUNTIFS($D$4:D312,"&gt;"&amp;0,$F$4:F312,"أحد الشركاء"),"")</f>
        <v/>
      </c>
      <c r="P313" t="str">
        <f>IF(OR($A313="",$F313="أحد الشركاء",AND($D313="",$E313="")),"",SUMPRODUCT(($A$4:$A313&lt;&gt;"")*($F$4:$F313&lt;&gt;"أحد الشركاء")*((($D$4:$D313&lt;&gt;"")+($E$4:$E313&lt;&gt;""))&gt;0)))</f>
        <v/>
      </c>
      <c r="Q313" t="str">
        <f>IF(OR($A313="",$F313&lt;&gt;"أحد الشركاء"),"",COUNTIFS($A$4:A313,"&lt;&gt;",$F$4:F313,"أحد الشركاء"))</f>
        <v/>
      </c>
    </row>
    <row r="314" spans="1:17" ht="18.75" customHeight="1" x14ac:dyDescent="0.25">
      <c r="A314" s="25"/>
      <c r="B314" s="36"/>
      <c r="C314" s="37"/>
      <c r="D314" s="38"/>
      <c r="E314" s="39"/>
      <c r="F314" s="136"/>
      <c r="G314" s="40"/>
      <c r="H314" s="41"/>
      <c r="I314" s="42"/>
      <c r="J314" s="43" t="str">
        <f>IF(AND(D314="",E314="",A314="",B314="",C314=""),"", IFERROR(IF(J313="",D2,J313),D2)+IF(OR(E314="",H314="معلق"),0,E314)-IF(OR(G314="أبو اسحاق",G314="أبو آدم",G314="أبو اسحاق ",G314="أبو آدم "),0,IF(D314="",0,D314)))</f>
        <v/>
      </c>
      <c r="K314" s="44"/>
      <c r="L314" t="str">
        <f>IF(E313&gt;0,COUNTIF($E$4:E313,"&gt;0"),"")</f>
        <v/>
      </c>
      <c r="M314" t="str">
        <f>IF(AND(D313&gt;0,G313="المحفظة"),COUNTIFS($D$4:D313,"&gt;"&amp;0,$G$4:G313,"المحفظة"),"")</f>
        <v/>
      </c>
      <c r="N314" t="str">
        <f>IF(AND(OR('طباعة كشف الحساب'!$C$2="الكل",MONTH(A314)=IFERROR(MATCH('طباعة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الحساب'!$F$2="الكل",YEAR(A314)=IFERROR(VALUE('طباعة كشف الحساب'!$F$2),0)),A314&lt;&gt;""),IFERROR(MAX($N$4:N313),0)+1,"")</f>
        <v/>
      </c>
      <c r="O314" t="str">
        <f>IF(AND(D313&gt;0,F313="أحد الشركاء"),COUNTIFS($D$4:D313,"&gt;"&amp;0,$F$4:F313,"أحد الشركاء"),"")</f>
        <v/>
      </c>
      <c r="P314" t="str">
        <f>IF(OR($A314="",$F314="أحد الشركاء",AND($D314="",$E314="")),"",SUMPRODUCT(($A$4:$A314&lt;&gt;"")*($F$4:$F314&lt;&gt;"أحد الشركاء")*((($D$4:$D314&lt;&gt;"")+($E$4:$E314&lt;&gt;""))&gt;0)))</f>
        <v/>
      </c>
      <c r="Q314" t="str">
        <f>IF(OR($A314="",$F314&lt;&gt;"أحد الشركاء"),"",COUNTIFS($A$4:A314,"&lt;&gt;",$F$4:F314,"أحد الشركاء"))</f>
        <v/>
      </c>
    </row>
    <row r="315" spans="1:17" ht="18.75" customHeight="1" x14ac:dyDescent="0.25">
      <c r="A315" s="25"/>
      <c r="B315" s="26"/>
      <c r="C315" s="27"/>
      <c r="D315" s="28"/>
      <c r="E315" s="29"/>
      <c r="F315" s="30"/>
      <c r="G315" s="31"/>
      <c r="H315" s="32"/>
      <c r="I315" s="33"/>
      <c r="J315" s="34" t="str">
        <f>IF(AND(D315="",E315="",A315="",B315="",C315=""),"", IFERROR(IF(J314="",D2,J314),D2)+IF(OR(E315="",H315="معلق"),0,E315)-IF(OR(G315="أبو اسحاق",G315="أبو آدم",G315="أبو اسحاق ",G315="أبو آدم "),0,IF(D315="",0,D315)))</f>
        <v/>
      </c>
      <c r="K315" s="35"/>
      <c r="L315" t="str">
        <f>IF(E314&gt;0,COUNTIF($E$4:E314,"&gt;0"),"")</f>
        <v/>
      </c>
      <c r="M315" t="str">
        <f>IF(AND(D314&gt;0,G314="المحفظة"),COUNTIFS($D$4:D314,"&gt;"&amp;0,$G$4:G314,"المحفظة"),"")</f>
        <v/>
      </c>
      <c r="N315" t="str">
        <f>IF(AND(OR('طباعة كشف الحساب'!$C$2="الكل",MONTH(A315)=IFERROR(MATCH('طباعة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الحساب'!$F$2="الكل",YEAR(A315)=IFERROR(VALUE('طباعة كشف الحساب'!$F$2),0)),A315&lt;&gt;""),IFERROR(MAX($N$4:N314),0)+1,"")</f>
        <v/>
      </c>
      <c r="O315" t="str">
        <f>IF(AND(D314&gt;0,F314="أحد الشركاء"),COUNTIFS($D$4:D314,"&gt;"&amp;0,$F$4:F314,"أحد الشركاء"),"")</f>
        <v/>
      </c>
      <c r="P315" t="str">
        <f>IF(OR($A315="",$F315="أحد الشركاء",AND($D315="",$E315="")),"",SUMPRODUCT(($A$4:$A315&lt;&gt;"")*($F$4:$F315&lt;&gt;"أحد الشركاء")*((($D$4:$D315&lt;&gt;"")+($E$4:$E315&lt;&gt;""))&gt;0)))</f>
        <v/>
      </c>
      <c r="Q315" t="str">
        <f>IF(OR($A315="",$F315&lt;&gt;"أحد الشركاء"),"",COUNTIFS($A$4:A315,"&lt;&gt;",$F$4:F315,"أحد الشركاء"))</f>
        <v/>
      </c>
    </row>
    <row r="316" spans="1:17" ht="18.75" customHeight="1" x14ac:dyDescent="0.25">
      <c r="A316" s="25"/>
      <c r="B316" s="36"/>
      <c r="C316" s="37"/>
      <c r="D316" s="38"/>
      <c r="E316" s="39"/>
      <c r="F316" s="136"/>
      <c r="G316" s="40"/>
      <c r="H316" s="41"/>
      <c r="I316" s="42"/>
      <c r="J316" s="43" t="str">
        <f>IF(AND(D316="",E316="",A316="",B316="",C316=""),"", IFERROR(IF(J315="",D2,J315),D2)+IF(OR(E316="",H316="معلق"),0,E316)-IF(OR(G316="أبو اسحاق",G316="أبو آدم",G316="أبو اسحاق ",G316="أبو آدم "),0,IF(D316="",0,D316)))</f>
        <v/>
      </c>
      <c r="K316" s="44"/>
      <c r="L316" t="str">
        <f>IF(E315&gt;0,COUNTIF($E$4:E315,"&gt;0"),"")</f>
        <v/>
      </c>
      <c r="M316" t="str">
        <f>IF(AND(D315&gt;0,G315="المحفظة"),COUNTIFS($D$4:D315,"&gt;"&amp;0,$G$4:G315,"المحفظة"),"")</f>
        <v/>
      </c>
      <c r="N316" t="str">
        <f>IF(AND(OR('طباعة كشف الحساب'!$C$2="الكل",MONTH(A316)=IFERROR(MATCH('طباعة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الحساب'!$F$2="الكل",YEAR(A316)=IFERROR(VALUE('طباعة كشف الحساب'!$F$2),0)),A316&lt;&gt;""),IFERROR(MAX($N$4:N315),0)+1,"")</f>
        <v/>
      </c>
      <c r="O316" t="str">
        <f>IF(AND(D315&gt;0,F315="أحد الشركاء"),COUNTIFS($D$4:D315,"&gt;"&amp;0,$F$4:F315,"أحد الشركاء"),"")</f>
        <v/>
      </c>
      <c r="P316" t="str">
        <f>IF(OR($A316="",$F316="أحد الشركاء",AND($D316="",$E316="")),"",SUMPRODUCT(($A$4:$A316&lt;&gt;"")*($F$4:$F316&lt;&gt;"أحد الشركاء")*((($D$4:$D316&lt;&gt;"")+($E$4:$E316&lt;&gt;""))&gt;0)))</f>
        <v/>
      </c>
      <c r="Q316" t="str">
        <f>IF(OR($A316="",$F316&lt;&gt;"أحد الشركاء"),"",COUNTIFS($A$4:A316,"&lt;&gt;",$F$4:F316,"أحد الشركاء"))</f>
        <v/>
      </c>
    </row>
    <row r="317" spans="1:17" ht="18.75" customHeight="1" x14ac:dyDescent="0.25">
      <c r="A317" s="25"/>
      <c r="B317" s="26"/>
      <c r="C317" s="27"/>
      <c r="D317" s="28"/>
      <c r="E317" s="29"/>
      <c r="F317" s="30"/>
      <c r="G317" s="31"/>
      <c r="H317" s="32"/>
      <c r="I317" s="33"/>
      <c r="J317" s="34" t="str">
        <f>IF(AND(D317="",E317="",A317="",B317="",C317=""),"", IFERROR(IF(J316="",D2,J316),D2)+IF(OR(E317="",H317="معلق"),0,E317)-IF(OR(G317="أبو اسحاق",G317="أبو آدم",G317="أبو اسحاق ",G317="أبو آدم "),0,IF(D317="",0,D317)))</f>
        <v/>
      </c>
      <c r="K317" s="35"/>
      <c r="L317" t="str">
        <f>IF(E316&gt;0,COUNTIF($E$4:E316,"&gt;0"),"")</f>
        <v/>
      </c>
      <c r="M317" t="str">
        <f>IF(AND(D316&gt;0,G316="المحفظة"),COUNTIFS($D$4:D316,"&gt;"&amp;0,$G$4:G316,"المحفظة"),"")</f>
        <v/>
      </c>
      <c r="N317" t="str">
        <f>IF(AND(OR('طباعة كشف الحساب'!$C$2="الكل",MONTH(A317)=IFERROR(MATCH('طباعة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الحساب'!$F$2="الكل",YEAR(A317)=IFERROR(VALUE('طباعة كشف الحساب'!$F$2),0)),A317&lt;&gt;""),IFERROR(MAX($N$4:N316),0)+1,"")</f>
        <v/>
      </c>
      <c r="O317" t="str">
        <f>IF(AND(D316&gt;0,F316="أحد الشركاء"),COUNTIFS($D$4:D316,"&gt;"&amp;0,$F$4:F316,"أحد الشركاء"),"")</f>
        <v/>
      </c>
      <c r="P317" t="str">
        <f>IF(OR($A317="",$F317="أحد الشركاء",AND($D317="",$E317="")),"",SUMPRODUCT(($A$4:$A317&lt;&gt;"")*($F$4:$F317&lt;&gt;"أحد الشركاء")*((($D$4:$D317&lt;&gt;"")+($E$4:$E317&lt;&gt;""))&gt;0)))</f>
        <v/>
      </c>
      <c r="Q317" t="str">
        <f>IF(OR($A317="",$F317&lt;&gt;"أحد الشركاء"),"",COUNTIFS($A$4:A317,"&lt;&gt;",$F$4:F317,"أحد الشركاء"))</f>
        <v/>
      </c>
    </row>
    <row r="318" spans="1:17" ht="18.75" customHeight="1" x14ac:dyDescent="0.25">
      <c r="A318" s="25"/>
      <c r="B318" s="36"/>
      <c r="C318" s="37"/>
      <c r="D318" s="38"/>
      <c r="E318" s="39"/>
      <c r="F318" s="136"/>
      <c r="G318" s="40"/>
      <c r="H318" s="41"/>
      <c r="I318" s="42"/>
      <c r="J318" s="43" t="str">
        <f>IF(AND(D318="",E318="",A318="",B318="",C318=""),"", IFERROR(IF(J317="",D2,J317),D2)+IF(OR(E318="",H318="معلق"),0,E318)-IF(OR(G318="أبو اسحاق",G318="أبو آدم",G318="أبو اسحاق ",G318="أبو آدم "),0,IF(D318="",0,D318)))</f>
        <v/>
      </c>
      <c r="K318" s="44"/>
      <c r="L318" t="str">
        <f>IF(E317&gt;0,COUNTIF($E$4:E317,"&gt;0"),"")</f>
        <v/>
      </c>
      <c r="M318" t="str">
        <f>IF(AND(D317&gt;0,G317="المحفظة"),COUNTIFS($D$4:D317,"&gt;"&amp;0,$G$4:G317,"المحفظة"),"")</f>
        <v/>
      </c>
      <c r="N318" t="str">
        <f>IF(AND(OR('طباعة كشف الحساب'!$C$2="الكل",MONTH(A318)=IFERROR(MATCH('طباعة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الحساب'!$F$2="الكل",YEAR(A318)=IFERROR(VALUE('طباعة كشف الحساب'!$F$2),0)),A318&lt;&gt;""),IFERROR(MAX($N$4:N317),0)+1,"")</f>
        <v/>
      </c>
      <c r="O318" t="str">
        <f>IF(AND(D317&gt;0,F317="أحد الشركاء"),COUNTIFS($D$4:D317,"&gt;"&amp;0,$F$4:F317,"أحد الشركاء"),"")</f>
        <v/>
      </c>
      <c r="P318" t="str">
        <f>IF(OR($A318="",$F318="أحد الشركاء",AND($D318="",$E318="")),"",SUMPRODUCT(($A$4:$A318&lt;&gt;"")*($F$4:$F318&lt;&gt;"أحد الشركاء")*((($D$4:$D318&lt;&gt;"")+($E$4:$E318&lt;&gt;""))&gt;0)))</f>
        <v/>
      </c>
      <c r="Q318" t="str">
        <f>IF(OR($A318="",$F318&lt;&gt;"أحد الشركاء"),"",COUNTIFS($A$4:A318,"&lt;&gt;",$F$4:F318,"أحد الشركاء"))</f>
        <v/>
      </c>
    </row>
    <row r="319" spans="1:17" ht="18.75" customHeight="1" x14ac:dyDescent="0.25">
      <c r="A319" s="25"/>
      <c r="B319" s="26"/>
      <c r="C319" s="27"/>
      <c r="D319" s="28"/>
      <c r="E319" s="29"/>
      <c r="F319" s="30"/>
      <c r="G319" s="31"/>
      <c r="H319" s="32"/>
      <c r="I319" s="33"/>
      <c r="J319" s="34" t="str">
        <f>IF(AND(D319="",E319="",A319="",B319="",C319=""),"", IFERROR(IF(J318="",D2,J318),D2)+IF(OR(E319="",H319="معلق"),0,E319)-IF(OR(G319="أبو اسحاق",G319="أبو آدم",G319="أبو اسحاق ",G319="أبو آدم "),0,IF(D319="",0,D319)))</f>
        <v/>
      </c>
      <c r="K319" s="35"/>
      <c r="L319" t="str">
        <f>IF(E318&gt;0,COUNTIF($E$4:E318,"&gt;0"),"")</f>
        <v/>
      </c>
      <c r="M319" t="str">
        <f>IF(AND(D318&gt;0,G318="المحفظة"),COUNTIFS($D$4:D318,"&gt;"&amp;0,$G$4:G318,"المحفظة"),"")</f>
        <v/>
      </c>
      <c r="N319" t="str">
        <f>IF(AND(OR('طباعة كشف الحساب'!$C$2="الكل",MONTH(A319)=IFERROR(MATCH('طباعة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الحساب'!$F$2="الكل",YEAR(A319)=IFERROR(VALUE('طباعة كشف الحساب'!$F$2),0)),A319&lt;&gt;""),IFERROR(MAX($N$4:N318),0)+1,"")</f>
        <v/>
      </c>
      <c r="O319" t="str">
        <f>IF(AND(D318&gt;0,F318="أحد الشركاء"),COUNTIFS($D$4:D318,"&gt;"&amp;0,$F$4:F318,"أحد الشركاء"),"")</f>
        <v/>
      </c>
      <c r="P319" t="str">
        <f>IF(OR($A319="",$F319="أحد الشركاء",AND($D319="",$E319="")),"",SUMPRODUCT(($A$4:$A319&lt;&gt;"")*($F$4:$F319&lt;&gt;"أحد الشركاء")*((($D$4:$D319&lt;&gt;"")+($E$4:$E319&lt;&gt;""))&gt;0)))</f>
        <v/>
      </c>
      <c r="Q319" t="str">
        <f>IF(OR($A319="",$F319&lt;&gt;"أحد الشركاء"),"",COUNTIFS($A$4:A319,"&lt;&gt;",$F$4:F319,"أحد الشركاء"))</f>
        <v/>
      </c>
    </row>
    <row r="320" spans="1:17" ht="18.75" customHeight="1" x14ac:dyDescent="0.25">
      <c r="A320" s="25"/>
      <c r="B320" s="36"/>
      <c r="C320" s="37"/>
      <c r="D320" s="38"/>
      <c r="E320" s="39"/>
      <c r="F320" s="136"/>
      <c r="G320" s="40"/>
      <c r="H320" s="41"/>
      <c r="I320" s="42"/>
      <c r="J320" s="43" t="str">
        <f>IF(AND(D320="",E320="",A320="",B320="",C320=""),"", IFERROR(IF(J319="",D2,J319),D2)+IF(OR(E320="",H320="معلق"),0,E320)-IF(OR(G320="أبو اسحاق",G320="أبو آدم",G320="أبو اسحاق ",G320="أبو آدم "),0,IF(D320="",0,D320)))</f>
        <v/>
      </c>
      <c r="K320" s="44"/>
      <c r="L320" t="str">
        <f>IF(E319&gt;0,COUNTIF($E$4:E319,"&gt;0"),"")</f>
        <v/>
      </c>
      <c r="M320" t="str">
        <f>IF(AND(D319&gt;0,G319="المحفظة"),COUNTIFS($D$4:D319,"&gt;"&amp;0,$G$4:G319,"المحفظة"),"")</f>
        <v/>
      </c>
      <c r="N320" t="str">
        <f>IF(AND(OR('طباعة كشف الحساب'!$C$2="الكل",MONTH(A320)=IFERROR(MATCH('طباعة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الحساب'!$F$2="الكل",YEAR(A320)=IFERROR(VALUE('طباعة كشف الحساب'!$F$2),0)),A320&lt;&gt;""),IFERROR(MAX($N$4:N319),0)+1,"")</f>
        <v/>
      </c>
      <c r="O320" t="str">
        <f>IF(AND(D319&gt;0,F319="أحد الشركاء"),COUNTIFS($D$4:D319,"&gt;"&amp;0,$F$4:F319,"أحد الشركاء"),"")</f>
        <v/>
      </c>
      <c r="P320" t="str">
        <f>IF(OR($A320="",$F320="أحد الشركاء",AND($D320="",$E320="")),"",SUMPRODUCT(($A$4:$A320&lt;&gt;"")*($F$4:$F320&lt;&gt;"أحد الشركاء")*((($D$4:$D320&lt;&gt;"")+($E$4:$E320&lt;&gt;""))&gt;0)))</f>
        <v/>
      </c>
      <c r="Q320" t="str">
        <f>IF(OR($A320="",$F320&lt;&gt;"أحد الشركاء"),"",COUNTIFS($A$4:A320,"&lt;&gt;",$F$4:F320,"أحد الشركاء"))</f>
        <v/>
      </c>
    </row>
    <row r="321" spans="1:17" ht="18.75" customHeight="1" x14ac:dyDescent="0.25">
      <c r="A321" s="25"/>
      <c r="B321" s="26"/>
      <c r="C321" s="27"/>
      <c r="D321" s="28"/>
      <c r="E321" s="29"/>
      <c r="F321" s="30"/>
      <c r="G321" s="31"/>
      <c r="H321" s="32"/>
      <c r="I321" s="33"/>
      <c r="J321" s="34" t="str">
        <f>IF(AND(D321="",E321="",A321="",B321="",C321=""),"", IFERROR(IF(J320="",D2,J320),D2)+IF(OR(E321="",H321="معلق"),0,E321)-IF(OR(G321="أبو اسحاق",G321="أبو آدم",G321="أبو اسحاق ",G321="أبو آدم "),0,IF(D321="",0,D321)))</f>
        <v/>
      </c>
      <c r="K321" s="35"/>
      <c r="L321" t="str">
        <f>IF(E320&gt;0,COUNTIF($E$4:E320,"&gt;0"),"")</f>
        <v/>
      </c>
      <c r="M321" t="str">
        <f>IF(AND(D320&gt;0,G320="المحفظة"),COUNTIFS($D$4:D320,"&gt;"&amp;0,$G$4:G320,"المحفظة"),"")</f>
        <v/>
      </c>
      <c r="N321" t="str">
        <f>IF(AND(OR('طباعة كشف الحساب'!$C$2="الكل",MONTH(A321)=IFERROR(MATCH('طباعة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الحساب'!$F$2="الكل",YEAR(A321)=IFERROR(VALUE('طباعة كشف الحساب'!$F$2),0)),A321&lt;&gt;""),IFERROR(MAX($N$4:N320),0)+1,"")</f>
        <v/>
      </c>
      <c r="O321" t="str">
        <f>IF(AND(D320&gt;0,F320="أحد الشركاء"),COUNTIFS($D$4:D320,"&gt;"&amp;0,$F$4:F320,"أحد الشركاء"),"")</f>
        <v/>
      </c>
      <c r="P321" t="str">
        <f>IF(OR($A321="",$F321="أحد الشركاء",AND($D321="",$E321="")),"",SUMPRODUCT(($A$4:$A321&lt;&gt;"")*($F$4:$F321&lt;&gt;"أحد الشركاء")*((($D$4:$D321&lt;&gt;"")+($E$4:$E321&lt;&gt;""))&gt;0)))</f>
        <v/>
      </c>
      <c r="Q321" t="str">
        <f>IF(OR($A321="",$F321&lt;&gt;"أحد الشركاء"),"",COUNTIFS($A$4:A321,"&lt;&gt;",$F$4:F321,"أحد الشركاء"))</f>
        <v/>
      </c>
    </row>
    <row r="322" spans="1:17" ht="18.75" customHeight="1" x14ac:dyDescent="0.25">
      <c r="A322" s="25"/>
      <c r="B322" s="36"/>
      <c r="C322" s="37"/>
      <c r="D322" s="38"/>
      <c r="E322" s="39"/>
      <c r="F322" s="136"/>
      <c r="G322" s="40"/>
      <c r="H322" s="41"/>
      <c r="I322" s="42"/>
      <c r="J322" s="43" t="str">
        <f>IF(AND(D322="",E322="",A322="",B322="",C322=""),"", IFERROR(IF(J321="",D2,J321),D2)+IF(OR(E322="",H322="معلق"),0,E322)-IF(OR(G322="أبو اسحاق",G322="أبو آدم",G322="أبو اسحاق ",G322="أبو آدم "),0,IF(D322="",0,D322)))</f>
        <v/>
      </c>
      <c r="K322" s="44"/>
      <c r="L322" t="str">
        <f>IF(E321&gt;0,COUNTIF($E$4:E321,"&gt;0"),"")</f>
        <v/>
      </c>
      <c r="M322" t="str">
        <f>IF(AND(D321&gt;0,G321="المحفظة"),COUNTIFS($D$4:D321,"&gt;"&amp;0,$G$4:G321,"المحفظة"),"")</f>
        <v/>
      </c>
      <c r="N322" t="str">
        <f>IF(AND(OR('طباعة كشف الحساب'!$C$2="الكل",MONTH(A322)=IFERROR(MATCH('طباعة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الحساب'!$F$2="الكل",YEAR(A322)=IFERROR(VALUE('طباعة كشف الحساب'!$F$2),0)),A322&lt;&gt;""),IFERROR(MAX($N$4:N321),0)+1,"")</f>
        <v/>
      </c>
      <c r="O322" t="str">
        <f>IF(AND(D321&gt;0,F321="أحد الشركاء"),COUNTIFS($D$4:D321,"&gt;"&amp;0,$F$4:F321,"أحد الشركاء"),"")</f>
        <v/>
      </c>
      <c r="P322" t="str">
        <f>IF(OR($A322="",$F322="أحد الشركاء",AND($D322="",$E322="")),"",SUMPRODUCT(($A$4:$A322&lt;&gt;"")*($F$4:$F322&lt;&gt;"أحد الشركاء")*((($D$4:$D322&lt;&gt;"")+($E$4:$E322&lt;&gt;""))&gt;0)))</f>
        <v/>
      </c>
      <c r="Q322" t="str">
        <f>IF(OR($A322="",$F322&lt;&gt;"أحد الشركاء"),"",COUNTIFS($A$4:A322,"&lt;&gt;",$F$4:F322,"أحد الشركاء"))</f>
        <v/>
      </c>
    </row>
    <row r="323" spans="1:17" ht="18.75" customHeight="1" x14ac:dyDescent="0.25">
      <c r="A323" s="25"/>
      <c r="B323" s="26"/>
      <c r="C323" s="27"/>
      <c r="D323" s="28"/>
      <c r="E323" s="29"/>
      <c r="F323" s="30"/>
      <c r="G323" s="31"/>
      <c r="H323" s="32"/>
      <c r="I323" s="33"/>
      <c r="J323" s="34" t="str">
        <f>IF(AND(D323="",E323="",A323="",B323="",C323=""),"", IFERROR(IF(J322="",D2,J322),D2)+IF(OR(E323="",H323="معلق"),0,E323)-IF(OR(G323="أبو اسحاق",G323="أبو آدم",G323="أبو اسحاق ",G323="أبو آدم "),0,IF(D323="",0,D323)))</f>
        <v/>
      </c>
      <c r="K323" s="35"/>
      <c r="L323" t="str">
        <f>IF(E322&gt;0,COUNTIF($E$4:E322,"&gt;0"),"")</f>
        <v/>
      </c>
      <c r="M323" t="str">
        <f>IF(AND(D322&gt;0,G322="المحفظة"),COUNTIFS($D$4:D322,"&gt;"&amp;0,$G$4:G322,"المحفظة"),"")</f>
        <v/>
      </c>
      <c r="N323" t="str">
        <f>IF(AND(OR('طباعة كشف الحساب'!$C$2="الكل",MONTH(A323)=IFERROR(MATCH('طباعة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الحساب'!$F$2="الكل",YEAR(A323)=IFERROR(VALUE('طباعة كشف الحساب'!$F$2),0)),A323&lt;&gt;""),IFERROR(MAX($N$4:N322),0)+1,"")</f>
        <v/>
      </c>
      <c r="O323" t="str">
        <f>IF(AND(D322&gt;0,F322="أحد الشركاء"),COUNTIFS($D$4:D322,"&gt;"&amp;0,$F$4:F322,"أحد الشركاء"),"")</f>
        <v/>
      </c>
      <c r="P323" t="str">
        <f>IF(OR($A323="",$F323="أحد الشركاء",AND($D323="",$E323="")),"",SUMPRODUCT(($A$4:$A323&lt;&gt;"")*($F$4:$F323&lt;&gt;"أحد الشركاء")*((($D$4:$D323&lt;&gt;"")+($E$4:$E323&lt;&gt;""))&gt;0)))</f>
        <v/>
      </c>
      <c r="Q323" t="str">
        <f>IF(OR($A323="",$F323&lt;&gt;"أحد الشركاء"),"",COUNTIFS($A$4:A323,"&lt;&gt;",$F$4:F323,"أحد الشركاء"))</f>
        <v/>
      </c>
    </row>
    <row r="324" spans="1:17" ht="18.75" customHeight="1" x14ac:dyDescent="0.25">
      <c r="A324" s="25"/>
      <c r="B324" s="36"/>
      <c r="C324" s="37"/>
      <c r="D324" s="38"/>
      <c r="E324" s="39"/>
      <c r="F324" s="136"/>
      <c r="G324" s="40"/>
      <c r="H324" s="41"/>
      <c r="I324" s="42"/>
      <c r="J324" s="43" t="str">
        <f>IF(AND(D324="",E324="",A324="",B324="",C324=""),"", IFERROR(IF(J323="",D2,J323),D2)+IF(OR(E324="",H324="معلق"),0,E324)-IF(OR(G324="أبو اسحاق",G324="أبو آدم",G324="أبو اسحاق ",G324="أبو آدم "),0,IF(D324="",0,D324)))</f>
        <v/>
      </c>
      <c r="K324" s="44"/>
      <c r="L324" t="str">
        <f>IF(E323&gt;0,COUNTIF($E$4:E323,"&gt;0"),"")</f>
        <v/>
      </c>
      <c r="M324" t="str">
        <f>IF(AND(D323&gt;0,G323="المحفظة"),COUNTIFS($D$4:D323,"&gt;"&amp;0,$G$4:G323,"المحفظة"),"")</f>
        <v/>
      </c>
      <c r="N324" t="str">
        <f>IF(AND(OR('طباعة كشف الحساب'!$C$2="الكل",MONTH(A324)=IFERROR(MATCH('طباعة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الحساب'!$F$2="الكل",YEAR(A324)=IFERROR(VALUE('طباعة كشف الحساب'!$F$2),0)),A324&lt;&gt;""),IFERROR(MAX($N$4:N323),0)+1,"")</f>
        <v/>
      </c>
      <c r="O324" t="str">
        <f>IF(AND(D323&gt;0,F323="أحد الشركاء"),COUNTIFS($D$4:D323,"&gt;"&amp;0,$F$4:F323,"أحد الشركاء"),"")</f>
        <v/>
      </c>
      <c r="P324" t="str">
        <f>IF(OR($A324="",$F324="أحد الشركاء",AND($D324="",$E324="")),"",SUMPRODUCT(($A$4:$A324&lt;&gt;"")*($F$4:$F324&lt;&gt;"أحد الشركاء")*((($D$4:$D324&lt;&gt;"")+($E$4:$E324&lt;&gt;""))&gt;0)))</f>
        <v/>
      </c>
      <c r="Q324" t="str">
        <f>IF(OR($A324="",$F324&lt;&gt;"أحد الشركاء"),"",COUNTIFS($A$4:A324,"&lt;&gt;",$F$4:F324,"أحد الشركاء"))</f>
        <v/>
      </c>
    </row>
    <row r="325" spans="1:17" ht="18.75" customHeight="1" x14ac:dyDescent="0.25">
      <c r="A325" s="25"/>
      <c r="B325" s="26"/>
      <c r="C325" s="27"/>
      <c r="D325" s="28"/>
      <c r="E325" s="29"/>
      <c r="F325" s="30"/>
      <c r="G325" s="31"/>
      <c r="H325" s="32"/>
      <c r="I325" s="33"/>
      <c r="J325" s="34" t="str">
        <f>IF(AND(D325="",E325="",A325="",B325="",C325=""),"", IFERROR(IF(J324="",D2,J324),D2)+IF(OR(E325="",H325="معلق"),0,E325)-IF(OR(G325="أبو اسحاق",G325="أبو آدم",G325="أبو اسحاق ",G325="أبو آدم "),0,IF(D325="",0,D325)))</f>
        <v/>
      </c>
      <c r="K325" s="35"/>
      <c r="L325" t="str">
        <f>IF(E324&gt;0,COUNTIF($E$4:E324,"&gt;0"),"")</f>
        <v/>
      </c>
      <c r="M325" t="str">
        <f>IF(AND(D324&gt;0,G324="المحفظة"),COUNTIFS($D$4:D324,"&gt;"&amp;0,$G$4:G324,"المحفظة"),"")</f>
        <v/>
      </c>
      <c r="N325" t="str">
        <f>IF(AND(OR('طباعة كشف الحساب'!$C$2="الكل",MONTH(A325)=IFERROR(MATCH('طباعة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الحساب'!$F$2="الكل",YEAR(A325)=IFERROR(VALUE('طباعة كشف الحساب'!$F$2),0)),A325&lt;&gt;""),IFERROR(MAX($N$4:N324),0)+1,"")</f>
        <v/>
      </c>
      <c r="O325" t="str">
        <f>IF(AND(D324&gt;0,F324="أحد الشركاء"),COUNTIFS($D$4:D324,"&gt;"&amp;0,$F$4:F324,"أحد الشركاء"),"")</f>
        <v/>
      </c>
      <c r="P325" t="str">
        <f>IF(OR($A325="",$F325="أحد الشركاء",AND($D325="",$E325="")),"",SUMPRODUCT(($A$4:$A325&lt;&gt;"")*($F$4:$F325&lt;&gt;"أحد الشركاء")*((($D$4:$D325&lt;&gt;"")+($E$4:$E325&lt;&gt;""))&gt;0)))</f>
        <v/>
      </c>
      <c r="Q325" t="str">
        <f>IF(OR($A325="",$F325&lt;&gt;"أحد الشركاء"),"",COUNTIFS($A$4:A325,"&lt;&gt;",$F$4:F325,"أحد الشركاء"))</f>
        <v/>
      </c>
    </row>
    <row r="326" spans="1:17" ht="18.75" customHeight="1" x14ac:dyDescent="0.25">
      <c r="A326" s="25"/>
      <c r="B326" s="36"/>
      <c r="C326" s="37"/>
      <c r="D326" s="38"/>
      <c r="E326" s="39"/>
      <c r="F326" s="136"/>
      <c r="G326" s="40"/>
      <c r="H326" s="41"/>
      <c r="I326" s="42"/>
      <c r="J326" s="43" t="str">
        <f>IF(AND(D326="",E326="",A326="",B326="",C326=""),"", IFERROR(IF(J325="",D2,J325),D2)+IF(OR(E326="",H326="معلق"),0,E326)-IF(OR(G326="أبو اسحاق",G326="أبو آدم",G326="أبو اسحاق ",G326="أبو آدم "),0,IF(D326="",0,D326)))</f>
        <v/>
      </c>
      <c r="K326" s="44"/>
      <c r="L326" t="str">
        <f>IF(E325&gt;0,COUNTIF($E$4:E325,"&gt;0"),"")</f>
        <v/>
      </c>
      <c r="M326" t="str">
        <f>IF(AND(D325&gt;0,G325="المحفظة"),COUNTIFS($D$4:D325,"&gt;"&amp;0,$G$4:G325,"المحفظة"),"")</f>
        <v/>
      </c>
      <c r="N326" t="str">
        <f>IF(AND(OR('طباعة كشف الحساب'!$C$2="الكل",MONTH(A326)=IFERROR(MATCH('طباعة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الحساب'!$F$2="الكل",YEAR(A326)=IFERROR(VALUE('طباعة كشف الحساب'!$F$2),0)),A326&lt;&gt;""),IFERROR(MAX($N$4:N325),0)+1,"")</f>
        <v/>
      </c>
      <c r="O326" t="str">
        <f>IF(AND(D325&gt;0,F325="أحد الشركاء"),COUNTIFS($D$4:D325,"&gt;"&amp;0,$F$4:F325,"أحد الشركاء"),"")</f>
        <v/>
      </c>
      <c r="P326" t="str">
        <f>IF(OR($A326="",$F326="أحد الشركاء",AND($D326="",$E326="")),"",SUMPRODUCT(($A$4:$A326&lt;&gt;"")*($F$4:$F326&lt;&gt;"أحد الشركاء")*((($D$4:$D326&lt;&gt;"")+($E$4:$E326&lt;&gt;""))&gt;0)))</f>
        <v/>
      </c>
      <c r="Q326" t="str">
        <f>IF(OR($A326="",$F326&lt;&gt;"أحد الشركاء"),"",COUNTIFS($A$4:A326,"&lt;&gt;",$F$4:F326,"أحد الشركاء"))</f>
        <v/>
      </c>
    </row>
    <row r="327" spans="1:17" ht="18.75" customHeight="1" x14ac:dyDescent="0.25">
      <c r="A327" s="25"/>
      <c r="B327" s="26"/>
      <c r="C327" s="27"/>
      <c r="D327" s="28"/>
      <c r="E327" s="29"/>
      <c r="F327" s="30"/>
      <c r="G327" s="31"/>
      <c r="H327" s="32"/>
      <c r="I327" s="33"/>
      <c r="J327" s="34" t="str">
        <f>IF(AND(D327="",E327="",A327="",B327="",C327=""),"", IFERROR(IF(J326="",D2,J326),D2)+IF(OR(E327="",H327="معلق"),0,E327)-IF(OR(G327="أبو اسحاق",G327="أبو آدم",G327="أبو اسحاق ",G327="أبو آدم "),0,IF(D327="",0,D327)))</f>
        <v/>
      </c>
      <c r="K327" s="35"/>
      <c r="L327" t="str">
        <f>IF(E326&gt;0,COUNTIF($E$4:E326,"&gt;0"),"")</f>
        <v/>
      </c>
      <c r="M327" t="str">
        <f>IF(AND(D326&gt;0,G326="المحفظة"),COUNTIFS($D$4:D326,"&gt;"&amp;0,$G$4:G326,"المحفظة"),"")</f>
        <v/>
      </c>
      <c r="N327" t="str">
        <f>IF(AND(OR('طباعة كشف الحساب'!$C$2="الكل",MONTH(A327)=IFERROR(MATCH('طباعة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الحساب'!$F$2="الكل",YEAR(A327)=IFERROR(VALUE('طباعة كشف الحساب'!$F$2),0)),A327&lt;&gt;""),IFERROR(MAX($N$4:N326),0)+1,"")</f>
        <v/>
      </c>
      <c r="O327" t="str">
        <f>IF(AND(D326&gt;0,F326="أحد الشركاء"),COUNTIFS($D$4:D326,"&gt;"&amp;0,$F$4:F326,"أحد الشركاء"),"")</f>
        <v/>
      </c>
      <c r="P327" t="str">
        <f>IF(OR($A327="",$F327="أحد الشركاء",AND($D327="",$E327="")),"",SUMPRODUCT(($A$4:$A327&lt;&gt;"")*($F$4:$F327&lt;&gt;"أحد الشركاء")*((($D$4:$D327&lt;&gt;"")+($E$4:$E327&lt;&gt;""))&gt;0)))</f>
        <v/>
      </c>
      <c r="Q327" t="str">
        <f>IF(OR($A327="",$F327&lt;&gt;"أحد الشركاء"),"",COUNTIFS($A$4:A327,"&lt;&gt;",$F$4:F327,"أحد الشركاء"))</f>
        <v/>
      </c>
    </row>
    <row r="328" spans="1:17" ht="18.75" customHeight="1" x14ac:dyDescent="0.25">
      <c r="A328" s="25"/>
      <c r="B328" s="36"/>
      <c r="C328" s="37"/>
      <c r="D328" s="38"/>
      <c r="E328" s="39"/>
      <c r="F328" s="136"/>
      <c r="G328" s="40"/>
      <c r="H328" s="41"/>
      <c r="I328" s="42"/>
      <c r="J328" s="43" t="str">
        <f>IF(AND(D328="",E328="",A328="",B328="",C328=""),"", IFERROR(IF(J327="",D2,J327),D2)+IF(OR(E328="",H328="معلق"),0,E328)-IF(OR(G328="أبو اسحاق",G328="أبو آدم",G328="أبو اسحاق ",G328="أبو آدم "),0,IF(D328="",0,D328)))</f>
        <v/>
      </c>
      <c r="K328" s="44"/>
      <c r="L328" t="str">
        <f>IF(E327&gt;0,COUNTIF($E$4:E327,"&gt;0"),"")</f>
        <v/>
      </c>
      <c r="M328" t="str">
        <f>IF(AND(D327&gt;0,G327="المحفظة"),COUNTIFS($D$4:D327,"&gt;"&amp;0,$G$4:G327,"المحفظة"),"")</f>
        <v/>
      </c>
      <c r="N328" t="str">
        <f>IF(AND(OR('طباعة كشف الحساب'!$C$2="الكل",MONTH(A328)=IFERROR(MATCH('طباعة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الحساب'!$F$2="الكل",YEAR(A328)=IFERROR(VALUE('طباعة كشف الحساب'!$F$2),0)),A328&lt;&gt;""),IFERROR(MAX($N$4:N327),0)+1,"")</f>
        <v/>
      </c>
      <c r="O328" t="str">
        <f>IF(AND(D327&gt;0,F327="أحد الشركاء"),COUNTIFS($D$4:D327,"&gt;"&amp;0,$F$4:F327,"أحد الشركاء"),"")</f>
        <v/>
      </c>
      <c r="P328" t="str">
        <f>IF(OR($A328="",$F328="أحد الشركاء",AND($D328="",$E328="")),"",SUMPRODUCT(($A$4:$A328&lt;&gt;"")*($F$4:$F328&lt;&gt;"أحد الشركاء")*((($D$4:$D328&lt;&gt;"")+($E$4:$E328&lt;&gt;""))&gt;0)))</f>
        <v/>
      </c>
      <c r="Q328" t="str">
        <f>IF(OR($A328="",$F328&lt;&gt;"أحد الشركاء"),"",COUNTIFS($A$4:A328,"&lt;&gt;",$F$4:F328,"أحد الشركاء"))</f>
        <v/>
      </c>
    </row>
    <row r="329" spans="1:17" ht="18.75" customHeight="1" x14ac:dyDescent="0.25">
      <c r="A329" s="25"/>
      <c r="B329" s="26"/>
      <c r="C329" s="27"/>
      <c r="D329" s="28"/>
      <c r="E329" s="29"/>
      <c r="F329" s="30"/>
      <c r="G329" s="31"/>
      <c r="H329" s="32"/>
      <c r="I329" s="33"/>
      <c r="J329" s="34" t="str">
        <f>IF(AND(D329="",E329="",A329="",B329="",C329=""),"", IFERROR(IF(J328="",D2,J328),D2)+IF(OR(E329="",H329="معلق"),0,E329)-IF(OR(G329="أبو اسحاق",G329="أبو آدم",G329="أبو اسحاق ",G329="أبو آدم "),0,IF(D329="",0,D329)))</f>
        <v/>
      </c>
      <c r="K329" s="35"/>
      <c r="L329" t="str">
        <f>IF(E328&gt;0,COUNTIF($E$4:E328,"&gt;0"),"")</f>
        <v/>
      </c>
      <c r="M329" t="str">
        <f>IF(AND(D328&gt;0,G328="المحفظة"),COUNTIFS($D$4:D328,"&gt;"&amp;0,$G$4:G328,"المحفظة"),"")</f>
        <v/>
      </c>
      <c r="N329" t="str">
        <f>IF(AND(OR('طباعة كشف الحساب'!$C$2="الكل",MONTH(A329)=IFERROR(MATCH('طباعة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الحساب'!$F$2="الكل",YEAR(A329)=IFERROR(VALUE('طباعة كشف الحساب'!$F$2),0)),A329&lt;&gt;""),IFERROR(MAX($N$4:N328),0)+1,"")</f>
        <v/>
      </c>
      <c r="O329" t="str">
        <f>IF(AND(D328&gt;0,F328="أحد الشركاء"),COUNTIFS($D$4:D328,"&gt;"&amp;0,$F$4:F328,"أحد الشركاء"),"")</f>
        <v/>
      </c>
      <c r="P329" t="str">
        <f>IF(OR($A329="",$F329="أحد الشركاء",AND($D329="",$E329="")),"",SUMPRODUCT(($A$4:$A329&lt;&gt;"")*($F$4:$F329&lt;&gt;"أحد الشركاء")*((($D$4:$D329&lt;&gt;"")+($E$4:$E329&lt;&gt;""))&gt;0)))</f>
        <v/>
      </c>
      <c r="Q329" t="str">
        <f>IF(OR($A329="",$F329&lt;&gt;"أحد الشركاء"),"",COUNTIFS($A$4:A329,"&lt;&gt;",$F$4:F329,"أحد الشركاء"))</f>
        <v/>
      </c>
    </row>
    <row r="330" spans="1:17" ht="18.75" customHeight="1" x14ac:dyDescent="0.25">
      <c r="A330" s="25"/>
      <c r="B330" s="36"/>
      <c r="C330" s="37"/>
      <c r="D330" s="38"/>
      <c r="E330" s="39"/>
      <c r="F330" s="136"/>
      <c r="G330" s="40"/>
      <c r="H330" s="41"/>
      <c r="I330" s="42"/>
      <c r="J330" s="43" t="str">
        <f>IF(AND(D330="",E330="",A330="",B330="",C330=""),"", IFERROR(IF(J329="",D2,J329),D2)+IF(OR(E330="",H330="معلق"),0,E330)-IF(OR(G330="أبو اسحاق",G330="أبو آدم",G330="أبو اسحاق ",G330="أبو آدم "),0,IF(D330="",0,D330)))</f>
        <v/>
      </c>
      <c r="K330" s="44"/>
      <c r="L330" t="str">
        <f>IF(E329&gt;0,COUNTIF($E$4:E329,"&gt;0"),"")</f>
        <v/>
      </c>
      <c r="M330" t="str">
        <f>IF(AND(D329&gt;0,G329="المحفظة"),COUNTIFS($D$4:D329,"&gt;"&amp;0,$G$4:G329,"المحفظة"),"")</f>
        <v/>
      </c>
      <c r="N330" t="str">
        <f>IF(AND(OR('طباعة كشف الحساب'!$C$2="الكل",MONTH(A330)=IFERROR(MATCH('طباعة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الحساب'!$F$2="الكل",YEAR(A330)=IFERROR(VALUE('طباعة كشف الحساب'!$F$2),0)),A330&lt;&gt;""),IFERROR(MAX($N$4:N329),0)+1,"")</f>
        <v/>
      </c>
      <c r="O330" t="str">
        <f>IF(AND(D329&gt;0,F329="أحد الشركاء"),COUNTIFS($D$4:D329,"&gt;"&amp;0,$F$4:F329,"أحد الشركاء"),"")</f>
        <v/>
      </c>
      <c r="P330" t="str">
        <f>IF(OR($A330="",$F330="أحد الشركاء",AND($D330="",$E330="")),"",SUMPRODUCT(($A$4:$A330&lt;&gt;"")*($F$4:$F330&lt;&gt;"أحد الشركاء")*((($D$4:$D330&lt;&gt;"")+($E$4:$E330&lt;&gt;""))&gt;0)))</f>
        <v/>
      </c>
      <c r="Q330" t="str">
        <f>IF(OR($A330="",$F330&lt;&gt;"أحد الشركاء"),"",COUNTIFS($A$4:A330,"&lt;&gt;",$F$4:F330,"أحد الشركاء"))</f>
        <v/>
      </c>
    </row>
    <row r="331" spans="1:17" ht="18.75" customHeight="1" x14ac:dyDescent="0.25">
      <c r="A331" s="25"/>
      <c r="B331" s="26"/>
      <c r="C331" s="27"/>
      <c r="D331" s="28"/>
      <c r="E331" s="29"/>
      <c r="F331" s="30"/>
      <c r="G331" s="31"/>
      <c r="H331" s="32"/>
      <c r="I331" s="33"/>
      <c r="J331" s="34" t="str">
        <f>IF(AND(D331="",E331="",A331="",B331="",C331=""),"", IFERROR(IF(J330="",D2,J330),D2)+IF(OR(E331="",H331="معلق"),0,E331)-IF(OR(G331="أبو اسحاق",G331="أبو آدم",G331="أبو اسحاق ",G331="أبو آدم "),0,IF(D331="",0,D331)))</f>
        <v/>
      </c>
      <c r="K331" s="35"/>
      <c r="L331" t="str">
        <f>IF(E330&gt;0,COUNTIF($E$4:E330,"&gt;0"),"")</f>
        <v/>
      </c>
      <c r="M331" t="str">
        <f>IF(AND(D330&gt;0,G330="المحفظة"),COUNTIFS($D$4:D330,"&gt;"&amp;0,$G$4:G330,"المحفظة"),"")</f>
        <v/>
      </c>
      <c r="N331" t="str">
        <f>IF(AND(OR('طباعة كشف الحساب'!$C$2="الكل",MONTH(A331)=IFERROR(MATCH('طباعة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الحساب'!$F$2="الكل",YEAR(A331)=IFERROR(VALUE('طباعة كشف الحساب'!$F$2),0)),A331&lt;&gt;""),IFERROR(MAX($N$4:N330),0)+1,"")</f>
        <v/>
      </c>
      <c r="O331" t="str">
        <f>IF(AND(D330&gt;0,F330="أحد الشركاء"),COUNTIFS($D$4:D330,"&gt;"&amp;0,$F$4:F330,"أحد الشركاء"),"")</f>
        <v/>
      </c>
      <c r="P331" t="str">
        <f>IF(OR($A331="",$F331="أحد الشركاء",AND($D331="",$E331="")),"",SUMPRODUCT(($A$4:$A331&lt;&gt;"")*($F$4:$F331&lt;&gt;"أحد الشركاء")*((($D$4:$D331&lt;&gt;"")+($E$4:$E331&lt;&gt;""))&gt;0)))</f>
        <v/>
      </c>
      <c r="Q331" t="str">
        <f>IF(OR($A331="",$F331&lt;&gt;"أحد الشركاء"),"",COUNTIFS($A$4:A331,"&lt;&gt;",$F$4:F331,"أحد الشركاء"))</f>
        <v/>
      </c>
    </row>
    <row r="332" spans="1:17" ht="18.75" customHeight="1" x14ac:dyDescent="0.25">
      <c r="A332" s="25"/>
      <c r="B332" s="36"/>
      <c r="C332" s="37"/>
      <c r="D332" s="38"/>
      <c r="E332" s="39"/>
      <c r="F332" s="136"/>
      <c r="G332" s="40"/>
      <c r="H332" s="41"/>
      <c r="I332" s="42"/>
      <c r="J332" s="43" t="str">
        <f>IF(AND(D332="",E332="",A332="",B332="",C332=""),"", IFERROR(IF(J331="",D2,J331),D2)+IF(OR(E332="",H332="معلق"),0,E332)-IF(OR(G332="أبو اسحاق",G332="أبو آدم",G332="أبو اسحاق ",G332="أبو آدم "),0,IF(D332="",0,D332)))</f>
        <v/>
      </c>
      <c r="K332" s="44"/>
      <c r="L332" t="str">
        <f>IF(E331&gt;0,COUNTIF($E$4:E331,"&gt;0"),"")</f>
        <v/>
      </c>
      <c r="M332" t="str">
        <f>IF(AND(D331&gt;0,G331="المحفظة"),COUNTIFS($D$4:D331,"&gt;"&amp;0,$G$4:G331,"المحفظة"),"")</f>
        <v/>
      </c>
      <c r="N332" t="str">
        <f>IF(AND(OR('طباعة كشف الحساب'!$C$2="الكل",MONTH(A332)=IFERROR(MATCH('طباعة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الحساب'!$F$2="الكل",YEAR(A332)=IFERROR(VALUE('طباعة كشف الحساب'!$F$2),0)),A332&lt;&gt;""),IFERROR(MAX($N$4:N331),0)+1,"")</f>
        <v/>
      </c>
      <c r="O332" t="str">
        <f>IF(AND(D331&gt;0,F331="أحد الشركاء"),COUNTIFS($D$4:D331,"&gt;"&amp;0,$F$4:F331,"أحد الشركاء"),"")</f>
        <v/>
      </c>
      <c r="P332" t="str">
        <f>IF(OR($A332="",$F332="أحد الشركاء",AND($D332="",$E332="")),"",SUMPRODUCT(($A$4:$A332&lt;&gt;"")*($F$4:$F332&lt;&gt;"أحد الشركاء")*((($D$4:$D332&lt;&gt;"")+($E$4:$E332&lt;&gt;""))&gt;0)))</f>
        <v/>
      </c>
      <c r="Q332" t="str">
        <f>IF(OR($A332="",$F332&lt;&gt;"أحد الشركاء"),"",COUNTIFS($A$4:A332,"&lt;&gt;",$F$4:F332,"أحد الشركاء"))</f>
        <v/>
      </c>
    </row>
    <row r="333" spans="1:17" ht="18.75" customHeight="1" x14ac:dyDescent="0.25">
      <c r="A333" s="25"/>
      <c r="B333" s="26"/>
      <c r="C333" s="27"/>
      <c r="D333" s="28"/>
      <c r="E333" s="29"/>
      <c r="F333" s="30"/>
      <c r="G333" s="31"/>
      <c r="H333" s="32"/>
      <c r="I333" s="33"/>
      <c r="J333" s="34" t="str">
        <f>IF(AND(D333="",E333="",A333="",B333="",C333=""),"", IFERROR(IF(J332="",D2,J332),D2)+IF(OR(E333="",H333="معلق"),0,E333)-IF(OR(G333="أبو اسحاق",G333="أبو آدم",G333="أبو اسحاق ",G333="أبو آدم "),0,IF(D333="",0,D333)))</f>
        <v/>
      </c>
      <c r="K333" s="35"/>
      <c r="L333" t="str">
        <f>IF(E332&gt;0,COUNTIF($E$4:E332,"&gt;0"),"")</f>
        <v/>
      </c>
      <c r="M333" t="str">
        <f>IF(AND(D332&gt;0,G332="المحفظة"),COUNTIFS($D$4:D332,"&gt;"&amp;0,$G$4:G332,"المحفظة"),"")</f>
        <v/>
      </c>
      <c r="N333" t="str">
        <f>IF(AND(OR('طباعة كشف الحساب'!$C$2="الكل",MONTH(A333)=IFERROR(MATCH('طباعة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الحساب'!$F$2="الكل",YEAR(A333)=IFERROR(VALUE('طباعة كشف الحساب'!$F$2),0)),A333&lt;&gt;""),IFERROR(MAX($N$4:N332),0)+1,"")</f>
        <v/>
      </c>
      <c r="O333" t="str">
        <f>IF(AND(D332&gt;0,F332="أحد الشركاء"),COUNTIFS($D$4:D332,"&gt;"&amp;0,$F$4:F332,"أحد الشركاء"),"")</f>
        <v/>
      </c>
      <c r="P333" t="str">
        <f>IF(OR($A333="",$F333="أحد الشركاء",AND($D333="",$E333="")),"",SUMPRODUCT(($A$4:$A333&lt;&gt;"")*($F$4:$F333&lt;&gt;"أحد الشركاء")*((($D$4:$D333&lt;&gt;"")+($E$4:$E333&lt;&gt;""))&gt;0)))</f>
        <v/>
      </c>
      <c r="Q333" t="str">
        <f>IF(OR($A333="",$F333&lt;&gt;"أحد الشركاء"),"",COUNTIFS($A$4:A333,"&lt;&gt;",$F$4:F333,"أحد الشركاء"))</f>
        <v/>
      </c>
    </row>
    <row r="334" spans="1:17" ht="18.75" customHeight="1" x14ac:dyDescent="0.25">
      <c r="A334" s="25"/>
      <c r="B334" s="36"/>
      <c r="C334" s="37"/>
      <c r="D334" s="38"/>
      <c r="E334" s="39"/>
      <c r="F334" s="136"/>
      <c r="G334" s="40"/>
      <c r="H334" s="41"/>
      <c r="I334" s="42"/>
      <c r="J334" s="43" t="str">
        <f>IF(AND(D334="",E334="",A334="",B334="",C334=""),"", IFERROR(IF(J333="",D2,J333),D2)+IF(OR(E334="",H334="معلق"),0,E334)-IF(OR(G334="أبو اسحاق",G334="أبو آدم",G334="أبو اسحاق ",G334="أبو آدم "),0,IF(D334="",0,D334)))</f>
        <v/>
      </c>
      <c r="K334" s="44"/>
      <c r="L334" t="str">
        <f>IF(E333&gt;0,COUNTIF($E$4:E333,"&gt;0"),"")</f>
        <v/>
      </c>
      <c r="M334" t="str">
        <f>IF(AND(D333&gt;0,G333="المحفظة"),COUNTIFS($D$4:D333,"&gt;"&amp;0,$G$4:G333,"المحفظة"),"")</f>
        <v/>
      </c>
      <c r="N334" t="str">
        <f>IF(AND(OR('طباعة كشف الحساب'!$C$2="الكل",MONTH(A334)=IFERROR(MATCH('طباعة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الحساب'!$F$2="الكل",YEAR(A334)=IFERROR(VALUE('طباعة كشف الحساب'!$F$2),0)),A334&lt;&gt;""),IFERROR(MAX($N$4:N333),0)+1,"")</f>
        <v/>
      </c>
      <c r="O334" t="str">
        <f>IF(AND(D333&gt;0,F333="أحد الشركاء"),COUNTIFS($D$4:D333,"&gt;"&amp;0,$F$4:F333,"أحد الشركاء"),"")</f>
        <v/>
      </c>
      <c r="P334" t="str">
        <f>IF(OR($A334="",$F334="أحد الشركاء",AND($D334="",$E334="")),"",SUMPRODUCT(($A$4:$A334&lt;&gt;"")*($F$4:$F334&lt;&gt;"أحد الشركاء")*((($D$4:$D334&lt;&gt;"")+($E$4:$E334&lt;&gt;""))&gt;0)))</f>
        <v/>
      </c>
      <c r="Q334" t="str">
        <f>IF(OR($A334="",$F334&lt;&gt;"أحد الشركاء"),"",COUNTIFS($A$4:A334,"&lt;&gt;",$F$4:F334,"أحد الشركاء"))</f>
        <v/>
      </c>
    </row>
    <row r="335" spans="1:17" ht="18.75" customHeight="1" x14ac:dyDescent="0.25">
      <c r="A335" s="25"/>
      <c r="B335" s="26"/>
      <c r="C335" s="27"/>
      <c r="D335" s="28"/>
      <c r="E335" s="29"/>
      <c r="F335" s="30"/>
      <c r="G335" s="31"/>
      <c r="H335" s="32"/>
      <c r="I335" s="33"/>
      <c r="J335" s="34" t="str">
        <f>IF(AND(D335="",E335="",A335="",B335="",C335=""),"", IFERROR(IF(J334="",D2,J334),D2)+IF(OR(E335="",H335="معلق"),0,E335)-IF(OR(G335="أبو اسحاق",G335="أبو آدم",G335="أبو اسحاق ",G335="أبو آدم "),0,IF(D335="",0,D335)))</f>
        <v/>
      </c>
      <c r="K335" s="35"/>
      <c r="L335" t="str">
        <f>IF(E334&gt;0,COUNTIF($E$4:E334,"&gt;0"),"")</f>
        <v/>
      </c>
      <c r="M335" t="str">
        <f>IF(AND(D334&gt;0,G334="المحفظة"),COUNTIFS($D$4:D334,"&gt;"&amp;0,$G$4:G334,"المحفظة"),"")</f>
        <v/>
      </c>
      <c r="N335" t="str">
        <f>IF(AND(OR('طباعة كشف الحساب'!$C$2="الكل",MONTH(A335)=IFERROR(MATCH('طباعة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الحساب'!$F$2="الكل",YEAR(A335)=IFERROR(VALUE('طباعة كشف الحساب'!$F$2),0)),A335&lt;&gt;""),IFERROR(MAX($N$4:N334),0)+1,"")</f>
        <v/>
      </c>
      <c r="O335" t="str">
        <f>IF(AND(D334&gt;0,F334="أحد الشركاء"),COUNTIFS($D$4:D334,"&gt;"&amp;0,$F$4:F334,"أحد الشركاء"),"")</f>
        <v/>
      </c>
      <c r="P335" t="str">
        <f>IF(OR($A335="",$F335="أحد الشركاء",AND($D335="",$E335="")),"",SUMPRODUCT(($A$4:$A335&lt;&gt;"")*($F$4:$F335&lt;&gt;"أحد الشركاء")*((($D$4:$D335&lt;&gt;"")+($E$4:$E335&lt;&gt;""))&gt;0)))</f>
        <v/>
      </c>
      <c r="Q335" t="str">
        <f>IF(OR($A335="",$F335&lt;&gt;"أحد الشركاء"),"",COUNTIFS($A$4:A335,"&lt;&gt;",$F$4:F335,"أحد الشركاء"))</f>
        <v/>
      </c>
    </row>
    <row r="336" spans="1:17" ht="18.75" customHeight="1" x14ac:dyDescent="0.25">
      <c r="A336" s="25"/>
      <c r="B336" s="36"/>
      <c r="C336" s="37"/>
      <c r="D336" s="38"/>
      <c r="E336" s="39"/>
      <c r="F336" s="136"/>
      <c r="G336" s="40"/>
      <c r="H336" s="41"/>
      <c r="I336" s="42"/>
      <c r="J336" s="43" t="str">
        <f>IF(AND(D336="",E336="",A336="",B336="",C336=""),"", IFERROR(IF(J335="",D2,J335),D2)+IF(OR(E336="",H336="معلق"),0,E336)-IF(OR(G336="أبو اسحاق",G336="أبو آدم",G336="أبو اسحاق ",G336="أبو آدم "),0,IF(D336="",0,D336)))</f>
        <v/>
      </c>
      <c r="K336" s="44"/>
      <c r="L336" t="str">
        <f>IF(E335&gt;0,COUNTIF($E$4:E335,"&gt;0"),"")</f>
        <v/>
      </c>
      <c r="M336" t="str">
        <f>IF(AND(D335&gt;0,G335="المحفظة"),COUNTIFS($D$4:D335,"&gt;"&amp;0,$G$4:G335,"المحفظة"),"")</f>
        <v/>
      </c>
      <c r="N336" t="str">
        <f>IF(AND(OR('طباعة كشف الحساب'!$C$2="الكل",MONTH(A336)=IFERROR(MATCH('طباعة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الحساب'!$F$2="الكل",YEAR(A336)=IFERROR(VALUE('طباعة كشف الحساب'!$F$2),0)),A336&lt;&gt;""),IFERROR(MAX($N$4:N335),0)+1,"")</f>
        <v/>
      </c>
      <c r="O336" t="str">
        <f>IF(AND(D335&gt;0,F335="أحد الشركاء"),COUNTIFS($D$4:D335,"&gt;"&amp;0,$F$4:F335,"أحد الشركاء"),"")</f>
        <v/>
      </c>
      <c r="P336" t="str">
        <f>IF(OR($A336="",$F336="أحد الشركاء",AND($D336="",$E336="")),"",SUMPRODUCT(($A$4:$A336&lt;&gt;"")*($F$4:$F336&lt;&gt;"أحد الشركاء")*((($D$4:$D336&lt;&gt;"")+($E$4:$E336&lt;&gt;""))&gt;0)))</f>
        <v/>
      </c>
      <c r="Q336" t="str">
        <f>IF(OR($A336="",$F336&lt;&gt;"أحد الشركاء"),"",COUNTIFS($A$4:A336,"&lt;&gt;",$F$4:F336,"أحد الشركاء"))</f>
        <v/>
      </c>
    </row>
    <row r="337" spans="1:17" ht="18.75" customHeight="1" x14ac:dyDescent="0.25">
      <c r="A337" s="25"/>
      <c r="B337" s="26"/>
      <c r="C337" s="27"/>
      <c r="D337" s="28"/>
      <c r="E337" s="29"/>
      <c r="F337" s="30"/>
      <c r="G337" s="31"/>
      <c r="H337" s="32"/>
      <c r="I337" s="33"/>
      <c r="J337" s="34" t="str">
        <f>IF(AND(D337="",E337="",A337="",B337="",C337=""),"", IFERROR(IF(J336="",D2,J336),D2)+IF(OR(E337="",H337="معلق"),0,E337)-IF(OR(G337="أبو اسحاق",G337="أبو آدم",G337="أبو اسحاق ",G337="أبو آدم "),0,IF(D337="",0,D337)))</f>
        <v/>
      </c>
      <c r="K337" s="35"/>
      <c r="L337" t="str">
        <f>IF(E336&gt;0,COUNTIF($E$4:E336,"&gt;0"),"")</f>
        <v/>
      </c>
      <c r="M337" t="str">
        <f>IF(AND(D336&gt;0,G336="المحفظة"),COUNTIFS($D$4:D336,"&gt;"&amp;0,$G$4:G336,"المحفظة"),"")</f>
        <v/>
      </c>
      <c r="N337" t="str">
        <f>IF(AND(OR('طباعة كشف الحساب'!$C$2="الكل",MONTH(A337)=IFERROR(MATCH('طباعة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الحساب'!$F$2="الكل",YEAR(A337)=IFERROR(VALUE('طباعة كشف الحساب'!$F$2),0)),A337&lt;&gt;""),IFERROR(MAX($N$4:N336),0)+1,"")</f>
        <v/>
      </c>
      <c r="O337" t="str">
        <f>IF(AND(D336&gt;0,F336="أحد الشركاء"),COUNTIFS($D$4:D336,"&gt;"&amp;0,$F$4:F336,"أحد الشركاء"),"")</f>
        <v/>
      </c>
      <c r="P337" t="str">
        <f>IF(OR($A337="",$F337="أحد الشركاء",AND($D337="",$E337="")),"",SUMPRODUCT(($A$4:$A337&lt;&gt;"")*($F$4:$F337&lt;&gt;"أحد الشركاء")*((($D$4:$D337&lt;&gt;"")+($E$4:$E337&lt;&gt;""))&gt;0)))</f>
        <v/>
      </c>
      <c r="Q337" t="str">
        <f>IF(OR($A337="",$F337&lt;&gt;"أحد الشركاء"),"",COUNTIFS($A$4:A337,"&lt;&gt;",$F$4:F337,"أحد الشركاء"))</f>
        <v/>
      </c>
    </row>
    <row r="338" spans="1:17" ht="18.75" customHeight="1" x14ac:dyDescent="0.25">
      <c r="A338" s="25"/>
      <c r="B338" s="36"/>
      <c r="C338" s="37"/>
      <c r="D338" s="38"/>
      <c r="E338" s="39"/>
      <c r="F338" s="136"/>
      <c r="G338" s="40"/>
      <c r="H338" s="41"/>
      <c r="I338" s="42"/>
      <c r="J338" s="43" t="str">
        <f>IF(AND(D338="",E338="",A338="",B338="",C338=""),"", IFERROR(IF(J337="",D2,J337),D2)+IF(OR(E338="",H338="معلق"),0,E338)-IF(OR(G338="أبو اسحاق",G338="أبو آدم",G338="أبو اسحاق ",G338="أبو آدم "),0,IF(D338="",0,D338)))</f>
        <v/>
      </c>
      <c r="K338" s="44"/>
      <c r="L338" t="str">
        <f>IF(E337&gt;0,COUNTIF($E$4:E337,"&gt;0"),"")</f>
        <v/>
      </c>
      <c r="M338" t="str">
        <f>IF(AND(D337&gt;0,G337="المحفظة"),COUNTIFS($D$4:D337,"&gt;"&amp;0,$G$4:G337,"المحفظة"),"")</f>
        <v/>
      </c>
      <c r="N338" t="str">
        <f>IF(AND(OR('طباعة كشف الحساب'!$C$2="الكل",MONTH(A338)=IFERROR(MATCH('طباعة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الحساب'!$F$2="الكل",YEAR(A338)=IFERROR(VALUE('طباعة كشف الحساب'!$F$2),0)),A338&lt;&gt;""),IFERROR(MAX($N$4:N337),0)+1,"")</f>
        <v/>
      </c>
      <c r="O338" t="str">
        <f>IF(AND(D337&gt;0,F337="أحد الشركاء"),COUNTIFS($D$4:D337,"&gt;"&amp;0,$F$4:F337,"أحد الشركاء"),"")</f>
        <v/>
      </c>
      <c r="P338" t="str">
        <f>IF(OR($A338="",$F338="أحد الشركاء",AND($D338="",$E338="")),"",SUMPRODUCT(($A$4:$A338&lt;&gt;"")*($F$4:$F338&lt;&gt;"أحد الشركاء")*((($D$4:$D338&lt;&gt;"")+($E$4:$E338&lt;&gt;""))&gt;0)))</f>
        <v/>
      </c>
      <c r="Q338" t="str">
        <f>IF(OR($A338="",$F338&lt;&gt;"أحد الشركاء"),"",COUNTIFS($A$4:A338,"&lt;&gt;",$F$4:F338,"أحد الشركاء"))</f>
        <v/>
      </c>
    </row>
    <row r="339" spans="1:17" ht="18.75" customHeight="1" x14ac:dyDescent="0.25">
      <c r="A339" s="25"/>
      <c r="B339" s="26"/>
      <c r="C339" s="27"/>
      <c r="D339" s="28"/>
      <c r="E339" s="29"/>
      <c r="F339" s="30"/>
      <c r="G339" s="31"/>
      <c r="H339" s="32"/>
      <c r="I339" s="33"/>
      <c r="J339" s="34" t="str">
        <f>IF(AND(D339="",E339="",A339="",B339="",C339=""),"", IFERROR(IF(J338="",D2,J338),D2)+IF(OR(E339="",H339="معلق"),0,E339)-IF(OR(G339="أبو اسحاق",G339="أبو آدم",G339="أبو اسحاق ",G339="أبو آدم "),0,IF(D339="",0,D339)))</f>
        <v/>
      </c>
      <c r="K339" s="35"/>
      <c r="L339" t="str">
        <f>IF(E338&gt;0,COUNTIF($E$4:E338,"&gt;0"),"")</f>
        <v/>
      </c>
      <c r="M339" t="str">
        <f>IF(AND(D338&gt;0,G338="المحفظة"),COUNTIFS($D$4:D338,"&gt;"&amp;0,$G$4:G338,"المحفظة"),"")</f>
        <v/>
      </c>
      <c r="N339" t="str">
        <f>IF(AND(OR('طباعة كشف الحساب'!$C$2="الكل",MONTH(A339)=IFERROR(MATCH('طباعة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الحساب'!$F$2="الكل",YEAR(A339)=IFERROR(VALUE('طباعة كشف الحساب'!$F$2),0)),A339&lt;&gt;""),IFERROR(MAX($N$4:N338),0)+1,"")</f>
        <v/>
      </c>
      <c r="O339" t="str">
        <f>IF(AND(D338&gt;0,F338="أحد الشركاء"),COUNTIFS($D$4:D338,"&gt;"&amp;0,$F$4:F338,"أحد الشركاء"),"")</f>
        <v/>
      </c>
      <c r="P339" t="str">
        <f>IF(OR($A339="",$F339="أحد الشركاء",AND($D339="",$E339="")),"",SUMPRODUCT(($A$4:$A339&lt;&gt;"")*($F$4:$F339&lt;&gt;"أحد الشركاء")*((($D$4:$D339&lt;&gt;"")+($E$4:$E339&lt;&gt;""))&gt;0)))</f>
        <v/>
      </c>
      <c r="Q339" t="str">
        <f>IF(OR($A339="",$F339&lt;&gt;"أحد الشركاء"),"",COUNTIFS($A$4:A339,"&lt;&gt;",$F$4:F339,"أحد الشركاء"))</f>
        <v/>
      </c>
    </row>
    <row r="340" spans="1:17" ht="18.75" customHeight="1" x14ac:dyDescent="0.25">
      <c r="A340" s="25"/>
      <c r="B340" s="36"/>
      <c r="C340" s="37"/>
      <c r="D340" s="38"/>
      <c r="E340" s="39"/>
      <c r="F340" s="136"/>
      <c r="G340" s="40"/>
      <c r="H340" s="41"/>
      <c r="I340" s="42"/>
      <c r="J340" s="43" t="str">
        <f>IF(AND(D340="",E340="",A340="",B340="",C340=""),"", IFERROR(IF(J339="",D2,J339),D2)+IF(OR(E340="",H340="معلق"),0,E340)-IF(OR(G340="أبو اسحاق",G340="أبو آدم",G340="أبو اسحاق ",G340="أبو آدم "),0,IF(D340="",0,D340)))</f>
        <v/>
      </c>
      <c r="K340" s="44"/>
      <c r="L340" t="str">
        <f>IF(E339&gt;0,COUNTIF($E$4:E339,"&gt;0"),"")</f>
        <v/>
      </c>
      <c r="M340" t="str">
        <f>IF(AND(D339&gt;0,G339="المحفظة"),COUNTIFS($D$4:D339,"&gt;"&amp;0,$G$4:G339,"المحفظة"),"")</f>
        <v/>
      </c>
      <c r="N340" t="str">
        <f>IF(AND(OR('طباعة كشف الحساب'!$C$2="الكل",MONTH(A340)=IFERROR(MATCH('طباعة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الحساب'!$F$2="الكل",YEAR(A340)=IFERROR(VALUE('طباعة كشف الحساب'!$F$2),0)),A340&lt;&gt;""),IFERROR(MAX($N$4:N339),0)+1,"")</f>
        <v/>
      </c>
      <c r="O340" t="str">
        <f>IF(AND(D339&gt;0,F339="أحد الشركاء"),COUNTIFS($D$4:D339,"&gt;"&amp;0,$F$4:F339,"أحد الشركاء"),"")</f>
        <v/>
      </c>
      <c r="P340" t="str">
        <f>IF(OR($A340="",$F340="أحد الشركاء",AND($D340="",$E340="")),"",SUMPRODUCT(($A$4:$A340&lt;&gt;"")*($F$4:$F340&lt;&gt;"أحد الشركاء")*((($D$4:$D340&lt;&gt;"")+($E$4:$E340&lt;&gt;""))&gt;0)))</f>
        <v/>
      </c>
      <c r="Q340" t="str">
        <f>IF(OR($A340="",$F340&lt;&gt;"أحد الشركاء"),"",COUNTIFS($A$4:A340,"&lt;&gt;",$F$4:F340,"أحد الشركاء"))</f>
        <v/>
      </c>
    </row>
    <row r="341" spans="1:17" ht="18.75" customHeight="1" x14ac:dyDescent="0.25">
      <c r="A341" s="25"/>
      <c r="B341" s="26"/>
      <c r="C341" s="27"/>
      <c r="D341" s="28"/>
      <c r="E341" s="29"/>
      <c r="F341" s="30"/>
      <c r="G341" s="31"/>
      <c r="H341" s="32"/>
      <c r="I341" s="33"/>
      <c r="J341" s="34" t="str">
        <f>IF(AND(D341="",E341="",A341="",B341="",C341=""),"", IFERROR(IF(J340="",D2,J340),D2)+IF(OR(E341="",H341="معلق"),0,E341)-IF(OR(G341="أبو اسحاق",G341="أبو آدم",G341="أبو اسحاق ",G341="أبو آدم "),0,IF(D341="",0,D341)))</f>
        <v/>
      </c>
      <c r="K341" s="35"/>
      <c r="L341" t="str">
        <f>IF(E340&gt;0,COUNTIF($E$4:E340,"&gt;0"),"")</f>
        <v/>
      </c>
      <c r="M341" t="str">
        <f>IF(AND(D340&gt;0,G340="المحفظة"),COUNTIFS($D$4:D340,"&gt;"&amp;0,$G$4:G340,"المحفظة"),"")</f>
        <v/>
      </c>
      <c r="N341" t="str">
        <f>IF(AND(OR('طباعة كشف الحساب'!$C$2="الكل",MONTH(A341)=IFERROR(MATCH('طباعة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الحساب'!$F$2="الكل",YEAR(A341)=IFERROR(VALUE('طباعة كشف الحساب'!$F$2),0)),A341&lt;&gt;""),IFERROR(MAX($N$4:N340),0)+1,"")</f>
        <v/>
      </c>
      <c r="O341" t="str">
        <f>IF(AND(D340&gt;0,F340="أحد الشركاء"),COUNTIFS($D$4:D340,"&gt;"&amp;0,$F$4:F340,"أحد الشركاء"),"")</f>
        <v/>
      </c>
      <c r="P341" t="str">
        <f>IF(OR($A341="",$F341="أحد الشركاء",AND($D341="",$E341="")),"",SUMPRODUCT(($A$4:$A341&lt;&gt;"")*($F$4:$F341&lt;&gt;"أحد الشركاء")*((($D$4:$D341&lt;&gt;"")+($E$4:$E341&lt;&gt;""))&gt;0)))</f>
        <v/>
      </c>
      <c r="Q341" t="str">
        <f>IF(OR($A341="",$F341&lt;&gt;"أحد الشركاء"),"",COUNTIFS($A$4:A341,"&lt;&gt;",$F$4:F341,"أحد الشركاء"))</f>
        <v/>
      </c>
    </row>
    <row r="342" spans="1:17" ht="18.75" customHeight="1" x14ac:dyDescent="0.25">
      <c r="A342" s="25"/>
      <c r="B342" s="36"/>
      <c r="C342" s="37"/>
      <c r="D342" s="38"/>
      <c r="E342" s="39"/>
      <c r="F342" s="136"/>
      <c r="G342" s="40"/>
      <c r="H342" s="41"/>
      <c r="I342" s="42"/>
      <c r="J342" s="43" t="str">
        <f>IF(AND(D342="",E342="",A342="",B342="",C342=""),"", IFERROR(IF(J341="",D2,J341),D2)+IF(OR(E342="",H342="معلق"),0,E342)-IF(OR(G342="أبو اسحاق",G342="أبو آدم",G342="أبو اسحاق ",G342="أبو آدم "),0,IF(D342="",0,D342)))</f>
        <v/>
      </c>
      <c r="K342" s="44"/>
      <c r="L342" t="str">
        <f>IF(E341&gt;0,COUNTIF($E$4:E341,"&gt;0"),"")</f>
        <v/>
      </c>
      <c r="M342" t="str">
        <f>IF(AND(D341&gt;0,G341="المحفظة"),COUNTIFS($D$4:D341,"&gt;"&amp;0,$G$4:G341,"المحفظة"),"")</f>
        <v/>
      </c>
      <c r="N342" t="str">
        <f>IF(AND(OR('طباعة كشف الحساب'!$C$2="الكل",MONTH(A342)=IFERROR(MATCH('طباعة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الحساب'!$F$2="الكل",YEAR(A342)=IFERROR(VALUE('طباعة كشف الحساب'!$F$2),0)),A342&lt;&gt;""),IFERROR(MAX($N$4:N341),0)+1,"")</f>
        <v/>
      </c>
      <c r="O342" t="str">
        <f>IF(AND(D341&gt;0,F341="أحد الشركاء"),COUNTIFS($D$4:D341,"&gt;"&amp;0,$F$4:F341,"أحد الشركاء"),"")</f>
        <v/>
      </c>
      <c r="P342" t="str">
        <f>IF(OR($A342="",$F342="أحد الشركاء",AND($D342="",$E342="")),"",SUMPRODUCT(($A$4:$A342&lt;&gt;"")*($F$4:$F342&lt;&gt;"أحد الشركاء")*((($D$4:$D342&lt;&gt;"")+($E$4:$E342&lt;&gt;""))&gt;0)))</f>
        <v/>
      </c>
      <c r="Q342" t="str">
        <f>IF(OR($A342="",$F342&lt;&gt;"أحد الشركاء"),"",COUNTIFS($A$4:A342,"&lt;&gt;",$F$4:F342,"أحد الشركاء"))</f>
        <v/>
      </c>
    </row>
    <row r="343" spans="1:17" ht="18.75" customHeight="1" x14ac:dyDescent="0.25">
      <c r="A343" s="25"/>
      <c r="B343" s="26"/>
      <c r="C343" s="27"/>
      <c r="D343" s="28"/>
      <c r="E343" s="29"/>
      <c r="F343" s="30"/>
      <c r="G343" s="31"/>
      <c r="H343" s="32"/>
      <c r="I343" s="33"/>
      <c r="J343" s="34" t="str">
        <f>IF(AND(D343="",E343="",A343="",B343="",C343=""),"", IFERROR(IF(J342="",D2,J342),D2)+IF(OR(E343="",H343="معلق"),0,E343)-IF(OR(G343="أبو اسحاق",G343="أبو آدم",G343="أبو اسحاق ",G343="أبو آدم "),0,IF(D343="",0,D343)))</f>
        <v/>
      </c>
      <c r="K343" s="35"/>
      <c r="L343" t="str">
        <f>IF(E342&gt;0,COUNTIF($E$4:E342,"&gt;0"),"")</f>
        <v/>
      </c>
      <c r="M343" t="str">
        <f>IF(AND(D342&gt;0,G342="المحفظة"),COUNTIFS($D$4:D342,"&gt;"&amp;0,$G$4:G342,"المحفظة"),"")</f>
        <v/>
      </c>
      <c r="N343" t="str">
        <f>IF(AND(OR('طباعة كشف الحساب'!$C$2="الكل",MONTH(A343)=IFERROR(MATCH('طباعة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الحساب'!$F$2="الكل",YEAR(A343)=IFERROR(VALUE('طباعة كشف الحساب'!$F$2),0)),A343&lt;&gt;""),IFERROR(MAX($N$4:N342),0)+1,"")</f>
        <v/>
      </c>
      <c r="O343" t="str">
        <f>IF(AND(D342&gt;0,F342="أحد الشركاء"),COUNTIFS($D$4:D342,"&gt;"&amp;0,$F$4:F342,"أحد الشركاء"),"")</f>
        <v/>
      </c>
      <c r="P343" t="str">
        <f>IF(OR($A343="",$F343="أحد الشركاء",AND($D343="",$E343="")),"",SUMPRODUCT(($A$4:$A343&lt;&gt;"")*($F$4:$F343&lt;&gt;"أحد الشركاء")*((($D$4:$D343&lt;&gt;"")+($E$4:$E343&lt;&gt;""))&gt;0)))</f>
        <v/>
      </c>
      <c r="Q343" t="str">
        <f>IF(OR($A343="",$F343&lt;&gt;"أحد الشركاء"),"",COUNTIFS($A$4:A343,"&lt;&gt;",$F$4:F343,"أحد الشركاء"))</f>
        <v/>
      </c>
    </row>
    <row r="344" spans="1:17" ht="18.75" customHeight="1" x14ac:dyDescent="0.25">
      <c r="A344" s="25"/>
      <c r="B344" s="36"/>
      <c r="C344" s="37"/>
      <c r="D344" s="38"/>
      <c r="E344" s="39"/>
      <c r="F344" s="136"/>
      <c r="G344" s="40"/>
      <c r="H344" s="41"/>
      <c r="I344" s="42"/>
      <c r="J344" s="43" t="str">
        <f>IF(AND(D344="",E344="",A344="",B344="",C344=""),"", IFERROR(IF(J343="",D2,J343),D2)+IF(OR(E344="",H344="معلق"),0,E344)-IF(OR(G344="أبو اسحاق",G344="أبو آدم",G344="أبو اسحاق ",G344="أبو آدم "),0,IF(D344="",0,D344)))</f>
        <v/>
      </c>
      <c r="K344" s="44"/>
      <c r="L344" t="str">
        <f>IF(E343&gt;0,COUNTIF($E$4:E343,"&gt;0"),"")</f>
        <v/>
      </c>
      <c r="M344" t="str">
        <f>IF(AND(D343&gt;0,G343="المحفظة"),COUNTIFS($D$4:D343,"&gt;"&amp;0,$G$4:G343,"المحفظة"),"")</f>
        <v/>
      </c>
      <c r="N344" t="str">
        <f>IF(AND(OR('طباعة كشف الحساب'!$C$2="الكل",MONTH(A344)=IFERROR(MATCH('طباعة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الحساب'!$F$2="الكل",YEAR(A344)=IFERROR(VALUE('طباعة كشف الحساب'!$F$2),0)),A344&lt;&gt;""),IFERROR(MAX($N$4:N343),0)+1,"")</f>
        <v/>
      </c>
      <c r="O344" t="str">
        <f>IF(AND(D343&gt;0,F343="أحد الشركاء"),COUNTIFS($D$4:D343,"&gt;"&amp;0,$F$4:F343,"أحد الشركاء"),"")</f>
        <v/>
      </c>
      <c r="P344" t="str">
        <f>IF(OR($A344="",$F344="أحد الشركاء",AND($D344="",$E344="")),"",SUMPRODUCT(($A$4:$A344&lt;&gt;"")*($F$4:$F344&lt;&gt;"أحد الشركاء")*((($D$4:$D344&lt;&gt;"")+($E$4:$E344&lt;&gt;""))&gt;0)))</f>
        <v/>
      </c>
      <c r="Q344" t="str">
        <f>IF(OR($A344="",$F344&lt;&gt;"أحد الشركاء"),"",COUNTIFS($A$4:A344,"&lt;&gt;",$F$4:F344,"أحد الشركاء"))</f>
        <v/>
      </c>
    </row>
    <row r="345" spans="1:17" ht="18.75" customHeight="1" x14ac:dyDescent="0.25">
      <c r="A345" s="25"/>
      <c r="B345" s="26"/>
      <c r="C345" s="27"/>
      <c r="D345" s="28"/>
      <c r="E345" s="29"/>
      <c r="F345" s="30"/>
      <c r="G345" s="31"/>
      <c r="H345" s="32"/>
      <c r="I345" s="33"/>
      <c r="J345" s="34" t="str">
        <f>IF(AND(D345="",E345="",A345="",B345="",C345=""),"", IFERROR(IF(J344="",D2,J344),D2)+IF(OR(E345="",H345="معلق"),0,E345)-IF(OR(G345="أبو اسحاق",G345="أبو آدم",G345="أبو اسحاق ",G345="أبو آدم "),0,IF(D345="",0,D345)))</f>
        <v/>
      </c>
      <c r="K345" s="35"/>
      <c r="L345" t="str">
        <f>IF(E344&gt;0,COUNTIF($E$4:E344,"&gt;0"),"")</f>
        <v/>
      </c>
      <c r="M345" t="str">
        <f>IF(AND(D344&gt;0,G344="المحفظة"),COUNTIFS($D$4:D344,"&gt;"&amp;0,$G$4:G344,"المحفظة"),"")</f>
        <v/>
      </c>
      <c r="N345" t="str">
        <f>IF(AND(OR('طباعة كشف الحساب'!$C$2="الكل",MONTH(A345)=IFERROR(MATCH('طباعة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الحساب'!$F$2="الكل",YEAR(A345)=IFERROR(VALUE('طباعة كشف الحساب'!$F$2),0)),A345&lt;&gt;""),IFERROR(MAX($N$4:N344),0)+1,"")</f>
        <v/>
      </c>
      <c r="O345" t="str">
        <f>IF(AND(D344&gt;0,F344="أحد الشركاء"),COUNTIFS($D$4:D344,"&gt;"&amp;0,$F$4:F344,"أحد الشركاء"),"")</f>
        <v/>
      </c>
      <c r="P345" t="str">
        <f>IF(OR($A345="",$F345="أحد الشركاء",AND($D345="",$E345="")),"",SUMPRODUCT(($A$4:$A345&lt;&gt;"")*($F$4:$F345&lt;&gt;"أحد الشركاء")*((($D$4:$D345&lt;&gt;"")+($E$4:$E345&lt;&gt;""))&gt;0)))</f>
        <v/>
      </c>
      <c r="Q345" t="str">
        <f>IF(OR($A345="",$F345&lt;&gt;"أحد الشركاء"),"",COUNTIFS($A$4:A345,"&lt;&gt;",$F$4:F345,"أحد الشركاء"))</f>
        <v/>
      </c>
    </row>
    <row r="346" spans="1:17" ht="18.75" customHeight="1" x14ac:dyDescent="0.25">
      <c r="A346" s="25"/>
      <c r="B346" s="36"/>
      <c r="C346" s="37"/>
      <c r="D346" s="38"/>
      <c r="E346" s="39"/>
      <c r="F346" s="136"/>
      <c r="G346" s="40"/>
      <c r="H346" s="41"/>
      <c r="I346" s="42"/>
      <c r="J346" s="43" t="str">
        <f>IF(AND(D346="",E346="",A346="",B346="",C346=""),"", IFERROR(IF(J345="",D2,J345),D2)+IF(OR(E346="",H346="معلق"),0,E346)-IF(OR(G346="أبو اسحاق",G346="أبو آدم",G346="أبو اسحاق ",G346="أبو آدم "),0,IF(D346="",0,D346)))</f>
        <v/>
      </c>
      <c r="K346" s="44"/>
      <c r="L346" t="str">
        <f>IF(E345&gt;0,COUNTIF($E$4:E345,"&gt;0"),"")</f>
        <v/>
      </c>
      <c r="M346" t="str">
        <f>IF(AND(D345&gt;0,G345="المحفظة"),COUNTIFS($D$4:D345,"&gt;"&amp;0,$G$4:G345,"المحفظة"),"")</f>
        <v/>
      </c>
      <c r="N346" t="str">
        <f>IF(AND(OR('طباعة كشف الحساب'!$C$2="الكل",MONTH(A346)=IFERROR(MATCH('طباعة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الحساب'!$F$2="الكل",YEAR(A346)=IFERROR(VALUE('طباعة كشف الحساب'!$F$2),0)),A346&lt;&gt;""),IFERROR(MAX($N$4:N345),0)+1,"")</f>
        <v/>
      </c>
      <c r="O346" t="str">
        <f>IF(AND(D345&gt;0,F345="أحد الشركاء"),COUNTIFS($D$4:D345,"&gt;"&amp;0,$F$4:F345,"أحد الشركاء"),"")</f>
        <v/>
      </c>
      <c r="P346" t="str">
        <f>IF(OR($A346="",$F346="أحد الشركاء",AND($D346="",$E346="")),"",SUMPRODUCT(($A$4:$A346&lt;&gt;"")*($F$4:$F346&lt;&gt;"أحد الشركاء")*((($D$4:$D346&lt;&gt;"")+($E$4:$E346&lt;&gt;""))&gt;0)))</f>
        <v/>
      </c>
      <c r="Q346" t="str">
        <f>IF(OR($A346="",$F346&lt;&gt;"أحد الشركاء"),"",COUNTIFS($A$4:A346,"&lt;&gt;",$F$4:F346,"أحد الشركاء"))</f>
        <v/>
      </c>
    </row>
    <row r="347" spans="1:17" ht="18.75" customHeight="1" x14ac:dyDescent="0.25">
      <c r="A347" s="25"/>
      <c r="B347" s="26"/>
      <c r="C347" s="27"/>
      <c r="D347" s="28"/>
      <c r="E347" s="29"/>
      <c r="F347" s="30"/>
      <c r="G347" s="31"/>
      <c r="H347" s="32"/>
      <c r="I347" s="33"/>
      <c r="J347" s="34" t="str">
        <f>IF(AND(D347="",E347="",A347="",B347="",C347=""),"", IFERROR(IF(J346="",D2,J346),D2)+IF(OR(E347="",H347="معلق"),0,E347)-IF(OR(G347="أبو اسحاق",G347="أبو آدم",G347="أبو اسحاق ",G347="أبو آدم "),0,IF(D347="",0,D347)))</f>
        <v/>
      </c>
      <c r="K347" s="35"/>
      <c r="L347" t="str">
        <f>IF(E346&gt;0,COUNTIF($E$4:E346,"&gt;0"),"")</f>
        <v/>
      </c>
      <c r="M347" t="str">
        <f>IF(AND(D346&gt;0,G346="المحفظة"),COUNTIFS($D$4:D346,"&gt;"&amp;0,$G$4:G346,"المحفظة"),"")</f>
        <v/>
      </c>
      <c r="N347" t="str">
        <f>IF(AND(OR('طباعة كشف الحساب'!$C$2="الكل",MONTH(A347)=IFERROR(MATCH('طباعة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الحساب'!$F$2="الكل",YEAR(A347)=IFERROR(VALUE('طباعة كشف الحساب'!$F$2),0)),A347&lt;&gt;""),IFERROR(MAX($N$4:N346),0)+1,"")</f>
        <v/>
      </c>
      <c r="O347" t="str">
        <f>IF(AND(D346&gt;0,F346="أحد الشركاء"),COUNTIFS($D$4:D346,"&gt;"&amp;0,$F$4:F346,"أحد الشركاء"),"")</f>
        <v/>
      </c>
      <c r="P347" t="str">
        <f>IF(OR($A347="",$F347="أحد الشركاء",AND($D347="",$E347="")),"",SUMPRODUCT(($A$4:$A347&lt;&gt;"")*($F$4:$F347&lt;&gt;"أحد الشركاء")*((($D$4:$D347&lt;&gt;"")+($E$4:$E347&lt;&gt;""))&gt;0)))</f>
        <v/>
      </c>
      <c r="Q347" t="str">
        <f>IF(OR($A347="",$F347&lt;&gt;"أحد الشركاء"),"",COUNTIFS($A$4:A347,"&lt;&gt;",$F$4:F347,"أحد الشركاء"))</f>
        <v/>
      </c>
    </row>
    <row r="348" spans="1:17" ht="18.75" customHeight="1" x14ac:dyDescent="0.25">
      <c r="A348" s="25"/>
      <c r="B348" s="36"/>
      <c r="C348" s="37"/>
      <c r="D348" s="38"/>
      <c r="E348" s="39"/>
      <c r="F348" s="136"/>
      <c r="G348" s="40"/>
      <c r="H348" s="41"/>
      <c r="I348" s="42"/>
      <c r="J348" s="43" t="str">
        <f>IF(AND(D348="",E348="",A348="",B348="",C348=""),"", IFERROR(IF(J347="",D2,J347),D2)+IF(OR(E348="",H348="معلق"),0,E348)-IF(OR(G348="أبو اسحاق",G348="أبو آدم",G348="أبو اسحاق ",G348="أبو آدم "),0,IF(D348="",0,D348)))</f>
        <v/>
      </c>
      <c r="K348" s="44"/>
      <c r="L348" t="str">
        <f>IF(E347&gt;0,COUNTIF($E$4:E347,"&gt;0"),"")</f>
        <v/>
      </c>
      <c r="M348" t="str">
        <f>IF(AND(D347&gt;0,G347="المحفظة"),COUNTIFS($D$4:D347,"&gt;"&amp;0,$G$4:G347,"المحفظة"),"")</f>
        <v/>
      </c>
      <c r="N348" t="str">
        <f>IF(AND(OR('طباعة كشف الحساب'!$C$2="الكل",MONTH(A348)=IFERROR(MATCH('طباعة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الحساب'!$F$2="الكل",YEAR(A348)=IFERROR(VALUE('طباعة كشف الحساب'!$F$2),0)),A348&lt;&gt;""),IFERROR(MAX($N$4:N347),0)+1,"")</f>
        <v/>
      </c>
      <c r="O348" t="str">
        <f>IF(AND(D347&gt;0,F347="أحد الشركاء"),COUNTIFS($D$4:D347,"&gt;"&amp;0,$F$4:F347,"أحد الشركاء"),"")</f>
        <v/>
      </c>
      <c r="P348" t="str">
        <f>IF(OR($A348="",$F348="أحد الشركاء",AND($D348="",$E348="")),"",SUMPRODUCT(($A$4:$A348&lt;&gt;"")*($F$4:$F348&lt;&gt;"أحد الشركاء")*((($D$4:$D348&lt;&gt;"")+($E$4:$E348&lt;&gt;""))&gt;0)))</f>
        <v/>
      </c>
      <c r="Q348" t="str">
        <f>IF(OR($A348="",$F348&lt;&gt;"أحد الشركاء"),"",COUNTIFS($A$4:A348,"&lt;&gt;",$F$4:F348,"أحد الشركاء"))</f>
        <v/>
      </c>
    </row>
    <row r="349" spans="1:17" ht="18.75" customHeight="1" x14ac:dyDescent="0.25">
      <c r="A349" s="25"/>
      <c r="B349" s="26"/>
      <c r="C349" s="27"/>
      <c r="D349" s="28"/>
      <c r="E349" s="29"/>
      <c r="F349" s="30"/>
      <c r="G349" s="31"/>
      <c r="H349" s="32"/>
      <c r="I349" s="33"/>
      <c r="J349" s="34" t="str">
        <f>IF(AND(D349="",E349="",A349="",B349="",C349=""),"", IFERROR(IF(J348="",D2,J348),D2)+IF(OR(E349="",H349="معلق"),0,E349)-IF(OR(G349="أبو اسحاق",G349="أبو آدم",G349="أبو اسحاق ",G349="أبو آدم "),0,IF(D349="",0,D349)))</f>
        <v/>
      </c>
      <c r="K349" s="35"/>
      <c r="L349" t="str">
        <f>IF(E348&gt;0,COUNTIF($E$4:E348,"&gt;0"),"")</f>
        <v/>
      </c>
      <c r="M349" t="str">
        <f>IF(AND(D348&gt;0,G348="المحفظة"),COUNTIFS($D$4:D348,"&gt;"&amp;0,$G$4:G348,"المحفظة"),"")</f>
        <v/>
      </c>
      <c r="N349" t="str">
        <f>IF(AND(OR('طباعة كشف الحساب'!$C$2="الكل",MONTH(A349)=IFERROR(MATCH('طباعة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الحساب'!$F$2="الكل",YEAR(A349)=IFERROR(VALUE('طباعة كشف الحساب'!$F$2),0)),A349&lt;&gt;""),IFERROR(MAX($N$4:N348),0)+1,"")</f>
        <v/>
      </c>
      <c r="O349" t="str">
        <f>IF(AND(D348&gt;0,F348="أحد الشركاء"),COUNTIFS($D$4:D348,"&gt;"&amp;0,$F$4:F348,"أحد الشركاء"),"")</f>
        <v/>
      </c>
      <c r="P349" t="str">
        <f>IF(OR($A349="",$F349="أحد الشركاء",AND($D349="",$E349="")),"",SUMPRODUCT(($A$4:$A349&lt;&gt;"")*($F$4:$F349&lt;&gt;"أحد الشركاء")*((($D$4:$D349&lt;&gt;"")+($E$4:$E349&lt;&gt;""))&gt;0)))</f>
        <v/>
      </c>
      <c r="Q349" t="str">
        <f>IF(OR($A349="",$F349&lt;&gt;"أحد الشركاء"),"",COUNTIFS($A$4:A349,"&lt;&gt;",$F$4:F349,"أحد الشركاء"))</f>
        <v/>
      </c>
    </row>
    <row r="350" spans="1:17" ht="18.75" customHeight="1" x14ac:dyDescent="0.25">
      <c r="A350" s="25"/>
      <c r="B350" s="36"/>
      <c r="C350" s="37"/>
      <c r="D350" s="38"/>
      <c r="E350" s="39"/>
      <c r="F350" s="136"/>
      <c r="G350" s="40"/>
      <c r="H350" s="41"/>
      <c r="I350" s="42"/>
      <c r="J350" s="43" t="str">
        <f>IF(AND(D350="",E350="",A350="",B350="",C350=""),"", IFERROR(IF(J349="",D2,J349),D2)+IF(OR(E350="",H350="معلق"),0,E350)-IF(OR(G350="أبو اسحاق",G350="أبو آدم",G350="أبو اسحاق ",G350="أبو آدم "),0,IF(D350="",0,D350)))</f>
        <v/>
      </c>
      <c r="K350" s="44"/>
      <c r="L350" t="str">
        <f>IF(E349&gt;0,COUNTIF($E$4:E349,"&gt;0"),"")</f>
        <v/>
      </c>
      <c r="M350" t="str">
        <f>IF(AND(D349&gt;0,G349="المحفظة"),COUNTIFS($D$4:D349,"&gt;"&amp;0,$G$4:G349,"المحفظة"),"")</f>
        <v/>
      </c>
      <c r="N350" t="str">
        <f>IF(AND(OR('طباعة كشف الحساب'!$C$2="الكل",MONTH(A350)=IFERROR(MATCH('طباعة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الحساب'!$F$2="الكل",YEAR(A350)=IFERROR(VALUE('طباعة كشف الحساب'!$F$2),0)),A350&lt;&gt;""),IFERROR(MAX($N$4:N349),0)+1,"")</f>
        <v/>
      </c>
      <c r="O350" t="str">
        <f>IF(AND(D349&gt;0,F349="أحد الشركاء"),COUNTIFS($D$4:D349,"&gt;"&amp;0,$F$4:F349,"أحد الشركاء"),"")</f>
        <v/>
      </c>
      <c r="P350" t="str">
        <f>IF(OR($A350="",$F350="أحد الشركاء",AND($D350="",$E350="")),"",SUMPRODUCT(($A$4:$A350&lt;&gt;"")*($F$4:$F350&lt;&gt;"أحد الشركاء")*((($D$4:$D350&lt;&gt;"")+($E$4:$E350&lt;&gt;""))&gt;0)))</f>
        <v/>
      </c>
      <c r="Q350" t="str">
        <f>IF(OR($A350="",$F350&lt;&gt;"أحد الشركاء"),"",COUNTIFS($A$4:A350,"&lt;&gt;",$F$4:F350,"أحد الشركاء"))</f>
        <v/>
      </c>
    </row>
    <row r="351" spans="1:17" ht="18.75" customHeight="1" x14ac:dyDescent="0.25">
      <c r="A351" s="25"/>
      <c r="B351" s="26"/>
      <c r="C351" s="27"/>
      <c r="D351" s="28"/>
      <c r="E351" s="29"/>
      <c r="F351" s="30"/>
      <c r="G351" s="31"/>
      <c r="H351" s="32"/>
      <c r="I351" s="33"/>
      <c r="J351" s="34" t="str">
        <f>IF(AND(D351="",E351="",A351="",B351="",C351=""),"", IFERROR(IF(J350="",D2,J350),D2)+IF(OR(E351="",H351="معلق"),0,E351)-IF(OR(G351="أبو اسحاق",G351="أبو آدم",G351="أبو اسحاق ",G351="أبو آدم "),0,IF(D351="",0,D351)))</f>
        <v/>
      </c>
      <c r="K351" s="35"/>
      <c r="L351" t="str">
        <f>IF(E350&gt;0,COUNTIF($E$4:E350,"&gt;0"),"")</f>
        <v/>
      </c>
      <c r="M351" t="str">
        <f>IF(AND(D350&gt;0,G350="المحفظة"),COUNTIFS($D$4:D350,"&gt;"&amp;0,$G$4:G350,"المحفظة"),"")</f>
        <v/>
      </c>
      <c r="N351" t="str">
        <f>IF(AND(OR('طباعة كشف الحساب'!$C$2="الكل",MONTH(A351)=IFERROR(MATCH('طباعة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الحساب'!$F$2="الكل",YEAR(A351)=IFERROR(VALUE('طباعة كشف الحساب'!$F$2),0)),A351&lt;&gt;""),IFERROR(MAX($N$4:N350),0)+1,"")</f>
        <v/>
      </c>
      <c r="O351" t="str">
        <f>IF(AND(D350&gt;0,F350="أحد الشركاء"),COUNTIFS($D$4:D350,"&gt;"&amp;0,$F$4:F350,"أحد الشركاء"),"")</f>
        <v/>
      </c>
      <c r="P351" t="str">
        <f>IF(OR($A351="",$F351="أحد الشركاء",AND($D351="",$E351="")),"",SUMPRODUCT(($A$4:$A351&lt;&gt;"")*($F$4:$F351&lt;&gt;"أحد الشركاء")*((($D$4:$D351&lt;&gt;"")+($E$4:$E351&lt;&gt;""))&gt;0)))</f>
        <v/>
      </c>
      <c r="Q351" t="str">
        <f>IF(OR($A351="",$F351&lt;&gt;"أحد الشركاء"),"",COUNTIFS($A$4:A351,"&lt;&gt;",$F$4:F351,"أحد الشركاء"))</f>
        <v/>
      </c>
    </row>
    <row r="352" spans="1:17" ht="18.75" customHeight="1" x14ac:dyDescent="0.25">
      <c r="A352" s="25"/>
      <c r="B352" s="36"/>
      <c r="C352" s="37"/>
      <c r="D352" s="38"/>
      <c r="E352" s="39"/>
      <c r="F352" s="136"/>
      <c r="G352" s="40"/>
      <c r="H352" s="41"/>
      <c r="I352" s="42"/>
      <c r="J352" s="43" t="str">
        <f>IF(AND(D352="",E352="",A352="",B352="",C352=""),"", IFERROR(IF(J351="",D2,J351),D2)+IF(OR(E352="",H352="معلق"),0,E352)-IF(OR(G352="أبو اسحاق",G352="أبو آدم",G352="أبو اسحاق ",G352="أبو آدم "),0,IF(D352="",0,D352)))</f>
        <v/>
      </c>
      <c r="K352" s="44"/>
      <c r="L352" t="str">
        <f>IF(E351&gt;0,COUNTIF($E$4:E351,"&gt;0"),"")</f>
        <v/>
      </c>
      <c r="M352" t="str">
        <f>IF(AND(D351&gt;0,G351="المحفظة"),COUNTIFS($D$4:D351,"&gt;"&amp;0,$G$4:G351,"المحفظة"),"")</f>
        <v/>
      </c>
      <c r="N352" t="str">
        <f>IF(AND(OR('طباعة كشف الحساب'!$C$2="الكل",MONTH(A352)=IFERROR(MATCH('طباعة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الحساب'!$F$2="الكل",YEAR(A352)=IFERROR(VALUE('طباعة كشف الحساب'!$F$2),0)),A352&lt;&gt;""),IFERROR(MAX($N$4:N351),0)+1,"")</f>
        <v/>
      </c>
      <c r="O352" t="str">
        <f>IF(AND(D351&gt;0,F351="أحد الشركاء"),COUNTIFS($D$4:D351,"&gt;"&amp;0,$F$4:F351,"أحد الشركاء"),"")</f>
        <v/>
      </c>
      <c r="P352" t="str">
        <f>IF(OR($A352="",$F352="أحد الشركاء",AND($D352="",$E352="")),"",SUMPRODUCT(($A$4:$A352&lt;&gt;"")*($F$4:$F352&lt;&gt;"أحد الشركاء")*((($D$4:$D352&lt;&gt;"")+($E$4:$E352&lt;&gt;""))&gt;0)))</f>
        <v/>
      </c>
      <c r="Q352" t="str">
        <f>IF(OR($A352="",$F352&lt;&gt;"أحد الشركاء"),"",COUNTIFS($A$4:A352,"&lt;&gt;",$F$4:F352,"أحد الشركاء"))</f>
        <v/>
      </c>
    </row>
    <row r="353" spans="1:17" ht="18.75" customHeight="1" x14ac:dyDescent="0.25">
      <c r="A353" s="25"/>
      <c r="B353" s="26"/>
      <c r="C353" s="27"/>
      <c r="D353" s="28"/>
      <c r="E353" s="29"/>
      <c r="F353" s="30"/>
      <c r="G353" s="31"/>
      <c r="H353" s="32"/>
      <c r="I353" s="33"/>
      <c r="J353" s="34" t="str">
        <f>IF(AND(D353="",E353="",A353="",B353="",C353=""),"", IFERROR(IF(J352="",D2,J352),D2)+IF(OR(E353="",H353="معلق"),0,E353)-IF(OR(G353="أبو اسحاق",G353="أبو آدم",G353="أبو اسحاق ",G353="أبو آدم "),0,IF(D353="",0,D353)))</f>
        <v/>
      </c>
      <c r="K353" s="35"/>
      <c r="L353" t="str">
        <f>IF(E352&gt;0,COUNTIF($E$4:E352,"&gt;0"),"")</f>
        <v/>
      </c>
      <c r="M353" t="str">
        <f>IF(AND(D352&gt;0,G352="المحفظة"),COUNTIFS($D$4:D352,"&gt;"&amp;0,$G$4:G352,"المحفظة"),"")</f>
        <v/>
      </c>
      <c r="N353" t="str">
        <f>IF(AND(OR('طباعة كشف الحساب'!$C$2="الكل",MONTH(A353)=IFERROR(MATCH('طباعة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الحساب'!$F$2="الكل",YEAR(A353)=IFERROR(VALUE('طباعة كشف الحساب'!$F$2),0)),A353&lt;&gt;""),IFERROR(MAX($N$4:N352),0)+1,"")</f>
        <v/>
      </c>
      <c r="O353" t="str">
        <f>IF(AND(D352&gt;0,F352="أحد الشركاء"),COUNTIFS($D$4:D352,"&gt;"&amp;0,$F$4:F352,"أحد الشركاء"),"")</f>
        <v/>
      </c>
      <c r="P353" t="str">
        <f>IF(OR($A353="",$F353="أحد الشركاء",AND($D353="",$E353="")),"",SUMPRODUCT(($A$4:$A353&lt;&gt;"")*($F$4:$F353&lt;&gt;"أحد الشركاء")*((($D$4:$D353&lt;&gt;"")+($E$4:$E353&lt;&gt;""))&gt;0)))</f>
        <v/>
      </c>
      <c r="Q353" t="str">
        <f>IF(OR($A353="",$F353&lt;&gt;"أحد الشركاء"),"",COUNTIFS($A$4:A353,"&lt;&gt;",$F$4:F353,"أحد الشركاء"))</f>
        <v/>
      </c>
    </row>
    <row r="354" spans="1:17" ht="25.5" customHeight="1" x14ac:dyDescent="0.25">
      <c r="A354" s="171"/>
      <c r="B354" s="165"/>
      <c r="C354" s="166"/>
      <c r="D354" s="38"/>
      <c r="E354" s="39"/>
      <c r="F354" s="164"/>
      <c r="G354" s="165"/>
      <c r="H354" s="166"/>
      <c r="I354" s="42"/>
      <c r="J354" s="43">
        <f t="array" ref="J354">IFERROR(LOOKUP(2,1/(J4:J353&lt;&gt;""),J4:J353),$D$2)</f>
        <v>1905.595</v>
      </c>
      <c r="K354" s="44"/>
      <c r="L354" t="str">
        <f>IF(E353&gt;0,COUNTIF($E$4:E353,"&gt;0"),"")</f>
        <v/>
      </c>
      <c r="M354" t="str">
        <f>IF(AND(D353&gt;0,G353="المحفظة"),COUNTIFS($D$4:D353,"&gt;"&amp;0,$G$4:G353,"المحفظة"),"")</f>
        <v/>
      </c>
      <c r="N354" t="str">
        <f>IF(AND(OR('طباعة كشف الحساب'!$C$2="الكل",MONTH(A353)=IFERROR(MATCH('طباعة كشف الحساب'!$C$2,{"يناير","فبراير","مارس","أبريل","مايو","يونيو","يوليو","أغسطس","سبتمبر","أكتوبر","نوفمبر","ديسمبر"},0),0)),OR('طباعة كشف الحساب'!$F$2="الكل",YEAR(A353)=IFERROR(VALUE('طباعة كشف الحساب'!$F$2),0)),A353&lt;&gt;""),IFERROR(MAX($N$4:N352),0)+1,"")</f>
        <v/>
      </c>
      <c r="O354" t="str">
        <f>IF(AND(D353&gt;0,F353="أحد الشركاء"),COUNTIFS($D$4:D353,"&gt;"&amp;0,$F$4:F353,"أحد الشركاء"),"")</f>
        <v/>
      </c>
      <c r="P354" t="str">
        <f>IF(OR($A354="",$F354="أحد الشركاء",AND($D354="",$E354="")),"",SUMPRODUCT(($A$4:$A354&lt;&gt;"")*($F$4:$F354&lt;&gt;"أحد الشركاء")*((($D$4:$D354&lt;&gt;"")+($E$4:$E354&lt;&gt;""))&gt;0)))</f>
        <v/>
      </c>
      <c r="Q354" t="str">
        <f>IF(OR($A354="",$F354&lt;&gt;"أحد الشركاء"),"",COUNTIFS($A$4:A354,"&lt;&gt;",$F$4:F354,"أحد الشركاء"))</f>
        <v/>
      </c>
    </row>
    <row r="355" spans="1:17" ht="15.75" customHeight="1" x14ac:dyDescent="0.25">
      <c r="A355" s="108" t="s">
        <v>215</v>
      </c>
      <c r="B355" s="137"/>
      <c r="C355" s="137"/>
      <c r="D355" s="46">
        <f>SUBTOTAL(9,D4:D353)</f>
        <v>4951.1450000000004</v>
      </c>
      <c r="E355" s="46">
        <f ca="1">SUMPRODUCT(SUBTOTAL(9,OFFSET(E4,ROW(E4:E353)-ROW(E4),0)),--(H4:H353&lt;&gt;"معلق"))</f>
        <v>5075.24</v>
      </c>
      <c r="F355" s="140">
        <f ca="1">SUMPRODUCT(SUBTOTAL(3,OFFSET(H4,ROW(H4:H353)-ROW(H4),0))*(H4:H353="معلق"))</f>
        <v>13</v>
      </c>
      <c r="G355" s="137"/>
      <c r="H355" s="137"/>
      <c r="J355" s="46">
        <f t="array" aca="1" ref="J355" ca="1">IFERROR(LOOKUP(2,1/((SUBTOTAL(3,OFFSET(J4,ROW(J4:J353)-ROW(J4),0))&gt;0)*(J4:J353&lt;&gt;"")),J4:J353),$D$2)</f>
        <v>1905.595</v>
      </c>
      <c r="N355" t="str">
        <f>IF(AND(OR('طباعة كشف الحساب'!$C$2="الكل",IFERROR(MONTH(A355),0)=IFERROR(MATCH('طباعة كشف الحساب'!$C$2,{"يناير","فبراير","مارس","أبريل","مايو","يونيو","يوليو","أغسطس","سبتمبر","أكتوبر","نوفمبر","ديسمبر"},0),0)),OR('طباعة كشف الحساب'!$F$2="الكل",IFERROR(YEAR(A355),0)=IFERROR(VALUE('طباعة كشف الحساب'!$F$2),0)),A355&lt;&gt;""),IFERROR(MAX($N$4:N354),0)+1,"")</f>
        <v/>
      </c>
    </row>
    <row r="356" spans="1:17" ht="15" customHeight="1" x14ac:dyDescent="0.25">
      <c r="D356" s="47" t="s">
        <v>216</v>
      </c>
      <c r="E356" s="48" t="s">
        <v>217</v>
      </c>
      <c r="F356" s="49" t="s">
        <v>218</v>
      </c>
      <c r="J356" s="50" t="s">
        <v>219</v>
      </c>
    </row>
  </sheetData>
  <autoFilter ref="A3:K353" xr:uid="{00000000-0009-0000-0000-000001000000}"/>
  <mergeCells count="9">
    <mergeCell ref="F354:H354"/>
    <mergeCell ref="A2:C2"/>
    <mergeCell ref="E2:K2"/>
    <mergeCell ref="A1:K1"/>
    <mergeCell ref="A354:C354"/>
    <mergeCell ref="K189:K193"/>
    <mergeCell ref="K209:K214"/>
    <mergeCell ref="K219:K223"/>
    <mergeCell ref="K227:K230"/>
  </mergeCells>
  <conditionalFormatting sqref="J4:J353">
    <cfRule type="cellIs" dxfId="5" priority="2" operator="lessThan">
      <formula>0</formula>
    </cfRule>
    <cfRule type="cellIs" dxfId="4" priority="3" operator="greaterThanOrEqual">
      <formula>0</formula>
    </cfRule>
  </conditionalFormatting>
  <conditionalFormatting sqref="H4:H353">
    <cfRule type="expression" dxfId="3" priority="4">
      <formula>H4="معلق"</formula>
    </cfRule>
  </conditionalFormatting>
  <conditionalFormatting sqref="G4:G353">
    <cfRule type="expression" dxfId="2" priority="5">
      <formula>G4="المحفظة"</formula>
    </cfRule>
  </conditionalFormatting>
  <dataValidations count="4">
    <dataValidation type="list" allowBlank="1" showErrorMessage="1" errorTitle="خطأ" error="اختر من القائمة" sqref="F4:F353" xr:uid="{00000000-0002-0000-0100-000000000000}">
      <formula1>"نقداً,أون لاين,أحد الشركاء,من المحفظة"</formula1>
      <formula2>0</formula2>
    </dataValidation>
    <dataValidation type="list" allowBlank="1" showErrorMessage="1" errorTitle="خطأ" error="اختر من القائمة" sqref="G4:G353" xr:uid="{00000000-0002-0000-0100-000001000000}">
      <formula1>"أبو اسحاق,أبو آدم,نزمول,المحفظة"</formula1>
      <formula2>0</formula2>
    </dataValidation>
    <dataValidation type="list" allowBlank="1" showErrorMessage="1" errorTitle="خطأ" error="اختر من القائمة" sqref="H4:H353" xr:uid="{00000000-0002-0000-0100-000002000000}">
      <formula1>"تم الدفع,معلق"</formula1>
      <formula2>0</formula2>
    </dataValidation>
    <dataValidation type="date" allowBlank="1" showErrorMessage="1" errorTitle="تاريخ خاطئ" error="أدخل تاريخاً صحيحاً" sqref="A4:A203 A215:A353" xr:uid="{00000000-0002-0000-0100-000003000000}">
      <formula1>DATE(2020,1,1)</formula1>
      <formula2>DATE(2035,12,31)</formula2>
    </dataValidation>
  </dataValidations>
  <pageMargins left="0.25" right="0.25" top="0.75" bottom="0.75" header="0.511811023622047" footer="0.511811023622047"/>
  <pageSetup paperSize="9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rightToLeft="1" zoomScaleNormal="100" workbookViewId="0">
      <selection sqref="A1:C1"/>
    </sheetView>
  </sheetViews>
  <sheetFormatPr defaultColWidth="8.7109375" defaultRowHeight="15" x14ac:dyDescent="0.25"/>
  <cols>
    <col min="1" max="1" width="28" style="138" customWidth="1"/>
    <col min="2" max="2" width="36" style="138" customWidth="1"/>
    <col min="3" max="3" width="22" style="138" customWidth="1"/>
  </cols>
  <sheetData>
    <row r="1" spans="1:3" ht="27.75" customHeight="1" x14ac:dyDescent="0.25">
      <c r="A1" s="175" t="s">
        <v>220</v>
      </c>
      <c r="B1" s="165"/>
      <c r="C1" s="165"/>
    </row>
    <row r="2" spans="1:3" ht="21.75" customHeight="1" x14ac:dyDescent="0.25">
      <c r="A2" s="51" t="s">
        <v>221</v>
      </c>
      <c r="B2" s="51" t="s">
        <v>222</v>
      </c>
      <c r="C2" s="51" t="s">
        <v>223</v>
      </c>
    </row>
    <row r="3" spans="1:3" ht="18" customHeight="1" x14ac:dyDescent="0.25">
      <c r="A3" s="52" t="s">
        <v>126</v>
      </c>
      <c r="B3" s="52"/>
      <c r="C3" s="26"/>
    </row>
    <row r="4" spans="1:3" ht="18" customHeight="1" x14ac:dyDescent="0.25">
      <c r="A4" s="53" t="s">
        <v>54</v>
      </c>
      <c r="B4" s="53"/>
      <c r="C4" s="36"/>
    </row>
    <row r="5" spans="1:3" ht="18" customHeight="1" x14ac:dyDescent="0.25">
      <c r="A5" s="52" t="s">
        <v>51</v>
      </c>
      <c r="B5" s="52"/>
      <c r="C5" s="26"/>
    </row>
    <row r="6" spans="1:3" ht="18" customHeight="1" x14ac:dyDescent="0.25">
      <c r="A6" s="53" t="s">
        <v>46</v>
      </c>
      <c r="B6" s="53"/>
      <c r="C6" s="36"/>
    </row>
    <row r="7" spans="1:3" ht="18" customHeight="1" x14ac:dyDescent="0.25">
      <c r="A7" s="52" t="s">
        <v>224</v>
      </c>
      <c r="B7" s="52"/>
      <c r="C7" s="26"/>
    </row>
    <row r="8" spans="1:3" ht="18" customHeight="1" x14ac:dyDescent="0.25">
      <c r="A8" s="53" t="s">
        <v>225</v>
      </c>
      <c r="B8" s="53"/>
      <c r="C8" s="36"/>
    </row>
    <row r="9" spans="1:3" ht="18" customHeight="1" x14ac:dyDescent="0.25">
      <c r="A9" s="52" t="s">
        <v>61</v>
      </c>
      <c r="B9" s="52"/>
      <c r="C9" s="26"/>
    </row>
    <row r="10" spans="1:3" ht="18" customHeight="1" x14ac:dyDescent="0.25">
      <c r="A10" s="53" t="s">
        <v>41</v>
      </c>
      <c r="B10" s="53"/>
      <c r="C10" s="36"/>
    </row>
    <row r="11" spans="1:3" ht="18" customHeight="1" x14ac:dyDescent="0.25">
      <c r="A11" s="52" t="s">
        <v>226</v>
      </c>
      <c r="B11" s="52"/>
      <c r="C11" s="26"/>
    </row>
    <row r="12" spans="1:3" ht="18" customHeight="1" x14ac:dyDescent="0.25">
      <c r="A12" s="53" t="s">
        <v>227</v>
      </c>
      <c r="B12" s="53"/>
      <c r="C12" s="36"/>
    </row>
    <row r="13" spans="1:3" ht="18" customHeight="1" x14ac:dyDescent="0.25">
      <c r="A13" s="52" t="s">
        <v>228</v>
      </c>
      <c r="B13" s="52"/>
      <c r="C13" s="26"/>
    </row>
    <row r="14" spans="1:3" ht="18" customHeight="1" x14ac:dyDescent="0.25">
      <c r="A14" s="53" t="s">
        <v>229</v>
      </c>
      <c r="B14" s="53"/>
      <c r="C14" s="36"/>
    </row>
    <row r="15" spans="1:3" ht="18" customHeight="1" x14ac:dyDescent="0.25">
      <c r="A15" s="52" t="s">
        <v>230</v>
      </c>
      <c r="B15" s="52"/>
      <c r="C15" s="26"/>
    </row>
    <row r="16" spans="1:3" ht="18" customHeight="1" x14ac:dyDescent="0.25">
      <c r="A16" s="53" t="s">
        <v>231</v>
      </c>
      <c r="B16" s="53"/>
      <c r="C16" s="36"/>
    </row>
    <row r="17" spans="1:3" ht="18" customHeight="1" x14ac:dyDescent="0.25">
      <c r="A17" s="52" t="s">
        <v>232</v>
      </c>
      <c r="B17" s="52"/>
      <c r="C17" s="26"/>
    </row>
    <row r="18" spans="1:3" ht="18" customHeight="1" x14ac:dyDescent="0.25">
      <c r="A18" s="53" t="s">
        <v>233</v>
      </c>
      <c r="B18" s="53"/>
      <c r="C18" s="36"/>
    </row>
    <row r="19" spans="1:3" ht="18" customHeight="1" x14ac:dyDescent="0.25">
      <c r="A19" s="52" t="s">
        <v>234</v>
      </c>
      <c r="B19" s="52"/>
      <c r="C19" s="26"/>
    </row>
    <row r="20" spans="1:3" ht="18" customHeight="1" x14ac:dyDescent="0.25">
      <c r="A20" s="53" t="s">
        <v>235</v>
      </c>
      <c r="B20" s="53"/>
      <c r="C20" s="36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rightToLeft="1" zoomScaleNormal="100" workbookViewId="0">
      <selection sqref="A1:B1"/>
    </sheetView>
  </sheetViews>
  <sheetFormatPr defaultColWidth="8.7109375" defaultRowHeight="15" x14ac:dyDescent="0.25"/>
  <cols>
    <col min="1" max="1" width="5" style="138" customWidth="1"/>
    <col min="2" max="2" width="64" style="138" customWidth="1"/>
  </cols>
  <sheetData>
    <row r="1" spans="1:2" ht="30" customHeight="1" x14ac:dyDescent="0.25">
      <c r="A1" s="177" t="s">
        <v>236</v>
      </c>
      <c r="B1" s="165"/>
    </row>
    <row r="2" spans="1:2" ht="21.75" customHeight="1" x14ac:dyDescent="0.25">
      <c r="A2" s="176" t="s">
        <v>237</v>
      </c>
      <c r="B2" s="165"/>
    </row>
    <row r="3" spans="1:2" ht="19.5" customHeight="1" x14ac:dyDescent="0.25">
      <c r="A3" s="54" t="s">
        <v>238</v>
      </c>
      <c r="B3" s="37" t="s">
        <v>239</v>
      </c>
    </row>
    <row r="4" spans="1:2" ht="19.5" customHeight="1" x14ac:dyDescent="0.25">
      <c r="A4" s="55" t="s">
        <v>240</v>
      </c>
      <c r="B4" s="27" t="s">
        <v>241</v>
      </c>
    </row>
    <row r="5" spans="1:2" ht="21.75" customHeight="1" x14ac:dyDescent="0.25">
      <c r="A5" s="176" t="s">
        <v>242</v>
      </c>
      <c r="B5" s="165"/>
    </row>
    <row r="6" spans="1:2" ht="19.5" customHeight="1" x14ac:dyDescent="0.25">
      <c r="A6" s="55" t="s">
        <v>238</v>
      </c>
      <c r="B6" s="27" t="s">
        <v>243</v>
      </c>
    </row>
    <row r="7" spans="1:2" ht="19.5" customHeight="1" x14ac:dyDescent="0.25">
      <c r="A7" s="54" t="s">
        <v>240</v>
      </c>
      <c r="B7" s="37" t="s">
        <v>244</v>
      </c>
    </row>
    <row r="8" spans="1:2" ht="19.5" customHeight="1" x14ac:dyDescent="0.25">
      <c r="A8" s="55" t="s">
        <v>245</v>
      </c>
      <c r="B8" s="27" t="s">
        <v>246</v>
      </c>
    </row>
    <row r="9" spans="1:2" ht="19.5" customHeight="1" x14ac:dyDescent="0.25">
      <c r="A9" s="54" t="s">
        <v>247</v>
      </c>
      <c r="B9" s="37" t="s">
        <v>248</v>
      </c>
    </row>
    <row r="10" spans="1:2" ht="19.5" customHeight="1" x14ac:dyDescent="0.25">
      <c r="A10" s="55" t="s">
        <v>249</v>
      </c>
      <c r="B10" s="27" t="s">
        <v>250</v>
      </c>
    </row>
    <row r="11" spans="1:2" ht="21.75" customHeight="1" x14ac:dyDescent="0.25">
      <c r="A11" s="176" t="s">
        <v>251</v>
      </c>
      <c r="B11" s="165"/>
    </row>
    <row r="12" spans="1:2" ht="19.5" customHeight="1" x14ac:dyDescent="0.25">
      <c r="A12" s="55" t="s">
        <v>238</v>
      </c>
      <c r="B12" s="27" t="s">
        <v>252</v>
      </c>
    </row>
    <row r="13" spans="1:2" ht="19.5" customHeight="1" x14ac:dyDescent="0.25">
      <c r="A13" s="54" t="s">
        <v>240</v>
      </c>
      <c r="B13" s="37" t="s">
        <v>253</v>
      </c>
    </row>
    <row r="14" spans="1:2" ht="19.5" customHeight="1" x14ac:dyDescent="0.25">
      <c r="A14" s="55" t="s">
        <v>245</v>
      </c>
      <c r="B14" s="27" t="s">
        <v>254</v>
      </c>
    </row>
    <row r="15" spans="1:2" ht="19.5" customHeight="1" x14ac:dyDescent="0.25">
      <c r="A15" s="54" t="s">
        <v>247</v>
      </c>
      <c r="B15" s="37" t="s">
        <v>255</v>
      </c>
    </row>
  </sheetData>
  <mergeCells count="4">
    <mergeCell ref="A2:B2"/>
    <mergeCell ref="A11:B11"/>
    <mergeCell ref="A1:B1"/>
    <mergeCell ref="A5:B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356"/>
  <sheetViews>
    <sheetView rightToLeft="1" zoomScaleNormal="100" workbookViewId="0">
      <pane ySplit="4" topLeftCell="A39" activePane="bottomLeft" state="frozen"/>
      <selection pane="bottomLeft" activeCell="C43" sqref="C43"/>
    </sheetView>
  </sheetViews>
  <sheetFormatPr defaultColWidth="8.7109375" defaultRowHeight="15" x14ac:dyDescent="0.25"/>
  <cols>
    <col min="1" max="1" width="12" style="138" customWidth="1"/>
    <col min="2" max="2" width="14" style="138" customWidth="1"/>
    <col min="3" max="3" width="36" style="138" customWidth="1"/>
    <col min="4" max="5" width="15" style="138" customWidth="1"/>
    <col min="6" max="6" width="14" style="138" customWidth="1"/>
    <col min="7" max="8" width="13" style="138" customWidth="1"/>
    <col min="9" max="10" width="19" style="138" customWidth="1"/>
    <col min="11" max="11" width="16" style="138" customWidth="1"/>
  </cols>
  <sheetData>
    <row r="1" spans="1:11" ht="30" customHeight="1" x14ac:dyDescent="0.25">
      <c r="A1" s="170" t="s">
        <v>16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</row>
    <row r="2" spans="1:11" ht="24" customHeight="1" x14ac:dyDescent="0.25">
      <c r="A2" s="178"/>
      <c r="B2" s="165"/>
      <c r="C2" s="56" t="s">
        <v>342</v>
      </c>
      <c r="D2" s="178">
        <v>2026</v>
      </c>
      <c r="E2" s="165"/>
      <c r="F2" s="56" t="s">
        <v>256</v>
      </c>
      <c r="G2" s="181" t="s">
        <v>257</v>
      </c>
      <c r="H2" s="169"/>
      <c r="I2" s="169"/>
      <c r="J2" s="169"/>
      <c r="K2" s="169"/>
    </row>
    <row r="3" spans="1:11" ht="19.5" customHeight="1" x14ac:dyDescent="0.25">
      <c r="A3" s="182" t="s">
        <v>258</v>
      </c>
      <c r="B3" s="165"/>
      <c r="C3" s="165"/>
      <c r="D3" s="57">
        <f>'كشف الحساب'!$D$2</f>
        <v>0</v>
      </c>
    </row>
    <row r="4" spans="1:11" ht="19.5" customHeight="1" x14ac:dyDescent="0.25">
      <c r="A4" s="58" t="s">
        <v>3</v>
      </c>
      <c r="B4" s="58" t="s">
        <v>4</v>
      </c>
      <c r="C4" s="58" t="s">
        <v>5</v>
      </c>
      <c r="D4" s="58" t="s">
        <v>259</v>
      </c>
      <c r="E4" s="58" t="s">
        <v>260</v>
      </c>
      <c r="F4" s="58" t="s">
        <v>261</v>
      </c>
      <c r="G4" s="58" t="s">
        <v>262</v>
      </c>
      <c r="H4" s="58" t="s">
        <v>263</v>
      </c>
      <c r="I4" s="58" t="s">
        <v>221</v>
      </c>
      <c r="J4" s="58" t="s">
        <v>264</v>
      </c>
      <c r="K4" s="58" t="s">
        <v>223</v>
      </c>
    </row>
    <row r="5" spans="1:11" ht="16.5" customHeight="1" x14ac:dyDescent="0.25">
      <c r="A5" s="139">
        <f>IFERROR(IF(IFERROR(MATCH(1,'كشف الحساب'!$N$4:$N$353,0),0)=0,"",INDEX('كشف الحساب'!$A$4:$A$353,IFERROR(MATCH(1,'كشف الحساب'!$N$4:$N$353,0),0))),"")</f>
        <v>46235</v>
      </c>
      <c r="B5" s="59" t="str">
        <f>IFERROR(IF(IFERROR(MATCH(1,'كشف الحساب'!$N$4:$N$353,0),0)=0,"",INDEX('كشف الحساب'!$B$4:$B$353,IFERROR(MATCH(1,'كشف الحساب'!$N$4:$N$353,0),0))),"")</f>
        <v>Inv-106</v>
      </c>
      <c r="C5" s="37" t="str">
        <f>IFERROR(IF(IFERROR(MATCH(1,'كشف الحساب'!$N$4:$N$353,0),0)=0,"",INDEX('كشف الحساب'!$C$4:$C$353,IFERROR(MATCH(1,'كشف الحساب'!$N$4:$N$353,0),0))),"")</f>
        <v>ربل عدد 11 الحبه 2</v>
      </c>
      <c r="D5" s="38">
        <f>IFERROR(IF(IFERROR(MATCH(1,'كشف الحساب'!$N$4:$N$353,0),0)=0,"",INDEX('كشف الحساب'!$D$4:$D$353,IFERROR(MATCH(1,'كشف الحساب'!$N$4:$N$353,0),0))),"")</f>
        <v>0</v>
      </c>
      <c r="E5" s="60">
        <f>IFERROR(IF(IFERROR(MATCH(1,'كشف الحساب'!$N$4:$N$353,0),0)=0,"",INDEX('كشف الحساب'!$E$4:$E$353,IFERROR(MATCH(1,'كشف الحساب'!$N$4:$N$353,0),0))),"")</f>
        <v>22</v>
      </c>
      <c r="F5" s="59" t="str">
        <f>IFERROR(IF(IFERROR(MATCH(1,'كشف الحساب'!$N$4:$N$353,0),0)=0,"",INDEX('كشف الحساب'!$F$4:$F$353,IFERROR(MATCH(1,'كشف الحساب'!$N$4:$N$353,0),0))),"")</f>
        <v>نقداً</v>
      </c>
      <c r="G5" s="59">
        <f>IFERROR(IF(IFERROR(MATCH(1,'كشف الحساب'!$N$4:$N$353,0),0)=0,"",INDEX('كشف الحساب'!$G$4:$G$353,IFERROR(MATCH(1,'كشف الحساب'!$N$4:$N$353,0),0))),"")</f>
        <v>0</v>
      </c>
      <c r="H5" s="59" t="str">
        <f>IFERROR(IF(IFERROR(MATCH(1,'كشف الحساب'!$N$4:$N$353,0),0)=0,"",INDEX('كشف الحساب'!$H$4:$H$353,IFERROR(MATCH(1,'كشف الحساب'!$N$4:$N$353,0),0))),"")</f>
        <v>تم الدفع</v>
      </c>
      <c r="I5" s="59">
        <f>IFERROR(IF(IFERROR(MATCH(1,'كشف الحساب'!$N$4:$N$353,0),0)=0,"",INDEX('كشف الحساب'!$I$4:$I$353,IFERROR(MATCH(1,'كشف الحساب'!$N$4:$N$353,0),0))),"")</f>
        <v>0</v>
      </c>
      <c r="J5" s="43">
        <f>IFERROR(IF(IFERROR(MATCH(1,'كشف الحساب'!$N$4:$N$353,0),0)=0,"",INDEX('كشف الحساب'!$J$4:$J$353,IFERROR(MATCH(1,'كشف الحساب'!$N$4:$N$353,0),0))),"")</f>
        <v>44.39500000000001</v>
      </c>
      <c r="K5" s="59">
        <f>IFERROR(IF(IFERROR(MATCH(1,'كشف الحساب'!$N$4:$N$353,0),0)=0,"",INDEX('كشف الحساب'!$K$4:$K$353,IFERROR(MATCH(1,'كشف الحساب'!$N$4:$N$353,0),0))),"")</f>
        <v>0</v>
      </c>
    </row>
    <row r="6" spans="1:11" ht="16.5" customHeight="1" x14ac:dyDescent="0.25">
      <c r="A6" s="25">
        <f>IFERROR(IF(IFERROR(MATCH(2,'كشف الحساب'!$N$4:$N$353,0),0)=0,"",INDEX('كشف الحساب'!$A$4:$A$353,IFERROR(MATCH(2,'كشف الحساب'!$N$4:$N$353,0),0))),"")</f>
        <v>46235</v>
      </c>
      <c r="B6" s="61" t="str">
        <f>IFERROR(IF(IFERROR(MATCH(2,'كشف الحساب'!$N$4:$N$353,0),0)=0,"",INDEX('كشف الحساب'!$B$4:$B$353,IFERROR(MATCH(2,'كشف الحساب'!$N$4:$N$353,0),0))),"")</f>
        <v>Inv-107</v>
      </c>
      <c r="C6" s="27" t="str">
        <f>IFERROR(IF(IFERROR(MATCH(2,'كشف الحساب'!$N$4:$N$353,0),0)=0,"",INDEX('كشف الحساب'!$C$4:$C$353,IFERROR(MATCH(2,'كشف الحساب'!$N$4:$N$353,0),0))),"")</f>
        <v>متنوع عدد 1 بقيمه 2.500</v>
      </c>
      <c r="D6" s="28">
        <f>IFERROR(IF(IFERROR(MATCH(2,'كشف الحساب'!$N$4:$N$353,0),0)=0,"",INDEX('كشف الحساب'!$D$4:$D$353,IFERROR(MATCH(2,'كشف الحساب'!$N$4:$N$353,0),0))),"")</f>
        <v>0</v>
      </c>
      <c r="E6" s="62">
        <f>IFERROR(IF(IFERROR(MATCH(2,'كشف الحساب'!$N$4:$N$353,0),0)=0,"",INDEX('كشف الحساب'!$E$4:$E$353,IFERROR(MATCH(2,'كشف الحساب'!$N$4:$N$353,0),0))),"")</f>
        <v>2.5</v>
      </c>
      <c r="F6" s="61" t="str">
        <f>IFERROR(IF(IFERROR(MATCH(2,'كشف الحساب'!$N$4:$N$353,0),0)=0,"",INDEX('كشف الحساب'!$F$4:$F$353,IFERROR(MATCH(2,'كشف الحساب'!$N$4:$N$353,0),0))),"")</f>
        <v>أون لاين</v>
      </c>
      <c r="G6" s="61">
        <f>IFERROR(IF(IFERROR(MATCH(2,'كشف الحساب'!$N$4:$N$353,0),0)=0,"",INDEX('كشف الحساب'!$G$4:$G$353,IFERROR(MATCH(2,'كشف الحساب'!$N$4:$N$353,0),0))),"")</f>
        <v>0</v>
      </c>
      <c r="H6" s="61" t="str">
        <f>IFERROR(IF(IFERROR(MATCH(2,'كشف الحساب'!$N$4:$N$353,0),0)=0,"",INDEX('كشف الحساب'!$H$4:$H$353,IFERROR(MATCH(2,'كشف الحساب'!$N$4:$N$353,0),0))),"")</f>
        <v>تم الدفع</v>
      </c>
      <c r="I6" s="61">
        <f>IFERROR(IF(IFERROR(MATCH(2,'كشف الحساب'!$N$4:$N$353,0),0)=0,"",INDEX('كشف الحساب'!$I$4:$I$353,IFERROR(MATCH(2,'كشف الحساب'!$N$4:$N$353,0),0))),"")</f>
        <v>0</v>
      </c>
      <c r="J6" s="34">
        <f>IFERROR(IF(IFERROR(MATCH(2,'كشف الحساب'!$N$4:$N$353,0),0)=0,"",INDEX('كشف الحساب'!$J$4:$J$353,IFERROR(MATCH(2,'كشف الحساب'!$N$4:$N$353,0),0))),"")</f>
        <v>46.89500000000001</v>
      </c>
      <c r="K6" s="61">
        <f>IFERROR(IF(IFERROR(MATCH(2,'كشف الحساب'!$N$4:$N$353,0),0)=0,"",INDEX('كشف الحساب'!$K$4:$K$353,IFERROR(MATCH(2,'كشف الحساب'!$N$4:$N$353,0),0))),"")</f>
        <v>0</v>
      </c>
    </row>
    <row r="7" spans="1:11" ht="16.5" customHeight="1" x14ac:dyDescent="0.25">
      <c r="A7" s="139">
        <f>IFERROR(IF(IFERROR(MATCH(3,'كشف الحساب'!$N$4:$N$353,0),0)=0,"",INDEX('كشف الحساب'!$A$4:$A$353,IFERROR(MATCH(3,'كشف الحساب'!$N$4:$N$353,0),0))),"")</f>
        <v>46235</v>
      </c>
      <c r="B7" s="59" t="str">
        <f>IFERROR(IF(IFERROR(MATCH(3,'كشف الحساب'!$N$4:$N$353,0),0)=0,"",INDEX('كشف الحساب'!$B$4:$B$353,IFERROR(MATCH(3,'كشف الحساب'!$N$4:$N$353,0),0))),"")</f>
        <v>Inv-108</v>
      </c>
      <c r="C7" s="37" t="str">
        <f>IFERROR(IF(IFERROR(MATCH(3,'كشف الحساب'!$N$4:$N$353,0),0)=0,"",INDEX('كشف الحساب'!$C$4:$C$353,IFERROR(MATCH(3,'كشف الحساب'!$N$4:$N$353,0),0))),"")</f>
        <v>فل عدد 1 بقيمه .750</v>
      </c>
      <c r="D7" s="38">
        <f>IFERROR(IF(IFERROR(MATCH(3,'كشف الحساب'!$N$4:$N$353,0),0)=0,"",INDEX('كشف الحساب'!$D$4:$D$353,IFERROR(MATCH(3,'كشف الحساب'!$N$4:$N$353,0),0))),"")</f>
        <v>0</v>
      </c>
      <c r="E7" s="60">
        <f>IFERROR(IF(IFERROR(MATCH(3,'كشف الحساب'!$N$4:$N$353,0),0)=0,"",INDEX('كشف الحساب'!$E$4:$E$353,IFERROR(MATCH(3,'كشف الحساب'!$N$4:$N$353,0),0))),"")</f>
        <v>0.75</v>
      </c>
      <c r="F7" s="59" t="str">
        <f>IFERROR(IF(IFERROR(MATCH(3,'كشف الحساب'!$N$4:$N$353,0),0)=0,"",INDEX('كشف الحساب'!$F$4:$F$353,IFERROR(MATCH(3,'كشف الحساب'!$N$4:$N$353,0),0))),"")</f>
        <v>أون لاين</v>
      </c>
      <c r="G7" s="59">
        <f>IFERROR(IF(IFERROR(MATCH(3,'كشف الحساب'!$N$4:$N$353,0),0)=0,"",INDEX('كشف الحساب'!$G$4:$G$353,IFERROR(MATCH(3,'كشف الحساب'!$N$4:$N$353,0),0))),"")</f>
        <v>0</v>
      </c>
      <c r="H7" s="59" t="str">
        <f>IFERROR(IF(IFERROR(MATCH(3,'كشف الحساب'!$N$4:$N$353,0),0)=0,"",INDEX('كشف الحساب'!$H$4:$H$353,IFERROR(MATCH(3,'كشف الحساب'!$N$4:$N$353,0),0))),"")</f>
        <v>تم الدفع</v>
      </c>
      <c r="I7" s="59">
        <f>IFERROR(IF(IFERROR(MATCH(3,'كشف الحساب'!$N$4:$N$353,0),0)=0,"",INDEX('كشف الحساب'!$I$4:$I$353,IFERROR(MATCH(3,'كشف الحساب'!$N$4:$N$353,0),0))),"")</f>
        <v>0</v>
      </c>
      <c r="J7" s="43">
        <f>IFERROR(IF(IFERROR(MATCH(3,'كشف الحساب'!$N$4:$N$353,0),0)=0,"",INDEX('كشف الحساب'!$J$4:$J$353,IFERROR(MATCH(3,'كشف الحساب'!$N$4:$N$353,0),0))),"")</f>
        <v>47.64500000000001</v>
      </c>
      <c r="K7" s="59">
        <f>IFERROR(IF(IFERROR(MATCH(3,'كشف الحساب'!$N$4:$N$353,0),0)=0,"",INDEX('كشف الحساب'!$K$4:$K$353,IFERROR(MATCH(3,'كشف الحساب'!$N$4:$N$353,0),0))),"")</f>
        <v>0</v>
      </c>
    </row>
    <row r="8" spans="1:11" ht="16.5" customHeight="1" x14ac:dyDescent="0.25">
      <c r="A8" s="25">
        <f>IFERROR(IF(IFERROR(MATCH(4,'كشف الحساب'!$N$4:$N$353,0),0)=0,"",INDEX('كشف الحساب'!$A$4:$A$353,IFERROR(MATCH(4,'كشف الحساب'!$N$4:$N$353,0),0))),"")</f>
        <v>46235</v>
      </c>
      <c r="B8" s="61">
        <f>IFERROR(IF(IFERROR(MATCH(4,'كشف الحساب'!$N$4:$N$353,0),0)=0,"",INDEX('كشف الحساب'!$B$4:$B$353,IFERROR(MATCH(4,'كشف الحساب'!$N$4:$N$353,0),0))),"")</f>
        <v>0</v>
      </c>
      <c r="C8" s="27" t="str">
        <f>IFERROR(IF(IFERROR(MATCH(4,'كشف الحساب'!$N$4:$N$353,0),0)=0,"",INDEX('كشف الحساب'!$C$4:$C$353,IFERROR(MATCH(4,'كشف الحساب'!$N$4:$N$353,0),0))),"")</f>
        <v>بتموس عدد 2 الواحده 12</v>
      </c>
      <c r="D8" s="28">
        <f>IFERROR(IF(IFERROR(MATCH(4,'كشف الحساب'!$N$4:$N$353,0),0)=0,"",INDEX('كشف الحساب'!$D$4:$D$353,IFERROR(MATCH(4,'كشف الحساب'!$N$4:$N$353,0),0))),"")</f>
        <v>24</v>
      </c>
      <c r="E8" s="62">
        <f>IFERROR(IF(IFERROR(MATCH(4,'كشف الحساب'!$N$4:$N$353,0),0)=0,"",INDEX('كشف الحساب'!$E$4:$E$353,IFERROR(MATCH(4,'كشف الحساب'!$N$4:$N$353,0),0))),"")</f>
        <v>0</v>
      </c>
      <c r="F8" s="61" t="str">
        <f>IFERROR(IF(IFERROR(MATCH(4,'كشف الحساب'!$N$4:$N$353,0),0)=0,"",INDEX('كشف الحساب'!$F$4:$F$353,IFERROR(MATCH(4,'كشف الحساب'!$N$4:$N$353,0),0))),"")</f>
        <v>نقداً</v>
      </c>
      <c r="G8" s="61" t="str">
        <f>IFERROR(IF(IFERROR(MATCH(4,'كشف الحساب'!$N$4:$N$353,0),0)=0,"",INDEX('كشف الحساب'!$G$4:$G$353,IFERROR(MATCH(4,'كشف الحساب'!$N$4:$N$353,0),0))),"")</f>
        <v>المحفظة</v>
      </c>
      <c r="H8" s="61" t="str">
        <f>IFERROR(IF(IFERROR(MATCH(4,'كشف الحساب'!$N$4:$N$353,0),0)=0,"",INDEX('كشف الحساب'!$H$4:$H$353,IFERROR(MATCH(4,'كشف الحساب'!$N$4:$N$353,0),0))),"")</f>
        <v>تم الدفع</v>
      </c>
      <c r="I8" s="61">
        <f>IFERROR(IF(IFERROR(MATCH(4,'كشف الحساب'!$N$4:$N$353,0),0)=0,"",INDEX('كشف الحساب'!$I$4:$I$353,IFERROR(MATCH(4,'كشف الحساب'!$N$4:$N$353,0),0))),"")</f>
        <v>0</v>
      </c>
      <c r="J8" s="34">
        <f>IFERROR(IF(IFERROR(MATCH(4,'كشف الحساب'!$N$4:$N$353,0),0)=0,"",INDEX('كشف الحساب'!$J$4:$J$353,IFERROR(MATCH(4,'كشف الحساب'!$N$4:$N$353,0),0))),"")</f>
        <v>23.64500000000001</v>
      </c>
      <c r="K8" s="61">
        <f>IFERROR(IF(IFERROR(MATCH(4,'كشف الحساب'!$N$4:$N$353,0),0)=0,"",INDEX('كشف الحساب'!$K$4:$K$353,IFERROR(MATCH(4,'كشف الحساب'!$N$4:$N$353,0),0))),"")</f>
        <v>0</v>
      </c>
    </row>
    <row r="9" spans="1:11" ht="16.5" customHeight="1" x14ac:dyDescent="0.25">
      <c r="A9" s="139">
        <f>IFERROR(IF(IFERROR(MATCH(5,'كشف الحساب'!$N$4:$N$353,0),0)=0,"",INDEX('كشف الحساب'!$A$4:$A$353,IFERROR(MATCH(5,'كشف الحساب'!$N$4:$N$353,0),0))),"")</f>
        <v>46239</v>
      </c>
      <c r="B9" s="59" t="str">
        <f>IFERROR(IF(IFERROR(MATCH(5,'كشف الحساب'!$N$4:$N$353,0),0)=0,"",INDEX('كشف الحساب'!$B$4:$B$353,IFERROR(MATCH(5,'كشف الحساب'!$N$4:$N$353,0),0))),"")</f>
        <v>Inv-109</v>
      </c>
      <c r="C9" s="37" t="str">
        <f>IFERROR(IF(IFERROR(MATCH(5,'كشف الحساب'!$N$4:$N$353,0),0)=0,"",INDEX('كشف الحساب'!$C$4:$C$353,IFERROR(MATCH(5,'كشف الحساب'!$N$4:$N$353,0),0))),"")</f>
        <v>متنوع عدد 1 الحبه 1</v>
      </c>
      <c r="D9" s="38">
        <f>IFERROR(IF(IFERROR(MATCH(5,'كشف الحساب'!$N$4:$N$353,0),0)=0,"",INDEX('كشف الحساب'!$D$4:$D$353,IFERROR(MATCH(5,'كشف الحساب'!$N$4:$N$353,0),0))),"")</f>
        <v>0</v>
      </c>
      <c r="E9" s="60">
        <f>IFERROR(IF(IFERROR(MATCH(5,'كشف الحساب'!$N$4:$N$353,0),0)=0,"",INDEX('كشف الحساب'!$E$4:$E$353,IFERROR(MATCH(5,'كشف الحساب'!$N$4:$N$353,0),0))),"")</f>
        <v>1</v>
      </c>
      <c r="F9" s="59" t="str">
        <f>IFERROR(IF(IFERROR(MATCH(5,'كشف الحساب'!$N$4:$N$353,0),0)=0,"",INDEX('كشف الحساب'!$F$4:$F$353,IFERROR(MATCH(5,'كشف الحساب'!$N$4:$N$353,0),0))),"")</f>
        <v>أون لاين</v>
      </c>
      <c r="G9" s="59">
        <f>IFERROR(IF(IFERROR(MATCH(5,'كشف الحساب'!$N$4:$N$353,0),0)=0,"",INDEX('كشف الحساب'!$G$4:$G$353,IFERROR(MATCH(5,'كشف الحساب'!$N$4:$N$353,0),0))),"")</f>
        <v>0</v>
      </c>
      <c r="H9" s="59" t="str">
        <f>IFERROR(IF(IFERROR(MATCH(5,'كشف الحساب'!$N$4:$N$353,0),0)=0,"",INDEX('كشف الحساب'!$H$4:$H$353,IFERROR(MATCH(5,'كشف الحساب'!$N$4:$N$353,0),0))),"")</f>
        <v>تم الدفع</v>
      </c>
      <c r="I9" s="59">
        <f>IFERROR(IF(IFERROR(MATCH(5,'كشف الحساب'!$N$4:$N$353,0),0)=0,"",INDEX('كشف الحساب'!$I$4:$I$353,IFERROR(MATCH(5,'كشف الحساب'!$N$4:$N$353,0),0))),"")</f>
        <v>0</v>
      </c>
      <c r="J9" s="43">
        <f>IFERROR(IF(IFERROR(MATCH(5,'كشف الحساب'!$N$4:$N$353,0),0)=0,"",INDEX('كشف الحساب'!$J$4:$J$353,IFERROR(MATCH(5,'كشف الحساب'!$N$4:$N$353,0),0))),"")</f>
        <v>24.64500000000001</v>
      </c>
      <c r="K9" s="59">
        <f>IFERROR(IF(IFERROR(MATCH(5,'كشف الحساب'!$N$4:$N$353,0),0)=0,"",INDEX('كشف الحساب'!$K$4:$K$353,IFERROR(MATCH(5,'كشف الحساب'!$N$4:$N$353,0),0))),"")</f>
        <v>0</v>
      </c>
    </row>
    <row r="10" spans="1:11" ht="16.5" customHeight="1" x14ac:dyDescent="0.25">
      <c r="A10" s="25">
        <f>IFERROR(IF(IFERROR(MATCH(6,'كشف الحساب'!$N$4:$N$353,0),0)=0,"",INDEX('كشف الحساب'!$A$4:$A$353,IFERROR(MATCH(6,'كشف الحساب'!$N$4:$N$353,0),0))),"")</f>
        <v>46240</v>
      </c>
      <c r="B10" s="61" t="str">
        <f>IFERROR(IF(IFERROR(MATCH(6,'كشف الحساب'!$N$4:$N$353,0),0)=0,"",INDEX('كشف الحساب'!$B$4:$B$353,IFERROR(MATCH(6,'كشف الحساب'!$N$4:$N$353,0),0))),"")</f>
        <v>Inv-110</v>
      </c>
      <c r="C10" s="27" t="str">
        <f>IFERROR(IF(IFERROR(MATCH(6,'كشف الحساب'!$N$4:$N$353,0),0)=0,"",INDEX('كشف الحساب'!$C$4:$C$353,IFERROR(MATCH(6,'كشف الحساب'!$N$4:$N$353,0),0))),"")</f>
        <v>متنوع عدد10 الحبه 1</v>
      </c>
      <c r="D10" s="28">
        <f>IFERROR(IF(IFERROR(MATCH(6,'كشف الحساب'!$N$4:$N$353,0),0)=0,"",INDEX('كشف الحساب'!$D$4:$D$353,IFERROR(MATCH(6,'كشف الحساب'!$N$4:$N$353,0),0))),"")</f>
        <v>0</v>
      </c>
      <c r="E10" s="62">
        <f>IFERROR(IF(IFERROR(MATCH(6,'كشف الحساب'!$N$4:$N$353,0),0)=0,"",INDEX('كشف الحساب'!$E$4:$E$353,IFERROR(MATCH(6,'كشف الحساب'!$N$4:$N$353,0),0))),"")</f>
        <v>10</v>
      </c>
      <c r="F10" s="61" t="str">
        <f>IFERROR(IF(IFERROR(MATCH(6,'كشف الحساب'!$N$4:$N$353,0),0)=0,"",INDEX('كشف الحساب'!$F$4:$F$353,IFERROR(MATCH(6,'كشف الحساب'!$N$4:$N$353,0),0))),"")</f>
        <v>أون لاين</v>
      </c>
      <c r="G10" s="61">
        <f>IFERROR(IF(IFERROR(MATCH(6,'كشف الحساب'!$N$4:$N$353,0),0)=0,"",INDEX('كشف الحساب'!$G$4:$G$353,IFERROR(MATCH(6,'كشف الحساب'!$N$4:$N$353,0),0))),"")</f>
        <v>0</v>
      </c>
      <c r="H10" s="61" t="str">
        <f>IFERROR(IF(IFERROR(MATCH(6,'كشف الحساب'!$N$4:$N$353,0),0)=0,"",INDEX('كشف الحساب'!$H$4:$H$353,IFERROR(MATCH(6,'كشف الحساب'!$N$4:$N$353,0),0))),"")</f>
        <v>تم الدفع</v>
      </c>
      <c r="I10" s="61">
        <f>IFERROR(IF(IFERROR(MATCH(6,'كشف الحساب'!$N$4:$N$353,0),0)=0,"",INDEX('كشف الحساب'!$I$4:$I$353,IFERROR(MATCH(6,'كشف الحساب'!$N$4:$N$353,0),0))),"")</f>
        <v>0</v>
      </c>
      <c r="J10" s="34">
        <f>IFERROR(IF(IFERROR(MATCH(6,'كشف الحساب'!$N$4:$N$353,0),0)=0,"",INDEX('كشف الحساب'!$J$4:$J$353,IFERROR(MATCH(6,'كشف الحساب'!$N$4:$N$353,0),0))),"")</f>
        <v>34.64500000000001</v>
      </c>
      <c r="K10" s="61">
        <f>IFERROR(IF(IFERROR(MATCH(6,'كشف الحساب'!$N$4:$N$353,0),0)=0,"",INDEX('كشف الحساب'!$K$4:$K$353,IFERROR(MATCH(6,'كشف الحساب'!$N$4:$N$353,0),0))),"")</f>
        <v>0</v>
      </c>
    </row>
    <row r="11" spans="1:11" ht="16.5" customHeight="1" x14ac:dyDescent="0.25">
      <c r="A11" s="139">
        <f>IFERROR(IF(IFERROR(MATCH(7,'كشف الحساب'!$N$4:$N$353,0),0)=0,"",INDEX('كشف الحساب'!$A$4:$A$353,IFERROR(MATCH(7,'كشف الحساب'!$N$4:$N$353,0),0))),"")</f>
        <v>46240</v>
      </c>
      <c r="B11" s="59" t="str">
        <f>IFERROR(IF(IFERROR(MATCH(7,'كشف الحساب'!$N$4:$N$353,0),0)=0,"",INDEX('كشف الحساب'!$B$4:$B$353,IFERROR(MATCH(7,'كشف الحساب'!$N$4:$N$353,0),0))),"")</f>
        <v>Inv-111</v>
      </c>
      <c r="C11" s="37" t="str">
        <f>IFERROR(IF(IFERROR(MATCH(7,'كشف الحساب'!$N$4:$N$353,0),0)=0,"",INDEX('كشف الحساب'!$C$4:$C$353,IFERROR(MATCH(7,'كشف الحساب'!$N$4:$N$353,0),0))),"")</f>
        <v>متنوع 6 عدد 1</v>
      </c>
      <c r="D11" s="38">
        <f>IFERROR(IF(IFERROR(MATCH(7,'كشف الحساب'!$N$4:$N$353,0),0)=0,"",INDEX('كشف الحساب'!$D$4:$D$353,IFERROR(MATCH(7,'كشف الحساب'!$N$4:$N$353,0),0))),"")</f>
        <v>0</v>
      </c>
      <c r="E11" s="60">
        <f>IFERROR(IF(IFERROR(MATCH(7,'كشف الحساب'!$N$4:$N$353,0),0)=0,"",INDEX('كشف الحساب'!$E$4:$E$353,IFERROR(MATCH(7,'كشف الحساب'!$N$4:$N$353,0),0))),"")</f>
        <v>6</v>
      </c>
      <c r="F11" s="59" t="str">
        <f>IFERROR(IF(IFERROR(MATCH(7,'كشف الحساب'!$N$4:$N$353,0),0)=0,"",INDEX('كشف الحساب'!$F$4:$F$353,IFERROR(MATCH(7,'كشف الحساب'!$N$4:$N$353,0),0))),"")</f>
        <v>أون لاين</v>
      </c>
      <c r="G11" s="59">
        <f>IFERROR(IF(IFERROR(MATCH(7,'كشف الحساب'!$N$4:$N$353,0),0)=0,"",INDEX('كشف الحساب'!$G$4:$G$353,IFERROR(MATCH(7,'كشف الحساب'!$N$4:$N$353,0),0))),"")</f>
        <v>0</v>
      </c>
      <c r="H11" s="59" t="str">
        <f>IFERROR(IF(IFERROR(MATCH(7,'كشف الحساب'!$N$4:$N$353,0),0)=0,"",INDEX('كشف الحساب'!$H$4:$H$353,IFERROR(MATCH(7,'كشف الحساب'!$N$4:$N$353,0),0))),"")</f>
        <v>تم الدفع</v>
      </c>
      <c r="I11" s="59">
        <f>IFERROR(IF(IFERROR(MATCH(7,'كشف الحساب'!$N$4:$N$353,0),0)=0,"",INDEX('كشف الحساب'!$I$4:$I$353,IFERROR(MATCH(7,'كشف الحساب'!$N$4:$N$353,0),0))),"")</f>
        <v>0</v>
      </c>
      <c r="J11" s="43">
        <f>IFERROR(IF(IFERROR(MATCH(7,'كشف الحساب'!$N$4:$N$353,0),0)=0,"",INDEX('كشف الحساب'!$J$4:$J$353,IFERROR(MATCH(7,'كشف الحساب'!$N$4:$N$353,0),0))),"")</f>
        <v>40.64500000000001</v>
      </c>
      <c r="K11" s="59">
        <f>IFERROR(IF(IFERROR(MATCH(7,'كشف الحساب'!$N$4:$N$353,0),0)=0,"",INDEX('كشف الحساب'!$K$4:$K$353,IFERROR(MATCH(7,'كشف الحساب'!$N$4:$N$353,0),0))),"")</f>
        <v>0</v>
      </c>
    </row>
    <row r="12" spans="1:11" ht="16.5" customHeight="1" x14ac:dyDescent="0.25">
      <c r="A12" s="25">
        <f>IFERROR(IF(IFERROR(MATCH(8,'كشف الحساب'!$N$4:$N$353,0),0)=0,"",INDEX('كشف الحساب'!$A$4:$A$353,IFERROR(MATCH(8,'كشف الحساب'!$N$4:$N$353,0),0))),"")</f>
        <v>46240</v>
      </c>
      <c r="B12" s="61" t="str">
        <f>IFERROR(IF(IFERROR(MATCH(8,'كشف الحساب'!$N$4:$N$353,0),0)=0,"",INDEX('كشف الحساب'!$B$4:$B$353,IFERROR(MATCH(8,'كشف الحساب'!$N$4:$N$353,0),0))),"")</f>
        <v>Inv-112</v>
      </c>
      <c r="C12" s="27" t="str">
        <f>IFERROR(IF(IFERROR(MATCH(8,'كشف الحساب'!$N$4:$N$353,0),0)=0,"",INDEX('كشف الحساب'!$C$4:$C$353,IFERROR(MATCH(8,'كشف الحساب'!$N$4:$N$353,0),0))),"")</f>
        <v>ربل عدد 15 الحبه2</v>
      </c>
      <c r="D12" s="28">
        <f>IFERROR(IF(IFERROR(MATCH(8,'كشف الحساب'!$N$4:$N$353,0),0)=0,"",INDEX('كشف الحساب'!$D$4:$D$353,IFERROR(MATCH(8,'كشف الحساب'!$N$4:$N$353,0),0))),"")</f>
        <v>0</v>
      </c>
      <c r="E12" s="62">
        <f>IFERROR(IF(IFERROR(MATCH(8,'كشف الحساب'!$N$4:$N$353,0),0)=0,"",INDEX('كشف الحساب'!$E$4:$E$353,IFERROR(MATCH(8,'كشف الحساب'!$N$4:$N$353,0),0))),"")</f>
        <v>29</v>
      </c>
      <c r="F12" s="61" t="str">
        <f>IFERROR(IF(IFERROR(MATCH(8,'كشف الحساب'!$N$4:$N$353,0),0)=0,"",INDEX('كشف الحساب'!$F$4:$F$353,IFERROR(MATCH(8,'كشف الحساب'!$N$4:$N$353,0),0))),"")</f>
        <v>أون لاين</v>
      </c>
      <c r="G12" s="61">
        <f>IFERROR(IF(IFERROR(MATCH(8,'كشف الحساب'!$N$4:$N$353,0),0)=0,"",INDEX('كشف الحساب'!$G$4:$G$353,IFERROR(MATCH(8,'كشف الحساب'!$N$4:$N$353,0),0))),"")</f>
        <v>0</v>
      </c>
      <c r="H12" s="61" t="str">
        <f>IFERROR(IF(IFERROR(MATCH(8,'كشف الحساب'!$N$4:$N$353,0),0)=0,"",INDEX('كشف الحساب'!$H$4:$H$353,IFERROR(MATCH(8,'كشف الحساب'!$N$4:$N$353,0),0))),"")</f>
        <v>تم الدفع</v>
      </c>
      <c r="I12" s="61">
        <f>IFERROR(IF(IFERROR(MATCH(8,'كشف الحساب'!$N$4:$N$353,0),0)=0,"",INDEX('كشف الحساب'!$I$4:$I$353,IFERROR(MATCH(8,'كشف الحساب'!$N$4:$N$353,0),0))),"")</f>
        <v>0</v>
      </c>
      <c r="J12" s="34">
        <f>IFERROR(IF(IFERROR(MATCH(8,'كشف الحساب'!$N$4:$N$353,0),0)=0,"",INDEX('كشف الحساب'!$J$4:$J$353,IFERROR(MATCH(8,'كشف الحساب'!$N$4:$N$353,0),0))),"")</f>
        <v>69.64500000000001</v>
      </c>
      <c r="K12" s="61" t="str">
        <f>IFERROR(IF(IFERROR(MATCH(8,'كشف الحساب'!$N$4:$N$353,0),0)=0,"",INDEX('كشف الحساب'!$K$4:$K$353,IFERROR(MATCH(8,'كشف الحساب'!$N$4:$N$353,0),0))),"")</f>
        <v>السعر الأصلي 30 تم خصم 1 ليكون 29</v>
      </c>
    </row>
    <row r="13" spans="1:11" ht="16.5" customHeight="1" x14ac:dyDescent="0.25">
      <c r="A13" s="139">
        <f>IFERROR(IF(IFERROR(MATCH(9,'كشف الحساب'!$N$4:$N$353,0),0)=0,"",INDEX('كشف الحساب'!$A$4:$A$353,IFERROR(MATCH(9,'كشف الحساب'!$N$4:$N$353,0),0))),"")</f>
        <v>46240</v>
      </c>
      <c r="B13" s="59">
        <f>IFERROR(IF(IFERROR(MATCH(9,'كشف الحساب'!$N$4:$N$353,0),0)=0,"",INDEX('كشف الحساب'!$B$4:$B$353,IFERROR(MATCH(9,'كشف الحساب'!$N$4:$N$353,0),0))),"")</f>
        <v>0</v>
      </c>
      <c r="C13" s="37" t="str">
        <f>IFERROR(IF(IFERROR(MATCH(9,'كشف الحساب'!$N$4:$N$353,0),0)=0,"",INDEX('كشف الحساب'!$C$4:$C$353,IFERROR(MATCH(9,'كشف الحساب'!$N$4:$N$353,0),0))),"")</f>
        <v>كيميكل للمعالج</v>
      </c>
      <c r="D13" s="38">
        <f>IFERROR(IF(IFERROR(MATCH(9,'كشف الحساب'!$N$4:$N$353,0),0)=0,"",INDEX('كشف الحساب'!$D$4:$D$353,IFERROR(MATCH(9,'كشف الحساب'!$N$4:$N$353,0),0))),"")</f>
        <v>29</v>
      </c>
      <c r="E13" s="60">
        <f>IFERROR(IF(IFERROR(MATCH(9,'كشف الحساب'!$N$4:$N$353,0),0)=0,"",INDEX('كشف الحساب'!$E$4:$E$353,IFERROR(MATCH(9,'كشف الحساب'!$N$4:$N$353,0),0))),"")</f>
        <v>0</v>
      </c>
      <c r="F13" s="59" t="str">
        <f>IFERROR(IF(IFERROR(MATCH(9,'كشف الحساب'!$N$4:$N$353,0),0)=0,"",INDEX('كشف الحساب'!$F$4:$F$353,IFERROR(MATCH(9,'كشف الحساب'!$N$4:$N$353,0),0))),"")</f>
        <v>نقداً</v>
      </c>
      <c r="G13" s="59" t="str">
        <f>IFERROR(IF(IFERROR(MATCH(9,'كشف الحساب'!$N$4:$N$353,0),0)=0,"",INDEX('كشف الحساب'!$G$4:$G$353,IFERROR(MATCH(9,'كشف الحساب'!$N$4:$N$353,0),0))),"")</f>
        <v>المحفظة</v>
      </c>
      <c r="H13" s="59" t="str">
        <f>IFERROR(IF(IFERROR(MATCH(9,'كشف الحساب'!$N$4:$N$353,0),0)=0,"",INDEX('كشف الحساب'!$H$4:$H$353,IFERROR(MATCH(9,'كشف الحساب'!$N$4:$N$353,0),0))),"")</f>
        <v>تم الدفع</v>
      </c>
      <c r="I13" s="59">
        <f>IFERROR(IF(IFERROR(MATCH(9,'كشف الحساب'!$N$4:$N$353,0),0)=0,"",INDEX('كشف الحساب'!$I$4:$I$353,IFERROR(MATCH(9,'كشف الحساب'!$N$4:$N$353,0),0))),"")</f>
        <v>0</v>
      </c>
      <c r="J13" s="43">
        <f>IFERROR(IF(IFERROR(MATCH(9,'كشف الحساب'!$N$4:$N$353,0),0)=0,"",INDEX('كشف الحساب'!$J$4:$J$353,IFERROR(MATCH(9,'كشف الحساب'!$N$4:$N$353,0),0))),"")</f>
        <v>40.64500000000001</v>
      </c>
      <c r="K13" s="59">
        <f>IFERROR(IF(IFERROR(MATCH(9,'كشف الحساب'!$N$4:$N$353,0),0)=0,"",INDEX('كشف الحساب'!$K$4:$K$353,IFERROR(MATCH(9,'كشف الحساب'!$N$4:$N$353,0),0))),"")</f>
        <v>0</v>
      </c>
    </row>
    <row r="14" spans="1:11" ht="16.5" customHeight="1" x14ac:dyDescent="0.25">
      <c r="A14" s="25">
        <f>IFERROR(IF(IFERROR(MATCH(10,'كشف الحساب'!$N$4:$N$353,0),0)=0,"",INDEX('كشف الحساب'!$A$4:$A$353,IFERROR(MATCH(10,'كشف الحساب'!$N$4:$N$353,0),0))),"")</f>
        <v>46240</v>
      </c>
      <c r="B14" s="61">
        <f>IFERROR(IF(IFERROR(MATCH(10,'كشف الحساب'!$N$4:$N$353,0),0)=0,"",INDEX('كشف الحساب'!$B$4:$B$353,IFERROR(MATCH(10,'كشف الحساب'!$N$4:$N$353,0),0))),"")</f>
        <v>0</v>
      </c>
      <c r="C14" s="27" t="str">
        <f>IFERROR(IF(IFERROR(MATCH(10,'كشف الحساب'!$N$4:$N$353,0),0)=0,"",INDEX('كشف الحساب'!$C$4:$C$353,IFERROR(MATCH(10,'كشف الحساب'!$N$4:$N$353,0),0))),"")</f>
        <v>ترمستات الثلاجه الكبيره</v>
      </c>
      <c r="D14" s="28">
        <f>IFERROR(IF(IFERROR(MATCH(10,'كشف الحساب'!$N$4:$N$353,0),0)=0,"",INDEX('كشف الحساب'!$D$4:$D$353,IFERROR(MATCH(10,'كشف الحساب'!$N$4:$N$353,0),0))),"")</f>
        <v>5.75</v>
      </c>
      <c r="E14" s="62">
        <f>IFERROR(IF(IFERROR(MATCH(10,'كشف الحساب'!$N$4:$N$353,0),0)=0,"",INDEX('كشف الحساب'!$E$4:$E$353,IFERROR(MATCH(10,'كشف الحساب'!$N$4:$N$353,0),0))),"")</f>
        <v>0</v>
      </c>
      <c r="F14" s="61" t="str">
        <f>IFERROR(IF(IFERROR(MATCH(10,'كشف الحساب'!$N$4:$N$353,0),0)=0,"",INDEX('كشف الحساب'!$F$4:$F$353,IFERROR(MATCH(10,'كشف الحساب'!$N$4:$N$353,0),0))),"")</f>
        <v>نقداً</v>
      </c>
      <c r="G14" s="61" t="str">
        <f>IFERROR(IF(IFERROR(MATCH(10,'كشف الحساب'!$N$4:$N$353,0),0)=0,"",INDEX('كشف الحساب'!$G$4:$G$353,IFERROR(MATCH(10,'كشف الحساب'!$N$4:$N$353,0),0))),"")</f>
        <v>المحفظة</v>
      </c>
      <c r="H14" s="61" t="str">
        <f>IFERROR(IF(IFERROR(MATCH(10,'كشف الحساب'!$N$4:$N$353,0),0)=0,"",INDEX('كشف الحساب'!$H$4:$H$353,IFERROR(MATCH(10,'كشف الحساب'!$N$4:$N$353,0),0))),"")</f>
        <v>تم الدفع</v>
      </c>
      <c r="I14" s="61">
        <f>IFERROR(IF(IFERROR(MATCH(10,'كشف الحساب'!$N$4:$N$353,0),0)=0,"",INDEX('كشف الحساب'!$I$4:$I$353,IFERROR(MATCH(10,'كشف الحساب'!$N$4:$N$353,0),0))),"")</f>
        <v>0</v>
      </c>
      <c r="J14" s="34">
        <f>IFERROR(IF(IFERROR(MATCH(10,'كشف الحساب'!$N$4:$N$353,0),0)=0,"",INDEX('كشف الحساب'!$J$4:$J$353,IFERROR(MATCH(10,'كشف الحساب'!$N$4:$N$353,0),0))),"")</f>
        <v>34.89500000000001</v>
      </c>
      <c r="K14" s="61">
        <f>IFERROR(IF(IFERROR(MATCH(10,'كشف الحساب'!$N$4:$N$353,0),0)=0,"",INDEX('كشف الحساب'!$K$4:$K$353,IFERROR(MATCH(10,'كشف الحساب'!$N$4:$N$353,0),0))),"")</f>
        <v>0</v>
      </c>
    </row>
    <row r="15" spans="1:11" ht="16.5" customHeight="1" x14ac:dyDescent="0.25">
      <c r="A15" s="139">
        <f>IFERROR(IF(IFERROR(MATCH(11,'كشف الحساب'!$N$4:$N$353,0),0)=0,"",INDEX('كشف الحساب'!$A$4:$A$353,IFERROR(MATCH(11,'كشف الحساب'!$N$4:$N$353,0),0))),"")</f>
        <v>46244</v>
      </c>
      <c r="B15" s="59" t="str">
        <f>IFERROR(IF(IFERROR(MATCH(11,'كشف الحساب'!$N$4:$N$353,0),0)=0,"",INDEX('كشف الحساب'!$B$4:$B$353,IFERROR(MATCH(11,'كشف الحساب'!$N$4:$N$353,0),0))),"")</f>
        <v>Inv-113</v>
      </c>
      <c r="C15" s="37" t="str">
        <f>IFERROR(IF(IFERROR(MATCH(11,'كشف الحساب'!$N$4:$N$353,0),0)=0,"",INDEX('كشف الحساب'!$C$4:$C$353,IFERROR(MATCH(11,'كشف الحساب'!$N$4:$N$353,0),0))),"")</f>
        <v>ربل  عدد 40 الحبه 2.250</v>
      </c>
      <c r="D15" s="38">
        <f>IFERROR(IF(IFERROR(MATCH(11,'كشف الحساب'!$N$4:$N$353,0),0)=0,"",INDEX('كشف الحساب'!$D$4:$D$353,IFERROR(MATCH(11,'كشف الحساب'!$N$4:$N$353,0),0))),"")</f>
        <v>0</v>
      </c>
      <c r="E15" s="60">
        <f>IFERROR(IF(IFERROR(MATCH(11,'كشف الحساب'!$N$4:$N$353,0),0)=0,"",INDEX('كشف الحساب'!$E$4:$E$353,IFERROR(MATCH(11,'كشف الحساب'!$N$4:$N$353,0),0))),"")</f>
        <v>90</v>
      </c>
      <c r="F15" s="59" t="str">
        <f>IFERROR(IF(IFERROR(MATCH(11,'كشف الحساب'!$N$4:$N$353,0),0)=0,"",INDEX('كشف الحساب'!$F$4:$F$353,IFERROR(MATCH(11,'كشف الحساب'!$N$4:$N$353,0),0))),"")</f>
        <v>نقداً</v>
      </c>
      <c r="G15" s="59">
        <f>IFERROR(IF(IFERROR(MATCH(11,'كشف الحساب'!$N$4:$N$353,0),0)=0,"",INDEX('كشف الحساب'!$G$4:$G$353,IFERROR(MATCH(11,'كشف الحساب'!$N$4:$N$353,0),0))),"")</f>
        <v>0</v>
      </c>
      <c r="H15" s="59" t="str">
        <f>IFERROR(IF(IFERROR(MATCH(11,'كشف الحساب'!$N$4:$N$353,0),0)=0,"",INDEX('كشف الحساب'!$H$4:$H$353,IFERROR(MATCH(11,'كشف الحساب'!$N$4:$N$353,0),0))),"")</f>
        <v>تم الدفع</v>
      </c>
      <c r="I15" s="59">
        <f>IFERROR(IF(IFERROR(MATCH(11,'كشف الحساب'!$N$4:$N$353,0),0)=0,"",INDEX('كشف الحساب'!$I$4:$I$353,IFERROR(MATCH(11,'كشف الحساب'!$N$4:$N$353,0),0))),"")</f>
        <v>0</v>
      </c>
      <c r="J15" s="43">
        <f>IFERROR(IF(IFERROR(MATCH(11,'كشف الحساب'!$N$4:$N$353,0),0)=0,"",INDEX('كشف الحساب'!$J$4:$J$353,IFERROR(MATCH(11,'كشف الحساب'!$N$4:$N$353,0),0))),"")</f>
        <v>124.89500000000001</v>
      </c>
      <c r="K15" s="59">
        <f>IFERROR(IF(IFERROR(MATCH(11,'كشف الحساب'!$N$4:$N$353,0),0)=0,"",INDEX('كشف الحساب'!$K$4:$K$353,IFERROR(MATCH(11,'كشف الحساب'!$N$4:$N$353,0),0))),"")</f>
        <v>0</v>
      </c>
    </row>
    <row r="16" spans="1:11" ht="16.5" customHeight="1" x14ac:dyDescent="0.25">
      <c r="A16" s="25">
        <f>IFERROR(IF(IFERROR(MATCH(12,'كشف الحساب'!$N$4:$N$353,0),0)=0,"",INDEX('كشف الحساب'!$A$4:$A$353,IFERROR(MATCH(12,'كشف الحساب'!$N$4:$N$353,0),0))),"")</f>
        <v>46244</v>
      </c>
      <c r="B16" s="61" t="str">
        <f>IFERROR(IF(IFERROR(MATCH(12,'كشف الحساب'!$N$4:$N$353,0),0)=0,"",INDEX('كشف الحساب'!$B$4:$B$353,IFERROR(MATCH(12,'كشف الحساب'!$N$4:$N$353,0),0))),"")</f>
        <v>Inv-114</v>
      </c>
      <c r="C16" s="27" t="str">
        <f>IFERROR(IF(IFERROR(MATCH(12,'كشف الحساب'!$N$4:$N$353,0),0)=0,"",INDEX('كشف الحساب'!$C$4:$C$353,IFERROR(MATCH(12,'كشف الحساب'!$N$4:$N$353,0),0))),"")</f>
        <v>متنوع 8 الحبه 1</v>
      </c>
      <c r="D16" s="28">
        <f>IFERROR(IF(IFERROR(MATCH(12,'كشف الحساب'!$N$4:$N$353,0),0)=0,"",INDEX('كشف الحساب'!$D$4:$D$353,IFERROR(MATCH(12,'كشف الحساب'!$N$4:$N$353,0),0))),"")</f>
        <v>0</v>
      </c>
      <c r="E16" s="62">
        <f>IFERROR(IF(IFERROR(MATCH(12,'كشف الحساب'!$N$4:$N$353,0),0)=0,"",INDEX('كشف الحساب'!$E$4:$E$353,IFERROR(MATCH(12,'كشف الحساب'!$N$4:$N$353,0),0))),"")</f>
        <v>8</v>
      </c>
      <c r="F16" s="61" t="str">
        <f>IFERROR(IF(IFERROR(MATCH(12,'كشف الحساب'!$N$4:$N$353,0),0)=0,"",INDEX('كشف الحساب'!$F$4:$F$353,IFERROR(MATCH(12,'كشف الحساب'!$N$4:$N$353,0),0))),"")</f>
        <v>نقداً</v>
      </c>
      <c r="G16" s="61">
        <f>IFERROR(IF(IFERROR(MATCH(12,'كشف الحساب'!$N$4:$N$353,0),0)=0,"",INDEX('كشف الحساب'!$G$4:$G$353,IFERROR(MATCH(12,'كشف الحساب'!$N$4:$N$353,0),0))),"")</f>
        <v>0</v>
      </c>
      <c r="H16" s="61" t="str">
        <f>IFERROR(IF(IFERROR(MATCH(12,'كشف الحساب'!$N$4:$N$353,0),0)=0,"",INDEX('كشف الحساب'!$H$4:$H$353,IFERROR(MATCH(12,'كشف الحساب'!$N$4:$N$353,0),0))),"")</f>
        <v>تم الدفع</v>
      </c>
      <c r="I16" s="61">
        <f>IFERROR(IF(IFERROR(MATCH(12,'كشف الحساب'!$N$4:$N$353,0),0)=0,"",INDEX('كشف الحساب'!$I$4:$I$353,IFERROR(MATCH(12,'كشف الحساب'!$N$4:$N$353,0),0))),"")</f>
        <v>0</v>
      </c>
      <c r="J16" s="34">
        <f>IFERROR(IF(IFERROR(MATCH(12,'كشف الحساب'!$N$4:$N$353,0),0)=0,"",INDEX('كشف الحساب'!$J$4:$J$353,IFERROR(MATCH(12,'كشف الحساب'!$N$4:$N$353,0),0))),"")</f>
        <v>132.89500000000001</v>
      </c>
      <c r="K16" s="61">
        <f>IFERROR(IF(IFERROR(MATCH(12,'كشف الحساب'!$N$4:$N$353,0),0)=0,"",INDEX('كشف الحساب'!$K$4:$K$353,IFERROR(MATCH(12,'كشف الحساب'!$N$4:$N$353,0),0))),"")</f>
        <v>0</v>
      </c>
    </row>
    <row r="17" spans="1:11" ht="16.5" customHeight="1" x14ac:dyDescent="0.25">
      <c r="A17" s="139">
        <f>IFERROR(IF(IFERROR(MATCH(13,'كشف الحساب'!$N$4:$N$353,0),0)=0,"",INDEX('كشف الحساب'!$A$4:$A$353,IFERROR(MATCH(13,'كشف الحساب'!$N$4:$N$353,0),0))),"")</f>
        <v>46245</v>
      </c>
      <c r="B17" s="59">
        <f>IFERROR(IF(IFERROR(MATCH(13,'كشف الحساب'!$N$4:$N$353,0),0)=0,"",INDEX('كشف الحساب'!$B$4:$B$353,IFERROR(MATCH(13,'كشف الحساب'!$N$4:$N$353,0),0))),"")</f>
        <v>0</v>
      </c>
      <c r="C17" s="37" t="str">
        <f>IFERROR(IF(IFERROR(MATCH(13,'كشف الحساب'!$N$4:$N$353,0),0)=0,"",INDEX('كشف الحساب'!$C$4:$C$353,IFERROR(MATCH(13,'كشف الحساب'!$N$4:$N$353,0),0))),"")</f>
        <v>احواض معلقه + كوكوبيت</v>
      </c>
      <c r="D17" s="38">
        <f>IFERROR(IF(IFERROR(MATCH(13,'كشف الحساب'!$N$4:$N$353,0),0)=0,"",INDEX('كشف الحساب'!$D$4:$D$353,IFERROR(MATCH(13,'كشف الحساب'!$N$4:$N$353,0),0))),"")</f>
        <v>55</v>
      </c>
      <c r="E17" s="60">
        <f>IFERROR(IF(IFERROR(MATCH(13,'كشف الحساب'!$N$4:$N$353,0),0)=0,"",INDEX('كشف الحساب'!$E$4:$E$353,IFERROR(MATCH(13,'كشف الحساب'!$N$4:$N$353,0),0))),"")</f>
        <v>0</v>
      </c>
      <c r="F17" s="59" t="str">
        <f>IFERROR(IF(IFERROR(MATCH(13,'كشف الحساب'!$N$4:$N$353,0),0)=0,"",INDEX('كشف الحساب'!$F$4:$F$353,IFERROR(MATCH(13,'كشف الحساب'!$N$4:$N$353,0),0))),"")</f>
        <v>نقداً</v>
      </c>
      <c r="G17" s="59" t="str">
        <f>IFERROR(IF(IFERROR(MATCH(13,'كشف الحساب'!$N$4:$N$353,0),0)=0,"",INDEX('كشف الحساب'!$G$4:$G$353,IFERROR(MATCH(13,'كشف الحساب'!$N$4:$N$353,0),0))),"")</f>
        <v>المحفظة</v>
      </c>
      <c r="H17" s="59" t="str">
        <f>IFERROR(IF(IFERROR(MATCH(13,'كشف الحساب'!$N$4:$N$353,0),0)=0,"",INDEX('كشف الحساب'!$H$4:$H$353,IFERROR(MATCH(13,'كشف الحساب'!$N$4:$N$353,0),0))),"")</f>
        <v>تم الدفع</v>
      </c>
      <c r="I17" s="59">
        <f>IFERROR(IF(IFERROR(MATCH(13,'كشف الحساب'!$N$4:$N$353,0),0)=0,"",INDEX('كشف الحساب'!$I$4:$I$353,IFERROR(MATCH(13,'كشف الحساب'!$N$4:$N$353,0),0))),"")</f>
        <v>0</v>
      </c>
      <c r="J17" s="43">
        <f>IFERROR(IF(IFERROR(MATCH(13,'كشف الحساب'!$N$4:$N$353,0),0)=0,"",INDEX('كشف الحساب'!$J$4:$J$353,IFERROR(MATCH(13,'كشف الحساب'!$N$4:$N$353,0),0))),"")</f>
        <v>77.89500000000001</v>
      </c>
      <c r="K17" s="59">
        <f>IFERROR(IF(IFERROR(MATCH(13,'كشف الحساب'!$N$4:$N$353,0),0)=0,"",INDEX('كشف الحساب'!$K$4:$K$353,IFERROR(MATCH(13,'كشف الحساب'!$N$4:$N$353,0),0))),"")</f>
        <v>0</v>
      </c>
    </row>
    <row r="18" spans="1:11" ht="16.5" customHeight="1" x14ac:dyDescent="0.25">
      <c r="A18" s="25">
        <f>IFERROR(IF(IFERROR(MATCH(14,'كشف الحساب'!$N$4:$N$353,0),0)=0,"",INDEX('كشف الحساب'!$A$4:$A$353,IFERROR(MATCH(14,'كشف الحساب'!$N$4:$N$353,0),0))),"")</f>
        <v>46245</v>
      </c>
      <c r="B18" s="61">
        <f>IFERROR(IF(IFERROR(MATCH(14,'كشف الحساب'!$N$4:$N$353,0),0)=0,"",INDEX('كشف الحساب'!$B$4:$B$353,IFERROR(MATCH(14,'كشف الحساب'!$N$4:$N$353,0),0))),"")</f>
        <v>0</v>
      </c>
      <c r="C18" s="27" t="str">
        <f>IFERROR(IF(IFERROR(MATCH(14,'كشف الحساب'!$N$4:$N$353,0),0)=0,"",INDEX('كشف الحساب'!$C$4:$C$353,IFERROR(MATCH(14,'كشف الحساب'!$N$4:$N$353,0),0))),"")</f>
        <v>15-15-15 خرماشه</v>
      </c>
      <c r="D18" s="28">
        <f>IFERROR(IF(IFERROR(MATCH(14,'كشف الحساب'!$N$4:$N$353,0),0)=0,"",INDEX('كشف الحساب'!$D$4:$D$353,IFERROR(MATCH(14,'كشف الحساب'!$N$4:$N$353,0),0))),"")</f>
        <v>7.6749999999999998</v>
      </c>
      <c r="E18" s="62">
        <f>IFERROR(IF(IFERROR(MATCH(14,'كشف الحساب'!$N$4:$N$353,0),0)=0,"",INDEX('كشف الحساب'!$E$4:$E$353,IFERROR(MATCH(14,'كشف الحساب'!$N$4:$N$353,0),0))),"")</f>
        <v>0</v>
      </c>
      <c r="F18" s="61" t="str">
        <f>IFERROR(IF(IFERROR(MATCH(14,'كشف الحساب'!$N$4:$N$353,0),0)=0,"",INDEX('كشف الحساب'!$F$4:$F$353,IFERROR(MATCH(14,'كشف الحساب'!$N$4:$N$353,0),0))),"")</f>
        <v>نقداً</v>
      </c>
      <c r="G18" s="61" t="str">
        <f>IFERROR(IF(IFERROR(MATCH(14,'كشف الحساب'!$N$4:$N$353,0),0)=0,"",INDEX('كشف الحساب'!$G$4:$G$353,IFERROR(MATCH(14,'كشف الحساب'!$N$4:$N$353,0),0))),"")</f>
        <v>المحفظة</v>
      </c>
      <c r="H18" s="61" t="str">
        <f>IFERROR(IF(IFERROR(MATCH(14,'كشف الحساب'!$N$4:$N$353,0),0)=0,"",INDEX('كشف الحساب'!$H$4:$H$353,IFERROR(MATCH(14,'كشف الحساب'!$N$4:$N$353,0),0))),"")</f>
        <v>تم الدفع</v>
      </c>
      <c r="I18" s="61">
        <f>IFERROR(IF(IFERROR(MATCH(14,'كشف الحساب'!$N$4:$N$353,0),0)=0,"",INDEX('كشف الحساب'!$I$4:$I$353,IFERROR(MATCH(14,'كشف الحساب'!$N$4:$N$353,0),0))),"")</f>
        <v>0</v>
      </c>
      <c r="J18" s="34">
        <f>IFERROR(IF(IFERROR(MATCH(14,'كشف الحساب'!$N$4:$N$353,0),0)=0,"",INDEX('كشف الحساب'!$J$4:$J$353,IFERROR(MATCH(14,'كشف الحساب'!$N$4:$N$353,0),0))),"")</f>
        <v>70.220000000000013</v>
      </c>
      <c r="K18" s="61">
        <f>IFERROR(IF(IFERROR(MATCH(14,'كشف الحساب'!$N$4:$N$353,0),0)=0,"",INDEX('كشف الحساب'!$K$4:$K$353,IFERROR(MATCH(14,'كشف الحساب'!$N$4:$N$353,0),0))),"")</f>
        <v>0</v>
      </c>
    </row>
    <row r="19" spans="1:11" ht="16.5" customHeight="1" x14ac:dyDescent="0.25">
      <c r="A19" s="139">
        <f>IFERROR(IF(IFERROR(MATCH(15,'كشف الحساب'!$N$4:$N$353,0),0)=0,"",INDEX('كشف الحساب'!$A$4:$A$353,IFERROR(MATCH(15,'كشف الحساب'!$N$4:$N$353,0),0))),"")</f>
        <v>46247</v>
      </c>
      <c r="B19" s="59">
        <f>IFERROR(IF(IFERROR(MATCH(15,'كشف الحساب'!$N$4:$N$353,0),0)=0,"",INDEX('كشف الحساب'!$B$4:$B$353,IFERROR(MATCH(15,'كشف الحساب'!$N$4:$N$353,0),0))),"")</f>
        <v>0</v>
      </c>
      <c r="C19" s="37" t="str">
        <f>IFERROR(IF(IFERROR(MATCH(15,'كشف الحساب'!$N$4:$N$353,0),0)=0,"",INDEX('كشف الحساب'!$C$4:$C$353,IFERROR(MATCH(15,'كشف الحساب'!$N$4:$N$353,0),0))),"")</f>
        <v>هرمون تدير</v>
      </c>
      <c r="D19" s="38">
        <f>IFERROR(IF(IFERROR(MATCH(15,'كشف الحساب'!$N$4:$N$353,0),0)=0,"",INDEX('كشف الحساب'!$D$4:$D$353,IFERROR(MATCH(15,'كشف الحساب'!$N$4:$N$353,0),0))),"")</f>
        <v>4</v>
      </c>
      <c r="E19" s="60">
        <f>IFERROR(IF(IFERROR(MATCH(15,'كشف الحساب'!$N$4:$N$353,0),0)=0,"",INDEX('كشف الحساب'!$E$4:$E$353,IFERROR(MATCH(15,'كشف الحساب'!$N$4:$N$353,0),0))),"")</f>
        <v>0</v>
      </c>
      <c r="F19" s="59" t="str">
        <f>IFERROR(IF(IFERROR(MATCH(15,'كشف الحساب'!$N$4:$N$353,0),0)=0,"",INDEX('كشف الحساب'!$F$4:$F$353,IFERROR(MATCH(15,'كشف الحساب'!$N$4:$N$353,0),0))),"")</f>
        <v>نقداً</v>
      </c>
      <c r="G19" s="59" t="str">
        <f>IFERROR(IF(IFERROR(MATCH(15,'كشف الحساب'!$N$4:$N$353,0),0)=0,"",INDEX('كشف الحساب'!$G$4:$G$353,IFERROR(MATCH(15,'كشف الحساب'!$N$4:$N$353,0),0))),"")</f>
        <v>المحفظة</v>
      </c>
      <c r="H19" s="59" t="str">
        <f>IFERROR(IF(IFERROR(MATCH(15,'كشف الحساب'!$N$4:$N$353,0),0)=0,"",INDEX('كشف الحساب'!$H$4:$H$353,IFERROR(MATCH(15,'كشف الحساب'!$N$4:$N$353,0),0))),"")</f>
        <v>تم الدفع</v>
      </c>
      <c r="I19" s="59">
        <f>IFERROR(IF(IFERROR(MATCH(15,'كشف الحساب'!$N$4:$N$353,0),0)=0,"",INDEX('كشف الحساب'!$I$4:$I$353,IFERROR(MATCH(15,'كشف الحساب'!$N$4:$N$353,0),0))),"")</f>
        <v>0</v>
      </c>
      <c r="J19" s="43">
        <f>IFERROR(IF(IFERROR(MATCH(15,'كشف الحساب'!$N$4:$N$353,0),0)=0,"",INDEX('كشف الحساب'!$J$4:$J$353,IFERROR(MATCH(15,'كشف الحساب'!$N$4:$N$353,0),0))),"")</f>
        <v>66.220000000000013</v>
      </c>
      <c r="K19" s="59">
        <f>IFERROR(IF(IFERROR(MATCH(15,'كشف الحساب'!$N$4:$N$353,0),0)=0,"",INDEX('كشف الحساب'!$K$4:$K$353,IFERROR(MATCH(15,'كشف الحساب'!$N$4:$N$353,0),0))),"")</f>
        <v>0</v>
      </c>
    </row>
    <row r="20" spans="1:11" ht="16.5" customHeight="1" x14ac:dyDescent="0.25">
      <c r="A20" s="25">
        <f>IFERROR(IF(IFERROR(MATCH(16,'كشف الحساب'!$N$4:$N$353,0),0)=0,"",INDEX('كشف الحساب'!$A$4:$A$353,IFERROR(MATCH(16,'كشف الحساب'!$N$4:$N$353,0),0))),"")</f>
        <v>46247</v>
      </c>
      <c r="B20" s="61">
        <f>IFERROR(IF(IFERROR(MATCH(16,'كشف الحساب'!$N$4:$N$353,0),0)=0,"",INDEX('كشف الحساب'!$B$4:$B$353,IFERROR(MATCH(16,'كشف الحساب'!$N$4:$N$353,0),0))),"")</f>
        <v>0</v>
      </c>
      <c r="C20" s="27" t="str">
        <f>IFERROR(IF(IFERROR(MATCH(16,'كشف الحساب'!$N$4:$N$353,0),0)=0,"",INDEX('كشف الحساب'!$C$4:$C$353,IFERROR(MATCH(16,'كشف الحساب'!$N$4:$N$353,0),0))),"")</f>
        <v>احواض مقاس 14 عدد 1000</v>
      </c>
      <c r="D20" s="28">
        <f>IFERROR(IF(IFERROR(MATCH(16,'كشف الحساب'!$N$4:$N$353,0),0)=0,"",INDEX('كشف الحساب'!$D$4:$D$353,IFERROR(MATCH(16,'كشف الحساب'!$N$4:$N$353,0),0))),"")</f>
        <v>20</v>
      </c>
      <c r="E20" s="62">
        <f>IFERROR(IF(IFERROR(MATCH(16,'كشف الحساب'!$N$4:$N$353,0),0)=0,"",INDEX('كشف الحساب'!$E$4:$E$353,IFERROR(MATCH(16,'كشف الحساب'!$N$4:$N$353,0),0))),"")</f>
        <v>0</v>
      </c>
      <c r="F20" s="61" t="str">
        <f>IFERROR(IF(IFERROR(MATCH(16,'كشف الحساب'!$N$4:$N$353,0),0)=0,"",INDEX('كشف الحساب'!$F$4:$F$353,IFERROR(MATCH(16,'كشف الحساب'!$N$4:$N$353,0),0))),"")</f>
        <v>نقداً</v>
      </c>
      <c r="G20" s="61" t="str">
        <f>IFERROR(IF(IFERROR(MATCH(16,'كشف الحساب'!$N$4:$N$353,0),0)=0,"",INDEX('كشف الحساب'!$G$4:$G$353,IFERROR(MATCH(16,'كشف الحساب'!$N$4:$N$353,0),0))),"")</f>
        <v>المحفظة</v>
      </c>
      <c r="H20" s="61" t="str">
        <f>IFERROR(IF(IFERROR(MATCH(16,'كشف الحساب'!$N$4:$N$353,0),0)=0,"",INDEX('كشف الحساب'!$H$4:$H$353,IFERROR(MATCH(16,'كشف الحساب'!$N$4:$N$353,0),0))),"")</f>
        <v>تم الدفع</v>
      </c>
      <c r="I20" s="61">
        <f>IFERROR(IF(IFERROR(MATCH(16,'كشف الحساب'!$N$4:$N$353,0),0)=0,"",INDEX('كشف الحساب'!$I$4:$I$353,IFERROR(MATCH(16,'كشف الحساب'!$N$4:$N$353,0),0))),"")</f>
        <v>0</v>
      </c>
      <c r="J20" s="34">
        <f>IFERROR(IF(IFERROR(MATCH(16,'كشف الحساب'!$N$4:$N$353,0),0)=0,"",INDEX('كشف الحساب'!$J$4:$J$353,IFERROR(MATCH(16,'كشف الحساب'!$N$4:$N$353,0),0))),"")</f>
        <v>46.220000000000013</v>
      </c>
      <c r="K20" s="61">
        <f>IFERROR(IF(IFERROR(MATCH(16,'كشف الحساب'!$N$4:$N$353,0),0)=0,"",INDEX('كشف الحساب'!$K$4:$K$353,IFERROR(MATCH(16,'كشف الحساب'!$N$4:$N$353,0),0))),"")</f>
        <v>0</v>
      </c>
    </row>
    <row r="21" spans="1:11" ht="16.5" customHeight="1" x14ac:dyDescent="0.25">
      <c r="A21" s="139">
        <f>IFERROR(IF(IFERROR(MATCH(17,'كشف الحساب'!$N$4:$N$353,0),0)=0,"",INDEX('كشف الحساب'!$A$4:$A$353,IFERROR(MATCH(17,'كشف الحساب'!$N$4:$N$353,0),0))),"")</f>
        <v>46247</v>
      </c>
      <c r="B21" s="59">
        <f>IFERROR(IF(IFERROR(MATCH(17,'كشف الحساب'!$N$4:$N$353,0),0)=0,"",INDEX('كشف الحساب'!$B$4:$B$353,IFERROR(MATCH(17,'كشف الحساب'!$N$4:$N$353,0),0))),"")</f>
        <v>0</v>
      </c>
      <c r="C21" s="37" t="str">
        <f>IFERROR(IF(IFERROR(MATCH(17,'كشف الحساب'!$N$4:$N$353,0),0)=0,"",INDEX('كشف الحساب'!$C$4:$C$353,IFERROR(MATCH(17,'كشف الحساب'!$N$4:$N$353,0),0))),"")</f>
        <v>وصلات</v>
      </c>
      <c r="D21" s="38">
        <f>IFERROR(IF(IFERROR(MATCH(17,'كشف الحساب'!$N$4:$N$353,0),0)=0,"",INDEX('كشف الحساب'!$D$4:$D$353,IFERROR(MATCH(17,'كشف الحساب'!$N$4:$N$353,0),0))),"")</f>
        <v>0.9</v>
      </c>
      <c r="E21" s="60">
        <f>IFERROR(IF(IFERROR(MATCH(17,'كشف الحساب'!$N$4:$N$353,0),0)=0,"",INDEX('كشف الحساب'!$E$4:$E$353,IFERROR(MATCH(17,'كشف الحساب'!$N$4:$N$353,0),0))),"")</f>
        <v>0</v>
      </c>
      <c r="F21" s="59" t="str">
        <f>IFERROR(IF(IFERROR(MATCH(17,'كشف الحساب'!$N$4:$N$353,0),0)=0,"",INDEX('كشف الحساب'!$F$4:$F$353,IFERROR(MATCH(17,'كشف الحساب'!$N$4:$N$353,0),0))),"")</f>
        <v>نقداً</v>
      </c>
      <c r="G21" s="59" t="str">
        <f>IFERROR(IF(IFERROR(MATCH(17,'كشف الحساب'!$N$4:$N$353,0),0)=0,"",INDEX('كشف الحساب'!$G$4:$G$353,IFERROR(MATCH(17,'كشف الحساب'!$N$4:$N$353,0),0))),"")</f>
        <v>المحفظة</v>
      </c>
      <c r="H21" s="59" t="str">
        <f>IFERROR(IF(IFERROR(MATCH(17,'كشف الحساب'!$N$4:$N$353,0),0)=0,"",INDEX('كشف الحساب'!$H$4:$H$353,IFERROR(MATCH(17,'كشف الحساب'!$N$4:$N$353,0),0))),"")</f>
        <v>تم الدفع</v>
      </c>
      <c r="I21" s="59">
        <f>IFERROR(IF(IFERROR(MATCH(17,'كشف الحساب'!$N$4:$N$353,0),0)=0,"",INDEX('كشف الحساب'!$I$4:$I$353,IFERROR(MATCH(17,'كشف الحساب'!$N$4:$N$353,0),0))),"")</f>
        <v>0</v>
      </c>
      <c r="J21" s="43">
        <f>IFERROR(IF(IFERROR(MATCH(17,'كشف الحساب'!$N$4:$N$353,0),0)=0,"",INDEX('كشف الحساب'!$J$4:$J$353,IFERROR(MATCH(17,'كشف الحساب'!$N$4:$N$353,0),0))),"")</f>
        <v>45.320000000000014</v>
      </c>
      <c r="K21" s="59">
        <f>IFERROR(IF(IFERROR(MATCH(17,'كشف الحساب'!$N$4:$N$353,0),0)=0,"",INDEX('كشف الحساب'!$K$4:$K$353,IFERROR(MATCH(17,'كشف الحساب'!$N$4:$N$353,0),0))),"")</f>
        <v>0</v>
      </c>
    </row>
    <row r="22" spans="1:11" ht="16.5" customHeight="1" x14ac:dyDescent="0.25">
      <c r="A22" s="25">
        <f>IFERROR(IF(IFERROR(MATCH(18,'كشف الحساب'!$N$4:$N$353,0),0)=0,"",INDEX('كشف الحساب'!$A$4:$A$353,IFERROR(MATCH(18,'كشف الحساب'!$N$4:$N$353,0),0))),"")</f>
        <v>46249</v>
      </c>
      <c r="B22" s="61">
        <f>IFERROR(IF(IFERROR(MATCH(18,'كشف الحساب'!$N$4:$N$353,0),0)=0,"",INDEX('كشف الحساب'!$B$4:$B$353,IFERROR(MATCH(18,'كشف الحساب'!$N$4:$N$353,0),0))),"")</f>
        <v>0</v>
      </c>
      <c r="C22" s="27" t="str">
        <f>IFERROR(IF(IFERROR(MATCH(18,'كشف الحساب'!$N$4:$N$353,0),0)=0,"",INDEX('كشف الحساب'!$C$4:$C$353,IFERROR(MATCH(18,'كشف الحساب'!$N$4:$N$353,0),0))),"")</f>
        <v>وصلات وحنفيه</v>
      </c>
      <c r="D22" s="28">
        <f>IFERROR(IF(IFERROR(MATCH(18,'كشف الحساب'!$N$4:$N$353,0),0)=0,"",INDEX('كشف الحساب'!$D$4:$D$353,IFERROR(MATCH(18,'كشف الحساب'!$N$4:$N$353,0),0))),"")</f>
        <v>2</v>
      </c>
      <c r="E22" s="62">
        <f>IFERROR(IF(IFERROR(MATCH(18,'كشف الحساب'!$N$4:$N$353,0),0)=0,"",INDEX('كشف الحساب'!$E$4:$E$353,IFERROR(MATCH(18,'كشف الحساب'!$N$4:$N$353,0),0))),"")</f>
        <v>0</v>
      </c>
      <c r="F22" s="61" t="str">
        <f>IFERROR(IF(IFERROR(MATCH(18,'كشف الحساب'!$N$4:$N$353,0),0)=0,"",INDEX('كشف الحساب'!$F$4:$F$353,IFERROR(MATCH(18,'كشف الحساب'!$N$4:$N$353,0),0))),"")</f>
        <v>نقداً</v>
      </c>
      <c r="G22" s="61" t="str">
        <f>IFERROR(IF(IFERROR(MATCH(18,'كشف الحساب'!$N$4:$N$353,0),0)=0,"",INDEX('كشف الحساب'!$G$4:$G$353,IFERROR(MATCH(18,'كشف الحساب'!$N$4:$N$353,0),0))),"")</f>
        <v>المحفظة</v>
      </c>
      <c r="H22" s="61" t="str">
        <f>IFERROR(IF(IFERROR(MATCH(18,'كشف الحساب'!$N$4:$N$353,0),0)=0,"",INDEX('كشف الحساب'!$H$4:$H$353,IFERROR(MATCH(18,'كشف الحساب'!$N$4:$N$353,0),0))),"")</f>
        <v>تم الدفع</v>
      </c>
      <c r="I22" s="61">
        <f>IFERROR(IF(IFERROR(MATCH(18,'كشف الحساب'!$N$4:$N$353,0),0)=0,"",INDEX('كشف الحساب'!$I$4:$I$353,IFERROR(MATCH(18,'كشف الحساب'!$N$4:$N$353,0),0))),"")</f>
        <v>0</v>
      </c>
      <c r="J22" s="34">
        <f>IFERROR(IF(IFERROR(MATCH(18,'كشف الحساب'!$N$4:$N$353,0),0)=0,"",INDEX('كشف الحساب'!$J$4:$J$353,IFERROR(MATCH(18,'كشف الحساب'!$N$4:$N$353,0),0))),"")</f>
        <v>43.320000000000014</v>
      </c>
      <c r="K22" s="61">
        <f>IFERROR(IF(IFERROR(MATCH(18,'كشف الحساب'!$N$4:$N$353,0),0)=0,"",INDEX('كشف الحساب'!$K$4:$K$353,IFERROR(MATCH(18,'كشف الحساب'!$N$4:$N$353,0),0))),"")</f>
        <v>0</v>
      </c>
    </row>
    <row r="23" spans="1:11" ht="16.5" customHeight="1" x14ac:dyDescent="0.25">
      <c r="A23" s="139">
        <f>IFERROR(IF(IFERROR(MATCH(19,'كشف الحساب'!$N$4:$N$353,0),0)=0,"",INDEX('كشف الحساب'!$A$4:$A$353,IFERROR(MATCH(19,'كشف الحساب'!$N$4:$N$353,0),0))),"")</f>
        <v>46252</v>
      </c>
      <c r="B23" s="59" t="str">
        <f>IFERROR(IF(IFERROR(MATCH(19,'كشف الحساب'!$N$4:$N$353,0),0)=0,"",INDEX('كشف الحساب'!$B$4:$B$353,IFERROR(MATCH(19,'كشف الحساب'!$N$4:$N$353,0),0))),"")</f>
        <v>Inv-115</v>
      </c>
      <c r="C23" s="37" t="str">
        <f>IFERROR(IF(IFERROR(MATCH(19,'كشف الحساب'!$N$4:$N$353,0),0)=0,"",INDEX('كشف الحساب'!$C$4:$C$353,IFERROR(MATCH(19,'كشف الحساب'!$N$4:$N$353,0),0))),"")</f>
        <v>فل عدد 14 الحبه .750</v>
      </c>
      <c r="D23" s="38">
        <f>IFERROR(IF(IFERROR(MATCH(19,'كشف الحساب'!$N$4:$N$353,0),0)=0,"",INDEX('كشف الحساب'!$D$4:$D$353,IFERROR(MATCH(19,'كشف الحساب'!$N$4:$N$353,0),0))),"")</f>
        <v>0</v>
      </c>
      <c r="E23" s="60">
        <f>IFERROR(IF(IFERROR(MATCH(19,'كشف الحساب'!$N$4:$N$353,0),0)=0,"",INDEX('كشف الحساب'!$E$4:$E$353,IFERROR(MATCH(19,'كشف الحساب'!$N$4:$N$353,0),0))),"")</f>
        <v>10.5</v>
      </c>
      <c r="F23" s="59" t="str">
        <f>IFERROR(IF(IFERROR(MATCH(19,'كشف الحساب'!$N$4:$N$353,0),0)=0,"",INDEX('كشف الحساب'!$F$4:$F$353,IFERROR(MATCH(19,'كشف الحساب'!$N$4:$N$353,0),0))),"")</f>
        <v>نقداً</v>
      </c>
      <c r="G23" s="59">
        <f>IFERROR(IF(IFERROR(MATCH(19,'كشف الحساب'!$N$4:$N$353,0),0)=0,"",INDEX('كشف الحساب'!$G$4:$G$353,IFERROR(MATCH(19,'كشف الحساب'!$N$4:$N$353,0),0))),"")</f>
        <v>0</v>
      </c>
      <c r="H23" s="59" t="str">
        <f>IFERROR(IF(IFERROR(MATCH(19,'كشف الحساب'!$N$4:$N$353,0),0)=0,"",INDEX('كشف الحساب'!$H$4:$H$353,IFERROR(MATCH(19,'كشف الحساب'!$N$4:$N$353,0),0))),"")</f>
        <v>تم الدفع</v>
      </c>
      <c r="I23" s="59">
        <f>IFERROR(IF(IFERROR(MATCH(19,'كشف الحساب'!$N$4:$N$353,0),0)=0,"",INDEX('كشف الحساب'!$I$4:$I$353,IFERROR(MATCH(19,'كشف الحساب'!$N$4:$N$353,0),0))),"")</f>
        <v>0</v>
      </c>
      <c r="J23" s="43">
        <f>IFERROR(IF(IFERROR(MATCH(19,'كشف الحساب'!$N$4:$N$353,0),0)=0,"",INDEX('كشف الحساب'!$J$4:$J$353,IFERROR(MATCH(19,'كشف الحساب'!$N$4:$N$353,0),0))),"")</f>
        <v>53.820000000000014</v>
      </c>
      <c r="K23" s="59">
        <f>IFERROR(IF(IFERROR(MATCH(19,'كشف الحساب'!$N$4:$N$353,0),0)=0,"",INDEX('كشف الحساب'!$K$4:$K$353,IFERROR(MATCH(19,'كشف الحساب'!$N$4:$N$353,0),0))),"")</f>
        <v>0</v>
      </c>
    </row>
    <row r="24" spans="1:11" ht="16.5" customHeight="1" x14ac:dyDescent="0.25">
      <c r="A24" s="25">
        <f>IFERROR(IF(IFERROR(MATCH(20,'كشف الحساب'!$N$4:$N$353,0),0)=0,"",INDEX('كشف الحساب'!$A$4:$A$353,IFERROR(MATCH(20,'كشف الحساب'!$N$4:$N$353,0),0))),"")</f>
        <v>46252</v>
      </c>
      <c r="B24" s="61" t="str">
        <f>IFERROR(IF(IFERROR(MATCH(20,'كشف الحساب'!$N$4:$N$353,0),0)=0,"",INDEX('كشف الحساب'!$B$4:$B$353,IFERROR(MATCH(20,'كشف الحساب'!$N$4:$N$353,0),0))),"")</f>
        <v>Inv-116</v>
      </c>
      <c r="C24" s="27" t="str">
        <f>IFERROR(IF(IFERROR(MATCH(20,'كشف الحساب'!$N$4:$N$353,0),0)=0,"",INDEX('كشف الحساب'!$C$4:$C$353,IFERROR(MATCH(20,'كشف الحساب'!$N$4:$N$353,0),0))),"")</f>
        <v>متنوع عدد 1 الحبه 2.500</v>
      </c>
      <c r="D24" s="28">
        <f>IFERROR(IF(IFERROR(MATCH(20,'كشف الحساب'!$N$4:$N$353,0),0)=0,"",INDEX('كشف الحساب'!$D$4:$D$353,IFERROR(MATCH(20,'كشف الحساب'!$N$4:$N$353,0),0))),"")</f>
        <v>0</v>
      </c>
      <c r="E24" s="62">
        <f>IFERROR(IF(IFERROR(MATCH(20,'كشف الحساب'!$N$4:$N$353,0),0)=0,"",INDEX('كشف الحساب'!$E$4:$E$353,IFERROR(MATCH(20,'كشف الحساب'!$N$4:$N$353,0),0))),"")</f>
        <v>2.5</v>
      </c>
      <c r="F24" s="61" t="str">
        <f>IFERROR(IF(IFERROR(MATCH(20,'كشف الحساب'!$N$4:$N$353,0),0)=0,"",INDEX('كشف الحساب'!$F$4:$F$353,IFERROR(MATCH(20,'كشف الحساب'!$N$4:$N$353,0),0))),"")</f>
        <v>نقداً</v>
      </c>
      <c r="G24" s="61">
        <f>IFERROR(IF(IFERROR(MATCH(20,'كشف الحساب'!$N$4:$N$353,0),0)=0,"",INDEX('كشف الحساب'!$G$4:$G$353,IFERROR(MATCH(20,'كشف الحساب'!$N$4:$N$353,0),0))),"")</f>
        <v>0</v>
      </c>
      <c r="H24" s="61" t="str">
        <f>IFERROR(IF(IFERROR(MATCH(20,'كشف الحساب'!$N$4:$N$353,0),0)=0,"",INDEX('كشف الحساب'!$H$4:$H$353,IFERROR(MATCH(20,'كشف الحساب'!$N$4:$N$353,0),0))),"")</f>
        <v>تم الدفع</v>
      </c>
      <c r="I24" s="61">
        <f>IFERROR(IF(IFERROR(MATCH(20,'كشف الحساب'!$N$4:$N$353,0),0)=0,"",INDEX('كشف الحساب'!$I$4:$I$353,IFERROR(MATCH(20,'كشف الحساب'!$N$4:$N$353,0),0))),"")</f>
        <v>0</v>
      </c>
      <c r="J24" s="34">
        <f>IFERROR(IF(IFERROR(MATCH(20,'كشف الحساب'!$N$4:$N$353,0),0)=0,"",INDEX('كشف الحساب'!$J$4:$J$353,IFERROR(MATCH(20,'كشف الحساب'!$N$4:$N$353,0),0))),"")</f>
        <v>56.320000000000014</v>
      </c>
      <c r="K24" s="61">
        <f>IFERROR(IF(IFERROR(MATCH(20,'كشف الحساب'!$N$4:$N$353,0),0)=0,"",INDEX('كشف الحساب'!$K$4:$K$353,IFERROR(MATCH(20,'كشف الحساب'!$N$4:$N$353,0),0))),"")</f>
        <v>0</v>
      </c>
    </row>
    <row r="25" spans="1:11" ht="16.5" customHeight="1" x14ac:dyDescent="0.25">
      <c r="A25" s="139">
        <f>IFERROR(IF(IFERROR(MATCH(21,'كشف الحساب'!$N$4:$N$353,0),0)=0,"",INDEX('كشف الحساب'!$A$4:$A$353,IFERROR(MATCH(21,'كشف الحساب'!$N$4:$N$353,0),0))),"")</f>
        <v>46258</v>
      </c>
      <c r="B25" s="59" t="str">
        <f>IFERROR(IF(IFERROR(MATCH(21,'كشف الحساب'!$N$4:$N$353,0),0)=0,"",INDEX('كشف الحساب'!$B$4:$B$353,IFERROR(MATCH(21,'كشف الحساب'!$N$4:$N$353,0),0))),"")</f>
        <v>Inv-117</v>
      </c>
      <c r="C25" s="37" t="str">
        <f>IFERROR(IF(IFERROR(MATCH(21,'كشف الحساب'!$N$4:$N$353,0),0)=0,"",INDEX('كشف الحساب'!$C$4:$C$353,IFERROR(MATCH(21,'كشف الحساب'!$N$4:$N$353,0),0))),"")</f>
        <v>ربل عدد 10 الحبه 2.250</v>
      </c>
      <c r="D25" s="38">
        <f>IFERROR(IF(IFERROR(MATCH(21,'كشف الحساب'!$N$4:$N$353,0),0)=0,"",INDEX('كشف الحساب'!$D$4:$D$353,IFERROR(MATCH(21,'كشف الحساب'!$N$4:$N$353,0),0))),"")</f>
        <v>0</v>
      </c>
      <c r="E25" s="60">
        <f>IFERROR(IF(IFERROR(MATCH(21,'كشف الحساب'!$N$4:$N$353,0),0)=0,"",INDEX('كشف الحساب'!$E$4:$E$353,IFERROR(MATCH(21,'كشف الحساب'!$N$4:$N$353,0),0))),"")</f>
        <v>22.5</v>
      </c>
      <c r="F25" s="59" t="str">
        <f>IFERROR(IF(IFERROR(MATCH(21,'كشف الحساب'!$N$4:$N$353,0),0)=0,"",INDEX('كشف الحساب'!$F$4:$F$353,IFERROR(MATCH(21,'كشف الحساب'!$N$4:$N$353,0),0))),"")</f>
        <v>نقداً</v>
      </c>
      <c r="G25" s="59">
        <f>IFERROR(IF(IFERROR(MATCH(21,'كشف الحساب'!$N$4:$N$353,0),0)=0,"",INDEX('كشف الحساب'!$G$4:$G$353,IFERROR(MATCH(21,'كشف الحساب'!$N$4:$N$353,0),0))),"")</f>
        <v>0</v>
      </c>
      <c r="H25" s="59" t="str">
        <f>IFERROR(IF(IFERROR(MATCH(21,'كشف الحساب'!$N$4:$N$353,0),0)=0,"",INDEX('كشف الحساب'!$H$4:$H$353,IFERROR(MATCH(21,'كشف الحساب'!$N$4:$N$353,0),0))),"")</f>
        <v>تم الدفع</v>
      </c>
      <c r="I25" s="59">
        <f>IFERROR(IF(IFERROR(MATCH(21,'كشف الحساب'!$N$4:$N$353,0),0)=0,"",INDEX('كشف الحساب'!$I$4:$I$353,IFERROR(MATCH(21,'كشف الحساب'!$N$4:$N$353,0),0))),"")</f>
        <v>0</v>
      </c>
      <c r="J25" s="43">
        <f>IFERROR(IF(IFERROR(MATCH(21,'كشف الحساب'!$N$4:$N$353,0),0)=0,"",INDEX('كشف الحساب'!$J$4:$J$353,IFERROR(MATCH(21,'كشف الحساب'!$N$4:$N$353,0),0))),"")</f>
        <v>78.820000000000022</v>
      </c>
      <c r="K25" s="59">
        <f>IFERROR(IF(IFERROR(MATCH(21,'كشف الحساب'!$N$4:$N$353,0),0)=0,"",INDEX('كشف الحساب'!$K$4:$K$353,IFERROR(MATCH(21,'كشف الحساب'!$N$4:$N$353,0),0))),"")</f>
        <v>0</v>
      </c>
    </row>
    <row r="26" spans="1:11" ht="16.5" customHeight="1" x14ac:dyDescent="0.25">
      <c r="A26" s="25">
        <f>IFERROR(IF(IFERROR(MATCH(22,'كشف الحساب'!$N$4:$N$353,0),0)=0,"",INDEX('كشف الحساب'!$A$4:$A$353,IFERROR(MATCH(22,'كشف الحساب'!$N$4:$N$353,0),0))),"")</f>
        <v>46258</v>
      </c>
      <c r="B26" s="61" t="str">
        <f>IFERROR(IF(IFERROR(MATCH(22,'كشف الحساب'!$N$4:$N$353,0),0)=0,"",INDEX('كشف الحساب'!$B$4:$B$353,IFERROR(MATCH(22,'كشف الحساب'!$N$4:$N$353,0),0))),"")</f>
        <v>Inv-118</v>
      </c>
      <c r="C26" s="27" t="str">
        <f>IFERROR(IF(IFERROR(MATCH(22,'كشف الحساب'!$N$4:$N$353,0),0)=0,"",INDEX('كشف الحساب'!$C$4:$C$353,IFERROR(MATCH(22,'كشف الحساب'!$N$4:$N$353,0),0))),"")</f>
        <v>متنوع عدد 4 الحبه 1</v>
      </c>
      <c r="D26" s="28">
        <f>IFERROR(IF(IFERROR(MATCH(22,'كشف الحساب'!$N$4:$N$353,0),0)=0,"",INDEX('كشف الحساب'!$D$4:$D$353,IFERROR(MATCH(22,'كشف الحساب'!$N$4:$N$353,0),0))),"")</f>
        <v>0</v>
      </c>
      <c r="E26" s="62">
        <f>IFERROR(IF(IFERROR(MATCH(22,'كشف الحساب'!$N$4:$N$353,0),0)=0,"",INDEX('كشف الحساب'!$E$4:$E$353,IFERROR(MATCH(22,'كشف الحساب'!$N$4:$N$353,0),0))),"")</f>
        <v>4</v>
      </c>
      <c r="F26" s="61" t="str">
        <f>IFERROR(IF(IFERROR(MATCH(22,'كشف الحساب'!$N$4:$N$353,0),0)=0,"",INDEX('كشف الحساب'!$F$4:$F$353,IFERROR(MATCH(22,'كشف الحساب'!$N$4:$N$353,0),0))),"")</f>
        <v>نقداً</v>
      </c>
      <c r="G26" s="61">
        <f>IFERROR(IF(IFERROR(MATCH(22,'كشف الحساب'!$N$4:$N$353,0),0)=0,"",INDEX('كشف الحساب'!$G$4:$G$353,IFERROR(MATCH(22,'كشف الحساب'!$N$4:$N$353,0),0))),"")</f>
        <v>0</v>
      </c>
      <c r="H26" s="61" t="str">
        <f>IFERROR(IF(IFERROR(MATCH(22,'كشف الحساب'!$N$4:$N$353,0),0)=0,"",INDEX('كشف الحساب'!$H$4:$H$353,IFERROR(MATCH(22,'كشف الحساب'!$N$4:$N$353,0),0))),"")</f>
        <v>تم الدفع</v>
      </c>
      <c r="I26" s="61">
        <f>IFERROR(IF(IFERROR(MATCH(22,'كشف الحساب'!$N$4:$N$353,0),0)=0,"",INDEX('كشف الحساب'!$I$4:$I$353,IFERROR(MATCH(22,'كشف الحساب'!$N$4:$N$353,0),0))),"")</f>
        <v>0</v>
      </c>
      <c r="J26" s="34">
        <f>IFERROR(IF(IFERROR(MATCH(22,'كشف الحساب'!$N$4:$N$353,0),0)=0,"",INDEX('كشف الحساب'!$J$4:$J$353,IFERROR(MATCH(22,'كشف الحساب'!$N$4:$N$353,0),0))),"")</f>
        <v>82.820000000000022</v>
      </c>
      <c r="K26" s="61">
        <f>IFERROR(IF(IFERROR(MATCH(22,'كشف الحساب'!$N$4:$N$353,0),0)=0,"",INDEX('كشف الحساب'!$K$4:$K$353,IFERROR(MATCH(22,'كشف الحساب'!$N$4:$N$353,0),0))),"")</f>
        <v>0</v>
      </c>
    </row>
    <row r="27" spans="1:11" ht="16.5" customHeight="1" x14ac:dyDescent="0.25">
      <c r="A27" s="139">
        <f>IFERROR(IF(IFERROR(MATCH(23,'كشف الحساب'!$N$4:$N$353,0),0)=0,"",INDEX('كشف الحساب'!$A$4:$A$353,IFERROR(MATCH(23,'كشف الحساب'!$N$4:$N$353,0),0))),"")</f>
        <v>46258</v>
      </c>
      <c r="B27" s="59" t="str">
        <f>IFERROR(IF(IFERROR(MATCH(23,'كشف الحساب'!$N$4:$N$353,0),0)=0,"",INDEX('كشف الحساب'!$B$4:$B$353,IFERROR(MATCH(23,'كشف الحساب'!$N$4:$N$353,0),0))),"")</f>
        <v>Inv-119</v>
      </c>
      <c r="C27" s="37" t="str">
        <f>IFERROR(IF(IFERROR(MATCH(23,'كشف الحساب'!$N$4:$N$353,0),0)=0,"",INDEX('كشف الحساب'!$C$4:$C$353,IFERROR(MATCH(23,'كشف الحساب'!$N$4:$N$353,0),0))),"")</f>
        <v>دارسينا عدد 2 الحبه 3</v>
      </c>
      <c r="D27" s="38">
        <f>IFERROR(IF(IFERROR(MATCH(23,'كشف الحساب'!$N$4:$N$353,0),0)=0,"",INDEX('كشف الحساب'!$D$4:$D$353,IFERROR(MATCH(23,'كشف الحساب'!$N$4:$N$353,0),0))),"")</f>
        <v>0</v>
      </c>
      <c r="E27" s="60">
        <f>IFERROR(IF(IFERROR(MATCH(23,'كشف الحساب'!$N$4:$N$353,0),0)=0,"",INDEX('كشف الحساب'!$E$4:$E$353,IFERROR(MATCH(23,'كشف الحساب'!$N$4:$N$353,0),0))),"")</f>
        <v>6</v>
      </c>
      <c r="F27" s="59" t="str">
        <f>IFERROR(IF(IFERROR(MATCH(23,'كشف الحساب'!$N$4:$N$353,0),0)=0,"",INDEX('كشف الحساب'!$F$4:$F$353,IFERROR(MATCH(23,'كشف الحساب'!$N$4:$N$353,0),0))),"")</f>
        <v>نقداً</v>
      </c>
      <c r="G27" s="59">
        <f>IFERROR(IF(IFERROR(MATCH(23,'كشف الحساب'!$N$4:$N$353,0),0)=0,"",INDEX('كشف الحساب'!$G$4:$G$353,IFERROR(MATCH(23,'كشف الحساب'!$N$4:$N$353,0),0))),"")</f>
        <v>0</v>
      </c>
      <c r="H27" s="59" t="str">
        <f>IFERROR(IF(IFERROR(MATCH(23,'كشف الحساب'!$N$4:$N$353,0),0)=0,"",INDEX('كشف الحساب'!$H$4:$H$353,IFERROR(MATCH(23,'كشف الحساب'!$N$4:$N$353,0),0))),"")</f>
        <v>تم الدفع</v>
      </c>
      <c r="I27" s="59">
        <f>IFERROR(IF(IFERROR(MATCH(23,'كشف الحساب'!$N$4:$N$353,0),0)=0,"",INDEX('كشف الحساب'!$I$4:$I$353,IFERROR(MATCH(23,'كشف الحساب'!$N$4:$N$353,0),0))),"")</f>
        <v>0</v>
      </c>
      <c r="J27" s="43">
        <f>IFERROR(IF(IFERROR(MATCH(23,'كشف الحساب'!$N$4:$N$353,0),0)=0,"",INDEX('كشف الحساب'!$J$4:$J$353,IFERROR(MATCH(23,'كشف الحساب'!$N$4:$N$353,0),0))),"")</f>
        <v>88.820000000000022</v>
      </c>
      <c r="K27" s="59">
        <f>IFERROR(IF(IFERROR(MATCH(23,'كشف الحساب'!$N$4:$N$353,0),0)=0,"",INDEX('كشف الحساب'!$K$4:$K$353,IFERROR(MATCH(23,'كشف الحساب'!$N$4:$N$353,0),0))),"")</f>
        <v>0</v>
      </c>
    </row>
    <row r="28" spans="1:11" ht="16.5" customHeight="1" x14ac:dyDescent="0.25">
      <c r="A28" s="25">
        <f>IFERROR(IF(IFERROR(MATCH(24,'كشف الحساب'!$N$4:$N$353,0),0)=0,"",INDEX('كشف الحساب'!$A$4:$A$353,IFERROR(MATCH(24,'كشف الحساب'!$N$4:$N$353,0),0))),"")</f>
        <v>46258</v>
      </c>
      <c r="B28" s="61" t="str">
        <f>IFERROR(IF(IFERROR(MATCH(24,'كشف الحساب'!$N$4:$N$353,0),0)=0,"",INDEX('كشف الحساب'!$B$4:$B$353,IFERROR(MATCH(24,'كشف الحساب'!$N$4:$N$353,0),0))),"")</f>
        <v>Inv-120</v>
      </c>
      <c r="C28" s="27" t="str">
        <f>IFERROR(IF(IFERROR(MATCH(24,'كشف الحساب'!$N$4:$N$353,0),0)=0,"",INDEX('كشف الحساب'!$C$4:$C$353,IFERROR(MATCH(24,'كشف الحساب'!$N$4:$N$353,0),0))),"")</f>
        <v>فل عدد 2 الحبه .750</v>
      </c>
      <c r="D28" s="28">
        <f>IFERROR(IF(IFERROR(MATCH(24,'كشف الحساب'!$N$4:$N$353,0),0)=0,"",INDEX('كشف الحساب'!$D$4:$D$353,IFERROR(MATCH(24,'كشف الحساب'!$N$4:$N$353,0),0))),"")</f>
        <v>0</v>
      </c>
      <c r="E28" s="62">
        <f>IFERROR(IF(IFERROR(MATCH(24,'كشف الحساب'!$N$4:$N$353,0),0)=0,"",INDEX('كشف الحساب'!$E$4:$E$353,IFERROR(MATCH(24,'كشف الحساب'!$N$4:$N$353,0),0))),"")</f>
        <v>1.5</v>
      </c>
      <c r="F28" s="61" t="str">
        <f>IFERROR(IF(IFERROR(MATCH(24,'كشف الحساب'!$N$4:$N$353,0),0)=0,"",INDEX('كشف الحساب'!$F$4:$F$353,IFERROR(MATCH(24,'كشف الحساب'!$N$4:$N$353,0),0))),"")</f>
        <v>نقداً</v>
      </c>
      <c r="G28" s="61">
        <f>IFERROR(IF(IFERROR(MATCH(24,'كشف الحساب'!$N$4:$N$353,0),0)=0,"",INDEX('كشف الحساب'!$G$4:$G$353,IFERROR(MATCH(24,'كشف الحساب'!$N$4:$N$353,0),0))),"")</f>
        <v>0</v>
      </c>
      <c r="H28" s="61" t="str">
        <f>IFERROR(IF(IFERROR(MATCH(24,'كشف الحساب'!$N$4:$N$353,0),0)=0,"",INDEX('كشف الحساب'!$H$4:$H$353,IFERROR(MATCH(24,'كشف الحساب'!$N$4:$N$353,0),0))),"")</f>
        <v>تم الدفع</v>
      </c>
      <c r="I28" s="61">
        <f>IFERROR(IF(IFERROR(MATCH(24,'كشف الحساب'!$N$4:$N$353,0),0)=0,"",INDEX('كشف الحساب'!$I$4:$I$353,IFERROR(MATCH(24,'كشف الحساب'!$N$4:$N$353,0),0))),"")</f>
        <v>0</v>
      </c>
      <c r="J28" s="34">
        <f>IFERROR(IF(IFERROR(MATCH(24,'كشف الحساب'!$N$4:$N$353,0),0)=0,"",INDEX('كشف الحساب'!$J$4:$J$353,IFERROR(MATCH(24,'كشف الحساب'!$N$4:$N$353,0),0))),"")</f>
        <v>90.320000000000022</v>
      </c>
      <c r="K28" s="61">
        <f>IFERROR(IF(IFERROR(MATCH(24,'كشف الحساب'!$N$4:$N$353,0),0)=0,"",INDEX('كشف الحساب'!$K$4:$K$353,IFERROR(MATCH(24,'كشف الحساب'!$N$4:$N$353,0),0))),"")</f>
        <v>0</v>
      </c>
    </row>
    <row r="29" spans="1:11" ht="16.5" customHeight="1" x14ac:dyDescent="0.25">
      <c r="A29" s="139">
        <f>IFERROR(IF(IFERROR(MATCH(25,'كشف الحساب'!$N$4:$N$353,0),0)=0,"",INDEX('كشف الحساب'!$A$4:$A$353,IFERROR(MATCH(25,'كشف الحساب'!$N$4:$N$353,0),0))),"")</f>
        <v>46235</v>
      </c>
      <c r="B29" s="59">
        <f>IFERROR(IF(IFERROR(MATCH(25,'كشف الحساب'!$N$4:$N$353,0),0)=0,"",INDEX('كشف الحساب'!$B$4:$B$353,IFERROR(MATCH(25,'كشف الحساب'!$N$4:$N$353,0),0))),"")</f>
        <v>0</v>
      </c>
      <c r="C29" s="37" t="str">
        <f>IFERROR(IF(IFERROR(MATCH(25,'كشف الحساب'!$N$4:$N$353,0),0)=0,"",INDEX('كشف الحساب'!$C$4:$C$353,IFERROR(MATCH(25,'كشف الحساب'!$N$4:$N$353,0),0))),"")</f>
        <v>احواض عدد 3500 مقاس 25 سم</v>
      </c>
      <c r="D29" s="38">
        <f>IFERROR(IF(IFERROR(MATCH(25,'كشف الحساب'!$N$4:$N$353,0),0)=0,"",INDEX('كشف الحساب'!$D$4:$D$353,IFERROR(MATCH(25,'كشف الحساب'!$N$4:$N$353,0),0))),"")</f>
        <v>280</v>
      </c>
      <c r="E29" s="60">
        <f>IFERROR(IF(IFERROR(MATCH(25,'كشف الحساب'!$N$4:$N$353,0),0)=0,"",INDEX('كشف الحساب'!$E$4:$E$353,IFERROR(MATCH(25,'كشف الحساب'!$N$4:$N$353,0),0))),"")</f>
        <v>0</v>
      </c>
      <c r="F29" s="59" t="str">
        <f>IFERROR(IF(IFERROR(MATCH(25,'كشف الحساب'!$N$4:$N$353,0),0)=0,"",INDEX('كشف الحساب'!$F$4:$F$353,IFERROR(MATCH(25,'كشف الحساب'!$N$4:$N$353,0),0))),"")</f>
        <v>أحد الشركاء</v>
      </c>
      <c r="G29" s="59" t="str">
        <f>IFERROR(IF(IFERROR(MATCH(25,'كشف الحساب'!$N$4:$N$353,0),0)=0,"",INDEX('كشف الحساب'!$G$4:$G$353,IFERROR(MATCH(25,'كشف الحساب'!$N$4:$N$353,0),0))),"")</f>
        <v>أبو آدم</v>
      </c>
      <c r="H29" s="59" t="str">
        <f>IFERROR(IF(IFERROR(MATCH(25,'كشف الحساب'!$N$4:$N$353,0),0)=0,"",INDEX('كشف الحساب'!$H$4:$H$353,IFERROR(MATCH(25,'كشف الحساب'!$N$4:$N$353,0),0))),"")</f>
        <v>تم الدفع</v>
      </c>
      <c r="I29" s="59">
        <f>IFERROR(IF(IFERROR(MATCH(25,'كشف الحساب'!$N$4:$N$353,0),0)=0,"",INDEX('كشف الحساب'!$I$4:$I$353,IFERROR(MATCH(25,'كشف الحساب'!$N$4:$N$353,0),0))),"")</f>
        <v>0</v>
      </c>
      <c r="J29" s="43">
        <f>IFERROR(IF(IFERROR(MATCH(25,'كشف الحساب'!$N$4:$N$353,0),0)=0,"",INDEX('كشف الحساب'!$J$4:$J$353,IFERROR(MATCH(25,'كشف الحساب'!$N$4:$N$353,0),0))),"")</f>
        <v>90.320000000000022</v>
      </c>
      <c r="K29" s="59">
        <f>IFERROR(IF(IFERROR(MATCH(25,'كشف الحساب'!$N$4:$N$353,0),0)=0,"",INDEX('كشف الحساب'!$K$4:$K$353,IFERROR(MATCH(25,'كشف الحساب'!$N$4:$N$353,0),0))),"")</f>
        <v>0</v>
      </c>
    </row>
    <row r="30" spans="1:11" ht="16.5" customHeight="1" x14ac:dyDescent="0.25">
      <c r="A30" s="25">
        <f>IFERROR(IF(IFERROR(MATCH(26,'كشف الحساب'!$N$4:$N$353,0),0)=0,"",INDEX('كشف الحساب'!$A$4:$A$353,IFERROR(MATCH(26,'كشف الحساب'!$N$4:$N$353,0),0))),"")</f>
        <v>46238</v>
      </c>
      <c r="B30" s="61">
        <f>IFERROR(IF(IFERROR(MATCH(26,'كشف الحساب'!$N$4:$N$353,0),0)=0,"",INDEX('كشف الحساب'!$B$4:$B$353,IFERROR(MATCH(26,'كشف الحساب'!$N$4:$N$353,0),0))),"")</f>
        <v>0</v>
      </c>
      <c r="C30" s="27" t="str">
        <f>IFERROR(IF(IFERROR(MATCH(26,'كشف الحساب'!$N$4:$N$353,0),0)=0,"",INDEX('كشف الحساب'!$C$4:$C$353,IFERROR(MATCH(26,'كشف الحساب'!$N$4:$N$353,0),0))),"")</f>
        <v>حديد كحميه 2</v>
      </c>
      <c r="D30" s="28">
        <f>IFERROR(IF(IFERROR(MATCH(26,'كشف الحساب'!$N$4:$N$353,0),0)=0,"",INDEX('كشف الحساب'!$D$4:$D$353,IFERROR(MATCH(26,'كشف الحساب'!$N$4:$N$353,0),0))),"")</f>
        <v>68</v>
      </c>
      <c r="E30" s="62">
        <f>IFERROR(IF(IFERROR(MATCH(26,'كشف الحساب'!$N$4:$N$353,0),0)=0,"",INDEX('كشف الحساب'!$E$4:$E$353,IFERROR(MATCH(26,'كشف الحساب'!$N$4:$N$353,0),0))),"")</f>
        <v>0</v>
      </c>
      <c r="F30" s="61" t="str">
        <f>IFERROR(IF(IFERROR(MATCH(26,'كشف الحساب'!$N$4:$N$353,0),0)=0,"",INDEX('كشف الحساب'!$F$4:$F$353,IFERROR(MATCH(26,'كشف الحساب'!$N$4:$N$353,0),0))),"")</f>
        <v>أحد الشركاء</v>
      </c>
      <c r="G30" s="61" t="str">
        <f>IFERROR(IF(IFERROR(MATCH(26,'كشف الحساب'!$N$4:$N$353,0),0)=0,"",INDEX('كشف الحساب'!$G$4:$G$353,IFERROR(MATCH(26,'كشف الحساب'!$N$4:$N$353,0),0))),"")</f>
        <v>أبو اسحاق</v>
      </c>
      <c r="H30" s="61" t="str">
        <f>IFERROR(IF(IFERROR(MATCH(26,'كشف الحساب'!$N$4:$N$353,0),0)=0,"",INDEX('كشف الحساب'!$H$4:$H$353,IFERROR(MATCH(26,'كشف الحساب'!$N$4:$N$353,0),0))),"")</f>
        <v>تم الدفع</v>
      </c>
      <c r="I30" s="61">
        <f>IFERROR(IF(IFERROR(MATCH(26,'كشف الحساب'!$N$4:$N$353,0),0)=0,"",INDEX('كشف الحساب'!$I$4:$I$353,IFERROR(MATCH(26,'كشف الحساب'!$N$4:$N$353,0),0))),"")</f>
        <v>0</v>
      </c>
      <c r="J30" s="34">
        <f>IFERROR(IF(IFERROR(MATCH(26,'كشف الحساب'!$N$4:$N$353,0),0)=0,"",INDEX('كشف الحساب'!$J$4:$J$353,IFERROR(MATCH(26,'كشف الحساب'!$N$4:$N$353,0),0))),"")</f>
        <v>90.320000000000022</v>
      </c>
      <c r="K30" s="61">
        <f>IFERROR(IF(IFERROR(MATCH(26,'كشف الحساب'!$N$4:$N$353,0),0)=0,"",INDEX('كشف الحساب'!$K$4:$K$353,IFERROR(MATCH(26,'كشف الحساب'!$N$4:$N$353,0),0))),"")</f>
        <v>0</v>
      </c>
    </row>
    <row r="31" spans="1:11" ht="16.5" customHeight="1" x14ac:dyDescent="0.25">
      <c r="A31" s="139">
        <f>IFERROR(IF(IFERROR(MATCH(27,'كشف الحساب'!$N$4:$N$353,0),0)=0,"",INDEX('كشف الحساب'!$A$4:$A$353,IFERROR(MATCH(27,'كشف الحساب'!$N$4:$N$353,0),0))),"")</f>
        <v>46258</v>
      </c>
      <c r="B31" s="59">
        <f>IFERROR(IF(IFERROR(MATCH(27,'كشف الحساب'!$N$4:$N$353,0),0)=0,"",INDEX('كشف الحساب'!$B$4:$B$353,IFERROR(MATCH(27,'كشف الحساب'!$N$4:$N$353,0),0))),"")</f>
        <v>0</v>
      </c>
      <c r="C31" s="37" t="str">
        <f>IFERROR(IF(IFERROR(MATCH(27,'كشف الحساب'!$N$4:$N$353,0),0)=0,"",INDEX('كشف الحساب'!$C$4:$C$353,IFERROR(MATCH(27,'كشف الحساب'!$N$4:$N$353,0),0))),"")</f>
        <v>اسمده</v>
      </c>
      <c r="D31" s="38">
        <f>IFERROR(IF(IFERROR(MATCH(27,'كشف الحساب'!$N$4:$N$353,0),0)=0,"",INDEX('كشف الحساب'!$D$4:$D$353,IFERROR(MATCH(27,'كشف الحساب'!$N$4:$N$353,0),0))),"")</f>
        <v>4.125</v>
      </c>
      <c r="E31" s="60">
        <f>IFERROR(IF(IFERROR(MATCH(27,'كشف الحساب'!$N$4:$N$353,0),0)=0,"",INDEX('كشف الحساب'!$E$4:$E$353,IFERROR(MATCH(27,'كشف الحساب'!$N$4:$N$353,0),0))),"")</f>
        <v>0</v>
      </c>
      <c r="F31" s="59" t="str">
        <f>IFERROR(IF(IFERROR(MATCH(27,'كشف الحساب'!$N$4:$N$353,0),0)=0,"",INDEX('كشف الحساب'!$F$4:$F$353,IFERROR(MATCH(27,'كشف الحساب'!$N$4:$N$353,0),0))),"")</f>
        <v>نقداً</v>
      </c>
      <c r="G31" s="59" t="str">
        <f>IFERROR(IF(IFERROR(MATCH(27,'كشف الحساب'!$N$4:$N$353,0),0)=0,"",INDEX('كشف الحساب'!$G$4:$G$353,IFERROR(MATCH(27,'كشف الحساب'!$N$4:$N$353,0),0))),"")</f>
        <v>المحفظة</v>
      </c>
      <c r="H31" s="59" t="str">
        <f>IFERROR(IF(IFERROR(MATCH(27,'كشف الحساب'!$N$4:$N$353,0),0)=0,"",INDEX('كشف الحساب'!$H$4:$H$353,IFERROR(MATCH(27,'كشف الحساب'!$N$4:$N$353,0),0))),"")</f>
        <v>تم الدفع</v>
      </c>
      <c r="I31" s="59">
        <f>IFERROR(IF(IFERROR(MATCH(27,'كشف الحساب'!$N$4:$N$353,0),0)=0,"",INDEX('كشف الحساب'!$I$4:$I$353,IFERROR(MATCH(27,'كشف الحساب'!$N$4:$N$353,0),0))),"")</f>
        <v>0</v>
      </c>
      <c r="J31" s="43">
        <f>IFERROR(IF(IFERROR(MATCH(27,'كشف الحساب'!$N$4:$N$353,0),0)=0,"",INDEX('كشف الحساب'!$J$4:$J$353,IFERROR(MATCH(27,'كشف الحساب'!$N$4:$N$353,0),0))),"")</f>
        <v>86.195000000000022</v>
      </c>
      <c r="K31" s="59">
        <f>IFERROR(IF(IFERROR(MATCH(27,'كشف الحساب'!$N$4:$N$353,0),0)=0,"",INDEX('كشف الحساب'!$K$4:$K$353,IFERROR(MATCH(27,'كشف الحساب'!$N$4:$N$353,0),0))),"")</f>
        <v>0</v>
      </c>
    </row>
    <row r="32" spans="1:11" ht="16.5" customHeight="1" x14ac:dyDescent="0.25">
      <c r="A32" s="25">
        <f>IFERROR(IF(IFERROR(MATCH(28,'كشف الحساب'!$N$4:$N$353,0),0)=0,"",INDEX('كشف الحساب'!$A$4:$A$353,IFERROR(MATCH(28,'كشف الحساب'!$N$4:$N$353,0),0))),"")</f>
        <v>46260</v>
      </c>
      <c r="B32" s="61" t="str">
        <f>IFERROR(IF(IFERROR(MATCH(28,'كشف الحساب'!$N$4:$N$353,0),0)=0,"",INDEX('كشف الحساب'!$B$4:$B$353,IFERROR(MATCH(28,'كشف الحساب'!$N$4:$N$353,0),0))),"")</f>
        <v>Inv-121</v>
      </c>
      <c r="C32" s="27" t="str">
        <f>IFERROR(IF(IFERROR(MATCH(28,'كشف الحساب'!$N$4:$N$353,0),0)=0,"",INDEX('كشف الحساب'!$C$4:$C$353,IFERROR(MATCH(28,'كشف الحساب'!$N$4:$N$353,0),0))),"")</f>
        <v>شركه التهاني</v>
      </c>
      <c r="D32" s="28">
        <f>IFERROR(IF(IFERROR(MATCH(28,'كشف الحساب'!$N$4:$N$353,0),0)=0,"",INDEX('كشف الحساب'!$D$4:$D$353,IFERROR(MATCH(28,'كشف الحساب'!$N$4:$N$353,0),0))),"")</f>
        <v>0</v>
      </c>
      <c r="E32" s="62">
        <f>IFERROR(IF(IFERROR(MATCH(28,'كشف الحساب'!$N$4:$N$353,0),0)=0,"",INDEX('كشف الحساب'!$E$4:$E$353,IFERROR(MATCH(28,'كشف الحساب'!$N$4:$N$353,0),0))),"")</f>
        <v>260</v>
      </c>
      <c r="F32" s="61" t="str">
        <f>IFERROR(IF(IFERROR(MATCH(28,'كشف الحساب'!$N$4:$N$353,0),0)=0,"",INDEX('كشف الحساب'!$F$4:$F$353,IFERROR(MATCH(28,'كشف الحساب'!$N$4:$N$353,0),0))),"")</f>
        <v>نقداً</v>
      </c>
      <c r="G32" s="61">
        <f>IFERROR(IF(IFERROR(MATCH(28,'كشف الحساب'!$N$4:$N$353,0),0)=0,"",INDEX('كشف الحساب'!$G$4:$G$353,IFERROR(MATCH(28,'كشف الحساب'!$N$4:$N$353,0),0))),"")</f>
        <v>0</v>
      </c>
      <c r="H32" s="61" t="str">
        <f>IFERROR(IF(IFERROR(MATCH(28,'كشف الحساب'!$N$4:$N$353,0),0)=0,"",INDEX('كشف الحساب'!$H$4:$H$353,IFERROR(MATCH(28,'كشف الحساب'!$N$4:$N$353,0),0))),"")</f>
        <v>تم الدفع</v>
      </c>
      <c r="I32" s="61">
        <f>IFERROR(IF(IFERROR(MATCH(28,'كشف الحساب'!$N$4:$N$353,0),0)=0,"",INDEX('كشف الحساب'!$I$4:$I$353,IFERROR(MATCH(28,'كشف الحساب'!$N$4:$N$353,0),0))),"")</f>
        <v>0</v>
      </c>
      <c r="J32" s="34">
        <f>IFERROR(IF(IFERROR(MATCH(28,'كشف الحساب'!$N$4:$N$353,0),0)=0,"",INDEX('كشف الحساب'!$J$4:$J$353,IFERROR(MATCH(28,'كشف الحساب'!$N$4:$N$353,0),0))),"")</f>
        <v>346.19500000000005</v>
      </c>
      <c r="K32" s="61" t="str">
        <f>IFERROR(IF(IFERROR(MATCH(28,'كشف الحساب'!$N$4:$N$353,0),0)=0,"",INDEX('كشف الحساب'!$K$4:$K$353,IFERROR(MATCH(28,'كشف الحساب'!$N$4:$N$353,0),0))),"")</f>
        <v>تم عمل خصم من ابوادم 3.750</v>
      </c>
    </row>
    <row r="33" spans="1:11" ht="16.5" customHeight="1" x14ac:dyDescent="0.25">
      <c r="A33" s="139">
        <f>IFERROR(IF(IFERROR(MATCH(29,'كشف الحساب'!$N$4:$N$353,0),0)=0,"",INDEX('كشف الحساب'!$A$4:$A$353,IFERROR(MATCH(29,'كشف الحساب'!$N$4:$N$353,0),0))),"")</f>
        <v>46260</v>
      </c>
      <c r="B33" s="59">
        <f>IFERROR(IF(IFERROR(MATCH(29,'كشف الحساب'!$N$4:$N$353,0),0)=0,"",INDEX('كشف الحساب'!$B$4:$B$353,IFERROR(MATCH(29,'كشف الحساب'!$N$4:$N$353,0),0))),"")</f>
        <v>0</v>
      </c>
      <c r="C33" s="37" t="str">
        <f>IFERROR(IF(IFERROR(MATCH(29,'كشف الحساب'!$N$4:$N$353,0),0)=0,"",INDEX('كشف الحساب'!$C$4:$C$353,IFERROR(MATCH(29,'كشف الحساب'!$N$4:$N$353,0),0))),"")</f>
        <v>, حوض معلق عدد500 (الوحده.170(,بتموس عدد 10 الحبه 15</v>
      </c>
      <c r="D33" s="38">
        <f>IFERROR(IF(IFERROR(MATCH(29,'كشف الحساب'!$N$4:$N$353,0),0)=0,"",INDEX('كشف الحساب'!$D$4:$D$353,IFERROR(MATCH(29,'كشف الحساب'!$N$4:$N$353,0),0))),"")</f>
        <v>243</v>
      </c>
      <c r="E33" s="60">
        <f>IFERROR(IF(IFERROR(MATCH(29,'كشف الحساب'!$N$4:$N$353,0),0)=0,"",INDEX('كشف الحساب'!$E$4:$E$353,IFERROR(MATCH(29,'كشف الحساب'!$N$4:$N$353,0),0))),"")</f>
        <v>0</v>
      </c>
      <c r="F33" s="59" t="str">
        <f>IFERROR(IF(IFERROR(MATCH(29,'كشف الحساب'!$N$4:$N$353,0),0)=0,"",INDEX('كشف الحساب'!$F$4:$F$353,IFERROR(MATCH(29,'كشف الحساب'!$N$4:$N$353,0),0))),"")</f>
        <v>نقداً</v>
      </c>
      <c r="G33" s="59" t="str">
        <f>IFERROR(IF(IFERROR(MATCH(29,'كشف الحساب'!$N$4:$N$353,0),0)=0,"",INDEX('كشف الحساب'!$G$4:$G$353,IFERROR(MATCH(29,'كشف الحساب'!$N$4:$N$353,0),0))),"")</f>
        <v>المحفظة</v>
      </c>
      <c r="H33" s="59" t="str">
        <f>IFERROR(IF(IFERROR(MATCH(29,'كشف الحساب'!$N$4:$N$353,0),0)=0,"",INDEX('كشف الحساب'!$H$4:$H$353,IFERROR(MATCH(29,'كشف الحساب'!$N$4:$N$353,0),0))),"")</f>
        <v>تم الدفع</v>
      </c>
      <c r="I33" s="59">
        <f>IFERROR(IF(IFERROR(MATCH(29,'كشف الحساب'!$N$4:$N$353,0),0)=0,"",INDEX('كشف الحساب'!$I$4:$I$353,IFERROR(MATCH(29,'كشف الحساب'!$N$4:$N$353,0),0))),"")</f>
        <v>0</v>
      </c>
      <c r="J33" s="43">
        <f>IFERROR(IF(IFERROR(MATCH(29,'كشف الحساب'!$N$4:$N$353,0),0)=0,"",INDEX('كشف الحساب'!$J$4:$J$353,IFERROR(MATCH(29,'كشف الحساب'!$N$4:$N$353,0),0))),"")</f>
        <v>103.19500000000005</v>
      </c>
      <c r="K33" s="59">
        <f>IFERROR(IF(IFERROR(MATCH(29,'كشف الحساب'!$N$4:$N$353,0),0)=0,"",INDEX('كشف الحساب'!$K$4:$K$353,IFERROR(MATCH(29,'كشف الحساب'!$N$4:$N$353,0),0))),"")</f>
        <v>0</v>
      </c>
    </row>
    <row r="34" spans="1:11" ht="16.5" customHeight="1" x14ac:dyDescent="0.25">
      <c r="A34" s="25">
        <f>IFERROR(IF(IFERROR(MATCH(30,'كشف الحساب'!$N$4:$N$353,0),0)=0,"",INDEX('كشف الحساب'!$A$4:$A$353,IFERROR(MATCH(30,'كشف الحساب'!$N$4:$N$353,0),0))),"")</f>
        <v>46251</v>
      </c>
      <c r="B34" s="61">
        <f>IFERROR(IF(IFERROR(MATCH(30,'كشف الحساب'!$N$4:$N$353,0),0)=0,"",INDEX('كشف الحساب'!$B$4:$B$353,IFERROR(MATCH(30,'كشف الحساب'!$N$4:$N$353,0),0))),"")</f>
        <v>0</v>
      </c>
      <c r="C34" s="27" t="str">
        <f>IFERROR(IF(IFERROR(MATCH(30,'كشف الحساب'!$N$4:$N$353,0),0)=0,"",INDEX('كشف الحساب'!$C$4:$C$353,IFERROR(MATCH(30,'كشف الحساب'!$N$4:$N$353,0),0))),"")</f>
        <v>تاير توكتوك</v>
      </c>
      <c r="D34" s="28">
        <f>IFERROR(IF(IFERROR(MATCH(30,'كشف الحساب'!$N$4:$N$353,0),0)=0,"",INDEX('كشف الحساب'!$D$4:$D$353,IFERROR(MATCH(30,'كشف الحساب'!$N$4:$N$353,0),0))),"")</f>
        <v>3</v>
      </c>
      <c r="E34" s="62">
        <f>IFERROR(IF(IFERROR(MATCH(30,'كشف الحساب'!$N$4:$N$353,0),0)=0,"",INDEX('كشف الحساب'!$E$4:$E$353,IFERROR(MATCH(30,'كشف الحساب'!$N$4:$N$353,0),0))),"")</f>
        <v>0</v>
      </c>
      <c r="F34" s="61" t="str">
        <f>IFERROR(IF(IFERROR(MATCH(30,'كشف الحساب'!$N$4:$N$353,0),0)=0,"",INDEX('كشف الحساب'!$F$4:$F$353,IFERROR(MATCH(30,'كشف الحساب'!$N$4:$N$353,0),0))),"")</f>
        <v>نقداً</v>
      </c>
      <c r="G34" s="61" t="str">
        <f>IFERROR(IF(IFERROR(MATCH(30,'كشف الحساب'!$N$4:$N$353,0),0)=0,"",INDEX('كشف الحساب'!$G$4:$G$353,IFERROR(MATCH(30,'كشف الحساب'!$N$4:$N$353,0),0))),"")</f>
        <v>المحفظة</v>
      </c>
      <c r="H34" s="61" t="str">
        <f>IFERROR(IF(IFERROR(MATCH(30,'كشف الحساب'!$N$4:$N$353,0),0)=0,"",INDEX('كشف الحساب'!$H$4:$H$353,IFERROR(MATCH(30,'كشف الحساب'!$N$4:$N$353,0),0))),"")</f>
        <v>تم الدفع</v>
      </c>
      <c r="I34" s="61">
        <f>IFERROR(IF(IFERROR(MATCH(30,'كشف الحساب'!$N$4:$N$353,0),0)=0,"",INDEX('كشف الحساب'!$I$4:$I$353,IFERROR(MATCH(30,'كشف الحساب'!$N$4:$N$353,0),0))),"")</f>
        <v>0</v>
      </c>
      <c r="J34" s="34">
        <f>IFERROR(IF(IFERROR(MATCH(30,'كشف الحساب'!$N$4:$N$353,0),0)=0,"",INDEX('كشف الحساب'!$J$4:$J$353,IFERROR(MATCH(30,'كشف الحساب'!$N$4:$N$353,0),0))),"")</f>
        <v>100.19500000000005</v>
      </c>
      <c r="K34" s="61">
        <f>IFERROR(IF(IFERROR(MATCH(30,'كشف الحساب'!$N$4:$N$353,0),0)=0,"",INDEX('كشف الحساب'!$K$4:$K$353,IFERROR(MATCH(30,'كشف الحساب'!$N$4:$N$353,0),0))),"")</f>
        <v>0</v>
      </c>
    </row>
    <row r="35" spans="1:11" ht="15" customHeight="1" x14ac:dyDescent="0.25">
      <c r="A35" s="63">
        <f>IFERROR(IF(IFERROR(MATCH(31,'كشف الحساب'!$N$4:$N$353,0),0)=0,"",INDEX('كشف الحساب'!$A$4:$A$353,IFERROR(MATCH(31,'كشف الحساب'!$N$4:$N$353,0),0))),"")</f>
        <v>46251</v>
      </c>
      <c r="B35" s="64">
        <f>IFERROR(IF(IFERROR(MATCH(31,'كشف الحساب'!$N$4:$N$353,0),0)=0,"",INDEX('كشف الحساب'!$B$4:$B$353,IFERROR(MATCH(31,'كشف الحساب'!$N$4:$N$353,0),0))),"")</f>
        <v>0</v>
      </c>
      <c r="C35" s="65" t="str">
        <f>IFERROR(IF(IFERROR(MATCH(31,'كشف الحساب'!$N$4:$N$353,0),0)=0,"",INDEX('كشف الحساب'!$C$4:$C$353,IFERROR(MATCH(31,'كشف الحساب'!$N$4:$N$353,0),0))),"")</f>
        <v>هوز اصفر 3/4 طول 50 متر</v>
      </c>
      <c r="D35" s="66">
        <f>IFERROR(IF(IFERROR(MATCH(31,'كشف الحساب'!$N$4:$N$353,0),0)=0,"",INDEX('كشف الحساب'!$D$4:$D$353,IFERROR(MATCH(31,'كشف الحساب'!$N$4:$N$353,0),0))),"")</f>
        <v>11.5</v>
      </c>
      <c r="E35" s="67">
        <f>IFERROR(IF(IFERROR(MATCH(31,'كشف الحساب'!$N$4:$N$353,0),0)=0,"",INDEX('كشف الحساب'!$E$4:$E$353,IFERROR(MATCH(31,'كشف الحساب'!$N$4:$N$353,0),0))),"")</f>
        <v>0</v>
      </c>
      <c r="F35" s="64" t="str">
        <f>IFERROR(IF(IFERROR(MATCH(31,'كشف الحساب'!$N$4:$N$353,0),0)=0,"",INDEX('كشف الحساب'!$F$4:$F$353,IFERROR(MATCH(31,'كشف الحساب'!$N$4:$N$353,0),0))),"")</f>
        <v>نقداً</v>
      </c>
      <c r="G35" s="64" t="str">
        <f>IFERROR(IF(IFERROR(MATCH(31,'كشف الحساب'!$N$4:$N$353,0),0)=0,"",INDEX('كشف الحساب'!$G$4:$G$353,IFERROR(MATCH(31,'كشف الحساب'!$N$4:$N$353,0),0))),"")</f>
        <v>المحفظة</v>
      </c>
      <c r="H35" s="64" t="str">
        <f>IFERROR(IF(IFERROR(MATCH(31,'كشف الحساب'!$N$4:$N$353,0),0)=0,"",INDEX('كشف الحساب'!$H$4:$H$353,IFERROR(MATCH(31,'كشف الحساب'!$N$4:$N$353,0),0))),"")</f>
        <v>تم الدفع</v>
      </c>
      <c r="I35" s="64">
        <f>IFERROR(IF(IFERROR(MATCH(31,'كشف الحساب'!$N$4:$N$353,0),0)=0,"",INDEX('كشف الحساب'!$I$4:$I$353,IFERROR(MATCH(31,'كشف الحساب'!$N$4:$N$353,0),0))),"")</f>
        <v>0</v>
      </c>
      <c r="J35" s="68">
        <f>IFERROR(IF(IFERROR(MATCH(31,'كشف الحساب'!$N$4:$N$353,0),0)=0,"",INDEX('كشف الحساب'!$J$4:$J$353,IFERROR(MATCH(31,'كشف الحساب'!$N$4:$N$353,0),0))),"")</f>
        <v>117.69500000000005</v>
      </c>
      <c r="K35" s="64">
        <f>IFERROR(IF(IFERROR(MATCH(31,'كشف الحساب'!$N$4:$N$353,0),0)=0,"",INDEX('كشف الحساب'!$K$4:$K$353,IFERROR(MATCH(31,'كشف الحساب'!$N$4:$N$353,0),0))),"")</f>
        <v>0</v>
      </c>
    </row>
    <row r="36" spans="1:11" ht="15" customHeight="1" x14ac:dyDescent="0.25">
      <c r="A36" s="69">
        <f>IFERROR(IF(IFERROR(MATCH(32,'كشف الحساب'!$N$4:$N$353,0),0)=0,"",INDEX('كشف الحساب'!$A$4:$A$353,IFERROR(MATCH(32,'كشف الحساب'!$N$4:$N$353,0),0))),"")</f>
        <v>46254</v>
      </c>
      <c r="B36" s="70" t="str">
        <f>IFERROR(IF(IFERROR(MATCH(32,'كشف الحساب'!$N$4:$N$353,0),0)=0,"",INDEX('كشف الحساب'!$B$4:$B$353,IFERROR(MATCH(32,'كشف الحساب'!$N$4:$N$353,0),0))),"")</f>
        <v>Inv-125</v>
      </c>
      <c r="C36" s="71" t="str">
        <f>IFERROR(IF(IFERROR(MATCH(32,'كشف الحساب'!$N$4:$N$353,0),0)=0,"",INDEX('كشف الحساب'!$C$4:$C$353,IFERROR(MATCH(32,'كشف الحساب'!$N$4:$N$353,0),0))),"")</f>
        <v>متنوع - تم الدفع 26/8</v>
      </c>
      <c r="D36" s="72">
        <f>IFERROR(IF(IFERROR(MATCH(32,'كشف الحساب'!$N$4:$N$353,0),0)=0,"",INDEX('كشف الحساب'!$D$4:$D$353,IFERROR(MATCH(32,'كشف الحساب'!$N$4:$N$353,0),0))),"")</f>
        <v>0</v>
      </c>
      <c r="E36" s="73">
        <f>IFERROR(IF(IFERROR(MATCH(32,'كشف الحساب'!$N$4:$N$353,0),0)=0,"",INDEX('كشف الحساب'!$E$4:$E$353,IFERROR(MATCH(32,'كشف الحساب'!$N$4:$N$353,0),0))),"")</f>
        <v>59</v>
      </c>
      <c r="F36" s="70" t="str">
        <f>IFERROR(IF(IFERROR(MATCH(32,'كشف الحساب'!$N$4:$N$353,0),0)=0,"",INDEX('كشف الحساب'!$F$4:$F$353,IFERROR(MATCH(32,'كشف الحساب'!$N$4:$N$353,0),0))),"")</f>
        <v>نقداً</v>
      </c>
      <c r="G36" s="70">
        <f>IFERROR(IF(IFERROR(MATCH(32,'كشف الحساب'!$N$4:$N$353,0),0)=0,"",INDEX('كشف الحساب'!$G$4:$G$353,IFERROR(MATCH(32,'كشف الحساب'!$N$4:$N$353,0),0))),"")</f>
        <v>0</v>
      </c>
      <c r="H36" s="70" t="str">
        <f>IFERROR(IF(IFERROR(MATCH(32,'كشف الحساب'!$N$4:$N$353,0),0)=0,"",INDEX('كشف الحساب'!$H$4:$H$353,IFERROR(MATCH(32,'كشف الحساب'!$N$4:$N$353,0),0))),"")</f>
        <v>تم الدفع</v>
      </c>
      <c r="I36" s="70">
        <f>IFERROR(IF(IFERROR(MATCH(32,'كشف الحساب'!$N$4:$N$353,0),0)=0,"",INDEX('كشف الحساب'!$I$4:$I$353,IFERROR(MATCH(32,'كشف الحساب'!$N$4:$N$353,0),0))),"")</f>
        <v>0</v>
      </c>
      <c r="J36" s="74">
        <f>IFERROR(IF(IFERROR(MATCH(32,'كشف الحساب'!$N$4:$N$353,0),0)=0,"",INDEX('كشف الحساب'!$J$4:$J$353,IFERROR(MATCH(32,'كشف الحساب'!$N$4:$N$353,0),0))),"")</f>
        <v>176.69500000000005</v>
      </c>
      <c r="K36" s="70">
        <f>IFERROR(IF(IFERROR(MATCH(32,'كشف الحساب'!$N$4:$N$353,0),0)=0,"",INDEX('كشف الحساب'!$K$4:$K$353,IFERROR(MATCH(32,'كشف الحساب'!$N$4:$N$353,0),0))),"")</f>
        <v>0</v>
      </c>
    </row>
    <row r="37" spans="1:11" ht="15" customHeight="1" x14ac:dyDescent="0.25">
      <c r="A37" s="63"/>
      <c r="B37" s="64" t="str">
        <f>IFERROR(IF(IFERROR(MATCH(33,'كشف الحساب'!$N$4:$N$353,0),0)=0,"",INDEX('كشف الحساب'!$B$4:$B$353,IFERROR(MATCH(33,'كشف الحساب'!$N$4:$N$353,0),0))),"")</f>
        <v>Inv-126</v>
      </c>
      <c r="C37" s="65"/>
      <c r="D37" s="66">
        <f>IFERROR(IF(IFERROR(MATCH(33,'كشف الحساب'!$N$4:$N$353,0),0)=0,"",INDEX('كشف الحساب'!$D$4:$D$353,IFERROR(MATCH(33,'كشف الحساب'!$N$4:$N$353,0),0))),"")</f>
        <v>0</v>
      </c>
      <c r="E37"/>
      <c r="F37" s="64" t="str">
        <f>IFERROR(IF(IFERROR(MATCH(33,'كشف الحساب'!$N$4:$N$353,0),0)=0,"",INDEX('كشف الحساب'!$F$4:$F$353,IFERROR(MATCH(33,'كشف الحساب'!$N$4:$N$353,0),0))),"")</f>
        <v>نقداً</v>
      </c>
      <c r="G37" s="64">
        <f>IFERROR(IF(IFERROR(MATCH(33,'كشف الحساب'!$N$4:$N$353,0),0)=0,"",INDEX('كشف الحساب'!$G$4:$G$353,IFERROR(MATCH(33,'كشف الحساب'!$N$4:$N$353,0),0))),"")</f>
        <v>0</v>
      </c>
      <c r="H37" s="64" t="str">
        <f>IFERROR(IF(IFERROR(MATCH(33,'كشف الحساب'!$N$4:$N$353,0),0)=0,"",INDEX('كشف الحساب'!$H$4:$H$353,IFERROR(MATCH(33,'كشف الحساب'!$N$4:$N$353,0),0))),"")</f>
        <v>تم الدفع</v>
      </c>
      <c r="I37" s="64">
        <f>IFERROR(IF(IFERROR(MATCH(33,'كشف الحساب'!$N$4:$N$353,0),0)=0,"",INDEX('كشف الحساب'!$I$4:$I$353,IFERROR(MATCH(33,'كشف الحساب'!$N$4:$N$353,0),0))),"")</f>
        <v>0</v>
      </c>
      <c r="J37" s="68">
        <f>IFERROR(IF(IFERROR(MATCH(33,'كشف الحساب'!$N$4:$N$353,0),0)=0,"",INDEX('كشف الحساب'!$J$4:$J$353,IFERROR(MATCH(33,'كشف الحساب'!$N$4:$N$353,0),0))),"")</f>
        <v>576.69500000000005</v>
      </c>
      <c r="K37" s="64">
        <f>IFERROR(IF(IFERROR(MATCH(33,'كشف الحساب'!$N$4:$N$353,0),0)=0,"",INDEX('كشف الحساب'!$K$4:$K$353,IFERROR(MATCH(33,'كشف الحساب'!$N$4:$N$353,0),0))),"")</f>
        <v>0</v>
      </c>
    </row>
    <row r="38" spans="1:11" ht="15" customHeight="1" x14ac:dyDescent="0.25">
      <c r="A38" s="69">
        <f>IFERROR(IF(IFERROR(MATCH(34,'كشف الحساب'!$N$4:$N$353,0),0)=0,"",INDEX('كشف الحساب'!$A$4:$A$353,IFERROR(MATCH(34,'كشف الحساب'!$N$4:$N$353,0),0))),"")</f>
        <v>46263</v>
      </c>
      <c r="B38" s="70">
        <f>IFERROR(IF(IFERROR(MATCH(34,'كشف الحساب'!$N$4:$N$353,0),0)=0,"",INDEX('كشف الحساب'!$B$4:$B$353,IFERROR(MATCH(34,'كشف الحساب'!$N$4:$N$353,0),0))),"")</f>
        <v>0</v>
      </c>
      <c r="C38" s="71" t="str">
        <f>IFERROR(IF(IFERROR(MATCH(34,'كشف الحساب'!$N$4:$N$353,0),0)=0,"",INDEX('كشف الحساب'!$C$4:$C$353,IFERROR(MATCH(34,'كشف الحساب'!$N$4:$N$353,0),0))),"")</f>
        <v>صبار عدد 15 الحبه 1</v>
      </c>
      <c r="D38" s="72">
        <f>IFERROR(IF(IFERROR(MATCH(34,'كشف الحساب'!$N$4:$N$353,0),0)=0,"",INDEX('كشف الحساب'!$D$4:$D$353,IFERROR(MATCH(34,'كشف الحساب'!$N$4:$N$353,0),0))),"")</f>
        <v>15</v>
      </c>
      <c r="E38" s="73">
        <f>IFERROR(IF(IFERROR(MATCH(34,'كشف الحساب'!$N$4:$N$353,0),0)=0,"",INDEX('كشف الحساب'!$E$4:$E$353,IFERROR(MATCH(34,'كشف الحساب'!$N$4:$N$353,0),0))),"")</f>
        <v>0</v>
      </c>
      <c r="F38" s="70" t="str">
        <f>IFERROR(IF(IFERROR(MATCH(34,'كشف الحساب'!$N$4:$N$353,0),0)=0,"",INDEX('كشف الحساب'!$F$4:$F$353,IFERROR(MATCH(34,'كشف الحساب'!$N$4:$N$353,0),0))),"")</f>
        <v>نقداً</v>
      </c>
      <c r="G38" s="70" t="str">
        <f>IFERROR(IF(IFERROR(MATCH(34,'كشف الحساب'!$N$4:$N$353,0),0)=0,"",INDEX('كشف الحساب'!$G$4:$G$353,IFERROR(MATCH(34,'كشف الحساب'!$N$4:$N$353,0),0))),"")</f>
        <v>المحفظة</v>
      </c>
      <c r="H38" s="70" t="str">
        <f>IFERROR(IF(IFERROR(MATCH(34,'كشف الحساب'!$N$4:$N$353,0),0)=0,"",INDEX('كشف الحساب'!$H$4:$H$353,IFERROR(MATCH(34,'كشف الحساب'!$N$4:$N$353,0),0))),"")</f>
        <v>تم الدفع</v>
      </c>
      <c r="I38" s="70">
        <f>IFERROR(IF(IFERROR(MATCH(34,'كشف الحساب'!$N$4:$N$353,0),0)=0,"",INDEX('كشف الحساب'!$I$4:$I$353,IFERROR(MATCH(34,'كشف الحساب'!$N$4:$N$353,0),0))),"")</f>
        <v>0</v>
      </c>
      <c r="J38" s="74">
        <f>IFERROR(IF(IFERROR(MATCH(34,'كشف الحساب'!$N$4:$N$353,0),0)=0,"",INDEX('كشف الحساب'!$J$4:$J$353,IFERROR(MATCH(34,'كشف الحساب'!$N$4:$N$353,0),0))),"")</f>
        <v>561.69500000000005</v>
      </c>
      <c r="K38" s="70">
        <f>IFERROR(IF(IFERROR(MATCH(34,'كشف الحساب'!$N$4:$N$353,0),0)=0,"",INDEX('كشف الحساب'!$K$4:$K$353,IFERROR(MATCH(34,'كشف الحساب'!$N$4:$N$353,0),0))),"")</f>
        <v>0</v>
      </c>
    </row>
    <row r="39" spans="1:11" ht="15" customHeight="1" x14ac:dyDescent="0.25">
      <c r="A39" s="63">
        <f>IFERROR(IF(IFERROR(MATCH(35,'كشف الحساب'!$N$4:$N$353,0),0)=0,"",INDEX('كشف الحساب'!$A$4:$A$353,IFERROR(MATCH(35,'كشف الحساب'!$N$4:$N$353,0),0))),"")</f>
        <v>46263</v>
      </c>
      <c r="B39" s="64">
        <f>IFERROR(IF(IFERROR(MATCH(35,'كشف الحساب'!$N$4:$N$353,0),0)=0,"",INDEX('كشف الحساب'!$B$4:$B$353,IFERROR(MATCH(35,'كشف الحساب'!$N$4:$N$353,0),0))),"")</f>
        <v>0</v>
      </c>
      <c r="C39" s="65" t="str">
        <f>IFERROR(IF(IFERROR(MATCH(35,'كشف الحساب'!$N$4:$N$353,0),0)=0,"",INDEX('كشف الحساب'!$C$4:$C$353,IFERROR(MATCH(35,'كشف الحساب'!$N$4:$N$353,0),0))),"")</f>
        <v>زيتون عدد 2 الحبه 12</v>
      </c>
      <c r="D39" s="66">
        <f>IFERROR(IF(IFERROR(MATCH(35,'كشف الحساب'!$N$4:$N$353,0),0)=0,"",INDEX('كشف الحساب'!$D$4:$D$353,IFERROR(MATCH(35,'كشف الحساب'!$N$4:$N$353,0),0))),"")</f>
        <v>24</v>
      </c>
      <c r="E39" s="67">
        <f>IFERROR(IF(IFERROR(MATCH(35,'كشف الحساب'!$N$4:$N$353,0),0)=0,"",INDEX('كشف الحساب'!$E$4:$E$353,IFERROR(MATCH(35,'كشف الحساب'!$N$4:$N$353,0),0))),"")</f>
        <v>0</v>
      </c>
      <c r="F39" s="64" t="str">
        <f>IFERROR(IF(IFERROR(MATCH(35,'كشف الحساب'!$N$4:$N$353,0),0)=0,"",INDEX('كشف الحساب'!$F$4:$F$353,IFERROR(MATCH(35,'كشف الحساب'!$N$4:$N$353,0),0))),"")</f>
        <v>نقداً</v>
      </c>
      <c r="G39" s="64" t="str">
        <f>IFERROR(IF(IFERROR(MATCH(35,'كشف الحساب'!$N$4:$N$353,0),0)=0,"",INDEX('كشف الحساب'!$G$4:$G$353,IFERROR(MATCH(35,'كشف الحساب'!$N$4:$N$353,0),0))),"")</f>
        <v>المحفظة</v>
      </c>
      <c r="H39" s="64" t="str">
        <f>IFERROR(IF(IFERROR(MATCH(35,'كشف الحساب'!$N$4:$N$353,0),0)=0,"",INDEX('كشف الحساب'!$H$4:$H$353,IFERROR(MATCH(35,'كشف الحساب'!$N$4:$N$353,0),0))),"")</f>
        <v>تم الدفع</v>
      </c>
      <c r="I39" s="64">
        <f>IFERROR(IF(IFERROR(MATCH(35,'كشف الحساب'!$N$4:$N$353,0),0)=0,"",INDEX('كشف الحساب'!$I$4:$I$353,IFERROR(MATCH(35,'كشف الحساب'!$N$4:$N$353,0),0))),"")</f>
        <v>0</v>
      </c>
      <c r="J39" s="68">
        <f>IFERROR(IF(IFERROR(MATCH(35,'كشف الحساب'!$N$4:$N$353,0),0)=0,"",INDEX('كشف الحساب'!$J$4:$J$353,IFERROR(MATCH(35,'كشف الحساب'!$N$4:$N$353,0),0))),"")</f>
        <v>537.69500000000005</v>
      </c>
      <c r="K39" s="64">
        <f>IFERROR(IF(IFERROR(MATCH(35,'كشف الحساب'!$N$4:$N$353,0),0)=0,"",INDEX('كشف الحساب'!$K$4:$K$353,IFERROR(MATCH(35,'كشف الحساب'!$N$4:$N$353,0),0))),"")</f>
        <v>0</v>
      </c>
    </row>
    <row r="40" spans="1:11" ht="15" customHeight="1" x14ac:dyDescent="0.25">
      <c r="A40" s="69">
        <f>IFERROR(IF(IFERROR(MATCH(36,'كشف الحساب'!$N$4:$N$353,0),0)=0,"",INDEX('كشف الحساب'!$A$4:$A$353,IFERROR(MATCH(36,'كشف الحساب'!$N$4:$N$353,0),0))),"")</f>
        <v>46264</v>
      </c>
      <c r="B40" s="70" t="str">
        <f>IFERROR(IF(IFERROR(MATCH(36,'كشف الحساب'!$N$4:$N$353,0),0)=0,"",INDEX('كشف الحساب'!$B$4:$B$353,IFERROR(MATCH(36,'كشف الحساب'!$N$4:$N$353,0),0))),"")</f>
        <v>Inv-127</v>
      </c>
      <c r="C40" s="71" t="str">
        <f>IFERROR(IF(IFERROR(MATCH(36,'كشف الحساب'!$N$4:$N$353,0),0)=0,"",INDEX('كشف الحساب'!$C$4:$C$353,IFERROR(MATCH(36,'كشف الحساب'!$N$4:$N$353,0),0))),"")</f>
        <v>اناناس عدد 4 الواحده 4</v>
      </c>
      <c r="D40" s="72">
        <f>IFERROR(IF(IFERROR(MATCH(36,'كشف الحساب'!$N$4:$N$353,0),0)=0,"",INDEX('كشف الحساب'!$D$4:$D$353,IFERROR(MATCH(36,'كشف الحساب'!$N$4:$N$353,0),0))),"")</f>
        <v>0</v>
      </c>
      <c r="E40" s="73">
        <f>IFERROR(IF(IFERROR(MATCH(36,'كشف الحساب'!$N$4:$N$353,0),0)=0,"",INDEX('كشف الحساب'!$E$4:$E$353,IFERROR(MATCH(36,'كشف الحساب'!$N$4:$N$353,0),0))),"")</f>
        <v>16</v>
      </c>
      <c r="F40" s="70" t="str">
        <f>IFERROR(IF(IFERROR(MATCH(36,'كشف الحساب'!$N$4:$N$353,0),0)=0,"",INDEX('كشف الحساب'!$F$4:$F$353,IFERROR(MATCH(36,'كشف الحساب'!$N$4:$N$353,0),0))),"")</f>
        <v>نقداً</v>
      </c>
      <c r="G40" s="70">
        <f>IFERROR(IF(IFERROR(MATCH(36,'كشف الحساب'!$N$4:$N$353,0),0)=0,"",INDEX('كشف الحساب'!$G$4:$G$353,IFERROR(MATCH(36,'كشف الحساب'!$N$4:$N$353,0),0))),"")</f>
        <v>0</v>
      </c>
      <c r="H40" s="70" t="str">
        <f>IFERROR(IF(IFERROR(MATCH(36,'كشف الحساب'!$N$4:$N$353,0),0)=0,"",INDEX('كشف الحساب'!$H$4:$H$353,IFERROR(MATCH(36,'كشف الحساب'!$N$4:$N$353,0),0))),"")</f>
        <v>تم الدفع</v>
      </c>
      <c r="I40" s="70">
        <f>IFERROR(IF(IFERROR(MATCH(36,'كشف الحساب'!$N$4:$N$353,0),0)=0,"",INDEX('كشف الحساب'!$I$4:$I$353,IFERROR(MATCH(36,'كشف الحساب'!$N$4:$N$353,0),0))),"")</f>
        <v>0</v>
      </c>
      <c r="J40" s="74">
        <f>IFERROR(IF(IFERROR(MATCH(36,'كشف الحساب'!$N$4:$N$353,0),0)=0,"",INDEX('كشف الحساب'!$J$4:$J$353,IFERROR(MATCH(36,'كشف الحساب'!$N$4:$N$353,0),0))),"")</f>
        <v>553.69500000000005</v>
      </c>
      <c r="K40" s="70">
        <f>IFERROR(IF(IFERROR(MATCH(36,'كشف الحساب'!$N$4:$N$353,0),0)=0,"",INDEX('كشف الحساب'!$K$4:$K$353,IFERROR(MATCH(36,'كشف الحساب'!$N$4:$N$353,0),0))),"")</f>
        <v>0</v>
      </c>
    </row>
    <row r="41" spans="1:11" ht="15" customHeight="1" x14ac:dyDescent="0.25">
      <c r="A41" s="63">
        <f>IFERROR(IF(IFERROR(MATCH(37,'كشف الحساب'!$N$4:$N$353,0),0)=0,"",INDEX('كشف الحساب'!$A$4:$A$353,IFERROR(MATCH(37,'كشف الحساب'!$N$4:$N$353,0),0))),"")</f>
        <v>46264</v>
      </c>
      <c r="B41" s="64" t="str">
        <f>IFERROR(IF(IFERROR(MATCH(37,'كشف الحساب'!$N$4:$N$353,0),0)=0,"",INDEX('كشف الحساب'!$B$4:$B$353,IFERROR(MATCH(37,'كشف الحساب'!$N$4:$N$353,0),0))),"")</f>
        <v>Inv-128</v>
      </c>
      <c r="C41" s="65" t="str">
        <f>IFERROR(IF(IFERROR(MATCH(37,'كشف الحساب'!$N$4:$N$353,0),0)=0,"",INDEX('كشف الحساب'!$C$4:$C$353,IFERROR(MATCH(37,'كشف الحساب'!$N$4:$N$353,0),0))),"")</f>
        <v>ربل عدد 6 الحبه 2.500</v>
      </c>
      <c r="D41" s="66">
        <f>IFERROR(IF(IFERROR(MATCH(37,'كشف الحساب'!$N$4:$N$353,0),0)=0,"",INDEX('كشف الحساب'!$D$4:$D$353,IFERROR(MATCH(37,'كشف الحساب'!$N$4:$N$353,0),0))),"")</f>
        <v>0</v>
      </c>
      <c r="E41" s="67">
        <f>IFERROR(IF(IFERROR(MATCH(37,'كشف الحساب'!$N$4:$N$353,0),0)=0,"",INDEX('كشف الحساب'!$E$4:$E$353,IFERROR(MATCH(37,'كشف الحساب'!$N$4:$N$353,0),0))),"")</f>
        <v>15</v>
      </c>
      <c r="F41" s="64" t="str">
        <f>IFERROR(IF(IFERROR(MATCH(37,'كشف الحساب'!$N$4:$N$353,0),0)=0,"",INDEX('كشف الحساب'!$F$4:$F$353,IFERROR(MATCH(37,'كشف الحساب'!$N$4:$N$353,0),0))),"")</f>
        <v>نقداً</v>
      </c>
      <c r="G41" s="64">
        <f>IFERROR(IF(IFERROR(MATCH(37,'كشف الحساب'!$N$4:$N$353,0),0)=0,"",INDEX('كشف الحساب'!$G$4:$G$353,IFERROR(MATCH(37,'كشف الحساب'!$N$4:$N$353,0),0))),"")</f>
        <v>0</v>
      </c>
      <c r="H41" s="64" t="str">
        <f>IFERROR(IF(IFERROR(MATCH(37,'كشف الحساب'!$N$4:$N$353,0),0)=0,"",INDEX('كشف الحساب'!$H$4:$H$353,IFERROR(MATCH(37,'كشف الحساب'!$N$4:$N$353,0),0))),"")</f>
        <v>تم الدفع</v>
      </c>
      <c r="I41" s="64">
        <f>IFERROR(IF(IFERROR(MATCH(37,'كشف الحساب'!$N$4:$N$353,0),0)=0,"",INDEX('كشف الحساب'!$I$4:$I$353,IFERROR(MATCH(37,'كشف الحساب'!$N$4:$N$353,0),0))),"")</f>
        <v>0</v>
      </c>
      <c r="J41" s="68">
        <f>IFERROR(IF(IFERROR(MATCH(37,'كشف الحساب'!$N$4:$N$353,0),0)=0,"",INDEX('كشف الحساب'!$J$4:$J$353,IFERROR(MATCH(37,'كشف الحساب'!$N$4:$N$353,0),0))),"")</f>
        <v>568.69500000000005</v>
      </c>
      <c r="K41" s="64">
        <f>IFERROR(IF(IFERROR(MATCH(37,'كشف الحساب'!$N$4:$N$353,0),0)=0,"",INDEX('كشف الحساب'!$K$4:$K$353,IFERROR(MATCH(37,'كشف الحساب'!$N$4:$N$353,0),0))),"")</f>
        <v>0</v>
      </c>
    </row>
    <row r="42" spans="1:11" ht="15" customHeight="1" x14ac:dyDescent="0.25">
      <c r="A42" s="69">
        <f>IFERROR(IF(IFERROR(MATCH(38,'كشف الحساب'!$N$4:$N$353,0),0)=0,"",INDEX('كشف الحساب'!$A$4:$A$353,IFERROR(MATCH(38,'كشف الحساب'!$N$4:$N$353,0),0))),"")</f>
        <v>46264</v>
      </c>
      <c r="B42" s="70" t="str">
        <f>IFERROR(IF(IFERROR(MATCH(38,'كشف الحساب'!$N$4:$N$353,0),0)=0,"",INDEX('كشف الحساب'!$B$4:$B$353,IFERROR(MATCH(38,'كشف الحساب'!$N$4:$N$353,0),0))),"")</f>
        <v>Inv-129</v>
      </c>
      <c r="C42" s="71" t="str">
        <f>IFERROR(IF(IFERROR(MATCH(38,'كشف الحساب'!$N$4:$N$353,0),0)=0,"",INDEX('كشف الحساب'!$C$4:$C$353,IFERROR(MATCH(38,'كشف الحساب'!$N$4:$N$353,0),0))),"")</f>
        <v>متنوع عدد 17 الحبه 1</v>
      </c>
      <c r="D42" s="72">
        <f>IFERROR(IF(IFERROR(MATCH(38,'كشف الحساب'!$N$4:$N$353,0),0)=0,"",INDEX('كشف الحساب'!$D$4:$D$353,IFERROR(MATCH(38,'كشف الحساب'!$N$4:$N$353,0),0))),"")</f>
        <v>0</v>
      </c>
      <c r="E42" s="73">
        <f>IFERROR(IF(IFERROR(MATCH(38,'كشف الحساب'!$N$4:$N$353,0),0)=0,"",INDEX('كشف الحساب'!$E$4:$E$353,IFERROR(MATCH(38,'كشف الحساب'!$N$4:$N$353,0),0))),"")</f>
        <v>17</v>
      </c>
      <c r="F42" s="70" t="str">
        <f>IFERROR(IF(IFERROR(MATCH(38,'كشف الحساب'!$N$4:$N$353,0),0)=0,"",INDEX('كشف الحساب'!$F$4:$F$353,IFERROR(MATCH(38,'كشف الحساب'!$N$4:$N$353,0),0))),"")</f>
        <v>نقداً</v>
      </c>
      <c r="G42" s="70">
        <f>IFERROR(IF(IFERROR(MATCH(38,'كشف الحساب'!$N$4:$N$353,0),0)=0,"",INDEX('كشف الحساب'!$G$4:$G$353,IFERROR(MATCH(38,'كشف الحساب'!$N$4:$N$353,0),0))),"")</f>
        <v>0</v>
      </c>
      <c r="H42" s="70" t="str">
        <f>IFERROR(IF(IFERROR(MATCH(38,'كشف الحساب'!$N$4:$N$353,0),0)=0,"",INDEX('كشف الحساب'!$H$4:$H$353,IFERROR(MATCH(38,'كشف الحساب'!$N$4:$N$353,0),0))),"")</f>
        <v>تم الدفع</v>
      </c>
      <c r="I42" s="70">
        <f>IFERROR(IF(IFERROR(MATCH(38,'كشف الحساب'!$N$4:$N$353,0),0)=0,"",INDEX('كشف الحساب'!$I$4:$I$353,IFERROR(MATCH(38,'كشف الحساب'!$N$4:$N$353,0),0))),"")</f>
        <v>0</v>
      </c>
      <c r="J42" s="74">
        <f>IFERROR(IF(IFERROR(MATCH(38,'كشف الحساب'!$N$4:$N$353,0),0)=0,"",INDEX('كشف الحساب'!$J$4:$J$353,IFERROR(MATCH(38,'كشف الحساب'!$N$4:$N$353,0),0))),"")</f>
        <v>585.69500000000005</v>
      </c>
      <c r="K42" s="70">
        <f>IFERROR(IF(IFERROR(MATCH(38,'كشف الحساب'!$N$4:$N$353,0),0)=0,"",INDEX('كشف الحساب'!$K$4:$K$353,IFERROR(MATCH(38,'كشف الحساب'!$N$4:$N$353,0),0))),"")</f>
        <v>0</v>
      </c>
    </row>
    <row r="43" spans="1:11" ht="15" customHeight="1" x14ac:dyDescent="0.25">
      <c r="A43" s="63">
        <f>IFERROR(IF(IFERROR(MATCH(39,'كشف الحساب'!$N$4:$N$353,0),0)=0,"",INDEX('كشف الحساب'!$A$4:$A$353,IFERROR(MATCH(39,'كشف الحساب'!$N$4:$N$353,0),0))),"")</f>
        <v>46264</v>
      </c>
      <c r="B43" s="64" t="str">
        <f>IFERROR(IF(IFERROR(MATCH(39,'كشف الحساب'!$N$4:$N$353,0),0)=0,"",INDEX('كشف الحساب'!$B$4:$B$353,IFERROR(MATCH(39,'كشف الحساب'!$N$4:$N$353,0),0))),"")</f>
        <v>Inv-130</v>
      </c>
      <c r="C43" s="65" t="str">
        <f>IFERROR(IF(IFERROR(MATCH(39,'كشف الحساب'!$N$4:$N$353,0),0)=0,"",INDEX('كشف الحساب'!$C$4:$C$353,IFERROR(MATCH(39,'كشف الحساب'!$N$4:$N$353,0),0))),"")</f>
        <v>صبار عدد 13 الحبه 0.750</v>
      </c>
      <c r="D43" s="66">
        <f>IFERROR(IF(IFERROR(MATCH(39,'كشف الحساب'!$N$4:$N$353,0),0)=0,"",INDEX('كشف الحساب'!$D$4:$D$353,IFERROR(MATCH(39,'كشف الحساب'!$N$4:$N$353,0),0))),"")</f>
        <v>0</v>
      </c>
      <c r="E43" s="67">
        <f>IFERROR(IF(IFERROR(MATCH(39,'كشف الحساب'!$N$4:$N$353,0),0)=0,"",INDEX('كشف الحساب'!$E$4:$E$353,IFERROR(MATCH(39,'كشف الحساب'!$N$4:$N$353,0),0))),"")</f>
        <v>9.75</v>
      </c>
      <c r="F43" s="64" t="str">
        <f>IFERROR(IF(IFERROR(MATCH(39,'كشف الحساب'!$N$4:$N$353,0),0)=0,"",INDEX('كشف الحساب'!$F$4:$F$353,IFERROR(MATCH(39,'كشف الحساب'!$N$4:$N$353,0),0))),"")</f>
        <v>نقداً</v>
      </c>
      <c r="G43" s="64">
        <f>IFERROR(IF(IFERROR(MATCH(39,'كشف الحساب'!$N$4:$N$353,0),0)=0,"",INDEX('كشف الحساب'!$G$4:$G$353,IFERROR(MATCH(39,'كشف الحساب'!$N$4:$N$353,0),0))),"")</f>
        <v>0</v>
      </c>
      <c r="H43" s="64" t="str">
        <f>IFERROR(IF(IFERROR(MATCH(39,'كشف الحساب'!$N$4:$N$353,0),0)=0,"",INDEX('كشف الحساب'!$H$4:$H$353,IFERROR(MATCH(39,'كشف الحساب'!$N$4:$N$353,0),0))),"")</f>
        <v>تم الدفع</v>
      </c>
      <c r="I43" s="64">
        <f>IFERROR(IF(IFERROR(MATCH(39,'كشف الحساب'!$N$4:$N$353,0),0)=0,"",INDEX('كشف الحساب'!$I$4:$I$353,IFERROR(MATCH(39,'كشف الحساب'!$N$4:$N$353,0),0))),"")</f>
        <v>0</v>
      </c>
      <c r="J43" s="68">
        <f>IFERROR(IF(IFERROR(MATCH(39,'كشف الحساب'!$N$4:$N$353,0),0)=0,"",INDEX('كشف الحساب'!$J$4:$J$353,IFERROR(MATCH(39,'كشف الحساب'!$N$4:$N$353,0),0))),"")</f>
        <v>595.44500000000005</v>
      </c>
      <c r="K43" s="64">
        <f>IFERROR(IF(IFERROR(MATCH(39,'كشف الحساب'!$N$4:$N$353,0),0)=0,"",INDEX('كشف الحساب'!$K$4:$K$353,IFERROR(MATCH(39,'كشف الحساب'!$N$4:$N$353,0),0))),"")</f>
        <v>0</v>
      </c>
    </row>
    <row r="44" spans="1:11" ht="15" customHeight="1" x14ac:dyDescent="0.25">
      <c r="A44" s="69">
        <f>IFERROR(IF(IFERROR(MATCH(40,'كشف الحساب'!$N$4:$N$353,0),0)=0,"",INDEX('كشف الحساب'!$A$4:$A$353,IFERROR(MATCH(40,'كشف الحساب'!$N$4:$N$353,0),0))),"")</f>
        <v>46264</v>
      </c>
      <c r="B44" s="70" t="str">
        <f>IFERROR(IF(IFERROR(MATCH(40,'كشف الحساب'!$N$4:$N$353,0),0)=0,"",INDEX('كشف الحساب'!$B$4:$B$353,IFERROR(MATCH(40,'كشف الحساب'!$N$4:$N$353,0),0))),"")</f>
        <v>Inv-131</v>
      </c>
      <c r="C44" s="71" t="str">
        <f>IFERROR(IF(IFERROR(MATCH(40,'كشف الحساب'!$N$4:$N$353,0),0)=0,"",INDEX('كشف الحساب'!$C$4:$C$353,IFERROR(MATCH(40,'كشف الحساب'!$N$4:$N$353,0),0))),"")</f>
        <v>تين عدد5 الحبه 1.500</v>
      </c>
      <c r="D44" s="72">
        <f>IFERROR(IF(IFERROR(MATCH(40,'كشف الحساب'!$N$4:$N$353,0),0)=0,"",INDEX('كشف الحساب'!$D$4:$D$353,IFERROR(MATCH(40,'كشف الحساب'!$N$4:$N$353,0),0))),"")</f>
        <v>0</v>
      </c>
      <c r="E44" s="73">
        <f>IFERROR(IF(IFERROR(MATCH(40,'كشف الحساب'!$N$4:$N$353,0),0)=0,"",INDEX('كشف الحساب'!$E$4:$E$353,IFERROR(MATCH(40,'كشف الحساب'!$N$4:$N$353,0),0))),"")</f>
        <v>7.5</v>
      </c>
      <c r="F44" s="70" t="str">
        <f>IFERROR(IF(IFERROR(MATCH(40,'كشف الحساب'!$N$4:$N$353,0),0)=0,"",INDEX('كشف الحساب'!$F$4:$F$353,IFERROR(MATCH(40,'كشف الحساب'!$N$4:$N$353,0),0))),"")</f>
        <v>نقداً</v>
      </c>
      <c r="G44" s="70">
        <f>IFERROR(IF(IFERROR(MATCH(40,'كشف الحساب'!$N$4:$N$353,0),0)=0,"",INDEX('كشف الحساب'!$G$4:$G$353,IFERROR(MATCH(40,'كشف الحساب'!$N$4:$N$353,0),0))),"")</f>
        <v>0</v>
      </c>
      <c r="H44" s="70" t="str">
        <f>IFERROR(IF(IFERROR(MATCH(40,'كشف الحساب'!$N$4:$N$353,0),0)=0,"",INDEX('كشف الحساب'!$H$4:$H$353,IFERROR(MATCH(40,'كشف الحساب'!$N$4:$N$353,0),0))),"")</f>
        <v>تم الدفع</v>
      </c>
      <c r="I44" s="70">
        <f>IFERROR(IF(IFERROR(MATCH(40,'كشف الحساب'!$N$4:$N$353,0),0)=0,"",INDEX('كشف الحساب'!$I$4:$I$353,IFERROR(MATCH(40,'كشف الحساب'!$N$4:$N$353,0),0))),"")</f>
        <v>0</v>
      </c>
      <c r="J44" s="74">
        <f>IFERROR(IF(IFERROR(MATCH(40,'كشف الحساب'!$N$4:$N$353,0),0)=0,"",INDEX('كشف الحساب'!$J$4:$J$353,IFERROR(MATCH(40,'كشف الحساب'!$N$4:$N$353,0),0))),"")</f>
        <v>602.94500000000005</v>
      </c>
      <c r="K44" s="70">
        <f>IFERROR(IF(IFERROR(MATCH(40,'كشف الحساب'!$N$4:$N$353,0),0)=0,"",INDEX('كشف الحساب'!$K$4:$K$353,IFERROR(MATCH(40,'كشف الحساب'!$N$4:$N$353,0),0))),"")</f>
        <v>0</v>
      </c>
    </row>
    <row r="45" spans="1:11" ht="15" customHeight="1" x14ac:dyDescent="0.25">
      <c r="A45" s="63">
        <f>IFERROR(IF(IFERROR(MATCH(41,'كشف الحساب'!$N$4:$N$353,0),0)=0,"",INDEX('كشف الحساب'!$A$4:$A$353,IFERROR(MATCH(41,'كشف الحساب'!$N$4:$N$353,0),0))),"")</f>
        <v>46264</v>
      </c>
      <c r="B45" s="64">
        <f>IFERROR(IF(IFERROR(MATCH(41,'كشف الحساب'!$N$4:$N$353,0),0)=0,"",INDEX('كشف الحساب'!$B$4:$B$353,IFERROR(MATCH(41,'كشف الحساب'!$N$4:$N$353,0),0))),"")</f>
        <v>0</v>
      </c>
      <c r="C45" s="65" t="str">
        <f>IFERROR(IF(IFERROR(MATCH(41,'كشف الحساب'!$N$4:$N$353,0),0)=0,"",INDEX('كشف الحساب'!$C$4:$C$353,IFERROR(MATCH(41,'كشف الحساب'!$N$4:$N$353,0),0))),"")</f>
        <v>أقامه نزمول 3 سنوات</v>
      </c>
      <c r="D45" s="66">
        <f>IFERROR(IF(IFERROR(MATCH(41,'كشف الحساب'!$N$4:$N$353,0),0)=0,"",INDEX('كشف الحساب'!$D$4:$D$353,IFERROR(MATCH(41,'كشف الحساب'!$N$4:$N$353,0),0))),"")</f>
        <v>35</v>
      </c>
      <c r="E45" s="67">
        <f>IFERROR(IF(IFERROR(MATCH(41,'كشف الحساب'!$N$4:$N$353,0),0)=0,"",INDEX('كشف الحساب'!$E$4:$E$353,IFERROR(MATCH(41,'كشف الحساب'!$N$4:$N$353,0),0))),"")</f>
        <v>0</v>
      </c>
      <c r="F45" s="64" t="str">
        <f>IFERROR(IF(IFERROR(MATCH(41,'كشف الحساب'!$N$4:$N$353,0),0)=0,"",INDEX('كشف الحساب'!$F$4:$F$353,IFERROR(MATCH(41,'كشف الحساب'!$N$4:$N$353,0),0))),"")</f>
        <v>نقداً</v>
      </c>
      <c r="G45" s="64" t="str">
        <f>IFERROR(IF(IFERROR(MATCH(41,'كشف الحساب'!$N$4:$N$353,0),0)=0,"",INDEX('كشف الحساب'!$G$4:$G$353,IFERROR(MATCH(41,'كشف الحساب'!$N$4:$N$353,0),0))),"")</f>
        <v>المحفظة</v>
      </c>
      <c r="H45" s="64" t="str">
        <f>IFERROR(IF(IFERROR(MATCH(41,'كشف الحساب'!$N$4:$N$353,0),0)=0,"",INDEX('كشف الحساب'!$H$4:$H$353,IFERROR(MATCH(41,'كشف الحساب'!$N$4:$N$353,0),0))),"")</f>
        <v>تم الدفع</v>
      </c>
      <c r="I45" s="64">
        <f>IFERROR(IF(IFERROR(MATCH(41,'كشف الحساب'!$N$4:$N$353,0),0)=0,"",INDEX('كشف الحساب'!$I$4:$I$353,IFERROR(MATCH(41,'كشف الحساب'!$N$4:$N$353,0),0))),"")</f>
        <v>0</v>
      </c>
      <c r="J45" s="68">
        <f>IFERROR(IF(IFERROR(MATCH(41,'كشف الحساب'!$N$4:$N$353,0),0)=0,"",INDEX('كشف الحساب'!$J$4:$J$353,IFERROR(MATCH(41,'كشف الحساب'!$N$4:$N$353,0),0))),"")</f>
        <v>567.94500000000005</v>
      </c>
      <c r="K45" s="64">
        <f>IFERROR(IF(IFERROR(MATCH(41,'كشف الحساب'!$N$4:$N$353,0),0)=0,"",INDEX('كشف الحساب'!$K$4:$K$353,IFERROR(MATCH(41,'كشف الحساب'!$N$4:$N$353,0),0))),"")</f>
        <v>0</v>
      </c>
    </row>
    <row r="46" spans="1:11" ht="15" customHeight="1" x14ac:dyDescent="0.25">
      <c r="A46" s="69">
        <f>IFERROR(IF(IFERROR(MATCH(42,'كشف الحساب'!$N$4:$N$353,0),0)=0,"",INDEX('كشف الحساب'!$A$4:$A$353,IFERROR(MATCH(42,'كشف الحساب'!$N$4:$N$353,0),0))),"")</f>
        <v>46265</v>
      </c>
      <c r="B46" s="70">
        <f>IFERROR(IF(IFERROR(MATCH(42,'كشف الحساب'!$N$4:$N$353,0),0)=0,"",INDEX('كشف الحساب'!$B$4:$B$353,IFERROR(MATCH(42,'كشف الحساب'!$N$4:$N$353,0),0))),"")</f>
        <v>0</v>
      </c>
      <c r="C46" s="71" t="str">
        <f>IFERROR(IF(IFERROR(MATCH(42,'كشف الحساب'!$N$4:$N$353,0),0)=0,"",INDEX('كشف الحساب'!$C$4:$C$353,IFERROR(MATCH(42,'كشف الحساب'!$N$4:$N$353,0),0))),"")</f>
        <v>رواتب + كهرباء وماء</v>
      </c>
      <c r="D46" s="72">
        <f>IFERROR(IF(IFERROR(MATCH(42,'كشف الحساب'!$N$4:$N$353,0),0)=0,"",INDEX('كشف الحساب'!$D$4:$D$353,IFERROR(MATCH(42,'كشف الحساب'!$N$4:$N$353,0),0))),"")</f>
        <v>470</v>
      </c>
      <c r="E46" s="73">
        <f>IFERROR(IF(IFERROR(MATCH(42,'كشف الحساب'!$N$4:$N$353,0),0)=0,"",INDEX('كشف الحساب'!$E$4:$E$353,IFERROR(MATCH(42,'كشف الحساب'!$N$4:$N$353,0),0))),"")</f>
        <v>0</v>
      </c>
      <c r="F46" s="70" t="str">
        <f>IFERROR(IF(IFERROR(MATCH(42,'كشف الحساب'!$N$4:$N$353,0),0)=0,"",INDEX('كشف الحساب'!$F$4:$F$353,IFERROR(MATCH(42,'كشف الحساب'!$N$4:$N$353,0),0))),"")</f>
        <v>نقداً</v>
      </c>
      <c r="G46" s="70" t="str">
        <f>IFERROR(IF(IFERROR(MATCH(42,'كشف الحساب'!$N$4:$N$353,0),0)=0,"",INDEX('كشف الحساب'!$G$4:$G$353,IFERROR(MATCH(42,'كشف الحساب'!$N$4:$N$353,0),0))),"")</f>
        <v>المحفظة</v>
      </c>
      <c r="H46" s="70" t="str">
        <f>IFERROR(IF(IFERROR(MATCH(42,'كشف الحساب'!$N$4:$N$353,0),0)=0,"",INDEX('كشف الحساب'!$H$4:$H$353,IFERROR(MATCH(42,'كشف الحساب'!$N$4:$N$353,0),0))),"")</f>
        <v>تم الدفع</v>
      </c>
      <c r="I46" s="70">
        <f>IFERROR(IF(IFERROR(MATCH(42,'كشف الحساب'!$N$4:$N$353,0),0)=0,"",INDEX('كشف الحساب'!$I$4:$I$353,IFERROR(MATCH(42,'كشف الحساب'!$N$4:$N$353,0),0))),"")</f>
        <v>0</v>
      </c>
      <c r="J46" s="74">
        <f>IFERROR(IF(IFERROR(MATCH(42,'كشف الحساب'!$N$4:$N$353,0),0)=0,"",INDEX('كشف الحساب'!$J$4:$J$353,IFERROR(MATCH(42,'كشف الحساب'!$N$4:$N$353,0),0))),"")</f>
        <v>97.94500000000005</v>
      </c>
      <c r="K46" s="70">
        <f>IFERROR(IF(IFERROR(MATCH(42,'كشف الحساب'!$N$4:$N$353,0),0)=0,"",INDEX('كشف الحساب'!$K$4:$K$353,IFERROR(MATCH(42,'كشف الحساب'!$N$4:$N$353,0),0))),"")</f>
        <v>0</v>
      </c>
    </row>
    <row r="47" spans="1:11" ht="15" customHeight="1" x14ac:dyDescent="0.25">
      <c r="A47" s="63">
        <f>IFERROR(IF(IFERROR(MATCH(43,'كشف الحساب'!$N$4:$N$353,0),0)=0,"",INDEX('كشف الحساب'!$A$4:$A$353,IFERROR(MATCH(43,'كشف الحساب'!$N$4:$N$353,0),0))),"")</f>
        <v>46265</v>
      </c>
      <c r="B47" s="64">
        <f>IFERROR(IF(IFERROR(MATCH(43,'كشف الحساب'!$N$4:$N$353,0),0)=0,"",INDEX('كشف الحساب'!$B$4:$B$353,IFERROR(MATCH(43,'كشف الحساب'!$N$4:$N$353,0),0))),"")</f>
        <v>0</v>
      </c>
      <c r="C47" s="65" t="str">
        <f>IFERROR(IF(IFERROR(MATCH(43,'كشف الحساب'!$N$4:$N$353,0),0)=0,"",INDEX('كشف الحساب'!$C$4:$C$353,IFERROR(MATCH(43,'كشف الحساب'!$N$4:$N$353,0),0))),"")</f>
        <v>نصف قيمه فلتر المالج</v>
      </c>
      <c r="D47" s="66">
        <f>IFERROR(IF(IFERROR(MATCH(43,'كشف الحساب'!$N$4:$N$353,0),0)=0,"",INDEX('كشف الحساب'!$D$4:$D$353,IFERROR(MATCH(43,'كشف الحساب'!$N$4:$N$353,0),0))),"")</f>
        <v>62.5</v>
      </c>
      <c r="E47" s="67">
        <f>IFERROR(IF(IFERROR(MATCH(43,'كشف الحساب'!$N$4:$N$353,0),0)=0,"",INDEX('كشف الحساب'!$E$4:$E$353,IFERROR(MATCH(43,'كشف الحساب'!$N$4:$N$353,0),0))),"")</f>
        <v>0</v>
      </c>
      <c r="F47" s="64">
        <f>IFERROR(IF(IFERROR(MATCH(43,'كشف الحساب'!$N$4:$N$353,0),0)=0,"",INDEX('كشف الحساب'!$F$4:$F$353,IFERROR(MATCH(43,'كشف الحساب'!$N$4:$N$353,0),0))),"")</f>
        <v>0</v>
      </c>
      <c r="G47" s="64" t="str">
        <f>IFERROR(IF(IFERROR(MATCH(43,'كشف الحساب'!$N$4:$N$353,0),0)=0,"",INDEX('كشف الحساب'!$G$4:$G$353,IFERROR(MATCH(43,'كشف الحساب'!$N$4:$N$353,0),0))),"")</f>
        <v>المحفظة</v>
      </c>
      <c r="H47" s="64" t="str">
        <f>IFERROR(IF(IFERROR(MATCH(43,'كشف الحساب'!$N$4:$N$353,0),0)=0,"",INDEX('كشف الحساب'!$H$4:$H$353,IFERROR(MATCH(43,'كشف الحساب'!$N$4:$N$353,0),0))),"")</f>
        <v>تم الدفع</v>
      </c>
      <c r="I47" s="64">
        <f>IFERROR(IF(IFERROR(MATCH(43,'كشف الحساب'!$N$4:$N$353,0),0)=0,"",INDEX('كشف الحساب'!$I$4:$I$353,IFERROR(MATCH(43,'كشف الحساب'!$N$4:$N$353,0),0))),"")</f>
        <v>0</v>
      </c>
      <c r="J47" s="68">
        <f>IFERROR(IF(IFERROR(MATCH(43,'كشف الحساب'!$N$4:$N$353,0),0)=0,"",INDEX('كشف الحساب'!$J$4:$J$353,IFERROR(MATCH(43,'كشف الحساب'!$N$4:$N$353,0),0))),"")</f>
        <v>35.44500000000005</v>
      </c>
      <c r="K47" s="64">
        <f>IFERROR(IF(IFERROR(MATCH(43,'كشف الحساب'!$N$4:$N$353,0),0)=0,"",INDEX('كشف الحساب'!$K$4:$K$353,IFERROR(MATCH(43,'كشف الحساب'!$N$4:$N$353,0),0))),"")</f>
        <v>0</v>
      </c>
    </row>
    <row r="48" spans="1:11" ht="15" customHeight="1" x14ac:dyDescent="0.25">
      <c r="A48" s="69">
        <f>IFERROR(IF(IFERROR(MATCH(44,'كشف الحساب'!$N$4:$N$353,0),0)=0,"",INDEX('كشف الحساب'!$A$4:$A$353,IFERROR(MATCH(44,'كشف الحساب'!$N$4:$N$353,0),0))),"")</f>
        <v>46265</v>
      </c>
      <c r="B48" s="70" t="str">
        <f>IFERROR(IF(IFERROR(MATCH(44,'كشف الحساب'!$N$4:$N$353,0),0)=0,"",INDEX('كشف الحساب'!$B$4:$B$353,IFERROR(MATCH(44,'كشف الحساب'!$N$4:$N$353,0),0))),"")</f>
        <v>Inv-132</v>
      </c>
      <c r="C48" s="71" t="str">
        <f>IFERROR(IF(IFERROR(MATCH(44,'كشف الحساب'!$N$4:$N$353,0),0)=0,"",INDEX('كشف الحساب'!$C$4:$C$353,IFERROR(MATCH(44,'كشف الحساب'!$N$4:$N$353,0),0))),"")</f>
        <v>ودليه عدد 2 الحبه 1</v>
      </c>
      <c r="D48" s="72">
        <f>IFERROR(IF(IFERROR(MATCH(44,'كشف الحساب'!$N$4:$N$353,0),0)=0,"",INDEX('كشف الحساب'!$D$4:$D$353,IFERROR(MATCH(44,'كشف الحساب'!$N$4:$N$353,0),0))),"")</f>
        <v>0</v>
      </c>
      <c r="E48" s="73">
        <f>IFERROR(IF(IFERROR(MATCH(44,'كشف الحساب'!$N$4:$N$353,0),0)=0,"",INDEX('كشف الحساب'!$E$4:$E$353,IFERROR(MATCH(44,'كشف الحساب'!$N$4:$N$353,0),0))),"")</f>
        <v>2</v>
      </c>
      <c r="F48" s="70" t="str">
        <f>IFERROR(IF(IFERROR(MATCH(44,'كشف الحساب'!$N$4:$N$353,0),0)=0,"",INDEX('كشف الحساب'!$F$4:$F$353,IFERROR(MATCH(44,'كشف الحساب'!$N$4:$N$353,0),0))),"")</f>
        <v>أون لاين</v>
      </c>
      <c r="G48" s="70">
        <f>IFERROR(IF(IFERROR(MATCH(44,'كشف الحساب'!$N$4:$N$353,0),0)=0,"",INDEX('كشف الحساب'!$G$4:$G$353,IFERROR(MATCH(44,'كشف الحساب'!$N$4:$N$353,0),0))),"")</f>
        <v>0</v>
      </c>
      <c r="H48" s="70" t="str">
        <f>IFERROR(IF(IFERROR(MATCH(44,'كشف الحساب'!$N$4:$N$353,0),0)=0,"",INDEX('كشف الحساب'!$H$4:$H$353,IFERROR(MATCH(44,'كشف الحساب'!$N$4:$N$353,0),0))),"")</f>
        <v>تم الدفع</v>
      </c>
      <c r="I48" s="70">
        <f>IFERROR(IF(IFERROR(MATCH(44,'كشف الحساب'!$N$4:$N$353,0),0)=0,"",INDEX('كشف الحساب'!$I$4:$I$353,IFERROR(MATCH(44,'كشف الحساب'!$N$4:$N$353,0),0))),"")</f>
        <v>0</v>
      </c>
      <c r="J48" s="74">
        <f>IFERROR(IF(IFERROR(MATCH(44,'كشف الحساب'!$N$4:$N$353,0),0)=0,"",INDEX('كشف الحساب'!$J$4:$J$353,IFERROR(MATCH(44,'كشف الحساب'!$N$4:$N$353,0),0))),"")</f>
        <v>37.44500000000005</v>
      </c>
      <c r="K48" s="70">
        <f>IFERROR(IF(IFERROR(MATCH(44,'كشف الحساب'!$N$4:$N$353,0),0)=0,"",INDEX('كشف الحساب'!$K$4:$K$353,IFERROR(MATCH(44,'كشف الحساب'!$N$4:$N$353,0),0))),"")</f>
        <v>0</v>
      </c>
    </row>
    <row r="49" spans="1:11" ht="15" customHeight="1" x14ac:dyDescent="0.25">
      <c r="A49" s="63" t="str">
        <f>IFERROR(IF(IFERROR(MATCH(45,'كشف الحساب'!$N$4:$N$353,0),0)=0,"",INDEX('كشف الحساب'!$A$4:$A$353,IFERROR(MATCH(45,'كشف الحساب'!$N$4:$N$353,0),0))),"")</f>
        <v/>
      </c>
      <c r="B49" s="64" t="str">
        <f>IFERROR(IF(IFERROR(MATCH(45,'كشف الحساب'!$N$4:$N$353,0),0)=0,"",INDEX('كشف الحساب'!$B$4:$B$353,IFERROR(MATCH(45,'كشف الحساب'!$N$4:$N$353,0),0))),"")</f>
        <v/>
      </c>
      <c r="C49" s="65" t="str">
        <f>IFERROR(IF(IFERROR(MATCH(45,'كشف الحساب'!$N$4:$N$353,0),0)=0,"",INDEX('كشف الحساب'!$C$4:$C$353,IFERROR(MATCH(45,'كشف الحساب'!$N$4:$N$353,0),0))),"")</f>
        <v/>
      </c>
      <c r="D49" s="66" t="str">
        <f>IFERROR(IF(IFERROR(MATCH(45,'كشف الحساب'!$N$4:$N$353,0),0)=0,"",INDEX('كشف الحساب'!$D$4:$D$353,IFERROR(MATCH(45,'كشف الحساب'!$N$4:$N$353,0),0))),"")</f>
        <v/>
      </c>
      <c r="E49" s="67" t="str">
        <f>IFERROR(IF(IFERROR(MATCH(45,'كشف الحساب'!$N$4:$N$353,0),0)=0,"",INDEX('كشف الحساب'!$E$4:$E$353,IFERROR(MATCH(45,'كشف الحساب'!$N$4:$N$353,0),0))),"")</f>
        <v/>
      </c>
      <c r="F49" s="64" t="str">
        <f>IFERROR(IF(IFERROR(MATCH(45,'كشف الحساب'!$N$4:$N$353,0),0)=0,"",INDEX('كشف الحساب'!$F$4:$F$353,IFERROR(MATCH(45,'كشف الحساب'!$N$4:$N$353,0),0))),"")</f>
        <v/>
      </c>
      <c r="G49" s="64" t="str">
        <f>IFERROR(IF(IFERROR(MATCH(45,'كشف الحساب'!$N$4:$N$353,0),0)=0,"",INDEX('كشف الحساب'!$G$4:$G$353,IFERROR(MATCH(45,'كشف الحساب'!$N$4:$N$353,0),0))),"")</f>
        <v/>
      </c>
      <c r="H49" s="64" t="str">
        <f>IFERROR(IF(IFERROR(MATCH(45,'كشف الحساب'!$N$4:$N$353,0),0)=0,"",INDEX('كشف الحساب'!$H$4:$H$353,IFERROR(MATCH(45,'كشف الحساب'!$N$4:$N$353,0),0))),"")</f>
        <v/>
      </c>
      <c r="I49" s="64" t="str">
        <f>IFERROR(IF(IFERROR(MATCH(45,'كشف الحساب'!$N$4:$N$353,0),0)=0,"",INDEX('كشف الحساب'!$I$4:$I$353,IFERROR(MATCH(45,'كشف الحساب'!$N$4:$N$353,0),0))),"")</f>
        <v/>
      </c>
      <c r="J49" s="68" t="str">
        <f>IFERROR(IF(IFERROR(MATCH(45,'كشف الحساب'!$N$4:$N$353,0),0)=0,"",INDEX('كشف الحساب'!$J$4:$J$353,IFERROR(MATCH(45,'كشف الحساب'!$N$4:$N$353,0),0))),"")</f>
        <v/>
      </c>
      <c r="K49" s="64" t="str">
        <f>IFERROR(IF(IFERROR(MATCH(45,'كشف الحساب'!$N$4:$N$353,0),0)=0,"",INDEX('كشف الحساب'!$K$4:$K$353,IFERROR(MATCH(45,'كشف الحساب'!$N$4:$N$353,0),0))),"")</f>
        <v/>
      </c>
    </row>
    <row r="50" spans="1:11" ht="15" customHeight="1" x14ac:dyDescent="0.25">
      <c r="A50" s="69" t="str">
        <f>IFERROR(IF(IFERROR(MATCH(46,'كشف الحساب'!$N$4:$N$353,0),0)=0,"",INDEX('كشف الحساب'!$A$4:$A$353,IFERROR(MATCH(46,'كشف الحساب'!$N$4:$N$353,0),0))),"")</f>
        <v/>
      </c>
      <c r="B50" s="70" t="str">
        <f>IFERROR(IF(IFERROR(MATCH(46,'كشف الحساب'!$N$4:$N$353,0),0)=0,"",INDEX('كشف الحساب'!$B$4:$B$353,IFERROR(MATCH(46,'كشف الحساب'!$N$4:$N$353,0),0))),"")</f>
        <v/>
      </c>
      <c r="C50" s="71" t="str">
        <f>IFERROR(IF(IFERROR(MATCH(46,'كشف الحساب'!$N$4:$N$353,0),0)=0,"",INDEX('كشف الحساب'!$C$4:$C$353,IFERROR(MATCH(46,'كشف الحساب'!$N$4:$N$353,0),0))),"")</f>
        <v/>
      </c>
      <c r="D50" s="72" t="str">
        <f>IFERROR(IF(IFERROR(MATCH(46,'كشف الحساب'!$N$4:$N$353,0),0)=0,"",INDEX('كشف الحساب'!$D$4:$D$353,IFERROR(MATCH(46,'كشف الحساب'!$N$4:$N$353,0),0))),"")</f>
        <v/>
      </c>
      <c r="E50" s="73" t="str">
        <f>IFERROR(IF(IFERROR(MATCH(46,'كشف الحساب'!$N$4:$N$353,0),0)=0,"",INDEX('كشف الحساب'!$E$4:$E$353,IFERROR(MATCH(46,'كشف الحساب'!$N$4:$N$353,0),0))),"")</f>
        <v/>
      </c>
      <c r="F50" s="70" t="str">
        <f>IFERROR(IF(IFERROR(MATCH(46,'كشف الحساب'!$N$4:$N$353,0),0)=0,"",INDEX('كشف الحساب'!$F$4:$F$353,IFERROR(MATCH(46,'كشف الحساب'!$N$4:$N$353,0),0))),"")</f>
        <v/>
      </c>
      <c r="G50" s="70" t="str">
        <f>IFERROR(IF(IFERROR(MATCH(46,'كشف الحساب'!$N$4:$N$353,0),0)=0,"",INDEX('كشف الحساب'!$G$4:$G$353,IFERROR(MATCH(46,'كشف الحساب'!$N$4:$N$353,0),0))),"")</f>
        <v/>
      </c>
      <c r="H50" s="70" t="str">
        <f>IFERROR(IF(IFERROR(MATCH(46,'كشف الحساب'!$N$4:$N$353,0),0)=0,"",INDEX('كشف الحساب'!$H$4:$H$353,IFERROR(MATCH(46,'كشف الحساب'!$N$4:$N$353,0),0))),"")</f>
        <v/>
      </c>
      <c r="I50" s="70" t="str">
        <f>IFERROR(IF(IFERROR(MATCH(46,'كشف الحساب'!$N$4:$N$353,0),0)=0,"",INDEX('كشف الحساب'!$I$4:$I$353,IFERROR(MATCH(46,'كشف الحساب'!$N$4:$N$353,0),0))),"")</f>
        <v/>
      </c>
      <c r="J50" s="74" t="str">
        <f>IFERROR(IF(IFERROR(MATCH(46,'كشف الحساب'!$N$4:$N$353,0),0)=0,"",INDEX('كشف الحساب'!$J$4:$J$353,IFERROR(MATCH(46,'كشف الحساب'!$N$4:$N$353,0),0))),"")</f>
        <v/>
      </c>
      <c r="K50" s="70" t="str">
        <f>IFERROR(IF(IFERROR(MATCH(46,'كشف الحساب'!$N$4:$N$353,0),0)=0,"",INDEX('كشف الحساب'!$K$4:$K$353,IFERROR(MATCH(46,'كشف الحساب'!$N$4:$N$353,0),0))),"")</f>
        <v/>
      </c>
    </row>
    <row r="51" spans="1:11" ht="15" customHeight="1" x14ac:dyDescent="0.25">
      <c r="A51" s="63" t="str">
        <f>IFERROR(IF(IFERROR(MATCH(47,'كشف الحساب'!$N$4:$N$353,0),0)=0,"",INDEX('كشف الحساب'!$A$4:$A$353,IFERROR(MATCH(47,'كشف الحساب'!$N$4:$N$353,0),0))),"")</f>
        <v/>
      </c>
      <c r="B51" s="64" t="str">
        <f>IFERROR(IF(IFERROR(MATCH(47,'كشف الحساب'!$N$4:$N$353,0),0)=0,"",INDEX('كشف الحساب'!$B$4:$B$353,IFERROR(MATCH(47,'كشف الحساب'!$N$4:$N$353,0),0))),"")</f>
        <v/>
      </c>
      <c r="C51" s="65" t="str">
        <f>IFERROR(IF(IFERROR(MATCH(47,'كشف الحساب'!$N$4:$N$353,0),0)=0,"",INDEX('كشف الحساب'!$C$4:$C$353,IFERROR(MATCH(47,'كشف الحساب'!$N$4:$N$353,0),0))),"")</f>
        <v/>
      </c>
      <c r="D51" s="66" t="str">
        <f>IFERROR(IF(IFERROR(MATCH(47,'كشف الحساب'!$N$4:$N$353,0),0)=0,"",INDEX('كشف الحساب'!$D$4:$D$353,IFERROR(MATCH(47,'كشف الحساب'!$N$4:$N$353,0),0))),"")</f>
        <v/>
      </c>
      <c r="E51" s="67" t="str">
        <f>IFERROR(IF(IFERROR(MATCH(47,'كشف الحساب'!$N$4:$N$353,0),0)=0,"",INDEX('كشف الحساب'!$E$4:$E$353,IFERROR(MATCH(47,'كشف الحساب'!$N$4:$N$353,0),0))),"")</f>
        <v/>
      </c>
      <c r="F51" s="64" t="str">
        <f>IFERROR(IF(IFERROR(MATCH(47,'كشف الحساب'!$N$4:$N$353,0),0)=0,"",INDEX('كشف الحساب'!$F$4:$F$353,IFERROR(MATCH(47,'كشف الحساب'!$N$4:$N$353,0),0))),"")</f>
        <v/>
      </c>
      <c r="G51" s="64" t="str">
        <f>IFERROR(IF(IFERROR(MATCH(47,'كشف الحساب'!$N$4:$N$353,0),0)=0,"",INDEX('كشف الحساب'!$G$4:$G$353,IFERROR(MATCH(47,'كشف الحساب'!$N$4:$N$353,0),0))),"")</f>
        <v/>
      </c>
      <c r="H51" s="64" t="str">
        <f>IFERROR(IF(IFERROR(MATCH(47,'كشف الحساب'!$N$4:$N$353,0),0)=0,"",INDEX('كشف الحساب'!$H$4:$H$353,IFERROR(MATCH(47,'كشف الحساب'!$N$4:$N$353,0),0))),"")</f>
        <v/>
      </c>
      <c r="I51" s="64" t="str">
        <f>IFERROR(IF(IFERROR(MATCH(47,'كشف الحساب'!$N$4:$N$353,0),0)=0,"",INDEX('كشف الحساب'!$I$4:$I$353,IFERROR(MATCH(47,'كشف الحساب'!$N$4:$N$353,0),0))),"")</f>
        <v/>
      </c>
      <c r="J51" s="68" t="str">
        <f>IFERROR(IF(IFERROR(MATCH(47,'كشف الحساب'!$N$4:$N$353,0),0)=0,"",INDEX('كشف الحساب'!$J$4:$J$353,IFERROR(MATCH(47,'كشف الحساب'!$N$4:$N$353,0),0))),"")</f>
        <v/>
      </c>
      <c r="K51" s="64" t="str">
        <f>IFERROR(IF(IFERROR(MATCH(47,'كشف الحساب'!$N$4:$N$353,0),0)=0,"",INDEX('كشف الحساب'!$K$4:$K$353,IFERROR(MATCH(47,'كشف الحساب'!$N$4:$N$353,0),0))),"")</f>
        <v/>
      </c>
    </row>
    <row r="52" spans="1:11" ht="15" customHeight="1" x14ac:dyDescent="0.25">
      <c r="A52" s="69" t="str">
        <f>IFERROR(IF(IFERROR(MATCH(48,'كشف الحساب'!$N$4:$N$353,0),0)=0,"",INDEX('كشف الحساب'!$A$4:$A$353,IFERROR(MATCH(48,'كشف الحساب'!$N$4:$N$353,0),0))),"")</f>
        <v/>
      </c>
      <c r="B52" s="70" t="str">
        <f>IFERROR(IF(IFERROR(MATCH(48,'كشف الحساب'!$N$4:$N$353,0),0)=0,"",INDEX('كشف الحساب'!$B$4:$B$353,IFERROR(MATCH(48,'كشف الحساب'!$N$4:$N$353,0),0))),"")</f>
        <v/>
      </c>
      <c r="C52" s="71" t="str">
        <f>IFERROR(IF(IFERROR(MATCH(48,'كشف الحساب'!$N$4:$N$353,0),0)=0,"",INDEX('كشف الحساب'!$C$4:$C$353,IFERROR(MATCH(48,'كشف الحساب'!$N$4:$N$353,0),0))),"")</f>
        <v/>
      </c>
      <c r="D52" s="72" t="str">
        <f>IFERROR(IF(IFERROR(MATCH(48,'كشف الحساب'!$N$4:$N$353,0),0)=0,"",INDEX('كشف الحساب'!$D$4:$D$353,IFERROR(MATCH(48,'كشف الحساب'!$N$4:$N$353,0),0))),"")</f>
        <v/>
      </c>
      <c r="E52" s="73" t="str">
        <f>IFERROR(IF(IFERROR(MATCH(48,'كشف الحساب'!$N$4:$N$353,0),0)=0,"",INDEX('كشف الحساب'!$E$4:$E$353,IFERROR(MATCH(48,'كشف الحساب'!$N$4:$N$353,0),0))),"")</f>
        <v/>
      </c>
      <c r="F52" s="70" t="str">
        <f>IFERROR(IF(IFERROR(MATCH(48,'كشف الحساب'!$N$4:$N$353,0),0)=0,"",INDEX('كشف الحساب'!$F$4:$F$353,IFERROR(MATCH(48,'كشف الحساب'!$N$4:$N$353,0),0))),"")</f>
        <v/>
      </c>
      <c r="G52" s="70" t="str">
        <f>IFERROR(IF(IFERROR(MATCH(48,'كشف الحساب'!$N$4:$N$353,0),0)=0,"",INDEX('كشف الحساب'!$G$4:$G$353,IFERROR(MATCH(48,'كشف الحساب'!$N$4:$N$353,0),0))),"")</f>
        <v/>
      </c>
      <c r="H52" s="70" t="str">
        <f>IFERROR(IF(IFERROR(MATCH(48,'كشف الحساب'!$N$4:$N$353,0),0)=0,"",INDEX('كشف الحساب'!$H$4:$H$353,IFERROR(MATCH(48,'كشف الحساب'!$N$4:$N$353,0),0))),"")</f>
        <v/>
      </c>
      <c r="I52" s="70" t="str">
        <f>IFERROR(IF(IFERROR(MATCH(48,'كشف الحساب'!$N$4:$N$353,0),0)=0,"",INDEX('كشف الحساب'!$I$4:$I$353,IFERROR(MATCH(48,'كشف الحساب'!$N$4:$N$353,0),0))),"")</f>
        <v/>
      </c>
      <c r="J52" s="74" t="str">
        <f>IFERROR(IF(IFERROR(MATCH(48,'كشف الحساب'!$N$4:$N$353,0),0)=0,"",INDEX('كشف الحساب'!$J$4:$J$353,IFERROR(MATCH(48,'كشف الحساب'!$N$4:$N$353,0),0))),"")</f>
        <v/>
      </c>
      <c r="K52" s="70" t="str">
        <f>IFERROR(IF(IFERROR(MATCH(48,'كشف الحساب'!$N$4:$N$353,0),0)=0,"",INDEX('كشف الحساب'!$K$4:$K$353,IFERROR(MATCH(48,'كشف الحساب'!$N$4:$N$353,0),0))),"")</f>
        <v/>
      </c>
    </row>
    <row r="53" spans="1:11" ht="15" customHeight="1" x14ac:dyDescent="0.25">
      <c r="A53" s="63" t="str">
        <f>IFERROR(IF(IFERROR(MATCH(49,'كشف الحساب'!$N$4:$N$353,0),0)=0,"",INDEX('كشف الحساب'!$A$4:$A$353,IFERROR(MATCH(49,'كشف الحساب'!$N$4:$N$353,0),0))),"")</f>
        <v/>
      </c>
      <c r="B53" s="64" t="str">
        <f>IFERROR(IF(IFERROR(MATCH(49,'كشف الحساب'!$N$4:$N$353,0),0)=0,"",INDEX('كشف الحساب'!$B$4:$B$353,IFERROR(MATCH(49,'كشف الحساب'!$N$4:$N$353,0),0))),"")</f>
        <v/>
      </c>
      <c r="C53" s="65" t="str">
        <f>IFERROR(IF(IFERROR(MATCH(49,'كشف الحساب'!$N$4:$N$353,0),0)=0,"",INDEX('كشف الحساب'!$C$4:$C$353,IFERROR(MATCH(49,'كشف الحساب'!$N$4:$N$353,0),0))),"")</f>
        <v/>
      </c>
      <c r="D53" s="66" t="str">
        <f>IFERROR(IF(IFERROR(MATCH(49,'كشف الحساب'!$N$4:$N$353,0),0)=0,"",INDEX('كشف الحساب'!$D$4:$D$353,IFERROR(MATCH(49,'كشف الحساب'!$N$4:$N$353,0),0))),"")</f>
        <v/>
      </c>
      <c r="E53" s="67" t="str">
        <f>IFERROR(IF(IFERROR(MATCH(49,'كشف الحساب'!$N$4:$N$353,0),0)=0,"",INDEX('كشف الحساب'!$E$4:$E$353,IFERROR(MATCH(49,'كشف الحساب'!$N$4:$N$353,0),0))),"")</f>
        <v/>
      </c>
      <c r="F53" s="64" t="str">
        <f>IFERROR(IF(IFERROR(MATCH(49,'كشف الحساب'!$N$4:$N$353,0),0)=0,"",INDEX('كشف الحساب'!$F$4:$F$353,IFERROR(MATCH(49,'كشف الحساب'!$N$4:$N$353,0),0))),"")</f>
        <v/>
      </c>
      <c r="G53" s="64" t="str">
        <f>IFERROR(IF(IFERROR(MATCH(49,'كشف الحساب'!$N$4:$N$353,0),0)=0,"",INDEX('كشف الحساب'!$G$4:$G$353,IFERROR(MATCH(49,'كشف الحساب'!$N$4:$N$353,0),0))),"")</f>
        <v/>
      </c>
      <c r="H53" s="64" t="str">
        <f>IFERROR(IF(IFERROR(MATCH(49,'كشف الحساب'!$N$4:$N$353,0),0)=0,"",INDEX('كشف الحساب'!$H$4:$H$353,IFERROR(MATCH(49,'كشف الحساب'!$N$4:$N$353,0),0))),"")</f>
        <v/>
      </c>
      <c r="I53" s="64" t="str">
        <f>IFERROR(IF(IFERROR(MATCH(49,'كشف الحساب'!$N$4:$N$353,0),0)=0,"",INDEX('كشف الحساب'!$I$4:$I$353,IFERROR(MATCH(49,'كشف الحساب'!$N$4:$N$353,0),0))),"")</f>
        <v/>
      </c>
      <c r="J53" s="68" t="str">
        <f>IFERROR(IF(IFERROR(MATCH(49,'كشف الحساب'!$N$4:$N$353,0),0)=0,"",INDEX('كشف الحساب'!$J$4:$J$353,IFERROR(MATCH(49,'كشف الحساب'!$N$4:$N$353,0),0))),"")</f>
        <v/>
      </c>
      <c r="K53" s="64" t="str">
        <f>IFERROR(IF(IFERROR(MATCH(49,'كشف الحساب'!$N$4:$N$353,0),0)=0,"",INDEX('كشف الحساب'!$K$4:$K$353,IFERROR(MATCH(49,'كشف الحساب'!$N$4:$N$353,0),0))),"")</f>
        <v/>
      </c>
    </row>
    <row r="54" spans="1:11" ht="15" customHeight="1" x14ac:dyDescent="0.25">
      <c r="A54" s="69" t="str">
        <f>IFERROR(IF(IFERROR(MATCH(50,'كشف الحساب'!$N$4:$N$353,0),0)=0,"",INDEX('كشف الحساب'!$A$4:$A$353,IFERROR(MATCH(50,'كشف الحساب'!$N$4:$N$353,0),0))),"")</f>
        <v/>
      </c>
      <c r="B54" s="70" t="str">
        <f>IFERROR(IF(IFERROR(MATCH(50,'كشف الحساب'!$N$4:$N$353,0),0)=0,"",INDEX('كشف الحساب'!$B$4:$B$353,IFERROR(MATCH(50,'كشف الحساب'!$N$4:$N$353,0),0))),"")</f>
        <v/>
      </c>
      <c r="C54" s="71" t="str">
        <f>IFERROR(IF(IFERROR(MATCH(50,'كشف الحساب'!$N$4:$N$353,0),0)=0,"",INDEX('كشف الحساب'!$C$4:$C$353,IFERROR(MATCH(50,'كشف الحساب'!$N$4:$N$353,0),0))),"")</f>
        <v/>
      </c>
      <c r="D54" s="72" t="str">
        <f>IFERROR(IF(IFERROR(MATCH(50,'كشف الحساب'!$N$4:$N$353,0),0)=0,"",INDEX('كشف الحساب'!$D$4:$D$353,IFERROR(MATCH(50,'كشف الحساب'!$N$4:$N$353,0),0))),"")</f>
        <v/>
      </c>
      <c r="E54" s="73" t="str">
        <f>IFERROR(IF(IFERROR(MATCH(50,'كشف الحساب'!$N$4:$N$353,0),0)=0,"",INDEX('كشف الحساب'!$E$4:$E$353,IFERROR(MATCH(50,'كشف الحساب'!$N$4:$N$353,0),0))),"")</f>
        <v/>
      </c>
      <c r="F54" s="70" t="str">
        <f>IFERROR(IF(IFERROR(MATCH(50,'كشف الحساب'!$N$4:$N$353,0),0)=0,"",INDEX('كشف الحساب'!$F$4:$F$353,IFERROR(MATCH(50,'كشف الحساب'!$N$4:$N$353,0),0))),"")</f>
        <v/>
      </c>
      <c r="G54" s="70" t="str">
        <f>IFERROR(IF(IFERROR(MATCH(50,'كشف الحساب'!$N$4:$N$353,0),0)=0,"",INDEX('كشف الحساب'!$G$4:$G$353,IFERROR(MATCH(50,'كشف الحساب'!$N$4:$N$353,0),0))),"")</f>
        <v/>
      </c>
      <c r="H54" s="70" t="str">
        <f>IFERROR(IF(IFERROR(MATCH(50,'كشف الحساب'!$N$4:$N$353,0),0)=0,"",INDEX('كشف الحساب'!$H$4:$H$353,IFERROR(MATCH(50,'كشف الحساب'!$N$4:$N$353,0),0))),"")</f>
        <v/>
      </c>
      <c r="I54" s="70" t="str">
        <f>IFERROR(IF(IFERROR(MATCH(50,'كشف الحساب'!$N$4:$N$353,0),0)=0,"",INDEX('كشف الحساب'!$I$4:$I$353,IFERROR(MATCH(50,'كشف الحساب'!$N$4:$N$353,0),0))),"")</f>
        <v/>
      </c>
      <c r="J54" s="74" t="str">
        <f>IFERROR(IF(IFERROR(MATCH(50,'كشف الحساب'!$N$4:$N$353,0),0)=0,"",INDEX('كشف الحساب'!$J$4:$J$353,IFERROR(MATCH(50,'كشف الحساب'!$N$4:$N$353,0),0))),"")</f>
        <v/>
      </c>
      <c r="K54" s="70" t="str">
        <f>IFERROR(IF(IFERROR(MATCH(50,'كشف الحساب'!$N$4:$N$353,0),0)=0,"",INDEX('كشف الحساب'!$K$4:$K$353,IFERROR(MATCH(50,'كشف الحساب'!$N$4:$N$353,0),0))),"")</f>
        <v/>
      </c>
    </row>
    <row r="55" spans="1:11" ht="15" customHeight="1" x14ac:dyDescent="0.25">
      <c r="A55" s="63" t="str">
        <f>IFERROR(IF(IFERROR(MATCH(51,'كشف الحساب'!$N$4:$N$353,0),0)=0,"",INDEX('كشف الحساب'!$A$4:$A$353,IFERROR(MATCH(51,'كشف الحساب'!$N$4:$N$353,0),0))),"")</f>
        <v/>
      </c>
      <c r="B55" s="64" t="str">
        <f>IFERROR(IF(IFERROR(MATCH(51,'كشف الحساب'!$N$4:$N$353,0),0)=0,"",INDEX('كشف الحساب'!$B$4:$B$353,IFERROR(MATCH(51,'كشف الحساب'!$N$4:$N$353,0),0))),"")</f>
        <v/>
      </c>
      <c r="C55" s="65" t="str">
        <f>IFERROR(IF(IFERROR(MATCH(51,'كشف الحساب'!$N$4:$N$353,0),0)=0,"",INDEX('كشف الحساب'!$C$4:$C$353,IFERROR(MATCH(51,'كشف الحساب'!$N$4:$N$353,0),0))),"")</f>
        <v/>
      </c>
      <c r="D55" s="66" t="str">
        <f>IFERROR(IF(IFERROR(MATCH(51,'كشف الحساب'!$N$4:$N$353,0),0)=0,"",INDEX('كشف الحساب'!$D$4:$D$353,IFERROR(MATCH(51,'كشف الحساب'!$N$4:$N$353,0),0))),"")</f>
        <v/>
      </c>
      <c r="E55" s="67" t="str">
        <f>IFERROR(IF(IFERROR(MATCH(51,'كشف الحساب'!$N$4:$N$353,0),0)=0,"",INDEX('كشف الحساب'!$E$4:$E$353,IFERROR(MATCH(51,'كشف الحساب'!$N$4:$N$353,0),0))),"")</f>
        <v/>
      </c>
      <c r="F55" s="64" t="str">
        <f>IFERROR(IF(IFERROR(MATCH(51,'كشف الحساب'!$N$4:$N$353,0),0)=0,"",INDEX('كشف الحساب'!$F$4:$F$353,IFERROR(MATCH(51,'كشف الحساب'!$N$4:$N$353,0),0))),"")</f>
        <v/>
      </c>
      <c r="G55" s="64" t="str">
        <f>IFERROR(IF(IFERROR(MATCH(51,'كشف الحساب'!$N$4:$N$353,0),0)=0,"",INDEX('كشف الحساب'!$G$4:$G$353,IFERROR(MATCH(51,'كشف الحساب'!$N$4:$N$353,0),0))),"")</f>
        <v/>
      </c>
      <c r="H55" s="64" t="str">
        <f>IFERROR(IF(IFERROR(MATCH(51,'كشف الحساب'!$N$4:$N$353,0),0)=0,"",INDEX('كشف الحساب'!$H$4:$H$353,IFERROR(MATCH(51,'كشف الحساب'!$N$4:$N$353,0),0))),"")</f>
        <v/>
      </c>
      <c r="I55" s="64" t="str">
        <f>IFERROR(IF(IFERROR(MATCH(51,'كشف الحساب'!$N$4:$N$353,0),0)=0,"",INDEX('كشف الحساب'!$I$4:$I$353,IFERROR(MATCH(51,'كشف الحساب'!$N$4:$N$353,0),0))),"")</f>
        <v/>
      </c>
      <c r="J55" s="68" t="str">
        <f>IFERROR(IF(IFERROR(MATCH(51,'كشف الحساب'!$N$4:$N$353,0),0)=0,"",INDEX('كشف الحساب'!$J$4:$J$353,IFERROR(MATCH(51,'كشف الحساب'!$N$4:$N$353,0),0))),"")</f>
        <v/>
      </c>
      <c r="K55" s="64" t="str">
        <f>IFERROR(IF(IFERROR(MATCH(51,'كشف الحساب'!$N$4:$N$353,0),0)=0,"",INDEX('كشف الحساب'!$K$4:$K$353,IFERROR(MATCH(51,'كشف الحساب'!$N$4:$N$353,0),0))),"")</f>
        <v/>
      </c>
    </row>
    <row r="56" spans="1:11" ht="15" customHeight="1" x14ac:dyDescent="0.25">
      <c r="A56" s="69" t="str">
        <f>IFERROR(IF(IFERROR(MATCH(52,'كشف الحساب'!$N$4:$N$353,0),0)=0,"",INDEX('كشف الحساب'!$A$4:$A$353,IFERROR(MATCH(52,'كشف الحساب'!$N$4:$N$353,0),0))),"")</f>
        <v/>
      </c>
      <c r="B56" s="70" t="str">
        <f>IFERROR(IF(IFERROR(MATCH(52,'كشف الحساب'!$N$4:$N$353,0),0)=0,"",INDEX('كشف الحساب'!$B$4:$B$353,IFERROR(MATCH(52,'كشف الحساب'!$N$4:$N$353,0),0))),"")</f>
        <v/>
      </c>
      <c r="C56" s="71" t="str">
        <f>IFERROR(IF(IFERROR(MATCH(52,'كشف الحساب'!$N$4:$N$353,0),0)=0,"",INDEX('كشف الحساب'!$C$4:$C$353,IFERROR(MATCH(52,'كشف الحساب'!$N$4:$N$353,0),0))),"")</f>
        <v/>
      </c>
      <c r="D56" s="72" t="str">
        <f>IFERROR(IF(IFERROR(MATCH(52,'كشف الحساب'!$N$4:$N$353,0),0)=0,"",INDEX('كشف الحساب'!$D$4:$D$353,IFERROR(MATCH(52,'كشف الحساب'!$N$4:$N$353,0),0))),"")</f>
        <v/>
      </c>
      <c r="E56" s="73" t="str">
        <f>IFERROR(IF(IFERROR(MATCH(52,'كشف الحساب'!$N$4:$N$353,0),0)=0,"",INDEX('كشف الحساب'!$E$4:$E$353,IFERROR(MATCH(52,'كشف الحساب'!$N$4:$N$353,0),0))),"")</f>
        <v/>
      </c>
      <c r="F56" s="70" t="str">
        <f>IFERROR(IF(IFERROR(MATCH(52,'كشف الحساب'!$N$4:$N$353,0),0)=0,"",INDEX('كشف الحساب'!$F$4:$F$353,IFERROR(MATCH(52,'كشف الحساب'!$N$4:$N$353,0),0))),"")</f>
        <v/>
      </c>
      <c r="G56" s="70" t="str">
        <f>IFERROR(IF(IFERROR(MATCH(52,'كشف الحساب'!$N$4:$N$353,0),0)=0,"",INDEX('كشف الحساب'!$G$4:$G$353,IFERROR(MATCH(52,'كشف الحساب'!$N$4:$N$353,0),0))),"")</f>
        <v/>
      </c>
      <c r="H56" s="70" t="str">
        <f>IFERROR(IF(IFERROR(MATCH(52,'كشف الحساب'!$N$4:$N$353,0),0)=0,"",INDEX('كشف الحساب'!$H$4:$H$353,IFERROR(MATCH(52,'كشف الحساب'!$N$4:$N$353,0),0))),"")</f>
        <v/>
      </c>
      <c r="I56" s="70" t="str">
        <f>IFERROR(IF(IFERROR(MATCH(52,'كشف الحساب'!$N$4:$N$353,0),0)=0,"",INDEX('كشف الحساب'!$I$4:$I$353,IFERROR(MATCH(52,'كشف الحساب'!$N$4:$N$353,0),0))),"")</f>
        <v/>
      </c>
      <c r="J56" s="74" t="str">
        <f>IFERROR(IF(IFERROR(MATCH(52,'كشف الحساب'!$N$4:$N$353,0),0)=0,"",INDEX('كشف الحساب'!$J$4:$J$353,IFERROR(MATCH(52,'كشف الحساب'!$N$4:$N$353,0),0))),"")</f>
        <v/>
      </c>
      <c r="K56" s="70" t="str">
        <f>IFERROR(IF(IFERROR(MATCH(52,'كشف الحساب'!$N$4:$N$353,0),0)=0,"",INDEX('كشف الحساب'!$K$4:$K$353,IFERROR(MATCH(52,'كشف الحساب'!$N$4:$N$353,0),0))),"")</f>
        <v/>
      </c>
    </row>
    <row r="57" spans="1:11" ht="15" customHeight="1" x14ac:dyDescent="0.25">
      <c r="A57" s="63" t="str">
        <f>IFERROR(IF(IFERROR(MATCH(53,'كشف الحساب'!$N$4:$N$353,0),0)=0,"",INDEX('كشف الحساب'!$A$4:$A$353,IFERROR(MATCH(53,'كشف الحساب'!$N$4:$N$353,0),0))),"")</f>
        <v/>
      </c>
      <c r="B57" s="64" t="str">
        <f>IFERROR(IF(IFERROR(MATCH(53,'كشف الحساب'!$N$4:$N$353,0),0)=0,"",INDEX('كشف الحساب'!$B$4:$B$353,IFERROR(MATCH(53,'كشف الحساب'!$N$4:$N$353,0),0))),"")</f>
        <v/>
      </c>
      <c r="C57" s="65" t="str">
        <f>IFERROR(IF(IFERROR(MATCH(53,'كشف الحساب'!$N$4:$N$353,0),0)=0,"",INDEX('كشف الحساب'!$C$4:$C$353,IFERROR(MATCH(53,'كشف الحساب'!$N$4:$N$353,0),0))),"")</f>
        <v/>
      </c>
      <c r="D57" s="66" t="str">
        <f>IFERROR(IF(IFERROR(MATCH(53,'كشف الحساب'!$N$4:$N$353,0),0)=0,"",INDEX('كشف الحساب'!$D$4:$D$353,IFERROR(MATCH(53,'كشف الحساب'!$N$4:$N$353,0),0))),"")</f>
        <v/>
      </c>
      <c r="E57" s="67" t="str">
        <f>IFERROR(IF(IFERROR(MATCH(53,'كشف الحساب'!$N$4:$N$353,0),0)=0,"",INDEX('كشف الحساب'!$E$4:$E$353,IFERROR(MATCH(53,'كشف الحساب'!$N$4:$N$353,0),0))),"")</f>
        <v/>
      </c>
      <c r="F57" s="64" t="str">
        <f>IFERROR(IF(IFERROR(MATCH(53,'كشف الحساب'!$N$4:$N$353,0),0)=0,"",INDEX('كشف الحساب'!$F$4:$F$353,IFERROR(MATCH(53,'كشف الحساب'!$N$4:$N$353,0),0))),"")</f>
        <v/>
      </c>
      <c r="G57" s="64" t="str">
        <f>IFERROR(IF(IFERROR(MATCH(53,'كشف الحساب'!$N$4:$N$353,0),0)=0,"",INDEX('كشف الحساب'!$G$4:$G$353,IFERROR(MATCH(53,'كشف الحساب'!$N$4:$N$353,0),0))),"")</f>
        <v/>
      </c>
      <c r="H57" s="64" t="str">
        <f>IFERROR(IF(IFERROR(MATCH(53,'كشف الحساب'!$N$4:$N$353,0),0)=0,"",INDEX('كشف الحساب'!$H$4:$H$353,IFERROR(MATCH(53,'كشف الحساب'!$N$4:$N$353,0),0))),"")</f>
        <v/>
      </c>
      <c r="I57" s="64" t="str">
        <f>IFERROR(IF(IFERROR(MATCH(53,'كشف الحساب'!$N$4:$N$353,0),0)=0,"",INDEX('كشف الحساب'!$I$4:$I$353,IFERROR(MATCH(53,'كشف الحساب'!$N$4:$N$353,0),0))),"")</f>
        <v/>
      </c>
      <c r="J57" s="68" t="str">
        <f>IFERROR(IF(IFERROR(MATCH(53,'كشف الحساب'!$N$4:$N$353,0),0)=0,"",INDEX('كشف الحساب'!$J$4:$J$353,IFERROR(MATCH(53,'كشف الحساب'!$N$4:$N$353,0),0))),"")</f>
        <v/>
      </c>
      <c r="K57" s="64" t="str">
        <f>IFERROR(IF(IFERROR(MATCH(53,'كشف الحساب'!$N$4:$N$353,0),0)=0,"",INDEX('كشف الحساب'!$K$4:$K$353,IFERROR(MATCH(53,'كشف الحساب'!$N$4:$N$353,0),0))),"")</f>
        <v/>
      </c>
    </row>
    <row r="58" spans="1:11" ht="15" customHeight="1" x14ac:dyDescent="0.25">
      <c r="A58" s="69" t="str">
        <f>IFERROR(IF(IFERROR(MATCH(54,'كشف الحساب'!$N$4:$N$353,0),0)=0,"",INDEX('كشف الحساب'!$A$4:$A$353,IFERROR(MATCH(54,'كشف الحساب'!$N$4:$N$353,0),0))),"")</f>
        <v/>
      </c>
      <c r="B58" s="70" t="str">
        <f>IFERROR(IF(IFERROR(MATCH(54,'كشف الحساب'!$N$4:$N$353,0),0)=0,"",INDEX('كشف الحساب'!$B$4:$B$353,IFERROR(MATCH(54,'كشف الحساب'!$N$4:$N$353,0),0))),"")</f>
        <v/>
      </c>
      <c r="C58" s="71" t="str">
        <f>IFERROR(IF(IFERROR(MATCH(54,'كشف الحساب'!$N$4:$N$353,0),0)=0,"",INDEX('كشف الحساب'!$C$4:$C$353,IFERROR(MATCH(54,'كشف الحساب'!$N$4:$N$353,0),0))),"")</f>
        <v/>
      </c>
      <c r="D58" s="72" t="str">
        <f>IFERROR(IF(IFERROR(MATCH(54,'كشف الحساب'!$N$4:$N$353,0),0)=0,"",INDEX('كشف الحساب'!$D$4:$D$353,IFERROR(MATCH(54,'كشف الحساب'!$N$4:$N$353,0),0))),"")</f>
        <v/>
      </c>
      <c r="E58" s="73" t="str">
        <f>IFERROR(IF(IFERROR(MATCH(54,'كشف الحساب'!$N$4:$N$353,0),0)=0,"",INDEX('كشف الحساب'!$E$4:$E$353,IFERROR(MATCH(54,'كشف الحساب'!$N$4:$N$353,0),0))),"")</f>
        <v/>
      </c>
      <c r="F58" s="70" t="str">
        <f>IFERROR(IF(IFERROR(MATCH(54,'كشف الحساب'!$N$4:$N$353,0),0)=0,"",INDEX('كشف الحساب'!$F$4:$F$353,IFERROR(MATCH(54,'كشف الحساب'!$N$4:$N$353,0),0))),"")</f>
        <v/>
      </c>
      <c r="G58" s="70" t="str">
        <f>IFERROR(IF(IFERROR(MATCH(54,'كشف الحساب'!$N$4:$N$353,0),0)=0,"",INDEX('كشف الحساب'!$G$4:$G$353,IFERROR(MATCH(54,'كشف الحساب'!$N$4:$N$353,0),0))),"")</f>
        <v/>
      </c>
      <c r="H58" s="70" t="str">
        <f>IFERROR(IF(IFERROR(MATCH(54,'كشف الحساب'!$N$4:$N$353,0),0)=0,"",INDEX('كشف الحساب'!$H$4:$H$353,IFERROR(MATCH(54,'كشف الحساب'!$N$4:$N$353,0),0))),"")</f>
        <v/>
      </c>
      <c r="I58" s="70" t="str">
        <f>IFERROR(IF(IFERROR(MATCH(54,'كشف الحساب'!$N$4:$N$353,0),0)=0,"",INDEX('كشف الحساب'!$I$4:$I$353,IFERROR(MATCH(54,'كشف الحساب'!$N$4:$N$353,0),0))),"")</f>
        <v/>
      </c>
      <c r="J58" s="74" t="str">
        <f>IFERROR(IF(IFERROR(MATCH(54,'كشف الحساب'!$N$4:$N$353,0),0)=0,"",INDEX('كشف الحساب'!$J$4:$J$353,IFERROR(MATCH(54,'كشف الحساب'!$N$4:$N$353,0),0))),"")</f>
        <v/>
      </c>
      <c r="K58" s="70" t="str">
        <f>IFERROR(IF(IFERROR(MATCH(54,'كشف الحساب'!$N$4:$N$353,0),0)=0,"",INDEX('كشف الحساب'!$K$4:$K$353,IFERROR(MATCH(54,'كشف الحساب'!$N$4:$N$353,0),0))),"")</f>
        <v/>
      </c>
    </row>
    <row r="59" spans="1:11" ht="15" customHeight="1" x14ac:dyDescent="0.25">
      <c r="A59" s="63" t="str">
        <f>IFERROR(IF(IFERROR(MATCH(55,'كشف الحساب'!$N$4:$N$353,0),0)=0,"",INDEX('كشف الحساب'!$A$4:$A$353,IFERROR(MATCH(55,'كشف الحساب'!$N$4:$N$353,0),0))),"")</f>
        <v/>
      </c>
      <c r="B59" s="64" t="str">
        <f>IFERROR(IF(IFERROR(MATCH(55,'كشف الحساب'!$N$4:$N$353,0),0)=0,"",INDEX('كشف الحساب'!$B$4:$B$353,IFERROR(MATCH(55,'كشف الحساب'!$N$4:$N$353,0),0))),"")</f>
        <v/>
      </c>
      <c r="C59" s="65" t="str">
        <f>IFERROR(IF(IFERROR(MATCH(55,'كشف الحساب'!$N$4:$N$353,0),0)=0,"",INDEX('كشف الحساب'!$C$4:$C$353,IFERROR(MATCH(55,'كشف الحساب'!$N$4:$N$353,0),0))),"")</f>
        <v/>
      </c>
      <c r="D59" s="66" t="str">
        <f>IFERROR(IF(IFERROR(MATCH(55,'كشف الحساب'!$N$4:$N$353,0),0)=0,"",INDEX('كشف الحساب'!$D$4:$D$353,IFERROR(MATCH(55,'كشف الحساب'!$N$4:$N$353,0),0))),"")</f>
        <v/>
      </c>
      <c r="E59" s="67" t="str">
        <f>IFERROR(IF(IFERROR(MATCH(55,'كشف الحساب'!$N$4:$N$353,0),0)=0,"",INDEX('كشف الحساب'!$E$4:$E$353,IFERROR(MATCH(55,'كشف الحساب'!$N$4:$N$353,0),0))),"")</f>
        <v/>
      </c>
      <c r="F59" s="64" t="str">
        <f>IFERROR(IF(IFERROR(MATCH(55,'كشف الحساب'!$N$4:$N$353,0),0)=0,"",INDEX('كشف الحساب'!$F$4:$F$353,IFERROR(MATCH(55,'كشف الحساب'!$N$4:$N$353,0),0))),"")</f>
        <v/>
      </c>
      <c r="G59" s="64" t="str">
        <f>IFERROR(IF(IFERROR(MATCH(55,'كشف الحساب'!$N$4:$N$353,0),0)=0,"",INDEX('كشف الحساب'!$G$4:$G$353,IFERROR(MATCH(55,'كشف الحساب'!$N$4:$N$353,0),0))),"")</f>
        <v/>
      </c>
      <c r="H59" s="64" t="str">
        <f>IFERROR(IF(IFERROR(MATCH(55,'كشف الحساب'!$N$4:$N$353,0),0)=0,"",INDEX('كشف الحساب'!$H$4:$H$353,IFERROR(MATCH(55,'كشف الحساب'!$N$4:$N$353,0),0))),"")</f>
        <v/>
      </c>
      <c r="I59" s="64" t="str">
        <f>IFERROR(IF(IFERROR(MATCH(55,'كشف الحساب'!$N$4:$N$353,0),0)=0,"",INDEX('كشف الحساب'!$I$4:$I$353,IFERROR(MATCH(55,'كشف الحساب'!$N$4:$N$353,0),0))),"")</f>
        <v/>
      </c>
      <c r="J59" s="68" t="str">
        <f>IFERROR(IF(IFERROR(MATCH(55,'كشف الحساب'!$N$4:$N$353,0),0)=0,"",INDEX('كشف الحساب'!$J$4:$J$353,IFERROR(MATCH(55,'كشف الحساب'!$N$4:$N$353,0),0))),"")</f>
        <v/>
      </c>
      <c r="K59" s="64" t="str">
        <f>IFERROR(IF(IFERROR(MATCH(55,'كشف الحساب'!$N$4:$N$353,0),0)=0,"",INDEX('كشف الحساب'!$K$4:$K$353,IFERROR(MATCH(55,'كشف الحساب'!$N$4:$N$353,0),0))),"")</f>
        <v/>
      </c>
    </row>
    <row r="60" spans="1:11" ht="15" customHeight="1" x14ac:dyDescent="0.25">
      <c r="A60" s="69" t="str">
        <f>IFERROR(IF(IFERROR(MATCH(56,'كشف الحساب'!$N$4:$N$353,0),0)=0,"",INDEX('كشف الحساب'!$A$4:$A$353,IFERROR(MATCH(56,'كشف الحساب'!$N$4:$N$353,0),0))),"")</f>
        <v/>
      </c>
      <c r="B60" s="70" t="str">
        <f>IFERROR(IF(IFERROR(MATCH(56,'كشف الحساب'!$N$4:$N$353,0),0)=0,"",INDEX('كشف الحساب'!$B$4:$B$353,IFERROR(MATCH(56,'كشف الحساب'!$N$4:$N$353,0),0))),"")</f>
        <v/>
      </c>
      <c r="C60" s="71" t="str">
        <f>IFERROR(IF(IFERROR(MATCH(56,'كشف الحساب'!$N$4:$N$353,0),0)=0,"",INDEX('كشف الحساب'!$C$4:$C$353,IFERROR(MATCH(56,'كشف الحساب'!$N$4:$N$353,0),0))),"")</f>
        <v/>
      </c>
      <c r="D60" s="72" t="str">
        <f>IFERROR(IF(IFERROR(MATCH(56,'كشف الحساب'!$N$4:$N$353,0),0)=0,"",INDEX('كشف الحساب'!$D$4:$D$353,IFERROR(MATCH(56,'كشف الحساب'!$N$4:$N$353,0),0))),"")</f>
        <v/>
      </c>
      <c r="E60" s="73" t="str">
        <f>IFERROR(IF(IFERROR(MATCH(56,'كشف الحساب'!$N$4:$N$353,0),0)=0,"",INDEX('كشف الحساب'!$E$4:$E$353,IFERROR(MATCH(56,'كشف الحساب'!$N$4:$N$353,0),0))),"")</f>
        <v/>
      </c>
      <c r="F60" s="70" t="str">
        <f>IFERROR(IF(IFERROR(MATCH(56,'كشف الحساب'!$N$4:$N$353,0),0)=0,"",INDEX('كشف الحساب'!$F$4:$F$353,IFERROR(MATCH(56,'كشف الحساب'!$N$4:$N$353,0),0))),"")</f>
        <v/>
      </c>
      <c r="G60" s="70" t="str">
        <f>IFERROR(IF(IFERROR(MATCH(56,'كشف الحساب'!$N$4:$N$353,0),0)=0,"",INDEX('كشف الحساب'!$G$4:$G$353,IFERROR(MATCH(56,'كشف الحساب'!$N$4:$N$353,0),0))),"")</f>
        <v/>
      </c>
      <c r="H60" s="70" t="str">
        <f>IFERROR(IF(IFERROR(MATCH(56,'كشف الحساب'!$N$4:$N$353,0),0)=0,"",INDEX('كشف الحساب'!$H$4:$H$353,IFERROR(MATCH(56,'كشف الحساب'!$N$4:$N$353,0),0))),"")</f>
        <v/>
      </c>
      <c r="I60" s="70" t="str">
        <f>IFERROR(IF(IFERROR(MATCH(56,'كشف الحساب'!$N$4:$N$353,0),0)=0,"",INDEX('كشف الحساب'!$I$4:$I$353,IFERROR(MATCH(56,'كشف الحساب'!$N$4:$N$353,0),0))),"")</f>
        <v/>
      </c>
      <c r="J60" s="74" t="str">
        <f>IFERROR(IF(IFERROR(MATCH(56,'كشف الحساب'!$N$4:$N$353,0),0)=0,"",INDEX('كشف الحساب'!$J$4:$J$353,IFERROR(MATCH(56,'كشف الحساب'!$N$4:$N$353,0),0))),"")</f>
        <v/>
      </c>
      <c r="K60" s="70" t="str">
        <f>IFERROR(IF(IFERROR(MATCH(56,'كشف الحساب'!$N$4:$N$353,0),0)=0,"",INDEX('كشف الحساب'!$K$4:$K$353,IFERROR(MATCH(56,'كشف الحساب'!$N$4:$N$353,0),0))),"")</f>
        <v/>
      </c>
    </row>
    <row r="61" spans="1:11" ht="15" customHeight="1" x14ac:dyDescent="0.25">
      <c r="A61" s="63" t="str">
        <f>IFERROR(IF(IFERROR(MATCH(57,'كشف الحساب'!$N$4:$N$353,0),0)=0,"",INDEX('كشف الحساب'!$A$4:$A$353,IFERROR(MATCH(57,'كشف الحساب'!$N$4:$N$353,0),0))),"")</f>
        <v/>
      </c>
      <c r="B61" s="64" t="str">
        <f>IFERROR(IF(IFERROR(MATCH(57,'كشف الحساب'!$N$4:$N$353,0),0)=0,"",INDEX('كشف الحساب'!$B$4:$B$353,IFERROR(MATCH(57,'كشف الحساب'!$N$4:$N$353,0),0))),"")</f>
        <v/>
      </c>
      <c r="C61" s="65" t="str">
        <f>IFERROR(IF(IFERROR(MATCH(57,'كشف الحساب'!$N$4:$N$353,0),0)=0,"",INDEX('كشف الحساب'!$C$4:$C$353,IFERROR(MATCH(57,'كشف الحساب'!$N$4:$N$353,0),0))),"")</f>
        <v/>
      </c>
      <c r="D61" s="66" t="str">
        <f>IFERROR(IF(IFERROR(MATCH(57,'كشف الحساب'!$N$4:$N$353,0),0)=0,"",INDEX('كشف الحساب'!$D$4:$D$353,IFERROR(MATCH(57,'كشف الحساب'!$N$4:$N$353,0),0))),"")</f>
        <v/>
      </c>
      <c r="E61" s="67" t="str">
        <f>IFERROR(IF(IFERROR(MATCH(57,'كشف الحساب'!$N$4:$N$353,0),0)=0,"",INDEX('كشف الحساب'!$E$4:$E$353,IFERROR(MATCH(57,'كشف الحساب'!$N$4:$N$353,0),0))),"")</f>
        <v/>
      </c>
      <c r="F61" s="64" t="str">
        <f>IFERROR(IF(IFERROR(MATCH(57,'كشف الحساب'!$N$4:$N$353,0),0)=0,"",INDEX('كشف الحساب'!$F$4:$F$353,IFERROR(MATCH(57,'كشف الحساب'!$N$4:$N$353,0),0))),"")</f>
        <v/>
      </c>
      <c r="G61" s="64" t="str">
        <f>IFERROR(IF(IFERROR(MATCH(57,'كشف الحساب'!$N$4:$N$353,0),0)=0,"",INDEX('كشف الحساب'!$G$4:$G$353,IFERROR(MATCH(57,'كشف الحساب'!$N$4:$N$353,0),0))),"")</f>
        <v/>
      </c>
      <c r="H61" s="64" t="str">
        <f>IFERROR(IF(IFERROR(MATCH(57,'كشف الحساب'!$N$4:$N$353,0),0)=0,"",INDEX('كشف الحساب'!$H$4:$H$353,IFERROR(MATCH(57,'كشف الحساب'!$N$4:$N$353,0),0))),"")</f>
        <v/>
      </c>
      <c r="I61" s="64" t="str">
        <f>IFERROR(IF(IFERROR(MATCH(57,'كشف الحساب'!$N$4:$N$353,0),0)=0,"",INDEX('كشف الحساب'!$I$4:$I$353,IFERROR(MATCH(57,'كشف الحساب'!$N$4:$N$353,0),0))),"")</f>
        <v/>
      </c>
      <c r="J61" s="68" t="str">
        <f>IFERROR(IF(IFERROR(MATCH(57,'كشف الحساب'!$N$4:$N$353,0),0)=0,"",INDEX('كشف الحساب'!$J$4:$J$353,IFERROR(MATCH(57,'كشف الحساب'!$N$4:$N$353,0),0))),"")</f>
        <v/>
      </c>
      <c r="K61" s="64" t="str">
        <f>IFERROR(IF(IFERROR(MATCH(57,'كشف الحساب'!$N$4:$N$353,0),0)=0,"",INDEX('كشف الحساب'!$K$4:$K$353,IFERROR(MATCH(57,'كشف الحساب'!$N$4:$N$353,0),0))),"")</f>
        <v/>
      </c>
    </row>
    <row r="62" spans="1:11" ht="15" customHeight="1" x14ac:dyDescent="0.25">
      <c r="A62" s="69" t="str">
        <f>IFERROR(IF(IFERROR(MATCH(58,'كشف الحساب'!$N$4:$N$353,0),0)=0,"",INDEX('كشف الحساب'!$A$4:$A$353,IFERROR(MATCH(58,'كشف الحساب'!$N$4:$N$353,0),0))),"")</f>
        <v/>
      </c>
      <c r="B62" s="70" t="str">
        <f>IFERROR(IF(IFERROR(MATCH(58,'كشف الحساب'!$N$4:$N$353,0),0)=0,"",INDEX('كشف الحساب'!$B$4:$B$353,IFERROR(MATCH(58,'كشف الحساب'!$N$4:$N$353,0),0))),"")</f>
        <v/>
      </c>
      <c r="C62" s="71" t="str">
        <f>IFERROR(IF(IFERROR(MATCH(58,'كشف الحساب'!$N$4:$N$353,0),0)=0,"",INDEX('كشف الحساب'!$C$4:$C$353,IFERROR(MATCH(58,'كشف الحساب'!$N$4:$N$353,0),0))),"")</f>
        <v/>
      </c>
      <c r="D62" s="72" t="str">
        <f>IFERROR(IF(IFERROR(MATCH(58,'كشف الحساب'!$N$4:$N$353,0),0)=0,"",INDEX('كشف الحساب'!$D$4:$D$353,IFERROR(MATCH(58,'كشف الحساب'!$N$4:$N$353,0),0))),"")</f>
        <v/>
      </c>
      <c r="E62" s="73" t="str">
        <f>IFERROR(IF(IFERROR(MATCH(58,'كشف الحساب'!$N$4:$N$353,0),0)=0,"",INDEX('كشف الحساب'!$E$4:$E$353,IFERROR(MATCH(58,'كشف الحساب'!$N$4:$N$353,0),0))),"")</f>
        <v/>
      </c>
      <c r="F62" s="70" t="str">
        <f>IFERROR(IF(IFERROR(MATCH(58,'كشف الحساب'!$N$4:$N$353,0),0)=0,"",INDEX('كشف الحساب'!$F$4:$F$353,IFERROR(MATCH(58,'كشف الحساب'!$N$4:$N$353,0),0))),"")</f>
        <v/>
      </c>
      <c r="G62" s="70" t="str">
        <f>IFERROR(IF(IFERROR(MATCH(58,'كشف الحساب'!$N$4:$N$353,0),0)=0,"",INDEX('كشف الحساب'!$G$4:$G$353,IFERROR(MATCH(58,'كشف الحساب'!$N$4:$N$353,0),0))),"")</f>
        <v/>
      </c>
      <c r="H62" s="70" t="str">
        <f>IFERROR(IF(IFERROR(MATCH(58,'كشف الحساب'!$N$4:$N$353,0),0)=0,"",INDEX('كشف الحساب'!$H$4:$H$353,IFERROR(MATCH(58,'كشف الحساب'!$N$4:$N$353,0),0))),"")</f>
        <v/>
      </c>
      <c r="I62" s="70" t="str">
        <f>IFERROR(IF(IFERROR(MATCH(58,'كشف الحساب'!$N$4:$N$353,0),0)=0,"",INDEX('كشف الحساب'!$I$4:$I$353,IFERROR(MATCH(58,'كشف الحساب'!$N$4:$N$353,0),0))),"")</f>
        <v/>
      </c>
      <c r="J62" s="74" t="str">
        <f>IFERROR(IF(IFERROR(MATCH(58,'كشف الحساب'!$N$4:$N$353,0),0)=0,"",INDEX('كشف الحساب'!$J$4:$J$353,IFERROR(MATCH(58,'كشف الحساب'!$N$4:$N$353,0),0))),"")</f>
        <v/>
      </c>
      <c r="K62" s="70" t="str">
        <f>IFERROR(IF(IFERROR(MATCH(58,'كشف الحساب'!$N$4:$N$353,0),0)=0,"",INDEX('كشف الحساب'!$K$4:$K$353,IFERROR(MATCH(58,'كشف الحساب'!$N$4:$N$353,0),0))),"")</f>
        <v/>
      </c>
    </row>
    <row r="63" spans="1:11" ht="15" customHeight="1" x14ac:dyDescent="0.25">
      <c r="A63" s="63" t="str">
        <f>IFERROR(IF(IFERROR(MATCH(59,'كشف الحساب'!$N$4:$N$353,0),0)=0,"",INDEX('كشف الحساب'!$A$4:$A$353,IFERROR(MATCH(59,'كشف الحساب'!$N$4:$N$353,0),0))),"")</f>
        <v/>
      </c>
      <c r="B63" s="64" t="str">
        <f>IFERROR(IF(IFERROR(MATCH(59,'كشف الحساب'!$N$4:$N$353,0),0)=0,"",INDEX('كشف الحساب'!$B$4:$B$353,IFERROR(MATCH(59,'كشف الحساب'!$N$4:$N$353,0),0))),"")</f>
        <v/>
      </c>
      <c r="C63" s="65" t="str">
        <f>IFERROR(IF(IFERROR(MATCH(59,'كشف الحساب'!$N$4:$N$353,0),0)=0,"",INDEX('كشف الحساب'!$C$4:$C$353,IFERROR(MATCH(59,'كشف الحساب'!$N$4:$N$353,0),0))),"")</f>
        <v/>
      </c>
      <c r="D63" s="66" t="str">
        <f>IFERROR(IF(IFERROR(MATCH(59,'كشف الحساب'!$N$4:$N$353,0),0)=0,"",INDEX('كشف الحساب'!$D$4:$D$353,IFERROR(MATCH(59,'كشف الحساب'!$N$4:$N$353,0),0))),"")</f>
        <v/>
      </c>
      <c r="E63" s="67" t="str">
        <f>IFERROR(IF(IFERROR(MATCH(59,'كشف الحساب'!$N$4:$N$353,0),0)=0,"",INDEX('كشف الحساب'!$E$4:$E$353,IFERROR(MATCH(59,'كشف الحساب'!$N$4:$N$353,0),0))),"")</f>
        <v/>
      </c>
      <c r="F63" s="64" t="str">
        <f>IFERROR(IF(IFERROR(MATCH(59,'كشف الحساب'!$N$4:$N$353,0),0)=0,"",INDEX('كشف الحساب'!$F$4:$F$353,IFERROR(MATCH(59,'كشف الحساب'!$N$4:$N$353,0),0))),"")</f>
        <v/>
      </c>
      <c r="G63" s="64" t="str">
        <f>IFERROR(IF(IFERROR(MATCH(59,'كشف الحساب'!$N$4:$N$353,0),0)=0,"",INDEX('كشف الحساب'!$G$4:$G$353,IFERROR(MATCH(59,'كشف الحساب'!$N$4:$N$353,0),0))),"")</f>
        <v/>
      </c>
      <c r="H63" s="64" t="str">
        <f>IFERROR(IF(IFERROR(MATCH(59,'كشف الحساب'!$N$4:$N$353,0),0)=0,"",INDEX('كشف الحساب'!$H$4:$H$353,IFERROR(MATCH(59,'كشف الحساب'!$N$4:$N$353,0),0))),"")</f>
        <v/>
      </c>
      <c r="I63" s="64" t="str">
        <f>IFERROR(IF(IFERROR(MATCH(59,'كشف الحساب'!$N$4:$N$353,0),0)=0,"",INDEX('كشف الحساب'!$I$4:$I$353,IFERROR(MATCH(59,'كشف الحساب'!$N$4:$N$353,0),0))),"")</f>
        <v/>
      </c>
      <c r="J63" s="68" t="str">
        <f>IFERROR(IF(IFERROR(MATCH(59,'كشف الحساب'!$N$4:$N$353,0),0)=0,"",INDEX('كشف الحساب'!$J$4:$J$353,IFERROR(MATCH(59,'كشف الحساب'!$N$4:$N$353,0),0))),"")</f>
        <v/>
      </c>
      <c r="K63" s="64" t="str">
        <f>IFERROR(IF(IFERROR(MATCH(59,'كشف الحساب'!$N$4:$N$353,0),0)=0,"",INDEX('كشف الحساب'!$K$4:$K$353,IFERROR(MATCH(59,'كشف الحساب'!$N$4:$N$353,0),0))),"")</f>
        <v/>
      </c>
    </row>
    <row r="64" spans="1:11" ht="15" customHeight="1" x14ac:dyDescent="0.25">
      <c r="A64" s="69" t="str">
        <f>IFERROR(IF(IFERROR(MATCH(60,'كشف الحساب'!$N$4:$N$353,0),0)=0,"",INDEX('كشف الحساب'!$A$4:$A$353,IFERROR(MATCH(60,'كشف الحساب'!$N$4:$N$353,0),0))),"")</f>
        <v/>
      </c>
      <c r="B64" s="70" t="str">
        <f>IFERROR(IF(IFERROR(MATCH(60,'كشف الحساب'!$N$4:$N$353,0),0)=0,"",INDEX('كشف الحساب'!$B$4:$B$353,IFERROR(MATCH(60,'كشف الحساب'!$N$4:$N$353,0),0))),"")</f>
        <v/>
      </c>
      <c r="C64" s="71" t="str">
        <f>IFERROR(IF(IFERROR(MATCH(60,'كشف الحساب'!$N$4:$N$353,0),0)=0,"",INDEX('كشف الحساب'!$C$4:$C$353,IFERROR(MATCH(60,'كشف الحساب'!$N$4:$N$353,0),0))),"")</f>
        <v/>
      </c>
      <c r="D64" s="72" t="str">
        <f>IFERROR(IF(IFERROR(MATCH(60,'كشف الحساب'!$N$4:$N$353,0),0)=0,"",INDEX('كشف الحساب'!$D$4:$D$353,IFERROR(MATCH(60,'كشف الحساب'!$N$4:$N$353,0),0))),"")</f>
        <v/>
      </c>
      <c r="E64" s="73" t="str">
        <f>IFERROR(IF(IFERROR(MATCH(60,'كشف الحساب'!$N$4:$N$353,0),0)=0,"",INDEX('كشف الحساب'!$E$4:$E$353,IFERROR(MATCH(60,'كشف الحساب'!$N$4:$N$353,0),0))),"")</f>
        <v/>
      </c>
      <c r="F64" s="70" t="str">
        <f>IFERROR(IF(IFERROR(MATCH(60,'كشف الحساب'!$N$4:$N$353,0),0)=0,"",INDEX('كشف الحساب'!$F$4:$F$353,IFERROR(MATCH(60,'كشف الحساب'!$N$4:$N$353,0),0))),"")</f>
        <v/>
      </c>
      <c r="G64" s="70" t="str">
        <f>IFERROR(IF(IFERROR(MATCH(60,'كشف الحساب'!$N$4:$N$353,0),0)=0,"",INDEX('كشف الحساب'!$G$4:$G$353,IFERROR(MATCH(60,'كشف الحساب'!$N$4:$N$353,0),0))),"")</f>
        <v/>
      </c>
      <c r="H64" s="70" t="str">
        <f>IFERROR(IF(IFERROR(MATCH(60,'كشف الحساب'!$N$4:$N$353,0),0)=0,"",INDEX('كشف الحساب'!$H$4:$H$353,IFERROR(MATCH(60,'كشف الحساب'!$N$4:$N$353,0),0))),"")</f>
        <v/>
      </c>
      <c r="I64" s="70" t="str">
        <f>IFERROR(IF(IFERROR(MATCH(60,'كشف الحساب'!$N$4:$N$353,0),0)=0,"",INDEX('كشف الحساب'!$I$4:$I$353,IFERROR(MATCH(60,'كشف الحساب'!$N$4:$N$353,0),0))),"")</f>
        <v/>
      </c>
      <c r="J64" s="74" t="str">
        <f>IFERROR(IF(IFERROR(MATCH(60,'كشف الحساب'!$N$4:$N$353,0),0)=0,"",INDEX('كشف الحساب'!$J$4:$J$353,IFERROR(MATCH(60,'كشف الحساب'!$N$4:$N$353,0),0))),"")</f>
        <v/>
      </c>
      <c r="K64" s="70" t="str">
        <f>IFERROR(IF(IFERROR(MATCH(60,'كشف الحساب'!$N$4:$N$353,0),0)=0,"",INDEX('كشف الحساب'!$K$4:$K$353,IFERROR(MATCH(60,'كشف الحساب'!$N$4:$N$353,0),0))),"")</f>
        <v/>
      </c>
    </row>
    <row r="65" spans="1:11" ht="15" customHeight="1" x14ac:dyDescent="0.25">
      <c r="A65" s="63" t="str">
        <f>IFERROR(IF(IFERROR(MATCH(61,'كشف الحساب'!$N$4:$N$353,0),0)=0,"",INDEX('كشف الحساب'!$A$4:$A$353,IFERROR(MATCH(61,'كشف الحساب'!$N$4:$N$353,0),0))),"")</f>
        <v/>
      </c>
      <c r="B65" s="64" t="str">
        <f>IFERROR(IF(IFERROR(MATCH(61,'كشف الحساب'!$N$4:$N$353,0),0)=0,"",INDEX('كشف الحساب'!$B$4:$B$353,IFERROR(MATCH(61,'كشف الحساب'!$N$4:$N$353,0),0))),"")</f>
        <v/>
      </c>
      <c r="C65" s="65" t="str">
        <f>IFERROR(IF(IFERROR(MATCH(61,'كشف الحساب'!$N$4:$N$353,0),0)=0,"",INDEX('كشف الحساب'!$C$4:$C$353,IFERROR(MATCH(61,'كشف الحساب'!$N$4:$N$353,0),0))),"")</f>
        <v/>
      </c>
      <c r="D65" s="66" t="str">
        <f>IFERROR(IF(IFERROR(MATCH(61,'كشف الحساب'!$N$4:$N$353,0),0)=0,"",INDEX('كشف الحساب'!$D$4:$D$353,IFERROR(MATCH(61,'كشف الحساب'!$N$4:$N$353,0),0))),"")</f>
        <v/>
      </c>
      <c r="E65" s="67" t="str">
        <f>IFERROR(IF(IFERROR(MATCH(61,'كشف الحساب'!$N$4:$N$353,0),0)=0,"",INDEX('كشف الحساب'!$E$4:$E$353,IFERROR(MATCH(61,'كشف الحساب'!$N$4:$N$353,0),0))),"")</f>
        <v/>
      </c>
      <c r="F65" s="64" t="str">
        <f>IFERROR(IF(IFERROR(MATCH(61,'كشف الحساب'!$N$4:$N$353,0),0)=0,"",INDEX('كشف الحساب'!$F$4:$F$353,IFERROR(MATCH(61,'كشف الحساب'!$N$4:$N$353,0),0))),"")</f>
        <v/>
      </c>
      <c r="G65" s="64" t="str">
        <f>IFERROR(IF(IFERROR(MATCH(61,'كشف الحساب'!$N$4:$N$353,0),0)=0,"",INDEX('كشف الحساب'!$G$4:$G$353,IFERROR(MATCH(61,'كشف الحساب'!$N$4:$N$353,0),0))),"")</f>
        <v/>
      </c>
      <c r="H65" s="64" t="str">
        <f>IFERROR(IF(IFERROR(MATCH(61,'كشف الحساب'!$N$4:$N$353,0),0)=0,"",INDEX('كشف الحساب'!$H$4:$H$353,IFERROR(MATCH(61,'كشف الحساب'!$N$4:$N$353,0),0))),"")</f>
        <v/>
      </c>
      <c r="I65" s="64" t="str">
        <f>IFERROR(IF(IFERROR(MATCH(61,'كشف الحساب'!$N$4:$N$353,0),0)=0,"",INDEX('كشف الحساب'!$I$4:$I$353,IFERROR(MATCH(61,'كشف الحساب'!$N$4:$N$353,0),0))),"")</f>
        <v/>
      </c>
      <c r="J65" s="68" t="str">
        <f>IFERROR(IF(IFERROR(MATCH(61,'كشف الحساب'!$N$4:$N$353,0),0)=0,"",INDEX('كشف الحساب'!$J$4:$J$353,IFERROR(MATCH(61,'كشف الحساب'!$N$4:$N$353,0),0))),"")</f>
        <v/>
      </c>
      <c r="K65" s="64" t="str">
        <f>IFERROR(IF(IFERROR(MATCH(61,'كشف الحساب'!$N$4:$N$353,0),0)=0,"",INDEX('كشف الحساب'!$K$4:$K$353,IFERROR(MATCH(61,'كشف الحساب'!$N$4:$N$353,0),0))),"")</f>
        <v/>
      </c>
    </row>
    <row r="66" spans="1:11" ht="15" customHeight="1" x14ac:dyDescent="0.25">
      <c r="A66" s="69" t="str">
        <f>IFERROR(IF(IFERROR(MATCH(62,'كشف الحساب'!$N$4:$N$353,0),0)=0,"",INDEX('كشف الحساب'!$A$4:$A$353,IFERROR(MATCH(62,'كشف الحساب'!$N$4:$N$353,0),0))),"")</f>
        <v/>
      </c>
      <c r="B66" s="70" t="str">
        <f>IFERROR(IF(IFERROR(MATCH(62,'كشف الحساب'!$N$4:$N$353,0),0)=0,"",INDEX('كشف الحساب'!$B$4:$B$353,IFERROR(MATCH(62,'كشف الحساب'!$N$4:$N$353,0),0))),"")</f>
        <v/>
      </c>
      <c r="C66" s="71" t="str">
        <f>IFERROR(IF(IFERROR(MATCH(62,'كشف الحساب'!$N$4:$N$353,0),0)=0,"",INDEX('كشف الحساب'!$C$4:$C$353,IFERROR(MATCH(62,'كشف الحساب'!$N$4:$N$353,0),0))),"")</f>
        <v/>
      </c>
      <c r="D66" s="72" t="str">
        <f>IFERROR(IF(IFERROR(MATCH(62,'كشف الحساب'!$N$4:$N$353,0),0)=0,"",INDEX('كشف الحساب'!$D$4:$D$353,IFERROR(MATCH(62,'كشف الحساب'!$N$4:$N$353,0),0))),"")</f>
        <v/>
      </c>
      <c r="E66" s="73" t="str">
        <f>IFERROR(IF(IFERROR(MATCH(62,'كشف الحساب'!$N$4:$N$353,0),0)=0,"",INDEX('كشف الحساب'!$E$4:$E$353,IFERROR(MATCH(62,'كشف الحساب'!$N$4:$N$353,0),0))),"")</f>
        <v/>
      </c>
      <c r="F66" s="70" t="str">
        <f>IFERROR(IF(IFERROR(MATCH(62,'كشف الحساب'!$N$4:$N$353,0),0)=0,"",INDEX('كشف الحساب'!$F$4:$F$353,IFERROR(MATCH(62,'كشف الحساب'!$N$4:$N$353,0),0))),"")</f>
        <v/>
      </c>
      <c r="G66" s="70" t="str">
        <f>IFERROR(IF(IFERROR(MATCH(62,'كشف الحساب'!$N$4:$N$353,0),0)=0,"",INDEX('كشف الحساب'!$G$4:$G$353,IFERROR(MATCH(62,'كشف الحساب'!$N$4:$N$353,0),0))),"")</f>
        <v/>
      </c>
      <c r="H66" s="70" t="str">
        <f>IFERROR(IF(IFERROR(MATCH(62,'كشف الحساب'!$N$4:$N$353,0),0)=0,"",INDEX('كشف الحساب'!$H$4:$H$353,IFERROR(MATCH(62,'كشف الحساب'!$N$4:$N$353,0),0))),"")</f>
        <v/>
      </c>
      <c r="I66" s="70" t="str">
        <f>IFERROR(IF(IFERROR(MATCH(62,'كشف الحساب'!$N$4:$N$353,0),0)=0,"",INDEX('كشف الحساب'!$I$4:$I$353,IFERROR(MATCH(62,'كشف الحساب'!$N$4:$N$353,0),0))),"")</f>
        <v/>
      </c>
      <c r="J66" s="74" t="str">
        <f>IFERROR(IF(IFERROR(MATCH(62,'كشف الحساب'!$N$4:$N$353,0),0)=0,"",INDEX('كشف الحساب'!$J$4:$J$353,IFERROR(MATCH(62,'كشف الحساب'!$N$4:$N$353,0),0))),"")</f>
        <v/>
      </c>
      <c r="K66" s="70" t="str">
        <f>IFERROR(IF(IFERROR(MATCH(62,'كشف الحساب'!$N$4:$N$353,0),0)=0,"",INDEX('كشف الحساب'!$K$4:$K$353,IFERROR(MATCH(62,'كشف الحساب'!$N$4:$N$353,0),0))),"")</f>
        <v/>
      </c>
    </row>
    <row r="67" spans="1:11" ht="15" customHeight="1" x14ac:dyDescent="0.25">
      <c r="A67" s="63" t="str">
        <f>IFERROR(IF(IFERROR(MATCH(63,'كشف الحساب'!$N$4:$N$353,0),0)=0,"",INDEX('كشف الحساب'!$A$4:$A$353,IFERROR(MATCH(63,'كشف الحساب'!$N$4:$N$353,0),0))),"")</f>
        <v/>
      </c>
      <c r="B67" s="64" t="str">
        <f>IFERROR(IF(IFERROR(MATCH(63,'كشف الحساب'!$N$4:$N$353,0),0)=0,"",INDEX('كشف الحساب'!$B$4:$B$353,IFERROR(MATCH(63,'كشف الحساب'!$N$4:$N$353,0),0))),"")</f>
        <v/>
      </c>
      <c r="C67" s="65" t="str">
        <f>IFERROR(IF(IFERROR(MATCH(63,'كشف الحساب'!$N$4:$N$353,0),0)=0,"",INDEX('كشف الحساب'!$C$4:$C$353,IFERROR(MATCH(63,'كشف الحساب'!$N$4:$N$353,0),0))),"")</f>
        <v/>
      </c>
      <c r="D67" s="66" t="str">
        <f>IFERROR(IF(IFERROR(MATCH(63,'كشف الحساب'!$N$4:$N$353,0),0)=0,"",INDEX('كشف الحساب'!$D$4:$D$353,IFERROR(MATCH(63,'كشف الحساب'!$N$4:$N$353,0),0))),"")</f>
        <v/>
      </c>
      <c r="E67" s="67" t="str">
        <f>IFERROR(IF(IFERROR(MATCH(63,'كشف الحساب'!$N$4:$N$353,0),0)=0,"",INDEX('كشف الحساب'!$E$4:$E$353,IFERROR(MATCH(63,'كشف الحساب'!$N$4:$N$353,0),0))),"")</f>
        <v/>
      </c>
      <c r="F67" s="64" t="str">
        <f>IFERROR(IF(IFERROR(MATCH(63,'كشف الحساب'!$N$4:$N$353,0),0)=0,"",INDEX('كشف الحساب'!$F$4:$F$353,IFERROR(MATCH(63,'كشف الحساب'!$N$4:$N$353,0),0))),"")</f>
        <v/>
      </c>
      <c r="G67" s="64" t="str">
        <f>IFERROR(IF(IFERROR(MATCH(63,'كشف الحساب'!$N$4:$N$353,0),0)=0,"",INDEX('كشف الحساب'!$G$4:$G$353,IFERROR(MATCH(63,'كشف الحساب'!$N$4:$N$353,0),0))),"")</f>
        <v/>
      </c>
      <c r="H67" s="64" t="str">
        <f>IFERROR(IF(IFERROR(MATCH(63,'كشف الحساب'!$N$4:$N$353,0),0)=0,"",INDEX('كشف الحساب'!$H$4:$H$353,IFERROR(MATCH(63,'كشف الحساب'!$N$4:$N$353,0),0))),"")</f>
        <v/>
      </c>
      <c r="I67" s="64" t="str">
        <f>IFERROR(IF(IFERROR(MATCH(63,'كشف الحساب'!$N$4:$N$353,0),0)=0,"",INDEX('كشف الحساب'!$I$4:$I$353,IFERROR(MATCH(63,'كشف الحساب'!$N$4:$N$353,0),0))),"")</f>
        <v/>
      </c>
      <c r="J67" s="68" t="str">
        <f>IFERROR(IF(IFERROR(MATCH(63,'كشف الحساب'!$N$4:$N$353,0),0)=0,"",INDEX('كشف الحساب'!$J$4:$J$353,IFERROR(MATCH(63,'كشف الحساب'!$N$4:$N$353,0),0))),"")</f>
        <v/>
      </c>
      <c r="K67" s="64" t="str">
        <f>IFERROR(IF(IFERROR(MATCH(63,'كشف الحساب'!$N$4:$N$353,0),0)=0,"",INDEX('كشف الحساب'!$K$4:$K$353,IFERROR(MATCH(63,'كشف الحساب'!$N$4:$N$353,0),0))),"")</f>
        <v/>
      </c>
    </row>
    <row r="68" spans="1:11" ht="15" customHeight="1" x14ac:dyDescent="0.25">
      <c r="A68" s="69" t="str">
        <f>IFERROR(IF(IFERROR(MATCH(64,'كشف الحساب'!$N$4:$N$353,0),0)=0,"",INDEX('كشف الحساب'!$A$4:$A$353,IFERROR(MATCH(64,'كشف الحساب'!$N$4:$N$353,0),0))),"")</f>
        <v/>
      </c>
      <c r="B68" s="70" t="str">
        <f>IFERROR(IF(IFERROR(MATCH(64,'كشف الحساب'!$N$4:$N$353,0),0)=0,"",INDEX('كشف الحساب'!$B$4:$B$353,IFERROR(MATCH(64,'كشف الحساب'!$N$4:$N$353,0),0))),"")</f>
        <v/>
      </c>
      <c r="C68" s="71" t="str">
        <f>IFERROR(IF(IFERROR(MATCH(64,'كشف الحساب'!$N$4:$N$353,0),0)=0,"",INDEX('كشف الحساب'!$C$4:$C$353,IFERROR(MATCH(64,'كشف الحساب'!$N$4:$N$353,0),0))),"")</f>
        <v/>
      </c>
      <c r="D68" s="72" t="str">
        <f>IFERROR(IF(IFERROR(MATCH(64,'كشف الحساب'!$N$4:$N$353,0),0)=0,"",INDEX('كشف الحساب'!$D$4:$D$353,IFERROR(MATCH(64,'كشف الحساب'!$N$4:$N$353,0),0))),"")</f>
        <v/>
      </c>
      <c r="E68" s="73" t="str">
        <f>IFERROR(IF(IFERROR(MATCH(64,'كشف الحساب'!$N$4:$N$353,0),0)=0,"",INDEX('كشف الحساب'!$E$4:$E$353,IFERROR(MATCH(64,'كشف الحساب'!$N$4:$N$353,0),0))),"")</f>
        <v/>
      </c>
      <c r="F68" s="70" t="str">
        <f>IFERROR(IF(IFERROR(MATCH(64,'كشف الحساب'!$N$4:$N$353,0),0)=0,"",INDEX('كشف الحساب'!$F$4:$F$353,IFERROR(MATCH(64,'كشف الحساب'!$N$4:$N$353,0),0))),"")</f>
        <v/>
      </c>
      <c r="G68" s="70" t="str">
        <f>IFERROR(IF(IFERROR(MATCH(64,'كشف الحساب'!$N$4:$N$353,0),0)=0,"",INDEX('كشف الحساب'!$G$4:$G$353,IFERROR(MATCH(64,'كشف الحساب'!$N$4:$N$353,0),0))),"")</f>
        <v/>
      </c>
      <c r="H68" s="70" t="str">
        <f>IFERROR(IF(IFERROR(MATCH(64,'كشف الحساب'!$N$4:$N$353,0),0)=0,"",INDEX('كشف الحساب'!$H$4:$H$353,IFERROR(MATCH(64,'كشف الحساب'!$N$4:$N$353,0),0))),"")</f>
        <v/>
      </c>
      <c r="I68" s="70" t="str">
        <f>IFERROR(IF(IFERROR(MATCH(64,'كشف الحساب'!$N$4:$N$353,0),0)=0,"",INDEX('كشف الحساب'!$I$4:$I$353,IFERROR(MATCH(64,'كشف الحساب'!$N$4:$N$353,0),0))),"")</f>
        <v/>
      </c>
      <c r="J68" s="74" t="str">
        <f>IFERROR(IF(IFERROR(MATCH(64,'كشف الحساب'!$N$4:$N$353,0),0)=0,"",INDEX('كشف الحساب'!$J$4:$J$353,IFERROR(MATCH(64,'كشف الحساب'!$N$4:$N$353,0),0))),"")</f>
        <v/>
      </c>
      <c r="K68" s="70" t="str">
        <f>IFERROR(IF(IFERROR(MATCH(64,'كشف الحساب'!$N$4:$N$353,0),0)=0,"",INDEX('كشف الحساب'!$K$4:$K$353,IFERROR(MATCH(64,'كشف الحساب'!$N$4:$N$353,0),0))),"")</f>
        <v/>
      </c>
    </row>
    <row r="69" spans="1:11" ht="15" customHeight="1" x14ac:dyDescent="0.25">
      <c r="A69" s="63" t="str">
        <f>IFERROR(IF(IFERROR(MATCH(65,'كشف الحساب'!$N$4:$N$353,0),0)=0,"",INDEX('كشف الحساب'!$A$4:$A$353,IFERROR(MATCH(65,'كشف الحساب'!$N$4:$N$353,0),0))),"")</f>
        <v/>
      </c>
      <c r="B69" s="64" t="str">
        <f>IFERROR(IF(IFERROR(MATCH(65,'كشف الحساب'!$N$4:$N$353,0),0)=0,"",INDEX('كشف الحساب'!$B$4:$B$353,IFERROR(MATCH(65,'كشف الحساب'!$N$4:$N$353,0),0))),"")</f>
        <v/>
      </c>
      <c r="C69" s="65" t="str">
        <f>IFERROR(IF(IFERROR(MATCH(65,'كشف الحساب'!$N$4:$N$353,0),0)=0,"",INDEX('كشف الحساب'!$C$4:$C$353,IFERROR(MATCH(65,'كشف الحساب'!$N$4:$N$353,0),0))),"")</f>
        <v/>
      </c>
      <c r="D69" s="66" t="str">
        <f>IFERROR(IF(IFERROR(MATCH(65,'كشف الحساب'!$N$4:$N$353,0),0)=0,"",INDEX('كشف الحساب'!$D$4:$D$353,IFERROR(MATCH(65,'كشف الحساب'!$N$4:$N$353,0),0))),"")</f>
        <v/>
      </c>
      <c r="E69" s="67" t="str">
        <f>IFERROR(IF(IFERROR(MATCH(65,'كشف الحساب'!$N$4:$N$353,0),0)=0,"",INDEX('كشف الحساب'!$E$4:$E$353,IFERROR(MATCH(65,'كشف الحساب'!$N$4:$N$353,0),0))),"")</f>
        <v/>
      </c>
      <c r="F69" s="64" t="str">
        <f>IFERROR(IF(IFERROR(MATCH(65,'كشف الحساب'!$N$4:$N$353,0),0)=0,"",INDEX('كشف الحساب'!$F$4:$F$353,IFERROR(MATCH(65,'كشف الحساب'!$N$4:$N$353,0),0))),"")</f>
        <v/>
      </c>
      <c r="G69" s="64" t="str">
        <f>IFERROR(IF(IFERROR(MATCH(65,'كشف الحساب'!$N$4:$N$353,0),0)=0,"",INDEX('كشف الحساب'!$G$4:$G$353,IFERROR(MATCH(65,'كشف الحساب'!$N$4:$N$353,0),0))),"")</f>
        <v/>
      </c>
      <c r="H69" s="64" t="str">
        <f>IFERROR(IF(IFERROR(MATCH(65,'كشف الحساب'!$N$4:$N$353,0),0)=0,"",INDEX('كشف الحساب'!$H$4:$H$353,IFERROR(MATCH(65,'كشف الحساب'!$N$4:$N$353,0),0))),"")</f>
        <v/>
      </c>
      <c r="I69" s="64" t="str">
        <f>IFERROR(IF(IFERROR(MATCH(65,'كشف الحساب'!$N$4:$N$353,0),0)=0,"",INDEX('كشف الحساب'!$I$4:$I$353,IFERROR(MATCH(65,'كشف الحساب'!$N$4:$N$353,0),0))),"")</f>
        <v/>
      </c>
      <c r="J69" s="68" t="str">
        <f>IFERROR(IF(IFERROR(MATCH(65,'كشف الحساب'!$N$4:$N$353,0),0)=0,"",INDEX('كشف الحساب'!$J$4:$J$353,IFERROR(MATCH(65,'كشف الحساب'!$N$4:$N$353,0),0))),"")</f>
        <v/>
      </c>
      <c r="K69" s="64" t="str">
        <f>IFERROR(IF(IFERROR(MATCH(65,'كشف الحساب'!$N$4:$N$353,0),0)=0,"",INDEX('كشف الحساب'!$K$4:$K$353,IFERROR(MATCH(65,'كشف الحساب'!$N$4:$N$353,0),0))),"")</f>
        <v/>
      </c>
    </row>
    <row r="70" spans="1:11" ht="15" customHeight="1" x14ac:dyDescent="0.25">
      <c r="A70" s="69" t="str">
        <f>IFERROR(IF(IFERROR(MATCH(66,'كشف الحساب'!$N$4:$N$353,0),0)=0,"",INDEX('كشف الحساب'!$A$4:$A$353,IFERROR(MATCH(66,'كشف الحساب'!$N$4:$N$353,0),0))),"")</f>
        <v/>
      </c>
      <c r="B70" s="70" t="str">
        <f>IFERROR(IF(IFERROR(MATCH(66,'كشف الحساب'!$N$4:$N$353,0),0)=0,"",INDEX('كشف الحساب'!$B$4:$B$353,IFERROR(MATCH(66,'كشف الحساب'!$N$4:$N$353,0),0))),"")</f>
        <v/>
      </c>
      <c r="C70" s="71" t="str">
        <f>IFERROR(IF(IFERROR(MATCH(66,'كشف الحساب'!$N$4:$N$353,0),0)=0,"",INDEX('كشف الحساب'!$C$4:$C$353,IFERROR(MATCH(66,'كشف الحساب'!$N$4:$N$353,0),0))),"")</f>
        <v/>
      </c>
      <c r="D70" s="72" t="str">
        <f>IFERROR(IF(IFERROR(MATCH(66,'كشف الحساب'!$N$4:$N$353,0),0)=0,"",INDEX('كشف الحساب'!$D$4:$D$353,IFERROR(MATCH(66,'كشف الحساب'!$N$4:$N$353,0),0))),"")</f>
        <v/>
      </c>
      <c r="E70" s="73" t="str">
        <f>IFERROR(IF(IFERROR(MATCH(66,'كشف الحساب'!$N$4:$N$353,0),0)=0,"",INDEX('كشف الحساب'!$E$4:$E$353,IFERROR(MATCH(66,'كشف الحساب'!$N$4:$N$353,0),0))),"")</f>
        <v/>
      </c>
      <c r="F70" s="70" t="str">
        <f>IFERROR(IF(IFERROR(MATCH(66,'كشف الحساب'!$N$4:$N$353,0),0)=0,"",INDEX('كشف الحساب'!$F$4:$F$353,IFERROR(MATCH(66,'كشف الحساب'!$N$4:$N$353,0),0))),"")</f>
        <v/>
      </c>
      <c r="G70" s="70" t="str">
        <f>IFERROR(IF(IFERROR(MATCH(66,'كشف الحساب'!$N$4:$N$353,0),0)=0,"",INDEX('كشف الحساب'!$G$4:$G$353,IFERROR(MATCH(66,'كشف الحساب'!$N$4:$N$353,0),0))),"")</f>
        <v/>
      </c>
      <c r="H70" s="70" t="str">
        <f>IFERROR(IF(IFERROR(MATCH(66,'كشف الحساب'!$N$4:$N$353,0),0)=0,"",INDEX('كشف الحساب'!$H$4:$H$353,IFERROR(MATCH(66,'كشف الحساب'!$N$4:$N$353,0),0))),"")</f>
        <v/>
      </c>
      <c r="I70" s="70" t="str">
        <f>IFERROR(IF(IFERROR(MATCH(66,'كشف الحساب'!$N$4:$N$353,0),0)=0,"",INDEX('كشف الحساب'!$I$4:$I$353,IFERROR(MATCH(66,'كشف الحساب'!$N$4:$N$353,0),0))),"")</f>
        <v/>
      </c>
      <c r="J70" s="74" t="str">
        <f>IFERROR(IF(IFERROR(MATCH(66,'كشف الحساب'!$N$4:$N$353,0),0)=0,"",INDEX('كشف الحساب'!$J$4:$J$353,IFERROR(MATCH(66,'كشف الحساب'!$N$4:$N$353,0),0))),"")</f>
        <v/>
      </c>
      <c r="K70" s="70" t="str">
        <f>IFERROR(IF(IFERROR(MATCH(66,'كشف الحساب'!$N$4:$N$353,0),0)=0,"",INDEX('كشف الحساب'!$K$4:$K$353,IFERROR(MATCH(66,'كشف الحساب'!$N$4:$N$353,0),0))),"")</f>
        <v/>
      </c>
    </row>
    <row r="71" spans="1:11" ht="15" customHeight="1" x14ac:dyDescent="0.25">
      <c r="A71" s="63" t="str">
        <f>IFERROR(IF(IFERROR(MATCH(67,'كشف الحساب'!$N$4:$N$353,0),0)=0,"",INDEX('كشف الحساب'!$A$4:$A$353,IFERROR(MATCH(67,'كشف الحساب'!$N$4:$N$353,0),0))),"")</f>
        <v/>
      </c>
      <c r="B71" s="64" t="str">
        <f>IFERROR(IF(IFERROR(MATCH(67,'كشف الحساب'!$N$4:$N$353,0),0)=0,"",INDEX('كشف الحساب'!$B$4:$B$353,IFERROR(MATCH(67,'كشف الحساب'!$N$4:$N$353,0),0))),"")</f>
        <v/>
      </c>
      <c r="C71" s="65" t="str">
        <f>IFERROR(IF(IFERROR(MATCH(67,'كشف الحساب'!$N$4:$N$353,0),0)=0,"",INDEX('كشف الحساب'!$C$4:$C$353,IFERROR(MATCH(67,'كشف الحساب'!$N$4:$N$353,0),0))),"")</f>
        <v/>
      </c>
      <c r="D71" s="66" t="str">
        <f>IFERROR(IF(IFERROR(MATCH(67,'كشف الحساب'!$N$4:$N$353,0),0)=0,"",INDEX('كشف الحساب'!$D$4:$D$353,IFERROR(MATCH(67,'كشف الحساب'!$N$4:$N$353,0),0))),"")</f>
        <v/>
      </c>
      <c r="E71" s="67" t="str">
        <f>IFERROR(IF(IFERROR(MATCH(67,'كشف الحساب'!$N$4:$N$353,0),0)=0,"",INDEX('كشف الحساب'!$E$4:$E$353,IFERROR(MATCH(67,'كشف الحساب'!$N$4:$N$353,0),0))),"")</f>
        <v/>
      </c>
      <c r="F71" s="64" t="str">
        <f>IFERROR(IF(IFERROR(MATCH(67,'كشف الحساب'!$N$4:$N$353,0),0)=0,"",INDEX('كشف الحساب'!$F$4:$F$353,IFERROR(MATCH(67,'كشف الحساب'!$N$4:$N$353,0),0))),"")</f>
        <v/>
      </c>
      <c r="G71" s="64" t="str">
        <f>IFERROR(IF(IFERROR(MATCH(67,'كشف الحساب'!$N$4:$N$353,0),0)=0,"",INDEX('كشف الحساب'!$G$4:$G$353,IFERROR(MATCH(67,'كشف الحساب'!$N$4:$N$353,0),0))),"")</f>
        <v/>
      </c>
      <c r="H71" s="64" t="str">
        <f>IFERROR(IF(IFERROR(MATCH(67,'كشف الحساب'!$N$4:$N$353,0),0)=0,"",INDEX('كشف الحساب'!$H$4:$H$353,IFERROR(MATCH(67,'كشف الحساب'!$N$4:$N$353,0),0))),"")</f>
        <v/>
      </c>
      <c r="I71" s="64" t="str">
        <f>IFERROR(IF(IFERROR(MATCH(67,'كشف الحساب'!$N$4:$N$353,0),0)=0,"",INDEX('كشف الحساب'!$I$4:$I$353,IFERROR(MATCH(67,'كشف الحساب'!$N$4:$N$353,0),0))),"")</f>
        <v/>
      </c>
      <c r="J71" s="68" t="str">
        <f>IFERROR(IF(IFERROR(MATCH(67,'كشف الحساب'!$N$4:$N$353,0),0)=0,"",INDEX('كشف الحساب'!$J$4:$J$353,IFERROR(MATCH(67,'كشف الحساب'!$N$4:$N$353,0),0))),"")</f>
        <v/>
      </c>
      <c r="K71" s="64" t="str">
        <f>IFERROR(IF(IFERROR(MATCH(67,'كشف الحساب'!$N$4:$N$353,0),0)=0,"",INDEX('كشف الحساب'!$K$4:$K$353,IFERROR(MATCH(67,'كشف الحساب'!$N$4:$N$353,0),0))),"")</f>
        <v/>
      </c>
    </row>
    <row r="72" spans="1:11" ht="15" customHeight="1" x14ac:dyDescent="0.25">
      <c r="A72" s="69" t="str">
        <f>IFERROR(IF(IFERROR(MATCH(68,'كشف الحساب'!$N$4:$N$353,0),0)=0,"",INDEX('كشف الحساب'!$A$4:$A$353,IFERROR(MATCH(68,'كشف الحساب'!$N$4:$N$353,0),0))),"")</f>
        <v/>
      </c>
      <c r="B72" s="70" t="str">
        <f>IFERROR(IF(IFERROR(MATCH(68,'كشف الحساب'!$N$4:$N$353,0),0)=0,"",INDEX('كشف الحساب'!$B$4:$B$353,IFERROR(MATCH(68,'كشف الحساب'!$N$4:$N$353,0),0))),"")</f>
        <v/>
      </c>
      <c r="C72" s="71" t="str">
        <f>IFERROR(IF(IFERROR(MATCH(68,'كشف الحساب'!$N$4:$N$353,0),0)=0,"",INDEX('كشف الحساب'!$C$4:$C$353,IFERROR(MATCH(68,'كشف الحساب'!$N$4:$N$353,0),0))),"")</f>
        <v/>
      </c>
      <c r="D72" s="72" t="str">
        <f>IFERROR(IF(IFERROR(MATCH(68,'كشف الحساب'!$N$4:$N$353,0),0)=0,"",INDEX('كشف الحساب'!$D$4:$D$353,IFERROR(MATCH(68,'كشف الحساب'!$N$4:$N$353,0),0))),"")</f>
        <v/>
      </c>
      <c r="E72" s="73" t="str">
        <f>IFERROR(IF(IFERROR(MATCH(68,'كشف الحساب'!$N$4:$N$353,0),0)=0,"",INDEX('كشف الحساب'!$E$4:$E$353,IFERROR(MATCH(68,'كشف الحساب'!$N$4:$N$353,0),0))),"")</f>
        <v/>
      </c>
      <c r="F72" s="70" t="str">
        <f>IFERROR(IF(IFERROR(MATCH(68,'كشف الحساب'!$N$4:$N$353,0),0)=0,"",INDEX('كشف الحساب'!$F$4:$F$353,IFERROR(MATCH(68,'كشف الحساب'!$N$4:$N$353,0),0))),"")</f>
        <v/>
      </c>
      <c r="G72" s="70" t="str">
        <f>IFERROR(IF(IFERROR(MATCH(68,'كشف الحساب'!$N$4:$N$353,0),0)=0,"",INDEX('كشف الحساب'!$G$4:$G$353,IFERROR(MATCH(68,'كشف الحساب'!$N$4:$N$353,0),0))),"")</f>
        <v/>
      </c>
      <c r="H72" s="70" t="str">
        <f>IFERROR(IF(IFERROR(MATCH(68,'كشف الحساب'!$N$4:$N$353,0),0)=0,"",INDEX('كشف الحساب'!$H$4:$H$353,IFERROR(MATCH(68,'كشف الحساب'!$N$4:$N$353,0),0))),"")</f>
        <v/>
      </c>
      <c r="I72" s="70" t="str">
        <f>IFERROR(IF(IFERROR(MATCH(68,'كشف الحساب'!$N$4:$N$353,0),0)=0,"",INDEX('كشف الحساب'!$I$4:$I$353,IFERROR(MATCH(68,'كشف الحساب'!$N$4:$N$353,0),0))),"")</f>
        <v/>
      </c>
      <c r="J72" s="74" t="str">
        <f>IFERROR(IF(IFERROR(MATCH(68,'كشف الحساب'!$N$4:$N$353,0),0)=0,"",INDEX('كشف الحساب'!$J$4:$J$353,IFERROR(MATCH(68,'كشف الحساب'!$N$4:$N$353,0),0))),"")</f>
        <v/>
      </c>
      <c r="K72" s="70" t="str">
        <f>IFERROR(IF(IFERROR(MATCH(68,'كشف الحساب'!$N$4:$N$353,0),0)=0,"",INDEX('كشف الحساب'!$K$4:$K$353,IFERROR(MATCH(68,'كشف الحساب'!$N$4:$N$353,0),0))),"")</f>
        <v/>
      </c>
    </row>
    <row r="73" spans="1:11" ht="15" customHeight="1" x14ac:dyDescent="0.25">
      <c r="A73" s="63" t="str">
        <f>IFERROR(IF(IFERROR(MATCH(69,'كشف الحساب'!$N$4:$N$353,0),0)=0,"",INDEX('كشف الحساب'!$A$4:$A$353,IFERROR(MATCH(69,'كشف الحساب'!$N$4:$N$353,0),0))),"")</f>
        <v/>
      </c>
      <c r="B73" s="64" t="str">
        <f>IFERROR(IF(IFERROR(MATCH(69,'كشف الحساب'!$N$4:$N$353,0),0)=0,"",INDEX('كشف الحساب'!$B$4:$B$353,IFERROR(MATCH(69,'كشف الحساب'!$N$4:$N$353,0),0))),"")</f>
        <v/>
      </c>
      <c r="C73" s="65" t="str">
        <f>IFERROR(IF(IFERROR(MATCH(69,'كشف الحساب'!$N$4:$N$353,0),0)=0,"",INDEX('كشف الحساب'!$C$4:$C$353,IFERROR(MATCH(69,'كشف الحساب'!$N$4:$N$353,0),0))),"")</f>
        <v/>
      </c>
      <c r="D73" s="66" t="str">
        <f>IFERROR(IF(IFERROR(MATCH(69,'كشف الحساب'!$N$4:$N$353,0),0)=0,"",INDEX('كشف الحساب'!$D$4:$D$353,IFERROR(MATCH(69,'كشف الحساب'!$N$4:$N$353,0),0))),"")</f>
        <v/>
      </c>
      <c r="E73" s="67" t="str">
        <f>IFERROR(IF(IFERROR(MATCH(69,'كشف الحساب'!$N$4:$N$353,0),0)=0,"",INDEX('كشف الحساب'!$E$4:$E$353,IFERROR(MATCH(69,'كشف الحساب'!$N$4:$N$353,0),0))),"")</f>
        <v/>
      </c>
      <c r="F73" s="64" t="str">
        <f>IFERROR(IF(IFERROR(MATCH(69,'كشف الحساب'!$N$4:$N$353,0),0)=0,"",INDEX('كشف الحساب'!$F$4:$F$353,IFERROR(MATCH(69,'كشف الحساب'!$N$4:$N$353,0),0))),"")</f>
        <v/>
      </c>
      <c r="G73" s="64" t="str">
        <f>IFERROR(IF(IFERROR(MATCH(69,'كشف الحساب'!$N$4:$N$353,0),0)=0,"",INDEX('كشف الحساب'!$G$4:$G$353,IFERROR(MATCH(69,'كشف الحساب'!$N$4:$N$353,0),0))),"")</f>
        <v/>
      </c>
      <c r="H73" s="64" t="str">
        <f>IFERROR(IF(IFERROR(MATCH(69,'كشف الحساب'!$N$4:$N$353,0),0)=0,"",INDEX('كشف الحساب'!$H$4:$H$353,IFERROR(MATCH(69,'كشف الحساب'!$N$4:$N$353,0),0))),"")</f>
        <v/>
      </c>
      <c r="I73" s="64" t="str">
        <f>IFERROR(IF(IFERROR(MATCH(69,'كشف الحساب'!$N$4:$N$353,0),0)=0,"",INDEX('كشف الحساب'!$I$4:$I$353,IFERROR(MATCH(69,'كشف الحساب'!$N$4:$N$353,0),0))),"")</f>
        <v/>
      </c>
      <c r="J73" s="68" t="str">
        <f>IFERROR(IF(IFERROR(MATCH(69,'كشف الحساب'!$N$4:$N$353,0),0)=0,"",INDEX('كشف الحساب'!$J$4:$J$353,IFERROR(MATCH(69,'كشف الحساب'!$N$4:$N$353,0),0))),"")</f>
        <v/>
      </c>
      <c r="K73" s="64" t="str">
        <f>IFERROR(IF(IFERROR(MATCH(69,'كشف الحساب'!$N$4:$N$353,0),0)=0,"",INDEX('كشف الحساب'!$K$4:$K$353,IFERROR(MATCH(69,'كشف الحساب'!$N$4:$N$353,0),0))),"")</f>
        <v/>
      </c>
    </row>
    <row r="74" spans="1:11" ht="15" customHeight="1" x14ac:dyDescent="0.25">
      <c r="A74" s="69" t="str">
        <f>IFERROR(IF(IFERROR(MATCH(70,'كشف الحساب'!$N$4:$N$353,0),0)=0,"",INDEX('كشف الحساب'!$A$4:$A$353,IFERROR(MATCH(70,'كشف الحساب'!$N$4:$N$353,0),0))),"")</f>
        <v/>
      </c>
      <c r="B74" s="70" t="str">
        <f>IFERROR(IF(IFERROR(MATCH(70,'كشف الحساب'!$N$4:$N$353,0),0)=0,"",INDEX('كشف الحساب'!$B$4:$B$353,IFERROR(MATCH(70,'كشف الحساب'!$N$4:$N$353,0),0))),"")</f>
        <v/>
      </c>
      <c r="C74" s="71" t="str">
        <f>IFERROR(IF(IFERROR(MATCH(70,'كشف الحساب'!$N$4:$N$353,0),0)=0,"",INDEX('كشف الحساب'!$C$4:$C$353,IFERROR(MATCH(70,'كشف الحساب'!$N$4:$N$353,0),0))),"")</f>
        <v/>
      </c>
      <c r="D74" s="72" t="str">
        <f>IFERROR(IF(IFERROR(MATCH(70,'كشف الحساب'!$N$4:$N$353,0),0)=0,"",INDEX('كشف الحساب'!$D$4:$D$353,IFERROR(MATCH(70,'كشف الحساب'!$N$4:$N$353,0),0))),"")</f>
        <v/>
      </c>
      <c r="E74" s="73" t="str">
        <f>IFERROR(IF(IFERROR(MATCH(70,'كشف الحساب'!$N$4:$N$353,0),0)=0,"",INDEX('كشف الحساب'!$E$4:$E$353,IFERROR(MATCH(70,'كشف الحساب'!$N$4:$N$353,0),0))),"")</f>
        <v/>
      </c>
      <c r="F74" s="70" t="str">
        <f>IFERROR(IF(IFERROR(MATCH(70,'كشف الحساب'!$N$4:$N$353,0),0)=0,"",INDEX('كشف الحساب'!$F$4:$F$353,IFERROR(MATCH(70,'كشف الحساب'!$N$4:$N$353,0),0))),"")</f>
        <v/>
      </c>
      <c r="G74" s="70" t="str">
        <f>IFERROR(IF(IFERROR(MATCH(70,'كشف الحساب'!$N$4:$N$353,0),0)=0,"",INDEX('كشف الحساب'!$G$4:$G$353,IFERROR(MATCH(70,'كشف الحساب'!$N$4:$N$353,0),0))),"")</f>
        <v/>
      </c>
      <c r="H74" s="70" t="str">
        <f>IFERROR(IF(IFERROR(MATCH(70,'كشف الحساب'!$N$4:$N$353,0),0)=0,"",INDEX('كشف الحساب'!$H$4:$H$353,IFERROR(MATCH(70,'كشف الحساب'!$N$4:$N$353,0),0))),"")</f>
        <v/>
      </c>
      <c r="I74" s="70" t="str">
        <f>IFERROR(IF(IFERROR(MATCH(70,'كشف الحساب'!$N$4:$N$353,0),0)=0,"",INDEX('كشف الحساب'!$I$4:$I$353,IFERROR(MATCH(70,'كشف الحساب'!$N$4:$N$353,0),0))),"")</f>
        <v/>
      </c>
      <c r="J74" s="74" t="str">
        <f>IFERROR(IF(IFERROR(MATCH(70,'كشف الحساب'!$N$4:$N$353,0),0)=0,"",INDEX('كشف الحساب'!$J$4:$J$353,IFERROR(MATCH(70,'كشف الحساب'!$N$4:$N$353,0),0))),"")</f>
        <v/>
      </c>
      <c r="K74" s="70" t="str">
        <f>IFERROR(IF(IFERROR(MATCH(70,'كشف الحساب'!$N$4:$N$353,0),0)=0,"",INDEX('كشف الحساب'!$K$4:$K$353,IFERROR(MATCH(70,'كشف الحساب'!$N$4:$N$353,0),0))),"")</f>
        <v/>
      </c>
    </row>
    <row r="75" spans="1:11" ht="15" customHeight="1" x14ac:dyDescent="0.25">
      <c r="A75" s="63" t="str">
        <f>IFERROR(IF(IFERROR(MATCH(71,'كشف الحساب'!$N$4:$N$353,0),0)=0,"",INDEX('كشف الحساب'!$A$4:$A$353,IFERROR(MATCH(71,'كشف الحساب'!$N$4:$N$353,0),0))),"")</f>
        <v/>
      </c>
      <c r="B75" s="64" t="str">
        <f>IFERROR(IF(IFERROR(MATCH(71,'كشف الحساب'!$N$4:$N$353,0),0)=0,"",INDEX('كشف الحساب'!$B$4:$B$353,IFERROR(MATCH(71,'كشف الحساب'!$N$4:$N$353,0),0))),"")</f>
        <v/>
      </c>
      <c r="C75" s="65" t="str">
        <f>IFERROR(IF(IFERROR(MATCH(71,'كشف الحساب'!$N$4:$N$353,0),0)=0,"",INDEX('كشف الحساب'!$C$4:$C$353,IFERROR(MATCH(71,'كشف الحساب'!$N$4:$N$353,0),0))),"")</f>
        <v/>
      </c>
      <c r="D75" s="66" t="str">
        <f>IFERROR(IF(IFERROR(MATCH(71,'كشف الحساب'!$N$4:$N$353,0),0)=0,"",INDEX('كشف الحساب'!$D$4:$D$353,IFERROR(MATCH(71,'كشف الحساب'!$N$4:$N$353,0),0))),"")</f>
        <v/>
      </c>
      <c r="E75" s="67" t="str">
        <f>IFERROR(IF(IFERROR(MATCH(71,'كشف الحساب'!$N$4:$N$353,0),0)=0,"",INDEX('كشف الحساب'!$E$4:$E$353,IFERROR(MATCH(71,'كشف الحساب'!$N$4:$N$353,0),0))),"")</f>
        <v/>
      </c>
      <c r="F75" s="64" t="str">
        <f>IFERROR(IF(IFERROR(MATCH(71,'كشف الحساب'!$N$4:$N$353,0),0)=0,"",INDEX('كشف الحساب'!$F$4:$F$353,IFERROR(MATCH(71,'كشف الحساب'!$N$4:$N$353,0),0))),"")</f>
        <v/>
      </c>
      <c r="G75" s="64" t="str">
        <f>IFERROR(IF(IFERROR(MATCH(71,'كشف الحساب'!$N$4:$N$353,0),0)=0,"",INDEX('كشف الحساب'!$G$4:$G$353,IFERROR(MATCH(71,'كشف الحساب'!$N$4:$N$353,0),0))),"")</f>
        <v/>
      </c>
      <c r="H75" s="64" t="str">
        <f>IFERROR(IF(IFERROR(MATCH(71,'كشف الحساب'!$N$4:$N$353,0),0)=0,"",INDEX('كشف الحساب'!$H$4:$H$353,IFERROR(MATCH(71,'كشف الحساب'!$N$4:$N$353,0),0))),"")</f>
        <v/>
      </c>
      <c r="I75" s="64" t="str">
        <f>IFERROR(IF(IFERROR(MATCH(71,'كشف الحساب'!$N$4:$N$353,0),0)=0,"",INDEX('كشف الحساب'!$I$4:$I$353,IFERROR(MATCH(71,'كشف الحساب'!$N$4:$N$353,0),0))),"")</f>
        <v/>
      </c>
      <c r="J75" s="68" t="str">
        <f>IFERROR(IF(IFERROR(MATCH(71,'كشف الحساب'!$N$4:$N$353,0),0)=0,"",INDEX('كشف الحساب'!$J$4:$J$353,IFERROR(MATCH(71,'كشف الحساب'!$N$4:$N$353,0),0))),"")</f>
        <v/>
      </c>
      <c r="K75" s="64" t="str">
        <f>IFERROR(IF(IFERROR(MATCH(71,'كشف الحساب'!$N$4:$N$353,0),0)=0,"",INDEX('كشف الحساب'!$K$4:$K$353,IFERROR(MATCH(71,'كشف الحساب'!$N$4:$N$353,0),0))),"")</f>
        <v/>
      </c>
    </row>
    <row r="76" spans="1:11" ht="15" customHeight="1" x14ac:dyDescent="0.25">
      <c r="A76" s="69" t="str">
        <f>IFERROR(IF(IFERROR(MATCH(72,'كشف الحساب'!$N$4:$N$353,0),0)=0,"",INDEX('كشف الحساب'!$A$4:$A$353,IFERROR(MATCH(72,'كشف الحساب'!$N$4:$N$353,0),0))),"")</f>
        <v/>
      </c>
      <c r="B76" s="70" t="str">
        <f>IFERROR(IF(IFERROR(MATCH(72,'كشف الحساب'!$N$4:$N$353,0),0)=0,"",INDEX('كشف الحساب'!$B$4:$B$353,IFERROR(MATCH(72,'كشف الحساب'!$N$4:$N$353,0),0))),"")</f>
        <v/>
      </c>
      <c r="C76" s="71" t="str">
        <f>IFERROR(IF(IFERROR(MATCH(72,'كشف الحساب'!$N$4:$N$353,0),0)=0,"",INDEX('كشف الحساب'!$C$4:$C$353,IFERROR(MATCH(72,'كشف الحساب'!$N$4:$N$353,0),0))),"")</f>
        <v/>
      </c>
      <c r="D76" s="72" t="str">
        <f>IFERROR(IF(IFERROR(MATCH(72,'كشف الحساب'!$N$4:$N$353,0),0)=0,"",INDEX('كشف الحساب'!$D$4:$D$353,IFERROR(MATCH(72,'كشف الحساب'!$N$4:$N$353,0),0))),"")</f>
        <v/>
      </c>
      <c r="E76" s="73" t="str">
        <f>IFERROR(IF(IFERROR(MATCH(72,'كشف الحساب'!$N$4:$N$353,0),0)=0,"",INDEX('كشف الحساب'!$E$4:$E$353,IFERROR(MATCH(72,'كشف الحساب'!$N$4:$N$353,0),0))),"")</f>
        <v/>
      </c>
      <c r="F76" s="70" t="str">
        <f>IFERROR(IF(IFERROR(MATCH(72,'كشف الحساب'!$N$4:$N$353,0),0)=0,"",INDEX('كشف الحساب'!$F$4:$F$353,IFERROR(MATCH(72,'كشف الحساب'!$N$4:$N$353,0),0))),"")</f>
        <v/>
      </c>
      <c r="G76" s="70" t="str">
        <f>IFERROR(IF(IFERROR(MATCH(72,'كشف الحساب'!$N$4:$N$353,0),0)=0,"",INDEX('كشف الحساب'!$G$4:$G$353,IFERROR(MATCH(72,'كشف الحساب'!$N$4:$N$353,0),0))),"")</f>
        <v/>
      </c>
      <c r="H76" s="70" t="str">
        <f>IFERROR(IF(IFERROR(MATCH(72,'كشف الحساب'!$N$4:$N$353,0),0)=0,"",INDEX('كشف الحساب'!$H$4:$H$353,IFERROR(MATCH(72,'كشف الحساب'!$N$4:$N$353,0),0))),"")</f>
        <v/>
      </c>
      <c r="I76" s="70" t="str">
        <f>IFERROR(IF(IFERROR(MATCH(72,'كشف الحساب'!$N$4:$N$353,0),0)=0,"",INDEX('كشف الحساب'!$I$4:$I$353,IFERROR(MATCH(72,'كشف الحساب'!$N$4:$N$353,0),0))),"")</f>
        <v/>
      </c>
      <c r="J76" s="74" t="str">
        <f>IFERROR(IF(IFERROR(MATCH(72,'كشف الحساب'!$N$4:$N$353,0),0)=0,"",INDEX('كشف الحساب'!$J$4:$J$353,IFERROR(MATCH(72,'كشف الحساب'!$N$4:$N$353,0),0))),"")</f>
        <v/>
      </c>
      <c r="K76" s="70" t="str">
        <f>IFERROR(IF(IFERROR(MATCH(72,'كشف الحساب'!$N$4:$N$353,0),0)=0,"",INDEX('كشف الحساب'!$K$4:$K$353,IFERROR(MATCH(72,'كشف الحساب'!$N$4:$N$353,0),0))),"")</f>
        <v/>
      </c>
    </row>
    <row r="77" spans="1:11" ht="15" customHeight="1" x14ac:dyDescent="0.25">
      <c r="A77" s="63" t="str">
        <f>IFERROR(IF(IFERROR(MATCH(73,'كشف الحساب'!$N$4:$N$353,0),0)=0,"",INDEX('كشف الحساب'!$A$4:$A$353,IFERROR(MATCH(73,'كشف الحساب'!$N$4:$N$353,0),0))),"")</f>
        <v/>
      </c>
      <c r="B77" s="64" t="str">
        <f>IFERROR(IF(IFERROR(MATCH(73,'كشف الحساب'!$N$4:$N$353,0),0)=0,"",INDEX('كشف الحساب'!$B$4:$B$353,IFERROR(MATCH(73,'كشف الحساب'!$N$4:$N$353,0),0))),"")</f>
        <v/>
      </c>
      <c r="C77" s="65" t="str">
        <f>IFERROR(IF(IFERROR(MATCH(73,'كشف الحساب'!$N$4:$N$353,0),0)=0,"",INDEX('كشف الحساب'!$C$4:$C$353,IFERROR(MATCH(73,'كشف الحساب'!$N$4:$N$353,0),0))),"")</f>
        <v/>
      </c>
      <c r="D77" s="66" t="str">
        <f>IFERROR(IF(IFERROR(MATCH(73,'كشف الحساب'!$N$4:$N$353,0),0)=0,"",INDEX('كشف الحساب'!$D$4:$D$353,IFERROR(MATCH(73,'كشف الحساب'!$N$4:$N$353,0),0))),"")</f>
        <v/>
      </c>
      <c r="E77" s="67" t="str">
        <f>IFERROR(IF(IFERROR(MATCH(73,'كشف الحساب'!$N$4:$N$353,0),0)=0,"",INDEX('كشف الحساب'!$E$4:$E$353,IFERROR(MATCH(73,'كشف الحساب'!$N$4:$N$353,0),0))),"")</f>
        <v/>
      </c>
      <c r="F77" s="64" t="str">
        <f>IFERROR(IF(IFERROR(MATCH(73,'كشف الحساب'!$N$4:$N$353,0),0)=0,"",INDEX('كشف الحساب'!$F$4:$F$353,IFERROR(MATCH(73,'كشف الحساب'!$N$4:$N$353,0),0))),"")</f>
        <v/>
      </c>
      <c r="G77" s="64" t="str">
        <f>IFERROR(IF(IFERROR(MATCH(73,'كشف الحساب'!$N$4:$N$353,0),0)=0,"",INDEX('كشف الحساب'!$G$4:$G$353,IFERROR(MATCH(73,'كشف الحساب'!$N$4:$N$353,0),0))),"")</f>
        <v/>
      </c>
      <c r="H77" s="64" t="str">
        <f>IFERROR(IF(IFERROR(MATCH(73,'كشف الحساب'!$N$4:$N$353,0),0)=0,"",INDEX('كشف الحساب'!$H$4:$H$353,IFERROR(MATCH(73,'كشف الحساب'!$N$4:$N$353,0),0))),"")</f>
        <v/>
      </c>
      <c r="I77" s="64" t="str">
        <f>IFERROR(IF(IFERROR(MATCH(73,'كشف الحساب'!$N$4:$N$353,0),0)=0,"",INDEX('كشف الحساب'!$I$4:$I$353,IFERROR(MATCH(73,'كشف الحساب'!$N$4:$N$353,0),0))),"")</f>
        <v/>
      </c>
      <c r="J77" s="68" t="str">
        <f>IFERROR(IF(IFERROR(MATCH(73,'كشف الحساب'!$N$4:$N$353,0),0)=0,"",INDEX('كشف الحساب'!$J$4:$J$353,IFERROR(MATCH(73,'كشف الحساب'!$N$4:$N$353,0),0))),"")</f>
        <v/>
      </c>
      <c r="K77" s="64" t="str">
        <f>IFERROR(IF(IFERROR(MATCH(73,'كشف الحساب'!$N$4:$N$353,0),0)=0,"",INDEX('كشف الحساب'!$K$4:$K$353,IFERROR(MATCH(73,'كشف الحساب'!$N$4:$N$353,0),0))),"")</f>
        <v/>
      </c>
    </row>
    <row r="78" spans="1:11" ht="15" customHeight="1" x14ac:dyDescent="0.25">
      <c r="A78" s="69" t="str">
        <f>IFERROR(IF(IFERROR(MATCH(74,'كشف الحساب'!$N$4:$N$353,0),0)=0,"",INDEX('كشف الحساب'!$A$4:$A$353,IFERROR(MATCH(74,'كشف الحساب'!$N$4:$N$353,0),0))),"")</f>
        <v/>
      </c>
      <c r="B78" s="70" t="str">
        <f>IFERROR(IF(IFERROR(MATCH(74,'كشف الحساب'!$N$4:$N$353,0),0)=0,"",INDEX('كشف الحساب'!$B$4:$B$353,IFERROR(MATCH(74,'كشف الحساب'!$N$4:$N$353,0),0))),"")</f>
        <v/>
      </c>
      <c r="C78" s="71" t="str">
        <f>IFERROR(IF(IFERROR(MATCH(74,'كشف الحساب'!$N$4:$N$353,0),0)=0,"",INDEX('كشف الحساب'!$C$4:$C$353,IFERROR(MATCH(74,'كشف الحساب'!$N$4:$N$353,0),0))),"")</f>
        <v/>
      </c>
      <c r="D78" s="72" t="str">
        <f>IFERROR(IF(IFERROR(MATCH(74,'كشف الحساب'!$N$4:$N$353,0),0)=0,"",INDEX('كشف الحساب'!$D$4:$D$353,IFERROR(MATCH(74,'كشف الحساب'!$N$4:$N$353,0),0))),"")</f>
        <v/>
      </c>
      <c r="E78" s="73" t="str">
        <f>IFERROR(IF(IFERROR(MATCH(74,'كشف الحساب'!$N$4:$N$353,0),0)=0,"",INDEX('كشف الحساب'!$E$4:$E$353,IFERROR(MATCH(74,'كشف الحساب'!$N$4:$N$353,0),0))),"")</f>
        <v/>
      </c>
      <c r="F78" s="70" t="str">
        <f>IFERROR(IF(IFERROR(MATCH(74,'كشف الحساب'!$N$4:$N$353,0),0)=0,"",INDEX('كشف الحساب'!$F$4:$F$353,IFERROR(MATCH(74,'كشف الحساب'!$N$4:$N$353,0),0))),"")</f>
        <v/>
      </c>
      <c r="G78" s="70" t="str">
        <f>IFERROR(IF(IFERROR(MATCH(74,'كشف الحساب'!$N$4:$N$353,0),0)=0,"",INDEX('كشف الحساب'!$G$4:$G$353,IFERROR(MATCH(74,'كشف الحساب'!$N$4:$N$353,0),0))),"")</f>
        <v/>
      </c>
      <c r="H78" s="70" t="str">
        <f>IFERROR(IF(IFERROR(MATCH(74,'كشف الحساب'!$N$4:$N$353,0),0)=0,"",INDEX('كشف الحساب'!$H$4:$H$353,IFERROR(MATCH(74,'كشف الحساب'!$N$4:$N$353,0),0))),"")</f>
        <v/>
      </c>
      <c r="I78" s="70" t="str">
        <f>IFERROR(IF(IFERROR(MATCH(74,'كشف الحساب'!$N$4:$N$353,0),0)=0,"",INDEX('كشف الحساب'!$I$4:$I$353,IFERROR(MATCH(74,'كشف الحساب'!$N$4:$N$353,0),0))),"")</f>
        <v/>
      </c>
      <c r="J78" s="74" t="str">
        <f>IFERROR(IF(IFERROR(MATCH(74,'كشف الحساب'!$N$4:$N$353,0),0)=0,"",INDEX('كشف الحساب'!$J$4:$J$353,IFERROR(MATCH(74,'كشف الحساب'!$N$4:$N$353,0),0))),"")</f>
        <v/>
      </c>
      <c r="K78" s="70" t="str">
        <f>IFERROR(IF(IFERROR(MATCH(74,'كشف الحساب'!$N$4:$N$353,0),0)=0,"",INDEX('كشف الحساب'!$K$4:$K$353,IFERROR(MATCH(74,'كشف الحساب'!$N$4:$N$353,0),0))),"")</f>
        <v/>
      </c>
    </row>
    <row r="79" spans="1:11" ht="15" customHeight="1" x14ac:dyDescent="0.25">
      <c r="A79" s="63" t="str">
        <f>IFERROR(IF(IFERROR(MATCH(75,'كشف الحساب'!$N$4:$N$353,0),0)=0,"",INDEX('كشف الحساب'!$A$4:$A$353,IFERROR(MATCH(75,'كشف الحساب'!$N$4:$N$353,0),0))),"")</f>
        <v/>
      </c>
      <c r="B79" s="64" t="str">
        <f>IFERROR(IF(IFERROR(MATCH(75,'كشف الحساب'!$N$4:$N$353,0),0)=0,"",INDEX('كشف الحساب'!$B$4:$B$353,IFERROR(MATCH(75,'كشف الحساب'!$N$4:$N$353,0),0))),"")</f>
        <v/>
      </c>
      <c r="C79" s="65" t="str">
        <f>IFERROR(IF(IFERROR(MATCH(75,'كشف الحساب'!$N$4:$N$353,0),0)=0,"",INDEX('كشف الحساب'!$C$4:$C$353,IFERROR(MATCH(75,'كشف الحساب'!$N$4:$N$353,0),0))),"")</f>
        <v/>
      </c>
      <c r="D79" s="66" t="str">
        <f>IFERROR(IF(IFERROR(MATCH(75,'كشف الحساب'!$N$4:$N$353,0),0)=0,"",INDEX('كشف الحساب'!$D$4:$D$353,IFERROR(MATCH(75,'كشف الحساب'!$N$4:$N$353,0),0))),"")</f>
        <v/>
      </c>
      <c r="E79" s="67" t="str">
        <f>IFERROR(IF(IFERROR(MATCH(75,'كشف الحساب'!$N$4:$N$353,0),0)=0,"",INDEX('كشف الحساب'!$E$4:$E$353,IFERROR(MATCH(75,'كشف الحساب'!$N$4:$N$353,0),0))),"")</f>
        <v/>
      </c>
      <c r="F79" s="64" t="str">
        <f>IFERROR(IF(IFERROR(MATCH(75,'كشف الحساب'!$N$4:$N$353,0),0)=0,"",INDEX('كشف الحساب'!$F$4:$F$353,IFERROR(MATCH(75,'كشف الحساب'!$N$4:$N$353,0),0))),"")</f>
        <v/>
      </c>
      <c r="G79" s="64" t="str">
        <f>IFERROR(IF(IFERROR(MATCH(75,'كشف الحساب'!$N$4:$N$353,0),0)=0,"",INDEX('كشف الحساب'!$G$4:$G$353,IFERROR(MATCH(75,'كشف الحساب'!$N$4:$N$353,0),0))),"")</f>
        <v/>
      </c>
      <c r="H79" s="64" t="str">
        <f>IFERROR(IF(IFERROR(MATCH(75,'كشف الحساب'!$N$4:$N$353,0),0)=0,"",INDEX('كشف الحساب'!$H$4:$H$353,IFERROR(MATCH(75,'كشف الحساب'!$N$4:$N$353,0),0))),"")</f>
        <v/>
      </c>
      <c r="I79" s="64" t="str">
        <f>IFERROR(IF(IFERROR(MATCH(75,'كشف الحساب'!$N$4:$N$353,0),0)=0,"",INDEX('كشف الحساب'!$I$4:$I$353,IFERROR(MATCH(75,'كشف الحساب'!$N$4:$N$353,0),0))),"")</f>
        <v/>
      </c>
      <c r="J79" s="68" t="str">
        <f>IFERROR(IF(IFERROR(MATCH(75,'كشف الحساب'!$N$4:$N$353,0),0)=0,"",INDEX('كشف الحساب'!$J$4:$J$353,IFERROR(MATCH(75,'كشف الحساب'!$N$4:$N$353,0),0))),"")</f>
        <v/>
      </c>
      <c r="K79" s="64" t="str">
        <f>IFERROR(IF(IFERROR(MATCH(75,'كشف الحساب'!$N$4:$N$353,0),0)=0,"",INDEX('كشف الحساب'!$K$4:$K$353,IFERROR(MATCH(75,'كشف الحساب'!$N$4:$N$353,0),0))),"")</f>
        <v/>
      </c>
    </row>
    <row r="80" spans="1:11" ht="15" customHeight="1" x14ac:dyDescent="0.25">
      <c r="A80" s="69" t="str">
        <f>IFERROR(IF(IFERROR(MATCH(76,'كشف الحساب'!$N$4:$N$353,0),0)=0,"",INDEX('كشف الحساب'!$A$4:$A$353,IFERROR(MATCH(76,'كشف الحساب'!$N$4:$N$353,0),0))),"")</f>
        <v/>
      </c>
      <c r="B80" s="70" t="str">
        <f>IFERROR(IF(IFERROR(MATCH(76,'كشف الحساب'!$N$4:$N$353,0),0)=0,"",INDEX('كشف الحساب'!$B$4:$B$353,IFERROR(MATCH(76,'كشف الحساب'!$N$4:$N$353,0),0))),"")</f>
        <v/>
      </c>
      <c r="C80" s="71" t="str">
        <f>IFERROR(IF(IFERROR(MATCH(76,'كشف الحساب'!$N$4:$N$353,0),0)=0,"",INDEX('كشف الحساب'!$C$4:$C$353,IFERROR(MATCH(76,'كشف الحساب'!$N$4:$N$353,0),0))),"")</f>
        <v/>
      </c>
      <c r="D80" s="72" t="str">
        <f>IFERROR(IF(IFERROR(MATCH(76,'كشف الحساب'!$N$4:$N$353,0),0)=0,"",INDEX('كشف الحساب'!$D$4:$D$353,IFERROR(MATCH(76,'كشف الحساب'!$N$4:$N$353,0),0))),"")</f>
        <v/>
      </c>
      <c r="E80" s="73" t="str">
        <f>IFERROR(IF(IFERROR(MATCH(76,'كشف الحساب'!$N$4:$N$353,0),0)=0,"",INDEX('كشف الحساب'!$E$4:$E$353,IFERROR(MATCH(76,'كشف الحساب'!$N$4:$N$353,0),0))),"")</f>
        <v/>
      </c>
      <c r="F80" s="70" t="str">
        <f>IFERROR(IF(IFERROR(MATCH(76,'كشف الحساب'!$N$4:$N$353,0),0)=0,"",INDEX('كشف الحساب'!$F$4:$F$353,IFERROR(MATCH(76,'كشف الحساب'!$N$4:$N$353,0),0))),"")</f>
        <v/>
      </c>
      <c r="G80" s="70" t="str">
        <f>IFERROR(IF(IFERROR(MATCH(76,'كشف الحساب'!$N$4:$N$353,0),0)=0,"",INDEX('كشف الحساب'!$G$4:$G$353,IFERROR(MATCH(76,'كشف الحساب'!$N$4:$N$353,0),0))),"")</f>
        <v/>
      </c>
      <c r="H80" s="70" t="str">
        <f>IFERROR(IF(IFERROR(MATCH(76,'كشف الحساب'!$N$4:$N$353,0),0)=0,"",INDEX('كشف الحساب'!$H$4:$H$353,IFERROR(MATCH(76,'كشف الحساب'!$N$4:$N$353,0),0))),"")</f>
        <v/>
      </c>
      <c r="I80" s="70" t="str">
        <f>IFERROR(IF(IFERROR(MATCH(76,'كشف الحساب'!$N$4:$N$353,0),0)=0,"",INDEX('كشف الحساب'!$I$4:$I$353,IFERROR(MATCH(76,'كشف الحساب'!$N$4:$N$353,0),0))),"")</f>
        <v/>
      </c>
      <c r="J80" s="74" t="str">
        <f>IFERROR(IF(IFERROR(MATCH(76,'كشف الحساب'!$N$4:$N$353,0),0)=0,"",INDEX('كشف الحساب'!$J$4:$J$353,IFERROR(MATCH(76,'كشف الحساب'!$N$4:$N$353,0),0))),"")</f>
        <v/>
      </c>
      <c r="K80" s="70" t="str">
        <f>IFERROR(IF(IFERROR(MATCH(76,'كشف الحساب'!$N$4:$N$353,0),0)=0,"",INDEX('كشف الحساب'!$K$4:$K$353,IFERROR(MATCH(76,'كشف الحساب'!$N$4:$N$353,0),0))),"")</f>
        <v/>
      </c>
    </row>
    <row r="81" spans="1:11" ht="15" customHeight="1" x14ac:dyDescent="0.25">
      <c r="A81" s="63" t="str">
        <f>IFERROR(IF(IFERROR(MATCH(77,'كشف الحساب'!$N$4:$N$353,0),0)=0,"",INDEX('كشف الحساب'!$A$4:$A$353,IFERROR(MATCH(77,'كشف الحساب'!$N$4:$N$353,0),0))),"")</f>
        <v/>
      </c>
      <c r="B81" s="64" t="str">
        <f>IFERROR(IF(IFERROR(MATCH(77,'كشف الحساب'!$N$4:$N$353,0),0)=0,"",INDEX('كشف الحساب'!$B$4:$B$353,IFERROR(MATCH(77,'كشف الحساب'!$N$4:$N$353,0),0))),"")</f>
        <v/>
      </c>
      <c r="C81" s="65" t="str">
        <f>IFERROR(IF(IFERROR(MATCH(77,'كشف الحساب'!$N$4:$N$353,0),0)=0,"",INDEX('كشف الحساب'!$C$4:$C$353,IFERROR(MATCH(77,'كشف الحساب'!$N$4:$N$353,0),0))),"")</f>
        <v/>
      </c>
      <c r="D81" s="66" t="str">
        <f>IFERROR(IF(IFERROR(MATCH(77,'كشف الحساب'!$N$4:$N$353,0),0)=0,"",INDEX('كشف الحساب'!$D$4:$D$353,IFERROR(MATCH(77,'كشف الحساب'!$N$4:$N$353,0),0))),"")</f>
        <v/>
      </c>
      <c r="E81" s="67" t="str">
        <f>IFERROR(IF(IFERROR(MATCH(77,'كشف الحساب'!$N$4:$N$353,0),0)=0,"",INDEX('كشف الحساب'!$E$4:$E$353,IFERROR(MATCH(77,'كشف الحساب'!$N$4:$N$353,0),0))),"")</f>
        <v/>
      </c>
      <c r="F81" s="64" t="str">
        <f>IFERROR(IF(IFERROR(MATCH(77,'كشف الحساب'!$N$4:$N$353,0),0)=0,"",INDEX('كشف الحساب'!$F$4:$F$353,IFERROR(MATCH(77,'كشف الحساب'!$N$4:$N$353,0),0))),"")</f>
        <v/>
      </c>
      <c r="G81" s="64" t="str">
        <f>IFERROR(IF(IFERROR(MATCH(77,'كشف الحساب'!$N$4:$N$353,0),0)=0,"",INDEX('كشف الحساب'!$G$4:$G$353,IFERROR(MATCH(77,'كشف الحساب'!$N$4:$N$353,0),0))),"")</f>
        <v/>
      </c>
      <c r="H81" s="64" t="str">
        <f>IFERROR(IF(IFERROR(MATCH(77,'كشف الحساب'!$N$4:$N$353,0),0)=0,"",INDEX('كشف الحساب'!$H$4:$H$353,IFERROR(MATCH(77,'كشف الحساب'!$N$4:$N$353,0),0))),"")</f>
        <v/>
      </c>
      <c r="I81" s="64" t="str">
        <f>IFERROR(IF(IFERROR(MATCH(77,'كشف الحساب'!$N$4:$N$353,0),0)=0,"",INDEX('كشف الحساب'!$I$4:$I$353,IFERROR(MATCH(77,'كشف الحساب'!$N$4:$N$353,0),0))),"")</f>
        <v/>
      </c>
      <c r="J81" s="68" t="str">
        <f>IFERROR(IF(IFERROR(MATCH(77,'كشف الحساب'!$N$4:$N$353,0),0)=0,"",INDEX('كشف الحساب'!$J$4:$J$353,IFERROR(MATCH(77,'كشف الحساب'!$N$4:$N$353,0),0))),"")</f>
        <v/>
      </c>
      <c r="K81" s="64" t="str">
        <f>IFERROR(IF(IFERROR(MATCH(77,'كشف الحساب'!$N$4:$N$353,0),0)=0,"",INDEX('كشف الحساب'!$K$4:$K$353,IFERROR(MATCH(77,'كشف الحساب'!$N$4:$N$353,0),0))),"")</f>
        <v/>
      </c>
    </row>
    <row r="82" spans="1:11" ht="15" customHeight="1" x14ac:dyDescent="0.25">
      <c r="A82" s="69" t="str">
        <f>IFERROR(IF(IFERROR(MATCH(78,'كشف الحساب'!$N$4:$N$353,0),0)=0,"",INDEX('كشف الحساب'!$A$4:$A$353,IFERROR(MATCH(78,'كشف الحساب'!$N$4:$N$353,0),0))),"")</f>
        <v/>
      </c>
      <c r="B82" s="70" t="str">
        <f>IFERROR(IF(IFERROR(MATCH(78,'كشف الحساب'!$N$4:$N$353,0),0)=0,"",INDEX('كشف الحساب'!$B$4:$B$353,IFERROR(MATCH(78,'كشف الحساب'!$N$4:$N$353,0),0))),"")</f>
        <v/>
      </c>
      <c r="C82" s="71" t="str">
        <f>IFERROR(IF(IFERROR(MATCH(78,'كشف الحساب'!$N$4:$N$353,0),0)=0,"",INDEX('كشف الحساب'!$C$4:$C$353,IFERROR(MATCH(78,'كشف الحساب'!$N$4:$N$353,0),0))),"")</f>
        <v/>
      </c>
      <c r="D82" s="72" t="str">
        <f>IFERROR(IF(IFERROR(MATCH(78,'كشف الحساب'!$N$4:$N$353,0),0)=0,"",INDEX('كشف الحساب'!$D$4:$D$353,IFERROR(MATCH(78,'كشف الحساب'!$N$4:$N$353,0),0))),"")</f>
        <v/>
      </c>
      <c r="E82" s="73" t="str">
        <f>IFERROR(IF(IFERROR(MATCH(78,'كشف الحساب'!$N$4:$N$353,0),0)=0,"",INDEX('كشف الحساب'!$E$4:$E$353,IFERROR(MATCH(78,'كشف الحساب'!$N$4:$N$353,0),0))),"")</f>
        <v/>
      </c>
      <c r="F82" s="70" t="str">
        <f>IFERROR(IF(IFERROR(MATCH(78,'كشف الحساب'!$N$4:$N$353,0),0)=0,"",INDEX('كشف الحساب'!$F$4:$F$353,IFERROR(MATCH(78,'كشف الحساب'!$N$4:$N$353,0),0))),"")</f>
        <v/>
      </c>
      <c r="G82" s="70" t="str">
        <f>IFERROR(IF(IFERROR(MATCH(78,'كشف الحساب'!$N$4:$N$353,0),0)=0,"",INDEX('كشف الحساب'!$G$4:$G$353,IFERROR(MATCH(78,'كشف الحساب'!$N$4:$N$353,0),0))),"")</f>
        <v/>
      </c>
      <c r="H82" s="70" t="str">
        <f>IFERROR(IF(IFERROR(MATCH(78,'كشف الحساب'!$N$4:$N$353,0),0)=0,"",INDEX('كشف الحساب'!$H$4:$H$353,IFERROR(MATCH(78,'كشف الحساب'!$N$4:$N$353,0),0))),"")</f>
        <v/>
      </c>
      <c r="I82" s="70" t="str">
        <f>IFERROR(IF(IFERROR(MATCH(78,'كشف الحساب'!$N$4:$N$353,0),0)=0,"",INDEX('كشف الحساب'!$I$4:$I$353,IFERROR(MATCH(78,'كشف الحساب'!$N$4:$N$353,0),0))),"")</f>
        <v/>
      </c>
      <c r="J82" s="74" t="str">
        <f>IFERROR(IF(IFERROR(MATCH(78,'كشف الحساب'!$N$4:$N$353,0),0)=0,"",INDEX('كشف الحساب'!$J$4:$J$353,IFERROR(MATCH(78,'كشف الحساب'!$N$4:$N$353,0),0))),"")</f>
        <v/>
      </c>
      <c r="K82" s="70" t="str">
        <f>IFERROR(IF(IFERROR(MATCH(78,'كشف الحساب'!$N$4:$N$353,0),0)=0,"",INDEX('كشف الحساب'!$K$4:$K$353,IFERROR(MATCH(78,'كشف الحساب'!$N$4:$N$353,0),0))),"")</f>
        <v/>
      </c>
    </row>
    <row r="83" spans="1:11" ht="15" customHeight="1" x14ac:dyDescent="0.25">
      <c r="A83" s="63" t="str">
        <f>IFERROR(IF(IFERROR(MATCH(79,'كشف الحساب'!$N$4:$N$353,0),0)=0,"",INDEX('كشف الحساب'!$A$4:$A$353,IFERROR(MATCH(79,'كشف الحساب'!$N$4:$N$353,0),0))),"")</f>
        <v/>
      </c>
      <c r="B83" s="64" t="str">
        <f>IFERROR(IF(IFERROR(MATCH(79,'كشف الحساب'!$N$4:$N$353,0),0)=0,"",INDEX('كشف الحساب'!$B$4:$B$353,IFERROR(MATCH(79,'كشف الحساب'!$N$4:$N$353,0),0))),"")</f>
        <v/>
      </c>
      <c r="C83" s="65" t="str">
        <f>IFERROR(IF(IFERROR(MATCH(79,'كشف الحساب'!$N$4:$N$353,0),0)=0,"",INDEX('كشف الحساب'!$C$4:$C$353,IFERROR(MATCH(79,'كشف الحساب'!$N$4:$N$353,0),0))),"")</f>
        <v/>
      </c>
      <c r="D83" s="66" t="str">
        <f>IFERROR(IF(IFERROR(MATCH(79,'كشف الحساب'!$N$4:$N$353,0),0)=0,"",INDEX('كشف الحساب'!$D$4:$D$353,IFERROR(MATCH(79,'كشف الحساب'!$N$4:$N$353,0),0))),"")</f>
        <v/>
      </c>
      <c r="E83" s="67" t="str">
        <f>IFERROR(IF(IFERROR(MATCH(79,'كشف الحساب'!$N$4:$N$353,0),0)=0,"",INDEX('كشف الحساب'!$E$4:$E$353,IFERROR(MATCH(79,'كشف الحساب'!$N$4:$N$353,0),0))),"")</f>
        <v/>
      </c>
      <c r="F83" s="64" t="str">
        <f>IFERROR(IF(IFERROR(MATCH(79,'كشف الحساب'!$N$4:$N$353,0),0)=0,"",INDEX('كشف الحساب'!$F$4:$F$353,IFERROR(MATCH(79,'كشف الحساب'!$N$4:$N$353,0),0))),"")</f>
        <v/>
      </c>
      <c r="G83" s="64" t="str">
        <f>IFERROR(IF(IFERROR(MATCH(79,'كشف الحساب'!$N$4:$N$353,0),0)=0,"",INDEX('كشف الحساب'!$G$4:$G$353,IFERROR(MATCH(79,'كشف الحساب'!$N$4:$N$353,0),0))),"")</f>
        <v/>
      </c>
      <c r="H83" s="64" t="str">
        <f>IFERROR(IF(IFERROR(MATCH(79,'كشف الحساب'!$N$4:$N$353,0),0)=0,"",INDEX('كشف الحساب'!$H$4:$H$353,IFERROR(MATCH(79,'كشف الحساب'!$N$4:$N$353,0),0))),"")</f>
        <v/>
      </c>
      <c r="I83" s="64" t="str">
        <f>IFERROR(IF(IFERROR(MATCH(79,'كشف الحساب'!$N$4:$N$353,0),0)=0,"",INDEX('كشف الحساب'!$I$4:$I$353,IFERROR(MATCH(79,'كشف الحساب'!$N$4:$N$353,0),0))),"")</f>
        <v/>
      </c>
      <c r="J83" s="68" t="str">
        <f>IFERROR(IF(IFERROR(MATCH(79,'كشف الحساب'!$N$4:$N$353,0),0)=0,"",INDEX('كشف الحساب'!$J$4:$J$353,IFERROR(MATCH(79,'كشف الحساب'!$N$4:$N$353,0),0))),"")</f>
        <v/>
      </c>
      <c r="K83" s="64" t="str">
        <f>IFERROR(IF(IFERROR(MATCH(79,'كشف الحساب'!$N$4:$N$353,0),0)=0,"",INDEX('كشف الحساب'!$K$4:$K$353,IFERROR(MATCH(79,'كشف الحساب'!$N$4:$N$353,0),0))),"")</f>
        <v/>
      </c>
    </row>
    <row r="84" spans="1:11" ht="15" customHeight="1" x14ac:dyDescent="0.25">
      <c r="A84" s="69" t="str">
        <f>IFERROR(IF(IFERROR(MATCH(80,'كشف الحساب'!$N$4:$N$353,0),0)=0,"",INDEX('كشف الحساب'!$A$4:$A$353,IFERROR(MATCH(80,'كشف الحساب'!$N$4:$N$353,0),0))),"")</f>
        <v/>
      </c>
      <c r="B84" s="70" t="str">
        <f>IFERROR(IF(IFERROR(MATCH(80,'كشف الحساب'!$N$4:$N$353,0),0)=0,"",INDEX('كشف الحساب'!$B$4:$B$353,IFERROR(MATCH(80,'كشف الحساب'!$N$4:$N$353,0),0))),"")</f>
        <v/>
      </c>
      <c r="C84" s="71" t="str">
        <f>IFERROR(IF(IFERROR(MATCH(80,'كشف الحساب'!$N$4:$N$353,0),0)=0,"",INDEX('كشف الحساب'!$C$4:$C$353,IFERROR(MATCH(80,'كشف الحساب'!$N$4:$N$353,0),0))),"")</f>
        <v/>
      </c>
      <c r="D84" s="72" t="str">
        <f>IFERROR(IF(IFERROR(MATCH(80,'كشف الحساب'!$N$4:$N$353,0),0)=0,"",INDEX('كشف الحساب'!$D$4:$D$353,IFERROR(MATCH(80,'كشف الحساب'!$N$4:$N$353,0),0))),"")</f>
        <v/>
      </c>
      <c r="E84" s="73" t="str">
        <f>IFERROR(IF(IFERROR(MATCH(80,'كشف الحساب'!$N$4:$N$353,0),0)=0,"",INDEX('كشف الحساب'!$E$4:$E$353,IFERROR(MATCH(80,'كشف الحساب'!$N$4:$N$353,0),0))),"")</f>
        <v/>
      </c>
      <c r="F84" s="70" t="str">
        <f>IFERROR(IF(IFERROR(MATCH(80,'كشف الحساب'!$N$4:$N$353,0),0)=0,"",INDEX('كشف الحساب'!$F$4:$F$353,IFERROR(MATCH(80,'كشف الحساب'!$N$4:$N$353,0),0))),"")</f>
        <v/>
      </c>
      <c r="G84" s="70" t="str">
        <f>IFERROR(IF(IFERROR(MATCH(80,'كشف الحساب'!$N$4:$N$353,0),0)=0,"",INDEX('كشف الحساب'!$G$4:$G$353,IFERROR(MATCH(80,'كشف الحساب'!$N$4:$N$353,0),0))),"")</f>
        <v/>
      </c>
      <c r="H84" s="70" t="str">
        <f>IFERROR(IF(IFERROR(MATCH(80,'كشف الحساب'!$N$4:$N$353,0),0)=0,"",INDEX('كشف الحساب'!$H$4:$H$353,IFERROR(MATCH(80,'كشف الحساب'!$N$4:$N$353,0),0))),"")</f>
        <v/>
      </c>
      <c r="I84" s="70" t="str">
        <f>IFERROR(IF(IFERROR(MATCH(80,'كشف الحساب'!$N$4:$N$353,0),0)=0,"",INDEX('كشف الحساب'!$I$4:$I$353,IFERROR(MATCH(80,'كشف الحساب'!$N$4:$N$353,0),0))),"")</f>
        <v/>
      </c>
      <c r="J84" s="74" t="str">
        <f>IFERROR(IF(IFERROR(MATCH(80,'كشف الحساب'!$N$4:$N$353,0),0)=0,"",INDEX('كشف الحساب'!$J$4:$J$353,IFERROR(MATCH(80,'كشف الحساب'!$N$4:$N$353,0),0))),"")</f>
        <v/>
      </c>
      <c r="K84" s="70" t="str">
        <f>IFERROR(IF(IFERROR(MATCH(80,'كشف الحساب'!$N$4:$N$353,0),0)=0,"",INDEX('كشف الحساب'!$K$4:$K$353,IFERROR(MATCH(80,'كشف الحساب'!$N$4:$N$353,0),0))),"")</f>
        <v/>
      </c>
    </row>
    <row r="85" spans="1:11" ht="15" customHeight="1" x14ac:dyDescent="0.25">
      <c r="A85" s="63" t="str">
        <f>IFERROR(IF(IFERROR(MATCH(81,'كشف الحساب'!$N$4:$N$353,0),0)=0,"",INDEX('كشف الحساب'!$A$4:$A$353,IFERROR(MATCH(81,'كشف الحساب'!$N$4:$N$353,0),0))),"")</f>
        <v/>
      </c>
      <c r="B85" s="64" t="str">
        <f>IFERROR(IF(IFERROR(MATCH(81,'كشف الحساب'!$N$4:$N$353,0),0)=0,"",INDEX('كشف الحساب'!$B$4:$B$353,IFERROR(MATCH(81,'كشف الحساب'!$N$4:$N$353,0),0))),"")</f>
        <v/>
      </c>
      <c r="C85" s="65" t="str">
        <f>IFERROR(IF(IFERROR(MATCH(81,'كشف الحساب'!$N$4:$N$353,0),0)=0,"",INDEX('كشف الحساب'!$C$4:$C$353,IFERROR(MATCH(81,'كشف الحساب'!$N$4:$N$353,0),0))),"")</f>
        <v/>
      </c>
      <c r="D85" s="66" t="str">
        <f>IFERROR(IF(IFERROR(MATCH(81,'كشف الحساب'!$N$4:$N$353,0),0)=0,"",INDEX('كشف الحساب'!$D$4:$D$353,IFERROR(MATCH(81,'كشف الحساب'!$N$4:$N$353,0),0))),"")</f>
        <v/>
      </c>
      <c r="E85" s="67" t="str">
        <f>IFERROR(IF(IFERROR(MATCH(81,'كشف الحساب'!$N$4:$N$353,0),0)=0,"",INDEX('كشف الحساب'!$E$4:$E$353,IFERROR(MATCH(81,'كشف الحساب'!$N$4:$N$353,0),0))),"")</f>
        <v/>
      </c>
      <c r="F85" s="64" t="str">
        <f>IFERROR(IF(IFERROR(MATCH(81,'كشف الحساب'!$N$4:$N$353,0),0)=0,"",INDEX('كشف الحساب'!$F$4:$F$353,IFERROR(MATCH(81,'كشف الحساب'!$N$4:$N$353,0),0))),"")</f>
        <v/>
      </c>
      <c r="G85" s="64" t="str">
        <f>IFERROR(IF(IFERROR(MATCH(81,'كشف الحساب'!$N$4:$N$353,0),0)=0,"",INDEX('كشف الحساب'!$G$4:$G$353,IFERROR(MATCH(81,'كشف الحساب'!$N$4:$N$353,0),0))),"")</f>
        <v/>
      </c>
      <c r="H85" s="64" t="str">
        <f>IFERROR(IF(IFERROR(MATCH(81,'كشف الحساب'!$N$4:$N$353,0),0)=0,"",INDEX('كشف الحساب'!$H$4:$H$353,IFERROR(MATCH(81,'كشف الحساب'!$N$4:$N$353,0),0))),"")</f>
        <v/>
      </c>
      <c r="I85" s="64" t="str">
        <f>IFERROR(IF(IFERROR(MATCH(81,'كشف الحساب'!$N$4:$N$353,0),0)=0,"",INDEX('كشف الحساب'!$I$4:$I$353,IFERROR(MATCH(81,'كشف الحساب'!$N$4:$N$353,0),0))),"")</f>
        <v/>
      </c>
      <c r="J85" s="68" t="str">
        <f>IFERROR(IF(IFERROR(MATCH(81,'كشف الحساب'!$N$4:$N$353,0),0)=0,"",INDEX('كشف الحساب'!$J$4:$J$353,IFERROR(MATCH(81,'كشف الحساب'!$N$4:$N$353,0),0))),"")</f>
        <v/>
      </c>
      <c r="K85" s="64" t="str">
        <f>IFERROR(IF(IFERROR(MATCH(81,'كشف الحساب'!$N$4:$N$353,0),0)=0,"",INDEX('كشف الحساب'!$K$4:$K$353,IFERROR(MATCH(81,'كشف الحساب'!$N$4:$N$353,0),0))),"")</f>
        <v/>
      </c>
    </row>
    <row r="86" spans="1:11" ht="15" customHeight="1" x14ac:dyDescent="0.25">
      <c r="A86" s="69" t="str">
        <f>IFERROR(IF(IFERROR(MATCH(82,'كشف الحساب'!$N$4:$N$353,0),0)=0,"",INDEX('كشف الحساب'!$A$4:$A$353,IFERROR(MATCH(82,'كشف الحساب'!$N$4:$N$353,0),0))),"")</f>
        <v/>
      </c>
      <c r="B86" s="70" t="str">
        <f>IFERROR(IF(IFERROR(MATCH(82,'كشف الحساب'!$N$4:$N$353,0),0)=0,"",INDEX('كشف الحساب'!$B$4:$B$353,IFERROR(MATCH(82,'كشف الحساب'!$N$4:$N$353,0),0))),"")</f>
        <v/>
      </c>
      <c r="C86" s="71" t="str">
        <f>IFERROR(IF(IFERROR(MATCH(82,'كشف الحساب'!$N$4:$N$353,0),0)=0,"",INDEX('كشف الحساب'!$C$4:$C$353,IFERROR(MATCH(82,'كشف الحساب'!$N$4:$N$353,0),0))),"")</f>
        <v/>
      </c>
      <c r="D86" s="72" t="str">
        <f>IFERROR(IF(IFERROR(MATCH(82,'كشف الحساب'!$N$4:$N$353,0),0)=0,"",INDEX('كشف الحساب'!$D$4:$D$353,IFERROR(MATCH(82,'كشف الحساب'!$N$4:$N$353,0),0))),"")</f>
        <v/>
      </c>
      <c r="E86" s="73" t="str">
        <f>IFERROR(IF(IFERROR(MATCH(82,'كشف الحساب'!$N$4:$N$353,0),0)=0,"",INDEX('كشف الحساب'!$E$4:$E$353,IFERROR(MATCH(82,'كشف الحساب'!$N$4:$N$353,0),0))),"")</f>
        <v/>
      </c>
      <c r="F86" s="70" t="str">
        <f>IFERROR(IF(IFERROR(MATCH(82,'كشف الحساب'!$N$4:$N$353,0),0)=0,"",INDEX('كشف الحساب'!$F$4:$F$353,IFERROR(MATCH(82,'كشف الحساب'!$N$4:$N$353,0),0))),"")</f>
        <v/>
      </c>
      <c r="G86" s="70" t="str">
        <f>IFERROR(IF(IFERROR(MATCH(82,'كشف الحساب'!$N$4:$N$353,0),0)=0,"",INDEX('كشف الحساب'!$G$4:$G$353,IFERROR(MATCH(82,'كشف الحساب'!$N$4:$N$353,0),0))),"")</f>
        <v/>
      </c>
      <c r="H86" s="70" t="str">
        <f>IFERROR(IF(IFERROR(MATCH(82,'كشف الحساب'!$N$4:$N$353,0),0)=0,"",INDEX('كشف الحساب'!$H$4:$H$353,IFERROR(MATCH(82,'كشف الحساب'!$N$4:$N$353,0),0))),"")</f>
        <v/>
      </c>
      <c r="I86" s="70" t="str">
        <f>IFERROR(IF(IFERROR(MATCH(82,'كشف الحساب'!$N$4:$N$353,0),0)=0,"",INDEX('كشف الحساب'!$I$4:$I$353,IFERROR(MATCH(82,'كشف الحساب'!$N$4:$N$353,0),0))),"")</f>
        <v/>
      </c>
      <c r="J86" s="74" t="str">
        <f>IFERROR(IF(IFERROR(MATCH(82,'كشف الحساب'!$N$4:$N$353,0),0)=0,"",INDEX('كشف الحساب'!$J$4:$J$353,IFERROR(MATCH(82,'كشف الحساب'!$N$4:$N$353,0),0))),"")</f>
        <v/>
      </c>
      <c r="K86" s="70" t="str">
        <f>IFERROR(IF(IFERROR(MATCH(82,'كشف الحساب'!$N$4:$N$353,0),0)=0,"",INDEX('كشف الحساب'!$K$4:$K$353,IFERROR(MATCH(82,'كشف الحساب'!$N$4:$N$353,0),0))),"")</f>
        <v/>
      </c>
    </row>
    <row r="87" spans="1:11" ht="15" customHeight="1" x14ac:dyDescent="0.25">
      <c r="A87" s="63" t="str">
        <f>IFERROR(IF(IFERROR(MATCH(83,'كشف الحساب'!$N$4:$N$353,0),0)=0,"",INDEX('كشف الحساب'!$A$4:$A$353,IFERROR(MATCH(83,'كشف الحساب'!$N$4:$N$353,0),0))),"")</f>
        <v/>
      </c>
      <c r="B87" s="64" t="str">
        <f>IFERROR(IF(IFERROR(MATCH(83,'كشف الحساب'!$N$4:$N$353,0),0)=0,"",INDEX('كشف الحساب'!$B$4:$B$353,IFERROR(MATCH(83,'كشف الحساب'!$N$4:$N$353,0),0))),"")</f>
        <v/>
      </c>
      <c r="C87" s="65" t="str">
        <f>IFERROR(IF(IFERROR(MATCH(83,'كشف الحساب'!$N$4:$N$353,0),0)=0,"",INDEX('كشف الحساب'!$C$4:$C$353,IFERROR(MATCH(83,'كشف الحساب'!$N$4:$N$353,0),0))),"")</f>
        <v/>
      </c>
      <c r="D87" s="66" t="str">
        <f>IFERROR(IF(IFERROR(MATCH(83,'كشف الحساب'!$N$4:$N$353,0),0)=0,"",INDEX('كشف الحساب'!$D$4:$D$353,IFERROR(MATCH(83,'كشف الحساب'!$N$4:$N$353,0),0))),"")</f>
        <v/>
      </c>
      <c r="E87" s="67" t="str">
        <f>IFERROR(IF(IFERROR(MATCH(83,'كشف الحساب'!$N$4:$N$353,0),0)=0,"",INDEX('كشف الحساب'!$E$4:$E$353,IFERROR(MATCH(83,'كشف الحساب'!$N$4:$N$353,0),0))),"")</f>
        <v/>
      </c>
      <c r="F87" s="64" t="str">
        <f>IFERROR(IF(IFERROR(MATCH(83,'كشف الحساب'!$N$4:$N$353,0),0)=0,"",INDEX('كشف الحساب'!$F$4:$F$353,IFERROR(MATCH(83,'كشف الحساب'!$N$4:$N$353,0),0))),"")</f>
        <v/>
      </c>
      <c r="G87" s="64" t="str">
        <f>IFERROR(IF(IFERROR(MATCH(83,'كشف الحساب'!$N$4:$N$353,0),0)=0,"",INDEX('كشف الحساب'!$G$4:$G$353,IFERROR(MATCH(83,'كشف الحساب'!$N$4:$N$353,0),0))),"")</f>
        <v/>
      </c>
      <c r="H87" s="64" t="str">
        <f>IFERROR(IF(IFERROR(MATCH(83,'كشف الحساب'!$N$4:$N$353,0),0)=0,"",INDEX('كشف الحساب'!$H$4:$H$353,IFERROR(MATCH(83,'كشف الحساب'!$N$4:$N$353,0),0))),"")</f>
        <v/>
      </c>
      <c r="I87" s="64" t="str">
        <f>IFERROR(IF(IFERROR(MATCH(83,'كشف الحساب'!$N$4:$N$353,0),0)=0,"",INDEX('كشف الحساب'!$I$4:$I$353,IFERROR(MATCH(83,'كشف الحساب'!$N$4:$N$353,0),0))),"")</f>
        <v/>
      </c>
      <c r="J87" s="68" t="str">
        <f>IFERROR(IF(IFERROR(MATCH(83,'كشف الحساب'!$N$4:$N$353,0),0)=0,"",INDEX('كشف الحساب'!$J$4:$J$353,IFERROR(MATCH(83,'كشف الحساب'!$N$4:$N$353,0),0))),"")</f>
        <v/>
      </c>
      <c r="K87" s="64" t="str">
        <f>IFERROR(IF(IFERROR(MATCH(83,'كشف الحساب'!$N$4:$N$353,0),0)=0,"",INDEX('كشف الحساب'!$K$4:$K$353,IFERROR(MATCH(83,'كشف الحساب'!$N$4:$N$353,0),0))),"")</f>
        <v/>
      </c>
    </row>
    <row r="88" spans="1:11" ht="15" customHeight="1" x14ac:dyDescent="0.25">
      <c r="A88" s="69" t="str">
        <f>IFERROR(IF(IFERROR(MATCH(84,'كشف الحساب'!$N$4:$N$353,0),0)=0,"",INDEX('كشف الحساب'!$A$4:$A$353,IFERROR(MATCH(84,'كشف الحساب'!$N$4:$N$353,0),0))),"")</f>
        <v/>
      </c>
      <c r="B88" s="70" t="str">
        <f>IFERROR(IF(IFERROR(MATCH(84,'كشف الحساب'!$N$4:$N$353,0),0)=0,"",INDEX('كشف الحساب'!$B$4:$B$353,IFERROR(MATCH(84,'كشف الحساب'!$N$4:$N$353,0),0))),"")</f>
        <v/>
      </c>
      <c r="C88" s="71" t="str">
        <f>IFERROR(IF(IFERROR(MATCH(84,'كشف الحساب'!$N$4:$N$353,0),0)=0,"",INDEX('كشف الحساب'!$C$4:$C$353,IFERROR(MATCH(84,'كشف الحساب'!$N$4:$N$353,0),0))),"")</f>
        <v/>
      </c>
      <c r="D88" s="72" t="str">
        <f>IFERROR(IF(IFERROR(MATCH(84,'كشف الحساب'!$N$4:$N$353,0),0)=0,"",INDEX('كشف الحساب'!$D$4:$D$353,IFERROR(MATCH(84,'كشف الحساب'!$N$4:$N$353,0),0))),"")</f>
        <v/>
      </c>
      <c r="E88" s="73" t="str">
        <f>IFERROR(IF(IFERROR(MATCH(84,'كشف الحساب'!$N$4:$N$353,0),0)=0,"",INDEX('كشف الحساب'!$E$4:$E$353,IFERROR(MATCH(84,'كشف الحساب'!$N$4:$N$353,0),0))),"")</f>
        <v/>
      </c>
      <c r="F88" s="70" t="str">
        <f>IFERROR(IF(IFERROR(MATCH(84,'كشف الحساب'!$N$4:$N$353,0),0)=0,"",INDEX('كشف الحساب'!$F$4:$F$353,IFERROR(MATCH(84,'كشف الحساب'!$N$4:$N$353,0),0))),"")</f>
        <v/>
      </c>
      <c r="G88" s="70" t="str">
        <f>IFERROR(IF(IFERROR(MATCH(84,'كشف الحساب'!$N$4:$N$353,0),0)=0,"",INDEX('كشف الحساب'!$G$4:$G$353,IFERROR(MATCH(84,'كشف الحساب'!$N$4:$N$353,0),0))),"")</f>
        <v/>
      </c>
      <c r="H88" s="70" t="str">
        <f>IFERROR(IF(IFERROR(MATCH(84,'كشف الحساب'!$N$4:$N$353,0),0)=0,"",INDEX('كشف الحساب'!$H$4:$H$353,IFERROR(MATCH(84,'كشف الحساب'!$N$4:$N$353,0),0))),"")</f>
        <v/>
      </c>
      <c r="I88" s="70" t="str">
        <f>IFERROR(IF(IFERROR(MATCH(84,'كشف الحساب'!$N$4:$N$353,0),0)=0,"",INDEX('كشف الحساب'!$I$4:$I$353,IFERROR(MATCH(84,'كشف الحساب'!$N$4:$N$353,0),0))),"")</f>
        <v/>
      </c>
      <c r="J88" s="74" t="str">
        <f>IFERROR(IF(IFERROR(MATCH(84,'كشف الحساب'!$N$4:$N$353,0),0)=0,"",INDEX('كشف الحساب'!$J$4:$J$353,IFERROR(MATCH(84,'كشف الحساب'!$N$4:$N$353,0),0))),"")</f>
        <v/>
      </c>
      <c r="K88" s="70" t="str">
        <f>IFERROR(IF(IFERROR(MATCH(84,'كشف الحساب'!$N$4:$N$353,0),0)=0,"",INDEX('كشف الحساب'!$K$4:$K$353,IFERROR(MATCH(84,'كشف الحساب'!$N$4:$N$353,0),0))),"")</f>
        <v/>
      </c>
    </row>
    <row r="89" spans="1:11" ht="15" customHeight="1" x14ac:dyDescent="0.25">
      <c r="A89" s="63" t="str">
        <f>IFERROR(IF(IFERROR(MATCH(85,'كشف الحساب'!$N$4:$N$353,0),0)=0,"",INDEX('كشف الحساب'!$A$4:$A$353,IFERROR(MATCH(85,'كشف الحساب'!$N$4:$N$353,0),0))),"")</f>
        <v/>
      </c>
      <c r="B89" s="64" t="str">
        <f>IFERROR(IF(IFERROR(MATCH(85,'كشف الحساب'!$N$4:$N$353,0),0)=0,"",INDEX('كشف الحساب'!$B$4:$B$353,IFERROR(MATCH(85,'كشف الحساب'!$N$4:$N$353,0),0))),"")</f>
        <v/>
      </c>
      <c r="C89" s="65" t="str">
        <f>IFERROR(IF(IFERROR(MATCH(85,'كشف الحساب'!$N$4:$N$353,0),0)=0,"",INDEX('كشف الحساب'!$C$4:$C$353,IFERROR(MATCH(85,'كشف الحساب'!$N$4:$N$353,0),0))),"")</f>
        <v/>
      </c>
      <c r="D89" s="66" t="str">
        <f>IFERROR(IF(IFERROR(MATCH(85,'كشف الحساب'!$N$4:$N$353,0),0)=0,"",INDEX('كشف الحساب'!$D$4:$D$353,IFERROR(MATCH(85,'كشف الحساب'!$N$4:$N$353,0),0))),"")</f>
        <v/>
      </c>
      <c r="E89" s="67" t="str">
        <f>IFERROR(IF(IFERROR(MATCH(85,'كشف الحساب'!$N$4:$N$353,0),0)=0,"",INDEX('كشف الحساب'!$E$4:$E$353,IFERROR(MATCH(85,'كشف الحساب'!$N$4:$N$353,0),0))),"")</f>
        <v/>
      </c>
      <c r="F89" s="64" t="str">
        <f>IFERROR(IF(IFERROR(MATCH(85,'كشف الحساب'!$N$4:$N$353,0),0)=0,"",INDEX('كشف الحساب'!$F$4:$F$353,IFERROR(MATCH(85,'كشف الحساب'!$N$4:$N$353,0),0))),"")</f>
        <v/>
      </c>
      <c r="G89" s="64" t="str">
        <f>IFERROR(IF(IFERROR(MATCH(85,'كشف الحساب'!$N$4:$N$353,0),0)=0,"",INDEX('كشف الحساب'!$G$4:$G$353,IFERROR(MATCH(85,'كشف الحساب'!$N$4:$N$353,0),0))),"")</f>
        <v/>
      </c>
      <c r="H89" s="64" t="str">
        <f>IFERROR(IF(IFERROR(MATCH(85,'كشف الحساب'!$N$4:$N$353,0),0)=0,"",INDEX('كشف الحساب'!$H$4:$H$353,IFERROR(MATCH(85,'كشف الحساب'!$N$4:$N$353,0),0))),"")</f>
        <v/>
      </c>
      <c r="I89" s="64" t="str">
        <f>IFERROR(IF(IFERROR(MATCH(85,'كشف الحساب'!$N$4:$N$353,0),0)=0,"",INDEX('كشف الحساب'!$I$4:$I$353,IFERROR(MATCH(85,'كشف الحساب'!$N$4:$N$353,0),0))),"")</f>
        <v/>
      </c>
      <c r="J89" s="68" t="str">
        <f>IFERROR(IF(IFERROR(MATCH(85,'كشف الحساب'!$N$4:$N$353,0),0)=0,"",INDEX('كشف الحساب'!$J$4:$J$353,IFERROR(MATCH(85,'كشف الحساب'!$N$4:$N$353,0),0))),"")</f>
        <v/>
      </c>
      <c r="K89" s="64" t="str">
        <f>IFERROR(IF(IFERROR(MATCH(85,'كشف الحساب'!$N$4:$N$353,0),0)=0,"",INDEX('كشف الحساب'!$K$4:$K$353,IFERROR(MATCH(85,'كشف الحساب'!$N$4:$N$353,0),0))),"")</f>
        <v/>
      </c>
    </row>
    <row r="90" spans="1:11" ht="15" customHeight="1" x14ac:dyDescent="0.25">
      <c r="A90" s="69" t="str">
        <f>IFERROR(IF(IFERROR(MATCH(86,'كشف الحساب'!$N$4:$N$353,0),0)=0,"",INDEX('كشف الحساب'!$A$4:$A$353,IFERROR(MATCH(86,'كشف الحساب'!$N$4:$N$353,0),0))),"")</f>
        <v/>
      </c>
      <c r="B90" s="70" t="str">
        <f>IFERROR(IF(IFERROR(MATCH(86,'كشف الحساب'!$N$4:$N$353,0),0)=0,"",INDEX('كشف الحساب'!$B$4:$B$353,IFERROR(MATCH(86,'كشف الحساب'!$N$4:$N$353,0),0))),"")</f>
        <v/>
      </c>
      <c r="C90" s="71" t="str">
        <f>IFERROR(IF(IFERROR(MATCH(86,'كشف الحساب'!$N$4:$N$353,0),0)=0,"",INDEX('كشف الحساب'!$C$4:$C$353,IFERROR(MATCH(86,'كشف الحساب'!$N$4:$N$353,0),0))),"")</f>
        <v/>
      </c>
      <c r="D90" s="72" t="str">
        <f>IFERROR(IF(IFERROR(MATCH(86,'كشف الحساب'!$N$4:$N$353,0),0)=0,"",INDEX('كشف الحساب'!$D$4:$D$353,IFERROR(MATCH(86,'كشف الحساب'!$N$4:$N$353,0),0))),"")</f>
        <v/>
      </c>
      <c r="E90" s="73" t="str">
        <f>IFERROR(IF(IFERROR(MATCH(86,'كشف الحساب'!$N$4:$N$353,0),0)=0,"",INDEX('كشف الحساب'!$E$4:$E$353,IFERROR(MATCH(86,'كشف الحساب'!$N$4:$N$353,0),0))),"")</f>
        <v/>
      </c>
      <c r="F90" s="70" t="str">
        <f>IFERROR(IF(IFERROR(MATCH(86,'كشف الحساب'!$N$4:$N$353,0),0)=0,"",INDEX('كشف الحساب'!$F$4:$F$353,IFERROR(MATCH(86,'كشف الحساب'!$N$4:$N$353,0),0))),"")</f>
        <v/>
      </c>
      <c r="G90" s="70" t="str">
        <f>IFERROR(IF(IFERROR(MATCH(86,'كشف الحساب'!$N$4:$N$353,0),0)=0,"",INDEX('كشف الحساب'!$G$4:$G$353,IFERROR(MATCH(86,'كشف الحساب'!$N$4:$N$353,0),0))),"")</f>
        <v/>
      </c>
      <c r="H90" s="70" t="str">
        <f>IFERROR(IF(IFERROR(MATCH(86,'كشف الحساب'!$N$4:$N$353,0),0)=0,"",INDEX('كشف الحساب'!$H$4:$H$353,IFERROR(MATCH(86,'كشف الحساب'!$N$4:$N$353,0),0))),"")</f>
        <v/>
      </c>
      <c r="I90" s="70" t="str">
        <f>IFERROR(IF(IFERROR(MATCH(86,'كشف الحساب'!$N$4:$N$353,0),0)=0,"",INDEX('كشف الحساب'!$I$4:$I$353,IFERROR(MATCH(86,'كشف الحساب'!$N$4:$N$353,0),0))),"")</f>
        <v/>
      </c>
      <c r="J90" s="74" t="str">
        <f>IFERROR(IF(IFERROR(MATCH(86,'كشف الحساب'!$N$4:$N$353,0),0)=0,"",INDEX('كشف الحساب'!$J$4:$J$353,IFERROR(MATCH(86,'كشف الحساب'!$N$4:$N$353,0),0))),"")</f>
        <v/>
      </c>
      <c r="K90" s="70" t="str">
        <f>IFERROR(IF(IFERROR(MATCH(86,'كشف الحساب'!$N$4:$N$353,0),0)=0,"",INDEX('كشف الحساب'!$K$4:$K$353,IFERROR(MATCH(86,'كشف الحساب'!$N$4:$N$353,0),0))),"")</f>
        <v/>
      </c>
    </row>
    <row r="91" spans="1:11" ht="15" customHeight="1" x14ac:dyDescent="0.25">
      <c r="A91" s="63" t="str">
        <f>IFERROR(IF(IFERROR(MATCH(87,'كشف الحساب'!$N$4:$N$353,0),0)=0,"",INDEX('كشف الحساب'!$A$4:$A$353,IFERROR(MATCH(87,'كشف الحساب'!$N$4:$N$353,0),0))),"")</f>
        <v/>
      </c>
      <c r="B91" s="64" t="str">
        <f>IFERROR(IF(IFERROR(MATCH(87,'كشف الحساب'!$N$4:$N$353,0),0)=0,"",INDEX('كشف الحساب'!$B$4:$B$353,IFERROR(MATCH(87,'كشف الحساب'!$N$4:$N$353,0),0))),"")</f>
        <v/>
      </c>
      <c r="C91" s="65" t="str">
        <f>IFERROR(IF(IFERROR(MATCH(87,'كشف الحساب'!$N$4:$N$353,0),0)=0,"",INDEX('كشف الحساب'!$C$4:$C$353,IFERROR(MATCH(87,'كشف الحساب'!$N$4:$N$353,0),0))),"")</f>
        <v/>
      </c>
      <c r="D91" s="66" t="str">
        <f>IFERROR(IF(IFERROR(MATCH(87,'كشف الحساب'!$N$4:$N$353,0),0)=0,"",INDEX('كشف الحساب'!$D$4:$D$353,IFERROR(MATCH(87,'كشف الحساب'!$N$4:$N$353,0),0))),"")</f>
        <v/>
      </c>
      <c r="E91" s="67" t="str">
        <f>IFERROR(IF(IFERROR(MATCH(87,'كشف الحساب'!$N$4:$N$353,0),0)=0,"",INDEX('كشف الحساب'!$E$4:$E$353,IFERROR(MATCH(87,'كشف الحساب'!$N$4:$N$353,0),0))),"")</f>
        <v/>
      </c>
      <c r="F91" s="64" t="str">
        <f>IFERROR(IF(IFERROR(MATCH(87,'كشف الحساب'!$N$4:$N$353,0),0)=0,"",INDEX('كشف الحساب'!$F$4:$F$353,IFERROR(MATCH(87,'كشف الحساب'!$N$4:$N$353,0),0))),"")</f>
        <v/>
      </c>
      <c r="G91" s="64" t="str">
        <f>IFERROR(IF(IFERROR(MATCH(87,'كشف الحساب'!$N$4:$N$353,0),0)=0,"",INDEX('كشف الحساب'!$G$4:$G$353,IFERROR(MATCH(87,'كشف الحساب'!$N$4:$N$353,0),0))),"")</f>
        <v/>
      </c>
      <c r="H91" s="64" t="str">
        <f>IFERROR(IF(IFERROR(MATCH(87,'كشف الحساب'!$N$4:$N$353,0),0)=0,"",INDEX('كشف الحساب'!$H$4:$H$353,IFERROR(MATCH(87,'كشف الحساب'!$N$4:$N$353,0),0))),"")</f>
        <v/>
      </c>
      <c r="I91" s="64" t="str">
        <f>IFERROR(IF(IFERROR(MATCH(87,'كشف الحساب'!$N$4:$N$353,0),0)=0,"",INDEX('كشف الحساب'!$I$4:$I$353,IFERROR(MATCH(87,'كشف الحساب'!$N$4:$N$353,0),0))),"")</f>
        <v/>
      </c>
      <c r="J91" s="68" t="str">
        <f>IFERROR(IF(IFERROR(MATCH(87,'كشف الحساب'!$N$4:$N$353,0),0)=0,"",INDEX('كشف الحساب'!$J$4:$J$353,IFERROR(MATCH(87,'كشف الحساب'!$N$4:$N$353,0),0))),"")</f>
        <v/>
      </c>
      <c r="K91" s="64" t="str">
        <f>IFERROR(IF(IFERROR(MATCH(87,'كشف الحساب'!$N$4:$N$353,0),0)=0,"",INDEX('كشف الحساب'!$K$4:$K$353,IFERROR(MATCH(87,'كشف الحساب'!$N$4:$N$353,0),0))),"")</f>
        <v/>
      </c>
    </row>
    <row r="92" spans="1:11" ht="15" customHeight="1" x14ac:dyDescent="0.25">
      <c r="A92" s="69" t="str">
        <f>IFERROR(IF(IFERROR(MATCH(88,'كشف الحساب'!$N$4:$N$353,0),0)=0,"",INDEX('كشف الحساب'!$A$4:$A$353,IFERROR(MATCH(88,'كشف الحساب'!$N$4:$N$353,0),0))),"")</f>
        <v/>
      </c>
      <c r="B92" s="70" t="str">
        <f>IFERROR(IF(IFERROR(MATCH(88,'كشف الحساب'!$N$4:$N$353,0),0)=0,"",INDEX('كشف الحساب'!$B$4:$B$353,IFERROR(MATCH(88,'كشف الحساب'!$N$4:$N$353,0),0))),"")</f>
        <v/>
      </c>
      <c r="C92" s="71" t="str">
        <f>IFERROR(IF(IFERROR(MATCH(88,'كشف الحساب'!$N$4:$N$353,0),0)=0,"",INDEX('كشف الحساب'!$C$4:$C$353,IFERROR(MATCH(88,'كشف الحساب'!$N$4:$N$353,0),0))),"")</f>
        <v/>
      </c>
      <c r="D92" s="72" t="str">
        <f>IFERROR(IF(IFERROR(MATCH(88,'كشف الحساب'!$N$4:$N$353,0),0)=0,"",INDEX('كشف الحساب'!$D$4:$D$353,IFERROR(MATCH(88,'كشف الحساب'!$N$4:$N$353,0),0))),"")</f>
        <v/>
      </c>
      <c r="E92" s="73" t="str">
        <f>IFERROR(IF(IFERROR(MATCH(88,'كشف الحساب'!$N$4:$N$353,0),0)=0,"",INDEX('كشف الحساب'!$E$4:$E$353,IFERROR(MATCH(88,'كشف الحساب'!$N$4:$N$353,0),0))),"")</f>
        <v/>
      </c>
      <c r="F92" s="70" t="str">
        <f>IFERROR(IF(IFERROR(MATCH(88,'كشف الحساب'!$N$4:$N$353,0),0)=0,"",INDEX('كشف الحساب'!$F$4:$F$353,IFERROR(MATCH(88,'كشف الحساب'!$N$4:$N$353,0),0))),"")</f>
        <v/>
      </c>
      <c r="G92" s="70" t="str">
        <f>IFERROR(IF(IFERROR(MATCH(88,'كشف الحساب'!$N$4:$N$353,0),0)=0,"",INDEX('كشف الحساب'!$G$4:$G$353,IFERROR(MATCH(88,'كشف الحساب'!$N$4:$N$353,0),0))),"")</f>
        <v/>
      </c>
      <c r="H92" s="70" t="str">
        <f>IFERROR(IF(IFERROR(MATCH(88,'كشف الحساب'!$N$4:$N$353,0),0)=0,"",INDEX('كشف الحساب'!$H$4:$H$353,IFERROR(MATCH(88,'كشف الحساب'!$N$4:$N$353,0),0))),"")</f>
        <v/>
      </c>
      <c r="I92" s="70" t="str">
        <f>IFERROR(IF(IFERROR(MATCH(88,'كشف الحساب'!$N$4:$N$353,0),0)=0,"",INDEX('كشف الحساب'!$I$4:$I$353,IFERROR(MATCH(88,'كشف الحساب'!$N$4:$N$353,0),0))),"")</f>
        <v/>
      </c>
      <c r="J92" s="74" t="str">
        <f>IFERROR(IF(IFERROR(MATCH(88,'كشف الحساب'!$N$4:$N$353,0),0)=0,"",INDEX('كشف الحساب'!$J$4:$J$353,IFERROR(MATCH(88,'كشف الحساب'!$N$4:$N$353,0),0))),"")</f>
        <v/>
      </c>
      <c r="K92" s="70" t="str">
        <f>IFERROR(IF(IFERROR(MATCH(88,'كشف الحساب'!$N$4:$N$353,0),0)=0,"",INDEX('كشف الحساب'!$K$4:$K$353,IFERROR(MATCH(88,'كشف الحساب'!$N$4:$N$353,0),0))),"")</f>
        <v/>
      </c>
    </row>
    <row r="93" spans="1:11" ht="15" customHeight="1" x14ac:dyDescent="0.25">
      <c r="A93" s="63" t="str">
        <f>IFERROR(IF(IFERROR(MATCH(89,'كشف الحساب'!$N$4:$N$353,0),0)=0,"",INDEX('كشف الحساب'!$A$4:$A$353,IFERROR(MATCH(89,'كشف الحساب'!$N$4:$N$353,0),0))),"")</f>
        <v/>
      </c>
      <c r="B93" s="64" t="str">
        <f>IFERROR(IF(IFERROR(MATCH(89,'كشف الحساب'!$N$4:$N$353,0),0)=0,"",INDEX('كشف الحساب'!$B$4:$B$353,IFERROR(MATCH(89,'كشف الحساب'!$N$4:$N$353,0),0))),"")</f>
        <v/>
      </c>
      <c r="C93" s="65" t="str">
        <f>IFERROR(IF(IFERROR(MATCH(89,'كشف الحساب'!$N$4:$N$353,0),0)=0,"",INDEX('كشف الحساب'!$C$4:$C$353,IFERROR(MATCH(89,'كشف الحساب'!$N$4:$N$353,0),0))),"")</f>
        <v/>
      </c>
      <c r="D93" s="66" t="str">
        <f>IFERROR(IF(IFERROR(MATCH(89,'كشف الحساب'!$N$4:$N$353,0),0)=0,"",INDEX('كشف الحساب'!$D$4:$D$353,IFERROR(MATCH(89,'كشف الحساب'!$N$4:$N$353,0),0))),"")</f>
        <v/>
      </c>
      <c r="E93" s="67" t="str">
        <f>IFERROR(IF(IFERROR(MATCH(89,'كشف الحساب'!$N$4:$N$353,0),0)=0,"",INDEX('كشف الحساب'!$E$4:$E$353,IFERROR(MATCH(89,'كشف الحساب'!$N$4:$N$353,0),0))),"")</f>
        <v/>
      </c>
      <c r="F93" s="64" t="str">
        <f>IFERROR(IF(IFERROR(MATCH(89,'كشف الحساب'!$N$4:$N$353,0),0)=0,"",INDEX('كشف الحساب'!$F$4:$F$353,IFERROR(MATCH(89,'كشف الحساب'!$N$4:$N$353,0),0))),"")</f>
        <v/>
      </c>
      <c r="G93" s="64" t="str">
        <f>IFERROR(IF(IFERROR(MATCH(89,'كشف الحساب'!$N$4:$N$353,0),0)=0,"",INDEX('كشف الحساب'!$G$4:$G$353,IFERROR(MATCH(89,'كشف الحساب'!$N$4:$N$353,0),0))),"")</f>
        <v/>
      </c>
      <c r="H93" s="64" t="str">
        <f>IFERROR(IF(IFERROR(MATCH(89,'كشف الحساب'!$N$4:$N$353,0),0)=0,"",INDEX('كشف الحساب'!$H$4:$H$353,IFERROR(MATCH(89,'كشف الحساب'!$N$4:$N$353,0),0))),"")</f>
        <v/>
      </c>
      <c r="I93" s="64" t="str">
        <f>IFERROR(IF(IFERROR(MATCH(89,'كشف الحساب'!$N$4:$N$353,0),0)=0,"",INDEX('كشف الحساب'!$I$4:$I$353,IFERROR(MATCH(89,'كشف الحساب'!$N$4:$N$353,0),0))),"")</f>
        <v/>
      </c>
      <c r="J93" s="68" t="str">
        <f>IFERROR(IF(IFERROR(MATCH(89,'كشف الحساب'!$N$4:$N$353,0),0)=0,"",INDEX('كشف الحساب'!$J$4:$J$353,IFERROR(MATCH(89,'كشف الحساب'!$N$4:$N$353,0),0))),"")</f>
        <v/>
      </c>
      <c r="K93" s="64" t="str">
        <f>IFERROR(IF(IFERROR(MATCH(89,'كشف الحساب'!$N$4:$N$353,0),0)=0,"",INDEX('كشف الحساب'!$K$4:$K$353,IFERROR(MATCH(89,'كشف الحساب'!$N$4:$N$353,0),0))),"")</f>
        <v/>
      </c>
    </row>
    <row r="94" spans="1:11" ht="15" customHeight="1" x14ac:dyDescent="0.25">
      <c r="A94" s="69" t="str">
        <f>IFERROR(IF(IFERROR(MATCH(90,'كشف الحساب'!$N$4:$N$353,0),0)=0,"",INDEX('كشف الحساب'!$A$4:$A$353,IFERROR(MATCH(90,'كشف الحساب'!$N$4:$N$353,0),0))),"")</f>
        <v/>
      </c>
      <c r="B94" s="70" t="str">
        <f>IFERROR(IF(IFERROR(MATCH(90,'كشف الحساب'!$N$4:$N$353,0),0)=0,"",INDEX('كشف الحساب'!$B$4:$B$353,IFERROR(MATCH(90,'كشف الحساب'!$N$4:$N$353,0),0))),"")</f>
        <v/>
      </c>
      <c r="C94" s="71" t="str">
        <f>IFERROR(IF(IFERROR(MATCH(90,'كشف الحساب'!$N$4:$N$353,0),0)=0,"",INDEX('كشف الحساب'!$C$4:$C$353,IFERROR(MATCH(90,'كشف الحساب'!$N$4:$N$353,0),0))),"")</f>
        <v/>
      </c>
      <c r="D94" s="72" t="str">
        <f>IFERROR(IF(IFERROR(MATCH(90,'كشف الحساب'!$N$4:$N$353,0),0)=0,"",INDEX('كشف الحساب'!$D$4:$D$353,IFERROR(MATCH(90,'كشف الحساب'!$N$4:$N$353,0),0))),"")</f>
        <v/>
      </c>
      <c r="E94" s="73" t="str">
        <f>IFERROR(IF(IFERROR(MATCH(90,'كشف الحساب'!$N$4:$N$353,0),0)=0,"",INDEX('كشف الحساب'!$E$4:$E$353,IFERROR(MATCH(90,'كشف الحساب'!$N$4:$N$353,0),0))),"")</f>
        <v/>
      </c>
      <c r="F94" s="70" t="str">
        <f>IFERROR(IF(IFERROR(MATCH(90,'كشف الحساب'!$N$4:$N$353,0),0)=0,"",INDEX('كشف الحساب'!$F$4:$F$353,IFERROR(MATCH(90,'كشف الحساب'!$N$4:$N$353,0),0))),"")</f>
        <v/>
      </c>
      <c r="G94" s="70" t="str">
        <f>IFERROR(IF(IFERROR(MATCH(90,'كشف الحساب'!$N$4:$N$353,0),0)=0,"",INDEX('كشف الحساب'!$G$4:$G$353,IFERROR(MATCH(90,'كشف الحساب'!$N$4:$N$353,0),0))),"")</f>
        <v/>
      </c>
      <c r="H94" s="70" t="str">
        <f>IFERROR(IF(IFERROR(MATCH(90,'كشف الحساب'!$N$4:$N$353,0),0)=0,"",INDEX('كشف الحساب'!$H$4:$H$353,IFERROR(MATCH(90,'كشف الحساب'!$N$4:$N$353,0),0))),"")</f>
        <v/>
      </c>
      <c r="I94" s="70" t="str">
        <f>IFERROR(IF(IFERROR(MATCH(90,'كشف الحساب'!$N$4:$N$353,0),0)=0,"",INDEX('كشف الحساب'!$I$4:$I$353,IFERROR(MATCH(90,'كشف الحساب'!$N$4:$N$353,0),0))),"")</f>
        <v/>
      </c>
      <c r="J94" s="74" t="str">
        <f>IFERROR(IF(IFERROR(MATCH(90,'كشف الحساب'!$N$4:$N$353,0),0)=0,"",INDEX('كشف الحساب'!$J$4:$J$353,IFERROR(MATCH(90,'كشف الحساب'!$N$4:$N$353,0),0))),"")</f>
        <v/>
      </c>
      <c r="K94" s="70" t="str">
        <f>IFERROR(IF(IFERROR(MATCH(90,'كشف الحساب'!$N$4:$N$353,0),0)=0,"",INDEX('كشف الحساب'!$K$4:$K$353,IFERROR(MATCH(90,'كشف الحساب'!$N$4:$N$353,0),0))),"")</f>
        <v/>
      </c>
    </row>
    <row r="95" spans="1:11" ht="15" customHeight="1" x14ac:dyDescent="0.25">
      <c r="A95" s="63" t="str">
        <f>IFERROR(IF(IFERROR(MATCH(91,'كشف الحساب'!$N$4:$N$353,0),0)=0,"",INDEX('كشف الحساب'!$A$4:$A$353,IFERROR(MATCH(91,'كشف الحساب'!$N$4:$N$353,0),0))),"")</f>
        <v/>
      </c>
      <c r="B95" s="64" t="str">
        <f>IFERROR(IF(IFERROR(MATCH(91,'كشف الحساب'!$N$4:$N$353,0),0)=0,"",INDEX('كشف الحساب'!$B$4:$B$353,IFERROR(MATCH(91,'كشف الحساب'!$N$4:$N$353,0),0))),"")</f>
        <v/>
      </c>
      <c r="C95" s="65" t="str">
        <f>IFERROR(IF(IFERROR(MATCH(91,'كشف الحساب'!$N$4:$N$353,0),0)=0,"",INDEX('كشف الحساب'!$C$4:$C$353,IFERROR(MATCH(91,'كشف الحساب'!$N$4:$N$353,0),0))),"")</f>
        <v/>
      </c>
      <c r="D95" s="66" t="str">
        <f>IFERROR(IF(IFERROR(MATCH(91,'كشف الحساب'!$N$4:$N$353,0),0)=0,"",INDEX('كشف الحساب'!$D$4:$D$353,IFERROR(MATCH(91,'كشف الحساب'!$N$4:$N$353,0),0))),"")</f>
        <v/>
      </c>
      <c r="E95" s="67" t="str">
        <f>IFERROR(IF(IFERROR(MATCH(91,'كشف الحساب'!$N$4:$N$353,0),0)=0,"",INDEX('كشف الحساب'!$E$4:$E$353,IFERROR(MATCH(91,'كشف الحساب'!$N$4:$N$353,0),0))),"")</f>
        <v/>
      </c>
      <c r="F95" s="64" t="str">
        <f>IFERROR(IF(IFERROR(MATCH(91,'كشف الحساب'!$N$4:$N$353,0),0)=0,"",INDEX('كشف الحساب'!$F$4:$F$353,IFERROR(MATCH(91,'كشف الحساب'!$N$4:$N$353,0),0))),"")</f>
        <v/>
      </c>
      <c r="G95" s="64" t="str">
        <f>IFERROR(IF(IFERROR(MATCH(91,'كشف الحساب'!$N$4:$N$353,0),0)=0,"",INDEX('كشف الحساب'!$G$4:$G$353,IFERROR(MATCH(91,'كشف الحساب'!$N$4:$N$353,0),0))),"")</f>
        <v/>
      </c>
      <c r="H95" s="64" t="str">
        <f>IFERROR(IF(IFERROR(MATCH(91,'كشف الحساب'!$N$4:$N$353,0),0)=0,"",INDEX('كشف الحساب'!$H$4:$H$353,IFERROR(MATCH(91,'كشف الحساب'!$N$4:$N$353,0),0))),"")</f>
        <v/>
      </c>
      <c r="I95" s="64" t="str">
        <f>IFERROR(IF(IFERROR(MATCH(91,'كشف الحساب'!$N$4:$N$353,0),0)=0,"",INDEX('كشف الحساب'!$I$4:$I$353,IFERROR(MATCH(91,'كشف الحساب'!$N$4:$N$353,0),0))),"")</f>
        <v/>
      </c>
      <c r="J95" s="68" t="str">
        <f>IFERROR(IF(IFERROR(MATCH(91,'كشف الحساب'!$N$4:$N$353,0),0)=0,"",INDEX('كشف الحساب'!$J$4:$J$353,IFERROR(MATCH(91,'كشف الحساب'!$N$4:$N$353,0),0))),"")</f>
        <v/>
      </c>
      <c r="K95" s="64" t="str">
        <f>IFERROR(IF(IFERROR(MATCH(91,'كشف الحساب'!$N$4:$N$353,0),0)=0,"",INDEX('كشف الحساب'!$K$4:$K$353,IFERROR(MATCH(91,'كشف الحساب'!$N$4:$N$353,0),0))),"")</f>
        <v/>
      </c>
    </row>
    <row r="96" spans="1:11" ht="15" customHeight="1" x14ac:dyDescent="0.25">
      <c r="A96" s="69" t="str">
        <f>IFERROR(IF(IFERROR(MATCH(92,'كشف الحساب'!$N$4:$N$353,0),0)=0,"",INDEX('كشف الحساب'!$A$4:$A$353,IFERROR(MATCH(92,'كشف الحساب'!$N$4:$N$353,0),0))),"")</f>
        <v/>
      </c>
      <c r="B96" s="70" t="str">
        <f>IFERROR(IF(IFERROR(MATCH(92,'كشف الحساب'!$N$4:$N$353,0),0)=0,"",INDEX('كشف الحساب'!$B$4:$B$353,IFERROR(MATCH(92,'كشف الحساب'!$N$4:$N$353,0),0))),"")</f>
        <v/>
      </c>
      <c r="C96" s="71" t="str">
        <f>IFERROR(IF(IFERROR(MATCH(92,'كشف الحساب'!$N$4:$N$353,0),0)=0,"",INDEX('كشف الحساب'!$C$4:$C$353,IFERROR(MATCH(92,'كشف الحساب'!$N$4:$N$353,0),0))),"")</f>
        <v/>
      </c>
      <c r="D96" s="72" t="str">
        <f>IFERROR(IF(IFERROR(MATCH(92,'كشف الحساب'!$N$4:$N$353,0),0)=0,"",INDEX('كشف الحساب'!$D$4:$D$353,IFERROR(MATCH(92,'كشف الحساب'!$N$4:$N$353,0),0))),"")</f>
        <v/>
      </c>
      <c r="E96" s="73" t="str">
        <f>IFERROR(IF(IFERROR(MATCH(92,'كشف الحساب'!$N$4:$N$353,0),0)=0,"",INDEX('كشف الحساب'!$E$4:$E$353,IFERROR(MATCH(92,'كشف الحساب'!$N$4:$N$353,0),0))),"")</f>
        <v/>
      </c>
      <c r="F96" s="70" t="str">
        <f>IFERROR(IF(IFERROR(MATCH(92,'كشف الحساب'!$N$4:$N$353,0),0)=0,"",INDEX('كشف الحساب'!$F$4:$F$353,IFERROR(MATCH(92,'كشف الحساب'!$N$4:$N$353,0),0))),"")</f>
        <v/>
      </c>
      <c r="G96" s="70" t="str">
        <f>IFERROR(IF(IFERROR(MATCH(92,'كشف الحساب'!$N$4:$N$353,0),0)=0,"",INDEX('كشف الحساب'!$G$4:$G$353,IFERROR(MATCH(92,'كشف الحساب'!$N$4:$N$353,0),0))),"")</f>
        <v/>
      </c>
      <c r="H96" s="70" t="str">
        <f>IFERROR(IF(IFERROR(MATCH(92,'كشف الحساب'!$N$4:$N$353,0),0)=0,"",INDEX('كشف الحساب'!$H$4:$H$353,IFERROR(MATCH(92,'كشف الحساب'!$N$4:$N$353,0),0))),"")</f>
        <v/>
      </c>
      <c r="I96" s="70" t="str">
        <f>IFERROR(IF(IFERROR(MATCH(92,'كشف الحساب'!$N$4:$N$353,0),0)=0,"",INDEX('كشف الحساب'!$I$4:$I$353,IFERROR(MATCH(92,'كشف الحساب'!$N$4:$N$353,0),0))),"")</f>
        <v/>
      </c>
      <c r="J96" s="74" t="str">
        <f>IFERROR(IF(IFERROR(MATCH(92,'كشف الحساب'!$N$4:$N$353,0),0)=0,"",INDEX('كشف الحساب'!$J$4:$J$353,IFERROR(MATCH(92,'كشف الحساب'!$N$4:$N$353,0),0))),"")</f>
        <v/>
      </c>
      <c r="K96" s="70" t="str">
        <f>IFERROR(IF(IFERROR(MATCH(92,'كشف الحساب'!$N$4:$N$353,0),0)=0,"",INDEX('كشف الحساب'!$K$4:$K$353,IFERROR(MATCH(92,'كشف الحساب'!$N$4:$N$353,0),0))),"")</f>
        <v/>
      </c>
    </row>
    <row r="97" spans="1:11" ht="15" customHeight="1" x14ac:dyDescent="0.25">
      <c r="A97" s="63" t="str">
        <f>IFERROR(IF(IFERROR(MATCH(93,'كشف الحساب'!$N$4:$N$353,0),0)=0,"",INDEX('كشف الحساب'!$A$4:$A$353,IFERROR(MATCH(93,'كشف الحساب'!$N$4:$N$353,0),0))),"")</f>
        <v/>
      </c>
      <c r="B97" s="64" t="str">
        <f>IFERROR(IF(IFERROR(MATCH(93,'كشف الحساب'!$N$4:$N$353,0),0)=0,"",INDEX('كشف الحساب'!$B$4:$B$353,IFERROR(MATCH(93,'كشف الحساب'!$N$4:$N$353,0),0))),"")</f>
        <v/>
      </c>
      <c r="C97" s="65" t="str">
        <f>IFERROR(IF(IFERROR(MATCH(93,'كشف الحساب'!$N$4:$N$353,0),0)=0,"",INDEX('كشف الحساب'!$C$4:$C$353,IFERROR(MATCH(93,'كشف الحساب'!$N$4:$N$353,0),0))),"")</f>
        <v/>
      </c>
      <c r="D97" s="66" t="str">
        <f>IFERROR(IF(IFERROR(MATCH(93,'كشف الحساب'!$N$4:$N$353,0),0)=0,"",INDEX('كشف الحساب'!$D$4:$D$353,IFERROR(MATCH(93,'كشف الحساب'!$N$4:$N$353,0),0))),"")</f>
        <v/>
      </c>
      <c r="E97" s="67" t="str">
        <f>IFERROR(IF(IFERROR(MATCH(93,'كشف الحساب'!$N$4:$N$353,0),0)=0,"",INDEX('كشف الحساب'!$E$4:$E$353,IFERROR(MATCH(93,'كشف الحساب'!$N$4:$N$353,0),0))),"")</f>
        <v/>
      </c>
      <c r="F97" s="64" t="str">
        <f>IFERROR(IF(IFERROR(MATCH(93,'كشف الحساب'!$N$4:$N$353,0),0)=0,"",INDEX('كشف الحساب'!$F$4:$F$353,IFERROR(MATCH(93,'كشف الحساب'!$N$4:$N$353,0),0))),"")</f>
        <v/>
      </c>
      <c r="G97" s="64" t="str">
        <f>IFERROR(IF(IFERROR(MATCH(93,'كشف الحساب'!$N$4:$N$353,0),0)=0,"",INDEX('كشف الحساب'!$G$4:$G$353,IFERROR(MATCH(93,'كشف الحساب'!$N$4:$N$353,0),0))),"")</f>
        <v/>
      </c>
      <c r="H97" s="64" t="str">
        <f>IFERROR(IF(IFERROR(MATCH(93,'كشف الحساب'!$N$4:$N$353,0),0)=0,"",INDEX('كشف الحساب'!$H$4:$H$353,IFERROR(MATCH(93,'كشف الحساب'!$N$4:$N$353,0),0))),"")</f>
        <v/>
      </c>
      <c r="I97" s="64" t="str">
        <f>IFERROR(IF(IFERROR(MATCH(93,'كشف الحساب'!$N$4:$N$353,0),0)=0,"",INDEX('كشف الحساب'!$I$4:$I$353,IFERROR(MATCH(93,'كشف الحساب'!$N$4:$N$353,0),0))),"")</f>
        <v/>
      </c>
      <c r="J97" s="68" t="str">
        <f>IFERROR(IF(IFERROR(MATCH(93,'كشف الحساب'!$N$4:$N$353,0),0)=0,"",INDEX('كشف الحساب'!$J$4:$J$353,IFERROR(MATCH(93,'كشف الحساب'!$N$4:$N$353,0),0))),"")</f>
        <v/>
      </c>
      <c r="K97" s="64" t="str">
        <f>IFERROR(IF(IFERROR(MATCH(93,'كشف الحساب'!$N$4:$N$353,0),0)=0,"",INDEX('كشف الحساب'!$K$4:$K$353,IFERROR(MATCH(93,'كشف الحساب'!$N$4:$N$353,0),0))),"")</f>
        <v/>
      </c>
    </row>
    <row r="98" spans="1:11" ht="15" customHeight="1" x14ac:dyDescent="0.25">
      <c r="A98" s="69" t="str">
        <f>IFERROR(IF(IFERROR(MATCH(94,'كشف الحساب'!$N$4:$N$353,0),0)=0,"",INDEX('كشف الحساب'!$A$4:$A$353,IFERROR(MATCH(94,'كشف الحساب'!$N$4:$N$353,0),0))),"")</f>
        <v/>
      </c>
      <c r="B98" s="70" t="str">
        <f>IFERROR(IF(IFERROR(MATCH(94,'كشف الحساب'!$N$4:$N$353,0),0)=0,"",INDEX('كشف الحساب'!$B$4:$B$353,IFERROR(MATCH(94,'كشف الحساب'!$N$4:$N$353,0),0))),"")</f>
        <v/>
      </c>
      <c r="C98" s="71" t="str">
        <f>IFERROR(IF(IFERROR(MATCH(94,'كشف الحساب'!$N$4:$N$353,0),0)=0,"",INDEX('كشف الحساب'!$C$4:$C$353,IFERROR(MATCH(94,'كشف الحساب'!$N$4:$N$353,0),0))),"")</f>
        <v/>
      </c>
      <c r="D98" s="72" t="str">
        <f>IFERROR(IF(IFERROR(MATCH(94,'كشف الحساب'!$N$4:$N$353,0),0)=0,"",INDEX('كشف الحساب'!$D$4:$D$353,IFERROR(MATCH(94,'كشف الحساب'!$N$4:$N$353,0),0))),"")</f>
        <v/>
      </c>
      <c r="E98" s="73" t="str">
        <f>IFERROR(IF(IFERROR(MATCH(94,'كشف الحساب'!$N$4:$N$353,0),0)=0,"",INDEX('كشف الحساب'!$E$4:$E$353,IFERROR(MATCH(94,'كشف الحساب'!$N$4:$N$353,0),0))),"")</f>
        <v/>
      </c>
      <c r="F98" s="70" t="str">
        <f>IFERROR(IF(IFERROR(MATCH(94,'كشف الحساب'!$N$4:$N$353,0),0)=0,"",INDEX('كشف الحساب'!$F$4:$F$353,IFERROR(MATCH(94,'كشف الحساب'!$N$4:$N$353,0),0))),"")</f>
        <v/>
      </c>
      <c r="G98" s="70" t="str">
        <f>IFERROR(IF(IFERROR(MATCH(94,'كشف الحساب'!$N$4:$N$353,0),0)=0,"",INDEX('كشف الحساب'!$G$4:$G$353,IFERROR(MATCH(94,'كشف الحساب'!$N$4:$N$353,0),0))),"")</f>
        <v/>
      </c>
      <c r="H98" s="70" t="str">
        <f>IFERROR(IF(IFERROR(MATCH(94,'كشف الحساب'!$N$4:$N$353,0),0)=0,"",INDEX('كشف الحساب'!$H$4:$H$353,IFERROR(MATCH(94,'كشف الحساب'!$N$4:$N$353,0),0))),"")</f>
        <v/>
      </c>
      <c r="I98" s="70" t="str">
        <f>IFERROR(IF(IFERROR(MATCH(94,'كشف الحساب'!$N$4:$N$353,0),0)=0,"",INDEX('كشف الحساب'!$I$4:$I$353,IFERROR(MATCH(94,'كشف الحساب'!$N$4:$N$353,0),0))),"")</f>
        <v/>
      </c>
      <c r="J98" s="74" t="str">
        <f>IFERROR(IF(IFERROR(MATCH(94,'كشف الحساب'!$N$4:$N$353,0),0)=0,"",INDEX('كشف الحساب'!$J$4:$J$353,IFERROR(MATCH(94,'كشف الحساب'!$N$4:$N$353,0),0))),"")</f>
        <v/>
      </c>
      <c r="K98" s="70" t="str">
        <f>IFERROR(IF(IFERROR(MATCH(94,'كشف الحساب'!$N$4:$N$353,0),0)=0,"",INDEX('كشف الحساب'!$K$4:$K$353,IFERROR(MATCH(94,'كشف الحساب'!$N$4:$N$353,0),0))),"")</f>
        <v/>
      </c>
    </row>
    <row r="99" spans="1:11" ht="15" customHeight="1" x14ac:dyDescent="0.25">
      <c r="A99" s="63" t="str">
        <f>IFERROR(IF(IFERROR(MATCH(95,'كشف الحساب'!$N$4:$N$353,0),0)=0,"",INDEX('كشف الحساب'!$A$4:$A$353,IFERROR(MATCH(95,'كشف الحساب'!$N$4:$N$353,0),0))),"")</f>
        <v/>
      </c>
      <c r="B99" s="64" t="str">
        <f>IFERROR(IF(IFERROR(MATCH(95,'كشف الحساب'!$N$4:$N$353,0),0)=0,"",INDEX('كشف الحساب'!$B$4:$B$353,IFERROR(MATCH(95,'كشف الحساب'!$N$4:$N$353,0),0))),"")</f>
        <v/>
      </c>
      <c r="C99" s="65" t="str">
        <f>IFERROR(IF(IFERROR(MATCH(95,'كشف الحساب'!$N$4:$N$353,0),0)=0,"",INDEX('كشف الحساب'!$C$4:$C$353,IFERROR(MATCH(95,'كشف الحساب'!$N$4:$N$353,0),0))),"")</f>
        <v/>
      </c>
      <c r="D99" s="66" t="str">
        <f>IFERROR(IF(IFERROR(MATCH(95,'كشف الحساب'!$N$4:$N$353,0),0)=0,"",INDEX('كشف الحساب'!$D$4:$D$353,IFERROR(MATCH(95,'كشف الحساب'!$N$4:$N$353,0),0))),"")</f>
        <v/>
      </c>
      <c r="E99" s="67" t="str">
        <f>IFERROR(IF(IFERROR(MATCH(95,'كشف الحساب'!$N$4:$N$353,0),0)=0,"",INDEX('كشف الحساب'!$E$4:$E$353,IFERROR(MATCH(95,'كشف الحساب'!$N$4:$N$353,0),0))),"")</f>
        <v/>
      </c>
      <c r="F99" s="64" t="str">
        <f>IFERROR(IF(IFERROR(MATCH(95,'كشف الحساب'!$N$4:$N$353,0),0)=0,"",INDEX('كشف الحساب'!$F$4:$F$353,IFERROR(MATCH(95,'كشف الحساب'!$N$4:$N$353,0),0))),"")</f>
        <v/>
      </c>
      <c r="G99" s="64" t="str">
        <f>IFERROR(IF(IFERROR(MATCH(95,'كشف الحساب'!$N$4:$N$353,0),0)=0,"",INDEX('كشف الحساب'!$G$4:$G$353,IFERROR(MATCH(95,'كشف الحساب'!$N$4:$N$353,0),0))),"")</f>
        <v/>
      </c>
      <c r="H99" s="64" t="str">
        <f>IFERROR(IF(IFERROR(MATCH(95,'كشف الحساب'!$N$4:$N$353,0),0)=0,"",INDEX('كشف الحساب'!$H$4:$H$353,IFERROR(MATCH(95,'كشف الحساب'!$N$4:$N$353,0),0))),"")</f>
        <v/>
      </c>
      <c r="I99" s="64" t="str">
        <f>IFERROR(IF(IFERROR(MATCH(95,'كشف الحساب'!$N$4:$N$353,0),0)=0,"",INDEX('كشف الحساب'!$I$4:$I$353,IFERROR(MATCH(95,'كشف الحساب'!$N$4:$N$353,0),0))),"")</f>
        <v/>
      </c>
      <c r="J99" s="68" t="str">
        <f>IFERROR(IF(IFERROR(MATCH(95,'كشف الحساب'!$N$4:$N$353,0),0)=0,"",INDEX('كشف الحساب'!$J$4:$J$353,IFERROR(MATCH(95,'كشف الحساب'!$N$4:$N$353,0),0))),"")</f>
        <v/>
      </c>
      <c r="K99" s="64" t="str">
        <f>IFERROR(IF(IFERROR(MATCH(95,'كشف الحساب'!$N$4:$N$353,0),0)=0,"",INDEX('كشف الحساب'!$K$4:$K$353,IFERROR(MATCH(95,'كشف الحساب'!$N$4:$N$353,0),0))),"")</f>
        <v/>
      </c>
    </row>
    <row r="100" spans="1:11" ht="15" customHeight="1" x14ac:dyDescent="0.25">
      <c r="A100" s="69" t="str">
        <f>IFERROR(IF(IFERROR(MATCH(96,'كشف الحساب'!$N$4:$N$353,0),0)=0,"",INDEX('كشف الحساب'!$A$4:$A$353,IFERROR(MATCH(96,'كشف الحساب'!$N$4:$N$353,0),0))),"")</f>
        <v/>
      </c>
      <c r="B100" s="70" t="str">
        <f>IFERROR(IF(IFERROR(MATCH(96,'كشف الحساب'!$N$4:$N$353,0),0)=0,"",INDEX('كشف الحساب'!$B$4:$B$353,IFERROR(MATCH(96,'كشف الحساب'!$N$4:$N$353,0),0))),"")</f>
        <v/>
      </c>
      <c r="C100" s="71" t="str">
        <f>IFERROR(IF(IFERROR(MATCH(96,'كشف الحساب'!$N$4:$N$353,0),0)=0,"",INDEX('كشف الحساب'!$C$4:$C$353,IFERROR(MATCH(96,'كشف الحساب'!$N$4:$N$353,0),0))),"")</f>
        <v/>
      </c>
      <c r="D100" s="72" t="str">
        <f>IFERROR(IF(IFERROR(MATCH(96,'كشف الحساب'!$N$4:$N$353,0),0)=0,"",INDEX('كشف الحساب'!$D$4:$D$353,IFERROR(MATCH(96,'كشف الحساب'!$N$4:$N$353,0),0))),"")</f>
        <v/>
      </c>
      <c r="E100" s="73" t="str">
        <f>IFERROR(IF(IFERROR(MATCH(96,'كشف الحساب'!$N$4:$N$353,0),0)=0,"",INDEX('كشف الحساب'!$E$4:$E$353,IFERROR(MATCH(96,'كشف الحساب'!$N$4:$N$353,0),0))),"")</f>
        <v/>
      </c>
      <c r="F100" s="70" t="str">
        <f>IFERROR(IF(IFERROR(MATCH(96,'كشف الحساب'!$N$4:$N$353,0),0)=0,"",INDEX('كشف الحساب'!$F$4:$F$353,IFERROR(MATCH(96,'كشف الحساب'!$N$4:$N$353,0),0))),"")</f>
        <v/>
      </c>
      <c r="G100" s="70" t="str">
        <f>IFERROR(IF(IFERROR(MATCH(96,'كشف الحساب'!$N$4:$N$353,0),0)=0,"",INDEX('كشف الحساب'!$G$4:$G$353,IFERROR(MATCH(96,'كشف الحساب'!$N$4:$N$353,0),0))),"")</f>
        <v/>
      </c>
      <c r="H100" s="70" t="str">
        <f>IFERROR(IF(IFERROR(MATCH(96,'كشف الحساب'!$N$4:$N$353,0),0)=0,"",INDEX('كشف الحساب'!$H$4:$H$353,IFERROR(MATCH(96,'كشف الحساب'!$N$4:$N$353,0),0))),"")</f>
        <v/>
      </c>
      <c r="I100" s="70" t="str">
        <f>IFERROR(IF(IFERROR(MATCH(96,'كشف الحساب'!$N$4:$N$353,0),0)=0,"",INDEX('كشف الحساب'!$I$4:$I$353,IFERROR(MATCH(96,'كشف الحساب'!$N$4:$N$353,0),0))),"")</f>
        <v/>
      </c>
      <c r="J100" s="74" t="str">
        <f>IFERROR(IF(IFERROR(MATCH(96,'كشف الحساب'!$N$4:$N$353,0),0)=0,"",INDEX('كشف الحساب'!$J$4:$J$353,IFERROR(MATCH(96,'كشف الحساب'!$N$4:$N$353,0),0))),"")</f>
        <v/>
      </c>
      <c r="K100" s="70" t="str">
        <f>IFERROR(IF(IFERROR(MATCH(96,'كشف الحساب'!$N$4:$N$353,0),0)=0,"",INDEX('كشف الحساب'!$K$4:$K$353,IFERROR(MATCH(96,'كشف الحساب'!$N$4:$N$353,0),0))),"")</f>
        <v/>
      </c>
    </row>
    <row r="101" spans="1:11" ht="15" customHeight="1" x14ac:dyDescent="0.25">
      <c r="A101" s="63" t="str">
        <f>IFERROR(IF(IFERROR(MATCH(97,'كشف الحساب'!$N$4:$N$353,0),0)=0,"",INDEX('كشف الحساب'!$A$4:$A$353,IFERROR(MATCH(97,'كشف الحساب'!$N$4:$N$353,0),0))),"")</f>
        <v/>
      </c>
      <c r="B101" s="64" t="str">
        <f>IFERROR(IF(IFERROR(MATCH(97,'كشف الحساب'!$N$4:$N$353,0),0)=0,"",INDEX('كشف الحساب'!$B$4:$B$353,IFERROR(MATCH(97,'كشف الحساب'!$N$4:$N$353,0),0))),"")</f>
        <v/>
      </c>
      <c r="C101" s="65" t="str">
        <f>IFERROR(IF(IFERROR(MATCH(97,'كشف الحساب'!$N$4:$N$353,0),0)=0,"",INDEX('كشف الحساب'!$C$4:$C$353,IFERROR(MATCH(97,'كشف الحساب'!$N$4:$N$353,0),0))),"")</f>
        <v/>
      </c>
      <c r="D101" s="66" t="str">
        <f>IFERROR(IF(IFERROR(MATCH(97,'كشف الحساب'!$N$4:$N$353,0),0)=0,"",INDEX('كشف الحساب'!$D$4:$D$353,IFERROR(MATCH(97,'كشف الحساب'!$N$4:$N$353,0),0))),"")</f>
        <v/>
      </c>
      <c r="E101" s="67" t="str">
        <f>IFERROR(IF(IFERROR(MATCH(97,'كشف الحساب'!$N$4:$N$353,0),0)=0,"",INDEX('كشف الحساب'!$E$4:$E$353,IFERROR(MATCH(97,'كشف الحساب'!$N$4:$N$353,0),0))),"")</f>
        <v/>
      </c>
      <c r="F101" s="64" t="str">
        <f>IFERROR(IF(IFERROR(MATCH(97,'كشف الحساب'!$N$4:$N$353,0),0)=0,"",INDEX('كشف الحساب'!$F$4:$F$353,IFERROR(MATCH(97,'كشف الحساب'!$N$4:$N$353,0),0))),"")</f>
        <v/>
      </c>
      <c r="G101" s="64" t="str">
        <f>IFERROR(IF(IFERROR(MATCH(97,'كشف الحساب'!$N$4:$N$353,0),0)=0,"",INDEX('كشف الحساب'!$G$4:$G$353,IFERROR(MATCH(97,'كشف الحساب'!$N$4:$N$353,0),0))),"")</f>
        <v/>
      </c>
      <c r="H101" s="64" t="str">
        <f>IFERROR(IF(IFERROR(MATCH(97,'كشف الحساب'!$N$4:$N$353,0),0)=0,"",INDEX('كشف الحساب'!$H$4:$H$353,IFERROR(MATCH(97,'كشف الحساب'!$N$4:$N$353,0),0))),"")</f>
        <v/>
      </c>
      <c r="I101" s="64" t="str">
        <f>IFERROR(IF(IFERROR(MATCH(97,'كشف الحساب'!$N$4:$N$353,0),0)=0,"",INDEX('كشف الحساب'!$I$4:$I$353,IFERROR(MATCH(97,'كشف الحساب'!$N$4:$N$353,0),0))),"")</f>
        <v/>
      </c>
      <c r="J101" s="68" t="str">
        <f>IFERROR(IF(IFERROR(MATCH(97,'كشف الحساب'!$N$4:$N$353,0),0)=0,"",INDEX('كشف الحساب'!$J$4:$J$353,IFERROR(MATCH(97,'كشف الحساب'!$N$4:$N$353,0),0))),"")</f>
        <v/>
      </c>
      <c r="K101" s="64" t="str">
        <f>IFERROR(IF(IFERROR(MATCH(97,'كشف الحساب'!$N$4:$N$353,0),0)=0,"",INDEX('كشف الحساب'!$K$4:$K$353,IFERROR(MATCH(97,'كشف الحساب'!$N$4:$N$353,0),0))),"")</f>
        <v/>
      </c>
    </row>
    <row r="102" spans="1:11" ht="15" customHeight="1" x14ac:dyDescent="0.25">
      <c r="A102" s="69" t="str">
        <f>IFERROR(IF(IFERROR(MATCH(98,'كشف الحساب'!$N$4:$N$353,0),0)=0,"",INDEX('كشف الحساب'!$A$4:$A$353,IFERROR(MATCH(98,'كشف الحساب'!$N$4:$N$353,0),0))),"")</f>
        <v/>
      </c>
      <c r="B102" s="70" t="str">
        <f>IFERROR(IF(IFERROR(MATCH(98,'كشف الحساب'!$N$4:$N$353,0),0)=0,"",INDEX('كشف الحساب'!$B$4:$B$353,IFERROR(MATCH(98,'كشف الحساب'!$N$4:$N$353,0),0))),"")</f>
        <v/>
      </c>
      <c r="C102" s="71" t="str">
        <f>IFERROR(IF(IFERROR(MATCH(98,'كشف الحساب'!$N$4:$N$353,0),0)=0,"",INDEX('كشف الحساب'!$C$4:$C$353,IFERROR(MATCH(98,'كشف الحساب'!$N$4:$N$353,0),0))),"")</f>
        <v/>
      </c>
      <c r="D102" s="72" t="str">
        <f>IFERROR(IF(IFERROR(MATCH(98,'كشف الحساب'!$N$4:$N$353,0),0)=0,"",INDEX('كشف الحساب'!$D$4:$D$353,IFERROR(MATCH(98,'كشف الحساب'!$N$4:$N$353,0),0))),"")</f>
        <v/>
      </c>
      <c r="E102" s="73" t="str">
        <f>IFERROR(IF(IFERROR(MATCH(98,'كشف الحساب'!$N$4:$N$353,0),0)=0,"",INDEX('كشف الحساب'!$E$4:$E$353,IFERROR(MATCH(98,'كشف الحساب'!$N$4:$N$353,0),0))),"")</f>
        <v/>
      </c>
      <c r="F102" s="70" t="str">
        <f>IFERROR(IF(IFERROR(MATCH(98,'كشف الحساب'!$N$4:$N$353,0),0)=0,"",INDEX('كشف الحساب'!$F$4:$F$353,IFERROR(MATCH(98,'كشف الحساب'!$N$4:$N$353,0),0))),"")</f>
        <v/>
      </c>
      <c r="G102" s="70" t="str">
        <f>IFERROR(IF(IFERROR(MATCH(98,'كشف الحساب'!$N$4:$N$353,0),0)=0,"",INDEX('كشف الحساب'!$G$4:$G$353,IFERROR(MATCH(98,'كشف الحساب'!$N$4:$N$353,0),0))),"")</f>
        <v/>
      </c>
      <c r="H102" s="70" t="str">
        <f>IFERROR(IF(IFERROR(MATCH(98,'كشف الحساب'!$N$4:$N$353,0),0)=0,"",INDEX('كشف الحساب'!$H$4:$H$353,IFERROR(MATCH(98,'كشف الحساب'!$N$4:$N$353,0),0))),"")</f>
        <v/>
      </c>
      <c r="I102" s="70" t="str">
        <f>IFERROR(IF(IFERROR(MATCH(98,'كشف الحساب'!$N$4:$N$353,0),0)=0,"",INDEX('كشف الحساب'!$I$4:$I$353,IFERROR(MATCH(98,'كشف الحساب'!$N$4:$N$353,0),0))),"")</f>
        <v/>
      </c>
      <c r="J102" s="74" t="str">
        <f>IFERROR(IF(IFERROR(MATCH(98,'كشف الحساب'!$N$4:$N$353,0),0)=0,"",INDEX('كشف الحساب'!$J$4:$J$353,IFERROR(MATCH(98,'كشف الحساب'!$N$4:$N$353,0),0))),"")</f>
        <v/>
      </c>
      <c r="K102" s="70" t="str">
        <f>IFERROR(IF(IFERROR(MATCH(98,'كشف الحساب'!$N$4:$N$353,0),0)=0,"",INDEX('كشف الحساب'!$K$4:$K$353,IFERROR(MATCH(98,'كشف الحساب'!$N$4:$N$353,0),0))),"")</f>
        <v/>
      </c>
    </row>
    <row r="103" spans="1:11" ht="15" customHeight="1" x14ac:dyDescent="0.25">
      <c r="A103" s="63" t="str">
        <f>IFERROR(IF(IFERROR(MATCH(99,'كشف الحساب'!$N$4:$N$353,0),0)=0,"",INDEX('كشف الحساب'!$A$4:$A$353,IFERROR(MATCH(99,'كشف الحساب'!$N$4:$N$353,0),0))),"")</f>
        <v/>
      </c>
      <c r="B103" s="64" t="str">
        <f>IFERROR(IF(IFERROR(MATCH(99,'كشف الحساب'!$N$4:$N$353,0),0)=0,"",INDEX('كشف الحساب'!$B$4:$B$353,IFERROR(MATCH(99,'كشف الحساب'!$N$4:$N$353,0),0))),"")</f>
        <v/>
      </c>
      <c r="C103" s="65" t="str">
        <f>IFERROR(IF(IFERROR(MATCH(99,'كشف الحساب'!$N$4:$N$353,0),0)=0,"",INDEX('كشف الحساب'!$C$4:$C$353,IFERROR(MATCH(99,'كشف الحساب'!$N$4:$N$353,0),0))),"")</f>
        <v/>
      </c>
      <c r="D103" s="66" t="str">
        <f>IFERROR(IF(IFERROR(MATCH(99,'كشف الحساب'!$N$4:$N$353,0),0)=0,"",INDEX('كشف الحساب'!$D$4:$D$353,IFERROR(MATCH(99,'كشف الحساب'!$N$4:$N$353,0),0))),"")</f>
        <v/>
      </c>
      <c r="E103" s="67" t="str">
        <f>IFERROR(IF(IFERROR(MATCH(99,'كشف الحساب'!$N$4:$N$353,0),0)=0,"",INDEX('كشف الحساب'!$E$4:$E$353,IFERROR(MATCH(99,'كشف الحساب'!$N$4:$N$353,0),0))),"")</f>
        <v/>
      </c>
      <c r="F103" s="64" t="str">
        <f>IFERROR(IF(IFERROR(MATCH(99,'كشف الحساب'!$N$4:$N$353,0),0)=0,"",INDEX('كشف الحساب'!$F$4:$F$353,IFERROR(MATCH(99,'كشف الحساب'!$N$4:$N$353,0),0))),"")</f>
        <v/>
      </c>
      <c r="G103" s="64" t="str">
        <f>IFERROR(IF(IFERROR(MATCH(99,'كشف الحساب'!$N$4:$N$353,0),0)=0,"",INDEX('كشف الحساب'!$G$4:$G$353,IFERROR(MATCH(99,'كشف الحساب'!$N$4:$N$353,0),0))),"")</f>
        <v/>
      </c>
      <c r="H103" s="64" t="str">
        <f>IFERROR(IF(IFERROR(MATCH(99,'كشف الحساب'!$N$4:$N$353,0),0)=0,"",INDEX('كشف الحساب'!$H$4:$H$353,IFERROR(MATCH(99,'كشف الحساب'!$N$4:$N$353,0),0))),"")</f>
        <v/>
      </c>
      <c r="I103" s="64" t="str">
        <f>IFERROR(IF(IFERROR(MATCH(99,'كشف الحساب'!$N$4:$N$353,0),0)=0,"",INDEX('كشف الحساب'!$I$4:$I$353,IFERROR(MATCH(99,'كشف الحساب'!$N$4:$N$353,0),0))),"")</f>
        <v/>
      </c>
      <c r="J103" s="68" t="str">
        <f>IFERROR(IF(IFERROR(MATCH(99,'كشف الحساب'!$N$4:$N$353,0),0)=0,"",INDEX('كشف الحساب'!$J$4:$J$353,IFERROR(MATCH(99,'كشف الحساب'!$N$4:$N$353,0),0))),"")</f>
        <v/>
      </c>
      <c r="K103" s="64" t="str">
        <f>IFERROR(IF(IFERROR(MATCH(99,'كشف الحساب'!$N$4:$N$353,0),0)=0,"",INDEX('كشف الحساب'!$K$4:$K$353,IFERROR(MATCH(99,'كشف الحساب'!$N$4:$N$353,0),0))),"")</f>
        <v/>
      </c>
    </row>
    <row r="104" spans="1:11" ht="15" customHeight="1" x14ac:dyDescent="0.25">
      <c r="A104" s="69" t="str">
        <f>IFERROR(IF(IFERROR(MATCH(100,'كشف الحساب'!$N$4:$N$353,0),0)=0,"",INDEX('كشف الحساب'!$A$4:$A$353,IFERROR(MATCH(100,'كشف الحساب'!$N$4:$N$353,0),0))),"")</f>
        <v/>
      </c>
      <c r="B104" s="70" t="str">
        <f>IFERROR(IF(IFERROR(MATCH(100,'كشف الحساب'!$N$4:$N$353,0),0)=0,"",INDEX('كشف الحساب'!$B$4:$B$353,IFERROR(MATCH(100,'كشف الحساب'!$N$4:$N$353,0),0))),"")</f>
        <v/>
      </c>
      <c r="C104" s="71" t="str">
        <f>IFERROR(IF(IFERROR(MATCH(100,'كشف الحساب'!$N$4:$N$353,0),0)=0,"",INDEX('كشف الحساب'!$C$4:$C$353,IFERROR(MATCH(100,'كشف الحساب'!$N$4:$N$353,0),0))),"")</f>
        <v/>
      </c>
      <c r="D104" s="72" t="str">
        <f>IFERROR(IF(IFERROR(MATCH(100,'كشف الحساب'!$N$4:$N$353,0),0)=0,"",INDEX('كشف الحساب'!$D$4:$D$353,IFERROR(MATCH(100,'كشف الحساب'!$N$4:$N$353,0),0))),"")</f>
        <v/>
      </c>
      <c r="E104" s="73" t="str">
        <f>IFERROR(IF(IFERROR(MATCH(100,'كشف الحساب'!$N$4:$N$353,0),0)=0,"",INDEX('كشف الحساب'!$E$4:$E$353,IFERROR(MATCH(100,'كشف الحساب'!$N$4:$N$353,0),0))),"")</f>
        <v/>
      </c>
      <c r="F104" s="70" t="str">
        <f>IFERROR(IF(IFERROR(MATCH(100,'كشف الحساب'!$N$4:$N$353,0),0)=0,"",INDEX('كشف الحساب'!$F$4:$F$353,IFERROR(MATCH(100,'كشف الحساب'!$N$4:$N$353,0),0))),"")</f>
        <v/>
      </c>
      <c r="G104" s="70" t="str">
        <f>IFERROR(IF(IFERROR(MATCH(100,'كشف الحساب'!$N$4:$N$353,0),0)=0,"",INDEX('كشف الحساب'!$G$4:$G$353,IFERROR(MATCH(100,'كشف الحساب'!$N$4:$N$353,0),0))),"")</f>
        <v/>
      </c>
      <c r="H104" s="70" t="str">
        <f>IFERROR(IF(IFERROR(MATCH(100,'كشف الحساب'!$N$4:$N$353,0),0)=0,"",INDEX('كشف الحساب'!$H$4:$H$353,IFERROR(MATCH(100,'كشف الحساب'!$N$4:$N$353,0),0))),"")</f>
        <v/>
      </c>
      <c r="I104" s="70" t="str">
        <f>IFERROR(IF(IFERROR(MATCH(100,'كشف الحساب'!$N$4:$N$353,0),0)=0,"",INDEX('كشف الحساب'!$I$4:$I$353,IFERROR(MATCH(100,'كشف الحساب'!$N$4:$N$353,0),0))),"")</f>
        <v/>
      </c>
      <c r="J104" s="74" t="str">
        <f>IFERROR(IF(IFERROR(MATCH(100,'كشف الحساب'!$N$4:$N$353,0),0)=0,"",INDEX('كشف الحساب'!$J$4:$J$353,IFERROR(MATCH(100,'كشف الحساب'!$N$4:$N$353,0),0))),"")</f>
        <v/>
      </c>
      <c r="K104" s="70" t="str">
        <f>IFERROR(IF(IFERROR(MATCH(100,'كشف الحساب'!$N$4:$N$353,0),0)=0,"",INDEX('كشف الحساب'!$K$4:$K$353,IFERROR(MATCH(100,'كشف الحساب'!$N$4:$N$353,0),0))),"")</f>
        <v/>
      </c>
    </row>
    <row r="105" spans="1:11" ht="15" customHeight="1" x14ac:dyDescent="0.25">
      <c r="A105" s="63" t="str">
        <f>IFERROR(IF(IFERROR(MATCH(101,'كشف الحساب'!$N$4:$N$353,0),0)=0,"",INDEX('كشف الحساب'!$A$4:$A$353,IFERROR(MATCH(101,'كشف الحساب'!$N$4:$N$353,0),0))),"")</f>
        <v/>
      </c>
      <c r="B105" s="64" t="str">
        <f>IFERROR(IF(IFERROR(MATCH(101,'كشف الحساب'!$N$4:$N$353,0),0)=0,"",INDEX('كشف الحساب'!$B$4:$B$353,IFERROR(MATCH(101,'كشف الحساب'!$N$4:$N$353,0),0))),"")</f>
        <v/>
      </c>
      <c r="C105" s="65" t="str">
        <f>IFERROR(IF(IFERROR(MATCH(101,'كشف الحساب'!$N$4:$N$353,0),0)=0,"",INDEX('كشف الحساب'!$C$4:$C$353,IFERROR(MATCH(101,'كشف الحساب'!$N$4:$N$353,0),0))),"")</f>
        <v/>
      </c>
      <c r="D105" s="66" t="str">
        <f>IFERROR(IF(IFERROR(MATCH(101,'كشف الحساب'!$N$4:$N$353,0),0)=0,"",INDEX('كشف الحساب'!$D$4:$D$353,IFERROR(MATCH(101,'كشف الحساب'!$N$4:$N$353,0),0))),"")</f>
        <v/>
      </c>
      <c r="E105" s="67" t="str">
        <f>IFERROR(IF(IFERROR(MATCH(101,'كشف الحساب'!$N$4:$N$353,0),0)=0,"",INDEX('كشف الحساب'!$E$4:$E$353,IFERROR(MATCH(101,'كشف الحساب'!$N$4:$N$353,0),0))),"")</f>
        <v/>
      </c>
      <c r="F105" s="64" t="str">
        <f>IFERROR(IF(IFERROR(MATCH(101,'كشف الحساب'!$N$4:$N$353,0),0)=0,"",INDEX('كشف الحساب'!$F$4:$F$353,IFERROR(MATCH(101,'كشف الحساب'!$N$4:$N$353,0),0))),"")</f>
        <v/>
      </c>
      <c r="G105" s="64" t="str">
        <f>IFERROR(IF(IFERROR(MATCH(101,'كشف الحساب'!$N$4:$N$353,0),0)=0,"",INDEX('كشف الحساب'!$G$4:$G$353,IFERROR(MATCH(101,'كشف الحساب'!$N$4:$N$353,0),0))),"")</f>
        <v/>
      </c>
      <c r="H105" s="64" t="str">
        <f>IFERROR(IF(IFERROR(MATCH(101,'كشف الحساب'!$N$4:$N$353,0),0)=0,"",INDEX('كشف الحساب'!$H$4:$H$353,IFERROR(MATCH(101,'كشف الحساب'!$N$4:$N$353,0),0))),"")</f>
        <v/>
      </c>
      <c r="I105" s="64" t="str">
        <f>IFERROR(IF(IFERROR(MATCH(101,'كشف الحساب'!$N$4:$N$353,0),0)=0,"",INDEX('كشف الحساب'!$I$4:$I$353,IFERROR(MATCH(101,'كشف الحساب'!$N$4:$N$353,0),0))),"")</f>
        <v/>
      </c>
      <c r="J105" s="68" t="str">
        <f>IFERROR(IF(IFERROR(MATCH(101,'كشف الحساب'!$N$4:$N$353,0),0)=0,"",INDEX('كشف الحساب'!$J$4:$J$353,IFERROR(MATCH(101,'كشف الحساب'!$N$4:$N$353,0),0))),"")</f>
        <v/>
      </c>
      <c r="K105" s="64" t="str">
        <f>IFERROR(IF(IFERROR(MATCH(101,'كشف الحساب'!$N$4:$N$353,0),0)=0,"",INDEX('كشف الحساب'!$K$4:$K$353,IFERROR(MATCH(101,'كشف الحساب'!$N$4:$N$353,0),0))),"")</f>
        <v/>
      </c>
    </row>
    <row r="106" spans="1:11" ht="15" customHeight="1" x14ac:dyDescent="0.25">
      <c r="A106" s="69" t="str">
        <f>IFERROR(IF(IFERROR(MATCH(102,'كشف الحساب'!$N$4:$N$353,0),0)=0,"",INDEX('كشف الحساب'!$A$4:$A$353,IFERROR(MATCH(102,'كشف الحساب'!$N$4:$N$353,0),0))),"")</f>
        <v/>
      </c>
      <c r="B106" s="70" t="str">
        <f>IFERROR(IF(IFERROR(MATCH(102,'كشف الحساب'!$N$4:$N$353,0),0)=0,"",INDEX('كشف الحساب'!$B$4:$B$353,IFERROR(MATCH(102,'كشف الحساب'!$N$4:$N$353,0),0))),"")</f>
        <v/>
      </c>
      <c r="C106" s="71" t="str">
        <f>IFERROR(IF(IFERROR(MATCH(102,'كشف الحساب'!$N$4:$N$353,0),0)=0,"",INDEX('كشف الحساب'!$C$4:$C$353,IFERROR(MATCH(102,'كشف الحساب'!$N$4:$N$353,0),0))),"")</f>
        <v/>
      </c>
      <c r="D106" s="72" t="str">
        <f>IFERROR(IF(IFERROR(MATCH(102,'كشف الحساب'!$N$4:$N$353,0),0)=0,"",INDEX('كشف الحساب'!$D$4:$D$353,IFERROR(MATCH(102,'كشف الحساب'!$N$4:$N$353,0),0))),"")</f>
        <v/>
      </c>
      <c r="E106" s="73" t="str">
        <f>IFERROR(IF(IFERROR(MATCH(102,'كشف الحساب'!$N$4:$N$353,0),0)=0,"",INDEX('كشف الحساب'!$E$4:$E$353,IFERROR(MATCH(102,'كشف الحساب'!$N$4:$N$353,0),0))),"")</f>
        <v/>
      </c>
      <c r="F106" s="70" t="str">
        <f>IFERROR(IF(IFERROR(MATCH(102,'كشف الحساب'!$N$4:$N$353,0),0)=0,"",INDEX('كشف الحساب'!$F$4:$F$353,IFERROR(MATCH(102,'كشف الحساب'!$N$4:$N$353,0),0))),"")</f>
        <v/>
      </c>
      <c r="G106" s="70" t="str">
        <f>IFERROR(IF(IFERROR(MATCH(102,'كشف الحساب'!$N$4:$N$353,0),0)=0,"",INDEX('كشف الحساب'!$G$4:$G$353,IFERROR(MATCH(102,'كشف الحساب'!$N$4:$N$353,0),0))),"")</f>
        <v/>
      </c>
      <c r="H106" s="70" t="str">
        <f>IFERROR(IF(IFERROR(MATCH(102,'كشف الحساب'!$N$4:$N$353,0),0)=0,"",INDEX('كشف الحساب'!$H$4:$H$353,IFERROR(MATCH(102,'كشف الحساب'!$N$4:$N$353,0),0))),"")</f>
        <v/>
      </c>
      <c r="I106" s="70" t="str">
        <f>IFERROR(IF(IFERROR(MATCH(102,'كشف الحساب'!$N$4:$N$353,0),0)=0,"",INDEX('كشف الحساب'!$I$4:$I$353,IFERROR(MATCH(102,'كشف الحساب'!$N$4:$N$353,0),0))),"")</f>
        <v/>
      </c>
      <c r="J106" s="74" t="str">
        <f>IFERROR(IF(IFERROR(MATCH(102,'كشف الحساب'!$N$4:$N$353,0),0)=0,"",INDEX('كشف الحساب'!$J$4:$J$353,IFERROR(MATCH(102,'كشف الحساب'!$N$4:$N$353,0),0))),"")</f>
        <v/>
      </c>
      <c r="K106" s="70" t="str">
        <f>IFERROR(IF(IFERROR(MATCH(102,'كشف الحساب'!$N$4:$N$353,0),0)=0,"",INDEX('كشف الحساب'!$K$4:$K$353,IFERROR(MATCH(102,'كشف الحساب'!$N$4:$N$353,0),0))),"")</f>
        <v/>
      </c>
    </row>
    <row r="107" spans="1:11" ht="15" customHeight="1" x14ac:dyDescent="0.25">
      <c r="A107" s="63" t="str">
        <f>IFERROR(IF(IFERROR(MATCH(103,'كشف الحساب'!$N$4:$N$353,0),0)=0,"",INDEX('كشف الحساب'!$A$4:$A$353,IFERROR(MATCH(103,'كشف الحساب'!$N$4:$N$353,0),0))),"")</f>
        <v/>
      </c>
      <c r="B107" s="64" t="str">
        <f>IFERROR(IF(IFERROR(MATCH(103,'كشف الحساب'!$N$4:$N$353,0),0)=0,"",INDEX('كشف الحساب'!$B$4:$B$353,IFERROR(MATCH(103,'كشف الحساب'!$N$4:$N$353,0),0))),"")</f>
        <v/>
      </c>
      <c r="C107" s="65" t="str">
        <f>IFERROR(IF(IFERROR(MATCH(103,'كشف الحساب'!$N$4:$N$353,0),0)=0,"",INDEX('كشف الحساب'!$C$4:$C$353,IFERROR(MATCH(103,'كشف الحساب'!$N$4:$N$353,0),0))),"")</f>
        <v/>
      </c>
      <c r="D107" s="66" t="str">
        <f>IFERROR(IF(IFERROR(MATCH(103,'كشف الحساب'!$N$4:$N$353,0),0)=0,"",INDEX('كشف الحساب'!$D$4:$D$353,IFERROR(MATCH(103,'كشف الحساب'!$N$4:$N$353,0),0))),"")</f>
        <v/>
      </c>
      <c r="E107" s="67" t="str">
        <f>IFERROR(IF(IFERROR(MATCH(103,'كشف الحساب'!$N$4:$N$353,0),0)=0,"",INDEX('كشف الحساب'!$E$4:$E$353,IFERROR(MATCH(103,'كشف الحساب'!$N$4:$N$353,0),0))),"")</f>
        <v/>
      </c>
      <c r="F107" s="64" t="str">
        <f>IFERROR(IF(IFERROR(MATCH(103,'كشف الحساب'!$N$4:$N$353,0),0)=0,"",INDEX('كشف الحساب'!$F$4:$F$353,IFERROR(MATCH(103,'كشف الحساب'!$N$4:$N$353,0),0))),"")</f>
        <v/>
      </c>
      <c r="G107" s="64" t="str">
        <f>IFERROR(IF(IFERROR(MATCH(103,'كشف الحساب'!$N$4:$N$353,0),0)=0,"",INDEX('كشف الحساب'!$G$4:$G$353,IFERROR(MATCH(103,'كشف الحساب'!$N$4:$N$353,0),0))),"")</f>
        <v/>
      </c>
      <c r="H107" s="64" t="str">
        <f>IFERROR(IF(IFERROR(MATCH(103,'كشف الحساب'!$N$4:$N$353,0),0)=0,"",INDEX('كشف الحساب'!$H$4:$H$353,IFERROR(MATCH(103,'كشف الحساب'!$N$4:$N$353,0),0))),"")</f>
        <v/>
      </c>
      <c r="I107" s="64" t="str">
        <f>IFERROR(IF(IFERROR(MATCH(103,'كشف الحساب'!$N$4:$N$353,0),0)=0,"",INDEX('كشف الحساب'!$I$4:$I$353,IFERROR(MATCH(103,'كشف الحساب'!$N$4:$N$353,0),0))),"")</f>
        <v/>
      </c>
      <c r="J107" s="68" t="str">
        <f>IFERROR(IF(IFERROR(MATCH(103,'كشف الحساب'!$N$4:$N$353,0),0)=0,"",INDEX('كشف الحساب'!$J$4:$J$353,IFERROR(MATCH(103,'كشف الحساب'!$N$4:$N$353,0),0))),"")</f>
        <v/>
      </c>
      <c r="K107" s="64" t="str">
        <f>IFERROR(IF(IFERROR(MATCH(103,'كشف الحساب'!$N$4:$N$353,0),0)=0,"",INDEX('كشف الحساب'!$K$4:$K$353,IFERROR(MATCH(103,'كشف الحساب'!$N$4:$N$353,0),0))),"")</f>
        <v/>
      </c>
    </row>
    <row r="108" spans="1:11" ht="15" customHeight="1" x14ac:dyDescent="0.25">
      <c r="A108" s="69" t="str">
        <f>IFERROR(IF(IFERROR(MATCH(104,'كشف الحساب'!$N$4:$N$353,0),0)=0,"",INDEX('كشف الحساب'!$A$4:$A$353,IFERROR(MATCH(104,'كشف الحساب'!$N$4:$N$353,0),0))),"")</f>
        <v/>
      </c>
      <c r="B108" s="70" t="str">
        <f>IFERROR(IF(IFERROR(MATCH(104,'كشف الحساب'!$N$4:$N$353,0),0)=0,"",INDEX('كشف الحساب'!$B$4:$B$353,IFERROR(MATCH(104,'كشف الحساب'!$N$4:$N$353,0),0))),"")</f>
        <v/>
      </c>
      <c r="C108" s="71" t="str">
        <f>IFERROR(IF(IFERROR(MATCH(104,'كشف الحساب'!$N$4:$N$353,0),0)=0,"",INDEX('كشف الحساب'!$C$4:$C$353,IFERROR(MATCH(104,'كشف الحساب'!$N$4:$N$353,0),0))),"")</f>
        <v/>
      </c>
      <c r="D108" s="72" t="str">
        <f>IFERROR(IF(IFERROR(MATCH(104,'كشف الحساب'!$N$4:$N$353,0),0)=0,"",INDEX('كشف الحساب'!$D$4:$D$353,IFERROR(MATCH(104,'كشف الحساب'!$N$4:$N$353,0),0))),"")</f>
        <v/>
      </c>
      <c r="E108" s="73" t="str">
        <f>IFERROR(IF(IFERROR(MATCH(104,'كشف الحساب'!$N$4:$N$353,0),0)=0,"",INDEX('كشف الحساب'!$E$4:$E$353,IFERROR(MATCH(104,'كشف الحساب'!$N$4:$N$353,0),0))),"")</f>
        <v/>
      </c>
      <c r="F108" s="70" t="str">
        <f>IFERROR(IF(IFERROR(MATCH(104,'كشف الحساب'!$N$4:$N$353,0),0)=0,"",INDEX('كشف الحساب'!$F$4:$F$353,IFERROR(MATCH(104,'كشف الحساب'!$N$4:$N$353,0),0))),"")</f>
        <v/>
      </c>
      <c r="G108" s="70" t="str">
        <f>IFERROR(IF(IFERROR(MATCH(104,'كشف الحساب'!$N$4:$N$353,0),0)=0,"",INDEX('كشف الحساب'!$G$4:$G$353,IFERROR(MATCH(104,'كشف الحساب'!$N$4:$N$353,0),0))),"")</f>
        <v/>
      </c>
      <c r="H108" s="70" t="str">
        <f>IFERROR(IF(IFERROR(MATCH(104,'كشف الحساب'!$N$4:$N$353,0),0)=0,"",INDEX('كشف الحساب'!$H$4:$H$353,IFERROR(MATCH(104,'كشف الحساب'!$N$4:$N$353,0),0))),"")</f>
        <v/>
      </c>
      <c r="I108" s="70" t="str">
        <f>IFERROR(IF(IFERROR(MATCH(104,'كشف الحساب'!$N$4:$N$353,0),0)=0,"",INDEX('كشف الحساب'!$I$4:$I$353,IFERROR(MATCH(104,'كشف الحساب'!$N$4:$N$353,0),0))),"")</f>
        <v/>
      </c>
      <c r="J108" s="74" t="str">
        <f>IFERROR(IF(IFERROR(MATCH(104,'كشف الحساب'!$N$4:$N$353,0),0)=0,"",INDEX('كشف الحساب'!$J$4:$J$353,IFERROR(MATCH(104,'كشف الحساب'!$N$4:$N$353,0),0))),"")</f>
        <v/>
      </c>
      <c r="K108" s="70" t="str">
        <f>IFERROR(IF(IFERROR(MATCH(104,'كشف الحساب'!$N$4:$N$353,0),0)=0,"",INDEX('كشف الحساب'!$K$4:$K$353,IFERROR(MATCH(104,'كشف الحساب'!$N$4:$N$353,0),0))),"")</f>
        <v/>
      </c>
    </row>
    <row r="109" spans="1:11" ht="15" customHeight="1" x14ac:dyDescent="0.25">
      <c r="A109" s="63" t="str">
        <f>IFERROR(IF(IFERROR(MATCH(105,'كشف الحساب'!$N$4:$N$353,0),0)=0,"",INDEX('كشف الحساب'!$A$4:$A$353,IFERROR(MATCH(105,'كشف الحساب'!$N$4:$N$353,0),0))),"")</f>
        <v/>
      </c>
      <c r="B109" s="64" t="str">
        <f>IFERROR(IF(IFERROR(MATCH(105,'كشف الحساب'!$N$4:$N$353,0),0)=0,"",INDEX('كشف الحساب'!$B$4:$B$353,IFERROR(MATCH(105,'كشف الحساب'!$N$4:$N$353,0),0))),"")</f>
        <v/>
      </c>
      <c r="C109" s="65" t="str">
        <f>IFERROR(IF(IFERROR(MATCH(105,'كشف الحساب'!$N$4:$N$353,0),0)=0,"",INDEX('كشف الحساب'!$C$4:$C$353,IFERROR(MATCH(105,'كشف الحساب'!$N$4:$N$353,0),0))),"")</f>
        <v/>
      </c>
      <c r="D109" s="66" t="str">
        <f>IFERROR(IF(IFERROR(MATCH(105,'كشف الحساب'!$N$4:$N$353,0),0)=0,"",INDEX('كشف الحساب'!$D$4:$D$353,IFERROR(MATCH(105,'كشف الحساب'!$N$4:$N$353,0),0))),"")</f>
        <v/>
      </c>
      <c r="E109" s="67" t="str">
        <f>IFERROR(IF(IFERROR(MATCH(105,'كشف الحساب'!$N$4:$N$353,0),0)=0,"",INDEX('كشف الحساب'!$E$4:$E$353,IFERROR(MATCH(105,'كشف الحساب'!$N$4:$N$353,0),0))),"")</f>
        <v/>
      </c>
      <c r="F109" s="64" t="str">
        <f>IFERROR(IF(IFERROR(MATCH(105,'كشف الحساب'!$N$4:$N$353,0),0)=0,"",INDEX('كشف الحساب'!$F$4:$F$353,IFERROR(MATCH(105,'كشف الحساب'!$N$4:$N$353,0),0))),"")</f>
        <v/>
      </c>
      <c r="G109" s="64" t="str">
        <f>IFERROR(IF(IFERROR(MATCH(105,'كشف الحساب'!$N$4:$N$353,0),0)=0,"",INDEX('كشف الحساب'!$G$4:$G$353,IFERROR(MATCH(105,'كشف الحساب'!$N$4:$N$353,0),0))),"")</f>
        <v/>
      </c>
      <c r="H109" s="64" t="str">
        <f>IFERROR(IF(IFERROR(MATCH(105,'كشف الحساب'!$N$4:$N$353,0),0)=0,"",INDEX('كشف الحساب'!$H$4:$H$353,IFERROR(MATCH(105,'كشف الحساب'!$N$4:$N$353,0),0))),"")</f>
        <v/>
      </c>
      <c r="I109" s="64" t="str">
        <f>IFERROR(IF(IFERROR(MATCH(105,'كشف الحساب'!$N$4:$N$353,0),0)=0,"",INDEX('كشف الحساب'!$I$4:$I$353,IFERROR(MATCH(105,'كشف الحساب'!$N$4:$N$353,0),0))),"")</f>
        <v/>
      </c>
      <c r="J109" s="68" t="str">
        <f>IFERROR(IF(IFERROR(MATCH(105,'كشف الحساب'!$N$4:$N$353,0),0)=0,"",INDEX('كشف الحساب'!$J$4:$J$353,IFERROR(MATCH(105,'كشف الحساب'!$N$4:$N$353,0),0))),"")</f>
        <v/>
      </c>
      <c r="K109" s="64" t="str">
        <f>IFERROR(IF(IFERROR(MATCH(105,'كشف الحساب'!$N$4:$N$353,0),0)=0,"",INDEX('كشف الحساب'!$K$4:$K$353,IFERROR(MATCH(105,'كشف الحساب'!$N$4:$N$353,0),0))),"")</f>
        <v/>
      </c>
    </row>
    <row r="110" spans="1:11" ht="15" customHeight="1" x14ac:dyDescent="0.25">
      <c r="A110" s="69" t="str">
        <f>IFERROR(IF(IFERROR(MATCH(106,'كشف الحساب'!$N$4:$N$353,0),0)=0,"",INDEX('كشف الحساب'!$A$4:$A$353,IFERROR(MATCH(106,'كشف الحساب'!$N$4:$N$353,0),0))),"")</f>
        <v/>
      </c>
      <c r="B110" s="70" t="str">
        <f>IFERROR(IF(IFERROR(MATCH(106,'كشف الحساب'!$N$4:$N$353,0),0)=0,"",INDEX('كشف الحساب'!$B$4:$B$353,IFERROR(MATCH(106,'كشف الحساب'!$N$4:$N$353,0),0))),"")</f>
        <v/>
      </c>
      <c r="C110" s="71" t="str">
        <f>IFERROR(IF(IFERROR(MATCH(106,'كشف الحساب'!$N$4:$N$353,0),0)=0,"",INDEX('كشف الحساب'!$C$4:$C$353,IFERROR(MATCH(106,'كشف الحساب'!$N$4:$N$353,0),0))),"")</f>
        <v/>
      </c>
      <c r="D110" s="72" t="str">
        <f>IFERROR(IF(IFERROR(MATCH(106,'كشف الحساب'!$N$4:$N$353,0),0)=0,"",INDEX('كشف الحساب'!$D$4:$D$353,IFERROR(MATCH(106,'كشف الحساب'!$N$4:$N$353,0),0))),"")</f>
        <v/>
      </c>
      <c r="E110" s="73" t="str">
        <f>IFERROR(IF(IFERROR(MATCH(106,'كشف الحساب'!$N$4:$N$353,0),0)=0,"",INDEX('كشف الحساب'!$E$4:$E$353,IFERROR(MATCH(106,'كشف الحساب'!$N$4:$N$353,0),0))),"")</f>
        <v/>
      </c>
      <c r="F110" s="70" t="str">
        <f>IFERROR(IF(IFERROR(MATCH(106,'كشف الحساب'!$N$4:$N$353,0),0)=0,"",INDEX('كشف الحساب'!$F$4:$F$353,IFERROR(MATCH(106,'كشف الحساب'!$N$4:$N$353,0),0))),"")</f>
        <v/>
      </c>
      <c r="G110" s="70" t="str">
        <f>IFERROR(IF(IFERROR(MATCH(106,'كشف الحساب'!$N$4:$N$353,0),0)=0,"",INDEX('كشف الحساب'!$G$4:$G$353,IFERROR(MATCH(106,'كشف الحساب'!$N$4:$N$353,0),0))),"")</f>
        <v/>
      </c>
      <c r="H110" s="70" t="str">
        <f>IFERROR(IF(IFERROR(MATCH(106,'كشف الحساب'!$N$4:$N$353,0),0)=0,"",INDEX('كشف الحساب'!$H$4:$H$353,IFERROR(MATCH(106,'كشف الحساب'!$N$4:$N$353,0),0))),"")</f>
        <v/>
      </c>
      <c r="I110" s="70" t="str">
        <f>IFERROR(IF(IFERROR(MATCH(106,'كشف الحساب'!$N$4:$N$353,0),0)=0,"",INDEX('كشف الحساب'!$I$4:$I$353,IFERROR(MATCH(106,'كشف الحساب'!$N$4:$N$353,0),0))),"")</f>
        <v/>
      </c>
      <c r="J110" s="74" t="str">
        <f>IFERROR(IF(IFERROR(MATCH(106,'كشف الحساب'!$N$4:$N$353,0),0)=0,"",INDEX('كشف الحساب'!$J$4:$J$353,IFERROR(MATCH(106,'كشف الحساب'!$N$4:$N$353,0),0))),"")</f>
        <v/>
      </c>
      <c r="K110" s="70" t="str">
        <f>IFERROR(IF(IFERROR(MATCH(106,'كشف الحساب'!$N$4:$N$353,0),0)=0,"",INDEX('كشف الحساب'!$K$4:$K$353,IFERROR(MATCH(106,'كشف الحساب'!$N$4:$N$353,0),0))),"")</f>
        <v/>
      </c>
    </row>
    <row r="111" spans="1:11" ht="15" customHeight="1" x14ac:dyDescent="0.25">
      <c r="A111" s="63" t="str">
        <f>IFERROR(IF(IFERROR(MATCH(107,'كشف الحساب'!$N$4:$N$353,0),0)=0,"",INDEX('كشف الحساب'!$A$4:$A$353,IFERROR(MATCH(107,'كشف الحساب'!$N$4:$N$353,0),0))),"")</f>
        <v/>
      </c>
      <c r="B111" s="64" t="str">
        <f>IFERROR(IF(IFERROR(MATCH(107,'كشف الحساب'!$N$4:$N$353,0),0)=0,"",INDEX('كشف الحساب'!$B$4:$B$353,IFERROR(MATCH(107,'كشف الحساب'!$N$4:$N$353,0),0))),"")</f>
        <v/>
      </c>
      <c r="C111" s="65" t="str">
        <f>IFERROR(IF(IFERROR(MATCH(107,'كشف الحساب'!$N$4:$N$353,0),0)=0,"",INDEX('كشف الحساب'!$C$4:$C$353,IFERROR(MATCH(107,'كشف الحساب'!$N$4:$N$353,0),0))),"")</f>
        <v/>
      </c>
      <c r="D111" s="66" t="str">
        <f>IFERROR(IF(IFERROR(MATCH(107,'كشف الحساب'!$N$4:$N$353,0),0)=0,"",INDEX('كشف الحساب'!$D$4:$D$353,IFERROR(MATCH(107,'كشف الحساب'!$N$4:$N$353,0),0))),"")</f>
        <v/>
      </c>
      <c r="E111" s="67" t="str">
        <f>IFERROR(IF(IFERROR(MATCH(107,'كشف الحساب'!$N$4:$N$353,0),0)=0,"",INDEX('كشف الحساب'!$E$4:$E$353,IFERROR(MATCH(107,'كشف الحساب'!$N$4:$N$353,0),0))),"")</f>
        <v/>
      </c>
      <c r="F111" s="64" t="str">
        <f>IFERROR(IF(IFERROR(MATCH(107,'كشف الحساب'!$N$4:$N$353,0),0)=0,"",INDEX('كشف الحساب'!$F$4:$F$353,IFERROR(MATCH(107,'كشف الحساب'!$N$4:$N$353,0),0))),"")</f>
        <v/>
      </c>
      <c r="G111" s="64" t="str">
        <f>IFERROR(IF(IFERROR(MATCH(107,'كشف الحساب'!$N$4:$N$353,0),0)=0,"",INDEX('كشف الحساب'!$G$4:$G$353,IFERROR(MATCH(107,'كشف الحساب'!$N$4:$N$353,0),0))),"")</f>
        <v/>
      </c>
      <c r="H111" s="64" t="str">
        <f>IFERROR(IF(IFERROR(MATCH(107,'كشف الحساب'!$N$4:$N$353,0),0)=0,"",INDEX('كشف الحساب'!$H$4:$H$353,IFERROR(MATCH(107,'كشف الحساب'!$N$4:$N$353,0),0))),"")</f>
        <v/>
      </c>
      <c r="I111" s="64" t="str">
        <f>IFERROR(IF(IFERROR(MATCH(107,'كشف الحساب'!$N$4:$N$353,0),0)=0,"",INDEX('كشف الحساب'!$I$4:$I$353,IFERROR(MATCH(107,'كشف الحساب'!$N$4:$N$353,0),0))),"")</f>
        <v/>
      </c>
      <c r="J111" s="68" t="str">
        <f>IFERROR(IF(IFERROR(MATCH(107,'كشف الحساب'!$N$4:$N$353,0),0)=0,"",INDEX('كشف الحساب'!$J$4:$J$353,IFERROR(MATCH(107,'كشف الحساب'!$N$4:$N$353,0),0))),"")</f>
        <v/>
      </c>
      <c r="K111" s="64" t="str">
        <f>IFERROR(IF(IFERROR(MATCH(107,'كشف الحساب'!$N$4:$N$353,0),0)=0,"",INDEX('كشف الحساب'!$K$4:$K$353,IFERROR(MATCH(107,'كشف الحساب'!$N$4:$N$353,0),0))),"")</f>
        <v/>
      </c>
    </row>
    <row r="112" spans="1:11" ht="15" customHeight="1" x14ac:dyDescent="0.25">
      <c r="A112" s="69" t="str">
        <f>IFERROR(IF(IFERROR(MATCH(108,'كشف الحساب'!$N$4:$N$353,0),0)=0,"",INDEX('كشف الحساب'!$A$4:$A$353,IFERROR(MATCH(108,'كشف الحساب'!$N$4:$N$353,0),0))),"")</f>
        <v/>
      </c>
      <c r="B112" s="70" t="str">
        <f>IFERROR(IF(IFERROR(MATCH(108,'كشف الحساب'!$N$4:$N$353,0),0)=0,"",INDEX('كشف الحساب'!$B$4:$B$353,IFERROR(MATCH(108,'كشف الحساب'!$N$4:$N$353,0),0))),"")</f>
        <v/>
      </c>
      <c r="C112" s="71" t="str">
        <f>IFERROR(IF(IFERROR(MATCH(108,'كشف الحساب'!$N$4:$N$353,0),0)=0,"",INDEX('كشف الحساب'!$C$4:$C$353,IFERROR(MATCH(108,'كشف الحساب'!$N$4:$N$353,0),0))),"")</f>
        <v/>
      </c>
      <c r="D112" s="72" t="str">
        <f>IFERROR(IF(IFERROR(MATCH(108,'كشف الحساب'!$N$4:$N$353,0),0)=0,"",INDEX('كشف الحساب'!$D$4:$D$353,IFERROR(MATCH(108,'كشف الحساب'!$N$4:$N$353,0),0))),"")</f>
        <v/>
      </c>
      <c r="E112" s="73" t="str">
        <f>IFERROR(IF(IFERROR(MATCH(108,'كشف الحساب'!$N$4:$N$353,0),0)=0,"",INDEX('كشف الحساب'!$E$4:$E$353,IFERROR(MATCH(108,'كشف الحساب'!$N$4:$N$353,0),0))),"")</f>
        <v/>
      </c>
      <c r="F112" s="70" t="str">
        <f>IFERROR(IF(IFERROR(MATCH(108,'كشف الحساب'!$N$4:$N$353,0),0)=0,"",INDEX('كشف الحساب'!$F$4:$F$353,IFERROR(MATCH(108,'كشف الحساب'!$N$4:$N$353,0),0))),"")</f>
        <v/>
      </c>
      <c r="G112" s="70" t="str">
        <f>IFERROR(IF(IFERROR(MATCH(108,'كشف الحساب'!$N$4:$N$353,0),0)=0,"",INDEX('كشف الحساب'!$G$4:$G$353,IFERROR(MATCH(108,'كشف الحساب'!$N$4:$N$353,0),0))),"")</f>
        <v/>
      </c>
      <c r="H112" s="70" t="str">
        <f>IFERROR(IF(IFERROR(MATCH(108,'كشف الحساب'!$N$4:$N$353,0),0)=0,"",INDEX('كشف الحساب'!$H$4:$H$353,IFERROR(MATCH(108,'كشف الحساب'!$N$4:$N$353,0),0))),"")</f>
        <v/>
      </c>
      <c r="I112" s="70" t="str">
        <f>IFERROR(IF(IFERROR(MATCH(108,'كشف الحساب'!$N$4:$N$353,0),0)=0,"",INDEX('كشف الحساب'!$I$4:$I$353,IFERROR(MATCH(108,'كشف الحساب'!$N$4:$N$353,0),0))),"")</f>
        <v/>
      </c>
      <c r="J112" s="74" t="str">
        <f>IFERROR(IF(IFERROR(MATCH(108,'كشف الحساب'!$N$4:$N$353,0),0)=0,"",INDEX('كشف الحساب'!$J$4:$J$353,IFERROR(MATCH(108,'كشف الحساب'!$N$4:$N$353,0),0))),"")</f>
        <v/>
      </c>
      <c r="K112" s="70" t="str">
        <f>IFERROR(IF(IFERROR(MATCH(108,'كشف الحساب'!$N$4:$N$353,0),0)=0,"",INDEX('كشف الحساب'!$K$4:$K$353,IFERROR(MATCH(108,'كشف الحساب'!$N$4:$N$353,0),0))),"")</f>
        <v/>
      </c>
    </row>
    <row r="113" spans="1:11" ht="15" customHeight="1" x14ac:dyDescent="0.25">
      <c r="A113" s="63" t="str">
        <f>IFERROR(IF(IFERROR(MATCH(109,'كشف الحساب'!$N$4:$N$353,0),0)=0,"",INDEX('كشف الحساب'!$A$4:$A$353,IFERROR(MATCH(109,'كشف الحساب'!$N$4:$N$353,0),0))),"")</f>
        <v/>
      </c>
      <c r="B113" s="64" t="str">
        <f>IFERROR(IF(IFERROR(MATCH(109,'كشف الحساب'!$N$4:$N$353,0),0)=0,"",INDEX('كشف الحساب'!$B$4:$B$353,IFERROR(MATCH(109,'كشف الحساب'!$N$4:$N$353,0),0))),"")</f>
        <v/>
      </c>
      <c r="C113" s="65" t="str">
        <f>IFERROR(IF(IFERROR(MATCH(109,'كشف الحساب'!$N$4:$N$353,0),0)=0,"",INDEX('كشف الحساب'!$C$4:$C$353,IFERROR(MATCH(109,'كشف الحساب'!$N$4:$N$353,0),0))),"")</f>
        <v/>
      </c>
      <c r="D113" s="66" t="str">
        <f>IFERROR(IF(IFERROR(MATCH(109,'كشف الحساب'!$N$4:$N$353,0),0)=0,"",INDEX('كشف الحساب'!$D$4:$D$353,IFERROR(MATCH(109,'كشف الحساب'!$N$4:$N$353,0),0))),"")</f>
        <v/>
      </c>
      <c r="E113" s="67" t="str">
        <f>IFERROR(IF(IFERROR(MATCH(109,'كشف الحساب'!$N$4:$N$353,0),0)=0,"",INDEX('كشف الحساب'!$E$4:$E$353,IFERROR(MATCH(109,'كشف الحساب'!$N$4:$N$353,0),0))),"")</f>
        <v/>
      </c>
      <c r="F113" s="64" t="str">
        <f>IFERROR(IF(IFERROR(MATCH(109,'كشف الحساب'!$N$4:$N$353,0),0)=0,"",INDEX('كشف الحساب'!$F$4:$F$353,IFERROR(MATCH(109,'كشف الحساب'!$N$4:$N$353,0),0))),"")</f>
        <v/>
      </c>
      <c r="G113" s="64" t="str">
        <f>IFERROR(IF(IFERROR(MATCH(109,'كشف الحساب'!$N$4:$N$353,0),0)=0,"",INDEX('كشف الحساب'!$G$4:$G$353,IFERROR(MATCH(109,'كشف الحساب'!$N$4:$N$353,0),0))),"")</f>
        <v/>
      </c>
      <c r="H113" s="64" t="str">
        <f>IFERROR(IF(IFERROR(MATCH(109,'كشف الحساب'!$N$4:$N$353,0),0)=0,"",INDEX('كشف الحساب'!$H$4:$H$353,IFERROR(MATCH(109,'كشف الحساب'!$N$4:$N$353,0),0))),"")</f>
        <v/>
      </c>
      <c r="I113" s="64" t="str">
        <f>IFERROR(IF(IFERROR(MATCH(109,'كشف الحساب'!$N$4:$N$353,0),0)=0,"",INDEX('كشف الحساب'!$I$4:$I$353,IFERROR(MATCH(109,'كشف الحساب'!$N$4:$N$353,0),0))),"")</f>
        <v/>
      </c>
      <c r="J113" s="68" t="str">
        <f>IFERROR(IF(IFERROR(MATCH(109,'كشف الحساب'!$N$4:$N$353,0),0)=0,"",INDEX('كشف الحساب'!$J$4:$J$353,IFERROR(MATCH(109,'كشف الحساب'!$N$4:$N$353,0),0))),"")</f>
        <v/>
      </c>
      <c r="K113" s="64" t="str">
        <f>IFERROR(IF(IFERROR(MATCH(109,'كشف الحساب'!$N$4:$N$353,0),0)=0,"",INDEX('كشف الحساب'!$K$4:$K$353,IFERROR(MATCH(109,'كشف الحساب'!$N$4:$N$353,0),0))),"")</f>
        <v/>
      </c>
    </row>
    <row r="114" spans="1:11" ht="15" customHeight="1" x14ac:dyDescent="0.25">
      <c r="A114" s="69" t="str">
        <f>IFERROR(IF(IFERROR(MATCH(110,'كشف الحساب'!$N$4:$N$353,0),0)=0,"",INDEX('كشف الحساب'!$A$4:$A$353,IFERROR(MATCH(110,'كشف الحساب'!$N$4:$N$353,0),0))),"")</f>
        <v/>
      </c>
      <c r="B114" s="70" t="str">
        <f>IFERROR(IF(IFERROR(MATCH(110,'كشف الحساب'!$N$4:$N$353,0),0)=0,"",INDEX('كشف الحساب'!$B$4:$B$353,IFERROR(MATCH(110,'كشف الحساب'!$N$4:$N$353,0),0))),"")</f>
        <v/>
      </c>
      <c r="C114" s="71" t="str">
        <f>IFERROR(IF(IFERROR(MATCH(110,'كشف الحساب'!$N$4:$N$353,0),0)=0,"",INDEX('كشف الحساب'!$C$4:$C$353,IFERROR(MATCH(110,'كشف الحساب'!$N$4:$N$353,0),0))),"")</f>
        <v/>
      </c>
      <c r="D114" s="72" t="str">
        <f>IFERROR(IF(IFERROR(MATCH(110,'كشف الحساب'!$N$4:$N$353,0),0)=0,"",INDEX('كشف الحساب'!$D$4:$D$353,IFERROR(MATCH(110,'كشف الحساب'!$N$4:$N$353,0),0))),"")</f>
        <v/>
      </c>
      <c r="E114" s="73" t="str">
        <f>IFERROR(IF(IFERROR(MATCH(110,'كشف الحساب'!$N$4:$N$353,0),0)=0,"",INDEX('كشف الحساب'!$E$4:$E$353,IFERROR(MATCH(110,'كشف الحساب'!$N$4:$N$353,0),0))),"")</f>
        <v/>
      </c>
      <c r="F114" s="70" t="str">
        <f>IFERROR(IF(IFERROR(MATCH(110,'كشف الحساب'!$N$4:$N$353,0),0)=0,"",INDEX('كشف الحساب'!$F$4:$F$353,IFERROR(MATCH(110,'كشف الحساب'!$N$4:$N$353,0),0))),"")</f>
        <v/>
      </c>
      <c r="G114" s="70" t="str">
        <f>IFERROR(IF(IFERROR(MATCH(110,'كشف الحساب'!$N$4:$N$353,0),0)=0,"",INDEX('كشف الحساب'!$G$4:$G$353,IFERROR(MATCH(110,'كشف الحساب'!$N$4:$N$353,0),0))),"")</f>
        <v/>
      </c>
      <c r="H114" s="70" t="str">
        <f>IFERROR(IF(IFERROR(MATCH(110,'كشف الحساب'!$N$4:$N$353,0),0)=0,"",INDEX('كشف الحساب'!$H$4:$H$353,IFERROR(MATCH(110,'كشف الحساب'!$N$4:$N$353,0),0))),"")</f>
        <v/>
      </c>
      <c r="I114" s="70" t="str">
        <f>IFERROR(IF(IFERROR(MATCH(110,'كشف الحساب'!$N$4:$N$353,0),0)=0,"",INDEX('كشف الحساب'!$I$4:$I$353,IFERROR(MATCH(110,'كشف الحساب'!$N$4:$N$353,0),0))),"")</f>
        <v/>
      </c>
      <c r="J114" s="74" t="str">
        <f>IFERROR(IF(IFERROR(MATCH(110,'كشف الحساب'!$N$4:$N$353,0),0)=0,"",INDEX('كشف الحساب'!$J$4:$J$353,IFERROR(MATCH(110,'كشف الحساب'!$N$4:$N$353,0),0))),"")</f>
        <v/>
      </c>
      <c r="K114" s="70" t="str">
        <f>IFERROR(IF(IFERROR(MATCH(110,'كشف الحساب'!$N$4:$N$353,0),0)=0,"",INDEX('كشف الحساب'!$K$4:$K$353,IFERROR(MATCH(110,'كشف الحساب'!$N$4:$N$353,0),0))),"")</f>
        <v/>
      </c>
    </row>
    <row r="115" spans="1:11" ht="15" customHeight="1" x14ac:dyDescent="0.25">
      <c r="A115" s="63" t="str">
        <f>IFERROR(IF(IFERROR(MATCH(111,'كشف الحساب'!$N$4:$N$353,0),0)=0,"",INDEX('كشف الحساب'!$A$4:$A$353,IFERROR(MATCH(111,'كشف الحساب'!$N$4:$N$353,0),0))),"")</f>
        <v/>
      </c>
      <c r="B115" s="64" t="str">
        <f>IFERROR(IF(IFERROR(MATCH(111,'كشف الحساب'!$N$4:$N$353,0),0)=0,"",INDEX('كشف الحساب'!$B$4:$B$353,IFERROR(MATCH(111,'كشف الحساب'!$N$4:$N$353,0),0))),"")</f>
        <v/>
      </c>
      <c r="C115" s="65" t="str">
        <f>IFERROR(IF(IFERROR(MATCH(111,'كشف الحساب'!$N$4:$N$353,0),0)=0,"",INDEX('كشف الحساب'!$C$4:$C$353,IFERROR(MATCH(111,'كشف الحساب'!$N$4:$N$353,0),0))),"")</f>
        <v/>
      </c>
      <c r="D115" s="66" t="str">
        <f>IFERROR(IF(IFERROR(MATCH(111,'كشف الحساب'!$N$4:$N$353,0),0)=0,"",INDEX('كشف الحساب'!$D$4:$D$353,IFERROR(MATCH(111,'كشف الحساب'!$N$4:$N$353,0),0))),"")</f>
        <v/>
      </c>
      <c r="E115" s="67" t="str">
        <f>IFERROR(IF(IFERROR(MATCH(111,'كشف الحساب'!$N$4:$N$353,0),0)=0,"",INDEX('كشف الحساب'!$E$4:$E$353,IFERROR(MATCH(111,'كشف الحساب'!$N$4:$N$353,0),0))),"")</f>
        <v/>
      </c>
      <c r="F115" s="64" t="str">
        <f>IFERROR(IF(IFERROR(MATCH(111,'كشف الحساب'!$N$4:$N$353,0),0)=0,"",INDEX('كشف الحساب'!$F$4:$F$353,IFERROR(MATCH(111,'كشف الحساب'!$N$4:$N$353,0),0))),"")</f>
        <v/>
      </c>
      <c r="G115" s="64" t="str">
        <f>IFERROR(IF(IFERROR(MATCH(111,'كشف الحساب'!$N$4:$N$353,0),0)=0,"",INDEX('كشف الحساب'!$G$4:$G$353,IFERROR(MATCH(111,'كشف الحساب'!$N$4:$N$353,0),0))),"")</f>
        <v/>
      </c>
      <c r="H115" s="64" t="str">
        <f>IFERROR(IF(IFERROR(MATCH(111,'كشف الحساب'!$N$4:$N$353,0),0)=0,"",INDEX('كشف الحساب'!$H$4:$H$353,IFERROR(MATCH(111,'كشف الحساب'!$N$4:$N$353,0),0))),"")</f>
        <v/>
      </c>
      <c r="I115" s="64" t="str">
        <f>IFERROR(IF(IFERROR(MATCH(111,'كشف الحساب'!$N$4:$N$353,0),0)=0,"",INDEX('كشف الحساب'!$I$4:$I$353,IFERROR(MATCH(111,'كشف الحساب'!$N$4:$N$353,0),0))),"")</f>
        <v/>
      </c>
      <c r="J115" s="68" t="str">
        <f>IFERROR(IF(IFERROR(MATCH(111,'كشف الحساب'!$N$4:$N$353,0),0)=0,"",INDEX('كشف الحساب'!$J$4:$J$353,IFERROR(MATCH(111,'كشف الحساب'!$N$4:$N$353,0),0))),"")</f>
        <v/>
      </c>
      <c r="K115" s="64" t="str">
        <f>IFERROR(IF(IFERROR(MATCH(111,'كشف الحساب'!$N$4:$N$353,0),0)=0,"",INDEX('كشف الحساب'!$K$4:$K$353,IFERROR(MATCH(111,'كشف الحساب'!$N$4:$N$353,0),0))),"")</f>
        <v/>
      </c>
    </row>
    <row r="116" spans="1:11" ht="15" customHeight="1" x14ac:dyDescent="0.25">
      <c r="A116" s="69" t="str">
        <f>IFERROR(IF(IFERROR(MATCH(112,'كشف الحساب'!$N$4:$N$353,0),0)=0,"",INDEX('كشف الحساب'!$A$4:$A$353,IFERROR(MATCH(112,'كشف الحساب'!$N$4:$N$353,0),0))),"")</f>
        <v/>
      </c>
      <c r="B116" s="70" t="str">
        <f>IFERROR(IF(IFERROR(MATCH(112,'كشف الحساب'!$N$4:$N$353,0),0)=0,"",INDEX('كشف الحساب'!$B$4:$B$353,IFERROR(MATCH(112,'كشف الحساب'!$N$4:$N$353,0),0))),"")</f>
        <v/>
      </c>
      <c r="C116" s="71" t="str">
        <f>IFERROR(IF(IFERROR(MATCH(112,'كشف الحساب'!$N$4:$N$353,0),0)=0,"",INDEX('كشف الحساب'!$C$4:$C$353,IFERROR(MATCH(112,'كشف الحساب'!$N$4:$N$353,0),0))),"")</f>
        <v/>
      </c>
      <c r="D116" s="72" t="str">
        <f>IFERROR(IF(IFERROR(MATCH(112,'كشف الحساب'!$N$4:$N$353,0),0)=0,"",INDEX('كشف الحساب'!$D$4:$D$353,IFERROR(MATCH(112,'كشف الحساب'!$N$4:$N$353,0),0))),"")</f>
        <v/>
      </c>
      <c r="E116" s="73" t="str">
        <f>IFERROR(IF(IFERROR(MATCH(112,'كشف الحساب'!$N$4:$N$353,0),0)=0,"",INDEX('كشف الحساب'!$E$4:$E$353,IFERROR(MATCH(112,'كشف الحساب'!$N$4:$N$353,0),0))),"")</f>
        <v/>
      </c>
      <c r="F116" s="70" t="str">
        <f>IFERROR(IF(IFERROR(MATCH(112,'كشف الحساب'!$N$4:$N$353,0),0)=0,"",INDEX('كشف الحساب'!$F$4:$F$353,IFERROR(MATCH(112,'كشف الحساب'!$N$4:$N$353,0),0))),"")</f>
        <v/>
      </c>
      <c r="G116" s="70" t="str">
        <f>IFERROR(IF(IFERROR(MATCH(112,'كشف الحساب'!$N$4:$N$353,0),0)=0,"",INDEX('كشف الحساب'!$G$4:$G$353,IFERROR(MATCH(112,'كشف الحساب'!$N$4:$N$353,0),0))),"")</f>
        <v/>
      </c>
      <c r="H116" s="70" t="str">
        <f>IFERROR(IF(IFERROR(MATCH(112,'كشف الحساب'!$N$4:$N$353,0),0)=0,"",INDEX('كشف الحساب'!$H$4:$H$353,IFERROR(MATCH(112,'كشف الحساب'!$N$4:$N$353,0),0))),"")</f>
        <v/>
      </c>
      <c r="I116" s="70" t="str">
        <f>IFERROR(IF(IFERROR(MATCH(112,'كشف الحساب'!$N$4:$N$353,0),0)=0,"",INDEX('كشف الحساب'!$I$4:$I$353,IFERROR(MATCH(112,'كشف الحساب'!$N$4:$N$353,0),0))),"")</f>
        <v/>
      </c>
      <c r="J116" s="74" t="str">
        <f>IFERROR(IF(IFERROR(MATCH(112,'كشف الحساب'!$N$4:$N$353,0),0)=0,"",INDEX('كشف الحساب'!$J$4:$J$353,IFERROR(MATCH(112,'كشف الحساب'!$N$4:$N$353,0),0))),"")</f>
        <v/>
      </c>
      <c r="K116" s="70" t="str">
        <f>IFERROR(IF(IFERROR(MATCH(112,'كشف الحساب'!$N$4:$N$353,0),0)=0,"",INDEX('كشف الحساب'!$K$4:$K$353,IFERROR(MATCH(112,'كشف الحساب'!$N$4:$N$353,0),0))),"")</f>
        <v/>
      </c>
    </row>
    <row r="117" spans="1:11" ht="15" customHeight="1" x14ac:dyDescent="0.25">
      <c r="A117" s="63" t="str">
        <f>IFERROR(IF(IFERROR(MATCH(113,'كشف الحساب'!$N$4:$N$353,0),0)=0,"",INDEX('كشف الحساب'!$A$4:$A$353,IFERROR(MATCH(113,'كشف الحساب'!$N$4:$N$353,0),0))),"")</f>
        <v/>
      </c>
      <c r="B117" s="64" t="str">
        <f>IFERROR(IF(IFERROR(MATCH(113,'كشف الحساب'!$N$4:$N$353,0),0)=0,"",INDEX('كشف الحساب'!$B$4:$B$353,IFERROR(MATCH(113,'كشف الحساب'!$N$4:$N$353,0),0))),"")</f>
        <v/>
      </c>
      <c r="C117" s="65" t="str">
        <f>IFERROR(IF(IFERROR(MATCH(113,'كشف الحساب'!$N$4:$N$353,0),0)=0,"",INDEX('كشف الحساب'!$C$4:$C$353,IFERROR(MATCH(113,'كشف الحساب'!$N$4:$N$353,0),0))),"")</f>
        <v/>
      </c>
      <c r="D117" s="66" t="str">
        <f>IFERROR(IF(IFERROR(MATCH(113,'كشف الحساب'!$N$4:$N$353,0),0)=0,"",INDEX('كشف الحساب'!$D$4:$D$353,IFERROR(MATCH(113,'كشف الحساب'!$N$4:$N$353,0),0))),"")</f>
        <v/>
      </c>
      <c r="E117" s="67" t="str">
        <f>IFERROR(IF(IFERROR(MATCH(113,'كشف الحساب'!$N$4:$N$353,0),0)=0,"",INDEX('كشف الحساب'!$E$4:$E$353,IFERROR(MATCH(113,'كشف الحساب'!$N$4:$N$353,0),0))),"")</f>
        <v/>
      </c>
      <c r="F117" s="64" t="str">
        <f>IFERROR(IF(IFERROR(MATCH(113,'كشف الحساب'!$N$4:$N$353,0),0)=0,"",INDEX('كشف الحساب'!$F$4:$F$353,IFERROR(MATCH(113,'كشف الحساب'!$N$4:$N$353,0),0))),"")</f>
        <v/>
      </c>
      <c r="G117" s="64" t="str">
        <f>IFERROR(IF(IFERROR(MATCH(113,'كشف الحساب'!$N$4:$N$353,0),0)=0,"",INDEX('كشف الحساب'!$G$4:$G$353,IFERROR(MATCH(113,'كشف الحساب'!$N$4:$N$353,0),0))),"")</f>
        <v/>
      </c>
      <c r="H117" s="64" t="str">
        <f>IFERROR(IF(IFERROR(MATCH(113,'كشف الحساب'!$N$4:$N$353,0),0)=0,"",INDEX('كشف الحساب'!$H$4:$H$353,IFERROR(MATCH(113,'كشف الحساب'!$N$4:$N$353,0),0))),"")</f>
        <v/>
      </c>
      <c r="I117" s="64" t="str">
        <f>IFERROR(IF(IFERROR(MATCH(113,'كشف الحساب'!$N$4:$N$353,0),0)=0,"",INDEX('كشف الحساب'!$I$4:$I$353,IFERROR(MATCH(113,'كشف الحساب'!$N$4:$N$353,0),0))),"")</f>
        <v/>
      </c>
      <c r="J117" s="68" t="str">
        <f>IFERROR(IF(IFERROR(MATCH(113,'كشف الحساب'!$N$4:$N$353,0),0)=0,"",INDEX('كشف الحساب'!$J$4:$J$353,IFERROR(MATCH(113,'كشف الحساب'!$N$4:$N$353,0),0))),"")</f>
        <v/>
      </c>
      <c r="K117" s="64" t="str">
        <f>IFERROR(IF(IFERROR(MATCH(113,'كشف الحساب'!$N$4:$N$353,0),0)=0,"",INDEX('كشف الحساب'!$K$4:$K$353,IFERROR(MATCH(113,'كشف الحساب'!$N$4:$N$353,0),0))),"")</f>
        <v/>
      </c>
    </row>
    <row r="118" spans="1:11" ht="15" customHeight="1" x14ac:dyDescent="0.25">
      <c r="A118" s="69" t="str">
        <f>IFERROR(IF(IFERROR(MATCH(114,'كشف الحساب'!$N$4:$N$353,0),0)=0,"",INDEX('كشف الحساب'!$A$4:$A$353,IFERROR(MATCH(114,'كشف الحساب'!$N$4:$N$353,0),0))),"")</f>
        <v/>
      </c>
      <c r="B118" s="70" t="str">
        <f>IFERROR(IF(IFERROR(MATCH(114,'كشف الحساب'!$N$4:$N$353,0),0)=0,"",INDEX('كشف الحساب'!$B$4:$B$353,IFERROR(MATCH(114,'كشف الحساب'!$N$4:$N$353,0),0))),"")</f>
        <v/>
      </c>
      <c r="C118" s="71" t="str">
        <f>IFERROR(IF(IFERROR(MATCH(114,'كشف الحساب'!$N$4:$N$353,0),0)=0,"",INDEX('كشف الحساب'!$C$4:$C$353,IFERROR(MATCH(114,'كشف الحساب'!$N$4:$N$353,0),0))),"")</f>
        <v/>
      </c>
      <c r="D118" s="72" t="str">
        <f>IFERROR(IF(IFERROR(MATCH(114,'كشف الحساب'!$N$4:$N$353,0),0)=0,"",INDEX('كشف الحساب'!$D$4:$D$353,IFERROR(MATCH(114,'كشف الحساب'!$N$4:$N$353,0),0))),"")</f>
        <v/>
      </c>
      <c r="E118" s="73" t="str">
        <f>IFERROR(IF(IFERROR(MATCH(114,'كشف الحساب'!$N$4:$N$353,0),0)=0,"",INDEX('كشف الحساب'!$E$4:$E$353,IFERROR(MATCH(114,'كشف الحساب'!$N$4:$N$353,0),0))),"")</f>
        <v/>
      </c>
      <c r="F118" s="70" t="str">
        <f>IFERROR(IF(IFERROR(MATCH(114,'كشف الحساب'!$N$4:$N$353,0),0)=0,"",INDEX('كشف الحساب'!$F$4:$F$353,IFERROR(MATCH(114,'كشف الحساب'!$N$4:$N$353,0),0))),"")</f>
        <v/>
      </c>
      <c r="G118" s="70" t="str">
        <f>IFERROR(IF(IFERROR(MATCH(114,'كشف الحساب'!$N$4:$N$353,0),0)=0,"",INDEX('كشف الحساب'!$G$4:$G$353,IFERROR(MATCH(114,'كشف الحساب'!$N$4:$N$353,0),0))),"")</f>
        <v/>
      </c>
      <c r="H118" s="70" t="str">
        <f>IFERROR(IF(IFERROR(MATCH(114,'كشف الحساب'!$N$4:$N$353,0),0)=0,"",INDEX('كشف الحساب'!$H$4:$H$353,IFERROR(MATCH(114,'كشف الحساب'!$N$4:$N$353,0),0))),"")</f>
        <v/>
      </c>
      <c r="I118" s="70" t="str">
        <f>IFERROR(IF(IFERROR(MATCH(114,'كشف الحساب'!$N$4:$N$353,0),0)=0,"",INDEX('كشف الحساب'!$I$4:$I$353,IFERROR(MATCH(114,'كشف الحساب'!$N$4:$N$353,0),0))),"")</f>
        <v/>
      </c>
      <c r="J118" s="74" t="str">
        <f>IFERROR(IF(IFERROR(MATCH(114,'كشف الحساب'!$N$4:$N$353,0),0)=0,"",INDEX('كشف الحساب'!$J$4:$J$353,IFERROR(MATCH(114,'كشف الحساب'!$N$4:$N$353,0),0))),"")</f>
        <v/>
      </c>
      <c r="K118" s="70" t="str">
        <f>IFERROR(IF(IFERROR(MATCH(114,'كشف الحساب'!$N$4:$N$353,0),0)=0,"",INDEX('كشف الحساب'!$K$4:$K$353,IFERROR(MATCH(114,'كشف الحساب'!$N$4:$N$353,0),0))),"")</f>
        <v/>
      </c>
    </row>
    <row r="119" spans="1:11" ht="15" customHeight="1" x14ac:dyDescent="0.25">
      <c r="A119" s="63" t="str">
        <f>IFERROR(IF(IFERROR(MATCH(115,'كشف الحساب'!$N$4:$N$353,0),0)=0,"",INDEX('كشف الحساب'!$A$4:$A$353,IFERROR(MATCH(115,'كشف الحساب'!$N$4:$N$353,0),0))),"")</f>
        <v/>
      </c>
      <c r="B119" s="64" t="str">
        <f>IFERROR(IF(IFERROR(MATCH(115,'كشف الحساب'!$N$4:$N$353,0),0)=0,"",INDEX('كشف الحساب'!$B$4:$B$353,IFERROR(MATCH(115,'كشف الحساب'!$N$4:$N$353,0),0))),"")</f>
        <v/>
      </c>
      <c r="C119" s="65" t="str">
        <f>IFERROR(IF(IFERROR(MATCH(115,'كشف الحساب'!$N$4:$N$353,0),0)=0,"",INDEX('كشف الحساب'!$C$4:$C$353,IFERROR(MATCH(115,'كشف الحساب'!$N$4:$N$353,0),0))),"")</f>
        <v/>
      </c>
      <c r="D119" s="66" t="str">
        <f>IFERROR(IF(IFERROR(MATCH(115,'كشف الحساب'!$N$4:$N$353,0),0)=0,"",INDEX('كشف الحساب'!$D$4:$D$353,IFERROR(MATCH(115,'كشف الحساب'!$N$4:$N$353,0),0))),"")</f>
        <v/>
      </c>
      <c r="E119" s="67" t="str">
        <f>IFERROR(IF(IFERROR(MATCH(115,'كشف الحساب'!$N$4:$N$353,0),0)=0,"",INDEX('كشف الحساب'!$E$4:$E$353,IFERROR(MATCH(115,'كشف الحساب'!$N$4:$N$353,0),0))),"")</f>
        <v/>
      </c>
      <c r="F119" s="64" t="str">
        <f>IFERROR(IF(IFERROR(MATCH(115,'كشف الحساب'!$N$4:$N$353,0),0)=0,"",INDEX('كشف الحساب'!$F$4:$F$353,IFERROR(MATCH(115,'كشف الحساب'!$N$4:$N$353,0),0))),"")</f>
        <v/>
      </c>
      <c r="G119" s="64" t="str">
        <f>IFERROR(IF(IFERROR(MATCH(115,'كشف الحساب'!$N$4:$N$353,0),0)=0,"",INDEX('كشف الحساب'!$G$4:$G$353,IFERROR(MATCH(115,'كشف الحساب'!$N$4:$N$353,0),0))),"")</f>
        <v/>
      </c>
      <c r="H119" s="64" t="str">
        <f>IFERROR(IF(IFERROR(MATCH(115,'كشف الحساب'!$N$4:$N$353,0),0)=0,"",INDEX('كشف الحساب'!$H$4:$H$353,IFERROR(MATCH(115,'كشف الحساب'!$N$4:$N$353,0),0))),"")</f>
        <v/>
      </c>
      <c r="I119" s="64" t="str">
        <f>IFERROR(IF(IFERROR(MATCH(115,'كشف الحساب'!$N$4:$N$353,0),0)=0,"",INDEX('كشف الحساب'!$I$4:$I$353,IFERROR(MATCH(115,'كشف الحساب'!$N$4:$N$353,0),0))),"")</f>
        <v/>
      </c>
      <c r="J119" s="68" t="str">
        <f>IFERROR(IF(IFERROR(MATCH(115,'كشف الحساب'!$N$4:$N$353,0),0)=0,"",INDEX('كشف الحساب'!$J$4:$J$353,IFERROR(MATCH(115,'كشف الحساب'!$N$4:$N$353,0),0))),"")</f>
        <v/>
      </c>
      <c r="K119" s="64" t="str">
        <f>IFERROR(IF(IFERROR(MATCH(115,'كشف الحساب'!$N$4:$N$353,0),0)=0,"",INDEX('كشف الحساب'!$K$4:$K$353,IFERROR(MATCH(115,'كشف الحساب'!$N$4:$N$353,0),0))),"")</f>
        <v/>
      </c>
    </row>
    <row r="120" spans="1:11" ht="15" customHeight="1" x14ac:dyDescent="0.25">
      <c r="A120" s="69" t="str">
        <f>IFERROR(IF(IFERROR(MATCH(116,'كشف الحساب'!$N$4:$N$353,0),0)=0,"",INDEX('كشف الحساب'!$A$4:$A$353,IFERROR(MATCH(116,'كشف الحساب'!$N$4:$N$353,0),0))),"")</f>
        <v/>
      </c>
      <c r="B120" s="70" t="str">
        <f>IFERROR(IF(IFERROR(MATCH(116,'كشف الحساب'!$N$4:$N$353,0),0)=0,"",INDEX('كشف الحساب'!$B$4:$B$353,IFERROR(MATCH(116,'كشف الحساب'!$N$4:$N$353,0),0))),"")</f>
        <v/>
      </c>
      <c r="C120" s="71" t="str">
        <f>IFERROR(IF(IFERROR(MATCH(116,'كشف الحساب'!$N$4:$N$353,0),0)=0,"",INDEX('كشف الحساب'!$C$4:$C$353,IFERROR(MATCH(116,'كشف الحساب'!$N$4:$N$353,0),0))),"")</f>
        <v/>
      </c>
      <c r="D120" s="72" t="str">
        <f>IFERROR(IF(IFERROR(MATCH(116,'كشف الحساب'!$N$4:$N$353,0),0)=0,"",INDEX('كشف الحساب'!$D$4:$D$353,IFERROR(MATCH(116,'كشف الحساب'!$N$4:$N$353,0),0))),"")</f>
        <v/>
      </c>
      <c r="E120" s="73" t="str">
        <f>IFERROR(IF(IFERROR(MATCH(116,'كشف الحساب'!$N$4:$N$353,0),0)=0,"",INDEX('كشف الحساب'!$E$4:$E$353,IFERROR(MATCH(116,'كشف الحساب'!$N$4:$N$353,0),0))),"")</f>
        <v/>
      </c>
      <c r="F120" s="70" t="str">
        <f>IFERROR(IF(IFERROR(MATCH(116,'كشف الحساب'!$N$4:$N$353,0),0)=0,"",INDEX('كشف الحساب'!$F$4:$F$353,IFERROR(MATCH(116,'كشف الحساب'!$N$4:$N$353,0),0))),"")</f>
        <v/>
      </c>
      <c r="G120" s="70" t="str">
        <f>IFERROR(IF(IFERROR(MATCH(116,'كشف الحساب'!$N$4:$N$353,0),0)=0,"",INDEX('كشف الحساب'!$G$4:$G$353,IFERROR(MATCH(116,'كشف الحساب'!$N$4:$N$353,0),0))),"")</f>
        <v/>
      </c>
      <c r="H120" s="70" t="str">
        <f>IFERROR(IF(IFERROR(MATCH(116,'كشف الحساب'!$N$4:$N$353,0),0)=0,"",INDEX('كشف الحساب'!$H$4:$H$353,IFERROR(MATCH(116,'كشف الحساب'!$N$4:$N$353,0),0))),"")</f>
        <v/>
      </c>
      <c r="I120" s="70" t="str">
        <f>IFERROR(IF(IFERROR(MATCH(116,'كشف الحساب'!$N$4:$N$353,0),0)=0,"",INDEX('كشف الحساب'!$I$4:$I$353,IFERROR(MATCH(116,'كشف الحساب'!$N$4:$N$353,0),0))),"")</f>
        <v/>
      </c>
      <c r="J120" s="74" t="str">
        <f>IFERROR(IF(IFERROR(MATCH(116,'كشف الحساب'!$N$4:$N$353,0),0)=0,"",INDEX('كشف الحساب'!$J$4:$J$353,IFERROR(MATCH(116,'كشف الحساب'!$N$4:$N$353,0),0))),"")</f>
        <v/>
      </c>
      <c r="K120" s="70" t="str">
        <f>IFERROR(IF(IFERROR(MATCH(116,'كشف الحساب'!$N$4:$N$353,0),0)=0,"",INDEX('كشف الحساب'!$K$4:$K$353,IFERROR(MATCH(116,'كشف الحساب'!$N$4:$N$353,0),0))),"")</f>
        <v/>
      </c>
    </row>
    <row r="121" spans="1:11" ht="15" customHeight="1" x14ac:dyDescent="0.25">
      <c r="A121" s="63" t="str">
        <f>IFERROR(IF(IFERROR(MATCH(117,'كشف الحساب'!$N$4:$N$353,0),0)=0,"",INDEX('كشف الحساب'!$A$4:$A$353,IFERROR(MATCH(117,'كشف الحساب'!$N$4:$N$353,0),0))),"")</f>
        <v/>
      </c>
      <c r="B121" s="64" t="str">
        <f>IFERROR(IF(IFERROR(MATCH(117,'كشف الحساب'!$N$4:$N$353,0),0)=0,"",INDEX('كشف الحساب'!$B$4:$B$353,IFERROR(MATCH(117,'كشف الحساب'!$N$4:$N$353,0),0))),"")</f>
        <v/>
      </c>
      <c r="C121" s="65" t="str">
        <f>IFERROR(IF(IFERROR(MATCH(117,'كشف الحساب'!$N$4:$N$353,0),0)=0,"",INDEX('كشف الحساب'!$C$4:$C$353,IFERROR(MATCH(117,'كشف الحساب'!$N$4:$N$353,0),0))),"")</f>
        <v/>
      </c>
      <c r="D121" s="66" t="str">
        <f>IFERROR(IF(IFERROR(MATCH(117,'كشف الحساب'!$N$4:$N$353,0),0)=0,"",INDEX('كشف الحساب'!$D$4:$D$353,IFERROR(MATCH(117,'كشف الحساب'!$N$4:$N$353,0),0))),"")</f>
        <v/>
      </c>
      <c r="E121" s="67" t="str">
        <f>IFERROR(IF(IFERROR(MATCH(117,'كشف الحساب'!$N$4:$N$353,0),0)=0,"",INDEX('كشف الحساب'!$E$4:$E$353,IFERROR(MATCH(117,'كشف الحساب'!$N$4:$N$353,0),0))),"")</f>
        <v/>
      </c>
      <c r="F121" s="64" t="str">
        <f>IFERROR(IF(IFERROR(MATCH(117,'كشف الحساب'!$N$4:$N$353,0),0)=0,"",INDEX('كشف الحساب'!$F$4:$F$353,IFERROR(MATCH(117,'كشف الحساب'!$N$4:$N$353,0),0))),"")</f>
        <v/>
      </c>
      <c r="G121" s="64" t="str">
        <f>IFERROR(IF(IFERROR(MATCH(117,'كشف الحساب'!$N$4:$N$353,0),0)=0,"",INDEX('كشف الحساب'!$G$4:$G$353,IFERROR(MATCH(117,'كشف الحساب'!$N$4:$N$353,0),0))),"")</f>
        <v/>
      </c>
      <c r="H121" s="64" t="str">
        <f>IFERROR(IF(IFERROR(MATCH(117,'كشف الحساب'!$N$4:$N$353,0),0)=0,"",INDEX('كشف الحساب'!$H$4:$H$353,IFERROR(MATCH(117,'كشف الحساب'!$N$4:$N$353,0),0))),"")</f>
        <v/>
      </c>
      <c r="I121" s="64" t="str">
        <f>IFERROR(IF(IFERROR(MATCH(117,'كشف الحساب'!$N$4:$N$353,0),0)=0,"",INDEX('كشف الحساب'!$I$4:$I$353,IFERROR(MATCH(117,'كشف الحساب'!$N$4:$N$353,0),0))),"")</f>
        <v/>
      </c>
      <c r="J121" s="68" t="str">
        <f>IFERROR(IF(IFERROR(MATCH(117,'كشف الحساب'!$N$4:$N$353,0),0)=0,"",INDEX('كشف الحساب'!$J$4:$J$353,IFERROR(MATCH(117,'كشف الحساب'!$N$4:$N$353,0),0))),"")</f>
        <v/>
      </c>
      <c r="K121" s="64" t="str">
        <f>IFERROR(IF(IFERROR(MATCH(117,'كشف الحساب'!$N$4:$N$353,0),0)=0,"",INDEX('كشف الحساب'!$K$4:$K$353,IFERROR(MATCH(117,'كشف الحساب'!$N$4:$N$353,0),0))),"")</f>
        <v/>
      </c>
    </row>
    <row r="122" spans="1:11" ht="15" customHeight="1" x14ac:dyDescent="0.25">
      <c r="A122" s="69" t="str">
        <f>IFERROR(IF(IFERROR(MATCH(118,'كشف الحساب'!$N$4:$N$353,0),0)=0,"",INDEX('كشف الحساب'!$A$4:$A$353,IFERROR(MATCH(118,'كشف الحساب'!$N$4:$N$353,0),0))),"")</f>
        <v/>
      </c>
      <c r="B122" s="70" t="str">
        <f>IFERROR(IF(IFERROR(MATCH(118,'كشف الحساب'!$N$4:$N$353,0),0)=0,"",INDEX('كشف الحساب'!$B$4:$B$353,IFERROR(MATCH(118,'كشف الحساب'!$N$4:$N$353,0),0))),"")</f>
        <v/>
      </c>
      <c r="C122" s="71" t="str">
        <f>IFERROR(IF(IFERROR(MATCH(118,'كشف الحساب'!$N$4:$N$353,0),0)=0,"",INDEX('كشف الحساب'!$C$4:$C$353,IFERROR(MATCH(118,'كشف الحساب'!$N$4:$N$353,0),0))),"")</f>
        <v/>
      </c>
      <c r="D122" s="72" t="str">
        <f>IFERROR(IF(IFERROR(MATCH(118,'كشف الحساب'!$N$4:$N$353,0),0)=0,"",INDEX('كشف الحساب'!$D$4:$D$353,IFERROR(MATCH(118,'كشف الحساب'!$N$4:$N$353,0),0))),"")</f>
        <v/>
      </c>
      <c r="E122" s="73" t="str">
        <f>IFERROR(IF(IFERROR(MATCH(118,'كشف الحساب'!$N$4:$N$353,0),0)=0,"",INDEX('كشف الحساب'!$E$4:$E$353,IFERROR(MATCH(118,'كشف الحساب'!$N$4:$N$353,0),0))),"")</f>
        <v/>
      </c>
      <c r="F122" s="70" t="str">
        <f>IFERROR(IF(IFERROR(MATCH(118,'كشف الحساب'!$N$4:$N$353,0),0)=0,"",INDEX('كشف الحساب'!$F$4:$F$353,IFERROR(MATCH(118,'كشف الحساب'!$N$4:$N$353,0),0))),"")</f>
        <v/>
      </c>
      <c r="G122" s="70" t="str">
        <f>IFERROR(IF(IFERROR(MATCH(118,'كشف الحساب'!$N$4:$N$353,0),0)=0,"",INDEX('كشف الحساب'!$G$4:$G$353,IFERROR(MATCH(118,'كشف الحساب'!$N$4:$N$353,0),0))),"")</f>
        <v/>
      </c>
      <c r="H122" s="70" t="str">
        <f>IFERROR(IF(IFERROR(MATCH(118,'كشف الحساب'!$N$4:$N$353,0),0)=0,"",INDEX('كشف الحساب'!$H$4:$H$353,IFERROR(MATCH(118,'كشف الحساب'!$N$4:$N$353,0),0))),"")</f>
        <v/>
      </c>
      <c r="I122" s="70" t="str">
        <f>IFERROR(IF(IFERROR(MATCH(118,'كشف الحساب'!$N$4:$N$353,0),0)=0,"",INDEX('كشف الحساب'!$I$4:$I$353,IFERROR(MATCH(118,'كشف الحساب'!$N$4:$N$353,0),0))),"")</f>
        <v/>
      </c>
      <c r="J122" s="74" t="str">
        <f>IFERROR(IF(IFERROR(MATCH(118,'كشف الحساب'!$N$4:$N$353,0),0)=0,"",INDEX('كشف الحساب'!$J$4:$J$353,IFERROR(MATCH(118,'كشف الحساب'!$N$4:$N$353,0),0))),"")</f>
        <v/>
      </c>
      <c r="K122" s="70" t="str">
        <f>IFERROR(IF(IFERROR(MATCH(118,'كشف الحساب'!$N$4:$N$353,0),0)=0,"",INDEX('كشف الحساب'!$K$4:$K$353,IFERROR(MATCH(118,'كشف الحساب'!$N$4:$N$353,0),0))),"")</f>
        <v/>
      </c>
    </row>
    <row r="123" spans="1:11" ht="15" customHeight="1" x14ac:dyDescent="0.25">
      <c r="A123" s="63" t="str">
        <f>IFERROR(IF(IFERROR(MATCH(119,'كشف الحساب'!$N$4:$N$353,0),0)=0,"",INDEX('كشف الحساب'!$A$4:$A$353,IFERROR(MATCH(119,'كشف الحساب'!$N$4:$N$353,0),0))),"")</f>
        <v/>
      </c>
      <c r="B123" s="64" t="str">
        <f>IFERROR(IF(IFERROR(MATCH(119,'كشف الحساب'!$N$4:$N$353,0),0)=0,"",INDEX('كشف الحساب'!$B$4:$B$353,IFERROR(MATCH(119,'كشف الحساب'!$N$4:$N$353,0),0))),"")</f>
        <v/>
      </c>
      <c r="C123" s="65" t="str">
        <f>IFERROR(IF(IFERROR(MATCH(119,'كشف الحساب'!$N$4:$N$353,0),0)=0,"",INDEX('كشف الحساب'!$C$4:$C$353,IFERROR(MATCH(119,'كشف الحساب'!$N$4:$N$353,0),0))),"")</f>
        <v/>
      </c>
      <c r="D123" s="66" t="str">
        <f>IFERROR(IF(IFERROR(MATCH(119,'كشف الحساب'!$N$4:$N$353,0),0)=0,"",INDEX('كشف الحساب'!$D$4:$D$353,IFERROR(MATCH(119,'كشف الحساب'!$N$4:$N$353,0),0))),"")</f>
        <v/>
      </c>
      <c r="E123" s="67" t="str">
        <f>IFERROR(IF(IFERROR(MATCH(119,'كشف الحساب'!$N$4:$N$353,0),0)=0,"",INDEX('كشف الحساب'!$E$4:$E$353,IFERROR(MATCH(119,'كشف الحساب'!$N$4:$N$353,0),0))),"")</f>
        <v/>
      </c>
      <c r="F123" s="64" t="str">
        <f>IFERROR(IF(IFERROR(MATCH(119,'كشف الحساب'!$N$4:$N$353,0),0)=0,"",INDEX('كشف الحساب'!$F$4:$F$353,IFERROR(MATCH(119,'كشف الحساب'!$N$4:$N$353,0),0))),"")</f>
        <v/>
      </c>
      <c r="G123" s="64" t="str">
        <f>IFERROR(IF(IFERROR(MATCH(119,'كشف الحساب'!$N$4:$N$353,0),0)=0,"",INDEX('كشف الحساب'!$G$4:$G$353,IFERROR(MATCH(119,'كشف الحساب'!$N$4:$N$353,0),0))),"")</f>
        <v/>
      </c>
      <c r="H123" s="64" t="str">
        <f>IFERROR(IF(IFERROR(MATCH(119,'كشف الحساب'!$N$4:$N$353,0),0)=0,"",INDEX('كشف الحساب'!$H$4:$H$353,IFERROR(MATCH(119,'كشف الحساب'!$N$4:$N$353,0),0))),"")</f>
        <v/>
      </c>
      <c r="I123" s="64" t="str">
        <f>IFERROR(IF(IFERROR(MATCH(119,'كشف الحساب'!$N$4:$N$353,0),0)=0,"",INDEX('كشف الحساب'!$I$4:$I$353,IFERROR(MATCH(119,'كشف الحساب'!$N$4:$N$353,0),0))),"")</f>
        <v/>
      </c>
      <c r="J123" s="68" t="str">
        <f>IFERROR(IF(IFERROR(MATCH(119,'كشف الحساب'!$N$4:$N$353,0),0)=0,"",INDEX('كشف الحساب'!$J$4:$J$353,IFERROR(MATCH(119,'كشف الحساب'!$N$4:$N$353,0),0))),"")</f>
        <v/>
      </c>
      <c r="K123" s="64" t="str">
        <f>IFERROR(IF(IFERROR(MATCH(119,'كشف الحساب'!$N$4:$N$353,0),0)=0,"",INDEX('كشف الحساب'!$K$4:$K$353,IFERROR(MATCH(119,'كشف الحساب'!$N$4:$N$353,0),0))),"")</f>
        <v/>
      </c>
    </row>
    <row r="124" spans="1:11" ht="15" customHeight="1" x14ac:dyDescent="0.25">
      <c r="A124" s="69" t="str">
        <f>IFERROR(IF(IFERROR(MATCH(120,'كشف الحساب'!$N$4:$N$353,0),0)=0,"",INDEX('كشف الحساب'!$A$4:$A$353,IFERROR(MATCH(120,'كشف الحساب'!$N$4:$N$353,0),0))),"")</f>
        <v/>
      </c>
      <c r="B124" s="70" t="str">
        <f>IFERROR(IF(IFERROR(MATCH(120,'كشف الحساب'!$N$4:$N$353,0),0)=0,"",INDEX('كشف الحساب'!$B$4:$B$353,IFERROR(MATCH(120,'كشف الحساب'!$N$4:$N$353,0),0))),"")</f>
        <v/>
      </c>
      <c r="C124" s="71" t="str">
        <f>IFERROR(IF(IFERROR(MATCH(120,'كشف الحساب'!$N$4:$N$353,0),0)=0,"",INDEX('كشف الحساب'!$C$4:$C$353,IFERROR(MATCH(120,'كشف الحساب'!$N$4:$N$353,0),0))),"")</f>
        <v/>
      </c>
      <c r="D124" s="72" t="str">
        <f>IFERROR(IF(IFERROR(MATCH(120,'كشف الحساب'!$N$4:$N$353,0),0)=0,"",INDEX('كشف الحساب'!$D$4:$D$353,IFERROR(MATCH(120,'كشف الحساب'!$N$4:$N$353,0),0))),"")</f>
        <v/>
      </c>
      <c r="E124" s="73" t="str">
        <f>IFERROR(IF(IFERROR(MATCH(120,'كشف الحساب'!$N$4:$N$353,0),0)=0,"",INDEX('كشف الحساب'!$E$4:$E$353,IFERROR(MATCH(120,'كشف الحساب'!$N$4:$N$353,0),0))),"")</f>
        <v/>
      </c>
      <c r="F124" s="70" t="str">
        <f>IFERROR(IF(IFERROR(MATCH(120,'كشف الحساب'!$N$4:$N$353,0),0)=0,"",INDEX('كشف الحساب'!$F$4:$F$353,IFERROR(MATCH(120,'كشف الحساب'!$N$4:$N$353,0),0))),"")</f>
        <v/>
      </c>
      <c r="G124" s="70" t="str">
        <f>IFERROR(IF(IFERROR(MATCH(120,'كشف الحساب'!$N$4:$N$353,0),0)=0,"",INDEX('كشف الحساب'!$G$4:$G$353,IFERROR(MATCH(120,'كشف الحساب'!$N$4:$N$353,0),0))),"")</f>
        <v/>
      </c>
      <c r="H124" s="70" t="str">
        <f>IFERROR(IF(IFERROR(MATCH(120,'كشف الحساب'!$N$4:$N$353,0),0)=0,"",INDEX('كشف الحساب'!$H$4:$H$353,IFERROR(MATCH(120,'كشف الحساب'!$N$4:$N$353,0),0))),"")</f>
        <v/>
      </c>
      <c r="I124" s="70" t="str">
        <f>IFERROR(IF(IFERROR(MATCH(120,'كشف الحساب'!$N$4:$N$353,0),0)=0,"",INDEX('كشف الحساب'!$I$4:$I$353,IFERROR(MATCH(120,'كشف الحساب'!$N$4:$N$353,0),0))),"")</f>
        <v/>
      </c>
      <c r="J124" s="74" t="str">
        <f>IFERROR(IF(IFERROR(MATCH(120,'كشف الحساب'!$N$4:$N$353,0),0)=0,"",INDEX('كشف الحساب'!$J$4:$J$353,IFERROR(MATCH(120,'كشف الحساب'!$N$4:$N$353,0),0))),"")</f>
        <v/>
      </c>
      <c r="K124" s="70" t="str">
        <f>IFERROR(IF(IFERROR(MATCH(120,'كشف الحساب'!$N$4:$N$353,0),0)=0,"",INDEX('كشف الحساب'!$K$4:$K$353,IFERROR(MATCH(120,'كشف الحساب'!$N$4:$N$353,0),0))),"")</f>
        <v/>
      </c>
    </row>
    <row r="125" spans="1:11" ht="15" customHeight="1" x14ac:dyDescent="0.25">
      <c r="A125" s="63" t="str">
        <f>IFERROR(IF(IFERROR(MATCH(121,'كشف الحساب'!$N$4:$N$353,0),0)=0,"",INDEX('كشف الحساب'!$A$4:$A$353,IFERROR(MATCH(121,'كشف الحساب'!$N$4:$N$353,0),0))),"")</f>
        <v/>
      </c>
      <c r="B125" s="64" t="str">
        <f>IFERROR(IF(IFERROR(MATCH(121,'كشف الحساب'!$N$4:$N$353,0),0)=0,"",INDEX('كشف الحساب'!$B$4:$B$353,IFERROR(MATCH(121,'كشف الحساب'!$N$4:$N$353,0),0))),"")</f>
        <v/>
      </c>
      <c r="C125" s="65" t="str">
        <f>IFERROR(IF(IFERROR(MATCH(121,'كشف الحساب'!$N$4:$N$353,0),0)=0,"",INDEX('كشف الحساب'!$C$4:$C$353,IFERROR(MATCH(121,'كشف الحساب'!$N$4:$N$353,0),0))),"")</f>
        <v/>
      </c>
      <c r="D125" s="66" t="str">
        <f>IFERROR(IF(IFERROR(MATCH(121,'كشف الحساب'!$N$4:$N$353,0),0)=0,"",INDEX('كشف الحساب'!$D$4:$D$353,IFERROR(MATCH(121,'كشف الحساب'!$N$4:$N$353,0),0))),"")</f>
        <v/>
      </c>
      <c r="E125" s="67" t="str">
        <f>IFERROR(IF(IFERROR(MATCH(121,'كشف الحساب'!$N$4:$N$353,0),0)=0,"",INDEX('كشف الحساب'!$E$4:$E$353,IFERROR(MATCH(121,'كشف الحساب'!$N$4:$N$353,0),0))),"")</f>
        <v/>
      </c>
      <c r="F125" s="64" t="str">
        <f>IFERROR(IF(IFERROR(MATCH(121,'كشف الحساب'!$N$4:$N$353,0),0)=0,"",INDEX('كشف الحساب'!$F$4:$F$353,IFERROR(MATCH(121,'كشف الحساب'!$N$4:$N$353,0),0))),"")</f>
        <v/>
      </c>
      <c r="G125" s="64" t="str">
        <f>IFERROR(IF(IFERROR(MATCH(121,'كشف الحساب'!$N$4:$N$353,0),0)=0,"",INDEX('كشف الحساب'!$G$4:$G$353,IFERROR(MATCH(121,'كشف الحساب'!$N$4:$N$353,0),0))),"")</f>
        <v/>
      </c>
      <c r="H125" s="64" t="str">
        <f>IFERROR(IF(IFERROR(MATCH(121,'كشف الحساب'!$N$4:$N$353,0),0)=0,"",INDEX('كشف الحساب'!$H$4:$H$353,IFERROR(MATCH(121,'كشف الحساب'!$N$4:$N$353,0),0))),"")</f>
        <v/>
      </c>
      <c r="I125" s="64" t="str">
        <f>IFERROR(IF(IFERROR(MATCH(121,'كشف الحساب'!$N$4:$N$353,0),0)=0,"",INDEX('كشف الحساب'!$I$4:$I$353,IFERROR(MATCH(121,'كشف الحساب'!$N$4:$N$353,0),0))),"")</f>
        <v/>
      </c>
      <c r="J125" s="68" t="str">
        <f>IFERROR(IF(IFERROR(MATCH(121,'كشف الحساب'!$N$4:$N$353,0),0)=0,"",INDEX('كشف الحساب'!$J$4:$J$353,IFERROR(MATCH(121,'كشف الحساب'!$N$4:$N$353,0),0))),"")</f>
        <v/>
      </c>
      <c r="K125" s="64" t="str">
        <f>IFERROR(IF(IFERROR(MATCH(121,'كشف الحساب'!$N$4:$N$353,0),0)=0,"",INDEX('كشف الحساب'!$K$4:$K$353,IFERROR(MATCH(121,'كشف الحساب'!$N$4:$N$353,0),0))),"")</f>
        <v/>
      </c>
    </row>
    <row r="126" spans="1:11" ht="15" customHeight="1" x14ac:dyDescent="0.25">
      <c r="A126" s="69" t="str">
        <f>IFERROR(IF(IFERROR(MATCH(122,'كشف الحساب'!$N$4:$N$353,0),0)=0,"",INDEX('كشف الحساب'!$A$4:$A$353,IFERROR(MATCH(122,'كشف الحساب'!$N$4:$N$353,0),0))),"")</f>
        <v/>
      </c>
      <c r="B126" s="70" t="str">
        <f>IFERROR(IF(IFERROR(MATCH(122,'كشف الحساب'!$N$4:$N$353,0),0)=0,"",INDEX('كشف الحساب'!$B$4:$B$353,IFERROR(MATCH(122,'كشف الحساب'!$N$4:$N$353,0),0))),"")</f>
        <v/>
      </c>
      <c r="C126" s="71" t="str">
        <f>IFERROR(IF(IFERROR(MATCH(122,'كشف الحساب'!$N$4:$N$353,0),0)=0,"",INDEX('كشف الحساب'!$C$4:$C$353,IFERROR(MATCH(122,'كشف الحساب'!$N$4:$N$353,0),0))),"")</f>
        <v/>
      </c>
      <c r="D126" s="72" t="str">
        <f>IFERROR(IF(IFERROR(MATCH(122,'كشف الحساب'!$N$4:$N$353,0),0)=0,"",INDEX('كشف الحساب'!$D$4:$D$353,IFERROR(MATCH(122,'كشف الحساب'!$N$4:$N$353,0),0))),"")</f>
        <v/>
      </c>
      <c r="E126" s="73" t="str">
        <f>IFERROR(IF(IFERROR(MATCH(122,'كشف الحساب'!$N$4:$N$353,0),0)=0,"",INDEX('كشف الحساب'!$E$4:$E$353,IFERROR(MATCH(122,'كشف الحساب'!$N$4:$N$353,0),0))),"")</f>
        <v/>
      </c>
      <c r="F126" s="70" t="str">
        <f>IFERROR(IF(IFERROR(MATCH(122,'كشف الحساب'!$N$4:$N$353,0),0)=0,"",INDEX('كشف الحساب'!$F$4:$F$353,IFERROR(MATCH(122,'كشف الحساب'!$N$4:$N$353,0),0))),"")</f>
        <v/>
      </c>
      <c r="G126" s="70" t="str">
        <f>IFERROR(IF(IFERROR(MATCH(122,'كشف الحساب'!$N$4:$N$353,0),0)=0,"",INDEX('كشف الحساب'!$G$4:$G$353,IFERROR(MATCH(122,'كشف الحساب'!$N$4:$N$353,0),0))),"")</f>
        <v/>
      </c>
      <c r="H126" s="70" t="str">
        <f>IFERROR(IF(IFERROR(MATCH(122,'كشف الحساب'!$N$4:$N$353,0),0)=0,"",INDEX('كشف الحساب'!$H$4:$H$353,IFERROR(MATCH(122,'كشف الحساب'!$N$4:$N$353,0),0))),"")</f>
        <v/>
      </c>
      <c r="I126" s="70" t="str">
        <f>IFERROR(IF(IFERROR(MATCH(122,'كشف الحساب'!$N$4:$N$353,0),0)=0,"",INDEX('كشف الحساب'!$I$4:$I$353,IFERROR(MATCH(122,'كشف الحساب'!$N$4:$N$353,0),0))),"")</f>
        <v/>
      </c>
      <c r="J126" s="74" t="str">
        <f>IFERROR(IF(IFERROR(MATCH(122,'كشف الحساب'!$N$4:$N$353,0),0)=0,"",INDEX('كشف الحساب'!$J$4:$J$353,IFERROR(MATCH(122,'كشف الحساب'!$N$4:$N$353,0),0))),"")</f>
        <v/>
      </c>
      <c r="K126" s="70" t="str">
        <f>IFERROR(IF(IFERROR(MATCH(122,'كشف الحساب'!$N$4:$N$353,0),0)=0,"",INDEX('كشف الحساب'!$K$4:$K$353,IFERROR(MATCH(122,'كشف الحساب'!$N$4:$N$353,0),0))),"")</f>
        <v/>
      </c>
    </row>
    <row r="127" spans="1:11" ht="15" customHeight="1" x14ac:dyDescent="0.25">
      <c r="A127" s="63" t="str">
        <f>IFERROR(IF(IFERROR(MATCH(123,'كشف الحساب'!$N$4:$N$353,0),0)=0,"",INDEX('كشف الحساب'!$A$4:$A$353,IFERROR(MATCH(123,'كشف الحساب'!$N$4:$N$353,0),0))),"")</f>
        <v/>
      </c>
      <c r="B127" s="64" t="str">
        <f>IFERROR(IF(IFERROR(MATCH(123,'كشف الحساب'!$N$4:$N$353,0),0)=0,"",INDEX('كشف الحساب'!$B$4:$B$353,IFERROR(MATCH(123,'كشف الحساب'!$N$4:$N$353,0),0))),"")</f>
        <v/>
      </c>
      <c r="C127" s="65" t="str">
        <f>IFERROR(IF(IFERROR(MATCH(123,'كشف الحساب'!$N$4:$N$353,0),0)=0,"",INDEX('كشف الحساب'!$C$4:$C$353,IFERROR(MATCH(123,'كشف الحساب'!$N$4:$N$353,0),0))),"")</f>
        <v/>
      </c>
      <c r="D127" s="66" t="str">
        <f>IFERROR(IF(IFERROR(MATCH(123,'كشف الحساب'!$N$4:$N$353,0),0)=0,"",INDEX('كشف الحساب'!$D$4:$D$353,IFERROR(MATCH(123,'كشف الحساب'!$N$4:$N$353,0),0))),"")</f>
        <v/>
      </c>
      <c r="E127" s="67" t="str">
        <f>IFERROR(IF(IFERROR(MATCH(123,'كشف الحساب'!$N$4:$N$353,0),0)=0,"",INDEX('كشف الحساب'!$E$4:$E$353,IFERROR(MATCH(123,'كشف الحساب'!$N$4:$N$353,0),0))),"")</f>
        <v/>
      </c>
      <c r="F127" s="64" t="str">
        <f>IFERROR(IF(IFERROR(MATCH(123,'كشف الحساب'!$N$4:$N$353,0),0)=0,"",INDEX('كشف الحساب'!$F$4:$F$353,IFERROR(MATCH(123,'كشف الحساب'!$N$4:$N$353,0),0))),"")</f>
        <v/>
      </c>
      <c r="G127" s="64" t="str">
        <f>IFERROR(IF(IFERROR(MATCH(123,'كشف الحساب'!$N$4:$N$353,0),0)=0,"",INDEX('كشف الحساب'!$G$4:$G$353,IFERROR(MATCH(123,'كشف الحساب'!$N$4:$N$353,0),0))),"")</f>
        <v/>
      </c>
      <c r="H127" s="64" t="str">
        <f>IFERROR(IF(IFERROR(MATCH(123,'كشف الحساب'!$N$4:$N$353,0),0)=0,"",INDEX('كشف الحساب'!$H$4:$H$353,IFERROR(MATCH(123,'كشف الحساب'!$N$4:$N$353,0),0))),"")</f>
        <v/>
      </c>
      <c r="I127" s="64" t="str">
        <f>IFERROR(IF(IFERROR(MATCH(123,'كشف الحساب'!$N$4:$N$353,0),0)=0,"",INDEX('كشف الحساب'!$I$4:$I$353,IFERROR(MATCH(123,'كشف الحساب'!$N$4:$N$353,0),0))),"")</f>
        <v/>
      </c>
      <c r="J127" s="68" t="str">
        <f>IFERROR(IF(IFERROR(MATCH(123,'كشف الحساب'!$N$4:$N$353,0),0)=0,"",INDEX('كشف الحساب'!$J$4:$J$353,IFERROR(MATCH(123,'كشف الحساب'!$N$4:$N$353,0),0))),"")</f>
        <v/>
      </c>
      <c r="K127" s="64" t="str">
        <f>IFERROR(IF(IFERROR(MATCH(123,'كشف الحساب'!$N$4:$N$353,0),0)=0,"",INDEX('كشف الحساب'!$K$4:$K$353,IFERROR(MATCH(123,'كشف الحساب'!$N$4:$N$353,0),0))),"")</f>
        <v/>
      </c>
    </row>
    <row r="128" spans="1:11" ht="15" customHeight="1" x14ac:dyDescent="0.25">
      <c r="A128" s="69" t="str">
        <f>IFERROR(IF(IFERROR(MATCH(124,'كشف الحساب'!$N$4:$N$353,0),0)=0,"",INDEX('كشف الحساب'!$A$4:$A$353,IFERROR(MATCH(124,'كشف الحساب'!$N$4:$N$353,0),0))),"")</f>
        <v/>
      </c>
      <c r="B128" s="70" t="str">
        <f>IFERROR(IF(IFERROR(MATCH(124,'كشف الحساب'!$N$4:$N$353,0),0)=0,"",INDEX('كشف الحساب'!$B$4:$B$353,IFERROR(MATCH(124,'كشف الحساب'!$N$4:$N$353,0),0))),"")</f>
        <v/>
      </c>
      <c r="C128" s="71" t="str">
        <f>IFERROR(IF(IFERROR(MATCH(124,'كشف الحساب'!$N$4:$N$353,0),0)=0,"",INDEX('كشف الحساب'!$C$4:$C$353,IFERROR(MATCH(124,'كشف الحساب'!$N$4:$N$353,0),0))),"")</f>
        <v/>
      </c>
      <c r="D128" s="72" t="str">
        <f>IFERROR(IF(IFERROR(MATCH(124,'كشف الحساب'!$N$4:$N$353,0),0)=0,"",INDEX('كشف الحساب'!$D$4:$D$353,IFERROR(MATCH(124,'كشف الحساب'!$N$4:$N$353,0),0))),"")</f>
        <v/>
      </c>
      <c r="E128" s="73" t="str">
        <f>IFERROR(IF(IFERROR(MATCH(124,'كشف الحساب'!$N$4:$N$353,0),0)=0,"",INDEX('كشف الحساب'!$E$4:$E$353,IFERROR(MATCH(124,'كشف الحساب'!$N$4:$N$353,0),0))),"")</f>
        <v/>
      </c>
      <c r="F128" s="70" t="str">
        <f>IFERROR(IF(IFERROR(MATCH(124,'كشف الحساب'!$N$4:$N$353,0),0)=0,"",INDEX('كشف الحساب'!$F$4:$F$353,IFERROR(MATCH(124,'كشف الحساب'!$N$4:$N$353,0),0))),"")</f>
        <v/>
      </c>
      <c r="G128" s="70" t="str">
        <f>IFERROR(IF(IFERROR(MATCH(124,'كشف الحساب'!$N$4:$N$353,0),0)=0,"",INDEX('كشف الحساب'!$G$4:$G$353,IFERROR(MATCH(124,'كشف الحساب'!$N$4:$N$353,0),0))),"")</f>
        <v/>
      </c>
      <c r="H128" s="70" t="str">
        <f>IFERROR(IF(IFERROR(MATCH(124,'كشف الحساب'!$N$4:$N$353,0),0)=0,"",INDEX('كشف الحساب'!$H$4:$H$353,IFERROR(MATCH(124,'كشف الحساب'!$N$4:$N$353,0),0))),"")</f>
        <v/>
      </c>
      <c r="I128" s="70" t="str">
        <f>IFERROR(IF(IFERROR(MATCH(124,'كشف الحساب'!$N$4:$N$353,0),0)=0,"",INDEX('كشف الحساب'!$I$4:$I$353,IFERROR(MATCH(124,'كشف الحساب'!$N$4:$N$353,0),0))),"")</f>
        <v/>
      </c>
      <c r="J128" s="74" t="str">
        <f>IFERROR(IF(IFERROR(MATCH(124,'كشف الحساب'!$N$4:$N$353,0),0)=0,"",INDEX('كشف الحساب'!$J$4:$J$353,IFERROR(MATCH(124,'كشف الحساب'!$N$4:$N$353,0),0))),"")</f>
        <v/>
      </c>
      <c r="K128" s="70" t="str">
        <f>IFERROR(IF(IFERROR(MATCH(124,'كشف الحساب'!$N$4:$N$353,0),0)=0,"",INDEX('كشف الحساب'!$K$4:$K$353,IFERROR(MATCH(124,'كشف الحساب'!$N$4:$N$353,0),0))),"")</f>
        <v/>
      </c>
    </row>
    <row r="129" spans="1:11" ht="15" customHeight="1" x14ac:dyDescent="0.25">
      <c r="A129" s="63" t="str">
        <f>IFERROR(IF(IFERROR(MATCH(125,'كشف الحساب'!$N$4:$N$353,0),0)=0,"",INDEX('كشف الحساب'!$A$4:$A$353,IFERROR(MATCH(125,'كشف الحساب'!$N$4:$N$353,0),0))),"")</f>
        <v/>
      </c>
      <c r="B129" s="64" t="str">
        <f>IFERROR(IF(IFERROR(MATCH(125,'كشف الحساب'!$N$4:$N$353,0),0)=0,"",INDEX('كشف الحساب'!$B$4:$B$353,IFERROR(MATCH(125,'كشف الحساب'!$N$4:$N$353,0),0))),"")</f>
        <v/>
      </c>
      <c r="C129" s="65" t="str">
        <f>IFERROR(IF(IFERROR(MATCH(125,'كشف الحساب'!$N$4:$N$353,0),0)=0,"",INDEX('كشف الحساب'!$C$4:$C$353,IFERROR(MATCH(125,'كشف الحساب'!$N$4:$N$353,0),0))),"")</f>
        <v/>
      </c>
      <c r="D129" s="66" t="str">
        <f>IFERROR(IF(IFERROR(MATCH(125,'كشف الحساب'!$N$4:$N$353,0),0)=0,"",INDEX('كشف الحساب'!$D$4:$D$353,IFERROR(MATCH(125,'كشف الحساب'!$N$4:$N$353,0),0))),"")</f>
        <v/>
      </c>
      <c r="E129" s="67" t="str">
        <f>IFERROR(IF(IFERROR(MATCH(125,'كشف الحساب'!$N$4:$N$353,0),0)=0,"",INDEX('كشف الحساب'!$E$4:$E$353,IFERROR(MATCH(125,'كشف الحساب'!$N$4:$N$353,0),0))),"")</f>
        <v/>
      </c>
      <c r="F129" s="64" t="str">
        <f>IFERROR(IF(IFERROR(MATCH(125,'كشف الحساب'!$N$4:$N$353,0),0)=0,"",INDEX('كشف الحساب'!$F$4:$F$353,IFERROR(MATCH(125,'كشف الحساب'!$N$4:$N$353,0),0))),"")</f>
        <v/>
      </c>
      <c r="G129" s="64" t="str">
        <f>IFERROR(IF(IFERROR(MATCH(125,'كشف الحساب'!$N$4:$N$353,0),0)=0,"",INDEX('كشف الحساب'!$G$4:$G$353,IFERROR(MATCH(125,'كشف الحساب'!$N$4:$N$353,0),0))),"")</f>
        <v/>
      </c>
      <c r="H129" s="64" t="str">
        <f>IFERROR(IF(IFERROR(MATCH(125,'كشف الحساب'!$N$4:$N$353,0),0)=0,"",INDEX('كشف الحساب'!$H$4:$H$353,IFERROR(MATCH(125,'كشف الحساب'!$N$4:$N$353,0),0))),"")</f>
        <v/>
      </c>
      <c r="I129" s="64" t="str">
        <f>IFERROR(IF(IFERROR(MATCH(125,'كشف الحساب'!$N$4:$N$353,0),0)=0,"",INDEX('كشف الحساب'!$I$4:$I$353,IFERROR(MATCH(125,'كشف الحساب'!$N$4:$N$353,0),0))),"")</f>
        <v/>
      </c>
      <c r="J129" s="68" t="str">
        <f>IFERROR(IF(IFERROR(MATCH(125,'كشف الحساب'!$N$4:$N$353,0),0)=0,"",INDEX('كشف الحساب'!$J$4:$J$353,IFERROR(MATCH(125,'كشف الحساب'!$N$4:$N$353,0),0))),"")</f>
        <v/>
      </c>
      <c r="K129" s="64" t="str">
        <f>IFERROR(IF(IFERROR(MATCH(125,'كشف الحساب'!$N$4:$N$353,0),0)=0,"",INDEX('كشف الحساب'!$K$4:$K$353,IFERROR(MATCH(125,'كشف الحساب'!$N$4:$N$353,0),0))),"")</f>
        <v/>
      </c>
    </row>
    <row r="130" spans="1:11" ht="15" customHeight="1" x14ac:dyDescent="0.25">
      <c r="A130" s="69" t="str">
        <f>IFERROR(IF(IFERROR(MATCH(126,'كشف الحساب'!$N$4:$N$353,0),0)=0,"",INDEX('كشف الحساب'!$A$4:$A$353,IFERROR(MATCH(126,'كشف الحساب'!$N$4:$N$353,0),0))),"")</f>
        <v/>
      </c>
      <c r="B130" s="70" t="str">
        <f>IFERROR(IF(IFERROR(MATCH(126,'كشف الحساب'!$N$4:$N$353,0),0)=0,"",INDEX('كشف الحساب'!$B$4:$B$353,IFERROR(MATCH(126,'كشف الحساب'!$N$4:$N$353,0),0))),"")</f>
        <v/>
      </c>
      <c r="C130" s="71" t="str">
        <f>IFERROR(IF(IFERROR(MATCH(126,'كشف الحساب'!$N$4:$N$353,0),0)=0,"",INDEX('كشف الحساب'!$C$4:$C$353,IFERROR(MATCH(126,'كشف الحساب'!$N$4:$N$353,0),0))),"")</f>
        <v/>
      </c>
      <c r="D130" s="72" t="str">
        <f>IFERROR(IF(IFERROR(MATCH(126,'كشف الحساب'!$N$4:$N$353,0),0)=0,"",INDEX('كشف الحساب'!$D$4:$D$353,IFERROR(MATCH(126,'كشف الحساب'!$N$4:$N$353,0),0))),"")</f>
        <v/>
      </c>
      <c r="E130" s="73" t="str">
        <f>IFERROR(IF(IFERROR(MATCH(126,'كشف الحساب'!$N$4:$N$353,0),0)=0,"",INDEX('كشف الحساب'!$E$4:$E$353,IFERROR(MATCH(126,'كشف الحساب'!$N$4:$N$353,0),0))),"")</f>
        <v/>
      </c>
      <c r="F130" s="70" t="str">
        <f>IFERROR(IF(IFERROR(MATCH(126,'كشف الحساب'!$N$4:$N$353,0),0)=0,"",INDEX('كشف الحساب'!$F$4:$F$353,IFERROR(MATCH(126,'كشف الحساب'!$N$4:$N$353,0),0))),"")</f>
        <v/>
      </c>
      <c r="G130" s="70" t="str">
        <f>IFERROR(IF(IFERROR(MATCH(126,'كشف الحساب'!$N$4:$N$353,0),0)=0,"",INDEX('كشف الحساب'!$G$4:$G$353,IFERROR(MATCH(126,'كشف الحساب'!$N$4:$N$353,0),0))),"")</f>
        <v/>
      </c>
      <c r="H130" s="70" t="str">
        <f>IFERROR(IF(IFERROR(MATCH(126,'كشف الحساب'!$N$4:$N$353,0),0)=0,"",INDEX('كشف الحساب'!$H$4:$H$353,IFERROR(MATCH(126,'كشف الحساب'!$N$4:$N$353,0),0))),"")</f>
        <v/>
      </c>
      <c r="I130" s="70" t="str">
        <f>IFERROR(IF(IFERROR(MATCH(126,'كشف الحساب'!$N$4:$N$353,0),0)=0,"",INDEX('كشف الحساب'!$I$4:$I$353,IFERROR(MATCH(126,'كشف الحساب'!$N$4:$N$353,0),0))),"")</f>
        <v/>
      </c>
      <c r="J130" s="74" t="str">
        <f>IFERROR(IF(IFERROR(MATCH(126,'كشف الحساب'!$N$4:$N$353,0),0)=0,"",INDEX('كشف الحساب'!$J$4:$J$353,IFERROR(MATCH(126,'كشف الحساب'!$N$4:$N$353,0),0))),"")</f>
        <v/>
      </c>
      <c r="K130" s="70" t="str">
        <f>IFERROR(IF(IFERROR(MATCH(126,'كشف الحساب'!$N$4:$N$353,0),0)=0,"",INDEX('كشف الحساب'!$K$4:$K$353,IFERROR(MATCH(126,'كشف الحساب'!$N$4:$N$353,0),0))),"")</f>
        <v/>
      </c>
    </row>
    <row r="131" spans="1:11" ht="15" customHeight="1" x14ac:dyDescent="0.25">
      <c r="A131" s="63" t="str">
        <f>IFERROR(IF(IFERROR(MATCH(127,'كشف الحساب'!$N$4:$N$353,0),0)=0,"",INDEX('كشف الحساب'!$A$4:$A$353,IFERROR(MATCH(127,'كشف الحساب'!$N$4:$N$353,0),0))),"")</f>
        <v/>
      </c>
      <c r="B131" s="64" t="str">
        <f>IFERROR(IF(IFERROR(MATCH(127,'كشف الحساب'!$N$4:$N$353,0),0)=0,"",INDEX('كشف الحساب'!$B$4:$B$353,IFERROR(MATCH(127,'كشف الحساب'!$N$4:$N$353,0),0))),"")</f>
        <v/>
      </c>
      <c r="C131" s="65" t="str">
        <f>IFERROR(IF(IFERROR(MATCH(127,'كشف الحساب'!$N$4:$N$353,0),0)=0,"",INDEX('كشف الحساب'!$C$4:$C$353,IFERROR(MATCH(127,'كشف الحساب'!$N$4:$N$353,0),0))),"")</f>
        <v/>
      </c>
      <c r="D131" s="66" t="str">
        <f>IFERROR(IF(IFERROR(MATCH(127,'كشف الحساب'!$N$4:$N$353,0),0)=0,"",INDEX('كشف الحساب'!$D$4:$D$353,IFERROR(MATCH(127,'كشف الحساب'!$N$4:$N$353,0),0))),"")</f>
        <v/>
      </c>
      <c r="E131" s="67" t="str">
        <f>IFERROR(IF(IFERROR(MATCH(127,'كشف الحساب'!$N$4:$N$353,0),0)=0,"",INDEX('كشف الحساب'!$E$4:$E$353,IFERROR(MATCH(127,'كشف الحساب'!$N$4:$N$353,0),0))),"")</f>
        <v/>
      </c>
      <c r="F131" s="64" t="str">
        <f>IFERROR(IF(IFERROR(MATCH(127,'كشف الحساب'!$N$4:$N$353,0),0)=0,"",INDEX('كشف الحساب'!$F$4:$F$353,IFERROR(MATCH(127,'كشف الحساب'!$N$4:$N$353,0),0))),"")</f>
        <v/>
      </c>
      <c r="G131" s="64" t="str">
        <f>IFERROR(IF(IFERROR(MATCH(127,'كشف الحساب'!$N$4:$N$353,0),0)=0,"",INDEX('كشف الحساب'!$G$4:$G$353,IFERROR(MATCH(127,'كشف الحساب'!$N$4:$N$353,0),0))),"")</f>
        <v/>
      </c>
      <c r="H131" s="64" t="str">
        <f>IFERROR(IF(IFERROR(MATCH(127,'كشف الحساب'!$N$4:$N$353,0),0)=0,"",INDEX('كشف الحساب'!$H$4:$H$353,IFERROR(MATCH(127,'كشف الحساب'!$N$4:$N$353,0),0))),"")</f>
        <v/>
      </c>
      <c r="I131" s="64" t="str">
        <f>IFERROR(IF(IFERROR(MATCH(127,'كشف الحساب'!$N$4:$N$353,0),0)=0,"",INDEX('كشف الحساب'!$I$4:$I$353,IFERROR(MATCH(127,'كشف الحساب'!$N$4:$N$353,0),0))),"")</f>
        <v/>
      </c>
      <c r="J131" s="68" t="str">
        <f>IFERROR(IF(IFERROR(MATCH(127,'كشف الحساب'!$N$4:$N$353,0),0)=0,"",INDEX('كشف الحساب'!$J$4:$J$353,IFERROR(MATCH(127,'كشف الحساب'!$N$4:$N$353,0),0))),"")</f>
        <v/>
      </c>
      <c r="K131" s="64" t="str">
        <f>IFERROR(IF(IFERROR(MATCH(127,'كشف الحساب'!$N$4:$N$353,0),0)=0,"",INDEX('كشف الحساب'!$K$4:$K$353,IFERROR(MATCH(127,'كشف الحساب'!$N$4:$N$353,0),0))),"")</f>
        <v/>
      </c>
    </row>
    <row r="132" spans="1:11" ht="15" customHeight="1" x14ac:dyDescent="0.25">
      <c r="A132" s="69" t="str">
        <f>IFERROR(IF(IFERROR(MATCH(128,'كشف الحساب'!$N$4:$N$353,0),0)=0,"",INDEX('كشف الحساب'!$A$4:$A$353,IFERROR(MATCH(128,'كشف الحساب'!$N$4:$N$353,0),0))),"")</f>
        <v/>
      </c>
      <c r="B132" s="70" t="str">
        <f>IFERROR(IF(IFERROR(MATCH(128,'كشف الحساب'!$N$4:$N$353,0),0)=0,"",INDEX('كشف الحساب'!$B$4:$B$353,IFERROR(MATCH(128,'كشف الحساب'!$N$4:$N$353,0),0))),"")</f>
        <v/>
      </c>
      <c r="C132" s="71" t="str">
        <f>IFERROR(IF(IFERROR(MATCH(128,'كشف الحساب'!$N$4:$N$353,0),0)=0,"",INDEX('كشف الحساب'!$C$4:$C$353,IFERROR(MATCH(128,'كشف الحساب'!$N$4:$N$353,0),0))),"")</f>
        <v/>
      </c>
      <c r="D132" s="72" t="str">
        <f>IFERROR(IF(IFERROR(MATCH(128,'كشف الحساب'!$N$4:$N$353,0),0)=0,"",INDEX('كشف الحساب'!$D$4:$D$353,IFERROR(MATCH(128,'كشف الحساب'!$N$4:$N$353,0),0))),"")</f>
        <v/>
      </c>
      <c r="E132" s="73" t="str">
        <f>IFERROR(IF(IFERROR(MATCH(128,'كشف الحساب'!$N$4:$N$353,0),0)=0,"",INDEX('كشف الحساب'!$E$4:$E$353,IFERROR(MATCH(128,'كشف الحساب'!$N$4:$N$353,0),0))),"")</f>
        <v/>
      </c>
      <c r="F132" s="70" t="str">
        <f>IFERROR(IF(IFERROR(MATCH(128,'كشف الحساب'!$N$4:$N$353,0),0)=0,"",INDEX('كشف الحساب'!$F$4:$F$353,IFERROR(MATCH(128,'كشف الحساب'!$N$4:$N$353,0),0))),"")</f>
        <v/>
      </c>
      <c r="G132" s="70" t="str">
        <f>IFERROR(IF(IFERROR(MATCH(128,'كشف الحساب'!$N$4:$N$353,0),0)=0,"",INDEX('كشف الحساب'!$G$4:$G$353,IFERROR(MATCH(128,'كشف الحساب'!$N$4:$N$353,0),0))),"")</f>
        <v/>
      </c>
      <c r="H132" s="70" t="str">
        <f>IFERROR(IF(IFERROR(MATCH(128,'كشف الحساب'!$N$4:$N$353,0),0)=0,"",INDEX('كشف الحساب'!$H$4:$H$353,IFERROR(MATCH(128,'كشف الحساب'!$N$4:$N$353,0),0))),"")</f>
        <v/>
      </c>
      <c r="I132" s="70" t="str">
        <f>IFERROR(IF(IFERROR(MATCH(128,'كشف الحساب'!$N$4:$N$353,0),0)=0,"",INDEX('كشف الحساب'!$I$4:$I$353,IFERROR(MATCH(128,'كشف الحساب'!$N$4:$N$353,0),0))),"")</f>
        <v/>
      </c>
      <c r="J132" s="74" t="str">
        <f>IFERROR(IF(IFERROR(MATCH(128,'كشف الحساب'!$N$4:$N$353,0),0)=0,"",INDEX('كشف الحساب'!$J$4:$J$353,IFERROR(MATCH(128,'كشف الحساب'!$N$4:$N$353,0),0))),"")</f>
        <v/>
      </c>
      <c r="K132" s="70" t="str">
        <f>IFERROR(IF(IFERROR(MATCH(128,'كشف الحساب'!$N$4:$N$353,0),0)=0,"",INDEX('كشف الحساب'!$K$4:$K$353,IFERROR(MATCH(128,'كشف الحساب'!$N$4:$N$353,0),0))),"")</f>
        <v/>
      </c>
    </row>
    <row r="133" spans="1:11" ht="15" customHeight="1" x14ac:dyDescent="0.25">
      <c r="A133" s="63" t="str">
        <f>IFERROR(IF(IFERROR(MATCH(129,'كشف الحساب'!$N$4:$N$353,0),0)=0,"",INDEX('كشف الحساب'!$A$4:$A$353,IFERROR(MATCH(129,'كشف الحساب'!$N$4:$N$353,0),0))),"")</f>
        <v/>
      </c>
      <c r="B133" s="64" t="str">
        <f>IFERROR(IF(IFERROR(MATCH(129,'كشف الحساب'!$N$4:$N$353,0),0)=0,"",INDEX('كشف الحساب'!$B$4:$B$353,IFERROR(MATCH(129,'كشف الحساب'!$N$4:$N$353,0),0))),"")</f>
        <v/>
      </c>
      <c r="C133" s="65" t="str">
        <f>IFERROR(IF(IFERROR(MATCH(129,'كشف الحساب'!$N$4:$N$353,0),0)=0,"",INDEX('كشف الحساب'!$C$4:$C$353,IFERROR(MATCH(129,'كشف الحساب'!$N$4:$N$353,0),0))),"")</f>
        <v/>
      </c>
      <c r="D133" s="66" t="str">
        <f>IFERROR(IF(IFERROR(MATCH(129,'كشف الحساب'!$N$4:$N$353,0),0)=0,"",INDEX('كشف الحساب'!$D$4:$D$353,IFERROR(MATCH(129,'كشف الحساب'!$N$4:$N$353,0),0))),"")</f>
        <v/>
      </c>
      <c r="E133" s="67" t="str">
        <f>IFERROR(IF(IFERROR(MATCH(129,'كشف الحساب'!$N$4:$N$353,0),0)=0,"",INDEX('كشف الحساب'!$E$4:$E$353,IFERROR(MATCH(129,'كشف الحساب'!$N$4:$N$353,0),0))),"")</f>
        <v/>
      </c>
      <c r="F133" s="64" t="str">
        <f>IFERROR(IF(IFERROR(MATCH(129,'كشف الحساب'!$N$4:$N$353,0),0)=0,"",INDEX('كشف الحساب'!$F$4:$F$353,IFERROR(MATCH(129,'كشف الحساب'!$N$4:$N$353,0),0))),"")</f>
        <v/>
      </c>
      <c r="G133" s="64" t="str">
        <f>IFERROR(IF(IFERROR(MATCH(129,'كشف الحساب'!$N$4:$N$353,0),0)=0,"",INDEX('كشف الحساب'!$G$4:$G$353,IFERROR(MATCH(129,'كشف الحساب'!$N$4:$N$353,0),0))),"")</f>
        <v/>
      </c>
      <c r="H133" s="64" t="str">
        <f>IFERROR(IF(IFERROR(MATCH(129,'كشف الحساب'!$N$4:$N$353,0),0)=0,"",INDEX('كشف الحساب'!$H$4:$H$353,IFERROR(MATCH(129,'كشف الحساب'!$N$4:$N$353,0),0))),"")</f>
        <v/>
      </c>
      <c r="I133" s="64" t="str">
        <f>IFERROR(IF(IFERROR(MATCH(129,'كشف الحساب'!$N$4:$N$353,0),0)=0,"",INDEX('كشف الحساب'!$I$4:$I$353,IFERROR(MATCH(129,'كشف الحساب'!$N$4:$N$353,0),0))),"")</f>
        <v/>
      </c>
      <c r="J133" s="68" t="str">
        <f>IFERROR(IF(IFERROR(MATCH(129,'كشف الحساب'!$N$4:$N$353,0),0)=0,"",INDEX('كشف الحساب'!$J$4:$J$353,IFERROR(MATCH(129,'كشف الحساب'!$N$4:$N$353,0),0))),"")</f>
        <v/>
      </c>
      <c r="K133" s="64" t="str">
        <f>IFERROR(IF(IFERROR(MATCH(129,'كشف الحساب'!$N$4:$N$353,0),0)=0,"",INDEX('كشف الحساب'!$K$4:$K$353,IFERROR(MATCH(129,'كشف الحساب'!$N$4:$N$353,0),0))),"")</f>
        <v/>
      </c>
    </row>
    <row r="134" spans="1:11" ht="15" customHeight="1" x14ac:dyDescent="0.25">
      <c r="A134" s="69" t="str">
        <f>IFERROR(IF(IFERROR(MATCH(130,'كشف الحساب'!$N$4:$N$353,0),0)=0,"",INDEX('كشف الحساب'!$A$4:$A$353,IFERROR(MATCH(130,'كشف الحساب'!$N$4:$N$353,0),0))),"")</f>
        <v/>
      </c>
      <c r="B134" s="70" t="str">
        <f>IFERROR(IF(IFERROR(MATCH(130,'كشف الحساب'!$N$4:$N$353,0),0)=0,"",INDEX('كشف الحساب'!$B$4:$B$353,IFERROR(MATCH(130,'كشف الحساب'!$N$4:$N$353,0),0))),"")</f>
        <v/>
      </c>
      <c r="C134" s="71" t="str">
        <f>IFERROR(IF(IFERROR(MATCH(130,'كشف الحساب'!$N$4:$N$353,0),0)=0,"",INDEX('كشف الحساب'!$C$4:$C$353,IFERROR(MATCH(130,'كشف الحساب'!$N$4:$N$353,0),0))),"")</f>
        <v/>
      </c>
      <c r="D134" s="72" t="str">
        <f>IFERROR(IF(IFERROR(MATCH(130,'كشف الحساب'!$N$4:$N$353,0),0)=0,"",INDEX('كشف الحساب'!$D$4:$D$353,IFERROR(MATCH(130,'كشف الحساب'!$N$4:$N$353,0),0))),"")</f>
        <v/>
      </c>
      <c r="E134" s="73" t="str">
        <f>IFERROR(IF(IFERROR(MATCH(130,'كشف الحساب'!$N$4:$N$353,0),0)=0,"",INDEX('كشف الحساب'!$E$4:$E$353,IFERROR(MATCH(130,'كشف الحساب'!$N$4:$N$353,0),0))),"")</f>
        <v/>
      </c>
      <c r="F134" s="70" t="str">
        <f>IFERROR(IF(IFERROR(MATCH(130,'كشف الحساب'!$N$4:$N$353,0),0)=0,"",INDEX('كشف الحساب'!$F$4:$F$353,IFERROR(MATCH(130,'كشف الحساب'!$N$4:$N$353,0),0))),"")</f>
        <v/>
      </c>
      <c r="G134" s="70" t="str">
        <f>IFERROR(IF(IFERROR(MATCH(130,'كشف الحساب'!$N$4:$N$353,0),0)=0,"",INDEX('كشف الحساب'!$G$4:$G$353,IFERROR(MATCH(130,'كشف الحساب'!$N$4:$N$353,0),0))),"")</f>
        <v/>
      </c>
      <c r="H134" s="70" t="str">
        <f>IFERROR(IF(IFERROR(MATCH(130,'كشف الحساب'!$N$4:$N$353,0),0)=0,"",INDEX('كشف الحساب'!$H$4:$H$353,IFERROR(MATCH(130,'كشف الحساب'!$N$4:$N$353,0),0))),"")</f>
        <v/>
      </c>
      <c r="I134" s="70" t="str">
        <f>IFERROR(IF(IFERROR(MATCH(130,'كشف الحساب'!$N$4:$N$353,0),0)=0,"",INDEX('كشف الحساب'!$I$4:$I$353,IFERROR(MATCH(130,'كشف الحساب'!$N$4:$N$353,0),0))),"")</f>
        <v/>
      </c>
      <c r="J134" s="74" t="str">
        <f>IFERROR(IF(IFERROR(MATCH(130,'كشف الحساب'!$N$4:$N$353,0),0)=0,"",INDEX('كشف الحساب'!$J$4:$J$353,IFERROR(MATCH(130,'كشف الحساب'!$N$4:$N$353,0),0))),"")</f>
        <v/>
      </c>
      <c r="K134" s="70" t="str">
        <f>IFERROR(IF(IFERROR(MATCH(130,'كشف الحساب'!$N$4:$N$353,0),0)=0,"",INDEX('كشف الحساب'!$K$4:$K$353,IFERROR(MATCH(130,'كشف الحساب'!$N$4:$N$353,0),0))),"")</f>
        <v/>
      </c>
    </row>
    <row r="135" spans="1:11" ht="15" customHeight="1" x14ac:dyDescent="0.25">
      <c r="A135" s="63" t="str">
        <f>IFERROR(IF(IFERROR(MATCH(131,'كشف الحساب'!$N$4:$N$353,0),0)=0,"",INDEX('كشف الحساب'!$A$4:$A$353,IFERROR(MATCH(131,'كشف الحساب'!$N$4:$N$353,0),0))),"")</f>
        <v/>
      </c>
      <c r="B135" s="64" t="str">
        <f>IFERROR(IF(IFERROR(MATCH(131,'كشف الحساب'!$N$4:$N$353,0),0)=0,"",INDEX('كشف الحساب'!$B$4:$B$353,IFERROR(MATCH(131,'كشف الحساب'!$N$4:$N$353,0),0))),"")</f>
        <v/>
      </c>
      <c r="C135" s="65" t="str">
        <f>IFERROR(IF(IFERROR(MATCH(131,'كشف الحساب'!$N$4:$N$353,0),0)=0,"",INDEX('كشف الحساب'!$C$4:$C$353,IFERROR(MATCH(131,'كشف الحساب'!$N$4:$N$353,0),0))),"")</f>
        <v/>
      </c>
      <c r="D135" s="66" t="str">
        <f>IFERROR(IF(IFERROR(MATCH(131,'كشف الحساب'!$N$4:$N$353,0),0)=0,"",INDEX('كشف الحساب'!$D$4:$D$353,IFERROR(MATCH(131,'كشف الحساب'!$N$4:$N$353,0),0))),"")</f>
        <v/>
      </c>
      <c r="E135" s="67" t="str">
        <f>IFERROR(IF(IFERROR(MATCH(131,'كشف الحساب'!$N$4:$N$353,0),0)=0,"",INDEX('كشف الحساب'!$E$4:$E$353,IFERROR(MATCH(131,'كشف الحساب'!$N$4:$N$353,0),0))),"")</f>
        <v/>
      </c>
      <c r="F135" s="64" t="str">
        <f>IFERROR(IF(IFERROR(MATCH(131,'كشف الحساب'!$N$4:$N$353,0),0)=0,"",INDEX('كشف الحساب'!$F$4:$F$353,IFERROR(MATCH(131,'كشف الحساب'!$N$4:$N$353,0),0))),"")</f>
        <v/>
      </c>
      <c r="G135" s="64" t="str">
        <f>IFERROR(IF(IFERROR(MATCH(131,'كشف الحساب'!$N$4:$N$353,0),0)=0,"",INDEX('كشف الحساب'!$G$4:$G$353,IFERROR(MATCH(131,'كشف الحساب'!$N$4:$N$353,0),0))),"")</f>
        <v/>
      </c>
      <c r="H135" s="64" t="str">
        <f>IFERROR(IF(IFERROR(MATCH(131,'كشف الحساب'!$N$4:$N$353,0),0)=0,"",INDEX('كشف الحساب'!$H$4:$H$353,IFERROR(MATCH(131,'كشف الحساب'!$N$4:$N$353,0),0))),"")</f>
        <v/>
      </c>
      <c r="I135" s="64" t="str">
        <f>IFERROR(IF(IFERROR(MATCH(131,'كشف الحساب'!$N$4:$N$353,0),0)=0,"",INDEX('كشف الحساب'!$I$4:$I$353,IFERROR(MATCH(131,'كشف الحساب'!$N$4:$N$353,0),0))),"")</f>
        <v/>
      </c>
      <c r="J135" s="68" t="str">
        <f>IFERROR(IF(IFERROR(MATCH(131,'كشف الحساب'!$N$4:$N$353,0),0)=0,"",INDEX('كشف الحساب'!$J$4:$J$353,IFERROR(MATCH(131,'كشف الحساب'!$N$4:$N$353,0),0))),"")</f>
        <v/>
      </c>
      <c r="K135" s="64" t="str">
        <f>IFERROR(IF(IFERROR(MATCH(131,'كشف الحساب'!$N$4:$N$353,0),0)=0,"",INDEX('كشف الحساب'!$K$4:$K$353,IFERROR(MATCH(131,'كشف الحساب'!$N$4:$N$353,0),0))),"")</f>
        <v/>
      </c>
    </row>
    <row r="136" spans="1:11" ht="15" customHeight="1" x14ac:dyDescent="0.25">
      <c r="A136" s="69" t="str">
        <f>IFERROR(IF(IFERROR(MATCH(132,'كشف الحساب'!$N$4:$N$353,0),0)=0,"",INDEX('كشف الحساب'!$A$4:$A$353,IFERROR(MATCH(132,'كشف الحساب'!$N$4:$N$353,0),0))),"")</f>
        <v/>
      </c>
      <c r="B136" s="70" t="str">
        <f>IFERROR(IF(IFERROR(MATCH(132,'كشف الحساب'!$N$4:$N$353,0),0)=0,"",INDEX('كشف الحساب'!$B$4:$B$353,IFERROR(MATCH(132,'كشف الحساب'!$N$4:$N$353,0),0))),"")</f>
        <v/>
      </c>
      <c r="C136" s="71" t="str">
        <f>IFERROR(IF(IFERROR(MATCH(132,'كشف الحساب'!$N$4:$N$353,0),0)=0,"",INDEX('كشف الحساب'!$C$4:$C$353,IFERROR(MATCH(132,'كشف الحساب'!$N$4:$N$353,0),0))),"")</f>
        <v/>
      </c>
      <c r="D136" s="72" t="str">
        <f>IFERROR(IF(IFERROR(MATCH(132,'كشف الحساب'!$N$4:$N$353,0),0)=0,"",INDEX('كشف الحساب'!$D$4:$D$353,IFERROR(MATCH(132,'كشف الحساب'!$N$4:$N$353,0),0))),"")</f>
        <v/>
      </c>
      <c r="E136" s="73" t="str">
        <f>IFERROR(IF(IFERROR(MATCH(132,'كشف الحساب'!$N$4:$N$353,0),0)=0,"",INDEX('كشف الحساب'!$E$4:$E$353,IFERROR(MATCH(132,'كشف الحساب'!$N$4:$N$353,0),0))),"")</f>
        <v/>
      </c>
      <c r="F136" s="70" t="str">
        <f>IFERROR(IF(IFERROR(MATCH(132,'كشف الحساب'!$N$4:$N$353,0),0)=0,"",INDEX('كشف الحساب'!$F$4:$F$353,IFERROR(MATCH(132,'كشف الحساب'!$N$4:$N$353,0),0))),"")</f>
        <v/>
      </c>
      <c r="G136" s="70" t="str">
        <f>IFERROR(IF(IFERROR(MATCH(132,'كشف الحساب'!$N$4:$N$353,0),0)=0,"",INDEX('كشف الحساب'!$G$4:$G$353,IFERROR(MATCH(132,'كشف الحساب'!$N$4:$N$353,0),0))),"")</f>
        <v/>
      </c>
      <c r="H136" s="70" t="str">
        <f>IFERROR(IF(IFERROR(MATCH(132,'كشف الحساب'!$N$4:$N$353,0),0)=0,"",INDEX('كشف الحساب'!$H$4:$H$353,IFERROR(MATCH(132,'كشف الحساب'!$N$4:$N$353,0),0))),"")</f>
        <v/>
      </c>
      <c r="I136" s="70" t="str">
        <f>IFERROR(IF(IFERROR(MATCH(132,'كشف الحساب'!$N$4:$N$353,0),0)=0,"",INDEX('كشف الحساب'!$I$4:$I$353,IFERROR(MATCH(132,'كشف الحساب'!$N$4:$N$353,0),0))),"")</f>
        <v/>
      </c>
      <c r="J136" s="74" t="str">
        <f>IFERROR(IF(IFERROR(MATCH(132,'كشف الحساب'!$N$4:$N$353,0),0)=0,"",INDEX('كشف الحساب'!$J$4:$J$353,IFERROR(MATCH(132,'كشف الحساب'!$N$4:$N$353,0),0))),"")</f>
        <v/>
      </c>
      <c r="K136" s="70" t="str">
        <f>IFERROR(IF(IFERROR(MATCH(132,'كشف الحساب'!$N$4:$N$353,0),0)=0,"",INDEX('كشف الحساب'!$K$4:$K$353,IFERROR(MATCH(132,'كشف الحساب'!$N$4:$N$353,0),0))),"")</f>
        <v/>
      </c>
    </row>
    <row r="137" spans="1:11" ht="15" customHeight="1" x14ac:dyDescent="0.25">
      <c r="A137" s="63" t="str">
        <f>IFERROR(IF(IFERROR(MATCH(133,'كشف الحساب'!$N$4:$N$353,0),0)=0,"",INDEX('كشف الحساب'!$A$4:$A$353,IFERROR(MATCH(133,'كشف الحساب'!$N$4:$N$353,0),0))),"")</f>
        <v/>
      </c>
      <c r="B137" s="64" t="str">
        <f>IFERROR(IF(IFERROR(MATCH(133,'كشف الحساب'!$N$4:$N$353,0),0)=0,"",INDEX('كشف الحساب'!$B$4:$B$353,IFERROR(MATCH(133,'كشف الحساب'!$N$4:$N$353,0),0))),"")</f>
        <v/>
      </c>
      <c r="C137" s="65" t="str">
        <f>IFERROR(IF(IFERROR(MATCH(133,'كشف الحساب'!$N$4:$N$353,0),0)=0,"",INDEX('كشف الحساب'!$C$4:$C$353,IFERROR(MATCH(133,'كشف الحساب'!$N$4:$N$353,0),0))),"")</f>
        <v/>
      </c>
      <c r="D137" s="66" t="str">
        <f>IFERROR(IF(IFERROR(MATCH(133,'كشف الحساب'!$N$4:$N$353,0),0)=0,"",INDEX('كشف الحساب'!$D$4:$D$353,IFERROR(MATCH(133,'كشف الحساب'!$N$4:$N$353,0),0))),"")</f>
        <v/>
      </c>
      <c r="E137" s="67" t="str">
        <f>IFERROR(IF(IFERROR(MATCH(133,'كشف الحساب'!$N$4:$N$353,0),0)=0,"",INDEX('كشف الحساب'!$E$4:$E$353,IFERROR(MATCH(133,'كشف الحساب'!$N$4:$N$353,0),0))),"")</f>
        <v/>
      </c>
      <c r="F137" s="64" t="str">
        <f>IFERROR(IF(IFERROR(MATCH(133,'كشف الحساب'!$N$4:$N$353,0),0)=0,"",INDEX('كشف الحساب'!$F$4:$F$353,IFERROR(MATCH(133,'كشف الحساب'!$N$4:$N$353,0),0))),"")</f>
        <v/>
      </c>
      <c r="G137" s="64" t="str">
        <f>IFERROR(IF(IFERROR(MATCH(133,'كشف الحساب'!$N$4:$N$353,0),0)=0,"",INDEX('كشف الحساب'!$G$4:$G$353,IFERROR(MATCH(133,'كشف الحساب'!$N$4:$N$353,0),0))),"")</f>
        <v/>
      </c>
      <c r="H137" s="64" t="str">
        <f>IFERROR(IF(IFERROR(MATCH(133,'كشف الحساب'!$N$4:$N$353,0),0)=0,"",INDEX('كشف الحساب'!$H$4:$H$353,IFERROR(MATCH(133,'كشف الحساب'!$N$4:$N$353,0),0))),"")</f>
        <v/>
      </c>
      <c r="I137" s="64" t="str">
        <f>IFERROR(IF(IFERROR(MATCH(133,'كشف الحساب'!$N$4:$N$353,0),0)=0,"",INDEX('كشف الحساب'!$I$4:$I$353,IFERROR(MATCH(133,'كشف الحساب'!$N$4:$N$353,0),0))),"")</f>
        <v/>
      </c>
      <c r="J137" s="68" t="str">
        <f>IFERROR(IF(IFERROR(MATCH(133,'كشف الحساب'!$N$4:$N$353,0),0)=0,"",INDEX('كشف الحساب'!$J$4:$J$353,IFERROR(MATCH(133,'كشف الحساب'!$N$4:$N$353,0),0))),"")</f>
        <v/>
      </c>
      <c r="K137" s="64" t="str">
        <f>IFERROR(IF(IFERROR(MATCH(133,'كشف الحساب'!$N$4:$N$353,0),0)=0,"",INDEX('كشف الحساب'!$K$4:$K$353,IFERROR(MATCH(133,'كشف الحساب'!$N$4:$N$353,0),0))),"")</f>
        <v/>
      </c>
    </row>
    <row r="138" spans="1:11" ht="15" customHeight="1" x14ac:dyDescent="0.25">
      <c r="A138" s="69" t="str">
        <f>IFERROR(IF(IFERROR(MATCH(134,'كشف الحساب'!$N$4:$N$353,0),0)=0,"",INDEX('كشف الحساب'!$A$4:$A$353,IFERROR(MATCH(134,'كشف الحساب'!$N$4:$N$353,0),0))),"")</f>
        <v/>
      </c>
      <c r="B138" s="70" t="str">
        <f>IFERROR(IF(IFERROR(MATCH(134,'كشف الحساب'!$N$4:$N$353,0),0)=0,"",INDEX('كشف الحساب'!$B$4:$B$353,IFERROR(MATCH(134,'كشف الحساب'!$N$4:$N$353,0),0))),"")</f>
        <v/>
      </c>
      <c r="C138" s="71" t="str">
        <f>IFERROR(IF(IFERROR(MATCH(134,'كشف الحساب'!$N$4:$N$353,0),0)=0,"",INDEX('كشف الحساب'!$C$4:$C$353,IFERROR(MATCH(134,'كشف الحساب'!$N$4:$N$353,0),0))),"")</f>
        <v/>
      </c>
      <c r="D138" s="72" t="str">
        <f>IFERROR(IF(IFERROR(MATCH(134,'كشف الحساب'!$N$4:$N$353,0),0)=0,"",INDEX('كشف الحساب'!$D$4:$D$353,IFERROR(MATCH(134,'كشف الحساب'!$N$4:$N$353,0),0))),"")</f>
        <v/>
      </c>
      <c r="E138" s="73" t="str">
        <f>IFERROR(IF(IFERROR(MATCH(134,'كشف الحساب'!$N$4:$N$353,0),0)=0,"",INDEX('كشف الحساب'!$E$4:$E$353,IFERROR(MATCH(134,'كشف الحساب'!$N$4:$N$353,0),0))),"")</f>
        <v/>
      </c>
      <c r="F138" s="70" t="str">
        <f>IFERROR(IF(IFERROR(MATCH(134,'كشف الحساب'!$N$4:$N$353,0),0)=0,"",INDEX('كشف الحساب'!$F$4:$F$353,IFERROR(MATCH(134,'كشف الحساب'!$N$4:$N$353,0),0))),"")</f>
        <v/>
      </c>
      <c r="G138" s="70" t="str">
        <f>IFERROR(IF(IFERROR(MATCH(134,'كشف الحساب'!$N$4:$N$353,0),0)=0,"",INDEX('كشف الحساب'!$G$4:$G$353,IFERROR(MATCH(134,'كشف الحساب'!$N$4:$N$353,0),0))),"")</f>
        <v/>
      </c>
      <c r="H138" s="70" t="str">
        <f>IFERROR(IF(IFERROR(MATCH(134,'كشف الحساب'!$N$4:$N$353,0),0)=0,"",INDEX('كشف الحساب'!$H$4:$H$353,IFERROR(MATCH(134,'كشف الحساب'!$N$4:$N$353,0),0))),"")</f>
        <v/>
      </c>
      <c r="I138" s="70" t="str">
        <f>IFERROR(IF(IFERROR(MATCH(134,'كشف الحساب'!$N$4:$N$353,0),0)=0,"",INDEX('كشف الحساب'!$I$4:$I$353,IFERROR(MATCH(134,'كشف الحساب'!$N$4:$N$353,0),0))),"")</f>
        <v/>
      </c>
      <c r="J138" s="74" t="str">
        <f>IFERROR(IF(IFERROR(MATCH(134,'كشف الحساب'!$N$4:$N$353,0),0)=0,"",INDEX('كشف الحساب'!$J$4:$J$353,IFERROR(MATCH(134,'كشف الحساب'!$N$4:$N$353,0),0))),"")</f>
        <v/>
      </c>
      <c r="K138" s="70" t="str">
        <f>IFERROR(IF(IFERROR(MATCH(134,'كشف الحساب'!$N$4:$N$353,0),0)=0,"",INDEX('كشف الحساب'!$K$4:$K$353,IFERROR(MATCH(134,'كشف الحساب'!$N$4:$N$353,0),0))),"")</f>
        <v/>
      </c>
    </row>
    <row r="139" spans="1:11" ht="15" customHeight="1" x14ac:dyDescent="0.25">
      <c r="A139" s="63" t="str">
        <f>IFERROR(IF(IFERROR(MATCH(135,'كشف الحساب'!$N$4:$N$353,0),0)=0,"",INDEX('كشف الحساب'!$A$4:$A$353,IFERROR(MATCH(135,'كشف الحساب'!$N$4:$N$353,0),0))),"")</f>
        <v/>
      </c>
      <c r="B139" s="64" t="str">
        <f>IFERROR(IF(IFERROR(MATCH(135,'كشف الحساب'!$N$4:$N$353,0),0)=0,"",INDEX('كشف الحساب'!$B$4:$B$353,IFERROR(MATCH(135,'كشف الحساب'!$N$4:$N$353,0),0))),"")</f>
        <v/>
      </c>
      <c r="C139" s="65" t="str">
        <f>IFERROR(IF(IFERROR(MATCH(135,'كشف الحساب'!$N$4:$N$353,0),0)=0,"",INDEX('كشف الحساب'!$C$4:$C$353,IFERROR(MATCH(135,'كشف الحساب'!$N$4:$N$353,0),0))),"")</f>
        <v/>
      </c>
      <c r="D139" s="66" t="str">
        <f>IFERROR(IF(IFERROR(MATCH(135,'كشف الحساب'!$N$4:$N$353,0),0)=0,"",INDEX('كشف الحساب'!$D$4:$D$353,IFERROR(MATCH(135,'كشف الحساب'!$N$4:$N$353,0),0))),"")</f>
        <v/>
      </c>
      <c r="E139" s="67" t="str">
        <f>IFERROR(IF(IFERROR(MATCH(135,'كشف الحساب'!$N$4:$N$353,0),0)=0,"",INDEX('كشف الحساب'!$E$4:$E$353,IFERROR(MATCH(135,'كشف الحساب'!$N$4:$N$353,0),0))),"")</f>
        <v/>
      </c>
      <c r="F139" s="64" t="str">
        <f>IFERROR(IF(IFERROR(MATCH(135,'كشف الحساب'!$N$4:$N$353,0),0)=0,"",INDEX('كشف الحساب'!$F$4:$F$353,IFERROR(MATCH(135,'كشف الحساب'!$N$4:$N$353,0),0))),"")</f>
        <v/>
      </c>
      <c r="G139" s="64" t="str">
        <f>IFERROR(IF(IFERROR(MATCH(135,'كشف الحساب'!$N$4:$N$353,0),0)=0,"",INDEX('كشف الحساب'!$G$4:$G$353,IFERROR(MATCH(135,'كشف الحساب'!$N$4:$N$353,0),0))),"")</f>
        <v/>
      </c>
      <c r="H139" s="64" t="str">
        <f>IFERROR(IF(IFERROR(MATCH(135,'كشف الحساب'!$N$4:$N$353,0),0)=0,"",INDEX('كشف الحساب'!$H$4:$H$353,IFERROR(MATCH(135,'كشف الحساب'!$N$4:$N$353,0),0))),"")</f>
        <v/>
      </c>
      <c r="I139" s="64" t="str">
        <f>IFERROR(IF(IFERROR(MATCH(135,'كشف الحساب'!$N$4:$N$353,0),0)=0,"",INDEX('كشف الحساب'!$I$4:$I$353,IFERROR(MATCH(135,'كشف الحساب'!$N$4:$N$353,0),0))),"")</f>
        <v/>
      </c>
      <c r="J139" s="68" t="str">
        <f>IFERROR(IF(IFERROR(MATCH(135,'كشف الحساب'!$N$4:$N$353,0),0)=0,"",INDEX('كشف الحساب'!$J$4:$J$353,IFERROR(MATCH(135,'كشف الحساب'!$N$4:$N$353,0),0))),"")</f>
        <v/>
      </c>
      <c r="K139" s="64" t="str">
        <f>IFERROR(IF(IFERROR(MATCH(135,'كشف الحساب'!$N$4:$N$353,0),0)=0,"",INDEX('كشف الحساب'!$K$4:$K$353,IFERROR(MATCH(135,'كشف الحساب'!$N$4:$N$353,0),0))),"")</f>
        <v/>
      </c>
    </row>
    <row r="140" spans="1:11" ht="15" customHeight="1" x14ac:dyDescent="0.25">
      <c r="A140" s="69" t="str">
        <f>IFERROR(IF(IFERROR(MATCH(136,'كشف الحساب'!$N$4:$N$353,0),0)=0,"",INDEX('كشف الحساب'!$A$4:$A$353,IFERROR(MATCH(136,'كشف الحساب'!$N$4:$N$353,0),0))),"")</f>
        <v/>
      </c>
      <c r="B140" s="70" t="str">
        <f>IFERROR(IF(IFERROR(MATCH(136,'كشف الحساب'!$N$4:$N$353,0),0)=0,"",INDEX('كشف الحساب'!$B$4:$B$353,IFERROR(MATCH(136,'كشف الحساب'!$N$4:$N$353,0),0))),"")</f>
        <v/>
      </c>
      <c r="C140" s="71" t="str">
        <f>IFERROR(IF(IFERROR(MATCH(136,'كشف الحساب'!$N$4:$N$353,0),0)=0,"",INDEX('كشف الحساب'!$C$4:$C$353,IFERROR(MATCH(136,'كشف الحساب'!$N$4:$N$353,0),0))),"")</f>
        <v/>
      </c>
      <c r="D140" s="72" t="str">
        <f>IFERROR(IF(IFERROR(MATCH(136,'كشف الحساب'!$N$4:$N$353,0),0)=0,"",INDEX('كشف الحساب'!$D$4:$D$353,IFERROR(MATCH(136,'كشف الحساب'!$N$4:$N$353,0),0))),"")</f>
        <v/>
      </c>
      <c r="E140" s="73" t="str">
        <f>IFERROR(IF(IFERROR(MATCH(136,'كشف الحساب'!$N$4:$N$353,0),0)=0,"",INDEX('كشف الحساب'!$E$4:$E$353,IFERROR(MATCH(136,'كشف الحساب'!$N$4:$N$353,0),0))),"")</f>
        <v/>
      </c>
      <c r="F140" s="70" t="str">
        <f>IFERROR(IF(IFERROR(MATCH(136,'كشف الحساب'!$N$4:$N$353,0),0)=0,"",INDEX('كشف الحساب'!$F$4:$F$353,IFERROR(MATCH(136,'كشف الحساب'!$N$4:$N$353,0),0))),"")</f>
        <v/>
      </c>
      <c r="G140" s="70" t="str">
        <f>IFERROR(IF(IFERROR(MATCH(136,'كشف الحساب'!$N$4:$N$353,0),0)=0,"",INDEX('كشف الحساب'!$G$4:$G$353,IFERROR(MATCH(136,'كشف الحساب'!$N$4:$N$353,0),0))),"")</f>
        <v/>
      </c>
      <c r="H140" s="70" t="str">
        <f>IFERROR(IF(IFERROR(MATCH(136,'كشف الحساب'!$N$4:$N$353,0),0)=0,"",INDEX('كشف الحساب'!$H$4:$H$353,IFERROR(MATCH(136,'كشف الحساب'!$N$4:$N$353,0),0))),"")</f>
        <v/>
      </c>
      <c r="I140" s="70" t="str">
        <f>IFERROR(IF(IFERROR(MATCH(136,'كشف الحساب'!$N$4:$N$353,0),0)=0,"",INDEX('كشف الحساب'!$I$4:$I$353,IFERROR(MATCH(136,'كشف الحساب'!$N$4:$N$353,0),0))),"")</f>
        <v/>
      </c>
      <c r="J140" s="74" t="str">
        <f>IFERROR(IF(IFERROR(MATCH(136,'كشف الحساب'!$N$4:$N$353,0),0)=0,"",INDEX('كشف الحساب'!$J$4:$J$353,IFERROR(MATCH(136,'كشف الحساب'!$N$4:$N$353,0),0))),"")</f>
        <v/>
      </c>
      <c r="K140" s="70" t="str">
        <f>IFERROR(IF(IFERROR(MATCH(136,'كشف الحساب'!$N$4:$N$353,0),0)=0,"",INDEX('كشف الحساب'!$K$4:$K$353,IFERROR(MATCH(136,'كشف الحساب'!$N$4:$N$353,0),0))),"")</f>
        <v/>
      </c>
    </row>
    <row r="141" spans="1:11" ht="15" customHeight="1" x14ac:dyDescent="0.25">
      <c r="A141" s="63" t="str">
        <f>IFERROR(IF(IFERROR(MATCH(137,'كشف الحساب'!$N$4:$N$353,0),0)=0,"",INDEX('كشف الحساب'!$A$4:$A$353,IFERROR(MATCH(137,'كشف الحساب'!$N$4:$N$353,0),0))),"")</f>
        <v/>
      </c>
      <c r="B141" s="64" t="str">
        <f>IFERROR(IF(IFERROR(MATCH(137,'كشف الحساب'!$N$4:$N$353,0),0)=0,"",INDEX('كشف الحساب'!$B$4:$B$353,IFERROR(MATCH(137,'كشف الحساب'!$N$4:$N$353,0),0))),"")</f>
        <v/>
      </c>
      <c r="C141" s="65" t="str">
        <f>IFERROR(IF(IFERROR(MATCH(137,'كشف الحساب'!$N$4:$N$353,0),0)=0,"",INDEX('كشف الحساب'!$C$4:$C$353,IFERROR(MATCH(137,'كشف الحساب'!$N$4:$N$353,0),0))),"")</f>
        <v/>
      </c>
      <c r="D141" s="66" t="str">
        <f>IFERROR(IF(IFERROR(MATCH(137,'كشف الحساب'!$N$4:$N$353,0),0)=0,"",INDEX('كشف الحساب'!$D$4:$D$353,IFERROR(MATCH(137,'كشف الحساب'!$N$4:$N$353,0),0))),"")</f>
        <v/>
      </c>
      <c r="E141" s="67" t="str">
        <f>IFERROR(IF(IFERROR(MATCH(137,'كشف الحساب'!$N$4:$N$353,0),0)=0,"",INDEX('كشف الحساب'!$E$4:$E$353,IFERROR(MATCH(137,'كشف الحساب'!$N$4:$N$353,0),0))),"")</f>
        <v/>
      </c>
      <c r="F141" s="64" t="str">
        <f>IFERROR(IF(IFERROR(MATCH(137,'كشف الحساب'!$N$4:$N$353,0),0)=0,"",INDEX('كشف الحساب'!$F$4:$F$353,IFERROR(MATCH(137,'كشف الحساب'!$N$4:$N$353,0),0))),"")</f>
        <v/>
      </c>
      <c r="G141" s="64" t="str">
        <f>IFERROR(IF(IFERROR(MATCH(137,'كشف الحساب'!$N$4:$N$353,0),0)=0,"",INDEX('كشف الحساب'!$G$4:$G$353,IFERROR(MATCH(137,'كشف الحساب'!$N$4:$N$353,0),0))),"")</f>
        <v/>
      </c>
      <c r="H141" s="64" t="str">
        <f>IFERROR(IF(IFERROR(MATCH(137,'كشف الحساب'!$N$4:$N$353,0),0)=0,"",INDEX('كشف الحساب'!$H$4:$H$353,IFERROR(MATCH(137,'كشف الحساب'!$N$4:$N$353,0),0))),"")</f>
        <v/>
      </c>
      <c r="I141" s="64" t="str">
        <f>IFERROR(IF(IFERROR(MATCH(137,'كشف الحساب'!$N$4:$N$353,0),0)=0,"",INDEX('كشف الحساب'!$I$4:$I$353,IFERROR(MATCH(137,'كشف الحساب'!$N$4:$N$353,0),0))),"")</f>
        <v/>
      </c>
      <c r="J141" s="68" t="str">
        <f>IFERROR(IF(IFERROR(MATCH(137,'كشف الحساب'!$N$4:$N$353,0),0)=0,"",INDEX('كشف الحساب'!$J$4:$J$353,IFERROR(MATCH(137,'كشف الحساب'!$N$4:$N$353,0),0))),"")</f>
        <v/>
      </c>
      <c r="K141" s="64" t="str">
        <f>IFERROR(IF(IFERROR(MATCH(137,'كشف الحساب'!$N$4:$N$353,0),0)=0,"",INDEX('كشف الحساب'!$K$4:$K$353,IFERROR(MATCH(137,'كشف الحساب'!$N$4:$N$353,0),0))),"")</f>
        <v/>
      </c>
    </row>
    <row r="142" spans="1:11" ht="15" customHeight="1" x14ac:dyDescent="0.25">
      <c r="A142" s="69" t="str">
        <f>IFERROR(IF(IFERROR(MATCH(138,'كشف الحساب'!$N$4:$N$353,0),0)=0,"",INDEX('كشف الحساب'!$A$4:$A$353,IFERROR(MATCH(138,'كشف الحساب'!$N$4:$N$353,0),0))),"")</f>
        <v/>
      </c>
      <c r="B142" s="70" t="str">
        <f>IFERROR(IF(IFERROR(MATCH(138,'كشف الحساب'!$N$4:$N$353,0),0)=0,"",INDEX('كشف الحساب'!$B$4:$B$353,IFERROR(MATCH(138,'كشف الحساب'!$N$4:$N$353,0),0))),"")</f>
        <v/>
      </c>
      <c r="C142" s="71" t="str">
        <f>IFERROR(IF(IFERROR(MATCH(138,'كشف الحساب'!$N$4:$N$353,0),0)=0,"",INDEX('كشف الحساب'!$C$4:$C$353,IFERROR(MATCH(138,'كشف الحساب'!$N$4:$N$353,0),0))),"")</f>
        <v/>
      </c>
      <c r="D142" s="72" t="str">
        <f>IFERROR(IF(IFERROR(MATCH(138,'كشف الحساب'!$N$4:$N$353,0),0)=0,"",INDEX('كشف الحساب'!$D$4:$D$353,IFERROR(MATCH(138,'كشف الحساب'!$N$4:$N$353,0),0))),"")</f>
        <v/>
      </c>
      <c r="E142" s="73" t="str">
        <f>IFERROR(IF(IFERROR(MATCH(138,'كشف الحساب'!$N$4:$N$353,0),0)=0,"",INDEX('كشف الحساب'!$E$4:$E$353,IFERROR(MATCH(138,'كشف الحساب'!$N$4:$N$353,0),0))),"")</f>
        <v/>
      </c>
      <c r="F142" s="70" t="str">
        <f>IFERROR(IF(IFERROR(MATCH(138,'كشف الحساب'!$N$4:$N$353,0),0)=0,"",INDEX('كشف الحساب'!$F$4:$F$353,IFERROR(MATCH(138,'كشف الحساب'!$N$4:$N$353,0),0))),"")</f>
        <v/>
      </c>
      <c r="G142" s="70" t="str">
        <f>IFERROR(IF(IFERROR(MATCH(138,'كشف الحساب'!$N$4:$N$353,0),0)=0,"",INDEX('كشف الحساب'!$G$4:$G$353,IFERROR(MATCH(138,'كشف الحساب'!$N$4:$N$353,0),0))),"")</f>
        <v/>
      </c>
      <c r="H142" s="70" t="str">
        <f>IFERROR(IF(IFERROR(MATCH(138,'كشف الحساب'!$N$4:$N$353,0),0)=0,"",INDEX('كشف الحساب'!$H$4:$H$353,IFERROR(MATCH(138,'كشف الحساب'!$N$4:$N$353,0),0))),"")</f>
        <v/>
      </c>
      <c r="I142" s="70" t="str">
        <f>IFERROR(IF(IFERROR(MATCH(138,'كشف الحساب'!$N$4:$N$353,0),0)=0,"",INDEX('كشف الحساب'!$I$4:$I$353,IFERROR(MATCH(138,'كشف الحساب'!$N$4:$N$353,0),0))),"")</f>
        <v/>
      </c>
      <c r="J142" s="74" t="str">
        <f>IFERROR(IF(IFERROR(MATCH(138,'كشف الحساب'!$N$4:$N$353,0),0)=0,"",INDEX('كشف الحساب'!$J$4:$J$353,IFERROR(MATCH(138,'كشف الحساب'!$N$4:$N$353,0),0))),"")</f>
        <v/>
      </c>
      <c r="K142" s="70" t="str">
        <f>IFERROR(IF(IFERROR(MATCH(138,'كشف الحساب'!$N$4:$N$353,0),0)=0,"",INDEX('كشف الحساب'!$K$4:$K$353,IFERROR(MATCH(138,'كشف الحساب'!$N$4:$N$353,0),0))),"")</f>
        <v/>
      </c>
    </row>
    <row r="143" spans="1:11" ht="15" customHeight="1" x14ac:dyDescent="0.25">
      <c r="A143" s="63" t="str">
        <f>IFERROR(IF(IFERROR(MATCH(139,'كشف الحساب'!$N$4:$N$353,0),0)=0,"",INDEX('كشف الحساب'!$A$4:$A$353,IFERROR(MATCH(139,'كشف الحساب'!$N$4:$N$353,0),0))),"")</f>
        <v/>
      </c>
      <c r="B143" s="64" t="str">
        <f>IFERROR(IF(IFERROR(MATCH(139,'كشف الحساب'!$N$4:$N$353,0),0)=0,"",INDEX('كشف الحساب'!$B$4:$B$353,IFERROR(MATCH(139,'كشف الحساب'!$N$4:$N$353,0),0))),"")</f>
        <v/>
      </c>
      <c r="C143" s="65" t="str">
        <f>IFERROR(IF(IFERROR(MATCH(139,'كشف الحساب'!$N$4:$N$353,0),0)=0,"",INDEX('كشف الحساب'!$C$4:$C$353,IFERROR(MATCH(139,'كشف الحساب'!$N$4:$N$353,0),0))),"")</f>
        <v/>
      </c>
      <c r="D143" s="66" t="str">
        <f>IFERROR(IF(IFERROR(MATCH(139,'كشف الحساب'!$N$4:$N$353,0),0)=0,"",INDEX('كشف الحساب'!$D$4:$D$353,IFERROR(MATCH(139,'كشف الحساب'!$N$4:$N$353,0),0))),"")</f>
        <v/>
      </c>
      <c r="E143" s="67" t="str">
        <f>IFERROR(IF(IFERROR(MATCH(139,'كشف الحساب'!$N$4:$N$353,0),0)=0,"",INDEX('كشف الحساب'!$E$4:$E$353,IFERROR(MATCH(139,'كشف الحساب'!$N$4:$N$353,0),0))),"")</f>
        <v/>
      </c>
      <c r="F143" s="64" t="str">
        <f>IFERROR(IF(IFERROR(MATCH(139,'كشف الحساب'!$N$4:$N$353,0),0)=0,"",INDEX('كشف الحساب'!$F$4:$F$353,IFERROR(MATCH(139,'كشف الحساب'!$N$4:$N$353,0),0))),"")</f>
        <v/>
      </c>
      <c r="G143" s="64" t="str">
        <f>IFERROR(IF(IFERROR(MATCH(139,'كشف الحساب'!$N$4:$N$353,0),0)=0,"",INDEX('كشف الحساب'!$G$4:$G$353,IFERROR(MATCH(139,'كشف الحساب'!$N$4:$N$353,0),0))),"")</f>
        <v/>
      </c>
      <c r="H143" s="64" t="str">
        <f>IFERROR(IF(IFERROR(MATCH(139,'كشف الحساب'!$N$4:$N$353,0),0)=0,"",INDEX('كشف الحساب'!$H$4:$H$353,IFERROR(MATCH(139,'كشف الحساب'!$N$4:$N$353,0),0))),"")</f>
        <v/>
      </c>
      <c r="I143" s="64" t="str">
        <f>IFERROR(IF(IFERROR(MATCH(139,'كشف الحساب'!$N$4:$N$353,0),0)=0,"",INDEX('كشف الحساب'!$I$4:$I$353,IFERROR(MATCH(139,'كشف الحساب'!$N$4:$N$353,0),0))),"")</f>
        <v/>
      </c>
      <c r="J143" s="68" t="str">
        <f>IFERROR(IF(IFERROR(MATCH(139,'كشف الحساب'!$N$4:$N$353,0),0)=0,"",INDEX('كشف الحساب'!$J$4:$J$353,IFERROR(MATCH(139,'كشف الحساب'!$N$4:$N$353,0),0))),"")</f>
        <v/>
      </c>
      <c r="K143" s="64" t="str">
        <f>IFERROR(IF(IFERROR(MATCH(139,'كشف الحساب'!$N$4:$N$353,0),0)=0,"",INDEX('كشف الحساب'!$K$4:$K$353,IFERROR(MATCH(139,'كشف الحساب'!$N$4:$N$353,0),0))),"")</f>
        <v/>
      </c>
    </row>
    <row r="144" spans="1:11" ht="15" customHeight="1" x14ac:dyDescent="0.25">
      <c r="A144" s="69" t="str">
        <f>IFERROR(IF(IFERROR(MATCH(140,'كشف الحساب'!$N$4:$N$353,0),0)=0,"",INDEX('كشف الحساب'!$A$4:$A$353,IFERROR(MATCH(140,'كشف الحساب'!$N$4:$N$353,0),0))),"")</f>
        <v/>
      </c>
      <c r="B144" s="70" t="str">
        <f>IFERROR(IF(IFERROR(MATCH(140,'كشف الحساب'!$N$4:$N$353,0),0)=0,"",INDEX('كشف الحساب'!$B$4:$B$353,IFERROR(MATCH(140,'كشف الحساب'!$N$4:$N$353,0),0))),"")</f>
        <v/>
      </c>
      <c r="C144" s="71" t="str">
        <f>IFERROR(IF(IFERROR(MATCH(140,'كشف الحساب'!$N$4:$N$353,0),0)=0,"",INDEX('كشف الحساب'!$C$4:$C$353,IFERROR(MATCH(140,'كشف الحساب'!$N$4:$N$353,0),0))),"")</f>
        <v/>
      </c>
      <c r="D144" s="72" t="str">
        <f>IFERROR(IF(IFERROR(MATCH(140,'كشف الحساب'!$N$4:$N$353,0),0)=0,"",INDEX('كشف الحساب'!$D$4:$D$353,IFERROR(MATCH(140,'كشف الحساب'!$N$4:$N$353,0),0))),"")</f>
        <v/>
      </c>
      <c r="E144" s="73" t="str">
        <f>IFERROR(IF(IFERROR(MATCH(140,'كشف الحساب'!$N$4:$N$353,0),0)=0,"",INDEX('كشف الحساب'!$E$4:$E$353,IFERROR(MATCH(140,'كشف الحساب'!$N$4:$N$353,0),0))),"")</f>
        <v/>
      </c>
      <c r="F144" s="70" t="str">
        <f>IFERROR(IF(IFERROR(MATCH(140,'كشف الحساب'!$N$4:$N$353,0),0)=0,"",INDEX('كشف الحساب'!$F$4:$F$353,IFERROR(MATCH(140,'كشف الحساب'!$N$4:$N$353,0),0))),"")</f>
        <v/>
      </c>
      <c r="G144" s="70" t="str">
        <f>IFERROR(IF(IFERROR(MATCH(140,'كشف الحساب'!$N$4:$N$353,0),0)=0,"",INDEX('كشف الحساب'!$G$4:$G$353,IFERROR(MATCH(140,'كشف الحساب'!$N$4:$N$353,0),0))),"")</f>
        <v/>
      </c>
      <c r="H144" s="70" t="str">
        <f>IFERROR(IF(IFERROR(MATCH(140,'كشف الحساب'!$N$4:$N$353,0),0)=0,"",INDEX('كشف الحساب'!$H$4:$H$353,IFERROR(MATCH(140,'كشف الحساب'!$N$4:$N$353,0),0))),"")</f>
        <v/>
      </c>
      <c r="I144" s="70" t="str">
        <f>IFERROR(IF(IFERROR(MATCH(140,'كشف الحساب'!$N$4:$N$353,0),0)=0,"",INDEX('كشف الحساب'!$I$4:$I$353,IFERROR(MATCH(140,'كشف الحساب'!$N$4:$N$353,0),0))),"")</f>
        <v/>
      </c>
      <c r="J144" s="74" t="str">
        <f>IFERROR(IF(IFERROR(MATCH(140,'كشف الحساب'!$N$4:$N$353,0),0)=0,"",INDEX('كشف الحساب'!$J$4:$J$353,IFERROR(MATCH(140,'كشف الحساب'!$N$4:$N$353,0),0))),"")</f>
        <v/>
      </c>
      <c r="K144" s="70" t="str">
        <f>IFERROR(IF(IFERROR(MATCH(140,'كشف الحساب'!$N$4:$N$353,0),0)=0,"",INDEX('كشف الحساب'!$K$4:$K$353,IFERROR(MATCH(140,'كشف الحساب'!$N$4:$N$353,0),0))),"")</f>
        <v/>
      </c>
    </row>
    <row r="145" spans="1:11" ht="15" customHeight="1" x14ac:dyDescent="0.25">
      <c r="A145" s="63" t="str">
        <f>IFERROR(IF(IFERROR(MATCH(141,'كشف الحساب'!$N$4:$N$353,0),0)=0,"",INDEX('كشف الحساب'!$A$4:$A$353,IFERROR(MATCH(141,'كشف الحساب'!$N$4:$N$353,0),0))),"")</f>
        <v/>
      </c>
      <c r="B145" s="64" t="str">
        <f>IFERROR(IF(IFERROR(MATCH(141,'كشف الحساب'!$N$4:$N$353,0),0)=0,"",INDEX('كشف الحساب'!$B$4:$B$353,IFERROR(MATCH(141,'كشف الحساب'!$N$4:$N$353,0),0))),"")</f>
        <v/>
      </c>
      <c r="C145" s="65" t="str">
        <f>IFERROR(IF(IFERROR(MATCH(141,'كشف الحساب'!$N$4:$N$353,0),0)=0,"",INDEX('كشف الحساب'!$C$4:$C$353,IFERROR(MATCH(141,'كشف الحساب'!$N$4:$N$353,0),0))),"")</f>
        <v/>
      </c>
      <c r="D145" s="66" t="str">
        <f>IFERROR(IF(IFERROR(MATCH(141,'كشف الحساب'!$N$4:$N$353,0),0)=0,"",INDEX('كشف الحساب'!$D$4:$D$353,IFERROR(MATCH(141,'كشف الحساب'!$N$4:$N$353,0),0))),"")</f>
        <v/>
      </c>
      <c r="E145" s="67" t="str">
        <f>IFERROR(IF(IFERROR(MATCH(141,'كشف الحساب'!$N$4:$N$353,0),0)=0,"",INDEX('كشف الحساب'!$E$4:$E$353,IFERROR(MATCH(141,'كشف الحساب'!$N$4:$N$353,0),0))),"")</f>
        <v/>
      </c>
      <c r="F145" s="64" t="str">
        <f>IFERROR(IF(IFERROR(MATCH(141,'كشف الحساب'!$N$4:$N$353,0),0)=0,"",INDEX('كشف الحساب'!$F$4:$F$353,IFERROR(MATCH(141,'كشف الحساب'!$N$4:$N$353,0),0))),"")</f>
        <v/>
      </c>
      <c r="G145" s="64" t="str">
        <f>IFERROR(IF(IFERROR(MATCH(141,'كشف الحساب'!$N$4:$N$353,0),0)=0,"",INDEX('كشف الحساب'!$G$4:$G$353,IFERROR(MATCH(141,'كشف الحساب'!$N$4:$N$353,0),0))),"")</f>
        <v/>
      </c>
      <c r="H145" s="64" t="str">
        <f>IFERROR(IF(IFERROR(MATCH(141,'كشف الحساب'!$N$4:$N$353,0),0)=0,"",INDEX('كشف الحساب'!$H$4:$H$353,IFERROR(MATCH(141,'كشف الحساب'!$N$4:$N$353,0),0))),"")</f>
        <v/>
      </c>
      <c r="I145" s="64" t="str">
        <f>IFERROR(IF(IFERROR(MATCH(141,'كشف الحساب'!$N$4:$N$353,0),0)=0,"",INDEX('كشف الحساب'!$I$4:$I$353,IFERROR(MATCH(141,'كشف الحساب'!$N$4:$N$353,0),0))),"")</f>
        <v/>
      </c>
      <c r="J145" s="68" t="str">
        <f>IFERROR(IF(IFERROR(MATCH(141,'كشف الحساب'!$N$4:$N$353,0),0)=0,"",INDEX('كشف الحساب'!$J$4:$J$353,IFERROR(MATCH(141,'كشف الحساب'!$N$4:$N$353,0),0))),"")</f>
        <v/>
      </c>
      <c r="K145" s="64" t="str">
        <f>IFERROR(IF(IFERROR(MATCH(141,'كشف الحساب'!$N$4:$N$353,0),0)=0,"",INDEX('كشف الحساب'!$K$4:$K$353,IFERROR(MATCH(141,'كشف الحساب'!$N$4:$N$353,0),0))),"")</f>
        <v/>
      </c>
    </row>
    <row r="146" spans="1:11" ht="15" customHeight="1" x14ac:dyDescent="0.25">
      <c r="A146" s="69" t="str">
        <f>IFERROR(IF(IFERROR(MATCH(142,'كشف الحساب'!$N$4:$N$353,0),0)=0,"",INDEX('كشف الحساب'!$A$4:$A$353,IFERROR(MATCH(142,'كشف الحساب'!$N$4:$N$353,0),0))),"")</f>
        <v/>
      </c>
      <c r="B146" s="70" t="str">
        <f>IFERROR(IF(IFERROR(MATCH(142,'كشف الحساب'!$N$4:$N$353,0),0)=0,"",INDEX('كشف الحساب'!$B$4:$B$353,IFERROR(MATCH(142,'كشف الحساب'!$N$4:$N$353,0),0))),"")</f>
        <v/>
      </c>
      <c r="C146" s="71" t="str">
        <f>IFERROR(IF(IFERROR(MATCH(142,'كشف الحساب'!$N$4:$N$353,0),0)=0,"",INDEX('كشف الحساب'!$C$4:$C$353,IFERROR(MATCH(142,'كشف الحساب'!$N$4:$N$353,0),0))),"")</f>
        <v/>
      </c>
      <c r="D146" s="72" t="str">
        <f>IFERROR(IF(IFERROR(MATCH(142,'كشف الحساب'!$N$4:$N$353,0),0)=0,"",INDEX('كشف الحساب'!$D$4:$D$353,IFERROR(MATCH(142,'كشف الحساب'!$N$4:$N$353,0),0))),"")</f>
        <v/>
      </c>
      <c r="E146" s="73" t="str">
        <f>IFERROR(IF(IFERROR(MATCH(142,'كشف الحساب'!$N$4:$N$353,0),0)=0,"",INDEX('كشف الحساب'!$E$4:$E$353,IFERROR(MATCH(142,'كشف الحساب'!$N$4:$N$353,0),0))),"")</f>
        <v/>
      </c>
      <c r="F146" s="70" t="str">
        <f>IFERROR(IF(IFERROR(MATCH(142,'كشف الحساب'!$N$4:$N$353,0),0)=0,"",INDEX('كشف الحساب'!$F$4:$F$353,IFERROR(MATCH(142,'كشف الحساب'!$N$4:$N$353,0),0))),"")</f>
        <v/>
      </c>
      <c r="G146" s="70" t="str">
        <f>IFERROR(IF(IFERROR(MATCH(142,'كشف الحساب'!$N$4:$N$353,0),0)=0,"",INDEX('كشف الحساب'!$G$4:$G$353,IFERROR(MATCH(142,'كشف الحساب'!$N$4:$N$353,0),0))),"")</f>
        <v/>
      </c>
      <c r="H146" s="70" t="str">
        <f>IFERROR(IF(IFERROR(MATCH(142,'كشف الحساب'!$N$4:$N$353,0),0)=0,"",INDEX('كشف الحساب'!$H$4:$H$353,IFERROR(MATCH(142,'كشف الحساب'!$N$4:$N$353,0),0))),"")</f>
        <v/>
      </c>
      <c r="I146" s="70" t="str">
        <f>IFERROR(IF(IFERROR(MATCH(142,'كشف الحساب'!$N$4:$N$353,0),0)=0,"",INDEX('كشف الحساب'!$I$4:$I$353,IFERROR(MATCH(142,'كشف الحساب'!$N$4:$N$353,0),0))),"")</f>
        <v/>
      </c>
      <c r="J146" s="74" t="str">
        <f>IFERROR(IF(IFERROR(MATCH(142,'كشف الحساب'!$N$4:$N$353,0),0)=0,"",INDEX('كشف الحساب'!$J$4:$J$353,IFERROR(MATCH(142,'كشف الحساب'!$N$4:$N$353,0),0))),"")</f>
        <v/>
      </c>
      <c r="K146" s="70" t="str">
        <f>IFERROR(IF(IFERROR(MATCH(142,'كشف الحساب'!$N$4:$N$353,0),0)=0,"",INDEX('كشف الحساب'!$K$4:$K$353,IFERROR(MATCH(142,'كشف الحساب'!$N$4:$N$353,0),0))),"")</f>
        <v/>
      </c>
    </row>
    <row r="147" spans="1:11" ht="15" customHeight="1" x14ac:dyDescent="0.25">
      <c r="A147" s="63" t="str">
        <f>IFERROR(IF(IFERROR(MATCH(143,'كشف الحساب'!$N$4:$N$353,0),0)=0,"",INDEX('كشف الحساب'!$A$4:$A$353,IFERROR(MATCH(143,'كشف الحساب'!$N$4:$N$353,0),0))),"")</f>
        <v/>
      </c>
      <c r="B147" s="64" t="str">
        <f>IFERROR(IF(IFERROR(MATCH(143,'كشف الحساب'!$N$4:$N$353,0),0)=0,"",INDEX('كشف الحساب'!$B$4:$B$353,IFERROR(MATCH(143,'كشف الحساب'!$N$4:$N$353,0),0))),"")</f>
        <v/>
      </c>
      <c r="C147" s="65" t="str">
        <f>IFERROR(IF(IFERROR(MATCH(143,'كشف الحساب'!$N$4:$N$353,0),0)=0,"",INDEX('كشف الحساب'!$C$4:$C$353,IFERROR(MATCH(143,'كشف الحساب'!$N$4:$N$353,0),0))),"")</f>
        <v/>
      </c>
      <c r="D147" s="66" t="str">
        <f>IFERROR(IF(IFERROR(MATCH(143,'كشف الحساب'!$N$4:$N$353,0),0)=0,"",INDEX('كشف الحساب'!$D$4:$D$353,IFERROR(MATCH(143,'كشف الحساب'!$N$4:$N$353,0),0))),"")</f>
        <v/>
      </c>
      <c r="E147" s="67" t="str">
        <f>IFERROR(IF(IFERROR(MATCH(143,'كشف الحساب'!$N$4:$N$353,0),0)=0,"",INDEX('كشف الحساب'!$E$4:$E$353,IFERROR(MATCH(143,'كشف الحساب'!$N$4:$N$353,0),0))),"")</f>
        <v/>
      </c>
      <c r="F147" s="64" t="str">
        <f>IFERROR(IF(IFERROR(MATCH(143,'كشف الحساب'!$N$4:$N$353,0),0)=0,"",INDEX('كشف الحساب'!$F$4:$F$353,IFERROR(MATCH(143,'كشف الحساب'!$N$4:$N$353,0),0))),"")</f>
        <v/>
      </c>
      <c r="G147" s="64" t="str">
        <f>IFERROR(IF(IFERROR(MATCH(143,'كشف الحساب'!$N$4:$N$353,0),0)=0,"",INDEX('كشف الحساب'!$G$4:$G$353,IFERROR(MATCH(143,'كشف الحساب'!$N$4:$N$353,0),0))),"")</f>
        <v/>
      </c>
      <c r="H147" s="64" t="str">
        <f>IFERROR(IF(IFERROR(MATCH(143,'كشف الحساب'!$N$4:$N$353,0),0)=0,"",INDEX('كشف الحساب'!$H$4:$H$353,IFERROR(MATCH(143,'كشف الحساب'!$N$4:$N$353,0),0))),"")</f>
        <v/>
      </c>
      <c r="I147" s="64" t="str">
        <f>IFERROR(IF(IFERROR(MATCH(143,'كشف الحساب'!$N$4:$N$353,0),0)=0,"",INDEX('كشف الحساب'!$I$4:$I$353,IFERROR(MATCH(143,'كشف الحساب'!$N$4:$N$353,0),0))),"")</f>
        <v/>
      </c>
      <c r="J147" s="68" t="str">
        <f>IFERROR(IF(IFERROR(MATCH(143,'كشف الحساب'!$N$4:$N$353,0),0)=0,"",INDEX('كشف الحساب'!$J$4:$J$353,IFERROR(MATCH(143,'كشف الحساب'!$N$4:$N$353,0),0))),"")</f>
        <v/>
      </c>
      <c r="K147" s="64" t="str">
        <f>IFERROR(IF(IFERROR(MATCH(143,'كشف الحساب'!$N$4:$N$353,0),0)=0,"",INDEX('كشف الحساب'!$K$4:$K$353,IFERROR(MATCH(143,'كشف الحساب'!$N$4:$N$353,0),0))),"")</f>
        <v/>
      </c>
    </row>
    <row r="148" spans="1:11" ht="15" customHeight="1" x14ac:dyDescent="0.25">
      <c r="A148" s="69" t="str">
        <f>IFERROR(IF(IFERROR(MATCH(144,'كشف الحساب'!$N$4:$N$353,0),0)=0,"",INDEX('كشف الحساب'!$A$4:$A$353,IFERROR(MATCH(144,'كشف الحساب'!$N$4:$N$353,0),0))),"")</f>
        <v/>
      </c>
      <c r="B148" s="70" t="str">
        <f>IFERROR(IF(IFERROR(MATCH(144,'كشف الحساب'!$N$4:$N$353,0),0)=0,"",INDEX('كشف الحساب'!$B$4:$B$353,IFERROR(MATCH(144,'كشف الحساب'!$N$4:$N$353,0),0))),"")</f>
        <v/>
      </c>
      <c r="C148" s="71" t="str">
        <f>IFERROR(IF(IFERROR(MATCH(144,'كشف الحساب'!$N$4:$N$353,0),0)=0,"",INDEX('كشف الحساب'!$C$4:$C$353,IFERROR(MATCH(144,'كشف الحساب'!$N$4:$N$353,0),0))),"")</f>
        <v/>
      </c>
      <c r="D148" s="72" t="str">
        <f>IFERROR(IF(IFERROR(MATCH(144,'كشف الحساب'!$N$4:$N$353,0),0)=0,"",INDEX('كشف الحساب'!$D$4:$D$353,IFERROR(MATCH(144,'كشف الحساب'!$N$4:$N$353,0),0))),"")</f>
        <v/>
      </c>
      <c r="E148" s="73" t="str">
        <f>IFERROR(IF(IFERROR(MATCH(144,'كشف الحساب'!$N$4:$N$353,0),0)=0,"",INDEX('كشف الحساب'!$E$4:$E$353,IFERROR(MATCH(144,'كشف الحساب'!$N$4:$N$353,0),0))),"")</f>
        <v/>
      </c>
      <c r="F148" s="70" t="str">
        <f>IFERROR(IF(IFERROR(MATCH(144,'كشف الحساب'!$N$4:$N$353,0),0)=0,"",INDEX('كشف الحساب'!$F$4:$F$353,IFERROR(MATCH(144,'كشف الحساب'!$N$4:$N$353,0),0))),"")</f>
        <v/>
      </c>
      <c r="G148" s="70" t="str">
        <f>IFERROR(IF(IFERROR(MATCH(144,'كشف الحساب'!$N$4:$N$353,0),0)=0,"",INDEX('كشف الحساب'!$G$4:$G$353,IFERROR(MATCH(144,'كشف الحساب'!$N$4:$N$353,0),0))),"")</f>
        <v/>
      </c>
      <c r="H148" s="70" t="str">
        <f>IFERROR(IF(IFERROR(MATCH(144,'كشف الحساب'!$N$4:$N$353,0),0)=0,"",INDEX('كشف الحساب'!$H$4:$H$353,IFERROR(MATCH(144,'كشف الحساب'!$N$4:$N$353,0),0))),"")</f>
        <v/>
      </c>
      <c r="I148" s="70" t="str">
        <f>IFERROR(IF(IFERROR(MATCH(144,'كشف الحساب'!$N$4:$N$353,0),0)=0,"",INDEX('كشف الحساب'!$I$4:$I$353,IFERROR(MATCH(144,'كشف الحساب'!$N$4:$N$353,0),0))),"")</f>
        <v/>
      </c>
      <c r="J148" s="74" t="str">
        <f>IFERROR(IF(IFERROR(MATCH(144,'كشف الحساب'!$N$4:$N$353,0),0)=0,"",INDEX('كشف الحساب'!$J$4:$J$353,IFERROR(MATCH(144,'كشف الحساب'!$N$4:$N$353,0),0))),"")</f>
        <v/>
      </c>
      <c r="K148" s="70" t="str">
        <f>IFERROR(IF(IFERROR(MATCH(144,'كشف الحساب'!$N$4:$N$353,0),0)=0,"",INDEX('كشف الحساب'!$K$4:$K$353,IFERROR(MATCH(144,'كشف الحساب'!$N$4:$N$353,0),0))),"")</f>
        <v/>
      </c>
    </row>
    <row r="149" spans="1:11" ht="15" customHeight="1" x14ac:dyDescent="0.25">
      <c r="A149" s="63" t="str">
        <f>IFERROR(IF(IFERROR(MATCH(145,'كشف الحساب'!$N$4:$N$353,0),0)=0,"",INDEX('كشف الحساب'!$A$4:$A$353,IFERROR(MATCH(145,'كشف الحساب'!$N$4:$N$353,0),0))),"")</f>
        <v/>
      </c>
      <c r="B149" s="64" t="str">
        <f>IFERROR(IF(IFERROR(MATCH(145,'كشف الحساب'!$N$4:$N$353,0),0)=0,"",INDEX('كشف الحساب'!$B$4:$B$353,IFERROR(MATCH(145,'كشف الحساب'!$N$4:$N$353,0),0))),"")</f>
        <v/>
      </c>
      <c r="C149" s="65" t="str">
        <f>IFERROR(IF(IFERROR(MATCH(145,'كشف الحساب'!$N$4:$N$353,0),0)=0,"",INDEX('كشف الحساب'!$C$4:$C$353,IFERROR(MATCH(145,'كشف الحساب'!$N$4:$N$353,0),0))),"")</f>
        <v/>
      </c>
      <c r="D149" s="66" t="str">
        <f>IFERROR(IF(IFERROR(MATCH(145,'كشف الحساب'!$N$4:$N$353,0),0)=0,"",INDEX('كشف الحساب'!$D$4:$D$353,IFERROR(MATCH(145,'كشف الحساب'!$N$4:$N$353,0),0))),"")</f>
        <v/>
      </c>
      <c r="E149" s="67" t="str">
        <f>IFERROR(IF(IFERROR(MATCH(145,'كشف الحساب'!$N$4:$N$353,0),0)=0,"",INDEX('كشف الحساب'!$E$4:$E$353,IFERROR(MATCH(145,'كشف الحساب'!$N$4:$N$353,0),0))),"")</f>
        <v/>
      </c>
      <c r="F149" s="64" t="str">
        <f>IFERROR(IF(IFERROR(MATCH(145,'كشف الحساب'!$N$4:$N$353,0),0)=0,"",INDEX('كشف الحساب'!$F$4:$F$353,IFERROR(MATCH(145,'كشف الحساب'!$N$4:$N$353,0),0))),"")</f>
        <v/>
      </c>
      <c r="G149" s="64" t="str">
        <f>IFERROR(IF(IFERROR(MATCH(145,'كشف الحساب'!$N$4:$N$353,0),0)=0,"",INDEX('كشف الحساب'!$G$4:$G$353,IFERROR(MATCH(145,'كشف الحساب'!$N$4:$N$353,0),0))),"")</f>
        <v/>
      </c>
      <c r="H149" s="64" t="str">
        <f>IFERROR(IF(IFERROR(MATCH(145,'كشف الحساب'!$N$4:$N$353,0),0)=0,"",INDEX('كشف الحساب'!$H$4:$H$353,IFERROR(MATCH(145,'كشف الحساب'!$N$4:$N$353,0),0))),"")</f>
        <v/>
      </c>
      <c r="I149" s="64" t="str">
        <f>IFERROR(IF(IFERROR(MATCH(145,'كشف الحساب'!$N$4:$N$353,0),0)=0,"",INDEX('كشف الحساب'!$I$4:$I$353,IFERROR(MATCH(145,'كشف الحساب'!$N$4:$N$353,0),0))),"")</f>
        <v/>
      </c>
      <c r="J149" s="68" t="str">
        <f>IFERROR(IF(IFERROR(MATCH(145,'كشف الحساب'!$N$4:$N$353,0),0)=0,"",INDEX('كشف الحساب'!$J$4:$J$353,IFERROR(MATCH(145,'كشف الحساب'!$N$4:$N$353,0),0))),"")</f>
        <v/>
      </c>
      <c r="K149" s="64" t="str">
        <f>IFERROR(IF(IFERROR(MATCH(145,'كشف الحساب'!$N$4:$N$353,0),0)=0,"",INDEX('كشف الحساب'!$K$4:$K$353,IFERROR(MATCH(145,'كشف الحساب'!$N$4:$N$353,0),0))),"")</f>
        <v/>
      </c>
    </row>
    <row r="150" spans="1:11" ht="15" customHeight="1" x14ac:dyDescent="0.25">
      <c r="A150" s="69" t="str">
        <f>IFERROR(IF(IFERROR(MATCH(146,'كشف الحساب'!$N$4:$N$353,0),0)=0,"",INDEX('كشف الحساب'!$A$4:$A$353,IFERROR(MATCH(146,'كشف الحساب'!$N$4:$N$353,0),0))),"")</f>
        <v/>
      </c>
      <c r="B150" s="70" t="str">
        <f>IFERROR(IF(IFERROR(MATCH(146,'كشف الحساب'!$N$4:$N$353,0),0)=0,"",INDEX('كشف الحساب'!$B$4:$B$353,IFERROR(MATCH(146,'كشف الحساب'!$N$4:$N$353,0),0))),"")</f>
        <v/>
      </c>
      <c r="C150" s="71" t="str">
        <f>IFERROR(IF(IFERROR(MATCH(146,'كشف الحساب'!$N$4:$N$353,0),0)=0,"",INDEX('كشف الحساب'!$C$4:$C$353,IFERROR(MATCH(146,'كشف الحساب'!$N$4:$N$353,0),0))),"")</f>
        <v/>
      </c>
      <c r="D150" s="72" t="str">
        <f>IFERROR(IF(IFERROR(MATCH(146,'كشف الحساب'!$N$4:$N$353,0),0)=0,"",INDEX('كشف الحساب'!$D$4:$D$353,IFERROR(MATCH(146,'كشف الحساب'!$N$4:$N$353,0),0))),"")</f>
        <v/>
      </c>
      <c r="E150" s="73" t="str">
        <f>IFERROR(IF(IFERROR(MATCH(146,'كشف الحساب'!$N$4:$N$353,0),0)=0,"",INDEX('كشف الحساب'!$E$4:$E$353,IFERROR(MATCH(146,'كشف الحساب'!$N$4:$N$353,0),0))),"")</f>
        <v/>
      </c>
      <c r="F150" s="70" t="str">
        <f>IFERROR(IF(IFERROR(MATCH(146,'كشف الحساب'!$N$4:$N$353,0),0)=0,"",INDEX('كشف الحساب'!$F$4:$F$353,IFERROR(MATCH(146,'كشف الحساب'!$N$4:$N$353,0),0))),"")</f>
        <v/>
      </c>
      <c r="G150" s="70" t="str">
        <f>IFERROR(IF(IFERROR(MATCH(146,'كشف الحساب'!$N$4:$N$353,0),0)=0,"",INDEX('كشف الحساب'!$G$4:$G$353,IFERROR(MATCH(146,'كشف الحساب'!$N$4:$N$353,0),0))),"")</f>
        <v/>
      </c>
      <c r="H150" s="70" t="str">
        <f>IFERROR(IF(IFERROR(MATCH(146,'كشف الحساب'!$N$4:$N$353,0),0)=0,"",INDEX('كشف الحساب'!$H$4:$H$353,IFERROR(MATCH(146,'كشف الحساب'!$N$4:$N$353,0),0))),"")</f>
        <v/>
      </c>
      <c r="I150" s="70" t="str">
        <f>IFERROR(IF(IFERROR(MATCH(146,'كشف الحساب'!$N$4:$N$353,0),0)=0,"",INDEX('كشف الحساب'!$I$4:$I$353,IFERROR(MATCH(146,'كشف الحساب'!$N$4:$N$353,0),0))),"")</f>
        <v/>
      </c>
      <c r="J150" s="74" t="str">
        <f>IFERROR(IF(IFERROR(MATCH(146,'كشف الحساب'!$N$4:$N$353,0),0)=0,"",INDEX('كشف الحساب'!$J$4:$J$353,IFERROR(MATCH(146,'كشف الحساب'!$N$4:$N$353,0),0))),"")</f>
        <v/>
      </c>
      <c r="K150" s="70" t="str">
        <f>IFERROR(IF(IFERROR(MATCH(146,'كشف الحساب'!$N$4:$N$353,0),0)=0,"",INDEX('كشف الحساب'!$K$4:$K$353,IFERROR(MATCH(146,'كشف الحساب'!$N$4:$N$353,0),0))),"")</f>
        <v/>
      </c>
    </row>
    <row r="151" spans="1:11" ht="15" customHeight="1" x14ac:dyDescent="0.25">
      <c r="A151" s="63" t="str">
        <f>IFERROR(IF(IFERROR(MATCH(147,'كشف الحساب'!$N$4:$N$353,0),0)=0,"",INDEX('كشف الحساب'!$A$4:$A$353,IFERROR(MATCH(147,'كشف الحساب'!$N$4:$N$353,0),0))),"")</f>
        <v/>
      </c>
      <c r="B151" s="64" t="str">
        <f>IFERROR(IF(IFERROR(MATCH(147,'كشف الحساب'!$N$4:$N$353,0),0)=0,"",INDEX('كشف الحساب'!$B$4:$B$353,IFERROR(MATCH(147,'كشف الحساب'!$N$4:$N$353,0),0))),"")</f>
        <v/>
      </c>
      <c r="C151" s="65" t="str">
        <f>IFERROR(IF(IFERROR(MATCH(147,'كشف الحساب'!$N$4:$N$353,0),0)=0,"",INDEX('كشف الحساب'!$C$4:$C$353,IFERROR(MATCH(147,'كشف الحساب'!$N$4:$N$353,0),0))),"")</f>
        <v/>
      </c>
      <c r="D151" s="66" t="str">
        <f>IFERROR(IF(IFERROR(MATCH(147,'كشف الحساب'!$N$4:$N$353,0),0)=0,"",INDEX('كشف الحساب'!$D$4:$D$353,IFERROR(MATCH(147,'كشف الحساب'!$N$4:$N$353,0),0))),"")</f>
        <v/>
      </c>
      <c r="E151" s="67" t="str">
        <f>IFERROR(IF(IFERROR(MATCH(147,'كشف الحساب'!$N$4:$N$353,0),0)=0,"",INDEX('كشف الحساب'!$E$4:$E$353,IFERROR(MATCH(147,'كشف الحساب'!$N$4:$N$353,0),0))),"")</f>
        <v/>
      </c>
      <c r="F151" s="64" t="str">
        <f>IFERROR(IF(IFERROR(MATCH(147,'كشف الحساب'!$N$4:$N$353,0),0)=0,"",INDEX('كشف الحساب'!$F$4:$F$353,IFERROR(MATCH(147,'كشف الحساب'!$N$4:$N$353,0),0))),"")</f>
        <v/>
      </c>
      <c r="G151" s="64" t="str">
        <f>IFERROR(IF(IFERROR(MATCH(147,'كشف الحساب'!$N$4:$N$353,0),0)=0,"",INDEX('كشف الحساب'!$G$4:$G$353,IFERROR(MATCH(147,'كشف الحساب'!$N$4:$N$353,0),0))),"")</f>
        <v/>
      </c>
      <c r="H151" s="64" t="str">
        <f>IFERROR(IF(IFERROR(MATCH(147,'كشف الحساب'!$N$4:$N$353,0),0)=0,"",INDEX('كشف الحساب'!$H$4:$H$353,IFERROR(MATCH(147,'كشف الحساب'!$N$4:$N$353,0),0))),"")</f>
        <v/>
      </c>
      <c r="I151" s="64" t="str">
        <f>IFERROR(IF(IFERROR(MATCH(147,'كشف الحساب'!$N$4:$N$353,0),0)=0,"",INDEX('كشف الحساب'!$I$4:$I$353,IFERROR(MATCH(147,'كشف الحساب'!$N$4:$N$353,0),0))),"")</f>
        <v/>
      </c>
      <c r="J151" s="68" t="str">
        <f>IFERROR(IF(IFERROR(MATCH(147,'كشف الحساب'!$N$4:$N$353,0),0)=0,"",INDEX('كشف الحساب'!$J$4:$J$353,IFERROR(MATCH(147,'كشف الحساب'!$N$4:$N$353,0),0))),"")</f>
        <v/>
      </c>
      <c r="K151" s="64" t="str">
        <f>IFERROR(IF(IFERROR(MATCH(147,'كشف الحساب'!$N$4:$N$353,0),0)=0,"",INDEX('كشف الحساب'!$K$4:$K$353,IFERROR(MATCH(147,'كشف الحساب'!$N$4:$N$353,0),0))),"")</f>
        <v/>
      </c>
    </row>
    <row r="152" spans="1:11" ht="15" customHeight="1" x14ac:dyDescent="0.25">
      <c r="A152" s="69" t="str">
        <f>IFERROR(IF(IFERROR(MATCH(148,'كشف الحساب'!$N$4:$N$353,0),0)=0,"",INDEX('كشف الحساب'!$A$4:$A$353,IFERROR(MATCH(148,'كشف الحساب'!$N$4:$N$353,0),0))),"")</f>
        <v/>
      </c>
      <c r="B152" s="70" t="str">
        <f>IFERROR(IF(IFERROR(MATCH(148,'كشف الحساب'!$N$4:$N$353,0),0)=0,"",INDEX('كشف الحساب'!$B$4:$B$353,IFERROR(MATCH(148,'كشف الحساب'!$N$4:$N$353,0),0))),"")</f>
        <v/>
      </c>
      <c r="C152" s="71" t="str">
        <f>IFERROR(IF(IFERROR(MATCH(148,'كشف الحساب'!$N$4:$N$353,0),0)=0,"",INDEX('كشف الحساب'!$C$4:$C$353,IFERROR(MATCH(148,'كشف الحساب'!$N$4:$N$353,0),0))),"")</f>
        <v/>
      </c>
      <c r="D152" s="72" t="str">
        <f>IFERROR(IF(IFERROR(MATCH(148,'كشف الحساب'!$N$4:$N$353,0),0)=0,"",INDEX('كشف الحساب'!$D$4:$D$353,IFERROR(MATCH(148,'كشف الحساب'!$N$4:$N$353,0),0))),"")</f>
        <v/>
      </c>
      <c r="E152" s="73" t="str">
        <f>IFERROR(IF(IFERROR(MATCH(148,'كشف الحساب'!$N$4:$N$353,0),0)=0,"",INDEX('كشف الحساب'!$E$4:$E$353,IFERROR(MATCH(148,'كشف الحساب'!$N$4:$N$353,0),0))),"")</f>
        <v/>
      </c>
      <c r="F152" s="70" t="str">
        <f>IFERROR(IF(IFERROR(MATCH(148,'كشف الحساب'!$N$4:$N$353,0),0)=0,"",INDEX('كشف الحساب'!$F$4:$F$353,IFERROR(MATCH(148,'كشف الحساب'!$N$4:$N$353,0),0))),"")</f>
        <v/>
      </c>
      <c r="G152" s="70" t="str">
        <f>IFERROR(IF(IFERROR(MATCH(148,'كشف الحساب'!$N$4:$N$353,0),0)=0,"",INDEX('كشف الحساب'!$G$4:$G$353,IFERROR(MATCH(148,'كشف الحساب'!$N$4:$N$353,0),0))),"")</f>
        <v/>
      </c>
      <c r="H152" s="70" t="str">
        <f>IFERROR(IF(IFERROR(MATCH(148,'كشف الحساب'!$N$4:$N$353,0),0)=0,"",INDEX('كشف الحساب'!$H$4:$H$353,IFERROR(MATCH(148,'كشف الحساب'!$N$4:$N$353,0),0))),"")</f>
        <v/>
      </c>
      <c r="I152" s="70" t="str">
        <f>IFERROR(IF(IFERROR(MATCH(148,'كشف الحساب'!$N$4:$N$353,0),0)=0,"",INDEX('كشف الحساب'!$I$4:$I$353,IFERROR(MATCH(148,'كشف الحساب'!$N$4:$N$353,0),0))),"")</f>
        <v/>
      </c>
      <c r="J152" s="74" t="str">
        <f>IFERROR(IF(IFERROR(MATCH(148,'كشف الحساب'!$N$4:$N$353,0),0)=0,"",INDEX('كشف الحساب'!$J$4:$J$353,IFERROR(MATCH(148,'كشف الحساب'!$N$4:$N$353,0),0))),"")</f>
        <v/>
      </c>
      <c r="K152" s="70" t="str">
        <f>IFERROR(IF(IFERROR(MATCH(148,'كشف الحساب'!$N$4:$N$353,0),0)=0,"",INDEX('كشف الحساب'!$K$4:$K$353,IFERROR(MATCH(148,'كشف الحساب'!$N$4:$N$353,0),0))),"")</f>
        <v/>
      </c>
    </row>
    <row r="153" spans="1:11" ht="15" customHeight="1" x14ac:dyDescent="0.25">
      <c r="A153" s="63" t="str">
        <f>IFERROR(IF(IFERROR(MATCH(149,'كشف الحساب'!$N$4:$N$353,0),0)=0,"",INDEX('كشف الحساب'!$A$4:$A$353,IFERROR(MATCH(149,'كشف الحساب'!$N$4:$N$353,0),0))),"")</f>
        <v/>
      </c>
      <c r="B153" s="64" t="str">
        <f>IFERROR(IF(IFERROR(MATCH(149,'كشف الحساب'!$N$4:$N$353,0),0)=0,"",INDEX('كشف الحساب'!$B$4:$B$353,IFERROR(MATCH(149,'كشف الحساب'!$N$4:$N$353,0),0))),"")</f>
        <v/>
      </c>
      <c r="C153" s="65" t="str">
        <f>IFERROR(IF(IFERROR(MATCH(149,'كشف الحساب'!$N$4:$N$353,0),0)=0,"",INDEX('كشف الحساب'!$C$4:$C$353,IFERROR(MATCH(149,'كشف الحساب'!$N$4:$N$353,0),0))),"")</f>
        <v/>
      </c>
      <c r="D153" s="66" t="str">
        <f>IFERROR(IF(IFERROR(MATCH(149,'كشف الحساب'!$N$4:$N$353,0),0)=0,"",INDEX('كشف الحساب'!$D$4:$D$353,IFERROR(MATCH(149,'كشف الحساب'!$N$4:$N$353,0),0))),"")</f>
        <v/>
      </c>
      <c r="E153" s="67" t="str">
        <f>IFERROR(IF(IFERROR(MATCH(149,'كشف الحساب'!$N$4:$N$353,0),0)=0,"",INDEX('كشف الحساب'!$E$4:$E$353,IFERROR(MATCH(149,'كشف الحساب'!$N$4:$N$353,0),0))),"")</f>
        <v/>
      </c>
      <c r="F153" s="64" t="str">
        <f>IFERROR(IF(IFERROR(MATCH(149,'كشف الحساب'!$N$4:$N$353,0),0)=0,"",INDEX('كشف الحساب'!$F$4:$F$353,IFERROR(MATCH(149,'كشف الحساب'!$N$4:$N$353,0),0))),"")</f>
        <v/>
      </c>
      <c r="G153" s="64" t="str">
        <f>IFERROR(IF(IFERROR(MATCH(149,'كشف الحساب'!$N$4:$N$353,0),0)=0,"",INDEX('كشف الحساب'!$G$4:$G$353,IFERROR(MATCH(149,'كشف الحساب'!$N$4:$N$353,0),0))),"")</f>
        <v/>
      </c>
      <c r="H153" s="64" t="str">
        <f>IFERROR(IF(IFERROR(MATCH(149,'كشف الحساب'!$N$4:$N$353,0),0)=0,"",INDEX('كشف الحساب'!$H$4:$H$353,IFERROR(MATCH(149,'كشف الحساب'!$N$4:$N$353,0),0))),"")</f>
        <v/>
      </c>
      <c r="I153" s="64" t="str">
        <f>IFERROR(IF(IFERROR(MATCH(149,'كشف الحساب'!$N$4:$N$353,0),0)=0,"",INDEX('كشف الحساب'!$I$4:$I$353,IFERROR(MATCH(149,'كشف الحساب'!$N$4:$N$353,0),0))),"")</f>
        <v/>
      </c>
      <c r="J153" s="68" t="str">
        <f>IFERROR(IF(IFERROR(MATCH(149,'كشف الحساب'!$N$4:$N$353,0),0)=0,"",INDEX('كشف الحساب'!$J$4:$J$353,IFERROR(MATCH(149,'كشف الحساب'!$N$4:$N$353,0),0))),"")</f>
        <v/>
      </c>
      <c r="K153" s="64" t="str">
        <f>IFERROR(IF(IFERROR(MATCH(149,'كشف الحساب'!$N$4:$N$353,0),0)=0,"",INDEX('كشف الحساب'!$K$4:$K$353,IFERROR(MATCH(149,'كشف الحساب'!$N$4:$N$353,0),0))),"")</f>
        <v/>
      </c>
    </row>
    <row r="154" spans="1:11" ht="15" customHeight="1" x14ac:dyDescent="0.25">
      <c r="A154" s="69" t="str">
        <f>IFERROR(IF(IFERROR(MATCH(150,'كشف الحساب'!$N$4:$N$353,0),0)=0,"",INDEX('كشف الحساب'!$A$4:$A$353,IFERROR(MATCH(150,'كشف الحساب'!$N$4:$N$353,0),0))),"")</f>
        <v/>
      </c>
      <c r="B154" s="70" t="str">
        <f>IFERROR(IF(IFERROR(MATCH(150,'كشف الحساب'!$N$4:$N$353,0),0)=0,"",INDEX('كشف الحساب'!$B$4:$B$353,IFERROR(MATCH(150,'كشف الحساب'!$N$4:$N$353,0),0))),"")</f>
        <v/>
      </c>
      <c r="C154" s="71" t="str">
        <f>IFERROR(IF(IFERROR(MATCH(150,'كشف الحساب'!$N$4:$N$353,0),0)=0,"",INDEX('كشف الحساب'!$C$4:$C$353,IFERROR(MATCH(150,'كشف الحساب'!$N$4:$N$353,0),0))),"")</f>
        <v/>
      </c>
      <c r="D154" s="72" t="str">
        <f>IFERROR(IF(IFERROR(MATCH(150,'كشف الحساب'!$N$4:$N$353,0),0)=0,"",INDEX('كشف الحساب'!$D$4:$D$353,IFERROR(MATCH(150,'كشف الحساب'!$N$4:$N$353,0),0))),"")</f>
        <v/>
      </c>
      <c r="E154" s="73" t="str">
        <f>IFERROR(IF(IFERROR(MATCH(150,'كشف الحساب'!$N$4:$N$353,0),0)=0,"",INDEX('كشف الحساب'!$E$4:$E$353,IFERROR(MATCH(150,'كشف الحساب'!$N$4:$N$353,0),0))),"")</f>
        <v/>
      </c>
      <c r="F154" s="70" t="str">
        <f>IFERROR(IF(IFERROR(MATCH(150,'كشف الحساب'!$N$4:$N$353,0),0)=0,"",INDEX('كشف الحساب'!$F$4:$F$353,IFERROR(MATCH(150,'كشف الحساب'!$N$4:$N$353,0),0))),"")</f>
        <v/>
      </c>
      <c r="G154" s="70" t="str">
        <f>IFERROR(IF(IFERROR(MATCH(150,'كشف الحساب'!$N$4:$N$353,0),0)=0,"",INDEX('كشف الحساب'!$G$4:$G$353,IFERROR(MATCH(150,'كشف الحساب'!$N$4:$N$353,0),0))),"")</f>
        <v/>
      </c>
      <c r="H154" s="70" t="str">
        <f>IFERROR(IF(IFERROR(MATCH(150,'كشف الحساب'!$N$4:$N$353,0),0)=0,"",INDEX('كشف الحساب'!$H$4:$H$353,IFERROR(MATCH(150,'كشف الحساب'!$N$4:$N$353,0),0))),"")</f>
        <v/>
      </c>
      <c r="I154" s="70" t="str">
        <f>IFERROR(IF(IFERROR(MATCH(150,'كشف الحساب'!$N$4:$N$353,0),0)=0,"",INDEX('كشف الحساب'!$I$4:$I$353,IFERROR(MATCH(150,'كشف الحساب'!$N$4:$N$353,0),0))),"")</f>
        <v/>
      </c>
      <c r="J154" s="74" t="str">
        <f>IFERROR(IF(IFERROR(MATCH(150,'كشف الحساب'!$N$4:$N$353,0),0)=0,"",INDEX('كشف الحساب'!$J$4:$J$353,IFERROR(MATCH(150,'كشف الحساب'!$N$4:$N$353,0),0))),"")</f>
        <v/>
      </c>
      <c r="K154" s="70" t="str">
        <f>IFERROR(IF(IFERROR(MATCH(150,'كشف الحساب'!$N$4:$N$353,0),0)=0,"",INDEX('كشف الحساب'!$K$4:$K$353,IFERROR(MATCH(150,'كشف الحساب'!$N$4:$N$353,0),0))),"")</f>
        <v/>
      </c>
    </row>
    <row r="155" spans="1:11" ht="15" customHeight="1" x14ac:dyDescent="0.25">
      <c r="A155" s="63" t="str">
        <f>IFERROR(IF(IFERROR(MATCH(151,'كشف الحساب'!$N$4:$N$353,0),0)=0,"",INDEX('كشف الحساب'!$A$4:$A$353,IFERROR(MATCH(151,'كشف الحساب'!$N$4:$N$353,0),0))),"")</f>
        <v/>
      </c>
      <c r="B155" s="64" t="str">
        <f>IFERROR(IF(IFERROR(MATCH(151,'كشف الحساب'!$N$4:$N$353,0),0)=0,"",INDEX('كشف الحساب'!$B$4:$B$353,IFERROR(MATCH(151,'كشف الحساب'!$N$4:$N$353,0),0))),"")</f>
        <v/>
      </c>
      <c r="C155" s="65" t="str">
        <f>IFERROR(IF(IFERROR(MATCH(151,'كشف الحساب'!$N$4:$N$353,0),0)=0,"",INDEX('كشف الحساب'!$C$4:$C$353,IFERROR(MATCH(151,'كشف الحساب'!$N$4:$N$353,0),0))),"")</f>
        <v/>
      </c>
      <c r="D155" s="66" t="str">
        <f>IFERROR(IF(IFERROR(MATCH(151,'كشف الحساب'!$N$4:$N$353,0),0)=0,"",INDEX('كشف الحساب'!$D$4:$D$353,IFERROR(MATCH(151,'كشف الحساب'!$N$4:$N$353,0),0))),"")</f>
        <v/>
      </c>
      <c r="E155" s="67" t="str">
        <f>IFERROR(IF(IFERROR(MATCH(151,'كشف الحساب'!$N$4:$N$353,0),0)=0,"",INDEX('كشف الحساب'!$E$4:$E$353,IFERROR(MATCH(151,'كشف الحساب'!$N$4:$N$353,0),0))),"")</f>
        <v/>
      </c>
      <c r="F155" s="64" t="str">
        <f>IFERROR(IF(IFERROR(MATCH(151,'كشف الحساب'!$N$4:$N$353,0),0)=0,"",INDEX('كشف الحساب'!$F$4:$F$353,IFERROR(MATCH(151,'كشف الحساب'!$N$4:$N$353,0),0))),"")</f>
        <v/>
      </c>
      <c r="G155" s="64" t="str">
        <f>IFERROR(IF(IFERROR(MATCH(151,'كشف الحساب'!$N$4:$N$353,0),0)=0,"",INDEX('كشف الحساب'!$G$4:$G$353,IFERROR(MATCH(151,'كشف الحساب'!$N$4:$N$353,0),0))),"")</f>
        <v/>
      </c>
      <c r="H155" s="64" t="str">
        <f>IFERROR(IF(IFERROR(MATCH(151,'كشف الحساب'!$N$4:$N$353,0),0)=0,"",INDEX('كشف الحساب'!$H$4:$H$353,IFERROR(MATCH(151,'كشف الحساب'!$N$4:$N$353,0),0))),"")</f>
        <v/>
      </c>
      <c r="I155" s="64" t="str">
        <f>IFERROR(IF(IFERROR(MATCH(151,'كشف الحساب'!$N$4:$N$353,0),0)=0,"",INDEX('كشف الحساب'!$I$4:$I$353,IFERROR(MATCH(151,'كشف الحساب'!$N$4:$N$353,0),0))),"")</f>
        <v/>
      </c>
      <c r="J155" s="68" t="str">
        <f>IFERROR(IF(IFERROR(MATCH(151,'كشف الحساب'!$N$4:$N$353,0),0)=0,"",INDEX('كشف الحساب'!$J$4:$J$353,IFERROR(MATCH(151,'كشف الحساب'!$N$4:$N$353,0),0))),"")</f>
        <v/>
      </c>
      <c r="K155" s="64" t="str">
        <f>IFERROR(IF(IFERROR(MATCH(151,'كشف الحساب'!$N$4:$N$353,0),0)=0,"",INDEX('كشف الحساب'!$K$4:$K$353,IFERROR(MATCH(151,'كشف الحساب'!$N$4:$N$353,0),0))),"")</f>
        <v/>
      </c>
    </row>
    <row r="156" spans="1:11" ht="15" customHeight="1" x14ac:dyDescent="0.25">
      <c r="A156" s="69" t="str">
        <f>IFERROR(IF(IFERROR(MATCH(152,'كشف الحساب'!$N$4:$N$353,0),0)=0,"",INDEX('كشف الحساب'!$A$4:$A$353,IFERROR(MATCH(152,'كشف الحساب'!$N$4:$N$353,0),0))),"")</f>
        <v/>
      </c>
      <c r="B156" s="70" t="str">
        <f>IFERROR(IF(IFERROR(MATCH(152,'كشف الحساب'!$N$4:$N$353,0),0)=0,"",INDEX('كشف الحساب'!$B$4:$B$353,IFERROR(MATCH(152,'كشف الحساب'!$N$4:$N$353,0),0))),"")</f>
        <v/>
      </c>
      <c r="C156" s="71" t="str">
        <f>IFERROR(IF(IFERROR(MATCH(152,'كشف الحساب'!$N$4:$N$353,0),0)=0,"",INDEX('كشف الحساب'!$C$4:$C$353,IFERROR(MATCH(152,'كشف الحساب'!$N$4:$N$353,0),0))),"")</f>
        <v/>
      </c>
      <c r="D156" s="72" t="str">
        <f>IFERROR(IF(IFERROR(MATCH(152,'كشف الحساب'!$N$4:$N$353,0),0)=0,"",INDEX('كشف الحساب'!$D$4:$D$353,IFERROR(MATCH(152,'كشف الحساب'!$N$4:$N$353,0),0))),"")</f>
        <v/>
      </c>
      <c r="E156" s="73" t="str">
        <f>IFERROR(IF(IFERROR(MATCH(152,'كشف الحساب'!$N$4:$N$353,0),0)=0,"",INDEX('كشف الحساب'!$E$4:$E$353,IFERROR(MATCH(152,'كشف الحساب'!$N$4:$N$353,0),0))),"")</f>
        <v/>
      </c>
      <c r="F156" s="70" t="str">
        <f>IFERROR(IF(IFERROR(MATCH(152,'كشف الحساب'!$N$4:$N$353,0),0)=0,"",INDEX('كشف الحساب'!$F$4:$F$353,IFERROR(MATCH(152,'كشف الحساب'!$N$4:$N$353,0),0))),"")</f>
        <v/>
      </c>
      <c r="G156" s="70" t="str">
        <f>IFERROR(IF(IFERROR(MATCH(152,'كشف الحساب'!$N$4:$N$353,0),0)=0,"",INDEX('كشف الحساب'!$G$4:$G$353,IFERROR(MATCH(152,'كشف الحساب'!$N$4:$N$353,0),0))),"")</f>
        <v/>
      </c>
      <c r="H156" s="70" t="str">
        <f>IFERROR(IF(IFERROR(MATCH(152,'كشف الحساب'!$N$4:$N$353,0),0)=0,"",INDEX('كشف الحساب'!$H$4:$H$353,IFERROR(MATCH(152,'كشف الحساب'!$N$4:$N$353,0),0))),"")</f>
        <v/>
      </c>
      <c r="I156" s="70" t="str">
        <f>IFERROR(IF(IFERROR(MATCH(152,'كشف الحساب'!$N$4:$N$353,0),0)=0,"",INDEX('كشف الحساب'!$I$4:$I$353,IFERROR(MATCH(152,'كشف الحساب'!$N$4:$N$353,0),0))),"")</f>
        <v/>
      </c>
      <c r="J156" s="74" t="str">
        <f>IFERROR(IF(IFERROR(MATCH(152,'كشف الحساب'!$N$4:$N$353,0),0)=0,"",INDEX('كشف الحساب'!$J$4:$J$353,IFERROR(MATCH(152,'كشف الحساب'!$N$4:$N$353,0),0))),"")</f>
        <v/>
      </c>
      <c r="K156" s="70" t="str">
        <f>IFERROR(IF(IFERROR(MATCH(152,'كشف الحساب'!$N$4:$N$353,0),0)=0,"",INDEX('كشف الحساب'!$K$4:$K$353,IFERROR(MATCH(152,'كشف الحساب'!$N$4:$N$353,0),0))),"")</f>
        <v/>
      </c>
    </row>
    <row r="157" spans="1:11" ht="15" customHeight="1" x14ac:dyDescent="0.25">
      <c r="A157" s="63" t="str">
        <f>IFERROR(IF(IFERROR(MATCH(153,'كشف الحساب'!$N$4:$N$353,0),0)=0,"",INDEX('كشف الحساب'!$A$4:$A$353,IFERROR(MATCH(153,'كشف الحساب'!$N$4:$N$353,0),0))),"")</f>
        <v/>
      </c>
      <c r="B157" s="64" t="str">
        <f>IFERROR(IF(IFERROR(MATCH(153,'كشف الحساب'!$N$4:$N$353,0),0)=0,"",INDEX('كشف الحساب'!$B$4:$B$353,IFERROR(MATCH(153,'كشف الحساب'!$N$4:$N$353,0),0))),"")</f>
        <v/>
      </c>
      <c r="C157" s="65" t="str">
        <f>IFERROR(IF(IFERROR(MATCH(153,'كشف الحساب'!$N$4:$N$353,0),0)=0,"",INDEX('كشف الحساب'!$C$4:$C$353,IFERROR(MATCH(153,'كشف الحساب'!$N$4:$N$353,0),0))),"")</f>
        <v/>
      </c>
      <c r="D157" s="66" t="str">
        <f>IFERROR(IF(IFERROR(MATCH(153,'كشف الحساب'!$N$4:$N$353,0),0)=0,"",INDEX('كشف الحساب'!$D$4:$D$353,IFERROR(MATCH(153,'كشف الحساب'!$N$4:$N$353,0),0))),"")</f>
        <v/>
      </c>
      <c r="E157" s="67" t="str">
        <f>IFERROR(IF(IFERROR(MATCH(153,'كشف الحساب'!$N$4:$N$353,0),0)=0,"",INDEX('كشف الحساب'!$E$4:$E$353,IFERROR(MATCH(153,'كشف الحساب'!$N$4:$N$353,0),0))),"")</f>
        <v/>
      </c>
      <c r="F157" s="64" t="str">
        <f>IFERROR(IF(IFERROR(MATCH(153,'كشف الحساب'!$N$4:$N$353,0),0)=0,"",INDEX('كشف الحساب'!$F$4:$F$353,IFERROR(MATCH(153,'كشف الحساب'!$N$4:$N$353,0),0))),"")</f>
        <v/>
      </c>
      <c r="G157" s="64" t="str">
        <f>IFERROR(IF(IFERROR(MATCH(153,'كشف الحساب'!$N$4:$N$353,0),0)=0,"",INDEX('كشف الحساب'!$G$4:$G$353,IFERROR(MATCH(153,'كشف الحساب'!$N$4:$N$353,0),0))),"")</f>
        <v/>
      </c>
      <c r="H157" s="64" t="str">
        <f>IFERROR(IF(IFERROR(MATCH(153,'كشف الحساب'!$N$4:$N$353,0),0)=0,"",INDEX('كشف الحساب'!$H$4:$H$353,IFERROR(MATCH(153,'كشف الحساب'!$N$4:$N$353,0),0))),"")</f>
        <v/>
      </c>
      <c r="I157" s="64" t="str">
        <f>IFERROR(IF(IFERROR(MATCH(153,'كشف الحساب'!$N$4:$N$353,0),0)=0,"",INDEX('كشف الحساب'!$I$4:$I$353,IFERROR(MATCH(153,'كشف الحساب'!$N$4:$N$353,0),0))),"")</f>
        <v/>
      </c>
      <c r="J157" s="68" t="str">
        <f>IFERROR(IF(IFERROR(MATCH(153,'كشف الحساب'!$N$4:$N$353,0),0)=0,"",INDEX('كشف الحساب'!$J$4:$J$353,IFERROR(MATCH(153,'كشف الحساب'!$N$4:$N$353,0),0))),"")</f>
        <v/>
      </c>
      <c r="K157" s="64" t="str">
        <f>IFERROR(IF(IFERROR(MATCH(153,'كشف الحساب'!$N$4:$N$353,0),0)=0,"",INDEX('كشف الحساب'!$K$4:$K$353,IFERROR(MATCH(153,'كشف الحساب'!$N$4:$N$353,0),0))),"")</f>
        <v/>
      </c>
    </row>
    <row r="158" spans="1:11" ht="15" customHeight="1" x14ac:dyDescent="0.25">
      <c r="A158" s="69" t="str">
        <f>IFERROR(IF(IFERROR(MATCH(154,'كشف الحساب'!$N$4:$N$353,0),0)=0,"",INDEX('كشف الحساب'!$A$4:$A$353,IFERROR(MATCH(154,'كشف الحساب'!$N$4:$N$353,0),0))),"")</f>
        <v/>
      </c>
      <c r="B158" s="70" t="str">
        <f>IFERROR(IF(IFERROR(MATCH(154,'كشف الحساب'!$N$4:$N$353,0),0)=0,"",INDEX('كشف الحساب'!$B$4:$B$353,IFERROR(MATCH(154,'كشف الحساب'!$N$4:$N$353,0),0))),"")</f>
        <v/>
      </c>
      <c r="C158" s="71" t="str">
        <f>IFERROR(IF(IFERROR(MATCH(154,'كشف الحساب'!$N$4:$N$353,0),0)=0,"",INDEX('كشف الحساب'!$C$4:$C$353,IFERROR(MATCH(154,'كشف الحساب'!$N$4:$N$353,0),0))),"")</f>
        <v/>
      </c>
      <c r="D158" s="72" t="str">
        <f>IFERROR(IF(IFERROR(MATCH(154,'كشف الحساب'!$N$4:$N$353,0),0)=0,"",INDEX('كشف الحساب'!$D$4:$D$353,IFERROR(MATCH(154,'كشف الحساب'!$N$4:$N$353,0),0))),"")</f>
        <v/>
      </c>
      <c r="E158" s="73" t="str">
        <f>IFERROR(IF(IFERROR(MATCH(154,'كشف الحساب'!$N$4:$N$353,0),0)=0,"",INDEX('كشف الحساب'!$E$4:$E$353,IFERROR(MATCH(154,'كشف الحساب'!$N$4:$N$353,0),0))),"")</f>
        <v/>
      </c>
      <c r="F158" s="70" t="str">
        <f>IFERROR(IF(IFERROR(MATCH(154,'كشف الحساب'!$N$4:$N$353,0),0)=0,"",INDEX('كشف الحساب'!$F$4:$F$353,IFERROR(MATCH(154,'كشف الحساب'!$N$4:$N$353,0),0))),"")</f>
        <v/>
      </c>
      <c r="G158" s="70" t="str">
        <f>IFERROR(IF(IFERROR(MATCH(154,'كشف الحساب'!$N$4:$N$353,0),0)=0,"",INDEX('كشف الحساب'!$G$4:$G$353,IFERROR(MATCH(154,'كشف الحساب'!$N$4:$N$353,0),0))),"")</f>
        <v/>
      </c>
      <c r="H158" s="70" t="str">
        <f>IFERROR(IF(IFERROR(MATCH(154,'كشف الحساب'!$N$4:$N$353,0),0)=0,"",INDEX('كشف الحساب'!$H$4:$H$353,IFERROR(MATCH(154,'كشف الحساب'!$N$4:$N$353,0),0))),"")</f>
        <v/>
      </c>
      <c r="I158" s="70" t="str">
        <f>IFERROR(IF(IFERROR(MATCH(154,'كشف الحساب'!$N$4:$N$353,0),0)=0,"",INDEX('كشف الحساب'!$I$4:$I$353,IFERROR(MATCH(154,'كشف الحساب'!$N$4:$N$353,0),0))),"")</f>
        <v/>
      </c>
      <c r="J158" s="74" t="str">
        <f>IFERROR(IF(IFERROR(MATCH(154,'كشف الحساب'!$N$4:$N$353,0),0)=0,"",INDEX('كشف الحساب'!$J$4:$J$353,IFERROR(MATCH(154,'كشف الحساب'!$N$4:$N$353,0),0))),"")</f>
        <v/>
      </c>
      <c r="K158" s="70" t="str">
        <f>IFERROR(IF(IFERROR(MATCH(154,'كشف الحساب'!$N$4:$N$353,0),0)=0,"",INDEX('كشف الحساب'!$K$4:$K$353,IFERROR(MATCH(154,'كشف الحساب'!$N$4:$N$353,0),0))),"")</f>
        <v/>
      </c>
    </row>
    <row r="159" spans="1:11" ht="15" customHeight="1" x14ac:dyDescent="0.25">
      <c r="A159" s="63" t="str">
        <f>IFERROR(IF(IFERROR(MATCH(155,'كشف الحساب'!$N$4:$N$353,0),0)=0,"",INDEX('كشف الحساب'!$A$4:$A$353,IFERROR(MATCH(155,'كشف الحساب'!$N$4:$N$353,0),0))),"")</f>
        <v/>
      </c>
      <c r="B159" s="64" t="str">
        <f>IFERROR(IF(IFERROR(MATCH(155,'كشف الحساب'!$N$4:$N$353,0),0)=0,"",INDEX('كشف الحساب'!$B$4:$B$353,IFERROR(MATCH(155,'كشف الحساب'!$N$4:$N$353,0),0))),"")</f>
        <v/>
      </c>
      <c r="C159" s="65" t="str">
        <f>IFERROR(IF(IFERROR(MATCH(155,'كشف الحساب'!$N$4:$N$353,0),0)=0,"",INDEX('كشف الحساب'!$C$4:$C$353,IFERROR(MATCH(155,'كشف الحساب'!$N$4:$N$353,0),0))),"")</f>
        <v/>
      </c>
      <c r="D159" s="66" t="str">
        <f>IFERROR(IF(IFERROR(MATCH(155,'كشف الحساب'!$N$4:$N$353,0),0)=0,"",INDEX('كشف الحساب'!$D$4:$D$353,IFERROR(MATCH(155,'كشف الحساب'!$N$4:$N$353,0),0))),"")</f>
        <v/>
      </c>
      <c r="E159" s="67" t="str">
        <f>IFERROR(IF(IFERROR(MATCH(155,'كشف الحساب'!$N$4:$N$353,0),0)=0,"",INDEX('كشف الحساب'!$E$4:$E$353,IFERROR(MATCH(155,'كشف الحساب'!$N$4:$N$353,0),0))),"")</f>
        <v/>
      </c>
      <c r="F159" s="64" t="str">
        <f>IFERROR(IF(IFERROR(MATCH(155,'كشف الحساب'!$N$4:$N$353,0),0)=0,"",INDEX('كشف الحساب'!$F$4:$F$353,IFERROR(MATCH(155,'كشف الحساب'!$N$4:$N$353,0),0))),"")</f>
        <v/>
      </c>
      <c r="G159" s="64" t="str">
        <f>IFERROR(IF(IFERROR(MATCH(155,'كشف الحساب'!$N$4:$N$353,0),0)=0,"",INDEX('كشف الحساب'!$G$4:$G$353,IFERROR(MATCH(155,'كشف الحساب'!$N$4:$N$353,0),0))),"")</f>
        <v/>
      </c>
      <c r="H159" s="64" t="str">
        <f>IFERROR(IF(IFERROR(MATCH(155,'كشف الحساب'!$N$4:$N$353,0),0)=0,"",INDEX('كشف الحساب'!$H$4:$H$353,IFERROR(MATCH(155,'كشف الحساب'!$N$4:$N$353,0),0))),"")</f>
        <v/>
      </c>
      <c r="I159" s="64" t="str">
        <f>IFERROR(IF(IFERROR(MATCH(155,'كشف الحساب'!$N$4:$N$353,0),0)=0,"",INDEX('كشف الحساب'!$I$4:$I$353,IFERROR(MATCH(155,'كشف الحساب'!$N$4:$N$353,0),0))),"")</f>
        <v/>
      </c>
      <c r="J159" s="68" t="str">
        <f>IFERROR(IF(IFERROR(MATCH(155,'كشف الحساب'!$N$4:$N$353,0),0)=0,"",INDEX('كشف الحساب'!$J$4:$J$353,IFERROR(MATCH(155,'كشف الحساب'!$N$4:$N$353,0),0))),"")</f>
        <v/>
      </c>
      <c r="K159" s="64" t="str">
        <f>IFERROR(IF(IFERROR(MATCH(155,'كشف الحساب'!$N$4:$N$353,0),0)=0,"",INDEX('كشف الحساب'!$K$4:$K$353,IFERROR(MATCH(155,'كشف الحساب'!$N$4:$N$353,0),0))),"")</f>
        <v/>
      </c>
    </row>
    <row r="160" spans="1:11" ht="15" customHeight="1" x14ac:dyDescent="0.25">
      <c r="A160" s="69" t="str">
        <f>IFERROR(IF(IFERROR(MATCH(156,'كشف الحساب'!$N$4:$N$353,0),0)=0,"",INDEX('كشف الحساب'!$A$4:$A$353,IFERROR(MATCH(156,'كشف الحساب'!$N$4:$N$353,0),0))),"")</f>
        <v/>
      </c>
      <c r="B160" s="70" t="str">
        <f>IFERROR(IF(IFERROR(MATCH(156,'كشف الحساب'!$N$4:$N$353,0),0)=0,"",INDEX('كشف الحساب'!$B$4:$B$353,IFERROR(MATCH(156,'كشف الحساب'!$N$4:$N$353,0),0))),"")</f>
        <v/>
      </c>
      <c r="C160" s="71" t="str">
        <f>IFERROR(IF(IFERROR(MATCH(156,'كشف الحساب'!$N$4:$N$353,0),0)=0,"",INDEX('كشف الحساب'!$C$4:$C$353,IFERROR(MATCH(156,'كشف الحساب'!$N$4:$N$353,0),0))),"")</f>
        <v/>
      </c>
      <c r="D160" s="72" t="str">
        <f>IFERROR(IF(IFERROR(MATCH(156,'كشف الحساب'!$N$4:$N$353,0),0)=0,"",INDEX('كشف الحساب'!$D$4:$D$353,IFERROR(MATCH(156,'كشف الحساب'!$N$4:$N$353,0),0))),"")</f>
        <v/>
      </c>
      <c r="E160" s="73" t="str">
        <f>IFERROR(IF(IFERROR(MATCH(156,'كشف الحساب'!$N$4:$N$353,0),0)=0,"",INDEX('كشف الحساب'!$E$4:$E$353,IFERROR(MATCH(156,'كشف الحساب'!$N$4:$N$353,0),0))),"")</f>
        <v/>
      </c>
      <c r="F160" s="70" t="str">
        <f>IFERROR(IF(IFERROR(MATCH(156,'كشف الحساب'!$N$4:$N$353,0),0)=0,"",INDEX('كشف الحساب'!$F$4:$F$353,IFERROR(MATCH(156,'كشف الحساب'!$N$4:$N$353,0),0))),"")</f>
        <v/>
      </c>
      <c r="G160" s="70" t="str">
        <f>IFERROR(IF(IFERROR(MATCH(156,'كشف الحساب'!$N$4:$N$353,0),0)=0,"",INDEX('كشف الحساب'!$G$4:$G$353,IFERROR(MATCH(156,'كشف الحساب'!$N$4:$N$353,0),0))),"")</f>
        <v/>
      </c>
      <c r="H160" s="70" t="str">
        <f>IFERROR(IF(IFERROR(MATCH(156,'كشف الحساب'!$N$4:$N$353,0),0)=0,"",INDEX('كشف الحساب'!$H$4:$H$353,IFERROR(MATCH(156,'كشف الحساب'!$N$4:$N$353,0),0))),"")</f>
        <v/>
      </c>
      <c r="I160" s="70" t="str">
        <f>IFERROR(IF(IFERROR(MATCH(156,'كشف الحساب'!$N$4:$N$353,0),0)=0,"",INDEX('كشف الحساب'!$I$4:$I$353,IFERROR(MATCH(156,'كشف الحساب'!$N$4:$N$353,0),0))),"")</f>
        <v/>
      </c>
      <c r="J160" s="74" t="str">
        <f>IFERROR(IF(IFERROR(MATCH(156,'كشف الحساب'!$N$4:$N$353,0),0)=0,"",INDEX('كشف الحساب'!$J$4:$J$353,IFERROR(MATCH(156,'كشف الحساب'!$N$4:$N$353,0),0))),"")</f>
        <v/>
      </c>
      <c r="K160" s="70" t="str">
        <f>IFERROR(IF(IFERROR(MATCH(156,'كشف الحساب'!$N$4:$N$353,0),0)=0,"",INDEX('كشف الحساب'!$K$4:$K$353,IFERROR(MATCH(156,'كشف الحساب'!$N$4:$N$353,0),0))),"")</f>
        <v/>
      </c>
    </row>
    <row r="161" spans="1:11" ht="15" customHeight="1" x14ac:dyDescent="0.25">
      <c r="A161" s="63" t="str">
        <f>IFERROR(IF(IFERROR(MATCH(157,'كشف الحساب'!$N$4:$N$353,0),0)=0,"",INDEX('كشف الحساب'!$A$4:$A$353,IFERROR(MATCH(157,'كشف الحساب'!$N$4:$N$353,0),0))),"")</f>
        <v/>
      </c>
      <c r="B161" s="64" t="str">
        <f>IFERROR(IF(IFERROR(MATCH(157,'كشف الحساب'!$N$4:$N$353,0),0)=0,"",INDEX('كشف الحساب'!$B$4:$B$353,IFERROR(MATCH(157,'كشف الحساب'!$N$4:$N$353,0),0))),"")</f>
        <v/>
      </c>
      <c r="C161" s="65" t="str">
        <f>IFERROR(IF(IFERROR(MATCH(157,'كشف الحساب'!$N$4:$N$353,0),0)=0,"",INDEX('كشف الحساب'!$C$4:$C$353,IFERROR(MATCH(157,'كشف الحساب'!$N$4:$N$353,0),0))),"")</f>
        <v/>
      </c>
      <c r="D161" s="66" t="str">
        <f>IFERROR(IF(IFERROR(MATCH(157,'كشف الحساب'!$N$4:$N$353,0),0)=0,"",INDEX('كشف الحساب'!$D$4:$D$353,IFERROR(MATCH(157,'كشف الحساب'!$N$4:$N$353,0),0))),"")</f>
        <v/>
      </c>
      <c r="E161" s="67" t="str">
        <f>IFERROR(IF(IFERROR(MATCH(157,'كشف الحساب'!$N$4:$N$353,0),0)=0,"",INDEX('كشف الحساب'!$E$4:$E$353,IFERROR(MATCH(157,'كشف الحساب'!$N$4:$N$353,0),0))),"")</f>
        <v/>
      </c>
      <c r="F161" s="64" t="str">
        <f>IFERROR(IF(IFERROR(MATCH(157,'كشف الحساب'!$N$4:$N$353,0),0)=0,"",INDEX('كشف الحساب'!$F$4:$F$353,IFERROR(MATCH(157,'كشف الحساب'!$N$4:$N$353,0),0))),"")</f>
        <v/>
      </c>
      <c r="G161" s="64" t="str">
        <f>IFERROR(IF(IFERROR(MATCH(157,'كشف الحساب'!$N$4:$N$353,0),0)=0,"",INDEX('كشف الحساب'!$G$4:$G$353,IFERROR(MATCH(157,'كشف الحساب'!$N$4:$N$353,0),0))),"")</f>
        <v/>
      </c>
      <c r="H161" s="64" t="str">
        <f>IFERROR(IF(IFERROR(MATCH(157,'كشف الحساب'!$N$4:$N$353,0),0)=0,"",INDEX('كشف الحساب'!$H$4:$H$353,IFERROR(MATCH(157,'كشف الحساب'!$N$4:$N$353,0),0))),"")</f>
        <v/>
      </c>
      <c r="I161" s="64" t="str">
        <f>IFERROR(IF(IFERROR(MATCH(157,'كشف الحساب'!$N$4:$N$353,0),0)=0,"",INDEX('كشف الحساب'!$I$4:$I$353,IFERROR(MATCH(157,'كشف الحساب'!$N$4:$N$353,0),0))),"")</f>
        <v/>
      </c>
      <c r="J161" s="68" t="str">
        <f>IFERROR(IF(IFERROR(MATCH(157,'كشف الحساب'!$N$4:$N$353,0),0)=0,"",INDEX('كشف الحساب'!$J$4:$J$353,IFERROR(MATCH(157,'كشف الحساب'!$N$4:$N$353,0),0))),"")</f>
        <v/>
      </c>
      <c r="K161" s="64" t="str">
        <f>IFERROR(IF(IFERROR(MATCH(157,'كشف الحساب'!$N$4:$N$353,0),0)=0,"",INDEX('كشف الحساب'!$K$4:$K$353,IFERROR(MATCH(157,'كشف الحساب'!$N$4:$N$353,0),0))),"")</f>
        <v/>
      </c>
    </row>
    <row r="162" spans="1:11" ht="15" customHeight="1" x14ac:dyDescent="0.25">
      <c r="A162" s="69" t="str">
        <f>IFERROR(IF(IFERROR(MATCH(158,'كشف الحساب'!$N$4:$N$353,0),0)=0,"",INDEX('كشف الحساب'!$A$4:$A$353,IFERROR(MATCH(158,'كشف الحساب'!$N$4:$N$353,0),0))),"")</f>
        <v/>
      </c>
      <c r="B162" s="70" t="str">
        <f>IFERROR(IF(IFERROR(MATCH(158,'كشف الحساب'!$N$4:$N$353,0),0)=0,"",INDEX('كشف الحساب'!$B$4:$B$353,IFERROR(MATCH(158,'كشف الحساب'!$N$4:$N$353,0),0))),"")</f>
        <v/>
      </c>
      <c r="C162" s="71" t="str">
        <f>IFERROR(IF(IFERROR(MATCH(158,'كشف الحساب'!$N$4:$N$353,0),0)=0,"",INDEX('كشف الحساب'!$C$4:$C$353,IFERROR(MATCH(158,'كشف الحساب'!$N$4:$N$353,0),0))),"")</f>
        <v/>
      </c>
      <c r="D162" s="72" t="str">
        <f>IFERROR(IF(IFERROR(MATCH(158,'كشف الحساب'!$N$4:$N$353,0),0)=0,"",INDEX('كشف الحساب'!$D$4:$D$353,IFERROR(MATCH(158,'كشف الحساب'!$N$4:$N$353,0),0))),"")</f>
        <v/>
      </c>
      <c r="E162" s="73" t="str">
        <f>IFERROR(IF(IFERROR(MATCH(158,'كشف الحساب'!$N$4:$N$353,0),0)=0,"",INDEX('كشف الحساب'!$E$4:$E$353,IFERROR(MATCH(158,'كشف الحساب'!$N$4:$N$353,0),0))),"")</f>
        <v/>
      </c>
      <c r="F162" s="70" t="str">
        <f>IFERROR(IF(IFERROR(MATCH(158,'كشف الحساب'!$N$4:$N$353,0),0)=0,"",INDEX('كشف الحساب'!$F$4:$F$353,IFERROR(MATCH(158,'كشف الحساب'!$N$4:$N$353,0),0))),"")</f>
        <v/>
      </c>
      <c r="G162" s="70" t="str">
        <f>IFERROR(IF(IFERROR(MATCH(158,'كشف الحساب'!$N$4:$N$353,0),0)=0,"",INDEX('كشف الحساب'!$G$4:$G$353,IFERROR(MATCH(158,'كشف الحساب'!$N$4:$N$353,0),0))),"")</f>
        <v/>
      </c>
      <c r="H162" s="70" t="str">
        <f>IFERROR(IF(IFERROR(MATCH(158,'كشف الحساب'!$N$4:$N$353,0),0)=0,"",INDEX('كشف الحساب'!$H$4:$H$353,IFERROR(MATCH(158,'كشف الحساب'!$N$4:$N$353,0),0))),"")</f>
        <v/>
      </c>
      <c r="I162" s="70" t="str">
        <f>IFERROR(IF(IFERROR(MATCH(158,'كشف الحساب'!$N$4:$N$353,0),0)=0,"",INDEX('كشف الحساب'!$I$4:$I$353,IFERROR(MATCH(158,'كشف الحساب'!$N$4:$N$353,0),0))),"")</f>
        <v/>
      </c>
      <c r="J162" s="74" t="str">
        <f>IFERROR(IF(IFERROR(MATCH(158,'كشف الحساب'!$N$4:$N$353,0),0)=0,"",INDEX('كشف الحساب'!$J$4:$J$353,IFERROR(MATCH(158,'كشف الحساب'!$N$4:$N$353,0),0))),"")</f>
        <v/>
      </c>
      <c r="K162" s="70" t="str">
        <f>IFERROR(IF(IFERROR(MATCH(158,'كشف الحساب'!$N$4:$N$353,0),0)=0,"",INDEX('كشف الحساب'!$K$4:$K$353,IFERROR(MATCH(158,'كشف الحساب'!$N$4:$N$353,0),0))),"")</f>
        <v/>
      </c>
    </row>
    <row r="163" spans="1:11" ht="15" customHeight="1" x14ac:dyDescent="0.25">
      <c r="A163" s="63" t="str">
        <f>IFERROR(IF(IFERROR(MATCH(159,'كشف الحساب'!$N$4:$N$353,0),0)=0,"",INDEX('كشف الحساب'!$A$4:$A$353,IFERROR(MATCH(159,'كشف الحساب'!$N$4:$N$353,0),0))),"")</f>
        <v/>
      </c>
      <c r="B163" s="64" t="str">
        <f>IFERROR(IF(IFERROR(MATCH(159,'كشف الحساب'!$N$4:$N$353,0),0)=0,"",INDEX('كشف الحساب'!$B$4:$B$353,IFERROR(MATCH(159,'كشف الحساب'!$N$4:$N$353,0),0))),"")</f>
        <v/>
      </c>
      <c r="C163" s="65" t="str">
        <f>IFERROR(IF(IFERROR(MATCH(159,'كشف الحساب'!$N$4:$N$353,0),0)=0,"",INDEX('كشف الحساب'!$C$4:$C$353,IFERROR(MATCH(159,'كشف الحساب'!$N$4:$N$353,0),0))),"")</f>
        <v/>
      </c>
      <c r="D163" s="66" t="str">
        <f>IFERROR(IF(IFERROR(MATCH(159,'كشف الحساب'!$N$4:$N$353,0),0)=0,"",INDEX('كشف الحساب'!$D$4:$D$353,IFERROR(MATCH(159,'كشف الحساب'!$N$4:$N$353,0),0))),"")</f>
        <v/>
      </c>
      <c r="E163" s="67" t="str">
        <f>IFERROR(IF(IFERROR(MATCH(159,'كشف الحساب'!$N$4:$N$353,0),0)=0,"",INDEX('كشف الحساب'!$E$4:$E$353,IFERROR(MATCH(159,'كشف الحساب'!$N$4:$N$353,0),0))),"")</f>
        <v/>
      </c>
      <c r="F163" s="64" t="str">
        <f>IFERROR(IF(IFERROR(MATCH(159,'كشف الحساب'!$N$4:$N$353,0),0)=0,"",INDEX('كشف الحساب'!$F$4:$F$353,IFERROR(MATCH(159,'كشف الحساب'!$N$4:$N$353,0),0))),"")</f>
        <v/>
      </c>
      <c r="G163" s="64" t="str">
        <f>IFERROR(IF(IFERROR(MATCH(159,'كشف الحساب'!$N$4:$N$353,0),0)=0,"",INDEX('كشف الحساب'!$G$4:$G$353,IFERROR(MATCH(159,'كشف الحساب'!$N$4:$N$353,0),0))),"")</f>
        <v/>
      </c>
      <c r="H163" s="64" t="str">
        <f>IFERROR(IF(IFERROR(MATCH(159,'كشف الحساب'!$N$4:$N$353,0),0)=0,"",INDEX('كشف الحساب'!$H$4:$H$353,IFERROR(MATCH(159,'كشف الحساب'!$N$4:$N$353,0),0))),"")</f>
        <v/>
      </c>
      <c r="I163" s="64" t="str">
        <f>IFERROR(IF(IFERROR(MATCH(159,'كشف الحساب'!$N$4:$N$353,0),0)=0,"",INDEX('كشف الحساب'!$I$4:$I$353,IFERROR(MATCH(159,'كشف الحساب'!$N$4:$N$353,0),0))),"")</f>
        <v/>
      </c>
      <c r="J163" s="68" t="str">
        <f>IFERROR(IF(IFERROR(MATCH(159,'كشف الحساب'!$N$4:$N$353,0),0)=0,"",INDEX('كشف الحساب'!$J$4:$J$353,IFERROR(MATCH(159,'كشف الحساب'!$N$4:$N$353,0),0))),"")</f>
        <v/>
      </c>
      <c r="K163" s="64" t="str">
        <f>IFERROR(IF(IFERROR(MATCH(159,'كشف الحساب'!$N$4:$N$353,0),0)=0,"",INDEX('كشف الحساب'!$K$4:$K$353,IFERROR(MATCH(159,'كشف الحساب'!$N$4:$N$353,0),0))),"")</f>
        <v/>
      </c>
    </row>
    <row r="164" spans="1:11" ht="15" customHeight="1" x14ac:dyDescent="0.25">
      <c r="A164" s="69" t="str">
        <f>IFERROR(IF(IFERROR(MATCH(160,'كشف الحساب'!$N$4:$N$353,0),0)=0,"",INDEX('كشف الحساب'!$A$4:$A$353,IFERROR(MATCH(160,'كشف الحساب'!$N$4:$N$353,0),0))),"")</f>
        <v/>
      </c>
      <c r="B164" s="70" t="str">
        <f>IFERROR(IF(IFERROR(MATCH(160,'كشف الحساب'!$N$4:$N$353,0),0)=0,"",INDEX('كشف الحساب'!$B$4:$B$353,IFERROR(MATCH(160,'كشف الحساب'!$N$4:$N$353,0),0))),"")</f>
        <v/>
      </c>
      <c r="C164" s="71" t="str">
        <f>IFERROR(IF(IFERROR(MATCH(160,'كشف الحساب'!$N$4:$N$353,0),0)=0,"",INDEX('كشف الحساب'!$C$4:$C$353,IFERROR(MATCH(160,'كشف الحساب'!$N$4:$N$353,0),0))),"")</f>
        <v/>
      </c>
      <c r="D164" s="72" t="str">
        <f>IFERROR(IF(IFERROR(MATCH(160,'كشف الحساب'!$N$4:$N$353,0),0)=0,"",INDEX('كشف الحساب'!$D$4:$D$353,IFERROR(MATCH(160,'كشف الحساب'!$N$4:$N$353,0),0))),"")</f>
        <v/>
      </c>
      <c r="E164" s="73" t="str">
        <f>IFERROR(IF(IFERROR(MATCH(160,'كشف الحساب'!$N$4:$N$353,0),0)=0,"",INDEX('كشف الحساب'!$E$4:$E$353,IFERROR(MATCH(160,'كشف الحساب'!$N$4:$N$353,0),0))),"")</f>
        <v/>
      </c>
      <c r="F164" s="70" t="str">
        <f>IFERROR(IF(IFERROR(MATCH(160,'كشف الحساب'!$N$4:$N$353,0),0)=0,"",INDEX('كشف الحساب'!$F$4:$F$353,IFERROR(MATCH(160,'كشف الحساب'!$N$4:$N$353,0),0))),"")</f>
        <v/>
      </c>
      <c r="G164" s="70" t="str">
        <f>IFERROR(IF(IFERROR(MATCH(160,'كشف الحساب'!$N$4:$N$353,0),0)=0,"",INDEX('كشف الحساب'!$G$4:$G$353,IFERROR(MATCH(160,'كشف الحساب'!$N$4:$N$353,0),0))),"")</f>
        <v/>
      </c>
      <c r="H164" s="70" t="str">
        <f>IFERROR(IF(IFERROR(MATCH(160,'كشف الحساب'!$N$4:$N$353,0),0)=0,"",INDEX('كشف الحساب'!$H$4:$H$353,IFERROR(MATCH(160,'كشف الحساب'!$N$4:$N$353,0),0))),"")</f>
        <v/>
      </c>
      <c r="I164" s="70" t="str">
        <f>IFERROR(IF(IFERROR(MATCH(160,'كشف الحساب'!$N$4:$N$353,0),0)=0,"",INDEX('كشف الحساب'!$I$4:$I$353,IFERROR(MATCH(160,'كشف الحساب'!$N$4:$N$353,0),0))),"")</f>
        <v/>
      </c>
      <c r="J164" s="74" t="str">
        <f>IFERROR(IF(IFERROR(MATCH(160,'كشف الحساب'!$N$4:$N$353,0),0)=0,"",INDEX('كشف الحساب'!$J$4:$J$353,IFERROR(MATCH(160,'كشف الحساب'!$N$4:$N$353,0),0))),"")</f>
        <v/>
      </c>
      <c r="K164" s="70" t="str">
        <f>IFERROR(IF(IFERROR(MATCH(160,'كشف الحساب'!$N$4:$N$353,0),0)=0,"",INDEX('كشف الحساب'!$K$4:$K$353,IFERROR(MATCH(160,'كشف الحساب'!$N$4:$N$353,0),0))),"")</f>
        <v/>
      </c>
    </row>
    <row r="165" spans="1:11" ht="15" customHeight="1" x14ac:dyDescent="0.25">
      <c r="A165" s="63" t="str">
        <f>IFERROR(IF(IFERROR(MATCH(161,'كشف الحساب'!$N$4:$N$353,0),0)=0,"",INDEX('كشف الحساب'!$A$4:$A$353,IFERROR(MATCH(161,'كشف الحساب'!$N$4:$N$353,0),0))),"")</f>
        <v/>
      </c>
      <c r="B165" s="64" t="str">
        <f>IFERROR(IF(IFERROR(MATCH(161,'كشف الحساب'!$N$4:$N$353,0),0)=0,"",INDEX('كشف الحساب'!$B$4:$B$353,IFERROR(MATCH(161,'كشف الحساب'!$N$4:$N$353,0),0))),"")</f>
        <v/>
      </c>
      <c r="C165" s="65" t="str">
        <f>IFERROR(IF(IFERROR(MATCH(161,'كشف الحساب'!$N$4:$N$353,0),0)=0,"",INDEX('كشف الحساب'!$C$4:$C$353,IFERROR(MATCH(161,'كشف الحساب'!$N$4:$N$353,0),0))),"")</f>
        <v/>
      </c>
      <c r="D165" s="66" t="str">
        <f>IFERROR(IF(IFERROR(MATCH(161,'كشف الحساب'!$N$4:$N$353,0),0)=0,"",INDEX('كشف الحساب'!$D$4:$D$353,IFERROR(MATCH(161,'كشف الحساب'!$N$4:$N$353,0),0))),"")</f>
        <v/>
      </c>
      <c r="E165" s="67" t="str">
        <f>IFERROR(IF(IFERROR(MATCH(161,'كشف الحساب'!$N$4:$N$353,0),0)=0,"",INDEX('كشف الحساب'!$E$4:$E$353,IFERROR(MATCH(161,'كشف الحساب'!$N$4:$N$353,0),0))),"")</f>
        <v/>
      </c>
      <c r="F165" s="64" t="str">
        <f>IFERROR(IF(IFERROR(MATCH(161,'كشف الحساب'!$N$4:$N$353,0),0)=0,"",INDEX('كشف الحساب'!$F$4:$F$353,IFERROR(MATCH(161,'كشف الحساب'!$N$4:$N$353,0),0))),"")</f>
        <v/>
      </c>
      <c r="G165" s="64" t="str">
        <f>IFERROR(IF(IFERROR(MATCH(161,'كشف الحساب'!$N$4:$N$353,0),0)=0,"",INDEX('كشف الحساب'!$G$4:$G$353,IFERROR(MATCH(161,'كشف الحساب'!$N$4:$N$353,0),0))),"")</f>
        <v/>
      </c>
      <c r="H165" s="64" t="str">
        <f>IFERROR(IF(IFERROR(MATCH(161,'كشف الحساب'!$N$4:$N$353,0),0)=0,"",INDEX('كشف الحساب'!$H$4:$H$353,IFERROR(MATCH(161,'كشف الحساب'!$N$4:$N$353,0),0))),"")</f>
        <v/>
      </c>
      <c r="I165" s="64" t="str">
        <f>IFERROR(IF(IFERROR(MATCH(161,'كشف الحساب'!$N$4:$N$353,0),0)=0,"",INDEX('كشف الحساب'!$I$4:$I$353,IFERROR(MATCH(161,'كشف الحساب'!$N$4:$N$353,0),0))),"")</f>
        <v/>
      </c>
      <c r="J165" s="68" t="str">
        <f>IFERROR(IF(IFERROR(MATCH(161,'كشف الحساب'!$N$4:$N$353,0),0)=0,"",INDEX('كشف الحساب'!$J$4:$J$353,IFERROR(MATCH(161,'كشف الحساب'!$N$4:$N$353,0),0))),"")</f>
        <v/>
      </c>
      <c r="K165" s="64" t="str">
        <f>IFERROR(IF(IFERROR(MATCH(161,'كشف الحساب'!$N$4:$N$353,0),0)=0,"",INDEX('كشف الحساب'!$K$4:$K$353,IFERROR(MATCH(161,'كشف الحساب'!$N$4:$N$353,0),0))),"")</f>
        <v/>
      </c>
    </row>
    <row r="166" spans="1:11" ht="15" customHeight="1" x14ac:dyDescent="0.25">
      <c r="A166" s="69" t="str">
        <f>IFERROR(IF(IFERROR(MATCH(162,'كشف الحساب'!$N$4:$N$353,0),0)=0,"",INDEX('كشف الحساب'!$A$4:$A$353,IFERROR(MATCH(162,'كشف الحساب'!$N$4:$N$353,0),0))),"")</f>
        <v/>
      </c>
      <c r="B166" s="70" t="str">
        <f>IFERROR(IF(IFERROR(MATCH(162,'كشف الحساب'!$N$4:$N$353,0),0)=0,"",INDEX('كشف الحساب'!$B$4:$B$353,IFERROR(MATCH(162,'كشف الحساب'!$N$4:$N$353,0),0))),"")</f>
        <v/>
      </c>
      <c r="C166" s="71" t="str">
        <f>IFERROR(IF(IFERROR(MATCH(162,'كشف الحساب'!$N$4:$N$353,0),0)=0,"",INDEX('كشف الحساب'!$C$4:$C$353,IFERROR(MATCH(162,'كشف الحساب'!$N$4:$N$353,0),0))),"")</f>
        <v/>
      </c>
      <c r="D166" s="72" t="str">
        <f>IFERROR(IF(IFERROR(MATCH(162,'كشف الحساب'!$N$4:$N$353,0),0)=0,"",INDEX('كشف الحساب'!$D$4:$D$353,IFERROR(MATCH(162,'كشف الحساب'!$N$4:$N$353,0),0))),"")</f>
        <v/>
      </c>
      <c r="E166" s="73" t="str">
        <f>IFERROR(IF(IFERROR(MATCH(162,'كشف الحساب'!$N$4:$N$353,0),0)=0,"",INDEX('كشف الحساب'!$E$4:$E$353,IFERROR(MATCH(162,'كشف الحساب'!$N$4:$N$353,0),0))),"")</f>
        <v/>
      </c>
      <c r="F166" s="70" t="str">
        <f>IFERROR(IF(IFERROR(MATCH(162,'كشف الحساب'!$N$4:$N$353,0),0)=0,"",INDEX('كشف الحساب'!$F$4:$F$353,IFERROR(MATCH(162,'كشف الحساب'!$N$4:$N$353,0),0))),"")</f>
        <v/>
      </c>
      <c r="G166" s="70" t="str">
        <f>IFERROR(IF(IFERROR(MATCH(162,'كشف الحساب'!$N$4:$N$353,0),0)=0,"",INDEX('كشف الحساب'!$G$4:$G$353,IFERROR(MATCH(162,'كشف الحساب'!$N$4:$N$353,0),0))),"")</f>
        <v/>
      </c>
      <c r="H166" s="70" t="str">
        <f>IFERROR(IF(IFERROR(MATCH(162,'كشف الحساب'!$N$4:$N$353,0),0)=0,"",INDEX('كشف الحساب'!$H$4:$H$353,IFERROR(MATCH(162,'كشف الحساب'!$N$4:$N$353,0),0))),"")</f>
        <v/>
      </c>
      <c r="I166" s="70" t="str">
        <f>IFERROR(IF(IFERROR(MATCH(162,'كشف الحساب'!$N$4:$N$353,0),0)=0,"",INDEX('كشف الحساب'!$I$4:$I$353,IFERROR(MATCH(162,'كشف الحساب'!$N$4:$N$353,0),0))),"")</f>
        <v/>
      </c>
      <c r="J166" s="74" t="str">
        <f>IFERROR(IF(IFERROR(MATCH(162,'كشف الحساب'!$N$4:$N$353,0),0)=0,"",INDEX('كشف الحساب'!$J$4:$J$353,IFERROR(MATCH(162,'كشف الحساب'!$N$4:$N$353,0),0))),"")</f>
        <v/>
      </c>
      <c r="K166" s="70" t="str">
        <f>IFERROR(IF(IFERROR(MATCH(162,'كشف الحساب'!$N$4:$N$353,0),0)=0,"",INDEX('كشف الحساب'!$K$4:$K$353,IFERROR(MATCH(162,'كشف الحساب'!$N$4:$N$353,0),0))),"")</f>
        <v/>
      </c>
    </row>
    <row r="167" spans="1:11" ht="15" customHeight="1" x14ac:dyDescent="0.25">
      <c r="A167" s="63" t="str">
        <f>IFERROR(IF(IFERROR(MATCH(163,'كشف الحساب'!$N$4:$N$353,0),0)=0,"",INDEX('كشف الحساب'!$A$4:$A$353,IFERROR(MATCH(163,'كشف الحساب'!$N$4:$N$353,0),0))),"")</f>
        <v/>
      </c>
      <c r="B167" s="64" t="str">
        <f>IFERROR(IF(IFERROR(MATCH(163,'كشف الحساب'!$N$4:$N$353,0),0)=0,"",INDEX('كشف الحساب'!$B$4:$B$353,IFERROR(MATCH(163,'كشف الحساب'!$N$4:$N$353,0),0))),"")</f>
        <v/>
      </c>
      <c r="C167" s="65" t="str">
        <f>IFERROR(IF(IFERROR(MATCH(163,'كشف الحساب'!$N$4:$N$353,0),0)=0,"",INDEX('كشف الحساب'!$C$4:$C$353,IFERROR(MATCH(163,'كشف الحساب'!$N$4:$N$353,0),0))),"")</f>
        <v/>
      </c>
      <c r="D167" s="66" t="str">
        <f>IFERROR(IF(IFERROR(MATCH(163,'كشف الحساب'!$N$4:$N$353,0),0)=0,"",INDEX('كشف الحساب'!$D$4:$D$353,IFERROR(MATCH(163,'كشف الحساب'!$N$4:$N$353,0),0))),"")</f>
        <v/>
      </c>
      <c r="E167" s="67" t="str">
        <f>IFERROR(IF(IFERROR(MATCH(163,'كشف الحساب'!$N$4:$N$353,0),0)=0,"",INDEX('كشف الحساب'!$E$4:$E$353,IFERROR(MATCH(163,'كشف الحساب'!$N$4:$N$353,0),0))),"")</f>
        <v/>
      </c>
      <c r="F167" s="64" t="str">
        <f>IFERROR(IF(IFERROR(MATCH(163,'كشف الحساب'!$N$4:$N$353,0),0)=0,"",INDEX('كشف الحساب'!$F$4:$F$353,IFERROR(MATCH(163,'كشف الحساب'!$N$4:$N$353,0),0))),"")</f>
        <v/>
      </c>
      <c r="G167" s="64" t="str">
        <f>IFERROR(IF(IFERROR(MATCH(163,'كشف الحساب'!$N$4:$N$353,0),0)=0,"",INDEX('كشف الحساب'!$G$4:$G$353,IFERROR(MATCH(163,'كشف الحساب'!$N$4:$N$353,0),0))),"")</f>
        <v/>
      </c>
      <c r="H167" s="64" t="str">
        <f>IFERROR(IF(IFERROR(MATCH(163,'كشف الحساب'!$N$4:$N$353,0),0)=0,"",INDEX('كشف الحساب'!$H$4:$H$353,IFERROR(MATCH(163,'كشف الحساب'!$N$4:$N$353,0),0))),"")</f>
        <v/>
      </c>
      <c r="I167" s="64" t="str">
        <f>IFERROR(IF(IFERROR(MATCH(163,'كشف الحساب'!$N$4:$N$353,0),0)=0,"",INDEX('كشف الحساب'!$I$4:$I$353,IFERROR(MATCH(163,'كشف الحساب'!$N$4:$N$353,0),0))),"")</f>
        <v/>
      </c>
      <c r="J167" s="68" t="str">
        <f>IFERROR(IF(IFERROR(MATCH(163,'كشف الحساب'!$N$4:$N$353,0),0)=0,"",INDEX('كشف الحساب'!$J$4:$J$353,IFERROR(MATCH(163,'كشف الحساب'!$N$4:$N$353,0),0))),"")</f>
        <v/>
      </c>
      <c r="K167" s="64" t="str">
        <f>IFERROR(IF(IFERROR(MATCH(163,'كشف الحساب'!$N$4:$N$353,0),0)=0,"",INDEX('كشف الحساب'!$K$4:$K$353,IFERROR(MATCH(163,'كشف الحساب'!$N$4:$N$353,0),0))),"")</f>
        <v/>
      </c>
    </row>
    <row r="168" spans="1:11" ht="15" customHeight="1" x14ac:dyDescent="0.25">
      <c r="A168" s="69" t="str">
        <f>IFERROR(IF(IFERROR(MATCH(164,'كشف الحساب'!$N$4:$N$353,0),0)=0,"",INDEX('كشف الحساب'!$A$4:$A$353,IFERROR(MATCH(164,'كشف الحساب'!$N$4:$N$353,0),0))),"")</f>
        <v/>
      </c>
      <c r="B168" s="70" t="str">
        <f>IFERROR(IF(IFERROR(MATCH(164,'كشف الحساب'!$N$4:$N$353,0),0)=0,"",INDEX('كشف الحساب'!$B$4:$B$353,IFERROR(MATCH(164,'كشف الحساب'!$N$4:$N$353,0),0))),"")</f>
        <v/>
      </c>
      <c r="C168" s="71" t="str">
        <f>IFERROR(IF(IFERROR(MATCH(164,'كشف الحساب'!$N$4:$N$353,0),0)=0,"",INDEX('كشف الحساب'!$C$4:$C$353,IFERROR(MATCH(164,'كشف الحساب'!$N$4:$N$353,0),0))),"")</f>
        <v/>
      </c>
      <c r="D168" s="72" t="str">
        <f>IFERROR(IF(IFERROR(MATCH(164,'كشف الحساب'!$N$4:$N$353,0),0)=0,"",INDEX('كشف الحساب'!$D$4:$D$353,IFERROR(MATCH(164,'كشف الحساب'!$N$4:$N$353,0),0))),"")</f>
        <v/>
      </c>
      <c r="E168" s="73" t="str">
        <f>IFERROR(IF(IFERROR(MATCH(164,'كشف الحساب'!$N$4:$N$353,0),0)=0,"",INDEX('كشف الحساب'!$E$4:$E$353,IFERROR(MATCH(164,'كشف الحساب'!$N$4:$N$353,0),0))),"")</f>
        <v/>
      </c>
      <c r="F168" s="70" t="str">
        <f>IFERROR(IF(IFERROR(MATCH(164,'كشف الحساب'!$N$4:$N$353,0),0)=0,"",INDEX('كشف الحساب'!$F$4:$F$353,IFERROR(MATCH(164,'كشف الحساب'!$N$4:$N$353,0),0))),"")</f>
        <v/>
      </c>
      <c r="G168" s="70" t="str">
        <f>IFERROR(IF(IFERROR(MATCH(164,'كشف الحساب'!$N$4:$N$353,0),0)=0,"",INDEX('كشف الحساب'!$G$4:$G$353,IFERROR(MATCH(164,'كشف الحساب'!$N$4:$N$353,0),0))),"")</f>
        <v/>
      </c>
      <c r="H168" s="70" t="str">
        <f>IFERROR(IF(IFERROR(MATCH(164,'كشف الحساب'!$N$4:$N$353,0),0)=0,"",INDEX('كشف الحساب'!$H$4:$H$353,IFERROR(MATCH(164,'كشف الحساب'!$N$4:$N$353,0),0))),"")</f>
        <v/>
      </c>
      <c r="I168" s="70" t="str">
        <f>IFERROR(IF(IFERROR(MATCH(164,'كشف الحساب'!$N$4:$N$353,0),0)=0,"",INDEX('كشف الحساب'!$I$4:$I$353,IFERROR(MATCH(164,'كشف الحساب'!$N$4:$N$353,0),0))),"")</f>
        <v/>
      </c>
      <c r="J168" s="74" t="str">
        <f>IFERROR(IF(IFERROR(MATCH(164,'كشف الحساب'!$N$4:$N$353,0),0)=0,"",INDEX('كشف الحساب'!$J$4:$J$353,IFERROR(MATCH(164,'كشف الحساب'!$N$4:$N$353,0),0))),"")</f>
        <v/>
      </c>
      <c r="K168" s="70" t="str">
        <f>IFERROR(IF(IFERROR(MATCH(164,'كشف الحساب'!$N$4:$N$353,0),0)=0,"",INDEX('كشف الحساب'!$K$4:$K$353,IFERROR(MATCH(164,'كشف الحساب'!$N$4:$N$353,0),0))),"")</f>
        <v/>
      </c>
    </row>
    <row r="169" spans="1:11" ht="15" customHeight="1" x14ac:dyDescent="0.25">
      <c r="A169" s="63" t="str">
        <f>IFERROR(IF(IFERROR(MATCH(165,'كشف الحساب'!$N$4:$N$353,0),0)=0,"",INDEX('كشف الحساب'!$A$4:$A$353,IFERROR(MATCH(165,'كشف الحساب'!$N$4:$N$353,0),0))),"")</f>
        <v/>
      </c>
      <c r="B169" s="64" t="str">
        <f>IFERROR(IF(IFERROR(MATCH(165,'كشف الحساب'!$N$4:$N$353,0),0)=0,"",INDEX('كشف الحساب'!$B$4:$B$353,IFERROR(MATCH(165,'كشف الحساب'!$N$4:$N$353,0),0))),"")</f>
        <v/>
      </c>
      <c r="C169" s="65" t="str">
        <f>IFERROR(IF(IFERROR(MATCH(165,'كشف الحساب'!$N$4:$N$353,0),0)=0,"",INDEX('كشف الحساب'!$C$4:$C$353,IFERROR(MATCH(165,'كشف الحساب'!$N$4:$N$353,0),0))),"")</f>
        <v/>
      </c>
      <c r="D169" s="66" t="str">
        <f>IFERROR(IF(IFERROR(MATCH(165,'كشف الحساب'!$N$4:$N$353,0),0)=0,"",INDEX('كشف الحساب'!$D$4:$D$353,IFERROR(MATCH(165,'كشف الحساب'!$N$4:$N$353,0),0))),"")</f>
        <v/>
      </c>
      <c r="E169" s="67" t="str">
        <f>IFERROR(IF(IFERROR(MATCH(165,'كشف الحساب'!$N$4:$N$353,0),0)=0,"",INDEX('كشف الحساب'!$E$4:$E$353,IFERROR(MATCH(165,'كشف الحساب'!$N$4:$N$353,0),0))),"")</f>
        <v/>
      </c>
      <c r="F169" s="64" t="str">
        <f>IFERROR(IF(IFERROR(MATCH(165,'كشف الحساب'!$N$4:$N$353,0),0)=0,"",INDEX('كشف الحساب'!$F$4:$F$353,IFERROR(MATCH(165,'كشف الحساب'!$N$4:$N$353,0),0))),"")</f>
        <v/>
      </c>
      <c r="G169" s="64" t="str">
        <f>IFERROR(IF(IFERROR(MATCH(165,'كشف الحساب'!$N$4:$N$353,0),0)=0,"",INDEX('كشف الحساب'!$G$4:$G$353,IFERROR(MATCH(165,'كشف الحساب'!$N$4:$N$353,0),0))),"")</f>
        <v/>
      </c>
      <c r="H169" s="64" t="str">
        <f>IFERROR(IF(IFERROR(MATCH(165,'كشف الحساب'!$N$4:$N$353,0),0)=0,"",INDEX('كشف الحساب'!$H$4:$H$353,IFERROR(MATCH(165,'كشف الحساب'!$N$4:$N$353,0),0))),"")</f>
        <v/>
      </c>
      <c r="I169" s="64" t="str">
        <f>IFERROR(IF(IFERROR(MATCH(165,'كشف الحساب'!$N$4:$N$353,0),0)=0,"",INDEX('كشف الحساب'!$I$4:$I$353,IFERROR(MATCH(165,'كشف الحساب'!$N$4:$N$353,0),0))),"")</f>
        <v/>
      </c>
      <c r="J169" s="68" t="str">
        <f>IFERROR(IF(IFERROR(MATCH(165,'كشف الحساب'!$N$4:$N$353,0),0)=0,"",INDEX('كشف الحساب'!$J$4:$J$353,IFERROR(MATCH(165,'كشف الحساب'!$N$4:$N$353,0),0))),"")</f>
        <v/>
      </c>
      <c r="K169" s="64" t="str">
        <f>IFERROR(IF(IFERROR(MATCH(165,'كشف الحساب'!$N$4:$N$353,0),0)=0,"",INDEX('كشف الحساب'!$K$4:$K$353,IFERROR(MATCH(165,'كشف الحساب'!$N$4:$N$353,0),0))),"")</f>
        <v/>
      </c>
    </row>
    <row r="170" spans="1:11" ht="15" customHeight="1" x14ac:dyDescent="0.25">
      <c r="A170" s="69" t="str">
        <f>IFERROR(IF(IFERROR(MATCH(166,'كشف الحساب'!$N$4:$N$353,0),0)=0,"",INDEX('كشف الحساب'!$A$4:$A$353,IFERROR(MATCH(166,'كشف الحساب'!$N$4:$N$353,0),0))),"")</f>
        <v/>
      </c>
      <c r="B170" s="70" t="str">
        <f>IFERROR(IF(IFERROR(MATCH(166,'كشف الحساب'!$N$4:$N$353,0),0)=0,"",INDEX('كشف الحساب'!$B$4:$B$353,IFERROR(MATCH(166,'كشف الحساب'!$N$4:$N$353,0),0))),"")</f>
        <v/>
      </c>
      <c r="C170" s="71" t="str">
        <f>IFERROR(IF(IFERROR(MATCH(166,'كشف الحساب'!$N$4:$N$353,0),0)=0,"",INDEX('كشف الحساب'!$C$4:$C$353,IFERROR(MATCH(166,'كشف الحساب'!$N$4:$N$353,0),0))),"")</f>
        <v/>
      </c>
      <c r="D170" s="72" t="str">
        <f>IFERROR(IF(IFERROR(MATCH(166,'كشف الحساب'!$N$4:$N$353,0),0)=0,"",INDEX('كشف الحساب'!$D$4:$D$353,IFERROR(MATCH(166,'كشف الحساب'!$N$4:$N$353,0),0))),"")</f>
        <v/>
      </c>
      <c r="E170" s="73" t="str">
        <f>IFERROR(IF(IFERROR(MATCH(166,'كشف الحساب'!$N$4:$N$353,0),0)=0,"",INDEX('كشف الحساب'!$E$4:$E$353,IFERROR(MATCH(166,'كشف الحساب'!$N$4:$N$353,0),0))),"")</f>
        <v/>
      </c>
      <c r="F170" s="70" t="str">
        <f>IFERROR(IF(IFERROR(MATCH(166,'كشف الحساب'!$N$4:$N$353,0),0)=0,"",INDEX('كشف الحساب'!$F$4:$F$353,IFERROR(MATCH(166,'كشف الحساب'!$N$4:$N$353,0),0))),"")</f>
        <v/>
      </c>
      <c r="G170" s="70" t="str">
        <f>IFERROR(IF(IFERROR(MATCH(166,'كشف الحساب'!$N$4:$N$353,0),0)=0,"",INDEX('كشف الحساب'!$G$4:$G$353,IFERROR(MATCH(166,'كشف الحساب'!$N$4:$N$353,0),0))),"")</f>
        <v/>
      </c>
      <c r="H170" s="70" t="str">
        <f>IFERROR(IF(IFERROR(MATCH(166,'كشف الحساب'!$N$4:$N$353,0),0)=0,"",INDEX('كشف الحساب'!$H$4:$H$353,IFERROR(MATCH(166,'كشف الحساب'!$N$4:$N$353,0),0))),"")</f>
        <v/>
      </c>
      <c r="I170" s="70" t="str">
        <f>IFERROR(IF(IFERROR(MATCH(166,'كشف الحساب'!$N$4:$N$353,0),0)=0,"",INDEX('كشف الحساب'!$I$4:$I$353,IFERROR(MATCH(166,'كشف الحساب'!$N$4:$N$353,0),0))),"")</f>
        <v/>
      </c>
      <c r="J170" s="74" t="str">
        <f>IFERROR(IF(IFERROR(MATCH(166,'كشف الحساب'!$N$4:$N$353,0),0)=0,"",INDEX('كشف الحساب'!$J$4:$J$353,IFERROR(MATCH(166,'كشف الحساب'!$N$4:$N$353,0),0))),"")</f>
        <v/>
      </c>
      <c r="K170" s="70" t="str">
        <f>IFERROR(IF(IFERROR(MATCH(166,'كشف الحساب'!$N$4:$N$353,0),0)=0,"",INDEX('كشف الحساب'!$K$4:$K$353,IFERROR(MATCH(166,'كشف الحساب'!$N$4:$N$353,0),0))),"")</f>
        <v/>
      </c>
    </row>
    <row r="171" spans="1:11" ht="15" customHeight="1" x14ac:dyDescent="0.25">
      <c r="A171" s="63" t="str">
        <f>IFERROR(IF(IFERROR(MATCH(167,'كشف الحساب'!$N$4:$N$353,0),0)=0,"",INDEX('كشف الحساب'!$A$4:$A$353,IFERROR(MATCH(167,'كشف الحساب'!$N$4:$N$353,0),0))),"")</f>
        <v/>
      </c>
      <c r="B171" s="64" t="str">
        <f>IFERROR(IF(IFERROR(MATCH(167,'كشف الحساب'!$N$4:$N$353,0),0)=0,"",INDEX('كشف الحساب'!$B$4:$B$353,IFERROR(MATCH(167,'كشف الحساب'!$N$4:$N$353,0),0))),"")</f>
        <v/>
      </c>
      <c r="C171" s="65" t="str">
        <f>IFERROR(IF(IFERROR(MATCH(167,'كشف الحساب'!$N$4:$N$353,0),0)=0,"",INDEX('كشف الحساب'!$C$4:$C$353,IFERROR(MATCH(167,'كشف الحساب'!$N$4:$N$353,0),0))),"")</f>
        <v/>
      </c>
      <c r="D171" s="66" t="str">
        <f>IFERROR(IF(IFERROR(MATCH(167,'كشف الحساب'!$N$4:$N$353,0),0)=0,"",INDEX('كشف الحساب'!$D$4:$D$353,IFERROR(MATCH(167,'كشف الحساب'!$N$4:$N$353,0),0))),"")</f>
        <v/>
      </c>
      <c r="E171" s="67" t="str">
        <f>IFERROR(IF(IFERROR(MATCH(167,'كشف الحساب'!$N$4:$N$353,0),0)=0,"",INDEX('كشف الحساب'!$E$4:$E$353,IFERROR(MATCH(167,'كشف الحساب'!$N$4:$N$353,0),0))),"")</f>
        <v/>
      </c>
      <c r="F171" s="64" t="str">
        <f>IFERROR(IF(IFERROR(MATCH(167,'كشف الحساب'!$N$4:$N$353,0),0)=0,"",INDEX('كشف الحساب'!$F$4:$F$353,IFERROR(MATCH(167,'كشف الحساب'!$N$4:$N$353,0),0))),"")</f>
        <v/>
      </c>
      <c r="G171" s="64" t="str">
        <f>IFERROR(IF(IFERROR(MATCH(167,'كشف الحساب'!$N$4:$N$353,0),0)=0,"",INDEX('كشف الحساب'!$G$4:$G$353,IFERROR(MATCH(167,'كشف الحساب'!$N$4:$N$353,0),0))),"")</f>
        <v/>
      </c>
      <c r="H171" s="64" t="str">
        <f>IFERROR(IF(IFERROR(MATCH(167,'كشف الحساب'!$N$4:$N$353,0),0)=0,"",INDEX('كشف الحساب'!$H$4:$H$353,IFERROR(MATCH(167,'كشف الحساب'!$N$4:$N$353,0),0))),"")</f>
        <v/>
      </c>
      <c r="I171" s="64" t="str">
        <f>IFERROR(IF(IFERROR(MATCH(167,'كشف الحساب'!$N$4:$N$353,0),0)=0,"",INDEX('كشف الحساب'!$I$4:$I$353,IFERROR(MATCH(167,'كشف الحساب'!$N$4:$N$353,0),0))),"")</f>
        <v/>
      </c>
      <c r="J171" s="68" t="str">
        <f>IFERROR(IF(IFERROR(MATCH(167,'كشف الحساب'!$N$4:$N$353,0),0)=0,"",INDEX('كشف الحساب'!$J$4:$J$353,IFERROR(MATCH(167,'كشف الحساب'!$N$4:$N$353,0),0))),"")</f>
        <v/>
      </c>
      <c r="K171" s="64" t="str">
        <f>IFERROR(IF(IFERROR(MATCH(167,'كشف الحساب'!$N$4:$N$353,0),0)=0,"",INDEX('كشف الحساب'!$K$4:$K$353,IFERROR(MATCH(167,'كشف الحساب'!$N$4:$N$353,0),0))),"")</f>
        <v/>
      </c>
    </row>
    <row r="172" spans="1:11" ht="15" customHeight="1" x14ac:dyDescent="0.25">
      <c r="A172" s="69" t="str">
        <f>IFERROR(IF(IFERROR(MATCH(168,'كشف الحساب'!$N$4:$N$353,0),0)=0,"",INDEX('كشف الحساب'!$A$4:$A$353,IFERROR(MATCH(168,'كشف الحساب'!$N$4:$N$353,0),0))),"")</f>
        <v/>
      </c>
      <c r="B172" s="70" t="str">
        <f>IFERROR(IF(IFERROR(MATCH(168,'كشف الحساب'!$N$4:$N$353,0),0)=0,"",INDEX('كشف الحساب'!$B$4:$B$353,IFERROR(MATCH(168,'كشف الحساب'!$N$4:$N$353,0),0))),"")</f>
        <v/>
      </c>
      <c r="C172" s="71" t="str">
        <f>IFERROR(IF(IFERROR(MATCH(168,'كشف الحساب'!$N$4:$N$353,0),0)=0,"",INDEX('كشف الحساب'!$C$4:$C$353,IFERROR(MATCH(168,'كشف الحساب'!$N$4:$N$353,0),0))),"")</f>
        <v/>
      </c>
      <c r="D172" s="72" t="str">
        <f>IFERROR(IF(IFERROR(MATCH(168,'كشف الحساب'!$N$4:$N$353,0),0)=0,"",INDEX('كشف الحساب'!$D$4:$D$353,IFERROR(MATCH(168,'كشف الحساب'!$N$4:$N$353,0),0))),"")</f>
        <v/>
      </c>
      <c r="E172" s="73" t="str">
        <f>IFERROR(IF(IFERROR(MATCH(168,'كشف الحساب'!$N$4:$N$353,0),0)=0,"",INDEX('كشف الحساب'!$E$4:$E$353,IFERROR(MATCH(168,'كشف الحساب'!$N$4:$N$353,0),0))),"")</f>
        <v/>
      </c>
      <c r="F172" s="70" t="str">
        <f>IFERROR(IF(IFERROR(MATCH(168,'كشف الحساب'!$N$4:$N$353,0),0)=0,"",INDEX('كشف الحساب'!$F$4:$F$353,IFERROR(MATCH(168,'كشف الحساب'!$N$4:$N$353,0),0))),"")</f>
        <v/>
      </c>
      <c r="G172" s="70" t="str">
        <f>IFERROR(IF(IFERROR(MATCH(168,'كشف الحساب'!$N$4:$N$353,0),0)=0,"",INDEX('كشف الحساب'!$G$4:$G$353,IFERROR(MATCH(168,'كشف الحساب'!$N$4:$N$353,0),0))),"")</f>
        <v/>
      </c>
      <c r="H172" s="70" t="str">
        <f>IFERROR(IF(IFERROR(MATCH(168,'كشف الحساب'!$N$4:$N$353,0),0)=0,"",INDEX('كشف الحساب'!$H$4:$H$353,IFERROR(MATCH(168,'كشف الحساب'!$N$4:$N$353,0),0))),"")</f>
        <v/>
      </c>
      <c r="I172" s="70" t="str">
        <f>IFERROR(IF(IFERROR(MATCH(168,'كشف الحساب'!$N$4:$N$353,0),0)=0,"",INDEX('كشف الحساب'!$I$4:$I$353,IFERROR(MATCH(168,'كشف الحساب'!$N$4:$N$353,0),0))),"")</f>
        <v/>
      </c>
      <c r="J172" s="74" t="str">
        <f>IFERROR(IF(IFERROR(MATCH(168,'كشف الحساب'!$N$4:$N$353,0),0)=0,"",INDEX('كشف الحساب'!$J$4:$J$353,IFERROR(MATCH(168,'كشف الحساب'!$N$4:$N$353,0),0))),"")</f>
        <v/>
      </c>
      <c r="K172" s="70" t="str">
        <f>IFERROR(IF(IFERROR(MATCH(168,'كشف الحساب'!$N$4:$N$353,0),0)=0,"",INDEX('كشف الحساب'!$K$4:$K$353,IFERROR(MATCH(168,'كشف الحساب'!$N$4:$N$353,0),0))),"")</f>
        <v/>
      </c>
    </row>
    <row r="173" spans="1:11" ht="15" customHeight="1" x14ac:dyDescent="0.25">
      <c r="A173" s="63" t="str">
        <f>IFERROR(IF(IFERROR(MATCH(169,'كشف الحساب'!$N$4:$N$353,0),0)=0,"",INDEX('كشف الحساب'!$A$4:$A$353,IFERROR(MATCH(169,'كشف الحساب'!$N$4:$N$353,0),0))),"")</f>
        <v/>
      </c>
      <c r="B173" s="64" t="str">
        <f>IFERROR(IF(IFERROR(MATCH(169,'كشف الحساب'!$N$4:$N$353,0),0)=0,"",INDEX('كشف الحساب'!$B$4:$B$353,IFERROR(MATCH(169,'كشف الحساب'!$N$4:$N$353,0),0))),"")</f>
        <v/>
      </c>
      <c r="C173" s="65" t="str">
        <f>IFERROR(IF(IFERROR(MATCH(169,'كشف الحساب'!$N$4:$N$353,0),0)=0,"",INDEX('كشف الحساب'!$C$4:$C$353,IFERROR(MATCH(169,'كشف الحساب'!$N$4:$N$353,0),0))),"")</f>
        <v/>
      </c>
      <c r="D173" s="66" t="str">
        <f>IFERROR(IF(IFERROR(MATCH(169,'كشف الحساب'!$N$4:$N$353,0),0)=0,"",INDEX('كشف الحساب'!$D$4:$D$353,IFERROR(MATCH(169,'كشف الحساب'!$N$4:$N$353,0),0))),"")</f>
        <v/>
      </c>
      <c r="E173" s="67" t="str">
        <f>IFERROR(IF(IFERROR(MATCH(169,'كشف الحساب'!$N$4:$N$353,0),0)=0,"",INDEX('كشف الحساب'!$E$4:$E$353,IFERROR(MATCH(169,'كشف الحساب'!$N$4:$N$353,0),0))),"")</f>
        <v/>
      </c>
      <c r="F173" s="64" t="str">
        <f>IFERROR(IF(IFERROR(MATCH(169,'كشف الحساب'!$N$4:$N$353,0),0)=0,"",INDEX('كشف الحساب'!$F$4:$F$353,IFERROR(MATCH(169,'كشف الحساب'!$N$4:$N$353,0),0))),"")</f>
        <v/>
      </c>
      <c r="G173" s="64" t="str">
        <f>IFERROR(IF(IFERROR(MATCH(169,'كشف الحساب'!$N$4:$N$353,0),0)=0,"",INDEX('كشف الحساب'!$G$4:$G$353,IFERROR(MATCH(169,'كشف الحساب'!$N$4:$N$353,0),0))),"")</f>
        <v/>
      </c>
      <c r="H173" s="64" t="str">
        <f>IFERROR(IF(IFERROR(MATCH(169,'كشف الحساب'!$N$4:$N$353,0),0)=0,"",INDEX('كشف الحساب'!$H$4:$H$353,IFERROR(MATCH(169,'كشف الحساب'!$N$4:$N$353,0),0))),"")</f>
        <v/>
      </c>
      <c r="I173" s="64" t="str">
        <f>IFERROR(IF(IFERROR(MATCH(169,'كشف الحساب'!$N$4:$N$353,0),0)=0,"",INDEX('كشف الحساب'!$I$4:$I$353,IFERROR(MATCH(169,'كشف الحساب'!$N$4:$N$353,0),0))),"")</f>
        <v/>
      </c>
      <c r="J173" s="68" t="str">
        <f>IFERROR(IF(IFERROR(MATCH(169,'كشف الحساب'!$N$4:$N$353,0),0)=0,"",INDEX('كشف الحساب'!$J$4:$J$353,IFERROR(MATCH(169,'كشف الحساب'!$N$4:$N$353,0),0))),"")</f>
        <v/>
      </c>
      <c r="K173" s="64" t="str">
        <f>IFERROR(IF(IFERROR(MATCH(169,'كشف الحساب'!$N$4:$N$353,0),0)=0,"",INDEX('كشف الحساب'!$K$4:$K$353,IFERROR(MATCH(169,'كشف الحساب'!$N$4:$N$353,0),0))),"")</f>
        <v/>
      </c>
    </row>
    <row r="174" spans="1:11" ht="15" customHeight="1" x14ac:dyDescent="0.25">
      <c r="A174" s="69" t="str">
        <f>IFERROR(IF(IFERROR(MATCH(170,'كشف الحساب'!$N$4:$N$353,0),0)=0,"",INDEX('كشف الحساب'!$A$4:$A$353,IFERROR(MATCH(170,'كشف الحساب'!$N$4:$N$353,0),0))),"")</f>
        <v/>
      </c>
      <c r="B174" s="70" t="str">
        <f>IFERROR(IF(IFERROR(MATCH(170,'كشف الحساب'!$N$4:$N$353,0),0)=0,"",INDEX('كشف الحساب'!$B$4:$B$353,IFERROR(MATCH(170,'كشف الحساب'!$N$4:$N$353,0),0))),"")</f>
        <v/>
      </c>
      <c r="C174" s="71" t="str">
        <f>IFERROR(IF(IFERROR(MATCH(170,'كشف الحساب'!$N$4:$N$353,0),0)=0,"",INDEX('كشف الحساب'!$C$4:$C$353,IFERROR(MATCH(170,'كشف الحساب'!$N$4:$N$353,0),0))),"")</f>
        <v/>
      </c>
      <c r="D174" s="72" t="str">
        <f>IFERROR(IF(IFERROR(MATCH(170,'كشف الحساب'!$N$4:$N$353,0),0)=0,"",INDEX('كشف الحساب'!$D$4:$D$353,IFERROR(MATCH(170,'كشف الحساب'!$N$4:$N$353,0),0))),"")</f>
        <v/>
      </c>
      <c r="E174" s="73" t="str">
        <f>IFERROR(IF(IFERROR(MATCH(170,'كشف الحساب'!$N$4:$N$353,0),0)=0,"",INDEX('كشف الحساب'!$E$4:$E$353,IFERROR(MATCH(170,'كشف الحساب'!$N$4:$N$353,0),0))),"")</f>
        <v/>
      </c>
      <c r="F174" s="70" t="str">
        <f>IFERROR(IF(IFERROR(MATCH(170,'كشف الحساب'!$N$4:$N$353,0),0)=0,"",INDEX('كشف الحساب'!$F$4:$F$353,IFERROR(MATCH(170,'كشف الحساب'!$N$4:$N$353,0),0))),"")</f>
        <v/>
      </c>
      <c r="G174" s="70" t="str">
        <f>IFERROR(IF(IFERROR(MATCH(170,'كشف الحساب'!$N$4:$N$353,0),0)=0,"",INDEX('كشف الحساب'!$G$4:$G$353,IFERROR(MATCH(170,'كشف الحساب'!$N$4:$N$353,0),0))),"")</f>
        <v/>
      </c>
      <c r="H174" s="70" t="str">
        <f>IFERROR(IF(IFERROR(MATCH(170,'كشف الحساب'!$N$4:$N$353,0),0)=0,"",INDEX('كشف الحساب'!$H$4:$H$353,IFERROR(MATCH(170,'كشف الحساب'!$N$4:$N$353,0),0))),"")</f>
        <v/>
      </c>
      <c r="I174" s="70" t="str">
        <f>IFERROR(IF(IFERROR(MATCH(170,'كشف الحساب'!$N$4:$N$353,0),0)=0,"",INDEX('كشف الحساب'!$I$4:$I$353,IFERROR(MATCH(170,'كشف الحساب'!$N$4:$N$353,0),0))),"")</f>
        <v/>
      </c>
      <c r="J174" s="74" t="str">
        <f>IFERROR(IF(IFERROR(MATCH(170,'كشف الحساب'!$N$4:$N$353,0),0)=0,"",INDEX('كشف الحساب'!$J$4:$J$353,IFERROR(MATCH(170,'كشف الحساب'!$N$4:$N$353,0),0))),"")</f>
        <v/>
      </c>
      <c r="K174" s="70" t="str">
        <f>IFERROR(IF(IFERROR(MATCH(170,'كشف الحساب'!$N$4:$N$353,0),0)=0,"",INDEX('كشف الحساب'!$K$4:$K$353,IFERROR(MATCH(170,'كشف الحساب'!$N$4:$N$353,0),0))),"")</f>
        <v/>
      </c>
    </row>
    <row r="175" spans="1:11" ht="15" customHeight="1" x14ac:dyDescent="0.25">
      <c r="A175" s="63" t="str">
        <f>IFERROR(IF(IFERROR(MATCH(171,'كشف الحساب'!$N$4:$N$353,0),0)=0,"",INDEX('كشف الحساب'!$A$4:$A$353,IFERROR(MATCH(171,'كشف الحساب'!$N$4:$N$353,0),0))),"")</f>
        <v/>
      </c>
      <c r="B175" s="64" t="str">
        <f>IFERROR(IF(IFERROR(MATCH(171,'كشف الحساب'!$N$4:$N$353,0),0)=0,"",INDEX('كشف الحساب'!$B$4:$B$353,IFERROR(MATCH(171,'كشف الحساب'!$N$4:$N$353,0),0))),"")</f>
        <v/>
      </c>
      <c r="C175" s="65" t="str">
        <f>IFERROR(IF(IFERROR(MATCH(171,'كشف الحساب'!$N$4:$N$353,0),0)=0,"",INDEX('كشف الحساب'!$C$4:$C$353,IFERROR(MATCH(171,'كشف الحساب'!$N$4:$N$353,0),0))),"")</f>
        <v/>
      </c>
      <c r="D175" s="66" t="str">
        <f>IFERROR(IF(IFERROR(MATCH(171,'كشف الحساب'!$N$4:$N$353,0),0)=0,"",INDEX('كشف الحساب'!$D$4:$D$353,IFERROR(MATCH(171,'كشف الحساب'!$N$4:$N$353,0),0))),"")</f>
        <v/>
      </c>
      <c r="E175" s="67" t="str">
        <f>IFERROR(IF(IFERROR(MATCH(171,'كشف الحساب'!$N$4:$N$353,0),0)=0,"",INDEX('كشف الحساب'!$E$4:$E$353,IFERROR(MATCH(171,'كشف الحساب'!$N$4:$N$353,0),0))),"")</f>
        <v/>
      </c>
      <c r="F175" s="64" t="str">
        <f>IFERROR(IF(IFERROR(MATCH(171,'كشف الحساب'!$N$4:$N$353,0),0)=0,"",INDEX('كشف الحساب'!$F$4:$F$353,IFERROR(MATCH(171,'كشف الحساب'!$N$4:$N$353,0),0))),"")</f>
        <v/>
      </c>
      <c r="G175" s="64" t="str">
        <f>IFERROR(IF(IFERROR(MATCH(171,'كشف الحساب'!$N$4:$N$353,0),0)=0,"",INDEX('كشف الحساب'!$G$4:$G$353,IFERROR(MATCH(171,'كشف الحساب'!$N$4:$N$353,0),0))),"")</f>
        <v/>
      </c>
      <c r="H175" s="64" t="str">
        <f>IFERROR(IF(IFERROR(MATCH(171,'كشف الحساب'!$N$4:$N$353,0),0)=0,"",INDEX('كشف الحساب'!$H$4:$H$353,IFERROR(MATCH(171,'كشف الحساب'!$N$4:$N$353,0),0))),"")</f>
        <v/>
      </c>
      <c r="I175" s="64" t="str">
        <f>IFERROR(IF(IFERROR(MATCH(171,'كشف الحساب'!$N$4:$N$353,0),0)=0,"",INDEX('كشف الحساب'!$I$4:$I$353,IFERROR(MATCH(171,'كشف الحساب'!$N$4:$N$353,0),0))),"")</f>
        <v/>
      </c>
      <c r="J175" s="68" t="str">
        <f>IFERROR(IF(IFERROR(MATCH(171,'كشف الحساب'!$N$4:$N$353,0),0)=0,"",INDEX('كشف الحساب'!$J$4:$J$353,IFERROR(MATCH(171,'كشف الحساب'!$N$4:$N$353,0),0))),"")</f>
        <v/>
      </c>
      <c r="K175" s="64" t="str">
        <f>IFERROR(IF(IFERROR(MATCH(171,'كشف الحساب'!$N$4:$N$353,0),0)=0,"",INDEX('كشف الحساب'!$K$4:$K$353,IFERROR(MATCH(171,'كشف الحساب'!$N$4:$N$353,0),0))),"")</f>
        <v/>
      </c>
    </row>
    <row r="176" spans="1:11" ht="15" customHeight="1" x14ac:dyDescent="0.25">
      <c r="A176" s="69" t="str">
        <f>IFERROR(IF(IFERROR(MATCH(172,'كشف الحساب'!$N$4:$N$353,0),0)=0,"",INDEX('كشف الحساب'!$A$4:$A$353,IFERROR(MATCH(172,'كشف الحساب'!$N$4:$N$353,0),0))),"")</f>
        <v/>
      </c>
      <c r="B176" s="70" t="str">
        <f>IFERROR(IF(IFERROR(MATCH(172,'كشف الحساب'!$N$4:$N$353,0),0)=0,"",INDEX('كشف الحساب'!$B$4:$B$353,IFERROR(MATCH(172,'كشف الحساب'!$N$4:$N$353,0),0))),"")</f>
        <v/>
      </c>
      <c r="C176" s="71" t="str">
        <f>IFERROR(IF(IFERROR(MATCH(172,'كشف الحساب'!$N$4:$N$353,0),0)=0,"",INDEX('كشف الحساب'!$C$4:$C$353,IFERROR(MATCH(172,'كشف الحساب'!$N$4:$N$353,0),0))),"")</f>
        <v/>
      </c>
      <c r="D176" s="72" t="str">
        <f>IFERROR(IF(IFERROR(MATCH(172,'كشف الحساب'!$N$4:$N$353,0),0)=0,"",INDEX('كشف الحساب'!$D$4:$D$353,IFERROR(MATCH(172,'كشف الحساب'!$N$4:$N$353,0),0))),"")</f>
        <v/>
      </c>
      <c r="E176" s="73" t="str">
        <f>IFERROR(IF(IFERROR(MATCH(172,'كشف الحساب'!$N$4:$N$353,0),0)=0,"",INDEX('كشف الحساب'!$E$4:$E$353,IFERROR(MATCH(172,'كشف الحساب'!$N$4:$N$353,0),0))),"")</f>
        <v/>
      </c>
      <c r="F176" s="70" t="str">
        <f>IFERROR(IF(IFERROR(MATCH(172,'كشف الحساب'!$N$4:$N$353,0),0)=0,"",INDEX('كشف الحساب'!$F$4:$F$353,IFERROR(MATCH(172,'كشف الحساب'!$N$4:$N$353,0),0))),"")</f>
        <v/>
      </c>
      <c r="G176" s="70" t="str">
        <f>IFERROR(IF(IFERROR(MATCH(172,'كشف الحساب'!$N$4:$N$353,0),0)=0,"",INDEX('كشف الحساب'!$G$4:$G$353,IFERROR(MATCH(172,'كشف الحساب'!$N$4:$N$353,0),0))),"")</f>
        <v/>
      </c>
      <c r="H176" s="70" t="str">
        <f>IFERROR(IF(IFERROR(MATCH(172,'كشف الحساب'!$N$4:$N$353,0),0)=0,"",INDEX('كشف الحساب'!$H$4:$H$353,IFERROR(MATCH(172,'كشف الحساب'!$N$4:$N$353,0),0))),"")</f>
        <v/>
      </c>
      <c r="I176" s="70" t="str">
        <f>IFERROR(IF(IFERROR(MATCH(172,'كشف الحساب'!$N$4:$N$353,0),0)=0,"",INDEX('كشف الحساب'!$I$4:$I$353,IFERROR(MATCH(172,'كشف الحساب'!$N$4:$N$353,0),0))),"")</f>
        <v/>
      </c>
      <c r="J176" s="74" t="str">
        <f>IFERROR(IF(IFERROR(MATCH(172,'كشف الحساب'!$N$4:$N$353,0),0)=0,"",INDEX('كشف الحساب'!$J$4:$J$353,IFERROR(MATCH(172,'كشف الحساب'!$N$4:$N$353,0),0))),"")</f>
        <v/>
      </c>
      <c r="K176" s="70" t="str">
        <f>IFERROR(IF(IFERROR(MATCH(172,'كشف الحساب'!$N$4:$N$353,0),0)=0,"",INDEX('كشف الحساب'!$K$4:$K$353,IFERROR(MATCH(172,'كشف الحساب'!$N$4:$N$353,0),0))),"")</f>
        <v/>
      </c>
    </row>
    <row r="177" spans="1:11" ht="15" customHeight="1" x14ac:dyDescent="0.25">
      <c r="A177" s="63" t="str">
        <f>IFERROR(IF(IFERROR(MATCH(173,'كشف الحساب'!$N$4:$N$353,0),0)=0,"",INDEX('كشف الحساب'!$A$4:$A$353,IFERROR(MATCH(173,'كشف الحساب'!$N$4:$N$353,0),0))),"")</f>
        <v/>
      </c>
      <c r="B177" s="64" t="str">
        <f>IFERROR(IF(IFERROR(MATCH(173,'كشف الحساب'!$N$4:$N$353,0),0)=0,"",INDEX('كشف الحساب'!$B$4:$B$353,IFERROR(MATCH(173,'كشف الحساب'!$N$4:$N$353,0),0))),"")</f>
        <v/>
      </c>
      <c r="C177" s="65" t="str">
        <f>IFERROR(IF(IFERROR(MATCH(173,'كشف الحساب'!$N$4:$N$353,0),0)=0,"",INDEX('كشف الحساب'!$C$4:$C$353,IFERROR(MATCH(173,'كشف الحساب'!$N$4:$N$353,0),0))),"")</f>
        <v/>
      </c>
      <c r="D177" s="66" t="str">
        <f>IFERROR(IF(IFERROR(MATCH(173,'كشف الحساب'!$N$4:$N$353,0),0)=0,"",INDEX('كشف الحساب'!$D$4:$D$353,IFERROR(MATCH(173,'كشف الحساب'!$N$4:$N$353,0),0))),"")</f>
        <v/>
      </c>
      <c r="E177" s="67" t="str">
        <f>IFERROR(IF(IFERROR(MATCH(173,'كشف الحساب'!$N$4:$N$353,0),0)=0,"",INDEX('كشف الحساب'!$E$4:$E$353,IFERROR(MATCH(173,'كشف الحساب'!$N$4:$N$353,0),0))),"")</f>
        <v/>
      </c>
      <c r="F177" s="64" t="str">
        <f>IFERROR(IF(IFERROR(MATCH(173,'كشف الحساب'!$N$4:$N$353,0),0)=0,"",INDEX('كشف الحساب'!$F$4:$F$353,IFERROR(MATCH(173,'كشف الحساب'!$N$4:$N$353,0),0))),"")</f>
        <v/>
      </c>
      <c r="G177" s="64" t="str">
        <f>IFERROR(IF(IFERROR(MATCH(173,'كشف الحساب'!$N$4:$N$353,0),0)=0,"",INDEX('كشف الحساب'!$G$4:$G$353,IFERROR(MATCH(173,'كشف الحساب'!$N$4:$N$353,0),0))),"")</f>
        <v/>
      </c>
      <c r="H177" s="64" t="str">
        <f>IFERROR(IF(IFERROR(MATCH(173,'كشف الحساب'!$N$4:$N$353,0),0)=0,"",INDEX('كشف الحساب'!$H$4:$H$353,IFERROR(MATCH(173,'كشف الحساب'!$N$4:$N$353,0),0))),"")</f>
        <v/>
      </c>
      <c r="I177" s="64" t="str">
        <f>IFERROR(IF(IFERROR(MATCH(173,'كشف الحساب'!$N$4:$N$353,0),0)=0,"",INDEX('كشف الحساب'!$I$4:$I$353,IFERROR(MATCH(173,'كشف الحساب'!$N$4:$N$353,0),0))),"")</f>
        <v/>
      </c>
      <c r="J177" s="68" t="str">
        <f>IFERROR(IF(IFERROR(MATCH(173,'كشف الحساب'!$N$4:$N$353,0),0)=0,"",INDEX('كشف الحساب'!$J$4:$J$353,IFERROR(MATCH(173,'كشف الحساب'!$N$4:$N$353,0),0))),"")</f>
        <v/>
      </c>
      <c r="K177" s="64" t="str">
        <f>IFERROR(IF(IFERROR(MATCH(173,'كشف الحساب'!$N$4:$N$353,0),0)=0,"",INDEX('كشف الحساب'!$K$4:$K$353,IFERROR(MATCH(173,'كشف الحساب'!$N$4:$N$353,0),0))),"")</f>
        <v/>
      </c>
    </row>
    <row r="178" spans="1:11" ht="15" customHeight="1" x14ac:dyDescent="0.25">
      <c r="A178" s="69" t="str">
        <f>IFERROR(IF(IFERROR(MATCH(174,'كشف الحساب'!$N$4:$N$353,0),0)=0,"",INDEX('كشف الحساب'!$A$4:$A$353,IFERROR(MATCH(174,'كشف الحساب'!$N$4:$N$353,0),0))),"")</f>
        <v/>
      </c>
      <c r="B178" s="70" t="str">
        <f>IFERROR(IF(IFERROR(MATCH(174,'كشف الحساب'!$N$4:$N$353,0),0)=0,"",INDEX('كشف الحساب'!$B$4:$B$353,IFERROR(MATCH(174,'كشف الحساب'!$N$4:$N$353,0),0))),"")</f>
        <v/>
      </c>
      <c r="C178" s="71" t="str">
        <f>IFERROR(IF(IFERROR(MATCH(174,'كشف الحساب'!$N$4:$N$353,0),0)=0,"",INDEX('كشف الحساب'!$C$4:$C$353,IFERROR(MATCH(174,'كشف الحساب'!$N$4:$N$353,0),0))),"")</f>
        <v/>
      </c>
      <c r="D178" s="72" t="str">
        <f>IFERROR(IF(IFERROR(MATCH(174,'كشف الحساب'!$N$4:$N$353,0),0)=0,"",INDEX('كشف الحساب'!$D$4:$D$353,IFERROR(MATCH(174,'كشف الحساب'!$N$4:$N$353,0),0))),"")</f>
        <v/>
      </c>
      <c r="E178" s="73" t="str">
        <f>IFERROR(IF(IFERROR(MATCH(174,'كشف الحساب'!$N$4:$N$353,0),0)=0,"",INDEX('كشف الحساب'!$E$4:$E$353,IFERROR(MATCH(174,'كشف الحساب'!$N$4:$N$353,0),0))),"")</f>
        <v/>
      </c>
      <c r="F178" s="70" t="str">
        <f>IFERROR(IF(IFERROR(MATCH(174,'كشف الحساب'!$N$4:$N$353,0),0)=0,"",INDEX('كشف الحساب'!$F$4:$F$353,IFERROR(MATCH(174,'كشف الحساب'!$N$4:$N$353,0),0))),"")</f>
        <v/>
      </c>
      <c r="G178" s="70" t="str">
        <f>IFERROR(IF(IFERROR(MATCH(174,'كشف الحساب'!$N$4:$N$353,0),0)=0,"",INDEX('كشف الحساب'!$G$4:$G$353,IFERROR(MATCH(174,'كشف الحساب'!$N$4:$N$353,0),0))),"")</f>
        <v/>
      </c>
      <c r="H178" s="70" t="str">
        <f>IFERROR(IF(IFERROR(MATCH(174,'كشف الحساب'!$N$4:$N$353,0),0)=0,"",INDEX('كشف الحساب'!$H$4:$H$353,IFERROR(MATCH(174,'كشف الحساب'!$N$4:$N$353,0),0))),"")</f>
        <v/>
      </c>
      <c r="I178" s="70" t="str">
        <f>IFERROR(IF(IFERROR(MATCH(174,'كشف الحساب'!$N$4:$N$353,0),0)=0,"",INDEX('كشف الحساب'!$I$4:$I$353,IFERROR(MATCH(174,'كشف الحساب'!$N$4:$N$353,0),0))),"")</f>
        <v/>
      </c>
      <c r="J178" s="74" t="str">
        <f>IFERROR(IF(IFERROR(MATCH(174,'كشف الحساب'!$N$4:$N$353,0),0)=0,"",INDEX('كشف الحساب'!$J$4:$J$353,IFERROR(MATCH(174,'كشف الحساب'!$N$4:$N$353,0),0))),"")</f>
        <v/>
      </c>
      <c r="K178" s="70" t="str">
        <f>IFERROR(IF(IFERROR(MATCH(174,'كشف الحساب'!$N$4:$N$353,0),0)=0,"",INDEX('كشف الحساب'!$K$4:$K$353,IFERROR(MATCH(174,'كشف الحساب'!$N$4:$N$353,0),0))),"")</f>
        <v/>
      </c>
    </row>
    <row r="179" spans="1:11" ht="15" customHeight="1" x14ac:dyDescent="0.25">
      <c r="A179" s="63" t="str">
        <f>IFERROR(IF(IFERROR(MATCH(175,'كشف الحساب'!$N$4:$N$353,0),0)=0,"",INDEX('كشف الحساب'!$A$4:$A$353,IFERROR(MATCH(175,'كشف الحساب'!$N$4:$N$353,0),0))),"")</f>
        <v/>
      </c>
      <c r="B179" s="64" t="str">
        <f>IFERROR(IF(IFERROR(MATCH(175,'كشف الحساب'!$N$4:$N$353,0),0)=0,"",INDEX('كشف الحساب'!$B$4:$B$353,IFERROR(MATCH(175,'كشف الحساب'!$N$4:$N$353,0),0))),"")</f>
        <v/>
      </c>
      <c r="C179" s="65" t="str">
        <f>IFERROR(IF(IFERROR(MATCH(175,'كشف الحساب'!$N$4:$N$353,0),0)=0,"",INDEX('كشف الحساب'!$C$4:$C$353,IFERROR(MATCH(175,'كشف الحساب'!$N$4:$N$353,0),0))),"")</f>
        <v/>
      </c>
      <c r="D179" s="66" t="str">
        <f>IFERROR(IF(IFERROR(MATCH(175,'كشف الحساب'!$N$4:$N$353,0),0)=0,"",INDEX('كشف الحساب'!$D$4:$D$353,IFERROR(MATCH(175,'كشف الحساب'!$N$4:$N$353,0),0))),"")</f>
        <v/>
      </c>
      <c r="E179" s="67" t="str">
        <f>IFERROR(IF(IFERROR(MATCH(175,'كشف الحساب'!$N$4:$N$353,0),0)=0,"",INDEX('كشف الحساب'!$E$4:$E$353,IFERROR(MATCH(175,'كشف الحساب'!$N$4:$N$353,0),0))),"")</f>
        <v/>
      </c>
      <c r="F179" s="64" t="str">
        <f>IFERROR(IF(IFERROR(MATCH(175,'كشف الحساب'!$N$4:$N$353,0),0)=0,"",INDEX('كشف الحساب'!$F$4:$F$353,IFERROR(MATCH(175,'كشف الحساب'!$N$4:$N$353,0),0))),"")</f>
        <v/>
      </c>
      <c r="G179" s="64" t="str">
        <f>IFERROR(IF(IFERROR(MATCH(175,'كشف الحساب'!$N$4:$N$353,0),0)=0,"",INDEX('كشف الحساب'!$G$4:$G$353,IFERROR(MATCH(175,'كشف الحساب'!$N$4:$N$353,0),0))),"")</f>
        <v/>
      </c>
      <c r="H179" s="64" t="str">
        <f>IFERROR(IF(IFERROR(MATCH(175,'كشف الحساب'!$N$4:$N$353,0),0)=0,"",INDEX('كشف الحساب'!$H$4:$H$353,IFERROR(MATCH(175,'كشف الحساب'!$N$4:$N$353,0),0))),"")</f>
        <v/>
      </c>
      <c r="I179" s="64" t="str">
        <f>IFERROR(IF(IFERROR(MATCH(175,'كشف الحساب'!$N$4:$N$353,0),0)=0,"",INDEX('كشف الحساب'!$I$4:$I$353,IFERROR(MATCH(175,'كشف الحساب'!$N$4:$N$353,0),0))),"")</f>
        <v/>
      </c>
      <c r="J179" s="68" t="str">
        <f>IFERROR(IF(IFERROR(MATCH(175,'كشف الحساب'!$N$4:$N$353,0),0)=0,"",INDEX('كشف الحساب'!$J$4:$J$353,IFERROR(MATCH(175,'كشف الحساب'!$N$4:$N$353,0),0))),"")</f>
        <v/>
      </c>
      <c r="K179" s="64" t="str">
        <f>IFERROR(IF(IFERROR(MATCH(175,'كشف الحساب'!$N$4:$N$353,0),0)=0,"",INDEX('كشف الحساب'!$K$4:$K$353,IFERROR(MATCH(175,'كشف الحساب'!$N$4:$N$353,0),0))),"")</f>
        <v/>
      </c>
    </row>
    <row r="180" spans="1:11" ht="15" customHeight="1" x14ac:dyDescent="0.25">
      <c r="A180" s="69" t="str">
        <f>IFERROR(IF(IFERROR(MATCH(176,'كشف الحساب'!$N$4:$N$353,0),0)=0,"",INDEX('كشف الحساب'!$A$4:$A$353,IFERROR(MATCH(176,'كشف الحساب'!$N$4:$N$353,0),0))),"")</f>
        <v/>
      </c>
      <c r="B180" s="70" t="str">
        <f>IFERROR(IF(IFERROR(MATCH(176,'كشف الحساب'!$N$4:$N$353,0),0)=0,"",INDEX('كشف الحساب'!$B$4:$B$353,IFERROR(MATCH(176,'كشف الحساب'!$N$4:$N$353,0),0))),"")</f>
        <v/>
      </c>
      <c r="C180" s="71" t="str">
        <f>IFERROR(IF(IFERROR(MATCH(176,'كشف الحساب'!$N$4:$N$353,0),0)=0,"",INDEX('كشف الحساب'!$C$4:$C$353,IFERROR(MATCH(176,'كشف الحساب'!$N$4:$N$353,0),0))),"")</f>
        <v/>
      </c>
      <c r="D180" s="72" t="str">
        <f>IFERROR(IF(IFERROR(MATCH(176,'كشف الحساب'!$N$4:$N$353,0),0)=0,"",INDEX('كشف الحساب'!$D$4:$D$353,IFERROR(MATCH(176,'كشف الحساب'!$N$4:$N$353,0),0))),"")</f>
        <v/>
      </c>
      <c r="E180" s="73" t="str">
        <f>IFERROR(IF(IFERROR(MATCH(176,'كشف الحساب'!$N$4:$N$353,0),0)=0,"",INDEX('كشف الحساب'!$E$4:$E$353,IFERROR(MATCH(176,'كشف الحساب'!$N$4:$N$353,0),0))),"")</f>
        <v/>
      </c>
      <c r="F180" s="70" t="str">
        <f>IFERROR(IF(IFERROR(MATCH(176,'كشف الحساب'!$N$4:$N$353,0),0)=0,"",INDEX('كشف الحساب'!$F$4:$F$353,IFERROR(MATCH(176,'كشف الحساب'!$N$4:$N$353,0),0))),"")</f>
        <v/>
      </c>
      <c r="G180" s="70" t="str">
        <f>IFERROR(IF(IFERROR(MATCH(176,'كشف الحساب'!$N$4:$N$353,0),0)=0,"",INDEX('كشف الحساب'!$G$4:$G$353,IFERROR(MATCH(176,'كشف الحساب'!$N$4:$N$353,0),0))),"")</f>
        <v/>
      </c>
      <c r="H180" s="70" t="str">
        <f>IFERROR(IF(IFERROR(MATCH(176,'كشف الحساب'!$N$4:$N$353,0),0)=0,"",INDEX('كشف الحساب'!$H$4:$H$353,IFERROR(MATCH(176,'كشف الحساب'!$N$4:$N$353,0),0))),"")</f>
        <v/>
      </c>
      <c r="I180" s="70" t="str">
        <f>IFERROR(IF(IFERROR(MATCH(176,'كشف الحساب'!$N$4:$N$353,0),0)=0,"",INDEX('كشف الحساب'!$I$4:$I$353,IFERROR(MATCH(176,'كشف الحساب'!$N$4:$N$353,0),0))),"")</f>
        <v/>
      </c>
      <c r="J180" s="74" t="str">
        <f>IFERROR(IF(IFERROR(MATCH(176,'كشف الحساب'!$N$4:$N$353,0),0)=0,"",INDEX('كشف الحساب'!$J$4:$J$353,IFERROR(MATCH(176,'كشف الحساب'!$N$4:$N$353,0),0))),"")</f>
        <v/>
      </c>
      <c r="K180" s="70" t="str">
        <f>IFERROR(IF(IFERROR(MATCH(176,'كشف الحساب'!$N$4:$N$353,0),0)=0,"",INDEX('كشف الحساب'!$K$4:$K$353,IFERROR(MATCH(176,'كشف الحساب'!$N$4:$N$353,0),0))),"")</f>
        <v/>
      </c>
    </row>
    <row r="181" spans="1:11" ht="15" customHeight="1" x14ac:dyDescent="0.25">
      <c r="A181" s="63" t="str">
        <f>IFERROR(IF(IFERROR(MATCH(177,'كشف الحساب'!$N$4:$N$353,0),0)=0,"",INDEX('كشف الحساب'!$A$4:$A$353,IFERROR(MATCH(177,'كشف الحساب'!$N$4:$N$353,0),0))),"")</f>
        <v/>
      </c>
      <c r="B181" s="64" t="str">
        <f>IFERROR(IF(IFERROR(MATCH(177,'كشف الحساب'!$N$4:$N$353,0),0)=0,"",INDEX('كشف الحساب'!$B$4:$B$353,IFERROR(MATCH(177,'كشف الحساب'!$N$4:$N$353,0),0))),"")</f>
        <v/>
      </c>
      <c r="C181" s="65" t="str">
        <f>IFERROR(IF(IFERROR(MATCH(177,'كشف الحساب'!$N$4:$N$353,0),0)=0,"",INDEX('كشف الحساب'!$C$4:$C$353,IFERROR(MATCH(177,'كشف الحساب'!$N$4:$N$353,0),0))),"")</f>
        <v/>
      </c>
      <c r="D181" s="66" t="str">
        <f>IFERROR(IF(IFERROR(MATCH(177,'كشف الحساب'!$N$4:$N$353,0),0)=0,"",INDEX('كشف الحساب'!$D$4:$D$353,IFERROR(MATCH(177,'كشف الحساب'!$N$4:$N$353,0),0))),"")</f>
        <v/>
      </c>
      <c r="E181" s="67" t="str">
        <f>IFERROR(IF(IFERROR(MATCH(177,'كشف الحساب'!$N$4:$N$353,0),0)=0,"",INDEX('كشف الحساب'!$E$4:$E$353,IFERROR(MATCH(177,'كشف الحساب'!$N$4:$N$353,0),0))),"")</f>
        <v/>
      </c>
      <c r="F181" s="64" t="str">
        <f>IFERROR(IF(IFERROR(MATCH(177,'كشف الحساب'!$N$4:$N$353,0),0)=0,"",INDEX('كشف الحساب'!$F$4:$F$353,IFERROR(MATCH(177,'كشف الحساب'!$N$4:$N$353,0),0))),"")</f>
        <v/>
      </c>
      <c r="G181" s="64" t="str">
        <f>IFERROR(IF(IFERROR(MATCH(177,'كشف الحساب'!$N$4:$N$353,0),0)=0,"",INDEX('كشف الحساب'!$G$4:$G$353,IFERROR(MATCH(177,'كشف الحساب'!$N$4:$N$353,0),0))),"")</f>
        <v/>
      </c>
      <c r="H181" s="64" t="str">
        <f>IFERROR(IF(IFERROR(MATCH(177,'كشف الحساب'!$N$4:$N$353,0),0)=0,"",INDEX('كشف الحساب'!$H$4:$H$353,IFERROR(MATCH(177,'كشف الحساب'!$N$4:$N$353,0),0))),"")</f>
        <v/>
      </c>
      <c r="I181" s="64" t="str">
        <f>IFERROR(IF(IFERROR(MATCH(177,'كشف الحساب'!$N$4:$N$353,0),0)=0,"",INDEX('كشف الحساب'!$I$4:$I$353,IFERROR(MATCH(177,'كشف الحساب'!$N$4:$N$353,0),0))),"")</f>
        <v/>
      </c>
      <c r="J181" s="68" t="str">
        <f>IFERROR(IF(IFERROR(MATCH(177,'كشف الحساب'!$N$4:$N$353,0),0)=0,"",INDEX('كشف الحساب'!$J$4:$J$353,IFERROR(MATCH(177,'كشف الحساب'!$N$4:$N$353,0),0))),"")</f>
        <v/>
      </c>
      <c r="K181" s="64" t="str">
        <f>IFERROR(IF(IFERROR(MATCH(177,'كشف الحساب'!$N$4:$N$353,0),0)=0,"",INDEX('كشف الحساب'!$K$4:$K$353,IFERROR(MATCH(177,'كشف الحساب'!$N$4:$N$353,0),0))),"")</f>
        <v/>
      </c>
    </row>
    <row r="182" spans="1:11" ht="15" customHeight="1" x14ac:dyDescent="0.25">
      <c r="A182" s="69" t="str">
        <f>IFERROR(IF(IFERROR(MATCH(178,'كشف الحساب'!$N$4:$N$353,0),0)=0,"",INDEX('كشف الحساب'!$A$4:$A$353,IFERROR(MATCH(178,'كشف الحساب'!$N$4:$N$353,0),0))),"")</f>
        <v/>
      </c>
      <c r="B182" s="70" t="str">
        <f>IFERROR(IF(IFERROR(MATCH(178,'كشف الحساب'!$N$4:$N$353,0),0)=0,"",INDEX('كشف الحساب'!$B$4:$B$353,IFERROR(MATCH(178,'كشف الحساب'!$N$4:$N$353,0),0))),"")</f>
        <v/>
      </c>
      <c r="C182" s="71" t="str">
        <f>IFERROR(IF(IFERROR(MATCH(178,'كشف الحساب'!$N$4:$N$353,0),0)=0,"",INDEX('كشف الحساب'!$C$4:$C$353,IFERROR(MATCH(178,'كشف الحساب'!$N$4:$N$353,0),0))),"")</f>
        <v/>
      </c>
      <c r="D182" s="72" t="str">
        <f>IFERROR(IF(IFERROR(MATCH(178,'كشف الحساب'!$N$4:$N$353,0),0)=0,"",INDEX('كشف الحساب'!$D$4:$D$353,IFERROR(MATCH(178,'كشف الحساب'!$N$4:$N$353,0),0))),"")</f>
        <v/>
      </c>
      <c r="E182" s="73" t="str">
        <f>IFERROR(IF(IFERROR(MATCH(178,'كشف الحساب'!$N$4:$N$353,0),0)=0,"",INDEX('كشف الحساب'!$E$4:$E$353,IFERROR(MATCH(178,'كشف الحساب'!$N$4:$N$353,0),0))),"")</f>
        <v/>
      </c>
      <c r="F182" s="70" t="str">
        <f>IFERROR(IF(IFERROR(MATCH(178,'كشف الحساب'!$N$4:$N$353,0),0)=0,"",INDEX('كشف الحساب'!$F$4:$F$353,IFERROR(MATCH(178,'كشف الحساب'!$N$4:$N$353,0),0))),"")</f>
        <v/>
      </c>
      <c r="G182" s="70" t="str">
        <f>IFERROR(IF(IFERROR(MATCH(178,'كشف الحساب'!$N$4:$N$353,0),0)=0,"",INDEX('كشف الحساب'!$G$4:$G$353,IFERROR(MATCH(178,'كشف الحساب'!$N$4:$N$353,0),0))),"")</f>
        <v/>
      </c>
      <c r="H182" s="70" t="str">
        <f>IFERROR(IF(IFERROR(MATCH(178,'كشف الحساب'!$N$4:$N$353,0),0)=0,"",INDEX('كشف الحساب'!$H$4:$H$353,IFERROR(MATCH(178,'كشف الحساب'!$N$4:$N$353,0),0))),"")</f>
        <v/>
      </c>
      <c r="I182" s="70" t="str">
        <f>IFERROR(IF(IFERROR(MATCH(178,'كشف الحساب'!$N$4:$N$353,0),0)=0,"",INDEX('كشف الحساب'!$I$4:$I$353,IFERROR(MATCH(178,'كشف الحساب'!$N$4:$N$353,0),0))),"")</f>
        <v/>
      </c>
      <c r="J182" s="74" t="str">
        <f>IFERROR(IF(IFERROR(MATCH(178,'كشف الحساب'!$N$4:$N$353,0),0)=0,"",INDEX('كشف الحساب'!$J$4:$J$353,IFERROR(MATCH(178,'كشف الحساب'!$N$4:$N$353,0),0))),"")</f>
        <v/>
      </c>
      <c r="K182" s="70" t="str">
        <f>IFERROR(IF(IFERROR(MATCH(178,'كشف الحساب'!$N$4:$N$353,0),0)=0,"",INDEX('كشف الحساب'!$K$4:$K$353,IFERROR(MATCH(178,'كشف الحساب'!$N$4:$N$353,0),0))),"")</f>
        <v/>
      </c>
    </row>
    <row r="183" spans="1:11" ht="15" customHeight="1" x14ac:dyDescent="0.25">
      <c r="A183" s="63" t="str">
        <f>IFERROR(IF(IFERROR(MATCH(179,'كشف الحساب'!$N$4:$N$353,0),0)=0,"",INDEX('كشف الحساب'!$A$4:$A$353,IFERROR(MATCH(179,'كشف الحساب'!$N$4:$N$353,0),0))),"")</f>
        <v/>
      </c>
      <c r="B183" s="64" t="str">
        <f>IFERROR(IF(IFERROR(MATCH(179,'كشف الحساب'!$N$4:$N$353,0),0)=0,"",INDEX('كشف الحساب'!$B$4:$B$353,IFERROR(MATCH(179,'كشف الحساب'!$N$4:$N$353,0),0))),"")</f>
        <v/>
      </c>
      <c r="C183" s="65" t="str">
        <f>IFERROR(IF(IFERROR(MATCH(179,'كشف الحساب'!$N$4:$N$353,0),0)=0,"",INDEX('كشف الحساب'!$C$4:$C$353,IFERROR(MATCH(179,'كشف الحساب'!$N$4:$N$353,0),0))),"")</f>
        <v/>
      </c>
      <c r="D183" s="66" t="str">
        <f>IFERROR(IF(IFERROR(MATCH(179,'كشف الحساب'!$N$4:$N$353,0),0)=0,"",INDEX('كشف الحساب'!$D$4:$D$353,IFERROR(MATCH(179,'كشف الحساب'!$N$4:$N$353,0),0))),"")</f>
        <v/>
      </c>
      <c r="E183" s="67" t="str">
        <f>IFERROR(IF(IFERROR(MATCH(179,'كشف الحساب'!$N$4:$N$353,0),0)=0,"",INDEX('كشف الحساب'!$E$4:$E$353,IFERROR(MATCH(179,'كشف الحساب'!$N$4:$N$353,0),0))),"")</f>
        <v/>
      </c>
      <c r="F183" s="64" t="str">
        <f>IFERROR(IF(IFERROR(MATCH(179,'كشف الحساب'!$N$4:$N$353,0),0)=0,"",INDEX('كشف الحساب'!$F$4:$F$353,IFERROR(MATCH(179,'كشف الحساب'!$N$4:$N$353,0),0))),"")</f>
        <v/>
      </c>
      <c r="G183" s="64" t="str">
        <f>IFERROR(IF(IFERROR(MATCH(179,'كشف الحساب'!$N$4:$N$353,0),0)=0,"",INDEX('كشف الحساب'!$G$4:$G$353,IFERROR(MATCH(179,'كشف الحساب'!$N$4:$N$353,0),0))),"")</f>
        <v/>
      </c>
      <c r="H183" s="64" t="str">
        <f>IFERROR(IF(IFERROR(MATCH(179,'كشف الحساب'!$N$4:$N$353,0),0)=0,"",INDEX('كشف الحساب'!$H$4:$H$353,IFERROR(MATCH(179,'كشف الحساب'!$N$4:$N$353,0),0))),"")</f>
        <v/>
      </c>
      <c r="I183" s="64" t="str">
        <f>IFERROR(IF(IFERROR(MATCH(179,'كشف الحساب'!$N$4:$N$353,0),0)=0,"",INDEX('كشف الحساب'!$I$4:$I$353,IFERROR(MATCH(179,'كشف الحساب'!$N$4:$N$353,0),0))),"")</f>
        <v/>
      </c>
      <c r="J183" s="68" t="str">
        <f>IFERROR(IF(IFERROR(MATCH(179,'كشف الحساب'!$N$4:$N$353,0),0)=0,"",INDEX('كشف الحساب'!$J$4:$J$353,IFERROR(MATCH(179,'كشف الحساب'!$N$4:$N$353,0),0))),"")</f>
        <v/>
      </c>
      <c r="K183" s="64" t="str">
        <f>IFERROR(IF(IFERROR(MATCH(179,'كشف الحساب'!$N$4:$N$353,0),0)=0,"",INDEX('كشف الحساب'!$K$4:$K$353,IFERROR(MATCH(179,'كشف الحساب'!$N$4:$N$353,0),0))),"")</f>
        <v/>
      </c>
    </row>
    <row r="184" spans="1:11" ht="15" customHeight="1" x14ac:dyDescent="0.25">
      <c r="A184" s="69" t="str">
        <f>IFERROR(IF(IFERROR(MATCH(180,'كشف الحساب'!$N$4:$N$353,0),0)=0,"",INDEX('كشف الحساب'!$A$4:$A$353,IFERROR(MATCH(180,'كشف الحساب'!$N$4:$N$353,0),0))),"")</f>
        <v/>
      </c>
      <c r="B184" s="70" t="str">
        <f>IFERROR(IF(IFERROR(MATCH(180,'كشف الحساب'!$N$4:$N$353,0),0)=0,"",INDEX('كشف الحساب'!$B$4:$B$353,IFERROR(MATCH(180,'كشف الحساب'!$N$4:$N$353,0),0))),"")</f>
        <v/>
      </c>
      <c r="C184" s="71" t="str">
        <f>IFERROR(IF(IFERROR(MATCH(180,'كشف الحساب'!$N$4:$N$353,0),0)=0,"",INDEX('كشف الحساب'!$C$4:$C$353,IFERROR(MATCH(180,'كشف الحساب'!$N$4:$N$353,0),0))),"")</f>
        <v/>
      </c>
      <c r="D184" s="72" t="str">
        <f>IFERROR(IF(IFERROR(MATCH(180,'كشف الحساب'!$N$4:$N$353,0),0)=0,"",INDEX('كشف الحساب'!$D$4:$D$353,IFERROR(MATCH(180,'كشف الحساب'!$N$4:$N$353,0),0))),"")</f>
        <v/>
      </c>
      <c r="E184" s="73" t="str">
        <f>IFERROR(IF(IFERROR(MATCH(180,'كشف الحساب'!$N$4:$N$353,0),0)=0,"",INDEX('كشف الحساب'!$E$4:$E$353,IFERROR(MATCH(180,'كشف الحساب'!$N$4:$N$353,0),0))),"")</f>
        <v/>
      </c>
      <c r="F184" s="70" t="str">
        <f>IFERROR(IF(IFERROR(MATCH(180,'كشف الحساب'!$N$4:$N$353,0),0)=0,"",INDEX('كشف الحساب'!$F$4:$F$353,IFERROR(MATCH(180,'كشف الحساب'!$N$4:$N$353,0),0))),"")</f>
        <v/>
      </c>
      <c r="G184" s="70" t="str">
        <f>IFERROR(IF(IFERROR(MATCH(180,'كشف الحساب'!$N$4:$N$353,0),0)=0,"",INDEX('كشف الحساب'!$G$4:$G$353,IFERROR(MATCH(180,'كشف الحساب'!$N$4:$N$353,0),0))),"")</f>
        <v/>
      </c>
      <c r="H184" s="70" t="str">
        <f>IFERROR(IF(IFERROR(MATCH(180,'كشف الحساب'!$N$4:$N$353,0),0)=0,"",INDEX('كشف الحساب'!$H$4:$H$353,IFERROR(MATCH(180,'كشف الحساب'!$N$4:$N$353,0),0))),"")</f>
        <v/>
      </c>
      <c r="I184" s="70" t="str">
        <f>IFERROR(IF(IFERROR(MATCH(180,'كشف الحساب'!$N$4:$N$353,0),0)=0,"",INDEX('كشف الحساب'!$I$4:$I$353,IFERROR(MATCH(180,'كشف الحساب'!$N$4:$N$353,0),0))),"")</f>
        <v/>
      </c>
      <c r="J184" s="74" t="str">
        <f>IFERROR(IF(IFERROR(MATCH(180,'كشف الحساب'!$N$4:$N$353,0),0)=0,"",INDEX('كشف الحساب'!$J$4:$J$353,IFERROR(MATCH(180,'كشف الحساب'!$N$4:$N$353,0),0))),"")</f>
        <v/>
      </c>
      <c r="K184" s="70" t="str">
        <f>IFERROR(IF(IFERROR(MATCH(180,'كشف الحساب'!$N$4:$N$353,0),0)=0,"",INDEX('كشف الحساب'!$K$4:$K$353,IFERROR(MATCH(180,'كشف الحساب'!$N$4:$N$353,0),0))),"")</f>
        <v/>
      </c>
    </row>
    <row r="185" spans="1:11" ht="15" customHeight="1" x14ac:dyDescent="0.25">
      <c r="A185" s="63" t="str">
        <f>IFERROR(IF(IFERROR(MATCH(181,'كشف الحساب'!$N$4:$N$353,0),0)=0,"",INDEX('كشف الحساب'!$A$4:$A$353,IFERROR(MATCH(181,'كشف الحساب'!$N$4:$N$353,0),0))),"")</f>
        <v/>
      </c>
      <c r="B185" s="64" t="str">
        <f>IFERROR(IF(IFERROR(MATCH(181,'كشف الحساب'!$N$4:$N$353,0),0)=0,"",INDEX('كشف الحساب'!$B$4:$B$353,IFERROR(MATCH(181,'كشف الحساب'!$N$4:$N$353,0),0))),"")</f>
        <v/>
      </c>
      <c r="C185" s="65" t="str">
        <f>IFERROR(IF(IFERROR(MATCH(181,'كشف الحساب'!$N$4:$N$353,0),0)=0,"",INDEX('كشف الحساب'!$C$4:$C$353,IFERROR(MATCH(181,'كشف الحساب'!$N$4:$N$353,0),0))),"")</f>
        <v/>
      </c>
      <c r="D185" s="66" t="str">
        <f>IFERROR(IF(IFERROR(MATCH(181,'كشف الحساب'!$N$4:$N$353,0),0)=0,"",INDEX('كشف الحساب'!$D$4:$D$353,IFERROR(MATCH(181,'كشف الحساب'!$N$4:$N$353,0),0))),"")</f>
        <v/>
      </c>
      <c r="E185" s="67" t="str">
        <f>IFERROR(IF(IFERROR(MATCH(181,'كشف الحساب'!$N$4:$N$353,0),0)=0,"",INDEX('كشف الحساب'!$E$4:$E$353,IFERROR(MATCH(181,'كشف الحساب'!$N$4:$N$353,0),0))),"")</f>
        <v/>
      </c>
      <c r="F185" s="64" t="str">
        <f>IFERROR(IF(IFERROR(MATCH(181,'كشف الحساب'!$N$4:$N$353,0),0)=0,"",INDEX('كشف الحساب'!$F$4:$F$353,IFERROR(MATCH(181,'كشف الحساب'!$N$4:$N$353,0),0))),"")</f>
        <v/>
      </c>
      <c r="G185" s="64" t="str">
        <f>IFERROR(IF(IFERROR(MATCH(181,'كشف الحساب'!$N$4:$N$353,0),0)=0,"",INDEX('كشف الحساب'!$G$4:$G$353,IFERROR(MATCH(181,'كشف الحساب'!$N$4:$N$353,0),0))),"")</f>
        <v/>
      </c>
      <c r="H185" s="64" t="str">
        <f>IFERROR(IF(IFERROR(MATCH(181,'كشف الحساب'!$N$4:$N$353,0),0)=0,"",INDEX('كشف الحساب'!$H$4:$H$353,IFERROR(MATCH(181,'كشف الحساب'!$N$4:$N$353,0),0))),"")</f>
        <v/>
      </c>
      <c r="I185" s="64" t="str">
        <f>IFERROR(IF(IFERROR(MATCH(181,'كشف الحساب'!$N$4:$N$353,0),0)=0,"",INDEX('كشف الحساب'!$I$4:$I$353,IFERROR(MATCH(181,'كشف الحساب'!$N$4:$N$353,0),0))),"")</f>
        <v/>
      </c>
      <c r="J185" s="68" t="str">
        <f>IFERROR(IF(IFERROR(MATCH(181,'كشف الحساب'!$N$4:$N$353,0),0)=0,"",INDEX('كشف الحساب'!$J$4:$J$353,IFERROR(MATCH(181,'كشف الحساب'!$N$4:$N$353,0),0))),"")</f>
        <v/>
      </c>
      <c r="K185" s="64" t="str">
        <f>IFERROR(IF(IFERROR(MATCH(181,'كشف الحساب'!$N$4:$N$353,0),0)=0,"",INDEX('كشف الحساب'!$K$4:$K$353,IFERROR(MATCH(181,'كشف الحساب'!$N$4:$N$353,0),0))),"")</f>
        <v/>
      </c>
    </row>
    <row r="186" spans="1:11" ht="15" customHeight="1" x14ac:dyDescent="0.25">
      <c r="A186" s="69" t="str">
        <f>IFERROR(IF(IFERROR(MATCH(182,'كشف الحساب'!$N$4:$N$353,0),0)=0,"",INDEX('كشف الحساب'!$A$4:$A$353,IFERROR(MATCH(182,'كشف الحساب'!$N$4:$N$353,0),0))),"")</f>
        <v/>
      </c>
      <c r="B186" s="70" t="str">
        <f>IFERROR(IF(IFERROR(MATCH(182,'كشف الحساب'!$N$4:$N$353,0),0)=0,"",INDEX('كشف الحساب'!$B$4:$B$353,IFERROR(MATCH(182,'كشف الحساب'!$N$4:$N$353,0),0))),"")</f>
        <v/>
      </c>
      <c r="C186" s="71" t="str">
        <f>IFERROR(IF(IFERROR(MATCH(182,'كشف الحساب'!$N$4:$N$353,0),0)=0,"",INDEX('كشف الحساب'!$C$4:$C$353,IFERROR(MATCH(182,'كشف الحساب'!$N$4:$N$353,0),0))),"")</f>
        <v/>
      </c>
      <c r="D186" s="72" t="str">
        <f>IFERROR(IF(IFERROR(MATCH(182,'كشف الحساب'!$N$4:$N$353,0),0)=0,"",INDEX('كشف الحساب'!$D$4:$D$353,IFERROR(MATCH(182,'كشف الحساب'!$N$4:$N$353,0),0))),"")</f>
        <v/>
      </c>
      <c r="E186" s="73" t="str">
        <f>IFERROR(IF(IFERROR(MATCH(182,'كشف الحساب'!$N$4:$N$353,0),0)=0,"",INDEX('كشف الحساب'!$E$4:$E$353,IFERROR(MATCH(182,'كشف الحساب'!$N$4:$N$353,0),0))),"")</f>
        <v/>
      </c>
      <c r="F186" s="70" t="str">
        <f>IFERROR(IF(IFERROR(MATCH(182,'كشف الحساب'!$N$4:$N$353,0),0)=0,"",INDEX('كشف الحساب'!$F$4:$F$353,IFERROR(MATCH(182,'كشف الحساب'!$N$4:$N$353,0),0))),"")</f>
        <v/>
      </c>
      <c r="G186" s="70" t="str">
        <f>IFERROR(IF(IFERROR(MATCH(182,'كشف الحساب'!$N$4:$N$353,0),0)=0,"",INDEX('كشف الحساب'!$G$4:$G$353,IFERROR(MATCH(182,'كشف الحساب'!$N$4:$N$353,0),0))),"")</f>
        <v/>
      </c>
      <c r="H186" s="70" t="str">
        <f>IFERROR(IF(IFERROR(MATCH(182,'كشف الحساب'!$N$4:$N$353,0),0)=0,"",INDEX('كشف الحساب'!$H$4:$H$353,IFERROR(MATCH(182,'كشف الحساب'!$N$4:$N$353,0),0))),"")</f>
        <v/>
      </c>
      <c r="I186" s="70" t="str">
        <f>IFERROR(IF(IFERROR(MATCH(182,'كشف الحساب'!$N$4:$N$353,0),0)=0,"",INDEX('كشف الحساب'!$I$4:$I$353,IFERROR(MATCH(182,'كشف الحساب'!$N$4:$N$353,0),0))),"")</f>
        <v/>
      </c>
      <c r="J186" s="74" t="str">
        <f>IFERROR(IF(IFERROR(MATCH(182,'كشف الحساب'!$N$4:$N$353,0),0)=0,"",INDEX('كشف الحساب'!$J$4:$J$353,IFERROR(MATCH(182,'كشف الحساب'!$N$4:$N$353,0),0))),"")</f>
        <v/>
      </c>
      <c r="K186" s="70" t="str">
        <f>IFERROR(IF(IFERROR(MATCH(182,'كشف الحساب'!$N$4:$N$353,0),0)=0,"",INDEX('كشف الحساب'!$K$4:$K$353,IFERROR(MATCH(182,'كشف الحساب'!$N$4:$N$353,0),0))),"")</f>
        <v/>
      </c>
    </row>
    <row r="187" spans="1:11" ht="15" customHeight="1" x14ac:dyDescent="0.25">
      <c r="A187" s="63" t="str">
        <f>IFERROR(IF(IFERROR(MATCH(183,'كشف الحساب'!$N$4:$N$353,0),0)=0,"",INDEX('كشف الحساب'!$A$4:$A$353,IFERROR(MATCH(183,'كشف الحساب'!$N$4:$N$353,0),0))),"")</f>
        <v/>
      </c>
      <c r="B187" s="64" t="str">
        <f>IFERROR(IF(IFERROR(MATCH(183,'كشف الحساب'!$N$4:$N$353,0),0)=0,"",INDEX('كشف الحساب'!$B$4:$B$353,IFERROR(MATCH(183,'كشف الحساب'!$N$4:$N$353,0),0))),"")</f>
        <v/>
      </c>
      <c r="C187" s="65" t="str">
        <f>IFERROR(IF(IFERROR(MATCH(183,'كشف الحساب'!$N$4:$N$353,0),0)=0,"",INDEX('كشف الحساب'!$C$4:$C$353,IFERROR(MATCH(183,'كشف الحساب'!$N$4:$N$353,0),0))),"")</f>
        <v/>
      </c>
      <c r="D187" s="66" t="str">
        <f>IFERROR(IF(IFERROR(MATCH(183,'كشف الحساب'!$N$4:$N$353,0),0)=0,"",INDEX('كشف الحساب'!$D$4:$D$353,IFERROR(MATCH(183,'كشف الحساب'!$N$4:$N$353,0),0))),"")</f>
        <v/>
      </c>
      <c r="E187" s="67" t="str">
        <f>IFERROR(IF(IFERROR(MATCH(183,'كشف الحساب'!$N$4:$N$353,0),0)=0,"",INDEX('كشف الحساب'!$E$4:$E$353,IFERROR(MATCH(183,'كشف الحساب'!$N$4:$N$353,0),0))),"")</f>
        <v/>
      </c>
      <c r="F187" s="64" t="str">
        <f>IFERROR(IF(IFERROR(MATCH(183,'كشف الحساب'!$N$4:$N$353,0),0)=0,"",INDEX('كشف الحساب'!$F$4:$F$353,IFERROR(MATCH(183,'كشف الحساب'!$N$4:$N$353,0),0))),"")</f>
        <v/>
      </c>
      <c r="G187" s="64" t="str">
        <f>IFERROR(IF(IFERROR(MATCH(183,'كشف الحساب'!$N$4:$N$353,0),0)=0,"",INDEX('كشف الحساب'!$G$4:$G$353,IFERROR(MATCH(183,'كشف الحساب'!$N$4:$N$353,0),0))),"")</f>
        <v/>
      </c>
      <c r="H187" s="64" t="str">
        <f>IFERROR(IF(IFERROR(MATCH(183,'كشف الحساب'!$N$4:$N$353,0),0)=0,"",INDEX('كشف الحساب'!$H$4:$H$353,IFERROR(MATCH(183,'كشف الحساب'!$N$4:$N$353,0),0))),"")</f>
        <v/>
      </c>
      <c r="I187" s="64" t="str">
        <f>IFERROR(IF(IFERROR(MATCH(183,'كشف الحساب'!$N$4:$N$353,0),0)=0,"",INDEX('كشف الحساب'!$I$4:$I$353,IFERROR(MATCH(183,'كشف الحساب'!$N$4:$N$353,0),0))),"")</f>
        <v/>
      </c>
      <c r="J187" s="68" t="str">
        <f>IFERROR(IF(IFERROR(MATCH(183,'كشف الحساب'!$N$4:$N$353,0),0)=0,"",INDEX('كشف الحساب'!$J$4:$J$353,IFERROR(MATCH(183,'كشف الحساب'!$N$4:$N$353,0),0))),"")</f>
        <v/>
      </c>
      <c r="K187" s="64" t="str">
        <f>IFERROR(IF(IFERROR(MATCH(183,'كشف الحساب'!$N$4:$N$353,0),0)=0,"",INDEX('كشف الحساب'!$K$4:$K$353,IFERROR(MATCH(183,'كشف الحساب'!$N$4:$N$353,0),0))),"")</f>
        <v/>
      </c>
    </row>
    <row r="188" spans="1:11" ht="15" customHeight="1" x14ac:dyDescent="0.25">
      <c r="A188" s="69" t="str">
        <f>IFERROR(IF(IFERROR(MATCH(184,'كشف الحساب'!$N$4:$N$353,0),0)=0,"",INDEX('كشف الحساب'!$A$4:$A$353,IFERROR(MATCH(184,'كشف الحساب'!$N$4:$N$353,0),0))),"")</f>
        <v/>
      </c>
      <c r="B188" s="70" t="str">
        <f>IFERROR(IF(IFERROR(MATCH(184,'كشف الحساب'!$N$4:$N$353,0),0)=0,"",INDEX('كشف الحساب'!$B$4:$B$353,IFERROR(MATCH(184,'كشف الحساب'!$N$4:$N$353,0),0))),"")</f>
        <v/>
      </c>
      <c r="C188" s="71" t="str">
        <f>IFERROR(IF(IFERROR(MATCH(184,'كشف الحساب'!$N$4:$N$353,0),0)=0,"",INDEX('كشف الحساب'!$C$4:$C$353,IFERROR(MATCH(184,'كشف الحساب'!$N$4:$N$353,0),0))),"")</f>
        <v/>
      </c>
      <c r="D188" s="72" t="str">
        <f>IFERROR(IF(IFERROR(MATCH(184,'كشف الحساب'!$N$4:$N$353,0),0)=0,"",INDEX('كشف الحساب'!$D$4:$D$353,IFERROR(MATCH(184,'كشف الحساب'!$N$4:$N$353,0),0))),"")</f>
        <v/>
      </c>
      <c r="E188" s="73" t="str">
        <f>IFERROR(IF(IFERROR(MATCH(184,'كشف الحساب'!$N$4:$N$353,0),0)=0,"",INDEX('كشف الحساب'!$E$4:$E$353,IFERROR(MATCH(184,'كشف الحساب'!$N$4:$N$353,0),0))),"")</f>
        <v/>
      </c>
      <c r="F188" s="70" t="str">
        <f>IFERROR(IF(IFERROR(MATCH(184,'كشف الحساب'!$N$4:$N$353,0),0)=0,"",INDEX('كشف الحساب'!$F$4:$F$353,IFERROR(MATCH(184,'كشف الحساب'!$N$4:$N$353,0),0))),"")</f>
        <v/>
      </c>
      <c r="G188" s="70" t="str">
        <f>IFERROR(IF(IFERROR(MATCH(184,'كشف الحساب'!$N$4:$N$353,0),0)=0,"",INDEX('كشف الحساب'!$G$4:$G$353,IFERROR(MATCH(184,'كشف الحساب'!$N$4:$N$353,0),0))),"")</f>
        <v/>
      </c>
      <c r="H188" s="70" t="str">
        <f>IFERROR(IF(IFERROR(MATCH(184,'كشف الحساب'!$N$4:$N$353,0),0)=0,"",INDEX('كشف الحساب'!$H$4:$H$353,IFERROR(MATCH(184,'كشف الحساب'!$N$4:$N$353,0),0))),"")</f>
        <v/>
      </c>
      <c r="I188" s="70" t="str">
        <f>IFERROR(IF(IFERROR(MATCH(184,'كشف الحساب'!$N$4:$N$353,0),0)=0,"",INDEX('كشف الحساب'!$I$4:$I$353,IFERROR(MATCH(184,'كشف الحساب'!$N$4:$N$353,0),0))),"")</f>
        <v/>
      </c>
      <c r="J188" s="74" t="str">
        <f>IFERROR(IF(IFERROR(MATCH(184,'كشف الحساب'!$N$4:$N$353,0),0)=0,"",INDEX('كشف الحساب'!$J$4:$J$353,IFERROR(MATCH(184,'كشف الحساب'!$N$4:$N$353,0),0))),"")</f>
        <v/>
      </c>
      <c r="K188" s="70" t="str">
        <f>IFERROR(IF(IFERROR(MATCH(184,'كشف الحساب'!$N$4:$N$353,0),0)=0,"",INDEX('كشف الحساب'!$K$4:$K$353,IFERROR(MATCH(184,'كشف الحساب'!$N$4:$N$353,0),0))),"")</f>
        <v/>
      </c>
    </row>
    <row r="189" spans="1:11" ht="15" customHeight="1" x14ac:dyDescent="0.25">
      <c r="A189" s="63" t="str">
        <f>IFERROR(IF(IFERROR(MATCH(185,'كشف الحساب'!$N$4:$N$353,0),0)=0,"",INDEX('كشف الحساب'!$A$4:$A$353,IFERROR(MATCH(185,'كشف الحساب'!$N$4:$N$353,0),0))),"")</f>
        <v/>
      </c>
      <c r="B189" s="64" t="str">
        <f>IFERROR(IF(IFERROR(MATCH(185,'كشف الحساب'!$N$4:$N$353,0),0)=0,"",INDEX('كشف الحساب'!$B$4:$B$353,IFERROR(MATCH(185,'كشف الحساب'!$N$4:$N$353,0),0))),"")</f>
        <v/>
      </c>
      <c r="C189" s="65" t="str">
        <f>IFERROR(IF(IFERROR(MATCH(185,'كشف الحساب'!$N$4:$N$353,0),0)=0,"",INDEX('كشف الحساب'!$C$4:$C$353,IFERROR(MATCH(185,'كشف الحساب'!$N$4:$N$353,0),0))),"")</f>
        <v/>
      </c>
      <c r="D189" s="66" t="str">
        <f>IFERROR(IF(IFERROR(MATCH(185,'كشف الحساب'!$N$4:$N$353,0),0)=0,"",INDEX('كشف الحساب'!$D$4:$D$353,IFERROR(MATCH(185,'كشف الحساب'!$N$4:$N$353,0),0))),"")</f>
        <v/>
      </c>
      <c r="E189" s="67" t="str">
        <f>IFERROR(IF(IFERROR(MATCH(185,'كشف الحساب'!$N$4:$N$353,0),0)=0,"",INDEX('كشف الحساب'!$E$4:$E$353,IFERROR(MATCH(185,'كشف الحساب'!$N$4:$N$353,0),0))),"")</f>
        <v/>
      </c>
      <c r="F189" s="64" t="str">
        <f>IFERROR(IF(IFERROR(MATCH(185,'كشف الحساب'!$N$4:$N$353,0),0)=0,"",INDEX('كشف الحساب'!$F$4:$F$353,IFERROR(MATCH(185,'كشف الحساب'!$N$4:$N$353,0),0))),"")</f>
        <v/>
      </c>
      <c r="G189" s="64" t="str">
        <f>IFERROR(IF(IFERROR(MATCH(185,'كشف الحساب'!$N$4:$N$353,0),0)=0,"",INDEX('كشف الحساب'!$G$4:$G$353,IFERROR(MATCH(185,'كشف الحساب'!$N$4:$N$353,0),0))),"")</f>
        <v/>
      </c>
      <c r="H189" s="64" t="str">
        <f>IFERROR(IF(IFERROR(MATCH(185,'كشف الحساب'!$N$4:$N$353,0),0)=0,"",INDEX('كشف الحساب'!$H$4:$H$353,IFERROR(MATCH(185,'كشف الحساب'!$N$4:$N$353,0),0))),"")</f>
        <v/>
      </c>
      <c r="I189" s="64" t="str">
        <f>IFERROR(IF(IFERROR(MATCH(185,'كشف الحساب'!$N$4:$N$353,0),0)=0,"",INDEX('كشف الحساب'!$I$4:$I$353,IFERROR(MATCH(185,'كشف الحساب'!$N$4:$N$353,0),0))),"")</f>
        <v/>
      </c>
      <c r="J189" s="68" t="str">
        <f>IFERROR(IF(IFERROR(MATCH(185,'كشف الحساب'!$N$4:$N$353,0),0)=0,"",INDEX('كشف الحساب'!$J$4:$J$353,IFERROR(MATCH(185,'كشف الحساب'!$N$4:$N$353,0),0))),"")</f>
        <v/>
      </c>
      <c r="K189" s="64" t="str">
        <f>IFERROR(IF(IFERROR(MATCH(185,'كشف الحساب'!$N$4:$N$353,0),0)=0,"",INDEX('كشف الحساب'!$K$4:$K$353,IFERROR(MATCH(185,'كشف الحساب'!$N$4:$N$353,0),0))),"")</f>
        <v/>
      </c>
    </row>
    <row r="190" spans="1:11" ht="15" customHeight="1" x14ac:dyDescent="0.25">
      <c r="A190" s="69" t="str">
        <f>IFERROR(IF(IFERROR(MATCH(186,'كشف الحساب'!$N$4:$N$353,0),0)=0,"",INDEX('كشف الحساب'!$A$4:$A$353,IFERROR(MATCH(186,'كشف الحساب'!$N$4:$N$353,0),0))),"")</f>
        <v/>
      </c>
      <c r="B190" s="70" t="str">
        <f>IFERROR(IF(IFERROR(MATCH(186,'كشف الحساب'!$N$4:$N$353,0),0)=0,"",INDEX('كشف الحساب'!$B$4:$B$353,IFERROR(MATCH(186,'كشف الحساب'!$N$4:$N$353,0),0))),"")</f>
        <v/>
      </c>
      <c r="C190" s="71" t="str">
        <f>IFERROR(IF(IFERROR(MATCH(186,'كشف الحساب'!$N$4:$N$353,0),0)=0,"",INDEX('كشف الحساب'!$C$4:$C$353,IFERROR(MATCH(186,'كشف الحساب'!$N$4:$N$353,0),0))),"")</f>
        <v/>
      </c>
      <c r="D190" s="72" t="str">
        <f>IFERROR(IF(IFERROR(MATCH(186,'كشف الحساب'!$N$4:$N$353,0),0)=0,"",INDEX('كشف الحساب'!$D$4:$D$353,IFERROR(MATCH(186,'كشف الحساب'!$N$4:$N$353,0),0))),"")</f>
        <v/>
      </c>
      <c r="E190" s="73" t="str">
        <f>IFERROR(IF(IFERROR(MATCH(186,'كشف الحساب'!$N$4:$N$353,0),0)=0,"",INDEX('كشف الحساب'!$E$4:$E$353,IFERROR(MATCH(186,'كشف الحساب'!$N$4:$N$353,0),0))),"")</f>
        <v/>
      </c>
      <c r="F190" s="70" t="str">
        <f>IFERROR(IF(IFERROR(MATCH(186,'كشف الحساب'!$N$4:$N$353,0),0)=0,"",INDEX('كشف الحساب'!$F$4:$F$353,IFERROR(MATCH(186,'كشف الحساب'!$N$4:$N$353,0),0))),"")</f>
        <v/>
      </c>
      <c r="G190" s="70" t="str">
        <f>IFERROR(IF(IFERROR(MATCH(186,'كشف الحساب'!$N$4:$N$353,0),0)=0,"",INDEX('كشف الحساب'!$G$4:$G$353,IFERROR(MATCH(186,'كشف الحساب'!$N$4:$N$353,0),0))),"")</f>
        <v/>
      </c>
      <c r="H190" s="70" t="str">
        <f>IFERROR(IF(IFERROR(MATCH(186,'كشف الحساب'!$N$4:$N$353,0),0)=0,"",INDEX('كشف الحساب'!$H$4:$H$353,IFERROR(MATCH(186,'كشف الحساب'!$N$4:$N$353,0),0))),"")</f>
        <v/>
      </c>
      <c r="I190" s="70" t="str">
        <f>IFERROR(IF(IFERROR(MATCH(186,'كشف الحساب'!$N$4:$N$353,0),0)=0,"",INDEX('كشف الحساب'!$I$4:$I$353,IFERROR(MATCH(186,'كشف الحساب'!$N$4:$N$353,0),0))),"")</f>
        <v/>
      </c>
      <c r="J190" s="74" t="str">
        <f>IFERROR(IF(IFERROR(MATCH(186,'كشف الحساب'!$N$4:$N$353,0),0)=0,"",INDEX('كشف الحساب'!$J$4:$J$353,IFERROR(MATCH(186,'كشف الحساب'!$N$4:$N$353,0),0))),"")</f>
        <v/>
      </c>
      <c r="K190" s="70" t="str">
        <f>IFERROR(IF(IFERROR(MATCH(186,'كشف الحساب'!$N$4:$N$353,0),0)=0,"",INDEX('كشف الحساب'!$K$4:$K$353,IFERROR(MATCH(186,'كشف الحساب'!$N$4:$N$353,0),0))),"")</f>
        <v/>
      </c>
    </row>
    <row r="191" spans="1:11" ht="15" customHeight="1" x14ac:dyDescent="0.25">
      <c r="A191" s="63" t="str">
        <f>IFERROR(IF(IFERROR(MATCH(187,'كشف الحساب'!$N$4:$N$353,0),0)=0,"",INDEX('كشف الحساب'!$A$4:$A$353,IFERROR(MATCH(187,'كشف الحساب'!$N$4:$N$353,0),0))),"")</f>
        <v/>
      </c>
      <c r="B191" s="64" t="str">
        <f>IFERROR(IF(IFERROR(MATCH(187,'كشف الحساب'!$N$4:$N$353,0),0)=0,"",INDEX('كشف الحساب'!$B$4:$B$353,IFERROR(MATCH(187,'كشف الحساب'!$N$4:$N$353,0),0))),"")</f>
        <v/>
      </c>
      <c r="C191" s="65" t="str">
        <f>IFERROR(IF(IFERROR(MATCH(187,'كشف الحساب'!$N$4:$N$353,0),0)=0,"",INDEX('كشف الحساب'!$C$4:$C$353,IFERROR(MATCH(187,'كشف الحساب'!$N$4:$N$353,0),0))),"")</f>
        <v/>
      </c>
      <c r="D191" s="66" t="str">
        <f>IFERROR(IF(IFERROR(MATCH(187,'كشف الحساب'!$N$4:$N$353,0),0)=0,"",INDEX('كشف الحساب'!$D$4:$D$353,IFERROR(MATCH(187,'كشف الحساب'!$N$4:$N$353,0),0))),"")</f>
        <v/>
      </c>
      <c r="E191" s="67" t="str">
        <f>IFERROR(IF(IFERROR(MATCH(187,'كشف الحساب'!$N$4:$N$353,0),0)=0,"",INDEX('كشف الحساب'!$E$4:$E$353,IFERROR(MATCH(187,'كشف الحساب'!$N$4:$N$353,0),0))),"")</f>
        <v/>
      </c>
      <c r="F191" s="64" t="str">
        <f>IFERROR(IF(IFERROR(MATCH(187,'كشف الحساب'!$N$4:$N$353,0),0)=0,"",INDEX('كشف الحساب'!$F$4:$F$353,IFERROR(MATCH(187,'كشف الحساب'!$N$4:$N$353,0),0))),"")</f>
        <v/>
      </c>
      <c r="G191" s="64" t="str">
        <f>IFERROR(IF(IFERROR(MATCH(187,'كشف الحساب'!$N$4:$N$353,0),0)=0,"",INDEX('كشف الحساب'!$G$4:$G$353,IFERROR(MATCH(187,'كشف الحساب'!$N$4:$N$353,0),0))),"")</f>
        <v/>
      </c>
      <c r="H191" s="64" t="str">
        <f>IFERROR(IF(IFERROR(MATCH(187,'كشف الحساب'!$N$4:$N$353,0),0)=0,"",INDEX('كشف الحساب'!$H$4:$H$353,IFERROR(MATCH(187,'كشف الحساب'!$N$4:$N$353,0),0))),"")</f>
        <v/>
      </c>
      <c r="I191" s="64" t="str">
        <f>IFERROR(IF(IFERROR(MATCH(187,'كشف الحساب'!$N$4:$N$353,0),0)=0,"",INDEX('كشف الحساب'!$I$4:$I$353,IFERROR(MATCH(187,'كشف الحساب'!$N$4:$N$353,0),0))),"")</f>
        <v/>
      </c>
      <c r="J191" s="68" t="str">
        <f>IFERROR(IF(IFERROR(MATCH(187,'كشف الحساب'!$N$4:$N$353,0),0)=0,"",INDEX('كشف الحساب'!$J$4:$J$353,IFERROR(MATCH(187,'كشف الحساب'!$N$4:$N$353,0),0))),"")</f>
        <v/>
      </c>
      <c r="K191" s="64" t="str">
        <f>IFERROR(IF(IFERROR(MATCH(187,'كشف الحساب'!$N$4:$N$353,0),0)=0,"",INDEX('كشف الحساب'!$K$4:$K$353,IFERROR(MATCH(187,'كشف الحساب'!$N$4:$N$353,0),0))),"")</f>
        <v/>
      </c>
    </row>
    <row r="192" spans="1:11" ht="15" customHeight="1" x14ac:dyDescent="0.25">
      <c r="A192" s="69" t="str">
        <f>IFERROR(IF(IFERROR(MATCH(188,'كشف الحساب'!$N$4:$N$353,0),0)=0,"",INDEX('كشف الحساب'!$A$4:$A$353,IFERROR(MATCH(188,'كشف الحساب'!$N$4:$N$353,0),0))),"")</f>
        <v/>
      </c>
      <c r="B192" s="70" t="str">
        <f>IFERROR(IF(IFERROR(MATCH(188,'كشف الحساب'!$N$4:$N$353,0),0)=0,"",INDEX('كشف الحساب'!$B$4:$B$353,IFERROR(MATCH(188,'كشف الحساب'!$N$4:$N$353,0),0))),"")</f>
        <v/>
      </c>
      <c r="C192" s="71" t="str">
        <f>IFERROR(IF(IFERROR(MATCH(188,'كشف الحساب'!$N$4:$N$353,0),0)=0,"",INDEX('كشف الحساب'!$C$4:$C$353,IFERROR(MATCH(188,'كشف الحساب'!$N$4:$N$353,0),0))),"")</f>
        <v/>
      </c>
      <c r="D192" s="72" t="str">
        <f>IFERROR(IF(IFERROR(MATCH(188,'كشف الحساب'!$N$4:$N$353,0),0)=0,"",INDEX('كشف الحساب'!$D$4:$D$353,IFERROR(MATCH(188,'كشف الحساب'!$N$4:$N$353,0),0))),"")</f>
        <v/>
      </c>
      <c r="E192" s="73" t="str">
        <f>IFERROR(IF(IFERROR(MATCH(188,'كشف الحساب'!$N$4:$N$353,0),0)=0,"",INDEX('كشف الحساب'!$E$4:$E$353,IFERROR(MATCH(188,'كشف الحساب'!$N$4:$N$353,0),0))),"")</f>
        <v/>
      </c>
      <c r="F192" s="70" t="str">
        <f>IFERROR(IF(IFERROR(MATCH(188,'كشف الحساب'!$N$4:$N$353,0),0)=0,"",INDEX('كشف الحساب'!$F$4:$F$353,IFERROR(MATCH(188,'كشف الحساب'!$N$4:$N$353,0),0))),"")</f>
        <v/>
      </c>
      <c r="G192" s="70" t="str">
        <f>IFERROR(IF(IFERROR(MATCH(188,'كشف الحساب'!$N$4:$N$353,0),0)=0,"",INDEX('كشف الحساب'!$G$4:$G$353,IFERROR(MATCH(188,'كشف الحساب'!$N$4:$N$353,0),0))),"")</f>
        <v/>
      </c>
      <c r="H192" s="70" t="str">
        <f>IFERROR(IF(IFERROR(MATCH(188,'كشف الحساب'!$N$4:$N$353,0),0)=0,"",INDEX('كشف الحساب'!$H$4:$H$353,IFERROR(MATCH(188,'كشف الحساب'!$N$4:$N$353,0),0))),"")</f>
        <v/>
      </c>
      <c r="I192" s="70" t="str">
        <f>IFERROR(IF(IFERROR(MATCH(188,'كشف الحساب'!$N$4:$N$353,0),0)=0,"",INDEX('كشف الحساب'!$I$4:$I$353,IFERROR(MATCH(188,'كشف الحساب'!$N$4:$N$353,0),0))),"")</f>
        <v/>
      </c>
      <c r="J192" s="74" t="str">
        <f>IFERROR(IF(IFERROR(MATCH(188,'كشف الحساب'!$N$4:$N$353,0),0)=0,"",INDEX('كشف الحساب'!$J$4:$J$353,IFERROR(MATCH(188,'كشف الحساب'!$N$4:$N$353,0),0))),"")</f>
        <v/>
      </c>
      <c r="K192" s="70" t="str">
        <f>IFERROR(IF(IFERROR(MATCH(188,'كشف الحساب'!$N$4:$N$353,0),0)=0,"",INDEX('كشف الحساب'!$K$4:$K$353,IFERROR(MATCH(188,'كشف الحساب'!$N$4:$N$353,0),0))),"")</f>
        <v/>
      </c>
    </row>
    <row r="193" spans="1:11" ht="15" customHeight="1" x14ac:dyDescent="0.25">
      <c r="A193" s="63" t="str">
        <f>IFERROR(IF(IFERROR(MATCH(189,'كشف الحساب'!$N$4:$N$353,0),0)=0,"",INDEX('كشف الحساب'!$A$4:$A$353,IFERROR(MATCH(189,'كشف الحساب'!$N$4:$N$353,0),0))),"")</f>
        <v/>
      </c>
      <c r="B193" s="64" t="str">
        <f>IFERROR(IF(IFERROR(MATCH(189,'كشف الحساب'!$N$4:$N$353,0),0)=0,"",INDEX('كشف الحساب'!$B$4:$B$353,IFERROR(MATCH(189,'كشف الحساب'!$N$4:$N$353,0),0))),"")</f>
        <v/>
      </c>
      <c r="C193" s="65" t="str">
        <f>IFERROR(IF(IFERROR(MATCH(189,'كشف الحساب'!$N$4:$N$353,0),0)=0,"",INDEX('كشف الحساب'!$C$4:$C$353,IFERROR(MATCH(189,'كشف الحساب'!$N$4:$N$353,0),0))),"")</f>
        <v/>
      </c>
      <c r="D193" s="66" t="str">
        <f>IFERROR(IF(IFERROR(MATCH(189,'كشف الحساب'!$N$4:$N$353,0),0)=0,"",INDEX('كشف الحساب'!$D$4:$D$353,IFERROR(MATCH(189,'كشف الحساب'!$N$4:$N$353,0),0))),"")</f>
        <v/>
      </c>
      <c r="E193" s="67" t="str">
        <f>IFERROR(IF(IFERROR(MATCH(189,'كشف الحساب'!$N$4:$N$353,0),0)=0,"",INDEX('كشف الحساب'!$E$4:$E$353,IFERROR(MATCH(189,'كشف الحساب'!$N$4:$N$353,0),0))),"")</f>
        <v/>
      </c>
      <c r="F193" s="64" t="str">
        <f>IFERROR(IF(IFERROR(MATCH(189,'كشف الحساب'!$N$4:$N$353,0),0)=0,"",INDEX('كشف الحساب'!$F$4:$F$353,IFERROR(MATCH(189,'كشف الحساب'!$N$4:$N$353,0),0))),"")</f>
        <v/>
      </c>
      <c r="G193" s="64" t="str">
        <f>IFERROR(IF(IFERROR(MATCH(189,'كشف الحساب'!$N$4:$N$353,0),0)=0,"",INDEX('كشف الحساب'!$G$4:$G$353,IFERROR(MATCH(189,'كشف الحساب'!$N$4:$N$353,0),0))),"")</f>
        <v/>
      </c>
      <c r="H193" s="64" t="str">
        <f>IFERROR(IF(IFERROR(MATCH(189,'كشف الحساب'!$N$4:$N$353,0),0)=0,"",INDEX('كشف الحساب'!$H$4:$H$353,IFERROR(MATCH(189,'كشف الحساب'!$N$4:$N$353,0),0))),"")</f>
        <v/>
      </c>
      <c r="I193" s="64" t="str">
        <f>IFERROR(IF(IFERROR(MATCH(189,'كشف الحساب'!$N$4:$N$353,0),0)=0,"",INDEX('كشف الحساب'!$I$4:$I$353,IFERROR(MATCH(189,'كشف الحساب'!$N$4:$N$353,0),0))),"")</f>
        <v/>
      </c>
      <c r="J193" s="68" t="str">
        <f>IFERROR(IF(IFERROR(MATCH(189,'كشف الحساب'!$N$4:$N$353,0),0)=0,"",INDEX('كشف الحساب'!$J$4:$J$353,IFERROR(MATCH(189,'كشف الحساب'!$N$4:$N$353,0),0))),"")</f>
        <v/>
      </c>
      <c r="K193" s="64" t="str">
        <f>IFERROR(IF(IFERROR(MATCH(189,'كشف الحساب'!$N$4:$N$353,0),0)=0,"",INDEX('كشف الحساب'!$K$4:$K$353,IFERROR(MATCH(189,'كشف الحساب'!$N$4:$N$353,0),0))),"")</f>
        <v/>
      </c>
    </row>
    <row r="194" spans="1:11" ht="15" customHeight="1" x14ac:dyDescent="0.25">
      <c r="A194" s="69" t="str">
        <f>IFERROR(IF(IFERROR(MATCH(190,'كشف الحساب'!$N$4:$N$353,0),0)=0,"",INDEX('كشف الحساب'!$A$4:$A$353,IFERROR(MATCH(190,'كشف الحساب'!$N$4:$N$353,0),0))),"")</f>
        <v/>
      </c>
      <c r="B194" s="70" t="str">
        <f>IFERROR(IF(IFERROR(MATCH(190,'كشف الحساب'!$N$4:$N$353,0),0)=0,"",INDEX('كشف الحساب'!$B$4:$B$353,IFERROR(MATCH(190,'كشف الحساب'!$N$4:$N$353,0),0))),"")</f>
        <v/>
      </c>
      <c r="C194" s="71" t="str">
        <f>IFERROR(IF(IFERROR(MATCH(190,'كشف الحساب'!$N$4:$N$353,0),0)=0,"",INDEX('كشف الحساب'!$C$4:$C$353,IFERROR(MATCH(190,'كشف الحساب'!$N$4:$N$353,0),0))),"")</f>
        <v/>
      </c>
      <c r="D194" s="72" t="str">
        <f>IFERROR(IF(IFERROR(MATCH(190,'كشف الحساب'!$N$4:$N$353,0),0)=0,"",INDEX('كشف الحساب'!$D$4:$D$353,IFERROR(MATCH(190,'كشف الحساب'!$N$4:$N$353,0),0))),"")</f>
        <v/>
      </c>
      <c r="E194" s="73" t="str">
        <f>IFERROR(IF(IFERROR(MATCH(190,'كشف الحساب'!$N$4:$N$353,0),0)=0,"",INDEX('كشف الحساب'!$E$4:$E$353,IFERROR(MATCH(190,'كشف الحساب'!$N$4:$N$353,0),0))),"")</f>
        <v/>
      </c>
      <c r="F194" s="70" t="str">
        <f>IFERROR(IF(IFERROR(MATCH(190,'كشف الحساب'!$N$4:$N$353,0),0)=0,"",INDEX('كشف الحساب'!$F$4:$F$353,IFERROR(MATCH(190,'كشف الحساب'!$N$4:$N$353,0),0))),"")</f>
        <v/>
      </c>
      <c r="G194" s="70" t="str">
        <f>IFERROR(IF(IFERROR(MATCH(190,'كشف الحساب'!$N$4:$N$353,0),0)=0,"",INDEX('كشف الحساب'!$G$4:$G$353,IFERROR(MATCH(190,'كشف الحساب'!$N$4:$N$353,0),0))),"")</f>
        <v/>
      </c>
      <c r="H194" s="70" t="str">
        <f>IFERROR(IF(IFERROR(MATCH(190,'كشف الحساب'!$N$4:$N$353,0),0)=0,"",INDEX('كشف الحساب'!$H$4:$H$353,IFERROR(MATCH(190,'كشف الحساب'!$N$4:$N$353,0),0))),"")</f>
        <v/>
      </c>
      <c r="I194" s="70" t="str">
        <f>IFERROR(IF(IFERROR(MATCH(190,'كشف الحساب'!$N$4:$N$353,0),0)=0,"",INDEX('كشف الحساب'!$I$4:$I$353,IFERROR(MATCH(190,'كشف الحساب'!$N$4:$N$353,0),0))),"")</f>
        <v/>
      </c>
      <c r="J194" s="74" t="str">
        <f>IFERROR(IF(IFERROR(MATCH(190,'كشف الحساب'!$N$4:$N$353,0),0)=0,"",INDEX('كشف الحساب'!$J$4:$J$353,IFERROR(MATCH(190,'كشف الحساب'!$N$4:$N$353,0),0))),"")</f>
        <v/>
      </c>
      <c r="K194" s="70" t="str">
        <f>IFERROR(IF(IFERROR(MATCH(190,'كشف الحساب'!$N$4:$N$353,0),0)=0,"",INDEX('كشف الحساب'!$K$4:$K$353,IFERROR(MATCH(190,'كشف الحساب'!$N$4:$N$353,0),0))),"")</f>
        <v/>
      </c>
    </row>
    <row r="195" spans="1:11" ht="15" customHeight="1" x14ac:dyDescent="0.25">
      <c r="A195" s="63" t="str">
        <f>IFERROR(IF(IFERROR(MATCH(191,'كشف الحساب'!$N$4:$N$353,0),0)=0,"",INDEX('كشف الحساب'!$A$4:$A$353,IFERROR(MATCH(191,'كشف الحساب'!$N$4:$N$353,0),0))),"")</f>
        <v/>
      </c>
      <c r="B195" s="64" t="str">
        <f>IFERROR(IF(IFERROR(MATCH(191,'كشف الحساب'!$N$4:$N$353,0),0)=0,"",INDEX('كشف الحساب'!$B$4:$B$353,IFERROR(MATCH(191,'كشف الحساب'!$N$4:$N$353,0),0))),"")</f>
        <v/>
      </c>
      <c r="C195" s="65" t="str">
        <f>IFERROR(IF(IFERROR(MATCH(191,'كشف الحساب'!$N$4:$N$353,0),0)=0,"",INDEX('كشف الحساب'!$C$4:$C$353,IFERROR(MATCH(191,'كشف الحساب'!$N$4:$N$353,0),0))),"")</f>
        <v/>
      </c>
      <c r="D195" s="66" t="str">
        <f>IFERROR(IF(IFERROR(MATCH(191,'كشف الحساب'!$N$4:$N$353,0),0)=0,"",INDEX('كشف الحساب'!$D$4:$D$353,IFERROR(MATCH(191,'كشف الحساب'!$N$4:$N$353,0),0))),"")</f>
        <v/>
      </c>
      <c r="E195" s="67" t="str">
        <f>IFERROR(IF(IFERROR(MATCH(191,'كشف الحساب'!$N$4:$N$353,0),0)=0,"",INDEX('كشف الحساب'!$E$4:$E$353,IFERROR(MATCH(191,'كشف الحساب'!$N$4:$N$353,0),0))),"")</f>
        <v/>
      </c>
      <c r="F195" s="64" t="str">
        <f>IFERROR(IF(IFERROR(MATCH(191,'كشف الحساب'!$N$4:$N$353,0),0)=0,"",INDEX('كشف الحساب'!$F$4:$F$353,IFERROR(MATCH(191,'كشف الحساب'!$N$4:$N$353,0),0))),"")</f>
        <v/>
      </c>
      <c r="G195" s="64" t="str">
        <f>IFERROR(IF(IFERROR(MATCH(191,'كشف الحساب'!$N$4:$N$353,0),0)=0,"",INDEX('كشف الحساب'!$G$4:$G$353,IFERROR(MATCH(191,'كشف الحساب'!$N$4:$N$353,0),0))),"")</f>
        <v/>
      </c>
      <c r="H195" s="64" t="str">
        <f>IFERROR(IF(IFERROR(MATCH(191,'كشف الحساب'!$N$4:$N$353,0),0)=0,"",INDEX('كشف الحساب'!$H$4:$H$353,IFERROR(MATCH(191,'كشف الحساب'!$N$4:$N$353,0),0))),"")</f>
        <v/>
      </c>
      <c r="I195" s="64" t="str">
        <f>IFERROR(IF(IFERROR(MATCH(191,'كشف الحساب'!$N$4:$N$353,0),0)=0,"",INDEX('كشف الحساب'!$I$4:$I$353,IFERROR(MATCH(191,'كشف الحساب'!$N$4:$N$353,0),0))),"")</f>
        <v/>
      </c>
      <c r="J195" s="68" t="str">
        <f>IFERROR(IF(IFERROR(MATCH(191,'كشف الحساب'!$N$4:$N$353,0),0)=0,"",INDEX('كشف الحساب'!$J$4:$J$353,IFERROR(MATCH(191,'كشف الحساب'!$N$4:$N$353,0),0))),"")</f>
        <v/>
      </c>
      <c r="K195" s="64" t="str">
        <f>IFERROR(IF(IFERROR(MATCH(191,'كشف الحساب'!$N$4:$N$353,0),0)=0,"",INDEX('كشف الحساب'!$K$4:$K$353,IFERROR(MATCH(191,'كشف الحساب'!$N$4:$N$353,0),0))),"")</f>
        <v/>
      </c>
    </row>
    <row r="196" spans="1:11" ht="15" customHeight="1" x14ac:dyDescent="0.25">
      <c r="A196" s="69" t="str">
        <f>IFERROR(IF(IFERROR(MATCH(192,'كشف الحساب'!$N$4:$N$353,0),0)=0,"",INDEX('كشف الحساب'!$A$4:$A$353,IFERROR(MATCH(192,'كشف الحساب'!$N$4:$N$353,0),0))),"")</f>
        <v/>
      </c>
      <c r="B196" s="70" t="str">
        <f>IFERROR(IF(IFERROR(MATCH(192,'كشف الحساب'!$N$4:$N$353,0),0)=0,"",INDEX('كشف الحساب'!$B$4:$B$353,IFERROR(MATCH(192,'كشف الحساب'!$N$4:$N$353,0),0))),"")</f>
        <v/>
      </c>
      <c r="C196" s="71" t="str">
        <f>IFERROR(IF(IFERROR(MATCH(192,'كشف الحساب'!$N$4:$N$353,0),0)=0,"",INDEX('كشف الحساب'!$C$4:$C$353,IFERROR(MATCH(192,'كشف الحساب'!$N$4:$N$353,0),0))),"")</f>
        <v/>
      </c>
      <c r="D196" s="72" t="str">
        <f>IFERROR(IF(IFERROR(MATCH(192,'كشف الحساب'!$N$4:$N$353,0),0)=0,"",INDEX('كشف الحساب'!$D$4:$D$353,IFERROR(MATCH(192,'كشف الحساب'!$N$4:$N$353,0),0))),"")</f>
        <v/>
      </c>
      <c r="E196" s="73" t="str">
        <f>IFERROR(IF(IFERROR(MATCH(192,'كشف الحساب'!$N$4:$N$353,0),0)=0,"",INDEX('كشف الحساب'!$E$4:$E$353,IFERROR(MATCH(192,'كشف الحساب'!$N$4:$N$353,0),0))),"")</f>
        <v/>
      </c>
      <c r="F196" s="70" t="str">
        <f>IFERROR(IF(IFERROR(MATCH(192,'كشف الحساب'!$N$4:$N$353,0),0)=0,"",INDEX('كشف الحساب'!$F$4:$F$353,IFERROR(MATCH(192,'كشف الحساب'!$N$4:$N$353,0),0))),"")</f>
        <v/>
      </c>
      <c r="G196" s="70" t="str">
        <f>IFERROR(IF(IFERROR(MATCH(192,'كشف الحساب'!$N$4:$N$353,0),0)=0,"",INDEX('كشف الحساب'!$G$4:$G$353,IFERROR(MATCH(192,'كشف الحساب'!$N$4:$N$353,0),0))),"")</f>
        <v/>
      </c>
      <c r="H196" s="70" t="str">
        <f>IFERROR(IF(IFERROR(MATCH(192,'كشف الحساب'!$N$4:$N$353,0),0)=0,"",INDEX('كشف الحساب'!$H$4:$H$353,IFERROR(MATCH(192,'كشف الحساب'!$N$4:$N$353,0),0))),"")</f>
        <v/>
      </c>
      <c r="I196" s="70" t="str">
        <f>IFERROR(IF(IFERROR(MATCH(192,'كشف الحساب'!$N$4:$N$353,0),0)=0,"",INDEX('كشف الحساب'!$I$4:$I$353,IFERROR(MATCH(192,'كشف الحساب'!$N$4:$N$353,0),0))),"")</f>
        <v/>
      </c>
      <c r="J196" s="74" t="str">
        <f>IFERROR(IF(IFERROR(MATCH(192,'كشف الحساب'!$N$4:$N$353,0),0)=0,"",INDEX('كشف الحساب'!$J$4:$J$353,IFERROR(MATCH(192,'كشف الحساب'!$N$4:$N$353,0),0))),"")</f>
        <v/>
      </c>
      <c r="K196" s="70" t="str">
        <f>IFERROR(IF(IFERROR(MATCH(192,'كشف الحساب'!$N$4:$N$353,0),0)=0,"",INDEX('كشف الحساب'!$K$4:$K$353,IFERROR(MATCH(192,'كشف الحساب'!$N$4:$N$353,0),0))),"")</f>
        <v/>
      </c>
    </row>
    <row r="197" spans="1:11" ht="15" customHeight="1" x14ac:dyDescent="0.25">
      <c r="A197" s="63" t="str">
        <f>IFERROR(IF(IFERROR(MATCH(193,'كشف الحساب'!$N$4:$N$353,0),0)=0,"",INDEX('كشف الحساب'!$A$4:$A$353,IFERROR(MATCH(193,'كشف الحساب'!$N$4:$N$353,0),0))),"")</f>
        <v/>
      </c>
      <c r="B197" s="64" t="str">
        <f>IFERROR(IF(IFERROR(MATCH(193,'كشف الحساب'!$N$4:$N$353,0),0)=0,"",INDEX('كشف الحساب'!$B$4:$B$353,IFERROR(MATCH(193,'كشف الحساب'!$N$4:$N$353,0),0))),"")</f>
        <v/>
      </c>
      <c r="C197" s="65" t="str">
        <f>IFERROR(IF(IFERROR(MATCH(193,'كشف الحساب'!$N$4:$N$353,0),0)=0,"",INDEX('كشف الحساب'!$C$4:$C$353,IFERROR(MATCH(193,'كشف الحساب'!$N$4:$N$353,0),0))),"")</f>
        <v/>
      </c>
      <c r="D197" s="66" t="str">
        <f>IFERROR(IF(IFERROR(MATCH(193,'كشف الحساب'!$N$4:$N$353,0),0)=0,"",INDEX('كشف الحساب'!$D$4:$D$353,IFERROR(MATCH(193,'كشف الحساب'!$N$4:$N$353,0),0))),"")</f>
        <v/>
      </c>
      <c r="E197" s="67" t="str">
        <f>IFERROR(IF(IFERROR(MATCH(193,'كشف الحساب'!$N$4:$N$353,0),0)=0,"",INDEX('كشف الحساب'!$E$4:$E$353,IFERROR(MATCH(193,'كشف الحساب'!$N$4:$N$353,0),0))),"")</f>
        <v/>
      </c>
      <c r="F197" s="64" t="str">
        <f>IFERROR(IF(IFERROR(MATCH(193,'كشف الحساب'!$N$4:$N$353,0),0)=0,"",INDEX('كشف الحساب'!$F$4:$F$353,IFERROR(MATCH(193,'كشف الحساب'!$N$4:$N$353,0),0))),"")</f>
        <v/>
      </c>
      <c r="G197" s="64" t="str">
        <f>IFERROR(IF(IFERROR(MATCH(193,'كشف الحساب'!$N$4:$N$353,0),0)=0,"",INDEX('كشف الحساب'!$G$4:$G$353,IFERROR(MATCH(193,'كشف الحساب'!$N$4:$N$353,0),0))),"")</f>
        <v/>
      </c>
      <c r="H197" s="64" t="str">
        <f>IFERROR(IF(IFERROR(MATCH(193,'كشف الحساب'!$N$4:$N$353,0),0)=0,"",INDEX('كشف الحساب'!$H$4:$H$353,IFERROR(MATCH(193,'كشف الحساب'!$N$4:$N$353,0),0))),"")</f>
        <v/>
      </c>
      <c r="I197" s="64" t="str">
        <f>IFERROR(IF(IFERROR(MATCH(193,'كشف الحساب'!$N$4:$N$353,0),0)=0,"",INDEX('كشف الحساب'!$I$4:$I$353,IFERROR(MATCH(193,'كشف الحساب'!$N$4:$N$353,0),0))),"")</f>
        <v/>
      </c>
      <c r="J197" s="68" t="str">
        <f>IFERROR(IF(IFERROR(MATCH(193,'كشف الحساب'!$N$4:$N$353,0),0)=0,"",INDEX('كشف الحساب'!$J$4:$J$353,IFERROR(MATCH(193,'كشف الحساب'!$N$4:$N$353,0),0))),"")</f>
        <v/>
      </c>
      <c r="K197" s="64" t="str">
        <f>IFERROR(IF(IFERROR(MATCH(193,'كشف الحساب'!$N$4:$N$353,0),0)=0,"",INDEX('كشف الحساب'!$K$4:$K$353,IFERROR(MATCH(193,'كشف الحساب'!$N$4:$N$353,0),0))),"")</f>
        <v/>
      </c>
    </row>
    <row r="198" spans="1:11" ht="15" customHeight="1" x14ac:dyDescent="0.25">
      <c r="A198" s="69" t="str">
        <f>IFERROR(IF(IFERROR(MATCH(194,'كشف الحساب'!$N$4:$N$353,0),0)=0,"",INDEX('كشف الحساب'!$A$4:$A$353,IFERROR(MATCH(194,'كشف الحساب'!$N$4:$N$353,0),0))),"")</f>
        <v/>
      </c>
      <c r="B198" s="70" t="str">
        <f>IFERROR(IF(IFERROR(MATCH(194,'كشف الحساب'!$N$4:$N$353,0),0)=0,"",INDEX('كشف الحساب'!$B$4:$B$353,IFERROR(MATCH(194,'كشف الحساب'!$N$4:$N$353,0),0))),"")</f>
        <v/>
      </c>
      <c r="C198" s="71" t="str">
        <f>IFERROR(IF(IFERROR(MATCH(194,'كشف الحساب'!$N$4:$N$353,0),0)=0,"",INDEX('كشف الحساب'!$C$4:$C$353,IFERROR(MATCH(194,'كشف الحساب'!$N$4:$N$353,0),0))),"")</f>
        <v/>
      </c>
      <c r="D198" s="72" t="str">
        <f>IFERROR(IF(IFERROR(MATCH(194,'كشف الحساب'!$N$4:$N$353,0),0)=0,"",INDEX('كشف الحساب'!$D$4:$D$353,IFERROR(MATCH(194,'كشف الحساب'!$N$4:$N$353,0),0))),"")</f>
        <v/>
      </c>
      <c r="E198" s="73" t="str">
        <f>IFERROR(IF(IFERROR(MATCH(194,'كشف الحساب'!$N$4:$N$353,0),0)=0,"",INDEX('كشف الحساب'!$E$4:$E$353,IFERROR(MATCH(194,'كشف الحساب'!$N$4:$N$353,0),0))),"")</f>
        <v/>
      </c>
      <c r="F198" s="70" t="str">
        <f>IFERROR(IF(IFERROR(MATCH(194,'كشف الحساب'!$N$4:$N$353,0),0)=0,"",INDEX('كشف الحساب'!$F$4:$F$353,IFERROR(MATCH(194,'كشف الحساب'!$N$4:$N$353,0),0))),"")</f>
        <v/>
      </c>
      <c r="G198" s="70" t="str">
        <f>IFERROR(IF(IFERROR(MATCH(194,'كشف الحساب'!$N$4:$N$353,0),0)=0,"",INDEX('كشف الحساب'!$G$4:$G$353,IFERROR(MATCH(194,'كشف الحساب'!$N$4:$N$353,0),0))),"")</f>
        <v/>
      </c>
      <c r="H198" s="70" t="str">
        <f>IFERROR(IF(IFERROR(MATCH(194,'كشف الحساب'!$N$4:$N$353,0),0)=0,"",INDEX('كشف الحساب'!$H$4:$H$353,IFERROR(MATCH(194,'كشف الحساب'!$N$4:$N$353,0),0))),"")</f>
        <v/>
      </c>
      <c r="I198" s="70" t="str">
        <f>IFERROR(IF(IFERROR(MATCH(194,'كشف الحساب'!$N$4:$N$353,0),0)=0,"",INDEX('كشف الحساب'!$I$4:$I$353,IFERROR(MATCH(194,'كشف الحساب'!$N$4:$N$353,0),0))),"")</f>
        <v/>
      </c>
      <c r="J198" s="74" t="str">
        <f>IFERROR(IF(IFERROR(MATCH(194,'كشف الحساب'!$N$4:$N$353,0),0)=0,"",INDEX('كشف الحساب'!$J$4:$J$353,IFERROR(MATCH(194,'كشف الحساب'!$N$4:$N$353,0),0))),"")</f>
        <v/>
      </c>
      <c r="K198" s="70" t="str">
        <f>IFERROR(IF(IFERROR(MATCH(194,'كشف الحساب'!$N$4:$N$353,0),0)=0,"",INDEX('كشف الحساب'!$K$4:$K$353,IFERROR(MATCH(194,'كشف الحساب'!$N$4:$N$353,0),0))),"")</f>
        <v/>
      </c>
    </row>
    <row r="199" spans="1:11" ht="15" customHeight="1" x14ac:dyDescent="0.25">
      <c r="A199" s="63" t="str">
        <f>IFERROR(IF(IFERROR(MATCH(195,'كشف الحساب'!$N$4:$N$353,0),0)=0,"",INDEX('كشف الحساب'!$A$4:$A$353,IFERROR(MATCH(195,'كشف الحساب'!$N$4:$N$353,0),0))),"")</f>
        <v/>
      </c>
      <c r="B199" s="64" t="str">
        <f>IFERROR(IF(IFERROR(MATCH(195,'كشف الحساب'!$N$4:$N$353,0),0)=0,"",INDEX('كشف الحساب'!$B$4:$B$353,IFERROR(MATCH(195,'كشف الحساب'!$N$4:$N$353,0),0))),"")</f>
        <v/>
      </c>
      <c r="C199" s="65" t="str">
        <f>IFERROR(IF(IFERROR(MATCH(195,'كشف الحساب'!$N$4:$N$353,0),0)=0,"",INDEX('كشف الحساب'!$C$4:$C$353,IFERROR(MATCH(195,'كشف الحساب'!$N$4:$N$353,0),0))),"")</f>
        <v/>
      </c>
      <c r="D199" s="66" t="str">
        <f>IFERROR(IF(IFERROR(MATCH(195,'كشف الحساب'!$N$4:$N$353,0),0)=0,"",INDEX('كشف الحساب'!$D$4:$D$353,IFERROR(MATCH(195,'كشف الحساب'!$N$4:$N$353,0),0))),"")</f>
        <v/>
      </c>
      <c r="E199" s="67" t="str">
        <f>IFERROR(IF(IFERROR(MATCH(195,'كشف الحساب'!$N$4:$N$353,0),0)=0,"",INDEX('كشف الحساب'!$E$4:$E$353,IFERROR(MATCH(195,'كشف الحساب'!$N$4:$N$353,0),0))),"")</f>
        <v/>
      </c>
      <c r="F199" s="64" t="str">
        <f>IFERROR(IF(IFERROR(MATCH(195,'كشف الحساب'!$N$4:$N$353,0),0)=0,"",INDEX('كشف الحساب'!$F$4:$F$353,IFERROR(MATCH(195,'كشف الحساب'!$N$4:$N$353,0),0))),"")</f>
        <v/>
      </c>
      <c r="G199" s="64" t="str">
        <f>IFERROR(IF(IFERROR(MATCH(195,'كشف الحساب'!$N$4:$N$353,0),0)=0,"",INDEX('كشف الحساب'!$G$4:$G$353,IFERROR(MATCH(195,'كشف الحساب'!$N$4:$N$353,0),0))),"")</f>
        <v/>
      </c>
      <c r="H199" s="64" t="str">
        <f>IFERROR(IF(IFERROR(MATCH(195,'كشف الحساب'!$N$4:$N$353,0),0)=0,"",INDEX('كشف الحساب'!$H$4:$H$353,IFERROR(MATCH(195,'كشف الحساب'!$N$4:$N$353,0),0))),"")</f>
        <v/>
      </c>
      <c r="I199" s="64" t="str">
        <f>IFERROR(IF(IFERROR(MATCH(195,'كشف الحساب'!$N$4:$N$353,0),0)=0,"",INDEX('كشف الحساب'!$I$4:$I$353,IFERROR(MATCH(195,'كشف الحساب'!$N$4:$N$353,0),0))),"")</f>
        <v/>
      </c>
      <c r="J199" s="68" t="str">
        <f>IFERROR(IF(IFERROR(MATCH(195,'كشف الحساب'!$N$4:$N$353,0),0)=0,"",INDEX('كشف الحساب'!$J$4:$J$353,IFERROR(MATCH(195,'كشف الحساب'!$N$4:$N$353,0),0))),"")</f>
        <v/>
      </c>
      <c r="K199" s="64" t="str">
        <f>IFERROR(IF(IFERROR(MATCH(195,'كشف الحساب'!$N$4:$N$353,0),0)=0,"",INDEX('كشف الحساب'!$K$4:$K$353,IFERROR(MATCH(195,'كشف الحساب'!$N$4:$N$353,0),0))),"")</f>
        <v/>
      </c>
    </row>
    <row r="200" spans="1:11" ht="15" customHeight="1" x14ac:dyDescent="0.25">
      <c r="A200" s="69" t="str">
        <f>IFERROR(IF(IFERROR(MATCH(196,'كشف الحساب'!$N$4:$N$353,0),0)=0,"",INDEX('كشف الحساب'!$A$4:$A$353,IFERROR(MATCH(196,'كشف الحساب'!$N$4:$N$353,0),0))),"")</f>
        <v/>
      </c>
      <c r="B200" s="70" t="str">
        <f>IFERROR(IF(IFERROR(MATCH(196,'كشف الحساب'!$N$4:$N$353,0),0)=0,"",INDEX('كشف الحساب'!$B$4:$B$353,IFERROR(MATCH(196,'كشف الحساب'!$N$4:$N$353,0),0))),"")</f>
        <v/>
      </c>
      <c r="C200" s="71" t="str">
        <f>IFERROR(IF(IFERROR(MATCH(196,'كشف الحساب'!$N$4:$N$353,0),0)=0,"",INDEX('كشف الحساب'!$C$4:$C$353,IFERROR(MATCH(196,'كشف الحساب'!$N$4:$N$353,0),0))),"")</f>
        <v/>
      </c>
      <c r="D200" s="72" t="str">
        <f>IFERROR(IF(IFERROR(MATCH(196,'كشف الحساب'!$N$4:$N$353,0),0)=0,"",INDEX('كشف الحساب'!$D$4:$D$353,IFERROR(MATCH(196,'كشف الحساب'!$N$4:$N$353,0),0))),"")</f>
        <v/>
      </c>
      <c r="E200" s="73" t="str">
        <f>IFERROR(IF(IFERROR(MATCH(196,'كشف الحساب'!$N$4:$N$353,0),0)=0,"",INDEX('كشف الحساب'!$E$4:$E$353,IFERROR(MATCH(196,'كشف الحساب'!$N$4:$N$353,0),0))),"")</f>
        <v/>
      </c>
      <c r="F200" s="70" t="str">
        <f>IFERROR(IF(IFERROR(MATCH(196,'كشف الحساب'!$N$4:$N$353,0),0)=0,"",INDEX('كشف الحساب'!$F$4:$F$353,IFERROR(MATCH(196,'كشف الحساب'!$N$4:$N$353,0),0))),"")</f>
        <v/>
      </c>
      <c r="G200" s="70" t="str">
        <f>IFERROR(IF(IFERROR(MATCH(196,'كشف الحساب'!$N$4:$N$353,0),0)=0,"",INDEX('كشف الحساب'!$G$4:$G$353,IFERROR(MATCH(196,'كشف الحساب'!$N$4:$N$353,0),0))),"")</f>
        <v/>
      </c>
      <c r="H200" s="70" t="str">
        <f>IFERROR(IF(IFERROR(MATCH(196,'كشف الحساب'!$N$4:$N$353,0),0)=0,"",INDEX('كشف الحساب'!$H$4:$H$353,IFERROR(MATCH(196,'كشف الحساب'!$N$4:$N$353,0),0))),"")</f>
        <v/>
      </c>
      <c r="I200" s="70" t="str">
        <f>IFERROR(IF(IFERROR(MATCH(196,'كشف الحساب'!$N$4:$N$353,0),0)=0,"",INDEX('كشف الحساب'!$I$4:$I$353,IFERROR(MATCH(196,'كشف الحساب'!$N$4:$N$353,0),0))),"")</f>
        <v/>
      </c>
      <c r="J200" s="74" t="str">
        <f>IFERROR(IF(IFERROR(MATCH(196,'كشف الحساب'!$N$4:$N$353,0),0)=0,"",INDEX('كشف الحساب'!$J$4:$J$353,IFERROR(MATCH(196,'كشف الحساب'!$N$4:$N$353,0),0))),"")</f>
        <v/>
      </c>
      <c r="K200" s="70" t="str">
        <f>IFERROR(IF(IFERROR(MATCH(196,'كشف الحساب'!$N$4:$N$353,0),0)=0,"",INDEX('كشف الحساب'!$K$4:$K$353,IFERROR(MATCH(196,'كشف الحساب'!$N$4:$N$353,0),0))),"")</f>
        <v/>
      </c>
    </row>
    <row r="201" spans="1:11" ht="15" customHeight="1" x14ac:dyDescent="0.25">
      <c r="A201" s="63" t="str">
        <f>IFERROR(IF(IFERROR(MATCH(197,'كشف الحساب'!$N$4:$N$353,0),0)=0,"",INDEX('كشف الحساب'!$A$4:$A$353,IFERROR(MATCH(197,'كشف الحساب'!$N$4:$N$353,0),0))),"")</f>
        <v/>
      </c>
      <c r="B201" s="64" t="str">
        <f>IFERROR(IF(IFERROR(MATCH(197,'كشف الحساب'!$N$4:$N$353,0),0)=0,"",INDEX('كشف الحساب'!$B$4:$B$353,IFERROR(MATCH(197,'كشف الحساب'!$N$4:$N$353,0),0))),"")</f>
        <v/>
      </c>
      <c r="C201" s="65" t="str">
        <f>IFERROR(IF(IFERROR(MATCH(197,'كشف الحساب'!$N$4:$N$353,0),0)=0,"",INDEX('كشف الحساب'!$C$4:$C$353,IFERROR(MATCH(197,'كشف الحساب'!$N$4:$N$353,0),0))),"")</f>
        <v/>
      </c>
      <c r="D201" s="66" t="str">
        <f>IFERROR(IF(IFERROR(MATCH(197,'كشف الحساب'!$N$4:$N$353,0),0)=0,"",INDEX('كشف الحساب'!$D$4:$D$353,IFERROR(MATCH(197,'كشف الحساب'!$N$4:$N$353,0),0))),"")</f>
        <v/>
      </c>
      <c r="E201" s="67" t="str">
        <f>IFERROR(IF(IFERROR(MATCH(197,'كشف الحساب'!$N$4:$N$353,0),0)=0,"",INDEX('كشف الحساب'!$E$4:$E$353,IFERROR(MATCH(197,'كشف الحساب'!$N$4:$N$353,0),0))),"")</f>
        <v/>
      </c>
      <c r="F201" s="64" t="str">
        <f>IFERROR(IF(IFERROR(MATCH(197,'كشف الحساب'!$N$4:$N$353,0),0)=0,"",INDEX('كشف الحساب'!$F$4:$F$353,IFERROR(MATCH(197,'كشف الحساب'!$N$4:$N$353,0),0))),"")</f>
        <v/>
      </c>
      <c r="G201" s="64" t="str">
        <f>IFERROR(IF(IFERROR(MATCH(197,'كشف الحساب'!$N$4:$N$353,0),0)=0,"",INDEX('كشف الحساب'!$G$4:$G$353,IFERROR(MATCH(197,'كشف الحساب'!$N$4:$N$353,0),0))),"")</f>
        <v/>
      </c>
      <c r="H201" s="64" t="str">
        <f>IFERROR(IF(IFERROR(MATCH(197,'كشف الحساب'!$N$4:$N$353,0),0)=0,"",INDEX('كشف الحساب'!$H$4:$H$353,IFERROR(MATCH(197,'كشف الحساب'!$N$4:$N$353,0),0))),"")</f>
        <v/>
      </c>
      <c r="I201" s="64" t="str">
        <f>IFERROR(IF(IFERROR(MATCH(197,'كشف الحساب'!$N$4:$N$353,0),0)=0,"",INDEX('كشف الحساب'!$I$4:$I$353,IFERROR(MATCH(197,'كشف الحساب'!$N$4:$N$353,0),0))),"")</f>
        <v/>
      </c>
      <c r="J201" s="68" t="str">
        <f>IFERROR(IF(IFERROR(MATCH(197,'كشف الحساب'!$N$4:$N$353,0),0)=0,"",INDEX('كشف الحساب'!$J$4:$J$353,IFERROR(MATCH(197,'كشف الحساب'!$N$4:$N$353,0),0))),"")</f>
        <v/>
      </c>
      <c r="K201" s="64" t="str">
        <f>IFERROR(IF(IFERROR(MATCH(197,'كشف الحساب'!$N$4:$N$353,0),0)=0,"",INDEX('كشف الحساب'!$K$4:$K$353,IFERROR(MATCH(197,'كشف الحساب'!$N$4:$N$353,0),0))),"")</f>
        <v/>
      </c>
    </row>
    <row r="202" spans="1:11" ht="15" customHeight="1" x14ac:dyDescent="0.25">
      <c r="A202" s="69" t="str">
        <f>IFERROR(IF(IFERROR(MATCH(198,'كشف الحساب'!$N$4:$N$353,0),0)=0,"",INDEX('كشف الحساب'!$A$4:$A$353,IFERROR(MATCH(198,'كشف الحساب'!$N$4:$N$353,0),0))),"")</f>
        <v/>
      </c>
      <c r="B202" s="70" t="str">
        <f>IFERROR(IF(IFERROR(MATCH(198,'كشف الحساب'!$N$4:$N$353,0),0)=0,"",INDEX('كشف الحساب'!$B$4:$B$353,IFERROR(MATCH(198,'كشف الحساب'!$N$4:$N$353,0),0))),"")</f>
        <v/>
      </c>
      <c r="C202" s="71" t="str">
        <f>IFERROR(IF(IFERROR(MATCH(198,'كشف الحساب'!$N$4:$N$353,0),0)=0,"",INDEX('كشف الحساب'!$C$4:$C$353,IFERROR(MATCH(198,'كشف الحساب'!$N$4:$N$353,0),0))),"")</f>
        <v/>
      </c>
      <c r="D202" s="72" t="str">
        <f>IFERROR(IF(IFERROR(MATCH(198,'كشف الحساب'!$N$4:$N$353,0),0)=0,"",INDEX('كشف الحساب'!$D$4:$D$353,IFERROR(MATCH(198,'كشف الحساب'!$N$4:$N$353,0),0))),"")</f>
        <v/>
      </c>
      <c r="E202" s="73" t="str">
        <f>IFERROR(IF(IFERROR(MATCH(198,'كشف الحساب'!$N$4:$N$353,0),0)=0,"",INDEX('كشف الحساب'!$E$4:$E$353,IFERROR(MATCH(198,'كشف الحساب'!$N$4:$N$353,0),0))),"")</f>
        <v/>
      </c>
      <c r="F202" s="70" t="str">
        <f>IFERROR(IF(IFERROR(MATCH(198,'كشف الحساب'!$N$4:$N$353,0),0)=0,"",INDEX('كشف الحساب'!$F$4:$F$353,IFERROR(MATCH(198,'كشف الحساب'!$N$4:$N$353,0),0))),"")</f>
        <v/>
      </c>
      <c r="G202" s="70" t="str">
        <f>IFERROR(IF(IFERROR(MATCH(198,'كشف الحساب'!$N$4:$N$353,0),0)=0,"",INDEX('كشف الحساب'!$G$4:$G$353,IFERROR(MATCH(198,'كشف الحساب'!$N$4:$N$353,0),0))),"")</f>
        <v/>
      </c>
      <c r="H202" s="70" t="str">
        <f>IFERROR(IF(IFERROR(MATCH(198,'كشف الحساب'!$N$4:$N$353,0),0)=0,"",INDEX('كشف الحساب'!$H$4:$H$353,IFERROR(MATCH(198,'كشف الحساب'!$N$4:$N$353,0),0))),"")</f>
        <v/>
      </c>
      <c r="I202" s="70" t="str">
        <f>IFERROR(IF(IFERROR(MATCH(198,'كشف الحساب'!$N$4:$N$353,0),0)=0,"",INDEX('كشف الحساب'!$I$4:$I$353,IFERROR(MATCH(198,'كشف الحساب'!$N$4:$N$353,0),0))),"")</f>
        <v/>
      </c>
      <c r="J202" s="74" t="str">
        <f>IFERROR(IF(IFERROR(MATCH(198,'كشف الحساب'!$N$4:$N$353,0),0)=0,"",INDEX('كشف الحساب'!$J$4:$J$353,IFERROR(MATCH(198,'كشف الحساب'!$N$4:$N$353,0),0))),"")</f>
        <v/>
      </c>
      <c r="K202" s="70" t="str">
        <f>IFERROR(IF(IFERROR(MATCH(198,'كشف الحساب'!$N$4:$N$353,0),0)=0,"",INDEX('كشف الحساب'!$K$4:$K$353,IFERROR(MATCH(198,'كشف الحساب'!$N$4:$N$353,0),0))),"")</f>
        <v/>
      </c>
    </row>
    <row r="203" spans="1:11" ht="15" customHeight="1" x14ac:dyDescent="0.25">
      <c r="A203" s="63" t="str">
        <f>IFERROR(IF(IFERROR(MATCH(199,'كشف الحساب'!$N$4:$N$353,0),0)=0,"",INDEX('كشف الحساب'!$A$4:$A$353,IFERROR(MATCH(199,'كشف الحساب'!$N$4:$N$353,0),0))),"")</f>
        <v/>
      </c>
      <c r="B203" s="64" t="str">
        <f>IFERROR(IF(IFERROR(MATCH(199,'كشف الحساب'!$N$4:$N$353,0),0)=0,"",INDEX('كشف الحساب'!$B$4:$B$353,IFERROR(MATCH(199,'كشف الحساب'!$N$4:$N$353,0),0))),"")</f>
        <v/>
      </c>
      <c r="C203" s="65" t="str">
        <f>IFERROR(IF(IFERROR(MATCH(199,'كشف الحساب'!$N$4:$N$353,0),0)=0,"",INDEX('كشف الحساب'!$C$4:$C$353,IFERROR(MATCH(199,'كشف الحساب'!$N$4:$N$353,0),0))),"")</f>
        <v/>
      </c>
      <c r="D203" s="66" t="str">
        <f>IFERROR(IF(IFERROR(MATCH(199,'كشف الحساب'!$N$4:$N$353,0),0)=0,"",INDEX('كشف الحساب'!$D$4:$D$353,IFERROR(MATCH(199,'كشف الحساب'!$N$4:$N$353,0),0))),"")</f>
        <v/>
      </c>
      <c r="E203" s="67" t="str">
        <f>IFERROR(IF(IFERROR(MATCH(199,'كشف الحساب'!$N$4:$N$353,0),0)=0,"",INDEX('كشف الحساب'!$E$4:$E$353,IFERROR(MATCH(199,'كشف الحساب'!$N$4:$N$353,0),0))),"")</f>
        <v/>
      </c>
      <c r="F203" s="64" t="str">
        <f>IFERROR(IF(IFERROR(MATCH(199,'كشف الحساب'!$N$4:$N$353,0),0)=0,"",INDEX('كشف الحساب'!$F$4:$F$353,IFERROR(MATCH(199,'كشف الحساب'!$N$4:$N$353,0),0))),"")</f>
        <v/>
      </c>
      <c r="G203" s="64" t="str">
        <f>IFERROR(IF(IFERROR(MATCH(199,'كشف الحساب'!$N$4:$N$353,0),0)=0,"",INDEX('كشف الحساب'!$G$4:$G$353,IFERROR(MATCH(199,'كشف الحساب'!$N$4:$N$353,0),0))),"")</f>
        <v/>
      </c>
      <c r="H203" s="64" t="str">
        <f>IFERROR(IF(IFERROR(MATCH(199,'كشف الحساب'!$N$4:$N$353,0),0)=0,"",INDEX('كشف الحساب'!$H$4:$H$353,IFERROR(MATCH(199,'كشف الحساب'!$N$4:$N$353,0),0))),"")</f>
        <v/>
      </c>
      <c r="I203" s="64" t="str">
        <f>IFERROR(IF(IFERROR(MATCH(199,'كشف الحساب'!$N$4:$N$353,0),0)=0,"",INDEX('كشف الحساب'!$I$4:$I$353,IFERROR(MATCH(199,'كشف الحساب'!$N$4:$N$353,0),0))),"")</f>
        <v/>
      </c>
      <c r="J203" s="68" t="str">
        <f>IFERROR(IF(IFERROR(MATCH(199,'كشف الحساب'!$N$4:$N$353,0),0)=0,"",INDEX('كشف الحساب'!$J$4:$J$353,IFERROR(MATCH(199,'كشف الحساب'!$N$4:$N$353,0),0))),"")</f>
        <v/>
      </c>
      <c r="K203" s="64" t="str">
        <f>IFERROR(IF(IFERROR(MATCH(199,'كشف الحساب'!$N$4:$N$353,0),0)=0,"",INDEX('كشف الحساب'!$K$4:$K$353,IFERROR(MATCH(199,'كشف الحساب'!$N$4:$N$353,0),0))),"")</f>
        <v/>
      </c>
    </row>
    <row r="204" spans="1:11" ht="15" customHeight="1" x14ac:dyDescent="0.25">
      <c r="A204" s="69" t="str">
        <f>IFERROR(IF(IFERROR(MATCH(200,'كشف الحساب'!$N$4:$N$353,0),0)=0,"",INDEX('كشف الحساب'!$A$4:$A$353,IFERROR(MATCH(200,'كشف الحساب'!$N$4:$N$353,0),0))),"")</f>
        <v/>
      </c>
      <c r="B204" s="70" t="str">
        <f>IFERROR(IF(IFERROR(MATCH(200,'كشف الحساب'!$N$4:$N$353,0),0)=0,"",INDEX('كشف الحساب'!$B$4:$B$353,IFERROR(MATCH(200,'كشف الحساب'!$N$4:$N$353,0),0))),"")</f>
        <v/>
      </c>
      <c r="C204" s="71" t="str">
        <f>IFERROR(IF(IFERROR(MATCH(200,'كشف الحساب'!$N$4:$N$353,0),0)=0,"",INDEX('كشف الحساب'!$C$4:$C$353,IFERROR(MATCH(200,'كشف الحساب'!$N$4:$N$353,0),0))),"")</f>
        <v/>
      </c>
      <c r="D204" s="72" t="str">
        <f>IFERROR(IF(IFERROR(MATCH(200,'كشف الحساب'!$N$4:$N$353,0),0)=0,"",INDEX('كشف الحساب'!$D$4:$D$353,IFERROR(MATCH(200,'كشف الحساب'!$N$4:$N$353,0),0))),"")</f>
        <v/>
      </c>
      <c r="E204" s="73" t="str">
        <f>IFERROR(IF(IFERROR(MATCH(200,'كشف الحساب'!$N$4:$N$353,0),0)=0,"",INDEX('كشف الحساب'!$E$4:$E$353,IFERROR(MATCH(200,'كشف الحساب'!$N$4:$N$353,0),0))),"")</f>
        <v/>
      </c>
      <c r="F204" s="70" t="str">
        <f>IFERROR(IF(IFERROR(MATCH(200,'كشف الحساب'!$N$4:$N$353,0),0)=0,"",INDEX('كشف الحساب'!$F$4:$F$353,IFERROR(MATCH(200,'كشف الحساب'!$N$4:$N$353,0),0))),"")</f>
        <v/>
      </c>
      <c r="G204" s="70" t="str">
        <f>IFERROR(IF(IFERROR(MATCH(200,'كشف الحساب'!$N$4:$N$353,0),0)=0,"",INDEX('كشف الحساب'!$G$4:$G$353,IFERROR(MATCH(200,'كشف الحساب'!$N$4:$N$353,0),0))),"")</f>
        <v/>
      </c>
      <c r="H204" s="70" t="str">
        <f>IFERROR(IF(IFERROR(MATCH(200,'كشف الحساب'!$N$4:$N$353,0),0)=0,"",INDEX('كشف الحساب'!$H$4:$H$353,IFERROR(MATCH(200,'كشف الحساب'!$N$4:$N$353,0),0))),"")</f>
        <v/>
      </c>
      <c r="I204" s="70" t="str">
        <f>IFERROR(IF(IFERROR(MATCH(200,'كشف الحساب'!$N$4:$N$353,0),0)=0,"",INDEX('كشف الحساب'!$I$4:$I$353,IFERROR(MATCH(200,'كشف الحساب'!$N$4:$N$353,0),0))),"")</f>
        <v/>
      </c>
      <c r="J204" s="74" t="str">
        <f>IFERROR(IF(IFERROR(MATCH(200,'كشف الحساب'!$N$4:$N$353,0),0)=0,"",INDEX('كشف الحساب'!$J$4:$J$353,IFERROR(MATCH(200,'كشف الحساب'!$N$4:$N$353,0),0))),"")</f>
        <v/>
      </c>
      <c r="K204" s="70" t="str">
        <f>IFERROR(IF(IFERROR(MATCH(200,'كشف الحساب'!$N$4:$N$353,0),0)=0,"",INDEX('كشف الحساب'!$K$4:$K$353,IFERROR(MATCH(200,'كشف الحساب'!$N$4:$N$353,0),0))),"")</f>
        <v/>
      </c>
    </row>
    <row r="205" spans="1:11" ht="15" customHeight="1" x14ac:dyDescent="0.25">
      <c r="A205" s="63" t="str">
        <f>IFERROR(IF(IFERROR(MATCH(201,'كشف الحساب'!$N$4:$N$353,0),0)=0,"",INDEX('كشف الحساب'!$A$4:$A$353,IFERROR(MATCH(201,'كشف الحساب'!$N$4:$N$353,0),0))),"")</f>
        <v/>
      </c>
      <c r="B205" s="64" t="str">
        <f>IFERROR(IF(IFERROR(MATCH(201,'كشف الحساب'!$N$4:$N$353,0),0)=0,"",INDEX('كشف الحساب'!$B$4:$B$353,IFERROR(MATCH(201,'كشف الحساب'!$N$4:$N$353,0),0))),"")</f>
        <v/>
      </c>
      <c r="C205" s="65" t="str">
        <f>IFERROR(IF(IFERROR(MATCH(201,'كشف الحساب'!$N$4:$N$353,0),0)=0,"",INDEX('كشف الحساب'!$C$4:$C$353,IFERROR(MATCH(201,'كشف الحساب'!$N$4:$N$353,0),0))),"")</f>
        <v/>
      </c>
      <c r="D205" s="66" t="str">
        <f>IFERROR(IF(IFERROR(MATCH(201,'كشف الحساب'!$N$4:$N$353,0),0)=0,"",INDEX('كشف الحساب'!$D$4:$D$353,IFERROR(MATCH(201,'كشف الحساب'!$N$4:$N$353,0),0))),"")</f>
        <v/>
      </c>
      <c r="E205" s="67" t="str">
        <f>IFERROR(IF(IFERROR(MATCH(201,'كشف الحساب'!$N$4:$N$353,0),0)=0,"",INDEX('كشف الحساب'!$E$4:$E$353,IFERROR(MATCH(201,'كشف الحساب'!$N$4:$N$353,0),0))),"")</f>
        <v/>
      </c>
      <c r="F205" s="64" t="str">
        <f>IFERROR(IF(IFERROR(MATCH(201,'كشف الحساب'!$N$4:$N$353,0),0)=0,"",INDEX('كشف الحساب'!$F$4:$F$353,IFERROR(MATCH(201,'كشف الحساب'!$N$4:$N$353,0),0))),"")</f>
        <v/>
      </c>
      <c r="G205" s="64" t="str">
        <f>IFERROR(IF(IFERROR(MATCH(201,'كشف الحساب'!$N$4:$N$353,0),0)=0,"",INDEX('كشف الحساب'!$G$4:$G$353,IFERROR(MATCH(201,'كشف الحساب'!$N$4:$N$353,0),0))),"")</f>
        <v/>
      </c>
      <c r="H205" s="64" t="str">
        <f>IFERROR(IF(IFERROR(MATCH(201,'كشف الحساب'!$N$4:$N$353,0),0)=0,"",INDEX('كشف الحساب'!$H$4:$H$353,IFERROR(MATCH(201,'كشف الحساب'!$N$4:$N$353,0),0))),"")</f>
        <v/>
      </c>
      <c r="I205" s="64" t="str">
        <f>IFERROR(IF(IFERROR(MATCH(201,'كشف الحساب'!$N$4:$N$353,0),0)=0,"",INDEX('كشف الحساب'!$I$4:$I$353,IFERROR(MATCH(201,'كشف الحساب'!$N$4:$N$353,0),0))),"")</f>
        <v/>
      </c>
      <c r="J205" s="68" t="str">
        <f>IFERROR(IF(IFERROR(MATCH(201,'كشف الحساب'!$N$4:$N$353,0),0)=0,"",INDEX('كشف الحساب'!$J$4:$J$353,IFERROR(MATCH(201,'كشف الحساب'!$N$4:$N$353,0),0))),"")</f>
        <v/>
      </c>
      <c r="K205" s="64" t="str">
        <f>IFERROR(IF(IFERROR(MATCH(201,'كشف الحساب'!$N$4:$N$353,0),0)=0,"",INDEX('كشف الحساب'!$K$4:$K$353,IFERROR(MATCH(201,'كشف الحساب'!$N$4:$N$353,0),0))),"")</f>
        <v/>
      </c>
    </row>
    <row r="206" spans="1:11" ht="15" customHeight="1" x14ac:dyDescent="0.25">
      <c r="A206" s="69" t="str">
        <f>IFERROR(IF(IFERROR(MATCH(202,'كشف الحساب'!$N$4:$N$353,0),0)=0,"",INDEX('كشف الحساب'!$A$4:$A$353,IFERROR(MATCH(202,'كشف الحساب'!$N$4:$N$353,0),0))),"")</f>
        <v/>
      </c>
      <c r="B206" s="70" t="str">
        <f>IFERROR(IF(IFERROR(MATCH(202,'كشف الحساب'!$N$4:$N$353,0),0)=0,"",INDEX('كشف الحساب'!$B$4:$B$353,IFERROR(MATCH(202,'كشف الحساب'!$N$4:$N$353,0),0))),"")</f>
        <v/>
      </c>
      <c r="C206" s="71" t="str">
        <f>IFERROR(IF(IFERROR(MATCH(202,'كشف الحساب'!$N$4:$N$353,0),0)=0,"",INDEX('كشف الحساب'!$C$4:$C$353,IFERROR(MATCH(202,'كشف الحساب'!$N$4:$N$353,0),0))),"")</f>
        <v/>
      </c>
      <c r="D206" s="72" t="str">
        <f>IFERROR(IF(IFERROR(MATCH(202,'كشف الحساب'!$N$4:$N$353,0),0)=0,"",INDEX('كشف الحساب'!$D$4:$D$353,IFERROR(MATCH(202,'كشف الحساب'!$N$4:$N$353,0),0))),"")</f>
        <v/>
      </c>
      <c r="E206" s="73" t="str">
        <f>IFERROR(IF(IFERROR(MATCH(202,'كشف الحساب'!$N$4:$N$353,0),0)=0,"",INDEX('كشف الحساب'!$E$4:$E$353,IFERROR(MATCH(202,'كشف الحساب'!$N$4:$N$353,0),0))),"")</f>
        <v/>
      </c>
      <c r="F206" s="70" t="str">
        <f>IFERROR(IF(IFERROR(MATCH(202,'كشف الحساب'!$N$4:$N$353,0),0)=0,"",INDEX('كشف الحساب'!$F$4:$F$353,IFERROR(MATCH(202,'كشف الحساب'!$N$4:$N$353,0),0))),"")</f>
        <v/>
      </c>
      <c r="G206" s="70" t="str">
        <f>IFERROR(IF(IFERROR(MATCH(202,'كشف الحساب'!$N$4:$N$353,0),0)=0,"",INDEX('كشف الحساب'!$G$4:$G$353,IFERROR(MATCH(202,'كشف الحساب'!$N$4:$N$353,0),0))),"")</f>
        <v/>
      </c>
      <c r="H206" s="70" t="str">
        <f>IFERROR(IF(IFERROR(MATCH(202,'كشف الحساب'!$N$4:$N$353,0),0)=0,"",INDEX('كشف الحساب'!$H$4:$H$353,IFERROR(MATCH(202,'كشف الحساب'!$N$4:$N$353,0),0))),"")</f>
        <v/>
      </c>
      <c r="I206" s="70" t="str">
        <f>IFERROR(IF(IFERROR(MATCH(202,'كشف الحساب'!$N$4:$N$353,0),0)=0,"",INDEX('كشف الحساب'!$I$4:$I$353,IFERROR(MATCH(202,'كشف الحساب'!$N$4:$N$353,0),0))),"")</f>
        <v/>
      </c>
      <c r="J206" s="74" t="str">
        <f>IFERROR(IF(IFERROR(MATCH(202,'كشف الحساب'!$N$4:$N$353,0),0)=0,"",INDEX('كشف الحساب'!$J$4:$J$353,IFERROR(MATCH(202,'كشف الحساب'!$N$4:$N$353,0),0))),"")</f>
        <v/>
      </c>
      <c r="K206" s="70" t="str">
        <f>IFERROR(IF(IFERROR(MATCH(202,'كشف الحساب'!$N$4:$N$353,0),0)=0,"",INDEX('كشف الحساب'!$K$4:$K$353,IFERROR(MATCH(202,'كشف الحساب'!$N$4:$N$353,0),0))),"")</f>
        <v/>
      </c>
    </row>
    <row r="207" spans="1:11" ht="15" customHeight="1" x14ac:dyDescent="0.25">
      <c r="A207" s="63" t="str">
        <f>IFERROR(IF(IFERROR(MATCH(203,'كشف الحساب'!$N$4:$N$353,0),0)=0,"",INDEX('كشف الحساب'!$A$4:$A$353,IFERROR(MATCH(203,'كشف الحساب'!$N$4:$N$353,0),0))),"")</f>
        <v/>
      </c>
      <c r="B207" s="64" t="str">
        <f>IFERROR(IF(IFERROR(MATCH(203,'كشف الحساب'!$N$4:$N$353,0),0)=0,"",INDEX('كشف الحساب'!$B$4:$B$353,IFERROR(MATCH(203,'كشف الحساب'!$N$4:$N$353,0),0))),"")</f>
        <v/>
      </c>
      <c r="C207" s="65" t="str">
        <f>IFERROR(IF(IFERROR(MATCH(203,'كشف الحساب'!$N$4:$N$353,0),0)=0,"",INDEX('كشف الحساب'!$C$4:$C$353,IFERROR(MATCH(203,'كشف الحساب'!$N$4:$N$353,0),0))),"")</f>
        <v/>
      </c>
      <c r="D207" s="66" t="str">
        <f>IFERROR(IF(IFERROR(MATCH(203,'كشف الحساب'!$N$4:$N$353,0),0)=0,"",INDEX('كشف الحساب'!$D$4:$D$353,IFERROR(MATCH(203,'كشف الحساب'!$N$4:$N$353,0),0))),"")</f>
        <v/>
      </c>
      <c r="E207" s="67" t="str">
        <f>IFERROR(IF(IFERROR(MATCH(203,'كشف الحساب'!$N$4:$N$353,0),0)=0,"",INDEX('كشف الحساب'!$E$4:$E$353,IFERROR(MATCH(203,'كشف الحساب'!$N$4:$N$353,0),0))),"")</f>
        <v/>
      </c>
      <c r="F207" s="64" t="str">
        <f>IFERROR(IF(IFERROR(MATCH(203,'كشف الحساب'!$N$4:$N$353,0),0)=0,"",INDEX('كشف الحساب'!$F$4:$F$353,IFERROR(MATCH(203,'كشف الحساب'!$N$4:$N$353,0),0))),"")</f>
        <v/>
      </c>
      <c r="G207" s="64" t="str">
        <f>IFERROR(IF(IFERROR(MATCH(203,'كشف الحساب'!$N$4:$N$353,0),0)=0,"",INDEX('كشف الحساب'!$G$4:$G$353,IFERROR(MATCH(203,'كشف الحساب'!$N$4:$N$353,0),0))),"")</f>
        <v/>
      </c>
      <c r="H207" s="64" t="str">
        <f>IFERROR(IF(IFERROR(MATCH(203,'كشف الحساب'!$N$4:$N$353,0),0)=0,"",INDEX('كشف الحساب'!$H$4:$H$353,IFERROR(MATCH(203,'كشف الحساب'!$N$4:$N$353,0),0))),"")</f>
        <v/>
      </c>
      <c r="I207" s="64" t="str">
        <f>IFERROR(IF(IFERROR(MATCH(203,'كشف الحساب'!$N$4:$N$353,0),0)=0,"",INDEX('كشف الحساب'!$I$4:$I$353,IFERROR(MATCH(203,'كشف الحساب'!$N$4:$N$353,0),0))),"")</f>
        <v/>
      </c>
      <c r="J207" s="68" t="str">
        <f>IFERROR(IF(IFERROR(MATCH(203,'كشف الحساب'!$N$4:$N$353,0),0)=0,"",INDEX('كشف الحساب'!$J$4:$J$353,IFERROR(MATCH(203,'كشف الحساب'!$N$4:$N$353,0),0))),"")</f>
        <v/>
      </c>
      <c r="K207" s="64" t="str">
        <f>IFERROR(IF(IFERROR(MATCH(203,'كشف الحساب'!$N$4:$N$353,0),0)=0,"",INDEX('كشف الحساب'!$K$4:$K$353,IFERROR(MATCH(203,'كشف الحساب'!$N$4:$N$353,0),0))),"")</f>
        <v/>
      </c>
    </row>
    <row r="208" spans="1:11" ht="15" customHeight="1" x14ac:dyDescent="0.25">
      <c r="A208" s="69" t="str">
        <f>IFERROR(IF(IFERROR(MATCH(204,'كشف الحساب'!$N$4:$N$353,0),0)=0,"",INDEX('كشف الحساب'!$A$4:$A$353,IFERROR(MATCH(204,'كشف الحساب'!$N$4:$N$353,0),0))),"")</f>
        <v/>
      </c>
      <c r="B208" s="70" t="str">
        <f>IFERROR(IF(IFERROR(MATCH(204,'كشف الحساب'!$N$4:$N$353,0),0)=0,"",INDEX('كشف الحساب'!$B$4:$B$353,IFERROR(MATCH(204,'كشف الحساب'!$N$4:$N$353,0),0))),"")</f>
        <v/>
      </c>
      <c r="C208" s="71" t="str">
        <f>IFERROR(IF(IFERROR(MATCH(204,'كشف الحساب'!$N$4:$N$353,0),0)=0,"",INDEX('كشف الحساب'!$C$4:$C$353,IFERROR(MATCH(204,'كشف الحساب'!$N$4:$N$353,0),0))),"")</f>
        <v/>
      </c>
      <c r="D208" s="72" t="str">
        <f>IFERROR(IF(IFERROR(MATCH(204,'كشف الحساب'!$N$4:$N$353,0),0)=0,"",INDEX('كشف الحساب'!$D$4:$D$353,IFERROR(MATCH(204,'كشف الحساب'!$N$4:$N$353,0),0))),"")</f>
        <v/>
      </c>
      <c r="E208" s="73" t="str">
        <f>IFERROR(IF(IFERROR(MATCH(204,'كشف الحساب'!$N$4:$N$353,0),0)=0,"",INDEX('كشف الحساب'!$E$4:$E$353,IFERROR(MATCH(204,'كشف الحساب'!$N$4:$N$353,0),0))),"")</f>
        <v/>
      </c>
      <c r="F208" s="70" t="str">
        <f>IFERROR(IF(IFERROR(MATCH(204,'كشف الحساب'!$N$4:$N$353,0),0)=0,"",INDEX('كشف الحساب'!$F$4:$F$353,IFERROR(MATCH(204,'كشف الحساب'!$N$4:$N$353,0),0))),"")</f>
        <v/>
      </c>
      <c r="G208" s="70" t="str">
        <f>IFERROR(IF(IFERROR(MATCH(204,'كشف الحساب'!$N$4:$N$353,0),0)=0,"",INDEX('كشف الحساب'!$G$4:$G$353,IFERROR(MATCH(204,'كشف الحساب'!$N$4:$N$353,0),0))),"")</f>
        <v/>
      </c>
      <c r="H208" s="70" t="str">
        <f>IFERROR(IF(IFERROR(MATCH(204,'كشف الحساب'!$N$4:$N$353,0),0)=0,"",INDEX('كشف الحساب'!$H$4:$H$353,IFERROR(MATCH(204,'كشف الحساب'!$N$4:$N$353,0),0))),"")</f>
        <v/>
      </c>
      <c r="I208" s="70" t="str">
        <f>IFERROR(IF(IFERROR(MATCH(204,'كشف الحساب'!$N$4:$N$353,0),0)=0,"",INDEX('كشف الحساب'!$I$4:$I$353,IFERROR(MATCH(204,'كشف الحساب'!$N$4:$N$353,0),0))),"")</f>
        <v/>
      </c>
      <c r="J208" s="74" t="str">
        <f>IFERROR(IF(IFERROR(MATCH(204,'كشف الحساب'!$N$4:$N$353,0),0)=0,"",INDEX('كشف الحساب'!$J$4:$J$353,IFERROR(MATCH(204,'كشف الحساب'!$N$4:$N$353,0),0))),"")</f>
        <v/>
      </c>
      <c r="K208" s="70" t="str">
        <f>IFERROR(IF(IFERROR(MATCH(204,'كشف الحساب'!$N$4:$N$353,0),0)=0,"",INDEX('كشف الحساب'!$K$4:$K$353,IFERROR(MATCH(204,'كشف الحساب'!$N$4:$N$353,0),0))),"")</f>
        <v/>
      </c>
    </row>
    <row r="209" spans="1:11" ht="15" customHeight="1" x14ac:dyDescent="0.25">
      <c r="A209" s="63" t="str">
        <f>IFERROR(IF(IFERROR(MATCH(205,'كشف الحساب'!$N$4:$N$353,0),0)=0,"",INDEX('كشف الحساب'!$A$4:$A$353,IFERROR(MATCH(205,'كشف الحساب'!$N$4:$N$353,0),0))),"")</f>
        <v/>
      </c>
      <c r="B209" s="64" t="str">
        <f>IFERROR(IF(IFERROR(MATCH(205,'كشف الحساب'!$N$4:$N$353,0),0)=0,"",INDEX('كشف الحساب'!$B$4:$B$353,IFERROR(MATCH(205,'كشف الحساب'!$N$4:$N$353,0),0))),"")</f>
        <v/>
      </c>
      <c r="C209" s="65" t="str">
        <f>IFERROR(IF(IFERROR(MATCH(205,'كشف الحساب'!$N$4:$N$353,0),0)=0,"",INDEX('كشف الحساب'!$C$4:$C$353,IFERROR(MATCH(205,'كشف الحساب'!$N$4:$N$353,0),0))),"")</f>
        <v/>
      </c>
      <c r="D209" s="66" t="str">
        <f>IFERROR(IF(IFERROR(MATCH(205,'كشف الحساب'!$N$4:$N$353,0),0)=0,"",INDEX('كشف الحساب'!$D$4:$D$353,IFERROR(MATCH(205,'كشف الحساب'!$N$4:$N$353,0),0))),"")</f>
        <v/>
      </c>
      <c r="E209" s="67" t="str">
        <f>IFERROR(IF(IFERROR(MATCH(205,'كشف الحساب'!$N$4:$N$353,0),0)=0,"",INDEX('كشف الحساب'!$E$4:$E$353,IFERROR(MATCH(205,'كشف الحساب'!$N$4:$N$353,0),0))),"")</f>
        <v/>
      </c>
      <c r="F209" s="64" t="str">
        <f>IFERROR(IF(IFERROR(MATCH(205,'كشف الحساب'!$N$4:$N$353,0),0)=0,"",INDEX('كشف الحساب'!$F$4:$F$353,IFERROR(MATCH(205,'كشف الحساب'!$N$4:$N$353,0),0))),"")</f>
        <v/>
      </c>
      <c r="G209" s="64" t="str">
        <f>IFERROR(IF(IFERROR(MATCH(205,'كشف الحساب'!$N$4:$N$353,0),0)=0,"",INDEX('كشف الحساب'!$G$4:$G$353,IFERROR(MATCH(205,'كشف الحساب'!$N$4:$N$353,0),0))),"")</f>
        <v/>
      </c>
      <c r="H209" s="64" t="str">
        <f>IFERROR(IF(IFERROR(MATCH(205,'كشف الحساب'!$N$4:$N$353,0),0)=0,"",INDEX('كشف الحساب'!$H$4:$H$353,IFERROR(MATCH(205,'كشف الحساب'!$N$4:$N$353,0),0))),"")</f>
        <v/>
      </c>
      <c r="I209" s="64" t="str">
        <f>IFERROR(IF(IFERROR(MATCH(205,'كشف الحساب'!$N$4:$N$353,0),0)=0,"",INDEX('كشف الحساب'!$I$4:$I$353,IFERROR(MATCH(205,'كشف الحساب'!$N$4:$N$353,0),0))),"")</f>
        <v/>
      </c>
      <c r="J209" s="68" t="str">
        <f>IFERROR(IF(IFERROR(MATCH(205,'كشف الحساب'!$N$4:$N$353,0),0)=0,"",INDEX('كشف الحساب'!$J$4:$J$353,IFERROR(MATCH(205,'كشف الحساب'!$N$4:$N$353,0),0))),"")</f>
        <v/>
      </c>
      <c r="K209" s="64" t="str">
        <f>IFERROR(IF(IFERROR(MATCH(205,'كشف الحساب'!$N$4:$N$353,0),0)=0,"",INDEX('كشف الحساب'!$K$4:$K$353,IFERROR(MATCH(205,'كشف الحساب'!$N$4:$N$353,0),0))),"")</f>
        <v/>
      </c>
    </row>
    <row r="210" spans="1:11" ht="15" customHeight="1" x14ac:dyDescent="0.25">
      <c r="A210" s="69" t="str">
        <f>IFERROR(IF(IFERROR(MATCH(206,'كشف الحساب'!$N$4:$N$353,0),0)=0,"",INDEX('كشف الحساب'!$A$4:$A$353,IFERROR(MATCH(206,'كشف الحساب'!$N$4:$N$353,0),0))),"")</f>
        <v/>
      </c>
      <c r="B210" s="70" t="str">
        <f>IFERROR(IF(IFERROR(MATCH(206,'كشف الحساب'!$N$4:$N$353,0),0)=0,"",INDEX('كشف الحساب'!$B$4:$B$353,IFERROR(MATCH(206,'كشف الحساب'!$N$4:$N$353,0),0))),"")</f>
        <v/>
      </c>
      <c r="C210" s="71" t="str">
        <f>IFERROR(IF(IFERROR(MATCH(206,'كشف الحساب'!$N$4:$N$353,0),0)=0,"",INDEX('كشف الحساب'!$C$4:$C$353,IFERROR(MATCH(206,'كشف الحساب'!$N$4:$N$353,0),0))),"")</f>
        <v/>
      </c>
      <c r="D210" s="72" t="str">
        <f>IFERROR(IF(IFERROR(MATCH(206,'كشف الحساب'!$N$4:$N$353,0),0)=0,"",INDEX('كشف الحساب'!$D$4:$D$353,IFERROR(MATCH(206,'كشف الحساب'!$N$4:$N$353,0),0))),"")</f>
        <v/>
      </c>
      <c r="E210" s="73" t="str">
        <f>IFERROR(IF(IFERROR(MATCH(206,'كشف الحساب'!$N$4:$N$353,0),0)=0,"",INDEX('كشف الحساب'!$E$4:$E$353,IFERROR(MATCH(206,'كشف الحساب'!$N$4:$N$353,0),0))),"")</f>
        <v/>
      </c>
      <c r="F210" s="70" t="str">
        <f>IFERROR(IF(IFERROR(MATCH(206,'كشف الحساب'!$N$4:$N$353,0),0)=0,"",INDEX('كشف الحساب'!$F$4:$F$353,IFERROR(MATCH(206,'كشف الحساب'!$N$4:$N$353,0),0))),"")</f>
        <v/>
      </c>
      <c r="G210" s="70" t="str">
        <f>IFERROR(IF(IFERROR(MATCH(206,'كشف الحساب'!$N$4:$N$353,0),0)=0,"",INDEX('كشف الحساب'!$G$4:$G$353,IFERROR(MATCH(206,'كشف الحساب'!$N$4:$N$353,0),0))),"")</f>
        <v/>
      </c>
      <c r="H210" s="70" t="str">
        <f>IFERROR(IF(IFERROR(MATCH(206,'كشف الحساب'!$N$4:$N$353,0),0)=0,"",INDEX('كشف الحساب'!$H$4:$H$353,IFERROR(MATCH(206,'كشف الحساب'!$N$4:$N$353,0),0))),"")</f>
        <v/>
      </c>
      <c r="I210" s="70" t="str">
        <f>IFERROR(IF(IFERROR(MATCH(206,'كشف الحساب'!$N$4:$N$353,0),0)=0,"",INDEX('كشف الحساب'!$I$4:$I$353,IFERROR(MATCH(206,'كشف الحساب'!$N$4:$N$353,0),0))),"")</f>
        <v/>
      </c>
      <c r="J210" s="74" t="str">
        <f>IFERROR(IF(IFERROR(MATCH(206,'كشف الحساب'!$N$4:$N$353,0),0)=0,"",INDEX('كشف الحساب'!$J$4:$J$353,IFERROR(MATCH(206,'كشف الحساب'!$N$4:$N$353,0),0))),"")</f>
        <v/>
      </c>
      <c r="K210" s="70" t="str">
        <f>IFERROR(IF(IFERROR(MATCH(206,'كشف الحساب'!$N$4:$N$353,0),0)=0,"",INDEX('كشف الحساب'!$K$4:$K$353,IFERROR(MATCH(206,'كشف الحساب'!$N$4:$N$353,0),0))),"")</f>
        <v/>
      </c>
    </row>
    <row r="211" spans="1:11" ht="15" customHeight="1" x14ac:dyDescent="0.25">
      <c r="A211" s="63" t="str">
        <f>IFERROR(IF(IFERROR(MATCH(207,'كشف الحساب'!$N$4:$N$353,0),0)=0,"",INDEX('كشف الحساب'!$A$4:$A$353,IFERROR(MATCH(207,'كشف الحساب'!$N$4:$N$353,0),0))),"")</f>
        <v/>
      </c>
      <c r="B211" s="64" t="str">
        <f>IFERROR(IF(IFERROR(MATCH(207,'كشف الحساب'!$N$4:$N$353,0),0)=0,"",INDEX('كشف الحساب'!$B$4:$B$353,IFERROR(MATCH(207,'كشف الحساب'!$N$4:$N$353,0),0))),"")</f>
        <v/>
      </c>
      <c r="C211" s="65" t="str">
        <f>IFERROR(IF(IFERROR(MATCH(207,'كشف الحساب'!$N$4:$N$353,0),0)=0,"",INDEX('كشف الحساب'!$C$4:$C$353,IFERROR(MATCH(207,'كشف الحساب'!$N$4:$N$353,0),0))),"")</f>
        <v/>
      </c>
      <c r="D211" s="66" t="str">
        <f>IFERROR(IF(IFERROR(MATCH(207,'كشف الحساب'!$N$4:$N$353,0),0)=0,"",INDEX('كشف الحساب'!$D$4:$D$353,IFERROR(MATCH(207,'كشف الحساب'!$N$4:$N$353,0),0))),"")</f>
        <v/>
      </c>
      <c r="E211" s="67" t="str">
        <f>IFERROR(IF(IFERROR(MATCH(207,'كشف الحساب'!$N$4:$N$353,0),0)=0,"",INDEX('كشف الحساب'!$E$4:$E$353,IFERROR(MATCH(207,'كشف الحساب'!$N$4:$N$353,0),0))),"")</f>
        <v/>
      </c>
      <c r="F211" s="64" t="str">
        <f>IFERROR(IF(IFERROR(MATCH(207,'كشف الحساب'!$N$4:$N$353,0),0)=0,"",INDEX('كشف الحساب'!$F$4:$F$353,IFERROR(MATCH(207,'كشف الحساب'!$N$4:$N$353,0),0))),"")</f>
        <v/>
      </c>
      <c r="G211" s="64" t="str">
        <f>IFERROR(IF(IFERROR(MATCH(207,'كشف الحساب'!$N$4:$N$353,0),0)=0,"",INDEX('كشف الحساب'!$G$4:$G$353,IFERROR(MATCH(207,'كشف الحساب'!$N$4:$N$353,0),0))),"")</f>
        <v/>
      </c>
      <c r="H211" s="64" t="str">
        <f>IFERROR(IF(IFERROR(MATCH(207,'كشف الحساب'!$N$4:$N$353,0),0)=0,"",INDEX('كشف الحساب'!$H$4:$H$353,IFERROR(MATCH(207,'كشف الحساب'!$N$4:$N$353,0),0))),"")</f>
        <v/>
      </c>
      <c r="I211" s="64" t="str">
        <f>IFERROR(IF(IFERROR(MATCH(207,'كشف الحساب'!$N$4:$N$353,0),0)=0,"",INDEX('كشف الحساب'!$I$4:$I$353,IFERROR(MATCH(207,'كشف الحساب'!$N$4:$N$353,0),0))),"")</f>
        <v/>
      </c>
      <c r="J211" s="68" t="str">
        <f>IFERROR(IF(IFERROR(MATCH(207,'كشف الحساب'!$N$4:$N$353,0),0)=0,"",INDEX('كشف الحساب'!$J$4:$J$353,IFERROR(MATCH(207,'كشف الحساب'!$N$4:$N$353,0),0))),"")</f>
        <v/>
      </c>
      <c r="K211" s="64" t="str">
        <f>IFERROR(IF(IFERROR(MATCH(207,'كشف الحساب'!$N$4:$N$353,0),0)=0,"",INDEX('كشف الحساب'!$K$4:$K$353,IFERROR(MATCH(207,'كشف الحساب'!$N$4:$N$353,0),0))),"")</f>
        <v/>
      </c>
    </row>
    <row r="212" spans="1:11" ht="15" customHeight="1" x14ac:dyDescent="0.25">
      <c r="A212" s="69" t="str">
        <f>IFERROR(IF(IFERROR(MATCH(208,'كشف الحساب'!$N$4:$N$353,0),0)=0,"",INDEX('كشف الحساب'!$A$4:$A$353,IFERROR(MATCH(208,'كشف الحساب'!$N$4:$N$353,0),0))),"")</f>
        <v/>
      </c>
      <c r="B212" s="70" t="str">
        <f>IFERROR(IF(IFERROR(MATCH(208,'كشف الحساب'!$N$4:$N$353,0),0)=0,"",INDEX('كشف الحساب'!$B$4:$B$353,IFERROR(MATCH(208,'كشف الحساب'!$N$4:$N$353,0),0))),"")</f>
        <v/>
      </c>
      <c r="C212" s="71" t="str">
        <f>IFERROR(IF(IFERROR(MATCH(208,'كشف الحساب'!$N$4:$N$353,0),0)=0,"",INDEX('كشف الحساب'!$C$4:$C$353,IFERROR(MATCH(208,'كشف الحساب'!$N$4:$N$353,0),0))),"")</f>
        <v/>
      </c>
      <c r="D212" s="72" t="str">
        <f>IFERROR(IF(IFERROR(MATCH(208,'كشف الحساب'!$N$4:$N$353,0),0)=0,"",INDEX('كشف الحساب'!$D$4:$D$353,IFERROR(MATCH(208,'كشف الحساب'!$N$4:$N$353,0),0))),"")</f>
        <v/>
      </c>
      <c r="E212" s="73" t="str">
        <f>IFERROR(IF(IFERROR(MATCH(208,'كشف الحساب'!$N$4:$N$353,0),0)=0,"",INDEX('كشف الحساب'!$E$4:$E$353,IFERROR(MATCH(208,'كشف الحساب'!$N$4:$N$353,0),0))),"")</f>
        <v/>
      </c>
      <c r="F212" s="70" t="str">
        <f>IFERROR(IF(IFERROR(MATCH(208,'كشف الحساب'!$N$4:$N$353,0),0)=0,"",INDEX('كشف الحساب'!$F$4:$F$353,IFERROR(MATCH(208,'كشف الحساب'!$N$4:$N$353,0),0))),"")</f>
        <v/>
      </c>
      <c r="G212" s="70" t="str">
        <f>IFERROR(IF(IFERROR(MATCH(208,'كشف الحساب'!$N$4:$N$353,0),0)=0,"",INDEX('كشف الحساب'!$G$4:$G$353,IFERROR(MATCH(208,'كشف الحساب'!$N$4:$N$353,0),0))),"")</f>
        <v/>
      </c>
      <c r="H212" s="70" t="str">
        <f>IFERROR(IF(IFERROR(MATCH(208,'كشف الحساب'!$N$4:$N$353,0),0)=0,"",INDEX('كشف الحساب'!$H$4:$H$353,IFERROR(MATCH(208,'كشف الحساب'!$N$4:$N$353,0),0))),"")</f>
        <v/>
      </c>
      <c r="I212" s="70" t="str">
        <f>IFERROR(IF(IFERROR(MATCH(208,'كشف الحساب'!$N$4:$N$353,0),0)=0,"",INDEX('كشف الحساب'!$I$4:$I$353,IFERROR(MATCH(208,'كشف الحساب'!$N$4:$N$353,0),0))),"")</f>
        <v/>
      </c>
      <c r="J212" s="74" t="str">
        <f>IFERROR(IF(IFERROR(MATCH(208,'كشف الحساب'!$N$4:$N$353,0),0)=0,"",INDEX('كشف الحساب'!$J$4:$J$353,IFERROR(MATCH(208,'كشف الحساب'!$N$4:$N$353,0),0))),"")</f>
        <v/>
      </c>
      <c r="K212" s="70" t="str">
        <f>IFERROR(IF(IFERROR(MATCH(208,'كشف الحساب'!$N$4:$N$353,0),0)=0,"",INDEX('كشف الحساب'!$K$4:$K$353,IFERROR(MATCH(208,'كشف الحساب'!$N$4:$N$353,0),0))),"")</f>
        <v/>
      </c>
    </row>
    <row r="213" spans="1:11" ht="15" customHeight="1" x14ac:dyDescent="0.25">
      <c r="A213" s="63" t="str">
        <f>IFERROR(IF(IFERROR(MATCH(209,'كشف الحساب'!$N$4:$N$353,0),0)=0,"",INDEX('كشف الحساب'!$A$4:$A$353,IFERROR(MATCH(209,'كشف الحساب'!$N$4:$N$353,0),0))),"")</f>
        <v/>
      </c>
      <c r="B213" s="64" t="str">
        <f>IFERROR(IF(IFERROR(MATCH(209,'كشف الحساب'!$N$4:$N$353,0),0)=0,"",INDEX('كشف الحساب'!$B$4:$B$353,IFERROR(MATCH(209,'كشف الحساب'!$N$4:$N$353,0),0))),"")</f>
        <v/>
      </c>
      <c r="C213" s="65" t="str">
        <f>IFERROR(IF(IFERROR(MATCH(209,'كشف الحساب'!$N$4:$N$353,0),0)=0,"",INDEX('كشف الحساب'!$C$4:$C$353,IFERROR(MATCH(209,'كشف الحساب'!$N$4:$N$353,0),0))),"")</f>
        <v/>
      </c>
      <c r="D213" s="66" t="str">
        <f>IFERROR(IF(IFERROR(MATCH(209,'كشف الحساب'!$N$4:$N$353,0),0)=0,"",INDEX('كشف الحساب'!$D$4:$D$353,IFERROR(MATCH(209,'كشف الحساب'!$N$4:$N$353,0),0))),"")</f>
        <v/>
      </c>
      <c r="E213" s="67" t="str">
        <f>IFERROR(IF(IFERROR(MATCH(209,'كشف الحساب'!$N$4:$N$353,0),0)=0,"",INDEX('كشف الحساب'!$E$4:$E$353,IFERROR(MATCH(209,'كشف الحساب'!$N$4:$N$353,0),0))),"")</f>
        <v/>
      </c>
      <c r="F213" s="64" t="str">
        <f>IFERROR(IF(IFERROR(MATCH(209,'كشف الحساب'!$N$4:$N$353,0),0)=0,"",INDEX('كشف الحساب'!$F$4:$F$353,IFERROR(MATCH(209,'كشف الحساب'!$N$4:$N$353,0),0))),"")</f>
        <v/>
      </c>
      <c r="G213" s="64" t="str">
        <f>IFERROR(IF(IFERROR(MATCH(209,'كشف الحساب'!$N$4:$N$353,0),0)=0,"",INDEX('كشف الحساب'!$G$4:$G$353,IFERROR(MATCH(209,'كشف الحساب'!$N$4:$N$353,0),0))),"")</f>
        <v/>
      </c>
      <c r="H213" s="64" t="str">
        <f>IFERROR(IF(IFERROR(MATCH(209,'كشف الحساب'!$N$4:$N$353,0),0)=0,"",INDEX('كشف الحساب'!$H$4:$H$353,IFERROR(MATCH(209,'كشف الحساب'!$N$4:$N$353,0),0))),"")</f>
        <v/>
      </c>
      <c r="I213" s="64" t="str">
        <f>IFERROR(IF(IFERROR(MATCH(209,'كشف الحساب'!$N$4:$N$353,0),0)=0,"",INDEX('كشف الحساب'!$I$4:$I$353,IFERROR(MATCH(209,'كشف الحساب'!$N$4:$N$353,0),0))),"")</f>
        <v/>
      </c>
      <c r="J213" s="68" t="str">
        <f>IFERROR(IF(IFERROR(MATCH(209,'كشف الحساب'!$N$4:$N$353,0),0)=0,"",INDEX('كشف الحساب'!$J$4:$J$353,IFERROR(MATCH(209,'كشف الحساب'!$N$4:$N$353,0),0))),"")</f>
        <v/>
      </c>
      <c r="K213" s="64" t="str">
        <f>IFERROR(IF(IFERROR(MATCH(209,'كشف الحساب'!$N$4:$N$353,0),0)=0,"",INDEX('كشف الحساب'!$K$4:$K$353,IFERROR(MATCH(209,'كشف الحساب'!$N$4:$N$353,0),0))),"")</f>
        <v/>
      </c>
    </row>
    <row r="214" spans="1:11" ht="15" customHeight="1" x14ac:dyDescent="0.25">
      <c r="A214" s="69" t="str">
        <f>IFERROR(IF(IFERROR(MATCH(210,'كشف الحساب'!$N$4:$N$353,0),0)=0,"",INDEX('كشف الحساب'!$A$4:$A$353,IFERROR(MATCH(210,'كشف الحساب'!$N$4:$N$353,0),0))),"")</f>
        <v/>
      </c>
      <c r="B214" s="70" t="str">
        <f>IFERROR(IF(IFERROR(MATCH(210,'كشف الحساب'!$N$4:$N$353,0),0)=0,"",INDEX('كشف الحساب'!$B$4:$B$353,IFERROR(MATCH(210,'كشف الحساب'!$N$4:$N$353,0),0))),"")</f>
        <v/>
      </c>
      <c r="C214" s="71" t="str">
        <f>IFERROR(IF(IFERROR(MATCH(210,'كشف الحساب'!$N$4:$N$353,0),0)=0,"",INDEX('كشف الحساب'!$C$4:$C$353,IFERROR(MATCH(210,'كشف الحساب'!$N$4:$N$353,0),0))),"")</f>
        <v/>
      </c>
      <c r="D214" s="72" t="str">
        <f>IFERROR(IF(IFERROR(MATCH(210,'كشف الحساب'!$N$4:$N$353,0),0)=0,"",INDEX('كشف الحساب'!$D$4:$D$353,IFERROR(MATCH(210,'كشف الحساب'!$N$4:$N$353,0),0))),"")</f>
        <v/>
      </c>
      <c r="E214" s="73" t="str">
        <f>IFERROR(IF(IFERROR(MATCH(210,'كشف الحساب'!$N$4:$N$353,0),0)=0,"",INDEX('كشف الحساب'!$E$4:$E$353,IFERROR(MATCH(210,'كشف الحساب'!$N$4:$N$353,0),0))),"")</f>
        <v/>
      </c>
      <c r="F214" s="70" t="str">
        <f>IFERROR(IF(IFERROR(MATCH(210,'كشف الحساب'!$N$4:$N$353,0),0)=0,"",INDEX('كشف الحساب'!$F$4:$F$353,IFERROR(MATCH(210,'كشف الحساب'!$N$4:$N$353,0),0))),"")</f>
        <v/>
      </c>
      <c r="G214" s="70" t="str">
        <f>IFERROR(IF(IFERROR(MATCH(210,'كشف الحساب'!$N$4:$N$353,0),0)=0,"",INDEX('كشف الحساب'!$G$4:$G$353,IFERROR(MATCH(210,'كشف الحساب'!$N$4:$N$353,0),0))),"")</f>
        <v/>
      </c>
      <c r="H214" s="70" t="str">
        <f>IFERROR(IF(IFERROR(MATCH(210,'كشف الحساب'!$N$4:$N$353,0),0)=0,"",INDEX('كشف الحساب'!$H$4:$H$353,IFERROR(MATCH(210,'كشف الحساب'!$N$4:$N$353,0),0))),"")</f>
        <v/>
      </c>
      <c r="I214" s="70" t="str">
        <f>IFERROR(IF(IFERROR(MATCH(210,'كشف الحساب'!$N$4:$N$353,0),0)=0,"",INDEX('كشف الحساب'!$I$4:$I$353,IFERROR(MATCH(210,'كشف الحساب'!$N$4:$N$353,0),0))),"")</f>
        <v/>
      </c>
      <c r="J214" s="74" t="str">
        <f>IFERROR(IF(IFERROR(MATCH(210,'كشف الحساب'!$N$4:$N$353,0),0)=0,"",INDEX('كشف الحساب'!$J$4:$J$353,IFERROR(MATCH(210,'كشف الحساب'!$N$4:$N$353,0),0))),"")</f>
        <v/>
      </c>
      <c r="K214" s="70" t="str">
        <f>IFERROR(IF(IFERROR(MATCH(210,'كشف الحساب'!$N$4:$N$353,0),0)=0,"",INDEX('كشف الحساب'!$K$4:$K$353,IFERROR(MATCH(210,'كشف الحساب'!$N$4:$N$353,0),0))),"")</f>
        <v/>
      </c>
    </row>
    <row r="215" spans="1:11" ht="15" customHeight="1" x14ac:dyDescent="0.25">
      <c r="A215" s="63" t="str">
        <f>IFERROR(IF(IFERROR(MATCH(211,'كشف الحساب'!$N$4:$N$353,0),0)=0,"",INDEX('كشف الحساب'!$A$4:$A$353,IFERROR(MATCH(211,'كشف الحساب'!$N$4:$N$353,0),0))),"")</f>
        <v/>
      </c>
      <c r="B215" s="64" t="str">
        <f>IFERROR(IF(IFERROR(MATCH(211,'كشف الحساب'!$N$4:$N$353,0),0)=0,"",INDEX('كشف الحساب'!$B$4:$B$353,IFERROR(MATCH(211,'كشف الحساب'!$N$4:$N$353,0),0))),"")</f>
        <v/>
      </c>
      <c r="C215" s="65" t="str">
        <f>IFERROR(IF(IFERROR(MATCH(211,'كشف الحساب'!$N$4:$N$353,0),0)=0,"",INDEX('كشف الحساب'!$C$4:$C$353,IFERROR(MATCH(211,'كشف الحساب'!$N$4:$N$353,0),0))),"")</f>
        <v/>
      </c>
      <c r="D215" s="66" t="str">
        <f>IFERROR(IF(IFERROR(MATCH(211,'كشف الحساب'!$N$4:$N$353,0),0)=0,"",INDEX('كشف الحساب'!$D$4:$D$353,IFERROR(MATCH(211,'كشف الحساب'!$N$4:$N$353,0),0))),"")</f>
        <v/>
      </c>
      <c r="E215" s="67" t="str">
        <f>IFERROR(IF(IFERROR(MATCH(211,'كشف الحساب'!$N$4:$N$353,0),0)=0,"",INDEX('كشف الحساب'!$E$4:$E$353,IFERROR(MATCH(211,'كشف الحساب'!$N$4:$N$353,0),0))),"")</f>
        <v/>
      </c>
      <c r="F215" s="64" t="str">
        <f>IFERROR(IF(IFERROR(MATCH(211,'كشف الحساب'!$N$4:$N$353,0),0)=0,"",INDEX('كشف الحساب'!$F$4:$F$353,IFERROR(MATCH(211,'كشف الحساب'!$N$4:$N$353,0),0))),"")</f>
        <v/>
      </c>
      <c r="G215" s="64" t="str">
        <f>IFERROR(IF(IFERROR(MATCH(211,'كشف الحساب'!$N$4:$N$353,0),0)=0,"",INDEX('كشف الحساب'!$G$4:$G$353,IFERROR(MATCH(211,'كشف الحساب'!$N$4:$N$353,0),0))),"")</f>
        <v/>
      </c>
      <c r="H215" s="64" t="str">
        <f>IFERROR(IF(IFERROR(MATCH(211,'كشف الحساب'!$N$4:$N$353,0),0)=0,"",INDEX('كشف الحساب'!$H$4:$H$353,IFERROR(MATCH(211,'كشف الحساب'!$N$4:$N$353,0),0))),"")</f>
        <v/>
      </c>
      <c r="I215" s="64" t="str">
        <f>IFERROR(IF(IFERROR(MATCH(211,'كشف الحساب'!$N$4:$N$353,0),0)=0,"",INDEX('كشف الحساب'!$I$4:$I$353,IFERROR(MATCH(211,'كشف الحساب'!$N$4:$N$353,0),0))),"")</f>
        <v/>
      </c>
      <c r="J215" s="68" t="str">
        <f>IFERROR(IF(IFERROR(MATCH(211,'كشف الحساب'!$N$4:$N$353,0),0)=0,"",INDEX('كشف الحساب'!$J$4:$J$353,IFERROR(MATCH(211,'كشف الحساب'!$N$4:$N$353,0),0))),"")</f>
        <v/>
      </c>
      <c r="K215" s="64" t="str">
        <f>IFERROR(IF(IFERROR(MATCH(211,'كشف الحساب'!$N$4:$N$353,0),0)=0,"",INDEX('كشف الحساب'!$K$4:$K$353,IFERROR(MATCH(211,'كشف الحساب'!$N$4:$N$353,0),0))),"")</f>
        <v/>
      </c>
    </row>
    <row r="216" spans="1:11" ht="15" customHeight="1" x14ac:dyDescent="0.25">
      <c r="A216" s="69" t="str">
        <f>IFERROR(IF(IFERROR(MATCH(212,'كشف الحساب'!$N$4:$N$353,0),0)=0,"",INDEX('كشف الحساب'!$A$4:$A$353,IFERROR(MATCH(212,'كشف الحساب'!$N$4:$N$353,0),0))),"")</f>
        <v/>
      </c>
      <c r="B216" s="70" t="str">
        <f>IFERROR(IF(IFERROR(MATCH(212,'كشف الحساب'!$N$4:$N$353,0),0)=0,"",INDEX('كشف الحساب'!$B$4:$B$353,IFERROR(MATCH(212,'كشف الحساب'!$N$4:$N$353,0),0))),"")</f>
        <v/>
      </c>
      <c r="C216" s="71" t="str">
        <f>IFERROR(IF(IFERROR(MATCH(212,'كشف الحساب'!$N$4:$N$353,0),0)=0,"",INDEX('كشف الحساب'!$C$4:$C$353,IFERROR(MATCH(212,'كشف الحساب'!$N$4:$N$353,0),0))),"")</f>
        <v/>
      </c>
      <c r="D216" s="72" t="str">
        <f>IFERROR(IF(IFERROR(MATCH(212,'كشف الحساب'!$N$4:$N$353,0),0)=0,"",INDEX('كشف الحساب'!$D$4:$D$353,IFERROR(MATCH(212,'كشف الحساب'!$N$4:$N$353,0),0))),"")</f>
        <v/>
      </c>
      <c r="E216" s="73" t="str">
        <f>IFERROR(IF(IFERROR(MATCH(212,'كشف الحساب'!$N$4:$N$353,0),0)=0,"",INDEX('كشف الحساب'!$E$4:$E$353,IFERROR(MATCH(212,'كشف الحساب'!$N$4:$N$353,0),0))),"")</f>
        <v/>
      </c>
      <c r="F216" s="70" t="str">
        <f>IFERROR(IF(IFERROR(MATCH(212,'كشف الحساب'!$N$4:$N$353,0),0)=0,"",INDEX('كشف الحساب'!$F$4:$F$353,IFERROR(MATCH(212,'كشف الحساب'!$N$4:$N$353,0),0))),"")</f>
        <v/>
      </c>
      <c r="G216" s="70" t="str">
        <f>IFERROR(IF(IFERROR(MATCH(212,'كشف الحساب'!$N$4:$N$353,0),0)=0,"",INDEX('كشف الحساب'!$G$4:$G$353,IFERROR(MATCH(212,'كشف الحساب'!$N$4:$N$353,0),0))),"")</f>
        <v/>
      </c>
      <c r="H216" s="70" t="str">
        <f>IFERROR(IF(IFERROR(MATCH(212,'كشف الحساب'!$N$4:$N$353,0),0)=0,"",INDEX('كشف الحساب'!$H$4:$H$353,IFERROR(MATCH(212,'كشف الحساب'!$N$4:$N$353,0),0))),"")</f>
        <v/>
      </c>
      <c r="I216" s="70" t="str">
        <f>IFERROR(IF(IFERROR(MATCH(212,'كشف الحساب'!$N$4:$N$353,0),0)=0,"",INDEX('كشف الحساب'!$I$4:$I$353,IFERROR(MATCH(212,'كشف الحساب'!$N$4:$N$353,0),0))),"")</f>
        <v/>
      </c>
      <c r="J216" s="74" t="str">
        <f>IFERROR(IF(IFERROR(MATCH(212,'كشف الحساب'!$N$4:$N$353,0),0)=0,"",INDEX('كشف الحساب'!$J$4:$J$353,IFERROR(MATCH(212,'كشف الحساب'!$N$4:$N$353,0),0))),"")</f>
        <v/>
      </c>
      <c r="K216" s="70" t="str">
        <f>IFERROR(IF(IFERROR(MATCH(212,'كشف الحساب'!$N$4:$N$353,0),0)=0,"",INDEX('كشف الحساب'!$K$4:$K$353,IFERROR(MATCH(212,'كشف الحساب'!$N$4:$N$353,0),0))),"")</f>
        <v/>
      </c>
    </row>
    <row r="217" spans="1:11" ht="15" customHeight="1" x14ac:dyDescent="0.25">
      <c r="A217" s="63" t="str">
        <f>IFERROR(IF(IFERROR(MATCH(213,'كشف الحساب'!$N$4:$N$353,0),0)=0,"",INDEX('كشف الحساب'!$A$4:$A$353,IFERROR(MATCH(213,'كشف الحساب'!$N$4:$N$353,0),0))),"")</f>
        <v/>
      </c>
      <c r="B217" s="64" t="str">
        <f>IFERROR(IF(IFERROR(MATCH(213,'كشف الحساب'!$N$4:$N$353,0),0)=0,"",INDEX('كشف الحساب'!$B$4:$B$353,IFERROR(MATCH(213,'كشف الحساب'!$N$4:$N$353,0),0))),"")</f>
        <v/>
      </c>
      <c r="C217" s="65" t="str">
        <f>IFERROR(IF(IFERROR(MATCH(213,'كشف الحساب'!$N$4:$N$353,0),0)=0,"",INDEX('كشف الحساب'!$C$4:$C$353,IFERROR(MATCH(213,'كشف الحساب'!$N$4:$N$353,0),0))),"")</f>
        <v/>
      </c>
      <c r="D217" s="66" t="str">
        <f>IFERROR(IF(IFERROR(MATCH(213,'كشف الحساب'!$N$4:$N$353,0),0)=0,"",INDEX('كشف الحساب'!$D$4:$D$353,IFERROR(MATCH(213,'كشف الحساب'!$N$4:$N$353,0),0))),"")</f>
        <v/>
      </c>
      <c r="E217" s="67" t="str">
        <f>IFERROR(IF(IFERROR(MATCH(213,'كشف الحساب'!$N$4:$N$353,0),0)=0,"",INDEX('كشف الحساب'!$E$4:$E$353,IFERROR(MATCH(213,'كشف الحساب'!$N$4:$N$353,0),0))),"")</f>
        <v/>
      </c>
      <c r="F217" s="64" t="str">
        <f>IFERROR(IF(IFERROR(MATCH(213,'كشف الحساب'!$N$4:$N$353,0),0)=0,"",INDEX('كشف الحساب'!$F$4:$F$353,IFERROR(MATCH(213,'كشف الحساب'!$N$4:$N$353,0),0))),"")</f>
        <v/>
      </c>
      <c r="G217" s="64" t="str">
        <f>IFERROR(IF(IFERROR(MATCH(213,'كشف الحساب'!$N$4:$N$353,0),0)=0,"",INDEX('كشف الحساب'!$G$4:$G$353,IFERROR(MATCH(213,'كشف الحساب'!$N$4:$N$353,0),0))),"")</f>
        <v/>
      </c>
      <c r="H217" s="64" t="str">
        <f>IFERROR(IF(IFERROR(MATCH(213,'كشف الحساب'!$N$4:$N$353,0),0)=0,"",INDEX('كشف الحساب'!$H$4:$H$353,IFERROR(MATCH(213,'كشف الحساب'!$N$4:$N$353,0),0))),"")</f>
        <v/>
      </c>
      <c r="I217" s="64" t="str">
        <f>IFERROR(IF(IFERROR(MATCH(213,'كشف الحساب'!$N$4:$N$353,0),0)=0,"",INDEX('كشف الحساب'!$I$4:$I$353,IFERROR(MATCH(213,'كشف الحساب'!$N$4:$N$353,0),0))),"")</f>
        <v/>
      </c>
      <c r="J217" s="68" t="str">
        <f>IFERROR(IF(IFERROR(MATCH(213,'كشف الحساب'!$N$4:$N$353,0),0)=0,"",INDEX('كشف الحساب'!$J$4:$J$353,IFERROR(MATCH(213,'كشف الحساب'!$N$4:$N$353,0),0))),"")</f>
        <v/>
      </c>
      <c r="K217" s="64" t="str">
        <f>IFERROR(IF(IFERROR(MATCH(213,'كشف الحساب'!$N$4:$N$353,0),0)=0,"",INDEX('كشف الحساب'!$K$4:$K$353,IFERROR(MATCH(213,'كشف الحساب'!$N$4:$N$353,0),0))),"")</f>
        <v/>
      </c>
    </row>
    <row r="218" spans="1:11" ht="15" customHeight="1" x14ac:dyDescent="0.25">
      <c r="A218" s="69" t="str">
        <f>IFERROR(IF(IFERROR(MATCH(214,'كشف الحساب'!$N$4:$N$353,0),0)=0,"",INDEX('كشف الحساب'!$A$4:$A$353,IFERROR(MATCH(214,'كشف الحساب'!$N$4:$N$353,0),0))),"")</f>
        <v/>
      </c>
      <c r="B218" s="70" t="str">
        <f>IFERROR(IF(IFERROR(MATCH(214,'كشف الحساب'!$N$4:$N$353,0),0)=0,"",INDEX('كشف الحساب'!$B$4:$B$353,IFERROR(MATCH(214,'كشف الحساب'!$N$4:$N$353,0),0))),"")</f>
        <v/>
      </c>
      <c r="C218" s="71" t="str">
        <f>IFERROR(IF(IFERROR(MATCH(214,'كشف الحساب'!$N$4:$N$353,0),0)=0,"",INDEX('كشف الحساب'!$C$4:$C$353,IFERROR(MATCH(214,'كشف الحساب'!$N$4:$N$353,0),0))),"")</f>
        <v/>
      </c>
      <c r="D218" s="72" t="str">
        <f>IFERROR(IF(IFERROR(MATCH(214,'كشف الحساب'!$N$4:$N$353,0),0)=0,"",INDEX('كشف الحساب'!$D$4:$D$353,IFERROR(MATCH(214,'كشف الحساب'!$N$4:$N$353,0),0))),"")</f>
        <v/>
      </c>
      <c r="E218" s="73" t="str">
        <f>IFERROR(IF(IFERROR(MATCH(214,'كشف الحساب'!$N$4:$N$353,0),0)=0,"",INDEX('كشف الحساب'!$E$4:$E$353,IFERROR(MATCH(214,'كشف الحساب'!$N$4:$N$353,0),0))),"")</f>
        <v/>
      </c>
      <c r="F218" s="70" t="str">
        <f>IFERROR(IF(IFERROR(MATCH(214,'كشف الحساب'!$N$4:$N$353,0),0)=0,"",INDEX('كشف الحساب'!$F$4:$F$353,IFERROR(MATCH(214,'كشف الحساب'!$N$4:$N$353,0),0))),"")</f>
        <v/>
      </c>
      <c r="G218" s="70" t="str">
        <f>IFERROR(IF(IFERROR(MATCH(214,'كشف الحساب'!$N$4:$N$353,0),0)=0,"",INDEX('كشف الحساب'!$G$4:$G$353,IFERROR(MATCH(214,'كشف الحساب'!$N$4:$N$353,0),0))),"")</f>
        <v/>
      </c>
      <c r="H218" s="70" t="str">
        <f>IFERROR(IF(IFERROR(MATCH(214,'كشف الحساب'!$N$4:$N$353,0),0)=0,"",INDEX('كشف الحساب'!$H$4:$H$353,IFERROR(MATCH(214,'كشف الحساب'!$N$4:$N$353,0),0))),"")</f>
        <v/>
      </c>
      <c r="I218" s="70" t="str">
        <f>IFERROR(IF(IFERROR(MATCH(214,'كشف الحساب'!$N$4:$N$353,0),0)=0,"",INDEX('كشف الحساب'!$I$4:$I$353,IFERROR(MATCH(214,'كشف الحساب'!$N$4:$N$353,0),0))),"")</f>
        <v/>
      </c>
      <c r="J218" s="74" t="str">
        <f>IFERROR(IF(IFERROR(MATCH(214,'كشف الحساب'!$N$4:$N$353,0),0)=0,"",INDEX('كشف الحساب'!$J$4:$J$353,IFERROR(MATCH(214,'كشف الحساب'!$N$4:$N$353,0),0))),"")</f>
        <v/>
      </c>
      <c r="K218" s="70" t="str">
        <f>IFERROR(IF(IFERROR(MATCH(214,'كشف الحساب'!$N$4:$N$353,0),0)=0,"",INDEX('كشف الحساب'!$K$4:$K$353,IFERROR(MATCH(214,'كشف الحساب'!$N$4:$N$353,0),0))),"")</f>
        <v/>
      </c>
    </row>
    <row r="219" spans="1:11" ht="15" customHeight="1" x14ac:dyDescent="0.25">
      <c r="A219" s="63" t="str">
        <f>IFERROR(IF(IFERROR(MATCH(215,'كشف الحساب'!$N$4:$N$353,0),0)=0,"",INDEX('كشف الحساب'!$A$4:$A$353,IFERROR(MATCH(215,'كشف الحساب'!$N$4:$N$353,0),0))),"")</f>
        <v/>
      </c>
      <c r="B219" s="64" t="str">
        <f>IFERROR(IF(IFERROR(MATCH(215,'كشف الحساب'!$N$4:$N$353,0),0)=0,"",INDEX('كشف الحساب'!$B$4:$B$353,IFERROR(MATCH(215,'كشف الحساب'!$N$4:$N$353,0),0))),"")</f>
        <v/>
      </c>
      <c r="C219" s="65" t="str">
        <f>IFERROR(IF(IFERROR(MATCH(215,'كشف الحساب'!$N$4:$N$353,0),0)=0,"",INDEX('كشف الحساب'!$C$4:$C$353,IFERROR(MATCH(215,'كشف الحساب'!$N$4:$N$353,0),0))),"")</f>
        <v/>
      </c>
      <c r="D219" s="66" t="str">
        <f>IFERROR(IF(IFERROR(MATCH(215,'كشف الحساب'!$N$4:$N$353,0),0)=0,"",INDEX('كشف الحساب'!$D$4:$D$353,IFERROR(MATCH(215,'كشف الحساب'!$N$4:$N$353,0),0))),"")</f>
        <v/>
      </c>
      <c r="E219" s="67" t="str">
        <f>IFERROR(IF(IFERROR(MATCH(215,'كشف الحساب'!$N$4:$N$353,0),0)=0,"",INDEX('كشف الحساب'!$E$4:$E$353,IFERROR(MATCH(215,'كشف الحساب'!$N$4:$N$353,0),0))),"")</f>
        <v/>
      </c>
      <c r="F219" s="64" t="str">
        <f>IFERROR(IF(IFERROR(MATCH(215,'كشف الحساب'!$N$4:$N$353,0),0)=0,"",INDEX('كشف الحساب'!$F$4:$F$353,IFERROR(MATCH(215,'كشف الحساب'!$N$4:$N$353,0),0))),"")</f>
        <v/>
      </c>
      <c r="G219" s="64" t="str">
        <f>IFERROR(IF(IFERROR(MATCH(215,'كشف الحساب'!$N$4:$N$353,0),0)=0,"",INDEX('كشف الحساب'!$G$4:$G$353,IFERROR(MATCH(215,'كشف الحساب'!$N$4:$N$353,0),0))),"")</f>
        <v/>
      </c>
      <c r="H219" s="64" t="str">
        <f>IFERROR(IF(IFERROR(MATCH(215,'كشف الحساب'!$N$4:$N$353,0),0)=0,"",INDEX('كشف الحساب'!$H$4:$H$353,IFERROR(MATCH(215,'كشف الحساب'!$N$4:$N$353,0),0))),"")</f>
        <v/>
      </c>
      <c r="I219" s="64" t="str">
        <f>IFERROR(IF(IFERROR(MATCH(215,'كشف الحساب'!$N$4:$N$353,0),0)=0,"",INDEX('كشف الحساب'!$I$4:$I$353,IFERROR(MATCH(215,'كشف الحساب'!$N$4:$N$353,0),0))),"")</f>
        <v/>
      </c>
      <c r="J219" s="68" t="str">
        <f>IFERROR(IF(IFERROR(MATCH(215,'كشف الحساب'!$N$4:$N$353,0),0)=0,"",INDEX('كشف الحساب'!$J$4:$J$353,IFERROR(MATCH(215,'كشف الحساب'!$N$4:$N$353,0),0))),"")</f>
        <v/>
      </c>
      <c r="K219" s="64" t="str">
        <f>IFERROR(IF(IFERROR(MATCH(215,'كشف الحساب'!$N$4:$N$353,0),0)=0,"",INDEX('كشف الحساب'!$K$4:$K$353,IFERROR(MATCH(215,'كشف الحساب'!$N$4:$N$353,0),0))),"")</f>
        <v/>
      </c>
    </row>
    <row r="220" spans="1:11" ht="15" customHeight="1" x14ac:dyDescent="0.25">
      <c r="A220" s="69" t="str">
        <f>IFERROR(IF(IFERROR(MATCH(216,'كشف الحساب'!$N$4:$N$353,0),0)=0,"",INDEX('كشف الحساب'!$A$4:$A$353,IFERROR(MATCH(216,'كشف الحساب'!$N$4:$N$353,0),0))),"")</f>
        <v/>
      </c>
      <c r="B220" s="70" t="str">
        <f>IFERROR(IF(IFERROR(MATCH(216,'كشف الحساب'!$N$4:$N$353,0),0)=0,"",INDEX('كشف الحساب'!$B$4:$B$353,IFERROR(MATCH(216,'كشف الحساب'!$N$4:$N$353,0),0))),"")</f>
        <v/>
      </c>
      <c r="C220" s="71" t="str">
        <f>IFERROR(IF(IFERROR(MATCH(216,'كشف الحساب'!$N$4:$N$353,0),0)=0,"",INDEX('كشف الحساب'!$C$4:$C$353,IFERROR(MATCH(216,'كشف الحساب'!$N$4:$N$353,0),0))),"")</f>
        <v/>
      </c>
      <c r="D220" s="72" t="str">
        <f>IFERROR(IF(IFERROR(MATCH(216,'كشف الحساب'!$N$4:$N$353,0),0)=0,"",INDEX('كشف الحساب'!$D$4:$D$353,IFERROR(MATCH(216,'كشف الحساب'!$N$4:$N$353,0),0))),"")</f>
        <v/>
      </c>
      <c r="E220" s="73" t="str">
        <f>IFERROR(IF(IFERROR(MATCH(216,'كشف الحساب'!$N$4:$N$353,0),0)=0,"",INDEX('كشف الحساب'!$E$4:$E$353,IFERROR(MATCH(216,'كشف الحساب'!$N$4:$N$353,0),0))),"")</f>
        <v/>
      </c>
      <c r="F220" s="70" t="str">
        <f>IFERROR(IF(IFERROR(MATCH(216,'كشف الحساب'!$N$4:$N$353,0),0)=0,"",INDEX('كشف الحساب'!$F$4:$F$353,IFERROR(MATCH(216,'كشف الحساب'!$N$4:$N$353,0),0))),"")</f>
        <v/>
      </c>
      <c r="G220" s="70" t="str">
        <f>IFERROR(IF(IFERROR(MATCH(216,'كشف الحساب'!$N$4:$N$353,0),0)=0,"",INDEX('كشف الحساب'!$G$4:$G$353,IFERROR(MATCH(216,'كشف الحساب'!$N$4:$N$353,0),0))),"")</f>
        <v/>
      </c>
      <c r="H220" s="70" t="str">
        <f>IFERROR(IF(IFERROR(MATCH(216,'كشف الحساب'!$N$4:$N$353,0),0)=0,"",INDEX('كشف الحساب'!$H$4:$H$353,IFERROR(MATCH(216,'كشف الحساب'!$N$4:$N$353,0),0))),"")</f>
        <v/>
      </c>
      <c r="I220" s="70" t="str">
        <f>IFERROR(IF(IFERROR(MATCH(216,'كشف الحساب'!$N$4:$N$353,0),0)=0,"",INDEX('كشف الحساب'!$I$4:$I$353,IFERROR(MATCH(216,'كشف الحساب'!$N$4:$N$353,0),0))),"")</f>
        <v/>
      </c>
      <c r="J220" s="74" t="str">
        <f>IFERROR(IF(IFERROR(MATCH(216,'كشف الحساب'!$N$4:$N$353,0),0)=0,"",INDEX('كشف الحساب'!$J$4:$J$353,IFERROR(MATCH(216,'كشف الحساب'!$N$4:$N$353,0),0))),"")</f>
        <v/>
      </c>
      <c r="K220" s="70" t="str">
        <f>IFERROR(IF(IFERROR(MATCH(216,'كشف الحساب'!$N$4:$N$353,0),0)=0,"",INDEX('كشف الحساب'!$K$4:$K$353,IFERROR(MATCH(216,'كشف الحساب'!$N$4:$N$353,0),0))),"")</f>
        <v/>
      </c>
    </row>
    <row r="221" spans="1:11" ht="15" customHeight="1" x14ac:dyDescent="0.25">
      <c r="A221" s="63" t="str">
        <f>IFERROR(IF(IFERROR(MATCH(217,'كشف الحساب'!$N$4:$N$353,0),0)=0,"",INDEX('كشف الحساب'!$A$4:$A$353,IFERROR(MATCH(217,'كشف الحساب'!$N$4:$N$353,0),0))),"")</f>
        <v/>
      </c>
      <c r="B221" s="64" t="str">
        <f>IFERROR(IF(IFERROR(MATCH(217,'كشف الحساب'!$N$4:$N$353,0),0)=0,"",INDEX('كشف الحساب'!$B$4:$B$353,IFERROR(MATCH(217,'كشف الحساب'!$N$4:$N$353,0),0))),"")</f>
        <v/>
      </c>
      <c r="C221" s="65" t="str">
        <f>IFERROR(IF(IFERROR(MATCH(217,'كشف الحساب'!$N$4:$N$353,0),0)=0,"",INDEX('كشف الحساب'!$C$4:$C$353,IFERROR(MATCH(217,'كشف الحساب'!$N$4:$N$353,0),0))),"")</f>
        <v/>
      </c>
      <c r="D221" s="66" t="str">
        <f>IFERROR(IF(IFERROR(MATCH(217,'كشف الحساب'!$N$4:$N$353,0),0)=0,"",INDEX('كشف الحساب'!$D$4:$D$353,IFERROR(MATCH(217,'كشف الحساب'!$N$4:$N$353,0),0))),"")</f>
        <v/>
      </c>
      <c r="E221" s="67" t="str">
        <f>IFERROR(IF(IFERROR(MATCH(217,'كشف الحساب'!$N$4:$N$353,0),0)=0,"",INDEX('كشف الحساب'!$E$4:$E$353,IFERROR(MATCH(217,'كشف الحساب'!$N$4:$N$353,0),0))),"")</f>
        <v/>
      </c>
      <c r="F221" s="64" t="str">
        <f>IFERROR(IF(IFERROR(MATCH(217,'كشف الحساب'!$N$4:$N$353,0),0)=0,"",INDEX('كشف الحساب'!$F$4:$F$353,IFERROR(MATCH(217,'كشف الحساب'!$N$4:$N$353,0),0))),"")</f>
        <v/>
      </c>
      <c r="G221" s="64" t="str">
        <f>IFERROR(IF(IFERROR(MATCH(217,'كشف الحساب'!$N$4:$N$353,0),0)=0,"",INDEX('كشف الحساب'!$G$4:$G$353,IFERROR(MATCH(217,'كشف الحساب'!$N$4:$N$353,0),0))),"")</f>
        <v/>
      </c>
      <c r="H221" s="64" t="str">
        <f>IFERROR(IF(IFERROR(MATCH(217,'كشف الحساب'!$N$4:$N$353,0),0)=0,"",INDEX('كشف الحساب'!$H$4:$H$353,IFERROR(MATCH(217,'كشف الحساب'!$N$4:$N$353,0),0))),"")</f>
        <v/>
      </c>
      <c r="I221" s="64" t="str">
        <f>IFERROR(IF(IFERROR(MATCH(217,'كشف الحساب'!$N$4:$N$353,0),0)=0,"",INDEX('كشف الحساب'!$I$4:$I$353,IFERROR(MATCH(217,'كشف الحساب'!$N$4:$N$353,0),0))),"")</f>
        <v/>
      </c>
      <c r="J221" s="68" t="str">
        <f>IFERROR(IF(IFERROR(MATCH(217,'كشف الحساب'!$N$4:$N$353,0),0)=0,"",INDEX('كشف الحساب'!$J$4:$J$353,IFERROR(MATCH(217,'كشف الحساب'!$N$4:$N$353,0),0))),"")</f>
        <v/>
      </c>
      <c r="K221" s="64" t="str">
        <f>IFERROR(IF(IFERROR(MATCH(217,'كشف الحساب'!$N$4:$N$353,0),0)=0,"",INDEX('كشف الحساب'!$K$4:$K$353,IFERROR(MATCH(217,'كشف الحساب'!$N$4:$N$353,0),0))),"")</f>
        <v/>
      </c>
    </row>
    <row r="222" spans="1:11" ht="15" customHeight="1" x14ac:dyDescent="0.25">
      <c r="A222" s="69" t="str">
        <f>IFERROR(IF(IFERROR(MATCH(218,'كشف الحساب'!$N$4:$N$353,0),0)=0,"",INDEX('كشف الحساب'!$A$4:$A$353,IFERROR(MATCH(218,'كشف الحساب'!$N$4:$N$353,0),0))),"")</f>
        <v/>
      </c>
      <c r="B222" s="70" t="str">
        <f>IFERROR(IF(IFERROR(MATCH(218,'كشف الحساب'!$N$4:$N$353,0),0)=0,"",INDEX('كشف الحساب'!$B$4:$B$353,IFERROR(MATCH(218,'كشف الحساب'!$N$4:$N$353,0),0))),"")</f>
        <v/>
      </c>
      <c r="C222" s="71" t="str">
        <f>IFERROR(IF(IFERROR(MATCH(218,'كشف الحساب'!$N$4:$N$353,0),0)=0,"",INDEX('كشف الحساب'!$C$4:$C$353,IFERROR(MATCH(218,'كشف الحساب'!$N$4:$N$353,0),0))),"")</f>
        <v/>
      </c>
      <c r="D222" s="72" t="str">
        <f>IFERROR(IF(IFERROR(MATCH(218,'كشف الحساب'!$N$4:$N$353,0),0)=0,"",INDEX('كشف الحساب'!$D$4:$D$353,IFERROR(MATCH(218,'كشف الحساب'!$N$4:$N$353,0),0))),"")</f>
        <v/>
      </c>
      <c r="E222" s="73" t="str">
        <f>IFERROR(IF(IFERROR(MATCH(218,'كشف الحساب'!$N$4:$N$353,0),0)=0,"",INDEX('كشف الحساب'!$E$4:$E$353,IFERROR(MATCH(218,'كشف الحساب'!$N$4:$N$353,0),0))),"")</f>
        <v/>
      </c>
      <c r="F222" s="70" t="str">
        <f>IFERROR(IF(IFERROR(MATCH(218,'كشف الحساب'!$N$4:$N$353,0),0)=0,"",INDEX('كشف الحساب'!$F$4:$F$353,IFERROR(MATCH(218,'كشف الحساب'!$N$4:$N$353,0),0))),"")</f>
        <v/>
      </c>
      <c r="G222" s="70" t="str">
        <f>IFERROR(IF(IFERROR(MATCH(218,'كشف الحساب'!$N$4:$N$353,0),0)=0,"",INDEX('كشف الحساب'!$G$4:$G$353,IFERROR(MATCH(218,'كشف الحساب'!$N$4:$N$353,0),0))),"")</f>
        <v/>
      </c>
      <c r="H222" s="70" t="str">
        <f>IFERROR(IF(IFERROR(MATCH(218,'كشف الحساب'!$N$4:$N$353,0),0)=0,"",INDEX('كشف الحساب'!$H$4:$H$353,IFERROR(MATCH(218,'كشف الحساب'!$N$4:$N$353,0),0))),"")</f>
        <v/>
      </c>
      <c r="I222" s="70" t="str">
        <f>IFERROR(IF(IFERROR(MATCH(218,'كشف الحساب'!$N$4:$N$353,0),0)=0,"",INDEX('كشف الحساب'!$I$4:$I$353,IFERROR(MATCH(218,'كشف الحساب'!$N$4:$N$353,0),0))),"")</f>
        <v/>
      </c>
      <c r="J222" s="74" t="str">
        <f>IFERROR(IF(IFERROR(MATCH(218,'كشف الحساب'!$N$4:$N$353,0),0)=0,"",INDEX('كشف الحساب'!$J$4:$J$353,IFERROR(MATCH(218,'كشف الحساب'!$N$4:$N$353,0),0))),"")</f>
        <v/>
      </c>
      <c r="K222" s="70" t="str">
        <f>IFERROR(IF(IFERROR(MATCH(218,'كشف الحساب'!$N$4:$N$353,0),0)=0,"",INDEX('كشف الحساب'!$K$4:$K$353,IFERROR(MATCH(218,'كشف الحساب'!$N$4:$N$353,0),0))),"")</f>
        <v/>
      </c>
    </row>
    <row r="223" spans="1:11" ht="15" customHeight="1" x14ac:dyDescent="0.25">
      <c r="A223" s="63" t="str">
        <f>IFERROR(IF(IFERROR(MATCH(219,'كشف الحساب'!$N$4:$N$353,0),0)=0,"",INDEX('كشف الحساب'!$A$4:$A$353,IFERROR(MATCH(219,'كشف الحساب'!$N$4:$N$353,0),0))),"")</f>
        <v/>
      </c>
      <c r="B223" s="64" t="str">
        <f>IFERROR(IF(IFERROR(MATCH(219,'كشف الحساب'!$N$4:$N$353,0),0)=0,"",INDEX('كشف الحساب'!$B$4:$B$353,IFERROR(MATCH(219,'كشف الحساب'!$N$4:$N$353,0),0))),"")</f>
        <v/>
      </c>
      <c r="C223" s="65" t="str">
        <f>IFERROR(IF(IFERROR(MATCH(219,'كشف الحساب'!$N$4:$N$353,0),0)=0,"",INDEX('كشف الحساب'!$C$4:$C$353,IFERROR(MATCH(219,'كشف الحساب'!$N$4:$N$353,0),0))),"")</f>
        <v/>
      </c>
      <c r="D223" s="66" t="str">
        <f>IFERROR(IF(IFERROR(MATCH(219,'كشف الحساب'!$N$4:$N$353,0),0)=0,"",INDEX('كشف الحساب'!$D$4:$D$353,IFERROR(MATCH(219,'كشف الحساب'!$N$4:$N$353,0),0))),"")</f>
        <v/>
      </c>
      <c r="E223" s="67" t="str">
        <f>IFERROR(IF(IFERROR(MATCH(219,'كشف الحساب'!$N$4:$N$353,0),0)=0,"",INDEX('كشف الحساب'!$E$4:$E$353,IFERROR(MATCH(219,'كشف الحساب'!$N$4:$N$353,0),0))),"")</f>
        <v/>
      </c>
      <c r="F223" s="64" t="str">
        <f>IFERROR(IF(IFERROR(MATCH(219,'كشف الحساب'!$N$4:$N$353,0),0)=0,"",INDEX('كشف الحساب'!$F$4:$F$353,IFERROR(MATCH(219,'كشف الحساب'!$N$4:$N$353,0),0))),"")</f>
        <v/>
      </c>
      <c r="G223" s="64" t="str">
        <f>IFERROR(IF(IFERROR(MATCH(219,'كشف الحساب'!$N$4:$N$353,0),0)=0,"",INDEX('كشف الحساب'!$G$4:$G$353,IFERROR(MATCH(219,'كشف الحساب'!$N$4:$N$353,0),0))),"")</f>
        <v/>
      </c>
      <c r="H223" s="64" t="str">
        <f>IFERROR(IF(IFERROR(MATCH(219,'كشف الحساب'!$N$4:$N$353,0),0)=0,"",INDEX('كشف الحساب'!$H$4:$H$353,IFERROR(MATCH(219,'كشف الحساب'!$N$4:$N$353,0),0))),"")</f>
        <v/>
      </c>
      <c r="I223" s="64" t="str">
        <f>IFERROR(IF(IFERROR(MATCH(219,'كشف الحساب'!$N$4:$N$353,0),0)=0,"",INDEX('كشف الحساب'!$I$4:$I$353,IFERROR(MATCH(219,'كشف الحساب'!$N$4:$N$353,0),0))),"")</f>
        <v/>
      </c>
      <c r="J223" s="68" t="str">
        <f>IFERROR(IF(IFERROR(MATCH(219,'كشف الحساب'!$N$4:$N$353,0),0)=0,"",INDEX('كشف الحساب'!$J$4:$J$353,IFERROR(MATCH(219,'كشف الحساب'!$N$4:$N$353,0),0))),"")</f>
        <v/>
      </c>
      <c r="K223" s="64" t="str">
        <f>IFERROR(IF(IFERROR(MATCH(219,'كشف الحساب'!$N$4:$N$353,0),0)=0,"",INDEX('كشف الحساب'!$K$4:$K$353,IFERROR(MATCH(219,'كشف الحساب'!$N$4:$N$353,0),0))),"")</f>
        <v/>
      </c>
    </row>
    <row r="224" spans="1:11" ht="15" customHeight="1" x14ac:dyDescent="0.25">
      <c r="A224" s="69" t="str">
        <f>IFERROR(IF(IFERROR(MATCH(220,'كشف الحساب'!$N$4:$N$353,0),0)=0,"",INDEX('كشف الحساب'!$A$4:$A$353,IFERROR(MATCH(220,'كشف الحساب'!$N$4:$N$353,0),0))),"")</f>
        <v/>
      </c>
      <c r="B224" s="70" t="str">
        <f>IFERROR(IF(IFERROR(MATCH(220,'كشف الحساب'!$N$4:$N$353,0),0)=0,"",INDEX('كشف الحساب'!$B$4:$B$353,IFERROR(MATCH(220,'كشف الحساب'!$N$4:$N$353,0),0))),"")</f>
        <v/>
      </c>
      <c r="C224" s="71" t="str">
        <f>IFERROR(IF(IFERROR(MATCH(220,'كشف الحساب'!$N$4:$N$353,0),0)=0,"",INDEX('كشف الحساب'!$C$4:$C$353,IFERROR(MATCH(220,'كشف الحساب'!$N$4:$N$353,0),0))),"")</f>
        <v/>
      </c>
      <c r="D224" s="72" t="str">
        <f>IFERROR(IF(IFERROR(MATCH(220,'كشف الحساب'!$N$4:$N$353,0),0)=0,"",INDEX('كشف الحساب'!$D$4:$D$353,IFERROR(MATCH(220,'كشف الحساب'!$N$4:$N$353,0),0))),"")</f>
        <v/>
      </c>
      <c r="E224" s="73" t="str">
        <f>IFERROR(IF(IFERROR(MATCH(220,'كشف الحساب'!$N$4:$N$353,0),0)=0,"",INDEX('كشف الحساب'!$E$4:$E$353,IFERROR(MATCH(220,'كشف الحساب'!$N$4:$N$353,0),0))),"")</f>
        <v/>
      </c>
      <c r="F224" s="70" t="str">
        <f>IFERROR(IF(IFERROR(MATCH(220,'كشف الحساب'!$N$4:$N$353,0),0)=0,"",INDEX('كشف الحساب'!$F$4:$F$353,IFERROR(MATCH(220,'كشف الحساب'!$N$4:$N$353,0),0))),"")</f>
        <v/>
      </c>
      <c r="G224" s="70" t="str">
        <f>IFERROR(IF(IFERROR(MATCH(220,'كشف الحساب'!$N$4:$N$353,0),0)=0,"",INDEX('كشف الحساب'!$G$4:$G$353,IFERROR(MATCH(220,'كشف الحساب'!$N$4:$N$353,0),0))),"")</f>
        <v/>
      </c>
      <c r="H224" s="70" t="str">
        <f>IFERROR(IF(IFERROR(MATCH(220,'كشف الحساب'!$N$4:$N$353,0),0)=0,"",INDEX('كشف الحساب'!$H$4:$H$353,IFERROR(MATCH(220,'كشف الحساب'!$N$4:$N$353,0),0))),"")</f>
        <v/>
      </c>
      <c r="I224" s="70" t="str">
        <f>IFERROR(IF(IFERROR(MATCH(220,'كشف الحساب'!$N$4:$N$353,0),0)=0,"",INDEX('كشف الحساب'!$I$4:$I$353,IFERROR(MATCH(220,'كشف الحساب'!$N$4:$N$353,0),0))),"")</f>
        <v/>
      </c>
      <c r="J224" s="74" t="str">
        <f>IFERROR(IF(IFERROR(MATCH(220,'كشف الحساب'!$N$4:$N$353,0),0)=0,"",INDEX('كشف الحساب'!$J$4:$J$353,IFERROR(MATCH(220,'كشف الحساب'!$N$4:$N$353,0),0))),"")</f>
        <v/>
      </c>
      <c r="K224" s="70" t="str">
        <f>IFERROR(IF(IFERROR(MATCH(220,'كشف الحساب'!$N$4:$N$353,0),0)=0,"",INDEX('كشف الحساب'!$K$4:$K$353,IFERROR(MATCH(220,'كشف الحساب'!$N$4:$N$353,0),0))),"")</f>
        <v/>
      </c>
    </row>
    <row r="225" spans="1:11" ht="15" customHeight="1" x14ac:dyDescent="0.25">
      <c r="A225" s="63" t="str">
        <f>IFERROR(IF(IFERROR(MATCH(221,'كشف الحساب'!$N$4:$N$353,0),0)=0,"",INDEX('كشف الحساب'!$A$4:$A$353,IFERROR(MATCH(221,'كشف الحساب'!$N$4:$N$353,0),0))),"")</f>
        <v/>
      </c>
      <c r="B225" s="64" t="str">
        <f>IFERROR(IF(IFERROR(MATCH(221,'كشف الحساب'!$N$4:$N$353,0),0)=0,"",INDEX('كشف الحساب'!$B$4:$B$353,IFERROR(MATCH(221,'كشف الحساب'!$N$4:$N$353,0),0))),"")</f>
        <v/>
      </c>
      <c r="C225" s="65" t="str">
        <f>IFERROR(IF(IFERROR(MATCH(221,'كشف الحساب'!$N$4:$N$353,0),0)=0,"",INDEX('كشف الحساب'!$C$4:$C$353,IFERROR(MATCH(221,'كشف الحساب'!$N$4:$N$353,0),0))),"")</f>
        <v/>
      </c>
      <c r="D225" s="66" t="str">
        <f>IFERROR(IF(IFERROR(MATCH(221,'كشف الحساب'!$N$4:$N$353,0),0)=0,"",INDEX('كشف الحساب'!$D$4:$D$353,IFERROR(MATCH(221,'كشف الحساب'!$N$4:$N$353,0),0))),"")</f>
        <v/>
      </c>
      <c r="E225" s="67" t="str">
        <f>IFERROR(IF(IFERROR(MATCH(221,'كشف الحساب'!$N$4:$N$353,0),0)=0,"",INDEX('كشف الحساب'!$E$4:$E$353,IFERROR(MATCH(221,'كشف الحساب'!$N$4:$N$353,0),0))),"")</f>
        <v/>
      </c>
      <c r="F225" s="64" t="str">
        <f>IFERROR(IF(IFERROR(MATCH(221,'كشف الحساب'!$N$4:$N$353,0),0)=0,"",INDEX('كشف الحساب'!$F$4:$F$353,IFERROR(MATCH(221,'كشف الحساب'!$N$4:$N$353,0),0))),"")</f>
        <v/>
      </c>
      <c r="G225" s="64" t="str">
        <f>IFERROR(IF(IFERROR(MATCH(221,'كشف الحساب'!$N$4:$N$353,0),0)=0,"",INDEX('كشف الحساب'!$G$4:$G$353,IFERROR(MATCH(221,'كشف الحساب'!$N$4:$N$353,0),0))),"")</f>
        <v/>
      </c>
      <c r="H225" s="64" t="str">
        <f>IFERROR(IF(IFERROR(MATCH(221,'كشف الحساب'!$N$4:$N$353,0),0)=0,"",INDEX('كشف الحساب'!$H$4:$H$353,IFERROR(MATCH(221,'كشف الحساب'!$N$4:$N$353,0),0))),"")</f>
        <v/>
      </c>
      <c r="I225" s="64" t="str">
        <f>IFERROR(IF(IFERROR(MATCH(221,'كشف الحساب'!$N$4:$N$353,0),0)=0,"",INDEX('كشف الحساب'!$I$4:$I$353,IFERROR(MATCH(221,'كشف الحساب'!$N$4:$N$353,0),0))),"")</f>
        <v/>
      </c>
      <c r="J225" s="68" t="str">
        <f>IFERROR(IF(IFERROR(MATCH(221,'كشف الحساب'!$N$4:$N$353,0),0)=0,"",INDEX('كشف الحساب'!$J$4:$J$353,IFERROR(MATCH(221,'كشف الحساب'!$N$4:$N$353,0),0))),"")</f>
        <v/>
      </c>
      <c r="K225" s="64" t="str">
        <f>IFERROR(IF(IFERROR(MATCH(221,'كشف الحساب'!$N$4:$N$353,0),0)=0,"",INDEX('كشف الحساب'!$K$4:$K$353,IFERROR(MATCH(221,'كشف الحساب'!$N$4:$N$353,0),0))),"")</f>
        <v/>
      </c>
    </row>
    <row r="226" spans="1:11" ht="15" customHeight="1" x14ac:dyDescent="0.25">
      <c r="A226" s="69" t="str">
        <f>IFERROR(IF(IFERROR(MATCH(222,'كشف الحساب'!$N$4:$N$353,0),0)=0,"",INDEX('كشف الحساب'!$A$4:$A$353,IFERROR(MATCH(222,'كشف الحساب'!$N$4:$N$353,0),0))),"")</f>
        <v/>
      </c>
      <c r="B226" s="70" t="str">
        <f>IFERROR(IF(IFERROR(MATCH(222,'كشف الحساب'!$N$4:$N$353,0),0)=0,"",INDEX('كشف الحساب'!$B$4:$B$353,IFERROR(MATCH(222,'كشف الحساب'!$N$4:$N$353,0),0))),"")</f>
        <v/>
      </c>
      <c r="C226" s="71" t="str">
        <f>IFERROR(IF(IFERROR(MATCH(222,'كشف الحساب'!$N$4:$N$353,0),0)=0,"",INDEX('كشف الحساب'!$C$4:$C$353,IFERROR(MATCH(222,'كشف الحساب'!$N$4:$N$353,0),0))),"")</f>
        <v/>
      </c>
      <c r="D226" s="72" t="str">
        <f>IFERROR(IF(IFERROR(MATCH(222,'كشف الحساب'!$N$4:$N$353,0),0)=0,"",INDEX('كشف الحساب'!$D$4:$D$353,IFERROR(MATCH(222,'كشف الحساب'!$N$4:$N$353,0),0))),"")</f>
        <v/>
      </c>
      <c r="E226" s="73" t="str">
        <f>IFERROR(IF(IFERROR(MATCH(222,'كشف الحساب'!$N$4:$N$353,0),0)=0,"",INDEX('كشف الحساب'!$E$4:$E$353,IFERROR(MATCH(222,'كشف الحساب'!$N$4:$N$353,0),0))),"")</f>
        <v/>
      </c>
      <c r="F226" s="70" t="str">
        <f>IFERROR(IF(IFERROR(MATCH(222,'كشف الحساب'!$N$4:$N$353,0),0)=0,"",INDEX('كشف الحساب'!$F$4:$F$353,IFERROR(MATCH(222,'كشف الحساب'!$N$4:$N$353,0),0))),"")</f>
        <v/>
      </c>
      <c r="G226" s="70" t="str">
        <f>IFERROR(IF(IFERROR(MATCH(222,'كشف الحساب'!$N$4:$N$353,0),0)=0,"",INDEX('كشف الحساب'!$G$4:$G$353,IFERROR(MATCH(222,'كشف الحساب'!$N$4:$N$353,0),0))),"")</f>
        <v/>
      </c>
      <c r="H226" s="70" t="str">
        <f>IFERROR(IF(IFERROR(MATCH(222,'كشف الحساب'!$N$4:$N$353,0),0)=0,"",INDEX('كشف الحساب'!$H$4:$H$353,IFERROR(MATCH(222,'كشف الحساب'!$N$4:$N$353,0),0))),"")</f>
        <v/>
      </c>
      <c r="I226" s="70" t="str">
        <f>IFERROR(IF(IFERROR(MATCH(222,'كشف الحساب'!$N$4:$N$353,0),0)=0,"",INDEX('كشف الحساب'!$I$4:$I$353,IFERROR(MATCH(222,'كشف الحساب'!$N$4:$N$353,0),0))),"")</f>
        <v/>
      </c>
      <c r="J226" s="74" t="str">
        <f>IFERROR(IF(IFERROR(MATCH(222,'كشف الحساب'!$N$4:$N$353,0),0)=0,"",INDEX('كشف الحساب'!$J$4:$J$353,IFERROR(MATCH(222,'كشف الحساب'!$N$4:$N$353,0),0))),"")</f>
        <v/>
      </c>
      <c r="K226" s="70" t="str">
        <f>IFERROR(IF(IFERROR(MATCH(222,'كشف الحساب'!$N$4:$N$353,0),0)=0,"",INDEX('كشف الحساب'!$K$4:$K$353,IFERROR(MATCH(222,'كشف الحساب'!$N$4:$N$353,0),0))),"")</f>
        <v/>
      </c>
    </row>
    <row r="227" spans="1:11" ht="15" customHeight="1" x14ac:dyDescent="0.25">
      <c r="A227" s="63" t="str">
        <f>IFERROR(IF(IFERROR(MATCH(223,'كشف الحساب'!$N$4:$N$353,0),0)=0,"",INDEX('كشف الحساب'!$A$4:$A$353,IFERROR(MATCH(223,'كشف الحساب'!$N$4:$N$353,0),0))),"")</f>
        <v/>
      </c>
      <c r="B227" s="64" t="str">
        <f>IFERROR(IF(IFERROR(MATCH(223,'كشف الحساب'!$N$4:$N$353,0),0)=0,"",INDEX('كشف الحساب'!$B$4:$B$353,IFERROR(MATCH(223,'كشف الحساب'!$N$4:$N$353,0),0))),"")</f>
        <v/>
      </c>
      <c r="C227" s="65" t="str">
        <f>IFERROR(IF(IFERROR(MATCH(223,'كشف الحساب'!$N$4:$N$353,0),0)=0,"",INDEX('كشف الحساب'!$C$4:$C$353,IFERROR(MATCH(223,'كشف الحساب'!$N$4:$N$353,0),0))),"")</f>
        <v/>
      </c>
      <c r="D227" s="66" t="str">
        <f>IFERROR(IF(IFERROR(MATCH(223,'كشف الحساب'!$N$4:$N$353,0),0)=0,"",INDEX('كشف الحساب'!$D$4:$D$353,IFERROR(MATCH(223,'كشف الحساب'!$N$4:$N$353,0),0))),"")</f>
        <v/>
      </c>
      <c r="E227" s="67" t="str">
        <f>IFERROR(IF(IFERROR(MATCH(223,'كشف الحساب'!$N$4:$N$353,0),0)=0,"",INDEX('كشف الحساب'!$E$4:$E$353,IFERROR(MATCH(223,'كشف الحساب'!$N$4:$N$353,0),0))),"")</f>
        <v/>
      </c>
      <c r="F227" s="64" t="str">
        <f>IFERROR(IF(IFERROR(MATCH(223,'كشف الحساب'!$N$4:$N$353,0),0)=0,"",INDEX('كشف الحساب'!$F$4:$F$353,IFERROR(MATCH(223,'كشف الحساب'!$N$4:$N$353,0),0))),"")</f>
        <v/>
      </c>
      <c r="G227" s="64" t="str">
        <f>IFERROR(IF(IFERROR(MATCH(223,'كشف الحساب'!$N$4:$N$353,0),0)=0,"",INDEX('كشف الحساب'!$G$4:$G$353,IFERROR(MATCH(223,'كشف الحساب'!$N$4:$N$353,0),0))),"")</f>
        <v/>
      </c>
      <c r="H227" s="64" t="str">
        <f>IFERROR(IF(IFERROR(MATCH(223,'كشف الحساب'!$N$4:$N$353,0),0)=0,"",INDEX('كشف الحساب'!$H$4:$H$353,IFERROR(MATCH(223,'كشف الحساب'!$N$4:$N$353,0),0))),"")</f>
        <v/>
      </c>
      <c r="I227" s="64" t="str">
        <f>IFERROR(IF(IFERROR(MATCH(223,'كشف الحساب'!$N$4:$N$353,0),0)=0,"",INDEX('كشف الحساب'!$I$4:$I$353,IFERROR(MATCH(223,'كشف الحساب'!$N$4:$N$353,0),0))),"")</f>
        <v/>
      </c>
      <c r="J227" s="68" t="str">
        <f>IFERROR(IF(IFERROR(MATCH(223,'كشف الحساب'!$N$4:$N$353,0),0)=0,"",INDEX('كشف الحساب'!$J$4:$J$353,IFERROR(MATCH(223,'كشف الحساب'!$N$4:$N$353,0),0))),"")</f>
        <v/>
      </c>
      <c r="K227" s="64" t="str">
        <f>IFERROR(IF(IFERROR(MATCH(223,'كشف الحساب'!$N$4:$N$353,0),0)=0,"",INDEX('كشف الحساب'!$K$4:$K$353,IFERROR(MATCH(223,'كشف الحساب'!$N$4:$N$353,0),0))),"")</f>
        <v/>
      </c>
    </row>
    <row r="228" spans="1:11" ht="15" customHeight="1" x14ac:dyDescent="0.25">
      <c r="A228" s="69" t="str">
        <f>IFERROR(IF(IFERROR(MATCH(224,'كشف الحساب'!$N$4:$N$353,0),0)=0,"",INDEX('كشف الحساب'!$A$4:$A$353,IFERROR(MATCH(224,'كشف الحساب'!$N$4:$N$353,0),0))),"")</f>
        <v/>
      </c>
      <c r="B228" s="70" t="str">
        <f>IFERROR(IF(IFERROR(MATCH(224,'كشف الحساب'!$N$4:$N$353,0),0)=0,"",INDEX('كشف الحساب'!$B$4:$B$353,IFERROR(MATCH(224,'كشف الحساب'!$N$4:$N$353,0),0))),"")</f>
        <v/>
      </c>
      <c r="C228" s="71" t="str">
        <f>IFERROR(IF(IFERROR(MATCH(224,'كشف الحساب'!$N$4:$N$353,0),0)=0,"",INDEX('كشف الحساب'!$C$4:$C$353,IFERROR(MATCH(224,'كشف الحساب'!$N$4:$N$353,0),0))),"")</f>
        <v/>
      </c>
      <c r="D228" s="72" t="str">
        <f>IFERROR(IF(IFERROR(MATCH(224,'كشف الحساب'!$N$4:$N$353,0),0)=0,"",INDEX('كشف الحساب'!$D$4:$D$353,IFERROR(MATCH(224,'كشف الحساب'!$N$4:$N$353,0),0))),"")</f>
        <v/>
      </c>
      <c r="E228" s="73" t="str">
        <f>IFERROR(IF(IFERROR(MATCH(224,'كشف الحساب'!$N$4:$N$353,0),0)=0,"",INDEX('كشف الحساب'!$E$4:$E$353,IFERROR(MATCH(224,'كشف الحساب'!$N$4:$N$353,0),0))),"")</f>
        <v/>
      </c>
      <c r="F228" s="70" t="str">
        <f>IFERROR(IF(IFERROR(MATCH(224,'كشف الحساب'!$N$4:$N$353,0),0)=0,"",INDEX('كشف الحساب'!$F$4:$F$353,IFERROR(MATCH(224,'كشف الحساب'!$N$4:$N$353,0),0))),"")</f>
        <v/>
      </c>
      <c r="G228" s="70" t="str">
        <f>IFERROR(IF(IFERROR(MATCH(224,'كشف الحساب'!$N$4:$N$353,0),0)=0,"",INDEX('كشف الحساب'!$G$4:$G$353,IFERROR(MATCH(224,'كشف الحساب'!$N$4:$N$353,0),0))),"")</f>
        <v/>
      </c>
      <c r="H228" s="70" t="str">
        <f>IFERROR(IF(IFERROR(MATCH(224,'كشف الحساب'!$N$4:$N$353,0),0)=0,"",INDEX('كشف الحساب'!$H$4:$H$353,IFERROR(MATCH(224,'كشف الحساب'!$N$4:$N$353,0),0))),"")</f>
        <v/>
      </c>
      <c r="I228" s="70" t="str">
        <f>IFERROR(IF(IFERROR(MATCH(224,'كشف الحساب'!$N$4:$N$353,0),0)=0,"",INDEX('كشف الحساب'!$I$4:$I$353,IFERROR(MATCH(224,'كشف الحساب'!$N$4:$N$353,0),0))),"")</f>
        <v/>
      </c>
      <c r="J228" s="74" t="str">
        <f>IFERROR(IF(IFERROR(MATCH(224,'كشف الحساب'!$N$4:$N$353,0),0)=0,"",INDEX('كشف الحساب'!$J$4:$J$353,IFERROR(MATCH(224,'كشف الحساب'!$N$4:$N$353,0),0))),"")</f>
        <v/>
      </c>
      <c r="K228" s="70" t="str">
        <f>IFERROR(IF(IFERROR(MATCH(224,'كشف الحساب'!$N$4:$N$353,0),0)=0,"",INDEX('كشف الحساب'!$K$4:$K$353,IFERROR(MATCH(224,'كشف الحساب'!$N$4:$N$353,0),0))),"")</f>
        <v/>
      </c>
    </row>
    <row r="229" spans="1:11" ht="15" customHeight="1" x14ac:dyDescent="0.25">
      <c r="A229" s="63" t="str">
        <f>IFERROR(IF(IFERROR(MATCH(225,'كشف الحساب'!$N$4:$N$353,0),0)=0,"",INDEX('كشف الحساب'!$A$4:$A$353,IFERROR(MATCH(225,'كشف الحساب'!$N$4:$N$353,0),0))),"")</f>
        <v/>
      </c>
      <c r="B229" s="64" t="str">
        <f>IFERROR(IF(IFERROR(MATCH(225,'كشف الحساب'!$N$4:$N$353,0),0)=0,"",INDEX('كشف الحساب'!$B$4:$B$353,IFERROR(MATCH(225,'كشف الحساب'!$N$4:$N$353,0),0))),"")</f>
        <v/>
      </c>
      <c r="C229" s="65" t="str">
        <f>IFERROR(IF(IFERROR(MATCH(225,'كشف الحساب'!$N$4:$N$353,0),0)=0,"",INDEX('كشف الحساب'!$C$4:$C$353,IFERROR(MATCH(225,'كشف الحساب'!$N$4:$N$353,0),0))),"")</f>
        <v/>
      </c>
      <c r="D229" s="66" t="str">
        <f>IFERROR(IF(IFERROR(MATCH(225,'كشف الحساب'!$N$4:$N$353,0),0)=0,"",INDEX('كشف الحساب'!$D$4:$D$353,IFERROR(MATCH(225,'كشف الحساب'!$N$4:$N$353,0),0))),"")</f>
        <v/>
      </c>
      <c r="E229" s="67" t="str">
        <f>IFERROR(IF(IFERROR(MATCH(225,'كشف الحساب'!$N$4:$N$353,0),0)=0,"",INDEX('كشف الحساب'!$E$4:$E$353,IFERROR(MATCH(225,'كشف الحساب'!$N$4:$N$353,0),0))),"")</f>
        <v/>
      </c>
      <c r="F229" s="64" t="str">
        <f>IFERROR(IF(IFERROR(MATCH(225,'كشف الحساب'!$N$4:$N$353,0),0)=0,"",INDEX('كشف الحساب'!$F$4:$F$353,IFERROR(MATCH(225,'كشف الحساب'!$N$4:$N$353,0),0))),"")</f>
        <v/>
      </c>
      <c r="G229" s="64" t="str">
        <f>IFERROR(IF(IFERROR(MATCH(225,'كشف الحساب'!$N$4:$N$353,0),0)=0,"",INDEX('كشف الحساب'!$G$4:$G$353,IFERROR(MATCH(225,'كشف الحساب'!$N$4:$N$353,0),0))),"")</f>
        <v/>
      </c>
      <c r="H229" s="64" t="str">
        <f>IFERROR(IF(IFERROR(MATCH(225,'كشف الحساب'!$N$4:$N$353,0),0)=0,"",INDEX('كشف الحساب'!$H$4:$H$353,IFERROR(MATCH(225,'كشف الحساب'!$N$4:$N$353,0),0))),"")</f>
        <v/>
      </c>
      <c r="I229" s="64" t="str">
        <f>IFERROR(IF(IFERROR(MATCH(225,'كشف الحساب'!$N$4:$N$353,0),0)=0,"",INDEX('كشف الحساب'!$I$4:$I$353,IFERROR(MATCH(225,'كشف الحساب'!$N$4:$N$353,0),0))),"")</f>
        <v/>
      </c>
      <c r="J229" s="68" t="str">
        <f>IFERROR(IF(IFERROR(MATCH(225,'كشف الحساب'!$N$4:$N$353,0),0)=0,"",INDEX('كشف الحساب'!$J$4:$J$353,IFERROR(MATCH(225,'كشف الحساب'!$N$4:$N$353,0),0))),"")</f>
        <v/>
      </c>
      <c r="K229" s="64" t="str">
        <f>IFERROR(IF(IFERROR(MATCH(225,'كشف الحساب'!$N$4:$N$353,0),0)=0,"",INDEX('كشف الحساب'!$K$4:$K$353,IFERROR(MATCH(225,'كشف الحساب'!$N$4:$N$353,0),0))),"")</f>
        <v/>
      </c>
    </row>
    <row r="230" spans="1:11" ht="15" customHeight="1" x14ac:dyDescent="0.25">
      <c r="A230" s="69" t="str">
        <f>IFERROR(IF(IFERROR(MATCH(226,'كشف الحساب'!$N$4:$N$353,0),0)=0,"",INDEX('كشف الحساب'!$A$4:$A$353,IFERROR(MATCH(226,'كشف الحساب'!$N$4:$N$353,0),0))),"")</f>
        <v/>
      </c>
      <c r="B230" s="70" t="str">
        <f>IFERROR(IF(IFERROR(MATCH(226,'كشف الحساب'!$N$4:$N$353,0),0)=0,"",INDEX('كشف الحساب'!$B$4:$B$353,IFERROR(MATCH(226,'كشف الحساب'!$N$4:$N$353,0),0))),"")</f>
        <v/>
      </c>
      <c r="C230" s="71" t="str">
        <f>IFERROR(IF(IFERROR(MATCH(226,'كشف الحساب'!$N$4:$N$353,0),0)=0,"",INDEX('كشف الحساب'!$C$4:$C$353,IFERROR(MATCH(226,'كشف الحساب'!$N$4:$N$353,0),0))),"")</f>
        <v/>
      </c>
      <c r="D230" s="72" t="str">
        <f>IFERROR(IF(IFERROR(MATCH(226,'كشف الحساب'!$N$4:$N$353,0),0)=0,"",INDEX('كشف الحساب'!$D$4:$D$353,IFERROR(MATCH(226,'كشف الحساب'!$N$4:$N$353,0),0))),"")</f>
        <v/>
      </c>
      <c r="E230" s="73" t="str">
        <f>IFERROR(IF(IFERROR(MATCH(226,'كشف الحساب'!$N$4:$N$353,0),0)=0,"",INDEX('كشف الحساب'!$E$4:$E$353,IFERROR(MATCH(226,'كشف الحساب'!$N$4:$N$353,0),0))),"")</f>
        <v/>
      </c>
      <c r="F230" s="70" t="str">
        <f>IFERROR(IF(IFERROR(MATCH(226,'كشف الحساب'!$N$4:$N$353,0),0)=0,"",INDEX('كشف الحساب'!$F$4:$F$353,IFERROR(MATCH(226,'كشف الحساب'!$N$4:$N$353,0),0))),"")</f>
        <v/>
      </c>
      <c r="G230" s="70" t="str">
        <f>IFERROR(IF(IFERROR(MATCH(226,'كشف الحساب'!$N$4:$N$353,0),0)=0,"",INDEX('كشف الحساب'!$G$4:$G$353,IFERROR(MATCH(226,'كشف الحساب'!$N$4:$N$353,0),0))),"")</f>
        <v/>
      </c>
      <c r="H230" s="70" t="str">
        <f>IFERROR(IF(IFERROR(MATCH(226,'كشف الحساب'!$N$4:$N$353,0),0)=0,"",INDEX('كشف الحساب'!$H$4:$H$353,IFERROR(MATCH(226,'كشف الحساب'!$N$4:$N$353,0),0))),"")</f>
        <v/>
      </c>
      <c r="I230" s="70" t="str">
        <f>IFERROR(IF(IFERROR(MATCH(226,'كشف الحساب'!$N$4:$N$353,0),0)=0,"",INDEX('كشف الحساب'!$I$4:$I$353,IFERROR(MATCH(226,'كشف الحساب'!$N$4:$N$353,0),0))),"")</f>
        <v/>
      </c>
      <c r="J230" s="74" t="str">
        <f>IFERROR(IF(IFERROR(MATCH(226,'كشف الحساب'!$N$4:$N$353,0),0)=0,"",INDEX('كشف الحساب'!$J$4:$J$353,IFERROR(MATCH(226,'كشف الحساب'!$N$4:$N$353,0),0))),"")</f>
        <v/>
      </c>
      <c r="K230" s="70" t="str">
        <f>IFERROR(IF(IFERROR(MATCH(226,'كشف الحساب'!$N$4:$N$353,0),0)=0,"",INDEX('كشف الحساب'!$K$4:$K$353,IFERROR(MATCH(226,'كشف الحساب'!$N$4:$N$353,0),0))),"")</f>
        <v/>
      </c>
    </row>
    <row r="231" spans="1:11" ht="15" customHeight="1" x14ac:dyDescent="0.25">
      <c r="A231" s="63" t="str">
        <f>IFERROR(IF(IFERROR(MATCH(227,'كشف الحساب'!$N$4:$N$353,0),0)=0,"",INDEX('كشف الحساب'!$A$4:$A$353,IFERROR(MATCH(227,'كشف الحساب'!$N$4:$N$353,0),0))),"")</f>
        <v/>
      </c>
      <c r="B231" s="64" t="str">
        <f>IFERROR(IF(IFERROR(MATCH(227,'كشف الحساب'!$N$4:$N$353,0),0)=0,"",INDEX('كشف الحساب'!$B$4:$B$353,IFERROR(MATCH(227,'كشف الحساب'!$N$4:$N$353,0),0))),"")</f>
        <v/>
      </c>
      <c r="C231" s="65" t="str">
        <f>IFERROR(IF(IFERROR(MATCH(227,'كشف الحساب'!$N$4:$N$353,0),0)=0,"",INDEX('كشف الحساب'!$C$4:$C$353,IFERROR(MATCH(227,'كشف الحساب'!$N$4:$N$353,0),0))),"")</f>
        <v/>
      </c>
      <c r="D231" s="66" t="str">
        <f>IFERROR(IF(IFERROR(MATCH(227,'كشف الحساب'!$N$4:$N$353,0),0)=0,"",INDEX('كشف الحساب'!$D$4:$D$353,IFERROR(MATCH(227,'كشف الحساب'!$N$4:$N$353,0),0))),"")</f>
        <v/>
      </c>
      <c r="E231" s="67" t="str">
        <f>IFERROR(IF(IFERROR(MATCH(227,'كشف الحساب'!$N$4:$N$353,0),0)=0,"",INDEX('كشف الحساب'!$E$4:$E$353,IFERROR(MATCH(227,'كشف الحساب'!$N$4:$N$353,0),0))),"")</f>
        <v/>
      </c>
      <c r="F231" s="64" t="str">
        <f>IFERROR(IF(IFERROR(MATCH(227,'كشف الحساب'!$N$4:$N$353,0),0)=0,"",INDEX('كشف الحساب'!$F$4:$F$353,IFERROR(MATCH(227,'كشف الحساب'!$N$4:$N$353,0),0))),"")</f>
        <v/>
      </c>
      <c r="G231" s="64" t="str">
        <f>IFERROR(IF(IFERROR(MATCH(227,'كشف الحساب'!$N$4:$N$353,0),0)=0,"",INDEX('كشف الحساب'!$G$4:$G$353,IFERROR(MATCH(227,'كشف الحساب'!$N$4:$N$353,0),0))),"")</f>
        <v/>
      </c>
      <c r="H231" s="64" t="str">
        <f>IFERROR(IF(IFERROR(MATCH(227,'كشف الحساب'!$N$4:$N$353,0),0)=0,"",INDEX('كشف الحساب'!$H$4:$H$353,IFERROR(MATCH(227,'كشف الحساب'!$N$4:$N$353,0),0))),"")</f>
        <v/>
      </c>
      <c r="I231" s="64" t="str">
        <f>IFERROR(IF(IFERROR(MATCH(227,'كشف الحساب'!$N$4:$N$353,0),0)=0,"",INDEX('كشف الحساب'!$I$4:$I$353,IFERROR(MATCH(227,'كشف الحساب'!$N$4:$N$353,0),0))),"")</f>
        <v/>
      </c>
      <c r="J231" s="68" t="str">
        <f>IFERROR(IF(IFERROR(MATCH(227,'كشف الحساب'!$N$4:$N$353,0),0)=0,"",INDEX('كشف الحساب'!$J$4:$J$353,IFERROR(MATCH(227,'كشف الحساب'!$N$4:$N$353,0),0))),"")</f>
        <v/>
      </c>
      <c r="K231" s="64" t="str">
        <f>IFERROR(IF(IFERROR(MATCH(227,'كشف الحساب'!$N$4:$N$353,0),0)=0,"",INDEX('كشف الحساب'!$K$4:$K$353,IFERROR(MATCH(227,'كشف الحساب'!$N$4:$N$353,0),0))),"")</f>
        <v/>
      </c>
    </row>
    <row r="232" spans="1:11" ht="15" customHeight="1" x14ac:dyDescent="0.25">
      <c r="A232" s="69" t="str">
        <f>IFERROR(IF(IFERROR(MATCH(228,'كشف الحساب'!$N$4:$N$353,0),0)=0,"",INDEX('كشف الحساب'!$A$4:$A$353,IFERROR(MATCH(228,'كشف الحساب'!$N$4:$N$353,0),0))),"")</f>
        <v/>
      </c>
      <c r="B232" s="70" t="str">
        <f>IFERROR(IF(IFERROR(MATCH(228,'كشف الحساب'!$N$4:$N$353,0),0)=0,"",INDEX('كشف الحساب'!$B$4:$B$353,IFERROR(MATCH(228,'كشف الحساب'!$N$4:$N$353,0),0))),"")</f>
        <v/>
      </c>
      <c r="C232" s="71" t="str">
        <f>IFERROR(IF(IFERROR(MATCH(228,'كشف الحساب'!$N$4:$N$353,0),0)=0,"",INDEX('كشف الحساب'!$C$4:$C$353,IFERROR(MATCH(228,'كشف الحساب'!$N$4:$N$353,0),0))),"")</f>
        <v/>
      </c>
      <c r="D232" s="72" t="str">
        <f>IFERROR(IF(IFERROR(MATCH(228,'كشف الحساب'!$N$4:$N$353,0),0)=0,"",INDEX('كشف الحساب'!$D$4:$D$353,IFERROR(MATCH(228,'كشف الحساب'!$N$4:$N$353,0),0))),"")</f>
        <v/>
      </c>
      <c r="E232" s="73" t="str">
        <f>IFERROR(IF(IFERROR(MATCH(228,'كشف الحساب'!$N$4:$N$353,0),0)=0,"",INDEX('كشف الحساب'!$E$4:$E$353,IFERROR(MATCH(228,'كشف الحساب'!$N$4:$N$353,0),0))),"")</f>
        <v/>
      </c>
      <c r="F232" s="70" t="str">
        <f>IFERROR(IF(IFERROR(MATCH(228,'كشف الحساب'!$N$4:$N$353,0),0)=0,"",INDEX('كشف الحساب'!$F$4:$F$353,IFERROR(MATCH(228,'كشف الحساب'!$N$4:$N$353,0),0))),"")</f>
        <v/>
      </c>
      <c r="G232" s="70" t="str">
        <f>IFERROR(IF(IFERROR(MATCH(228,'كشف الحساب'!$N$4:$N$353,0),0)=0,"",INDEX('كشف الحساب'!$G$4:$G$353,IFERROR(MATCH(228,'كشف الحساب'!$N$4:$N$353,0),0))),"")</f>
        <v/>
      </c>
      <c r="H232" s="70" t="str">
        <f>IFERROR(IF(IFERROR(MATCH(228,'كشف الحساب'!$N$4:$N$353,0),0)=0,"",INDEX('كشف الحساب'!$H$4:$H$353,IFERROR(MATCH(228,'كشف الحساب'!$N$4:$N$353,0),0))),"")</f>
        <v/>
      </c>
      <c r="I232" s="70" t="str">
        <f>IFERROR(IF(IFERROR(MATCH(228,'كشف الحساب'!$N$4:$N$353,0),0)=0,"",INDEX('كشف الحساب'!$I$4:$I$353,IFERROR(MATCH(228,'كشف الحساب'!$N$4:$N$353,0),0))),"")</f>
        <v/>
      </c>
      <c r="J232" s="74" t="str">
        <f>IFERROR(IF(IFERROR(MATCH(228,'كشف الحساب'!$N$4:$N$353,0),0)=0,"",INDEX('كشف الحساب'!$J$4:$J$353,IFERROR(MATCH(228,'كشف الحساب'!$N$4:$N$353,0),0))),"")</f>
        <v/>
      </c>
      <c r="K232" s="70" t="str">
        <f>IFERROR(IF(IFERROR(MATCH(228,'كشف الحساب'!$N$4:$N$353,0),0)=0,"",INDEX('كشف الحساب'!$K$4:$K$353,IFERROR(MATCH(228,'كشف الحساب'!$N$4:$N$353,0),0))),"")</f>
        <v/>
      </c>
    </row>
    <row r="233" spans="1:11" ht="15" customHeight="1" x14ac:dyDescent="0.25">
      <c r="A233" s="63" t="str">
        <f>IFERROR(IF(IFERROR(MATCH(229,'كشف الحساب'!$N$4:$N$353,0),0)=0,"",INDEX('كشف الحساب'!$A$4:$A$353,IFERROR(MATCH(229,'كشف الحساب'!$N$4:$N$353,0),0))),"")</f>
        <v/>
      </c>
      <c r="B233" s="64" t="str">
        <f>IFERROR(IF(IFERROR(MATCH(229,'كشف الحساب'!$N$4:$N$353,0),0)=0,"",INDEX('كشف الحساب'!$B$4:$B$353,IFERROR(MATCH(229,'كشف الحساب'!$N$4:$N$353,0),0))),"")</f>
        <v/>
      </c>
      <c r="C233" s="65" t="str">
        <f>IFERROR(IF(IFERROR(MATCH(229,'كشف الحساب'!$N$4:$N$353,0),0)=0,"",INDEX('كشف الحساب'!$C$4:$C$353,IFERROR(MATCH(229,'كشف الحساب'!$N$4:$N$353,0),0))),"")</f>
        <v/>
      </c>
      <c r="D233" s="66" t="str">
        <f>IFERROR(IF(IFERROR(MATCH(229,'كشف الحساب'!$N$4:$N$353,0),0)=0,"",INDEX('كشف الحساب'!$D$4:$D$353,IFERROR(MATCH(229,'كشف الحساب'!$N$4:$N$353,0),0))),"")</f>
        <v/>
      </c>
      <c r="E233" s="67" t="str">
        <f>IFERROR(IF(IFERROR(MATCH(229,'كشف الحساب'!$N$4:$N$353,0),0)=0,"",INDEX('كشف الحساب'!$E$4:$E$353,IFERROR(MATCH(229,'كشف الحساب'!$N$4:$N$353,0),0))),"")</f>
        <v/>
      </c>
      <c r="F233" s="64" t="str">
        <f>IFERROR(IF(IFERROR(MATCH(229,'كشف الحساب'!$N$4:$N$353,0),0)=0,"",INDEX('كشف الحساب'!$F$4:$F$353,IFERROR(MATCH(229,'كشف الحساب'!$N$4:$N$353,0),0))),"")</f>
        <v/>
      </c>
      <c r="G233" s="64" t="str">
        <f>IFERROR(IF(IFERROR(MATCH(229,'كشف الحساب'!$N$4:$N$353,0),0)=0,"",INDEX('كشف الحساب'!$G$4:$G$353,IFERROR(MATCH(229,'كشف الحساب'!$N$4:$N$353,0),0))),"")</f>
        <v/>
      </c>
      <c r="H233" s="64" t="str">
        <f>IFERROR(IF(IFERROR(MATCH(229,'كشف الحساب'!$N$4:$N$353,0),0)=0,"",INDEX('كشف الحساب'!$H$4:$H$353,IFERROR(MATCH(229,'كشف الحساب'!$N$4:$N$353,0),0))),"")</f>
        <v/>
      </c>
      <c r="I233" s="64" t="str">
        <f>IFERROR(IF(IFERROR(MATCH(229,'كشف الحساب'!$N$4:$N$353,0),0)=0,"",INDEX('كشف الحساب'!$I$4:$I$353,IFERROR(MATCH(229,'كشف الحساب'!$N$4:$N$353,0),0))),"")</f>
        <v/>
      </c>
      <c r="J233" s="68" t="str">
        <f>IFERROR(IF(IFERROR(MATCH(229,'كشف الحساب'!$N$4:$N$353,0),0)=0,"",INDEX('كشف الحساب'!$J$4:$J$353,IFERROR(MATCH(229,'كشف الحساب'!$N$4:$N$353,0),0))),"")</f>
        <v/>
      </c>
      <c r="K233" s="64" t="str">
        <f>IFERROR(IF(IFERROR(MATCH(229,'كشف الحساب'!$N$4:$N$353,0),0)=0,"",INDEX('كشف الحساب'!$K$4:$K$353,IFERROR(MATCH(229,'كشف الحساب'!$N$4:$N$353,0),0))),"")</f>
        <v/>
      </c>
    </row>
    <row r="234" spans="1:11" ht="15" customHeight="1" x14ac:dyDescent="0.25">
      <c r="A234" s="69" t="str">
        <f>IFERROR(IF(IFERROR(MATCH(230,'كشف الحساب'!$N$4:$N$353,0),0)=0,"",INDEX('كشف الحساب'!$A$4:$A$353,IFERROR(MATCH(230,'كشف الحساب'!$N$4:$N$353,0),0))),"")</f>
        <v/>
      </c>
      <c r="B234" s="70" t="str">
        <f>IFERROR(IF(IFERROR(MATCH(230,'كشف الحساب'!$N$4:$N$353,0),0)=0,"",INDEX('كشف الحساب'!$B$4:$B$353,IFERROR(MATCH(230,'كشف الحساب'!$N$4:$N$353,0),0))),"")</f>
        <v/>
      </c>
      <c r="C234" s="71" t="str">
        <f>IFERROR(IF(IFERROR(MATCH(230,'كشف الحساب'!$N$4:$N$353,0),0)=0,"",INDEX('كشف الحساب'!$C$4:$C$353,IFERROR(MATCH(230,'كشف الحساب'!$N$4:$N$353,0),0))),"")</f>
        <v/>
      </c>
      <c r="D234" s="72" t="str">
        <f>IFERROR(IF(IFERROR(MATCH(230,'كشف الحساب'!$N$4:$N$353,0),0)=0,"",INDEX('كشف الحساب'!$D$4:$D$353,IFERROR(MATCH(230,'كشف الحساب'!$N$4:$N$353,0),0))),"")</f>
        <v/>
      </c>
      <c r="E234" s="73" t="str">
        <f>IFERROR(IF(IFERROR(MATCH(230,'كشف الحساب'!$N$4:$N$353,0),0)=0,"",INDEX('كشف الحساب'!$E$4:$E$353,IFERROR(MATCH(230,'كشف الحساب'!$N$4:$N$353,0),0))),"")</f>
        <v/>
      </c>
      <c r="F234" s="70" t="str">
        <f>IFERROR(IF(IFERROR(MATCH(230,'كشف الحساب'!$N$4:$N$353,0),0)=0,"",INDEX('كشف الحساب'!$F$4:$F$353,IFERROR(MATCH(230,'كشف الحساب'!$N$4:$N$353,0),0))),"")</f>
        <v/>
      </c>
      <c r="G234" s="70" t="str">
        <f>IFERROR(IF(IFERROR(MATCH(230,'كشف الحساب'!$N$4:$N$353,0),0)=0,"",INDEX('كشف الحساب'!$G$4:$G$353,IFERROR(MATCH(230,'كشف الحساب'!$N$4:$N$353,0),0))),"")</f>
        <v/>
      </c>
      <c r="H234" s="70" t="str">
        <f>IFERROR(IF(IFERROR(MATCH(230,'كشف الحساب'!$N$4:$N$353,0),0)=0,"",INDEX('كشف الحساب'!$H$4:$H$353,IFERROR(MATCH(230,'كشف الحساب'!$N$4:$N$353,0),0))),"")</f>
        <v/>
      </c>
      <c r="I234" s="70" t="str">
        <f>IFERROR(IF(IFERROR(MATCH(230,'كشف الحساب'!$N$4:$N$353,0),0)=0,"",INDEX('كشف الحساب'!$I$4:$I$353,IFERROR(MATCH(230,'كشف الحساب'!$N$4:$N$353,0),0))),"")</f>
        <v/>
      </c>
      <c r="J234" s="74" t="str">
        <f>IFERROR(IF(IFERROR(MATCH(230,'كشف الحساب'!$N$4:$N$353,0),0)=0,"",INDEX('كشف الحساب'!$J$4:$J$353,IFERROR(MATCH(230,'كشف الحساب'!$N$4:$N$353,0),0))),"")</f>
        <v/>
      </c>
      <c r="K234" s="70" t="str">
        <f>IFERROR(IF(IFERROR(MATCH(230,'كشف الحساب'!$N$4:$N$353,0),0)=0,"",INDEX('كشف الحساب'!$K$4:$K$353,IFERROR(MATCH(230,'كشف الحساب'!$N$4:$N$353,0),0))),"")</f>
        <v/>
      </c>
    </row>
    <row r="235" spans="1:11" ht="15" customHeight="1" x14ac:dyDescent="0.25">
      <c r="A235" s="63" t="str">
        <f>IFERROR(IF(IFERROR(MATCH(231,'كشف الحساب'!$N$4:$N$353,0),0)=0,"",INDEX('كشف الحساب'!$A$4:$A$353,IFERROR(MATCH(231,'كشف الحساب'!$N$4:$N$353,0),0))),"")</f>
        <v/>
      </c>
      <c r="B235" s="64" t="str">
        <f>IFERROR(IF(IFERROR(MATCH(231,'كشف الحساب'!$N$4:$N$353,0),0)=0,"",INDEX('كشف الحساب'!$B$4:$B$353,IFERROR(MATCH(231,'كشف الحساب'!$N$4:$N$353,0),0))),"")</f>
        <v/>
      </c>
      <c r="C235" s="65" t="str">
        <f>IFERROR(IF(IFERROR(MATCH(231,'كشف الحساب'!$N$4:$N$353,0),0)=0,"",INDEX('كشف الحساب'!$C$4:$C$353,IFERROR(MATCH(231,'كشف الحساب'!$N$4:$N$353,0),0))),"")</f>
        <v/>
      </c>
      <c r="D235" s="66" t="str">
        <f>IFERROR(IF(IFERROR(MATCH(231,'كشف الحساب'!$N$4:$N$353,0),0)=0,"",INDEX('كشف الحساب'!$D$4:$D$353,IFERROR(MATCH(231,'كشف الحساب'!$N$4:$N$353,0),0))),"")</f>
        <v/>
      </c>
      <c r="E235" s="67" t="str">
        <f>IFERROR(IF(IFERROR(MATCH(231,'كشف الحساب'!$N$4:$N$353,0),0)=0,"",INDEX('كشف الحساب'!$E$4:$E$353,IFERROR(MATCH(231,'كشف الحساب'!$N$4:$N$353,0),0))),"")</f>
        <v/>
      </c>
      <c r="F235" s="64" t="str">
        <f>IFERROR(IF(IFERROR(MATCH(231,'كشف الحساب'!$N$4:$N$353,0),0)=0,"",INDEX('كشف الحساب'!$F$4:$F$353,IFERROR(MATCH(231,'كشف الحساب'!$N$4:$N$353,0),0))),"")</f>
        <v/>
      </c>
      <c r="G235" s="64" t="str">
        <f>IFERROR(IF(IFERROR(MATCH(231,'كشف الحساب'!$N$4:$N$353,0),0)=0,"",INDEX('كشف الحساب'!$G$4:$G$353,IFERROR(MATCH(231,'كشف الحساب'!$N$4:$N$353,0),0))),"")</f>
        <v/>
      </c>
      <c r="H235" s="64" t="str">
        <f>IFERROR(IF(IFERROR(MATCH(231,'كشف الحساب'!$N$4:$N$353,0),0)=0,"",INDEX('كشف الحساب'!$H$4:$H$353,IFERROR(MATCH(231,'كشف الحساب'!$N$4:$N$353,0),0))),"")</f>
        <v/>
      </c>
      <c r="I235" s="64" t="str">
        <f>IFERROR(IF(IFERROR(MATCH(231,'كشف الحساب'!$N$4:$N$353,0),0)=0,"",INDEX('كشف الحساب'!$I$4:$I$353,IFERROR(MATCH(231,'كشف الحساب'!$N$4:$N$353,0),0))),"")</f>
        <v/>
      </c>
      <c r="J235" s="68" t="str">
        <f>IFERROR(IF(IFERROR(MATCH(231,'كشف الحساب'!$N$4:$N$353,0),0)=0,"",INDEX('كشف الحساب'!$J$4:$J$353,IFERROR(MATCH(231,'كشف الحساب'!$N$4:$N$353,0),0))),"")</f>
        <v/>
      </c>
      <c r="K235" s="64" t="str">
        <f>IFERROR(IF(IFERROR(MATCH(231,'كشف الحساب'!$N$4:$N$353,0),0)=0,"",INDEX('كشف الحساب'!$K$4:$K$353,IFERROR(MATCH(231,'كشف الحساب'!$N$4:$N$353,0),0))),"")</f>
        <v/>
      </c>
    </row>
    <row r="236" spans="1:11" ht="15" customHeight="1" x14ac:dyDescent="0.25">
      <c r="A236" s="69" t="str">
        <f>IFERROR(IF(IFERROR(MATCH(232,'كشف الحساب'!$N$4:$N$353,0),0)=0,"",INDEX('كشف الحساب'!$A$4:$A$353,IFERROR(MATCH(232,'كشف الحساب'!$N$4:$N$353,0),0))),"")</f>
        <v/>
      </c>
      <c r="B236" s="70" t="str">
        <f>IFERROR(IF(IFERROR(MATCH(232,'كشف الحساب'!$N$4:$N$353,0),0)=0,"",INDEX('كشف الحساب'!$B$4:$B$353,IFERROR(MATCH(232,'كشف الحساب'!$N$4:$N$353,0),0))),"")</f>
        <v/>
      </c>
      <c r="C236" s="71" t="str">
        <f>IFERROR(IF(IFERROR(MATCH(232,'كشف الحساب'!$N$4:$N$353,0),0)=0,"",INDEX('كشف الحساب'!$C$4:$C$353,IFERROR(MATCH(232,'كشف الحساب'!$N$4:$N$353,0),0))),"")</f>
        <v/>
      </c>
      <c r="D236" s="72" t="str">
        <f>IFERROR(IF(IFERROR(MATCH(232,'كشف الحساب'!$N$4:$N$353,0),0)=0,"",INDEX('كشف الحساب'!$D$4:$D$353,IFERROR(MATCH(232,'كشف الحساب'!$N$4:$N$353,0),0))),"")</f>
        <v/>
      </c>
      <c r="E236" s="73" t="str">
        <f>IFERROR(IF(IFERROR(MATCH(232,'كشف الحساب'!$N$4:$N$353,0),0)=0,"",INDEX('كشف الحساب'!$E$4:$E$353,IFERROR(MATCH(232,'كشف الحساب'!$N$4:$N$353,0),0))),"")</f>
        <v/>
      </c>
      <c r="F236" s="70" t="str">
        <f>IFERROR(IF(IFERROR(MATCH(232,'كشف الحساب'!$N$4:$N$353,0),0)=0,"",INDEX('كشف الحساب'!$F$4:$F$353,IFERROR(MATCH(232,'كشف الحساب'!$N$4:$N$353,0),0))),"")</f>
        <v/>
      </c>
      <c r="G236" s="70" t="str">
        <f>IFERROR(IF(IFERROR(MATCH(232,'كشف الحساب'!$N$4:$N$353,0),0)=0,"",INDEX('كشف الحساب'!$G$4:$G$353,IFERROR(MATCH(232,'كشف الحساب'!$N$4:$N$353,0),0))),"")</f>
        <v/>
      </c>
      <c r="H236" s="70" t="str">
        <f>IFERROR(IF(IFERROR(MATCH(232,'كشف الحساب'!$N$4:$N$353,0),0)=0,"",INDEX('كشف الحساب'!$H$4:$H$353,IFERROR(MATCH(232,'كشف الحساب'!$N$4:$N$353,0),0))),"")</f>
        <v/>
      </c>
      <c r="I236" s="70" t="str">
        <f>IFERROR(IF(IFERROR(MATCH(232,'كشف الحساب'!$N$4:$N$353,0),0)=0,"",INDEX('كشف الحساب'!$I$4:$I$353,IFERROR(MATCH(232,'كشف الحساب'!$N$4:$N$353,0),0))),"")</f>
        <v/>
      </c>
      <c r="J236" s="74" t="str">
        <f>IFERROR(IF(IFERROR(MATCH(232,'كشف الحساب'!$N$4:$N$353,0),0)=0,"",INDEX('كشف الحساب'!$J$4:$J$353,IFERROR(MATCH(232,'كشف الحساب'!$N$4:$N$353,0),0))),"")</f>
        <v/>
      </c>
      <c r="K236" s="70" t="str">
        <f>IFERROR(IF(IFERROR(MATCH(232,'كشف الحساب'!$N$4:$N$353,0),0)=0,"",INDEX('كشف الحساب'!$K$4:$K$353,IFERROR(MATCH(232,'كشف الحساب'!$N$4:$N$353,0),0))),"")</f>
        <v/>
      </c>
    </row>
    <row r="237" spans="1:11" ht="15" customHeight="1" x14ac:dyDescent="0.25">
      <c r="A237" s="63" t="str">
        <f>IFERROR(IF(IFERROR(MATCH(233,'كشف الحساب'!$N$4:$N$353,0),0)=0,"",INDEX('كشف الحساب'!$A$4:$A$353,IFERROR(MATCH(233,'كشف الحساب'!$N$4:$N$353,0),0))),"")</f>
        <v/>
      </c>
      <c r="B237" s="64" t="str">
        <f>IFERROR(IF(IFERROR(MATCH(233,'كشف الحساب'!$N$4:$N$353,0),0)=0,"",INDEX('كشف الحساب'!$B$4:$B$353,IFERROR(MATCH(233,'كشف الحساب'!$N$4:$N$353,0),0))),"")</f>
        <v/>
      </c>
      <c r="C237" s="65" t="str">
        <f>IFERROR(IF(IFERROR(MATCH(233,'كشف الحساب'!$N$4:$N$353,0),0)=0,"",INDEX('كشف الحساب'!$C$4:$C$353,IFERROR(MATCH(233,'كشف الحساب'!$N$4:$N$353,0),0))),"")</f>
        <v/>
      </c>
      <c r="D237" s="66" t="str">
        <f>IFERROR(IF(IFERROR(MATCH(233,'كشف الحساب'!$N$4:$N$353,0),0)=0,"",INDEX('كشف الحساب'!$D$4:$D$353,IFERROR(MATCH(233,'كشف الحساب'!$N$4:$N$353,0),0))),"")</f>
        <v/>
      </c>
      <c r="E237" s="67" t="str">
        <f>IFERROR(IF(IFERROR(MATCH(233,'كشف الحساب'!$N$4:$N$353,0),0)=0,"",INDEX('كشف الحساب'!$E$4:$E$353,IFERROR(MATCH(233,'كشف الحساب'!$N$4:$N$353,0),0))),"")</f>
        <v/>
      </c>
      <c r="F237" s="64" t="str">
        <f>IFERROR(IF(IFERROR(MATCH(233,'كشف الحساب'!$N$4:$N$353,0),0)=0,"",INDEX('كشف الحساب'!$F$4:$F$353,IFERROR(MATCH(233,'كشف الحساب'!$N$4:$N$353,0),0))),"")</f>
        <v/>
      </c>
      <c r="G237" s="64" t="str">
        <f>IFERROR(IF(IFERROR(MATCH(233,'كشف الحساب'!$N$4:$N$353,0),0)=0,"",INDEX('كشف الحساب'!$G$4:$G$353,IFERROR(MATCH(233,'كشف الحساب'!$N$4:$N$353,0),0))),"")</f>
        <v/>
      </c>
      <c r="H237" s="64" t="str">
        <f>IFERROR(IF(IFERROR(MATCH(233,'كشف الحساب'!$N$4:$N$353,0),0)=0,"",INDEX('كشف الحساب'!$H$4:$H$353,IFERROR(MATCH(233,'كشف الحساب'!$N$4:$N$353,0),0))),"")</f>
        <v/>
      </c>
      <c r="I237" s="64" t="str">
        <f>IFERROR(IF(IFERROR(MATCH(233,'كشف الحساب'!$N$4:$N$353,0),0)=0,"",INDEX('كشف الحساب'!$I$4:$I$353,IFERROR(MATCH(233,'كشف الحساب'!$N$4:$N$353,0),0))),"")</f>
        <v/>
      </c>
      <c r="J237" s="68" t="str">
        <f>IFERROR(IF(IFERROR(MATCH(233,'كشف الحساب'!$N$4:$N$353,0),0)=0,"",INDEX('كشف الحساب'!$J$4:$J$353,IFERROR(MATCH(233,'كشف الحساب'!$N$4:$N$353,0),0))),"")</f>
        <v/>
      </c>
      <c r="K237" s="64" t="str">
        <f>IFERROR(IF(IFERROR(MATCH(233,'كشف الحساب'!$N$4:$N$353,0),0)=0,"",INDEX('كشف الحساب'!$K$4:$K$353,IFERROR(MATCH(233,'كشف الحساب'!$N$4:$N$353,0),0))),"")</f>
        <v/>
      </c>
    </row>
    <row r="238" spans="1:11" ht="15" customHeight="1" x14ac:dyDescent="0.25">
      <c r="A238" s="69" t="str">
        <f>IFERROR(IF(IFERROR(MATCH(234,'كشف الحساب'!$N$4:$N$353,0),0)=0,"",INDEX('كشف الحساب'!$A$4:$A$353,IFERROR(MATCH(234,'كشف الحساب'!$N$4:$N$353,0),0))),"")</f>
        <v/>
      </c>
      <c r="B238" s="70" t="str">
        <f>IFERROR(IF(IFERROR(MATCH(234,'كشف الحساب'!$N$4:$N$353,0),0)=0,"",INDEX('كشف الحساب'!$B$4:$B$353,IFERROR(MATCH(234,'كشف الحساب'!$N$4:$N$353,0),0))),"")</f>
        <v/>
      </c>
      <c r="C238" s="71" t="str">
        <f>IFERROR(IF(IFERROR(MATCH(234,'كشف الحساب'!$N$4:$N$353,0),0)=0,"",INDEX('كشف الحساب'!$C$4:$C$353,IFERROR(MATCH(234,'كشف الحساب'!$N$4:$N$353,0),0))),"")</f>
        <v/>
      </c>
      <c r="D238" s="72" t="str">
        <f>IFERROR(IF(IFERROR(MATCH(234,'كشف الحساب'!$N$4:$N$353,0),0)=0,"",INDEX('كشف الحساب'!$D$4:$D$353,IFERROR(MATCH(234,'كشف الحساب'!$N$4:$N$353,0),0))),"")</f>
        <v/>
      </c>
      <c r="E238" s="73" t="str">
        <f>IFERROR(IF(IFERROR(MATCH(234,'كشف الحساب'!$N$4:$N$353,0),0)=0,"",INDEX('كشف الحساب'!$E$4:$E$353,IFERROR(MATCH(234,'كشف الحساب'!$N$4:$N$353,0),0))),"")</f>
        <v/>
      </c>
      <c r="F238" s="70" t="str">
        <f>IFERROR(IF(IFERROR(MATCH(234,'كشف الحساب'!$N$4:$N$353,0),0)=0,"",INDEX('كشف الحساب'!$F$4:$F$353,IFERROR(MATCH(234,'كشف الحساب'!$N$4:$N$353,0),0))),"")</f>
        <v/>
      </c>
      <c r="G238" s="70" t="str">
        <f>IFERROR(IF(IFERROR(MATCH(234,'كشف الحساب'!$N$4:$N$353,0),0)=0,"",INDEX('كشف الحساب'!$G$4:$G$353,IFERROR(MATCH(234,'كشف الحساب'!$N$4:$N$353,0),0))),"")</f>
        <v/>
      </c>
      <c r="H238" s="70" t="str">
        <f>IFERROR(IF(IFERROR(MATCH(234,'كشف الحساب'!$N$4:$N$353,0),0)=0,"",INDEX('كشف الحساب'!$H$4:$H$353,IFERROR(MATCH(234,'كشف الحساب'!$N$4:$N$353,0),0))),"")</f>
        <v/>
      </c>
      <c r="I238" s="70" t="str">
        <f>IFERROR(IF(IFERROR(MATCH(234,'كشف الحساب'!$N$4:$N$353,0),0)=0,"",INDEX('كشف الحساب'!$I$4:$I$353,IFERROR(MATCH(234,'كشف الحساب'!$N$4:$N$353,0),0))),"")</f>
        <v/>
      </c>
      <c r="J238" s="74" t="str">
        <f>IFERROR(IF(IFERROR(MATCH(234,'كشف الحساب'!$N$4:$N$353,0),0)=0,"",INDEX('كشف الحساب'!$J$4:$J$353,IFERROR(MATCH(234,'كشف الحساب'!$N$4:$N$353,0),0))),"")</f>
        <v/>
      </c>
      <c r="K238" s="70" t="str">
        <f>IFERROR(IF(IFERROR(MATCH(234,'كشف الحساب'!$N$4:$N$353,0),0)=0,"",INDEX('كشف الحساب'!$K$4:$K$353,IFERROR(MATCH(234,'كشف الحساب'!$N$4:$N$353,0),0))),"")</f>
        <v/>
      </c>
    </row>
    <row r="239" spans="1:11" ht="15" customHeight="1" x14ac:dyDescent="0.25">
      <c r="A239" s="63" t="str">
        <f>IFERROR(IF(IFERROR(MATCH(235,'كشف الحساب'!$N$4:$N$353,0),0)=0,"",INDEX('كشف الحساب'!$A$4:$A$353,IFERROR(MATCH(235,'كشف الحساب'!$N$4:$N$353,0),0))),"")</f>
        <v/>
      </c>
      <c r="B239" s="64" t="str">
        <f>IFERROR(IF(IFERROR(MATCH(235,'كشف الحساب'!$N$4:$N$353,0),0)=0,"",INDEX('كشف الحساب'!$B$4:$B$353,IFERROR(MATCH(235,'كشف الحساب'!$N$4:$N$353,0),0))),"")</f>
        <v/>
      </c>
      <c r="C239" s="65" t="str">
        <f>IFERROR(IF(IFERROR(MATCH(235,'كشف الحساب'!$N$4:$N$353,0),0)=0,"",INDEX('كشف الحساب'!$C$4:$C$353,IFERROR(MATCH(235,'كشف الحساب'!$N$4:$N$353,0),0))),"")</f>
        <v/>
      </c>
      <c r="D239" s="66" t="str">
        <f>IFERROR(IF(IFERROR(MATCH(235,'كشف الحساب'!$N$4:$N$353,0),0)=0,"",INDEX('كشف الحساب'!$D$4:$D$353,IFERROR(MATCH(235,'كشف الحساب'!$N$4:$N$353,0),0))),"")</f>
        <v/>
      </c>
      <c r="E239" s="67" t="str">
        <f>IFERROR(IF(IFERROR(MATCH(235,'كشف الحساب'!$N$4:$N$353,0),0)=0,"",INDEX('كشف الحساب'!$E$4:$E$353,IFERROR(MATCH(235,'كشف الحساب'!$N$4:$N$353,0),0))),"")</f>
        <v/>
      </c>
      <c r="F239" s="64" t="str">
        <f>IFERROR(IF(IFERROR(MATCH(235,'كشف الحساب'!$N$4:$N$353,0),0)=0,"",INDEX('كشف الحساب'!$F$4:$F$353,IFERROR(MATCH(235,'كشف الحساب'!$N$4:$N$353,0),0))),"")</f>
        <v/>
      </c>
      <c r="G239" s="64" t="str">
        <f>IFERROR(IF(IFERROR(MATCH(235,'كشف الحساب'!$N$4:$N$353,0),0)=0,"",INDEX('كشف الحساب'!$G$4:$G$353,IFERROR(MATCH(235,'كشف الحساب'!$N$4:$N$353,0),0))),"")</f>
        <v/>
      </c>
      <c r="H239" s="64" t="str">
        <f>IFERROR(IF(IFERROR(MATCH(235,'كشف الحساب'!$N$4:$N$353,0),0)=0,"",INDEX('كشف الحساب'!$H$4:$H$353,IFERROR(MATCH(235,'كشف الحساب'!$N$4:$N$353,0),0))),"")</f>
        <v/>
      </c>
      <c r="I239" s="64" t="str">
        <f>IFERROR(IF(IFERROR(MATCH(235,'كشف الحساب'!$N$4:$N$353,0),0)=0,"",INDEX('كشف الحساب'!$I$4:$I$353,IFERROR(MATCH(235,'كشف الحساب'!$N$4:$N$353,0),0))),"")</f>
        <v/>
      </c>
      <c r="J239" s="68" t="str">
        <f>IFERROR(IF(IFERROR(MATCH(235,'كشف الحساب'!$N$4:$N$353,0),0)=0,"",INDEX('كشف الحساب'!$J$4:$J$353,IFERROR(MATCH(235,'كشف الحساب'!$N$4:$N$353,0),0))),"")</f>
        <v/>
      </c>
      <c r="K239" s="64" t="str">
        <f>IFERROR(IF(IFERROR(MATCH(235,'كشف الحساب'!$N$4:$N$353,0),0)=0,"",INDEX('كشف الحساب'!$K$4:$K$353,IFERROR(MATCH(235,'كشف الحساب'!$N$4:$N$353,0),0))),"")</f>
        <v/>
      </c>
    </row>
    <row r="240" spans="1:11" ht="15" customHeight="1" x14ac:dyDescent="0.25">
      <c r="A240" s="69" t="str">
        <f>IFERROR(IF(IFERROR(MATCH(236,'كشف الحساب'!$N$4:$N$353,0),0)=0,"",INDEX('كشف الحساب'!$A$4:$A$353,IFERROR(MATCH(236,'كشف الحساب'!$N$4:$N$353,0),0))),"")</f>
        <v/>
      </c>
      <c r="B240" s="70" t="str">
        <f>IFERROR(IF(IFERROR(MATCH(236,'كشف الحساب'!$N$4:$N$353,0),0)=0,"",INDEX('كشف الحساب'!$B$4:$B$353,IFERROR(MATCH(236,'كشف الحساب'!$N$4:$N$353,0),0))),"")</f>
        <v/>
      </c>
      <c r="C240" s="71" t="str">
        <f>IFERROR(IF(IFERROR(MATCH(236,'كشف الحساب'!$N$4:$N$353,0),0)=0,"",INDEX('كشف الحساب'!$C$4:$C$353,IFERROR(MATCH(236,'كشف الحساب'!$N$4:$N$353,0),0))),"")</f>
        <v/>
      </c>
      <c r="D240" s="72" t="str">
        <f>IFERROR(IF(IFERROR(MATCH(236,'كشف الحساب'!$N$4:$N$353,0),0)=0,"",INDEX('كشف الحساب'!$D$4:$D$353,IFERROR(MATCH(236,'كشف الحساب'!$N$4:$N$353,0),0))),"")</f>
        <v/>
      </c>
      <c r="E240" s="73" t="str">
        <f>IFERROR(IF(IFERROR(MATCH(236,'كشف الحساب'!$N$4:$N$353,0),0)=0,"",INDEX('كشف الحساب'!$E$4:$E$353,IFERROR(MATCH(236,'كشف الحساب'!$N$4:$N$353,0),0))),"")</f>
        <v/>
      </c>
      <c r="F240" s="70" t="str">
        <f>IFERROR(IF(IFERROR(MATCH(236,'كشف الحساب'!$N$4:$N$353,0),0)=0,"",INDEX('كشف الحساب'!$F$4:$F$353,IFERROR(MATCH(236,'كشف الحساب'!$N$4:$N$353,0),0))),"")</f>
        <v/>
      </c>
      <c r="G240" s="70" t="str">
        <f>IFERROR(IF(IFERROR(MATCH(236,'كشف الحساب'!$N$4:$N$353,0),0)=0,"",INDEX('كشف الحساب'!$G$4:$G$353,IFERROR(MATCH(236,'كشف الحساب'!$N$4:$N$353,0),0))),"")</f>
        <v/>
      </c>
      <c r="H240" s="70" t="str">
        <f>IFERROR(IF(IFERROR(MATCH(236,'كشف الحساب'!$N$4:$N$353,0),0)=0,"",INDEX('كشف الحساب'!$H$4:$H$353,IFERROR(MATCH(236,'كشف الحساب'!$N$4:$N$353,0),0))),"")</f>
        <v/>
      </c>
      <c r="I240" s="70" t="str">
        <f>IFERROR(IF(IFERROR(MATCH(236,'كشف الحساب'!$N$4:$N$353,0),0)=0,"",INDEX('كشف الحساب'!$I$4:$I$353,IFERROR(MATCH(236,'كشف الحساب'!$N$4:$N$353,0),0))),"")</f>
        <v/>
      </c>
      <c r="J240" s="74" t="str">
        <f>IFERROR(IF(IFERROR(MATCH(236,'كشف الحساب'!$N$4:$N$353,0),0)=0,"",INDEX('كشف الحساب'!$J$4:$J$353,IFERROR(MATCH(236,'كشف الحساب'!$N$4:$N$353,0),0))),"")</f>
        <v/>
      </c>
      <c r="K240" s="70" t="str">
        <f>IFERROR(IF(IFERROR(MATCH(236,'كشف الحساب'!$N$4:$N$353,0),0)=0,"",INDEX('كشف الحساب'!$K$4:$K$353,IFERROR(MATCH(236,'كشف الحساب'!$N$4:$N$353,0),0))),"")</f>
        <v/>
      </c>
    </row>
    <row r="241" spans="1:11" ht="15" customHeight="1" x14ac:dyDescent="0.25">
      <c r="A241" s="63" t="str">
        <f>IFERROR(IF(IFERROR(MATCH(237,'كشف الحساب'!$N$4:$N$353,0),0)=0,"",INDEX('كشف الحساب'!$A$4:$A$353,IFERROR(MATCH(237,'كشف الحساب'!$N$4:$N$353,0),0))),"")</f>
        <v/>
      </c>
      <c r="B241" s="64" t="str">
        <f>IFERROR(IF(IFERROR(MATCH(237,'كشف الحساب'!$N$4:$N$353,0),0)=0,"",INDEX('كشف الحساب'!$B$4:$B$353,IFERROR(MATCH(237,'كشف الحساب'!$N$4:$N$353,0),0))),"")</f>
        <v/>
      </c>
      <c r="C241" s="65" t="str">
        <f>IFERROR(IF(IFERROR(MATCH(237,'كشف الحساب'!$N$4:$N$353,0),0)=0,"",INDEX('كشف الحساب'!$C$4:$C$353,IFERROR(MATCH(237,'كشف الحساب'!$N$4:$N$353,0),0))),"")</f>
        <v/>
      </c>
      <c r="D241" s="66" t="str">
        <f>IFERROR(IF(IFERROR(MATCH(237,'كشف الحساب'!$N$4:$N$353,0),0)=0,"",INDEX('كشف الحساب'!$D$4:$D$353,IFERROR(MATCH(237,'كشف الحساب'!$N$4:$N$353,0),0))),"")</f>
        <v/>
      </c>
      <c r="E241" s="67" t="str">
        <f>IFERROR(IF(IFERROR(MATCH(237,'كشف الحساب'!$N$4:$N$353,0),0)=0,"",INDEX('كشف الحساب'!$E$4:$E$353,IFERROR(MATCH(237,'كشف الحساب'!$N$4:$N$353,0),0))),"")</f>
        <v/>
      </c>
      <c r="F241" s="64" t="str">
        <f>IFERROR(IF(IFERROR(MATCH(237,'كشف الحساب'!$N$4:$N$353,0),0)=0,"",INDEX('كشف الحساب'!$F$4:$F$353,IFERROR(MATCH(237,'كشف الحساب'!$N$4:$N$353,0),0))),"")</f>
        <v/>
      </c>
      <c r="G241" s="64" t="str">
        <f>IFERROR(IF(IFERROR(MATCH(237,'كشف الحساب'!$N$4:$N$353,0),0)=0,"",INDEX('كشف الحساب'!$G$4:$G$353,IFERROR(MATCH(237,'كشف الحساب'!$N$4:$N$353,0),0))),"")</f>
        <v/>
      </c>
      <c r="H241" s="64" t="str">
        <f>IFERROR(IF(IFERROR(MATCH(237,'كشف الحساب'!$N$4:$N$353,0),0)=0,"",INDEX('كشف الحساب'!$H$4:$H$353,IFERROR(MATCH(237,'كشف الحساب'!$N$4:$N$353,0),0))),"")</f>
        <v/>
      </c>
      <c r="I241" s="64" t="str">
        <f>IFERROR(IF(IFERROR(MATCH(237,'كشف الحساب'!$N$4:$N$353,0),0)=0,"",INDEX('كشف الحساب'!$I$4:$I$353,IFERROR(MATCH(237,'كشف الحساب'!$N$4:$N$353,0),0))),"")</f>
        <v/>
      </c>
      <c r="J241" s="68" t="str">
        <f>IFERROR(IF(IFERROR(MATCH(237,'كشف الحساب'!$N$4:$N$353,0),0)=0,"",INDEX('كشف الحساب'!$J$4:$J$353,IFERROR(MATCH(237,'كشف الحساب'!$N$4:$N$353,0),0))),"")</f>
        <v/>
      </c>
      <c r="K241" s="64" t="str">
        <f>IFERROR(IF(IFERROR(MATCH(237,'كشف الحساب'!$N$4:$N$353,0),0)=0,"",INDEX('كشف الحساب'!$K$4:$K$353,IFERROR(MATCH(237,'كشف الحساب'!$N$4:$N$353,0),0))),"")</f>
        <v/>
      </c>
    </row>
    <row r="242" spans="1:11" ht="15" customHeight="1" x14ac:dyDescent="0.25">
      <c r="A242" s="69" t="str">
        <f>IFERROR(IF(IFERROR(MATCH(238,'كشف الحساب'!$N$4:$N$353,0),0)=0,"",INDEX('كشف الحساب'!$A$4:$A$353,IFERROR(MATCH(238,'كشف الحساب'!$N$4:$N$353,0),0))),"")</f>
        <v/>
      </c>
      <c r="B242" s="70" t="str">
        <f>IFERROR(IF(IFERROR(MATCH(238,'كشف الحساب'!$N$4:$N$353,0),0)=0,"",INDEX('كشف الحساب'!$B$4:$B$353,IFERROR(MATCH(238,'كشف الحساب'!$N$4:$N$353,0),0))),"")</f>
        <v/>
      </c>
      <c r="C242" s="71" t="str">
        <f>IFERROR(IF(IFERROR(MATCH(238,'كشف الحساب'!$N$4:$N$353,0),0)=0,"",INDEX('كشف الحساب'!$C$4:$C$353,IFERROR(MATCH(238,'كشف الحساب'!$N$4:$N$353,0),0))),"")</f>
        <v/>
      </c>
      <c r="D242" s="72" t="str">
        <f>IFERROR(IF(IFERROR(MATCH(238,'كشف الحساب'!$N$4:$N$353,0),0)=0,"",INDEX('كشف الحساب'!$D$4:$D$353,IFERROR(MATCH(238,'كشف الحساب'!$N$4:$N$353,0),0))),"")</f>
        <v/>
      </c>
      <c r="E242" s="73" t="str">
        <f>IFERROR(IF(IFERROR(MATCH(238,'كشف الحساب'!$N$4:$N$353,0),0)=0,"",INDEX('كشف الحساب'!$E$4:$E$353,IFERROR(MATCH(238,'كشف الحساب'!$N$4:$N$353,0),0))),"")</f>
        <v/>
      </c>
      <c r="F242" s="70" t="str">
        <f>IFERROR(IF(IFERROR(MATCH(238,'كشف الحساب'!$N$4:$N$353,0),0)=0,"",INDEX('كشف الحساب'!$F$4:$F$353,IFERROR(MATCH(238,'كشف الحساب'!$N$4:$N$353,0),0))),"")</f>
        <v/>
      </c>
      <c r="G242" s="70" t="str">
        <f>IFERROR(IF(IFERROR(MATCH(238,'كشف الحساب'!$N$4:$N$353,0),0)=0,"",INDEX('كشف الحساب'!$G$4:$G$353,IFERROR(MATCH(238,'كشف الحساب'!$N$4:$N$353,0),0))),"")</f>
        <v/>
      </c>
      <c r="H242" s="70" t="str">
        <f>IFERROR(IF(IFERROR(MATCH(238,'كشف الحساب'!$N$4:$N$353,0),0)=0,"",INDEX('كشف الحساب'!$H$4:$H$353,IFERROR(MATCH(238,'كشف الحساب'!$N$4:$N$353,0),0))),"")</f>
        <v/>
      </c>
      <c r="I242" s="70" t="str">
        <f>IFERROR(IF(IFERROR(MATCH(238,'كشف الحساب'!$N$4:$N$353,0),0)=0,"",INDEX('كشف الحساب'!$I$4:$I$353,IFERROR(MATCH(238,'كشف الحساب'!$N$4:$N$353,0),0))),"")</f>
        <v/>
      </c>
      <c r="J242" s="74" t="str">
        <f>IFERROR(IF(IFERROR(MATCH(238,'كشف الحساب'!$N$4:$N$353,0),0)=0,"",INDEX('كشف الحساب'!$J$4:$J$353,IFERROR(MATCH(238,'كشف الحساب'!$N$4:$N$353,0),0))),"")</f>
        <v/>
      </c>
      <c r="K242" s="70" t="str">
        <f>IFERROR(IF(IFERROR(MATCH(238,'كشف الحساب'!$N$4:$N$353,0),0)=0,"",INDEX('كشف الحساب'!$K$4:$K$353,IFERROR(MATCH(238,'كشف الحساب'!$N$4:$N$353,0),0))),"")</f>
        <v/>
      </c>
    </row>
    <row r="243" spans="1:11" ht="15" customHeight="1" x14ac:dyDescent="0.25">
      <c r="A243" s="63" t="str">
        <f>IFERROR(IF(IFERROR(MATCH(239,'كشف الحساب'!$N$4:$N$353,0),0)=0,"",INDEX('كشف الحساب'!$A$4:$A$353,IFERROR(MATCH(239,'كشف الحساب'!$N$4:$N$353,0),0))),"")</f>
        <v/>
      </c>
      <c r="B243" s="64" t="str">
        <f>IFERROR(IF(IFERROR(MATCH(239,'كشف الحساب'!$N$4:$N$353,0),0)=0,"",INDEX('كشف الحساب'!$B$4:$B$353,IFERROR(MATCH(239,'كشف الحساب'!$N$4:$N$353,0),0))),"")</f>
        <v/>
      </c>
      <c r="C243" s="65" t="str">
        <f>IFERROR(IF(IFERROR(MATCH(239,'كشف الحساب'!$N$4:$N$353,0),0)=0,"",INDEX('كشف الحساب'!$C$4:$C$353,IFERROR(MATCH(239,'كشف الحساب'!$N$4:$N$353,0),0))),"")</f>
        <v/>
      </c>
      <c r="D243" s="66" t="str">
        <f>IFERROR(IF(IFERROR(MATCH(239,'كشف الحساب'!$N$4:$N$353,0),0)=0,"",INDEX('كشف الحساب'!$D$4:$D$353,IFERROR(MATCH(239,'كشف الحساب'!$N$4:$N$353,0),0))),"")</f>
        <v/>
      </c>
      <c r="E243" s="67" t="str">
        <f>IFERROR(IF(IFERROR(MATCH(239,'كشف الحساب'!$N$4:$N$353,0),0)=0,"",INDEX('كشف الحساب'!$E$4:$E$353,IFERROR(MATCH(239,'كشف الحساب'!$N$4:$N$353,0),0))),"")</f>
        <v/>
      </c>
      <c r="F243" s="64" t="str">
        <f>IFERROR(IF(IFERROR(MATCH(239,'كشف الحساب'!$N$4:$N$353,0),0)=0,"",INDEX('كشف الحساب'!$F$4:$F$353,IFERROR(MATCH(239,'كشف الحساب'!$N$4:$N$353,0),0))),"")</f>
        <v/>
      </c>
      <c r="G243" s="64" t="str">
        <f>IFERROR(IF(IFERROR(MATCH(239,'كشف الحساب'!$N$4:$N$353,0),0)=0,"",INDEX('كشف الحساب'!$G$4:$G$353,IFERROR(MATCH(239,'كشف الحساب'!$N$4:$N$353,0),0))),"")</f>
        <v/>
      </c>
      <c r="H243" s="64" t="str">
        <f>IFERROR(IF(IFERROR(MATCH(239,'كشف الحساب'!$N$4:$N$353,0),0)=0,"",INDEX('كشف الحساب'!$H$4:$H$353,IFERROR(MATCH(239,'كشف الحساب'!$N$4:$N$353,0),0))),"")</f>
        <v/>
      </c>
      <c r="I243" s="64" t="str">
        <f>IFERROR(IF(IFERROR(MATCH(239,'كشف الحساب'!$N$4:$N$353,0),0)=0,"",INDEX('كشف الحساب'!$I$4:$I$353,IFERROR(MATCH(239,'كشف الحساب'!$N$4:$N$353,0),0))),"")</f>
        <v/>
      </c>
      <c r="J243" s="68" t="str">
        <f>IFERROR(IF(IFERROR(MATCH(239,'كشف الحساب'!$N$4:$N$353,0),0)=0,"",INDEX('كشف الحساب'!$J$4:$J$353,IFERROR(MATCH(239,'كشف الحساب'!$N$4:$N$353,0),0))),"")</f>
        <v/>
      </c>
      <c r="K243" s="64" t="str">
        <f>IFERROR(IF(IFERROR(MATCH(239,'كشف الحساب'!$N$4:$N$353,0),0)=0,"",INDEX('كشف الحساب'!$K$4:$K$353,IFERROR(MATCH(239,'كشف الحساب'!$N$4:$N$353,0),0))),"")</f>
        <v/>
      </c>
    </row>
    <row r="244" spans="1:11" ht="15" customHeight="1" x14ac:dyDescent="0.25">
      <c r="A244" s="69" t="str">
        <f>IFERROR(IF(IFERROR(MATCH(240,'كشف الحساب'!$N$4:$N$353,0),0)=0,"",INDEX('كشف الحساب'!$A$4:$A$353,IFERROR(MATCH(240,'كشف الحساب'!$N$4:$N$353,0),0))),"")</f>
        <v/>
      </c>
      <c r="B244" s="70" t="str">
        <f>IFERROR(IF(IFERROR(MATCH(240,'كشف الحساب'!$N$4:$N$353,0),0)=0,"",INDEX('كشف الحساب'!$B$4:$B$353,IFERROR(MATCH(240,'كشف الحساب'!$N$4:$N$353,0),0))),"")</f>
        <v/>
      </c>
      <c r="C244" s="71" t="str">
        <f>IFERROR(IF(IFERROR(MATCH(240,'كشف الحساب'!$N$4:$N$353,0),0)=0,"",INDEX('كشف الحساب'!$C$4:$C$353,IFERROR(MATCH(240,'كشف الحساب'!$N$4:$N$353,0),0))),"")</f>
        <v/>
      </c>
      <c r="D244" s="72" t="str">
        <f>IFERROR(IF(IFERROR(MATCH(240,'كشف الحساب'!$N$4:$N$353,0),0)=0,"",INDEX('كشف الحساب'!$D$4:$D$353,IFERROR(MATCH(240,'كشف الحساب'!$N$4:$N$353,0),0))),"")</f>
        <v/>
      </c>
      <c r="E244" s="73" t="str">
        <f>IFERROR(IF(IFERROR(MATCH(240,'كشف الحساب'!$N$4:$N$353,0),0)=0,"",INDEX('كشف الحساب'!$E$4:$E$353,IFERROR(MATCH(240,'كشف الحساب'!$N$4:$N$353,0),0))),"")</f>
        <v/>
      </c>
      <c r="F244" s="70" t="str">
        <f>IFERROR(IF(IFERROR(MATCH(240,'كشف الحساب'!$N$4:$N$353,0),0)=0,"",INDEX('كشف الحساب'!$F$4:$F$353,IFERROR(MATCH(240,'كشف الحساب'!$N$4:$N$353,0),0))),"")</f>
        <v/>
      </c>
      <c r="G244" s="70" t="str">
        <f>IFERROR(IF(IFERROR(MATCH(240,'كشف الحساب'!$N$4:$N$353,0),0)=0,"",INDEX('كشف الحساب'!$G$4:$G$353,IFERROR(MATCH(240,'كشف الحساب'!$N$4:$N$353,0),0))),"")</f>
        <v/>
      </c>
      <c r="H244" s="70" t="str">
        <f>IFERROR(IF(IFERROR(MATCH(240,'كشف الحساب'!$N$4:$N$353,0),0)=0,"",INDEX('كشف الحساب'!$H$4:$H$353,IFERROR(MATCH(240,'كشف الحساب'!$N$4:$N$353,0),0))),"")</f>
        <v/>
      </c>
      <c r="I244" s="70" t="str">
        <f>IFERROR(IF(IFERROR(MATCH(240,'كشف الحساب'!$N$4:$N$353,0),0)=0,"",INDEX('كشف الحساب'!$I$4:$I$353,IFERROR(MATCH(240,'كشف الحساب'!$N$4:$N$353,0),0))),"")</f>
        <v/>
      </c>
      <c r="J244" s="74" t="str">
        <f>IFERROR(IF(IFERROR(MATCH(240,'كشف الحساب'!$N$4:$N$353,0),0)=0,"",INDEX('كشف الحساب'!$J$4:$J$353,IFERROR(MATCH(240,'كشف الحساب'!$N$4:$N$353,0),0))),"")</f>
        <v/>
      </c>
      <c r="K244" s="70" t="str">
        <f>IFERROR(IF(IFERROR(MATCH(240,'كشف الحساب'!$N$4:$N$353,0),0)=0,"",INDEX('كشف الحساب'!$K$4:$K$353,IFERROR(MATCH(240,'كشف الحساب'!$N$4:$N$353,0),0))),"")</f>
        <v/>
      </c>
    </row>
    <row r="245" spans="1:11" ht="15" customHeight="1" x14ac:dyDescent="0.25">
      <c r="A245" s="63" t="str">
        <f>IFERROR(IF(IFERROR(MATCH(241,'كشف الحساب'!$N$4:$N$353,0),0)=0,"",INDEX('كشف الحساب'!$A$4:$A$353,IFERROR(MATCH(241,'كشف الحساب'!$N$4:$N$353,0),0))),"")</f>
        <v/>
      </c>
      <c r="B245" s="64" t="str">
        <f>IFERROR(IF(IFERROR(MATCH(241,'كشف الحساب'!$N$4:$N$353,0),0)=0,"",INDEX('كشف الحساب'!$B$4:$B$353,IFERROR(MATCH(241,'كشف الحساب'!$N$4:$N$353,0),0))),"")</f>
        <v/>
      </c>
      <c r="C245" s="65" t="str">
        <f>IFERROR(IF(IFERROR(MATCH(241,'كشف الحساب'!$N$4:$N$353,0),0)=0,"",INDEX('كشف الحساب'!$C$4:$C$353,IFERROR(MATCH(241,'كشف الحساب'!$N$4:$N$353,0),0))),"")</f>
        <v/>
      </c>
      <c r="D245" s="66" t="str">
        <f>IFERROR(IF(IFERROR(MATCH(241,'كشف الحساب'!$N$4:$N$353,0),0)=0,"",INDEX('كشف الحساب'!$D$4:$D$353,IFERROR(MATCH(241,'كشف الحساب'!$N$4:$N$353,0),0))),"")</f>
        <v/>
      </c>
      <c r="E245" s="67" t="str">
        <f>IFERROR(IF(IFERROR(MATCH(241,'كشف الحساب'!$N$4:$N$353,0),0)=0,"",INDEX('كشف الحساب'!$E$4:$E$353,IFERROR(MATCH(241,'كشف الحساب'!$N$4:$N$353,0),0))),"")</f>
        <v/>
      </c>
      <c r="F245" s="64" t="str">
        <f>IFERROR(IF(IFERROR(MATCH(241,'كشف الحساب'!$N$4:$N$353,0),0)=0,"",INDEX('كشف الحساب'!$F$4:$F$353,IFERROR(MATCH(241,'كشف الحساب'!$N$4:$N$353,0),0))),"")</f>
        <v/>
      </c>
      <c r="G245" s="64" t="str">
        <f>IFERROR(IF(IFERROR(MATCH(241,'كشف الحساب'!$N$4:$N$353,0),0)=0,"",INDEX('كشف الحساب'!$G$4:$G$353,IFERROR(MATCH(241,'كشف الحساب'!$N$4:$N$353,0),0))),"")</f>
        <v/>
      </c>
      <c r="H245" s="64" t="str">
        <f>IFERROR(IF(IFERROR(MATCH(241,'كشف الحساب'!$N$4:$N$353,0),0)=0,"",INDEX('كشف الحساب'!$H$4:$H$353,IFERROR(MATCH(241,'كشف الحساب'!$N$4:$N$353,0),0))),"")</f>
        <v/>
      </c>
      <c r="I245" s="64" t="str">
        <f>IFERROR(IF(IFERROR(MATCH(241,'كشف الحساب'!$N$4:$N$353,0),0)=0,"",INDEX('كشف الحساب'!$I$4:$I$353,IFERROR(MATCH(241,'كشف الحساب'!$N$4:$N$353,0),0))),"")</f>
        <v/>
      </c>
      <c r="J245" s="68" t="str">
        <f>IFERROR(IF(IFERROR(MATCH(241,'كشف الحساب'!$N$4:$N$353,0),0)=0,"",INDEX('كشف الحساب'!$J$4:$J$353,IFERROR(MATCH(241,'كشف الحساب'!$N$4:$N$353,0),0))),"")</f>
        <v/>
      </c>
      <c r="K245" s="64" t="str">
        <f>IFERROR(IF(IFERROR(MATCH(241,'كشف الحساب'!$N$4:$N$353,0),0)=0,"",INDEX('كشف الحساب'!$K$4:$K$353,IFERROR(MATCH(241,'كشف الحساب'!$N$4:$N$353,0),0))),"")</f>
        <v/>
      </c>
    </row>
    <row r="246" spans="1:11" ht="15" customHeight="1" x14ac:dyDescent="0.25">
      <c r="A246" s="69" t="str">
        <f>IFERROR(IF(IFERROR(MATCH(242,'كشف الحساب'!$N$4:$N$353,0),0)=0,"",INDEX('كشف الحساب'!$A$4:$A$353,IFERROR(MATCH(242,'كشف الحساب'!$N$4:$N$353,0),0))),"")</f>
        <v/>
      </c>
      <c r="B246" s="70" t="str">
        <f>IFERROR(IF(IFERROR(MATCH(242,'كشف الحساب'!$N$4:$N$353,0),0)=0,"",INDEX('كشف الحساب'!$B$4:$B$353,IFERROR(MATCH(242,'كشف الحساب'!$N$4:$N$353,0),0))),"")</f>
        <v/>
      </c>
      <c r="C246" s="71" t="str">
        <f>IFERROR(IF(IFERROR(MATCH(242,'كشف الحساب'!$N$4:$N$353,0),0)=0,"",INDEX('كشف الحساب'!$C$4:$C$353,IFERROR(MATCH(242,'كشف الحساب'!$N$4:$N$353,0),0))),"")</f>
        <v/>
      </c>
      <c r="D246" s="72" t="str">
        <f>IFERROR(IF(IFERROR(MATCH(242,'كشف الحساب'!$N$4:$N$353,0),0)=0,"",INDEX('كشف الحساب'!$D$4:$D$353,IFERROR(MATCH(242,'كشف الحساب'!$N$4:$N$353,0),0))),"")</f>
        <v/>
      </c>
      <c r="E246" s="73" t="str">
        <f>IFERROR(IF(IFERROR(MATCH(242,'كشف الحساب'!$N$4:$N$353,0),0)=0,"",INDEX('كشف الحساب'!$E$4:$E$353,IFERROR(MATCH(242,'كشف الحساب'!$N$4:$N$353,0),0))),"")</f>
        <v/>
      </c>
      <c r="F246" s="70" t="str">
        <f>IFERROR(IF(IFERROR(MATCH(242,'كشف الحساب'!$N$4:$N$353,0),0)=0,"",INDEX('كشف الحساب'!$F$4:$F$353,IFERROR(MATCH(242,'كشف الحساب'!$N$4:$N$353,0),0))),"")</f>
        <v/>
      </c>
      <c r="G246" s="70" t="str">
        <f>IFERROR(IF(IFERROR(MATCH(242,'كشف الحساب'!$N$4:$N$353,0),0)=0,"",INDEX('كشف الحساب'!$G$4:$G$353,IFERROR(MATCH(242,'كشف الحساب'!$N$4:$N$353,0),0))),"")</f>
        <v/>
      </c>
      <c r="H246" s="70" t="str">
        <f>IFERROR(IF(IFERROR(MATCH(242,'كشف الحساب'!$N$4:$N$353,0),0)=0,"",INDEX('كشف الحساب'!$H$4:$H$353,IFERROR(MATCH(242,'كشف الحساب'!$N$4:$N$353,0),0))),"")</f>
        <v/>
      </c>
      <c r="I246" s="70" t="str">
        <f>IFERROR(IF(IFERROR(MATCH(242,'كشف الحساب'!$N$4:$N$353,0),0)=0,"",INDEX('كشف الحساب'!$I$4:$I$353,IFERROR(MATCH(242,'كشف الحساب'!$N$4:$N$353,0),0))),"")</f>
        <v/>
      </c>
      <c r="J246" s="74" t="str">
        <f>IFERROR(IF(IFERROR(MATCH(242,'كشف الحساب'!$N$4:$N$353,0),0)=0,"",INDEX('كشف الحساب'!$J$4:$J$353,IFERROR(MATCH(242,'كشف الحساب'!$N$4:$N$353,0),0))),"")</f>
        <v/>
      </c>
      <c r="K246" s="70" t="str">
        <f>IFERROR(IF(IFERROR(MATCH(242,'كشف الحساب'!$N$4:$N$353,0),0)=0,"",INDEX('كشف الحساب'!$K$4:$K$353,IFERROR(MATCH(242,'كشف الحساب'!$N$4:$N$353,0),0))),"")</f>
        <v/>
      </c>
    </row>
    <row r="247" spans="1:11" ht="15" customHeight="1" x14ac:dyDescent="0.25">
      <c r="A247" s="63" t="str">
        <f>IFERROR(IF(IFERROR(MATCH(243,'كشف الحساب'!$N$4:$N$353,0),0)=0,"",INDEX('كشف الحساب'!$A$4:$A$353,IFERROR(MATCH(243,'كشف الحساب'!$N$4:$N$353,0),0))),"")</f>
        <v/>
      </c>
      <c r="B247" s="64" t="str">
        <f>IFERROR(IF(IFERROR(MATCH(243,'كشف الحساب'!$N$4:$N$353,0),0)=0,"",INDEX('كشف الحساب'!$B$4:$B$353,IFERROR(MATCH(243,'كشف الحساب'!$N$4:$N$353,0),0))),"")</f>
        <v/>
      </c>
      <c r="C247" s="65" t="str">
        <f>IFERROR(IF(IFERROR(MATCH(243,'كشف الحساب'!$N$4:$N$353,0),0)=0,"",INDEX('كشف الحساب'!$C$4:$C$353,IFERROR(MATCH(243,'كشف الحساب'!$N$4:$N$353,0),0))),"")</f>
        <v/>
      </c>
      <c r="D247" s="66" t="str">
        <f>IFERROR(IF(IFERROR(MATCH(243,'كشف الحساب'!$N$4:$N$353,0),0)=0,"",INDEX('كشف الحساب'!$D$4:$D$353,IFERROR(MATCH(243,'كشف الحساب'!$N$4:$N$353,0),0))),"")</f>
        <v/>
      </c>
      <c r="E247" s="67" t="str">
        <f>IFERROR(IF(IFERROR(MATCH(243,'كشف الحساب'!$N$4:$N$353,0),0)=0,"",INDEX('كشف الحساب'!$E$4:$E$353,IFERROR(MATCH(243,'كشف الحساب'!$N$4:$N$353,0),0))),"")</f>
        <v/>
      </c>
      <c r="F247" s="64" t="str">
        <f>IFERROR(IF(IFERROR(MATCH(243,'كشف الحساب'!$N$4:$N$353,0),0)=0,"",INDEX('كشف الحساب'!$F$4:$F$353,IFERROR(MATCH(243,'كشف الحساب'!$N$4:$N$353,0),0))),"")</f>
        <v/>
      </c>
      <c r="G247" s="64" t="str">
        <f>IFERROR(IF(IFERROR(MATCH(243,'كشف الحساب'!$N$4:$N$353,0),0)=0,"",INDEX('كشف الحساب'!$G$4:$G$353,IFERROR(MATCH(243,'كشف الحساب'!$N$4:$N$353,0),0))),"")</f>
        <v/>
      </c>
      <c r="H247" s="64" t="str">
        <f>IFERROR(IF(IFERROR(MATCH(243,'كشف الحساب'!$N$4:$N$353,0),0)=0,"",INDEX('كشف الحساب'!$H$4:$H$353,IFERROR(MATCH(243,'كشف الحساب'!$N$4:$N$353,0),0))),"")</f>
        <v/>
      </c>
      <c r="I247" s="64" t="str">
        <f>IFERROR(IF(IFERROR(MATCH(243,'كشف الحساب'!$N$4:$N$353,0),0)=0,"",INDEX('كشف الحساب'!$I$4:$I$353,IFERROR(MATCH(243,'كشف الحساب'!$N$4:$N$353,0),0))),"")</f>
        <v/>
      </c>
      <c r="J247" s="68" t="str">
        <f>IFERROR(IF(IFERROR(MATCH(243,'كشف الحساب'!$N$4:$N$353,0),0)=0,"",INDEX('كشف الحساب'!$J$4:$J$353,IFERROR(MATCH(243,'كشف الحساب'!$N$4:$N$353,0),0))),"")</f>
        <v/>
      </c>
      <c r="K247" s="64" t="str">
        <f>IFERROR(IF(IFERROR(MATCH(243,'كشف الحساب'!$N$4:$N$353,0),0)=0,"",INDEX('كشف الحساب'!$K$4:$K$353,IFERROR(MATCH(243,'كشف الحساب'!$N$4:$N$353,0),0))),"")</f>
        <v/>
      </c>
    </row>
    <row r="248" spans="1:11" ht="15" customHeight="1" x14ac:dyDescent="0.25">
      <c r="A248" s="69" t="str">
        <f>IFERROR(IF(IFERROR(MATCH(244,'كشف الحساب'!$N$4:$N$353,0),0)=0,"",INDEX('كشف الحساب'!$A$4:$A$353,IFERROR(MATCH(244,'كشف الحساب'!$N$4:$N$353,0),0))),"")</f>
        <v/>
      </c>
      <c r="B248" s="70" t="str">
        <f>IFERROR(IF(IFERROR(MATCH(244,'كشف الحساب'!$N$4:$N$353,0),0)=0,"",INDEX('كشف الحساب'!$B$4:$B$353,IFERROR(MATCH(244,'كشف الحساب'!$N$4:$N$353,0),0))),"")</f>
        <v/>
      </c>
      <c r="C248" s="71" t="str">
        <f>IFERROR(IF(IFERROR(MATCH(244,'كشف الحساب'!$N$4:$N$353,0),0)=0,"",INDEX('كشف الحساب'!$C$4:$C$353,IFERROR(MATCH(244,'كشف الحساب'!$N$4:$N$353,0),0))),"")</f>
        <v/>
      </c>
      <c r="D248" s="72" t="str">
        <f>IFERROR(IF(IFERROR(MATCH(244,'كشف الحساب'!$N$4:$N$353,0),0)=0,"",INDEX('كشف الحساب'!$D$4:$D$353,IFERROR(MATCH(244,'كشف الحساب'!$N$4:$N$353,0),0))),"")</f>
        <v/>
      </c>
      <c r="E248" s="73" t="str">
        <f>IFERROR(IF(IFERROR(MATCH(244,'كشف الحساب'!$N$4:$N$353,0),0)=0,"",INDEX('كشف الحساب'!$E$4:$E$353,IFERROR(MATCH(244,'كشف الحساب'!$N$4:$N$353,0),0))),"")</f>
        <v/>
      </c>
      <c r="F248" s="70" t="str">
        <f>IFERROR(IF(IFERROR(MATCH(244,'كشف الحساب'!$N$4:$N$353,0),0)=0,"",INDEX('كشف الحساب'!$F$4:$F$353,IFERROR(MATCH(244,'كشف الحساب'!$N$4:$N$353,0),0))),"")</f>
        <v/>
      </c>
      <c r="G248" s="70" t="str">
        <f>IFERROR(IF(IFERROR(MATCH(244,'كشف الحساب'!$N$4:$N$353,0),0)=0,"",INDEX('كشف الحساب'!$G$4:$G$353,IFERROR(MATCH(244,'كشف الحساب'!$N$4:$N$353,0),0))),"")</f>
        <v/>
      </c>
      <c r="H248" s="70" t="str">
        <f>IFERROR(IF(IFERROR(MATCH(244,'كشف الحساب'!$N$4:$N$353,0),0)=0,"",INDEX('كشف الحساب'!$H$4:$H$353,IFERROR(MATCH(244,'كشف الحساب'!$N$4:$N$353,0),0))),"")</f>
        <v/>
      </c>
      <c r="I248" s="70" t="str">
        <f>IFERROR(IF(IFERROR(MATCH(244,'كشف الحساب'!$N$4:$N$353,0),0)=0,"",INDEX('كشف الحساب'!$I$4:$I$353,IFERROR(MATCH(244,'كشف الحساب'!$N$4:$N$353,0),0))),"")</f>
        <v/>
      </c>
      <c r="J248" s="74" t="str">
        <f>IFERROR(IF(IFERROR(MATCH(244,'كشف الحساب'!$N$4:$N$353,0),0)=0,"",INDEX('كشف الحساب'!$J$4:$J$353,IFERROR(MATCH(244,'كشف الحساب'!$N$4:$N$353,0),0))),"")</f>
        <v/>
      </c>
      <c r="K248" s="70" t="str">
        <f>IFERROR(IF(IFERROR(MATCH(244,'كشف الحساب'!$N$4:$N$353,0),0)=0,"",INDEX('كشف الحساب'!$K$4:$K$353,IFERROR(MATCH(244,'كشف الحساب'!$N$4:$N$353,0),0))),"")</f>
        <v/>
      </c>
    </row>
    <row r="249" spans="1:11" ht="15" customHeight="1" x14ac:dyDescent="0.25">
      <c r="A249" s="63" t="str">
        <f>IFERROR(IF(IFERROR(MATCH(245,'كشف الحساب'!$N$4:$N$353,0),0)=0,"",INDEX('كشف الحساب'!$A$4:$A$353,IFERROR(MATCH(245,'كشف الحساب'!$N$4:$N$353,0),0))),"")</f>
        <v/>
      </c>
      <c r="B249" s="64" t="str">
        <f>IFERROR(IF(IFERROR(MATCH(245,'كشف الحساب'!$N$4:$N$353,0),0)=0,"",INDEX('كشف الحساب'!$B$4:$B$353,IFERROR(MATCH(245,'كشف الحساب'!$N$4:$N$353,0),0))),"")</f>
        <v/>
      </c>
      <c r="C249" s="65" t="str">
        <f>IFERROR(IF(IFERROR(MATCH(245,'كشف الحساب'!$N$4:$N$353,0),0)=0,"",INDEX('كشف الحساب'!$C$4:$C$353,IFERROR(MATCH(245,'كشف الحساب'!$N$4:$N$353,0),0))),"")</f>
        <v/>
      </c>
      <c r="D249" s="66" t="str">
        <f>IFERROR(IF(IFERROR(MATCH(245,'كشف الحساب'!$N$4:$N$353,0),0)=0,"",INDEX('كشف الحساب'!$D$4:$D$353,IFERROR(MATCH(245,'كشف الحساب'!$N$4:$N$353,0),0))),"")</f>
        <v/>
      </c>
      <c r="E249" s="67" t="str">
        <f>IFERROR(IF(IFERROR(MATCH(245,'كشف الحساب'!$N$4:$N$353,0),0)=0,"",INDEX('كشف الحساب'!$E$4:$E$353,IFERROR(MATCH(245,'كشف الحساب'!$N$4:$N$353,0),0))),"")</f>
        <v/>
      </c>
      <c r="F249" s="64" t="str">
        <f>IFERROR(IF(IFERROR(MATCH(245,'كشف الحساب'!$N$4:$N$353,0),0)=0,"",INDEX('كشف الحساب'!$F$4:$F$353,IFERROR(MATCH(245,'كشف الحساب'!$N$4:$N$353,0),0))),"")</f>
        <v/>
      </c>
      <c r="G249" s="64" t="str">
        <f>IFERROR(IF(IFERROR(MATCH(245,'كشف الحساب'!$N$4:$N$353,0),0)=0,"",INDEX('كشف الحساب'!$G$4:$G$353,IFERROR(MATCH(245,'كشف الحساب'!$N$4:$N$353,0),0))),"")</f>
        <v/>
      </c>
      <c r="H249" s="64" t="str">
        <f>IFERROR(IF(IFERROR(MATCH(245,'كشف الحساب'!$N$4:$N$353,0),0)=0,"",INDEX('كشف الحساب'!$H$4:$H$353,IFERROR(MATCH(245,'كشف الحساب'!$N$4:$N$353,0),0))),"")</f>
        <v/>
      </c>
      <c r="I249" s="64" t="str">
        <f>IFERROR(IF(IFERROR(MATCH(245,'كشف الحساب'!$N$4:$N$353,0),0)=0,"",INDEX('كشف الحساب'!$I$4:$I$353,IFERROR(MATCH(245,'كشف الحساب'!$N$4:$N$353,0),0))),"")</f>
        <v/>
      </c>
      <c r="J249" s="68" t="str">
        <f>IFERROR(IF(IFERROR(MATCH(245,'كشف الحساب'!$N$4:$N$353,0),0)=0,"",INDEX('كشف الحساب'!$J$4:$J$353,IFERROR(MATCH(245,'كشف الحساب'!$N$4:$N$353,0),0))),"")</f>
        <v/>
      </c>
      <c r="K249" s="64" t="str">
        <f>IFERROR(IF(IFERROR(MATCH(245,'كشف الحساب'!$N$4:$N$353,0),0)=0,"",INDEX('كشف الحساب'!$K$4:$K$353,IFERROR(MATCH(245,'كشف الحساب'!$N$4:$N$353,0),0))),"")</f>
        <v/>
      </c>
    </row>
    <row r="250" spans="1:11" ht="15" customHeight="1" x14ac:dyDescent="0.25">
      <c r="A250" s="69" t="str">
        <f>IFERROR(IF(IFERROR(MATCH(246,'كشف الحساب'!$N$4:$N$353,0),0)=0,"",INDEX('كشف الحساب'!$A$4:$A$353,IFERROR(MATCH(246,'كشف الحساب'!$N$4:$N$353,0),0))),"")</f>
        <v/>
      </c>
      <c r="B250" s="70" t="str">
        <f>IFERROR(IF(IFERROR(MATCH(246,'كشف الحساب'!$N$4:$N$353,0),0)=0,"",INDEX('كشف الحساب'!$B$4:$B$353,IFERROR(MATCH(246,'كشف الحساب'!$N$4:$N$353,0),0))),"")</f>
        <v/>
      </c>
      <c r="C250" s="71" t="str">
        <f>IFERROR(IF(IFERROR(MATCH(246,'كشف الحساب'!$N$4:$N$353,0),0)=0,"",INDEX('كشف الحساب'!$C$4:$C$353,IFERROR(MATCH(246,'كشف الحساب'!$N$4:$N$353,0),0))),"")</f>
        <v/>
      </c>
      <c r="D250" s="72" t="str">
        <f>IFERROR(IF(IFERROR(MATCH(246,'كشف الحساب'!$N$4:$N$353,0),0)=0,"",INDEX('كشف الحساب'!$D$4:$D$353,IFERROR(MATCH(246,'كشف الحساب'!$N$4:$N$353,0),0))),"")</f>
        <v/>
      </c>
      <c r="E250" s="73" t="str">
        <f>IFERROR(IF(IFERROR(MATCH(246,'كشف الحساب'!$N$4:$N$353,0),0)=0,"",INDEX('كشف الحساب'!$E$4:$E$353,IFERROR(MATCH(246,'كشف الحساب'!$N$4:$N$353,0),0))),"")</f>
        <v/>
      </c>
      <c r="F250" s="70" t="str">
        <f>IFERROR(IF(IFERROR(MATCH(246,'كشف الحساب'!$N$4:$N$353,0),0)=0,"",INDEX('كشف الحساب'!$F$4:$F$353,IFERROR(MATCH(246,'كشف الحساب'!$N$4:$N$353,0),0))),"")</f>
        <v/>
      </c>
      <c r="G250" s="70" t="str">
        <f>IFERROR(IF(IFERROR(MATCH(246,'كشف الحساب'!$N$4:$N$353,0),0)=0,"",INDEX('كشف الحساب'!$G$4:$G$353,IFERROR(MATCH(246,'كشف الحساب'!$N$4:$N$353,0),0))),"")</f>
        <v/>
      </c>
      <c r="H250" s="70" t="str">
        <f>IFERROR(IF(IFERROR(MATCH(246,'كشف الحساب'!$N$4:$N$353,0),0)=0,"",INDEX('كشف الحساب'!$H$4:$H$353,IFERROR(MATCH(246,'كشف الحساب'!$N$4:$N$353,0),0))),"")</f>
        <v/>
      </c>
      <c r="I250" s="70" t="str">
        <f>IFERROR(IF(IFERROR(MATCH(246,'كشف الحساب'!$N$4:$N$353,0),0)=0,"",INDEX('كشف الحساب'!$I$4:$I$353,IFERROR(MATCH(246,'كشف الحساب'!$N$4:$N$353,0),0))),"")</f>
        <v/>
      </c>
      <c r="J250" s="74" t="str">
        <f>IFERROR(IF(IFERROR(MATCH(246,'كشف الحساب'!$N$4:$N$353,0),0)=0,"",INDEX('كشف الحساب'!$J$4:$J$353,IFERROR(MATCH(246,'كشف الحساب'!$N$4:$N$353,0),0))),"")</f>
        <v/>
      </c>
      <c r="K250" s="70" t="str">
        <f>IFERROR(IF(IFERROR(MATCH(246,'كشف الحساب'!$N$4:$N$353,0),0)=0,"",INDEX('كشف الحساب'!$K$4:$K$353,IFERROR(MATCH(246,'كشف الحساب'!$N$4:$N$353,0),0))),"")</f>
        <v/>
      </c>
    </row>
    <row r="251" spans="1:11" ht="15" customHeight="1" x14ac:dyDescent="0.25">
      <c r="A251" s="63" t="str">
        <f>IFERROR(IF(IFERROR(MATCH(247,'كشف الحساب'!$N$4:$N$353,0),0)=0,"",INDEX('كشف الحساب'!$A$4:$A$353,IFERROR(MATCH(247,'كشف الحساب'!$N$4:$N$353,0),0))),"")</f>
        <v/>
      </c>
      <c r="B251" s="64" t="str">
        <f>IFERROR(IF(IFERROR(MATCH(247,'كشف الحساب'!$N$4:$N$353,0),0)=0,"",INDEX('كشف الحساب'!$B$4:$B$353,IFERROR(MATCH(247,'كشف الحساب'!$N$4:$N$353,0),0))),"")</f>
        <v/>
      </c>
      <c r="C251" s="65" t="str">
        <f>IFERROR(IF(IFERROR(MATCH(247,'كشف الحساب'!$N$4:$N$353,0),0)=0,"",INDEX('كشف الحساب'!$C$4:$C$353,IFERROR(MATCH(247,'كشف الحساب'!$N$4:$N$353,0),0))),"")</f>
        <v/>
      </c>
      <c r="D251" s="66" t="str">
        <f>IFERROR(IF(IFERROR(MATCH(247,'كشف الحساب'!$N$4:$N$353,0),0)=0,"",INDEX('كشف الحساب'!$D$4:$D$353,IFERROR(MATCH(247,'كشف الحساب'!$N$4:$N$353,0),0))),"")</f>
        <v/>
      </c>
      <c r="E251" s="67" t="str">
        <f>IFERROR(IF(IFERROR(MATCH(247,'كشف الحساب'!$N$4:$N$353,0),0)=0,"",INDEX('كشف الحساب'!$E$4:$E$353,IFERROR(MATCH(247,'كشف الحساب'!$N$4:$N$353,0),0))),"")</f>
        <v/>
      </c>
      <c r="F251" s="64" t="str">
        <f>IFERROR(IF(IFERROR(MATCH(247,'كشف الحساب'!$N$4:$N$353,0),0)=0,"",INDEX('كشف الحساب'!$F$4:$F$353,IFERROR(MATCH(247,'كشف الحساب'!$N$4:$N$353,0),0))),"")</f>
        <v/>
      </c>
      <c r="G251" s="64" t="str">
        <f>IFERROR(IF(IFERROR(MATCH(247,'كشف الحساب'!$N$4:$N$353,0),0)=0,"",INDEX('كشف الحساب'!$G$4:$G$353,IFERROR(MATCH(247,'كشف الحساب'!$N$4:$N$353,0),0))),"")</f>
        <v/>
      </c>
      <c r="H251" s="64" t="str">
        <f>IFERROR(IF(IFERROR(MATCH(247,'كشف الحساب'!$N$4:$N$353,0),0)=0,"",INDEX('كشف الحساب'!$H$4:$H$353,IFERROR(MATCH(247,'كشف الحساب'!$N$4:$N$353,0),0))),"")</f>
        <v/>
      </c>
      <c r="I251" s="64" t="str">
        <f>IFERROR(IF(IFERROR(MATCH(247,'كشف الحساب'!$N$4:$N$353,0),0)=0,"",INDEX('كشف الحساب'!$I$4:$I$353,IFERROR(MATCH(247,'كشف الحساب'!$N$4:$N$353,0),0))),"")</f>
        <v/>
      </c>
      <c r="J251" s="68" t="str">
        <f>IFERROR(IF(IFERROR(MATCH(247,'كشف الحساب'!$N$4:$N$353,0),0)=0,"",INDEX('كشف الحساب'!$J$4:$J$353,IFERROR(MATCH(247,'كشف الحساب'!$N$4:$N$353,0),0))),"")</f>
        <v/>
      </c>
      <c r="K251" s="64" t="str">
        <f>IFERROR(IF(IFERROR(MATCH(247,'كشف الحساب'!$N$4:$N$353,0),0)=0,"",INDEX('كشف الحساب'!$K$4:$K$353,IFERROR(MATCH(247,'كشف الحساب'!$N$4:$N$353,0),0))),"")</f>
        <v/>
      </c>
    </row>
    <row r="252" spans="1:11" ht="15" customHeight="1" x14ac:dyDescent="0.25">
      <c r="A252" s="69" t="str">
        <f>IFERROR(IF(IFERROR(MATCH(248,'كشف الحساب'!$N$4:$N$353,0),0)=0,"",INDEX('كشف الحساب'!$A$4:$A$353,IFERROR(MATCH(248,'كشف الحساب'!$N$4:$N$353,0),0))),"")</f>
        <v/>
      </c>
      <c r="B252" s="70" t="str">
        <f>IFERROR(IF(IFERROR(MATCH(248,'كشف الحساب'!$N$4:$N$353,0),0)=0,"",INDEX('كشف الحساب'!$B$4:$B$353,IFERROR(MATCH(248,'كشف الحساب'!$N$4:$N$353,0),0))),"")</f>
        <v/>
      </c>
      <c r="C252" s="71" t="str">
        <f>IFERROR(IF(IFERROR(MATCH(248,'كشف الحساب'!$N$4:$N$353,0),0)=0,"",INDEX('كشف الحساب'!$C$4:$C$353,IFERROR(MATCH(248,'كشف الحساب'!$N$4:$N$353,0),0))),"")</f>
        <v/>
      </c>
      <c r="D252" s="72" t="str">
        <f>IFERROR(IF(IFERROR(MATCH(248,'كشف الحساب'!$N$4:$N$353,0),0)=0,"",INDEX('كشف الحساب'!$D$4:$D$353,IFERROR(MATCH(248,'كشف الحساب'!$N$4:$N$353,0),0))),"")</f>
        <v/>
      </c>
      <c r="E252" s="73" t="str">
        <f>IFERROR(IF(IFERROR(MATCH(248,'كشف الحساب'!$N$4:$N$353,0),0)=0,"",INDEX('كشف الحساب'!$E$4:$E$353,IFERROR(MATCH(248,'كشف الحساب'!$N$4:$N$353,0),0))),"")</f>
        <v/>
      </c>
      <c r="F252" s="70" t="str">
        <f>IFERROR(IF(IFERROR(MATCH(248,'كشف الحساب'!$N$4:$N$353,0),0)=0,"",INDEX('كشف الحساب'!$F$4:$F$353,IFERROR(MATCH(248,'كشف الحساب'!$N$4:$N$353,0),0))),"")</f>
        <v/>
      </c>
      <c r="G252" s="70" t="str">
        <f>IFERROR(IF(IFERROR(MATCH(248,'كشف الحساب'!$N$4:$N$353,0),0)=0,"",INDEX('كشف الحساب'!$G$4:$G$353,IFERROR(MATCH(248,'كشف الحساب'!$N$4:$N$353,0),0))),"")</f>
        <v/>
      </c>
      <c r="H252" s="70" t="str">
        <f>IFERROR(IF(IFERROR(MATCH(248,'كشف الحساب'!$N$4:$N$353,0),0)=0,"",INDEX('كشف الحساب'!$H$4:$H$353,IFERROR(MATCH(248,'كشف الحساب'!$N$4:$N$353,0),0))),"")</f>
        <v/>
      </c>
      <c r="I252" s="70" t="str">
        <f>IFERROR(IF(IFERROR(MATCH(248,'كشف الحساب'!$N$4:$N$353,0),0)=0,"",INDEX('كشف الحساب'!$I$4:$I$353,IFERROR(MATCH(248,'كشف الحساب'!$N$4:$N$353,0),0))),"")</f>
        <v/>
      </c>
      <c r="J252" s="74" t="str">
        <f>IFERROR(IF(IFERROR(MATCH(248,'كشف الحساب'!$N$4:$N$353,0),0)=0,"",INDEX('كشف الحساب'!$J$4:$J$353,IFERROR(MATCH(248,'كشف الحساب'!$N$4:$N$353,0),0))),"")</f>
        <v/>
      </c>
      <c r="K252" s="70" t="str">
        <f>IFERROR(IF(IFERROR(MATCH(248,'كشف الحساب'!$N$4:$N$353,0),0)=0,"",INDEX('كشف الحساب'!$K$4:$K$353,IFERROR(MATCH(248,'كشف الحساب'!$N$4:$N$353,0),0))),"")</f>
        <v/>
      </c>
    </row>
    <row r="253" spans="1:11" ht="15" customHeight="1" x14ac:dyDescent="0.25">
      <c r="A253" s="63" t="str">
        <f>IFERROR(IF(IFERROR(MATCH(249,'كشف الحساب'!$N$4:$N$353,0),0)=0,"",INDEX('كشف الحساب'!$A$4:$A$353,IFERROR(MATCH(249,'كشف الحساب'!$N$4:$N$353,0),0))),"")</f>
        <v/>
      </c>
      <c r="B253" s="64" t="str">
        <f>IFERROR(IF(IFERROR(MATCH(249,'كشف الحساب'!$N$4:$N$353,0),0)=0,"",INDEX('كشف الحساب'!$B$4:$B$353,IFERROR(MATCH(249,'كشف الحساب'!$N$4:$N$353,0),0))),"")</f>
        <v/>
      </c>
      <c r="C253" s="65" t="str">
        <f>IFERROR(IF(IFERROR(MATCH(249,'كشف الحساب'!$N$4:$N$353,0),0)=0,"",INDEX('كشف الحساب'!$C$4:$C$353,IFERROR(MATCH(249,'كشف الحساب'!$N$4:$N$353,0),0))),"")</f>
        <v/>
      </c>
      <c r="D253" s="66" t="str">
        <f>IFERROR(IF(IFERROR(MATCH(249,'كشف الحساب'!$N$4:$N$353,0),0)=0,"",INDEX('كشف الحساب'!$D$4:$D$353,IFERROR(MATCH(249,'كشف الحساب'!$N$4:$N$353,0),0))),"")</f>
        <v/>
      </c>
      <c r="E253" s="67" t="str">
        <f>IFERROR(IF(IFERROR(MATCH(249,'كشف الحساب'!$N$4:$N$353,0),0)=0,"",INDEX('كشف الحساب'!$E$4:$E$353,IFERROR(MATCH(249,'كشف الحساب'!$N$4:$N$353,0),0))),"")</f>
        <v/>
      </c>
      <c r="F253" s="64" t="str">
        <f>IFERROR(IF(IFERROR(MATCH(249,'كشف الحساب'!$N$4:$N$353,0),0)=0,"",INDEX('كشف الحساب'!$F$4:$F$353,IFERROR(MATCH(249,'كشف الحساب'!$N$4:$N$353,0),0))),"")</f>
        <v/>
      </c>
      <c r="G253" s="64" t="str">
        <f>IFERROR(IF(IFERROR(MATCH(249,'كشف الحساب'!$N$4:$N$353,0),0)=0,"",INDEX('كشف الحساب'!$G$4:$G$353,IFERROR(MATCH(249,'كشف الحساب'!$N$4:$N$353,0),0))),"")</f>
        <v/>
      </c>
      <c r="H253" s="64" t="str">
        <f>IFERROR(IF(IFERROR(MATCH(249,'كشف الحساب'!$N$4:$N$353,0),0)=0,"",INDEX('كشف الحساب'!$H$4:$H$353,IFERROR(MATCH(249,'كشف الحساب'!$N$4:$N$353,0),0))),"")</f>
        <v/>
      </c>
      <c r="I253" s="64" t="str">
        <f>IFERROR(IF(IFERROR(MATCH(249,'كشف الحساب'!$N$4:$N$353,0),0)=0,"",INDEX('كشف الحساب'!$I$4:$I$353,IFERROR(MATCH(249,'كشف الحساب'!$N$4:$N$353,0),0))),"")</f>
        <v/>
      </c>
      <c r="J253" s="68" t="str">
        <f>IFERROR(IF(IFERROR(MATCH(249,'كشف الحساب'!$N$4:$N$353,0),0)=0,"",INDEX('كشف الحساب'!$J$4:$J$353,IFERROR(MATCH(249,'كشف الحساب'!$N$4:$N$353,0),0))),"")</f>
        <v/>
      </c>
      <c r="K253" s="64" t="str">
        <f>IFERROR(IF(IFERROR(MATCH(249,'كشف الحساب'!$N$4:$N$353,0),0)=0,"",INDEX('كشف الحساب'!$K$4:$K$353,IFERROR(MATCH(249,'كشف الحساب'!$N$4:$N$353,0),0))),"")</f>
        <v/>
      </c>
    </row>
    <row r="254" spans="1:11" ht="15" customHeight="1" x14ac:dyDescent="0.25">
      <c r="A254" s="69" t="str">
        <f>IFERROR(IF(IFERROR(MATCH(250,'كشف الحساب'!$N$4:$N$353,0),0)=0,"",INDEX('كشف الحساب'!$A$4:$A$353,IFERROR(MATCH(250,'كشف الحساب'!$N$4:$N$353,0),0))),"")</f>
        <v/>
      </c>
      <c r="B254" s="70" t="str">
        <f>IFERROR(IF(IFERROR(MATCH(250,'كشف الحساب'!$N$4:$N$353,0),0)=0,"",INDEX('كشف الحساب'!$B$4:$B$353,IFERROR(MATCH(250,'كشف الحساب'!$N$4:$N$353,0),0))),"")</f>
        <v/>
      </c>
      <c r="C254" s="71" t="str">
        <f>IFERROR(IF(IFERROR(MATCH(250,'كشف الحساب'!$N$4:$N$353,0),0)=0,"",INDEX('كشف الحساب'!$C$4:$C$353,IFERROR(MATCH(250,'كشف الحساب'!$N$4:$N$353,0),0))),"")</f>
        <v/>
      </c>
      <c r="D254" s="72" t="str">
        <f>IFERROR(IF(IFERROR(MATCH(250,'كشف الحساب'!$N$4:$N$353,0),0)=0,"",INDEX('كشف الحساب'!$D$4:$D$353,IFERROR(MATCH(250,'كشف الحساب'!$N$4:$N$353,0),0))),"")</f>
        <v/>
      </c>
      <c r="E254" s="73" t="str">
        <f>IFERROR(IF(IFERROR(MATCH(250,'كشف الحساب'!$N$4:$N$353,0),0)=0,"",INDEX('كشف الحساب'!$E$4:$E$353,IFERROR(MATCH(250,'كشف الحساب'!$N$4:$N$353,0),0))),"")</f>
        <v/>
      </c>
      <c r="F254" s="70" t="str">
        <f>IFERROR(IF(IFERROR(MATCH(250,'كشف الحساب'!$N$4:$N$353,0),0)=0,"",INDEX('كشف الحساب'!$F$4:$F$353,IFERROR(MATCH(250,'كشف الحساب'!$N$4:$N$353,0),0))),"")</f>
        <v/>
      </c>
      <c r="G254" s="70" t="str">
        <f>IFERROR(IF(IFERROR(MATCH(250,'كشف الحساب'!$N$4:$N$353,0),0)=0,"",INDEX('كشف الحساب'!$G$4:$G$353,IFERROR(MATCH(250,'كشف الحساب'!$N$4:$N$353,0),0))),"")</f>
        <v/>
      </c>
      <c r="H254" s="70" t="str">
        <f>IFERROR(IF(IFERROR(MATCH(250,'كشف الحساب'!$N$4:$N$353,0),0)=0,"",INDEX('كشف الحساب'!$H$4:$H$353,IFERROR(MATCH(250,'كشف الحساب'!$N$4:$N$353,0),0))),"")</f>
        <v/>
      </c>
      <c r="I254" s="70" t="str">
        <f>IFERROR(IF(IFERROR(MATCH(250,'كشف الحساب'!$N$4:$N$353,0),0)=0,"",INDEX('كشف الحساب'!$I$4:$I$353,IFERROR(MATCH(250,'كشف الحساب'!$N$4:$N$353,0),0))),"")</f>
        <v/>
      </c>
      <c r="J254" s="74" t="str">
        <f>IFERROR(IF(IFERROR(MATCH(250,'كشف الحساب'!$N$4:$N$353,0),0)=0,"",INDEX('كشف الحساب'!$J$4:$J$353,IFERROR(MATCH(250,'كشف الحساب'!$N$4:$N$353,0),0))),"")</f>
        <v/>
      </c>
      <c r="K254" s="70" t="str">
        <f>IFERROR(IF(IFERROR(MATCH(250,'كشف الحساب'!$N$4:$N$353,0),0)=0,"",INDEX('كشف الحساب'!$K$4:$K$353,IFERROR(MATCH(250,'كشف الحساب'!$N$4:$N$353,0),0))),"")</f>
        <v/>
      </c>
    </row>
    <row r="255" spans="1:11" ht="15" customHeight="1" x14ac:dyDescent="0.25">
      <c r="A255" s="63" t="str">
        <f>IFERROR(IF(IFERROR(MATCH(251,'كشف الحساب'!$N$4:$N$353,0),0)=0,"",INDEX('كشف الحساب'!$A$4:$A$353,IFERROR(MATCH(251,'كشف الحساب'!$N$4:$N$353,0),0))),"")</f>
        <v/>
      </c>
      <c r="B255" s="64" t="str">
        <f>IFERROR(IF(IFERROR(MATCH(251,'كشف الحساب'!$N$4:$N$353,0),0)=0,"",INDEX('كشف الحساب'!$B$4:$B$353,IFERROR(MATCH(251,'كشف الحساب'!$N$4:$N$353,0),0))),"")</f>
        <v/>
      </c>
      <c r="C255" s="65" t="str">
        <f>IFERROR(IF(IFERROR(MATCH(251,'كشف الحساب'!$N$4:$N$353,0),0)=0,"",INDEX('كشف الحساب'!$C$4:$C$353,IFERROR(MATCH(251,'كشف الحساب'!$N$4:$N$353,0),0))),"")</f>
        <v/>
      </c>
      <c r="D255" s="66" t="str">
        <f>IFERROR(IF(IFERROR(MATCH(251,'كشف الحساب'!$N$4:$N$353,0),0)=0,"",INDEX('كشف الحساب'!$D$4:$D$353,IFERROR(MATCH(251,'كشف الحساب'!$N$4:$N$353,0),0))),"")</f>
        <v/>
      </c>
      <c r="E255" s="67" t="str">
        <f>IFERROR(IF(IFERROR(MATCH(251,'كشف الحساب'!$N$4:$N$353,0),0)=0,"",INDEX('كشف الحساب'!$E$4:$E$353,IFERROR(MATCH(251,'كشف الحساب'!$N$4:$N$353,0),0))),"")</f>
        <v/>
      </c>
      <c r="F255" s="64" t="str">
        <f>IFERROR(IF(IFERROR(MATCH(251,'كشف الحساب'!$N$4:$N$353,0),0)=0,"",INDEX('كشف الحساب'!$F$4:$F$353,IFERROR(MATCH(251,'كشف الحساب'!$N$4:$N$353,0),0))),"")</f>
        <v/>
      </c>
      <c r="G255" s="64" t="str">
        <f>IFERROR(IF(IFERROR(MATCH(251,'كشف الحساب'!$N$4:$N$353,0),0)=0,"",INDEX('كشف الحساب'!$G$4:$G$353,IFERROR(MATCH(251,'كشف الحساب'!$N$4:$N$353,0),0))),"")</f>
        <v/>
      </c>
      <c r="H255" s="64" t="str">
        <f>IFERROR(IF(IFERROR(MATCH(251,'كشف الحساب'!$N$4:$N$353,0),0)=0,"",INDEX('كشف الحساب'!$H$4:$H$353,IFERROR(MATCH(251,'كشف الحساب'!$N$4:$N$353,0),0))),"")</f>
        <v/>
      </c>
      <c r="I255" s="64" t="str">
        <f>IFERROR(IF(IFERROR(MATCH(251,'كشف الحساب'!$N$4:$N$353,0),0)=0,"",INDEX('كشف الحساب'!$I$4:$I$353,IFERROR(MATCH(251,'كشف الحساب'!$N$4:$N$353,0),0))),"")</f>
        <v/>
      </c>
      <c r="J255" s="68" t="str">
        <f>IFERROR(IF(IFERROR(MATCH(251,'كشف الحساب'!$N$4:$N$353,0),0)=0,"",INDEX('كشف الحساب'!$J$4:$J$353,IFERROR(MATCH(251,'كشف الحساب'!$N$4:$N$353,0),0))),"")</f>
        <v/>
      </c>
      <c r="K255" s="64" t="str">
        <f>IFERROR(IF(IFERROR(MATCH(251,'كشف الحساب'!$N$4:$N$353,0),0)=0,"",INDEX('كشف الحساب'!$K$4:$K$353,IFERROR(MATCH(251,'كشف الحساب'!$N$4:$N$353,0),0))),"")</f>
        <v/>
      </c>
    </row>
    <row r="256" spans="1:11" ht="15" customHeight="1" x14ac:dyDescent="0.25">
      <c r="A256" s="69" t="str">
        <f>IFERROR(IF(IFERROR(MATCH(252,'كشف الحساب'!$N$4:$N$353,0),0)=0,"",INDEX('كشف الحساب'!$A$4:$A$353,IFERROR(MATCH(252,'كشف الحساب'!$N$4:$N$353,0),0))),"")</f>
        <v/>
      </c>
      <c r="B256" s="70" t="str">
        <f>IFERROR(IF(IFERROR(MATCH(252,'كشف الحساب'!$N$4:$N$353,0),0)=0,"",INDEX('كشف الحساب'!$B$4:$B$353,IFERROR(MATCH(252,'كشف الحساب'!$N$4:$N$353,0),0))),"")</f>
        <v/>
      </c>
      <c r="C256" s="71" t="str">
        <f>IFERROR(IF(IFERROR(MATCH(252,'كشف الحساب'!$N$4:$N$353,0),0)=0,"",INDEX('كشف الحساب'!$C$4:$C$353,IFERROR(MATCH(252,'كشف الحساب'!$N$4:$N$353,0),0))),"")</f>
        <v/>
      </c>
      <c r="D256" s="72" t="str">
        <f>IFERROR(IF(IFERROR(MATCH(252,'كشف الحساب'!$N$4:$N$353,0),0)=0,"",INDEX('كشف الحساب'!$D$4:$D$353,IFERROR(MATCH(252,'كشف الحساب'!$N$4:$N$353,0),0))),"")</f>
        <v/>
      </c>
      <c r="E256" s="73" t="str">
        <f>IFERROR(IF(IFERROR(MATCH(252,'كشف الحساب'!$N$4:$N$353,0),0)=0,"",INDEX('كشف الحساب'!$E$4:$E$353,IFERROR(MATCH(252,'كشف الحساب'!$N$4:$N$353,0),0))),"")</f>
        <v/>
      </c>
      <c r="F256" s="70" t="str">
        <f>IFERROR(IF(IFERROR(MATCH(252,'كشف الحساب'!$N$4:$N$353,0),0)=0,"",INDEX('كشف الحساب'!$F$4:$F$353,IFERROR(MATCH(252,'كشف الحساب'!$N$4:$N$353,0),0))),"")</f>
        <v/>
      </c>
      <c r="G256" s="70" t="str">
        <f>IFERROR(IF(IFERROR(MATCH(252,'كشف الحساب'!$N$4:$N$353,0),0)=0,"",INDEX('كشف الحساب'!$G$4:$G$353,IFERROR(MATCH(252,'كشف الحساب'!$N$4:$N$353,0),0))),"")</f>
        <v/>
      </c>
      <c r="H256" s="70" t="str">
        <f>IFERROR(IF(IFERROR(MATCH(252,'كشف الحساب'!$N$4:$N$353,0),0)=0,"",INDEX('كشف الحساب'!$H$4:$H$353,IFERROR(MATCH(252,'كشف الحساب'!$N$4:$N$353,0),0))),"")</f>
        <v/>
      </c>
      <c r="I256" s="70" t="str">
        <f>IFERROR(IF(IFERROR(MATCH(252,'كشف الحساب'!$N$4:$N$353,0),0)=0,"",INDEX('كشف الحساب'!$I$4:$I$353,IFERROR(MATCH(252,'كشف الحساب'!$N$4:$N$353,0),0))),"")</f>
        <v/>
      </c>
      <c r="J256" s="74" t="str">
        <f>IFERROR(IF(IFERROR(MATCH(252,'كشف الحساب'!$N$4:$N$353,0),0)=0,"",INDEX('كشف الحساب'!$J$4:$J$353,IFERROR(MATCH(252,'كشف الحساب'!$N$4:$N$353,0),0))),"")</f>
        <v/>
      </c>
      <c r="K256" s="70" t="str">
        <f>IFERROR(IF(IFERROR(MATCH(252,'كشف الحساب'!$N$4:$N$353,0),0)=0,"",INDEX('كشف الحساب'!$K$4:$K$353,IFERROR(MATCH(252,'كشف الحساب'!$N$4:$N$353,0),0))),"")</f>
        <v/>
      </c>
    </row>
    <row r="257" spans="1:11" ht="15" customHeight="1" x14ac:dyDescent="0.25">
      <c r="A257" s="63" t="str">
        <f>IFERROR(IF(IFERROR(MATCH(253,'كشف الحساب'!$N$4:$N$353,0),0)=0,"",INDEX('كشف الحساب'!$A$4:$A$353,IFERROR(MATCH(253,'كشف الحساب'!$N$4:$N$353,0),0))),"")</f>
        <v/>
      </c>
      <c r="B257" s="64" t="str">
        <f>IFERROR(IF(IFERROR(MATCH(253,'كشف الحساب'!$N$4:$N$353,0),0)=0,"",INDEX('كشف الحساب'!$B$4:$B$353,IFERROR(MATCH(253,'كشف الحساب'!$N$4:$N$353,0),0))),"")</f>
        <v/>
      </c>
      <c r="C257" s="65" t="str">
        <f>IFERROR(IF(IFERROR(MATCH(253,'كشف الحساب'!$N$4:$N$353,0),0)=0,"",INDEX('كشف الحساب'!$C$4:$C$353,IFERROR(MATCH(253,'كشف الحساب'!$N$4:$N$353,0),0))),"")</f>
        <v/>
      </c>
      <c r="D257" s="66" t="str">
        <f>IFERROR(IF(IFERROR(MATCH(253,'كشف الحساب'!$N$4:$N$353,0),0)=0,"",INDEX('كشف الحساب'!$D$4:$D$353,IFERROR(MATCH(253,'كشف الحساب'!$N$4:$N$353,0),0))),"")</f>
        <v/>
      </c>
      <c r="E257" s="67" t="str">
        <f>IFERROR(IF(IFERROR(MATCH(253,'كشف الحساب'!$N$4:$N$353,0),0)=0,"",INDEX('كشف الحساب'!$E$4:$E$353,IFERROR(MATCH(253,'كشف الحساب'!$N$4:$N$353,0),0))),"")</f>
        <v/>
      </c>
      <c r="F257" s="64" t="str">
        <f>IFERROR(IF(IFERROR(MATCH(253,'كشف الحساب'!$N$4:$N$353,0),0)=0,"",INDEX('كشف الحساب'!$F$4:$F$353,IFERROR(MATCH(253,'كشف الحساب'!$N$4:$N$353,0),0))),"")</f>
        <v/>
      </c>
      <c r="G257" s="64" t="str">
        <f>IFERROR(IF(IFERROR(MATCH(253,'كشف الحساب'!$N$4:$N$353,0),0)=0,"",INDEX('كشف الحساب'!$G$4:$G$353,IFERROR(MATCH(253,'كشف الحساب'!$N$4:$N$353,0),0))),"")</f>
        <v/>
      </c>
      <c r="H257" s="64" t="str">
        <f>IFERROR(IF(IFERROR(MATCH(253,'كشف الحساب'!$N$4:$N$353,0),0)=0,"",INDEX('كشف الحساب'!$H$4:$H$353,IFERROR(MATCH(253,'كشف الحساب'!$N$4:$N$353,0),0))),"")</f>
        <v/>
      </c>
      <c r="I257" s="64" t="str">
        <f>IFERROR(IF(IFERROR(MATCH(253,'كشف الحساب'!$N$4:$N$353,0),0)=0,"",INDEX('كشف الحساب'!$I$4:$I$353,IFERROR(MATCH(253,'كشف الحساب'!$N$4:$N$353,0),0))),"")</f>
        <v/>
      </c>
      <c r="J257" s="68" t="str">
        <f>IFERROR(IF(IFERROR(MATCH(253,'كشف الحساب'!$N$4:$N$353,0),0)=0,"",INDEX('كشف الحساب'!$J$4:$J$353,IFERROR(MATCH(253,'كشف الحساب'!$N$4:$N$353,0),0))),"")</f>
        <v/>
      </c>
      <c r="K257" s="64" t="str">
        <f>IFERROR(IF(IFERROR(MATCH(253,'كشف الحساب'!$N$4:$N$353,0),0)=0,"",INDEX('كشف الحساب'!$K$4:$K$353,IFERROR(MATCH(253,'كشف الحساب'!$N$4:$N$353,0),0))),"")</f>
        <v/>
      </c>
    </row>
    <row r="258" spans="1:11" ht="15" customHeight="1" x14ac:dyDescent="0.25">
      <c r="A258" s="69" t="str">
        <f>IFERROR(IF(IFERROR(MATCH(254,'كشف الحساب'!$N$4:$N$353,0),0)=0,"",INDEX('كشف الحساب'!$A$4:$A$353,IFERROR(MATCH(254,'كشف الحساب'!$N$4:$N$353,0),0))),"")</f>
        <v/>
      </c>
      <c r="B258" s="70" t="str">
        <f>IFERROR(IF(IFERROR(MATCH(254,'كشف الحساب'!$N$4:$N$353,0),0)=0,"",INDEX('كشف الحساب'!$B$4:$B$353,IFERROR(MATCH(254,'كشف الحساب'!$N$4:$N$353,0),0))),"")</f>
        <v/>
      </c>
      <c r="C258" s="71" t="str">
        <f>IFERROR(IF(IFERROR(MATCH(254,'كشف الحساب'!$N$4:$N$353,0),0)=0,"",INDEX('كشف الحساب'!$C$4:$C$353,IFERROR(MATCH(254,'كشف الحساب'!$N$4:$N$353,0),0))),"")</f>
        <v/>
      </c>
      <c r="D258" s="72" t="str">
        <f>IFERROR(IF(IFERROR(MATCH(254,'كشف الحساب'!$N$4:$N$353,0),0)=0,"",INDEX('كشف الحساب'!$D$4:$D$353,IFERROR(MATCH(254,'كشف الحساب'!$N$4:$N$353,0),0))),"")</f>
        <v/>
      </c>
      <c r="E258" s="73" t="str">
        <f>IFERROR(IF(IFERROR(MATCH(254,'كشف الحساب'!$N$4:$N$353,0),0)=0,"",INDEX('كشف الحساب'!$E$4:$E$353,IFERROR(MATCH(254,'كشف الحساب'!$N$4:$N$353,0),0))),"")</f>
        <v/>
      </c>
      <c r="F258" s="70" t="str">
        <f>IFERROR(IF(IFERROR(MATCH(254,'كشف الحساب'!$N$4:$N$353,0),0)=0,"",INDEX('كشف الحساب'!$F$4:$F$353,IFERROR(MATCH(254,'كشف الحساب'!$N$4:$N$353,0),0))),"")</f>
        <v/>
      </c>
      <c r="G258" s="70" t="str">
        <f>IFERROR(IF(IFERROR(MATCH(254,'كشف الحساب'!$N$4:$N$353,0),0)=0,"",INDEX('كشف الحساب'!$G$4:$G$353,IFERROR(MATCH(254,'كشف الحساب'!$N$4:$N$353,0),0))),"")</f>
        <v/>
      </c>
      <c r="H258" s="70" t="str">
        <f>IFERROR(IF(IFERROR(MATCH(254,'كشف الحساب'!$N$4:$N$353,0),0)=0,"",INDEX('كشف الحساب'!$H$4:$H$353,IFERROR(MATCH(254,'كشف الحساب'!$N$4:$N$353,0),0))),"")</f>
        <v/>
      </c>
      <c r="I258" s="70" t="str">
        <f>IFERROR(IF(IFERROR(MATCH(254,'كشف الحساب'!$N$4:$N$353,0),0)=0,"",INDEX('كشف الحساب'!$I$4:$I$353,IFERROR(MATCH(254,'كشف الحساب'!$N$4:$N$353,0),0))),"")</f>
        <v/>
      </c>
      <c r="J258" s="74" t="str">
        <f>IFERROR(IF(IFERROR(MATCH(254,'كشف الحساب'!$N$4:$N$353,0),0)=0,"",INDEX('كشف الحساب'!$J$4:$J$353,IFERROR(MATCH(254,'كشف الحساب'!$N$4:$N$353,0),0))),"")</f>
        <v/>
      </c>
      <c r="K258" s="70" t="str">
        <f>IFERROR(IF(IFERROR(MATCH(254,'كشف الحساب'!$N$4:$N$353,0),0)=0,"",INDEX('كشف الحساب'!$K$4:$K$353,IFERROR(MATCH(254,'كشف الحساب'!$N$4:$N$353,0),0))),"")</f>
        <v/>
      </c>
    </row>
    <row r="259" spans="1:11" ht="15" customHeight="1" x14ac:dyDescent="0.25">
      <c r="A259" s="63" t="str">
        <f>IFERROR(IF(IFERROR(MATCH(255,'كشف الحساب'!$N$4:$N$353,0),0)=0,"",INDEX('كشف الحساب'!$A$4:$A$353,IFERROR(MATCH(255,'كشف الحساب'!$N$4:$N$353,0),0))),"")</f>
        <v/>
      </c>
      <c r="B259" s="64" t="str">
        <f>IFERROR(IF(IFERROR(MATCH(255,'كشف الحساب'!$N$4:$N$353,0),0)=0,"",INDEX('كشف الحساب'!$B$4:$B$353,IFERROR(MATCH(255,'كشف الحساب'!$N$4:$N$353,0),0))),"")</f>
        <v/>
      </c>
      <c r="C259" s="65" t="str">
        <f>IFERROR(IF(IFERROR(MATCH(255,'كشف الحساب'!$N$4:$N$353,0),0)=0,"",INDEX('كشف الحساب'!$C$4:$C$353,IFERROR(MATCH(255,'كشف الحساب'!$N$4:$N$353,0),0))),"")</f>
        <v/>
      </c>
      <c r="D259" s="66" t="str">
        <f>IFERROR(IF(IFERROR(MATCH(255,'كشف الحساب'!$N$4:$N$353,0),0)=0,"",INDEX('كشف الحساب'!$D$4:$D$353,IFERROR(MATCH(255,'كشف الحساب'!$N$4:$N$353,0),0))),"")</f>
        <v/>
      </c>
      <c r="E259" s="67" t="str">
        <f>IFERROR(IF(IFERROR(MATCH(255,'كشف الحساب'!$N$4:$N$353,0),0)=0,"",INDEX('كشف الحساب'!$E$4:$E$353,IFERROR(MATCH(255,'كشف الحساب'!$N$4:$N$353,0),0))),"")</f>
        <v/>
      </c>
      <c r="F259" s="64" t="str">
        <f>IFERROR(IF(IFERROR(MATCH(255,'كشف الحساب'!$N$4:$N$353,0),0)=0,"",INDEX('كشف الحساب'!$F$4:$F$353,IFERROR(MATCH(255,'كشف الحساب'!$N$4:$N$353,0),0))),"")</f>
        <v/>
      </c>
      <c r="G259" s="64" t="str">
        <f>IFERROR(IF(IFERROR(MATCH(255,'كشف الحساب'!$N$4:$N$353,0),0)=0,"",INDEX('كشف الحساب'!$G$4:$G$353,IFERROR(MATCH(255,'كشف الحساب'!$N$4:$N$353,0),0))),"")</f>
        <v/>
      </c>
      <c r="H259" s="64" t="str">
        <f>IFERROR(IF(IFERROR(MATCH(255,'كشف الحساب'!$N$4:$N$353,0),0)=0,"",INDEX('كشف الحساب'!$H$4:$H$353,IFERROR(MATCH(255,'كشف الحساب'!$N$4:$N$353,0),0))),"")</f>
        <v/>
      </c>
      <c r="I259" s="64" t="str">
        <f>IFERROR(IF(IFERROR(MATCH(255,'كشف الحساب'!$N$4:$N$353,0),0)=0,"",INDEX('كشف الحساب'!$I$4:$I$353,IFERROR(MATCH(255,'كشف الحساب'!$N$4:$N$353,0),0))),"")</f>
        <v/>
      </c>
      <c r="J259" s="68" t="str">
        <f>IFERROR(IF(IFERROR(MATCH(255,'كشف الحساب'!$N$4:$N$353,0),0)=0,"",INDEX('كشف الحساب'!$J$4:$J$353,IFERROR(MATCH(255,'كشف الحساب'!$N$4:$N$353,0),0))),"")</f>
        <v/>
      </c>
      <c r="K259" s="64" t="str">
        <f>IFERROR(IF(IFERROR(MATCH(255,'كشف الحساب'!$N$4:$N$353,0),0)=0,"",INDEX('كشف الحساب'!$K$4:$K$353,IFERROR(MATCH(255,'كشف الحساب'!$N$4:$N$353,0),0))),"")</f>
        <v/>
      </c>
    </row>
    <row r="260" spans="1:11" ht="15" customHeight="1" x14ac:dyDescent="0.25">
      <c r="A260" s="69" t="str">
        <f>IFERROR(IF(IFERROR(MATCH(256,'كشف الحساب'!$N$4:$N$353,0),0)=0,"",INDEX('كشف الحساب'!$A$4:$A$353,IFERROR(MATCH(256,'كشف الحساب'!$N$4:$N$353,0),0))),"")</f>
        <v/>
      </c>
      <c r="B260" s="70" t="str">
        <f>IFERROR(IF(IFERROR(MATCH(256,'كشف الحساب'!$N$4:$N$353,0),0)=0,"",INDEX('كشف الحساب'!$B$4:$B$353,IFERROR(MATCH(256,'كشف الحساب'!$N$4:$N$353,0),0))),"")</f>
        <v/>
      </c>
      <c r="C260" s="71" t="str">
        <f>IFERROR(IF(IFERROR(MATCH(256,'كشف الحساب'!$N$4:$N$353,0),0)=0,"",INDEX('كشف الحساب'!$C$4:$C$353,IFERROR(MATCH(256,'كشف الحساب'!$N$4:$N$353,0),0))),"")</f>
        <v/>
      </c>
      <c r="D260" s="72" t="str">
        <f>IFERROR(IF(IFERROR(MATCH(256,'كشف الحساب'!$N$4:$N$353,0),0)=0,"",INDEX('كشف الحساب'!$D$4:$D$353,IFERROR(MATCH(256,'كشف الحساب'!$N$4:$N$353,0),0))),"")</f>
        <v/>
      </c>
      <c r="E260" s="73" t="str">
        <f>IFERROR(IF(IFERROR(MATCH(256,'كشف الحساب'!$N$4:$N$353,0),0)=0,"",INDEX('كشف الحساب'!$E$4:$E$353,IFERROR(MATCH(256,'كشف الحساب'!$N$4:$N$353,0),0))),"")</f>
        <v/>
      </c>
      <c r="F260" s="70" t="str">
        <f>IFERROR(IF(IFERROR(MATCH(256,'كشف الحساب'!$N$4:$N$353,0),0)=0,"",INDEX('كشف الحساب'!$F$4:$F$353,IFERROR(MATCH(256,'كشف الحساب'!$N$4:$N$353,0),0))),"")</f>
        <v/>
      </c>
      <c r="G260" s="70" t="str">
        <f>IFERROR(IF(IFERROR(MATCH(256,'كشف الحساب'!$N$4:$N$353,0),0)=0,"",INDEX('كشف الحساب'!$G$4:$G$353,IFERROR(MATCH(256,'كشف الحساب'!$N$4:$N$353,0),0))),"")</f>
        <v/>
      </c>
      <c r="H260" s="70" t="str">
        <f>IFERROR(IF(IFERROR(MATCH(256,'كشف الحساب'!$N$4:$N$353,0),0)=0,"",INDEX('كشف الحساب'!$H$4:$H$353,IFERROR(MATCH(256,'كشف الحساب'!$N$4:$N$353,0),0))),"")</f>
        <v/>
      </c>
      <c r="I260" s="70" t="str">
        <f>IFERROR(IF(IFERROR(MATCH(256,'كشف الحساب'!$N$4:$N$353,0),0)=0,"",INDEX('كشف الحساب'!$I$4:$I$353,IFERROR(MATCH(256,'كشف الحساب'!$N$4:$N$353,0),0))),"")</f>
        <v/>
      </c>
      <c r="J260" s="74" t="str">
        <f>IFERROR(IF(IFERROR(MATCH(256,'كشف الحساب'!$N$4:$N$353,0),0)=0,"",INDEX('كشف الحساب'!$J$4:$J$353,IFERROR(MATCH(256,'كشف الحساب'!$N$4:$N$353,0),0))),"")</f>
        <v/>
      </c>
      <c r="K260" s="70" t="str">
        <f>IFERROR(IF(IFERROR(MATCH(256,'كشف الحساب'!$N$4:$N$353,0),0)=0,"",INDEX('كشف الحساب'!$K$4:$K$353,IFERROR(MATCH(256,'كشف الحساب'!$N$4:$N$353,0),0))),"")</f>
        <v/>
      </c>
    </row>
    <row r="261" spans="1:11" ht="15" customHeight="1" x14ac:dyDescent="0.25">
      <c r="A261" s="63" t="str">
        <f>IFERROR(IF(IFERROR(MATCH(257,'كشف الحساب'!$N$4:$N$353,0),0)=0,"",INDEX('كشف الحساب'!$A$4:$A$353,IFERROR(MATCH(257,'كشف الحساب'!$N$4:$N$353,0),0))),"")</f>
        <v/>
      </c>
      <c r="B261" s="64" t="str">
        <f>IFERROR(IF(IFERROR(MATCH(257,'كشف الحساب'!$N$4:$N$353,0),0)=0,"",INDEX('كشف الحساب'!$B$4:$B$353,IFERROR(MATCH(257,'كشف الحساب'!$N$4:$N$353,0),0))),"")</f>
        <v/>
      </c>
      <c r="C261" s="65" t="str">
        <f>IFERROR(IF(IFERROR(MATCH(257,'كشف الحساب'!$N$4:$N$353,0),0)=0,"",INDEX('كشف الحساب'!$C$4:$C$353,IFERROR(MATCH(257,'كشف الحساب'!$N$4:$N$353,0),0))),"")</f>
        <v/>
      </c>
      <c r="D261" s="66" t="str">
        <f>IFERROR(IF(IFERROR(MATCH(257,'كشف الحساب'!$N$4:$N$353,0),0)=0,"",INDEX('كشف الحساب'!$D$4:$D$353,IFERROR(MATCH(257,'كشف الحساب'!$N$4:$N$353,0),0))),"")</f>
        <v/>
      </c>
      <c r="E261" s="67" t="str">
        <f>IFERROR(IF(IFERROR(MATCH(257,'كشف الحساب'!$N$4:$N$353,0),0)=0,"",INDEX('كشف الحساب'!$E$4:$E$353,IFERROR(MATCH(257,'كشف الحساب'!$N$4:$N$353,0),0))),"")</f>
        <v/>
      </c>
      <c r="F261" s="64" t="str">
        <f>IFERROR(IF(IFERROR(MATCH(257,'كشف الحساب'!$N$4:$N$353,0),0)=0,"",INDEX('كشف الحساب'!$F$4:$F$353,IFERROR(MATCH(257,'كشف الحساب'!$N$4:$N$353,0),0))),"")</f>
        <v/>
      </c>
      <c r="G261" s="64" t="str">
        <f>IFERROR(IF(IFERROR(MATCH(257,'كشف الحساب'!$N$4:$N$353,0),0)=0,"",INDEX('كشف الحساب'!$G$4:$G$353,IFERROR(MATCH(257,'كشف الحساب'!$N$4:$N$353,0),0))),"")</f>
        <v/>
      </c>
      <c r="H261" s="64" t="str">
        <f>IFERROR(IF(IFERROR(MATCH(257,'كشف الحساب'!$N$4:$N$353,0),0)=0,"",INDEX('كشف الحساب'!$H$4:$H$353,IFERROR(MATCH(257,'كشف الحساب'!$N$4:$N$353,0),0))),"")</f>
        <v/>
      </c>
      <c r="I261" s="64" t="str">
        <f>IFERROR(IF(IFERROR(MATCH(257,'كشف الحساب'!$N$4:$N$353,0),0)=0,"",INDEX('كشف الحساب'!$I$4:$I$353,IFERROR(MATCH(257,'كشف الحساب'!$N$4:$N$353,0),0))),"")</f>
        <v/>
      </c>
      <c r="J261" s="68" t="str">
        <f>IFERROR(IF(IFERROR(MATCH(257,'كشف الحساب'!$N$4:$N$353,0),0)=0,"",INDEX('كشف الحساب'!$J$4:$J$353,IFERROR(MATCH(257,'كشف الحساب'!$N$4:$N$353,0),0))),"")</f>
        <v/>
      </c>
      <c r="K261" s="64" t="str">
        <f>IFERROR(IF(IFERROR(MATCH(257,'كشف الحساب'!$N$4:$N$353,0),0)=0,"",INDEX('كشف الحساب'!$K$4:$K$353,IFERROR(MATCH(257,'كشف الحساب'!$N$4:$N$353,0),0))),"")</f>
        <v/>
      </c>
    </row>
    <row r="262" spans="1:11" ht="15" customHeight="1" x14ac:dyDescent="0.25">
      <c r="A262" s="69" t="str">
        <f>IFERROR(IF(IFERROR(MATCH(258,'كشف الحساب'!$N$4:$N$353,0),0)=0,"",INDEX('كشف الحساب'!$A$4:$A$353,IFERROR(MATCH(258,'كشف الحساب'!$N$4:$N$353,0),0))),"")</f>
        <v/>
      </c>
      <c r="B262" s="70" t="str">
        <f>IFERROR(IF(IFERROR(MATCH(258,'كشف الحساب'!$N$4:$N$353,0),0)=0,"",INDEX('كشف الحساب'!$B$4:$B$353,IFERROR(MATCH(258,'كشف الحساب'!$N$4:$N$353,0),0))),"")</f>
        <v/>
      </c>
      <c r="C262" s="71" t="str">
        <f>IFERROR(IF(IFERROR(MATCH(258,'كشف الحساب'!$N$4:$N$353,0),0)=0,"",INDEX('كشف الحساب'!$C$4:$C$353,IFERROR(MATCH(258,'كشف الحساب'!$N$4:$N$353,0),0))),"")</f>
        <v/>
      </c>
      <c r="D262" s="72" t="str">
        <f>IFERROR(IF(IFERROR(MATCH(258,'كشف الحساب'!$N$4:$N$353,0),0)=0,"",INDEX('كشف الحساب'!$D$4:$D$353,IFERROR(MATCH(258,'كشف الحساب'!$N$4:$N$353,0),0))),"")</f>
        <v/>
      </c>
      <c r="E262" s="73" t="str">
        <f>IFERROR(IF(IFERROR(MATCH(258,'كشف الحساب'!$N$4:$N$353,0),0)=0,"",INDEX('كشف الحساب'!$E$4:$E$353,IFERROR(MATCH(258,'كشف الحساب'!$N$4:$N$353,0),0))),"")</f>
        <v/>
      </c>
      <c r="F262" s="70" t="str">
        <f>IFERROR(IF(IFERROR(MATCH(258,'كشف الحساب'!$N$4:$N$353,0),0)=0,"",INDEX('كشف الحساب'!$F$4:$F$353,IFERROR(MATCH(258,'كشف الحساب'!$N$4:$N$353,0),0))),"")</f>
        <v/>
      </c>
      <c r="G262" s="70" t="str">
        <f>IFERROR(IF(IFERROR(MATCH(258,'كشف الحساب'!$N$4:$N$353,0),0)=0,"",INDEX('كشف الحساب'!$G$4:$G$353,IFERROR(MATCH(258,'كشف الحساب'!$N$4:$N$353,0),0))),"")</f>
        <v/>
      </c>
      <c r="H262" s="70" t="str">
        <f>IFERROR(IF(IFERROR(MATCH(258,'كشف الحساب'!$N$4:$N$353,0),0)=0,"",INDEX('كشف الحساب'!$H$4:$H$353,IFERROR(MATCH(258,'كشف الحساب'!$N$4:$N$353,0),0))),"")</f>
        <v/>
      </c>
      <c r="I262" s="70" t="str">
        <f>IFERROR(IF(IFERROR(MATCH(258,'كشف الحساب'!$N$4:$N$353,0),0)=0,"",INDEX('كشف الحساب'!$I$4:$I$353,IFERROR(MATCH(258,'كشف الحساب'!$N$4:$N$353,0),0))),"")</f>
        <v/>
      </c>
      <c r="J262" s="74" t="str">
        <f>IFERROR(IF(IFERROR(MATCH(258,'كشف الحساب'!$N$4:$N$353,0),0)=0,"",INDEX('كشف الحساب'!$J$4:$J$353,IFERROR(MATCH(258,'كشف الحساب'!$N$4:$N$353,0),0))),"")</f>
        <v/>
      </c>
      <c r="K262" s="70" t="str">
        <f>IFERROR(IF(IFERROR(MATCH(258,'كشف الحساب'!$N$4:$N$353,0),0)=0,"",INDEX('كشف الحساب'!$K$4:$K$353,IFERROR(MATCH(258,'كشف الحساب'!$N$4:$N$353,0),0))),"")</f>
        <v/>
      </c>
    </row>
    <row r="263" spans="1:11" ht="15" customHeight="1" x14ac:dyDescent="0.25">
      <c r="A263" s="63" t="str">
        <f>IFERROR(IF(IFERROR(MATCH(259,'كشف الحساب'!$N$4:$N$353,0),0)=0,"",INDEX('كشف الحساب'!$A$4:$A$353,IFERROR(MATCH(259,'كشف الحساب'!$N$4:$N$353,0),0))),"")</f>
        <v/>
      </c>
      <c r="B263" s="64" t="str">
        <f>IFERROR(IF(IFERROR(MATCH(259,'كشف الحساب'!$N$4:$N$353,0),0)=0,"",INDEX('كشف الحساب'!$B$4:$B$353,IFERROR(MATCH(259,'كشف الحساب'!$N$4:$N$353,0),0))),"")</f>
        <v/>
      </c>
      <c r="C263" s="65" t="str">
        <f>IFERROR(IF(IFERROR(MATCH(259,'كشف الحساب'!$N$4:$N$353,0),0)=0,"",INDEX('كشف الحساب'!$C$4:$C$353,IFERROR(MATCH(259,'كشف الحساب'!$N$4:$N$353,0),0))),"")</f>
        <v/>
      </c>
      <c r="D263" s="66" t="str">
        <f>IFERROR(IF(IFERROR(MATCH(259,'كشف الحساب'!$N$4:$N$353,0),0)=0,"",INDEX('كشف الحساب'!$D$4:$D$353,IFERROR(MATCH(259,'كشف الحساب'!$N$4:$N$353,0),0))),"")</f>
        <v/>
      </c>
      <c r="E263" s="67" t="str">
        <f>IFERROR(IF(IFERROR(MATCH(259,'كشف الحساب'!$N$4:$N$353,0),0)=0,"",INDEX('كشف الحساب'!$E$4:$E$353,IFERROR(MATCH(259,'كشف الحساب'!$N$4:$N$353,0),0))),"")</f>
        <v/>
      </c>
      <c r="F263" s="64" t="str">
        <f>IFERROR(IF(IFERROR(MATCH(259,'كشف الحساب'!$N$4:$N$353,0),0)=0,"",INDEX('كشف الحساب'!$F$4:$F$353,IFERROR(MATCH(259,'كشف الحساب'!$N$4:$N$353,0),0))),"")</f>
        <v/>
      </c>
      <c r="G263" s="64" t="str">
        <f>IFERROR(IF(IFERROR(MATCH(259,'كشف الحساب'!$N$4:$N$353,0),0)=0,"",INDEX('كشف الحساب'!$G$4:$G$353,IFERROR(MATCH(259,'كشف الحساب'!$N$4:$N$353,0),0))),"")</f>
        <v/>
      </c>
      <c r="H263" s="64" t="str">
        <f>IFERROR(IF(IFERROR(MATCH(259,'كشف الحساب'!$N$4:$N$353,0),0)=0,"",INDEX('كشف الحساب'!$H$4:$H$353,IFERROR(MATCH(259,'كشف الحساب'!$N$4:$N$353,0),0))),"")</f>
        <v/>
      </c>
      <c r="I263" s="64" t="str">
        <f>IFERROR(IF(IFERROR(MATCH(259,'كشف الحساب'!$N$4:$N$353,0),0)=0,"",INDEX('كشف الحساب'!$I$4:$I$353,IFERROR(MATCH(259,'كشف الحساب'!$N$4:$N$353,0),0))),"")</f>
        <v/>
      </c>
      <c r="J263" s="68" t="str">
        <f>IFERROR(IF(IFERROR(MATCH(259,'كشف الحساب'!$N$4:$N$353,0),0)=0,"",INDEX('كشف الحساب'!$J$4:$J$353,IFERROR(MATCH(259,'كشف الحساب'!$N$4:$N$353,0),0))),"")</f>
        <v/>
      </c>
      <c r="K263" s="64" t="str">
        <f>IFERROR(IF(IFERROR(MATCH(259,'كشف الحساب'!$N$4:$N$353,0),0)=0,"",INDEX('كشف الحساب'!$K$4:$K$353,IFERROR(MATCH(259,'كشف الحساب'!$N$4:$N$353,0),0))),"")</f>
        <v/>
      </c>
    </row>
    <row r="264" spans="1:11" ht="15" customHeight="1" x14ac:dyDescent="0.25">
      <c r="A264" s="69" t="str">
        <f>IFERROR(IF(IFERROR(MATCH(260,'كشف الحساب'!$N$4:$N$353,0),0)=0,"",INDEX('كشف الحساب'!$A$4:$A$353,IFERROR(MATCH(260,'كشف الحساب'!$N$4:$N$353,0),0))),"")</f>
        <v/>
      </c>
      <c r="B264" s="70" t="str">
        <f>IFERROR(IF(IFERROR(MATCH(260,'كشف الحساب'!$N$4:$N$353,0),0)=0,"",INDEX('كشف الحساب'!$B$4:$B$353,IFERROR(MATCH(260,'كشف الحساب'!$N$4:$N$353,0),0))),"")</f>
        <v/>
      </c>
      <c r="C264" s="71" t="str">
        <f>IFERROR(IF(IFERROR(MATCH(260,'كشف الحساب'!$N$4:$N$353,0),0)=0,"",INDEX('كشف الحساب'!$C$4:$C$353,IFERROR(MATCH(260,'كشف الحساب'!$N$4:$N$353,0),0))),"")</f>
        <v/>
      </c>
      <c r="D264" s="72" t="str">
        <f>IFERROR(IF(IFERROR(MATCH(260,'كشف الحساب'!$N$4:$N$353,0),0)=0,"",INDEX('كشف الحساب'!$D$4:$D$353,IFERROR(MATCH(260,'كشف الحساب'!$N$4:$N$353,0),0))),"")</f>
        <v/>
      </c>
      <c r="E264" s="73" t="str">
        <f>IFERROR(IF(IFERROR(MATCH(260,'كشف الحساب'!$N$4:$N$353,0),0)=0,"",INDEX('كشف الحساب'!$E$4:$E$353,IFERROR(MATCH(260,'كشف الحساب'!$N$4:$N$353,0),0))),"")</f>
        <v/>
      </c>
      <c r="F264" s="70" t="str">
        <f>IFERROR(IF(IFERROR(MATCH(260,'كشف الحساب'!$N$4:$N$353,0),0)=0,"",INDEX('كشف الحساب'!$F$4:$F$353,IFERROR(MATCH(260,'كشف الحساب'!$N$4:$N$353,0),0))),"")</f>
        <v/>
      </c>
      <c r="G264" s="70" t="str">
        <f>IFERROR(IF(IFERROR(MATCH(260,'كشف الحساب'!$N$4:$N$353,0),0)=0,"",INDEX('كشف الحساب'!$G$4:$G$353,IFERROR(MATCH(260,'كشف الحساب'!$N$4:$N$353,0),0))),"")</f>
        <v/>
      </c>
      <c r="H264" s="70" t="str">
        <f>IFERROR(IF(IFERROR(MATCH(260,'كشف الحساب'!$N$4:$N$353,0),0)=0,"",INDEX('كشف الحساب'!$H$4:$H$353,IFERROR(MATCH(260,'كشف الحساب'!$N$4:$N$353,0),0))),"")</f>
        <v/>
      </c>
      <c r="I264" s="70" t="str">
        <f>IFERROR(IF(IFERROR(MATCH(260,'كشف الحساب'!$N$4:$N$353,0),0)=0,"",INDEX('كشف الحساب'!$I$4:$I$353,IFERROR(MATCH(260,'كشف الحساب'!$N$4:$N$353,0),0))),"")</f>
        <v/>
      </c>
      <c r="J264" s="74" t="str">
        <f>IFERROR(IF(IFERROR(MATCH(260,'كشف الحساب'!$N$4:$N$353,0),0)=0,"",INDEX('كشف الحساب'!$J$4:$J$353,IFERROR(MATCH(260,'كشف الحساب'!$N$4:$N$353,0),0))),"")</f>
        <v/>
      </c>
      <c r="K264" s="70" t="str">
        <f>IFERROR(IF(IFERROR(MATCH(260,'كشف الحساب'!$N$4:$N$353,0),0)=0,"",INDEX('كشف الحساب'!$K$4:$K$353,IFERROR(MATCH(260,'كشف الحساب'!$N$4:$N$353,0),0))),"")</f>
        <v/>
      </c>
    </row>
    <row r="265" spans="1:11" ht="15" customHeight="1" x14ac:dyDescent="0.25">
      <c r="A265" s="63" t="str">
        <f>IFERROR(IF(IFERROR(MATCH(261,'كشف الحساب'!$N$4:$N$353,0),0)=0,"",INDEX('كشف الحساب'!$A$4:$A$353,IFERROR(MATCH(261,'كشف الحساب'!$N$4:$N$353,0),0))),"")</f>
        <v/>
      </c>
      <c r="B265" s="64" t="str">
        <f>IFERROR(IF(IFERROR(MATCH(261,'كشف الحساب'!$N$4:$N$353,0),0)=0,"",INDEX('كشف الحساب'!$B$4:$B$353,IFERROR(MATCH(261,'كشف الحساب'!$N$4:$N$353,0),0))),"")</f>
        <v/>
      </c>
      <c r="C265" s="65" t="str">
        <f>IFERROR(IF(IFERROR(MATCH(261,'كشف الحساب'!$N$4:$N$353,0),0)=0,"",INDEX('كشف الحساب'!$C$4:$C$353,IFERROR(MATCH(261,'كشف الحساب'!$N$4:$N$353,0),0))),"")</f>
        <v/>
      </c>
      <c r="D265" s="66" t="str">
        <f>IFERROR(IF(IFERROR(MATCH(261,'كشف الحساب'!$N$4:$N$353,0),0)=0,"",INDEX('كشف الحساب'!$D$4:$D$353,IFERROR(MATCH(261,'كشف الحساب'!$N$4:$N$353,0),0))),"")</f>
        <v/>
      </c>
      <c r="E265" s="67" t="str">
        <f>IFERROR(IF(IFERROR(MATCH(261,'كشف الحساب'!$N$4:$N$353,0),0)=0,"",INDEX('كشف الحساب'!$E$4:$E$353,IFERROR(MATCH(261,'كشف الحساب'!$N$4:$N$353,0),0))),"")</f>
        <v/>
      </c>
      <c r="F265" s="64" t="str">
        <f>IFERROR(IF(IFERROR(MATCH(261,'كشف الحساب'!$N$4:$N$353,0),0)=0,"",INDEX('كشف الحساب'!$F$4:$F$353,IFERROR(MATCH(261,'كشف الحساب'!$N$4:$N$353,0),0))),"")</f>
        <v/>
      </c>
      <c r="G265" s="64" t="str">
        <f>IFERROR(IF(IFERROR(MATCH(261,'كشف الحساب'!$N$4:$N$353,0),0)=0,"",INDEX('كشف الحساب'!$G$4:$G$353,IFERROR(MATCH(261,'كشف الحساب'!$N$4:$N$353,0),0))),"")</f>
        <v/>
      </c>
      <c r="H265" s="64" t="str">
        <f>IFERROR(IF(IFERROR(MATCH(261,'كشف الحساب'!$N$4:$N$353,0),0)=0,"",INDEX('كشف الحساب'!$H$4:$H$353,IFERROR(MATCH(261,'كشف الحساب'!$N$4:$N$353,0),0))),"")</f>
        <v/>
      </c>
      <c r="I265" s="64" t="str">
        <f>IFERROR(IF(IFERROR(MATCH(261,'كشف الحساب'!$N$4:$N$353,0),0)=0,"",INDEX('كشف الحساب'!$I$4:$I$353,IFERROR(MATCH(261,'كشف الحساب'!$N$4:$N$353,0),0))),"")</f>
        <v/>
      </c>
      <c r="J265" s="68" t="str">
        <f>IFERROR(IF(IFERROR(MATCH(261,'كشف الحساب'!$N$4:$N$353,0),0)=0,"",INDEX('كشف الحساب'!$J$4:$J$353,IFERROR(MATCH(261,'كشف الحساب'!$N$4:$N$353,0),0))),"")</f>
        <v/>
      </c>
      <c r="K265" s="64" t="str">
        <f>IFERROR(IF(IFERROR(MATCH(261,'كشف الحساب'!$N$4:$N$353,0),0)=0,"",INDEX('كشف الحساب'!$K$4:$K$353,IFERROR(MATCH(261,'كشف الحساب'!$N$4:$N$353,0),0))),"")</f>
        <v/>
      </c>
    </row>
    <row r="266" spans="1:11" ht="15" customHeight="1" x14ac:dyDescent="0.25">
      <c r="A266" s="69" t="str">
        <f>IFERROR(IF(IFERROR(MATCH(262,'كشف الحساب'!$N$4:$N$353,0),0)=0,"",INDEX('كشف الحساب'!$A$4:$A$353,IFERROR(MATCH(262,'كشف الحساب'!$N$4:$N$353,0),0))),"")</f>
        <v/>
      </c>
      <c r="B266" s="70" t="str">
        <f>IFERROR(IF(IFERROR(MATCH(262,'كشف الحساب'!$N$4:$N$353,0),0)=0,"",INDEX('كشف الحساب'!$B$4:$B$353,IFERROR(MATCH(262,'كشف الحساب'!$N$4:$N$353,0),0))),"")</f>
        <v/>
      </c>
      <c r="C266" s="71" t="str">
        <f>IFERROR(IF(IFERROR(MATCH(262,'كشف الحساب'!$N$4:$N$353,0),0)=0,"",INDEX('كشف الحساب'!$C$4:$C$353,IFERROR(MATCH(262,'كشف الحساب'!$N$4:$N$353,0),0))),"")</f>
        <v/>
      </c>
      <c r="D266" s="72" t="str">
        <f>IFERROR(IF(IFERROR(MATCH(262,'كشف الحساب'!$N$4:$N$353,0),0)=0,"",INDEX('كشف الحساب'!$D$4:$D$353,IFERROR(MATCH(262,'كشف الحساب'!$N$4:$N$353,0),0))),"")</f>
        <v/>
      </c>
      <c r="E266" s="73" t="str">
        <f>IFERROR(IF(IFERROR(MATCH(262,'كشف الحساب'!$N$4:$N$353,0),0)=0,"",INDEX('كشف الحساب'!$E$4:$E$353,IFERROR(MATCH(262,'كشف الحساب'!$N$4:$N$353,0),0))),"")</f>
        <v/>
      </c>
      <c r="F266" s="70" t="str">
        <f>IFERROR(IF(IFERROR(MATCH(262,'كشف الحساب'!$N$4:$N$353,0),0)=0,"",INDEX('كشف الحساب'!$F$4:$F$353,IFERROR(MATCH(262,'كشف الحساب'!$N$4:$N$353,0),0))),"")</f>
        <v/>
      </c>
      <c r="G266" s="70" t="str">
        <f>IFERROR(IF(IFERROR(MATCH(262,'كشف الحساب'!$N$4:$N$353,0),0)=0,"",INDEX('كشف الحساب'!$G$4:$G$353,IFERROR(MATCH(262,'كشف الحساب'!$N$4:$N$353,0),0))),"")</f>
        <v/>
      </c>
      <c r="H266" s="70" t="str">
        <f>IFERROR(IF(IFERROR(MATCH(262,'كشف الحساب'!$N$4:$N$353,0),0)=0,"",INDEX('كشف الحساب'!$H$4:$H$353,IFERROR(MATCH(262,'كشف الحساب'!$N$4:$N$353,0),0))),"")</f>
        <v/>
      </c>
      <c r="I266" s="70" t="str">
        <f>IFERROR(IF(IFERROR(MATCH(262,'كشف الحساب'!$N$4:$N$353,0),0)=0,"",INDEX('كشف الحساب'!$I$4:$I$353,IFERROR(MATCH(262,'كشف الحساب'!$N$4:$N$353,0),0))),"")</f>
        <v/>
      </c>
      <c r="J266" s="74" t="str">
        <f>IFERROR(IF(IFERROR(MATCH(262,'كشف الحساب'!$N$4:$N$353,0),0)=0,"",INDEX('كشف الحساب'!$J$4:$J$353,IFERROR(MATCH(262,'كشف الحساب'!$N$4:$N$353,0),0))),"")</f>
        <v/>
      </c>
      <c r="K266" s="70" t="str">
        <f>IFERROR(IF(IFERROR(MATCH(262,'كشف الحساب'!$N$4:$N$353,0),0)=0,"",INDEX('كشف الحساب'!$K$4:$K$353,IFERROR(MATCH(262,'كشف الحساب'!$N$4:$N$353,0),0))),"")</f>
        <v/>
      </c>
    </row>
    <row r="267" spans="1:11" ht="15" customHeight="1" x14ac:dyDescent="0.25">
      <c r="A267" s="63" t="str">
        <f>IFERROR(IF(IFERROR(MATCH(263,'كشف الحساب'!$N$4:$N$353,0),0)=0,"",INDEX('كشف الحساب'!$A$4:$A$353,IFERROR(MATCH(263,'كشف الحساب'!$N$4:$N$353,0),0))),"")</f>
        <v/>
      </c>
      <c r="B267" s="64" t="str">
        <f>IFERROR(IF(IFERROR(MATCH(263,'كشف الحساب'!$N$4:$N$353,0),0)=0,"",INDEX('كشف الحساب'!$B$4:$B$353,IFERROR(MATCH(263,'كشف الحساب'!$N$4:$N$353,0),0))),"")</f>
        <v/>
      </c>
      <c r="C267" s="65" t="str">
        <f>IFERROR(IF(IFERROR(MATCH(263,'كشف الحساب'!$N$4:$N$353,0),0)=0,"",INDEX('كشف الحساب'!$C$4:$C$353,IFERROR(MATCH(263,'كشف الحساب'!$N$4:$N$353,0),0))),"")</f>
        <v/>
      </c>
      <c r="D267" s="66" t="str">
        <f>IFERROR(IF(IFERROR(MATCH(263,'كشف الحساب'!$N$4:$N$353,0),0)=0,"",INDEX('كشف الحساب'!$D$4:$D$353,IFERROR(MATCH(263,'كشف الحساب'!$N$4:$N$353,0),0))),"")</f>
        <v/>
      </c>
      <c r="E267" s="67" t="str">
        <f>IFERROR(IF(IFERROR(MATCH(263,'كشف الحساب'!$N$4:$N$353,0),0)=0,"",INDEX('كشف الحساب'!$E$4:$E$353,IFERROR(MATCH(263,'كشف الحساب'!$N$4:$N$353,0),0))),"")</f>
        <v/>
      </c>
      <c r="F267" s="64" t="str">
        <f>IFERROR(IF(IFERROR(MATCH(263,'كشف الحساب'!$N$4:$N$353,0),0)=0,"",INDEX('كشف الحساب'!$F$4:$F$353,IFERROR(MATCH(263,'كشف الحساب'!$N$4:$N$353,0),0))),"")</f>
        <v/>
      </c>
      <c r="G267" s="64" t="str">
        <f>IFERROR(IF(IFERROR(MATCH(263,'كشف الحساب'!$N$4:$N$353,0),0)=0,"",INDEX('كشف الحساب'!$G$4:$G$353,IFERROR(MATCH(263,'كشف الحساب'!$N$4:$N$353,0),0))),"")</f>
        <v/>
      </c>
      <c r="H267" s="64" t="str">
        <f>IFERROR(IF(IFERROR(MATCH(263,'كشف الحساب'!$N$4:$N$353,0),0)=0,"",INDEX('كشف الحساب'!$H$4:$H$353,IFERROR(MATCH(263,'كشف الحساب'!$N$4:$N$353,0),0))),"")</f>
        <v/>
      </c>
      <c r="I267" s="64" t="str">
        <f>IFERROR(IF(IFERROR(MATCH(263,'كشف الحساب'!$N$4:$N$353,0),0)=0,"",INDEX('كشف الحساب'!$I$4:$I$353,IFERROR(MATCH(263,'كشف الحساب'!$N$4:$N$353,0),0))),"")</f>
        <v/>
      </c>
      <c r="J267" s="68" t="str">
        <f>IFERROR(IF(IFERROR(MATCH(263,'كشف الحساب'!$N$4:$N$353,0),0)=0,"",INDEX('كشف الحساب'!$J$4:$J$353,IFERROR(MATCH(263,'كشف الحساب'!$N$4:$N$353,0),0))),"")</f>
        <v/>
      </c>
      <c r="K267" s="64" t="str">
        <f>IFERROR(IF(IFERROR(MATCH(263,'كشف الحساب'!$N$4:$N$353,0),0)=0,"",INDEX('كشف الحساب'!$K$4:$K$353,IFERROR(MATCH(263,'كشف الحساب'!$N$4:$N$353,0),0))),"")</f>
        <v/>
      </c>
    </row>
    <row r="268" spans="1:11" ht="15" customHeight="1" x14ac:dyDescent="0.25">
      <c r="A268" s="69" t="str">
        <f>IFERROR(IF(IFERROR(MATCH(264,'كشف الحساب'!$N$4:$N$353,0),0)=0,"",INDEX('كشف الحساب'!$A$4:$A$353,IFERROR(MATCH(264,'كشف الحساب'!$N$4:$N$353,0),0))),"")</f>
        <v/>
      </c>
      <c r="B268" s="70" t="str">
        <f>IFERROR(IF(IFERROR(MATCH(264,'كشف الحساب'!$N$4:$N$353,0),0)=0,"",INDEX('كشف الحساب'!$B$4:$B$353,IFERROR(MATCH(264,'كشف الحساب'!$N$4:$N$353,0),0))),"")</f>
        <v/>
      </c>
      <c r="C268" s="71" t="str">
        <f>IFERROR(IF(IFERROR(MATCH(264,'كشف الحساب'!$N$4:$N$353,0),0)=0,"",INDEX('كشف الحساب'!$C$4:$C$353,IFERROR(MATCH(264,'كشف الحساب'!$N$4:$N$353,0),0))),"")</f>
        <v/>
      </c>
      <c r="D268" s="72" t="str">
        <f>IFERROR(IF(IFERROR(MATCH(264,'كشف الحساب'!$N$4:$N$353,0),0)=0,"",INDEX('كشف الحساب'!$D$4:$D$353,IFERROR(MATCH(264,'كشف الحساب'!$N$4:$N$353,0),0))),"")</f>
        <v/>
      </c>
      <c r="E268" s="73" t="str">
        <f>IFERROR(IF(IFERROR(MATCH(264,'كشف الحساب'!$N$4:$N$353,0),0)=0,"",INDEX('كشف الحساب'!$E$4:$E$353,IFERROR(MATCH(264,'كشف الحساب'!$N$4:$N$353,0),0))),"")</f>
        <v/>
      </c>
      <c r="F268" s="70" t="str">
        <f>IFERROR(IF(IFERROR(MATCH(264,'كشف الحساب'!$N$4:$N$353,0),0)=0,"",INDEX('كشف الحساب'!$F$4:$F$353,IFERROR(MATCH(264,'كشف الحساب'!$N$4:$N$353,0),0))),"")</f>
        <v/>
      </c>
      <c r="G268" s="70" t="str">
        <f>IFERROR(IF(IFERROR(MATCH(264,'كشف الحساب'!$N$4:$N$353,0),0)=0,"",INDEX('كشف الحساب'!$G$4:$G$353,IFERROR(MATCH(264,'كشف الحساب'!$N$4:$N$353,0),0))),"")</f>
        <v/>
      </c>
      <c r="H268" s="70" t="str">
        <f>IFERROR(IF(IFERROR(MATCH(264,'كشف الحساب'!$N$4:$N$353,0),0)=0,"",INDEX('كشف الحساب'!$H$4:$H$353,IFERROR(MATCH(264,'كشف الحساب'!$N$4:$N$353,0),0))),"")</f>
        <v/>
      </c>
      <c r="I268" s="70" t="str">
        <f>IFERROR(IF(IFERROR(MATCH(264,'كشف الحساب'!$N$4:$N$353,0),0)=0,"",INDEX('كشف الحساب'!$I$4:$I$353,IFERROR(MATCH(264,'كشف الحساب'!$N$4:$N$353,0),0))),"")</f>
        <v/>
      </c>
      <c r="J268" s="74" t="str">
        <f>IFERROR(IF(IFERROR(MATCH(264,'كشف الحساب'!$N$4:$N$353,0),0)=0,"",INDEX('كشف الحساب'!$J$4:$J$353,IFERROR(MATCH(264,'كشف الحساب'!$N$4:$N$353,0),0))),"")</f>
        <v/>
      </c>
      <c r="K268" s="70" t="str">
        <f>IFERROR(IF(IFERROR(MATCH(264,'كشف الحساب'!$N$4:$N$353,0),0)=0,"",INDEX('كشف الحساب'!$K$4:$K$353,IFERROR(MATCH(264,'كشف الحساب'!$N$4:$N$353,0),0))),"")</f>
        <v/>
      </c>
    </row>
    <row r="269" spans="1:11" ht="15" customHeight="1" x14ac:dyDescent="0.25">
      <c r="A269" s="63" t="str">
        <f>IFERROR(IF(IFERROR(MATCH(265,'كشف الحساب'!$N$4:$N$353,0),0)=0,"",INDEX('كشف الحساب'!$A$4:$A$353,IFERROR(MATCH(265,'كشف الحساب'!$N$4:$N$353,0),0))),"")</f>
        <v/>
      </c>
      <c r="B269" s="64" t="str">
        <f>IFERROR(IF(IFERROR(MATCH(265,'كشف الحساب'!$N$4:$N$353,0),0)=0,"",INDEX('كشف الحساب'!$B$4:$B$353,IFERROR(MATCH(265,'كشف الحساب'!$N$4:$N$353,0),0))),"")</f>
        <v/>
      </c>
      <c r="C269" s="65" t="str">
        <f>IFERROR(IF(IFERROR(MATCH(265,'كشف الحساب'!$N$4:$N$353,0),0)=0,"",INDEX('كشف الحساب'!$C$4:$C$353,IFERROR(MATCH(265,'كشف الحساب'!$N$4:$N$353,0),0))),"")</f>
        <v/>
      </c>
      <c r="D269" s="66" t="str">
        <f>IFERROR(IF(IFERROR(MATCH(265,'كشف الحساب'!$N$4:$N$353,0),0)=0,"",INDEX('كشف الحساب'!$D$4:$D$353,IFERROR(MATCH(265,'كشف الحساب'!$N$4:$N$353,0),0))),"")</f>
        <v/>
      </c>
      <c r="E269" s="67" t="str">
        <f>IFERROR(IF(IFERROR(MATCH(265,'كشف الحساب'!$N$4:$N$353,0),0)=0,"",INDEX('كشف الحساب'!$E$4:$E$353,IFERROR(MATCH(265,'كشف الحساب'!$N$4:$N$353,0),0))),"")</f>
        <v/>
      </c>
      <c r="F269" s="64" t="str">
        <f>IFERROR(IF(IFERROR(MATCH(265,'كشف الحساب'!$N$4:$N$353,0),0)=0,"",INDEX('كشف الحساب'!$F$4:$F$353,IFERROR(MATCH(265,'كشف الحساب'!$N$4:$N$353,0),0))),"")</f>
        <v/>
      </c>
      <c r="G269" s="64" t="str">
        <f>IFERROR(IF(IFERROR(MATCH(265,'كشف الحساب'!$N$4:$N$353,0),0)=0,"",INDEX('كشف الحساب'!$G$4:$G$353,IFERROR(MATCH(265,'كشف الحساب'!$N$4:$N$353,0),0))),"")</f>
        <v/>
      </c>
      <c r="H269" s="64" t="str">
        <f>IFERROR(IF(IFERROR(MATCH(265,'كشف الحساب'!$N$4:$N$353,0),0)=0,"",INDEX('كشف الحساب'!$H$4:$H$353,IFERROR(MATCH(265,'كشف الحساب'!$N$4:$N$353,0),0))),"")</f>
        <v/>
      </c>
      <c r="I269" s="64" t="str">
        <f>IFERROR(IF(IFERROR(MATCH(265,'كشف الحساب'!$N$4:$N$353,0),0)=0,"",INDEX('كشف الحساب'!$I$4:$I$353,IFERROR(MATCH(265,'كشف الحساب'!$N$4:$N$353,0),0))),"")</f>
        <v/>
      </c>
      <c r="J269" s="68" t="str">
        <f>IFERROR(IF(IFERROR(MATCH(265,'كشف الحساب'!$N$4:$N$353,0),0)=0,"",INDEX('كشف الحساب'!$J$4:$J$353,IFERROR(MATCH(265,'كشف الحساب'!$N$4:$N$353,0),0))),"")</f>
        <v/>
      </c>
      <c r="K269" s="64" t="str">
        <f>IFERROR(IF(IFERROR(MATCH(265,'كشف الحساب'!$N$4:$N$353,0),0)=0,"",INDEX('كشف الحساب'!$K$4:$K$353,IFERROR(MATCH(265,'كشف الحساب'!$N$4:$N$353,0),0))),"")</f>
        <v/>
      </c>
    </row>
    <row r="270" spans="1:11" ht="15" customHeight="1" x14ac:dyDescent="0.25">
      <c r="A270" s="69" t="str">
        <f>IFERROR(IF(IFERROR(MATCH(266,'كشف الحساب'!$N$4:$N$353,0),0)=0,"",INDEX('كشف الحساب'!$A$4:$A$353,IFERROR(MATCH(266,'كشف الحساب'!$N$4:$N$353,0),0))),"")</f>
        <v/>
      </c>
      <c r="B270" s="70" t="str">
        <f>IFERROR(IF(IFERROR(MATCH(266,'كشف الحساب'!$N$4:$N$353,0),0)=0,"",INDEX('كشف الحساب'!$B$4:$B$353,IFERROR(MATCH(266,'كشف الحساب'!$N$4:$N$353,0),0))),"")</f>
        <v/>
      </c>
      <c r="C270" s="71" t="str">
        <f>IFERROR(IF(IFERROR(MATCH(266,'كشف الحساب'!$N$4:$N$353,0),0)=0,"",INDEX('كشف الحساب'!$C$4:$C$353,IFERROR(MATCH(266,'كشف الحساب'!$N$4:$N$353,0),0))),"")</f>
        <v/>
      </c>
      <c r="D270" s="72" t="str">
        <f>IFERROR(IF(IFERROR(MATCH(266,'كشف الحساب'!$N$4:$N$353,0),0)=0,"",INDEX('كشف الحساب'!$D$4:$D$353,IFERROR(MATCH(266,'كشف الحساب'!$N$4:$N$353,0),0))),"")</f>
        <v/>
      </c>
      <c r="E270" s="73" t="str">
        <f>IFERROR(IF(IFERROR(MATCH(266,'كشف الحساب'!$N$4:$N$353,0),0)=0,"",INDEX('كشف الحساب'!$E$4:$E$353,IFERROR(MATCH(266,'كشف الحساب'!$N$4:$N$353,0),0))),"")</f>
        <v/>
      </c>
      <c r="F270" s="70" t="str">
        <f>IFERROR(IF(IFERROR(MATCH(266,'كشف الحساب'!$N$4:$N$353,0),0)=0,"",INDEX('كشف الحساب'!$F$4:$F$353,IFERROR(MATCH(266,'كشف الحساب'!$N$4:$N$353,0),0))),"")</f>
        <v/>
      </c>
      <c r="G270" s="70" t="str">
        <f>IFERROR(IF(IFERROR(MATCH(266,'كشف الحساب'!$N$4:$N$353,0),0)=0,"",INDEX('كشف الحساب'!$G$4:$G$353,IFERROR(MATCH(266,'كشف الحساب'!$N$4:$N$353,0),0))),"")</f>
        <v/>
      </c>
      <c r="H270" s="70" t="str">
        <f>IFERROR(IF(IFERROR(MATCH(266,'كشف الحساب'!$N$4:$N$353,0),0)=0,"",INDEX('كشف الحساب'!$H$4:$H$353,IFERROR(MATCH(266,'كشف الحساب'!$N$4:$N$353,0),0))),"")</f>
        <v/>
      </c>
      <c r="I270" s="70" t="str">
        <f>IFERROR(IF(IFERROR(MATCH(266,'كشف الحساب'!$N$4:$N$353,0),0)=0,"",INDEX('كشف الحساب'!$I$4:$I$353,IFERROR(MATCH(266,'كشف الحساب'!$N$4:$N$353,0),0))),"")</f>
        <v/>
      </c>
      <c r="J270" s="74" t="str">
        <f>IFERROR(IF(IFERROR(MATCH(266,'كشف الحساب'!$N$4:$N$353,0),0)=0,"",INDEX('كشف الحساب'!$J$4:$J$353,IFERROR(MATCH(266,'كشف الحساب'!$N$4:$N$353,0),0))),"")</f>
        <v/>
      </c>
      <c r="K270" s="70" t="str">
        <f>IFERROR(IF(IFERROR(MATCH(266,'كشف الحساب'!$N$4:$N$353,0),0)=0,"",INDEX('كشف الحساب'!$K$4:$K$353,IFERROR(MATCH(266,'كشف الحساب'!$N$4:$N$353,0),0))),"")</f>
        <v/>
      </c>
    </row>
    <row r="271" spans="1:11" ht="15" customHeight="1" x14ac:dyDescent="0.25">
      <c r="A271" s="63" t="str">
        <f>IFERROR(IF(IFERROR(MATCH(267,'كشف الحساب'!$N$4:$N$353,0),0)=0,"",INDEX('كشف الحساب'!$A$4:$A$353,IFERROR(MATCH(267,'كشف الحساب'!$N$4:$N$353,0),0))),"")</f>
        <v/>
      </c>
      <c r="B271" s="64" t="str">
        <f>IFERROR(IF(IFERROR(MATCH(267,'كشف الحساب'!$N$4:$N$353,0),0)=0,"",INDEX('كشف الحساب'!$B$4:$B$353,IFERROR(MATCH(267,'كشف الحساب'!$N$4:$N$353,0),0))),"")</f>
        <v/>
      </c>
      <c r="C271" s="65" t="str">
        <f>IFERROR(IF(IFERROR(MATCH(267,'كشف الحساب'!$N$4:$N$353,0),0)=0,"",INDEX('كشف الحساب'!$C$4:$C$353,IFERROR(MATCH(267,'كشف الحساب'!$N$4:$N$353,0),0))),"")</f>
        <v/>
      </c>
      <c r="D271" s="66" t="str">
        <f>IFERROR(IF(IFERROR(MATCH(267,'كشف الحساب'!$N$4:$N$353,0),0)=0,"",INDEX('كشف الحساب'!$D$4:$D$353,IFERROR(MATCH(267,'كشف الحساب'!$N$4:$N$353,0),0))),"")</f>
        <v/>
      </c>
      <c r="E271" s="67" t="str">
        <f>IFERROR(IF(IFERROR(MATCH(267,'كشف الحساب'!$N$4:$N$353,0),0)=0,"",INDEX('كشف الحساب'!$E$4:$E$353,IFERROR(MATCH(267,'كشف الحساب'!$N$4:$N$353,0),0))),"")</f>
        <v/>
      </c>
      <c r="F271" s="64" t="str">
        <f>IFERROR(IF(IFERROR(MATCH(267,'كشف الحساب'!$N$4:$N$353,0),0)=0,"",INDEX('كشف الحساب'!$F$4:$F$353,IFERROR(MATCH(267,'كشف الحساب'!$N$4:$N$353,0),0))),"")</f>
        <v/>
      </c>
      <c r="G271" s="64" t="str">
        <f>IFERROR(IF(IFERROR(MATCH(267,'كشف الحساب'!$N$4:$N$353,0),0)=0,"",INDEX('كشف الحساب'!$G$4:$G$353,IFERROR(MATCH(267,'كشف الحساب'!$N$4:$N$353,0),0))),"")</f>
        <v/>
      </c>
      <c r="H271" s="64" t="str">
        <f>IFERROR(IF(IFERROR(MATCH(267,'كشف الحساب'!$N$4:$N$353,0),0)=0,"",INDEX('كشف الحساب'!$H$4:$H$353,IFERROR(MATCH(267,'كشف الحساب'!$N$4:$N$353,0),0))),"")</f>
        <v/>
      </c>
      <c r="I271" s="64" t="str">
        <f>IFERROR(IF(IFERROR(MATCH(267,'كشف الحساب'!$N$4:$N$353,0),0)=0,"",INDEX('كشف الحساب'!$I$4:$I$353,IFERROR(MATCH(267,'كشف الحساب'!$N$4:$N$353,0),0))),"")</f>
        <v/>
      </c>
      <c r="J271" s="68" t="str">
        <f>IFERROR(IF(IFERROR(MATCH(267,'كشف الحساب'!$N$4:$N$353,0),0)=0,"",INDEX('كشف الحساب'!$J$4:$J$353,IFERROR(MATCH(267,'كشف الحساب'!$N$4:$N$353,0),0))),"")</f>
        <v/>
      </c>
      <c r="K271" s="64" t="str">
        <f>IFERROR(IF(IFERROR(MATCH(267,'كشف الحساب'!$N$4:$N$353,0),0)=0,"",INDEX('كشف الحساب'!$K$4:$K$353,IFERROR(MATCH(267,'كشف الحساب'!$N$4:$N$353,0),0))),"")</f>
        <v/>
      </c>
    </row>
    <row r="272" spans="1:11" ht="15" customHeight="1" x14ac:dyDescent="0.25">
      <c r="A272" s="69" t="str">
        <f>IFERROR(IF(IFERROR(MATCH(268,'كشف الحساب'!$N$4:$N$353,0),0)=0,"",INDEX('كشف الحساب'!$A$4:$A$353,IFERROR(MATCH(268,'كشف الحساب'!$N$4:$N$353,0),0))),"")</f>
        <v/>
      </c>
      <c r="B272" s="70" t="str">
        <f>IFERROR(IF(IFERROR(MATCH(268,'كشف الحساب'!$N$4:$N$353,0),0)=0,"",INDEX('كشف الحساب'!$B$4:$B$353,IFERROR(MATCH(268,'كشف الحساب'!$N$4:$N$353,0),0))),"")</f>
        <v/>
      </c>
      <c r="C272" s="71" t="str">
        <f>IFERROR(IF(IFERROR(MATCH(268,'كشف الحساب'!$N$4:$N$353,0),0)=0,"",INDEX('كشف الحساب'!$C$4:$C$353,IFERROR(MATCH(268,'كشف الحساب'!$N$4:$N$353,0),0))),"")</f>
        <v/>
      </c>
      <c r="D272" s="72" t="str">
        <f>IFERROR(IF(IFERROR(MATCH(268,'كشف الحساب'!$N$4:$N$353,0),0)=0,"",INDEX('كشف الحساب'!$D$4:$D$353,IFERROR(MATCH(268,'كشف الحساب'!$N$4:$N$353,0),0))),"")</f>
        <v/>
      </c>
      <c r="E272" s="73" t="str">
        <f>IFERROR(IF(IFERROR(MATCH(268,'كشف الحساب'!$N$4:$N$353,0),0)=0,"",INDEX('كشف الحساب'!$E$4:$E$353,IFERROR(MATCH(268,'كشف الحساب'!$N$4:$N$353,0),0))),"")</f>
        <v/>
      </c>
      <c r="F272" s="70" t="str">
        <f>IFERROR(IF(IFERROR(MATCH(268,'كشف الحساب'!$N$4:$N$353,0),0)=0,"",INDEX('كشف الحساب'!$F$4:$F$353,IFERROR(MATCH(268,'كشف الحساب'!$N$4:$N$353,0),0))),"")</f>
        <v/>
      </c>
      <c r="G272" s="70" t="str">
        <f>IFERROR(IF(IFERROR(MATCH(268,'كشف الحساب'!$N$4:$N$353,0),0)=0,"",INDEX('كشف الحساب'!$G$4:$G$353,IFERROR(MATCH(268,'كشف الحساب'!$N$4:$N$353,0),0))),"")</f>
        <v/>
      </c>
      <c r="H272" s="70" t="str">
        <f>IFERROR(IF(IFERROR(MATCH(268,'كشف الحساب'!$N$4:$N$353,0),0)=0,"",INDEX('كشف الحساب'!$H$4:$H$353,IFERROR(MATCH(268,'كشف الحساب'!$N$4:$N$353,0),0))),"")</f>
        <v/>
      </c>
      <c r="I272" s="70" t="str">
        <f>IFERROR(IF(IFERROR(MATCH(268,'كشف الحساب'!$N$4:$N$353,0),0)=0,"",INDEX('كشف الحساب'!$I$4:$I$353,IFERROR(MATCH(268,'كشف الحساب'!$N$4:$N$353,0),0))),"")</f>
        <v/>
      </c>
      <c r="J272" s="74" t="str">
        <f>IFERROR(IF(IFERROR(MATCH(268,'كشف الحساب'!$N$4:$N$353,0),0)=0,"",INDEX('كشف الحساب'!$J$4:$J$353,IFERROR(MATCH(268,'كشف الحساب'!$N$4:$N$353,0),0))),"")</f>
        <v/>
      </c>
      <c r="K272" s="70" t="str">
        <f>IFERROR(IF(IFERROR(MATCH(268,'كشف الحساب'!$N$4:$N$353,0),0)=0,"",INDEX('كشف الحساب'!$K$4:$K$353,IFERROR(MATCH(268,'كشف الحساب'!$N$4:$N$353,0),0))),"")</f>
        <v/>
      </c>
    </row>
    <row r="273" spans="1:11" ht="15" customHeight="1" x14ac:dyDescent="0.25">
      <c r="A273" s="63" t="str">
        <f>IFERROR(IF(IFERROR(MATCH(269,'كشف الحساب'!$N$4:$N$353,0),0)=0,"",INDEX('كشف الحساب'!$A$4:$A$353,IFERROR(MATCH(269,'كشف الحساب'!$N$4:$N$353,0),0))),"")</f>
        <v/>
      </c>
      <c r="B273" s="64" t="str">
        <f>IFERROR(IF(IFERROR(MATCH(269,'كشف الحساب'!$N$4:$N$353,0),0)=0,"",INDEX('كشف الحساب'!$B$4:$B$353,IFERROR(MATCH(269,'كشف الحساب'!$N$4:$N$353,0),0))),"")</f>
        <v/>
      </c>
      <c r="C273" s="65" t="str">
        <f>IFERROR(IF(IFERROR(MATCH(269,'كشف الحساب'!$N$4:$N$353,0),0)=0,"",INDEX('كشف الحساب'!$C$4:$C$353,IFERROR(MATCH(269,'كشف الحساب'!$N$4:$N$353,0),0))),"")</f>
        <v/>
      </c>
      <c r="D273" s="66" t="str">
        <f>IFERROR(IF(IFERROR(MATCH(269,'كشف الحساب'!$N$4:$N$353,0),0)=0,"",INDEX('كشف الحساب'!$D$4:$D$353,IFERROR(MATCH(269,'كشف الحساب'!$N$4:$N$353,0),0))),"")</f>
        <v/>
      </c>
      <c r="E273" s="67" t="str">
        <f>IFERROR(IF(IFERROR(MATCH(269,'كشف الحساب'!$N$4:$N$353,0),0)=0,"",INDEX('كشف الحساب'!$E$4:$E$353,IFERROR(MATCH(269,'كشف الحساب'!$N$4:$N$353,0),0))),"")</f>
        <v/>
      </c>
      <c r="F273" s="64" t="str">
        <f>IFERROR(IF(IFERROR(MATCH(269,'كشف الحساب'!$N$4:$N$353,0),0)=0,"",INDEX('كشف الحساب'!$F$4:$F$353,IFERROR(MATCH(269,'كشف الحساب'!$N$4:$N$353,0),0))),"")</f>
        <v/>
      </c>
      <c r="G273" s="64" t="str">
        <f>IFERROR(IF(IFERROR(MATCH(269,'كشف الحساب'!$N$4:$N$353,0),0)=0,"",INDEX('كشف الحساب'!$G$4:$G$353,IFERROR(MATCH(269,'كشف الحساب'!$N$4:$N$353,0),0))),"")</f>
        <v/>
      </c>
      <c r="H273" s="64" t="str">
        <f>IFERROR(IF(IFERROR(MATCH(269,'كشف الحساب'!$N$4:$N$353,0),0)=0,"",INDEX('كشف الحساب'!$H$4:$H$353,IFERROR(MATCH(269,'كشف الحساب'!$N$4:$N$353,0),0))),"")</f>
        <v/>
      </c>
      <c r="I273" s="64" t="str">
        <f>IFERROR(IF(IFERROR(MATCH(269,'كشف الحساب'!$N$4:$N$353,0),0)=0,"",INDEX('كشف الحساب'!$I$4:$I$353,IFERROR(MATCH(269,'كشف الحساب'!$N$4:$N$353,0),0))),"")</f>
        <v/>
      </c>
      <c r="J273" s="68" t="str">
        <f>IFERROR(IF(IFERROR(MATCH(269,'كشف الحساب'!$N$4:$N$353,0),0)=0,"",INDEX('كشف الحساب'!$J$4:$J$353,IFERROR(MATCH(269,'كشف الحساب'!$N$4:$N$353,0),0))),"")</f>
        <v/>
      </c>
      <c r="K273" s="64" t="str">
        <f>IFERROR(IF(IFERROR(MATCH(269,'كشف الحساب'!$N$4:$N$353,0),0)=0,"",INDEX('كشف الحساب'!$K$4:$K$353,IFERROR(MATCH(269,'كشف الحساب'!$N$4:$N$353,0),0))),"")</f>
        <v/>
      </c>
    </row>
    <row r="274" spans="1:11" ht="15" customHeight="1" x14ac:dyDescent="0.25">
      <c r="A274" s="69" t="str">
        <f>IFERROR(IF(IFERROR(MATCH(270,'كشف الحساب'!$N$4:$N$353,0),0)=0,"",INDEX('كشف الحساب'!$A$4:$A$353,IFERROR(MATCH(270,'كشف الحساب'!$N$4:$N$353,0),0))),"")</f>
        <v/>
      </c>
      <c r="B274" s="70" t="str">
        <f>IFERROR(IF(IFERROR(MATCH(270,'كشف الحساب'!$N$4:$N$353,0),0)=0,"",INDEX('كشف الحساب'!$B$4:$B$353,IFERROR(MATCH(270,'كشف الحساب'!$N$4:$N$353,0),0))),"")</f>
        <v/>
      </c>
      <c r="C274" s="71" t="str">
        <f>IFERROR(IF(IFERROR(MATCH(270,'كشف الحساب'!$N$4:$N$353,0),0)=0,"",INDEX('كشف الحساب'!$C$4:$C$353,IFERROR(MATCH(270,'كشف الحساب'!$N$4:$N$353,0),0))),"")</f>
        <v/>
      </c>
      <c r="D274" s="72" t="str">
        <f>IFERROR(IF(IFERROR(MATCH(270,'كشف الحساب'!$N$4:$N$353,0),0)=0,"",INDEX('كشف الحساب'!$D$4:$D$353,IFERROR(MATCH(270,'كشف الحساب'!$N$4:$N$353,0),0))),"")</f>
        <v/>
      </c>
      <c r="E274" s="73" t="str">
        <f>IFERROR(IF(IFERROR(MATCH(270,'كشف الحساب'!$N$4:$N$353,0),0)=0,"",INDEX('كشف الحساب'!$E$4:$E$353,IFERROR(MATCH(270,'كشف الحساب'!$N$4:$N$353,0),0))),"")</f>
        <v/>
      </c>
      <c r="F274" s="70" t="str">
        <f>IFERROR(IF(IFERROR(MATCH(270,'كشف الحساب'!$N$4:$N$353,0),0)=0,"",INDEX('كشف الحساب'!$F$4:$F$353,IFERROR(MATCH(270,'كشف الحساب'!$N$4:$N$353,0),0))),"")</f>
        <v/>
      </c>
      <c r="G274" s="70" t="str">
        <f>IFERROR(IF(IFERROR(MATCH(270,'كشف الحساب'!$N$4:$N$353,0),0)=0,"",INDEX('كشف الحساب'!$G$4:$G$353,IFERROR(MATCH(270,'كشف الحساب'!$N$4:$N$353,0),0))),"")</f>
        <v/>
      </c>
      <c r="H274" s="70" t="str">
        <f>IFERROR(IF(IFERROR(MATCH(270,'كشف الحساب'!$N$4:$N$353,0),0)=0,"",INDEX('كشف الحساب'!$H$4:$H$353,IFERROR(MATCH(270,'كشف الحساب'!$N$4:$N$353,0),0))),"")</f>
        <v/>
      </c>
      <c r="I274" s="70" t="str">
        <f>IFERROR(IF(IFERROR(MATCH(270,'كشف الحساب'!$N$4:$N$353,0),0)=0,"",INDEX('كشف الحساب'!$I$4:$I$353,IFERROR(MATCH(270,'كشف الحساب'!$N$4:$N$353,0),0))),"")</f>
        <v/>
      </c>
      <c r="J274" s="74" t="str">
        <f>IFERROR(IF(IFERROR(MATCH(270,'كشف الحساب'!$N$4:$N$353,0),0)=0,"",INDEX('كشف الحساب'!$J$4:$J$353,IFERROR(MATCH(270,'كشف الحساب'!$N$4:$N$353,0),0))),"")</f>
        <v/>
      </c>
      <c r="K274" s="70" t="str">
        <f>IFERROR(IF(IFERROR(MATCH(270,'كشف الحساب'!$N$4:$N$353,0),0)=0,"",INDEX('كشف الحساب'!$K$4:$K$353,IFERROR(MATCH(270,'كشف الحساب'!$N$4:$N$353,0),0))),"")</f>
        <v/>
      </c>
    </row>
    <row r="275" spans="1:11" ht="15" customHeight="1" x14ac:dyDescent="0.25">
      <c r="A275" s="63" t="str">
        <f>IFERROR(IF(IFERROR(MATCH(271,'كشف الحساب'!$N$4:$N$353,0),0)=0,"",INDEX('كشف الحساب'!$A$4:$A$353,IFERROR(MATCH(271,'كشف الحساب'!$N$4:$N$353,0),0))),"")</f>
        <v/>
      </c>
      <c r="B275" s="64" t="str">
        <f>IFERROR(IF(IFERROR(MATCH(271,'كشف الحساب'!$N$4:$N$353,0),0)=0,"",INDEX('كشف الحساب'!$B$4:$B$353,IFERROR(MATCH(271,'كشف الحساب'!$N$4:$N$353,0),0))),"")</f>
        <v/>
      </c>
      <c r="C275" s="65" t="str">
        <f>IFERROR(IF(IFERROR(MATCH(271,'كشف الحساب'!$N$4:$N$353,0),0)=0,"",INDEX('كشف الحساب'!$C$4:$C$353,IFERROR(MATCH(271,'كشف الحساب'!$N$4:$N$353,0),0))),"")</f>
        <v/>
      </c>
      <c r="D275" s="66" t="str">
        <f>IFERROR(IF(IFERROR(MATCH(271,'كشف الحساب'!$N$4:$N$353,0),0)=0,"",INDEX('كشف الحساب'!$D$4:$D$353,IFERROR(MATCH(271,'كشف الحساب'!$N$4:$N$353,0),0))),"")</f>
        <v/>
      </c>
      <c r="E275" s="67" t="str">
        <f>IFERROR(IF(IFERROR(MATCH(271,'كشف الحساب'!$N$4:$N$353,0),0)=0,"",INDEX('كشف الحساب'!$E$4:$E$353,IFERROR(MATCH(271,'كشف الحساب'!$N$4:$N$353,0),0))),"")</f>
        <v/>
      </c>
      <c r="F275" s="64" t="str">
        <f>IFERROR(IF(IFERROR(MATCH(271,'كشف الحساب'!$N$4:$N$353,0),0)=0,"",INDEX('كشف الحساب'!$F$4:$F$353,IFERROR(MATCH(271,'كشف الحساب'!$N$4:$N$353,0),0))),"")</f>
        <v/>
      </c>
      <c r="G275" s="64" t="str">
        <f>IFERROR(IF(IFERROR(MATCH(271,'كشف الحساب'!$N$4:$N$353,0),0)=0,"",INDEX('كشف الحساب'!$G$4:$G$353,IFERROR(MATCH(271,'كشف الحساب'!$N$4:$N$353,0),0))),"")</f>
        <v/>
      </c>
      <c r="H275" s="64" t="str">
        <f>IFERROR(IF(IFERROR(MATCH(271,'كشف الحساب'!$N$4:$N$353,0),0)=0,"",INDEX('كشف الحساب'!$H$4:$H$353,IFERROR(MATCH(271,'كشف الحساب'!$N$4:$N$353,0),0))),"")</f>
        <v/>
      </c>
      <c r="I275" s="64" t="str">
        <f>IFERROR(IF(IFERROR(MATCH(271,'كشف الحساب'!$N$4:$N$353,0),0)=0,"",INDEX('كشف الحساب'!$I$4:$I$353,IFERROR(MATCH(271,'كشف الحساب'!$N$4:$N$353,0),0))),"")</f>
        <v/>
      </c>
      <c r="J275" s="68" t="str">
        <f>IFERROR(IF(IFERROR(MATCH(271,'كشف الحساب'!$N$4:$N$353,0),0)=0,"",INDEX('كشف الحساب'!$J$4:$J$353,IFERROR(MATCH(271,'كشف الحساب'!$N$4:$N$353,0),0))),"")</f>
        <v/>
      </c>
      <c r="K275" s="64" t="str">
        <f>IFERROR(IF(IFERROR(MATCH(271,'كشف الحساب'!$N$4:$N$353,0),0)=0,"",INDEX('كشف الحساب'!$K$4:$K$353,IFERROR(MATCH(271,'كشف الحساب'!$N$4:$N$353,0),0))),"")</f>
        <v/>
      </c>
    </row>
    <row r="276" spans="1:11" ht="15" customHeight="1" x14ac:dyDescent="0.25">
      <c r="A276" s="69" t="str">
        <f>IFERROR(IF(IFERROR(MATCH(272,'كشف الحساب'!$N$4:$N$353,0),0)=0,"",INDEX('كشف الحساب'!$A$4:$A$353,IFERROR(MATCH(272,'كشف الحساب'!$N$4:$N$353,0),0))),"")</f>
        <v/>
      </c>
      <c r="B276" s="70" t="str">
        <f>IFERROR(IF(IFERROR(MATCH(272,'كشف الحساب'!$N$4:$N$353,0),0)=0,"",INDEX('كشف الحساب'!$B$4:$B$353,IFERROR(MATCH(272,'كشف الحساب'!$N$4:$N$353,0),0))),"")</f>
        <v/>
      </c>
      <c r="C276" s="71" t="str">
        <f>IFERROR(IF(IFERROR(MATCH(272,'كشف الحساب'!$N$4:$N$353,0),0)=0,"",INDEX('كشف الحساب'!$C$4:$C$353,IFERROR(MATCH(272,'كشف الحساب'!$N$4:$N$353,0),0))),"")</f>
        <v/>
      </c>
      <c r="D276" s="72" t="str">
        <f>IFERROR(IF(IFERROR(MATCH(272,'كشف الحساب'!$N$4:$N$353,0),0)=0,"",INDEX('كشف الحساب'!$D$4:$D$353,IFERROR(MATCH(272,'كشف الحساب'!$N$4:$N$353,0),0))),"")</f>
        <v/>
      </c>
      <c r="E276" s="73" t="str">
        <f>IFERROR(IF(IFERROR(MATCH(272,'كشف الحساب'!$N$4:$N$353,0),0)=0,"",INDEX('كشف الحساب'!$E$4:$E$353,IFERROR(MATCH(272,'كشف الحساب'!$N$4:$N$353,0),0))),"")</f>
        <v/>
      </c>
      <c r="F276" s="70" t="str">
        <f>IFERROR(IF(IFERROR(MATCH(272,'كشف الحساب'!$N$4:$N$353,0),0)=0,"",INDEX('كشف الحساب'!$F$4:$F$353,IFERROR(MATCH(272,'كشف الحساب'!$N$4:$N$353,0),0))),"")</f>
        <v/>
      </c>
      <c r="G276" s="70" t="str">
        <f>IFERROR(IF(IFERROR(MATCH(272,'كشف الحساب'!$N$4:$N$353,0),0)=0,"",INDEX('كشف الحساب'!$G$4:$G$353,IFERROR(MATCH(272,'كشف الحساب'!$N$4:$N$353,0),0))),"")</f>
        <v/>
      </c>
      <c r="H276" s="70" t="str">
        <f>IFERROR(IF(IFERROR(MATCH(272,'كشف الحساب'!$N$4:$N$353,0),0)=0,"",INDEX('كشف الحساب'!$H$4:$H$353,IFERROR(MATCH(272,'كشف الحساب'!$N$4:$N$353,0),0))),"")</f>
        <v/>
      </c>
      <c r="I276" s="70" t="str">
        <f>IFERROR(IF(IFERROR(MATCH(272,'كشف الحساب'!$N$4:$N$353,0),0)=0,"",INDEX('كشف الحساب'!$I$4:$I$353,IFERROR(MATCH(272,'كشف الحساب'!$N$4:$N$353,0),0))),"")</f>
        <v/>
      </c>
      <c r="J276" s="74" t="str">
        <f>IFERROR(IF(IFERROR(MATCH(272,'كشف الحساب'!$N$4:$N$353,0),0)=0,"",INDEX('كشف الحساب'!$J$4:$J$353,IFERROR(MATCH(272,'كشف الحساب'!$N$4:$N$353,0),0))),"")</f>
        <v/>
      </c>
      <c r="K276" s="70" t="str">
        <f>IFERROR(IF(IFERROR(MATCH(272,'كشف الحساب'!$N$4:$N$353,0),0)=0,"",INDEX('كشف الحساب'!$K$4:$K$353,IFERROR(MATCH(272,'كشف الحساب'!$N$4:$N$353,0),0))),"")</f>
        <v/>
      </c>
    </row>
    <row r="277" spans="1:11" ht="15" customHeight="1" x14ac:dyDescent="0.25">
      <c r="A277" s="63" t="str">
        <f>IFERROR(IF(IFERROR(MATCH(273,'كشف الحساب'!$N$4:$N$353,0),0)=0,"",INDEX('كشف الحساب'!$A$4:$A$353,IFERROR(MATCH(273,'كشف الحساب'!$N$4:$N$353,0),0))),"")</f>
        <v/>
      </c>
      <c r="B277" s="64" t="str">
        <f>IFERROR(IF(IFERROR(MATCH(273,'كشف الحساب'!$N$4:$N$353,0),0)=0,"",INDEX('كشف الحساب'!$B$4:$B$353,IFERROR(MATCH(273,'كشف الحساب'!$N$4:$N$353,0),0))),"")</f>
        <v/>
      </c>
      <c r="C277" s="65" t="str">
        <f>IFERROR(IF(IFERROR(MATCH(273,'كشف الحساب'!$N$4:$N$353,0),0)=0,"",INDEX('كشف الحساب'!$C$4:$C$353,IFERROR(MATCH(273,'كشف الحساب'!$N$4:$N$353,0),0))),"")</f>
        <v/>
      </c>
      <c r="D277" s="66" t="str">
        <f>IFERROR(IF(IFERROR(MATCH(273,'كشف الحساب'!$N$4:$N$353,0),0)=0,"",INDEX('كشف الحساب'!$D$4:$D$353,IFERROR(MATCH(273,'كشف الحساب'!$N$4:$N$353,0),0))),"")</f>
        <v/>
      </c>
      <c r="E277" s="67" t="str">
        <f>IFERROR(IF(IFERROR(MATCH(273,'كشف الحساب'!$N$4:$N$353,0),0)=0,"",INDEX('كشف الحساب'!$E$4:$E$353,IFERROR(MATCH(273,'كشف الحساب'!$N$4:$N$353,0),0))),"")</f>
        <v/>
      </c>
      <c r="F277" s="64" t="str">
        <f>IFERROR(IF(IFERROR(MATCH(273,'كشف الحساب'!$N$4:$N$353,0),0)=0,"",INDEX('كشف الحساب'!$F$4:$F$353,IFERROR(MATCH(273,'كشف الحساب'!$N$4:$N$353,0),0))),"")</f>
        <v/>
      </c>
      <c r="G277" s="64" t="str">
        <f>IFERROR(IF(IFERROR(MATCH(273,'كشف الحساب'!$N$4:$N$353,0),0)=0,"",INDEX('كشف الحساب'!$G$4:$G$353,IFERROR(MATCH(273,'كشف الحساب'!$N$4:$N$353,0),0))),"")</f>
        <v/>
      </c>
      <c r="H277" s="64" t="str">
        <f>IFERROR(IF(IFERROR(MATCH(273,'كشف الحساب'!$N$4:$N$353,0),0)=0,"",INDEX('كشف الحساب'!$H$4:$H$353,IFERROR(MATCH(273,'كشف الحساب'!$N$4:$N$353,0),0))),"")</f>
        <v/>
      </c>
      <c r="I277" s="64" t="str">
        <f>IFERROR(IF(IFERROR(MATCH(273,'كشف الحساب'!$N$4:$N$353,0),0)=0,"",INDEX('كشف الحساب'!$I$4:$I$353,IFERROR(MATCH(273,'كشف الحساب'!$N$4:$N$353,0),0))),"")</f>
        <v/>
      </c>
      <c r="J277" s="68" t="str">
        <f>IFERROR(IF(IFERROR(MATCH(273,'كشف الحساب'!$N$4:$N$353,0),0)=0,"",INDEX('كشف الحساب'!$J$4:$J$353,IFERROR(MATCH(273,'كشف الحساب'!$N$4:$N$353,0),0))),"")</f>
        <v/>
      </c>
      <c r="K277" s="64" t="str">
        <f>IFERROR(IF(IFERROR(MATCH(273,'كشف الحساب'!$N$4:$N$353,0),0)=0,"",INDEX('كشف الحساب'!$K$4:$K$353,IFERROR(MATCH(273,'كشف الحساب'!$N$4:$N$353,0),0))),"")</f>
        <v/>
      </c>
    </row>
    <row r="278" spans="1:11" ht="15" customHeight="1" x14ac:dyDescent="0.25">
      <c r="A278" s="69" t="str">
        <f>IFERROR(IF(IFERROR(MATCH(274,'كشف الحساب'!$N$4:$N$353,0),0)=0,"",INDEX('كشف الحساب'!$A$4:$A$353,IFERROR(MATCH(274,'كشف الحساب'!$N$4:$N$353,0),0))),"")</f>
        <v/>
      </c>
      <c r="B278" s="70" t="str">
        <f>IFERROR(IF(IFERROR(MATCH(274,'كشف الحساب'!$N$4:$N$353,0),0)=0,"",INDEX('كشف الحساب'!$B$4:$B$353,IFERROR(MATCH(274,'كشف الحساب'!$N$4:$N$353,0),0))),"")</f>
        <v/>
      </c>
      <c r="C278" s="71" t="str">
        <f>IFERROR(IF(IFERROR(MATCH(274,'كشف الحساب'!$N$4:$N$353,0),0)=0,"",INDEX('كشف الحساب'!$C$4:$C$353,IFERROR(MATCH(274,'كشف الحساب'!$N$4:$N$353,0),0))),"")</f>
        <v/>
      </c>
      <c r="D278" s="72" t="str">
        <f>IFERROR(IF(IFERROR(MATCH(274,'كشف الحساب'!$N$4:$N$353,0),0)=0,"",INDEX('كشف الحساب'!$D$4:$D$353,IFERROR(MATCH(274,'كشف الحساب'!$N$4:$N$353,0),0))),"")</f>
        <v/>
      </c>
      <c r="E278" s="73" t="str">
        <f>IFERROR(IF(IFERROR(MATCH(274,'كشف الحساب'!$N$4:$N$353,0),0)=0,"",INDEX('كشف الحساب'!$E$4:$E$353,IFERROR(MATCH(274,'كشف الحساب'!$N$4:$N$353,0),0))),"")</f>
        <v/>
      </c>
      <c r="F278" s="70" t="str">
        <f>IFERROR(IF(IFERROR(MATCH(274,'كشف الحساب'!$N$4:$N$353,0),0)=0,"",INDEX('كشف الحساب'!$F$4:$F$353,IFERROR(MATCH(274,'كشف الحساب'!$N$4:$N$353,0),0))),"")</f>
        <v/>
      </c>
      <c r="G278" s="70" t="str">
        <f>IFERROR(IF(IFERROR(MATCH(274,'كشف الحساب'!$N$4:$N$353,0),0)=0,"",INDEX('كشف الحساب'!$G$4:$G$353,IFERROR(MATCH(274,'كشف الحساب'!$N$4:$N$353,0),0))),"")</f>
        <v/>
      </c>
      <c r="H278" s="70" t="str">
        <f>IFERROR(IF(IFERROR(MATCH(274,'كشف الحساب'!$N$4:$N$353,0),0)=0,"",INDEX('كشف الحساب'!$H$4:$H$353,IFERROR(MATCH(274,'كشف الحساب'!$N$4:$N$353,0),0))),"")</f>
        <v/>
      </c>
      <c r="I278" s="70" t="str">
        <f>IFERROR(IF(IFERROR(MATCH(274,'كشف الحساب'!$N$4:$N$353,0),0)=0,"",INDEX('كشف الحساب'!$I$4:$I$353,IFERROR(MATCH(274,'كشف الحساب'!$N$4:$N$353,0),0))),"")</f>
        <v/>
      </c>
      <c r="J278" s="74" t="str">
        <f>IFERROR(IF(IFERROR(MATCH(274,'كشف الحساب'!$N$4:$N$353,0),0)=0,"",INDEX('كشف الحساب'!$J$4:$J$353,IFERROR(MATCH(274,'كشف الحساب'!$N$4:$N$353,0),0))),"")</f>
        <v/>
      </c>
      <c r="K278" s="70" t="str">
        <f>IFERROR(IF(IFERROR(MATCH(274,'كشف الحساب'!$N$4:$N$353,0),0)=0,"",INDEX('كشف الحساب'!$K$4:$K$353,IFERROR(MATCH(274,'كشف الحساب'!$N$4:$N$353,0),0))),"")</f>
        <v/>
      </c>
    </row>
    <row r="279" spans="1:11" ht="15" customHeight="1" x14ac:dyDescent="0.25">
      <c r="A279" s="63" t="str">
        <f>IFERROR(IF(IFERROR(MATCH(275,'كشف الحساب'!$N$4:$N$353,0),0)=0,"",INDEX('كشف الحساب'!$A$4:$A$353,IFERROR(MATCH(275,'كشف الحساب'!$N$4:$N$353,0),0))),"")</f>
        <v/>
      </c>
      <c r="B279" s="64" t="str">
        <f>IFERROR(IF(IFERROR(MATCH(275,'كشف الحساب'!$N$4:$N$353,0),0)=0,"",INDEX('كشف الحساب'!$B$4:$B$353,IFERROR(MATCH(275,'كشف الحساب'!$N$4:$N$353,0),0))),"")</f>
        <v/>
      </c>
      <c r="C279" s="65" t="str">
        <f>IFERROR(IF(IFERROR(MATCH(275,'كشف الحساب'!$N$4:$N$353,0),0)=0,"",INDEX('كشف الحساب'!$C$4:$C$353,IFERROR(MATCH(275,'كشف الحساب'!$N$4:$N$353,0),0))),"")</f>
        <v/>
      </c>
      <c r="D279" s="66" t="str">
        <f>IFERROR(IF(IFERROR(MATCH(275,'كشف الحساب'!$N$4:$N$353,0),0)=0,"",INDEX('كشف الحساب'!$D$4:$D$353,IFERROR(MATCH(275,'كشف الحساب'!$N$4:$N$353,0),0))),"")</f>
        <v/>
      </c>
      <c r="E279" s="67" t="str">
        <f>IFERROR(IF(IFERROR(MATCH(275,'كشف الحساب'!$N$4:$N$353,0),0)=0,"",INDEX('كشف الحساب'!$E$4:$E$353,IFERROR(MATCH(275,'كشف الحساب'!$N$4:$N$353,0),0))),"")</f>
        <v/>
      </c>
      <c r="F279" s="64" t="str">
        <f>IFERROR(IF(IFERROR(MATCH(275,'كشف الحساب'!$N$4:$N$353,0),0)=0,"",INDEX('كشف الحساب'!$F$4:$F$353,IFERROR(MATCH(275,'كشف الحساب'!$N$4:$N$353,0),0))),"")</f>
        <v/>
      </c>
      <c r="G279" s="64" t="str">
        <f>IFERROR(IF(IFERROR(MATCH(275,'كشف الحساب'!$N$4:$N$353,0),0)=0,"",INDEX('كشف الحساب'!$G$4:$G$353,IFERROR(MATCH(275,'كشف الحساب'!$N$4:$N$353,0),0))),"")</f>
        <v/>
      </c>
      <c r="H279" s="64" t="str">
        <f>IFERROR(IF(IFERROR(MATCH(275,'كشف الحساب'!$N$4:$N$353,0),0)=0,"",INDEX('كشف الحساب'!$H$4:$H$353,IFERROR(MATCH(275,'كشف الحساب'!$N$4:$N$353,0),0))),"")</f>
        <v/>
      </c>
      <c r="I279" s="64" t="str">
        <f>IFERROR(IF(IFERROR(MATCH(275,'كشف الحساب'!$N$4:$N$353,0),0)=0,"",INDEX('كشف الحساب'!$I$4:$I$353,IFERROR(MATCH(275,'كشف الحساب'!$N$4:$N$353,0),0))),"")</f>
        <v/>
      </c>
      <c r="J279" s="68" t="str">
        <f>IFERROR(IF(IFERROR(MATCH(275,'كشف الحساب'!$N$4:$N$353,0),0)=0,"",INDEX('كشف الحساب'!$J$4:$J$353,IFERROR(MATCH(275,'كشف الحساب'!$N$4:$N$353,0),0))),"")</f>
        <v/>
      </c>
      <c r="K279" s="64" t="str">
        <f>IFERROR(IF(IFERROR(MATCH(275,'كشف الحساب'!$N$4:$N$353,0),0)=0,"",INDEX('كشف الحساب'!$K$4:$K$353,IFERROR(MATCH(275,'كشف الحساب'!$N$4:$N$353,0),0))),"")</f>
        <v/>
      </c>
    </row>
    <row r="280" spans="1:11" ht="15" customHeight="1" x14ac:dyDescent="0.25">
      <c r="A280" s="69" t="str">
        <f>IFERROR(IF(IFERROR(MATCH(276,'كشف الحساب'!$N$4:$N$353,0),0)=0,"",INDEX('كشف الحساب'!$A$4:$A$353,IFERROR(MATCH(276,'كشف الحساب'!$N$4:$N$353,0),0))),"")</f>
        <v/>
      </c>
      <c r="B280" s="70" t="str">
        <f>IFERROR(IF(IFERROR(MATCH(276,'كشف الحساب'!$N$4:$N$353,0),0)=0,"",INDEX('كشف الحساب'!$B$4:$B$353,IFERROR(MATCH(276,'كشف الحساب'!$N$4:$N$353,0),0))),"")</f>
        <v/>
      </c>
      <c r="C280" s="71" t="str">
        <f>IFERROR(IF(IFERROR(MATCH(276,'كشف الحساب'!$N$4:$N$353,0),0)=0,"",INDEX('كشف الحساب'!$C$4:$C$353,IFERROR(MATCH(276,'كشف الحساب'!$N$4:$N$353,0),0))),"")</f>
        <v/>
      </c>
      <c r="D280" s="72" t="str">
        <f>IFERROR(IF(IFERROR(MATCH(276,'كشف الحساب'!$N$4:$N$353,0),0)=0,"",INDEX('كشف الحساب'!$D$4:$D$353,IFERROR(MATCH(276,'كشف الحساب'!$N$4:$N$353,0),0))),"")</f>
        <v/>
      </c>
      <c r="E280" s="73" t="str">
        <f>IFERROR(IF(IFERROR(MATCH(276,'كشف الحساب'!$N$4:$N$353,0),0)=0,"",INDEX('كشف الحساب'!$E$4:$E$353,IFERROR(MATCH(276,'كشف الحساب'!$N$4:$N$353,0),0))),"")</f>
        <v/>
      </c>
      <c r="F280" s="70" t="str">
        <f>IFERROR(IF(IFERROR(MATCH(276,'كشف الحساب'!$N$4:$N$353,0),0)=0,"",INDEX('كشف الحساب'!$F$4:$F$353,IFERROR(MATCH(276,'كشف الحساب'!$N$4:$N$353,0),0))),"")</f>
        <v/>
      </c>
      <c r="G280" s="70" t="str">
        <f>IFERROR(IF(IFERROR(MATCH(276,'كشف الحساب'!$N$4:$N$353,0),0)=0,"",INDEX('كشف الحساب'!$G$4:$G$353,IFERROR(MATCH(276,'كشف الحساب'!$N$4:$N$353,0),0))),"")</f>
        <v/>
      </c>
      <c r="H280" s="70" t="str">
        <f>IFERROR(IF(IFERROR(MATCH(276,'كشف الحساب'!$N$4:$N$353,0),0)=0,"",INDEX('كشف الحساب'!$H$4:$H$353,IFERROR(MATCH(276,'كشف الحساب'!$N$4:$N$353,0),0))),"")</f>
        <v/>
      </c>
      <c r="I280" s="70" t="str">
        <f>IFERROR(IF(IFERROR(MATCH(276,'كشف الحساب'!$N$4:$N$353,0),0)=0,"",INDEX('كشف الحساب'!$I$4:$I$353,IFERROR(MATCH(276,'كشف الحساب'!$N$4:$N$353,0),0))),"")</f>
        <v/>
      </c>
      <c r="J280" s="74" t="str">
        <f>IFERROR(IF(IFERROR(MATCH(276,'كشف الحساب'!$N$4:$N$353,0),0)=0,"",INDEX('كشف الحساب'!$J$4:$J$353,IFERROR(MATCH(276,'كشف الحساب'!$N$4:$N$353,0),0))),"")</f>
        <v/>
      </c>
      <c r="K280" s="70" t="str">
        <f>IFERROR(IF(IFERROR(MATCH(276,'كشف الحساب'!$N$4:$N$353,0),0)=0,"",INDEX('كشف الحساب'!$K$4:$K$353,IFERROR(MATCH(276,'كشف الحساب'!$N$4:$N$353,0),0))),"")</f>
        <v/>
      </c>
    </row>
    <row r="281" spans="1:11" ht="15" customHeight="1" x14ac:dyDescent="0.25">
      <c r="A281" s="63" t="str">
        <f>IFERROR(IF(IFERROR(MATCH(277,'كشف الحساب'!$N$4:$N$353,0),0)=0,"",INDEX('كشف الحساب'!$A$4:$A$353,IFERROR(MATCH(277,'كشف الحساب'!$N$4:$N$353,0),0))),"")</f>
        <v/>
      </c>
      <c r="B281" s="64" t="str">
        <f>IFERROR(IF(IFERROR(MATCH(277,'كشف الحساب'!$N$4:$N$353,0),0)=0,"",INDEX('كشف الحساب'!$B$4:$B$353,IFERROR(MATCH(277,'كشف الحساب'!$N$4:$N$353,0),0))),"")</f>
        <v/>
      </c>
      <c r="C281" s="65" t="str">
        <f>IFERROR(IF(IFERROR(MATCH(277,'كشف الحساب'!$N$4:$N$353,0),0)=0,"",INDEX('كشف الحساب'!$C$4:$C$353,IFERROR(MATCH(277,'كشف الحساب'!$N$4:$N$353,0),0))),"")</f>
        <v/>
      </c>
      <c r="D281" s="66" t="str">
        <f>IFERROR(IF(IFERROR(MATCH(277,'كشف الحساب'!$N$4:$N$353,0),0)=0,"",INDEX('كشف الحساب'!$D$4:$D$353,IFERROR(MATCH(277,'كشف الحساب'!$N$4:$N$353,0),0))),"")</f>
        <v/>
      </c>
      <c r="E281" s="67" t="str">
        <f>IFERROR(IF(IFERROR(MATCH(277,'كشف الحساب'!$N$4:$N$353,0),0)=0,"",INDEX('كشف الحساب'!$E$4:$E$353,IFERROR(MATCH(277,'كشف الحساب'!$N$4:$N$353,0),0))),"")</f>
        <v/>
      </c>
      <c r="F281" s="64" t="str">
        <f>IFERROR(IF(IFERROR(MATCH(277,'كشف الحساب'!$N$4:$N$353,0),0)=0,"",INDEX('كشف الحساب'!$F$4:$F$353,IFERROR(MATCH(277,'كشف الحساب'!$N$4:$N$353,0),0))),"")</f>
        <v/>
      </c>
      <c r="G281" s="64" t="str">
        <f>IFERROR(IF(IFERROR(MATCH(277,'كشف الحساب'!$N$4:$N$353,0),0)=0,"",INDEX('كشف الحساب'!$G$4:$G$353,IFERROR(MATCH(277,'كشف الحساب'!$N$4:$N$353,0),0))),"")</f>
        <v/>
      </c>
      <c r="H281" s="64" t="str">
        <f>IFERROR(IF(IFERROR(MATCH(277,'كشف الحساب'!$N$4:$N$353,0),0)=0,"",INDEX('كشف الحساب'!$H$4:$H$353,IFERROR(MATCH(277,'كشف الحساب'!$N$4:$N$353,0),0))),"")</f>
        <v/>
      </c>
      <c r="I281" s="64" t="str">
        <f>IFERROR(IF(IFERROR(MATCH(277,'كشف الحساب'!$N$4:$N$353,0),0)=0,"",INDEX('كشف الحساب'!$I$4:$I$353,IFERROR(MATCH(277,'كشف الحساب'!$N$4:$N$353,0),0))),"")</f>
        <v/>
      </c>
      <c r="J281" s="68" t="str">
        <f>IFERROR(IF(IFERROR(MATCH(277,'كشف الحساب'!$N$4:$N$353,0),0)=0,"",INDEX('كشف الحساب'!$J$4:$J$353,IFERROR(MATCH(277,'كشف الحساب'!$N$4:$N$353,0),0))),"")</f>
        <v/>
      </c>
      <c r="K281" s="64" t="str">
        <f>IFERROR(IF(IFERROR(MATCH(277,'كشف الحساب'!$N$4:$N$353,0),0)=0,"",INDEX('كشف الحساب'!$K$4:$K$353,IFERROR(MATCH(277,'كشف الحساب'!$N$4:$N$353,0),0))),"")</f>
        <v/>
      </c>
    </row>
    <row r="282" spans="1:11" ht="15" customHeight="1" x14ac:dyDescent="0.25">
      <c r="A282" s="69" t="str">
        <f>IFERROR(IF(IFERROR(MATCH(278,'كشف الحساب'!$N$4:$N$353,0),0)=0,"",INDEX('كشف الحساب'!$A$4:$A$353,IFERROR(MATCH(278,'كشف الحساب'!$N$4:$N$353,0),0))),"")</f>
        <v/>
      </c>
      <c r="B282" s="70" t="str">
        <f>IFERROR(IF(IFERROR(MATCH(278,'كشف الحساب'!$N$4:$N$353,0),0)=0,"",INDEX('كشف الحساب'!$B$4:$B$353,IFERROR(MATCH(278,'كشف الحساب'!$N$4:$N$353,0),0))),"")</f>
        <v/>
      </c>
      <c r="C282" s="71" t="str">
        <f>IFERROR(IF(IFERROR(MATCH(278,'كشف الحساب'!$N$4:$N$353,0),0)=0,"",INDEX('كشف الحساب'!$C$4:$C$353,IFERROR(MATCH(278,'كشف الحساب'!$N$4:$N$353,0),0))),"")</f>
        <v/>
      </c>
      <c r="D282" s="72" t="str">
        <f>IFERROR(IF(IFERROR(MATCH(278,'كشف الحساب'!$N$4:$N$353,0),0)=0,"",INDEX('كشف الحساب'!$D$4:$D$353,IFERROR(MATCH(278,'كشف الحساب'!$N$4:$N$353,0),0))),"")</f>
        <v/>
      </c>
      <c r="E282" s="73" t="str">
        <f>IFERROR(IF(IFERROR(MATCH(278,'كشف الحساب'!$N$4:$N$353,0),0)=0,"",INDEX('كشف الحساب'!$E$4:$E$353,IFERROR(MATCH(278,'كشف الحساب'!$N$4:$N$353,0),0))),"")</f>
        <v/>
      </c>
      <c r="F282" s="70" t="str">
        <f>IFERROR(IF(IFERROR(MATCH(278,'كشف الحساب'!$N$4:$N$353,0),0)=0,"",INDEX('كشف الحساب'!$F$4:$F$353,IFERROR(MATCH(278,'كشف الحساب'!$N$4:$N$353,0),0))),"")</f>
        <v/>
      </c>
      <c r="G282" s="70" t="str">
        <f>IFERROR(IF(IFERROR(MATCH(278,'كشف الحساب'!$N$4:$N$353,0),0)=0,"",INDEX('كشف الحساب'!$G$4:$G$353,IFERROR(MATCH(278,'كشف الحساب'!$N$4:$N$353,0),0))),"")</f>
        <v/>
      </c>
      <c r="H282" s="70" t="str">
        <f>IFERROR(IF(IFERROR(MATCH(278,'كشف الحساب'!$N$4:$N$353,0),0)=0,"",INDEX('كشف الحساب'!$H$4:$H$353,IFERROR(MATCH(278,'كشف الحساب'!$N$4:$N$353,0),0))),"")</f>
        <v/>
      </c>
      <c r="I282" s="70" t="str">
        <f>IFERROR(IF(IFERROR(MATCH(278,'كشف الحساب'!$N$4:$N$353,0),0)=0,"",INDEX('كشف الحساب'!$I$4:$I$353,IFERROR(MATCH(278,'كشف الحساب'!$N$4:$N$353,0),0))),"")</f>
        <v/>
      </c>
      <c r="J282" s="74" t="str">
        <f>IFERROR(IF(IFERROR(MATCH(278,'كشف الحساب'!$N$4:$N$353,0),0)=0,"",INDEX('كشف الحساب'!$J$4:$J$353,IFERROR(MATCH(278,'كشف الحساب'!$N$4:$N$353,0),0))),"")</f>
        <v/>
      </c>
      <c r="K282" s="70" t="str">
        <f>IFERROR(IF(IFERROR(MATCH(278,'كشف الحساب'!$N$4:$N$353,0),0)=0,"",INDEX('كشف الحساب'!$K$4:$K$353,IFERROR(MATCH(278,'كشف الحساب'!$N$4:$N$353,0),0))),"")</f>
        <v/>
      </c>
    </row>
    <row r="283" spans="1:11" ht="15" customHeight="1" x14ac:dyDescent="0.25">
      <c r="A283" s="63" t="str">
        <f>IFERROR(IF(IFERROR(MATCH(279,'كشف الحساب'!$N$4:$N$353,0),0)=0,"",INDEX('كشف الحساب'!$A$4:$A$353,IFERROR(MATCH(279,'كشف الحساب'!$N$4:$N$353,0),0))),"")</f>
        <v/>
      </c>
      <c r="B283" s="64" t="str">
        <f>IFERROR(IF(IFERROR(MATCH(279,'كشف الحساب'!$N$4:$N$353,0),0)=0,"",INDEX('كشف الحساب'!$B$4:$B$353,IFERROR(MATCH(279,'كشف الحساب'!$N$4:$N$353,0),0))),"")</f>
        <v/>
      </c>
      <c r="C283" s="65" t="str">
        <f>IFERROR(IF(IFERROR(MATCH(279,'كشف الحساب'!$N$4:$N$353,0),0)=0,"",INDEX('كشف الحساب'!$C$4:$C$353,IFERROR(MATCH(279,'كشف الحساب'!$N$4:$N$353,0),0))),"")</f>
        <v/>
      </c>
      <c r="D283" s="66" t="str">
        <f>IFERROR(IF(IFERROR(MATCH(279,'كشف الحساب'!$N$4:$N$353,0),0)=0,"",INDEX('كشف الحساب'!$D$4:$D$353,IFERROR(MATCH(279,'كشف الحساب'!$N$4:$N$353,0),0))),"")</f>
        <v/>
      </c>
      <c r="E283" s="67" t="str">
        <f>IFERROR(IF(IFERROR(MATCH(279,'كشف الحساب'!$N$4:$N$353,0),0)=0,"",INDEX('كشف الحساب'!$E$4:$E$353,IFERROR(MATCH(279,'كشف الحساب'!$N$4:$N$353,0),0))),"")</f>
        <v/>
      </c>
      <c r="F283" s="64" t="str">
        <f>IFERROR(IF(IFERROR(MATCH(279,'كشف الحساب'!$N$4:$N$353,0),0)=0,"",INDEX('كشف الحساب'!$F$4:$F$353,IFERROR(MATCH(279,'كشف الحساب'!$N$4:$N$353,0),0))),"")</f>
        <v/>
      </c>
      <c r="G283" s="64" t="str">
        <f>IFERROR(IF(IFERROR(MATCH(279,'كشف الحساب'!$N$4:$N$353,0),0)=0,"",INDEX('كشف الحساب'!$G$4:$G$353,IFERROR(MATCH(279,'كشف الحساب'!$N$4:$N$353,0),0))),"")</f>
        <v/>
      </c>
      <c r="H283" s="64" t="str">
        <f>IFERROR(IF(IFERROR(MATCH(279,'كشف الحساب'!$N$4:$N$353,0),0)=0,"",INDEX('كشف الحساب'!$H$4:$H$353,IFERROR(MATCH(279,'كشف الحساب'!$N$4:$N$353,0),0))),"")</f>
        <v/>
      </c>
      <c r="I283" s="64" t="str">
        <f>IFERROR(IF(IFERROR(MATCH(279,'كشف الحساب'!$N$4:$N$353,0),0)=0,"",INDEX('كشف الحساب'!$I$4:$I$353,IFERROR(MATCH(279,'كشف الحساب'!$N$4:$N$353,0),0))),"")</f>
        <v/>
      </c>
      <c r="J283" s="68" t="str">
        <f>IFERROR(IF(IFERROR(MATCH(279,'كشف الحساب'!$N$4:$N$353,0),0)=0,"",INDEX('كشف الحساب'!$J$4:$J$353,IFERROR(MATCH(279,'كشف الحساب'!$N$4:$N$353,0),0))),"")</f>
        <v/>
      </c>
      <c r="K283" s="64" t="str">
        <f>IFERROR(IF(IFERROR(MATCH(279,'كشف الحساب'!$N$4:$N$353,0),0)=0,"",INDEX('كشف الحساب'!$K$4:$K$353,IFERROR(MATCH(279,'كشف الحساب'!$N$4:$N$353,0),0))),"")</f>
        <v/>
      </c>
    </row>
    <row r="284" spans="1:11" ht="15" customHeight="1" x14ac:dyDescent="0.25">
      <c r="A284" s="69" t="str">
        <f>IFERROR(IF(IFERROR(MATCH(280,'كشف الحساب'!$N$4:$N$353,0),0)=0,"",INDEX('كشف الحساب'!$A$4:$A$353,IFERROR(MATCH(280,'كشف الحساب'!$N$4:$N$353,0),0))),"")</f>
        <v/>
      </c>
      <c r="B284" s="70" t="str">
        <f>IFERROR(IF(IFERROR(MATCH(280,'كشف الحساب'!$N$4:$N$353,0),0)=0,"",INDEX('كشف الحساب'!$B$4:$B$353,IFERROR(MATCH(280,'كشف الحساب'!$N$4:$N$353,0),0))),"")</f>
        <v/>
      </c>
      <c r="C284" s="71" t="str">
        <f>IFERROR(IF(IFERROR(MATCH(280,'كشف الحساب'!$N$4:$N$353,0),0)=0,"",INDEX('كشف الحساب'!$C$4:$C$353,IFERROR(MATCH(280,'كشف الحساب'!$N$4:$N$353,0),0))),"")</f>
        <v/>
      </c>
      <c r="D284" s="72" t="str">
        <f>IFERROR(IF(IFERROR(MATCH(280,'كشف الحساب'!$N$4:$N$353,0),0)=0,"",INDEX('كشف الحساب'!$D$4:$D$353,IFERROR(MATCH(280,'كشف الحساب'!$N$4:$N$353,0),0))),"")</f>
        <v/>
      </c>
      <c r="E284" s="73" t="str">
        <f>IFERROR(IF(IFERROR(MATCH(280,'كشف الحساب'!$N$4:$N$353,0),0)=0,"",INDEX('كشف الحساب'!$E$4:$E$353,IFERROR(MATCH(280,'كشف الحساب'!$N$4:$N$353,0),0))),"")</f>
        <v/>
      </c>
      <c r="F284" s="70" t="str">
        <f>IFERROR(IF(IFERROR(MATCH(280,'كشف الحساب'!$N$4:$N$353,0),0)=0,"",INDEX('كشف الحساب'!$F$4:$F$353,IFERROR(MATCH(280,'كشف الحساب'!$N$4:$N$353,0),0))),"")</f>
        <v/>
      </c>
      <c r="G284" s="70" t="str">
        <f>IFERROR(IF(IFERROR(MATCH(280,'كشف الحساب'!$N$4:$N$353,0),0)=0,"",INDEX('كشف الحساب'!$G$4:$G$353,IFERROR(MATCH(280,'كشف الحساب'!$N$4:$N$353,0),0))),"")</f>
        <v/>
      </c>
      <c r="H284" s="70" t="str">
        <f>IFERROR(IF(IFERROR(MATCH(280,'كشف الحساب'!$N$4:$N$353,0),0)=0,"",INDEX('كشف الحساب'!$H$4:$H$353,IFERROR(MATCH(280,'كشف الحساب'!$N$4:$N$353,0),0))),"")</f>
        <v/>
      </c>
      <c r="I284" s="70" t="str">
        <f>IFERROR(IF(IFERROR(MATCH(280,'كشف الحساب'!$N$4:$N$353,0),0)=0,"",INDEX('كشف الحساب'!$I$4:$I$353,IFERROR(MATCH(280,'كشف الحساب'!$N$4:$N$353,0),0))),"")</f>
        <v/>
      </c>
      <c r="J284" s="74" t="str">
        <f>IFERROR(IF(IFERROR(MATCH(280,'كشف الحساب'!$N$4:$N$353,0),0)=0,"",INDEX('كشف الحساب'!$J$4:$J$353,IFERROR(MATCH(280,'كشف الحساب'!$N$4:$N$353,0),0))),"")</f>
        <v/>
      </c>
      <c r="K284" s="70" t="str">
        <f>IFERROR(IF(IFERROR(MATCH(280,'كشف الحساب'!$N$4:$N$353,0),0)=0,"",INDEX('كشف الحساب'!$K$4:$K$353,IFERROR(MATCH(280,'كشف الحساب'!$N$4:$N$353,0),0))),"")</f>
        <v/>
      </c>
    </row>
    <row r="285" spans="1:11" ht="15" customHeight="1" x14ac:dyDescent="0.25">
      <c r="A285" s="63" t="str">
        <f>IFERROR(IF(IFERROR(MATCH(281,'كشف الحساب'!$N$4:$N$353,0),0)=0,"",INDEX('كشف الحساب'!$A$4:$A$353,IFERROR(MATCH(281,'كشف الحساب'!$N$4:$N$353,0),0))),"")</f>
        <v/>
      </c>
      <c r="B285" s="64" t="str">
        <f>IFERROR(IF(IFERROR(MATCH(281,'كشف الحساب'!$N$4:$N$353,0),0)=0,"",INDEX('كشف الحساب'!$B$4:$B$353,IFERROR(MATCH(281,'كشف الحساب'!$N$4:$N$353,0),0))),"")</f>
        <v/>
      </c>
      <c r="C285" s="65" t="str">
        <f>IFERROR(IF(IFERROR(MATCH(281,'كشف الحساب'!$N$4:$N$353,0),0)=0,"",INDEX('كشف الحساب'!$C$4:$C$353,IFERROR(MATCH(281,'كشف الحساب'!$N$4:$N$353,0),0))),"")</f>
        <v/>
      </c>
      <c r="D285" s="66" t="str">
        <f>IFERROR(IF(IFERROR(MATCH(281,'كشف الحساب'!$N$4:$N$353,0),0)=0,"",INDEX('كشف الحساب'!$D$4:$D$353,IFERROR(MATCH(281,'كشف الحساب'!$N$4:$N$353,0),0))),"")</f>
        <v/>
      </c>
      <c r="E285" s="67" t="str">
        <f>IFERROR(IF(IFERROR(MATCH(281,'كشف الحساب'!$N$4:$N$353,0),0)=0,"",INDEX('كشف الحساب'!$E$4:$E$353,IFERROR(MATCH(281,'كشف الحساب'!$N$4:$N$353,0),0))),"")</f>
        <v/>
      </c>
      <c r="F285" s="64" t="str">
        <f>IFERROR(IF(IFERROR(MATCH(281,'كشف الحساب'!$N$4:$N$353,0),0)=0,"",INDEX('كشف الحساب'!$F$4:$F$353,IFERROR(MATCH(281,'كشف الحساب'!$N$4:$N$353,0),0))),"")</f>
        <v/>
      </c>
      <c r="G285" s="64" t="str">
        <f>IFERROR(IF(IFERROR(MATCH(281,'كشف الحساب'!$N$4:$N$353,0),0)=0,"",INDEX('كشف الحساب'!$G$4:$G$353,IFERROR(MATCH(281,'كشف الحساب'!$N$4:$N$353,0),0))),"")</f>
        <v/>
      </c>
      <c r="H285" s="64" t="str">
        <f>IFERROR(IF(IFERROR(MATCH(281,'كشف الحساب'!$N$4:$N$353,0),0)=0,"",INDEX('كشف الحساب'!$H$4:$H$353,IFERROR(MATCH(281,'كشف الحساب'!$N$4:$N$353,0),0))),"")</f>
        <v/>
      </c>
      <c r="I285" s="64" t="str">
        <f>IFERROR(IF(IFERROR(MATCH(281,'كشف الحساب'!$N$4:$N$353,0),0)=0,"",INDEX('كشف الحساب'!$I$4:$I$353,IFERROR(MATCH(281,'كشف الحساب'!$N$4:$N$353,0),0))),"")</f>
        <v/>
      </c>
      <c r="J285" s="68" t="str">
        <f>IFERROR(IF(IFERROR(MATCH(281,'كشف الحساب'!$N$4:$N$353,0),0)=0,"",INDEX('كشف الحساب'!$J$4:$J$353,IFERROR(MATCH(281,'كشف الحساب'!$N$4:$N$353,0),0))),"")</f>
        <v/>
      </c>
      <c r="K285" s="64" t="str">
        <f>IFERROR(IF(IFERROR(MATCH(281,'كشف الحساب'!$N$4:$N$353,0),0)=0,"",INDEX('كشف الحساب'!$K$4:$K$353,IFERROR(MATCH(281,'كشف الحساب'!$N$4:$N$353,0),0))),"")</f>
        <v/>
      </c>
    </row>
    <row r="286" spans="1:11" ht="15" customHeight="1" x14ac:dyDescent="0.25">
      <c r="A286" s="69" t="str">
        <f>IFERROR(IF(IFERROR(MATCH(282,'كشف الحساب'!$N$4:$N$353,0),0)=0,"",INDEX('كشف الحساب'!$A$4:$A$353,IFERROR(MATCH(282,'كشف الحساب'!$N$4:$N$353,0),0))),"")</f>
        <v/>
      </c>
      <c r="B286" s="70" t="str">
        <f>IFERROR(IF(IFERROR(MATCH(282,'كشف الحساب'!$N$4:$N$353,0),0)=0,"",INDEX('كشف الحساب'!$B$4:$B$353,IFERROR(MATCH(282,'كشف الحساب'!$N$4:$N$353,0),0))),"")</f>
        <v/>
      </c>
      <c r="C286" s="71" t="str">
        <f>IFERROR(IF(IFERROR(MATCH(282,'كشف الحساب'!$N$4:$N$353,0),0)=0,"",INDEX('كشف الحساب'!$C$4:$C$353,IFERROR(MATCH(282,'كشف الحساب'!$N$4:$N$353,0),0))),"")</f>
        <v/>
      </c>
      <c r="D286" s="72" t="str">
        <f>IFERROR(IF(IFERROR(MATCH(282,'كشف الحساب'!$N$4:$N$353,0),0)=0,"",INDEX('كشف الحساب'!$D$4:$D$353,IFERROR(MATCH(282,'كشف الحساب'!$N$4:$N$353,0),0))),"")</f>
        <v/>
      </c>
      <c r="E286" s="73" t="str">
        <f>IFERROR(IF(IFERROR(MATCH(282,'كشف الحساب'!$N$4:$N$353,0),0)=0,"",INDEX('كشف الحساب'!$E$4:$E$353,IFERROR(MATCH(282,'كشف الحساب'!$N$4:$N$353,0),0))),"")</f>
        <v/>
      </c>
      <c r="F286" s="70" t="str">
        <f>IFERROR(IF(IFERROR(MATCH(282,'كشف الحساب'!$N$4:$N$353,0),0)=0,"",INDEX('كشف الحساب'!$F$4:$F$353,IFERROR(MATCH(282,'كشف الحساب'!$N$4:$N$353,0),0))),"")</f>
        <v/>
      </c>
      <c r="G286" s="70" t="str">
        <f>IFERROR(IF(IFERROR(MATCH(282,'كشف الحساب'!$N$4:$N$353,0),0)=0,"",INDEX('كشف الحساب'!$G$4:$G$353,IFERROR(MATCH(282,'كشف الحساب'!$N$4:$N$353,0),0))),"")</f>
        <v/>
      </c>
      <c r="H286" s="70" t="str">
        <f>IFERROR(IF(IFERROR(MATCH(282,'كشف الحساب'!$N$4:$N$353,0),0)=0,"",INDEX('كشف الحساب'!$H$4:$H$353,IFERROR(MATCH(282,'كشف الحساب'!$N$4:$N$353,0),0))),"")</f>
        <v/>
      </c>
      <c r="I286" s="70" t="str">
        <f>IFERROR(IF(IFERROR(MATCH(282,'كشف الحساب'!$N$4:$N$353,0),0)=0,"",INDEX('كشف الحساب'!$I$4:$I$353,IFERROR(MATCH(282,'كشف الحساب'!$N$4:$N$353,0),0))),"")</f>
        <v/>
      </c>
      <c r="J286" s="74" t="str">
        <f>IFERROR(IF(IFERROR(MATCH(282,'كشف الحساب'!$N$4:$N$353,0),0)=0,"",INDEX('كشف الحساب'!$J$4:$J$353,IFERROR(MATCH(282,'كشف الحساب'!$N$4:$N$353,0),0))),"")</f>
        <v/>
      </c>
      <c r="K286" s="70" t="str">
        <f>IFERROR(IF(IFERROR(MATCH(282,'كشف الحساب'!$N$4:$N$353,0),0)=0,"",INDEX('كشف الحساب'!$K$4:$K$353,IFERROR(MATCH(282,'كشف الحساب'!$N$4:$N$353,0),0))),"")</f>
        <v/>
      </c>
    </row>
    <row r="287" spans="1:11" ht="15" customHeight="1" x14ac:dyDescent="0.25">
      <c r="A287" s="63" t="str">
        <f>IFERROR(IF(IFERROR(MATCH(283,'كشف الحساب'!$N$4:$N$353,0),0)=0,"",INDEX('كشف الحساب'!$A$4:$A$353,IFERROR(MATCH(283,'كشف الحساب'!$N$4:$N$353,0),0))),"")</f>
        <v/>
      </c>
      <c r="B287" s="64" t="str">
        <f>IFERROR(IF(IFERROR(MATCH(283,'كشف الحساب'!$N$4:$N$353,0),0)=0,"",INDEX('كشف الحساب'!$B$4:$B$353,IFERROR(MATCH(283,'كشف الحساب'!$N$4:$N$353,0),0))),"")</f>
        <v/>
      </c>
      <c r="C287" s="65" t="str">
        <f>IFERROR(IF(IFERROR(MATCH(283,'كشف الحساب'!$N$4:$N$353,0),0)=0,"",INDEX('كشف الحساب'!$C$4:$C$353,IFERROR(MATCH(283,'كشف الحساب'!$N$4:$N$353,0),0))),"")</f>
        <v/>
      </c>
      <c r="D287" s="66" t="str">
        <f>IFERROR(IF(IFERROR(MATCH(283,'كشف الحساب'!$N$4:$N$353,0),0)=0,"",INDEX('كشف الحساب'!$D$4:$D$353,IFERROR(MATCH(283,'كشف الحساب'!$N$4:$N$353,0),0))),"")</f>
        <v/>
      </c>
      <c r="E287" s="67" t="str">
        <f>IFERROR(IF(IFERROR(MATCH(283,'كشف الحساب'!$N$4:$N$353,0),0)=0,"",INDEX('كشف الحساب'!$E$4:$E$353,IFERROR(MATCH(283,'كشف الحساب'!$N$4:$N$353,0),0))),"")</f>
        <v/>
      </c>
      <c r="F287" s="64" t="str">
        <f>IFERROR(IF(IFERROR(MATCH(283,'كشف الحساب'!$N$4:$N$353,0),0)=0,"",INDEX('كشف الحساب'!$F$4:$F$353,IFERROR(MATCH(283,'كشف الحساب'!$N$4:$N$353,0),0))),"")</f>
        <v/>
      </c>
      <c r="G287" s="64" t="str">
        <f>IFERROR(IF(IFERROR(MATCH(283,'كشف الحساب'!$N$4:$N$353,0),0)=0,"",INDEX('كشف الحساب'!$G$4:$G$353,IFERROR(MATCH(283,'كشف الحساب'!$N$4:$N$353,0),0))),"")</f>
        <v/>
      </c>
      <c r="H287" s="64" t="str">
        <f>IFERROR(IF(IFERROR(MATCH(283,'كشف الحساب'!$N$4:$N$353,0),0)=0,"",INDEX('كشف الحساب'!$H$4:$H$353,IFERROR(MATCH(283,'كشف الحساب'!$N$4:$N$353,0),0))),"")</f>
        <v/>
      </c>
      <c r="I287" s="64" t="str">
        <f>IFERROR(IF(IFERROR(MATCH(283,'كشف الحساب'!$N$4:$N$353,0),0)=0,"",INDEX('كشف الحساب'!$I$4:$I$353,IFERROR(MATCH(283,'كشف الحساب'!$N$4:$N$353,0),0))),"")</f>
        <v/>
      </c>
      <c r="J287" s="68" t="str">
        <f>IFERROR(IF(IFERROR(MATCH(283,'كشف الحساب'!$N$4:$N$353,0),0)=0,"",INDEX('كشف الحساب'!$J$4:$J$353,IFERROR(MATCH(283,'كشف الحساب'!$N$4:$N$353,0),0))),"")</f>
        <v/>
      </c>
      <c r="K287" s="64" t="str">
        <f>IFERROR(IF(IFERROR(MATCH(283,'كشف الحساب'!$N$4:$N$353,0),0)=0,"",INDEX('كشف الحساب'!$K$4:$K$353,IFERROR(MATCH(283,'كشف الحساب'!$N$4:$N$353,0),0))),"")</f>
        <v/>
      </c>
    </row>
    <row r="288" spans="1:11" ht="15" customHeight="1" x14ac:dyDescent="0.25">
      <c r="A288" s="69" t="str">
        <f>IFERROR(IF(IFERROR(MATCH(284,'كشف الحساب'!$N$4:$N$353,0),0)=0,"",INDEX('كشف الحساب'!$A$4:$A$353,IFERROR(MATCH(284,'كشف الحساب'!$N$4:$N$353,0),0))),"")</f>
        <v/>
      </c>
      <c r="B288" s="70" t="str">
        <f>IFERROR(IF(IFERROR(MATCH(284,'كشف الحساب'!$N$4:$N$353,0),0)=0,"",INDEX('كشف الحساب'!$B$4:$B$353,IFERROR(MATCH(284,'كشف الحساب'!$N$4:$N$353,0),0))),"")</f>
        <v/>
      </c>
      <c r="C288" s="71" t="str">
        <f>IFERROR(IF(IFERROR(MATCH(284,'كشف الحساب'!$N$4:$N$353,0),0)=0,"",INDEX('كشف الحساب'!$C$4:$C$353,IFERROR(MATCH(284,'كشف الحساب'!$N$4:$N$353,0),0))),"")</f>
        <v/>
      </c>
      <c r="D288" s="72" t="str">
        <f>IFERROR(IF(IFERROR(MATCH(284,'كشف الحساب'!$N$4:$N$353,0),0)=0,"",INDEX('كشف الحساب'!$D$4:$D$353,IFERROR(MATCH(284,'كشف الحساب'!$N$4:$N$353,0),0))),"")</f>
        <v/>
      </c>
      <c r="E288" s="73" t="str">
        <f>IFERROR(IF(IFERROR(MATCH(284,'كشف الحساب'!$N$4:$N$353,0),0)=0,"",INDEX('كشف الحساب'!$E$4:$E$353,IFERROR(MATCH(284,'كشف الحساب'!$N$4:$N$353,0),0))),"")</f>
        <v/>
      </c>
      <c r="F288" s="70" t="str">
        <f>IFERROR(IF(IFERROR(MATCH(284,'كشف الحساب'!$N$4:$N$353,0),0)=0,"",INDEX('كشف الحساب'!$F$4:$F$353,IFERROR(MATCH(284,'كشف الحساب'!$N$4:$N$353,0),0))),"")</f>
        <v/>
      </c>
      <c r="G288" s="70" t="str">
        <f>IFERROR(IF(IFERROR(MATCH(284,'كشف الحساب'!$N$4:$N$353,0),0)=0,"",INDEX('كشف الحساب'!$G$4:$G$353,IFERROR(MATCH(284,'كشف الحساب'!$N$4:$N$353,0),0))),"")</f>
        <v/>
      </c>
      <c r="H288" s="70" t="str">
        <f>IFERROR(IF(IFERROR(MATCH(284,'كشف الحساب'!$N$4:$N$353,0),0)=0,"",INDEX('كشف الحساب'!$H$4:$H$353,IFERROR(MATCH(284,'كشف الحساب'!$N$4:$N$353,0),0))),"")</f>
        <v/>
      </c>
      <c r="I288" s="70" t="str">
        <f>IFERROR(IF(IFERROR(MATCH(284,'كشف الحساب'!$N$4:$N$353,0),0)=0,"",INDEX('كشف الحساب'!$I$4:$I$353,IFERROR(MATCH(284,'كشف الحساب'!$N$4:$N$353,0),0))),"")</f>
        <v/>
      </c>
      <c r="J288" s="74" t="str">
        <f>IFERROR(IF(IFERROR(MATCH(284,'كشف الحساب'!$N$4:$N$353,0),0)=0,"",INDEX('كشف الحساب'!$J$4:$J$353,IFERROR(MATCH(284,'كشف الحساب'!$N$4:$N$353,0),0))),"")</f>
        <v/>
      </c>
      <c r="K288" s="70" t="str">
        <f>IFERROR(IF(IFERROR(MATCH(284,'كشف الحساب'!$N$4:$N$353,0),0)=0,"",INDEX('كشف الحساب'!$K$4:$K$353,IFERROR(MATCH(284,'كشف الحساب'!$N$4:$N$353,0),0))),"")</f>
        <v/>
      </c>
    </row>
    <row r="289" spans="1:11" ht="15" customHeight="1" x14ac:dyDescent="0.25">
      <c r="A289" s="63" t="str">
        <f>IFERROR(IF(IFERROR(MATCH(285,'كشف الحساب'!$N$4:$N$353,0),0)=0,"",INDEX('كشف الحساب'!$A$4:$A$353,IFERROR(MATCH(285,'كشف الحساب'!$N$4:$N$353,0),0))),"")</f>
        <v/>
      </c>
      <c r="B289" s="64" t="str">
        <f>IFERROR(IF(IFERROR(MATCH(285,'كشف الحساب'!$N$4:$N$353,0),0)=0,"",INDEX('كشف الحساب'!$B$4:$B$353,IFERROR(MATCH(285,'كشف الحساب'!$N$4:$N$353,0),0))),"")</f>
        <v/>
      </c>
      <c r="C289" s="65" t="str">
        <f>IFERROR(IF(IFERROR(MATCH(285,'كشف الحساب'!$N$4:$N$353,0),0)=0,"",INDEX('كشف الحساب'!$C$4:$C$353,IFERROR(MATCH(285,'كشف الحساب'!$N$4:$N$353,0),0))),"")</f>
        <v/>
      </c>
      <c r="D289" s="66" t="str">
        <f>IFERROR(IF(IFERROR(MATCH(285,'كشف الحساب'!$N$4:$N$353,0),0)=0,"",INDEX('كشف الحساب'!$D$4:$D$353,IFERROR(MATCH(285,'كشف الحساب'!$N$4:$N$353,0),0))),"")</f>
        <v/>
      </c>
      <c r="E289" s="67" t="str">
        <f>IFERROR(IF(IFERROR(MATCH(285,'كشف الحساب'!$N$4:$N$353,0),0)=0,"",INDEX('كشف الحساب'!$E$4:$E$353,IFERROR(MATCH(285,'كشف الحساب'!$N$4:$N$353,0),0))),"")</f>
        <v/>
      </c>
      <c r="F289" s="64" t="str">
        <f>IFERROR(IF(IFERROR(MATCH(285,'كشف الحساب'!$N$4:$N$353,0),0)=0,"",INDEX('كشف الحساب'!$F$4:$F$353,IFERROR(MATCH(285,'كشف الحساب'!$N$4:$N$353,0),0))),"")</f>
        <v/>
      </c>
      <c r="G289" s="64" t="str">
        <f>IFERROR(IF(IFERROR(MATCH(285,'كشف الحساب'!$N$4:$N$353,0),0)=0,"",INDEX('كشف الحساب'!$G$4:$G$353,IFERROR(MATCH(285,'كشف الحساب'!$N$4:$N$353,0),0))),"")</f>
        <v/>
      </c>
      <c r="H289" s="64" t="str">
        <f>IFERROR(IF(IFERROR(MATCH(285,'كشف الحساب'!$N$4:$N$353,0),0)=0,"",INDEX('كشف الحساب'!$H$4:$H$353,IFERROR(MATCH(285,'كشف الحساب'!$N$4:$N$353,0),0))),"")</f>
        <v/>
      </c>
      <c r="I289" s="64" t="str">
        <f>IFERROR(IF(IFERROR(MATCH(285,'كشف الحساب'!$N$4:$N$353,0),0)=0,"",INDEX('كشف الحساب'!$I$4:$I$353,IFERROR(MATCH(285,'كشف الحساب'!$N$4:$N$353,0),0))),"")</f>
        <v/>
      </c>
      <c r="J289" s="68" t="str">
        <f>IFERROR(IF(IFERROR(MATCH(285,'كشف الحساب'!$N$4:$N$353,0),0)=0,"",INDEX('كشف الحساب'!$J$4:$J$353,IFERROR(MATCH(285,'كشف الحساب'!$N$4:$N$353,0),0))),"")</f>
        <v/>
      </c>
      <c r="K289" s="64" t="str">
        <f>IFERROR(IF(IFERROR(MATCH(285,'كشف الحساب'!$N$4:$N$353,0),0)=0,"",INDEX('كشف الحساب'!$K$4:$K$353,IFERROR(MATCH(285,'كشف الحساب'!$N$4:$N$353,0),0))),"")</f>
        <v/>
      </c>
    </row>
    <row r="290" spans="1:11" ht="15" customHeight="1" x14ac:dyDescent="0.25">
      <c r="A290" s="69" t="str">
        <f>IFERROR(IF(IFERROR(MATCH(286,'كشف الحساب'!$N$4:$N$353,0),0)=0,"",INDEX('كشف الحساب'!$A$4:$A$353,IFERROR(MATCH(286,'كشف الحساب'!$N$4:$N$353,0),0))),"")</f>
        <v/>
      </c>
      <c r="B290" s="70" t="str">
        <f>IFERROR(IF(IFERROR(MATCH(286,'كشف الحساب'!$N$4:$N$353,0),0)=0,"",INDEX('كشف الحساب'!$B$4:$B$353,IFERROR(MATCH(286,'كشف الحساب'!$N$4:$N$353,0),0))),"")</f>
        <v/>
      </c>
      <c r="C290" s="71" t="str">
        <f>IFERROR(IF(IFERROR(MATCH(286,'كشف الحساب'!$N$4:$N$353,0),0)=0,"",INDEX('كشف الحساب'!$C$4:$C$353,IFERROR(MATCH(286,'كشف الحساب'!$N$4:$N$353,0),0))),"")</f>
        <v/>
      </c>
      <c r="D290" s="72" t="str">
        <f>IFERROR(IF(IFERROR(MATCH(286,'كشف الحساب'!$N$4:$N$353,0),0)=0,"",INDEX('كشف الحساب'!$D$4:$D$353,IFERROR(MATCH(286,'كشف الحساب'!$N$4:$N$353,0),0))),"")</f>
        <v/>
      </c>
      <c r="E290" s="73" t="str">
        <f>IFERROR(IF(IFERROR(MATCH(286,'كشف الحساب'!$N$4:$N$353,0),0)=0,"",INDEX('كشف الحساب'!$E$4:$E$353,IFERROR(MATCH(286,'كشف الحساب'!$N$4:$N$353,0),0))),"")</f>
        <v/>
      </c>
      <c r="F290" s="70" t="str">
        <f>IFERROR(IF(IFERROR(MATCH(286,'كشف الحساب'!$N$4:$N$353,0),0)=0,"",INDEX('كشف الحساب'!$F$4:$F$353,IFERROR(MATCH(286,'كشف الحساب'!$N$4:$N$353,0),0))),"")</f>
        <v/>
      </c>
      <c r="G290" s="70" t="str">
        <f>IFERROR(IF(IFERROR(MATCH(286,'كشف الحساب'!$N$4:$N$353,0),0)=0,"",INDEX('كشف الحساب'!$G$4:$G$353,IFERROR(MATCH(286,'كشف الحساب'!$N$4:$N$353,0),0))),"")</f>
        <v/>
      </c>
      <c r="H290" s="70" t="str">
        <f>IFERROR(IF(IFERROR(MATCH(286,'كشف الحساب'!$N$4:$N$353,0),0)=0,"",INDEX('كشف الحساب'!$H$4:$H$353,IFERROR(MATCH(286,'كشف الحساب'!$N$4:$N$353,0),0))),"")</f>
        <v/>
      </c>
      <c r="I290" s="70" t="str">
        <f>IFERROR(IF(IFERROR(MATCH(286,'كشف الحساب'!$N$4:$N$353,0),0)=0,"",INDEX('كشف الحساب'!$I$4:$I$353,IFERROR(MATCH(286,'كشف الحساب'!$N$4:$N$353,0),0))),"")</f>
        <v/>
      </c>
      <c r="J290" s="74" t="str">
        <f>IFERROR(IF(IFERROR(MATCH(286,'كشف الحساب'!$N$4:$N$353,0),0)=0,"",INDEX('كشف الحساب'!$J$4:$J$353,IFERROR(MATCH(286,'كشف الحساب'!$N$4:$N$353,0),0))),"")</f>
        <v/>
      </c>
      <c r="K290" s="70" t="str">
        <f>IFERROR(IF(IFERROR(MATCH(286,'كشف الحساب'!$N$4:$N$353,0),0)=0,"",INDEX('كشف الحساب'!$K$4:$K$353,IFERROR(MATCH(286,'كشف الحساب'!$N$4:$N$353,0),0))),"")</f>
        <v/>
      </c>
    </row>
    <row r="291" spans="1:11" ht="15" customHeight="1" x14ac:dyDescent="0.25">
      <c r="A291" s="63" t="str">
        <f>IFERROR(IF(IFERROR(MATCH(287,'كشف الحساب'!$N$4:$N$353,0),0)=0,"",INDEX('كشف الحساب'!$A$4:$A$353,IFERROR(MATCH(287,'كشف الحساب'!$N$4:$N$353,0),0))),"")</f>
        <v/>
      </c>
      <c r="B291" s="64" t="str">
        <f>IFERROR(IF(IFERROR(MATCH(287,'كشف الحساب'!$N$4:$N$353,0),0)=0,"",INDEX('كشف الحساب'!$B$4:$B$353,IFERROR(MATCH(287,'كشف الحساب'!$N$4:$N$353,0),0))),"")</f>
        <v/>
      </c>
      <c r="C291" s="65" t="str">
        <f>IFERROR(IF(IFERROR(MATCH(287,'كشف الحساب'!$N$4:$N$353,0),0)=0,"",INDEX('كشف الحساب'!$C$4:$C$353,IFERROR(MATCH(287,'كشف الحساب'!$N$4:$N$353,0),0))),"")</f>
        <v/>
      </c>
      <c r="D291" s="66" t="str">
        <f>IFERROR(IF(IFERROR(MATCH(287,'كشف الحساب'!$N$4:$N$353,0),0)=0,"",INDEX('كشف الحساب'!$D$4:$D$353,IFERROR(MATCH(287,'كشف الحساب'!$N$4:$N$353,0),0))),"")</f>
        <v/>
      </c>
      <c r="E291" s="67" t="str">
        <f>IFERROR(IF(IFERROR(MATCH(287,'كشف الحساب'!$N$4:$N$353,0),0)=0,"",INDEX('كشف الحساب'!$E$4:$E$353,IFERROR(MATCH(287,'كشف الحساب'!$N$4:$N$353,0),0))),"")</f>
        <v/>
      </c>
      <c r="F291" s="64" t="str">
        <f>IFERROR(IF(IFERROR(MATCH(287,'كشف الحساب'!$N$4:$N$353,0),0)=0,"",INDEX('كشف الحساب'!$F$4:$F$353,IFERROR(MATCH(287,'كشف الحساب'!$N$4:$N$353,0),0))),"")</f>
        <v/>
      </c>
      <c r="G291" s="64" t="str">
        <f>IFERROR(IF(IFERROR(MATCH(287,'كشف الحساب'!$N$4:$N$353,0),0)=0,"",INDEX('كشف الحساب'!$G$4:$G$353,IFERROR(MATCH(287,'كشف الحساب'!$N$4:$N$353,0),0))),"")</f>
        <v/>
      </c>
      <c r="H291" s="64" t="str">
        <f>IFERROR(IF(IFERROR(MATCH(287,'كشف الحساب'!$N$4:$N$353,0),0)=0,"",INDEX('كشف الحساب'!$H$4:$H$353,IFERROR(MATCH(287,'كشف الحساب'!$N$4:$N$353,0),0))),"")</f>
        <v/>
      </c>
      <c r="I291" s="64" t="str">
        <f>IFERROR(IF(IFERROR(MATCH(287,'كشف الحساب'!$N$4:$N$353,0),0)=0,"",INDEX('كشف الحساب'!$I$4:$I$353,IFERROR(MATCH(287,'كشف الحساب'!$N$4:$N$353,0),0))),"")</f>
        <v/>
      </c>
      <c r="J291" s="68" t="str">
        <f>IFERROR(IF(IFERROR(MATCH(287,'كشف الحساب'!$N$4:$N$353,0),0)=0,"",INDEX('كشف الحساب'!$J$4:$J$353,IFERROR(MATCH(287,'كشف الحساب'!$N$4:$N$353,0),0))),"")</f>
        <v/>
      </c>
      <c r="K291" s="64" t="str">
        <f>IFERROR(IF(IFERROR(MATCH(287,'كشف الحساب'!$N$4:$N$353,0),0)=0,"",INDEX('كشف الحساب'!$K$4:$K$353,IFERROR(MATCH(287,'كشف الحساب'!$N$4:$N$353,0),0))),"")</f>
        <v/>
      </c>
    </row>
    <row r="292" spans="1:11" ht="15" customHeight="1" x14ac:dyDescent="0.25">
      <c r="A292" s="69" t="str">
        <f>IFERROR(IF(IFERROR(MATCH(288,'كشف الحساب'!$N$4:$N$353,0),0)=0,"",INDEX('كشف الحساب'!$A$4:$A$353,IFERROR(MATCH(288,'كشف الحساب'!$N$4:$N$353,0),0))),"")</f>
        <v/>
      </c>
      <c r="B292" s="70" t="str">
        <f>IFERROR(IF(IFERROR(MATCH(288,'كشف الحساب'!$N$4:$N$353,0),0)=0,"",INDEX('كشف الحساب'!$B$4:$B$353,IFERROR(MATCH(288,'كشف الحساب'!$N$4:$N$353,0),0))),"")</f>
        <v/>
      </c>
      <c r="C292" s="71" t="str">
        <f>IFERROR(IF(IFERROR(MATCH(288,'كشف الحساب'!$N$4:$N$353,0),0)=0,"",INDEX('كشف الحساب'!$C$4:$C$353,IFERROR(MATCH(288,'كشف الحساب'!$N$4:$N$353,0),0))),"")</f>
        <v/>
      </c>
      <c r="D292" s="72" t="str">
        <f>IFERROR(IF(IFERROR(MATCH(288,'كشف الحساب'!$N$4:$N$353,0),0)=0,"",INDEX('كشف الحساب'!$D$4:$D$353,IFERROR(MATCH(288,'كشف الحساب'!$N$4:$N$353,0),0))),"")</f>
        <v/>
      </c>
      <c r="E292" s="73" t="str">
        <f>IFERROR(IF(IFERROR(MATCH(288,'كشف الحساب'!$N$4:$N$353,0),0)=0,"",INDEX('كشف الحساب'!$E$4:$E$353,IFERROR(MATCH(288,'كشف الحساب'!$N$4:$N$353,0),0))),"")</f>
        <v/>
      </c>
      <c r="F292" s="70" t="str">
        <f>IFERROR(IF(IFERROR(MATCH(288,'كشف الحساب'!$N$4:$N$353,0),0)=0,"",INDEX('كشف الحساب'!$F$4:$F$353,IFERROR(MATCH(288,'كشف الحساب'!$N$4:$N$353,0),0))),"")</f>
        <v/>
      </c>
      <c r="G292" s="70" t="str">
        <f>IFERROR(IF(IFERROR(MATCH(288,'كشف الحساب'!$N$4:$N$353,0),0)=0,"",INDEX('كشف الحساب'!$G$4:$G$353,IFERROR(MATCH(288,'كشف الحساب'!$N$4:$N$353,0),0))),"")</f>
        <v/>
      </c>
      <c r="H292" s="70" t="str">
        <f>IFERROR(IF(IFERROR(MATCH(288,'كشف الحساب'!$N$4:$N$353,0),0)=0,"",INDEX('كشف الحساب'!$H$4:$H$353,IFERROR(MATCH(288,'كشف الحساب'!$N$4:$N$353,0),0))),"")</f>
        <v/>
      </c>
      <c r="I292" s="70" t="str">
        <f>IFERROR(IF(IFERROR(MATCH(288,'كشف الحساب'!$N$4:$N$353,0),0)=0,"",INDEX('كشف الحساب'!$I$4:$I$353,IFERROR(MATCH(288,'كشف الحساب'!$N$4:$N$353,0),0))),"")</f>
        <v/>
      </c>
      <c r="J292" s="74" t="str">
        <f>IFERROR(IF(IFERROR(MATCH(288,'كشف الحساب'!$N$4:$N$353,0),0)=0,"",INDEX('كشف الحساب'!$J$4:$J$353,IFERROR(MATCH(288,'كشف الحساب'!$N$4:$N$353,0),0))),"")</f>
        <v/>
      </c>
      <c r="K292" s="70" t="str">
        <f>IFERROR(IF(IFERROR(MATCH(288,'كشف الحساب'!$N$4:$N$353,0),0)=0,"",INDEX('كشف الحساب'!$K$4:$K$353,IFERROR(MATCH(288,'كشف الحساب'!$N$4:$N$353,0),0))),"")</f>
        <v/>
      </c>
    </row>
    <row r="293" spans="1:11" ht="15" customHeight="1" x14ac:dyDescent="0.25">
      <c r="A293" s="63" t="str">
        <f>IFERROR(IF(IFERROR(MATCH(289,'كشف الحساب'!$N$4:$N$353,0),0)=0,"",INDEX('كشف الحساب'!$A$4:$A$353,IFERROR(MATCH(289,'كشف الحساب'!$N$4:$N$353,0),0))),"")</f>
        <v/>
      </c>
      <c r="B293" s="64" t="str">
        <f>IFERROR(IF(IFERROR(MATCH(289,'كشف الحساب'!$N$4:$N$353,0),0)=0,"",INDEX('كشف الحساب'!$B$4:$B$353,IFERROR(MATCH(289,'كشف الحساب'!$N$4:$N$353,0),0))),"")</f>
        <v/>
      </c>
      <c r="C293" s="65" t="str">
        <f>IFERROR(IF(IFERROR(MATCH(289,'كشف الحساب'!$N$4:$N$353,0),0)=0,"",INDEX('كشف الحساب'!$C$4:$C$353,IFERROR(MATCH(289,'كشف الحساب'!$N$4:$N$353,0),0))),"")</f>
        <v/>
      </c>
      <c r="D293" s="66" t="str">
        <f>IFERROR(IF(IFERROR(MATCH(289,'كشف الحساب'!$N$4:$N$353,0),0)=0,"",INDEX('كشف الحساب'!$D$4:$D$353,IFERROR(MATCH(289,'كشف الحساب'!$N$4:$N$353,0),0))),"")</f>
        <v/>
      </c>
      <c r="E293" s="67" t="str">
        <f>IFERROR(IF(IFERROR(MATCH(289,'كشف الحساب'!$N$4:$N$353,0),0)=0,"",INDEX('كشف الحساب'!$E$4:$E$353,IFERROR(MATCH(289,'كشف الحساب'!$N$4:$N$353,0),0))),"")</f>
        <v/>
      </c>
      <c r="F293" s="64" t="str">
        <f>IFERROR(IF(IFERROR(MATCH(289,'كشف الحساب'!$N$4:$N$353,0),0)=0,"",INDEX('كشف الحساب'!$F$4:$F$353,IFERROR(MATCH(289,'كشف الحساب'!$N$4:$N$353,0),0))),"")</f>
        <v/>
      </c>
      <c r="G293" s="64" t="str">
        <f>IFERROR(IF(IFERROR(MATCH(289,'كشف الحساب'!$N$4:$N$353,0),0)=0,"",INDEX('كشف الحساب'!$G$4:$G$353,IFERROR(MATCH(289,'كشف الحساب'!$N$4:$N$353,0),0))),"")</f>
        <v/>
      </c>
      <c r="H293" s="64" t="str">
        <f>IFERROR(IF(IFERROR(MATCH(289,'كشف الحساب'!$N$4:$N$353,0),0)=0,"",INDEX('كشف الحساب'!$H$4:$H$353,IFERROR(MATCH(289,'كشف الحساب'!$N$4:$N$353,0),0))),"")</f>
        <v/>
      </c>
      <c r="I293" s="64" t="str">
        <f>IFERROR(IF(IFERROR(MATCH(289,'كشف الحساب'!$N$4:$N$353,0),0)=0,"",INDEX('كشف الحساب'!$I$4:$I$353,IFERROR(MATCH(289,'كشف الحساب'!$N$4:$N$353,0),0))),"")</f>
        <v/>
      </c>
      <c r="J293" s="68" t="str">
        <f>IFERROR(IF(IFERROR(MATCH(289,'كشف الحساب'!$N$4:$N$353,0),0)=0,"",INDEX('كشف الحساب'!$J$4:$J$353,IFERROR(MATCH(289,'كشف الحساب'!$N$4:$N$353,0),0))),"")</f>
        <v/>
      </c>
      <c r="K293" s="64" t="str">
        <f>IFERROR(IF(IFERROR(MATCH(289,'كشف الحساب'!$N$4:$N$353,0),0)=0,"",INDEX('كشف الحساب'!$K$4:$K$353,IFERROR(MATCH(289,'كشف الحساب'!$N$4:$N$353,0),0))),"")</f>
        <v/>
      </c>
    </row>
    <row r="294" spans="1:11" ht="15" customHeight="1" x14ac:dyDescent="0.25">
      <c r="A294" s="69" t="str">
        <f>IFERROR(IF(IFERROR(MATCH(290,'كشف الحساب'!$N$4:$N$353,0),0)=0,"",INDEX('كشف الحساب'!$A$4:$A$353,IFERROR(MATCH(290,'كشف الحساب'!$N$4:$N$353,0),0))),"")</f>
        <v/>
      </c>
      <c r="B294" s="70" t="str">
        <f>IFERROR(IF(IFERROR(MATCH(290,'كشف الحساب'!$N$4:$N$353,0),0)=0,"",INDEX('كشف الحساب'!$B$4:$B$353,IFERROR(MATCH(290,'كشف الحساب'!$N$4:$N$353,0),0))),"")</f>
        <v/>
      </c>
      <c r="C294" s="71" t="str">
        <f>IFERROR(IF(IFERROR(MATCH(290,'كشف الحساب'!$N$4:$N$353,0),0)=0,"",INDEX('كشف الحساب'!$C$4:$C$353,IFERROR(MATCH(290,'كشف الحساب'!$N$4:$N$353,0),0))),"")</f>
        <v/>
      </c>
      <c r="D294" s="72" t="str">
        <f>IFERROR(IF(IFERROR(MATCH(290,'كشف الحساب'!$N$4:$N$353,0),0)=0,"",INDEX('كشف الحساب'!$D$4:$D$353,IFERROR(MATCH(290,'كشف الحساب'!$N$4:$N$353,0),0))),"")</f>
        <v/>
      </c>
      <c r="E294" s="73" t="str">
        <f>IFERROR(IF(IFERROR(MATCH(290,'كشف الحساب'!$N$4:$N$353,0),0)=0,"",INDEX('كشف الحساب'!$E$4:$E$353,IFERROR(MATCH(290,'كشف الحساب'!$N$4:$N$353,0),0))),"")</f>
        <v/>
      </c>
      <c r="F294" s="70" t="str">
        <f>IFERROR(IF(IFERROR(MATCH(290,'كشف الحساب'!$N$4:$N$353,0),0)=0,"",INDEX('كشف الحساب'!$F$4:$F$353,IFERROR(MATCH(290,'كشف الحساب'!$N$4:$N$353,0),0))),"")</f>
        <v/>
      </c>
      <c r="G294" s="70" t="str">
        <f>IFERROR(IF(IFERROR(MATCH(290,'كشف الحساب'!$N$4:$N$353,0),0)=0,"",INDEX('كشف الحساب'!$G$4:$G$353,IFERROR(MATCH(290,'كشف الحساب'!$N$4:$N$353,0),0))),"")</f>
        <v/>
      </c>
      <c r="H294" s="70" t="str">
        <f>IFERROR(IF(IFERROR(MATCH(290,'كشف الحساب'!$N$4:$N$353,0),0)=0,"",INDEX('كشف الحساب'!$H$4:$H$353,IFERROR(MATCH(290,'كشف الحساب'!$N$4:$N$353,0),0))),"")</f>
        <v/>
      </c>
      <c r="I294" s="70" t="str">
        <f>IFERROR(IF(IFERROR(MATCH(290,'كشف الحساب'!$N$4:$N$353,0),0)=0,"",INDEX('كشف الحساب'!$I$4:$I$353,IFERROR(MATCH(290,'كشف الحساب'!$N$4:$N$353,0),0))),"")</f>
        <v/>
      </c>
      <c r="J294" s="74" t="str">
        <f>IFERROR(IF(IFERROR(MATCH(290,'كشف الحساب'!$N$4:$N$353,0),0)=0,"",INDEX('كشف الحساب'!$J$4:$J$353,IFERROR(MATCH(290,'كشف الحساب'!$N$4:$N$353,0),0))),"")</f>
        <v/>
      </c>
      <c r="K294" s="70" t="str">
        <f>IFERROR(IF(IFERROR(MATCH(290,'كشف الحساب'!$N$4:$N$353,0),0)=0,"",INDEX('كشف الحساب'!$K$4:$K$353,IFERROR(MATCH(290,'كشف الحساب'!$N$4:$N$353,0),0))),"")</f>
        <v/>
      </c>
    </row>
    <row r="295" spans="1:11" ht="15" customHeight="1" x14ac:dyDescent="0.25">
      <c r="A295" s="63" t="str">
        <f>IFERROR(IF(IFERROR(MATCH(291,'كشف الحساب'!$N$4:$N$353,0),0)=0,"",INDEX('كشف الحساب'!$A$4:$A$353,IFERROR(MATCH(291,'كشف الحساب'!$N$4:$N$353,0),0))),"")</f>
        <v/>
      </c>
      <c r="B295" s="64" t="str">
        <f>IFERROR(IF(IFERROR(MATCH(291,'كشف الحساب'!$N$4:$N$353,0),0)=0,"",INDEX('كشف الحساب'!$B$4:$B$353,IFERROR(MATCH(291,'كشف الحساب'!$N$4:$N$353,0),0))),"")</f>
        <v/>
      </c>
      <c r="C295" s="65" t="str">
        <f>IFERROR(IF(IFERROR(MATCH(291,'كشف الحساب'!$N$4:$N$353,0),0)=0,"",INDEX('كشف الحساب'!$C$4:$C$353,IFERROR(MATCH(291,'كشف الحساب'!$N$4:$N$353,0),0))),"")</f>
        <v/>
      </c>
      <c r="D295" s="66" t="str">
        <f>IFERROR(IF(IFERROR(MATCH(291,'كشف الحساب'!$N$4:$N$353,0),0)=0,"",INDEX('كشف الحساب'!$D$4:$D$353,IFERROR(MATCH(291,'كشف الحساب'!$N$4:$N$353,0),0))),"")</f>
        <v/>
      </c>
      <c r="E295" s="67" t="str">
        <f>IFERROR(IF(IFERROR(MATCH(291,'كشف الحساب'!$N$4:$N$353,0),0)=0,"",INDEX('كشف الحساب'!$E$4:$E$353,IFERROR(MATCH(291,'كشف الحساب'!$N$4:$N$353,0),0))),"")</f>
        <v/>
      </c>
      <c r="F295" s="64" t="str">
        <f>IFERROR(IF(IFERROR(MATCH(291,'كشف الحساب'!$N$4:$N$353,0),0)=0,"",INDEX('كشف الحساب'!$F$4:$F$353,IFERROR(MATCH(291,'كشف الحساب'!$N$4:$N$353,0),0))),"")</f>
        <v/>
      </c>
      <c r="G295" s="64" t="str">
        <f>IFERROR(IF(IFERROR(MATCH(291,'كشف الحساب'!$N$4:$N$353,0),0)=0,"",INDEX('كشف الحساب'!$G$4:$G$353,IFERROR(MATCH(291,'كشف الحساب'!$N$4:$N$353,0),0))),"")</f>
        <v/>
      </c>
      <c r="H295" s="64" t="str">
        <f>IFERROR(IF(IFERROR(MATCH(291,'كشف الحساب'!$N$4:$N$353,0),0)=0,"",INDEX('كشف الحساب'!$H$4:$H$353,IFERROR(MATCH(291,'كشف الحساب'!$N$4:$N$353,0),0))),"")</f>
        <v/>
      </c>
      <c r="I295" s="64" t="str">
        <f>IFERROR(IF(IFERROR(MATCH(291,'كشف الحساب'!$N$4:$N$353,0),0)=0,"",INDEX('كشف الحساب'!$I$4:$I$353,IFERROR(MATCH(291,'كشف الحساب'!$N$4:$N$353,0),0))),"")</f>
        <v/>
      </c>
      <c r="J295" s="68" t="str">
        <f>IFERROR(IF(IFERROR(MATCH(291,'كشف الحساب'!$N$4:$N$353,0),0)=0,"",INDEX('كشف الحساب'!$J$4:$J$353,IFERROR(MATCH(291,'كشف الحساب'!$N$4:$N$353,0),0))),"")</f>
        <v/>
      </c>
      <c r="K295" s="64" t="str">
        <f>IFERROR(IF(IFERROR(MATCH(291,'كشف الحساب'!$N$4:$N$353,0),0)=0,"",INDEX('كشف الحساب'!$K$4:$K$353,IFERROR(MATCH(291,'كشف الحساب'!$N$4:$N$353,0),0))),"")</f>
        <v/>
      </c>
    </row>
    <row r="296" spans="1:11" ht="15" customHeight="1" x14ac:dyDescent="0.25">
      <c r="A296" s="69" t="str">
        <f>IFERROR(IF(IFERROR(MATCH(292,'كشف الحساب'!$N$4:$N$353,0),0)=0,"",INDEX('كشف الحساب'!$A$4:$A$353,IFERROR(MATCH(292,'كشف الحساب'!$N$4:$N$353,0),0))),"")</f>
        <v/>
      </c>
      <c r="B296" s="70" t="str">
        <f>IFERROR(IF(IFERROR(MATCH(292,'كشف الحساب'!$N$4:$N$353,0),0)=0,"",INDEX('كشف الحساب'!$B$4:$B$353,IFERROR(MATCH(292,'كشف الحساب'!$N$4:$N$353,0),0))),"")</f>
        <v/>
      </c>
      <c r="C296" s="71" t="str">
        <f>IFERROR(IF(IFERROR(MATCH(292,'كشف الحساب'!$N$4:$N$353,0),0)=0,"",INDEX('كشف الحساب'!$C$4:$C$353,IFERROR(MATCH(292,'كشف الحساب'!$N$4:$N$353,0),0))),"")</f>
        <v/>
      </c>
      <c r="D296" s="72" t="str">
        <f>IFERROR(IF(IFERROR(MATCH(292,'كشف الحساب'!$N$4:$N$353,0),0)=0,"",INDEX('كشف الحساب'!$D$4:$D$353,IFERROR(MATCH(292,'كشف الحساب'!$N$4:$N$353,0),0))),"")</f>
        <v/>
      </c>
      <c r="E296" s="73" t="str">
        <f>IFERROR(IF(IFERROR(MATCH(292,'كشف الحساب'!$N$4:$N$353,0),0)=0,"",INDEX('كشف الحساب'!$E$4:$E$353,IFERROR(MATCH(292,'كشف الحساب'!$N$4:$N$353,0),0))),"")</f>
        <v/>
      </c>
      <c r="F296" s="70" t="str">
        <f>IFERROR(IF(IFERROR(MATCH(292,'كشف الحساب'!$N$4:$N$353,0),0)=0,"",INDEX('كشف الحساب'!$F$4:$F$353,IFERROR(MATCH(292,'كشف الحساب'!$N$4:$N$353,0),0))),"")</f>
        <v/>
      </c>
      <c r="G296" s="70" t="str">
        <f>IFERROR(IF(IFERROR(MATCH(292,'كشف الحساب'!$N$4:$N$353,0),0)=0,"",INDEX('كشف الحساب'!$G$4:$G$353,IFERROR(MATCH(292,'كشف الحساب'!$N$4:$N$353,0),0))),"")</f>
        <v/>
      </c>
      <c r="H296" s="70" t="str">
        <f>IFERROR(IF(IFERROR(MATCH(292,'كشف الحساب'!$N$4:$N$353,0),0)=0,"",INDEX('كشف الحساب'!$H$4:$H$353,IFERROR(MATCH(292,'كشف الحساب'!$N$4:$N$353,0),0))),"")</f>
        <v/>
      </c>
      <c r="I296" s="70" t="str">
        <f>IFERROR(IF(IFERROR(MATCH(292,'كشف الحساب'!$N$4:$N$353,0),0)=0,"",INDEX('كشف الحساب'!$I$4:$I$353,IFERROR(MATCH(292,'كشف الحساب'!$N$4:$N$353,0),0))),"")</f>
        <v/>
      </c>
      <c r="J296" s="74" t="str">
        <f>IFERROR(IF(IFERROR(MATCH(292,'كشف الحساب'!$N$4:$N$353,0),0)=0,"",INDEX('كشف الحساب'!$J$4:$J$353,IFERROR(MATCH(292,'كشف الحساب'!$N$4:$N$353,0),0))),"")</f>
        <v/>
      </c>
      <c r="K296" s="70" t="str">
        <f>IFERROR(IF(IFERROR(MATCH(292,'كشف الحساب'!$N$4:$N$353,0),0)=0,"",INDEX('كشف الحساب'!$K$4:$K$353,IFERROR(MATCH(292,'كشف الحساب'!$N$4:$N$353,0),0))),"")</f>
        <v/>
      </c>
    </row>
    <row r="297" spans="1:11" ht="15" customHeight="1" x14ac:dyDescent="0.25">
      <c r="A297" s="63" t="str">
        <f>IFERROR(IF(IFERROR(MATCH(293,'كشف الحساب'!$N$4:$N$353,0),0)=0,"",INDEX('كشف الحساب'!$A$4:$A$353,IFERROR(MATCH(293,'كشف الحساب'!$N$4:$N$353,0),0))),"")</f>
        <v/>
      </c>
      <c r="B297" s="64" t="str">
        <f>IFERROR(IF(IFERROR(MATCH(293,'كشف الحساب'!$N$4:$N$353,0),0)=0,"",INDEX('كشف الحساب'!$B$4:$B$353,IFERROR(MATCH(293,'كشف الحساب'!$N$4:$N$353,0),0))),"")</f>
        <v/>
      </c>
      <c r="C297" s="65" t="str">
        <f>IFERROR(IF(IFERROR(MATCH(293,'كشف الحساب'!$N$4:$N$353,0),0)=0,"",INDEX('كشف الحساب'!$C$4:$C$353,IFERROR(MATCH(293,'كشف الحساب'!$N$4:$N$353,0),0))),"")</f>
        <v/>
      </c>
      <c r="D297" s="66" t="str">
        <f>IFERROR(IF(IFERROR(MATCH(293,'كشف الحساب'!$N$4:$N$353,0),0)=0,"",INDEX('كشف الحساب'!$D$4:$D$353,IFERROR(MATCH(293,'كشف الحساب'!$N$4:$N$353,0),0))),"")</f>
        <v/>
      </c>
      <c r="E297" s="67" t="str">
        <f>IFERROR(IF(IFERROR(MATCH(293,'كشف الحساب'!$N$4:$N$353,0),0)=0,"",INDEX('كشف الحساب'!$E$4:$E$353,IFERROR(MATCH(293,'كشف الحساب'!$N$4:$N$353,0),0))),"")</f>
        <v/>
      </c>
      <c r="F297" s="64" t="str">
        <f>IFERROR(IF(IFERROR(MATCH(293,'كشف الحساب'!$N$4:$N$353,0),0)=0,"",INDEX('كشف الحساب'!$F$4:$F$353,IFERROR(MATCH(293,'كشف الحساب'!$N$4:$N$353,0),0))),"")</f>
        <v/>
      </c>
      <c r="G297" s="64" t="str">
        <f>IFERROR(IF(IFERROR(MATCH(293,'كشف الحساب'!$N$4:$N$353,0),0)=0,"",INDEX('كشف الحساب'!$G$4:$G$353,IFERROR(MATCH(293,'كشف الحساب'!$N$4:$N$353,0),0))),"")</f>
        <v/>
      </c>
      <c r="H297" s="64" t="str">
        <f>IFERROR(IF(IFERROR(MATCH(293,'كشف الحساب'!$N$4:$N$353,0),0)=0,"",INDEX('كشف الحساب'!$H$4:$H$353,IFERROR(MATCH(293,'كشف الحساب'!$N$4:$N$353,0),0))),"")</f>
        <v/>
      </c>
      <c r="I297" s="64" t="str">
        <f>IFERROR(IF(IFERROR(MATCH(293,'كشف الحساب'!$N$4:$N$353,0),0)=0,"",INDEX('كشف الحساب'!$I$4:$I$353,IFERROR(MATCH(293,'كشف الحساب'!$N$4:$N$353,0),0))),"")</f>
        <v/>
      </c>
      <c r="J297" s="68" t="str">
        <f>IFERROR(IF(IFERROR(MATCH(293,'كشف الحساب'!$N$4:$N$353,0),0)=0,"",INDEX('كشف الحساب'!$J$4:$J$353,IFERROR(MATCH(293,'كشف الحساب'!$N$4:$N$353,0),0))),"")</f>
        <v/>
      </c>
      <c r="K297" s="64" t="str">
        <f>IFERROR(IF(IFERROR(MATCH(293,'كشف الحساب'!$N$4:$N$353,0),0)=0,"",INDEX('كشف الحساب'!$K$4:$K$353,IFERROR(MATCH(293,'كشف الحساب'!$N$4:$N$353,0),0))),"")</f>
        <v/>
      </c>
    </row>
    <row r="298" spans="1:11" ht="15" customHeight="1" x14ac:dyDescent="0.25">
      <c r="A298" s="69" t="str">
        <f>IFERROR(IF(IFERROR(MATCH(294,'كشف الحساب'!$N$4:$N$353,0),0)=0,"",INDEX('كشف الحساب'!$A$4:$A$353,IFERROR(MATCH(294,'كشف الحساب'!$N$4:$N$353,0),0))),"")</f>
        <v/>
      </c>
      <c r="B298" s="70" t="str">
        <f>IFERROR(IF(IFERROR(MATCH(294,'كشف الحساب'!$N$4:$N$353,0),0)=0,"",INDEX('كشف الحساب'!$B$4:$B$353,IFERROR(MATCH(294,'كشف الحساب'!$N$4:$N$353,0),0))),"")</f>
        <v/>
      </c>
      <c r="C298" s="71" t="str">
        <f>IFERROR(IF(IFERROR(MATCH(294,'كشف الحساب'!$N$4:$N$353,0),0)=0,"",INDEX('كشف الحساب'!$C$4:$C$353,IFERROR(MATCH(294,'كشف الحساب'!$N$4:$N$353,0),0))),"")</f>
        <v/>
      </c>
      <c r="D298" s="72" t="str">
        <f>IFERROR(IF(IFERROR(MATCH(294,'كشف الحساب'!$N$4:$N$353,0),0)=0,"",INDEX('كشف الحساب'!$D$4:$D$353,IFERROR(MATCH(294,'كشف الحساب'!$N$4:$N$353,0),0))),"")</f>
        <v/>
      </c>
      <c r="E298" s="73" t="str">
        <f>IFERROR(IF(IFERROR(MATCH(294,'كشف الحساب'!$N$4:$N$353,0),0)=0,"",INDEX('كشف الحساب'!$E$4:$E$353,IFERROR(MATCH(294,'كشف الحساب'!$N$4:$N$353,0),0))),"")</f>
        <v/>
      </c>
      <c r="F298" s="70" t="str">
        <f>IFERROR(IF(IFERROR(MATCH(294,'كشف الحساب'!$N$4:$N$353,0),0)=0,"",INDEX('كشف الحساب'!$F$4:$F$353,IFERROR(MATCH(294,'كشف الحساب'!$N$4:$N$353,0),0))),"")</f>
        <v/>
      </c>
      <c r="G298" s="70" t="str">
        <f>IFERROR(IF(IFERROR(MATCH(294,'كشف الحساب'!$N$4:$N$353,0),0)=0,"",INDEX('كشف الحساب'!$G$4:$G$353,IFERROR(MATCH(294,'كشف الحساب'!$N$4:$N$353,0),0))),"")</f>
        <v/>
      </c>
      <c r="H298" s="70" t="str">
        <f>IFERROR(IF(IFERROR(MATCH(294,'كشف الحساب'!$N$4:$N$353,0),0)=0,"",INDEX('كشف الحساب'!$H$4:$H$353,IFERROR(MATCH(294,'كشف الحساب'!$N$4:$N$353,0),0))),"")</f>
        <v/>
      </c>
      <c r="I298" s="70" t="str">
        <f>IFERROR(IF(IFERROR(MATCH(294,'كشف الحساب'!$N$4:$N$353,0),0)=0,"",INDEX('كشف الحساب'!$I$4:$I$353,IFERROR(MATCH(294,'كشف الحساب'!$N$4:$N$353,0),0))),"")</f>
        <v/>
      </c>
      <c r="J298" s="74" t="str">
        <f>IFERROR(IF(IFERROR(MATCH(294,'كشف الحساب'!$N$4:$N$353,0),0)=0,"",INDEX('كشف الحساب'!$J$4:$J$353,IFERROR(MATCH(294,'كشف الحساب'!$N$4:$N$353,0),0))),"")</f>
        <v/>
      </c>
      <c r="K298" s="70" t="str">
        <f>IFERROR(IF(IFERROR(MATCH(294,'كشف الحساب'!$N$4:$N$353,0),0)=0,"",INDEX('كشف الحساب'!$K$4:$K$353,IFERROR(MATCH(294,'كشف الحساب'!$N$4:$N$353,0),0))),"")</f>
        <v/>
      </c>
    </row>
    <row r="299" spans="1:11" ht="15" customHeight="1" x14ac:dyDescent="0.25">
      <c r="A299" s="63" t="str">
        <f>IFERROR(IF(IFERROR(MATCH(295,'كشف الحساب'!$N$4:$N$353,0),0)=0,"",INDEX('كشف الحساب'!$A$4:$A$353,IFERROR(MATCH(295,'كشف الحساب'!$N$4:$N$353,0),0))),"")</f>
        <v/>
      </c>
      <c r="B299" s="64" t="str">
        <f>IFERROR(IF(IFERROR(MATCH(295,'كشف الحساب'!$N$4:$N$353,0),0)=0,"",INDEX('كشف الحساب'!$B$4:$B$353,IFERROR(MATCH(295,'كشف الحساب'!$N$4:$N$353,0),0))),"")</f>
        <v/>
      </c>
      <c r="C299" s="65" t="str">
        <f>IFERROR(IF(IFERROR(MATCH(295,'كشف الحساب'!$N$4:$N$353,0),0)=0,"",INDEX('كشف الحساب'!$C$4:$C$353,IFERROR(MATCH(295,'كشف الحساب'!$N$4:$N$353,0),0))),"")</f>
        <v/>
      </c>
      <c r="D299" s="66" t="str">
        <f>IFERROR(IF(IFERROR(MATCH(295,'كشف الحساب'!$N$4:$N$353,0),0)=0,"",INDEX('كشف الحساب'!$D$4:$D$353,IFERROR(MATCH(295,'كشف الحساب'!$N$4:$N$353,0),0))),"")</f>
        <v/>
      </c>
      <c r="E299" s="67" t="str">
        <f>IFERROR(IF(IFERROR(MATCH(295,'كشف الحساب'!$N$4:$N$353,0),0)=0,"",INDEX('كشف الحساب'!$E$4:$E$353,IFERROR(MATCH(295,'كشف الحساب'!$N$4:$N$353,0),0))),"")</f>
        <v/>
      </c>
      <c r="F299" s="64" t="str">
        <f>IFERROR(IF(IFERROR(MATCH(295,'كشف الحساب'!$N$4:$N$353,0),0)=0,"",INDEX('كشف الحساب'!$F$4:$F$353,IFERROR(MATCH(295,'كشف الحساب'!$N$4:$N$353,0),0))),"")</f>
        <v/>
      </c>
      <c r="G299" s="64" t="str">
        <f>IFERROR(IF(IFERROR(MATCH(295,'كشف الحساب'!$N$4:$N$353,0),0)=0,"",INDEX('كشف الحساب'!$G$4:$G$353,IFERROR(MATCH(295,'كشف الحساب'!$N$4:$N$353,0),0))),"")</f>
        <v/>
      </c>
      <c r="H299" s="64" t="str">
        <f>IFERROR(IF(IFERROR(MATCH(295,'كشف الحساب'!$N$4:$N$353,0),0)=0,"",INDEX('كشف الحساب'!$H$4:$H$353,IFERROR(MATCH(295,'كشف الحساب'!$N$4:$N$353,0),0))),"")</f>
        <v/>
      </c>
      <c r="I299" s="64" t="str">
        <f>IFERROR(IF(IFERROR(MATCH(295,'كشف الحساب'!$N$4:$N$353,0),0)=0,"",INDEX('كشف الحساب'!$I$4:$I$353,IFERROR(MATCH(295,'كشف الحساب'!$N$4:$N$353,0),0))),"")</f>
        <v/>
      </c>
      <c r="J299" s="68" t="str">
        <f>IFERROR(IF(IFERROR(MATCH(295,'كشف الحساب'!$N$4:$N$353,0),0)=0,"",INDEX('كشف الحساب'!$J$4:$J$353,IFERROR(MATCH(295,'كشف الحساب'!$N$4:$N$353,0),0))),"")</f>
        <v/>
      </c>
      <c r="K299" s="64" t="str">
        <f>IFERROR(IF(IFERROR(MATCH(295,'كشف الحساب'!$N$4:$N$353,0),0)=0,"",INDEX('كشف الحساب'!$K$4:$K$353,IFERROR(MATCH(295,'كشف الحساب'!$N$4:$N$353,0),0))),"")</f>
        <v/>
      </c>
    </row>
    <row r="300" spans="1:11" ht="15" customHeight="1" x14ac:dyDescent="0.25">
      <c r="A300" s="69" t="str">
        <f>IFERROR(IF(IFERROR(MATCH(296,'كشف الحساب'!$N$4:$N$353,0),0)=0,"",INDEX('كشف الحساب'!$A$4:$A$353,IFERROR(MATCH(296,'كشف الحساب'!$N$4:$N$353,0),0))),"")</f>
        <v/>
      </c>
      <c r="B300" s="70" t="str">
        <f>IFERROR(IF(IFERROR(MATCH(296,'كشف الحساب'!$N$4:$N$353,0),0)=0,"",INDEX('كشف الحساب'!$B$4:$B$353,IFERROR(MATCH(296,'كشف الحساب'!$N$4:$N$353,0),0))),"")</f>
        <v/>
      </c>
      <c r="C300" s="71" t="str">
        <f>IFERROR(IF(IFERROR(MATCH(296,'كشف الحساب'!$N$4:$N$353,0),0)=0,"",INDEX('كشف الحساب'!$C$4:$C$353,IFERROR(MATCH(296,'كشف الحساب'!$N$4:$N$353,0),0))),"")</f>
        <v/>
      </c>
      <c r="D300" s="72" t="str">
        <f>IFERROR(IF(IFERROR(MATCH(296,'كشف الحساب'!$N$4:$N$353,0),0)=0,"",INDEX('كشف الحساب'!$D$4:$D$353,IFERROR(MATCH(296,'كشف الحساب'!$N$4:$N$353,0),0))),"")</f>
        <v/>
      </c>
      <c r="E300" s="73" t="str">
        <f>IFERROR(IF(IFERROR(MATCH(296,'كشف الحساب'!$N$4:$N$353,0),0)=0,"",INDEX('كشف الحساب'!$E$4:$E$353,IFERROR(MATCH(296,'كشف الحساب'!$N$4:$N$353,0),0))),"")</f>
        <v/>
      </c>
      <c r="F300" s="70" t="str">
        <f>IFERROR(IF(IFERROR(MATCH(296,'كشف الحساب'!$N$4:$N$353,0),0)=0,"",INDEX('كشف الحساب'!$F$4:$F$353,IFERROR(MATCH(296,'كشف الحساب'!$N$4:$N$353,0),0))),"")</f>
        <v/>
      </c>
      <c r="G300" s="70" t="str">
        <f>IFERROR(IF(IFERROR(MATCH(296,'كشف الحساب'!$N$4:$N$353,0),0)=0,"",INDEX('كشف الحساب'!$G$4:$G$353,IFERROR(MATCH(296,'كشف الحساب'!$N$4:$N$353,0),0))),"")</f>
        <v/>
      </c>
      <c r="H300" s="70" t="str">
        <f>IFERROR(IF(IFERROR(MATCH(296,'كشف الحساب'!$N$4:$N$353,0),0)=0,"",INDEX('كشف الحساب'!$H$4:$H$353,IFERROR(MATCH(296,'كشف الحساب'!$N$4:$N$353,0),0))),"")</f>
        <v/>
      </c>
      <c r="I300" s="70" t="str">
        <f>IFERROR(IF(IFERROR(MATCH(296,'كشف الحساب'!$N$4:$N$353,0),0)=0,"",INDEX('كشف الحساب'!$I$4:$I$353,IFERROR(MATCH(296,'كشف الحساب'!$N$4:$N$353,0),0))),"")</f>
        <v/>
      </c>
      <c r="J300" s="74" t="str">
        <f>IFERROR(IF(IFERROR(MATCH(296,'كشف الحساب'!$N$4:$N$353,0),0)=0,"",INDEX('كشف الحساب'!$J$4:$J$353,IFERROR(MATCH(296,'كشف الحساب'!$N$4:$N$353,0),0))),"")</f>
        <v/>
      </c>
      <c r="K300" s="70" t="str">
        <f>IFERROR(IF(IFERROR(MATCH(296,'كشف الحساب'!$N$4:$N$353,0),0)=0,"",INDEX('كشف الحساب'!$K$4:$K$353,IFERROR(MATCH(296,'كشف الحساب'!$N$4:$N$353,0),0))),"")</f>
        <v/>
      </c>
    </row>
    <row r="301" spans="1:11" ht="15" customHeight="1" x14ac:dyDescent="0.25">
      <c r="A301" s="63" t="str">
        <f>IFERROR(IF(IFERROR(MATCH(297,'كشف الحساب'!$N$4:$N$353,0),0)=0,"",INDEX('كشف الحساب'!$A$4:$A$353,IFERROR(MATCH(297,'كشف الحساب'!$N$4:$N$353,0),0))),"")</f>
        <v/>
      </c>
      <c r="B301" s="64" t="str">
        <f>IFERROR(IF(IFERROR(MATCH(297,'كشف الحساب'!$N$4:$N$353,0),0)=0,"",INDEX('كشف الحساب'!$B$4:$B$353,IFERROR(MATCH(297,'كشف الحساب'!$N$4:$N$353,0),0))),"")</f>
        <v/>
      </c>
      <c r="C301" s="65" t="str">
        <f>IFERROR(IF(IFERROR(MATCH(297,'كشف الحساب'!$N$4:$N$353,0),0)=0,"",INDEX('كشف الحساب'!$C$4:$C$353,IFERROR(MATCH(297,'كشف الحساب'!$N$4:$N$353,0),0))),"")</f>
        <v/>
      </c>
      <c r="D301" s="66" t="str">
        <f>IFERROR(IF(IFERROR(MATCH(297,'كشف الحساب'!$N$4:$N$353,0),0)=0,"",INDEX('كشف الحساب'!$D$4:$D$353,IFERROR(MATCH(297,'كشف الحساب'!$N$4:$N$353,0),0))),"")</f>
        <v/>
      </c>
      <c r="E301" s="67" t="str">
        <f>IFERROR(IF(IFERROR(MATCH(297,'كشف الحساب'!$N$4:$N$353,0),0)=0,"",INDEX('كشف الحساب'!$E$4:$E$353,IFERROR(MATCH(297,'كشف الحساب'!$N$4:$N$353,0),0))),"")</f>
        <v/>
      </c>
      <c r="F301" s="64" t="str">
        <f>IFERROR(IF(IFERROR(MATCH(297,'كشف الحساب'!$N$4:$N$353,0),0)=0,"",INDEX('كشف الحساب'!$F$4:$F$353,IFERROR(MATCH(297,'كشف الحساب'!$N$4:$N$353,0),0))),"")</f>
        <v/>
      </c>
      <c r="G301" s="64" t="str">
        <f>IFERROR(IF(IFERROR(MATCH(297,'كشف الحساب'!$N$4:$N$353,0),0)=0,"",INDEX('كشف الحساب'!$G$4:$G$353,IFERROR(MATCH(297,'كشف الحساب'!$N$4:$N$353,0),0))),"")</f>
        <v/>
      </c>
      <c r="H301" s="64" t="str">
        <f>IFERROR(IF(IFERROR(MATCH(297,'كشف الحساب'!$N$4:$N$353,0),0)=0,"",INDEX('كشف الحساب'!$H$4:$H$353,IFERROR(MATCH(297,'كشف الحساب'!$N$4:$N$353,0),0))),"")</f>
        <v/>
      </c>
      <c r="I301" s="64" t="str">
        <f>IFERROR(IF(IFERROR(MATCH(297,'كشف الحساب'!$N$4:$N$353,0),0)=0,"",INDEX('كشف الحساب'!$I$4:$I$353,IFERROR(MATCH(297,'كشف الحساب'!$N$4:$N$353,0),0))),"")</f>
        <v/>
      </c>
      <c r="J301" s="68" t="str">
        <f>IFERROR(IF(IFERROR(MATCH(297,'كشف الحساب'!$N$4:$N$353,0),0)=0,"",INDEX('كشف الحساب'!$J$4:$J$353,IFERROR(MATCH(297,'كشف الحساب'!$N$4:$N$353,0),0))),"")</f>
        <v/>
      </c>
      <c r="K301" s="64" t="str">
        <f>IFERROR(IF(IFERROR(MATCH(297,'كشف الحساب'!$N$4:$N$353,0),0)=0,"",INDEX('كشف الحساب'!$K$4:$K$353,IFERROR(MATCH(297,'كشف الحساب'!$N$4:$N$353,0),0))),"")</f>
        <v/>
      </c>
    </row>
    <row r="302" spans="1:11" ht="15" customHeight="1" x14ac:dyDescent="0.25">
      <c r="A302" s="69" t="str">
        <f>IFERROR(IF(IFERROR(MATCH(298,'كشف الحساب'!$N$4:$N$353,0),0)=0,"",INDEX('كشف الحساب'!$A$4:$A$353,IFERROR(MATCH(298,'كشف الحساب'!$N$4:$N$353,0),0))),"")</f>
        <v/>
      </c>
      <c r="B302" s="70" t="str">
        <f>IFERROR(IF(IFERROR(MATCH(298,'كشف الحساب'!$N$4:$N$353,0),0)=0,"",INDEX('كشف الحساب'!$B$4:$B$353,IFERROR(MATCH(298,'كشف الحساب'!$N$4:$N$353,0),0))),"")</f>
        <v/>
      </c>
      <c r="C302" s="71" t="str">
        <f>IFERROR(IF(IFERROR(MATCH(298,'كشف الحساب'!$N$4:$N$353,0),0)=0,"",INDEX('كشف الحساب'!$C$4:$C$353,IFERROR(MATCH(298,'كشف الحساب'!$N$4:$N$353,0),0))),"")</f>
        <v/>
      </c>
      <c r="D302" s="72" t="str">
        <f>IFERROR(IF(IFERROR(MATCH(298,'كشف الحساب'!$N$4:$N$353,0),0)=0,"",INDEX('كشف الحساب'!$D$4:$D$353,IFERROR(MATCH(298,'كشف الحساب'!$N$4:$N$353,0),0))),"")</f>
        <v/>
      </c>
      <c r="E302" s="73" t="str">
        <f>IFERROR(IF(IFERROR(MATCH(298,'كشف الحساب'!$N$4:$N$353,0),0)=0,"",INDEX('كشف الحساب'!$E$4:$E$353,IFERROR(MATCH(298,'كشف الحساب'!$N$4:$N$353,0),0))),"")</f>
        <v/>
      </c>
      <c r="F302" s="70" t="str">
        <f>IFERROR(IF(IFERROR(MATCH(298,'كشف الحساب'!$N$4:$N$353,0),0)=0,"",INDEX('كشف الحساب'!$F$4:$F$353,IFERROR(MATCH(298,'كشف الحساب'!$N$4:$N$353,0),0))),"")</f>
        <v/>
      </c>
      <c r="G302" s="70" t="str">
        <f>IFERROR(IF(IFERROR(MATCH(298,'كشف الحساب'!$N$4:$N$353,0),0)=0,"",INDEX('كشف الحساب'!$G$4:$G$353,IFERROR(MATCH(298,'كشف الحساب'!$N$4:$N$353,0),0))),"")</f>
        <v/>
      </c>
      <c r="H302" s="70" t="str">
        <f>IFERROR(IF(IFERROR(MATCH(298,'كشف الحساب'!$N$4:$N$353,0),0)=0,"",INDEX('كشف الحساب'!$H$4:$H$353,IFERROR(MATCH(298,'كشف الحساب'!$N$4:$N$353,0),0))),"")</f>
        <v/>
      </c>
      <c r="I302" s="70" t="str">
        <f>IFERROR(IF(IFERROR(MATCH(298,'كشف الحساب'!$N$4:$N$353,0),0)=0,"",INDEX('كشف الحساب'!$I$4:$I$353,IFERROR(MATCH(298,'كشف الحساب'!$N$4:$N$353,0),0))),"")</f>
        <v/>
      </c>
      <c r="J302" s="74" t="str">
        <f>IFERROR(IF(IFERROR(MATCH(298,'كشف الحساب'!$N$4:$N$353,0),0)=0,"",INDEX('كشف الحساب'!$J$4:$J$353,IFERROR(MATCH(298,'كشف الحساب'!$N$4:$N$353,0),0))),"")</f>
        <v/>
      </c>
      <c r="K302" s="70" t="str">
        <f>IFERROR(IF(IFERROR(MATCH(298,'كشف الحساب'!$N$4:$N$353,0),0)=0,"",INDEX('كشف الحساب'!$K$4:$K$353,IFERROR(MATCH(298,'كشف الحساب'!$N$4:$N$353,0),0))),"")</f>
        <v/>
      </c>
    </row>
    <row r="303" spans="1:11" ht="15" customHeight="1" x14ac:dyDescent="0.25">
      <c r="A303" s="63" t="str">
        <f>IFERROR(IF(IFERROR(MATCH(299,'كشف الحساب'!$N$4:$N$353,0),0)=0,"",INDEX('كشف الحساب'!$A$4:$A$353,IFERROR(MATCH(299,'كشف الحساب'!$N$4:$N$353,0),0))),"")</f>
        <v/>
      </c>
      <c r="B303" s="64" t="str">
        <f>IFERROR(IF(IFERROR(MATCH(299,'كشف الحساب'!$N$4:$N$353,0),0)=0,"",INDEX('كشف الحساب'!$B$4:$B$353,IFERROR(MATCH(299,'كشف الحساب'!$N$4:$N$353,0),0))),"")</f>
        <v/>
      </c>
      <c r="C303" s="65" t="str">
        <f>IFERROR(IF(IFERROR(MATCH(299,'كشف الحساب'!$N$4:$N$353,0),0)=0,"",INDEX('كشف الحساب'!$C$4:$C$353,IFERROR(MATCH(299,'كشف الحساب'!$N$4:$N$353,0),0))),"")</f>
        <v/>
      </c>
      <c r="D303" s="66" t="str">
        <f>IFERROR(IF(IFERROR(MATCH(299,'كشف الحساب'!$N$4:$N$353,0),0)=0,"",INDEX('كشف الحساب'!$D$4:$D$353,IFERROR(MATCH(299,'كشف الحساب'!$N$4:$N$353,0),0))),"")</f>
        <v/>
      </c>
      <c r="E303" s="67" t="str">
        <f>IFERROR(IF(IFERROR(MATCH(299,'كشف الحساب'!$N$4:$N$353,0),0)=0,"",INDEX('كشف الحساب'!$E$4:$E$353,IFERROR(MATCH(299,'كشف الحساب'!$N$4:$N$353,0),0))),"")</f>
        <v/>
      </c>
      <c r="F303" s="64" t="str">
        <f>IFERROR(IF(IFERROR(MATCH(299,'كشف الحساب'!$N$4:$N$353,0),0)=0,"",INDEX('كشف الحساب'!$F$4:$F$353,IFERROR(MATCH(299,'كشف الحساب'!$N$4:$N$353,0),0))),"")</f>
        <v/>
      </c>
      <c r="G303" s="64" t="str">
        <f>IFERROR(IF(IFERROR(MATCH(299,'كشف الحساب'!$N$4:$N$353,0),0)=0,"",INDEX('كشف الحساب'!$G$4:$G$353,IFERROR(MATCH(299,'كشف الحساب'!$N$4:$N$353,0),0))),"")</f>
        <v/>
      </c>
      <c r="H303" s="64" t="str">
        <f>IFERROR(IF(IFERROR(MATCH(299,'كشف الحساب'!$N$4:$N$353,0),0)=0,"",INDEX('كشف الحساب'!$H$4:$H$353,IFERROR(MATCH(299,'كشف الحساب'!$N$4:$N$353,0),0))),"")</f>
        <v/>
      </c>
      <c r="I303" s="64" t="str">
        <f>IFERROR(IF(IFERROR(MATCH(299,'كشف الحساب'!$N$4:$N$353,0),0)=0,"",INDEX('كشف الحساب'!$I$4:$I$353,IFERROR(MATCH(299,'كشف الحساب'!$N$4:$N$353,0),0))),"")</f>
        <v/>
      </c>
      <c r="J303" s="68" t="str">
        <f>IFERROR(IF(IFERROR(MATCH(299,'كشف الحساب'!$N$4:$N$353,0),0)=0,"",INDEX('كشف الحساب'!$J$4:$J$353,IFERROR(MATCH(299,'كشف الحساب'!$N$4:$N$353,0),0))),"")</f>
        <v/>
      </c>
      <c r="K303" s="64" t="str">
        <f>IFERROR(IF(IFERROR(MATCH(299,'كشف الحساب'!$N$4:$N$353,0),0)=0,"",INDEX('كشف الحساب'!$K$4:$K$353,IFERROR(MATCH(299,'كشف الحساب'!$N$4:$N$353,0),0))),"")</f>
        <v/>
      </c>
    </row>
    <row r="304" spans="1:11" ht="15" customHeight="1" x14ac:dyDescent="0.25">
      <c r="A304" s="69" t="str">
        <f>IFERROR(IF(IFERROR(MATCH(300,'كشف الحساب'!$N$4:$N$353,0),0)=0,"",INDEX('كشف الحساب'!$A$4:$A$353,IFERROR(MATCH(300,'كشف الحساب'!$N$4:$N$353,0),0))),"")</f>
        <v/>
      </c>
      <c r="B304" s="70" t="str">
        <f>IFERROR(IF(IFERROR(MATCH(300,'كشف الحساب'!$N$4:$N$353,0),0)=0,"",INDEX('كشف الحساب'!$B$4:$B$353,IFERROR(MATCH(300,'كشف الحساب'!$N$4:$N$353,0),0))),"")</f>
        <v/>
      </c>
      <c r="C304" s="71" t="str">
        <f>IFERROR(IF(IFERROR(MATCH(300,'كشف الحساب'!$N$4:$N$353,0),0)=0,"",INDEX('كشف الحساب'!$C$4:$C$353,IFERROR(MATCH(300,'كشف الحساب'!$N$4:$N$353,0),0))),"")</f>
        <v/>
      </c>
      <c r="D304" s="72" t="str">
        <f>IFERROR(IF(IFERROR(MATCH(300,'كشف الحساب'!$N$4:$N$353,0),0)=0,"",INDEX('كشف الحساب'!$D$4:$D$353,IFERROR(MATCH(300,'كشف الحساب'!$N$4:$N$353,0),0))),"")</f>
        <v/>
      </c>
      <c r="E304" s="73" t="str">
        <f>IFERROR(IF(IFERROR(MATCH(300,'كشف الحساب'!$N$4:$N$353,0),0)=0,"",INDEX('كشف الحساب'!$E$4:$E$353,IFERROR(MATCH(300,'كشف الحساب'!$N$4:$N$353,0),0))),"")</f>
        <v/>
      </c>
      <c r="F304" s="70" t="str">
        <f>IFERROR(IF(IFERROR(MATCH(300,'كشف الحساب'!$N$4:$N$353,0),0)=0,"",INDEX('كشف الحساب'!$F$4:$F$353,IFERROR(MATCH(300,'كشف الحساب'!$N$4:$N$353,0),0))),"")</f>
        <v/>
      </c>
      <c r="G304" s="70" t="str">
        <f>IFERROR(IF(IFERROR(MATCH(300,'كشف الحساب'!$N$4:$N$353,0),0)=0,"",INDEX('كشف الحساب'!$G$4:$G$353,IFERROR(MATCH(300,'كشف الحساب'!$N$4:$N$353,0),0))),"")</f>
        <v/>
      </c>
      <c r="H304" s="70" t="str">
        <f>IFERROR(IF(IFERROR(MATCH(300,'كشف الحساب'!$N$4:$N$353,0),0)=0,"",INDEX('كشف الحساب'!$H$4:$H$353,IFERROR(MATCH(300,'كشف الحساب'!$N$4:$N$353,0),0))),"")</f>
        <v/>
      </c>
      <c r="I304" s="70" t="str">
        <f>IFERROR(IF(IFERROR(MATCH(300,'كشف الحساب'!$N$4:$N$353,0),0)=0,"",INDEX('كشف الحساب'!$I$4:$I$353,IFERROR(MATCH(300,'كشف الحساب'!$N$4:$N$353,0),0))),"")</f>
        <v/>
      </c>
      <c r="J304" s="74" t="str">
        <f>IFERROR(IF(IFERROR(MATCH(300,'كشف الحساب'!$N$4:$N$353,0),0)=0,"",INDEX('كشف الحساب'!$J$4:$J$353,IFERROR(MATCH(300,'كشف الحساب'!$N$4:$N$353,0),0))),"")</f>
        <v/>
      </c>
      <c r="K304" s="70" t="str">
        <f>IFERROR(IF(IFERROR(MATCH(300,'كشف الحساب'!$N$4:$N$353,0),0)=0,"",INDEX('كشف الحساب'!$K$4:$K$353,IFERROR(MATCH(300,'كشف الحساب'!$N$4:$N$353,0),0))),"")</f>
        <v/>
      </c>
    </row>
    <row r="305" spans="1:11" ht="15" customHeight="1" x14ac:dyDescent="0.25">
      <c r="A305" s="63" t="str">
        <f>IFERROR(IF(IFERROR(MATCH(301,'كشف الحساب'!$N$4:$N$353,0),0)=0,"",INDEX('كشف الحساب'!$A$4:$A$353,IFERROR(MATCH(301,'كشف الحساب'!$N$4:$N$353,0),0))),"")</f>
        <v/>
      </c>
      <c r="B305" s="64" t="str">
        <f>IFERROR(IF(IFERROR(MATCH(301,'كشف الحساب'!$N$4:$N$353,0),0)=0,"",INDEX('كشف الحساب'!$B$4:$B$353,IFERROR(MATCH(301,'كشف الحساب'!$N$4:$N$353,0),0))),"")</f>
        <v/>
      </c>
      <c r="C305" s="65" t="str">
        <f>IFERROR(IF(IFERROR(MATCH(301,'كشف الحساب'!$N$4:$N$353,0),0)=0,"",INDEX('كشف الحساب'!$C$4:$C$353,IFERROR(MATCH(301,'كشف الحساب'!$N$4:$N$353,0),0))),"")</f>
        <v/>
      </c>
      <c r="D305" s="66" t="str">
        <f>IFERROR(IF(IFERROR(MATCH(301,'كشف الحساب'!$N$4:$N$353,0),0)=0,"",INDEX('كشف الحساب'!$D$4:$D$353,IFERROR(MATCH(301,'كشف الحساب'!$N$4:$N$353,0),0))),"")</f>
        <v/>
      </c>
      <c r="E305" s="67" t="str">
        <f>IFERROR(IF(IFERROR(MATCH(301,'كشف الحساب'!$N$4:$N$353,0),0)=0,"",INDEX('كشف الحساب'!$E$4:$E$353,IFERROR(MATCH(301,'كشف الحساب'!$N$4:$N$353,0),0))),"")</f>
        <v/>
      </c>
      <c r="F305" s="64" t="str">
        <f>IFERROR(IF(IFERROR(MATCH(301,'كشف الحساب'!$N$4:$N$353,0),0)=0,"",INDEX('كشف الحساب'!$F$4:$F$353,IFERROR(MATCH(301,'كشف الحساب'!$N$4:$N$353,0),0))),"")</f>
        <v/>
      </c>
      <c r="G305" s="64" t="str">
        <f>IFERROR(IF(IFERROR(MATCH(301,'كشف الحساب'!$N$4:$N$353,0),0)=0,"",INDEX('كشف الحساب'!$G$4:$G$353,IFERROR(MATCH(301,'كشف الحساب'!$N$4:$N$353,0),0))),"")</f>
        <v/>
      </c>
      <c r="H305" s="64" t="str">
        <f>IFERROR(IF(IFERROR(MATCH(301,'كشف الحساب'!$N$4:$N$353,0),0)=0,"",INDEX('كشف الحساب'!$H$4:$H$353,IFERROR(MATCH(301,'كشف الحساب'!$N$4:$N$353,0),0))),"")</f>
        <v/>
      </c>
      <c r="I305" s="64" t="str">
        <f>IFERROR(IF(IFERROR(MATCH(301,'كشف الحساب'!$N$4:$N$353,0),0)=0,"",INDEX('كشف الحساب'!$I$4:$I$353,IFERROR(MATCH(301,'كشف الحساب'!$N$4:$N$353,0),0))),"")</f>
        <v/>
      </c>
      <c r="J305" s="68" t="str">
        <f>IFERROR(IF(IFERROR(MATCH(301,'كشف الحساب'!$N$4:$N$353,0),0)=0,"",INDEX('كشف الحساب'!$J$4:$J$353,IFERROR(MATCH(301,'كشف الحساب'!$N$4:$N$353,0),0))),"")</f>
        <v/>
      </c>
      <c r="K305" s="64" t="str">
        <f>IFERROR(IF(IFERROR(MATCH(301,'كشف الحساب'!$N$4:$N$353,0),0)=0,"",INDEX('كشف الحساب'!$K$4:$K$353,IFERROR(MATCH(301,'كشف الحساب'!$N$4:$N$353,0),0))),"")</f>
        <v/>
      </c>
    </row>
    <row r="306" spans="1:11" ht="15" customHeight="1" x14ac:dyDescent="0.25">
      <c r="A306" s="69" t="str">
        <f>IFERROR(IF(IFERROR(MATCH(302,'كشف الحساب'!$N$4:$N$353,0),0)=0,"",INDEX('كشف الحساب'!$A$4:$A$353,IFERROR(MATCH(302,'كشف الحساب'!$N$4:$N$353,0),0))),"")</f>
        <v/>
      </c>
      <c r="B306" s="70" t="str">
        <f>IFERROR(IF(IFERROR(MATCH(302,'كشف الحساب'!$N$4:$N$353,0),0)=0,"",INDEX('كشف الحساب'!$B$4:$B$353,IFERROR(MATCH(302,'كشف الحساب'!$N$4:$N$353,0),0))),"")</f>
        <v/>
      </c>
      <c r="C306" s="71" t="str">
        <f>IFERROR(IF(IFERROR(MATCH(302,'كشف الحساب'!$N$4:$N$353,0),0)=0,"",INDEX('كشف الحساب'!$C$4:$C$353,IFERROR(MATCH(302,'كشف الحساب'!$N$4:$N$353,0),0))),"")</f>
        <v/>
      </c>
      <c r="D306" s="72" t="str">
        <f>IFERROR(IF(IFERROR(MATCH(302,'كشف الحساب'!$N$4:$N$353,0),0)=0,"",INDEX('كشف الحساب'!$D$4:$D$353,IFERROR(MATCH(302,'كشف الحساب'!$N$4:$N$353,0),0))),"")</f>
        <v/>
      </c>
      <c r="E306" s="73" t="str">
        <f>IFERROR(IF(IFERROR(MATCH(302,'كشف الحساب'!$N$4:$N$353,0),0)=0,"",INDEX('كشف الحساب'!$E$4:$E$353,IFERROR(MATCH(302,'كشف الحساب'!$N$4:$N$353,0),0))),"")</f>
        <v/>
      </c>
      <c r="F306" s="70" t="str">
        <f>IFERROR(IF(IFERROR(MATCH(302,'كشف الحساب'!$N$4:$N$353,0),0)=0,"",INDEX('كشف الحساب'!$F$4:$F$353,IFERROR(MATCH(302,'كشف الحساب'!$N$4:$N$353,0),0))),"")</f>
        <v/>
      </c>
      <c r="G306" s="70" t="str">
        <f>IFERROR(IF(IFERROR(MATCH(302,'كشف الحساب'!$N$4:$N$353,0),0)=0,"",INDEX('كشف الحساب'!$G$4:$G$353,IFERROR(MATCH(302,'كشف الحساب'!$N$4:$N$353,0),0))),"")</f>
        <v/>
      </c>
      <c r="H306" s="70" t="str">
        <f>IFERROR(IF(IFERROR(MATCH(302,'كشف الحساب'!$N$4:$N$353,0),0)=0,"",INDEX('كشف الحساب'!$H$4:$H$353,IFERROR(MATCH(302,'كشف الحساب'!$N$4:$N$353,0),0))),"")</f>
        <v/>
      </c>
      <c r="I306" s="70" t="str">
        <f>IFERROR(IF(IFERROR(MATCH(302,'كشف الحساب'!$N$4:$N$353,0),0)=0,"",INDEX('كشف الحساب'!$I$4:$I$353,IFERROR(MATCH(302,'كشف الحساب'!$N$4:$N$353,0),0))),"")</f>
        <v/>
      </c>
      <c r="J306" s="74" t="str">
        <f>IFERROR(IF(IFERROR(MATCH(302,'كشف الحساب'!$N$4:$N$353,0),0)=0,"",INDEX('كشف الحساب'!$J$4:$J$353,IFERROR(MATCH(302,'كشف الحساب'!$N$4:$N$353,0),0))),"")</f>
        <v/>
      </c>
      <c r="K306" s="70" t="str">
        <f>IFERROR(IF(IFERROR(MATCH(302,'كشف الحساب'!$N$4:$N$353,0),0)=0,"",INDEX('كشف الحساب'!$K$4:$K$353,IFERROR(MATCH(302,'كشف الحساب'!$N$4:$N$353,0),0))),"")</f>
        <v/>
      </c>
    </row>
    <row r="307" spans="1:11" ht="15" customHeight="1" x14ac:dyDescent="0.25">
      <c r="A307" s="63" t="str">
        <f>IFERROR(IF(IFERROR(MATCH(303,'كشف الحساب'!$N$4:$N$353,0),0)=0,"",INDEX('كشف الحساب'!$A$4:$A$353,IFERROR(MATCH(303,'كشف الحساب'!$N$4:$N$353,0),0))),"")</f>
        <v/>
      </c>
      <c r="B307" s="64" t="str">
        <f>IFERROR(IF(IFERROR(MATCH(303,'كشف الحساب'!$N$4:$N$353,0),0)=0,"",INDEX('كشف الحساب'!$B$4:$B$353,IFERROR(MATCH(303,'كشف الحساب'!$N$4:$N$353,0),0))),"")</f>
        <v/>
      </c>
      <c r="C307" s="65" t="str">
        <f>IFERROR(IF(IFERROR(MATCH(303,'كشف الحساب'!$N$4:$N$353,0),0)=0,"",INDEX('كشف الحساب'!$C$4:$C$353,IFERROR(MATCH(303,'كشف الحساب'!$N$4:$N$353,0),0))),"")</f>
        <v/>
      </c>
      <c r="D307" s="66" t="str">
        <f>IFERROR(IF(IFERROR(MATCH(303,'كشف الحساب'!$N$4:$N$353,0),0)=0,"",INDEX('كشف الحساب'!$D$4:$D$353,IFERROR(MATCH(303,'كشف الحساب'!$N$4:$N$353,0),0))),"")</f>
        <v/>
      </c>
      <c r="E307" s="67" t="str">
        <f>IFERROR(IF(IFERROR(MATCH(303,'كشف الحساب'!$N$4:$N$353,0),0)=0,"",INDEX('كشف الحساب'!$E$4:$E$353,IFERROR(MATCH(303,'كشف الحساب'!$N$4:$N$353,0),0))),"")</f>
        <v/>
      </c>
      <c r="F307" s="64" t="str">
        <f>IFERROR(IF(IFERROR(MATCH(303,'كشف الحساب'!$N$4:$N$353,0),0)=0,"",INDEX('كشف الحساب'!$F$4:$F$353,IFERROR(MATCH(303,'كشف الحساب'!$N$4:$N$353,0),0))),"")</f>
        <v/>
      </c>
      <c r="G307" s="64" t="str">
        <f>IFERROR(IF(IFERROR(MATCH(303,'كشف الحساب'!$N$4:$N$353,0),0)=0,"",INDEX('كشف الحساب'!$G$4:$G$353,IFERROR(MATCH(303,'كشف الحساب'!$N$4:$N$353,0),0))),"")</f>
        <v/>
      </c>
      <c r="H307" s="64" t="str">
        <f>IFERROR(IF(IFERROR(MATCH(303,'كشف الحساب'!$N$4:$N$353,0),0)=0,"",INDEX('كشف الحساب'!$H$4:$H$353,IFERROR(MATCH(303,'كشف الحساب'!$N$4:$N$353,0),0))),"")</f>
        <v/>
      </c>
      <c r="I307" s="64" t="str">
        <f>IFERROR(IF(IFERROR(MATCH(303,'كشف الحساب'!$N$4:$N$353,0),0)=0,"",INDEX('كشف الحساب'!$I$4:$I$353,IFERROR(MATCH(303,'كشف الحساب'!$N$4:$N$353,0),0))),"")</f>
        <v/>
      </c>
      <c r="J307" s="68" t="str">
        <f>IFERROR(IF(IFERROR(MATCH(303,'كشف الحساب'!$N$4:$N$353,0),0)=0,"",INDEX('كشف الحساب'!$J$4:$J$353,IFERROR(MATCH(303,'كشف الحساب'!$N$4:$N$353,0),0))),"")</f>
        <v/>
      </c>
      <c r="K307" s="64" t="str">
        <f>IFERROR(IF(IFERROR(MATCH(303,'كشف الحساب'!$N$4:$N$353,0),0)=0,"",INDEX('كشف الحساب'!$K$4:$K$353,IFERROR(MATCH(303,'كشف الحساب'!$N$4:$N$353,0),0))),"")</f>
        <v/>
      </c>
    </row>
    <row r="308" spans="1:11" ht="15" customHeight="1" x14ac:dyDescent="0.25">
      <c r="A308" s="69" t="str">
        <f>IFERROR(IF(IFERROR(MATCH(304,'كشف الحساب'!$N$4:$N$353,0),0)=0,"",INDEX('كشف الحساب'!$A$4:$A$353,IFERROR(MATCH(304,'كشف الحساب'!$N$4:$N$353,0),0))),"")</f>
        <v/>
      </c>
      <c r="B308" s="70" t="str">
        <f>IFERROR(IF(IFERROR(MATCH(304,'كشف الحساب'!$N$4:$N$353,0),0)=0,"",INDEX('كشف الحساب'!$B$4:$B$353,IFERROR(MATCH(304,'كشف الحساب'!$N$4:$N$353,0),0))),"")</f>
        <v/>
      </c>
      <c r="C308" s="71" t="str">
        <f>IFERROR(IF(IFERROR(MATCH(304,'كشف الحساب'!$N$4:$N$353,0),0)=0,"",INDEX('كشف الحساب'!$C$4:$C$353,IFERROR(MATCH(304,'كشف الحساب'!$N$4:$N$353,0),0))),"")</f>
        <v/>
      </c>
      <c r="D308" s="72" t="str">
        <f>IFERROR(IF(IFERROR(MATCH(304,'كشف الحساب'!$N$4:$N$353,0),0)=0,"",INDEX('كشف الحساب'!$D$4:$D$353,IFERROR(MATCH(304,'كشف الحساب'!$N$4:$N$353,0),0))),"")</f>
        <v/>
      </c>
      <c r="E308" s="73" t="str">
        <f>IFERROR(IF(IFERROR(MATCH(304,'كشف الحساب'!$N$4:$N$353,0),0)=0,"",INDEX('كشف الحساب'!$E$4:$E$353,IFERROR(MATCH(304,'كشف الحساب'!$N$4:$N$353,0),0))),"")</f>
        <v/>
      </c>
      <c r="F308" s="70" t="str">
        <f>IFERROR(IF(IFERROR(MATCH(304,'كشف الحساب'!$N$4:$N$353,0),0)=0,"",INDEX('كشف الحساب'!$F$4:$F$353,IFERROR(MATCH(304,'كشف الحساب'!$N$4:$N$353,0),0))),"")</f>
        <v/>
      </c>
      <c r="G308" s="70" t="str">
        <f>IFERROR(IF(IFERROR(MATCH(304,'كشف الحساب'!$N$4:$N$353,0),0)=0,"",INDEX('كشف الحساب'!$G$4:$G$353,IFERROR(MATCH(304,'كشف الحساب'!$N$4:$N$353,0),0))),"")</f>
        <v/>
      </c>
      <c r="H308" s="70" t="str">
        <f>IFERROR(IF(IFERROR(MATCH(304,'كشف الحساب'!$N$4:$N$353,0),0)=0,"",INDEX('كشف الحساب'!$H$4:$H$353,IFERROR(MATCH(304,'كشف الحساب'!$N$4:$N$353,0),0))),"")</f>
        <v/>
      </c>
      <c r="I308" s="70" t="str">
        <f>IFERROR(IF(IFERROR(MATCH(304,'كشف الحساب'!$N$4:$N$353,0),0)=0,"",INDEX('كشف الحساب'!$I$4:$I$353,IFERROR(MATCH(304,'كشف الحساب'!$N$4:$N$353,0),0))),"")</f>
        <v/>
      </c>
      <c r="J308" s="74" t="str">
        <f>IFERROR(IF(IFERROR(MATCH(304,'كشف الحساب'!$N$4:$N$353,0),0)=0,"",INDEX('كشف الحساب'!$J$4:$J$353,IFERROR(MATCH(304,'كشف الحساب'!$N$4:$N$353,0),0))),"")</f>
        <v/>
      </c>
      <c r="K308" s="70" t="str">
        <f>IFERROR(IF(IFERROR(MATCH(304,'كشف الحساب'!$N$4:$N$353,0),0)=0,"",INDEX('كشف الحساب'!$K$4:$K$353,IFERROR(MATCH(304,'كشف الحساب'!$N$4:$N$353,0),0))),"")</f>
        <v/>
      </c>
    </row>
    <row r="309" spans="1:11" ht="15" customHeight="1" x14ac:dyDescent="0.25">
      <c r="A309" s="63" t="str">
        <f>IFERROR(IF(IFERROR(MATCH(305,'كشف الحساب'!$N$4:$N$353,0),0)=0,"",INDEX('كشف الحساب'!$A$4:$A$353,IFERROR(MATCH(305,'كشف الحساب'!$N$4:$N$353,0),0))),"")</f>
        <v/>
      </c>
      <c r="B309" s="64" t="str">
        <f>IFERROR(IF(IFERROR(MATCH(305,'كشف الحساب'!$N$4:$N$353,0),0)=0,"",INDEX('كشف الحساب'!$B$4:$B$353,IFERROR(MATCH(305,'كشف الحساب'!$N$4:$N$353,0),0))),"")</f>
        <v/>
      </c>
      <c r="C309" s="65" t="str">
        <f>IFERROR(IF(IFERROR(MATCH(305,'كشف الحساب'!$N$4:$N$353,0),0)=0,"",INDEX('كشف الحساب'!$C$4:$C$353,IFERROR(MATCH(305,'كشف الحساب'!$N$4:$N$353,0),0))),"")</f>
        <v/>
      </c>
      <c r="D309" s="66" t="str">
        <f>IFERROR(IF(IFERROR(MATCH(305,'كشف الحساب'!$N$4:$N$353,0),0)=0,"",INDEX('كشف الحساب'!$D$4:$D$353,IFERROR(MATCH(305,'كشف الحساب'!$N$4:$N$353,0),0))),"")</f>
        <v/>
      </c>
      <c r="E309" s="67" t="str">
        <f>IFERROR(IF(IFERROR(MATCH(305,'كشف الحساب'!$N$4:$N$353,0),0)=0,"",INDEX('كشف الحساب'!$E$4:$E$353,IFERROR(MATCH(305,'كشف الحساب'!$N$4:$N$353,0),0))),"")</f>
        <v/>
      </c>
      <c r="F309" s="64" t="str">
        <f>IFERROR(IF(IFERROR(MATCH(305,'كشف الحساب'!$N$4:$N$353,0),0)=0,"",INDEX('كشف الحساب'!$F$4:$F$353,IFERROR(MATCH(305,'كشف الحساب'!$N$4:$N$353,0),0))),"")</f>
        <v/>
      </c>
      <c r="G309" s="64" t="str">
        <f>IFERROR(IF(IFERROR(MATCH(305,'كشف الحساب'!$N$4:$N$353,0),0)=0,"",INDEX('كشف الحساب'!$G$4:$G$353,IFERROR(MATCH(305,'كشف الحساب'!$N$4:$N$353,0),0))),"")</f>
        <v/>
      </c>
      <c r="H309" s="64" t="str">
        <f>IFERROR(IF(IFERROR(MATCH(305,'كشف الحساب'!$N$4:$N$353,0),0)=0,"",INDEX('كشف الحساب'!$H$4:$H$353,IFERROR(MATCH(305,'كشف الحساب'!$N$4:$N$353,0),0))),"")</f>
        <v/>
      </c>
      <c r="I309" s="64" t="str">
        <f>IFERROR(IF(IFERROR(MATCH(305,'كشف الحساب'!$N$4:$N$353,0),0)=0,"",INDEX('كشف الحساب'!$I$4:$I$353,IFERROR(MATCH(305,'كشف الحساب'!$N$4:$N$353,0),0))),"")</f>
        <v/>
      </c>
      <c r="J309" s="68" t="str">
        <f>IFERROR(IF(IFERROR(MATCH(305,'كشف الحساب'!$N$4:$N$353,0),0)=0,"",INDEX('كشف الحساب'!$J$4:$J$353,IFERROR(MATCH(305,'كشف الحساب'!$N$4:$N$353,0),0))),"")</f>
        <v/>
      </c>
      <c r="K309" s="64" t="str">
        <f>IFERROR(IF(IFERROR(MATCH(305,'كشف الحساب'!$N$4:$N$353,0),0)=0,"",INDEX('كشف الحساب'!$K$4:$K$353,IFERROR(MATCH(305,'كشف الحساب'!$N$4:$N$353,0),0))),"")</f>
        <v/>
      </c>
    </row>
    <row r="310" spans="1:11" ht="15" customHeight="1" x14ac:dyDescent="0.25">
      <c r="A310" s="69" t="str">
        <f>IFERROR(IF(IFERROR(MATCH(306,'كشف الحساب'!$N$4:$N$353,0),0)=0,"",INDEX('كشف الحساب'!$A$4:$A$353,IFERROR(MATCH(306,'كشف الحساب'!$N$4:$N$353,0),0))),"")</f>
        <v/>
      </c>
      <c r="B310" s="70" t="str">
        <f>IFERROR(IF(IFERROR(MATCH(306,'كشف الحساب'!$N$4:$N$353,0),0)=0,"",INDEX('كشف الحساب'!$B$4:$B$353,IFERROR(MATCH(306,'كشف الحساب'!$N$4:$N$353,0),0))),"")</f>
        <v/>
      </c>
      <c r="C310" s="71" t="str">
        <f>IFERROR(IF(IFERROR(MATCH(306,'كشف الحساب'!$N$4:$N$353,0),0)=0,"",INDEX('كشف الحساب'!$C$4:$C$353,IFERROR(MATCH(306,'كشف الحساب'!$N$4:$N$353,0),0))),"")</f>
        <v/>
      </c>
      <c r="D310" s="72" t="str">
        <f>IFERROR(IF(IFERROR(MATCH(306,'كشف الحساب'!$N$4:$N$353,0),0)=0,"",INDEX('كشف الحساب'!$D$4:$D$353,IFERROR(MATCH(306,'كشف الحساب'!$N$4:$N$353,0),0))),"")</f>
        <v/>
      </c>
      <c r="E310" s="73" t="str">
        <f>IFERROR(IF(IFERROR(MATCH(306,'كشف الحساب'!$N$4:$N$353,0),0)=0,"",INDEX('كشف الحساب'!$E$4:$E$353,IFERROR(MATCH(306,'كشف الحساب'!$N$4:$N$353,0),0))),"")</f>
        <v/>
      </c>
      <c r="F310" s="70" t="str">
        <f>IFERROR(IF(IFERROR(MATCH(306,'كشف الحساب'!$N$4:$N$353,0),0)=0,"",INDEX('كشف الحساب'!$F$4:$F$353,IFERROR(MATCH(306,'كشف الحساب'!$N$4:$N$353,0),0))),"")</f>
        <v/>
      </c>
      <c r="G310" s="70" t="str">
        <f>IFERROR(IF(IFERROR(MATCH(306,'كشف الحساب'!$N$4:$N$353,0),0)=0,"",INDEX('كشف الحساب'!$G$4:$G$353,IFERROR(MATCH(306,'كشف الحساب'!$N$4:$N$353,0),0))),"")</f>
        <v/>
      </c>
      <c r="H310" s="70" t="str">
        <f>IFERROR(IF(IFERROR(MATCH(306,'كشف الحساب'!$N$4:$N$353,0),0)=0,"",INDEX('كشف الحساب'!$H$4:$H$353,IFERROR(MATCH(306,'كشف الحساب'!$N$4:$N$353,0),0))),"")</f>
        <v/>
      </c>
      <c r="I310" s="70" t="str">
        <f>IFERROR(IF(IFERROR(MATCH(306,'كشف الحساب'!$N$4:$N$353,0),0)=0,"",INDEX('كشف الحساب'!$I$4:$I$353,IFERROR(MATCH(306,'كشف الحساب'!$N$4:$N$353,0),0))),"")</f>
        <v/>
      </c>
      <c r="J310" s="74" t="str">
        <f>IFERROR(IF(IFERROR(MATCH(306,'كشف الحساب'!$N$4:$N$353,0),0)=0,"",INDEX('كشف الحساب'!$J$4:$J$353,IFERROR(MATCH(306,'كشف الحساب'!$N$4:$N$353,0),0))),"")</f>
        <v/>
      </c>
      <c r="K310" s="70" t="str">
        <f>IFERROR(IF(IFERROR(MATCH(306,'كشف الحساب'!$N$4:$N$353,0),0)=0,"",INDEX('كشف الحساب'!$K$4:$K$353,IFERROR(MATCH(306,'كشف الحساب'!$N$4:$N$353,0),0))),"")</f>
        <v/>
      </c>
    </row>
    <row r="311" spans="1:11" ht="15" customHeight="1" x14ac:dyDescent="0.25">
      <c r="A311" s="63" t="str">
        <f>IFERROR(IF(IFERROR(MATCH(307,'كشف الحساب'!$N$4:$N$353,0),0)=0,"",INDEX('كشف الحساب'!$A$4:$A$353,IFERROR(MATCH(307,'كشف الحساب'!$N$4:$N$353,0),0))),"")</f>
        <v/>
      </c>
      <c r="B311" s="64" t="str">
        <f>IFERROR(IF(IFERROR(MATCH(307,'كشف الحساب'!$N$4:$N$353,0),0)=0,"",INDEX('كشف الحساب'!$B$4:$B$353,IFERROR(MATCH(307,'كشف الحساب'!$N$4:$N$353,0),0))),"")</f>
        <v/>
      </c>
      <c r="C311" s="65" t="str">
        <f>IFERROR(IF(IFERROR(MATCH(307,'كشف الحساب'!$N$4:$N$353,0),0)=0,"",INDEX('كشف الحساب'!$C$4:$C$353,IFERROR(MATCH(307,'كشف الحساب'!$N$4:$N$353,0),0))),"")</f>
        <v/>
      </c>
      <c r="D311" s="66" t="str">
        <f>IFERROR(IF(IFERROR(MATCH(307,'كشف الحساب'!$N$4:$N$353,0),0)=0,"",INDEX('كشف الحساب'!$D$4:$D$353,IFERROR(MATCH(307,'كشف الحساب'!$N$4:$N$353,0),0))),"")</f>
        <v/>
      </c>
      <c r="E311" s="67" t="str">
        <f>IFERROR(IF(IFERROR(MATCH(307,'كشف الحساب'!$N$4:$N$353,0),0)=0,"",INDEX('كشف الحساب'!$E$4:$E$353,IFERROR(MATCH(307,'كشف الحساب'!$N$4:$N$353,0),0))),"")</f>
        <v/>
      </c>
      <c r="F311" s="64" t="str">
        <f>IFERROR(IF(IFERROR(MATCH(307,'كشف الحساب'!$N$4:$N$353,0),0)=0,"",INDEX('كشف الحساب'!$F$4:$F$353,IFERROR(MATCH(307,'كشف الحساب'!$N$4:$N$353,0),0))),"")</f>
        <v/>
      </c>
      <c r="G311" s="64" t="str">
        <f>IFERROR(IF(IFERROR(MATCH(307,'كشف الحساب'!$N$4:$N$353,0),0)=0,"",INDEX('كشف الحساب'!$G$4:$G$353,IFERROR(MATCH(307,'كشف الحساب'!$N$4:$N$353,0),0))),"")</f>
        <v/>
      </c>
      <c r="H311" s="64" t="str">
        <f>IFERROR(IF(IFERROR(MATCH(307,'كشف الحساب'!$N$4:$N$353,0),0)=0,"",INDEX('كشف الحساب'!$H$4:$H$353,IFERROR(MATCH(307,'كشف الحساب'!$N$4:$N$353,0),0))),"")</f>
        <v/>
      </c>
      <c r="I311" s="64" t="str">
        <f>IFERROR(IF(IFERROR(MATCH(307,'كشف الحساب'!$N$4:$N$353,0),0)=0,"",INDEX('كشف الحساب'!$I$4:$I$353,IFERROR(MATCH(307,'كشف الحساب'!$N$4:$N$353,0),0))),"")</f>
        <v/>
      </c>
      <c r="J311" s="68" t="str">
        <f>IFERROR(IF(IFERROR(MATCH(307,'كشف الحساب'!$N$4:$N$353,0),0)=0,"",INDEX('كشف الحساب'!$J$4:$J$353,IFERROR(MATCH(307,'كشف الحساب'!$N$4:$N$353,0),0))),"")</f>
        <v/>
      </c>
      <c r="K311" s="64" t="str">
        <f>IFERROR(IF(IFERROR(MATCH(307,'كشف الحساب'!$N$4:$N$353,0),0)=0,"",INDEX('كشف الحساب'!$K$4:$K$353,IFERROR(MATCH(307,'كشف الحساب'!$N$4:$N$353,0),0))),"")</f>
        <v/>
      </c>
    </row>
    <row r="312" spans="1:11" ht="15" customHeight="1" x14ac:dyDescent="0.25">
      <c r="A312" s="69" t="str">
        <f>IFERROR(IF(IFERROR(MATCH(308,'كشف الحساب'!$N$4:$N$353,0),0)=0,"",INDEX('كشف الحساب'!$A$4:$A$353,IFERROR(MATCH(308,'كشف الحساب'!$N$4:$N$353,0),0))),"")</f>
        <v/>
      </c>
      <c r="B312" s="70" t="str">
        <f>IFERROR(IF(IFERROR(MATCH(308,'كشف الحساب'!$N$4:$N$353,0),0)=0,"",INDEX('كشف الحساب'!$B$4:$B$353,IFERROR(MATCH(308,'كشف الحساب'!$N$4:$N$353,0),0))),"")</f>
        <v/>
      </c>
      <c r="C312" s="71" t="str">
        <f>IFERROR(IF(IFERROR(MATCH(308,'كشف الحساب'!$N$4:$N$353,0),0)=0,"",INDEX('كشف الحساب'!$C$4:$C$353,IFERROR(MATCH(308,'كشف الحساب'!$N$4:$N$353,0),0))),"")</f>
        <v/>
      </c>
      <c r="D312" s="72" t="str">
        <f>IFERROR(IF(IFERROR(MATCH(308,'كشف الحساب'!$N$4:$N$353,0),0)=0,"",INDEX('كشف الحساب'!$D$4:$D$353,IFERROR(MATCH(308,'كشف الحساب'!$N$4:$N$353,0),0))),"")</f>
        <v/>
      </c>
      <c r="E312" s="73" t="str">
        <f>IFERROR(IF(IFERROR(MATCH(308,'كشف الحساب'!$N$4:$N$353,0),0)=0,"",INDEX('كشف الحساب'!$E$4:$E$353,IFERROR(MATCH(308,'كشف الحساب'!$N$4:$N$353,0),0))),"")</f>
        <v/>
      </c>
      <c r="F312" s="70" t="str">
        <f>IFERROR(IF(IFERROR(MATCH(308,'كشف الحساب'!$N$4:$N$353,0),0)=0,"",INDEX('كشف الحساب'!$F$4:$F$353,IFERROR(MATCH(308,'كشف الحساب'!$N$4:$N$353,0),0))),"")</f>
        <v/>
      </c>
      <c r="G312" s="70" t="str">
        <f>IFERROR(IF(IFERROR(MATCH(308,'كشف الحساب'!$N$4:$N$353,0),0)=0,"",INDEX('كشف الحساب'!$G$4:$G$353,IFERROR(MATCH(308,'كشف الحساب'!$N$4:$N$353,0),0))),"")</f>
        <v/>
      </c>
      <c r="H312" s="70" t="str">
        <f>IFERROR(IF(IFERROR(MATCH(308,'كشف الحساب'!$N$4:$N$353,0),0)=0,"",INDEX('كشف الحساب'!$H$4:$H$353,IFERROR(MATCH(308,'كشف الحساب'!$N$4:$N$353,0),0))),"")</f>
        <v/>
      </c>
      <c r="I312" s="70" t="str">
        <f>IFERROR(IF(IFERROR(MATCH(308,'كشف الحساب'!$N$4:$N$353,0),0)=0,"",INDEX('كشف الحساب'!$I$4:$I$353,IFERROR(MATCH(308,'كشف الحساب'!$N$4:$N$353,0),0))),"")</f>
        <v/>
      </c>
      <c r="J312" s="74" t="str">
        <f>IFERROR(IF(IFERROR(MATCH(308,'كشف الحساب'!$N$4:$N$353,0),0)=0,"",INDEX('كشف الحساب'!$J$4:$J$353,IFERROR(MATCH(308,'كشف الحساب'!$N$4:$N$353,0),0))),"")</f>
        <v/>
      </c>
      <c r="K312" s="70" t="str">
        <f>IFERROR(IF(IFERROR(MATCH(308,'كشف الحساب'!$N$4:$N$353,0),0)=0,"",INDEX('كشف الحساب'!$K$4:$K$353,IFERROR(MATCH(308,'كشف الحساب'!$N$4:$N$353,0),0))),"")</f>
        <v/>
      </c>
    </row>
    <row r="313" spans="1:11" ht="15" customHeight="1" x14ac:dyDescent="0.25">
      <c r="A313" s="63" t="str">
        <f>IFERROR(IF(IFERROR(MATCH(309,'كشف الحساب'!$N$4:$N$353,0),0)=0,"",INDEX('كشف الحساب'!$A$4:$A$353,IFERROR(MATCH(309,'كشف الحساب'!$N$4:$N$353,0),0))),"")</f>
        <v/>
      </c>
      <c r="B313" s="64" t="str">
        <f>IFERROR(IF(IFERROR(MATCH(309,'كشف الحساب'!$N$4:$N$353,0),0)=0,"",INDEX('كشف الحساب'!$B$4:$B$353,IFERROR(MATCH(309,'كشف الحساب'!$N$4:$N$353,0),0))),"")</f>
        <v/>
      </c>
      <c r="C313" s="65" t="str">
        <f>IFERROR(IF(IFERROR(MATCH(309,'كشف الحساب'!$N$4:$N$353,0),0)=0,"",INDEX('كشف الحساب'!$C$4:$C$353,IFERROR(MATCH(309,'كشف الحساب'!$N$4:$N$353,0),0))),"")</f>
        <v/>
      </c>
      <c r="D313" s="66" t="str">
        <f>IFERROR(IF(IFERROR(MATCH(309,'كشف الحساب'!$N$4:$N$353,0),0)=0,"",INDEX('كشف الحساب'!$D$4:$D$353,IFERROR(MATCH(309,'كشف الحساب'!$N$4:$N$353,0),0))),"")</f>
        <v/>
      </c>
      <c r="E313" s="67" t="str">
        <f>IFERROR(IF(IFERROR(MATCH(309,'كشف الحساب'!$N$4:$N$353,0),0)=0,"",INDEX('كشف الحساب'!$E$4:$E$353,IFERROR(MATCH(309,'كشف الحساب'!$N$4:$N$353,0),0))),"")</f>
        <v/>
      </c>
      <c r="F313" s="64" t="str">
        <f>IFERROR(IF(IFERROR(MATCH(309,'كشف الحساب'!$N$4:$N$353,0),0)=0,"",INDEX('كشف الحساب'!$F$4:$F$353,IFERROR(MATCH(309,'كشف الحساب'!$N$4:$N$353,0),0))),"")</f>
        <v/>
      </c>
      <c r="G313" s="64" t="str">
        <f>IFERROR(IF(IFERROR(MATCH(309,'كشف الحساب'!$N$4:$N$353,0),0)=0,"",INDEX('كشف الحساب'!$G$4:$G$353,IFERROR(MATCH(309,'كشف الحساب'!$N$4:$N$353,0),0))),"")</f>
        <v/>
      </c>
      <c r="H313" s="64" t="str">
        <f>IFERROR(IF(IFERROR(MATCH(309,'كشف الحساب'!$N$4:$N$353,0),0)=0,"",INDEX('كشف الحساب'!$H$4:$H$353,IFERROR(MATCH(309,'كشف الحساب'!$N$4:$N$353,0),0))),"")</f>
        <v/>
      </c>
      <c r="I313" s="64" t="str">
        <f>IFERROR(IF(IFERROR(MATCH(309,'كشف الحساب'!$N$4:$N$353,0),0)=0,"",INDEX('كشف الحساب'!$I$4:$I$353,IFERROR(MATCH(309,'كشف الحساب'!$N$4:$N$353,0),0))),"")</f>
        <v/>
      </c>
      <c r="J313" s="68" t="str">
        <f>IFERROR(IF(IFERROR(MATCH(309,'كشف الحساب'!$N$4:$N$353,0),0)=0,"",INDEX('كشف الحساب'!$J$4:$J$353,IFERROR(MATCH(309,'كشف الحساب'!$N$4:$N$353,0),0))),"")</f>
        <v/>
      </c>
      <c r="K313" s="64" t="str">
        <f>IFERROR(IF(IFERROR(MATCH(309,'كشف الحساب'!$N$4:$N$353,0),0)=0,"",INDEX('كشف الحساب'!$K$4:$K$353,IFERROR(MATCH(309,'كشف الحساب'!$N$4:$N$353,0),0))),"")</f>
        <v/>
      </c>
    </row>
    <row r="314" spans="1:11" ht="15" customHeight="1" x14ac:dyDescent="0.25">
      <c r="A314" s="69" t="str">
        <f>IFERROR(IF(IFERROR(MATCH(310,'كشف الحساب'!$N$4:$N$353,0),0)=0,"",INDEX('كشف الحساب'!$A$4:$A$353,IFERROR(MATCH(310,'كشف الحساب'!$N$4:$N$353,0),0))),"")</f>
        <v/>
      </c>
      <c r="B314" s="70" t="str">
        <f>IFERROR(IF(IFERROR(MATCH(310,'كشف الحساب'!$N$4:$N$353,0),0)=0,"",INDEX('كشف الحساب'!$B$4:$B$353,IFERROR(MATCH(310,'كشف الحساب'!$N$4:$N$353,0),0))),"")</f>
        <v/>
      </c>
      <c r="C314" s="71" t="str">
        <f>IFERROR(IF(IFERROR(MATCH(310,'كشف الحساب'!$N$4:$N$353,0),0)=0,"",INDEX('كشف الحساب'!$C$4:$C$353,IFERROR(MATCH(310,'كشف الحساب'!$N$4:$N$353,0),0))),"")</f>
        <v/>
      </c>
      <c r="D314" s="72" t="str">
        <f>IFERROR(IF(IFERROR(MATCH(310,'كشف الحساب'!$N$4:$N$353,0),0)=0,"",INDEX('كشف الحساب'!$D$4:$D$353,IFERROR(MATCH(310,'كشف الحساب'!$N$4:$N$353,0),0))),"")</f>
        <v/>
      </c>
      <c r="E314" s="73" t="str">
        <f>IFERROR(IF(IFERROR(MATCH(310,'كشف الحساب'!$N$4:$N$353,0),0)=0,"",INDEX('كشف الحساب'!$E$4:$E$353,IFERROR(MATCH(310,'كشف الحساب'!$N$4:$N$353,0),0))),"")</f>
        <v/>
      </c>
      <c r="F314" s="70" t="str">
        <f>IFERROR(IF(IFERROR(MATCH(310,'كشف الحساب'!$N$4:$N$353,0),0)=0,"",INDEX('كشف الحساب'!$F$4:$F$353,IFERROR(MATCH(310,'كشف الحساب'!$N$4:$N$353,0),0))),"")</f>
        <v/>
      </c>
      <c r="G314" s="70" t="str">
        <f>IFERROR(IF(IFERROR(MATCH(310,'كشف الحساب'!$N$4:$N$353,0),0)=0,"",INDEX('كشف الحساب'!$G$4:$G$353,IFERROR(MATCH(310,'كشف الحساب'!$N$4:$N$353,0),0))),"")</f>
        <v/>
      </c>
      <c r="H314" s="70" t="str">
        <f>IFERROR(IF(IFERROR(MATCH(310,'كشف الحساب'!$N$4:$N$353,0),0)=0,"",INDEX('كشف الحساب'!$H$4:$H$353,IFERROR(MATCH(310,'كشف الحساب'!$N$4:$N$353,0),0))),"")</f>
        <v/>
      </c>
      <c r="I314" s="70" t="str">
        <f>IFERROR(IF(IFERROR(MATCH(310,'كشف الحساب'!$N$4:$N$353,0),0)=0,"",INDEX('كشف الحساب'!$I$4:$I$353,IFERROR(MATCH(310,'كشف الحساب'!$N$4:$N$353,0),0))),"")</f>
        <v/>
      </c>
      <c r="J314" s="74" t="str">
        <f>IFERROR(IF(IFERROR(MATCH(310,'كشف الحساب'!$N$4:$N$353,0),0)=0,"",INDEX('كشف الحساب'!$J$4:$J$353,IFERROR(MATCH(310,'كشف الحساب'!$N$4:$N$353,0),0))),"")</f>
        <v/>
      </c>
      <c r="K314" s="70" t="str">
        <f>IFERROR(IF(IFERROR(MATCH(310,'كشف الحساب'!$N$4:$N$353,0),0)=0,"",INDEX('كشف الحساب'!$K$4:$K$353,IFERROR(MATCH(310,'كشف الحساب'!$N$4:$N$353,0),0))),"")</f>
        <v/>
      </c>
    </row>
    <row r="315" spans="1:11" ht="15" customHeight="1" x14ac:dyDescent="0.25">
      <c r="A315" s="63" t="str">
        <f>IFERROR(IF(IFERROR(MATCH(311,'كشف الحساب'!$N$4:$N$353,0),0)=0,"",INDEX('كشف الحساب'!$A$4:$A$353,IFERROR(MATCH(311,'كشف الحساب'!$N$4:$N$353,0),0))),"")</f>
        <v/>
      </c>
      <c r="B315" s="64" t="str">
        <f>IFERROR(IF(IFERROR(MATCH(311,'كشف الحساب'!$N$4:$N$353,0),0)=0,"",INDEX('كشف الحساب'!$B$4:$B$353,IFERROR(MATCH(311,'كشف الحساب'!$N$4:$N$353,0),0))),"")</f>
        <v/>
      </c>
      <c r="C315" s="65" t="str">
        <f>IFERROR(IF(IFERROR(MATCH(311,'كشف الحساب'!$N$4:$N$353,0),0)=0,"",INDEX('كشف الحساب'!$C$4:$C$353,IFERROR(MATCH(311,'كشف الحساب'!$N$4:$N$353,0),0))),"")</f>
        <v/>
      </c>
      <c r="D315" s="66" t="str">
        <f>IFERROR(IF(IFERROR(MATCH(311,'كشف الحساب'!$N$4:$N$353,0),0)=0,"",INDEX('كشف الحساب'!$D$4:$D$353,IFERROR(MATCH(311,'كشف الحساب'!$N$4:$N$353,0),0))),"")</f>
        <v/>
      </c>
      <c r="E315" s="67" t="str">
        <f>IFERROR(IF(IFERROR(MATCH(311,'كشف الحساب'!$N$4:$N$353,0),0)=0,"",INDEX('كشف الحساب'!$E$4:$E$353,IFERROR(MATCH(311,'كشف الحساب'!$N$4:$N$353,0),0))),"")</f>
        <v/>
      </c>
      <c r="F315" s="64" t="str">
        <f>IFERROR(IF(IFERROR(MATCH(311,'كشف الحساب'!$N$4:$N$353,0),0)=0,"",INDEX('كشف الحساب'!$F$4:$F$353,IFERROR(MATCH(311,'كشف الحساب'!$N$4:$N$353,0),0))),"")</f>
        <v/>
      </c>
      <c r="G315" s="64" t="str">
        <f>IFERROR(IF(IFERROR(MATCH(311,'كشف الحساب'!$N$4:$N$353,0),0)=0,"",INDEX('كشف الحساب'!$G$4:$G$353,IFERROR(MATCH(311,'كشف الحساب'!$N$4:$N$353,0),0))),"")</f>
        <v/>
      </c>
      <c r="H315" s="64" t="str">
        <f>IFERROR(IF(IFERROR(MATCH(311,'كشف الحساب'!$N$4:$N$353,0),0)=0,"",INDEX('كشف الحساب'!$H$4:$H$353,IFERROR(MATCH(311,'كشف الحساب'!$N$4:$N$353,0),0))),"")</f>
        <v/>
      </c>
      <c r="I315" s="64" t="str">
        <f>IFERROR(IF(IFERROR(MATCH(311,'كشف الحساب'!$N$4:$N$353,0),0)=0,"",INDEX('كشف الحساب'!$I$4:$I$353,IFERROR(MATCH(311,'كشف الحساب'!$N$4:$N$353,0),0))),"")</f>
        <v/>
      </c>
      <c r="J315" s="68" t="str">
        <f>IFERROR(IF(IFERROR(MATCH(311,'كشف الحساب'!$N$4:$N$353,0),0)=0,"",INDEX('كشف الحساب'!$J$4:$J$353,IFERROR(MATCH(311,'كشف الحساب'!$N$4:$N$353,0),0))),"")</f>
        <v/>
      </c>
      <c r="K315" s="64" t="str">
        <f>IFERROR(IF(IFERROR(MATCH(311,'كشف الحساب'!$N$4:$N$353,0),0)=0,"",INDEX('كشف الحساب'!$K$4:$K$353,IFERROR(MATCH(311,'كشف الحساب'!$N$4:$N$353,0),0))),"")</f>
        <v/>
      </c>
    </row>
    <row r="316" spans="1:11" ht="15" customHeight="1" x14ac:dyDescent="0.25">
      <c r="A316" s="69" t="str">
        <f>IFERROR(IF(IFERROR(MATCH(312,'كشف الحساب'!$N$4:$N$353,0),0)=0,"",INDEX('كشف الحساب'!$A$4:$A$353,IFERROR(MATCH(312,'كشف الحساب'!$N$4:$N$353,0),0))),"")</f>
        <v/>
      </c>
      <c r="B316" s="70" t="str">
        <f>IFERROR(IF(IFERROR(MATCH(312,'كشف الحساب'!$N$4:$N$353,0),0)=0,"",INDEX('كشف الحساب'!$B$4:$B$353,IFERROR(MATCH(312,'كشف الحساب'!$N$4:$N$353,0),0))),"")</f>
        <v/>
      </c>
      <c r="C316" s="71" t="str">
        <f>IFERROR(IF(IFERROR(MATCH(312,'كشف الحساب'!$N$4:$N$353,0),0)=0,"",INDEX('كشف الحساب'!$C$4:$C$353,IFERROR(MATCH(312,'كشف الحساب'!$N$4:$N$353,0),0))),"")</f>
        <v/>
      </c>
      <c r="D316" s="72" t="str">
        <f>IFERROR(IF(IFERROR(MATCH(312,'كشف الحساب'!$N$4:$N$353,0),0)=0,"",INDEX('كشف الحساب'!$D$4:$D$353,IFERROR(MATCH(312,'كشف الحساب'!$N$4:$N$353,0),0))),"")</f>
        <v/>
      </c>
      <c r="E316" s="73" t="str">
        <f>IFERROR(IF(IFERROR(MATCH(312,'كشف الحساب'!$N$4:$N$353,0),0)=0,"",INDEX('كشف الحساب'!$E$4:$E$353,IFERROR(MATCH(312,'كشف الحساب'!$N$4:$N$353,0),0))),"")</f>
        <v/>
      </c>
      <c r="F316" s="70" t="str">
        <f>IFERROR(IF(IFERROR(MATCH(312,'كشف الحساب'!$N$4:$N$353,0),0)=0,"",INDEX('كشف الحساب'!$F$4:$F$353,IFERROR(MATCH(312,'كشف الحساب'!$N$4:$N$353,0),0))),"")</f>
        <v/>
      </c>
      <c r="G316" s="70" t="str">
        <f>IFERROR(IF(IFERROR(MATCH(312,'كشف الحساب'!$N$4:$N$353,0),0)=0,"",INDEX('كشف الحساب'!$G$4:$G$353,IFERROR(MATCH(312,'كشف الحساب'!$N$4:$N$353,0),0))),"")</f>
        <v/>
      </c>
      <c r="H316" s="70" t="str">
        <f>IFERROR(IF(IFERROR(MATCH(312,'كشف الحساب'!$N$4:$N$353,0),0)=0,"",INDEX('كشف الحساب'!$H$4:$H$353,IFERROR(MATCH(312,'كشف الحساب'!$N$4:$N$353,0),0))),"")</f>
        <v/>
      </c>
      <c r="I316" s="70" t="str">
        <f>IFERROR(IF(IFERROR(MATCH(312,'كشف الحساب'!$N$4:$N$353,0),0)=0,"",INDEX('كشف الحساب'!$I$4:$I$353,IFERROR(MATCH(312,'كشف الحساب'!$N$4:$N$353,0),0))),"")</f>
        <v/>
      </c>
      <c r="J316" s="74" t="str">
        <f>IFERROR(IF(IFERROR(MATCH(312,'كشف الحساب'!$N$4:$N$353,0),0)=0,"",INDEX('كشف الحساب'!$J$4:$J$353,IFERROR(MATCH(312,'كشف الحساب'!$N$4:$N$353,0),0))),"")</f>
        <v/>
      </c>
      <c r="K316" s="70" t="str">
        <f>IFERROR(IF(IFERROR(MATCH(312,'كشف الحساب'!$N$4:$N$353,0),0)=0,"",INDEX('كشف الحساب'!$K$4:$K$353,IFERROR(MATCH(312,'كشف الحساب'!$N$4:$N$353,0),0))),"")</f>
        <v/>
      </c>
    </row>
    <row r="317" spans="1:11" ht="15" customHeight="1" x14ac:dyDescent="0.25">
      <c r="A317" s="63" t="str">
        <f>IFERROR(IF(IFERROR(MATCH(313,'كشف الحساب'!$N$4:$N$353,0),0)=0,"",INDEX('كشف الحساب'!$A$4:$A$353,IFERROR(MATCH(313,'كشف الحساب'!$N$4:$N$353,0),0))),"")</f>
        <v/>
      </c>
      <c r="B317" s="64" t="str">
        <f>IFERROR(IF(IFERROR(MATCH(313,'كشف الحساب'!$N$4:$N$353,0),0)=0,"",INDEX('كشف الحساب'!$B$4:$B$353,IFERROR(MATCH(313,'كشف الحساب'!$N$4:$N$353,0),0))),"")</f>
        <v/>
      </c>
      <c r="C317" s="65" t="str">
        <f>IFERROR(IF(IFERROR(MATCH(313,'كشف الحساب'!$N$4:$N$353,0),0)=0,"",INDEX('كشف الحساب'!$C$4:$C$353,IFERROR(MATCH(313,'كشف الحساب'!$N$4:$N$353,0),0))),"")</f>
        <v/>
      </c>
      <c r="D317" s="66" t="str">
        <f>IFERROR(IF(IFERROR(MATCH(313,'كشف الحساب'!$N$4:$N$353,0),0)=0,"",INDEX('كشف الحساب'!$D$4:$D$353,IFERROR(MATCH(313,'كشف الحساب'!$N$4:$N$353,0),0))),"")</f>
        <v/>
      </c>
      <c r="E317" s="67" t="str">
        <f>IFERROR(IF(IFERROR(MATCH(313,'كشف الحساب'!$N$4:$N$353,0),0)=0,"",INDEX('كشف الحساب'!$E$4:$E$353,IFERROR(MATCH(313,'كشف الحساب'!$N$4:$N$353,0),0))),"")</f>
        <v/>
      </c>
      <c r="F317" s="64" t="str">
        <f>IFERROR(IF(IFERROR(MATCH(313,'كشف الحساب'!$N$4:$N$353,0),0)=0,"",INDEX('كشف الحساب'!$F$4:$F$353,IFERROR(MATCH(313,'كشف الحساب'!$N$4:$N$353,0),0))),"")</f>
        <v/>
      </c>
      <c r="G317" s="64" t="str">
        <f>IFERROR(IF(IFERROR(MATCH(313,'كشف الحساب'!$N$4:$N$353,0),0)=0,"",INDEX('كشف الحساب'!$G$4:$G$353,IFERROR(MATCH(313,'كشف الحساب'!$N$4:$N$353,0),0))),"")</f>
        <v/>
      </c>
      <c r="H317" s="64" t="str">
        <f>IFERROR(IF(IFERROR(MATCH(313,'كشف الحساب'!$N$4:$N$353,0),0)=0,"",INDEX('كشف الحساب'!$H$4:$H$353,IFERROR(MATCH(313,'كشف الحساب'!$N$4:$N$353,0),0))),"")</f>
        <v/>
      </c>
      <c r="I317" s="64" t="str">
        <f>IFERROR(IF(IFERROR(MATCH(313,'كشف الحساب'!$N$4:$N$353,0),0)=0,"",INDEX('كشف الحساب'!$I$4:$I$353,IFERROR(MATCH(313,'كشف الحساب'!$N$4:$N$353,0),0))),"")</f>
        <v/>
      </c>
      <c r="J317" s="68" t="str">
        <f>IFERROR(IF(IFERROR(MATCH(313,'كشف الحساب'!$N$4:$N$353,0),0)=0,"",INDEX('كشف الحساب'!$J$4:$J$353,IFERROR(MATCH(313,'كشف الحساب'!$N$4:$N$353,0),0))),"")</f>
        <v/>
      </c>
      <c r="K317" s="64" t="str">
        <f>IFERROR(IF(IFERROR(MATCH(313,'كشف الحساب'!$N$4:$N$353,0),0)=0,"",INDEX('كشف الحساب'!$K$4:$K$353,IFERROR(MATCH(313,'كشف الحساب'!$N$4:$N$353,0),0))),"")</f>
        <v/>
      </c>
    </row>
    <row r="318" spans="1:11" ht="15" customHeight="1" x14ac:dyDescent="0.25">
      <c r="A318" s="69" t="str">
        <f>IFERROR(IF(IFERROR(MATCH(314,'كشف الحساب'!$N$4:$N$353,0),0)=0,"",INDEX('كشف الحساب'!$A$4:$A$353,IFERROR(MATCH(314,'كشف الحساب'!$N$4:$N$353,0),0))),"")</f>
        <v/>
      </c>
      <c r="B318" s="70" t="str">
        <f>IFERROR(IF(IFERROR(MATCH(314,'كشف الحساب'!$N$4:$N$353,0),0)=0,"",INDEX('كشف الحساب'!$B$4:$B$353,IFERROR(MATCH(314,'كشف الحساب'!$N$4:$N$353,0),0))),"")</f>
        <v/>
      </c>
      <c r="C318" s="71" t="str">
        <f>IFERROR(IF(IFERROR(MATCH(314,'كشف الحساب'!$N$4:$N$353,0),0)=0,"",INDEX('كشف الحساب'!$C$4:$C$353,IFERROR(MATCH(314,'كشف الحساب'!$N$4:$N$353,0),0))),"")</f>
        <v/>
      </c>
      <c r="D318" s="72" t="str">
        <f>IFERROR(IF(IFERROR(MATCH(314,'كشف الحساب'!$N$4:$N$353,0),0)=0,"",INDEX('كشف الحساب'!$D$4:$D$353,IFERROR(MATCH(314,'كشف الحساب'!$N$4:$N$353,0),0))),"")</f>
        <v/>
      </c>
      <c r="E318" s="73" t="str">
        <f>IFERROR(IF(IFERROR(MATCH(314,'كشف الحساب'!$N$4:$N$353,0),0)=0,"",INDEX('كشف الحساب'!$E$4:$E$353,IFERROR(MATCH(314,'كشف الحساب'!$N$4:$N$353,0),0))),"")</f>
        <v/>
      </c>
      <c r="F318" s="70" t="str">
        <f>IFERROR(IF(IFERROR(MATCH(314,'كشف الحساب'!$N$4:$N$353,0),0)=0,"",INDEX('كشف الحساب'!$F$4:$F$353,IFERROR(MATCH(314,'كشف الحساب'!$N$4:$N$353,0),0))),"")</f>
        <v/>
      </c>
      <c r="G318" s="70" t="str">
        <f>IFERROR(IF(IFERROR(MATCH(314,'كشف الحساب'!$N$4:$N$353,0),0)=0,"",INDEX('كشف الحساب'!$G$4:$G$353,IFERROR(MATCH(314,'كشف الحساب'!$N$4:$N$353,0),0))),"")</f>
        <v/>
      </c>
      <c r="H318" s="70" t="str">
        <f>IFERROR(IF(IFERROR(MATCH(314,'كشف الحساب'!$N$4:$N$353,0),0)=0,"",INDEX('كشف الحساب'!$H$4:$H$353,IFERROR(MATCH(314,'كشف الحساب'!$N$4:$N$353,0),0))),"")</f>
        <v/>
      </c>
      <c r="I318" s="70" t="str">
        <f>IFERROR(IF(IFERROR(MATCH(314,'كشف الحساب'!$N$4:$N$353,0),0)=0,"",INDEX('كشف الحساب'!$I$4:$I$353,IFERROR(MATCH(314,'كشف الحساب'!$N$4:$N$353,0),0))),"")</f>
        <v/>
      </c>
      <c r="J318" s="74" t="str">
        <f>IFERROR(IF(IFERROR(MATCH(314,'كشف الحساب'!$N$4:$N$353,0),0)=0,"",INDEX('كشف الحساب'!$J$4:$J$353,IFERROR(MATCH(314,'كشف الحساب'!$N$4:$N$353,0),0))),"")</f>
        <v/>
      </c>
      <c r="K318" s="70" t="str">
        <f>IFERROR(IF(IFERROR(MATCH(314,'كشف الحساب'!$N$4:$N$353,0),0)=0,"",INDEX('كشف الحساب'!$K$4:$K$353,IFERROR(MATCH(314,'كشف الحساب'!$N$4:$N$353,0),0))),"")</f>
        <v/>
      </c>
    </row>
    <row r="319" spans="1:11" ht="15" customHeight="1" x14ac:dyDescent="0.25">
      <c r="A319" s="63" t="str">
        <f>IFERROR(IF(IFERROR(MATCH(315,'كشف الحساب'!$N$4:$N$353,0),0)=0,"",INDEX('كشف الحساب'!$A$4:$A$353,IFERROR(MATCH(315,'كشف الحساب'!$N$4:$N$353,0),0))),"")</f>
        <v/>
      </c>
      <c r="B319" s="64" t="str">
        <f>IFERROR(IF(IFERROR(MATCH(315,'كشف الحساب'!$N$4:$N$353,0),0)=0,"",INDEX('كشف الحساب'!$B$4:$B$353,IFERROR(MATCH(315,'كشف الحساب'!$N$4:$N$353,0),0))),"")</f>
        <v/>
      </c>
      <c r="C319" s="65" t="str">
        <f>IFERROR(IF(IFERROR(MATCH(315,'كشف الحساب'!$N$4:$N$353,0),0)=0,"",INDEX('كشف الحساب'!$C$4:$C$353,IFERROR(MATCH(315,'كشف الحساب'!$N$4:$N$353,0),0))),"")</f>
        <v/>
      </c>
      <c r="D319" s="66" t="str">
        <f>IFERROR(IF(IFERROR(MATCH(315,'كشف الحساب'!$N$4:$N$353,0),0)=0,"",INDEX('كشف الحساب'!$D$4:$D$353,IFERROR(MATCH(315,'كشف الحساب'!$N$4:$N$353,0),0))),"")</f>
        <v/>
      </c>
      <c r="E319" s="67" t="str">
        <f>IFERROR(IF(IFERROR(MATCH(315,'كشف الحساب'!$N$4:$N$353,0),0)=0,"",INDEX('كشف الحساب'!$E$4:$E$353,IFERROR(MATCH(315,'كشف الحساب'!$N$4:$N$353,0),0))),"")</f>
        <v/>
      </c>
      <c r="F319" s="64" t="str">
        <f>IFERROR(IF(IFERROR(MATCH(315,'كشف الحساب'!$N$4:$N$353,0),0)=0,"",INDEX('كشف الحساب'!$F$4:$F$353,IFERROR(MATCH(315,'كشف الحساب'!$N$4:$N$353,0),0))),"")</f>
        <v/>
      </c>
      <c r="G319" s="64" t="str">
        <f>IFERROR(IF(IFERROR(MATCH(315,'كشف الحساب'!$N$4:$N$353,0),0)=0,"",INDEX('كشف الحساب'!$G$4:$G$353,IFERROR(MATCH(315,'كشف الحساب'!$N$4:$N$353,0),0))),"")</f>
        <v/>
      </c>
      <c r="H319" s="64" t="str">
        <f>IFERROR(IF(IFERROR(MATCH(315,'كشف الحساب'!$N$4:$N$353,0),0)=0,"",INDEX('كشف الحساب'!$H$4:$H$353,IFERROR(MATCH(315,'كشف الحساب'!$N$4:$N$353,0),0))),"")</f>
        <v/>
      </c>
      <c r="I319" s="64" t="str">
        <f>IFERROR(IF(IFERROR(MATCH(315,'كشف الحساب'!$N$4:$N$353,0),0)=0,"",INDEX('كشف الحساب'!$I$4:$I$353,IFERROR(MATCH(315,'كشف الحساب'!$N$4:$N$353,0),0))),"")</f>
        <v/>
      </c>
      <c r="J319" s="68" t="str">
        <f>IFERROR(IF(IFERROR(MATCH(315,'كشف الحساب'!$N$4:$N$353,0),0)=0,"",INDEX('كشف الحساب'!$J$4:$J$353,IFERROR(MATCH(315,'كشف الحساب'!$N$4:$N$353,0),0))),"")</f>
        <v/>
      </c>
      <c r="K319" s="64" t="str">
        <f>IFERROR(IF(IFERROR(MATCH(315,'كشف الحساب'!$N$4:$N$353,0),0)=0,"",INDEX('كشف الحساب'!$K$4:$K$353,IFERROR(MATCH(315,'كشف الحساب'!$N$4:$N$353,0),0))),"")</f>
        <v/>
      </c>
    </row>
    <row r="320" spans="1:11" ht="15" customHeight="1" x14ac:dyDescent="0.25">
      <c r="A320" s="69" t="str">
        <f>IFERROR(IF(IFERROR(MATCH(316,'كشف الحساب'!$N$4:$N$353,0),0)=0,"",INDEX('كشف الحساب'!$A$4:$A$353,IFERROR(MATCH(316,'كشف الحساب'!$N$4:$N$353,0),0))),"")</f>
        <v/>
      </c>
      <c r="B320" s="70" t="str">
        <f>IFERROR(IF(IFERROR(MATCH(316,'كشف الحساب'!$N$4:$N$353,0),0)=0,"",INDEX('كشف الحساب'!$B$4:$B$353,IFERROR(MATCH(316,'كشف الحساب'!$N$4:$N$353,0),0))),"")</f>
        <v/>
      </c>
      <c r="C320" s="71" t="str">
        <f>IFERROR(IF(IFERROR(MATCH(316,'كشف الحساب'!$N$4:$N$353,0),0)=0,"",INDEX('كشف الحساب'!$C$4:$C$353,IFERROR(MATCH(316,'كشف الحساب'!$N$4:$N$353,0),0))),"")</f>
        <v/>
      </c>
      <c r="D320" s="72" t="str">
        <f>IFERROR(IF(IFERROR(MATCH(316,'كشف الحساب'!$N$4:$N$353,0),0)=0,"",INDEX('كشف الحساب'!$D$4:$D$353,IFERROR(MATCH(316,'كشف الحساب'!$N$4:$N$353,0),0))),"")</f>
        <v/>
      </c>
      <c r="E320" s="73" t="str">
        <f>IFERROR(IF(IFERROR(MATCH(316,'كشف الحساب'!$N$4:$N$353,0),0)=0,"",INDEX('كشف الحساب'!$E$4:$E$353,IFERROR(MATCH(316,'كشف الحساب'!$N$4:$N$353,0),0))),"")</f>
        <v/>
      </c>
      <c r="F320" s="70" t="str">
        <f>IFERROR(IF(IFERROR(MATCH(316,'كشف الحساب'!$N$4:$N$353,0),0)=0,"",INDEX('كشف الحساب'!$F$4:$F$353,IFERROR(MATCH(316,'كشف الحساب'!$N$4:$N$353,0),0))),"")</f>
        <v/>
      </c>
      <c r="G320" s="70" t="str">
        <f>IFERROR(IF(IFERROR(MATCH(316,'كشف الحساب'!$N$4:$N$353,0),0)=0,"",INDEX('كشف الحساب'!$G$4:$G$353,IFERROR(MATCH(316,'كشف الحساب'!$N$4:$N$353,0),0))),"")</f>
        <v/>
      </c>
      <c r="H320" s="70" t="str">
        <f>IFERROR(IF(IFERROR(MATCH(316,'كشف الحساب'!$N$4:$N$353,0),0)=0,"",INDEX('كشف الحساب'!$H$4:$H$353,IFERROR(MATCH(316,'كشف الحساب'!$N$4:$N$353,0),0))),"")</f>
        <v/>
      </c>
      <c r="I320" s="70" t="str">
        <f>IFERROR(IF(IFERROR(MATCH(316,'كشف الحساب'!$N$4:$N$353,0),0)=0,"",INDEX('كشف الحساب'!$I$4:$I$353,IFERROR(MATCH(316,'كشف الحساب'!$N$4:$N$353,0),0))),"")</f>
        <v/>
      </c>
      <c r="J320" s="74" t="str">
        <f>IFERROR(IF(IFERROR(MATCH(316,'كشف الحساب'!$N$4:$N$353,0),0)=0,"",INDEX('كشف الحساب'!$J$4:$J$353,IFERROR(MATCH(316,'كشف الحساب'!$N$4:$N$353,0),0))),"")</f>
        <v/>
      </c>
      <c r="K320" s="70" t="str">
        <f>IFERROR(IF(IFERROR(MATCH(316,'كشف الحساب'!$N$4:$N$353,0),0)=0,"",INDEX('كشف الحساب'!$K$4:$K$353,IFERROR(MATCH(316,'كشف الحساب'!$N$4:$N$353,0),0))),"")</f>
        <v/>
      </c>
    </row>
    <row r="321" spans="1:11" ht="15" customHeight="1" x14ac:dyDescent="0.25">
      <c r="A321" s="63" t="str">
        <f>IFERROR(IF(IFERROR(MATCH(317,'كشف الحساب'!$N$4:$N$353,0),0)=0,"",INDEX('كشف الحساب'!$A$4:$A$353,IFERROR(MATCH(317,'كشف الحساب'!$N$4:$N$353,0),0))),"")</f>
        <v/>
      </c>
      <c r="B321" s="64" t="str">
        <f>IFERROR(IF(IFERROR(MATCH(317,'كشف الحساب'!$N$4:$N$353,0),0)=0,"",INDEX('كشف الحساب'!$B$4:$B$353,IFERROR(MATCH(317,'كشف الحساب'!$N$4:$N$353,0),0))),"")</f>
        <v/>
      </c>
      <c r="C321" s="65" t="str">
        <f>IFERROR(IF(IFERROR(MATCH(317,'كشف الحساب'!$N$4:$N$353,0),0)=0,"",INDEX('كشف الحساب'!$C$4:$C$353,IFERROR(MATCH(317,'كشف الحساب'!$N$4:$N$353,0),0))),"")</f>
        <v/>
      </c>
      <c r="D321" s="66" t="str">
        <f>IFERROR(IF(IFERROR(MATCH(317,'كشف الحساب'!$N$4:$N$353,0),0)=0,"",INDEX('كشف الحساب'!$D$4:$D$353,IFERROR(MATCH(317,'كشف الحساب'!$N$4:$N$353,0),0))),"")</f>
        <v/>
      </c>
      <c r="E321" s="67" t="str">
        <f>IFERROR(IF(IFERROR(MATCH(317,'كشف الحساب'!$N$4:$N$353,0),0)=0,"",INDEX('كشف الحساب'!$E$4:$E$353,IFERROR(MATCH(317,'كشف الحساب'!$N$4:$N$353,0),0))),"")</f>
        <v/>
      </c>
      <c r="F321" s="64" t="str">
        <f>IFERROR(IF(IFERROR(MATCH(317,'كشف الحساب'!$N$4:$N$353,0),0)=0,"",INDEX('كشف الحساب'!$F$4:$F$353,IFERROR(MATCH(317,'كشف الحساب'!$N$4:$N$353,0),0))),"")</f>
        <v/>
      </c>
      <c r="G321" s="64" t="str">
        <f>IFERROR(IF(IFERROR(MATCH(317,'كشف الحساب'!$N$4:$N$353,0),0)=0,"",INDEX('كشف الحساب'!$G$4:$G$353,IFERROR(MATCH(317,'كشف الحساب'!$N$4:$N$353,0),0))),"")</f>
        <v/>
      </c>
      <c r="H321" s="64" t="str">
        <f>IFERROR(IF(IFERROR(MATCH(317,'كشف الحساب'!$N$4:$N$353,0),0)=0,"",INDEX('كشف الحساب'!$H$4:$H$353,IFERROR(MATCH(317,'كشف الحساب'!$N$4:$N$353,0),0))),"")</f>
        <v/>
      </c>
      <c r="I321" s="64" t="str">
        <f>IFERROR(IF(IFERROR(MATCH(317,'كشف الحساب'!$N$4:$N$353,0),0)=0,"",INDEX('كشف الحساب'!$I$4:$I$353,IFERROR(MATCH(317,'كشف الحساب'!$N$4:$N$353,0),0))),"")</f>
        <v/>
      </c>
      <c r="J321" s="68" t="str">
        <f>IFERROR(IF(IFERROR(MATCH(317,'كشف الحساب'!$N$4:$N$353,0),0)=0,"",INDEX('كشف الحساب'!$J$4:$J$353,IFERROR(MATCH(317,'كشف الحساب'!$N$4:$N$353,0),0))),"")</f>
        <v/>
      </c>
      <c r="K321" s="64" t="str">
        <f>IFERROR(IF(IFERROR(MATCH(317,'كشف الحساب'!$N$4:$N$353,0),0)=0,"",INDEX('كشف الحساب'!$K$4:$K$353,IFERROR(MATCH(317,'كشف الحساب'!$N$4:$N$353,0),0))),"")</f>
        <v/>
      </c>
    </row>
    <row r="322" spans="1:11" ht="15" customHeight="1" x14ac:dyDescent="0.25">
      <c r="A322" s="69" t="str">
        <f>IFERROR(IF(IFERROR(MATCH(318,'كشف الحساب'!$N$4:$N$353,0),0)=0,"",INDEX('كشف الحساب'!$A$4:$A$353,IFERROR(MATCH(318,'كشف الحساب'!$N$4:$N$353,0),0))),"")</f>
        <v/>
      </c>
      <c r="B322" s="70" t="str">
        <f>IFERROR(IF(IFERROR(MATCH(318,'كشف الحساب'!$N$4:$N$353,0),0)=0,"",INDEX('كشف الحساب'!$B$4:$B$353,IFERROR(MATCH(318,'كشف الحساب'!$N$4:$N$353,0),0))),"")</f>
        <v/>
      </c>
      <c r="C322" s="71" t="str">
        <f>IFERROR(IF(IFERROR(MATCH(318,'كشف الحساب'!$N$4:$N$353,0),0)=0,"",INDEX('كشف الحساب'!$C$4:$C$353,IFERROR(MATCH(318,'كشف الحساب'!$N$4:$N$353,0),0))),"")</f>
        <v/>
      </c>
      <c r="D322" s="72" t="str">
        <f>IFERROR(IF(IFERROR(MATCH(318,'كشف الحساب'!$N$4:$N$353,0),0)=0,"",INDEX('كشف الحساب'!$D$4:$D$353,IFERROR(MATCH(318,'كشف الحساب'!$N$4:$N$353,0),0))),"")</f>
        <v/>
      </c>
      <c r="E322" s="73" t="str">
        <f>IFERROR(IF(IFERROR(MATCH(318,'كشف الحساب'!$N$4:$N$353,0),0)=0,"",INDEX('كشف الحساب'!$E$4:$E$353,IFERROR(MATCH(318,'كشف الحساب'!$N$4:$N$353,0),0))),"")</f>
        <v/>
      </c>
      <c r="F322" s="70" t="str">
        <f>IFERROR(IF(IFERROR(MATCH(318,'كشف الحساب'!$N$4:$N$353,0),0)=0,"",INDEX('كشف الحساب'!$F$4:$F$353,IFERROR(MATCH(318,'كشف الحساب'!$N$4:$N$353,0),0))),"")</f>
        <v/>
      </c>
      <c r="G322" s="70" t="str">
        <f>IFERROR(IF(IFERROR(MATCH(318,'كشف الحساب'!$N$4:$N$353,0),0)=0,"",INDEX('كشف الحساب'!$G$4:$G$353,IFERROR(MATCH(318,'كشف الحساب'!$N$4:$N$353,0),0))),"")</f>
        <v/>
      </c>
      <c r="H322" s="70" t="str">
        <f>IFERROR(IF(IFERROR(MATCH(318,'كشف الحساب'!$N$4:$N$353,0),0)=0,"",INDEX('كشف الحساب'!$H$4:$H$353,IFERROR(MATCH(318,'كشف الحساب'!$N$4:$N$353,0),0))),"")</f>
        <v/>
      </c>
      <c r="I322" s="70" t="str">
        <f>IFERROR(IF(IFERROR(MATCH(318,'كشف الحساب'!$N$4:$N$353,0),0)=0,"",INDEX('كشف الحساب'!$I$4:$I$353,IFERROR(MATCH(318,'كشف الحساب'!$N$4:$N$353,0),0))),"")</f>
        <v/>
      </c>
      <c r="J322" s="74" t="str">
        <f>IFERROR(IF(IFERROR(MATCH(318,'كشف الحساب'!$N$4:$N$353,0),0)=0,"",INDEX('كشف الحساب'!$J$4:$J$353,IFERROR(MATCH(318,'كشف الحساب'!$N$4:$N$353,0),0))),"")</f>
        <v/>
      </c>
      <c r="K322" s="70" t="str">
        <f>IFERROR(IF(IFERROR(MATCH(318,'كشف الحساب'!$N$4:$N$353,0),0)=0,"",INDEX('كشف الحساب'!$K$4:$K$353,IFERROR(MATCH(318,'كشف الحساب'!$N$4:$N$353,0),0))),"")</f>
        <v/>
      </c>
    </row>
    <row r="323" spans="1:11" ht="15" customHeight="1" x14ac:dyDescent="0.25">
      <c r="A323" s="63" t="str">
        <f>IFERROR(IF(IFERROR(MATCH(319,'كشف الحساب'!$N$4:$N$353,0),0)=0,"",INDEX('كشف الحساب'!$A$4:$A$353,IFERROR(MATCH(319,'كشف الحساب'!$N$4:$N$353,0),0))),"")</f>
        <v/>
      </c>
      <c r="B323" s="64" t="str">
        <f>IFERROR(IF(IFERROR(MATCH(319,'كشف الحساب'!$N$4:$N$353,0),0)=0,"",INDEX('كشف الحساب'!$B$4:$B$353,IFERROR(MATCH(319,'كشف الحساب'!$N$4:$N$353,0),0))),"")</f>
        <v/>
      </c>
      <c r="C323" s="65" t="str">
        <f>IFERROR(IF(IFERROR(MATCH(319,'كشف الحساب'!$N$4:$N$353,0),0)=0,"",INDEX('كشف الحساب'!$C$4:$C$353,IFERROR(MATCH(319,'كشف الحساب'!$N$4:$N$353,0),0))),"")</f>
        <v/>
      </c>
      <c r="D323" s="66" t="str">
        <f>IFERROR(IF(IFERROR(MATCH(319,'كشف الحساب'!$N$4:$N$353,0),0)=0,"",INDEX('كشف الحساب'!$D$4:$D$353,IFERROR(MATCH(319,'كشف الحساب'!$N$4:$N$353,0),0))),"")</f>
        <v/>
      </c>
      <c r="E323" s="67" t="str">
        <f>IFERROR(IF(IFERROR(MATCH(319,'كشف الحساب'!$N$4:$N$353,0),0)=0,"",INDEX('كشف الحساب'!$E$4:$E$353,IFERROR(MATCH(319,'كشف الحساب'!$N$4:$N$353,0),0))),"")</f>
        <v/>
      </c>
      <c r="F323" s="64" t="str">
        <f>IFERROR(IF(IFERROR(MATCH(319,'كشف الحساب'!$N$4:$N$353,0),0)=0,"",INDEX('كشف الحساب'!$F$4:$F$353,IFERROR(MATCH(319,'كشف الحساب'!$N$4:$N$353,0),0))),"")</f>
        <v/>
      </c>
      <c r="G323" s="64" t="str">
        <f>IFERROR(IF(IFERROR(MATCH(319,'كشف الحساب'!$N$4:$N$353,0),0)=0,"",INDEX('كشف الحساب'!$G$4:$G$353,IFERROR(MATCH(319,'كشف الحساب'!$N$4:$N$353,0),0))),"")</f>
        <v/>
      </c>
      <c r="H323" s="64" t="str">
        <f>IFERROR(IF(IFERROR(MATCH(319,'كشف الحساب'!$N$4:$N$353,0),0)=0,"",INDEX('كشف الحساب'!$H$4:$H$353,IFERROR(MATCH(319,'كشف الحساب'!$N$4:$N$353,0),0))),"")</f>
        <v/>
      </c>
      <c r="I323" s="64" t="str">
        <f>IFERROR(IF(IFERROR(MATCH(319,'كشف الحساب'!$N$4:$N$353,0),0)=0,"",INDEX('كشف الحساب'!$I$4:$I$353,IFERROR(MATCH(319,'كشف الحساب'!$N$4:$N$353,0),0))),"")</f>
        <v/>
      </c>
      <c r="J323" s="68" t="str">
        <f>IFERROR(IF(IFERROR(MATCH(319,'كشف الحساب'!$N$4:$N$353,0),0)=0,"",INDEX('كشف الحساب'!$J$4:$J$353,IFERROR(MATCH(319,'كشف الحساب'!$N$4:$N$353,0),0))),"")</f>
        <v/>
      </c>
      <c r="K323" s="64" t="str">
        <f>IFERROR(IF(IFERROR(MATCH(319,'كشف الحساب'!$N$4:$N$353,0),0)=0,"",INDEX('كشف الحساب'!$K$4:$K$353,IFERROR(MATCH(319,'كشف الحساب'!$N$4:$N$353,0),0))),"")</f>
        <v/>
      </c>
    </row>
    <row r="324" spans="1:11" ht="15" customHeight="1" x14ac:dyDescent="0.25">
      <c r="A324" s="69" t="str">
        <f>IFERROR(IF(IFERROR(MATCH(320,'كشف الحساب'!$N$4:$N$353,0),0)=0,"",INDEX('كشف الحساب'!$A$4:$A$353,IFERROR(MATCH(320,'كشف الحساب'!$N$4:$N$353,0),0))),"")</f>
        <v/>
      </c>
      <c r="B324" s="70" t="str">
        <f>IFERROR(IF(IFERROR(MATCH(320,'كشف الحساب'!$N$4:$N$353,0),0)=0,"",INDEX('كشف الحساب'!$B$4:$B$353,IFERROR(MATCH(320,'كشف الحساب'!$N$4:$N$353,0),0))),"")</f>
        <v/>
      </c>
      <c r="C324" s="71" t="str">
        <f>IFERROR(IF(IFERROR(MATCH(320,'كشف الحساب'!$N$4:$N$353,0),0)=0,"",INDEX('كشف الحساب'!$C$4:$C$353,IFERROR(MATCH(320,'كشف الحساب'!$N$4:$N$353,0),0))),"")</f>
        <v/>
      </c>
      <c r="D324" s="72" t="str">
        <f>IFERROR(IF(IFERROR(MATCH(320,'كشف الحساب'!$N$4:$N$353,0),0)=0,"",INDEX('كشف الحساب'!$D$4:$D$353,IFERROR(MATCH(320,'كشف الحساب'!$N$4:$N$353,0),0))),"")</f>
        <v/>
      </c>
      <c r="E324" s="73" t="str">
        <f>IFERROR(IF(IFERROR(MATCH(320,'كشف الحساب'!$N$4:$N$353,0),0)=0,"",INDEX('كشف الحساب'!$E$4:$E$353,IFERROR(MATCH(320,'كشف الحساب'!$N$4:$N$353,0),0))),"")</f>
        <v/>
      </c>
      <c r="F324" s="70" t="str">
        <f>IFERROR(IF(IFERROR(MATCH(320,'كشف الحساب'!$N$4:$N$353,0),0)=0,"",INDEX('كشف الحساب'!$F$4:$F$353,IFERROR(MATCH(320,'كشف الحساب'!$N$4:$N$353,0),0))),"")</f>
        <v/>
      </c>
      <c r="G324" s="70" t="str">
        <f>IFERROR(IF(IFERROR(MATCH(320,'كشف الحساب'!$N$4:$N$353,0),0)=0,"",INDEX('كشف الحساب'!$G$4:$G$353,IFERROR(MATCH(320,'كشف الحساب'!$N$4:$N$353,0),0))),"")</f>
        <v/>
      </c>
      <c r="H324" s="70" t="str">
        <f>IFERROR(IF(IFERROR(MATCH(320,'كشف الحساب'!$N$4:$N$353,0),0)=0,"",INDEX('كشف الحساب'!$H$4:$H$353,IFERROR(MATCH(320,'كشف الحساب'!$N$4:$N$353,0),0))),"")</f>
        <v/>
      </c>
      <c r="I324" s="70" t="str">
        <f>IFERROR(IF(IFERROR(MATCH(320,'كشف الحساب'!$N$4:$N$353,0),0)=0,"",INDEX('كشف الحساب'!$I$4:$I$353,IFERROR(MATCH(320,'كشف الحساب'!$N$4:$N$353,0),0))),"")</f>
        <v/>
      </c>
      <c r="J324" s="74" t="str">
        <f>IFERROR(IF(IFERROR(MATCH(320,'كشف الحساب'!$N$4:$N$353,0),0)=0,"",INDEX('كشف الحساب'!$J$4:$J$353,IFERROR(MATCH(320,'كشف الحساب'!$N$4:$N$353,0),0))),"")</f>
        <v/>
      </c>
      <c r="K324" s="70" t="str">
        <f>IFERROR(IF(IFERROR(MATCH(320,'كشف الحساب'!$N$4:$N$353,0),0)=0,"",INDEX('كشف الحساب'!$K$4:$K$353,IFERROR(MATCH(320,'كشف الحساب'!$N$4:$N$353,0),0))),"")</f>
        <v/>
      </c>
    </row>
    <row r="325" spans="1:11" ht="15" customHeight="1" x14ac:dyDescent="0.25">
      <c r="A325" s="63" t="str">
        <f>IFERROR(IF(IFERROR(MATCH(321,'كشف الحساب'!$N$4:$N$353,0),0)=0,"",INDEX('كشف الحساب'!$A$4:$A$353,IFERROR(MATCH(321,'كشف الحساب'!$N$4:$N$353,0),0))),"")</f>
        <v/>
      </c>
      <c r="B325" s="64" t="str">
        <f>IFERROR(IF(IFERROR(MATCH(321,'كشف الحساب'!$N$4:$N$353,0),0)=0,"",INDEX('كشف الحساب'!$B$4:$B$353,IFERROR(MATCH(321,'كشف الحساب'!$N$4:$N$353,0),0))),"")</f>
        <v/>
      </c>
      <c r="C325" s="65" t="str">
        <f>IFERROR(IF(IFERROR(MATCH(321,'كشف الحساب'!$N$4:$N$353,0),0)=0,"",INDEX('كشف الحساب'!$C$4:$C$353,IFERROR(MATCH(321,'كشف الحساب'!$N$4:$N$353,0),0))),"")</f>
        <v/>
      </c>
      <c r="D325" s="66" t="str">
        <f>IFERROR(IF(IFERROR(MATCH(321,'كشف الحساب'!$N$4:$N$353,0),0)=0,"",INDEX('كشف الحساب'!$D$4:$D$353,IFERROR(MATCH(321,'كشف الحساب'!$N$4:$N$353,0),0))),"")</f>
        <v/>
      </c>
      <c r="E325" s="67" t="str">
        <f>IFERROR(IF(IFERROR(MATCH(321,'كشف الحساب'!$N$4:$N$353,0),0)=0,"",INDEX('كشف الحساب'!$E$4:$E$353,IFERROR(MATCH(321,'كشف الحساب'!$N$4:$N$353,0),0))),"")</f>
        <v/>
      </c>
      <c r="F325" s="64" t="str">
        <f>IFERROR(IF(IFERROR(MATCH(321,'كشف الحساب'!$N$4:$N$353,0),0)=0,"",INDEX('كشف الحساب'!$F$4:$F$353,IFERROR(MATCH(321,'كشف الحساب'!$N$4:$N$353,0),0))),"")</f>
        <v/>
      </c>
      <c r="G325" s="64" t="str">
        <f>IFERROR(IF(IFERROR(MATCH(321,'كشف الحساب'!$N$4:$N$353,0),0)=0,"",INDEX('كشف الحساب'!$G$4:$G$353,IFERROR(MATCH(321,'كشف الحساب'!$N$4:$N$353,0),0))),"")</f>
        <v/>
      </c>
      <c r="H325" s="64" t="str">
        <f>IFERROR(IF(IFERROR(MATCH(321,'كشف الحساب'!$N$4:$N$353,0),0)=0,"",INDEX('كشف الحساب'!$H$4:$H$353,IFERROR(MATCH(321,'كشف الحساب'!$N$4:$N$353,0),0))),"")</f>
        <v/>
      </c>
      <c r="I325" s="64" t="str">
        <f>IFERROR(IF(IFERROR(MATCH(321,'كشف الحساب'!$N$4:$N$353,0),0)=0,"",INDEX('كشف الحساب'!$I$4:$I$353,IFERROR(MATCH(321,'كشف الحساب'!$N$4:$N$353,0),0))),"")</f>
        <v/>
      </c>
      <c r="J325" s="68" t="str">
        <f>IFERROR(IF(IFERROR(MATCH(321,'كشف الحساب'!$N$4:$N$353,0),0)=0,"",INDEX('كشف الحساب'!$J$4:$J$353,IFERROR(MATCH(321,'كشف الحساب'!$N$4:$N$353,0),0))),"")</f>
        <v/>
      </c>
      <c r="K325" s="64" t="str">
        <f>IFERROR(IF(IFERROR(MATCH(321,'كشف الحساب'!$N$4:$N$353,0),0)=0,"",INDEX('كشف الحساب'!$K$4:$K$353,IFERROR(MATCH(321,'كشف الحساب'!$N$4:$N$353,0),0))),"")</f>
        <v/>
      </c>
    </row>
    <row r="326" spans="1:11" ht="15" customHeight="1" x14ac:dyDescent="0.25">
      <c r="A326" s="69" t="str">
        <f>IFERROR(IF(IFERROR(MATCH(322,'كشف الحساب'!$N$4:$N$353,0),0)=0,"",INDEX('كشف الحساب'!$A$4:$A$353,IFERROR(MATCH(322,'كشف الحساب'!$N$4:$N$353,0),0))),"")</f>
        <v/>
      </c>
      <c r="B326" s="70" t="str">
        <f>IFERROR(IF(IFERROR(MATCH(322,'كشف الحساب'!$N$4:$N$353,0),0)=0,"",INDEX('كشف الحساب'!$B$4:$B$353,IFERROR(MATCH(322,'كشف الحساب'!$N$4:$N$353,0),0))),"")</f>
        <v/>
      </c>
      <c r="C326" s="71" t="str">
        <f>IFERROR(IF(IFERROR(MATCH(322,'كشف الحساب'!$N$4:$N$353,0),0)=0,"",INDEX('كشف الحساب'!$C$4:$C$353,IFERROR(MATCH(322,'كشف الحساب'!$N$4:$N$353,0),0))),"")</f>
        <v/>
      </c>
      <c r="D326" s="72" t="str">
        <f>IFERROR(IF(IFERROR(MATCH(322,'كشف الحساب'!$N$4:$N$353,0),0)=0,"",INDEX('كشف الحساب'!$D$4:$D$353,IFERROR(MATCH(322,'كشف الحساب'!$N$4:$N$353,0),0))),"")</f>
        <v/>
      </c>
      <c r="E326" s="73" t="str">
        <f>IFERROR(IF(IFERROR(MATCH(322,'كشف الحساب'!$N$4:$N$353,0),0)=0,"",INDEX('كشف الحساب'!$E$4:$E$353,IFERROR(MATCH(322,'كشف الحساب'!$N$4:$N$353,0),0))),"")</f>
        <v/>
      </c>
      <c r="F326" s="70" t="str">
        <f>IFERROR(IF(IFERROR(MATCH(322,'كشف الحساب'!$N$4:$N$353,0),0)=0,"",INDEX('كشف الحساب'!$F$4:$F$353,IFERROR(MATCH(322,'كشف الحساب'!$N$4:$N$353,0),0))),"")</f>
        <v/>
      </c>
      <c r="G326" s="70" t="str">
        <f>IFERROR(IF(IFERROR(MATCH(322,'كشف الحساب'!$N$4:$N$353,0),0)=0,"",INDEX('كشف الحساب'!$G$4:$G$353,IFERROR(MATCH(322,'كشف الحساب'!$N$4:$N$353,0),0))),"")</f>
        <v/>
      </c>
      <c r="H326" s="70" t="str">
        <f>IFERROR(IF(IFERROR(MATCH(322,'كشف الحساب'!$N$4:$N$353,0),0)=0,"",INDEX('كشف الحساب'!$H$4:$H$353,IFERROR(MATCH(322,'كشف الحساب'!$N$4:$N$353,0),0))),"")</f>
        <v/>
      </c>
      <c r="I326" s="70" t="str">
        <f>IFERROR(IF(IFERROR(MATCH(322,'كشف الحساب'!$N$4:$N$353,0),0)=0,"",INDEX('كشف الحساب'!$I$4:$I$353,IFERROR(MATCH(322,'كشف الحساب'!$N$4:$N$353,0),0))),"")</f>
        <v/>
      </c>
      <c r="J326" s="74" t="str">
        <f>IFERROR(IF(IFERROR(MATCH(322,'كشف الحساب'!$N$4:$N$353,0),0)=0,"",INDEX('كشف الحساب'!$J$4:$J$353,IFERROR(MATCH(322,'كشف الحساب'!$N$4:$N$353,0),0))),"")</f>
        <v/>
      </c>
      <c r="K326" s="70" t="str">
        <f>IFERROR(IF(IFERROR(MATCH(322,'كشف الحساب'!$N$4:$N$353,0),0)=0,"",INDEX('كشف الحساب'!$K$4:$K$353,IFERROR(MATCH(322,'كشف الحساب'!$N$4:$N$353,0),0))),"")</f>
        <v/>
      </c>
    </row>
    <row r="327" spans="1:11" ht="15" customHeight="1" x14ac:dyDescent="0.25">
      <c r="A327" s="63" t="str">
        <f>IFERROR(IF(IFERROR(MATCH(323,'كشف الحساب'!$N$4:$N$353,0),0)=0,"",INDEX('كشف الحساب'!$A$4:$A$353,IFERROR(MATCH(323,'كشف الحساب'!$N$4:$N$353,0),0))),"")</f>
        <v/>
      </c>
      <c r="B327" s="64" t="str">
        <f>IFERROR(IF(IFERROR(MATCH(323,'كشف الحساب'!$N$4:$N$353,0),0)=0,"",INDEX('كشف الحساب'!$B$4:$B$353,IFERROR(MATCH(323,'كشف الحساب'!$N$4:$N$353,0),0))),"")</f>
        <v/>
      </c>
      <c r="C327" s="65" t="str">
        <f>IFERROR(IF(IFERROR(MATCH(323,'كشف الحساب'!$N$4:$N$353,0),0)=0,"",INDEX('كشف الحساب'!$C$4:$C$353,IFERROR(MATCH(323,'كشف الحساب'!$N$4:$N$353,0),0))),"")</f>
        <v/>
      </c>
      <c r="D327" s="66" t="str">
        <f>IFERROR(IF(IFERROR(MATCH(323,'كشف الحساب'!$N$4:$N$353,0),0)=0,"",INDEX('كشف الحساب'!$D$4:$D$353,IFERROR(MATCH(323,'كشف الحساب'!$N$4:$N$353,0),0))),"")</f>
        <v/>
      </c>
      <c r="E327" s="67" t="str">
        <f>IFERROR(IF(IFERROR(MATCH(323,'كشف الحساب'!$N$4:$N$353,0),0)=0,"",INDEX('كشف الحساب'!$E$4:$E$353,IFERROR(MATCH(323,'كشف الحساب'!$N$4:$N$353,0),0))),"")</f>
        <v/>
      </c>
      <c r="F327" s="64" t="str">
        <f>IFERROR(IF(IFERROR(MATCH(323,'كشف الحساب'!$N$4:$N$353,0),0)=0,"",INDEX('كشف الحساب'!$F$4:$F$353,IFERROR(MATCH(323,'كشف الحساب'!$N$4:$N$353,0),0))),"")</f>
        <v/>
      </c>
      <c r="G327" s="64" t="str">
        <f>IFERROR(IF(IFERROR(MATCH(323,'كشف الحساب'!$N$4:$N$353,0),0)=0,"",INDEX('كشف الحساب'!$G$4:$G$353,IFERROR(MATCH(323,'كشف الحساب'!$N$4:$N$353,0),0))),"")</f>
        <v/>
      </c>
      <c r="H327" s="64" t="str">
        <f>IFERROR(IF(IFERROR(MATCH(323,'كشف الحساب'!$N$4:$N$353,0),0)=0,"",INDEX('كشف الحساب'!$H$4:$H$353,IFERROR(MATCH(323,'كشف الحساب'!$N$4:$N$353,0),0))),"")</f>
        <v/>
      </c>
      <c r="I327" s="64" t="str">
        <f>IFERROR(IF(IFERROR(MATCH(323,'كشف الحساب'!$N$4:$N$353,0),0)=0,"",INDEX('كشف الحساب'!$I$4:$I$353,IFERROR(MATCH(323,'كشف الحساب'!$N$4:$N$353,0),0))),"")</f>
        <v/>
      </c>
      <c r="J327" s="68" t="str">
        <f>IFERROR(IF(IFERROR(MATCH(323,'كشف الحساب'!$N$4:$N$353,0),0)=0,"",INDEX('كشف الحساب'!$J$4:$J$353,IFERROR(MATCH(323,'كشف الحساب'!$N$4:$N$353,0),0))),"")</f>
        <v/>
      </c>
      <c r="K327" s="64" t="str">
        <f>IFERROR(IF(IFERROR(MATCH(323,'كشف الحساب'!$N$4:$N$353,0),0)=0,"",INDEX('كشف الحساب'!$K$4:$K$353,IFERROR(MATCH(323,'كشف الحساب'!$N$4:$N$353,0),0))),"")</f>
        <v/>
      </c>
    </row>
    <row r="328" spans="1:11" ht="15" customHeight="1" x14ac:dyDescent="0.25">
      <c r="A328" s="69" t="str">
        <f>IFERROR(IF(IFERROR(MATCH(324,'كشف الحساب'!$N$4:$N$353,0),0)=0,"",INDEX('كشف الحساب'!$A$4:$A$353,IFERROR(MATCH(324,'كشف الحساب'!$N$4:$N$353,0),0))),"")</f>
        <v/>
      </c>
      <c r="B328" s="70" t="str">
        <f>IFERROR(IF(IFERROR(MATCH(324,'كشف الحساب'!$N$4:$N$353,0),0)=0,"",INDEX('كشف الحساب'!$B$4:$B$353,IFERROR(MATCH(324,'كشف الحساب'!$N$4:$N$353,0),0))),"")</f>
        <v/>
      </c>
      <c r="C328" s="71" t="str">
        <f>IFERROR(IF(IFERROR(MATCH(324,'كشف الحساب'!$N$4:$N$353,0),0)=0,"",INDEX('كشف الحساب'!$C$4:$C$353,IFERROR(MATCH(324,'كشف الحساب'!$N$4:$N$353,0),0))),"")</f>
        <v/>
      </c>
      <c r="D328" s="72" t="str">
        <f>IFERROR(IF(IFERROR(MATCH(324,'كشف الحساب'!$N$4:$N$353,0),0)=0,"",INDEX('كشف الحساب'!$D$4:$D$353,IFERROR(MATCH(324,'كشف الحساب'!$N$4:$N$353,0),0))),"")</f>
        <v/>
      </c>
      <c r="E328" s="73" t="str">
        <f>IFERROR(IF(IFERROR(MATCH(324,'كشف الحساب'!$N$4:$N$353,0),0)=0,"",INDEX('كشف الحساب'!$E$4:$E$353,IFERROR(MATCH(324,'كشف الحساب'!$N$4:$N$353,0),0))),"")</f>
        <v/>
      </c>
      <c r="F328" s="70" t="str">
        <f>IFERROR(IF(IFERROR(MATCH(324,'كشف الحساب'!$N$4:$N$353,0),0)=0,"",INDEX('كشف الحساب'!$F$4:$F$353,IFERROR(MATCH(324,'كشف الحساب'!$N$4:$N$353,0),0))),"")</f>
        <v/>
      </c>
      <c r="G328" s="70" t="str">
        <f>IFERROR(IF(IFERROR(MATCH(324,'كشف الحساب'!$N$4:$N$353,0),0)=0,"",INDEX('كشف الحساب'!$G$4:$G$353,IFERROR(MATCH(324,'كشف الحساب'!$N$4:$N$353,0),0))),"")</f>
        <v/>
      </c>
      <c r="H328" s="70" t="str">
        <f>IFERROR(IF(IFERROR(MATCH(324,'كشف الحساب'!$N$4:$N$353,0),0)=0,"",INDEX('كشف الحساب'!$H$4:$H$353,IFERROR(MATCH(324,'كشف الحساب'!$N$4:$N$353,0),0))),"")</f>
        <v/>
      </c>
      <c r="I328" s="70" t="str">
        <f>IFERROR(IF(IFERROR(MATCH(324,'كشف الحساب'!$N$4:$N$353,0),0)=0,"",INDEX('كشف الحساب'!$I$4:$I$353,IFERROR(MATCH(324,'كشف الحساب'!$N$4:$N$353,0),0))),"")</f>
        <v/>
      </c>
      <c r="J328" s="74" t="str">
        <f>IFERROR(IF(IFERROR(MATCH(324,'كشف الحساب'!$N$4:$N$353,0),0)=0,"",INDEX('كشف الحساب'!$J$4:$J$353,IFERROR(MATCH(324,'كشف الحساب'!$N$4:$N$353,0),0))),"")</f>
        <v/>
      </c>
      <c r="K328" s="70" t="str">
        <f>IFERROR(IF(IFERROR(MATCH(324,'كشف الحساب'!$N$4:$N$353,0),0)=0,"",INDEX('كشف الحساب'!$K$4:$K$353,IFERROR(MATCH(324,'كشف الحساب'!$N$4:$N$353,0),0))),"")</f>
        <v/>
      </c>
    </row>
    <row r="329" spans="1:11" ht="15" customHeight="1" x14ac:dyDescent="0.25">
      <c r="A329" s="63" t="str">
        <f>IFERROR(IF(IFERROR(MATCH(325,'كشف الحساب'!$N$4:$N$353,0),0)=0,"",INDEX('كشف الحساب'!$A$4:$A$353,IFERROR(MATCH(325,'كشف الحساب'!$N$4:$N$353,0),0))),"")</f>
        <v/>
      </c>
      <c r="B329" s="64" t="str">
        <f>IFERROR(IF(IFERROR(MATCH(325,'كشف الحساب'!$N$4:$N$353,0),0)=0,"",INDEX('كشف الحساب'!$B$4:$B$353,IFERROR(MATCH(325,'كشف الحساب'!$N$4:$N$353,0),0))),"")</f>
        <v/>
      </c>
      <c r="C329" s="65" t="str">
        <f>IFERROR(IF(IFERROR(MATCH(325,'كشف الحساب'!$N$4:$N$353,0),0)=0,"",INDEX('كشف الحساب'!$C$4:$C$353,IFERROR(MATCH(325,'كشف الحساب'!$N$4:$N$353,0),0))),"")</f>
        <v/>
      </c>
      <c r="D329" s="66" t="str">
        <f>IFERROR(IF(IFERROR(MATCH(325,'كشف الحساب'!$N$4:$N$353,0),0)=0,"",INDEX('كشف الحساب'!$D$4:$D$353,IFERROR(MATCH(325,'كشف الحساب'!$N$4:$N$353,0),0))),"")</f>
        <v/>
      </c>
      <c r="E329" s="67" t="str">
        <f>IFERROR(IF(IFERROR(MATCH(325,'كشف الحساب'!$N$4:$N$353,0),0)=0,"",INDEX('كشف الحساب'!$E$4:$E$353,IFERROR(MATCH(325,'كشف الحساب'!$N$4:$N$353,0),0))),"")</f>
        <v/>
      </c>
      <c r="F329" s="64" t="str">
        <f>IFERROR(IF(IFERROR(MATCH(325,'كشف الحساب'!$N$4:$N$353,0),0)=0,"",INDEX('كشف الحساب'!$F$4:$F$353,IFERROR(MATCH(325,'كشف الحساب'!$N$4:$N$353,0),0))),"")</f>
        <v/>
      </c>
      <c r="G329" s="64" t="str">
        <f>IFERROR(IF(IFERROR(MATCH(325,'كشف الحساب'!$N$4:$N$353,0),0)=0,"",INDEX('كشف الحساب'!$G$4:$G$353,IFERROR(MATCH(325,'كشف الحساب'!$N$4:$N$353,0),0))),"")</f>
        <v/>
      </c>
      <c r="H329" s="64" t="str">
        <f>IFERROR(IF(IFERROR(MATCH(325,'كشف الحساب'!$N$4:$N$353,0),0)=0,"",INDEX('كشف الحساب'!$H$4:$H$353,IFERROR(MATCH(325,'كشف الحساب'!$N$4:$N$353,0),0))),"")</f>
        <v/>
      </c>
      <c r="I329" s="64" t="str">
        <f>IFERROR(IF(IFERROR(MATCH(325,'كشف الحساب'!$N$4:$N$353,0),0)=0,"",INDEX('كشف الحساب'!$I$4:$I$353,IFERROR(MATCH(325,'كشف الحساب'!$N$4:$N$353,0),0))),"")</f>
        <v/>
      </c>
      <c r="J329" s="68" t="str">
        <f>IFERROR(IF(IFERROR(MATCH(325,'كشف الحساب'!$N$4:$N$353,0),0)=0,"",INDEX('كشف الحساب'!$J$4:$J$353,IFERROR(MATCH(325,'كشف الحساب'!$N$4:$N$353,0),0))),"")</f>
        <v/>
      </c>
      <c r="K329" s="64" t="str">
        <f>IFERROR(IF(IFERROR(MATCH(325,'كشف الحساب'!$N$4:$N$353,0),0)=0,"",INDEX('كشف الحساب'!$K$4:$K$353,IFERROR(MATCH(325,'كشف الحساب'!$N$4:$N$353,0),0))),"")</f>
        <v/>
      </c>
    </row>
    <row r="330" spans="1:11" ht="15" customHeight="1" x14ac:dyDescent="0.25">
      <c r="A330" s="69" t="str">
        <f>IFERROR(IF(IFERROR(MATCH(326,'كشف الحساب'!$N$4:$N$353,0),0)=0,"",INDEX('كشف الحساب'!$A$4:$A$353,IFERROR(MATCH(326,'كشف الحساب'!$N$4:$N$353,0),0))),"")</f>
        <v/>
      </c>
      <c r="B330" s="70" t="str">
        <f>IFERROR(IF(IFERROR(MATCH(326,'كشف الحساب'!$N$4:$N$353,0),0)=0,"",INDEX('كشف الحساب'!$B$4:$B$353,IFERROR(MATCH(326,'كشف الحساب'!$N$4:$N$353,0),0))),"")</f>
        <v/>
      </c>
      <c r="C330" s="71" t="str">
        <f>IFERROR(IF(IFERROR(MATCH(326,'كشف الحساب'!$N$4:$N$353,0),0)=0,"",INDEX('كشف الحساب'!$C$4:$C$353,IFERROR(MATCH(326,'كشف الحساب'!$N$4:$N$353,0),0))),"")</f>
        <v/>
      </c>
      <c r="D330" s="72" t="str">
        <f>IFERROR(IF(IFERROR(MATCH(326,'كشف الحساب'!$N$4:$N$353,0),0)=0,"",INDEX('كشف الحساب'!$D$4:$D$353,IFERROR(MATCH(326,'كشف الحساب'!$N$4:$N$353,0),0))),"")</f>
        <v/>
      </c>
      <c r="E330" s="73" t="str">
        <f>IFERROR(IF(IFERROR(MATCH(326,'كشف الحساب'!$N$4:$N$353,0),0)=0,"",INDEX('كشف الحساب'!$E$4:$E$353,IFERROR(MATCH(326,'كشف الحساب'!$N$4:$N$353,0),0))),"")</f>
        <v/>
      </c>
      <c r="F330" s="70" t="str">
        <f>IFERROR(IF(IFERROR(MATCH(326,'كشف الحساب'!$N$4:$N$353,0),0)=0,"",INDEX('كشف الحساب'!$F$4:$F$353,IFERROR(MATCH(326,'كشف الحساب'!$N$4:$N$353,0),0))),"")</f>
        <v/>
      </c>
      <c r="G330" s="70" t="str">
        <f>IFERROR(IF(IFERROR(MATCH(326,'كشف الحساب'!$N$4:$N$353,0),0)=0,"",INDEX('كشف الحساب'!$G$4:$G$353,IFERROR(MATCH(326,'كشف الحساب'!$N$4:$N$353,0),0))),"")</f>
        <v/>
      </c>
      <c r="H330" s="70" t="str">
        <f>IFERROR(IF(IFERROR(MATCH(326,'كشف الحساب'!$N$4:$N$353,0),0)=0,"",INDEX('كشف الحساب'!$H$4:$H$353,IFERROR(MATCH(326,'كشف الحساب'!$N$4:$N$353,0),0))),"")</f>
        <v/>
      </c>
      <c r="I330" s="70" t="str">
        <f>IFERROR(IF(IFERROR(MATCH(326,'كشف الحساب'!$N$4:$N$353,0),0)=0,"",INDEX('كشف الحساب'!$I$4:$I$353,IFERROR(MATCH(326,'كشف الحساب'!$N$4:$N$353,0),0))),"")</f>
        <v/>
      </c>
      <c r="J330" s="74" t="str">
        <f>IFERROR(IF(IFERROR(MATCH(326,'كشف الحساب'!$N$4:$N$353,0),0)=0,"",INDEX('كشف الحساب'!$J$4:$J$353,IFERROR(MATCH(326,'كشف الحساب'!$N$4:$N$353,0),0))),"")</f>
        <v/>
      </c>
      <c r="K330" s="70" t="str">
        <f>IFERROR(IF(IFERROR(MATCH(326,'كشف الحساب'!$N$4:$N$353,0),0)=0,"",INDEX('كشف الحساب'!$K$4:$K$353,IFERROR(MATCH(326,'كشف الحساب'!$N$4:$N$353,0),0))),"")</f>
        <v/>
      </c>
    </row>
    <row r="331" spans="1:11" ht="15" customHeight="1" x14ac:dyDescent="0.25">
      <c r="A331" s="63" t="str">
        <f>IFERROR(IF(IFERROR(MATCH(327,'كشف الحساب'!$N$4:$N$353,0),0)=0,"",INDEX('كشف الحساب'!$A$4:$A$353,IFERROR(MATCH(327,'كشف الحساب'!$N$4:$N$353,0),0))),"")</f>
        <v/>
      </c>
      <c r="B331" s="64" t="str">
        <f>IFERROR(IF(IFERROR(MATCH(327,'كشف الحساب'!$N$4:$N$353,0),0)=0,"",INDEX('كشف الحساب'!$B$4:$B$353,IFERROR(MATCH(327,'كشف الحساب'!$N$4:$N$353,0),0))),"")</f>
        <v/>
      </c>
      <c r="C331" s="65" t="str">
        <f>IFERROR(IF(IFERROR(MATCH(327,'كشف الحساب'!$N$4:$N$353,0),0)=0,"",INDEX('كشف الحساب'!$C$4:$C$353,IFERROR(MATCH(327,'كشف الحساب'!$N$4:$N$353,0),0))),"")</f>
        <v/>
      </c>
      <c r="D331" s="66" t="str">
        <f>IFERROR(IF(IFERROR(MATCH(327,'كشف الحساب'!$N$4:$N$353,0),0)=0,"",INDEX('كشف الحساب'!$D$4:$D$353,IFERROR(MATCH(327,'كشف الحساب'!$N$4:$N$353,0),0))),"")</f>
        <v/>
      </c>
      <c r="E331" s="67" t="str">
        <f>IFERROR(IF(IFERROR(MATCH(327,'كشف الحساب'!$N$4:$N$353,0),0)=0,"",INDEX('كشف الحساب'!$E$4:$E$353,IFERROR(MATCH(327,'كشف الحساب'!$N$4:$N$353,0),0))),"")</f>
        <v/>
      </c>
      <c r="F331" s="64" t="str">
        <f>IFERROR(IF(IFERROR(MATCH(327,'كشف الحساب'!$N$4:$N$353,0),0)=0,"",INDEX('كشف الحساب'!$F$4:$F$353,IFERROR(MATCH(327,'كشف الحساب'!$N$4:$N$353,0),0))),"")</f>
        <v/>
      </c>
      <c r="G331" s="64" t="str">
        <f>IFERROR(IF(IFERROR(MATCH(327,'كشف الحساب'!$N$4:$N$353,0),0)=0,"",INDEX('كشف الحساب'!$G$4:$G$353,IFERROR(MATCH(327,'كشف الحساب'!$N$4:$N$353,0),0))),"")</f>
        <v/>
      </c>
      <c r="H331" s="64" t="str">
        <f>IFERROR(IF(IFERROR(MATCH(327,'كشف الحساب'!$N$4:$N$353,0),0)=0,"",INDEX('كشف الحساب'!$H$4:$H$353,IFERROR(MATCH(327,'كشف الحساب'!$N$4:$N$353,0),0))),"")</f>
        <v/>
      </c>
      <c r="I331" s="64" t="str">
        <f>IFERROR(IF(IFERROR(MATCH(327,'كشف الحساب'!$N$4:$N$353,0),0)=0,"",INDEX('كشف الحساب'!$I$4:$I$353,IFERROR(MATCH(327,'كشف الحساب'!$N$4:$N$353,0),0))),"")</f>
        <v/>
      </c>
      <c r="J331" s="68" t="str">
        <f>IFERROR(IF(IFERROR(MATCH(327,'كشف الحساب'!$N$4:$N$353,0),0)=0,"",INDEX('كشف الحساب'!$J$4:$J$353,IFERROR(MATCH(327,'كشف الحساب'!$N$4:$N$353,0),0))),"")</f>
        <v/>
      </c>
      <c r="K331" s="64" t="str">
        <f>IFERROR(IF(IFERROR(MATCH(327,'كشف الحساب'!$N$4:$N$353,0),0)=0,"",INDEX('كشف الحساب'!$K$4:$K$353,IFERROR(MATCH(327,'كشف الحساب'!$N$4:$N$353,0),0))),"")</f>
        <v/>
      </c>
    </row>
    <row r="332" spans="1:11" ht="15" customHeight="1" x14ac:dyDescent="0.25">
      <c r="A332" s="69" t="str">
        <f>IFERROR(IF(IFERROR(MATCH(328,'كشف الحساب'!$N$4:$N$353,0),0)=0,"",INDEX('كشف الحساب'!$A$4:$A$353,IFERROR(MATCH(328,'كشف الحساب'!$N$4:$N$353,0),0))),"")</f>
        <v/>
      </c>
      <c r="B332" s="70" t="str">
        <f>IFERROR(IF(IFERROR(MATCH(328,'كشف الحساب'!$N$4:$N$353,0),0)=0,"",INDEX('كشف الحساب'!$B$4:$B$353,IFERROR(MATCH(328,'كشف الحساب'!$N$4:$N$353,0),0))),"")</f>
        <v/>
      </c>
      <c r="C332" s="71" t="str">
        <f>IFERROR(IF(IFERROR(MATCH(328,'كشف الحساب'!$N$4:$N$353,0),0)=0,"",INDEX('كشف الحساب'!$C$4:$C$353,IFERROR(MATCH(328,'كشف الحساب'!$N$4:$N$353,0),0))),"")</f>
        <v/>
      </c>
      <c r="D332" s="72" t="str">
        <f>IFERROR(IF(IFERROR(MATCH(328,'كشف الحساب'!$N$4:$N$353,0),0)=0,"",INDEX('كشف الحساب'!$D$4:$D$353,IFERROR(MATCH(328,'كشف الحساب'!$N$4:$N$353,0),0))),"")</f>
        <v/>
      </c>
      <c r="E332" s="73" t="str">
        <f>IFERROR(IF(IFERROR(MATCH(328,'كشف الحساب'!$N$4:$N$353,0),0)=0,"",INDEX('كشف الحساب'!$E$4:$E$353,IFERROR(MATCH(328,'كشف الحساب'!$N$4:$N$353,0),0))),"")</f>
        <v/>
      </c>
      <c r="F332" s="70" t="str">
        <f>IFERROR(IF(IFERROR(MATCH(328,'كشف الحساب'!$N$4:$N$353,0),0)=0,"",INDEX('كشف الحساب'!$F$4:$F$353,IFERROR(MATCH(328,'كشف الحساب'!$N$4:$N$353,0),0))),"")</f>
        <v/>
      </c>
      <c r="G332" s="70" t="str">
        <f>IFERROR(IF(IFERROR(MATCH(328,'كشف الحساب'!$N$4:$N$353,0),0)=0,"",INDEX('كشف الحساب'!$G$4:$G$353,IFERROR(MATCH(328,'كشف الحساب'!$N$4:$N$353,0),0))),"")</f>
        <v/>
      </c>
      <c r="H332" s="70" t="str">
        <f>IFERROR(IF(IFERROR(MATCH(328,'كشف الحساب'!$N$4:$N$353,0),0)=0,"",INDEX('كشف الحساب'!$H$4:$H$353,IFERROR(MATCH(328,'كشف الحساب'!$N$4:$N$353,0),0))),"")</f>
        <v/>
      </c>
      <c r="I332" s="70" t="str">
        <f>IFERROR(IF(IFERROR(MATCH(328,'كشف الحساب'!$N$4:$N$353,0),0)=0,"",INDEX('كشف الحساب'!$I$4:$I$353,IFERROR(MATCH(328,'كشف الحساب'!$N$4:$N$353,0),0))),"")</f>
        <v/>
      </c>
      <c r="J332" s="74" t="str">
        <f>IFERROR(IF(IFERROR(MATCH(328,'كشف الحساب'!$N$4:$N$353,0),0)=0,"",INDEX('كشف الحساب'!$J$4:$J$353,IFERROR(MATCH(328,'كشف الحساب'!$N$4:$N$353,0),0))),"")</f>
        <v/>
      </c>
      <c r="K332" s="70" t="str">
        <f>IFERROR(IF(IFERROR(MATCH(328,'كشف الحساب'!$N$4:$N$353,0),0)=0,"",INDEX('كشف الحساب'!$K$4:$K$353,IFERROR(MATCH(328,'كشف الحساب'!$N$4:$N$353,0),0))),"")</f>
        <v/>
      </c>
    </row>
    <row r="333" spans="1:11" ht="15" customHeight="1" x14ac:dyDescent="0.25">
      <c r="A333" s="63" t="str">
        <f>IFERROR(IF(IFERROR(MATCH(329,'كشف الحساب'!$N$4:$N$353,0),0)=0,"",INDEX('كشف الحساب'!$A$4:$A$353,IFERROR(MATCH(329,'كشف الحساب'!$N$4:$N$353,0),0))),"")</f>
        <v/>
      </c>
      <c r="B333" s="64" t="str">
        <f>IFERROR(IF(IFERROR(MATCH(329,'كشف الحساب'!$N$4:$N$353,0),0)=0,"",INDEX('كشف الحساب'!$B$4:$B$353,IFERROR(MATCH(329,'كشف الحساب'!$N$4:$N$353,0),0))),"")</f>
        <v/>
      </c>
      <c r="C333" s="65" t="str">
        <f>IFERROR(IF(IFERROR(MATCH(329,'كشف الحساب'!$N$4:$N$353,0),0)=0,"",INDEX('كشف الحساب'!$C$4:$C$353,IFERROR(MATCH(329,'كشف الحساب'!$N$4:$N$353,0),0))),"")</f>
        <v/>
      </c>
      <c r="D333" s="66" t="str">
        <f>IFERROR(IF(IFERROR(MATCH(329,'كشف الحساب'!$N$4:$N$353,0),0)=0,"",INDEX('كشف الحساب'!$D$4:$D$353,IFERROR(MATCH(329,'كشف الحساب'!$N$4:$N$353,0),0))),"")</f>
        <v/>
      </c>
      <c r="E333" s="67" t="str">
        <f>IFERROR(IF(IFERROR(MATCH(329,'كشف الحساب'!$N$4:$N$353,0),0)=0,"",INDEX('كشف الحساب'!$E$4:$E$353,IFERROR(MATCH(329,'كشف الحساب'!$N$4:$N$353,0),0))),"")</f>
        <v/>
      </c>
      <c r="F333" s="64" t="str">
        <f>IFERROR(IF(IFERROR(MATCH(329,'كشف الحساب'!$N$4:$N$353,0),0)=0,"",INDEX('كشف الحساب'!$F$4:$F$353,IFERROR(MATCH(329,'كشف الحساب'!$N$4:$N$353,0),0))),"")</f>
        <v/>
      </c>
      <c r="G333" s="64" t="str">
        <f>IFERROR(IF(IFERROR(MATCH(329,'كشف الحساب'!$N$4:$N$353,0),0)=0,"",INDEX('كشف الحساب'!$G$4:$G$353,IFERROR(MATCH(329,'كشف الحساب'!$N$4:$N$353,0),0))),"")</f>
        <v/>
      </c>
      <c r="H333" s="64" t="str">
        <f>IFERROR(IF(IFERROR(MATCH(329,'كشف الحساب'!$N$4:$N$353,0),0)=0,"",INDEX('كشف الحساب'!$H$4:$H$353,IFERROR(MATCH(329,'كشف الحساب'!$N$4:$N$353,0),0))),"")</f>
        <v/>
      </c>
      <c r="I333" s="64" t="str">
        <f>IFERROR(IF(IFERROR(MATCH(329,'كشف الحساب'!$N$4:$N$353,0),0)=0,"",INDEX('كشف الحساب'!$I$4:$I$353,IFERROR(MATCH(329,'كشف الحساب'!$N$4:$N$353,0),0))),"")</f>
        <v/>
      </c>
      <c r="J333" s="68" t="str">
        <f>IFERROR(IF(IFERROR(MATCH(329,'كشف الحساب'!$N$4:$N$353,0),0)=0,"",INDEX('كشف الحساب'!$J$4:$J$353,IFERROR(MATCH(329,'كشف الحساب'!$N$4:$N$353,0),0))),"")</f>
        <v/>
      </c>
      <c r="K333" s="64" t="str">
        <f>IFERROR(IF(IFERROR(MATCH(329,'كشف الحساب'!$N$4:$N$353,0),0)=0,"",INDEX('كشف الحساب'!$K$4:$K$353,IFERROR(MATCH(329,'كشف الحساب'!$N$4:$N$353,0),0))),"")</f>
        <v/>
      </c>
    </row>
    <row r="334" spans="1:11" ht="15" customHeight="1" x14ac:dyDescent="0.25">
      <c r="A334" s="69" t="str">
        <f>IFERROR(IF(IFERROR(MATCH(330,'كشف الحساب'!$N$4:$N$353,0),0)=0,"",INDEX('كشف الحساب'!$A$4:$A$353,IFERROR(MATCH(330,'كشف الحساب'!$N$4:$N$353,0),0))),"")</f>
        <v/>
      </c>
      <c r="B334" s="70" t="str">
        <f>IFERROR(IF(IFERROR(MATCH(330,'كشف الحساب'!$N$4:$N$353,0),0)=0,"",INDEX('كشف الحساب'!$B$4:$B$353,IFERROR(MATCH(330,'كشف الحساب'!$N$4:$N$353,0),0))),"")</f>
        <v/>
      </c>
      <c r="C334" s="71" t="str">
        <f>IFERROR(IF(IFERROR(MATCH(330,'كشف الحساب'!$N$4:$N$353,0),0)=0,"",INDEX('كشف الحساب'!$C$4:$C$353,IFERROR(MATCH(330,'كشف الحساب'!$N$4:$N$353,0),0))),"")</f>
        <v/>
      </c>
      <c r="D334" s="72" t="str">
        <f>IFERROR(IF(IFERROR(MATCH(330,'كشف الحساب'!$N$4:$N$353,0),0)=0,"",INDEX('كشف الحساب'!$D$4:$D$353,IFERROR(MATCH(330,'كشف الحساب'!$N$4:$N$353,0),0))),"")</f>
        <v/>
      </c>
      <c r="E334" s="73" t="str">
        <f>IFERROR(IF(IFERROR(MATCH(330,'كشف الحساب'!$N$4:$N$353,0),0)=0,"",INDEX('كشف الحساب'!$E$4:$E$353,IFERROR(MATCH(330,'كشف الحساب'!$N$4:$N$353,0),0))),"")</f>
        <v/>
      </c>
      <c r="F334" s="70" t="str">
        <f>IFERROR(IF(IFERROR(MATCH(330,'كشف الحساب'!$N$4:$N$353,0),0)=0,"",INDEX('كشف الحساب'!$F$4:$F$353,IFERROR(MATCH(330,'كشف الحساب'!$N$4:$N$353,0),0))),"")</f>
        <v/>
      </c>
      <c r="G334" s="70" t="str">
        <f>IFERROR(IF(IFERROR(MATCH(330,'كشف الحساب'!$N$4:$N$353,0),0)=0,"",INDEX('كشف الحساب'!$G$4:$G$353,IFERROR(MATCH(330,'كشف الحساب'!$N$4:$N$353,0),0))),"")</f>
        <v/>
      </c>
      <c r="H334" s="70" t="str">
        <f>IFERROR(IF(IFERROR(MATCH(330,'كشف الحساب'!$N$4:$N$353,0),0)=0,"",INDEX('كشف الحساب'!$H$4:$H$353,IFERROR(MATCH(330,'كشف الحساب'!$N$4:$N$353,0),0))),"")</f>
        <v/>
      </c>
      <c r="I334" s="70" t="str">
        <f>IFERROR(IF(IFERROR(MATCH(330,'كشف الحساب'!$N$4:$N$353,0),0)=0,"",INDEX('كشف الحساب'!$I$4:$I$353,IFERROR(MATCH(330,'كشف الحساب'!$N$4:$N$353,0),0))),"")</f>
        <v/>
      </c>
      <c r="J334" s="74" t="str">
        <f>IFERROR(IF(IFERROR(MATCH(330,'كشف الحساب'!$N$4:$N$353,0),0)=0,"",INDEX('كشف الحساب'!$J$4:$J$353,IFERROR(MATCH(330,'كشف الحساب'!$N$4:$N$353,0),0))),"")</f>
        <v/>
      </c>
      <c r="K334" s="70" t="str">
        <f>IFERROR(IF(IFERROR(MATCH(330,'كشف الحساب'!$N$4:$N$353,0),0)=0,"",INDEX('كشف الحساب'!$K$4:$K$353,IFERROR(MATCH(330,'كشف الحساب'!$N$4:$N$353,0),0))),"")</f>
        <v/>
      </c>
    </row>
    <row r="335" spans="1:11" ht="15" customHeight="1" x14ac:dyDescent="0.25">
      <c r="A335" s="63" t="str">
        <f>IFERROR(IF(IFERROR(MATCH(331,'كشف الحساب'!$N$4:$N$353,0),0)=0,"",INDEX('كشف الحساب'!$A$4:$A$353,IFERROR(MATCH(331,'كشف الحساب'!$N$4:$N$353,0),0))),"")</f>
        <v/>
      </c>
      <c r="B335" s="64" t="str">
        <f>IFERROR(IF(IFERROR(MATCH(331,'كشف الحساب'!$N$4:$N$353,0),0)=0,"",INDEX('كشف الحساب'!$B$4:$B$353,IFERROR(MATCH(331,'كشف الحساب'!$N$4:$N$353,0),0))),"")</f>
        <v/>
      </c>
      <c r="C335" s="65" t="str">
        <f>IFERROR(IF(IFERROR(MATCH(331,'كشف الحساب'!$N$4:$N$353,0),0)=0,"",INDEX('كشف الحساب'!$C$4:$C$353,IFERROR(MATCH(331,'كشف الحساب'!$N$4:$N$353,0),0))),"")</f>
        <v/>
      </c>
      <c r="D335" s="66" t="str">
        <f>IFERROR(IF(IFERROR(MATCH(331,'كشف الحساب'!$N$4:$N$353,0),0)=0,"",INDEX('كشف الحساب'!$D$4:$D$353,IFERROR(MATCH(331,'كشف الحساب'!$N$4:$N$353,0),0))),"")</f>
        <v/>
      </c>
      <c r="E335" s="67" t="str">
        <f>IFERROR(IF(IFERROR(MATCH(331,'كشف الحساب'!$N$4:$N$353,0),0)=0,"",INDEX('كشف الحساب'!$E$4:$E$353,IFERROR(MATCH(331,'كشف الحساب'!$N$4:$N$353,0),0))),"")</f>
        <v/>
      </c>
      <c r="F335" s="64" t="str">
        <f>IFERROR(IF(IFERROR(MATCH(331,'كشف الحساب'!$N$4:$N$353,0),0)=0,"",INDEX('كشف الحساب'!$F$4:$F$353,IFERROR(MATCH(331,'كشف الحساب'!$N$4:$N$353,0),0))),"")</f>
        <v/>
      </c>
      <c r="G335" s="64" t="str">
        <f>IFERROR(IF(IFERROR(MATCH(331,'كشف الحساب'!$N$4:$N$353,0),0)=0,"",INDEX('كشف الحساب'!$G$4:$G$353,IFERROR(MATCH(331,'كشف الحساب'!$N$4:$N$353,0),0))),"")</f>
        <v/>
      </c>
      <c r="H335" s="64" t="str">
        <f>IFERROR(IF(IFERROR(MATCH(331,'كشف الحساب'!$N$4:$N$353,0),0)=0,"",INDEX('كشف الحساب'!$H$4:$H$353,IFERROR(MATCH(331,'كشف الحساب'!$N$4:$N$353,0),0))),"")</f>
        <v/>
      </c>
      <c r="I335" s="64" t="str">
        <f>IFERROR(IF(IFERROR(MATCH(331,'كشف الحساب'!$N$4:$N$353,0),0)=0,"",INDEX('كشف الحساب'!$I$4:$I$353,IFERROR(MATCH(331,'كشف الحساب'!$N$4:$N$353,0),0))),"")</f>
        <v/>
      </c>
      <c r="J335" s="68" t="str">
        <f>IFERROR(IF(IFERROR(MATCH(331,'كشف الحساب'!$N$4:$N$353,0),0)=0,"",INDEX('كشف الحساب'!$J$4:$J$353,IFERROR(MATCH(331,'كشف الحساب'!$N$4:$N$353,0),0))),"")</f>
        <v/>
      </c>
      <c r="K335" s="64" t="str">
        <f>IFERROR(IF(IFERROR(MATCH(331,'كشف الحساب'!$N$4:$N$353,0),0)=0,"",INDEX('كشف الحساب'!$K$4:$K$353,IFERROR(MATCH(331,'كشف الحساب'!$N$4:$N$353,0),0))),"")</f>
        <v/>
      </c>
    </row>
    <row r="336" spans="1:11" ht="15" customHeight="1" x14ac:dyDescent="0.25">
      <c r="A336" s="69" t="str">
        <f>IFERROR(IF(IFERROR(MATCH(332,'كشف الحساب'!$N$4:$N$353,0),0)=0,"",INDEX('كشف الحساب'!$A$4:$A$353,IFERROR(MATCH(332,'كشف الحساب'!$N$4:$N$353,0),0))),"")</f>
        <v/>
      </c>
      <c r="B336" s="70" t="str">
        <f>IFERROR(IF(IFERROR(MATCH(332,'كشف الحساب'!$N$4:$N$353,0),0)=0,"",INDEX('كشف الحساب'!$B$4:$B$353,IFERROR(MATCH(332,'كشف الحساب'!$N$4:$N$353,0),0))),"")</f>
        <v/>
      </c>
      <c r="C336" s="71" t="str">
        <f>IFERROR(IF(IFERROR(MATCH(332,'كشف الحساب'!$N$4:$N$353,0),0)=0,"",INDEX('كشف الحساب'!$C$4:$C$353,IFERROR(MATCH(332,'كشف الحساب'!$N$4:$N$353,0),0))),"")</f>
        <v/>
      </c>
      <c r="D336" s="72" t="str">
        <f>IFERROR(IF(IFERROR(MATCH(332,'كشف الحساب'!$N$4:$N$353,0),0)=0,"",INDEX('كشف الحساب'!$D$4:$D$353,IFERROR(MATCH(332,'كشف الحساب'!$N$4:$N$353,0),0))),"")</f>
        <v/>
      </c>
      <c r="E336" s="73" t="str">
        <f>IFERROR(IF(IFERROR(MATCH(332,'كشف الحساب'!$N$4:$N$353,0),0)=0,"",INDEX('كشف الحساب'!$E$4:$E$353,IFERROR(MATCH(332,'كشف الحساب'!$N$4:$N$353,0),0))),"")</f>
        <v/>
      </c>
      <c r="F336" s="70" t="str">
        <f>IFERROR(IF(IFERROR(MATCH(332,'كشف الحساب'!$N$4:$N$353,0),0)=0,"",INDEX('كشف الحساب'!$F$4:$F$353,IFERROR(MATCH(332,'كشف الحساب'!$N$4:$N$353,0),0))),"")</f>
        <v/>
      </c>
      <c r="G336" s="70" t="str">
        <f>IFERROR(IF(IFERROR(MATCH(332,'كشف الحساب'!$N$4:$N$353,0),0)=0,"",INDEX('كشف الحساب'!$G$4:$G$353,IFERROR(MATCH(332,'كشف الحساب'!$N$4:$N$353,0),0))),"")</f>
        <v/>
      </c>
      <c r="H336" s="70" t="str">
        <f>IFERROR(IF(IFERROR(MATCH(332,'كشف الحساب'!$N$4:$N$353,0),0)=0,"",INDEX('كشف الحساب'!$H$4:$H$353,IFERROR(MATCH(332,'كشف الحساب'!$N$4:$N$353,0),0))),"")</f>
        <v/>
      </c>
      <c r="I336" s="70" t="str">
        <f>IFERROR(IF(IFERROR(MATCH(332,'كشف الحساب'!$N$4:$N$353,0),0)=0,"",INDEX('كشف الحساب'!$I$4:$I$353,IFERROR(MATCH(332,'كشف الحساب'!$N$4:$N$353,0),0))),"")</f>
        <v/>
      </c>
      <c r="J336" s="74" t="str">
        <f>IFERROR(IF(IFERROR(MATCH(332,'كشف الحساب'!$N$4:$N$353,0),0)=0,"",INDEX('كشف الحساب'!$J$4:$J$353,IFERROR(MATCH(332,'كشف الحساب'!$N$4:$N$353,0),0))),"")</f>
        <v/>
      </c>
      <c r="K336" s="70" t="str">
        <f>IFERROR(IF(IFERROR(MATCH(332,'كشف الحساب'!$N$4:$N$353,0),0)=0,"",INDEX('كشف الحساب'!$K$4:$K$353,IFERROR(MATCH(332,'كشف الحساب'!$N$4:$N$353,0),0))),"")</f>
        <v/>
      </c>
    </row>
    <row r="337" spans="1:11" ht="15" customHeight="1" x14ac:dyDescent="0.25">
      <c r="A337" s="63" t="str">
        <f>IFERROR(IF(IFERROR(MATCH(333,'كشف الحساب'!$N$4:$N$353,0),0)=0,"",INDEX('كشف الحساب'!$A$4:$A$353,IFERROR(MATCH(333,'كشف الحساب'!$N$4:$N$353,0),0))),"")</f>
        <v/>
      </c>
      <c r="B337" s="64" t="str">
        <f>IFERROR(IF(IFERROR(MATCH(333,'كشف الحساب'!$N$4:$N$353,0),0)=0,"",INDEX('كشف الحساب'!$B$4:$B$353,IFERROR(MATCH(333,'كشف الحساب'!$N$4:$N$353,0),0))),"")</f>
        <v/>
      </c>
      <c r="C337" s="65" t="str">
        <f>IFERROR(IF(IFERROR(MATCH(333,'كشف الحساب'!$N$4:$N$353,0),0)=0,"",INDEX('كشف الحساب'!$C$4:$C$353,IFERROR(MATCH(333,'كشف الحساب'!$N$4:$N$353,0),0))),"")</f>
        <v/>
      </c>
      <c r="D337" s="66" t="str">
        <f>IFERROR(IF(IFERROR(MATCH(333,'كشف الحساب'!$N$4:$N$353,0),0)=0,"",INDEX('كشف الحساب'!$D$4:$D$353,IFERROR(MATCH(333,'كشف الحساب'!$N$4:$N$353,0),0))),"")</f>
        <v/>
      </c>
      <c r="E337" s="67" t="str">
        <f>IFERROR(IF(IFERROR(MATCH(333,'كشف الحساب'!$N$4:$N$353,0),0)=0,"",INDEX('كشف الحساب'!$E$4:$E$353,IFERROR(MATCH(333,'كشف الحساب'!$N$4:$N$353,0),0))),"")</f>
        <v/>
      </c>
      <c r="F337" s="64" t="str">
        <f>IFERROR(IF(IFERROR(MATCH(333,'كشف الحساب'!$N$4:$N$353,0),0)=0,"",INDEX('كشف الحساب'!$F$4:$F$353,IFERROR(MATCH(333,'كشف الحساب'!$N$4:$N$353,0),0))),"")</f>
        <v/>
      </c>
      <c r="G337" s="64" t="str">
        <f>IFERROR(IF(IFERROR(MATCH(333,'كشف الحساب'!$N$4:$N$353,0),0)=0,"",INDEX('كشف الحساب'!$G$4:$G$353,IFERROR(MATCH(333,'كشف الحساب'!$N$4:$N$353,0),0))),"")</f>
        <v/>
      </c>
      <c r="H337" s="64" t="str">
        <f>IFERROR(IF(IFERROR(MATCH(333,'كشف الحساب'!$N$4:$N$353,0),0)=0,"",INDEX('كشف الحساب'!$H$4:$H$353,IFERROR(MATCH(333,'كشف الحساب'!$N$4:$N$353,0),0))),"")</f>
        <v/>
      </c>
      <c r="I337" s="64" t="str">
        <f>IFERROR(IF(IFERROR(MATCH(333,'كشف الحساب'!$N$4:$N$353,0),0)=0,"",INDEX('كشف الحساب'!$I$4:$I$353,IFERROR(MATCH(333,'كشف الحساب'!$N$4:$N$353,0),0))),"")</f>
        <v/>
      </c>
      <c r="J337" s="68" t="str">
        <f>IFERROR(IF(IFERROR(MATCH(333,'كشف الحساب'!$N$4:$N$353,0),0)=0,"",INDEX('كشف الحساب'!$J$4:$J$353,IFERROR(MATCH(333,'كشف الحساب'!$N$4:$N$353,0),0))),"")</f>
        <v/>
      </c>
      <c r="K337" s="64" t="str">
        <f>IFERROR(IF(IFERROR(MATCH(333,'كشف الحساب'!$N$4:$N$353,0),0)=0,"",INDEX('كشف الحساب'!$K$4:$K$353,IFERROR(MATCH(333,'كشف الحساب'!$N$4:$N$353,0),0))),"")</f>
        <v/>
      </c>
    </row>
    <row r="338" spans="1:11" ht="15" customHeight="1" x14ac:dyDescent="0.25">
      <c r="A338" s="69" t="str">
        <f>IFERROR(IF(IFERROR(MATCH(334,'كشف الحساب'!$N$4:$N$353,0),0)=0,"",INDEX('كشف الحساب'!$A$4:$A$353,IFERROR(MATCH(334,'كشف الحساب'!$N$4:$N$353,0),0))),"")</f>
        <v/>
      </c>
      <c r="B338" s="70" t="str">
        <f>IFERROR(IF(IFERROR(MATCH(334,'كشف الحساب'!$N$4:$N$353,0),0)=0,"",INDEX('كشف الحساب'!$B$4:$B$353,IFERROR(MATCH(334,'كشف الحساب'!$N$4:$N$353,0),0))),"")</f>
        <v/>
      </c>
      <c r="C338" s="71" t="str">
        <f>IFERROR(IF(IFERROR(MATCH(334,'كشف الحساب'!$N$4:$N$353,0),0)=0,"",INDEX('كشف الحساب'!$C$4:$C$353,IFERROR(MATCH(334,'كشف الحساب'!$N$4:$N$353,0),0))),"")</f>
        <v/>
      </c>
      <c r="D338" s="72" t="str">
        <f>IFERROR(IF(IFERROR(MATCH(334,'كشف الحساب'!$N$4:$N$353,0),0)=0,"",INDEX('كشف الحساب'!$D$4:$D$353,IFERROR(MATCH(334,'كشف الحساب'!$N$4:$N$353,0),0))),"")</f>
        <v/>
      </c>
      <c r="E338" s="73" t="str">
        <f>IFERROR(IF(IFERROR(MATCH(334,'كشف الحساب'!$N$4:$N$353,0),0)=0,"",INDEX('كشف الحساب'!$E$4:$E$353,IFERROR(MATCH(334,'كشف الحساب'!$N$4:$N$353,0),0))),"")</f>
        <v/>
      </c>
      <c r="F338" s="70" t="str">
        <f>IFERROR(IF(IFERROR(MATCH(334,'كشف الحساب'!$N$4:$N$353,0),0)=0,"",INDEX('كشف الحساب'!$F$4:$F$353,IFERROR(MATCH(334,'كشف الحساب'!$N$4:$N$353,0),0))),"")</f>
        <v/>
      </c>
      <c r="G338" s="70" t="str">
        <f>IFERROR(IF(IFERROR(MATCH(334,'كشف الحساب'!$N$4:$N$353,0),0)=0,"",INDEX('كشف الحساب'!$G$4:$G$353,IFERROR(MATCH(334,'كشف الحساب'!$N$4:$N$353,0),0))),"")</f>
        <v/>
      </c>
      <c r="H338" s="70" t="str">
        <f>IFERROR(IF(IFERROR(MATCH(334,'كشف الحساب'!$N$4:$N$353,0),0)=0,"",INDEX('كشف الحساب'!$H$4:$H$353,IFERROR(MATCH(334,'كشف الحساب'!$N$4:$N$353,0),0))),"")</f>
        <v/>
      </c>
      <c r="I338" s="70" t="str">
        <f>IFERROR(IF(IFERROR(MATCH(334,'كشف الحساب'!$N$4:$N$353,0),0)=0,"",INDEX('كشف الحساب'!$I$4:$I$353,IFERROR(MATCH(334,'كشف الحساب'!$N$4:$N$353,0),0))),"")</f>
        <v/>
      </c>
      <c r="J338" s="74" t="str">
        <f>IFERROR(IF(IFERROR(MATCH(334,'كشف الحساب'!$N$4:$N$353,0),0)=0,"",INDEX('كشف الحساب'!$J$4:$J$353,IFERROR(MATCH(334,'كشف الحساب'!$N$4:$N$353,0),0))),"")</f>
        <v/>
      </c>
      <c r="K338" s="70" t="str">
        <f>IFERROR(IF(IFERROR(MATCH(334,'كشف الحساب'!$N$4:$N$353,0),0)=0,"",INDEX('كشف الحساب'!$K$4:$K$353,IFERROR(MATCH(334,'كشف الحساب'!$N$4:$N$353,0),0))),"")</f>
        <v/>
      </c>
    </row>
    <row r="339" spans="1:11" ht="15" customHeight="1" x14ac:dyDescent="0.25">
      <c r="A339" s="63" t="str">
        <f>IFERROR(IF(IFERROR(MATCH(335,'كشف الحساب'!$N$4:$N$353,0),0)=0,"",INDEX('كشف الحساب'!$A$4:$A$353,IFERROR(MATCH(335,'كشف الحساب'!$N$4:$N$353,0),0))),"")</f>
        <v/>
      </c>
      <c r="B339" s="64" t="str">
        <f>IFERROR(IF(IFERROR(MATCH(335,'كشف الحساب'!$N$4:$N$353,0),0)=0,"",INDEX('كشف الحساب'!$B$4:$B$353,IFERROR(MATCH(335,'كشف الحساب'!$N$4:$N$353,0),0))),"")</f>
        <v/>
      </c>
      <c r="C339" s="65" t="str">
        <f>IFERROR(IF(IFERROR(MATCH(335,'كشف الحساب'!$N$4:$N$353,0),0)=0,"",INDEX('كشف الحساب'!$C$4:$C$353,IFERROR(MATCH(335,'كشف الحساب'!$N$4:$N$353,0),0))),"")</f>
        <v/>
      </c>
      <c r="D339" s="66" t="str">
        <f>IFERROR(IF(IFERROR(MATCH(335,'كشف الحساب'!$N$4:$N$353,0),0)=0,"",INDEX('كشف الحساب'!$D$4:$D$353,IFERROR(MATCH(335,'كشف الحساب'!$N$4:$N$353,0),0))),"")</f>
        <v/>
      </c>
      <c r="E339" s="67" t="str">
        <f>IFERROR(IF(IFERROR(MATCH(335,'كشف الحساب'!$N$4:$N$353,0),0)=0,"",INDEX('كشف الحساب'!$E$4:$E$353,IFERROR(MATCH(335,'كشف الحساب'!$N$4:$N$353,0),0))),"")</f>
        <v/>
      </c>
      <c r="F339" s="64" t="str">
        <f>IFERROR(IF(IFERROR(MATCH(335,'كشف الحساب'!$N$4:$N$353,0),0)=0,"",INDEX('كشف الحساب'!$F$4:$F$353,IFERROR(MATCH(335,'كشف الحساب'!$N$4:$N$353,0),0))),"")</f>
        <v/>
      </c>
      <c r="G339" s="64" t="str">
        <f>IFERROR(IF(IFERROR(MATCH(335,'كشف الحساب'!$N$4:$N$353,0),0)=0,"",INDEX('كشف الحساب'!$G$4:$G$353,IFERROR(MATCH(335,'كشف الحساب'!$N$4:$N$353,0),0))),"")</f>
        <v/>
      </c>
      <c r="H339" s="64" t="str">
        <f>IFERROR(IF(IFERROR(MATCH(335,'كشف الحساب'!$N$4:$N$353,0),0)=0,"",INDEX('كشف الحساب'!$H$4:$H$353,IFERROR(MATCH(335,'كشف الحساب'!$N$4:$N$353,0),0))),"")</f>
        <v/>
      </c>
      <c r="I339" s="64" t="str">
        <f>IFERROR(IF(IFERROR(MATCH(335,'كشف الحساب'!$N$4:$N$353,0),0)=0,"",INDEX('كشف الحساب'!$I$4:$I$353,IFERROR(MATCH(335,'كشف الحساب'!$N$4:$N$353,0),0))),"")</f>
        <v/>
      </c>
      <c r="J339" s="68" t="str">
        <f>IFERROR(IF(IFERROR(MATCH(335,'كشف الحساب'!$N$4:$N$353,0),0)=0,"",INDEX('كشف الحساب'!$J$4:$J$353,IFERROR(MATCH(335,'كشف الحساب'!$N$4:$N$353,0),0))),"")</f>
        <v/>
      </c>
      <c r="K339" s="64" t="str">
        <f>IFERROR(IF(IFERROR(MATCH(335,'كشف الحساب'!$N$4:$N$353,0),0)=0,"",INDEX('كشف الحساب'!$K$4:$K$353,IFERROR(MATCH(335,'كشف الحساب'!$N$4:$N$353,0),0))),"")</f>
        <v/>
      </c>
    </row>
    <row r="340" spans="1:11" ht="15" customHeight="1" x14ac:dyDescent="0.25">
      <c r="A340" s="69" t="str">
        <f>IFERROR(IF(IFERROR(MATCH(336,'كشف الحساب'!$N$4:$N$353,0),0)=0,"",INDEX('كشف الحساب'!$A$4:$A$353,IFERROR(MATCH(336,'كشف الحساب'!$N$4:$N$353,0),0))),"")</f>
        <v/>
      </c>
      <c r="B340" s="70" t="str">
        <f>IFERROR(IF(IFERROR(MATCH(336,'كشف الحساب'!$N$4:$N$353,0),0)=0,"",INDEX('كشف الحساب'!$B$4:$B$353,IFERROR(MATCH(336,'كشف الحساب'!$N$4:$N$353,0),0))),"")</f>
        <v/>
      </c>
      <c r="C340" s="71" t="str">
        <f>IFERROR(IF(IFERROR(MATCH(336,'كشف الحساب'!$N$4:$N$353,0),0)=0,"",INDEX('كشف الحساب'!$C$4:$C$353,IFERROR(MATCH(336,'كشف الحساب'!$N$4:$N$353,0),0))),"")</f>
        <v/>
      </c>
      <c r="D340" s="72" t="str">
        <f>IFERROR(IF(IFERROR(MATCH(336,'كشف الحساب'!$N$4:$N$353,0),0)=0,"",INDEX('كشف الحساب'!$D$4:$D$353,IFERROR(MATCH(336,'كشف الحساب'!$N$4:$N$353,0),0))),"")</f>
        <v/>
      </c>
      <c r="E340" s="73" t="str">
        <f>IFERROR(IF(IFERROR(MATCH(336,'كشف الحساب'!$N$4:$N$353,0),0)=0,"",INDEX('كشف الحساب'!$E$4:$E$353,IFERROR(MATCH(336,'كشف الحساب'!$N$4:$N$353,0),0))),"")</f>
        <v/>
      </c>
      <c r="F340" s="70" t="str">
        <f>IFERROR(IF(IFERROR(MATCH(336,'كشف الحساب'!$N$4:$N$353,0),0)=0,"",INDEX('كشف الحساب'!$F$4:$F$353,IFERROR(MATCH(336,'كشف الحساب'!$N$4:$N$353,0),0))),"")</f>
        <v/>
      </c>
      <c r="G340" s="70" t="str">
        <f>IFERROR(IF(IFERROR(MATCH(336,'كشف الحساب'!$N$4:$N$353,0),0)=0,"",INDEX('كشف الحساب'!$G$4:$G$353,IFERROR(MATCH(336,'كشف الحساب'!$N$4:$N$353,0),0))),"")</f>
        <v/>
      </c>
      <c r="H340" s="70" t="str">
        <f>IFERROR(IF(IFERROR(MATCH(336,'كشف الحساب'!$N$4:$N$353,0),0)=0,"",INDEX('كشف الحساب'!$H$4:$H$353,IFERROR(MATCH(336,'كشف الحساب'!$N$4:$N$353,0),0))),"")</f>
        <v/>
      </c>
      <c r="I340" s="70" t="str">
        <f>IFERROR(IF(IFERROR(MATCH(336,'كشف الحساب'!$N$4:$N$353,0),0)=0,"",INDEX('كشف الحساب'!$I$4:$I$353,IFERROR(MATCH(336,'كشف الحساب'!$N$4:$N$353,0),0))),"")</f>
        <v/>
      </c>
      <c r="J340" s="74" t="str">
        <f>IFERROR(IF(IFERROR(MATCH(336,'كشف الحساب'!$N$4:$N$353,0),0)=0,"",INDEX('كشف الحساب'!$J$4:$J$353,IFERROR(MATCH(336,'كشف الحساب'!$N$4:$N$353,0),0))),"")</f>
        <v/>
      </c>
      <c r="K340" s="70" t="str">
        <f>IFERROR(IF(IFERROR(MATCH(336,'كشف الحساب'!$N$4:$N$353,0),0)=0,"",INDEX('كشف الحساب'!$K$4:$K$353,IFERROR(MATCH(336,'كشف الحساب'!$N$4:$N$353,0),0))),"")</f>
        <v/>
      </c>
    </row>
    <row r="341" spans="1:11" ht="15" customHeight="1" x14ac:dyDescent="0.25">
      <c r="A341" s="63" t="str">
        <f>IFERROR(IF(IFERROR(MATCH(337,'كشف الحساب'!$N$4:$N$353,0),0)=0,"",INDEX('كشف الحساب'!$A$4:$A$353,IFERROR(MATCH(337,'كشف الحساب'!$N$4:$N$353,0),0))),"")</f>
        <v/>
      </c>
      <c r="B341" s="64" t="str">
        <f>IFERROR(IF(IFERROR(MATCH(337,'كشف الحساب'!$N$4:$N$353,0),0)=0,"",INDEX('كشف الحساب'!$B$4:$B$353,IFERROR(MATCH(337,'كشف الحساب'!$N$4:$N$353,0),0))),"")</f>
        <v/>
      </c>
      <c r="C341" s="65" t="str">
        <f>IFERROR(IF(IFERROR(MATCH(337,'كشف الحساب'!$N$4:$N$353,0),0)=0,"",INDEX('كشف الحساب'!$C$4:$C$353,IFERROR(MATCH(337,'كشف الحساب'!$N$4:$N$353,0),0))),"")</f>
        <v/>
      </c>
      <c r="D341" s="66" t="str">
        <f>IFERROR(IF(IFERROR(MATCH(337,'كشف الحساب'!$N$4:$N$353,0),0)=0,"",INDEX('كشف الحساب'!$D$4:$D$353,IFERROR(MATCH(337,'كشف الحساب'!$N$4:$N$353,0),0))),"")</f>
        <v/>
      </c>
      <c r="E341" s="67" t="str">
        <f>IFERROR(IF(IFERROR(MATCH(337,'كشف الحساب'!$N$4:$N$353,0),0)=0,"",INDEX('كشف الحساب'!$E$4:$E$353,IFERROR(MATCH(337,'كشف الحساب'!$N$4:$N$353,0),0))),"")</f>
        <v/>
      </c>
      <c r="F341" s="64" t="str">
        <f>IFERROR(IF(IFERROR(MATCH(337,'كشف الحساب'!$N$4:$N$353,0),0)=0,"",INDEX('كشف الحساب'!$F$4:$F$353,IFERROR(MATCH(337,'كشف الحساب'!$N$4:$N$353,0),0))),"")</f>
        <v/>
      </c>
      <c r="G341" s="64" t="str">
        <f>IFERROR(IF(IFERROR(MATCH(337,'كشف الحساب'!$N$4:$N$353,0),0)=0,"",INDEX('كشف الحساب'!$G$4:$G$353,IFERROR(MATCH(337,'كشف الحساب'!$N$4:$N$353,0),0))),"")</f>
        <v/>
      </c>
      <c r="H341" s="64" t="str">
        <f>IFERROR(IF(IFERROR(MATCH(337,'كشف الحساب'!$N$4:$N$353,0),0)=0,"",INDEX('كشف الحساب'!$H$4:$H$353,IFERROR(MATCH(337,'كشف الحساب'!$N$4:$N$353,0),0))),"")</f>
        <v/>
      </c>
      <c r="I341" s="64" t="str">
        <f>IFERROR(IF(IFERROR(MATCH(337,'كشف الحساب'!$N$4:$N$353,0),0)=0,"",INDEX('كشف الحساب'!$I$4:$I$353,IFERROR(MATCH(337,'كشف الحساب'!$N$4:$N$353,0),0))),"")</f>
        <v/>
      </c>
      <c r="J341" s="68" t="str">
        <f>IFERROR(IF(IFERROR(MATCH(337,'كشف الحساب'!$N$4:$N$353,0),0)=0,"",INDEX('كشف الحساب'!$J$4:$J$353,IFERROR(MATCH(337,'كشف الحساب'!$N$4:$N$353,0),0))),"")</f>
        <v/>
      </c>
      <c r="K341" s="64" t="str">
        <f>IFERROR(IF(IFERROR(MATCH(337,'كشف الحساب'!$N$4:$N$353,0),0)=0,"",INDEX('كشف الحساب'!$K$4:$K$353,IFERROR(MATCH(337,'كشف الحساب'!$N$4:$N$353,0),0))),"")</f>
        <v/>
      </c>
    </row>
    <row r="342" spans="1:11" ht="15" customHeight="1" x14ac:dyDescent="0.25">
      <c r="A342" s="69" t="str">
        <f>IFERROR(IF(IFERROR(MATCH(338,'كشف الحساب'!$N$4:$N$353,0),0)=0,"",INDEX('كشف الحساب'!$A$4:$A$353,IFERROR(MATCH(338,'كشف الحساب'!$N$4:$N$353,0),0))),"")</f>
        <v/>
      </c>
      <c r="B342" s="70" t="str">
        <f>IFERROR(IF(IFERROR(MATCH(338,'كشف الحساب'!$N$4:$N$353,0),0)=0,"",INDEX('كشف الحساب'!$B$4:$B$353,IFERROR(MATCH(338,'كشف الحساب'!$N$4:$N$353,0),0))),"")</f>
        <v/>
      </c>
      <c r="C342" s="71" t="str">
        <f>IFERROR(IF(IFERROR(MATCH(338,'كشف الحساب'!$N$4:$N$353,0),0)=0,"",INDEX('كشف الحساب'!$C$4:$C$353,IFERROR(MATCH(338,'كشف الحساب'!$N$4:$N$353,0),0))),"")</f>
        <v/>
      </c>
      <c r="D342" s="72" t="str">
        <f>IFERROR(IF(IFERROR(MATCH(338,'كشف الحساب'!$N$4:$N$353,0),0)=0,"",INDEX('كشف الحساب'!$D$4:$D$353,IFERROR(MATCH(338,'كشف الحساب'!$N$4:$N$353,0),0))),"")</f>
        <v/>
      </c>
      <c r="E342" s="73" t="str">
        <f>IFERROR(IF(IFERROR(MATCH(338,'كشف الحساب'!$N$4:$N$353,0),0)=0,"",INDEX('كشف الحساب'!$E$4:$E$353,IFERROR(MATCH(338,'كشف الحساب'!$N$4:$N$353,0),0))),"")</f>
        <v/>
      </c>
      <c r="F342" s="70" t="str">
        <f>IFERROR(IF(IFERROR(MATCH(338,'كشف الحساب'!$N$4:$N$353,0),0)=0,"",INDEX('كشف الحساب'!$F$4:$F$353,IFERROR(MATCH(338,'كشف الحساب'!$N$4:$N$353,0),0))),"")</f>
        <v/>
      </c>
      <c r="G342" s="70" t="str">
        <f>IFERROR(IF(IFERROR(MATCH(338,'كشف الحساب'!$N$4:$N$353,0),0)=0,"",INDEX('كشف الحساب'!$G$4:$G$353,IFERROR(MATCH(338,'كشف الحساب'!$N$4:$N$353,0),0))),"")</f>
        <v/>
      </c>
      <c r="H342" s="70" t="str">
        <f>IFERROR(IF(IFERROR(MATCH(338,'كشف الحساب'!$N$4:$N$353,0),0)=0,"",INDEX('كشف الحساب'!$H$4:$H$353,IFERROR(MATCH(338,'كشف الحساب'!$N$4:$N$353,0),0))),"")</f>
        <v/>
      </c>
      <c r="I342" s="70" t="str">
        <f>IFERROR(IF(IFERROR(MATCH(338,'كشف الحساب'!$N$4:$N$353,0),0)=0,"",INDEX('كشف الحساب'!$I$4:$I$353,IFERROR(MATCH(338,'كشف الحساب'!$N$4:$N$353,0),0))),"")</f>
        <v/>
      </c>
      <c r="J342" s="74" t="str">
        <f>IFERROR(IF(IFERROR(MATCH(338,'كشف الحساب'!$N$4:$N$353,0),0)=0,"",INDEX('كشف الحساب'!$J$4:$J$353,IFERROR(MATCH(338,'كشف الحساب'!$N$4:$N$353,0),0))),"")</f>
        <v/>
      </c>
      <c r="K342" s="70" t="str">
        <f>IFERROR(IF(IFERROR(MATCH(338,'كشف الحساب'!$N$4:$N$353,0),0)=0,"",INDEX('كشف الحساب'!$K$4:$K$353,IFERROR(MATCH(338,'كشف الحساب'!$N$4:$N$353,0),0))),"")</f>
        <v/>
      </c>
    </row>
    <row r="343" spans="1:11" ht="15" customHeight="1" x14ac:dyDescent="0.25">
      <c r="A343" s="63" t="str">
        <f>IFERROR(IF(IFERROR(MATCH(339,'كشف الحساب'!$N$4:$N$353,0),0)=0,"",INDEX('كشف الحساب'!$A$4:$A$353,IFERROR(MATCH(339,'كشف الحساب'!$N$4:$N$353,0),0))),"")</f>
        <v/>
      </c>
      <c r="B343" s="64" t="str">
        <f>IFERROR(IF(IFERROR(MATCH(339,'كشف الحساب'!$N$4:$N$353,0),0)=0,"",INDEX('كشف الحساب'!$B$4:$B$353,IFERROR(MATCH(339,'كشف الحساب'!$N$4:$N$353,0),0))),"")</f>
        <v/>
      </c>
      <c r="C343" s="65" t="str">
        <f>IFERROR(IF(IFERROR(MATCH(339,'كشف الحساب'!$N$4:$N$353,0),0)=0,"",INDEX('كشف الحساب'!$C$4:$C$353,IFERROR(MATCH(339,'كشف الحساب'!$N$4:$N$353,0),0))),"")</f>
        <v/>
      </c>
      <c r="D343" s="66" t="str">
        <f>IFERROR(IF(IFERROR(MATCH(339,'كشف الحساب'!$N$4:$N$353,0),0)=0,"",INDEX('كشف الحساب'!$D$4:$D$353,IFERROR(MATCH(339,'كشف الحساب'!$N$4:$N$353,0),0))),"")</f>
        <v/>
      </c>
      <c r="E343" s="67" t="str">
        <f>IFERROR(IF(IFERROR(MATCH(339,'كشف الحساب'!$N$4:$N$353,0),0)=0,"",INDEX('كشف الحساب'!$E$4:$E$353,IFERROR(MATCH(339,'كشف الحساب'!$N$4:$N$353,0),0))),"")</f>
        <v/>
      </c>
      <c r="F343" s="64" t="str">
        <f>IFERROR(IF(IFERROR(MATCH(339,'كشف الحساب'!$N$4:$N$353,0),0)=0,"",INDEX('كشف الحساب'!$F$4:$F$353,IFERROR(MATCH(339,'كشف الحساب'!$N$4:$N$353,0),0))),"")</f>
        <v/>
      </c>
      <c r="G343" s="64" t="str">
        <f>IFERROR(IF(IFERROR(MATCH(339,'كشف الحساب'!$N$4:$N$353,0),0)=0,"",INDEX('كشف الحساب'!$G$4:$G$353,IFERROR(MATCH(339,'كشف الحساب'!$N$4:$N$353,0),0))),"")</f>
        <v/>
      </c>
      <c r="H343" s="64" t="str">
        <f>IFERROR(IF(IFERROR(MATCH(339,'كشف الحساب'!$N$4:$N$353,0),0)=0,"",INDEX('كشف الحساب'!$H$4:$H$353,IFERROR(MATCH(339,'كشف الحساب'!$N$4:$N$353,0),0))),"")</f>
        <v/>
      </c>
      <c r="I343" s="64" t="str">
        <f>IFERROR(IF(IFERROR(MATCH(339,'كشف الحساب'!$N$4:$N$353,0),0)=0,"",INDEX('كشف الحساب'!$I$4:$I$353,IFERROR(MATCH(339,'كشف الحساب'!$N$4:$N$353,0),0))),"")</f>
        <v/>
      </c>
      <c r="J343" s="68" t="str">
        <f>IFERROR(IF(IFERROR(MATCH(339,'كشف الحساب'!$N$4:$N$353,0),0)=0,"",INDEX('كشف الحساب'!$J$4:$J$353,IFERROR(MATCH(339,'كشف الحساب'!$N$4:$N$353,0),0))),"")</f>
        <v/>
      </c>
      <c r="K343" s="64" t="str">
        <f>IFERROR(IF(IFERROR(MATCH(339,'كشف الحساب'!$N$4:$N$353,0),0)=0,"",INDEX('كشف الحساب'!$K$4:$K$353,IFERROR(MATCH(339,'كشف الحساب'!$N$4:$N$353,0),0))),"")</f>
        <v/>
      </c>
    </row>
    <row r="344" spans="1:11" ht="15" customHeight="1" x14ac:dyDescent="0.25">
      <c r="A344" s="69" t="str">
        <f>IFERROR(IF(IFERROR(MATCH(340,'كشف الحساب'!$N$4:$N$353,0),0)=0,"",INDEX('كشف الحساب'!$A$4:$A$353,IFERROR(MATCH(340,'كشف الحساب'!$N$4:$N$353,0),0))),"")</f>
        <v/>
      </c>
      <c r="B344" s="70" t="str">
        <f>IFERROR(IF(IFERROR(MATCH(340,'كشف الحساب'!$N$4:$N$353,0),0)=0,"",INDEX('كشف الحساب'!$B$4:$B$353,IFERROR(MATCH(340,'كشف الحساب'!$N$4:$N$353,0),0))),"")</f>
        <v/>
      </c>
      <c r="C344" s="71" t="str">
        <f>IFERROR(IF(IFERROR(MATCH(340,'كشف الحساب'!$N$4:$N$353,0),0)=0,"",INDEX('كشف الحساب'!$C$4:$C$353,IFERROR(MATCH(340,'كشف الحساب'!$N$4:$N$353,0),0))),"")</f>
        <v/>
      </c>
      <c r="D344" s="72" t="str">
        <f>IFERROR(IF(IFERROR(MATCH(340,'كشف الحساب'!$N$4:$N$353,0),0)=0,"",INDEX('كشف الحساب'!$D$4:$D$353,IFERROR(MATCH(340,'كشف الحساب'!$N$4:$N$353,0),0))),"")</f>
        <v/>
      </c>
      <c r="E344" s="73" t="str">
        <f>IFERROR(IF(IFERROR(MATCH(340,'كشف الحساب'!$N$4:$N$353,0),0)=0,"",INDEX('كشف الحساب'!$E$4:$E$353,IFERROR(MATCH(340,'كشف الحساب'!$N$4:$N$353,0),0))),"")</f>
        <v/>
      </c>
      <c r="F344" s="70" t="str">
        <f>IFERROR(IF(IFERROR(MATCH(340,'كشف الحساب'!$N$4:$N$353,0),0)=0,"",INDEX('كشف الحساب'!$F$4:$F$353,IFERROR(MATCH(340,'كشف الحساب'!$N$4:$N$353,0),0))),"")</f>
        <v/>
      </c>
      <c r="G344" s="70" t="str">
        <f>IFERROR(IF(IFERROR(MATCH(340,'كشف الحساب'!$N$4:$N$353,0),0)=0,"",INDEX('كشف الحساب'!$G$4:$G$353,IFERROR(MATCH(340,'كشف الحساب'!$N$4:$N$353,0),0))),"")</f>
        <v/>
      </c>
      <c r="H344" s="70" t="str">
        <f>IFERROR(IF(IFERROR(MATCH(340,'كشف الحساب'!$N$4:$N$353,0),0)=0,"",INDEX('كشف الحساب'!$H$4:$H$353,IFERROR(MATCH(340,'كشف الحساب'!$N$4:$N$353,0),0))),"")</f>
        <v/>
      </c>
      <c r="I344" s="70" t="str">
        <f>IFERROR(IF(IFERROR(MATCH(340,'كشف الحساب'!$N$4:$N$353,0),0)=0,"",INDEX('كشف الحساب'!$I$4:$I$353,IFERROR(MATCH(340,'كشف الحساب'!$N$4:$N$353,0),0))),"")</f>
        <v/>
      </c>
      <c r="J344" s="74" t="str">
        <f>IFERROR(IF(IFERROR(MATCH(340,'كشف الحساب'!$N$4:$N$353,0),0)=0,"",INDEX('كشف الحساب'!$J$4:$J$353,IFERROR(MATCH(340,'كشف الحساب'!$N$4:$N$353,0),0))),"")</f>
        <v/>
      </c>
      <c r="K344" s="70" t="str">
        <f>IFERROR(IF(IFERROR(MATCH(340,'كشف الحساب'!$N$4:$N$353,0),0)=0,"",INDEX('كشف الحساب'!$K$4:$K$353,IFERROR(MATCH(340,'كشف الحساب'!$N$4:$N$353,0),0))),"")</f>
        <v/>
      </c>
    </row>
    <row r="345" spans="1:11" ht="15" customHeight="1" x14ac:dyDescent="0.25">
      <c r="A345" s="63" t="str">
        <f>IFERROR(IF(IFERROR(MATCH(341,'كشف الحساب'!$N$4:$N$353,0),0)=0,"",INDEX('كشف الحساب'!$A$4:$A$353,IFERROR(MATCH(341,'كشف الحساب'!$N$4:$N$353,0),0))),"")</f>
        <v/>
      </c>
      <c r="B345" s="64" t="str">
        <f>IFERROR(IF(IFERROR(MATCH(341,'كشف الحساب'!$N$4:$N$353,0),0)=0,"",INDEX('كشف الحساب'!$B$4:$B$353,IFERROR(MATCH(341,'كشف الحساب'!$N$4:$N$353,0),0))),"")</f>
        <v/>
      </c>
      <c r="C345" s="65" t="str">
        <f>IFERROR(IF(IFERROR(MATCH(341,'كشف الحساب'!$N$4:$N$353,0),0)=0,"",INDEX('كشف الحساب'!$C$4:$C$353,IFERROR(MATCH(341,'كشف الحساب'!$N$4:$N$353,0),0))),"")</f>
        <v/>
      </c>
      <c r="D345" s="66" t="str">
        <f>IFERROR(IF(IFERROR(MATCH(341,'كشف الحساب'!$N$4:$N$353,0),0)=0,"",INDEX('كشف الحساب'!$D$4:$D$353,IFERROR(MATCH(341,'كشف الحساب'!$N$4:$N$353,0),0))),"")</f>
        <v/>
      </c>
      <c r="E345" s="67" t="str">
        <f>IFERROR(IF(IFERROR(MATCH(341,'كشف الحساب'!$N$4:$N$353,0),0)=0,"",INDEX('كشف الحساب'!$E$4:$E$353,IFERROR(MATCH(341,'كشف الحساب'!$N$4:$N$353,0),0))),"")</f>
        <v/>
      </c>
      <c r="F345" s="64" t="str">
        <f>IFERROR(IF(IFERROR(MATCH(341,'كشف الحساب'!$N$4:$N$353,0),0)=0,"",INDEX('كشف الحساب'!$F$4:$F$353,IFERROR(MATCH(341,'كشف الحساب'!$N$4:$N$353,0),0))),"")</f>
        <v/>
      </c>
      <c r="G345" s="64" t="str">
        <f>IFERROR(IF(IFERROR(MATCH(341,'كشف الحساب'!$N$4:$N$353,0),0)=0,"",INDEX('كشف الحساب'!$G$4:$G$353,IFERROR(MATCH(341,'كشف الحساب'!$N$4:$N$353,0),0))),"")</f>
        <v/>
      </c>
      <c r="H345" s="64" t="str">
        <f>IFERROR(IF(IFERROR(MATCH(341,'كشف الحساب'!$N$4:$N$353,0),0)=0,"",INDEX('كشف الحساب'!$H$4:$H$353,IFERROR(MATCH(341,'كشف الحساب'!$N$4:$N$353,0),0))),"")</f>
        <v/>
      </c>
      <c r="I345" s="64" t="str">
        <f>IFERROR(IF(IFERROR(MATCH(341,'كشف الحساب'!$N$4:$N$353,0),0)=0,"",INDEX('كشف الحساب'!$I$4:$I$353,IFERROR(MATCH(341,'كشف الحساب'!$N$4:$N$353,0),0))),"")</f>
        <v/>
      </c>
      <c r="J345" s="68" t="str">
        <f>IFERROR(IF(IFERROR(MATCH(341,'كشف الحساب'!$N$4:$N$353,0),0)=0,"",INDEX('كشف الحساب'!$J$4:$J$353,IFERROR(MATCH(341,'كشف الحساب'!$N$4:$N$353,0),0))),"")</f>
        <v/>
      </c>
      <c r="K345" s="64" t="str">
        <f>IFERROR(IF(IFERROR(MATCH(341,'كشف الحساب'!$N$4:$N$353,0),0)=0,"",INDEX('كشف الحساب'!$K$4:$K$353,IFERROR(MATCH(341,'كشف الحساب'!$N$4:$N$353,0),0))),"")</f>
        <v/>
      </c>
    </row>
    <row r="346" spans="1:11" ht="15" customHeight="1" x14ac:dyDescent="0.25">
      <c r="A346" s="69" t="str">
        <f>IFERROR(IF(IFERROR(MATCH(342,'كشف الحساب'!$N$4:$N$353,0),0)=0,"",INDEX('كشف الحساب'!$A$4:$A$353,IFERROR(MATCH(342,'كشف الحساب'!$N$4:$N$353,0),0))),"")</f>
        <v/>
      </c>
      <c r="B346" s="70" t="str">
        <f>IFERROR(IF(IFERROR(MATCH(342,'كشف الحساب'!$N$4:$N$353,0),0)=0,"",INDEX('كشف الحساب'!$B$4:$B$353,IFERROR(MATCH(342,'كشف الحساب'!$N$4:$N$353,0),0))),"")</f>
        <v/>
      </c>
      <c r="C346" s="71" t="str">
        <f>IFERROR(IF(IFERROR(MATCH(342,'كشف الحساب'!$N$4:$N$353,0),0)=0,"",INDEX('كشف الحساب'!$C$4:$C$353,IFERROR(MATCH(342,'كشف الحساب'!$N$4:$N$353,0),0))),"")</f>
        <v/>
      </c>
      <c r="D346" s="72" t="str">
        <f>IFERROR(IF(IFERROR(MATCH(342,'كشف الحساب'!$N$4:$N$353,0),0)=0,"",INDEX('كشف الحساب'!$D$4:$D$353,IFERROR(MATCH(342,'كشف الحساب'!$N$4:$N$353,0),0))),"")</f>
        <v/>
      </c>
      <c r="E346" s="73" t="str">
        <f>IFERROR(IF(IFERROR(MATCH(342,'كشف الحساب'!$N$4:$N$353,0),0)=0,"",INDEX('كشف الحساب'!$E$4:$E$353,IFERROR(MATCH(342,'كشف الحساب'!$N$4:$N$353,0),0))),"")</f>
        <v/>
      </c>
      <c r="F346" s="70" t="str">
        <f>IFERROR(IF(IFERROR(MATCH(342,'كشف الحساب'!$N$4:$N$353,0),0)=0,"",INDEX('كشف الحساب'!$F$4:$F$353,IFERROR(MATCH(342,'كشف الحساب'!$N$4:$N$353,0),0))),"")</f>
        <v/>
      </c>
      <c r="G346" s="70" t="str">
        <f>IFERROR(IF(IFERROR(MATCH(342,'كشف الحساب'!$N$4:$N$353,0),0)=0,"",INDEX('كشف الحساب'!$G$4:$G$353,IFERROR(MATCH(342,'كشف الحساب'!$N$4:$N$353,0),0))),"")</f>
        <v/>
      </c>
      <c r="H346" s="70" t="str">
        <f>IFERROR(IF(IFERROR(MATCH(342,'كشف الحساب'!$N$4:$N$353,0),0)=0,"",INDEX('كشف الحساب'!$H$4:$H$353,IFERROR(MATCH(342,'كشف الحساب'!$N$4:$N$353,0),0))),"")</f>
        <v/>
      </c>
      <c r="I346" s="70" t="str">
        <f>IFERROR(IF(IFERROR(MATCH(342,'كشف الحساب'!$N$4:$N$353,0),0)=0,"",INDEX('كشف الحساب'!$I$4:$I$353,IFERROR(MATCH(342,'كشف الحساب'!$N$4:$N$353,0),0))),"")</f>
        <v/>
      </c>
      <c r="J346" s="74" t="str">
        <f>IFERROR(IF(IFERROR(MATCH(342,'كشف الحساب'!$N$4:$N$353,0),0)=0,"",INDEX('كشف الحساب'!$J$4:$J$353,IFERROR(MATCH(342,'كشف الحساب'!$N$4:$N$353,0),0))),"")</f>
        <v/>
      </c>
      <c r="K346" s="70" t="str">
        <f>IFERROR(IF(IFERROR(MATCH(342,'كشف الحساب'!$N$4:$N$353,0),0)=0,"",INDEX('كشف الحساب'!$K$4:$K$353,IFERROR(MATCH(342,'كشف الحساب'!$N$4:$N$353,0),0))),"")</f>
        <v/>
      </c>
    </row>
    <row r="347" spans="1:11" ht="15" customHeight="1" x14ac:dyDescent="0.25">
      <c r="A347" s="63" t="str">
        <f>IFERROR(IF(IFERROR(MATCH(343,'كشف الحساب'!$N$4:$N$353,0),0)=0,"",INDEX('كشف الحساب'!$A$4:$A$353,IFERROR(MATCH(343,'كشف الحساب'!$N$4:$N$353,0),0))),"")</f>
        <v/>
      </c>
      <c r="B347" s="64" t="str">
        <f>IFERROR(IF(IFERROR(MATCH(343,'كشف الحساب'!$N$4:$N$353,0),0)=0,"",INDEX('كشف الحساب'!$B$4:$B$353,IFERROR(MATCH(343,'كشف الحساب'!$N$4:$N$353,0),0))),"")</f>
        <v/>
      </c>
      <c r="C347" s="65" t="str">
        <f>IFERROR(IF(IFERROR(MATCH(343,'كشف الحساب'!$N$4:$N$353,0),0)=0,"",INDEX('كشف الحساب'!$C$4:$C$353,IFERROR(MATCH(343,'كشف الحساب'!$N$4:$N$353,0),0))),"")</f>
        <v/>
      </c>
      <c r="D347" s="66" t="str">
        <f>IFERROR(IF(IFERROR(MATCH(343,'كشف الحساب'!$N$4:$N$353,0),0)=0,"",INDEX('كشف الحساب'!$D$4:$D$353,IFERROR(MATCH(343,'كشف الحساب'!$N$4:$N$353,0),0))),"")</f>
        <v/>
      </c>
      <c r="E347" s="67" t="str">
        <f>IFERROR(IF(IFERROR(MATCH(343,'كشف الحساب'!$N$4:$N$353,0),0)=0,"",INDEX('كشف الحساب'!$E$4:$E$353,IFERROR(MATCH(343,'كشف الحساب'!$N$4:$N$353,0),0))),"")</f>
        <v/>
      </c>
      <c r="F347" s="64" t="str">
        <f>IFERROR(IF(IFERROR(MATCH(343,'كشف الحساب'!$N$4:$N$353,0),0)=0,"",INDEX('كشف الحساب'!$F$4:$F$353,IFERROR(MATCH(343,'كشف الحساب'!$N$4:$N$353,0),0))),"")</f>
        <v/>
      </c>
      <c r="G347" s="64" t="str">
        <f>IFERROR(IF(IFERROR(MATCH(343,'كشف الحساب'!$N$4:$N$353,0),0)=0,"",INDEX('كشف الحساب'!$G$4:$G$353,IFERROR(MATCH(343,'كشف الحساب'!$N$4:$N$353,0),0))),"")</f>
        <v/>
      </c>
      <c r="H347" s="64" t="str">
        <f>IFERROR(IF(IFERROR(MATCH(343,'كشف الحساب'!$N$4:$N$353,0),0)=0,"",INDEX('كشف الحساب'!$H$4:$H$353,IFERROR(MATCH(343,'كشف الحساب'!$N$4:$N$353,0),0))),"")</f>
        <v/>
      </c>
      <c r="I347" s="64" t="str">
        <f>IFERROR(IF(IFERROR(MATCH(343,'كشف الحساب'!$N$4:$N$353,0),0)=0,"",INDEX('كشف الحساب'!$I$4:$I$353,IFERROR(MATCH(343,'كشف الحساب'!$N$4:$N$353,0),0))),"")</f>
        <v/>
      </c>
      <c r="J347" s="68" t="str">
        <f>IFERROR(IF(IFERROR(MATCH(343,'كشف الحساب'!$N$4:$N$353,0),0)=0,"",INDEX('كشف الحساب'!$J$4:$J$353,IFERROR(MATCH(343,'كشف الحساب'!$N$4:$N$353,0),0))),"")</f>
        <v/>
      </c>
      <c r="K347" s="64" t="str">
        <f>IFERROR(IF(IFERROR(MATCH(343,'كشف الحساب'!$N$4:$N$353,0),0)=0,"",INDEX('كشف الحساب'!$K$4:$K$353,IFERROR(MATCH(343,'كشف الحساب'!$N$4:$N$353,0),0))),"")</f>
        <v/>
      </c>
    </row>
    <row r="348" spans="1:11" ht="15" customHeight="1" x14ac:dyDescent="0.25">
      <c r="A348" s="69" t="str">
        <f>IFERROR(IF(IFERROR(MATCH(344,'كشف الحساب'!$N$4:$N$353,0),0)=0,"",INDEX('كشف الحساب'!$A$4:$A$353,IFERROR(MATCH(344,'كشف الحساب'!$N$4:$N$353,0),0))),"")</f>
        <v/>
      </c>
      <c r="B348" s="70" t="str">
        <f>IFERROR(IF(IFERROR(MATCH(344,'كشف الحساب'!$N$4:$N$353,0),0)=0,"",INDEX('كشف الحساب'!$B$4:$B$353,IFERROR(MATCH(344,'كشف الحساب'!$N$4:$N$353,0),0))),"")</f>
        <v/>
      </c>
      <c r="C348" s="71" t="str">
        <f>IFERROR(IF(IFERROR(MATCH(344,'كشف الحساب'!$N$4:$N$353,0),0)=0,"",INDEX('كشف الحساب'!$C$4:$C$353,IFERROR(MATCH(344,'كشف الحساب'!$N$4:$N$353,0),0))),"")</f>
        <v/>
      </c>
      <c r="D348" s="72" t="str">
        <f>IFERROR(IF(IFERROR(MATCH(344,'كشف الحساب'!$N$4:$N$353,0),0)=0,"",INDEX('كشف الحساب'!$D$4:$D$353,IFERROR(MATCH(344,'كشف الحساب'!$N$4:$N$353,0),0))),"")</f>
        <v/>
      </c>
      <c r="E348" s="73" t="str">
        <f>IFERROR(IF(IFERROR(MATCH(344,'كشف الحساب'!$N$4:$N$353,0),0)=0,"",INDEX('كشف الحساب'!$E$4:$E$353,IFERROR(MATCH(344,'كشف الحساب'!$N$4:$N$353,0),0))),"")</f>
        <v/>
      </c>
      <c r="F348" s="70" t="str">
        <f>IFERROR(IF(IFERROR(MATCH(344,'كشف الحساب'!$N$4:$N$353,0),0)=0,"",INDEX('كشف الحساب'!$F$4:$F$353,IFERROR(MATCH(344,'كشف الحساب'!$N$4:$N$353,0),0))),"")</f>
        <v/>
      </c>
      <c r="G348" s="70" t="str">
        <f>IFERROR(IF(IFERROR(MATCH(344,'كشف الحساب'!$N$4:$N$353,0),0)=0,"",INDEX('كشف الحساب'!$G$4:$G$353,IFERROR(MATCH(344,'كشف الحساب'!$N$4:$N$353,0),0))),"")</f>
        <v/>
      </c>
      <c r="H348" s="70" t="str">
        <f>IFERROR(IF(IFERROR(MATCH(344,'كشف الحساب'!$N$4:$N$353,0),0)=0,"",INDEX('كشف الحساب'!$H$4:$H$353,IFERROR(MATCH(344,'كشف الحساب'!$N$4:$N$353,0),0))),"")</f>
        <v/>
      </c>
      <c r="I348" s="70" t="str">
        <f>IFERROR(IF(IFERROR(MATCH(344,'كشف الحساب'!$N$4:$N$353,0),0)=0,"",INDEX('كشف الحساب'!$I$4:$I$353,IFERROR(MATCH(344,'كشف الحساب'!$N$4:$N$353,0),0))),"")</f>
        <v/>
      </c>
      <c r="J348" s="74" t="str">
        <f>IFERROR(IF(IFERROR(MATCH(344,'كشف الحساب'!$N$4:$N$353,0),0)=0,"",INDEX('كشف الحساب'!$J$4:$J$353,IFERROR(MATCH(344,'كشف الحساب'!$N$4:$N$353,0),0))),"")</f>
        <v/>
      </c>
      <c r="K348" s="70" t="str">
        <f>IFERROR(IF(IFERROR(MATCH(344,'كشف الحساب'!$N$4:$N$353,0),0)=0,"",INDEX('كشف الحساب'!$K$4:$K$353,IFERROR(MATCH(344,'كشف الحساب'!$N$4:$N$353,0),0))),"")</f>
        <v/>
      </c>
    </row>
    <row r="349" spans="1:11" ht="15" customHeight="1" x14ac:dyDescent="0.25">
      <c r="A349" s="63" t="str">
        <f>IFERROR(IF(IFERROR(MATCH(345,'كشف الحساب'!$N$4:$N$353,0),0)=0,"",INDEX('كشف الحساب'!$A$4:$A$353,IFERROR(MATCH(345,'كشف الحساب'!$N$4:$N$353,0),0))),"")</f>
        <v/>
      </c>
      <c r="B349" s="64" t="str">
        <f>IFERROR(IF(IFERROR(MATCH(345,'كشف الحساب'!$N$4:$N$353,0),0)=0,"",INDEX('كشف الحساب'!$B$4:$B$353,IFERROR(MATCH(345,'كشف الحساب'!$N$4:$N$353,0),0))),"")</f>
        <v/>
      </c>
      <c r="C349" s="65" t="str">
        <f>IFERROR(IF(IFERROR(MATCH(345,'كشف الحساب'!$N$4:$N$353,0),0)=0,"",INDEX('كشف الحساب'!$C$4:$C$353,IFERROR(MATCH(345,'كشف الحساب'!$N$4:$N$353,0),0))),"")</f>
        <v/>
      </c>
      <c r="D349" s="66" t="str">
        <f>IFERROR(IF(IFERROR(MATCH(345,'كشف الحساب'!$N$4:$N$353,0),0)=0,"",INDEX('كشف الحساب'!$D$4:$D$353,IFERROR(MATCH(345,'كشف الحساب'!$N$4:$N$353,0),0))),"")</f>
        <v/>
      </c>
      <c r="E349" s="67" t="str">
        <f>IFERROR(IF(IFERROR(MATCH(345,'كشف الحساب'!$N$4:$N$353,0),0)=0,"",INDEX('كشف الحساب'!$E$4:$E$353,IFERROR(MATCH(345,'كشف الحساب'!$N$4:$N$353,0),0))),"")</f>
        <v/>
      </c>
      <c r="F349" s="64" t="str">
        <f>IFERROR(IF(IFERROR(MATCH(345,'كشف الحساب'!$N$4:$N$353,0),0)=0,"",INDEX('كشف الحساب'!$F$4:$F$353,IFERROR(MATCH(345,'كشف الحساب'!$N$4:$N$353,0),0))),"")</f>
        <v/>
      </c>
      <c r="G349" s="64" t="str">
        <f>IFERROR(IF(IFERROR(MATCH(345,'كشف الحساب'!$N$4:$N$353,0),0)=0,"",INDEX('كشف الحساب'!$G$4:$G$353,IFERROR(MATCH(345,'كشف الحساب'!$N$4:$N$353,0),0))),"")</f>
        <v/>
      </c>
      <c r="H349" s="64" t="str">
        <f>IFERROR(IF(IFERROR(MATCH(345,'كشف الحساب'!$N$4:$N$353,0),0)=0,"",INDEX('كشف الحساب'!$H$4:$H$353,IFERROR(MATCH(345,'كشف الحساب'!$N$4:$N$353,0),0))),"")</f>
        <v/>
      </c>
      <c r="I349" s="64" t="str">
        <f>IFERROR(IF(IFERROR(MATCH(345,'كشف الحساب'!$N$4:$N$353,0),0)=0,"",INDEX('كشف الحساب'!$I$4:$I$353,IFERROR(MATCH(345,'كشف الحساب'!$N$4:$N$353,0),0))),"")</f>
        <v/>
      </c>
      <c r="J349" s="68" t="str">
        <f>IFERROR(IF(IFERROR(MATCH(345,'كشف الحساب'!$N$4:$N$353,0),0)=0,"",INDEX('كشف الحساب'!$J$4:$J$353,IFERROR(MATCH(345,'كشف الحساب'!$N$4:$N$353,0),0))),"")</f>
        <v/>
      </c>
      <c r="K349" s="64" t="str">
        <f>IFERROR(IF(IFERROR(MATCH(345,'كشف الحساب'!$N$4:$N$353,0),0)=0,"",INDEX('كشف الحساب'!$K$4:$K$353,IFERROR(MATCH(345,'كشف الحساب'!$N$4:$N$353,0),0))),"")</f>
        <v/>
      </c>
    </row>
    <row r="350" spans="1:11" ht="15" customHeight="1" x14ac:dyDescent="0.25">
      <c r="A350" s="69" t="str">
        <f>IFERROR(IF(IFERROR(MATCH(346,'كشف الحساب'!$N$4:$N$353,0),0)=0,"",INDEX('كشف الحساب'!$A$4:$A$353,IFERROR(MATCH(346,'كشف الحساب'!$N$4:$N$353,0),0))),"")</f>
        <v/>
      </c>
      <c r="B350" s="70" t="str">
        <f>IFERROR(IF(IFERROR(MATCH(346,'كشف الحساب'!$N$4:$N$353,0),0)=0,"",INDEX('كشف الحساب'!$B$4:$B$353,IFERROR(MATCH(346,'كشف الحساب'!$N$4:$N$353,0),0))),"")</f>
        <v/>
      </c>
      <c r="C350" s="71" t="str">
        <f>IFERROR(IF(IFERROR(MATCH(346,'كشف الحساب'!$N$4:$N$353,0),0)=0,"",INDEX('كشف الحساب'!$C$4:$C$353,IFERROR(MATCH(346,'كشف الحساب'!$N$4:$N$353,0),0))),"")</f>
        <v/>
      </c>
      <c r="D350" s="72" t="str">
        <f>IFERROR(IF(IFERROR(MATCH(346,'كشف الحساب'!$N$4:$N$353,0),0)=0,"",INDEX('كشف الحساب'!$D$4:$D$353,IFERROR(MATCH(346,'كشف الحساب'!$N$4:$N$353,0),0))),"")</f>
        <v/>
      </c>
      <c r="E350" s="73" t="str">
        <f>IFERROR(IF(IFERROR(MATCH(346,'كشف الحساب'!$N$4:$N$353,0),0)=0,"",INDEX('كشف الحساب'!$E$4:$E$353,IFERROR(MATCH(346,'كشف الحساب'!$N$4:$N$353,0),0))),"")</f>
        <v/>
      </c>
      <c r="F350" s="70" t="str">
        <f>IFERROR(IF(IFERROR(MATCH(346,'كشف الحساب'!$N$4:$N$353,0),0)=0,"",INDEX('كشف الحساب'!$F$4:$F$353,IFERROR(MATCH(346,'كشف الحساب'!$N$4:$N$353,0),0))),"")</f>
        <v/>
      </c>
      <c r="G350" s="70" t="str">
        <f>IFERROR(IF(IFERROR(MATCH(346,'كشف الحساب'!$N$4:$N$353,0),0)=0,"",INDEX('كشف الحساب'!$G$4:$G$353,IFERROR(MATCH(346,'كشف الحساب'!$N$4:$N$353,0),0))),"")</f>
        <v/>
      </c>
      <c r="H350" s="70" t="str">
        <f>IFERROR(IF(IFERROR(MATCH(346,'كشف الحساب'!$N$4:$N$353,0),0)=0,"",INDEX('كشف الحساب'!$H$4:$H$353,IFERROR(MATCH(346,'كشف الحساب'!$N$4:$N$353,0),0))),"")</f>
        <v/>
      </c>
      <c r="I350" s="70" t="str">
        <f>IFERROR(IF(IFERROR(MATCH(346,'كشف الحساب'!$N$4:$N$353,0),0)=0,"",INDEX('كشف الحساب'!$I$4:$I$353,IFERROR(MATCH(346,'كشف الحساب'!$N$4:$N$353,0),0))),"")</f>
        <v/>
      </c>
      <c r="J350" s="74" t="str">
        <f>IFERROR(IF(IFERROR(MATCH(346,'كشف الحساب'!$N$4:$N$353,0),0)=0,"",INDEX('كشف الحساب'!$J$4:$J$353,IFERROR(MATCH(346,'كشف الحساب'!$N$4:$N$353,0),0))),"")</f>
        <v/>
      </c>
      <c r="K350" s="70" t="str">
        <f>IFERROR(IF(IFERROR(MATCH(346,'كشف الحساب'!$N$4:$N$353,0),0)=0,"",INDEX('كشف الحساب'!$K$4:$K$353,IFERROR(MATCH(346,'كشف الحساب'!$N$4:$N$353,0),0))),"")</f>
        <v/>
      </c>
    </row>
    <row r="351" spans="1:11" ht="15" customHeight="1" x14ac:dyDescent="0.25">
      <c r="A351" s="63" t="str">
        <f>IFERROR(IF(IFERROR(MATCH(347,'كشف الحساب'!$N$4:$N$353,0),0)=0,"",INDEX('كشف الحساب'!$A$4:$A$353,IFERROR(MATCH(347,'كشف الحساب'!$N$4:$N$353,0),0))),"")</f>
        <v/>
      </c>
      <c r="B351" s="64" t="str">
        <f>IFERROR(IF(IFERROR(MATCH(347,'كشف الحساب'!$N$4:$N$353,0),0)=0,"",INDEX('كشف الحساب'!$B$4:$B$353,IFERROR(MATCH(347,'كشف الحساب'!$N$4:$N$353,0),0))),"")</f>
        <v/>
      </c>
      <c r="C351" s="65" t="str">
        <f>IFERROR(IF(IFERROR(MATCH(347,'كشف الحساب'!$N$4:$N$353,0),0)=0,"",INDEX('كشف الحساب'!$C$4:$C$353,IFERROR(MATCH(347,'كشف الحساب'!$N$4:$N$353,0),0))),"")</f>
        <v/>
      </c>
      <c r="D351" s="66" t="str">
        <f>IFERROR(IF(IFERROR(MATCH(347,'كشف الحساب'!$N$4:$N$353,0),0)=0,"",INDEX('كشف الحساب'!$D$4:$D$353,IFERROR(MATCH(347,'كشف الحساب'!$N$4:$N$353,0),0))),"")</f>
        <v/>
      </c>
      <c r="E351" s="67" t="str">
        <f>IFERROR(IF(IFERROR(MATCH(347,'كشف الحساب'!$N$4:$N$353,0),0)=0,"",INDEX('كشف الحساب'!$E$4:$E$353,IFERROR(MATCH(347,'كشف الحساب'!$N$4:$N$353,0),0))),"")</f>
        <v/>
      </c>
      <c r="F351" s="64" t="str">
        <f>IFERROR(IF(IFERROR(MATCH(347,'كشف الحساب'!$N$4:$N$353,0),0)=0,"",INDEX('كشف الحساب'!$F$4:$F$353,IFERROR(MATCH(347,'كشف الحساب'!$N$4:$N$353,0),0))),"")</f>
        <v/>
      </c>
      <c r="G351" s="64" t="str">
        <f>IFERROR(IF(IFERROR(MATCH(347,'كشف الحساب'!$N$4:$N$353,0),0)=0,"",INDEX('كشف الحساب'!$G$4:$G$353,IFERROR(MATCH(347,'كشف الحساب'!$N$4:$N$353,0),0))),"")</f>
        <v/>
      </c>
      <c r="H351" s="64" t="str">
        <f>IFERROR(IF(IFERROR(MATCH(347,'كشف الحساب'!$N$4:$N$353,0),0)=0,"",INDEX('كشف الحساب'!$H$4:$H$353,IFERROR(MATCH(347,'كشف الحساب'!$N$4:$N$353,0),0))),"")</f>
        <v/>
      </c>
      <c r="I351" s="64" t="str">
        <f>IFERROR(IF(IFERROR(MATCH(347,'كشف الحساب'!$N$4:$N$353,0),0)=0,"",INDEX('كشف الحساب'!$I$4:$I$353,IFERROR(MATCH(347,'كشف الحساب'!$N$4:$N$353,0),0))),"")</f>
        <v/>
      </c>
      <c r="J351" s="68" t="str">
        <f>IFERROR(IF(IFERROR(MATCH(347,'كشف الحساب'!$N$4:$N$353,0),0)=0,"",INDEX('كشف الحساب'!$J$4:$J$353,IFERROR(MATCH(347,'كشف الحساب'!$N$4:$N$353,0),0))),"")</f>
        <v/>
      </c>
      <c r="K351" s="64" t="str">
        <f>IFERROR(IF(IFERROR(MATCH(347,'كشف الحساب'!$N$4:$N$353,0),0)=0,"",INDEX('كشف الحساب'!$K$4:$K$353,IFERROR(MATCH(347,'كشف الحساب'!$N$4:$N$353,0),0))),"")</f>
        <v/>
      </c>
    </row>
    <row r="352" spans="1:11" ht="15" customHeight="1" x14ac:dyDescent="0.25">
      <c r="A352" s="69" t="str">
        <f>IFERROR(IF(IFERROR(MATCH(348,'كشف الحساب'!$N$4:$N$353,0),0)=0,"",INDEX('كشف الحساب'!$A$4:$A$353,IFERROR(MATCH(348,'كشف الحساب'!$N$4:$N$353,0),0))),"")</f>
        <v/>
      </c>
      <c r="B352" s="70" t="str">
        <f>IFERROR(IF(IFERROR(MATCH(348,'كشف الحساب'!$N$4:$N$353,0),0)=0,"",INDEX('كشف الحساب'!$B$4:$B$353,IFERROR(MATCH(348,'كشف الحساب'!$N$4:$N$353,0),0))),"")</f>
        <v/>
      </c>
      <c r="C352" s="71" t="str">
        <f>IFERROR(IF(IFERROR(MATCH(348,'كشف الحساب'!$N$4:$N$353,0),0)=0,"",INDEX('كشف الحساب'!$C$4:$C$353,IFERROR(MATCH(348,'كشف الحساب'!$N$4:$N$353,0),0))),"")</f>
        <v/>
      </c>
      <c r="D352" s="72" t="str">
        <f>IFERROR(IF(IFERROR(MATCH(348,'كشف الحساب'!$N$4:$N$353,0),0)=0,"",INDEX('كشف الحساب'!$D$4:$D$353,IFERROR(MATCH(348,'كشف الحساب'!$N$4:$N$353,0),0))),"")</f>
        <v/>
      </c>
      <c r="E352" s="73" t="str">
        <f>IFERROR(IF(IFERROR(MATCH(348,'كشف الحساب'!$N$4:$N$353,0),0)=0,"",INDEX('كشف الحساب'!$E$4:$E$353,IFERROR(MATCH(348,'كشف الحساب'!$N$4:$N$353,0),0))),"")</f>
        <v/>
      </c>
      <c r="F352" s="70" t="str">
        <f>IFERROR(IF(IFERROR(MATCH(348,'كشف الحساب'!$N$4:$N$353,0),0)=0,"",INDEX('كشف الحساب'!$F$4:$F$353,IFERROR(MATCH(348,'كشف الحساب'!$N$4:$N$353,0),0))),"")</f>
        <v/>
      </c>
      <c r="G352" s="70" t="str">
        <f>IFERROR(IF(IFERROR(MATCH(348,'كشف الحساب'!$N$4:$N$353,0),0)=0,"",INDEX('كشف الحساب'!$G$4:$G$353,IFERROR(MATCH(348,'كشف الحساب'!$N$4:$N$353,0),0))),"")</f>
        <v/>
      </c>
      <c r="H352" s="70" t="str">
        <f>IFERROR(IF(IFERROR(MATCH(348,'كشف الحساب'!$N$4:$N$353,0),0)=0,"",INDEX('كشف الحساب'!$H$4:$H$353,IFERROR(MATCH(348,'كشف الحساب'!$N$4:$N$353,0),0))),"")</f>
        <v/>
      </c>
      <c r="I352" s="70" t="str">
        <f>IFERROR(IF(IFERROR(MATCH(348,'كشف الحساب'!$N$4:$N$353,0),0)=0,"",INDEX('كشف الحساب'!$I$4:$I$353,IFERROR(MATCH(348,'كشف الحساب'!$N$4:$N$353,0),0))),"")</f>
        <v/>
      </c>
      <c r="J352" s="74" t="str">
        <f>IFERROR(IF(IFERROR(MATCH(348,'كشف الحساب'!$N$4:$N$353,0),0)=0,"",INDEX('كشف الحساب'!$J$4:$J$353,IFERROR(MATCH(348,'كشف الحساب'!$N$4:$N$353,0),0))),"")</f>
        <v/>
      </c>
      <c r="K352" s="70" t="str">
        <f>IFERROR(IF(IFERROR(MATCH(348,'كشف الحساب'!$N$4:$N$353,0),0)=0,"",INDEX('كشف الحساب'!$K$4:$K$353,IFERROR(MATCH(348,'كشف الحساب'!$N$4:$N$353,0),0))),"")</f>
        <v/>
      </c>
    </row>
    <row r="353" spans="1:11" ht="15" customHeight="1" x14ac:dyDescent="0.25">
      <c r="A353" s="63" t="str">
        <f>IFERROR(IF(IFERROR(MATCH(349,'كشف الحساب'!$N$4:$N$353,0),0)=0,"",INDEX('كشف الحساب'!$A$4:$A$353,IFERROR(MATCH(349,'كشف الحساب'!$N$4:$N$353,0),0))),"")</f>
        <v/>
      </c>
      <c r="B353" s="64" t="str">
        <f>IFERROR(IF(IFERROR(MATCH(349,'كشف الحساب'!$N$4:$N$353,0),0)=0,"",INDEX('كشف الحساب'!$B$4:$B$353,IFERROR(MATCH(349,'كشف الحساب'!$N$4:$N$353,0),0))),"")</f>
        <v/>
      </c>
      <c r="C353" s="65" t="str">
        <f>IFERROR(IF(IFERROR(MATCH(349,'كشف الحساب'!$N$4:$N$353,0),0)=0,"",INDEX('كشف الحساب'!$C$4:$C$353,IFERROR(MATCH(349,'كشف الحساب'!$N$4:$N$353,0),0))),"")</f>
        <v/>
      </c>
      <c r="D353" s="66" t="str">
        <f>IFERROR(IF(IFERROR(MATCH(349,'كشف الحساب'!$N$4:$N$353,0),0)=0,"",INDEX('كشف الحساب'!$D$4:$D$353,IFERROR(MATCH(349,'كشف الحساب'!$N$4:$N$353,0),0))),"")</f>
        <v/>
      </c>
      <c r="E353" s="67" t="str">
        <f>IFERROR(IF(IFERROR(MATCH(349,'كشف الحساب'!$N$4:$N$353,0),0)=0,"",INDEX('كشف الحساب'!$E$4:$E$353,IFERROR(MATCH(349,'كشف الحساب'!$N$4:$N$353,0),0))),"")</f>
        <v/>
      </c>
      <c r="F353" s="64" t="str">
        <f>IFERROR(IF(IFERROR(MATCH(349,'كشف الحساب'!$N$4:$N$353,0),0)=0,"",INDEX('كشف الحساب'!$F$4:$F$353,IFERROR(MATCH(349,'كشف الحساب'!$N$4:$N$353,0),0))),"")</f>
        <v/>
      </c>
      <c r="G353" s="64" t="str">
        <f>IFERROR(IF(IFERROR(MATCH(349,'كشف الحساب'!$N$4:$N$353,0),0)=0,"",INDEX('كشف الحساب'!$G$4:$G$353,IFERROR(MATCH(349,'كشف الحساب'!$N$4:$N$353,0),0))),"")</f>
        <v/>
      </c>
      <c r="H353" s="64" t="str">
        <f>IFERROR(IF(IFERROR(MATCH(349,'كشف الحساب'!$N$4:$N$353,0),0)=0,"",INDEX('كشف الحساب'!$H$4:$H$353,IFERROR(MATCH(349,'كشف الحساب'!$N$4:$N$353,0),0))),"")</f>
        <v/>
      </c>
      <c r="I353" s="64" t="str">
        <f>IFERROR(IF(IFERROR(MATCH(349,'كشف الحساب'!$N$4:$N$353,0),0)=0,"",INDEX('كشف الحساب'!$I$4:$I$353,IFERROR(MATCH(349,'كشف الحساب'!$N$4:$N$353,0),0))),"")</f>
        <v/>
      </c>
      <c r="J353" s="68" t="str">
        <f>IFERROR(IF(IFERROR(MATCH(349,'كشف الحساب'!$N$4:$N$353,0),0)=0,"",INDEX('كشف الحساب'!$J$4:$J$353,IFERROR(MATCH(349,'كشف الحساب'!$N$4:$N$353,0),0))),"")</f>
        <v/>
      </c>
      <c r="K353" s="64" t="str">
        <f>IFERROR(IF(IFERROR(MATCH(349,'كشف الحساب'!$N$4:$N$353,0),0)=0,"",INDEX('كشف الحساب'!$K$4:$K$353,IFERROR(MATCH(349,'كشف الحساب'!$N$4:$N$353,0),0))),"")</f>
        <v/>
      </c>
    </row>
    <row r="354" spans="1:11" ht="15" customHeight="1" x14ac:dyDescent="0.25">
      <c r="A354" s="69" t="str">
        <f>IFERROR(IF(IFERROR(MATCH(350,'كشف الحساب'!$N$4:$N$353,0),0)=0,"",INDEX('كشف الحساب'!$A$4:$A$353,IFERROR(MATCH(350,'كشف الحساب'!$N$4:$N$353,0),0))),"")</f>
        <v/>
      </c>
      <c r="B354" s="70" t="str">
        <f>IFERROR(IF(IFERROR(MATCH(350,'كشف الحساب'!$N$4:$N$353,0),0)=0,"",INDEX('كشف الحساب'!$B$4:$B$353,IFERROR(MATCH(350,'كشف الحساب'!$N$4:$N$353,0),0))),"")</f>
        <v/>
      </c>
      <c r="C354" s="71" t="str">
        <f>IFERROR(IF(IFERROR(MATCH(350,'كشف الحساب'!$N$4:$N$353,0),0)=0,"",INDEX('كشف الحساب'!$C$4:$C$353,IFERROR(MATCH(350,'كشف الحساب'!$N$4:$N$353,0),0))),"")</f>
        <v/>
      </c>
      <c r="D354" s="72" t="str">
        <f>IFERROR(IF(IFERROR(MATCH(350,'كشف الحساب'!$N$4:$N$353,0),0)=0,"",INDEX('كشف الحساب'!$D$4:$D$353,IFERROR(MATCH(350,'كشف الحساب'!$N$4:$N$353,0),0))),"")</f>
        <v/>
      </c>
      <c r="E354" s="73" t="str">
        <f>IFERROR(IF(IFERROR(MATCH(350,'كشف الحساب'!$N$4:$N$353,0),0)=0,"",INDEX('كشف الحساب'!$E$4:$E$353,IFERROR(MATCH(350,'كشف الحساب'!$N$4:$N$353,0),0))),"")</f>
        <v/>
      </c>
      <c r="F354" s="70" t="str">
        <f>IFERROR(IF(IFERROR(MATCH(350,'كشف الحساب'!$N$4:$N$353,0),0)=0,"",INDEX('كشف الحساب'!$F$4:$F$353,IFERROR(MATCH(350,'كشف الحساب'!$N$4:$N$353,0),0))),"")</f>
        <v/>
      </c>
      <c r="G354" s="70" t="str">
        <f>IFERROR(IF(IFERROR(MATCH(350,'كشف الحساب'!$N$4:$N$353,0),0)=0,"",INDEX('كشف الحساب'!$G$4:$G$353,IFERROR(MATCH(350,'كشف الحساب'!$N$4:$N$353,0),0))),"")</f>
        <v/>
      </c>
      <c r="H354" s="70" t="str">
        <f>IFERROR(IF(IFERROR(MATCH(350,'كشف الحساب'!$N$4:$N$353,0),0)=0,"",INDEX('كشف الحساب'!$H$4:$H$353,IFERROR(MATCH(350,'كشف الحساب'!$N$4:$N$353,0),0))),"")</f>
        <v/>
      </c>
      <c r="I354" s="70" t="str">
        <f>IFERROR(IF(IFERROR(MATCH(350,'كشف الحساب'!$N$4:$N$353,0),0)=0,"",INDEX('كشف الحساب'!$I$4:$I$353,IFERROR(MATCH(350,'كشف الحساب'!$N$4:$N$353,0),0))),"")</f>
        <v/>
      </c>
      <c r="J354" s="74" t="str">
        <f>IFERROR(IF(IFERROR(MATCH(350,'كشف الحساب'!$N$4:$N$353,0),0)=0,"",INDEX('كشف الحساب'!$J$4:$J$353,IFERROR(MATCH(350,'كشف الحساب'!$N$4:$N$353,0),0))),"")</f>
        <v/>
      </c>
      <c r="K354" s="70" t="str">
        <f>IFERROR(IF(IFERROR(MATCH(350,'كشف الحساب'!$N$4:$N$353,0),0)=0,"",INDEX('كشف الحساب'!$K$4:$K$353,IFERROR(MATCH(350,'كشف الحساب'!$N$4:$N$353,0),0))),"")</f>
        <v/>
      </c>
    </row>
    <row r="355" spans="1:11" ht="21.75" customHeight="1" x14ac:dyDescent="0.25">
      <c r="A355" s="179" t="s">
        <v>265</v>
      </c>
      <c r="B355" s="165"/>
      <c r="C355" s="165"/>
      <c r="D355" s="75">
        <f>SUM(D5:D354)</f>
        <v>1364.45</v>
      </c>
      <c r="E355" s="75">
        <f>SUM(E5:E354)</f>
        <v>602.5</v>
      </c>
      <c r="F355" s="180">
        <f>COUNTIF(H5:H354,"معلق")</f>
        <v>0</v>
      </c>
      <c r="G355" s="165"/>
      <c r="H355" s="165"/>
      <c r="I355" s="76"/>
      <c r="J355" s="75">
        <f>E355-D355</f>
        <v>-761.95</v>
      </c>
      <c r="K355" s="76"/>
    </row>
    <row r="356" spans="1:11" ht="15.75" customHeight="1" x14ac:dyDescent="0.25">
      <c r="A356" s="77"/>
      <c r="B356" s="77"/>
      <c r="C356" s="77"/>
      <c r="D356" s="47" t="s">
        <v>216</v>
      </c>
      <c r="E356" s="48" t="s">
        <v>266</v>
      </c>
      <c r="F356" s="49" t="s">
        <v>218</v>
      </c>
      <c r="G356" s="77"/>
      <c r="H356" s="77"/>
      <c r="I356" s="77"/>
      <c r="J356" s="50" t="s">
        <v>267</v>
      </c>
      <c r="K356" s="77"/>
    </row>
  </sheetData>
  <mergeCells count="7">
    <mergeCell ref="A1:K1"/>
    <mergeCell ref="A2:B2"/>
    <mergeCell ref="D2:E2"/>
    <mergeCell ref="A355:C355"/>
    <mergeCell ref="F355:H355"/>
    <mergeCell ref="G2:K2"/>
    <mergeCell ref="A3:C3"/>
  </mergeCells>
  <conditionalFormatting sqref="J5:J354">
    <cfRule type="cellIs" dxfId="1" priority="2" operator="lessThan">
      <formula>0</formula>
    </cfRule>
    <cfRule type="cellIs" dxfId="0" priority="3" operator="greaterThanOrEqual">
      <formula>0</formula>
    </cfRule>
  </conditionalFormatting>
  <dataValidations count="2">
    <dataValidation type="list" sqref="C2" xr:uid="{00000000-0002-0000-0400-000000000000}">
      <formula1>"يناير,فبراير,مارس,أبريل,مايو,يونيو,يوليو,أغسطس,سبتمبر,أكتوبر,نوفمبر,ديسمبر,الكل"</formula1>
      <formula2>0</formula2>
    </dataValidation>
    <dataValidation type="list" sqref="F2" xr:uid="{00000000-0002-0000-0400-000001000000}">
      <formula1>"2024,2025,2026,2027,2028,الكل"</formula1>
      <formula2>0</formula2>
    </dataValidation>
  </dataValidations>
  <pageMargins left="0.25" right="0.25" top="0.75" bottom="0.75" header="0.3" footer="0.3"/>
  <pageSetup paperSize="9" scale="76" fitToHeight="0" orientation="landscape" horizontalDpi="300" verticalDpi="300"/>
  <headerFooter>
    <oddHeader>&amp;C&amp;12 كشف حساب المزرعة  —  Farm Account Statement</oddHeader>
    <oddFooter>&amp;Lتاريخ الطباعة: &amp;D&amp;Cالصفحة &amp;P من &amp;N&amp;Rسري - للاستخدام الداخلي فقط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08"/>
  <sheetViews>
    <sheetView rightToLeft="1" zoomScaleNormal="100" workbookViewId="0">
      <pane ySplit="4" topLeftCell="A5" activePane="bottomLeft" state="frozen"/>
      <selection pane="bottomLeft" activeCell="H7" sqref="H7"/>
    </sheetView>
  </sheetViews>
  <sheetFormatPr defaultColWidth="8.7109375" defaultRowHeight="15" x14ac:dyDescent="0.25"/>
  <cols>
    <col min="1" max="1" width="12" style="138" customWidth="1"/>
    <col min="2" max="2" width="15" style="138" customWidth="1"/>
    <col min="3" max="3" width="38" style="138" customWidth="1"/>
    <col min="4" max="5" width="16" style="138" customWidth="1"/>
    <col min="6" max="6" width="20" style="138" customWidth="1"/>
    <col min="7" max="7" width="16" style="138" customWidth="1"/>
  </cols>
  <sheetData>
    <row r="1" spans="1:7" ht="30" customHeight="1" x14ac:dyDescent="0.25">
      <c r="A1" s="170" t="s">
        <v>268</v>
      </c>
      <c r="B1" s="165"/>
      <c r="C1" s="165"/>
      <c r="D1" s="165"/>
      <c r="E1" s="165"/>
      <c r="F1" s="165"/>
      <c r="G1" s="165"/>
    </row>
    <row r="2" spans="1:7" ht="24" customHeight="1" x14ac:dyDescent="0.25">
      <c r="A2" s="178" t="s">
        <v>269</v>
      </c>
      <c r="B2" s="165"/>
      <c r="C2" s="56" t="s">
        <v>342</v>
      </c>
      <c r="D2" s="178" t="s">
        <v>270</v>
      </c>
      <c r="E2" s="165"/>
      <c r="F2" s="56">
        <v>2026</v>
      </c>
    </row>
    <row r="3" spans="1:7" ht="21.75" customHeight="1" x14ac:dyDescent="0.25">
      <c r="A3" s="182" t="s">
        <v>271</v>
      </c>
      <c r="B3" s="165"/>
      <c r="C3" s="57">
        <f>المحفظة!$D$2</f>
        <v>0</v>
      </c>
      <c r="D3" s="182" t="s">
        <v>272</v>
      </c>
      <c r="E3" s="165"/>
      <c r="F3" s="78">
        <f>المحفظة!$C$3</f>
        <v>0</v>
      </c>
    </row>
    <row r="4" spans="1:7" ht="21.75" customHeight="1" x14ac:dyDescent="0.25">
      <c r="A4" s="184" t="s">
        <v>273</v>
      </c>
      <c r="B4" s="165"/>
      <c r="C4" s="165"/>
      <c r="D4" s="165"/>
      <c r="E4" s="165"/>
      <c r="F4" s="165"/>
      <c r="G4" s="165"/>
    </row>
    <row r="5" spans="1:7" ht="16.5" customHeight="1" x14ac:dyDescent="0.25">
      <c r="A5" s="2" t="str">
        <f>IFERROR(IF(IFERROR(MATCH(1,المحفظة!$H$5:$H$104,0),0)=0,"",INDEX(المحفظة!$A$5:$A$104,IFERROR(MATCH(1,المحفظة!$H$5:$H$104,0),0))),"")</f>
        <v/>
      </c>
      <c r="B5" s="3" t="str">
        <f>IFERROR(IF(IFERROR(MATCH(1,المحفظة!$H$5:$H$104,0),0)=0,"",INDEX(المحفظة!$B$5:$B$104,IFERROR(MATCH(1,المحفظة!$H$5:$H$104,0),0))),"")</f>
        <v/>
      </c>
      <c r="C5" s="79" t="str">
        <f>IFERROR(IF(IFERROR(MATCH(1,المحفظة!$H$5:$H$104,0),0)=0,"",INDEX(المحفظة!$C$5:$C$104,IFERROR(MATCH(1,المحفظة!$H$5:$H$104,0),0))),"")</f>
        <v/>
      </c>
      <c r="D5" s="4" t="s">
        <v>274</v>
      </c>
      <c r="E5" s="5" t="str">
        <f>IFERROR(IF(IFERROR(MATCH(1,المحفظة!$H$5:$H$104,0),0)=0,"",INDEX(المحفظة!$E$5:$E$104,IFERROR(MATCH(1,المحفظة!$H$5:$H$104,0),0))),"")</f>
        <v/>
      </c>
      <c r="F5" s="3" t="str">
        <f>IFERROR(IF(IFERROR(MATCH(1,المحفظة!$H$5:$H$104,0),0)=0,"",INDEX(المحفظة!$F$5:$F$104,IFERROR(MATCH(1,المحفظة!$H$5:$H$104,0),0))),"")</f>
        <v/>
      </c>
      <c r="G5" s="80"/>
    </row>
    <row r="6" spans="1:7" ht="16.5" customHeight="1" x14ac:dyDescent="0.25">
      <c r="A6" s="7" t="str">
        <f>IFERROR(IF(IFERROR(MATCH(2,المحفظة!$H$5:$H$104,0),0)=0,"",INDEX(المحفظة!$A$5:$A$104,IFERROR(MATCH(2,المحفظة!$H$5:$H$104,0),0))),"")</f>
        <v/>
      </c>
      <c r="B6" s="8" t="str">
        <f>IFERROR(IF(IFERROR(MATCH(2,المحفظة!$H$5:$H$104,0),0)=0,"",INDEX(المحفظة!$B$5:$B$104,IFERROR(MATCH(2,المحفظة!$H$5:$H$104,0),0))),"")</f>
        <v/>
      </c>
      <c r="C6" s="81" t="str">
        <f>IFERROR(IF(IFERROR(MATCH(2,المحفظة!$H$5:$H$104,0),0)=0,"",INDEX(المحفظة!$C$5:$C$104,IFERROR(MATCH(2,المحفظة!$H$5:$H$104,0),0))),"")</f>
        <v/>
      </c>
      <c r="D6" s="9" t="s">
        <v>274</v>
      </c>
      <c r="E6" s="10" t="str">
        <f>IFERROR(IF(IFERROR(MATCH(2,المحفظة!$H$5:$H$104,0),0)=0,"",INDEX(المحفظة!$E$5:$E$104,IFERROR(MATCH(2,المحفظة!$H$5:$H$104,0),0))),"")</f>
        <v/>
      </c>
      <c r="F6" s="8" t="str">
        <f>IFERROR(IF(IFERROR(MATCH(2,المحفظة!$H$5:$H$104,0),0)=0,"",INDEX(المحفظة!$F$5:$F$104,IFERROR(MATCH(2,المحفظة!$H$5:$H$104,0),0))),"")</f>
        <v/>
      </c>
      <c r="G6" s="82"/>
    </row>
    <row r="7" spans="1:7" ht="16.5" customHeight="1" x14ac:dyDescent="0.25">
      <c r="A7" s="2" t="str">
        <f>IFERROR(IF(IFERROR(MATCH(3,المحفظة!$H$5:$H$104,0),0)=0,"",INDEX(المحفظة!$A$5:$A$104,IFERROR(MATCH(3,المحفظة!$H$5:$H$104,0),0))),"")</f>
        <v/>
      </c>
      <c r="B7" s="3" t="str">
        <f>IFERROR(IF(IFERROR(MATCH(3,المحفظة!$H$5:$H$104,0),0)=0,"",INDEX(المحفظة!$B$5:$B$104,IFERROR(MATCH(3,المحفظة!$H$5:$H$104,0),0))),"")</f>
        <v/>
      </c>
      <c r="C7" s="79" t="str">
        <f>IFERROR(IF(IFERROR(MATCH(3,المحفظة!$H$5:$H$104,0),0)=0,"",INDEX(المحفظة!$C$5:$C$104,IFERROR(MATCH(3,المحفظة!$H$5:$H$104,0),0))),"")</f>
        <v/>
      </c>
      <c r="D7" s="4" t="s">
        <v>274</v>
      </c>
      <c r="E7" s="5" t="str">
        <f>IFERROR(IF(IFERROR(MATCH(3,المحفظة!$H$5:$H$104,0),0)=0,"",INDEX(المحفظة!$E$5:$E$104,IFERROR(MATCH(3,المحفظة!$H$5:$H$104,0),0))),"")</f>
        <v/>
      </c>
      <c r="F7" s="3" t="str">
        <f>IFERROR(IF(IFERROR(MATCH(3,المحفظة!$H$5:$H$104,0),0)=0,"",INDEX(المحفظة!$F$5:$F$104,IFERROR(MATCH(3,المحفظة!$H$5:$H$104,0),0))),"")</f>
        <v/>
      </c>
      <c r="G7" s="80"/>
    </row>
    <row r="8" spans="1:7" ht="16.5" customHeight="1" x14ac:dyDescent="0.25">
      <c r="A8" s="7" t="str">
        <f>IFERROR(IF(IFERROR(MATCH(4,المحفظة!$H$5:$H$104,0),0)=0,"",INDEX(المحفظة!$A$5:$A$104,IFERROR(MATCH(4,المحفظة!$H$5:$H$104,0),0))),"")</f>
        <v/>
      </c>
      <c r="B8" s="8" t="str">
        <f>IFERROR(IF(IFERROR(MATCH(4,المحفظة!$H$5:$H$104,0),0)=0,"",INDEX(المحفظة!$B$5:$B$104,IFERROR(MATCH(4,المحفظة!$H$5:$H$104,0),0))),"")</f>
        <v/>
      </c>
      <c r="C8" s="81" t="str">
        <f>IFERROR(IF(IFERROR(MATCH(4,المحفظة!$H$5:$H$104,0),0)=0,"",INDEX(المحفظة!$C$5:$C$104,IFERROR(MATCH(4,المحفظة!$H$5:$H$104,0),0))),"")</f>
        <v/>
      </c>
      <c r="D8" s="9" t="s">
        <v>274</v>
      </c>
      <c r="E8" s="10" t="str">
        <f>IFERROR(IF(IFERROR(MATCH(4,المحفظة!$H$5:$H$104,0),0)=0,"",INDEX(المحفظة!$E$5:$E$104,IFERROR(MATCH(4,المحفظة!$H$5:$H$104,0),0))),"")</f>
        <v/>
      </c>
      <c r="F8" s="8" t="str">
        <f>IFERROR(IF(IFERROR(MATCH(4,المحفظة!$H$5:$H$104,0),0)=0,"",INDEX(المحفظة!$F$5:$F$104,IFERROR(MATCH(4,المحفظة!$H$5:$H$104,0),0))),"")</f>
        <v/>
      </c>
      <c r="G8" s="82"/>
    </row>
    <row r="9" spans="1:7" ht="16.5" customHeight="1" x14ac:dyDescent="0.25">
      <c r="A9" s="2" t="str">
        <f>IFERROR(IF(IFERROR(MATCH(5,المحفظة!$H$5:$H$104,0),0)=0,"",INDEX(المحفظة!$A$5:$A$104,IFERROR(MATCH(5,المحفظة!$H$5:$H$104,0),0))),"")</f>
        <v/>
      </c>
      <c r="B9" s="3" t="str">
        <f>IFERROR(IF(IFERROR(MATCH(5,المحفظة!$H$5:$H$104,0),0)=0,"",INDEX(المحفظة!$B$5:$B$104,IFERROR(MATCH(5,المحفظة!$H$5:$H$104,0),0))),"")</f>
        <v/>
      </c>
      <c r="C9" s="79" t="str">
        <f>IFERROR(IF(IFERROR(MATCH(5,المحفظة!$H$5:$H$104,0),0)=0,"",INDEX(المحفظة!$C$5:$C$104,IFERROR(MATCH(5,المحفظة!$H$5:$H$104,0),0))),"")</f>
        <v/>
      </c>
      <c r="D9" s="4" t="s">
        <v>274</v>
      </c>
      <c r="E9" s="5" t="str">
        <f>IFERROR(IF(IFERROR(MATCH(5,المحفظة!$H$5:$H$104,0),0)=0,"",INDEX(المحفظة!$E$5:$E$104,IFERROR(MATCH(5,المحفظة!$H$5:$H$104,0),0))),"")</f>
        <v/>
      </c>
      <c r="F9" s="3" t="str">
        <f>IFERROR(IF(IFERROR(MATCH(5,المحفظة!$H$5:$H$104,0),0)=0,"",INDEX(المحفظة!$F$5:$F$104,IFERROR(MATCH(5,المحفظة!$H$5:$H$104,0),0))),"")</f>
        <v/>
      </c>
      <c r="G9" s="80"/>
    </row>
    <row r="10" spans="1:7" ht="16.5" customHeight="1" x14ac:dyDescent="0.25">
      <c r="A10" s="7" t="str">
        <f>IFERROR(IF(IFERROR(MATCH(6,المحفظة!$H$5:$H$104,0),0)=0,"",INDEX(المحفظة!$A$5:$A$104,IFERROR(MATCH(6,المحفظة!$H$5:$H$104,0),0))),"")</f>
        <v/>
      </c>
      <c r="B10" s="8" t="str">
        <f>IFERROR(IF(IFERROR(MATCH(6,المحفظة!$H$5:$H$104,0),0)=0,"",INDEX(المحفظة!$B$5:$B$104,IFERROR(MATCH(6,المحفظة!$H$5:$H$104,0),0))),"")</f>
        <v/>
      </c>
      <c r="C10" s="81" t="str">
        <f>IFERROR(IF(IFERROR(MATCH(6,المحفظة!$H$5:$H$104,0),0)=0,"",INDEX(المحفظة!$C$5:$C$104,IFERROR(MATCH(6,المحفظة!$H$5:$H$104,0),0))),"")</f>
        <v/>
      </c>
      <c r="D10" s="9" t="s">
        <v>274</v>
      </c>
      <c r="E10" s="10" t="str">
        <f>IFERROR(IF(IFERROR(MATCH(6,المحفظة!$H$5:$H$104,0),0)=0,"",INDEX(المحفظة!$E$5:$E$104,IFERROR(MATCH(6,المحفظة!$H$5:$H$104,0),0))),"")</f>
        <v/>
      </c>
      <c r="F10" s="8" t="str">
        <f>IFERROR(IF(IFERROR(MATCH(6,المحفظة!$H$5:$H$104,0),0)=0,"",INDEX(المحفظة!$F$5:$F$104,IFERROR(MATCH(6,المحفظة!$H$5:$H$104,0),0))),"")</f>
        <v/>
      </c>
      <c r="G10" s="82"/>
    </row>
    <row r="11" spans="1:7" ht="16.5" customHeight="1" x14ac:dyDescent="0.25">
      <c r="A11" s="2" t="str">
        <f>IFERROR(IF(IFERROR(MATCH(7,المحفظة!$H$5:$H$104,0),0)=0,"",INDEX(المحفظة!$A$5:$A$104,IFERROR(MATCH(7,المحفظة!$H$5:$H$104,0),0))),"")</f>
        <v/>
      </c>
      <c r="B11" s="3" t="str">
        <f>IFERROR(IF(IFERROR(MATCH(7,المحفظة!$H$5:$H$104,0),0)=0,"",INDEX(المحفظة!$B$5:$B$104,IFERROR(MATCH(7,المحفظة!$H$5:$H$104,0),0))),"")</f>
        <v/>
      </c>
      <c r="C11" s="79" t="str">
        <f>IFERROR(IF(IFERROR(MATCH(7,المحفظة!$H$5:$H$104,0),0)=0,"",INDEX(المحفظة!$C$5:$C$104,IFERROR(MATCH(7,المحفظة!$H$5:$H$104,0),0))),"")</f>
        <v/>
      </c>
      <c r="D11" s="4" t="s">
        <v>274</v>
      </c>
      <c r="E11" s="5" t="str">
        <f>IFERROR(IF(IFERROR(MATCH(7,المحفظة!$H$5:$H$104,0),0)=0,"",INDEX(المحفظة!$E$5:$E$104,IFERROR(MATCH(7,المحفظة!$H$5:$H$104,0),0))),"")</f>
        <v/>
      </c>
      <c r="F11" s="3" t="str">
        <f>IFERROR(IF(IFERROR(MATCH(7,المحفظة!$H$5:$H$104,0),0)=0,"",INDEX(المحفظة!$F$5:$F$104,IFERROR(MATCH(7,المحفظة!$H$5:$H$104,0),0))),"")</f>
        <v/>
      </c>
      <c r="G11" s="80"/>
    </row>
    <row r="12" spans="1:7" ht="16.5" customHeight="1" x14ac:dyDescent="0.25">
      <c r="A12" s="7" t="str">
        <f>IFERROR(IF(IFERROR(MATCH(8,المحفظة!$H$5:$H$104,0),0)=0,"",INDEX(المحفظة!$A$5:$A$104,IFERROR(MATCH(8,المحفظة!$H$5:$H$104,0),0))),"")</f>
        <v/>
      </c>
      <c r="B12" s="8" t="str">
        <f>IFERROR(IF(IFERROR(MATCH(8,المحفظة!$H$5:$H$104,0),0)=0,"",INDEX(المحفظة!$B$5:$B$104,IFERROR(MATCH(8,المحفظة!$H$5:$H$104,0),0))),"")</f>
        <v/>
      </c>
      <c r="C12" s="81" t="str">
        <f>IFERROR(IF(IFERROR(MATCH(8,المحفظة!$H$5:$H$104,0),0)=0,"",INDEX(المحفظة!$C$5:$C$104,IFERROR(MATCH(8,المحفظة!$H$5:$H$104,0),0))),"")</f>
        <v/>
      </c>
      <c r="D12" s="9" t="s">
        <v>274</v>
      </c>
      <c r="E12" s="10" t="str">
        <f>IFERROR(IF(IFERROR(MATCH(8,المحفظة!$H$5:$H$104,0),0)=0,"",INDEX(المحفظة!$E$5:$E$104,IFERROR(MATCH(8,المحفظة!$H$5:$H$104,0),0))),"")</f>
        <v/>
      </c>
      <c r="F12" s="8" t="str">
        <f>IFERROR(IF(IFERROR(MATCH(8,المحفظة!$H$5:$H$104,0),0)=0,"",INDEX(المحفظة!$F$5:$F$104,IFERROR(MATCH(8,المحفظة!$H$5:$H$104,0),0))),"")</f>
        <v/>
      </c>
      <c r="G12" s="82"/>
    </row>
    <row r="13" spans="1:7" ht="16.5" customHeight="1" x14ac:dyDescent="0.25">
      <c r="A13" s="2" t="str">
        <f>IFERROR(IF(IFERROR(MATCH(9,المحفظة!$H$5:$H$104,0),0)=0,"",INDEX(المحفظة!$A$5:$A$104,IFERROR(MATCH(9,المحفظة!$H$5:$H$104,0),0))),"")</f>
        <v/>
      </c>
      <c r="B13" s="3" t="str">
        <f>IFERROR(IF(IFERROR(MATCH(9,المحفظة!$H$5:$H$104,0),0)=0,"",INDEX(المحفظة!$B$5:$B$104,IFERROR(MATCH(9,المحفظة!$H$5:$H$104,0),0))),"")</f>
        <v/>
      </c>
      <c r="C13" s="79" t="str">
        <f>IFERROR(IF(IFERROR(MATCH(9,المحفظة!$H$5:$H$104,0),0)=0,"",INDEX(المحفظة!$C$5:$C$104,IFERROR(MATCH(9,المحفظة!$H$5:$H$104,0),0))),"")</f>
        <v/>
      </c>
      <c r="D13" s="4" t="s">
        <v>274</v>
      </c>
      <c r="E13" s="5" t="str">
        <f>IFERROR(IF(IFERROR(MATCH(9,المحفظة!$H$5:$H$104,0),0)=0,"",INDEX(المحفظة!$E$5:$E$104,IFERROR(MATCH(9,المحفظة!$H$5:$H$104,0),0))),"")</f>
        <v/>
      </c>
      <c r="F13" s="3" t="str">
        <f>IFERROR(IF(IFERROR(MATCH(9,المحفظة!$H$5:$H$104,0),0)=0,"",INDEX(المحفظة!$F$5:$F$104,IFERROR(MATCH(9,المحفظة!$H$5:$H$104,0),0))),"")</f>
        <v/>
      </c>
      <c r="G13" s="80"/>
    </row>
    <row r="14" spans="1:7" ht="16.5" customHeight="1" x14ac:dyDescent="0.25">
      <c r="A14" s="7" t="str">
        <f>IFERROR(IF(IFERROR(MATCH(10,المحفظة!$H$5:$H$104,0),0)=0,"",INDEX(المحفظة!$A$5:$A$104,IFERROR(MATCH(10,المحفظة!$H$5:$H$104,0),0))),"")</f>
        <v/>
      </c>
      <c r="B14" s="8" t="str">
        <f>IFERROR(IF(IFERROR(MATCH(10,المحفظة!$H$5:$H$104,0),0)=0,"",INDEX(المحفظة!$B$5:$B$104,IFERROR(MATCH(10,المحفظة!$H$5:$H$104,0),0))),"")</f>
        <v/>
      </c>
      <c r="C14" s="81" t="str">
        <f>IFERROR(IF(IFERROR(MATCH(10,المحفظة!$H$5:$H$104,0),0)=0,"",INDEX(المحفظة!$C$5:$C$104,IFERROR(MATCH(10,المحفظة!$H$5:$H$104,0),0))),"")</f>
        <v/>
      </c>
      <c r="D14" s="9" t="s">
        <v>274</v>
      </c>
      <c r="E14" s="10" t="str">
        <f>IFERROR(IF(IFERROR(MATCH(10,المحفظة!$H$5:$H$104,0),0)=0,"",INDEX(المحفظة!$E$5:$E$104,IFERROR(MATCH(10,المحفظة!$H$5:$H$104,0),0))),"")</f>
        <v/>
      </c>
      <c r="F14" s="8" t="str">
        <f>IFERROR(IF(IFERROR(MATCH(10,المحفظة!$H$5:$H$104,0),0)=0,"",INDEX(المحفظة!$F$5:$F$104,IFERROR(MATCH(10,المحفظة!$H$5:$H$104,0),0))),"")</f>
        <v/>
      </c>
      <c r="G14" s="82"/>
    </row>
    <row r="15" spans="1:7" ht="16.5" customHeight="1" x14ac:dyDescent="0.25">
      <c r="A15" s="2" t="str">
        <f>IFERROR(IF(IFERROR(MATCH(11,المحفظة!$H$5:$H$104,0),0)=0,"",INDEX(المحفظة!$A$5:$A$104,IFERROR(MATCH(11,المحفظة!$H$5:$H$104,0),0))),"")</f>
        <v/>
      </c>
      <c r="B15" s="3" t="str">
        <f>IFERROR(IF(IFERROR(MATCH(11,المحفظة!$H$5:$H$104,0),0)=0,"",INDEX(المحفظة!$B$5:$B$104,IFERROR(MATCH(11,المحفظة!$H$5:$H$104,0),0))),"")</f>
        <v/>
      </c>
      <c r="C15" s="79" t="str">
        <f>IFERROR(IF(IFERROR(MATCH(11,المحفظة!$H$5:$H$104,0),0)=0,"",INDEX(المحفظة!$C$5:$C$104,IFERROR(MATCH(11,المحفظة!$H$5:$H$104,0),0))),"")</f>
        <v/>
      </c>
      <c r="D15" s="4" t="s">
        <v>274</v>
      </c>
      <c r="E15" s="5" t="str">
        <f>IFERROR(IF(IFERROR(MATCH(11,المحفظة!$H$5:$H$104,0),0)=0,"",INDEX(المحفظة!$E$5:$E$104,IFERROR(MATCH(11,المحفظة!$H$5:$H$104,0),0))),"")</f>
        <v/>
      </c>
      <c r="F15" s="3" t="str">
        <f>IFERROR(IF(IFERROR(MATCH(11,المحفظة!$H$5:$H$104,0),0)=0,"",INDEX(المحفظة!$F$5:$F$104,IFERROR(MATCH(11,المحفظة!$H$5:$H$104,0),0))),"")</f>
        <v/>
      </c>
      <c r="G15" s="80"/>
    </row>
    <row r="16" spans="1:7" ht="16.5" customHeight="1" x14ac:dyDescent="0.25">
      <c r="A16" s="7" t="str">
        <f>IFERROR(IF(IFERROR(MATCH(12,المحفظة!$H$5:$H$104,0),0)=0,"",INDEX(المحفظة!$A$5:$A$104,IFERROR(MATCH(12,المحفظة!$H$5:$H$104,0),0))),"")</f>
        <v/>
      </c>
      <c r="B16" s="8" t="str">
        <f>IFERROR(IF(IFERROR(MATCH(12,المحفظة!$H$5:$H$104,0),0)=0,"",INDEX(المحفظة!$B$5:$B$104,IFERROR(MATCH(12,المحفظة!$H$5:$H$104,0),0))),"")</f>
        <v/>
      </c>
      <c r="C16" s="81" t="str">
        <f>IFERROR(IF(IFERROR(MATCH(12,المحفظة!$H$5:$H$104,0),0)=0,"",INDEX(المحفظة!$C$5:$C$104,IFERROR(MATCH(12,المحفظة!$H$5:$H$104,0),0))),"")</f>
        <v/>
      </c>
      <c r="D16" s="9" t="s">
        <v>274</v>
      </c>
      <c r="E16" s="10" t="str">
        <f>IFERROR(IF(IFERROR(MATCH(12,المحفظة!$H$5:$H$104,0),0)=0,"",INDEX(المحفظة!$E$5:$E$104,IFERROR(MATCH(12,المحفظة!$H$5:$H$104,0),0))),"")</f>
        <v/>
      </c>
      <c r="F16" s="8" t="str">
        <f>IFERROR(IF(IFERROR(MATCH(12,المحفظة!$H$5:$H$104,0),0)=0,"",INDEX(المحفظة!$F$5:$F$104,IFERROR(MATCH(12,المحفظة!$H$5:$H$104,0),0))),"")</f>
        <v/>
      </c>
      <c r="G16" s="82"/>
    </row>
    <row r="17" spans="1:7" ht="16.5" customHeight="1" x14ac:dyDescent="0.25">
      <c r="A17" s="2" t="str">
        <f>IFERROR(IF(IFERROR(MATCH(13,المحفظة!$H$5:$H$104,0),0)=0,"",INDEX(المحفظة!$A$5:$A$104,IFERROR(MATCH(13,المحفظة!$H$5:$H$104,0),0))),"")</f>
        <v/>
      </c>
      <c r="B17" s="3" t="str">
        <f>IFERROR(IF(IFERROR(MATCH(13,المحفظة!$H$5:$H$104,0),0)=0,"",INDEX(المحفظة!$B$5:$B$104,IFERROR(MATCH(13,المحفظة!$H$5:$H$104,0),0))),"")</f>
        <v/>
      </c>
      <c r="C17" s="79" t="str">
        <f>IFERROR(IF(IFERROR(MATCH(13,المحفظة!$H$5:$H$104,0),0)=0,"",INDEX(المحفظة!$C$5:$C$104,IFERROR(MATCH(13,المحفظة!$H$5:$H$104,0),0))),"")</f>
        <v/>
      </c>
      <c r="D17" s="4" t="s">
        <v>274</v>
      </c>
      <c r="E17" s="5" t="str">
        <f>IFERROR(IF(IFERROR(MATCH(13,المحفظة!$H$5:$H$104,0),0)=0,"",INDEX(المحفظة!$E$5:$E$104,IFERROR(MATCH(13,المحفظة!$H$5:$H$104,0),0))),"")</f>
        <v/>
      </c>
      <c r="F17" s="3" t="str">
        <f>IFERROR(IF(IFERROR(MATCH(13,المحفظة!$H$5:$H$104,0),0)=0,"",INDEX(المحفظة!$F$5:$F$104,IFERROR(MATCH(13,المحفظة!$H$5:$H$104,0),0))),"")</f>
        <v/>
      </c>
      <c r="G17" s="80"/>
    </row>
    <row r="18" spans="1:7" ht="16.5" customHeight="1" x14ac:dyDescent="0.25">
      <c r="A18" s="7" t="str">
        <f>IFERROR(IF(IFERROR(MATCH(14,المحفظة!$H$5:$H$104,0),0)=0,"",INDEX(المحفظة!$A$5:$A$104,IFERROR(MATCH(14,المحفظة!$H$5:$H$104,0),0))),"")</f>
        <v/>
      </c>
      <c r="B18" s="8" t="str">
        <f>IFERROR(IF(IFERROR(MATCH(14,المحفظة!$H$5:$H$104,0),0)=0,"",INDEX(المحفظة!$B$5:$B$104,IFERROR(MATCH(14,المحفظة!$H$5:$H$104,0),0))),"")</f>
        <v/>
      </c>
      <c r="C18" s="81" t="str">
        <f>IFERROR(IF(IFERROR(MATCH(14,المحفظة!$H$5:$H$104,0),0)=0,"",INDEX(المحفظة!$C$5:$C$104,IFERROR(MATCH(14,المحفظة!$H$5:$H$104,0),0))),"")</f>
        <v/>
      </c>
      <c r="D18" s="9" t="s">
        <v>274</v>
      </c>
      <c r="E18" s="10" t="str">
        <f>IFERROR(IF(IFERROR(MATCH(14,المحفظة!$H$5:$H$104,0),0)=0,"",INDEX(المحفظة!$E$5:$E$104,IFERROR(MATCH(14,المحفظة!$H$5:$H$104,0),0))),"")</f>
        <v/>
      </c>
      <c r="F18" s="8" t="str">
        <f>IFERROR(IF(IFERROR(MATCH(14,المحفظة!$H$5:$H$104,0),0)=0,"",INDEX(المحفظة!$F$5:$F$104,IFERROR(MATCH(14,المحفظة!$H$5:$H$104,0),0))),"")</f>
        <v/>
      </c>
      <c r="G18" s="82"/>
    </row>
    <row r="19" spans="1:7" ht="16.5" customHeight="1" x14ac:dyDescent="0.25">
      <c r="A19" s="2" t="str">
        <f>IFERROR(IF(IFERROR(MATCH(15,المحفظة!$H$5:$H$104,0),0)=0,"",INDEX(المحفظة!$A$5:$A$104,IFERROR(MATCH(15,المحفظة!$H$5:$H$104,0),0))),"")</f>
        <v/>
      </c>
      <c r="B19" s="3" t="str">
        <f>IFERROR(IF(IFERROR(MATCH(15,المحفظة!$H$5:$H$104,0),0)=0,"",INDEX(المحفظة!$B$5:$B$104,IFERROR(MATCH(15,المحفظة!$H$5:$H$104,0),0))),"")</f>
        <v/>
      </c>
      <c r="C19" s="79" t="str">
        <f>IFERROR(IF(IFERROR(MATCH(15,المحفظة!$H$5:$H$104,0),0)=0,"",INDEX(المحفظة!$C$5:$C$104,IFERROR(MATCH(15,المحفظة!$H$5:$H$104,0),0))),"")</f>
        <v/>
      </c>
      <c r="D19" s="4" t="s">
        <v>274</v>
      </c>
      <c r="E19" s="5" t="str">
        <f>IFERROR(IF(IFERROR(MATCH(15,المحفظة!$H$5:$H$104,0),0)=0,"",INDEX(المحفظة!$E$5:$E$104,IFERROR(MATCH(15,المحفظة!$H$5:$H$104,0),0))),"")</f>
        <v/>
      </c>
      <c r="F19" s="3" t="str">
        <f>IFERROR(IF(IFERROR(MATCH(15,المحفظة!$H$5:$H$104,0),0)=0,"",INDEX(المحفظة!$F$5:$F$104,IFERROR(MATCH(15,المحفظة!$H$5:$H$104,0),0))),"")</f>
        <v/>
      </c>
      <c r="G19" s="80"/>
    </row>
    <row r="20" spans="1:7" ht="16.5" customHeight="1" x14ac:dyDescent="0.25">
      <c r="A20" s="7" t="str">
        <f>IFERROR(IF(IFERROR(MATCH(16,المحفظة!$H$5:$H$104,0),0)=0,"",INDEX(المحفظة!$A$5:$A$104,IFERROR(MATCH(16,المحفظة!$H$5:$H$104,0),0))),"")</f>
        <v/>
      </c>
      <c r="B20" s="8" t="str">
        <f>IFERROR(IF(IFERROR(MATCH(16,المحفظة!$H$5:$H$104,0),0)=0,"",INDEX(المحفظة!$B$5:$B$104,IFERROR(MATCH(16,المحفظة!$H$5:$H$104,0),0))),"")</f>
        <v/>
      </c>
      <c r="C20" s="81" t="str">
        <f>IFERROR(IF(IFERROR(MATCH(16,المحفظة!$H$5:$H$104,0),0)=0,"",INDEX(المحفظة!$C$5:$C$104,IFERROR(MATCH(16,المحفظة!$H$5:$H$104,0),0))),"")</f>
        <v/>
      </c>
      <c r="D20" s="9" t="s">
        <v>274</v>
      </c>
      <c r="E20" s="10" t="str">
        <f>IFERROR(IF(IFERROR(MATCH(16,المحفظة!$H$5:$H$104,0),0)=0,"",INDEX(المحفظة!$E$5:$E$104,IFERROR(MATCH(16,المحفظة!$H$5:$H$104,0),0))),"")</f>
        <v/>
      </c>
      <c r="F20" s="8" t="str">
        <f>IFERROR(IF(IFERROR(MATCH(16,المحفظة!$H$5:$H$104,0),0)=0,"",INDEX(المحفظة!$F$5:$F$104,IFERROR(MATCH(16,المحفظة!$H$5:$H$104,0),0))),"")</f>
        <v/>
      </c>
      <c r="G20" s="82"/>
    </row>
    <row r="21" spans="1:7" ht="16.5" customHeight="1" x14ac:dyDescent="0.25">
      <c r="A21" s="2" t="str">
        <f>IFERROR(IF(IFERROR(MATCH(17,المحفظة!$H$5:$H$104,0),0)=0,"",INDEX(المحفظة!$A$5:$A$104,IFERROR(MATCH(17,المحفظة!$H$5:$H$104,0),0))),"")</f>
        <v/>
      </c>
      <c r="B21" s="3" t="str">
        <f>IFERROR(IF(IFERROR(MATCH(17,المحفظة!$H$5:$H$104,0),0)=0,"",INDEX(المحفظة!$B$5:$B$104,IFERROR(MATCH(17,المحفظة!$H$5:$H$104,0),0))),"")</f>
        <v/>
      </c>
      <c r="C21" s="79" t="str">
        <f>IFERROR(IF(IFERROR(MATCH(17,المحفظة!$H$5:$H$104,0),0)=0,"",INDEX(المحفظة!$C$5:$C$104,IFERROR(MATCH(17,المحفظة!$H$5:$H$104,0),0))),"")</f>
        <v/>
      </c>
      <c r="D21" s="4" t="s">
        <v>274</v>
      </c>
      <c r="E21" s="5" t="str">
        <f>IFERROR(IF(IFERROR(MATCH(17,المحفظة!$H$5:$H$104,0),0)=0,"",INDEX(المحفظة!$E$5:$E$104,IFERROR(MATCH(17,المحفظة!$H$5:$H$104,0),0))),"")</f>
        <v/>
      </c>
      <c r="F21" s="3" t="str">
        <f>IFERROR(IF(IFERROR(MATCH(17,المحفظة!$H$5:$H$104,0),0)=0,"",INDEX(المحفظة!$F$5:$F$104,IFERROR(MATCH(17,المحفظة!$H$5:$H$104,0),0))),"")</f>
        <v/>
      </c>
      <c r="G21" s="80"/>
    </row>
    <row r="22" spans="1:7" ht="16.5" customHeight="1" x14ac:dyDescent="0.25">
      <c r="A22" s="7" t="str">
        <f>IFERROR(IF(IFERROR(MATCH(18,المحفظة!$H$5:$H$104,0),0)=0,"",INDEX(المحفظة!$A$5:$A$104,IFERROR(MATCH(18,المحفظة!$H$5:$H$104,0),0))),"")</f>
        <v/>
      </c>
      <c r="B22" s="8" t="str">
        <f>IFERROR(IF(IFERROR(MATCH(18,المحفظة!$H$5:$H$104,0),0)=0,"",INDEX(المحفظة!$B$5:$B$104,IFERROR(MATCH(18,المحفظة!$H$5:$H$104,0),0))),"")</f>
        <v/>
      </c>
      <c r="C22" s="81" t="str">
        <f>IFERROR(IF(IFERROR(MATCH(18,المحفظة!$H$5:$H$104,0),0)=0,"",INDEX(المحفظة!$C$5:$C$104,IFERROR(MATCH(18,المحفظة!$H$5:$H$104,0),0))),"")</f>
        <v/>
      </c>
      <c r="D22" s="9" t="s">
        <v>274</v>
      </c>
      <c r="E22" s="10" t="str">
        <f>IFERROR(IF(IFERROR(MATCH(18,المحفظة!$H$5:$H$104,0),0)=0,"",INDEX(المحفظة!$E$5:$E$104,IFERROR(MATCH(18,المحفظة!$H$5:$H$104,0),0))),"")</f>
        <v/>
      </c>
      <c r="F22" s="8" t="str">
        <f>IFERROR(IF(IFERROR(MATCH(18,المحفظة!$H$5:$H$104,0),0)=0,"",INDEX(المحفظة!$F$5:$F$104,IFERROR(MATCH(18,المحفظة!$H$5:$H$104,0),0))),"")</f>
        <v/>
      </c>
      <c r="G22" s="82"/>
    </row>
    <row r="23" spans="1:7" ht="16.5" customHeight="1" x14ac:dyDescent="0.25">
      <c r="A23" s="2" t="str">
        <f>IFERROR(IF(IFERROR(MATCH(19,المحفظة!$H$5:$H$104,0),0)=0,"",INDEX(المحفظة!$A$5:$A$104,IFERROR(MATCH(19,المحفظة!$H$5:$H$104,0),0))),"")</f>
        <v/>
      </c>
      <c r="B23" s="3" t="str">
        <f>IFERROR(IF(IFERROR(MATCH(19,المحفظة!$H$5:$H$104,0),0)=0,"",INDEX(المحفظة!$B$5:$B$104,IFERROR(MATCH(19,المحفظة!$H$5:$H$104,0),0))),"")</f>
        <v/>
      </c>
      <c r="C23" s="79" t="str">
        <f>IFERROR(IF(IFERROR(MATCH(19,المحفظة!$H$5:$H$104,0),0)=0,"",INDEX(المحفظة!$C$5:$C$104,IFERROR(MATCH(19,المحفظة!$H$5:$H$104,0),0))),"")</f>
        <v/>
      </c>
      <c r="D23" s="4" t="s">
        <v>274</v>
      </c>
      <c r="E23" s="5" t="str">
        <f>IFERROR(IF(IFERROR(MATCH(19,المحفظة!$H$5:$H$104,0),0)=0,"",INDEX(المحفظة!$E$5:$E$104,IFERROR(MATCH(19,المحفظة!$H$5:$H$104,0),0))),"")</f>
        <v/>
      </c>
      <c r="F23" s="3" t="str">
        <f>IFERROR(IF(IFERROR(MATCH(19,المحفظة!$H$5:$H$104,0),0)=0,"",INDEX(المحفظة!$F$5:$F$104,IFERROR(MATCH(19,المحفظة!$H$5:$H$104,0),0))),"")</f>
        <v/>
      </c>
      <c r="G23" s="80"/>
    </row>
    <row r="24" spans="1:7" ht="15" customHeight="1" x14ac:dyDescent="0.25">
      <c r="A24" s="83" t="str">
        <f>IFERROR(IF(IFERROR(MATCH(20,المحفظة!$H$5:$H$104,0),0)=0,"",INDEX(المحفظة!$A$5:$A$104,IFERROR(MATCH(20,المحفظة!$H$5:$H$104,0),0))),"")</f>
        <v/>
      </c>
      <c r="B24" s="84" t="str">
        <f>IFERROR(IF(IFERROR(MATCH(20,المحفظة!$H$5:$H$104,0),0)=0,"",INDEX(المحفظة!$B$5:$B$104,IFERROR(MATCH(20,المحفظة!$H$5:$H$104,0),0))),"")</f>
        <v/>
      </c>
      <c r="C24" s="85" t="str">
        <f>IFERROR(IF(IFERROR(MATCH(20,المحفظة!$H$5:$H$104,0),0)=0,"",INDEX(المحفظة!$C$5:$C$104,IFERROR(MATCH(20,المحفظة!$H$5:$H$104,0),0))),"")</f>
        <v/>
      </c>
      <c r="D24" s="86" t="s">
        <v>274</v>
      </c>
      <c r="E24" s="87" t="str">
        <f>IFERROR(IF(IFERROR(MATCH(20,المحفظة!$H$5:$H$104,0),0)=0,"",INDEX(المحفظة!$E$5:$E$104,IFERROR(MATCH(20,المحفظة!$H$5:$H$104,0),0))),"")</f>
        <v/>
      </c>
      <c r="F24" s="84" t="str">
        <f>IFERROR(IF(IFERROR(MATCH(20,المحفظة!$H$5:$H$104,0),0)=0,"",INDEX(المحفظة!$F$5:$F$104,IFERROR(MATCH(20,المحفظة!$H$5:$H$104,0),0))),"")</f>
        <v/>
      </c>
      <c r="G24" s="11"/>
    </row>
    <row r="25" spans="1:7" ht="15" customHeight="1" x14ac:dyDescent="0.25">
      <c r="A25" s="88" t="str">
        <f>IFERROR(IF(IFERROR(MATCH(21,المحفظة!$H$5:$H$104,0),0)=0,"",INDEX(المحفظة!$A$5:$A$104,IFERROR(MATCH(21,المحفظة!$H$5:$H$104,0),0))),"")</f>
        <v/>
      </c>
      <c r="B25" s="89" t="str">
        <f>IFERROR(IF(IFERROR(MATCH(21,المحفظة!$H$5:$H$104,0),0)=0,"",INDEX(المحفظة!$B$5:$B$104,IFERROR(MATCH(21,المحفظة!$H$5:$H$104,0),0))),"")</f>
        <v/>
      </c>
      <c r="C25" s="90" t="str">
        <f>IFERROR(IF(IFERROR(MATCH(21,المحفظة!$H$5:$H$104,0),0)=0,"",INDEX(المحفظة!$C$5:$C$104,IFERROR(MATCH(21,المحفظة!$H$5:$H$104,0),0))),"")</f>
        <v/>
      </c>
      <c r="D25" s="91" t="s">
        <v>274</v>
      </c>
      <c r="E25" s="92" t="str">
        <f>IFERROR(IF(IFERROR(MATCH(21,المحفظة!$H$5:$H$104,0),0)=0,"",INDEX(المحفظة!$E$5:$E$104,IFERROR(MATCH(21,المحفظة!$H$5:$H$104,0),0))),"")</f>
        <v/>
      </c>
      <c r="F25" s="89" t="str">
        <f>IFERROR(IF(IFERROR(MATCH(21,المحفظة!$H$5:$H$104,0),0)=0,"",INDEX(المحفظة!$F$5:$F$104,IFERROR(MATCH(21,المحفظة!$H$5:$H$104,0),0))),"")</f>
        <v/>
      </c>
      <c r="G25" s="6"/>
    </row>
    <row r="26" spans="1:7" ht="15" customHeight="1" x14ac:dyDescent="0.25">
      <c r="A26" s="83" t="str">
        <f>IFERROR(IF(IFERROR(MATCH(22,المحفظة!$H$5:$H$104,0),0)=0,"",INDEX(المحفظة!$A$5:$A$104,IFERROR(MATCH(22,المحفظة!$H$5:$H$104,0),0))),"")</f>
        <v/>
      </c>
      <c r="B26" s="84" t="str">
        <f>IFERROR(IF(IFERROR(MATCH(22,المحفظة!$H$5:$H$104,0),0)=0,"",INDEX(المحفظة!$B$5:$B$104,IFERROR(MATCH(22,المحفظة!$H$5:$H$104,0),0))),"")</f>
        <v/>
      </c>
      <c r="C26" s="85" t="str">
        <f>IFERROR(IF(IFERROR(MATCH(22,المحفظة!$H$5:$H$104,0),0)=0,"",INDEX(المحفظة!$C$5:$C$104,IFERROR(MATCH(22,المحفظة!$H$5:$H$104,0),0))),"")</f>
        <v/>
      </c>
      <c r="D26" s="86" t="s">
        <v>274</v>
      </c>
      <c r="E26" s="87" t="str">
        <f>IFERROR(IF(IFERROR(MATCH(22,المحفظة!$H$5:$H$104,0),0)=0,"",INDEX(المحفظة!$E$5:$E$104,IFERROR(MATCH(22,المحفظة!$H$5:$H$104,0),0))),"")</f>
        <v/>
      </c>
      <c r="F26" s="84" t="str">
        <f>IFERROR(IF(IFERROR(MATCH(22,المحفظة!$H$5:$H$104,0),0)=0,"",INDEX(المحفظة!$F$5:$F$104,IFERROR(MATCH(22,المحفظة!$H$5:$H$104,0),0))),"")</f>
        <v/>
      </c>
      <c r="G26" s="11"/>
    </row>
    <row r="27" spans="1:7" ht="15" customHeight="1" x14ac:dyDescent="0.25">
      <c r="A27" s="88" t="str">
        <f>IFERROR(IF(IFERROR(MATCH(23,المحفظة!$H$5:$H$104,0),0)=0,"",INDEX(المحفظة!$A$5:$A$104,IFERROR(MATCH(23,المحفظة!$H$5:$H$104,0),0))),"")</f>
        <v/>
      </c>
      <c r="B27" s="89" t="str">
        <f>IFERROR(IF(IFERROR(MATCH(23,المحفظة!$H$5:$H$104,0),0)=0,"",INDEX(المحفظة!$B$5:$B$104,IFERROR(MATCH(23,المحفظة!$H$5:$H$104,0),0))),"")</f>
        <v/>
      </c>
      <c r="C27" s="90" t="str">
        <f>IFERROR(IF(IFERROR(MATCH(23,المحفظة!$H$5:$H$104,0),0)=0,"",INDEX(المحفظة!$C$5:$C$104,IFERROR(MATCH(23,المحفظة!$H$5:$H$104,0),0))),"")</f>
        <v/>
      </c>
      <c r="D27" s="91" t="s">
        <v>274</v>
      </c>
      <c r="E27" s="92" t="str">
        <f>IFERROR(IF(IFERROR(MATCH(23,المحفظة!$H$5:$H$104,0),0)=0,"",INDEX(المحفظة!$E$5:$E$104,IFERROR(MATCH(23,المحفظة!$H$5:$H$104,0),0))),"")</f>
        <v/>
      </c>
      <c r="F27" s="89" t="str">
        <f>IFERROR(IF(IFERROR(MATCH(23,المحفظة!$H$5:$H$104,0),0)=0,"",INDEX(المحفظة!$F$5:$F$104,IFERROR(MATCH(23,المحفظة!$H$5:$H$104,0),0))),"")</f>
        <v/>
      </c>
      <c r="G27" s="6"/>
    </row>
    <row r="28" spans="1:7" ht="15" customHeight="1" x14ac:dyDescent="0.25">
      <c r="A28" s="83" t="str">
        <f>IFERROR(IF(IFERROR(MATCH(24,المحفظة!$H$5:$H$104,0),0)=0,"",INDEX(المحفظة!$A$5:$A$104,IFERROR(MATCH(24,المحفظة!$H$5:$H$104,0),0))),"")</f>
        <v/>
      </c>
      <c r="B28" s="84" t="str">
        <f>IFERROR(IF(IFERROR(MATCH(24,المحفظة!$H$5:$H$104,0),0)=0,"",INDEX(المحفظة!$B$5:$B$104,IFERROR(MATCH(24,المحفظة!$H$5:$H$104,0),0))),"")</f>
        <v/>
      </c>
      <c r="C28" s="85" t="str">
        <f>IFERROR(IF(IFERROR(MATCH(24,المحفظة!$H$5:$H$104,0),0)=0,"",INDEX(المحفظة!$C$5:$C$104,IFERROR(MATCH(24,المحفظة!$H$5:$H$104,0),0))),"")</f>
        <v/>
      </c>
      <c r="D28" s="86" t="s">
        <v>274</v>
      </c>
      <c r="E28" s="87" t="str">
        <f>IFERROR(IF(IFERROR(MATCH(24,المحفظة!$H$5:$H$104,0),0)=0,"",INDEX(المحفظة!$E$5:$E$104,IFERROR(MATCH(24,المحفظة!$H$5:$H$104,0),0))),"")</f>
        <v/>
      </c>
      <c r="F28" s="84" t="str">
        <f>IFERROR(IF(IFERROR(MATCH(24,المحفظة!$H$5:$H$104,0),0)=0,"",INDEX(المحفظة!$F$5:$F$104,IFERROR(MATCH(24,المحفظة!$H$5:$H$104,0),0))),"")</f>
        <v/>
      </c>
      <c r="G28" s="11"/>
    </row>
    <row r="29" spans="1:7" ht="15" customHeight="1" x14ac:dyDescent="0.25">
      <c r="A29" s="88" t="str">
        <f>IFERROR(IF(IFERROR(MATCH(25,المحفظة!$H$5:$H$104,0),0)=0,"",INDEX(المحفظة!$A$5:$A$104,IFERROR(MATCH(25,المحفظة!$H$5:$H$104,0),0))),"")</f>
        <v/>
      </c>
      <c r="B29" s="89" t="str">
        <f>IFERROR(IF(IFERROR(MATCH(25,المحفظة!$H$5:$H$104,0),0)=0,"",INDEX(المحفظة!$B$5:$B$104,IFERROR(MATCH(25,المحفظة!$H$5:$H$104,0),0))),"")</f>
        <v/>
      </c>
      <c r="C29" s="90" t="str">
        <f>IFERROR(IF(IFERROR(MATCH(25,المحفظة!$H$5:$H$104,0),0)=0,"",INDEX(المحفظة!$C$5:$C$104,IFERROR(MATCH(25,المحفظة!$H$5:$H$104,0),0))),"")</f>
        <v/>
      </c>
      <c r="D29" s="91" t="s">
        <v>274</v>
      </c>
      <c r="E29" s="92" t="str">
        <f>IFERROR(IF(IFERROR(MATCH(25,المحفظة!$H$5:$H$104,0),0)=0,"",INDEX(المحفظة!$E$5:$E$104,IFERROR(MATCH(25,المحفظة!$H$5:$H$104,0),0))),"")</f>
        <v/>
      </c>
      <c r="F29" s="89" t="str">
        <f>IFERROR(IF(IFERROR(MATCH(25,المحفظة!$H$5:$H$104,0),0)=0,"",INDEX(المحفظة!$F$5:$F$104,IFERROR(MATCH(25,المحفظة!$H$5:$H$104,0),0))),"")</f>
        <v/>
      </c>
      <c r="G29" s="6"/>
    </row>
    <row r="30" spans="1:7" ht="15" customHeight="1" x14ac:dyDescent="0.25">
      <c r="A30" s="83" t="str">
        <f>IFERROR(IF(IFERROR(MATCH(26,المحفظة!$H$5:$H$104,0),0)=0,"",INDEX(المحفظة!$A$5:$A$104,IFERROR(MATCH(26,المحفظة!$H$5:$H$104,0),0))),"")</f>
        <v/>
      </c>
      <c r="B30" s="84" t="str">
        <f>IFERROR(IF(IFERROR(MATCH(26,المحفظة!$H$5:$H$104,0),0)=0,"",INDEX(المحفظة!$B$5:$B$104,IFERROR(MATCH(26,المحفظة!$H$5:$H$104,0),0))),"")</f>
        <v/>
      </c>
      <c r="C30" s="85" t="str">
        <f>IFERROR(IF(IFERROR(MATCH(26,المحفظة!$H$5:$H$104,0),0)=0,"",INDEX(المحفظة!$C$5:$C$104,IFERROR(MATCH(26,المحفظة!$H$5:$H$104,0),0))),"")</f>
        <v/>
      </c>
      <c r="D30" s="86" t="s">
        <v>274</v>
      </c>
      <c r="E30" s="87" t="str">
        <f>IFERROR(IF(IFERROR(MATCH(26,المحفظة!$H$5:$H$104,0),0)=0,"",INDEX(المحفظة!$E$5:$E$104,IFERROR(MATCH(26,المحفظة!$H$5:$H$104,0),0))),"")</f>
        <v/>
      </c>
      <c r="F30" s="84" t="str">
        <f>IFERROR(IF(IFERROR(MATCH(26,المحفظة!$H$5:$H$104,0),0)=0,"",INDEX(المحفظة!$F$5:$F$104,IFERROR(MATCH(26,المحفظة!$H$5:$H$104,0),0))),"")</f>
        <v/>
      </c>
      <c r="G30" s="11"/>
    </row>
    <row r="31" spans="1:7" ht="15" customHeight="1" x14ac:dyDescent="0.25">
      <c r="A31" s="88" t="str">
        <f>IFERROR(IF(IFERROR(MATCH(27,المحفظة!$H$5:$H$104,0),0)=0,"",INDEX(المحفظة!$A$5:$A$104,IFERROR(MATCH(27,المحفظة!$H$5:$H$104,0),0))),"")</f>
        <v/>
      </c>
      <c r="B31" s="89" t="str">
        <f>IFERROR(IF(IFERROR(MATCH(27,المحفظة!$H$5:$H$104,0),0)=0,"",INDEX(المحفظة!$B$5:$B$104,IFERROR(MATCH(27,المحفظة!$H$5:$H$104,0),0))),"")</f>
        <v/>
      </c>
      <c r="C31" s="90" t="str">
        <f>IFERROR(IF(IFERROR(MATCH(27,المحفظة!$H$5:$H$104,0),0)=0,"",INDEX(المحفظة!$C$5:$C$104,IFERROR(MATCH(27,المحفظة!$H$5:$H$104,0),0))),"")</f>
        <v/>
      </c>
      <c r="D31" s="91" t="s">
        <v>274</v>
      </c>
      <c r="E31" s="92" t="str">
        <f>IFERROR(IF(IFERROR(MATCH(27,المحفظة!$H$5:$H$104,0),0)=0,"",INDEX(المحفظة!$E$5:$E$104,IFERROR(MATCH(27,المحفظة!$H$5:$H$104,0),0))),"")</f>
        <v/>
      </c>
      <c r="F31" s="89" t="str">
        <f>IFERROR(IF(IFERROR(MATCH(27,المحفظة!$H$5:$H$104,0),0)=0,"",INDEX(المحفظة!$F$5:$F$104,IFERROR(MATCH(27,المحفظة!$H$5:$H$104,0),0))),"")</f>
        <v/>
      </c>
      <c r="G31" s="6"/>
    </row>
    <row r="32" spans="1:7" ht="15" customHeight="1" x14ac:dyDescent="0.25">
      <c r="A32" s="83" t="str">
        <f>IFERROR(IF(IFERROR(MATCH(28,المحفظة!$H$5:$H$104,0),0)=0,"",INDEX(المحفظة!$A$5:$A$104,IFERROR(MATCH(28,المحفظة!$H$5:$H$104,0),0))),"")</f>
        <v/>
      </c>
      <c r="B32" s="84" t="str">
        <f>IFERROR(IF(IFERROR(MATCH(28,المحفظة!$H$5:$H$104,0),0)=0,"",INDEX(المحفظة!$B$5:$B$104,IFERROR(MATCH(28,المحفظة!$H$5:$H$104,0),0))),"")</f>
        <v/>
      </c>
      <c r="C32" s="85" t="str">
        <f>IFERROR(IF(IFERROR(MATCH(28,المحفظة!$H$5:$H$104,0),0)=0,"",INDEX(المحفظة!$C$5:$C$104,IFERROR(MATCH(28,المحفظة!$H$5:$H$104,0),0))),"")</f>
        <v/>
      </c>
      <c r="D32" s="86" t="s">
        <v>274</v>
      </c>
      <c r="E32" s="87" t="str">
        <f>IFERROR(IF(IFERROR(MATCH(28,المحفظة!$H$5:$H$104,0),0)=0,"",INDEX(المحفظة!$E$5:$E$104,IFERROR(MATCH(28,المحفظة!$H$5:$H$104,0),0))),"")</f>
        <v/>
      </c>
      <c r="F32" s="84" t="str">
        <f>IFERROR(IF(IFERROR(MATCH(28,المحفظة!$H$5:$H$104,0),0)=0,"",INDEX(المحفظة!$F$5:$F$104,IFERROR(MATCH(28,المحفظة!$H$5:$H$104,0),0))),"")</f>
        <v/>
      </c>
      <c r="G32" s="11"/>
    </row>
    <row r="33" spans="1:7" ht="15" customHeight="1" x14ac:dyDescent="0.25">
      <c r="A33" s="88" t="str">
        <f>IFERROR(IF(IFERROR(MATCH(29,المحفظة!$H$5:$H$104,0),0)=0,"",INDEX(المحفظة!$A$5:$A$104,IFERROR(MATCH(29,المحفظة!$H$5:$H$104,0),0))),"")</f>
        <v/>
      </c>
      <c r="B33" s="89" t="str">
        <f>IFERROR(IF(IFERROR(MATCH(29,المحفظة!$H$5:$H$104,0),0)=0,"",INDEX(المحفظة!$B$5:$B$104,IFERROR(MATCH(29,المحفظة!$H$5:$H$104,0),0))),"")</f>
        <v/>
      </c>
      <c r="C33" s="90" t="str">
        <f>IFERROR(IF(IFERROR(MATCH(29,المحفظة!$H$5:$H$104,0),0)=0,"",INDEX(المحفظة!$C$5:$C$104,IFERROR(MATCH(29,المحفظة!$H$5:$H$104,0),0))),"")</f>
        <v/>
      </c>
      <c r="D33" s="91" t="s">
        <v>274</v>
      </c>
      <c r="E33" s="92" t="str">
        <f>IFERROR(IF(IFERROR(MATCH(29,المحفظة!$H$5:$H$104,0),0)=0,"",INDEX(المحفظة!$E$5:$E$104,IFERROR(MATCH(29,المحفظة!$H$5:$H$104,0),0))),"")</f>
        <v/>
      </c>
      <c r="F33" s="89" t="str">
        <f>IFERROR(IF(IFERROR(MATCH(29,المحفظة!$H$5:$H$104,0),0)=0,"",INDEX(المحفظة!$F$5:$F$104,IFERROR(MATCH(29,المحفظة!$H$5:$H$104,0),0))),"")</f>
        <v/>
      </c>
      <c r="G33" s="6"/>
    </row>
    <row r="34" spans="1:7" ht="15" customHeight="1" x14ac:dyDescent="0.25">
      <c r="A34" s="83" t="str">
        <f>IFERROR(IF(IFERROR(MATCH(30,المحفظة!$H$5:$H$104,0),0)=0,"",INDEX(المحفظة!$A$5:$A$104,IFERROR(MATCH(30,المحفظة!$H$5:$H$104,0),0))),"")</f>
        <v/>
      </c>
      <c r="B34" s="84" t="str">
        <f>IFERROR(IF(IFERROR(MATCH(30,المحفظة!$H$5:$H$104,0),0)=0,"",INDEX(المحفظة!$B$5:$B$104,IFERROR(MATCH(30,المحفظة!$H$5:$H$104,0),0))),"")</f>
        <v/>
      </c>
      <c r="C34" s="85" t="str">
        <f>IFERROR(IF(IFERROR(MATCH(30,المحفظة!$H$5:$H$104,0),0)=0,"",INDEX(المحفظة!$C$5:$C$104,IFERROR(MATCH(30,المحفظة!$H$5:$H$104,0),0))),"")</f>
        <v/>
      </c>
      <c r="D34" s="86" t="s">
        <v>274</v>
      </c>
      <c r="E34" s="87" t="str">
        <f>IFERROR(IF(IFERROR(MATCH(30,المحفظة!$H$5:$H$104,0),0)=0,"",INDEX(المحفظة!$E$5:$E$104,IFERROR(MATCH(30,المحفظة!$H$5:$H$104,0),0))),"")</f>
        <v/>
      </c>
      <c r="F34" s="84" t="str">
        <f>IFERROR(IF(IFERROR(MATCH(30,المحفظة!$H$5:$H$104,0),0)=0,"",INDEX(المحفظة!$F$5:$F$104,IFERROR(MATCH(30,المحفظة!$H$5:$H$104,0),0))),"")</f>
        <v/>
      </c>
      <c r="G34" s="11"/>
    </row>
    <row r="35" spans="1:7" ht="15" customHeight="1" x14ac:dyDescent="0.25">
      <c r="A35" s="88" t="str">
        <f>IFERROR(IF(IFERROR(MATCH(31,المحفظة!$H$5:$H$104,0),0)=0,"",INDEX(المحفظة!$A$5:$A$104,IFERROR(MATCH(31,المحفظة!$H$5:$H$104,0),0))),"")</f>
        <v/>
      </c>
      <c r="B35" s="89" t="str">
        <f>IFERROR(IF(IFERROR(MATCH(31,المحفظة!$H$5:$H$104,0),0)=0,"",INDEX(المحفظة!$B$5:$B$104,IFERROR(MATCH(31,المحفظة!$H$5:$H$104,0),0))),"")</f>
        <v/>
      </c>
      <c r="C35" s="90" t="str">
        <f>IFERROR(IF(IFERROR(MATCH(31,المحفظة!$H$5:$H$104,0),0)=0,"",INDEX(المحفظة!$C$5:$C$104,IFERROR(MATCH(31,المحفظة!$H$5:$H$104,0),0))),"")</f>
        <v/>
      </c>
      <c r="D35" s="91" t="s">
        <v>274</v>
      </c>
      <c r="E35" s="92" t="str">
        <f>IFERROR(IF(IFERROR(MATCH(31,المحفظة!$H$5:$H$104,0),0)=0,"",INDEX(المحفظة!$E$5:$E$104,IFERROR(MATCH(31,المحفظة!$H$5:$H$104,0),0))),"")</f>
        <v/>
      </c>
      <c r="F35" s="89" t="str">
        <f>IFERROR(IF(IFERROR(MATCH(31,المحفظة!$H$5:$H$104,0),0)=0,"",INDEX(المحفظة!$F$5:$F$104,IFERROR(MATCH(31,المحفظة!$H$5:$H$104,0),0))),"")</f>
        <v/>
      </c>
      <c r="G35" s="6"/>
    </row>
    <row r="36" spans="1:7" ht="15" customHeight="1" x14ac:dyDescent="0.25">
      <c r="A36" s="83" t="str">
        <f>IFERROR(IF(IFERROR(MATCH(32,المحفظة!$H$5:$H$104,0),0)=0,"",INDEX(المحفظة!$A$5:$A$104,IFERROR(MATCH(32,المحفظة!$H$5:$H$104,0),0))),"")</f>
        <v/>
      </c>
      <c r="B36" s="84" t="str">
        <f>IFERROR(IF(IFERROR(MATCH(32,المحفظة!$H$5:$H$104,0),0)=0,"",INDEX(المحفظة!$B$5:$B$104,IFERROR(MATCH(32,المحفظة!$H$5:$H$104,0),0))),"")</f>
        <v/>
      </c>
      <c r="C36" s="85" t="str">
        <f>IFERROR(IF(IFERROR(MATCH(32,المحفظة!$H$5:$H$104,0),0)=0,"",INDEX(المحفظة!$C$5:$C$104,IFERROR(MATCH(32,المحفظة!$H$5:$H$104,0),0))),"")</f>
        <v/>
      </c>
      <c r="D36" s="86" t="s">
        <v>274</v>
      </c>
      <c r="E36" s="87" t="str">
        <f>IFERROR(IF(IFERROR(MATCH(32,المحفظة!$H$5:$H$104,0),0)=0,"",INDEX(المحفظة!$E$5:$E$104,IFERROR(MATCH(32,المحفظة!$H$5:$H$104,0),0))),"")</f>
        <v/>
      </c>
      <c r="F36" s="84" t="str">
        <f>IFERROR(IF(IFERROR(MATCH(32,المحفظة!$H$5:$H$104,0),0)=0,"",INDEX(المحفظة!$F$5:$F$104,IFERROR(MATCH(32,المحفظة!$H$5:$H$104,0),0))),"")</f>
        <v/>
      </c>
      <c r="G36" s="11"/>
    </row>
    <row r="37" spans="1:7" ht="15" customHeight="1" x14ac:dyDescent="0.25">
      <c r="A37" s="88" t="str">
        <f>IFERROR(IF(IFERROR(MATCH(33,المحفظة!$H$5:$H$104,0),0)=0,"",INDEX(المحفظة!$A$5:$A$104,IFERROR(MATCH(33,المحفظة!$H$5:$H$104,0),0))),"")</f>
        <v/>
      </c>
      <c r="B37" s="89" t="str">
        <f>IFERROR(IF(IFERROR(MATCH(33,المحفظة!$H$5:$H$104,0),0)=0,"",INDEX(المحفظة!$B$5:$B$104,IFERROR(MATCH(33,المحفظة!$H$5:$H$104,0),0))),"")</f>
        <v/>
      </c>
      <c r="C37" s="90" t="str">
        <f>IFERROR(IF(IFERROR(MATCH(33,المحفظة!$H$5:$H$104,0),0)=0,"",INDEX(المحفظة!$C$5:$C$104,IFERROR(MATCH(33,المحفظة!$H$5:$H$104,0),0))),"")</f>
        <v/>
      </c>
      <c r="D37" s="91" t="s">
        <v>274</v>
      </c>
      <c r="E37" s="92" t="str">
        <f>IFERROR(IF(IFERROR(MATCH(33,المحفظة!$H$5:$H$104,0),0)=0,"",INDEX(المحفظة!$E$5:$E$104,IFERROR(MATCH(33,المحفظة!$H$5:$H$104,0),0))),"")</f>
        <v/>
      </c>
      <c r="F37" s="89" t="str">
        <f>IFERROR(IF(IFERROR(MATCH(33,المحفظة!$H$5:$H$104,0),0)=0,"",INDEX(المحفظة!$F$5:$F$104,IFERROR(MATCH(33,المحفظة!$H$5:$H$104,0),0))),"")</f>
        <v/>
      </c>
      <c r="G37" s="6"/>
    </row>
    <row r="38" spans="1:7" ht="15" customHeight="1" x14ac:dyDescent="0.25">
      <c r="A38" s="83" t="str">
        <f>IFERROR(IF(IFERROR(MATCH(34,المحفظة!$H$5:$H$104,0),0)=0,"",INDEX(المحفظة!$A$5:$A$104,IFERROR(MATCH(34,المحفظة!$H$5:$H$104,0),0))),"")</f>
        <v/>
      </c>
      <c r="B38" s="84" t="str">
        <f>IFERROR(IF(IFERROR(MATCH(34,المحفظة!$H$5:$H$104,0),0)=0,"",INDEX(المحفظة!$B$5:$B$104,IFERROR(MATCH(34,المحفظة!$H$5:$H$104,0),0))),"")</f>
        <v/>
      </c>
      <c r="C38" s="85" t="str">
        <f>IFERROR(IF(IFERROR(MATCH(34,المحفظة!$H$5:$H$104,0),0)=0,"",INDEX(المحفظة!$C$5:$C$104,IFERROR(MATCH(34,المحفظة!$H$5:$H$104,0),0))),"")</f>
        <v/>
      </c>
      <c r="D38" s="86" t="s">
        <v>274</v>
      </c>
      <c r="E38" s="87" t="str">
        <f>IFERROR(IF(IFERROR(MATCH(34,المحفظة!$H$5:$H$104,0),0)=0,"",INDEX(المحفظة!$E$5:$E$104,IFERROR(MATCH(34,المحفظة!$H$5:$H$104,0),0))),"")</f>
        <v/>
      </c>
      <c r="F38" s="84" t="str">
        <f>IFERROR(IF(IFERROR(MATCH(34,المحفظة!$H$5:$H$104,0),0)=0,"",INDEX(المحفظة!$F$5:$F$104,IFERROR(MATCH(34,المحفظة!$H$5:$H$104,0),0))),"")</f>
        <v/>
      </c>
      <c r="G38" s="11"/>
    </row>
    <row r="39" spans="1:7" ht="15" customHeight="1" x14ac:dyDescent="0.25">
      <c r="A39" s="88" t="str">
        <f>IFERROR(IF(IFERROR(MATCH(35,المحفظة!$H$5:$H$104,0),0)=0,"",INDEX(المحفظة!$A$5:$A$104,IFERROR(MATCH(35,المحفظة!$H$5:$H$104,0),0))),"")</f>
        <v/>
      </c>
      <c r="B39" s="89" t="str">
        <f>IFERROR(IF(IFERROR(MATCH(35,المحفظة!$H$5:$H$104,0),0)=0,"",INDEX(المحفظة!$B$5:$B$104,IFERROR(MATCH(35,المحفظة!$H$5:$H$104,0),0))),"")</f>
        <v/>
      </c>
      <c r="C39" s="90" t="str">
        <f>IFERROR(IF(IFERROR(MATCH(35,المحفظة!$H$5:$H$104,0),0)=0,"",INDEX(المحفظة!$C$5:$C$104,IFERROR(MATCH(35,المحفظة!$H$5:$H$104,0),0))),"")</f>
        <v/>
      </c>
      <c r="D39" s="91" t="s">
        <v>274</v>
      </c>
      <c r="E39" s="92" t="str">
        <f>IFERROR(IF(IFERROR(MATCH(35,المحفظة!$H$5:$H$104,0),0)=0,"",INDEX(المحفظة!$E$5:$E$104,IFERROR(MATCH(35,المحفظة!$H$5:$H$104,0),0))),"")</f>
        <v/>
      </c>
      <c r="F39" s="89" t="str">
        <f>IFERROR(IF(IFERROR(MATCH(35,المحفظة!$H$5:$H$104,0),0)=0,"",INDEX(المحفظة!$F$5:$F$104,IFERROR(MATCH(35,المحفظة!$H$5:$H$104,0),0))),"")</f>
        <v/>
      </c>
      <c r="G39" s="6"/>
    </row>
    <row r="40" spans="1:7" ht="15" customHeight="1" x14ac:dyDescent="0.25">
      <c r="A40" s="83" t="str">
        <f>IFERROR(IF(IFERROR(MATCH(36,المحفظة!$H$5:$H$104,0),0)=0,"",INDEX(المحفظة!$A$5:$A$104,IFERROR(MATCH(36,المحفظة!$H$5:$H$104,0),0))),"")</f>
        <v/>
      </c>
      <c r="B40" s="84" t="str">
        <f>IFERROR(IF(IFERROR(MATCH(36,المحفظة!$H$5:$H$104,0),0)=0,"",INDEX(المحفظة!$B$5:$B$104,IFERROR(MATCH(36,المحفظة!$H$5:$H$104,0),0))),"")</f>
        <v/>
      </c>
      <c r="C40" s="85" t="str">
        <f>IFERROR(IF(IFERROR(MATCH(36,المحفظة!$H$5:$H$104,0),0)=0,"",INDEX(المحفظة!$C$5:$C$104,IFERROR(MATCH(36,المحفظة!$H$5:$H$104,0),0))),"")</f>
        <v/>
      </c>
      <c r="D40" s="86" t="s">
        <v>274</v>
      </c>
      <c r="E40" s="87" t="str">
        <f>IFERROR(IF(IFERROR(MATCH(36,المحفظة!$H$5:$H$104,0),0)=0,"",INDEX(المحفظة!$E$5:$E$104,IFERROR(MATCH(36,المحفظة!$H$5:$H$104,0),0))),"")</f>
        <v/>
      </c>
      <c r="F40" s="84" t="str">
        <f>IFERROR(IF(IFERROR(MATCH(36,المحفظة!$H$5:$H$104,0),0)=0,"",INDEX(المحفظة!$F$5:$F$104,IFERROR(MATCH(36,المحفظة!$H$5:$H$104,0),0))),"")</f>
        <v/>
      </c>
      <c r="G40" s="11"/>
    </row>
    <row r="41" spans="1:7" ht="15" customHeight="1" x14ac:dyDescent="0.25">
      <c r="A41" s="88" t="str">
        <f>IFERROR(IF(IFERROR(MATCH(37,المحفظة!$H$5:$H$104,0),0)=0,"",INDEX(المحفظة!$A$5:$A$104,IFERROR(MATCH(37,المحفظة!$H$5:$H$104,0),0))),"")</f>
        <v/>
      </c>
      <c r="B41" s="89" t="str">
        <f>IFERROR(IF(IFERROR(MATCH(37,المحفظة!$H$5:$H$104,0),0)=0,"",INDEX(المحفظة!$B$5:$B$104,IFERROR(MATCH(37,المحفظة!$H$5:$H$104,0),0))),"")</f>
        <v/>
      </c>
      <c r="C41" s="90" t="str">
        <f>IFERROR(IF(IFERROR(MATCH(37,المحفظة!$H$5:$H$104,0),0)=0,"",INDEX(المحفظة!$C$5:$C$104,IFERROR(MATCH(37,المحفظة!$H$5:$H$104,0),0))),"")</f>
        <v/>
      </c>
      <c r="D41" s="91" t="s">
        <v>274</v>
      </c>
      <c r="E41" s="92" t="str">
        <f>IFERROR(IF(IFERROR(MATCH(37,المحفظة!$H$5:$H$104,0),0)=0,"",INDEX(المحفظة!$E$5:$E$104,IFERROR(MATCH(37,المحفظة!$H$5:$H$104,0),0))),"")</f>
        <v/>
      </c>
      <c r="F41" s="89" t="str">
        <f>IFERROR(IF(IFERROR(MATCH(37,المحفظة!$H$5:$H$104,0),0)=0,"",INDEX(المحفظة!$F$5:$F$104,IFERROR(MATCH(37,المحفظة!$H$5:$H$104,0),0))),"")</f>
        <v/>
      </c>
      <c r="G41" s="6"/>
    </row>
    <row r="42" spans="1:7" ht="15" customHeight="1" x14ac:dyDescent="0.25">
      <c r="A42" s="83" t="str">
        <f>IFERROR(IF(IFERROR(MATCH(38,المحفظة!$H$5:$H$104,0),0)=0,"",INDEX(المحفظة!$A$5:$A$104,IFERROR(MATCH(38,المحفظة!$H$5:$H$104,0),0))),"")</f>
        <v/>
      </c>
      <c r="B42" s="84" t="str">
        <f>IFERROR(IF(IFERROR(MATCH(38,المحفظة!$H$5:$H$104,0),0)=0,"",INDEX(المحفظة!$B$5:$B$104,IFERROR(MATCH(38,المحفظة!$H$5:$H$104,0),0))),"")</f>
        <v/>
      </c>
      <c r="C42" s="85" t="str">
        <f>IFERROR(IF(IFERROR(MATCH(38,المحفظة!$H$5:$H$104,0),0)=0,"",INDEX(المحفظة!$C$5:$C$104,IFERROR(MATCH(38,المحفظة!$H$5:$H$104,0),0))),"")</f>
        <v/>
      </c>
      <c r="D42" s="86" t="s">
        <v>274</v>
      </c>
      <c r="E42" s="87" t="str">
        <f>IFERROR(IF(IFERROR(MATCH(38,المحفظة!$H$5:$H$104,0),0)=0,"",INDEX(المحفظة!$E$5:$E$104,IFERROR(MATCH(38,المحفظة!$H$5:$H$104,0),0))),"")</f>
        <v/>
      </c>
      <c r="F42" s="84" t="str">
        <f>IFERROR(IF(IFERROR(MATCH(38,المحفظة!$H$5:$H$104,0),0)=0,"",INDEX(المحفظة!$F$5:$F$104,IFERROR(MATCH(38,المحفظة!$H$5:$H$104,0),0))),"")</f>
        <v/>
      </c>
      <c r="G42" s="11"/>
    </row>
    <row r="43" spans="1:7" ht="15" customHeight="1" x14ac:dyDescent="0.25">
      <c r="A43" s="88" t="str">
        <f>IFERROR(IF(IFERROR(MATCH(39,المحفظة!$H$5:$H$104,0),0)=0,"",INDEX(المحفظة!$A$5:$A$104,IFERROR(MATCH(39,المحفظة!$H$5:$H$104,0),0))),"")</f>
        <v/>
      </c>
      <c r="B43" s="89" t="str">
        <f>IFERROR(IF(IFERROR(MATCH(39,المحفظة!$H$5:$H$104,0),0)=0,"",INDEX(المحفظة!$B$5:$B$104,IFERROR(MATCH(39,المحفظة!$H$5:$H$104,0),0))),"")</f>
        <v/>
      </c>
      <c r="C43" s="90" t="str">
        <f>IFERROR(IF(IFERROR(MATCH(39,المحفظة!$H$5:$H$104,0),0)=0,"",INDEX(المحفظة!$C$5:$C$104,IFERROR(MATCH(39,المحفظة!$H$5:$H$104,0),0))),"")</f>
        <v/>
      </c>
      <c r="D43" s="91" t="s">
        <v>274</v>
      </c>
      <c r="E43" s="92" t="str">
        <f>IFERROR(IF(IFERROR(MATCH(39,المحفظة!$H$5:$H$104,0),0)=0,"",INDEX(المحفظة!$E$5:$E$104,IFERROR(MATCH(39,المحفظة!$H$5:$H$104,0),0))),"")</f>
        <v/>
      </c>
      <c r="F43" s="89" t="str">
        <f>IFERROR(IF(IFERROR(MATCH(39,المحفظة!$H$5:$H$104,0),0)=0,"",INDEX(المحفظة!$F$5:$F$104,IFERROR(MATCH(39,المحفظة!$H$5:$H$104,0),0))),"")</f>
        <v/>
      </c>
      <c r="G43" s="6"/>
    </row>
    <row r="44" spans="1:7" ht="15" customHeight="1" x14ac:dyDescent="0.25">
      <c r="A44" s="83" t="str">
        <f>IFERROR(IF(IFERROR(MATCH(40,المحفظة!$H$5:$H$104,0),0)=0,"",INDEX(المحفظة!$A$5:$A$104,IFERROR(MATCH(40,المحفظة!$H$5:$H$104,0),0))),"")</f>
        <v/>
      </c>
      <c r="B44" s="84" t="str">
        <f>IFERROR(IF(IFERROR(MATCH(40,المحفظة!$H$5:$H$104,0),0)=0,"",INDEX(المحفظة!$B$5:$B$104,IFERROR(MATCH(40,المحفظة!$H$5:$H$104,0),0))),"")</f>
        <v/>
      </c>
      <c r="C44" s="85" t="str">
        <f>IFERROR(IF(IFERROR(MATCH(40,المحفظة!$H$5:$H$104,0),0)=0,"",INDEX(المحفظة!$C$5:$C$104,IFERROR(MATCH(40,المحفظة!$H$5:$H$104,0),0))),"")</f>
        <v/>
      </c>
      <c r="D44" s="86" t="s">
        <v>274</v>
      </c>
      <c r="E44" s="87" t="str">
        <f>IFERROR(IF(IFERROR(MATCH(40,المحفظة!$H$5:$H$104,0),0)=0,"",INDEX(المحفظة!$E$5:$E$104,IFERROR(MATCH(40,المحفظة!$H$5:$H$104,0),0))),"")</f>
        <v/>
      </c>
      <c r="F44" s="84" t="str">
        <f>IFERROR(IF(IFERROR(MATCH(40,المحفظة!$H$5:$H$104,0),0)=0,"",INDEX(المحفظة!$F$5:$F$104,IFERROR(MATCH(40,المحفظة!$H$5:$H$104,0),0))),"")</f>
        <v/>
      </c>
      <c r="G44" s="11"/>
    </row>
    <row r="45" spans="1:7" ht="15" customHeight="1" x14ac:dyDescent="0.25">
      <c r="A45" s="88" t="str">
        <f>IFERROR(IF(IFERROR(MATCH(41,المحفظة!$H$5:$H$104,0),0)=0,"",INDEX(المحفظة!$A$5:$A$104,IFERROR(MATCH(41,المحفظة!$H$5:$H$104,0),0))),"")</f>
        <v/>
      </c>
      <c r="B45" s="89" t="str">
        <f>IFERROR(IF(IFERROR(MATCH(41,المحفظة!$H$5:$H$104,0),0)=0,"",INDEX(المحفظة!$B$5:$B$104,IFERROR(MATCH(41,المحفظة!$H$5:$H$104,0),0))),"")</f>
        <v/>
      </c>
      <c r="C45" s="90" t="str">
        <f>IFERROR(IF(IFERROR(MATCH(41,المحفظة!$H$5:$H$104,0),0)=0,"",INDEX(المحفظة!$C$5:$C$104,IFERROR(MATCH(41,المحفظة!$H$5:$H$104,0),0))),"")</f>
        <v/>
      </c>
      <c r="D45" s="91" t="s">
        <v>274</v>
      </c>
      <c r="E45" s="92" t="str">
        <f>IFERROR(IF(IFERROR(MATCH(41,المحفظة!$H$5:$H$104,0),0)=0,"",INDEX(المحفظة!$E$5:$E$104,IFERROR(MATCH(41,المحفظة!$H$5:$H$104,0),0))),"")</f>
        <v/>
      </c>
      <c r="F45" s="89" t="str">
        <f>IFERROR(IF(IFERROR(MATCH(41,المحفظة!$H$5:$H$104,0),0)=0,"",INDEX(المحفظة!$F$5:$F$104,IFERROR(MATCH(41,المحفظة!$H$5:$H$104,0),0))),"")</f>
        <v/>
      </c>
      <c r="G45" s="6"/>
    </row>
    <row r="46" spans="1:7" ht="15" customHeight="1" x14ac:dyDescent="0.25">
      <c r="A46" s="83" t="str">
        <f>IFERROR(IF(IFERROR(MATCH(42,المحفظة!$H$5:$H$104,0),0)=0,"",INDEX(المحفظة!$A$5:$A$104,IFERROR(MATCH(42,المحفظة!$H$5:$H$104,0),0))),"")</f>
        <v/>
      </c>
      <c r="B46" s="84" t="str">
        <f>IFERROR(IF(IFERROR(MATCH(42,المحفظة!$H$5:$H$104,0),0)=0,"",INDEX(المحفظة!$B$5:$B$104,IFERROR(MATCH(42,المحفظة!$H$5:$H$104,0),0))),"")</f>
        <v/>
      </c>
      <c r="C46" s="85" t="str">
        <f>IFERROR(IF(IFERROR(MATCH(42,المحفظة!$H$5:$H$104,0),0)=0,"",INDEX(المحفظة!$C$5:$C$104,IFERROR(MATCH(42,المحفظة!$H$5:$H$104,0),0))),"")</f>
        <v/>
      </c>
      <c r="D46" s="86" t="s">
        <v>274</v>
      </c>
      <c r="E46" s="87" t="str">
        <f>IFERROR(IF(IFERROR(MATCH(42,المحفظة!$H$5:$H$104,0),0)=0,"",INDEX(المحفظة!$E$5:$E$104,IFERROR(MATCH(42,المحفظة!$H$5:$H$104,0),0))),"")</f>
        <v/>
      </c>
      <c r="F46" s="84" t="str">
        <f>IFERROR(IF(IFERROR(MATCH(42,المحفظة!$H$5:$H$104,0),0)=0,"",INDEX(المحفظة!$F$5:$F$104,IFERROR(MATCH(42,المحفظة!$H$5:$H$104,0),0))),"")</f>
        <v/>
      </c>
      <c r="G46" s="11"/>
    </row>
    <row r="47" spans="1:7" ht="15" customHeight="1" x14ac:dyDescent="0.25">
      <c r="A47" s="88" t="str">
        <f>IFERROR(IF(IFERROR(MATCH(43,المحفظة!$H$5:$H$104,0),0)=0,"",INDEX(المحفظة!$A$5:$A$104,IFERROR(MATCH(43,المحفظة!$H$5:$H$104,0),0))),"")</f>
        <v/>
      </c>
      <c r="B47" s="89" t="str">
        <f>IFERROR(IF(IFERROR(MATCH(43,المحفظة!$H$5:$H$104,0),0)=0,"",INDEX(المحفظة!$B$5:$B$104,IFERROR(MATCH(43,المحفظة!$H$5:$H$104,0),0))),"")</f>
        <v/>
      </c>
      <c r="C47" s="90" t="str">
        <f>IFERROR(IF(IFERROR(MATCH(43,المحفظة!$H$5:$H$104,0),0)=0,"",INDEX(المحفظة!$C$5:$C$104,IFERROR(MATCH(43,المحفظة!$H$5:$H$104,0),0))),"")</f>
        <v/>
      </c>
      <c r="D47" s="91" t="s">
        <v>274</v>
      </c>
      <c r="E47" s="92" t="str">
        <f>IFERROR(IF(IFERROR(MATCH(43,المحفظة!$H$5:$H$104,0),0)=0,"",INDEX(المحفظة!$E$5:$E$104,IFERROR(MATCH(43,المحفظة!$H$5:$H$104,0),0))),"")</f>
        <v/>
      </c>
      <c r="F47" s="89" t="str">
        <f>IFERROR(IF(IFERROR(MATCH(43,المحفظة!$H$5:$H$104,0),0)=0,"",INDEX(المحفظة!$F$5:$F$104,IFERROR(MATCH(43,المحفظة!$H$5:$H$104,0),0))),"")</f>
        <v/>
      </c>
      <c r="G47" s="6"/>
    </row>
    <row r="48" spans="1:7" ht="15" customHeight="1" x14ac:dyDescent="0.25">
      <c r="A48" s="83" t="str">
        <f>IFERROR(IF(IFERROR(MATCH(44,المحفظة!$H$5:$H$104,0),0)=0,"",INDEX(المحفظة!$A$5:$A$104,IFERROR(MATCH(44,المحفظة!$H$5:$H$104,0),0))),"")</f>
        <v/>
      </c>
      <c r="B48" s="84" t="str">
        <f>IFERROR(IF(IFERROR(MATCH(44,المحفظة!$H$5:$H$104,0),0)=0,"",INDEX(المحفظة!$B$5:$B$104,IFERROR(MATCH(44,المحفظة!$H$5:$H$104,0),0))),"")</f>
        <v/>
      </c>
      <c r="C48" s="85" t="str">
        <f>IFERROR(IF(IFERROR(MATCH(44,المحفظة!$H$5:$H$104,0),0)=0,"",INDEX(المحفظة!$C$5:$C$104,IFERROR(MATCH(44,المحفظة!$H$5:$H$104,0),0))),"")</f>
        <v/>
      </c>
      <c r="D48" s="86" t="s">
        <v>274</v>
      </c>
      <c r="E48" s="87" t="str">
        <f>IFERROR(IF(IFERROR(MATCH(44,المحفظة!$H$5:$H$104,0),0)=0,"",INDEX(المحفظة!$E$5:$E$104,IFERROR(MATCH(44,المحفظة!$H$5:$H$104,0),0))),"")</f>
        <v/>
      </c>
      <c r="F48" s="84" t="str">
        <f>IFERROR(IF(IFERROR(MATCH(44,المحفظة!$H$5:$H$104,0),0)=0,"",INDEX(المحفظة!$F$5:$F$104,IFERROR(MATCH(44,المحفظة!$H$5:$H$104,0),0))),"")</f>
        <v/>
      </c>
      <c r="G48" s="11"/>
    </row>
    <row r="49" spans="1:7" ht="15" customHeight="1" x14ac:dyDescent="0.25">
      <c r="A49" s="88" t="str">
        <f>IFERROR(IF(IFERROR(MATCH(45,المحفظة!$H$5:$H$104,0),0)=0,"",INDEX(المحفظة!$A$5:$A$104,IFERROR(MATCH(45,المحفظة!$H$5:$H$104,0),0))),"")</f>
        <v/>
      </c>
      <c r="B49" s="89" t="str">
        <f>IFERROR(IF(IFERROR(MATCH(45,المحفظة!$H$5:$H$104,0),0)=0,"",INDEX(المحفظة!$B$5:$B$104,IFERROR(MATCH(45,المحفظة!$H$5:$H$104,0),0))),"")</f>
        <v/>
      </c>
      <c r="C49" s="90" t="str">
        <f>IFERROR(IF(IFERROR(MATCH(45,المحفظة!$H$5:$H$104,0),0)=0,"",INDEX(المحفظة!$C$5:$C$104,IFERROR(MATCH(45,المحفظة!$H$5:$H$104,0),0))),"")</f>
        <v/>
      </c>
      <c r="D49" s="91" t="s">
        <v>274</v>
      </c>
      <c r="E49" s="92" t="str">
        <f>IFERROR(IF(IFERROR(MATCH(45,المحفظة!$H$5:$H$104,0),0)=0,"",INDEX(المحفظة!$E$5:$E$104,IFERROR(MATCH(45,المحفظة!$H$5:$H$104,0),0))),"")</f>
        <v/>
      </c>
      <c r="F49" s="89" t="str">
        <f>IFERROR(IF(IFERROR(MATCH(45,المحفظة!$H$5:$H$104,0),0)=0,"",INDEX(المحفظة!$F$5:$F$104,IFERROR(MATCH(45,المحفظة!$H$5:$H$104,0),0))),"")</f>
        <v/>
      </c>
      <c r="G49" s="6"/>
    </row>
    <row r="50" spans="1:7" ht="15" customHeight="1" x14ac:dyDescent="0.25">
      <c r="A50" s="83" t="str">
        <f>IFERROR(IF(IFERROR(MATCH(46,المحفظة!$H$5:$H$104,0),0)=0,"",INDEX(المحفظة!$A$5:$A$104,IFERROR(MATCH(46,المحفظة!$H$5:$H$104,0),0))),"")</f>
        <v/>
      </c>
      <c r="B50" s="84" t="str">
        <f>IFERROR(IF(IFERROR(MATCH(46,المحفظة!$H$5:$H$104,0),0)=0,"",INDEX(المحفظة!$B$5:$B$104,IFERROR(MATCH(46,المحفظة!$H$5:$H$104,0),0))),"")</f>
        <v/>
      </c>
      <c r="C50" s="85" t="str">
        <f>IFERROR(IF(IFERROR(MATCH(46,المحفظة!$H$5:$H$104,0),0)=0,"",INDEX(المحفظة!$C$5:$C$104,IFERROR(MATCH(46,المحفظة!$H$5:$H$104,0),0))),"")</f>
        <v/>
      </c>
      <c r="D50" s="86" t="s">
        <v>274</v>
      </c>
      <c r="E50" s="87" t="str">
        <f>IFERROR(IF(IFERROR(MATCH(46,المحفظة!$H$5:$H$104,0),0)=0,"",INDEX(المحفظة!$E$5:$E$104,IFERROR(MATCH(46,المحفظة!$H$5:$H$104,0),0))),"")</f>
        <v/>
      </c>
      <c r="F50" s="84" t="str">
        <f>IFERROR(IF(IFERROR(MATCH(46,المحفظة!$H$5:$H$104,0),0)=0,"",INDEX(المحفظة!$F$5:$F$104,IFERROR(MATCH(46,المحفظة!$H$5:$H$104,0),0))),"")</f>
        <v/>
      </c>
      <c r="G50" s="11"/>
    </row>
    <row r="51" spans="1:7" ht="15" customHeight="1" x14ac:dyDescent="0.25">
      <c r="A51" s="88" t="str">
        <f>IFERROR(IF(IFERROR(MATCH(47,المحفظة!$H$5:$H$104,0),0)=0,"",INDEX(المحفظة!$A$5:$A$104,IFERROR(MATCH(47,المحفظة!$H$5:$H$104,0),0))),"")</f>
        <v/>
      </c>
      <c r="B51" s="89" t="str">
        <f>IFERROR(IF(IFERROR(MATCH(47,المحفظة!$H$5:$H$104,0),0)=0,"",INDEX(المحفظة!$B$5:$B$104,IFERROR(MATCH(47,المحفظة!$H$5:$H$104,0),0))),"")</f>
        <v/>
      </c>
      <c r="C51" s="90" t="str">
        <f>IFERROR(IF(IFERROR(MATCH(47,المحفظة!$H$5:$H$104,0),0)=0,"",INDEX(المحفظة!$C$5:$C$104,IFERROR(MATCH(47,المحفظة!$H$5:$H$104,0),0))),"")</f>
        <v/>
      </c>
      <c r="D51" s="91" t="s">
        <v>274</v>
      </c>
      <c r="E51" s="92" t="str">
        <f>IFERROR(IF(IFERROR(MATCH(47,المحفظة!$H$5:$H$104,0),0)=0,"",INDEX(المحفظة!$E$5:$E$104,IFERROR(MATCH(47,المحفظة!$H$5:$H$104,0),0))),"")</f>
        <v/>
      </c>
      <c r="F51" s="89" t="str">
        <f>IFERROR(IF(IFERROR(MATCH(47,المحفظة!$H$5:$H$104,0),0)=0,"",INDEX(المحفظة!$F$5:$F$104,IFERROR(MATCH(47,المحفظة!$H$5:$H$104,0),0))),"")</f>
        <v/>
      </c>
      <c r="G51" s="6"/>
    </row>
    <row r="52" spans="1:7" ht="15" customHeight="1" x14ac:dyDescent="0.25">
      <c r="A52" s="83" t="str">
        <f>IFERROR(IF(IFERROR(MATCH(48,المحفظة!$H$5:$H$104,0),0)=0,"",INDEX(المحفظة!$A$5:$A$104,IFERROR(MATCH(48,المحفظة!$H$5:$H$104,0),0))),"")</f>
        <v/>
      </c>
      <c r="B52" s="84" t="str">
        <f>IFERROR(IF(IFERROR(MATCH(48,المحفظة!$H$5:$H$104,0),0)=0,"",INDEX(المحفظة!$B$5:$B$104,IFERROR(MATCH(48,المحفظة!$H$5:$H$104,0),0))),"")</f>
        <v/>
      </c>
      <c r="C52" s="85" t="str">
        <f>IFERROR(IF(IFERROR(MATCH(48,المحفظة!$H$5:$H$104,0),0)=0,"",INDEX(المحفظة!$C$5:$C$104,IFERROR(MATCH(48,المحفظة!$H$5:$H$104,0),0))),"")</f>
        <v/>
      </c>
      <c r="D52" s="86" t="s">
        <v>274</v>
      </c>
      <c r="E52" s="87" t="str">
        <f>IFERROR(IF(IFERROR(MATCH(48,المحفظة!$H$5:$H$104,0),0)=0,"",INDEX(المحفظة!$E$5:$E$104,IFERROR(MATCH(48,المحفظة!$H$5:$H$104,0),0))),"")</f>
        <v/>
      </c>
      <c r="F52" s="84" t="str">
        <f>IFERROR(IF(IFERROR(MATCH(48,المحفظة!$H$5:$H$104,0),0)=0,"",INDEX(المحفظة!$F$5:$F$104,IFERROR(MATCH(48,المحفظة!$H$5:$H$104,0),0))),"")</f>
        <v/>
      </c>
      <c r="G52" s="11"/>
    </row>
    <row r="53" spans="1:7" ht="15" customHeight="1" x14ac:dyDescent="0.25">
      <c r="A53" s="88" t="str">
        <f>IFERROR(IF(IFERROR(MATCH(49,المحفظة!$H$5:$H$104,0),0)=0,"",INDEX(المحفظة!$A$5:$A$104,IFERROR(MATCH(49,المحفظة!$H$5:$H$104,0),0))),"")</f>
        <v/>
      </c>
      <c r="B53" s="89" t="str">
        <f>IFERROR(IF(IFERROR(MATCH(49,المحفظة!$H$5:$H$104,0),0)=0,"",INDEX(المحفظة!$B$5:$B$104,IFERROR(MATCH(49,المحفظة!$H$5:$H$104,0),0))),"")</f>
        <v/>
      </c>
      <c r="C53" s="90" t="str">
        <f>IFERROR(IF(IFERROR(MATCH(49,المحفظة!$H$5:$H$104,0),0)=0,"",INDEX(المحفظة!$C$5:$C$104,IFERROR(MATCH(49,المحفظة!$H$5:$H$104,0),0))),"")</f>
        <v/>
      </c>
      <c r="D53" s="91" t="s">
        <v>274</v>
      </c>
      <c r="E53" s="92" t="str">
        <f>IFERROR(IF(IFERROR(MATCH(49,المحفظة!$H$5:$H$104,0),0)=0,"",INDEX(المحفظة!$E$5:$E$104,IFERROR(MATCH(49,المحفظة!$H$5:$H$104,0),0))),"")</f>
        <v/>
      </c>
      <c r="F53" s="89" t="str">
        <f>IFERROR(IF(IFERROR(MATCH(49,المحفظة!$H$5:$H$104,0),0)=0,"",INDEX(المحفظة!$F$5:$F$104,IFERROR(MATCH(49,المحفظة!$H$5:$H$104,0),0))),"")</f>
        <v/>
      </c>
      <c r="G53" s="6"/>
    </row>
    <row r="54" spans="1:7" ht="15" hidden="1" customHeight="1" x14ac:dyDescent="0.25">
      <c r="A54" s="83" t="str">
        <f>IFERROR(IF(IFERROR(MATCH(50,المحفظة!$H$5:$H$104,0),0)=0,"",INDEX(المحفظة!$A$5:$A$104,IFERROR(MATCH(50,المحفظة!$H$5:$H$104,0),0))),"")</f>
        <v/>
      </c>
      <c r="B54" s="84" t="str">
        <f>IFERROR(IF(IFERROR(MATCH(50,المحفظة!$H$5:$H$104,0),0)=0,"",INDEX(المحفظة!$B$5:$B$104,IFERROR(MATCH(50,المحفظة!$H$5:$H$104,0),0))),"")</f>
        <v/>
      </c>
      <c r="C54" s="85" t="str">
        <f>IFERROR(IF(IFERROR(MATCH(50,المحفظة!$H$5:$H$104,0),0)=0,"",INDEX(المحفظة!$C$5:$C$104,IFERROR(MATCH(50,المحفظة!$H$5:$H$104,0),0))),"")</f>
        <v/>
      </c>
      <c r="D54" s="86" t="s">
        <v>274</v>
      </c>
      <c r="E54" s="87" t="str">
        <f>IFERROR(IF(IFERROR(MATCH(50,المحفظة!$H$5:$H$104,0),0)=0,"",INDEX(المحفظة!$E$5:$E$104,IFERROR(MATCH(50,المحفظة!$H$5:$H$104,0),0))),"")</f>
        <v/>
      </c>
      <c r="F54" s="84" t="str">
        <f>IFERROR(IF(IFERROR(MATCH(50,المحفظة!$H$5:$H$104,0),0)=0,"",INDEX(المحفظة!$F$5:$F$104,IFERROR(MATCH(50,المحفظة!$H$5:$H$104,0),0))),"")</f>
        <v/>
      </c>
      <c r="G54" s="11"/>
    </row>
    <row r="55" spans="1:7" ht="19.5" customHeight="1" x14ac:dyDescent="0.25">
      <c r="A55" s="184" t="s">
        <v>266</v>
      </c>
      <c r="B55" s="165"/>
      <c r="C55" s="165"/>
      <c r="D55" s="165"/>
      <c r="E55" s="141">
        <f>SUMIF(المحفظة!$H$5:$H$104,"&gt;0",المحفظة!$E$5:$E$104)</f>
        <v>0</v>
      </c>
      <c r="F55" s="76"/>
      <c r="G55" s="76"/>
    </row>
    <row r="56" spans="1:7" ht="19.5" customHeight="1" x14ac:dyDescent="0.25">
      <c r="A56" s="183" t="s">
        <v>275</v>
      </c>
      <c r="B56" s="165"/>
      <c r="C56" s="165"/>
      <c r="D56" s="165"/>
      <c r="E56" s="165"/>
      <c r="F56" s="165"/>
      <c r="G56" s="165"/>
    </row>
    <row r="57" spans="1:7" ht="16.5" customHeight="1" x14ac:dyDescent="0.25">
      <c r="A57" s="12" t="str">
        <f>IFERROR(IF(IFERROR(MATCH(1,المحفظة!$H$107:$H$206,0),0)=0,"",INDEX(المحفظة!$A$107:$A$206,IFERROR(MATCH(1,المحفظة!$H$107:$H$206,0),0))),"")</f>
        <v/>
      </c>
      <c r="B57" s="13" t="str">
        <f>IFERROR(IF(IFERROR(MATCH(1,المحفظة!$H$107:$H$206,0),0)=0,"",INDEX(المحفظة!$B$107:$B$206,IFERROR(MATCH(1,المحفظة!$H$107:$H$206,0),0))),"")</f>
        <v/>
      </c>
      <c r="C57" s="93" t="str">
        <f>IFERROR(IF(IFERROR(MATCH(1,المحفظة!$H$107:$H$206,0),0)=0,"",INDEX(المحفظة!$C$107:$C$206,IFERROR(MATCH(1,المحفظة!$H$107:$H$206,0),0))),"")</f>
        <v/>
      </c>
      <c r="D57" s="14" t="str">
        <f>IFERROR(IF(IFERROR(MATCH(1,المحفظة!$H$107:$H$206,0),0)=0,"",INDEX(المحفظة!$D$107:$D$206,IFERROR(MATCH(1,المحفظة!$H$107:$H$206,0),0))),"")</f>
        <v/>
      </c>
      <c r="E57" s="15" t="s">
        <v>274</v>
      </c>
      <c r="F57" s="13" t="str">
        <f>IFERROR(IF(IFERROR(MATCH(1,المحفظة!$H$107:$H$206,0),0)=0,"",INDEX(المحفظة!$F$107:$F$206,IFERROR(MATCH(1,المحفظة!$H$107:$H$206,0),0))),"")</f>
        <v/>
      </c>
      <c r="G57" s="94"/>
    </row>
    <row r="58" spans="1:7" ht="16.5" customHeight="1" x14ac:dyDescent="0.25">
      <c r="A58" s="17" t="str">
        <f>IFERROR(IF(IFERROR(MATCH(2,المحفظة!$H$107:$H$206,0),0)=0,"",INDEX(المحفظة!$A$107:$A$206,IFERROR(MATCH(2,المحفظة!$H$107:$H$206,0),0))),"")</f>
        <v/>
      </c>
      <c r="B58" s="18" t="str">
        <f>IFERROR(IF(IFERROR(MATCH(2,المحفظة!$H$107:$H$206,0),0)=0,"",INDEX(المحفظة!$B$107:$B$206,IFERROR(MATCH(2,المحفظة!$H$107:$H$206,0),0))),"")</f>
        <v/>
      </c>
      <c r="C58" s="95" t="str">
        <f>IFERROR(IF(IFERROR(MATCH(2,المحفظة!$H$107:$H$206,0),0)=0,"",INDEX(المحفظة!$C$107:$C$206,IFERROR(MATCH(2,المحفظة!$H$107:$H$206,0),0))),"")</f>
        <v/>
      </c>
      <c r="D58" s="19" t="str">
        <f>IFERROR(IF(IFERROR(MATCH(2,المحفظة!$H$107:$H$206,0),0)=0,"",INDEX(المحفظة!$D$107:$D$206,IFERROR(MATCH(2,المحفظة!$H$107:$H$206,0),0))),"")</f>
        <v/>
      </c>
      <c r="E58" s="20" t="s">
        <v>274</v>
      </c>
      <c r="F58" s="18" t="str">
        <f>IFERROR(IF(IFERROR(MATCH(2,المحفظة!$H$107:$H$206,0),0)=0,"",INDEX(المحفظة!$F$107:$F$206,IFERROR(MATCH(2,المحفظة!$H$107:$H$206,0),0))),"")</f>
        <v/>
      </c>
      <c r="G58" s="96"/>
    </row>
    <row r="59" spans="1:7" ht="16.5" customHeight="1" x14ac:dyDescent="0.25">
      <c r="A59" s="12" t="str">
        <f>IFERROR(IF(IFERROR(MATCH(3,المحفظة!$H$107:$H$206,0),0)=0,"",INDEX(المحفظة!$A$107:$A$206,IFERROR(MATCH(3,المحفظة!$H$107:$H$206,0),0))),"")</f>
        <v/>
      </c>
      <c r="B59" s="13" t="str">
        <f>IFERROR(IF(IFERROR(MATCH(3,المحفظة!$H$107:$H$206,0),0)=0,"",INDEX(المحفظة!$B$107:$B$206,IFERROR(MATCH(3,المحفظة!$H$107:$H$206,0),0))),"")</f>
        <v/>
      </c>
      <c r="C59" s="93" t="str">
        <f>IFERROR(IF(IFERROR(MATCH(3,المحفظة!$H$107:$H$206,0),0)=0,"",INDEX(المحفظة!$C$107:$C$206,IFERROR(MATCH(3,المحفظة!$H$107:$H$206,0),0))),"")</f>
        <v/>
      </c>
      <c r="D59" s="14" t="str">
        <f>IFERROR(IF(IFERROR(MATCH(3,المحفظة!$H$107:$H$206,0),0)=0,"",INDEX(المحفظة!$D$107:$D$206,IFERROR(MATCH(3,المحفظة!$H$107:$H$206,0),0))),"")</f>
        <v/>
      </c>
      <c r="E59" s="15" t="s">
        <v>274</v>
      </c>
      <c r="F59" s="13" t="str">
        <f>IFERROR(IF(IFERROR(MATCH(3,المحفظة!$H$107:$H$206,0),0)=0,"",INDEX(المحفظة!$F$107:$F$206,IFERROR(MATCH(3,المحفظة!$H$107:$H$206,0),0))),"")</f>
        <v/>
      </c>
      <c r="G59" s="94"/>
    </row>
    <row r="60" spans="1:7" ht="16.5" customHeight="1" x14ac:dyDescent="0.25">
      <c r="A60" s="17" t="str">
        <f>IFERROR(IF(IFERROR(MATCH(4,المحفظة!$H$107:$H$206,0),0)=0,"",INDEX(المحفظة!$A$107:$A$206,IFERROR(MATCH(4,المحفظة!$H$107:$H$206,0),0))),"")</f>
        <v/>
      </c>
      <c r="B60" s="18" t="str">
        <f>IFERROR(IF(IFERROR(MATCH(4,المحفظة!$H$107:$H$206,0),0)=0,"",INDEX(المحفظة!$B$107:$B$206,IFERROR(MATCH(4,المحفظة!$H$107:$H$206,0),0))),"")</f>
        <v/>
      </c>
      <c r="C60" s="95" t="str">
        <f>IFERROR(IF(IFERROR(MATCH(4,المحفظة!$H$107:$H$206,0),0)=0,"",INDEX(المحفظة!$C$107:$C$206,IFERROR(MATCH(4,المحفظة!$H$107:$H$206,0),0))),"")</f>
        <v/>
      </c>
      <c r="D60" s="19" t="str">
        <f>IFERROR(IF(IFERROR(MATCH(4,المحفظة!$H$107:$H$206,0),0)=0,"",INDEX(المحفظة!$D$107:$D$206,IFERROR(MATCH(4,المحفظة!$H$107:$H$206,0),0))),"")</f>
        <v/>
      </c>
      <c r="E60" s="20" t="s">
        <v>274</v>
      </c>
      <c r="F60" s="18" t="str">
        <f>IFERROR(IF(IFERROR(MATCH(4,المحفظة!$H$107:$H$206,0),0)=0,"",INDEX(المحفظة!$F$107:$F$206,IFERROR(MATCH(4,المحفظة!$H$107:$H$206,0),0))),"")</f>
        <v/>
      </c>
      <c r="G60" s="96"/>
    </row>
    <row r="61" spans="1:7" ht="16.5" customHeight="1" x14ac:dyDescent="0.25">
      <c r="A61" s="12" t="str">
        <f>IFERROR(IF(IFERROR(MATCH(5,المحفظة!$H$107:$H$206,0),0)=0,"",INDEX(المحفظة!$A$107:$A$206,IFERROR(MATCH(5,المحفظة!$H$107:$H$206,0),0))),"")</f>
        <v/>
      </c>
      <c r="B61" s="13" t="str">
        <f>IFERROR(IF(IFERROR(MATCH(5,المحفظة!$H$107:$H$206,0),0)=0,"",INDEX(المحفظة!$B$107:$B$206,IFERROR(MATCH(5,المحفظة!$H$107:$H$206,0),0))),"")</f>
        <v/>
      </c>
      <c r="C61" s="93" t="str">
        <f>IFERROR(IF(IFERROR(MATCH(5,المحفظة!$H$107:$H$206,0),0)=0,"",INDEX(المحفظة!$C$107:$C$206,IFERROR(MATCH(5,المحفظة!$H$107:$H$206,0),0))),"")</f>
        <v/>
      </c>
      <c r="D61" s="14" t="str">
        <f>IFERROR(IF(IFERROR(MATCH(5,المحفظة!$H$107:$H$206,0),0)=0,"",INDEX(المحفظة!$D$107:$D$206,IFERROR(MATCH(5,المحفظة!$H$107:$H$206,0),0))),"")</f>
        <v/>
      </c>
      <c r="E61" s="15" t="s">
        <v>274</v>
      </c>
      <c r="F61" s="13" t="str">
        <f>IFERROR(IF(IFERROR(MATCH(5,المحفظة!$H$107:$H$206,0),0)=0,"",INDEX(المحفظة!$F$107:$F$206,IFERROR(MATCH(5,المحفظة!$H$107:$H$206,0),0))),"")</f>
        <v/>
      </c>
      <c r="G61" s="94"/>
    </row>
    <row r="62" spans="1:7" ht="16.5" customHeight="1" x14ac:dyDescent="0.25">
      <c r="A62" s="17" t="str">
        <f>IFERROR(IF(IFERROR(MATCH(6,المحفظة!$H$107:$H$206,0),0)=0,"",INDEX(المحفظة!$A$107:$A$206,IFERROR(MATCH(6,المحفظة!$H$107:$H$206,0),0))),"")</f>
        <v/>
      </c>
      <c r="B62" s="18" t="str">
        <f>IFERROR(IF(IFERROR(MATCH(6,المحفظة!$H$107:$H$206,0),0)=0,"",INDEX(المحفظة!$B$107:$B$206,IFERROR(MATCH(6,المحفظة!$H$107:$H$206,0),0))),"")</f>
        <v/>
      </c>
      <c r="C62" s="95" t="str">
        <f>IFERROR(IF(IFERROR(MATCH(6,المحفظة!$H$107:$H$206,0),0)=0,"",INDEX(المحفظة!$C$107:$C$206,IFERROR(MATCH(6,المحفظة!$H$107:$H$206,0),0))),"")</f>
        <v/>
      </c>
      <c r="D62" s="19" t="str">
        <f>IFERROR(IF(IFERROR(MATCH(6,المحفظة!$H$107:$H$206,0),0)=0,"",INDEX(المحفظة!$D$107:$D$206,IFERROR(MATCH(6,المحفظة!$H$107:$H$206,0),0))),"")</f>
        <v/>
      </c>
      <c r="E62" s="20" t="s">
        <v>274</v>
      </c>
      <c r="F62" s="18" t="str">
        <f>IFERROR(IF(IFERROR(MATCH(6,المحفظة!$H$107:$H$206,0),0)=0,"",INDEX(المحفظة!$F$107:$F$206,IFERROR(MATCH(6,المحفظة!$H$107:$H$206,0),0))),"")</f>
        <v/>
      </c>
      <c r="G62" s="96"/>
    </row>
    <row r="63" spans="1:7" ht="15" customHeight="1" x14ac:dyDescent="0.25">
      <c r="A63" s="97" t="str">
        <f>IFERROR(IF(IFERROR(MATCH(7,المحفظة!$H$107:$H$206,0),0)=0,"",INDEX(المحفظة!$A$107:$A$206,IFERROR(MATCH(7,المحفظة!$H$107:$H$206,0),0))),"")</f>
        <v/>
      </c>
      <c r="B63" s="98" t="str">
        <f>IFERROR(IF(IFERROR(MATCH(7,المحفظة!$H$107:$H$206,0),0)=0,"",INDEX(المحفظة!$B$107:$B$206,IFERROR(MATCH(7,المحفظة!$H$107:$H$206,0),0))),"")</f>
        <v/>
      </c>
      <c r="C63" s="99" t="str">
        <f>IFERROR(IF(IFERROR(MATCH(7,المحفظة!$H$107:$H$206,0),0)=0,"",INDEX(المحفظة!$C$107:$C$206,IFERROR(MATCH(7,المحفظة!$H$107:$H$206,0),0))),"")</f>
        <v/>
      </c>
      <c r="D63" s="100" t="str">
        <f>IFERROR(IF(IFERROR(MATCH(7,المحفظة!$H$107:$H$206,0),0)=0,"",INDEX(المحفظة!$D$107:$D$206,IFERROR(MATCH(7,المحفظة!$H$107:$H$206,0),0))),"")</f>
        <v/>
      </c>
      <c r="E63" s="101" t="s">
        <v>274</v>
      </c>
      <c r="F63" s="98" t="str">
        <f>IFERROR(IF(IFERROR(MATCH(7,المحفظة!$H$107:$H$206,0),0)=0,"",INDEX(المحفظة!$F$107:$F$206,IFERROR(MATCH(7,المحفظة!$H$107:$H$206,0),0))),"")</f>
        <v/>
      </c>
      <c r="G63" s="16"/>
    </row>
    <row r="64" spans="1:7" ht="15" customHeight="1" x14ac:dyDescent="0.25">
      <c r="A64" s="102" t="str">
        <f>IFERROR(IF(IFERROR(MATCH(8,المحفظة!$H$107:$H$206,0),0)=0,"",INDEX(المحفظة!$A$107:$A$206,IFERROR(MATCH(8,المحفظة!$H$107:$H$206,0),0))),"")</f>
        <v/>
      </c>
      <c r="B64" s="103" t="str">
        <f>IFERROR(IF(IFERROR(MATCH(8,المحفظة!$H$107:$H$206,0),0)=0,"",INDEX(المحفظة!$B$107:$B$206,IFERROR(MATCH(8,المحفظة!$H$107:$H$206,0),0))),"")</f>
        <v/>
      </c>
      <c r="C64" s="104" t="str">
        <f>IFERROR(IF(IFERROR(MATCH(8,المحفظة!$H$107:$H$206,0),0)=0,"",INDEX(المحفظة!$C$107:$C$206,IFERROR(MATCH(8,المحفظة!$H$107:$H$206,0),0))),"")</f>
        <v/>
      </c>
      <c r="D64" s="105" t="str">
        <f>IFERROR(IF(IFERROR(MATCH(8,المحفظة!$H$107:$H$206,0),0)=0,"",INDEX(المحفظة!$D$107:$D$206,IFERROR(MATCH(8,المحفظة!$H$107:$H$206,0),0))),"")</f>
        <v/>
      </c>
      <c r="E64" s="106" t="s">
        <v>274</v>
      </c>
      <c r="F64" s="103" t="str">
        <f>IFERROR(IF(IFERROR(MATCH(8,المحفظة!$H$107:$H$206,0),0)=0,"",INDEX(المحفظة!$F$107:$F$206,IFERROR(MATCH(8,المحفظة!$H$107:$H$206,0),0))),"")</f>
        <v/>
      </c>
      <c r="G64" s="21"/>
    </row>
    <row r="65" spans="1:7" ht="15" customHeight="1" x14ac:dyDescent="0.25">
      <c r="A65" s="97" t="str">
        <f>IFERROR(IF(IFERROR(MATCH(9,المحفظة!$H$107:$H$206,0),0)=0,"",INDEX(المحفظة!$A$107:$A$206,IFERROR(MATCH(9,المحفظة!$H$107:$H$206,0),0))),"")</f>
        <v/>
      </c>
      <c r="B65" s="98" t="str">
        <f>IFERROR(IF(IFERROR(MATCH(9,المحفظة!$H$107:$H$206,0),0)=0,"",INDEX(المحفظة!$B$107:$B$206,IFERROR(MATCH(9,المحفظة!$H$107:$H$206,0),0))),"")</f>
        <v/>
      </c>
      <c r="C65" s="99" t="str">
        <f>IFERROR(IF(IFERROR(MATCH(9,المحفظة!$H$107:$H$206,0),0)=0,"",INDEX(المحفظة!$C$107:$C$206,IFERROR(MATCH(9,المحفظة!$H$107:$H$206,0),0))),"")</f>
        <v/>
      </c>
      <c r="D65" s="100" t="str">
        <f>IFERROR(IF(IFERROR(MATCH(9,المحفظة!$H$107:$H$206,0),0)=0,"",INDEX(المحفظة!$D$107:$D$206,IFERROR(MATCH(9,المحفظة!$H$107:$H$206,0),0))),"")</f>
        <v/>
      </c>
      <c r="E65" s="101" t="s">
        <v>274</v>
      </c>
      <c r="F65" s="98" t="str">
        <f>IFERROR(IF(IFERROR(MATCH(9,المحفظة!$H$107:$H$206,0),0)=0,"",INDEX(المحفظة!$F$107:$F$206,IFERROR(MATCH(9,المحفظة!$H$107:$H$206,0),0))),"")</f>
        <v/>
      </c>
      <c r="G65" s="16"/>
    </row>
    <row r="66" spans="1:7" ht="15" customHeight="1" x14ac:dyDescent="0.25">
      <c r="A66" s="102" t="str">
        <f>IFERROR(IF(IFERROR(MATCH(10,المحفظة!$H$107:$H$206,0),0)=0,"",INDEX(المحفظة!$A$107:$A$206,IFERROR(MATCH(10,المحفظة!$H$107:$H$206,0),0))),"")</f>
        <v/>
      </c>
      <c r="B66" s="103" t="str">
        <f>IFERROR(IF(IFERROR(MATCH(10,المحفظة!$H$107:$H$206,0),0)=0,"",INDEX(المحفظة!$B$107:$B$206,IFERROR(MATCH(10,المحفظة!$H$107:$H$206,0),0))),"")</f>
        <v/>
      </c>
      <c r="C66" s="104" t="str">
        <f>IFERROR(IF(IFERROR(MATCH(10,المحفظة!$H$107:$H$206,0),0)=0,"",INDEX(المحفظة!$C$107:$C$206,IFERROR(MATCH(10,المحفظة!$H$107:$H$206,0),0))),"")</f>
        <v/>
      </c>
      <c r="D66" s="105" t="str">
        <f>IFERROR(IF(IFERROR(MATCH(10,المحفظة!$H$107:$H$206,0),0)=0,"",INDEX(المحفظة!$D$107:$D$206,IFERROR(MATCH(10,المحفظة!$H$107:$H$206,0),0))),"")</f>
        <v/>
      </c>
      <c r="E66" s="106" t="s">
        <v>274</v>
      </c>
      <c r="F66" s="103" t="str">
        <f>IFERROR(IF(IFERROR(MATCH(10,المحفظة!$H$107:$H$206,0),0)=0,"",INDEX(المحفظة!$F$107:$F$206,IFERROR(MATCH(10,المحفظة!$H$107:$H$206,0),0))),"")</f>
        <v/>
      </c>
      <c r="G66" s="21"/>
    </row>
    <row r="67" spans="1:7" ht="15" customHeight="1" x14ac:dyDescent="0.25">
      <c r="A67" s="97" t="str">
        <f>IFERROR(IF(IFERROR(MATCH(11,المحفظة!$H$107:$H$206,0),0)=0,"",INDEX(المحفظة!$A$107:$A$206,IFERROR(MATCH(11,المحفظة!$H$107:$H$206,0),0))),"")</f>
        <v/>
      </c>
      <c r="B67" s="98" t="str">
        <f>IFERROR(IF(IFERROR(MATCH(11,المحفظة!$H$107:$H$206,0),0)=0,"",INDEX(المحفظة!$B$107:$B$206,IFERROR(MATCH(11,المحفظة!$H$107:$H$206,0),0))),"")</f>
        <v/>
      </c>
      <c r="C67" s="99" t="str">
        <f>IFERROR(IF(IFERROR(MATCH(11,المحفظة!$H$107:$H$206,0),0)=0,"",INDEX(المحفظة!$C$107:$C$206,IFERROR(MATCH(11,المحفظة!$H$107:$H$206,0),0))),"")</f>
        <v/>
      </c>
      <c r="D67" s="100" t="str">
        <f>IFERROR(IF(IFERROR(MATCH(11,المحفظة!$H$107:$H$206,0),0)=0,"",INDEX(المحفظة!$D$107:$D$206,IFERROR(MATCH(11,المحفظة!$H$107:$H$206,0),0))),"")</f>
        <v/>
      </c>
      <c r="E67" s="101" t="s">
        <v>274</v>
      </c>
      <c r="F67" s="98" t="str">
        <f>IFERROR(IF(IFERROR(MATCH(11,المحفظة!$H$107:$H$206,0),0)=0,"",INDEX(المحفظة!$F$107:$F$206,IFERROR(MATCH(11,المحفظة!$H$107:$H$206,0),0))),"")</f>
        <v/>
      </c>
      <c r="G67" s="16"/>
    </row>
    <row r="68" spans="1:7" ht="15" customHeight="1" x14ac:dyDescent="0.25">
      <c r="A68" s="102" t="str">
        <f>IFERROR(IF(IFERROR(MATCH(12,المحفظة!$H$107:$H$206,0),0)=0,"",INDEX(المحفظة!$A$107:$A$206,IFERROR(MATCH(12,المحفظة!$H$107:$H$206,0),0))),"")</f>
        <v/>
      </c>
      <c r="B68" s="103" t="str">
        <f>IFERROR(IF(IFERROR(MATCH(12,المحفظة!$H$107:$H$206,0),0)=0,"",INDEX(المحفظة!$B$107:$B$206,IFERROR(MATCH(12,المحفظة!$H$107:$H$206,0),0))),"")</f>
        <v/>
      </c>
      <c r="C68" s="104" t="str">
        <f>IFERROR(IF(IFERROR(MATCH(12,المحفظة!$H$107:$H$206,0),0)=0,"",INDEX(المحفظة!$C$107:$C$206,IFERROR(MATCH(12,المحفظة!$H$107:$H$206,0),0))),"")</f>
        <v/>
      </c>
      <c r="D68" s="105" t="str">
        <f>IFERROR(IF(IFERROR(MATCH(12,المحفظة!$H$107:$H$206,0),0)=0,"",INDEX(المحفظة!$D$107:$D$206,IFERROR(MATCH(12,المحفظة!$H$107:$H$206,0),0))),"")</f>
        <v/>
      </c>
      <c r="E68" s="106" t="s">
        <v>274</v>
      </c>
      <c r="F68" s="103" t="str">
        <f>IFERROR(IF(IFERROR(MATCH(12,المحفظة!$H$107:$H$206,0),0)=0,"",INDEX(المحفظة!$F$107:$F$206,IFERROR(MATCH(12,المحفظة!$H$107:$H$206,0),0))),"")</f>
        <v/>
      </c>
      <c r="G68" s="21"/>
    </row>
    <row r="69" spans="1:7" ht="15" customHeight="1" x14ac:dyDescent="0.25">
      <c r="A69" s="97" t="str">
        <f>IFERROR(IF(IFERROR(MATCH(13,المحفظة!$H$107:$H$206,0),0)=0,"",INDEX(المحفظة!$A$107:$A$206,IFERROR(MATCH(13,المحفظة!$H$107:$H$206,0),0))),"")</f>
        <v/>
      </c>
      <c r="B69" s="98" t="str">
        <f>IFERROR(IF(IFERROR(MATCH(13,المحفظة!$H$107:$H$206,0),0)=0,"",INDEX(المحفظة!$B$107:$B$206,IFERROR(MATCH(13,المحفظة!$H$107:$H$206,0),0))),"")</f>
        <v/>
      </c>
      <c r="C69" s="99" t="str">
        <f>IFERROR(IF(IFERROR(MATCH(13,المحفظة!$H$107:$H$206,0),0)=0,"",INDEX(المحفظة!$C$107:$C$206,IFERROR(MATCH(13,المحفظة!$H$107:$H$206,0),0))),"")</f>
        <v/>
      </c>
      <c r="D69" s="100" t="str">
        <f>IFERROR(IF(IFERROR(MATCH(13,المحفظة!$H$107:$H$206,0),0)=0,"",INDEX(المحفظة!$D$107:$D$206,IFERROR(MATCH(13,المحفظة!$H$107:$H$206,0),0))),"")</f>
        <v/>
      </c>
      <c r="E69" s="101" t="s">
        <v>274</v>
      </c>
      <c r="F69" s="98" t="str">
        <f>IFERROR(IF(IFERROR(MATCH(13,المحفظة!$H$107:$H$206,0),0)=0,"",INDEX(المحفظة!$F$107:$F$206,IFERROR(MATCH(13,المحفظة!$H$107:$H$206,0),0))),"")</f>
        <v/>
      </c>
      <c r="G69" s="16"/>
    </row>
    <row r="70" spans="1:7" ht="15" hidden="1" customHeight="1" x14ac:dyDescent="0.25">
      <c r="A70" s="102" t="str">
        <f>IFERROR(IF(IFERROR(MATCH(14,المحفظة!$H$107:$H$206,0),0)=0,"",INDEX(المحفظة!$A$107:$A$206,IFERROR(MATCH(14,المحفظة!$H$107:$H$206,0),0))),"")</f>
        <v/>
      </c>
      <c r="B70" s="103" t="str">
        <f>IFERROR(IF(IFERROR(MATCH(14,المحفظة!$H$107:$H$206,0),0)=0,"",INDEX(المحفظة!$B$107:$B$206,IFERROR(MATCH(14,المحفظة!$H$107:$H$206,0),0))),"")</f>
        <v/>
      </c>
      <c r="C70" s="104" t="str">
        <f>IFERROR(IF(IFERROR(MATCH(14,المحفظة!$H$107:$H$206,0),0)=0,"",INDEX(المحفظة!$C$107:$C$206,IFERROR(MATCH(14,المحفظة!$H$107:$H$206,0),0))),"")</f>
        <v/>
      </c>
      <c r="D70" s="105" t="str">
        <f>IFERROR(IF(IFERROR(MATCH(14,المحفظة!$H$107:$H$206,0),0)=0,"",INDEX(المحفظة!$D$107:$D$206,IFERROR(MATCH(14,المحفظة!$H$107:$H$206,0),0))),"")</f>
        <v/>
      </c>
      <c r="E70" s="106" t="s">
        <v>274</v>
      </c>
      <c r="F70" s="103" t="str">
        <f>IFERROR(IF(IFERROR(MATCH(14,المحفظة!$H$107:$H$206,0),0)=0,"",INDEX(المحفظة!$F$107:$F$206,IFERROR(MATCH(14,المحفظة!$H$107:$H$206,0),0))),"")</f>
        <v/>
      </c>
      <c r="G70" s="21"/>
    </row>
    <row r="71" spans="1:7" ht="15" hidden="1" customHeight="1" x14ac:dyDescent="0.25">
      <c r="A71" s="97" t="str">
        <f>IFERROR(IF(IFERROR(MATCH(15,المحفظة!$H$107:$H$206,0),0)=0,"",INDEX(المحفظة!$A$107:$A$206,IFERROR(MATCH(15,المحفظة!$H$107:$H$206,0),0))),"")</f>
        <v/>
      </c>
      <c r="B71" s="98" t="str">
        <f>IFERROR(IF(IFERROR(MATCH(15,المحفظة!$H$107:$H$206,0),0)=0,"",INDEX(المحفظة!$B$107:$B$206,IFERROR(MATCH(15,المحفظة!$H$107:$H$206,0),0))),"")</f>
        <v/>
      </c>
      <c r="C71" s="99" t="str">
        <f>IFERROR(IF(IFERROR(MATCH(15,المحفظة!$H$107:$H$206,0),0)=0,"",INDEX(المحفظة!$C$107:$C$206,IFERROR(MATCH(15,المحفظة!$H$107:$H$206,0),0))),"")</f>
        <v/>
      </c>
      <c r="D71" s="100" t="str">
        <f>IFERROR(IF(IFERROR(MATCH(15,المحفظة!$H$107:$H$206,0),0)=0,"",INDEX(المحفظة!$D$107:$D$206,IFERROR(MATCH(15,المحفظة!$H$107:$H$206,0),0))),"")</f>
        <v/>
      </c>
      <c r="E71" s="101" t="s">
        <v>274</v>
      </c>
      <c r="F71" s="98" t="str">
        <f>IFERROR(IF(IFERROR(MATCH(15,المحفظة!$H$107:$H$206,0),0)=0,"",INDEX(المحفظة!$F$107:$F$206,IFERROR(MATCH(15,المحفظة!$H$107:$H$206,0),0))),"")</f>
        <v/>
      </c>
      <c r="G71" s="16"/>
    </row>
    <row r="72" spans="1:7" ht="15" hidden="1" customHeight="1" x14ac:dyDescent="0.25">
      <c r="A72" s="102" t="str">
        <f>IFERROR(IF(IFERROR(MATCH(16,المحفظة!$H$107:$H$206,0),0)=0,"",INDEX(المحفظة!$A$107:$A$206,IFERROR(MATCH(16,المحفظة!$H$107:$H$206,0),0))),"")</f>
        <v/>
      </c>
      <c r="B72" s="103" t="str">
        <f>IFERROR(IF(IFERROR(MATCH(16,المحفظة!$H$107:$H$206,0),0)=0,"",INDEX(المحفظة!$B$107:$B$206,IFERROR(MATCH(16,المحفظة!$H$107:$H$206,0),0))),"")</f>
        <v/>
      </c>
      <c r="C72" s="104" t="str">
        <f>IFERROR(IF(IFERROR(MATCH(16,المحفظة!$H$107:$H$206,0),0)=0,"",INDEX(المحفظة!$C$107:$C$206,IFERROR(MATCH(16,المحفظة!$H$107:$H$206,0),0))),"")</f>
        <v/>
      </c>
      <c r="D72" s="105" t="str">
        <f>IFERROR(IF(IFERROR(MATCH(16,المحفظة!$H$107:$H$206,0),0)=0,"",INDEX(المحفظة!$D$107:$D$206,IFERROR(MATCH(16,المحفظة!$H$107:$H$206,0),0))),"")</f>
        <v/>
      </c>
      <c r="E72" s="106" t="s">
        <v>274</v>
      </c>
      <c r="F72" s="103" t="str">
        <f>IFERROR(IF(IFERROR(MATCH(16,المحفظة!$H$107:$H$206,0),0)=0,"",INDEX(المحفظة!$F$107:$F$206,IFERROR(MATCH(16,المحفظة!$H$107:$H$206,0),0))),"")</f>
        <v/>
      </c>
      <c r="G72" s="21"/>
    </row>
    <row r="73" spans="1:7" ht="15" hidden="1" customHeight="1" x14ac:dyDescent="0.25">
      <c r="A73" s="97" t="str">
        <f>IFERROR(IF(IFERROR(MATCH(17,المحفظة!$H$107:$H$206,0),0)=0,"",INDEX(المحفظة!$A$107:$A$206,IFERROR(MATCH(17,المحفظة!$H$107:$H$206,0),0))),"")</f>
        <v/>
      </c>
      <c r="B73" s="98" t="str">
        <f>IFERROR(IF(IFERROR(MATCH(17,المحفظة!$H$107:$H$206,0),0)=0,"",INDEX(المحفظة!$B$107:$B$206,IFERROR(MATCH(17,المحفظة!$H$107:$H$206,0),0))),"")</f>
        <v/>
      </c>
      <c r="C73" s="99" t="str">
        <f>IFERROR(IF(IFERROR(MATCH(17,المحفظة!$H$107:$H$206,0),0)=0,"",INDEX(المحفظة!$C$107:$C$206,IFERROR(MATCH(17,المحفظة!$H$107:$H$206,0),0))),"")</f>
        <v/>
      </c>
      <c r="D73" s="100" t="str">
        <f>IFERROR(IF(IFERROR(MATCH(17,المحفظة!$H$107:$H$206,0),0)=0,"",INDEX(المحفظة!$D$107:$D$206,IFERROR(MATCH(17,المحفظة!$H$107:$H$206,0),0))),"")</f>
        <v/>
      </c>
      <c r="E73" s="101" t="s">
        <v>274</v>
      </c>
      <c r="F73" s="98" t="str">
        <f>IFERROR(IF(IFERROR(MATCH(17,المحفظة!$H$107:$H$206,0),0)=0,"",INDEX(المحفظة!$F$107:$F$206,IFERROR(MATCH(17,المحفظة!$H$107:$H$206,0),0))),"")</f>
        <v/>
      </c>
      <c r="G73" s="16"/>
    </row>
    <row r="74" spans="1:7" ht="15" hidden="1" customHeight="1" x14ac:dyDescent="0.25">
      <c r="A74" s="102" t="str">
        <f>IFERROR(IF(IFERROR(MATCH(18,المحفظة!$H$107:$H$206,0),0)=0,"",INDEX(المحفظة!$A$107:$A$206,IFERROR(MATCH(18,المحفظة!$H$107:$H$206,0),0))),"")</f>
        <v/>
      </c>
      <c r="B74" s="103" t="str">
        <f>IFERROR(IF(IFERROR(MATCH(18,المحفظة!$H$107:$H$206,0),0)=0,"",INDEX(المحفظة!$B$107:$B$206,IFERROR(MATCH(18,المحفظة!$H$107:$H$206,0),0))),"")</f>
        <v/>
      </c>
      <c r="C74" s="104" t="str">
        <f>IFERROR(IF(IFERROR(MATCH(18,المحفظة!$H$107:$H$206,0),0)=0,"",INDEX(المحفظة!$C$107:$C$206,IFERROR(MATCH(18,المحفظة!$H$107:$H$206,0),0))),"")</f>
        <v/>
      </c>
      <c r="D74" s="105" t="str">
        <f>IFERROR(IF(IFERROR(MATCH(18,المحفظة!$H$107:$H$206,0),0)=0,"",INDEX(المحفظة!$D$107:$D$206,IFERROR(MATCH(18,المحفظة!$H$107:$H$206,0),0))),"")</f>
        <v/>
      </c>
      <c r="E74" s="106" t="s">
        <v>274</v>
      </c>
      <c r="F74" s="103" t="str">
        <f>IFERROR(IF(IFERROR(MATCH(18,المحفظة!$H$107:$H$206,0),0)=0,"",INDEX(المحفظة!$F$107:$F$206,IFERROR(MATCH(18,المحفظة!$H$107:$H$206,0),0))),"")</f>
        <v/>
      </c>
      <c r="G74" s="21"/>
    </row>
    <row r="75" spans="1:7" ht="15" hidden="1" customHeight="1" x14ac:dyDescent="0.25">
      <c r="A75" s="97" t="str">
        <f>IFERROR(IF(IFERROR(MATCH(19,المحفظة!$H$107:$H$206,0),0)=0,"",INDEX(المحفظة!$A$107:$A$206,IFERROR(MATCH(19,المحفظة!$H$107:$H$206,0),0))),"")</f>
        <v/>
      </c>
      <c r="B75" s="98" t="str">
        <f>IFERROR(IF(IFERROR(MATCH(19,المحفظة!$H$107:$H$206,0),0)=0,"",INDEX(المحفظة!$B$107:$B$206,IFERROR(MATCH(19,المحفظة!$H$107:$H$206,0),0))),"")</f>
        <v/>
      </c>
      <c r="C75" s="99" t="str">
        <f>IFERROR(IF(IFERROR(MATCH(19,المحفظة!$H$107:$H$206,0),0)=0,"",INDEX(المحفظة!$C$107:$C$206,IFERROR(MATCH(19,المحفظة!$H$107:$H$206,0),0))),"")</f>
        <v/>
      </c>
      <c r="D75" s="100" t="str">
        <f>IFERROR(IF(IFERROR(MATCH(19,المحفظة!$H$107:$H$206,0),0)=0,"",INDEX(المحفظة!$D$107:$D$206,IFERROR(MATCH(19,المحفظة!$H$107:$H$206,0),0))),"")</f>
        <v/>
      </c>
      <c r="E75" s="101" t="s">
        <v>274</v>
      </c>
      <c r="F75" s="98" t="str">
        <f>IFERROR(IF(IFERROR(MATCH(19,المحفظة!$H$107:$H$206,0),0)=0,"",INDEX(المحفظة!$F$107:$F$206,IFERROR(MATCH(19,المحفظة!$H$107:$H$206,0),0))),"")</f>
        <v/>
      </c>
      <c r="G75" s="16"/>
    </row>
    <row r="76" spans="1:7" ht="15" hidden="1" customHeight="1" x14ac:dyDescent="0.25">
      <c r="A76" s="102" t="str">
        <f>IFERROR(IF(IFERROR(MATCH(20,المحفظة!$H$107:$H$206,0),0)=0,"",INDEX(المحفظة!$A$107:$A$206,IFERROR(MATCH(20,المحفظة!$H$107:$H$206,0),0))),"")</f>
        <v/>
      </c>
      <c r="B76" s="103" t="str">
        <f>IFERROR(IF(IFERROR(MATCH(20,المحفظة!$H$107:$H$206,0),0)=0,"",INDEX(المحفظة!$B$107:$B$206,IFERROR(MATCH(20,المحفظة!$H$107:$H$206,0),0))),"")</f>
        <v/>
      </c>
      <c r="C76" s="104" t="str">
        <f>IFERROR(IF(IFERROR(MATCH(20,المحفظة!$H$107:$H$206,0),0)=0,"",INDEX(المحفظة!$C$107:$C$206,IFERROR(MATCH(20,المحفظة!$H$107:$H$206,0),0))),"")</f>
        <v/>
      </c>
      <c r="D76" s="105" t="str">
        <f>IFERROR(IF(IFERROR(MATCH(20,المحفظة!$H$107:$H$206,0),0)=0,"",INDEX(المحفظة!$D$107:$D$206,IFERROR(MATCH(20,المحفظة!$H$107:$H$206,0),0))),"")</f>
        <v/>
      </c>
      <c r="E76" s="106" t="s">
        <v>274</v>
      </c>
      <c r="F76" s="103" t="str">
        <f>IFERROR(IF(IFERROR(MATCH(20,المحفظة!$H$107:$H$206,0),0)=0,"",INDEX(المحفظة!$F$107:$F$206,IFERROR(MATCH(20,المحفظة!$H$107:$H$206,0),0))),"")</f>
        <v/>
      </c>
      <c r="G76" s="21"/>
    </row>
    <row r="77" spans="1:7" ht="15" hidden="1" customHeight="1" x14ac:dyDescent="0.25">
      <c r="A77" s="97" t="str">
        <f>IFERROR(IF(IFERROR(MATCH(21,المحفظة!$H$107:$H$206,0),0)=0,"",INDEX(المحفظة!$A$107:$A$206,IFERROR(MATCH(21,المحفظة!$H$107:$H$206,0),0))),"")</f>
        <v/>
      </c>
      <c r="B77" s="98" t="str">
        <f>IFERROR(IF(IFERROR(MATCH(21,المحفظة!$H$107:$H$206,0),0)=0,"",INDEX(المحفظة!$B$107:$B$206,IFERROR(MATCH(21,المحفظة!$H$107:$H$206,0),0))),"")</f>
        <v/>
      </c>
      <c r="C77" s="99" t="str">
        <f>IFERROR(IF(IFERROR(MATCH(21,المحفظة!$H$107:$H$206,0),0)=0,"",INDEX(المحفظة!$C$107:$C$206,IFERROR(MATCH(21,المحفظة!$H$107:$H$206,0),0))),"")</f>
        <v/>
      </c>
      <c r="D77" s="100" t="str">
        <f>IFERROR(IF(IFERROR(MATCH(21,المحفظة!$H$107:$H$206,0),0)=0,"",INDEX(المحفظة!$D$107:$D$206,IFERROR(MATCH(21,المحفظة!$H$107:$H$206,0),0))),"")</f>
        <v/>
      </c>
      <c r="E77" s="101" t="s">
        <v>274</v>
      </c>
      <c r="F77" s="98" t="str">
        <f>IFERROR(IF(IFERROR(MATCH(21,المحفظة!$H$107:$H$206,0),0)=0,"",INDEX(المحفظة!$F$107:$F$206,IFERROR(MATCH(21,المحفظة!$H$107:$H$206,0),0))),"")</f>
        <v/>
      </c>
      <c r="G77" s="16"/>
    </row>
    <row r="78" spans="1:7" ht="15" hidden="1" customHeight="1" x14ac:dyDescent="0.25">
      <c r="A78" s="102" t="str">
        <f>IFERROR(IF(IFERROR(MATCH(22,المحفظة!$H$107:$H$206,0),0)=0,"",INDEX(المحفظة!$A$107:$A$206,IFERROR(MATCH(22,المحفظة!$H$107:$H$206,0),0))),"")</f>
        <v/>
      </c>
      <c r="B78" s="103" t="str">
        <f>IFERROR(IF(IFERROR(MATCH(22,المحفظة!$H$107:$H$206,0),0)=0,"",INDEX(المحفظة!$B$107:$B$206,IFERROR(MATCH(22,المحفظة!$H$107:$H$206,0),0))),"")</f>
        <v/>
      </c>
      <c r="C78" s="104" t="str">
        <f>IFERROR(IF(IFERROR(MATCH(22,المحفظة!$H$107:$H$206,0),0)=0,"",INDEX(المحفظة!$C$107:$C$206,IFERROR(MATCH(22,المحفظة!$H$107:$H$206,0),0))),"")</f>
        <v/>
      </c>
      <c r="D78" s="105" t="str">
        <f>IFERROR(IF(IFERROR(MATCH(22,المحفظة!$H$107:$H$206,0),0)=0,"",INDEX(المحفظة!$D$107:$D$206,IFERROR(MATCH(22,المحفظة!$H$107:$H$206,0),0))),"")</f>
        <v/>
      </c>
      <c r="E78" s="106" t="s">
        <v>274</v>
      </c>
      <c r="F78" s="103" t="str">
        <f>IFERROR(IF(IFERROR(MATCH(22,المحفظة!$H$107:$H$206,0),0)=0,"",INDEX(المحفظة!$F$107:$F$206,IFERROR(MATCH(22,المحفظة!$H$107:$H$206,0),0))),"")</f>
        <v/>
      </c>
      <c r="G78" s="21"/>
    </row>
    <row r="79" spans="1:7" ht="15" hidden="1" customHeight="1" x14ac:dyDescent="0.25">
      <c r="A79" s="97" t="str">
        <f>IFERROR(IF(IFERROR(MATCH(23,المحفظة!$H$107:$H$206,0),0)=0,"",INDEX(المحفظة!$A$107:$A$206,IFERROR(MATCH(23,المحفظة!$H$107:$H$206,0),0))),"")</f>
        <v/>
      </c>
      <c r="B79" s="98" t="str">
        <f>IFERROR(IF(IFERROR(MATCH(23,المحفظة!$H$107:$H$206,0),0)=0,"",INDEX(المحفظة!$B$107:$B$206,IFERROR(MATCH(23,المحفظة!$H$107:$H$206,0),0))),"")</f>
        <v/>
      </c>
      <c r="C79" s="99" t="str">
        <f>IFERROR(IF(IFERROR(MATCH(23,المحفظة!$H$107:$H$206,0),0)=0,"",INDEX(المحفظة!$C$107:$C$206,IFERROR(MATCH(23,المحفظة!$H$107:$H$206,0),0))),"")</f>
        <v/>
      </c>
      <c r="D79" s="100" t="str">
        <f>IFERROR(IF(IFERROR(MATCH(23,المحفظة!$H$107:$H$206,0),0)=0,"",INDEX(المحفظة!$D$107:$D$206,IFERROR(MATCH(23,المحفظة!$H$107:$H$206,0),0))),"")</f>
        <v/>
      </c>
      <c r="E79" s="101" t="s">
        <v>274</v>
      </c>
      <c r="F79" s="98" t="str">
        <f>IFERROR(IF(IFERROR(MATCH(23,المحفظة!$H$107:$H$206,0),0)=0,"",INDEX(المحفظة!$F$107:$F$206,IFERROR(MATCH(23,المحفظة!$H$107:$H$206,0),0))),"")</f>
        <v/>
      </c>
      <c r="G79" s="16"/>
    </row>
    <row r="80" spans="1:7" ht="15" hidden="1" customHeight="1" x14ac:dyDescent="0.25">
      <c r="A80" s="102" t="str">
        <f>IFERROR(IF(IFERROR(MATCH(24,المحفظة!$H$107:$H$206,0),0)=0,"",INDEX(المحفظة!$A$107:$A$206,IFERROR(MATCH(24,المحفظة!$H$107:$H$206,0),0))),"")</f>
        <v/>
      </c>
      <c r="B80" s="103" t="str">
        <f>IFERROR(IF(IFERROR(MATCH(24,المحفظة!$H$107:$H$206,0),0)=0,"",INDEX(المحفظة!$B$107:$B$206,IFERROR(MATCH(24,المحفظة!$H$107:$H$206,0),0))),"")</f>
        <v/>
      </c>
      <c r="C80" s="104" t="str">
        <f>IFERROR(IF(IFERROR(MATCH(24,المحفظة!$H$107:$H$206,0),0)=0,"",INDEX(المحفظة!$C$107:$C$206,IFERROR(MATCH(24,المحفظة!$H$107:$H$206,0),0))),"")</f>
        <v/>
      </c>
      <c r="D80" s="105" t="str">
        <f>IFERROR(IF(IFERROR(MATCH(24,المحفظة!$H$107:$H$206,0),0)=0,"",INDEX(المحفظة!$D$107:$D$206,IFERROR(MATCH(24,المحفظة!$H$107:$H$206,0),0))),"")</f>
        <v/>
      </c>
      <c r="E80" s="106" t="s">
        <v>274</v>
      </c>
      <c r="F80" s="103" t="str">
        <f>IFERROR(IF(IFERROR(MATCH(24,المحفظة!$H$107:$H$206,0),0)=0,"",INDEX(المحفظة!$F$107:$F$206,IFERROR(MATCH(24,المحفظة!$H$107:$H$206,0),0))),"")</f>
        <v/>
      </c>
      <c r="G80" s="21"/>
    </row>
    <row r="81" spans="1:7" ht="15" hidden="1" customHeight="1" x14ac:dyDescent="0.25">
      <c r="A81" s="97" t="str">
        <f>IFERROR(IF(IFERROR(MATCH(25,المحفظة!$H$107:$H$206,0),0)=0,"",INDEX(المحفظة!$A$107:$A$206,IFERROR(MATCH(25,المحفظة!$H$107:$H$206,0),0))),"")</f>
        <v/>
      </c>
      <c r="B81" s="98" t="str">
        <f>IFERROR(IF(IFERROR(MATCH(25,المحفظة!$H$107:$H$206,0),0)=0,"",INDEX(المحفظة!$B$107:$B$206,IFERROR(MATCH(25,المحفظة!$H$107:$H$206,0),0))),"")</f>
        <v/>
      </c>
      <c r="C81" s="99" t="str">
        <f>IFERROR(IF(IFERROR(MATCH(25,المحفظة!$H$107:$H$206,0),0)=0,"",INDEX(المحفظة!$C$107:$C$206,IFERROR(MATCH(25,المحفظة!$H$107:$H$206,0),0))),"")</f>
        <v/>
      </c>
      <c r="D81" s="100" t="str">
        <f>IFERROR(IF(IFERROR(MATCH(25,المحفظة!$H$107:$H$206,0),0)=0,"",INDEX(المحفظة!$D$107:$D$206,IFERROR(MATCH(25,المحفظة!$H$107:$H$206,0),0))),"")</f>
        <v/>
      </c>
      <c r="E81" s="101" t="s">
        <v>274</v>
      </c>
      <c r="F81" s="98" t="str">
        <f>IFERROR(IF(IFERROR(MATCH(25,المحفظة!$H$107:$H$206,0),0)=0,"",INDEX(المحفظة!$F$107:$F$206,IFERROR(MATCH(25,المحفظة!$H$107:$H$206,0),0))),"")</f>
        <v/>
      </c>
      <c r="G81" s="16"/>
    </row>
    <row r="82" spans="1:7" ht="15" hidden="1" customHeight="1" x14ac:dyDescent="0.25">
      <c r="A82" s="102" t="str">
        <f>IFERROR(IF(IFERROR(MATCH(26,المحفظة!$H$107:$H$206,0),0)=0,"",INDEX(المحفظة!$A$107:$A$206,IFERROR(MATCH(26,المحفظة!$H$107:$H$206,0),0))),"")</f>
        <v/>
      </c>
      <c r="B82" s="103" t="str">
        <f>IFERROR(IF(IFERROR(MATCH(26,المحفظة!$H$107:$H$206,0),0)=0,"",INDEX(المحفظة!$B$107:$B$206,IFERROR(MATCH(26,المحفظة!$H$107:$H$206,0),0))),"")</f>
        <v/>
      </c>
      <c r="C82" s="104" t="str">
        <f>IFERROR(IF(IFERROR(MATCH(26,المحفظة!$H$107:$H$206,0),0)=0,"",INDEX(المحفظة!$C$107:$C$206,IFERROR(MATCH(26,المحفظة!$H$107:$H$206,0),0))),"")</f>
        <v/>
      </c>
      <c r="D82" s="105" t="str">
        <f>IFERROR(IF(IFERROR(MATCH(26,المحفظة!$H$107:$H$206,0),0)=0,"",INDEX(المحفظة!$D$107:$D$206,IFERROR(MATCH(26,المحفظة!$H$107:$H$206,0),0))),"")</f>
        <v/>
      </c>
      <c r="E82" s="106" t="s">
        <v>274</v>
      </c>
      <c r="F82" s="103" t="str">
        <f>IFERROR(IF(IFERROR(MATCH(26,المحفظة!$H$107:$H$206,0),0)=0,"",INDEX(المحفظة!$F$107:$F$206,IFERROR(MATCH(26,المحفظة!$H$107:$H$206,0),0))),"")</f>
        <v/>
      </c>
      <c r="G82" s="21"/>
    </row>
    <row r="83" spans="1:7" ht="15" hidden="1" customHeight="1" x14ac:dyDescent="0.25">
      <c r="A83" s="97" t="str">
        <f>IFERROR(IF(IFERROR(MATCH(27,المحفظة!$H$107:$H$206,0),0)=0,"",INDEX(المحفظة!$A$107:$A$206,IFERROR(MATCH(27,المحفظة!$H$107:$H$206,0),0))),"")</f>
        <v/>
      </c>
      <c r="B83" s="98" t="str">
        <f>IFERROR(IF(IFERROR(MATCH(27,المحفظة!$H$107:$H$206,0),0)=0,"",INDEX(المحفظة!$B$107:$B$206,IFERROR(MATCH(27,المحفظة!$H$107:$H$206,0),0))),"")</f>
        <v/>
      </c>
      <c r="C83" s="99" t="str">
        <f>IFERROR(IF(IFERROR(MATCH(27,المحفظة!$H$107:$H$206,0),0)=0,"",INDEX(المحفظة!$C$107:$C$206,IFERROR(MATCH(27,المحفظة!$H$107:$H$206,0),0))),"")</f>
        <v/>
      </c>
      <c r="D83" s="100" t="str">
        <f>IFERROR(IF(IFERROR(MATCH(27,المحفظة!$H$107:$H$206,0),0)=0,"",INDEX(المحفظة!$D$107:$D$206,IFERROR(MATCH(27,المحفظة!$H$107:$H$206,0),0))),"")</f>
        <v/>
      </c>
      <c r="E83" s="101" t="s">
        <v>274</v>
      </c>
      <c r="F83" s="98" t="str">
        <f>IFERROR(IF(IFERROR(MATCH(27,المحفظة!$H$107:$H$206,0),0)=0,"",INDEX(المحفظة!$F$107:$F$206,IFERROR(MATCH(27,المحفظة!$H$107:$H$206,0),0))),"")</f>
        <v/>
      </c>
      <c r="G83" s="16"/>
    </row>
    <row r="84" spans="1:7" ht="15" hidden="1" customHeight="1" x14ac:dyDescent="0.25">
      <c r="A84" s="102" t="str">
        <f>IFERROR(IF(IFERROR(MATCH(28,المحفظة!$H$107:$H$206,0),0)=0,"",INDEX(المحفظة!$A$107:$A$206,IFERROR(MATCH(28,المحفظة!$H$107:$H$206,0),0))),"")</f>
        <v/>
      </c>
      <c r="B84" s="103" t="str">
        <f>IFERROR(IF(IFERROR(MATCH(28,المحفظة!$H$107:$H$206,0),0)=0,"",INDEX(المحفظة!$B$107:$B$206,IFERROR(MATCH(28,المحفظة!$H$107:$H$206,0),0))),"")</f>
        <v/>
      </c>
      <c r="C84" s="104" t="str">
        <f>IFERROR(IF(IFERROR(MATCH(28,المحفظة!$H$107:$H$206,0),0)=0,"",INDEX(المحفظة!$C$107:$C$206,IFERROR(MATCH(28,المحفظة!$H$107:$H$206,0),0))),"")</f>
        <v/>
      </c>
      <c r="D84" s="105" t="str">
        <f>IFERROR(IF(IFERROR(MATCH(28,المحفظة!$H$107:$H$206,0),0)=0,"",INDEX(المحفظة!$D$107:$D$206,IFERROR(MATCH(28,المحفظة!$H$107:$H$206,0),0))),"")</f>
        <v/>
      </c>
      <c r="E84" s="106" t="s">
        <v>274</v>
      </c>
      <c r="F84" s="103" t="str">
        <f>IFERROR(IF(IFERROR(MATCH(28,المحفظة!$H$107:$H$206,0),0)=0,"",INDEX(المحفظة!$F$107:$F$206,IFERROR(MATCH(28,المحفظة!$H$107:$H$206,0),0))),"")</f>
        <v/>
      </c>
      <c r="G84" s="21"/>
    </row>
    <row r="85" spans="1:7" ht="15" hidden="1" customHeight="1" x14ac:dyDescent="0.25">
      <c r="A85" s="97" t="str">
        <f>IFERROR(IF(IFERROR(MATCH(29,المحفظة!$H$107:$H$206,0),0)=0,"",INDEX(المحفظة!$A$107:$A$206,IFERROR(MATCH(29,المحفظة!$H$107:$H$206,0),0))),"")</f>
        <v/>
      </c>
      <c r="B85" s="98" t="str">
        <f>IFERROR(IF(IFERROR(MATCH(29,المحفظة!$H$107:$H$206,0),0)=0,"",INDEX(المحفظة!$B$107:$B$206,IFERROR(MATCH(29,المحفظة!$H$107:$H$206,0),0))),"")</f>
        <v/>
      </c>
      <c r="C85" s="99" t="str">
        <f>IFERROR(IF(IFERROR(MATCH(29,المحفظة!$H$107:$H$206,0),0)=0,"",INDEX(المحفظة!$C$107:$C$206,IFERROR(MATCH(29,المحفظة!$H$107:$H$206,0),0))),"")</f>
        <v/>
      </c>
      <c r="D85" s="100" t="str">
        <f>IFERROR(IF(IFERROR(MATCH(29,المحفظة!$H$107:$H$206,0),0)=0,"",INDEX(المحفظة!$D$107:$D$206,IFERROR(MATCH(29,المحفظة!$H$107:$H$206,0),0))),"")</f>
        <v/>
      </c>
      <c r="E85" s="101" t="s">
        <v>274</v>
      </c>
      <c r="F85" s="98" t="str">
        <f>IFERROR(IF(IFERROR(MATCH(29,المحفظة!$H$107:$H$206,0),0)=0,"",INDEX(المحفظة!$F$107:$F$206,IFERROR(MATCH(29,المحفظة!$H$107:$H$206,0),0))),"")</f>
        <v/>
      </c>
      <c r="G85" s="16"/>
    </row>
    <row r="86" spans="1:7" ht="15" hidden="1" customHeight="1" x14ac:dyDescent="0.25">
      <c r="A86" s="102" t="str">
        <f>IFERROR(IF(IFERROR(MATCH(30,المحفظة!$H$107:$H$206,0),0)=0,"",INDEX(المحفظة!$A$107:$A$206,IFERROR(MATCH(30,المحفظة!$H$107:$H$206,0),0))),"")</f>
        <v/>
      </c>
      <c r="B86" s="103" t="str">
        <f>IFERROR(IF(IFERROR(MATCH(30,المحفظة!$H$107:$H$206,0),0)=0,"",INDEX(المحفظة!$B$107:$B$206,IFERROR(MATCH(30,المحفظة!$H$107:$H$206,0),0))),"")</f>
        <v/>
      </c>
      <c r="C86" s="104" t="str">
        <f>IFERROR(IF(IFERROR(MATCH(30,المحفظة!$H$107:$H$206,0),0)=0,"",INDEX(المحفظة!$C$107:$C$206,IFERROR(MATCH(30,المحفظة!$H$107:$H$206,0),0))),"")</f>
        <v/>
      </c>
      <c r="D86" s="105" t="str">
        <f>IFERROR(IF(IFERROR(MATCH(30,المحفظة!$H$107:$H$206,0),0)=0,"",INDEX(المحفظة!$D$107:$D$206,IFERROR(MATCH(30,المحفظة!$H$107:$H$206,0),0))),"")</f>
        <v/>
      </c>
      <c r="E86" s="106" t="s">
        <v>274</v>
      </c>
      <c r="F86" s="103" t="str">
        <f>IFERROR(IF(IFERROR(MATCH(30,المحفظة!$H$107:$H$206,0),0)=0,"",INDEX(المحفظة!$F$107:$F$206,IFERROR(MATCH(30,المحفظة!$H$107:$H$206,0),0))),"")</f>
        <v/>
      </c>
      <c r="G86" s="21"/>
    </row>
    <row r="87" spans="1:7" ht="15" hidden="1" customHeight="1" x14ac:dyDescent="0.25">
      <c r="A87" s="97" t="str">
        <f>IFERROR(IF(IFERROR(MATCH(31,المحفظة!$H$107:$H$206,0),0)=0,"",INDEX(المحفظة!$A$107:$A$206,IFERROR(MATCH(31,المحفظة!$H$107:$H$206,0),0))),"")</f>
        <v/>
      </c>
      <c r="B87" s="98" t="str">
        <f>IFERROR(IF(IFERROR(MATCH(31,المحفظة!$H$107:$H$206,0),0)=0,"",INDEX(المحفظة!$B$107:$B$206,IFERROR(MATCH(31,المحفظة!$H$107:$H$206,0),0))),"")</f>
        <v/>
      </c>
      <c r="C87" s="99" t="str">
        <f>IFERROR(IF(IFERROR(MATCH(31,المحفظة!$H$107:$H$206,0),0)=0,"",INDEX(المحفظة!$C$107:$C$206,IFERROR(MATCH(31,المحفظة!$H$107:$H$206,0),0))),"")</f>
        <v/>
      </c>
      <c r="D87" s="100" t="str">
        <f>IFERROR(IF(IFERROR(MATCH(31,المحفظة!$H$107:$H$206,0),0)=0,"",INDEX(المحفظة!$D$107:$D$206,IFERROR(MATCH(31,المحفظة!$H$107:$H$206,0),0))),"")</f>
        <v/>
      </c>
      <c r="E87" s="101" t="s">
        <v>274</v>
      </c>
      <c r="F87" s="98" t="str">
        <f>IFERROR(IF(IFERROR(MATCH(31,المحفظة!$H$107:$H$206,0),0)=0,"",INDEX(المحفظة!$F$107:$F$206,IFERROR(MATCH(31,المحفظة!$H$107:$H$206,0),0))),"")</f>
        <v/>
      </c>
      <c r="G87" s="16"/>
    </row>
    <row r="88" spans="1:7" ht="15" hidden="1" customHeight="1" x14ac:dyDescent="0.25">
      <c r="A88" s="102" t="str">
        <f>IFERROR(IF(IFERROR(MATCH(32,المحفظة!$H$107:$H$206,0),0)=0,"",INDEX(المحفظة!$A$107:$A$206,IFERROR(MATCH(32,المحفظة!$H$107:$H$206,0),0))),"")</f>
        <v/>
      </c>
      <c r="B88" s="103" t="str">
        <f>IFERROR(IF(IFERROR(MATCH(32,المحفظة!$H$107:$H$206,0),0)=0,"",INDEX(المحفظة!$B$107:$B$206,IFERROR(MATCH(32,المحفظة!$H$107:$H$206,0),0))),"")</f>
        <v/>
      </c>
      <c r="C88" s="104" t="str">
        <f>IFERROR(IF(IFERROR(MATCH(32,المحفظة!$H$107:$H$206,0),0)=0,"",INDEX(المحفظة!$C$107:$C$206,IFERROR(MATCH(32,المحفظة!$H$107:$H$206,0),0))),"")</f>
        <v/>
      </c>
      <c r="D88" s="105" t="str">
        <f>IFERROR(IF(IFERROR(MATCH(32,المحفظة!$H$107:$H$206,0),0)=0,"",INDEX(المحفظة!$D$107:$D$206,IFERROR(MATCH(32,المحفظة!$H$107:$H$206,0),0))),"")</f>
        <v/>
      </c>
      <c r="E88" s="106" t="s">
        <v>274</v>
      </c>
      <c r="F88" s="103" t="str">
        <f>IFERROR(IF(IFERROR(MATCH(32,المحفظة!$H$107:$H$206,0),0)=0,"",INDEX(المحفظة!$F$107:$F$206,IFERROR(MATCH(32,المحفظة!$H$107:$H$206,0),0))),"")</f>
        <v/>
      </c>
      <c r="G88" s="21"/>
    </row>
    <row r="89" spans="1:7" ht="15" hidden="1" customHeight="1" x14ac:dyDescent="0.25">
      <c r="A89" s="97" t="str">
        <f>IFERROR(IF(IFERROR(MATCH(33,المحفظة!$H$107:$H$206,0),0)=0,"",INDEX(المحفظة!$A$107:$A$206,IFERROR(MATCH(33,المحفظة!$H$107:$H$206,0),0))),"")</f>
        <v/>
      </c>
      <c r="B89" s="98" t="str">
        <f>IFERROR(IF(IFERROR(MATCH(33,المحفظة!$H$107:$H$206,0),0)=0,"",INDEX(المحفظة!$B$107:$B$206,IFERROR(MATCH(33,المحفظة!$H$107:$H$206,0),0))),"")</f>
        <v/>
      </c>
      <c r="C89" s="99" t="str">
        <f>IFERROR(IF(IFERROR(MATCH(33,المحفظة!$H$107:$H$206,0),0)=0,"",INDEX(المحفظة!$C$107:$C$206,IFERROR(MATCH(33,المحفظة!$H$107:$H$206,0),0))),"")</f>
        <v/>
      </c>
      <c r="D89" s="100" t="str">
        <f>IFERROR(IF(IFERROR(MATCH(33,المحفظة!$H$107:$H$206,0),0)=0,"",INDEX(المحفظة!$D$107:$D$206,IFERROR(MATCH(33,المحفظة!$H$107:$H$206,0),0))),"")</f>
        <v/>
      </c>
      <c r="E89" s="101" t="s">
        <v>274</v>
      </c>
      <c r="F89" s="98" t="str">
        <f>IFERROR(IF(IFERROR(MATCH(33,المحفظة!$H$107:$H$206,0),0)=0,"",INDEX(المحفظة!$F$107:$F$206,IFERROR(MATCH(33,المحفظة!$H$107:$H$206,0),0))),"")</f>
        <v/>
      </c>
      <c r="G89" s="16"/>
    </row>
    <row r="90" spans="1:7" ht="15" hidden="1" customHeight="1" x14ac:dyDescent="0.25">
      <c r="A90" s="102" t="str">
        <f>IFERROR(IF(IFERROR(MATCH(34,المحفظة!$H$107:$H$206,0),0)=0,"",INDEX(المحفظة!$A$107:$A$206,IFERROR(MATCH(34,المحفظة!$H$107:$H$206,0),0))),"")</f>
        <v/>
      </c>
      <c r="B90" s="103" t="str">
        <f>IFERROR(IF(IFERROR(MATCH(34,المحفظة!$H$107:$H$206,0),0)=0,"",INDEX(المحفظة!$B$107:$B$206,IFERROR(MATCH(34,المحفظة!$H$107:$H$206,0),0))),"")</f>
        <v/>
      </c>
      <c r="C90" s="104" t="str">
        <f>IFERROR(IF(IFERROR(MATCH(34,المحفظة!$H$107:$H$206,0),0)=0,"",INDEX(المحفظة!$C$107:$C$206,IFERROR(MATCH(34,المحفظة!$H$107:$H$206,0),0))),"")</f>
        <v/>
      </c>
      <c r="D90" s="105" t="str">
        <f>IFERROR(IF(IFERROR(MATCH(34,المحفظة!$H$107:$H$206,0),0)=0,"",INDEX(المحفظة!$D$107:$D$206,IFERROR(MATCH(34,المحفظة!$H$107:$H$206,0),0))),"")</f>
        <v/>
      </c>
      <c r="E90" s="106" t="s">
        <v>274</v>
      </c>
      <c r="F90" s="103" t="str">
        <f>IFERROR(IF(IFERROR(MATCH(34,المحفظة!$H$107:$H$206,0),0)=0,"",INDEX(المحفظة!$F$107:$F$206,IFERROR(MATCH(34,المحفظة!$H$107:$H$206,0),0))),"")</f>
        <v/>
      </c>
      <c r="G90" s="21"/>
    </row>
    <row r="91" spans="1:7" ht="15" hidden="1" customHeight="1" x14ac:dyDescent="0.25">
      <c r="A91" s="97" t="str">
        <f>IFERROR(IF(IFERROR(MATCH(35,المحفظة!$H$107:$H$206,0),0)=0,"",INDEX(المحفظة!$A$107:$A$206,IFERROR(MATCH(35,المحفظة!$H$107:$H$206,0),0))),"")</f>
        <v/>
      </c>
      <c r="B91" s="98" t="str">
        <f>IFERROR(IF(IFERROR(MATCH(35,المحفظة!$H$107:$H$206,0),0)=0,"",INDEX(المحفظة!$B$107:$B$206,IFERROR(MATCH(35,المحفظة!$H$107:$H$206,0),0))),"")</f>
        <v/>
      </c>
      <c r="C91" s="99" t="str">
        <f>IFERROR(IF(IFERROR(MATCH(35,المحفظة!$H$107:$H$206,0),0)=0,"",INDEX(المحفظة!$C$107:$C$206,IFERROR(MATCH(35,المحفظة!$H$107:$H$206,0),0))),"")</f>
        <v/>
      </c>
      <c r="D91" s="100" t="str">
        <f>IFERROR(IF(IFERROR(MATCH(35,المحفظة!$H$107:$H$206,0),0)=0,"",INDEX(المحفظة!$D$107:$D$206,IFERROR(MATCH(35,المحفظة!$H$107:$H$206,0),0))),"")</f>
        <v/>
      </c>
      <c r="E91" s="101" t="s">
        <v>274</v>
      </c>
      <c r="F91" s="98" t="str">
        <f>IFERROR(IF(IFERROR(MATCH(35,المحفظة!$H$107:$H$206,0),0)=0,"",INDEX(المحفظة!$F$107:$F$206,IFERROR(MATCH(35,المحفظة!$H$107:$H$206,0),0))),"")</f>
        <v/>
      </c>
      <c r="G91" s="16"/>
    </row>
    <row r="92" spans="1:7" ht="15" hidden="1" customHeight="1" x14ac:dyDescent="0.25">
      <c r="A92" s="102" t="str">
        <f>IFERROR(IF(IFERROR(MATCH(36,المحفظة!$H$107:$H$206,0),0)=0,"",INDEX(المحفظة!$A$107:$A$206,IFERROR(MATCH(36,المحفظة!$H$107:$H$206,0),0))),"")</f>
        <v/>
      </c>
      <c r="B92" s="103" t="str">
        <f>IFERROR(IF(IFERROR(MATCH(36,المحفظة!$H$107:$H$206,0),0)=0,"",INDEX(المحفظة!$B$107:$B$206,IFERROR(MATCH(36,المحفظة!$H$107:$H$206,0),0))),"")</f>
        <v/>
      </c>
      <c r="C92" s="104" t="str">
        <f>IFERROR(IF(IFERROR(MATCH(36,المحفظة!$H$107:$H$206,0),0)=0,"",INDEX(المحفظة!$C$107:$C$206,IFERROR(MATCH(36,المحفظة!$H$107:$H$206,0),0))),"")</f>
        <v/>
      </c>
      <c r="D92" s="105" t="str">
        <f>IFERROR(IF(IFERROR(MATCH(36,المحفظة!$H$107:$H$206,0),0)=0,"",INDEX(المحفظة!$D$107:$D$206,IFERROR(MATCH(36,المحفظة!$H$107:$H$206,0),0))),"")</f>
        <v/>
      </c>
      <c r="E92" s="106" t="s">
        <v>274</v>
      </c>
      <c r="F92" s="103" t="str">
        <f>IFERROR(IF(IFERROR(MATCH(36,المحفظة!$H$107:$H$206,0),0)=0,"",INDEX(المحفظة!$F$107:$F$206,IFERROR(MATCH(36,المحفظة!$H$107:$H$206,0),0))),"")</f>
        <v/>
      </c>
      <c r="G92" s="21"/>
    </row>
    <row r="93" spans="1:7" ht="15" hidden="1" customHeight="1" x14ac:dyDescent="0.25">
      <c r="A93" s="97" t="str">
        <f>IFERROR(IF(IFERROR(MATCH(37,المحفظة!$H$107:$H$206,0),0)=0,"",INDEX(المحفظة!$A$107:$A$206,IFERROR(MATCH(37,المحفظة!$H$107:$H$206,0),0))),"")</f>
        <v/>
      </c>
      <c r="B93" s="98" t="str">
        <f>IFERROR(IF(IFERROR(MATCH(37,المحفظة!$H$107:$H$206,0),0)=0,"",INDEX(المحفظة!$B$107:$B$206,IFERROR(MATCH(37,المحفظة!$H$107:$H$206,0),0))),"")</f>
        <v/>
      </c>
      <c r="C93" s="99" t="str">
        <f>IFERROR(IF(IFERROR(MATCH(37,المحفظة!$H$107:$H$206,0),0)=0,"",INDEX(المحفظة!$C$107:$C$206,IFERROR(MATCH(37,المحفظة!$H$107:$H$206,0),0))),"")</f>
        <v/>
      </c>
      <c r="D93" s="100" t="str">
        <f>IFERROR(IF(IFERROR(MATCH(37,المحفظة!$H$107:$H$206,0),0)=0,"",INDEX(المحفظة!$D$107:$D$206,IFERROR(MATCH(37,المحفظة!$H$107:$H$206,0),0))),"")</f>
        <v/>
      </c>
      <c r="E93" s="101" t="s">
        <v>274</v>
      </c>
      <c r="F93" s="98" t="str">
        <f>IFERROR(IF(IFERROR(MATCH(37,المحفظة!$H$107:$H$206,0),0)=0,"",INDEX(المحفظة!$F$107:$F$206,IFERROR(MATCH(37,المحفظة!$H$107:$H$206,0),0))),"")</f>
        <v/>
      </c>
      <c r="G93" s="16"/>
    </row>
    <row r="94" spans="1:7" ht="15" hidden="1" customHeight="1" x14ac:dyDescent="0.25">
      <c r="A94" s="102" t="str">
        <f>IFERROR(IF(IFERROR(MATCH(38,المحفظة!$H$107:$H$206,0),0)=0,"",INDEX(المحفظة!$A$107:$A$206,IFERROR(MATCH(38,المحفظة!$H$107:$H$206,0),0))),"")</f>
        <v/>
      </c>
      <c r="B94" s="103" t="str">
        <f>IFERROR(IF(IFERROR(MATCH(38,المحفظة!$H$107:$H$206,0),0)=0,"",INDEX(المحفظة!$B$107:$B$206,IFERROR(MATCH(38,المحفظة!$H$107:$H$206,0),0))),"")</f>
        <v/>
      </c>
      <c r="C94" s="104" t="str">
        <f>IFERROR(IF(IFERROR(MATCH(38,المحفظة!$H$107:$H$206,0),0)=0,"",INDEX(المحفظة!$C$107:$C$206,IFERROR(MATCH(38,المحفظة!$H$107:$H$206,0),0))),"")</f>
        <v/>
      </c>
      <c r="D94" s="105" t="str">
        <f>IFERROR(IF(IFERROR(MATCH(38,المحفظة!$H$107:$H$206,0),0)=0,"",INDEX(المحفظة!$D$107:$D$206,IFERROR(MATCH(38,المحفظة!$H$107:$H$206,0),0))),"")</f>
        <v/>
      </c>
      <c r="E94" s="106" t="s">
        <v>274</v>
      </c>
      <c r="F94" s="103" t="str">
        <f>IFERROR(IF(IFERROR(MATCH(38,المحفظة!$H$107:$H$206,0),0)=0,"",INDEX(المحفظة!$F$107:$F$206,IFERROR(MATCH(38,المحفظة!$H$107:$H$206,0),0))),"")</f>
        <v/>
      </c>
      <c r="G94" s="21"/>
    </row>
    <row r="95" spans="1:7" ht="15" hidden="1" customHeight="1" x14ac:dyDescent="0.25">
      <c r="A95" s="97" t="str">
        <f>IFERROR(IF(IFERROR(MATCH(39,المحفظة!$H$107:$H$206,0),0)=0,"",INDEX(المحفظة!$A$107:$A$206,IFERROR(MATCH(39,المحفظة!$H$107:$H$206,0),0))),"")</f>
        <v/>
      </c>
      <c r="B95" s="98" t="str">
        <f>IFERROR(IF(IFERROR(MATCH(39,المحفظة!$H$107:$H$206,0),0)=0,"",INDEX(المحفظة!$B$107:$B$206,IFERROR(MATCH(39,المحفظة!$H$107:$H$206,0),0))),"")</f>
        <v/>
      </c>
      <c r="C95" s="99" t="str">
        <f>IFERROR(IF(IFERROR(MATCH(39,المحفظة!$H$107:$H$206,0),0)=0,"",INDEX(المحفظة!$C$107:$C$206,IFERROR(MATCH(39,المحفظة!$H$107:$H$206,0),0))),"")</f>
        <v/>
      </c>
      <c r="D95" s="100" t="str">
        <f>IFERROR(IF(IFERROR(MATCH(39,المحفظة!$H$107:$H$206,0),0)=0,"",INDEX(المحفظة!$D$107:$D$206,IFERROR(MATCH(39,المحفظة!$H$107:$H$206,0),0))),"")</f>
        <v/>
      </c>
      <c r="E95" s="101" t="s">
        <v>274</v>
      </c>
      <c r="F95" s="98" t="str">
        <f>IFERROR(IF(IFERROR(MATCH(39,المحفظة!$H$107:$H$206,0),0)=0,"",INDEX(المحفظة!$F$107:$F$206,IFERROR(MATCH(39,المحفظة!$H$107:$H$206,0),0))),"")</f>
        <v/>
      </c>
      <c r="G95" s="16"/>
    </row>
    <row r="96" spans="1:7" ht="15" hidden="1" customHeight="1" x14ac:dyDescent="0.25">
      <c r="A96" s="102" t="str">
        <f>IFERROR(IF(IFERROR(MATCH(40,المحفظة!$H$107:$H$206,0),0)=0,"",INDEX(المحفظة!$A$107:$A$206,IFERROR(MATCH(40,المحفظة!$H$107:$H$206,0),0))),"")</f>
        <v/>
      </c>
      <c r="B96" s="103" t="str">
        <f>IFERROR(IF(IFERROR(MATCH(40,المحفظة!$H$107:$H$206,0),0)=0,"",INDEX(المحفظة!$B$107:$B$206,IFERROR(MATCH(40,المحفظة!$H$107:$H$206,0),0))),"")</f>
        <v/>
      </c>
      <c r="C96" s="104" t="str">
        <f>IFERROR(IF(IFERROR(MATCH(40,المحفظة!$H$107:$H$206,0),0)=0,"",INDEX(المحفظة!$C$107:$C$206,IFERROR(MATCH(40,المحفظة!$H$107:$H$206,0),0))),"")</f>
        <v/>
      </c>
      <c r="D96" s="105" t="str">
        <f>IFERROR(IF(IFERROR(MATCH(40,المحفظة!$H$107:$H$206,0),0)=0,"",INDEX(المحفظة!$D$107:$D$206,IFERROR(MATCH(40,المحفظة!$H$107:$H$206,0),0))),"")</f>
        <v/>
      </c>
      <c r="E96" s="106" t="s">
        <v>274</v>
      </c>
      <c r="F96" s="103" t="str">
        <f>IFERROR(IF(IFERROR(MATCH(40,المحفظة!$H$107:$H$206,0),0)=0,"",INDEX(المحفظة!$F$107:$F$206,IFERROR(MATCH(40,المحفظة!$H$107:$H$206,0),0))),"")</f>
        <v/>
      </c>
      <c r="G96" s="21"/>
    </row>
    <row r="97" spans="1:7" ht="15" hidden="1" customHeight="1" x14ac:dyDescent="0.25">
      <c r="A97" s="97" t="str">
        <f>IFERROR(IF(IFERROR(MATCH(41,المحفظة!$H$107:$H$206,0),0)=0,"",INDEX(المحفظة!$A$107:$A$206,IFERROR(MATCH(41,المحفظة!$H$107:$H$206,0),0))),"")</f>
        <v/>
      </c>
      <c r="B97" s="98" t="str">
        <f>IFERROR(IF(IFERROR(MATCH(41,المحفظة!$H$107:$H$206,0),0)=0,"",INDEX(المحفظة!$B$107:$B$206,IFERROR(MATCH(41,المحفظة!$H$107:$H$206,0),0))),"")</f>
        <v/>
      </c>
      <c r="C97" s="99" t="str">
        <f>IFERROR(IF(IFERROR(MATCH(41,المحفظة!$H$107:$H$206,0),0)=0,"",INDEX(المحفظة!$C$107:$C$206,IFERROR(MATCH(41,المحفظة!$H$107:$H$206,0),0))),"")</f>
        <v/>
      </c>
      <c r="D97" s="100" t="str">
        <f>IFERROR(IF(IFERROR(MATCH(41,المحفظة!$H$107:$H$206,0),0)=0,"",INDEX(المحفظة!$D$107:$D$206,IFERROR(MATCH(41,المحفظة!$H$107:$H$206,0),0))),"")</f>
        <v/>
      </c>
      <c r="E97" s="101" t="s">
        <v>274</v>
      </c>
      <c r="F97" s="98" t="str">
        <f>IFERROR(IF(IFERROR(MATCH(41,المحفظة!$H$107:$H$206,0),0)=0,"",INDEX(المحفظة!$F$107:$F$206,IFERROR(MATCH(41,المحفظة!$H$107:$H$206,0),0))),"")</f>
        <v/>
      </c>
      <c r="G97" s="16"/>
    </row>
    <row r="98" spans="1:7" ht="15" hidden="1" customHeight="1" x14ac:dyDescent="0.25">
      <c r="A98" s="102" t="str">
        <f>IFERROR(IF(IFERROR(MATCH(42,المحفظة!$H$107:$H$206,0),0)=0,"",INDEX(المحفظة!$A$107:$A$206,IFERROR(MATCH(42,المحفظة!$H$107:$H$206,0),0))),"")</f>
        <v/>
      </c>
      <c r="B98" s="103" t="str">
        <f>IFERROR(IF(IFERROR(MATCH(42,المحفظة!$H$107:$H$206,0),0)=0,"",INDEX(المحفظة!$B$107:$B$206,IFERROR(MATCH(42,المحفظة!$H$107:$H$206,0),0))),"")</f>
        <v/>
      </c>
      <c r="C98" s="104" t="str">
        <f>IFERROR(IF(IFERROR(MATCH(42,المحفظة!$H$107:$H$206,0),0)=0,"",INDEX(المحفظة!$C$107:$C$206,IFERROR(MATCH(42,المحفظة!$H$107:$H$206,0),0))),"")</f>
        <v/>
      </c>
      <c r="D98" s="105" t="str">
        <f>IFERROR(IF(IFERROR(MATCH(42,المحفظة!$H$107:$H$206,0),0)=0,"",INDEX(المحفظة!$D$107:$D$206,IFERROR(MATCH(42,المحفظة!$H$107:$H$206,0),0))),"")</f>
        <v/>
      </c>
      <c r="E98" s="106" t="s">
        <v>274</v>
      </c>
      <c r="F98" s="103" t="str">
        <f>IFERROR(IF(IFERROR(MATCH(42,المحفظة!$H$107:$H$206,0),0)=0,"",INDEX(المحفظة!$F$107:$F$206,IFERROR(MATCH(42,المحفظة!$H$107:$H$206,0),0))),"")</f>
        <v/>
      </c>
      <c r="G98" s="21"/>
    </row>
    <row r="99" spans="1:7" ht="15" hidden="1" customHeight="1" x14ac:dyDescent="0.25">
      <c r="A99" s="97" t="str">
        <f>IFERROR(IF(IFERROR(MATCH(43,المحفظة!$H$107:$H$206,0),0)=0,"",INDEX(المحفظة!$A$107:$A$206,IFERROR(MATCH(43,المحفظة!$H$107:$H$206,0),0))),"")</f>
        <v/>
      </c>
      <c r="B99" s="98" t="str">
        <f>IFERROR(IF(IFERROR(MATCH(43,المحفظة!$H$107:$H$206,0),0)=0,"",INDEX(المحفظة!$B$107:$B$206,IFERROR(MATCH(43,المحفظة!$H$107:$H$206,0),0))),"")</f>
        <v/>
      </c>
      <c r="C99" s="99" t="str">
        <f>IFERROR(IF(IFERROR(MATCH(43,المحفظة!$H$107:$H$206,0),0)=0,"",INDEX(المحفظة!$C$107:$C$206,IFERROR(MATCH(43,المحفظة!$H$107:$H$206,0),0))),"")</f>
        <v/>
      </c>
      <c r="D99" s="100" t="str">
        <f>IFERROR(IF(IFERROR(MATCH(43,المحفظة!$H$107:$H$206,0),0)=0,"",INDEX(المحفظة!$D$107:$D$206,IFERROR(MATCH(43,المحفظة!$H$107:$H$206,0),0))),"")</f>
        <v/>
      </c>
      <c r="E99" s="101" t="s">
        <v>274</v>
      </c>
      <c r="F99" s="98" t="str">
        <f>IFERROR(IF(IFERROR(MATCH(43,المحفظة!$H$107:$H$206,0),0)=0,"",INDEX(المحفظة!$F$107:$F$206,IFERROR(MATCH(43,المحفظة!$H$107:$H$206,0),0))),"")</f>
        <v/>
      </c>
      <c r="G99" s="16"/>
    </row>
    <row r="100" spans="1:7" ht="15" hidden="1" customHeight="1" x14ac:dyDescent="0.25">
      <c r="A100" s="102" t="str">
        <f>IFERROR(IF(IFERROR(MATCH(44,المحفظة!$H$107:$H$206,0),0)=0,"",INDEX(المحفظة!$A$107:$A$206,IFERROR(MATCH(44,المحفظة!$H$107:$H$206,0),0))),"")</f>
        <v/>
      </c>
      <c r="B100" s="103" t="str">
        <f>IFERROR(IF(IFERROR(MATCH(44,المحفظة!$H$107:$H$206,0),0)=0,"",INDEX(المحفظة!$B$107:$B$206,IFERROR(MATCH(44,المحفظة!$H$107:$H$206,0),0))),"")</f>
        <v/>
      </c>
      <c r="C100" s="104" t="str">
        <f>IFERROR(IF(IFERROR(MATCH(44,المحفظة!$H$107:$H$206,0),0)=0,"",INDEX(المحفظة!$C$107:$C$206,IFERROR(MATCH(44,المحفظة!$H$107:$H$206,0),0))),"")</f>
        <v/>
      </c>
      <c r="D100" s="105" t="str">
        <f>IFERROR(IF(IFERROR(MATCH(44,المحفظة!$H$107:$H$206,0),0)=0,"",INDEX(المحفظة!$D$107:$D$206,IFERROR(MATCH(44,المحفظة!$H$107:$H$206,0),0))),"")</f>
        <v/>
      </c>
      <c r="E100" s="106" t="s">
        <v>274</v>
      </c>
      <c r="F100" s="103" t="str">
        <f>IFERROR(IF(IFERROR(MATCH(44,المحفظة!$H$107:$H$206,0),0)=0,"",INDEX(المحفظة!$F$107:$F$206,IFERROR(MATCH(44,المحفظة!$H$107:$H$206,0),0))),"")</f>
        <v/>
      </c>
      <c r="G100" s="21"/>
    </row>
    <row r="101" spans="1:7" ht="15" hidden="1" customHeight="1" x14ac:dyDescent="0.25">
      <c r="A101" s="97" t="str">
        <f>IFERROR(IF(IFERROR(MATCH(45,المحفظة!$H$107:$H$206,0),0)=0,"",INDEX(المحفظة!$A$107:$A$206,IFERROR(MATCH(45,المحفظة!$H$107:$H$206,0),0))),"")</f>
        <v/>
      </c>
      <c r="B101" s="98" t="str">
        <f>IFERROR(IF(IFERROR(MATCH(45,المحفظة!$H$107:$H$206,0),0)=0,"",INDEX(المحفظة!$B$107:$B$206,IFERROR(MATCH(45,المحفظة!$H$107:$H$206,0),0))),"")</f>
        <v/>
      </c>
      <c r="C101" s="99" t="str">
        <f>IFERROR(IF(IFERROR(MATCH(45,المحفظة!$H$107:$H$206,0),0)=0,"",INDEX(المحفظة!$C$107:$C$206,IFERROR(MATCH(45,المحفظة!$H$107:$H$206,0),0))),"")</f>
        <v/>
      </c>
      <c r="D101" s="100" t="str">
        <f>IFERROR(IF(IFERROR(MATCH(45,المحفظة!$H$107:$H$206,0),0)=0,"",INDEX(المحفظة!$D$107:$D$206,IFERROR(MATCH(45,المحفظة!$H$107:$H$206,0),0))),"")</f>
        <v/>
      </c>
      <c r="E101" s="101" t="s">
        <v>274</v>
      </c>
      <c r="F101" s="98" t="str">
        <f>IFERROR(IF(IFERROR(MATCH(45,المحفظة!$H$107:$H$206,0),0)=0,"",INDEX(المحفظة!$F$107:$F$206,IFERROR(MATCH(45,المحفظة!$H$107:$H$206,0),0))),"")</f>
        <v/>
      </c>
      <c r="G101" s="16"/>
    </row>
    <row r="102" spans="1:7" ht="15" hidden="1" customHeight="1" x14ac:dyDescent="0.25">
      <c r="A102" s="102" t="str">
        <f>IFERROR(IF(IFERROR(MATCH(46,المحفظة!$H$107:$H$206,0),0)=0,"",INDEX(المحفظة!$A$107:$A$206,IFERROR(MATCH(46,المحفظة!$H$107:$H$206,0),0))),"")</f>
        <v/>
      </c>
      <c r="B102" s="103" t="str">
        <f>IFERROR(IF(IFERROR(MATCH(46,المحفظة!$H$107:$H$206,0),0)=0,"",INDEX(المحفظة!$B$107:$B$206,IFERROR(MATCH(46,المحفظة!$H$107:$H$206,0),0))),"")</f>
        <v/>
      </c>
      <c r="C102" s="104" t="str">
        <f>IFERROR(IF(IFERROR(MATCH(46,المحفظة!$H$107:$H$206,0),0)=0,"",INDEX(المحفظة!$C$107:$C$206,IFERROR(MATCH(46,المحفظة!$H$107:$H$206,0),0))),"")</f>
        <v/>
      </c>
      <c r="D102" s="105" t="str">
        <f>IFERROR(IF(IFERROR(MATCH(46,المحفظة!$H$107:$H$206,0),0)=0,"",INDEX(المحفظة!$D$107:$D$206,IFERROR(MATCH(46,المحفظة!$H$107:$H$206,0),0))),"")</f>
        <v/>
      </c>
      <c r="E102" s="106" t="s">
        <v>274</v>
      </c>
      <c r="F102" s="103" t="str">
        <f>IFERROR(IF(IFERROR(MATCH(46,المحفظة!$H$107:$H$206,0),0)=0,"",INDEX(المحفظة!$F$107:$F$206,IFERROR(MATCH(46,المحفظة!$H$107:$H$206,0),0))),"")</f>
        <v/>
      </c>
      <c r="G102" s="21"/>
    </row>
    <row r="103" spans="1:7" ht="15" hidden="1" customHeight="1" x14ac:dyDescent="0.25">
      <c r="A103" s="97" t="str">
        <f>IFERROR(IF(IFERROR(MATCH(47,المحفظة!$H$107:$H$206,0),0)=0,"",INDEX(المحفظة!$A$107:$A$206,IFERROR(MATCH(47,المحفظة!$H$107:$H$206,0),0))),"")</f>
        <v/>
      </c>
      <c r="B103" s="98" t="str">
        <f>IFERROR(IF(IFERROR(MATCH(47,المحفظة!$H$107:$H$206,0),0)=0,"",INDEX(المحفظة!$B$107:$B$206,IFERROR(MATCH(47,المحفظة!$H$107:$H$206,0),0))),"")</f>
        <v/>
      </c>
      <c r="C103" s="99" t="str">
        <f>IFERROR(IF(IFERROR(MATCH(47,المحفظة!$H$107:$H$206,0),0)=0,"",INDEX(المحفظة!$C$107:$C$206,IFERROR(MATCH(47,المحفظة!$H$107:$H$206,0),0))),"")</f>
        <v/>
      </c>
      <c r="D103" s="100" t="str">
        <f>IFERROR(IF(IFERROR(MATCH(47,المحفظة!$H$107:$H$206,0),0)=0,"",INDEX(المحفظة!$D$107:$D$206,IFERROR(MATCH(47,المحفظة!$H$107:$H$206,0),0))),"")</f>
        <v/>
      </c>
      <c r="E103" s="101" t="s">
        <v>274</v>
      </c>
      <c r="F103" s="98" t="str">
        <f>IFERROR(IF(IFERROR(MATCH(47,المحفظة!$H$107:$H$206,0),0)=0,"",INDEX(المحفظة!$F$107:$F$206,IFERROR(MATCH(47,المحفظة!$H$107:$H$206,0),0))),"")</f>
        <v/>
      </c>
      <c r="G103" s="16"/>
    </row>
    <row r="104" spans="1:7" ht="15" hidden="1" customHeight="1" x14ac:dyDescent="0.25">
      <c r="A104" s="102" t="str">
        <f>IFERROR(IF(IFERROR(MATCH(48,المحفظة!$H$107:$H$206,0),0)=0,"",INDEX(المحفظة!$A$107:$A$206,IFERROR(MATCH(48,المحفظة!$H$107:$H$206,0),0))),"")</f>
        <v/>
      </c>
      <c r="B104" s="103" t="str">
        <f>IFERROR(IF(IFERROR(MATCH(48,المحفظة!$H$107:$H$206,0),0)=0,"",INDEX(المحفظة!$B$107:$B$206,IFERROR(MATCH(48,المحفظة!$H$107:$H$206,0),0))),"")</f>
        <v/>
      </c>
      <c r="C104" s="104" t="str">
        <f>IFERROR(IF(IFERROR(MATCH(48,المحفظة!$H$107:$H$206,0),0)=0,"",INDEX(المحفظة!$C$107:$C$206,IFERROR(MATCH(48,المحفظة!$H$107:$H$206,0),0))),"")</f>
        <v/>
      </c>
      <c r="D104" s="105" t="str">
        <f>IFERROR(IF(IFERROR(MATCH(48,المحفظة!$H$107:$H$206,0),0)=0,"",INDEX(المحفظة!$D$107:$D$206,IFERROR(MATCH(48,المحفظة!$H$107:$H$206,0),0))),"")</f>
        <v/>
      </c>
      <c r="E104" s="106" t="s">
        <v>274</v>
      </c>
      <c r="F104" s="103" t="str">
        <f>IFERROR(IF(IFERROR(MATCH(48,المحفظة!$H$107:$H$206,0),0)=0,"",INDEX(المحفظة!$F$107:$F$206,IFERROR(MATCH(48,المحفظة!$H$107:$H$206,0),0))),"")</f>
        <v/>
      </c>
      <c r="G104" s="21"/>
    </row>
    <row r="105" spans="1:7" ht="15" hidden="1" customHeight="1" x14ac:dyDescent="0.25">
      <c r="A105" s="97" t="str">
        <f>IFERROR(IF(IFERROR(MATCH(49,المحفظة!$H$107:$H$206,0),0)=0,"",INDEX(المحفظة!$A$107:$A$206,IFERROR(MATCH(49,المحفظة!$H$107:$H$206,0),0))),"")</f>
        <v/>
      </c>
      <c r="B105" s="98" t="str">
        <f>IFERROR(IF(IFERROR(MATCH(49,المحفظة!$H$107:$H$206,0),0)=0,"",INDEX(المحفظة!$B$107:$B$206,IFERROR(MATCH(49,المحفظة!$H$107:$H$206,0),0))),"")</f>
        <v/>
      </c>
      <c r="C105" s="99" t="str">
        <f>IFERROR(IF(IFERROR(MATCH(49,المحفظة!$H$107:$H$206,0),0)=0,"",INDEX(المحفظة!$C$107:$C$206,IFERROR(MATCH(49,المحفظة!$H$107:$H$206,0),0))),"")</f>
        <v/>
      </c>
      <c r="D105" s="100" t="str">
        <f>IFERROR(IF(IFERROR(MATCH(49,المحفظة!$H$107:$H$206,0),0)=0,"",INDEX(المحفظة!$D$107:$D$206,IFERROR(MATCH(49,المحفظة!$H$107:$H$206,0),0))),"")</f>
        <v/>
      </c>
      <c r="E105" s="101" t="s">
        <v>274</v>
      </c>
      <c r="F105" s="98" t="str">
        <f>IFERROR(IF(IFERROR(MATCH(49,المحفظة!$H$107:$H$206,0),0)=0,"",INDEX(المحفظة!$F$107:$F$206,IFERROR(MATCH(49,المحفظة!$H$107:$H$206,0),0))),"")</f>
        <v/>
      </c>
      <c r="G105" s="16"/>
    </row>
    <row r="106" spans="1:7" ht="15" hidden="1" customHeight="1" x14ac:dyDescent="0.25">
      <c r="A106" s="102" t="str">
        <f>IFERROR(IF(IFERROR(MATCH(50,المحفظة!$H$107:$H$206,0),0)=0,"",INDEX(المحفظة!$A$107:$A$206,IFERROR(MATCH(50,المحفظة!$H$107:$H$206,0),0))),"")</f>
        <v/>
      </c>
      <c r="B106" s="103" t="str">
        <f>IFERROR(IF(IFERROR(MATCH(50,المحفظة!$H$107:$H$206,0),0)=0,"",INDEX(المحفظة!$B$107:$B$206,IFERROR(MATCH(50,المحفظة!$H$107:$H$206,0),0))),"")</f>
        <v/>
      </c>
      <c r="C106" s="104" t="str">
        <f>IFERROR(IF(IFERROR(MATCH(50,المحفظة!$H$107:$H$206,0),0)=0,"",INDEX(المحفظة!$C$107:$C$206,IFERROR(MATCH(50,المحفظة!$H$107:$H$206,0),0))),"")</f>
        <v/>
      </c>
      <c r="D106" s="105" t="str">
        <f>IFERROR(IF(IFERROR(MATCH(50,المحفظة!$H$107:$H$206,0),0)=0,"",INDEX(المحفظة!$D$107:$D$206,IFERROR(MATCH(50,المحفظة!$H$107:$H$206,0),0))),"")</f>
        <v/>
      </c>
      <c r="E106" s="106" t="s">
        <v>274</v>
      </c>
      <c r="F106" s="103" t="str">
        <f>IFERROR(IF(IFERROR(MATCH(50,المحفظة!$H$107:$H$206,0),0)=0,"",INDEX(المحفظة!$F$107:$F$206,IFERROR(MATCH(50,المحفظة!$H$107:$H$206,0),0))),"")</f>
        <v/>
      </c>
      <c r="G106" s="21"/>
    </row>
    <row r="107" spans="1:7" ht="19.5" customHeight="1" x14ac:dyDescent="0.25">
      <c r="A107" s="183" t="s">
        <v>276</v>
      </c>
      <c r="B107" s="165"/>
      <c r="C107" s="165"/>
      <c r="D107" s="107">
        <f>SUMIF(المحفظة!$H$107:$H$206,"&gt;0",المحفظة!$D$107:$D$206)</f>
        <v>0</v>
      </c>
      <c r="E107" s="76"/>
      <c r="F107" s="76"/>
      <c r="G107" s="76"/>
    </row>
    <row r="108" spans="1:7" ht="19.5" customHeight="1" x14ac:dyDescent="0.25">
      <c r="A108" s="179" t="s">
        <v>277</v>
      </c>
      <c r="B108" s="165"/>
      <c r="C108" s="165"/>
      <c r="D108" s="75">
        <f>E55-D107</f>
        <v>0</v>
      </c>
      <c r="E108" s="185">
        <f>SUM(E5:E107)</f>
        <v>0</v>
      </c>
      <c r="F108" s="165"/>
      <c r="G108" s="166"/>
    </row>
  </sheetData>
  <mergeCells count="11">
    <mergeCell ref="A108:C108"/>
    <mergeCell ref="D3:E3"/>
    <mergeCell ref="A4:G4"/>
    <mergeCell ref="A55:D55"/>
    <mergeCell ref="E108:G108"/>
    <mergeCell ref="A3:B3"/>
    <mergeCell ref="A2:B2"/>
    <mergeCell ref="A1:G1"/>
    <mergeCell ref="A107:C107"/>
    <mergeCell ref="A56:G56"/>
    <mergeCell ref="D2:E2"/>
  </mergeCells>
  <dataValidations count="2">
    <dataValidation type="list" sqref="C2" xr:uid="{00000000-0002-0000-0500-000000000000}">
      <formula1>"يناير,فبراير,مارس,أبريل,مايو,يونيو,يوليو,أغسطس,سبتمبر,أكتوبر,نوفمبر,ديسمبر,الكل"</formula1>
      <formula2>0</formula2>
    </dataValidation>
    <dataValidation type="list" sqref="F2" xr:uid="{00000000-0002-0000-0500-000001000000}">
      <formula1>"2024,2025,2026,2027,2028,الكل"</formula1>
      <formula2>0</formula2>
    </dataValidation>
  </dataValidations>
  <pageMargins left="0.25" right="0.25" top="0.75" bottom="0.75" header="0.3" footer="0.3"/>
  <pageSetup paperSize="9" fitToHeight="0" orientation="landscape" horizontalDpi="300" verticalDpi="300"/>
  <headerFooter>
    <oddHeader>&amp;C&amp;12 المحفظة  —  Farm Wallet</oddHeader>
    <oddFooter>&amp;Lتاريخ الطباعة: &amp;D&amp;Cالصفحة &amp;P من &amp;N&amp;Rسري - للاستخدام الداخلي فقط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المحفظة</vt:lpstr>
      <vt:lpstr>كشف الحساب</vt:lpstr>
      <vt:lpstr>بنود المحفظة</vt:lpstr>
      <vt:lpstr>تعليمات</vt:lpstr>
      <vt:lpstr>طباعة كشف الحساب</vt:lpstr>
      <vt:lpstr>طباعة المحفظة</vt:lpstr>
      <vt:lpstr>'طباعة المحفظة'!Print_Area</vt:lpstr>
      <vt:lpstr>'طباعة كشف الحساب'!Print_Area</vt:lpstr>
      <vt:lpstr>'طباعة المحفظة'!Print_Titles</vt:lpstr>
      <vt:lpstr>'طباعة كشف الحساب'!Print_Titles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Ishak</cp:lastModifiedBy>
  <cp:revision>0</cp:revision>
  <cp:lastPrinted>2026-06-16T20:46:17Z</cp:lastPrinted>
  <dcterms:created xsi:type="dcterms:W3CDTF">2026-05-17T18:05:26Z</dcterms:created>
  <dcterms:modified xsi:type="dcterms:W3CDTF">2026-10-16T16:18:35Z</dcterms:modified>
  <dc:language>en-US</dc:language>
</cp:coreProperties>
</file>