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B4DEA931-C3CD-4526-A92C-C5D6BCC7F725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<sst xmlns="http://schemas.openxmlformats.org/spreadsheetml/2006/main" count="757" uniqueCount="333">
  <si>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</si>
  <si>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</si>
  <si>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</si>
  <si>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</si>
  <si>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</si>
  <si>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</si>
  <si>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</si>
  <si>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</si>
  <si>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</si>
  <si>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</si>
  <si>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</si>
  <si>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</si>
  <si>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</si>
  <si>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</si>
  <si>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</si>
  <si>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</si>
  <si>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</si>
  <si>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</si>
  <si>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</si>
  <si>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</si>
  <si>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</si>
  <si>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</si>
  <si>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</si>
  <si>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</si>
  <si>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</si>
  <si>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</si>
  <si>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</si>
  <si>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</si>
  <si>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</si>
  <si>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</si>
  <si>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</si>
  <si>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</si>
  <si>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</si>
  <si>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</si>
  <si>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</si>
  <si>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</si>
  <si>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</si>
  <si>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</si>
  <si>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</si>
  <si>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</si>
  <si>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</si>
  <si>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</si>
  <si>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</si>
  <si>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</si>
  <si>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</si>
  <si>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</si>
  <si>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</si>
  <si>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</si>
  <si>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</si>
  <si>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</si>
  <si>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</si>
  <si>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</si>
  <si>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</si>
  <si>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</si>
  <si>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</si>
  <si>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</si>
  <si>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</si>
  <si>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</si>
  <si>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</si>
  <si>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</si>
  <si>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</si>
  <si>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</si>
  <si>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</si>
  <si>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</si>
  <si>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</si>
  <si>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</si>
  <si>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</si>
  <si>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</si>
  <si>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</si>
  <si>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</si>
  <si>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</si>
  <si>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</si>
  <si>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</si>
  <si>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</si>
  <si>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</si>
  <si>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</si>
  <si>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</si>
  <si>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</si>
  <si>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</si>
  <si>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</si>
  <si>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</si>
  <si>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</si>
  <si>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</si>
  <si>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</si>
  <si>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</si>
  <si>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</si>
  <si>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</si>
  <si>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</si>
  <si>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</si>
  <si>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</si>
  <si>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</si>
  <si>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</si>
  <si>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</si>
  <si>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</si>
  <si>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</si>
  <si>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</si>
  <si>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</si>
  <si>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</si>
  <si>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</si>
  <si>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</si>
  <si>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</si>
  <si>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</si>
  <si>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</si>
  <si>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</si>
  <si>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</si>
  <si>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</si>
  <si>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</si>
  <si>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</si>
  <si>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</si>
  <si>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</si>
  <si>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</si>
  <si>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</si>
  <si>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</si>
  <si>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</si>
  <si>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</si>
  <si>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</si>
  <si>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</si>
  <si>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</si>
  <si>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</si>
  <si>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</si>
  <si>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</si>
  <si>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</si>
  <si>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</si>
  <si>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</si>
  <si>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</si>
  <si>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</si>
  <si>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</si>
  <si>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</si>
  <si>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</si>
  <si>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</si>
  <si>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</si>
  <si>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</si>
  <si>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</si>
  <si>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</si>
  <si>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</si>
  <si>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</si>
  <si>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</si>
  <si>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</si>
  <si>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</si>
  <si>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</si>
  <si>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</si>
  <si>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</si>
  <si>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</si>
  <si>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</si>
  <si>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</si>
  <si>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</si>
  <si>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</si>
  <si>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</si>
  <si>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</si>
  <si>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</si>
  <si>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</si>
  <si>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</si>
  <si>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</si>
  <si>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</si>
  <si>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</si>
  <si>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</si>
  <si>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</si>
  <si>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</si>
  <si>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</si>
  <si>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</si>
  <si>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</si>
  <si>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</si>
  <si>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</si>
  <si>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</si>
  <si>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</si>
  <si>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</si>
  <si>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</si>
  <si>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</si>
  <si>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</si>
  <si>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</si>
  <si>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</si>
  <si>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</si>
  <si>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</si>
  <si>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</si>
  <si>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</si>
  <si>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</si>
  <si>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</si>
  <si>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</si>
  <si>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</si>
  <si>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</si>
  <si>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</si>
  <si>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</si>
  <si>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</si>
  <si>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</si>
  <si>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</si>
  <si>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</si>
  <si>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</si>
  <si>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</si>
  <si>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</si>
  <si>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</si>
  <si>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</si>
  <si>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</si>
  <si>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</si>
  <si>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</si>
  <si>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</si>
  <si>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</si>
  <si>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</si>
  <si>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</si>
  <si>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</si>
  <si>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</si>
  <si>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</si>
  <si>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</si>
  <si>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</si>
  <si>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</si>
  <si>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</si>
  <si>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</si>
  <si>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</si>
  <si>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</si>
  <si>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</si>
  <si>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</si>
  <si>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</si>
  <si>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</si>
  <si>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</si>
  <si>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</si>
  <si>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</si>
  <si>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</si>
  <si>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</si>
  <si>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</si>
  <si>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</si>
  <si>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</si>
  <si>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</si>
  <si>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</si>
  <si>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</si>
  <si>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</si>
  <si>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</si>
  <si>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</si>
  <si>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</si>
  <si>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</si>
  <si>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</si>
  <si>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</si>
  <si>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</si>
  <si>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</si>
  <si>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</si>
  <si>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</si>
  <si>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</si>
  <si>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</si>
  <si>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</si>
  <si>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</si>
  <si>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</si>
  <si>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</si>
  <si>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</si>
  <si>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</si>
  <si>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</si>
  <si>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</si>
  <si>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</si>
  <si>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</si>
  <si>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</si>
  <si>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</si>
  <si>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</si>
  <si>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</si>
  <si>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</si>
  <si>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</si>
  <si>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</si>
  <si>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</si>
  <si>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</si>
  <si>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</si>
  <si>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</si>
  <si>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</si>
  <si>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</si>
  <si>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</si>
  <si>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</si>
  <si>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</si>
  <si>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</si>
  <si>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</si>
  <si>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</si>
  <si>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</si>
  <si>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</si>
  <si>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</si>
  <si>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</si>
  <si>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</si>
  <si>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</si>
  <si>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</si>
  <si>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</si>
  <si>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</si>
  <si>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</si>
  <si>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</si>
  <si>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</si>
  <si>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</si>
  <si>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</si>
  <si>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</si>
  <si>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</si>
  <si>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</si>
  <si>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</si>
  <si>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</si>
  <si>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</si>
  <si>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</si>
  <si>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</si>
  <si>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</si>
  <si>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</si>
  <si>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</si>
  <si>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</si>
  <si>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</si>
  <si>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</si>
  <si>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</si>
  <si>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</si>
  <si>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</si>
  <si>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</si>
  <si>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</si>
  <si>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</si>
  <si>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</si>
  <si>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</si>
  <si>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</si>
  <si>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</si>
  <si>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</si>
  <si>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</si>
  <si>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</si>
  <si>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</si>
  <si>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</si>
  <si>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</si>
  <si>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</si>
  <si>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</si>
  <si>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</si>
  <si>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</si>
  <si>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</si>
  <si>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</si>
  <si>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</si>
  <si>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</si>
  <si>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</si>
  <si>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يوليو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</si>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</sst>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98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23.64500000000001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747.44</v>
      </c>
      <c r="E206" s="129">
        <f>SUM(E6:E205)</f>
        <v>723.79499999999996</v>
      </c>
      <c r="F206" s="130">
        <f>IFERROR(LOOKUP(2,1/($F$6:$F$205&lt;&gt;""),$F$6:$F$205),0)</f>
        <v>23.64500000000001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26" activePane="bottomLeft" state="frozen"/>
      <selection pane="bottomLeft" activeCell="H137" sqref="H137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>1</v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>2</v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>3</v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>4</v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>5</v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>6</v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>7</v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>8</v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>9</v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>10</v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>11</v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>12</v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>13</v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>14</v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>15</v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>16</v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>17</v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>18</v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>19</v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308</v>
      </c>
      <c r="C120" s="37" t="s">
        <v>309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>20</v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310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>21</v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311</v>
      </c>
      <c r="C122" s="37" t="s">
        <v>312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>22</v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313</v>
      </c>
      <c r="C123" s="27" t="s">
        <v>314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>23</v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315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>24</v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>25</v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316</v>
      </c>
      <c r="C126" s="37" t="s">
        <v>317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>26</v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319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>27</v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320</v>
      </c>
      <c r="C128" s="37" t="s">
        <v>321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>28</v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322</v>
      </c>
      <c r="C129" s="27" t="s">
        <v>323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>29</v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324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>30</v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325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>31</v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325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>32</v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326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>33</v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327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328</v>
      </c>
      <c r="C135" s="27" t="s">
        <v>329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330</v>
      </c>
      <c r="C136" s="37" t="s">
        <v>331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332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2157.2950000000001</v>
      </c>
      <c r="E205" s="46">
        <f>SUM(E4:E203)</f>
        <v>747.44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29" activePane="bottomLeft" state="frozen"/>
      <selection pane="bottomLeft" activeCell="A38" sqref="A38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318</v>
      </c>
      <c r="D2" s="166">
        <v>2026</v>
      </c>
      <c r="E2" s="156"/>
      <c r="F2" s="56" t="s">
        <v>257</v>
      </c>
      <c r="G2" s="169" t="s">
        <v>258</v>
      </c>
      <c r="H2" s="160"/>
      <c r="I2" s="160"/>
      <c r="J2" s="160"/>
      <c r="K2" s="160"/>
    </row>
    <row r="3" spans="1:11" ht="19.5" customHeight="1" x14ac:dyDescent="0.25">
      <c r="A3" s="170" t="s">
        <v>259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46207</v>
      </c>
      <c r="B5" s="59">
        <f>IFERROR(IF(IFERROR(MATCH(1,'كشف الحساب'!$N$4:$N$203,0),0)=0,"",INDEX('كشف الحساب'!$B$4:$B$203,IFERROR(MATCH(1,'كشف الحساب'!$N$4:$N$203,0),0))),"")</f>
        <v>0</v>
      </c>
      <c r="C5" s="37" t="str">
        <f>IFERROR(IF(IFERROR(MATCH(1,'كشف الحساب'!$N$4:$N$203,0),0)=0,"",INDEX('كشف الحساب'!$C$4:$C$203,IFERROR(MATCH(1,'كشف الحساب'!$N$4:$N$203,0),0))),"")</f>
        <v>احواض عدد 1000 مقاس 14 سم</v>
      </c>
      <c r="D5" s="38">
        <f>IFERROR(IF(IFERROR(MATCH(1,'كشف الحساب'!$N$4:$N$203,0),0)=0,"",INDEX('كشف الحساب'!$D$4:$D$203,IFERROR(MATCH(1,'كشف الحساب'!$N$4:$N$203,0),0))),"")</f>
        <v>20</v>
      </c>
      <c r="E5" s="60">
        <f>IFERROR(IF(IFERROR(MATCH(1,'كشف الحساب'!$N$4:$N$203,0),0)=0,"",INDEX('كشف الحساب'!$E$4:$E$203,IFERROR(MATCH(1,'كشف الحساب'!$N$4:$N$203,0),0))),"")</f>
        <v>0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 t="str">
        <f>IFERROR(IF(IFERROR(MATCH(1,'كشف الحساب'!$N$4:$N$203,0),0)=0,"",INDEX('كشف الحساب'!$G$4:$G$203,IFERROR(MATCH(1,'كشف الحساب'!$N$4:$N$203,0),0))),"")</f>
        <v>المحفظة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5.0500000000000114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46206</v>
      </c>
      <c r="B6" s="61" t="str">
        <f>IFERROR(IF(IFERROR(MATCH(2,'كشف الحساب'!$N$4:$N$203,0),0)=0,"",INDEX('كشف الحساب'!$B$4:$B$203,IFERROR(MATCH(2,'كشف الحساب'!$N$4:$N$203,0),0))),"")</f>
        <v>Inv-82</v>
      </c>
      <c r="C6" s="27" t="str">
        <f>IFERROR(IF(IFERROR(MATCH(2,'كشف الحساب'!$N$4:$N$203,0),0)=0,"",INDEX('كشف الحساب'!$C$4:$C$203,IFERROR(MATCH(2,'كشف الحساب'!$N$4:$N$203,0),0))),"")</f>
        <v>دارسينا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7.5500000000000114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46207</v>
      </c>
      <c r="B7" s="59" t="str">
        <f>IFERROR(IF(IFERROR(MATCH(3,'كشف الحساب'!$N$4:$N$203,0),0)=0,"",INDEX('كشف الحساب'!$B$4:$B$203,IFERROR(MATCH(3,'كشف الحساب'!$N$4:$N$203,0),0))),"")</f>
        <v>Inv-83</v>
      </c>
      <c r="C7" s="37" t="str">
        <f>IFERROR(IF(IFERROR(MATCH(3,'كشف الحساب'!$N$4:$N$203,0),0)=0,"",INDEX('كشف الحساب'!$C$4:$C$203,IFERROR(MATCH(3,'كشف الحساب'!$N$4:$N$203,0),0))),"")</f>
        <v>ودليه عدد13 الحبه 1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13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20.550000000000011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46207</v>
      </c>
      <c r="B8" s="61" t="str">
        <f>IFERROR(IF(IFERROR(MATCH(4,'كشف الحساب'!$N$4:$N$203,0),0)=0,"",INDEX('كشف الحساب'!$B$4:$B$203,IFERROR(MATCH(4,'كشف الحساب'!$N$4:$N$203,0),0))),"")</f>
        <v>Inv-84</v>
      </c>
      <c r="C8" s="27" t="str">
        <f>IFERROR(IF(IFERROR(MATCH(4,'كشف الحساب'!$N$4:$N$203,0),0)=0,"",INDEX('كشف الحساب'!$C$4:$C$203,IFERROR(MATCH(4,'كشف الحساب'!$N$4:$N$203,0),0))),"")</f>
        <v>معلقات عدد 4 الحبه 2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8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28.550000000000011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46211</v>
      </c>
      <c r="B9" s="59" t="str">
        <f>IFERROR(IF(IFERROR(MATCH(5,'كشف الحساب'!$N$4:$N$203,0),0)=0,"",INDEX('كشف الحساب'!$B$4:$B$203,IFERROR(MATCH(5,'كشف الحساب'!$N$4:$N$203,0),0))),"")</f>
        <v>Inv-85</v>
      </c>
      <c r="C9" s="37" t="str">
        <f>IFERROR(IF(IFERROR(MATCH(5,'كشف الحساب'!$N$4:$N$203,0),0)=0,"",INDEX('كشف الحساب'!$C$4:$C$203,IFERROR(MATCH(5,'كشف الحساب'!$N$4:$N$203,0),0))),"")</f>
        <v>عطريات عدد8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8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36.550000000000011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46211</v>
      </c>
      <c r="B10" s="61" t="str">
        <f>IFERROR(IF(IFERROR(MATCH(6,'كشف الحساب'!$N$4:$N$203,0),0)=0,"",INDEX('كشف الحساب'!$B$4:$B$203,IFERROR(MATCH(6,'كشف الحساب'!$N$4:$N$203,0),0))),"")</f>
        <v>Inv-86</v>
      </c>
      <c r="C10" s="27" t="str">
        <f>IFERROR(IF(IFERROR(MATCH(6,'كشف الحساب'!$N$4:$N$203,0),0)=0,"",INDEX('كشف الحساب'!$C$4:$C$203,IFERROR(MATCH(6,'كشف الحساب'!$N$4:$N$203,0),0))),"")</f>
        <v>دارسينا سوداء عدد 12 الحبه 2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24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60.550000000000011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46211</v>
      </c>
      <c r="B11" s="59" t="str">
        <f>IFERROR(IF(IFERROR(MATCH(7,'كشف الحساب'!$N$4:$N$203,0),0)=0,"",INDEX('كشف الحساب'!$B$4:$B$203,IFERROR(MATCH(7,'كشف الحساب'!$N$4:$N$203,0),0))),"")</f>
        <v>Inv-87</v>
      </c>
      <c r="C11" s="37" t="str">
        <f>IFERROR(IF(IFERROR(MATCH(7,'كشف الحساب'!$N$4:$N$203,0),0)=0,"",INDEX('كشف الحساب'!$C$4:$C$203,IFERROR(MATCH(7,'كشف الحساب'!$N$4:$N$203,0),0))),"")</f>
        <v>عطريات عدد 8 الحبه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8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68.550000000000011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46212</v>
      </c>
      <c r="B12" s="61" t="str">
        <f>IFERROR(IF(IFERROR(MATCH(8,'كشف الحساب'!$N$4:$N$203,0),0)=0,"",INDEX('كشف الحساب'!$B$4:$B$203,IFERROR(MATCH(8,'كشف الحساب'!$N$4:$N$203,0),0))),"")</f>
        <v>Inv-88</v>
      </c>
      <c r="C12" s="27" t="str">
        <f>IFERROR(IF(IFERROR(MATCH(8,'كشف الحساب'!$N$4:$N$203,0),0)=0,"",INDEX('كشف الحساب'!$C$4:$C$203,IFERROR(MATCH(8,'كشف الحساب'!$N$4:$N$203,0),0))),"")</f>
        <v>دارسنا عدد1 الحبه 5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5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73.550000000000011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46212</v>
      </c>
      <c r="B13" s="59" t="str">
        <f>IFERROR(IF(IFERROR(MATCH(9,'كشف الحساب'!$N$4:$N$203,0),0)=0,"",INDEX('كشف الحساب'!$B$4:$B$203,IFERROR(MATCH(9,'كشف الحساب'!$N$4:$N$203,0),0))),"")</f>
        <v>Inv-89</v>
      </c>
      <c r="C13" s="37" t="str">
        <f>IFERROR(IF(IFERROR(MATCH(9,'كشف الحساب'!$N$4:$N$203,0),0)=0,"",INDEX('كشف الحساب'!$C$4:$C$203,IFERROR(MATCH(9,'كشف الحساب'!$N$4:$N$203,0),0))),"")</f>
        <v>فل عدد1 الحبه .750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0.75</v>
      </c>
      <c r="F13" s="59" t="str">
        <f>IFERROR(IF(IFERROR(MATCH(9,'كشف الحساب'!$N$4:$N$203,0),0)=0,"",INDEX('كشف الحساب'!$F$4:$F$203,IFERROR(MATCH(9,'كشف الحساب'!$N$4:$N$203,0),0))),"")</f>
        <v>أون لاين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74.300000000000011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46212</v>
      </c>
      <c r="B14" s="61" t="str">
        <f>IFERROR(IF(IFERROR(MATCH(10,'كشف الحساب'!$N$4:$N$203,0),0)=0,"",INDEX('كشف الحساب'!$B$4:$B$203,IFERROR(MATCH(10,'كشف الحساب'!$N$4:$N$203,0),0))),"")</f>
        <v>Inv-90</v>
      </c>
      <c r="C14" s="27" t="str">
        <f>IFERROR(IF(IFERROR(MATCH(10,'كشف الحساب'!$N$4:$N$203,0),0)=0,"",INDEX('كشف الحساب'!$C$4:$C$203,IFERROR(MATCH(10,'كشف الحساب'!$N$4:$N$203,0),0))),"")</f>
        <v>دارسينا عدد 1 الحبه 1.500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1.5</v>
      </c>
      <c r="F14" s="61" t="str">
        <f>IFERROR(IF(IFERROR(MATCH(10,'كشف الحساب'!$N$4:$N$203,0),0)=0,"",INDEX('كشف الحساب'!$F$4:$F$203,IFERROR(MATCH(10,'كشف الحساب'!$N$4:$N$203,0),0))),"")</f>
        <v>أون لاين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75.800000000000011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46212</v>
      </c>
      <c r="B15" s="59" t="str">
        <f>IFERROR(IF(IFERROR(MATCH(11,'كشف الحساب'!$N$4:$N$203,0),0)=0,"",INDEX('كشف الحساب'!$B$4:$B$203,IFERROR(MATCH(11,'كشف الحساب'!$N$4:$N$203,0),0))),"")</f>
        <v>Inv-91</v>
      </c>
      <c r="C15" s="37" t="str">
        <f>IFERROR(IF(IFERROR(MATCH(11,'كشف الحساب'!$N$4:$N$203,0),0)=0,"",INDEX('كشف الحساب'!$C$4:$C$203,IFERROR(MATCH(11,'كشف الحساب'!$N$4:$N$203,0),0))),"")</f>
        <v>افبوديا عدد الحبه 0.750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0.75</v>
      </c>
      <c r="F15" s="59" t="str">
        <f>IFERROR(IF(IFERROR(MATCH(11,'كشف الحساب'!$N$4:$N$203,0),0)=0,"",INDEX('كشف الحساب'!$F$4:$F$203,IFERROR(MATCH(11,'كشف الحساب'!$N$4:$N$203,0),0))),"")</f>
        <v>أون لاين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76.550000000000011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46212</v>
      </c>
      <c r="B16" s="61" t="str">
        <f>IFERROR(IF(IFERROR(MATCH(12,'كشف الحساب'!$N$4:$N$203,0),0)=0,"",INDEX('كشف الحساب'!$B$4:$B$203,IFERROR(MATCH(12,'كشف الحساب'!$N$4:$N$203,0),0))),"")</f>
        <v>Inv-92</v>
      </c>
      <c r="C16" s="27" t="str">
        <f>IFERROR(IF(IFERROR(MATCH(12,'كشف الحساب'!$N$4:$N$203,0),0)=0,"",INDEX('كشف الحساب'!$C$4:$C$203,IFERROR(MATCH(12,'كشف الحساب'!$N$4:$N$203,0),0))),"")</f>
        <v>عطريات عدد 1 الفحبه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</v>
      </c>
      <c r="F16" s="61" t="str">
        <f>IFERROR(IF(IFERROR(MATCH(12,'كشف الحساب'!$N$4:$N$203,0),0)=0,"",INDEX('كشف الحساب'!$F$4:$F$203,IFERROR(MATCH(12,'كشف الحساب'!$N$4:$N$203,0),0))),"")</f>
        <v>أون لاين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77.550000000000011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46217</v>
      </c>
      <c r="B17" s="59" t="str">
        <f>IFERROR(IF(IFERROR(MATCH(13,'كشف الحساب'!$N$4:$N$203,0),0)=0,"",INDEX('كشف الحساب'!$B$4:$B$203,IFERROR(MATCH(13,'كشف الحساب'!$N$4:$N$203,0),0))),"")</f>
        <v>Inv-93</v>
      </c>
      <c r="C17" s="37" t="str">
        <f>IFERROR(IF(IFERROR(MATCH(13,'كشف الحساب'!$N$4:$N$203,0),0)=0,"",INDEX('كشف الحساب'!$C$4:$C$203,IFERROR(MATCH(13,'كشف الحساب'!$N$4:$N$203,0),0))),"")</f>
        <v>متنوع عدد 2 الحبه 2.500</v>
      </c>
      <c r="D17" s="38">
        <f>IFERROR(IF(IFERROR(MATCH(13,'كشف الحساب'!$N$4:$N$203,0),0)=0,"",INDEX('كشف الحساب'!$D$4:$D$203,IFERROR(MATCH(13,'كشف الحساب'!$N$4:$N$203,0),0))),"")</f>
        <v>0</v>
      </c>
      <c r="E17" s="60">
        <f>IFERROR(IF(IFERROR(MATCH(13,'كشف الحساب'!$N$4:$N$203,0),0)=0,"",INDEX('كشف الحساب'!$E$4:$E$203,IFERROR(MATCH(13,'كشف الحساب'!$N$4:$N$203,0),0))),"")</f>
        <v>5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>
        <f>IFERROR(IF(IFERROR(MATCH(13,'كشف الحساب'!$N$4:$N$203,0),0)=0,"",INDEX('كشف الحساب'!$G$4:$G$203,IFERROR(MATCH(13,'كشف الحساب'!$N$4:$N$203,0),0))),"")</f>
        <v>0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82.550000000000011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46217</v>
      </c>
      <c r="B18" s="61" t="str">
        <f>IFERROR(IF(IFERROR(MATCH(14,'كشف الحساب'!$N$4:$N$203,0),0)=0,"",INDEX('كشف الحساب'!$B$4:$B$203,IFERROR(MATCH(14,'كشف الحساب'!$N$4:$N$203,0),0))),"")</f>
        <v>Inv-94</v>
      </c>
      <c r="C18" s="27" t="str">
        <f>IFERROR(IF(IFERROR(MATCH(14,'كشف الحساب'!$N$4:$N$203,0),0)=0,"",INDEX('كشف الحساب'!$C$4:$C$203,IFERROR(MATCH(14,'كشف الحساب'!$N$4:$N$203,0),0))),"")</f>
        <v>متنوع عدد 12 الحبه 2</v>
      </c>
      <c r="D18" s="28">
        <f>IFERROR(IF(IFERROR(MATCH(14,'كشف الحساب'!$N$4:$N$203,0),0)=0,"",INDEX('كشف الحساب'!$D$4:$D$203,IFERROR(MATCH(14,'كشف الحساب'!$N$4:$N$203,0),0))),"")</f>
        <v>0</v>
      </c>
      <c r="E18" s="62">
        <f>IFERROR(IF(IFERROR(MATCH(14,'كشف الحساب'!$N$4:$N$203,0),0)=0,"",INDEX('كشف الحساب'!$E$4:$E$203,IFERROR(MATCH(14,'كشف الحساب'!$N$4:$N$203,0),0))),"")</f>
        <v>24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>
        <f>IFERROR(IF(IFERROR(MATCH(14,'كشف الحساب'!$N$4:$N$203,0),0)=0,"",INDEX('كشف الحساب'!$G$4:$G$203,IFERROR(MATCH(14,'كشف الحساب'!$N$4:$N$203,0),0))),"")</f>
        <v>0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106.55000000000001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46217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حبل تعليق</v>
      </c>
      <c r="D19" s="38">
        <f>IFERROR(IF(IFERROR(MATCH(15,'كشف الحساب'!$N$4:$N$203,0),0)=0,"",INDEX('كشف الحساب'!$D$4:$D$203,IFERROR(MATCH(15,'كشف الحساب'!$N$4:$N$203,0),0))),"")</f>
        <v>1.925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104.62500000000001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46219</v>
      </c>
      <c r="B20" s="61" t="str">
        <f>IFERROR(IF(IFERROR(MATCH(16,'كشف الحساب'!$N$4:$N$203,0),0)=0,"",INDEX('كشف الحساب'!$B$4:$B$203,IFERROR(MATCH(16,'كشف الحساب'!$N$4:$N$203,0),0))),"")</f>
        <v>Inv-95</v>
      </c>
      <c r="C20" s="27" t="str">
        <f>IFERROR(IF(IFERROR(MATCH(16,'كشف الحساب'!$N$4:$N$203,0),0)=0,"",INDEX('كشف الحساب'!$C$4:$C$203,IFERROR(MATCH(16,'كشف الحساب'!$N$4:$N$203,0),0))),"")</f>
        <v>ربل عدد 1 الحبه 2</v>
      </c>
      <c r="D20" s="28">
        <f>IFERROR(IF(IFERROR(MATCH(16,'كشف الحساب'!$N$4:$N$203,0),0)=0,"",INDEX('كشف الحساب'!$D$4:$D$203,IFERROR(MATCH(16,'كشف الحساب'!$N$4:$N$203,0),0))),"")</f>
        <v>0</v>
      </c>
      <c r="E20" s="62">
        <f>IFERROR(IF(IFERROR(MATCH(16,'كشف الحساب'!$N$4:$N$203,0),0)=0,"",INDEX('كشف الحساب'!$E$4:$E$203,IFERROR(MATCH(16,'كشف الحساب'!$N$4:$N$203,0),0))),"")</f>
        <v>2</v>
      </c>
      <c r="F20" s="61" t="str">
        <f>IFERROR(IF(IFERROR(MATCH(16,'كشف الحساب'!$N$4:$N$203,0),0)=0,"",INDEX('كشف الحساب'!$F$4:$F$203,IFERROR(MATCH(16,'كشف الحساب'!$N$4:$N$203,0),0))),"")</f>
        <v>أون لاين</v>
      </c>
      <c r="G20" s="61">
        <f>IFERROR(IF(IFERROR(MATCH(16,'كشف الحساب'!$N$4:$N$203,0),0)=0,"",INDEX('كشف الحساب'!$G$4:$G$203,IFERROR(MATCH(16,'كشف الحساب'!$N$4:$N$203,0),0))),"")</f>
        <v>0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106.62500000000001</v>
      </c>
      <c r="K20" s="61" t="str">
        <f>IFERROR(IF(IFERROR(MATCH(16,'كشف الحساب'!$N$4:$N$203,0),0)=0,"",INDEX('كشف الحساب'!$K$4:$K$203,IFERROR(MATCH(16,'كشف الحساب'!$N$4:$N$203,0),0))),"")</f>
        <v>مهندس عامر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46219</v>
      </c>
      <c r="B21" s="59" t="str">
        <f>IFERROR(IF(IFERROR(MATCH(17,'كشف الحساب'!$N$4:$N$203,0),0)=0,"",INDEX('كشف الحساب'!$B$4:$B$203,IFERROR(MATCH(17,'كشف الحساب'!$N$4:$N$203,0),0))),"")</f>
        <v>Inv-96</v>
      </c>
      <c r="C21" s="37" t="str">
        <f>IFERROR(IF(IFERROR(MATCH(17,'كشف الحساب'!$N$4:$N$203,0),0)=0,"",INDEX('كشف الحساب'!$C$4:$C$203,IFERROR(MATCH(17,'كشف الحساب'!$N$4:$N$203,0),0))),"")</f>
        <v xml:space="preserve">دارسينا عدد 1 الحبه 2 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2</v>
      </c>
      <c r="F21" s="59" t="str">
        <f>IFERROR(IF(IFERROR(MATCH(17,'كشف الحساب'!$N$4:$N$203,0),0)=0,"",INDEX('كشف الحساب'!$F$4:$F$203,IFERROR(MATCH(17,'كشف الحساب'!$N$4:$N$203,0),0))),"")</f>
        <v>أون لاين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108.62500000000001</v>
      </c>
      <c r="K21" s="59" t="str">
        <f>IFERROR(IF(IFERROR(MATCH(17,'كشف الحساب'!$N$4:$N$203,0),0)=0,"",INDEX('كشف الحساب'!$K$4:$K$203,IFERROR(MATCH(17,'كشف الحساب'!$N$4:$N$203,0),0))),"")</f>
        <v>مهندس عامر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46221</v>
      </c>
      <c r="B22" s="61" t="str">
        <f>IFERROR(IF(IFERROR(MATCH(18,'كشف الحساب'!$N$4:$N$203,0),0)=0,"",INDEX('كشف الحساب'!$B$4:$B$203,IFERROR(MATCH(18,'كشف الحساب'!$N$4:$N$203,0),0))),"")</f>
        <v>Inv-97</v>
      </c>
      <c r="C22" s="27" t="str">
        <f>IFERROR(IF(IFERROR(MATCH(18,'كشف الحساب'!$N$4:$N$203,0),0)=0,"",INDEX('كشف الحساب'!$C$4:$C$203,IFERROR(MATCH(18,'كشف الحساب'!$N$4:$N$203,0),0))),"")</f>
        <v>افوبيا عدد 1 الحبه 1</v>
      </c>
      <c r="D22" s="28">
        <f>IFERROR(IF(IFERROR(MATCH(18,'كشف الحساب'!$N$4:$N$203,0),0)=0,"",INDEX('كشف الحساب'!$D$4:$D$203,IFERROR(MATCH(18,'كشف الحساب'!$N$4:$N$203,0),0))),"")</f>
        <v>0</v>
      </c>
      <c r="E22" s="62">
        <f>IFERROR(IF(IFERROR(MATCH(18,'كشف الحساب'!$N$4:$N$203,0),0)=0,"",INDEX('كشف الحساب'!$E$4:$E$203,IFERROR(MATCH(18,'كشف الحساب'!$N$4:$N$203,0),0))),"")</f>
        <v>1</v>
      </c>
      <c r="F22" s="61" t="str">
        <f>IFERROR(IF(IFERROR(MATCH(18,'كشف الحساب'!$N$4:$N$203,0),0)=0,"",INDEX('كشف الحساب'!$F$4:$F$203,IFERROR(MATCH(18,'كشف الحساب'!$N$4:$N$203,0),0))),"")</f>
        <v>أون لاين</v>
      </c>
      <c r="G22" s="61">
        <f>IFERROR(IF(IFERROR(MATCH(18,'كشف الحساب'!$N$4:$N$203,0),0)=0,"",INDEX('كشف الحساب'!$G$4:$G$203,IFERROR(MATCH(18,'كشف الحساب'!$N$4:$N$203,0),0))),"")</f>
        <v>0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109.62500000000001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46221</v>
      </c>
      <c r="B23" s="59" t="str">
        <f>IFERROR(IF(IFERROR(MATCH(19,'كشف الحساب'!$N$4:$N$203,0),0)=0,"",INDEX('كشف الحساب'!$B$4:$B$203,IFERROR(MATCH(19,'كشف الحساب'!$N$4:$N$203,0),0))),"")</f>
        <v>Inv-98</v>
      </c>
      <c r="C23" s="37" t="str">
        <f>IFERROR(IF(IFERROR(MATCH(19,'كشف الحساب'!$N$4:$N$203,0),0)=0,"",INDEX('كشف الحساب'!$C$4:$C$203,IFERROR(MATCH(19,'كشف الحساب'!$N$4:$N$203,0),0))),"")</f>
        <v>دارسينا عدد 1 الحبه 2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2</v>
      </c>
      <c r="F23" s="59" t="str">
        <f>IFERROR(IF(IFERROR(MATCH(19,'كشف الحساب'!$N$4:$N$203,0),0)=0,"",INDEX('كشف الحساب'!$F$4:$F$203,IFERROR(MATCH(19,'كشف الحساب'!$N$4:$N$203,0),0))),"")</f>
        <v>أون لاين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111.62500000000001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46224</v>
      </c>
      <c r="B24" s="61" t="str">
        <f>IFERROR(IF(IFERROR(MATCH(20,'كشف الحساب'!$N$4:$N$203,0),0)=0,"",INDEX('كشف الحساب'!$B$4:$B$203,IFERROR(MATCH(20,'كشف الحساب'!$N$4:$N$203,0),0))),"")</f>
        <v>Inv-99</v>
      </c>
      <c r="C24" s="27" t="str">
        <f>IFERROR(IF(IFERROR(MATCH(20,'كشف الحساب'!$N$4:$N$203,0),0)=0,"",INDEX('كشف الحساب'!$C$4:$C$203,IFERROR(MATCH(20,'كشف الحساب'!$N$4:$N$203,0),0))),"")</f>
        <v>افوبيا عدد 9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9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120.62500000000001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46224</v>
      </c>
      <c r="B25" s="59" t="str">
        <f>IFERROR(IF(IFERROR(MATCH(21,'كشف الحساب'!$N$4:$N$203,0),0)=0,"",INDEX('كشف الحساب'!$B$4:$B$203,IFERROR(MATCH(21,'كشف الحساب'!$N$4:$N$203,0),0))),"")</f>
        <v>Inv-100</v>
      </c>
      <c r="C25" s="37" t="str">
        <f>IFERROR(IF(IFERROR(MATCH(21,'كشف الحساب'!$N$4:$N$203,0),0)=0,"",INDEX('كشف الحساب'!$C$4:$C$203,IFERROR(MATCH(21,'كشف الحساب'!$N$4:$N$203,0),0))),"")</f>
        <v>ربل عدد 11 الحبه 2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142.625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46225</v>
      </c>
      <c r="B26" s="61" t="str">
        <f>IFERROR(IF(IFERROR(MATCH(22,'كشف الحساب'!$N$4:$N$203,0),0)=0,"",INDEX('كشف الحساب'!$B$4:$B$203,IFERROR(MATCH(22,'كشف الحساب'!$N$4:$N$203,0),0))),"")</f>
        <v>Inv-101</v>
      </c>
      <c r="C26" s="27" t="str">
        <f>IFERROR(IF(IFERROR(MATCH(22,'كشف الحساب'!$N$4:$N$203,0),0)=0,"",INDEX('كشف الحساب'!$C$4:$C$203,IFERROR(MATCH(22,'كشف الحساب'!$N$4:$N$203,0),0))),"")</f>
        <v>افوبيا عدد2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2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144.625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46227</v>
      </c>
      <c r="B27" s="59" t="str">
        <f>IFERROR(IF(IFERROR(MATCH(23,'كشف الحساب'!$N$4:$N$203,0),0)=0,"",INDEX('كشف الحساب'!$B$4:$B$203,IFERROR(MATCH(23,'كشف الحساب'!$N$4:$N$203,0),0))),"")</f>
        <v>Inv-102</v>
      </c>
      <c r="C27" s="37" t="str">
        <f>IFERROR(IF(IFERROR(MATCH(23,'كشف الحساب'!$N$4:$N$203,0),0)=0,"",INDEX('كشف الحساب'!$C$4:$C$203,IFERROR(MATCH(23,'كشف الحساب'!$N$4:$N$203,0),0))),"")</f>
        <v>متنوع عدد2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2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146.625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46229</v>
      </c>
      <c r="B28" s="61">
        <f>IFERROR(IF(IFERROR(MATCH(24,'كشف الحساب'!$N$4:$N$203,0),0)=0,"",INDEX('كشف الحساب'!$B$4:$B$203,IFERROR(MATCH(24,'كشف الحساب'!$N$4:$N$203,0),0))),"")</f>
        <v>0</v>
      </c>
      <c r="C28" s="27" t="str">
        <f>IFERROR(IF(IFERROR(MATCH(24,'كشف الحساب'!$N$4:$N$203,0),0)=0,"",INDEX('كشف الحساب'!$C$4:$C$203,IFERROR(MATCH(24,'كشف الحساب'!$N$4:$N$203,0),0))),"")</f>
        <v>كوكوبيد</v>
      </c>
      <c r="D28" s="28">
        <f>IFERROR(IF(IFERROR(MATCH(24,'كشف الحساب'!$N$4:$N$203,0),0)=0,"",INDEX('كشف الحساب'!$D$4:$D$203,IFERROR(MATCH(24,'كشف الحساب'!$N$4:$N$203,0),0))),"")</f>
        <v>10</v>
      </c>
      <c r="E28" s="62">
        <f>IFERROR(IF(IFERROR(MATCH(24,'كشف الحساب'!$N$4:$N$203,0),0)=0,"",INDEX('كشف الحساب'!$E$4:$E$203,IFERROR(MATCH(24,'كشف الحساب'!$N$4:$N$203,0),0))),"")</f>
        <v>0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 t="str">
        <f>IFERROR(IF(IFERROR(MATCH(24,'كشف الحساب'!$N$4:$N$203,0),0)=0,"",INDEX('كشف الحساب'!$G$4:$G$203,IFERROR(MATCH(24,'كشف الحساب'!$N$4:$N$203,0),0))),"")</f>
        <v>المحفظة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136.625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46229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1000 مقاس 14 سم</v>
      </c>
      <c r="D29" s="38">
        <f>IFERROR(IF(IFERROR(MATCH(25,'كشف الحساب'!$N$4:$N$203,0),0)=0,"",INDEX('كشف الحساب'!$D$4:$D$203,IFERROR(MATCH(25,'كشف الحساب'!$N$4:$N$203,0),0))),"")</f>
        <v>20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نقداً</v>
      </c>
      <c r="G29" s="59" t="str">
        <f>IFERROR(IF(IFERROR(MATCH(25,'كشف الحساب'!$N$4:$N$203,0),0)=0,"",INDEX('كشف الحساب'!$G$4:$G$203,IFERROR(MATCH(25,'كشف الحساب'!$N$4:$N$203,0),0))),"")</f>
        <v>المحفظة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116.625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46594</v>
      </c>
      <c r="B30" s="61" t="str">
        <f>IFERROR(IF(IFERROR(MATCH(26,'كشف الحساب'!$N$4:$N$203,0),0)=0,"",INDEX('كشف الحساب'!$B$4:$B$203,IFERROR(MATCH(26,'كشف الحساب'!$N$4:$N$203,0),0))),"")</f>
        <v>Inv-103</v>
      </c>
      <c r="C30" s="27" t="str">
        <f>IFERROR(IF(IFERROR(MATCH(26,'كشف الحساب'!$N$4:$N$203,0),0)=0,"",INDEX('كشف الحساب'!$C$4:$C$203,IFERROR(MATCH(26,'كشف الحساب'!$N$4:$N$203,0),0))),"")</f>
        <v>متفرقات</v>
      </c>
      <c r="D30" s="28">
        <f>IFERROR(IF(IFERROR(MATCH(26,'كشف الحساب'!$N$4:$N$203,0),0)=0,"",INDEX('كشف الحساب'!$D$4:$D$203,IFERROR(MATCH(26,'كشف الحساب'!$N$4:$N$203,0),0))),"")</f>
        <v>0</v>
      </c>
      <c r="E30" s="62">
        <f>IFERROR(IF(IFERROR(MATCH(26,'كشف الحساب'!$N$4:$N$203,0),0)=0,"",INDEX('كشف الحساب'!$E$4:$E$203,IFERROR(MATCH(26,'كشف الحساب'!$N$4:$N$203,0),0))),"")</f>
        <v>7.5</v>
      </c>
      <c r="F30" s="61" t="str">
        <f>IFERROR(IF(IFERROR(MATCH(26,'كشف الحساب'!$N$4:$N$203,0),0)=0,"",INDEX('كشف الحساب'!$F$4:$F$203,IFERROR(MATCH(26,'كشف الحساب'!$N$4:$N$203,0),0))),"")</f>
        <v>نقداً</v>
      </c>
      <c r="G30" s="61">
        <f>IFERROR(IF(IFERROR(MATCH(26,'كشف الحساب'!$N$4:$N$203,0),0)=0,"",INDEX('كشف الحساب'!$G$4:$G$203,IFERROR(MATCH(26,'كشف الحساب'!$N$4:$N$203,0),0))),"")</f>
        <v>0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124.125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46229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تسوية رصيد فعلي - المتوفر 107.305 (صافي الشهر 99.075 + فائض عام 16.750)</v>
      </c>
      <c r="D31" s="38">
        <f>IFERROR(IF(IFERROR(MATCH(27,'كشف الحساب'!$N$4:$N$203,0),0)=0,"",INDEX('كشف الحساب'!$D$4:$D$203,IFERROR(MATCH(27,'كشف الحساب'!$N$4:$N$203,0),0))),"")</f>
        <v>16.82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107.30500000000001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46231</v>
      </c>
      <c r="B32" s="61" t="str">
        <f>IFERROR(IF(IFERROR(MATCH(28,'كشف الحساب'!$N$4:$N$203,0),0)=0,"",INDEX('كشف الحساب'!$B$4:$B$203,IFERROR(MATCH(28,'كشف الحساب'!$N$4:$N$203,0),0))),"")</f>
        <v>Inv-104</v>
      </c>
      <c r="C32" s="27" t="str">
        <f>IFERROR(IF(IFERROR(MATCH(28,'كشف الحساب'!$N$4:$N$203,0),0)=0,"",INDEX('كشف الحساب'!$C$4:$C$203,IFERROR(MATCH(28,'كشف الحساب'!$N$4:$N$203,0),0))),"")</f>
        <v>متنوع عدد 1 الحبه 2.500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109.80500000000001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46231</v>
      </c>
      <c r="B33" s="59" t="str">
        <f>IFERROR(IF(IFERROR(MATCH(29,'كشف الحساب'!$N$4:$N$203,0),0)=0,"",INDEX('كشف الحساب'!$B$4:$B$203,IFERROR(MATCH(29,'كشف الحساب'!$N$4:$N$203,0),0))),"")</f>
        <v>Inv-105</v>
      </c>
      <c r="C33" s="37" t="str">
        <f>IFERROR(IF(IFERROR(MATCH(29,'كشف الحساب'!$N$4:$N$203,0),0)=0,"",INDEX('كشف الحساب'!$C$4:$C$203,IFERROR(MATCH(29,'كشف الحساب'!$N$4:$N$203,0),0))),"")</f>
        <v>دارسينا عدد 1 الحبه 3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3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112.80500000000001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46232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عدد 3 عماله + 10 ايام العامل البديل 40 دينار</v>
      </c>
      <c r="D34" s="28">
        <f>IFERROR(IF(IFERROR(MATCH(30,'كشف الحساب'!$N$4:$N$203,0),0)=0,"",INDEX('كشف الحساب'!$D$4:$D$203,IFERROR(MATCH(30,'كشف الحساب'!$N$4:$N$203,0),0))),"")</f>
        <v>99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13.805000000000007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46232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عدد 3 عماله + 10 ايام العامل البديل 40 دينار +50 كهرباء (تم دفه 99 من المحفظه)</v>
      </c>
      <c r="D35" s="66">
        <f>IFERROR(IF(IFERROR(MATCH(31,'كشف الحساب'!$N$4:$N$203,0),0)=0,"",INDEX('كشف الحساب'!$D$4:$D$203,IFERROR(MATCH(31,'كشف الحساب'!$N$4:$N$203,0),0))),"")</f>
        <v>205.5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أحد الشركاء</v>
      </c>
      <c r="G35" s="64" t="str">
        <f>IFERROR(IF(IFERROR(MATCH(31,'كشف الحساب'!$N$4:$N$203,0),0)=0,"",INDEX('كشف الحساب'!$G$4:$G$203,IFERROR(MATCH(31,'كشف الحساب'!$N$4:$N$203,0),0))),"")</f>
        <v>أبو آدم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13.805000000000007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46232</v>
      </c>
      <c r="B36" s="70">
        <f>IFERROR(IF(IFERROR(MATCH(32,'كشف الحساب'!$N$4:$N$203,0),0)=0,"",INDEX('كشف الحساب'!$B$4:$B$203,IFERROR(MATCH(32,'كشف الحساب'!$N$4:$N$203,0),0))),"")</f>
        <v>0</v>
      </c>
      <c r="C36" s="71" t="str">
        <f>IFERROR(IF(IFERROR(MATCH(32,'كشف الحساب'!$N$4:$N$203,0),0)=0,"",INDEX('كشف الحساب'!$C$4:$C$203,IFERROR(MATCH(32,'كشف الحساب'!$N$4:$N$203,0),0))),"")</f>
        <v>عدد 3 عماله + 10 ايام العامل البديل 40 دينار +50 كهرباء (تم دفه 99 من المحفظه)</v>
      </c>
      <c r="D36" s="72">
        <f>IFERROR(IF(IFERROR(MATCH(32,'كشف الحساب'!$N$4:$N$203,0),0)=0,"",INDEX('كشف الحساب'!$D$4:$D$203,IFERROR(MATCH(32,'كشف الحساب'!$N$4:$N$203,0),0))),"")</f>
        <v>205.5</v>
      </c>
      <c r="E36" s="73">
        <f>IFERROR(IF(IFERROR(MATCH(32,'كشف الحساب'!$N$4:$N$203,0),0)=0,"",INDEX('كشف الحساب'!$E$4:$E$203,IFERROR(MATCH(32,'كشف الحساب'!$N$4:$N$203,0),0))),"")</f>
        <v>0</v>
      </c>
      <c r="F36" s="70" t="str">
        <f>IFERROR(IF(IFERROR(MATCH(32,'كشف الحساب'!$N$4:$N$203,0),0)=0,"",INDEX('كشف الحساب'!$F$4:$F$203,IFERROR(MATCH(32,'كشف الحساب'!$N$4:$N$203,0),0))),"")</f>
        <v>أحد الشركاء</v>
      </c>
      <c r="G36" s="70" t="str">
        <f>IFERROR(IF(IFERROR(MATCH(32,'كشف الحساب'!$N$4:$N$203,0),0)=0,"",INDEX('كشف الحساب'!$G$4:$G$203,IFERROR(MATCH(32,'كشف الحساب'!$N$4:$N$203,0),0))),"")</f>
        <v>أبو اسحاق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13.805000000000007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>
        <f>IFERROR(IF(IFERROR(MATCH(33,'كشف الحساب'!$N$4:$N$203,0),0)=0,"",INDEX('كشف الحساب'!$B$4:$B$203,IFERROR(MATCH(33,'كشف الحساب'!$N$4:$N$203,0),0))),"")</f>
        <v>0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22.395000000000007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266</v>
      </c>
      <c r="B155" s="156"/>
      <c r="C155" s="156"/>
      <c r="D155" s="75">
        <f>SUM(D5:D154)</f>
        <v>578.745</v>
      </c>
      <c r="E155" s="75">
        <f>SUM(E5:E154)</f>
        <v>156.5</v>
      </c>
      <c r="F155" s="168">
        <f>COUNTIF(H5:H154,"معلق")</f>
        <v>0</v>
      </c>
      <c r="G155" s="156"/>
      <c r="H155" s="156"/>
      <c r="I155" s="76"/>
      <c r="J155" s="75">
        <f>E155-D155</f>
        <v>-422.245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269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270</v>
      </c>
      <c r="B2" s="156"/>
      <c r="C2" s="56" t="s">
        <v>256</v>
      </c>
      <c r="D2" s="166" t="s">
        <v>271</v>
      </c>
      <c r="E2" s="156"/>
      <c r="F2" s="56">
        <v>2026</v>
      </c>
    </row>
    <row r="3" spans="1:7" ht="21.75" customHeight="1" x14ac:dyDescent="0.25">
      <c r="A3" s="170" t="s">
        <v>272</v>
      </c>
      <c r="B3" s="156"/>
      <c r="C3" s="57">
        <f>المحفظة!$D$2</f>
        <v>0</v>
      </c>
      <c r="D3" s="170" t="s">
        <v>273</v>
      </c>
      <c r="E3" s="156"/>
      <c r="F3" s="78">
        <f>المحفظة!$C$3</f>
        <v>0</v>
      </c>
    </row>
    <row r="4" spans="1:7" ht="21.75" customHeight="1" x14ac:dyDescent="0.25">
      <c r="A4" s="172" t="s">
        <v>274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267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1" t="s">
        <v>276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1" t="s">
        <v>277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278</v>
      </c>
      <c r="B108" s="156"/>
      <c r="C108" s="156"/>
      <c r="D108" s="75">
        <f>E55-D107</f>
        <v>0</v>
      </c>
      <c r="E108" s="173">
        <f>SUM(E5:E107)</f>
        <v>0</v>
      </c>
      <c r="F108" s="156"/>
      <c r="G108" s="157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2026-08-02T15:52:17Z</dcterms:modified>
  <dc:language>en-US</dc:language>
</cp:coreProperties>
</file>