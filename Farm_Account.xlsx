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05A66C87-6400-4796-AFE9-FC31C2879DB8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<sst xmlns="http://schemas.openxmlformats.org/spreadsheetml/2006/main" count="814" uniqueCount="352">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</sst>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43.320000000000014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Inv-113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891.44</v>
      </c>
      <c r="E206" s="129">
        <f>SUM(E6:E205)</f>
        <v>848.11999999999989</v>
      </c>
      <c r="F206" s="130">
        <f>IFERROR(LOOKUP(2,1/($F$6:$F$205&lt;&gt;""),$F$6:$F$205),0)</f>
        <v>43.320000000000014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40" activePane="bottomLeft" state="frozen"/>
      <selection pane="bottomLeft" activeCell="H151" sqref="H15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343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2281.6200000000003</v>
      </c>
      <c r="E205" s="46">
        <f>SUM(E4:E203)</f>
        <v>891.44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Inv-113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 t="str">
        <f>IFERROR(IF(IFERROR(MATCH(19,'كشف الحساب'!$N$4:$N$203,0),0)=0,"",INDEX('كشف الحساب'!$A$4:$A$203,IFERROR(MATCH(19,'كشف الحساب'!$N$4:$N$203,0),0))),"")</f>
        <v/>
      </c>
      <c r="B23" s="59" t="str">
        <f>IFERROR(IF(IFERROR(MATCH(19,'كشف الحساب'!$N$4:$N$203,0),0)=0,"",INDEX('كشف الحساب'!$B$4:$B$203,IFERROR(MATCH(19,'كشف الحساب'!$N$4:$N$203,0),0))),"")</f>
        <v/>
      </c>
      <c r="C23" s="37" t="str">
        <f>IFERROR(IF(IFERROR(MATCH(19,'كشف الحساب'!$N$4:$N$203,0),0)=0,"",INDEX('كشف الحساب'!$C$4:$C$203,IFERROR(MATCH(19,'كشف الحساب'!$N$4:$N$203,0),0))),"")</f>
        <v/>
      </c>
      <c r="D23" s="38" t="str">
        <f>IFERROR(IF(IFERROR(MATCH(19,'كشف الحساب'!$N$4:$N$203,0),0)=0,"",INDEX('كشف الحساب'!$D$4:$D$203,IFERROR(MATCH(19,'كشف الحساب'!$N$4:$N$203,0),0))),"")</f>
        <v/>
      </c>
      <c r="E23" s="60" t="str">
        <f>IFERROR(IF(IFERROR(MATCH(19,'كشف الحساب'!$N$4:$N$203,0),0)=0,"",INDEX('كشف الحساب'!$E$4:$E$203,IFERROR(MATCH(19,'كشف الحساب'!$N$4:$N$203,0),0))),"")</f>
        <v/>
      </c>
      <c r="F23" s="59" t="str">
        <f>IFERROR(IF(IFERROR(MATCH(19,'كشف الحساب'!$N$4:$N$203,0),0)=0,"",INDEX('كشف الحساب'!$F$4:$F$203,IFERROR(MATCH(19,'كشف الحساب'!$N$4:$N$203,0),0))),"")</f>
        <v/>
      </c>
      <c r="G23" s="59" t="str">
        <f>IFERROR(IF(IFERROR(MATCH(19,'كشف الحساب'!$N$4:$N$203,0),0)=0,"",INDEX('كشف الحساب'!$G$4:$G$203,IFERROR(MATCH(19,'كشف الحساب'!$N$4:$N$203,0),0))),"")</f>
        <v/>
      </c>
      <c r="H23" s="59" t="str">
        <f>IFERROR(IF(IFERROR(MATCH(19,'كشف الحساب'!$N$4:$N$203,0),0)=0,"",INDEX('كشف الحساب'!$H$4:$H$203,IFERROR(MATCH(19,'كشف الحساب'!$N$4:$N$203,0),0))),"")</f>
        <v/>
      </c>
      <c r="I23" s="59" t="str">
        <f>IFERROR(IF(IFERROR(MATCH(19,'كشف الحساب'!$N$4:$N$203,0),0)=0,"",INDEX('كشف الحساب'!$I$4:$I$203,IFERROR(MATCH(19,'كشف الحساب'!$N$4:$N$203,0),0))),"")</f>
        <v/>
      </c>
      <c r="J23" s="43" t="str">
        <f>IFERROR(IF(IFERROR(MATCH(19,'كشف الحساب'!$N$4:$N$203,0),0)=0,"",INDEX('كشف الحساب'!$J$4:$J$203,IFERROR(MATCH(19,'كشف الحساب'!$N$4:$N$203,0),0))),"")</f>
        <v/>
      </c>
      <c r="K23" s="59" t="str">
        <f>IFERROR(IF(IFERROR(MATCH(19,'كشف الحساب'!$N$4:$N$203,0),0)=0,"",INDEX('كشف الحساب'!$K$4:$K$203,IFERROR(MATCH(19,'كشف الحساب'!$N$4:$N$203,0),0))),"")</f>
        <v/>
      </c>
    </row>
    <row r="24" spans="1:11" ht="16.5" customHeight="1" x14ac:dyDescent="0.25">
      <c r="A24" s="25" t="str">
        <f>IFERROR(IF(IFERROR(MATCH(20,'كشف الحساب'!$N$4:$N$203,0),0)=0,"",INDEX('كشف الحساب'!$A$4:$A$203,IFERROR(MATCH(20,'كشف الحساب'!$N$4:$N$203,0),0))),"")</f>
        <v/>
      </c>
      <c r="B24" s="61" t="str">
        <f>IFERROR(IF(IFERROR(MATCH(20,'كشف الحساب'!$N$4:$N$203,0),0)=0,"",INDEX('كشف الحساب'!$B$4:$B$203,IFERROR(MATCH(20,'كشف الحساب'!$N$4:$N$203,0),0))),"")</f>
        <v/>
      </c>
      <c r="C24" s="27" t="str">
        <f>IFERROR(IF(IFERROR(MATCH(20,'كشف الحساب'!$N$4:$N$203,0),0)=0,"",INDEX('كشف الحساب'!$C$4:$C$203,IFERROR(MATCH(20,'كشف الحساب'!$N$4:$N$203,0),0))),"")</f>
        <v/>
      </c>
      <c r="D24" s="28" t="str">
        <f>IFERROR(IF(IFERROR(MATCH(20,'كشف الحساب'!$N$4:$N$203,0),0)=0,"",INDEX('كشف الحساب'!$D$4:$D$203,IFERROR(MATCH(20,'كشف الحساب'!$N$4:$N$203,0),0))),"")</f>
        <v/>
      </c>
      <c r="E24" s="62" t="str">
        <f>IFERROR(IF(IFERROR(MATCH(20,'كشف الحساب'!$N$4:$N$203,0),0)=0,"",INDEX('كشف الحساب'!$E$4:$E$203,IFERROR(MATCH(20,'كشف الحساب'!$N$4:$N$203,0),0))),"")</f>
        <v/>
      </c>
      <c r="F24" s="61" t="str">
        <f>IFERROR(IF(IFERROR(MATCH(20,'كشف الحساب'!$N$4:$N$203,0),0)=0,"",INDEX('كشف الحساب'!$F$4:$F$203,IFERROR(MATCH(20,'كشف الحساب'!$N$4:$N$203,0),0))),"")</f>
        <v/>
      </c>
      <c r="G24" s="61" t="str">
        <f>IFERROR(IF(IFERROR(MATCH(20,'كشف الحساب'!$N$4:$N$203,0),0)=0,"",INDEX('كشف الحساب'!$G$4:$G$203,IFERROR(MATCH(20,'كشف الحساب'!$N$4:$N$203,0),0))),"")</f>
        <v/>
      </c>
      <c r="H24" s="61" t="str">
        <f>IFERROR(IF(IFERROR(MATCH(20,'كشف الحساب'!$N$4:$N$203,0),0)=0,"",INDEX('كشف الحساب'!$H$4:$H$203,IFERROR(MATCH(20,'كشف الحساب'!$N$4:$N$203,0),0))),"")</f>
        <v/>
      </c>
      <c r="I24" s="61" t="str">
        <f>IFERROR(IF(IFERROR(MATCH(20,'كشف الحساب'!$N$4:$N$203,0),0)=0,"",INDEX('كشف الحساب'!$I$4:$I$203,IFERROR(MATCH(20,'كشف الحساب'!$N$4:$N$203,0),0))),"")</f>
        <v/>
      </c>
      <c r="J24" s="34" t="str">
        <f>IFERROR(IF(IFERROR(MATCH(20,'كشف الحساب'!$N$4:$N$203,0),0)=0,"",INDEX('كشف الحساب'!$J$4:$J$203,IFERROR(MATCH(20,'كشف الحساب'!$N$4:$N$203,0),0))),"")</f>
        <v/>
      </c>
      <c r="K24" s="61" t="str">
        <f>IFERROR(IF(IFERROR(MATCH(20,'كشف الحساب'!$N$4:$N$203,0),0)=0,"",INDEX('كشف الحساب'!$K$4:$K$203,IFERROR(MATCH(20,'كشف الحساب'!$N$4:$N$203,0),0))),"")</f>
        <v/>
      </c>
    </row>
    <row r="25" spans="1:11" ht="16.5" customHeight="1" x14ac:dyDescent="0.25">
      <c r="A25" s="139" t="str">
        <f>IFERROR(IF(IFERROR(MATCH(21,'كشف الحساب'!$N$4:$N$203,0),0)=0,"",INDEX('كشف الحساب'!$A$4:$A$203,IFERROR(MATCH(21,'كشف الحساب'!$N$4:$N$203,0),0))),"")</f>
        <v/>
      </c>
      <c r="B25" s="59" t="str">
        <f>IFERROR(IF(IFERROR(MATCH(21,'كشف الحساب'!$N$4:$N$203,0),0)=0,"",INDEX('كشف الحساب'!$B$4:$B$203,IFERROR(MATCH(21,'كشف الحساب'!$N$4:$N$203,0),0))),"")</f>
        <v/>
      </c>
      <c r="C25" s="37" t="str">
        <f>IFERROR(IF(IFERROR(MATCH(21,'كشف الحساب'!$N$4:$N$203,0),0)=0,"",INDEX('كشف الحساب'!$C$4:$C$203,IFERROR(MATCH(21,'كشف الحساب'!$N$4:$N$203,0),0))),"")</f>
        <v/>
      </c>
      <c r="D25" s="38" t="str">
        <f>IFERROR(IF(IFERROR(MATCH(21,'كشف الحساب'!$N$4:$N$203,0),0)=0,"",INDEX('كشف الحساب'!$D$4:$D$203,IFERROR(MATCH(21,'كشف الحساب'!$N$4:$N$203,0),0))),"")</f>
        <v/>
      </c>
      <c r="E25" s="60" t="str">
        <f>IFERROR(IF(IFERROR(MATCH(21,'كشف الحساب'!$N$4:$N$203,0),0)=0,"",INDEX('كشف الحساب'!$E$4:$E$203,IFERROR(MATCH(21,'كشف الحساب'!$N$4:$N$203,0),0))),"")</f>
        <v/>
      </c>
      <c r="F25" s="59" t="str">
        <f>IFERROR(IF(IFERROR(MATCH(21,'كشف الحساب'!$N$4:$N$203,0),0)=0,"",INDEX('كشف الحساب'!$F$4:$F$203,IFERROR(MATCH(21,'كشف الحساب'!$N$4:$N$203,0),0))),"")</f>
        <v/>
      </c>
      <c r="G25" s="59" t="str">
        <f>IFERROR(IF(IFERROR(MATCH(21,'كشف الحساب'!$N$4:$N$203,0),0)=0,"",INDEX('كشف الحساب'!$G$4:$G$203,IFERROR(MATCH(21,'كشف الحساب'!$N$4:$N$203,0),0))),"")</f>
        <v/>
      </c>
      <c r="H25" s="59" t="str">
        <f>IFERROR(IF(IFERROR(MATCH(21,'كشف الحساب'!$N$4:$N$203,0),0)=0,"",INDEX('كشف الحساب'!$H$4:$H$203,IFERROR(MATCH(21,'كشف الحساب'!$N$4:$N$203,0),0))),"")</f>
        <v/>
      </c>
      <c r="I25" s="59" t="str">
        <f>IFERROR(IF(IFERROR(MATCH(21,'كشف الحساب'!$N$4:$N$203,0),0)=0,"",INDEX('كشف الحساب'!$I$4:$I$203,IFERROR(MATCH(21,'كشف الحساب'!$N$4:$N$203,0),0))),"")</f>
        <v/>
      </c>
      <c r="J25" s="43" t="str">
        <f>IFERROR(IF(IFERROR(MATCH(21,'كشف الحساب'!$N$4:$N$203,0),0)=0,"",INDEX('كشف الحساب'!$J$4:$J$203,IFERROR(MATCH(21,'كشف الحساب'!$N$4:$N$203,0),0))),"")</f>
        <v/>
      </c>
      <c r="K25" s="59" t="str">
        <f>IFERROR(IF(IFERROR(MATCH(21,'كشف الحساب'!$N$4:$N$203,0),0)=0,"",INDEX('كشف الحساب'!$K$4:$K$203,IFERROR(MATCH(21,'كشف الحساب'!$N$4:$N$203,0),0))),"")</f>
        <v/>
      </c>
    </row>
    <row r="26" spans="1:11" ht="16.5" customHeight="1" x14ac:dyDescent="0.25">
      <c r="A26" s="25" t="str">
        <f>IFERROR(IF(IFERROR(MATCH(22,'كشف الحساب'!$N$4:$N$203,0),0)=0,"",INDEX('كشف الحساب'!$A$4:$A$203,IFERROR(MATCH(22,'كشف الحساب'!$N$4:$N$203,0),0))),"")</f>
        <v/>
      </c>
      <c r="B26" s="61" t="str">
        <f>IFERROR(IF(IFERROR(MATCH(22,'كشف الحساب'!$N$4:$N$203,0),0)=0,"",INDEX('كشف الحساب'!$B$4:$B$203,IFERROR(MATCH(22,'كشف الحساب'!$N$4:$N$203,0),0))),"")</f>
        <v/>
      </c>
      <c r="C26" s="27" t="str">
        <f>IFERROR(IF(IFERROR(MATCH(22,'كشف الحساب'!$N$4:$N$203,0),0)=0,"",INDEX('كشف الحساب'!$C$4:$C$203,IFERROR(MATCH(22,'كشف الحساب'!$N$4:$N$203,0),0))),"")</f>
        <v/>
      </c>
      <c r="D26" s="28" t="str">
        <f>IFERROR(IF(IFERROR(MATCH(22,'كشف الحساب'!$N$4:$N$203,0),0)=0,"",INDEX('كشف الحساب'!$D$4:$D$203,IFERROR(MATCH(22,'كشف الحساب'!$N$4:$N$203,0),0))),"")</f>
        <v/>
      </c>
      <c r="E26" s="62" t="str">
        <f>IFERROR(IF(IFERROR(MATCH(22,'كشف الحساب'!$N$4:$N$203,0),0)=0,"",INDEX('كشف الحساب'!$E$4:$E$203,IFERROR(MATCH(22,'كشف الحساب'!$N$4:$N$203,0),0))),"")</f>
        <v/>
      </c>
      <c r="F26" s="61" t="str">
        <f>IFERROR(IF(IFERROR(MATCH(22,'كشف الحساب'!$N$4:$N$203,0),0)=0,"",INDEX('كشف الحساب'!$F$4:$F$203,IFERROR(MATCH(22,'كشف الحساب'!$N$4:$N$203,0),0))),"")</f>
        <v/>
      </c>
      <c r="G26" s="61" t="str">
        <f>IFERROR(IF(IFERROR(MATCH(22,'كشف الحساب'!$N$4:$N$203,0),0)=0,"",INDEX('كشف الحساب'!$G$4:$G$203,IFERROR(MATCH(22,'كشف الحساب'!$N$4:$N$203,0),0))),"")</f>
        <v/>
      </c>
      <c r="H26" s="61" t="str">
        <f>IFERROR(IF(IFERROR(MATCH(22,'كشف الحساب'!$N$4:$N$203,0),0)=0,"",INDEX('كشف الحساب'!$H$4:$H$203,IFERROR(MATCH(22,'كشف الحساب'!$N$4:$N$203,0),0))),"")</f>
        <v/>
      </c>
      <c r="I26" s="61" t="str">
        <f>IFERROR(IF(IFERROR(MATCH(22,'كشف الحساب'!$N$4:$N$203,0),0)=0,"",INDEX('كشف الحساب'!$I$4:$I$203,IFERROR(MATCH(22,'كشف الحساب'!$N$4:$N$203,0),0))),"")</f>
        <v/>
      </c>
      <c r="J26" s="34" t="str">
        <f>IFERROR(IF(IFERROR(MATCH(22,'كشف الحساب'!$N$4:$N$203,0),0)=0,"",INDEX('كشف الحساب'!$J$4:$J$203,IFERROR(MATCH(22,'كشف الحساب'!$N$4:$N$203,0),0))),"")</f>
        <v/>
      </c>
      <c r="K26" s="61" t="str">
        <f>IFERROR(IF(IFERROR(MATCH(22,'كشف الحساب'!$N$4:$N$203,0),0)=0,"",INDEX('كشف الحساب'!$K$4:$K$203,IFERROR(MATCH(22,'كشف الحساب'!$N$4:$N$203,0),0))),"")</f>
        <v/>
      </c>
    </row>
    <row r="27" spans="1:11" ht="16.5" customHeight="1" x14ac:dyDescent="0.25">
      <c r="A27" s="139" t="str">
        <f>IFERROR(IF(IFERROR(MATCH(23,'كشف الحساب'!$N$4:$N$203,0),0)=0,"",INDEX('كشف الحساب'!$A$4:$A$203,IFERROR(MATCH(23,'كشف الحساب'!$N$4:$N$203,0),0))),"")</f>
        <v/>
      </c>
      <c r="B27" s="59" t="str">
        <f>IFERROR(IF(IFERROR(MATCH(23,'كشف الحساب'!$N$4:$N$203,0),0)=0,"",INDEX('كشف الحساب'!$B$4:$B$203,IFERROR(MATCH(23,'كشف الحساب'!$N$4:$N$203,0),0))),"")</f>
        <v/>
      </c>
      <c r="C27" s="37" t="str">
        <f>IFERROR(IF(IFERROR(MATCH(23,'كشف الحساب'!$N$4:$N$203,0),0)=0,"",INDEX('كشف الحساب'!$C$4:$C$203,IFERROR(MATCH(23,'كشف الحساب'!$N$4:$N$203,0),0))),"")</f>
        <v/>
      </c>
      <c r="D27" s="38" t="str">
        <f>IFERROR(IF(IFERROR(MATCH(23,'كشف الحساب'!$N$4:$N$203,0),0)=0,"",INDEX('كشف الحساب'!$D$4:$D$203,IFERROR(MATCH(23,'كشف الحساب'!$N$4:$N$203,0),0))),"")</f>
        <v/>
      </c>
      <c r="E27" s="60" t="str">
        <f>IFERROR(IF(IFERROR(MATCH(23,'كشف الحساب'!$N$4:$N$203,0),0)=0,"",INDEX('كشف الحساب'!$E$4:$E$203,IFERROR(MATCH(23,'كشف الحساب'!$N$4:$N$203,0),0))),"")</f>
        <v/>
      </c>
      <c r="F27" s="59" t="str">
        <f>IFERROR(IF(IFERROR(MATCH(23,'كشف الحساب'!$N$4:$N$203,0),0)=0,"",INDEX('كشف الحساب'!$F$4:$F$203,IFERROR(MATCH(23,'كشف الحساب'!$N$4:$N$203,0),0))),"")</f>
        <v/>
      </c>
      <c r="G27" s="59" t="str">
        <f>IFERROR(IF(IFERROR(MATCH(23,'كشف الحساب'!$N$4:$N$203,0),0)=0,"",INDEX('كشف الحساب'!$G$4:$G$203,IFERROR(MATCH(23,'كشف الحساب'!$N$4:$N$203,0),0))),"")</f>
        <v/>
      </c>
      <c r="H27" s="59" t="str">
        <f>IFERROR(IF(IFERROR(MATCH(23,'كشف الحساب'!$N$4:$N$203,0),0)=0,"",INDEX('كشف الحساب'!$H$4:$H$203,IFERROR(MATCH(23,'كشف الحساب'!$N$4:$N$203,0),0))),"")</f>
        <v/>
      </c>
      <c r="I27" s="59" t="str">
        <f>IFERROR(IF(IFERROR(MATCH(23,'كشف الحساب'!$N$4:$N$203,0),0)=0,"",INDEX('كشف الحساب'!$I$4:$I$203,IFERROR(MATCH(23,'كشف الحساب'!$N$4:$N$203,0),0))),"")</f>
        <v/>
      </c>
      <c r="J27" s="43" t="str">
        <f>IFERROR(IF(IFERROR(MATCH(23,'كشف الحساب'!$N$4:$N$203,0),0)=0,"",INDEX('كشف الحساب'!$J$4:$J$203,IFERROR(MATCH(23,'كشف الحساب'!$N$4:$N$203,0),0))),"")</f>
        <v/>
      </c>
      <c r="K27" s="59" t="str">
        <f>IFERROR(IF(IFERROR(MATCH(23,'كشف الحساب'!$N$4:$N$203,0),0)=0,"",INDEX('كشف الحساب'!$K$4:$K$203,IFERROR(MATCH(23,'كشف الحساب'!$N$4:$N$203,0),0))),"")</f>
        <v/>
      </c>
    </row>
    <row r="28" spans="1:11" ht="16.5" customHeight="1" x14ac:dyDescent="0.25">
      <c r="A28" s="25" t="str">
        <f>IFERROR(IF(IFERROR(MATCH(24,'كشف الحساب'!$N$4:$N$203,0),0)=0,"",INDEX('كشف الحساب'!$A$4:$A$203,IFERROR(MATCH(24,'كشف الحساب'!$N$4:$N$203,0),0))),"")</f>
        <v/>
      </c>
      <c r="B28" s="61" t="str">
        <f>IFERROR(IF(IFERROR(MATCH(24,'كشف الحساب'!$N$4:$N$203,0),0)=0,"",INDEX('كشف الحساب'!$B$4:$B$203,IFERROR(MATCH(24,'كشف الحساب'!$N$4:$N$203,0),0))),"")</f>
        <v/>
      </c>
      <c r="C28" s="27" t="str">
        <f>IFERROR(IF(IFERROR(MATCH(24,'كشف الحساب'!$N$4:$N$203,0),0)=0,"",INDEX('كشف الحساب'!$C$4:$C$203,IFERROR(MATCH(24,'كشف الحساب'!$N$4:$N$203,0),0))),"")</f>
        <v/>
      </c>
      <c r="D28" s="28" t="str">
        <f>IFERROR(IF(IFERROR(MATCH(24,'كشف الحساب'!$N$4:$N$203,0),0)=0,"",INDEX('كشف الحساب'!$D$4:$D$203,IFERROR(MATCH(24,'كشف الحساب'!$N$4:$N$203,0),0))),"")</f>
        <v/>
      </c>
      <c r="E28" s="62" t="str">
        <f>IFERROR(IF(IFERROR(MATCH(24,'كشف الحساب'!$N$4:$N$203,0),0)=0,"",INDEX('كشف الحساب'!$E$4:$E$203,IFERROR(MATCH(24,'كشف الحساب'!$N$4:$N$203,0),0))),"")</f>
        <v/>
      </c>
      <c r="F28" s="61" t="str">
        <f>IFERROR(IF(IFERROR(MATCH(24,'كشف الحساب'!$N$4:$N$203,0),0)=0,"",INDEX('كشف الحساب'!$F$4:$F$203,IFERROR(MATCH(24,'كشف الحساب'!$N$4:$N$203,0),0))),"")</f>
        <v/>
      </c>
      <c r="G28" s="61" t="str">
        <f>IFERROR(IF(IFERROR(MATCH(24,'كشف الحساب'!$N$4:$N$203,0),0)=0,"",INDEX('كشف الحساب'!$G$4:$G$203,IFERROR(MATCH(24,'كشف الحساب'!$N$4:$N$203,0),0))),"")</f>
        <v/>
      </c>
      <c r="H28" s="61" t="str">
        <f>IFERROR(IF(IFERROR(MATCH(24,'كشف الحساب'!$N$4:$N$203,0),0)=0,"",INDEX('كشف الحساب'!$H$4:$H$203,IFERROR(MATCH(24,'كشف الحساب'!$N$4:$N$203,0),0))),"")</f>
        <v/>
      </c>
      <c r="I28" s="61" t="str">
        <f>IFERROR(IF(IFERROR(MATCH(24,'كشف الحساب'!$N$4:$N$203,0),0)=0,"",INDEX('كشف الحساب'!$I$4:$I$203,IFERROR(MATCH(24,'كشف الحساب'!$N$4:$N$203,0),0))),"")</f>
        <v/>
      </c>
      <c r="J28" s="34" t="str">
        <f>IFERROR(IF(IFERROR(MATCH(24,'كشف الحساب'!$N$4:$N$203,0),0)=0,"",INDEX('كشف الحساب'!$J$4:$J$203,IFERROR(MATCH(24,'كشف الحساب'!$N$4:$N$203,0),0))),"")</f>
        <v/>
      </c>
      <c r="K28" s="61" t="str">
        <f>IFERROR(IF(IFERROR(MATCH(24,'كشف الحساب'!$N$4:$N$203,0),0)=0,"",INDEX('كشف الحساب'!$K$4:$K$203,IFERROR(MATCH(24,'كشف الحساب'!$N$4:$N$203,0),0))),"")</f>
        <v/>
      </c>
    </row>
    <row r="29" spans="1:11" ht="16.5" customHeight="1" x14ac:dyDescent="0.25">
      <c r="A29" s="139" t="str">
        <f>IFERROR(IF(IFERROR(MATCH(25,'كشف الحساب'!$N$4:$N$203,0),0)=0,"",INDEX('كشف الحساب'!$A$4:$A$203,IFERROR(MATCH(25,'كشف الحساب'!$N$4:$N$203,0),0))),"")</f>
        <v/>
      </c>
      <c r="B29" s="59" t="str">
        <f>IFERROR(IF(IFERROR(MATCH(25,'كشف الحساب'!$N$4:$N$203,0),0)=0,"",INDEX('كشف الحساب'!$B$4:$B$203,IFERROR(MATCH(25,'كشف الحساب'!$N$4:$N$203,0),0))),"")</f>
        <v/>
      </c>
      <c r="C29" s="37" t="str">
        <f>IFERROR(IF(IFERROR(MATCH(25,'كشف الحساب'!$N$4:$N$203,0),0)=0,"",INDEX('كشف الحساب'!$C$4:$C$203,IFERROR(MATCH(25,'كشف الحساب'!$N$4:$N$203,0),0))),"")</f>
        <v/>
      </c>
      <c r="D29" s="38" t="str">
        <f>IFERROR(IF(IFERROR(MATCH(25,'كشف الحساب'!$N$4:$N$203,0),0)=0,"",INDEX('كشف الحساب'!$D$4:$D$203,IFERROR(MATCH(25,'كشف الحساب'!$N$4:$N$203,0),0))),"")</f>
        <v/>
      </c>
      <c r="E29" s="60" t="str">
        <f>IFERROR(IF(IFERROR(MATCH(25,'كشف الحساب'!$N$4:$N$203,0),0)=0,"",INDEX('كشف الحساب'!$E$4:$E$203,IFERROR(MATCH(25,'كشف الحساب'!$N$4:$N$203,0),0))),"")</f>
        <v/>
      </c>
      <c r="F29" s="59" t="str">
        <f>IFERROR(IF(IFERROR(MATCH(25,'كشف الحساب'!$N$4:$N$203,0),0)=0,"",INDEX('كشف الحساب'!$F$4:$F$203,IFERROR(MATCH(25,'كشف الحساب'!$N$4:$N$203,0),0))),"")</f>
        <v/>
      </c>
      <c r="G29" s="59" t="str">
        <f>IFERROR(IF(IFERROR(MATCH(25,'كشف الحساب'!$N$4:$N$203,0),0)=0,"",INDEX('كشف الحساب'!$G$4:$G$203,IFERROR(MATCH(25,'كشف الحساب'!$N$4:$N$203,0),0))),"")</f>
        <v/>
      </c>
      <c r="H29" s="59" t="str">
        <f>IFERROR(IF(IFERROR(MATCH(25,'كشف الحساب'!$N$4:$N$203,0),0)=0,"",INDEX('كشف الحساب'!$H$4:$H$203,IFERROR(MATCH(25,'كشف الحساب'!$N$4:$N$203,0),0))),"")</f>
        <v/>
      </c>
      <c r="I29" s="59" t="str">
        <f>IFERROR(IF(IFERROR(MATCH(25,'كشف الحساب'!$N$4:$N$203,0),0)=0,"",INDEX('كشف الحساب'!$I$4:$I$203,IFERROR(MATCH(25,'كشف الحساب'!$N$4:$N$203,0),0))),"")</f>
        <v/>
      </c>
      <c r="J29" s="43" t="str">
        <f>IFERROR(IF(IFERROR(MATCH(25,'كشف الحساب'!$N$4:$N$203,0),0)=0,"",INDEX('كشف الحساب'!$J$4:$J$203,IFERROR(MATCH(25,'كشف الحساب'!$N$4:$N$203,0),0))),"")</f>
        <v/>
      </c>
      <c r="K29" s="59" t="str">
        <f>IFERROR(IF(IFERROR(MATCH(25,'كشف الحساب'!$N$4:$N$203,0),0)=0,"",INDEX('كشف الحساب'!$K$4:$K$203,IFERROR(MATCH(25,'كشف الحساب'!$N$4:$N$203,0),0))),"")</f>
        <v/>
      </c>
    </row>
    <row r="30" spans="1:11" ht="16.5" customHeight="1" x14ac:dyDescent="0.25">
      <c r="A30" s="25" t="str">
        <f>IFERROR(IF(IFERROR(MATCH(26,'كشف الحساب'!$N$4:$N$203,0),0)=0,"",INDEX('كشف الحساب'!$A$4:$A$203,IFERROR(MATCH(26,'كشف الحساب'!$N$4:$N$203,0),0))),"")</f>
        <v/>
      </c>
      <c r="B30" s="61" t="str">
        <f>IFERROR(IF(IFERROR(MATCH(26,'كشف الحساب'!$N$4:$N$203,0),0)=0,"",INDEX('كشف الحساب'!$B$4:$B$203,IFERROR(MATCH(26,'كشف الحساب'!$N$4:$N$203,0),0))),"")</f>
        <v/>
      </c>
      <c r="C30" s="27" t="str">
        <f>IFERROR(IF(IFERROR(MATCH(26,'كشف الحساب'!$N$4:$N$203,0),0)=0,"",INDEX('كشف الحساب'!$C$4:$C$203,IFERROR(MATCH(26,'كشف الحساب'!$N$4:$N$203,0),0))),"")</f>
        <v/>
      </c>
      <c r="D30" s="28" t="str">
        <f>IFERROR(IF(IFERROR(MATCH(26,'كشف الحساب'!$N$4:$N$203,0),0)=0,"",INDEX('كشف الحساب'!$D$4:$D$203,IFERROR(MATCH(26,'كشف الحساب'!$N$4:$N$203,0),0))),"")</f>
        <v/>
      </c>
      <c r="E30" s="62" t="str">
        <f>IFERROR(IF(IFERROR(MATCH(26,'كشف الحساب'!$N$4:$N$203,0),0)=0,"",INDEX('كشف الحساب'!$E$4:$E$203,IFERROR(MATCH(26,'كشف الحساب'!$N$4:$N$203,0),0))),"")</f>
        <v/>
      </c>
      <c r="F30" s="61" t="str">
        <f>IFERROR(IF(IFERROR(MATCH(26,'كشف الحساب'!$N$4:$N$203,0),0)=0,"",INDEX('كشف الحساب'!$F$4:$F$203,IFERROR(MATCH(26,'كشف الحساب'!$N$4:$N$203,0),0))),"")</f>
        <v/>
      </c>
      <c r="G30" s="61" t="str">
        <f>IFERROR(IF(IFERROR(MATCH(26,'كشف الحساب'!$N$4:$N$203,0),0)=0,"",INDEX('كشف الحساب'!$G$4:$G$203,IFERROR(MATCH(26,'كشف الحساب'!$N$4:$N$203,0),0))),"")</f>
        <v/>
      </c>
      <c r="H30" s="61" t="str">
        <f>IFERROR(IF(IFERROR(MATCH(26,'كشف الحساب'!$N$4:$N$203,0),0)=0,"",INDEX('كشف الحساب'!$H$4:$H$203,IFERROR(MATCH(26,'كشف الحساب'!$N$4:$N$203,0),0))),"")</f>
        <v/>
      </c>
      <c r="I30" s="61" t="str">
        <f>IFERROR(IF(IFERROR(MATCH(26,'كشف الحساب'!$N$4:$N$203,0),0)=0,"",INDEX('كشف الحساب'!$I$4:$I$203,IFERROR(MATCH(26,'كشف الحساب'!$N$4:$N$203,0),0))),"")</f>
        <v/>
      </c>
      <c r="J30" s="34" t="str">
        <f>IFERROR(IF(IFERROR(MATCH(26,'كشف الحساب'!$N$4:$N$203,0),0)=0,"",INDEX('كشف الحساب'!$J$4:$J$203,IFERROR(MATCH(26,'كشف الحساب'!$N$4:$N$203,0),0))),"")</f>
        <v/>
      </c>
      <c r="K30" s="61" t="str">
        <f>IFERROR(IF(IFERROR(MATCH(26,'كشف الحساب'!$N$4:$N$203,0),0)=0,"",INDEX('كشف الحساب'!$K$4:$K$203,IFERROR(MATCH(26,'كشف الحساب'!$N$4:$N$203,0),0))),"")</f>
        <v/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148.32500000000002</v>
      </c>
      <c r="E155" s="75">
        <f>SUM(E5:E154)</f>
        <v>169.25</v>
      </c>
      <c r="F155" s="168">
        <f>COUNTIF(H5:H154,"معلق")</f>
        <v>0</v>
      </c>
      <c r="G155" s="156"/>
      <c r="H155" s="156"/>
      <c r="I155" s="76"/>
      <c r="J155" s="75">
        <f>E155-D155</f>
        <v>20.924999999999983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2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2026-08-15T19:51:45Z</dcterms:modified>
  <dc:language>en-US</dc:language>
</cp:coreProperties>
</file>