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21854E88-D03A-4CB0-8EF1-D64DCF2A8EAE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J251" i="2"/>
  <c r="Q250" i="2"/>
  <c r="P250" i="2"/>
  <c r="O250" i="2"/>
  <c r="N250" i="2"/>
  <c r="M250" i="2"/>
  <c r="L250" i="2"/>
  <c r="J250" i="2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D108" i="6" l="1"/>
  <c r="B73" i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D199" i="1"/>
  <c r="D198" i="1"/>
  <c r="C197" i="1"/>
  <c r="A196" i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<sst xmlns="http://schemas.openxmlformats.org/spreadsheetml/2006/main" count="1211" uniqueCount="513">
  <si>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</si>
  <si>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</si>
  <si>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</si>
  <si>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</si>
  <si>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</si>
  <si>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</si>
  <si>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</si>
  <si>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</si>
  <si>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</si>
  <si>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</si>
  <si>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</si>
  <si>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</si>
  <si>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</si>
  <si>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</si>
  <si>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</si>
  <si>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</si>
  <si>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</si>
  <si>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</si>
  <si>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</si>
  <si>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</si>
  <si>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</si>
  <si>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</si>
  <si>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</si>
  <si>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</si>
  <si>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</si>
  <si>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</si>
  <si>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</si>
  <si>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</si>
  <si>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</si>
  <si>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</si>
  <si>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</si>
  <si>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</si>
  <si>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</si>
  <si>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</si>
  <si>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</si>
  <si>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</si>
  <si>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</si>
  <si>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</si>
  <si>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</si>
  <si>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</si>
  <si>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</si>
  <si>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</si>
  <si>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</si>
  <si>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</si>
  <si>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</si>
  <si>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</si>
  <si>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</si>
  <si>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</si>
  <si>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</si>
  <si>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</si>
  <si>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</si>
  <si>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</si>
  <si>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</si>
  <si>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</si>
  <si>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</si>
  <si>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</si>
  <si>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</si>
  <si>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</si>
  <si>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</si>
  <si>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</si>
  <si>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</si>
  <si>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</si>
  <si>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</si>
  <si>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</si>
  <si>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</si>
  <si>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</si>
  <si>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</si>
  <si>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</si>
  <si>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</si>
  <si>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</si>
  <si>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</si>
  <si>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</si>
  <si>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</si>
  <si>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</si>
  <si>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</si>
  <si>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</si>
  <si>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</si>
  <si>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</si>
  <si>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</si>
  <si>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</si>
  <si>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</si>
  <si>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</si>
  <si>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</si>
  <si>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</si>
  <si>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</si>
  <si>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</si>
  <si>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</si>
  <si>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</si>
  <si>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</si>
  <si>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</si>
  <si>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</si>
  <si>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</si>
  <si>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</si>
  <si>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</si>
  <si>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</si>
  <si>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</si>
  <si>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</si>
  <si>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</si>
  <si>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</si>
  <si>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</si>
  <si>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</si>
  <si>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</si>
  <si>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</si>
  <si>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</si>
  <si>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</si>
  <si>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</si>
  <si>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</si>
  <si>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</si>
  <si>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</si>
  <si>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</si>
  <si>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</si>
  <si>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</si>
  <si>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</si>
  <si>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</si>
  <si>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</si>
  <si>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</si>
  <si>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</si>
  <si>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</si>
  <si>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</si>
  <si>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</si>
  <si>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</si>
  <si>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</si>
  <si>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</si>
  <si>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</si>
  <si>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</si>
  <si>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</si>
  <si>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</si>
  <si>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</si>
  <si>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</si>
  <si>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</si>
  <si>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</si>
  <si>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</si>
  <si>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</si>
  <si>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</si>
  <si>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</si>
  <si>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</si>
  <si>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</si>
  <si>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</si>
  <si>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</si>
  <si>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</si>
  <si>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</si>
  <si>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</si>
  <si>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</si>
  <si>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</si>
  <si>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</si>
  <si>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</si>
  <si>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</si>
  <si>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</si>
  <si>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</si>
  <si>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</si>
  <si>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</si>
  <si>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</si>
  <si>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</si>
  <si>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</si>
  <si>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</si>
  <si>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</si>
  <si>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</si>
  <si>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</si>
  <si>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</si>
  <si>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</si>
  <si>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</si>
  <si>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</si>
  <si>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</si>
  <si>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</si>
  <si>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</si>
  <si>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</si>
  <si>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</si>
  <si>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</si>
  <si>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</si>
  <si>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</si>
  <si>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</si>
  <si>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</si>
  <si>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</si>
  <si>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</si>
  <si>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</si>
  <si>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</si>
  <si>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</si>
  <si>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</si>
  <si>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</si>
  <si>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</si>
  <si>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</si>
  <si>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</si>
  <si>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</si>
  <si>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</si>
  <si>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</si>
  <si>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</si>
  <si>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</si>
  <si>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</si>
  <si>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</si>
  <si>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</si>
  <si>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</si>
  <si>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</si>
  <si>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</si>
  <si>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</si>
  <si>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</si>
  <si>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</si>
  <si>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</si>
  <si>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</si>
  <si>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</si>
  <si>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</si>
  <si>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</si>
  <si>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</si>
  <si>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</si>
  <si>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</si>
  <si>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</si>
  <si>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</si>
  <si>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</si>
  <si>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</si>
  <si>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</si>
  <si>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</si>
  <si>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</si>
  <si>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</si>
  <si>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</si>
  <si>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</si>
  <si>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</si>
  <si>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</si>
  <si>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</si>
  <si>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</si>
  <si>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</si>
  <si>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</si>
  <si>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</si>
  <si>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</si>
  <si>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</si>
  <si>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</si>
  <si>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</si>
  <si>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</si>
  <si>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</si>
  <si>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</si>
  <si>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</si>
  <si>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</si>
  <si>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</si>
  <si>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</si>
  <si>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</si>
  <si>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</si>
  <si>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</si>
  <si>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</si>
  <si>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</si>
  <si>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</si>
  <si>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</si>
  <si>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</si>
  <si>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</si>
  <si>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</si>
  <si>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</si>
  <si>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</si>
  <si>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</si>
  <si>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</si>
  <si>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</si>
  <si>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</si>
  <si>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</si>
  <si>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</si>
  <si>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</si>
  <si>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</si>
  <si>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</si>
  <si>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</si>
  <si>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</si>
  <si>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</si>
  <si>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</si>
  <si>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</si>
  <si>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</si>
  <si>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</si>
  <si>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</si>
  <si>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</si>
  <si>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</si>
  <si>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</si>
  <si>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</si>
  <si>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</si>
  <si>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</si>
  <si>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</si>
  <si>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</si>
  <si>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</si>
  <si>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</si>
  <si>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</si>
  <si>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</si>
  <si>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</si>
  <si>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</si>
  <si>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</si>
  <si>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</si>
  <si>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</si>
  <si>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</si>
  <si>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</si>
  <si>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</si>
  <si>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</si>
  <si>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</si>
  <si>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</si>
  <si>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</si>
  <si>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</si>
  <si>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</si>
  <si>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</si>
  <si>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</si>
  <si>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</si>
  <si>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</si>
  <si>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</si>
  <si>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</si>
  <si>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</si>
  <si>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</si>
  <si>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</si>
  <si>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</si>
  <si>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</si>
  <si>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</si>
  <si>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</si>
  <si>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</si>
  <si>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</si>
  <si>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</si>
  <si>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</si>
  <si>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</si>
  <si>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</si>
  <si>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</si>
  <si>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</si>
  <si>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</si>
  <si>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</si>
  <si>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</si>
  <si>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</si>
  <si>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</si>
  <si>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</si>
  <si>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</si>
  <si>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</si>
  <si>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</si>
  <si>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</si>
  <si>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</si>
  <si>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</si>
  <si>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</si>
  <si>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</si>
  <si>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</si>
  <si>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</si>
  <si>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</si>
  <si>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</si>
  <si>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</si>
  <si>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</si>
  <si>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</si>
  <si>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</si>
  <si>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</si>
  <si>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</si>
  <si>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</si>
  <si>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</si>
  <si>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</si>
  <si>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</si>
  <si>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</si>
  <si>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</si>
  <si>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</si>
  <si>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</si>
  <si>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</si>
  <si>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</si>
  <si>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</si>
  <si>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</si>
  <si>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</si>
  <si>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</si>
  <si>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</si>
  <si>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</si>
  <si>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</si>
  <si>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</si>
  <si>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</si>
  <si>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</si>
  <si>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</si>
  <si>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</si>
  <si>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</si>
  <si>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</si>
  <si>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</si>
  <si>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</si>
  <si>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</si>
  <si>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</si>
  <si>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</si>
  <si>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</si>
  <si>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</si>
  <si>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</si>
  <si>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</si>
  <si>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</si>
  <si>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</si>
  <si>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</si>
  <si>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</si>
  <si>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</si>
  <si>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</si>
  <si>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</si>
  <si>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</si>
  <si>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</si>
  <si>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</si>
  <si>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</si>
  <si>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</si>
  <si>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</si>
  <si>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</si>
  <si>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</si>
  <si>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</si>
  <si>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</si>
  <si>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</si>
  <si>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</si>
  <si>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</si>
  <si>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</si>
  <si>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</si>
  <si>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</si>
  <si>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</si>
  <si>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</si>
  <si>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</si>
  <si>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</si>
  <si>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</si>
  <si>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</si>
  <si>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</si>
  <si>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</si>
  <si>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</si>
  <si>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</si>
  <si>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</si>
  <si>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</si>
  <si>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</si>
  <si>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</si>
  <si>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</si>
  <si>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</si>
  <si>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</si>
  <si>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</si>
  <si>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</si>
  <si>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</si>
  <si>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</si>
  <si>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</si>
  <si>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</si>
  <si>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</si>
  <si>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</si>
  <si>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</si>
  <si>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</si>
  <si>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</si>
  <si>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</si>
  <si>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</si>
  <si>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</si>
  <si>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</si>
  <si>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</si>
  <si>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</si>
  <si>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</si>
  <si>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</si>
  <si>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</si>
  <si>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</si>
  <si>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</si>
  <si>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</si>
  <si>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</si>
  <si>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</si>
  <si>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</si>
  <si>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</si>
  <si>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</si>
  <si>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</si>
  <si>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</si>
  <si>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</si>
  <si>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</si>
  <si>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</si>
  <si>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</si>
  <si>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</si>
  <si>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</si>
  <si>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</si>
  <si>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</si>
  <si>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</si>
  <si>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</si>
  <si>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</si>
  <si>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</si>
  <si>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</si>
  <si>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</si>
  <si>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</si>
  <si>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</si>
  <si>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</si>
  <si>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</si>
  <si>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</si>
  <si>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</si>
  <si>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</si>
  <si>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</si>
  <si>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</si>
  <si>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</si>
  <si>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</si>
  <si>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</si>
  <si>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</si>
  <si>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</si>
  <si>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</si>
  <si>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</si>
  <si>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</si>
  <si>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</si>
  <si>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</si>
  <si>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</si>
  <si>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</si>
  <si>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</si>
  <si>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</si>
  <si>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</si>
  <si>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</si>
  <si>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</si>
  <si>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</si>
  <si>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</si>
  <si>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</si>
  <si>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</si>
  <si>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</si>
  <si>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</si>
  <si>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</si>
  <si>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</si>
  <si>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</si>
  <si>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</si>
  <si>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</si>
  <si>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</si>
  <si>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</si>
  <si>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</si>
  <si>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</si>
  <si>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</si>
  <si>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</si>
  <si>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</si>
  <si>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</si>
  <si>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</si>
  <si>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</si>
  <si>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</si>
  <si>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</si>
  <si>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</si>
  <si>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</si>
  <si>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</si>
  <si>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</si>
  <si>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</si>
  <si>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</si>
  <si>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</si>
  <si>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</si>
  <si>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</si>
  <si>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</si>
  <si>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</si>
  <si>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</si>
  <si>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</si>
  <si>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Iknv-185</t>
  </si>
  <si>
    <t>شجره بونسيانا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</si>
</sst>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2.5</v>
      </c>
      <c r="E194" s="124">
        <f>IFERROR(INDEX('كشف الحساب'!$D$4:$D$254,MATCH(189,'كشف الحساب'!$P$4:$P$254,0)),"")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الحساب'!$A$4:$A$254,MATCH(191,'كشف الحساب'!$P$4:$P$254,0)),"")</f>
        <v>46284</v>
      </c>
      <c r="B196" s="122">
        <f>IFERROR(INDEX('كشف الحساب'!$B$4:$B$254,MATCH(191,'كشف الحساب'!$P$4:$P$254,0)),"")</f>
        <v>0</v>
      </c>
      <c r="C196" s="121" t="str">
        <f>IFERROR(INDEX('كشف الحساب'!$C$4:$C$254,MATCH(191,'كشف الحساب'!$P$4:$P$254,0)),"")</f>
        <v>طربال اسود</v>
      </c>
      <c r="D196" s="123">
        <f>IFERROR(INDEX('كشف الحساب'!$E$4:$E$254,MATCH(191,'كشف الحساب'!$P$4:$P$254,0)),"")</f>
        <v>0</v>
      </c>
      <c r="E196" s="124">
        <f>IFERROR(INDEX('كشف الحساب'!$D$4:$D$254,MATCH(191,'كشف الحساب'!$P$4:$P$254,0)),"")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الحساب'!$A$4:$A$254,MATCH(192,'كشف الحساب'!$P$4:$P$254,0)),"")</f>
        <v>46284</v>
      </c>
      <c r="B197" s="122" t="str">
        <f>IFERROR(INDEX('كشف الحساب'!$B$4:$B$254,MATCH(192,'كشف الحساب'!$P$4:$P$254,0)),"")</f>
        <v>Inv-160</v>
      </c>
      <c r="C197" s="121" t="str">
        <f>IFERROR(INDEX('كشف الحساب'!$C$4:$C$254,MATCH(192,'كشف الحساب'!$P$4:$P$254,0)),"")</f>
        <v>التهاني</v>
      </c>
      <c r="D197" s="123">
        <f>IFERROR(INDEX('كشف الحساب'!$E$4:$E$254,MATCH(192,'كشف الحساب'!$P$4:$P$254,0)),"")</f>
        <v>243</v>
      </c>
      <c r="E197" s="124">
        <f>IFERROR(INDEX('كشف الحساب'!$D$4:$D$254,MATCH(192,'كشف الحساب'!$P$4:$P$254,0)),"")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الحساب'!$A$4:$A$254,MATCH(193,'كشف الحساب'!$P$4:$P$254,0)),"")</f>
        <v>46284</v>
      </c>
      <c r="B198" s="122">
        <f>IFERROR(INDEX('كشف الحساب'!$B$4:$B$254,MATCH(193,'كشف الحساب'!$P$4:$P$254,0)),"")</f>
        <v>0</v>
      </c>
      <c r="C198" s="121" t="str">
        <f>IFERROR(INDEX('كشف الحساب'!$C$4:$C$254,MATCH(193,'كشف الحساب'!$P$4:$P$254,0)),"")</f>
        <v>صبار اوليفيرا عدد 25 الحبه 0.750</v>
      </c>
      <c r="D198" s="123">
        <f>IFERROR(INDEX('كشف الحساب'!$E$4:$E$254,MATCH(193,'كشف الحساب'!$P$4:$P$254,0)),"")</f>
        <v>0</v>
      </c>
      <c r="E198" s="124">
        <f>IFERROR(INDEX('كشف الحساب'!$D$4:$D$254,MATCH(193,'كشف الحساب'!$P$4:$P$254,0)),"")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الحساب'!$A$4:$A$254,MATCH(194,'كشف الحساب'!$P$4:$P$254,0)),"")</f>
        <v>46286</v>
      </c>
      <c r="B199" s="122">
        <f>IFERROR(INDEX('كشف الحساب'!$B$4:$B$254,MATCH(194,'كشف الحساب'!$P$4:$P$254,0)),"")</f>
        <v>0</v>
      </c>
      <c r="C199" s="121" t="str">
        <f>IFERROR(INDEX('كشف الحساب'!$C$4:$C$254,MATCH(194,'كشف الحساب'!$P$4:$P$254,0)),"")</f>
        <v>احواض عدد 1000 مقاس 14 سم</v>
      </c>
      <c r="D199" s="123">
        <f>IFERROR(INDEX('كشف الحساب'!$E$4:$E$254,MATCH(194,'كشف الحساب'!$P$4:$P$254,0)),"")</f>
        <v>0</v>
      </c>
      <c r="E199" s="124">
        <f>IFERROR(INDEX('كشف الحساب'!$D$4:$D$254,MATCH(194,'كشف الحساب'!$P$4:$P$254,0)),"")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الحساب'!$A$4:$A$254,MATCH(195,'كشف الحساب'!$P$4:$P$254,0)),"")</f>
        <v>46286</v>
      </c>
      <c r="B200" s="122" t="str">
        <f>IFERROR(INDEX('كشف الحساب'!$B$4:$B$254,MATCH(195,'كشف الحساب'!$P$4:$P$254,0)),"")</f>
        <v>Inv-161</v>
      </c>
      <c r="C200" s="121" t="str">
        <f>IFERROR(INDEX('كشف الحساب'!$C$4:$C$254,MATCH(195,'كشف الحساب'!$P$4:$P$254,0)),"")</f>
        <v>متنوع</v>
      </c>
      <c r="D200" s="123">
        <f>IFERROR(INDEX('كشف الحساب'!$E$4:$E$254,MATCH(195,'كشف الحساب'!$P$4:$P$254,0)),"")</f>
        <v>1.5</v>
      </c>
      <c r="E200" s="124">
        <f>IFERROR(INDEX('كشف الحساب'!$D$4:$D$254,MATCH(195,'كشف الحساب'!$P$4:$P$254,0)),"")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الحساب'!$A$4:$A$254,MATCH(196,'كشف الحساب'!$P$4:$P$254,0)),"")</f>
        <v>46286</v>
      </c>
      <c r="B201" s="122" t="str">
        <f>IFERROR(INDEX('كشف الحساب'!$B$4:$B$254,MATCH(196,'كشف الحساب'!$P$4:$P$254,0)),"")</f>
        <v>Inv-162</v>
      </c>
      <c r="C201" s="121" t="str">
        <f>IFERROR(INDEX('كشف الحساب'!$C$4:$C$254,MATCH(196,'كشف الحساب'!$P$4:$P$254,0)),"")</f>
        <v>متنوع</v>
      </c>
      <c r="D201" s="123">
        <f>IFERROR(INDEX('كشف الحساب'!$E$4:$E$254,MATCH(196,'كشف الحساب'!$P$4:$P$254,0)),"")</f>
        <v>1</v>
      </c>
      <c r="E201" s="124">
        <f>IFERROR(INDEX('كشف الحساب'!$D$4:$D$254,MATCH(196,'كشف الحساب'!$P$4:$P$254,0)),"")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الحساب'!$A$4:$A$254,MATCH(197,'كشف الحساب'!$P$4:$P$254,0)),"")</f>
        <v>46286</v>
      </c>
      <c r="B202" s="122" t="str">
        <f>IFERROR(INDEX('كشف الحساب'!$B$4:$B$254,MATCH(197,'كشف الحساب'!$P$4:$P$254,0)),"")</f>
        <v>Inv-163</v>
      </c>
      <c r="C202" s="121" t="str">
        <f>IFERROR(INDEX('كشف الحساب'!$C$4:$C$254,MATCH(197,'كشف الحساب'!$P$4:$P$254,0)),"")</f>
        <v>دارسينا اخضر عدد1 القيمه 2.500</v>
      </c>
      <c r="D202" s="123">
        <f>IFERROR(INDEX('كشف الحساب'!$E$4:$E$254,MATCH(197,'كشف الحساب'!$P$4:$P$254,0)),"")</f>
        <v>2.5</v>
      </c>
      <c r="E202" s="124">
        <f>IFERROR(INDEX('كشف الحساب'!$D$4:$D$254,MATCH(197,'كشف الحساب'!$P$4:$P$254,0)),"")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الحساب'!$A$4:$A$254,MATCH(198,'كشف الحساب'!$P$4:$P$254,0)),"")</f>
        <v>46286</v>
      </c>
      <c r="B203" s="122" t="str">
        <f>IFERROR(INDEX('كشف الحساب'!$B$4:$B$254,MATCH(198,'كشف الحساب'!$P$4:$P$254,0)),"")</f>
        <v>Inv-164</v>
      </c>
      <c r="C203" s="121" t="str">
        <f>IFERROR(INDEX('كشف الحساب'!$C$4:$C$254,MATCH(198,'كشف الحساب'!$P$4:$P$254,0)),"")</f>
        <v>دارسينا اسودعدد 29 الحبه 2.500</v>
      </c>
      <c r="D203" s="123">
        <f>IFERROR(INDEX('كشف الحساب'!$E$4:$E$254,MATCH(198,'كشف الحساب'!$P$4:$P$254,0)),"")</f>
        <v>72.5</v>
      </c>
      <c r="E203" s="124">
        <f>IFERROR(INDEX('كشف الحساب'!$D$4:$D$254,MATCH(198,'كشف الحساب'!$P$4:$P$254,0)),"")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الحساب'!$A$4:$A$254,MATCH(199,'كشف الحساب'!$P$4:$P$254,0)),"")</f>
        <v>46286</v>
      </c>
      <c r="B204" s="122" t="str">
        <f>IFERROR(INDEX('كشف الحساب'!$B$4:$B$254,MATCH(199,'كشف الحساب'!$P$4:$P$254,0)),"")</f>
        <v>Inv-165</v>
      </c>
      <c r="C204" s="121" t="str">
        <f>IFERROR(INDEX('كشف الحساب'!$C$4:$C$254,MATCH(199,'كشف الحساب'!$P$4:$P$254,0)),"")</f>
        <v>متنوع</v>
      </c>
      <c r="D204" s="123">
        <f>IFERROR(INDEX('كشف الحساب'!$E$4:$E$254,MATCH(199,'كشف الحساب'!$P$4:$P$254,0)),"")</f>
        <v>1.5</v>
      </c>
      <c r="E204" s="124">
        <f>IFERROR(INDEX('كشف الحساب'!$D$4:$D$254,MATCH(199,'كشف الحساب'!$P$4:$P$254,0)),"")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الحساب'!$A$4:$A$254,MATCH(200,'كشف الحساب'!$P$4:$P$254,0)),"")</f>
        <v>46287</v>
      </c>
      <c r="B205" s="122" t="str">
        <f>IFERROR(INDEX('كشف الحساب'!$B$4:$B$254,MATCH(200,'كشف الحساب'!$P$4:$P$254,0)),"")</f>
        <v>Inv-166</v>
      </c>
      <c r="C205" s="121" t="str">
        <f>IFERROR(INDEX('كشف الحساب'!$C$4:$C$254,MATCH(200,'كشف الحساب'!$P$4:$P$254,0)),"")</f>
        <v>صبار عدد 60 الحبه .750</v>
      </c>
      <c r="D205" s="123">
        <f>IFERROR(INDEX('كشف الحساب'!$E$4:$E$254,MATCH(200,'كشف الحساب'!$P$4:$P$254,0)),"")</f>
        <v>45</v>
      </c>
      <c r="E205" s="124">
        <f>IFERROR(INDEX('كشف الحساب'!$D$4:$D$254,MATCH(200,'كشف الحساب'!$P$4:$P$254,0)),"")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zoomScaleNormal="100" workbookViewId="0">
      <pane ySplit="3" topLeftCell="A239" activePane="bottomLeft" state="frozen"/>
      <selection pane="bottomLeft" activeCell="H250" sqref="H250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IFERROR(IF(J214="",D2,J214),D2)+IF(E215="",0,E215)-IF(OR(G215="أبو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IFERROR(IF(J215="",D2,J215),D2)+IF(E216="",0,E216)-IF(OR(G216="أبو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IFERROR(IF(J216="",D2,J216),D2)+IF(E217="",0,E217)-IF(OR(G217="أبو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IFERROR(IF(J217="",D2,J217),D2)+IF(E218="",0,E218)-IF(OR(G218="أبو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IFERROR(IF(J218="",D2,J218),D2)+IF(E219="",0,E219)-IF(OR(G219="أبو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IFERROR(IF(J219="",D2,J219),D2)+IF(E220="",0,E220)-IF(OR(G220="أبو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IFERROR(IF(J220="",D2,J220),D2)+IF(E221="",0,E221)-IF(OR(G221="أبو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IFERROR(IF(J221="",D2,J221),D2)+IF(E222="",0,E222)-IF(OR(G222="أبو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IFERROR(IF(J222="",D2,J222),D2)+IF(E223="",0,E223)-IF(OR(G223="أبو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IFERROR(IF(J223="",D2,J223),D2)+IF(E224="",0,E224)-IF(OR(G224="أبو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IFERROR(IF(J224="",D2,J224),D2)+IF(E225="",0,E225)-IF(OR(G225="أبو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IFERROR(IF(J225="",D2,J225),D2)+IF(E226="",0,E226)-IF(OR(G226="أبو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IFERROR(IF(J226="",D2,J226),D2)+IF(E227="",0,E227)-IF(OR(G227="أبو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IFERROR(IF(J227="",D2,J227),D2)+IF(E228="",0,E228)-IF(OR(G228="أبو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IFERROR(IF(J228="",D2,J228),D2)+IF(E229="",0,E229)-IF(OR(G229="أبو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IFERROR(IF(J229="",D2,J229),D2)+IF(E230="",0,E230)-IF(OR(G230="أبو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IFERROR(IF(J230="",D2,J230),D2)+IF(E231="",0,E231)-IF(OR(G231="أبو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IFERROR(IF(J231="",D2,J231),D2)+IF(E232="",0,E232)-IF(OR(G232="أبو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IFERROR(IF(J232="",D2,J232),D2)+IF(E233="",0,E233)-IF(OR(G233="أبو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IFERROR(IF(J233="",D2,J233),D2)+IF(E234="",0,E234)-IF(OR(G234="أبو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IFERROR(IF(J234="",D2,J234),D2)+IF(E235="",0,E235)-IF(OR(G235="أبو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IFERROR(IF(J235="",D2,J235),D2)+IF(E236="",0,E236)-IF(OR(G236="أبو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IFERROR(IF(J236="",D2,J236),D2)+IF(E237="",0,E237)-IF(OR(G237="أبو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IFERROR(IF(J237="",D2,J237),D2)+IF(E238="",0,E238)-IF(OR(G238="أبو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IFERROR(IF(J238="",D2,J238),D2)+IF(E239="",0,E239)-IF(OR(G239="أبو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IFERROR(IF(J239="",D2,J239),D2)+IF(E240="",0,E240)-IF(OR(G240="أبو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IFERROR(IF(J240="",D2,J240),D2)+IF(E241="",0,E241)-IF(OR(G241="أبو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IFERROR(IF(J241="",D2,J241),D2)+IF(E242="",0,E242)-IF(OR(G242="أبو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IFERROR(IF(J242="",D2,J242),D2)+IF(E243="",0,E243)-IF(OR(G243="أبو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IFERROR(IF(J243="",D2,J243),D2)+IF(E244="",0,E244)-IF(OR(G244="أبو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IFERROR(IF(J244="",D2,J244),D2)+IF(E245="",0,E245)-IF(OR(G245="أبو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IFERROR(IF(J245="",D2,J245),D2)+IF(E246="",0,E246)-IF(OR(G246="أبو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38</v>
      </c>
      <c r="G247" s="31"/>
      <c r="H247" s="32" t="s">
        <v>50</v>
      </c>
      <c r="I247" s="33"/>
      <c r="J247" s="34">
        <f>IF(AND(D247="",E247="",A247="",B247="",C247=""),"", IFERROR(IF(J246="",D2,J246),D2)+IF(E247="",0,E247)-IF(OR(G247="أبو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50</v>
      </c>
      <c r="I248" s="42"/>
      <c r="J248" s="43">
        <f>IF(AND(D248="",E248="",A248="",B248="",C248=""),"", IFERROR(IF(J247="",D2,J247),D2)+IF(E248="",0,E248)-IF(OR(G248="أبو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IFERROR(IF(J248="",D2,J248),D2)+IF(E249="",0,E249)-IF(OR(G249="أبو اسحاق",G249="أبو آدم",G249="أبو اسحاق ",G249="أبو آدم "),0,IF(D249="",0,D249)))</f>
        <v>1349.0450000000001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511</v>
      </c>
      <c r="C250" s="37" t="s">
        <v>512</v>
      </c>
      <c r="D250" s="38"/>
      <c r="E250" s="39">
        <v>10</v>
      </c>
      <c r="F250" s="136" t="s">
        <v>38</v>
      </c>
      <c r="G250" s="40"/>
      <c r="H250" s="41" t="s">
        <v>40</v>
      </c>
      <c r="I250" s="42"/>
      <c r="J250" s="43">
        <f>IF(AND(D250="",E250="",A250="",B250="",C250=""),"", IFERROR(IF(J249="",D2,J249),D2)+IF(E250="",0,E250)-IF(OR(G250="أبو اسحاق",G250="أبو آدم",G250="أبو اسحاق ",G250="أبو آدم "),0,IF(D250="",0,D250)))</f>
        <v>1359.0450000000001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/>
      <c r="B251" s="26"/>
      <c r="C251" s="27"/>
      <c r="D251" s="28"/>
      <c r="E251" s="29"/>
      <c r="F251" s="30"/>
      <c r="G251" s="31"/>
      <c r="H251" s="32"/>
      <c r="I251" s="33"/>
      <c r="J251" s="34" t="str">
        <f>IF(AND(D251="",E251="",A251="",B251="",C251=""),"", IFERROR(IF(J250="",D2,J250),D2)+IF(E251="",0,E251)-IF(OR(G251="أبو اسحاق",G251="أبو آدم",G251="أبو اسحاق ",G251="أبو آدم "),0,IF(D251="",0,D251)))</f>
        <v/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 t="str">
        <f>IF(OR($A251="",$F251="أحد الشركاء",AND($D251="",$E251="")),"",SUMPRODUCT(($A$4:$A251&lt;&gt;"")*($F$4:$F251&lt;&gt;"أحد الشركاء")*((($D$4:$D251&lt;&gt;"")+($E$4:$E251&lt;&gt;""))&gt;0)))</f>
        <v/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/>
      <c r="B252" s="36"/>
      <c r="C252" s="37"/>
      <c r="D252" s="38"/>
      <c r="E252" s="39"/>
      <c r="F252" s="136"/>
      <c r="G252" s="40"/>
      <c r="H252" s="41"/>
      <c r="I252" s="42"/>
      <c r="J252" s="43" t="str">
        <f>IF(AND(D252="",E252="",A252="",B252="",C252=""),"", IFERROR(IF(J251="",D2,J251),D2)+IF(E252="",0,E252)-IF(OR(G252="أبو اسحاق",G252="أبو آدم",G252="أبو اسحاق ",G252="أبو آدم "),0,IF(D252="",0,D252)))</f>
        <v/>
      </c>
      <c r="K252" s="44"/>
      <c r="L252" t="str">
        <f>IF(E251&gt;0,COUNTIF($E$4:E251,"&gt;0"),"")</f>
        <v/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 t="str">
        <f>IF(OR($A252="",$F252="أحد الشركاء",AND($D252="",$E252="")),"",SUMPRODUCT(($A$4:$A252&lt;&gt;"")*($F$4:$F252&lt;&gt;"أحد الشركاء")*((($D$4:$D252&lt;&gt;"")+($E$4:$E252&lt;&gt;""))&gt;0)))</f>
        <v/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 t="str">
        <f>IF(AND(D252&gt;0,G252="المحفظة"),COUNTIFS($D$4:D252,"&gt;"&amp;0,$G$4:G252,"المحفظة"),"")</f>
        <v/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4419.8950000000004</v>
      </c>
      <c r="E255" s="46">
        <f>SUM(E4:E253)</f>
        <v>3997.44</v>
      </c>
      <c r="F255" s="140">
        <f>COUNTIF(H4:H253,"معلق")</f>
        <v>13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9">
    <mergeCell ref="F254:H254"/>
    <mergeCell ref="A2:C2"/>
    <mergeCell ref="E2:K2"/>
    <mergeCell ref="A1:K1"/>
    <mergeCell ref="A254:C254"/>
    <mergeCell ref="K189:K193"/>
    <mergeCell ref="K209:K214"/>
    <mergeCell ref="K219:K223"/>
    <mergeCell ref="K227:K230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79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9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1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1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0">
        <f>SUM(E5:E107)</f>
        <v>0</v>
      </c>
      <c r="F108" s="161"/>
      <c r="G108" s="162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2026-10-04T06:28:55Z</dcterms:modified>
  <dc:language>en-US</dc:language>
</cp:coreProperties>
</file>