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8383E9E7-8B68-492B-9C6C-1D1DB4A8655E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N143" i="2"/>
  <c r="M143" i="2"/>
  <c r="L143" i="2"/>
  <c r="J143" i="2"/>
  <c r="Q142" i="2"/>
  <c r="P142" i="2"/>
  <c r="O142" i="2"/>
  <c r="N142" i="2"/>
  <c r="M142" i="2"/>
  <c r="L142" i="2"/>
  <c r="J142" i="2"/>
  <c r="Q141" i="2"/>
  <c r="P141" i="2"/>
  <c r="O141" i="2"/>
  <c r="N141" i="2"/>
  <c r="M141" i="2"/>
  <c r="L141" i="2"/>
  <c r="J141" i="2"/>
  <c r="Q140" i="2"/>
  <c r="P140" i="2"/>
  <c r="O140" i="2"/>
  <c r="N140" i="2"/>
  <c r="M140" i="2"/>
  <c r="L140" i="2"/>
  <c r="J140" i="2"/>
  <c r="Q139" i="2"/>
  <c r="P139" i="2"/>
  <c r="O139" i="2"/>
  <c r="N139" i="2"/>
  <c r="M139" i="2"/>
  <c r="L139" i="2"/>
  <c r="J139" i="2"/>
  <c r="Q138" i="2"/>
  <c r="P138" i="2"/>
  <c r="O138" i="2"/>
  <c r="N138" i="2"/>
  <c r="M138" i="2"/>
  <c r="L138" i="2"/>
  <c r="J138" i="2"/>
  <c r="Q137" i="2"/>
  <c r="P137" i="2"/>
  <c r="O137" i="2"/>
  <c r="N137" i="2"/>
  <c r="M137" i="2"/>
  <c r="L137" i="2"/>
  <c r="J137" i="2"/>
  <c r="Q136" i="2"/>
  <c r="P136" i="2"/>
  <c r="O136" i="2"/>
  <c r="N136" i="2"/>
  <c r="M136" i="2"/>
  <c r="L136" i="2"/>
  <c r="J136" i="2"/>
  <c r="Q135" i="2"/>
  <c r="P135" i="2"/>
  <c r="O135" i="2"/>
  <c r="N135" i="2"/>
  <c r="M135" i="2"/>
  <c r="L135" i="2"/>
  <c r="J135" i="2"/>
  <c r="Q134" i="2"/>
  <c r="P134" i="2"/>
  <c r="O134" i="2"/>
  <c r="N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N131" i="2"/>
  <c r="M131" i="2"/>
  <c r="L131" i="2"/>
  <c r="J131" i="2"/>
  <c r="Q130" i="2"/>
  <c r="P130" i="2"/>
  <c r="O130" i="2"/>
  <c r="N130" i="2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F129" i="1" s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F117" i="1" s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F121" i="1" s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F128" i="1" s="1"/>
  <c r="B127" i="1"/>
  <c r="C126" i="1"/>
  <c r="D125" i="1"/>
  <c r="E124" i="1"/>
  <c r="A124" i="1"/>
  <c r="F124" i="1" s="1"/>
  <c r="B123" i="1"/>
  <c r="C122" i="1"/>
  <c r="D121" i="1"/>
  <c r="E120" i="1"/>
  <c r="A120" i="1"/>
  <c r="F120" i="1" s="1"/>
  <c r="B119" i="1"/>
  <c r="C118" i="1"/>
  <c r="D117" i="1"/>
  <c r="E116" i="1"/>
  <c r="A116" i="1"/>
  <c r="F116" i="1" s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F127" i="1" s="1"/>
  <c r="B126" i="1"/>
  <c r="C125" i="1"/>
  <c r="D124" i="1"/>
  <c r="E123" i="1"/>
  <c r="A123" i="1"/>
  <c r="F123" i="1" s="1"/>
  <c r="B122" i="1"/>
  <c r="C121" i="1"/>
  <c r="D120" i="1"/>
  <c r="E119" i="1"/>
  <c r="A119" i="1"/>
  <c r="F119" i="1" s="1"/>
  <c r="B118" i="1"/>
  <c r="C117" i="1"/>
  <c r="D116" i="1"/>
  <c r="E115" i="1"/>
  <c r="A115" i="1"/>
  <c r="F115" i="1" s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F130" i="1" s="1"/>
  <c r="B129" i="1"/>
  <c r="C128" i="1"/>
  <c r="D127" i="1"/>
  <c r="E126" i="1"/>
  <c r="A126" i="1"/>
  <c r="F126" i="1" s="1"/>
  <c r="B125" i="1"/>
  <c r="C124" i="1"/>
  <c r="D123" i="1"/>
  <c r="E122" i="1"/>
  <c r="A122" i="1"/>
  <c r="F122" i="1" s="1"/>
  <c r="B121" i="1"/>
  <c r="C120" i="1"/>
  <c r="D119" i="1"/>
  <c r="E118" i="1"/>
  <c r="A118" i="1"/>
  <c r="F118" i="1" s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F125" i="1" s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C37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37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E37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<sst xmlns="http://schemas.openxmlformats.org/spreadsheetml/2006/main" count="726" uniqueCount="324">
  <si>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</si>
  <si>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</si>
  <si>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</si>
  <si>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</si>
  <si>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</si>
  <si>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</si>
  <si>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</si>
  <si>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</si>
  <si>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</si>
  <si>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</si>
  <si>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</si>
  <si>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</si>
  <si>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</si>
  <si>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</si>
  <si>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</si>
  <si>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</si>
  <si>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</si>
  <si>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</si>
  <si>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</si>
  <si>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</si>
  <si>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</si>
  <si>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</si>
  <si>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</si>
  <si>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</si>
  <si>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</si>
  <si>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</si>
  <si>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</si>
  <si>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</si>
  <si>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</si>
  <si>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</si>
  <si>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</si>
  <si>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</si>
  <si>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</si>
  <si>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</si>
  <si>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</si>
  <si>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</si>
  <si>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</si>
  <si>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</si>
  <si>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</si>
  <si>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</si>
  <si>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</si>
  <si>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</si>
  <si>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</si>
  <si>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</si>
  <si>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</si>
  <si>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</si>
  <si>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</si>
  <si>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</si>
  <si>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</si>
  <si>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</si>
  <si>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</si>
  <si>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</si>
  <si>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</si>
  <si>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</si>
  <si>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</si>
  <si>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</si>
  <si>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</si>
  <si>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</si>
  <si>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</si>
  <si>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</si>
  <si>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</si>
  <si>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</si>
  <si>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</si>
  <si>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</si>
  <si>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</si>
  <si>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</si>
  <si>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</si>
  <si>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</si>
  <si>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</si>
  <si>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</si>
  <si>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</si>
  <si>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</si>
  <si>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</si>
  <si>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</si>
  <si>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</si>
  <si>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</si>
  <si>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</si>
  <si>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</si>
  <si>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</si>
  <si>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</si>
  <si>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</si>
  <si>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</si>
  <si>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</si>
  <si>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</si>
  <si>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</si>
  <si>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</si>
  <si>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</si>
  <si>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</si>
  <si>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</si>
  <si>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</si>
  <si>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</si>
  <si>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</si>
  <si>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</si>
  <si>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</si>
  <si>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</si>
  <si>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</si>
  <si>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</si>
  <si>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</si>
  <si>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</si>
  <si>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</si>
  <si>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</si>
  <si>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</si>
  <si>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</si>
  <si>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</si>
  <si>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</si>
  <si>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</si>
  <si>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</si>
  <si>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</si>
  <si>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</si>
  <si>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</si>
  <si>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</si>
  <si>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</si>
  <si>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</si>
  <si>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</si>
  <si>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</si>
  <si>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</si>
  <si>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</si>
  <si>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</si>
  <si>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</si>
  <si>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</si>
  <si>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</si>
  <si>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</si>
  <si>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</si>
  <si>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</si>
  <si>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</si>
  <si>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</si>
  <si>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</si>
  <si>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</si>
  <si>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</si>
  <si>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</si>
  <si>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</si>
  <si>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</si>
  <si>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</si>
  <si>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</si>
  <si>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</si>
  <si>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</si>
  <si>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</si>
  <si>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</si>
  <si>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</si>
  <si>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</si>
  <si>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</si>
  <si>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</si>
  <si>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</si>
  <si>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</si>
  <si>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</si>
  <si>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</si>
  <si>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</si>
  <si>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</si>
  <si>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</si>
  <si>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</si>
  <si>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</si>
  <si>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</si>
  <si>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</si>
  <si>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</si>
  <si>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</si>
  <si>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</si>
  <si>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</si>
  <si>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</si>
  <si>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</si>
  <si>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</si>
  <si>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</si>
  <si>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</si>
  <si>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</si>
  <si>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</si>
  <si>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</si>
  <si>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</si>
  <si>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</si>
  <si>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</si>
  <si>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</si>
  <si>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</si>
  <si>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</si>
  <si>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</si>
  <si>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</si>
  <si>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</si>
  <si>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</si>
  <si>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</si>
  <si>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</si>
  <si>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</si>
  <si>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</si>
  <si>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</si>
  <si>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</si>
  <si>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</si>
  <si>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</si>
  <si>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</si>
  <si>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</si>
  <si>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</si>
  <si>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</si>
  <si>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</si>
  <si>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</si>
  <si>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</si>
  <si>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</si>
  <si>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</si>
  <si>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</si>
  <si>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</si>
  <si>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</si>
  <si>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</si>
  <si>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</si>
  <si>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</si>
  <si>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</si>
  <si>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</si>
  <si>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</si>
  <si>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</si>
  <si>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</si>
  <si>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</si>
  <si>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</si>
  <si>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</si>
  <si>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</si>
  <si>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</si>
  <si>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</si>
  <si>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</si>
  <si>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</si>
  <si>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</si>
  <si>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</si>
  <si>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</si>
  <si>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</si>
  <si>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</si>
  <si>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</si>
  <si>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</si>
  <si>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</si>
  <si>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</si>
  <si>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</si>
  <si>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</si>
  <si>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</si>
  <si>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</si>
  <si>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</si>
  <si>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</si>
  <si>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</si>
  <si>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</si>
  <si>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</si>
  <si>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</si>
  <si>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</si>
  <si>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</si>
  <si>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</si>
  <si>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</si>
  <si>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</si>
  <si>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</si>
  <si>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</si>
  <si>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</si>
  <si>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</si>
  <si>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</si>
  <si>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</si>
  <si>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</si>
  <si>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</si>
  <si>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</si>
  <si>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</si>
  <si>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</si>
  <si>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</si>
  <si>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</si>
  <si>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</si>
  <si>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</si>
  <si>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</si>
  <si>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</si>
  <si>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</si>
  <si>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</si>
  <si>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</si>
  <si>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</si>
  <si>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يونيو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</si>
  <si>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</si>
  <si>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</si>
  <si>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</si>
  <si>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</si>
  <si>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</si>
  <si>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</si>
  <si>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</si>
  <si>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</si>
  <si>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</si>
  <si>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</si>
  <si>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</si>
  <si>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</si>
  <si>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</si>
  <si>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</si>
  <si>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</si>
  <si>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</si>
  <si>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</si>
  <si>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</si>
  <si>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</si>
  <si>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</si>
  <si>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</si>
  <si>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</si>
  <si>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</si>
  <si>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</si>
  <si>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</si>
  <si>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</si>
  <si>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</si>
  <si>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</si>
  <si>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</si>
  <si>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</si>
  <si>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</si>
  <si>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</si>
  <si>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</si>
  <si>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</si>
  <si>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</si>
  <si>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</si>
  <si>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</si>
  <si>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</si>
  <si>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</si>
  <si>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</si>
  <si>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</si>
  <si>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</si>
  <si>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</si>
  <si>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</si>
  <si>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</si>
  <si>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</si>
  <si>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</si>
  <si>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</si>
  <si>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</si>
  <si>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</si>
  <si>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</si>
  <si>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</si>
  <si>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</si>
  <si>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</si>
  <si>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</si>
  <si>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</si>
  <si>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</si>
  <si>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</si>
  <si>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</si>
  <si>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</si>
  <si>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</si>
  <si>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يوليو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</si>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</sst>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4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98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2" t="s">
        <v>0</v>
      </c>
      <c r="B1" s="149"/>
      <c r="C1" s="149"/>
      <c r="D1" s="149"/>
      <c r="E1" s="149"/>
      <c r="F1" s="150"/>
    </row>
    <row r="2" spans="1:6" ht="30" customHeight="1" x14ac:dyDescent="0.25">
      <c r="A2" s="151" t="s">
        <v>1</v>
      </c>
      <c r="B2" s="149"/>
      <c r="C2" s="149"/>
      <c r="D2" s="149"/>
      <c r="E2" s="150"/>
      <c r="F2" s="119">
        <f>F206</f>
        <v>112.80500000000001</v>
      </c>
    </row>
    <row r="3" spans="1:6" ht="6" customHeight="1" x14ac:dyDescent="0.25">
      <c r="A3" s="154"/>
      <c r="B3" s="149"/>
      <c r="C3" s="149"/>
      <c r="D3" s="149"/>
      <c r="E3" s="149"/>
      <c r="F3" s="150"/>
    </row>
    <row r="4" spans="1:6" ht="27.95" customHeight="1" x14ac:dyDescent="0.25">
      <c r="A4" s="153" t="s">
        <v>2</v>
      </c>
      <c r="B4" s="149"/>
      <c r="C4" s="149"/>
      <c r="D4" s="149"/>
      <c r="E4" s="149"/>
      <c r="F4" s="150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 t="str">
        <f>IFERROR(INDEX('كشف الحساب'!$A$4:$A$204,MATCH(110,'كشف الحساب'!$P$4:$P$204,0)),"")</f>
        <v/>
      </c>
      <c r="B115" s="122" t="str">
        <f>IFERROR(INDEX('كشف الحساب'!$B$4:$B$204,MATCH(110,'كشف الحساب'!$P$4:$P$204,0)),"")</f>
        <v/>
      </c>
      <c r="C115" s="121" t="str">
        <f>IFERROR(INDEX('كشف الحساب'!$C$4:$C$204,MATCH(110,'كشف الحساب'!$P$4:$P$204,0)),"")</f>
        <v/>
      </c>
      <c r="D115" s="123" t="str">
        <f>IFERROR(INDEX('كشف الحساب'!$E$4:$E$204,MATCH(110,'كشف الحساب'!$P$4:$P$204,0)),"")</f>
        <v/>
      </c>
      <c r="E115" s="124" t="str">
        <f>IFERROR(INDEX('كشف الحساب'!$D$4:$D$204,MATCH(110,'كشف الحساب'!$P$4:$P$204,0)),"")</f>
        <v/>
      </c>
      <c r="F115" s="125" t="str">
        <f t="shared" si="3"/>
        <v/>
      </c>
    </row>
    <row r="116" spans="1:6" ht="18" customHeight="1" x14ac:dyDescent="0.25">
      <c r="A116" s="142" t="str">
        <f>IFERROR(INDEX('كشف الحساب'!$A$4:$A$204,MATCH(111,'كشف الحساب'!$P$4:$P$204,0)),"")</f>
        <v/>
      </c>
      <c r="B116" s="122" t="str">
        <f>IFERROR(INDEX('كشف الحساب'!$B$4:$B$204,MATCH(111,'كشف الحساب'!$P$4:$P$204,0)),"")</f>
        <v/>
      </c>
      <c r="C116" s="121" t="str">
        <f>IFERROR(INDEX('كشف الحساب'!$C$4:$C$204,MATCH(111,'كشف الحساب'!$P$4:$P$204,0)),"")</f>
        <v/>
      </c>
      <c r="D116" s="123" t="str">
        <f>IFERROR(INDEX('كشف الحساب'!$E$4:$E$204,MATCH(111,'كشف الحساب'!$P$4:$P$204,0)),"")</f>
        <v/>
      </c>
      <c r="E116" s="124" t="str">
        <f>IFERROR(INDEX('كشف الحساب'!$D$4:$D$204,MATCH(111,'كشف الحساب'!$P$4:$P$204,0)),"")</f>
        <v/>
      </c>
      <c r="F116" s="125" t="str">
        <f t="shared" si="3"/>
        <v/>
      </c>
    </row>
    <row r="117" spans="1:6" ht="18" customHeight="1" x14ac:dyDescent="0.25">
      <c r="A117" s="142" t="str">
        <f>IFERROR(INDEX('كشف الحساب'!$A$4:$A$204,MATCH(112,'كشف الحساب'!$P$4:$P$204,0)),"")</f>
        <v/>
      </c>
      <c r="B117" s="122" t="str">
        <f>IFERROR(INDEX('كشف الحساب'!$B$4:$B$204,MATCH(112,'كشف الحساب'!$P$4:$P$204,0)),"")</f>
        <v/>
      </c>
      <c r="C117" s="121" t="str">
        <f>IFERROR(INDEX('كشف الحساب'!$C$4:$C$204,MATCH(112,'كشف الحساب'!$P$4:$P$204,0)),"")</f>
        <v/>
      </c>
      <c r="D117" s="123" t="str">
        <f>IFERROR(INDEX('كشف الحساب'!$E$4:$E$204,MATCH(112,'كشف الحساب'!$P$4:$P$204,0)),"")</f>
        <v/>
      </c>
      <c r="E117" s="124" t="str">
        <f>IFERROR(INDEX('كشف الحساب'!$D$4:$D$204,MATCH(112,'كشف الحساب'!$P$4:$P$204,0)),"")</f>
        <v/>
      </c>
      <c r="F117" s="125" t="str">
        <f t="shared" si="3"/>
        <v/>
      </c>
    </row>
    <row r="118" spans="1:6" ht="18" customHeight="1" x14ac:dyDescent="0.25">
      <c r="A118" s="142" t="str">
        <f>IFERROR(INDEX('كشف الحساب'!$A$4:$A$204,MATCH(113,'كشف الحساب'!$P$4:$P$204,0)),"")</f>
        <v/>
      </c>
      <c r="B118" s="122" t="str">
        <f>IFERROR(INDEX('كشف الحساب'!$B$4:$B$204,MATCH(113,'كشف الحساب'!$P$4:$P$204,0)),"")</f>
        <v/>
      </c>
      <c r="C118" s="121" t="str">
        <f>IFERROR(INDEX('كشف الحساب'!$C$4:$C$204,MATCH(113,'كشف الحساب'!$P$4:$P$204,0)),"")</f>
        <v/>
      </c>
      <c r="D118" s="123" t="str">
        <f>IFERROR(INDEX('كشف الحساب'!$E$4:$E$204,MATCH(113,'كشف الحساب'!$P$4:$P$204,0)),"")</f>
        <v/>
      </c>
      <c r="E118" s="124" t="str">
        <f>IFERROR(INDEX('كشف الحساب'!$D$4:$D$204,MATCH(113,'كشف الحساب'!$P$4:$P$204,0)),"")</f>
        <v/>
      </c>
      <c r="F118" s="125" t="str">
        <f t="shared" si="3"/>
        <v/>
      </c>
    </row>
    <row r="119" spans="1:6" ht="18" customHeight="1" x14ac:dyDescent="0.25">
      <c r="A119" s="142" t="str">
        <f>IFERROR(INDEX('كشف الحساب'!$A$4:$A$204,MATCH(114,'كشف الحساب'!$P$4:$P$204,0)),"")</f>
        <v/>
      </c>
      <c r="B119" s="122" t="str">
        <f>IFERROR(INDEX('كشف الحساب'!$B$4:$B$204,MATCH(114,'كشف الحساب'!$P$4:$P$204,0)),"")</f>
        <v/>
      </c>
      <c r="C119" s="121" t="str">
        <f>IFERROR(INDEX('كشف الحساب'!$C$4:$C$204,MATCH(114,'كشف الحساب'!$P$4:$P$204,0)),"")</f>
        <v/>
      </c>
      <c r="D119" s="123" t="str">
        <f>IFERROR(INDEX('كشف الحساب'!$E$4:$E$204,MATCH(114,'كشف الحساب'!$P$4:$P$204,0)),"")</f>
        <v/>
      </c>
      <c r="E119" s="124" t="str">
        <f>IFERROR(INDEX('كشف الحساب'!$D$4:$D$204,MATCH(114,'كشف الحساب'!$P$4:$P$204,0)),"")</f>
        <v/>
      </c>
      <c r="F119" s="125" t="str">
        <f t="shared" si="3"/>
        <v/>
      </c>
    </row>
    <row r="120" spans="1:6" ht="18" customHeight="1" x14ac:dyDescent="0.25">
      <c r="A120" s="142" t="str">
        <f>IFERROR(INDEX('كشف الحساب'!$A$4:$A$204,MATCH(115,'كشف الحساب'!$P$4:$P$204,0)),"")</f>
        <v/>
      </c>
      <c r="B120" s="122" t="str">
        <f>IFERROR(INDEX('كشف الحساب'!$B$4:$B$204,MATCH(115,'كشف الحساب'!$P$4:$P$204,0)),"")</f>
        <v/>
      </c>
      <c r="C120" s="121" t="str">
        <f>IFERROR(INDEX('كشف الحساب'!$C$4:$C$204,MATCH(115,'كشف الحساب'!$P$4:$P$204,0)),"")</f>
        <v/>
      </c>
      <c r="D120" s="123" t="str">
        <f>IFERROR(INDEX('كشف الحساب'!$E$4:$E$204,MATCH(115,'كشف الحساب'!$P$4:$P$204,0)),"")</f>
        <v/>
      </c>
      <c r="E120" s="124" t="str">
        <f>IFERROR(INDEX('كشف الحساب'!$D$4:$D$204,MATCH(115,'كشف الحساب'!$P$4:$P$204,0)),"")</f>
        <v/>
      </c>
      <c r="F120" s="125" t="str">
        <f t="shared" si="3"/>
        <v/>
      </c>
    </row>
    <row r="121" spans="1:6" ht="18" customHeight="1" x14ac:dyDescent="0.25">
      <c r="A121" s="142" t="str">
        <f>IFERROR(INDEX('كشف الحساب'!$A$4:$A$204,MATCH(116,'كشف الحساب'!$P$4:$P$204,0)),"")</f>
        <v/>
      </c>
      <c r="B121" s="122" t="str">
        <f>IFERROR(INDEX('كشف الحساب'!$B$4:$B$204,MATCH(116,'كشف الحساب'!$P$4:$P$204,0)),"")</f>
        <v/>
      </c>
      <c r="C121" s="121" t="str">
        <f>IFERROR(INDEX('كشف الحساب'!$C$4:$C$204,MATCH(116,'كشف الحساب'!$P$4:$P$204,0)),"")</f>
        <v/>
      </c>
      <c r="D121" s="123" t="str">
        <f>IFERROR(INDEX('كشف الحساب'!$E$4:$E$204,MATCH(116,'كشف الحساب'!$P$4:$P$204,0)),"")</f>
        <v/>
      </c>
      <c r="E121" s="124" t="str">
        <f>IFERROR(INDEX('كشف الحساب'!$D$4:$D$204,MATCH(116,'كشف الحساب'!$P$4:$P$204,0)),"")</f>
        <v/>
      </c>
      <c r="F121" s="125" t="str">
        <f t="shared" si="3"/>
        <v/>
      </c>
    </row>
    <row r="122" spans="1:6" ht="18" customHeight="1" x14ac:dyDescent="0.25">
      <c r="A122" s="142" t="str">
        <f>IFERROR(INDEX('كشف الحساب'!$A$4:$A$204,MATCH(117,'كشف الحساب'!$P$4:$P$204,0)),"")</f>
        <v/>
      </c>
      <c r="B122" s="122" t="str">
        <f>IFERROR(INDEX('كشف الحساب'!$B$4:$B$204,MATCH(117,'كشف الحساب'!$P$4:$P$204,0)),"")</f>
        <v/>
      </c>
      <c r="C122" s="121" t="str">
        <f>IFERROR(INDEX('كشف الحساب'!$C$4:$C$204,MATCH(117,'كشف الحساب'!$P$4:$P$204,0)),"")</f>
        <v/>
      </c>
      <c r="D122" s="123" t="str">
        <f>IFERROR(INDEX('كشف الحساب'!$E$4:$E$204,MATCH(117,'كشف الحساب'!$P$4:$P$204,0)),"")</f>
        <v/>
      </c>
      <c r="E122" s="124" t="str">
        <f>IFERROR(INDEX('كشف الحساب'!$D$4:$D$204,MATCH(117,'كشف الحساب'!$P$4:$P$204,0)),"")</f>
        <v/>
      </c>
      <c r="F122" s="125" t="str">
        <f t="shared" si="3"/>
        <v/>
      </c>
    </row>
    <row r="123" spans="1:6" ht="18" customHeight="1" x14ac:dyDescent="0.25">
      <c r="A123" s="142" t="str">
        <f>IFERROR(INDEX('كشف الحساب'!$A$4:$A$204,MATCH(118,'كشف الحساب'!$P$4:$P$204,0)),"")</f>
        <v/>
      </c>
      <c r="B123" s="122" t="str">
        <f>IFERROR(INDEX('كشف الحساب'!$B$4:$B$204,MATCH(118,'كشف الحساب'!$P$4:$P$204,0)),"")</f>
        <v/>
      </c>
      <c r="C123" s="121" t="str">
        <f>IFERROR(INDEX('كشف الحساب'!$C$4:$C$204,MATCH(118,'كشف الحساب'!$P$4:$P$204,0)),"")</f>
        <v/>
      </c>
      <c r="D123" s="123" t="str">
        <f>IFERROR(INDEX('كشف الحساب'!$E$4:$E$204,MATCH(118,'كشف الحساب'!$P$4:$P$204,0)),"")</f>
        <v/>
      </c>
      <c r="E123" s="124" t="str">
        <f>IFERROR(INDEX('كشف الحساب'!$D$4:$D$204,MATCH(118,'كشف الحساب'!$P$4:$P$204,0)),"")</f>
        <v/>
      </c>
      <c r="F123" s="125" t="str">
        <f t="shared" si="3"/>
        <v/>
      </c>
    </row>
    <row r="124" spans="1:6" ht="18" customHeight="1" x14ac:dyDescent="0.25">
      <c r="A124" s="142" t="str">
        <f>IFERROR(INDEX('كشف الحساب'!$A$4:$A$204,MATCH(119,'كشف الحساب'!$P$4:$P$204,0)),"")</f>
        <v/>
      </c>
      <c r="B124" s="122" t="str">
        <f>IFERROR(INDEX('كشف الحساب'!$B$4:$B$204,MATCH(119,'كشف الحساب'!$P$4:$P$204,0)),"")</f>
        <v/>
      </c>
      <c r="C124" s="121" t="str">
        <f>IFERROR(INDEX('كشف الحساب'!$C$4:$C$204,MATCH(119,'كشف الحساب'!$P$4:$P$204,0)),"")</f>
        <v/>
      </c>
      <c r="D124" s="123" t="str">
        <f>IFERROR(INDEX('كشف الحساب'!$E$4:$E$204,MATCH(119,'كشف الحساب'!$P$4:$P$204,0)),"")</f>
        <v/>
      </c>
      <c r="E124" s="124" t="str">
        <f>IFERROR(INDEX('كشف الحساب'!$D$4:$D$204,MATCH(119,'كشف الحساب'!$P$4:$P$204,0)),"")</f>
        <v/>
      </c>
      <c r="F124" s="125" t="str">
        <f t="shared" si="3"/>
        <v/>
      </c>
    </row>
    <row r="125" spans="1:6" ht="18" customHeight="1" x14ac:dyDescent="0.25">
      <c r="A125" s="142" t="str">
        <f>IFERROR(INDEX('كشف الحساب'!$A$4:$A$204,MATCH(120,'كشف الحساب'!$P$4:$P$204,0)),"")</f>
        <v/>
      </c>
      <c r="B125" s="122" t="str">
        <f>IFERROR(INDEX('كشف الحساب'!$B$4:$B$204,MATCH(120,'كشف الحساب'!$P$4:$P$204,0)),"")</f>
        <v/>
      </c>
      <c r="C125" s="121" t="str">
        <f>IFERROR(INDEX('كشف الحساب'!$C$4:$C$204,MATCH(120,'كشف الحساب'!$P$4:$P$204,0)),"")</f>
        <v/>
      </c>
      <c r="D125" s="123" t="str">
        <f>IFERROR(INDEX('كشف الحساب'!$E$4:$E$204,MATCH(120,'كشف الحساب'!$P$4:$P$204,0)),"")</f>
        <v/>
      </c>
      <c r="E125" s="124" t="str">
        <f>IFERROR(INDEX('كشف الحساب'!$D$4:$D$204,MATCH(120,'كشف الحساب'!$P$4:$P$204,0)),"")</f>
        <v/>
      </c>
      <c r="F125" s="125" t="str">
        <f t="shared" si="3"/>
        <v/>
      </c>
    </row>
    <row r="126" spans="1:6" ht="18" customHeight="1" x14ac:dyDescent="0.25">
      <c r="A126" s="142" t="str">
        <f>IFERROR(INDEX('كشف الحساب'!$A$4:$A$204,MATCH(121,'كشف الحساب'!$P$4:$P$204,0)),"")</f>
        <v/>
      </c>
      <c r="B126" s="122" t="str">
        <f>IFERROR(INDEX('كشف الحساب'!$B$4:$B$204,MATCH(121,'كشف الحساب'!$P$4:$P$204,0)),"")</f>
        <v/>
      </c>
      <c r="C126" s="121" t="str">
        <f>IFERROR(INDEX('كشف الحساب'!$C$4:$C$204,MATCH(121,'كشف الحساب'!$P$4:$P$204,0)),"")</f>
        <v/>
      </c>
      <c r="D126" s="123" t="str">
        <f>IFERROR(INDEX('كشف الحساب'!$E$4:$E$204,MATCH(121,'كشف الحساب'!$P$4:$P$204,0)),"")</f>
        <v/>
      </c>
      <c r="E126" s="124" t="str">
        <f>IFERROR(INDEX('كشف الحساب'!$D$4:$D$204,MATCH(121,'كشف الحساب'!$P$4:$P$204,0)),"")</f>
        <v/>
      </c>
      <c r="F126" s="125" t="str">
        <f t="shared" si="3"/>
        <v/>
      </c>
    </row>
    <row r="127" spans="1:6" ht="18" customHeight="1" x14ac:dyDescent="0.25">
      <c r="A127" s="142" t="str">
        <f>IFERROR(INDEX('كشف الحساب'!$A$4:$A$204,MATCH(122,'كشف الحساب'!$P$4:$P$204,0)),"")</f>
        <v/>
      </c>
      <c r="B127" s="122" t="str">
        <f>IFERROR(INDEX('كشف الحساب'!$B$4:$B$204,MATCH(122,'كشف الحساب'!$P$4:$P$204,0)),"")</f>
        <v/>
      </c>
      <c r="C127" s="121" t="str">
        <f>IFERROR(INDEX('كشف الحساب'!$C$4:$C$204,MATCH(122,'كشف الحساب'!$P$4:$P$204,0)),"")</f>
        <v/>
      </c>
      <c r="D127" s="123" t="str">
        <f>IFERROR(INDEX('كشف الحساب'!$E$4:$E$204,MATCH(122,'كشف الحساب'!$P$4:$P$204,0)),"")</f>
        <v/>
      </c>
      <c r="E127" s="124" t="str">
        <f>IFERROR(INDEX('كشف الحساب'!$D$4:$D$204,MATCH(122,'كشف الحساب'!$P$4:$P$204,0)),"")</f>
        <v/>
      </c>
      <c r="F127" s="125" t="str">
        <f t="shared" si="3"/>
        <v/>
      </c>
    </row>
    <row r="128" spans="1:6" ht="18" customHeight="1" x14ac:dyDescent="0.25">
      <c r="A128" s="142" t="str">
        <f>IFERROR(INDEX('كشف الحساب'!$A$4:$A$204,MATCH(123,'كشف الحساب'!$P$4:$P$204,0)),"")</f>
        <v/>
      </c>
      <c r="B128" s="122" t="str">
        <f>IFERROR(INDEX('كشف الحساب'!$B$4:$B$204,MATCH(123,'كشف الحساب'!$P$4:$P$204,0)),"")</f>
        <v/>
      </c>
      <c r="C128" s="121" t="str">
        <f>IFERROR(INDEX('كشف الحساب'!$C$4:$C$204,MATCH(123,'كشف الحساب'!$P$4:$P$204,0)),"")</f>
        <v/>
      </c>
      <c r="D128" s="123" t="str">
        <f>IFERROR(INDEX('كشف الحساب'!$E$4:$E$204,MATCH(123,'كشف الحساب'!$P$4:$P$204,0)),"")</f>
        <v/>
      </c>
      <c r="E128" s="124" t="str">
        <f>IFERROR(INDEX('كشف الحساب'!$D$4:$D$204,MATCH(123,'كشف الحساب'!$P$4:$P$204,0)),"")</f>
        <v/>
      </c>
      <c r="F128" s="125" t="str">
        <f t="shared" si="3"/>
        <v/>
      </c>
    </row>
    <row r="129" spans="1:6" ht="18" customHeight="1" x14ac:dyDescent="0.25">
      <c r="A129" s="142" t="str">
        <f>IFERROR(INDEX('كشف الحساب'!$A$4:$A$204,MATCH(124,'كشف الحساب'!$P$4:$P$204,0)),"")</f>
        <v/>
      </c>
      <c r="B129" s="122" t="str">
        <f>IFERROR(INDEX('كشف الحساب'!$B$4:$B$204,MATCH(124,'كشف الحساب'!$P$4:$P$204,0)),"")</f>
        <v/>
      </c>
      <c r="C129" s="121" t="str">
        <f>IFERROR(INDEX('كشف الحساب'!$C$4:$C$204,MATCH(124,'كشف الحساب'!$P$4:$P$204,0)),"")</f>
        <v/>
      </c>
      <c r="D129" s="123" t="str">
        <f>IFERROR(INDEX('كشف الحساب'!$E$4:$E$204,MATCH(124,'كشف الحساب'!$P$4:$P$204,0)),"")</f>
        <v/>
      </c>
      <c r="E129" s="124" t="str">
        <f>IFERROR(INDEX('كشف الحساب'!$D$4:$D$204,MATCH(124,'كشف الحساب'!$P$4:$P$204,0)),"")</f>
        <v/>
      </c>
      <c r="F129" s="125" t="str">
        <f t="shared" si="3"/>
        <v/>
      </c>
    </row>
    <row r="130" spans="1:6" ht="18" customHeight="1" x14ac:dyDescent="0.25">
      <c r="A130" s="142" t="str">
        <f>IFERROR(INDEX('كشف الحساب'!$A$4:$A$204,MATCH(125,'كشف الحساب'!$P$4:$P$204,0)),"")</f>
        <v/>
      </c>
      <c r="B130" s="122" t="str">
        <f>IFERROR(INDEX('كشف الحساب'!$B$4:$B$204,MATCH(125,'كشف الحساب'!$P$4:$P$204,0)),"")</f>
        <v/>
      </c>
      <c r="C130" s="121" t="str">
        <f>IFERROR(INDEX('كشف الحساب'!$C$4:$C$204,MATCH(125,'كشف الحساب'!$P$4:$P$204,0)),"")</f>
        <v/>
      </c>
      <c r="D130" s="123" t="str">
        <f>IFERROR(INDEX('كشف الحساب'!$E$4:$E$204,MATCH(125,'كشف الحساب'!$P$4:$P$204,0)),"")</f>
        <v/>
      </c>
      <c r="E130" s="124" t="str">
        <f>IFERROR(INDEX('كشف الحساب'!$D$4:$D$204,MATCH(125,'كشف الحساب'!$P$4:$P$204,0)),"")</f>
        <v/>
      </c>
      <c r="F130" s="125" t="str">
        <f t="shared" si="3"/>
        <v/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713.6</v>
      </c>
      <c r="E206" s="129">
        <f>SUM(E6:E205)</f>
        <v>600.79499999999996</v>
      </c>
      <c r="F206" s="130">
        <f>IFERROR(LOOKUP(2,1/($F$6:$F$205&lt;&gt;""),$F$6:$F$205),0)</f>
        <v>112.80500000000001</v>
      </c>
    </row>
    <row r="208" spans="1:6" ht="18" customHeight="1" x14ac:dyDescent="0.25">
      <c r="A208" s="148" t="s">
        <v>10</v>
      </c>
      <c r="B208" s="149"/>
      <c r="C208" s="149"/>
      <c r="D208" s="149"/>
      <c r="E208" s="149"/>
      <c r="F208" s="150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 t="str">
        <f>IFERROR(INDEX('كشف الحساب'!$A$4:$A$204,MATCH(12,'كشف الحساب'!$Q$4:$Q$204,0)),"")</f>
        <v/>
      </c>
      <c r="B221" s="133" t="str">
        <f>IFERROR(INDEX('كشف الحساب'!$B$4:$B$204,MATCH(12,'كشف الحساب'!$Q$4:$Q$204,0)),"")</f>
        <v/>
      </c>
      <c r="C221" s="132" t="str">
        <f>IFERROR(INDEX('كشف الحساب'!$C$4:$C$204,MATCH(12,'كشف الحساب'!$Q$4:$Q$204,0)),"")</f>
        <v/>
      </c>
      <c r="D221" s="134" t="str">
        <f>IFERROR(INDEX('كشف الحساب'!$D$4:$D$204,MATCH(12,'كشف الحساب'!$Q$4:$Q$204,0)),"")</f>
        <v/>
      </c>
      <c r="E221" s="135" t="str">
        <f>IFERROR(INDEX('كشف الحساب'!$G$4:$G$204,MATCH(12,'كشف الحساب'!$Q$4:$Q$204,0)),"")</f>
        <v/>
      </c>
      <c r="F221" s="132"/>
    </row>
    <row r="222" spans="1:6" ht="18" customHeight="1" x14ac:dyDescent="0.25">
      <c r="A222" s="143" t="str">
        <f>IFERROR(INDEX('كشف الحساب'!$A$4:$A$204,MATCH(13,'كشف الحساب'!$Q$4:$Q$204,0)),"")</f>
        <v/>
      </c>
      <c r="B222" s="133" t="str">
        <f>IFERROR(INDEX('كشف الحساب'!$B$4:$B$204,MATCH(13,'كشف الحساب'!$Q$4:$Q$204,0)),"")</f>
        <v/>
      </c>
      <c r="C222" s="132" t="str">
        <f>IFERROR(INDEX('كشف الحساب'!$C$4:$C$204,MATCH(13,'كشف الحساب'!$Q$4:$Q$204,0)),"")</f>
        <v/>
      </c>
      <c r="D222" s="134" t="str">
        <f>IFERROR(INDEX('كشف الحساب'!$D$4:$D$204,MATCH(13,'كشف الحساب'!$Q$4:$Q$204,0)),"")</f>
        <v/>
      </c>
      <c r="E222" s="135" t="str">
        <f>IFERROR(INDEX('كشف الحساب'!$G$4:$G$204,MATCH(13,'كشف الحساب'!$Q$4:$Q$204,0)),"")</f>
        <v/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1022.5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562.5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460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21" activePane="bottomLeft" state="frozen"/>
      <selection pane="bottomLeft" activeCell="H131" sqref="H131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7" ht="24" customHeight="1" x14ac:dyDescent="0.25">
      <c r="A2" s="158" t="s">
        <v>17</v>
      </c>
      <c r="B2" s="156"/>
      <c r="C2" s="156"/>
      <c r="D2" s="1">
        <v>0</v>
      </c>
      <c r="E2" s="159" t="s">
        <v>18</v>
      </c>
      <c r="F2" s="160"/>
      <c r="G2" s="160"/>
      <c r="H2" s="160"/>
      <c r="I2" s="160"/>
      <c r="J2" s="160"/>
      <c r="K2" s="160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>1</v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>2</v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>3</v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>4</v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279</v>
      </c>
      <c r="C105" s="27" t="s">
        <v>293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>5</v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280</v>
      </c>
      <c r="C106" s="37" t="s">
        <v>281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>6</v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282</v>
      </c>
      <c r="C107" s="27" t="s">
        <v>283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>7</v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285</v>
      </c>
      <c r="C108" s="37" t="s">
        <v>284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>8</v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287</v>
      </c>
      <c r="C109" s="27" t="s">
        <v>286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>9</v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288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>10</v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289</v>
      </c>
      <c r="C111" s="27" t="s">
        <v>290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>11</v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291</v>
      </c>
      <c r="C112" s="37" t="s">
        <v>292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>12</v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294</v>
      </c>
      <c r="C113" s="27" t="s">
        <v>296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>13</v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295</v>
      </c>
      <c r="C114" s="37" t="s">
        <v>297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>14</v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298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>15</v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299</v>
      </c>
      <c r="C116" s="37" t="s">
        <v>300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301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>16</v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302</v>
      </c>
      <c r="C117" s="27" t="s">
        <v>303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301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>17</v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305</v>
      </c>
      <c r="C118" s="37" t="s">
        <v>304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>18</v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306</v>
      </c>
      <c r="C119" s="27" t="s">
        <v>307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>19</v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308</v>
      </c>
      <c r="C120" s="37" t="s">
        <v>309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>20</v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310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>21</v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311</v>
      </c>
      <c r="C122" s="37" t="s">
        <v>312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>22</v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313</v>
      </c>
      <c r="C123" s="27" t="s">
        <v>314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>23</v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315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>24</v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>25</v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316</v>
      </c>
      <c r="C126" s="37" t="s">
        <v>317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>26</v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319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>27</v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320</v>
      </c>
      <c r="C128" s="37" t="s">
        <v>321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>28</v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322</v>
      </c>
      <c r="C129" s="27" t="s">
        <v>323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>29</v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/>
      <c r="B130" s="36"/>
      <c r="C130" s="37"/>
      <c r="D130" s="38"/>
      <c r="E130" s="39"/>
      <c r="F130" s="136"/>
      <c r="G130" s="40"/>
      <c r="H130" s="41"/>
      <c r="I130" s="42"/>
      <c r="J130" s="43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 t="str">
        <f>IF(OR($A130="",$F130="أحد الشركاء",AND($D130="",$E130="")),"",SUMPRODUCT(($A$4:$A130&lt;&gt;"")*($F$4:$F130&lt;&gt;"أحد الشركاء")*((($D$4:$D130&lt;&gt;"")+($E$4:$E130&lt;&gt;""))&gt;0)))</f>
        <v/>
      </c>
      <c r="Q130" t="str">
        <f>IF(OR($A130="",$F130&lt;&gt;"أحد الشركاء"),"",COUNTIFS($A$4:A130,"&lt;&gt;",$F$4:F130,"أحد الشركاء"))</f>
        <v/>
      </c>
    </row>
    <row r="131" spans="1:17" ht="18.75" customHeight="1" x14ac:dyDescent="0.25">
      <c r="A131" s="25"/>
      <c r="B131" s="26"/>
      <c r="C131" s="27"/>
      <c r="D131" s="28"/>
      <c r="E131" s="29"/>
      <c r="F131" s="30"/>
      <c r="G131" s="31"/>
      <c r="H131" s="32"/>
      <c r="I131" s="33"/>
      <c r="J131" s="3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3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 t="str">
        <f>IF(OR($A131="",$F131&lt;&gt;"أحد الشركاء"),"",COUNTIFS($A$4:A131,"&lt;&gt;",$F$4:F131,"أحد الشركاء"))</f>
        <v/>
      </c>
    </row>
    <row r="132" spans="1:17" ht="18.75" customHeight="1" x14ac:dyDescent="0.25">
      <c r="A132" s="139"/>
      <c r="B132" s="36"/>
      <c r="C132" s="37"/>
      <c r="D132" s="38"/>
      <c r="E132" s="39"/>
      <c r="F132" s="136"/>
      <c r="G132" s="40"/>
      <c r="H132" s="41"/>
      <c r="I132" s="42"/>
      <c r="J132" s="43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 t="str">
        <f>IF(OR($A132="",$F132&lt;&gt;"أحد الشركاء"),"",COUNTIFS($A$4:A132,"&lt;&gt;",$F$4:F132,"أحد الشركاء"))</f>
        <v/>
      </c>
    </row>
    <row r="133" spans="1:17" ht="18.75" customHeight="1" x14ac:dyDescent="0.25">
      <c r="A133" s="25"/>
      <c r="B133" s="26"/>
      <c r="C133" s="27"/>
      <c r="D133" s="28"/>
      <c r="E133" s="29"/>
      <c r="F133" s="30"/>
      <c r="G133" s="31"/>
      <c r="H133" s="32"/>
      <c r="I133" s="33"/>
      <c r="J133" s="3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  <c r="P133" t="str">
        <f>IF(OR($A133="",$F133="أحد الشركاء",AND($D133="",$E133="")),"",SUMPRODUCT(($A$4:$A133&lt;&gt;"")*($F$4:$F133&lt;&gt;"أحد الشركاء")*((($D$4:$D133&lt;&gt;"")+($E$4:$E133&lt;&gt;""))&gt;0)))</f>
        <v/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/>
      <c r="B134" s="36"/>
      <c r="C134" s="37"/>
      <c r="D134" s="38"/>
      <c r="E134" s="39"/>
      <c r="F134" s="136"/>
      <c r="G134" s="40"/>
      <c r="H134" s="41"/>
      <c r="I134" s="42"/>
      <c r="J134" s="43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44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  <c r="P134" t="str">
        <f>IF(OR($A134="",$F134="أحد الشركاء",AND($D134="",$E134="")),"",SUMPRODUCT(($A$4:$A134&lt;&gt;"")*($F$4:$F134&lt;&gt;"أحد الشركاء")*((($D$4:$D134&lt;&gt;"")+($E$4:$E134&lt;&gt;""))&gt;0)))</f>
        <v/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/>
      <c r="B135" s="26"/>
      <c r="C135" s="27"/>
      <c r="D135" s="28"/>
      <c r="E135" s="29"/>
      <c r="F135" s="30"/>
      <c r="G135" s="31"/>
      <c r="H135" s="32"/>
      <c r="I135" s="33"/>
      <c r="J135" s="3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3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  <c r="P135" t="str">
        <f>IF(OR($A135="",$F135="أحد الشركاء",AND($D135="",$E135="")),"",SUMPRODUCT(($A$4:$A135&lt;&gt;"")*($F$4:$F135&lt;&gt;"أحد الشركاء")*((($D$4:$D135&lt;&gt;"")+($E$4:$E135&lt;&gt;""))&gt;0)))</f>
        <v/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/>
      <c r="B136" s="36"/>
      <c r="C136" s="37"/>
      <c r="D136" s="38"/>
      <c r="E136" s="39"/>
      <c r="F136" s="136"/>
      <c r="G136" s="40"/>
      <c r="H136" s="41"/>
      <c r="I136" s="42"/>
      <c r="J136" s="43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44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  <c r="P136" t="str">
        <f>IF(OR($A136="",$F136="أحد الشركاء",AND($D136="",$E136="")),"",SUMPRODUCT(($A$4:$A136&lt;&gt;"")*($F$4:$F136&lt;&gt;"أحد الشركاء")*((($D$4:$D136&lt;&gt;"")+($E$4:$E136&lt;&gt;""))&gt;0)))</f>
        <v/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/>
      <c r="B137" s="26"/>
      <c r="C137" s="27"/>
      <c r="D137" s="28"/>
      <c r="E137" s="29"/>
      <c r="F137" s="30"/>
      <c r="G137" s="31"/>
      <c r="H137" s="32"/>
      <c r="I137" s="33"/>
      <c r="J137" s="3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3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  <c r="P137" t="str">
        <f>IF(OR($A137="",$F137="أحد الشركاء",AND($D137="",$E137="")),"",SUMPRODUCT(($A$4:$A137&lt;&gt;"")*($F$4:$F137&lt;&gt;"أحد الشركاء")*((($D$4:$D137&lt;&gt;"")+($E$4:$E137&lt;&gt;""))&gt;0)))</f>
        <v/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/>
      <c r="B138" s="36"/>
      <c r="C138" s="37"/>
      <c r="D138" s="38"/>
      <c r="E138" s="39"/>
      <c r="F138" s="136"/>
      <c r="G138" s="40"/>
      <c r="H138" s="41"/>
      <c r="I138" s="42"/>
      <c r="J138" s="43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44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  <c r="P138" t="str">
        <f>IF(OR($A138="",$F138="أحد الشركاء",AND($D138="",$E138="")),"",SUMPRODUCT(($A$4:$A138&lt;&gt;"")*($F$4:$F138&lt;&gt;"أحد الشركاء")*((($D$4:$D138&lt;&gt;"")+($E$4:$E138&lt;&gt;""))&gt;0)))</f>
        <v/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/>
      <c r="B139" s="26"/>
      <c r="C139" s="27"/>
      <c r="D139" s="28"/>
      <c r="E139" s="29"/>
      <c r="F139" s="30"/>
      <c r="G139" s="31"/>
      <c r="H139" s="32"/>
      <c r="I139" s="33"/>
      <c r="J139" s="3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3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  <c r="P139" t="str">
        <f>IF(OR($A139="",$F139="أحد الشركاء",AND($D139="",$E139="")),"",SUMPRODUCT(($A$4:$A139&lt;&gt;"")*($F$4:$F139&lt;&gt;"أحد الشركاء")*((($D$4:$D139&lt;&gt;"")+($E$4:$E139&lt;&gt;""))&gt;0)))</f>
        <v/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/>
      <c r="B140" s="36"/>
      <c r="C140" s="37"/>
      <c r="D140" s="38"/>
      <c r="E140" s="39"/>
      <c r="F140" s="136"/>
      <c r="G140" s="40"/>
      <c r="H140" s="41"/>
      <c r="I140" s="42"/>
      <c r="J140" s="43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44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  <c r="P140" t="str">
        <f>IF(OR($A140="",$F140="أحد الشركاء",AND($D140="",$E140="")),"",SUMPRODUCT(($A$4:$A140&lt;&gt;"")*($F$4:$F140&lt;&gt;"أحد الشركاء")*((($D$4:$D140&lt;&gt;"")+($E$4:$E140&lt;&gt;""))&gt;0)))</f>
        <v/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/>
      <c r="B141" s="26"/>
      <c r="C141" s="27"/>
      <c r="D141" s="28"/>
      <c r="E141" s="29"/>
      <c r="F141" s="30"/>
      <c r="G141" s="31"/>
      <c r="H141" s="32"/>
      <c r="I141" s="33"/>
      <c r="J141" s="3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3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  <c r="P141" t="str">
        <f>IF(OR($A141="",$F141="أحد الشركاء",AND($D141="",$E141="")),"",SUMPRODUCT(($A$4:$A141&lt;&gt;"")*($F$4:$F141&lt;&gt;"أحد الشركاء")*((($D$4:$D141&lt;&gt;"")+($E$4:$E141&lt;&gt;""))&gt;0)))</f>
        <v/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/>
      <c r="B142" s="36"/>
      <c r="C142" s="37"/>
      <c r="D142" s="38"/>
      <c r="E142" s="39"/>
      <c r="F142" s="136"/>
      <c r="G142" s="40"/>
      <c r="H142" s="41"/>
      <c r="I142" s="42"/>
      <c r="J142" s="43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44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  <c r="P142" t="str">
        <f>IF(OR($A142="",$F142="أحد الشركاء",AND($D142="",$E142="")),"",SUMPRODUCT(($A$4:$A142&lt;&gt;"")*($F$4:$F142&lt;&gt;"أحد الشركاء")*((($D$4:$D142&lt;&gt;"")+($E$4:$E142&lt;&gt;""))&gt;0)))</f>
        <v/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/>
      <c r="B143" s="26"/>
      <c r="C143" s="27"/>
      <c r="D143" s="28"/>
      <c r="E143" s="29"/>
      <c r="F143" s="30"/>
      <c r="G143" s="31"/>
      <c r="H143" s="32"/>
      <c r="I143" s="33"/>
      <c r="J143" s="3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3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  <c r="P143" t="str">
        <f>IF(OR($A143="",$F143="أحد الشركاء",AND($D143="",$E143="")),"",SUMPRODUCT(($A$4:$A143&lt;&gt;"")*($F$4:$F143&lt;&gt;"أحد الشركاء")*((($D$4:$D143&lt;&gt;"")+($E$4:$E143&lt;&gt;""))&gt;0)))</f>
        <v/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/>
      <c r="B144" s="36"/>
      <c r="C144" s="37"/>
      <c r="D144" s="38"/>
      <c r="E144" s="39"/>
      <c r="F144" s="136"/>
      <c r="G144" s="40"/>
      <c r="H144" s="41"/>
      <c r="I144" s="42"/>
      <c r="J144" s="43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  <c r="P144" t="str">
        <f>IF(OR($A144="",$F144="أحد الشركاء",AND($D144="",$E144="")),"",SUMPRODUCT(($A$4:$A144&lt;&gt;"")*($F$4:$F144&lt;&gt;"أحد الشركاء")*((($D$4:$D144&lt;&gt;"")+($E$4:$E144&lt;&gt;""))&gt;0)))</f>
        <v/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/>
      <c r="B145" s="26"/>
      <c r="C145" s="27"/>
      <c r="D145" s="28"/>
      <c r="E145" s="29"/>
      <c r="F145" s="30"/>
      <c r="G145" s="31"/>
      <c r="H145" s="32"/>
      <c r="I145" s="33"/>
      <c r="J145" s="3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  <c r="P145" t="str">
        <f>IF(OR($A145="",$F145="أحد الشركاء",AND($D145="",$E145="")),"",SUMPRODUCT(($A$4:$A145&lt;&gt;"")*($F$4:$F145&lt;&gt;"أحد الشركاء")*((($D$4:$D145&lt;&gt;"")+($E$4:$E145&lt;&gt;""))&gt;0)))</f>
        <v/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/>
      <c r="B146" s="36"/>
      <c r="C146" s="37"/>
      <c r="D146" s="38"/>
      <c r="E146" s="39"/>
      <c r="F146" s="136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  <c r="P146" t="str">
        <f>IF(OR($A146="",$F146="أحد الشركاء",AND($D146="",$E146="")),"",SUMPRODUCT(($A$4:$A146&lt;&gt;"")*($F$4:$F146&lt;&gt;"أحد الشركاء")*((($D$4:$D146&lt;&gt;"")+($E$4:$E146&lt;&gt;""))&gt;0)))</f>
        <v/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  <c r="P147" t="str">
        <f>IF(OR($A147="",$F147="أحد الشركاء",AND($D147="",$E147="")),"",SUMPRODUCT(($A$4:$A147&lt;&gt;"")*($F$4:$F147&lt;&gt;"أحد الشركاء")*((($D$4:$D147&lt;&gt;"")+($E$4:$E147&lt;&gt;""))&gt;0)))</f>
        <v/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2"/>
      <c r="B204" s="156"/>
      <c r="C204" s="157"/>
      <c r="D204" s="38"/>
      <c r="E204" s="39"/>
      <c r="F204" s="155"/>
      <c r="G204" s="156"/>
      <c r="H204" s="157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1623.2949999999998</v>
      </c>
      <c r="E205" s="46">
        <f>SUM(E4:E203)</f>
        <v>713.6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3" t="s">
        <v>220</v>
      </c>
      <c r="B1" s="156"/>
      <c r="C1" s="156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5" t="s">
        <v>236</v>
      </c>
      <c r="B1" s="156"/>
    </row>
    <row r="2" spans="1:2" ht="21.75" customHeight="1" x14ac:dyDescent="0.25">
      <c r="A2" s="164" t="s">
        <v>237</v>
      </c>
      <c r="B2" s="156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4" t="s">
        <v>242</v>
      </c>
      <c r="B5" s="156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4" t="s">
        <v>251</v>
      </c>
      <c r="B11" s="156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ht="24" customHeight="1" x14ac:dyDescent="0.25">
      <c r="A2" s="166"/>
      <c r="B2" s="156"/>
      <c r="C2" s="56" t="s">
        <v>318</v>
      </c>
      <c r="D2" s="166">
        <v>2026</v>
      </c>
      <c r="E2" s="156"/>
      <c r="F2" s="56" t="s">
        <v>257</v>
      </c>
      <c r="G2" s="169" t="s">
        <v>258</v>
      </c>
      <c r="H2" s="160"/>
      <c r="I2" s="160"/>
      <c r="J2" s="160"/>
      <c r="K2" s="160"/>
    </row>
    <row r="3" spans="1:11" ht="19.5" customHeight="1" x14ac:dyDescent="0.25">
      <c r="A3" s="170" t="s">
        <v>259</v>
      </c>
      <c r="B3" s="156"/>
      <c r="C3" s="156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260</v>
      </c>
      <c r="E4" s="58" t="s">
        <v>261</v>
      </c>
      <c r="F4" s="58" t="s">
        <v>262</v>
      </c>
      <c r="G4" s="58" t="s">
        <v>263</v>
      </c>
      <c r="H4" s="58" t="s">
        <v>264</v>
      </c>
      <c r="I4" s="58" t="s">
        <v>221</v>
      </c>
      <c r="J4" s="58" t="s">
        <v>265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46207</v>
      </c>
      <c r="B5" s="59">
        <f>IFERROR(IF(IFERROR(MATCH(1,'كشف الحساب'!$N$4:$N$203,0),0)=0,"",INDEX('كشف الحساب'!$B$4:$B$203,IFERROR(MATCH(1,'كشف الحساب'!$N$4:$N$203,0),0))),"")</f>
        <v>0</v>
      </c>
      <c r="C5" s="37" t="str">
        <f>IFERROR(IF(IFERROR(MATCH(1,'كشف الحساب'!$N$4:$N$203,0),0)=0,"",INDEX('كشف الحساب'!$C$4:$C$203,IFERROR(MATCH(1,'كشف الحساب'!$N$4:$N$203,0),0))),"")</f>
        <v>احواض عدد 1000 مقاس 14 سم</v>
      </c>
      <c r="D5" s="38">
        <f>IFERROR(IF(IFERROR(MATCH(1,'كشف الحساب'!$N$4:$N$203,0),0)=0,"",INDEX('كشف الحساب'!$D$4:$D$203,IFERROR(MATCH(1,'كشف الحساب'!$N$4:$N$203,0),0))),"")</f>
        <v>20</v>
      </c>
      <c r="E5" s="60">
        <f>IFERROR(IF(IFERROR(MATCH(1,'كشف الحساب'!$N$4:$N$203,0),0)=0,"",INDEX('كشف الحساب'!$E$4:$E$203,IFERROR(MATCH(1,'كشف الحساب'!$N$4:$N$203,0),0))),"")</f>
        <v>0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 t="str">
        <f>IFERROR(IF(IFERROR(MATCH(1,'كشف الحساب'!$N$4:$N$203,0),0)=0,"",INDEX('كشف الحساب'!$G$4:$G$203,IFERROR(MATCH(1,'كشف الحساب'!$N$4:$N$203,0),0))),"")</f>
        <v>المحفظة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5.0500000000000114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46206</v>
      </c>
      <c r="B6" s="61" t="str">
        <f>IFERROR(IF(IFERROR(MATCH(2,'كشف الحساب'!$N$4:$N$203,0),0)=0,"",INDEX('كشف الحساب'!$B$4:$B$203,IFERROR(MATCH(2,'كشف الحساب'!$N$4:$N$203,0),0))),"")</f>
        <v>Inv-82</v>
      </c>
      <c r="C6" s="27" t="str">
        <f>IFERROR(IF(IFERROR(MATCH(2,'كشف الحساب'!$N$4:$N$203,0),0)=0,"",INDEX('كشف الحساب'!$C$4:$C$203,IFERROR(MATCH(2,'كشف الحساب'!$N$4:$N$203,0),0))),"")</f>
        <v>دارسينا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7.5500000000000114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46207</v>
      </c>
      <c r="B7" s="59" t="str">
        <f>IFERROR(IF(IFERROR(MATCH(3,'كشف الحساب'!$N$4:$N$203,0),0)=0,"",INDEX('كشف الحساب'!$B$4:$B$203,IFERROR(MATCH(3,'كشف الحساب'!$N$4:$N$203,0),0))),"")</f>
        <v>Inv-83</v>
      </c>
      <c r="C7" s="37" t="str">
        <f>IFERROR(IF(IFERROR(MATCH(3,'كشف الحساب'!$N$4:$N$203,0),0)=0,"",INDEX('كشف الحساب'!$C$4:$C$203,IFERROR(MATCH(3,'كشف الحساب'!$N$4:$N$203,0),0))),"")</f>
        <v>ودليه عدد13 الحبه 1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13</v>
      </c>
      <c r="F7" s="59" t="str">
        <f>IFERROR(IF(IFERROR(MATCH(3,'كشف الحساب'!$N$4:$N$203,0),0)=0,"",INDEX('كشف الحساب'!$F$4:$F$203,IFERROR(MATCH(3,'كشف الحساب'!$N$4:$N$203,0),0))),"")</f>
        <v>نقداً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20.550000000000011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46207</v>
      </c>
      <c r="B8" s="61" t="str">
        <f>IFERROR(IF(IFERROR(MATCH(4,'كشف الحساب'!$N$4:$N$203,0),0)=0,"",INDEX('كشف الحساب'!$B$4:$B$203,IFERROR(MATCH(4,'كشف الحساب'!$N$4:$N$203,0),0))),"")</f>
        <v>Inv-84</v>
      </c>
      <c r="C8" s="27" t="str">
        <f>IFERROR(IF(IFERROR(MATCH(4,'كشف الحساب'!$N$4:$N$203,0),0)=0,"",INDEX('كشف الحساب'!$C$4:$C$203,IFERROR(MATCH(4,'كشف الحساب'!$N$4:$N$203,0),0))),"")</f>
        <v>معلقات عدد 4 الحبه 2</v>
      </c>
      <c r="D8" s="28">
        <f>IFERROR(IF(IFERROR(MATCH(4,'كشف الحساب'!$N$4:$N$203,0),0)=0,"",INDEX('كشف الحساب'!$D$4:$D$203,IFERROR(MATCH(4,'كشف الحساب'!$N$4:$N$203,0),0))),"")</f>
        <v>0</v>
      </c>
      <c r="E8" s="62">
        <f>IFERROR(IF(IFERROR(MATCH(4,'كشف الحساب'!$N$4:$N$203,0),0)=0,"",INDEX('كشف الحساب'!$E$4:$E$203,IFERROR(MATCH(4,'كشف الحساب'!$N$4:$N$203,0),0))),"")</f>
        <v>8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>
        <f>IFERROR(IF(IFERROR(MATCH(4,'كشف الحساب'!$N$4:$N$203,0),0)=0,"",INDEX('كشف الحساب'!$G$4:$G$203,IFERROR(MATCH(4,'كشف الحساب'!$N$4:$N$203,0),0))),"")</f>
        <v>0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28.550000000000011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46211</v>
      </c>
      <c r="B9" s="59" t="str">
        <f>IFERROR(IF(IFERROR(MATCH(5,'كشف الحساب'!$N$4:$N$203,0),0)=0,"",INDEX('كشف الحساب'!$B$4:$B$203,IFERROR(MATCH(5,'كشف الحساب'!$N$4:$N$203,0),0))),"")</f>
        <v>Inv-85</v>
      </c>
      <c r="C9" s="37" t="str">
        <f>IFERROR(IF(IFERROR(MATCH(5,'كشف الحساب'!$N$4:$N$203,0),0)=0,"",INDEX('كشف الحساب'!$C$4:$C$203,IFERROR(MATCH(5,'كشف الحساب'!$N$4:$N$203,0),0))),"")</f>
        <v>عطريات عدد8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8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36.550000000000011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46211</v>
      </c>
      <c r="B10" s="61" t="str">
        <f>IFERROR(IF(IFERROR(MATCH(6,'كشف الحساب'!$N$4:$N$203,0),0)=0,"",INDEX('كشف الحساب'!$B$4:$B$203,IFERROR(MATCH(6,'كشف الحساب'!$N$4:$N$203,0),0))),"")</f>
        <v>Inv-86</v>
      </c>
      <c r="C10" s="27" t="str">
        <f>IFERROR(IF(IFERROR(MATCH(6,'كشف الحساب'!$N$4:$N$203,0),0)=0,"",INDEX('كشف الحساب'!$C$4:$C$203,IFERROR(MATCH(6,'كشف الحساب'!$N$4:$N$203,0),0))),"")</f>
        <v>دارسينا سوداء عدد 12 الحبه 2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24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60.550000000000011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46211</v>
      </c>
      <c r="B11" s="59" t="str">
        <f>IFERROR(IF(IFERROR(MATCH(7,'كشف الحساب'!$N$4:$N$203,0),0)=0,"",INDEX('كشف الحساب'!$B$4:$B$203,IFERROR(MATCH(7,'كشف الحساب'!$N$4:$N$203,0),0))),"")</f>
        <v>Inv-87</v>
      </c>
      <c r="C11" s="37" t="str">
        <f>IFERROR(IF(IFERROR(MATCH(7,'كشف الحساب'!$N$4:$N$203,0),0)=0,"",INDEX('كشف الحساب'!$C$4:$C$203,IFERROR(MATCH(7,'كشف الحساب'!$N$4:$N$203,0),0))),"")</f>
        <v>عطريات عدد 8 الحبه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8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68.550000000000011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46212</v>
      </c>
      <c r="B12" s="61" t="str">
        <f>IFERROR(IF(IFERROR(MATCH(8,'كشف الحساب'!$N$4:$N$203,0),0)=0,"",INDEX('كشف الحساب'!$B$4:$B$203,IFERROR(MATCH(8,'كشف الحساب'!$N$4:$N$203,0),0))),"")</f>
        <v>Inv-88</v>
      </c>
      <c r="C12" s="27" t="str">
        <f>IFERROR(IF(IFERROR(MATCH(8,'كشف الحساب'!$N$4:$N$203,0),0)=0,"",INDEX('كشف الحساب'!$C$4:$C$203,IFERROR(MATCH(8,'كشف الحساب'!$N$4:$N$203,0),0))),"")</f>
        <v>دارسنا عدد1 الحبه 5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5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73.550000000000011</v>
      </c>
      <c r="K12" s="61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46212</v>
      </c>
      <c r="B13" s="59" t="str">
        <f>IFERROR(IF(IFERROR(MATCH(9,'كشف الحساب'!$N$4:$N$203,0),0)=0,"",INDEX('كشف الحساب'!$B$4:$B$203,IFERROR(MATCH(9,'كشف الحساب'!$N$4:$N$203,0),0))),"")</f>
        <v>Inv-89</v>
      </c>
      <c r="C13" s="37" t="str">
        <f>IFERROR(IF(IFERROR(MATCH(9,'كشف الحساب'!$N$4:$N$203,0),0)=0,"",INDEX('كشف الحساب'!$C$4:$C$203,IFERROR(MATCH(9,'كشف الحساب'!$N$4:$N$203,0),0))),"")</f>
        <v>فل عدد1 الحبه .750</v>
      </c>
      <c r="D13" s="38">
        <f>IFERROR(IF(IFERROR(MATCH(9,'كشف الحساب'!$N$4:$N$203,0),0)=0,"",INDEX('كشف الحساب'!$D$4:$D$203,IFERROR(MATCH(9,'كشف الحساب'!$N$4:$N$203,0),0))),"")</f>
        <v>0</v>
      </c>
      <c r="E13" s="60">
        <f>IFERROR(IF(IFERROR(MATCH(9,'كشف الحساب'!$N$4:$N$203,0),0)=0,"",INDEX('كشف الحساب'!$E$4:$E$203,IFERROR(MATCH(9,'كشف الحساب'!$N$4:$N$203,0),0))),"")</f>
        <v>0.75</v>
      </c>
      <c r="F13" s="59" t="str">
        <f>IFERROR(IF(IFERROR(MATCH(9,'كشف الحساب'!$N$4:$N$203,0),0)=0,"",INDEX('كشف الحساب'!$F$4:$F$203,IFERROR(MATCH(9,'كشف الحساب'!$N$4:$N$203,0),0))),"")</f>
        <v>أون لاين</v>
      </c>
      <c r="G13" s="59">
        <f>IFERROR(IF(IFERROR(MATCH(9,'كشف الحساب'!$N$4:$N$203,0),0)=0,"",INDEX('كشف الحساب'!$G$4:$G$203,IFERROR(MATCH(9,'كشف الحساب'!$N$4:$N$203,0),0))),"")</f>
        <v>0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74.300000000000011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46212</v>
      </c>
      <c r="B14" s="61" t="str">
        <f>IFERROR(IF(IFERROR(MATCH(10,'كشف الحساب'!$N$4:$N$203,0),0)=0,"",INDEX('كشف الحساب'!$B$4:$B$203,IFERROR(MATCH(10,'كشف الحساب'!$N$4:$N$203,0),0))),"")</f>
        <v>Inv-90</v>
      </c>
      <c r="C14" s="27" t="str">
        <f>IFERROR(IF(IFERROR(MATCH(10,'كشف الحساب'!$N$4:$N$203,0),0)=0,"",INDEX('كشف الحساب'!$C$4:$C$203,IFERROR(MATCH(10,'كشف الحساب'!$N$4:$N$203,0),0))),"")</f>
        <v>دارسينا عدد 1 الحبه 1.500</v>
      </c>
      <c r="D14" s="28">
        <f>IFERROR(IF(IFERROR(MATCH(10,'كشف الحساب'!$N$4:$N$203,0),0)=0,"",INDEX('كشف الحساب'!$D$4:$D$203,IFERROR(MATCH(10,'كشف الحساب'!$N$4:$N$203,0),0))),"")</f>
        <v>0</v>
      </c>
      <c r="E14" s="62">
        <f>IFERROR(IF(IFERROR(MATCH(10,'كشف الحساب'!$N$4:$N$203,0),0)=0,"",INDEX('كشف الحساب'!$E$4:$E$203,IFERROR(MATCH(10,'كشف الحساب'!$N$4:$N$203,0),0))),"")</f>
        <v>1.5</v>
      </c>
      <c r="F14" s="61" t="str">
        <f>IFERROR(IF(IFERROR(MATCH(10,'كشف الحساب'!$N$4:$N$203,0),0)=0,"",INDEX('كشف الحساب'!$F$4:$F$203,IFERROR(MATCH(10,'كشف الحساب'!$N$4:$N$203,0),0))),"")</f>
        <v>أون لاين</v>
      </c>
      <c r="G14" s="61">
        <f>IFERROR(IF(IFERROR(MATCH(10,'كشف الحساب'!$N$4:$N$203,0),0)=0,"",INDEX('كشف الحساب'!$G$4:$G$203,IFERROR(MATCH(10,'كشف الحساب'!$N$4:$N$203,0),0))),"")</f>
        <v>0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75.800000000000011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46212</v>
      </c>
      <c r="B15" s="59" t="str">
        <f>IFERROR(IF(IFERROR(MATCH(11,'كشف الحساب'!$N$4:$N$203,0),0)=0,"",INDEX('كشف الحساب'!$B$4:$B$203,IFERROR(MATCH(11,'كشف الحساب'!$N$4:$N$203,0),0))),"")</f>
        <v>Inv-91</v>
      </c>
      <c r="C15" s="37" t="str">
        <f>IFERROR(IF(IFERROR(MATCH(11,'كشف الحساب'!$N$4:$N$203,0),0)=0,"",INDEX('كشف الحساب'!$C$4:$C$203,IFERROR(MATCH(11,'كشف الحساب'!$N$4:$N$203,0),0))),"")</f>
        <v>افبوديا عدد الحبه 0.750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0.75</v>
      </c>
      <c r="F15" s="59" t="str">
        <f>IFERROR(IF(IFERROR(MATCH(11,'كشف الحساب'!$N$4:$N$203,0),0)=0,"",INDEX('كشف الحساب'!$F$4:$F$203,IFERROR(MATCH(11,'كشف الحساب'!$N$4:$N$203,0),0))),"")</f>
        <v>أون لاين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76.550000000000011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46212</v>
      </c>
      <c r="B16" s="61" t="str">
        <f>IFERROR(IF(IFERROR(MATCH(12,'كشف الحساب'!$N$4:$N$203,0),0)=0,"",INDEX('كشف الحساب'!$B$4:$B$203,IFERROR(MATCH(12,'كشف الحساب'!$N$4:$N$203,0),0))),"")</f>
        <v>Inv-92</v>
      </c>
      <c r="C16" s="27" t="str">
        <f>IFERROR(IF(IFERROR(MATCH(12,'كشف الحساب'!$N$4:$N$203,0),0)=0,"",INDEX('كشف الحساب'!$C$4:$C$203,IFERROR(MATCH(12,'كشف الحساب'!$N$4:$N$203,0),0))),"")</f>
        <v>عطريات عدد 1 الفحبه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1</v>
      </c>
      <c r="F16" s="61" t="str">
        <f>IFERROR(IF(IFERROR(MATCH(12,'كشف الحساب'!$N$4:$N$203,0),0)=0,"",INDEX('كشف الحساب'!$F$4:$F$203,IFERROR(MATCH(12,'كشف الحساب'!$N$4:$N$203,0),0))),"")</f>
        <v>أون لاين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77.550000000000011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46217</v>
      </c>
      <c r="B17" s="59" t="str">
        <f>IFERROR(IF(IFERROR(MATCH(13,'كشف الحساب'!$N$4:$N$203,0),0)=0,"",INDEX('كشف الحساب'!$B$4:$B$203,IFERROR(MATCH(13,'كشف الحساب'!$N$4:$N$203,0),0))),"")</f>
        <v>Inv-93</v>
      </c>
      <c r="C17" s="37" t="str">
        <f>IFERROR(IF(IFERROR(MATCH(13,'كشف الحساب'!$N$4:$N$203,0),0)=0,"",INDEX('كشف الحساب'!$C$4:$C$203,IFERROR(MATCH(13,'كشف الحساب'!$N$4:$N$203,0),0))),"")</f>
        <v>متنوع عدد 2 الحبه 2.500</v>
      </c>
      <c r="D17" s="38">
        <f>IFERROR(IF(IFERROR(MATCH(13,'كشف الحساب'!$N$4:$N$203,0),0)=0,"",INDEX('كشف الحساب'!$D$4:$D$203,IFERROR(MATCH(13,'كشف الحساب'!$N$4:$N$203,0),0))),"")</f>
        <v>0</v>
      </c>
      <c r="E17" s="60">
        <f>IFERROR(IF(IFERROR(MATCH(13,'كشف الحساب'!$N$4:$N$203,0),0)=0,"",INDEX('كشف الحساب'!$E$4:$E$203,IFERROR(MATCH(13,'كشف الحساب'!$N$4:$N$203,0),0))),"")</f>
        <v>5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>
        <f>IFERROR(IF(IFERROR(MATCH(13,'كشف الحساب'!$N$4:$N$203,0),0)=0,"",INDEX('كشف الحساب'!$G$4:$G$203,IFERROR(MATCH(13,'كشف الحساب'!$N$4:$N$203,0),0))),"")</f>
        <v>0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82.550000000000011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46217</v>
      </c>
      <c r="B18" s="61" t="str">
        <f>IFERROR(IF(IFERROR(MATCH(14,'كشف الحساب'!$N$4:$N$203,0),0)=0,"",INDEX('كشف الحساب'!$B$4:$B$203,IFERROR(MATCH(14,'كشف الحساب'!$N$4:$N$203,0),0))),"")</f>
        <v>Inv-94</v>
      </c>
      <c r="C18" s="27" t="str">
        <f>IFERROR(IF(IFERROR(MATCH(14,'كشف الحساب'!$N$4:$N$203,0),0)=0,"",INDEX('كشف الحساب'!$C$4:$C$203,IFERROR(MATCH(14,'كشف الحساب'!$N$4:$N$203,0),0))),"")</f>
        <v>متنوع عدد 12 الحبه 2</v>
      </c>
      <c r="D18" s="28">
        <f>IFERROR(IF(IFERROR(MATCH(14,'كشف الحساب'!$N$4:$N$203,0),0)=0,"",INDEX('كشف الحساب'!$D$4:$D$203,IFERROR(MATCH(14,'كشف الحساب'!$N$4:$N$203,0),0))),"")</f>
        <v>0</v>
      </c>
      <c r="E18" s="62">
        <f>IFERROR(IF(IFERROR(MATCH(14,'كشف الحساب'!$N$4:$N$203,0),0)=0,"",INDEX('كشف الحساب'!$E$4:$E$203,IFERROR(MATCH(14,'كشف الحساب'!$N$4:$N$203,0),0))),"")</f>
        <v>24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>
        <f>IFERROR(IF(IFERROR(MATCH(14,'كشف الحساب'!$N$4:$N$203,0),0)=0,"",INDEX('كشف الحساب'!$G$4:$G$203,IFERROR(MATCH(14,'كشف الحساب'!$N$4:$N$203,0),0))),"")</f>
        <v>0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106.55000000000001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46217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حبل تعليق</v>
      </c>
      <c r="D19" s="38">
        <f>IFERROR(IF(IFERROR(MATCH(15,'كشف الحساب'!$N$4:$N$203,0),0)=0,"",INDEX('كشف الحساب'!$D$4:$D$203,IFERROR(MATCH(15,'كشف الحساب'!$N$4:$N$203,0),0))),"")</f>
        <v>1.925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104.62500000000001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46219</v>
      </c>
      <c r="B20" s="61" t="str">
        <f>IFERROR(IF(IFERROR(MATCH(16,'كشف الحساب'!$N$4:$N$203,0),0)=0,"",INDEX('كشف الحساب'!$B$4:$B$203,IFERROR(MATCH(16,'كشف الحساب'!$N$4:$N$203,0),0))),"")</f>
        <v>Inv-95</v>
      </c>
      <c r="C20" s="27" t="str">
        <f>IFERROR(IF(IFERROR(MATCH(16,'كشف الحساب'!$N$4:$N$203,0),0)=0,"",INDEX('كشف الحساب'!$C$4:$C$203,IFERROR(MATCH(16,'كشف الحساب'!$N$4:$N$203,0),0))),"")</f>
        <v>ربل عدد 1 الحبه 2</v>
      </c>
      <c r="D20" s="28">
        <f>IFERROR(IF(IFERROR(MATCH(16,'كشف الحساب'!$N$4:$N$203,0),0)=0,"",INDEX('كشف الحساب'!$D$4:$D$203,IFERROR(MATCH(16,'كشف الحساب'!$N$4:$N$203,0),0))),"")</f>
        <v>0</v>
      </c>
      <c r="E20" s="62">
        <f>IFERROR(IF(IFERROR(MATCH(16,'كشف الحساب'!$N$4:$N$203,0),0)=0,"",INDEX('كشف الحساب'!$E$4:$E$203,IFERROR(MATCH(16,'كشف الحساب'!$N$4:$N$203,0),0))),"")</f>
        <v>2</v>
      </c>
      <c r="F20" s="61" t="str">
        <f>IFERROR(IF(IFERROR(MATCH(16,'كشف الحساب'!$N$4:$N$203,0),0)=0,"",INDEX('كشف الحساب'!$F$4:$F$203,IFERROR(MATCH(16,'كشف الحساب'!$N$4:$N$203,0),0))),"")</f>
        <v>أون لاين</v>
      </c>
      <c r="G20" s="61">
        <f>IFERROR(IF(IFERROR(MATCH(16,'كشف الحساب'!$N$4:$N$203,0),0)=0,"",INDEX('كشف الحساب'!$G$4:$G$203,IFERROR(MATCH(16,'كشف الحساب'!$N$4:$N$203,0),0))),"")</f>
        <v>0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106.62500000000001</v>
      </c>
      <c r="K20" s="61" t="str">
        <f>IFERROR(IF(IFERROR(MATCH(16,'كشف الحساب'!$N$4:$N$203,0),0)=0,"",INDEX('كشف الحساب'!$K$4:$K$203,IFERROR(MATCH(16,'كشف الحساب'!$N$4:$N$203,0),0))),"")</f>
        <v>مهندس عامر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46219</v>
      </c>
      <c r="B21" s="59" t="str">
        <f>IFERROR(IF(IFERROR(MATCH(17,'كشف الحساب'!$N$4:$N$203,0),0)=0,"",INDEX('كشف الحساب'!$B$4:$B$203,IFERROR(MATCH(17,'كشف الحساب'!$N$4:$N$203,0),0))),"")</f>
        <v>Inv-96</v>
      </c>
      <c r="C21" s="37" t="str">
        <f>IFERROR(IF(IFERROR(MATCH(17,'كشف الحساب'!$N$4:$N$203,0),0)=0,"",INDEX('كشف الحساب'!$C$4:$C$203,IFERROR(MATCH(17,'كشف الحساب'!$N$4:$N$203,0),0))),"")</f>
        <v xml:space="preserve">دارسينا عدد 1 الحبه 2 </v>
      </c>
      <c r="D21" s="38">
        <f>IFERROR(IF(IFERROR(MATCH(17,'كشف الحساب'!$N$4:$N$203,0),0)=0,"",INDEX('كشف الحساب'!$D$4:$D$203,IFERROR(MATCH(17,'كشف الحساب'!$N$4:$N$203,0),0))),"")</f>
        <v>0</v>
      </c>
      <c r="E21" s="60">
        <f>IFERROR(IF(IFERROR(MATCH(17,'كشف الحساب'!$N$4:$N$203,0),0)=0,"",INDEX('كشف الحساب'!$E$4:$E$203,IFERROR(MATCH(17,'كشف الحساب'!$N$4:$N$203,0),0))),"")</f>
        <v>2</v>
      </c>
      <c r="F21" s="59" t="str">
        <f>IFERROR(IF(IFERROR(MATCH(17,'كشف الحساب'!$N$4:$N$203,0),0)=0,"",INDEX('كشف الحساب'!$F$4:$F$203,IFERROR(MATCH(17,'كشف الحساب'!$N$4:$N$203,0),0))),"")</f>
        <v>أون لاين</v>
      </c>
      <c r="G21" s="59">
        <f>IFERROR(IF(IFERROR(MATCH(17,'كشف الحساب'!$N$4:$N$203,0),0)=0,"",INDEX('كشف الحساب'!$G$4:$G$203,IFERROR(MATCH(17,'كشف الحساب'!$N$4:$N$203,0),0))),"")</f>
        <v>0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108.62500000000001</v>
      </c>
      <c r="K21" s="59" t="str">
        <f>IFERROR(IF(IFERROR(MATCH(17,'كشف الحساب'!$N$4:$N$203,0),0)=0,"",INDEX('كشف الحساب'!$K$4:$K$203,IFERROR(MATCH(17,'كشف الحساب'!$N$4:$N$203,0),0))),"")</f>
        <v>مهندس عامر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46221</v>
      </c>
      <c r="B22" s="61" t="str">
        <f>IFERROR(IF(IFERROR(MATCH(18,'كشف الحساب'!$N$4:$N$203,0),0)=0,"",INDEX('كشف الحساب'!$B$4:$B$203,IFERROR(MATCH(18,'كشف الحساب'!$N$4:$N$203,0),0))),"")</f>
        <v>Inv-97</v>
      </c>
      <c r="C22" s="27" t="str">
        <f>IFERROR(IF(IFERROR(MATCH(18,'كشف الحساب'!$N$4:$N$203,0),0)=0,"",INDEX('كشف الحساب'!$C$4:$C$203,IFERROR(MATCH(18,'كشف الحساب'!$N$4:$N$203,0),0))),"")</f>
        <v>افوبيا عدد 1 الحبه 1</v>
      </c>
      <c r="D22" s="28">
        <f>IFERROR(IF(IFERROR(MATCH(18,'كشف الحساب'!$N$4:$N$203,0),0)=0,"",INDEX('كشف الحساب'!$D$4:$D$203,IFERROR(MATCH(18,'كشف الحساب'!$N$4:$N$203,0),0))),"")</f>
        <v>0</v>
      </c>
      <c r="E22" s="62">
        <f>IFERROR(IF(IFERROR(MATCH(18,'كشف الحساب'!$N$4:$N$203,0),0)=0,"",INDEX('كشف الحساب'!$E$4:$E$203,IFERROR(MATCH(18,'كشف الحساب'!$N$4:$N$203,0),0))),"")</f>
        <v>1</v>
      </c>
      <c r="F22" s="61" t="str">
        <f>IFERROR(IF(IFERROR(MATCH(18,'كشف الحساب'!$N$4:$N$203,0),0)=0,"",INDEX('كشف الحساب'!$F$4:$F$203,IFERROR(MATCH(18,'كشف الحساب'!$N$4:$N$203,0),0))),"")</f>
        <v>أون لاين</v>
      </c>
      <c r="G22" s="61">
        <f>IFERROR(IF(IFERROR(MATCH(18,'كشف الحساب'!$N$4:$N$203,0),0)=0,"",INDEX('كشف الحساب'!$G$4:$G$203,IFERROR(MATCH(18,'كشف الحساب'!$N$4:$N$203,0),0))),"")</f>
        <v>0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109.62500000000001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46221</v>
      </c>
      <c r="B23" s="59" t="str">
        <f>IFERROR(IF(IFERROR(MATCH(19,'كشف الحساب'!$N$4:$N$203,0),0)=0,"",INDEX('كشف الحساب'!$B$4:$B$203,IFERROR(MATCH(19,'كشف الحساب'!$N$4:$N$203,0),0))),"")</f>
        <v>Inv-98</v>
      </c>
      <c r="C23" s="37" t="str">
        <f>IFERROR(IF(IFERROR(MATCH(19,'كشف الحساب'!$N$4:$N$203,0),0)=0,"",INDEX('كشف الحساب'!$C$4:$C$203,IFERROR(MATCH(19,'كشف الحساب'!$N$4:$N$203,0),0))),"")</f>
        <v>دارسينا عدد 1 الحبه 2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2</v>
      </c>
      <c r="F23" s="59" t="str">
        <f>IFERROR(IF(IFERROR(MATCH(19,'كشف الحساب'!$N$4:$N$203,0),0)=0,"",INDEX('كشف الحساب'!$F$4:$F$203,IFERROR(MATCH(19,'كشف الحساب'!$N$4:$N$203,0),0))),"")</f>
        <v>أون لاين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111.62500000000001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46224</v>
      </c>
      <c r="B24" s="61" t="str">
        <f>IFERROR(IF(IFERROR(MATCH(20,'كشف الحساب'!$N$4:$N$203,0),0)=0,"",INDEX('كشف الحساب'!$B$4:$B$203,IFERROR(MATCH(20,'كشف الحساب'!$N$4:$N$203,0),0))),"")</f>
        <v>Inv-99</v>
      </c>
      <c r="C24" s="27" t="str">
        <f>IFERROR(IF(IFERROR(MATCH(20,'كشف الحساب'!$N$4:$N$203,0),0)=0,"",INDEX('كشف الحساب'!$C$4:$C$203,IFERROR(MATCH(20,'كشف الحساب'!$N$4:$N$203,0),0))),"")</f>
        <v>افوبيا عدد 9 الحبه 1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9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120.62500000000001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46224</v>
      </c>
      <c r="B25" s="59" t="str">
        <f>IFERROR(IF(IFERROR(MATCH(21,'كشف الحساب'!$N$4:$N$203,0),0)=0,"",INDEX('كشف الحساب'!$B$4:$B$203,IFERROR(MATCH(21,'كشف الحساب'!$N$4:$N$203,0),0))),"")</f>
        <v>Inv-100</v>
      </c>
      <c r="C25" s="37" t="str">
        <f>IFERROR(IF(IFERROR(MATCH(21,'كشف الحساب'!$N$4:$N$203,0),0)=0,"",INDEX('كشف الحساب'!$C$4:$C$203,IFERROR(MATCH(21,'كشف الحساب'!$N$4:$N$203,0),0))),"")</f>
        <v>ربل عدد 11 الحبه 2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142.625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46225</v>
      </c>
      <c r="B26" s="61" t="str">
        <f>IFERROR(IF(IFERROR(MATCH(22,'كشف الحساب'!$N$4:$N$203,0),0)=0,"",INDEX('كشف الحساب'!$B$4:$B$203,IFERROR(MATCH(22,'كشف الحساب'!$N$4:$N$203,0),0))),"")</f>
        <v>Inv-101</v>
      </c>
      <c r="C26" s="27" t="str">
        <f>IFERROR(IF(IFERROR(MATCH(22,'كشف الحساب'!$N$4:$N$203,0),0)=0,"",INDEX('كشف الحساب'!$C$4:$C$203,IFERROR(MATCH(22,'كشف الحساب'!$N$4:$N$203,0),0))),"")</f>
        <v>افوبيا عدد2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2</v>
      </c>
      <c r="F26" s="61" t="str">
        <f>IFERROR(IF(IFERROR(MATCH(22,'كشف الحساب'!$N$4:$N$203,0),0)=0,"",INDEX('كشف الحساب'!$F$4:$F$203,IFERROR(MATCH(22,'كشف الحساب'!$N$4:$N$203,0),0))),"")</f>
        <v>أون لاين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144.625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46227</v>
      </c>
      <c r="B27" s="59" t="str">
        <f>IFERROR(IF(IFERROR(MATCH(23,'كشف الحساب'!$N$4:$N$203,0),0)=0,"",INDEX('كشف الحساب'!$B$4:$B$203,IFERROR(MATCH(23,'كشف الحساب'!$N$4:$N$203,0),0))),"")</f>
        <v>Inv-102</v>
      </c>
      <c r="C27" s="37" t="str">
        <f>IFERROR(IF(IFERROR(MATCH(23,'كشف الحساب'!$N$4:$N$203,0),0)=0,"",INDEX('كشف الحساب'!$C$4:$C$203,IFERROR(MATCH(23,'كشف الحساب'!$N$4:$N$203,0),0))),"")</f>
        <v>متنوع عدد2 الحبه 1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2</v>
      </c>
      <c r="F27" s="59" t="str">
        <f>IFERROR(IF(IFERROR(MATCH(23,'كشف الحساب'!$N$4:$N$203,0),0)=0,"",INDEX('كشف الحساب'!$F$4:$F$203,IFERROR(MATCH(23,'كشف الحساب'!$N$4:$N$203,0),0))),"")</f>
        <v>أون لاين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146.625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46229</v>
      </c>
      <c r="B28" s="61">
        <f>IFERROR(IF(IFERROR(MATCH(24,'كشف الحساب'!$N$4:$N$203,0),0)=0,"",INDEX('كشف الحساب'!$B$4:$B$203,IFERROR(MATCH(24,'كشف الحساب'!$N$4:$N$203,0),0))),"")</f>
        <v>0</v>
      </c>
      <c r="C28" s="27" t="str">
        <f>IFERROR(IF(IFERROR(MATCH(24,'كشف الحساب'!$N$4:$N$203,0),0)=0,"",INDEX('كشف الحساب'!$C$4:$C$203,IFERROR(MATCH(24,'كشف الحساب'!$N$4:$N$203,0),0))),"")</f>
        <v>كوكوبيد</v>
      </c>
      <c r="D28" s="28">
        <f>IFERROR(IF(IFERROR(MATCH(24,'كشف الحساب'!$N$4:$N$203,0),0)=0,"",INDEX('كشف الحساب'!$D$4:$D$203,IFERROR(MATCH(24,'كشف الحساب'!$N$4:$N$203,0),0))),"")</f>
        <v>10</v>
      </c>
      <c r="E28" s="62">
        <f>IFERROR(IF(IFERROR(MATCH(24,'كشف الحساب'!$N$4:$N$203,0),0)=0,"",INDEX('كشف الحساب'!$E$4:$E$203,IFERROR(MATCH(24,'كشف الحساب'!$N$4:$N$203,0),0))),"")</f>
        <v>0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 t="str">
        <f>IFERROR(IF(IFERROR(MATCH(24,'كشف الحساب'!$N$4:$N$203,0),0)=0,"",INDEX('كشف الحساب'!$G$4:$G$203,IFERROR(MATCH(24,'كشف الحساب'!$N$4:$N$203,0),0))),"")</f>
        <v>المحفظة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136.625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46229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1000 مقاس 14 سم</v>
      </c>
      <c r="D29" s="38">
        <f>IFERROR(IF(IFERROR(MATCH(25,'كشف الحساب'!$N$4:$N$203,0),0)=0,"",INDEX('كشف الحساب'!$D$4:$D$203,IFERROR(MATCH(25,'كشف الحساب'!$N$4:$N$203,0),0))),"")</f>
        <v>20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نقداً</v>
      </c>
      <c r="G29" s="59" t="str">
        <f>IFERROR(IF(IFERROR(MATCH(25,'كشف الحساب'!$N$4:$N$203,0),0)=0,"",INDEX('كشف الحساب'!$G$4:$G$203,IFERROR(MATCH(25,'كشف الحساب'!$N$4:$N$203,0),0))),"")</f>
        <v>المحفظة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116.625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46594</v>
      </c>
      <c r="B30" s="61" t="str">
        <f>IFERROR(IF(IFERROR(MATCH(26,'كشف الحساب'!$N$4:$N$203,0),0)=0,"",INDEX('كشف الحساب'!$B$4:$B$203,IFERROR(MATCH(26,'كشف الحساب'!$N$4:$N$203,0),0))),"")</f>
        <v>Inv-103</v>
      </c>
      <c r="C30" s="27" t="str">
        <f>IFERROR(IF(IFERROR(MATCH(26,'كشف الحساب'!$N$4:$N$203,0),0)=0,"",INDEX('كشف الحساب'!$C$4:$C$203,IFERROR(MATCH(26,'كشف الحساب'!$N$4:$N$203,0),0))),"")</f>
        <v>متفرقات</v>
      </c>
      <c r="D30" s="28">
        <f>IFERROR(IF(IFERROR(MATCH(26,'كشف الحساب'!$N$4:$N$203,0),0)=0,"",INDEX('كشف الحساب'!$D$4:$D$203,IFERROR(MATCH(26,'كشف الحساب'!$N$4:$N$203,0),0))),"")</f>
        <v>0</v>
      </c>
      <c r="E30" s="62">
        <f>IFERROR(IF(IFERROR(MATCH(26,'كشف الحساب'!$N$4:$N$203,0),0)=0,"",INDEX('كشف الحساب'!$E$4:$E$203,IFERROR(MATCH(26,'كشف الحساب'!$N$4:$N$203,0),0))),"")</f>
        <v>7.5</v>
      </c>
      <c r="F30" s="61" t="str">
        <f>IFERROR(IF(IFERROR(MATCH(26,'كشف الحساب'!$N$4:$N$203,0),0)=0,"",INDEX('كشف الحساب'!$F$4:$F$203,IFERROR(MATCH(26,'كشف الحساب'!$N$4:$N$203,0),0))),"")</f>
        <v>نقداً</v>
      </c>
      <c r="G30" s="61">
        <f>IFERROR(IF(IFERROR(MATCH(26,'كشف الحساب'!$N$4:$N$203,0),0)=0,"",INDEX('كشف الحساب'!$G$4:$G$203,IFERROR(MATCH(26,'كشف الحساب'!$N$4:$N$203,0),0))),"")</f>
        <v>0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124.125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46229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تسوية رصيد فعلي - المتوفر 107.305 (صافي الشهر 99.075 + فائض عام 16.750)</v>
      </c>
      <c r="D31" s="38">
        <f>IFERROR(IF(IFERROR(MATCH(27,'كشف الحساب'!$N$4:$N$203,0),0)=0,"",INDEX('كشف الحساب'!$D$4:$D$203,IFERROR(MATCH(27,'كشف الحساب'!$N$4:$N$203,0),0))),"")</f>
        <v>16.82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107.30500000000001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46231</v>
      </c>
      <c r="B32" s="61" t="str">
        <f>IFERROR(IF(IFERROR(MATCH(28,'كشف الحساب'!$N$4:$N$203,0),0)=0,"",INDEX('كشف الحساب'!$B$4:$B$203,IFERROR(MATCH(28,'كشف الحساب'!$N$4:$N$203,0),0))),"")</f>
        <v>Inv-104</v>
      </c>
      <c r="C32" s="27" t="str">
        <f>IFERROR(IF(IFERROR(MATCH(28,'كشف الحساب'!$N$4:$N$203,0),0)=0,"",INDEX('كشف الحساب'!$C$4:$C$203,IFERROR(MATCH(28,'كشف الحساب'!$N$4:$N$203,0),0))),"")</f>
        <v>متنوع عدد 1 الحبه 2.500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2.5</v>
      </c>
      <c r="F32" s="61" t="str">
        <f>IFERROR(IF(IFERROR(MATCH(28,'كشف الحساب'!$N$4:$N$203,0),0)=0,"",INDEX('كشف الحساب'!$F$4:$F$203,IFERROR(MATCH(28,'كشف الحساب'!$N$4:$N$203,0),0))),"")</f>
        <v>أون لاين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109.80500000000001</v>
      </c>
      <c r="K32" s="61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46231</v>
      </c>
      <c r="B33" s="59" t="str">
        <f>IFERROR(IF(IFERROR(MATCH(29,'كشف الحساب'!$N$4:$N$203,0),0)=0,"",INDEX('كشف الحساب'!$B$4:$B$203,IFERROR(MATCH(29,'كشف الحساب'!$N$4:$N$203,0),0))),"")</f>
        <v>Inv-105</v>
      </c>
      <c r="C33" s="37" t="str">
        <f>IFERROR(IF(IFERROR(MATCH(29,'كشف الحساب'!$N$4:$N$203,0),0)=0,"",INDEX('كشف الحساب'!$C$4:$C$203,IFERROR(MATCH(29,'كشف الحساب'!$N$4:$N$203,0),0))),"")</f>
        <v>دارسينا عدد 1 الحبه 3</v>
      </c>
      <c r="D33" s="38">
        <f>IFERROR(IF(IFERROR(MATCH(29,'كشف الحساب'!$N$4:$N$203,0),0)=0,"",INDEX('كشف الحساب'!$D$4:$D$203,IFERROR(MATCH(29,'كشف الحساب'!$N$4:$N$203,0),0))),"")</f>
        <v>0</v>
      </c>
      <c r="E33" s="60">
        <f>IFERROR(IF(IFERROR(MATCH(29,'كشف الحساب'!$N$4:$N$203,0),0)=0,"",INDEX('كشف الحساب'!$E$4:$E$203,IFERROR(MATCH(29,'كشف الحساب'!$N$4:$N$203,0),0))),"")</f>
        <v>3</v>
      </c>
      <c r="F33" s="59" t="str">
        <f>IFERROR(IF(IFERROR(MATCH(29,'كشف الحساب'!$N$4:$N$203,0),0)=0,"",INDEX('كشف الحساب'!$F$4:$F$203,IFERROR(MATCH(29,'كشف الحساب'!$N$4:$N$203,0),0))),"")</f>
        <v>أون لاين</v>
      </c>
      <c r="G33" s="59">
        <f>IFERROR(IF(IFERROR(MATCH(29,'كشف الحساب'!$N$4:$N$203,0),0)=0,"",INDEX('كشف الحساب'!$G$4:$G$203,IFERROR(MATCH(29,'كشف الحساب'!$N$4:$N$203,0),0))),"")</f>
        <v>0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112.80500000000001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 t="str">
        <f>IFERROR(IF(IFERROR(MATCH(30,'كشف الحساب'!$N$4:$N$203,0),0)=0,"",INDEX('كشف الحساب'!$A$4:$A$203,IFERROR(MATCH(30,'كشف الحساب'!$N$4:$N$203,0),0))),"")</f>
        <v/>
      </c>
      <c r="B34" s="61" t="str">
        <f>IFERROR(IF(IFERROR(MATCH(30,'كشف الحساب'!$N$4:$N$203,0),0)=0,"",INDEX('كشف الحساب'!$B$4:$B$203,IFERROR(MATCH(30,'كشف الحساب'!$N$4:$N$203,0),0))),"")</f>
        <v/>
      </c>
      <c r="C34" s="27" t="str">
        <f>IFERROR(IF(IFERROR(MATCH(30,'كشف الحساب'!$N$4:$N$203,0),0)=0,"",INDEX('كشف الحساب'!$C$4:$C$203,IFERROR(MATCH(30,'كشف الحساب'!$N$4:$N$203,0),0))),"")</f>
        <v/>
      </c>
      <c r="D34" s="28" t="str">
        <f>IFERROR(IF(IFERROR(MATCH(30,'كشف الحساب'!$N$4:$N$203,0),0)=0,"",INDEX('كشف الحساب'!$D$4:$D$203,IFERROR(MATCH(30,'كشف الحساب'!$N$4:$N$203,0),0))),"")</f>
        <v/>
      </c>
      <c r="E34" s="62" t="str">
        <f>IFERROR(IF(IFERROR(MATCH(30,'كشف الحساب'!$N$4:$N$203,0),0)=0,"",INDEX('كشف الحساب'!$E$4:$E$203,IFERROR(MATCH(30,'كشف الحساب'!$N$4:$N$203,0),0))),"")</f>
        <v/>
      </c>
      <c r="F34" s="61" t="str">
        <f>IFERROR(IF(IFERROR(MATCH(30,'كشف الحساب'!$N$4:$N$203,0),0)=0,"",INDEX('كشف الحساب'!$F$4:$F$203,IFERROR(MATCH(30,'كشف الحساب'!$N$4:$N$203,0),0))),"")</f>
        <v/>
      </c>
      <c r="G34" s="61" t="str">
        <f>IFERROR(IF(IFERROR(MATCH(30,'كشف الحساب'!$N$4:$N$203,0),0)=0,"",INDEX('كشف الحساب'!$G$4:$G$203,IFERROR(MATCH(30,'كشف الحساب'!$N$4:$N$203,0),0))),"")</f>
        <v/>
      </c>
      <c r="H34" s="61" t="str">
        <f>IFERROR(IF(IFERROR(MATCH(30,'كشف الحساب'!$N$4:$N$203,0),0)=0,"",INDEX('كشف الحساب'!$H$4:$H$203,IFERROR(MATCH(30,'كشف الحساب'!$N$4:$N$203,0),0))),"")</f>
        <v/>
      </c>
      <c r="I34" s="61" t="str">
        <f>IFERROR(IF(IFERROR(MATCH(30,'كشف الحساب'!$N$4:$N$203,0),0)=0,"",INDEX('كشف الحساب'!$I$4:$I$203,IFERROR(MATCH(30,'كشف الحساب'!$N$4:$N$203,0),0))),"")</f>
        <v/>
      </c>
      <c r="J34" s="34" t="str">
        <f>IFERROR(IF(IFERROR(MATCH(30,'كشف الحساب'!$N$4:$N$203,0),0)=0,"",INDEX('كشف الحساب'!$J$4:$J$203,IFERROR(MATCH(30,'كشف الحساب'!$N$4:$N$203,0),0))),"")</f>
        <v/>
      </c>
      <c r="K34" s="61" t="str">
        <f>IFERROR(IF(IFERROR(MATCH(30,'كشف الحساب'!$N$4:$N$203,0),0)=0,"",INDEX('كشف الحساب'!$K$4:$K$203,IFERROR(MATCH(30,'كشف الحساب'!$N$4:$N$203,0),0))),"")</f>
        <v/>
      </c>
    </row>
    <row r="35" spans="1:11" ht="15" customHeight="1" x14ac:dyDescent="0.25">
      <c r="A35" s="63" t="str">
        <f>IFERROR(IF(IFERROR(MATCH(31,'كشف الحساب'!$N$4:$N$203,0),0)=0,"",INDEX('كشف الحساب'!$A$4:$A$203,IFERROR(MATCH(31,'كشف الحساب'!$N$4:$N$203,0),0))),"")</f>
        <v/>
      </c>
      <c r="B35" s="64" t="str">
        <f>IFERROR(IF(IFERROR(MATCH(31,'كشف الحساب'!$N$4:$N$203,0),0)=0,"",INDEX('كشف الحساب'!$B$4:$B$203,IFERROR(MATCH(31,'كشف الحساب'!$N$4:$N$203,0),0))),"")</f>
        <v/>
      </c>
      <c r="C35" s="65" t="str">
        <f>IFERROR(IF(IFERROR(MATCH(31,'كشف الحساب'!$N$4:$N$203,0),0)=0,"",INDEX('كشف الحساب'!$C$4:$C$203,IFERROR(MATCH(31,'كشف الحساب'!$N$4:$N$203,0),0))),"")</f>
        <v/>
      </c>
      <c r="D35" s="66" t="str">
        <f>IFERROR(IF(IFERROR(MATCH(31,'كشف الحساب'!$N$4:$N$203,0),0)=0,"",INDEX('كشف الحساب'!$D$4:$D$203,IFERROR(MATCH(31,'كشف الحساب'!$N$4:$N$203,0),0))),"")</f>
        <v/>
      </c>
      <c r="E35" s="67" t="str">
        <f>IFERROR(IF(IFERROR(MATCH(31,'كشف الحساب'!$N$4:$N$203,0),0)=0,"",INDEX('كشف الحساب'!$E$4:$E$203,IFERROR(MATCH(31,'كشف الحساب'!$N$4:$N$203,0),0))),"")</f>
        <v/>
      </c>
      <c r="F35" s="64" t="str">
        <f>IFERROR(IF(IFERROR(MATCH(31,'كشف الحساب'!$N$4:$N$203,0),0)=0,"",INDEX('كشف الحساب'!$F$4:$F$203,IFERROR(MATCH(31,'كشف الحساب'!$N$4:$N$203,0),0))),"")</f>
        <v/>
      </c>
      <c r="G35" s="64" t="str">
        <f>IFERROR(IF(IFERROR(MATCH(31,'كشف الحساب'!$N$4:$N$203,0),0)=0,"",INDEX('كشف الحساب'!$G$4:$G$203,IFERROR(MATCH(31,'كشف الحساب'!$N$4:$N$203,0),0))),"")</f>
        <v/>
      </c>
      <c r="H35" s="64" t="str">
        <f>IFERROR(IF(IFERROR(MATCH(31,'كشف الحساب'!$N$4:$N$203,0),0)=0,"",INDEX('كشف الحساب'!$H$4:$H$203,IFERROR(MATCH(31,'كشف الحساب'!$N$4:$N$203,0),0))),"")</f>
        <v/>
      </c>
      <c r="I35" s="64" t="str">
        <f>IFERROR(IF(IFERROR(MATCH(31,'كشف الحساب'!$N$4:$N$203,0),0)=0,"",INDEX('كشف الحساب'!$I$4:$I$203,IFERROR(MATCH(31,'كشف الحساب'!$N$4:$N$203,0),0))),"")</f>
        <v/>
      </c>
      <c r="J35" s="68" t="str">
        <f>IFERROR(IF(IFERROR(MATCH(31,'كشف الحساب'!$N$4:$N$203,0),0)=0,"",INDEX('كشف الحساب'!$J$4:$J$203,IFERROR(MATCH(31,'كشف الحساب'!$N$4:$N$203,0),0))),"")</f>
        <v/>
      </c>
      <c r="K35" s="64" t="str">
        <f>IFERROR(IF(IFERROR(MATCH(31,'كشف الحساب'!$N$4:$N$203,0),0)=0,"",INDEX('كشف الحساب'!$K$4:$K$203,IFERROR(MATCH(31,'كشف الحساب'!$N$4:$N$203,0),0))),"")</f>
        <v/>
      </c>
    </row>
    <row r="36" spans="1:11" ht="15" customHeight="1" x14ac:dyDescent="0.25">
      <c r="A36" s="69" t="str">
        <f>IFERROR(IF(IFERROR(MATCH(32,'كشف الحساب'!$N$4:$N$203,0),0)=0,"",INDEX('كشف الحساب'!$A$4:$A$203,IFERROR(MATCH(32,'كشف الحساب'!$N$4:$N$203,0),0))),"")</f>
        <v/>
      </c>
      <c r="B36" s="70" t="str">
        <f>IFERROR(IF(IFERROR(MATCH(32,'كشف الحساب'!$N$4:$N$203,0),0)=0,"",INDEX('كشف الحساب'!$B$4:$B$203,IFERROR(MATCH(32,'كشف الحساب'!$N$4:$N$203,0),0))),"")</f>
        <v/>
      </c>
      <c r="C36" s="71" t="str">
        <f>IFERROR(IF(IFERROR(MATCH(32,'كشف الحساب'!$N$4:$N$203,0),0)=0,"",INDEX('كشف الحساب'!$C$4:$C$203,IFERROR(MATCH(32,'كشف الحساب'!$N$4:$N$203,0),0))),"")</f>
        <v/>
      </c>
      <c r="D36" s="72" t="str">
        <f>IFERROR(IF(IFERROR(MATCH(32,'كشف الحساب'!$N$4:$N$203,0),0)=0,"",INDEX('كشف الحساب'!$D$4:$D$203,IFERROR(MATCH(32,'كشف الحساب'!$N$4:$N$203,0),0))),"")</f>
        <v/>
      </c>
      <c r="E36" s="73" t="str">
        <f>IFERROR(IF(IFERROR(MATCH(32,'كشف الحساب'!$N$4:$N$203,0),0)=0,"",INDEX('كشف الحساب'!$E$4:$E$203,IFERROR(MATCH(32,'كشف الحساب'!$N$4:$N$203,0),0))),"")</f>
        <v/>
      </c>
      <c r="F36" s="70" t="str">
        <f>IFERROR(IF(IFERROR(MATCH(32,'كشف الحساب'!$N$4:$N$203,0),0)=0,"",INDEX('كشف الحساب'!$F$4:$F$203,IFERROR(MATCH(32,'كشف الحساب'!$N$4:$N$203,0),0))),"")</f>
        <v/>
      </c>
      <c r="G36" s="70" t="str">
        <f>IFERROR(IF(IFERROR(MATCH(32,'كشف الحساب'!$N$4:$N$203,0),0)=0,"",INDEX('كشف الحساب'!$G$4:$G$203,IFERROR(MATCH(32,'كشف الحساب'!$N$4:$N$203,0),0))),"")</f>
        <v/>
      </c>
      <c r="H36" s="70" t="str">
        <f>IFERROR(IF(IFERROR(MATCH(32,'كشف الحساب'!$N$4:$N$203,0),0)=0,"",INDEX('كشف الحساب'!$H$4:$H$203,IFERROR(MATCH(32,'كشف الحساب'!$N$4:$N$203,0),0))),"")</f>
        <v/>
      </c>
      <c r="I36" s="70" t="str">
        <f>IFERROR(IF(IFERROR(MATCH(32,'كشف الحساب'!$N$4:$N$203,0),0)=0,"",INDEX('كشف الحساب'!$I$4:$I$203,IFERROR(MATCH(32,'كشف الحساب'!$N$4:$N$203,0),0))),"")</f>
        <v/>
      </c>
      <c r="J36" s="74" t="str">
        <f>IFERROR(IF(IFERROR(MATCH(32,'كشف الحساب'!$N$4:$N$203,0),0)=0,"",INDEX('كشف الحساب'!$J$4:$J$203,IFERROR(MATCH(32,'كشف الحساب'!$N$4:$N$203,0),0))),"")</f>
        <v/>
      </c>
      <c r="K36" s="70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 x14ac:dyDescent="0.25">
      <c r="A37" s="63" t="str">
        <f>IFERROR(IF(IFERROR(MATCH(33,'كشف الحساب'!$N$4:$N$203,0),0)=0,"",INDEX('كشف الحساب'!$A$4:$A$203,IFERROR(MATCH(33,'كشف الحساب'!$N$4:$N$203,0),0))),"")</f>
        <v/>
      </c>
      <c r="B37" s="64" t="str">
        <f>IFERROR(IF(IFERROR(MATCH(33,'كشف الحساب'!$N$4:$N$203,0),0)=0,"",INDEX('كشف الحساب'!$B$4:$B$203,IFERROR(MATCH(33,'كشف الحساب'!$N$4:$N$203,0),0))),"")</f>
        <v/>
      </c>
      <c r="C37" s="65" t="str">
        <f>IFERROR(IF(IFERROR(MATCH(33,'كشف الحساب'!$N$4:$N$203,0),0)=0,"",INDEX('كشف الحساب'!$C$4:$C$203,IFERROR(MATCH(33,'كشف الحساب'!$N$4:$N$203,0),0))),"")</f>
        <v/>
      </c>
      <c r="D37" s="66" t="str">
        <f>IFERROR(IF(IFERROR(MATCH(33,'كشف الحساب'!$N$4:$N$203,0),0)=0,"",INDEX('كشف الحساب'!$D$4:$D$203,IFERROR(MATCH(33,'كشف الحساب'!$N$4:$N$203,0),0))),"")</f>
        <v/>
      </c>
      <c r="E37" s="67" t="str">
        <f>IFERROR(IF(IFERROR(MATCH(33,'كشف الحساب'!$N$4:$N$203,0),0)=0,"",INDEX('كشف الحساب'!$E$4:$E$203,IFERROR(MATCH(33,'كشف الحساب'!$N$4:$N$203,0),0))),"")</f>
        <v/>
      </c>
      <c r="F37" s="64" t="str">
        <f>IFERROR(IF(IFERROR(MATCH(33,'كشف الحساب'!$N$4:$N$203,0),0)=0,"",INDEX('كشف الحساب'!$F$4:$F$203,IFERROR(MATCH(33,'كشف الحساب'!$N$4:$N$203,0),0))),"")</f>
        <v/>
      </c>
      <c r="G37" s="64" t="str">
        <f>IFERROR(IF(IFERROR(MATCH(33,'كشف الحساب'!$N$4:$N$203,0),0)=0,"",INDEX('كشف الحساب'!$G$4:$G$203,IFERROR(MATCH(33,'كشف الحساب'!$N$4:$N$203,0),0))),"")</f>
        <v/>
      </c>
      <c r="H37" s="64" t="str">
        <f>IFERROR(IF(IFERROR(MATCH(33,'كشف الحساب'!$N$4:$N$203,0),0)=0,"",INDEX('كشف الحساب'!$H$4:$H$203,IFERROR(MATCH(33,'كشف الحساب'!$N$4:$N$203,0),0))),"")</f>
        <v/>
      </c>
      <c r="I37" s="64" t="str">
        <f>IFERROR(IF(IFERROR(MATCH(33,'كشف الحساب'!$N$4:$N$203,0),0)=0,"",INDEX('كشف الحساب'!$I$4:$I$203,IFERROR(MATCH(33,'كشف الحساب'!$N$4:$N$203,0),0))),"")</f>
        <v/>
      </c>
      <c r="J37" s="68" t="str">
        <f>IFERROR(IF(IFERROR(MATCH(33,'كشف الحساب'!$N$4:$N$203,0),0)=0,"",INDEX('كشف الحساب'!$J$4:$J$203,IFERROR(MATCH(33,'كشف الحساب'!$N$4:$N$203,0),0))),"")</f>
        <v/>
      </c>
      <c r="K37" s="64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7" t="s">
        <v>266</v>
      </c>
      <c r="B155" s="156"/>
      <c r="C155" s="156"/>
      <c r="D155" s="75">
        <f>SUM(D5:D154)</f>
        <v>68.745000000000005</v>
      </c>
      <c r="E155" s="75">
        <f>SUM(E5:E154)</f>
        <v>156.5</v>
      </c>
      <c r="F155" s="168">
        <f>COUNTIF(H5:H154,"معلق")</f>
        <v>0</v>
      </c>
      <c r="G155" s="156"/>
      <c r="H155" s="156"/>
      <c r="I155" s="76"/>
      <c r="J155" s="75">
        <f>E155-D155</f>
        <v>87.754999999999995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267</v>
      </c>
      <c r="F156" s="49" t="s">
        <v>218</v>
      </c>
      <c r="G156" s="77"/>
      <c r="H156" s="77"/>
      <c r="I156" s="77"/>
      <c r="J156" s="50" t="s">
        <v>268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1" t="s">
        <v>269</v>
      </c>
      <c r="B1" s="156"/>
      <c r="C1" s="156"/>
      <c r="D1" s="156"/>
      <c r="E1" s="156"/>
      <c r="F1" s="156"/>
      <c r="G1" s="156"/>
    </row>
    <row r="2" spans="1:7" ht="24" customHeight="1" x14ac:dyDescent="0.25">
      <c r="A2" s="166" t="s">
        <v>270</v>
      </c>
      <c r="B2" s="156"/>
      <c r="C2" s="56" t="s">
        <v>256</v>
      </c>
      <c r="D2" s="166" t="s">
        <v>271</v>
      </c>
      <c r="E2" s="156"/>
      <c r="F2" s="56">
        <v>2026</v>
      </c>
    </row>
    <row r="3" spans="1:7" ht="21.75" customHeight="1" x14ac:dyDescent="0.25">
      <c r="A3" s="170" t="s">
        <v>272</v>
      </c>
      <c r="B3" s="156"/>
      <c r="C3" s="57">
        <f>المحفظة!$D$2</f>
        <v>0</v>
      </c>
      <c r="D3" s="170" t="s">
        <v>273</v>
      </c>
      <c r="E3" s="156"/>
      <c r="F3" s="78">
        <f>المحفظة!$C$3</f>
        <v>0</v>
      </c>
    </row>
    <row r="4" spans="1:7" ht="21.75" customHeight="1" x14ac:dyDescent="0.25">
      <c r="A4" s="172" t="s">
        <v>274</v>
      </c>
      <c r="B4" s="156"/>
      <c r="C4" s="156"/>
      <c r="D4" s="156"/>
      <c r="E4" s="156"/>
      <c r="F4" s="156"/>
      <c r="G4" s="156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275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275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275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275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275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275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275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275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275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275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275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275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275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275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275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275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275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275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275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275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275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275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275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275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275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275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275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275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275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275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275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275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275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275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275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275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275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275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275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275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275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275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275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275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275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275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275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275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275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275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2" t="s">
        <v>267</v>
      </c>
      <c r="B55" s="156"/>
      <c r="C55" s="156"/>
      <c r="D55" s="156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1" t="s">
        <v>276</v>
      </c>
      <c r="B56" s="156"/>
      <c r="C56" s="156"/>
      <c r="D56" s="156"/>
      <c r="E56" s="156"/>
      <c r="F56" s="156"/>
      <c r="G56" s="156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275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275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275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275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275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275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275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275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275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275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275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275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275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275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275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275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275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275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275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275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275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275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275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275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275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275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275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275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275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275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275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275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275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275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275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275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275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275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275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275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275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275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275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275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275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275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275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275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275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275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1" t="s">
        <v>277</v>
      </c>
      <c r="B107" s="156"/>
      <c r="C107" s="156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7" t="s">
        <v>278</v>
      </c>
      <c r="B108" s="156"/>
      <c r="C108" s="156"/>
      <c r="D108" s="75">
        <f>E55-D107</f>
        <v>0</v>
      </c>
      <c r="E108" s="173">
        <f>SUM(E5:E107)</f>
        <v>0</v>
      </c>
      <c r="F108" s="156"/>
      <c r="G108" s="157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2026-07-29T15:13:30Z</dcterms:modified>
  <dc:language>en-US</dc:language>
</cp:coreProperties>
</file>