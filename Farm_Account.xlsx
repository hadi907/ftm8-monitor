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75DE3632-DAEF-4E93-B4C9-394B5028DE42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Q284" i="2"/>
  <c r="P284" i="2"/>
  <c r="O284" i="2"/>
  <c r="N284" i="2"/>
  <c r="M284" i="2"/>
  <c r="L284" i="2"/>
  <c r="Q283" i="2"/>
  <c r="P283" i="2"/>
  <c r="O283" i="2"/>
  <c r="N283" i="2"/>
  <c r="M283" i="2"/>
  <c r="L283" i="2"/>
  <c r="Q282" i="2"/>
  <c r="P282" i="2"/>
  <c r="O282" i="2"/>
  <c r="N282" i="2"/>
  <c r="M282" i="2"/>
  <c r="L282" i="2"/>
  <c r="Q281" i="2"/>
  <c r="P281" i="2"/>
  <c r="O281" i="2"/>
  <c r="N281" i="2"/>
  <c r="M281" i="2"/>
  <c r="L281" i="2"/>
  <c r="Q280" i="2"/>
  <c r="P280" i="2"/>
  <c r="O280" i="2"/>
  <c r="N280" i="2"/>
  <c r="M280" i="2"/>
  <c r="L280" i="2"/>
  <c r="Q279" i="2"/>
  <c r="P279" i="2"/>
  <c r="O279" i="2"/>
  <c r="N279" i="2"/>
  <c r="M279" i="2"/>
  <c r="L279" i="2"/>
  <c r="Q278" i="2"/>
  <c r="P278" i="2"/>
  <c r="O278" i="2"/>
  <c r="N278" i="2"/>
  <c r="M278" i="2"/>
  <c r="L278" i="2"/>
  <c r="Q277" i="2"/>
  <c r="P277" i="2"/>
  <c r="O277" i="2"/>
  <c r="N277" i="2"/>
  <c r="M277" i="2"/>
  <c r="L277" i="2"/>
  <c r="Q276" i="2"/>
  <c r="P276" i="2"/>
  <c r="O276" i="2"/>
  <c r="N276" i="2"/>
  <c r="M276" i="2"/>
  <c r="L276" i="2"/>
  <c r="Q275" i="2"/>
  <c r="P275" i="2"/>
  <c r="O275" i="2"/>
  <c r="N275" i="2"/>
  <c r="M275" i="2"/>
  <c r="L275" i="2"/>
  <c r="Q274" i="2"/>
  <c r="P274" i="2"/>
  <c r="O274" i="2"/>
  <c r="N274" i="2"/>
  <c r="M274" i="2"/>
  <c r="L274" i="2"/>
  <c r="Q273" i="2"/>
  <c r="P273" i="2"/>
  <c r="O273" i="2"/>
  <c r="N273" i="2"/>
  <c r="M273" i="2"/>
  <c r="L273" i="2"/>
  <c r="Q272" i="2"/>
  <c r="P272" i="2"/>
  <c r="O272" i="2"/>
  <c r="N272" i="2"/>
  <c r="M272" i="2"/>
  <c r="L272" i="2"/>
  <c r="Q271" i="2"/>
  <c r="P271" i="2"/>
  <c r="O271" i="2"/>
  <c r="N271" i="2"/>
  <c r="M271" i="2"/>
  <c r="L271" i="2"/>
  <c r="Q270" i="2"/>
  <c r="P270" i="2"/>
  <c r="O270" i="2"/>
  <c r="N270" i="2"/>
  <c r="M270" i="2"/>
  <c r="L270" i="2"/>
  <c r="Q269" i="2"/>
  <c r="P269" i="2"/>
  <c r="O269" i="2"/>
  <c r="N269" i="2"/>
  <c r="M269" i="2"/>
  <c r="L269" i="2"/>
  <c r="Q268" i="2"/>
  <c r="P268" i="2"/>
  <c r="O268" i="2"/>
  <c r="N268" i="2"/>
  <c r="M268" i="2"/>
  <c r="L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A222" i="1" s="1"/>
  <c r="P4" i="2"/>
  <c r="A200" i="1" s="1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219" i="1"/>
  <c r="D216" i="1"/>
  <c r="C212" i="1"/>
  <c r="C131" i="1"/>
  <c r="C86" i="1"/>
  <c r="C58" i="1"/>
  <c r="C37" i="1"/>
  <c r="D19" i="1"/>
  <c r="E6" i="1" l="1"/>
  <c r="E23" i="1"/>
  <c r="C42" i="1"/>
  <c r="A64" i="1"/>
  <c r="E96" i="1"/>
  <c r="D151" i="1"/>
  <c r="A11" i="1"/>
  <c r="A28" i="1"/>
  <c r="A48" i="1"/>
  <c r="C70" i="1"/>
  <c r="D107" i="1"/>
  <c r="A176" i="1"/>
  <c r="E194" i="1"/>
  <c r="B15" i="1"/>
  <c r="C32" i="1"/>
  <c r="C53" i="1"/>
  <c r="C78" i="1"/>
  <c r="B118" i="1"/>
  <c r="D204" i="1"/>
  <c r="A6" i="1"/>
  <c r="E7" i="1"/>
  <c r="A12" i="1"/>
  <c r="C16" i="1"/>
  <c r="D20" i="1"/>
  <c r="E24" i="1"/>
  <c r="B29" i="1"/>
  <c r="C33" i="1"/>
  <c r="C38" i="1"/>
  <c r="A44" i="1"/>
  <c r="C49" i="1"/>
  <c r="C54" i="1"/>
  <c r="A60" i="1"/>
  <c r="C65" i="1"/>
  <c r="C72" i="1"/>
  <c r="C80" i="1"/>
  <c r="E88" i="1"/>
  <c r="D99" i="1"/>
  <c r="B110" i="1"/>
  <c r="E120" i="1"/>
  <c r="A135" i="1"/>
  <c r="B158" i="1"/>
  <c r="B182" i="1"/>
  <c r="E210" i="1"/>
  <c r="D217" i="1"/>
  <c r="B6" i="1"/>
  <c r="B13" i="1"/>
  <c r="D21" i="1"/>
  <c r="C34" i="1"/>
  <c r="C45" i="1"/>
  <c r="A56" i="1"/>
  <c r="D91" i="1"/>
  <c r="E8" i="1"/>
  <c r="C17" i="1"/>
  <c r="A26" i="1"/>
  <c r="B30" i="1"/>
  <c r="A40" i="1"/>
  <c r="C50" i="1"/>
  <c r="C61" i="1"/>
  <c r="C66" i="1"/>
  <c r="C74" i="1"/>
  <c r="C82" i="1"/>
  <c r="B102" i="1"/>
  <c r="E112" i="1"/>
  <c r="C124" i="1"/>
  <c r="D139" i="1"/>
  <c r="D163" i="1"/>
  <c r="A188" i="1"/>
  <c r="B191" i="1"/>
  <c r="C6" i="1"/>
  <c r="A10" i="1"/>
  <c r="B14" i="1"/>
  <c r="C18" i="1"/>
  <c r="E22" i="1"/>
  <c r="A27" i="1"/>
  <c r="B31" i="1"/>
  <c r="A36" i="1"/>
  <c r="C41" i="1"/>
  <c r="C46" i="1"/>
  <c r="A52" i="1"/>
  <c r="C57" i="1"/>
  <c r="C62" i="1"/>
  <c r="C68" i="1"/>
  <c r="C76" i="1"/>
  <c r="C84" i="1"/>
  <c r="B94" i="1"/>
  <c r="E104" i="1"/>
  <c r="D115" i="1"/>
  <c r="A128" i="1"/>
  <c r="C145" i="1"/>
  <c r="B170" i="1"/>
  <c r="C213" i="1"/>
  <c r="D108" i="6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N135" i="2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I7" i="5"/>
  <c r="D7" i="5"/>
  <c r="H7" i="5"/>
  <c r="B7" i="5"/>
  <c r="F7" i="5"/>
  <c r="N137" i="2"/>
  <c r="G8" i="5" s="1"/>
  <c r="E7" i="5"/>
  <c r="N138" i="2"/>
  <c r="E9" i="5" s="1"/>
  <c r="J7" i="5"/>
  <c r="C9" i="5" l="1"/>
  <c r="A8" i="5"/>
  <c r="G9" i="5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I8" i="5"/>
  <c r="F8" i="5"/>
  <c r="N140" i="2"/>
  <c r="C10" i="5" l="1"/>
  <c r="B10" i="5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H10" i="5"/>
  <c r="C11" i="5"/>
  <c r="K11" i="5"/>
  <c r="A10" i="5"/>
  <c r="N142" i="2"/>
  <c r="E10" i="5"/>
  <c r="D13" i="5" l="1"/>
  <c r="N143" i="2"/>
  <c r="C14" i="5" s="1"/>
  <c r="C12" i="5"/>
  <c r="B13" i="5"/>
  <c r="E13" i="5"/>
  <c r="H12" i="5"/>
  <c r="I12" i="5"/>
  <c r="C13" i="5"/>
  <c r="G12" i="5"/>
  <c r="J12" i="5"/>
  <c r="H13" i="5"/>
  <c r="F12" i="5"/>
  <c r="D12" i="5"/>
  <c r="J13" i="5"/>
  <c r="B12" i="5"/>
  <c r="K14" i="5" l="1"/>
  <c r="B14" i="5"/>
  <c r="F14" i="5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<sst xmlns="http://schemas.openxmlformats.org/spreadsheetml/2006/main" count="1370" uniqueCount="564">
  <si>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</si>
  <si>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</si>
  <si>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</si>
  <si>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</si>
  <si>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</si>
  <si>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</si>
  <si>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</si>
  <si>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</si>
  <si>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</si>
  <si>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</si>
  <si>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</si>
  <si>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</si>
  <si>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</si>
  <si>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</si>
  <si>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</si>
  <si>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</si>
  <si>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</si>
  <si>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</si>
  <si>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</si>
  <si>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</si>
  <si>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</si>
  <si>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</si>
  <si>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</si>
  <si>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</si>
  <si>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</si>
  <si>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</si>
  <si>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</si>
  <si>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</si>
  <si>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</si>
  <si>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</si>
  <si>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</si>
  <si>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</si>
  <si>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</si>
  <si>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</si>
  <si>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</si>
  <si>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</si>
  <si>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</si>
  <si>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</si>
  <si>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</si>
  <si>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</si>
  <si>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</si>
  <si>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</si>
  <si>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</si>
  <si>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</si>
  <si>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</si>
  <si>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</si>
  <si>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</si>
  <si>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</si>
  <si>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</si>
  <si>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</si>
  <si>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</si>
  <si>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</si>
  <si>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</si>
  <si>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</si>
  <si>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</si>
  <si>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</si>
  <si>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</si>
  <si>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</si>
  <si>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</si>
  <si>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</si>
  <si>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</si>
  <si>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</si>
  <si>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</si>
  <si>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</si>
  <si>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</si>
  <si>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</si>
  <si>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</si>
  <si>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</si>
  <si>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</si>
  <si>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</si>
  <si>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</si>
  <si>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</si>
  <si>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</si>
  <si>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</si>
  <si>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</si>
  <si>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</si>
  <si>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</si>
  <si>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</si>
  <si>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</si>
  <si>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</si>
  <si>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</si>
  <si>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</si>
  <si>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</si>
  <si>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</si>
  <si>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</si>
  <si>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</si>
  <si>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</si>
  <si>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</si>
  <si>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</si>
  <si>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</si>
  <si>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</si>
  <si>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</si>
  <si>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</si>
  <si>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</si>
  <si>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</si>
  <si>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</si>
  <si>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</si>
  <si>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</si>
  <si>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</si>
  <si>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</si>
  <si>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</si>
  <si>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</si>
  <si>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</si>
  <si>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</si>
  <si>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</si>
  <si>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</si>
  <si>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</si>
  <si>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</si>
  <si>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</si>
  <si>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</si>
  <si>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</si>
  <si>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</si>
  <si>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</si>
  <si>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</si>
  <si>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</si>
  <si>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</si>
  <si>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</si>
  <si>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</si>
  <si>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</si>
  <si>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</si>
  <si>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</si>
  <si>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</si>
  <si>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</si>
  <si>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</si>
  <si>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</si>
  <si>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</si>
  <si>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</si>
  <si>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</si>
  <si>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</si>
  <si>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</si>
  <si>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</si>
  <si>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</si>
  <si>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</si>
  <si>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</si>
  <si>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</si>
  <si>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</si>
  <si>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</si>
  <si>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</si>
  <si>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</si>
  <si>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</si>
  <si>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</si>
  <si>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</si>
  <si>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</si>
  <si>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</si>
  <si>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</si>
  <si>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</si>
  <si>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</si>
  <si>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</si>
  <si>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</si>
  <si>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</si>
  <si>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</si>
  <si>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</si>
  <si>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</si>
  <si>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</si>
  <si>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</si>
  <si>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</si>
  <si>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</si>
  <si>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</si>
  <si>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</si>
  <si>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</si>
  <si>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</si>
  <si>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</si>
  <si>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</si>
  <si>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</si>
  <si>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</si>
  <si>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</si>
  <si>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</si>
  <si>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</si>
  <si>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</si>
  <si>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</si>
  <si>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</si>
  <si>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</si>
  <si>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</si>
  <si>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</si>
  <si>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</si>
  <si>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</si>
  <si>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</si>
  <si>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</si>
  <si>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</si>
  <si>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</si>
  <si>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</si>
  <si>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</si>
  <si>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</si>
  <si>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</si>
  <si>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</si>
  <si>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</si>
  <si>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</si>
  <si>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</si>
  <si>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</si>
  <si>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</si>
  <si>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</si>
  <si>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</si>
  <si>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</si>
  <si>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</si>
  <si>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</si>
  <si>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</si>
  <si>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</si>
  <si>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</si>
  <si>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</si>
  <si>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</si>
  <si>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</si>
  <si>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</si>
  <si>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</si>
  <si>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</si>
  <si>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</si>
  <si>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</si>
  <si>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</si>
  <si>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</si>
  <si>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</si>
  <si>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</si>
  <si>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</si>
  <si>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</si>
  <si>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</si>
  <si>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</si>
  <si>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</si>
  <si>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</si>
  <si>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</si>
  <si>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</si>
  <si>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</si>
  <si>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</si>
  <si>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</si>
  <si>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</si>
  <si>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</si>
  <si>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</si>
  <si>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</si>
  <si>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</si>
  <si>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</si>
  <si>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</si>
  <si>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</si>
  <si>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</si>
  <si>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</si>
  <si>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</si>
  <si>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</si>
  <si>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</si>
  <si>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</si>
  <si>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</si>
  <si>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</si>
  <si>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</si>
  <si>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</si>
  <si>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</si>
  <si>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</si>
  <si>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</si>
  <si>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</si>
  <si>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</si>
  <si>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</si>
  <si>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</si>
  <si>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</si>
  <si>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</si>
  <si>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</si>
  <si>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</si>
  <si>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</si>
  <si>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</si>
  <si>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</si>
  <si>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</si>
  <si>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</si>
  <si>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</si>
  <si>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</si>
  <si>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</si>
  <si>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</si>
  <si>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</si>
  <si>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</si>
  <si>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</si>
  <si>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</si>
  <si>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</si>
  <si>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</si>
  <si>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</si>
  <si>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</si>
  <si>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</si>
  <si>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</si>
  <si>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</si>
  <si>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</si>
  <si>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</si>
  <si>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</si>
  <si>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</si>
  <si>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</si>
  <si>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</si>
  <si>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</si>
  <si>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</si>
  <si>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</si>
  <si>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</si>
  <si>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</si>
  <si>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</si>
  <si>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</si>
  <si>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</si>
  <si>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</si>
  <si>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</si>
  <si>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</si>
  <si>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</si>
  <si>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</si>
  <si>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</si>
  <si>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</si>
  <si>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</si>
  <si>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</si>
  <si>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</si>
  <si>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</si>
  <si>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</si>
  <si>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</si>
  <si>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</si>
  <si>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</si>
  <si>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</si>
  <si>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</si>
  <si>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</si>
  <si>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</si>
  <si>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</si>
  <si>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</si>
  <si>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</si>
  <si>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</si>
  <si>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</si>
  <si>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</si>
  <si>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</si>
  <si>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</si>
  <si>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</si>
  <si>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</si>
  <si>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</si>
  <si>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</si>
  <si>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</si>
  <si>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</si>
  <si>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</si>
  <si>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</si>
  <si>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</si>
  <si>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</si>
  <si>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</si>
  <si>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</si>
  <si>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</si>
  <si>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</si>
  <si>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</si>
  <si>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</si>
  <si>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</si>
  <si>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</si>
  <si>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</si>
  <si>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</si>
  <si>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</si>
  <si>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</si>
  <si>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</si>
  <si>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</si>
  <si>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</si>
  <si>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</si>
  <si>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</si>
  <si>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</si>
  <si>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</si>
  <si>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</si>
  <si>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</si>
  <si>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</si>
  <si>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</si>
  <si>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</si>
  <si>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</si>
  <si>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</si>
  <si>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</si>
  <si>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</si>
  <si>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</si>
  <si>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</si>
  <si>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</si>
  <si>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</si>
  <si>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</si>
  <si>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</si>
  <si>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</si>
  <si>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</si>
  <si>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</si>
  <si>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</si>
  <si>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</si>
  <si>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</si>
  <si>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</si>
  <si>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</si>
  <si>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</si>
  <si>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</si>
  <si>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</si>
  <si>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</si>
  <si>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</si>
  <si>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</si>
  <si>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</si>
  <si>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</si>
  <si>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</si>
  <si>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</si>
  <si>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</si>
  <si>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</si>
  <si>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</si>
  <si>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</si>
  <si>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</si>
  <si>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</si>
  <si>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</si>
  <si>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</si>
  <si>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</si>
  <si>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</si>
  <si>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</si>
  <si>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</si>
  <si>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</si>
  <si>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</si>
  <si>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</si>
  <si>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</si>
  <si>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</si>
  <si>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</si>
  <si>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</si>
  <si>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</si>
  <si>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</si>
  <si>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</si>
  <si>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</si>
  <si>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</si>
  <si>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</si>
  <si>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</si>
  <si>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</si>
  <si>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</si>
  <si>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</si>
  <si>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</si>
  <si>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</si>
  <si>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</si>
  <si>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</si>
  <si>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</si>
  <si>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</si>
  <si>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</si>
  <si>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</si>
  <si>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</si>
  <si>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</si>
  <si>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</si>
  <si>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</si>
  <si>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</si>
  <si>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</si>
  <si>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</si>
  <si>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</si>
  <si>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</si>
  <si>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</si>
  <si>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</si>
  <si>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</si>
  <si>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</si>
  <si>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</si>
  <si>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</si>
  <si>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</si>
  <si>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</si>
  <si>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</si>
  <si>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</si>
  <si>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</si>
  <si>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</si>
  <si>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</si>
  <si>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</si>
  <si>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</si>
  <si>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</si>
  <si>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</si>
  <si>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</si>
  <si>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</si>
  <si>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</si>
  <si>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</si>
  <si>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</si>
  <si>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</si>
  <si>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</si>
  <si>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</si>
  <si>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</si>
  <si>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</si>
  <si>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</si>
  <si>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</si>
  <si>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</si>
  <si>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</si>
  <si>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</si>
  <si>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</si>
  <si>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</si>
  <si>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</si>
  <si>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</si>
  <si>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</si>
  <si>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</si>
  <si>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</si>
  <si>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</si>
  <si>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</si>
  <si>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</si>
  <si>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</si>
  <si>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</si>
  <si>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</si>
  <si>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</si>
  <si>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</si>
  <si>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</si>
  <si>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</si>
  <si>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</si>
  <si>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</si>
  <si>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</si>
  <si>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</si>
  <si>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</si>
  <si>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</si>
  <si>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</si>
  <si>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</si>
  <si>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</si>
  <si>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</si>
  <si>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</si>
  <si>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</si>
  <si>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</si>
  <si>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</si>
  <si>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</si>
  <si>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</si>
  <si>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</si>
  <si>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</si>
  <si>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</si>
  <si>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</si>
  <si>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</si>
  <si>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</si>
  <si>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</si>
  <si>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</si>
  <si>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</si>
  <si>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</si>
  <si>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</si>
  <si>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</si>
  <si>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</si>
  <si>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</si>
  <si>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</si>
  <si>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</si>
  <si>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</si>
  <si>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</si>
  <si>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</si>
  <si>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</si>
  <si>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</si>
  <si>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</si>
  <si>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</si>
  <si>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</si>
  <si>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</si>
  <si>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</si>
  <si>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</si>
  <si>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</si>
  <si>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</si>
  <si>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</si>
  <si>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</si>
  <si>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</si>
  <si>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</si>
  <si>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</si>
  <si>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</si>
  <si>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</si>
  <si>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</si>
  <si>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</si>
  <si>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</si>
  <si>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</si>
  <si>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</si>
  <si>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</si>
  <si>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</si>
  <si>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</si>
  <si>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</si>
  <si>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</si>
  <si>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</si>
  <si>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</si>
  <si>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</si>
  <si>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</si>
  <si>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</si>
  <si>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</si>
  <si>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</si>
  <si>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</si>
  <si>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</si>
  <si>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</si>
  <si>
    <t>Inv-200</t>
  </si>
  <si>
    <t>شراء عدد 10 نبتات (شيا)</t>
  </si>
  <si>
    <t>Inv-201</t>
  </si>
  <si>
    <t>متنوع 99030171</t>
  </si>
  <si>
    <t>متنوع -زهور التهاني</t>
  </si>
  <si>
    <t>Inv-202</t>
  </si>
  <si>
    <t>عدد 50 نبته من وفره الخير</t>
  </si>
  <si>
    <t>عماله إضافيين</t>
  </si>
  <si>
    <t>متنوع - مشتل بلانتو</t>
  </si>
  <si>
    <t>Inv-203</t>
  </si>
  <si>
    <t>Inv-204</t>
  </si>
  <si>
    <t>متنوع التهاني</t>
  </si>
  <si>
    <t>3 عامل اضافي - 18 نباتات</t>
  </si>
  <si>
    <t>متنوع - ايمن</t>
  </si>
  <si>
    <t>Inv-205</t>
  </si>
  <si>
    <t>Inv-206</t>
  </si>
  <si>
    <t>Inv-207</t>
  </si>
  <si>
    <t>18 صبار-9.5 هرمون-12.5 قتنه - 14.5 نباتات</t>
  </si>
  <si>
    <t>تم خصم .500 فلس</t>
  </si>
  <si>
    <t>Inv-208</t>
  </si>
  <si>
    <t>24.5 نبات - 15.650 نبات-26 نبات-4عمال اضافي-10 عقله</t>
  </si>
  <si>
    <t>فيزا عامل إضافي</t>
  </si>
  <si>
    <t>فرق الكاميرات</t>
  </si>
  <si>
    <t>هوز 2 انش - الصفار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</si>
</sst>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61" t="s">
        <v>0</v>
      </c>
      <c r="B1" s="158"/>
      <c r="C1" s="158"/>
      <c r="D1" s="158"/>
      <c r="E1" s="158"/>
      <c r="F1" s="159"/>
    </row>
    <row r="2" spans="1:6" ht="30" customHeight="1" x14ac:dyDescent="0.25">
      <c r="A2" s="160" t="s">
        <v>1</v>
      </c>
      <c r="B2" s="158"/>
      <c r="C2" s="158"/>
      <c r="D2" s="158"/>
      <c r="E2" s="159"/>
      <c r="F2" s="119">
        <f>F206</f>
        <v>921.79500000000007</v>
      </c>
    </row>
    <row r="3" spans="1:6" ht="6" customHeight="1" x14ac:dyDescent="0.25">
      <c r="A3" s="163"/>
      <c r="B3" s="158"/>
      <c r="C3" s="158"/>
      <c r="D3" s="158"/>
      <c r="E3" s="158"/>
      <c r="F3" s="159"/>
    </row>
    <row r="4" spans="1:6" ht="27.95" customHeight="1" x14ac:dyDescent="0.25">
      <c r="A4" s="162" t="s">
        <v>2</v>
      </c>
      <c r="B4" s="158"/>
      <c r="C4" s="158"/>
      <c r="D4" s="158"/>
      <c r="E4" s="158"/>
      <c r="F4" s="15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7" t="s">
        <v>10</v>
      </c>
      <c r="B208" s="158"/>
      <c r="C208" s="158"/>
      <c r="D208" s="158"/>
      <c r="E208" s="158"/>
      <c r="F208" s="15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78" activePane="bottomLeft" state="frozen"/>
      <selection pane="bottomLeft" activeCell="I290" sqref="I290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7" ht="24" customHeight="1" x14ac:dyDescent="0.25">
      <c r="A2" s="167" t="s">
        <v>17</v>
      </c>
      <c r="B2" s="165"/>
      <c r="C2" s="165"/>
      <c r="D2" s="1">
        <v>0</v>
      </c>
      <c r="E2" s="168" t="s">
        <v>18</v>
      </c>
      <c r="F2" s="169"/>
      <c r="G2" s="169"/>
      <c r="H2" s="169"/>
      <c r="I2" s="169"/>
      <c r="J2" s="169"/>
      <c r="K2" s="16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72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73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73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73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4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72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73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73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73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73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4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72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73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73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73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4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72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73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73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4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</v>
      </c>
      <c r="F271" s="30" t="s">
        <v>38</v>
      </c>
      <c r="G271" s="31"/>
      <c r="H271" s="32" t="s">
        <v>40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1934.595</v>
      </c>
      <c r="K271" s="44" t="s">
        <v>558</v>
      </c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53" t="s">
        <v>539</v>
      </c>
      <c r="D272" s="38">
        <v>3</v>
      </c>
      <c r="E272" s="39"/>
      <c r="F272" s="154" t="s">
        <v>38</v>
      </c>
      <c r="G272" s="155" t="s">
        <v>39</v>
      </c>
      <c r="H272" s="156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1931.595</v>
      </c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>
        <v>46311</v>
      </c>
      <c r="B273" s="26" t="s">
        <v>540</v>
      </c>
      <c r="C273" s="27" t="s">
        <v>553</v>
      </c>
      <c r="D273" s="28"/>
      <c r="E273" s="29">
        <v>139.25</v>
      </c>
      <c r="F273" s="30"/>
      <c r="G273" s="31"/>
      <c r="H273" s="32" t="s">
        <v>50</v>
      </c>
      <c r="I273" s="33"/>
      <c r="J273" s="34">
        <f>IF(AND(D273="",E273="",A273="",B273="",C273=""),"", IFERROR(IF(J272="",D2,J272),D2)+IF(OR(E273="",H273="معلق"),0,E273)-IF(OR(G273="أبو اسحاق",G273="أبو آدم",G273="أبو اسحاق ",G273="أبو آدم "),0,IF(D273="",0,D273)))</f>
        <v>1931.595</v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>
        <f>IF(OR($A273="",$F273="أحد الشركاء",AND($D273="",$E273="")),"",SUMPRODUCT(($A$4:$A273&lt;&gt;"")*($F$4:$F273&lt;&gt;"أحد الشركاء")*((($D$4:$D273&lt;&gt;"")+($E$4:$E273&lt;&gt;""))&gt;0)))</f>
        <v>249</v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>
        <v>46311</v>
      </c>
      <c r="B274" s="36"/>
      <c r="C274" s="37" t="s">
        <v>541</v>
      </c>
      <c r="D274" s="38">
        <v>10</v>
      </c>
      <c r="E274" s="39"/>
      <c r="F274" s="136" t="s">
        <v>38</v>
      </c>
      <c r="G274" s="40" t="s">
        <v>39</v>
      </c>
      <c r="H274" s="41" t="s">
        <v>40</v>
      </c>
      <c r="I274" s="42"/>
      <c r="J274" s="43">
        <f>IF(AND(D274="",E274="",A274="",B274="",C274=""),"", IFERROR(IF(J273="",D2,J273),D2)+IF(OR(E274="",H274="معلق"),0,E274)-IF(OR(G274="أبو اسحاق",G274="أبو آدم",G274="أبو اسحاق ",G274="أبو آدم "),0,IF(D274="",0,D274)))</f>
        <v>1921.595</v>
      </c>
      <c r="K274" s="44"/>
      <c r="L274">
        <f>IF(E273&gt;0,COUNTIF($E$4:E273,"&gt;0"),"")</f>
        <v>186</v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>
        <f>IF(OR($A274="",$F274="أحد الشركاء",AND($D274="",$E274="")),"",SUMPRODUCT(($A$4:$A274&lt;&gt;"")*($F$4:$F274&lt;&gt;"أحد الشركاء")*((($D$4:$D274&lt;&gt;"")+($E$4:$E274&lt;&gt;""))&gt;0)))</f>
        <v>250</v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>
        <v>46312</v>
      </c>
      <c r="B275" s="26" t="s">
        <v>542</v>
      </c>
      <c r="C275" s="27" t="s">
        <v>543</v>
      </c>
      <c r="D275" s="28"/>
      <c r="E275" s="29">
        <v>55</v>
      </c>
      <c r="F275" s="30" t="s">
        <v>172</v>
      </c>
      <c r="G275" s="31"/>
      <c r="H275" s="32" t="s">
        <v>40</v>
      </c>
      <c r="I275" s="33"/>
      <c r="J275" s="34">
        <f>IF(AND(D275="",E275="",A275="",B275="",C275=""),"", IFERROR(IF(J274="",D2,J274),D2)+IF(OR(E275="",H275="معلق"),0,E275)-IF(OR(G275="أبو اسحاق",G275="أبو آدم",G275="أبو اسحاق ",G275="أبو آدم "),0,IF(D275="",0,D275)))</f>
        <v>1976.595</v>
      </c>
      <c r="K275" s="35"/>
      <c r="L275" t="str">
        <f>IF(E274&gt;0,COUNTIF($E$4:E274,"&gt;0"),"")</f>
        <v/>
      </c>
      <c r="M275">
        <f>IF(AND(D274&gt;0,G274="المحفظة"),COUNTIFS($D$4:D274,"&gt;"&amp;0,$G$4:G274,"المحفظة"),"")</f>
        <v>61</v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>
        <f>IF(OR($A275="",$F275="أحد الشركاء",AND($D275="",$E275="")),"",SUMPRODUCT(($A$4:$A275&lt;&gt;"")*($F$4:$F275&lt;&gt;"أحد الشركاء")*((($D$4:$D275&lt;&gt;"")+($E$4:$E275&lt;&gt;""))&gt;0)))</f>
        <v>251</v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>
        <v>46314</v>
      </c>
      <c r="B276" s="36" t="s">
        <v>545</v>
      </c>
      <c r="C276" s="37" t="s">
        <v>544</v>
      </c>
      <c r="D276" s="38"/>
      <c r="E276" s="39">
        <v>280</v>
      </c>
      <c r="F276" s="136" t="s">
        <v>38</v>
      </c>
      <c r="G276" s="40"/>
      <c r="H276" s="41" t="s">
        <v>40</v>
      </c>
      <c r="I276" s="42"/>
      <c r="J276" s="43">
        <f>IF(AND(D276="",E276="",A276="",B276="",C276=""),"", IFERROR(IF(J275="",D2,J275),D2)+IF(OR(E276="",H276="معلق"),0,E276)-IF(OR(G276="أبو اسحاق",G276="أبو آدم",G276="أبو اسحاق ",G276="أبو آدم "),0,IF(D276="",0,D276)))</f>
        <v>2256.5950000000003</v>
      </c>
      <c r="K276" s="44"/>
      <c r="L276">
        <f>IF(E275&gt;0,COUNTIF($E$4:E275,"&gt;0"),"")</f>
        <v>187</v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>
        <f>IF(OR($A276="",$F276="أحد الشركاء",AND($D276="",$E276="")),"",SUMPRODUCT(($A$4:$A276&lt;&gt;"")*($F$4:$F276&lt;&gt;"أحد الشركاء")*((($D$4:$D276&lt;&gt;"")+($E$4:$E276&lt;&gt;""))&gt;0)))</f>
        <v>252</v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>
        <v>46314</v>
      </c>
      <c r="B277" s="26"/>
      <c r="C277" s="27" t="s">
        <v>546</v>
      </c>
      <c r="D277" s="28">
        <v>30</v>
      </c>
      <c r="E277" s="29"/>
      <c r="F277" s="30" t="s">
        <v>38</v>
      </c>
      <c r="G277" s="31" t="s">
        <v>39</v>
      </c>
      <c r="H277" s="32" t="s">
        <v>40</v>
      </c>
      <c r="I277" s="33"/>
      <c r="J277" s="34">
        <f>IF(AND(D277="",E277="",A277="",B277="",C277=""),"", IFERROR(IF(J276="",D2,J276),D2)+IF(OR(E277="",H277="معلق"),0,E277)-IF(OR(G277="أبو اسحاق",G277="أبو آدم",G277="أبو اسحاق ",G277="أبو آدم "),0,IF(D277="",0,D277)))</f>
        <v>2226.5950000000003</v>
      </c>
      <c r="K277" s="35"/>
      <c r="L277">
        <f>IF(E276&gt;0,COUNTIF($E$4:E276,"&gt;0"),"")</f>
        <v>188</v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>
        <f>IF(OR($A277="",$F277="أحد الشركاء",AND($D277="",$E277="")),"",SUMPRODUCT(($A$4:$A277&lt;&gt;"")*($F$4:$F277&lt;&gt;"أحد الشركاء")*((($D$4:$D277&lt;&gt;"")+($E$4:$E277&lt;&gt;""))&gt;0)))</f>
        <v>253</v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>
        <v>46314</v>
      </c>
      <c r="B278" s="36"/>
      <c r="C278" s="37" t="s">
        <v>547</v>
      </c>
      <c r="D278" s="38">
        <v>3</v>
      </c>
      <c r="E278" s="39"/>
      <c r="F278" s="136" t="s">
        <v>38</v>
      </c>
      <c r="G278" s="40" t="s">
        <v>39</v>
      </c>
      <c r="H278" s="41" t="s">
        <v>40</v>
      </c>
      <c r="I278" s="42"/>
      <c r="J278" s="43">
        <f>IF(AND(D278="",E278="",A278="",B278="",C278=""),"", IFERROR(IF(J277="",D2,J277),D2)+IF(OR(E278="",H278="معلق"),0,E278)-IF(OR(G278="أبو اسحاق",G278="أبو آدم",G278="أبو اسحاق ",G278="أبو آدم "),0,IF(D278="",0,D278)))</f>
        <v>2223.5950000000003</v>
      </c>
      <c r="K278" s="44"/>
      <c r="L278" t="str">
        <f>IF(E277&gt;0,COUNTIF($E$4:E277,"&gt;0"),"")</f>
        <v/>
      </c>
      <c r="M278">
        <f>IF(AND(D277&gt;0,G277="المحفظة"),COUNTIFS($D$4:D277,"&gt;"&amp;0,$G$4:G277,"المحفظة"),"")</f>
        <v>62</v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>
        <f>IF(OR($A278="",$F278="أحد الشركاء",AND($D278="",$E278="")),"",SUMPRODUCT(($A$4:$A278&lt;&gt;"")*($F$4:$F278&lt;&gt;"أحد الشركاء")*((($D$4:$D278&lt;&gt;"")+($E$4:$E278&lt;&gt;""))&gt;0)))</f>
        <v>254</v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>
        <v>46315</v>
      </c>
      <c r="B279" s="26" t="s">
        <v>549</v>
      </c>
      <c r="C279" s="27" t="s">
        <v>548</v>
      </c>
      <c r="D279" s="28"/>
      <c r="E279" s="29">
        <v>383</v>
      </c>
      <c r="F279" s="30" t="s">
        <v>172</v>
      </c>
      <c r="G279" s="31"/>
      <c r="H279" s="32" t="s">
        <v>40</v>
      </c>
      <c r="I279" s="33"/>
      <c r="J279" s="34">
        <f>IF(AND(D279="",E279="",A279="",B279="",C279=""),"", IFERROR(IF(J278="",D2,J278),D2)+IF(OR(E279="",H279="معلق"),0,E279)-IF(OR(G279="أبو اسحاق",G279="أبو آدم",G279="أبو اسحاق ",G279="أبو آدم "),0,IF(D279="",0,D279)))</f>
        <v>2606.5950000000003</v>
      </c>
      <c r="K279" s="35"/>
      <c r="L279" t="str">
        <f>IF(E278&gt;0,COUNTIF($E$4:E278,"&gt;0"),"")</f>
        <v/>
      </c>
      <c r="M279">
        <f>IF(AND(D278&gt;0,G278="المحفظة"),COUNTIFS($D$4:D278,"&gt;"&amp;0,$G$4:G278,"المحفظة"),"")</f>
        <v>63</v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>
        <f>IF(OR($A279="",$F279="أحد الشركاء",AND($D279="",$E279="")),"",SUMPRODUCT(($A$4:$A279&lt;&gt;"")*($F$4:$F279&lt;&gt;"أحد الشركاء")*((($D$4:$D279&lt;&gt;"")+($E$4:$E279&lt;&gt;""))&gt;0)))</f>
        <v>255</v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>
        <v>46317</v>
      </c>
      <c r="B280" s="36" t="s">
        <v>550</v>
      </c>
      <c r="C280" s="37" t="s">
        <v>551</v>
      </c>
      <c r="D280" s="38"/>
      <c r="E280" s="39">
        <v>287.75</v>
      </c>
      <c r="F280" s="136" t="s">
        <v>38</v>
      </c>
      <c r="G280" s="40"/>
      <c r="H280" s="41" t="s">
        <v>40</v>
      </c>
      <c r="I280" s="42"/>
      <c r="J280" s="43">
        <f>IF(AND(D280="",E280="",A280="",B280="",C280=""),"", IFERROR(IF(J279="",D2,J279),D2)+IF(OR(E280="",H280="معلق"),0,E280)-IF(OR(G280="أبو اسحاق",G280="أبو آدم",G280="أبو اسحاق ",G280="أبو آدم "),0,IF(D280="",0,D280)))</f>
        <v>2894.3450000000003</v>
      </c>
      <c r="K280" s="44"/>
      <c r="L280">
        <f>IF(E279&gt;0,COUNTIF($E$4:E279,"&gt;0"),"")</f>
        <v>189</v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>
        <f>IF(OR($A280="",$F280="أحد الشركاء",AND($D280="",$E280="")),"",SUMPRODUCT(($A$4:$A280&lt;&gt;"")*($F$4:$F280&lt;&gt;"أحد الشركاء")*((($D$4:$D280&lt;&gt;"")+($E$4:$E280&lt;&gt;""))&gt;0)))</f>
        <v>256</v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>
        <v>46317</v>
      </c>
      <c r="B281" s="26"/>
      <c r="C281" s="27" t="s">
        <v>552</v>
      </c>
      <c r="D281" s="28">
        <v>21</v>
      </c>
      <c r="E281" s="29"/>
      <c r="F281" s="30" t="s">
        <v>38</v>
      </c>
      <c r="G281" s="31" t="s">
        <v>39</v>
      </c>
      <c r="H281" s="32" t="s">
        <v>40</v>
      </c>
      <c r="I281" s="33"/>
      <c r="J281" s="34">
        <f>IF(AND(D281="",E281="",A281="",B281="",C281=""),"", IFERROR(IF(J280="",D2,J280),D2)+IF(OR(E281="",H281="معلق"),0,E281)-IF(OR(G281="أبو اسحاق",G281="أبو آدم",G281="أبو اسحاق ",G281="أبو آدم "),0,IF(D281="",0,D281)))</f>
        <v>2873.3450000000003</v>
      </c>
      <c r="K281" s="35"/>
      <c r="L281">
        <f>IF(E280&gt;0,COUNTIF($E$4:E280,"&gt;0"),"")</f>
        <v>190</v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>
        <f>IF(OR($A281="",$F281="أحد الشركاء",AND($D281="",$E281="")),"",SUMPRODUCT(($A$4:$A281&lt;&gt;"")*($F$4:$F281&lt;&gt;"أحد الشركاء")*((($D$4:$D281&lt;&gt;"")+($E$4:$E281&lt;&gt;""))&gt;0)))</f>
        <v>257</v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>
        <v>46318</v>
      </c>
      <c r="B282" s="36" t="s">
        <v>554</v>
      </c>
      <c r="C282" s="37" t="s">
        <v>553</v>
      </c>
      <c r="D282" s="38"/>
      <c r="E282" s="39">
        <v>174</v>
      </c>
      <c r="F282" s="136"/>
      <c r="G282" s="40"/>
      <c r="H282" s="41" t="s">
        <v>50</v>
      </c>
      <c r="I282" s="42"/>
      <c r="J282" s="43">
        <f>IF(AND(D282="",E282="",A282="",B282="",C282=""),"", IFERROR(IF(J281="",D2,J281),D2)+IF(OR(E282="",H282="معلق"),0,E282)-IF(OR(G282="أبو اسحاق",G282="أبو آدم",G282="أبو اسحاق ",G282="أبو آدم "),0,IF(D282="",0,D282)))</f>
        <v>2873.3450000000003</v>
      </c>
      <c r="K282" s="44"/>
      <c r="L282" t="str">
        <f>IF(E281&gt;0,COUNTIF($E$4:E281,"&gt;0"),"")</f>
        <v/>
      </c>
      <c r="M282">
        <f>IF(AND(D281&gt;0,G281="المحفظة"),COUNTIFS($D$4:D281,"&gt;"&amp;0,$G$4:G281,"المحفظة"),"")</f>
        <v>64</v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>
        <f>IF(OR($A282="",$F282="أحد الشركاء",AND($D282="",$E282="")),"",SUMPRODUCT(($A$4:$A282&lt;&gt;"")*($F$4:$F282&lt;&gt;"أحد الشركاء")*((($D$4:$D282&lt;&gt;"")+($E$4:$E282&lt;&gt;""))&gt;0)))</f>
        <v>258</v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>
        <v>46319</v>
      </c>
      <c r="B283" s="26" t="s">
        <v>555</v>
      </c>
      <c r="C283" s="27" t="s">
        <v>548</v>
      </c>
      <c r="D283" s="28"/>
      <c r="E283" s="29">
        <v>50</v>
      </c>
      <c r="F283" s="30" t="s">
        <v>172</v>
      </c>
      <c r="G283" s="31"/>
      <c r="H283" s="32" t="s">
        <v>40</v>
      </c>
      <c r="I283" s="33"/>
      <c r="J283" s="34">
        <f>IF(AND(D283="",E283="",A283="",B283="",C283=""),"", IFERROR(IF(J282="",D2,J282),D2)+IF(OR(E283="",H283="معلق"),0,E283)-IF(OR(G283="أبو اسحاق",G283="أبو آدم",G283="أبو اسحاق ",G283="أبو آدم "),0,IF(D283="",0,D283)))</f>
        <v>2923.3450000000003</v>
      </c>
      <c r="K283" s="35"/>
      <c r="L283">
        <f>IF(E282&gt;0,COUNTIF($E$4:E282,"&gt;0"),"")</f>
        <v>191</v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>
        <f>IF(OR($A283="",$F283="أحد الشركاء",AND($D283="",$E283="")),"",SUMPRODUCT(($A$4:$A283&lt;&gt;"")*($F$4:$F283&lt;&gt;"أحد الشركاء")*((($D$4:$D283&lt;&gt;"")+($E$4:$E283&lt;&gt;""))&gt;0)))</f>
        <v>259</v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>
        <v>46324</v>
      </c>
      <c r="B284" s="36" t="s">
        <v>556</v>
      </c>
      <c r="C284" s="37" t="s">
        <v>544</v>
      </c>
      <c r="D284" s="38"/>
      <c r="E284" s="39">
        <v>305.5</v>
      </c>
      <c r="F284" s="136" t="s">
        <v>38</v>
      </c>
      <c r="G284" s="40"/>
      <c r="H284" s="41" t="s">
        <v>40</v>
      </c>
      <c r="I284" s="42"/>
      <c r="J284" s="43">
        <f>IF(AND(D284="",E284="",A284="",B284="",C284=""),"", IFERROR(IF(J283="",D2,J283),D2)+IF(OR(E284="",H284="معلق"),0,E284)-IF(OR(G284="أبو اسحاق",G284="أبو آدم",G284="أبو اسحاق ",G284="أبو آدم "),0,IF(D284="",0,D284)))</f>
        <v>3228.8450000000003</v>
      </c>
      <c r="K284" s="44"/>
      <c r="L284">
        <f>IF(E283&gt;0,COUNTIF($E$4:E283,"&gt;0"),"")</f>
        <v>192</v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>
        <f>IF(OR($A284="",$F284="أحد الشركاء",AND($D284="",$E284="")),"",SUMPRODUCT(($A$4:$A284&lt;&gt;"")*($F$4:$F284&lt;&gt;"أحد الشركاء")*((($D$4:$D284&lt;&gt;"")+($E$4:$E284&lt;&gt;""))&gt;0)))</f>
        <v>260</v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>
        <v>46324</v>
      </c>
      <c r="B285" s="26"/>
      <c r="C285" s="27" t="s">
        <v>557</v>
      </c>
      <c r="D285" s="28">
        <v>53.5</v>
      </c>
      <c r="E285" s="29"/>
      <c r="F285" s="30" t="s">
        <v>38</v>
      </c>
      <c r="G285" s="31" t="s">
        <v>39</v>
      </c>
      <c r="H285" s="32" t="s">
        <v>40</v>
      </c>
      <c r="I285" s="33"/>
      <c r="J285" s="34">
        <f>IF(AND(D285="",E285="",A285="",B285="",C285=""),"", IFERROR(IF(J284="",D2,J284),D2)+IF(OR(E285="",H285="معلق"),0,E285)-IF(OR(G285="أبو اسحاق",G285="أبو آدم",G285="أبو اسحاق ",G285="أبو آدم "),0,IF(D285="",0,D285)))</f>
        <v>3175.3450000000003</v>
      </c>
      <c r="K285" s="35"/>
      <c r="L285">
        <f>IF(E284&gt;0,COUNTIF($E$4:E284,"&gt;0"),"")</f>
        <v>193</v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>
        <f>IF(OR($A285="",$F285="أحد الشركاء",AND($D285="",$E285="")),"",SUMPRODUCT(($A$4:$A285&lt;&gt;"")*($F$4:$F285&lt;&gt;"أحد الشركاء")*((($D$4:$D285&lt;&gt;"")+($E$4:$E285&lt;&gt;""))&gt;0)))</f>
        <v>261</v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>
        <v>46325</v>
      </c>
      <c r="B286" s="36" t="s">
        <v>559</v>
      </c>
      <c r="C286" s="37" t="s">
        <v>459</v>
      </c>
      <c r="D286" s="38"/>
      <c r="E286" s="39">
        <v>215.25</v>
      </c>
      <c r="F286" s="136" t="s">
        <v>38</v>
      </c>
      <c r="G286" s="40"/>
      <c r="H286" s="41" t="s">
        <v>40</v>
      </c>
      <c r="I286" s="42"/>
      <c r="J286" s="43">
        <f>IF(AND(D286="",E286="",A286="",B286="",C286=""),"", IFERROR(IF(J285="",D2,J285),D2)+IF(OR(E286="",H286="معلق"),0,E286)-IF(OR(G286="أبو اسحاق",G286="أبو آدم",G286="أبو اسحاق ",G286="أبو آدم "),0,IF(D286="",0,D286)))</f>
        <v>3390.5950000000003</v>
      </c>
      <c r="K286" s="44"/>
      <c r="L286" t="str">
        <f>IF(E285&gt;0,COUNTIF($E$4:E285,"&gt;0"),"")</f>
        <v/>
      </c>
      <c r="M286">
        <f>IF(AND(D285&gt;0,G285="المحفظة"),COUNTIFS($D$4:D285,"&gt;"&amp;0,$G$4:G285,"المحفظة"),"")</f>
        <v>65</v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>
        <f>IF(OR($A286="",$F286="أحد الشركاء",AND($D286="",$E286="")),"",SUMPRODUCT(($A$4:$A286&lt;&gt;"")*($F$4:$F286&lt;&gt;"أحد الشركاء")*((($D$4:$D286&lt;&gt;"")+($E$4:$E286&lt;&gt;""))&gt;0)))</f>
        <v>262</v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>
        <v>46325</v>
      </c>
      <c r="B287" s="26"/>
      <c r="C287" s="27" t="s">
        <v>560</v>
      </c>
      <c r="D287" s="28">
        <v>80.25</v>
      </c>
      <c r="E287" s="29"/>
      <c r="F287" s="30" t="s">
        <v>38</v>
      </c>
      <c r="G287" s="31" t="s">
        <v>39</v>
      </c>
      <c r="H287" s="32" t="s">
        <v>40</v>
      </c>
      <c r="I287" s="33"/>
      <c r="J287" s="34">
        <f>IF(AND(D287="",E287="",A287="",B287="",C287=""),"", IFERROR(IF(J286="",D2,J286),D2)+IF(OR(E287="",H287="معلق"),0,E287)-IF(OR(G287="أبو اسحاق",G287="أبو آدم",G287="أبو اسحاق ",G287="أبو آدم "),0,IF(D287="",0,D287)))</f>
        <v>3310.3450000000003</v>
      </c>
      <c r="K287" s="35"/>
      <c r="L287">
        <f>IF(E286&gt;0,COUNTIF($E$4:E286,"&gt;0"),"")</f>
        <v>194</v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>
        <f>IF(OR($A287="",$F287="أحد الشركاء",AND($D287="",$E287="")),"",SUMPRODUCT(($A$4:$A287&lt;&gt;"")*($F$4:$F287&lt;&gt;"أحد الشركاء")*((($D$4:$D287&lt;&gt;"")+($E$4:$E287&lt;&gt;""))&gt;0)))</f>
        <v>263</v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>
        <v>46325</v>
      </c>
      <c r="B288" s="36"/>
      <c r="C288" s="37" t="s">
        <v>561</v>
      </c>
      <c r="D288" s="38">
        <v>10</v>
      </c>
      <c r="E288" s="39"/>
      <c r="F288" s="136" t="s">
        <v>38</v>
      </c>
      <c r="G288" s="40" t="s">
        <v>39</v>
      </c>
      <c r="H288" s="41" t="s">
        <v>40</v>
      </c>
      <c r="I288" s="42"/>
      <c r="J288" s="43">
        <f>IF(AND(D288="",E288="",A288="",B288="",C288=""),"", IFERROR(IF(J287="",D2,J287),D2)+IF(OR(E288="",H288="معلق"),0,E288)-IF(OR(G288="أبو اسحاق",G288="أبو آدم",G288="أبو اسحاق ",G288="أبو آدم "),0,IF(D288="",0,D288)))</f>
        <v>3300.3450000000003</v>
      </c>
      <c r="K288" s="44"/>
      <c r="L288" t="str">
        <f>IF(E287&gt;0,COUNTIF($E$4:E287,"&gt;0"),"")</f>
        <v/>
      </c>
      <c r="M288">
        <f>IF(AND(D287&gt;0,G287="المحفظة"),COUNTIFS($D$4:D287,"&gt;"&amp;0,$G$4:G287,"المحفظة"),"")</f>
        <v>66</v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>
        <f>IF(OR($A288="",$F288="أحد الشركاء",AND($D288="",$E288="")),"",SUMPRODUCT(($A$4:$A288&lt;&gt;"")*($F$4:$F288&lt;&gt;"أحد الشركاء")*((($D$4:$D288&lt;&gt;"")+($E$4:$E288&lt;&gt;""))&gt;0)))</f>
        <v>264</v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>
        <v>46325</v>
      </c>
      <c r="B289" s="26"/>
      <c r="C289" s="27" t="s">
        <v>562</v>
      </c>
      <c r="D289" s="28">
        <v>10</v>
      </c>
      <c r="E289" s="29"/>
      <c r="F289" s="30" t="s">
        <v>38</v>
      </c>
      <c r="G289" s="31" t="s">
        <v>39</v>
      </c>
      <c r="H289" s="32" t="s">
        <v>40</v>
      </c>
      <c r="I289" s="33"/>
      <c r="J289" s="34">
        <f>IF(AND(D289="",E289="",A289="",B289="",C289=""),"", IFERROR(IF(J288="",D2,J288),D2)+IF(OR(E289="",H289="معلق"),0,E289)-IF(OR(G289="أبو اسحاق",G289="أبو آدم",G289="أبو اسحاق ",G289="أبو آدم "),0,IF(D289="",0,D289)))</f>
        <v>3290.3450000000003</v>
      </c>
      <c r="K289" s="35"/>
      <c r="L289" t="str">
        <f>IF(E288&gt;0,COUNTIF($E$4:E288,"&gt;0"),"")</f>
        <v/>
      </c>
      <c r="M289">
        <f>IF(AND(D288&gt;0,G288="المحفظة"),COUNTIFS($D$4:D288,"&gt;"&amp;0,$G$4:G288,"المحفظة"),"")</f>
        <v>67</v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>
        <f>IF(OR($A289="",$F289="أحد الشركاء",AND($D289="",$E289="")),"",SUMPRODUCT(($A$4:$A289&lt;&gt;"")*($F$4:$F289&lt;&gt;"أحد الشركاء")*((($D$4:$D289&lt;&gt;"")+($E$4:$E289&lt;&gt;""))&gt;0)))</f>
        <v>265</v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>
        <v>46325</v>
      </c>
      <c r="B290" s="36"/>
      <c r="C290" s="37" t="s">
        <v>563</v>
      </c>
      <c r="D290" s="38">
        <v>11</v>
      </c>
      <c r="E290" s="39"/>
      <c r="F290" s="136" t="s">
        <v>38</v>
      </c>
      <c r="G290" s="40" t="s">
        <v>39</v>
      </c>
      <c r="H290" s="41" t="s">
        <v>40</v>
      </c>
      <c r="I290" s="42"/>
      <c r="J290" s="43">
        <f>IF(AND(D290="",E290="",A290="",B290="",C290=""),"", IFERROR(IF(J289="",D2,J289),D2)+IF(OR(E290="",H290="معلق"),0,E290)-IF(OR(G290="أبو اسحاق",G290="أبو آدم",G290="أبو اسحاق ",G290="أبو آدم "),0,IF(D290="",0,D290)))</f>
        <v>3279.3450000000003</v>
      </c>
      <c r="K290" s="44"/>
      <c r="L290" t="str">
        <f>IF(E289&gt;0,COUNTIF($E$4:E289,"&gt;0"),"")</f>
        <v/>
      </c>
      <c r="M290">
        <f>IF(AND(D289&gt;0,G289="المحفظة"),COUNTIFS($D$4:D289,"&gt;"&amp;0,$G$4:G289,"المحفظة"),"")</f>
        <v>68</v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>
        <f>IF(OR($A290="",$F290="أحد الشركاء",AND($D290="",$E290="")),"",SUMPRODUCT(($A$4:$A290&lt;&gt;"")*($F$4:$F290&lt;&gt;"أحد الشركاء")*((($D$4:$D290&lt;&gt;"")+($E$4:$E290&lt;&gt;""))&gt;0)))</f>
        <v>266</v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>
        <f>IF(AND(D290&gt;0,G290="المحفظة"),COUNTIFS($D$4:D290,"&gt;"&amp;0,$G$4:G290,"المحفظة"),"")</f>
        <v>69</v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71"/>
      <c r="B354" s="165"/>
      <c r="C354" s="166"/>
      <c r="D354" s="38"/>
      <c r="E354" s="39"/>
      <c r="F354" s="164"/>
      <c r="G354" s="165"/>
      <c r="H354" s="166"/>
      <c r="I354" s="42"/>
      <c r="J354" s="43">
        <f t="array" ref="J354">IFERROR(LOOKUP(2,1/(J4:J353&lt;&gt;""),J4:J353),$D$2)</f>
        <v>3279.3450000000003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5169.8950000000004</v>
      </c>
      <c r="E355" s="46">
        <f ca="1">SUMPRODUCT(SUBTOTAL(9,OFFSET(E4,ROW(E4:E353)-ROW(E4),0)),--(H4:H353&lt;&gt;"معلق"))</f>
        <v>6667.74</v>
      </c>
      <c r="F355" s="140">
        <f ca="1">SUMPRODUCT(SUBTOTAL(3,OFFSET(H4,ROW(H4:H353)-ROW(H4),0))*(H4:H353="معلق"))</f>
        <v>13</v>
      </c>
      <c r="G355" s="137"/>
      <c r="H355" s="137"/>
      <c r="J355" s="46">
        <f t="array" aca="1" ref="J355" ca="1">IFERROR(LOOKUP(2,1/((SUBTOTAL(3,OFFSET(J4,ROW(J4:J353)-ROW(J4),0))&gt;0)*(J4:J353&lt;&gt;"")),J4:J353),$D$2)</f>
        <v>3279.3450000000003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5" t="s">
        <v>220</v>
      </c>
      <c r="B1" s="165"/>
      <c r="C1" s="16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7" t="s">
        <v>236</v>
      </c>
      <c r="B1" s="165"/>
    </row>
    <row r="2" spans="1:2" ht="21.75" customHeight="1" x14ac:dyDescent="0.25">
      <c r="A2" s="176" t="s">
        <v>237</v>
      </c>
      <c r="B2" s="16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6" t="s">
        <v>242</v>
      </c>
      <c r="B5" s="16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6" t="s">
        <v>251</v>
      </c>
      <c r="B11" s="16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70" t="s">
        <v>16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24" customHeight="1" x14ac:dyDescent="0.25">
      <c r="A2" s="178"/>
      <c r="B2" s="165"/>
      <c r="C2" s="56" t="s">
        <v>342</v>
      </c>
      <c r="D2" s="178">
        <v>2026</v>
      </c>
      <c r="E2" s="165"/>
      <c r="F2" s="56" t="s">
        <v>256</v>
      </c>
      <c r="G2" s="181" t="s">
        <v>257</v>
      </c>
      <c r="H2" s="169"/>
      <c r="I2" s="169"/>
      <c r="J2" s="169"/>
      <c r="K2" s="169"/>
    </row>
    <row r="3" spans="1:11" ht="19.5" customHeight="1" x14ac:dyDescent="0.25">
      <c r="A3" s="182" t="s">
        <v>258</v>
      </c>
      <c r="B3" s="165"/>
      <c r="C3" s="16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9" t="s">
        <v>265</v>
      </c>
      <c r="B355" s="165"/>
      <c r="C355" s="165"/>
      <c r="D355" s="75">
        <f>SUM(D5:D354)</f>
        <v>1364.45</v>
      </c>
      <c r="E355" s="75">
        <f>SUM(E5:E354)</f>
        <v>602.5</v>
      </c>
      <c r="F355" s="180">
        <f>COUNTIF(H5:H354,"معلق")</f>
        <v>0</v>
      </c>
      <c r="G355" s="165"/>
      <c r="H355" s="165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70" t="s">
        <v>268</v>
      </c>
      <c r="B1" s="165"/>
      <c r="C1" s="165"/>
      <c r="D1" s="165"/>
      <c r="E1" s="165"/>
      <c r="F1" s="165"/>
      <c r="G1" s="165"/>
    </row>
    <row r="2" spans="1:7" ht="24" customHeight="1" x14ac:dyDescent="0.25">
      <c r="A2" s="178" t="s">
        <v>269</v>
      </c>
      <c r="B2" s="165"/>
      <c r="C2" s="56" t="s">
        <v>342</v>
      </c>
      <c r="D2" s="178" t="s">
        <v>270</v>
      </c>
      <c r="E2" s="165"/>
      <c r="F2" s="56">
        <v>2026</v>
      </c>
    </row>
    <row r="3" spans="1:7" ht="21.75" customHeight="1" x14ac:dyDescent="0.25">
      <c r="A3" s="182" t="s">
        <v>271</v>
      </c>
      <c r="B3" s="165"/>
      <c r="C3" s="57">
        <f>المحفظة!$D$2</f>
        <v>0</v>
      </c>
      <c r="D3" s="182" t="s">
        <v>272</v>
      </c>
      <c r="E3" s="165"/>
      <c r="F3" s="78">
        <f>المحفظة!$C$3</f>
        <v>0</v>
      </c>
    </row>
    <row r="4" spans="1:7" ht="21.75" customHeight="1" x14ac:dyDescent="0.25">
      <c r="A4" s="183" t="s">
        <v>273</v>
      </c>
      <c r="B4" s="165"/>
      <c r="C4" s="165"/>
      <c r="D4" s="165"/>
      <c r="E4" s="165"/>
      <c r="F4" s="165"/>
      <c r="G4" s="16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3" t="s">
        <v>266</v>
      </c>
      <c r="B55" s="165"/>
      <c r="C55" s="165"/>
      <c r="D55" s="16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5" t="s">
        <v>275</v>
      </c>
      <c r="B56" s="165"/>
      <c r="C56" s="165"/>
      <c r="D56" s="165"/>
      <c r="E56" s="165"/>
      <c r="F56" s="165"/>
      <c r="G56" s="16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5" t="s">
        <v>276</v>
      </c>
      <c r="B107" s="165"/>
      <c r="C107" s="16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9" t="s">
        <v>277</v>
      </c>
      <c r="B108" s="165"/>
      <c r="C108" s="165"/>
      <c r="D108" s="75">
        <f>E55-D107</f>
        <v>0</v>
      </c>
      <c r="E108" s="184">
        <f>SUM(E5:E107)</f>
        <v>0</v>
      </c>
      <c r="F108" s="165"/>
      <c r="G108" s="166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2026-10-30T14:30:16Z</dcterms:modified>
  <dc:language>en-US</dc:language>
</cp:coreProperties>
</file>