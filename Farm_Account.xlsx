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المحفظة" sheetId="1" state="visible" r:id="rId1"/>
    <sheet xmlns:r="http://schemas.openxmlformats.org/officeDocument/2006/relationships" name="كشف الحساب" sheetId="2" state="visible" r:id="rId2"/>
    <sheet xmlns:r="http://schemas.openxmlformats.org/officeDocument/2006/relationships" name="بنود المحفظة" sheetId="3" state="visible" r:id="rId3"/>
    <sheet xmlns:r="http://schemas.openxmlformats.org/officeDocument/2006/relationships" name="تعليمات" sheetId="4" state="visible" r:id="rId4"/>
    <sheet xmlns:r="http://schemas.openxmlformats.org/officeDocument/2006/relationships" name="طباعة كشف الحساب" sheetId="5" state="visible" r:id="rId5"/>
    <sheet xmlns:r="http://schemas.openxmlformats.org/officeDocument/2006/relationships" name="طباعة المحفظة" sheetId="6" state="visible" r:id="rId6"/>
  </sheets>
  <definedNames>
    <definedName name="_xlnm.Print_Titles" localSheetId="4">'طباعة كشف الحساب'!$1:$4</definedName>
    <definedName name="_xlnm.Print_Area" localSheetId="4">'طباعة كشف الحساب'!$A$1:$K$156</definedName>
    <definedName name="_xlnm.Print_Titles" localSheetId="5">'طباعة المحفظة'!$1:$4</definedName>
    <definedName name="_xlnm.Print_Area" localSheetId="5">'طباعة المحفظة'!$A$1:$G$52,'طباعة المحفظة'!$A$55:$G$69,'طباعة المحفظة'!$A$107:$G$108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-mm-dd"/>
  </numFmts>
  <fonts count="51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FFFFFF"/>
      <sz val="10"/>
    </font>
    <font>
      <name val="Arial"/>
      <charset val="1"/>
      <b val="1"/>
      <color rgb="FFC00000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13"/>
    </font>
    <font>
      <name val="Arial"/>
      <charset val="1"/>
      <color rgb="FF375623"/>
      <sz val="10"/>
    </font>
    <font>
      <name val="Arial"/>
      <charset val="1"/>
      <b val="1"/>
      <color rgb="FF375623"/>
      <sz val="10"/>
    </font>
    <font>
      <name val="Arial"/>
      <charset val="1"/>
      <color rgb="FFAAAAAA"/>
      <sz val="10"/>
    </font>
    <font>
      <name val="Arial"/>
      <charset val="1"/>
      <sz val="9"/>
    </font>
    <font>
      <name val="Arial"/>
      <charset val="1"/>
      <color rgb="FF8B0000"/>
      <sz val="10"/>
    </font>
    <font>
      <name val="Arial"/>
      <charset val="1"/>
      <b val="1"/>
      <color rgb="FF8B0000"/>
      <sz val="10"/>
    </font>
    <font>
      <name val="Arial"/>
      <charset val="1"/>
      <b val="1"/>
      <color rgb="FFFFFFFF"/>
      <sz val="9"/>
    </font>
    <font>
      <name val="Arial"/>
      <charset val="1"/>
      <color rgb="FFFFFFFF"/>
      <sz val="7"/>
    </font>
    <font>
      <name val="Arial"/>
      <charset val="1"/>
      <color rgb="FFAAAAAA"/>
      <sz val="8"/>
    </font>
    <font>
      <name val="Arial"/>
      <charset val="1"/>
      <sz val="10"/>
    </font>
    <font>
      <name val="Arial"/>
      <charset val="1"/>
      <color rgb="FF000000"/>
      <sz val="10"/>
    </font>
    <font>
      <name val="Arial"/>
      <charset val="1"/>
      <color rgb="FF1E5C1E"/>
      <sz val="10"/>
    </font>
    <font>
      <name val="Arial"/>
      <charset val="1"/>
      <b val="1"/>
      <sz val="10"/>
    </font>
    <font>
      <name val="Arial"/>
      <charset val="1"/>
      <i val="1"/>
      <color rgb="FF7030A0"/>
      <sz val="9"/>
    </font>
    <font>
      <name val="Arial"/>
      <charset val="1"/>
      <i val="1"/>
      <color rgb="FF606060"/>
      <sz val="9"/>
    </font>
    <font>
      <name val="Arial"/>
      <charset val="1"/>
      <b val="1"/>
      <sz val="9"/>
    </font>
    <font>
      <name val="Arial"/>
      <charset val="1"/>
      <b val="1"/>
      <color rgb="FFFFFFFF"/>
      <sz val="12"/>
    </font>
    <font>
      <name val="Arial"/>
      <charset val="1"/>
      <b val="1"/>
      <color rgb="FF000000"/>
      <sz val="10"/>
    </font>
    <font>
      <name val="Arial"/>
      <charset val="1"/>
      <b val="1"/>
      <color rgb="FFC00000"/>
      <sz val="12"/>
    </font>
    <font>
      <name val="Arial"/>
      <charset val="1"/>
      <b val="1"/>
      <color rgb="FF1F4E79"/>
      <sz val="10"/>
    </font>
    <font>
      <name val="Arial"/>
      <charset val="1"/>
      <b val="1"/>
      <color rgb="FFC00000"/>
      <sz val="11"/>
    </font>
    <font>
      <name val="Arial"/>
      <charset val="1"/>
      <color rgb="FF8B0000"/>
      <sz val="9"/>
    </font>
    <font>
      <name val="Arial"/>
      <charset val="1"/>
      <color rgb="FF375623"/>
      <sz val="9"/>
    </font>
    <font>
      <name val="Calibri"/>
      <charset val="1"/>
      <color theme="1"/>
      <sz val="10"/>
    </font>
    <font>
      <name val="Calibri"/>
      <charset val="1"/>
      <color theme="1"/>
      <sz val="9"/>
    </font>
    <font>
      <name val="Arial"/>
      <charset val="1"/>
      <b val="1"/>
      <color rgb="FF375623"/>
      <sz val="12"/>
    </font>
    <font>
      <name val="Arial"/>
      <charset val="1"/>
      <color rgb="FFAAAAAA"/>
      <sz val="9"/>
    </font>
    <font>
      <name val="Arial"/>
      <charset val="1"/>
      <b val="1"/>
      <color rgb="FF375623"/>
      <sz val="9"/>
    </font>
    <font>
      <name val="Arial"/>
      <charset val="1"/>
      <b val="1"/>
      <color rgb="FF8B0000"/>
      <sz val="9"/>
    </font>
    <font>
      <name val="Arial"/>
      <b val="1"/>
      <color rgb="FFFFFFFF"/>
      <sz val="14"/>
    </font>
    <font>
      <name val="Arial"/>
      <b val="1"/>
      <color rgb="FFFFFFFF"/>
      <sz val="11"/>
    </font>
    <font>
      <name val="Arial"/>
      <b val="1"/>
      <color rgb="FFFFFFFF"/>
      <sz val="13"/>
    </font>
    <font>
      <name val="Arial"/>
      <color rgb="FF0D2137"/>
      <sz val="8"/>
    </font>
    <font>
      <name val="Arial"/>
      <b val="1"/>
      <color rgb="FFFFFFFF"/>
      <sz val="10"/>
    </font>
    <font>
      <name val="Arial"/>
      <color rgb="FF000000"/>
      <sz val="9"/>
    </font>
    <font>
      <name val="Arial"/>
      <color rgb="FF1A7A1A"/>
      <sz val="9"/>
    </font>
    <font>
      <name val="Arial"/>
      <color rgb="FFC0392B"/>
      <sz val="9"/>
    </font>
    <font>
      <name val="Arial"/>
      <b val="1"/>
      <color rgb="FF1B2631"/>
      <sz val="9"/>
    </font>
    <font>
      <name val="Arial"/>
      <b val="1"/>
      <color rgb="FFA9DFBF"/>
      <sz val="10"/>
    </font>
    <font>
      <name val="Arial"/>
      <b val="1"/>
      <color rgb="FFF1948A"/>
      <sz val="10"/>
    </font>
    <font>
      <name val="Arial"/>
      <b val="1"/>
      <color rgb="FF6C3483"/>
      <sz val="10"/>
    </font>
    <font>
      <name val="Arial"/>
      <b val="1"/>
      <color rgb="FF6C3483"/>
      <sz val="9"/>
    </font>
    <font>
      <name val="Arial"/>
      <color rgb="FF000000"/>
      <sz val="10"/>
    </font>
    <font>
      <name val="Arial"/>
      <b val="1"/>
      <color rgb="FF4A235A"/>
      <sz val="10"/>
    </font>
  </fonts>
  <fills count="51">
    <fill>
      <patternFill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FDEDEC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  <fill>
      <patternFill patternType="solid">
        <fgColor rgb="FFD7BDE2"/>
      </patternFill>
    </fill>
  </fills>
  <borders count="12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</borders>
  <cellStyleXfs count="1">
    <xf numFmtId="0" fontId="0" fillId="0" borderId="0"/>
  </cellStyleXfs>
  <cellXfs count="181">
    <xf numFmtId="0" fontId="0" fillId="0" borderId="0" pivotButton="0" quotePrefix="0" xfId="0"/>
    <xf numFmtId="164" fontId="3" fillId="4" borderId="2" applyAlignment="1" pivotButton="0" quotePrefix="0" xfId="0">
      <alignment horizontal="right" vertical="center"/>
    </xf>
    <xf numFmtId="165" fontId="7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164" fontId="8" fillId="6" borderId="2" applyAlignment="1" pivotButton="0" quotePrefix="0" xfId="0">
      <alignment horizontal="right" vertical="center"/>
    </xf>
    <xf numFmtId="0" fontId="0" fillId="6" borderId="2" pivotButton="0" quotePrefix="0" xfId="0"/>
    <xf numFmtId="165" fontId="7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right" vertical="center"/>
    </xf>
    <xf numFmtId="0" fontId="0" fillId="7" borderId="2" pivotButton="0" quotePrefix="0" xfId="0"/>
    <xf numFmtId="165" fontId="11" fillId="9" borderId="2" applyAlignment="1" pivotButton="0" quotePrefix="0" xfId="0">
      <alignment horizontal="center" vertical="center"/>
    </xf>
    <xf numFmtId="0" fontId="11" fillId="9" borderId="2" applyAlignment="1" pivotButton="0" quotePrefix="0" xfId="0">
      <alignment horizontal="center" vertical="center"/>
    </xf>
    <xf numFmtId="164" fontId="12" fillId="9" borderId="2" applyAlignment="1" pivotButton="0" quotePrefix="0" xfId="0">
      <alignment horizontal="right" vertical="center"/>
    </xf>
    <xf numFmtId="0" fontId="9" fillId="9" borderId="2" applyAlignment="1" pivotButton="0" quotePrefix="0" xfId="0">
      <alignment horizontal="center" vertical="center"/>
    </xf>
    <xf numFmtId="0" fontId="0" fillId="9" borderId="2" pivotButton="0" quotePrefix="0" xfId="0"/>
    <xf numFmtId="165" fontId="11" fillId="10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  <xf numFmtId="164" fontId="12" fillId="10" borderId="2" applyAlignment="1" pivotButton="0" quotePrefix="0" xfId="0">
      <alignment horizontal="right" vertical="center"/>
    </xf>
    <xf numFmtId="0" fontId="9" fillId="10" borderId="2" applyAlignment="1" pivotButton="0" quotePrefix="0" xfId="0">
      <alignment horizontal="center" vertical="center"/>
    </xf>
    <xf numFmtId="0" fontId="0" fillId="10" borderId="2" pivotButton="0" quotePrefix="0" xfId="0"/>
    <xf numFmtId="0" fontId="13" fillId="2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center" vertical="center"/>
    </xf>
    <xf numFmtId="0" fontId="15" fillId="0" borderId="0" pivotButton="0" quotePrefix="0" xfId="0"/>
    <xf numFmtId="165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right" vertical="center" wrapText="1"/>
    </xf>
    <xf numFmtId="164" fontId="11" fillId="10" borderId="2" applyAlignment="1" pivotButton="0" quotePrefix="0" xfId="0">
      <alignment horizontal="right" vertical="center"/>
    </xf>
    <xf numFmtId="164" fontId="18" fillId="7" borderId="2" applyAlignment="1" pivotButton="0" quotePrefix="0" xfId="0">
      <alignment horizontal="right" vertical="center"/>
    </xf>
    <xf numFmtId="0" fontId="19" fillId="13" borderId="2" applyAlignment="1" pivotButton="0" quotePrefix="0" xfId="0">
      <alignment horizontal="center" vertical="center"/>
    </xf>
    <xf numFmtId="0" fontId="19" fillId="14" borderId="2" applyAlignment="1" pivotButton="0" quotePrefix="0" xfId="0">
      <alignment horizontal="center" vertical="center"/>
    </xf>
    <xf numFmtId="0" fontId="19" fillId="15" borderId="2" applyAlignment="1" pivotButton="0" quotePrefix="0" xfId="0">
      <alignment horizontal="center" vertical="center"/>
    </xf>
    <xf numFmtId="0" fontId="20" fillId="16" borderId="2" applyAlignment="1" pivotButton="0" quotePrefix="0" xfId="0">
      <alignment horizontal="right" vertical="center"/>
    </xf>
    <xf numFmtId="164" fontId="19" fillId="17" borderId="2" applyAlignment="1" pivotButton="0" quotePrefix="0" xfId="0">
      <alignment horizontal="right" vertical="center"/>
    </xf>
    <xf numFmtId="0" fontId="21" fillId="12" borderId="2" applyAlignment="1" pivotButton="0" quotePrefix="0" xfId="0">
      <alignment horizontal="right" vertical="center"/>
    </xf>
    <xf numFmtId="0" fontId="17" fillId="18" borderId="2" applyAlignment="1" pivotButton="0" quotePrefix="0" xfId="0">
      <alignment horizontal="center" vertical="center"/>
    </xf>
    <xf numFmtId="0" fontId="16" fillId="18" borderId="2" applyAlignment="1" pivotButton="0" quotePrefix="0" xfId="0">
      <alignment horizontal="right" vertical="center" wrapText="1"/>
    </xf>
    <xf numFmtId="164" fontId="11" fillId="9" borderId="2" applyAlignment="1" pivotButton="0" quotePrefix="0" xfId="0">
      <alignment horizontal="right" vertical="center"/>
    </xf>
    <xf numFmtId="164" fontId="18" fillId="6" borderId="2" applyAlignment="1" pivotButton="0" quotePrefix="0" xfId="0">
      <alignment horizontal="right" vertical="center"/>
    </xf>
    <xf numFmtId="0" fontId="19" fillId="20" borderId="2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2" borderId="2" applyAlignment="1" pivotButton="0" quotePrefix="0" xfId="0">
      <alignment horizontal="right" vertical="center"/>
    </xf>
    <xf numFmtId="164" fontId="19" fillId="23" borderId="2" applyAlignment="1" pivotButton="0" quotePrefix="0" xfId="0">
      <alignment horizontal="right" vertical="center"/>
    </xf>
    <xf numFmtId="0" fontId="21" fillId="18" borderId="2" applyAlignment="1" pivotButton="0" quotePrefix="0" xfId="0">
      <alignment horizontal="right" vertical="center"/>
    </xf>
    <xf numFmtId="0" fontId="0" fillId="0" borderId="0" pivotButton="0" quotePrefix="0" xfId="0"/>
    <xf numFmtId="166" fontId="16" fillId="12" borderId="2" applyAlignment="1" pivotButton="0" quotePrefix="0" xfId="0">
      <alignment horizontal="center" vertical="center"/>
    </xf>
    <xf numFmtId="0" fontId="0" fillId="0" borderId="3" pivotButton="0" quotePrefix="0" xfId="0"/>
    <xf numFmtId="164" fontId="5" fillId="2" borderId="2" applyAlignment="1" pivotButton="0" quotePrefix="0" xfId="0">
      <alignment horizontal="right" vertical="center"/>
    </xf>
    <xf numFmtId="0" fontId="22" fillId="25" borderId="2" applyAlignment="1" pivotButton="0" quotePrefix="0" xfId="0">
      <alignment horizontal="center" vertical="center"/>
    </xf>
    <xf numFmtId="0" fontId="22" fillId="26" borderId="2" applyAlignment="1" pivotButton="0" quotePrefix="0" xfId="0">
      <alignment horizontal="center" vertical="center"/>
    </xf>
    <xf numFmtId="0" fontId="22" fillId="27" borderId="2" applyAlignment="1" pivotButton="0" quotePrefix="0" xfId="0">
      <alignment horizontal="center" vertical="center"/>
    </xf>
    <xf numFmtId="0" fontId="22" fillId="2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right" vertical="center"/>
    </xf>
    <xf numFmtId="0" fontId="17" fillId="18" borderId="2" applyAlignment="1" pivotButton="0" quotePrefix="0" xfId="0">
      <alignment horizontal="right" vertical="center"/>
    </xf>
    <xf numFmtId="0" fontId="24" fillId="18" borderId="2" applyAlignment="1" pivotButton="0" quotePrefix="0" xfId="0">
      <alignment horizontal="center" vertical="center"/>
    </xf>
    <xf numFmtId="0" fontId="24" fillId="12" borderId="2" applyAlignment="1" pivotButton="0" quotePrefix="0" xfId="0">
      <alignment horizontal="center" vertical="center"/>
    </xf>
    <xf numFmtId="0" fontId="25" fillId="4" borderId="2" applyAlignment="1" pivotButton="0" quotePrefix="0" xfId="0">
      <alignment horizontal="center" vertical="center"/>
    </xf>
    <xf numFmtId="164" fontId="27" fillId="4" borderId="2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16" fillId="18" borderId="2" applyAlignment="1" pivotButton="0" quotePrefix="0" xfId="0">
      <alignment horizontal="center" vertical="center"/>
    </xf>
    <xf numFmtId="164" fontId="7" fillId="6" borderId="2" applyAlignment="1" pivotButton="0" quotePrefix="0" xfId="0">
      <alignment horizontal="right" vertical="center"/>
    </xf>
    <xf numFmtId="0" fontId="16" fillId="12" borderId="2" applyAlignment="1" pivotButton="0" quotePrefix="0" xfId="0">
      <alignment horizontal="center" vertical="center"/>
    </xf>
    <xf numFmtId="164" fontId="7" fillId="7" borderId="2" applyAlignment="1" pivotButton="0" quotePrefix="0" xfId="0">
      <alignment horizontal="right" vertical="center"/>
    </xf>
    <xf numFmtId="165" fontId="10" fillId="18" borderId="2" applyAlignment="1" pivotButton="0" quotePrefix="0" xfId="0">
      <alignment horizontal="center" vertical="center"/>
    </xf>
    <xf numFmtId="0" fontId="10" fillId="18" borderId="2" applyAlignment="1" pivotButton="0" quotePrefix="0" xfId="0">
      <alignment horizontal="center" vertical="center"/>
    </xf>
    <xf numFmtId="0" fontId="10" fillId="18" borderId="2" applyAlignment="1" pivotButton="0" quotePrefix="0" xfId="0">
      <alignment horizontal="right" vertical="center" wrapText="1"/>
    </xf>
    <xf numFmtId="164" fontId="28" fillId="9" borderId="2" applyAlignment="1" pivotButton="0" quotePrefix="0" xfId="0">
      <alignment horizontal="right" vertical="center"/>
    </xf>
    <xf numFmtId="164" fontId="29" fillId="6" borderId="2" applyAlignment="1" pivotButton="0" quotePrefix="0" xfId="0">
      <alignment horizontal="right" vertical="center"/>
    </xf>
    <xf numFmtId="164" fontId="22" fillId="23" borderId="2" applyAlignment="1" pivotButton="0" quotePrefix="0" xfId="0">
      <alignment horizontal="right" vertical="center"/>
    </xf>
    <xf numFmtId="165" fontId="10" fillId="12" borderId="2" applyAlignment="1" pivotButton="0" quotePrefix="0" xfId="0">
      <alignment horizontal="center" vertical="center"/>
    </xf>
    <xf numFmtId="0" fontId="10" fillId="12" borderId="2" applyAlignment="1" pivotButton="0" quotePrefix="0" xfId="0">
      <alignment horizontal="center" vertical="center"/>
    </xf>
    <xf numFmtId="0" fontId="10" fillId="12" borderId="2" applyAlignment="1" pivotButton="0" quotePrefix="0" xfId="0">
      <alignment horizontal="right" vertical="center" wrapText="1"/>
    </xf>
    <xf numFmtId="164" fontId="28" fillId="10" borderId="2" applyAlignment="1" pivotButton="0" quotePrefix="0" xfId="0">
      <alignment horizontal="right" vertical="center"/>
    </xf>
    <xf numFmtId="164" fontId="29" fillId="7" borderId="2" applyAlignment="1" pivotButton="0" quotePrefix="0" xfId="0">
      <alignment horizontal="right" vertical="center"/>
    </xf>
    <xf numFmtId="164" fontId="22" fillId="17" borderId="2" applyAlignment="1" pivotButton="0" quotePrefix="0" xfId="0">
      <alignment horizontal="right" vertical="center"/>
    </xf>
    <xf numFmtId="164" fontId="2" fillId="2" borderId="2" applyAlignment="1" pivotButton="0" quotePrefix="0" xfId="0">
      <alignment horizontal="right" vertical="center"/>
    </xf>
    <xf numFmtId="0" fontId="30" fillId="0" borderId="0" pivotButton="0" quotePrefix="0" xfId="0"/>
    <xf numFmtId="0" fontId="31" fillId="0" borderId="0" pivotButton="0" quotePrefix="0" xfId="0"/>
    <xf numFmtId="164" fontId="32" fillId="2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right" vertical="center"/>
    </xf>
    <xf numFmtId="0" fontId="30" fillId="6" borderId="2" pivotButton="0" quotePrefix="0" xfId="0"/>
    <xf numFmtId="0" fontId="7" fillId="7" borderId="2" applyAlignment="1" pivotButton="0" quotePrefix="0" xfId="0">
      <alignment horizontal="right" vertical="center"/>
    </xf>
    <xf numFmtId="0" fontId="30" fillId="7" borderId="2" pivotButton="0" quotePrefix="0" xfId="0"/>
    <xf numFmtId="165" fontId="29" fillId="7" borderId="2" applyAlignment="1" pivotButton="0" quotePrefix="0" xfId="0">
      <alignment horizontal="center" vertical="center"/>
    </xf>
    <xf numFmtId="0" fontId="29" fillId="7" borderId="2" applyAlignment="1" pivotButton="0" quotePrefix="0" xfId="0">
      <alignment horizontal="center" vertical="center"/>
    </xf>
    <xf numFmtId="0" fontId="29" fillId="7" borderId="2" applyAlignment="1" pivotButton="0" quotePrefix="0" xfId="0">
      <alignment horizontal="right" vertical="center"/>
    </xf>
    <xf numFmtId="0" fontId="33" fillId="7" borderId="2" applyAlignment="1" pivotButton="0" quotePrefix="0" xfId="0">
      <alignment horizontal="center" vertical="center"/>
    </xf>
    <xf numFmtId="164" fontId="34" fillId="7" borderId="2" applyAlignment="1" pivotButton="0" quotePrefix="0" xfId="0">
      <alignment horizontal="right" vertical="center"/>
    </xf>
    <xf numFmtId="165" fontId="29" fillId="6" borderId="2" applyAlignment="1" pivotButton="0" quotePrefix="0" xfId="0">
      <alignment horizontal="center" vertical="center"/>
    </xf>
    <xf numFmtId="0" fontId="29" fillId="6" borderId="2" applyAlignment="1" pivotButton="0" quotePrefix="0" xfId="0">
      <alignment horizontal="center" vertical="center"/>
    </xf>
    <xf numFmtId="0" fontId="29" fillId="6" borderId="2" applyAlignment="1" pivotButton="0" quotePrefix="0" xfId="0">
      <alignment horizontal="right" vertical="center"/>
    </xf>
    <xf numFmtId="0" fontId="33" fillId="6" borderId="2" applyAlignment="1" pivotButton="0" quotePrefix="0" xfId="0">
      <alignment horizontal="center" vertical="center"/>
    </xf>
    <xf numFmtId="164" fontId="34" fillId="6" borderId="2" applyAlignment="1" pivotButton="0" quotePrefix="0" xfId="0">
      <alignment horizontal="right" vertical="center"/>
    </xf>
    <xf numFmtId="0" fontId="11" fillId="9" borderId="2" applyAlignment="1" pivotButton="0" quotePrefix="0" xfId="0">
      <alignment horizontal="right" vertical="center"/>
    </xf>
    <xf numFmtId="0" fontId="30" fillId="9" borderId="2" pivotButton="0" quotePrefix="0" xfId="0"/>
    <xf numFmtId="0" fontId="11" fillId="10" borderId="2" applyAlignment="1" pivotButton="0" quotePrefix="0" xfId="0">
      <alignment horizontal="right" vertical="center"/>
    </xf>
    <xf numFmtId="0" fontId="30" fillId="10" borderId="2" pivotButton="0" quotePrefix="0" xfId="0"/>
    <xf numFmtId="165" fontId="28" fillId="9" borderId="2" applyAlignment="1" pivotButton="0" quotePrefix="0" xfId="0">
      <alignment horizontal="center" vertical="center"/>
    </xf>
    <xf numFmtId="0" fontId="28" fillId="9" borderId="2" applyAlignment="1" pivotButton="0" quotePrefix="0" xfId="0">
      <alignment horizontal="center" vertical="center"/>
    </xf>
    <xf numFmtId="0" fontId="28" fillId="9" borderId="2" applyAlignment="1" pivotButton="0" quotePrefix="0" xfId="0">
      <alignment horizontal="right" vertical="center"/>
    </xf>
    <xf numFmtId="164" fontId="35" fillId="9" borderId="2" applyAlignment="1" pivotButton="0" quotePrefix="0" xfId="0">
      <alignment horizontal="right" vertical="center"/>
    </xf>
    <xf numFmtId="0" fontId="33" fillId="9" borderId="2" applyAlignment="1" pivotButton="0" quotePrefix="0" xfId="0">
      <alignment horizontal="center" vertical="center"/>
    </xf>
    <xf numFmtId="165" fontId="28" fillId="10" borderId="2" applyAlignment="1" pivotButton="0" quotePrefix="0" xfId="0">
      <alignment horizontal="center" vertical="center"/>
    </xf>
    <xf numFmtId="0" fontId="28" fillId="10" borderId="2" applyAlignment="1" pivotButton="0" quotePrefix="0" xfId="0">
      <alignment horizontal="center" vertical="center"/>
    </xf>
    <xf numFmtId="0" fontId="28" fillId="10" borderId="2" applyAlignment="1" pivotButton="0" quotePrefix="0" xfId="0">
      <alignment horizontal="right" vertical="center"/>
    </xf>
    <xf numFmtId="164" fontId="35" fillId="10" borderId="2" applyAlignment="1" pivotButton="0" quotePrefix="0" xfId="0">
      <alignment horizontal="right" vertical="center"/>
    </xf>
    <xf numFmtId="0" fontId="33" fillId="10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5" fontId="16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" fillId="24" borderId="1" applyAlignment="1" pivotButton="0" quotePrefix="0" xfId="0">
      <alignment horizontal="center" vertical="center"/>
    </xf>
    <xf numFmtId="164" fontId="2" fillId="5" borderId="2" applyAlignment="1" pivotButton="0" quotePrefix="0" xfId="0">
      <alignment horizontal="right" vertical="center"/>
    </xf>
    <xf numFmtId="0" fontId="17" fillId="30" borderId="2" applyAlignment="1" pivotButton="0" quotePrefix="0" xfId="0">
      <alignment horizontal="center" vertical="center"/>
    </xf>
    <xf numFmtId="0" fontId="16" fillId="30" borderId="2" applyAlignment="1" pivotButton="0" quotePrefix="0" xfId="0">
      <alignment horizontal="right" vertical="center" wrapText="1"/>
    </xf>
    <xf numFmtId="164" fontId="11" fillId="31" borderId="2" applyAlignment="1" pivotButton="0" quotePrefix="0" xfId="0">
      <alignment horizontal="right" vertical="center"/>
    </xf>
    <xf numFmtId="164" fontId="18" fillId="32" borderId="2" applyAlignment="1" pivotButton="0" quotePrefix="0" xfId="0">
      <alignment horizontal="right" vertical="center"/>
    </xf>
    <xf numFmtId="0" fontId="19" fillId="33" borderId="2" applyAlignment="1" pivotButton="0" quotePrefix="0" xfId="0">
      <alignment horizontal="center" vertical="center"/>
    </xf>
    <xf numFmtId="0" fontId="19" fillId="34" borderId="2" applyAlignment="1" pivotButton="0" quotePrefix="0" xfId="0">
      <alignment horizontal="center" vertical="center"/>
    </xf>
    <xf numFmtId="0" fontId="19" fillId="35" borderId="2" applyAlignment="1" pivotButton="0" quotePrefix="0" xfId="0">
      <alignment horizontal="center" vertical="center"/>
    </xf>
    <xf numFmtId="0" fontId="20" fillId="36" borderId="2" applyAlignment="1" pivotButton="0" quotePrefix="0" xfId="0">
      <alignment horizontal="right" vertical="center"/>
    </xf>
    <xf numFmtId="164" fontId="19" fillId="36" borderId="2" applyAlignment="1" pivotButton="0" quotePrefix="0" xfId="0">
      <alignment horizontal="right" vertical="center"/>
    </xf>
    <xf numFmtId="0" fontId="21" fillId="30" borderId="2" applyAlignment="1" pivotButton="0" quotePrefix="0" xfId="0">
      <alignment horizontal="right" vertical="center"/>
    </xf>
    <xf numFmtId="167" fontId="38" fillId="39" borderId="5" applyAlignment="1" pivotButton="0" quotePrefix="0" xfId="0">
      <alignment horizontal="center" vertical="center" readingOrder="2"/>
    </xf>
    <xf numFmtId="0" fontId="40" fillId="42" borderId="5" applyAlignment="1" pivotButton="0" quotePrefix="0" xfId="0">
      <alignment horizontal="center" vertical="center" readingOrder="2"/>
    </xf>
    <xf numFmtId="0" fontId="41" fillId="43" borderId="5" applyAlignment="1" pivotButton="0" quotePrefix="0" xfId="0">
      <alignment horizontal="right" vertical="center" readingOrder="2"/>
    </xf>
    <xf numFmtId="0" fontId="41" fillId="43" borderId="5" applyAlignment="1" pivotButton="0" quotePrefix="0" xfId="0">
      <alignment horizontal="center" vertical="center" readingOrder="2"/>
    </xf>
    <xf numFmtId="164" fontId="42" fillId="43" borderId="5" applyAlignment="1" pivotButton="0" quotePrefix="0" xfId="0">
      <alignment horizontal="center" vertical="center" readingOrder="2"/>
    </xf>
    <xf numFmtId="164" fontId="43" fillId="43" borderId="5" applyAlignment="1" pivotButton="0" quotePrefix="0" xfId="0">
      <alignment horizontal="center" vertical="center" readingOrder="2"/>
    </xf>
    <xf numFmtId="164" fontId="44" fillId="43" borderId="5" applyAlignment="1" pivotButton="0" quotePrefix="0" xfId="0">
      <alignment horizontal="center" vertical="center" readingOrder="2"/>
    </xf>
    <xf numFmtId="0" fontId="41" fillId="44" borderId="5" applyAlignment="1" pivotButton="0" quotePrefix="0" xfId="0">
      <alignment horizontal="right" vertical="center" readingOrder="2"/>
    </xf>
    <xf numFmtId="0" fontId="41" fillId="44" borderId="5" applyAlignment="1" pivotButton="0" quotePrefix="0" xfId="0">
      <alignment horizontal="center" vertical="center" readingOrder="2"/>
    </xf>
    <xf numFmtId="164" fontId="41" fillId="44" borderId="5" applyAlignment="1" pivotButton="0" quotePrefix="0" xfId="0">
      <alignment horizontal="center" vertical="center" readingOrder="2"/>
    </xf>
    <xf numFmtId="164" fontId="43" fillId="44" borderId="5" applyAlignment="1" pivotButton="0" quotePrefix="0" xfId="0">
      <alignment horizontal="center" vertical="center" readingOrder="2"/>
    </xf>
    <xf numFmtId="164" fontId="44" fillId="44" borderId="5" applyAlignment="1" pivotButton="0" quotePrefix="0" xfId="0">
      <alignment horizontal="center" vertical="center" readingOrder="2"/>
    </xf>
    <xf numFmtId="0" fontId="41" fillId="45" borderId="5" applyAlignment="1" pivotButton="0" quotePrefix="0" xfId="0">
      <alignment horizontal="right" vertical="center" readingOrder="2"/>
    </xf>
    <xf numFmtId="0" fontId="40" fillId="45" borderId="5" applyAlignment="1" pivotButton="0" quotePrefix="0" xfId="0">
      <alignment horizontal="center" vertical="center" readingOrder="2"/>
    </xf>
    <xf numFmtId="164" fontId="45" fillId="45" borderId="5" applyAlignment="1" pivotButton="0" quotePrefix="0" xfId="0">
      <alignment horizontal="center" vertical="center" readingOrder="2"/>
    </xf>
    <xf numFmtId="164" fontId="46" fillId="45" borderId="5" applyAlignment="1" pivotButton="0" quotePrefix="0" xfId="0">
      <alignment horizontal="center" vertical="center" readingOrder="2"/>
    </xf>
    <xf numFmtId="164" fontId="40" fillId="46" borderId="5" applyAlignment="1" pivotButton="0" quotePrefix="0" xfId="0">
      <alignment horizontal="center" vertical="center" readingOrder="2"/>
    </xf>
    <xf numFmtId="0" fontId="40" fillId="48" borderId="5" applyAlignment="1" pivotButton="0" quotePrefix="0" xfId="0">
      <alignment horizontal="center" vertical="center" readingOrder="2"/>
    </xf>
    <xf numFmtId="0" fontId="41" fillId="49" borderId="5" applyAlignment="1" pivotButton="0" quotePrefix="0" xfId="0">
      <alignment horizontal="right" vertical="center" readingOrder="2"/>
    </xf>
    <xf numFmtId="0" fontId="41" fillId="49" borderId="5" applyAlignment="1" pivotButton="0" quotePrefix="0" xfId="0">
      <alignment horizontal="center" vertical="center" readingOrder="2"/>
    </xf>
    <xf numFmtId="164" fontId="47" fillId="49" borderId="5" applyAlignment="1" pivotButton="0" quotePrefix="0" xfId="0">
      <alignment horizontal="center" vertical="center" readingOrder="2"/>
    </xf>
    <xf numFmtId="0" fontId="48" fillId="49" borderId="5" applyAlignment="1" pivotButton="0" quotePrefix="0" xfId="0">
      <alignment horizontal="center" vertical="center" readingOrder="2"/>
    </xf>
    <xf numFmtId="0" fontId="49" fillId="47" borderId="5" applyAlignment="1" pivotButton="0" quotePrefix="0" xfId="0">
      <alignment horizontal="right" vertical="center" readingOrder="2"/>
    </xf>
    <xf numFmtId="0" fontId="40" fillId="47" borderId="5" applyAlignment="1" pivotButton="0" quotePrefix="0" xfId="0">
      <alignment horizontal="center" vertical="center" readingOrder="2"/>
    </xf>
    <xf numFmtId="164" fontId="40" fillId="47" borderId="5" applyAlignment="1" pivotButton="0" quotePrefix="0" xfId="0">
      <alignment horizontal="center" vertical="center" readingOrder="2"/>
    </xf>
    <xf numFmtId="0" fontId="49" fillId="50" borderId="5" applyAlignment="1" pivotButton="0" quotePrefix="0" xfId="0">
      <alignment horizontal="right" vertical="center" readingOrder="2"/>
    </xf>
    <xf numFmtId="0" fontId="50" fillId="50" borderId="5" applyAlignment="1" pivotButton="0" quotePrefix="0" xfId="0">
      <alignment horizontal="right" vertical="center" readingOrder="2"/>
    </xf>
    <xf numFmtId="164" fontId="50" fillId="50" borderId="5" applyAlignment="1" pivotButton="0" quotePrefix="0" xfId="0">
      <alignment horizontal="center" vertical="center" readingOrder="2"/>
    </xf>
    <xf numFmtId="0" fontId="37" fillId="47" borderId="5" applyAlignment="1" pivotButton="0" quotePrefix="0" xfId="0">
      <alignment horizontal="center" vertical="center" readingOrder="2"/>
    </xf>
    <xf numFmtId="0" fontId="0" fillId="0" borderId="6" pivotButton="0" quotePrefix="0" xfId="0"/>
    <xf numFmtId="0" fontId="0" fillId="0" borderId="7" pivotButton="0" quotePrefix="0" xfId="0"/>
    <xf numFmtId="0" fontId="37" fillId="38" borderId="5" applyAlignment="1" pivotButton="0" quotePrefix="0" xfId="0">
      <alignment horizontal="center" vertical="center" readingOrder="2"/>
    </xf>
    <xf numFmtId="0" fontId="36" fillId="37" borderId="5" applyAlignment="1" pivotButton="0" quotePrefix="0" xfId="0">
      <alignment horizontal="center" vertical="center" readingOrder="2"/>
    </xf>
    <xf numFmtId="0" fontId="37" fillId="41" borderId="5" applyAlignment="1" pivotButton="0" quotePrefix="0" xfId="0">
      <alignment horizontal="center" vertical="center" readingOrder="2"/>
    </xf>
    <xf numFmtId="0" fontId="39" fillId="40" borderId="5" applyAlignment="1" pivotButton="0" quotePrefix="0" xfId="0">
      <alignment horizontal="center" vertical="center" readingOrder="2"/>
    </xf>
    <xf numFmtId="0" fontId="19" fillId="19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16" fillId="18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0" fontId="2" fillId="24" borderId="1" applyAlignment="1" pivotButton="0" quotePrefix="0" xfId="0">
      <alignment horizontal="center" vertical="center"/>
    </xf>
    <xf numFmtId="0" fontId="26" fillId="28" borderId="0" applyAlignment="1" pivotButton="0" quotePrefix="0" xfId="0">
      <alignment horizontal="right" vertical="center"/>
    </xf>
    <xf numFmtId="0" fontId="26" fillId="29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center" vertical="center"/>
    </xf>
    <xf numFmtId="164" fontId="2" fillId="5" borderId="2" applyAlignment="1" pivotButton="0" quotePrefix="0" xfId="0">
      <alignment horizontal="right" vertical="center"/>
    </xf>
    <xf numFmtId="0" fontId="2" fillId="8" borderId="1" applyAlignment="1" pivotButton="0" quotePrefix="0" xfId="0">
      <alignment horizontal="center" vertical="center"/>
    </xf>
    <xf numFmtId="168" fontId="41" fillId="43" borderId="5" applyAlignment="1" pivotButton="0" quotePrefix="0" xfId="0">
      <alignment horizontal="right" vertical="center" readingOrder="2"/>
    </xf>
    <xf numFmtId="168" fontId="41" fillId="49" borderId="5" applyAlignment="1" pivotButton="0" quotePrefix="0" xfId="0">
      <alignment horizontal="right" vertical="center" readingOrder="2"/>
    </xf>
  </cellXfs>
  <cellStyles count="1">
    <cellStyle name="Normal" xfId="0" builtinId="0"/>
  </cellStyles>
  <dxfs count="8">
    <dxf>
      <font>
        <b val="1"/>
        <color rgb="FF375623"/>
      </font>
    </dxf>
    <dxf>
      <font>
        <b val="1"/>
        <color rgb="FFC00000"/>
      </font>
    </dxf>
    <dxf>
      <font>
        <name val="Arial"/>
        <charset val="1"/>
        <b val="1"/>
        <color rgb="FF4B0082"/>
      </font>
      <fill>
        <patternFill>
          <bgColor rgb="FFD9B3FF"/>
        </patternFill>
      </fill>
    </dxf>
    <dxf>
      <font>
        <name val="Arial"/>
        <charset val="1"/>
        <b val="1"/>
        <color rgb="FFFFFFFF"/>
      </font>
      <fill>
        <patternFill>
          <bgColor rgb="FFFF6B35"/>
        </patternFill>
      </fill>
    </dxf>
    <dxf>
      <font>
        <b val="1"/>
        <color rgb="FF375623"/>
      </font>
    </dxf>
    <dxf>
      <font>
        <b val="1"/>
        <color rgb="FFC00000"/>
      </font>
    </dxf>
    <dxf>
      <fill>
        <patternFill patternType="solid">
          <fgColor rgb="FFE8F5E9"/>
          <bgColor rgb="FFE8F5E9"/>
        </patternFill>
      </fill>
    </dxf>
    <dxf>
      <fill>
        <patternFill patternType="solid">
          <fgColor rgb="FFFDEDEC"/>
          <bgColor rgb="FFFDEDE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0"/>
  <sheetViews>
    <sheetView rightToLeft="1" tabSelected="1" topLeftCell="A77" workbookViewId="0">
      <selection activeCell="A1" sqref="A1:F1"/>
    </sheetView>
  </sheetViews>
  <sheetFormatPr baseColWidth="8" defaultRowHeight="15"/>
  <cols>
    <col width="13" customWidth="1" style="165" min="1" max="1"/>
    <col width="12" customWidth="1" style="165" min="2" max="2"/>
    <col width="40" customWidth="1" style="165" min="3" max="3"/>
    <col width="12" customWidth="1" style="165" min="4" max="5"/>
    <col width="14" customWidth="1" style="165" min="6" max="6"/>
  </cols>
  <sheetData>
    <row r="1" ht="38.1" customHeight="1" s="165">
      <c r="A1" s="157" t="inlineStr">
        <is>
          <t>💰  محفظة مزرعة هادي إسحاق</t>
        </is>
      </c>
      <c r="B1" s="154" t="n"/>
      <c r="C1" s="154" t="n"/>
      <c r="D1" s="154" t="n"/>
      <c r="E1" s="154" t="n"/>
      <c r="F1" s="155" t="n"/>
    </row>
    <row r="2" ht="30" customHeight="1" s="165">
      <c r="A2" s="156" t="inlineStr">
        <is>
          <t>رصيد المحفظة الحالي</t>
        </is>
      </c>
      <c r="B2" s="154" t="n"/>
      <c r="C2" s="154" t="n"/>
      <c r="D2" s="154" t="n"/>
      <c r="E2" s="155" t="n"/>
      <c r="F2" s="125">
        <f>F206</f>
        <v/>
      </c>
    </row>
    <row r="3" ht="6" customHeight="1" s="165">
      <c r="A3" s="159" t="n"/>
      <c r="B3" s="154" t="n"/>
      <c r="C3" s="154" t="n"/>
      <c r="D3" s="154" t="n"/>
      <c r="E3" s="154" t="n"/>
      <c r="F3" s="155" t="n"/>
    </row>
    <row r="4" ht="27.95" customHeight="1" s="165">
      <c r="A4" s="158" t="inlineStr">
        <is>
          <t>📋  جدول حركات المحفظة  (دخل وصرف)</t>
        </is>
      </c>
      <c r="B4" s="154" t="n"/>
      <c r="C4" s="154" t="n"/>
      <c r="D4" s="154" t="n"/>
      <c r="E4" s="154" t="n"/>
      <c r="F4" s="155" t="n"/>
    </row>
    <row r="5" ht="24" customHeight="1" s="165">
      <c r="A5" s="126" t="inlineStr">
        <is>
          <t>التاريخ</t>
        </is>
      </c>
      <c r="B5" s="126" t="inlineStr">
        <is>
          <t>المرجع</t>
        </is>
      </c>
      <c r="C5" s="126" t="inlineStr">
        <is>
          <t>البيان / الوصف</t>
        </is>
      </c>
      <c r="D5" s="126" t="inlineStr">
        <is>
          <t>دخل (KD)</t>
        </is>
      </c>
      <c r="E5" s="126" t="inlineStr">
        <is>
          <t>صرف (KD)</t>
        </is>
      </c>
      <c r="F5" s="126" t="inlineStr">
        <is>
          <t>رصيد (KD)</t>
        </is>
      </c>
    </row>
    <row r="6" ht="18" customHeight="1" s="165">
      <c r="A6" s="179">
        <f>IFERROR(INDEX('كشف الحساب'!$A$4:$A$204,MATCH(1,'كشف الحساب'!$P$4:$P$204,0)),"")</f>
        <v/>
      </c>
      <c r="B6" s="128">
        <f>IFERROR(INDEX('كشف الحساب'!$B$4:$B$204,MATCH(1,'كشف الحساب'!$P$4:$P$204,0)),"")</f>
        <v/>
      </c>
      <c r="C6" s="127">
        <f>IFERROR(INDEX('كشف الحساب'!$C$4:$C$204,MATCH(1,'كشف الحساب'!$P$4:$P$204,0)),"")</f>
        <v/>
      </c>
      <c r="D6" s="129">
        <f>IFERROR(INDEX('كشف الحساب'!$E$4:$E$204,MATCH(1,'كشف الحساب'!$P$4:$P$204,0)),"")</f>
        <v/>
      </c>
      <c r="E6" s="130">
        <f>IFERROR(INDEX('كشف الحساب'!$D$4:$D$204,MATCH(1,'كشف الحساب'!$P$4:$P$204,0)),"")</f>
        <v/>
      </c>
      <c r="F6" s="131">
        <f>IF($A6="","",0+IF($D6="",0,$D6)-IF($E6="",0,$E6))</f>
        <v/>
      </c>
    </row>
    <row r="7" ht="18" customHeight="1" s="165">
      <c r="A7" s="179">
        <f>IFERROR(INDEX('كشف الحساب'!$A$4:$A$204,MATCH(2,'كشف الحساب'!$P$4:$P$204,0)),"")</f>
        <v/>
      </c>
      <c r="B7" s="128">
        <f>IFERROR(INDEX('كشف الحساب'!$B$4:$B$204,MATCH(2,'كشف الحساب'!$P$4:$P$204,0)),"")</f>
        <v/>
      </c>
      <c r="C7" s="127">
        <f>IFERROR(INDEX('كشف الحساب'!$C$4:$C$204,MATCH(2,'كشف الحساب'!$P$4:$P$204,0)),"")</f>
        <v/>
      </c>
      <c r="D7" s="129">
        <f>IFERROR(INDEX('كشف الحساب'!$E$4:$E$204,MATCH(2,'كشف الحساب'!$P$4:$P$204,0)),"")</f>
        <v/>
      </c>
      <c r="E7" s="130">
        <f>IFERROR(INDEX('كشف الحساب'!$D$4:$D$204,MATCH(2,'كشف الحساب'!$P$4:$P$204,0)),"")</f>
        <v/>
      </c>
      <c r="F7" s="131">
        <f>IF($A7="","",IF($F6="",0,$F6)+IF($D7="",0,$D7)-IF($E7="",0,$E7))</f>
        <v/>
      </c>
    </row>
    <row r="8" ht="18" customHeight="1" s="165">
      <c r="A8" s="179">
        <f>IFERROR(INDEX('كشف الحساب'!$A$4:$A$204,MATCH(3,'كشف الحساب'!$P$4:$P$204,0)),"")</f>
        <v/>
      </c>
      <c r="B8" s="128">
        <f>IFERROR(INDEX('كشف الحساب'!$B$4:$B$204,MATCH(3,'كشف الحساب'!$P$4:$P$204,0)),"")</f>
        <v/>
      </c>
      <c r="C8" s="127">
        <f>IFERROR(INDEX('كشف الحساب'!$C$4:$C$204,MATCH(3,'كشف الحساب'!$P$4:$P$204,0)),"")</f>
        <v/>
      </c>
      <c r="D8" s="129">
        <f>IFERROR(INDEX('كشف الحساب'!$E$4:$E$204,MATCH(3,'كشف الحساب'!$P$4:$P$204,0)),"")</f>
        <v/>
      </c>
      <c r="E8" s="130">
        <f>IFERROR(INDEX('كشف الحساب'!$D$4:$D$204,MATCH(3,'كشف الحساب'!$P$4:$P$204,0)),"")</f>
        <v/>
      </c>
      <c r="F8" s="131">
        <f>IF($A8="","",IF($F7="",0,$F7)+IF($D8="",0,$D8)-IF($E8="",0,$E8))</f>
        <v/>
      </c>
    </row>
    <row r="9" ht="18" customHeight="1" s="165">
      <c r="A9" s="179">
        <f>IFERROR(INDEX('كشف الحساب'!$A$4:$A$204,MATCH(4,'كشف الحساب'!$P$4:$P$204,0)),"")</f>
        <v/>
      </c>
      <c r="B9" s="128">
        <f>IFERROR(INDEX('كشف الحساب'!$B$4:$B$204,MATCH(4,'كشف الحساب'!$P$4:$P$204,0)),"")</f>
        <v/>
      </c>
      <c r="C9" s="127">
        <f>IFERROR(INDEX('كشف الحساب'!$C$4:$C$204,MATCH(4,'كشف الحساب'!$P$4:$P$204,0)),"")</f>
        <v/>
      </c>
      <c r="D9" s="129">
        <f>IFERROR(INDEX('كشف الحساب'!$E$4:$E$204,MATCH(4,'كشف الحساب'!$P$4:$P$204,0)),"")</f>
        <v/>
      </c>
      <c r="E9" s="130">
        <f>IFERROR(INDEX('كشف الحساب'!$D$4:$D$204,MATCH(4,'كشف الحساب'!$P$4:$P$204,0)),"")</f>
        <v/>
      </c>
      <c r="F9" s="131">
        <f>IF($A9="","",IF($F8="",0,$F8)+IF($D9="",0,$D9)-IF($E9="",0,$E9))</f>
        <v/>
      </c>
    </row>
    <row r="10" ht="18" customHeight="1" s="165">
      <c r="A10" s="179">
        <f>IFERROR(INDEX('كشف الحساب'!$A$4:$A$204,MATCH(5,'كشف الحساب'!$P$4:$P$204,0)),"")</f>
        <v/>
      </c>
      <c r="B10" s="128">
        <f>IFERROR(INDEX('كشف الحساب'!$B$4:$B$204,MATCH(5,'كشف الحساب'!$P$4:$P$204,0)),"")</f>
        <v/>
      </c>
      <c r="C10" s="127">
        <f>IFERROR(INDEX('كشف الحساب'!$C$4:$C$204,MATCH(5,'كشف الحساب'!$P$4:$P$204,0)),"")</f>
        <v/>
      </c>
      <c r="D10" s="129">
        <f>IFERROR(INDEX('كشف الحساب'!$E$4:$E$204,MATCH(5,'كشف الحساب'!$P$4:$P$204,0)),"")</f>
        <v/>
      </c>
      <c r="E10" s="130">
        <f>IFERROR(INDEX('كشف الحساب'!$D$4:$D$204,MATCH(5,'كشف الحساب'!$P$4:$P$204,0)),"")</f>
        <v/>
      </c>
      <c r="F10" s="131">
        <f>IF($A10="","",IF($F9="",0,$F9)+IF($D10="",0,$D10)-IF($E10="",0,$E10))</f>
        <v/>
      </c>
    </row>
    <row r="11" ht="18" customHeight="1" s="165">
      <c r="A11" s="179">
        <f>IFERROR(INDEX('كشف الحساب'!$A$4:$A$204,MATCH(6,'كشف الحساب'!$P$4:$P$204,0)),"")</f>
        <v/>
      </c>
      <c r="B11" s="128">
        <f>IFERROR(INDEX('كشف الحساب'!$B$4:$B$204,MATCH(6,'كشف الحساب'!$P$4:$P$204,0)),"")</f>
        <v/>
      </c>
      <c r="C11" s="127">
        <f>IFERROR(INDEX('كشف الحساب'!$C$4:$C$204,MATCH(6,'كشف الحساب'!$P$4:$P$204,0)),"")</f>
        <v/>
      </c>
      <c r="D11" s="129">
        <f>IFERROR(INDEX('كشف الحساب'!$E$4:$E$204,MATCH(6,'كشف الحساب'!$P$4:$P$204,0)),"")</f>
        <v/>
      </c>
      <c r="E11" s="130">
        <f>IFERROR(INDEX('كشف الحساب'!$D$4:$D$204,MATCH(6,'كشف الحساب'!$P$4:$P$204,0)),"")</f>
        <v/>
      </c>
      <c r="F11" s="131">
        <f>IF($A11="","",IF($F10="",0,$F10)+IF($D11="",0,$D11)-IF($E11="",0,$E11))</f>
        <v/>
      </c>
    </row>
    <row r="12" ht="18" customHeight="1" s="165">
      <c r="A12" s="179">
        <f>IFERROR(INDEX('كشف الحساب'!$A$4:$A$204,MATCH(7,'كشف الحساب'!$P$4:$P$204,0)),"")</f>
        <v/>
      </c>
      <c r="B12" s="128">
        <f>IFERROR(INDEX('كشف الحساب'!$B$4:$B$204,MATCH(7,'كشف الحساب'!$P$4:$P$204,0)),"")</f>
        <v/>
      </c>
      <c r="C12" s="127">
        <f>IFERROR(INDEX('كشف الحساب'!$C$4:$C$204,MATCH(7,'كشف الحساب'!$P$4:$P$204,0)),"")</f>
        <v/>
      </c>
      <c r="D12" s="129">
        <f>IFERROR(INDEX('كشف الحساب'!$E$4:$E$204,MATCH(7,'كشف الحساب'!$P$4:$P$204,0)),"")</f>
        <v/>
      </c>
      <c r="E12" s="130">
        <f>IFERROR(INDEX('كشف الحساب'!$D$4:$D$204,MATCH(7,'كشف الحساب'!$P$4:$P$204,0)),"")</f>
        <v/>
      </c>
      <c r="F12" s="131">
        <f>IF($A12="","",IF($F11="",0,$F11)+IF($D12="",0,$D12)-IF($E12="",0,$E12))</f>
        <v/>
      </c>
    </row>
    <row r="13" ht="18" customHeight="1" s="165">
      <c r="A13" s="179">
        <f>IFERROR(INDEX('كشف الحساب'!$A$4:$A$204,MATCH(8,'كشف الحساب'!$P$4:$P$204,0)),"")</f>
        <v/>
      </c>
      <c r="B13" s="128">
        <f>IFERROR(INDEX('كشف الحساب'!$B$4:$B$204,MATCH(8,'كشف الحساب'!$P$4:$P$204,0)),"")</f>
        <v/>
      </c>
      <c r="C13" s="127">
        <f>IFERROR(INDEX('كشف الحساب'!$C$4:$C$204,MATCH(8,'كشف الحساب'!$P$4:$P$204,0)),"")</f>
        <v/>
      </c>
      <c r="D13" s="129">
        <f>IFERROR(INDEX('كشف الحساب'!$E$4:$E$204,MATCH(8,'كشف الحساب'!$P$4:$P$204,0)),"")</f>
        <v/>
      </c>
      <c r="E13" s="130">
        <f>IFERROR(INDEX('كشف الحساب'!$D$4:$D$204,MATCH(8,'كشف الحساب'!$P$4:$P$204,0)),"")</f>
        <v/>
      </c>
      <c r="F13" s="131">
        <f>IF($A13="","",IF($F12="",0,$F12)+IF($D13="",0,$D13)-IF($E13="",0,$E13))</f>
        <v/>
      </c>
    </row>
    <row r="14" ht="18" customHeight="1" s="165">
      <c r="A14" s="179">
        <f>IFERROR(INDEX('كشف الحساب'!$A$4:$A$204,MATCH(9,'كشف الحساب'!$P$4:$P$204,0)),"")</f>
        <v/>
      </c>
      <c r="B14" s="128">
        <f>IFERROR(INDEX('كشف الحساب'!$B$4:$B$204,MATCH(9,'كشف الحساب'!$P$4:$P$204,0)),"")</f>
        <v/>
      </c>
      <c r="C14" s="127">
        <f>IFERROR(INDEX('كشف الحساب'!$C$4:$C$204,MATCH(9,'كشف الحساب'!$P$4:$P$204,0)),"")</f>
        <v/>
      </c>
      <c r="D14" s="129">
        <f>IFERROR(INDEX('كشف الحساب'!$E$4:$E$204,MATCH(9,'كشف الحساب'!$P$4:$P$204,0)),"")</f>
        <v/>
      </c>
      <c r="E14" s="130">
        <f>IFERROR(INDEX('كشف الحساب'!$D$4:$D$204,MATCH(9,'كشف الحساب'!$P$4:$P$204,0)),"")</f>
        <v/>
      </c>
      <c r="F14" s="131">
        <f>IF($A14="","",IF($F13="",0,$F13)+IF($D14="",0,$D14)-IF($E14="",0,$E14))</f>
        <v/>
      </c>
    </row>
    <row r="15" ht="18" customHeight="1" s="165">
      <c r="A15" s="179">
        <f>IFERROR(INDEX('كشف الحساب'!$A$4:$A$204,MATCH(10,'كشف الحساب'!$P$4:$P$204,0)),"")</f>
        <v/>
      </c>
      <c r="B15" s="128">
        <f>IFERROR(INDEX('كشف الحساب'!$B$4:$B$204,MATCH(10,'كشف الحساب'!$P$4:$P$204,0)),"")</f>
        <v/>
      </c>
      <c r="C15" s="127">
        <f>IFERROR(INDEX('كشف الحساب'!$C$4:$C$204,MATCH(10,'كشف الحساب'!$P$4:$P$204,0)),"")</f>
        <v/>
      </c>
      <c r="D15" s="129">
        <f>IFERROR(INDEX('كشف الحساب'!$E$4:$E$204,MATCH(10,'كشف الحساب'!$P$4:$P$204,0)),"")</f>
        <v/>
      </c>
      <c r="E15" s="130">
        <f>IFERROR(INDEX('كشف الحساب'!$D$4:$D$204,MATCH(10,'كشف الحساب'!$P$4:$P$204,0)),"")</f>
        <v/>
      </c>
      <c r="F15" s="131">
        <f>IF($A15="","",IF($F14="",0,$F14)+IF($D15="",0,$D15)-IF($E15="",0,$E15))</f>
        <v/>
      </c>
    </row>
    <row r="16" ht="18" customHeight="1" s="165">
      <c r="A16" s="179">
        <f>IFERROR(INDEX('كشف الحساب'!$A$4:$A$204,MATCH(11,'كشف الحساب'!$P$4:$P$204,0)),"")</f>
        <v/>
      </c>
      <c r="B16" s="128">
        <f>IFERROR(INDEX('كشف الحساب'!$B$4:$B$204,MATCH(11,'كشف الحساب'!$P$4:$P$204,0)),"")</f>
        <v/>
      </c>
      <c r="C16" s="127">
        <f>IFERROR(INDEX('كشف الحساب'!$C$4:$C$204,MATCH(11,'كشف الحساب'!$P$4:$P$204,0)),"")</f>
        <v/>
      </c>
      <c r="D16" s="129">
        <f>IFERROR(INDEX('كشف الحساب'!$E$4:$E$204,MATCH(11,'كشف الحساب'!$P$4:$P$204,0)),"")</f>
        <v/>
      </c>
      <c r="E16" s="130">
        <f>IFERROR(INDEX('كشف الحساب'!$D$4:$D$204,MATCH(11,'كشف الحساب'!$P$4:$P$204,0)),"")</f>
        <v/>
      </c>
      <c r="F16" s="131">
        <f>IF($A16="","",IF($F15="",0,$F15)+IF($D16="",0,$D16)-IF($E16="",0,$E16))</f>
        <v/>
      </c>
    </row>
    <row r="17" ht="18" customHeight="1" s="165">
      <c r="A17" s="179">
        <f>IFERROR(INDEX('كشف الحساب'!$A$4:$A$204,MATCH(12,'كشف الحساب'!$P$4:$P$204,0)),"")</f>
        <v/>
      </c>
      <c r="B17" s="128">
        <f>IFERROR(INDEX('كشف الحساب'!$B$4:$B$204,MATCH(12,'كشف الحساب'!$P$4:$P$204,0)),"")</f>
        <v/>
      </c>
      <c r="C17" s="127">
        <f>IFERROR(INDEX('كشف الحساب'!$C$4:$C$204,MATCH(12,'كشف الحساب'!$P$4:$P$204,0)),"")</f>
        <v/>
      </c>
      <c r="D17" s="129">
        <f>IFERROR(INDEX('كشف الحساب'!$E$4:$E$204,MATCH(12,'كشف الحساب'!$P$4:$P$204,0)),"")</f>
        <v/>
      </c>
      <c r="E17" s="130">
        <f>IFERROR(INDEX('كشف الحساب'!$D$4:$D$204,MATCH(12,'كشف الحساب'!$P$4:$P$204,0)),"")</f>
        <v/>
      </c>
      <c r="F17" s="131">
        <f>IF($A17="","",IF($F16="",0,$F16)+IF($D17="",0,$D17)-IF($E17="",0,$E17))</f>
        <v/>
      </c>
    </row>
    <row r="18" ht="18" customHeight="1" s="165">
      <c r="A18" s="179">
        <f>IFERROR(INDEX('كشف الحساب'!$A$4:$A$204,MATCH(13,'كشف الحساب'!$P$4:$P$204,0)),"")</f>
        <v/>
      </c>
      <c r="B18" s="128">
        <f>IFERROR(INDEX('كشف الحساب'!$B$4:$B$204,MATCH(13,'كشف الحساب'!$P$4:$P$204,0)),"")</f>
        <v/>
      </c>
      <c r="C18" s="127">
        <f>IFERROR(INDEX('كشف الحساب'!$C$4:$C$204,MATCH(13,'كشف الحساب'!$P$4:$P$204,0)),"")</f>
        <v/>
      </c>
      <c r="D18" s="129">
        <f>IFERROR(INDEX('كشف الحساب'!$E$4:$E$204,MATCH(13,'كشف الحساب'!$P$4:$P$204,0)),"")</f>
        <v/>
      </c>
      <c r="E18" s="130">
        <f>IFERROR(INDEX('كشف الحساب'!$D$4:$D$204,MATCH(13,'كشف الحساب'!$P$4:$P$204,0)),"")</f>
        <v/>
      </c>
      <c r="F18" s="131">
        <f>IF($A18="","",IF($F17="",0,$F17)+IF($D18="",0,$D18)-IF($E18="",0,$E18))</f>
        <v/>
      </c>
    </row>
    <row r="19" ht="18" customHeight="1" s="165">
      <c r="A19" s="179">
        <f>IFERROR(INDEX('كشف الحساب'!$A$4:$A$204,MATCH(14,'كشف الحساب'!$P$4:$P$204,0)),"")</f>
        <v/>
      </c>
      <c r="B19" s="128">
        <f>IFERROR(INDEX('كشف الحساب'!$B$4:$B$204,MATCH(14,'كشف الحساب'!$P$4:$P$204,0)),"")</f>
        <v/>
      </c>
      <c r="C19" s="127">
        <f>IFERROR(INDEX('كشف الحساب'!$C$4:$C$204,MATCH(14,'كشف الحساب'!$P$4:$P$204,0)),"")</f>
        <v/>
      </c>
      <c r="D19" s="129">
        <f>IFERROR(INDEX('كشف الحساب'!$E$4:$E$204,MATCH(14,'كشف الحساب'!$P$4:$P$204,0)),"")</f>
        <v/>
      </c>
      <c r="E19" s="130">
        <f>IFERROR(INDEX('كشف الحساب'!$D$4:$D$204,MATCH(14,'كشف الحساب'!$P$4:$P$204,0)),"")</f>
        <v/>
      </c>
      <c r="F19" s="131">
        <f>IF($A19="","",IF($F18="",0,$F18)+IF($D19="",0,$D19)-IF($E19="",0,$E19))</f>
        <v/>
      </c>
    </row>
    <row r="20" ht="18" customHeight="1" s="165">
      <c r="A20" s="179">
        <f>IFERROR(INDEX('كشف الحساب'!$A$4:$A$204,MATCH(15,'كشف الحساب'!$P$4:$P$204,0)),"")</f>
        <v/>
      </c>
      <c r="B20" s="128">
        <f>IFERROR(INDEX('كشف الحساب'!$B$4:$B$204,MATCH(15,'كشف الحساب'!$P$4:$P$204,0)),"")</f>
        <v/>
      </c>
      <c r="C20" s="127">
        <f>IFERROR(INDEX('كشف الحساب'!$C$4:$C$204,MATCH(15,'كشف الحساب'!$P$4:$P$204,0)),"")</f>
        <v/>
      </c>
      <c r="D20" s="129">
        <f>IFERROR(INDEX('كشف الحساب'!$E$4:$E$204,MATCH(15,'كشف الحساب'!$P$4:$P$204,0)),"")</f>
        <v/>
      </c>
      <c r="E20" s="130">
        <f>IFERROR(INDEX('كشف الحساب'!$D$4:$D$204,MATCH(15,'كشف الحساب'!$P$4:$P$204,0)),"")</f>
        <v/>
      </c>
      <c r="F20" s="131">
        <f>IF($A20="","",IF($F19="",0,$F19)+IF($D20="",0,$D20)-IF($E20="",0,$E20))</f>
        <v/>
      </c>
    </row>
    <row r="21" ht="18" customHeight="1" s="165">
      <c r="A21" s="179">
        <f>IFERROR(INDEX('كشف الحساب'!$A$4:$A$204,MATCH(16,'كشف الحساب'!$P$4:$P$204,0)),"")</f>
        <v/>
      </c>
      <c r="B21" s="128">
        <f>IFERROR(INDEX('كشف الحساب'!$B$4:$B$204,MATCH(16,'كشف الحساب'!$P$4:$P$204,0)),"")</f>
        <v/>
      </c>
      <c r="C21" s="127">
        <f>IFERROR(INDEX('كشف الحساب'!$C$4:$C$204,MATCH(16,'كشف الحساب'!$P$4:$P$204,0)),"")</f>
        <v/>
      </c>
      <c r="D21" s="129">
        <f>IFERROR(INDEX('كشف الحساب'!$E$4:$E$204,MATCH(16,'كشف الحساب'!$P$4:$P$204,0)),"")</f>
        <v/>
      </c>
      <c r="E21" s="130">
        <f>IFERROR(INDEX('كشف الحساب'!$D$4:$D$204,MATCH(16,'كشف الحساب'!$P$4:$P$204,0)),"")</f>
        <v/>
      </c>
      <c r="F21" s="131">
        <f>IF($A21="","",IF($F20="",0,$F20)+IF($D21="",0,$D21)-IF($E21="",0,$E21))</f>
        <v/>
      </c>
    </row>
    <row r="22" ht="18" customHeight="1" s="165">
      <c r="A22" s="179">
        <f>IFERROR(INDEX('كشف الحساب'!$A$4:$A$204,MATCH(17,'كشف الحساب'!$P$4:$P$204,0)),"")</f>
        <v/>
      </c>
      <c r="B22" s="128">
        <f>IFERROR(INDEX('كشف الحساب'!$B$4:$B$204,MATCH(17,'كشف الحساب'!$P$4:$P$204,0)),"")</f>
        <v/>
      </c>
      <c r="C22" s="127">
        <f>IFERROR(INDEX('كشف الحساب'!$C$4:$C$204,MATCH(17,'كشف الحساب'!$P$4:$P$204,0)),"")</f>
        <v/>
      </c>
      <c r="D22" s="129">
        <f>IFERROR(INDEX('كشف الحساب'!$E$4:$E$204,MATCH(17,'كشف الحساب'!$P$4:$P$204,0)),"")</f>
        <v/>
      </c>
      <c r="E22" s="130">
        <f>IFERROR(INDEX('كشف الحساب'!$D$4:$D$204,MATCH(17,'كشف الحساب'!$P$4:$P$204,0)),"")</f>
        <v/>
      </c>
      <c r="F22" s="131">
        <f>IF($A22="","",IF($F21="",0,$F21)+IF($D22="",0,$D22)-IF($E22="",0,$E22))</f>
        <v/>
      </c>
    </row>
    <row r="23" ht="18" customHeight="1" s="165">
      <c r="A23" s="179">
        <f>IFERROR(INDEX('كشف الحساب'!$A$4:$A$204,MATCH(18,'كشف الحساب'!$P$4:$P$204,0)),"")</f>
        <v/>
      </c>
      <c r="B23" s="128">
        <f>IFERROR(INDEX('كشف الحساب'!$B$4:$B$204,MATCH(18,'كشف الحساب'!$P$4:$P$204,0)),"")</f>
        <v/>
      </c>
      <c r="C23" s="127">
        <f>IFERROR(INDEX('كشف الحساب'!$C$4:$C$204,MATCH(18,'كشف الحساب'!$P$4:$P$204,0)),"")</f>
        <v/>
      </c>
      <c r="D23" s="129">
        <f>IFERROR(INDEX('كشف الحساب'!$E$4:$E$204,MATCH(18,'كشف الحساب'!$P$4:$P$204,0)),"")</f>
        <v/>
      </c>
      <c r="E23" s="130">
        <f>IFERROR(INDEX('كشف الحساب'!$D$4:$D$204,MATCH(18,'كشف الحساب'!$P$4:$P$204,0)),"")</f>
        <v/>
      </c>
      <c r="F23" s="131">
        <f>IF($A23="","",IF($F22="",0,$F22)+IF($D23="",0,$D23)-IF($E23="",0,$E23))</f>
        <v/>
      </c>
    </row>
    <row r="24" ht="18" customHeight="1" s="165">
      <c r="A24" s="179">
        <f>IFERROR(INDEX('كشف الحساب'!$A$4:$A$204,MATCH(19,'كشف الحساب'!$P$4:$P$204,0)),"")</f>
        <v/>
      </c>
      <c r="B24" s="128">
        <f>IFERROR(INDEX('كشف الحساب'!$B$4:$B$204,MATCH(19,'كشف الحساب'!$P$4:$P$204,0)),"")</f>
        <v/>
      </c>
      <c r="C24" s="127">
        <f>IFERROR(INDEX('كشف الحساب'!$C$4:$C$204,MATCH(19,'كشف الحساب'!$P$4:$P$204,0)),"")</f>
        <v/>
      </c>
      <c r="D24" s="129">
        <f>IFERROR(INDEX('كشف الحساب'!$E$4:$E$204,MATCH(19,'كشف الحساب'!$P$4:$P$204,0)),"")</f>
        <v/>
      </c>
      <c r="E24" s="130">
        <f>IFERROR(INDEX('كشف الحساب'!$D$4:$D$204,MATCH(19,'كشف الحساب'!$P$4:$P$204,0)),"")</f>
        <v/>
      </c>
      <c r="F24" s="131">
        <f>IF($A24="","",IF($F23="",0,$F23)+IF($D24="",0,$D24)-IF($E24="",0,$E24))</f>
        <v/>
      </c>
    </row>
    <row r="25" ht="18" customHeight="1" s="165">
      <c r="A25" s="179">
        <f>IFERROR(INDEX('كشف الحساب'!$A$4:$A$204,MATCH(20,'كشف الحساب'!$P$4:$P$204,0)),"")</f>
        <v/>
      </c>
      <c r="B25" s="128">
        <f>IFERROR(INDEX('كشف الحساب'!$B$4:$B$204,MATCH(20,'كشف الحساب'!$P$4:$P$204,0)),"")</f>
        <v/>
      </c>
      <c r="C25" s="127">
        <f>IFERROR(INDEX('كشف الحساب'!$C$4:$C$204,MATCH(20,'كشف الحساب'!$P$4:$P$204,0)),"")</f>
        <v/>
      </c>
      <c r="D25" s="129">
        <f>IFERROR(INDEX('كشف الحساب'!$E$4:$E$204,MATCH(20,'كشف الحساب'!$P$4:$P$204,0)),"")</f>
        <v/>
      </c>
      <c r="E25" s="130">
        <f>IFERROR(INDEX('كشف الحساب'!$D$4:$D$204,MATCH(20,'كشف الحساب'!$P$4:$P$204,0)),"")</f>
        <v/>
      </c>
      <c r="F25" s="131">
        <f>IF($A25="","",IF($F24="",0,$F24)+IF($D25="",0,$D25)-IF($E25="",0,$E25))</f>
        <v/>
      </c>
    </row>
    <row r="26" ht="18" customHeight="1" s="165">
      <c r="A26" s="179">
        <f>IFERROR(INDEX('كشف الحساب'!$A$4:$A$204,MATCH(21,'كشف الحساب'!$P$4:$P$204,0)),"")</f>
        <v/>
      </c>
      <c r="B26" s="128">
        <f>IFERROR(INDEX('كشف الحساب'!$B$4:$B$204,MATCH(21,'كشف الحساب'!$P$4:$P$204,0)),"")</f>
        <v/>
      </c>
      <c r="C26" s="127">
        <f>IFERROR(INDEX('كشف الحساب'!$C$4:$C$204,MATCH(21,'كشف الحساب'!$P$4:$P$204,0)),"")</f>
        <v/>
      </c>
      <c r="D26" s="129">
        <f>IFERROR(INDEX('كشف الحساب'!$E$4:$E$204,MATCH(21,'كشف الحساب'!$P$4:$P$204,0)),"")</f>
        <v/>
      </c>
      <c r="E26" s="130">
        <f>IFERROR(INDEX('كشف الحساب'!$D$4:$D$204,MATCH(21,'كشف الحساب'!$P$4:$P$204,0)),"")</f>
        <v/>
      </c>
      <c r="F26" s="131">
        <f>IF($A26="","",IF($F25="",0,$F25)+IF($D26="",0,$D26)-IF($E26="",0,$E26))</f>
        <v/>
      </c>
    </row>
    <row r="27" ht="18" customHeight="1" s="165">
      <c r="A27" s="179">
        <f>IFERROR(INDEX('كشف الحساب'!$A$4:$A$204,MATCH(22,'كشف الحساب'!$P$4:$P$204,0)),"")</f>
        <v/>
      </c>
      <c r="B27" s="128">
        <f>IFERROR(INDEX('كشف الحساب'!$B$4:$B$204,MATCH(22,'كشف الحساب'!$P$4:$P$204,0)),"")</f>
        <v/>
      </c>
      <c r="C27" s="127">
        <f>IFERROR(INDEX('كشف الحساب'!$C$4:$C$204,MATCH(22,'كشف الحساب'!$P$4:$P$204,0)),"")</f>
        <v/>
      </c>
      <c r="D27" s="129">
        <f>IFERROR(INDEX('كشف الحساب'!$E$4:$E$204,MATCH(22,'كشف الحساب'!$P$4:$P$204,0)),"")</f>
        <v/>
      </c>
      <c r="E27" s="130">
        <f>IFERROR(INDEX('كشف الحساب'!$D$4:$D$204,MATCH(22,'كشف الحساب'!$P$4:$P$204,0)),"")</f>
        <v/>
      </c>
      <c r="F27" s="131">
        <f>IF($A27="","",IF($F26="",0,$F26)+IF($D27="",0,$D27)-IF($E27="",0,$E27))</f>
        <v/>
      </c>
    </row>
    <row r="28" ht="18" customHeight="1" s="165">
      <c r="A28" s="179">
        <f>IFERROR(INDEX('كشف الحساب'!$A$4:$A$204,MATCH(23,'كشف الحساب'!$P$4:$P$204,0)),"")</f>
        <v/>
      </c>
      <c r="B28" s="128">
        <f>IFERROR(INDEX('كشف الحساب'!$B$4:$B$204,MATCH(23,'كشف الحساب'!$P$4:$P$204,0)),"")</f>
        <v/>
      </c>
      <c r="C28" s="127">
        <f>IFERROR(INDEX('كشف الحساب'!$C$4:$C$204,MATCH(23,'كشف الحساب'!$P$4:$P$204,0)),"")</f>
        <v/>
      </c>
      <c r="D28" s="129">
        <f>IFERROR(INDEX('كشف الحساب'!$E$4:$E$204,MATCH(23,'كشف الحساب'!$P$4:$P$204,0)),"")</f>
        <v/>
      </c>
      <c r="E28" s="130">
        <f>IFERROR(INDEX('كشف الحساب'!$D$4:$D$204,MATCH(23,'كشف الحساب'!$P$4:$P$204,0)),"")</f>
        <v/>
      </c>
      <c r="F28" s="131">
        <f>IF($A28="","",IF($F27="",0,$F27)+IF($D28="",0,$D28)-IF($E28="",0,$E28))</f>
        <v/>
      </c>
    </row>
    <row r="29" ht="18" customHeight="1" s="165">
      <c r="A29" s="179">
        <f>IFERROR(INDEX('كشف الحساب'!$A$4:$A$204,MATCH(24,'كشف الحساب'!$P$4:$P$204,0)),"")</f>
        <v/>
      </c>
      <c r="B29" s="128">
        <f>IFERROR(INDEX('كشف الحساب'!$B$4:$B$204,MATCH(24,'كشف الحساب'!$P$4:$P$204,0)),"")</f>
        <v/>
      </c>
      <c r="C29" s="127">
        <f>IFERROR(INDEX('كشف الحساب'!$C$4:$C$204,MATCH(24,'كشف الحساب'!$P$4:$P$204,0)),"")</f>
        <v/>
      </c>
      <c r="D29" s="129">
        <f>IFERROR(INDEX('كشف الحساب'!$E$4:$E$204,MATCH(24,'كشف الحساب'!$P$4:$P$204,0)),"")</f>
        <v/>
      </c>
      <c r="E29" s="130">
        <f>IFERROR(INDEX('كشف الحساب'!$D$4:$D$204,MATCH(24,'كشف الحساب'!$P$4:$P$204,0)),"")</f>
        <v/>
      </c>
      <c r="F29" s="131">
        <f>IF($A29="","",IF($F28="",0,$F28)+IF($D29="",0,$D29)-IF($E29="",0,$E29))</f>
        <v/>
      </c>
    </row>
    <row r="30" ht="18" customHeight="1" s="165">
      <c r="A30" s="179">
        <f>IFERROR(INDEX('كشف الحساب'!$A$4:$A$204,MATCH(25,'كشف الحساب'!$P$4:$P$204,0)),"")</f>
        <v/>
      </c>
      <c r="B30" s="128">
        <f>IFERROR(INDEX('كشف الحساب'!$B$4:$B$204,MATCH(25,'كشف الحساب'!$P$4:$P$204,0)),"")</f>
        <v/>
      </c>
      <c r="C30" s="127">
        <f>IFERROR(INDEX('كشف الحساب'!$C$4:$C$204,MATCH(25,'كشف الحساب'!$P$4:$P$204,0)),"")</f>
        <v/>
      </c>
      <c r="D30" s="129">
        <f>IFERROR(INDEX('كشف الحساب'!$E$4:$E$204,MATCH(25,'كشف الحساب'!$P$4:$P$204,0)),"")</f>
        <v/>
      </c>
      <c r="E30" s="130">
        <f>IFERROR(INDEX('كشف الحساب'!$D$4:$D$204,MATCH(25,'كشف الحساب'!$P$4:$P$204,0)),"")</f>
        <v/>
      </c>
      <c r="F30" s="131">
        <f>IF($A30="","",IF($F29="",0,$F29)+IF($D30="",0,$D30)-IF($E30="",0,$E30))</f>
        <v/>
      </c>
    </row>
    <row r="31" ht="18" customHeight="1" s="165">
      <c r="A31" s="179">
        <f>IFERROR(INDEX('كشف الحساب'!$A$4:$A$204,MATCH(26,'كشف الحساب'!$P$4:$P$204,0)),"")</f>
        <v/>
      </c>
      <c r="B31" s="128">
        <f>IFERROR(INDEX('كشف الحساب'!$B$4:$B$204,MATCH(26,'كشف الحساب'!$P$4:$P$204,0)),"")</f>
        <v/>
      </c>
      <c r="C31" s="127">
        <f>IFERROR(INDEX('كشف الحساب'!$C$4:$C$204,MATCH(26,'كشف الحساب'!$P$4:$P$204,0)),"")</f>
        <v/>
      </c>
      <c r="D31" s="129">
        <f>IFERROR(INDEX('كشف الحساب'!$E$4:$E$204,MATCH(26,'كشف الحساب'!$P$4:$P$204,0)),"")</f>
        <v/>
      </c>
      <c r="E31" s="130">
        <f>IFERROR(INDEX('كشف الحساب'!$D$4:$D$204,MATCH(26,'كشف الحساب'!$P$4:$P$204,0)),"")</f>
        <v/>
      </c>
      <c r="F31" s="131">
        <f>IF($A31="","",IF($F30="",0,$F30)+IF($D31="",0,$D31)-IF($E31="",0,$E31))</f>
        <v/>
      </c>
    </row>
    <row r="32" ht="18" customHeight="1" s="165">
      <c r="A32" s="179">
        <f>IFERROR(INDEX('كشف الحساب'!$A$4:$A$204,MATCH(27,'كشف الحساب'!$P$4:$P$204,0)),"")</f>
        <v/>
      </c>
      <c r="B32" s="128">
        <f>IFERROR(INDEX('كشف الحساب'!$B$4:$B$204,MATCH(27,'كشف الحساب'!$P$4:$P$204,0)),"")</f>
        <v/>
      </c>
      <c r="C32" s="127">
        <f>IFERROR(INDEX('كشف الحساب'!$C$4:$C$204,MATCH(27,'كشف الحساب'!$P$4:$P$204,0)),"")</f>
        <v/>
      </c>
      <c r="D32" s="129">
        <f>IFERROR(INDEX('كشف الحساب'!$E$4:$E$204,MATCH(27,'كشف الحساب'!$P$4:$P$204,0)),"")</f>
        <v/>
      </c>
      <c r="E32" s="130">
        <f>IFERROR(INDEX('كشف الحساب'!$D$4:$D$204,MATCH(27,'كشف الحساب'!$P$4:$P$204,0)),"")</f>
        <v/>
      </c>
      <c r="F32" s="131">
        <f>IF($A32="","",IF($F31="",0,$F31)+IF($D32="",0,$D32)-IF($E32="",0,$E32))</f>
        <v/>
      </c>
    </row>
    <row r="33" ht="18" customHeight="1" s="165">
      <c r="A33" s="179">
        <f>IFERROR(INDEX('كشف الحساب'!$A$4:$A$204,MATCH(28,'كشف الحساب'!$P$4:$P$204,0)),"")</f>
        <v/>
      </c>
      <c r="B33" s="128">
        <f>IFERROR(INDEX('كشف الحساب'!$B$4:$B$204,MATCH(28,'كشف الحساب'!$P$4:$P$204,0)),"")</f>
        <v/>
      </c>
      <c r="C33" s="127">
        <f>IFERROR(INDEX('كشف الحساب'!$C$4:$C$204,MATCH(28,'كشف الحساب'!$P$4:$P$204,0)),"")</f>
        <v/>
      </c>
      <c r="D33" s="129">
        <f>IFERROR(INDEX('كشف الحساب'!$E$4:$E$204,MATCH(28,'كشف الحساب'!$P$4:$P$204,0)),"")</f>
        <v/>
      </c>
      <c r="E33" s="130">
        <f>IFERROR(INDEX('كشف الحساب'!$D$4:$D$204,MATCH(28,'كشف الحساب'!$P$4:$P$204,0)),"")</f>
        <v/>
      </c>
      <c r="F33" s="131">
        <f>IF($A33="","",IF($F32="",0,$F32)+IF($D33="",0,$D33)-IF($E33="",0,$E33))</f>
        <v/>
      </c>
    </row>
    <row r="34" ht="18" customHeight="1" s="165">
      <c r="A34" s="179">
        <f>IFERROR(INDEX('كشف الحساب'!$A$4:$A$204,MATCH(29,'كشف الحساب'!$P$4:$P$204,0)),"")</f>
        <v/>
      </c>
      <c r="B34" s="128">
        <f>IFERROR(INDEX('كشف الحساب'!$B$4:$B$204,MATCH(29,'كشف الحساب'!$P$4:$P$204,0)),"")</f>
        <v/>
      </c>
      <c r="C34" s="127">
        <f>IFERROR(INDEX('كشف الحساب'!$C$4:$C$204,MATCH(29,'كشف الحساب'!$P$4:$P$204,0)),"")</f>
        <v/>
      </c>
      <c r="D34" s="129">
        <f>IFERROR(INDEX('كشف الحساب'!$E$4:$E$204,MATCH(29,'كشف الحساب'!$P$4:$P$204,0)),"")</f>
        <v/>
      </c>
      <c r="E34" s="130">
        <f>IFERROR(INDEX('كشف الحساب'!$D$4:$D$204,MATCH(29,'كشف الحساب'!$P$4:$P$204,0)),"")</f>
        <v/>
      </c>
      <c r="F34" s="131">
        <f>IF($A34="","",IF($F33="",0,$F33)+IF($D34="",0,$D34)-IF($E34="",0,$E34))</f>
        <v/>
      </c>
    </row>
    <row r="35" ht="18" customHeight="1" s="165">
      <c r="A35" s="179">
        <f>IFERROR(INDEX('كشف الحساب'!$A$4:$A$204,MATCH(30,'كشف الحساب'!$P$4:$P$204,0)),"")</f>
        <v/>
      </c>
      <c r="B35" s="128">
        <f>IFERROR(INDEX('كشف الحساب'!$B$4:$B$204,MATCH(30,'كشف الحساب'!$P$4:$P$204,0)),"")</f>
        <v/>
      </c>
      <c r="C35" s="127">
        <f>IFERROR(INDEX('كشف الحساب'!$C$4:$C$204,MATCH(30,'كشف الحساب'!$P$4:$P$204,0)),"")</f>
        <v/>
      </c>
      <c r="D35" s="129">
        <f>IFERROR(INDEX('كشف الحساب'!$E$4:$E$204,MATCH(30,'كشف الحساب'!$P$4:$P$204,0)),"")</f>
        <v/>
      </c>
      <c r="E35" s="130">
        <f>IFERROR(INDEX('كشف الحساب'!$D$4:$D$204,MATCH(30,'كشف الحساب'!$P$4:$P$204,0)),"")</f>
        <v/>
      </c>
      <c r="F35" s="131">
        <f>IF($A35="","",IF($F34="",0,$F34)+IF($D35="",0,$D35)-IF($E35="",0,$E35))</f>
        <v/>
      </c>
    </row>
    <row r="36" ht="18" customHeight="1" s="165">
      <c r="A36" s="179">
        <f>IFERROR(INDEX('كشف الحساب'!$A$4:$A$204,MATCH(31,'كشف الحساب'!$P$4:$P$204,0)),"")</f>
        <v/>
      </c>
      <c r="B36" s="128">
        <f>IFERROR(INDEX('كشف الحساب'!$B$4:$B$204,MATCH(31,'كشف الحساب'!$P$4:$P$204,0)),"")</f>
        <v/>
      </c>
      <c r="C36" s="127">
        <f>IFERROR(INDEX('كشف الحساب'!$C$4:$C$204,MATCH(31,'كشف الحساب'!$P$4:$P$204,0)),"")</f>
        <v/>
      </c>
      <c r="D36" s="129">
        <f>IFERROR(INDEX('كشف الحساب'!$E$4:$E$204,MATCH(31,'كشف الحساب'!$P$4:$P$204,0)),"")</f>
        <v/>
      </c>
      <c r="E36" s="130">
        <f>IFERROR(INDEX('كشف الحساب'!$D$4:$D$204,MATCH(31,'كشف الحساب'!$P$4:$P$204,0)),"")</f>
        <v/>
      </c>
      <c r="F36" s="131">
        <f>IF($A36="","",IF($F35="",0,$F35)+IF($D36="",0,$D36)-IF($E36="",0,$E36))</f>
        <v/>
      </c>
    </row>
    <row r="37" ht="18" customHeight="1" s="165">
      <c r="A37" s="179">
        <f>IFERROR(INDEX('كشف الحساب'!$A$4:$A$204,MATCH(32,'كشف الحساب'!$P$4:$P$204,0)),"")</f>
        <v/>
      </c>
      <c r="B37" s="128">
        <f>IFERROR(INDEX('كشف الحساب'!$B$4:$B$204,MATCH(32,'كشف الحساب'!$P$4:$P$204,0)),"")</f>
        <v/>
      </c>
      <c r="C37" s="127">
        <f>IFERROR(INDEX('كشف الحساب'!$C$4:$C$204,MATCH(32,'كشف الحساب'!$P$4:$P$204,0)),"")</f>
        <v/>
      </c>
      <c r="D37" s="129">
        <f>IFERROR(INDEX('كشف الحساب'!$E$4:$E$204,MATCH(32,'كشف الحساب'!$P$4:$P$204,0)),"")</f>
        <v/>
      </c>
      <c r="E37" s="130">
        <f>IFERROR(INDEX('كشف الحساب'!$D$4:$D$204,MATCH(32,'كشف الحساب'!$P$4:$P$204,0)),"")</f>
        <v/>
      </c>
      <c r="F37" s="131">
        <f>IF($A37="","",IF($F36="",0,$F36)+IF($D37="",0,$D37)-IF($E37="",0,$E37))</f>
        <v/>
      </c>
    </row>
    <row r="38" ht="18" customHeight="1" s="165">
      <c r="A38" s="179">
        <f>IFERROR(INDEX('كشف الحساب'!$A$4:$A$204,MATCH(33,'كشف الحساب'!$P$4:$P$204,0)),"")</f>
        <v/>
      </c>
      <c r="B38" s="128">
        <f>IFERROR(INDEX('كشف الحساب'!$B$4:$B$204,MATCH(33,'كشف الحساب'!$P$4:$P$204,0)),"")</f>
        <v/>
      </c>
      <c r="C38" s="127">
        <f>IFERROR(INDEX('كشف الحساب'!$C$4:$C$204,MATCH(33,'كشف الحساب'!$P$4:$P$204,0)),"")</f>
        <v/>
      </c>
      <c r="D38" s="129">
        <f>IFERROR(INDEX('كشف الحساب'!$E$4:$E$204,MATCH(33,'كشف الحساب'!$P$4:$P$204,0)),"")</f>
        <v/>
      </c>
      <c r="E38" s="130">
        <f>IFERROR(INDEX('كشف الحساب'!$D$4:$D$204,MATCH(33,'كشف الحساب'!$P$4:$P$204,0)),"")</f>
        <v/>
      </c>
      <c r="F38" s="131">
        <f>IF($A38="","",IF($F37="",0,$F37)+IF($D38="",0,$D38)-IF($E38="",0,$E38))</f>
        <v/>
      </c>
    </row>
    <row r="39" ht="18" customHeight="1" s="165">
      <c r="A39" s="179">
        <f>IFERROR(INDEX('كشف الحساب'!$A$4:$A$204,MATCH(34,'كشف الحساب'!$P$4:$P$204,0)),"")</f>
        <v/>
      </c>
      <c r="B39" s="128">
        <f>IFERROR(INDEX('كشف الحساب'!$B$4:$B$204,MATCH(34,'كشف الحساب'!$P$4:$P$204,0)),"")</f>
        <v/>
      </c>
      <c r="C39" s="127">
        <f>IFERROR(INDEX('كشف الحساب'!$C$4:$C$204,MATCH(34,'كشف الحساب'!$P$4:$P$204,0)),"")</f>
        <v/>
      </c>
      <c r="D39" s="129">
        <f>IFERROR(INDEX('كشف الحساب'!$E$4:$E$204,MATCH(34,'كشف الحساب'!$P$4:$P$204,0)),"")</f>
        <v/>
      </c>
      <c r="E39" s="130">
        <f>IFERROR(INDEX('كشف الحساب'!$D$4:$D$204,MATCH(34,'كشف الحساب'!$P$4:$P$204,0)),"")</f>
        <v/>
      </c>
      <c r="F39" s="131">
        <f>IF($A39="","",IF($F38="",0,$F38)+IF($D39="",0,$D39)-IF($E39="",0,$E39))</f>
        <v/>
      </c>
    </row>
    <row r="40" ht="18" customHeight="1" s="165">
      <c r="A40" s="179">
        <f>IFERROR(INDEX('كشف الحساب'!$A$4:$A$204,MATCH(35,'كشف الحساب'!$P$4:$P$204,0)),"")</f>
        <v/>
      </c>
      <c r="B40" s="128">
        <f>IFERROR(INDEX('كشف الحساب'!$B$4:$B$204,MATCH(35,'كشف الحساب'!$P$4:$P$204,0)),"")</f>
        <v/>
      </c>
      <c r="C40" s="127">
        <f>IFERROR(INDEX('كشف الحساب'!$C$4:$C$204,MATCH(35,'كشف الحساب'!$P$4:$P$204,0)),"")</f>
        <v/>
      </c>
      <c r="D40" s="129">
        <f>IFERROR(INDEX('كشف الحساب'!$E$4:$E$204,MATCH(35,'كشف الحساب'!$P$4:$P$204,0)),"")</f>
        <v/>
      </c>
      <c r="E40" s="130">
        <f>IFERROR(INDEX('كشف الحساب'!$D$4:$D$204,MATCH(35,'كشف الحساب'!$P$4:$P$204,0)),"")</f>
        <v/>
      </c>
      <c r="F40" s="131">
        <f>IF($A40="","",IF($F39="",0,$F39)+IF($D40="",0,$D40)-IF($E40="",0,$E40))</f>
        <v/>
      </c>
    </row>
    <row r="41" ht="18" customHeight="1" s="165">
      <c r="A41" s="179">
        <f>IFERROR(INDEX('كشف الحساب'!$A$4:$A$204,MATCH(36,'كشف الحساب'!$P$4:$P$204,0)),"")</f>
        <v/>
      </c>
      <c r="B41" s="128">
        <f>IFERROR(INDEX('كشف الحساب'!$B$4:$B$204,MATCH(36,'كشف الحساب'!$P$4:$P$204,0)),"")</f>
        <v/>
      </c>
      <c r="C41" s="127">
        <f>IFERROR(INDEX('كشف الحساب'!$C$4:$C$204,MATCH(36,'كشف الحساب'!$P$4:$P$204,0)),"")</f>
        <v/>
      </c>
      <c r="D41" s="129">
        <f>IFERROR(INDEX('كشف الحساب'!$E$4:$E$204,MATCH(36,'كشف الحساب'!$P$4:$P$204,0)),"")</f>
        <v/>
      </c>
      <c r="E41" s="130">
        <f>IFERROR(INDEX('كشف الحساب'!$D$4:$D$204,MATCH(36,'كشف الحساب'!$P$4:$P$204,0)),"")</f>
        <v/>
      </c>
      <c r="F41" s="131">
        <f>IF($A41="","",IF($F40="",0,$F40)+IF($D41="",0,$D41)-IF($E41="",0,$E41))</f>
        <v/>
      </c>
    </row>
    <row r="42" ht="18" customHeight="1" s="165">
      <c r="A42" s="179">
        <f>IFERROR(INDEX('كشف الحساب'!$A$4:$A$204,MATCH(37,'كشف الحساب'!$P$4:$P$204,0)),"")</f>
        <v/>
      </c>
      <c r="B42" s="128">
        <f>IFERROR(INDEX('كشف الحساب'!$B$4:$B$204,MATCH(37,'كشف الحساب'!$P$4:$P$204,0)),"")</f>
        <v/>
      </c>
      <c r="C42" s="127">
        <f>IFERROR(INDEX('كشف الحساب'!$C$4:$C$204,MATCH(37,'كشف الحساب'!$P$4:$P$204,0)),"")</f>
        <v/>
      </c>
      <c r="D42" s="129">
        <f>IFERROR(INDEX('كشف الحساب'!$E$4:$E$204,MATCH(37,'كشف الحساب'!$P$4:$P$204,0)),"")</f>
        <v/>
      </c>
      <c r="E42" s="130">
        <f>IFERROR(INDEX('كشف الحساب'!$D$4:$D$204,MATCH(37,'كشف الحساب'!$P$4:$P$204,0)),"")</f>
        <v/>
      </c>
      <c r="F42" s="131">
        <f>IF($A42="","",IF($F41="",0,$F41)+IF($D42="",0,$D42)-IF($E42="",0,$E42))</f>
        <v/>
      </c>
    </row>
    <row r="43" ht="18" customHeight="1" s="165">
      <c r="A43" s="179">
        <f>IFERROR(INDEX('كشف الحساب'!$A$4:$A$204,MATCH(38,'كشف الحساب'!$P$4:$P$204,0)),"")</f>
        <v/>
      </c>
      <c r="B43" s="128">
        <f>IFERROR(INDEX('كشف الحساب'!$B$4:$B$204,MATCH(38,'كشف الحساب'!$P$4:$P$204,0)),"")</f>
        <v/>
      </c>
      <c r="C43" s="127">
        <f>IFERROR(INDEX('كشف الحساب'!$C$4:$C$204,MATCH(38,'كشف الحساب'!$P$4:$P$204,0)),"")</f>
        <v/>
      </c>
      <c r="D43" s="129">
        <f>IFERROR(INDEX('كشف الحساب'!$E$4:$E$204,MATCH(38,'كشف الحساب'!$P$4:$P$204,0)),"")</f>
        <v/>
      </c>
      <c r="E43" s="130">
        <f>IFERROR(INDEX('كشف الحساب'!$D$4:$D$204,MATCH(38,'كشف الحساب'!$P$4:$P$204,0)),"")</f>
        <v/>
      </c>
      <c r="F43" s="131">
        <f>IF($A43="","",IF($F42="",0,$F42)+IF($D43="",0,$D43)-IF($E43="",0,$E43))</f>
        <v/>
      </c>
    </row>
    <row r="44" ht="18" customHeight="1" s="165">
      <c r="A44" s="179">
        <f>IFERROR(INDEX('كشف الحساب'!$A$4:$A$204,MATCH(39,'كشف الحساب'!$P$4:$P$204,0)),"")</f>
        <v/>
      </c>
      <c r="B44" s="128">
        <f>IFERROR(INDEX('كشف الحساب'!$B$4:$B$204,MATCH(39,'كشف الحساب'!$P$4:$P$204,0)),"")</f>
        <v/>
      </c>
      <c r="C44" s="127">
        <f>IFERROR(INDEX('كشف الحساب'!$C$4:$C$204,MATCH(39,'كشف الحساب'!$P$4:$P$204,0)),"")</f>
        <v/>
      </c>
      <c r="D44" s="129">
        <f>IFERROR(INDEX('كشف الحساب'!$E$4:$E$204,MATCH(39,'كشف الحساب'!$P$4:$P$204,0)),"")</f>
        <v/>
      </c>
      <c r="E44" s="130">
        <f>IFERROR(INDEX('كشف الحساب'!$D$4:$D$204,MATCH(39,'كشف الحساب'!$P$4:$P$204,0)),"")</f>
        <v/>
      </c>
      <c r="F44" s="131">
        <f>IF($A44="","",IF($F43="",0,$F43)+IF($D44="",0,$D44)-IF($E44="",0,$E44))</f>
        <v/>
      </c>
    </row>
    <row r="45" ht="18" customHeight="1" s="165">
      <c r="A45" s="179">
        <f>IFERROR(INDEX('كشف الحساب'!$A$4:$A$204,MATCH(40,'كشف الحساب'!$P$4:$P$204,0)),"")</f>
        <v/>
      </c>
      <c r="B45" s="128">
        <f>IFERROR(INDEX('كشف الحساب'!$B$4:$B$204,MATCH(40,'كشف الحساب'!$P$4:$P$204,0)),"")</f>
        <v/>
      </c>
      <c r="C45" s="127">
        <f>IFERROR(INDEX('كشف الحساب'!$C$4:$C$204,MATCH(40,'كشف الحساب'!$P$4:$P$204,0)),"")</f>
        <v/>
      </c>
      <c r="D45" s="129">
        <f>IFERROR(INDEX('كشف الحساب'!$E$4:$E$204,MATCH(40,'كشف الحساب'!$P$4:$P$204,0)),"")</f>
        <v/>
      </c>
      <c r="E45" s="130">
        <f>IFERROR(INDEX('كشف الحساب'!$D$4:$D$204,MATCH(40,'كشف الحساب'!$P$4:$P$204,0)),"")</f>
        <v/>
      </c>
      <c r="F45" s="131">
        <f>IF($A45="","",IF($F44="",0,$F44)+IF($D45="",0,$D45)-IF($E45="",0,$E45))</f>
        <v/>
      </c>
    </row>
    <row r="46" ht="18" customHeight="1" s="165">
      <c r="A46" s="179">
        <f>IFERROR(INDEX('كشف الحساب'!$A$4:$A$204,MATCH(41,'كشف الحساب'!$P$4:$P$204,0)),"")</f>
        <v/>
      </c>
      <c r="B46" s="128">
        <f>IFERROR(INDEX('كشف الحساب'!$B$4:$B$204,MATCH(41,'كشف الحساب'!$P$4:$P$204,0)),"")</f>
        <v/>
      </c>
      <c r="C46" s="127">
        <f>IFERROR(INDEX('كشف الحساب'!$C$4:$C$204,MATCH(41,'كشف الحساب'!$P$4:$P$204,0)),"")</f>
        <v/>
      </c>
      <c r="D46" s="129">
        <f>IFERROR(INDEX('كشف الحساب'!$E$4:$E$204,MATCH(41,'كشف الحساب'!$P$4:$P$204,0)),"")</f>
        <v/>
      </c>
      <c r="E46" s="130">
        <f>IFERROR(INDEX('كشف الحساب'!$D$4:$D$204,MATCH(41,'كشف الحساب'!$P$4:$P$204,0)),"")</f>
        <v/>
      </c>
      <c r="F46" s="131">
        <f>IF($A46="","",IF($F45="",0,$F45)+IF($D46="",0,$D46)-IF($E46="",0,$E46))</f>
        <v/>
      </c>
    </row>
    <row r="47" ht="18" customHeight="1" s="165">
      <c r="A47" s="179">
        <f>IFERROR(INDEX('كشف الحساب'!$A$4:$A$204,MATCH(42,'كشف الحساب'!$P$4:$P$204,0)),"")</f>
        <v/>
      </c>
      <c r="B47" s="128">
        <f>IFERROR(INDEX('كشف الحساب'!$B$4:$B$204,MATCH(42,'كشف الحساب'!$P$4:$P$204,0)),"")</f>
        <v/>
      </c>
      <c r="C47" s="127">
        <f>IFERROR(INDEX('كشف الحساب'!$C$4:$C$204,MATCH(42,'كشف الحساب'!$P$4:$P$204,0)),"")</f>
        <v/>
      </c>
      <c r="D47" s="129">
        <f>IFERROR(INDEX('كشف الحساب'!$E$4:$E$204,MATCH(42,'كشف الحساب'!$P$4:$P$204,0)),"")</f>
        <v/>
      </c>
      <c r="E47" s="130">
        <f>IFERROR(INDEX('كشف الحساب'!$D$4:$D$204,MATCH(42,'كشف الحساب'!$P$4:$P$204,0)),"")</f>
        <v/>
      </c>
      <c r="F47" s="131">
        <f>IF($A47="","",IF($F46="",0,$F46)+IF($D47="",0,$D47)-IF($E47="",0,$E47))</f>
        <v/>
      </c>
    </row>
    <row r="48" ht="18" customHeight="1" s="165">
      <c r="A48" s="179">
        <f>IFERROR(INDEX('كشف الحساب'!$A$4:$A$204,MATCH(43,'كشف الحساب'!$P$4:$P$204,0)),"")</f>
        <v/>
      </c>
      <c r="B48" s="128">
        <f>IFERROR(INDEX('كشف الحساب'!$B$4:$B$204,MATCH(43,'كشف الحساب'!$P$4:$P$204,0)),"")</f>
        <v/>
      </c>
      <c r="C48" s="127">
        <f>IFERROR(INDEX('كشف الحساب'!$C$4:$C$204,MATCH(43,'كشف الحساب'!$P$4:$P$204,0)),"")</f>
        <v/>
      </c>
      <c r="D48" s="129">
        <f>IFERROR(INDEX('كشف الحساب'!$E$4:$E$204,MATCH(43,'كشف الحساب'!$P$4:$P$204,0)),"")</f>
        <v/>
      </c>
      <c r="E48" s="130">
        <f>IFERROR(INDEX('كشف الحساب'!$D$4:$D$204,MATCH(43,'كشف الحساب'!$P$4:$P$204,0)),"")</f>
        <v/>
      </c>
      <c r="F48" s="131">
        <f>IF($A48="","",IF($F47="",0,$F47)+IF($D48="",0,$D48)-IF($E48="",0,$E48))</f>
        <v/>
      </c>
    </row>
    <row r="49" ht="18" customHeight="1" s="165">
      <c r="A49" s="179">
        <f>IFERROR(INDEX('كشف الحساب'!$A$4:$A$204,MATCH(44,'كشف الحساب'!$P$4:$P$204,0)),"")</f>
        <v/>
      </c>
      <c r="B49" s="128">
        <f>IFERROR(INDEX('كشف الحساب'!$B$4:$B$204,MATCH(44,'كشف الحساب'!$P$4:$P$204,0)),"")</f>
        <v/>
      </c>
      <c r="C49" s="127">
        <f>IFERROR(INDEX('كشف الحساب'!$C$4:$C$204,MATCH(44,'كشف الحساب'!$P$4:$P$204,0)),"")</f>
        <v/>
      </c>
      <c r="D49" s="129">
        <f>IFERROR(INDEX('كشف الحساب'!$E$4:$E$204,MATCH(44,'كشف الحساب'!$P$4:$P$204,0)),"")</f>
        <v/>
      </c>
      <c r="E49" s="130">
        <f>IFERROR(INDEX('كشف الحساب'!$D$4:$D$204,MATCH(44,'كشف الحساب'!$P$4:$P$204,0)),"")</f>
        <v/>
      </c>
      <c r="F49" s="131">
        <f>IF($A49="","",IF($F48="",0,$F48)+IF($D49="",0,$D49)-IF($E49="",0,$E49))</f>
        <v/>
      </c>
    </row>
    <row r="50" ht="18" customHeight="1" s="165">
      <c r="A50" s="179">
        <f>IFERROR(INDEX('كشف الحساب'!$A$4:$A$204,MATCH(45,'كشف الحساب'!$P$4:$P$204,0)),"")</f>
        <v/>
      </c>
      <c r="B50" s="128">
        <f>IFERROR(INDEX('كشف الحساب'!$B$4:$B$204,MATCH(45,'كشف الحساب'!$P$4:$P$204,0)),"")</f>
        <v/>
      </c>
      <c r="C50" s="127">
        <f>IFERROR(INDEX('كشف الحساب'!$C$4:$C$204,MATCH(45,'كشف الحساب'!$P$4:$P$204,0)),"")</f>
        <v/>
      </c>
      <c r="D50" s="129">
        <f>IFERROR(INDEX('كشف الحساب'!$E$4:$E$204,MATCH(45,'كشف الحساب'!$P$4:$P$204,0)),"")</f>
        <v/>
      </c>
      <c r="E50" s="130">
        <f>IFERROR(INDEX('كشف الحساب'!$D$4:$D$204,MATCH(45,'كشف الحساب'!$P$4:$P$204,0)),"")</f>
        <v/>
      </c>
      <c r="F50" s="131">
        <f>IF($A50="","",IF($F49="",0,$F49)+IF($D50="",0,$D50)-IF($E50="",0,$E50))</f>
        <v/>
      </c>
    </row>
    <row r="51" ht="18" customHeight="1" s="165">
      <c r="A51" s="179">
        <f>IFERROR(INDEX('كشف الحساب'!$A$4:$A$204,MATCH(46,'كشف الحساب'!$P$4:$P$204,0)),"")</f>
        <v/>
      </c>
      <c r="B51" s="128">
        <f>IFERROR(INDEX('كشف الحساب'!$B$4:$B$204,MATCH(46,'كشف الحساب'!$P$4:$P$204,0)),"")</f>
        <v/>
      </c>
      <c r="C51" s="127">
        <f>IFERROR(INDEX('كشف الحساب'!$C$4:$C$204,MATCH(46,'كشف الحساب'!$P$4:$P$204,0)),"")</f>
        <v/>
      </c>
      <c r="D51" s="129">
        <f>IFERROR(INDEX('كشف الحساب'!$E$4:$E$204,MATCH(46,'كشف الحساب'!$P$4:$P$204,0)),"")</f>
        <v/>
      </c>
      <c r="E51" s="130">
        <f>IFERROR(INDEX('كشف الحساب'!$D$4:$D$204,MATCH(46,'كشف الحساب'!$P$4:$P$204,0)),"")</f>
        <v/>
      </c>
      <c r="F51" s="131">
        <f>IF($A51="","",IF($F50="",0,$F50)+IF($D51="",0,$D51)-IF($E51="",0,$E51))</f>
        <v/>
      </c>
    </row>
    <row r="52" ht="18" customHeight="1" s="165">
      <c r="A52" s="179">
        <f>IFERROR(INDEX('كشف الحساب'!$A$4:$A$204,MATCH(47,'كشف الحساب'!$P$4:$P$204,0)),"")</f>
        <v/>
      </c>
      <c r="B52" s="128">
        <f>IFERROR(INDEX('كشف الحساب'!$B$4:$B$204,MATCH(47,'كشف الحساب'!$P$4:$P$204,0)),"")</f>
        <v/>
      </c>
      <c r="C52" s="127">
        <f>IFERROR(INDEX('كشف الحساب'!$C$4:$C$204,MATCH(47,'كشف الحساب'!$P$4:$P$204,0)),"")</f>
        <v/>
      </c>
      <c r="D52" s="129">
        <f>IFERROR(INDEX('كشف الحساب'!$E$4:$E$204,MATCH(47,'كشف الحساب'!$P$4:$P$204,0)),"")</f>
        <v/>
      </c>
      <c r="E52" s="130">
        <f>IFERROR(INDEX('كشف الحساب'!$D$4:$D$204,MATCH(47,'كشف الحساب'!$P$4:$P$204,0)),"")</f>
        <v/>
      </c>
      <c r="F52" s="131">
        <f>IF($A52="","",IF($F51="",0,$F51)+IF($D52="",0,$D52)-IF($E52="",0,$E52))</f>
        <v/>
      </c>
    </row>
    <row r="53" ht="18" customHeight="1" s="165">
      <c r="A53" s="179">
        <f>IFERROR(INDEX('كشف الحساب'!$A$4:$A$204,MATCH(48,'كشف الحساب'!$P$4:$P$204,0)),"")</f>
        <v/>
      </c>
      <c r="B53" s="128">
        <f>IFERROR(INDEX('كشف الحساب'!$B$4:$B$204,MATCH(48,'كشف الحساب'!$P$4:$P$204,0)),"")</f>
        <v/>
      </c>
      <c r="C53" s="127">
        <f>IFERROR(INDEX('كشف الحساب'!$C$4:$C$204,MATCH(48,'كشف الحساب'!$P$4:$P$204,0)),"")</f>
        <v/>
      </c>
      <c r="D53" s="129">
        <f>IFERROR(INDEX('كشف الحساب'!$E$4:$E$204,MATCH(48,'كشف الحساب'!$P$4:$P$204,0)),"")</f>
        <v/>
      </c>
      <c r="E53" s="130">
        <f>IFERROR(INDEX('كشف الحساب'!$D$4:$D$204,MATCH(48,'كشف الحساب'!$P$4:$P$204,0)),"")</f>
        <v/>
      </c>
      <c r="F53" s="131">
        <f>IF($A53="","",IF($F52="",0,$F52)+IF($D53="",0,$D53)-IF($E53="",0,$E53))</f>
        <v/>
      </c>
    </row>
    <row r="54" ht="18" customHeight="1" s="165">
      <c r="A54" s="179">
        <f>IFERROR(INDEX('كشف الحساب'!$A$4:$A$204,MATCH(49,'كشف الحساب'!$P$4:$P$204,0)),"")</f>
        <v/>
      </c>
      <c r="B54" s="128">
        <f>IFERROR(INDEX('كشف الحساب'!$B$4:$B$204,MATCH(49,'كشف الحساب'!$P$4:$P$204,0)),"")</f>
        <v/>
      </c>
      <c r="C54" s="127">
        <f>IFERROR(INDEX('كشف الحساب'!$C$4:$C$204,MATCH(49,'كشف الحساب'!$P$4:$P$204,0)),"")</f>
        <v/>
      </c>
      <c r="D54" s="129">
        <f>IFERROR(INDEX('كشف الحساب'!$E$4:$E$204,MATCH(49,'كشف الحساب'!$P$4:$P$204,0)),"")</f>
        <v/>
      </c>
      <c r="E54" s="130">
        <f>IFERROR(INDEX('كشف الحساب'!$D$4:$D$204,MATCH(49,'كشف الحساب'!$P$4:$P$204,0)),"")</f>
        <v/>
      </c>
      <c r="F54" s="131">
        <f>IF($A54="","",IF($F53="",0,$F53)+IF($D54="",0,$D54)-IF($E54="",0,$E54))</f>
        <v/>
      </c>
    </row>
    <row r="55" ht="18" customHeight="1" s="165">
      <c r="A55" s="179">
        <f>IFERROR(INDEX('كشف الحساب'!$A$4:$A$204,MATCH(50,'كشف الحساب'!$P$4:$P$204,0)),"")</f>
        <v/>
      </c>
      <c r="B55" s="128">
        <f>IFERROR(INDEX('كشف الحساب'!$B$4:$B$204,MATCH(50,'كشف الحساب'!$P$4:$P$204,0)),"")</f>
        <v/>
      </c>
      <c r="C55" s="127">
        <f>IFERROR(INDEX('كشف الحساب'!$C$4:$C$204,MATCH(50,'كشف الحساب'!$P$4:$P$204,0)),"")</f>
        <v/>
      </c>
      <c r="D55" s="129">
        <f>IFERROR(INDEX('كشف الحساب'!$E$4:$E$204,MATCH(50,'كشف الحساب'!$P$4:$P$204,0)),"")</f>
        <v/>
      </c>
      <c r="E55" s="130">
        <f>IFERROR(INDEX('كشف الحساب'!$D$4:$D$204,MATCH(50,'كشف الحساب'!$P$4:$P$204,0)),"")</f>
        <v/>
      </c>
      <c r="F55" s="131">
        <f>IF($A55="","",IF($F54="",0,$F54)+IF($D55="",0,$D55)-IF($E55="",0,$E55))</f>
        <v/>
      </c>
    </row>
    <row r="56" ht="18" customHeight="1" s="165">
      <c r="A56" s="179">
        <f>IFERROR(INDEX('كشف الحساب'!$A$4:$A$204,MATCH(51,'كشف الحساب'!$P$4:$P$204,0)),"")</f>
        <v/>
      </c>
      <c r="B56" s="128">
        <f>IFERROR(INDEX('كشف الحساب'!$B$4:$B$204,MATCH(51,'كشف الحساب'!$P$4:$P$204,0)),"")</f>
        <v/>
      </c>
      <c r="C56" s="127">
        <f>IFERROR(INDEX('كشف الحساب'!$C$4:$C$204,MATCH(51,'كشف الحساب'!$P$4:$P$204,0)),"")</f>
        <v/>
      </c>
      <c r="D56" s="129">
        <f>IFERROR(INDEX('كشف الحساب'!$E$4:$E$204,MATCH(51,'كشف الحساب'!$P$4:$P$204,0)),"")</f>
        <v/>
      </c>
      <c r="E56" s="130">
        <f>IFERROR(INDEX('كشف الحساب'!$D$4:$D$204,MATCH(51,'كشف الحساب'!$P$4:$P$204,0)),"")</f>
        <v/>
      </c>
      <c r="F56" s="131">
        <f>IF($A56="","",IF($F55="",0,$F55)+IF($D56="",0,$D56)-IF($E56="",0,$E56))</f>
        <v/>
      </c>
    </row>
    <row r="57" ht="18" customHeight="1" s="165">
      <c r="A57" s="179">
        <f>IFERROR(INDEX('كشف الحساب'!$A$4:$A$204,MATCH(52,'كشف الحساب'!$P$4:$P$204,0)),"")</f>
        <v/>
      </c>
      <c r="B57" s="128">
        <f>IFERROR(INDEX('كشف الحساب'!$B$4:$B$204,MATCH(52,'كشف الحساب'!$P$4:$P$204,0)),"")</f>
        <v/>
      </c>
      <c r="C57" s="127">
        <f>IFERROR(INDEX('كشف الحساب'!$C$4:$C$204,MATCH(52,'كشف الحساب'!$P$4:$P$204,0)),"")</f>
        <v/>
      </c>
      <c r="D57" s="129">
        <f>IFERROR(INDEX('كشف الحساب'!$E$4:$E$204,MATCH(52,'كشف الحساب'!$P$4:$P$204,0)),"")</f>
        <v/>
      </c>
      <c r="E57" s="130">
        <f>IFERROR(INDEX('كشف الحساب'!$D$4:$D$204,MATCH(52,'كشف الحساب'!$P$4:$P$204,0)),"")</f>
        <v/>
      </c>
      <c r="F57" s="131">
        <f>IF($A57="","",IF($F56="",0,$F56)+IF($D57="",0,$D57)-IF($E57="",0,$E57))</f>
        <v/>
      </c>
    </row>
    <row r="58" ht="18" customHeight="1" s="165">
      <c r="A58" s="179">
        <f>IFERROR(INDEX('كشف الحساب'!$A$4:$A$204,MATCH(53,'كشف الحساب'!$P$4:$P$204,0)),"")</f>
        <v/>
      </c>
      <c r="B58" s="128">
        <f>IFERROR(INDEX('كشف الحساب'!$B$4:$B$204,MATCH(53,'كشف الحساب'!$P$4:$P$204,0)),"")</f>
        <v/>
      </c>
      <c r="C58" s="127">
        <f>IFERROR(INDEX('كشف الحساب'!$C$4:$C$204,MATCH(53,'كشف الحساب'!$P$4:$P$204,0)),"")</f>
        <v/>
      </c>
      <c r="D58" s="129">
        <f>IFERROR(INDEX('كشف الحساب'!$E$4:$E$204,MATCH(53,'كشف الحساب'!$P$4:$P$204,0)),"")</f>
        <v/>
      </c>
      <c r="E58" s="130">
        <f>IFERROR(INDEX('كشف الحساب'!$D$4:$D$204,MATCH(53,'كشف الحساب'!$P$4:$P$204,0)),"")</f>
        <v/>
      </c>
      <c r="F58" s="131">
        <f>IF($A58="","",IF($F57="",0,$F57)+IF($D58="",0,$D58)-IF($E58="",0,$E58))</f>
        <v/>
      </c>
    </row>
    <row r="59" ht="18" customHeight="1" s="165">
      <c r="A59" s="179">
        <f>IFERROR(INDEX('كشف الحساب'!$A$4:$A$204,MATCH(54,'كشف الحساب'!$P$4:$P$204,0)),"")</f>
        <v/>
      </c>
      <c r="B59" s="128">
        <f>IFERROR(INDEX('كشف الحساب'!$B$4:$B$204,MATCH(54,'كشف الحساب'!$P$4:$P$204,0)),"")</f>
        <v/>
      </c>
      <c r="C59" s="127">
        <f>IFERROR(INDEX('كشف الحساب'!$C$4:$C$204,MATCH(54,'كشف الحساب'!$P$4:$P$204,0)),"")</f>
        <v/>
      </c>
      <c r="D59" s="129">
        <f>IFERROR(INDEX('كشف الحساب'!$E$4:$E$204,MATCH(54,'كشف الحساب'!$P$4:$P$204,0)),"")</f>
        <v/>
      </c>
      <c r="E59" s="130">
        <f>IFERROR(INDEX('كشف الحساب'!$D$4:$D$204,MATCH(54,'كشف الحساب'!$P$4:$P$204,0)),"")</f>
        <v/>
      </c>
      <c r="F59" s="131">
        <f>IF($A59="","",IF($F58="",0,$F58)+IF($D59="",0,$D59)-IF($E59="",0,$E59))</f>
        <v/>
      </c>
    </row>
    <row r="60" ht="18" customHeight="1" s="165">
      <c r="A60" s="179">
        <f>IFERROR(INDEX('كشف الحساب'!$A$4:$A$204,MATCH(55,'كشف الحساب'!$P$4:$P$204,0)),"")</f>
        <v/>
      </c>
      <c r="B60" s="128">
        <f>IFERROR(INDEX('كشف الحساب'!$B$4:$B$204,MATCH(55,'كشف الحساب'!$P$4:$P$204,0)),"")</f>
        <v/>
      </c>
      <c r="C60" s="127">
        <f>IFERROR(INDEX('كشف الحساب'!$C$4:$C$204,MATCH(55,'كشف الحساب'!$P$4:$P$204,0)),"")</f>
        <v/>
      </c>
      <c r="D60" s="129">
        <f>IFERROR(INDEX('كشف الحساب'!$E$4:$E$204,MATCH(55,'كشف الحساب'!$P$4:$P$204,0)),"")</f>
        <v/>
      </c>
      <c r="E60" s="130">
        <f>IFERROR(INDEX('كشف الحساب'!$D$4:$D$204,MATCH(55,'كشف الحساب'!$P$4:$P$204,0)),"")</f>
        <v/>
      </c>
      <c r="F60" s="131">
        <f>IF($A60="","",IF($F59="",0,$F59)+IF($D60="",0,$D60)-IF($E60="",0,$E60))</f>
        <v/>
      </c>
    </row>
    <row r="61" ht="18" customHeight="1" s="165">
      <c r="A61" s="179">
        <f>IFERROR(INDEX('كشف الحساب'!$A$4:$A$204,MATCH(56,'كشف الحساب'!$P$4:$P$204,0)),"")</f>
        <v/>
      </c>
      <c r="B61" s="128">
        <f>IFERROR(INDEX('كشف الحساب'!$B$4:$B$204,MATCH(56,'كشف الحساب'!$P$4:$P$204,0)),"")</f>
        <v/>
      </c>
      <c r="C61" s="127">
        <f>IFERROR(INDEX('كشف الحساب'!$C$4:$C$204,MATCH(56,'كشف الحساب'!$P$4:$P$204,0)),"")</f>
        <v/>
      </c>
      <c r="D61" s="129">
        <f>IFERROR(INDEX('كشف الحساب'!$E$4:$E$204,MATCH(56,'كشف الحساب'!$P$4:$P$204,0)),"")</f>
        <v/>
      </c>
      <c r="E61" s="130">
        <f>IFERROR(INDEX('كشف الحساب'!$D$4:$D$204,MATCH(56,'كشف الحساب'!$P$4:$P$204,0)),"")</f>
        <v/>
      </c>
      <c r="F61" s="131">
        <f>IF($A61="","",IF($F60="",0,$F60)+IF($D61="",0,$D61)-IF($E61="",0,$E61))</f>
        <v/>
      </c>
    </row>
    <row r="62" ht="18" customHeight="1" s="165">
      <c r="A62" s="179">
        <f>IFERROR(INDEX('كشف الحساب'!$A$4:$A$204,MATCH(57,'كشف الحساب'!$P$4:$P$204,0)),"")</f>
        <v/>
      </c>
      <c r="B62" s="128">
        <f>IFERROR(INDEX('كشف الحساب'!$B$4:$B$204,MATCH(57,'كشف الحساب'!$P$4:$P$204,0)),"")</f>
        <v/>
      </c>
      <c r="C62" s="127">
        <f>IFERROR(INDEX('كشف الحساب'!$C$4:$C$204,MATCH(57,'كشف الحساب'!$P$4:$P$204,0)),"")</f>
        <v/>
      </c>
      <c r="D62" s="129">
        <f>IFERROR(INDEX('كشف الحساب'!$E$4:$E$204,MATCH(57,'كشف الحساب'!$P$4:$P$204,0)),"")</f>
        <v/>
      </c>
      <c r="E62" s="130">
        <f>IFERROR(INDEX('كشف الحساب'!$D$4:$D$204,MATCH(57,'كشف الحساب'!$P$4:$P$204,0)),"")</f>
        <v/>
      </c>
      <c r="F62" s="131">
        <f>IF($A62="","",IF($F61="",0,$F61)+IF($D62="",0,$D62)-IF($E62="",0,$E62))</f>
        <v/>
      </c>
    </row>
    <row r="63" ht="18" customHeight="1" s="165">
      <c r="A63" s="179">
        <f>IFERROR(INDEX('كشف الحساب'!$A$4:$A$204,MATCH(58,'كشف الحساب'!$P$4:$P$204,0)),"")</f>
        <v/>
      </c>
      <c r="B63" s="128">
        <f>IFERROR(INDEX('كشف الحساب'!$B$4:$B$204,MATCH(58,'كشف الحساب'!$P$4:$P$204,0)),"")</f>
        <v/>
      </c>
      <c r="C63" s="127">
        <f>IFERROR(INDEX('كشف الحساب'!$C$4:$C$204,MATCH(58,'كشف الحساب'!$P$4:$P$204,0)),"")</f>
        <v/>
      </c>
      <c r="D63" s="129">
        <f>IFERROR(INDEX('كشف الحساب'!$E$4:$E$204,MATCH(58,'كشف الحساب'!$P$4:$P$204,0)),"")</f>
        <v/>
      </c>
      <c r="E63" s="130">
        <f>IFERROR(INDEX('كشف الحساب'!$D$4:$D$204,MATCH(58,'كشف الحساب'!$P$4:$P$204,0)),"")</f>
        <v/>
      </c>
      <c r="F63" s="131">
        <f>IF($A63="","",IF($F62="",0,$F62)+IF($D63="",0,$D63)-IF($E63="",0,$E63))</f>
        <v/>
      </c>
    </row>
    <row r="64" ht="18" customHeight="1" s="165">
      <c r="A64" s="179">
        <f>IFERROR(INDEX('كشف الحساب'!$A$4:$A$204,MATCH(59,'كشف الحساب'!$P$4:$P$204,0)),"")</f>
        <v/>
      </c>
      <c r="B64" s="128">
        <f>IFERROR(INDEX('كشف الحساب'!$B$4:$B$204,MATCH(59,'كشف الحساب'!$P$4:$P$204,0)),"")</f>
        <v/>
      </c>
      <c r="C64" s="127">
        <f>IFERROR(INDEX('كشف الحساب'!$C$4:$C$204,MATCH(59,'كشف الحساب'!$P$4:$P$204,0)),"")</f>
        <v/>
      </c>
      <c r="D64" s="129">
        <f>IFERROR(INDEX('كشف الحساب'!$E$4:$E$204,MATCH(59,'كشف الحساب'!$P$4:$P$204,0)),"")</f>
        <v/>
      </c>
      <c r="E64" s="130">
        <f>IFERROR(INDEX('كشف الحساب'!$D$4:$D$204,MATCH(59,'كشف الحساب'!$P$4:$P$204,0)),"")</f>
        <v/>
      </c>
      <c r="F64" s="131">
        <f>IF($A64="","",IF($F63="",0,$F63)+IF($D64="",0,$D64)-IF($E64="",0,$E64))</f>
        <v/>
      </c>
    </row>
    <row r="65" ht="18" customHeight="1" s="165">
      <c r="A65" s="179">
        <f>IFERROR(INDEX('كشف الحساب'!$A$4:$A$204,MATCH(60,'كشف الحساب'!$P$4:$P$204,0)),"")</f>
        <v/>
      </c>
      <c r="B65" s="128">
        <f>IFERROR(INDEX('كشف الحساب'!$B$4:$B$204,MATCH(60,'كشف الحساب'!$P$4:$P$204,0)),"")</f>
        <v/>
      </c>
      <c r="C65" s="127">
        <f>IFERROR(INDEX('كشف الحساب'!$C$4:$C$204,MATCH(60,'كشف الحساب'!$P$4:$P$204,0)),"")</f>
        <v/>
      </c>
      <c r="D65" s="129">
        <f>IFERROR(INDEX('كشف الحساب'!$E$4:$E$204,MATCH(60,'كشف الحساب'!$P$4:$P$204,0)),"")</f>
        <v/>
      </c>
      <c r="E65" s="130">
        <f>IFERROR(INDEX('كشف الحساب'!$D$4:$D$204,MATCH(60,'كشف الحساب'!$P$4:$P$204,0)),"")</f>
        <v/>
      </c>
      <c r="F65" s="131">
        <f>IF($A65="","",IF($F64="",0,$F64)+IF($D65="",0,$D65)-IF($E65="",0,$E65))</f>
        <v/>
      </c>
    </row>
    <row r="66" ht="18" customHeight="1" s="165">
      <c r="A66" s="179">
        <f>IFERROR(INDEX('كشف الحساب'!$A$4:$A$204,MATCH(61,'كشف الحساب'!$P$4:$P$204,0)),"")</f>
        <v/>
      </c>
      <c r="B66" s="128">
        <f>IFERROR(INDEX('كشف الحساب'!$B$4:$B$204,MATCH(61,'كشف الحساب'!$P$4:$P$204,0)),"")</f>
        <v/>
      </c>
      <c r="C66" s="127">
        <f>IFERROR(INDEX('كشف الحساب'!$C$4:$C$204,MATCH(61,'كشف الحساب'!$P$4:$P$204,0)),"")</f>
        <v/>
      </c>
      <c r="D66" s="129">
        <f>IFERROR(INDEX('كشف الحساب'!$E$4:$E$204,MATCH(61,'كشف الحساب'!$P$4:$P$204,0)),"")</f>
        <v/>
      </c>
      <c r="E66" s="130">
        <f>IFERROR(INDEX('كشف الحساب'!$D$4:$D$204,MATCH(61,'كشف الحساب'!$P$4:$P$204,0)),"")</f>
        <v/>
      </c>
      <c r="F66" s="131">
        <f>IF($A66="","",IF($F65="",0,$F65)+IF($D66="",0,$D66)-IF($E66="",0,$E66))</f>
        <v/>
      </c>
    </row>
    <row r="67" ht="18" customHeight="1" s="165">
      <c r="A67" s="179">
        <f>IFERROR(INDEX('كشف الحساب'!$A$4:$A$204,MATCH(62,'كشف الحساب'!$P$4:$P$204,0)),"")</f>
        <v/>
      </c>
      <c r="B67" s="128">
        <f>IFERROR(INDEX('كشف الحساب'!$B$4:$B$204,MATCH(62,'كشف الحساب'!$P$4:$P$204,0)),"")</f>
        <v/>
      </c>
      <c r="C67" s="127">
        <f>IFERROR(INDEX('كشف الحساب'!$C$4:$C$204,MATCH(62,'كشف الحساب'!$P$4:$P$204,0)),"")</f>
        <v/>
      </c>
      <c r="D67" s="129">
        <f>IFERROR(INDEX('كشف الحساب'!$E$4:$E$204,MATCH(62,'كشف الحساب'!$P$4:$P$204,0)),"")</f>
        <v/>
      </c>
      <c r="E67" s="130">
        <f>IFERROR(INDEX('كشف الحساب'!$D$4:$D$204,MATCH(62,'كشف الحساب'!$P$4:$P$204,0)),"")</f>
        <v/>
      </c>
      <c r="F67" s="131">
        <f>IF($A67="","",IF($F66="",0,$F66)+IF($D67="",0,$D67)-IF($E67="",0,$E67))</f>
        <v/>
      </c>
    </row>
    <row r="68" ht="18" customHeight="1" s="165">
      <c r="A68" s="179">
        <f>IFERROR(INDEX('كشف الحساب'!$A$4:$A$204,MATCH(63,'كشف الحساب'!$P$4:$P$204,0)),"")</f>
        <v/>
      </c>
      <c r="B68" s="128">
        <f>IFERROR(INDEX('كشف الحساب'!$B$4:$B$204,MATCH(63,'كشف الحساب'!$P$4:$P$204,0)),"")</f>
        <v/>
      </c>
      <c r="C68" s="127">
        <f>IFERROR(INDEX('كشف الحساب'!$C$4:$C$204,MATCH(63,'كشف الحساب'!$P$4:$P$204,0)),"")</f>
        <v/>
      </c>
      <c r="D68" s="129">
        <f>IFERROR(INDEX('كشف الحساب'!$E$4:$E$204,MATCH(63,'كشف الحساب'!$P$4:$P$204,0)),"")</f>
        <v/>
      </c>
      <c r="E68" s="130">
        <f>IFERROR(INDEX('كشف الحساب'!$D$4:$D$204,MATCH(63,'كشف الحساب'!$P$4:$P$204,0)),"")</f>
        <v/>
      </c>
      <c r="F68" s="131">
        <f>IF($A68="","",IF($F67="",0,$F67)+IF($D68="",0,$D68)-IF($E68="",0,$E68))</f>
        <v/>
      </c>
    </row>
    <row r="69" ht="18" customHeight="1" s="165">
      <c r="A69" s="179">
        <f>IFERROR(INDEX('كشف الحساب'!$A$4:$A$204,MATCH(64,'كشف الحساب'!$P$4:$P$204,0)),"")</f>
        <v/>
      </c>
      <c r="B69" s="128">
        <f>IFERROR(INDEX('كشف الحساب'!$B$4:$B$204,MATCH(64,'كشف الحساب'!$P$4:$P$204,0)),"")</f>
        <v/>
      </c>
      <c r="C69" s="127">
        <f>IFERROR(INDEX('كشف الحساب'!$C$4:$C$204,MATCH(64,'كشف الحساب'!$P$4:$P$204,0)),"")</f>
        <v/>
      </c>
      <c r="D69" s="129">
        <f>IFERROR(INDEX('كشف الحساب'!$E$4:$E$204,MATCH(64,'كشف الحساب'!$P$4:$P$204,0)),"")</f>
        <v/>
      </c>
      <c r="E69" s="130">
        <f>IFERROR(INDEX('كشف الحساب'!$D$4:$D$204,MATCH(64,'كشف الحساب'!$P$4:$P$204,0)),"")</f>
        <v/>
      </c>
      <c r="F69" s="131">
        <f>IF($A69="","",IF($F68="",0,$F68)+IF($D69="",0,$D69)-IF($E69="",0,$E69))</f>
        <v/>
      </c>
    </row>
    <row r="70" ht="18" customHeight="1" s="165">
      <c r="A70" s="179">
        <f>IFERROR(INDEX('كشف الحساب'!$A$4:$A$204,MATCH(65,'كشف الحساب'!$P$4:$P$204,0)),"")</f>
        <v/>
      </c>
      <c r="B70" s="128">
        <f>IFERROR(INDEX('كشف الحساب'!$B$4:$B$204,MATCH(65,'كشف الحساب'!$P$4:$P$204,0)),"")</f>
        <v/>
      </c>
      <c r="C70" s="127">
        <f>IFERROR(INDEX('كشف الحساب'!$C$4:$C$204,MATCH(65,'كشف الحساب'!$P$4:$P$204,0)),"")</f>
        <v/>
      </c>
      <c r="D70" s="129">
        <f>IFERROR(INDEX('كشف الحساب'!$E$4:$E$204,MATCH(65,'كشف الحساب'!$P$4:$P$204,0)),"")</f>
        <v/>
      </c>
      <c r="E70" s="130">
        <f>IFERROR(INDEX('كشف الحساب'!$D$4:$D$204,MATCH(65,'كشف الحساب'!$P$4:$P$204,0)),"")</f>
        <v/>
      </c>
      <c r="F70" s="131">
        <f>IF($A70="","",IF($F69="",0,$F69)+IF($D70="",0,$D70)-IF($E70="",0,$E70))</f>
        <v/>
      </c>
    </row>
    <row r="71" ht="18" customHeight="1" s="165">
      <c r="A71" s="179">
        <f>IFERROR(INDEX('كشف الحساب'!$A$4:$A$204,MATCH(66,'كشف الحساب'!$P$4:$P$204,0)),"")</f>
        <v/>
      </c>
      <c r="B71" s="128">
        <f>IFERROR(INDEX('كشف الحساب'!$B$4:$B$204,MATCH(66,'كشف الحساب'!$P$4:$P$204,0)),"")</f>
        <v/>
      </c>
      <c r="C71" s="127">
        <f>IFERROR(INDEX('كشف الحساب'!$C$4:$C$204,MATCH(66,'كشف الحساب'!$P$4:$P$204,0)),"")</f>
        <v/>
      </c>
      <c r="D71" s="129">
        <f>IFERROR(INDEX('كشف الحساب'!$E$4:$E$204,MATCH(66,'كشف الحساب'!$P$4:$P$204,0)),"")</f>
        <v/>
      </c>
      <c r="E71" s="130">
        <f>IFERROR(INDEX('كشف الحساب'!$D$4:$D$204,MATCH(66,'كشف الحساب'!$P$4:$P$204,0)),"")</f>
        <v/>
      </c>
      <c r="F71" s="131">
        <f>IF($A71="","",IF($F70="",0,$F70)+IF($D71="",0,$D71)-IF($E71="",0,$E71))</f>
        <v/>
      </c>
    </row>
    <row r="72" ht="18" customHeight="1" s="165">
      <c r="A72" s="179">
        <f>IFERROR(INDEX('كشف الحساب'!$A$4:$A$204,MATCH(67,'كشف الحساب'!$P$4:$P$204,0)),"")</f>
        <v/>
      </c>
      <c r="B72" s="128">
        <f>IFERROR(INDEX('كشف الحساب'!$B$4:$B$204,MATCH(67,'كشف الحساب'!$P$4:$P$204,0)),"")</f>
        <v/>
      </c>
      <c r="C72" s="127">
        <f>IFERROR(INDEX('كشف الحساب'!$C$4:$C$204,MATCH(67,'كشف الحساب'!$P$4:$P$204,0)),"")</f>
        <v/>
      </c>
      <c r="D72" s="129">
        <f>IFERROR(INDEX('كشف الحساب'!$E$4:$E$204,MATCH(67,'كشف الحساب'!$P$4:$P$204,0)),"")</f>
        <v/>
      </c>
      <c r="E72" s="130">
        <f>IFERROR(INDEX('كشف الحساب'!$D$4:$D$204,MATCH(67,'كشف الحساب'!$P$4:$P$204,0)),"")</f>
        <v/>
      </c>
      <c r="F72" s="131">
        <f>IF($A72="","",IF($F71="",0,$F71)+IF($D72="",0,$D72)-IF($E72="",0,$E72))</f>
        <v/>
      </c>
    </row>
    <row r="73" ht="18" customHeight="1" s="165">
      <c r="A73" s="179">
        <f>IFERROR(INDEX('كشف الحساب'!$A$4:$A$204,MATCH(68,'كشف الحساب'!$P$4:$P$204,0)),"")</f>
        <v/>
      </c>
      <c r="B73" s="128">
        <f>IFERROR(INDEX('كشف الحساب'!$B$4:$B$204,MATCH(68,'كشف الحساب'!$P$4:$P$204,0)),"")</f>
        <v/>
      </c>
      <c r="C73" s="127">
        <f>IFERROR(INDEX('كشف الحساب'!$C$4:$C$204,MATCH(68,'كشف الحساب'!$P$4:$P$204,0)),"")</f>
        <v/>
      </c>
      <c r="D73" s="129">
        <f>IFERROR(INDEX('كشف الحساب'!$E$4:$E$204,MATCH(68,'كشف الحساب'!$P$4:$P$204,0)),"")</f>
        <v/>
      </c>
      <c r="E73" s="130">
        <f>IFERROR(INDEX('كشف الحساب'!$D$4:$D$204,MATCH(68,'كشف الحساب'!$P$4:$P$204,0)),"")</f>
        <v/>
      </c>
      <c r="F73" s="131">
        <f>IF($A73="","",IF($F72="",0,$F72)+IF($D73="",0,$D73)-IF($E73="",0,$E73))</f>
        <v/>
      </c>
    </row>
    <row r="74" ht="18" customHeight="1" s="165">
      <c r="A74" s="179">
        <f>IFERROR(INDEX('كشف الحساب'!$A$4:$A$204,MATCH(69,'كشف الحساب'!$P$4:$P$204,0)),"")</f>
        <v/>
      </c>
      <c r="B74" s="128">
        <f>IFERROR(INDEX('كشف الحساب'!$B$4:$B$204,MATCH(69,'كشف الحساب'!$P$4:$P$204,0)),"")</f>
        <v/>
      </c>
      <c r="C74" s="127">
        <f>IFERROR(INDEX('كشف الحساب'!$C$4:$C$204,MATCH(69,'كشف الحساب'!$P$4:$P$204,0)),"")</f>
        <v/>
      </c>
      <c r="D74" s="129">
        <f>IFERROR(INDEX('كشف الحساب'!$E$4:$E$204,MATCH(69,'كشف الحساب'!$P$4:$P$204,0)),"")</f>
        <v/>
      </c>
      <c r="E74" s="130">
        <f>IFERROR(INDEX('كشف الحساب'!$D$4:$D$204,MATCH(69,'كشف الحساب'!$P$4:$P$204,0)),"")</f>
        <v/>
      </c>
      <c r="F74" s="131">
        <f>IF($A74="","",IF($F73="",0,$F73)+IF($D74="",0,$D74)-IF($E74="",0,$E74))</f>
        <v/>
      </c>
    </row>
    <row r="75" ht="18" customHeight="1" s="165">
      <c r="A75" s="179">
        <f>IFERROR(INDEX('كشف الحساب'!$A$4:$A$204,MATCH(70,'كشف الحساب'!$P$4:$P$204,0)),"")</f>
        <v/>
      </c>
      <c r="B75" s="128">
        <f>IFERROR(INDEX('كشف الحساب'!$B$4:$B$204,MATCH(70,'كشف الحساب'!$P$4:$P$204,0)),"")</f>
        <v/>
      </c>
      <c r="C75" s="127">
        <f>IFERROR(INDEX('كشف الحساب'!$C$4:$C$204,MATCH(70,'كشف الحساب'!$P$4:$P$204,0)),"")</f>
        <v/>
      </c>
      <c r="D75" s="129">
        <f>IFERROR(INDEX('كشف الحساب'!$E$4:$E$204,MATCH(70,'كشف الحساب'!$P$4:$P$204,0)),"")</f>
        <v/>
      </c>
      <c r="E75" s="130">
        <f>IFERROR(INDEX('كشف الحساب'!$D$4:$D$204,MATCH(70,'كشف الحساب'!$P$4:$P$204,0)),"")</f>
        <v/>
      </c>
      <c r="F75" s="131">
        <f>IF($A75="","",IF($F74="",0,$F74)+IF($D75="",0,$D75)-IF($E75="",0,$E75))</f>
        <v/>
      </c>
    </row>
    <row r="76" ht="18" customHeight="1" s="165">
      <c r="A76" s="179">
        <f>IFERROR(INDEX('كشف الحساب'!$A$4:$A$204,MATCH(71,'كشف الحساب'!$P$4:$P$204,0)),"")</f>
        <v/>
      </c>
      <c r="B76" s="128">
        <f>IFERROR(INDEX('كشف الحساب'!$B$4:$B$204,MATCH(71,'كشف الحساب'!$P$4:$P$204,0)),"")</f>
        <v/>
      </c>
      <c r="C76" s="127">
        <f>IFERROR(INDEX('كشف الحساب'!$C$4:$C$204,MATCH(71,'كشف الحساب'!$P$4:$P$204,0)),"")</f>
        <v/>
      </c>
      <c r="D76" s="129">
        <f>IFERROR(INDEX('كشف الحساب'!$E$4:$E$204,MATCH(71,'كشف الحساب'!$P$4:$P$204,0)),"")</f>
        <v/>
      </c>
      <c r="E76" s="130">
        <f>IFERROR(INDEX('كشف الحساب'!$D$4:$D$204,MATCH(71,'كشف الحساب'!$P$4:$P$204,0)),"")</f>
        <v/>
      </c>
      <c r="F76" s="131">
        <f>IF($A76="","",IF($F75="",0,$F75)+IF($D76="",0,$D76)-IF($E76="",0,$E76))</f>
        <v/>
      </c>
    </row>
    <row r="77" ht="18" customHeight="1" s="165">
      <c r="A77" s="179">
        <f>IFERROR(INDEX('كشف الحساب'!$A$4:$A$204,MATCH(72,'كشف الحساب'!$P$4:$P$204,0)),"")</f>
        <v/>
      </c>
      <c r="B77" s="128">
        <f>IFERROR(INDEX('كشف الحساب'!$B$4:$B$204,MATCH(72,'كشف الحساب'!$P$4:$P$204,0)),"")</f>
        <v/>
      </c>
      <c r="C77" s="127">
        <f>IFERROR(INDEX('كشف الحساب'!$C$4:$C$204,MATCH(72,'كشف الحساب'!$P$4:$P$204,0)),"")</f>
        <v/>
      </c>
      <c r="D77" s="129">
        <f>IFERROR(INDEX('كشف الحساب'!$E$4:$E$204,MATCH(72,'كشف الحساب'!$P$4:$P$204,0)),"")</f>
        <v/>
      </c>
      <c r="E77" s="130">
        <f>IFERROR(INDEX('كشف الحساب'!$D$4:$D$204,MATCH(72,'كشف الحساب'!$P$4:$P$204,0)),"")</f>
        <v/>
      </c>
      <c r="F77" s="131">
        <f>IF($A77="","",IF($F76="",0,$F76)+IF($D77="",0,$D77)-IF($E77="",0,$E77))</f>
        <v/>
      </c>
    </row>
    <row r="78" ht="18" customHeight="1" s="165">
      <c r="A78" s="179">
        <f>IFERROR(INDEX('كشف الحساب'!$A$4:$A$204,MATCH(73,'كشف الحساب'!$P$4:$P$204,0)),"")</f>
        <v/>
      </c>
      <c r="B78" s="128">
        <f>IFERROR(INDEX('كشف الحساب'!$B$4:$B$204,MATCH(73,'كشف الحساب'!$P$4:$P$204,0)),"")</f>
        <v/>
      </c>
      <c r="C78" s="127">
        <f>IFERROR(INDEX('كشف الحساب'!$C$4:$C$204,MATCH(73,'كشف الحساب'!$P$4:$P$204,0)),"")</f>
        <v/>
      </c>
      <c r="D78" s="129">
        <f>IFERROR(INDEX('كشف الحساب'!$E$4:$E$204,MATCH(73,'كشف الحساب'!$P$4:$P$204,0)),"")</f>
        <v/>
      </c>
      <c r="E78" s="130">
        <f>IFERROR(INDEX('كشف الحساب'!$D$4:$D$204,MATCH(73,'كشف الحساب'!$P$4:$P$204,0)),"")</f>
        <v/>
      </c>
      <c r="F78" s="131">
        <f>IF($A78="","",IF($F77="",0,$F77)+IF($D78="",0,$D78)-IF($E78="",0,$E78))</f>
        <v/>
      </c>
    </row>
    <row r="79" ht="18" customHeight="1" s="165">
      <c r="A79" s="179">
        <f>IFERROR(INDEX('كشف الحساب'!$A$4:$A$204,MATCH(74,'كشف الحساب'!$P$4:$P$204,0)),"")</f>
        <v/>
      </c>
      <c r="B79" s="128">
        <f>IFERROR(INDEX('كشف الحساب'!$B$4:$B$204,MATCH(74,'كشف الحساب'!$P$4:$P$204,0)),"")</f>
        <v/>
      </c>
      <c r="C79" s="127">
        <f>IFERROR(INDEX('كشف الحساب'!$C$4:$C$204,MATCH(74,'كشف الحساب'!$P$4:$P$204,0)),"")</f>
        <v/>
      </c>
      <c r="D79" s="129">
        <f>IFERROR(INDEX('كشف الحساب'!$E$4:$E$204,MATCH(74,'كشف الحساب'!$P$4:$P$204,0)),"")</f>
        <v/>
      </c>
      <c r="E79" s="130">
        <f>IFERROR(INDEX('كشف الحساب'!$D$4:$D$204,MATCH(74,'كشف الحساب'!$P$4:$P$204,0)),"")</f>
        <v/>
      </c>
      <c r="F79" s="131">
        <f>IF($A79="","",IF($F78="",0,$F78)+IF($D79="",0,$D79)-IF($E79="",0,$E79))</f>
        <v/>
      </c>
    </row>
    <row r="80" ht="18" customHeight="1" s="165">
      <c r="A80" s="179">
        <f>IFERROR(INDEX('كشف الحساب'!$A$4:$A$204,MATCH(75,'كشف الحساب'!$P$4:$P$204,0)),"")</f>
        <v/>
      </c>
      <c r="B80" s="128">
        <f>IFERROR(INDEX('كشف الحساب'!$B$4:$B$204,MATCH(75,'كشف الحساب'!$P$4:$P$204,0)),"")</f>
        <v/>
      </c>
      <c r="C80" s="127">
        <f>IFERROR(INDEX('كشف الحساب'!$C$4:$C$204,MATCH(75,'كشف الحساب'!$P$4:$P$204,0)),"")</f>
        <v/>
      </c>
      <c r="D80" s="129">
        <f>IFERROR(INDEX('كشف الحساب'!$E$4:$E$204,MATCH(75,'كشف الحساب'!$P$4:$P$204,0)),"")</f>
        <v/>
      </c>
      <c r="E80" s="130">
        <f>IFERROR(INDEX('كشف الحساب'!$D$4:$D$204,MATCH(75,'كشف الحساب'!$P$4:$P$204,0)),"")</f>
        <v/>
      </c>
      <c r="F80" s="131">
        <f>IF($A80="","",IF($F79="",0,$F79)+IF($D80="",0,$D80)-IF($E80="",0,$E80))</f>
        <v/>
      </c>
    </row>
    <row r="81" ht="18" customHeight="1" s="165">
      <c r="A81" s="179">
        <f>IFERROR(INDEX('كشف الحساب'!$A$4:$A$204,MATCH(76,'كشف الحساب'!$P$4:$P$204,0)),"")</f>
        <v/>
      </c>
      <c r="B81" s="128">
        <f>IFERROR(INDEX('كشف الحساب'!$B$4:$B$204,MATCH(76,'كشف الحساب'!$P$4:$P$204,0)),"")</f>
        <v/>
      </c>
      <c r="C81" s="127">
        <f>IFERROR(INDEX('كشف الحساب'!$C$4:$C$204,MATCH(76,'كشف الحساب'!$P$4:$P$204,0)),"")</f>
        <v/>
      </c>
      <c r="D81" s="129">
        <f>IFERROR(INDEX('كشف الحساب'!$E$4:$E$204,MATCH(76,'كشف الحساب'!$P$4:$P$204,0)),"")</f>
        <v/>
      </c>
      <c r="E81" s="130">
        <f>IFERROR(INDEX('كشف الحساب'!$D$4:$D$204,MATCH(76,'كشف الحساب'!$P$4:$P$204,0)),"")</f>
        <v/>
      </c>
      <c r="F81" s="131">
        <f>IF($A81="","",IF($F80="",0,$F80)+IF($D81="",0,$D81)-IF($E81="",0,$E81))</f>
        <v/>
      </c>
    </row>
    <row r="82" ht="18" customHeight="1" s="165">
      <c r="A82" s="179">
        <f>IFERROR(INDEX('كشف الحساب'!$A$4:$A$204,MATCH(77,'كشف الحساب'!$P$4:$P$204,0)),"")</f>
        <v/>
      </c>
      <c r="B82" s="128">
        <f>IFERROR(INDEX('كشف الحساب'!$B$4:$B$204,MATCH(77,'كشف الحساب'!$P$4:$P$204,0)),"")</f>
        <v/>
      </c>
      <c r="C82" s="127">
        <f>IFERROR(INDEX('كشف الحساب'!$C$4:$C$204,MATCH(77,'كشف الحساب'!$P$4:$P$204,0)),"")</f>
        <v/>
      </c>
      <c r="D82" s="129">
        <f>IFERROR(INDEX('كشف الحساب'!$E$4:$E$204,MATCH(77,'كشف الحساب'!$P$4:$P$204,0)),"")</f>
        <v/>
      </c>
      <c r="E82" s="130">
        <f>IFERROR(INDEX('كشف الحساب'!$D$4:$D$204,MATCH(77,'كشف الحساب'!$P$4:$P$204,0)),"")</f>
        <v/>
      </c>
      <c r="F82" s="131">
        <f>IF($A82="","",IF($F81="",0,$F81)+IF($D82="",0,$D82)-IF($E82="",0,$E82))</f>
        <v/>
      </c>
    </row>
    <row r="83" ht="18" customHeight="1" s="165">
      <c r="A83" s="179">
        <f>IFERROR(INDEX('كشف الحساب'!$A$4:$A$204,MATCH(78,'كشف الحساب'!$P$4:$P$204,0)),"")</f>
        <v/>
      </c>
      <c r="B83" s="128">
        <f>IFERROR(INDEX('كشف الحساب'!$B$4:$B$204,MATCH(78,'كشف الحساب'!$P$4:$P$204,0)),"")</f>
        <v/>
      </c>
      <c r="C83" s="127">
        <f>IFERROR(INDEX('كشف الحساب'!$C$4:$C$204,MATCH(78,'كشف الحساب'!$P$4:$P$204,0)),"")</f>
        <v/>
      </c>
      <c r="D83" s="129">
        <f>IFERROR(INDEX('كشف الحساب'!$E$4:$E$204,MATCH(78,'كشف الحساب'!$P$4:$P$204,0)),"")</f>
        <v/>
      </c>
      <c r="E83" s="130">
        <f>IFERROR(INDEX('كشف الحساب'!$D$4:$D$204,MATCH(78,'كشف الحساب'!$P$4:$P$204,0)),"")</f>
        <v/>
      </c>
      <c r="F83" s="131">
        <f>IF($A83="","",IF($F82="",0,$F82)+IF($D83="",0,$D83)-IF($E83="",0,$E83))</f>
        <v/>
      </c>
    </row>
    <row r="84" ht="18" customHeight="1" s="165">
      <c r="A84" s="179">
        <f>IFERROR(INDEX('كشف الحساب'!$A$4:$A$204,MATCH(79,'كشف الحساب'!$P$4:$P$204,0)),"")</f>
        <v/>
      </c>
      <c r="B84" s="128">
        <f>IFERROR(INDEX('كشف الحساب'!$B$4:$B$204,MATCH(79,'كشف الحساب'!$P$4:$P$204,0)),"")</f>
        <v/>
      </c>
      <c r="C84" s="127">
        <f>IFERROR(INDEX('كشف الحساب'!$C$4:$C$204,MATCH(79,'كشف الحساب'!$P$4:$P$204,0)),"")</f>
        <v/>
      </c>
      <c r="D84" s="129">
        <f>IFERROR(INDEX('كشف الحساب'!$E$4:$E$204,MATCH(79,'كشف الحساب'!$P$4:$P$204,0)),"")</f>
        <v/>
      </c>
      <c r="E84" s="130">
        <f>IFERROR(INDEX('كشف الحساب'!$D$4:$D$204,MATCH(79,'كشف الحساب'!$P$4:$P$204,0)),"")</f>
        <v/>
      </c>
      <c r="F84" s="131">
        <f>IF($A84="","",IF($F83="",0,$F83)+IF($D84="",0,$D84)-IF($E84="",0,$E84))</f>
        <v/>
      </c>
    </row>
    <row r="85" ht="18" customHeight="1" s="165">
      <c r="A85" s="179">
        <f>IFERROR(INDEX('كشف الحساب'!$A$4:$A$204,MATCH(80,'كشف الحساب'!$P$4:$P$204,0)),"")</f>
        <v/>
      </c>
      <c r="B85" s="128">
        <f>IFERROR(INDEX('كشف الحساب'!$B$4:$B$204,MATCH(80,'كشف الحساب'!$P$4:$P$204,0)),"")</f>
        <v/>
      </c>
      <c r="C85" s="127">
        <f>IFERROR(INDEX('كشف الحساب'!$C$4:$C$204,MATCH(80,'كشف الحساب'!$P$4:$P$204,0)),"")</f>
        <v/>
      </c>
      <c r="D85" s="129">
        <f>IFERROR(INDEX('كشف الحساب'!$E$4:$E$204,MATCH(80,'كشف الحساب'!$P$4:$P$204,0)),"")</f>
        <v/>
      </c>
      <c r="E85" s="130">
        <f>IFERROR(INDEX('كشف الحساب'!$D$4:$D$204,MATCH(80,'كشف الحساب'!$P$4:$P$204,0)),"")</f>
        <v/>
      </c>
      <c r="F85" s="131">
        <f>IF($A85="","",IF($F84="",0,$F84)+IF($D85="",0,$D85)-IF($E85="",0,$E85))</f>
        <v/>
      </c>
    </row>
    <row r="86" ht="18" customHeight="1" s="165">
      <c r="A86" s="179">
        <f>IFERROR(INDEX('كشف الحساب'!$A$4:$A$204,MATCH(81,'كشف الحساب'!$P$4:$P$204,0)),"")</f>
        <v/>
      </c>
      <c r="B86" s="128">
        <f>IFERROR(INDEX('كشف الحساب'!$B$4:$B$204,MATCH(81,'كشف الحساب'!$P$4:$P$204,0)),"")</f>
        <v/>
      </c>
      <c r="C86" s="127">
        <f>IFERROR(INDEX('كشف الحساب'!$C$4:$C$204,MATCH(81,'كشف الحساب'!$P$4:$P$204,0)),"")</f>
        <v/>
      </c>
      <c r="D86" s="129">
        <f>IFERROR(INDEX('كشف الحساب'!$E$4:$E$204,MATCH(81,'كشف الحساب'!$P$4:$P$204,0)),"")</f>
        <v/>
      </c>
      <c r="E86" s="130">
        <f>IFERROR(INDEX('كشف الحساب'!$D$4:$D$204,MATCH(81,'كشف الحساب'!$P$4:$P$204,0)),"")</f>
        <v/>
      </c>
      <c r="F86" s="131">
        <f>IF($A86="","",IF($F85="",0,$F85)+IF($D86="",0,$D86)-IF($E86="",0,$E86))</f>
        <v/>
      </c>
    </row>
    <row r="87" ht="18" customHeight="1" s="165">
      <c r="A87" s="179">
        <f>IFERROR(INDEX('كشف الحساب'!$A$4:$A$204,MATCH(82,'كشف الحساب'!$P$4:$P$204,0)),"")</f>
        <v/>
      </c>
      <c r="B87" s="128">
        <f>IFERROR(INDEX('كشف الحساب'!$B$4:$B$204,MATCH(82,'كشف الحساب'!$P$4:$P$204,0)),"")</f>
        <v/>
      </c>
      <c r="C87" s="127">
        <f>IFERROR(INDEX('كشف الحساب'!$C$4:$C$204,MATCH(82,'كشف الحساب'!$P$4:$P$204,0)),"")</f>
        <v/>
      </c>
      <c r="D87" s="129">
        <f>IFERROR(INDEX('كشف الحساب'!$E$4:$E$204,MATCH(82,'كشف الحساب'!$P$4:$P$204,0)),"")</f>
        <v/>
      </c>
      <c r="E87" s="130">
        <f>IFERROR(INDEX('كشف الحساب'!$D$4:$D$204,MATCH(82,'كشف الحساب'!$P$4:$P$204,0)),"")</f>
        <v/>
      </c>
      <c r="F87" s="131">
        <f>IF($A87="","",IF($F86="",0,$F86)+IF($D87="",0,$D87)-IF($E87="",0,$E87))</f>
        <v/>
      </c>
    </row>
    <row r="88" ht="18" customHeight="1" s="165">
      <c r="A88" s="179">
        <f>IFERROR(INDEX('كشف الحساب'!$A$4:$A$204,MATCH(83,'كشف الحساب'!$P$4:$P$204,0)),"")</f>
        <v/>
      </c>
      <c r="B88" s="128">
        <f>IFERROR(INDEX('كشف الحساب'!$B$4:$B$204,MATCH(83,'كشف الحساب'!$P$4:$P$204,0)),"")</f>
        <v/>
      </c>
      <c r="C88" s="127">
        <f>IFERROR(INDEX('كشف الحساب'!$C$4:$C$204,MATCH(83,'كشف الحساب'!$P$4:$P$204,0)),"")</f>
        <v/>
      </c>
      <c r="D88" s="129">
        <f>IFERROR(INDEX('كشف الحساب'!$E$4:$E$204,MATCH(83,'كشف الحساب'!$P$4:$P$204,0)),"")</f>
        <v/>
      </c>
      <c r="E88" s="130">
        <f>IFERROR(INDEX('كشف الحساب'!$D$4:$D$204,MATCH(83,'كشف الحساب'!$P$4:$P$204,0)),"")</f>
        <v/>
      </c>
      <c r="F88" s="131">
        <f>IF($A88="","",IF($F87="",0,$F87)+IF($D88="",0,$D88)-IF($E88="",0,$E88))</f>
        <v/>
      </c>
    </row>
    <row r="89" ht="18" customHeight="1" s="165">
      <c r="A89" s="179">
        <f>IFERROR(INDEX('كشف الحساب'!$A$4:$A$204,MATCH(84,'كشف الحساب'!$P$4:$P$204,0)),"")</f>
        <v/>
      </c>
      <c r="B89" s="128">
        <f>IFERROR(INDEX('كشف الحساب'!$B$4:$B$204,MATCH(84,'كشف الحساب'!$P$4:$P$204,0)),"")</f>
        <v/>
      </c>
      <c r="C89" s="127">
        <f>IFERROR(INDEX('كشف الحساب'!$C$4:$C$204,MATCH(84,'كشف الحساب'!$P$4:$P$204,0)),"")</f>
        <v/>
      </c>
      <c r="D89" s="129">
        <f>IFERROR(INDEX('كشف الحساب'!$E$4:$E$204,MATCH(84,'كشف الحساب'!$P$4:$P$204,0)),"")</f>
        <v/>
      </c>
      <c r="E89" s="130">
        <f>IFERROR(INDEX('كشف الحساب'!$D$4:$D$204,MATCH(84,'كشف الحساب'!$P$4:$P$204,0)),"")</f>
        <v/>
      </c>
      <c r="F89" s="131">
        <f>IF($A89="","",IF($F88="",0,$F88)+IF($D89="",0,$D89)-IF($E89="",0,$E89))</f>
        <v/>
      </c>
    </row>
    <row r="90" ht="18" customHeight="1" s="165">
      <c r="A90" s="179">
        <f>IFERROR(INDEX('كشف الحساب'!$A$4:$A$204,MATCH(85,'كشف الحساب'!$P$4:$P$204,0)),"")</f>
        <v/>
      </c>
      <c r="B90" s="128">
        <f>IFERROR(INDEX('كشف الحساب'!$B$4:$B$204,MATCH(85,'كشف الحساب'!$P$4:$P$204,0)),"")</f>
        <v/>
      </c>
      <c r="C90" s="127">
        <f>IFERROR(INDEX('كشف الحساب'!$C$4:$C$204,MATCH(85,'كشف الحساب'!$P$4:$P$204,0)),"")</f>
        <v/>
      </c>
      <c r="D90" s="129">
        <f>IFERROR(INDEX('كشف الحساب'!$E$4:$E$204,MATCH(85,'كشف الحساب'!$P$4:$P$204,0)),"")</f>
        <v/>
      </c>
      <c r="E90" s="130">
        <f>IFERROR(INDEX('كشف الحساب'!$D$4:$D$204,MATCH(85,'كشف الحساب'!$P$4:$P$204,0)),"")</f>
        <v/>
      </c>
      <c r="F90" s="131">
        <f>IF($A90="","",IF($F89="",0,$F89)+IF($D90="",0,$D90)-IF($E90="",0,$E90))</f>
        <v/>
      </c>
    </row>
    <row r="91" ht="18" customHeight="1" s="165">
      <c r="A91" s="179">
        <f>IFERROR(INDEX('كشف الحساب'!$A$4:$A$204,MATCH(86,'كشف الحساب'!$P$4:$P$204,0)),"")</f>
        <v/>
      </c>
      <c r="B91" s="128">
        <f>IFERROR(INDEX('كشف الحساب'!$B$4:$B$204,MATCH(86,'كشف الحساب'!$P$4:$P$204,0)),"")</f>
        <v/>
      </c>
      <c r="C91" s="127">
        <f>IFERROR(INDEX('كشف الحساب'!$C$4:$C$204,MATCH(86,'كشف الحساب'!$P$4:$P$204,0)),"")</f>
        <v/>
      </c>
      <c r="D91" s="129">
        <f>IFERROR(INDEX('كشف الحساب'!$E$4:$E$204,MATCH(86,'كشف الحساب'!$P$4:$P$204,0)),"")</f>
        <v/>
      </c>
      <c r="E91" s="130">
        <f>IFERROR(INDEX('كشف الحساب'!$D$4:$D$204,MATCH(86,'كشف الحساب'!$P$4:$P$204,0)),"")</f>
        <v/>
      </c>
      <c r="F91" s="131">
        <f>IF($A91="","",IF($F90="",0,$F90)+IF($D91="",0,$D91)-IF($E91="",0,$E91))</f>
        <v/>
      </c>
    </row>
    <row r="92" ht="18" customHeight="1" s="165">
      <c r="A92" s="179">
        <f>IFERROR(INDEX('كشف الحساب'!$A$4:$A$204,MATCH(87,'كشف الحساب'!$P$4:$P$204,0)),"")</f>
        <v/>
      </c>
      <c r="B92" s="128">
        <f>IFERROR(INDEX('كشف الحساب'!$B$4:$B$204,MATCH(87,'كشف الحساب'!$P$4:$P$204,0)),"")</f>
        <v/>
      </c>
      <c r="C92" s="127">
        <f>IFERROR(INDEX('كشف الحساب'!$C$4:$C$204,MATCH(87,'كشف الحساب'!$P$4:$P$204,0)),"")</f>
        <v/>
      </c>
      <c r="D92" s="129">
        <f>IFERROR(INDEX('كشف الحساب'!$E$4:$E$204,MATCH(87,'كشف الحساب'!$P$4:$P$204,0)),"")</f>
        <v/>
      </c>
      <c r="E92" s="130">
        <f>IFERROR(INDEX('كشف الحساب'!$D$4:$D$204,MATCH(87,'كشف الحساب'!$P$4:$P$204,0)),"")</f>
        <v/>
      </c>
      <c r="F92" s="131">
        <f>IF($A92="","",IF($F91="",0,$F91)+IF($D92="",0,$D92)-IF($E92="",0,$E92))</f>
        <v/>
      </c>
    </row>
    <row r="93" ht="18" customHeight="1" s="165">
      <c r="A93" s="179">
        <f>IFERROR(INDEX('كشف الحساب'!$A$4:$A$204,MATCH(88,'كشف الحساب'!$P$4:$P$204,0)),"")</f>
        <v/>
      </c>
      <c r="B93" s="128">
        <f>IFERROR(INDEX('كشف الحساب'!$B$4:$B$204,MATCH(88,'كشف الحساب'!$P$4:$P$204,0)),"")</f>
        <v/>
      </c>
      <c r="C93" s="127">
        <f>IFERROR(INDEX('كشف الحساب'!$C$4:$C$204,MATCH(88,'كشف الحساب'!$P$4:$P$204,0)),"")</f>
        <v/>
      </c>
      <c r="D93" s="129">
        <f>IFERROR(INDEX('كشف الحساب'!$E$4:$E$204,MATCH(88,'كشف الحساب'!$P$4:$P$204,0)),"")</f>
        <v/>
      </c>
      <c r="E93" s="130">
        <f>IFERROR(INDEX('كشف الحساب'!$D$4:$D$204,MATCH(88,'كشف الحساب'!$P$4:$P$204,0)),"")</f>
        <v/>
      </c>
      <c r="F93" s="131">
        <f>IF($A93="","",IF($F92="",0,$F92)+IF($D93="",0,$D93)-IF($E93="",0,$E93))</f>
        <v/>
      </c>
    </row>
    <row r="94" ht="18" customHeight="1" s="165">
      <c r="A94" s="179">
        <f>IFERROR(INDEX('كشف الحساب'!$A$4:$A$204,MATCH(89,'كشف الحساب'!$P$4:$P$204,0)),"")</f>
        <v/>
      </c>
      <c r="B94" s="128">
        <f>IFERROR(INDEX('كشف الحساب'!$B$4:$B$204,MATCH(89,'كشف الحساب'!$P$4:$P$204,0)),"")</f>
        <v/>
      </c>
      <c r="C94" s="127">
        <f>IFERROR(INDEX('كشف الحساب'!$C$4:$C$204,MATCH(89,'كشف الحساب'!$P$4:$P$204,0)),"")</f>
        <v/>
      </c>
      <c r="D94" s="129">
        <f>IFERROR(INDEX('كشف الحساب'!$E$4:$E$204,MATCH(89,'كشف الحساب'!$P$4:$P$204,0)),"")</f>
        <v/>
      </c>
      <c r="E94" s="130">
        <f>IFERROR(INDEX('كشف الحساب'!$D$4:$D$204,MATCH(89,'كشف الحساب'!$P$4:$P$204,0)),"")</f>
        <v/>
      </c>
      <c r="F94" s="131">
        <f>IF($A94="","",IF($F93="",0,$F93)+IF($D94="",0,$D94)-IF($E94="",0,$E94))</f>
        <v/>
      </c>
    </row>
    <row r="95" ht="18" customHeight="1" s="165">
      <c r="A95" s="179">
        <f>IFERROR(INDEX('كشف الحساب'!$A$4:$A$204,MATCH(90,'كشف الحساب'!$P$4:$P$204,0)),"")</f>
        <v/>
      </c>
      <c r="B95" s="128">
        <f>IFERROR(INDEX('كشف الحساب'!$B$4:$B$204,MATCH(90,'كشف الحساب'!$P$4:$P$204,0)),"")</f>
        <v/>
      </c>
      <c r="C95" s="127">
        <f>IFERROR(INDEX('كشف الحساب'!$C$4:$C$204,MATCH(90,'كشف الحساب'!$P$4:$P$204,0)),"")</f>
        <v/>
      </c>
      <c r="D95" s="129">
        <f>IFERROR(INDEX('كشف الحساب'!$E$4:$E$204,MATCH(90,'كشف الحساب'!$P$4:$P$204,0)),"")</f>
        <v/>
      </c>
      <c r="E95" s="130">
        <f>IFERROR(INDEX('كشف الحساب'!$D$4:$D$204,MATCH(90,'كشف الحساب'!$P$4:$P$204,0)),"")</f>
        <v/>
      </c>
      <c r="F95" s="131">
        <f>IF($A95="","",IF($F94="",0,$F94)+IF($D95="",0,$D95)-IF($E95="",0,$E95))</f>
        <v/>
      </c>
    </row>
    <row r="96" ht="18" customHeight="1" s="165">
      <c r="A96" s="179">
        <f>IFERROR(INDEX('كشف الحساب'!$A$4:$A$204,MATCH(91,'كشف الحساب'!$P$4:$P$204,0)),"")</f>
        <v/>
      </c>
      <c r="B96" s="128">
        <f>IFERROR(INDEX('كشف الحساب'!$B$4:$B$204,MATCH(91,'كشف الحساب'!$P$4:$P$204,0)),"")</f>
        <v/>
      </c>
      <c r="C96" s="127">
        <f>IFERROR(INDEX('كشف الحساب'!$C$4:$C$204,MATCH(91,'كشف الحساب'!$P$4:$P$204,0)),"")</f>
        <v/>
      </c>
      <c r="D96" s="129">
        <f>IFERROR(INDEX('كشف الحساب'!$E$4:$E$204,MATCH(91,'كشف الحساب'!$P$4:$P$204,0)),"")</f>
        <v/>
      </c>
      <c r="E96" s="130">
        <f>IFERROR(INDEX('كشف الحساب'!$D$4:$D$204,MATCH(91,'كشف الحساب'!$P$4:$P$204,0)),"")</f>
        <v/>
      </c>
      <c r="F96" s="131">
        <f>IF($A96="","",IF($F95="",0,$F95)+IF($D96="",0,$D96)-IF($E96="",0,$E96))</f>
        <v/>
      </c>
    </row>
    <row r="97" ht="18" customHeight="1" s="165">
      <c r="A97" s="179">
        <f>IFERROR(INDEX('كشف الحساب'!$A$4:$A$204,MATCH(92,'كشف الحساب'!$P$4:$P$204,0)),"")</f>
        <v/>
      </c>
      <c r="B97" s="128">
        <f>IFERROR(INDEX('كشف الحساب'!$B$4:$B$204,MATCH(92,'كشف الحساب'!$P$4:$P$204,0)),"")</f>
        <v/>
      </c>
      <c r="C97" s="127">
        <f>IFERROR(INDEX('كشف الحساب'!$C$4:$C$204,MATCH(92,'كشف الحساب'!$P$4:$P$204,0)),"")</f>
        <v/>
      </c>
      <c r="D97" s="129">
        <f>IFERROR(INDEX('كشف الحساب'!$E$4:$E$204,MATCH(92,'كشف الحساب'!$P$4:$P$204,0)),"")</f>
        <v/>
      </c>
      <c r="E97" s="130">
        <f>IFERROR(INDEX('كشف الحساب'!$D$4:$D$204,MATCH(92,'كشف الحساب'!$P$4:$P$204,0)),"")</f>
        <v/>
      </c>
      <c r="F97" s="131">
        <f>IF($A97="","",IF($F96="",0,$F96)+IF($D97="",0,$D97)-IF($E97="",0,$E97))</f>
        <v/>
      </c>
    </row>
    <row r="98" ht="18" customHeight="1" s="165">
      <c r="A98" s="179">
        <f>IFERROR(INDEX('كشف الحساب'!$A$4:$A$204,MATCH(93,'كشف الحساب'!$P$4:$P$204,0)),"")</f>
        <v/>
      </c>
      <c r="B98" s="128">
        <f>IFERROR(INDEX('كشف الحساب'!$B$4:$B$204,MATCH(93,'كشف الحساب'!$P$4:$P$204,0)),"")</f>
        <v/>
      </c>
      <c r="C98" s="127">
        <f>IFERROR(INDEX('كشف الحساب'!$C$4:$C$204,MATCH(93,'كشف الحساب'!$P$4:$P$204,0)),"")</f>
        <v/>
      </c>
      <c r="D98" s="129">
        <f>IFERROR(INDEX('كشف الحساب'!$E$4:$E$204,MATCH(93,'كشف الحساب'!$P$4:$P$204,0)),"")</f>
        <v/>
      </c>
      <c r="E98" s="130">
        <f>IFERROR(INDEX('كشف الحساب'!$D$4:$D$204,MATCH(93,'كشف الحساب'!$P$4:$P$204,0)),"")</f>
        <v/>
      </c>
      <c r="F98" s="131">
        <f>IF($A98="","",IF($F97="",0,$F97)+IF($D98="",0,$D98)-IF($E98="",0,$E98))</f>
        <v/>
      </c>
    </row>
    <row r="99" ht="18" customHeight="1" s="165">
      <c r="A99" s="179">
        <f>IFERROR(INDEX('كشف الحساب'!$A$4:$A$204,MATCH(94,'كشف الحساب'!$P$4:$P$204,0)),"")</f>
        <v/>
      </c>
      <c r="B99" s="128">
        <f>IFERROR(INDEX('كشف الحساب'!$B$4:$B$204,MATCH(94,'كشف الحساب'!$P$4:$P$204,0)),"")</f>
        <v/>
      </c>
      <c r="C99" s="127">
        <f>IFERROR(INDEX('كشف الحساب'!$C$4:$C$204,MATCH(94,'كشف الحساب'!$P$4:$P$204,0)),"")</f>
        <v/>
      </c>
      <c r="D99" s="129">
        <f>IFERROR(INDEX('كشف الحساب'!$E$4:$E$204,MATCH(94,'كشف الحساب'!$P$4:$P$204,0)),"")</f>
        <v/>
      </c>
      <c r="E99" s="130">
        <f>IFERROR(INDEX('كشف الحساب'!$D$4:$D$204,MATCH(94,'كشف الحساب'!$P$4:$P$204,0)),"")</f>
        <v/>
      </c>
      <c r="F99" s="131">
        <f>IF($A99="","",IF($F98="",0,$F98)+IF($D99="",0,$D99)-IF($E99="",0,$E99))</f>
        <v/>
      </c>
    </row>
    <row r="100" ht="18" customHeight="1" s="165">
      <c r="A100" s="179">
        <f>IFERROR(INDEX('كشف الحساب'!$A$4:$A$204,MATCH(95,'كشف الحساب'!$P$4:$P$204,0)),"")</f>
        <v/>
      </c>
      <c r="B100" s="128">
        <f>IFERROR(INDEX('كشف الحساب'!$B$4:$B$204,MATCH(95,'كشف الحساب'!$P$4:$P$204,0)),"")</f>
        <v/>
      </c>
      <c r="C100" s="127">
        <f>IFERROR(INDEX('كشف الحساب'!$C$4:$C$204,MATCH(95,'كشف الحساب'!$P$4:$P$204,0)),"")</f>
        <v/>
      </c>
      <c r="D100" s="129">
        <f>IFERROR(INDEX('كشف الحساب'!$E$4:$E$204,MATCH(95,'كشف الحساب'!$P$4:$P$204,0)),"")</f>
        <v/>
      </c>
      <c r="E100" s="130">
        <f>IFERROR(INDEX('كشف الحساب'!$D$4:$D$204,MATCH(95,'كشف الحساب'!$P$4:$P$204,0)),"")</f>
        <v/>
      </c>
      <c r="F100" s="131">
        <f>IF($A100="","",IF($F99="",0,$F99)+IF($D100="",0,$D100)-IF($E100="",0,$E100))</f>
        <v/>
      </c>
    </row>
    <row r="101" ht="18" customHeight="1" s="165">
      <c r="A101" s="179">
        <f>IFERROR(INDEX('كشف الحساب'!$A$4:$A$204,MATCH(96,'كشف الحساب'!$P$4:$P$204,0)),"")</f>
        <v/>
      </c>
      <c r="B101" s="128">
        <f>IFERROR(INDEX('كشف الحساب'!$B$4:$B$204,MATCH(96,'كشف الحساب'!$P$4:$P$204,0)),"")</f>
        <v/>
      </c>
      <c r="C101" s="127">
        <f>IFERROR(INDEX('كشف الحساب'!$C$4:$C$204,MATCH(96,'كشف الحساب'!$P$4:$P$204,0)),"")</f>
        <v/>
      </c>
      <c r="D101" s="129">
        <f>IFERROR(INDEX('كشف الحساب'!$E$4:$E$204,MATCH(96,'كشف الحساب'!$P$4:$P$204,0)),"")</f>
        <v/>
      </c>
      <c r="E101" s="130">
        <f>IFERROR(INDEX('كشف الحساب'!$D$4:$D$204,MATCH(96,'كشف الحساب'!$P$4:$P$204,0)),"")</f>
        <v/>
      </c>
      <c r="F101" s="131">
        <f>IF($A101="","",IF($F100="",0,$F100)+IF($D101="",0,$D101)-IF($E101="",0,$E101))</f>
        <v/>
      </c>
    </row>
    <row r="102" ht="18" customHeight="1" s="165">
      <c r="A102" s="179">
        <f>IFERROR(INDEX('كشف الحساب'!$A$4:$A$204,MATCH(97,'كشف الحساب'!$P$4:$P$204,0)),"")</f>
        <v/>
      </c>
      <c r="B102" s="128">
        <f>IFERROR(INDEX('كشف الحساب'!$B$4:$B$204,MATCH(97,'كشف الحساب'!$P$4:$P$204,0)),"")</f>
        <v/>
      </c>
      <c r="C102" s="127">
        <f>IFERROR(INDEX('كشف الحساب'!$C$4:$C$204,MATCH(97,'كشف الحساب'!$P$4:$P$204,0)),"")</f>
        <v/>
      </c>
      <c r="D102" s="129">
        <f>IFERROR(INDEX('كشف الحساب'!$E$4:$E$204,MATCH(97,'كشف الحساب'!$P$4:$P$204,0)),"")</f>
        <v/>
      </c>
      <c r="E102" s="130">
        <f>IFERROR(INDEX('كشف الحساب'!$D$4:$D$204,MATCH(97,'كشف الحساب'!$P$4:$P$204,0)),"")</f>
        <v/>
      </c>
      <c r="F102" s="131">
        <f>IF($A102="","",IF($F101="",0,$F101)+IF($D102="",0,$D102)-IF($E102="",0,$E102))</f>
        <v/>
      </c>
    </row>
    <row r="103" ht="18" customHeight="1" s="165">
      <c r="A103" s="179">
        <f>IFERROR(INDEX('كشف الحساب'!$A$4:$A$204,MATCH(98,'كشف الحساب'!$P$4:$P$204,0)),"")</f>
        <v/>
      </c>
      <c r="B103" s="128">
        <f>IFERROR(INDEX('كشف الحساب'!$B$4:$B$204,MATCH(98,'كشف الحساب'!$P$4:$P$204,0)),"")</f>
        <v/>
      </c>
      <c r="C103" s="127">
        <f>IFERROR(INDEX('كشف الحساب'!$C$4:$C$204,MATCH(98,'كشف الحساب'!$P$4:$P$204,0)),"")</f>
        <v/>
      </c>
      <c r="D103" s="129">
        <f>IFERROR(INDEX('كشف الحساب'!$E$4:$E$204,MATCH(98,'كشف الحساب'!$P$4:$P$204,0)),"")</f>
        <v/>
      </c>
      <c r="E103" s="130">
        <f>IFERROR(INDEX('كشف الحساب'!$D$4:$D$204,MATCH(98,'كشف الحساب'!$P$4:$P$204,0)),"")</f>
        <v/>
      </c>
      <c r="F103" s="131">
        <f>IF($A103="","",IF($F102="",0,$F102)+IF($D103="",0,$D103)-IF($E103="",0,$E103))</f>
        <v/>
      </c>
    </row>
    <row r="104" ht="18" customHeight="1" s="165">
      <c r="A104" s="179">
        <f>IFERROR(INDEX('كشف الحساب'!$A$4:$A$204,MATCH(99,'كشف الحساب'!$P$4:$P$204,0)),"")</f>
        <v/>
      </c>
      <c r="B104" s="128">
        <f>IFERROR(INDEX('كشف الحساب'!$B$4:$B$204,MATCH(99,'كشف الحساب'!$P$4:$P$204,0)),"")</f>
        <v/>
      </c>
      <c r="C104" s="127">
        <f>IFERROR(INDEX('كشف الحساب'!$C$4:$C$204,MATCH(99,'كشف الحساب'!$P$4:$P$204,0)),"")</f>
        <v/>
      </c>
      <c r="D104" s="129">
        <f>IFERROR(INDEX('كشف الحساب'!$E$4:$E$204,MATCH(99,'كشف الحساب'!$P$4:$P$204,0)),"")</f>
        <v/>
      </c>
      <c r="E104" s="130">
        <f>IFERROR(INDEX('كشف الحساب'!$D$4:$D$204,MATCH(99,'كشف الحساب'!$P$4:$P$204,0)),"")</f>
        <v/>
      </c>
      <c r="F104" s="131">
        <f>IF($A104="","",IF($F103="",0,$F103)+IF($D104="",0,$D104)-IF($E104="",0,$E104))</f>
        <v/>
      </c>
    </row>
    <row r="105" ht="18" customHeight="1" s="165">
      <c r="A105" s="179">
        <f>IFERROR(INDEX('كشف الحساب'!$A$4:$A$204,MATCH(100,'كشف الحساب'!$P$4:$P$204,0)),"")</f>
        <v/>
      </c>
      <c r="B105" s="128">
        <f>IFERROR(INDEX('كشف الحساب'!$B$4:$B$204,MATCH(100,'كشف الحساب'!$P$4:$P$204,0)),"")</f>
        <v/>
      </c>
      <c r="C105" s="127">
        <f>IFERROR(INDEX('كشف الحساب'!$C$4:$C$204,MATCH(100,'كشف الحساب'!$P$4:$P$204,0)),"")</f>
        <v/>
      </c>
      <c r="D105" s="129">
        <f>IFERROR(INDEX('كشف الحساب'!$E$4:$E$204,MATCH(100,'كشف الحساب'!$P$4:$P$204,0)),"")</f>
        <v/>
      </c>
      <c r="E105" s="130">
        <f>IFERROR(INDEX('كشف الحساب'!$D$4:$D$204,MATCH(100,'كشف الحساب'!$P$4:$P$204,0)),"")</f>
        <v/>
      </c>
      <c r="F105" s="131">
        <f>IF($A105="","",IF($F104="",0,$F104)+IF($D105="",0,$D105)-IF($E105="",0,$E105))</f>
        <v/>
      </c>
    </row>
    <row r="106" ht="18" customHeight="1" s="165">
      <c r="A106" s="179">
        <f>IFERROR(INDEX('كشف الحساب'!$A$4:$A$204,MATCH(101,'كشف الحساب'!$P$4:$P$204,0)),"")</f>
        <v/>
      </c>
      <c r="B106" s="128">
        <f>IFERROR(INDEX('كشف الحساب'!$B$4:$B$204,MATCH(101,'كشف الحساب'!$P$4:$P$204,0)),"")</f>
        <v/>
      </c>
      <c r="C106" s="127">
        <f>IFERROR(INDEX('كشف الحساب'!$C$4:$C$204,MATCH(101,'كشف الحساب'!$P$4:$P$204,0)),"")</f>
        <v/>
      </c>
      <c r="D106" s="129">
        <f>IFERROR(INDEX('كشف الحساب'!$E$4:$E$204,MATCH(101,'كشف الحساب'!$P$4:$P$204,0)),"")</f>
        <v/>
      </c>
      <c r="E106" s="130">
        <f>IFERROR(INDEX('كشف الحساب'!$D$4:$D$204,MATCH(101,'كشف الحساب'!$P$4:$P$204,0)),"")</f>
        <v/>
      </c>
      <c r="F106" s="131">
        <f>IF($A106="","",IF($F105="",0,$F105)+IF($D106="",0,$D106)-IF($E106="",0,$E106))</f>
        <v/>
      </c>
    </row>
    <row r="107" ht="18" customHeight="1" s="165">
      <c r="A107" s="179">
        <f>IFERROR(INDEX('كشف الحساب'!$A$4:$A$204,MATCH(102,'كشف الحساب'!$P$4:$P$204,0)),"")</f>
        <v/>
      </c>
      <c r="B107" s="128">
        <f>IFERROR(INDEX('كشف الحساب'!$B$4:$B$204,MATCH(102,'كشف الحساب'!$P$4:$P$204,0)),"")</f>
        <v/>
      </c>
      <c r="C107" s="127">
        <f>IFERROR(INDEX('كشف الحساب'!$C$4:$C$204,MATCH(102,'كشف الحساب'!$P$4:$P$204,0)),"")</f>
        <v/>
      </c>
      <c r="D107" s="129">
        <f>IFERROR(INDEX('كشف الحساب'!$E$4:$E$204,MATCH(102,'كشف الحساب'!$P$4:$P$204,0)),"")</f>
        <v/>
      </c>
      <c r="E107" s="130">
        <f>IFERROR(INDEX('كشف الحساب'!$D$4:$D$204,MATCH(102,'كشف الحساب'!$P$4:$P$204,0)),"")</f>
        <v/>
      </c>
      <c r="F107" s="131">
        <f>IF($A107="","",IF($F106="",0,$F106)+IF($D107="",0,$D107)-IF($E107="",0,$E107))</f>
        <v/>
      </c>
    </row>
    <row r="108" ht="18" customHeight="1" s="165">
      <c r="A108" s="179">
        <f>IFERROR(INDEX('كشف الحساب'!$A$4:$A$204,MATCH(103,'كشف الحساب'!$P$4:$P$204,0)),"")</f>
        <v/>
      </c>
      <c r="B108" s="128">
        <f>IFERROR(INDEX('كشف الحساب'!$B$4:$B$204,MATCH(103,'كشف الحساب'!$P$4:$P$204,0)),"")</f>
        <v/>
      </c>
      <c r="C108" s="127">
        <f>IFERROR(INDEX('كشف الحساب'!$C$4:$C$204,MATCH(103,'كشف الحساب'!$P$4:$P$204,0)),"")</f>
        <v/>
      </c>
      <c r="D108" s="129">
        <f>IFERROR(INDEX('كشف الحساب'!$E$4:$E$204,MATCH(103,'كشف الحساب'!$P$4:$P$204,0)),"")</f>
        <v/>
      </c>
      <c r="E108" s="130">
        <f>IFERROR(INDEX('كشف الحساب'!$D$4:$D$204,MATCH(103,'كشف الحساب'!$P$4:$P$204,0)),"")</f>
        <v/>
      </c>
      <c r="F108" s="131">
        <f>IF($A108="","",IF($F107="",0,$F107)+IF($D108="",0,$D108)-IF($E108="",0,$E108))</f>
        <v/>
      </c>
    </row>
    <row r="109" ht="18" customHeight="1" s="165">
      <c r="A109" s="179">
        <f>IFERROR(INDEX('كشف الحساب'!$A$4:$A$204,MATCH(104,'كشف الحساب'!$P$4:$P$204,0)),"")</f>
        <v/>
      </c>
      <c r="B109" s="128">
        <f>IFERROR(INDEX('كشف الحساب'!$B$4:$B$204,MATCH(104,'كشف الحساب'!$P$4:$P$204,0)),"")</f>
        <v/>
      </c>
      <c r="C109" s="127">
        <f>IFERROR(INDEX('كشف الحساب'!$C$4:$C$204,MATCH(104,'كشف الحساب'!$P$4:$P$204,0)),"")</f>
        <v/>
      </c>
      <c r="D109" s="129">
        <f>IFERROR(INDEX('كشف الحساب'!$E$4:$E$204,MATCH(104,'كشف الحساب'!$P$4:$P$204,0)),"")</f>
        <v/>
      </c>
      <c r="E109" s="130">
        <f>IFERROR(INDEX('كشف الحساب'!$D$4:$D$204,MATCH(104,'كشف الحساب'!$P$4:$P$204,0)),"")</f>
        <v/>
      </c>
      <c r="F109" s="131">
        <f>IF($A109="","",IF($F108="",0,$F108)+IF($D109="",0,$D109)-IF($E109="",0,$E109))</f>
        <v/>
      </c>
    </row>
    <row r="110" ht="18" customHeight="1" s="165">
      <c r="A110" s="179">
        <f>IFERROR(INDEX('كشف الحساب'!$A$4:$A$204,MATCH(105,'كشف الحساب'!$P$4:$P$204,0)),"")</f>
        <v/>
      </c>
      <c r="B110" s="128">
        <f>IFERROR(INDEX('كشف الحساب'!$B$4:$B$204,MATCH(105,'كشف الحساب'!$P$4:$P$204,0)),"")</f>
        <v/>
      </c>
      <c r="C110" s="127">
        <f>IFERROR(INDEX('كشف الحساب'!$C$4:$C$204,MATCH(105,'كشف الحساب'!$P$4:$P$204,0)),"")</f>
        <v/>
      </c>
      <c r="D110" s="129">
        <f>IFERROR(INDEX('كشف الحساب'!$E$4:$E$204,MATCH(105,'كشف الحساب'!$P$4:$P$204,0)),"")</f>
        <v/>
      </c>
      <c r="E110" s="130">
        <f>IFERROR(INDEX('كشف الحساب'!$D$4:$D$204,MATCH(105,'كشف الحساب'!$P$4:$P$204,0)),"")</f>
        <v/>
      </c>
      <c r="F110" s="131">
        <f>IF($A110="","",IF($F109="",0,$F109)+IF($D110="",0,$D110)-IF($E110="",0,$E110))</f>
        <v/>
      </c>
    </row>
    <row r="111" ht="18" customHeight="1" s="165">
      <c r="A111" s="179">
        <f>IFERROR(INDEX('كشف الحساب'!$A$4:$A$204,MATCH(106,'كشف الحساب'!$P$4:$P$204,0)),"")</f>
        <v/>
      </c>
      <c r="B111" s="128">
        <f>IFERROR(INDEX('كشف الحساب'!$B$4:$B$204,MATCH(106,'كشف الحساب'!$P$4:$P$204,0)),"")</f>
        <v/>
      </c>
      <c r="C111" s="127">
        <f>IFERROR(INDEX('كشف الحساب'!$C$4:$C$204,MATCH(106,'كشف الحساب'!$P$4:$P$204,0)),"")</f>
        <v/>
      </c>
      <c r="D111" s="129">
        <f>IFERROR(INDEX('كشف الحساب'!$E$4:$E$204,MATCH(106,'كشف الحساب'!$P$4:$P$204,0)),"")</f>
        <v/>
      </c>
      <c r="E111" s="130">
        <f>IFERROR(INDEX('كشف الحساب'!$D$4:$D$204,MATCH(106,'كشف الحساب'!$P$4:$P$204,0)),"")</f>
        <v/>
      </c>
      <c r="F111" s="131">
        <f>IF($A111="","",IF($F110="",0,$F110)+IF($D111="",0,$D111)-IF($E111="",0,$E111))</f>
        <v/>
      </c>
    </row>
    <row r="112" ht="18" customHeight="1" s="165">
      <c r="A112" s="179">
        <f>IFERROR(INDEX('كشف الحساب'!$A$4:$A$204,MATCH(107,'كشف الحساب'!$P$4:$P$204,0)),"")</f>
        <v/>
      </c>
      <c r="B112" s="128">
        <f>IFERROR(INDEX('كشف الحساب'!$B$4:$B$204,MATCH(107,'كشف الحساب'!$P$4:$P$204,0)),"")</f>
        <v/>
      </c>
      <c r="C112" s="127">
        <f>IFERROR(INDEX('كشف الحساب'!$C$4:$C$204,MATCH(107,'كشف الحساب'!$P$4:$P$204,0)),"")</f>
        <v/>
      </c>
      <c r="D112" s="129">
        <f>IFERROR(INDEX('كشف الحساب'!$E$4:$E$204,MATCH(107,'كشف الحساب'!$P$4:$P$204,0)),"")</f>
        <v/>
      </c>
      <c r="E112" s="130">
        <f>IFERROR(INDEX('كشف الحساب'!$D$4:$D$204,MATCH(107,'كشف الحساب'!$P$4:$P$204,0)),"")</f>
        <v/>
      </c>
      <c r="F112" s="131">
        <f>IF($A112="","",IF($F111="",0,$F111)+IF($D112="",0,$D112)-IF($E112="",0,$E112))</f>
        <v/>
      </c>
    </row>
    <row r="113" ht="18" customHeight="1" s="165">
      <c r="A113" s="179">
        <f>IFERROR(INDEX('كشف الحساب'!$A$4:$A$204,MATCH(108,'كشف الحساب'!$P$4:$P$204,0)),"")</f>
        <v/>
      </c>
      <c r="B113" s="128">
        <f>IFERROR(INDEX('كشف الحساب'!$B$4:$B$204,MATCH(108,'كشف الحساب'!$P$4:$P$204,0)),"")</f>
        <v/>
      </c>
      <c r="C113" s="127">
        <f>IFERROR(INDEX('كشف الحساب'!$C$4:$C$204,MATCH(108,'كشف الحساب'!$P$4:$P$204,0)),"")</f>
        <v/>
      </c>
      <c r="D113" s="129">
        <f>IFERROR(INDEX('كشف الحساب'!$E$4:$E$204,MATCH(108,'كشف الحساب'!$P$4:$P$204,0)),"")</f>
        <v/>
      </c>
      <c r="E113" s="130">
        <f>IFERROR(INDEX('كشف الحساب'!$D$4:$D$204,MATCH(108,'كشف الحساب'!$P$4:$P$204,0)),"")</f>
        <v/>
      </c>
      <c r="F113" s="131">
        <f>IF($A113="","",IF($F112="",0,$F112)+IF($D113="",0,$D113)-IF($E113="",0,$E113))</f>
        <v/>
      </c>
    </row>
    <row r="114" ht="18" customHeight="1" s="165">
      <c r="A114" s="179">
        <f>IFERROR(INDEX('كشف الحساب'!$A$4:$A$204,MATCH(109,'كشف الحساب'!$P$4:$P$204,0)),"")</f>
        <v/>
      </c>
      <c r="B114" s="128">
        <f>IFERROR(INDEX('كشف الحساب'!$B$4:$B$204,MATCH(109,'كشف الحساب'!$P$4:$P$204,0)),"")</f>
        <v/>
      </c>
      <c r="C114" s="127">
        <f>IFERROR(INDEX('كشف الحساب'!$C$4:$C$204,MATCH(109,'كشف الحساب'!$P$4:$P$204,0)),"")</f>
        <v/>
      </c>
      <c r="D114" s="129">
        <f>IFERROR(INDEX('كشف الحساب'!$E$4:$E$204,MATCH(109,'كشف الحساب'!$P$4:$P$204,0)),"")</f>
        <v/>
      </c>
      <c r="E114" s="130">
        <f>IFERROR(INDEX('كشف الحساب'!$D$4:$D$204,MATCH(109,'كشف الحساب'!$P$4:$P$204,0)),"")</f>
        <v/>
      </c>
      <c r="F114" s="131">
        <f>IF($A114="","",IF($F113="",0,$F113)+IF($D114="",0,$D114)-IF($E114="",0,$E114))</f>
        <v/>
      </c>
    </row>
    <row r="115" ht="18" customHeight="1" s="165">
      <c r="A115" s="179">
        <f>IFERROR(INDEX('كشف الحساب'!$A$4:$A$204,MATCH(110,'كشف الحساب'!$P$4:$P$204,0)),"")</f>
        <v/>
      </c>
      <c r="B115" s="128">
        <f>IFERROR(INDEX('كشف الحساب'!$B$4:$B$204,MATCH(110,'كشف الحساب'!$P$4:$P$204,0)),"")</f>
        <v/>
      </c>
      <c r="C115" s="127">
        <f>IFERROR(INDEX('كشف الحساب'!$C$4:$C$204,MATCH(110,'كشف الحساب'!$P$4:$P$204,0)),"")</f>
        <v/>
      </c>
      <c r="D115" s="129">
        <f>IFERROR(INDEX('كشف الحساب'!$E$4:$E$204,MATCH(110,'كشف الحساب'!$P$4:$P$204,0)),"")</f>
        <v/>
      </c>
      <c r="E115" s="130">
        <f>IFERROR(INDEX('كشف الحساب'!$D$4:$D$204,MATCH(110,'كشف الحساب'!$P$4:$P$204,0)),"")</f>
        <v/>
      </c>
      <c r="F115" s="131">
        <f>IF($A115="","",IF($F114="",0,$F114)+IF($D115="",0,$D115)-IF($E115="",0,$E115))</f>
        <v/>
      </c>
    </row>
    <row r="116" ht="18" customHeight="1" s="165">
      <c r="A116" s="179">
        <f>IFERROR(INDEX('كشف الحساب'!$A$4:$A$204,MATCH(111,'كشف الحساب'!$P$4:$P$204,0)),"")</f>
        <v/>
      </c>
      <c r="B116" s="128">
        <f>IFERROR(INDEX('كشف الحساب'!$B$4:$B$204,MATCH(111,'كشف الحساب'!$P$4:$P$204,0)),"")</f>
        <v/>
      </c>
      <c r="C116" s="127">
        <f>IFERROR(INDEX('كشف الحساب'!$C$4:$C$204,MATCH(111,'كشف الحساب'!$P$4:$P$204,0)),"")</f>
        <v/>
      </c>
      <c r="D116" s="129">
        <f>IFERROR(INDEX('كشف الحساب'!$E$4:$E$204,MATCH(111,'كشف الحساب'!$P$4:$P$204,0)),"")</f>
        <v/>
      </c>
      <c r="E116" s="130">
        <f>IFERROR(INDEX('كشف الحساب'!$D$4:$D$204,MATCH(111,'كشف الحساب'!$P$4:$P$204,0)),"")</f>
        <v/>
      </c>
      <c r="F116" s="131">
        <f>IF($A116="","",IF($F115="",0,$F115)+IF($D116="",0,$D116)-IF($E116="",0,$E116))</f>
        <v/>
      </c>
    </row>
    <row r="117" ht="18" customHeight="1" s="165">
      <c r="A117" s="179">
        <f>IFERROR(INDEX('كشف الحساب'!$A$4:$A$204,MATCH(112,'كشف الحساب'!$P$4:$P$204,0)),"")</f>
        <v/>
      </c>
      <c r="B117" s="128">
        <f>IFERROR(INDEX('كشف الحساب'!$B$4:$B$204,MATCH(112,'كشف الحساب'!$P$4:$P$204,0)),"")</f>
        <v/>
      </c>
      <c r="C117" s="127">
        <f>IFERROR(INDEX('كشف الحساب'!$C$4:$C$204,MATCH(112,'كشف الحساب'!$P$4:$P$204,0)),"")</f>
        <v/>
      </c>
      <c r="D117" s="129">
        <f>IFERROR(INDEX('كشف الحساب'!$E$4:$E$204,MATCH(112,'كشف الحساب'!$P$4:$P$204,0)),"")</f>
        <v/>
      </c>
      <c r="E117" s="130">
        <f>IFERROR(INDEX('كشف الحساب'!$D$4:$D$204,MATCH(112,'كشف الحساب'!$P$4:$P$204,0)),"")</f>
        <v/>
      </c>
      <c r="F117" s="131">
        <f>IF($A117="","",IF($F116="",0,$F116)+IF($D117="",0,$D117)-IF($E117="",0,$E117))</f>
        <v/>
      </c>
    </row>
    <row r="118" ht="18" customHeight="1" s="165">
      <c r="A118" s="179">
        <f>IFERROR(INDEX('كشف الحساب'!$A$4:$A$204,MATCH(113,'كشف الحساب'!$P$4:$P$204,0)),"")</f>
        <v/>
      </c>
      <c r="B118" s="128">
        <f>IFERROR(INDEX('كشف الحساب'!$B$4:$B$204,MATCH(113,'كشف الحساب'!$P$4:$P$204,0)),"")</f>
        <v/>
      </c>
      <c r="C118" s="127">
        <f>IFERROR(INDEX('كشف الحساب'!$C$4:$C$204,MATCH(113,'كشف الحساب'!$P$4:$P$204,0)),"")</f>
        <v/>
      </c>
      <c r="D118" s="129">
        <f>IFERROR(INDEX('كشف الحساب'!$E$4:$E$204,MATCH(113,'كشف الحساب'!$P$4:$P$204,0)),"")</f>
        <v/>
      </c>
      <c r="E118" s="130">
        <f>IFERROR(INDEX('كشف الحساب'!$D$4:$D$204,MATCH(113,'كشف الحساب'!$P$4:$P$204,0)),"")</f>
        <v/>
      </c>
      <c r="F118" s="131">
        <f>IF($A118="","",IF($F117="",0,$F117)+IF($D118="",0,$D118)-IF($E118="",0,$E118))</f>
        <v/>
      </c>
    </row>
    <row r="119" ht="18" customHeight="1" s="165">
      <c r="A119" s="179">
        <f>IFERROR(INDEX('كشف الحساب'!$A$4:$A$204,MATCH(114,'كشف الحساب'!$P$4:$P$204,0)),"")</f>
        <v/>
      </c>
      <c r="B119" s="128">
        <f>IFERROR(INDEX('كشف الحساب'!$B$4:$B$204,MATCH(114,'كشف الحساب'!$P$4:$P$204,0)),"")</f>
        <v/>
      </c>
      <c r="C119" s="127">
        <f>IFERROR(INDEX('كشف الحساب'!$C$4:$C$204,MATCH(114,'كشف الحساب'!$P$4:$P$204,0)),"")</f>
        <v/>
      </c>
      <c r="D119" s="129">
        <f>IFERROR(INDEX('كشف الحساب'!$E$4:$E$204,MATCH(114,'كشف الحساب'!$P$4:$P$204,0)),"")</f>
        <v/>
      </c>
      <c r="E119" s="130">
        <f>IFERROR(INDEX('كشف الحساب'!$D$4:$D$204,MATCH(114,'كشف الحساب'!$P$4:$P$204,0)),"")</f>
        <v/>
      </c>
      <c r="F119" s="131">
        <f>IF($A119="","",IF($F118="",0,$F118)+IF($D119="",0,$D119)-IF($E119="",0,$E119))</f>
        <v/>
      </c>
    </row>
    <row r="120" ht="18" customHeight="1" s="165">
      <c r="A120" s="179">
        <f>IFERROR(INDEX('كشف الحساب'!$A$4:$A$204,MATCH(115,'كشف الحساب'!$P$4:$P$204,0)),"")</f>
        <v/>
      </c>
      <c r="B120" s="128">
        <f>IFERROR(INDEX('كشف الحساب'!$B$4:$B$204,MATCH(115,'كشف الحساب'!$P$4:$P$204,0)),"")</f>
        <v/>
      </c>
      <c r="C120" s="127">
        <f>IFERROR(INDEX('كشف الحساب'!$C$4:$C$204,MATCH(115,'كشف الحساب'!$P$4:$P$204,0)),"")</f>
        <v/>
      </c>
      <c r="D120" s="129">
        <f>IFERROR(INDEX('كشف الحساب'!$E$4:$E$204,MATCH(115,'كشف الحساب'!$P$4:$P$204,0)),"")</f>
        <v/>
      </c>
      <c r="E120" s="130">
        <f>IFERROR(INDEX('كشف الحساب'!$D$4:$D$204,MATCH(115,'كشف الحساب'!$P$4:$P$204,0)),"")</f>
        <v/>
      </c>
      <c r="F120" s="131">
        <f>IF($A120="","",IF($F119="",0,$F119)+IF($D120="",0,$D120)-IF($E120="",0,$E120))</f>
        <v/>
      </c>
    </row>
    <row r="121" ht="18" customHeight="1" s="165">
      <c r="A121" s="179">
        <f>IFERROR(INDEX('كشف الحساب'!$A$4:$A$204,MATCH(116,'كشف الحساب'!$P$4:$P$204,0)),"")</f>
        <v/>
      </c>
      <c r="B121" s="128">
        <f>IFERROR(INDEX('كشف الحساب'!$B$4:$B$204,MATCH(116,'كشف الحساب'!$P$4:$P$204,0)),"")</f>
        <v/>
      </c>
      <c r="C121" s="127">
        <f>IFERROR(INDEX('كشف الحساب'!$C$4:$C$204,MATCH(116,'كشف الحساب'!$P$4:$P$204,0)),"")</f>
        <v/>
      </c>
      <c r="D121" s="129">
        <f>IFERROR(INDEX('كشف الحساب'!$E$4:$E$204,MATCH(116,'كشف الحساب'!$P$4:$P$204,0)),"")</f>
        <v/>
      </c>
      <c r="E121" s="130">
        <f>IFERROR(INDEX('كشف الحساب'!$D$4:$D$204,MATCH(116,'كشف الحساب'!$P$4:$P$204,0)),"")</f>
        <v/>
      </c>
      <c r="F121" s="131">
        <f>IF($A121="","",IF($F120="",0,$F120)+IF($D121="",0,$D121)-IF($E121="",0,$E121))</f>
        <v/>
      </c>
    </row>
    <row r="122" ht="18" customHeight="1" s="165">
      <c r="A122" s="179">
        <f>IFERROR(INDEX('كشف الحساب'!$A$4:$A$204,MATCH(117,'كشف الحساب'!$P$4:$P$204,0)),"")</f>
        <v/>
      </c>
      <c r="B122" s="128">
        <f>IFERROR(INDEX('كشف الحساب'!$B$4:$B$204,MATCH(117,'كشف الحساب'!$P$4:$P$204,0)),"")</f>
        <v/>
      </c>
      <c r="C122" s="127">
        <f>IFERROR(INDEX('كشف الحساب'!$C$4:$C$204,MATCH(117,'كشف الحساب'!$P$4:$P$204,0)),"")</f>
        <v/>
      </c>
      <c r="D122" s="129">
        <f>IFERROR(INDEX('كشف الحساب'!$E$4:$E$204,MATCH(117,'كشف الحساب'!$P$4:$P$204,0)),"")</f>
        <v/>
      </c>
      <c r="E122" s="130">
        <f>IFERROR(INDEX('كشف الحساب'!$D$4:$D$204,MATCH(117,'كشف الحساب'!$P$4:$P$204,0)),"")</f>
        <v/>
      </c>
      <c r="F122" s="131">
        <f>IF($A122="","",IF($F121="",0,$F121)+IF($D122="",0,$D122)-IF($E122="",0,$E122))</f>
        <v/>
      </c>
    </row>
    <row r="123" ht="18" customHeight="1" s="165">
      <c r="A123" s="179">
        <f>IFERROR(INDEX('كشف الحساب'!$A$4:$A$204,MATCH(118,'كشف الحساب'!$P$4:$P$204,0)),"")</f>
        <v/>
      </c>
      <c r="B123" s="128">
        <f>IFERROR(INDEX('كشف الحساب'!$B$4:$B$204,MATCH(118,'كشف الحساب'!$P$4:$P$204,0)),"")</f>
        <v/>
      </c>
      <c r="C123" s="127">
        <f>IFERROR(INDEX('كشف الحساب'!$C$4:$C$204,MATCH(118,'كشف الحساب'!$P$4:$P$204,0)),"")</f>
        <v/>
      </c>
      <c r="D123" s="129">
        <f>IFERROR(INDEX('كشف الحساب'!$E$4:$E$204,MATCH(118,'كشف الحساب'!$P$4:$P$204,0)),"")</f>
        <v/>
      </c>
      <c r="E123" s="130">
        <f>IFERROR(INDEX('كشف الحساب'!$D$4:$D$204,MATCH(118,'كشف الحساب'!$P$4:$P$204,0)),"")</f>
        <v/>
      </c>
      <c r="F123" s="131">
        <f>IF($A123="","",IF($F122="",0,$F122)+IF($D123="",0,$D123)-IF($E123="",0,$E123))</f>
        <v/>
      </c>
    </row>
    <row r="124" ht="18" customHeight="1" s="165">
      <c r="A124" s="179">
        <f>IFERROR(INDEX('كشف الحساب'!$A$4:$A$204,MATCH(119,'كشف الحساب'!$P$4:$P$204,0)),"")</f>
        <v/>
      </c>
      <c r="B124" s="128">
        <f>IFERROR(INDEX('كشف الحساب'!$B$4:$B$204,MATCH(119,'كشف الحساب'!$P$4:$P$204,0)),"")</f>
        <v/>
      </c>
      <c r="C124" s="127">
        <f>IFERROR(INDEX('كشف الحساب'!$C$4:$C$204,MATCH(119,'كشف الحساب'!$P$4:$P$204,0)),"")</f>
        <v/>
      </c>
      <c r="D124" s="129">
        <f>IFERROR(INDEX('كشف الحساب'!$E$4:$E$204,MATCH(119,'كشف الحساب'!$P$4:$P$204,0)),"")</f>
        <v/>
      </c>
      <c r="E124" s="130">
        <f>IFERROR(INDEX('كشف الحساب'!$D$4:$D$204,MATCH(119,'كشف الحساب'!$P$4:$P$204,0)),"")</f>
        <v/>
      </c>
      <c r="F124" s="131">
        <f>IF($A124="","",IF($F123="",0,$F123)+IF($D124="",0,$D124)-IF($E124="",0,$E124))</f>
        <v/>
      </c>
    </row>
    <row r="125" ht="18" customHeight="1" s="165">
      <c r="A125" s="179">
        <f>IFERROR(INDEX('كشف الحساب'!$A$4:$A$204,MATCH(120,'كشف الحساب'!$P$4:$P$204,0)),"")</f>
        <v/>
      </c>
      <c r="B125" s="128">
        <f>IFERROR(INDEX('كشف الحساب'!$B$4:$B$204,MATCH(120,'كشف الحساب'!$P$4:$P$204,0)),"")</f>
        <v/>
      </c>
      <c r="C125" s="127">
        <f>IFERROR(INDEX('كشف الحساب'!$C$4:$C$204,MATCH(120,'كشف الحساب'!$P$4:$P$204,0)),"")</f>
        <v/>
      </c>
      <c r="D125" s="129">
        <f>IFERROR(INDEX('كشف الحساب'!$E$4:$E$204,MATCH(120,'كشف الحساب'!$P$4:$P$204,0)),"")</f>
        <v/>
      </c>
      <c r="E125" s="130">
        <f>IFERROR(INDEX('كشف الحساب'!$D$4:$D$204,MATCH(120,'كشف الحساب'!$P$4:$P$204,0)),"")</f>
        <v/>
      </c>
      <c r="F125" s="131">
        <f>IF($A125="","",IF($F124="",0,$F124)+IF($D125="",0,$D125)-IF($E125="",0,$E125))</f>
        <v/>
      </c>
    </row>
    <row r="126" ht="18" customHeight="1" s="165">
      <c r="A126" s="179">
        <f>IFERROR(INDEX('كشف الحساب'!$A$4:$A$204,MATCH(121,'كشف الحساب'!$P$4:$P$204,0)),"")</f>
        <v/>
      </c>
      <c r="B126" s="128">
        <f>IFERROR(INDEX('كشف الحساب'!$B$4:$B$204,MATCH(121,'كشف الحساب'!$P$4:$P$204,0)),"")</f>
        <v/>
      </c>
      <c r="C126" s="127">
        <f>IFERROR(INDEX('كشف الحساب'!$C$4:$C$204,MATCH(121,'كشف الحساب'!$P$4:$P$204,0)),"")</f>
        <v/>
      </c>
      <c r="D126" s="129">
        <f>IFERROR(INDEX('كشف الحساب'!$E$4:$E$204,MATCH(121,'كشف الحساب'!$P$4:$P$204,0)),"")</f>
        <v/>
      </c>
      <c r="E126" s="130">
        <f>IFERROR(INDEX('كشف الحساب'!$D$4:$D$204,MATCH(121,'كشف الحساب'!$P$4:$P$204,0)),"")</f>
        <v/>
      </c>
      <c r="F126" s="131">
        <f>IF($A126="","",IF($F125="",0,$F125)+IF($D126="",0,$D126)-IF($E126="",0,$E126))</f>
        <v/>
      </c>
    </row>
    <row r="127" ht="18" customHeight="1" s="165">
      <c r="A127" s="179">
        <f>IFERROR(INDEX('كشف الحساب'!$A$4:$A$204,MATCH(122,'كشف الحساب'!$P$4:$P$204,0)),"")</f>
        <v/>
      </c>
      <c r="B127" s="128">
        <f>IFERROR(INDEX('كشف الحساب'!$B$4:$B$204,MATCH(122,'كشف الحساب'!$P$4:$P$204,0)),"")</f>
        <v/>
      </c>
      <c r="C127" s="127">
        <f>IFERROR(INDEX('كشف الحساب'!$C$4:$C$204,MATCH(122,'كشف الحساب'!$P$4:$P$204,0)),"")</f>
        <v/>
      </c>
      <c r="D127" s="129">
        <f>IFERROR(INDEX('كشف الحساب'!$E$4:$E$204,MATCH(122,'كشف الحساب'!$P$4:$P$204,0)),"")</f>
        <v/>
      </c>
      <c r="E127" s="130">
        <f>IFERROR(INDEX('كشف الحساب'!$D$4:$D$204,MATCH(122,'كشف الحساب'!$P$4:$P$204,0)),"")</f>
        <v/>
      </c>
      <c r="F127" s="131">
        <f>IF($A127="","",IF($F126="",0,$F126)+IF($D127="",0,$D127)-IF($E127="",0,$E127))</f>
        <v/>
      </c>
    </row>
    <row r="128" ht="18" customHeight="1" s="165">
      <c r="A128" s="179">
        <f>IFERROR(INDEX('كشف الحساب'!$A$4:$A$204,MATCH(123,'كشف الحساب'!$P$4:$P$204,0)),"")</f>
        <v/>
      </c>
      <c r="B128" s="128">
        <f>IFERROR(INDEX('كشف الحساب'!$B$4:$B$204,MATCH(123,'كشف الحساب'!$P$4:$P$204,0)),"")</f>
        <v/>
      </c>
      <c r="C128" s="127">
        <f>IFERROR(INDEX('كشف الحساب'!$C$4:$C$204,MATCH(123,'كشف الحساب'!$P$4:$P$204,0)),"")</f>
        <v/>
      </c>
      <c r="D128" s="129">
        <f>IFERROR(INDEX('كشف الحساب'!$E$4:$E$204,MATCH(123,'كشف الحساب'!$P$4:$P$204,0)),"")</f>
        <v/>
      </c>
      <c r="E128" s="130">
        <f>IFERROR(INDEX('كشف الحساب'!$D$4:$D$204,MATCH(123,'كشف الحساب'!$P$4:$P$204,0)),"")</f>
        <v/>
      </c>
      <c r="F128" s="131">
        <f>IF($A128="","",IF($F127="",0,$F127)+IF($D128="",0,$D128)-IF($E128="",0,$E128))</f>
        <v/>
      </c>
    </row>
    <row r="129" ht="18" customHeight="1" s="165">
      <c r="A129" s="179">
        <f>IFERROR(INDEX('كشف الحساب'!$A$4:$A$204,MATCH(124,'كشف الحساب'!$P$4:$P$204,0)),"")</f>
        <v/>
      </c>
      <c r="B129" s="128">
        <f>IFERROR(INDEX('كشف الحساب'!$B$4:$B$204,MATCH(124,'كشف الحساب'!$P$4:$P$204,0)),"")</f>
        <v/>
      </c>
      <c r="C129" s="127">
        <f>IFERROR(INDEX('كشف الحساب'!$C$4:$C$204,MATCH(124,'كشف الحساب'!$P$4:$P$204,0)),"")</f>
        <v/>
      </c>
      <c r="D129" s="129">
        <f>IFERROR(INDEX('كشف الحساب'!$E$4:$E$204,MATCH(124,'كشف الحساب'!$P$4:$P$204,0)),"")</f>
        <v/>
      </c>
      <c r="E129" s="130">
        <f>IFERROR(INDEX('كشف الحساب'!$D$4:$D$204,MATCH(124,'كشف الحساب'!$P$4:$P$204,0)),"")</f>
        <v/>
      </c>
      <c r="F129" s="131">
        <f>IF($A129="","",IF($F128="",0,$F128)+IF($D129="",0,$D129)-IF($E129="",0,$E129))</f>
        <v/>
      </c>
    </row>
    <row r="130" ht="18" customHeight="1" s="165">
      <c r="A130" s="179">
        <f>IFERROR(INDEX('كشف الحساب'!$A$4:$A$204,MATCH(125,'كشف الحساب'!$P$4:$P$204,0)),"")</f>
        <v/>
      </c>
      <c r="B130" s="128">
        <f>IFERROR(INDEX('كشف الحساب'!$B$4:$B$204,MATCH(125,'كشف الحساب'!$P$4:$P$204,0)),"")</f>
        <v/>
      </c>
      <c r="C130" s="127">
        <f>IFERROR(INDEX('كشف الحساب'!$C$4:$C$204,MATCH(125,'كشف الحساب'!$P$4:$P$204,0)),"")</f>
        <v/>
      </c>
      <c r="D130" s="129">
        <f>IFERROR(INDEX('كشف الحساب'!$E$4:$E$204,MATCH(125,'كشف الحساب'!$P$4:$P$204,0)),"")</f>
        <v/>
      </c>
      <c r="E130" s="130">
        <f>IFERROR(INDEX('كشف الحساب'!$D$4:$D$204,MATCH(125,'كشف الحساب'!$P$4:$P$204,0)),"")</f>
        <v/>
      </c>
      <c r="F130" s="131">
        <f>IF($A130="","",IF($F129="",0,$F129)+IF($D130="",0,$D130)-IF($E130="",0,$E130))</f>
        <v/>
      </c>
    </row>
    <row r="131" ht="18" customHeight="1" s="165">
      <c r="A131" s="179">
        <f>IFERROR(INDEX('كشف الحساب'!$A$4:$A$204,MATCH(126,'كشف الحساب'!$P$4:$P$204,0)),"")</f>
        <v/>
      </c>
      <c r="B131" s="128">
        <f>IFERROR(INDEX('كشف الحساب'!$B$4:$B$204,MATCH(126,'كشف الحساب'!$P$4:$P$204,0)),"")</f>
        <v/>
      </c>
      <c r="C131" s="127">
        <f>IFERROR(INDEX('كشف الحساب'!$C$4:$C$204,MATCH(126,'كشف الحساب'!$P$4:$P$204,0)),"")</f>
        <v/>
      </c>
      <c r="D131" s="129">
        <f>IFERROR(INDEX('كشف الحساب'!$E$4:$E$204,MATCH(126,'كشف الحساب'!$P$4:$P$204,0)),"")</f>
        <v/>
      </c>
      <c r="E131" s="130">
        <f>IFERROR(INDEX('كشف الحساب'!$D$4:$D$204,MATCH(126,'كشف الحساب'!$P$4:$P$204,0)),"")</f>
        <v/>
      </c>
      <c r="F131" s="131">
        <f>IF($A131="","",IF($F130="",0,$F130)+IF($D131="",0,$D131)-IF($E131="",0,$E131))</f>
        <v/>
      </c>
    </row>
    <row r="132" ht="18" customHeight="1" s="165">
      <c r="A132" s="179">
        <f>IFERROR(INDEX('كشف الحساب'!$A$4:$A$204,MATCH(127,'كشف الحساب'!$P$4:$P$204,0)),"")</f>
        <v/>
      </c>
      <c r="B132" s="128">
        <f>IFERROR(INDEX('كشف الحساب'!$B$4:$B$204,MATCH(127,'كشف الحساب'!$P$4:$P$204,0)),"")</f>
        <v/>
      </c>
      <c r="C132" s="127">
        <f>IFERROR(INDEX('كشف الحساب'!$C$4:$C$204,MATCH(127,'كشف الحساب'!$P$4:$P$204,0)),"")</f>
        <v/>
      </c>
      <c r="D132" s="129">
        <f>IFERROR(INDEX('كشف الحساب'!$E$4:$E$204,MATCH(127,'كشف الحساب'!$P$4:$P$204,0)),"")</f>
        <v/>
      </c>
      <c r="E132" s="130">
        <f>IFERROR(INDEX('كشف الحساب'!$D$4:$D$204,MATCH(127,'كشف الحساب'!$P$4:$P$204,0)),"")</f>
        <v/>
      </c>
      <c r="F132" s="131">
        <f>IF($A132="","",IF($F131="",0,$F131)+IF($D132="",0,$D132)-IF($E132="",0,$E132))</f>
        <v/>
      </c>
    </row>
    <row r="133" ht="18" customHeight="1" s="165">
      <c r="A133" s="179">
        <f>IFERROR(INDEX('كشف الحساب'!$A$4:$A$204,MATCH(128,'كشف الحساب'!$P$4:$P$204,0)),"")</f>
        <v/>
      </c>
      <c r="B133" s="128">
        <f>IFERROR(INDEX('كشف الحساب'!$B$4:$B$204,MATCH(128,'كشف الحساب'!$P$4:$P$204,0)),"")</f>
        <v/>
      </c>
      <c r="C133" s="127">
        <f>IFERROR(INDEX('كشف الحساب'!$C$4:$C$204,MATCH(128,'كشف الحساب'!$P$4:$P$204,0)),"")</f>
        <v/>
      </c>
      <c r="D133" s="129">
        <f>IFERROR(INDEX('كشف الحساب'!$E$4:$E$204,MATCH(128,'كشف الحساب'!$P$4:$P$204,0)),"")</f>
        <v/>
      </c>
      <c r="E133" s="130">
        <f>IFERROR(INDEX('كشف الحساب'!$D$4:$D$204,MATCH(128,'كشف الحساب'!$P$4:$P$204,0)),"")</f>
        <v/>
      </c>
      <c r="F133" s="131">
        <f>IF($A133="","",IF($F132="",0,$F132)+IF($D133="",0,$D133)-IF($E133="",0,$E133))</f>
        <v/>
      </c>
    </row>
    <row r="134" ht="18" customHeight="1" s="165">
      <c r="A134" s="179">
        <f>IFERROR(INDEX('كشف الحساب'!$A$4:$A$204,MATCH(129,'كشف الحساب'!$P$4:$P$204,0)),"")</f>
        <v/>
      </c>
      <c r="B134" s="128">
        <f>IFERROR(INDEX('كشف الحساب'!$B$4:$B$204,MATCH(129,'كشف الحساب'!$P$4:$P$204,0)),"")</f>
        <v/>
      </c>
      <c r="C134" s="127">
        <f>IFERROR(INDEX('كشف الحساب'!$C$4:$C$204,MATCH(129,'كشف الحساب'!$P$4:$P$204,0)),"")</f>
        <v/>
      </c>
      <c r="D134" s="129">
        <f>IFERROR(INDEX('كشف الحساب'!$E$4:$E$204,MATCH(129,'كشف الحساب'!$P$4:$P$204,0)),"")</f>
        <v/>
      </c>
      <c r="E134" s="130">
        <f>IFERROR(INDEX('كشف الحساب'!$D$4:$D$204,MATCH(129,'كشف الحساب'!$P$4:$P$204,0)),"")</f>
        <v/>
      </c>
      <c r="F134" s="131">
        <f>IF($A134="","",IF($F133="",0,$F133)+IF($D134="",0,$D134)-IF($E134="",0,$E134))</f>
        <v/>
      </c>
    </row>
    <row r="135" ht="18" customHeight="1" s="165">
      <c r="A135" s="179">
        <f>IFERROR(INDEX('كشف الحساب'!$A$4:$A$204,MATCH(130,'كشف الحساب'!$P$4:$P$204,0)),"")</f>
        <v/>
      </c>
      <c r="B135" s="128">
        <f>IFERROR(INDEX('كشف الحساب'!$B$4:$B$204,MATCH(130,'كشف الحساب'!$P$4:$P$204,0)),"")</f>
        <v/>
      </c>
      <c r="C135" s="127">
        <f>IFERROR(INDEX('كشف الحساب'!$C$4:$C$204,MATCH(130,'كشف الحساب'!$P$4:$P$204,0)),"")</f>
        <v/>
      </c>
      <c r="D135" s="129">
        <f>IFERROR(INDEX('كشف الحساب'!$E$4:$E$204,MATCH(130,'كشف الحساب'!$P$4:$P$204,0)),"")</f>
        <v/>
      </c>
      <c r="E135" s="130">
        <f>IFERROR(INDEX('كشف الحساب'!$D$4:$D$204,MATCH(130,'كشف الحساب'!$P$4:$P$204,0)),"")</f>
        <v/>
      </c>
      <c r="F135" s="131">
        <f>IF($A135="","",IF($F134="",0,$F134)+IF($D135="",0,$D135)-IF($E135="",0,$E135))</f>
        <v/>
      </c>
    </row>
    <row r="136" ht="18" customHeight="1" s="165">
      <c r="A136" s="179">
        <f>IFERROR(INDEX('كشف الحساب'!$A$4:$A$204,MATCH(131,'كشف الحساب'!$P$4:$P$204,0)),"")</f>
        <v/>
      </c>
      <c r="B136" s="128">
        <f>IFERROR(INDEX('كشف الحساب'!$B$4:$B$204,MATCH(131,'كشف الحساب'!$P$4:$P$204,0)),"")</f>
        <v/>
      </c>
      <c r="C136" s="127">
        <f>IFERROR(INDEX('كشف الحساب'!$C$4:$C$204,MATCH(131,'كشف الحساب'!$P$4:$P$204,0)),"")</f>
        <v/>
      </c>
      <c r="D136" s="129">
        <f>IFERROR(INDEX('كشف الحساب'!$E$4:$E$204,MATCH(131,'كشف الحساب'!$P$4:$P$204,0)),"")</f>
        <v/>
      </c>
      <c r="E136" s="130">
        <f>IFERROR(INDEX('كشف الحساب'!$D$4:$D$204,MATCH(131,'كشف الحساب'!$P$4:$P$204,0)),"")</f>
        <v/>
      </c>
      <c r="F136" s="131">
        <f>IF($A136="","",IF($F135="",0,$F135)+IF($D136="",0,$D136)-IF($E136="",0,$E136))</f>
        <v/>
      </c>
    </row>
    <row r="137" ht="18" customHeight="1" s="165">
      <c r="A137" s="179">
        <f>IFERROR(INDEX('كشف الحساب'!$A$4:$A$204,MATCH(132,'كشف الحساب'!$P$4:$P$204,0)),"")</f>
        <v/>
      </c>
      <c r="B137" s="128">
        <f>IFERROR(INDEX('كشف الحساب'!$B$4:$B$204,MATCH(132,'كشف الحساب'!$P$4:$P$204,0)),"")</f>
        <v/>
      </c>
      <c r="C137" s="127">
        <f>IFERROR(INDEX('كشف الحساب'!$C$4:$C$204,MATCH(132,'كشف الحساب'!$P$4:$P$204,0)),"")</f>
        <v/>
      </c>
      <c r="D137" s="129">
        <f>IFERROR(INDEX('كشف الحساب'!$E$4:$E$204,MATCH(132,'كشف الحساب'!$P$4:$P$204,0)),"")</f>
        <v/>
      </c>
      <c r="E137" s="130">
        <f>IFERROR(INDEX('كشف الحساب'!$D$4:$D$204,MATCH(132,'كشف الحساب'!$P$4:$P$204,0)),"")</f>
        <v/>
      </c>
      <c r="F137" s="131">
        <f>IF($A137="","",IF($F136="",0,$F136)+IF($D137="",0,$D137)-IF($E137="",0,$E137))</f>
        <v/>
      </c>
    </row>
    <row r="138" ht="18" customHeight="1" s="165">
      <c r="A138" s="179">
        <f>IFERROR(INDEX('كشف الحساب'!$A$4:$A$204,MATCH(133,'كشف الحساب'!$P$4:$P$204,0)),"")</f>
        <v/>
      </c>
      <c r="B138" s="128">
        <f>IFERROR(INDEX('كشف الحساب'!$B$4:$B$204,MATCH(133,'كشف الحساب'!$P$4:$P$204,0)),"")</f>
        <v/>
      </c>
      <c r="C138" s="127">
        <f>IFERROR(INDEX('كشف الحساب'!$C$4:$C$204,MATCH(133,'كشف الحساب'!$P$4:$P$204,0)),"")</f>
        <v/>
      </c>
      <c r="D138" s="129">
        <f>IFERROR(INDEX('كشف الحساب'!$E$4:$E$204,MATCH(133,'كشف الحساب'!$P$4:$P$204,0)),"")</f>
        <v/>
      </c>
      <c r="E138" s="130">
        <f>IFERROR(INDEX('كشف الحساب'!$D$4:$D$204,MATCH(133,'كشف الحساب'!$P$4:$P$204,0)),"")</f>
        <v/>
      </c>
      <c r="F138" s="131">
        <f>IF($A138="","",IF($F137="",0,$F137)+IF($D138="",0,$D138)-IF($E138="",0,$E138))</f>
        <v/>
      </c>
    </row>
    <row r="139" ht="18" customHeight="1" s="165">
      <c r="A139" s="179">
        <f>IFERROR(INDEX('كشف الحساب'!$A$4:$A$204,MATCH(134,'كشف الحساب'!$P$4:$P$204,0)),"")</f>
        <v/>
      </c>
      <c r="B139" s="128">
        <f>IFERROR(INDEX('كشف الحساب'!$B$4:$B$204,MATCH(134,'كشف الحساب'!$P$4:$P$204,0)),"")</f>
        <v/>
      </c>
      <c r="C139" s="127">
        <f>IFERROR(INDEX('كشف الحساب'!$C$4:$C$204,MATCH(134,'كشف الحساب'!$P$4:$P$204,0)),"")</f>
        <v/>
      </c>
      <c r="D139" s="129">
        <f>IFERROR(INDEX('كشف الحساب'!$E$4:$E$204,MATCH(134,'كشف الحساب'!$P$4:$P$204,0)),"")</f>
        <v/>
      </c>
      <c r="E139" s="130">
        <f>IFERROR(INDEX('كشف الحساب'!$D$4:$D$204,MATCH(134,'كشف الحساب'!$P$4:$P$204,0)),"")</f>
        <v/>
      </c>
      <c r="F139" s="131">
        <f>IF($A139="","",IF($F138="",0,$F138)+IF($D139="",0,$D139)-IF($E139="",0,$E139))</f>
        <v/>
      </c>
    </row>
    <row r="140" ht="18" customHeight="1" s="165">
      <c r="A140" s="179">
        <f>IFERROR(INDEX('كشف الحساب'!$A$4:$A$204,MATCH(135,'كشف الحساب'!$P$4:$P$204,0)),"")</f>
        <v/>
      </c>
      <c r="B140" s="128">
        <f>IFERROR(INDEX('كشف الحساب'!$B$4:$B$204,MATCH(135,'كشف الحساب'!$P$4:$P$204,0)),"")</f>
        <v/>
      </c>
      <c r="C140" s="127">
        <f>IFERROR(INDEX('كشف الحساب'!$C$4:$C$204,MATCH(135,'كشف الحساب'!$P$4:$P$204,0)),"")</f>
        <v/>
      </c>
      <c r="D140" s="129">
        <f>IFERROR(INDEX('كشف الحساب'!$E$4:$E$204,MATCH(135,'كشف الحساب'!$P$4:$P$204,0)),"")</f>
        <v/>
      </c>
      <c r="E140" s="130">
        <f>IFERROR(INDEX('كشف الحساب'!$D$4:$D$204,MATCH(135,'كشف الحساب'!$P$4:$P$204,0)),"")</f>
        <v/>
      </c>
      <c r="F140" s="131">
        <f>IF($A140="","",IF($F139="",0,$F139)+IF($D140="",0,$D140)-IF($E140="",0,$E140))</f>
        <v/>
      </c>
    </row>
    <row r="141" ht="18" customHeight="1" s="165">
      <c r="A141" s="179">
        <f>IFERROR(INDEX('كشف الحساب'!$A$4:$A$204,MATCH(136,'كشف الحساب'!$P$4:$P$204,0)),"")</f>
        <v/>
      </c>
      <c r="B141" s="128">
        <f>IFERROR(INDEX('كشف الحساب'!$B$4:$B$204,MATCH(136,'كشف الحساب'!$P$4:$P$204,0)),"")</f>
        <v/>
      </c>
      <c r="C141" s="127">
        <f>IFERROR(INDEX('كشف الحساب'!$C$4:$C$204,MATCH(136,'كشف الحساب'!$P$4:$P$204,0)),"")</f>
        <v/>
      </c>
      <c r="D141" s="129">
        <f>IFERROR(INDEX('كشف الحساب'!$E$4:$E$204,MATCH(136,'كشف الحساب'!$P$4:$P$204,0)),"")</f>
        <v/>
      </c>
      <c r="E141" s="130">
        <f>IFERROR(INDEX('كشف الحساب'!$D$4:$D$204,MATCH(136,'كشف الحساب'!$P$4:$P$204,0)),"")</f>
        <v/>
      </c>
      <c r="F141" s="131">
        <f>IF($A141="","",IF($F140="",0,$F140)+IF($D141="",0,$D141)-IF($E141="",0,$E141))</f>
        <v/>
      </c>
    </row>
    <row r="142" ht="18" customHeight="1" s="165">
      <c r="A142" s="179">
        <f>IFERROR(INDEX('كشف الحساب'!$A$4:$A$204,MATCH(137,'كشف الحساب'!$P$4:$P$204,0)),"")</f>
        <v/>
      </c>
      <c r="B142" s="128">
        <f>IFERROR(INDEX('كشف الحساب'!$B$4:$B$204,MATCH(137,'كشف الحساب'!$P$4:$P$204,0)),"")</f>
        <v/>
      </c>
      <c r="C142" s="127">
        <f>IFERROR(INDEX('كشف الحساب'!$C$4:$C$204,MATCH(137,'كشف الحساب'!$P$4:$P$204,0)),"")</f>
        <v/>
      </c>
      <c r="D142" s="129">
        <f>IFERROR(INDEX('كشف الحساب'!$E$4:$E$204,MATCH(137,'كشف الحساب'!$P$4:$P$204,0)),"")</f>
        <v/>
      </c>
      <c r="E142" s="130">
        <f>IFERROR(INDEX('كشف الحساب'!$D$4:$D$204,MATCH(137,'كشف الحساب'!$P$4:$P$204,0)),"")</f>
        <v/>
      </c>
      <c r="F142" s="131">
        <f>IF($A142="","",IF($F141="",0,$F141)+IF($D142="",0,$D142)-IF($E142="",0,$E142))</f>
        <v/>
      </c>
    </row>
    <row r="143" ht="18" customHeight="1" s="165">
      <c r="A143" s="179">
        <f>IFERROR(INDEX('كشف الحساب'!$A$4:$A$204,MATCH(138,'كشف الحساب'!$P$4:$P$204,0)),"")</f>
        <v/>
      </c>
      <c r="B143" s="128">
        <f>IFERROR(INDEX('كشف الحساب'!$B$4:$B$204,MATCH(138,'كشف الحساب'!$P$4:$P$204,0)),"")</f>
        <v/>
      </c>
      <c r="C143" s="127">
        <f>IFERROR(INDEX('كشف الحساب'!$C$4:$C$204,MATCH(138,'كشف الحساب'!$P$4:$P$204,0)),"")</f>
        <v/>
      </c>
      <c r="D143" s="129">
        <f>IFERROR(INDEX('كشف الحساب'!$E$4:$E$204,MATCH(138,'كشف الحساب'!$P$4:$P$204,0)),"")</f>
        <v/>
      </c>
      <c r="E143" s="130">
        <f>IFERROR(INDEX('كشف الحساب'!$D$4:$D$204,MATCH(138,'كشف الحساب'!$P$4:$P$204,0)),"")</f>
        <v/>
      </c>
      <c r="F143" s="131">
        <f>IF($A143="","",IF($F142="",0,$F142)+IF($D143="",0,$D143)-IF($E143="",0,$E143))</f>
        <v/>
      </c>
    </row>
    <row r="144" ht="18" customHeight="1" s="165">
      <c r="A144" s="179">
        <f>IFERROR(INDEX('كشف الحساب'!$A$4:$A$204,MATCH(139,'كشف الحساب'!$P$4:$P$204,0)),"")</f>
        <v/>
      </c>
      <c r="B144" s="128">
        <f>IFERROR(INDEX('كشف الحساب'!$B$4:$B$204,MATCH(139,'كشف الحساب'!$P$4:$P$204,0)),"")</f>
        <v/>
      </c>
      <c r="C144" s="127">
        <f>IFERROR(INDEX('كشف الحساب'!$C$4:$C$204,MATCH(139,'كشف الحساب'!$P$4:$P$204,0)),"")</f>
        <v/>
      </c>
      <c r="D144" s="129">
        <f>IFERROR(INDEX('كشف الحساب'!$E$4:$E$204,MATCH(139,'كشف الحساب'!$P$4:$P$204,0)),"")</f>
        <v/>
      </c>
      <c r="E144" s="130">
        <f>IFERROR(INDEX('كشف الحساب'!$D$4:$D$204,MATCH(139,'كشف الحساب'!$P$4:$P$204,0)),"")</f>
        <v/>
      </c>
      <c r="F144" s="131">
        <f>IF($A144="","",IF($F143="",0,$F143)+IF($D144="",0,$D144)-IF($E144="",0,$E144))</f>
        <v/>
      </c>
    </row>
    <row r="145" ht="18" customHeight="1" s="165">
      <c r="A145" s="179">
        <f>IFERROR(INDEX('كشف الحساب'!$A$4:$A$204,MATCH(140,'كشف الحساب'!$P$4:$P$204,0)),"")</f>
        <v/>
      </c>
      <c r="B145" s="128">
        <f>IFERROR(INDEX('كشف الحساب'!$B$4:$B$204,MATCH(140,'كشف الحساب'!$P$4:$P$204,0)),"")</f>
        <v/>
      </c>
      <c r="C145" s="127">
        <f>IFERROR(INDEX('كشف الحساب'!$C$4:$C$204,MATCH(140,'كشف الحساب'!$P$4:$P$204,0)),"")</f>
        <v/>
      </c>
      <c r="D145" s="129">
        <f>IFERROR(INDEX('كشف الحساب'!$E$4:$E$204,MATCH(140,'كشف الحساب'!$P$4:$P$204,0)),"")</f>
        <v/>
      </c>
      <c r="E145" s="130">
        <f>IFERROR(INDEX('كشف الحساب'!$D$4:$D$204,MATCH(140,'كشف الحساب'!$P$4:$P$204,0)),"")</f>
        <v/>
      </c>
      <c r="F145" s="131">
        <f>IF($A145="","",IF($F144="",0,$F144)+IF($D145="",0,$D145)-IF($E145="",0,$E145))</f>
        <v/>
      </c>
    </row>
    <row r="146" ht="18" customHeight="1" s="165">
      <c r="A146" s="179">
        <f>IFERROR(INDEX('كشف الحساب'!$A$4:$A$204,MATCH(141,'كشف الحساب'!$P$4:$P$204,0)),"")</f>
        <v/>
      </c>
      <c r="B146" s="128">
        <f>IFERROR(INDEX('كشف الحساب'!$B$4:$B$204,MATCH(141,'كشف الحساب'!$P$4:$P$204,0)),"")</f>
        <v/>
      </c>
      <c r="C146" s="127">
        <f>IFERROR(INDEX('كشف الحساب'!$C$4:$C$204,MATCH(141,'كشف الحساب'!$P$4:$P$204,0)),"")</f>
        <v/>
      </c>
      <c r="D146" s="129">
        <f>IFERROR(INDEX('كشف الحساب'!$E$4:$E$204,MATCH(141,'كشف الحساب'!$P$4:$P$204,0)),"")</f>
        <v/>
      </c>
      <c r="E146" s="130">
        <f>IFERROR(INDEX('كشف الحساب'!$D$4:$D$204,MATCH(141,'كشف الحساب'!$P$4:$P$204,0)),"")</f>
        <v/>
      </c>
      <c r="F146" s="131">
        <f>IF($A146="","",IF($F145="",0,$F145)+IF($D146="",0,$D146)-IF($E146="",0,$E146))</f>
        <v/>
      </c>
    </row>
    <row r="147" ht="18" customHeight="1" s="165">
      <c r="A147" s="179">
        <f>IFERROR(INDEX('كشف الحساب'!$A$4:$A$204,MATCH(142,'كشف الحساب'!$P$4:$P$204,0)),"")</f>
        <v/>
      </c>
      <c r="B147" s="128">
        <f>IFERROR(INDEX('كشف الحساب'!$B$4:$B$204,MATCH(142,'كشف الحساب'!$P$4:$P$204,0)),"")</f>
        <v/>
      </c>
      <c r="C147" s="127">
        <f>IFERROR(INDEX('كشف الحساب'!$C$4:$C$204,MATCH(142,'كشف الحساب'!$P$4:$P$204,0)),"")</f>
        <v/>
      </c>
      <c r="D147" s="129">
        <f>IFERROR(INDEX('كشف الحساب'!$E$4:$E$204,MATCH(142,'كشف الحساب'!$P$4:$P$204,0)),"")</f>
        <v/>
      </c>
      <c r="E147" s="130">
        <f>IFERROR(INDEX('كشف الحساب'!$D$4:$D$204,MATCH(142,'كشف الحساب'!$P$4:$P$204,0)),"")</f>
        <v/>
      </c>
      <c r="F147" s="131">
        <f>IF($A147="","",IF($F146="",0,$F146)+IF($D147="",0,$D147)-IF($E147="",0,$E147))</f>
        <v/>
      </c>
    </row>
    <row r="148" ht="18" customHeight="1" s="165">
      <c r="A148" s="179">
        <f>IFERROR(INDEX('كشف الحساب'!$A$4:$A$204,MATCH(143,'كشف الحساب'!$P$4:$P$204,0)),"")</f>
        <v/>
      </c>
      <c r="B148" s="128">
        <f>IFERROR(INDEX('كشف الحساب'!$B$4:$B$204,MATCH(143,'كشف الحساب'!$P$4:$P$204,0)),"")</f>
        <v/>
      </c>
      <c r="C148" s="127">
        <f>IFERROR(INDEX('كشف الحساب'!$C$4:$C$204,MATCH(143,'كشف الحساب'!$P$4:$P$204,0)),"")</f>
        <v/>
      </c>
      <c r="D148" s="129">
        <f>IFERROR(INDEX('كشف الحساب'!$E$4:$E$204,MATCH(143,'كشف الحساب'!$P$4:$P$204,0)),"")</f>
        <v/>
      </c>
      <c r="E148" s="130">
        <f>IFERROR(INDEX('كشف الحساب'!$D$4:$D$204,MATCH(143,'كشف الحساب'!$P$4:$P$204,0)),"")</f>
        <v/>
      </c>
      <c r="F148" s="131">
        <f>IF($A148="","",IF($F147="",0,$F147)+IF($D148="",0,$D148)-IF($E148="",0,$E148))</f>
        <v/>
      </c>
    </row>
    <row r="149" ht="18" customHeight="1" s="165">
      <c r="A149" s="179">
        <f>IFERROR(INDEX('كشف الحساب'!$A$4:$A$204,MATCH(144,'كشف الحساب'!$P$4:$P$204,0)),"")</f>
        <v/>
      </c>
      <c r="B149" s="128">
        <f>IFERROR(INDEX('كشف الحساب'!$B$4:$B$204,MATCH(144,'كشف الحساب'!$P$4:$P$204,0)),"")</f>
        <v/>
      </c>
      <c r="C149" s="127">
        <f>IFERROR(INDEX('كشف الحساب'!$C$4:$C$204,MATCH(144,'كشف الحساب'!$P$4:$P$204,0)),"")</f>
        <v/>
      </c>
      <c r="D149" s="129">
        <f>IFERROR(INDEX('كشف الحساب'!$E$4:$E$204,MATCH(144,'كشف الحساب'!$P$4:$P$204,0)),"")</f>
        <v/>
      </c>
      <c r="E149" s="130">
        <f>IFERROR(INDEX('كشف الحساب'!$D$4:$D$204,MATCH(144,'كشف الحساب'!$P$4:$P$204,0)),"")</f>
        <v/>
      </c>
      <c r="F149" s="131">
        <f>IF($A149="","",IF($F148="",0,$F148)+IF($D149="",0,$D149)-IF($E149="",0,$E149))</f>
        <v/>
      </c>
    </row>
    <row r="150" ht="18" customHeight="1" s="165">
      <c r="A150" s="179">
        <f>IFERROR(INDEX('كشف الحساب'!$A$4:$A$204,MATCH(145,'كشف الحساب'!$P$4:$P$204,0)),"")</f>
        <v/>
      </c>
      <c r="B150" s="128">
        <f>IFERROR(INDEX('كشف الحساب'!$B$4:$B$204,MATCH(145,'كشف الحساب'!$P$4:$P$204,0)),"")</f>
        <v/>
      </c>
      <c r="C150" s="127">
        <f>IFERROR(INDEX('كشف الحساب'!$C$4:$C$204,MATCH(145,'كشف الحساب'!$P$4:$P$204,0)),"")</f>
        <v/>
      </c>
      <c r="D150" s="129">
        <f>IFERROR(INDEX('كشف الحساب'!$E$4:$E$204,MATCH(145,'كشف الحساب'!$P$4:$P$204,0)),"")</f>
        <v/>
      </c>
      <c r="E150" s="130">
        <f>IFERROR(INDEX('كشف الحساب'!$D$4:$D$204,MATCH(145,'كشف الحساب'!$P$4:$P$204,0)),"")</f>
        <v/>
      </c>
      <c r="F150" s="131">
        <f>IF($A150="","",IF($F149="",0,$F149)+IF($D150="",0,$D150)-IF($E150="",0,$E150))</f>
        <v/>
      </c>
    </row>
    <row r="151" ht="18" customHeight="1" s="165">
      <c r="A151" s="179">
        <f>IFERROR(INDEX('كشف الحساب'!$A$4:$A$204,MATCH(146,'كشف الحساب'!$P$4:$P$204,0)),"")</f>
        <v/>
      </c>
      <c r="B151" s="128">
        <f>IFERROR(INDEX('كشف الحساب'!$B$4:$B$204,MATCH(146,'كشف الحساب'!$P$4:$P$204,0)),"")</f>
        <v/>
      </c>
      <c r="C151" s="127">
        <f>IFERROR(INDEX('كشف الحساب'!$C$4:$C$204,MATCH(146,'كشف الحساب'!$P$4:$P$204,0)),"")</f>
        <v/>
      </c>
      <c r="D151" s="129">
        <f>IFERROR(INDEX('كشف الحساب'!$E$4:$E$204,MATCH(146,'كشف الحساب'!$P$4:$P$204,0)),"")</f>
        <v/>
      </c>
      <c r="E151" s="130">
        <f>IFERROR(INDEX('كشف الحساب'!$D$4:$D$204,MATCH(146,'كشف الحساب'!$P$4:$P$204,0)),"")</f>
        <v/>
      </c>
      <c r="F151" s="131">
        <f>IF($A151="","",IF($F150="",0,$F150)+IF($D151="",0,$D151)-IF($E151="",0,$E151))</f>
        <v/>
      </c>
    </row>
    <row r="152" ht="18" customHeight="1" s="165">
      <c r="A152" s="179">
        <f>IFERROR(INDEX('كشف الحساب'!$A$4:$A$204,MATCH(147,'كشف الحساب'!$P$4:$P$204,0)),"")</f>
        <v/>
      </c>
      <c r="B152" s="128">
        <f>IFERROR(INDEX('كشف الحساب'!$B$4:$B$204,MATCH(147,'كشف الحساب'!$P$4:$P$204,0)),"")</f>
        <v/>
      </c>
      <c r="C152" s="127">
        <f>IFERROR(INDEX('كشف الحساب'!$C$4:$C$204,MATCH(147,'كشف الحساب'!$P$4:$P$204,0)),"")</f>
        <v/>
      </c>
      <c r="D152" s="129">
        <f>IFERROR(INDEX('كشف الحساب'!$E$4:$E$204,MATCH(147,'كشف الحساب'!$P$4:$P$204,0)),"")</f>
        <v/>
      </c>
      <c r="E152" s="130">
        <f>IFERROR(INDEX('كشف الحساب'!$D$4:$D$204,MATCH(147,'كشف الحساب'!$P$4:$P$204,0)),"")</f>
        <v/>
      </c>
      <c r="F152" s="131">
        <f>IF($A152="","",IF($F151="",0,$F151)+IF($D152="",0,$D152)-IF($E152="",0,$E152))</f>
        <v/>
      </c>
    </row>
    <row r="153" ht="18" customHeight="1" s="165">
      <c r="A153" s="179">
        <f>IFERROR(INDEX('كشف الحساب'!$A$4:$A$204,MATCH(148,'كشف الحساب'!$P$4:$P$204,0)),"")</f>
        <v/>
      </c>
      <c r="B153" s="128">
        <f>IFERROR(INDEX('كشف الحساب'!$B$4:$B$204,MATCH(148,'كشف الحساب'!$P$4:$P$204,0)),"")</f>
        <v/>
      </c>
      <c r="C153" s="127">
        <f>IFERROR(INDEX('كشف الحساب'!$C$4:$C$204,MATCH(148,'كشف الحساب'!$P$4:$P$204,0)),"")</f>
        <v/>
      </c>
      <c r="D153" s="129">
        <f>IFERROR(INDEX('كشف الحساب'!$E$4:$E$204,MATCH(148,'كشف الحساب'!$P$4:$P$204,0)),"")</f>
        <v/>
      </c>
      <c r="E153" s="130">
        <f>IFERROR(INDEX('كشف الحساب'!$D$4:$D$204,MATCH(148,'كشف الحساب'!$P$4:$P$204,0)),"")</f>
        <v/>
      </c>
      <c r="F153" s="131">
        <f>IF($A153="","",IF($F152="",0,$F152)+IF($D153="",0,$D153)-IF($E153="",0,$E153))</f>
        <v/>
      </c>
    </row>
    <row r="154" ht="18" customHeight="1" s="165">
      <c r="A154" s="179">
        <f>IFERROR(INDEX('كشف الحساب'!$A$4:$A$204,MATCH(149,'كشف الحساب'!$P$4:$P$204,0)),"")</f>
        <v/>
      </c>
      <c r="B154" s="128">
        <f>IFERROR(INDEX('كشف الحساب'!$B$4:$B$204,MATCH(149,'كشف الحساب'!$P$4:$P$204,0)),"")</f>
        <v/>
      </c>
      <c r="C154" s="127">
        <f>IFERROR(INDEX('كشف الحساب'!$C$4:$C$204,MATCH(149,'كشف الحساب'!$P$4:$P$204,0)),"")</f>
        <v/>
      </c>
      <c r="D154" s="129">
        <f>IFERROR(INDEX('كشف الحساب'!$E$4:$E$204,MATCH(149,'كشف الحساب'!$P$4:$P$204,0)),"")</f>
        <v/>
      </c>
      <c r="E154" s="130">
        <f>IFERROR(INDEX('كشف الحساب'!$D$4:$D$204,MATCH(149,'كشف الحساب'!$P$4:$P$204,0)),"")</f>
        <v/>
      </c>
      <c r="F154" s="131">
        <f>IF($A154="","",IF($F153="",0,$F153)+IF($D154="",0,$D154)-IF($E154="",0,$E154))</f>
        <v/>
      </c>
    </row>
    <row r="155" ht="18" customHeight="1" s="165">
      <c r="A155" s="179">
        <f>IFERROR(INDEX('كشف الحساب'!$A$4:$A$204,MATCH(150,'كشف الحساب'!$P$4:$P$204,0)),"")</f>
        <v/>
      </c>
      <c r="B155" s="128">
        <f>IFERROR(INDEX('كشف الحساب'!$B$4:$B$204,MATCH(150,'كشف الحساب'!$P$4:$P$204,0)),"")</f>
        <v/>
      </c>
      <c r="C155" s="127">
        <f>IFERROR(INDEX('كشف الحساب'!$C$4:$C$204,MATCH(150,'كشف الحساب'!$P$4:$P$204,0)),"")</f>
        <v/>
      </c>
      <c r="D155" s="129">
        <f>IFERROR(INDEX('كشف الحساب'!$E$4:$E$204,MATCH(150,'كشف الحساب'!$P$4:$P$204,0)),"")</f>
        <v/>
      </c>
      <c r="E155" s="130">
        <f>IFERROR(INDEX('كشف الحساب'!$D$4:$D$204,MATCH(150,'كشف الحساب'!$P$4:$P$204,0)),"")</f>
        <v/>
      </c>
      <c r="F155" s="131">
        <f>IF($A155="","",IF($F154="",0,$F154)+IF($D155="",0,$D155)-IF($E155="",0,$E155))</f>
        <v/>
      </c>
    </row>
    <row r="156" ht="18" customHeight="1" s="165">
      <c r="A156" s="179">
        <f>IFERROR(INDEX('كشف الحساب'!$A$4:$A$204,MATCH(151,'كشف الحساب'!$P$4:$P$204,0)),"")</f>
        <v/>
      </c>
      <c r="B156" s="128">
        <f>IFERROR(INDEX('كشف الحساب'!$B$4:$B$204,MATCH(151,'كشف الحساب'!$P$4:$P$204,0)),"")</f>
        <v/>
      </c>
      <c r="C156" s="127">
        <f>IFERROR(INDEX('كشف الحساب'!$C$4:$C$204,MATCH(151,'كشف الحساب'!$P$4:$P$204,0)),"")</f>
        <v/>
      </c>
      <c r="D156" s="129">
        <f>IFERROR(INDEX('كشف الحساب'!$E$4:$E$204,MATCH(151,'كشف الحساب'!$P$4:$P$204,0)),"")</f>
        <v/>
      </c>
      <c r="E156" s="130">
        <f>IFERROR(INDEX('كشف الحساب'!$D$4:$D$204,MATCH(151,'كشف الحساب'!$P$4:$P$204,0)),"")</f>
        <v/>
      </c>
      <c r="F156" s="131">
        <f>IF($A156="","",IF($F155="",0,$F155)+IF($D156="",0,$D156)-IF($E156="",0,$E156))</f>
        <v/>
      </c>
    </row>
    <row r="157" ht="18" customHeight="1" s="165">
      <c r="A157" s="179">
        <f>IFERROR(INDEX('كشف الحساب'!$A$4:$A$204,MATCH(152,'كشف الحساب'!$P$4:$P$204,0)),"")</f>
        <v/>
      </c>
      <c r="B157" s="128">
        <f>IFERROR(INDEX('كشف الحساب'!$B$4:$B$204,MATCH(152,'كشف الحساب'!$P$4:$P$204,0)),"")</f>
        <v/>
      </c>
      <c r="C157" s="127">
        <f>IFERROR(INDEX('كشف الحساب'!$C$4:$C$204,MATCH(152,'كشف الحساب'!$P$4:$P$204,0)),"")</f>
        <v/>
      </c>
      <c r="D157" s="129">
        <f>IFERROR(INDEX('كشف الحساب'!$E$4:$E$204,MATCH(152,'كشف الحساب'!$P$4:$P$204,0)),"")</f>
        <v/>
      </c>
      <c r="E157" s="130">
        <f>IFERROR(INDEX('كشف الحساب'!$D$4:$D$204,MATCH(152,'كشف الحساب'!$P$4:$P$204,0)),"")</f>
        <v/>
      </c>
      <c r="F157" s="131">
        <f>IF($A157="","",IF($F156="",0,$F156)+IF($D157="",0,$D157)-IF($E157="",0,$E157))</f>
        <v/>
      </c>
    </row>
    <row r="158" ht="18" customHeight="1" s="165">
      <c r="A158" s="179">
        <f>IFERROR(INDEX('كشف الحساب'!$A$4:$A$204,MATCH(153,'كشف الحساب'!$P$4:$P$204,0)),"")</f>
        <v/>
      </c>
      <c r="B158" s="128">
        <f>IFERROR(INDEX('كشف الحساب'!$B$4:$B$204,MATCH(153,'كشف الحساب'!$P$4:$P$204,0)),"")</f>
        <v/>
      </c>
      <c r="C158" s="127">
        <f>IFERROR(INDEX('كشف الحساب'!$C$4:$C$204,MATCH(153,'كشف الحساب'!$P$4:$P$204,0)),"")</f>
        <v/>
      </c>
      <c r="D158" s="129">
        <f>IFERROR(INDEX('كشف الحساب'!$E$4:$E$204,MATCH(153,'كشف الحساب'!$P$4:$P$204,0)),"")</f>
        <v/>
      </c>
      <c r="E158" s="130">
        <f>IFERROR(INDEX('كشف الحساب'!$D$4:$D$204,MATCH(153,'كشف الحساب'!$P$4:$P$204,0)),"")</f>
        <v/>
      </c>
      <c r="F158" s="131">
        <f>IF($A158="","",IF($F157="",0,$F157)+IF($D158="",0,$D158)-IF($E158="",0,$E158))</f>
        <v/>
      </c>
    </row>
    <row r="159" ht="18" customHeight="1" s="165">
      <c r="A159" s="179">
        <f>IFERROR(INDEX('كشف الحساب'!$A$4:$A$204,MATCH(154,'كشف الحساب'!$P$4:$P$204,0)),"")</f>
        <v/>
      </c>
      <c r="B159" s="128">
        <f>IFERROR(INDEX('كشف الحساب'!$B$4:$B$204,MATCH(154,'كشف الحساب'!$P$4:$P$204,0)),"")</f>
        <v/>
      </c>
      <c r="C159" s="127">
        <f>IFERROR(INDEX('كشف الحساب'!$C$4:$C$204,MATCH(154,'كشف الحساب'!$P$4:$P$204,0)),"")</f>
        <v/>
      </c>
      <c r="D159" s="129">
        <f>IFERROR(INDEX('كشف الحساب'!$E$4:$E$204,MATCH(154,'كشف الحساب'!$P$4:$P$204,0)),"")</f>
        <v/>
      </c>
      <c r="E159" s="130">
        <f>IFERROR(INDEX('كشف الحساب'!$D$4:$D$204,MATCH(154,'كشف الحساب'!$P$4:$P$204,0)),"")</f>
        <v/>
      </c>
      <c r="F159" s="131">
        <f>IF($A159="","",IF($F158="",0,$F158)+IF($D159="",0,$D159)-IF($E159="",0,$E159))</f>
        <v/>
      </c>
    </row>
    <row r="160" ht="18" customHeight="1" s="165">
      <c r="A160" s="179">
        <f>IFERROR(INDEX('كشف الحساب'!$A$4:$A$204,MATCH(155,'كشف الحساب'!$P$4:$P$204,0)),"")</f>
        <v/>
      </c>
      <c r="B160" s="128">
        <f>IFERROR(INDEX('كشف الحساب'!$B$4:$B$204,MATCH(155,'كشف الحساب'!$P$4:$P$204,0)),"")</f>
        <v/>
      </c>
      <c r="C160" s="127">
        <f>IFERROR(INDEX('كشف الحساب'!$C$4:$C$204,MATCH(155,'كشف الحساب'!$P$4:$P$204,0)),"")</f>
        <v/>
      </c>
      <c r="D160" s="129">
        <f>IFERROR(INDEX('كشف الحساب'!$E$4:$E$204,MATCH(155,'كشف الحساب'!$P$4:$P$204,0)),"")</f>
        <v/>
      </c>
      <c r="E160" s="130">
        <f>IFERROR(INDEX('كشف الحساب'!$D$4:$D$204,MATCH(155,'كشف الحساب'!$P$4:$P$204,0)),"")</f>
        <v/>
      </c>
      <c r="F160" s="131">
        <f>IF($A160="","",IF($F159="",0,$F159)+IF($D160="",0,$D160)-IF($E160="",0,$E160))</f>
        <v/>
      </c>
    </row>
    <row r="161" ht="18" customHeight="1" s="165">
      <c r="A161" s="179">
        <f>IFERROR(INDEX('كشف الحساب'!$A$4:$A$204,MATCH(156,'كشف الحساب'!$P$4:$P$204,0)),"")</f>
        <v/>
      </c>
      <c r="B161" s="128">
        <f>IFERROR(INDEX('كشف الحساب'!$B$4:$B$204,MATCH(156,'كشف الحساب'!$P$4:$P$204,0)),"")</f>
        <v/>
      </c>
      <c r="C161" s="127">
        <f>IFERROR(INDEX('كشف الحساب'!$C$4:$C$204,MATCH(156,'كشف الحساب'!$P$4:$P$204,0)),"")</f>
        <v/>
      </c>
      <c r="D161" s="129">
        <f>IFERROR(INDEX('كشف الحساب'!$E$4:$E$204,MATCH(156,'كشف الحساب'!$P$4:$P$204,0)),"")</f>
        <v/>
      </c>
      <c r="E161" s="130">
        <f>IFERROR(INDEX('كشف الحساب'!$D$4:$D$204,MATCH(156,'كشف الحساب'!$P$4:$P$204,0)),"")</f>
        <v/>
      </c>
      <c r="F161" s="131">
        <f>IF($A161="","",IF($F160="",0,$F160)+IF($D161="",0,$D161)-IF($E161="",0,$E161))</f>
        <v/>
      </c>
    </row>
    <row r="162" ht="18" customHeight="1" s="165">
      <c r="A162" s="179">
        <f>IFERROR(INDEX('كشف الحساب'!$A$4:$A$204,MATCH(157,'كشف الحساب'!$P$4:$P$204,0)),"")</f>
        <v/>
      </c>
      <c r="B162" s="128">
        <f>IFERROR(INDEX('كشف الحساب'!$B$4:$B$204,MATCH(157,'كشف الحساب'!$P$4:$P$204,0)),"")</f>
        <v/>
      </c>
      <c r="C162" s="127">
        <f>IFERROR(INDEX('كشف الحساب'!$C$4:$C$204,MATCH(157,'كشف الحساب'!$P$4:$P$204,0)),"")</f>
        <v/>
      </c>
      <c r="D162" s="129">
        <f>IFERROR(INDEX('كشف الحساب'!$E$4:$E$204,MATCH(157,'كشف الحساب'!$P$4:$P$204,0)),"")</f>
        <v/>
      </c>
      <c r="E162" s="130">
        <f>IFERROR(INDEX('كشف الحساب'!$D$4:$D$204,MATCH(157,'كشف الحساب'!$P$4:$P$204,0)),"")</f>
        <v/>
      </c>
      <c r="F162" s="131">
        <f>IF($A162="","",IF($F161="",0,$F161)+IF($D162="",0,$D162)-IF($E162="",0,$E162))</f>
        <v/>
      </c>
    </row>
    <row r="163" ht="18" customHeight="1" s="165">
      <c r="A163" s="179">
        <f>IFERROR(INDEX('كشف الحساب'!$A$4:$A$204,MATCH(158,'كشف الحساب'!$P$4:$P$204,0)),"")</f>
        <v/>
      </c>
      <c r="B163" s="128">
        <f>IFERROR(INDEX('كشف الحساب'!$B$4:$B$204,MATCH(158,'كشف الحساب'!$P$4:$P$204,0)),"")</f>
        <v/>
      </c>
      <c r="C163" s="127">
        <f>IFERROR(INDEX('كشف الحساب'!$C$4:$C$204,MATCH(158,'كشف الحساب'!$P$4:$P$204,0)),"")</f>
        <v/>
      </c>
      <c r="D163" s="129">
        <f>IFERROR(INDEX('كشف الحساب'!$E$4:$E$204,MATCH(158,'كشف الحساب'!$P$4:$P$204,0)),"")</f>
        <v/>
      </c>
      <c r="E163" s="130">
        <f>IFERROR(INDEX('كشف الحساب'!$D$4:$D$204,MATCH(158,'كشف الحساب'!$P$4:$P$204,0)),"")</f>
        <v/>
      </c>
      <c r="F163" s="131">
        <f>IF($A163="","",IF($F162="",0,$F162)+IF($D163="",0,$D163)-IF($E163="",0,$E163))</f>
        <v/>
      </c>
    </row>
    <row r="164" ht="18" customHeight="1" s="165">
      <c r="A164" s="179">
        <f>IFERROR(INDEX('كشف الحساب'!$A$4:$A$204,MATCH(159,'كشف الحساب'!$P$4:$P$204,0)),"")</f>
        <v/>
      </c>
      <c r="B164" s="128">
        <f>IFERROR(INDEX('كشف الحساب'!$B$4:$B$204,MATCH(159,'كشف الحساب'!$P$4:$P$204,0)),"")</f>
        <v/>
      </c>
      <c r="C164" s="127">
        <f>IFERROR(INDEX('كشف الحساب'!$C$4:$C$204,MATCH(159,'كشف الحساب'!$P$4:$P$204,0)),"")</f>
        <v/>
      </c>
      <c r="D164" s="129">
        <f>IFERROR(INDEX('كشف الحساب'!$E$4:$E$204,MATCH(159,'كشف الحساب'!$P$4:$P$204,0)),"")</f>
        <v/>
      </c>
      <c r="E164" s="130">
        <f>IFERROR(INDEX('كشف الحساب'!$D$4:$D$204,MATCH(159,'كشف الحساب'!$P$4:$P$204,0)),"")</f>
        <v/>
      </c>
      <c r="F164" s="131">
        <f>IF($A164="","",IF($F163="",0,$F163)+IF($D164="",0,$D164)-IF($E164="",0,$E164))</f>
        <v/>
      </c>
    </row>
    <row r="165" ht="18" customHeight="1" s="165">
      <c r="A165" s="179">
        <f>IFERROR(INDEX('كشف الحساب'!$A$4:$A$204,MATCH(160,'كشف الحساب'!$P$4:$P$204,0)),"")</f>
        <v/>
      </c>
      <c r="B165" s="128">
        <f>IFERROR(INDEX('كشف الحساب'!$B$4:$B$204,MATCH(160,'كشف الحساب'!$P$4:$P$204,0)),"")</f>
        <v/>
      </c>
      <c r="C165" s="127">
        <f>IFERROR(INDEX('كشف الحساب'!$C$4:$C$204,MATCH(160,'كشف الحساب'!$P$4:$P$204,0)),"")</f>
        <v/>
      </c>
      <c r="D165" s="129">
        <f>IFERROR(INDEX('كشف الحساب'!$E$4:$E$204,MATCH(160,'كشف الحساب'!$P$4:$P$204,0)),"")</f>
        <v/>
      </c>
      <c r="E165" s="130">
        <f>IFERROR(INDEX('كشف الحساب'!$D$4:$D$204,MATCH(160,'كشف الحساب'!$P$4:$P$204,0)),"")</f>
        <v/>
      </c>
      <c r="F165" s="131">
        <f>IF($A165="","",IF($F164="",0,$F164)+IF($D165="",0,$D165)-IF($E165="",0,$E165))</f>
        <v/>
      </c>
    </row>
    <row r="166" ht="18" customHeight="1" s="165">
      <c r="A166" s="179">
        <f>IFERROR(INDEX('كشف الحساب'!$A$4:$A$204,MATCH(161,'كشف الحساب'!$P$4:$P$204,0)),"")</f>
        <v/>
      </c>
      <c r="B166" s="128">
        <f>IFERROR(INDEX('كشف الحساب'!$B$4:$B$204,MATCH(161,'كشف الحساب'!$P$4:$P$204,0)),"")</f>
        <v/>
      </c>
      <c r="C166" s="127">
        <f>IFERROR(INDEX('كشف الحساب'!$C$4:$C$204,MATCH(161,'كشف الحساب'!$P$4:$P$204,0)),"")</f>
        <v/>
      </c>
      <c r="D166" s="129">
        <f>IFERROR(INDEX('كشف الحساب'!$E$4:$E$204,MATCH(161,'كشف الحساب'!$P$4:$P$204,0)),"")</f>
        <v/>
      </c>
      <c r="E166" s="130">
        <f>IFERROR(INDEX('كشف الحساب'!$D$4:$D$204,MATCH(161,'كشف الحساب'!$P$4:$P$204,0)),"")</f>
        <v/>
      </c>
      <c r="F166" s="131">
        <f>IF($A166="","",IF($F165="",0,$F165)+IF($D166="",0,$D166)-IF($E166="",0,$E166))</f>
        <v/>
      </c>
    </row>
    <row r="167" ht="18" customHeight="1" s="165">
      <c r="A167" s="179">
        <f>IFERROR(INDEX('كشف الحساب'!$A$4:$A$204,MATCH(162,'كشف الحساب'!$P$4:$P$204,0)),"")</f>
        <v/>
      </c>
      <c r="B167" s="128">
        <f>IFERROR(INDEX('كشف الحساب'!$B$4:$B$204,MATCH(162,'كشف الحساب'!$P$4:$P$204,0)),"")</f>
        <v/>
      </c>
      <c r="C167" s="127">
        <f>IFERROR(INDEX('كشف الحساب'!$C$4:$C$204,MATCH(162,'كشف الحساب'!$P$4:$P$204,0)),"")</f>
        <v/>
      </c>
      <c r="D167" s="129">
        <f>IFERROR(INDEX('كشف الحساب'!$E$4:$E$204,MATCH(162,'كشف الحساب'!$P$4:$P$204,0)),"")</f>
        <v/>
      </c>
      <c r="E167" s="130">
        <f>IFERROR(INDEX('كشف الحساب'!$D$4:$D$204,MATCH(162,'كشف الحساب'!$P$4:$P$204,0)),"")</f>
        <v/>
      </c>
      <c r="F167" s="131">
        <f>IF($A167="","",IF($F166="",0,$F166)+IF($D167="",0,$D167)-IF($E167="",0,$E167))</f>
        <v/>
      </c>
    </row>
    <row r="168" ht="18" customHeight="1" s="165">
      <c r="A168" s="179">
        <f>IFERROR(INDEX('كشف الحساب'!$A$4:$A$204,MATCH(163,'كشف الحساب'!$P$4:$P$204,0)),"")</f>
        <v/>
      </c>
      <c r="B168" s="128">
        <f>IFERROR(INDEX('كشف الحساب'!$B$4:$B$204,MATCH(163,'كشف الحساب'!$P$4:$P$204,0)),"")</f>
        <v/>
      </c>
      <c r="C168" s="127">
        <f>IFERROR(INDEX('كشف الحساب'!$C$4:$C$204,MATCH(163,'كشف الحساب'!$P$4:$P$204,0)),"")</f>
        <v/>
      </c>
      <c r="D168" s="129">
        <f>IFERROR(INDEX('كشف الحساب'!$E$4:$E$204,MATCH(163,'كشف الحساب'!$P$4:$P$204,0)),"")</f>
        <v/>
      </c>
      <c r="E168" s="130">
        <f>IFERROR(INDEX('كشف الحساب'!$D$4:$D$204,MATCH(163,'كشف الحساب'!$P$4:$P$204,0)),"")</f>
        <v/>
      </c>
      <c r="F168" s="131">
        <f>IF($A168="","",IF($F167="",0,$F167)+IF($D168="",0,$D168)-IF($E168="",0,$E168))</f>
        <v/>
      </c>
    </row>
    <row r="169" ht="18" customHeight="1" s="165">
      <c r="A169" s="179">
        <f>IFERROR(INDEX('كشف الحساب'!$A$4:$A$204,MATCH(164,'كشف الحساب'!$P$4:$P$204,0)),"")</f>
        <v/>
      </c>
      <c r="B169" s="128">
        <f>IFERROR(INDEX('كشف الحساب'!$B$4:$B$204,MATCH(164,'كشف الحساب'!$P$4:$P$204,0)),"")</f>
        <v/>
      </c>
      <c r="C169" s="127">
        <f>IFERROR(INDEX('كشف الحساب'!$C$4:$C$204,MATCH(164,'كشف الحساب'!$P$4:$P$204,0)),"")</f>
        <v/>
      </c>
      <c r="D169" s="129">
        <f>IFERROR(INDEX('كشف الحساب'!$E$4:$E$204,MATCH(164,'كشف الحساب'!$P$4:$P$204,0)),"")</f>
        <v/>
      </c>
      <c r="E169" s="130">
        <f>IFERROR(INDEX('كشف الحساب'!$D$4:$D$204,MATCH(164,'كشف الحساب'!$P$4:$P$204,0)),"")</f>
        <v/>
      </c>
      <c r="F169" s="131">
        <f>IF($A169="","",IF($F168="",0,$F168)+IF($D169="",0,$D169)-IF($E169="",0,$E169))</f>
        <v/>
      </c>
    </row>
    <row r="170" ht="18" customHeight="1" s="165">
      <c r="A170" s="179">
        <f>IFERROR(INDEX('كشف الحساب'!$A$4:$A$204,MATCH(165,'كشف الحساب'!$P$4:$P$204,0)),"")</f>
        <v/>
      </c>
      <c r="B170" s="128">
        <f>IFERROR(INDEX('كشف الحساب'!$B$4:$B$204,MATCH(165,'كشف الحساب'!$P$4:$P$204,0)),"")</f>
        <v/>
      </c>
      <c r="C170" s="127">
        <f>IFERROR(INDEX('كشف الحساب'!$C$4:$C$204,MATCH(165,'كشف الحساب'!$P$4:$P$204,0)),"")</f>
        <v/>
      </c>
      <c r="D170" s="129">
        <f>IFERROR(INDEX('كشف الحساب'!$E$4:$E$204,MATCH(165,'كشف الحساب'!$P$4:$P$204,0)),"")</f>
        <v/>
      </c>
      <c r="E170" s="130">
        <f>IFERROR(INDEX('كشف الحساب'!$D$4:$D$204,MATCH(165,'كشف الحساب'!$P$4:$P$204,0)),"")</f>
        <v/>
      </c>
      <c r="F170" s="131">
        <f>IF($A170="","",IF($F169="",0,$F169)+IF($D170="",0,$D170)-IF($E170="",0,$E170))</f>
        <v/>
      </c>
    </row>
    <row r="171" ht="18" customHeight="1" s="165">
      <c r="A171" s="179">
        <f>IFERROR(INDEX('كشف الحساب'!$A$4:$A$204,MATCH(166,'كشف الحساب'!$P$4:$P$204,0)),"")</f>
        <v/>
      </c>
      <c r="B171" s="128">
        <f>IFERROR(INDEX('كشف الحساب'!$B$4:$B$204,MATCH(166,'كشف الحساب'!$P$4:$P$204,0)),"")</f>
        <v/>
      </c>
      <c r="C171" s="127">
        <f>IFERROR(INDEX('كشف الحساب'!$C$4:$C$204,MATCH(166,'كشف الحساب'!$P$4:$P$204,0)),"")</f>
        <v/>
      </c>
      <c r="D171" s="129">
        <f>IFERROR(INDEX('كشف الحساب'!$E$4:$E$204,MATCH(166,'كشف الحساب'!$P$4:$P$204,0)),"")</f>
        <v/>
      </c>
      <c r="E171" s="130">
        <f>IFERROR(INDEX('كشف الحساب'!$D$4:$D$204,MATCH(166,'كشف الحساب'!$P$4:$P$204,0)),"")</f>
        <v/>
      </c>
      <c r="F171" s="131">
        <f>IF($A171="","",IF($F170="",0,$F170)+IF($D171="",0,$D171)-IF($E171="",0,$E171))</f>
        <v/>
      </c>
    </row>
    <row r="172" ht="18" customHeight="1" s="165">
      <c r="A172" s="179">
        <f>IFERROR(INDEX('كشف الحساب'!$A$4:$A$204,MATCH(167,'كشف الحساب'!$P$4:$P$204,0)),"")</f>
        <v/>
      </c>
      <c r="B172" s="128">
        <f>IFERROR(INDEX('كشف الحساب'!$B$4:$B$204,MATCH(167,'كشف الحساب'!$P$4:$P$204,0)),"")</f>
        <v/>
      </c>
      <c r="C172" s="127">
        <f>IFERROR(INDEX('كشف الحساب'!$C$4:$C$204,MATCH(167,'كشف الحساب'!$P$4:$P$204,0)),"")</f>
        <v/>
      </c>
      <c r="D172" s="129">
        <f>IFERROR(INDEX('كشف الحساب'!$E$4:$E$204,MATCH(167,'كشف الحساب'!$P$4:$P$204,0)),"")</f>
        <v/>
      </c>
      <c r="E172" s="130">
        <f>IFERROR(INDEX('كشف الحساب'!$D$4:$D$204,MATCH(167,'كشف الحساب'!$P$4:$P$204,0)),"")</f>
        <v/>
      </c>
      <c r="F172" s="131">
        <f>IF($A172="","",IF($F171="",0,$F171)+IF($D172="",0,$D172)-IF($E172="",0,$E172))</f>
        <v/>
      </c>
    </row>
    <row r="173" ht="18" customHeight="1" s="165">
      <c r="A173" s="179">
        <f>IFERROR(INDEX('كشف الحساب'!$A$4:$A$204,MATCH(168,'كشف الحساب'!$P$4:$P$204,0)),"")</f>
        <v/>
      </c>
      <c r="B173" s="128">
        <f>IFERROR(INDEX('كشف الحساب'!$B$4:$B$204,MATCH(168,'كشف الحساب'!$P$4:$P$204,0)),"")</f>
        <v/>
      </c>
      <c r="C173" s="127">
        <f>IFERROR(INDEX('كشف الحساب'!$C$4:$C$204,MATCH(168,'كشف الحساب'!$P$4:$P$204,0)),"")</f>
        <v/>
      </c>
      <c r="D173" s="129">
        <f>IFERROR(INDEX('كشف الحساب'!$E$4:$E$204,MATCH(168,'كشف الحساب'!$P$4:$P$204,0)),"")</f>
        <v/>
      </c>
      <c r="E173" s="130">
        <f>IFERROR(INDEX('كشف الحساب'!$D$4:$D$204,MATCH(168,'كشف الحساب'!$P$4:$P$204,0)),"")</f>
        <v/>
      </c>
      <c r="F173" s="131">
        <f>IF($A173="","",IF($F172="",0,$F172)+IF($D173="",0,$D173)-IF($E173="",0,$E173))</f>
        <v/>
      </c>
    </row>
    <row r="174" ht="18" customHeight="1" s="165">
      <c r="A174" s="179">
        <f>IFERROR(INDEX('كشف الحساب'!$A$4:$A$204,MATCH(169,'كشف الحساب'!$P$4:$P$204,0)),"")</f>
        <v/>
      </c>
      <c r="B174" s="128">
        <f>IFERROR(INDEX('كشف الحساب'!$B$4:$B$204,MATCH(169,'كشف الحساب'!$P$4:$P$204,0)),"")</f>
        <v/>
      </c>
      <c r="C174" s="127">
        <f>IFERROR(INDEX('كشف الحساب'!$C$4:$C$204,MATCH(169,'كشف الحساب'!$P$4:$P$204,0)),"")</f>
        <v/>
      </c>
      <c r="D174" s="129">
        <f>IFERROR(INDEX('كشف الحساب'!$E$4:$E$204,MATCH(169,'كشف الحساب'!$P$4:$P$204,0)),"")</f>
        <v/>
      </c>
      <c r="E174" s="130">
        <f>IFERROR(INDEX('كشف الحساب'!$D$4:$D$204,MATCH(169,'كشف الحساب'!$P$4:$P$204,0)),"")</f>
        <v/>
      </c>
      <c r="F174" s="131">
        <f>IF($A174="","",IF($F173="",0,$F173)+IF($D174="",0,$D174)-IF($E174="",0,$E174))</f>
        <v/>
      </c>
    </row>
    <row r="175" ht="18" customHeight="1" s="165">
      <c r="A175" s="179">
        <f>IFERROR(INDEX('كشف الحساب'!$A$4:$A$204,MATCH(170,'كشف الحساب'!$P$4:$P$204,0)),"")</f>
        <v/>
      </c>
      <c r="B175" s="128">
        <f>IFERROR(INDEX('كشف الحساب'!$B$4:$B$204,MATCH(170,'كشف الحساب'!$P$4:$P$204,0)),"")</f>
        <v/>
      </c>
      <c r="C175" s="127">
        <f>IFERROR(INDEX('كشف الحساب'!$C$4:$C$204,MATCH(170,'كشف الحساب'!$P$4:$P$204,0)),"")</f>
        <v/>
      </c>
      <c r="D175" s="129">
        <f>IFERROR(INDEX('كشف الحساب'!$E$4:$E$204,MATCH(170,'كشف الحساب'!$P$4:$P$204,0)),"")</f>
        <v/>
      </c>
      <c r="E175" s="130">
        <f>IFERROR(INDEX('كشف الحساب'!$D$4:$D$204,MATCH(170,'كشف الحساب'!$P$4:$P$204,0)),"")</f>
        <v/>
      </c>
      <c r="F175" s="131">
        <f>IF($A175="","",IF($F174="",0,$F174)+IF($D175="",0,$D175)-IF($E175="",0,$E175))</f>
        <v/>
      </c>
    </row>
    <row r="176" ht="18" customHeight="1" s="165">
      <c r="A176" s="179">
        <f>IFERROR(INDEX('كشف الحساب'!$A$4:$A$204,MATCH(171,'كشف الحساب'!$P$4:$P$204,0)),"")</f>
        <v/>
      </c>
      <c r="B176" s="128">
        <f>IFERROR(INDEX('كشف الحساب'!$B$4:$B$204,MATCH(171,'كشف الحساب'!$P$4:$P$204,0)),"")</f>
        <v/>
      </c>
      <c r="C176" s="127">
        <f>IFERROR(INDEX('كشف الحساب'!$C$4:$C$204,MATCH(171,'كشف الحساب'!$P$4:$P$204,0)),"")</f>
        <v/>
      </c>
      <c r="D176" s="129">
        <f>IFERROR(INDEX('كشف الحساب'!$E$4:$E$204,MATCH(171,'كشف الحساب'!$P$4:$P$204,0)),"")</f>
        <v/>
      </c>
      <c r="E176" s="130">
        <f>IFERROR(INDEX('كشف الحساب'!$D$4:$D$204,MATCH(171,'كشف الحساب'!$P$4:$P$204,0)),"")</f>
        <v/>
      </c>
      <c r="F176" s="131">
        <f>IF($A176="","",IF($F175="",0,$F175)+IF($D176="",0,$D176)-IF($E176="",0,$E176))</f>
        <v/>
      </c>
    </row>
    <row r="177" ht="18" customHeight="1" s="165">
      <c r="A177" s="179">
        <f>IFERROR(INDEX('كشف الحساب'!$A$4:$A$204,MATCH(172,'كشف الحساب'!$P$4:$P$204,0)),"")</f>
        <v/>
      </c>
      <c r="B177" s="128">
        <f>IFERROR(INDEX('كشف الحساب'!$B$4:$B$204,MATCH(172,'كشف الحساب'!$P$4:$P$204,0)),"")</f>
        <v/>
      </c>
      <c r="C177" s="127">
        <f>IFERROR(INDEX('كشف الحساب'!$C$4:$C$204,MATCH(172,'كشف الحساب'!$P$4:$P$204,0)),"")</f>
        <v/>
      </c>
      <c r="D177" s="129">
        <f>IFERROR(INDEX('كشف الحساب'!$E$4:$E$204,MATCH(172,'كشف الحساب'!$P$4:$P$204,0)),"")</f>
        <v/>
      </c>
      <c r="E177" s="130">
        <f>IFERROR(INDEX('كشف الحساب'!$D$4:$D$204,MATCH(172,'كشف الحساب'!$P$4:$P$204,0)),"")</f>
        <v/>
      </c>
      <c r="F177" s="131">
        <f>IF($A177="","",IF($F176="",0,$F176)+IF($D177="",0,$D177)-IF($E177="",0,$E177))</f>
        <v/>
      </c>
    </row>
    <row r="178" ht="18" customHeight="1" s="165">
      <c r="A178" s="179">
        <f>IFERROR(INDEX('كشف الحساب'!$A$4:$A$204,MATCH(173,'كشف الحساب'!$P$4:$P$204,0)),"")</f>
        <v/>
      </c>
      <c r="B178" s="128">
        <f>IFERROR(INDEX('كشف الحساب'!$B$4:$B$204,MATCH(173,'كشف الحساب'!$P$4:$P$204,0)),"")</f>
        <v/>
      </c>
      <c r="C178" s="127">
        <f>IFERROR(INDEX('كشف الحساب'!$C$4:$C$204,MATCH(173,'كشف الحساب'!$P$4:$P$204,0)),"")</f>
        <v/>
      </c>
      <c r="D178" s="129">
        <f>IFERROR(INDEX('كشف الحساب'!$E$4:$E$204,MATCH(173,'كشف الحساب'!$P$4:$P$204,0)),"")</f>
        <v/>
      </c>
      <c r="E178" s="130">
        <f>IFERROR(INDEX('كشف الحساب'!$D$4:$D$204,MATCH(173,'كشف الحساب'!$P$4:$P$204,0)),"")</f>
        <v/>
      </c>
      <c r="F178" s="131">
        <f>IF($A178="","",IF($F177="",0,$F177)+IF($D178="",0,$D178)-IF($E178="",0,$E178))</f>
        <v/>
      </c>
    </row>
    <row r="179" ht="18" customHeight="1" s="165">
      <c r="A179" s="179">
        <f>IFERROR(INDEX('كشف الحساب'!$A$4:$A$204,MATCH(174,'كشف الحساب'!$P$4:$P$204,0)),"")</f>
        <v/>
      </c>
      <c r="B179" s="128">
        <f>IFERROR(INDEX('كشف الحساب'!$B$4:$B$204,MATCH(174,'كشف الحساب'!$P$4:$P$204,0)),"")</f>
        <v/>
      </c>
      <c r="C179" s="127">
        <f>IFERROR(INDEX('كشف الحساب'!$C$4:$C$204,MATCH(174,'كشف الحساب'!$P$4:$P$204,0)),"")</f>
        <v/>
      </c>
      <c r="D179" s="129">
        <f>IFERROR(INDEX('كشف الحساب'!$E$4:$E$204,MATCH(174,'كشف الحساب'!$P$4:$P$204,0)),"")</f>
        <v/>
      </c>
      <c r="E179" s="130">
        <f>IFERROR(INDEX('كشف الحساب'!$D$4:$D$204,MATCH(174,'كشف الحساب'!$P$4:$P$204,0)),"")</f>
        <v/>
      </c>
      <c r="F179" s="131">
        <f>IF($A179="","",IF($F178="",0,$F178)+IF($D179="",0,$D179)-IF($E179="",0,$E179))</f>
        <v/>
      </c>
    </row>
    <row r="180" ht="18" customHeight="1" s="165">
      <c r="A180" s="179">
        <f>IFERROR(INDEX('كشف الحساب'!$A$4:$A$204,MATCH(175,'كشف الحساب'!$P$4:$P$204,0)),"")</f>
        <v/>
      </c>
      <c r="B180" s="128">
        <f>IFERROR(INDEX('كشف الحساب'!$B$4:$B$204,MATCH(175,'كشف الحساب'!$P$4:$P$204,0)),"")</f>
        <v/>
      </c>
      <c r="C180" s="127">
        <f>IFERROR(INDEX('كشف الحساب'!$C$4:$C$204,MATCH(175,'كشف الحساب'!$P$4:$P$204,0)),"")</f>
        <v/>
      </c>
      <c r="D180" s="129">
        <f>IFERROR(INDEX('كشف الحساب'!$E$4:$E$204,MATCH(175,'كشف الحساب'!$P$4:$P$204,0)),"")</f>
        <v/>
      </c>
      <c r="E180" s="130">
        <f>IFERROR(INDEX('كشف الحساب'!$D$4:$D$204,MATCH(175,'كشف الحساب'!$P$4:$P$204,0)),"")</f>
        <v/>
      </c>
      <c r="F180" s="131">
        <f>IF($A180="","",IF($F179="",0,$F179)+IF($D180="",0,$D180)-IF($E180="",0,$E180))</f>
        <v/>
      </c>
    </row>
    <row r="181" ht="18" customHeight="1" s="165">
      <c r="A181" s="179">
        <f>IFERROR(INDEX('كشف الحساب'!$A$4:$A$204,MATCH(176,'كشف الحساب'!$P$4:$P$204,0)),"")</f>
        <v/>
      </c>
      <c r="B181" s="128">
        <f>IFERROR(INDEX('كشف الحساب'!$B$4:$B$204,MATCH(176,'كشف الحساب'!$P$4:$P$204,0)),"")</f>
        <v/>
      </c>
      <c r="C181" s="127">
        <f>IFERROR(INDEX('كشف الحساب'!$C$4:$C$204,MATCH(176,'كشف الحساب'!$P$4:$P$204,0)),"")</f>
        <v/>
      </c>
      <c r="D181" s="129">
        <f>IFERROR(INDEX('كشف الحساب'!$E$4:$E$204,MATCH(176,'كشف الحساب'!$P$4:$P$204,0)),"")</f>
        <v/>
      </c>
      <c r="E181" s="130">
        <f>IFERROR(INDEX('كشف الحساب'!$D$4:$D$204,MATCH(176,'كشف الحساب'!$P$4:$P$204,0)),"")</f>
        <v/>
      </c>
      <c r="F181" s="131">
        <f>IF($A181="","",IF($F180="",0,$F180)+IF($D181="",0,$D181)-IF($E181="",0,$E181))</f>
        <v/>
      </c>
    </row>
    <row r="182" ht="18" customHeight="1" s="165">
      <c r="A182" s="179">
        <f>IFERROR(INDEX('كشف الحساب'!$A$4:$A$204,MATCH(177,'كشف الحساب'!$P$4:$P$204,0)),"")</f>
        <v/>
      </c>
      <c r="B182" s="128">
        <f>IFERROR(INDEX('كشف الحساب'!$B$4:$B$204,MATCH(177,'كشف الحساب'!$P$4:$P$204,0)),"")</f>
        <v/>
      </c>
      <c r="C182" s="127">
        <f>IFERROR(INDEX('كشف الحساب'!$C$4:$C$204,MATCH(177,'كشف الحساب'!$P$4:$P$204,0)),"")</f>
        <v/>
      </c>
      <c r="D182" s="129">
        <f>IFERROR(INDEX('كشف الحساب'!$E$4:$E$204,MATCH(177,'كشف الحساب'!$P$4:$P$204,0)),"")</f>
        <v/>
      </c>
      <c r="E182" s="130">
        <f>IFERROR(INDEX('كشف الحساب'!$D$4:$D$204,MATCH(177,'كشف الحساب'!$P$4:$P$204,0)),"")</f>
        <v/>
      </c>
      <c r="F182" s="131">
        <f>IF($A182="","",IF($F181="",0,$F181)+IF($D182="",0,$D182)-IF($E182="",0,$E182))</f>
        <v/>
      </c>
    </row>
    <row r="183" ht="18" customHeight="1" s="165">
      <c r="A183" s="179">
        <f>IFERROR(INDEX('كشف الحساب'!$A$4:$A$204,MATCH(178,'كشف الحساب'!$P$4:$P$204,0)),"")</f>
        <v/>
      </c>
      <c r="B183" s="128">
        <f>IFERROR(INDEX('كشف الحساب'!$B$4:$B$204,MATCH(178,'كشف الحساب'!$P$4:$P$204,0)),"")</f>
        <v/>
      </c>
      <c r="C183" s="127">
        <f>IFERROR(INDEX('كشف الحساب'!$C$4:$C$204,MATCH(178,'كشف الحساب'!$P$4:$P$204,0)),"")</f>
        <v/>
      </c>
      <c r="D183" s="129">
        <f>IFERROR(INDEX('كشف الحساب'!$E$4:$E$204,MATCH(178,'كشف الحساب'!$P$4:$P$204,0)),"")</f>
        <v/>
      </c>
      <c r="E183" s="130">
        <f>IFERROR(INDEX('كشف الحساب'!$D$4:$D$204,MATCH(178,'كشف الحساب'!$P$4:$P$204,0)),"")</f>
        <v/>
      </c>
      <c r="F183" s="131">
        <f>IF($A183="","",IF($F182="",0,$F182)+IF($D183="",0,$D183)-IF($E183="",0,$E183))</f>
        <v/>
      </c>
    </row>
    <row r="184" ht="18" customHeight="1" s="165">
      <c r="A184" s="179">
        <f>IFERROR(INDEX('كشف الحساب'!$A$4:$A$204,MATCH(179,'كشف الحساب'!$P$4:$P$204,0)),"")</f>
        <v/>
      </c>
      <c r="B184" s="128">
        <f>IFERROR(INDEX('كشف الحساب'!$B$4:$B$204,MATCH(179,'كشف الحساب'!$P$4:$P$204,0)),"")</f>
        <v/>
      </c>
      <c r="C184" s="127">
        <f>IFERROR(INDEX('كشف الحساب'!$C$4:$C$204,MATCH(179,'كشف الحساب'!$P$4:$P$204,0)),"")</f>
        <v/>
      </c>
      <c r="D184" s="129">
        <f>IFERROR(INDEX('كشف الحساب'!$E$4:$E$204,MATCH(179,'كشف الحساب'!$P$4:$P$204,0)),"")</f>
        <v/>
      </c>
      <c r="E184" s="130">
        <f>IFERROR(INDEX('كشف الحساب'!$D$4:$D$204,MATCH(179,'كشف الحساب'!$P$4:$P$204,0)),"")</f>
        <v/>
      </c>
      <c r="F184" s="131">
        <f>IF($A184="","",IF($F183="",0,$F183)+IF($D184="",0,$D184)-IF($E184="",0,$E184))</f>
        <v/>
      </c>
    </row>
    <row r="185" ht="18" customHeight="1" s="165">
      <c r="A185" s="179">
        <f>IFERROR(INDEX('كشف الحساب'!$A$4:$A$204,MATCH(180,'كشف الحساب'!$P$4:$P$204,0)),"")</f>
        <v/>
      </c>
      <c r="B185" s="128">
        <f>IFERROR(INDEX('كشف الحساب'!$B$4:$B$204,MATCH(180,'كشف الحساب'!$P$4:$P$204,0)),"")</f>
        <v/>
      </c>
      <c r="C185" s="127">
        <f>IFERROR(INDEX('كشف الحساب'!$C$4:$C$204,MATCH(180,'كشف الحساب'!$P$4:$P$204,0)),"")</f>
        <v/>
      </c>
      <c r="D185" s="129">
        <f>IFERROR(INDEX('كشف الحساب'!$E$4:$E$204,MATCH(180,'كشف الحساب'!$P$4:$P$204,0)),"")</f>
        <v/>
      </c>
      <c r="E185" s="130">
        <f>IFERROR(INDEX('كشف الحساب'!$D$4:$D$204,MATCH(180,'كشف الحساب'!$P$4:$P$204,0)),"")</f>
        <v/>
      </c>
      <c r="F185" s="131">
        <f>IF($A185="","",IF($F184="",0,$F184)+IF($D185="",0,$D185)-IF($E185="",0,$E185))</f>
        <v/>
      </c>
    </row>
    <row r="186" ht="18" customHeight="1" s="165">
      <c r="A186" s="179">
        <f>IFERROR(INDEX('كشف الحساب'!$A$4:$A$204,MATCH(181,'كشف الحساب'!$P$4:$P$204,0)),"")</f>
        <v/>
      </c>
      <c r="B186" s="128">
        <f>IFERROR(INDEX('كشف الحساب'!$B$4:$B$204,MATCH(181,'كشف الحساب'!$P$4:$P$204,0)),"")</f>
        <v/>
      </c>
      <c r="C186" s="127">
        <f>IFERROR(INDEX('كشف الحساب'!$C$4:$C$204,MATCH(181,'كشف الحساب'!$P$4:$P$204,0)),"")</f>
        <v/>
      </c>
      <c r="D186" s="129">
        <f>IFERROR(INDEX('كشف الحساب'!$E$4:$E$204,MATCH(181,'كشف الحساب'!$P$4:$P$204,0)),"")</f>
        <v/>
      </c>
      <c r="E186" s="130">
        <f>IFERROR(INDEX('كشف الحساب'!$D$4:$D$204,MATCH(181,'كشف الحساب'!$P$4:$P$204,0)),"")</f>
        <v/>
      </c>
      <c r="F186" s="131">
        <f>IF($A186="","",IF($F185="",0,$F185)+IF($D186="",0,$D186)-IF($E186="",0,$E186))</f>
        <v/>
      </c>
    </row>
    <row r="187" ht="18" customHeight="1" s="165">
      <c r="A187" s="179">
        <f>IFERROR(INDEX('كشف الحساب'!$A$4:$A$204,MATCH(182,'كشف الحساب'!$P$4:$P$204,0)),"")</f>
        <v/>
      </c>
      <c r="B187" s="128">
        <f>IFERROR(INDEX('كشف الحساب'!$B$4:$B$204,MATCH(182,'كشف الحساب'!$P$4:$P$204,0)),"")</f>
        <v/>
      </c>
      <c r="C187" s="127">
        <f>IFERROR(INDEX('كشف الحساب'!$C$4:$C$204,MATCH(182,'كشف الحساب'!$P$4:$P$204,0)),"")</f>
        <v/>
      </c>
      <c r="D187" s="129">
        <f>IFERROR(INDEX('كشف الحساب'!$E$4:$E$204,MATCH(182,'كشف الحساب'!$P$4:$P$204,0)),"")</f>
        <v/>
      </c>
      <c r="E187" s="130">
        <f>IFERROR(INDEX('كشف الحساب'!$D$4:$D$204,MATCH(182,'كشف الحساب'!$P$4:$P$204,0)),"")</f>
        <v/>
      </c>
      <c r="F187" s="131">
        <f>IF($A187="","",IF($F186="",0,$F186)+IF($D187="",0,$D187)-IF($E187="",0,$E187))</f>
        <v/>
      </c>
    </row>
    <row r="188" ht="18" customHeight="1" s="165">
      <c r="A188" s="179">
        <f>IFERROR(INDEX('كشف الحساب'!$A$4:$A$204,MATCH(183,'كشف الحساب'!$P$4:$P$204,0)),"")</f>
        <v/>
      </c>
      <c r="B188" s="128">
        <f>IFERROR(INDEX('كشف الحساب'!$B$4:$B$204,MATCH(183,'كشف الحساب'!$P$4:$P$204,0)),"")</f>
        <v/>
      </c>
      <c r="C188" s="127">
        <f>IFERROR(INDEX('كشف الحساب'!$C$4:$C$204,MATCH(183,'كشف الحساب'!$P$4:$P$204,0)),"")</f>
        <v/>
      </c>
      <c r="D188" s="129">
        <f>IFERROR(INDEX('كشف الحساب'!$E$4:$E$204,MATCH(183,'كشف الحساب'!$P$4:$P$204,0)),"")</f>
        <v/>
      </c>
      <c r="E188" s="130">
        <f>IFERROR(INDEX('كشف الحساب'!$D$4:$D$204,MATCH(183,'كشف الحساب'!$P$4:$P$204,0)),"")</f>
        <v/>
      </c>
      <c r="F188" s="131">
        <f>IF($A188="","",IF($F187="",0,$F187)+IF($D188="",0,$D188)-IF($E188="",0,$E188))</f>
        <v/>
      </c>
    </row>
    <row r="189" ht="18" customHeight="1" s="165">
      <c r="A189" s="179">
        <f>IFERROR(INDEX('كشف الحساب'!$A$4:$A$204,MATCH(184,'كشف الحساب'!$P$4:$P$204,0)),"")</f>
        <v/>
      </c>
      <c r="B189" s="128">
        <f>IFERROR(INDEX('كشف الحساب'!$B$4:$B$204,MATCH(184,'كشف الحساب'!$P$4:$P$204,0)),"")</f>
        <v/>
      </c>
      <c r="C189" s="127">
        <f>IFERROR(INDEX('كشف الحساب'!$C$4:$C$204,MATCH(184,'كشف الحساب'!$P$4:$P$204,0)),"")</f>
        <v/>
      </c>
      <c r="D189" s="129">
        <f>IFERROR(INDEX('كشف الحساب'!$E$4:$E$204,MATCH(184,'كشف الحساب'!$P$4:$P$204,0)),"")</f>
        <v/>
      </c>
      <c r="E189" s="130">
        <f>IFERROR(INDEX('كشف الحساب'!$D$4:$D$204,MATCH(184,'كشف الحساب'!$P$4:$P$204,0)),"")</f>
        <v/>
      </c>
      <c r="F189" s="131">
        <f>IF($A189="","",IF($F188="",0,$F188)+IF($D189="",0,$D189)-IF($E189="",0,$E189))</f>
        <v/>
      </c>
    </row>
    <row r="190" ht="18" customHeight="1" s="165">
      <c r="A190" s="179">
        <f>IFERROR(INDEX('كشف الحساب'!$A$4:$A$204,MATCH(185,'كشف الحساب'!$P$4:$P$204,0)),"")</f>
        <v/>
      </c>
      <c r="B190" s="128">
        <f>IFERROR(INDEX('كشف الحساب'!$B$4:$B$204,MATCH(185,'كشف الحساب'!$P$4:$P$204,0)),"")</f>
        <v/>
      </c>
      <c r="C190" s="127">
        <f>IFERROR(INDEX('كشف الحساب'!$C$4:$C$204,MATCH(185,'كشف الحساب'!$P$4:$P$204,0)),"")</f>
        <v/>
      </c>
      <c r="D190" s="129">
        <f>IFERROR(INDEX('كشف الحساب'!$E$4:$E$204,MATCH(185,'كشف الحساب'!$P$4:$P$204,0)),"")</f>
        <v/>
      </c>
      <c r="E190" s="130">
        <f>IFERROR(INDEX('كشف الحساب'!$D$4:$D$204,MATCH(185,'كشف الحساب'!$P$4:$P$204,0)),"")</f>
        <v/>
      </c>
      <c r="F190" s="131">
        <f>IF($A190="","",IF($F189="",0,$F189)+IF($D190="",0,$D190)-IF($E190="",0,$E190))</f>
        <v/>
      </c>
    </row>
    <row r="191" ht="18" customHeight="1" s="165">
      <c r="A191" s="179">
        <f>IFERROR(INDEX('كشف الحساب'!$A$4:$A$204,MATCH(186,'كشف الحساب'!$P$4:$P$204,0)),"")</f>
        <v/>
      </c>
      <c r="B191" s="128">
        <f>IFERROR(INDEX('كشف الحساب'!$B$4:$B$204,MATCH(186,'كشف الحساب'!$P$4:$P$204,0)),"")</f>
        <v/>
      </c>
      <c r="C191" s="127">
        <f>IFERROR(INDEX('كشف الحساب'!$C$4:$C$204,MATCH(186,'كشف الحساب'!$P$4:$P$204,0)),"")</f>
        <v/>
      </c>
      <c r="D191" s="129">
        <f>IFERROR(INDEX('كشف الحساب'!$E$4:$E$204,MATCH(186,'كشف الحساب'!$P$4:$P$204,0)),"")</f>
        <v/>
      </c>
      <c r="E191" s="130">
        <f>IFERROR(INDEX('كشف الحساب'!$D$4:$D$204,MATCH(186,'كشف الحساب'!$P$4:$P$204,0)),"")</f>
        <v/>
      </c>
      <c r="F191" s="131">
        <f>IF($A191="","",IF($F190="",0,$F190)+IF($D191="",0,$D191)-IF($E191="",0,$E191))</f>
        <v/>
      </c>
    </row>
    <row r="192" ht="18" customHeight="1" s="165">
      <c r="A192" s="179">
        <f>IFERROR(INDEX('كشف الحساب'!$A$4:$A$204,MATCH(187,'كشف الحساب'!$P$4:$P$204,0)),"")</f>
        <v/>
      </c>
      <c r="B192" s="128">
        <f>IFERROR(INDEX('كشف الحساب'!$B$4:$B$204,MATCH(187,'كشف الحساب'!$P$4:$P$204,0)),"")</f>
        <v/>
      </c>
      <c r="C192" s="127">
        <f>IFERROR(INDEX('كشف الحساب'!$C$4:$C$204,MATCH(187,'كشف الحساب'!$P$4:$P$204,0)),"")</f>
        <v/>
      </c>
      <c r="D192" s="129">
        <f>IFERROR(INDEX('كشف الحساب'!$E$4:$E$204,MATCH(187,'كشف الحساب'!$P$4:$P$204,0)),"")</f>
        <v/>
      </c>
      <c r="E192" s="130">
        <f>IFERROR(INDEX('كشف الحساب'!$D$4:$D$204,MATCH(187,'كشف الحساب'!$P$4:$P$204,0)),"")</f>
        <v/>
      </c>
      <c r="F192" s="131">
        <f>IF($A192="","",IF($F191="",0,$F191)+IF($D192="",0,$D192)-IF($E192="",0,$E192))</f>
        <v/>
      </c>
    </row>
    <row r="193" ht="18" customHeight="1" s="165">
      <c r="A193" s="179">
        <f>IFERROR(INDEX('كشف الحساب'!$A$4:$A$204,MATCH(188,'كشف الحساب'!$P$4:$P$204,0)),"")</f>
        <v/>
      </c>
      <c r="B193" s="128">
        <f>IFERROR(INDEX('كشف الحساب'!$B$4:$B$204,MATCH(188,'كشف الحساب'!$P$4:$P$204,0)),"")</f>
        <v/>
      </c>
      <c r="C193" s="127">
        <f>IFERROR(INDEX('كشف الحساب'!$C$4:$C$204,MATCH(188,'كشف الحساب'!$P$4:$P$204,0)),"")</f>
        <v/>
      </c>
      <c r="D193" s="129">
        <f>IFERROR(INDEX('كشف الحساب'!$E$4:$E$204,MATCH(188,'كشف الحساب'!$P$4:$P$204,0)),"")</f>
        <v/>
      </c>
      <c r="E193" s="130">
        <f>IFERROR(INDEX('كشف الحساب'!$D$4:$D$204,MATCH(188,'كشف الحساب'!$P$4:$P$204,0)),"")</f>
        <v/>
      </c>
      <c r="F193" s="131">
        <f>IF($A193="","",IF($F192="",0,$F192)+IF($D193="",0,$D193)-IF($E193="",0,$E193))</f>
        <v/>
      </c>
    </row>
    <row r="194" ht="18" customHeight="1" s="165">
      <c r="A194" s="179">
        <f>IFERROR(INDEX('كشف الحساب'!$A$4:$A$204,MATCH(189,'كشف الحساب'!$P$4:$P$204,0)),"")</f>
        <v/>
      </c>
      <c r="B194" s="128">
        <f>IFERROR(INDEX('كشف الحساب'!$B$4:$B$204,MATCH(189,'كشف الحساب'!$P$4:$P$204,0)),"")</f>
        <v/>
      </c>
      <c r="C194" s="127">
        <f>IFERROR(INDEX('كشف الحساب'!$C$4:$C$204,MATCH(189,'كشف الحساب'!$P$4:$P$204,0)),"")</f>
        <v/>
      </c>
      <c r="D194" s="129">
        <f>IFERROR(INDEX('كشف الحساب'!$E$4:$E$204,MATCH(189,'كشف الحساب'!$P$4:$P$204,0)),"")</f>
        <v/>
      </c>
      <c r="E194" s="130">
        <f>IFERROR(INDEX('كشف الحساب'!$D$4:$D$204,MATCH(189,'كشف الحساب'!$P$4:$P$204,0)),"")</f>
        <v/>
      </c>
      <c r="F194" s="131">
        <f>IF($A194="","",IF($F193="",0,$F193)+IF($D194="",0,$D194)-IF($E194="",0,$E194))</f>
        <v/>
      </c>
    </row>
    <row r="195" ht="18" customHeight="1" s="165">
      <c r="A195" s="179">
        <f>IFERROR(INDEX('كشف الحساب'!$A$4:$A$204,MATCH(190,'كشف الحساب'!$P$4:$P$204,0)),"")</f>
        <v/>
      </c>
      <c r="B195" s="128">
        <f>IFERROR(INDEX('كشف الحساب'!$B$4:$B$204,MATCH(190,'كشف الحساب'!$P$4:$P$204,0)),"")</f>
        <v/>
      </c>
      <c r="C195" s="127">
        <f>IFERROR(INDEX('كشف الحساب'!$C$4:$C$204,MATCH(190,'كشف الحساب'!$P$4:$P$204,0)),"")</f>
        <v/>
      </c>
      <c r="D195" s="129">
        <f>IFERROR(INDEX('كشف الحساب'!$E$4:$E$204,MATCH(190,'كشف الحساب'!$P$4:$P$204,0)),"")</f>
        <v/>
      </c>
      <c r="E195" s="130">
        <f>IFERROR(INDEX('كشف الحساب'!$D$4:$D$204,MATCH(190,'كشف الحساب'!$P$4:$P$204,0)),"")</f>
        <v/>
      </c>
      <c r="F195" s="131">
        <f>IF($A195="","",IF($F194="",0,$F194)+IF($D195="",0,$D195)-IF($E195="",0,$E195))</f>
        <v/>
      </c>
    </row>
    <row r="196" ht="18" customHeight="1" s="165">
      <c r="A196" s="179">
        <f>IFERROR(INDEX('كشف الحساب'!$A$4:$A$204,MATCH(191,'كشف الحساب'!$P$4:$P$204,0)),"")</f>
        <v/>
      </c>
      <c r="B196" s="128">
        <f>IFERROR(INDEX('كشف الحساب'!$B$4:$B$204,MATCH(191,'كشف الحساب'!$P$4:$P$204,0)),"")</f>
        <v/>
      </c>
      <c r="C196" s="127">
        <f>IFERROR(INDEX('كشف الحساب'!$C$4:$C$204,MATCH(191,'كشف الحساب'!$P$4:$P$204,0)),"")</f>
        <v/>
      </c>
      <c r="D196" s="129">
        <f>IFERROR(INDEX('كشف الحساب'!$E$4:$E$204,MATCH(191,'كشف الحساب'!$P$4:$P$204,0)),"")</f>
        <v/>
      </c>
      <c r="E196" s="130">
        <f>IFERROR(INDEX('كشف الحساب'!$D$4:$D$204,MATCH(191,'كشف الحساب'!$P$4:$P$204,0)),"")</f>
        <v/>
      </c>
      <c r="F196" s="131">
        <f>IF($A196="","",IF($F195="",0,$F195)+IF($D196="",0,$D196)-IF($E196="",0,$E196))</f>
        <v/>
      </c>
    </row>
    <row r="197" ht="18" customHeight="1" s="165">
      <c r="A197" s="179">
        <f>IFERROR(INDEX('كشف الحساب'!$A$4:$A$204,MATCH(192,'كشف الحساب'!$P$4:$P$204,0)),"")</f>
        <v/>
      </c>
      <c r="B197" s="128">
        <f>IFERROR(INDEX('كشف الحساب'!$B$4:$B$204,MATCH(192,'كشف الحساب'!$P$4:$P$204,0)),"")</f>
        <v/>
      </c>
      <c r="C197" s="127">
        <f>IFERROR(INDEX('كشف الحساب'!$C$4:$C$204,MATCH(192,'كشف الحساب'!$P$4:$P$204,0)),"")</f>
        <v/>
      </c>
      <c r="D197" s="129">
        <f>IFERROR(INDEX('كشف الحساب'!$E$4:$E$204,MATCH(192,'كشف الحساب'!$P$4:$P$204,0)),"")</f>
        <v/>
      </c>
      <c r="E197" s="130">
        <f>IFERROR(INDEX('كشف الحساب'!$D$4:$D$204,MATCH(192,'كشف الحساب'!$P$4:$P$204,0)),"")</f>
        <v/>
      </c>
      <c r="F197" s="131">
        <f>IF($A197="","",IF($F196="",0,$F196)+IF($D197="",0,$D197)-IF($E197="",0,$E197))</f>
        <v/>
      </c>
    </row>
    <row r="198" ht="18" customHeight="1" s="165">
      <c r="A198" s="179">
        <f>IFERROR(INDEX('كشف الحساب'!$A$4:$A$204,MATCH(193,'كشف الحساب'!$P$4:$P$204,0)),"")</f>
        <v/>
      </c>
      <c r="B198" s="128">
        <f>IFERROR(INDEX('كشف الحساب'!$B$4:$B$204,MATCH(193,'كشف الحساب'!$P$4:$P$204,0)),"")</f>
        <v/>
      </c>
      <c r="C198" s="127">
        <f>IFERROR(INDEX('كشف الحساب'!$C$4:$C$204,MATCH(193,'كشف الحساب'!$P$4:$P$204,0)),"")</f>
        <v/>
      </c>
      <c r="D198" s="129">
        <f>IFERROR(INDEX('كشف الحساب'!$E$4:$E$204,MATCH(193,'كشف الحساب'!$P$4:$P$204,0)),"")</f>
        <v/>
      </c>
      <c r="E198" s="130">
        <f>IFERROR(INDEX('كشف الحساب'!$D$4:$D$204,MATCH(193,'كشف الحساب'!$P$4:$P$204,0)),"")</f>
        <v/>
      </c>
      <c r="F198" s="131">
        <f>IF($A198="","",IF($F197="",0,$F197)+IF($D198="",0,$D198)-IF($E198="",0,$E198))</f>
        <v/>
      </c>
    </row>
    <row r="199" ht="18" customHeight="1" s="165">
      <c r="A199" s="179">
        <f>IFERROR(INDEX('كشف الحساب'!$A$4:$A$204,MATCH(194,'كشف الحساب'!$P$4:$P$204,0)),"")</f>
        <v/>
      </c>
      <c r="B199" s="128">
        <f>IFERROR(INDEX('كشف الحساب'!$B$4:$B$204,MATCH(194,'كشف الحساب'!$P$4:$P$204,0)),"")</f>
        <v/>
      </c>
      <c r="C199" s="127">
        <f>IFERROR(INDEX('كشف الحساب'!$C$4:$C$204,MATCH(194,'كشف الحساب'!$P$4:$P$204,0)),"")</f>
        <v/>
      </c>
      <c r="D199" s="129">
        <f>IFERROR(INDEX('كشف الحساب'!$E$4:$E$204,MATCH(194,'كشف الحساب'!$P$4:$P$204,0)),"")</f>
        <v/>
      </c>
      <c r="E199" s="130">
        <f>IFERROR(INDEX('كشف الحساب'!$D$4:$D$204,MATCH(194,'كشف الحساب'!$P$4:$P$204,0)),"")</f>
        <v/>
      </c>
      <c r="F199" s="131">
        <f>IF($A199="","",IF($F198="",0,$F198)+IF($D199="",0,$D199)-IF($E199="",0,$E199))</f>
        <v/>
      </c>
    </row>
    <row r="200" ht="18" customHeight="1" s="165">
      <c r="A200" s="179">
        <f>IFERROR(INDEX('كشف الحساب'!$A$4:$A$204,MATCH(195,'كشف الحساب'!$P$4:$P$204,0)),"")</f>
        <v/>
      </c>
      <c r="B200" s="128">
        <f>IFERROR(INDEX('كشف الحساب'!$B$4:$B$204,MATCH(195,'كشف الحساب'!$P$4:$P$204,0)),"")</f>
        <v/>
      </c>
      <c r="C200" s="127">
        <f>IFERROR(INDEX('كشف الحساب'!$C$4:$C$204,MATCH(195,'كشف الحساب'!$P$4:$P$204,0)),"")</f>
        <v/>
      </c>
      <c r="D200" s="129">
        <f>IFERROR(INDEX('كشف الحساب'!$E$4:$E$204,MATCH(195,'كشف الحساب'!$P$4:$P$204,0)),"")</f>
        <v/>
      </c>
      <c r="E200" s="130">
        <f>IFERROR(INDEX('كشف الحساب'!$D$4:$D$204,MATCH(195,'كشف الحساب'!$P$4:$P$204,0)),"")</f>
        <v/>
      </c>
      <c r="F200" s="131">
        <f>IF($A200="","",IF($F199="",0,$F199)+IF($D200="",0,$D200)-IF($E200="",0,$E200))</f>
        <v/>
      </c>
    </row>
    <row r="201" ht="18" customHeight="1" s="165">
      <c r="A201" s="179">
        <f>IFERROR(INDEX('كشف الحساب'!$A$4:$A$204,MATCH(196,'كشف الحساب'!$P$4:$P$204,0)),"")</f>
        <v/>
      </c>
      <c r="B201" s="128">
        <f>IFERROR(INDEX('كشف الحساب'!$B$4:$B$204,MATCH(196,'كشف الحساب'!$P$4:$P$204,0)),"")</f>
        <v/>
      </c>
      <c r="C201" s="127">
        <f>IFERROR(INDEX('كشف الحساب'!$C$4:$C$204,MATCH(196,'كشف الحساب'!$P$4:$P$204,0)),"")</f>
        <v/>
      </c>
      <c r="D201" s="129">
        <f>IFERROR(INDEX('كشف الحساب'!$E$4:$E$204,MATCH(196,'كشف الحساب'!$P$4:$P$204,0)),"")</f>
        <v/>
      </c>
      <c r="E201" s="130">
        <f>IFERROR(INDEX('كشف الحساب'!$D$4:$D$204,MATCH(196,'كشف الحساب'!$P$4:$P$204,0)),"")</f>
        <v/>
      </c>
      <c r="F201" s="131">
        <f>IF($A201="","",IF($F200="",0,$F200)+IF($D201="",0,$D201)-IF($E201="",0,$E201))</f>
        <v/>
      </c>
    </row>
    <row r="202" ht="18" customHeight="1" s="165">
      <c r="A202" s="179">
        <f>IFERROR(INDEX('كشف الحساب'!$A$4:$A$204,MATCH(197,'كشف الحساب'!$P$4:$P$204,0)),"")</f>
        <v/>
      </c>
      <c r="B202" s="128">
        <f>IFERROR(INDEX('كشف الحساب'!$B$4:$B$204,MATCH(197,'كشف الحساب'!$P$4:$P$204,0)),"")</f>
        <v/>
      </c>
      <c r="C202" s="127">
        <f>IFERROR(INDEX('كشف الحساب'!$C$4:$C$204,MATCH(197,'كشف الحساب'!$P$4:$P$204,0)),"")</f>
        <v/>
      </c>
      <c r="D202" s="129">
        <f>IFERROR(INDEX('كشف الحساب'!$E$4:$E$204,MATCH(197,'كشف الحساب'!$P$4:$P$204,0)),"")</f>
        <v/>
      </c>
      <c r="E202" s="130">
        <f>IFERROR(INDEX('كشف الحساب'!$D$4:$D$204,MATCH(197,'كشف الحساب'!$P$4:$P$204,0)),"")</f>
        <v/>
      </c>
      <c r="F202" s="131">
        <f>IF($A202="","",IF($F201="",0,$F201)+IF($D202="",0,$D202)-IF($E202="",0,$E202))</f>
        <v/>
      </c>
    </row>
    <row r="203" ht="18" customHeight="1" s="165">
      <c r="A203" s="179">
        <f>IFERROR(INDEX('كشف الحساب'!$A$4:$A$204,MATCH(198,'كشف الحساب'!$P$4:$P$204,0)),"")</f>
        <v/>
      </c>
      <c r="B203" s="128">
        <f>IFERROR(INDEX('كشف الحساب'!$B$4:$B$204,MATCH(198,'كشف الحساب'!$P$4:$P$204,0)),"")</f>
        <v/>
      </c>
      <c r="C203" s="127">
        <f>IFERROR(INDEX('كشف الحساب'!$C$4:$C$204,MATCH(198,'كشف الحساب'!$P$4:$P$204,0)),"")</f>
        <v/>
      </c>
      <c r="D203" s="129">
        <f>IFERROR(INDEX('كشف الحساب'!$E$4:$E$204,MATCH(198,'كشف الحساب'!$P$4:$P$204,0)),"")</f>
        <v/>
      </c>
      <c r="E203" s="130">
        <f>IFERROR(INDEX('كشف الحساب'!$D$4:$D$204,MATCH(198,'كشف الحساب'!$P$4:$P$204,0)),"")</f>
        <v/>
      </c>
      <c r="F203" s="131">
        <f>IF($A203="","",IF($F202="",0,$F202)+IF($D203="",0,$D203)-IF($E203="",0,$E203))</f>
        <v/>
      </c>
    </row>
    <row r="204" ht="18" customHeight="1" s="165">
      <c r="A204" s="179">
        <f>IFERROR(INDEX('كشف الحساب'!$A$4:$A$204,MATCH(199,'كشف الحساب'!$P$4:$P$204,0)),"")</f>
        <v/>
      </c>
      <c r="B204" s="128">
        <f>IFERROR(INDEX('كشف الحساب'!$B$4:$B$204,MATCH(199,'كشف الحساب'!$P$4:$P$204,0)),"")</f>
        <v/>
      </c>
      <c r="C204" s="127">
        <f>IFERROR(INDEX('كشف الحساب'!$C$4:$C$204,MATCH(199,'كشف الحساب'!$P$4:$P$204,0)),"")</f>
        <v/>
      </c>
      <c r="D204" s="129">
        <f>IFERROR(INDEX('كشف الحساب'!$E$4:$E$204,MATCH(199,'كشف الحساب'!$P$4:$P$204,0)),"")</f>
        <v/>
      </c>
      <c r="E204" s="130">
        <f>IFERROR(INDEX('كشف الحساب'!$D$4:$D$204,MATCH(199,'كشف الحساب'!$P$4:$P$204,0)),"")</f>
        <v/>
      </c>
      <c r="F204" s="131">
        <f>IF($A204="","",IF($F203="",0,$F203)+IF($D204="",0,$D204)-IF($E204="",0,$E204))</f>
        <v/>
      </c>
    </row>
    <row r="205" ht="18" customHeight="1" s="165">
      <c r="A205" s="179">
        <f>IFERROR(INDEX('كشف الحساب'!$A$4:$A$204,MATCH(200,'كشف الحساب'!$P$4:$P$204,0)),"")</f>
        <v/>
      </c>
      <c r="B205" s="128">
        <f>IFERROR(INDEX('كشف الحساب'!$B$4:$B$204,MATCH(200,'كشف الحساب'!$P$4:$P$204,0)),"")</f>
        <v/>
      </c>
      <c r="C205" s="127">
        <f>IFERROR(INDEX('كشف الحساب'!$C$4:$C$204,MATCH(200,'كشف الحساب'!$P$4:$P$204,0)),"")</f>
        <v/>
      </c>
      <c r="D205" s="129">
        <f>IFERROR(INDEX('كشف الحساب'!$E$4:$E$204,MATCH(200,'كشف الحساب'!$P$4:$P$204,0)),"")</f>
        <v/>
      </c>
      <c r="E205" s="130">
        <f>IFERROR(INDEX('كشف الحساب'!$D$4:$D$204,MATCH(200,'كشف الحساب'!$P$4:$P$204,0)),"")</f>
        <v/>
      </c>
      <c r="F205" s="131">
        <f>IF($A205="","",IF($F204="",0,$F204)+IF($D205="",0,$D205)-IF($E205="",0,$E205))</f>
        <v/>
      </c>
    </row>
    <row r="206" ht="18" customHeight="1" s="165">
      <c r="A206" s="137" t="n"/>
      <c r="B206" s="137" t="n"/>
      <c r="C206" s="138" t="inlineStr">
        <is>
          <t>الإجمالي</t>
        </is>
      </c>
      <c r="D206" s="139">
        <f>SUM(D6:D205)</f>
        <v/>
      </c>
      <c r="E206" s="140">
        <f>SUM(E6:E205)</f>
        <v/>
      </c>
      <c r="F206" s="141">
        <f>IFERROR(LOOKUP(2,1/($F$6:$F$205&lt;&gt;""),$F$6:$F$205),0)</f>
        <v/>
      </c>
    </row>
    <row r="207"/>
    <row r="208" ht="18" customHeight="1" s="165">
      <c r="A208" s="153" t="inlineStr">
        <is>
          <t>🔵  مصروفات الشركاء  —  مستحقة السداد للمزرعة</t>
        </is>
      </c>
      <c r="B208" s="154" t="n"/>
      <c r="C208" s="154" t="n"/>
      <c r="D208" s="154" t="n"/>
      <c r="E208" s="154" t="n"/>
      <c r="F208" s="155" t="n"/>
    </row>
    <row r="209" ht="18" customHeight="1" s="165">
      <c r="A209" s="142" t="inlineStr">
        <is>
          <t>التاريخ</t>
        </is>
      </c>
      <c r="B209" s="142" t="inlineStr">
        <is>
          <t>المرجع</t>
        </is>
      </c>
      <c r="C209" s="142" t="inlineStr">
        <is>
          <t>البيان / الوصف</t>
        </is>
      </c>
      <c r="D209" s="142" t="inlineStr">
        <is>
          <t>المبلغ (KD)</t>
        </is>
      </c>
      <c r="E209" s="142" t="inlineStr">
        <is>
          <t>الشريك</t>
        </is>
      </c>
      <c r="F209" s="142" t="n"/>
    </row>
    <row r="210" ht="18" customHeight="1" s="165">
      <c r="A210" s="180">
        <f>IFERROR(INDEX('كشف الحساب'!$A$4:$A$204,MATCH(1,'كشف الحساب'!$Q$4:$Q$204,0)),"")</f>
        <v/>
      </c>
      <c r="B210" s="144">
        <f>IFERROR(INDEX('كشف الحساب'!$B$4:$B$204,MATCH(1,'كشف الحساب'!$Q$4:$Q$204,0)),"")</f>
        <v/>
      </c>
      <c r="C210" s="143">
        <f>IFERROR(INDEX('كشف الحساب'!$C$4:$C$204,MATCH(1,'كشف الحساب'!$Q$4:$Q$204,0)),"")</f>
        <v/>
      </c>
      <c r="D210" s="145">
        <f>IFERROR(INDEX('كشف الحساب'!$D$4:$D$204,MATCH(1,'كشف الحساب'!$Q$4:$Q$204,0)),"")</f>
        <v/>
      </c>
      <c r="E210" s="146">
        <f>IFERROR(INDEX('كشف الحساب'!$G$4:$G$204,MATCH(1,'كشف الحساب'!$Q$4:$Q$204,0)),"")</f>
        <v/>
      </c>
      <c r="F210" s="143" t="n"/>
    </row>
    <row r="211" ht="18" customHeight="1" s="165">
      <c r="A211" s="180">
        <f>IFERROR(INDEX('كشف الحساب'!$A$4:$A$204,MATCH(2,'كشف الحساب'!$Q$4:$Q$204,0)),"")</f>
        <v/>
      </c>
      <c r="B211" s="144">
        <f>IFERROR(INDEX('كشف الحساب'!$B$4:$B$204,MATCH(2,'كشف الحساب'!$Q$4:$Q$204,0)),"")</f>
        <v/>
      </c>
      <c r="C211" s="143">
        <f>IFERROR(INDEX('كشف الحساب'!$C$4:$C$204,MATCH(2,'كشف الحساب'!$Q$4:$Q$204,0)),"")</f>
        <v/>
      </c>
      <c r="D211" s="145">
        <f>IFERROR(INDEX('كشف الحساب'!$D$4:$D$204,MATCH(2,'كشف الحساب'!$Q$4:$Q$204,0)),"")</f>
        <v/>
      </c>
      <c r="E211" s="146">
        <f>IFERROR(INDEX('كشف الحساب'!$G$4:$G$204,MATCH(2,'كشف الحساب'!$Q$4:$Q$204,0)),"")</f>
        <v/>
      </c>
      <c r="F211" s="143" t="n"/>
    </row>
    <row r="212" ht="18" customHeight="1" s="165">
      <c r="A212" s="180">
        <f>IFERROR(INDEX('كشف الحساب'!$A$4:$A$204,MATCH(3,'كشف الحساب'!$Q$4:$Q$204,0)),"")</f>
        <v/>
      </c>
      <c r="B212" s="144">
        <f>IFERROR(INDEX('كشف الحساب'!$B$4:$B$204,MATCH(3,'كشف الحساب'!$Q$4:$Q$204,0)),"")</f>
        <v/>
      </c>
      <c r="C212" s="143">
        <f>IFERROR(INDEX('كشف الحساب'!$C$4:$C$204,MATCH(3,'كشف الحساب'!$Q$4:$Q$204,0)),"")</f>
        <v/>
      </c>
      <c r="D212" s="145">
        <f>IFERROR(INDEX('كشف الحساب'!$D$4:$D$204,MATCH(3,'كشف الحساب'!$Q$4:$Q$204,0)),"")</f>
        <v/>
      </c>
      <c r="E212" s="146">
        <f>IFERROR(INDEX('كشف الحساب'!$G$4:$G$204,MATCH(3,'كشف الحساب'!$Q$4:$Q$204,0)),"")</f>
        <v/>
      </c>
      <c r="F212" s="143" t="n"/>
    </row>
    <row r="213" ht="18" customHeight="1" s="165">
      <c r="A213" s="180">
        <f>IFERROR(INDEX('كشف الحساب'!$A$4:$A$204,MATCH(4,'كشف الحساب'!$Q$4:$Q$204,0)),"")</f>
        <v/>
      </c>
      <c r="B213" s="144">
        <f>IFERROR(INDEX('كشف الحساب'!$B$4:$B$204,MATCH(4,'كشف الحساب'!$Q$4:$Q$204,0)),"")</f>
        <v/>
      </c>
      <c r="C213" s="143">
        <f>IFERROR(INDEX('كشف الحساب'!$C$4:$C$204,MATCH(4,'كشف الحساب'!$Q$4:$Q$204,0)),"")</f>
        <v/>
      </c>
      <c r="D213" s="145">
        <f>IFERROR(INDEX('كشف الحساب'!$D$4:$D$204,MATCH(4,'كشف الحساب'!$Q$4:$Q$204,0)),"")</f>
        <v/>
      </c>
      <c r="E213" s="146">
        <f>IFERROR(INDEX('كشف الحساب'!$G$4:$G$204,MATCH(4,'كشف الحساب'!$Q$4:$Q$204,0)),"")</f>
        <v/>
      </c>
      <c r="F213" s="143" t="n"/>
    </row>
    <row r="214" ht="18" customHeight="1" s="165">
      <c r="A214" s="180">
        <f>IFERROR(INDEX('كشف الحساب'!$A$4:$A$204,MATCH(5,'كشف الحساب'!$Q$4:$Q$204,0)),"")</f>
        <v/>
      </c>
      <c r="B214" s="144">
        <f>IFERROR(INDEX('كشف الحساب'!$B$4:$B$204,MATCH(5,'كشف الحساب'!$Q$4:$Q$204,0)),"")</f>
        <v/>
      </c>
      <c r="C214" s="143">
        <f>IFERROR(INDEX('كشف الحساب'!$C$4:$C$204,MATCH(5,'كشف الحساب'!$Q$4:$Q$204,0)),"")</f>
        <v/>
      </c>
      <c r="D214" s="145">
        <f>IFERROR(INDEX('كشف الحساب'!$D$4:$D$204,MATCH(5,'كشف الحساب'!$Q$4:$Q$204,0)),"")</f>
        <v/>
      </c>
      <c r="E214" s="146">
        <f>IFERROR(INDEX('كشف الحساب'!$G$4:$G$204,MATCH(5,'كشف الحساب'!$Q$4:$Q$204,0)),"")</f>
        <v/>
      </c>
      <c r="F214" s="143" t="n"/>
    </row>
    <row r="215" ht="18" customHeight="1" s="165">
      <c r="A215" s="180">
        <f>IFERROR(INDEX('كشف الحساب'!$A$4:$A$204,MATCH(6,'كشف الحساب'!$Q$4:$Q$204,0)),"")</f>
        <v/>
      </c>
      <c r="B215" s="144">
        <f>IFERROR(INDEX('كشف الحساب'!$B$4:$B$204,MATCH(6,'كشف الحساب'!$Q$4:$Q$204,0)),"")</f>
        <v/>
      </c>
      <c r="C215" s="143">
        <f>IFERROR(INDEX('كشف الحساب'!$C$4:$C$204,MATCH(6,'كشف الحساب'!$Q$4:$Q$204,0)),"")</f>
        <v/>
      </c>
      <c r="D215" s="145">
        <f>IFERROR(INDEX('كشف الحساب'!$D$4:$D$204,MATCH(6,'كشف الحساب'!$Q$4:$Q$204,0)),"")</f>
        <v/>
      </c>
      <c r="E215" s="146">
        <f>IFERROR(INDEX('كشف الحساب'!$G$4:$G$204,MATCH(6,'كشف الحساب'!$Q$4:$Q$204,0)),"")</f>
        <v/>
      </c>
      <c r="F215" s="143" t="n"/>
    </row>
    <row r="216" ht="18" customHeight="1" s="165">
      <c r="A216" s="180">
        <f>IFERROR(INDEX('كشف الحساب'!$A$4:$A$204,MATCH(7,'كشف الحساب'!$Q$4:$Q$204,0)),"")</f>
        <v/>
      </c>
      <c r="B216" s="144">
        <f>IFERROR(INDEX('كشف الحساب'!$B$4:$B$204,MATCH(7,'كشف الحساب'!$Q$4:$Q$204,0)),"")</f>
        <v/>
      </c>
      <c r="C216" s="143">
        <f>IFERROR(INDEX('كشف الحساب'!$C$4:$C$204,MATCH(7,'كشف الحساب'!$Q$4:$Q$204,0)),"")</f>
        <v/>
      </c>
      <c r="D216" s="145">
        <f>IFERROR(INDEX('كشف الحساب'!$D$4:$D$204,MATCH(7,'كشف الحساب'!$Q$4:$Q$204,0)),"")</f>
        <v/>
      </c>
      <c r="E216" s="146">
        <f>IFERROR(INDEX('كشف الحساب'!$G$4:$G$204,MATCH(7,'كشف الحساب'!$Q$4:$Q$204,0)),"")</f>
        <v/>
      </c>
      <c r="F216" s="143" t="n"/>
    </row>
    <row r="217" ht="18" customHeight="1" s="165">
      <c r="A217" s="180">
        <f>IFERROR(INDEX('كشف الحساب'!$A$4:$A$204,MATCH(8,'كشف الحساب'!$Q$4:$Q$204,0)),"")</f>
        <v/>
      </c>
      <c r="B217" s="144">
        <f>IFERROR(INDEX('كشف الحساب'!$B$4:$B$204,MATCH(8,'كشف الحساب'!$Q$4:$Q$204,0)),"")</f>
        <v/>
      </c>
      <c r="C217" s="143">
        <f>IFERROR(INDEX('كشف الحساب'!$C$4:$C$204,MATCH(8,'كشف الحساب'!$Q$4:$Q$204,0)),"")</f>
        <v/>
      </c>
      <c r="D217" s="145">
        <f>IFERROR(INDEX('كشف الحساب'!$D$4:$D$204,MATCH(8,'كشف الحساب'!$Q$4:$Q$204,0)),"")</f>
        <v/>
      </c>
      <c r="E217" s="146">
        <f>IFERROR(INDEX('كشف الحساب'!$G$4:$G$204,MATCH(8,'كشف الحساب'!$Q$4:$Q$204,0)),"")</f>
        <v/>
      </c>
      <c r="F217" s="143" t="n"/>
    </row>
    <row r="218" ht="18" customHeight="1" s="165">
      <c r="A218" s="180">
        <f>IFERROR(INDEX('كشف الحساب'!$A$4:$A$204,MATCH(9,'كشف الحساب'!$Q$4:$Q$204,0)),"")</f>
        <v/>
      </c>
      <c r="B218" s="144">
        <f>IFERROR(INDEX('كشف الحساب'!$B$4:$B$204,MATCH(9,'كشف الحساب'!$Q$4:$Q$204,0)),"")</f>
        <v/>
      </c>
      <c r="C218" s="143">
        <f>IFERROR(INDEX('كشف الحساب'!$C$4:$C$204,MATCH(9,'كشف الحساب'!$Q$4:$Q$204,0)),"")</f>
        <v/>
      </c>
      <c r="D218" s="145">
        <f>IFERROR(INDEX('كشف الحساب'!$D$4:$D$204,MATCH(9,'كشف الحساب'!$Q$4:$Q$204,0)),"")</f>
        <v/>
      </c>
      <c r="E218" s="146">
        <f>IFERROR(INDEX('كشف الحساب'!$G$4:$G$204,MATCH(9,'كشف الحساب'!$Q$4:$Q$204,0)),"")</f>
        <v/>
      </c>
      <c r="F218" s="143" t="n"/>
    </row>
    <row r="219" ht="18" customHeight="1" s="165">
      <c r="A219" s="180">
        <f>IFERROR(INDEX('كشف الحساب'!$A$4:$A$204,MATCH(10,'كشف الحساب'!$Q$4:$Q$204,0)),"")</f>
        <v/>
      </c>
      <c r="B219" s="144">
        <f>IFERROR(INDEX('كشف الحساب'!$B$4:$B$204,MATCH(10,'كشف الحساب'!$Q$4:$Q$204,0)),"")</f>
        <v/>
      </c>
      <c r="C219" s="143">
        <f>IFERROR(INDEX('كشف الحساب'!$C$4:$C$204,MATCH(10,'كشف الحساب'!$Q$4:$Q$204,0)),"")</f>
        <v/>
      </c>
      <c r="D219" s="145">
        <f>IFERROR(INDEX('كشف الحساب'!$D$4:$D$204,MATCH(10,'كشف الحساب'!$Q$4:$Q$204,0)),"")</f>
        <v/>
      </c>
      <c r="E219" s="146">
        <f>IFERROR(INDEX('كشف الحساب'!$G$4:$G$204,MATCH(10,'كشف الحساب'!$Q$4:$Q$204,0)),"")</f>
        <v/>
      </c>
      <c r="F219" s="143" t="n"/>
    </row>
    <row r="220" ht="18" customHeight="1" s="165">
      <c r="A220" s="180">
        <f>IFERROR(INDEX('كشف الحساب'!$A$4:$A$204,MATCH(11,'كشف الحساب'!$Q$4:$Q$204,0)),"")</f>
        <v/>
      </c>
      <c r="B220" s="144">
        <f>IFERROR(INDEX('كشف الحساب'!$B$4:$B$204,MATCH(11,'كشف الحساب'!$Q$4:$Q$204,0)),"")</f>
        <v/>
      </c>
      <c r="C220" s="143">
        <f>IFERROR(INDEX('كشف الحساب'!$C$4:$C$204,MATCH(11,'كشف الحساب'!$Q$4:$Q$204,0)),"")</f>
        <v/>
      </c>
      <c r="D220" s="145">
        <f>IFERROR(INDEX('كشف الحساب'!$D$4:$D$204,MATCH(11,'كشف الحساب'!$Q$4:$Q$204,0)),"")</f>
        <v/>
      </c>
      <c r="E220" s="146">
        <f>IFERROR(INDEX('كشف الحساب'!$G$4:$G$204,MATCH(11,'كشف الحساب'!$Q$4:$Q$204,0)),"")</f>
        <v/>
      </c>
      <c r="F220" s="143" t="n"/>
    </row>
    <row r="221" ht="18" customHeight="1" s="165">
      <c r="A221" s="180">
        <f>IFERROR(INDEX('كشف الحساب'!$A$4:$A$204,MATCH(12,'كشف الحساب'!$Q$4:$Q$204,0)),"")</f>
        <v/>
      </c>
      <c r="B221" s="144">
        <f>IFERROR(INDEX('كشف الحساب'!$B$4:$B$204,MATCH(12,'كشف الحساب'!$Q$4:$Q$204,0)),"")</f>
        <v/>
      </c>
      <c r="C221" s="143">
        <f>IFERROR(INDEX('كشف الحساب'!$C$4:$C$204,MATCH(12,'كشف الحساب'!$Q$4:$Q$204,0)),"")</f>
        <v/>
      </c>
      <c r="D221" s="145">
        <f>IFERROR(INDEX('كشف الحساب'!$D$4:$D$204,MATCH(12,'كشف الحساب'!$Q$4:$Q$204,0)),"")</f>
        <v/>
      </c>
      <c r="E221" s="146">
        <f>IFERROR(INDEX('كشف الحساب'!$G$4:$G$204,MATCH(12,'كشف الحساب'!$Q$4:$Q$204,0)),"")</f>
        <v/>
      </c>
      <c r="F221" s="143" t="n"/>
    </row>
    <row r="222" ht="18" customHeight="1" s="165">
      <c r="A222" s="180">
        <f>IFERROR(INDEX('كشف الحساب'!$A$4:$A$204,MATCH(13,'كشف الحساب'!$Q$4:$Q$204,0)),"")</f>
        <v/>
      </c>
      <c r="B222" s="144">
        <f>IFERROR(INDEX('كشف الحساب'!$B$4:$B$204,MATCH(13,'كشف الحساب'!$Q$4:$Q$204,0)),"")</f>
        <v/>
      </c>
      <c r="C222" s="143">
        <f>IFERROR(INDEX('كشف الحساب'!$C$4:$C$204,MATCH(13,'كشف الحساب'!$Q$4:$Q$204,0)),"")</f>
        <v/>
      </c>
      <c r="D222" s="145">
        <f>IFERROR(INDEX('كشف الحساب'!$D$4:$D$204,MATCH(13,'كشف الحساب'!$Q$4:$Q$204,0)),"")</f>
        <v/>
      </c>
      <c r="E222" s="146">
        <f>IFERROR(INDEX('كشف الحساب'!$G$4:$G$204,MATCH(13,'كشف الحساب'!$Q$4:$Q$204,0)),"")</f>
        <v/>
      </c>
      <c r="F222" s="143" t="n"/>
    </row>
    <row r="223" ht="18" customHeight="1" s="165">
      <c r="A223" s="180">
        <f>IFERROR(INDEX('كشف الحساب'!$A$4:$A$204,MATCH(14,'كشف الحساب'!$Q$4:$Q$204,0)),"")</f>
        <v/>
      </c>
      <c r="B223" s="144">
        <f>IFERROR(INDEX('كشف الحساب'!$B$4:$B$204,MATCH(14,'كشف الحساب'!$Q$4:$Q$204,0)),"")</f>
        <v/>
      </c>
      <c r="C223" s="143">
        <f>IFERROR(INDEX('كشف الحساب'!$C$4:$C$204,MATCH(14,'كشف الحساب'!$Q$4:$Q$204,0)),"")</f>
        <v/>
      </c>
      <c r="D223" s="145">
        <f>IFERROR(INDEX('كشف الحساب'!$D$4:$D$204,MATCH(14,'كشف الحساب'!$Q$4:$Q$204,0)),"")</f>
        <v/>
      </c>
      <c r="E223" s="146">
        <f>IFERROR(INDEX('كشف الحساب'!$G$4:$G$204,MATCH(14,'كشف الحساب'!$Q$4:$Q$204,0)),"")</f>
        <v/>
      </c>
      <c r="F223" s="143" t="n"/>
    </row>
    <row r="224" ht="18" customHeight="1" s="165">
      <c r="A224" s="180">
        <f>IFERROR(INDEX('كشف الحساب'!$A$4:$A$204,MATCH(15,'كشف الحساب'!$Q$4:$Q$204,0)),"")</f>
        <v/>
      </c>
      <c r="B224" s="144">
        <f>IFERROR(INDEX('كشف الحساب'!$B$4:$B$204,MATCH(15,'كشف الحساب'!$Q$4:$Q$204,0)),"")</f>
        <v/>
      </c>
      <c r="C224" s="143">
        <f>IFERROR(INDEX('كشف الحساب'!$C$4:$C$204,MATCH(15,'كشف الحساب'!$Q$4:$Q$204,0)),"")</f>
        <v/>
      </c>
      <c r="D224" s="145">
        <f>IFERROR(INDEX('كشف الحساب'!$D$4:$D$204,MATCH(15,'كشف الحساب'!$Q$4:$Q$204,0)),"")</f>
        <v/>
      </c>
      <c r="E224" s="146">
        <f>IFERROR(INDEX('كشف الحساب'!$G$4:$G$204,MATCH(15,'كشف الحساب'!$Q$4:$Q$204,0)),"")</f>
        <v/>
      </c>
      <c r="F224" s="143" t="n"/>
    </row>
    <row r="225" ht="18" customHeight="1" s="165">
      <c r="A225" s="180">
        <f>IFERROR(INDEX('كشف الحساب'!$A$4:$A$204,MATCH(16,'كشف الحساب'!$Q$4:$Q$204,0)),"")</f>
        <v/>
      </c>
      <c r="B225" s="144">
        <f>IFERROR(INDEX('كشف الحساب'!$B$4:$B$204,MATCH(16,'كشف الحساب'!$Q$4:$Q$204,0)),"")</f>
        <v/>
      </c>
      <c r="C225" s="143">
        <f>IFERROR(INDEX('كشف الحساب'!$C$4:$C$204,MATCH(16,'كشف الحساب'!$Q$4:$Q$204,0)),"")</f>
        <v/>
      </c>
      <c r="D225" s="145">
        <f>IFERROR(INDEX('كشف الحساب'!$D$4:$D$204,MATCH(16,'كشف الحساب'!$Q$4:$Q$204,0)),"")</f>
        <v/>
      </c>
      <c r="E225" s="146">
        <f>IFERROR(INDEX('كشف الحساب'!$G$4:$G$204,MATCH(16,'كشف الحساب'!$Q$4:$Q$204,0)),"")</f>
        <v/>
      </c>
      <c r="F225" s="143" t="n"/>
    </row>
    <row r="226" ht="18" customHeight="1" s="165">
      <c r="A226" s="180">
        <f>IFERROR(INDEX('كشف الحساب'!$A$4:$A$204,MATCH(17,'كشف الحساب'!$Q$4:$Q$204,0)),"")</f>
        <v/>
      </c>
      <c r="B226" s="144">
        <f>IFERROR(INDEX('كشف الحساب'!$B$4:$B$204,MATCH(17,'كشف الحساب'!$Q$4:$Q$204,0)),"")</f>
        <v/>
      </c>
      <c r="C226" s="143">
        <f>IFERROR(INDEX('كشف الحساب'!$C$4:$C$204,MATCH(17,'كشف الحساب'!$Q$4:$Q$204,0)),"")</f>
        <v/>
      </c>
      <c r="D226" s="145">
        <f>IFERROR(INDEX('كشف الحساب'!$D$4:$D$204,MATCH(17,'كشف الحساب'!$Q$4:$Q$204,0)),"")</f>
        <v/>
      </c>
      <c r="E226" s="146">
        <f>IFERROR(INDEX('كشف الحساب'!$G$4:$G$204,MATCH(17,'كشف الحساب'!$Q$4:$Q$204,0)),"")</f>
        <v/>
      </c>
      <c r="F226" s="143" t="n"/>
    </row>
    <row r="227" ht="18" customHeight="1" s="165">
      <c r="A227" s="180">
        <f>IFERROR(INDEX('كشف الحساب'!$A$4:$A$204,MATCH(18,'كشف الحساب'!$Q$4:$Q$204,0)),"")</f>
        <v/>
      </c>
      <c r="B227" s="144">
        <f>IFERROR(INDEX('كشف الحساب'!$B$4:$B$204,MATCH(18,'كشف الحساب'!$Q$4:$Q$204,0)),"")</f>
        <v/>
      </c>
      <c r="C227" s="143">
        <f>IFERROR(INDEX('كشف الحساب'!$C$4:$C$204,MATCH(18,'كشف الحساب'!$Q$4:$Q$204,0)),"")</f>
        <v/>
      </c>
      <c r="D227" s="145">
        <f>IFERROR(INDEX('كشف الحساب'!$D$4:$D$204,MATCH(18,'كشف الحساب'!$Q$4:$Q$204,0)),"")</f>
        <v/>
      </c>
      <c r="E227" s="146">
        <f>IFERROR(INDEX('كشف الحساب'!$G$4:$G$204,MATCH(18,'كشف الحساب'!$Q$4:$Q$204,0)),"")</f>
        <v/>
      </c>
      <c r="F227" s="143" t="n"/>
    </row>
    <row r="228" ht="18" customHeight="1" s="165">
      <c r="A228" s="180">
        <f>IFERROR(INDEX('كشف الحساب'!$A$4:$A$204,MATCH(19,'كشف الحساب'!$Q$4:$Q$204,0)),"")</f>
        <v/>
      </c>
      <c r="B228" s="144">
        <f>IFERROR(INDEX('كشف الحساب'!$B$4:$B$204,MATCH(19,'كشف الحساب'!$Q$4:$Q$204,0)),"")</f>
        <v/>
      </c>
      <c r="C228" s="143">
        <f>IFERROR(INDEX('كشف الحساب'!$C$4:$C$204,MATCH(19,'كشف الحساب'!$Q$4:$Q$204,0)),"")</f>
        <v/>
      </c>
      <c r="D228" s="145">
        <f>IFERROR(INDEX('كشف الحساب'!$D$4:$D$204,MATCH(19,'كشف الحساب'!$Q$4:$Q$204,0)),"")</f>
        <v/>
      </c>
      <c r="E228" s="146">
        <f>IFERROR(INDEX('كشف الحساب'!$G$4:$G$204,MATCH(19,'كشف الحساب'!$Q$4:$Q$204,0)),"")</f>
        <v/>
      </c>
      <c r="F228" s="143" t="n"/>
    </row>
    <row r="229" ht="18" customHeight="1" s="165">
      <c r="A229" s="180">
        <f>IFERROR(INDEX('كشف الحساب'!$A$4:$A$204,MATCH(20,'كشف الحساب'!$Q$4:$Q$204,0)),"")</f>
        <v/>
      </c>
      <c r="B229" s="144">
        <f>IFERROR(INDEX('كشف الحساب'!$B$4:$B$204,MATCH(20,'كشف الحساب'!$Q$4:$Q$204,0)),"")</f>
        <v/>
      </c>
      <c r="C229" s="143">
        <f>IFERROR(INDEX('كشف الحساب'!$C$4:$C$204,MATCH(20,'كشف الحساب'!$Q$4:$Q$204,0)),"")</f>
        <v/>
      </c>
      <c r="D229" s="145">
        <f>IFERROR(INDEX('كشف الحساب'!$D$4:$D$204,MATCH(20,'كشف الحساب'!$Q$4:$Q$204,0)),"")</f>
        <v/>
      </c>
      <c r="E229" s="146">
        <f>IFERROR(INDEX('كشف الحساب'!$G$4:$G$204,MATCH(20,'كشف الحساب'!$Q$4:$Q$204,0)),"")</f>
        <v/>
      </c>
      <c r="F229" s="143" t="n"/>
    </row>
    <row r="230" ht="18" customHeight="1" s="165">
      <c r="A230" s="180">
        <f>IFERROR(INDEX('كشف الحساب'!$A$4:$A$204,MATCH(21,'كشف الحساب'!$Q$4:$Q$204,0)),"")</f>
        <v/>
      </c>
      <c r="B230" s="144">
        <f>IFERROR(INDEX('كشف الحساب'!$B$4:$B$204,MATCH(21,'كشف الحساب'!$Q$4:$Q$204,0)),"")</f>
        <v/>
      </c>
      <c r="C230" s="143">
        <f>IFERROR(INDEX('كشف الحساب'!$C$4:$C$204,MATCH(21,'كشف الحساب'!$Q$4:$Q$204,0)),"")</f>
        <v/>
      </c>
      <c r="D230" s="145">
        <f>IFERROR(INDEX('كشف الحساب'!$D$4:$D$204,MATCH(21,'كشف الحساب'!$Q$4:$Q$204,0)),"")</f>
        <v/>
      </c>
      <c r="E230" s="146">
        <f>IFERROR(INDEX('كشف الحساب'!$G$4:$G$204,MATCH(21,'كشف الحساب'!$Q$4:$Q$204,0)),"")</f>
        <v/>
      </c>
      <c r="F230" s="143" t="n"/>
    </row>
    <row r="231" ht="18" customHeight="1" s="165">
      <c r="A231" s="180">
        <f>IFERROR(INDEX('كشف الحساب'!$A$4:$A$204,MATCH(22,'كشف الحساب'!$Q$4:$Q$204,0)),"")</f>
        <v/>
      </c>
      <c r="B231" s="144">
        <f>IFERROR(INDEX('كشف الحساب'!$B$4:$B$204,MATCH(22,'كشف الحساب'!$Q$4:$Q$204,0)),"")</f>
        <v/>
      </c>
      <c r="C231" s="143">
        <f>IFERROR(INDEX('كشف الحساب'!$C$4:$C$204,MATCH(22,'كشف الحساب'!$Q$4:$Q$204,0)),"")</f>
        <v/>
      </c>
      <c r="D231" s="145">
        <f>IFERROR(INDEX('كشف الحساب'!$D$4:$D$204,MATCH(22,'كشف الحساب'!$Q$4:$Q$204,0)),"")</f>
        <v/>
      </c>
      <c r="E231" s="146">
        <f>IFERROR(INDEX('كشف الحساب'!$G$4:$G$204,MATCH(22,'كشف الحساب'!$Q$4:$Q$204,0)),"")</f>
        <v/>
      </c>
      <c r="F231" s="143" t="n"/>
    </row>
    <row r="232" ht="18" customHeight="1" s="165">
      <c r="A232" s="180">
        <f>IFERROR(INDEX('كشف الحساب'!$A$4:$A$204,MATCH(23,'كشف الحساب'!$Q$4:$Q$204,0)),"")</f>
        <v/>
      </c>
      <c r="B232" s="144">
        <f>IFERROR(INDEX('كشف الحساب'!$B$4:$B$204,MATCH(23,'كشف الحساب'!$Q$4:$Q$204,0)),"")</f>
        <v/>
      </c>
      <c r="C232" s="143">
        <f>IFERROR(INDEX('كشف الحساب'!$C$4:$C$204,MATCH(23,'كشف الحساب'!$Q$4:$Q$204,0)),"")</f>
        <v/>
      </c>
      <c r="D232" s="145">
        <f>IFERROR(INDEX('كشف الحساب'!$D$4:$D$204,MATCH(23,'كشف الحساب'!$Q$4:$Q$204,0)),"")</f>
        <v/>
      </c>
      <c r="E232" s="146">
        <f>IFERROR(INDEX('كشف الحساب'!$G$4:$G$204,MATCH(23,'كشف الحساب'!$Q$4:$Q$204,0)),"")</f>
        <v/>
      </c>
      <c r="F232" s="143" t="n"/>
    </row>
    <row r="233" ht="18" customHeight="1" s="165">
      <c r="A233" s="180">
        <f>IFERROR(INDEX('كشف الحساب'!$A$4:$A$204,MATCH(24,'كشف الحساب'!$Q$4:$Q$204,0)),"")</f>
        <v/>
      </c>
      <c r="B233" s="144">
        <f>IFERROR(INDEX('كشف الحساب'!$B$4:$B$204,MATCH(24,'كشف الحساب'!$Q$4:$Q$204,0)),"")</f>
        <v/>
      </c>
      <c r="C233" s="143">
        <f>IFERROR(INDEX('كشف الحساب'!$C$4:$C$204,MATCH(24,'كشف الحساب'!$Q$4:$Q$204,0)),"")</f>
        <v/>
      </c>
      <c r="D233" s="145">
        <f>IFERROR(INDEX('كشف الحساب'!$D$4:$D$204,MATCH(24,'كشف الحساب'!$Q$4:$Q$204,0)),"")</f>
        <v/>
      </c>
      <c r="E233" s="146">
        <f>IFERROR(INDEX('كشف الحساب'!$G$4:$G$204,MATCH(24,'كشف الحساب'!$Q$4:$Q$204,0)),"")</f>
        <v/>
      </c>
      <c r="F233" s="143" t="n"/>
    </row>
    <row r="234" ht="18" customHeight="1" s="165">
      <c r="A234" s="180">
        <f>IFERROR(INDEX('كشف الحساب'!$A$4:$A$204,MATCH(25,'كشف الحساب'!$Q$4:$Q$204,0)),"")</f>
        <v/>
      </c>
      <c r="B234" s="144">
        <f>IFERROR(INDEX('كشف الحساب'!$B$4:$B$204,MATCH(25,'كشف الحساب'!$Q$4:$Q$204,0)),"")</f>
        <v/>
      </c>
      <c r="C234" s="143">
        <f>IFERROR(INDEX('كشف الحساب'!$C$4:$C$204,MATCH(25,'كشف الحساب'!$Q$4:$Q$204,0)),"")</f>
        <v/>
      </c>
      <c r="D234" s="145">
        <f>IFERROR(INDEX('كشف الحساب'!$D$4:$D$204,MATCH(25,'كشف الحساب'!$Q$4:$Q$204,0)),"")</f>
        <v/>
      </c>
      <c r="E234" s="146">
        <f>IFERROR(INDEX('كشف الحساب'!$G$4:$G$204,MATCH(25,'كشف الحساب'!$Q$4:$Q$204,0)),"")</f>
        <v/>
      </c>
      <c r="F234" s="143" t="n"/>
    </row>
    <row r="235" ht="18" customHeight="1" s="165">
      <c r="A235" s="180">
        <f>IFERROR(INDEX('كشف الحساب'!$A$4:$A$204,MATCH(26,'كشف الحساب'!$Q$4:$Q$204,0)),"")</f>
        <v/>
      </c>
      <c r="B235" s="144">
        <f>IFERROR(INDEX('كشف الحساب'!$B$4:$B$204,MATCH(26,'كشف الحساب'!$Q$4:$Q$204,0)),"")</f>
        <v/>
      </c>
      <c r="C235" s="143">
        <f>IFERROR(INDEX('كشف الحساب'!$C$4:$C$204,MATCH(26,'كشف الحساب'!$Q$4:$Q$204,0)),"")</f>
        <v/>
      </c>
      <c r="D235" s="145">
        <f>IFERROR(INDEX('كشف الحساب'!$D$4:$D$204,MATCH(26,'كشف الحساب'!$Q$4:$Q$204,0)),"")</f>
        <v/>
      </c>
      <c r="E235" s="146">
        <f>IFERROR(INDEX('كشف الحساب'!$G$4:$G$204,MATCH(26,'كشف الحساب'!$Q$4:$Q$204,0)),"")</f>
        <v/>
      </c>
      <c r="F235" s="143" t="n"/>
    </row>
    <row r="236" ht="18" customHeight="1" s="165">
      <c r="A236" s="180">
        <f>IFERROR(INDEX('كشف الحساب'!$A$4:$A$204,MATCH(27,'كشف الحساب'!$Q$4:$Q$204,0)),"")</f>
        <v/>
      </c>
      <c r="B236" s="144">
        <f>IFERROR(INDEX('كشف الحساب'!$B$4:$B$204,MATCH(27,'كشف الحساب'!$Q$4:$Q$204,0)),"")</f>
        <v/>
      </c>
      <c r="C236" s="143">
        <f>IFERROR(INDEX('كشف الحساب'!$C$4:$C$204,MATCH(27,'كشف الحساب'!$Q$4:$Q$204,0)),"")</f>
        <v/>
      </c>
      <c r="D236" s="145">
        <f>IFERROR(INDEX('كشف الحساب'!$D$4:$D$204,MATCH(27,'كشف الحساب'!$Q$4:$Q$204,0)),"")</f>
        <v/>
      </c>
      <c r="E236" s="146">
        <f>IFERROR(INDEX('كشف الحساب'!$G$4:$G$204,MATCH(27,'كشف الحساب'!$Q$4:$Q$204,0)),"")</f>
        <v/>
      </c>
      <c r="F236" s="143" t="n"/>
    </row>
    <row r="237" ht="18" customHeight="1" s="165">
      <c r="A237" s="180">
        <f>IFERROR(INDEX('كشف الحساب'!$A$4:$A$204,MATCH(28,'كشف الحساب'!$Q$4:$Q$204,0)),"")</f>
        <v/>
      </c>
      <c r="B237" s="144">
        <f>IFERROR(INDEX('كشف الحساب'!$B$4:$B$204,MATCH(28,'كشف الحساب'!$Q$4:$Q$204,0)),"")</f>
        <v/>
      </c>
      <c r="C237" s="143">
        <f>IFERROR(INDEX('كشف الحساب'!$C$4:$C$204,MATCH(28,'كشف الحساب'!$Q$4:$Q$204,0)),"")</f>
        <v/>
      </c>
      <c r="D237" s="145">
        <f>IFERROR(INDEX('كشف الحساب'!$D$4:$D$204,MATCH(28,'كشف الحساب'!$Q$4:$Q$204,0)),"")</f>
        <v/>
      </c>
      <c r="E237" s="146">
        <f>IFERROR(INDEX('كشف الحساب'!$G$4:$G$204,MATCH(28,'كشف الحساب'!$Q$4:$Q$204,0)),"")</f>
        <v/>
      </c>
      <c r="F237" s="143" t="n"/>
    </row>
    <row r="238" ht="18" customHeight="1" s="165">
      <c r="A238" s="180">
        <f>IFERROR(INDEX('كشف الحساب'!$A$4:$A$204,MATCH(29,'كشف الحساب'!$Q$4:$Q$204,0)),"")</f>
        <v/>
      </c>
      <c r="B238" s="144">
        <f>IFERROR(INDEX('كشف الحساب'!$B$4:$B$204,MATCH(29,'كشف الحساب'!$Q$4:$Q$204,0)),"")</f>
        <v/>
      </c>
      <c r="C238" s="143">
        <f>IFERROR(INDEX('كشف الحساب'!$C$4:$C$204,MATCH(29,'كشف الحساب'!$Q$4:$Q$204,0)),"")</f>
        <v/>
      </c>
      <c r="D238" s="145">
        <f>IFERROR(INDEX('كشف الحساب'!$D$4:$D$204,MATCH(29,'كشف الحساب'!$Q$4:$Q$204,0)),"")</f>
        <v/>
      </c>
      <c r="E238" s="146">
        <f>IFERROR(INDEX('كشف الحساب'!$G$4:$G$204,MATCH(29,'كشف الحساب'!$Q$4:$Q$204,0)),"")</f>
        <v/>
      </c>
      <c r="F238" s="143" t="n"/>
    </row>
    <row r="239" ht="18" customHeight="1" s="165">
      <c r="A239" s="180">
        <f>IFERROR(INDEX('كشف الحساب'!$A$4:$A$204,MATCH(30,'كشف الحساب'!$Q$4:$Q$204,0)),"")</f>
        <v/>
      </c>
      <c r="B239" s="144">
        <f>IFERROR(INDEX('كشف الحساب'!$B$4:$B$204,MATCH(30,'كشف الحساب'!$Q$4:$Q$204,0)),"")</f>
        <v/>
      </c>
      <c r="C239" s="143">
        <f>IFERROR(INDEX('كشف الحساب'!$C$4:$C$204,MATCH(30,'كشف الحساب'!$Q$4:$Q$204,0)),"")</f>
        <v/>
      </c>
      <c r="D239" s="145">
        <f>IFERROR(INDEX('كشف الحساب'!$D$4:$D$204,MATCH(30,'كشف الحساب'!$Q$4:$Q$204,0)),"")</f>
        <v/>
      </c>
      <c r="E239" s="146">
        <f>IFERROR(INDEX('كشف الحساب'!$G$4:$G$204,MATCH(30,'كشف الحساب'!$Q$4:$Q$204,0)),"")</f>
        <v/>
      </c>
      <c r="F239" s="143" t="n"/>
    </row>
    <row r="240" ht="18" customHeight="1" s="165">
      <c r="A240" s="180">
        <f>IFERROR(INDEX('كشف الحساب'!$A$4:$A$204,MATCH(31,'كشف الحساب'!$Q$4:$Q$204,0)),"")</f>
        <v/>
      </c>
      <c r="B240" s="144">
        <f>IFERROR(INDEX('كشف الحساب'!$B$4:$B$204,MATCH(31,'كشف الحساب'!$Q$4:$Q$204,0)),"")</f>
        <v/>
      </c>
      <c r="C240" s="143">
        <f>IFERROR(INDEX('كشف الحساب'!$C$4:$C$204,MATCH(31,'كشف الحساب'!$Q$4:$Q$204,0)),"")</f>
        <v/>
      </c>
      <c r="D240" s="145">
        <f>IFERROR(INDEX('كشف الحساب'!$D$4:$D$204,MATCH(31,'كشف الحساب'!$Q$4:$Q$204,0)),"")</f>
        <v/>
      </c>
      <c r="E240" s="146">
        <f>IFERROR(INDEX('كشف الحساب'!$G$4:$G$204,MATCH(31,'كشف الحساب'!$Q$4:$Q$204,0)),"")</f>
        <v/>
      </c>
      <c r="F240" s="143" t="n"/>
    </row>
    <row r="241" ht="18" customHeight="1" s="165">
      <c r="A241" s="180">
        <f>IFERROR(INDEX('كشف الحساب'!$A$4:$A$204,MATCH(32,'كشف الحساب'!$Q$4:$Q$204,0)),"")</f>
        <v/>
      </c>
      <c r="B241" s="144">
        <f>IFERROR(INDEX('كشف الحساب'!$B$4:$B$204,MATCH(32,'كشف الحساب'!$Q$4:$Q$204,0)),"")</f>
        <v/>
      </c>
      <c r="C241" s="143">
        <f>IFERROR(INDEX('كشف الحساب'!$C$4:$C$204,MATCH(32,'كشف الحساب'!$Q$4:$Q$204,0)),"")</f>
        <v/>
      </c>
      <c r="D241" s="145">
        <f>IFERROR(INDEX('كشف الحساب'!$D$4:$D$204,MATCH(32,'كشف الحساب'!$Q$4:$Q$204,0)),"")</f>
        <v/>
      </c>
      <c r="E241" s="146">
        <f>IFERROR(INDEX('كشف الحساب'!$G$4:$G$204,MATCH(32,'كشف الحساب'!$Q$4:$Q$204,0)),"")</f>
        <v/>
      </c>
      <c r="F241" s="143" t="n"/>
    </row>
    <row r="242" ht="18" customHeight="1" s="165">
      <c r="A242" s="180">
        <f>IFERROR(INDEX('كشف الحساب'!$A$4:$A$204,MATCH(33,'كشف الحساب'!$Q$4:$Q$204,0)),"")</f>
        <v/>
      </c>
      <c r="B242" s="144">
        <f>IFERROR(INDEX('كشف الحساب'!$B$4:$B$204,MATCH(33,'كشف الحساب'!$Q$4:$Q$204,0)),"")</f>
        <v/>
      </c>
      <c r="C242" s="143">
        <f>IFERROR(INDEX('كشف الحساب'!$C$4:$C$204,MATCH(33,'كشف الحساب'!$Q$4:$Q$204,0)),"")</f>
        <v/>
      </c>
      <c r="D242" s="145">
        <f>IFERROR(INDEX('كشف الحساب'!$D$4:$D$204,MATCH(33,'كشف الحساب'!$Q$4:$Q$204,0)),"")</f>
        <v/>
      </c>
      <c r="E242" s="146">
        <f>IFERROR(INDEX('كشف الحساب'!$G$4:$G$204,MATCH(33,'كشف الحساب'!$Q$4:$Q$204,0)),"")</f>
        <v/>
      </c>
      <c r="F242" s="143" t="n"/>
    </row>
    <row r="243" ht="18" customHeight="1" s="165">
      <c r="A243" s="180">
        <f>IFERROR(INDEX('كشف الحساب'!$A$4:$A$204,MATCH(34,'كشف الحساب'!$Q$4:$Q$204,0)),"")</f>
        <v/>
      </c>
      <c r="B243" s="144">
        <f>IFERROR(INDEX('كشف الحساب'!$B$4:$B$204,MATCH(34,'كشف الحساب'!$Q$4:$Q$204,0)),"")</f>
        <v/>
      </c>
      <c r="C243" s="143">
        <f>IFERROR(INDEX('كشف الحساب'!$C$4:$C$204,MATCH(34,'كشف الحساب'!$Q$4:$Q$204,0)),"")</f>
        <v/>
      </c>
      <c r="D243" s="145">
        <f>IFERROR(INDEX('كشف الحساب'!$D$4:$D$204,MATCH(34,'كشف الحساب'!$Q$4:$Q$204,0)),"")</f>
        <v/>
      </c>
      <c r="E243" s="146">
        <f>IFERROR(INDEX('كشف الحساب'!$G$4:$G$204,MATCH(34,'كشف الحساب'!$Q$4:$Q$204,0)),"")</f>
        <v/>
      </c>
      <c r="F243" s="143" t="n"/>
    </row>
    <row r="244" ht="18" customHeight="1" s="165">
      <c r="A244" s="180">
        <f>IFERROR(INDEX('كشف الحساب'!$A$4:$A$204,MATCH(35,'كشف الحساب'!$Q$4:$Q$204,0)),"")</f>
        <v/>
      </c>
      <c r="B244" s="144">
        <f>IFERROR(INDEX('كشف الحساب'!$B$4:$B$204,MATCH(35,'كشف الحساب'!$Q$4:$Q$204,0)),"")</f>
        <v/>
      </c>
      <c r="C244" s="143">
        <f>IFERROR(INDEX('كشف الحساب'!$C$4:$C$204,MATCH(35,'كشف الحساب'!$Q$4:$Q$204,0)),"")</f>
        <v/>
      </c>
      <c r="D244" s="145">
        <f>IFERROR(INDEX('كشف الحساب'!$D$4:$D$204,MATCH(35,'كشف الحساب'!$Q$4:$Q$204,0)),"")</f>
        <v/>
      </c>
      <c r="E244" s="146">
        <f>IFERROR(INDEX('كشف الحساب'!$G$4:$G$204,MATCH(35,'كشف الحساب'!$Q$4:$Q$204,0)),"")</f>
        <v/>
      </c>
      <c r="F244" s="143" t="n"/>
    </row>
    <row r="245" ht="18" customHeight="1" s="165">
      <c r="A245" s="180">
        <f>IFERROR(INDEX('كشف الحساب'!$A$4:$A$204,MATCH(36,'كشف الحساب'!$Q$4:$Q$204,0)),"")</f>
        <v/>
      </c>
      <c r="B245" s="144">
        <f>IFERROR(INDEX('كشف الحساب'!$B$4:$B$204,MATCH(36,'كشف الحساب'!$Q$4:$Q$204,0)),"")</f>
        <v/>
      </c>
      <c r="C245" s="143">
        <f>IFERROR(INDEX('كشف الحساب'!$C$4:$C$204,MATCH(36,'كشف الحساب'!$Q$4:$Q$204,0)),"")</f>
        <v/>
      </c>
      <c r="D245" s="145">
        <f>IFERROR(INDEX('كشف الحساب'!$D$4:$D$204,MATCH(36,'كشف الحساب'!$Q$4:$Q$204,0)),"")</f>
        <v/>
      </c>
      <c r="E245" s="146">
        <f>IFERROR(INDEX('كشف الحساب'!$G$4:$G$204,MATCH(36,'كشف الحساب'!$Q$4:$Q$204,0)),"")</f>
        <v/>
      </c>
      <c r="F245" s="143" t="n"/>
    </row>
    <row r="246" ht="18" customHeight="1" s="165">
      <c r="A246" s="180">
        <f>IFERROR(INDEX('كشف الحساب'!$A$4:$A$204,MATCH(37,'كشف الحساب'!$Q$4:$Q$204,0)),"")</f>
        <v/>
      </c>
      <c r="B246" s="144">
        <f>IFERROR(INDEX('كشف الحساب'!$B$4:$B$204,MATCH(37,'كشف الحساب'!$Q$4:$Q$204,0)),"")</f>
        <v/>
      </c>
      <c r="C246" s="143">
        <f>IFERROR(INDEX('كشف الحساب'!$C$4:$C$204,MATCH(37,'كشف الحساب'!$Q$4:$Q$204,0)),"")</f>
        <v/>
      </c>
      <c r="D246" s="145">
        <f>IFERROR(INDEX('كشف الحساب'!$D$4:$D$204,MATCH(37,'كشف الحساب'!$Q$4:$Q$204,0)),"")</f>
        <v/>
      </c>
      <c r="E246" s="146">
        <f>IFERROR(INDEX('كشف الحساب'!$G$4:$G$204,MATCH(37,'كشف الحساب'!$Q$4:$Q$204,0)),"")</f>
        <v/>
      </c>
      <c r="F246" s="143" t="n"/>
    </row>
    <row r="247" ht="18" customHeight="1" s="165">
      <c r="A247" s="180">
        <f>IFERROR(INDEX('كشف الحساب'!$A$4:$A$204,MATCH(38,'كشف الحساب'!$Q$4:$Q$204,0)),"")</f>
        <v/>
      </c>
      <c r="B247" s="144">
        <f>IFERROR(INDEX('كشف الحساب'!$B$4:$B$204,MATCH(38,'كشف الحساب'!$Q$4:$Q$204,0)),"")</f>
        <v/>
      </c>
      <c r="C247" s="143">
        <f>IFERROR(INDEX('كشف الحساب'!$C$4:$C$204,MATCH(38,'كشف الحساب'!$Q$4:$Q$204,0)),"")</f>
        <v/>
      </c>
      <c r="D247" s="145">
        <f>IFERROR(INDEX('كشف الحساب'!$D$4:$D$204,MATCH(38,'كشف الحساب'!$Q$4:$Q$204,0)),"")</f>
        <v/>
      </c>
      <c r="E247" s="146">
        <f>IFERROR(INDEX('كشف الحساب'!$G$4:$G$204,MATCH(38,'كشف الحساب'!$Q$4:$Q$204,0)),"")</f>
        <v/>
      </c>
      <c r="F247" s="143" t="n"/>
    </row>
    <row r="248" ht="18" customHeight="1" s="165">
      <c r="A248" s="180">
        <f>IFERROR(INDEX('كشف الحساب'!$A$4:$A$204,MATCH(39,'كشف الحساب'!$Q$4:$Q$204,0)),"")</f>
        <v/>
      </c>
      <c r="B248" s="144">
        <f>IFERROR(INDEX('كشف الحساب'!$B$4:$B$204,MATCH(39,'كشف الحساب'!$Q$4:$Q$204,0)),"")</f>
        <v/>
      </c>
      <c r="C248" s="143">
        <f>IFERROR(INDEX('كشف الحساب'!$C$4:$C$204,MATCH(39,'كشف الحساب'!$Q$4:$Q$204,0)),"")</f>
        <v/>
      </c>
      <c r="D248" s="145">
        <f>IFERROR(INDEX('كشف الحساب'!$D$4:$D$204,MATCH(39,'كشف الحساب'!$Q$4:$Q$204,0)),"")</f>
        <v/>
      </c>
      <c r="E248" s="146">
        <f>IFERROR(INDEX('كشف الحساب'!$G$4:$G$204,MATCH(39,'كشف الحساب'!$Q$4:$Q$204,0)),"")</f>
        <v/>
      </c>
      <c r="F248" s="143" t="n"/>
    </row>
    <row r="249" ht="18" customHeight="1" s="165">
      <c r="A249" s="180">
        <f>IFERROR(INDEX('كشف الحساب'!$A$4:$A$204,MATCH(40,'كشف الحساب'!$Q$4:$Q$204,0)),"")</f>
        <v/>
      </c>
      <c r="B249" s="144">
        <f>IFERROR(INDEX('كشف الحساب'!$B$4:$B$204,MATCH(40,'كشف الحساب'!$Q$4:$Q$204,0)),"")</f>
        <v/>
      </c>
      <c r="C249" s="143">
        <f>IFERROR(INDEX('كشف الحساب'!$C$4:$C$204,MATCH(40,'كشف الحساب'!$Q$4:$Q$204,0)),"")</f>
        <v/>
      </c>
      <c r="D249" s="145">
        <f>IFERROR(INDEX('كشف الحساب'!$D$4:$D$204,MATCH(40,'كشف الحساب'!$Q$4:$Q$204,0)),"")</f>
        <v/>
      </c>
      <c r="E249" s="146">
        <f>IFERROR(INDEX('كشف الحساب'!$G$4:$G$204,MATCH(40,'كشف الحساب'!$Q$4:$Q$204,0)),"")</f>
        <v/>
      </c>
      <c r="F249" s="143" t="n"/>
    </row>
    <row r="250" ht="18" customHeight="1" s="165">
      <c r="A250" s="180">
        <f>IFERROR(INDEX('كشف الحساب'!$A$4:$A$204,MATCH(41,'كشف الحساب'!$Q$4:$Q$204,0)),"")</f>
        <v/>
      </c>
      <c r="B250" s="144">
        <f>IFERROR(INDEX('كشف الحساب'!$B$4:$B$204,MATCH(41,'كشف الحساب'!$Q$4:$Q$204,0)),"")</f>
        <v/>
      </c>
      <c r="C250" s="143">
        <f>IFERROR(INDEX('كشف الحساب'!$C$4:$C$204,MATCH(41,'كشف الحساب'!$Q$4:$Q$204,0)),"")</f>
        <v/>
      </c>
      <c r="D250" s="145">
        <f>IFERROR(INDEX('كشف الحساب'!$D$4:$D$204,MATCH(41,'كشف الحساب'!$Q$4:$Q$204,0)),"")</f>
        <v/>
      </c>
      <c r="E250" s="146">
        <f>IFERROR(INDEX('كشف الحساب'!$G$4:$G$204,MATCH(41,'كشف الحساب'!$Q$4:$Q$204,0)),"")</f>
        <v/>
      </c>
      <c r="F250" s="143" t="n"/>
    </row>
    <row r="251" ht="18" customHeight="1" s="165">
      <c r="A251" s="180">
        <f>IFERROR(INDEX('كشف الحساب'!$A$4:$A$204,MATCH(42,'كشف الحساب'!$Q$4:$Q$204,0)),"")</f>
        <v/>
      </c>
      <c r="B251" s="144">
        <f>IFERROR(INDEX('كشف الحساب'!$B$4:$B$204,MATCH(42,'كشف الحساب'!$Q$4:$Q$204,0)),"")</f>
        <v/>
      </c>
      <c r="C251" s="143">
        <f>IFERROR(INDEX('كشف الحساب'!$C$4:$C$204,MATCH(42,'كشف الحساب'!$Q$4:$Q$204,0)),"")</f>
        <v/>
      </c>
      <c r="D251" s="145">
        <f>IFERROR(INDEX('كشف الحساب'!$D$4:$D$204,MATCH(42,'كشف الحساب'!$Q$4:$Q$204,0)),"")</f>
        <v/>
      </c>
      <c r="E251" s="146">
        <f>IFERROR(INDEX('كشف الحساب'!$G$4:$G$204,MATCH(42,'كشف الحساب'!$Q$4:$Q$204,0)),"")</f>
        <v/>
      </c>
      <c r="F251" s="143" t="n"/>
    </row>
    <row r="252" ht="18" customHeight="1" s="165">
      <c r="A252" s="180">
        <f>IFERROR(INDEX('كشف الحساب'!$A$4:$A$204,MATCH(43,'كشف الحساب'!$Q$4:$Q$204,0)),"")</f>
        <v/>
      </c>
      <c r="B252" s="144">
        <f>IFERROR(INDEX('كشف الحساب'!$B$4:$B$204,MATCH(43,'كشف الحساب'!$Q$4:$Q$204,0)),"")</f>
        <v/>
      </c>
      <c r="C252" s="143">
        <f>IFERROR(INDEX('كشف الحساب'!$C$4:$C$204,MATCH(43,'كشف الحساب'!$Q$4:$Q$204,0)),"")</f>
        <v/>
      </c>
      <c r="D252" s="145">
        <f>IFERROR(INDEX('كشف الحساب'!$D$4:$D$204,MATCH(43,'كشف الحساب'!$Q$4:$Q$204,0)),"")</f>
        <v/>
      </c>
      <c r="E252" s="146">
        <f>IFERROR(INDEX('كشف الحساب'!$G$4:$G$204,MATCH(43,'كشف الحساب'!$Q$4:$Q$204,0)),"")</f>
        <v/>
      </c>
      <c r="F252" s="143" t="n"/>
    </row>
    <row r="253" ht="18" customHeight="1" s="165">
      <c r="A253" s="180">
        <f>IFERROR(INDEX('كشف الحساب'!$A$4:$A$204,MATCH(44,'كشف الحساب'!$Q$4:$Q$204,0)),"")</f>
        <v/>
      </c>
      <c r="B253" s="144">
        <f>IFERROR(INDEX('كشف الحساب'!$B$4:$B$204,MATCH(44,'كشف الحساب'!$Q$4:$Q$204,0)),"")</f>
        <v/>
      </c>
      <c r="C253" s="143">
        <f>IFERROR(INDEX('كشف الحساب'!$C$4:$C$204,MATCH(44,'كشف الحساب'!$Q$4:$Q$204,0)),"")</f>
        <v/>
      </c>
      <c r="D253" s="145">
        <f>IFERROR(INDEX('كشف الحساب'!$D$4:$D$204,MATCH(44,'كشف الحساب'!$Q$4:$Q$204,0)),"")</f>
        <v/>
      </c>
      <c r="E253" s="146">
        <f>IFERROR(INDEX('كشف الحساب'!$G$4:$G$204,MATCH(44,'كشف الحساب'!$Q$4:$Q$204,0)),"")</f>
        <v/>
      </c>
      <c r="F253" s="143" t="n"/>
    </row>
    <row r="254" ht="18" customHeight="1" s="165">
      <c r="A254" s="180">
        <f>IFERROR(INDEX('كشف الحساب'!$A$4:$A$204,MATCH(45,'كشف الحساب'!$Q$4:$Q$204,0)),"")</f>
        <v/>
      </c>
      <c r="B254" s="144">
        <f>IFERROR(INDEX('كشف الحساب'!$B$4:$B$204,MATCH(45,'كشف الحساب'!$Q$4:$Q$204,0)),"")</f>
        <v/>
      </c>
      <c r="C254" s="143">
        <f>IFERROR(INDEX('كشف الحساب'!$C$4:$C$204,MATCH(45,'كشف الحساب'!$Q$4:$Q$204,0)),"")</f>
        <v/>
      </c>
      <c r="D254" s="145">
        <f>IFERROR(INDEX('كشف الحساب'!$D$4:$D$204,MATCH(45,'كشف الحساب'!$Q$4:$Q$204,0)),"")</f>
        <v/>
      </c>
      <c r="E254" s="146">
        <f>IFERROR(INDEX('كشف الحساب'!$G$4:$G$204,MATCH(45,'كشف الحساب'!$Q$4:$Q$204,0)),"")</f>
        <v/>
      </c>
      <c r="F254" s="143" t="n"/>
    </row>
    <row r="255" ht="18" customHeight="1" s="165">
      <c r="A255" s="180">
        <f>IFERROR(INDEX('كشف الحساب'!$A$4:$A$204,MATCH(46,'كشف الحساب'!$Q$4:$Q$204,0)),"")</f>
        <v/>
      </c>
      <c r="B255" s="144">
        <f>IFERROR(INDEX('كشف الحساب'!$B$4:$B$204,MATCH(46,'كشف الحساب'!$Q$4:$Q$204,0)),"")</f>
        <v/>
      </c>
      <c r="C255" s="143">
        <f>IFERROR(INDEX('كشف الحساب'!$C$4:$C$204,MATCH(46,'كشف الحساب'!$Q$4:$Q$204,0)),"")</f>
        <v/>
      </c>
      <c r="D255" s="145">
        <f>IFERROR(INDEX('كشف الحساب'!$D$4:$D$204,MATCH(46,'كشف الحساب'!$Q$4:$Q$204,0)),"")</f>
        <v/>
      </c>
      <c r="E255" s="146">
        <f>IFERROR(INDEX('كشف الحساب'!$G$4:$G$204,MATCH(46,'كشف الحساب'!$Q$4:$Q$204,0)),"")</f>
        <v/>
      </c>
      <c r="F255" s="143" t="n"/>
    </row>
    <row r="256" ht="18" customHeight="1" s="165">
      <c r="A256" s="180">
        <f>IFERROR(INDEX('كشف الحساب'!$A$4:$A$204,MATCH(47,'كشف الحساب'!$Q$4:$Q$204,0)),"")</f>
        <v/>
      </c>
      <c r="B256" s="144">
        <f>IFERROR(INDEX('كشف الحساب'!$B$4:$B$204,MATCH(47,'كشف الحساب'!$Q$4:$Q$204,0)),"")</f>
        <v/>
      </c>
      <c r="C256" s="143">
        <f>IFERROR(INDEX('كشف الحساب'!$C$4:$C$204,MATCH(47,'كشف الحساب'!$Q$4:$Q$204,0)),"")</f>
        <v/>
      </c>
      <c r="D256" s="145">
        <f>IFERROR(INDEX('كشف الحساب'!$D$4:$D$204,MATCH(47,'كشف الحساب'!$Q$4:$Q$204,0)),"")</f>
        <v/>
      </c>
      <c r="E256" s="146">
        <f>IFERROR(INDEX('كشف الحساب'!$G$4:$G$204,MATCH(47,'كشف الحساب'!$Q$4:$Q$204,0)),"")</f>
        <v/>
      </c>
      <c r="F256" s="143" t="n"/>
    </row>
    <row r="257" ht="18" customHeight="1" s="165">
      <c r="A257" s="180">
        <f>IFERROR(INDEX('كشف الحساب'!$A$4:$A$204,MATCH(48,'كشف الحساب'!$Q$4:$Q$204,0)),"")</f>
        <v/>
      </c>
      <c r="B257" s="144">
        <f>IFERROR(INDEX('كشف الحساب'!$B$4:$B$204,MATCH(48,'كشف الحساب'!$Q$4:$Q$204,0)),"")</f>
        <v/>
      </c>
      <c r="C257" s="143">
        <f>IFERROR(INDEX('كشف الحساب'!$C$4:$C$204,MATCH(48,'كشف الحساب'!$Q$4:$Q$204,0)),"")</f>
        <v/>
      </c>
      <c r="D257" s="145">
        <f>IFERROR(INDEX('كشف الحساب'!$D$4:$D$204,MATCH(48,'كشف الحساب'!$Q$4:$Q$204,0)),"")</f>
        <v/>
      </c>
      <c r="E257" s="146">
        <f>IFERROR(INDEX('كشف الحساب'!$G$4:$G$204,MATCH(48,'كشف الحساب'!$Q$4:$Q$204,0)),"")</f>
        <v/>
      </c>
      <c r="F257" s="143" t="n"/>
    </row>
    <row r="258" ht="18" customHeight="1" s="165">
      <c r="A258" s="180">
        <f>IFERROR(INDEX('كشف الحساب'!$A$4:$A$204,MATCH(49,'كشف الحساب'!$Q$4:$Q$204,0)),"")</f>
        <v/>
      </c>
      <c r="B258" s="144">
        <f>IFERROR(INDEX('كشف الحساب'!$B$4:$B$204,MATCH(49,'كشف الحساب'!$Q$4:$Q$204,0)),"")</f>
        <v/>
      </c>
      <c r="C258" s="143">
        <f>IFERROR(INDEX('كشف الحساب'!$C$4:$C$204,MATCH(49,'كشف الحساب'!$Q$4:$Q$204,0)),"")</f>
        <v/>
      </c>
      <c r="D258" s="145">
        <f>IFERROR(INDEX('كشف الحساب'!$D$4:$D$204,MATCH(49,'كشف الحساب'!$Q$4:$Q$204,0)),"")</f>
        <v/>
      </c>
      <c r="E258" s="146">
        <f>IFERROR(INDEX('كشف الحساب'!$G$4:$G$204,MATCH(49,'كشف الحساب'!$Q$4:$Q$204,0)),"")</f>
        <v/>
      </c>
      <c r="F258" s="143" t="n"/>
    </row>
    <row r="259" ht="18" customHeight="1" s="165">
      <c r="A259" s="180">
        <f>IFERROR(INDEX('كشف الحساب'!$A$4:$A$204,MATCH(50,'كشف الحساب'!$Q$4:$Q$204,0)),"")</f>
        <v/>
      </c>
      <c r="B259" s="144">
        <f>IFERROR(INDEX('كشف الحساب'!$B$4:$B$204,MATCH(50,'كشف الحساب'!$Q$4:$Q$204,0)),"")</f>
        <v/>
      </c>
      <c r="C259" s="143">
        <f>IFERROR(INDEX('كشف الحساب'!$C$4:$C$204,MATCH(50,'كشف الحساب'!$Q$4:$Q$204,0)),"")</f>
        <v/>
      </c>
      <c r="D259" s="145">
        <f>IFERROR(INDEX('كشف الحساب'!$D$4:$D$204,MATCH(50,'كشف الحساب'!$Q$4:$Q$204,0)),"")</f>
        <v/>
      </c>
      <c r="E259" s="146">
        <f>IFERROR(INDEX('كشف الحساب'!$G$4:$G$204,MATCH(50,'كشف الحساب'!$Q$4:$Q$204,0)),"")</f>
        <v/>
      </c>
      <c r="F259" s="143" t="n"/>
    </row>
    <row r="260" ht="18" customHeight="1" s="165">
      <c r="A260" s="180">
        <f>IFERROR(INDEX('كشف الحساب'!$A$4:$A$204,MATCH(51,'كشف الحساب'!$Q$4:$Q$204,0)),"")</f>
        <v/>
      </c>
      <c r="B260" s="144">
        <f>IFERROR(INDEX('كشف الحساب'!$B$4:$B$204,MATCH(51,'كشف الحساب'!$Q$4:$Q$204,0)),"")</f>
        <v/>
      </c>
      <c r="C260" s="143">
        <f>IFERROR(INDEX('كشف الحساب'!$C$4:$C$204,MATCH(51,'كشف الحساب'!$Q$4:$Q$204,0)),"")</f>
        <v/>
      </c>
      <c r="D260" s="145">
        <f>IFERROR(INDEX('كشف الحساب'!$D$4:$D$204,MATCH(51,'كشف الحساب'!$Q$4:$Q$204,0)),"")</f>
        <v/>
      </c>
      <c r="E260" s="146">
        <f>IFERROR(INDEX('كشف الحساب'!$G$4:$G$204,MATCH(51,'كشف الحساب'!$Q$4:$Q$204,0)),"")</f>
        <v/>
      </c>
      <c r="F260" s="143" t="n"/>
    </row>
    <row r="261" ht="18" customHeight="1" s="165">
      <c r="A261" s="180">
        <f>IFERROR(INDEX('كشف الحساب'!$A$4:$A$204,MATCH(52,'كشف الحساب'!$Q$4:$Q$204,0)),"")</f>
        <v/>
      </c>
      <c r="B261" s="144">
        <f>IFERROR(INDEX('كشف الحساب'!$B$4:$B$204,MATCH(52,'كشف الحساب'!$Q$4:$Q$204,0)),"")</f>
        <v/>
      </c>
      <c r="C261" s="143">
        <f>IFERROR(INDEX('كشف الحساب'!$C$4:$C$204,MATCH(52,'كشف الحساب'!$Q$4:$Q$204,0)),"")</f>
        <v/>
      </c>
      <c r="D261" s="145">
        <f>IFERROR(INDEX('كشف الحساب'!$D$4:$D$204,MATCH(52,'كشف الحساب'!$Q$4:$Q$204,0)),"")</f>
        <v/>
      </c>
      <c r="E261" s="146">
        <f>IFERROR(INDEX('كشف الحساب'!$G$4:$G$204,MATCH(52,'كشف الحساب'!$Q$4:$Q$204,0)),"")</f>
        <v/>
      </c>
      <c r="F261" s="143" t="n"/>
    </row>
    <row r="262" ht="18" customHeight="1" s="165">
      <c r="A262" s="180">
        <f>IFERROR(INDEX('كشف الحساب'!$A$4:$A$204,MATCH(53,'كشف الحساب'!$Q$4:$Q$204,0)),"")</f>
        <v/>
      </c>
      <c r="B262" s="144">
        <f>IFERROR(INDEX('كشف الحساب'!$B$4:$B$204,MATCH(53,'كشف الحساب'!$Q$4:$Q$204,0)),"")</f>
        <v/>
      </c>
      <c r="C262" s="143">
        <f>IFERROR(INDEX('كشف الحساب'!$C$4:$C$204,MATCH(53,'كشف الحساب'!$Q$4:$Q$204,0)),"")</f>
        <v/>
      </c>
      <c r="D262" s="145">
        <f>IFERROR(INDEX('كشف الحساب'!$D$4:$D$204,MATCH(53,'كشف الحساب'!$Q$4:$Q$204,0)),"")</f>
        <v/>
      </c>
      <c r="E262" s="146">
        <f>IFERROR(INDEX('كشف الحساب'!$G$4:$G$204,MATCH(53,'كشف الحساب'!$Q$4:$Q$204,0)),"")</f>
        <v/>
      </c>
      <c r="F262" s="143" t="n"/>
    </row>
    <row r="263" ht="18" customHeight="1" s="165">
      <c r="A263" s="180">
        <f>IFERROR(INDEX('كشف الحساب'!$A$4:$A$204,MATCH(54,'كشف الحساب'!$Q$4:$Q$204,0)),"")</f>
        <v/>
      </c>
      <c r="B263" s="144">
        <f>IFERROR(INDEX('كشف الحساب'!$B$4:$B$204,MATCH(54,'كشف الحساب'!$Q$4:$Q$204,0)),"")</f>
        <v/>
      </c>
      <c r="C263" s="143">
        <f>IFERROR(INDEX('كشف الحساب'!$C$4:$C$204,MATCH(54,'كشف الحساب'!$Q$4:$Q$204,0)),"")</f>
        <v/>
      </c>
      <c r="D263" s="145">
        <f>IFERROR(INDEX('كشف الحساب'!$D$4:$D$204,MATCH(54,'كشف الحساب'!$Q$4:$Q$204,0)),"")</f>
        <v/>
      </c>
      <c r="E263" s="146">
        <f>IFERROR(INDEX('كشف الحساب'!$G$4:$G$204,MATCH(54,'كشف الحساب'!$Q$4:$Q$204,0)),"")</f>
        <v/>
      </c>
      <c r="F263" s="143" t="n"/>
    </row>
    <row r="264" ht="18" customHeight="1" s="165">
      <c r="A264" s="180">
        <f>IFERROR(INDEX('كشف الحساب'!$A$4:$A$204,MATCH(55,'كشف الحساب'!$Q$4:$Q$204,0)),"")</f>
        <v/>
      </c>
      <c r="B264" s="144">
        <f>IFERROR(INDEX('كشف الحساب'!$B$4:$B$204,MATCH(55,'كشف الحساب'!$Q$4:$Q$204,0)),"")</f>
        <v/>
      </c>
      <c r="C264" s="143">
        <f>IFERROR(INDEX('كشف الحساب'!$C$4:$C$204,MATCH(55,'كشف الحساب'!$Q$4:$Q$204,0)),"")</f>
        <v/>
      </c>
      <c r="D264" s="145">
        <f>IFERROR(INDEX('كشف الحساب'!$D$4:$D$204,MATCH(55,'كشف الحساب'!$Q$4:$Q$204,0)),"")</f>
        <v/>
      </c>
      <c r="E264" s="146">
        <f>IFERROR(INDEX('كشف الحساب'!$G$4:$G$204,MATCH(55,'كشف الحساب'!$Q$4:$Q$204,0)),"")</f>
        <v/>
      </c>
      <c r="F264" s="143" t="n"/>
    </row>
    <row r="265" ht="18" customHeight="1" s="165">
      <c r="A265" s="180">
        <f>IFERROR(INDEX('كشف الحساب'!$A$4:$A$204,MATCH(56,'كشف الحساب'!$Q$4:$Q$204,0)),"")</f>
        <v/>
      </c>
      <c r="B265" s="144">
        <f>IFERROR(INDEX('كشف الحساب'!$B$4:$B$204,MATCH(56,'كشف الحساب'!$Q$4:$Q$204,0)),"")</f>
        <v/>
      </c>
      <c r="C265" s="143">
        <f>IFERROR(INDEX('كشف الحساب'!$C$4:$C$204,MATCH(56,'كشف الحساب'!$Q$4:$Q$204,0)),"")</f>
        <v/>
      </c>
      <c r="D265" s="145">
        <f>IFERROR(INDEX('كشف الحساب'!$D$4:$D$204,MATCH(56,'كشف الحساب'!$Q$4:$Q$204,0)),"")</f>
        <v/>
      </c>
      <c r="E265" s="146">
        <f>IFERROR(INDEX('كشف الحساب'!$G$4:$G$204,MATCH(56,'كشف الحساب'!$Q$4:$Q$204,0)),"")</f>
        <v/>
      </c>
      <c r="F265" s="143" t="n"/>
    </row>
    <row r="266" ht="18" customHeight="1" s="165">
      <c r="A266" s="180">
        <f>IFERROR(INDEX('كشف الحساب'!$A$4:$A$204,MATCH(57,'كشف الحساب'!$Q$4:$Q$204,0)),"")</f>
        <v/>
      </c>
      <c r="B266" s="144">
        <f>IFERROR(INDEX('كشف الحساب'!$B$4:$B$204,MATCH(57,'كشف الحساب'!$Q$4:$Q$204,0)),"")</f>
        <v/>
      </c>
      <c r="C266" s="143">
        <f>IFERROR(INDEX('كشف الحساب'!$C$4:$C$204,MATCH(57,'كشف الحساب'!$Q$4:$Q$204,0)),"")</f>
        <v/>
      </c>
      <c r="D266" s="145">
        <f>IFERROR(INDEX('كشف الحساب'!$D$4:$D$204,MATCH(57,'كشف الحساب'!$Q$4:$Q$204,0)),"")</f>
        <v/>
      </c>
      <c r="E266" s="146">
        <f>IFERROR(INDEX('كشف الحساب'!$G$4:$G$204,MATCH(57,'كشف الحساب'!$Q$4:$Q$204,0)),"")</f>
        <v/>
      </c>
      <c r="F266" s="143" t="n"/>
    </row>
    <row r="267" ht="18" customHeight="1" s="165">
      <c r="A267" s="180">
        <f>IFERROR(INDEX('كشف الحساب'!$A$4:$A$204,MATCH(58,'كشف الحساب'!$Q$4:$Q$204,0)),"")</f>
        <v/>
      </c>
      <c r="B267" s="144">
        <f>IFERROR(INDEX('كشف الحساب'!$B$4:$B$204,MATCH(58,'كشف الحساب'!$Q$4:$Q$204,0)),"")</f>
        <v/>
      </c>
      <c r="C267" s="143">
        <f>IFERROR(INDEX('كشف الحساب'!$C$4:$C$204,MATCH(58,'كشف الحساب'!$Q$4:$Q$204,0)),"")</f>
        <v/>
      </c>
      <c r="D267" s="145">
        <f>IFERROR(INDEX('كشف الحساب'!$D$4:$D$204,MATCH(58,'كشف الحساب'!$Q$4:$Q$204,0)),"")</f>
        <v/>
      </c>
      <c r="E267" s="146">
        <f>IFERROR(INDEX('كشف الحساب'!$G$4:$G$204,MATCH(58,'كشف الحساب'!$Q$4:$Q$204,0)),"")</f>
        <v/>
      </c>
      <c r="F267" s="143" t="n"/>
    </row>
    <row r="268" ht="18" customHeight="1" s="165">
      <c r="A268" s="180">
        <f>IFERROR(INDEX('كشف الحساب'!$A$4:$A$204,MATCH(59,'كشف الحساب'!$Q$4:$Q$204,0)),"")</f>
        <v/>
      </c>
      <c r="B268" s="144">
        <f>IFERROR(INDEX('كشف الحساب'!$B$4:$B$204,MATCH(59,'كشف الحساب'!$Q$4:$Q$204,0)),"")</f>
        <v/>
      </c>
      <c r="C268" s="143">
        <f>IFERROR(INDEX('كشف الحساب'!$C$4:$C$204,MATCH(59,'كشف الحساب'!$Q$4:$Q$204,0)),"")</f>
        <v/>
      </c>
      <c r="D268" s="145">
        <f>IFERROR(INDEX('كشف الحساب'!$D$4:$D$204,MATCH(59,'كشف الحساب'!$Q$4:$Q$204,0)),"")</f>
        <v/>
      </c>
      <c r="E268" s="146">
        <f>IFERROR(INDEX('كشف الحساب'!$G$4:$G$204,MATCH(59,'كشف الحساب'!$Q$4:$Q$204,0)),"")</f>
        <v/>
      </c>
      <c r="F268" s="143" t="n"/>
    </row>
    <row r="269" ht="18" customHeight="1" s="165">
      <c r="A269" s="180">
        <f>IFERROR(INDEX('كشف الحساب'!$A$4:$A$204,MATCH(60,'كشف الحساب'!$Q$4:$Q$204,0)),"")</f>
        <v/>
      </c>
      <c r="B269" s="144">
        <f>IFERROR(INDEX('كشف الحساب'!$B$4:$B$204,MATCH(60,'كشف الحساب'!$Q$4:$Q$204,0)),"")</f>
        <v/>
      </c>
      <c r="C269" s="143">
        <f>IFERROR(INDEX('كشف الحساب'!$C$4:$C$204,MATCH(60,'كشف الحساب'!$Q$4:$Q$204,0)),"")</f>
        <v/>
      </c>
      <c r="D269" s="145">
        <f>IFERROR(INDEX('كشف الحساب'!$D$4:$D$204,MATCH(60,'كشف الحساب'!$Q$4:$Q$204,0)),"")</f>
        <v/>
      </c>
      <c r="E269" s="146">
        <f>IFERROR(INDEX('كشف الحساب'!$G$4:$G$204,MATCH(60,'كشف الحساب'!$Q$4:$Q$204,0)),"")</f>
        <v/>
      </c>
      <c r="F269" s="143" t="n"/>
    </row>
    <row r="270" ht="18" customHeight="1" s="165">
      <c r="A270" s="180">
        <f>IFERROR(INDEX('كشف الحساب'!$A$4:$A$204,MATCH(61,'كشف الحساب'!$Q$4:$Q$204,0)),"")</f>
        <v/>
      </c>
      <c r="B270" s="144">
        <f>IFERROR(INDEX('كشف الحساب'!$B$4:$B$204,MATCH(61,'كشف الحساب'!$Q$4:$Q$204,0)),"")</f>
        <v/>
      </c>
      <c r="C270" s="143">
        <f>IFERROR(INDEX('كشف الحساب'!$C$4:$C$204,MATCH(61,'كشف الحساب'!$Q$4:$Q$204,0)),"")</f>
        <v/>
      </c>
      <c r="D270" s="145">
        <f>IFERROR(INDEX('كشف الحساب'!$D$4:$D$204,MATCH(61,'كشف الحساب'!$Q$4:$Q$204,0)),"")</f>
        <v/>
      </c>
      <c r="E270" s="146">
        <f>IFERROR(INDEX('كشف الحساب'!$G$4:$G$204,MATCH(61,'كشف الحساب'!$Q$4:$Q$204,0)),"")</f>
        <v/>
      </c>
      <c r="F270" s="143" t="n"/>
    </row>
    <row r="271" ht="18" customHeight="1" s="165">
      <c r="A271" s="180">
        <f>IFERROR(INDEX('كشف الحساب'!$A$4:$A$204,MATCH(62,'كشف الحساب'!$Q$4:$Q$204,0)),"")</f>
        <v/>
      </c>
      <c r="B271" s="144">
        <f>IFERROR(INDEX('كشف الحساب'!$B$4:$B$204,MATCH(62,'كشف الحساب'!$Q$4:$Q$204,0)),"")</f>
        <v/>
      </c>
      <c r="C271" s="143">
        <f>IFERROR(INDEX('كشف الحساب'!$C$4:$C$204,MATCH(62,'كشف الحساب'!$Q$4:$Q$204,0)),"")</f>
        <v/>
      </c>
      <c r="D271" s="145">
        <f>IFERROR(INDEX('كشف الحساب'!$D$4:$D$204,MATCH(62,'كشف الحساب'!$Q$4:$Q$204,0)),"")</f>
        <v/>
      </c>
      <c r="E271" s="146">
        <f>IFERROR(INDEX('كشف الحساب'!$G$4:$G$204,MATCH(62,'كشف الحساب'!$Q$4:$Q$204,0)),"")</f>
        <v/>
      </c>
      <c r="F271" s="143" t="n"/>
    </row>
    <row r="272" ht="18" customHeight="1" s="165">
      <c r="A272" s="180">
        <f>IFERROR(INDEX('كشف الحساب'!$A$4:$A$204,MATCH(63,'كشف الحساب'!$Q$4:$Q$204,0)),"")</f>
        <v/>
      </c>
      <c r="B272" s="144">
        <f>IFERROR(INDEX('كشف الحساب'!$B$4:$B$204,MATCH(63,'كشف الحساب'!$Q$4:$Q$204,0)),"")</f>
        <v/>
      </c>
      <c r="C272" s="143">
        <f>IFERROR(INDEX('كشف الحساب'!$C$4:$C$204,MATCH(63,'كشف الحساب'!$Q$4:$Q$204,0)),"")</f>
        <v/>
      </c>
      <c r="D272" s="145">
        <f>IFERROR(INDEX('كشف الحساب'!$D$4:$D$204,MATCH(63,'كشف الحساب'!$Q$4:$Q$204,0)),"")</f>
        <v/>
      </c>
      <c r="E272" s="146">
        <f>IFERROR(INDEX('كشف الحساب'!$G$4:$G$204,MATCH(63,'كشف الحساب'!$Q$4:$Q$204,0)),"")</f>
        <v/>
      </c>
      <c r="F272" s="143" t="n"/>
    </row>
    <row r="273" ht="18" customHeight="1" s="165">
      <c r="A273" s="180">
        <f>IFERROR(INDEX('كشف الحساب'!$A$4:$A$204,MATCH(64,'كشف الحساب'!$Q$4:$Q$204,0)),"")</f>
        <v/>
      </c>
      <c r="B273" s="144">
        <f>IFERROR(INDEX('كشف الحساب'!$B$4:$B$204,MATCH(64,'كشف الحساب'!$Q$4:$Q$204,0)),"")</f>
        <v/>
      </c>
      <c r="C273" s="143">
        <f>IFERROR(INDEX('كشف الحساب'!$C$4:$C$204,MATCH(64,'كشف الحساب'!$Q$4:$Q$204,0)),"")</f>
        <v/>
      </c>
      <c r="D273" s="145">
        <f>IFERROR(INDEX('كشف الحساب'!$D$4:$D$204,MATCH(64,'كشف الحساب'!$Q$4:$Q$204,0)),"")</f>
        <v/>
      </c>
      <c r="E273" s="146">
        <f>IFERROR(INDEX('كشف الحساب'!$G$4:$G$204,MATCH(64,'كشف الحساب'!$Q$4:$Q$204,0)),"")</f>
        <v/>
      </c>
      <c r="F273" s="143" t="n"/>
    </row>
    <row r="274" ht="18" customHeight="1" s="165">
      <c r="A274" s="180">
        <f>IFERROR(INDEX('كشف الحساب'!$A$4:$A$204,MATCH(65,'كشف الحساب'!$Q$4:$Q$204,0)),"")</f>
        <v/>
      </c>
      <c r="B274" s="144">
        <f>IFERROR(INDEX('كشف الحساب'!$B$4:$B$204,MATCH(65,'كشف الحساب'!$Q$4:$Q$204,0)),"")</f>
        <v/>
      </c>
      <c r="C274" s="143">
        <f>IFERROR(INDEX('كشف الحساب'!$C$4:$C$204,MATCH(65,'كشف الحساب'!$Q$4:$Q$204,0)),"")</f>
        <v/>
      </c>
      <c r="D274" s="145">
        <f>IFERROR(INDEX('كشف الحساب'!$D$4:$D$204,MATCH(65,'كشف الحساب'!$Q$4:$Q$204,0)),"")</f>
        <v/>
      </c>
      <c r="E274" s="146">
        <f>IFERROR(INDEX('كشف الحساب'!$G$4:$G$204,MATCH(65,'كشف الحساب'!$Q$4:$Q$204,0)),"")</f>
        <v/>
      </c>
      <c r="F274" s="143" t="n"/>
    </row>
    <row r="275" ht="18" customHeight="1" s="165">
      <c r="A275" s="180">
        <f>IFERROR(INDEX('كشف الحساب'!$A$4:$A$204,MATCH(66,'كشف الحساب'!$Q$4:$Q$204,0)),"")</f>
        <v/>
      </c>
      <c r="B275" s="144">
        <f>IFERROR(INDEX('كشف الحساب'!$B$4:$B$204,MATCH(66,'كشف الحساب'!$Q$4:$Q$204,0)),"")</f>
        <v/>
      </c>
      <c r="C275" s="143">
        <f>IFERROR(INDEX('كشف الحساب'!$C$4:$C$204,MATCH(66,'كشف الحساب'!$Q$4:$Q$204,0)),"")</f>
        <v/>
      </c>
      <c r="D275" s="145">
        <f>IFERROR(INDEX('كشف الحساب'!$D$4:$D$204,MATCH(66,'كشف الحساب'!$Q$4:$Q$204,0)),"")</f>
        <v/>
      </c>
      <c r="E275" s="146">
        <f>IFERROR(INDEX('كشف الحساب'!$G$4:$G$204,MATCH(66,'كشف الحساب'!$Q$4:$Q$204,0)),"")</f>
        <v/>
      </c>
      <c r="F275" s="143" t="n"/>
    </row>
    <row r="276" ht="18" customHeight="1" s="165">
      <c r="A276" s="180">
        <f>IFERROR(INDEX('كشف الحساب'!$A$4:$A$204,MATCH(67,'كشف الحساب'!$Q$4:$Q$204,0)),"")</f>
        <v/>
      </c>
      <c r="B276" s="144">
        <f>IFERROR(INDEX('كشف الحساب'!$B$4:$B$204,MATCH(67,'كشف الحساب'!$Q$4:$Q$204,0)),"")</f>
        <v/>
      </c>
      <c r="C276" s="143">
        <f>IFERROR(INDEX('كشف الحساب'!$C$4:$C$204,MATCH(67,'كشف الحساب'!$Q$4:$Q$204,0)),"")</f>
        <v/>
      </c>
      <c r="D276" s="145">
        <f>IFERROR(INDEX('كشف الحساب'!$D$4:$D$204,MATCH(67,'كشف الحساب'!$Q$4:$Q$204,0)),"")</f>
        <v/>
      </c>
      <c r="E276" s="146">
        <f>IFERROR(INDEX('كشف الحساب'!$G$4:$G$204,MATCH(67,'كشف الحساب'!$Q$4:$Q$204,0)),"")</f>
        <v/>
      </c>
      <c r="F276" s="143" t="n"/>
    </row>
    <row r="277" ht="18" customHeight="1" s="165">
      <c r="A277" s="180">
        <f>IFERROR(INDEX('كشف الحساب'!$A$4:$A$204,MATCH(68,'كشف الحساب'!$Q$4:$Q$204,0)),"")</f>
        <v/>
      </c>
      <c r="B277" s="144">
        <f>IFERROR(INDEX('كشف الحساب'!$B$4:$B$204,MATCH(68,'كشف الحساب'!$Q$4:$Q$204,0)),"")</f>
        <v/>
      </c>
      <c r="C277" s="143">
        <f>IFERROR(INDEX('كشف الحساب'!$C$4:$C$204,MATCH(68,'كشف الحساب'!$Q$4:$Q$204,0)),"")</f>
        <v/>
      </c>
      <c r="D277" s="145">
        <f>IFERROR(INDEX('كشف الحساب'!$D$4:$D$204,MATCH(68,'كشف الحساب'!$Q$4:$Q$204,0)),"")</f>
        <v/>
      </c>
      <c r="E277" s="146">
        <f>IFERROR(INDEX('كشف الحساب'!$G$4:$G$204,MATCH(68,'كشف الحساب'!$Q$4:$Q$204,0)),"")</f>
        <v/>
      </c>
      <c r="F277" s="143" t="n"/>
    </row>
    <row r="278" ht="18" customHeight="1" s="165">
      <c r="A278" s="180">
        <f>IFERROR(INDEX('كشف الحساب'!$A$4:$A$204,MATCH(69,'كشف الحساب'!$Q$4:$Q$204,0)),"")</f>
        <v/>
      </c>
      <c r="B278" s="144">
        <f>IFERROR(INDEX('كشف الحساب'!$B$4:$B$204,MATCH(69,'كشف الحساب'!$Q$4:$Q$204,0)),"")</f>
        <v/>
      </c>
      <c r="C278" s="143">
        <f>IFERROR(INDEX('كشف الحساب'!$C$4:$C$204,MATCH(69,'كشف الحساب'!$Q$4:$Q$204,0)),"")</f>
        <v/>
      </c>
      <c r="D278" s="145">
        <f>IFERROR(INDEX('كشف الحساب'!$D$4:$D$204,MATCH(69,'كشف الحساب'!$Q$4:$Q$204,0)),"")</f>
        <v/>
      </c>
      <c r="E278" s="146">
        <f>IFERROR(INDEX('كشف الحساب'!$G$4:$G$204,MATCH(69,'كشف الحساب'!$Q$4:$Q$204,0)),"")</f>
        <v/>
      </c>
      <c r="F278" s="143" t="n"/>
    </row>
    <row r="279" ht="18" customHeight="1" s="165">
      <c r="A279" s="180">
        <f>IFERROR(INDEX('كشف الحساب'!$A$4:$A$204,MATCH(70,'كشف الحساب'!$Q$4:$Q$204,0)),"")</f>
        <v/>
      </c>
      <c r="B279" s="144">
        <f>IFERROR(INDEX('كشف الحساب'!$B$4:$B$204,MATCH(70,'كشف الحساب'!$Q$4:$Q$204,0)),"")</f>
        <v/>
      </c>
      <c r="C279" s="143">
        <f>IFERROR(INDEX('كشف الحساب'!$C$4:$C$204,MATCH(70,'كشف الحساب'!$Q$4:$Q$204,0)),"")</f>
        <v/>
      </c>
      <c r="D279" s="145">
        <f>IFERROR(INDEX('كشف الحساب'!$D$4:$D$204,MATCH(70,'كشف الحساب'!$Q$4:$Q$204,0)),"")</f>
        <v/>
      </c>
      <c r="E279" s="146">
        <f>IFERROR(INDEX('كشف الحساب'!$G$4:$G$204,MATCH(70,'كشف الحساب'!$Q$4:$Q$204,0)),"")</f>
        <v/>
      </c>
      <c r="F279" s="143" t="n"/>
    </row>
    <row r="280" ht="18" customHeight="1" s="165">
      <c r="A280" s="180">
        <f>IFERROR(INDEX('كشف الحساب'!$A$4:$A$204,MATCH(71,'كشف الحساب'!$Q$4:$Q$204,0)),"")</f>
        <v/>
      </c>
      <c r="B280" s="144">
        <f>IFERROR(INDEX('كشف الحساب'!$B$4:$B$204,MATCH(71,'كشف الحساب'!$Q$4:$Q$204,0)),"")</f>
        <v/>
      </c>
      <c r="C280" s="143">
        <f>IFERROR(INDEX('كشف الحساب'!$C$4:$C$204,MATCH(71,'كشف الحساب'!$Q$4:$Q$204,0)),"")</f>
        <v/>
      </c>
      <c r="D280" s="145">
        <f>IFERROR(INDEX('كشف الحساب'!$D$4:$D$204,MATCH(71,'كشف الحساب'!$Q$4:$Q$204,0)),"")</f>
        <v/>
      </c>
      <c r="E280" s="146">
        <f>IFERROR(INDEX('كشف الحساب'!$G$4:$G$204,MATCH(71,'كشف الحساب'!$Q$4:$Q$204,0)),"")</f>
        <v/>
      </c>
      <c r="F280" s="143" t="n"/>
    </row>
    <row r="281" ht="18" customHeight="1" s="165">
      <c r="A281" s="180">
        <f>IFERROR(INDEX('كشف الحساب'!$A$4:$A$204,MATCH(72,'كشف الحساب'!$Q$4:$Q$204,0)),"")</f>
        <v/>
      </c>
      <c r="B281" s="144">
        <f>IFERROR(INDEX('كشف الحساب'!$B$4:$B$204,MATCH(72,'كشف الحساب'!$Q$4:$Q$204,0)),"")</f>
        <v/>
      </c>
      <c r="C281" s="143">
        <f>IFERROR(INDEX('كشف الحساب'!$C$4:$C$204,MATCH(72,'كشف الحساب'!$Q$4:$Q$204,0)),"")</f>
        <v/>
      </c>
      <c r="D281" s="145">
        <f>IFERROR(INDEX('كشف الحساب'!$D$4:$D$204,MATCH(72,'كشف الحساب'!$Q$4:$Q$204,0)),"")</f>
        <v/>
      </c>
      <c r="E281" s="146">
        <f>IFERROR(INDEX('كشف الحساب'!$G$4:$G$204,MATCH(72,'كشف الحساب'!$Q$4:$Q$204,0)),"")</f>
        <v/>
      </c>
      <c r="F281" s="143" t="n"/>
    </row>
    <row r="282" ht="18" customHeight="1" s="165">
      <c r="A282" s="180">
        <f>IFERROR(INDEX('كشف الحساب'!$A$4:$A$204,MATCH(73,'كشف الحساب'!$Q$4:$Q$204,0)),"")</f>
        <v/>
      </c>
      <c r="B282" s="144">
        <f>IFERROR(INDEX('كشف الحساب'!$B$4:$B$204,MATCH(73,'كشف الحساب'!$Q$4:$Q$204,0)),"")</f>
        <v/>
      </c>
      <c r="C282" s="143">
        <f>IFERROR(INDEX('كشف الحساب'!$C$4:$C$204,MATCH(73,'كشف الحساب'!$Q$4:$Q$204,0)),"")</f>
        <v/>
      </c>
      <c r="D282" s="145">
        <f>IFERROR(INDEX('كشف الحساب'!$D$4:$D$204,MATCH(73,'كشف الحساب'!$Q$4:$Q$204,0)),"")</f>
        <v/>
      </c>
      <c r="E282" s="146">
        <f>IFERROR(INDEX('كشف الحساب'!$G$4:$G$204,MATCH(73,'كشف الحساب'!$Q$4:$Q$204,0)),"")</f>
        <v/>
      </c>
      <c r="F282" s="143" t="n"/>
    </row>
    <row r="283" ht="18" customHeight="1" s="165">
      <c r="A283" s="180">
        <f>IFERROR(INDEX('كشف الحساب'!$A$4:$A$204,MATCH(74,'كشف الحساب'!$Q$4:$Q$204,0)),"")</f>
        <v/>
      </c>
      <c r="B283" s="144">
        <f>IFERROR(INDEX('كشف الحساب'!$B$4:$B$204,MATCH(74,'كشف الحساب'!$Q$4:$Q$204,0)),"")</f>
        <v/>
      </c>
      <c r="C283" s="143">
        <f>IFERROR(INDEX('كشف الحساب'!$C$4:$C$204,MATCH(74,'كشف الحساب'!$Q$4:$Q$204,0)),"")</f>
        <v/>
      </c>
      <c r="D283" s="145">
        <f>IFERROR(INDEX('كشف الحساب'!$D$4:$D$204,MATCH(74,'كشف الحساب'!$Q$4:$Q$204,0)),"")</f>
        <v/>
      </c>
      <c r="E283" s="146">
        <f>IFERROR(INDEX('كشف الحساب'!$G$4:$G$204,MATCH(74,'كشف الحساب'!$Q$4:$Q$204,0)),"")</f>
        <v/>
      </c>
      <c r="F283" s="143" t="n"/>
    </row>
    <row r="284" ht="18" customHeight="1" s="165">
      <c r="A284" s="180">
        <f>IFERROR(INDEX('كشف الحساب'!$A$4:$A$204,MATCH(75,'كشف الحساب'!$Q$4:$Q$204,0)),"")</f>
        <v/>
      </c>
      <c r="B284" s="144">
        <f>IFERROR(INDEX('كشف الحساب'!$B$4:$B$204,MATCH(75,'كشف الحساب'!$Q$4:$Q$204,0)),"")</f>
        <v/>
      </c>
      <c r="C284" s="143">
        <f>IFERROR(INDEX('كشف الحساب'!$C$4:$C$204,MATCH(75,'كشف الحساب'!$Q$4:$Q$204,0)),"")</f>
        <v/>
      </c>
      <c r="D284" s="145">
        <f>IFERROR(INDEX('كشف الحساب'!$D$4:$D$204,MATCH(75,'كشف الحساب'!$Q$4:$Q$204,0)),"")</f>
        <v/>
      </c>
      <c r="E284" s="146">
        <f>IFERROR(INDEX('كشف الحساب'!$G$4:$G$204,MATCH(75,'كشف الحساب'!$Q$4:$Q$204,0)),"")</f>
        <v/>
      </c>
      <c r="F284" s="143" t="n"/>
    </row>
    <row r="285" ht="18" customHeight="1" s="165">
      <c r="A285" s="180">
        <f>IFERROR(INDEX('كشف الحساب'!$A$4:$A$204,MATCH(76,'كشف الحساب'!$Q$4:$Q$204,0)),"")</f>
        <v/>
      </c>
      <c r="B285" s="144">
        <f>IFERROR(INDEX('كشف الحساب'!$B$4:$B$204,MATCH(76,'كشف الحساب'!$Q$4:$Q$204,0)),"")</f>
        <v/>
      </c>
      <c r="C285" s="143">
        <f>IFERROR(INDEX('كشف الحساب'!$C$4:$C$204,MATCH(76,'كشف الحساب'!$Q$4:$Q$204,0)),"")</f>
        <v/>
      </c>
      <c r="D285" s="145">
        <f>IFERROR(INDEX('كشف الحساب'!$D$4:$D$204,MATCH(76,'كشف الحساب'!$Q$4:$Q$204,0)),"")</f>
        <v/>
      </c>
      <c r="E285" s="146">
        <f>IFERROR(INDEX('كشف الحساب'!$G$4:$G$204,MATCH(76,'كشف الحساب'!$Q$4:$Q$204,0)),"")</f>
        <v/>
      </c>
      <c r="F285" s="143" t="n"/>
    </row>
    <row r="286" ht="18" customHeight="1" s="165">
      <c r="A286" s="180">
        <f>IFERROR(INDEX('كشف الحساب'!$A$4:$A$204,MATCH(77,'كشف الحساب'!$Q$4:$Q$204,0)),"")</f>
        <v/>
      </c>
      <c r="B286" s="144">
        <f>IFERROR(INDEX('كشف الحساب'!$B$4:$B$204,MATCH(77,'كشف الحساب'!$Q$4:$Q$204,0)),"")</f>
        <v/>
      </c>
      <c r="C286" s="143">
        <f>IFERROR(INDEX('كشف الحساب'!$C$4:$C$204,MATCH(77,'كشف الحساب'!$Q$4:$Q$204,0)),"")</f>
        <v/>
      </c>
      <c r="D286" s="145">
        <f>IFERROR(INDEX('كشف الحساب'!$D$4:$D$204,MATCH(77,'كشف الحساب'!$Q$4:$Q$204,0)),"")</f>
        <v/>
      </c>
      <c r="E286" s="146">
        <f>IFERROR(INDEX('كشف الحساب'!$G$4:$G$204,MATCH(77,'كشف الحساب'!$Q$4:$Q$204,0)),"")</f>
        <v/>
      </c>
      <c r="F286" s="143" t="n"/>
    </row>
    <row r="287" ht="18" customHeight="1" s="165">
      <c r="A287" s="180">
        <f>IFERROR(INDEX('كشف الحساب'!$A$4:$A$204,MATCH(78,'كشف الحساب'!$Q$4:$Q$204,0)),"")</f>
        <v/>
      </c>
      <c r="B287" s="144">
        <f>IFERROR(INDEX('كشف الحساب'!$B$4:$B$204,MATCH(78,'كشف الحساب'!$Q$4:$Q$204,0)),"")</f>
        <v/>
      </c>
      <c r="C287" s="143">
        <f>IFERROR(INDEX('كشف الحساب'!$C$4:$C$204,MATCH(78,'كشف الحساب'!$Q$4:$Q$204,0)),"")</f>
        <v/>
      </c>
      <c r="D287" s="145">
        <f>IFERROR(INDEX('كشف الحساب'!$D$4:$D$204,MATCH(78,'كشف الحساب'!$Q$4:$Q$204,0)),"")</f>
        <v/>
      </c>
      <c r="E287" s="146">
        <f>IFERROR(INDEX('كشف الحساب'!$G$4:$G$204,MATCH(78,'كشف الحساب'!$Q$4:$Q$204,0)),"")</f>
        <v/>
      </c>
      <c r="F287" s="143" t="n"/>
    </row>
    <row r="288" ht="18" customHeight="1" s="165">
      <c r="A288" s="180">
        <f>IFERROR(INDEX('كشف الحساب'!$A$4:$A$204,MATCH(79,'كشف الحساب'!$Q$4:$Q$204,0)),"")</f>
        <v/>
      </c>
      <c r="B288" s="144">
        <f>IFERROR(INDEX('كشف الحساب'!$B$4:$B$204,MATCH(79,'كشف الحساب'!$Q$4:$Q$204,0)),"")</f>
        <v/>
      </c>
      <c r="C288" s="143">
        <f>IFERROR(INDEX('كشف الحساب'!$C$4:$C$204,MATCH(79,'كشف الحساب'!$Q$4:$Q$204,0)),"")</f>
        <v/>
      </c>
      <c r="D288" s="145">
        <f>IFERROR(INDEX('كشف الحساب'!$D$4:$D$204,MATCH(79,'كشف الحساب'!$Q$4:$Q$204,0)),"")</f>
        <v/>
      </c>
      <c r="E288" s="146">
        <f>IFERROR(INDEX('كشف الحساب'!$G$4:$G$204,MATCH(79,'كشف الحساب'!$Q$4:$Q$204,0)),"")</f>
        <v/>
      </c>
      <c r="F288" s="143" t="n"/>
    </row>
    <row r="289" ht="18" customHeight="1" s="165">
      <c r="A289" s="180">
        <f>IFERROR(INDEX('كشف الحساب'!$A$4:$A$204,MATCH(80,'كشف الحساب'!$Q$4:$Q$204,0)),"")</f>
        <v/>
      </c>
      <c r="B289" s="144">
        <f>IFERROR(INDEX('كشف الحساب'!$B$4:$B$204,MATCH(80,'كشف الحساب'!$Q$4:$Q$204,0)),"")</f>
        <v/>
      </c>
      <c r="C289" s="143">
        <f>IFERROR(INDEX('كشف الحساب'!$C$4:$C$204,MATCH(80,'كشف الحساب'!$Q$4:$Q$204,0)),"")</f>
        <v/>
      </c>
      <c r="D289" s="145">
        <f>IFERROR(INDEX('كشف الحساب'!$D$4:$D$204,MATCH(80,'كشف الحساب'!$Q$4:$Q$204,0)),"")</f>
        <v/>
      </c>
      <c r="E289" s="146">
        <f>IFERROR(INDEX('كشف الحساب'!$G$4:$G$204,MATCH(80,'كشف الحساب'!$Q$4:$Q$204,0)),"")</f>
        <v/>
      </c>
      <c r="F289" s="143" t="n"/>
    </row>
    <row r="290" ht="18" customHeight="1" s="165">
      <c r="A290" s="180">
        <f>IFERROR(INDEX('كشف الحساب'!$A$4:$A$204,MATCH(81,'كشف الحساب'!$Q$4:$Q$204,0)),"")</f>
        <v/>
      </c>
      <c r="B290" s="144">
        <f>IFERROR(INDEX('كشف الحساب'!$B$4:$B$204,MATCH(81,'كشف الحساب'!$Q$4:$Q$204,0)),"")</f>
        <v/>
      </c>
      <c r="C290" s="143">
        <f>IFERROR(INDEX('كشف الحساب'!$C$4:$C$204,MATCH(81,'كشف الحساب'!$Q$4:$Q$204,0)),"")</f>
        <v/>
      </c>
      <c r="D290" s="145">
        <f>IFERROR(INDEX('كشف الحساب'!$D$4:$D$204,MATCH(81,'كشف الحساب'!$Q$4:$Q$204,0)),"")</f>
        <v/>
      </c>
      <c r="E290" s="146">
        <f>IFERROR(INDEX('كشف الحساب'!$G$4:$G$204,MATCH(81,'كشف الحساب'!$Q$4:$Q$204,0)),"")</f>
        <v/>
      </c>
      <c r="F290" s="143" t="n"/>
    </row>
    <row r="291" ht="18" customHeight="1" s="165">
      <c r="A291" s="180">
        <f>IFERROR(INDEX('كشف الحساب'!$A$4:$A$204,MATCH(82,'كشف الحساب'!$Q$4:$Q$204,0)),"")</f>
        <v/>
      </c>
      <c r="B291" s="144">
        <f>IFERROR(INDEX('كشف الحساب'!$B$4:$B$204,MATCH(82,'كشف الحساب'!$Q$4:$Q$204,0)),"")</f>
        <v/>
      </c>
      <c r="C291" s="143">
        <f>IFERROR(INDEX('كشف الحساب'!$C$4:$C$204,MATCH(82,'كشف الحساب'!$Q$4:$Q$204,0)),"")</f>
        <v/>
      </c>
      <c r="D291" s="145">
        <f>IFERROR(INDEX('كشف الحساب'!$D$4:$D$204,MATCH(82,'كشف الحساب'!$Q$4:$Q$204,0)),"")</f>
        <v/>
      </c>
      <c r="E291" s="146">
        <f>IFERROR(INDEX('كشف الحساب'!$G$4:$G$204,MATCH(82,'كشف الحساب'!$Q$4:$Q$204,0)),"")</f>
        <v/>
      </c>
      <c r="F291" s="143" t="n"/>
    </row>
    <row r="292" ht="18" customHeight="1" s="165">
      <c r="A292" s="180">
        <f>IFERROR(INDEX('كشف الحساب'!$A$4:$A$204,MATCH(83,'كشف الحساب'!$Q$4:$Q$204,0)),"")</f>
        <v/>
      </c>
      <c r="B292" s="144">
        <f>IFERROR(INDEX('كشف الحساب'!$B$4:$B$204,MATCH(83,'كشف الحساب'!$Q$4:$Q$204,0)),"")</f>
        <v/>
      </c>
      <c r="C292" s="143">
        <f>IFERROR(INDEX('كشف الحساب'!$C$4:$C$204,MATCH(83,'كشف الحساب'!$Q$4:$Q$204,0)),"")</f>
        <v/>
      </c>
      <c r="D292" s="145">
        <f>IFERROR(INDEX('كشف الحساب'!$D$4:$D$204,MATCH(83,'كشف الحساب'!$Q$4:$Q$204,0)),"")</f>
        <v/>
      </c>
      <c r="E292" s="146">
        <f>IFERROR(INDEX('كشف الحساب'!$G$4:$G$204,MATCH(83,'كشف الحساب'!$Q$4:$Q$204,0)),"")</f>
        <v/>
      </c>
      <c r="F292" s="143" t="n"/>
    </row>
    <row r="293" ht="18" customHeight="1" s="165">
      <c r="A293" s="180">
        <f>IFERROR(INDEX('كشف الحساب'!$A$4:$A$204,MATCH(84,'كشف الحساب'!$Q$4:$Q$204,0)),"")</f>
        <v/>
      </c>
      <c r="B293" s="144">
        <f>IFERROR(INDEX('كشف الحساب'!$B$4:$B$204,MATCH(84,'كشف الحساب'!$Q$4:$Q$204,0)),"")</f>
        <v/>
      </c>
      <c r="C293" s="143">
        <f>IFERROR(INDEX('كشف الحساب'!$C$4:$C$204,MATCH(84,'كشف الحساب'!$Q$4:$Q$204,0)),"")</f>
        <v/>
      </c>
      <c r="D293" s="145">
        <f>IFERROR(INDEX('كشف الحساب'!$D$4:$D$204,MATCH(84,'كشف الحساب'!$Q$4:$Q$204,0)),"")</f>
        <v/>
      </c>
      <c r="E293" s="146">
        <f>IFERROR(INDEX('كشف الحساب'!$G$4:$G$204,MATCH(84,'كشف الحساب'!$Q$4:$Q$204,0)),"")</f>
        <v/>
      </c>
      <c r="F293" s="143" t="n"/>
    </row>
    <row r="294" ht="18" customHeight="1" s="165">
      <c r="A294" s="180">
        <f>IFERROR(INDEX('كشف الحساب'!$A$4:$A$204,MATCH(85,'كشف الحساب'!$Q$4:$Q$204,0)),"")</f>
        <v/>
      </c>
      <c r="B294" s="144">
        <f>IFERROR(INDEX('كشف الحساب'!$B$4:$B$204,MATCH(85,'كشف الحساب'!$Q$4:$Q$204,0)),"")</f>
        <v/>
      </c>
      <c r="C294" s="143">
        <f>IFERROR(INDEX('كشف الحساب'!$C$4:$C$204,MATCH(85,'كشف الحساب'!$Q$4:$Q$204,0)),"")</f>
        <v/>
      </c>
      <c r="D294" s="145">
        <f>IFERROR(INDEX('كشف الحساب'!$D$4:$D$204,MATCH(85,'كشف الحساب'!$Q$4:$Q$204,0)),"")</f>
        <v/>
      </c>
      <c r="E294" s="146">
        <f>IFERROR(INDEX('كشف الحساب'!$G$4:$G$204,MATCH(85,'كشف الحساب'!$Q$4:$Q$204,0)),"")</f>
        <v/>
      </c>
      <c r="F294" s="143" t="n"/>
    </row>
    <row r="295" ht="18" customHeight="1" s="165">
      <c r="A295" s="180">
        <f>IFERROR(INDEX('كشف الحساب'!$A$4:$A$204,MATCH(86,'كشف الحساب'!$Q$4:$Q$204,0)),"")</f>
        <v/>
      </c>
      <c r="B295" s="144">
        <f>IFERROR(INDEX('كشف الحساب'!$B$4:$B$204,MATCH(86,'كشف الحساب'!$Q$4:$Q$204,0)),"")</f>
        <v/>
      </c>
      <c r="C295" s="143">
        <f>IFERROR(INDEX('كشف الحساب'!$C$4:$C$204,MATCH(86,'كشف الحساب'!$Q$4:$Q$204,0)),"")</f>
        <v/>
      </c>
      <c r="D295" s="145">
        <f>IFERROR(INDEX('كشف الحساب'!$D$4:$D$204,MATCH(86,'كشف الحساب'!$Q$4:$Q$204,0)),"")</f>
        <v/>
      </c>
      <c r="E295" s="146">
        <f>IFERROR(INDEX('كشف الحساب'!$G$4:$G$204,MATCH(86,'كشف الحساب'!$Q$4:$Q$204,0)),"")</f>
        <v/>
      </c>
      <c r="F295" s="143" t="n"/>
    </row>
    <row r="296" ht="18" customHeight="1" s="165">
      <c r="A296" s="180">
        <f>IFERROR(INDEX('كشف الحساب'!$A$4:$A$204,MATCH(87,'كشف الحساب'!$Q$4:$Q$204,0)),"")</f>
        <v/>
      </c>
      <c r="B296" s="144">
        <f>IFERROR(INDEX('كشف الحساب'!$B$4:$B$204,MATCH(87,'كشف الحساب'!$Q$4:$Q$204,0)),"")</f>
        <v/>
      </c>
      <c r="C296" s="143">
        <f>IFERROR(INDEX('كشف الحساب'!$C$4:$C$204,MATCH(87,'كشف الحساب'!$Q$4:$Q$204,0)),"")</f>
        <v/>
      </c>
      <c r="D296" s="145">
        <f>IFERROR(INDEX('كشف الحساب'!$D$4:$D$204,MATCH(87,'كشف الحساب'!$Q$4:$Q$204,0)),"")</f>
        <v/>
      </c>
      <c r="E296" s="146">
        <f>IFERROR(INDEX('كشف الحساب'!$G$4:$G$204,MATCH(87,'كشف الحساب'!$Q$4:$Q$204,0)),"")</f>
        <v/>
      </c>
      <c r="F296" s="143" t="n"/>
    </row>
    <row r="297" ht="18" customHeight="1" s="165">
      <c r="A297" s="180">
        <f>IFERROR(INDEX('كشف الحساب'!$A$4:$A$204,MATCH(88,'كشف الحساب'!$Q$4:$Q$204,0)),"")</f>
        <v/>
      </c>
      <c r="B297" s="144">
        <f>IFERROR(INDEX('كشف الحساب'!$B$4:$B$204,MATCH(88,'كشف الحساب'!$Q$4:$Q$204,0)),"")</f>
        <v/>
      </c>
      <c r="C297" s="143">
        <f>IFERROR(INDEX('كشف الحساب'!$C$4:$C$204,MATCH(88,'كشف الحساب'!$Q$4:$Q$204,0)),"")</f>
        <v/>
      </c>
      <c r="D297" s="145">
        <f>IFERROR(INDEX('كشف الحساب'!$D$4:$D$204,MATCH(88,'كشف الحساب'!$Q$4:$Q$204,0)),"")</f>
        <v/>
      </c>
      <c r="E297" s="146">
        <f>IFERROR(INDEX('كشف الحساب'!$G$4:$G$204,MATCH(88,'كشف الحساب'!$Q$4:$Q$204,0)),"")</f>
        <v/>
      </c>
      <c r="F297" s="143" t="n"/>
    </row>
    <row r="298" ht="18" customHeight="1" s="165">
      <c r="A298" s="180">
        <f>IFERROR(INDEX('كشف الحساب'!$A$4:$A$204,MATCH(89,'كشف الحساب'!$Q$4:$Q$204,0)),"")</f>
        <v/>
      </c>
      <c r="B298" s="144">
        <f>IFERROR(INDEX('كشف الحساب'!$B$4:$B$204,MATCH(89,'كشف الحساب'!$Q$4:$Q$204,0)),"")</f>
        <v/>
      </c>
      <c r="C298" s="143">
        <f>IFERROR(INDEX('كشف الحساب'!$C$4:$C$204,MATCH(89,'كشف الحساب'!$Q$4:$Q$204,0)),"")</f>
        <v/>
      </c>
      <c r="D298" s="145">
        <f>IFERROR(INDEX('كشف الحساب'!$D$4:$D$204,MATCH(89,'كشف الحساب'!$Q$4:$Q$204,0)),"")</f>
        <v/>
      </c>
      <c r="E298" s="146">
        <f>IFERROR(INDEX('كشف الحساب'!$G$4:$G$204,MATCH(89,'كشف الحساب'!$Q$4:$Q$204,0)),"")</f>
        <v/>
      </c>
      <c r="F298" s="143" t="n"/>
    </row>
    <row r="299" ht="18" customHeight="1" s="165">
      <c r="A299" s="180">
        <f>IFERROR(INDEX('كشف الحساب'!$A$4:$A$204,MATCH(90,'كشف الحساب'!$Q$4:$Q$204,0)),"")</f>
        <v/>
      </c>
      <c r="B299" s="144">
        <f>IFERROR(INDEX('كشف الحساب'!$B$4:$B$204,MATCH(90,'كشف الحساب'!$Q$4:$Q$204,0)),"")</f>
        <v/>
      </c>
      <c r="C299" s="143">
        <f>IFERROR(INDEX('كشف الحساب'!$C$4:$C$204,MATCH(90,'كشف الحساب'!$Q$4:$Q$204,0)),"")</f>
        <v/>
      </c>
      <c r="D299" s="145">
        <f>IFERROR(INDEX('كشف الحساب'!$D$4:$D$204,MATCH(90,'كشف الحساب'!$Q$4:$Q$204,0)),"")</f>
        <v/>
      </c>
      <c r="E299" s="146">
        <f>IFERROR(INDEX('كشف الحساب'!$G$4:$G$204,MATCH(90,'كشف الحساب'!$Q$4:$Q$204,0)),"")</f>
        <v/>
      </c>
      <c r="F299" s="143" t="n"/>
    </row>
    <row r="300" ht="18" customHeight="1" s="165">
      <c r="A300" s="180">
        <f>IFERROR(INDEX('كشف الحساب'!$A$4:$A$204,MATCH(91,'كشف الحساب'!$Q$4:$Q$204,0)),"")</f>
        <v/>
      </c>
      <c r="B300" s="144">
        <f>IFERROR(INDEX('كشف الحساب'!$B$4:$B$204,MATCH(91,'كشف الحساب'!$Q$4:$Q$204,0)),"")</f>
        <v/>
      </c>
      <c r="C300" s="143">
        <f>IFERROR(INDEX('كشف الحساب'!$C$4:$C$204,MATCH(91,'كشف الحساب'!$Q$4:$Q$204,0)),"")</f>
        <v/>
      </c>
      <c r="D300" s="145">
        <f>IFERROR(INDEX('كشف الحساب'!$D$4:$D$204,MATCH(91,'كشف الحساب'!$Q$4:$Q$204,0)),"")</f>
        <v/>
      </c>
      <c r="E300" s="146">
        <f>IFERROR(INDEX('كشف الحساب'!$G$4:$G$204,MATCH(91,'كشف الحساب'!$Q$4:$Q$204,0)),"")</f>
        <v/>
      </c>
      <c r="F300" s="143" t="n"/>
    </row>
    <row r="301" ht="18" customHeight="1" s="165">
      <c r="A301" s="180">
        <f>IFERROR(INDEX('كشف الحساب'!$A$4:$A$204,MATCH(92,'كشف الحساب'!$Q$4:$Q$204,0)),"")</f>
        <v/>
      </c>
      <c r="B301" s="144">
        <f>IFERROR(INDEX('كشف الحساب'!$B$4:$B$204,MATCH(92,'كشف الحساب'!$Q$4:$Q$204,0)),"")</f>
        <v/>
      </c>
      <c r="C301" s="143">
        <f>IFERROR(INDEX('كشف الحساب'!$C$4:$C$204,MATCH(92,'كشف الحساب'!$Q$4:$Q$204,0)),"")</f>
        <v/>
      </c>
      <c r="D301" s="145">
        <f>IFERROR(INDEX('كشف الحساب'!$D$4:$D$204,MATCH(92,'كشف الحساب'!$Q$4:$Q$204,0)),"")</f>
        <v/>
      </c>
      <c r="E301" s="146">
        <f>IFERROR(INDEX('كشف الحساب'!$G$4:$G$204,MATCH(92,'كشف الحساب'!$Q$4:$Q$204,0)),"")</f>
        <v/>
      </c>
      <c r="F301" s="143" t="n"/>
    </row>
    <row r="302" ht="18" customHeight="1" s="165">
      <c r="A302" s="180">
        <f>IFERROR(INDEX('كشف الحساب'!$A$4:$A$204,MATCH(93,'كشف الحساب'!$Q$4:$Q$204,0)),"")</f>
        <v/>
      </c>
      <c r="B302" s="144">
        <f>IFERROR(INDEX('كشف الحساب'!$B$4:$B$204,MATCH(93,'كشف الحساب'!$Q$4:$Q$204,0)),"")</f>
        <v/>
      </c>
      <c r="C302" s="143">
        <f>IFERROR(INDEX('كشف الحساب'!$C$4:$C$204,MATCH(93,'كشف الحساب'!$Q$4:$Q$204,0)),"")</f>
        <v/>
      </c>
      <c r="D302" s="145">
        <f>IFERROR(INDEX('كشف الحساب'!$D$4:$D$204,MATCH(93,'كشف الحساب'!$Q$4:$Q$204,0)),"")</f>
        <v/>
      </c>
      <c r="E302" s="146">
        <f>IFERROR(INDEX('كشف الحساب'!$G$4:$G$204,MATCH(93,'كشف الحساب'!$Q$4:$Q$204,0)),"")</f>
        <v/>
      </c>
      <c r="F302" s="143" t="n"/>
    </row>
    <row r="303" ht="18" customHeight="1" s="165">
      <c r="A303" s="180">
        <f>IFERROR(INDEX('كشف الحساب'!$A$4:$A$204,MATCH(94,'كشف الحساب'!$Q$4:$Q$204,0)),"")</f>
        <v/>
      </c>
      <c r="B303" s="144">
        <f>IFERROR(INDEX('كشف الحساب'!$B$4:$B$204,MATCH(94,'كشف الحساب'!$Q$4:$Q$204,0)),"")</f>
        <v/>
      </c>
      <c r="C303" s="143">
        <f>IFERROR(INDEX('كشف الحساب'!$C$4:$C$204,MATCH(94,'كشف الحساب'!$Q$4:$Q$204,0)),"")</f>
        <v/>
      </c>
      <c r="D303" s="145">
        <f>IFERROR(INDEX('كشف الحساب'!$D$4:$D$204,MATCH(94,'كشف الحساب'!$Q$4:$Q$204,0)),"")</f>
        <v/>
      </c>
      <c r="E303" s="146">
        <f>IFERROR(INDEX('كشف الحساب'!$G$4:$G$204,MATCH(94,'كشف الحساب'!$Q$4:$Q$204,0)),"")</f>
        <v/>
      </c>
      <c r="F303" s="143" t="n"/>
    </row>
    <row r="304" ht="18" customHeight="1" s="165">
      <c r="A304" s="180">
        <f>IFERROR(INDEX('كشف الحساب'!$A$4:$A$204,MATCH(95,'كشف الحساب'!$Q$4:$Q$204,0)),"")</f>
        <v/>
      </c>
      <c r="B304" s="144">
        <f>IFERROR(INDEX('كشف الحساب'!$B$4:$B$204,MATCH(95,'كشف الحساب'!$Q$4:$Q$204,0)),"")</f>
        <v/>
      </c>
      <c r="C304" s="143">
        <f>IFERROR(INDEX('كشف الحساب'!$C$4:$C$204,MATCH(95,'كشف الحساب'!$Q$4:$Q$204,0)),"")</f>
        <v/>
      </c>
      <c r="D304" s="145">
        <f>IFERROR(INDEX('كشف الحساب'!$D$4:$D$204,MATCH(95,'كشف الحساب'!$Q$4:$Q$204,0)),"")</f>
        <v/>
      </c>
      <c r="E304" s="146">
        <f>IFERROR(INDEX('كشف الحساب'!$G$4:$G$204,MATCH(95,'كشف الحساب'!$Q$4:$Q$204,0)),"")</f>
        <v/>
      </c>
      <c r="F304" s="143" t="n"/>
    </row>
    <row r="305" ht="18" customHeight="1" s="165">
      <c r="A305" s="180">
        <f>IFERROR(INDEX('كشف الحساب'!$A$4:$A$204,MATCH(96,'كشف الحساب'!$Q$4:$Q$204,0)),"")</f>
        <v/>
      </c>
      <c r="B305" s="144">
        <f>IFERROR(INDEX('كشف الحساب'!$B$4:$B$204,MATCH(96,'كشف الحساب'!$Q$4:$Q$204,0)),"")</f>
        <v/>
      </c>
      <c r="C305" s="143">
        <f>IFERROR(INDEX('كشف الحساب'!$C$4:$C$204,MATCH(96,'كشف الحساب'!$Q$4:$Q$204,0)),"")</f>
        <v/>
      </c>
      <c r="D305" s="145">
        <f>IFERROR(INDEX('كشف الحساب'!$D$4:$D$204,MATCH(96,'كشف الحساب'!$Q$4:$Q$204,0)),"")</f>
        <v/>
      </c>
      <c r="E305" s="146">
        <f>IFERROR(INDEX('كشف الحساب'!$G$4:$G$204,MATCH(96,'كشف الحساب'!$Q$4:$Q$204,0)),"")</f>
        <v/>
      </c>
      <c r="F305" s="143" t="n"/>
    </row>
    <row r="306" ht="18" customHeight="1" s="165">
      <c r="A306" s="180">
        <f>IFERROR(INDEX('كشف الحساب'!$A$4:$A$204,MATCH(97,'كشف الحساب'!$Q$4:$Q$204,0)),"")</f>
        <v/>
      </c>
      <c r="B306" s="144">
        <f>IFERROR(INDEX('كشف الحساب'!$B$4:$B$204,MATCH(97,'كشف الحساب'!$Q$4:$Q$204,0)),"")</f>
        <v/>
      </c>
      <c r="C306" s="143">
        <f>IFERROR(INDEX('كشف الحساب'!$C$4:$C$204,MATCH(97,'كشف الحساب'!$Q$4:$Q$204,0)),"")</f>
        <v/>
      </c>
      <c r="D306" s="145">
        <f>IFERROR(INDEX('كشف الحساب'!$D$4:$D$204,MATCH(97,'كشف الحساب'!$Q$4:$Q$204,0)),"")</f>
        <v/>
      </c>
      <c r="E306" s="146">
        <f>IFERROR(INDEX('كشف الحساب'!$G$4:$G$204,MATCH(97,'كشف الحساب'!$Q$4:$Q$204,0)),"")</f>
        <v/>
      </c>
      <c r="F306" s="143" t="n"/>
    </row>
    <row r="307" ht="18" customHeight="1" s="165">
      <c r="A307" s="180">
        <f>IFERROR(INDEX('كشف الحساب'!$A$4:$A$204,MATCH(98,'كشف الحساب'!$Q$4:$Q$204,0)),"")</f>
        <v/>
      </c>
      <c r="B307" s="144">
        <f>IFERROR(INDEX('كشف الحساب'!$B$4:$B$204,MATCH(98,'كشف الحساب'!$Q$4:$Q$204,0)),"")</f>
        <v/>
      </c>
      <c r="C307" s="143">
        <f>IFERROR(INDEX('كشف الحساب'!$C$4:$C$204,MATCH(98,'كشف الحساب'!$Q$4:$Q$204,0)),"")</f>
        <v/>
      </c>
      <c r="D307" s="145">
        <f>IFERROR(INDEX('كشف الحساب'!$D$4:$D$204,MATCH(98,'كشف الحساب'!$Q$4:$Q$204,0)),"")</f>
        <v/>
      </c>
      <c r="E307" s="146">
        <f>IFERROR(INDEX('كشف الحساب'!$G$4:$G$204,MATCH(98,'كشف الحساب'!$Q$4:$Q$204,0)),"")</f>
        <v/>
      </c>
      <c r="F307" s="143" t="n"/>
    </row>
    <row r="308" ht="18" customHeight="1" s="165">
      <c r="A308" s="180">
        <f>IFERROR(INDEX('كشف الحساب'!$A$4:$A$204,MATCH(99,'كشف الحساب'!$Q$4:$Q$204,0)),"")</f>
        <v/>
      </c>
      <c r="B308" s="144">
        <f>IFERROR(INDEX('كشف الحساب'!$B$4:$B$204,MATCH(99,'كشف الحساب'!$Q$4:$Q$204,0)),"")</f>
        <v/>
      </c>
      <c r="C308" s="143">
        <f>IFERROR(INDEX('كشف الحساب'!$C$4:$C$204,MATCH(99,'كشف الحساب'!$Q$4:$Q$204,0)),"")</f>
        <v/>
      </c>
      <c r="D308" s="145">
        <f>IFERROR(INDEX('كشف الحساب'!$D$4:$D$204,MATCH(99,'كشف الحساب'!$Q$4:$Q$204,0)),"")</f>
        <v/>
      </c>
      <c r="E308" s="146">
        <f>IFERROR(INDEX('كشف الحساب'!$G$4:$G$204,MATCH(99,'كشف الحساب'!$Q$4:$Q$204,0)),"")</f>
        <v/>
      </c>
      <c r="F308" s="143" t="n"/>
    </row>
    <row r="309" ht="18" customHeight="1" s="165">
      <c r="A309" s="180">
        <f>IFERROR(INDEX('كشف الحساب'!$A$4:$A$204,MATCH(100,'كشف الحساب'!$Q$4:$Q$204,0)),"")</f>
        <v/>
      </c>
      <c r="B309" s="144">
        <f>IFERROR(INDEX('كشف الحساب'!$B$4:$B$204,MATCH(100,'كشف الحساب'!$Q$4:$Q$204,0)),"")</f>
        <v/>
      </c>
      <c r="C309" s="143">
        <f>IFERROR(INDEX('كشف الحساب'!$C$4:$C$204,MATCH(100,'كشف الحساب'!$Q$4:$Q$204,0)),"")</f>
        <v/>
      </c>
      <c r="D309" s="145">
        <f>IFERROR(INDEX('كشف الحساب'!$D$4:$D$204,MATCH(100,'كشف الحساب'!$Q$4:$Q$204,0)),"")</f>
        <v/>
      </c>
      <c r="E309" s="146">
        <f>IFERROR(INDEX('كشف الحساب'!$G$4:$G$204,MATCH(100,'كشف الحساب'!$Q$4:$Q$204,0)),"")</f>
        <v/>
      </c>
      <c r="F309" s="143" t="n"/>
    </row>
    <row r="310">
      <c r="A310" s="137" t="n"/>
      <c r="B310" s="137" t="n"/>
      <c r="C310" s="138" t="inlineStr">
        <is>
          <t>إجمالي مدفوعات الشركاء</t>
        </is>
      </c>
      <c r="D310" s="139">
        <f>SUM(D210:D309)</f>
        <v/>
      </c>
      <c r="E310" s="140" t="n"/>
      <c r="F310" s="141" t="n"/>
    </row>
    <row r="311">
      <c r="A311" s="137" t="n"/>
      <c r="B311" s="137" t="n"/>
      <c r="C311" s="138" t="inlineStr">
        <is>
          <t>دين أبو اسحاق</t>
        </is>
      </c>
      <c r="D311" s="139">
        <f>SUMIF(E210:E309,"أبو اسحاق",D210:D309)</f>
        <v/>
      </c>
      <c r="E311" s="140" t="n"/>
      <c r="F311" s="141" t="n"/>
    </row>
    <row r="312">
      <c r="A312" s="137" t="n"/>
      <c r="B312" s="137" t="n"/>
      <c r="C312" s="138" t="inlineStr">
        <is>
          <t>دين أبو آدم</t>
        </is>
      </c>
      <c r="D312" s="139">
        <f>SUMIF(E210:E309,"أبو آدم",D210:D309)</f>
        <v/>
      </c>
      <c r="E312" s="140" t="n"/>
      <c r="F312" s="141" t="n"/>
    </row>
    <row r="313"/>
    <row r="314"/>
    <row r="315"/>
    <row r="316"/>
    <row r="317"/>
    <row r="318"/>
    <row r="319"/>
    <row r="320"/>
  </sheetData>
  <mergeCells count="5">
    <mergeCell ref="A208:F208"/>
    <mergeCell ref="A2:E2"/>
    <mergeCell ref="A1:F1"/>
    <mergeCell ref="A4:F4"/>
    <mergeCell ref="A3:F3"/>
  </mergeCells>
  <conditionalFormatting sqref="A6:F205">
    <cfRule type="expression" priority="1" dxfId="6">
      <formula>AND($A6&lt;&gt;"",$E6="")</formula>
    </cfRule>
    <cfRule type="expression" priority="2" dxfId="7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206"/>
  <sheetViews>
    <sheetView rightToLeft="1" zoomScaleNormal="100" workbookViewId="0">
      <pane ySplit="3" topLeftCell="A68" activePane="bottomLeft" state="frozen"/>
      <selection pane="bottomLeft" activeCell="H104" sqref="H104"/>
    </sheetView>
  </sheetViews>
  <sheetFormatPr baseColWidth="8" defaultColWidth="8.7109375" defaultRowHeight="15"/>
  <cols>
    <col width="13" customWidth="1" style="165" min="1" max="1"/>
    <col width="14" customWidth="1" style="165" min="2" max="2"/>
    <col width="27.85546875" customWidth="1" style="165" min="3" max="3"/>
    <col width="16" customWidth="1" style="165" min="4" max="6"/>
    <col width="14" customWidth="1" style="165" min="7" max="8"/>
    <col width="22" customWidth="1" style="165" min="9" max="10"/>
    <col width="20" customWidth="1" style="165" min="11" max="11"/>
    <col hidden="1" width="4" customWidth="1" style="165" min="12" max="14"/>
  </cols>
  <sheetData>
    <row r="1" ht="31.5" customHeight="1" s="165">
      <c r="A1" s="166" t="inlineStr">
        <is>
          <t>كشف حساب المزرعة  —  Farm Account Statement</t>
        </is>
      </c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</row>
    <row r="2" ht="24" customHeight="1" s="165">
      <c r="A2" s="163" t="inlineStr">
        <is>
          <t>الرصيد الافتتاحي  /  Opening Balance</t>
        </is>
      </c>
      <c r="B2" s="161" t="n"/>
      <c r="C2" s="161" t="n"/>
      <c r="D2" s="1" t="n">
        <v>0</v>
      </c>
      <c r="E2" s="164" t="inlineStr">
        <is>
          <t>← اكتب الرصيد الافتتاحي هنا</t>
        </is>
      </c>
    </row>
    <row r="3" ht="36" customHeight="1" s="165">
      <c r="A3" s="22" t="inlineStr">
        <is>
          <t>التاريخ
Date</t>
        </is>
      </c>
      <c r="B3" s="22" t="inlineStr">
        <is>
          <t>المرجع
Ref #</t>
        </is>
      </c>
      <c r="C3" s="22" t="inlineStr">
        <is>
          <t>البيان / الوصف
Description</t>
        </is>
      </c>
      <c r="D3" s="22" t="inlineStr">
        <is>
          <t>سحب (مدين)
Debit</t>
        </is>
      </c>
      <c r="E3" s="22" t="inlineStr">
        <is>
          <t>إيداع (دائن)
Credit</t>
        </is>
      </c>
      <c r="F3" s="22" t="inlineStr">
        <is>
          <t>طريقة الدفع
Pay Method</t>
        </is>
      </c>
      <c r="G3" s="22" t="inlineStr">
        <is>
          <t>الدافع / من المحفظة
Paid By</t>
        </is>
      </c>
      <c r="H3" s="22" t="inlineStr">
        <is>
          <t>الحالة
Status</t>
        </is>
      </c>
      <c r="I3" s="22" t="inlineStr">
        <is>
          <t>بند الصرف
Wallet Band</t>
        </is>
      </c>
      <c r="J3" s="22" t="inlineStr">
        <is>
          <t>الرصيد
Balance</t>
        </is>
      </c>
      <c r="K3" s="22" t="inlineStr">
        <is>
          <t>ملاحظات
Notes</t>
        </is>
      </c>
      <c r="L3" s="23" t="inlineStr">
        <is>
          <t># إيداع</t>
        </is>
      </c>
      <c r="M3" s="23" t="inlineStr">
        <is>
          <t># محفظة</t>
        </is>
      </c>
      <c r="N3" s="24" t="inlineStr">
        <is>
          <t># طباعة</t>
        </is>
      </c>
      <c r="O3" s="24" t="inlineStr">
        <is>
          <t># شركاء</t>
        </is>
      </c>
      <c r="P3" s="24" t="inlineStr">
        <is>
          <t>تسلسل_محفظة</t>
        </is>
      </c>
      <c r="Q3" s="24" t="inlineStr">
        <is>
          <t>تسلسل_شركاء</t>
        </is>
      </c>
    </row>
    <row r="4" ht="18.75" customHeight="1" s="165">
      <c r="A4" s="25" t="n">
        <v>46117</v>
      </c>
      <c r="B4" s="26" t="inlineStr">
        <is>
          <t>82869</t>
        </is>
      </c>
      <c r="C4" s="27" t="inlineStr">
        <is>
          <t>مبيدات الاتحاد الكويتي للمزارعين(4.500)</t>
        </is>
      </c>
      <c r="D4" s="28" t="n"/>
      <c r="E4" s="29" t="n"/>
      <c r="F4" s="30" t="inlineStr">
        <is>
          <t>نقداً</t>
        </is>
      </c>
      <c r="G4" s="31" t="inlineStr">
        <is>
          <t>المحفظة</t>
        </is>
      </c>
      <c r="H4" s="32" t="inlineStr">
        <is>
          <t>تم الدفع</t>
        </is>
      </c>
      <c r="I4" s="33" t="inlineStr">
        <is>
          <t>مبيدات وأسمدة</t>
        </is>
      </c>
      <c r="J4" s="34">
        <f>IFERROR(IF(AND(D4="",E4="",A4="",B4="",C4=""),"", D2+IF(E4="",0,E4)-IF(OR(G4="أبو اسحاق",G4="أبو آدم",G4="أبو اسحاق ",G4="أبو آدم "),0,IF(D4="",0,D4))),D2)</f>
        <v/>
      </c>
      <c r="K4" s="35" t="n"/>
      <c r="L4">
        <f>IF(E4&gt;0,COUNTIF($E$4:E4,"&gt;0"),"")</f>
        <v/>
      </c>
      <c r="M4">
        <f>IF(AND(D4&gt;0,G4="المحفظة"),COUNTIFS($D$4:D4,"&gt;"&amp;0,$G$4:G4,"المحفظة"),"")</f>
        <v/>
      </c>
      <c r="N4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>
        <f>IF(AND(D4&gt;0,F4="أحد الشركاء"),1,"")</f>
        <v/>
      </c>
      <c r="P4">
        <f>IF(OR($A4="",$F4="أحد الشركاء",AND($D4="",$E4="")),"",SUMPRODUCT(($A$4:$A4&lt;&gt;"")*($F$4:$F4&lt;&gt;"أحد الشركاء")*((($D$4:$D4&lt;&gt;"")+($E$4:$E4&lt;&gt;""))&gt;0)))</f>
        <v/>
      </c>
      <c r="Q4">
        <f>IF(OR($A4="",$F4&lt;&gt;"أحد الشركاء"),"",COUNTIFS($A$4:A4,"&lt;&gt;",$F$4:F4,"أحد الشركاء"))</f>
        <v/>
      </c>
    </row>
    <row r="5" ht="18.75" customHeight="1" s="165">
      <c r="A5" s="167" t="n">
        <v>46121</v>
      </c>
      <c r="B5" s="36" t="inlineStr">
        <is>
          <t>Inv-001</t>
        </is>
      </c>
      <c r="C5" s="37" t="inlineStr">
        <is>
          <t>بيع عدد١ اناناس</t>
        </is>
      </c>
      <c r="D5" s="38" t="n"/>
      <c r="E5" s="39" t="n">
        <v>5</v>
      </c>
      <c r="F5" s="160" t="inlineStr">
        <is>
          <t>نقداً</t>
        </is>
      </c>
      <c r="G5" s="40" t="n"/>
      <c r="H5" s="41" t="inlineStr">
        <is>
          <t>تم الدفع</t>
        </is>
      </c>
      <c r="I5" s="42" t="n"/>
      <c r="J5" s="43">
        <f>IF(AND(D5="",E5="",A5="",B5="",C5=""),"", IFERROR(IF(J4="",D2,J4),D2)+IF(E5="",0,E5)-IF(OR(G5="أبو اسحاق",G5="أبو آدم",G5="أبو اسحاق ",G5="أبو آدم "),0,IF(D5="",0,D5)))</f>
        <v/>
      </c>
      <c r="K5" s="44" t="n"/>
      <c r="L5">
        <f>IF(E5&gt;0,COUNTIF($E$4:E5,"&gt;0"),"")</f>
        <v/>
      </c>
      <c r="M5">
        <f>IF(AND(D5&gt;0,G5="المحفظة"),COUNTIFS($D$4:D5,"&gt;"&amp;0,$G$4:G5,"المحفظة"),"")</f>
        <v/>
      </c>
      <c r="N5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/>
      </c>
      <c r="Q5">
        <f>IF(OR($A5="",$F5&lt;&gt;"أحد الشركاء"),"",COUNTIFS($A$4:A5,"&lt;&gt;",$F$4:F5,"أحد الشركاء"))</f>
        <v/>
      </c>
    </row>
    <row r="6" ht="18.75" customHeight="1" s="165">
      <c r="A6" s="25" t="n">
        <v>46124</v>
      </c>
      <c r="B6" s="26" t="inlineStr">
        <is>
          <t>242</t>
        </is>
      </c>
      <c r="C6" s="27" t="inlineStr">
        <is>
          <t>احواض حجم 18سم عدد 2000-(90)</t>
        </is>
      </c>
      <c r="D6" s="28" t="n"/>
      <c r="E6" s="29" t="n"/>
      <c r="F6" s="30" t="inlineStr">
        <is>
          <t>نقداً</t>
        </is>
      </c>
      <c r="G6" s="31" t="inlineStr">
        <is>
          <t>المحفظة</t>
        </is>
      </c>
      <c r="H6" s="32" t="inlineStr">
        <is>
          <t>تم الدفع</t>
        </is>
      </c>
      <c r="I6" s="33" t="inlineStr">
        <is>
          <t>مستلزمات زراعية</t>
        </is>
      </c>
      <c r="J6" s="34">
        <f>IF(AND(D6="",E6="",A6="",B6="",C6=""),"", IFERROR(IF(J5="",D2,J5),D2)+IF(E6="",0,E6)-IF(OR(G6="أبو اسحاق",G6="أبو آدم",G6="أبو اسحاق ",G6="أبو آدم "),0,IF(D6="",0,D6)))</f>
        <v/>
      </c>
      <c r="K6" s="35" t="n"/>
      <c r="L6">
        <f>IF(E6&gt;0,COUNTIF($E$4:E6,"&gt;0"),"")</f>
        <v/>
      </c>
      <c r="M6">
        <f>IF(AND(D6&gt;0,G6="المحفظة"),COUNTIFS($D$4:D6,"&gt;"&amp;0,$G$4:G6,"المحفظة"),"")</f>
        <v/>
      </c>
      <c r="N6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>
        <f>IF(AND(D6&gt;0,F6="أحد الشركاء"),COUNTIFS($D$4:D6,"&gt;"&amp;0,$F$4:F6,"أحد الشركاء"),"")</f>
        <v/>
      </c>
      <c r="P6">
        <f>IF(OR($A6="",$F6="أحد الشركاء",AND($D6="",$E6="")),"",SUMPRODUCT(($A$4:$A6&lt;&gt;"")*($F$4:$F6&lt;&gt;"أحد الشركاء")*((($D$4:$D6&lt;&gt;"")+($E$4:$E6&lt;&gt;""))&gt;0)))</f>
        <v/>
      </c>
      <c r="Q6">
        <f>IF(OR($A6="",$F6&lt;&gt;"أحد الشركاء"),"",COUNTIFS($A$4:A6,"&lt;&gt;",$F$4:F6,"أحد الشركاء"))</f>
        <v/>
      </c>
    </row>
    <row r="7" ht="18.75" customHeight="1" s="165">
      <c r="A7" s="167" t="n">
        <v>46131</v>
      </c>
      <c r="B7" s="36" t="n"/>
      <c r="C7" s="37" t="inlineStr">
        <is>
          <t>تبديل كمبرسيور ثلاجة العمال</t>
        </is>
      </c>
      <c r="D7" s="38" t="n">
        <v>45</v>
      </c>
      <c r="E7" s="39" t="n"/>
      <c r="F7" s="160" t="inlineStr">
        <is>
          <t>أحد الشركاء</t>
        </is>
      </c>
      <c r="G7" s="40" t="inlineStr">
        <is>
          <t>أبو اسحاق</t>
        </is>
      </c>
      <c r="H7" s="41" t="inlineStr">
        <is>
          <t>معلق</t>
        </is>
      </c>
      <c r="I7" s="42" t="inlineStr">
        <is>
          <t>صيانة المعدات</t>
        </is>
      </c>
      <c r="J7" s="43">
        <f>IF(AND(D7="",E7="",A7="",B7="",C7=""),"", IFERROR(IF(J6="",D2,J6),D2)+IF(E7="",0,E7)-IF(OR(G7="أبو اسحاق",G7="أبو آدم",G7="أبو اسحاق ",G7="أبو آدم "),0,IF(D7="",0,D7)))</f>
        <v/>
      </c>
      <c r="K7" s="44" t="n"/>
      <c r="L7">
        <f>IF(E7&gt;0,COUNTIF($E$4:E7,"&gt;0"),"")</f>
        <v/>
      </c>
      <c r="M7">
        <f>IF(AND(D7&gt;0,G7="المحفظة"),COUNTIFS($D$4:D7,"&gt;"&amp;0,$G$4:G7,"المحفظة"),"")</f>
        <v/>
      </c>
      <c r="N7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/>
      </c>
      <c r="P7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/>
      </c>
    </row>
    <row r="8" ht="18.75" customHeight="1" s="165">
      <c r="A8" s="25" t="n">
        <v>46134</v>
      </c>
      <c r="B8" s="26" t="inlineStr">
        <is>
          <t>11300</t>
        </is>
      </c>
      <c r="C8" s="27" t="inlineStr">
        <is>
          <t>فلاتر كيميكال لمحطة التحلية</t>
        </is>
      </c>
      <c r="D8" s="28" t="n">
        <v>55</v>
      </c>
      <c r="E8" s="29" t="n"/>
      <c r="F8" s="30" t="inlineStr">
        <is>
          <t>أحد الشركاء</t>
        </is>
      </c>
      <c r="G8" s="31" t="inlineStr">
        <is>
          <t>أبو اسحاق</t>
        </is>
      </c>
      <c r="H8" s="32" t="inlineStr">
        <is>
          <t>معلق</t>
        </is>
      </c>
      <c r="I8" s="33" t="inlineStr">
        <is>
          <t>وقود ومحروقات</t>
        </is>
      </c>
      <c r="J8" s="34">
        <f>IF(AND(D8="",E8="",A8="",B8="",C8=""),"", IFERROR(IF(J7="",D2,J7),D2)+IF(E8="",0,E8)-IF(OR(G8="أبو اسحاق",G8="أبو آدم",G8="أبو اسحاق ",G8="أبو آدم "),0,IF(D8="",0,D8)))</f>
        <v/>
      </c>
      <c r="K8" s="35" t="n"/>
      <c r="L8">
        <f>IF(E8&gt;0,COUNTIF($E$4:E8,"&gt;0"),"")</f>
        <v/>
      </c>
      <c r="M8">
        <f>IF(AND(D8&gt;0,G8="المحفظة"),COUNTIFS($D$4:D8,"&gt;"&amp;0,$G$4:G8,"المحفظة"),"")</f>
        <v/>
      </c>
      <c r="N8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/>
      </c>
      <c r="P8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/>
      </c>
    </row>
    <row r="9" ht="18.75" customHeight="1" s="165">
      <c r="A9" s="167" t="n">
        <v>46134</v>
      </c>
      <c r="B9" s="36" t="n"/>
      <c r="C9" s="37" t="inlineStr">
        <is>
          <t>ديزل لمكينة الكهرباء</t>
        </is>
      </c>
      <c r="D9" s="38" t="n">
        <v>20</v>
      </c>
      <c r="E9" s="39" t="n"/>
      <c r="F9" s="160" t="inlineStr">
        <is>
          <t>أحد الشركاء</t>
        </is>
      </c>
      <c r="G9" s="40" t="inlineStr">
        <is>
          <t>أبو اسحاق</t>
        </is>
      </c>
      <c r="H9" s="41" t="inlineStr">
        <is>
          <t>معلق</t>
        </is>
      </c>
      <c r="I9" s="42" t="inlineStr">
        <is>
          <t>وقود ومحروقات</t>
        </is>
      </c>
      <c r="J9" s="43">
        <f>IF(AND(D9="",E9="",A9="",B9="",C9=""),"", IFERROR(IF(J8="",D2,J8),D2)+IF(E9="",0,E9)-IF(OR(G9="أبو اسحاق",G9="أبو آدم",G9="أبو اسحاق ",G9="أبو آدم "),0,IF(D9="",0,D9)))</f>
        <v/>
      </c>
      <c r="K9" s="44" t="n"/>
      <c r="L9">
        <f>IF(E9&gt;0,COUNTIF($E$4:E9,"&gt;0"),"")</f>
        <v/>
      </c>
      <c r="M9">
        <f>IF(AND(D9&gt;0,G9="المحفظة"),COUNTIFS($D$4:D9,"&gt;"&amp;0,$G$4:G9,"المحفظة"),"")</f>
        <v/>
      </c>
      <c r="N9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/>
      </c>
      <c r="P9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/>
      </c>
    </row>
    <row r="10" ht="18.75" customHeight="1" s="165">
      <c r="A10" s="25" t="n">
        <v>46134</v>
      </c>
      <c r="B10" s="26" t="inlineStr">
        <is>
          <t>8127</t>
        </is>
      </c>
      <c r="C10" s="27" t="inlineStr">
        <is>
          <t>تاير لعربة الرش</t>
        </is>
      </c>
      <c r="D10" s="28" t="n">
        <v>3</v>
      </c>
      <c r="E10" s="29" t="n"/>
      <c r="F10" s="30" t="inlineStr">
        <is>
          <t>نقداً</t>
        </is>
      </c>
      <c r="G10" s="31" t="inlineStr">
        <is>
          <t>المحفظة</t>
        </is>
      </c>
      <c r="H10" s="32" t="inlineStr">
        <is>
          <t>تم الدفع</t>
        </is>
      </c>
      <c r="I10" s="33" t="inlineStr">
        <is>
          <t>مستلزمات زراعية</t>
        </is>
      </c>
      <c r="J10" s="34">
        <f>IF(AND(D10="",E10="",A10="",B10="",C10=""),"", IFERROR(IF(J9="",D2,J9),D2)+IF(E10="",0,E10)-IF(OR(G10="أبو اسحاق",G10="أبو آدم",G10="أبو اسحاق ",G10="أبو آدم "),0,IF(D10="",0,D10)))</f>
        <v/>
      </c>
      <c r="K10" s="35" t="inlineStr">
        <is>
          <t>تم الصرف</t>
        </is>
      </c>
      <c r="L10">
        <f>IF(E10&gt;0,COUNTIF($E$4:E10,"&gt;0"),"")</f>
        <v/>
      </c>
      <c r="M10">
        <f>IF(AND(D10&gt;0,G10="المحفظة"),COUNTIFS($D$4:D10,"&gt;"&amp;0,$G$4:G10,"المحفظة"),"")</f>
        <v/>
      </c>
      <c r="N10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/>
      </c>
      <c r="Q10">
        <f>IF(OR($A10="",$F10&lt;&gt;"أحد الشركاء"),"",COUNTIFS($A$4:A10,"&lt;&gt;",$F$4:F10,"أحد الشركاء"))</f>
        <v/>
      </c>
    </row>
    <row r="11" ht="18.75" customHeight="1" s="165">
      <c r="A11" s="167" t="n">
        <v>46134</v>
      </c>
      <c r="B11" s="36" t="inlineStr">
        <is>
          <t>242</t>
        </is>
      </c>
      <c r="C11" s="37" t="inlineStr">
        <is>
          <t>احواض حجم25سم عدد 2000</t>
        </is>
      </c>
      <c r="D11" s="38" t="n">
        <v>160</v>
      </c>
      <c r="E11" s="39" t="n"/>
      <c r="F11" s="160" t="inlineStr">
        <is>
          <t>أحد الشركاء</t>
        </is>
      </c>
      <c r="G11" s="40" t="inlineStr">
        <is>
          <t>أبو آدم</t>
        </is>
      </c>
      <c r="H11" s="41" t="inlineStr">
        <is>
          <t>معلق</t>
        </is>
      </c>
      <c r="I11" s="42" t="inlineStr">
        <is>
          <t>أحواض وأدوات</t>
        </is>
      </c>
      <c r="J11" s="43">
        <f>IF(AND(D11="",E11="",A11="",B11="",C11=""),"", IFERROR(IF(J10="",D2,J10),D2)+IF(E11="",0,E11)-IF(OR(G11="أبو اسحاق",G11="أبو آدم",G11="أبو اسحاق ",G11="أبو آدم "),0,IF(D11="",0,D11)))</f>
        <v/>
      </c>
      <c r="K11" s="44" t="n"/>
      <c r="L11">
        <f>IF(E11&gt;0,COUNTIF($E$4:E11,"&gt;0"),"")</f>
        <v/>
      </c>
      <c r="M11">
        <f>IF(AND(D11&gt;0,G11="المحفظة"),COUNTIFS($D$4:D11,"&gt;"&amp;0,$G$4:G11,"المحفظة"),"")</f>
        <v/>
      </c>
      <c r="N11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/>
      </c>
      <c r="P11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/>
      </c>
    </row>
    <row r="12" ht="18.75" customHeight="1" s="165">
      <c r="A12" s="25" t="n">
        <v>46142</v>
      </c>
      <c r="B12" s="26" t="n"/>
      <c r="C12" s="27" t="inlineStr">
        <is>
          <t>مدخول شهر ابريل</t>
        </is>
      </c>
      <c r="D12" s="28" t="n"/>
      <c r="E12" s="29" t="n">
        <v>40.5</v>
      </c>
      <c r="F12" s="30" t="n"/>
      <c r="G12" s="31" t="n"/>
      <c r="H12" s="32" t="n"/>
      <c r="I12" s="33" t="n"/>
      <c r="J12" s="34">
        <f>IF(AND(D12="",E12="",A12="",B12="",C12=""),"", IFERROR(IF(J11="",D2,J11),D2)+IF(E12="",0,E12)-IF(OR(G12="أبو اسحاق",G12="أبو آدم",G12="أبو اسحاق ",G12="أبو آدم "),0,IF(D12="",0,D12)))</f>
        <v/>
      </c>
      <c r="K12" s="35" t="n"/>
      <c r="L12">
        <f>IF(E12&gt;0,COUNTIF($E$4:E12,"&gt;0"),"")</f>
        <v/>
      </c>
      <c r="M12">
        <f>IF(AND(D12&gt;0,G12="المحفظة"),COUNTIFS($D$4:D12,"&gt;"&amp;0,$G$4:G12,"المحفظة"),"")</f>
        <v/>
      </c>
      <c r="N12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/>
      </c>
      <c r="Q12">
        <f>IF(OR($A12="",$F12&lt;&gt;"أحد الشركاء"),"",COUNTIFS($A$4:A12,"&lt;&gt;",$F$4:F12,"أحد الشركاء"))</f>
        <v/>
      </c>
    </row>
    <row r="13" ht="18.75" customHeight="1" s="165">
      <c r="A13" s="25" t="n">
        <v>46142</v>
      </c>
      <c r="B13" s="36" t="n">
        <v>40505</v>
      </c>
      <c r="C13" s="37" t="inlineStr">
        <is>
          <t>احواض حجم 14سم عدد 2000(40)</t>
        </is>
      </c>
      <c r="D13" s="38" t="n"/>
      <c r="E13" s="39" t="n"/>
      <c r="F13" s="160" t="inlineStr">
        <is>
          <t>نقداً</t>
        </is>
      </c>
      <c r="G13" s="40" t="inlineStr">
        <is>
          <t>المحفظة</t>
        </is>
      </c>
      <c r="H13" s="41" t="inlineStr">
        <is>
          <t>تم الدفع</t>
        </is>
      </c>
      <c r="I13" s="42" t="inlineStr">
        <is>
          <t>أحواض وأدوات</t>
        </is>
      </c>
      <c r="J13" s="43">
        <f>IF(AND(D13="",E13="",A13="",B13="",C13=""),"", IFERROR(IF(J12="",D2,J12),D2)+IF(E13="",0,E13)-IF(OR(G13="أبو اسحاق",G13="أبو آدم",G13="أبو اسحاق ",G13="أبو آدم "),0,IF(D13="",0,D13)))</f>
        <v/>
      </c>
      <c r="K13" s="44" t="n"/>
      <c r="L13">
        <f>IF(E13&gt;0,COUNTIF($E$4:E13,"&gt;0"),"")</f>
        <v/>
      </c>
      <c r="M13">
        <f>IF(AND(D13&gt;0,G13="المحفظة"),COUNTIFS($D$4:D13,"&gt;"&amp;0,$G$4:G13,"المحفظة"),"")</f>
        <v/>
      </c>
      <c r="N13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>
        <f>IF(AND(D13&gt;0,F13="أحد الشركاء"),COUNTIFS($D$4:D13,"&gt;"&amp;0,$F$4:F13,"أحد الشركاء"),"")</f>
        <v/>
      </c>
      <c r="P13">
        <f>IF(OR($A13="",$F13="أحد الشركاء",AND($D13="",$E13="")),"",SUMPRODUCT(($A$4:$A13&lt;&gt;"")*($F$4:$F13&lt;&gt;"أحد الشركاء")*((($D$4:$D13&lt;&gt;"")+($E$4:$E13&lt;&gt;""))&gt;0)))</f>
        <v/>
      </c>
      <c r="Q13">
        <f>IF(OR($A13="",$F13&lt;&gt;"أحد الشركاء"),"",COUNTIFS($A$4:A13,"&lt;&gt;",$F$4:F13,"أحد الشركاء"))</f>
        <v/>
      </c>
    </row>
    <row r="14" ht="18.75" customHeight="1" s="165">
      <c r="A14" s="25" t="n">
        <v>46142</v>
      </c>
      <c r="B14" s="26" t="n">
        <v>5370</v>
      </c>
      <c r="C14" s="27" t="inlineStr">
        <is>
          <t>جبس لتغطيه المحميه(3)</t>
        </is>
      </c>
      <c r="D14" s="28" t="n"/>
      <c r="E14" s="29" t="n"/>
      <c r="F14" s="30" t="inlineStr">
        <is>
          <t>نقداً</t>
        </is>
      </c>
      <c r="G14" s="31" t="inlineStr">
        <is>
          <t>المحفظة</t>
        </is>
      </c>
      <c r="H14" s="32" t="inlineStr">
        <is>
          <t>تم الدفع</t>
        </is>
      </c>
      <c r="I14" s="33" t="inlineStr">
        <is>
          <t>مبيدات وأسمدة</t>
        </is>
      </c>
      <c r="J14" s="34">
        <f>IF(AND(D14="",E14="",A14="",B14="",C14=""),"", IFERROR(IF(J13="",D2,J13),D2)+IF(E14="",0,E14)-IF(OR(G14="أبو اسحاق",G14="أبو آدم",G14="أبو اسحاق ",G14="أبو آدم "),0,IF(D14="",0,D14)))</f>
        <v/>
      </c>
      <c r="K14" s="35" t="n"/>
      <c r="L14">
        <f>IF(E14&gt;0,COUNTIF($E$4:E14,"&gt;0"),"")</f>
        <v/>
      </c>
      <c r="M14">
        <f>IF(AND(D14&gt;0,G14="المحفظة"),COUNTIFS($D$4:D14,"&gt;"&amp;0,$G$4:G14,"المحفظة"),"")</f>
        <v/>
      </c>
      <c r="N14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>
        <f>IF(AND(D14&gt;0,F14="أحد الشركاء"),COUNTIFS($D$4:D14,"&gt;"&amp;0,$F$4:F14,"أحد الشركاء"),"")</f>
        <v/>
      </c>
      <c r="P14">
        <f>IF(OR($A14="",$F14="أحد الشركاء",AND($D14="",$E14="")),"",SUMPRODUCT(($A$4:$A14&lt;&gt;"")*($F$4:$F14&lt;&gt;"أحد الشركاء")*((($D$4:$D14&lt;&gt;"")+($E$4:$E14&lt;&gt;""))&gt;0)))</f>
        <v/>
      </c>
      <c r="Q14">
        <f>IF(OR($A14="",$F14&lt;&gt;"أحد الشركاء"),"",COUNTIFS($A$4:A14,"&lt;&gt;",$F$4:F14,"أحد الشركاء"))</f>
        <v/>
      </c>
    </row>
    <row r="15" ht="18.75" customHeight="1" s="165">
      <c r="A15" s="46" t="n">
        <v>46142</v>
      </c>
      <c r="B15" s="26" t="n"/>
      <c r="C15" s="27" t="inlineStr">
        <is>
          <t>بونص عمالة أبريل(5)</t>
        </is>
      </c>
      <c r="D15" s="28" t="n"/>
      <c r="E15" s="29" t="n"/>
      <c r="F15" s="30" t="inlineStr">
        <is>
          <t>نقداً</t>
        </is>
      </c>
      <c r="G15" s="31" t="inlineStr">
        <is>
          <t>المحفظة</t>
        </is>
      </c>
      <c r="H15" s="32" t="inlineStr">
        <is>
          <t>تم الدفع</t>
        </is>
      </c>
      <c r="I15" s="33" t="inlineStr">
        <is>
          <t>رواتب وعمالة</t>
        </is>
      </c>
      <c r="J15" s="34">
        <f>IF(AND(D15="",E15="",A15="",B15="",C15=""),"", IFERROR(IF(J14="",D3,J14),D3)+IF(E15="",0,E15)-IF(OR(G15="أبو اسحاق",G15="أبو آدم",G15="أبو اسحاق ",G15="أبو آدم "),0,IF(D15="",0,D15)))</f>
        <v/>
      </c>
      <c r="K15" s="35" t="n"/>
      <c r="L15">
        <f>IF(E15&gt;0,COUNTIF($E$4:E15,"&gt;0"),"")</f>
        <v/>
      </c>
      <c r="N15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>
        <f>IF(OR($A15="",$F15="أحد الشركاء",AND($D15="",$E15="")),"",SUMPRODUCT(($A$4:$A15&lt;&gt;"")*($F$4:$F15&lt;&gt;"أحد الشركاء")*((($D$4:$D15&lt;&gt;"")+($E$4:$E15&lt;&gt;""))&gt;0)))</f>
        <v/>
      </c>
      <c r="Q15">
        <f>IF(OR($A15="",$F15&lt;&gt;"أحد الشركاء"),"",COUNTIFS($A$4:A15,"&lt;&gt;",$F$4:F15,"أحد الشركاء"))</f>
        <v/>
      </c>
    </row>
    <row r="16" ht="18.75" customHeight="1" s="165">
      <c r="A16" s="167" t="n">
        <v>46151</v>
      </c>
      <c r="B16" s="36" t="inlineStr">
        <is>
          <t>Inv-013</t>
        </is>
      </c>
      <c r="C16" s="37" t="inlineStr">
        <is>
          <t>فل عدد 21 سعر الحبه .0.750</t>
        </is>
      </c>
      <c r="D16" s="38" t="n"/>
      <c r="E16" s="39" t="n">
        <v>15.75</v>
      </c>
      <c r="F16" s="160" t="inlineStr">
        <is>
          <t>نقداً</t>
        </is>
      </c>
      <c r="G16" s="40" t="n"/>
      <c r="H16" s="41" t="inlineStr">
        <is>
          <t>تم الدفع</t>
        </is>
      </c>
      <c r="I16" s="42" t="n"/>
      <c r="J16" s="43">
        <f>IF(AND(D16="",E16="",A16="",B16="",C16=""),"", IFERROR(IF(J15="",D2,J15),D2)+IF(E16="",0,E16)-IF(OR(G16="أبو اسحاق",G16="أبو آدم",G16="أبو اسحاق ",G16="أبو آدم "),0,IF(D16="",0,D16)))</f>
        <v/>
      </c>
      <c r="K16" s="44" t="n"/>
      <c r="L16">
        <f>IF(E15&gt;0,COUNTIF($E$4:E15,"&gt;0"),"")</f>
        <v/>
      </c>
      <c r="M16">
        <f>IF(AND(D15&gt;0,G15="المحفظة"),COUNTIFS($D$4:D15,"&gt;"&amp;0,$G$4:G15,"المحفظة"),"")</f>
        <v/>
      </c>
      <c r="N16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/>
      </c>
      <c r="Q16">
        <f>IF(OR($A16="",$F16&lt;&gt;"أحد الشركاء"),"",COUNTIFS($A$4:A16,"&lt;&gt;",$F$4:F16,"أحد الشركاء"))</f>
        <v/>
      </c>
    </row>
    <row r="17" ht="18.75" customHeight="1" s="165">
      <c r="A17" s="167" t="n">
        <v>46151</v>
      </c>
      <c r="B17" s="36" t="inlineStr">
        <is>
          <t>Inv-013A</t>
        </is>
      </c>
      <c r="C17" s="27" t="inlineStr">
        <is>
          <t>برازيليا عدد 25 سعر الحبه .500</t>
        </is>
      </c>
      <c r="D17" s="28" t="n"/>
      <c r="E17" s="29" t="n">
        <v>12.5</v>
      </c>
      <c r="F17" s="30" t="inlineStr">
        <is>
          <t>نقداً</t>
        </is>
      </c>
      <c r="G17" s="31" t="inlineStr">
        <is>
          <t>المحفظة</t>
        </is>
      </c>
      <c r="H17" s="32" t="inlineStr">
        <is>
          <t>تم الدفع</t>
        </is>
      </c>
      <c r="I17" s="33" t="n"/>
      <c r="J17" s="34">
        <f>IF(AND(D17="",E17="",A17="",B17="",C17=""),"", IFERROR(IF(J16="",D2,J16),D2)+IF(E17="",0,E17)-IF(OR(G17="أبو اسحاق",G17="أبو آدم",G17="أبو اسحاق ",G17="أبو آدم "),0,IF(D17="",0,D17)))</f>
        <v/>
      </c>
      <c r="K17" s="35" t="n"/>
      <c r="L17">
        <f>IF(E16&gt;0,COUNTIF($E$4:E16,"&gt;0"),"")</f>
        <v/>
      </c>
      <c r="M17">
        <f>IF(AND(D16&gt;0,G16="المحفظة"),COUNTIFS($D$4:D16,"&gt;"&amp;0,$G$4:G16,"المحفظة"),"")</f>
        <v/>
      </c>
      <c r="N17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/>
      </c>
      <c r="Q17">
        <f>IF(OR($A17="",$F17&lt;&gt;"أحد الشركاء"),"",COUNTIFS($A$4:A17,"&lt;&gt;",$F$4:F17,"أحد الشركاء"))</f>
        <v/>
      </c>
    </row>
    <row r="18" ht="18.75" customHeight="1" s="165">
      <c r="A18" s="167" t="n">
        <v>46151</v>
      </c>
      <c r="B18" s="36" t="n">
        <v>18213</v>
      </c>
      <c r="C18" s="37" t="inlineStr">
        <is>
          <t>شراء دريل</t>
        </is>
      </c>
      <c r="D18" s="38" t="n">
        <v>9</v>
      </c>
      <c r="E18" s="39" t="n"/>
      <c r="F18" s="160" t="inlineStr">
        <is>
          <t>أحد الشركاء</t>
        </is>
      </c>
      <c r="G18" s="40" t="inlineStr">
        <is>
          <t>أبو اسحاق</t>
        </is>
      </c>
      <c r="H18" s="41" t="inlineStr">
        <is>
          <t>معلق</t>
        </is>
      </c>
      <c r="I18" s="42" t="inlineStr">
        <is>
          <t>مستلزمات زراعية</t>
        </is>
      </c>
      <c r="J18" s="43">
        <f>IF(AND(D18="",E18="",A18="",B18="",C18=""),"", IFERROR(IF(J17="",D2,J17),D2)+IF(E18="",0,E18)-IF(OR(G18="أبو اسحاق",G18="أبو آدم",G18="أبو اسحاق ",G18="أبو آدم "),0,IF(D18="",0,D18)))</f>
        <v/>
      </c>
      <c r="K18" s="44" t="n"/>
      <c r="L18">
        <f>IF(E17&gt;0,COUNTIF($E$4:E17,"&gt;0"),"")</f>
        <v/>
      </c>
      <c r="M18">
        <f>IF(AND(D17&gt;0,G17="المحفظة"),COUNTIFS($D$4:D17,"&gt;"&amp;0,$G$4:G17,"المحفظة"),"")</f>
        <v/>
      </c>
      <c r="N18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>
        <f>IF(AND(D17&gt;0,F17="أحد الشركاء"),COUNTIFS($D$4:D17,"&gt;"&amp;0,$F$4:F17,"أحد الشركاء"),"")</f>
        <v/>
      </c>
      <c r="P18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/>
      </c>
    </row>
    <row r="19" ht="18.75" customHeight="1" s="165">
      <c r="A19" s="25" t="n">
        <v>46152</v>
      </c>
      <c r="B19" s="26" t="inlineStr">
        <is>
          <t>Inv-016</t>
        </is>
      </c>
      <c r="C19" s="27" t="inlineStr">
        <is>
          <t>ودليه عدد 3 الحبه 0.750</t>
        </is>
      </c>
      <c r="D19" s="28" t="n"/>
      <c r="E19" s="29" t="n">
        <v>2.25</v>
      </c>
      <c r="F19" s="30" t="inlineStr">
        <is>
          <t>نقداً</t>
        </is>
      </c>
      <c r="G19" s="31" t="n"/>
      <c r="H19" s="32" t="n"/>
      <c r="I19" s="33" t="n"/>
      <c r="J19" s="34">
        <f>IF(AND(D19="",E19="",A19="",B19="",C19=""),"", IFERROR(IF(J18="",D2,J18),D2)+IF(E19="",0,E19)-IF(OR(G19="أبو اسحاق",G19="أبو آدم",G19="أبو اسحاق ",G19="أبو آدم "),0,IF(D19="",0,D19)))</f>
        <v/>
      </c>
      <c r="K19" s="35" t="n"/>
      <c r="L19">
        <f>IF(E18&gt;0,COUNTIF($E$4:E18,"&gt;0"),"")</f>
        <v/>
      </c>
      <c r="M19">
        <f>IF(AND(D18&gt;0,G18="المحفظة"),COUNTIFS($D$4:D18,"&gt;"&amp;0,$G$4:G18,"المحفظة"),"")</f>
        <v/>
      </c>
      <c r="N19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/>
      </c>
      <c r="P19">
        <f>IF(OR($A19="",$F19="أحد الشركاء",AND($D19="",$E19="")),"",SUMPRODUCT(($A$4:$A19&lt;&gt;"")*($F$4:$F19&lt;&gt;"أحد الشركاء")*((($D$4:$D19&lt;&gt;"")+($E$4:$E19&lt;&gt;""))&gt;0)))</f>
        <v/>
      </c>
      <c r="Q19">
        <f>IF(OR($A19="",$F19&lt;&gt;"أحد الشركاء"),"",COUNTIFS($A$4:A19,"&lt;&gt;",$F$4:F19,"أحد الشركاء"))</f>
        <v/>
      </c>
    </row>
    <row r="20" ht="18.75" customHeight="1" s="165">
      <c r="A20" s="167" t="n">
        <v>46155</v>
      </c>
      <c r="B20" s="36" t="inlineStr">
        <is>
          <t>Inv-017</t>
        </is>
      </c>
      <c r="C20" s="37" t="inlineStr">
        <is>
          <t>فل عدد 10 الحبه 0.750</t>
        </is>
      </c>
      <c r="D20" s="38" t="n"/>
      <c r="E20" s="39" t="n">
        <v>7.5</v>
      </c>
      <c r="F20" s="160" t="inlineStr">
        <is>
          <t>نقداً</t>
        </is>
      </c>
      <c r="G20" s="40" t="n"/>
      <c r="H20" s="41" t="n"/>
      <c r="I20" s="42" t="n"/>
      <c r="J20" s="43">
        <f>IF(AND(D20="",E20="",A20="",B20="",C20=""),"", IFERROR(IF(J19="",D2,J19),D2)+IF(E20="",0,E20)-IF(OR(G20="أبو اسحاق",G20="أبو آدم",G20="أبو اسحاق ",G20="أبو آدم "),0,IF(D20="",0,D20)))</f>
        <v/>
      </c>
      <c r="K20" s="44" t="n"/>
      <c r="L20">
        <f>IF(E19&gt;0,COUNTIF($E$4:E19,"&gt;0"),"")</f>
        <v/>
      </c>
      <c r="M20">
        <f>IF(AND(D19&gt;0,G19="المحفظة"),COUNTIFS($D$4:D19,"&gt;"&amp;0,$G$4:G19,"المحفظة"),"")</f>
        <v/>
      </c>
      <c r="N20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/>
      </c>
      <c r="Q20">
        <f>IF(OR($A20="",$F20&lt;&gt;"أحد الشركاء"),"",COUNTIFS($A$4:A20,"&lt;&gt;",$F$4:F20,"أحد الشركاء"))</f>
        <v/>
      </c>
    </row>
    <row r="21" ht="18.75" customHeight="1" s="165">
      <c r="A21" s="167" t="n">
        <v>46156</v>
      </c>
      <c r="B21" s="26" t="inlineStr">
        <is>
          <t>Inv-18A</t>
        </is>
      </c>
      <c r="C21" s="27" t="inlineStr">
        <is>
          <t>ربل 4 حبات الحبه 1.500</t>
        </is>
      </c>
      <c r="D21" s="28" t="n"/>
      <c r="E21" s="29" t="n">
        <v>6</v>
      </c>
      <c r="F21" s="30" t="inlineStr">
        <is>
          <t>نقداً</t>
        </is>
      </c>
      <c r="G21" s="31" t="n"/>
      <c r="H21" s="32" t="n"/>
      <c r="I21" s="33" t="n"/>
      <c r="J21" s="34">
        <f>IF(AND(D21="",E21="",A21="",B21="",C21=""),"", IFERROR(IF(J20="",D2,J20),D2)+IF(E21="",0,E21)-IF(OR(G21="أبو اسحاق",G21="أبو آدم",G21="أبو اسحاق ",G21="أبو آدم "),0,IF(D21="",0,D21)))</f>
        <v/>
      </c>
      <c r="K21" s="35" t="n"/>
      <c r="L21">
        <f>IF(E20&gt;0,COUNTIF($E$4:E20,"&gt;0"),"")</f>
        <v/>
      </c>
      <c r="M21">
        <f>IF(AND(D20&gt;0,G20="المحفظة"),COUNTIFS($D$4:D20,"&gt;"&amp;0,$G$4:G20,"المحفظة"),"")</f>
        <v/>
      </c>
      <c r="N21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/>
      </c>
      <c r="Q21">
        <f>IF(OR($A21="",$F21&lt;&gt;"أحد الشركاء"),"",COUNTIFS($A$4:A21,"&lt;&gt;",$F$4:F21,"أحد الشركاء"))</f>
        <v/>
      </c>
    </row>
    <row r="22" ht="18.75" customHeight="1" s="165">
      <c r="A22" s="167" t="n">
        <v>46156</v>
      </c>
      <c r="B22" s="36" t="inlineStr">
        <is>
          <t>Inv-18</t>
        </is>
      </c>
      <c r="C22" s="37" t="inlineStr">
        <is>
          <t>ودليه 8 حبات الحبه 1</t>
        </is>
      </c>
      <c r="D22" s="38" t="n"/>
      <c r="E22" s="39" t="n">
        <v>8</v>
      </c>
      <c r="F22" s="160" t="inlineStr">
        <is>
          <t>نقداً</t>
        </is>
      </c>
      <c r="G22" s="40" t="n"/>
      <c r="H22" s="41" t="n"/>
      <c r="I22" s="42" t="n"/>
      <c r="J22" s="43">
        <f>IF(AND(D22="",E22="",A22="",B22="",C22=""),"", IFERROR(IF(J21="",D2,J21),D2)+IF(E22="",0,E22)-IF(OR(G22="أبو اسحاق",G22="أبو آدم",G22="أبو اسحاق ",G22="أبو آدم "),0,IF(D22="",0,D22)))</f>
        <v/>
      </c>
      <c r="K22" s="44" t="n"/>
      <c r="L22">
        <f>IF(E21&gt;0,COUNTIF($E$4:E21,"&gt;0"),"")</f>
        <v/>
      </c>
      <c r="M22">
        <f>IF(AND(D21&gt;0,G21="المحفظة"),COUNTIFS($D$4:D21,"&gt;"&amp;0,$G$4:G21,"المحفظة"),"")</f>
        <v/>
      </c>
      <c r="N22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/>
      </c>
      <c r="Q22">
        <f>IF(OR($A22="",$F22&lt;&gt;"أحد الشركاء"),"",COUNTIFS($A$4:A22,"&lt;&gt;",$F$4:F22,"أحد الشركاء"))</f>
        <v/>
      </c>
    </row>
    <row r="23" ht="18.75" customHeight="1" s="165">
      <c r="A23" s="25" t="n">
        <v>46158</v>
      </c>
      <c r="B23" s="26" t="inlineStr">
        <is>
          <t>Inv-19</t>
        </is>
      </c>
      <c r="C23" s="27" t="inlineStr">
        <is>
          <t>فل عدد 2 الحبه 0.750</t>
        </is>
      </c>
      <c r="D23" s="28" t="n"/>
      <c r="E23" s="29" t="n">
        <v>1.5</v>
      </c>
      <c r="F23" s="30" t="inlineStr">
        <is>
          <t>نقداً</t>
        </is>
      </c>
      <c r="G23" s="31" t="n"/>
      <c r="H23" s="32" t="n"/>
      <c r="I23" s="33" t="n"/>
      <c r="J23" s="34">
        <f>IF(AND(D23="",E23="",A23="",B23="",C23=""),"", IFERROR(IF(J22="",D2,J22),D2)+IF(E23="",0,E23)-IF(OR(G23="أبو اسحاق",G23="أبو آدم",G23="أبو اسحاق ",G23="أبو آدم "),0,IF(D23="",0,D23)))</f>
        <v/>
      </c>
      <c r="K23" s="35" t="n"/>
      <c r="L23">
        <f>IF(E22&gt;0,COUNTIF($E$4:E22,"&gt;0"),"")</f>
        <v/>
      </c>
      <c r="M23">
        <f>IF(AND(D22&gt;0,G22="المحفظة"),COUNTIFS($D$4:D22,"&gt;"&amp;0,$G$4:G22,"المحفظة"),"")</f>
        <v/>
      </c>
      <c r="N23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/>
      </c>
      <c r="Q23">
        <f>IF(OR($A23="",$F23&lt;&gt;"أحد الشركاء"),"",COUNTIFS($A$4:A23,"&lt;&gt;",$F$4:F23,"أحد الشركاء"))</f>
        <v/>
      </c>
    </row>
    <row r="24" ht="18.75" customHeight="1" s="165">
      <c r="A24" s="25" t="n">
        <v>46158</v>
      </c>
      <c r="B24" s="36" t="inlineStr">
        <is>
          <t>Inv-20</t>
        </is>
      </c>
      <c r="C24" s="37" t="inlineStr">
        <is>
          <t>صبار اوليفيرا عدد 3 الحبه 0.750</t>
        </is>
      </c>
      <c r="D24" s="38" t="n"/>
      <c r="E24" s="39" t="n">
        <v>2.25</v>
      </c>
      <c r="F24" s="160" t="inlineStr">
        <is>
          <t>نقداً</t>
        </is>
      </c>
      <c r="G24" s="40" t="n"/>
      <c r="H24" s="41" t="n"/>
      <c r="I24" s="42" t="n"/>
      <c r="J24" s="43">
        <f>IF(AND(D24="",E24="",A24="",B24="",C24=""),"", IFERROR(IF(J23="",D2,J23),D2)+IF(E24="",0,E24)-IF(OR(G24="أبو اسحاق",G24="أبو آدم",G24="أبو اسحاق ",G24="أبو آدم "),0,IF(D24="",0,D24)))</f>
        <v/>
      </c>
      <c r="K24" s="44" t="n"/>
      <c r="L24">
        <f>IF(E23&gt;0,COUNTIF($E$4:E23,"&gt;0"),"")</f>
        <v/>
      </c>
      <c r="M24">
        <f>IF(AND(D23&gt;0,G23="المحفظة"),COUNTIFS($D$4:D23,"&gt;"&amp;0,$G$4:G23,"المحفظة"),"")</f>
        <v/>
      </c>
      <c r="N24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/>
      </c>
      <c r="Q24">
        <f>IF(OR($A24="",$F24&lt;&gt;"أحد الشركاء"),"",COUNTIFS($A$4:A24,"&lt;&gt;",$F$4:F24,"أحد الشركاء"))</f>
        <v/>
      </c>
    </row>
    <row r="25" ht="18.75" customHeight="1" s="165">
      <c r="A25" s="25" t="n">
        <v>46158</v>
      </c>
      <c r="B25" s="26" t="inlineStr">
        <is>
          <t>Inv-21</t>
        </is>
      </c>
      <c r="C25" s="27" t="inlineStr">
        <is>
          <t>دارسينا عدد 1 الحبه 2.500</t>
        </is>
      </c>
      <c r="D25" s="28" t="n"/>
      <c r="E25" s="29" t="n">
        <v>2.5</v>
      </c>
      <c r="F25" s="30" t="inlineStr">
        <is>
          <t>نقداً</t>
        </is>
      </c>
      <c r="G25" s="31" t="n"/>
      <c r="H25" s="32" t="n"/>
      <c r="I25" s="33" t="n"/>
      <c r="J25" s="34">
        <f>IF(AND(D25="",E25="",A25="",B25="",C25=""),"", IFERROR(IF(J24="",D2,J24),D2)+IF(E25="",0,E25)-IF(OR(G25="أبو اسحاق",G25="أبو آدم",G25="أبو اسحاق ",G25="أبو آدم "),0,IF(D25="",0,D25)))</f>
        <v/>
      </c>
      <c r="K25" s="35" t="n"/>
      <c r="L25">
        <f>IF(E24&gt;0,COUNTIF($E$4:E24,"&gt;0"),"")</f>
        <v/>
      </c>
      <c r="M25">
        <f>IF(AND(D24&gt;0,G24="المحفظة"),COUNTIFS($D$4:D24,"&gt;"&amp;0,$G$4:G24,"المحفظة"),"")</f>
        <v/>
      </c>
      <c r="N25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/>
      </c>
      <c r="Q25">
        <f>IF(OR($A25="",$F25&lt;&gt;"أحد الشركاء"),"",COUNTIFS($A$4:A25,"&lt;&gt;",$F$4:F25,"أحد الشركاء"))</f>
        <v/>
      </c>
    </row>
    <row r="26" ht="18.75" customHeight="1" s="165">
      <c r="A26" s="167" t="n">
        <v>46159</v>
      </c>
      <c r="B26" s="36" t="inlineStr">
        <is>
          <t>Inv-22</t>
        </is>
      </c>
      <c r="C26" s="37" t="inlineStr">
        <is>
          <t>فل عدد 30 الحبه 0.750</t>
        </is>
      </c>
      <c r="D26" s="38" t="n"/>
      <c r="E26" s="39" t="n">
        <v>22.5</v>
      </c>
      <c r="F26" s="160" t="inlineStr">
        <is>
          <t>نقداً</t>
        </is>
      </c>
      <c r="G26" s="40" t="n"/>
      <c r="H26" s="41" t="n"/>
      <c r="I26" s="42" t="n"/>
      <c r="J26" s="43">
        <f>IF(AND(D26="",E26="",A26="",B26="",C26=""),"", IFERROR(IF(J25="",D2,J25),D2)+IF(E26="",0,E26)-IF(OR(G26="أبو اسحاق",G26="أبو آدم",G26="أبو اسحاق ",G26="أبو آدم "),0,IF(D26="",0,D26)))</f>
        <v/>
      </c>
      <c r="K26" s="44" t="inlineStr">
        <is>
          <t>تم إعطاء 1 حبه هديه الإجمالي 31 حبه</t>
        </is>
      </c>
      <c r="L26">
        <f>IF(E25&gt;0,COUNTIF($E$4:E25,"&gt;0"),"")</f>
        <v/>
      </c>
      <c r="M26">
        <f>IF(AND(D25&gt;0,G25="المحفظة"),COUNTIFS($D$4:D25,"&gt;"&amp;0,$G$4:G25,"المحفظة"),"")</f>
        <v/>
      </c>
      <c r="N26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/>
      </c>
      <c r="Q26">
        <f>IF(OR($A26="",$F26&lt;&gt;"أحد الشركاء"),"",COUNTIFS($A$4:A26,"&lt;&gt;",$F$4:F26,"أحد الشركاء"))</f>
        <v/>
      </c>
    </row>
    <row r="27" ht="18.75" customHeight="1" s="165">
      <c r="A27" s="167" t="n">
        <v>46159</v>
      </c>
      <c r="B27" s="26" t="inlineStr">
        <is>
          <t>Inv-23</t>
        </is>
      </c>
      <c r="C27" s="27" t="inlineStr">
        <is>
          <t>برازيليا عدد 16 الحبه 0.500</t>
        </is>
      </c>
      <c r="D27" s="28" t="n"/>
      <c r="E27" s="29" t="n">
        <v>8</v>
      </c>
      <c r="F27" s="30" t="inlineStr">
        <is>
          <t>نقداً</t>
        </is>
      </c>
      <c r="G27" s="31" t="n"/>
      <c r="H27" s="32" t="n"/>
      <c r="I27" s="33" t="n"/>
      <c r="J27" s="34">
        <f>IF(AND(D27="",E27="",A27="",B27="",C27=""),"", IFERROR(IF(J26="",D2,J26),D2)+IF(E27="",0,E27)-IF(OR(G27="أبو اسحاق",G27="أبو آدم",G27="أبو اسحاق ",G27="أبو آدم "),0,IF(D27="",0,D27)))</f>
        <v/>
      </c>
      <c r="K27" s="35" t="n"/>
      <c r="L27">
        <f>IF(E26&gt;0,COUNTIF($E$4:E26,"&gt;0"),"")</f>
        <v/>
      </c>
      <c r="M27">
        <f>IF(AND(D26&gt;0,G26="المحفظة"),COUNTIFS($D$4:D26,"&gt;"&amp;0,$G$4:G26,"المحفظة"),"")</f>
        <v/>
      </c>
      <c r="N27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/>
      </c>
      <c r="Q27">
        <f>IF(OR($A27="",$F27&lt;&gt;"أحد الشركاء"),"",COUNTIFS($A$4:A27,"&lt;&gt;",$F$4:F27,"أحد الشركاء"))</f>
        <v/>
      </c>
    </row>
    <row r="28" ht="18.75" customHeight="1" s="165">
      <c r="A28" s="167" t="n">
        <v>46160</v>
      </c>
      <c r="B28" s="26" t="inlineStr">
        <is>
          <t>Inv-24</t>
        </is>
      </c>
      <c r="C28" s="27" t="inlineStr">
        <is>
          <t>فل عدد10 الحبه 0.750</t>
        </is>
      </c>
      <c r="D28" s="28" t="n"/>
      <c r="E28" s="29" t="n">
        <v>7.5</v>
      </c>
      <c r="F28" s="30" t="inlineStr">
        <is>
          <t>نقداً</t>
        </is>
      </c>
      <c r="G28" s="31" t="n"/>
      <c r="H28" s="32" t="n"/>
      <c r="I28" s="33" t="n"/>
      <c r="J28" s="34">
        <f>IF(AND(D28="",E28="",A28="",B28="",C28=""),"", IFERROR(IF(J27="",D2,J27),D2)+IF(E28="",0,E28)-IF(OR(G28="أبو اسحاق",G28="أبو آدم",G28="أبو اسحاق ",G28="أبو آدم "),0,IF(D28="",0,D28)))</f>
        <v/>
      </c>
      <c r="K28" s="35" t="n"/>
      <c r="L28">
        <f>IF(E27&gt;0,COUNTIF($E$4:E27,"&gt;0"),"")</f>
        <v/>
      </c>
      <c r="M28">
        <f>IF(AND(D27&gt;0,G27="المحفظة"),COUNTIFS($D$4:D27,"&gt;"&amp;0,$G$4:G27,"المحفظة"),"")</f>
        <v/>
      </c>
      <c r="N28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/>
      </c>
      <c r="Q28">
        <f>IF(OR($A28="",$F28&lt;&gt;"أحد الشركاء"),"",COUNTIFS($A$4:A28,"&lt;&gt;",$F$4:F28,"أحد الشركاء"))</f>
        <v/>
      </c>
    </row>
    <row r="29" ht="18.75" customHeight="1" s="165">
      <c r="A29" s="167" t="n">
        <v>46160</v>
      </c>
      <c r="B29" s="26" t="inlineStr">
        <is>
          <t>Inv-25</t>
        </is>
      </c>
      <c r="C29" s="27" t="inlineStr">
        <is>
          <t>دارسيناحمراء عدد 1</t>
        </is>
      </c>
      <c r="D29" s="28" t="n"/>
      <c r="E29" s="29" t="n">
        <v>5</v>
      </c>
      <c r="F29" s="30" t="inlineStr">
        <is>
          <t>نقداً</t>
        </is>
      </c>
      <c r="G29" s="31" t="n"/>
      <c r="H29" s="32" t="n"/>
      <c r="I29" s="33" t="n"/>
      <c r="J29" s="34">
        <f>IF(AND(D29="",E29="",A29="",B29="",C29=""),"", IFERROR(IF(J28="",D2,J28),D2)+IF(E29="",0,E29)-IF(OR(G29="أبو اسحاق",G29="أبو آدم",G29="أبو اسحاق ",G29="أبو آدم "),0,IF(D29="",0,D29)))</f>
        <v/>
      </c>
      <c r="K29" s="35" t="n"/>
      <c r="L29">
        <f>IF(E28&gt;0,COUNTIF($E$4:E28,"&gt;0"),"")</f>
        <v/>
      </c>
      <c r="M29">
        <f>IF(AND(D28&gt;0,G28="المحفظة"),COUNTIFS($D$4:D28,"&gt;"&amp;0,$G$4:G28,"المحفظة"),"")</f>
        <v/>
      </c>
      <c r="N29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/>
      </c>
      <c r="Q29">
        <f>IF(OR($A29="",$F29&lt;&gt;"أحد الشركاء"),"",COUNTIFS($A$4:A29,"&lt;&gt;",$F$4:F29,"أحد الشركاء"))</f>
        <v/>
      </c>
    </row>
    <row r="30" ht="18.75" customHeight="1" s="165">
      <c r="A30" s="167" t="n">
        <v>46160</v>
      </c>
      <c r="B30" s="26" t="inlineStr">
        <is>
          <t>Inv-26</t>
        </is>
      </c>
      <c r="C30" s="27" t="inlineStr">
        <is>
          <t>دارسينا خضراء عدد 2 الحبه 1.500</t>
        </is>
      </c>
      <c r="D30" s="28" t="n"/>
      <c r="E30" s="29" t="n">
        <v>3</v>
      </c>
      <c r="F30" s="30" t="inlineStr">
        <is>
          <t>نقداً</t>
        </is>
      </c>
      <c r="G30" s="31" t="n"/>
      <c r="H30" s="32" t="n"/>
      <c r="I30" s="33" t="n"/>
      <c r="J30" s="34">
        <f>IF(AND(D30="",E30="",A30="",B30="",C30=""),"", IFERROR(IF(J29="",D2,J29),D2)+IF(E30="",0,E30)-IF(OR(G30="أبو اسحاق",G30="أبو آدم",G30="أبو اسحاق ",G30="أبو آدم "),0,IF(D30="",0,D30)))</f>
        <v/>
      </c>
      <c r="K30" s="35" t="n"/>
      <c r="L30">
        <f>IF(E29&gt;0,COUNTIF($E$4:E29,"&gt;0"),"")</f>
        <v/>
      </c>
      <c r="M30">
        <f>IF(AND(D29&gt;0,G29="المحفظة"),COUNTIFS($D$4:D29,"&gt;"&amp;0,$G$4:G29,"المحفظة"),"")</f>
        <v/>
      </c>
      <c r="N30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/>
      </c>
      <c r="Q30">
        <f>IF(OR($A30="",$F30&lt;&gt;"أحد الشركاء"),"",COUNTIFS($A$4:A30,"&lt;&gt;",$F$4:F30,"أحد الشركاء"))</f>
        <v/>
      </c>
    </row>
    <row r="31" ht="18.75" customHeight="1" s="165">
      <c r="A31" s="167" t="n">
        <v>46160</v>
      </c>
      <c r="B31" s="26" t="inlineStr">
        <is>
          <t>Inv-27</t>
        </is>
      </c>
      <c r="C31" s="27" t="inlineStr">
        <is>
          <t>ربل عدد 2 الحبه 1.500</t>
        </is>
      </c>
      <c r="D31" s="28" t="n"/>
      <c r="E31" s="29" t="n">
        <v>3</v>
      </c>
      <c r="F31" s="30" t="inlineStr">
        <is>
          <t>نقداً</t>
        </is>
      </c>
      <c r="G31" s="31" t="n"/>
      <c r="H31" s="32" t="n"/>
      <c r="I31" s="33" t="n"/>
      <c r="J31" s="34">
        <f>IF(AND(D31="",E31="",A31="",B31="",C31=""),"", IFERROR(IF(J30="",D2,J30),D2)+IF(E31="",0,E31)-IF(OR(G31="أبو اسحاق",G31="أبو آدم",G31="أبو اسحاق ",G31="أبو آدم "),0,IF(D31="",0,D31)))</f>
        <v/>
      </c>
      <c r="K31" s="35" t="n"/>
      <c r="L31">
        <f>IF(E30&gt;0,COUNTIF($E$4:E30,"&gt;0"),"")</f>
        <v/>
      </c>
      <c r="M31">
        <f>IF(AND(D30&gt;0,G30="المحفظة"),COUNTIFS($D$4:D30,"&gt;"&amp;0,$G$4:G30,"المحفظة"),"")</f>
        <v/>
      </c>
      <c r="N31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/>
      </c>
      <c r="Q31">
        <f>IF(OR($A31="",$F31&lt;&gt;"أحد الشركاء"),"",COUNTIFS($A$4:A31,"&lt;&gt;",$F$4:F31,"أحد الشركاء"))</f>
        <v/>
      </c>
    </row>
    <row r="32" ht="18.75" customHeight="1" s="165">
      <c r="A32" s="167" t="n">
        <v>46160</v>
      </c>
      <c r="B32" s="26" t="inlineStr">
        <is>
          <t>Inv-28</t>
        </is>
      </c>
      <c r="C32" s="27" t="inlineStr">
        <is>
          <t>دارسينا حمراء عدد2 الحبه 2.500</t>
        </is>
      </c>
      <c r="D32" s="28" t="n"/>
      <c r="E32" s="29" t="n">
        <v>5</v>
      </c>
      <c r="F32" s="30" t="inlineStr">
        <is>
          <t>نقداً</t>
        </is>
      </c>
      <c r="G32" s="31" t="n"/>
      <c r="H32" s="32" t="n"/>
      <c r="I32" s="33" t="n"/>
      <c r="J32" s="34">
        <f>IF(AND(D32="",E32="",A32="",B32="",C32=""),"", IFERROR(IF(J31="",D2,J31),D2)+IF(E32="",0,E32)-IF(OR(G32="أبو اسحاق",G32="أبو آدم",G32="أبو اسحاق ",G32="أبو آدم "),0,IF(D32="",0,D32)))</f>
        <v/>
      </c>
      <c r="K32" s="35" t="n"/>
      <c r="L32">
        <f>IF(E31&gt;0,COUNTIF($E$4:E31,"&gt;0"),"")</f>
        <v/>
      </c>
      <c r="M32">
        <f>IF(AND(D31&gt;0,G31="المحفظة"),COUNTIFS($D$4:D31,"&gt;"&amp;0,$G$4:G31,"المحفظة"),"")</f>
        <v/>
      </c>
      <c r="N32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/>
      </c>
      <c r="Q32">
        <f>IF(OR($A32="",$F32&lt;&gt;"أحد الشركاء"),"",COUNTIFS($A$4:A32,"&lt;&gt;",$F$4:F32,"أحد الشركاء"))</f>
        <v/>
      </c>
    </row>
    <row r="33" ht="18.75" customHeight="1" s="165">
      <c r="A33" s="167" t="n">
        <v>46160</v>
      </c>
      <c r="B33" s="26" t="inlineStr">
        <is>
          <t>Inv-29</t>
        </is>
      </c>
      <c r="C33" s="27" t="inlineStr">
        <is>
          <t>برازيليا عدد 10 الحبه 0.500</t>
        </is>
      </c>
      <c r="D33" s="28" t="n"/>
      <c r="E33" s="29" t="n">
        <v>5</v>
      </c>
      <c r="F33" s="30" t="inlineStr">
        <is>
          <t>نقداً</t>
        </is>
      </c>
      <c r="G33" s="31" t="n"/>
      <c r="H33" s="32" t="n"/>
      <c r="I33" s="33" t="n"/>
      <c r="J33" s="34">
        <f>IF(AND(D33="",E33="",A33="",B33="",C33=""),"", IFERROR(IF(J32="",D2,J32),D2)+IF(E33="",0,E33)-IF(OR(G33="أبو اسحاق",G33="أبو آدم",G33="أبو اسحاق ",G33="أبو آدم "),0,IF(D33="",0,D33)))</f>
        <v/>
      </c>
      <c r="K33" s="35" t="n"/>
      <c r="L33">
        <f>IF(E32&gt;0,COUNTIF($E$4:E32,"&gt;0"),"")</f>
        <v/>
      </c>
      <c r="M33">
        <f>IF(AND(D32&gt;0,G32="المحفظة"),COUNTIFS($D$4:D32,"&gt;"&amp;0,$G$4:G32,"المحفظة"),"")</f>
        <v/>
      </c>
      <c r="N33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/>
      </c>
      <c r="Q33">
        <f>IF(OR($A33="",$F33&lt;&gt;"أحد الشركاء"),"",COUNTIFS($A$4:A33,"&lt;&gt;",$F$4:F33,"أحد الشركاء"))</f>
        <v/>
      </c>
    </row>
    <row r="34" ht="18.75" customHeight="1" s="165">
      <c r="A34" s="167" t="n">
        <v>46160</v>
      </c>
      <c r="B34" s="26" t="inlineStr">
        <is>
          <t>85164</t>
        </is>
      </c>
      <c r="C34" s="27" t="inlineStr">
        <is>
          <t>مبيد اسيتبلان عدد 1</t>
        </is>
      </c>
      <c r="D34" s="28" t="n">
        <v>9</v>
      </c>
      <c r="E34" s="29" t="n"/>
      <c r="F34" s="30" t="inlineStr">
        <is>
          <t>نقداً</t>
        </is>
      </c>
      <c r="G34" s="31" t="inlineStr">
        <is>
          <t>المحفظة</t>
        </is>
      </c>
      <c r="H34" s="32" t="inlineStr">
        <is>
          <t>تم الدفع</t>
        </is>
      </c>
      <c r="I34" s="33" t="inlineStr">
        <is>
          <t>مبيدات وأسمدة</t>
        </is>
      </c>
      <c r="J34" s="34">
        <f>IF(AND(D34="",E34="",A34="",B34="",C34=""),"", IFERROR(IF(J33="",D2,J33),D2)+IF(E34="",0,E34)-IF(OR(G34="أبو اسحاق",G34="أبو آدم",G34="أبو اسحاق ",G34="أبو آدم "),0,IF(D34="",0,D34)))</f>
        <v/>
      </c>
      <c r="K34" s="35" t="n"/>
      <c r="L34">
        <f>IF(E33&gt;0,COUNTIF($E$4:E33,"&gt;0"),"")</f>
        <v/>
      </c>
      <c r="M34">
        <f>IF(AND(D33&gt;0,G33="المحفظة"),COUNTIFS($D$4:D33,"&gt;"&amp;0,$G$4:G33,"المحفظة"),"")</f>
        <v/>
      </c>
      <c r="N34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/>
      </c>
      <c r="Q34">
        <f>IF(OR($A34="",$F34&lt;&gt;"أحد الشركاء"),"",COUNTIFS($A$4:A34,"&lt;&gt;",$F$4:F34,"أحد الشركاء"))</f>
        <v/>
      </c>
    </row>
    <row r="35" ht="18.75" customHeight="1" s="165">
      <c r="A35" s="25" t="n">
        <v>46161</v>
      </c>
      <c r="B35" s="26" t="inlineStr">
        <is>
          <t>Inv-30</t>
        </is>
      </c>
      <c r="C35" s="27" t="inlineStr">
        <is>
          <t>فل عدد 30 الحبه 0.750</t>
        </is>
      </c>
      <c r="D35" s="28" t="n"/>
      <c r="E35" s="29" t="n">
        <v>22.5</v>
      </c>
      <c r="F35" s="30" t="inlineStr">
        <is>
          <t>نقداً</t>
        </is>
      </c>
      <c r="G35" s="31" t="n"/>
      <c r="H35" s="32" t="n"/>
      <c r="I35" s="33" t="n"/>
      <c r="J35" s="34">
        <f>IF(AND(D35="",E35="",A35="",B35="",C35=""),"", IFERROR(IF(J34="",D2,J34),D2)+IF(E35="",0,E35)-IF(OR(G35="أبو اسحاق",G35="أبو آدم",G35="أبو اسحاق ",G35="أبو آدم "),0,IF(D35="",0,D35)))</f>
        <v/>
      </c>
      <c r="K35" s="35" t="n"/>
      <c r="L35">
        <f>IF(E34&gt;0,COUNTIF($E$4:E34,"&gt;0"),"")</f>
        <v/>
      </c>
      <c r="M35">
        <f>IF(AND(D34&gt;0,G34="المحفظة"),COUNTIFS($D$4:D34,"&gt;"&amp;0,$G$4:G34,"المحفظة"),"")</f>
        <v/>
      </c>
      <c r="N35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/>
      </c>
      <c r="Q35">
        <f>IF(OR($A35="",$F35&lt;&gt;"أحد الشركاء"),"",COUNTIFS($A$4:A35,"&lt;&gt;",$F$4:F35,"أحد الشركاء"))</f>
        <v/>
      </c>
    </row>
    <row r="36" ht="18.75" customHeight="1" s="165">
      <c r="A36" s="167" t="n">
        <v>46162</v>
      </c>
      <c r="B36" s="36" t="inlineStr">
        <is>
          <t>Inv-31</t>
        </is>
      </c>
      <c r="C36" s="37" t="inlineStr">
        <is>
          <t>فل عدد30 الحبه 0.750</t>
        </is>
      </c>
      <c r="D36" s="38" t="n"/>
      <c r="E36" s="39" t="n">
        <v>22.5</v>
      </c>
      <c r="F36" s="160" t="inlineStr">
        <is>
          <t>نقداً</t>
        </is>
      </c>
      <c r="G36" s="40" t="n"/>
      <c r="H36" s="41" t="n"/>
      <c r="I36" s="42" t="n"/>
      <c r="J36" s="43">
        <f>IF(AND(D36="",E36="",A36="",B36="",C36=""),"", IFERROR(IF(J35="",D2,J35),D2)+IF(E36="",0,E36)-IF(OR(G36="أبو اسحاق",G36="أبو آدم",G36="أبو اسحاق ",G36="أبو آدم "),0,IF(D36="",0,D36)))</f>
        <v/>
      </c>
      <c r="K36" s="44" t="n"/>
      <c r="L36">
        <f>IF(E35&gt;0,COUNTIF($E$4:E35,"&gt;0"),"")</f>
        <v/>
      </c>
      <c r="M36">
        <f>IF(AND(D35&gt;0,G35="المحفظة"),COUNTIFS($D$4:D35,"&gt;"&amp;0,$G$4:G35,"المحفظة"),"")</f>
        <v/>
      </c>
      <c r="N36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/>
      </c>
      <c r="Q36">
        <f>IF(OR($A36="",$F36&lt;&gt;"أحد الشركاء"),"",COUNTIFS($A$4:A36,"&lt;&gt;",$F$4:F36,"أحد الشركاء"))</f>
        <v/>
      </c>
    </row>
    <row r="37" ht="18.75" customHeight="1" s="165">
      <c r="A37" s="167" t="n">
        <v>46162</v>
      </c>
      <c r="B37" s="26" t="inlineStr">
        <is>
          <t>Inv-32</t>
        </is>
      </c>
      <c r="C37" s="27" t="inlineStr">
        <is>
          <t>برازيليا عدد 50 الحبه0.500</t>
        </is>
      </c>
      <c r="D37" s="28" t="n"/>
      <c r="E37" s="29" t="n">
        <v>25</v>
      </c>
      <c r="F37" s="30" t="inlineStr">
        <is>
          <t>نقداً</t>
        </is>
      </c>
      <c r="G37" s="31" t="n"/>
      <c r="H37" s="32" t="n"/>
      <c r="I37" s="33" t="n"/>
      <c r="J37" s="34">
        <f>IF(AND(D37="",E37="",A37="",B37="",C37=""),"", IFERROR(IF(J36="",D2,J36),D2)+IF(E37="",0,E37)-IF(OR(G37="أبو اسحاق",G37="أبو آدم",G37="أبو اسحاق ",G37="أبو آدم "),0,IF(D37="",0,D37)))</f>
        <v/>
      </c>
      <c r="K37" s="35" t="n"/>
      <c r="L37">
        <f>IF(E36&gt;0,COUNTIF($E$4:E36,"&gt;0"),"")</f>
        <v/>
      </c>
      <c r="M37">
        <f>IF(AND(D36&gt;0,G36="المحفظة"),COUNTIFS($D$4:D36,"&gt;"&amp;0,$G$4:G36,"المحفظة"),"")</f>
        <v/>
      </c>
      <c r="N37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/>
      </c>
      <c r="Q37">
        <f>IF(OR($A37="",$F37&lt;&gt;"أحد الشركاء"),"",COUNTIFS($A$4:A37,"&lt;&gt;",$F$4:F37,"أحد الشركاء"))</f>
        <v/>
      </c>
    </row>
    <row r="38" ht="18.75" customHeight="1" s="165">
      <c r="A38" s="167" t="n">
        <v>46163</v>
      </c>
      <c r="B38" s="36" t="inlineStr">
        <is>
          <t>Inv-33</t>
        </is>
      </c>
      <c r="C38" s="37" t="inlineStr">
        <is>
          <t>برازيليا عدد 75 الحبه 0.500</t>
        </is>
      </c>
      <c r="D38" s="38" t="n"/>
      <c r="E38" s="39" t="n">
        <v>37.5</v>
      </c>
      <c r="F38" s="160" t="inlineStr">
        <is>
          <t>نقداً</t>
        </is>
      </c>
      <c r="G38" s="40" t="n"/>
      <c r="H38" s="41" t="n"/>
      <c r="I38" s="42" t="n"/>
      <c r="J38" s="43">
        <f>IF(AND(D38="",E38="",A38="",B38="",C38=""),"", IFERROR(IF(J37="",D2,J37),D2)+IF(E38="",0,E38)-IF(OR(G38="أبو اسحاق",G38="أبو آدم",G38="أبو اسحاق ",G38="أبو آدم "),0,IF(D38="",0,D38)))</f>
        <v/>
      </c>
      <c r="K38" s="44" t="n"/>
      <c r="L38">
        <f>IF(E37&gt;0,COUNTIF($E$4:E37,"&gt;0"),"")</f>
        <v/>
      </c>
      <c r="M38">
        <f>IF(AND(D37&gt;0,G37="المحفظة"),COUNTIFS($D$4:D37,"&gt;"&amp;0,$G$4:G37,"المحفظة"),"")</f>
        <v/>
      </c>
      <c r="N38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/>
      </c>
      <c r="Q38">
        <f>IF(OR($A38="",$F38&lt;&gt;"أحد الشركاء"),"",COUNTIFS($A$4:A38,"&lt;&gt;",$F$4:F38,"أحد الشركاء"))</f>
        <v/>
      </c>
    </row>
    <row r="39" ht="18.75" customHeight="1" s="165">
      <c r="A39" s="25" t="n">
        <v>46163</v>
      </c>
      <c r="B39" s="26" t="inlineStr">
        <is>
          <t>Inv-34</t>
        </is>
      </c>
      <c r="C39" s="27" t="inlineStr">
        <is>
          <t>دارسينيا احمر عدد1 حبه 2.500</t>
        </is>
      </c>
      <c r="D39" s="28" t="n"/>
      <c r="E39" s="29" t="n">
        <v>2.5</v>
      </c>
      <c r="F39" s="30" t="inlineStr">
        <is>
          <t>نقداً</t>
        </is>
      </c>
      <c r="G39" s="31" t="n"/>
      <c r="H39" s="32" t="n"/>
      <c r="I39" s="33" t="n"/>
      <c r="J39" s="34">
        <f>IF(AND(D39="",E39="",A39="",B39="",C39=""),"", IFERROR(IF(J38="",D2,J38),D2)+IF(E39="",0,E39)-IF(OR(G39="أبو اسحاق",G39="أبو آدم",G39="أبو اسحاق ",G39="أبو آدم "),0,IF(D39="",0,D39)))</f>
        <v/>
      </c>
      <c r="K39" s="35" t="n"/>
      <c r="L39">
        <f>IF(E38&gt;0,COUNTIF($E$4:E38,"&gt;0"),"")</f>
        <v/>
      </c>
      <c r="M39">
        <f>IF(AND(D38&gt;0,G38="المحفظة"),COUNTIFS($D$4:D38,"&gt;"&amp;0,$G$4:G38,"المحفظة"),"")</f>
        <v/>
      </c>
      <c r="N39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/>
      </c>
      <c r="Q39">
        <f>IF(OR($A39="",$F39&lt;&gt;"أحد الشركاء"),"",COUNTIFS($A$4:A39,"&lt;&gt;",$F$4:F39,"أحد الشركاء"))</f>
        <v/>
      </c>
    </row>
    <row r="40" ht="18.75" customHeight="1" s="165">
      <c r="A40" s="167" t="n">
        <v>46164</v>
      </c>
      <c r="B40" s="36" t="inlineStr">
        <is>
          <t>Inv-35</t>
        </is>
      </c>
      <c r="C40" s="37" t="inlineStr">
        <is>
          <t>دارسينا حمراء عدد 6 الحبه 2,500</t>
        </is>
      </c>
      <c r="D40" s="38" t="n"/>
      <c r="E40" s="39" t="n">
        <v>15</v>
      </c>
      <c r="F40" s="160" t="inlineStr">
        <is>
          <t>نقداً</t>
        </is>
      </c>
      <c r="G40" s="40" t="n"/>
      <c r="H40" s="41" t="n"/>
      <c r="I40" s="42" t="n"/>
      <c r="J40" s="43">
        <f>IF(AND(D40="",E40="",A40="",B40="",C40=""),"", IFERROR(IF(J39="",D2,J39),D2)+IF(E40="",0,E40)-IF(OR(G40="أبو اسحاق",G40="أبو آدم",G40="أبو اسحاق ",G40="أبو آدم "),0,IF(D40="",0,D40)))</f>
        <v/>
      </c>
      <c r="K40" s="44" t="n"/>
      <c r="L40">
        <f>IF(E39&gt;0,COUNTIF($E$4:E39,"&gt;0"),"")</f>
        <v/>
      </c>
      <c r="M40">
        <f>IF(AND(D39&gt;0,G39="المحفظة"),COUNTIFS($D$4:D39,"&gt;"&amp;0,$G$4:G39,"المحفظة"),"")</f>
        <v/>
      </c>
      <c r="N40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/>
      </c>
      <c r="Q40">
        <f>IF(OR($A40="",$F40&lt;&gt;"أحد الشركاء"),"",COUNTIFS($A$4:A40,"&lt;&gt;",$F$4:F40,"أحد الشركاء"))</f>
        <v/>
      </c>
    </row>
    <row r="41" ht="18.75" customHeight="1" s="165">
      <c r="A41" s="167" t="n">
        <v>46164</v>
      </c>
      <c r="B41" s="26" t="inlineStr">
        <is>
          <t>Inv-36</t>
        </is>
      </c>
      <c r="C41" s="27" t="inlineStr">
        <is>
          <t>ربل عدد4 الحبه 1.500</t>
        </is>
      </c>
      <c r="D41" s="28" t="n"/>
      <c r="E41" s="29" t="n">
        <v>6</v>
      </c>
      <c r="F41" s="30" t="inlineStr">
        <is>
          <t>نقداً</t>
        </is>
      </c>
      <c r="G41" s="31" t="n"/>
      <c r="H41" s="32" t="n"/>
      <c r="I41" s="33" t="n"/>
      <c r="J41" s="34">
        <f>IF(AND(D41="",E41="",A41="",B41="",C41=""),"", IFERROR(IF(J40="",D2,J40),D2)+IF(E41="",0,E41)-IF(OR(G41="أبو اسحاق",G41="أبو آدم",G41="أبو اسحاق ",G41="أبو آدم "),0,IF(D41="",0,D41)))</f>
        <v/>
      </c>
      <c r="K41" s="35" t="n"/>
      <c r="L41">
        <f>IF(E40&gt;0,COUNTIF($E$4:E40,"&gt;0"),"")</f>
        <v/>
      </c>
      <c r="M41">
        <f>IF(AND(D40&gt;0,G40="المحفظة"),COUNTIFS($D$4:D40,"&gt;"&amp;0,$G$4:G40,"المحفظة"),"")</f>
        <v/>
      </c>
      <c r="N41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/>
      </c>
      <c r="Q41">
        <f>IF(OR($A41="",$F41&lt;&gt;"أحد الشركاء"),"",COUNTIFS($A$4:A41,"&lt;&gt;",$F$4:F41,"أحد الشركاء"))</f>
        <v/>
      </c>
    </row>
    <row r="42" ht="18.75" customHeight="1" s="165">
      <c r="A42" s="167" t="n">
        <v>46167</v>
      </c>
      <c r="B42" s="36" t="inlineStr">
        <is>
          <t>Inv-37</t>
        </is>
      </c>
      <c r="C42" s="37" t="inlineStr">
        <is>
          <t>عطره عدد 10 الحبه 0.750</t>
        </is>
      </c>
      <c r="D42" s="38" t="n"/>
      <c r="E42" s="39" t="n">
        <v>7.5</v>
      </c>
      <c r="F42" s="160" t="inlineStr">
        <is>
          <t>نقداً</t>
        </is>
      </c>
      <c r="G42" s="40" t="n"/>
      <c r="H42" s="41" t="n"/>
      <c r="I42" s="42" t="n"/>
      <c r="J42" s="43">
        <f>IF(AND(D42="",E42="",A42="",B42="",C42=""),"", IFERROR(IF(J41="",D2,J41),D2)+IF(E42="",0,E42)-IF(OR(G42="أبو اسحاق",G42="أبو آدم",G42="أبو اسحاق ",G42="أبو آدم "),0,IF(D42="",0,D42)))</f>
        <v/>
      </c>
      <c r="K42" s="44" t="n"/>
      <c r="L42">
        <f>IF(E41&gt;0,COUNTIF($E$4:E41,"&gt;0"),"")</f>
        <v/>
      </c>
      <c r="M42">
        <f>IF(AND(D41&gt;0,G41="المحفظة"),COUNTIFS($D$4:D41,"&gt;"&amp;0,$G$4:G41,"المحفظة"),"")</f>
        <v/>
      </c>
      <c r="N42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/>
      </c>
      <c r="Q42">
        <f>IF(OR($A42="",$F42&lt;&gt;"أحد الشركاء"),"",COUNTIFS($A$4:A42,"&lt;&gt;",$F$4:F42,"أحد الشركاء"))</f>
        <v/>
      </c>
    </row>
    <row r="43" ht="18.75" customHeight="1" s="165">
      <c r="A43" s="167" t="n">
        <v>46167</v>
      </c>
      <c r="B43" s="26" t="inlineStr">
        <is>
          <t>Inv-38</t>
        </is>
      </c>
      <c r="C43" s="27" t="inlineStr">
        <is>
          <t>ودليه عدد 2 الحبه 1</t>
        </is>
      </c>
      <c r="D43" s="28" t="n"/>
      <c r="E43" s="29" t="n">
        <v>2</v>
      </c>
      <c r="F43" s="30" t="inlineStr">
        <is>
          <t>نقداً</t>
        </is>
      </c>
      <c r="G43" s="31" t="n"/>
      <c r="H43" s="32" t="n"/>
      <c r="I43" s="33" t="n"/>
      <c r="J43" s="34">
        <f>IF(AND(D43="",E43="",A43="",B43="",C43=""),"", IFERROR(IF(J42="",D2,J42),D2)+IF(E43="",0,E43)-IF(OR(G43="أبو اسحاق",G43="أبو آدم",G43="أبو اسحاق ",G43="أبو آدم "),0,IF(D43="",0,D43)))</f>
        <v/>
      </c>
      <c r="K43" s="35" t="n"/>
      <c r="L43">
        <f>IF(E42&gt;0,COUNTIF($E$4:E42,"&gt;0"),"")</f>
        <v/>
      </c>
      <c r="M43">
        <f>IF(AND(D42&gt;0,G42="المحفظة"),COUNTIFS($D$4:D42,"&gt;"&amp;0,$G$4:G42,"المحفظة"),"")</f>
        <v/>
      </c>
      <c r="N43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/>
      </c>
      <c r="Q43">
        <f>IF(OR($A43="",$F43&lt;&gt;"أحد الشركاء"),"",COUNTIFS($A$4:A43,"&lt;&gt;",$F$4:F43,"أحد الشركاء"))</f>
        <v/>
      </c>
    </row>
    <row r="44" ht="18.75" customHeight="1" s="165">
      <c r="A44" s="167" t="n">
        <v>46167</v>
      </c>
      <c r="B44" s="36" t="inlineStr">
        <is>
          <t>Inv-39</t>
        </is>
      </c>
      <c r="C44" s="37" t="inlineStr">
        <is>
          <t>داراسينا حمراء عدد4 الحبه 1</t>
        </is>
      </c>
      <c r="D44" s="38" t="n"/>
      <c r="E44" s="39" t="n">
        <v>4</v>
      </c>
      <c r="F44" s="160" t="inlineStr">
        <is>
          <t>نقداً</t>
        </is>
      </c>
      <c r="G44" s="40" t="n"/>
      <c r="H44" s="41" t="n"/>
      <c r="I44" s="42" t="n"/>
      <c r="J44" s="43">
        <f>IF(AND(D44="",E44="",A44="",B44="",C44=""),"", IFERROR(IF(J43="",D2,J43),D2)+IF(E44="",0,E44)-IF(OR(G44="أبو اسحاق",G44="أبو آدم",G44="أبو اسحاق ",G44="أبو آدم "),0,IF(D44="",0,D44)))</f>
        <v/>
      </c>
      <c r="K44" s="44" t="n"/>
      <c r="L44">
        <f>IF(E43&gt;0,COUNTIF($E$4:E43,"&gt;0"),"")</f>
        <v/>
      </c>
      <c r="M44">
        <f>IF(AND(D43&gt;0,G43="المحفظة"),COUNTIFS($D$4:D43,"&gt;"&amp;0,$G$4:G43,"المحفظة"),"")</f>
        <v/>
      </c>
      <c r="N44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/>
      </c>
      <c r="Q44">
        <f>IF(OR($A44="",$F44&lt;&gt;"أحد الشركاء"),"",COUNTIFS($A$4:A44,"&lt;&gt;",$F$4:F44,"أحد الشركاء"))</f>
        <v/>
      </c>
    </row>
    <row r="45" ht="18.75" customHeight="1" s="165">
      <c r="A45" s="167" t="n">
        <v>46167</v>
      </c>
      <c r="B45" s="26" t="n"/>
      <c r="C45" s="27" t="inlineStr">
        <is>
          <t>يزل ماكينه كهرباء</t>
        </is>
      </c>
      <c r="D45" s="28" t="n">
        <v>26</v>
      </c>
      <c r="E45" s="29" t="n"/>
      <c r="F45" s="30" t="inlineStr">
        <is>
          <t>أحد الشركاء</t>
        </is>
      </c>
      <c r="G45" s="31" t="inlineStr">
        <is>
          <t>أبو اسحاق</t>
        </is>
      </c>
      <c r="H45" s="32" t="inlineStr">
        <is>
          <t>معلق</t>
        </is>
      </c>
      <c r="I45" s="33" t="n"/>
      <c r="J45" s="34">
        <f>IF(AND(D45="",E45="",A45="",B45="",C45=""),"", IFERROR(IF(J44="",D2,J44),D2)+IF(E45="",0,E45)-IF(OR(G45="أبو اسحاق",G45="أبو آدم",G45="أبو اسحاق ",G45="أبو آدم "),0,IF(D45="",0,D45)))</f>
        <v/>
      </c>
      <c r="K45" s="35" t="n"/>
      <c r="L45">
        <f>IF(E44&gt;0,COUNTIF($E$4:E44,"&gt;0"),"")</f>
        <v/>
      </c>
      <c r="M45">
        <f>IF(AND(D44&gt;0,G44="المحفظة"),COUNTIFS($D$4:D44,"&gt;"&amp;0,$G$4:G44,"المحفظة"),"")</f>
        <v/>
      </c>
      <c r="N45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>
        <f>IF(AND(D44&gt;0,F44="أحد الشركاء"),COUNTIFS($D$4:D44,"&gt;"&amp;0,$F$4:F44,"أحد الشركاء"),"")</f>
        <v/>
      </c>
      <c r="P45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/>
      </c>
    </row>
    <row r="46" ht="18.75" customHeight="1" s="165">
      <c r="A46" s="167" t="n">
        <v>46167</v>
      </c>
      <c r="B46" s="36" t="n"/>
      <c r="C46" s="37" t="inlineStr">
        <is>
          <t>راتب عماله مايو 2025</t>
        </is>
      </c>
      <c r="D46" s="38" t="n">
        <v>250</v>
      </c>
      <c r="E46" s="39" t="n"/>
      <c r="F46" s="160" t="inlineStr">
        <is>
          <t>أحد الشركاء</t>
        </is>
      </c>
      <c r="G46" s="40" t="inlineStr">
        <is>
          <t>أبو آدم</t>
        </is>
      </c>
      <c r="H46" s="41" t="inlineStr">
        <is>
          <t>معلق</t>
        </is>
      </c>
      <c r="I46" s="42" t="inlineStr">
        <is>
          <t>رواتب العمال</t>
        </is>
      </c>
      <c r="J46" s="43">
        <f>IF(AND(D46="",E46="",A46="",B46="",C46=""),"", IFERROR(IF(J45="",D2,J45),D2)+IF(E46="",0,E46)-IF(OR(G46="أبو اسحاق",G46="أبو آدم",G46="أبو اسحاق ",G46="أبو آدم "),0,IF(D46="",0,D46)))</f>
        <v/>
      </c>
      <c r="K46" s="44" t="n"/>
      <c r="L46">
        <f>IF(E45&gt;0,COUNTIF($E$4:E45,"&gt;0"),"")</f>
        <v/>
      </c>
      <c r="M46">
        <f>IF(AND(D45&gt;0,G45="المحفظة"),COUNTIFS($D$4:D45,"&gt;"&amp;0,$G$4:G45,"المحفظة"),"")</f>
        <v/>
      </c>
      <c r="N46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/>
      </c>
      <c r="P46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/>
      </c>
    </row>
    <row r="47" ht="18.75" customHeight="1" s="165">
      <c r="A47" s="25" t="n">
        <v>46167</v>
      </c>
      <c r="B47" s="26" t="n"/>
      <c r="C47" s="27" t="inlineStr">
        <is>
          <t>راتب عماله مايو 2025</t>
        </is>
      </c>
      <c r="D47" s="28" t="n">
        <v>250</v>
      </c>
      <c r="E47" s="29" t="n"/>
      <c r="F47" s="30" t="inlineStr">
        <is>
          <t>أحد الشركاء</t>
        </is>
      </c>
      <c r="G47" s="31" t="inlineStr">
        <is>
          <t>أبو اسحاق</t>
        </is>
      </c>
      <c r="H47" s="32" t="inlineStr">
        <is>
          <t>معلق</t>
        </is>
      </c>
      <c r="I47" s="33" t="inlineStr">
        <is>
          <t>رواتب العمال</t>
        </is>
      </c>
      <c r="J47" s="34">
        <f>IF(AND(D47="",E47="",A47="",B47="",C47=""),"", IFERROR(IF(J46="",D2,J46),D2)+IF(E47="",0,E47)-IF(OR(G47="أبو اسحاق",G47="أبو آدم",G47="أبو اسحاق ",G47="أبو آدم "),0,IF(D47="",0,D47)))</f>
        <v/>
      </c>
      <c r="K47" s="35" t="n"/>
      <c r="L47">
        <f>IF(E46&gt;0,COUNTIF($E$4:E46,"&gt;0"),"")</f>
        <v/>
      </c>
      <c r="M47">
        <f>IF(AND(D46&gt;0,G46="المحفظة"),COUNTIFS($D$4:D46,"&gt;"&amp;0,$G$4:G46,"المحفظة"),"")</f>
        <v/>
      </c>
      <c r="N47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/>
      </c>
      <c r="P47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/>
      </c>
    </row>
    <row r="48" ht="18.75" customHeight="1" s="165">
      <c r="A48" s="167" t="n">
        <v>46146</v>
      </c>
      <c r="B48" s="36" t="inlineStr">
        <is>
          <t>Inv-40</t>
        </is>
      </c>
      <c r="C48" s="37" t="inlineStr">
        <is>
          <t>other</t>
        </is>
      </c>
      <c r="D48" s="38" t="n"/>
      <c r="E48" s="39" t="n">
        <v>9</v>
      </c>
      <c r="F48" s="160" t="inlineStr">
        <is>
          <t>نقداً</t>
        </is>
      </c>
      <c r="G48" s="40" t="n"/>
      <c r="H48" s="41" t="inlineStr">
        <is>
          <t>تم الدفع</t>
        </is>
      </c>
      <c r="I48" s="42" t="n"/>
      <c r="J48" s="43">
        <f>IF(AND(D48="",E48="",A48="",B48="",C48=""),"", IFERROR(IF(J47="",D2,J47),D2)+IF(E48="",0,E48)-IF(OR(G48="أبو اسحاق",G48="أبو آدم",G48="أبو اسحاق ",G48="أبو آدم "),0,IF(D48="",0,D48)))</f>
        <v/>
      </c>
      <c r="K48" s="44" t="n"/>
      <c r="L48">
        <f>IF(E47&gt;0,COUNTIF($E$4:E47,"&gt;0"),"")</f>
        <v/>
      </c>
      <c r="M48">
        <f>IF(AND(D47&gt;0,G47="المحفظة"),COUNTIFS($D$4:D47,"&gt;"&amp;0,$G$4:G47,"المحفظة"),"")</f>
        <v/>
      </c>
      <c r="N48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/>
      </c>
      <c r="P48">
        <f>IF(OR($A48="",$F48="أحد الشركاء",AND($D48="",$E48="")),"",SUMPRODUCT(($A$4:$A48&lt;&gt;"")*($F$4:$F48&lt;&gt;"أحد الشركاء")*((($D$4:$D48&lt;&gt;"")+($E$4:$E48&lt;&gt;""))&gt;0)))</f>
        <v/>
      </c>
      <c r="Q48">
        <f>IF(OR($A48="",$F48&lt;&gt;"أحد الشركاء"),"",COUNTIFS($A$4:A48,"&lt;&gt;",$F$4:F48,"أحد الشركاء"))</f>
        <v/>
      </c>
    </row>
    <row r="49" ht="18.75" customHeight="1" s="165">
      <c r="A49" s="25" t="n">
        <v>46146</v>
      </c>
      <c r="B49" s="26" t="inlineStr">
        <is>
          <t>Inv-41</t>
        </is>
      </c>
      <c r="C49" s="27" t="inlineStr">
        <is>
          <t>other</t>
        </is>
      </c>
      <c r="D49" s="28" t="n"/>
      <c r="E49" s="29" t="n">
        <v>9</v>
      </c>
      <c r="F49" s="30" t="inlineStr">
        <is>
          <t>نقداً</t>
        </is>
      </c>
      <c r="G49" s="31" t="n"/>
      <c r="H49" s="32" t="inlineStr">
        <is>
          <t>تم الدفع</t>
        </is>
      </c>
      <c r="I49" s="33" t="n"/>
      <c r="J49" s="34">
        <f>IF(AND(D49="",E49="",A49="",B49="",C49=""),"", IFERROR(IF(J48="",D2,J48),D2)+IF(E49="",0,E49)-IF(OR(G49="أبو اسحاق",G49="أبو آدم",G49="أبو اسحاق ",G49="أبو آدم "),0,IF(D49="",0,D49)))</f>
        <v/>
      </c>
      <c r="K49" s="35" t="n"/>
      <c r="L49">
        <f>IF(E48&gt;0,COUNTIF($E$4:E48,"&gt;0"),"")</f>
        <v/>
      </c>
      <c r="M49">
        <f>IF(AND(D48&gt;0,G48="المحفظة"),COUNTIFS($D$4:D48,"&gt;"&amp;0,$G$4:G48,"المحفظة"),"")</f>
        <v/>
      </c>
      <c r="N49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/>
      </c>
      <c r="Q49">
        <f>IF(OR($A49="",$F49&lt;&gt;"أحد الشركاء"),"",COUNTIFS($A$4:A49,"&lt;&gt;",$F$4:F49,"أحد الشركاء"))</f>
        <v/>
      </c>
    </row>
    <row r="50" ht="18.75" customHeight="1" s="165">
      <c r="A50" s="167" t="n">
        <v>46146</v>
      </c>
      <c r="B50" s="36" t="inlineStr">
        <is>
          <t>Inv-42</t>
        </is>
      </c>
      <c r="C50" s="37" t="inlineStr">
        <is>
          <t>other</t>
        </is>
      </c>
      <c r="D50" s="38" t="n"/>
      <c r="E50" s="39" t="n">
        <v>2</v>
      </c>
      <c r="F50" s="160" t="inlineStr">
        <is>
          <t>نقداً</t>
        </is>
      </c>
      <c r="G50" s="40" t="n"/>
      <c r="H50" s="41" t="inlineStr">
        <is>
          <t>تم الدفع</t>
        </is>
      </c>
      <c r="I50" s="42" t="n"/>
      <c r="J50" s="43">
        <f>IF(AND(D50="",E50="",A50="",B50="",C50=""),"", IFERROR(IF(J49="",D2,J49),D2)+IF(E50="",0,E50)-IF(OR(G50="أبو اسحاق",G50="أبو آدم",G50="أبو اسحاق ",G50="أبو آدم "),0,IF(D50="",0,D50)))</f>
        <v/>
      </c>
      <c r="K50" s="44" t="n"/>
      <c r="L50">
        <f>IF(E49&gt;0,COUNTIF($E$4:E49,"&gt;0"),"")</f>
        <v/>
      </c>
      <c r="M50">
        <f>IF(AND(D49&gt;0,G49="المحفظة"),COUNTIFS($D$4:D49,"&gt;"&amp;0,$G$4:G49,"المحفظة"),"")</f>
        <v/>
      </c>
      <c r="N50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/>
      </c>
      <c r="Q50">
        <f>IF(OR($A50="",$F50&lt;&gt;"أحد الشركاء"),"",COUNTIFS($A$4:A50,"&lt;&gt;",$F$4:F50,"أحد الشركاء"))</f>
        <v/>
      </c>
    </row>
    <row r="51" ht="18.75" customHeight="1" s="165">
      <c r="A51" s="25" t="n">
        <v>46147</v>
      </c>
      <c r="B51" s="26" t="inlineStr">
        <is>
          <t>Inv-43</t>
        </is>
      </c>
      <c r="C51" s="27" t="inlineStr">
        <is>
          <t>other</t>
        </is>
      </c>
      <c r="D51" s="28" t="n"/>
      <c r="E51" s="29" t="n">
        <v>3.75</v>
      </c>
      <c r="F51" s="30" t="inlineStr">
        <is>
          <t>نقداً</t>
        </is>
      </c>
      <c r="G51" s="31" t="n"/>
      <c r="H51" s="32" t="inlineStr">
        <is>
          <t>تم الدفع</t>
        </is>
      </c>
      <c r="I51" s="33" t="n"/>
      <c r="J51" s="34">
        <f>IF(AND(D51="",E51="",A51="",B51="",C51=""),"", IFERROR(IF(J50="",D2,J50),D2)+IF(E51="",0,E51)-IF(OR(G51="أبو اسحاق",G51="أبو آدم",G51="أبو اسحاق ",G51="أبو آدم "),0,IF(D51="",0,D51)))</f>
        <v/>
      </c>
      <c r="K51" s="35" t="n"/>
      <c r="L51">
        <f>IF(E50&gt;0,COUNTIF($E$4:E50,"&gt;0"),"")</f>
        <v/>
      </c>
      <c r="M51">
        <f>IF(AND(D50&gt;0,G50="المحفظة"),COUNTIFS($D$4:D50,"&gt;"&amp;0,$G$4:G50,"المحفظة"),"")</f>
        <v/>
      </c>
      <c r="N51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/>
      </c>
      <c r="Q51">
        <f>IF(OR($A51="",$F51&lt;&gt;"أحد الشركاء"),"",COUNTIFS($A$4:A51,"&lt;&gt;",$F$4:F51,"أحد الشركاء"))</f>
        <v/>
      </c>
    </row>
    <row r="52" ht="18.75" customHeight="1" s="165">
      <c r="A52" s="167" t="n">
        <v>46149</v>
      </c>
      <c r="B52" s="36" t="inlineStr">
        <is>
          <t>Inv-44a</t>
        </is>
      </c>
      <c r="C52" s="37" t="inlineStr">
        <is>
          <t>other</t>
        </is>
      </c>
      <c r="D52" s="38" t="n"/>
      <c r="E52" s="39" t="n">
        <v>5</v>
      </c>
      <c r="F52" s="160" t="inlineStr">
        <is>
          <t>نقداً</t>
        </is>
      </c>
      <c r="G52" s="40" t="n"/>
      <c r="H52" s="41" t="inlineStr">
        <is>
          <t>تم الدفع</t>
        </is>
      </c>
      <c r="I52" s="42" t="n"/>
      <c r="J52" s="43">
        <f>IF(AND(D52="",E52="",A52="",B52="",C52=""),"", IFERROR(IF(J51="",D2,J51),D2)+IF(E52="",0,E52)-IF(OR(G52="أبو اسحاق",G52="أبو آدم",G52="أبو اسحاق ",G52="أبو آدم "),0,IF(D52="",0,D52)))</f>
        <v/>
      </c>
      <c r="K52" s="44" t="n"/>
      <c r="L52">
        <f>IF(E51&gt;0,COUNTIF($E$4:E51,"&gt;0"),"")</f>
        <v/>
      </c>
      <c r="M52">
        <f>IF(AND(D51&gt;0,G51="المحفظة"),COUNTIFS($D$4:D51,"&gt;"&amp;0,$G$4:G51,"المحفظة"),"")</f>
        <v/>
      </c>
      <c r="N52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/>
      </c>
      <c r="Q52">
        <f>IF(OR($A52="",$F52&lt;&gt;"أحد الشركاء"),"",COUNTIFS($A$4:A52,"&lt;&gt;",$F$4:F52,"أحد الشركاء"))</f>
        <v/>
      </c>
    </row>
    <row r="53" ht="18.75" customHeight="1" s="165">
      <c r="A53" s="25" t="n">
        <v>46155</v>
      </c>
      <c r="B53" s="26" t="inlineStr">
        <is>
          <t>Inv-44</t>
        </is>
      </c>
      <c r="C53" s="27" t="inlineStr">
        <is>
          <t>other</t>
        </is>
      </c>
      <c r="D53" s="28" t="n"/>
      <c r="E53" s="29" t="n">
        <v>15</v>
      </c>
      <c r="F53" s="30" t="inlineStr">
        <is>
          <t>نقداً</t>
        </is>
      </c>
      <c r="G53" s="31" t="n"/>
      <c r="H53" s="32" t="inlineStr">
        <is>
          <t>تم الدفع</t>
        </is>
      </c>
      <c r="I53" s="33" t="n"/>
      <c r="J53" s="34">
        <f>IF(AND(D53="",E53="",A53="",B53="",C53=""),"", IFERROR(IF(J52="",D2,J52),D2)+IF(E53="",0,E53)-IF(OR(G53="أبو اسحاق",G53="أبو آدم",G53="أبو اسحاق ",G53="أبو آدم "),0,IF(D53="",0,D53)))</f>
        <v/>
      </c>
      <c r="K53" s="35" t="n"/>
      <c r="L53">
        <f>IF(E52&gt;0,COUNTIF($E$4:E52,"&gt;0"),"")</f>
        <v/>
      </c>
      <c r="M53">
        <f>IF(AND(D52&gt;0,G52="المحفظة"),COUNTIFS($D$4:D52,"&gt;"&amp;0,$G$4:G52,"المحفظة"),"")</f>
        <v/>
      </c>
      <c r="N53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/>
      </c>
      <c r="Q53">
        <f>IF(OR($A53="",$F53&lt;&gt;"أحد الشركاء"),"",COUNTIFS($A$4:A53,"&lt;&gt;",$F$4:F53,"أحد الشركاء"))</f>
        <v/>
      </c>
    </row>
    <row r="54" ht="18.75" customHeight="1" s="165">
      <c r="A54" s="167" t="n">
        <v>46155</v>
      </c>
      <c r="B54" s="36" t="inlineStr">
        <is>
          <t>Inv-45</t>
        </is>
      </c>
      <c r="C54" s="37" t="inlineStr">
        <is>
          <t>other</t>
        </is>
      </c>
      <c r="D54" s="38" t="n"/>
      <c r="E54" s="39" t="n">
        <v>4</v>
      </c>
      <c r="F54" s="160" t="inlineStr">
        <is>
          <t>نقداً</t>
        </is>
      </c>
      <c r="G54" s="40" t="n"/>
      <c r="H54" s="41" t="inlineStr">
        <is>
          <t>تم الدفع</t>
        </is>
      </c>
      <c r="I54" s="42" t="n"/>
      <c r="J54" s="43">
        <f>IF(AND(D54="",E54="",A54="",B54="",C54=""),"", IFERROR(IF(J53="",D2,J53),D2)+IF(E54="",0,E54)-IF(OR(G54="أبو اسحاق",G54="أبو آدم",G54="أبو اسحاق ",G54="أبو آدم "),0,IF(D54="",0,D54)))</f>
        <v/>
      </c>
      <c r="K54" s="44" t="n"/>
      <c r="L54">
        <f>IF(E53&gt;0,COUNTIF($E$4:E53,"&gt;0"),"")</f>
        <v/>
      </c>
      <c r="M54">
        <f>IF(AND(D53&gt;0,G53="المحفظة"),COUNTIFS($D$4:D53,"&gt;"&amp;0,$G$4:G53,"المحفظة"),"")</f>
        <v/>
      </c>
      <c r="N54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/>
      </c>
      <c r="Q54">
        <f>IF(OR($A54="",$F54&lt;&gt;"أحد الشركاء"),"",COUNTIFS($A$4:A54,"&lt;&gt;",$F$4:F54,"أحد الشركاء"))</f>
        <v/>
      </c>
    </row>
    <row r="55" ht="18.75" customHeight="1" s="165">
      <c r="A55" s="25" t="n">
        <v>46155</v>
      </c>
      <c r="B55" s="26" t="inlineStr">
        <is>
          <t>Inv-46</t>
        </is>
      </c>
      <c r="C55" s="27" t="inlineStr">
        <is>
          <t>other</t>
        </is>
      </c>
      <c r="D55" s="28" t="n"/>
      <c r="E55" s="29" t="n">
        <v>3.6</v>
      </c>
      <c r="F55" s="30" t="inlineStr">
        <is>
          <t>نقداً</t>
        </is>
      </c>
      <c r="G55" s="31" t="n"/>
      <c r="H55" s="32" t="inlineStr">
        <is>
          <t>تم الدفع</t>
        </is>
      </c>
      <c r="I55" s="33" t="n"/>
      <c r="J55" s="34">
        <f>IF(AND(D55="",E55="",A55="",B55="",C55=""),"", IFERROR(IF(J54="",D2,J54),D2)+IF(E55="",0,E55)-IF(OR(G55="أبو اسحاق",G55="أبو آدم",G55="أبو اسحاق ",G55="أبو آدم "),0,IF(D55="",0,D55)))</f>
        <v/>
      </c>
      <c r="K55" s="35" t="n"/>
      <c r="L55">
        <f>IF(E54&gt;0,COUNTIF($E$4:E54,"&gt;0"),"")</f>
        <v/>
      </c>
      <c r="M55">
        <f>IF(AND(D54&gt;0,G54="المحفظة"),COUNTIFS($D$4:D54,"&gt;"&amp;0,$G$4:G54,"المحفظة"),"")</f>
        <v/>
      </c>
      <c r="N55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/>
      </c>
      <c r="Q55">
        <f>IF(OR($A55="",$F55&lt;&gt;"أحد الشركاء"),"",COUNTIFS($A$4:A55,"&lt;&gt;",$F$4:F55,"أحد الشركاء"))</f>
        <v/>
      </c>
    </row>
    <row r="56" ht="18.75" customHeight="1" s="165">
      <c r="A56" s="167" t="n">
        <v>46158</v>
      </c>
      <c r="B56" s="36" t="inlineStr">
        <is>
          <t>Inv-47</t>
        </is>
      </c>
      <c r="C56" s="37" t="inlineStr">
        <is>
          <t>other</t>
        </is>
      </c>
      <c r="D56" s="38" t="n"/>
      <c r="E56" s="39" t="n">
        <v>3</v>
      </c>
      <c r="F56" s="160" t="inlineStr">
        <is>
          <t>نقداً</t>
        </is>
      </c>
      <c r="G56" s="40" t="n"/>
      <c r="H56" s="41" t="inlineStr">
        <is>
          <t>تم الدفع</t>
        </is>
      </c>
      <c r="I56" s="42" t="n"/>
      <c r="J56" s="43">
        <f>IF(AND(D56="",E56="",A56="",B56="",C56=""),"", IFERROR(IF(J55="",D2,J55),D2)+IF(E56="",0,E56)-IF(OR(G56="أبو اسحاق",G56="أبو آدم",G56="أبو اسحاق ",G56="أبو آدم "),0,IF(D56="",0,D56)))</f>
        <v/>
      </c>
      <c r="K56" s="44" t="n"/>
      <c r="L56">
        <f>IF(E55&gt;0,COUNTIF($E$4:E55,"&gt;0"),"")</f>
        <v/>
      </c>
      <c r="M56">
        <f>IF(AND(D55&gt;0,G55="المحفظة"),COUNTIFS($D$4:D55,"&gt;"&amp;0,$G$4:G55,"المحفظة"),"")</f>
        <v/>
      </c>
      <c r="N56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/>
      </c>
      <c r="Q56">
        <f>IF(OR($A56="",$F56&lt;&gt;"أحد الشركاء"),"",COUNTIFS($A$4:A56,"&lt;&gt;",$F$4:F56,"أحد الشركاء"))</f>
        <v/>
      </c>
    </row>
    <row r="57" ht="18.75" customHeight="1" s="165">
      <c r="A57" s="25" t="n">
        <v>46155</v>
      </c>
      <c r="B57" s="26" t="n"/>
      <c r="C57" s="27" t="inlineStr">
        <is>
          <t>جبس لتغطيه المحميه</t>
        </is>
      </c>
      <c r="D57" s="28" t="n">
        <v>2.75</v>
      </c>
      <c r="E57" s="29" t="n"/>
      <c r="F57" s="30" t="inlineStr">
        <is>
          <t>نقداً</t>
        </is>
      </c>
      <c r="G57" s="31" t="inlineStr">
        <is>
          <t>المحفظة</t>
        </is>
      </c>
      <c r="H57" s="32" t="inlineStr">
        <is>
          <t>تم الدفع</t>
        </is>
      </c>
      <c r="I57" s="33" t="n"/>
      <c r="J57" s="34">
        <f>IF(AND(D57="",E57="",A57="",B57="",C57=""),"", IFERROR(IF(J56="",D2,J56),D2)+IF(E57="",0,E57)-IF(OR(G57="أبو اسحاق",G57="أبو آدم",G57="أبو اسحاق ",G57="أبو آدم "),0,IF(D57="",0,D57)))</f>
        <v/>
      </c>
      <c r="K57" s="35" t="n"/>
      <c r="L57">
        <f>IF(E56&gt;0,COUNTIF($E$4:E56,"&gt;0"),"")</f>
        <v/>
      </c>
      <c r="M57">
        <f>IF(AND(D56&gt;0,G56="المحفظة"),COUNTIFS($D$4:D56,"&gt;"&amp;0,$G$4:G56,"المحفظة"),"")</f>
        <v/>
      </c>
      <c r="N57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/>
      </c>
      <c r="Q57">
        <f>IF(OR($A57="",$F57&lt;&gt;"أحد الشركاء"),"",COUNTIFS($A$4:A57,"&lt;&gt;",$F$4:F57,"أحد الشركاء"))</f>
        <v/>
      </c>
    </row>
    <row r="58" ht="18.75" customHeight="1" s="165">
      <c r="A58" s="167" t="n">
        <v>46175</v>
      </c>
      <c r="B58" s="26" t="inlineStr">
        <is>
          <t>Inv-53</t>
        </is>
      </c>
      <c r="C58" s="37" t="inlineStr">
        <is>
          <t>فل عدد 24 الحبه .750</t>
        </is>
      </c>
      <c r="D58" s="38" t="n"/>
      <c r="E58" s="39" t="n">
        <v>18</v>
      </c>
      <c r="F58" s="160" t="inlineStr">
        <is>
          <t>نقداً</t>
        </is>
      </c>
      <c r="G58" s="40" t="n"/>
      <c r="H58" s="41" t="inlineStr">
        <is>
          <t>تم الدفع</t>
        </is>
      </c>
      <c r="I58" s="42" t="n"/>
      <c r="J58" s="43">
        <f>IF(AND(D58="",E58="",A58="",B58="",C58=""),"", IFERROR(IF(J57="",D2,J57),D2)+IF(E58="",0,E58)-IF(OR(G58="أبو اسحاق",G58="أبو آدم",G58="أبو اسحاق ",G58="أبو آدم "),0,IF(D58="",0,D58)))</f>
        <v/>
      </c>
      <c r="K58" s="44" t="n"/>
      <c r="L58">
        <f>IF(E57&gt;0,COUNTIF($E$4:E57,"&gt;0"),"")</f>
        <v/>
      </c>
      <c r="M58">
        <f>IF(AND(D57&gt;0,G57="المحفظة"),COUNTIFS($D$4:D57,"&gt;"&amp;0,$G$4:G57,"المحفظة"),"")</f>
        <v/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/>
      </c>
      <c r="Q58">
        <f>IF(OR($A58="",$F58&lt;&gt;"أحد الشركاء"),"",COUNTIFS($A$4:A58,"&lt;&gt;",$F$4:F58,"أحد الشركاء"))</f>
        <v/>
      </c>
    </row>
    <row r="59" ht="18.75" customHeight="1" s="165">
      <c r="A59" s="167" t="n">
        <v>46175</v>
      </c>
      <c r="B59" s="36" t="inlineStr">
        <is>
          <t>Inv-54</t>
        </is>
      </c>
      <c r="C59" s="27" t="inlineStr">
        <is>
          <t>دارسينا خضراء عدد 1 الحبه 2</t>
        </is>
      </c>
      <c r="D59" s="28" t="n"/>
      <c r="E59" s="29" t="n">
        <v>2</v>
      </c>
      <c r="F59" s="30" t="inlineStr">
        <is>
          <t>نقداً</t>
        </is>
      </c>
      <c r="G59" s="31" t="n"/>
      <c r="H59" s="32" t="inlineStr">
        <is>
          <t>تم الدفع</t>
        </is>
      </c>
      <c r="I59" s="33" t="n"/>
      <c r="J59" s="34">
        <f>IF(AND(D59="",E59="",A59="",B59="",C59=""),"", IFERROR(IF(J58="",D2,J58),D2)+IF(E59="",0,E59)-IF(OR(G59="أبو اسحاق",G59="أبو آدم",G59="أبو اسحاق ",G59="أبو آدم "),0,IF(D59="",0,D59)))</f>
        <v/>
      </c>
      <c r="K59" s="35" t="n"/>
      <c r="L59">
        <f>IF(E58&gt;0,COUNTIF($E$4:E58,"&gt;0"),"")</f>
        <v/>
      </c>
      <c r="M59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/>
      </c>
      <c r="Q59">
        <f>IF(OR($A59="",$F59&lt;&gt;"أحد الشركاء"),"",COUNTIFS($A$4:A59,"&lt;&gt;",$F$4:F59,"أحد الشركاء"))</f>
        <v/>
      </c>
    </row>
    <row r="60" ht="18.75" customHeight="1" s="165">
      <c r="A60" s="167" t="n">
        <v>46175</v>
      </c>
      <c r="B60" s="26" t="inlineStr">
        <is>
          <t>Inv-55</t>
        </is>
      </c>
      <c r="C60" s="37" t="inlineStr">
        <is>
          <t>افوبيا عدد 2 الحبه .750</t>
        </is>
      </c>
      <c r="D60" s="38" t="n"/>
      <c r="E60" s="39" t="n">
        <v>1.5</v>
      </c>
      <c r="F60" s="160" t="inlineStr">
        <is>
          <t>نقداً</t>
        </is>
      </c>
      <c r="G60" s="40" t="n"/>
      <c r="H60" s="41" t="inlineStr">
        <is>
          <t>تم الدفع</t>
        </is>
      </c>
      <c r="I60" s="42" t="n"/>
      <c r="J60" s="43">
        <f>IF(AND(D60="",E60="",A60="",B60="",C60=""),"", IFERROR(IF(J59="",D2,J59),D2)+IF(E60="",0,E60)-IF(OR(G60="أبو اسحاق",G60="أبو آدم",G60="أبو اسحاق ",G60="أبو آدم "),0,IF(D60="",0,D60)))</f>
        <v/>
      </c>
      <c r="K60" s="44" t="n"/>
      <c r="L60">
        <f>IF(E59&gt;0,COUNTIF($E$4:E59,"&gt;0"),"")</f>
        <v/>
      </c>
      <c r="M60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/>
      </c>
      <c r="Q60">
        <f>IF(OR($A60="",$F60&lt;&gt;"أحد الشركاء"),"",COUNTIFS($A$4:A60,"&lt;&gt;",$F$4:F60,"أحد الشركاء"))</f>
        <v/>
      </c>
    </row>
    <row r="61" ht="18.75" customHeight="1" s="165">
      <c r="A61" s="167" t="n">
        <v>46175</v>
      </c>
      <c r="B61" s="36" t="inlineStr">
        <is>
          <t>Inv-56</t>
        </is>
      </c>
      <c r="C61" s="27" t="inlineStr">
        <is>
          <t>دارسينا سوداء عدد 3 الحبه 1</t>
        </is>
      </c>
      <c r="D61" s="28" t="n"/>
      <c r="E61" s="29" t="n">
        <v>3</v>
      </c>
      <c r="F61" s="30" t="inlineStr">
        <is>
          <t>نقداً</t>
        </is>
      </c>
      <c r="G61" s="31" t="n"/>
      <c r="H61" s="32" t="inlineStr">
        <is>
          <t>تم الدفع</t>
        </is>
      </c>
      <c r="I61" s="33" t="n"/>
      <c r="J61" s="34">
        <f>IF(AND(D61="",E61="",A61="",B61="",C61=""),"", IFERROR(IF(J60="",D2,J60),D2)+IF(E61="",0,E61)-IF(OR(G61="أبو اسحاق",G61="أبو آدم",G61="أبو اسحاق ",G61="أبو آدم "),0,IF(D61="",0,D61)))</f>
        <v/>
      </c>
      <c r="K61" s="35" t="n"/>
      <c r="L61">
        <f>IF(E60&gt;0,COUNTIF($E$4:E60,"&gt;0"),"")</f>
        <v/>
      </c>
      <c r="M61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/>
      </c>
      <c r="Q61">
        <f>IF(OR($A61="",$F61&lt;&gt;"أحد الشركاء"),"",COUNTIFS($A$4:A61,"&lt;&gt;",$F$4:F61,"أحد الشركاء"))</f>
        <v/>
      </c>
    </row>
    <row r="62" ht="18.75" customHeight="1" s="165">
      <c r="A62" s="167" t="n">
        <v>46177</v>
      </c>
      <c r="B62" s="36" t="inlineStr">
        <is>
          <t>inv-57</t>
        </is>
      </c>
      <c r="C62" s="37" t="inlineStr">
        <is>
          <t>فوزير عدد1 قيمه 1</t>
        </is>
      </c>
      <c r="D62" s="38" t="n"/>
      <c r="E62" s="39" t="n">
        <v>1</v>
      </c>
      <c r="F62" s="160" t="inlineStr">
        <is>
          <t>نقداً</t>
        </is>
      </c>
      <c r="G62" s="40" t="n"/>
      <c r="H62" s="41" t="inlineStr">
        <is>
          <t>تم الدفع</t>
        </is>
      </c>
      <c r="I62" s="42" t="n"/>
      <c r="J62" s="43">
        <f>IF(AND(D62="",E62="",A62="",B62="",C62=""),"", IFERROR(IF(J61="",D2,J61),D2)+IF(E62="",0,E62)-IF(OR(G62="أبو اسحاق",G62="أبو آدم",G62="أبو اسحاق ",G62="أبو آدم "),0,IF(D62="",0,D62)))</f>
        <v/>
      </c>
      <c r="K62" s="44" t="n"/>
      <c r="L62">
        <f>IF(E61&gt;0,COUNTIF($E$4:E61,"&gt;0"),"")</f>
        <v/>
      </c>
      <c r="M62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/>
      </c>
      <c r="Q62">
        <f>IF(OR($A62="",$F62&lt;&gt;"أحد الشركاء"),"",COUNTIFS($A$4:A62,"&lt;&gt;",$F$4:F62,"أحد الشركاء"))</f>
        <v/>
      </c>
    </row>
    <row r="63" ht="18.75" customHeight="1" s="165">
      <c r="A63" s="167" t="n">
        <v>46177</v>
      </c>
      <c r="B63" s="26" t="n"/>
      <c r="C63" s="27" t="inlineStr">
        <is>
          <t>سماد</t>
        </is>
      </c>
      <c r="D63" s="28" t="n">
        <v>10</v>
      </c>
      <c r="E63" s="29" t="n"/>
      <c r="F63" s="30" t="inlineStr">
        <is>
          <t>نقداً</t>
        </is>
      </c>
      <c r="G63" s="31" t="inlineStr">
        <is>
          <t>المحفظة</t>
        </is>
      </c>
      <c r="H63" s="32" t="inlineStr">
        <is>
          <t>تم الدفع</t>
        </is>
      </c>
      <c r="I63" s="33" t="n"/>
      <c r="J63" s="34">
        <f>IF(AND(D63="",E63="",A63="",B63="",C63=""),"", IFERROR(IF(J62="",D2,J62),D2)+IF(E63="",0,E63)-IF(OR(G63="أبو اسحاق",G63="أبو آدم",G63="أبو اسحاق ",G63="أبو آدم "),0,IF(D63="",0,D63)))</f>
        <v/>
      </c>
      <c r="K63" s="35" t="n"/>
      <c r="L63">
        <f>IF(E62&gt;0,COUNTIF($E$4:E62,"&gt;0"),"")</f>
        <v/>
      </c>
      <c r="M63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/>
      </c>
      <c r="Q63">
        <f>IF(OR($A63="",$F63&lt;&gt;"أحد الشركاء"),"",COUNTIFS($A$4:A63,"&lt;&gt;",$F$4:F63,"أحد الشركاء"))</f>
        <v/>
      </c>
    </row>
    <row r="64" ht="18.75" customHeight="1" s="165">
      <c r="A64" s="167" t="n">
        <v>46177</v>
      </c>
      <c r="B64" s="36" t="n"/>
      <c r="C64" s="37" t="inlineStr">
        <is>
          <t>تاير لعربة الرش</t>
        </is>
      </c>
      <c r="D64" s="38" t="n">
        <v>3.25</v>
      </c>
      <c r="E64" s="39" t="n"/>
      <c r="F64" s="160" t="inlineStr">
        <is>
          <t>نقداً</t>
        </is>
      </c>
      <c r="G64" s="40" t="inlineStr">
        <is>
          <t>المحفظة</t>
        </is>
      </c>
      <c r="H64" s="41" t="inlineStr">
        <is>
          <t>تم الدفع</t>
        </is>
      </c>
      <c r="I64" s="42" t="n"/>
      <c r="J64" s="43">
        <f>IF(AND(D64="",E64="",A64="",B64="",C64=""),"", IFERROR(IF(J63="",D2,J63),D2)+IF(E64="",0,E64)-IF(OR(G64="أبو اسحاق",G64="أبو آدم",G64="أبو اسحاق ",G64="أبو آدم "),0,IF(D64="",0,D64)))</f>
        <v/>
      </c>
      <c r="K64" s="44" t="n"/>
      <c r="L64">
        <f>IF(E63&gt;0,COUNTIF($E$4:E63,"&gt;0"),"")</f>
        <v/>
      </c>
      <c r="M64">
        <f>IF(AND(D63&gt;0,G63="المحفظة"),COUNTIFS($D$4:D63,"&gt;"&amp;0,$G$4:G63,"المحفظة"),"")</f>
        <v/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/>
      </c>
      <c r="Q64">
        <f>IF(OR($A64="",$F64&lt;&gt;"أحد الشركاء"),"",COUNTIFS($A$4:A64,"&lt;&gt;",$F$4:F64,"أحد الشركاء"))</f>
        <v/>
      </c>
    </row>
    <row r="65" ht="18.75" customHeight="1" s="165">
      <c r="A65" s="167" t="n">
        <v>46177</v>
      </c>
      <c r="B65" s="26" t="n"/>
      <c r="C65" s="27" t="inlineStr">
        <is>
          <t>حفاره خلط السماد</t>
        </is>
      </c>
      <c r="D65" s="28" t="n">
        <v>12</v>
      </c>
      <c r="E65" s="29" t="n"/>
      <c r="F65" s="30" t="inlineStr">
        <is>
          <t>نقداً</t>
        </is>
      </c>
      <c r="G65" s="31" t="inlineStr">
        <is>
          <t>المحفظة</t>
        </is>
      </c>
      <c r="H65" s="32" t="inlineStr">
        <is>
          <t>تم الدفع</t>
        </is>
      </c>
      <c r="I65" s="33" t="n"/>
      <c r="J65" s="34">
        <f>IF(AND(D65="",E65="",A65="",B65="",C65=""),"", IFERROR(IF(J64="",D2,J64),D2)+IF(E65="",0,E65)-IF(OR(G65="أبو اسحاق",G65="أبو آدم",G65="أبو اسحاق ",G65="أبو آدم "),0,IF(D65="",0,D65)))</f>
        <v/>
      </c>
      <c r="K65" s="35" t="n"/>
      <c r="L65">
        <f>IF(E64&gt;0,COUNTIF($E$4:E64,"&gt;0"),"")</f>
        <v/>
      </c>
      <c r="M65">
        <f>IF(AND(D64&gt;0,G64="المحفظة"),COUNTIFS($D$4:D64,"&gt;"&amp;0,$G$4:G64,"المحفظة"),"")</f>
        <v/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/>
      </c>
      <c r="Q65">
        <f>IF(OR($A65="",$F65&lt;&gt;"أحد الشركاء"),"",COUNTIFS($A$4:A65,"&lt;&gt;",$F$4:F65,"أحد الشركاء"))</f>
        <v/>
      </c>
    </row>
    <row r="66" ht="18.75" customHeight="1" s="165">
      <c r="A66" s="167" t="n">
        <v>46179</v>
      </c>
      <c r="B66" s="36" t="inlineStr">
        <is>
          <t>Inv-58</t>
        </is>
      </c>
      <c r="C66" s="37" t="inlineStr">
        <is>
          <t>دارسينا عدد3 بقيمه 1 للحبه</t>
        </is>
      </c>
      <c r="D66" s="38" t="n"/>
      <c r="E66" s="39" t="n">
        <v>3</v>
      </c>
      <c r="F66" s="160" t="inlineStr">
        <is>
          <t>نقداً</t>
        </is>
      </c>
      <c r="G66" s="40" t="n"/>
      <c r="H66" s="41" t="inlineStr">
        <is>
          <t>تم الدفع</t>
        </is>
      </c>
      <c r="I66" s="42" t="n"/>
      <c r="J66" s="43">
        <f>IF(AND(D66="",E66="",A66="",B66="",C66=""),"", IFERROR(IF(J65="",D2,J65),D2)+IF(E66="",0,E66)-IF(OR(G66="أبو اسحاق",G66="أبو آدم",G66="أبو اسحاق ",G66="أبو آدم "),0,IF(D66="",0,D66)))</f>
        <v/>
      </c>
      <c r="K66" s="44" t="n"/>
      <c r="L66">
        <f>IF(E65&gt;0,COUNTIF($E$4:E65,"&gt;0"),"")</f>
        <v/>
      </c>
      <c r="M66">
        <f>IF(AND(D65&gt;0,G65="المحفظة"),COUNTIFS($D$4:D65,"&gt;"&amp;0,$G$4:G65,"المحفظة"),"")</f>
        <v/>
      </c>
      <c r="N66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/>
      </c>
      <c r="Q66">
        <f>IF(OR($A66="",$F66&lt;&gt;"أحد الشركاء"),"",COUNTIFS($A$4:A66,"&lt;&gt;",$F$4:F66,"أحد الشركاء"))</f>
        <v/>
      </c>
    </row>
    <row r="67" ht="18.75" customHeight="1" s="165">
      <c r="A67" s="167" t="n">
        <v>46179</v>
      </c>
      <c r="B67" s="36" t="inlineStr">
        <is>
          <t>Inv-59</t>
        </is>
      </c>
      <c r="C67" s="27" t="inlineStr">
        <is>
          <t>ودليه عدد 1 بقيمه 1</t>
        </is>
      </c>
      <c r="D67" s="28" t="n"/>
      <c r="E67" s="29" t="n">
        <v>1</v>
      </c>
      <c r="F67" s="30" t="inlineStr">
        <is>
          <t>نقداً</t>
        </is>
      </c>
      <c r="G67" s="31" t="n"/>
      <c r="H67" s="32" t="inlineStr">
        <is>
          <t>تم الدفع</t>
        </is>
      </c>
      <c r="I67" s="33" t="n"/>
      <c r="J67" s="34">
        <f>IF(AND(D67="",E67="",A67="",B67="",C67=""),"", IFERROR(IF(J66="",D2,J66),D2)+IF(E67="",0,E67)-IF(OR(G67="أبو اسحاق",G67="أبو آدم",G67="أبو اسحاق ",G67="أبو آدم "),0,IF(D67="",0,D67)))</f>
        <v/>
      </c>
      <c r="K67" s="35" t="n"/>
      <c r="L67">
        <f>IF(E66&gt;0,COUNTIF($E$4:E66,"&gt;0"),"")</f>
        <v/>
      </c>
      <c r="M67">
        <f>IF(AND(D66&gt;0,G66="المحفظة"),COUNTIFS($D$4:D66,"&gt;"&amp;0,$G$4:G66,"المحفظة"),"")</f>
        <v/>
      </c>
      <c r="N67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/>
      </c>
      <c r="Q67">
        <f>IF(OR($A67="",$F67&lt;&gt;"أحد الشركاء"),"",COUNTIFS($A$4:A67,"&lt;&gt;",$F$4:F67,"أحد الشركاء"))</f>
        <v/>
      </c>
    </row>
    <row r="68" ht="18.75" customHeight="1" s="165">
      <c r="A68" s="167" t="n">
        <v>46179</v>
      </c>
      <c r="B68" s="36" t="inlineStr">
        <is>
          <t>Inv-60</t>
        </is>
      </c>
      <c r="C68" s="37" t="inlineStr">
        <is>
          <t>دارسينا حمراء عدد 1 بقيمه 3</t>
        </is>
      </c>
      <c r="D68" s="38" t="n"/>
      <c r="E68" s="39" t="n">
        <v>3</v>
      </c>
      <c r="F68" s="160" t="inlineStr">
        <is>
          <t>نقداً</t>
        </is>
      </c>
      <c r="G68" s="40" t="n"/>
      <c r="H68" s="41" t="inlineStr">
        <is>
          <t>تم الدفع</t>
        </is>
      </c>
      <c r="I68" s="42" t="n"/>
      <c r="J68" s="43">
        <f>IF(AND(D68="",E68="",A68="",B68="",C68=""),"", IFERROR(IF(J67="",D2,J67),D2)+IF(E68="",0,E68)-IF(OR(G68="أبو اسحاق",G68="أبو آدم",G68="أبو اسحاق ",G68="أبو آدم "),0,IF(D68="",0,D68)))</f>
        <v/>
      </c>
      <c r="K68" s="44" t="n"/>
      <c r="L68">
        <f>IF(E67&gt;0,COUNTIF($E$4:E67,"&gt;0"),"")</f>
        <v/>
      </c>
      <c r="M68">
        <f>IF(AND(D67&gt;0,G67="المحفظة"),COUNTIFS($D$4:D67,"&gt;"&amp;0,$G$4:G67,"المحفظة"),"")</f>
        <v/>
      </c>
      <c r="N68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/>
      </c>
      <c r="Q68">
        <f>IF(OR($A68="",$F68&lt;&gt;"أحد الشركاء"),"",COUNTIFS($A$4:A68,"&lt;&gt;",$F$4:F68,"أحد الشركاء"))</f>
        <v/>
      </c>
    </row>
    <row r="69" ht="18.75" customHeight="1" s="165">
      <c r="A69" s="25" t="n">
        <v>46181</v>
      </c>
      <c r="B69" s="26" t="inlineStr">
        <is>
          <t>Inv-61</t>
        </is>
      </c>
      <c r="C69" s="27" t="inlineStr">
        <is>
          <t>فل عدد 20 بقيمه 0.750</t>
        </is>
      </c>
      <c r="D69" s="28" t="n"/>
      <c r="E69" s="29" t="n">
        <v>15</v>
      </c>
      <c r="F69" s="30" t="inlineStr">
        <is>
          <t>نقداً</t>
        </is>
      </c>
      <c r="G69" s="31" t="n"/>
      <c r="H69" s="32" t="inlineStr">
        <is>
          <t>تم الدفع</t>
        </is>
      </c>
      <c r="I69" s="33" t="n"/>
      <c r="J69" s="34">
        <f>IF(AND(D69="",E69="",A69="",B69="",C69=""),"", IFERROR(IF(J68="",D2,J68),D2)+IF(E69="",0,E69)-IF(OR(G69="أبو اسحاق",G69="أبو آدم",G69="أبو اسحاق ",G69="أبو آدم "),0,IF(D69="",0,D69)))</f>
        <v/>
      </c>
      <c r="K69" s="35" t="n"/>
      <c r="L69">
        <f>IF(E68&gt;0,COUNTIF($E$4:E68,"&gt;0"),"")</f>
        <v/>
      </c>
      <c r="M69">
        <f>IF(AND(D68&gt;0,G68="المحفظة"),COUNTIFS($D$4:D68,"&gt;"&amp;0,$G$4:G68,"المحفظة"),"")</f>
        <v/>
      </c>
      <c r="N69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/>
      </c>
      <c r="Q69">
        <f>IF(OR($A69="",$F69&lt;&gt;"أحد الشركاء"),"",COUNTIFS($A$4:A69,"&lt;&gt;",$F$4:F69,"أحد الشركاء"))</f>
        <v/>
      </c>
    </row>
    <row r="70" ht="18.75" customHeight="1" s="165">
      <c r="A70" s="167" t="n">
        <v>46181</v>
      </c>
      <c r="C70" s="37" t="inlineStr">
        <is>
          <t>اسمنت اسود للمحميه الصغيره الجديده</t>
        </is>
      </c>
      <c r="D70" s="38" t="n">
        <v>2.8</v>
      </c>
      <c r="E70" s="39" t="n"/>
      <c r="F70" s="160" t="inlineStr">
        <is>
          <t>نقداً</t>
        </is>
      </c>
      <c r="G70" s="40" t="inlineStr">
        <is>
          <t>المحفظة</t>
        </is>
      </c>
      <c r="H70" s="41" t="inlineStr">
        <is>
          <t>تم الدفع</t>
        </is>
      </c>
      <c r="I70" s="42" t="n"/>
      <c r="J70" s="43">
        <f>IF(AND(D70="",E70="",A70="",B70="",C70=""),"", IFERROR(IF(J69="",D2,J69),D2)+IF(E70="",0,E70)-IF(OR(G70="أبو اسحاق",G70="أبو آدم",G70="أبو اسحاق ",G70="أبو آدم "),0,IF(D70="",0,D70)))</f>
        <v/>
      </c>
      <c r="K70" s="44" t="n"/>
      <c r="L70">
        <f>IF(E69&gt;0,COUNTIF($E$4:E69,"&gt;0"),"")</f>
        <v/>
      </c>
      <c r="M70">
        <f>IF(AND(D69&gt;0,G69="المحفظة"),COUNTIFS($D$4:D69,"&gt;"&amp;0,$G$4:G69,"المحفظة"),"")</f>
        <v/>
      </c>
      <c r="N70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/>
      </c>
      <c r="Q70">
        <f>IF(OR($A70="",$F70&lt;&gt;"أحد الشركاء"),"",COUNTIFS($A$4:A70,"&lt;&gt;",$F$4:F70,"أحد الشركاء"))</f>
        <v/>
      </c>
    </row>
    <row r="71" ht="18.75" customHeight="1" s="165">
      <c r="A71" s="167" t="n">
        <v>46181</v>
      </c>
      <c r="C71" s="37" t="inlineStr">
        <is>
          <t>حديد اسود للمحميه الصغيره الجديده</t>
        </is>
      </c>
      <c r="D71" s="28" t="n">
        <v>46.75</v>
      </c>
      <c r="E71" s="29" t="n"/>
      <c r="F71" s="30" t="inlineStr">
        <is>
          <t>نقداً</t>
        </is>
      </c>
      <c r="G71" s="31" t="inlineStr">
        <is>
          <t>المحفظة</t>
        </is>
      </c>
      <c r="H71" s="32" t="inlineStr">
        <is>
          <t>تم الدفع</t>
        </is>
      </c>
      <c r="I71" s="33" t="n"/>
      <c r="J71" s="34">
        <f>IF(AND(D71="",E71="",A71="",B71="",C71=""),"", IFERROR(IF(J70="",D2,J70),D2)+IF(E71="",0,E71)-IF(OR(G71="أبو اسحاق",G71="أبو آدم",G71="أبو اسحاق ",G71="أبو آدم "),0,IF(D71="",0,D71)))</f>
        <v/>
      </c>
      <c r="K71" s="35" t="n"/>
      <c r="L71">
        <f>IF(E70&gt;0,COUNTIF($E$4:E70,"&gt;0"),"")</f>
        <v/>
      </c>
      <c r="M71">
        <f>IF(AND(D70&gt;0,G70="المحفظة"),COUNTIFS($D$4:D70,"&gt;"&amp;0,$G$4:G70,"المحفظة"),"")</f>
        <v/>
      </c>
      <c r="N71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/>
      </c>
      <c r="Q71">
        <f>IF(OR($A71="",$F71&lt;&gt;"أحد الشركاء"),"",COUNTIFS($A$4:A71,"&lt;&gt;",$F$4:F71,"أحد الشركاء"))</f>
        <v/>
      </c>
    </row>
    <row r="72" ht="18.75" customHeight="1" s="165">
      <c r="A72" s="167" t="n">
        <v>46182</v>
      </c>
      <c r="B72" s="26" t="inlineStr">
        <is>
          <t>Inv-62</t>
        </is>
      </c>
      <c r="C72" s="37" t="inlineStr">
        <is>
          <t>فل عدد 30 الحبه 0.750</t>
        </is>
      </c>
      <c r="D72" s="38" t="n"/>
      <c r="E72" s="39" t="n">
        <v>22.5</v>
      </c>
      <c r="F72" s="160" t="inlineStr">
        <is>
          <t>نقداً</t>
        </is>
      </c>
      <c r="G72" s="40" t="n"/>
      <c r="H72" s="41" t="inlineStr">
        <is>
          <t>تم الدفع</t>
        </is>
      </c>
      <c r="I72" s="42" t="n"/>
      <c r="J72" s="43">
        <f>IF(AND(D72="",E72="",A72="",B72="",C72=""),"", IFERROR(IF(J71="",D2,J71),D2)+IF(E72="",0,E72)-IF(OR(G72="أبو اسحاق",G72="أبو آدم",G72="أبو اسحاق ",G72="أبو آدم "),0,IF(D72="",0,D72)))</f>
        <v/>
      </c>
      <c r="K72" s="44" t="n"/>
      <c r="L72">
        <f>IF(E71&gt;0,COUNTIF($E$4:E71,"&gt;0"),"")</f>
        <v/>
      </c>
      <c r="M72">
        <f>IF(AND(D71&gt;0,G71="المحفظة"),COUNTIFS($D$4:D71,"&gt;"&amp;0,$G$4:G71,"المحفظة"),"")</f>
        <v/>
      </c>
      <c r="N72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/>
      </c>
      <c r="Q72">
        <f>IF(OR($A72="",$F72&lt;&gt;"أحد الشركاء"),"",COUNTIFS($A$4:A72,"&lt;&gt;",$F$4:F72,"أحد الشركاء"))</f>
        <v/>
      </c>
    </row>
    <row r="73" ht="18.75" customHeight="1" s="165">
      <c r="A73" s="25" t="n">
        <v>46184</v>
      </c>
      <c r="B73" s="26" t="n"/>
      <c r="C73" s="27" t="inlineStr">
        <is>
          <t>براغي</t>
        </is>
      </c>
      <c r="D73" s="28" t="n">
        <v>3.5</v>
      </c>
      <c r="E73" s="29" t="n"/>
      <c r="F73" s="30" t="inlineStr">
        <is>
          <t>نقداً</t>
        </is>
      </c>
      <c r="G73" s="31" t="inlineStr">
        <is>
          <t>المحفظة</t>
        </is>
      </c>
      <c r="H73" s="32" t="inlineStr">
        <is>
          <t>تم الدفع</t>
        </is>
      </c>
      <c r="I73" s="33" t="n"/>
      <c r="J73" s="34">
        <f>IF(AND(D73="",E73="",A73="",B73="",C73=""),"", IFERROR(IF(J72="",D2,J72),D2)+IF(E73="",0,E73)-IF(OR(G73="أبو اسحاق",G73="أبو آدم",G73="أبو اسحاق ",G73="أبو آدم "),0,IF(D73="",0,D73)))</f>
        <v/>
      </c>
      <c r="K73" s="35" t="n"/>
      <c r="L73">
        <f>IF(E72&gt;0,COUNTIF($E$4:E72,"&gt;0"),"")</f>
        <v/>
      </c>
      <c r="M73">
        <f>IF(AND(D72&gt;0,G72="المحفظة"),COUNTIFS($D$4:D72,"&gt;"&amp;0,$G$4:G72,"المحفظة"),"")</f>
        <v/>
      </c>
      <c r="N73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/>
      </c>
      <c r="Q73">
        <f>IF(OR($A73="",$F73&lt;&gt;"أحد الشركاء"),"",COUNTIFS($A$4:A73,"&lt;&gt;",$F$4:F73,"أحد الشركاء"))</f>
        <v/>
      </c>
    </row>
    <row r="74" ht="18.75" customHeight="1" s="165">
      <c r="A74" s="167" t="n">
        <v>46184</v>
      </c>
      <c r="B74" s="115" t="inlineStr">
        <is>
          <t>Inv-63</t>
        </is>
      </c>
      <c r="C74" s="116" t="inlineStr">
        <is>
          <t>فل عدد 20 بقيمه 0.750</t>
        </is>
      </c>
      <c r="D74" s="117" t="n"/>
      <c r="E74" s="118" t="n"/>
      <c r="F74" s="119" t="inlineStr">
        <is>
          <t>نقداً</t>
        </is>
      </c>
      <c r="G74" s="120" t="n"/>
      <c r="H74" s="121" t="inlineStr">
        <is>
          <t>تم الدفع</t>
        </is>
      </c>
      <c r="I74" s="122" t="n"/>
      <c r="J74" s="123">
        <f>IF(AND(D74="",E74="",A74="",B74="",C74=""),"", IFERROR(IF(J73="",D2,J73),D2)+IF(E74="",0,E74)-IF(OR(G74="أبو اسحاق",G74="أبو آدم",G74="أبو اسحاق ",G74="أبو آدم "),0,IF(D74="",0,D74)))</f>
        <v/>
      </c>
      <c r="K74" s="124" t="inlineStr">
        <is>
          <t>ملغيه</t>
        </is>
      </c>
      <c r="L74">
        <f>IF(E73&gt;0,COUNTIF($E$4:E73,"&gt;0"),"")</f>
        <v/>
      </c>
      <c r="M74">
        <f>IF(AND(D73&gt;0,G73="المحفظة"),COUNTIFS($D$4:D73,"&gt;"&amp;0,$G$4:G73,"المحفظة"),"")</f>
        <v/>
      </c>
      <c r="N74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>
        <f>IF(AND(D73&gt;0,F73="أحد الشركاء"),COUNTIFS($D$4:D73,"&gt;"&amp;0,$F$4:F73,"أحد الشركاء"),"")</f>
        <v/>
      </c>
      <c r="P74">
        <f>IF(OR($A74="",$F74="أحد الشركاء",AND($D74="",$E74="")),"",SUMPRODUCT(($A$4:$A74&lt;&gt;"")*($F$4:$F74&lt;&gt;"أحد الشركاء")*((($D$4:$D74&lt;&gt;"")+($E$4:$E74&lt;&gt;""))&gt;0)))</f>
        <v/>
      </c>
      <c r="Q74">
        <f>IF(OR($A74="",$F74&lt;&gt;"أحد الشركاء"),"",COUNTIFS($A$4:A74,"&lt;&gt;",$F$4:F74,"أحد الشركاء"))</f>
        <v/>
      </c>
    </row>
    <row r="75" ht="18.75" customHeight="1" s="165">
      <c r="A75" s="25" t="n">
        <v>46185</v>
      </c>
      <c r="B75" s="26" t="n"/>
      <c r="C75" s="27" t="inlineStr">
        <is>
          <t>رول لحيم</t>
        </is>
      </c>
      <c r="D75" s="28" t="n">
        <v>2</v>
      </c>
      <c r="E75" s="29" t="n"/>
      <c r="F75" s="30" t="inlineStr">
        <is>
          <t>نقداً</t>
        </is>
      </c>
      <c r="G75" s="31" t="inlineStr">
        <is>
          <t>المحفظة</t>
        </is>
      </c>
      <c r="H75" s="32" t="inlineStr">
        <is>
          <t>تم الدفع</t>
        </is>
      </c>
      <c r="I75" s="33" t="n"/>
      <c r="J75" s="34">
        <f>IF(AND(D75="",E75="",A75="",B75="",C75=""),"", IFERROR(IF(J74="",D2,J74),D2)+IF(E75="",0,E75)-IF(OR(G75="أبو اسحاق",G75="أبو آدم",G75="أبو اسحاق ",G75="أبو آدم "),0,IF(D75="",0,D75)))</f>
        <v/>
      </c>
      <c r="K75" s="35" t="n"/>
      <c r="L75">
        <f>IF(E74&gt;0,COUNTIF($E$4:E74,"&gt;0"),"")</f>
        <v/>
      </c>
      <c r="M75">
        <f>IF(AND(D74&gt;0,G74="المحفظة"),COUNTIFS($D$4:D74,"&gt;"&amp;0,$G$4:G74,"المحفظة"),"")</f>
        <v/>
      </c>
      <c r="N75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/>
      </c>
      <c r="Q75">
        <f>IF(OR($A75="",$F75&lt;&gt;"أحد الشركاء"),"",COUNTIFS($A$4:A75,"&lt;&gt;",$F$4:F75,"أحد الشركاء"))</f>
        <v/>
      </c>
    </row>
    <row r="76" ht="18.75" customHeight="1" s="165">
      <c r="A76" s="167" t="n">
        <v>46186</v>
      </c>
      <c r="B76" s="36" t="inlineStr">
        <is>
          <t>Inv-64</t>
        </is>
      </c>
      <c r="C76" s="37" t="inlineStr">
        <is>
          <t>معلقات عدد 10 الحبه 1</t>
        </is>
      </c>
      <c r="D76" s="38" t="n"/>
      <c r="E76" s="39" t="n">
        <v>10</v>
      </c>
      <c r="F76" s="160" t="inlineStr">
        <is>
          <t>نقداً</t>
        </is>
      </c>
      <c r="G76" s="40" t="n"/>
      <c r="H76" s="41" t="inlineStr">
        <is>
          <t>تم الدفع</t>
        </is>
      </c>
      <c r="I76" s="42" t="n"/>
      <c r="J76" s="43">
        <f>IF(AND(D76="",E76="",A76="",B76="",C76=""),"", IFERROR(IF(J75="",D2,J75),D2)+IF(E76="",0,E76)-IF(OR(G76="أبو اسحاق",G76="أبو آدم",G76="أبو اسحاق ",G76="أبو آدم "),0,IF(D76="",0,D76)))</f>
        <v/>
      </c>
      <c r="K76" s="44" t="n"/>
      <c r="L76">
        <f>IF(E75&gt;0,COUNTIF($E$4:E75,"&gt;0"),"")</f>
        <v/>
      </c>
      <c r="M76">
        <f>IF(AND(D75&gt;0,G75="المحفظة"),COUNTIFS($D$4:D75,"&gt;"&amp;0,$G$4:G75,"المحفظة"),"")</f>
        <v/>
      </c>
      <c r="N76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/>
      </c>
      <c r="Q76">
        <f>IF(OR($A76="",$F76&lt;&gt;"أحد الشركاء"),"",COUNTIFS($A$4:A76,"&lt;&gt;",$F$4:F76,"أحد الشركاء"))</f>
        <v/>
      </c>
    </row>
    <row r="77" ht="18.75" customHeight="1" s="165">
      <c r="A77" s="167" t="n">
        <v>46186</v>
      </c>
      <c r="B77" s="36" t="inlineStr">
        <is>
          <t>Inv-65</t>
        </is>
      </c>
      <c r="C77" s="27" t="inlineStr">
        <is>
          <t>ودوليه عدد 5 الحبه 1</t>
        </is>
      </c>
      <c r="D77" s="28" t="n"/>
      <c r="E77" s="29" t="n">
        <v>5</v>
      </c>
      <c r="F77" s="30" t="inlineStr">
        <is>
          <t>نقداً</t>
        </is>
      </c>
      <c r="G77" s="31" t="n"/>
      <c r="H77" s="32" t="inlineStr">
        <is>
          <t>تم الدفع</t>
        </is>
      </c>
      <c r="I77" s="33" t="n"/>
      <c r="J77" s="34">
        <f>IF(AND(D77="",E77="",A77="",B77="",C77=""),"", IFERROR(IF(J76="",D2,J76),D2)+IF(E77="",0,E77)-IF(OR(G77="أبو اسحاق",G77="أبو آدم",G77="أبو اسحاق ",G77="أبو آدم "),0,IF(D77="",0,D77)))</f>
        <v/>
      </c>
      <c r="K77" s="35" t="n"/>
      <c r="L77">
        <f>IF(E76&gt;0,COUNTIF($E$4:E76,"&gt;0"),"")</f>
        <v/>
      </c>
      <c r="M77">
        <f>IF(AND(D76&gt;0,G76="المحفظة"),COUNTIFS($D$4:D76,"&gt;"&amp;0,$G$4:G76,"المحفظة"),"")</f>
        <v/>
      </c>
      <c r="N77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/>
      </c>
      <c r="Q77">
        <f>IF(OR($A77="",$F77&lt;&gt;"أحد الشركاء"),"",COUNTIFS($A$4:A77,"&lt;&gt;",$F$4:F77,"أحد الشركاء"))</f>
        <v/>
      </c>
    </row>
    <row r="78" ht="18.75" customHeight="1" s="165">
      <c r="A78" s="167" t="n">
        <v>46187</v>
      </c>
      <c r="B78" s="36" t="n"/>
      <c r="C78" s="37" t="inlineStr">
        <is>
          <t>عصايا عدد 2000 احواض معاقات عدد 250</t>
        </is>
      </c>
      <c r="D78" s="38" t="n">
        <v>107.5</v>
      </c>
      <c r="E78" s="39" t="n"/>
      <c r="F78" s="160" t="inlineStr">
        <is>
          <t>أحد الشركاء</t>
        </is>
      </c>
      <c r="G78" s="40" t="inlineStr">
        <is>
          <t>أبو اسحاق</t>
        </is>
      </c>
      <c r="H78" s="41" t="inlineStr">
        <is>
          <t>معلق</t>
        </is>
      </c>
      <c r="I78" s="42" t="n"/>
      <c r="J78" s="43">
        <f>IF(AND(D78="",E78="",A78="",B78="",C78=""),"", IFERROR(IF(J77="",D2,J77),D2)+IF(E78="",0,E78)-IF(OR(G78="أبو اسحاق",G78="أبو آدم",G78="أبو اسحاق ",G78="أبو آدم "),0,IF(D78="",0,D78)))</f>
        <v/>
      </c>
      <c r="K78" s="44" t="n"/>
      <c r="L78">
        <f>IF(E77&gt;0,COUNTIF($E$4:E77,"&gt;0"),"")</f>
        <v/>
      </c>
      <c r="M78">
        <f>IF(AND(D77&gt;0,G77="المحفظة"),COUNTIFS($D$4:D77,"&gt;"&amp;0,$G$4:G77,"المحفظة"),"")</f>
        <v/>
      </c>
      <c r="N78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>
        <f>IF(AND(D77&gt;0,F77="أحد الشركاء"),COUNTIFS($D$4:D77,"&gt;"&amp;0,$F$4:F77,"أحد الشركاء"),"")</f>
        <v/>
      </c>
      <c r="P78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/>
      </c>
    </row>
    <row r="79" ht="18.75" customHeight="1" s="165">
      <c r="A79" s="25" t="n">
        <v>46189</v>
      </c>
      <c r="B79" s="36" t="inlineStr">
        <is>
          <t>Inv-66</t>
        </is>
      </c>
      <c r="C79" s="27" t="inlineStr">
        <is>
          <t>شوكليرا عدد10 الحبه 1.500</t>
        </is>
      </c>
      <c r="D79" s="28" t="n"/>
      <c r="E79" s="29" t="n">
        <v>15</v>
      </c>
      <c r="F79" s="30" t="inlineStr">
        <is>
          <t>أون لاين</t>
        </is>
      </c>
      <c r="G79" s="31" t="n"/>
      <c r="H79" s="32" t="inlineStr">
        <is>
          <t>تم الدفع</t>
        </is>
      </c>
      <c r="I79" s="33" t="n"/>
      <c r="J79" s="34">
        <f>IF(AND(D79="",E79="",A79="",B79="",C79=""),"", IFERROR(IF(J78="",D2,J78),D2)+IF(E79="",0,E79)-IF(OR(G79="أبو اسحاق",G79="أبو آدم",G79="أبو اسحاق ",G79="أبو آدم "),0,IF(D79="",0,D79)))</f>
        <v/>
      </c>
      <c r="K79" s="35" t="n"/>
      <c r="L79">
        <f>IF(E78&gt;0,COUNTIF($E$4:E78,"&gt;0"),"")</f>
        <v/>
      </c>
      <c r="M79">
        <f>IF(AND(D78&gt;0,G78="المحفظة"),COUNTIFS($D$4:D78,"&gt;"&amp;0,$G$4:G78,"المحفظة"),"")</f>
        <v/>
      </c>
      <c r="N79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/>
      </c>
      <c r="P79">
        <f>IF(OR($A79="",$F79="أحد الشركاء",AND($D79="",$E79="")),"",SUMPRODUCT(($A$4:$A79&lt;&gt;"")*($F$4:$F79&lt;&gt;"أحد الشركاء")*((($D$4:$D79&lt;&gt;"")+($E$4:$E79&lt;&gt;""))&gt;0)))</f>
        <v/>
      </c>
      <c r="Q79">
        <f>IF(OR($A79="",$F79&lt;&gt;"أحد الشركاء"),"",COUNTIFS($A$4:A79,"&lt;&gt;",$F$4:F79,"أحد الشركاء"))</f>
        <v/>
      </c>
    </row>
    <row r="80" ht="18.75" customHeight="1" s="165">
      <c r="A80" s="25" t="n">
        <v>46189</v>
      </c>
      <c r="B80" s="36" t="inlineStr">
        <is>
          <t>Inv-67</t>
        </is>
      </c>
      <c r="C80" s="37" t="inlineStr">
        <is>
          <t>فيكس عدد7 الحبه 1</t>
        </is>
      </c>
      <c r="D80" s="38" t="n"/>
      <c r="E80" s="39" t="n">
        <v>7</v>
      </c>
      <c r="F80" s="160" t="inlineStr">
        <is>
          <t>أون لاين</t>
        </is>
      </c>
      <c r="G80" s="40" t="n"/>
      <c r="H80" s="41" t="inlineStr">
        <is>
          <t>تم الدفع</t>
        </is>
      </c>
      <c r="I80" s="42" t="n"/>
      <c r="J80" s="43">
        <f>IF(AND(D80="",E80="",A80="",B80="",C80=""),"", IFERROR(IF(J79="",D2,J79),D2)+IF(E80="",0,E80)-IF(OR(G80="أبو اسحاق",G80="أبو آدم",G80="أبو اسحاق ",G80="أبو آدم "),0,IF(D80="",0,D80)))</f>
        <v/>
      </c>
      <c r="K80" s="44" t="n"/>
      <c r="L80">
        <f>IF(E79&gt;0,COUNTIF($E$4:E79,"&gt;0"),"")</f>
        <v/>
      </c>
      <c r="M80">
        <f>IF(AND(D79&gt;0,G79="المحفظة"),COUNTIFS($D$4:D79,"&gt;"&amp;0,$G$4:G79,"المحفظة"),"")</f>
        <v/>
      </c>
      <c r="N80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/>
      </c>
      <c r="Q80">
        <f>IF(OR($A80="",$F80&lt;&gt;"أحد الشركاء"),"",COUNTIFS($A$4:A80,"&lt;&gt;",$F$4:F80,"أحد الشركاء"))</f>
        <v/>
      </c>
    </row>
    <row r="81" ht="18.75" customHeight="1" s="165">
      <c r="A81" s="25" t="n">
        <v>46189</v>
      </c>
      <c r="B81" s="36" t="inlineStr">
        <is>
          <t>Inv-68</t>
        </is>
      </c>
      <c r="C81" s="27" t="inlineStr">
        <is>
          <t>ربل عدد 5 الحبه 2</t>
        </is>
      </c>
      <c r="D81" s="28" t="n"/>
      <c r="E81" s="29" t="n">
        <v>10</v>
      </c>
      <c r="F81" s="30" t="inlineStr">
        <is>
          <t>أون لاين</t>
        </is>
      </c>
      <c r="G81" s="31" t="n"/>
      <c r="H81" s="32" t="inlineStr">
        <is>
          <t>تم الدفع</t>
        </is>
      </c>
      <c r="I81" s="33" t="n"/>
      <c r="J81" s="34">
        <f>IF(AND(D81="",E81="",A81="",B81="",C81=""),"", IFERROR(IF(J80="",D2,J80),D2)+IF(E81="",0,E81)-IF(OR(G81="أبو اسحاق",G81="أبو آدم",G81="أبو اسحاق ",G81="أبو آدم "),0,IF(D81="",0,D81)))</f>
        <v/>
      </c>
      <c r="K81" s="35" t="n"/>
      <c r="L81">
        <f>IF(E80&gt;0,COUNTIF($E$4:E80,"&gt;0"),"")</f>
        <v/>
      </c>
      <c r="M81">
        <f>IF(AND(D80&gt;0,G80="المحفظة"),COUNTIFS($D$4:D80,"&gt;"&amp;0,$G$4:G80,"المحفظة"),"")</f>
        <v/>
      </c>
      <c r="N81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/>
      </c>
      <c r="Q81">
        <f>IF(OR($A81="",$F81&lt;&gt;"أحد الشركاء"),"",COUNTIFS($A$4:A81,"&lt;&gt;",$F$4:F81,"أحد الشركاء"))</f>
        <v/>
      </c>
    </row>
    <row r="82" ht="18.75" customHeight="1" s="165">
      <c r="A82" s="25" t="n">
        <v>46189</v>
      </c>
      <c r="B82" s="36" t="inlineStr">
        <is>
          <t>Inv-69</t>
        </is>
      </c>
      <c r="C82" s="37" t="inlineStr">
        <is>
          <t>فل عدد 24 الحبه .750</t>
        </is>
      </c>
      <c r="D82" s="38" t="n"/>
      <c r="E82" s="39" t="n">
        <v>18</v>
      </c>
      <c r="F82" s="160" t="inlineStr">
        <is>
          <t>أون لاين</t>
        </is>
      </c>
      <c r="G82" s="40" t="n"/>
      <c r="H82" s="41" t="inlineStr">
        <is>
          <t>تم الدفع</t>
        </is>
      </c>
      <c r="I82" s="42" t="n"/>
      <c r="J82" s="43">
        <f>IF(AND(D82="",E82="",A82="",B82="",C82=""),"", IFERROR(IF(J81="",D2,J81),D2)+IF(E82="",0,E82)-IF(OR(G82="أبو اسحاق",G82="أبو آدم",G82="أبو اسحاق ",G82="أبو آدم "),0,IF(D82="",0,D82)))</f>
        <v/>
      </c>
      <c r="K82" s="44" t="n"/>
      <c r="L82">
        <f>IF(E81&gt;0,COUNTIF($E$4:E81,"&gt;0"),"")</f>
        <v/>
      </c>
      <c r="M82">
        <f>IF(AND(D81&gt;0,G81="المحفظة"),COUNTIFS($D$4:D81,"&gt;"&amp;0,$G$4:G81,"المحفظة"),"")</f>
        <v/>
      </c>
      <c r="N82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/>
      </c>
      <c r="Q82">
        <f>IF(OR($A82="",$F82&lt;&gt;"أحد الشركاء"),"",COUNTIFS($A$4:A82,"&lt;&gt;",$F$4:F82,"أحد الشركاء"))</f>
        <v/>
      </c>
    </row>
    <row r="83" ht="18.75" customHeight="1" s="165">
      <c r="A83" s="25" t="n">
        <v>46188</v>
      </c>
      <c r="B83" s="26" t="n"/>
      <c r="C83" s="27" t="inlineStr">
        <is>
          <t>أقامه عبدول</t>
        </is>
      </c>
      <c r="D83" s="28" t="n">
        <v>25</v>
      </c>
      <c r="E83" s="29" t="n"/>
      <c r="F83" s="30" t="inlineStr">
        <is>
          <t>أون لاين</t>
        </is>
      </c>
      <c r="G83" s="31" t="inlineStr">
        <is>
          <t>المحفظة</t>
        </is>
      </c>
      <c r="H83" s="32" t="inlineStr">
        <is>
          <t>تم الدفع</t>
        </is>
      </c>
      <c r="I83" s="33" t="n"/>
      <c r="J83" s="34">
        <f>IF(AND(D83="",E83="",A83="",B83="",C83=""),"", IFERROR(IF(J82="",D2,J82),D2)+IF(E83="",0,E83)-IF(OR(G83="أبو اسحاق",G83="أبو آدم",G83="أبو اسحاق ",G83="أبو آدم "),0,IF(D83="",0,D83)))</f>
        <v/>
      </c>
      <c r="K83" s="35" t="n"/>
      <c r="L83">
        <f>IF(E82&gt;0,COUNTIF($E$4:E82,"&gt;0"),"")</f>
        <v/>
      </c>
      <c r="M83">
        <f>IF(AND(D82&gt;0,G82="المحفظة"),COUNTIFS($D$4:D82,"&gt;"&amp;0,$G$4:G82,"المحفظة"),"")</f>
        <v/>
      </c>
      <c r="N83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/>
      </c>
      <c r="Q83">
        <f>IF(OR($A83="",$F83&lt;&gt;"أحد الشركاء"),"",COUNTIFS($A$4:A83,"&lt;&gt;",$F$4:F83,"أحد الشركاء"))</f>
        <v/>
      </c>
    </row>
    <row r="84" ht="18.75" customHeight="1" s="165">
      <c r="A84" s="167" t="n">
        <v>46190</v>
      </c>
      <c r="B84" s="36" t="inlineStr">
        <is>
          <t>Inv-70</t>
        </is>
      </c>
      <c r="C84" s="37" t="inlineStr">
        <is>
          <t>افوبياعدد 1 الحبه .0.750</t>
        </is>
      </c>
      <c r="D84" s="38" t="n"/>
      <c r="E84" s="39" t="n">
        <v>0.75</v>
      </c>
      <c r="F84" s="160" t="inlineStr">
        <is>
          <t>أون لاين</t>
        </is>
      </c>
      <c r="G84" s="40" t="n"/>
      <c r="H84" s="41" t="inlineStr">
        <is>
          <t>تم الدفع</t>
        </is>
      </c>
      <c r="I84" s="42" t="n"/>
      <c r="J84" s="43">
        <f>IF(AND(D84="",E84="",A84="",B84="",C84=""),"", IFERROR(IF(J83="",D2,J83),D2)+IF(E84="",0,E84)-IF(OR(G84="أبو اسحاق",G84="أبو آدم",G84="أبو اسحاق ",G84="أبو آدم "),0,IF(D84="",0,D84)))</f>
        <v/>
      </c>
      <c r="K84" s="44" t="n"/>
      <c r="L84">
        <f>IF(E83&gt;0,COUNTIF($E$4:E83,"&gt;0"),"")</f>
        <v/>
      </c>
      <c r="M84">
        <f>IF(AND(D83&gt;0,G83="المحفظة"),COUNTIFS($D$4:D83,"&gt;"&amp;0,$G$4:G83,"المحفظة"),"")</f>
        <v/>
      </c>
      <c r="N84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/>
      </c>
      <c r="Q84">
        <f>IF(OR($A84="",$F84&lt;&gt;"أحد الشركاء"),"",COUNTIFS($A$4:A84,"&lt;&gt;",$F$4:F84,"أحد الشركاء"))</f>
        <v/>
      </c>
    </row>
    <row r="85" ht="18.75" customHeight="1" s="165">
      <c r="A85" s="167" t="n">
        <v>46190</v>
      </c>
      <c r="B85" s="36" t="inlineStr">
        <is>
          <t>Inv-71</t>
        </is>
      </c>
      <c r="C85" s="27" t="inlineStr">
        <is>
          <t>دارسينا عدد 1 الحبه 1.500</t>
        </is>
      </c>
      <c r="D85" s="28" t="n"/>
      <c r="E85" s="29" t="n">
        <v>1.5</v>
      </c>
      <c r="F85" s="30" t="inlineStr">
        <is>
          <t>أون لاين</t>
        </is>
      </c>
      <c r="G85" s="31" t="n"/>
      <c r="H85" s="32" t="inlineStr">
        <is>
          <t>تم الدفع</t>
        </is>
      </c>
      <c r="I85" s="33" t="n"/>
      <c r="J85" s="34">
        <f>IF(AND(D85="",E85="",A85="",B85="",C85=""),"", IFERROR(IF(J84="",D2,J84),D2)+IF(E85="",0,E85)-IF(OR(G85="أبو اسحاق",G85="أبو آدم",G85="أبو اسحاق ",G85="أبو آدم "),0,IF(D85="",0,D85)))</f>
        <v/>
      </c>
      <c r="K85" s="35" t="n"/>
      <c r="L85">
        <f>IF(E84&gt;0,COUNTIF($E$4:E84,"&gt;0"),"")</f>
        <v/>
      </c>
      <c r="M85">
        <f>IF(AND(D84&gt;0,G84="المحفظة"),COUNTIFS($D$4:D84,"&gt;"&amp;0,$G$4:G84,"المحفظة"),"")</f>
        <v/>
      </c>
      <c r="N85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/>
      </c>
      <c r="Q85">
        <f>IF(OR($A85="",$F85&lt;&gt;"أحد الشركاء"),"",COUNTIFS($A$4:A85,"&lt;&gt;",$F$4:F85,"أحد الشركاء"))</f>
        <v/>
      </c>
    </row>
    <row r="86" ht="18.75" customHeight="1" s="165">
      <c r="A86" s="167" t="n">
        <v>46191</v>
      </c>
      <c r="B86" s="36" t="inlineStr">
        <is>
          <t>Inv-72</t>
        </is>
      </c>
      <c r="C86" s="37" t="inlineStr">
        <is>
          <t>فل عدد 1 الحبه 0.750</t>
        </is>
      </c>
      <c r="D86" s="38" t="n"/>
      <c r="E86" s="39" t="n">
        <v>0.75</v>
      </c>
      <c r="F86" s="160" t="inlineStr">
        <is>
          <t>أون لاين</t>
        </is>
      </c>
      <c r="G86" s="40" t="n"/>
      <c r="H86" s="41" t="inlineStr">
        <is>
          <t>تم الدفع</t>
        </is>
      </c>
      <c r="I86" s="42" t="n"/>
      <c r="J86" s="43">
        <f>IF(AND(D86="",E86="",A86="",B86="",C86=""),"", IFERROR(IF(J85="",D2,J85),D2)+IF(E86="",0,E86)-IF(OR(G86="أبو اسحاق",G86="أبو آدم",G86="أبو اسحاق ",G86="أبو آدم "),0,IF(D86="",0,D86)))</f>
        <v/>
      </c>
      <c r="K86" s="44" t="n"/>
      <c r="L86">
        <f>IF(E85&gt;0,COUNTIF($E$4:E85,"&gt;0"),"")</f>
        <v/>
      </c>
      <c r="M86">
        <f>IF(AND(D85&gt;0,G85="المحفظة"),COUNTIFS($D$4:D85,"&gt;"&amp;0,$G$4:G85,"المحفظة"),"")</f>
        <v/>
      </c>
      <c r="N86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/>
      </c>
      <c r="Q86">
        <f>IF(OR($A86="",$F86&lt;&gt;"أحد الشركاء"),"",COUNTIFS($A$4:A86,"&lt;&gt;",$F$4:F86,"أحد الشركاء"))</f>
        <v/>
      </c>
    </row>
    <row r="87" ht="18.75" customHeight="1" s="165">
      <c r="A87" s="167" t="n">
        <v>46191</v>
      </c>
      <c r="B87" s="36" t="inlineStr">
        <is>
          <t>Inv-73</t>
        </is>
      </c>
      <c r="C87" s="27" t="inlineStr">
        <is>
          <t>ودليه عدد 3 الحبه 1</t>
        </is>
      </c>
      <c r="D87" s="28" t="n"/>
      <c r="E87" s="29" t="n">
        <v>3</v>
      </c>
      <c r="F87" s="30" t="inlineStr">
        <is>
          <t>أون لاين</t>
        </is>
      </c>
      <c r="G87" s="31" t="n"/>
      <c r="H87" s="32" t="inlineStr">
        <is>
          <t>تم الدفع</t>
        </is>
      </c>
      <c r="I87" s="33" t="n"/>
      <c r="J87" s="34">
        <f>IF(AND(D87="",E87="",A87="",B87="",C87=""),"", IFERROR(IF(J86="",D2,J86),D2)+IF(E87="",0,E87)-IF(OR(G87="أبو اسحاق",G87="أبو آدم",G87="أبو اسحاق ",G87="أبو آدم "),0,IF(D87="",0,D87)))</f>
        <v/>
      </c>
      <c r="K87" s="35" t="n"/>
      <c r="L87">
        <f>IF(E86&gt;0,COUNTIF($E$4:E86,"&gt;0"),"")</f>
        <v/>
      </c>
      <c r="M87">
        <f>IF(AND(D86&gt;0,G86="المحفظة"),COUNTIFS($D$4:D86,"&gt;"&amp;0,$G$4:G86,"المحفظة"),"")</f>
        <v/>
      </c>
      <c r="N87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/>
      </c>
      <c r="Q87">
        <f>IF(OR($A87="",$F87&lt;&gt;"أحد الشركاء"),"",COUNTIFS($A$4:A87,"&lt;&gt;",$F$4:F87,"أحد الشركاء"))</f>
        <v/>
      </c>
    </row>
    <row r="88" ht="18.75" customHeight="1" s="165">
      <c r="A88" s="167" t="n">
        <v>46199</v>
      </c>
      <c r="B88" s="36" t="inlineStr">
        <is>
          <t>Inv-74</t>
        </is>
      </c>
      <c r="C88" s="37" t="inlineStr">
        <is>
          <t>ربل عدد 11 الحبه 2</t>
        </is>
      </c>
      <c r="D88" s="38" t="n"/>
      <c r="E88" s="39" t="n">
        <v>22</v>
      </c>
      <c r="F88" s="160" t="inlineStr">
        <is>
          <t>أون لاين</t>
        </is>
      </c>
      <c r="G88" s="40" t="n"/>
      <c r="H88" s="41" t="inlineStr">
        <is>
          <t>تم الدفع</t>
        </is>
      </c>
      <c r="I88" s="42" t="n"/>
      <c r="J88" s="43">
        <f>IF(AND(D88="",E88="",A88="",B88="",C88=""),"", IFERROR(IF(J87="",D2,J87),D2)+IF(E88="",0,E88)-IF(OR(G88="أبو اسحاق",G88="أبو آدم",G88="أبو اسحاق ",G88="أبو آدم "),0,IF(D88="",0,D88)))</f>
        <v/>
      </c>
      <c r="K88" s="44" t="n"/>
      <c r="L88">
        <f>IF(E87&gt;0,COUNTIF($E$4:E87,"&gt;0"),"")</f>
        <v/>
      </c>
      <c r="M88">
        <f>IF(AND(D87&gt;0,G87="المحفظة"),COUNTIFS($D$4:D87,"&gt;"&amp;0,$G$4:G87,"المحفظة"),"")</f>
        <v/>
      </c>
      <c r="N88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/>
      </c>
      <c r="Q88">
        <f>IF(OR($A88="",$F88&lt;&gt;"أحد الشركاء"),"",COUNTIFS($A$4:A88,"&lt;&gt;",$F$4:F88,"أحد الشركاء"))</f>
        <v/>
      </c>
    </row>
    <row r="89" ht="18.75" customHeight="1" s="165">
      <c r="A89" s="167" t="n">
        <v>46199</v>
      </c>
      <c r="B89" s="36" t="inlineStr">
        <is>
          <t>Inv-75</t>
        </is>
      </c>
      <c r="C89" s="27" t="inlineStr">
        <is>
          <t>شوفليرا عدد6 الحبه 1.500</t>
        </is>
      </c>
      <c r="D89" s="28" t="n"/>
      <c r="E89" s="29" t="n">
        <v>9</v>
      </c>
      <c r="F89" s="30" t="inlineStr">
        <is>
          <t>أون لاين</t>
        </is>
      </c>
      <c r="G89" s="31" t="n"/>
      <c r="H89" s="32" t="inlineStr">
        <is>
          <t>تم الدفع</t>
        </is>
      </c>
      <c r="I89" s="33" t="n"/>
      <c r="J89" s="34">
        <f>IF(AND(D89="",E89="",A89="",B89="",C89=""),"", IFERROR(IF(J88="",D2,J88),D2)+IF(E89="",0,E89)-IF(OR(G89="أبو اسحاق",G89="أبو آدم",G89="أبو اسحاق ",G89="أبو آدم "),0,IF(D89="",0,D89)))</f>
        <v/>
      </c>
      <c r="K89" s="35" t="n"/>
      <c r="L89">
        <f>IF(E88&gt;0,COUNTIF($E$4:E88,"&gt;0"),"")</f>
        <v/>
      </c>
      <c r="M89">
        <f>IF(AND(D88&gt;0,G88="المحفظة"),COUNTIFS($D$4:D88,"&gt;"&amp;0,$G$4:G88,"المحفظة"),"")</f>
        <v/>
      </c>
      <c r="N89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/>
      </c>
      <c r="Q89">
        <f>IF(OR($A89="",$F89&lt;&gt;"أحد الشركاء"),"",COUNTIFS($A$4:A89,"&lt;&gt;",$F$4:F89,"أحد الشركاء"))</f>
        <v/>
      </c>
    </row>
    <row r="90" ht="18.75" customHeight="1" s="165">
      <c r="A90" s="167" t="n">
        <v>46197</v>
      </c>
      <c r="B90" s="36" t="n"/>
      <c r="C90" s="37" t="inlineStr">
        <is>
          <t>nbk 18-18-18</t>
        </is>
      </c>
      <c r="D90" s="38" t="n">
        <v>12</v>
      </c>
      <c r="E90" s="39" t="n"/>
      <c r="F90" s="160" t="inlineStr">
        <is>
          <t>نقداً</t>
        </is>
      </c>
      <c r="G90" s="40" t="inlineStr">
        <is>
          <t>المحفظة</t>
        </is>
      </c>
      <c r="H90" s="41" t="inlineStr">
        <is>
          <t>تم الدفع</t>
        </is>
      </c>
      <c r="I90" s="42" t="n"/>
      <c r="J90" s="43">
        <f>IF(AND(D90="",E90="",A90="",B90="",C90=""),"", IFERROR(IF(J89="",D2,J89),D2)+IF(E90="",0,E90)-IF(OR(G90="أبو اسحاق",G90="أبو آدم",G90="أبو اسحاق ",G90="أبو آدم "),0,IF(D90="",0,D90)))</f>
        <v/>
      </c>
      <c r="K90" s="44" t="n"/>
      <c r="L90">
        <f>IF(E89&gt;0,COUNTIF($E$4:E89,"&gt;0"),"")</f>
        <v/>
      </c>
      <c r="M90">
        <f>IF(AND(D89&gt;0,G89="المحفظة"),COUNTIFS($D$4:D89,"&gt;"&amp;0,$G$4:G89,"المحفظة"),"")</f>
        <v/>
      </c>
      <c r="N90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/>
      </c>
      <c r="Q90">
        <f>IF(OR($A90="",$F90&lt;&gt;"أحد الشركاء"),"",COUNTIFS($A$4:A90,"&lt;&gt;",$F$4:F90,"أحد الشركاء"))</f>
        <v/>
      </c>
    </row>
    <row r="91" ht="18.75" customHeight="1" s="165">
      <c r="A91" s="25" t="n">
        <v>46201</v>
      </c>
      <c r="B91" s="36" t="inlineStr">
        <is>
          <t>Inv-76</t>
        </is>
      </c>
      <c r="C91" s="27" t="inlineStr">
        <is>
          <t>فل عدد 11 الحبه 0.750</t>
        </is>
      </c>
      <c r="D91" s="28" t="n"/>
      <c r="E91" s="29" t="n">
        <v>8.25</v>
      </c>
      <c r="F91" s="30" t="inlineStr">
        <is>
          <t>أون لاين</t>
        </is>
      </c>
      <c r="G91" s="31" t="n"/>
      <c r="H91" s="32" t="inlineStr">
        <is>
          <t>تم الدفع</t>
        </is>
      </c>
      <c r="I91" s="33" t="n"/>
      <c r="J91" s="34">
        <f>IF(AND(D91="",E91="",A91="",B91="",C91=""),"", IFERROR(IF(J90="",D2,J90),D2)+IF(E91="",0,E91)-IF(OR(G91="أبو اسحاق",G91="أبو آدم",G91="أبو اسحاق ",G91="أبو آدم "),0,IF(D91="",0,D91)))</f>
        <v/>
      </c>
      <c r="K91" s="35" t="n"/>
      <c r="L91">
        <f>IF(E90&gt;0,COUNTIF($E$4:E90,"&gt;0"),"")</f>
        <v/>
      </c>
      <c r="M91">
        <f>IF(AND(D90&gt;0,G90="المحفظة"),COUNTIFS($D$4:D90,"&gt;"&amp;0,$G$4:G90,"المحفظة"),"")</f>
        <v/>
      </c>
      <c r="N91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/>
      </c>
      <c r="Q91">
        <f>IF(OR($A91="",$F91&lt;&gt;"أحد الشركاء"),"",COUNTIFS($A$4:A91,"&lt;&gt;",$F$4:F91,"أحد الشركاء"))</f>
        <v/>
      </c>
    </row>
    <row r="92" ht="18.75" customHeight="1" s="165">
      <c r="A92" s="167" t="n">
        <v>46202</v>
      </c>
      <c r="B92" s="36" t="inlineStr">
        <is>
          <t>Inv-77</t>
        </is>
      </c>
      <c r="C92" s="37" t="inlineStr">
        <is>
          <t>عطره عدد 3 الحبه 0.750</t>
        </is>
      </c>
      <c r="D92" s="38" t="n"/>
      <c r="E92" s="39" t="n">
        <v>2.25</v>
      </c>
      <c r="F92" s="160" t="inlineStr">
        <is>
          <t>أون لاين</t>
        </is>
      </c>
      <c r="G92" s="40" t="n"/>
      <c r="H92" s="41" t="inlineStr">
        <is>
          <t>تم الدفع</t>
        </is>
      </c>
      <c r="I92" s="42" t="n"/>
      <c r="J92" s="43">
        <f>IF(AND(D92="",E92="",A92="",B92="",C92=""),"", IFERROR(IF(J91="",D2,J91),D2)+IF(E92="",0,E92)-IF(OR(G92="أبو اسحاق",G92="أبو آدم",G92="أبو اسحاق ",G92="أبو آدم "),0,IF(D92="",0,D92)))</f>
        <v/>
      </c>
      <c r="K92" s="44" t="n"/>
      <c r="L92">
        <f>IF(E91&gt;0,COUNTIF($E$4:E91,"&gt;0"),"")</f>
        <v/>
      </c>
      <c r="M92">
        <f>IF(AND(D91&gt;0,G91="المحفظة"),COUNTIFS($D$4:D91,"&gt;"&amp;0,$G$4:G91,"المحفظة"),"")</f>
        <v/>
      </c>
      <c r="N92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/>
      </c>
      <c r="Q92">
        <f>IF(OR($A92="",$F92&lt;&gt;"أحد الشركاء"),"",COUNTIFS($A$4:A92,"&lt;&gt;",$F$4:F92,"أحد الشركاء"))</f>
        <v/>
      </c>
    </row>
    <row r="93" ht="18.75" customHeight="1" s="165">
      <c r="A93" s="167" t="n">
        <v>46202</v>
      </c>
      <c r="B93" s="36" t="inlineStr">
        <is>
          <t>Inv-78</t>
        </is>
      </c>
      <c r="C93" s="27" t="inlineStr">
        <is>
          <t>معلقات عدد 3 الحبه 1</t>
        </is>
      </c>
      <c r="D93" s="28" t="n"/>
      <c r="E93" s="29" t="n">
        <v>3</v>
      </c>
      <c r="F93" s="30" t="inlineStr">
        <is>
          <t>أون لاين</t>
        </is>
      </c>
      <c r="G93" s="31" t="n"/>
      <c r="H93" s="32" t="inlineStr">
        <is>
          <t>تم الدفع</t>
        </is>
      </c>
      <c r="I93" s="33" t="n"/>
      <c r="J93" s="34">
        <f>IF(AND(D93="",E93="",A93="",B93="",C93=""),"", IFERROR(IF(J92="",D2,J92),D2)+IF(E93="",0,E93)-IF(OR(G93="أبو اسحاق",G93="أبو آدم",G93="أبو اسحاق ",G93="أبو آدم "),0,IF(D93="",0,D93)))</f>
        <v/>
      </c>
      <c r="K93" s="35" t="n"/>
      <c r="L93">
        <f>IF(E92&gt;0,COUNTIF($E$4:E92,"&gt;0"),"")</f>
        <v/>
      </c>
      <c r="M93">
        <f>IF(AND(D92&gt;0,G92="المحفظة"),COUNTIFS($D$4:D92,"&gt;"&amp;0,$G$4:G92,"المحفظة"),"")</f>
        <v/>
      </c>
      <c r="N93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/>
      </c>
      <c r="Q93">
        <f>IF(OR($A93="",$F93&lt;&gt;"أحد الشركاء"),"",COUNTIFS($A$4:A93,"&lt;&gt;",$F$4:F93,"أحد الشركاء"))</f>
        <v/>
      </c>
    </row>
    <row r="94" ht="18.75" customHeight="1" s="165">
      <c r="A94" s="167" t="n">
        <v>46203</v>
      </c>
      <c r="B94" s="36" t="inlineStr">
        <is>
          <t>Inv-79</t>
        </is>
      </c>
      <c r="C94" s="37" t="inlineStr">
        <is>
          <t>معلقات عدد 4 الحبه 1</t>
        </is>
      </c>
      <c r="D94" s="38" t="n"/>
      <c r="E94" s="39" t="n">
        <v>4</v>
      </c>
      <c r="F94" s="160" t="inlineStr">
        <is>
          <t>أون لاين</t>
        </is>
      </c>
      <c r="G94" s="40" t="n"/>
      <c r="H94" s="41" t="inlineStr">
        <is>
          <t>تم الدفع</t>
        </is>
      </c>
      <c r="I94" s="42" t="n"/>
      <c r="J94" s="43">
        <f>IF(AND(D94="",E94="",A94="",B94="",C94=""),"", IFERROR(IF(J93="",D2,J93),D2)+IF(E94="",0,E94)-IF(OR(G94="أبو اسحاق",G94="أبو آدم",G94="أبو اسحاق ",G94="أبو آدم "),0,IF(D94="",0,D94)))</f>
        <v/>
      </c>
      <c r="K94" s="44" t="n"/>
      <c r="L94">
        <f>IF(E93&gt;0,COUNTIF($E$4:E93,"&gt;0"),"")</f>
        <v/>
      </c>
      <c r="M94">
        <f>IF(AND(D93&gt;0,G93="المحفظة"),COUNTIFS($D$4:D93,"&gt;"&amp;0,$G$4:G93,"المحفظة"),"")</f>
        <v/>
      </c>
      <c r="N94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/>
      </c>
      <c r="Q94">
        <f>IF(OR($A94="",$F94&lt;&gt;"أحد الشركاء"),"",COUNTIFS($A$4:A94,"&lt;&gt;",$F$4:F94,"أحد الشركاء"))</f>
        <v/>
      </c>
    </row>
    <row r="95" ht="18.75" customHeight="1" s="165">
      <c r="A95" s="167" t="n">
        <v>46203</v>
      </c>
      <c r="B95" s="36" t="inlineStr">
        <is>
          <t>Inv-80</t>
        </is>
      </c>
      <c r="C95" s="27" t="inlineStr">
        <is>
          <t>معلقات عدد4 الحبه 1</t>
        </is>
      </c>
      <c r="D95" s="28" t="n"/>
      <c r="E95" s="29" t="n">
        <v>4</v>
      </c>
      <c r="F95" s="30" t="inlineStr">
        <is>
          <t>أون لاين</t>
        </is>
      </c>
      <c r="G95" s="31" t="n"/>
      <c r="H95" s="32" t="inlineStr">
        <is>
          <t>تم الدفع</t>
        </is>
      </c>
      <c r="I95" s="33" t="n"/>
      <c r="J95" s="34">
        <f>IF(AND(D95="",E95="",A95="",B95="",C95=""),"", IFERROR(IF(J94="",D2,J94),D2)+IF(E95="",0,E95)-IF(OR(G95="أبو اسحاق",G95="أبو آدم",G95="أبو اسحاق ",G95="أبو آدم "),0,IF(D95="",0,D95)))</f>
        <v/>
      </c>
      <c r="K95" s="35" t="n"/>
      <c r="L95">
        <f>IF(E94&gt;0,COUNTIF($E$4:E94,"&gt;0"),"")</f>
        <v/>
      </c>
      <c r="M95">
        <f>IF(AND(D94&gt;0,G94="المحفظة"),COUNTIFS($D$4:D94,"&gt;"&amp;0,$G$4:G94,"المحفظة"),"")</f>
        <v/>
      </c>
      <c r="N95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/>
      </c>
      <c r="Q95">
        <f>IF(OR($A95="",$F95&lt;&gt;"أحد الشركاء"),"",COUNTIFS($A$4:A95,"&lt;&gt;",$F$4:F95,"أحد الشركاء"))</f>
        <v/>
      </c>
    </row>
    <row r="96" ht="18.75" customHeight="1" s="165">
      <c r="A96" s="167" t="n">
        <v>46203</v>
      </c>
      <c r="B96" s="36" t="inlineStr">
        <is>
          <t>Inv-81</t>
        </is>
      </c>
      <c r="C96" s="37" t="inlineStr">
        <is>
          <t>افوبيا عدد 2 الحبه 1</t>
        </is>
      </c>
      <c r="D96" s="38" t="n"/>
      <c r="E96" s="39" t="n">
        <v>2</v>
      </c>
      <c r="F96" s="160" t="inlineStr">
        <is>
          <t>أون لاين</t>
        </is>
      </c>
      <c r="G96" s="40" t="n"/>
      <c r="H96" s="41" t="inlineStr">
        <is>
          <t>تم الدفع</t>
        </is>
      </c>
      <c r="I96" s="42" t="n"/>
      <c r="J96" s="43">
        <f>IF(AND(D96="",E96="",A96="",B96="",C96=""),"", IFERROR(IF(J95="",D2,J95),D2)+IF(E96="",0,E96)-IF(OR(G96="أبو اسحاق",G96="أبو آدم",G96="أبو اسحاق ",G96="أبو آدم "),0,IF(D96="",0,D96)))</f>
        <v/>
      </c>
      <c r="K96" s="44" t="n"/>
      <c r="L96">
        <f>IF(E95&gt;0,COUNTIF($E$4:E95,"&gt;0"),"")</f>
        <v/>
      </c>
      <c r="M96">
        <f>IF(AND(D95&gt;0,G95="المحفظة"),COUNTIFS($D$4:D95,"&gt;"&amp;0,$G$4:G95,"المحفظة"),"")</f>
        <v/>
      </c>
      <c r="N96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/>
      </c>
      <c r="Q96">
        <f>IF(OR($A96="",$F96&lt;&gt;"أحد الشركاء"),"",COUNTIFS($A$4:A96,"&lt;&gt;",$F$4:F96,"أحد الشركاء"))</f>
        <v/>
      </c>
    </row>
    <row r="97" ht="18.75" customHeight="1" s="165">
      <c r="A97" s="167" t="n">
        <v>46203</v>
      </c>
      <c r="B97" s="26" t="n"/>
      <c r="C97" s="27" t="inlineStr">
        <is>
          <t>رواتب عماله شهر يونيو 2026</t>
        </is>
      </c>
      <c r="D97" s="28" t="n">
        <v>320</v>
      </c>
      <c r="E97" s="29" t="n"/>
      <c r="F97" s="30" t="inlineStr">
        <is>
          <t>نقداً</t>
        </is>
      </c>
      <c r="G97" s="31" t="inlineStr">
        <is>
          <t>المحفظة</t>
        </is>
      </c>
      <c r="H97" s="32" t="inlineStr">
        <is>
          <t>تم الدفع</t>
        </is>
      </c>
      <c r="I97" s="33" t="n"/>
      <c r="J97" s="34">
        <f>IF(AND(D97="",E97="",A97="",B97="",C97=""),"", IFERROR(IF(J96="",D2,J96),D2)+IF(E97="",0,E97)-IF(OR(G97="أبو اسحاق",G97="أبو آدم",G97="أبو اسحاق ",G97="أبو آدم "),0,IF(D97="",0,D97)))</f>
        <v/>
      </c>
      <c r="K97" s="35" t="n"/>
      <c r="L97">
        <f>IF(E96&gt;0,COUNTIF($E$4:E96,"&gt;0"),"")</f>
        <v/>
      </c>
      <c r="M97">
        <f>IF(AND(D96&gt;0,G96="المحفظة"),COUNTIFS($D$4:D96,"&gt;"&amp;0,$G$4:G96,"المحفظة"),"")</f>
        <v/>
      </c>
      <c r="N97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/>
      </c>
      <c r="Q97">
        <f>IF(OR($A97="",$F97&lt;&gt;"أحد الشركاء"),"",COUNTIFS($A$4:A97,"&lt;&gt;",$F$4:F97,"أحد الشركاء"))</f>
        <v/>
      </c>
    </row>
    <row r="98" ht="18.75" customHeight="1" s="165">
      <c r="A98" s="167" t="n">
        <v>46203</v>
      </c>
      <c r="B98" s="36" t="n"/>
      <c r="C98" s="37" t="inlineStr">
        <is>
          <t>تكمله رواتب يونيو 2026 ابوادم</t>
        </is>
      </c>
      <c r="D98" s="38" t="n">
        <v>50</v>
      </c>
      <c r="E98" s="39" t="n"/>
      <c r="F98" s="160" t="inlineStr">
        <is>
          <t>أحد الشركاء</t>
        </is>
      </c>
      <c r="G98" s="40" t="inlineStr">
        <is>
          <t>أبو آدم</t>
        </is>
      </c>
      <c r="H98" s="41" t="inlineStr">
        <is>
          <t>معلق</t>
        </is>
      </c>
      <c r="I98" s="42" t="n"/>
      <c r="J98" s="43">
        <f>IF(AND(D98="",E98="",A98="",B98="",C98=""),"", IFERROR(IF(J97="",D2,J97),D2)+IF(E98="",0,E98)-IF(OR(G98="أبو اسحاق",G98="أبو آدم",G98="أبو اسحاق ",G98="أبو آدم "),0,IF(D98="",0,D98)))</f>
        <v/>
      </c>
      <c r="K98" s="44" t="n"/>
      <c r="L98">
        <f>IF(E97&gt;0,COUNTIF($E$4:E97,"&gt;0"),"")</f>
        <v/>
      </c>
      <c r="M98">
        <f>IF(AND(D97&gt;0,G97="المحفظة"),COUNTIFS($D$4:D97,"&gt;"&amp;0,$G$4:G97,"المحفظة"),"")</f>
        <v/>
      </c>
      <c r="N98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>
        <f>IF(AND(D97&gt;0,F97="أحد الشركاء"),COUNTIFS($D$4:D97,"&gt;"&amp;0,$F$4:F97,"أحد الشركاء"),"")</f>
        <v/>
      </c>
      <c r="P98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/>
      </c>
    </row>
    <row r="99" ht="18.75" customHeight="1" s="165">
      <c r="A99" s="167" t="n">
        <v>46203</v>
      </c>
      <c r="B99" s="26" t="n"/>
      <c r="C99" s="37" t="inlineStr">
        <is>
          <t>تكمله رواتب يونيو 2026 ابواسحاق</t>
        </is>
      </c>
      <c r="D99" s="28" t="n">
        <v>50</v>
      </c>
      <c r="E99" s="29" t="n"/>
      <c r="F99" s="30" t="inlineStr">
        <is>
          <t>أحد الشركاء</t>
        </is>
      </c>
      <c r="G99" s="31" t="inlineStr">
        <is>
          <t>أبو اسحاق</t>
        </is>
      </c>
      <c r="H99" s="32" t="inlineStr">
        <is>
          <t>معلق</t>
        </is>
      </c>
      <c r="I99" s="33" t="n"/>
      <c r="J99" s="34">
        <f>IF(AND(D99="",E99="",A99="",B99="",C99=""),"", IFERROR(IF(J98="",D2,J98),D2)+IF(E99="",0,E99)-IF(OR(G99="أبو اسحاق",G99="أبو آدم",G99="أبو اسحاق ",G99="أبو آدم "),0,IF(D99="",0,D99)))</f>
        <v/>
      </c>
      <c r="K99" s="35" t="n"/>
      <c r="L99">
        <f>IF(E98&gt;0,COUNTIF($E$4:E98,"&gt;0"),"")</f>
        <v/>
      </c>
      <c r="M99">
        <f>IF(AND(D98&gt;0,G98="المحفظة"),COUNTIFS($D$4:D98,"&gt;"&amp;0,$G$4:G98,"المحفظة"),"")</f>
        <v/>
      </c>
      <c r="N99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/>
      </c>
      <c r="P99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/>
      </c>
    </row>
    <row r="100" ht="18.75" customHeight="1" s="165">
      <c r="A100" s="167" t="n">
        <v>46203</v>
      </c>
      <c r="B100" s="36" t="n"/>
      <c r="C100" s="37" t="inlineStr">
        <is>
          <t>احواض عدد 1000 مقاس 25 سم</t>
        </is>
      </c>
      <c r="D100" s="38" t="n">
        <v>80</v>
      </c>
      <c r="E100" s="39" t="n"/>
      <c r="F100" s="160" t="inlineStr">
        <is>
          <t>نقداً</t>
        </is>
      </c>
      <c r="G100" s="40" t="inlineStr">
        <is>
          <t>المحفظة</t>
        </is>
      </c>
      <c r="H100" s="41" t="inlineStr">
        <is>
          <t>تم الدفع</t>
        </is>
      </c>
      <c r="I100" s="42" t="n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/>
      </c>
      <c r="K100" s="44" t="n"/>
      <c r="L100">
        <f>IF(E99&gt;0,COUNTIF($E$4:E99,"&gt;0"),"")</f>
        <v/>
      </c>
      <c r="M100">
        <f>IF(AND(D99&gt;0,G99="المحفظة"),COUNTIFS($D$4:D99,"&gt;"&amp;0,$G$4:G99,"المحفظة"),"")</f>
        <v/>
      </c>
      <c r="N100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/>
      </c>
      <c r="P100">
        <f>IF(OR($A100="",$F100="أحد الشركاء",AND($D100="",$E100="")),"",SUMPRODUCT(($A$4:$A100&lt;&gt;"")*($F$4:$F100&lt;&gt;"أحد الشركاء")*((($D$4:$D100&lt;&gt;"")+($E$4:$E100&lt;&gt;""))&gt;0)))</f>
        <v/>
      </c>
      <c r="Q100">
        <f>IF(OR($A100="",$F100&lt;&gt;"أحد الشركاء"),"",COUNTIFS($A$4:A100,"&lt;&gt;",$F$4:F100,"أحد الشركاء"))</f>
        <v/>
      </c>
    </row>
    <row r="101" ht="18.75" customHeight="1" s="165">
      <c r="A101" s="25" t="n">
        <v>46207</v>
      </c>
      <c r="B101" s="36" t="n"/>
      <c r="C101" s="37" t="inlineStr">
        <is>
          <t>احواض عدد 1000 مقاس 14 سم</t>
        </is>
      </c>
      <c r="D101" s="28" t="n">
        <v>20</v>
      </c>
      <c r="E101" s="29" t="n"/>
      <c r="F101" s="30" t="inlineStr">
        <is>
          <t>نقداً</t>
        </is>
      </c>
      <c r="G101" s="31" t="inlineStr">
        <is>
          <t>المحفظة</t>
        </is>
      </c>
      <c r="H101" s="32" t="inlineStr">
        <is>
          <t>تم الدفع</t>
        </is>
      </c>
      <c r="I101" s="33" t="n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/>
      </c>
      <c r="K101" s="35" t="n"/>
      <c r="L101">
        <f>IF(E100&gt;0,COUNTIF($E$4:E100,"&gt;0"),"")</f>
        <v/>
      </c>
      <c r="M101">
        <f>IF(AND(D100&gt;0,G100="المحفظة"),COUNTIFS($D$4:D100,"&gt;"&amp;0,$G$4:G100,"المحفظة"),"")</f>
        <v/>
      </c>
      <c r="N101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/>
      </c>
      <c r="Q101">
        <f>IF(OR($A101="",$F101&lt;&gt;"أحد الشركاء"),"",COUNTIFS($A$4:A101,"&lt;&gt;",$F$4:F101,"أحد الشركاء"))</f>
        <v/>
      </c>
    </row>
    <row r="102" ht="18.75" customHeight="1" s="165">
      <c r="A102" s="167" t="n">
        <v>46206</v>
      </c>
      <c r="B102" s="36" t="inlineStr">
        <is>
          <t>Inv-82</t>
        </is>
      </c>
      <c r="C102" s="37" t="inlineStr">
        <is>
          <t>دارسينا عدد 1 بقيمه 2.500</t>
        </is>
      </c>
      <c r="D102" s="38" t="n"/>
      <c r="E102" s="39" t="n">
        <v>2.5</v>
      </c>
      <c r="F102" s="160" t="inlineStr">
        <is>
          <t>أون لاين</t>
        </is>
      </c>
      <c r="G102" s="40" t="n"/>
      <c r="H102" s="41" t="inlineStr">
        <is>
          <t>تم الدفع</t>
        </is>
      </c>
      <c r="I102" s="42" t="n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/>
      </c>
      <c r="K102" s="44" t="n"/>
      <c r="L102">
        <f>IF(E101&gt;0,COUNTIF($E$4:E101,"&gt;0"),"")</f>
        <v/>
      </c>
      <c r="M102">
        <f>IF(AND(D101&gt;0,G101="المحفظة"),COUNTIFS($D$4:D101,"&gt;"&amp;0,$G$4:G101,"المحفظة"),"")</f>
        <v/>
      </c>
      <c r="N102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/>
      </c>
      <c r="Q102">
        <f>IF(OR($A102="",$F102&lt;&gt;"أحد الشركاء"),"",COUNTIFS($A$4:A102,"&lt;&gt;",$F$4:F102,"أحد الشركاء"))</f>
        <v/>
      </c>
    </row>
    <row r="103" ht="18.75" customHeight="1" s="165">
      <c r="A103" s="25" t="n">
        <v>46207</v>
      </c>
      <c r="B103" s="36" t="inlineStr">
        <is>
          <t>Inv-83</t>
        </is>
      </c>
      <c r="C103" s="27" t="inlineStr">
        <is>
          <t>ودليه عدد13 الحبه 1</t>
        </is>
      </c>
      <c r="D103" s="28" t="n"/>
      <c r="E103" s="29" t="n">
        <v>13</v>
      </c>
      <c r="F103" s="30" t="inlineStr">
        <is>
          <t>نقداً</t>
        </is>
      </c>
      <c r="G103" s="31" t="n"/>
      <c r="H103" s="32" t="inlineStr">
        <is>
          <t>تم الدفع</t>
        </is>
      </c>
      <c r="I103" s="33" t="n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/>
      </c>
      <c r="K103" s="35" t="n"/>
      <c r="L103">
        <f>IF(E102&gt;0,COUNTIF($E$4:E102,"&gt;0"),"")</f>
        <v/>
      </c>
      <c r="M103">
        <f>IF(AND(D102&gt;0,G102="المحفظة"),COUNTIFS($D$4:D102,"&gt;"&amp;0,$G$4:G102,"المحفظة"),"")</f>
        <v/>
      </c>
      <c r="N103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/>
      </c>
      <c r="Q103">
        <f>IF(OR($A103="",$F103&lt;&gt;"أحد الشركاء"),"",COUNTIFS($A$4:A103,"&lt;&gt;",$F$4:F103,"أحد الشركاء"))</f>
        <v/>
      </c>
    </row>
    <row r="104" ht="18.75" customHeight="1" s="165">
      <c r="A104" s="25" t="n">
        <v>46207</v>
      </c>
      <c r="B104" s="36" t="inlineStr">
        <is>
          <t>Inv-84</t>
        </is>
      </c>
      <c r="C104" s="37" t="inlineStr">
        <is>
          <t>معلقات عدد 4 الحبه 2</t>
        </is>
      </c>
      <c r="D104" s="38" t="n"/>
      <c r="E104" s="39" t="n">
        <v>8</v>
      </c>
      <c r="F104" s="160" t="inlineStr">
        <is>
          <t>نقداً</t>
        </is>
      </c>
      <c r="G104" s="40" t="n"/>
      <c r="H104" s="41" t="inlineStr">
        <is>
          <t>تم الدفع</t>
        </is>
      </c>
      <c r="I104" s="42" t="n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/>
      </c>
      <c r="K104" s="44" t="n"/>
      <c r="L104">
        <f>IF(E103&gt;0,COUNTIF($E$4:E103,"&gt;0"),"")</f>
        <v/>
      </c>
      <c r="M104">
        <f>IF(AND(D103&gt;0,G103="المحفظة"),COUNTIFS($D$4:D103,"&gt;"&amp;0,$G$4:G103,"المحفظة"),"")</f>
        <v/>
      </c>
      <c r="N104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/>
      </c>
      <c r="Q104">
        <f>IF(OR($A104="",$F104&lt;&gt;"أحد الشركاء"),"",COUNTIFS($A$4:A104,"&lt;&gt;",$F$4:F104,"أحد الشركاء"))</f>
        <v/>
      </c>
    </row>
    <row r="105" ht="18.75" customHeight="1" s="165">
      <c r="A105" s="25" t="n"/>
      <c r="B105" s="26" t="n"/>
      <c r="C105" s="27" t="n"/>
      <c r="D105" s="28" t="n"/>
      <c r="E105" s="29" t="n"/>
      <c r="F105" s="30" t="n"/>
      <c r="G105" s="31" t="n"/>
      <c r="H105" s="32" t="n"/>
      <c r="I105" s="33" t="n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/>
      </c>
      <c r="K105" s="35" t="n"/>
      <c r="L105">
        <f>IF(E104&gt;0,COUNTIF($E$4:E104,"&gt;0"),"")</f>
        <v/>
      </c>
      <c r="M105">
        <f>IF(AND(D104&gt;0,G104="المحفظة"),COUNTIFS($D$4:D104,"&gt;"&amp;0,$G$4:G104,"المحفظة"),"")</f>
        <v/>
      </c>
      <c r="N105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/>
      </c>
      <c r="Q105">
        <f>IF(OR($A105="",$F105&lt;&gt;"أحد الشركاء"),"",COUNTIFS($A$4:A105,"&lt;&gt;",$F$4:F105,"أحد الشركاء"))</f>
        <v/>
      </c>
    </row>
    <row r="106" ht="18.75" customHeight="1" s="165">
      <c r="A106" s="167" t="n"/>
      <c r="B106" s="36" t="n"/>
      <c r="C106" s="37" t="n"/>
      <c r="D106" s="38" t="n"/>
      <c r="E106" s="39" t="n"/>
      <c r="F106" s="160" t="n"/>
      <c r="G106" s="40" t="n"/>
      <c r="H106" s="41" t="n"/>
      <c r="I106" s="42" t="n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/>
      </c>
      <c r="K106" s="44" t="n"/>
      <c r="L106">
        <f>IF(E105&gt;0,COUNTIF($E$4:E105,"&gt;0"),"")</f>
        <v/>
      </c>
      <c r="M106">
        <f>IF(AND(D105&gt;0,G105="المحفظة"),COUNTIFS($D$4:D105,"&gt;"&amp;0,$G$4:G105,"المحفظة"),"")</f>
        <v/>
      </c>
      <c r="N106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/>
      </c>
      <c r="Q106">
        <f>IF(OR($A106="",$F106&lt;&gt;"أحد الشركاء"),"",COUNTIFS($A$4:A106,"&lt;&gt;",$F$4:F106,"أحد الشركاء"))</f>
        <v/>
      </c>
    </row>
    <row r="107" ht="18.75" customHeight="1" s="165">
      <c r="A107" s="25" t="n"/>
      <c r="B107" s="26" t="n"/>
      <c r="C107" s="27" t="n"/>
      <c r="D107" s="28" t="n"/>
      <c r="E107" s="29" t="n"/>
      <c r="F107" s="30" t="n"/>
      <c r="G107" s="31" t="n"/>
      <c r="H107" s="32" t="n"/>
      <c r="I107" s="33" t="n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/>
      </c>
      <c r="K107" s="35" t="n"/>
      <c r="L107">
        <f>IF(E106&gt;0,COUNTIF($E$4:E106,"&gt;0"),"")</f>
        <v/>
      </c>
      <c r="M107">
        <f>IF(AND(D106&gt;0,G106="المحفظة"),COUNTIFS($D$4:D106,"&gt;"&amp;0,$G$4:G106,"المحفظة"),"")</f>
        <v/>
      </c>
      <c r="N107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/>
      </c>
      <c r="Q107">
        <f>IF(OR($A107="",$F107&lt;&gt;"أحد الشركاء"),"",COUNTIFS($A$4:A107,"&lt;&gt;",$F$4:F107,"أحد الشركاء"))</f>
        <v/>
      </c>
    </row>
    <row r="108" ht="18.75" customHeight="1" s="165">
      <c r="A108" s="167" t="n"/>
      <c r="B108" s="36" t="n"/>
      <c r="C108" s="37" t="n"/>
      <c r="D108" s="38" t="n"/>
      <c r="E108" s="39" t="n"/>
      <c r="F108" s="160" t="n"/>
      <c r="G108" s="40" t="n"/>
      <c r="H108" s="41" t="n"/>
      <c r="I108" s="42" t="n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/>
      </c>
      <c r="K108" s="44" t="n"/>
      <c r="L108">
        <f>IF(E107&gt;0,COUNTIF($E$4:E107,"&gt;0"),"")</f>
        <v/>
      </c>
      <c r="M108">
        <f>IF(AND(D107&gt;0,G107="المحفظة"),COUNTIFS($D$4:D107,"&gt;"&amp;0,$G$4:G107,"المحفظة"),"")</f>
        <v/>
      </c>
      <c r="N108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/>
      </c>
      <c r="Q108">
        <f>IF(OR($A108="",$F108&lt;&gt;"أحد الشركاء"),"",COUNTIFS($A$4:A108,"&lt;&gt;",$F$4:F108,"أحد الشركاء"))</f>
        <v/>
      </c>
    </row>
    <row r="109" ht="18.75" customHeight="1" s="165">
      <c r="A109" s="25" t="n"/>
      <c r="B109" s="26" t="n"/>
      <c r="C109" s="27" t="n"/>
      <c r="D109" s="28" t="n"/>
      <c r="E109" s="29" t="n"/>
      <c r="F109" s="30" t="n"/>
      <c r="G109" s="31" t="n"/>
      <c r="H109" s="32" t="n"/>
      <c r="I109" s="33" t="n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/>
      </c>
      <c r="K109" s="35" t="n"/>
      <c r="L109">
        <f>IF(E108&gt;0,COUNTIF($E$4:E108,"&gt;0"),"")</f>
        <v/>
      </c>
      <c r="M109">
        <f>IF(AND(D108&gt;0,G108="المحفظة"),COUNTIFS($D$4:D108,"&gt;"&amp;0,$G$4:G108,"المحفظة"),"")</f>
        <v/>
      </c>
      <c r="N109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/>
      </c>
      <c r="Q109">
        <f>IF(OR($A109="",$F109&lt;&gt;"أحد الشركاء"),"",COUNTIFS($A$4:A109,"&lt;&gt;",$F$4:F109,"أحد الشركاء"))</f>
        <v/>
      </c>
    </row>
    <row r="110" ht="18.75" customHeight="1" s="165">
      <c r="A110" s="167" t="n"/>
      <c r="B110" s="36" t="n"/>
      <c r="C110" s="37" t="n"/>
      <c r="D110" s="38" t="n"/>
      <c r="E110" s="39" t="n"/>
      <c r="F110" s="160" t="n"/>
      <c r="G110" s="40" t="n"/>
      <c r="H110" s="41" t="n"/>
      <c r="I110" s="42" t="n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/>
      </c>
      <c r="K110" s="44" t="n"/>
      <c r="L110">
        <f>IF(E109&gt;0,COUNTIF($E$4:E109,"&gt;0"),"")</f>
        <v/>
      </c>
      <c r="M110">
        <f>IF(AND(D109&gt;0,G109="المحفظة"),COUNTIFS($D$4:D109,"&gt;"&amp;0,$G$4:G109,"المحفظة"),"")</f>
        <v/>
      </c>
      <c r="N110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/>
      </c>
      <c r="Q110">
        <f>IF(OR($A110="",$F110&lt;&gt;"أحد الشركاء"),"",COUNTIFS($A$4:A110,"&lt;&gt;",$F$4:F110,"أحد الشركاء"))</f>
        <v/>
      </c>
    </row>
    <row r="111" ht="18.75" customHeight="1" s="165">
      <c r="A111" s="25" t="n"/>
      <c r="B111" s="26" t="n"/>
      <c r="C111" s="27" t="n"/>
      <c r="D111" s="28" t="n"/>
      <c r="E111" s="29" t="n"/>
      <c r="F111" s="30" t="n"/>
      <c r="G111" s="31" t="n"/>
      <c r="H111" s="32" t="n"/>
      <c r="I111" s="33" t="n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/>
      </c>
      <c r="K111" s="35" t="n"/>
      <c r="L111">
        <f>IF(E110&gt;0,COUNTIF($E$4:E110,"&gt;0"),"")</f>
        <v/>
      </c>
      <c r="M111">
        <f>IF(AND(D110&gt;0,G110="المحفظة"),COUNTIFS($D$4:D110,"&gt;"&amp;0,$G$4:G110,"المحفظة"),"")</f>
        <v/>
      </c>
      <c r="N111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/>
      </c>
      <c r="Q111">
        <f>IF(OR($A111="",$F111&lt;&gt;"أحد الشركاء"),"",COUNTIFS($A$4:A111,"&lt;&gt;",$F$4:F111,"أحد الشركاء"))</f>
        <v/>
      </c>
    </row>
    <row r="112" ht="18.75" customHeight="1" s="165">
      <c r="A112" s="167" t="n"/>
      <c r="B112" s="36" t="n"/>
      <c r="C112" s="37" t="n"/>
      <c r="D112" s="38" t="n"/>
      <c r="E112" s="39" t="n"/>
      <c r="F112" s="160" t="n"/>
      <c r="G112" s="40" t="n"/>
      <c r="H112" s="41" t="n"/>
      <c r="I112" s="42" t="n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/>
      </c>
      <c r="K112" s="44" t="n"/>
      <c r="L112">
        <f>IF(E111&gt;0,COUNTIF($E$4:E111,"&gt;0"),"")</f>
        <v/>
      </c>
      <c r="M112">
        <f>IF(AND(D111&gt;0,G111="المحفظة"),COUNTIFS($D$4:D111,"&gt;"&amp;0,$G$4:G111,"المحفظة"),"")</f>
        <v/>
      </c>
      <c r="N112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/>
      </c>
      <c r="Q112">
        <f>IF(OR($A112="",$F112&lt;&gt;"أحد الشركاء"),"",COUNTIFS($A$4:A112,"&lt;&gt;",$F$4:F112,"أحد الشركاء"))</f>
        <v/>
      </c>
    </row>
    <row r="113" ht="18.75" customHeight="1" s="165">
      <c r="A113" s="25" t="n"/>
      <c r="B113" s="26" t="n"/>
      <c r="C113" s="27" t="n"/>
      <c r="D113" s="28" t="n"/>
      <c r="E113" s="29" t="n"/>
      <c r="F113" s="30" t="n"/>
      <c r="G113" s="31" t="n"/>
      <c r="H113" s="32" t="n"/>
      <c r="I113" s="33" t="n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/>
      </c>
      <c r="K113" s="35" t="n"/>
      <c r="L113">
        <f>IF(E112&gt;0,COUNTIF($E$4:E112,"&gt;0"),"")</f>
        <v/>
      </c>
      <c r="M113">
        <f>IF(AND(D112&gt;0,G112="المحفظة"),COUNTIFS($D$4:D112,"&gt;"&amp;0,$G$4:G112,"المحفظة"),"")</f>
        <v/>
      </c>
      <c r="N113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/>
      </c>
      <c r="Q113">
        <f>IF(OR($A113="",$F113&lt;&gt;"أحد الشركاء"),"",COUNTIFS($A$4:A113,"&lt;&gt;",$F$4:F113,"أحد الشركاء"))</f>
        <v/>
      </c>
    </row>
    <row r="114" ht="18.75" customHeight="1" s="165">
      <c r="A114" s="167" t="n"/>
      <c r="B114" s="36" t="n"/>
      <c r="C114" s="37" t="n"/>
      <c r="D114" s="38" t="n"/>
      <c r="E114" s="39" t="n"/>
      <c r="F114" s="160" t="n"/>
      <c r="G114" s="40" t="n"/>
      <c r="H114" s="41" t="n"/>
      <c r="I114" s="42" t="n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/>
      </c>
      <c r="K114" s="44" t="n"/>
      <c r="L114">
        <f>IF(E113&gt;0,COUNTIF($E$4:E113,"&gt;0"),"")</f>
        <v/>
      </c>
      <c r="M114">
        <f>IF(AND(D113&gt;0,G113="المحفظة"),COUNTIFS($D$4:D113,"&gt;"&amp;0,$G$4:G113,"المحفظة"),"")</f>
        <v/>
      </c>
      <c r="N114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/>
      </c>
      <c r="Q114">
        <f>IF(OR($A114="",$F114&lt;&gt;"أحد الشركاء"),"",COUNTIFS($A$4:A114,"&lt;&gt;",$F$4:F114,"أحد الشركاء"))</f>
        <v/>
      </c>
    </row>
    <row r="115" ht="18.75" customHeight="1" s="165">
      <c r="A115" s="25" t="n"/>
      <c r="B115" s="26" t="n"/>
      <c r="C115" s="27" t="n"/>
      <c r="D115" s="28" t="n"/>
      <c r="E115" s="29" t="n"/>
      <c r="F115" s="30" t="n"/>
      <c r="G115" s="31" t="n"/>
      <c r="H115" s="32" t="n"/>
      <c r="I115" s="33" t="n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/>
      </c>
      <c r="K115" s="35" t="n"/>
      <c r="L115">
        <f>IF(E114&gt;0,COUNTIF($E$4:E114,"&gt;0"),"")</f>
        <v/>
      </c>
      <c r="M115">
        <f>IF(AND(D114&gt;0,G114="المحفظة"),COUNTIFS($D$4:D114,"&gt;"&amp;0,$G$4:G114,"المحفظة"),"")</f>
        <v/>
      </c>
      <c r="N115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/>
      </c>
      <c r="Q115">
        <f>IF(OR($A115="",$F115&lt;&gt;"أحد الشركاء"),"",COUNTIFS($A$4:A115,"&lt;&gt;",$F$4:F115,"أحد الشركاء"))</f>
        <v/>
      </c>
    </row>
    <row r="116" ht="18.75" customHeight="1" s="165">
      <c r="A116" s="167" t="n"/>
      <c r="B116" s="36" t="n"/>
      <c r="C116" s="37" t="n"/>
      <c r="D116" s="38" t="n"/>
      <c r="E116" s="39" t="n"/>
      <c r="F116" s="160" t="n"/>
      <c r="G116" s="40" t="n"/>
      <c r="H116" s="41" t="n"/>
      <c r="I116" s="42" t="n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/>
      </c>
      <c r="K116" s="44" t="n"/>
      <c r="L116">
        <f>IF(E115&gt;0,COUNTIF($E$4:E115,"&gt;0"),"")</f>
        <v/>
      </c>
      <c r="M116">
        <f>IF(AND(D115&gt;0,G115="المحفظة"),COUNTIFS($D$4:D115,"&gt;"&amp;0,$G$4:G115,"المحفظة"),"")</f>
        <v/>
      </c>
      <c r="N116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/>
      </c>
      <c r="Q116">
        <f>IF(OR($A116="",$F116&lt;&gt;"أحد الشركاء"),"",COUNTIFS($A$4:A116,"&lt;&gt;",$F$4:F116,"أحد الشركاء"))</f>
        <v/>
      </c>
    </row>
    <row r="117" ht="18.75" customHeight="1" s="165">
      <c r="A117" s="25" t="n"/>
      <c r="B117" s="26" t="n"/>
      <c r="C117" s="27" t="n"/>
      <c r="D117" s="28" t="n"/>
      <c r="E117" s="29" t="n"/>
      <c r="F117" s="30" t="n"/>
      <c r="G117" s="31" t="n"/>
      <c r="H117" s="32" t="n"/>
      <c r="I117" s="33" t="n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/>
      </c>
      <c r="K117" s="35" t="n"/>
      <c r="L117">
        <f>IF(E116&gt;0,COUNTIF($E$4:E116,"&gt;0"),"")</f>
        <v/>
      </c>
      <c r="M117">
        <f>IF(AND(D116&gt;0,G116="المحفظة"),COUNTIFS($D$4:D116,"&gt;"&amp;0,$G$4:G116,"المحفظة"),"")</f>
        <v/>
      </c>
      <c r="N117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/>
      </c>
      <c r="Q117">
        <f>IF(OR($A117="",$F117&lt;&gt;"أحد الشركاء"),"",COUNTIFS($A$4:A117,"&lt;&gt;",$F$4:F117,"أحد الشركاء"))</f>
        <v/>
      </c>
    </row>
    <row r="118" ht="18.75" customHeight="1" s="165">
      <c r="A118" s="167" t="n"/>
      <c r="B118" s="36" t="n"/>
      <c r="C118" s="37" t="n"/>
      <c r="D118" s="38" t="n"/>
      <c r="E118" s="39" t="n"/>
      <c r="F118" s="160" t="n"/>
      <c r="G118" s="40" t="n"/>
      <c r="H118" s="41" t="n"/>
      <c r="I118" s="42" t="n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/>
      </c>
      <c r="K118" s="44" t="n"/>
      <c r="L118">
        <f>IF(E117&gt;0,COUNTIF($E$4:E117,"&gt;0"),"")</f>
        <v/>
      </c>
      <c r="M118">
        <f>IF(AND(D117&gt;0,G117="المحفظة"),COUNTIFS($D$4:D117,"&gt;"&amp;0,$G$4:G117,"المحفظة"),"")</f>
        <v/>
      </c>
      <c r="N118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/>
      </c>
      <c r="Q118">
        <f>IF(OR($A118="",$F118&lt;&gt;"أحد الشركاء"),"",COUNTIFS($A$4:A118,"&lt;&gt;",$F$4:F118,"أحد الشركاء"))</f>
        <v/>
      </c>
    </row>
    <row r="119" ht="18.75" customHeight="1" s="165">
      <c r="A119" s="25" t="n"/>
      <c r="B119" s="26" t="n"/>
      <c r="C119" s="27" t="n"/>
      <c r="D119" s="28" t="n"/>
      <c r="E119" s="29" t="n"/>
      <c r="F119" s="30" t="n"/>
      <c r="G119" s="31" t="n"/>
      <c r="H119" s="32" t="n"/>
      <c r="I119" s="33" t="n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/>
      </c>
      <c r="K119" s="35" t="n"/>
      <c r="L119">
        <f>IF(E118&gt;0,COUNTIF($E$4:E118,"&gt;0"),"")</f>
        <v/>
      </c>
      <c r="M119">
        <f>IF(AND(D118&gt;0,G118="المحفظة"),COUNTIFS($D$4:D118,"&gt;"&amp;0,$G$4:G118,"المحفظة"),"")</f>
        <v/>
      </c>
      <c r="N119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/>
      </c>
      <c r="Q119">
        <f>IF(OR($A119="",$F119&lt;&gt;"أحد الشركاء"),"",COUNTIFS($A$4:A119,"&lt;&gt;",$F$4:F119,"أحد الشركاء"))</f>
        <v/>
      </c>
    </row>
    <row r="120" ht="18.75" customHeight="1" s="165">
      <c r="A120" s="167" t="n"/>
      <c r="B120" s="36" t="n"/>
      <c r="C120" s="37" t="n"/>
      <c r="D120" s="38" t="n"/>
      <c r="E120" s="39" t="n"/>
      <c r="F120" s="160" t="n"/>
      <c r="G120" s="40" t="n"/>
      <c r="H120" s="41" t="n"/>
      <c r="I120" s="42" t="n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/>
      </c>
      <c r="K120" s="44" t="n"/>
      <c r="L120">
        <f>IF(E119&gt;0,COUNTIF($E$4:E119,"&gt;0"),"")</f>
        <v/>
      </c>
      <c r="M120">
        <f>IF(AND(D119&gt;0,G119="المحفظة"),COUNTIFS($D$4:D119,"&gt;"&amp;0,$G$4:G119,"المحفظة"),"")</f>
        <v/>
      </c>
      <c r="N120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/>
      </c>
      <c r="Q120">
        <f>IF(OR($A120="",$F120&lt;&gt;"أحد الشركاء"),"",COUNTIFS($A$4:A120,"&lt;&gt;",$F$4:F120,"أحد الشركاء"))</f>
        <v/>
      </c>
    </row>
    <row r="121" ht="18.75" customHeight="1" s="165">
      <c r="A121" s="25" t="n"/>
      <c r="B121" s="26" t="n"/>
      <c r="C121" s="27" t="n"/>
      <c r="D121" s="28" t="n"/>
      <c r="E121" s="29" t="n"/>
      <c r="F121" s="30" t="n"/>
      <c r="G121" s="31" t="n"/>
      <c r="H121" s="32" t="n"/>
      <c r="I121" s="33" t="n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/>
      </c>
      <c r="K121" s="35" t="n"/>
      <c r="L121">
        <f>IF(E120&gt;0,COUNTIF($E$4:E120,"&gt;0"),"")</f>
        <v/>
      </c>
      <c r="M121">
        <f>IF(AND(D120&gt;0,G120="المحفظة"),COUNTIFS($D$4:D120,"&gt;"&amp;0,$G$4:G120,"المحفظة"),"")</f>
        <v/>
      </c>
      <c r="N121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/>
      </c>
      <c r="Q121">
        <f>IF(OR($A121="",$F121&lt;&gt;"أحد الشركاء"),"",COUNTIFS($A$4:A121,"&lt;&gt;",$F$4:F121,"أحد الشركاء"))</f>
        <v/>
      </c>
    </row>
    <row r="122" ht="18.75" customHeight="1" s="165">
      <c r="A122" s="167" t="n"/>
      <c r="B122" s="36" t="n"/>
      <c r="C122" s="37" t="n"/>
      <c r="D122" s="38" t="n"/>
      <c r="E122" s="39" t="n"/>
      <c r="F122" s="160" t="n"/>
      <c r="G122" s="40" t="n"/>
      <c r="H122" s="41" t="n"/>
      <c r="I122" s="42" t="n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/>
      </c>
      <c r="K122" s="44" t="n"/>
      <c r="L122">
        <f>IF(E121&gt;0,COUNTIF($E$4:E121,"&gt;0"),"")</f>
        <v/>
      </c>
      <c r="M122">
        <f>IF(AND(D121&gt;0,G121="المحفظة"),COUNTIFS($D$4:D121,"&gt;"&amp;0,$G$4:G121,"المحفظة"),"")</f>
        <v/>
      </c>
      <c r="N122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/>
      </c>
      <c r="Q122">
        <f>IF(OR($A122="",$F122&lt;&gt;"أحد الشركاء"),"",COUNTIFS($A$4:A122,"&lt;&gt;",$F$4:F122,"أحد الشركاء"))</f>
        <v/>
      </c>
    </row>
    <row r="123" ht="18.75" customHeight="1" s="165">
      <c r="A123" s="25" t="n"/>
      <c r="B123" s="26" t="n"/>
      <c r="C123" s="27" t="n"/>
      <c r="D123" s="28" t="n"/>
      <c r="E123" s="29" t="n"/>
      <c r="F123" s="30" t="n"/>
      <c r="G123" s="31" t="n"/>
      <c r="H123" s="32" t="n"/>
      <c r="I123" s="33" t="n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/>
      </c>
      <c r="K123" s="35" t="n"/>
      <c r="L123">
        <f>IF(E122&gt;0,COUNTIF($E$4:E122,"&gt;0"),"")</f>
        <v/>
      </c>
      <c r="M123">
        <f>IF(AND(D122&gt;0,G122="المحفظة"),COUNTIFS($D$4:D122,"&gt;"&amp;0,$G$4:G122,"المحفظة"),"")</f>
        <v/>
      </c>
      <c r="N123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/>
      </c>
      <c r="Q123">
        <f>IF(OR($A123="",$F123&lt;&gt;"أحد الشركاء"),"",COUNTIFS($A$4:A123,"&lt;&gt;",$F$4:F123,"أحد الشركاء"))</f>
        <v/>
      </c>
    </row>
    <row r="124" ht="18.75" customHeight="1" s="165">
      <c r="A124" s="167" t="n"/>
      <c r="B124" s="36" t="n"/>
      <c r="C124" s="37" t="n"/>
      <c r="D124" s="38" t="n"/>
      <c r="E124" s="39" t="n"/>
      <c r="F124" s="160" t="n"/>
      <c r="G124" s="40" t="n"/>
      <c r="H124" s="41" t="n"/>
      <c r="I124" s="42" t="n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/>
      </c>
      <c r="K124" s="44" t="n"/>
      <c r="L124">
        <f>IF(E123&gt;0,COUNTIF($E$4:E123,"&gt;0"),"")</f>
        <v/>
      </c>
      <c r="M124">
        <f>IF(AND(D123&gt;0,G123="المحفظة"),COUNTIFS($D$4:D123,"&gt;"&amp;0,$G$4:G123,"المحفظة"),"")</f>
        <v/>
      </c>
      <c r="N124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/>
      </c>
      <c r="Q124">
        <f>IF(OR($A124="",$F124&lt;&gt;"أحد الشركاء"),"",COUNTIFS($A$4:A124,"&lt;&gt;",$F$4:F124,"أحد الشركاء"))</f>
        <v/>
      </c>
    </row>
    <row r="125" ht="18.75" customHeight="1" s="165">
      <c r="A125" s="25" t="n"/>
      <c r="B125" s="26" t="n"/>
      <c r="C125" s="27" t="n"/>
      <c r="D125" s="28" t="n"/>
      <c r="E125" s="29" t="n"/>
      <c r="F125" s="30" t="n"/>
      <c r="G125" s="31" t="n"/>
      <c r="H125" s="32" t="n"/>
      <c r="I125" s="33" t="n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/>
      </c>
      <c r="K125" s="35" t="n"/>
      <c r="L125">
        <f>IF(E124&gt;0,COUNTIF($E$4:E124,"&gt;0"),"")</f>
        <v/>
      </c>
      <c r="M125">
        <f>IF(AND(D124&gt;0,G124="المحفظة"),COUNTIFS($D$4:D124,"&gt;"&amp;0,$G$4:G124,"المحفظة"),"")</f>
        <v/>
      </c>
      <c r="N125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/>
      </c>
      <c r="Q125">
        <f>IF(OR($A125="",$F125&lt;&gt;"أحد الشركاء"),"",COUNTIFS($A$4:A125,"&lt;&gt;",$F$4:F125,"أحد الشركاء"))</f>
        <v/>
      </c>
    </row>
    <row r="126" ht="18.75" customHeight="1" s="165">
      <c r="A126" s="167" t="n"/>
      <c r="B126" s="36" t="n"/>
      <c r="C126" s="37" t="n"/>
      <c r="D126" s="38" t="n"/>
      <c r="E126" s="39" t="n"/>
      <c r="F126" s="160" t="n"/>
      <c r="G126" s="40" t="n"/>
      <c r="H126" s="41" t="n"/>
      <c r="I126" s="42" t="n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/>
      </c>
      <c r="K126" s="44" t="n"/>
      <c r="L126">
        <f>IF(E125&gt;0,COUNTIF($E$4:E125,"&gt;0"),"")</f>
        <v/>
      </c>
      <c r="M126">
        <f>IF(AND(D125&gt;0,G125="المحفظة"),COUNTIFS($D$4:D125,"&gt;"&amp;0,$G$4:G125,"المحفظة"),"")</f>
        <v/>
      </c>
      <c r="N126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/>
      </c>
      <c r="Q126">
        <f>IF(OR($A126="",$F126&lt;&gt;"أحد الشركاء"),"",COUNTIFS($A$4:A126,"&lt;&gt;",$F$4:F126,"أحد الشركاء"))</f>
        <v/>
      </c>
    </row>
    <row r="127" ht="18.75" customHeight="1" s="165">
      <c r="A127" s="25" t="n"/>
      <c r="B127" s="26" t="n"/>
      <c r="C127" s="27" t="n"/>
      <c r="D127" s="28" t="n"/>
      <c r="E127" s="29" t="n"/>
      <c r="F127" s="30" t="n"/>
      <c r="G127" s="31" t="n"/>
      <c r="H127" s="32" t="n"/>
      <c r="I127" s="33" t="n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/>
      </c>
      <c r="K127" s="35" t="n"/>
      <c r="L127">
        <f>IF(E126&gt;0,COUNTIF($E$4:E126,"&gt;0"),"")</f>
        <v/>
      </c>
      <c r="M127">
        <f>IF(AND(D126&gt;0,G126="المحفظة"),COUNTIFS($D$4:D126,"&gt;"&amp;0,$G$4:G126,"المحفظة"),"")</f>
        <v/>
      </c>
      <c r="N127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/>
      </c>
      <c r="Q127">
        <f>IF(OR($A127="",$F127&lt;&gt;"أحد الشركاء"),"",COUNTIFS($A$4:A127,"&lt;&gt;",$F$4:F127,"أحد الشركاء"))</f>
        <v/>
      </c>
    </row>
    <row r="128" ht="18.75" customHeight="1" s="165">
      <c r="A128" s="167" t="n"/>
      <c r="B128" s="36" t="n"/>
      <c r="C128" s="37" t="n"/>
      <c r="D128" s="38" t="n"/>
      <c r="E128" s="39" t="n"/>
      <c r="F128" s="160" t="n"/>
      <c r="G128" s="40" t="n"/>
      <c r="H128" s="41" t="n"/>
      <c r="I128" s="42" t="n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44" t="n"/>
      <c r="L128">
        <f>IF(E127&gt;0,COUNTIF($E$4:E127,"&gt;0"),"")</f>
        <v/>
      </c>
      <c r="M128">
        <f>IF(AND(D127&gt;0,G127="المحفظة"),COUNTIFS($D$4:D127,"&gt;"&amp;0,$G$4:G127,"المحفظة"),"")</f>
        <v/>
      </c>
      <c r="N128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/>
      </c>
      <c r="Q128">
        <f>IF(OR($A128="",$F128&lt;&gt;"أحد الشركاء"),"",COUNTIFS($A$4:A128,"&lt;&gt;",$F$4:F128,"أحد الشركاء"))</f>
        <v/>
      </c>
    </row>
    <row r="129" ht="18.75" customHeight="1" s="165">
      <c r="A129" s="25" t="n"/>
      <c r="B129" s="26" t="n"/>
      <c r="C129" s="27" t="n"/>
      <c r="D129" s="28" t="n"/>
      <c r="E129" s="29" t="n"/>
      <c r="F129" s="30" t="n"/>
      <c r="G129" s="31" t="n"/>
      <c r="H129" s="32" t="n"/>
      <c r="I129" s="33" t="n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35" t="n"/>
      <c r="L129">
        <f>IF(E128&gt;0,COUNTIF($E$4:E128,"&gt;0"),"")</f>
        <v/>
      </c>
      <c r="M129">
        <f>IF(AND(D128&gt;0,G128="المحفظة"),COUNTIFS($D$4:D128,"&gt;"&amp;0,$G$4:G128,"المحفظة"),"")</f>
        <v/>
      </c>
      <c r="N129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/>
      </c>
      <c r="Q129">
        <f>IF(OR($A129="",$F129&lt;&gt;"أحد الشركاء"),"",COUNTIFS($A$4:A129,"&lt;&gt;",$F$4:F129,"أحد الشركاء"))</f>
        <v/>
      </c>
    </row>
    <row r="130" ht="18.75" customHeight="1" s="165">
      <c r="A130" s="167" t="n"/>
      <c r="B130" s="36" t="n"/>
      <c r="C130" s="37" t="n"/>
      <c r="D130" s="38" t="n"/>
      <c r="E130" s="39" t="n"/>
      <c r="F130" s="160" t="n"/>
      <c r="G130" s="40" t="n"/>
      <c r="H130" s="41" t="n"/>
      <c r="I130" s="42" t="n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44" t="n"/>
      <c r="L130">
        <f>IF(E129&gt;0,COUNTIF($E$4:E129,"&gt;0"),"")</f>
        <v/>
      </c>
      <c r="M130">
        <f>IF(AND(D129&gt;0,G129="المحفظة"),COUNTIFS($D$4:D129,"&gt;"&amp;0,$G$4:G129,"المحفظة"),"")</f>
        <v/>
      </c>
      <c r="N130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/>
      </c>
      <c r="Q130">
        <f>IF(OR($A130="",$F130&lt;&gt;"أحد الشركاء"),"",COUNTIFS($A$4:A130,"&lt;&gt;",$F$4:F130,"أحد الشركاء"))</f>
        <v/>
      </c>
    </row>
    <row r="131" ht="18.75" customHeight="1" s="165">
      <c r="A131" s="25" t="n"/>
      <c r="B131" s="26" t="n"/>
      <c r="C131" s="27" t="n"/>
      <c r="D131" s="28" t="n"/>
      <c r="E131" s="29" t="n"/>
      <c r="F131" s="30" t="n"/>
      <c r="G131" s="31" t="n"/>
      <c r="H131" s="32" t="n"/>
      <c r="I131" s="33" t="n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35" t="n"/>
      <c r="L131">
        <f>IF(E130&gt;0,COUNTIF($E$4:E130,"&gt;0"),"")</f>
        <v/>
      </c>
      <c r="M131">
        <f>IF(AND(D130&gt;0,G130="المحفظة"),COUNTIFS($D$4:D130,"&gt;"&amp;0,$G$4:G130,"المحفظة"),"")</f>
        <v/>
      </c>
      <c r="N131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>
        <f>IF(AND(D130&gt;0,F130="أحد الشركاء"),COUNTIFS($D$4:D130,"&gt;"&amp;0,$F$4:F130,"أحد الشركاء"),"")</f>
        <v/>
      </c>
      <c r="P131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/>
      </c>
    </row>
    <row r="132" ht="18.75" customHeight="1" s="165">
      <c r="A132" s="167" t="n"/>
      <c r="B132" s="36" t="n"/>
      <c r="C132" s="37" t="n"/>
      <c r="D132" s="38" t="n"/>
      <c r="E132" s="39" t="n"/>
      <c r="F132" s="160" t="n"/>
      <c r="G132" s="40" t="n"/>
      <c r="H132" s="41" t="n"/>
      <c r="I132" s="42" t="n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44" t="n"/>
      <c r="L132">
        <f>IF(E131&gt;0,COUNTIF($E$4:E131,"&gt;0"),"")</f>
        <v/>
      </c>
      <c r="M132">
        <f>IF(AND(D131&gt;0,G131="المحفظة"),COUNTIFS($D$4:D131,"&gt;"&amp;0,$G$4:G131,"المحفظة"),"")</f>
        <v/>
      </c>
      <c r="N132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/>
      </c>
      <c r="P132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/>
      </c>
    </row>
    <row r="133" ht="18.75" customHeight="1" s="165">
      <c r="A133" s="25" t="n"/>
      <c r="B133" s="26" t="n"/>
      <c r="C133" s="27" t="n"/>
      <c r="D133" s="28" t="n"/>
      <c r="E133" s="29" t="n"/>
      <c r="F133" s="30" t="n"/>
      <c r="G133" s="31" t="n"/>
      <c r="H133" s="32" t="n"/>
      <c r="I133" s="33" t="n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35" t="n"/>
      <c r="L133">
        <f>IF(E132&gt;0,COUNTIF($E$4:E132,"&gt;0"),"")</f>
        <v/>
      </c>
      <c r="M133">
        <f>IF(AND(D132&gt;0,G132="المحفظة"),COUNTIFS($D$4:D132,"&gt;"&amp;0,$G$4:G132,"المحفظة"),"")</f>
        <v/>
      </c>
      <c r="N133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/>
      </c>
      <c r="P133">
        <f>IF(OR($A133="",$F133="أحد الشركاء",AND($D133="",$E133="")),"",SUMPRODUCT(($A$4:$A133&lt;&gt;"")*($F$4:$F133&lt;&gt;"أحد الشركاء")*((($D$4:$D133&lt;&gt;"")+($E$4:$E133&lt;&gt;""))&gt;0)))</f>
        <v/>
      </c>
      <c r="Q133">
        <f>IF(OR($A133="",$F133&lt;&gt;"أحد الشركاء"),"",COUNTIFS($A$4:A133,"&lt;&gt;",$F$4:F133,"أحد الشركاء"))</f>
        <v/>
      </c>
    </row>
    <row r="134" ht="18.75" customHeight="1" s="165">
      <c r="A134" s="167" t="n"/>
      <c r="B134" s="36" t="n"/>
      <c r="C134" s="37" t="n"/>
      <c r="D134" s="38" t="n"/>
      <c r="E134" s="39" t="n"/>
      <c r="F134" s="160" t="n"/>
      <c r="G134" s="40" t="n"/>
      <c r="H134" s="41" t="n"/>
      <c r="I134" s="42" t="n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44" t="n"/>
      <c r="L134">
        <f>IF(E133&gt;0,COUNTIF($E$4:E133,"&gt;0"),"")</f>
        <v/>
      </c>
      <c r="M134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/>
      </c>
      <c r="Q134">
        <f>IF(OR($A134="",$F134&lt;&gt;"أحد الشركاء"),"",COUNTIFS($A$4:A134,"&lt;&gt;",$F$4:F134,"أحد الشركاء"))</f>
        <v/>
      </c>
    </row>
    <row r="135" ht="18.75" customHeight="1" s="165">
      <c r="A135" s="25" t="n"/>
      <c r="B135" s="26" t="n"/>
      <c r="C135" s="27" t="n"/>
      <c r="D135" s="28" t="n"/>
      <c r="E135" s="29" t="n"/>
      <c r="F135" s="30" t="n"/>
      <c r="G135" s="31" t="n"/>
      <c r="H135" s="32" t="n"/>
      <c r="I135" s="33" t="n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35" t="n"/>
      <c r="L135">
        <f>IF(E134&gt;0,COUNTIF($E$4:E134,"&gt;0"),"")</f>
        <v/>
      </c>
      <c r="M135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/>
      </c>
      <c r="Q135">
        <f>IF(OR($A135="",$F135&lt;&gt;"أحد الشركاء"),"",COUNTIFS($A$4:A135,"&lt;&gt;",$F$4:F135,"أحد الشركاء"))</f>
        <v/>
      </c>
    </row>
    <row r="136" ht="18.75" customHeight="1" s="165">
      <c r="A136" s="167" t="n"/>
      <c r="B136" s="36" t="n"/>
      <c r="C136" s="37" t="n"/>
      <c r="D136" s="38" t="n"/>
      <c r="E136" s="39" t="n"/>
      <c r="F136" s="160" t="n"/>
      <c r="G136" s="40" t="n"/>
      <c r="H136" s="41" t="n"/>
      <c r="I136" s="42" t="n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44" t="n"/>
      <c r="L136">
        <f>IF(E135&gt;0,COUNTIF($E$4:E135,"&gt;0"),"")</f>
        <v/>
      </c>
      <c r="M136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/>
      </c>
      <c r="Q136">
        <f>IF(OR($A136="",$F136&lt;&gt;"أحد الشركاء"),"",COUNTIFS($A$4:A136,"&lt;&gt;",$F$4:F136,"أحد الشركاء"))</f>
        <v/>
      </c>
    </row>
    <row r="137" ht="18.75" customHeight="1" s="165">
      <c r="A137" s="25" t="n"/>
      <c r="B137" s="26" t="n"/>
      <c r="C137" s="27" t="n"/>
      <c r="D137" s="28" t="n"/>
      <c r="E137" s="29" t="n"/>
      <c r="F137" s="30" t="n"/>
      <c r="G137" s="31" t="n"/>
      <c r="H137" s="32" t="n"/>
      <c r="I137" s="33" t="n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35" t="n"/>
      <c r="L137">
        <f>IF(E136&gt;0,COUNTIF($E$4:E136,"&gt;0"),"")</f>
        <v/>
      </c>
      <c r="M137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/>
      </c>
      <c r="Q137">
        <f>IF(OR($A137="",$F137&lt;&gt;"أحد الشركاء"),"",COUNTIFS($A$4:A137,"&lt;&gt;",$F$4:F137,"أحد الشركاء"))</f>
        <v/>
      </c>
    </row>
    <row r="138" ht="18.75" customHeight="1" s="165">
      <c r="A138" s="167" t="n"/>
      <c r="B138" s="36" t="n"/>
      <c r="C138" s="37" t="n"/>
      <c r="D138" s="38" t="n"/>
      <c r="E138" s="39" t="n"/>
      <c r="F138" s="160" t="n"/>
      <c r="G138" s="40" t="n"/>
      <c r="H138" s="41" t="n"/>
      <c r="I138" s="42" t="n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44" t="n"/>
      <c r="L138">
        <f>IF(E137&gt;0,COUNTIF($E$4:E137,"&gt;0"),"")</f>
        <v/>
      </c>
      <c r="M138">
        <f>IF(AND(D137&gt;0,G137="المحفظة"),COUNTIFS($D$4:D137,"&gt;"&amp;0,$G$4:G137,"المحفظة"),"")</f>
        <v/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/>
      </c>
      <c r="Q138">
        <f>IF(OR($A138="",$F138&lt;&gt;"أحد الشركاء"),"",COUNTIFS($A$4:A138,"&lt;&gt;",$F$4:F138,"أحد الشركاء"))</f>
        <v/>
      </c>
    </row>
    <row r="139" ht="18.75" customHeight="1" s="165">
      <c r="A139" s="25" t="n"/>
      <c r="B139" s="26" t="n"/>
      <c r="C139" s="27" t="n"/>
      <c r="D139" s="28" t="n"/>
      <c r="E139" s="29" t="n"/>
      <c r="F139" s="30" t="n"/>
      <c r="G139" s="31" t="n"/>
      <c r="H139" s="32" t="n"/>
      <c r="I139" s="33" t="n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35" t="n"/>
      <c r="L139">
        <f>IF(E138&gt;0,COUNTIF($E$4:E138,"&gt;0"),"")</f>
        <v/>
      </c>
      <c r="M139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/>
      </c>
      <c r="Q139">
        <f>IF(OR($A139="",$F139&lt;&gt;"أحد الشركاء"),"",COUNTIFS($A$4:A139,"&lt;&gt;",$F$4:F139,"أحد الشركاء"))</f>
        <v/>
      </c>
    </row>
    <row r="140" ht="18.75" customHeight="1" s="165">
      <c r="A140" s="167" t="n"/>
      <c r="B140" s="36" t="n"/>
      <c r="C140" s="37" t="n"/>
      <c r="D140" s="38" t="n"/>
      <c r="E140" s="39" t="n"/>
      <c r="F140" s="160" t="n"/>
      <c r="G140" s="40" t="n"/>
      <c r="H140" s="41" t="n"/>
      <c r="I140" s="42" t="n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44" t="n"/>
      <c r="L140">
        <f>IF(E139&gt;0,COUNTIF($E$4:E139,"&gt;0"),"")</f>
        <v/>
      </c>
      <c r="M140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/>
      </c>
      <c r="Q140">
        <f>IF(OR($A140="",$F140&lt;&gt;"أحد الشركاء"),"",COUNTIFS($A$4:A140,"&lt;&gt;",$F$4:F140,"أحد الشركاء"))</f>
        <v/>
      </c>
    </row>
    <row r="141" ht="18.75" customHeight="1" s="165">
      <c r="A141" s="25" t="n"/>
      <c r="B141" s="26" t="n"/>
      <c r="C141" s="27" t="n"/>
      <c r="D141" s="28" t="n"/>
      <c r="E141" s="29" t="n"/>
      <c r="F141" s="30" t="n"/>
      <c r="G141" s="31" t="n"/>
      <c r="H141" s="32" t="n"/>
      <c r="I141" s="33" t="n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35" t="n"/>
      <c r="L141">
        <f>IF(E140&gt;0,COUNTIF($E$4:E140,"&gt;0"),"")</f>
        <v/>
      </c>
      <c r="M141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/>
      </c>
      <c r="Q141">
        <f>IF(OR($A141="",$F141&lt;&gt;"أحد الشركاء"),"",COUNTIFS($A$4:A141,"&lt;&gt;",$F$4:F141,"أحد الشركاء"))</f>
        <v/>
      </c>
    </row>
    <row r="142" ht="18.75" customHeight="1" s="165">
      <c r="A142" s="167" t="n"/>
      <c r="B142" s="36" t="n"/>
      <c r="C142" s="37" t="n"/>
      <c r="D142" s="38" t="n"/>
      <c r="E142" s="39" t="n"/>
      <c r="F142" s="160" t="n"/>
      <c r="G142" s="40" t="n"/>
      <c r="H142" s="41" t="n"/>
      <c r="I142" s="42" t="n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44" t="n"/>
      <c r="L142">
        <f>IF(E141&gt;0,COUNTIF($E$4:E141,"&gt;0"),"")</f>
        <v/>
      </c>
      <c r="M142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/>
      </c>
      <c r="Q142">
        <f>IF(OR($A142="",$F142&lt;&gt;"أحد الشركاء"),"",COUNTIFS($A$4:A142,"&lt;&gt;",$F$4:F142,"أحد الشركاء"))</f>
        <v/>
      </c>
    </row>
    <row r="143" ht="18.75" customHeight="1" s="165">
      <c r="A143" s="25" t="n"/>
      <c r="B143" s="26" t="n"/>
      <c r="C143" s="27" t="n"/>
      <c r="D143" s="28" t="n"/>
      <c r="E143" s="29" t="n"/>
      <c r="F143" s="30" t="n"/>
      <c r="G143" s="31" t="n"/>
      <c r="H143" s="32" t="n"/>
      <c r="I143" s="33" t="n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35" t="n"/>
      <c r="L143">
        <f>IF(E142&gt;0,COUNTIF($E$4:E142,"&gt;0"),"")</f>
        <v/>
      </c>
      <c r="M143">
        <f>IF(AND(D142&gt;0,G142="المحفظة"),COUNTIFS($D$4:D142,"&gt;"&amp;0,$G$4:G142,"المحفظة"),"")</f>
        <v/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/>
      </c>
      <c r="Q143">
        <f>IF(OR($A143="",$F143&lt;&gt;"أحد الشركاء"),"",COUNTIFS($A$4:A143,"&lt;&gt;",$F$4:F143,"أحد الشركاء"))</f>
        <v/>
      </c>
    </row>
    <row r="144" ht="18.75" customHeight="1" s="165">
      <c r="A144" s="167" t="n"/>
      <c r="B144" s="36" t="n"/>
      <c r="C144" s="37" t="n"/>
      <c r="D144" s="38" t="n"/>
      <c r="E144" s="39" t="n"/>
      <c r="F144" s="160" t="n"/>
      <c r="G144" s="40" t="n"/>
      <c r="H144" s="41" t="n"/>
      <c r="I144" s="42" t="n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 t="n"/>
      <c r="L144">
        <f>IF(E143&gt;0,COUNTIF($E$4:E143,"&gt;0"),"")</f>
        <v/>
      </c>
      <c r="M144">
        <f>IF(AND(D143&gt;0,G143="المحفظة"),COUNTIFS($D$4:D143,"&gt;"&amp;0,$G$4:G143,"المحفظة"),"")</f>
        <v/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/>
      </c>
      <c r="Q144">
        <f>IF(OR($A144="",$F144&lt;&gt;"أحد الشركاء"),"",COUNTIFS($A$4:A144,"&lt;&gt;",$F$4:F144,"أحد الشركاء"))</f>
        <v/>
      </c>
    </row>
    <row r="145" ht="18.75" customHeight="1" s="165">
      <c r="A145" s="25" t="n"/>
      <c r="B145" s="26" t="n"/>
      <c r="C145" s="27" t="n"/>
      <c r="D145" s="28" t="n"/>
      <c r="E145" s="29" t="n"/>
      <c r="F145" s="30" t="n"/>
      <c r="G145" s="31" t="n"/>
      <c r="H145" s="32" t="n"/>
      <c r="I145" s="33" t="n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 t="n"/>
      <c r="L145">
        <f>IF(E144&gt;0,COUNTIF($E$4:E144,"&gt;0"),"")</f>
        <v/>
      </c>
      <c r="M145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/>
      </c>
      <c r="Q145">
        <f>IF(OR($A145="",$F145&lt;&gt;"أحد الشركاء"),"",COUNTIFS($A$4:A145,"&lt;&gt;",$F$4:F145,"أحد الشركاء"))</f>
        <v/>
      </c>
    </row>
    <row r="146" ht="18.75" customHeight="1" s="165">
      <c r="A146" s="167" t="n"/>
      <c r="B146" s="36" t="n"/>
      <c r="C146" s="37" t="n"/>
      <c r="D146" s="38" t="n"/>
      <c r="E146" s="39" t="n"/>
      <c r="F146" s="160" t="n"/>
      <c r="G146" s="40" t="n"/>
      <c r="H146" s="41" t="n"/>
      <c r="I146" s="42" t="n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 t="n"/>
      <c r="L146">
        <f>IF(E145&gt;0,COUNTIF($E$4:E145,"&gt;0"),"")</f>
        <v/>
      </c>
      <c r="M146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/>
      </c>
      <c r="Q146">
        <f>IF(OR($A146="",$F146&lt;&gt;"أحد الشركاء"),"",COUNTIFS($A$4:A146,"&lt;&gt;",$F$4:F146,"أحد الشركاء"))</f>
        <v/>
      </c>
    </row>
    <row r="147" ht="18.75" customHeight="1" s="165">
      <c r="A147" s="25" t="n"/>
      <c r="B147" s="26" t="n"/>
      <c r="C147" s="27" t="n"/>
      <c r="D147" s="28" t="n"/>
      <c r="E147" s="29" t="n"/>
      <c r="F147" s="30" t="n"/>
      <c r="G147" s="31" t="n"/>
      <c r="H147" s="32" t="n"/>
      <c r="I147" s="33" t="n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 t="n"/>
      <c r="L147">
        <f>IF(E146&gt;0,COUNTIF($E$4:E146,"&gt;0"),"")</f>
        <v/>
      </c>
      <c r="M147">
        <f>IF(AND(D146&gt;0,G146="المحفظة"),COUNTIFS($D$4:D146,"&gt;"&amp;0,$G$4:G146,"المحفظة"),"")</f>
        <v/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/>
      </c>
      <c r="Q147">
        <f>IF(OR($A147="",$F147&lt;&gt;"أحد الشركاء"),"",COUNTIFS($A$4:A147,"&lt;&gt;",$F$4:F147,"أحد الشركاء"))</f>
        <v/>
      </c>
    </row>
    <row r="148" ht="18.75" customHeight="1" s="165">
      <c r="A148" s="167" t="n"/>
      <c r="B148" s="36" t="n"/>
      <c r="C148" s="37" t="n"/>
      <c r="D148" s="38" t="n"/>
      <c r="E148" s="39" t="n"/>
      <c r="F148" s="160" t="n"/>
      <c r="G148" s="40" t="n"/>
      <c r="H148" s="41" t="n"/>
      <c r="I148" s="42" t="n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 t="n"/>
      <c r="L148">
        <f>IF(E147&gt;0,COUNTIF($E$4:E147,"&gt;0"),"")</f>
        <v/>
      </c>
      <c r="M148">
        <f>IF(AND(D147&gt;0,G147="المحفظة"),COUNTIFS($D$4:D147,"&gt;"&amp;0,$G$4:G147,"المحفظة"),"")</f>
        <v/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/>
      </c>
      <c r="Q148">
        <f>IF(OR($A148="",$F148&lt;&gt;"أحد الشركاء"),"",COUNTIFS($A$4:A148,"&lt;&gt;",$F$4:F148,"أحد الشركاء"))</f>
        <v/>
      </c>
    </row>
    <row r="149" ht="18.75" customHeight="1" s="165">
      <c r="A149" s="25" t="n"/>
      <c r="B149" s="26" t="n"/>
      <c r="C149" s="27" t="n"/>
      <c r="D149" s="28" t="n"/>
      <c r="E149" s="29" t="n"/>
      <c r="F149" s="30" t="n"/>
      <c r="G149" s="31" t="n"/>
      <c r="H149" s="32" t="n"/>
      <c r="I149" s="33" t="n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 t="n"/>
      <c r="L149">
        <f>IF(E148&gt;0,COUNTIF($E$4:E148,"&gt;0"),"")</f>
        <v/>
      </c>
      <c r="M149">
        <f>IF(AND(D148&gt;0,G148="المحفظة"),COUNTIFS($D$4:D148,"&gt;"&amp;0,$G$4:G148,"المحفظة"),"")</f>
        <v/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/>
      </c>
      <c r="Q149">
        <f>IF(OR($A149="",$F149&lt;&gt;"أحد الشركاء"),"",COUNTIFS($A$4:A149,"&lt;&gt;",$F$4:F149,"أحد الشركاء"))</f>
        <v/>
      </c>
    </row>
    <row r="150" ht="18.75" customHeight="1" s="165">
      <c r="A150" s="167" t="n"/>
      <c r="B150" s="36" t="n"/>
      <c r="C150" s="37" t="n"/>
      <c r="D150" s="38" t="n"/>
      <c r="E150" s="39" t="n"/>
      <c r="F150" s="160" t="n"/>
      <c r="G150" s="40" t="n"/>
      <c r="H150" s="41" t="n"/>
      <c r="I150" s="42" t="n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 t="n"/>
      <c r="L150">
        <f>IF(E149&gt;0,COUNTIF($E$4:E149,"&gt;0"),"")</f>
        <v/>
      </c>
      <c r="M150">
        <f>IF(AND(D149&gt;0,G149="المحفظة"),COUNTIFS($D$4:D149,"&gt;"&amp;0,$G$4:G149,"المحفظة"),"")</f>
        <v/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/>
      </c>
      <c r="Q150">
        <f>IF(OR($A150="",$F150&lt;&gt;"أحد الشركاء"),"",COUNTIFS($A$4:A150,"&lt;&gt;",$F$4:F150,"أحد الشركاء"))</f>
        <v/>
      </c>
    </row>
    <row r="151" ht="18.75" customHeight="1" s="165">
      <c r="A151" s="25" t="n"/>
      <c r="B151" s="26" t="n"/>
      <c r="C151" s="27" t="n"/>
      <c r="D151" s="28" t="n"/>
      <c r="E151" s="29" t="n"/>
      <c r="F151" s="30" t="n"/>
      <c r="G151" s="31" t="n"/>
      <c r="H151" s="32" t="n"/>
      <c r="I151" s="33" t="n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 t="n"/>
      <c r="L151">
        <f>IF(E150&gt;0,COUNTIF($E$4:E150,"&gt;0"),"")</f>
        <v/>
      </c>
      <c r="M151">
        <f>IF(AND(D150&gt;0,G150="المحفظة"),COUNTIFS($D$4:D150,"&gt;"&amp;0,$G$4:G150,"المحفظة"),"")</f>
        <v/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/>
      </c>
      <c r="Q151">
        <f>IF(OR($A151="",$F151&lt;&gt;"أحد الشركاء"),"",COUNTIFS($A$4:A151,"&lt;&gt;",$F$4:F151,"أحد الشركاء"))</f>
        <v/>
      </c>
    </row>
    <row r="152" ht="18.75" customHeight="1" s="165">
      <c r="A152" s="167" t="n"/>
      <c r="B152" s="36" t="n"/>
      <c r="C152" s="37" t="n"/>
      <c r="D152" s="38" t="n"/>
      <c r="E152" s="39" t="n"/>
      <c r="F152" s="160" t="n"/>
      <c r="G152" s="40" t="n"/>
      <c r="H152" s="41" t="n"/>
      <c r="I152" s="42" t="n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 t="n"/>
      <c r="L152">
        <f>IF(E151&gt;0,COUNTIF($E$4:E151,"&gt;0"),"")</f>
        <v/>
      </c>
      <c r="M152">
        <f>IF(AND(D151&gt;0,G151="المحفظة"),COUNTIFS($D$4:D151,"&gt;"&amp;0,$G$4:G151,"المحفظة"),"")</f>
        <v/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/>
      </c>
      <c r="Q152">
        <f>IF(OR($A152="",$F152&lt;&gt;"أحد الشركاء"),"",COUNTIFS($A$4:A152,"&lt;&gt;",$F$4:F152,"أحد الشركاء"))</f>
        <v/>
      </c>
    </row>
    <row r="153" ht="18.75" customHeight="1" s="165">
      <c r="A153" s="25" t="n"/>
      <c r="B153" s="26" t="n"/>
      <c r="C153" s="27" t="n"/>
      <c r="D153" s="28" t="n"/>
      <c r="E153" s="29" t="n"/>
      <c r="F153" s="30" t="n"/>
      <c r="G153" s="31" t="n"/>
      <c r="H153" s="32" t="n"/>
      <c r="I153" s="33" t="n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 t="n"/>
      <c r="L153">
        <f>IF(E152&gt;0,COUNTIF($E$4:E152,"&gt;0"),"")</f>
        <v/>
      </c>
      <c r="M153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/>
      </c>
      <c r="Q153">
        <f>IF(OR($A153="",$F153&lt;&gt;"أحد الشركاء"),"",COUNTIFS($A$4:A153,"&lt;&gt;",$F$4:F153,"أحد الشركاء"))</f>
        <v/>
      </c>
    </row>
    <row r="154" ht="18.75" customHeight="1" s="165">
      <c r="A154" s="167" t="n"/>
      <c r="B154" s="36" t="n"/>
      <c r="C154" s="37" t="n"/>
      <c r="D154" s="38" t="n"/>
      <c r="E154" s="39" t="n"/>
      <c r="F154" s="160" t="n"/>
      <c r="G154" s="40" t="n"/>
      <c r="H154" s="41" t="n"/>
      <c r="I154" s="42" t="n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 t="n"/>
      <c r="L154">
        <f>IF(E153&gt;0,COUNTIF($E$4:E153,"&gt;0"),"")</f>
        <v/>
      </c>
      <c r="M154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/>
      </c>
      <c r="Q154">
        <f>IF(OR($A154="",$F154&lt;&gt;"أحد الشركاء"),"",COUNTIFS($A$4:A154,"&lt;&gt;",$F$4:F154,"أحد الشركاء"))</f>
        <v/>
      </c>
    </row>
    <row r="155" ht="18.75" customHeight="1" s="165">
      <c r="A155" s="25" t="n"/>
      <c r="B155" s="26" t="n"/>
      <c r="C155" s="27" t="n"/>
      <c r="D155" s="28" t="n"/>
      <c r="E155" s="29" t="n"/>
      <c r="F155" s="30" t="n"/>
      <c r="G155" s="31" t="n"/>
      <c r="H155" s="32" t="n"/>
      <c r="I155" s="33" t="n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 t="n"/>
      <c r="L155">
        <f>IF(E154&gt;0,COUNTIF($E$4:E154,"&gt;0"),"")</f>
        <v/>
      </c>
      <c r="M155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/>
      </c>
      <c r="Q155">
        <f>IF(OR($A155="",$F155&lt;&gt;"أحد الشركاء"),"",COUNTIFS($A$4:A155,"&lt;&gt;",$F$4:F155,"أحد الشركاء"))</f>
        <v/>
      </c>
    </row>
    <row r="156" ht="18.75" customHeight="1" s="165">
      <c r="A156" s="167" t="n"/>
      <c r="B156" s="36" t="n"/>
      <c r="C156" s="37" t="n"/>
      <c r="D156" s="38" t="n"/>
      <c r="E156" s="39" t="n"/>
      <c r="F156" s="160" t="n"/>
      <c r="G156" s="40" t="n"/>
      <c r="H156" s="41" t="n"/>
      <c r="I156" s="42" t="n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 t="n"/>
      <c r="L156">
        <f>IF(E155&gt;0,COUNTIF($E$4:E155,"&gt;0"),"")</f>
        <v/>
      </c>
      <c r="M156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/>
      </c>
      <c r="Q156">
        <f>IF(OR($A156="",$F156&lt;&gt;"أحد الشركاء"),"",COUNTIFS($A$4:A156,"&lt;&gt;",$F$4:F156,"أحد الشركاء"))</f>
        <v/>
      </c>
    </row>
    <row r="157" ht="18.75" customHeight="1" s="165">
      <c r="A157" s="25" t="n"/>
      <c r="B157" s="26" t="n"/>
      <c r="C157" s="27" t="n"/>
      <c r="D157" s="28" t="n"/>
      <c r="E157" s="29" t="n"/>
      <c r="F157" s="30" t="n"/>
      <c r="G157" s="31" t="n"/>
      <c r="H157" s="32" t="n"/>
      <c r="I157" s="33" t="n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 t="n"/>
      <c r="L157">
        <f>IF(E156&gt;0,COUNTIF($E$4:E156,"&gt;0"),"")</f>
        <v/>
      </c>
      <c r="M157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/>
      </c>
      <c r="Q157">
        <f>IF(OR($A157="",$F157&lt;&gt;"أحد الشركاء"),"",COUNTIFS($A$4:A157,"&lt;&gt;",$F$4:F157,"أحد الشركاء"))</f>
        <v/>
      </c>
    </row>
    <row r="158" ht="18.75" customHeight="1" s="165">
      <c r="A158" s="167" t="n"/>
      <c r="B158" s="36" t="n"/>
      <c r="C158" s="37" t="n"/>
      <c r="D158" s="38" t="n"/>
      <c r="E158" s="39" t="n"/>
      <c r="F158" s="160" t="n"/>
      <c r="G158" s="40" t="n"/>
      <c r="H158" s="41" t="n"/>
      <c r="I158" s="42" t="n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 t="n"/>
      <c r="L158">
        <f>IF(E157&gt;0,COUNTIF($E$4:E157,"&gt;0"),"")</f>
        <v/>
      </c>
      <c r="M158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>
        <f>IF(AND(D157&gt;0,F157="أحد الشركاء"),COUNTIFS($D$4:D157,"&gt;"&amp;0,$F$4:F157,"أحد الشركاء"),"")</f>
        <v/>
      </c>
      <c r="P158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/>
      </c>
    </row>
    <row r="159" ht="18.75" customHeight="1" s="165">
      <c r="A159" s="25" t="n"/>
      <c r="B159" s="26" t="n"/>
      <c r="C159" s="27" t="n"/>
      <c r="D159" s="28" t="n"/>
      <c r="E159" s="29" t="n"/>
      <c r="F159" s="30" t="n"/>
      <c r="G159" s="31" t="n"/>
      <c r="H159" s="32" t="n"/>
      <c r="I159" s="33" t="n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 t="n"/>
      <c r="L159">
        <f>IF(E158&gt;0,COUNTIF($E$4:E158,"&gt;0"),"")</f>
        <v/>
      </c>
      <c r="M159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>
        <f>IF(AND(D158&gt;0,F158="أحد الشركاء"),COUNTIFS($D$4:D158,"&gt;"&amp;0,$F$4:F158,"أحد الشركاء"),"")</f>
        <v/>
      </c>
      <c r="P159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/>
      </c>
    </row>
    <row r="160" ht="18.75" customHeight="1" s="165">
      <c r="A160" s="167" t="n"/>
      <c r="B160" s="36" t="n"/>
      <c r="C160" s="37" t="n"/>
      <c r="D160" s="38" t="n"/>
      <c r="E160" s="39" t="n"/>
      <c r="F160" s="160" t="n"/>
      <c r="G160" s="40" t="n"/>
      <c r="H160" s="41" t="n"/>
      <c r="I160" s="42" t="n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 t="n"/>
      <c r="L160">
        <f>IF(E159&gt;0,COUNTIF($E$4:E159,"&gt;0"),"")</f>
        <v/>
      </c>
      <c r="M160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>
        <f>IF(AND(D159&gt;0,F159="أحد الشركاء"),COUNTIFS($D$4:D159,"&gt;"&amp;0,$F$4:F159,"أحد الشركاء"),"")</f>
        <v/>
      </c>
      <c r="P160">
        <f>IF(OR($A160="",$F160="أحد الشركاء",AND($D160="",$E160="")),"",SUMPRODUCT(($A$4:$A160&lt;&gt;"")*($F$4:$F160&lt;&gt;"أحد الشركاء")*((($D$4:$D160&lt;&gt;"")+($E$4:$E160&lt;&gt;""))&gt;0)))</f>
        <v/>
      </c>
      <c r="Q160">
        <f>IF(OR($A160="",$F160&lt;&gt;"أحد الشركاء"),"",COUNTIFS($A$4:A160,"&lt;&gt;",$F$4:F160,"أحد الشركاء"))</f>
        <v/>
      </c>
    </row>
    <row r="161" ht="18.75" customHeight="1" s="165">
      <c r="A161" s="25" t="n"/>
      <c r="B161" s="26" t="n"/>
      <c r="C161" s="27" t="n"/>
      <c r="D161" s="28" t="n"/>
      <c r="E161" s="29" t="n"/>
      <c r="F161" s="30" t="n"/>
      <c r="G161" s="31" t="n"/>
      <c r="H161" s="32" t="n"/>
      <c r="I161" s="33" t="n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 t="n"/>
      <c r="L161">
        <f>IF(E160&gt;0,COUNTIF($E$4:E160,"&gt;0"),"")</f>
        <v/>
      </c>
      <c r="M161">
        <f>IF(AND(D160&gt;0,G160="المحفظة"),COUNTIFS($D$4:D160,"&gt;"&amp;0,$G$4:G160,"المحفظة"),"")</f>
        <v/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/>
      </c>
      <c r="Q161">
        <f>IF(OR($A161="",$F161&lt;&gt;"أحد الشركاء"),"",COUNTIFS($A$4:A161,"&lt;&gt;",$F$4:F161,"أحد الشركاء"))</f>
        <v/>
      </c>
    </row>
    <row r="162" ht="18.75" customHeight="1" s="165">
      <c r="A162" s="167" t="n"/>
      <c r="B162" s="36" t="n"/>
      <c r="C162" s="37" t="n"/>
      <c r="D162" s="38" t="n"/>
      <c r="E162" s="39" t="n"/>
      <c r="F162" s="160" t="n"/>
      <c r="G162" s="40" t="n"/>
      <c r="H162" s="41" t="n"/>
      <c r="I162" s="42" t="n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 t="n"/>
      <c r="L162">
        <f>IF(E161&gt;0,COUNTIF($E$4:E161,"&gt;0"),"")</f>
        <v/>
      </c>
      <c r="M162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/>
      </c>
      <c r="Q162">
        <f>IF(OR($A162="",$F162&lt;&gt;"أحد الشركاء"),"",COUNTIFS($A$4:A162,"&lt;&gt;",$F$4:F162,"أحد الشركاء"))</f>
        <v/>
      </c>
    </row>
    <row r="163" ht="18.75" customHeight="1" s="165">
      <c r="A163" s="25" t="n"/>
      <c r="B163" s="26" t="n"/>
      <c r="C163" s="27" t="n"/>
      <c r="D163" s="28" t="n"/>
      <c r="E163" s="29" t="n"/>
      <c r="F163" s="30" t="n"/>
      <c r="G163" s="31" t="n"/>
      <c r="H163" s="32" t="n"/>
      <c r="I163" s="33" t="n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 t="n"/>
      <c r="L163">
        <f>IF(E162&gt;0,COUNTIF($E$4:E162,"&gt;0"),"")</f>
        <v/>
      </c>
      <c r="M163">
        <f>IF(AND(D162&gt;0,G162="المحفظة"),COUNTIFS($D$4:D162,"&gt;"&amp;0,$G$4:G162,"المحفظة"),"")</f>
        <v/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/>
      </c>
      <c r="Q163">
        <f>IF(OR($A163="",$F163&lt;&gt;"أحد الشركاء"),"",COUNTIFS($A$4:A163,"&lt;&gt;",$F$4:F163,"أحد الشركاء"))</f>
        <v/>
      </c>
    </row>
    <row r="164" ht="18.75" customHeight="1" s="165">
      <c r="A164" s="167" t="n"/>
      <c r="B164" s="36" t="n"/>
      <c r="C164" s="37" t="n"/>
      <c r="D164" s="38" t="n"/>
      <c r="E164" s="39" t="n"/>
      <c r="F164" s="160" t="n"/>
      <c r="G164" s="40" t="n"/>
      <c r="H164" s="41" t="n"/>
      <c r="I164" s="42" t="n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 t="n"/>
      <c r="L164">
        <f>IF(E163&gt;0,COUNTIF($E$4:E163,"&gt;0"),"")</f>
        <v/>
      </c>
      <c r="M164">
        <f>IF(AND(D163&gt;0,G163="المحفظة"),COUNTIFS($D$4:D163,"&gt;"&amp;0,$G$4:G163,"المحفظة"),"")</f>
        <v/>
      </c>
      <c r="N164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/>
      </c>
      <c r="Q164">
        <f>IF(OR($A164="",$F164&lt;&gt;"أحد الشركاء"),"",COUNTIFS($A$4:A164,"&lt;&gt;",$F$4:F164,"أحد الشركاء"))</f>
        <v/>
      </c>
    </row>
    <row r="165" ht="18.75" customHeight="1" s="165">
      <c r="A165" s="25" t="n"/>
      <c r="B165" s="26" t="n"/>
      <c r="C165" s="27" t="n"/>
      <c r="D165" s="28" t="n"/>
      <c r="E165" s="29" t="n"/>
      <c r="F165" s="30" t="n"/>
      <c r="G165" s="31" t="n"/>
      <c r="H165" s="32" t="n"/>
      <c r="I165" s="33" t="n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 t="n"/>
      <c r="L165">
        <f>IF(E164&gt;0,COUNTIF($E$4:E164,"&gt;0"),"")</f>
        <v/>
      </c>
      <c r="M165">
        <f>IF(AND(D164&gt;0,G164="المحفظة"),COUNTIFS($D$4:D164,"&gt;"&amp;0,$G$4:G164,"المحفظة"),"")</f>
        <v/>
      </c>
      <c r="N165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/>
      </c>
      <c r="Q165">
        <f>IF(OR($A165="",$F165&lt;&gt;"أحد الشركاء"),"",COUNTIFS($A$4:A165,"&lt;&gt;",$F$4:F165,"أحد الشركاء"))</f>
        <v/>
      </c>
    </row>
    <row r="166" ht="18.75" customHeight="1" s="165">
      <c r="A166" s="167" t="n"/>
      <c r="B166" s="36" t="n"/>
      <c r="C166" s="37" t="n"/>
      <c r="D166" s="38" t="n"/>
      <c r="E166" s="39" t="n"/>
      <c r="F166" s="160" t="n"/>
      <c r="G166" s="40" t="n"/>
      <c r="H166" s="41" t="n"/>
      <c r="I166" s="42" t="n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 t="n"/>
      <c r="L166">
        <f>IF(E165&gt;0,COUNTIF($E$4:E165,"&gt;0"),"")</f>
        <v/>
      </c>
      <c r="M166">
        <f>IF(AND(D165&gt;0,G165="المحفظة"),COUNTIFS($D$4:D165,"&gt;"&amp;0,$G$4:G165,"المحفظة"),"")</f>
        <v/>
      </c>
      <c r="N166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/>
      </c>
      <c r="Q166">
        <f>IF(OR($A166="",$F166&lt;&gt;"أحد الشركاء"),"",COUNTIFS($A$4:A166,"&lt;&gt;",$F$4:F166,"أحد الشركاء"))</f>
        <v/>
      </c>
    </row>
    <row r="167" ht="18.75" customHeight="1" s="165">
      <c r="A167" s="25" t="n"/>
      <c r="B167" s="26" t="n"/>
      <c r="C167" s="27" t="n"/>
      <c r="D167" s="28" t="n"/>
      <c r="E167" s="29" t="n"/>
      <c r="F167" s="30" t="n"/>
      <c r="G167" s="31" t="n"/>
      <c r="H167" s="32" t="n"/>
      <c r="I167" s="33" t="n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 t="n"/>
      <c r="L167">
        <f>IF(E166&gt;0,COUNTIF($E$4:E166,"&gt;0"),"")</f>
        <v/>
      </c>
      <c r="M167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/>
      </c>
      <c r="Q167">
        <f>IF(OR($A167="",$F167&lt;&gt;"أحد الشركاء"),"",COUNTIFS($A$4:A167,"&lt;&gt;",$F$4:F167,"أحد الشركاء"))</f>
        <v/>
      </c>
    </row>
    <row r="168" ht="18.75" customHeight="1" s="165">
      <c r="A168" s="167" t="n"/>
      <c r="B168" s="36" t="n"/>
      <c r="C168" s="37" t="n"/>
      <c r="D168" s="38" t="n"/>
      <c r="E168" s="39" t="n"/>
      <c r="F168" s="160" t="n"/>
      <c r="G168" s="40" t="n"/>
      <c r="H168" s="41" t="n"/>
      <c r="I168" s="42" t="n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 t="n"/>
      <c r="L168">
        <f>IF(E167&gt;0,COUNTIF($E$4:E167,"&gt;0"),"")</f>
        <v/>
      </c>
      <c r="M168">
        <f>IF(AND(D167&gt;0,G167="المحفظة"),COUNTIFS($D$4:D167,"&gt;"&amp;0,$G$4:G167,"المحفظة"),"")</f>
        <v/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/>
      </c>
      <c r="Q168">
        <f>IF(OR($A168="",$F168&lt;&gt;"أحد الشركاء"),"",COUNTIFS($A$4:A168,"&lt;&gt;",$F$4:F168,"أحد الشركاء"))</f>
        <v/>
      </c>
    </row>
    <row r="169" ht="18.75" customHeight="1" s="165">
      <c r="A169" s="25" t="n"/>
      <c r="B169" s="26" t="n"/>
      <c r="C169" s="27" t="n"/>
      <c r="D169" s="28" t="n"/>
      <c r="E169" s="29" t="n"/>
      <c r="F169" s="30" t="n"/>
      <c r="G169" s="31" t="n"/>
      <c r="H169" s="32" t="n"/>
      <c r="I169" s="33" t="n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 t="n"/>
      <c r="L169">
        <f>IF(E168&gt;0,COUNTIF($E$4:E168,"&gt;0"),"")</f>
        <v/>
      </c>
      <c r="M169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/>
      </c>
      <c r="Q169">
        <f>IF(OR($A169="",$F169&lt;&gt;"أحد الشركاء"),"",COUNTIFS($A$4:A169,"&lt;&gt;",$F$4:F169,"أحد الشركاء"))</f>
        <v/>
      </c>
    </row>
    <row r="170" ht="18.75" customHeight="1" s="165">
      <c r="A170" s="167" t="n"/>
      <c r="B170" s="36" t="n"/>
      <c r="C170" s="37" t="n"/>
      <c r="D170" s="38" t="n"/>
      <c r="E170" s="39" t="n"/>
      <c r="F170" s="160" t="n"/>
      <c r="G170" s="40" t="n"/>
      <c r="H170" s="41" t="n"/>
      <c r="I170" s="42" t="n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 t="n"/>
      <c r="L170">
        <f>IF(E169&gt;0,COUNTIF($E$4:E169,"&gt;0"),"")</f>
        <v/>
      </c>
      <c r="M170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/>
      </c>
      <c r="Q170">
        <f>IF(OR($A170="",$F170&lt;&gt;"أحد الشركاء"),"",COUNTIFS($A$4:A170,"&lt;&gt;",$F$4:F170,"أحد الشركاء"))</f>
        <v/>
      </c>
    </row>
    <row r="171" ht="18.75" customHeight="1" s="165">
      <c r="A171" s="25" t="n"/>
      <c r="B171" s="26" t="n"/>
      <c r="C171" s="27" t="n"/>
      <c r="D171" s="28" t="n"/>
      <c r="E171" s="29" t="n"/>
      <c r="F171" s="30" t="n"/>
      <c r="G171" s="31" t="n"/>
      <c r="H171" s="32" t="n"/>
      <c r="I171" s="33" t="n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 t="n"/>
      <c r="L171">
        <f>IF(E170&gt;0,COUNTIF($E$4:E170,"&gt;0"),"")</f>
        <v/>
      </c>
      <c r="M171">
        <f>IF(AND(D170&gt;0,G170="المحفظة"),COUNTIFS($D$4:D170,"&gt;"&amp;0,$G$4:G170,"المحفظة"),"")</f>
        <v/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/>
      </c>
      <c r="Q171">
        <f>IF(OR($A171="",$F171&lt;&gt;"أحد الشركاء"),"",COUNTIFS($A$4:A171,"&lt;&gt;",$F$4:F171,"أحد الشركاء"))</f>
        <v/>
      </c>
    </row>
    <row r="172" ht="18.75" customHeight="1" s="165">
      <c r="A172" s="167" t="n"/>
      <c r="B172" s="36" t="n"/>
      <c r="C172" s="37" t="n"/>
      <c r="D172" s="38" t="n"/>
      <c r="E172" s="39" t="n"/>
      <c r="F172" s="160" t="n"/>
      <c r="G172" s="40" t="n"/>
      <c r="H172" s="41" t="n"/>
      <c r="I172" s="42" t="n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 t="n"/>
      <c r="L172">
        <f>IF(E171&gt;0,COUNTIF($E$4:E171,"&gt;0"),"")</f>
        <v/>
      </c>
      <c r="M172">
        <f>IF(AND(D171&gt;0,G171="المحفظة"),COUNTIFS($D$4:D171,"&gt;"&amp;0,$G$4:G171,"المحفظة"),"")</f>
        <v/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/>
      </c>
      <c r="Q172">
        <f>IF(OR($A172="",$F172&lt;&gt;"أحد الشركاء"),"",COUNTIFS($A$4:A172,"&lt;&gt;",$F$4:F172,"أحد الشركاء"))</f>
        <v/>
      </c>
    </row>
    <row r="173" ht="18.75" customHeight="1" s="165">
      <c r="A173" s="25" t="n"/>
      <c r="B173" s="26" t="n"/>
      <c r="C173" s="27" t="n"/>
      <c r="D173" s="28" t="n"/>
      <c r="E173" s="29" t="n"/>
      <c r="F173" s="30" t="n"/>
      <c r="G173" s="31" t="n"/>
      <c r="H173" s="32" t="n"/>
      <c r="I173" s="33" t="n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 t="n"/>
      <c r="L173">
        <f>IF(E172&gt;0,COUNTIF($E$4:E172,"&gt;0"),"")</f>
        <v/>
      </c>
      <c r="M173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/>
      </c>
      <c r="Q173">
        <f>IF(OR($A173="",$F173&lt;&gt;"أحد الشركاء"),"",COUNTIFS($A$4:A173,"&lt;&gt;",$F$4:F173,"أحد الشركاء"))</f>
        <v/>
      </c>
    </row>
    <row r="174" ht="18.75" customHeight="1" s="165">
      <c r="A174" s="167" t="n"/>
      <c r="B174" s="36" t="n"/>
      <c r="C174" s="37" t="n"/>
      <c r="D174" s="38" t="n"/>
      <c r="E174" s="39" t="n"/>
      <c r="F174" s="160" t="n"/>
      <c r="G174" s="40" t="n"/>
      <c r="H174" s="41" t="n"/>
      <c r="I174" s="42" t="n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 t="n"/>
      <c r="L174">
        <f>IF(E173&gt;0,COUNTIF($E$4:E173,"&gt;0"),"")</f>
        <v/>
      </c>
      <c r="M174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/>
      </c>
      <c r="Q174">
        <f>IF(OR($A174="",$F174&lt;&gt;"أحد الشركاء"),"",COUNTIFS($A$4:A174,"&lt;&gt;",$F$4:F174,"أحد الشركاء"))</f>
        <v/>
      </c>
    </row>
    <row r="175" ht="18.75" customHeight="1" s="165">
      <c r="A175" s="25" t="n"/>
      <c r="B175" s="26" t="n"/>
      <c r="C175" s="27" t="n"/>
      <c r="D175" s="28" t="n"/>
      <c r="E175" s="29" t="n"/>
      <c r="F175" s="30" t="n"/>
      <c r="G175" s="31" t="n"/>
      <c r="H175" s="32" t="n"/>
      <c r="I175" s="33" t="n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 t="n"/>
      <c r="L175">
        <f>IF(E174&gt;0,COUNTIF($E$4:E174,"&gt;0"),"")</f>
        <v/>
      </c>
      <c r="M175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/>
      </c>
      <c r="Q175">
        <f>IF(OR($A175="",$F175&lt;&gt;"أحد الشركاء"),"",COUNTIFS($A$4:A175,"&lt;&gt;",$F$4:F175,"أحد الشركاء"))</f>
        <v/>
      </c>
    </row>
    <row r="176" ht="18.75" customHeight="1" s="165">
      <c r="A176" s="167" t="n"/>
      <c r="B176" s="36" t="n"/>
      <c r="C176" s="37" t="n"/>
      <c r="D176" s="38" t="n"/>
      <c r="E176" s="39" t="n"/>
      <c r="F176" s="160" t="n"/>
      <c r="G176" s="40" t="n"/>
      <c r="H176" s="41" t="n"/>
      <c r="I176" s="42" t="n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 t="n"/>
      <c r="L176">
        <f>IF(E175&gt;0,COUNTIF($E$4:E175,"&gt;0"),"")</f>
        <v/>
      </c>
      <c r="M176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/>
      </c>
      <c r="Q176">
        <f>IF(OR($A176="",$F176&lt;&gt;"أحد الشركاء"),"",COUNTIFS($A$4:A176,"&lt;&gt;",$F$4:F176,"أحد الشركاء"))</f>
        <v/>
      </c>
    </row>
    <row r="177" ht="18.75" customHeight="1" s="165">
      <c r="A177" s="25" t="n"/>
      <c r="B177" s="26" t="n"/>
      <c r="C177" s="27" t="n"/>
      <c r="D177" s="28" t="n"/>
      <c r="E177" s="29" t="n"/>
      <c r="F177" s="30" t="n"/>
      <c r="G177" s="31" t="n"/>
      <c r="H177" s="32" t="n"/>
      <c r="I177" s="33" t="n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 t="n"/>
      <c r="L177">
        <f>IF(E176&gt;0,COUNTIF($E$4:E176,"&gt;0"),"")</f>
        <v/>
      </c>
      <c r="M177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/>
      </c>
      <c r="Q177">
        <f>IF(OR($A177="",$F177&lt;&gt;"أحد الشركاء"),"",COUNTIFS($A$4:A177,"&lt;&gt;",$F$4:F177,"أحد الشركاء"))</f>
        <v/>
      </c>
    </row>
    <row r="178" ht="18.75" customHeight="1" s="165">
      <c r="A178" s="167" t="n"/>
      <c r="B178" s="36" t="n"/>
      <c r="C178" s="37" t="n"/>
      <c r="D178" s="38" t="n"/>
      <c r="E178" s="39" t="n"/>
      <c r="F178" s="160" t="n"/>
      <c r="G178" s="40" t="n"/>
      <c r="H178" s="41" t="n"/>
      <c r="I178" s="42" t="n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 t="n"/>
      <c r="L178">
        <f>IF(E177&gt;0,COUNTIF($E$4:E177,"&gt;0"),"")</f>
        <v/>
      </c>
      <c r="M178">
        <f>IF(AND(D177&gt;0,G177="المحفظة"),COUNTIFS($D$4:D177,"&gt;"&amp;0,$G$4:G177,"المحفظة"),"")</f>
        <v/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/>
      </c>
      <c r="Q178">
        <f>IF(OR($A178="",$F178&lt;&gt;"أحد الشركاء"),"",COUNTIFS($A$4:A178,"&lt;&gt;",$F$4:F178,"أحد الشركاء"))</f>
        <v/>
      </c>
    </row>
    <row r="179" ht="18.75" customHeight="1" s="165">
      <c r="A179" s="25" t="n"/>
      <c r="B179" s="26" t="n"/>
      <c r="C179" s="27" t="n"/>
      <c r="D179" s="28" t="n"/>
      <c r="E179" s="29" t="n"/>
      <c r="F179" s="30" t="n"/>
      <c r="G179" s="31" t="n"/>
      <c r="H179" s="32" t="n"/>
      <c r="I179" s="33" t="n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 t="n"/>
      <c r="L179">
        <f>IF(E178&gt;0,COUNTIF($E$4:E178,"&gt;0"),"")</f>
        <v/>
      </c>
      <c r="M179">
        <f>IF(AND(D178&gt;0,G178="المحفظة"),COUNTIFS($D$4:D178,"&gt;"&amp;0,$G$4:G178,"المحفظة"),"")</f>
        <v/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/>
      </c>
      <c r="Q179">
        <f>IF(OR($A179="",$F179&lt;&gt;"أحد الشركاء"),"",COUNTIFS($A$4:A179,"&lt;&gt;",$F$4:F179,"أحد الشركاء"))</f>
        <v/>
      </c>
    </row>
    <row r="180" ht="18.75" customHeight="1" s="165">
      <c r="A180" s="167" t="n"/>
      <c r="B180" s="36" t="n"/>
      <c r="C180" s="37" t="n"/>
      <c r="D180" s="38" t="n"/>
      <c r="E180" s="39" t="n"/>
      <c r="F180" s="160" t="n"/>
      <c r="G180" s="40" t="n"/>
      <c r="H180" s="41" t="n"/>
      <c r="I180" s="42" t="n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 t="n"/>
      <c r="L180">
        <f>IF(E179&gt;0,COUNTIF($E$4:E179,"&gt;0"),"")</f>
        <v/>
      </c>
      <c r="M180">
        <f>IF(AND(D179&gt;0,G179="المحفظة"),COUNTIFS($D$4:D179,"&gt;"&amp;0,$G$4:G179,"المحفظة"),"")</f>
        <v/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/>
      </c>
      <c r="Q180">
        <f>IF(OR($A180="",$F180&lt;&gt;"أحد الشركاء"),"",COUNTIFS($A$4:A180,"&lt;&gt;",$F$4:F180,"أحد الشركاء"))</f>
        <v/>
      </c>
    </row>
    <row r="181" ht="18.75" customHeight="1" s="165">
      <c r="A181" s="25" t="n"/>
      <c r="B181" s="26" t="n"/>
      <c r="C181" s="27" t="n"/>
      <c r="D181" s="28" t="n"/>
      <c r="E181" s="29" t="n"/>
      <c r="F181" s="30" t="n"/>
      <c r="G181" s="31" t="n"/>
      <c r="H181" s="32" t="n"/>
      <c r="I181" s="33" t="n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 t="n"/>
      <c r="L181">
        <f>IF(E180&gt;0,COUNTIF($E$4:E180,"&gt;0"),"")</f>
        <v/>
      </c>
      <c r="M181">
        <f>IF(AND(D180&gt;0,G180="المحفظة"),COUNTIFS($D$4:D180,"&gt;"&amp;0,$G$4:G180,"المحفظة"),"")</f>
        <v/>
      </c>
      <c r="N181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/>
      </c>
      <c r="Q181">
        <f>IF(OR($A181="",$F181&lt;&gt;"أحد الشركاء"),"",COUNTIFS($A$4:A181,"&lt;&gt;",$F$4:F181,"أحد الشركاء"))</f>
        <v/>
      </c>
    </row>
    <row r="182" ht="18.75" customHeight="1" s="165">
      <c r="A182" s="167" t="n"/>
      <c r="B182" s="36" t="n"/>
      <c r="C182" s="37" t="n"/>
      <c r="D182" s="38" t="n"/>
      <c r="E182" s="39" t="n"/>
      <c r="F182" s="160" t="n"/>
      <c r="G182" s="40" t="n"/>
      <c r="H182" s="41" t="n"/>
      <c r="I182" s="42" t="n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 t="n"/>
      <c r="L182">
        <f>IF(E181&gt;0,COUNTIF($E$4:E181,"&gt;0"),"")</f>
        <v/>
      </c>
      <c r="M182">
        <f>IF(AND(D181&gt;0,G181="المحفظة"),COUNTIFS($D$4:D181,"&gt;"&amp;0,$G$4:G181,"المحفظة"),"")</f>
        <v/>
      </c>
      <c r="N182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/>
      </c>
      <c r="Q182">
        <f>IF(OR($A182="",$F182&lt;&gt;"أحد الشركاء"),"",COUNTIFS($A$4:A182,"&lt;&gt;",$F$4:F182,"أحد الشركاء"))</f>
        <v/>
      </c>
    </row>
    <row r="183" ht="18.75" customHeight="1" s="165">
      <c r="A183" s="25" t="n"/>
      <c r="B183" s="26" t="n"/>
      <c r="C183" s="27" t="n"/>
      <c r="D183" s="28" t="n"/>
      <c r="E183" s="29" t="n"/>
      <c r="F183" s="30" t="n"/>
      <c r="G183" s="31" t="n"/>
      <c r="H183" s="32" t="n"/>
      <c r="I183" s="33" t="n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 t="n"/>
      <c r="L183">
        <f>IF(E182&gt;0,COUNTIF($E$4:E182,"&gt;0"),"")</f>
        <v/>
      </c>
      <c r="M183">
        <f>IF(AND(D182&gt;0,G182="المحفظة"),COUNTIFS($D$4:D182,"&gt;"&amp;0,$G$4:G182,"المحفظة"),"")</f>
        <v/>
      </c>
      <c r="N183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/>
      </c>
      <c r="Q183">
        <f>IF(OR($A183="",$F183&lt;&gt;"أحد الشركاء"),"",COUNTIFS($A$4:A183,"&lt;&gt;",$F$4:F183,"أحد الشركاء"))</f>
        <v/>
      </c>
    </row>
    <row r="184" ht="18.75" customHeight="1" s="165">
      <c r="A184" s="167" t="n"/>
      <c r="B184" s="36" t="n"/>
      <c r="C184" s="37" t="n"/>
      <c r="D184" s="38" t="n"/>
      <c r="E184" s="39" t="n"/>
      <c r="F184" s="160" t="n"/>
      <c r="G184" s="40" t="n"/>
      <c r="H184" s="41" t="n"/>
      <c r="I184" s="42" t="n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 t="n"/>
      <c r="L184">
        <f>IF(E183&gt;0,COUNTIF($E$4:E183,"&gt;0"),"")</f>
        <v/>
      </c>
      <c r="M184">
        <f>IF(AND(D183&gt;0,G183="المحفظة"),COUNTIFS($D$4:D183,"&gt;"&amp;0,$G$4:G183,"المحفظة"),"")</f>
        <v/>
      </c>
      <c r="N184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/>
      </c>
      <c r="Q184">
        <f>IF(OR($A184="",$F184&lt;&gt;"أحد الشركاء"),"",COUNTIFS($A$4:A184,"&lt;&gt;",$F$4:F184,"أحد الشركاء"))</f>
        <v/>
      </c>
    </row>
    <row r="185" ht="18.75" customHeight="1" s="165">
      <c r="A185" s="25" t="n"/>
      <c r="B185" s="26" t="n"/>
      <c r="C185" s="27" t="n"/>
      <c r="D185" s="28" t="n"/>
      <c r="E185" s="29" t="n"/>
      <c r="F185" s="30" t="n"/>
      <c r="G185" s="31" t="n"/>
      <c r="H185" s="32" t="n"/>
      <c r="I185" s="33" t="n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 t="n"/>
      <c r="L185">
        <f>IF(E184&gt;0,COUNTIF($E$4:E184,"&gt;0"),"")</f>
        <v/>
      </c>
      <c r="M185">
        <f>IF(AND(D184&gt;0,G184="المحفظة"),COUNTIFS($D$4:D184,"&gt;"&amp;0,$G$4:G184,"المحفظة"),"")</f>
        <v/>
      </c>
      <c r="N185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/>
      </c>
      <c r="Q185">
        <f>IF(OR($A185="",$F185&lt;&gt;"أحد الشركاء"),"",COUNTIFS($A$4:A185,"&lt;&gt;",$F$4:F185,"أحد الشركاء"))</f>
        <v/>
      </c>
    </row>
    <row r="186" ht="18.75" customHeight="1" s="165">
      <c r="A186" s="167" t="n"/>
      <c r="B186" s="36" t="n"/>
      <c r="C186" s="37" t="n"/>
      <c r="D186" s="38" t="n"/>
      <c r="E186" s="39" t="n"/>
      <c r="F186" s="160" t="n"/>
      <c r="G186" s="40" t="n"/>
      <c r="H186" s="41" t="n"/>
      <c r="I186" s="42" t="n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 t="n"/>
      <c r="L186">
        <f>IF(E185&gt;0,COUNTIF($E$4:E185,"&gt;0"),"")</f>
        <v/>
      </c>
      <c r="M186">
        <f>IF(AND(D185&gt;0,G185="المحفظة"),COUNTIFS($D$4:D185,"&gt;"&amp;0,$G$4:G185,"المحفظة"),"")</f>
        <v/>
      </c>
      <c r="N186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/>
      </c>
      <c r="Q186">
        <f>IF(OR($A186="",$F186&lt;&gt;"أحد الشركاء"),"",COUNTIFS($A$4:A186,"&lt;&gt;",$F$4:F186,"أحد الشركاء"))</f>
        <v/>
      </c>
    </row>
    <row r="187" ht="18.75" customHeight="1" s="165">
      <c r="A187" s="25" t="n"/>
      <c r="B187" s="26" t="n"/>
      <c r="C187" s="27" t="n"/>
      <c r="D187" s="28" t="n"/>
      <c r="E187" s="29" t="n"/>
      <c r="F187" s="30" t="n"/>
      <c r="G187" s="31" t="n"/>
      <c r="H187" s="32" t="n"/>
      <c r="I187" s="33" t="n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 t="n"/>
      <c r="L187">
        <f>IF(E186&gt;0,COUNTIF($E$4:E186,"&gt;0"),"")</f>
        <v/>
      </c>
      <c r="M187">
        <f>IF(AND(D186&gt;0,G186="المحفظة"),COUNTIFS($D$4:D186,"&gt;"&amp;0,$G$4:G186,"المحفظة"),"")</f>
        <v/>
      </c>
      <c r="N187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/>
      </c>
      <c r="Q187">
        <f>IF(OR($A187="",$F187&lt;&gt;"أحد الشركاء"),"",COUNTIFS($A$4:A187,"&lt;&gt;",$F$4:F187,"أحد الشركاء"))</f>
        <v/>
      </c>
    </row>
    <row r="188" ht="18.75" customHeight="1" s="165">
      <c r="A188" s="167" t="n"/>
      <c r="B188" s="36" t="n"/>
      <c r="C188" s="37" t="n"/>
      <c r="D188" s="38" t="n"/>
      <c r="E188" s="39" t="n"/>
      <c r="F188" s="160" t="n"/>
      <c r="G188" s="40" t="n"/>
      <c r="H188" s="41" t="n"/>
      <c r="I188" s="42" t="n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 t="n"/>
      <c r="L188">
        <f>IF(E187&gt;0,COUNTIF($E$4:E187,"&gt;0"),"")</f>
        <v/>
      </c>
      <c r="M188">
        <f>IF(AND(D187&gt;0,G187="المحفظة"),COUNTIFS($D$4:D187,"&gt;"&amp;0,$G$4:G187,"المحفظة"),"")</f>
        <v/>
      </c>
      <c r="N188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/>
      </c>
      <c r="Q188">
        <f>IF(OR($A188="",$F188&lt;&gt;"أحد الشركاء"),"",COUNTIFS($A$4:A188,"&lt;&gt;",$F$4:F188,"أحد الشركاء"))</f>
        <v/>
      </c>
    </row>
    <row r="189" ht="18.75" customHeight="1" s="165">
      <c r="A189" s="25" t="n"/>
      <c r="B189" s="26" t="n"/>
      <c r="C189" s="27" t="n"/>
      <c r="D189" s="28" t="n"/>
      <c r="E189" s="29" t="n"/>
      <c r="F189" s="30" t="n"/>
      <c r="G189" s="31" t="n"/>
      <c r="H189" s="32" t="n"/>
      <c r="I189" s="33" t="n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 t="n"/>
      <c r="L189">
        <f>IF(E188&gt;0,COUNTIF($E$4:E188,"&gt;0"),"")</f>
        <v/>
      </c>
      <c r="M189">
        <f>IF(AND(D188&gt;0,G188="المحفظة"),COUNTIFS($D$4:D188,"&gt;"&amp;0,$G$4:G188,"المحفظة"),"")</f>
        <v/>
      </c>
      <c r="N189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/>
      </c>
      <c r="Q189">
        <f>IF(OR($A189="",$F189&lt;&gt;"أحد الشركاء"),"",COUNTIFS($A$4:A189,"&lt;&gt;",$F$4:F189,"أحد الشركاء"))</f>
        <v/>
      </c>
    </row>
    <row r="190" ht="18.75" customHeight="1" s="165">
      <c r="A190" s="167" t="n"/>
      <c r="B190" s="36" t="n"/>
      <c r="C190" s="37" t="n"/>
      <c r="D190" s="38" t="n"/>
      <c r="E190" s="39" t="n"/>
      <c r="F190" s="160" t="n"/>
      <c r="G190" s="40" t="n"/>
      <c r="H190" s="41" t="n"/>
      <c r="I190" s="42" t="n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 t="n"/>
      <c r="L190">
        <f>IF(E189&gt;0,COUNTIF($E$4:E189,"&gt;0"),"")</f>
        <v/>
      </c>
      <c r="M190">
        <f>IF(AND(D189&gt;0,G189="المحفظة"),COUNTIFS($D$4:D189,"&gt;"&amp;0,$G$4:G189,"المحفظة"),"")</f>
        <v/>
      </c>
      <c r="N190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/>
      </c>
      <c r="Q190">
        <f>IF(OR($A190="",$F190&lt;&gt;"أحد الشركاء"),"",COUNTIFS($A$4:A190,"&lt;&gt;",$F$4:F190,"أحد الشركاء"))</f>
        <v/>
      </c>
    </row>
    <row r="191" ht="18.75" customHeight="1" s="165">
      <c r="A191" s="25" t="n"/>
      <c r="B191" s="26" t="n"/>
      <c r="C191" s="27" t="n"/>
      <c r="D191" s="28" t="n"/>
      <c r="E191" s="29" t="n"/>
      <c r="F191" s="30" t="n"/>
      <c r="G191" s="31" t="n"/>
      <c r="H191" s="32" t="n"/>
      <c r="I191" s="33" t="n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 t="n"/>
      <c r="L191">
        <f>IF(E190&gt;0,COUNTIF($E$4:E190,"&gt;0"),"")</f>
        <v/>
      </c>
      <c r="M191">
        <f>IF(AND(D190&gt;0,G190="المحفظة"),COUNTIFS($D$4:D190,"&gt;"&amp;0,$G$4:G190,"المحفظة"),"")</f>
        <v/>
      </c>
      <c r="N191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/>
      </c>
      <c r="Q191">
        <f>IF(OR($A191="",$F191&lt;&gt;"أحد الشركاء"),"",COUNTIFS($A$4:A191,"&lt;&gt;",$F$4:F191,"أحد الشركاء"))</f>
        <v/>
      </c>
    </row>
    <row r="192" ht="18.75" customHeight="1" s="165">
      <c r="A192" s="167" t="n"/>
      <c r="B192" s="36" t="n"/>
      <c r="C192" s="37" t="n"/>
      <c r="D192" s="38" t="n"/>
      <c r="E192" s="39" t="n"/>
      <c r="F192" s="160" t="n"/>
      <c r="G192" s="40" t="n"/>
      <c r="H192" s="41" t="n"/>
      <c r="I192" s="42" t="n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 t="n"/>
      <c r="L192">
        <f>IF(E191&gt;0,COUNTIF($E$4:E191,"&gt;0"),"")</f>
        <v/>
      </c>
      <c r="M192">
        <f>IF(AND(D191&gt;0,G191="المحفظة"),COUNTIFS($D$4:D191,"&gt;"&amp;0,$G$4:G191,"المحفظة"),"")</f>
        <v/>
      </c>
      <c r="N192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/>
      </c>
      <c r="Q192">
        <f>IF(OR($A192="",$F192&lt;&gt;"أحد الشركاء"),"",COUNTIFS($A$4:A192,"&lt;&gt;",$F$4:F192,"أحد الشركاء"))</f>
        <v/>
      </c>
    </row>
    <row r="193" ht="18.75" customHeight="1" s="165">
      <c r="A193" s="25" t="n"/>
      <c r="B193" s="26" t="n"/>
      <c r="C193" s="27" t="n"/>
      <c r="D193" s="28" t="n"/>
      <c r="E193" s="29" t="n"/>
      <c r="F193" s="30" t="n"/>
      <c r="G193" s="31" t="n"/>
      <c r="H193" s="32" t="n"/>
      <c r="I193" s="33" t="n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 t="n"/>
      <c r="L193">
        <f>IF(E192&gt;0,COUNTIF($E$4:E192,"&gt;0"),"")</f>
        <v/>
      </c>
      <c r="M193">
        <f>IF(AND(D192&gt;0,G192="المحفظة"),COUNTIFS($D$4:D192,"&gt;"&amp;0,$G$4:G192,"المحفظة"),"")</f>
        <v/>
      </c>
      <c r="N193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/>
      </c>
      <c r="Q193">
        <f>IF(OR($A193="",$F193&lt;&gt;"أحد الشركاء"),"",COUNTIFS($A$4:A193,"&lt;&gt;",$F$4:F193,"أحد الشركاء"))</f>
        <v/>
      </c>
    </row>
    <row r="194" ht="18.75" customHeight="1" s="165">
      <c r="A194" s="167" t="n"/>
      <c r="B194" s="36" t="n"/>
      <c r="C194" s="37" t="n"/>
      <c r="D194" s="38" t="n"/>
      <c r="E194" s="39" t="n"/>
      <c r="F194" s="160" t="n"/>
      <c r="G194" s="40" t="n"/>
      <c r="H194" s="41" t="n"/>
      <c r="I194" s="42" t="n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 t="n"/>
      <c r="L194">
        <f>IF(E193&gt;0,COUNTIF($E$4:E193,"&gt;0"),"")</f>
        <v/>
      </c>
      <c r="M194">
        <f>IF(AND(D193&gt;0,G193="المحفظة"),COUNTIFS($D$4:D193,"&gt;"&amp;0,$G$4:G193,"المحفظة"),"")</f>
        <v/>
      </c>
      <c r="N194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/>
      </c>
      <c r="Q194">
        <f>IF(OR($A194="",$F194&lt;&gt;"أحد الشركاء"),"",COUNTIFS($A$4:A194,"&lt;&gt;",$F$4:F194,"أحد الشركاء"))</f>
        <v/>
      </c>
    </row>
    <row r="195" ht="18.75" customHeight="1" s="165">
      <c r="A195" s="25" t="n"/>
      <c r="B195" s="26" t="n"/>
      <c r="C195" s="27" t="n"/>
      <c r="D195" s="28" t="n"/>
      <c r="E195" s="29" t="n"/>
      <c r="F195" s="30" t="n"/>
      <c r="G195" s="31" t="n"/>
      <c r="H195" s="32" t="n"/>
      <c r="I195" s="33" t="n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 t="n"/>
      <c r="L195">
        <f>IF(E194&gt;0,COUNTIF($E$4:E194,"&gt;0"),"")</f>
        <v/>
      </c>
      <c r="M195">
        <f>IF(AND(D194&gt;0,G194="المحفظة"),COUNTIFS($D$4:D194,"&gt;"&amp;0,$G$4:G194,"المحفظة"),"")</f>
        <v/>
      </c>
      <c r="N195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/>
      </c>
      <c r="Q195">
        <f>IF(OR($A195="",$F195&lt;&gt;"أحد الشركاء"),"",COUNTIFS($A$4:A195,"&lt;&gt;",$F$4:F195,"أحد الشركاء"))</f>
        <v/>
      </c>
    </row>
    <row r="196" ht="18.75" customHeight="1" s="165">
      <c r="A196" s="167" t="n"/>
      <c r="B196" s="36" t="n"/>
      <c r="C196" s="37" t="n"/>
      <c r="D196" s="38" t="n"/>
      <c r="E196" s="39" t="n"/>
      <c r="F196" s="160" t="n"/>
      <c r="G196" s="40" t="n"/>
      <c r="H196" s="41" t="n"/>
      <c r="I196" s="42" t="n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 t="n"/>
      <c r="L196">
        <f>IF(E195&gt;0,COUNTIF($E$4:E195,"&gt;0"),"")</f>
        <v/>
      </c>
      <c r="M196">
        <f>IF(AND(D195&gt;0,G195="المحفظة"),COUNTIFS($D$4:D195,"&gt;"&amp;0,$G$4:G195,"المحفظة"),"")</f>
        <v/>
      </c>
      <c r="N196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/>
      </c>
      <c r="Q196">
        <f>IF(OR($A196="",$F196&lt;&gt;"أحد الشركاء"),"",COUNTIFS($A$4:A196,"&lt;&gt;",$F$4:F196,"أحد الشركاء"))</f>
        <v/>
      </c>
    </row>
    <row r="197" ht="18.75" customHeight="1" s="165">
      <c r="A197" s="25" t="n"/>
      <c r="B197" s="26" t="n"/>
      <c r="C197" s="27" t="n"/>
      <c r="D197" s="28" t="n"/>
      <c r="E197" s="29" t="n"/>
      <c r="F197" s="30" t="n"/>
      <c r="G197" s="31" t="n"/>
      <c r="H197" s="32" t="n"/>
      <c r="I197" s="33" t="n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 t="n"/>
      <c r="L197">
        <f>IF(E196&gt;0,COUNTIF($E$4:E196,"&gt;0"),"")</f>
        <v/>
      </c>
      <c r="M197">
        <f>IF(AND(D196&gt;0,G196="المحفظة"),COUNTIFS($D$4:D196,"&gt;"&amp;0,$G$4:G196,"المحفظة"),"")</f>
        <v/>
      </c>
      <c r="N197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/>
      </c>
      <c r="Q197">
        <f>IF(OR($A197="",$F197&lt;&gt;"أحد الشركاء"),"",COUNTIFS($A$4:A197,"&lt;&gt;",$F$4:F197,"أحد الشركاء"))</f>
        <v/>
      </c>
    </row>
    <row r="198" ht="18.75" customHeight="1" s="165">
      <c r="A198" s="167" t="n"/>
      <c r="B198" s="36" t="n"/>
      <c r="C198" s="37" t="n"/>
      <c r="D198" s="38" t="n"/>
      <c r="E198" s="39" t="n"/>
      <c r="F198" s="160" t="n"/>
      <c r="G198" s="40" t="n"/>
      <c r="H198" s="41" t="n"/>
      <c r="I198" s="42" t="n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 t="n"/>
      <c r="L198">
        <f>IF(E197&gt;0,COUNTIF($E$4:E197,"&gt;0"),"")</f>
        <v/>
      </c>
      <c r="M198">
        <f>IF(AND(D197&gt;0,G197="المحفظة"),COUNTIFS($D$4:D197,"&gt;"&amp;0,$G$4:G197,"المحفظة"),"")</f>
        <v/>
      </c>
      <c r="N198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/>
      </c>
      <c r="Q198">
        <f>IF(OR($A198="",$F198&lt;&gt;"أحد الشركاء"),"",COUNTIFS($A$4:A198,"&lt;&gt;",$F$4:F198,"أحد الشركاء"))</f>
        <v/>
      </c>
    </row>
    <row r="199" ht="18.75" customHeight="1" s="165">
      <c r="A199" s="25" t="n"/>
      <c r="B199" s="26" t="n"/>
      <c r="C199" s="27" t="n"/>
      <c r="D199" s="28" t="n"/>
      <c r="E199" s="29" t="n"/>
      <c r="F199" s="30" t="n"/>
      <c r="G199" s="31" t="n"/>
      <c r="H199" s="32" t="n"/>
      <c r="I199" s="33" t="n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 t="n"/>
      <c r="L199">
        <f>IF(E198&gt;0,COUNTIF($E$4:E198,"&gt;0"),"")</f>
        <v/>
      </c>
      <c r="M199">
        <f>IF(AND(D198&gt;0,G198="المحفظة"),COUNTIFS($D$4:D198,"&gt;"&amp;0,$G$4:G198,"المحفظة"),"")</f>
        <v/>
      </c>
      <c r="N199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/>
      </c>
      <c r="Q199">
        <f>IF(OR($A199="",$F199&lt;&gt;"أحد الشركاء"),"",COUNTIFS($A$4:A199,"&lt;&gt;",$F$4:F199,"أحد الشركاء"))</f>
        <v/>
      </c>
    </row>
    <row r="200" ht="18.75" customHeight="1" s="165">
      <c r="A200" s="167" t="n"/>
      <c r="B200" s="36" t="n"/>
      <c r="C200" s="37" t="n"/>
      <c r="D200" s="38" t="n"/>
      <c r="E200" s="39" t="n"/>
      <c r="F200" s="160" t="n"/>
      <c r="G200" s="40" t="n"/>
      <c r="H200" s="41" t="n"/>
      <c r="I200" s="42" t="n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 t="n"/>
      <c r="L200">
        <f>IF(E199&gt;0,COUNTIF($E$4:E199,"&gt;0"),"")</f>
        <v/>
      </c>
      <c r="M200">
        <f>IF(AND(D199&gt;0,G199="المحفظة"),COUNTIFS($D$4:D199,"&gt;"&amp;0,$G$4:G199,"المحفظة"),"")</f>
        <v/>
      </c>
      <c r="N200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/>
      </c>
      <c r="Q200">
        <f>IF(OR($A200="",$F200&lt;&gt;"أحد الشركاء"),"",COUNTIFS($A$4:A200,"&lt;&gt;",$F$4:F200,"أحد الشركاء"))</f>
        <v/>
      </c>
    </row>
    <row r="201" ht="18.75" customHeight="1" s="165">
      <c r="A201" s="25" t="n"/>
      <c r="B201" s="26" t="n"/>
      <c r="C201" s="27" t="n"/>
      <c r="D201" s="28" t="n"/>
      <c r="E201" s="29" t="n"/>
      <c r="F201" s="30" t="n"/>
      <c r="G201" s="31" t="n"/>
      <c r="H201" s="32" t="n"/>
      <c r="I201" s="33" t="n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 t="n"/>
      <c r="L201">
        <f>IF(E200&gt;0,COUNTIF($E$4:E200,"&gt;0"),"")</f>
        <v/>
      </c>
      <c r="M201">
        <f>IF(AND(D200&gt;0,G200="المحفظة"),COUNTIFS($D$4:D200,"&gt;"&amp;0,$G$4:G200,"المحفظة"),"")</f>
        <v/>
      </c>
      <c r="N201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/>
      </c>
      <c r="Q201">
        <f>IF(OR($A201="",$F201&lt;&gt;"أحد الشركاء"),"",COUNTIFS($A$4:A201,"&lt;&gt;",$F$4:F201,"أحد الشركاء"))</f>
        <v/>
      </c>
    </row>
    <row r="202" ht="18.75" customHeight="1" s="165">
      <c r="A202" s="167" t="n"/>
      <c r="B202" s="36" t="n"/>
      <c r="C202" s="37" t="n"/>
      <c r="D202" s="38" t="n"/>
      <c r="E202" s="39" t="n"/>
      <c r="F202" s="160" t="n"/>
      <c r="G202" s="40" t="n"/>
      <c r="H202" s="41" t="n"/>
      <c r="I202" s="42" t="n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 t="n"/>
      <c r="L202">
        <f>IF(E201&gt;0,COUNTIF($E$4:E201,"&gt;0"),"")</f>
        <v/>
      </c>
      <c r="M202">
        <f>IF(AND(D201&gt;0,G201="المحفظة"),COUNTIFS($D$4:D201,"&gt;"&amp;0,$G$4:G201,"المحفظة"),"")</f>
        <v/>
      </c>
      <c r="N202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/>
      </c>
      <c r="Q202">
        <f>IF(OR($A202="",$F202&lt;&gt;"أحد الشركاء"),"",COUNTIFS($A$4:A202,"&lt;&gt;",$F$4:F202,"أحد الشركاء"))</f>
        <v/>
      </c>
    </row>
    <row r="203" ht="18.75" customHeight="1" s="165">
      <c r="A203" s="25" t="n"/>
      <c r="B203" s="26" t="n"/>
      <c r="C203" s="27" t="n"/>
      <c r="D203" s="28" t="n"/>
      <c r="E203" s="29" t="n"/>
      <c r="F203" s="30" t="n"/>
      <c r="G203" s="31" t="n"/>
      <c r="H203" s="32" t="n"/>
      <c r="I203" s="33" t="n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 t="n"/>
      <c r="L203">
        <f>IF(E202&gt;0,COUNTIF($E$4:E202,"&gt;0"),"")</f>
        <v/>
      </c>
      <c r="M203">
        <f>IF(AND(D202&gt;0,G202="المحفظة"),COUNTIFS($D$4:D202,"&gt;"&amp;0,$G$4:G202,"المحفظة"),"")</f>
        <v/>
      </c>
      <c r="N203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/>
      </c>
      <c r="Q203">
        <f>IF(OR($A203="",$F203&lt;&gt;"أحد الشركاء"),"",COUNTIFS($A$4:A203,"&lt;&gt;",$F$4:F203,"أحد الشركاء"))</f>
        <v/>
      </c>
    </row>
    <row r="204" ht="25.5" customHeight="1" s="165">
      <c r="A204" s="167" t="n"/>
      <c r="B204" s="161" t="n"/>
      <c r="C204" s="162" t="n"/>
      <c r="D204" s="38" t="n"/>
      <c r="E204" s="39" t="n"/>
      <c r="F204" s="160" t="n"/>
      <c r="G204" s="161" t="n"/>
      <c r="H204" s="162" t="n"/>
      <c r="I204" s="42" t="n"/>
      <c r="J204" s="43">
        <f>IF(AND(D203="",E203="",A203="",B203="",C203=""),"", IFERROR(IF(J202="",D2,J202),D2)+IF(E203="",0,E203)-IF(D203="",0,D203))</f>
        <v/>
      </c>
      <c r="K204" s="44" t="n"/>
      <c r="L204">
        <f>IF(E203&gt;0,COUNTIF($E$4:E203,"&gt;0"),"")</f>
        <v/>
      </c>
      <c r="M204">
        <f>IF(AND(D203&gt;0,G203="المحفظة"),COUNTIFS($D$4:D203,"&gt;"&amp;0,$G$4:G203,"المحفظة"),"")</f>
        <v/>
      </c>
      <c r="N204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/>
      </c>
      <c r="Q204">
        <f>IF(OR($A204="",$F204&lt;&gt;"أحد الشركاء"),"",COUNTIFS($A$4:A204,"&lt;&gt;",$F$4:F204,"أحد الشركاء"))</f>
        <v/>
      </c>
    </row>
    <row r="205" ht="15.75" customHeight="1" s="165">
      <c r="A205" s="110" t="inlineStr">
        <is>
          <t>الإجمالي  /  TOTALS</t>
        </is>
      </c>
      <c r="B205" s="161" t="n"/>
      <c r="C205" s="161" t="n"/>
      <c r="D205" s="48">
        <f>SUM(D4:D203)</f>
        <v/>
      </c>
      <c r="E205" s="48">
        <f>SUM(E4:E203)</f>
        <v/>
      </c>
      <c r="F205" s="173">
        <f>COUNTIF(H4:H203,"معلق")</f>
        <v/>
      </c>
      <c r="G205" s="161" t="n"/>
      <c r="H205" s="161" t="n"/>
      <c r="J205" s="48">
        <f>$D$2+E204-D204</f>
        <v/>
      </c>
      <c r="N205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ht="15" customHeight="1" s="165">
      <c r="D206" s="49" t="inlineStr">
        <is>
          <t>إجمالي السحوبات</t>
        </is>
      </c>
      <c r="E206" s="50" t="inlineStr">
        <is>
          <t>إجمالي الإيداعات</t>
        </is>
      </c>
      <c r="F206" s="51" t="inlineStr">
        <is>
          <t>عدد المعلقات</t>
        </is>
      </c>
      <c r="J206" s="52" t="inlineStr">
        <is>
          <t>الرصيد الختامي</t>
        </is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priority="2" operator="lessThan" dxfId="1">
      <formula>0</formula>
    </cfRule>
    <cfRule type="cellIs" priority="3" operator="greaterThanOrEqual" dxfId="0">
      <formula>0</formula>
    </cfRule>
  </conditionalFormatting>
  <conditionalFormatting sqref="H4:H203">
    <cfRule type="expression" priority="4" dxfId="3">
      <formula>H4="معلق"</formula>
    </cfRule>
  </conditionalFormatting>
  <conditionalFormatting sqref="G4:G203">
    <cfRule type="expression" priority="5" dxfId="2">
      <formula>G4="المحفظة"</formula>
    </cfRule>
  </conditionalFormatting>
  <dataValidations count="4">
    <dataValidation sqref="F4:F203" showDropDown="0" showInputMessage="0" showErrorMessage="1" allowBlank="1" errorTitle="خطأ" error="اختر من القائمة" type="list">
      <formula1>"نقداً,أون لاين,أحد الشركاء,من المحفظة"</formula1>
      <formula2>0</formula2>
    </dataValidation>
    <dataValidation sqref="G4:G203" showDropDown="0" showInputMessage="0" showErrorMessage="1" allowBlank="1" errorTitle="خطأ" error="اختر من القائمة" type="list">
      <formula1>"أبو اسحاق,أبو آدم,نزمول,المحفظة"</formula1>
      <formula2>0</formula2>
    </dataValidation>
    <dataValidation sqref="H4:H203" showDropDown="0" showInputMessage="0" showErrorMessage="1" allowBlank="1" errorTitle="خطأ" error="اختر من القائمة" type="list">
      <formula1>"تم الدفع,معلق"</formula1>
      <formula2>0</formula2>
    </dataValidation>
    <dataValidation sqref="A4:A203" showDropDown="0" showInputMessage="0" showErrorMessage="1" allowBlank="1" errorTitle="تاريخ خاطئ" error="أدخل تاريخاً صحيحاً" type="date">
      <formula1>DATE(2020,1,1)</formula1>
      <formula2>DATE(2035,12,31)</formula2>
    </dataValidation>
  </dataValidations>
  <pageMargins left="0.25" right="0.25" top="0.75" bottom="0.75" header="0.511811023622047" footer="0.511811023622047"/>
  <pageSetup orientation="portrait" paperSize="9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rightToLeft="1" zoomScaleNormal="100" workbookViewId="0">
      <selection activeCell="A1" sqref="A1:C1"/>
    </sheetView>
  </sheetViews>
  <sheetFormatPr baseColWidth="8" defaultColWidth="8.7109375" defaultRowHeight="15"/>
  <cols>
    <col width="28" customWidth="1" style="165" min="1" max="1"/>
    <col width="36" customWidth="1" style="165" min="2" max="2"/>
    <col width="22" customWidth="1" style="165" min="3" max="3"/>
  </cols>
  <sheetData>
    <row r="1" ht="27.75" customHeight="1" s="165">
      <c r="A1" s="168" t="inlineStr">
        <is>
          <t>بنود التسديد من المحفظة</t>
        </is>
      </c>
      <c r="B1" s="161" t="n"/>
      <c r="C1" s="161" t="n"/>
    </row>
    <row r="2" ht="21.75" customHeight="1" s="165">
      <c r="A2" s="53" t="inlineStr">
        <is>
          <t>بند الصرف</t>
        </is>
      </c>
      <c r="B2" s="53" t="inlineStr">
        <is>
          <t>الوصف</t>
        </is>
      </c>
      <c r="C2" s="53" t="inlineStr">
        <is>
          <t>ملاحظات</t>
        </is>
      </c>
    </row>
    <row r="3" ht="18" customHeight="1" s="165">
      <c r="A3" s="54" t="inlineStr">
        <is>
          <t>رواتب العمال</t>
        </is>
      </c>
      <c r="B3" s="54" t="n"/>
      <c r="C3" s="26" t="n"/>
    </row>
    <row r="4" ht="18" customHeight="1" s="165">
      <c r="A4" s="55" t="inlineStr">
        <is>
          <t>وقود ومحروقات</t>
        </is>
      </c>
      <c r="B4" s="55" t="n"/>
      <c r="C4" s="36" t="n"/>
    </row>
    <row r="5" ht="18" customHeight="1" s="165">
      <c r="A5" s="54" t="inlineStr">
        <is>
          <t>صيانة المعدات</t>
        </is>
      </c>
      <c r="B5" s="54" t="n"/>
      <c r="C5" s="26" t="n"/>
    </row>
    <row r="6" ht="18" customHeight="1" s="165">
      <c r="A6" s="55" t="inlineStr">
        <is>
          <t>مستلزمات زراعية</t>
        </is>
      </c>
      <c r="B6" s="55" t="n"/>
      <c r="C6" s="36" t="n"/>
    </row>
    <row r="7" ht="18" customHeight="1" s="165">
      <c r="A7" s="54" t="inlineStr">
        <is>
          <t>مياه وكهرباء</t>
        </is>
      </c>
      <c r="B7" s="54" t="n"/>
      <c r="C7" s="26" t="n"/>
    </row>
    <row r="8" ht="18" customHeight="1" s="165">
      <c r="A8" s="55" t="inlineStr">
        <is>
          <t>نقليات وتوصيل</t>
        </is>
      </c>
      <c r="B8" s="55" t="n"/>
      <c r="C8" s="36" t="n"/>
    </row>
    <row r="9" ht="18" customHeight="1" s="165">
      <c r="A9" s="54" t="inlineStr">
        <is>
          <t>أحواض وأدوات</t>
        </is>
      </c>
      <c r="B9" s="54" t="n"/>
      <c r="C9" s="26" t="n"/>
    </row>
    <row r="10" ht="18" customHeight="1" s="165">
      <c r="A10" s="55" t="inlineStr">
        <is>
          <t>مبيدات وأسمدة</t>
        </is>
      </c>
      <c r="B10" s="55" t="n"/>
      <c r="C10" s="36" t="n"/>
    </row>
    <row r="11" ht="18" customHeight="1" s="165">
      <c r="A11" s="54" t="inlineStr">
        <is>
          <t>إيجارات</t>
        </is>
      </c>
      <c r="B11" s="54" t="n"/>
      <c r="C11" s="26" t="n"/>
    </row>
    <row r="12" ht="18" customHeight="1" s="165">
      <c r="A12" s="55" t="inlineStr">
        <is>
          <t>مصاريف إدارية</t>
        </is>
      </c>
      <c r="B12" s="55" t="n"/>
      <c r="C12" s="36" t="n"/>
    </row>
    <row r="13" ht="18" customHeight="1" s="165">
      <c r="A13" s="54" t="inlineStr">
        <is>
          <t>مدفوعات المهندس مختار</t>
        </is>
      </c>
      <c r="B13" s="54" t="n"/>
      <c r="C13" s="26" t="n"/>
    </row>
    <row r="14" ht="18" customHeight="1" s="165">
      <c r="A14" s="55" t="inlineStr">
        <is>
          <t>مدفوعات محمد أبو آدم</t>
        </is>
      </c>
      <c r="B14" s="55" t="n"/>
      <c r="C14" s="36" t="n"/>
    </row>
    <row r="15" ht="18" customHeight="1" s="165">
      <c r="A15" s="54" t="inlineStr">
        <is>
          <t>مبيعات الجمعيات</t>
        </is>
      </c>
      <c r="B15" s="54" t="n"/>
      <c r="C15" s="26" t="n"/>
    </row>
    <row r="16" ht="18" customHeight="1" s="165">
      <c r="A16" s="55" t="inlineStr">
        <is>
          <t>مبيعات أون لاين</t>
        </is>
      </c>
      <c r="B16" s="55" t="n"/>
      <c r="C16" s="36" t="n"/>
    </row>
    <row r="17" ht="18" customHeight="1" s="165">
      <c r="A17" s="54" t="inlineStr">
        <is>
          <t>مبيعات المزرعة المباشرة</t>
        </is>
      </c>
      <c r="B17" s="54" t="n"/>
      <c r="C17" s="26" t="n"/>
    </row>
    <row r="18" ht="18" customHeight="1" s="165">
      <c r="A18" s="55" t="inlineStr">
        <is>
          <t>ديون مستردة</t>
        </is>
      </c>
      <c r="B18" s="55" t="n"/>
      <c r="C18" s="36" t="n"/>
    </row>
    <row r="19" ht="18" customHeight="1" s="165">
      <c r="A19" s="54" t="inlineStr">
        <is>
          <t>مصاريف طارئة</t>
        </is>
      </c>
      <c r="B19" s="54" t="n"/>
      <c r="C19" s="26" t="n"/>
    </row>
    <row r="20" ht="18" customHeight="1" s="165">
      <c r="A20" s="55" t="inlineStr">
        <is>
          <t>أخرى</t>
        </is>
      </c>
      <c r="B20" s="55" t="n"/>
      <c r="C20" s="36" t="n"/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rightToLeft="1" zoomScaleNormal="100" workbookViewId="0">
      <selection activeCell="A1" sqref="A1:B1"/>
    </sheetView>
  </sheetViews>
  <sheetFormatPr baseColWidth="8" defaultColWidth="8.7109375" defaultRowHeight="15"/>
  <cols>
    <col width="5" customWidth="1" style="165" min="1" max="1"/>
    <col width="64" customWidth="1" style="165" min="2" max="2"/>
  </cols>
  <sheetData>
    <row r="1" ht="30" customHeight="1" s="165">
      <c r="A1" s="170" t="inlineStr">
        <is>
          <t>📘  تعليمات الاستخدام</t>
        </is>
      </c>
      <c r="B1" s="161" t="n"/>
    </row>
    <row r="2" ht="21.75" customHeight="1" s="165">
      <c r="A2" s="169" t="inlineStr">
        <is>
          <t>كشف الحساب — الدفع العادي</t>
        </is>
      </c>
      <c r="B2" s="161" t="n"/>
    </row>
    <row r="3" ht="19.5" customHeight="1" s="165">
      <c r="A3" s="56" t="inlineStr">
        <is>
          <t>①</t>
        </is>
      </c>
      <c r="B3" s="37" t="inlineStr">
        <is>
          <t>اكتب المبلغ في عمود D (سحب) واختر طريقة الدفع = نقداً أو أون لاين أو أحد الشركاء</t>
        </is>
      </c>
    </row>
    <row r="4" ht="19.5" customHeight="1" s="165">
      <c r="A4" s="57" t="inlineStr">
        <is>
          <t>②</t>
        </is>
      </c>
      <c r="B4" s="27" t="inlineStr">
        <is>
          <t>اختر الدافع G: أبو اسحاق / أبو آدم / نزمول — لا يخصم من المحفظة</t>
        </is>
      </c>
    </row>
    <row r="5" ht="21.75" customHeight="1" s="165">
      <c r="A5" s="169" t="inlineStr">
        <is>
          <t>كشف الحساب — الدفع من المحفظة</t>
        </is>
      </c>
      <c r="B5" s="161" t="n"/>
    </row>
    <row r="6" ht="19.5" customHeight="1" s="165">
      <c r="A6" s="57" t="inlineStr">
        <is>
          <t>①</t>
        </is>
      </c>
      <c r="B6" s="27" t="inlineStr">
        <is>
          <t>اكتب المبلغ في عمود D (سحب)</t>
        </is>
      </c>
    </row>
    <row r="7" ht="19.5" customHeight="1" s="165">
      <c r="A7" s="56" t="inlineStr">
        <is>
          <t>②</t>
        </is>
      </c>
      <c r="B7" s="37" t="inlineStr">
        <is>
          <t>عمود F (طريقة الدفع): اختر  "من المحفظة"</t>
        </is>
      </c>
    </row>
    <row r="8" ht="19.5" customHeight="1" s="165">
      <c r="A8" s="57" t="inlineStr">
        <is>
          <t>③</t>
        </is>
      </c>
      <c r="B8" s="27" t="inlineStr">
        <is>
          <t>عمود G (الدافع): اختر  "المحفظة"  ← هذا هو المفتاح للخصم التلقائي</t>
        </is>
      </c>
    </row>
    <row r="9" ht="19.5" customHeight="1" s="165">
      <c r="A9" s="56" t="inlineStr">
        <is>
          <t>④</t>
        </is>
      </c>
      <c r="B9" s="37" t="inlineStr">
        <is>
          <t>عمود I (بند الصرف): اختر البند المناسب مثل رواتب / وقود / إلخ</t>
        </is>
      </c>
    </row>
    <row r="10" ht="19.5" customHeight="1" s="165">
      <c r="A10" s="57" t="inlineStr">
        <is>
          <t>⑤</t>
        </is>
      </c>
      <c r="B10" s="27" t="inlineStr">
        <is>
          <t>🔄 المبلغ يُخصم تلقائياً من المحفظة — لا تحتاج كتابة أي شيء في ورقة المحفظة</t>
        </is>
      </c>
    </row>
    <row r="11" ht="21.75" customHeight="1" s="165">
      <c r="A11" s="169" t="inlineStr">
        <is>
          <t>المحفظة — كيف تعمل</t>
        </is>
      </c>
      <c r="B11" s="161" t="n"/>
    </row>
    <row r="12" ht="19.5" customHeight="1" s="165">
      <c r="A12" s="57" t="inlineStr">
        <is>
          <t>①</t>
        </is>
      </c>
      <c r="B12" s="27" t="inlineStr">
        <is>
          <t>القسم الأخضر: جميع الإيرادات (عمود إيداع E في كشف الحساب) تظهر تلقائياً</t>
        </is>
      </c>
    </row>
    <row r="13" ht="19.5" customHeight="1" s="165">
      <c r="A13" s="56" t="inlineStr">
        <is>
          <t>②</t>
        </is>
      </c>
      <c r="B13" s="37" t="inlineStr">
        <is>
          <t>القسم الأحمر: جميع المصروفات المدفوعة من المحفظة (عند اختيار المحفظة كدافع) تظهر تلقائياً</t>
        </is>
      </c>
    </row>
    <row r="14" ht="19.5" customHeight="1" s="165">
      <c r="A14" s="57" t="inlineStr">
        <is>
          <t>③</t>
        </is>
      </c>
      <c r="B14" s="27" t="inlineStr">
        <is>
          <t>رصيد المحفظة = الافتتاحي + إجمالي الإيرادات − إجمالي المصروفات</t>
        </is>
      </c>
    </row>
    <row r="15" ht="19.5" customHeight="1" s="165">
      <c r="A15" s="56" t="inlineStr">
        <is>
          <t>④</t>
        </is>
      </c>
      <c r="B15" s="37" t="inlineStr">
        <is>
          <t>الرصيد في الخلية C3 يتحدث فورياً مع أي تغيير في كشف الحساب</t>
        </is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baseColWidth="8" defaultColWidth="8.7109375" defaultRowHeight="15"/>
  <cols>
    <col width="12" customWidth="1" style="165" min="1" max="1"/>
    <col width="14" customWidth="1" style="165" min="2" max="2"/>
    <col width="36" customWidth="1" style="165" min="3" max="3"/>
    <col width="15" customWidth="1" style="165" min="4" max="5"/>
    <col width="14" customWidth="1" style="165" min="6" max="6"/>
    <col width="13" customWidth="1" style="165" min="7" max="8"/>
    <col width="19" customWidth="1" style="165" min="9" max="10"/>
    <col width="16" customWidth="1" style="165" min="11" max="11"/>
  </cols>
  <sheetData>
    <row r="1" ht="30" customHeight="1" s="165">
      <c r="A1" s="166" t="inlineStr">
        <is>
          <t>كشف حساب المزرعة  —  Farm Account Statement</t>
        </is>
      </c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</row>
    <row r="2" ht="24" customHeight="1" s="165">
      <c r="A2" s="171" t="n"/>
      <c r="B2" s="161" t="n"/>
      <c r="C2" s="58" t="inlineStr">
        <is>
          <t>يونيو</t>
        </is>
      </c>
      <c r="D2" s="171" t="n">
        <v>2026</v>
      </c>
      <c r="E2" s="161" t="n"/>
      <c r="F2" s="58" t="inlineStr">
        <is>
          <t>الكل</t>
        </is>
      </c>
      <c r="G2" s="174" t="inlineStr">
        <is>
          <t>⬆ اختر الشهر والسنة ثم  Ctrl+P  أو  File → Export → PDF</t>
        </is>
      </c>
    </row>
    <row r="3" ht="19.5" customHeight="1" s="165">
      <c r="A3" s="175" t="inlineStr">
        <is>
          <t>الرصيد الافتتاحي:</t>
        </is>
      </c>
      <c r="B3" s="161" t="n"/>
      <c r="C3" s="161" t="n"/>
      <c r="D3" s="59">
        <f>'كشف الحساب'!$D$2</f>
        <v/>
      </c>
    </row>
    <row r="4" ht="19.5" customHeight="1" s="165">
      <c r="A4" s="60" t="inlineStr">
        <is>
          <t>التاريخ</t>
        </is>
      </c>
      <c r="B4" s="60" t="inlineStr">
        <is>
          <t>المرجع</t>
        </is>
      </c>
      <c r="C4" s="60" t="inlineStr">
        <is>
          <t>البيان / الوصف</t>
        </is>
      </c>
      <c r="D4" s="60" t="inlineStr">
        <is>
          <t>سحب</t>
        </is>
      </c>
      <c r="E4" s="60" t="inlineStr">
        <is>
          <t>إيداع</t>
        </is>
      </c>
      <c r="F4" s="60" t="inlineStr">
        <is>
          <t>طريقة الدفع</t>
        </is>
      </c>
      <c r="G4" s="60" t="inlineStr">
        <is>
          <t>الدافع</t>
        </is>
      </c>
      <c r="H4" s="60" t="inlineStr">
        <is>
          <t>الحالة</t>
        </is>
      </c>
      <c r="I4" s="60" t="inlineStr">
        <is>
          <t>بند الصرف</t>
        </is>
      </c>
      <c r="J4" s="60" t="inlineStr">
        <is>
          <t>الرصيد</t>
        </is>
      </c>
      <c r="K4" s="60" t="inlineStr">
        <is>
          <t>ملاحظات</t>
        </is>
      </c>
    </row>
    <row r="5" ht="16.5" customHeight="1" s="165">
      <c r="A5" s="167">
        <f>IFERROR(IF(IFERROR(MATCH(1,'كشف الحساب'!$N$4:$N$203,0),0)=0,"",INDEX('كشف الحساب'!$A$4:$A$203,IFERROR(MATCH(1,'كشف الحساب'!$N$4:$N$203,0),0))),"")</f>
        <v/>
      </c>
      <c r="B5" s="61">
        <f>IFERROR(IF(IFERROR(MATCH(1,'كشف الحساب'!$N$4:$N$203,0),0)=0,"",INDEX('كشف الحساب'!$B$4:$B$203,IFERROR(MATCH(1,'كشف الحساب'!$N$4:$N$203,0),0))),"")</f>
        <v/>
      </c>
      <c r="C5" s="37">
        <f>IFERROR(IF(IFERROR(MATCH(1,'كشف الحساب'!$N$4:$N$203,0),0)=0,"",INDEX('كشف الحساب'!$C$4:$C$203,IFERROR(MATCH(1,'كشف الحساب'!$N$4:$N$203,0),0))),"")</f>
        <v/>
      </c>
      <c r="D5" s="38">
        <f>IFERROR(IF(IFERROR(MATCH(1,'كشف الحساب'!$N$4:$N$203,0),0)=0,"",INDEX('كشف الحساب'!$D$4:$D$203,IFERROR(MATCH(1,'كشف الحساب'!$N$4:$N$203,0),0))),"")</f>
        <v/>
      </c>
      <c r="E5" s="62">
        <f>IFERROR(IF(IFERROR(MATCH(1,'كشف الحساب'!$N$4:$N$203,0),0)=0,"",INDEX('كشف الحساب'!$E$4:$E$203,IFERROR(MATCH(1,'كشف الحساب'!$N$4:$N$203,0),0))),"")</f>
        <v/>
      </c>
      <c r="F5" s="61">
        <f>IFERROR(IF(IFERROR(MATCH(1,'كشف الحساب'!$N$4:$N$203,0),0)=0,"",INDEX('كشف الحساب'!$F$4:$F$203,IFERROR(MATCH(1,'كشف الحساب'!$N$4:$N$203,0),0))),"")</f>
        <v/>
      </c>
      <c r="G5" s="61">
        <f>IFERROR(IF(IFERROR(MATCH(1,'كشف الحساب'!$N$4:$N$203,0),0)=0,"",INDEX('كشف الحساب'!$G$4:$G$203,IFERROR(MATCH(1,'كشف الحساب'!$N$4:$N$203,0),0))),"")</f>
        <v/>
      </c>
      <c r="H5" s="61">
        <f>IFERROR(IF(IFERROR(MATCH(1,'كشف الحساب'!$N$4:$N$203,0),0)=0,"",INDEX('كشف الحساب'!$H$4:$H$203,IFERROR(MATCH(1,'كشف الحساب'!$N$4:$N$203,0),0))),"")</f>
        <v/>
      </c>
      <c r="I5" s="61">
        <f>IFERROR(IF(IFERROR(MATCH(1,'كشف الحساب'!$N$4:$N$203,0),0)=0,"",INDEX('كشف الحساب'!$I$4:$I$203,IFERROR(MATCH(1,'كشف الحساب'!$N$4:$N$203,0),0))),"")</f>
        <v/>
      </c>
      <c r="J5" s="43">
        <f>IFERROR(IF(IFERROR(MATCH(1,'كشف الحساب'!$N$4:$N$203,0),0)=0,"",INDEX('كشف الحساب'!$J$4:$J$203,IFERROR(MATCH(1,'كشف الحساب'!$N$4:$N$203,0),0))),"")</f>
        <v/>
      </c>
      <c r="K5" s="61">
        <f>IFERROR(IF(IFERROR(MATCH(1,'كشف الحساب'!$N$4:$N$203,0),0)=0,"",INDEX('كشف الحساب'!$K$4:$K$203,IFERROR(MATCH(1,'كشف الحساب'!$N$4:$N$203,0),0))),"")</f>
        <v/>
      </c>
    </row>
    <row r="6" ht="16.5" customHeight="1" s="165">
      <c r="A6" s="25">
        <f>IFERROR(IF(IFERROR(MATCH(2,'كشف الحساب'!$N$4:$N$203,0),0)=0,"",INDEX('كشف الحساب'!$A$4:$A$203,IFERROR(MATCH(2,'كشف الحساب'!$N$4:$N$203,0),0))),"")</f>
        <v/>
      </c>
      <c r="B6" s="63">
        <f>IFERROR(IF(IFERROR(MATCH(2,'كشف الحساب'!$N$4:$N$203,0),0)=0,"",INDEX('كشف الحساب'!$B$4:$B$203,IFERROR(MATCH(2,'كشف الحساب'!$N$4:$N$203,0),0))),"")</f>
        <v/>
      </c>
      <c r="C6" s="27">
        <f>IFERROR(IF(IFERROR(MATCH(2,'كشف الحساب'!$N$4:$N$203,0),0)=0,"",INDEX('كشف الحساب'!$C$4:$C$203,IFERROR(MATCH(2,'كشف الحساب'!$N$4:$N$203,0),0))),"")</f>
        <v/>
      </c>
      <c r="D6" s="28">
        <f>IFERROR(IF(IFERROR(MATCH(2,'كشف الحساب'!$N$4:$N$203,0),0)=0,"",INDEX('كشف الحساب'!$D$4:$D$203,IFERROR(MATCH(2,'كشف الحساب'!$N$4:$N$203,0),0))),"")</f>
        <v/>
      </c>
      <c r="E6" s="64">
        <f>IFERROR(IF(IFERROR(MATCH(2,'كشف الحساب'!$N$4:$N$203,0),0)=0,"",INDEX('كشف الحساب'!$E$4:$E$203,IFERROR(MATCH(2,'كشف الحساب'!$N$4:$N$203,0),0))),"")</f>
        <v/>
      </c>
      <c r="F6" s="63">
        <f>IFERROR(IF(IFERROR(MATCH(2,'كشف الحساب'!$N$4:$N$203,0),0)=0,"",INDEX('كشف الحساب'!$F$4:$F$203,IFERROR(MATCH(2,'كشف الحساب'!$N$4:$N$203,0),0))),"")</f>
        <v/>
      </c>
      <c r="G6" s="63">
        <f>IFERROR(IF(IFERROR(MATCH(2,'كشف الحساب'!$N$4:$N$203,0),0)=0,"",INDEX('كشف الحساب'!$G$4:$G$203,IFERROR(MATCH(2,'كشف الحساب'!$N$4:$N$203,0),0))),"")</f>
        <v/>
      </c>
      <c r="H6" s="63">
        <f>IFERROR(IF(IFERROR(MATCH(2,'كشف الحساب'!$N$4:$N$203,0),0)=0,"",INDEX('كشف الحساب'!$H$4:$H$203,IFERROR(MATCH(2,'كشف الحساب'!$N$4:$N$203,0),0))),"")</f>
        <v/>
      </c>
      <c r="I6" s="63">
        <f>IFERROR(IF(IFERROR(MATCH(2,'كشف الحساب'!$N$4:$N$203,0),0)=0,"",INDEX('كشف الحساب'!$I$4:$I$203,IFERROR(MATCH(2,'كشف الحساب'!$N$4:$N$203,0),0))),"")</f>
        <v/>
      </c>
      <c r="J6" s="34">
        <f>IFERROR(IF(IFERROR(MATCH(2,'كشف الحساب'!$N$4:$N$203,0),0)=0,"",INDEX('كشف الحساب'!$J$4:$J$203,IFERROR(MATCH(2,'كشف الحساب'!$N$4:$N$203,0),0))),"")</f>
        <v/>
      </c>
      <c r="K6" s="63">
        <f>IFERROR(IF(IFERROR(MATCH(2,'كشف الحساب'!$N$4:$N$203,0),0)=0,"",INDEX('كشف الحساب'!$K$4:$K$203,IFERROR(MATCH(2,'كشف الحساب'!$N$4:$N$203,0),0))),"")</f>
        <v/>
      </c>
    </row>
    <row r="7" ht="16.5" customHeight="1" s="165">
      <c r="A7" s="167">
        <f>IFERROR(IF(IFERROR(MATCH(3,'كشف الحساب'!$N$4:$N$203,0),0)=0,"",INDEX('كشف الحساب'!$A$4:$A$203,IFERROR(MATCH(3,'كشف الحساب'!$N$4:$N$203,0),0))),"")</f>
        <v/>
      </c>
      <c r="B7" s="61">
        <f>IFERROR(IF(IFERROR(MATCH(3,'كشف الحساب'!$N$4:$N$203,0),0)=0,"",INDEX('كشف الحساب'!$B$4:$B$203,IFERROR(MATCH(3,'كشف الحساب'!$N$4:$N$203,0),0))),"")</f>
        <v/>
      </c>
      <c r="C7" s="37">
        <f>IFERROR(IF(IFERROR(MATCH(3,'كشف الحساب'!$N$4:$N$203,0),0)=0,"",INDEX('كشف الحساب'!$C$4:$C$203,IFERROR(MATCH(3,'كشف الحساب'!$N$4:$N$203,0),0))),"")</f>
        <v/>
      </c>
      <c r="D7" s="38">
        <f>IFERROR(IF(IFERROR(MATCH(3,'كشف الحساب'!$N$4:$N$203,0),0)=0,"",INDEX('كشف الحساب'!$D$4:$D$203,IFERROR(MATCH(3,'كشف الحساب'!$N$4:$N$203,0),0))),"")</f>
        <v/>
      </c>
      <c r="E7" s="62">
        <f>IFERROR(IF(IFERROR(MATCH(3,'كشف الحساب'!$N$4:$N$203,0),0)=0,"",INDEX('كشف الحساب'!$E$4:$E$203,IFERROR(MATCH(3,'كشف الحساب'!$N$4:$N$203,0),0))),"")</f>
        <v/>
      </c>
      <c r="F7" s="61">
        <f>IFERROR(IF(IFERROR(MATCH(3,'كشف الحساب'!$N$4:$N$203,0),0)=0,"",INDEX('كشف الحساب'!$F$4:$F$203,IFERROR(MATCH(3,'كشف الحساب'!$N$4:$N$203,0),0))),"")</f>
        <v/>
      </c>
      <c r="G7" s="61">
        <f>IFERROR(IF(IFERROR(MATCH(3,'كشف الحساب'!$N$4:$N$203,0),0)=0,"",INDEX('كشف الحساب'!$G$4:$G$203,IFERROR(MATCH(3,'كشف الحساب'!$N$4:$N$203,0),0))),"")</f>
        <v/>
      </c>
      <c r="H7" s="61">
        <f>IFERROR(IF(IFERROR(MATCH(3,'كشف الحساب'!$N$4:$N$203,0),0)=0,"",INDEX('كشف الحساب'!$H$4:$H$203,IFERROR(MATCH(3,'كشف الحساب'!$N$4:$N$203,0),0))),"")</f>
        <v/>
      </c>
      <c r="I7" s="61">
        <f>IFERROR(IF(IFERROR(MATCH(3,'كشف الحساب'!$N$4:$N$203,0),0)=0,"",INDEX('كشف الحساب'!$I$4:$I$203,IFERROR(MATCH(3,'كشف الحساب'!$N$4:$N$203,0),0))),"")</f>
        <v/>
      </c>
      <c r="J7" s="43">
        <f>IFERROR(IF(IFERROR(MATCH(3,'كشف الحساب'!$N$4:$N$203,0),0)=0,"",INDEX('كشف الحساب'!$J$4:$J$203,IFERROR(MATCH(3,'كشف الحساب'!$N$4:$N$203,0),0))),"")</f>
        <v/>
      </c>
      <c r="K7" s="61">
        <f>IFERROR(IF(IFERROR(MATCH(3,'كشف الحساب'!$N$4:$N$203,0),0)=0,"",INDEX('كشف الحساب'!$K$4:$K$203,IFERROR(MATCH(3,'كشف الحساب'!$N$4:$N$203,0),0))),"")</f>
        <v/>
      </c>
    </row>
    <row r="8" ht="16.5" customHeight="1" s="165">
      <c r="A8" s="25">
        <f>IFERROR(IF(IFERROR(MATCH(4,'كشف الحساب'!$N$4:$N$203,0),0)=0,"",INDEX('كشف الحساب'!$A$4:$A$203,IFERROR(MATCH(4,'كشف الحساب'!$N$4:$N$203,0),0))),"")</f>
        <v/>
      </c>
      <c r="B8" s="63">
        <f>IFERROR(IF(IFERROR(MATCH(4,'كشف الحساب'!$N$4:$N$203,0),0)=0,"",INDEX('كشف الحساب'!$B$4:$B$203,IFERROR(MATCH(4,'كشف الحساب'!$N$4:$N$203,0),0))),"")</f>
        <v/>
      </c>
      <c r="C8" s="27">
        <f>IFERROR(IF(IFERROR(MATCH(4,'كشف الحساب'!$N$4:$N$203,0),0)=0,"",INDEX('كشف الحساب'!$C$4:$C$203,IFERROR(MATCH(4,'كشف الحساب'!$N$4:$N$203,0),0))),"")</f>
        <v/>
      </c>
      <c r="D8" s="28">
        <f>IFERROR(IF(IFERROR(MATCH(4,'كشف الحساب'!$N$4:$N$203,0),0)=0,"",INDEX('كشف الحساب'!$D$4:$D$203,IFERROR(MATCH(4,'كشف الحساب'!$N$4:$N$203,0),0))),"")</f>
        <v/>
      </c>
      <c r="E8" s="64">
        <f>IFERROR(IF(IFERROR(MATCH(4,'كشف الحساب'!$N$4:$N$203,0),0)=0,"",INDEX('كشف الحساب'!$E$4:$E$203,IFERROR(MATCH(4,'كشف الحساب'!$N$4:$N$203,0),0))),"")</f>
        <v/>
      </c>
      <c r="F8" s="63">
        <f>IFERROR(IF(IFERROR(MATCH(4,'كشف الحساب'!$N$4:$N$203,0),0)=0,"",INDEX('كشف الحساب'!$F$4:$F$203,IFERROR(MATCH(4,'كشف الحساب'!$N$4:$N$203,0),0))),"")</f>
        <v/>
      </c>
      <c r="G8" s="63">
        <f>IFERROR(IF(IFERROR(MATCH(4,'كشف الحساب'!$N$4:$N$203,0),0)=0,"",INDEX('كشف الحساب'!$G$4:$G$203,IFERROR(MATCH(4,'كشف الحساب'!$N$4:$N$203,0),0))),"")</f>
        <v/>
      </c>
      <c r="H8" s="63">
        <f>IFERROR(IF(IFERROR(MATCH(4,'كشف الحساب'!$N$4:$N$203,0),0)=0,"",INDEX('كشف الحساب'!$H$4:$H$203,IFERROR(MATCH(4,'كشف الحساب'!$N$4:$N$203,0),0))),"")</f>
        <v/>
      </c>
      <c r="I8" s="63">
        <f>IFERROR(IF(IFERROR(MATCH(4,'كشف الحساب'!$N$4:$N$203,0),0)=0,"",INDEX('كشف الحساب'!$I$4:$I$203,IFERROR(MATCH(4,'كشف الحساب'!$N$4:$N$203,0),0))),"")</f>
        <v/>
      </c>
      <c r="J8" s="34">
        <f>IFERROR(IF(IFERROR(MATCH(4,'كشف الحساب'!$N$4:$N$203,0),0)=0,"",INDEX('كشف الحساب'!$J$4:$J$203,IFERROR(MATCH(4,'كشف الحساب'!$N$4:$N$203,0),0))),"")</f>
        <v/>
      </c>
      <c r="K8" s="63">
        <f>IFERROR(IF(IFERROR(MATCH(4,'كشف الحساب'!$N$4:$N$203,0),0)=0,"",INDEX('كشف الحساب'!$K$4:$K$203,IFERROR(MATCH(4,'كشف الحساب'!$N$4:$N$203,0),0))),"")</f>
        <v/>
      </c>
    </row>
    <row r="9" ht="16.5" customHeight="1" s="165">
      <c r="A9" s="167">
        <f>IFERROR(IF(IFERROR(MATCH(5,'كشف الحساب'!$N$4:$N$203,0),0)=0,"",INDEX('كشف الحساب'!$A$4:$A$203,IFERROR(MATCH(5,'كشف الحساب'!$N$4:$N$203,0),0))),"")</f>
        <v/>
      </c>
      <c r="B9" s="61">
        <f>IFERROR(IF(IFERROR(MATCH(5,'كشف الحساب'!$N$4:$N$203,0),0)=0,"",INDEX('كشف الحساب'!$B$4:$B$203,IFERROR(MATCH(5,'كشف الحساب'!$N$4:$N$203,0),0))),"")</f>
        <v/>
      </c>
      <c r="C9" s="37">
        <f>IFERROR(IF(IFERROR(MATCH(5,'كشف الحساب'!$N$4:$N$203,0),0)=0,"",INDEX('كشف الحساب'!$C$4:$C$203,IFERROR(MATCH(5,'كشف الحساب'!$N$4:$N$203,0),0))),"")</f>
        <v/>
      </c>
      <c r="D9" s="38">
        <f>IFERROR(IF(IFERROR(MATCH(5,'كشف الحساب'!$N$4:$N$203,0),0)=0,"",INDEX('كشف الحساب'!$D$4:$D$203,IFERROR(MATCH(5,'كشف الحساب'!$N$4:$N$203,0),0))),"")</f>
        <v/>
      </c>
      <c r="E9" s="62">
        <f>IFERROR(IF(IFERROR(MATCH(5,'كشف الحساب'!$N$4:$N$203,0),0)=0,"",INDEX('كشف الحساب'!$E$4:$E$203,IFERROR(MATCH(5,'كشف الحساب'!$N$4:$N$203,0),0))),"")</f>
        <v/>
      </c>
      <c r="F9" s="61">
        <f>IFERROR(IF(IFERROR(MATCH(5,'كشف الحساب'!$N$4:$N$203,0),0)=0,"",INDEX('كشف الحساب'!$F$4:$F$203,IFERROR(MATCH(5,'كشف الحساب'!$N$4:$N$203,0),0))),"")</f>
        <v/>
      </c>
      <c r="G9" s="61">
        <f>IFERROR(IF(IFERROR(MATCH(5,'كشف الحساب'!$N$4:$N$203,0),0)=0,"",INDEX('كشف الحساب'!$G$4:$G$203,IFERROR(MATCH(5,'كشف الحساب'!$N$4:$N$203,0),0))),"")</f>
        <v/>
      </c>
      <c r="H9" s="61">
        <f>IFERROR(IF(IFERROR(MATCH(5,'كشف الحساب'!$N$4:$N$203,0),0)=0,"",INDEX('كشف الحساب'!$H$4:$H$203,IFERROR(MATCH(5,'كشف الحساب'!$N$4:$N$203,0),0))),"")</f>
        <v/>
      </c>
      <c r="I9" s="61">
        <f>IFERROR(IF(IFERROR(MATCH(5,'كشف الحساب'!$N$4:$N$203,0),0)=0,"",INDEX('كشف الحساب'!$I$4:$I$203,IFERROR(MATCH(5,'كشف الحساب'!$N$4:$N$203,0),0))),"")</f>
        <v/>
      </c>
      <c r="J9" s="43">
        <f>IFERROR(IF(IFERROR(MATCH(5,'كشف الحساب'!$N$4:$N$203,0),0)=0,"",INDEX('كشف الحساب'!$J$4:$J$203,IFERROR(MATCH(5,'كشف الحساب'!$N$4:$N$203,0),0))),"")</f>
        <v/>
      </c>
      <c r="K9" s="61">
        <f>IFERROR(IF(IFERROR(MATCH(5,'كشف الحساب'!$N$4:$N$203,0),0)=0,"",INDEX('كشف الحساب'!$K$4:$K$203,IFERROR(MATCH(5,'كشف الحساب'!$N$4:$N$203,0),0))),"")</f>
        <v/>
      </c>
    </row>
    <row r="10" ht="16.5" customHeight="1" s="165">
      <c r="A10" s="25">
        <f>IFERROR(IF(IFERROR(MATCH(6,'كشف الحساب'!$N$4:$N$203,0),0)=0,"",INDEX('كشف الحساب'!$A$4:$A$203,IFERROR(MATCH(6,'كشف الحساب'!$N$4:$N$203,0),0))),"")</f>
        <v/>
      </c>
      <c r="B10" s="63">
        <f>IFERROR(IF(IFERROR(MATCH(6,'كشف الحساب'!$N$4:$N$203,0),0)=0,"",INDEX('كشف الحساب'!$B$4:$B$203,IFERROR(MATCH(6,'كشف الحساب'!$N$4:$N$203,0),0))),"")</f>
        <v/>
      </c>
      <c r="C10" s="27">
        <f>IFERROR(IF(IFERROR(MATCH(6,'كشف الحساب'!$N$4:$N$203,0),0)=0,"",INDEX('كشف الحساب'!$C$4:$C$203,IFERROR(MATCH(6,'كشف الحساب'!$N$4:$N$203,0),0))),"")</f>
        <v/>
      </c>
      <c r="D10" s="28">
        <f>IFERROR(IF(IFERROR(MATCH(6,'كشف الحساب'!$N$4:$N$203,0),0)=0,"",INDEX('كشف الحساب'!$D$4:$D$203,IFERROR(MATCH(6,'كشف الحساب'!$N$4:$N$203,0),0))),"")</f>
        <v/>
      </c>
      <c r="E10" s="64">
        <f>IFERROR(IF(IFERROR(MATCH(6,'كشف الحساب'!$N$4:$N$203,0),0)=0,"",INDEX('كشف الحساب'!$E$4:$E$203,IFERROR(MATCH(6,'كشف الحساب'!$N$4:$N$203,0),0))),"")</f>
        <v/>
      </c>
      <c r="F10" s="63">
        <f>IFERROR(IF(IFERROR(MATCH(6,'كشف الحساب'!$N$4:$N$203,0),0)=0,"",INDEX('كشف الحساب'!$F$4:$F$203,IFERROR(MATCH(6,'كشف الحساب'!$N$4:$N$203,0),0))),"")</f>
        <v/>
      </c>
      <c r="G10" s="63">
        <f>IFERROR(IF(IFERROR(MATCH(6,'كشف الحساب'!$N$4:$N$203,0),0)=0,"",INDEX('كشف الحساب'!$G$4:$G$203,IFERROR(MATCH(6,'كشف الحساب'!$N$4:$N$203,0),0))),"")</f>
        <v/>
      </c>
      <c r="H10" s="63">
        <f>IFERROR(IF(IFERROR(MATCH(6,'كشف الحساب'!$N$4:$N$203,0),0)=0,"",INDEX('كشف الحساب'!$H$4:$H$203,IFERROR(MATCH(6,'كشف الحساب'!$N$4:$N$203,0),0))),"")</f>
        <v/>
      </c>
      <c r="I10" s="63">
        <f>IFERROR(IF(IFERROR(MATCH(6,'كشف الحساب'!$N$4:$N$203,0),0)=0,"",INDEX('كشف الحساب'!$I$4:$I$203,IFERROR(MATCH(6,'كشف الحساب'!$N$4:$N$203,0),0))),"")</f>
        <v/>
      </c>
      <c r="J10" s="34">
        <f>IFERROR(IF(IFERROR(MATCH(6,'كشف الحساب'!$N$4:$N$203,0),0)=0,"",INDEX('كشف الحساب'!$J$4:$J$203,IFERROR(MATCH(6,'كشف الحساب'!$N$4:$N$203,0),0))),"")</f>
        <v/>
      </c>
      <c r="K10" s="63">
        <f>IFERROR(IF(IFERROR(MATCH(6,'كشف الحساب'!$N$4:$N$203,0),0)=0,"",INDEX('كشف الحساب'!$K$4:$K$203,IFERROR(MATCH(6,'كشف الحساب'!$N$4:$N$203,0),0))),"")</f>
        <v/>
      </c>
    </row>
    <row r="11" ht="16.5" customHeight="1" s="165">
      <c r="A11" s="167">
        <f>IFERROR(IF(IFERROR(MATCH(7,'كشف الحساب'!$N$4:$N$203,0),0)=0,"",INDEX('كشف الحساب'!$A$4:$A$203,IFERROR(MATCH(7,'كشف الحساب'!$N$4:$N$203,0),0))),"")</f>
        <v/>
      </c>
      <c r="B11" s="61">
        <f>IFERROR(IF(IFERROR(MATCH(7,'كشف الحساب'!$N$4:$N$203,0),0)=0,"",INDEX('كشف الحساب'!$B$4:$B$203,IFERROR(MATCH(7,'كشف الحساب'!$N$4:$N$203,0),0))),"")</f>
        <v/>
      </c>
      <c r="C11" s="37">
        <f>IFERROR(IF(IFERROR(MATCH(7,'كشف الحساب'!$N$4:$N$203,0),0)=0,"",INDEX('كشف الحساب'!$C$4:$C$203,IFERROR(MATCH(7,'كشف الحساب'!$N$4:$N$203,0),0))),"")</f>
        <v/>
      </c>
      <c r="D11" s="38">
        <f>IFERROR(IF(IFERROR(MATCH(7,'كشف الحساب'!$N$4:$N$203,0),0)=0,"",INDEX('كشف الحساب'!$D$4:$D$203,IFERROR(MATCH(7,'كشف الحساب'!$N$4:$N$203,0),0))),"")</f>
        <v/>
      </c>
      <c r="E11" s="62">
        <f>IFERROR(IF(IFERROR(MATCH(7,'كشف الحساب'!$N$4:$N$203,0),0)=0,"",INDEX('كشف الحساب'!$E$4:$E$203,IFERROR(MATCH(7,'كشف الحساب'!$N$4:$N$203,0),0))),"")</f>
        <v/>
      </c>
      <c r="F11" s="61">
        <f>IFERROR(IF(IFERROR(MATCH(7,'كشف الحساب'!$N$4:$N$203,0),0)=0,"",INDEX('كشف الحساب'!$F$4:$F$203,IFERROR(MATCH(7,'كشف الحساب'!$N$4:$N$203,0),0))),"")</f>
        <v/>
      </c>
      <c r="G11" s="61">
        <f>IFERROR(IF(IFERROR(MATCH(7,'كشف الحساب'!$N$4:$N$203,0),0)=0,"",INDEX('كشف الحساب'!$G$4:$G$203,IFERROR(MATCH(7,'كشف الحساب'!$N$4:$N$203,0),0))),"")</f>
        <v/>
      </c>
      <c r="H11" s="61">
        <f>IFERROR(IF(IFERROR(MATCH(7,'كشف الحساب'!$N$4:$N$203,0),0)=0,"",INDEX('كشف الحساب'!$H$4:$H$203,IFERROR(MATCH(7,'كشف الحساب'!$N$4:$N$203,0),0))),"")</f>
        <v/>
      </c>
      <c r="I11" s="61">
        <f>IFERROR(IF(IFERROR(MATCH(7,'كشف الحساب'!$N$4:$N$203,0),0)=0,"",INDEX('كشف الحساب'!$I$4:$I$203,IFERROR(MATCH(7,'كشف الحساب'!$N$4:$N$203,0),0))),"")</f>
        <v/>
      </c>
      <c r="J11" s="43">
        <f>IFERROR(IF(IFERROR(MATCH(7,'كشف الحساب'!$N$4:$N$203,0),0)=0,"",INDEX('كشف الحساب'!$J$4:$J$203,IFERROR(MATCH(7,'كشف الحساب'!$N$4:$N$203,0),0))),"")</f>
        <v/>
      </c>
      <c r="K11" s="61">
        <f>IFERROR(IF(IFERROR(MATCH(7,'كشف الحساب'!$N$4:$N$203,0),0)=0,"",INDEX('كشف الحساب'!$K$4:$K$203,IFERROR(MATCH(7,'كشف الحساب'!$N$4:$N$203,0),0))),"")</f>
        <v/>
      </c>
    </row>
    <row r="12" ht="16.5" customHeight="1" s="165">
      <c r="A12" s="25">
        <f>IFERROR(IF(IFERROR(MATCH(8,'كشف الحساب'!$N$4:$N$203,0),0)=0,"",INDEX('كشف الحساب'!$A$4:$A$203,IFERROR(MATCH(8,'كشف الحساب'!$N$4:$N$203,0),0))),"")</f>
        <v/>
      </c>
      <c r="B12" s="63">
        <f>IFERROR(IF(IFERROR(MATCH(8,'كشف الحساب'!$N$4:$N$203,0),0)=0,"",INDEX('كشف الحساب'!$B$4:$B$203,IFERROR(MATCH(8,'كشف الحساب'!$N$4:$N$203,0),0))),"")</f>
        <v/>
      </c>
      <c r="C12" s="27">
        <f>IFERROR(IF(IFERROR(MATCH(8,'كشف الحساب'!$N$4:$N$203,0),0)=0,"",INDEX('كشف الحساب'!$C$4:$C$203,IFERROR(MATCH(8,'كشف الحساب'!$N$4:$N$203,0),0))),"")</f>
        <v/>
      </c>
      <c r="D12" s="28">
        <f>IFERROR(IF(IFERROR(MATCH(8,'كشف الحساب'!$N$4:$N$203,0),0)=0,"",INDEX('كشف الحساب'!$D$4:$D$203,IFERROR(MATCH(8,'كشف الحساب'!$N$4:$N$203,0),0))),"")</f>
        <v/>
      </c>
      <c r="E12" s="64">
        <f>IFERROR(IF(IFERROR(MATCH(8,'كشف الحساب'!$N$4:$N$203,0),0)=0,"",INDEX('كشف الحساب'!$E$4:$E$203,IFERROR(MATCH(8,'كشف الحساب'!$N$4:$N$203,0),0))),"")</f>
        <v/>
      </c>
      <c r="F12" s="63">
        <f>IFERROR(IF(IFERROR(MATCH(8,'كشف الحساب'!$N$4:$N$203,0),0)=0,"",INDEX('كشف الحساب'!$F$4:$F$203,IFERROR(MATCH(8,'كشف الحساب'!$N$4:$N$203,0),0))),"")</f>
        <v/>
      </c>
      <c r="G12" s="63">
        <f>IFERROR(IF(IFERROR(MATCH(8,'كشف الحساب'!$N$4:$N$203,0),0)=0,"",INDEX('كشف الحساب'!$G$4:$G$203,IFERROR(MATCH(8,'كشف الحساب'!$N$4:$N$203,0),0))),"")</f>
        <v/>
      </c>
      <c r="H12" s="63">
        <f>IFERROR(IF(IFERROR(MATCH(8,'كشف الحساب'!$N$4:$N$203,0),0)=0,"",INDEX('كشف الحساب'!$H$4:$H$203,IFERROR(MATCH(8,'كشف الحساب'!$N$4:$N$203,0),0))),"")</f>
        <v/>
      </c>
      <c r="I12" s="63">
        <f>IFERROR(IF(IFERROR(MATCH(8,'كشف الحساب'!$N$4:$N$203,0),0)=0,"",INDEX('كشف الحساب'!$I$4:$I$203,IFERROR(MATCH(8,'كشف الحساب'!$N$4:$N$203,0),0))),"")</f>
        <v/>
      </c>
      <c r="J12" s="34">
        <f>IFERROR(IF(IFERROR(MATCH(8,'كشف الحساب'!$N$4:$N$203,0),0)=0,"",INDEX('كشف الحساب'!$J$4:$J$203,IFERROR(MATCH(8,'كشف الحساب'!$N$4:$N$203,0),0))),"")</f>
        <v/>
      </c>
      <c r="K12" s="63">
        <f>IFERROR(IF(IFERROR(MATCH(8,'كشف الحساب'!$N$4:$N$203,0),0)=0,"",INDEX('كشف الحساب'!$K$4:$K$203,IFERROR(MATCH(8,'كشف الحساب'!$N$4:$N$203,0),0))),"")</f>
        <v/>
      </c>
    </row>
    <row r="13" ht="16.5" customHeight="1" s="165">
      <c r="A13" s="167">
        <f>IFERROR(IF(IFERROR(MATCH(9,'كشف الحساب'!$N$4:$N$203,0),0)=0,"",INDEX('كشف الحساب'!$A$4:$A$203,IFERROR(MATCH(9,'كشف الحساب'!$N$4:$N$203,0),0))),"")</f>
        <v/>
      </c>
      <c r="B13" s="61">
        <f>IFERROR(IF(IFERROR(MATCH(9,'كشف الحساب'!$N$4:$N$203,0),0)=0,"",INDEX('كشف الحساب'!$B$4:$B$203,IFERROR(MATCH(9,'كشف الحساب'!$N$4:$N$203,0),0))),"")</f>
        <v/>
      </c>
      <c r="C13" s="37">
        <f>IFERROR(IF(IFERROR(MATCH(9,'كشف الحساب'!$N$4:$N$203,0),0)=0,"",INDEX('كشف الحساب'!$C$4:$C$203,IFERROR(MATCH(9,'كشف الحساب'!$N$4:$N$203,0),0))),"")</f>
        <v/>
      </c>
      <c r="D13" s="38">
        <f>IFERROR(IF(IFERROR(MATCH(9,'كشف الحساب'!$N$4:$N$203,0),0)=0,"",INDEX('كشف الحساب'!$D$4:$D$203,IFERROR(MATCH(9,'كشف الحساب'!$N$4:$N$203,0),0))),"")</f>
        <v/>
      </c>
      <c r="E13" s="62">
        <f>IFERROR(IF(IFERROR(MATCH(9,'كشف الحساب'!$N$4:$N$203,0),0)=0,"",INDEX('كشف الحساب'!$E$4:$E$203,IFERROR(MATCH(9,'كشف الحساب'!$N$4:$N$203,0),0))),"")</f>
        <v/>
      </c>
      <c r="F13" s="61">
        <f>IFERROR(IF(IFERROR(MATCH(9,'كشف الحساب'!$N$4:$N$203,0),0)=0,"",INDEX('كشف الحساب'!$F$4:$F$203,IFERROR(MATCH(9,'كشف الحساب'!$N$4:$N$203,0),0))),"")</f>
        <v/>
      </c>
      <c r="G13" s="61">
        <f>IFERROR(IF(IFERROR(MATCH(9,'كشف الحساب'!$N$4:$N$203,0),0)=0,"",INDEX('كشف الحساب'!$G$4:$G$203,IFERROR(MATCH(9,'كشف الحساب'!$N$4:$N$203,0),0))),"")</f>
        <v/>
      </c>
      <c r="H13" s="61">
        <f>IFERROR(IF(IFERROR(MATCH(9,'كشف الحساب'!$N$4:$N$203,0),0)=0,"",INDEX('كشف الحساب'!$H$4:$H$203,IFERROR(MATCH(9,'كشف الحساب'!$N$4:$N$203,0),0))),"")</f>
        <v/>
      </c>
      <c r="I13" s="61">
        <f>IFERROR(IF(IFERROR(MATCH(9,'كشف الحساب'!$N$4:$N$203,0),0)=0,"",INDEX('كشف الحساب'!$I$4:$I$203,IFERROR(MATCH(9,'كشف الحساب'!$N$4:$N$203,0),0))),"")</f>
        <v/>
      </c>
      <c r="J13" s="43">
        <f>IFERROR(IF(IFERROR(MATCH(9,'كشف الحساب'!$N$4:$N$203,0),0)=0,"",INDEX('كشف الحساب'!$J$4:$J$203,IFERROR(MATCH(9,'كشف الحساب'!$N$4:$N$203,0),0))),"")</f>
        <v/>
      </c>
      <c r="K13" s="61">
        <f>IFERROR(IF(IFERROR(MATCH(9,'كشف الحساب'!$N$4:$N$203,0),0)=0,"",INDEX('كشف الحساب'!$K$4:$K$203,IFERROR(MATCH(9,'كشف الحساب'!$N$4:$N$203,0),0))),"")</f>
        <v/>
      </c>
    </row>
    <row r="14" ht="16.5" customHeight="1" s="165">
      <c r="A14" s="25">
        <f>IFERROR(IF(IFERROR(MATCH(10,'كشف الحساب'!$N$4:$N$203,0),0)=0,"",INDEX('كشف الحساب'!$A$4:$A$203,IFERROR(MATCH(10,'كشف الحساب'!$N$4:$N$203,0),0))),"")</f>
        <v/>
      </c>
      <c r="B14" s="63">
        <f>IFERROR(IF(IFERROR(MATCH(10,'كشف الحساب'!$N$4:$N$203,0),0)=0,"",INDEX('كشف الحساب'!$B$4:$B$203,IFERROR(MATCH(10,'كشف الحساب'!$N$4:$N$203,0),0))),"")</f>
        <v/>
      </c>
      <c r="C14" s="27">
        <f>IFERROR(IF(IFERROR(MATCH(10,'كشف الحساب'!$N$4:$N$203,0),0)=0,"",INDEX('كشف الحساب'!$C$4:$C$203,IFERROR(MATCH(10,'كشف الحساب'!$N$4:$N$203,0),0))),"")</f>
        <v/>
      </c>
      <c r="D14" s="28">
        <f>IFERROR(IF(IFERROR(MATCH(10,'كشف الحساب'!$N$4:$N$203,0),0)=0,"",INDEX('كشف الحساب'!$D$4:$D$203,IFERROR(MATCH(10,'كشف الحساب'!$N$4:$N$203,0),0))),"")</f>
        <v/>
      </c>
      <c r="E14" s="64">
        <f>IFERROR(IF(IFERROR(MATCH(10,'كشف الحساب'!$N$4:$N$203,0),0)=0,"",INDEX('كشف الحساب'!$E$4:$E$203,IFERROR(MATCH(10,'كشف الحساب'!$N$4:$N$203,0),0))),"")</f>
        <v/>
      </c>
      <c r="F14" s="63">
        <f>IFERROR(IF(IFERROR(MATCH(10,'كشف الحساب'!$N$4:$N$203,0),0)=0,"",INDEX('كشف الحساب'!$F$4:$F$203,IFERROR(MATCH(10,'كشف الحساب'!$N$4:$N$203,0),0))),"")</f>
        <v/>
      </c>
      <c r="G14" s="63">
        <f>IFERROR(IF(IFERROR(MATCH(10,'كشف الحساب'!$N$4:$N$203,0),0)=0,"",INDEX('كشف الحساب'!$G$4:$G$203,IFERROR(MATCH(10,'كشف الحساب'!$N$4:$N$203,0),0))),"")</f>
        <v/>
      </c>
      <c r="H14" s="63">
        <f>IFERROR(IF(IFERROR(MATCH(10,'كشف الحساب'!$N$4:$N$203,0),0)=0,"",INDEX('كشف الحساب'!$H$4:$H$203,IFERROR(MATCH(10,'كشف الحساب'!$N$4:$N$203,0),0))),"")</f>
        <v/>
      </c>
      <c r="I14" s="63">
        <f>IFERROR(IF(IFERROR(MATCH(10,'كشف الحساب'!$N$4:$N$203,0),0)=0,"",INDEX('كشف الحساب'!$I$4:$I$203,IFERROR(MATCH(10,'كشف الحساب'!$N$4:$N$203,0),0))),"")</f>
        <v/>
      </c>
      <c r="J14" s="34">
        <f>IFERROR(IF(IFERROR(MATCH(10,'كشف الحساب'!$N$4:$N$203,0),0)=0,"",INDEX('كشف الحساب'!$J$4:$J$203,IFERROR(MATCH(10,'كشف الحساب'!$N$4:$N$203,0),0))),"")</f>
        <v/>
      </c>
      <c r="K14" s="63">
        <f>IFERROR(IF(IFERROR(MATCH(10,'كشف الحساب'!$N$4:$N$203,0),0)=0,"",INDEX('كشف الحساب'!$K$4:$K$203,IFERROR(MATCH(10,'كشف الحساب'!$N$4:$N$203,0),0))),"")</f>
        <v/>
      </c>
    </row>
    <row r="15" ht="16.5" customHeight="1" s="165">
      <c r="A15" s="167">
        <f>IFERROR(IF(IFERROR(MATCH(11,'كشف الحساب'!$N$4:$N$203,0),0)=0,"",INDEX('كشف الحساب'!$A$4:$A$203,IFERROR(MATCH(11,'كشف الحساب'!$N$4:$N$203,0),0))),"")</f>
        <v/>
      </c>
      <c r="B15" s="61">
        <f>IFERROR(IF(IFERROR(MATCH(11,'كشف الحساب'!$N$4:$N$203,0),0)=0,"",INDEX('كشف الحساب'!$B$4:$B$203,IFERROR(MATCH(11,'كشف الحساب'!$N$4:$N$203,0),0))),"")</f>
        <v/>
      </c>
      <c r="C15" s="37">
        <f>IFERROR(IF(IFERROR(MATCH(11,'كشف الحساب'!$N$4:$N$203,0),0)=0,"",INDEX('كشف الحساب'!$C$4:$C$203,IFERROR(MATCH(11,'كشف الحساب'!$N$4:$N$203,0),0))),"")</f>
        <v/>
      </c>
      <c r="D15" s="38">
        <f>IFERROR(IF(IFERROR(MATCH(11,'كشف الحساب'!$N$4:$N$203,0),0)=0,"",INDEX('كشف الحساب'!$D$4:$D$203,IFERROR(MATCH(11,'كشف الحساب'!$N$4:$N$203,0),0))),"")</f>
        <v/>
      </c>
      <c r="E15" s="62">
        <f>IFERROR(IF(IFERROR(MATCH(11,'كشف الحساب'!$N$4:$N$203,0),0)=0,"",INDEX('كشف الحساب'!$E$4:$E$203,IFERROR(MATCH(11,'كشف الحساب'!$N$4:$N$203,0),0))),"")</f>
        <v/>
      </c>
      <c r="F15" s="61">
        <f>IFERROR(IF(IFERROR(MATCH(11,'كشف الحساب'!$N$4:$N$203,0),0)=0,"",INDEX('كشف الحساب'!$F$4:$F$203,IFERROR(MATCH(11,'كشف الحساب'!$N$4:$N$203,0),0))),"")</f>
        <v/>
      </c>
      <c r="G15" s="61">
        <f>IFERROR(IF(IFERROR(MATCH(11,'كشف الحساب'!$N$4:$N$203,0),0)=0,"",INDEX('كشف الحساب'!$G$4:$G$203,IFERROR(MATCH(11,'كشف الحساب'!$N$4:$N$203,0),0))),"")</f>
        <v/>
      </c>
      <c r="H15" s="61">
        <f>IFERROR(IF(IFERROR(MATCH(11,'كشف الحساب'!$N$4:$N$203,0),0)=0,"",INDEX('كشف الحساب'!$H$4:$H$203,IFERROR(MATCH(11,'كشف الحساب'!$N$4:$N$203,0),0))),"")</f>
        <v/>
      </c>
      <c r="I15" s="61">
        <f>IFERROR(IF(IFERROR(MATCH(11,'كشف الحساب'!$N$4:$N$203,0),0)=0,"",INDEX('كشف الحساب'!$I$4:$I$203,IFERROR(MATCH(11,'كشف الحساب'!$N$4:$N$203,0),0))),"")</f>
        <v/>
      </c>
      <c r="J15" s="43">
        <f>IFERROR(IF(IFERROR(MATCH(11,'كشف الحساب'!$N$4:$N$203,0),0)=0,"",INDEX('كشف الحساب'!$J$4:$J$203,IFERROR(MATCH(11,'كشف الحساب'!$N$4:$N$203,0),0))),"")</f>
        <v/>
      </c>
      <c r="K15" s="61">
        <f>IFERROR(IF(IFERROR(MATCH(11,'كشف الحساب'!$N$4:$N$203,0),0)=0,"",INDEX('كشف الحساب'!$K$4:$K$203,IFERROR(MATCH(11,'كشف الحساب'!$N$4:$N$203,0),0))),"")</f>
        <v/>
      </c>
    </row>
    <row r="16" ht="16.5" customHeight="1" s="165">
      <c r="A16" s="25">
        <f>IFERROR(IF(IFERROR(MATCH(12,'كشف الحساب'!$N$4:$N$203,0),0)=0,"",INDEX('كشف الحساب'!$A$4:$A$203,IFERROR(MATCH(12,'كشف الحساب'!$N$4:$N$203,0),0))),"")</f>
        <v/>
      </c>
      <c r="B16" s="63">
        <f>IFERROR(IF(IFERROR(MATCH(12,'كشف الحساب'!$N$4:$N$203,0),0)=0,"",INDEX('كشف الحساب'!$B$4:$B$203,IFERROR(MATCH(12,'كشف الحساب'!$N$4:$N$203,0),0))),"")</f>
        <v/>
      </c>
      <c r="C16" s="27">
        <f>IFERROR(IF(IFERROR(MATCH(12,'كشف الحساب'!$N$4:$N$203,0),0)=0,"",INDEX('كشف الحساب'!$C$4:$C$203,IFERROR(MATCH(12,'كشف الحساب'!$N$4:$N$203,0),0))),"")</f>
        <v/>
      </c>
      <c r="D16" s="28">
        <f>IFERROR(IF(IFERROR(MATCH(12,'كشف الحساب'!$N$4:$N$203,0),0)=0,"",INDEX('كشف الحساب'!$D$4:$D$203,IFERROR(MATCH(12,'كشف الحساب'!$N$4:$N$203,0),0))),"")</f>
        <v/>
      </c>
      <c r="E16" s="64">
        <f>IFERROR(IF(IFERROR(MATCH(12,'كشف الحساب'!$N$4:$N$203,0),0)=0,"",INDEX('كشف الحساب'!$E$4:$E$203,IFERROR(MATCH(12,'كشف الحساب'!$N$4:$N$203,0),0))),"")</f>
        <v/>
      </c>
      <c r="F16" s="63">
        <f>IFERROR(IF(IFERROR(MATCH(12,'كشف الحساب'!$N$4:$N$203,0),0)=0,"",INDEX('كشف الحساب'!$F$4:$F$203,IFERROR(MATCH(12,'كشف الحساب'!$N$4:$N$203,0),0))),"")</f>
        <v/>
      </c>
      <c r="G16" s="63">
        <f>IFERROR(IF(IFERROR(MATCH(12,'كشف الحساب'!$N$4:$N$203,0),0)=0,"",INDEX('كشف الحساب'!$G$4:$G$203,IFERROR(MATCH(12,'كشف الحساب'!$N$4:$N$203,0),0))),"")</f>
        <v/>
      </c>
      <c r="H16" s="63">
        <f>IFERROR(IF(IFERROR(MATCH(12,'كشف الحساب'!$N$4:$N$203,0),0)=0,"",INDEX('كشف الحساب'!$H$4:$H$203,IFERROR(MATCH(12,'كشف الحساب'!$N$4:$N$203,0),0))),"")</f>
        <v/>
      </c>
      <c r="I16" s="63">
        <f>IFERROR(IF(IFERROR(MATCH(12,'كشف الحساب'!$N$4:$N$203,0),0)=0,"",INDEX('كشف الحساب'!$I$4:$I$203,IFERROR(MATCH(12,'كشف الحساب'!$N$4:$N$203,0),0))),"")</f>
        <v/>
      </c>
      <c r="J16" s="34">
        <f>IFERROR(IF(IFERROR(MATCH(12,'كشف الحساب'!$N$4:$N$203,0),0)=0,"",INDEX('كشف الحساب'!$J$4:$J$203,IFERROR(MATCH(12,'كشف الحساب'!$N$4:$N$203,0),0))),"")</f>
        <v/>
      </c>
      <c r="K16" s="63">
        <f>IFERROR(IF(IFERROR(MATCH(12,'كشف الحساب'!$N$4:$N$203,0),0)=0,"",INDEX('كشف الحساب'!$K$4:$K$203,IFERROR(MATCH(12,'كشف الحساب'!$N$4:$N$203,0),0))),"")</f>
        <v/>
      </c>
    </row>
    <row r="17" ht="16.5" customHeight="1" s="165">
      <c r="A17" s="167">
        <f>IFERROR(IF(IFERROR(MATCH(13,'كشف الحساب'!$N$4:$N$203,0),0)=0,"",INDEX('كشف الحساب'!$A$4:$A$203,IFERROR(MATCH(13,'كشف الحساب'!$N$4:$N$203,0),0))),"")</f>
        <v/>
      </c>
      <c r="B17" s="61">
        <f>IFERROR(IF(IFERROR(MATCH(13,'كشف الحساب'!$N$4:$N$203,0),0)=0,"",INDEX('كشف الحساب'!$B$4:$B$203,IFERROR(MATCH(13,'كشف الحساب'!$N$4:$N$203,0),0))),"")</f>
        <v/>
      </c>
      <c r="C17" s="37">
        <f>IFERROR(IF(IFERROR(MATCH(13,'كشف الحساب'!$N$4:$N$203,0),0)=0,"",INDEX('كشف الحساب'!$C$4:$C$203,IFERROR(MATCH(13,'كشف الحساب'!$N$4:$N$203,0),0))),"")</f>
        <v/>
      </c>
      <c r="D17" s="38">
        <f>IFERROR(IF(IFERROR(MATCH(13,'كشف الحساب'!$N$4:$N$203,0),0)=0,"",INDEX('كشف الحساب'!$D$4:$D$203,IFERROR(MATCH(13,'كشف الحساب'!$N$4:$N$203,0),0))),"")</f>
        <v/>
      </c>
      <c r="E17" s="62">
        <f>IFERROR(IF(IFERROR(MATCH(13,'كشف الحساب'!$N$4:$N$203,0),0)=0,"",INDEX('كشف الحساب'!$E$4:$E$203,IFERROR(MATCH(13,'كشف الحساب'!$N$4:$N$203,0),0))),"")</f>
        <v/>
      </c>
      <c r="F17" s="61">
        <f>IFERROR(IF(IFERROR(MATCH(13,'كشف الحساب'!$N$4:$N$203,0),0)=0,"",INDEX('كشف الحساب'!$F$4:$F$203,IFERROR(MATCH(13,'كشف الحساب'!$N$4:$N$203,0),0))),"")</f>
        <v/>
      </c>
      <c r="G17" s="61">
        <f>IFERROR(IF(IFERROR(MATCH(13,'كشف الحساب'!$N$4:$N$203,0),0)=0,"",INDEX('كشف الحساب'!$G$4:$G$203,IFERROR(MATCH(13,'كشف الحساب'!$N$4:$N$203,0),0))),"")</f>
        <v/>
      </c>
      <c r="H17" s="61">
        <f>IFERROR(IF(IFERROR(MATCH(13,'كشف الحساب'!$N$4:$N$203,0),0)=0,"",INDEX('كشف الحساب'!$H$4:$H$203,IFERROR(MATCH(13,'كشف الحساب'!$N$4:$N$203,0),0))),"")</f>
        <v/>
      </c>
      <c r="I17" s="61">
        <f>IFERROR(IF(IFERROR(MATCH(13,'كشف الحساب'!$N$4:$N$203,0),0)=0,"",INDEX('كشف الحساب'!$I$4:$I$203,IFERROR(MATCH(13,'كشف الحساب'!$N$4:$N$203,0),0))),"")</f>
        <v/>
      </c>
      <c r="J17" s="43">
        <f>IFERROR(IF(IFERROR(MATCH(13,'كشف الحساب'!$N$4:$N$203,0),0)=0,"",INDEX('كشف الحساب'!$J$4:$J$203,IFERROR(MATCH(13,'كشف الحساب'!$N$4:$N$203,0),0))),"")</f>
        <v/>
      </c>
      <c r="K17" s="61">
        <f>IFERROR(IF(IFERROR(MATCH(13,'كشف الحساب'!$N$4:$N$203,0),0)=0,"",INDEX('كشف الحساب'!$K$4:$K$203,IFERROR(MATCH(13,'كشف الحساب'!$N$4:$N$203,0),0))),"")</f>
        <v/>
      </c>
    </row>
    <row r="18" ht="16.5" customHeight="1" s="165">
      <c r="A18" s="25">
        <f>IFERROR(IF(IFERROR(MATCH(14,'كشف الحساب'!$N$4:$N$203,0),0)=0,"",INDEX('كشف الحساب'!$A$4:$A$203,IFERROR(MATCH(14,'كشف الحساب'!$N$4:$N$203,0),0))),"")</f>
        <v/>
      </c>
      <c r="B18" s="63">
        <f>IFERROR(IF(IFERROR(MATCH(14,'كشف الحساب'!$N$4:$N$203,0),0)=0,"",INDEX('كشف الحساب'!$B$4:$B$203,IFERROR(MATCH(14,'كشف الحساب'!$N$4:$N$203,0),0))),"")</f>
        <v/>
      </c>
      <c r="C18" s="27">
        <f>IFERROR(IF(IFERROR(MATCH(14,'كشف الحساب'!$N$4:$N$203,0),0)=0,"",INDEX('كشف الحساب'!$C$4:$C$203,IFERROR(MATCH(14,'كشف الحساب'!$N$4:$N$203,0),0))),"")</f>
        <v/>
      </c>
      <c r="D18" s="28">
        <f>IFERROR(IF(IFERROR(MATCH(14,'كشف الحساب'!$N$4:$N$203,0),0)=0,"",INDEX('كشف الحساب'!$D$4:$D$203,IFERROR(MATCH(14,'كشف الحساب'!$N$4:$N$203,0),0))),"")</f>
        <v/>
      </c>
      <c r="E18" s="64">
        <f>IFERROR(IF(IFERROR(MATCH(14,'كشف الحساب'!$N$4:$N$203,0),0)=0,"",INDEX('كشف الحساب'!$E$4:$E$203,IFERROR(MATCH(14,'كشف الحساب'!$N$4:$N$203,0),0))),"")</f>
        <v/>
      </c>
      <c r="F18" s="63">
        <f>IFERROR(IF(IFERROR(MATCH(14,'كشف الحساب'!$N$4:$N$203,0),0)=0,"",INDEX('كشف الحساب'!$F$4:$F$203,IFERROR(MATCH(14,'كشف الحساب'!$N$4:$N$203,0),0))),"")</f>
        <v/>
      </c>
      <c r="G18" s="63">
        <f>IFERROR(IF(IFERROR(MATCH(14,'كشف الحساب'!$N$4:$N$203,0),0)=0,"",INDEX('كشف الحساب'!$G$4:$G$203,IFERROR(MATCH(14,'كشف الحساب'!$N$4:$N$203,0),0))),"")</f>
        <v/>
      </c>
      <c r="H18" s="63">
        <f>IFERROR(IF(IFERROR(MATCH(14,'كشف الحساب'!$N$4:$N$203,0),0)=0,"",INDEX('كشف الحساب'!$H$4:$H$203,IFERROR(MATCH(14,'كشف الحساب'!$N$4:$N$203,0),0))),"")</f>
        <v/>
      </c>
      <c r="I18" s="63">
        <f>IFERROR(IF(IFERROR(MATCH(14,'كشف الحساب'!$N$4:$N$203,0),0)=0,"",INDEX('كشف الحساب'!$I$4:$I$203,IFERROR(MATCH(14,'كشف الحساب'!$N$4:$N$203,0),0))),"")</f>
        <v/>
      </c>
      <c r="J18" s="34">
        <f>IFERROR(IF(IFERROR(MATCH(14,'كشف الحساب'!$N$4:$N$203,0),0)=0,"",INDEX('كشف الحساب'!$J$4:$J$203,IFERROR(MATCH(14,'كشف الحساب'!$N$4:$N$203,0),0))),"")</f>
        <v/>
      </c>
      <c r="K18" s="63">
        <f>IFERROR(IF(IFERROR(MATCH(14,'كشف الحساب'!$N$4:$N$203,0),0)=0,"",INDEX('كشف الحساب'!$K$4:$K$203,IFERROR(MATCH(14,'كشف الحساب'!$N$4:$N$203,0),0))),"")</f>
        <v/>
      </c>
    </row>
    <row r="19" ht="16.5" customHeight="1" s="165">
      <c r="A19" s="167">
        <f>IFERROR(IF(IFERROR(MATCH(15,'كشف الحساب'!$N$4:$N$203,0),0)=0,"",INDEX('كشف الحساب'!$A$4:$A$203,IFERROR(MATCH(15,'كشف الحساب'!$N$4:$N$203,0),0))),"")</f>
        <v/>
      </c>
      <c r="B19" s="61">
        <f>IFERROR(IF(IFERROR(MATCH(15,'كشف الحساب'!$N$4:$N$203,0),0)=0,"",INDEX('كشف الحساب'!$B$4:$B$203,IFERROR(MATCH(15,'كشف الحساب'!$N$4:$N$203,0),0))),"")</f>
        <v/>
      </c>
      <c r="C19" s="37">
        <f>IFERROR(IF(IFERROR(MATCH(15,'كشف الحساب'!$N$4:$N$203,0),0)=0,"",INDEX('كشف الحساب'!$C$4:$C$203,IFERROR(MATCH(15,'كشف الحساب'!$N$4:$N$203,0),0))),"")</f>
        <v/>
      </c>
      <c r="D19" s="38">
        <f>IFERROR(IF(IFERROR(MATCH(15,'كشف الحساب'!$N$4:$N$203,0),0)=0,"",INDEX('كشف الحساب'!$D$4:$D$203,IFERROR(MATCH(15,'كشف الحساب'!$N$4:$N$203,0),0))),"")</f>
        <v/>
      </c>
      <c r="E19" s="62">
        <f>IFERROR(IF(IFERROR(MATCH(15,'كشف الحساب'!$N$4:$N$203,0),0)=0,"",INDEX('كشف الحساب'!$E$4:$E$203,IFERROR(MATCH(15,'كشف الحساب'!$N$4:$N$203,0),0))),"")</f>
        <v/>
      </c>
      <c r="F19" s="61">
        <f>IFERROR(IF(IFERROR(MATCH(15,'كشف الحساب'!$N$4:$N$203,0),0)=0,"",INDEX('كشف الحساب'!$F$4:$F$203,IFERROR(MATCH(15,'كشف الحساب'!$N$4:$N$203,0),0))),"")</f>
        <v/>
      </c>
      <c r="G19" s="61">
        <f>IFERROR(IF(IFERROR(MATCH(15,'كشف الحساب'!$N$4:$N$203,0),0)=0,"",INDEX('كشف الحساب'!$G$4:$G$203,IFERROR(MATCH(15,'كشف الحساب'!$N$4:$N$203,0),0))),"")</f>
        <v/>
      </c>
      <c r="H19" s="61">
        <f>IFERROR(IF(IFERROR(MATCH(15,'كشف الحساب'!$N$4:$N$203,0),0)=0,"",INDEX('كشف الحساب'!$H$4:$H$203,IFERROR(MATCH(15,'كشف الحساب'!$N$4:$N$203,0),0))),"")</f>
        <v/>
      </c>
      <c r="I19" s="61">
        <f>IFERROR(IF(IFERROR(MATCH(15,'كشف الحساب'!$N$4:$N$203,0),0)=0,"",INDEX('كشف الحساب'!$I$4:$I$203,IFERROR(MATCH(15,'كشف الحساب'!$N$4:$N$203,0),0))),"")</f>
        <v/>
      </c>
      <c r="J19" s="43">
        <f>IFERROR(IF(IFERROR(MATCH(15,'كشف الحساب'!$N$4:$N$203,0),0)=0,"",INDEX('كشف الحساب'!$J$4:$J$203,IFERROR(MATCH(15,'كشف الحساب'!$N$4:$N$203,0),0))),"")</f>
        <v/>
      </c>
      <c r="K19" s="61">
        <f>IFERROR(IF(IFERROR(MATCH(15,'كشف الحساب'!$N$4:$N$203,0),0)=0,"",INDEX('كشف الحساب'!$K$4:$K$203,IFERROR(MATCH(15,'كشف الحساب'!$N$4:$N$203,0),0))),"")</f>
        <v/>
      </c>
    </row>
    <row r="20" ht="16.5" customHeight="1" s="165">
      <c r="A20" s="25">
        <f>IFERROR(IF(IFERROR(MATCH(16,'كشف الحساب'!$N$4:$N$203,0),0)=0,"",INDEX('كشف الحساب'!$A$4:$A$203,IFERROR(MATCH(16,'كشف الحساب'!$N$4:$N$203,0),0))),"")</f>
        <v/>
      </c>
      <c r="B20" s="63">
        <f>IFERROR(IF(IFERROR(MATCH(16,'كشف الحساب'!$N$4:$N$203,0),0)=0,"",INDEX('كشف الحساب'!$B$4:$B$203,IFERROR(MATCH(16,'كشف الحساب'!$N$4:$N$203,0),0))),"")</f>
        <v/>
      </c>
      <c r="C20" s="27">
        <f>IFERROR(IF(IFERROR(MATCH(16,'كشف الحساب'!$N$4:$N$203,0),0)=0,"",INDEX('كشف الحساب'!$C$4:$C$203,IFERROR(MATCH(16,'كشف الحساب'!$N$4:$N$203,0),0))),"")</f>
        <v/>
      </c>
      <c r="D20" s="28">
        <f>IFERROR(IF(IFERROR(MATCH(16,'كشف الحساب'!$N$4:$N$203,0),0)=0,"",INDEX('كشف الحساب'!$D$4:$D$203,IFERROR(MATCH(16,'كشف الحساب'!$N$4:$N$203,0),0))),"")</f>
        <v/>
      </c>
      <c r="E20" s="64">
        <f>IFERROR(IF(IFERROR(MATCH(16,'كشف الحساب'!$N$4:$N$203,0),0)=0,"",INDEX('كشف الحساب'!$E$4:$E$203,IFERROR(MATCH(16,'كشف الحساب'!$N$4:$N$203,0),0))),"")</f>
        <v/>
      </c>
      <c r="F20" s="63">
        <f>IFERROR(IF(IFERROR(MATCH(16,'كشف الحساب'!$N$4:$N$203,0),0)=0,"",INDEX('كشف الحساب'!$F$4:$F$203,IFERROR(MATCH(16,'كشف الحساب'!$N$4:$N$203,0),0))),"")</f>
        <v/>
      </c>
      <c r="G20" s="63">
        <f>IFERROR(IF(IFERROR(MATCH(16,'كشف الحساب'!$N$4:$N$203,0),0)=0,"",INDEX('كشف الحساب'!$G$4:$G$203,IFERROR(MATCH(16,'كشف الحساب'!$N$4:$N$203,0),0))),"")</f>
        <v/>
      </c>
      <c r="H20" s="63">
        <f>IFERROR(IF(IFERROR(MATCH(16,'كشف الحساب'!$N$4:$N$203,0),0)=0,"",INDEX('كشف الحساب'!$H$4:$H$203,IFERROR(MATCH(16,'كشف الحساب'!$N$4:$N$203,0),0))),"")</f>
        <v/>
      </c>
      <c r="I20" s="63">
        <f>IFERROR(IF(IFERROR(MATCH(16,'كشف الحساب'!$N$4:$N$203,0),0)=0,"",INDEX('كشف الحساب'!$I$4:$I$203,IFERROR(MATCH(16,'كشف الحساب'!$N$4:$N$203,0),0))),"")</f>
        <v/>
      </c>
      <c r="J20" s="34">
        <f>IFERROR(IF(IFERROR(MATCH(16,'كشف الحساب'!$N$4:$N$203,0),0)=0,"",INDEX('كشف الحساب'!$J$4:$J$203,IFERROR(MATCH(16,'كشف الحساب'!$N$4:$N$203,0),0))),"")</f>
        <v/>
      </c>
      <c r="K20" s="63">
        <f>IFERROR(IF(IFERROR(MATCH(16,'كشف الحساب'!$N$4:$N$203,0),0)=0,"",INDEX('كشف الحساب'!$K$4:$K$203,IFERROR(MATCH(16,'كشف الحساب'!$N$4:$N$203,0),0))),"")</f>
        <v/>
      </c>
    </row>
    <row r="21" ht="16.5" customHeight="1" s="165">
      <c r="A21" s="167">
        <f>IFERROR(IF(IFERROR(MATCH(17,'كشف الحساب'!$N$4:$N$203,0),0)=0,"",INDEX('كشف الحساب'!$A$4:$A$203,IFERROR(MATCH(17,'كشف الحساب'!$N$4:$N$203,0),0))),"")</f>
        <v/>
      </c>
      <c r="B21" s="61">
        <f>IFERROR(IF(IFERROR(MATCH(17,'كشف الحساب'!$N$4:$N$203,0),0)=0,"",INDEX('كشف الحساب'!$B$4:$B$203,IFERROR(MATCH(17,'كشف الحساب'!$N$4:$N$203,0),0))),"")</f>
        <v/>
      </c>
      <c r="C21" s="37">
        <f>IFERROR(IF(IFERROR(MATCH(17,'كشف الحساب'!$N$4:$N$203,0),0)=0,"",INDEX('كشف الحساب'!$C$4:$C$203,IFERROR(MATCH(17,'كشف الحساب'!$N$4:$N$203,0),0))),"")</f>
        <v/>
      </c>
      <c r="D21" s="38">
        <f>IFERROR(IF(IFERROR(MATCH(17,'كشف الحساب'!$N$4:$N$203,0),0)=0,"",INDEX('كشف الحساب'!$D$4:$D$203,IFERROR(MATCH(17,'كشف الحساب'!$N$4:$N$203,0),0))),"")</f>
        <v/>
      </c>
      <c r="E21" s="62">
        <f>IFERROR(IF(IFERROR(MATCH(17,'كشف الحساب'!$N$4:$N$203,0),0)=0,"",INDEX('كشف الحساب'!$E$4:$E$203,IFERROR(MATCH(17,'كشف الحساب'!$N$4:$N$203,0),0))),"")</f>
        <v/>
      </c>
      <c r="F21" s="61">
        <f>IFERROR(IF(IFERROR(MATCH(17,'كشف الحساب'!$N$4:$N$203,0),0)=0,"",INDEX('كشف الحساب'!$F$4:$F$203,IFERROR(MATCH(17,'كشف الحساب'!$N$4:$N$203,0),0))),"")</f>
        <v/>
      </c>
      <c r="G21" s="61">
        <f>IFERROR(IF(IFERROR(MATCH(17,'كشف الحساب'!$N$4:$N$203,0),0)=0,"",INDEX('كشف الحساب'!$G$4:$G$203,IFERROR(MATCH(17,'كشف الحساب'!$N$4:$N$203,0),0))),"")</f>
        <v/>
      </c>
      <c r="H21" s="61">
        <f>IFERROR(IF(IFERROR(MATCH(17,'كشف الحساب'!$N$4:$N$203,0),0)=0,"",INDEX('كشف الحساب'!$H$4:$H$203,IFERROR(MATCH(17,'كشف الحساب'!$N$4:$N$203,0),0))),"")</f>
        <v/>
      </c>
      <c r="I21" s="61">
        <f>IFERROR(IF(IFERROR(MATCH(17,'كشف الحساب'!$N$4:$N$203,0),0)=0,"",INDEX('كشف الحساب'!$I$4:$I$203,IFERROR(MATCH(17,'كشف الحساب'!$N$4:$N$203,0),0))),"")</f>
        <v/>
      </c>
      <c r="J21" s="43">
        <f>IFERROR(IF(IFERROR(MATCH(17,'كشف الحساب'!$N$4:$N$203,0),0)=0,"",INDEX('كشف الحساب'!$J$4:$J$203,IFERROR(MATCH(17,'كشف الحساب'!$N$4:$N$203,0),0))),"")</f>
        <v/>
      </c>
      <c r="K21" s="61">
        <f>IFERROR(IF(IFERROR(MATCH(17,'كشف الحساب'!$N$4:$N$203,0),0)=0,"",INDEX('كشف الحساب'!$K$4:$K$203,IFERROR(MATCH(17,'كشف الحساب'!$N$4:$N$203,0),0))),"")</f>
        <v/>
      </c>
    </row>
    <row r="22" ht="16.5" customHeight="1" s="165">
      <c r="A22" s="25">
        <f>IFERROR(IF(IFERROR(MATCH(18,'كشف الحساب'!$N$4:$N$203,0),0)=0,"",INDEX('كشف الحساب'!$A$4:$A$203,IFERROR(MATCH(18,'كشف الحساب'!$N$4:$N$203,0),0))),"")</f>
        <v/>
      </c>
      <c r="B22" s="63">
        <f>IFERROR(IF(IFERROR(MATCH(18,'كشف الحساب'!$N$4:$N$203,0),0)=0,"",INDEX('كشف الحساب'!$B$4:$B$203,IFERROR(MATCH(18,'كشف الحساب'!$N$4:$N$203,0),0))),"")</f>
        <v/>
      </c>
      <c r="C22" s="27">
        <f>IFERROR(IF(IFERROR(MATCH(18,'كشف الحساب'!$N$4:$N$203,0),0)=0,"",INDEX('كشف الحساب'!$C$4:$C$203,IFERROR(MATCH(18,'كشف الحساب'!$N$4:$N$203,0),0))),"")</f>
        <v/>
      </c>
      <c r="D22" s="28">
        <f>IFERROR(IF(IFERROR(MATCH(18,'كشف الحساب'!$N$4:$N$203,0),0)=0,"",INDEX('كشف الحساب'!$D$4:$D$203,IFERROR(MATCH(18,'كشف الحساب'!$N$4:$N$203,0),0))),"")</f>
        <v/>
      </c>
      <c r="E22" s="64">
        <f>IFERROR(IF(IFERROR(MATCH(18,'كشف الحساب'!$N$4:$N$203,0),0)=0,"",INDEX('كشف الحساب'!$E$4:$E$203,IFERROR(MATCH(18,'كشف الحساب'!$N$4:$N$203,0),0))),"")</f>
        <v/>
      </c>
      <c r="F22" s="63">
        <f>IFERROR(IF(IFERROR(MATCH(18,'كشف الحساب'!$N$4:$N$203,0),0)=0,"",INDEX('كشف الحساب'!$F$4:$F$203,IFERROR(MATCH(18,'كشف الحساب'!$N$4:$N$203,0),0))),"")</f>
        <v/>
      </c>
      <c r="G22" s="63">
        <f>IFERROR(IF(IFERROR(MATCH(18,'كشف الحساب'!$N$4:$N$203,0),0)=0,"",INDEX('كشف الحساب'!$G$4:$G$203,IFERROR(MATCH(18,'كشف الحساب'!$N$4:$N$203,0),0))),"")</f>
        <v/>
      </c>
      <c r="H22" s="63">
        <f>IFERROR(IF(IFERROR(MATCH(18,'كشف الحساب'!$N$4:$N$203,0),0)=0,"",INDEX('كشف الحساب'!$H$4:$H$203,IFERROR(MATCH(18,'كشف الحساب'!$N$4:$N$203,0),0))),"")</f>
        <v/>
      </c>
      <c r="I22" s="63">
        <f>IFERROR(IF(IFERROR(MATCH(18,'كشف الحساب'!$N$4:$N$203,0),0)=0,"",INDEX('كشف الحساب'!$I$4:$I$203,IFERROR(MATCH(18,'كشف الحساب'!$N$4:$N$203,0),0))),"")</f>
        <v/>
      </c>
      <c r="J22" s="34">
        <f>IFERROR(IF(IFERROR(MATCH(18,'كشف الحساب'!$N$4:$N$203,0),0)=0,"",INDEX('كشف الحساب'!$J$4:$J$203,IFERROR(MATCH(18,'كشف الحساب'!$N$4:$N$203,0),0))),"")</f>
        <v/>
      </c>
      <c r="K22" s="63">
        <f>IFERROR(IF(IFERROR(MATCH(18,'كشف الحساب'!$N$4:$N$203,0),0)=0,"",INDEX('كشف الحساب'!$K$4:$K$203,IFERROR(MATCH(18,'كشف الحساب'!$N$4:$N$203,0),0))),"")</f>
        <v/>
      </c>
    </row>
    <row r="23" ht="16.5" customHeight="1" s="165">
      <c r="A23" s="167">
        <f>IFERROR(IF(IFERROR(MATCH(19,'كشف الحساب'!$N$4:$N$203,0),0)=0,"",INDEX('كشف الحساب'!$A$4:$A$203,IFERROR(MATCH(19,'كشف الحساب'!$N$4:$N$203,0),0))),"")</f>
        <v/>
      </c>
      <c r="B23" s="61">
        <f>IFERROR(IF(IFERROR(MATCH(19,'كشف الحساب'!$N$4:$N$203,0),0)=0,"",INDEX('كشف الحساب'!$B$4:$B$203,IFERROR(MATCH(19,'كشف الحساب'!$N$4:$N$203,0),0))),"")</f>
        <v/>
      </c>
      <c r="C23" s="37">
        <f>IFERROR(IF(IFERROR(MATCH(19,'كشف الحساب'!$N$4:$N$203,0),0)=0,"",INDEX('كشف الحساب'!$C$4:$C$203,IFERROR(MATCH(19,'كشف الحساب'!$N$4:$N$203,0),0))),"")</f>
        <v/>
      </c>
      <c r="D23" s="38">
        <f>IFERROR(IF(IFERROR(MATCH(19,'كشف الحساب'!$N$4:$N$203,0),0)=0,"",INDEX('كشف الحساب'!$D$4:$D$203,IFERROR(MATCH(19,'كشف الحساب'!$N$4:$N$203,0),0))),"")</f>
        <v/>
      </c>
      <c r="E23" s="62">
        <f>IFERROR(IF(IFERROR(MATCH(19,'كشف الحساب'!$N$4:$N$203,0),0)=0,"",INDEX('كشف الحساب'!$E$4:$E$203,IFERROR(MATCH(19,'كشف الحساب'!$N$4:$N$203,0),0))),"")</f>
        <v/>
      </c>
      <c r="F23" s="61">
        <f>IFERROR(IF(IFERROR(MATCH(19,'كشف الحساب'!$N$4:$N$203,0),0)=0,"",INDEX('كشف الحساب'!$F$4:$F$203,IFERROR(MATCH(19,'كشف الحساب'!$N$4:$N$203,0),0))),"")</f>
        <v/>
      </c>
      <c r="G23" s="61">
        <f>IFERROR(IF(IFERROR(MATCH(19,'كشف الحساب'!$N$4:$N$203,0),0)=0,"",INDEX('كشف الحساب'!$G$4:$G$203,IFERROR(MATCH(19,'كشف الحساب'!$N$4:$N$203,0),0))),"")</f>
        <v/>
      </c>
      <c r="H23" s="61">
        <f>IFERROR(IF(IFERROR(MATCH(19,'كشف الحساب'!$N$4:$N$203,0),0)=0,"",INDEX('كشف الحساب'!$H$4:$H$203,IFERROR(MATCH(19,'كشف الحساب'!$N$4:$N$203,0),0))),"")</f>
        <v/>
      </c>
      <c r="I23" s="61">
        <f>IFERROR(IF(IFERROR(MATCH(19,'كشف الحساب'!$N$4:$N$203,0),0)=0,"",INDEX('كشف الحساب'!$I$4:$I$203,IFERROR(MATCH(19,'كشف الحساب'!$N$4:$N$203,0),0))),"")</f>
        <v/>
      </c>
      <c r="J23" s="43">
        <f>IFERROR(IF(IFERROR(MATCH(19,'كشف الحساب'!$N$4:$N$203,0),0)=0,"",INDEX('كشف الحساب'!$J$4:$J$203,IFERROR(MATCH(19,'كشف الحساب'!$N$4:$N$203,0),0))),"")</f>
        <v/>
      </c>
      <c r="K23" s="61">
        <f>IFERROR(IF(IFERROR(MATCH(19,'كشف الحساب'!$N$4:$N$203,0),0)=0,"",INDEX('كشف الحساب'!$K$4:$K$203,IFERROR(MATCH(19,'كشف الحساب'!$N$4:$N$203,0),0))),"")</f>
        <v/>
      </c>
    </row>
    <row r="24" ht="16.5" customHeight="1" s="165">
      <c r="A24" s="25">
        <f>IFERROR(IF(IFERROR(MATCH(20,'كشف الحساب'!$N$4:$N$203,0),0)=0,"",INDEX('كشف الحساب'!$A$4:$A$203,IFERROR(MATCH(20,'كشف الحساب'!$N$4:$N$203,0),0))),"")</f>
        <v/>
      </c>
      <c r="B24" s="63">
        <f>IFERROR(IF(IFERROR(MATCH(20,'كشف الحساب'!$N$4:$N$203,0),0)=0,"",INDEX('كشف الحساب'!$B$4:$B$203,IFERROR(MATCH(20,'كشف الحساب'!$N$4:$N$203,0),0))),"")</f>
        <v/>
      </c>
      <c r="C24" s="27">
        <f>IFERROR(IF(IFERROR(MATCH(20,'كشف الحساب'!$N$4:$N$203,0),0)=0,"",INDEX('كشف الحساب'!$C$4:$C$203,IFERROR(MATCH(20,'كشف الحساب'!$N$4:$N$203,0),0))),"")</f>
        <v/>
      </c>
      <c r="D24" s="28">
        <f>IFERROR(IF(IFERROR(MATCH(20,'كشف الحساب'!$N$4:$N$203,0),0)=0,"",INDEX('كشف الحساب'!$D$4:$D$203,IFERROR(MATCH(20,'كشف الحساب'!$N$4:$N$203,0),0))),"")</f>
        <v/>
      </c>
      <c r="E24" s="64">
        <f>IFERROR(IF(IFERROR(MATCH(20,'كشف الحساب'!$N$4:$N$203,0),0)=0,"",INDEX('كشف الحساب'!$E$4:$E$203,IFERROR(MATCH(20,'كشف الحساب'!$N$4:$N$203,0),0))),"")</f>
        <v/>
      </c>
      <c r="F24" s="63">
        <f>IFERROR(IF(IFERROR(MATCH(20,'كشف الحساب'!$N$4:$N$203,0),0)=0,"",INDEX('كشف الحساب'!$F$4:$F$203,IFERROR(MATCH(20,'كشف الحساب'!$N$4:$N$203,0),0))),"")</f>
        <v/>
      </c>
      <c r="G24" s="63">
        <f>IFERROR(IF(IFERROR(MATCH(20,'كشف الحساب'!$N$4:$N$203,0),0)=0,"",INDEX('كشف الحساب'!$G$4:$G$203,IFERROR(MATCH(20,'كشف الحساب'!$N$4:$N$203,0),0))),"")</f>
        <v/>
      </c>
      <c r="H24" s="63">
        <f>IFERROR(IF(IFERROR(MATCH(20,'كشف الحساب'!$N$4:$N$203,0),0)=0,"",INDEX('كشف الحساب'!$H$4:$H$203,IFERROR(MATCH(20,'كشف الحساب'!$N$4:$N$203,0),0))),"")</f>
        <v/>
      </c>
      <c r="I24" s="63">
        <f>IFERROR(IF(IFERROR(MATCH(20,'كشف الحساب'!$N$4:$N$203,0),0)=0,"",INDEX('كشف الحساب'!$I$4:$I$203,IFERROR(MATCH(20,'كشف الحساب'!$N$4:$N$203,0),0))),"")</f>
        <v/>
      </c>
      <c r="J24" s="34">
        <f>IFERROR(IF(IFERROR(MATCH(20,'كشف الحساب'!$N$4:$N$203,0),0)=0,"",INDEX('كشف الحساب'!$J$4:$J$203,IFERROR(MATCH(20,'كشف الحساب'!$N$4:$N$203,0),0))),"")</f>
        <v/>
      </c>
      <c r="K24" s="63">
        <f>IFERROR(IF(IFERROR(MATCH(20,'كشف الحساب'!$N$4:$N$203,0),0)=0,"",INDEX('كشف الحساب'!$K$4:$K$203,IFERROR(MATCH(20,'كشف الحساب'!$N$4:$N$203,0),0))),"")</f>
        <v/>
      </c>
    </row>
    <row r="25" ht="16.5" customHeight="1" s="165">
      <c r="A25" s="167">
        <f>IFERROR(IF(IFERROR(MATCH(21,'كشف الحساب'!$N$4:$N$203,0),0)=0,"",INDEX('كشف الحساب'!$A$4:$A$203,IFERROR(MATCH(21,'كشف الحساب'!$N$4:$N$203,0),0))),"")</f>
        <v/>
      </c>
      <c r="B25" s="61">
        <f>IFERROR(IF(IFERROR(MATCH(21,'كشف الحساب'!$N$4:$N$203,0),0)=0,"",INDEX('كشف الحساب'!$B$4:$B$203,IFERROR(MATCH(21,'كشف الحساب'!$N$4:$N$203,0),0))),"")</f>
        <v/>
      </c>
      <c r="C25" s="37">
        <f>IFERROR(IF(IFERROR(MATCH(21,'كشف الحساب'!$N$4:$N$203,0),0)=0,"",INDEX('كشف الحساب'!$C$4:$C$203,IFERROR(MATCH(21,'كشف الحساب'!$N$4:$N$203,0),0))),"")</f>
        <v/>
      </c>
      <c r="D25" s="38">
        <f>IFERROR(IF(IFERROR(MATCH(21,'كشف الحساب'!$N$4:$N$203,0),0)=0,"",INDEX('كشف الحساب'!$D$4:$D$203,IFERROR(MATCH(21,'كشف الحساب'!$N$4:$N$203,0),0))),"")</f>
        <v/>
      </c>
      <c r="E25" s="62">
        <f>IFERROR(IF(IFERROR(MATCH(21,'كشف الحساب'!$N$4:$N$203,0),0)=0,"",INDEX('كشف الحساب'!$E$4:$E$203,IFERROR(MATCH(21,'كشف الحساب'!$N$4:$N$203,0),0))),"")</f>
        <v/>
      </c>
      <c r="F25" s="61">
        <f>IFERROR(IF(IFERROR(MATCH(21,'كشف الحساب'!$N$4:$N$203,0),0)=0,"",INDEX('كشف الحساب'!$F$4:$F$203,IFERROR(MATCH(21,'كشف الحساب'!$N$4:$N$203,0),0))),"")</f>
        <v/>
      </c>
      <c r="G25" s="61">
        <f>IFERROR(IF(IFERROR(MATCH(21,'كشف الحساب'!$N$4:$N$203,0),0)=0,"",INDEX('كشف الحساب'!$G$4:$G$203,IFERROR(MATCH(21,'كشف الحساب'!$N$4:$N$203,0),0))),"")</f>
        <v/>
      </c>
      <c r="H25" s="61">
        <f>IFERROR(IF(IFERROR(MATCH(21,'كشف الحساب'!$N$4:$N$203,0),0)=0,"",INDEX('كشف الحساب'!$H$4:$H$203,IFERROR(MATCH(21,'كشف الحساب'!$N$4:$N$203,0),0))),"")</f>
        <v/>
      </c>
      <c r="I25" s="61">
        <f>IFERROR(IF(IFERROR(MATCH(21,'كشف الحساب'!$N$4:$N$203,0),0)=0,"",INDEX('كشف الحساب'!$I$4:$I$203,IFERROR(MATCH(21,'كشف الحساب'!$N$4:$N$203,0),0))),"")</f>
        <v/>
      </c>
      <c r="J25" s="43">
        <f>IFERROR(IF(IFERROR(MATCH(21,'كشف الحساب'!$N$4:$N$203,0),0)=0,"",INDEX('كشف الحساب'!$J$4:$J$203,IFERROR(MATCH(21,'كشف الحساب'!$N$4:$N$203,0),0))),"")</f>
        <v/>
      </c>
      <c r="K25" s="61">
        <f>IFERROR(IF(IFERROR(MATCH(21,'كشف الحساب'!$N$4:$N$203,0),0)=0,"",INDEX('كشف الحساب'!$K$4:$K$203,IFERROR(MATCH(21,'كشف الحساب'!$N$4:$N$203,0),0))),"")</f>
        <v/>
      </c>
    </row>
    <row r="26" ht="16.5" customHeight="1" s="165">
      <c r="A26" s="25">
        <f>IFERROR(IF(IFERROR(MATCH(22,'كشف الحساب'!$N$4:$N$203,0),0)=0,"",INDEX('كشف الحساب'!$A$4:$A$203,IFERROR(MATCH(22,'كشف الحساب'!$N$4:$N$203,0),0))),"")</f>
        <v/>
      </c>
      <c r="B26" s="63">
        <f>IFERROR(IF(IFERROR(MATCH(22,'كشف الحساب'!$N$4:$N$203,0),0)=0,"",INDEX('كشف الحساب'!$B$4:$B$203,IFERROR(MATCH(22,'كشف الحساب'!$N$4:$N$203,0),0))),"")</f>
        <v/>
      </c>
      <c r="C26" s="27">
        <f>IFERROR(IF(IFERROR(MATCH(22,'كشف الحساب'!$N$4:$N$203,0),0)=0,"",INDEX('كشف الحساب'!$C$4:$C$203,IFERROR(MATCH(22,'كشف الحساب'!$N$4:$N$203,0),0))),"")</f>
        <v/>
      </c>
      <c r="D26" s="28">
        <f>IFERROR(IF(IFERROR(MATCH(22,'كشف الحساب'!$N$4:$N$203,0),0)=0,"",INDEX('كشف الحساب'!$D$4:$D$203,IFERROR(MATCH(22,'كشف الحساب'!$N$4:$N$203,0),0))),"")</f>
        <v/>
      </c>
      <c r="E26" s="64">
        <f>IFERROR(IF(IFERROR(MATCH(22,'كشف الحساب'!$N$4:$N$203,0),0)=0,"",INDEX('كشف الحساب'!$E$4:$E$203,IFERROR(MATCH(22,'كشف الحساب'!$N$4:$N$203,0),0))),"")</f>
        <v/>
      </c>
      <c r="F26" s="63">
        <f>IFERROR(IF(IFERROR(MATCH(22,'كشف الحساب'!$N$4:$N$203,0),0)=0,"",INDEX('كشف الحساب'!$F$4:$F$203,IFERROR(MATCH(22,'كشف الحساب'!$N$4:$N$203,0),0))),"")</f>
        <v/>
      </c>
      <c r="G26" s="63">
        <f>IFERROR(IF(IFERROR(MATCH(22,'كشف الحساب'!$N$4:$N$203,0),0)=0,"",INDEX('كشف الحساب'!$G$4:$G$203,IFERROR(MATCH(22,'كشف الحساب'!$N$4:$N$203,0),0))),"")</f>
        <v/>
      </c>
      <c r="H26" s="63">
        <f>IFERROR(IF(IFERROR(MATCH(22,'كشف الحساب'!$N$4:$N$203,0),0)=0,"",INDEX('كشف الحساب'!$H$4:$H$203,IFERROR(MATCH(22,'كشف الحساب'!$N$4:$N$203,0),0))),"")</f>
        <v/>
      </c>
      <c r="I26" s="63">
        <f>IFERROR(IF(IFERROR(MATCH(22,'كشف الحساب'!$N$4:$N$203,0),0)=0,"",INDEX('كشف الحساب'!$I$4:$I$203,IFERROR(MATCH(22,'كشف الحساب'!$N$4:$N$203,0),0))),"")</f>
        <v/>
      </c>
      <c r="J26" s="34">
        <f>IFERROR(IF(IFERROR(MATCH(22,'كشف الحساب'!$N$4:$N$203,0),0)=0,"",INDEX('كشف الحساب'!$J$4:$J$203,IFERROR(MATCH(22,'كشف الحساب'!$N$4:$N$203,0),0))),"")</f>
        <v/>
      </c>
      <c r="K26" s="63">
        <f>IFERROR(IF(IFERROR(MATCH(22,'كشف الحساب'!$N$4:$N$203,0),0)=0,"",INDEX('كشف الحساب'!$K$4:$K$203,IFERROR(MATCH(22,'كشف الحساب'!$N$4:$N$203,0),0))),"")</f>
        <v/>
      </c>
    </row>
    <row r="27" ht="16.5" customHeight="1" s="165">
      <c r="A27" s="167">
        <f>IFERROR(IF(IFERROR(MATCH(23,'كشف الحساب'!$N$4:$N$203,0),0)=0,"",INDEX('كشف الحساب'!$A$4:$A$203,IFERROR(MATCH(23,'كشف الحساب'!$N$4:$N$203,0),0))),"")</f>
        <v/>
      </c>
      <c r="B27" s="61">
        <f>IFERROR(IF(IFERROR(MATCH(23,'كشف الحساب'!$N$4:$N$203,0),0)=0,"",INDEX('كشف الحساب'!$B$4:$B$203,IFERROR(MATCH(23,'كشف الحساب'!$N$4:$N$203,0),0))),"")</f>
        <v/>
      </c>
      <c r="C27" s="37">
        <f>IFERROR(IF(IFERROR(MATCH(23,'كشف الحساب'!$N$4:$N$203,0),0)=0,"",INDEX('كشف الحساب'!$C$4:$C$203,IFERROR(MATCH(23,'كشف الحساب'!$N$4:$N$203,0),0))),"")</f>
        <v/>
      </c>
      <c r="D27" s="38">
        <f>IFERROR(IF(IFERROR(MATCH(23,'كشف الحساب'!$N$4:$N$203,0),0)=0,"",INDEX('كشف الحساب'!$D$4:$D$203,IFERROR(MATCH(23,'كشف الحساب'!$N$4:$N$203,0),0))),"")</f>
        <v/>
      </c>
      <c r="E27" s="62">
        <f>IFERROR(IF(IFERROR(MATCH(23,'كشف الحساب'!$N$4:$N$203,0),0)=0,"",INDEX('كشف الحساب'!$E$4:$E$203,IFERROR(MATCH(23,'كشف الحساب'!$N$4:$N$203,0),0))),"")</f>
        <v/>
      </c>
      <c r="F27" s="61">
        <f>IFERROR(IF(IFERROR(MATCH(23,'كشف الحساب'!$N$4:$N$203,0),0)=0,"",INDEX('كشف الحساب'!$F$4:$F$203,IFERROR(MATCH(23,'كشف الحساب'!$N$4:$N$203,0),0))),"")</f>
        <v/>
      </c>
      <c r="G27" s="61">
        <f>IFERROR(IF(IFERROR(MATCH(23,'كشف الحساب'!$N$4:$N$203,0),0)=0,"",INDEX('كشف الحساب'!$G$4:$G$203,IFERROR(MATCH(23,'كشف الحساب'!$N$4:$N$203,0),0))),"")</f>
        <v/>
      </c>
      <c r="H27" s="61">
        <f>IFERROR(IF(IFERROR(MATCH(23,'كشف الحساب'!$N$4:$N$203,0),0)=0,"",INDEX('كشف الحساب'!$H$4:$H$203,IFERROR(MATCH(23,'كشف الحساب'!$N$4:$N$203,0),0))),"")</f>
        <v/>
      </c>
      <c r="I27" s="61">
        <f>IFERROR(IF(IFERROR(MATCH(23,'كشف الحساب'!$N$4:$N$203,0),0)=0,"",INDEX('كشف الحساب'!$I$4:$I$203,IFERROR(MATCH(23,'كشف الحساب'!$N$4:$N$203,0),0))),"")</f>
        <v/>
      </c>
      <c r="J27" s="43">
        <f>IFERROR(IF(IFERROR(MATCH(23,'كشف الحساب'!$N$4:$N$203,0),0)=0,"",INDEX('كشف الحساب'!$J$4:$J$203,IFERROR(MATCH(23,'كشف الحساب'!$N$4:$N$203,0),0))),"")</f>
        <v/>
      </c>
      <c r="K27" s="61">
        <f>IFERROR(IF(IFERROR(MATCH(23,'كشف الحساب'!$N$4:$N$203,0),0)=0,"",INDEX('كشف الحساب'!$K$4:$K$203,IFERROR(MATCH(23,'كشف الحساب'!$N$4:$N$203,0),0))),"")</f>
        <v/>
      </c>
    </row>
    <row r="28" ht="16.5" customHeight="1" s="165">
      <c r="A28" s="25">
        <f>IFERROR(IF(IFERROR(MATCH(24,'كشف الحساب'!$N$4:$N$203,0),0)=0,"",INDEX('كشف الحساب'!$A$4:$A$203,IFERROR(MATCH(24,'كشف الحساب'!$N$4:$N$203,0),0))),"")</f>
        <v/>
      </c>
      <c r="B28" s="63">
        <f>IFERROR(IF(IFERROR(MATCH(24,'كشف الحساب'!$N$4:$N$203,0),0)=0,"",INDEX('كشف الحساب'!$B$4:$B$203,IFERROR(MATCH(24,'كشف الحساب'!$N$4:$N$203,0),0))),"")</f>
        <v/>
      </c>
      <c r="C28" s="27">
        <f>IFERROR(IF(IFERROR(MATCH(24,'كشف الحساب'!$N$4:$N$203,0),0)=0,"",INDEX('كشف الحساب'!$C$4:$C$203,IFERROR(MATCH(24,'كشف الحساب'!$N$4:$N$203,0),0))),"")</f>
        <v/>
      </c>
      <c r="D28" s="28">
        <f>IFERROR(IF(IFERROR(MATCH(24,'كشف الحساب'!$N$4:$N$203,0),0)=0,"",INDEX('كشف الحساب'!$D$4:$D$203,IFERROR(MATCH(24,'كشف الحساب'!$N$4:$N$203,0),0))),"")</f>
        <v/>
      </c>
      <c r="E28" s="64">
        <f>IFERROR(IF(IFERROR(MATCH(24,'كشف الحساب'!$N$4:$N$203,0),0)=0,"",INDEX('كشف الحساب'!$E$4:$E$203,IFERROR(MATCH(24,'كشف الحساب'!$N$4:$N$203,0),0))),"")</f>
        <v/>
      </c>
      <c r="F28" s="63">
        <f>IFERROR(IF(IFERROR(MATCH(24,'كشف الحساب'!$N$4:$N$203,0),0)=0,"",INDEX('كشف الحساب'!$F$4:$F$203,IFERROR(MATCH(24,'كشف الحساب'!$N$4:$N$203,0),0))),"")</f>
        <v/>
      </c>
      <c r="G28" s="63">
        <f>IFERROR(IF(IFERROR(MATCH(24,'كشف الحساب'!$N$4:$N$203,0),0)=0,"",INDEX('كشف الحساب'!$G$4:$G$203,IFERROR(MATCH(24,'كشف الحساب'!$N$4:$N$203,0),0))),"")</f>
        <v/>
      </c>
      <c r="H28" s="63">
        <f>IFERROR(IF(IFERROR(MATCH(24,'كشف الحساب'!$N$4:$N$203,0),0)=0,"",INDEX('كشف الحساب'!$H$4:$H$203,IFERROR(MATCH(24,'كشف الحساب'!$N$4:$N$203,0),0))),"")</f>
        <v/>
      </c>
      <c r="I28" s="63">
        <f>IFERROR(IF(IFERROR(MATCH(24,'كشف الحساب'!$N$4:$N$203,0),0)=0,"",INDEX('كشف الحساب'!$I$4:$I$203,IFERROR(MATCH(24,'كشف الحساب'!$N$4:$N$203,0),0))),"")</f>
        <v/>
      </c>
      <c r="J28" s="34">
        <f>IFERROR(IF(IFERROR(MATCH(24,'كشف الحساب'!$N$4:$N$203,0),0)=0,"",INDEX('كشف الحساب'!$J$4:$J$203,IFERROR(MATCH(24,'كشف الحساب'!$N$4:$N$203,0),0))),"")</f>
        <v/>
      </c>
      <c r="K28" s="63">
        <f>IFERROR(IF(IFERROR(MATCH(24,'كشف الحساب'!$N$4:$N$203,0),0)=0,"",INDEX('كشف الحساب'!$K$4:$K$203,IFERROR(MATCH(24,'كشف الحساب'!$N$4:$N$203,0),0))),"")</f>
        <v/>
      </c>
    </row>
    <row r="29" ht="16.5" customHeight="1" s="165">
      <c r="A29" s="167">
        <f>IFERROR(IF(IFERROR(MATCH(25,'كشف الحساب'!$N$4:$N$203,0),0)=0,"",INDEX('كشف الحساب'!$A$4:$A$203,IFERROR(MATCH(25,'كشف الحساب'!$N$4:$N$203,0),0))),"")</f>
        <v/>
      </c>
      <c r="B29" s="61">
        <f>IFERROR(IF(IFERROR(MATCH(25,'كشف الحساب'!$N$4:$N$203,0),0)=0,"",INDEX('كشف الحساب'!$B$4:$B$203,IFERROR(MATCH(25,'كشف الحساب'!$N$4:$N$203,0),0))),"")</f>
        <v/>
      </c>
      <c r="C29" s="37">
        <f>IFERROR(IF(IFERROR(MATCH(25,'كشف الحساب'!$N$4:$N$203,0),0)=0,"",INDEX('كشف الحساب'!$C$4:$C$203,IFERROR(MATCH(25,'كشف الحساب'!$N$4:$N$203,0),0))),"")</f>
        <v/>
      </c>
      <c r="D29" s="38">
        <f>IFERROR(IF(IFERROR(MATCH(25,'كشف الحساب'!$N$4:$N$203,0),0)=0,"",INDEX('كشف الحساب'!$D$4:$D$203,IFERROR(MATCH(25,'كشف الحساب'!$N$4:$N$203,0),0))),"")</f>
        <v/>
      </c>
      <c r="E29" s="62">
        <f>IFERROR(IF(IFERROR(MATCH(25,'كشف الحساب'!$N$4:$N$203,0),0)=0,"",INDEX('كشف الحساب'!$E$4:$E$203,IFERROR(MATCH(25,'كشف الحساب'!$N$4:$N$203,0),0))),"")</f>
        <v/>
      </c>
      <c r="F29" s="61">
        <f>IFERROR(IF(IFERROR(MATCH(25,'كشف الحساب'!$N$4:$N$203,0),0)=0,"",INDEX('كشف الحساب'!$F$4:$F$203,IFERROR(MATCH(25,'كشف الحساب'!$N$4:$N$203,0),0))),"")</f>
        <v/>
      </c>
      <c r="G29" s="61">
        <f>IFERROR(IF(IFERROR(MATCH(25,'كشف الحساب'!$N$4:$N$203,0),0)=0,"",INDEX('كشف الحساب'!$G$4:$G$203,IFERROR(MATCH(25,'كشف الحساب'!$N$4:$N$203,0),0))),"")</f>
        <v/>
      </c>
      <c r="H29" s="61">
        <f>IFERROR(IF(IFERROR(MATCH(25,'كشف الحساب'!$N$4:$N$203,0),0)=0,"",INDEX('كشف الحساب'!$H$4:$H$203,IFERROR(MATCH(25,'كشف الحساب'!$N$4:$N$203,0),0))),"")</f>
        <v/>
      </c>
      <c r="I29" s="61">
        <f>IFERROR(IF(IFERROR(MATCH(25,'كشف الحساب'!$N$4:$N$203,0),0)=0,"",INDEX('كشف الحساب'!$I$4:$I$203,IFERROR(MATCH(25,'كشف الحساب'!$N$4:$N$203,0),0))),"")</f>
        <v/>
      </c>
      <c r="J29" s="43">
        <f>IFERROR(IF(IFERROR(MATCH(25,'كشف الحساب'!$N$4:$N$203,0),0)=0,"",INDEX('كشف الحساب'!$J$4:$J$203,IFERROR(MATCH(25,'كشف الحساب'!$N$4:$N$203,0),0))),"")</f>
        <v/>
      </c>
      <c r="K29" s="61">
        <f>IFERROR(IF(IFERROR(MATCH(25,'كشف الحساب'!$N$4:$N$203,0),0)=0,"",INDEX('كشف الحساب'!$K$4:$K$203,IFERROR(MATCH(25,'كشف الحساب'!$N$4:$N$203,0),0))),"")</f>
        <v/>
      </c>
    </row>
    <row r="30" ht="16.5" customHeight="1" s="165">
      <c r="A30" s="25">
        <f>IFERROR(IF(IFERROR(MATCH(26,'كشف الحساب'!$N$4:$N$203,0),0)=0,"",INDEX('كشف الحساب'!$A$4:$A$203,IFERROR(MATCH(26,'كشف الحساب'!$N$4:$N$203,0),0))),"")</f>
        <v/>
      </c>
      <c r="B30" s="63">
        <f>IFERROR(IF(IFERROR(MATCH(26,'كشف الحساب'!$N$4:$N$203,0),0)=0,"",INDEX('كشف الحساب'!$B$4:$B$203,IFERROR(MATCH(26,'كشف الحساب'!$N$4:$N$203,0),0))),"")</f>
        <v/>
      </c>
      <c r="C30" s="27">
        <f>IFERROR(IF(IFERROR(MATCH(26,'كشف الحساب'!$N$4:$N$203,0),0)=0,"",INDEX('كشف الحساب'!$C$4:$C$203,IFERROR(MATCH(26,'كشف الحساب'!$N$4:$N$203,0),0))),"")</f>
        <v/>
      </c>
      <c r="D30" s="28">
        <f>IFERROR(IF(IFERROR(MATCH(26,'كشف الحساب'!$N$4:$N$203,0),0)=0,"",INDEX('كشف الحساب'!$D$4:$D$203,IFERROR(MATCH(26,'كشف الحساب'!$N$4:$N$203,0),0))),"")</f>
        <v/>
      </c>
      <c r="E30" s="64">
        <f>IFERROR(IF(IFERROR(MATCH(26,'كشف الحساب'!$N$4:$N$203,0),0)=0,"",INDEX('كشف الحساب'!$E$4:$E$203,IFERROR(MATCH(26,'كشف الحساب'!$N$4:$N$203,0),0))),"")</f>
        <v/>
      </c>
      <c r="F30" s="63">
        <f>IFERROR(IF(IFERROR(MATCH(26,'كشف الحساب'!$N$4:$N$203,0),0)=0,"",INDEX('كشف الحساب'!$F$4:$F$203,IFERROR(MATCH(26,'كشف الحساب'!$N$4:$N$203,0),0))),"")</f>
        <v/>
      </c>
      <c r="G30" s="63">
        <f>IFERROR(IF(IFERROR(MATCH(26,'كشف الحساب'!$N$4:$N$203,0),0)=0,"",INDEX('كشف الحساب'!$G$4:$G$203,IFERROR(MATCH(26,'كشف الحساب'!$N$4:$N$203,0),0))),"")</f>
        <v/>
      </c>
      <c r="H30" s="63">
        <f>IFERROR(IF(IFERROR(MATCH(26,'كشف الحساب'!$N$4:$N$203,0),0)=0,"",INDEX('كشف الحساب'!$H$4:$H$203,IFERROR(MATCH(26,'كشف الحساب'!$N$4:$N$203,0),0))),"")</f>
        <v/>
      </c>
      <c r="I30" s="63">
        <f>IFERROR(IF(IFERROR(MATCH(26,'كشف الحساب'!$N$4:$N$203,0),0)=0,"",INDEX('كشف الحساب'!$I$4:$I$203,IFERROR(MATCH(26,'كشف الحساب'!$N$4:$N$203,0),0))),"")</f>
        <v/>
      </c>
      <c r="J30" s="34">
        <f>IFERROR(IF(IFERROR(MATCH(26,'كشف الحساب'!$N$4:$N$203,0),0)=0,"",INDEX('كشف الحساب'!$J$4:$J$203,IFERROR(MATCH(26,'كشف الحساب'!$N$4:$N$203,0),0))),"")</f>
        <v/>
      </c>
      <c r="K30" s="63">
        <f>IFERROR(IF(IFERROR(MATCH(26,'كشف الحساب'!$N$4:$N$203,0),0)=0,"",INDEX('كشف الحساب'!$K$4:$K$203,IFERROR(MATCH(26,'كشف الحساب'!$N$4:$N$203,0),0))),"")</f>
        <v/>
      </c>
    </row>
    <row r="31" ht="16.5" customHeight="1" s="165">
      <c r="A31" s="167">
        <f>IFERROR(IF(IFERROR(MATCH(27,'كشف الحساب'!$N$4:$N$203,0),0)=0,"",INDEX('كشف الحساب'!$A$4:$A$203,IFERROR(MATCH(27,'كشف الحساب'!$N$4:$N$203,0),0))),"")</f>
        <v/>
      </c>
      <c r="B31" s="61">
        <f>IFERROR(IF(IFERROR(MATCH(27,'كشف الحساب'!$N$4:$N$203,0),0)=0,"",INDEX('كشف الحساب'!$B$4:$B$203,IFERROR(MATCH(27,'كشف الحساب'!$N$4:$N$203,0),0))),"")</f>
        <v/>
      </c>
      <c r="C31" s="37">
        <f>IFERROR(IF(IFERROR(MATCH(27,'كشف الحساب'!$N$4:$N$203,0),0)=0,"",INDEX('كشف الحساب'!$C$4:$C$203,IFERROR(MATCH(27,'كشف الحساب'!$N$4:$N$203,0),0))),"")</f>
        <v/>
      </c>
      <c r="D31" s="38">
        <f>IFERROR(IF(IFERROR(MATCH(27,'كشف الحساب'!$N$4:$N$203,0),0)=0,"",INDEX('كشف الحساب'!$D$4:$D$203,IFERROR(MATCH(27,'كشف الحساب'!$N$4:$N$203,0),0))),"")</f>
        <v/>
      </c>
      <c r="E31" s="62">
        <f>IFERROR(IF(IFERROR(MATCH(27,'كشف الحساب'!$N$4:$N$203,0),0)=0,"",INDEX('كشف الحساب'!$E$4:$E$203,IFERROR(MATCH(27,'كشف الحساب'!$N$4:$N$203,0),0))),"")</f>
        <v/>
      </c>
      <c r="F31" s="61">
        <f>IFERROR(IF(IFERROR(MATCH(27,'كشف الحساب'!$N$4:$N$203,0),0)=0,"",INDEX('كشف الحساب'!$F$4:$F$203,IFERROR(MATCH(27,'كشف الحساب'!$N$4:$N$203,0),0))),"")</f>
        <v/>
      </c>
      <c r="G31" s="61">
        <f>IFERROR(IF(IFERROR(MATCH(27,'كشف الحساب'!$N$4:$N$203,0),0)=0,"",INDEX('كشف الحساب'!$G$4:$G$203,IFERROR(MATCH(27,'كشف الحساب'!$N$4:$N$203,0),0))),"")</f>
        <v/>
      </c>
      <c r="H31" s="61">
        <f>IFERROR(IF(IFERROR(MATCH(27,'كشف الحساب'!$N$4:$N$203,0),0)=0,"",INDEX('كشف الحساب'!$H$4:$H$203,IFERROR(MATCH(27,'كشف الحساب'!$N$4:$N$203,0),0))),"")</f>
        <v/>
      </c>
      <c r="I31" s="61">
        <f>IFERROR(IF(IFERROR(MATCH(27,'كشف الحساب'!$N$4:$N$203,0),0)=0,"",INDEX('كشف الحساب'!$I$4:$I$203,IFERROR(MATCH(27,'كشف الحساب'!$N$4:$N$203,0),0))),"")</f>
        <v/>
      </c>
      <c r="J31" s="43">
        <f>IFERROR(IF(IFERROR(MATCH(27,'كشف الحساب'!$N$4:$N$203,0),0)=0,"",INDEX('كشف الحساب'!$J$4:$J$203,IFERROR(MATCH(27,'كشف الحساب'!$N$4:$N$203,0),0))),"")</f>
        <v/>
      </c>
      <c r="K31" s="61">
        <f>IFERROR(IF(IFERROR(MATCH(27,'كشف الحساب'!$N$4:$N$203,0),0)=0,"",INDEX('كشف الحساب'!$K$4:$K$203,IFERROR(MATCH(27,'كشف الحساب'!$N$4:$N$203,0),0))),"")</f>
        <v/>
      </c>
    </row>
    <row r="32" ht="16.5" customHeight="1" s="165">
      <c r="A32" s="25">
        <f>IFERROR(IF(IFERROR(MATCH(28,'كشف الحساب'!$N$4:$N$203,0),0)=0,"",INDEX('كشف الحساب'!$A$4:$A$203,IFERROR(MATCH(28,'كشف الحساب'!$N$4:$N$203,0),0))),"")</f>
        <v/>
      </c>
      <c r="B32" s="63">
        <f>IFERROR(IF(IFERROR(MATCH(28,'كشف الحساب'!$N$4:$N$203,0),0)=0,"",INDEX('كشف الحساب'!$B$4:$B$203,IFERROR(MATCH(28,'كشف الحساب'!$N$4:$N$203,0),0))),"")</f>
        <v/>
      </c>
      <c r="C32" s="27">
        <f>IFERROR(IF(IFERROR(MATCH(28,'كشف الحساب'!$N$4:$N$203,0),0)=0,"",INDEX('كشف الحساب'!$C$4:$C$203,IFERROR(MATCH(28,'كشف الحساب'!$N$4:$N$203,0),0))),"")</f>
        <v/>
      </c>
      <c r="D32" s="28">
        <f>IFERROR(IF(IFERROR(MATCH(28,'كشف الحساب'!$N$4:$N$203,0),0)=0,"",INDEX('كشف الحساب'!$D$4:$D$203,IFERROR(MATCH(28,'كشف الحساب'!$N$4:$N$203,0),0))),"")</f>
        <v/>
      </c>
      <c r="E32" s="64">
        <f>IFERROR(IF(IFERROR(MATCH(28,'كشف الحساب'!$N$4:$N$203,0),0)=0,"",INDEX('كشف الحساب'!$E$4:$E$203,IFERROR(MATCH(28,'كشف الحساب'!$N$4:$N$203,0),0))),"")</f>
        <v/>
      </c>
      <c r="F32" s="63">
        <f>IFERROR(IF(IFERROR(MATCH(28,'كشف الحساب'!$N$4:$N$203,0),0)=0,"",INDEX('كشف الحساب'!$F$4:$F$203,IFERROR(MATCH(28,'كشف الحساب'!$N$4:$N$203,0),0))),"")</f>
        <v/>
      </c>
      <c r="G32" s="63">
        <f>IFERROR(IF(IFERROR(MATCH(28,'كشف الحساب'!$N$4:$N$203,0),0)=0,"",INDEX('كشف الحساب'!$G$4:$G$203,IFERROR(MATCH(28,'كشف الحساب'!$N$4:$N$203,0),0))),"")</f>
        <v/>
      </c>
      <c r="H32" s="63">
        <f>IFERROR(IF(IFERROR(MATCH(28,'كشف الحساب'!$N$4:$N$203,0),0)=0,"",INDEX('كشف الحساب'!$H$4:$H$203,IFERROR(MATCH(28,'كشف الحساب'!$N$4:$N$203,0),0))),"")</f>
        <v/>
      </c>
      <c r="I32" s="63">
        <f>IFERROR(IF(IFERROR(MATCH(28,'كشف الحساب'!$N$4:$N$203,0),0)=0,"",INDEX('كشف الحساب'!$I$4:$I$203,IFERROR(MATCH(28,'كشف الحساب'!$N$4:$N$203,0),0))),"")</f>
        <v/>
      </c>
      <c r="J32" s="34">
        <f>IFERROR(IF(IFERROR(MATCH(28,'كشف الحساب'!$N$4:$N$203,0),0)=0,"",INDEX('كشف الحساب'!$J$4:$J$203,IFERROR(MATCH(28,'كشف الحساب'!$N$4:$N$203,0),0))),"")</f>
        <v/>
      </c>
      <c r="K32" s="63">
        <f>IFERROR(IF(IFERROR(MATCH(28,'كشف الحساب'!$N$4:$N$203,0),0)=0,"",INDEX('كشف الحساب'!$K$4:$K$203,IFERROR(MATCH(28,'كشف الحساب'!$N$4:$N$203,0),0))),"")</f>
        <v/>
      </c>
    </row>
    <row r="33" ht="16.5" customHeight="1" s="165">
      <c r="A33" s="167">
        <f>IFERROR(IF(IFERROR(MATCH(29,'كشف الحساب'!$N$4:$N$203,0),0)=0,"",INDEX('كشف الحساب'!$A$4:$A$203,IFERROR(MATCH(29,'كشف الحساب'!$N$4:$N$203,0),0))),"")</f>
        <v/>
      </c>
      <c r="B33" s="61">
        <f>IFERROR(IF(IFERROR(MATCH(29,'كشف الحساب'!$N$4:$N$203,0),0)=0,"",INDEX('كشف الحساب'!$B$4:$B$203,IFERROR(MATCH(29,'كشف الحساب'!$N$4:$N$203,0),0))),"")</f>
        <v/>
      </c>
      <c r="C33" s="37">
        <f>IFERROR(IF(IFERROR(MATCH(29,'كشف الحساب'!$N$4:$N$203,0),0)=0,"",INDEX('كشف الحساب'!$C$4:$C$203,IFERROR(MATCH(29,'كشف الحساب'!$N$4:$N$203,0),0))),"")</f>
        <v/>
      </c>
      <c r="D33" s="38">
        <f>IFERROR(IF(IFERROR(MATCH(29,'كشف الحساب'!$N$4:$N$203,0),0)=0,"",INDEX('كشف الحساب'!$D$4:$D$203,IFERROR(MATCH(29,'كشف الحساب'!$N$4:$N$203,0),0))),"")</f>
        <v/>
      </c>
      <c r="E33" s="62">
        <f>IFERROR(IF(IFERROR(MATCH(29,'كشف الحساب'!$N$4:$N$203,0),0)=0,"",INDEX('كشف الحساب'!$E$4:$E$203,IFERROR(MATCH(29,'كشف الحساب'!$N$4:$N$203,0),0))),"")</f>
        <v/>
      </c>
      <c r="F33" s="61">
        <f>IFERROR(IF(IFERROR(MATCH(29,'كشف الحساب'!$N$4:$N$203,0),0)=0,"",INDEX('كشف الحساب'!$F$4:$F$203,IFERROR(MATCH(29,'كشف الحساب'!$N$4:$N$203,0),0))),"")</f>
        <v/>
      </c>
      <c r="G33" s="61">
        <f>IFERROR(IF(IFERROR(MATCH(29,'كشف الحساب'!$N$4:$N$203,0),0)=0,"",INDEX('كشف الحساب'!$G$4:$G$203,IFERROR(MATCH(29,'كشف الحساب'!$N$4:$N$203,0),0))),"")</f>
        <v/>
      </c>
      <c r="H33" s="61">
        <f>IFERROR(IF(IFERROR(MATCH(29,'كشف الحساب'!$N$4:$N$203,0),0)=0,"",INDEX('كشف الحساب'!$H$4:$H$203,IFERROR(MATCH(29,'كشف الحساب'!$N$4:$N$203,0),0))),"")</f>
        <v/>
      </c>
      <c r="I33" s="61">
        <f>IFERROR(IF(IFERROR(MATCH(29,'كشف الحساب'!$N$4:$N$203,0),0)=0,"",INDEX('كشف الحساب'!$I$4:$I$203,IFERROR(MATCH(29,'كشف الحساب'!$N$4:$N$203,0),0))),"")</f>
        <v/>
      </c>
      <c r="J33" s="43">
        <f>IFERROR(IF(IFERROR(MATCH(29,'كشف الحساب'!$N$4:$N$203,0),0)=0,"",INDEX('كشف الحساب'!$J$4:$J$203,IFERROR(MATCH(29,'كشف الحساب'!$N$4:$N$203,0),0))),"")</f>
        <v/>
      </c>
      <c r="K33" s="61">
        <f>IFERROR(IF(IFERROR(MATCH(29,'كشف الحساب'!$N$4:$N$203,0),0)=0,"",INDEX('كشف الحساب'!$K$4:$K$203,IFERROR(MATCH(29,'كشف الحساب'!$N$4:$N$203,0),0))),"")</f>
        <v/>
      </c>
    </row>
    <row r="34" ht="16.5" customHeight="1" s="165">
      <c r="A34" s="25">
        <f>IFERROR(IF(IFERROR(MATCH(30,'كشف الحساب'!$N$4:$N$203,0),0)=0,"",INDEX('كشف الحساب'!$A$4:$A$203,IFERROR(MATCH(30,'كشف الحساب'!$N$4:$N$203,0),0))),"")</f>
        <v/>
      </c>
      <c r="B34" s="63">
        <f>IFERROR(IF(IFERROR(MATCH(30,'كشف الحساب'!$N$4:$N$203,0),0)=0,"",INDEX('كشف الحساب'!$B$4:$B$203,IFERROR(MATCH(30,'كشف الحساب'!$N$4:$N$203,0),0))),"")</f>
        <v/>
      </c>
      <c r="C34" s="27">
        <f>IFERROR(IF(IFERROR(MATCH(30,'كشف الحساب'!$N$4:$N$203,0),0)=0,"",INDEX('كشف الحساب'!$C$4:$C$203,IFERROR(MATCH(30,'كشف الحساب'!$N$4:$N$203,0),0))),"")</f>
        <v/>
      </c>
      <c r="D34" s="28">
        <f>IFERROR(IF(IFERROR(MATCH(30,'كشف الحساب'!$N$4:$N$203,0),0)=0,"",INDEX('كشف الحساب'!$D$4:$D$203,IFERROR(MATCH(30,'كشف الحساب'!$N$4:$N$203,0),0))),"")</f>
        <v/>
      </c>
      <c r="E34" s="64">
        <f>IFERROR(IF(IFERROR(MATCH(30,'كشف الحساب'!$N$4:$N$203,0),0)=0,"",INDEX('كشف الحساب'!$E$4:$E$203,IFERROR(MATCH(30,'كشف الحساب'!$N$4:$N$203,0),0))),"")</f>
        <v/>
      </c>
      <c r="F34" s="63">
        <f>IFERROR(IF(IFERROR(MATCH(30,'كشف الحساب'!$N$4:$N$203,0),0)=0,"",INDEX('كشف الحساب'!$F$4:$F$203,IFERROR(MATCH(30,'كشف الحساب'!$N$4:$N$203,0),0))),"")</f>
        <v/>
      </c>
      <c r="G34" s="63">
        <f>IFERROR(IF(IFERROR(MATCH(30,'كشف الحساب'!$N$4:$N$203,0),0)=0,"",INDEX('كشف الحساب'!$G$4:$G$203,IFERROR(MATCH(30,'كشف الحساب'!$N$4:$N$203,0),0))),"")</f>
        <v/>
      </c>
      <c r="H34" s="63">
        <f>IFERROR(IF(IFERROR(MATCH(30,'كشف الحساب'!$N$4:$N$203,0),0)=0,"",INDEX('كشف الحساب'!$H$4:$H$203,IFERROR(MATCH(30,'كشف الحساب'!$N$4:$N$203,0),0))),"")</f>
        <v/>
      </c>
      <c r="I34" s="63">
        <f>IFERROR(IF(IFERROR(MATCH(30,'كشف الحساب'!$N$4:$N$203,0),0)=0,"",INDEX('كشف الحساب'!$I$4:$I$203,IFERROR(MATCH(30,'كشف الحساب'!$N$4:$N$203,0),0))),"")</f>
        <v/>
      </c>
      <c r="J34" s="34">
        <f>IFERROR(IF(IFERROR(MATCH(30,'كشف الحساب'!$N$4:$N$203,0),0)=0,"",INDEX('كشف الحساب'!$J$4:$J$203,IFERROR(MATCH(30,'كشف الحساب'!$N$4:$N$203,0),0))),"")</f>
        <v/>
      </c>
      <c r="K34" s="63">
        <f>IFERROR(IF(IFERROR(MATCH(30,'كشف الحساب'!$N$4:$N$203,0),0)=0,"",INDEX('كشف الحساب'!$K$4:$K$203,IFERROR(MATCH(30,'كشف الحساب'!$N$4:$N$203,0),0))),"")</f>
        <v/>
      </c>
    </row>
    <row r="35" ht="15" customHeight="1" s="165">
      <c r="A35" s="65">
        <f>IFERROR(IF(IFERROR(MATCH(31,'كشف الحساب'!$N$4:$N$203,0),0)=0,"",INDEX('كشف الحساب'!$A$4:$A$203,IFERROR(MATCH(31,'كشف الحساب'!$N$4:$N$203,0),0))),"")</f>
        <v/>
      </c>
      <c r="B35" s="66">
        <f>IFERROR(IF(IFERROR(MATCH(31,'كشف الحساب'!$N$4:$N$203,0),0)=0,"",INDEX('كشف الحساب'!$B$4:$B$203,IFERROR(MATCH(31,'كشف الحساب'!$N$4:$N$203,0),0))),"")</f>
        <v/>
      </c>
      <c r="C35" s="67">
        <f>IFERROR(IF(IFERROR(MATCH(31,'كشف الحساب'!$N$4:$N$203,0),0)=0,"",INDEX('كشف الحساب'!$C$4:$C$203,IFERROR(MATCH(31,'كشف الحساب'!$N$4:$N$203,0),0))),"")</f>
        <v/>
      </c>
      <c r="D35" s="68">
        <f>IFERROR(IF(IFERROR(MATCH(31,'كشف الحساب'!$N$4:$N$203,0),0)=0,"",INDEX('كشف الحساب'!$D$4:$D$203,IFERROR(MATCH(31,'كشف الحساب'!$N$4:$N$203,0),0))),"")</f>
        <v/>
      </c>
      <c r="E35" s="69">
        <f>IFERROR(IF(IFERROR(MATCH(31,'كشف الحساب'!$N$4:$N$203,0),0)=0,"",INDEX('كشف الحساب'!$E$4:$E$203,IFERROR(MATCH(31,'كشف الحساب'!$N$4:$N$203,0),0))),"")</f>
        <v/>
      </c>
      <c r="F35" s="66">
        <f>IFERROR(IF(IFERROR(MATCH(31,'كشف الحساب'!$N$4:$N$203,0),0)=0,"",INDEX('كشف الحساب'!$F$4:$F$203,IFERROR(MATCH(31,'كشف الحساب'!$N$4:$N$203,0),0))),"")</f>
        <v/>
      </c>
      <c r="G35" s="66">
        <f>IFERROR(IF(IFERROR(MATCH(31,'كشف الحساب'!$N$4:$N$203,0),0)=0,"",INDEX('كشف الحساب'!$G$4:$G$203,IFERROR(MATCH(31,'كشف الحساب'!$N$4:$N$203,0),0))),"")</f>
        <v/>
      </c>
      <c r="H35" s="66">
        <f>IFERROR(IF(IFERROR(MATCH(31,'كشف الحساب'!$N$4:$N$203,0),0)=0,"",INDEX('كشف الحساب'!$H$4:$H$203,IFERROR(MATCH(31,'كشف الحساب'!$N$4:$N$203,0),0))),"")</f>
        <v/>
      </c>
      <c r="I35" s="66">
        <f>IFERROR(IF(IFERROR(MATCH(31,'كشف الحساب'!$N$4:$N$203,0),0)=0,"",INDEX('كشف الحساب'!$I$4:$I$203,IFERROR(MATCH(31,'كشف الحساب'!$N$4:$N$203,0),0))),"")</f>
        <v/>
      </c>
      <c r="J35" s="70">
        <f>IFERROR(IF(IFERROR(MATCH(31,'كشف الحساب'!$N$4:$N$203,0),0)=0,"",INDEX('كشف الحساب'!$J$4:$J$203,IFERROR(MATCH(31,'كشف الحساب'!$N$4:$N$203,0),0))),"")</f>
        <v/>
      </c>
      <c r="K35" s="66">
        <f>IFERROR(IF(IFERROR(MATCH(31,'كشف الحساب'!$N$4:$N$203,0),0)=0,"",INDEX('كشف الحساب'!$K$4:$K$203,IFERROR(MATCH(31,'كشف الحساب'!$N$4:$N$203,0),0))),"")</f>
        <v/>
      </c>
    </row>
    <row r="36" ht="15" customHeight="1" s="165">
      <c r="A36" s="71">
        <f>IFERROR(IF(IFERROR(MATCH(32,'كشف الحساب'!$N$4:$N$203,0),0)=0,"",INDEX('كشف الحساب'!$A$4:$A$203,IFERROR(MATCH(32,'كشف الحساب'!$N$4:$N$203,0),0))),"")</f>
        <v/>
      </c>
      <c r="B36" s="72">
        <f>IFERROR(IF(IFERROR(MATCH(32,'كشف الحساب'!$N$4:$N$203,0),0)=0,"",INDEX('كشف الحساب'!$B$4:$B$203,IFERROR(MATCH(32,'كشف الحساب'!$N$4:$N$203,0),0))),"")</f>
        <v/>
      </c>
      <c r="C36" s="73">
        <f>IFERROR(IF(IFERROR(MATCH(32,'كشف الحساب'!$N$4:$N$203,0),0)=0,"",INDEX('كشف الحساب'!$C$4:$C$203,IFERROR(MATCH(32,'كشف الحساب'!$N$4:$N$203,0),0))),"")</f>
        <v/>
      </c>
      <c r="D36" s="74">
        <f>IFERROR(IF(IFERROR(MATCH(32,'كشف الحساب'!$N$4:$N$203,0),0)=0,"",INDEX('كشف الحساب'!$D$4:$D$203,IFERROR(MATCH(32,'كشف الحساب'!$N$4:$N$203,0),0))),"")</f>
        <v/>
      </c>
      <c r="E36" s="75">
        <f>IFERROR(IF(IFERROR(MATCH(32,'كشف الحساب'!$N$4:$N$203,0),0)=0,"",INDEX('كشف الحساب'!$E$4:$E$203,IFERROR(MATCH(32,'كشف الحساب'!$N$4:$N$203,0),0))),"")</f>
        <v/>
      </c>
      <c r="F36" s="72">
        <f>IFERROR(IF(IFERROR(MATCH(32,'كشف الحساب'!$N$4:$N$203,0),0)=0,"",INDEX('كشف الحساب'!$F$4:$F$203,IFERROR(MATCH(32,'كشف الحساب'!$N$4:$N$203,0),0))),"")</f>
        <v/>
      </c>
      <c r="G36" s="72">
        <f>IFERROR(IF(IFERROR(MATCH(32,'كشف الحساب'!$N$4:$N$203,0),0)=0,"",INDEX('كشف الحساب'!$G$4:$G$203,IFERROR(MATCH(32,'كشف الحساب'!$N$4:$N$203,0),0))),"")</f>
        <v/>
      </c>
      <c r="H36" s="72">
        <f>IFERROR(IF(IFERROR(MATCH(32,'كشف الحساب'!$N$4:$N$203,0),0)=0,"",INDEX('كشف الحساب'!$H$4:$H$203,IFERROR(MATCH(32,'كشف الحساب'!$N$4:$N$203,0),0))),"")</f>
        <v/>
      </c>
      <c r="I36" s="72">
        <f>IFERROR(IF(IFERROR(MATCH(32,'كشف الحساب'!$N$4:$N$203,0),0)=0,"",INDEX('كشف الحساب'!$I$4:$I$203,IFERROR(MATCH(32,'كشف الحساب'!$N$4:$N$203,0),0))),"")</f>
        <v/>
      </c>
      <c r="J36" s="76">
        <f>IFERROR(IF(IFERROR(MATCH(32,'كشف الحساب'!$N$4:$N$203,0),0)=0,"",INDEX('كشف الحساب'!$J$4:$J$203,IFERROR(MATCH(32,'كشف الحساب'!$N$4:$N$203,0),0))),"")</f>
        <v/>
      </c>
      <c r="K36" s="72">
        <f>IFERROR(IF(IFERROR(MATCH(32,'كشف الحساب'!$N$4:$N$203,0),0)=0,"",INDEX('كشف الحساب'!$K$4:$K$203,IFERROR(MATCH(32,'كشف الحساب'!$N$4:$N$203,0),0))),"")</f>
        <v/>
      </c>
    </row>
    <row r="37" ht="15" customHeight="1" s="165">
      <c r="A37" s="65">
        <f>IFERROR(IF(IFERROR(MATCH(33,'كشف الحساب'!$N$4:$N$203,0),0)=0,"",INDEX('كشف الحساب'!$A$4:$A$203,IFERROR(MATCH(33,'كشف الحساب'!$N$4:$N$203,0),0))),"")</f>
        <v/>
      </c>
      <c r="B37" s="66">
        <f>IFERROR(IF(IFERROR(MATCH(33,'كشف الحساب'!$N$4:$N$203,0),0)=0,"",INDEX('كشف الحساب'!$B$4:$B$203,IFERROR(MATCH(33,'كشف الحساب'!$N$4:$N$203,0),0))),"")</f>
        <v/>
      </c>
      <c r="C37" s="67">
        <f>IFERROR(IF(IFERROR(MATCH(33,'كشف الحساب'!$N$4:$N$203,0),0)=0,"",INDEX('كشف الحساب'!$C$4:$C$203,IFERROR(MATCH(33,'كشف الحساب'!$N$4:$N$203,0),0))),"")</f>
        <v/>
      </c>
      <c r="D37" s="68">
        <f>IFERROR(IF(IFERROR(MATCH(33,'كشف الحساب'!$N$4:$N$203,0),0)=0,"",INDEX('كشف الحساب'!$D$4:$D$203,IFERROR(MATCH(33,'كشف الحساب'!$N$4:$N$203,0),0))),"")</f>
        <v/>
      </c>
      <c r="E37" s="69">
        <f>IFERROR(IF(IFERROR(MATCH(33,'كشف الحساب'!$N$4:$N$203,0),0)=0,"",INDEX('كشف الحساب'!$E$4:$E$203,IFERROR(MATCH(33,'كشف الحساب'!$N$4:$N$203,0),0))),"")</f>
        <v/>
      </c>
      <c r="F37" s="66">
        <f>IFERROR(IF(IFERROR(MATCH(33,'كشف الحساب'!$N$4:$N$203,0),0)=0,"",INDEX('كشف الحساب'!$F$4:$F$203,IFERROR(MATCH(33,'كشف الحساب'!$N$4:$N$203,0),0))),"")</f>
        <v/>
      </c>
      <c r="G37" s="66">
        <f>IFERROR(IF(IFERROR(MATCH(33,'كشف الحساب'!$N$4:$N$203,0),0)=0,"",INDEX('كشف الحساب'!$G$4:$G$203,IFERROR(MATCH(33,'كشف الحساب'!$N$4:$N$203,0),0))),"")</f>
        <v/>
      </c>
      <c r="H37" s="66">
        <f>IFERROR(IF(IFERROR(MATCH(33,'كشف الحساب'!$N$4:$N$203,0),0)=0,"",INDEX('كشف الحساب'!$H$4:$H$203,IFERROR(MATCH(33,'كشف الحساب'!$N$4:$N$203,0),0))),"")</f>
        <v/>
      </c>
      <c r="I37" s="66">
        <f>IFERROR(IF(IFERROR(MATCH(33,'كشف الحساب'!$N$4:$N$203,0),0)=0,"",INDEX('كشف الحساب'!$I$4:$I$203,IFERROR(MATCH(33,'كشف الحساب'!$N$4:$N$203,0),0))),"")</f>
        <v/>
      </c>
      <c r="J37" s="70">
        <f>IFERROR(IF(IFERROR(MATCH(33,'كشف الحساب'!$N$4:$N$203,0),0)=0,"",INDEX('كشف الحساب'!$J$4:$J$203,IFERROR(MATCH(33,'كشف الحساب'!$N$4:$N$203,0),0))),"")</f>
        <v/>
      </c>
      <c r="K37" s="66">
        <f>IFERROR(IF(IFERROR(MATCH(33,'كشف الحساب'!$N$4:$N$203,0),0)=0,"",INDEX('كشف الحساب'!$K$4:$K$203,IFERROR(MATCH(33,'كشف الحساب'!$N$4:$N$203,0),0))),"")</f>
        <v/>
      </c>
    </row>
    <row r="38" ht="15" customHeight="1" s="165">
      <c r="A38" s="71">
        <f>IFERROR(IF(IFERROR(MATCH(34,'كشف الحساب'!$N$4:$N$203,0),0)=0,"",INDEX('كشف الحساب'!$A$4:$A$203,IFERROR(MATCH(34,'كشف الحساب'!$N$4:$N$203,0),0))),"")</f>
        <v/>
      </c>
      <c r="B38" s="72">
        <f>IFERROR(IF(IFERROR(MATCH(34,'كشف الحساب'!$N$4:$N$203,0),0)=0,"",INDEX('كشف الحساب'!$B$4:$B$203,IFERROR(MATCH(34,'كشف الحساب'!$N$4:$N$203,0),0))),"")</f>
        <v/>
      </c>
      <c r="C38" s="73">
        <f>IFERROR(IF(IFERROR(MATCH(34,'كشف الحساب'!$N$4:$N$203,0),0)=0,"",INDEX('كشف الحساب'!$C$4:$C$203,IFERROR(MATCH(34,'كشف الحساب'!$N$4:$N$203,0),0))),"")</f>
        <v/>
      </c>
      <c r="D38" s="74">
        <f>IFERROR(IF(IFERROR(MATCH(34,'كشف الحساب'!$N$4:$N$203,0),0)=0,"",INDEX('كشف الحساب'!$D$4:$D$203,IFERROR(MATCH(34,'كشف الحساب'!$N$4:$N$203,0),0))),"")</f>
        <v/>
      </c>
      <c r="E38" s="75">
        <f>IFERROR(IF(IFERROR(MATCH(34,'كشف الحساب'!$N$4:$N$203,0),0)=0,"",INDEX('كشف الحساب'!$E$4:$E$203,IFERROR(MATCH(34,'كشف الحساب'!$N$4:$N$203,0),0))),"")</f>
        <v/>
      </c>
      <c r="F38" s="72">
        <f>IFERROR(IF(IFERROR(MATCH(34,'كشف الحساب'!$N$4:$N$203,0),0)=0,"",INDEX('كشف الحساب'!$F$4:$F$203,IFERROR(MATCH(34,'كشف الحساب'!$N$4:$N$203,0),0))),"")</f>
        <v/>
      </c>
      <c r="G38" s="72">
        <f>IFERROR(IF(IFERROR(MATCH(34,'كشف الحساب'!$N$4:$N$203,0),0)=0,"",INDEX('كشف الحساب'!$G$4:$G$203,IFERROR(MATCH(34,'كشف الحساب'!$N$4:$N$203,0),0))),"")</f>
        <v/>
      </c>
      <c r="H38" s="72">
        <f>IFERROR(IF(IFERROR(MATCH(34,'كشف الحساب'!$N$4:$N$203,0),0)=0,"",INDEX('كشف الحساب'!$H$4:$H$203,IFERROR(MATCH(34,'كشف الحساب'!$N$4:$N$203,0),0))),"")</f>
        <v/>
      </c>
      <c r="I38" s="72">
        <f>IFERROR(IF(IFERROR(MATCH(34,'كشف الحساب'!$N$4:$N$203,0),0)=0,"",INDEX('كشف الحساب'!$I$4:$I$203,IFERROR(MATCH(34,'كشف الحساب'!$N$4:$N$203,0),0))),"")</f>
        <v/>
      </c>
      <c r="J38" s="76">
        <f>IFERROR(IF(IFERROR(MATCH(34,'كشف الحساب'!$N$4:$N$203,0),0)=0,"",INDEX('كشف الحساب'!$J$4:$J$203,IFERROR(MATCH(34,'كشف الحساب'!$N$4:$N$203,0),0))),"")</f>
        <v/>
      </c>
      <c r="K38" s="72">
        <f>IFERROR(IF(IFERROR(MATCH(34,'كشف الحساب'!$N$4:$N$203,0),0)=0,"",INDEX('كشف الحساب'!$K$4:$K$203,IFERROR(MATCH(34,'كشف الحساب'!$N$4:$N$203,0),0))),"")</f>
        <v/>
      </c>
    </row>
    <row r="39" ht="15" customHeight="1" s="165">
      <c r="A39" s="65">
        <f>IFERROR(IF(IFERROR(MATCH(35,'كشف الحساب'!$N$4:$N$203,0),0)=0,"",INDEX('كشف الحساب'!$A$4:$A$203,IFERROR(MATCH(35,'كشف الحساب'!$N$4:$N$203,0),0))),"")</f>
        <v/>
      </c>
      <c r="B39" s="66">
        <f>IFERROR(IF(IFERROR(MATCH(35,'كشف الحساب'!$N$4:$N$203,0),0)=0,"",INDEX('كشف الحساب'!$B$4:$B$203,IFERROR(MATCH(35,'كشف الحساب'!$N$4:$N$203,0),0))),"")</f>
        <v/>
      </c>
      <c r="C39" s="67">
        <f>IFERROR(IF(IFERROR(MATCH(35,'كشف الحساب'!$N$4:$N$203,0),0)=0,"",INDEX('كشف الحساب'!$C$4:$C$203,IFERROR(MATCH(35,'كشف الحساب'!$N$4:$N$203,0),0))),"")</f>
        <v/>
      </c>
      <c r="D39" s="68">
        <f>IFERROR(IF(IFERROR(MATCH(35,'كشف الحساب'!$N$4:$N$203,0),0)=0,"",INDEX('كشف الحساب'!$D$4:$D$203,IFERROR(MATCH(35,'كشف الحساب'!$N$4:$N$203,0),0))),"")</f>
        <v/>
      </c>
      <c r="E39" s="69">
        <f>IFERROR(IF(IFERROR(MATCH(35,'كشف الحساب'!$N$4:$N$203,0),0)=0,"",INDEX('كشف الحساب'!$E$4:$E$203,IFERROR(MATCH(35,'كشف الحساب'!$N$4:$N$203,0),0))),"")</f>
        <v/>
      </c>
      <c r="F39" s="66">
        <f>IFERROR(IF(IFERROR(MATCH(35,'كشف الحساب'!$N$4:$N$203,0),0)=0,"",INDEX('كشف الحساب'!$F$4:$F$203,IFERROR(MATCH(35,'كشف الحساب'!$N$4:$N$203,0),0))),"")</f>
        <v/>
      </c>
      <c r="G39" s="66">
        <f>IFERROR(IF(IFERROR(MATCH(35,'كشف الحساب'!$N$4:$N$203,0),0)=0,"",INDEX('كشف الحساب'!$G$4:$G$203,IFERROR(MATCH(35,'كشف الحساب'!$N$4:$N$203,0),0))),"")</f>
        <v/>
      </c>
      <c r="H39" s="66">
        <f>IFERROR(IF(IFERROR(MATCH(35,'كشف الحساب'!$N$4:$N$203,0),0)=0,"",INDEX('كشف الحساب'!$H$4:$H$203,IFERROR(MATCH(35,'كشف الحساب'!$N$4:$N$203,0),0))),"")</f>
        <v/>
      </c>
      <c r="I39" s="66">
        <f>IFERROR(IF(IFERROR(MATCH(35,'كشف الحساب'!$N$4:$N$203,0),0)=0,"",INDEX('كشف الحساب'!$I$4:$I$203,IFERROR(MATCH(35,'كشف الحساب'!$N$4:$N$203,0),0))),"")</f>
        <v/>
      </c>
      <c r="J39" s="70">
        <f>IFERROR(IF(IFERROR(MATCH(35,'كشف الحساب'!$N$4:$N$203,0),0)=0,"",INDEX('كشف الحساب'!$J$4:$J$203,IFERROR(MATCH(35,'كشف الحساب'!$N$4:$N$203,0),0))),"")</f>
        <v/>
      </c>
      <c r="K39" s="66">
        <f>IFERROR(IF(IFERROR(MATCH(35,'كشف الحساب'!$N$4:$N$203,0),0)=0,"",INDEX('كشف الحساب'!$K$4:$K$203,IFERROR(MATCH(35,'كشف الحساب'!$N$4:$N$203,0),0))),"")</f>
        <v/>
      </c>
    </row>
    <row r="40" ht="15" customHeight="1" s="165">
      <c r="A40" s="71">
        <f>IFERROR(IF(IFERROR(MATCH(36,'كشف الحساب'!$N$4:$N$203,0),0)=0,"",INDEX('كشف الحساب'!$A$4:$A$203,IFERROR(MATCH(36,'كشف الحساب'!$N$4:$N$203,0),0))),"")</f>
        <v/>
      </c>
      <c r="B40" s="72">
        <f>IFERROR(IF(IFERROR(MATCH(36,'كشف الحساب'!$N$4:$N$203,0),0)=0,"",INDEX('كشف الحساب'!$B$4:$B$203,IFERROR(MATCH(36,'كشف الحساب'!$N$4:$N$203,0),0))),"")</f>
        <v/>
      </c>
      <c r="C40" s="73">
        <f>IFERROR(IF(IFERROR(MATCH(36,'كشف الحساب'!$N$4:$N$203,0),0)=0,"",INDEX('كشف الحساب'!$C$4:$C$203,IFERROR(MATCH(36,'كشف الحساب'!$N$4:$N$203,0),0))),"")</f>
        <v/>
      </c>
      <c r="D40" s="74">
        <f>IFERROR(IF(IFERROR(MATCH(36,'كشف الحساب'!$N$4:$N$203,0),0)=0,"",INDEX('كشف الحساب'!$D$4:$D$203,IFERROR(MATCH(36,'كشف الحساب'!$N$4:$N$203,0),0))),"")</f>
        <v/>
      </c>
      <c r="E40" s="75">
        <f>IFERROR(IF(IFERROR(MATCH(36,'كشف الحساب'!$N$4:$N$203,0),0)=0,"",INDEX('كشف الحساب'!$E$4:$E$203,IFERROR(MATCH(36,'كشف الحساب'!$N$4:$N$203,0),0))),"")</f>
        <v/>
      </c>
      <c r="F40" s="72">
        <f>IFERROR(IF(IFERROR(MATCH(36,'كشف الحساب'!$N$4:$N$203,0),0)=0,"",INDEX('كشف الحساب'!$F$4:$F$203,IFERROR(MATCH(36,'كشف الحساب'!$N$4:$N$203,0),0))),"")</f>
        <v/>
      </c>
      <c r="G40" s="72">
        <f>IFERROR(IF(IFERROR(MATCH(36,'كشف الحساب'!$N$4:$N$203,0),0)=0,"",INDEX('كشف الحساب'!$G$4:$G$203,IFERROR(MATCH(36,'كشف الحساب'!$N$4:$N$203,0),0))),"")</f>
        <v/>
      </c>
      <c r="H40" s="72">
        <f>IFERROR(IF(IFERROR(MATCH(36,'كشف الحساب'!$N$4:$N$203,0),0)=0,"",INDEX('كشف الحساب'!$H$4:$H$203,IFERROR(MATCH(36,'كشف الحساب'!$N$4:$N$203,0),0))),"")</f>
        <v/>
      </c>
      <c r="I40" s="72">
        <f>IFERROR(IF(IFERROR(MATCH(36,'كشف الحساب'!$N$4:$N$203,0),0)=0,"",INDEX('كشف الحساب'!$I$4:$I$203,IFERROR(MATCH(36,'كشف الحساب'!$N$4:$N$203,0),0))),"")</f>
        <v/>
      </c>
      <c r="J40" s="76">
        <f>IFERROR(IF(IFERROR(MATCH(36,'كشف الحساب'!$N$4:$N$203,0),0)=0,"",INDEX('كشف الحساب'!$J$4:$J$203,IFERROR(MATCH(36,'كشف الحساب'!$N$4:$N$203,0),0))),"")</f>
        <v/>
      </c>
      <c r="K40" s="72">
        <f>IFERROR(IF(IFERROR(MATCH(36,'كشف الحساب'!$N$4:$N$203,0),0)=0,"",INDEX('كشف الحساب'!$K$4:$K$203,IFERROR(MATCH(36,'كشف الحساب'!$N$4:$N$203,0),0))),"")</f>
        <v/>
      </c>
    </row>
    <row r="41" ht="15" customHeight="1" s="165">
      <c r="A41" s="65">
        <f>IFERROR(IF(IFERROR(MATCH(37,'كشف الحساب'!$N$4:$N$203,0),0)=0,"",INDEX('كشف الحساب'!$A$4:$A$203,IFERROR(MATCH(37,'كشف الحساب'!$N$4:$N$203,0),0))),"")</f>
        <v/>
      </c>
      <c r="B41" s="66">
        <f>IFERROR(IF(IFERROR(MATCH(37,'كشف الحساب'!$N$4:$N$203,0),0)=0,"",INDEX('كشف الحساب'!$B$4:$B$203,IFERROR(MATCH(37,'كشف الحساب'!$N$4:$N$203,0),0))),"")</f>
        <v/>
      </c>
      <c r="C41" s="67">
        <f>IFERROR(IF(IFERROR(MATCH(37,'كشف الحساب'!$N$4:$N$203,0),0)=0,"",INDEX('كشف الحساب'!$C$4:$C$203,IFERROR(MATCH(37,'كشف الحساب'!$N$4:$N$203,0),0))),"")</f>
        <v/>
      </c>
      <c r="D41" s="68">
        <f>IFERROR(IF(IFERROR(MATCH(37,'كشف الحساب'!$N$4:$N$203,0),0)=0,"",INDEX('كشف الحساب'!$D$4:$D$203,IFERROR(MATCH(37,'كشف الحساب'!$N$4:$N$203,0),0))),"")</f>
        <v/>
      </c>
      <c r="E41" s="69">
        <f>IFERROR(IF(IFERROR(MATCH(37,'كشف الحساب'!$N$4:$N$203,0),0)=0,"",INDEX('كشف الحساب'!$E$4:$E$203,IFERROR(MATCH(37,'كشف الحساب'!$N$4:$N$203,0),0))),"")</f>
        <v/>
      </c>
      <c r="F41" s="66">
        <f>IFERROR(IF(IFERROR(MATCH(37,'كشف الحساب'!$N$4:$N$203,0),0)=0,"",INDEX('كشف الحساب'!$F$4:$F$203,IFERROR(MATCH(37,'كشف الحساب'!$N$4:$N$203,0),0))),"")</f>
        <v/>
      </c>
      <c r="G41" s="66">
        <f>IFERROR(IF(IFERROR(MATCH(37,'كشف الحساب'!$N$4:$N$203,0),0)=0,"",INDEX('كشف الحساب'!$G$4:$G$203,IFERROR(MATCH(37,'كشف الحساب'!$N$4:$N$203,0),0))),"")</f>
        <v/>
      </c>
      <c r="H41" s="66">
        <f>IFERROR(IF(IFERROR(MATCH(37,'كشف الحساب'!$N$4:$N$203,0),0)=0,"",INDEX('كشف الحساب'!$H$4:$H$203,IFERROR(MATCH(37,'كشف الحساب'!$N$4:$N$203,0),0))),"")</f>
        <v/>
      </c>
      <c r="I41" s="66">
        <f>IFERROR(IF(IFERROR(MATCH(37,'كشف الحساب'!$N$4:$N$203,0),0)=0,"",INDEX('كشف الحساب'!$I$4:$I$203,IFERROR(MATCH(37,'كشف الحساب'!$N$4:$N$203,0),0))),"")</f>
        <v/>
      </c>
      <c r="J41" s="70">
        <f>IFERROR(IF(IFERROR(MATCH(37,'كشف الحساب'!$N$4:$N$203,0),0)=0,"",INDEX('كشف الحساب'!$J$4:$J$203,IFERROR(MATCH(37,'كشف الحساب'!$N$4:$N$203,0),0))),"")</f>
        <v/>
      </c>
      <c r="K41" s="66">
        <f>IFERROR(IF(IFERROR(MATCH(37,'كشف الحساب'!$N$4:$N$203,0),0)=0,"",INDEX('كشف الحساب'!$K$4:$K$203,IFERROR(MATCH(37,'كشف الحساب'!$N$4:$N$203,0),0))),"")</f>
        <v/>
      </c>
    </row>
    <row r="42" ht="15" customHeight="1" s="165">
      <c r="A42" s="71">
        <f>IFERROR(IF(IFERROR(MATCH(38,'كشف الحساب'!$N$4:$N$203,0),0)=0,"",INDEX('كشف الحساب'!$A$4:$A$203,IFERROR(MATCH(38,'كشف الحساب'!$N$4:$N$203,0),0))),"")</f>
        <v/>
      </c>
      <c r="B42" s="72">
        <f>IFERROR(IF(IFERROR(MATCH(38,'كشف الحساب'!$N$4:$N$203,0),0)=0,"",INDEX('كشف الحساب'!$B$4:$B$203,IFERROR(MATCH(38,'كشف الحساب'!$N$4:$N$203,0),0))),"")</f>
        <v/>
      </c>
      <c r="C42" s="73">
        <f>IFERROR(IF(IFERROR(MATCH(38,'كشف الحساب'!$N$4:$N$203,0),0)=0,"",INDEX('كشف الحساب'!$C$4:$C$203,IFERROR(MATCH(38,'كشف الحساب'!$N$4:$N$203,0),0))),"")</f>
        <v/>
      </c>
      <c r="D42" s="74">
        <f>IFERROR(IF(IFERROR(MATCH(38,'كشف الحساب'!$N$4:$N$203,0),0)=0,"",INDEX('كشف الحساب'!$D$4:$D$203,IFERROR(MATCH(38,'كشف الحساب'!$N$4:$N$203,0),0))),"")</f>
        <v/>
      </c>
      <c r="E42" s="75">
        <f>IFERROR(IF(IFERROR(MATCH(38,'كشف الحساب'!$N$4:$N$203,0),0)=0,"",INDEX('كشف الحساب'!$E$4:$E$203,IFERROR(MATCH(38,'كشف الحساب'!$N$4:$N$203,0),0))),"")</f>
        <v/>
      </c>
      <c r="F42" s="72">
        <f>IFERROR(IF(IFERROR(MATCH(38,'كشف الحساب'!$N$4:$N$203,0),0)=0,"",INDEX('كشف الحساب'!$F$4:$F$203,IFERROR(MATCH(38,'كشف الحساب'!$N$4:$N$203,0),0))),"")</f>
        <v/>
      </c>
      <c r="G42" s="72">
        <f>IFERROR(IF(IFERROR(MATCH(38,'كشف الحساب'!$N$4:$N$203,0),0)=0,"",INDEX('كشف الحساب'!$G$4:$G$203,IFERROR(MATCH(38,'كشف الحساب'!$N$4:$N$203,0),0))),"")</f>
        <v/>
      </c>
      <c r="H42" s="72">
        <f>IFERROR(IF(IFERROR(MATCH(38,'كشف الحساب'!$N$4:$N$203,0),0)=0,"",INDEX('كشف الحساب'!$H$4:$H$203,IFERROR(MATCH(38,'كشف الحساب'!$N$4:$N$203,0),0))),"")</f>
        <v/>
      </c>
      <c r="I42" s="72">
        <f>IFERROR(IF(IFERROR(MATCH(38,'كشف الحساب'!$N$4:$N$203,0),0)=0,"",INDEX('كشف الحساب'!$I$4:$I$203,IFERROR(MATCH(38,'كشف الحساب'!$N$4:$N$203,0),0))),"")</f>
        <v/>
      </c>
      <c r="J42" s="76">
        <f>IFERROR(IF(IFERROR(MATCH(38,'كشف الحساب'!$N$4:$N$203,0),0)=0,"",INDEX('كشف الحساب'!$J$4:$J$203,IFERROR(MATCH(38,'كشف الحساب'!$N$4:$N$203,0),0))),"")</f>
        <v/>
      </c>
      <c r="K42" s="72">
        <f>IFERROR(IF(IFERROR(MATCH(38,'كشف الحساب'!$N$4:$N$203,0),0)=0,"",INDEX('كشف الحساب'!$K$4:$K$203,IFERROR(MATCH(38,'كشف الحساب'!$N$4:$N$203,0),0))),"")</f>
        <v/>
      </c>
    </row>
    <row r="43" ht="15" customHeight="1" s="165">
      <c r="A43" s="65">
        <f>IFERROR(IF(IFERROR(MATCH(39,'كشف الحساب'!$N$4:$N$203,0),0)=0,"",INDEX('كشف الحساب'!$A$4:$A$203,IFERROR(MATCH(39,'كشف الحساب'!$N$4:$N$203,0),0))),"")</f>
        <v/>
      </c>
      <c r="B43" s="66">
        <f>IFERROR(IF(IFERROR(MATCH(39,'كشف الحساب'!$N$4:$N$203,0),0)=0,"",INDEX('كشف الحساب'!$B$4:$B$203,IFERROR(MATCH(39,'كشف الحساب'!$N$4:$N$203,0),0))),"")</f>
        <v/>
      </c>
      <c r="C43" s="67">
        <f>IFERROR(IF(IFERROR(MATCH(39,'كشف الحساب'!$N$4:$N$203,0),0)=0,"",INDEX('كشف الحساب'!$C$4:$C$203,IFERROR(MATCH(39,'كشف الحساب'!$N$4:$N$203,0),0))),"")</f>
        <v/>
      </c>
      <c r="D43" s="68">
        <f>IFERROR(IF(IFERROR(MATCH(39,'كشف الحساب'!$N$4:$N$203,0),0)=0,"",INDEX('كشف الحساب'!$D$4:$D$203,IFERROR(MATCH(39,'كشف الحساب'!$N$4:$N$203,0),0))),"")</f>
        <v/>
      </c>
      <c r="E43" s="69">
        <f>IFERROR(IF(IFERROR(MATCH(39,'كشف الحساب'!$N$4:$N$203,0),0)=0,"",INDEX('كشف الحساب'!$E$4:$E$203,IFERROR(MATCH(39,'كشف الحساب'!$N$4:$N$203,0),0))),"")</f>
        <v/>
      </c>
      <c r="F43" s="66">
        <f>IFERROR(IF(IFERROR(MATCH(39,'كشف الحساب'!$N$4:$N$203,0),0)=0,"",INDEX('كشف الحساب'!$F$4:$F$203,IFERROR(MATCH(39,'كشف الحساب'!$N$4:$N$203,0),0))),"")</f>
        <v/>
      </c>
      <c r="G43" s="66">
        <f>IFERROR(IF(IFERROR(MATCH(39,'كشف الحساب'!$N$4:$N$203,0),0)=0,"",INDEX('كشف الحساب'!$G$4:$G$203,IFERROR(MATCH(39,'كشف الحساب'!$N$4:$N$203,0),0))),"")</f>
        <v/>
      </c>
      <c r="H43" s="66">
        <f>IFERROR(IF(IFERROR(MATCH(39,'كشف الحساب'!$N$4:$N$203,0),0)=0,"",INDEX('كشف الحساب'!$H$4:$H$203,IFERROR(MATCH(39,'كشف الحساب'!$N$4:$N$203,0),0))),"")</f>
        <v/>
      </c>
      <c r="I43" s="66">
        <f>IFERROR(IF(IFERROR(MATCH(39,'كشف الحساب'!$N$4:$N$203,0),0)=0,"",INDEX('كشف الحساب'!$I$4:$I$203,IFERROR(MATCH(39,'كشف الحساب'!$N$4:$N$203,0),0))),"")</f>
        <v/>
      </c>
      <c r="J43" s="70">
        <f>IFERROR(IF(IFERROR(MATCH(39,'كشف الحساب'!$N$4:$N$203,0),0)=0,"",INDEX('كشف الحساب'!$J$4:$J$203,IFERROR(MATCH(39,'كشف الحساب'!$N$4:$N$203,0),0))),"")</f>
        <v/>
      </c>
      <c r="K43" s="66">
        <f>IFERROR(IF(IFERROR(MATCH(39,'كشف الحساب'!$N$4:$N$203,0),0)=0,"",INDEX('كشف الحساب'!$K$4:$K$203,IFERROR(MATCH(39,'كشف الحساب'!$N$4:$N$203,0),0))),"")</f>
        <v/>
      </c>
    </row>
    <row r="44" ht="15" customHeight="1" s="165">
      <c r="A44" s="71">
        <f>IFERROR(IF(IFERROR(MATCH(40,'كشف الحساب'!$N$4:$N$203,0),0)=0,"",INDEX('كشف الحساب'!$A$4:$A$203,IFERROR(MATCH(40,'كشف الحساب'!$N$4:$N$203,0),0))),"")</f>
        <v/>
      </c>
      <c r="B44" s="72">
        <f>IFERROR(IF(IFERROR(MATCH(40,'كشف الحساب'!$N$4:$N$203,0),0)=0,"",INDEX('كشف الحساب'!$B$4:$B$203,IFERROR(MATCH(40,'كشف الحساب'!$N$4:$N$203,0),0))),"")</f>
        <v/>
      </c>
      <c r="C44" s="73">
        <f>IFERROR(IF(IFERROR(MATCH(40,'كشف الحساب'!$N$4:$N$203,0),0)=0,"",INDEX('كشف الحساب'!$C$4:$C$203,IFERROR(MATCH(40,'كشف الحساب'!$N$4:$N$203,0),0))),"")</f>
        <v/>
      </c>
      <c r="D44" s="74">
        <f>IFERROR(IF(IFERROR(MATCH(40,'كشف الحساب'!$N$4:$N$203,0),0)=0,"",INDEX('كشف الحساب'!$D$4:$D$203,IFERROR(MATCH(40,'كشف الحساب'!$N$4:$N$203,0),0))),"")</f>
        <v/>
      </c>
      <c r="E44" s="75">
        <f>IFERROR(IF(IFERROR(MATCH(40,'كشف الحساب'!$N$4:$N$203,0),0)=0,"",INDEX('كشف الحساب'!$E$4:$E$203,IFERROR(MATCH(40,'كشف الحساب'!$N$4:$N$203,0),0))),"")</f>
        <v/>
      </c>
      <c r="F44" s="72">
        <f>IFERROR(IF(IFERROR(MATCH(40,'كشف الحساب'!$N$4:$N$203,0),0)=0,"",INDEX('كشف الحساب'!$F$4:$F$203,IFERROR(MATCH(40,'كشف الحساب'!$N$4:$N$203,0),0))),"")</f>
        <v/>
      </c>
      <c r="G44" s="72">
        <f>IFERROR(IF(IFERROR(MATCH(40,'كشف الحساب'!$N$4:$N$203,0),0)=0,"",INDEX('كشف الحساب'!$G$4:$G$203,IFERROR(MATCH(40,'كشف الحساب'!$N$4:$N$203,0),0))),"")</f>
        <v/>
      </c>
      <c r="H44" s="72">
        <f>IFERROR(IF(IFERROR(MATCH(40,'كشف الحساب'!$N$4:$N$203,0),0)=0,"",INDEX('كشف الحساب'!$H$4:$H$203,IFERROR(MATCH(40,'كشف الحساب'!$N$4:$N$203,0),0))),"")</f>
        <v/>
      </c>
      <c r="I44" s="72">
        <f>IFERROR(IF(IFERROR(MATCH(40,'كشف الحساب'!$N$4:$N$203,0),0)=0,"",INDEX('كشف الحساب'!$I$4:$I$203,IFERROR(MATCH(40,'كشف الحساب'!$N$4:$N$203,0),0))),"")</f>
        <v/>
      </c>
      <c r="J44" s="76">
        <f>IFERROR(IF(IFERROR(MATCH(40,'كشف الحساب'!$N$4:$N$203,0),0)=0,"",INDEX('كشف الحساب'!$J$4:$J$203,IFERROR(MATCH(40,'كشف الحساب'!$N$4:$N$203,0),0))),"")</f>
        <v/>
      </c>
      <c r="K44" s="72">
        <f>IFERROR(IF(IFERROR(MATCH(40,'كشف الحساب'!$N$4:$N$203,0),0)=0,"",INDEX('كشف الحساب'!$K$4:$K$203,IFERROR(MATCH(40,'كشف الحساب'!$N$4:$N$203,0),0))),"")</f>
        <v/>
      </c>
    </row>
    <row r="45" ht="15" customHeight="1" s="165">
      <c r="A45" s="65">
        <f>IFERROR(IF(IFERROR(MATCH(41,'كشف الحساب'!$N$4:$N$203,0),0)=0,"",INDEX('كشف الحساب'!$A$4:$A$203,IFERROR(MATCH(41,'كشف الحساب'!$N$4:$N$203,0),0))),"")</f>
        <v/>
      </c>
      <c r="B45" s="66">
        <f>IFERROR(IF(IFERROR(MATCH(41,'كشف الحساب'!$N$4:$N$203,0),0)=0,"",INDEX('كشف الحساب'!$B$4:$B$203,IFERROR(MATCH(41,'كشف الحساب'!$N$4:$N$203,0),0))),"")</f>
        <v/>
      </c>
      <c r="C45" s="67">
        <f>IFERROR(IF(IFERROR(MATCH(41,'كشف الحساب'!$N$4:$N$203,0),0)=0,"",INDEX('كشف الحساب'!$C$4:$C$203,IFERROR(MATCH(41,'كشف الحساب'!$N$4:$N$203,0),0))),"")</f>
        <v/>
      </c>
      <c r="D45" s="68">
        <f>IFERROR(IF(IFERROR(MATCH(41,'كشف الحساب'!$N$4:$N$203,0),0)=0,"",INDEX('كشف الحساب'!$D$4:$D$203,IFERROR(MATCH(41,'كشف الحساب'!$N$4:$N$203,0),0))),"")</f>
        <v/>
      </c>
      <c r="E45" s="69">
        <f>IFERROR(IF(IFERROR(MATCH(41,'كشف الحساب'!$N$4:$N$203,0),0)=0,"",INDEX('كشف الحساب'!$E$4:$E$203,IFERROR(MATCH(41,'كشف الحساب'!$N$4:$N$203,0),0))),"")</f>
        <v/>
      </c>
      <c r="F45" s="66">
        <f>IFERROR(IF(IFERROR(MATCH(41,'كشف الحساب'!$N$4:$N$203,0),0)=0,"",INDEX('كشف الحساب'!$F$4:$F$203,IFERROR(MATCH(41,'كشف الحساب'!$N$4:$N$203,0),0))),"")</f>
        <v/>
      </c>
      <c r="G45" s="66">
        <f>IFERROR(IF(IFERROR(MATCH(41,'كشف الحساب'!$N$4:$N$203,0),0)=0,"",INDEX('كشف الحساب'!$G$4:$G$203,IFERROR(MATCH(41,'كشف الحساب'!$N$4:$N$203,0),0))),"")</f>
        <v/>
      </c>
      <c r="H45" s="66">
        <f>IFERROR(IF(IFERROR(MATCH(41,'كشف الحساب'!$N$4:$N$203,0),0)=0,"",INDEX('كشف الحساب'!$H$4:$H$203,IFERROR(MATCH(41,'كشف الحساب'!$N$4:$N$203,0),0))),"")</f>
        <v/>
      </c>
      <c r="I45" s="66">
        <f>IFERROR(IF(IFERROR(MATCH(41,'كشف الحساب'!$N$4:$N$203,0),0)=0,"",INDEX('كشف الحساب'!$I$4:$I$203,IFERROR(MATCH(41,'كشف الحساب'!$N$4:$N$203,0),0))),"")</f>
        <v/>
      </c>
      <c r="J45" s="70">
        <f>IFERROR(IF(IFERROR(MATCH(41,'كشف الحساب'!$N$4:$N$203,0),0)=0,"",INDEX('كشف الحساب'!$J$4:$J$203,IFERROR(MATCH(41,'كشف الحساب'!$N$4:$N$203,0),0))),"")</f>
        <v/>
      </c>
      <c r="K45" s="66">
        <f>IFERROR(IF(IFERROR(MATCH(41,'كشف الحساب'!$N$4:$N$203,0),0)=0,"",INDEX('كشف الحساب'!$K$4:$K$203,IFERROR(MATCH(41,'كشف الحساب'!$N$4:$N$203,0),0))),"")</f>
        <v/>
      </c>
    </row>
    <row r="46" ht="15" customHeight="1" s="165">
      <c r="A46" s="71">
        <f>IFERROR(IF(IFERROR(MATCH(42,'كشف الحساب'!$N$4:$N$203,0),0)=0,"",INDEX('كشف الحساب'!$A$4:$A$203,IFERROR(MATCH(42,'كشف الحساب'!$N$4:$N$203,0),0))),"")</f>
        <v/>
      </c>
      <c r="B46" s="72">
        <f>IFERROR(IF(IFERROR(MATCH(42,'كشف الحساب'!$N$4:$N$203,0),0)=0,"",INDEX('كشف الحساب'!$B$4:$B$203,IFERROR(MATCH(42,'كشف الحساب'!$N$4:$N$203,0),0))),"")</f>
        <v/>
      </c>
      <c r="C46" s="73">
        <f>IFERROR(IF(IFERROR(MATCH(42,'كشف الحساب'!$N$4:$N$203,0),0)=0,"",INDEX('كشف الحساب'!$C$4:$C$203,IFERROR(MATCH(42,'كشف الحساب'!$N$4:$N$203,0),0))),"")</f>
        <v/>
      </c>
      <c r="D46" s="74">
        <f>IFERROR(IF(IFERROR(MATCH(42,'كشف الحساب'!$N$4:$N$203,0),0)=0,"",INDEX('كشف الحساب'!$D$4:$D$203,IFERROR(MATCH(42,'كشف الحساب'!$N$4:$N$203,0),0))),"")</f>
        <v/>
      </c>
      <c r="E46" s="75">
        <f>IFERROR(IF(IFERROR(MATCH(42,'كشف الحساب'!$N$4:$N$203,0),0)=0,"",INDEX('كشف الحساب'!$E$4:$E$203,IFERROR(MATCH(42,'كشف الحساب'!$N$4:$N$203,0),0))),"")</f>
        <v/>
      </c>
      <c r="F46" s="72">
        <f>IFERROR(IF(IFERROR(MATCH(42,'كشف الحساب'!$N$4:$N$203,0),0)=0,"",INDEX('كشف الحساب'!$F$4:$F$203,IFERROR(MATCH(42,'كشف الحساب'!$N$4:$N$203,0),0))),"")</f>
        <v/>
      </c>
      <c r="G46" s="72">
        <f>IFERROR(IF(IFERROR(MATCH(42,'كشف الحساب'!$N$4:$N$203,0),0)=0,"",INDEX('كشف الحساب'!$G$4:$G$203,IFERROR(MATCH(42,'كشف الحساب'!$N$4:$N$203,0),0))),"")</f>
        <v/>
      </c>
      <c r="H46" s="72">
        <f>IFERROR(IF(IFERROR(MATCH(42,'كشف الحساب'!$N$4:$N$203,0),0)=0,"",INDEX('كشف الحساب'!$H$4:$H$203,IFERROR(MATCH(42,'كشف الحساب'!$N$4:$N$203,0),0))),"")</f>
        <v/>
      </c>
      <c r="I46" s="72">
        <f>IFERROR(IF(IFERROR(MATCH(42,'كشف الحساب'!$N$4:$N$203,0),0)=0,"",INDEX('كشف الحساب'!$I$4:$I$203,IFERROR(MATCH(42,'كشف الحساب'!$N$4:$N$203,0),0))),"")</f>
        <v/>
      </c>
      <c r="J46" s="76">
        <f>IFERROR(IF(IFERROR(MATCH(42,'كشف الحساب'!$N$4:$N$203,0),0)=0,"",INDEX('كشف الحساب'!$J$4:$J$203,IFERROR(MATCH(42,'كشف الحساب'!$N$4:$N$203,0),0))),"")</f>
        <v/>
      </c>
      <c r="K46" s="72">
        <f>IFERROR(IF(IFERROR(MATCH(42,'كشف الحساب'!$N$4:$N$203,0),0)=0,"",INDEX('كشف الحساب'!$K$4:$K$203,IFERROR(MATCH(42,'كشف الحساب'!$N$4:$N$203,0),0))),"")</f>
        <v/>
      </c>
    </row>
    <row r="47" ht="15" customHeight="1" s="165">
      <c r="A47" s="65">
        <f>IFERROR(IF(IFERROR(MATCH(43,'كشف الحساب'!$N$4:$N$203,0),0)=0,"",INDEX('كشف الحساب'!$A$4:$A$203,IFERROR(MATCH(43,'كشف الحساب'!$N$4:$N$203,0),0))),"")</f>
        <v/>
      </c>
      <c r="B47" s="66">
        <f>IFERROR(IF(IFERROR(MATCH(43,'كشف الحساب'!$N$4:$N$203,0),0)=0,"",INDEX('كشف الحساب'!$B$4:$B$203,IFERROR(MATCH(43,'كشف الحساب'!$N$4:$N$203,0),0))),"")</f>
        <v/>
      </c>
      <c r="C47" s="67">
        <f>IFERROR(IF(IFERROR(MATCH(43,'كشف الحساب'!$N$4:$N$203,0),0)=0,"",INDEX('كشف الحساب'!$C$4:$C$203,IFERROR(MATCH(43,'كشف الحساب'!$N$4:$N$203,0),0))),"")</f>
        <v/>
      </c>
      <c r="D47" s="68">
        <f>IFERROR(IF(IFERROR(MATCH(43,'كشف الحساب'!$N$4:$N$203,0),0)=0,"",INDEX('كشف الحساب'!$D$4:$D$203,IFERROR(MATCH(43,'كشف الحساب'!$N$4:$N$203,0),0))),"")</f>
        <v/>
      </c>
      <c r="E47" s="69">
        <f>IFERROR(IF(IFERROR(MATCH(43,'كشف الحساب'!$N$4:$N$203,0),0)=0,"",INDEX('كشف الحساب'!$E$4:$E$203,IFERROR(MATCH(43,'كشف الحساب'!$N$4:$N$203,0),0))),"")</f>
        <v/>
      </c>
      <c r="F47" s="66">
        <f>IFERROR(IF(IFERROR(MATCH(43,'كشف الحساب'!$N$4:$N$203,0),0)=0,"",INDEX('كشف الحساب'!$F$4:$F$203,IFERROR(MATCH(43,'كشف الحساب'!$N$4:$N$203,0),0))),"")</f>
        <v/>
      </c>
      <c r="G47" s="66">
        <f>IFERROR(IF(IFERROR(MATCH(43,'كشف الحساب'!$N$4:$N$203,0),0)=0,"",INDEX('كشف الحساب'!$G$4:$G$203,IFERROR(MATCH(43,'كشف الحساب'!$N$4:$N$203,0),0))),"")</f>
        <v/>
      </c>
      <c r="H47" s="66">
        <f>IFERROR(IF(IFERROR(MATCH(43,'كشف الحساب'!$N$4:$N$203,0),0)=0,"",INDEX('كشف الحساب'!$H$4:$H$203,IFERROR(MATCH(43,'كشف الحساب'!$N$4:$N$203,0),0))),"")</f>
        <v/>
      </c>
      <c r="I47" s="66">
        <f>IFERROR(IF(IFERROR(MATCH(43,'كشف الحساب'!$N$4:$N$203,0),0)=0,"",INDEX('كشف الحساب'!$I$4:$I$203,IFERROR(MATCH(43,'كشف الحساب'!$N$4:$N$203,0),0))),"")</f>
        <v/>
      </c>
      <c r="J47" s="70">
        <f>IFERROR(IF(IFERROR(MATCH(43,'كشف الحساب'!$N$4:$N$203,0),0)=0,"",INDEX('كشف الحساب'!$J$4:$J$203,IFERROR(MATCH(43,'كشف الحساب'!$N$4:$N$203,0),0))),"")</f>
        <v/>
      </c>
      <c r="K47" s="66">
        <f>IFERROR(IF(IFERROR(MATCH(43,'كشف الحساب'!$N$4:$N$203,0),0)=0,"",INDEX('كشف الحساب'!$K$4:$K$203,IFERROR(MATCH(43,'كشف الحساب'!$N$4:$N$203,0),0))),"")</f>
        <v/>
      </c>
    </row>
    <row r="48" ht="15" customHeight="1" s="165">
      <c r="A48" s="71">
        <f>IFERROR(IF(IFERROR(MATCH(44,'كشف الحساب'!$N$4:$N$203,0),0)=0,"",INDEX('كشف الحساب'!$A$4:$A$203,IFERROR(MATCH(44,'كشف الحساب'!$N$4:$N$203,0),0))),"")</f>
        <v/>
      </c>
      <c r="B48" s="72">
        <f>IFERROR(IF(IFERROR(MATCH(44,'كشف الحساب'!$N$4:$N$203,0),0)=0,"",INDEX('كشف الحساب'!$B$4:$B$203,IFERROR(MATCH(44,'كشف الحساب'!$N$4:$N$203,0),0))),"")</f>
        <v/>
      </c>
      <c r="C48" s="73">
        <f>IFERROR(IF(IFERROR(MATCH(44,'كشف الحساب'!$N$4:$N$203,0),0)=0,"",INDEX('كشف الحساب'!$C$4:$C$203,IFERROR(MATCH(44,'كشف الحساب'!$N$4:$N$203,0),0))),"")</f>
        <v/>
      </c>
      <c r="D48" s="74">
        <f>IFERROR(IF(IFERROR(MATCH(44,'كشف الحساب'!$N$4:$N$203,0),0)=0,"",INDEX('كشف الحساب'!$D$4:$D$203,IFERROR(MATCH(44,'كشف الحساب'!$N$4:$N$203,0),0))),"")</f>
        <v/>
      </c>
      <c r="E48" s="75">
        <f>IFERROR(IF(IFERROR(MATCH(44,'كشف الحساب'!$N$4:$N$203,0),0)=0,"",INDEX('كشف الحساب'!$E$4:$E$203,IFERROR(MATCH(44,'كشف الحساب'!$N$4:$N$203,0),0))),"")</f>
        <v/>
      </c>
      <c r="F48" s="72">
        <f>IFERROR(IF(IFERROR(MATCH(44,'كشف الحساب'!$N$4:$N$203,0),0)=0,"",INDEX('كشف الحساب'!$F$4:$F$203,IFERROR(MATCH(44,'كشف الحساب'!$N$4:$N$203,0),0))),"")</f>
        <v/>
      </c>
      <c r="G48" s="72">
        <f>IFERROR(IF(IFERROR(MATCH(44,'كشف الحساب'!$N$4:$N$203,0),0)=0,"",INDEX('كشف الحساب'!$G$4:$G$203,IFERROR(MATCH(44,'كشف الحساب'!$N$4:$N$203,0),0))),"")</f>
        <v/>
      </c>
      <c r="H48" s="72">
        <f>IFERROR(IF(IFERROR(MATCH(44,'كشف الحساب'!$N$4:$N$203,0),0)=0,"",INDEX('كشف الحساب'!$H$4:$H$203,IFERROR(MATCH(44,'كشف الحساب'!$N$4:$N$203,0),0))),"")</f>
        <v/>
      </c>
      <c r="I48" s="72">
        <f>IFERROR(IF(IFERROR(MATCH(44,'كشف الحساب'!$N$4:$N$203,0),0)=0,"",INDEX('كشف الحساب'!$I$4:$I$203,IFERROR(MATCH(44,'كشف الحساب'!$N$4:$N$203,0),0))),"")</f>
        <v/>
      </c>
      <c r="J48" s="76">
        <f>IFERROR(IF(IFERROR(MATCH(44,'كشف الحساب'!$N$4:$N$203,0),0)=0,"",INDEX('كشف الحساب'!$J$4:$J$203,IFERROR(MATCH(44,'كشف الحساب'!$N$4:$N$203,0),0))),"")</f>
        <v/>
      </c>
      <c r="K48" s="72">
        <f>IFERROR(IF(IFERROR(MATCH(44,'كشف الحساب'!$N$4:$N$203,0),0)=0,"",INDEX('كشف الحساب'!$K$4:$K$203,IFERROR(MATCH(44,'كشف الحساب'!$N$4:$N$203,0),0))),"")</f>
        <v/>
      </c>
    </row>
    <row r="49" ht="15" customHeight="1" s="165">
      <c r="A49" s="65">
        <f>IFERROR(IF(IFERROR(MATCH(45,'كشف الحساب'!$N$4:$N$203,0),0)=0,"",INDEX('كشف الحساب'!$A$4:$A$203,IFERROR(MATCH(45,'كشف الحساب'!$N$4:$N$203,0),0))),"")</f>
        <v/>
      </c>
      <c r="B49" s="66">
        <f>IFERROR(IF(IFERROR(MATCH(45,'كشف الحساب'!$N$4:$N$203,0),0)=0,"",INDEX('كشف الحساب'!$B$4:$B$203,IFERROR(MATCH(45,'كشف الحساب'!$N$4:$N$203,0),0))),"")</f>
        <v/>
      </c>
      <c r="C49" s="67">
        <f>IFERROR(IF(IFERROR(MATCH(45,'كشف الحساب'!$N$4:$N$203,0),0)=0,"",INDEX('كشف الحساب'!$C$4:$C$203,IFERROR(MATCH(45,'كشف الحساب'!$N$4:$N$203,0),0))),"")</f>
        <v/>
      </c>
      <c r="D49" s="68">
        <f>IFERROR(IF(IFERROR(MATCH(45,'كشف الحساب'!$N$4:$N$203,0),0)=0,"",INDEX('كشف الحساب'!$D$4:$D$203,IFERROR(MATCH(45,'كشف الحساب'!$N$4:$N$203,0),0))),"")</f>
        <v/>
      </c>
      <c r="E49" s="69">
        <f>IFERROR(IF(IFERROR(MATCH(45,'كشف الحساب'!$N$4:$N$203,0),0)=0,"",INDEX('كشف الحساب'!$E$4:$E$203,IFERROR(MATCH(45,'كشف الحساب'!$N$4:$N$203,0),0))),"")</f>
        <v/>
      </c>
      <c r="F49" s="66">
        <f>IFERROR(IF(IFERROR(MATCH(45,'كشف الحساب'!$N$4:$N$203,0),0)=0,"",INDEX('كشف الحساب'!$F$4:$F$203,IFERROR(MATCH(45,'كشف الحساب'!$N$4:$N$203,0),0))),"")</f>
        <v/>
      </c>
      <c r="G49" s="66">
        <f>IFERROR(IF(IFERROR(MATCH(45,'كشف الحساب'!$N$4:$N$203,0),0)=0,"",INDEX('كشف الحساب'!$G$4:$G$203,IFERROR(MATCH(45,'كشف الحساب'!$N$4:$N$203,0),0))),"")</f>
        <v/>
      </c>
      <c r="H49" s="66">
        <f>IFERROR(IF(IFERROR(MATCH(45,'كشف الحساب'!$N$4:$N$203,0),0)=0,"",INDEX('كشف الحساب'!$H$4:$H$203,IFERROR(MATCH(45,'كشف الحساب'!$N$4:$N$203,0),0))),"")</f>
        <v/>
      </c>
      <c r="I49" s="66">
        <f>IFERROR(IF(IFERROR(MATCH(45,'كشف الحساب'!$N$4:$N$203,0),0)=0,"",INDEX('كشف الحساب'!$I$4:$I$203,IFERROR(MATCH(45,'كشف الحساب'!$N$4:$N$203,0),0))),"")</f>
        <v/>
      </c>
      <c r="J49" s="70">
        <f>IFERROR(IF(IFERROR(MATCH(45,'كشف الحساب'!$N$4:$N$203,0),0)=0,"",INDEX('كشف الحساب'!$J$4:$J$203,IFERROR(MATCH(45,'كشف الحساب'!$N$4:$N$203,0),0))),"")</f>
        <v/>
      </c>
      <c r="K49" s="66">
        <f>IFERROR(IF(IFERROR(MATCH(45,'كشف الحساب'!$N$4:$N$203,0),0)=0,"",INDEX('كشف الحساب'!$K$4:$K$203,IFERROR(MATCH(45,'كشف الحساب'!$N$4:$N$203,0),0))),"")</f>
        <v/>
      </c>
    </row>
    <row r="50" ht="15" customHeight="1" s="165">
      <c r="A50" s="71">
        <f>IFERROR(IF(IFERROR(MATCH(46,'كشف الحساب'!$N$4:$N$203,0),0)=0,"",INDEX('كشف الحساب'!$A$4:$A$203,IFERROR(MATCH(46,'كشف الحساب'!$N$4:$N$203,0),0))),"")</f>
        <v/>
      </c>
      <c r="B50" s="72">
        <f>IFERROR(IF(IFERROR(MATCH(46,'كشف الحساب'!$N$4:$N$203,0),0)=0,"",INDEX('كشف الحساب'!$B$4:$B$203,IFERROR(MATCH(46,'كشف الحساب'!$N$4:$N$203,0),0))),"")</f>
        <v/>
      </c>
      <c r="C50" s="73">
        <f>IFERROR(IF(IFERROR(MATCH(46,'كشف الحساب'!$N$4:$N$203,0),0)=0,"",INDEX('كشف الحساب'!$C$4:$C$203,IFERROR(MATCH(46,'كشف الحساب'!$N$4:$N$203,0),0))),"")</f>
        <v/>
      </c>
      <c r="D50" s="74">
        <f>IFERROR(IF(IFERROR(MATCH(46,'كشف الحساب'!$N$4:$N$203,0),0)=0,"",INDEX('كشف الحساب'!$D$4:$D$203,IFERROR(MATCH(46,'كشف الحساب'!$N$4:$N$203,0),0))),"")</f>
        <v/>
      </c>
      <c r="E50" s="75">
        <f>IFERROR(IF(IFERROR(MATCH(46,'كشف الحساب'!$N$4:$N$203,0),0)=0,"",INDEX('كشف الحساب'!$E$4:$E$203,IFERROR(MATCH(46,'كشف الحساب'!$N$4:$N$203,0),0))),"")</f>
        <v/>
      </c>
      <c r="F50" s="72">
        <f>IFERROR(IF(IFERROR(MATCH(46,'كشف الحساب'!$N$4:$N$203,0),0)=0,"",INDEX('كشف الحساب'!$F$4:$F$203,IFERROR(MATCH(46,'كشف الحساب'!$N$4:$N$203,0),0))),"")</f>
        <v/>
      </c>
      <c r="G50" s="72">
        <f>IFERROR(IF(IFERROR(MATCH(46,'كشف الحساب'!$N$4:$N$203,0),0)=0,"",INDEX('كشف الحساب'!$G$4:$G$203,IFERROR(MATCH(46,'كشف الحساب'!$N$4:$N$203,0),0))),"")</f>
        <v/>
      </c>
      <c r="H50" s="72">
        <f>IFERROR(IF(IFERROR(MATCH(46,'كشف الحساب'!$N$4:$N$203,0),0)=0,"",INDEX('كشف الحساب'!$H$4:$H$203,IFERROR(MATCH(46,'كشف الحساب'!$N$4:$N$203,0),0))),"")</f>
        <v/>
      </c>
      <c r="I50" s="72">
        <f>IFERROR(IF(IFERROR(MATCH(46,'كشف الحساب'!$N$4:$N$203,0),0)=0,"",INDEX('كشف الحساب'!$I$4:$I$203,IFERROR(MATCH(46,'كشف الحساب'!$N$4:$N$203,0),0))),"")</f>
        <v/>
      </c>
      <c r="J50" s="76">
        <f>IFERROR(IF(IFERROR(MATCH(46,'كشف الحساب'!$N$4:$N$203,0),0)=0,"",INDEX('كشف الحساب'!$J$4:$J$203,IFERROR(MATCH(46,'كشف الحساب'!$N$4:$N$203,0),0))),"")</f>
        <v/>
      </c>
      <c r="K50" s="72">
        <f>IFERROR(IF(IFERROR(MATCH(46,'كشف الحساب'!$N$4:$N$203,0),0)=0,"",INDEX('كشف الحساب'!$K$4:$K$203,IFERROR(MATCH(46,'كشف الحساب'!$N$4:$N$203,0),0))),"")</f>
        <v/>
      </c>
    </row>
    <row r="51" ht="15" customHeight="1" s="165">
      <c r="A51" s="65">
        <f>IFERROR(IF(IFERROR(MATCH(47,'كشف الحساب'!$N$4:$N$203,0),0)=0,"",INDEX('كشف الحساب'!$A$4:$A$203,IFERROR(MATCH(47,'كشف الحساب'!$N$4:$N$203,0),0))),"")</f>
        <v/>
      </c>
      <c r="B51" s="66">
        <f>IFERROR(IF(IFERROR(MATCH(47,'كشف الحساب'!$N$4:$N$203,0),0)=0,"",INDEX('كشف الحساب'!$B$4:$B$203,IFERROR(MATCH(47,'كشف الحساب'!$N$4:$N$203,0),0))),"")</f>
        <v/>
      </c>
      <c r="C51" s="67">
        <f>IFERROR(IF(IFERROR(MATCH(47,'كشف الحساب'!$N$4:$N$203,0),0)=0,"",INDEX('كشف الحساب'!$C$4:$C$203,IFERROR(MATCH(47,'كشف الحساب'!$N$4:$N$203,0),0))),"")</f>
        <v/>
      </c>
      <c r="D51" s="68">
        <f>IFERROR(IF(IFERROR(MATCH(47,'كشف الحساب'!$N$4:$N$203,0),0)=0,"",INDEX('كشف الحساب'!$D$4:$D$203,IFERROR(MATCH(47,'كشف الحساب'!$N$4:$N$203,0),0))),"")</f>
        <v/>
      </c>
      <c r="E51" s="69">
        <f>IFERROR(IF(IFERROR(MATCH(47,'كشف الحساب'!$N$4:$N$203,0),0)=0,"",INDEX('كشف الحساب'!$E$4:$E$203,IFERROR(MATCH(47,'كشف الحساب'!$N$4:$N$203,0),0))),"")</f>
        <v/>
      </c>
      <c r="F51" s="66">
        <f>IFERROR(IF(IFERROR(MATCH(47,'كشف الحساب'!$N$4:$N$203,0),0)=0,"",INDEX('كشف الحساب'!$F$4:$F$203,IFERROR(MATCH(47,'كشف الحساب'!$N$4:$N$203,0),0))),"")</f>
        <v/>
      </c>
      <c r="G51" s="66">
        <f>IFERROR(IF(IFERROR(MATCH(47,'كشف الحساب'!$N$4:$N$203,0),0)=0,"",INDEX('كشف الحساب'!$G$4:$G$203,IFERROR(MATCH(47,'كشف الحساب'!$N$4:$N$203,0),0))),"")</f>
        <v/>
      </c>
      <c r="H51" s="66">
        <f>IFERROR(IF(IFERROR(MATCH(47,'كشف الحساب'!$N$4:$N$203,0),0)=0,"",INDEX('كشف الحساب'!$H$4:$H$203,IFERROR(MATCH(47,'كشف الحساب'!$N$4:$N$203,0),0))),"")</f>
        <v/>
      </c>
      <c r="I51" s="66">
        <f>IFERROR(IF(IFERROR(MATCH(47,'كشف الحساب'!$N$4:$N$203,0),0)=0,"",INDEX('كشف الحساب'!$I$4:$I$203,IFERROR(MATCH(47,'كشف الحساب'!$N$4:$N$203,0),0))),"")</f>
        <v/>
      </c>
      <c r="J51" s="70">
        <f>IFERROR(IF(IFERROR(MATCH(47,'كشف الحساب'!$N$4:$N$203,0),0)=0,"",INDEX('كشف الحساب'!$J$4:$J$203,IFERROR(MATCH(47,'كشف الحساب'!$N$4:$N$203,0),0))),"")</f>
        <v/>
      </c>
      <c r="K51" s="66">
        <f>IFERROR(IF(IFERROR(MATCH(47,'كشف الحساب'!$N$4:$N$203,0),0)=0,"",INDEX('كشف الحساب'!$K$4:$K$203,IFERROR(MATCH(47,'كشف الحساب'!$N$4:$N$203,0),0))),"")</f>
        <v/>
      </c>
    </row>
    <row r="52" ht="15" customHeight="1" s="165">
      <c r="A52" s="71">
        <f>IFERROR(IF(IFERROR(MATCH(48,'كشف الحساب'!$N$4:$N$203,0),0)=0,"",INDEX('كشف الحساب'!$A$4:$A$203,IFERROR(MATCH(48,'كشف الحساب'!$N$4:$N$203,0),0))),"")</f>
        <v/>
      </c>
      <c r="B52" s="72">
        <f>IFERROR(IF(IFERROR(MATCH(48,'كشف الحساب'!$N$4:$N$203,0),0)=0,"",INDEX('كشف الحساب'!$B$4:$B$203,IFERROR(MATCH(48,'كشف الحساب'!$N$4:$N$203,0),0))),"")</f>
        <v/>
      </c>
      <c r="C52" s="73">
        <f>IFERROR(IF(IFERROR(MATCH(48,'كشف الحساب'!$N$4:$N$203,0),0)=0,"",INDEX('كشف الحساب'!$C$4:$C$203,IFERROR(MATCH(48,'كشف الحساب'!$N$4:$N$203,0),0))),"")</f>
        <v/>
      </c>
      <c r="D52" s="74">
        <f>IFERROR(IF(IFERROR(MATCH(48,'كشف الحساب'!$N$4:$N$203,0),0)=0,"",INDEX('كشف الحساب'!$D$4:$D$203,IFERROR(MATCH(48,'كشف الحساب'!$N$4:$N$203,0),0))),"")</f>
        <v/>
      </c>
      <c r="E52" s="75">
        <f>IFERROR(IF(IFERROR(MATCH(48,'كشف الحساب'!$N$4:$N$203,0),0)=0,"",INDEX('كشف الحساب'!$E$4:$E$203,IFERROR(MATCH(48,'كشف الحساب'!$N$4:$N$203,0),0))),"")</f>
        <v/>
      </c>
      <c r="F52" s="72">
        <f>IFERROR(IF(IFERROR(MATCH(48,'كشف الحساب'!$N$4:$N$203,0),0)=0,"",INDEX('كشف الحساب'!$F$4:$F$203,IFERROR(MATCH(48,'كشف الحساب'!$N$4:$N$203,0),0))),"")</f>
        <v/>
      </c>
      <c r="G52" s="72">
        <f>IFERROR(IF(IFERROR(MATCH(48,'كشف الحساب'!$N$4:$N$203,0),0)=0,"",INDEX('كشف الحساب'!$G$4:$G$203,IFERROR(MATCH(48,'كشف الحساب'!$N$4:$N$203,0),0))),"")</f>
        <v/>
      </c>
      <c r="H52" s="72">
        <f>IFERROR(IF(IFERROR(MATCH(48,'كشف الحساب'!$N$4:$N$203,0),0)=0,"",INDEX('كشف الحساب'!$H$4:$H$203,IFERROR(MATCH(48,'كشف الحساب'!$N$4:$N$203,0),0))),"")</f>
        <v/>
      </c>
      <c r="I52" s="72">
        <f>IFERROR(IF(IFERROR(MATCH(48,'كشف الحساب'!$N$4:$N$203,0),0)=0,"",INDEX('كشف الحساب'!$I$4:$I$203,IFERROR(MATCH(48,'كشف الحساب'!$N$4:$N$203,0),0))),"")</f>
        <v/>
      </c>
      <c r="J52" s="76">
        <f>IFERROR(IF(IFERROR(MATCH(48,'كشف الحساب'!$N$4:$N$203,0),0)=0,"",INDEX('كشف الحساب'!$J$4:$J$203,IFERROR(MATCH(48,'كشف الحساب'!$N$4:$N$203,0),0))),"")</f>
        <v/>
      </c>
      <c r="K52" s="72">
        <f>IFERROR(IF(IFERROR(MATCH(48,'كشف الحساب'!$N$4:$N$203,0),0)=0,"",INDEX('كشف الحساب'!$K$4:$K$203,IFERROR(MATCH(48,'كشف الحساب'!$N$4:$N$203,0),0))),"")</f>
        <v/>
      </c>
    </row>
    <row r="53" ht="15" customHeight="1" s="165">
      <c r="A53" s="65">
        <f>IFERROR(IF(IFERROR(MATCH(49,'كشف الحساب'!$N$4:$N$203,0),0)=0,"",INDEX('كشف الحساب'!$A$4:$A$203,IFERROR(MATCH(49,'كشف الحساب'!$N$4:$N$203,0),0))),"")</f>
        <v/>
      </c>
      <c r="B53" s="66">
        <f>IFERROR(IF(IFERROR(MATCH(49,'كشف الحساب'!$N$4:$N$203,0),0)=0,"",INDEX('كشف الحساب'!$B$4:$B$203,IFERROR(MATCH(49,'كشف الحساب'!$N$4:$N$203,0),0))),"")</f>
        <v/>
      </c>
      <c r="C53" s="67">
        <f>IFERROR(IF(IFERROR(MATCH(49,'كشف الحساب'!$N$4:$N$203,0),0)=0,"",INDEX('كشف الحساب'!$C$4:$C$203,IFERROR(MATCH(49,'كشف الحساب'!$N$4:$N$203,0),0))),"")</f>
        <v/>
      </c>
      <c r="D53" s="68">
        <f>IFERROR(IF(IFERROR(MATCH(49,'كشف الحساب'!$N$4:$N$203,0),0)=0,"",INDEX('كشف الحساب'!$D$4:$D$203,IFERROR(MATCH(49,'كشف الحساب'!$N$4:$N$203,0),0))),"")</f>
        <v/>
      </c>
      <c r="E53" s="69">
        <f>IFERROR(IF(IFERROR(MATCH(49,'كشف الحساب'!$N$4:$N$203,0),0)=0,"",INDEX('كشف الحساب'!$E$4:$E$203,IFERROR(MATCH(49,'كشف الحساب'!$N$4:$N$203,0),0))),"")</f>
        <v/>
      </c>
      <c r="F53" s="66">
        <f>IFERROR(IF(IFERROR(MATCH(49,'كشف الحساب'!$N$4:$N$203,0),0)=0,"",INDEX('كشف الحساب'!$F$4:$F$203,IFERROR(MATCH(49,'كشف الحساب'!$N$4:$N$203,0),0))),"")</f>
        <v/>
      </c>
      <c r="G53" s="66">
        <f>IFERROR(IF(IFERROR(MATCH(49,'كشف الحساب'!$N$4:$N$203,0),0)=0,"",INDEX('كشف الحساب'!$G$4:$G$203,IFERROR(MATCH(49,'كشف الحساب'!$N$4:$N$203,0),0))),"")</f>
        <v/>
      </c>
      <c r="H53" s="66">
        <f>IFERROR(IF(IFERROR(MATCH(49,'كشف الحساب'!$N$4:$N$203,0),0)=0,"",INDEX('كشف الحساب'!$H$4:$H$203,IFERROR(MATCH(49,'كشف الحساب'!$N$4:$N$203,0),0))),"")</f>
        <v/>
      </c>
      <c r="I53" s="66">
        <f>IFERROR(IF(IFERROR(MATCH(49,'كشف الحساب'!$N$4:$N$203,0),0)=0,"",INDEX('كشف الحساب'!$I$4:$I$203,IFERROR(MATCH(49,'كشف الحساب'!$N$4:$N$203,0),0))),"")</f>
        <v/>
      </c>
      <c r="J53" s="70">
        <f>IFERROR(IF(IFERROR(MATCH(49,'كشف الحساب'!$N$4:$N$203,0),0)=0,"",INDEX('كشف الحساب'!$J$4:$J$203,IFERROR(MATCH(49,'كشف الحساب'!$N$4:$N$203,0),0))),"")</f>
        <v/>
      </c>
      <c r="K53" s="66">
        <f>IFERROR(IF(IFERROR(MATCH(49,'كشف الحساب'!$N$4:$N$203,0),0)=0,"",INDEX('كشف الحساب'!$K$4:$K$203,IFERROR(MATCH(49,'كشف الحساب'!$N$4:$N$203,0),0))),"")</f>
        <v/>
      </c>
    </row>
    <row r="54" ht="15" customHeight="1" s="165">
      <c r="A54" s="71">
        <f>IFERROR(IF(IFERROR(MATCH(50,'كشف الحساب'!$N$4:$N$203,0),0)=0,"",INDEX('كشف الحساب'!$A$4:$A$203,IFERROR(MATCH(50,'كشف الحساب'!$N$4:$N$203,0),0))),"")</f>
        <v/>
      </c>
      <c r="B54" s="72">
        <f>IFERROR(IF(IFERROR(MATCH(50,'كشف الحساب'!$N$4:$N$203,0),0)=0,"",INDEX('كشف الحساب'!$B$4:$B$203,IFERROR(MATCH(50,'كشف الحساب'!$N$4:$N$203,0),0))),"")</f>
        <v/>
      </c>
      <c r="C54" s="73">
        <f>IFERROR(IF(IFERROR(MATCH(50,'كشف الحساب'!$N$4:$N$203,0),0)=0,"",INDEX('كشف الحساب'!$C$4:$C$203,IFERROR(MATCH(50,'كشف الحساب'!$N$4:$N$203,0),0))),"")</f>
        <v/>
      </c>
      <c r="D54" s="74">
        <f>IFERROR(IF(IFERROR(MATCH(50,'كشف الحساب'!$N$4:$N$203,0),0)=0,"",INDEX('كشف الحساب'!$D$4:$D$203,IFERROR(MATCH(50,'كشف الحساب'!$N$4:$N$203,0),0))),"")</f>
        <v/>
      </c>
      <c r="E54" s="75">
        <f>IFERROR(IF(IFERROR(MATCH(50,'كشف الحساب'!$N$4:$N$203,0),0)=0,"",INDEX('كشف الحساب'!$E$4:$E$203,IFERROR(MATCH(50,'كشف الحساب'!$N$4:$N$203,0),0))),"")</f>
        <v/>
      </c>
      <c r="F54" s="72">
        <f>IFERROR(IF(IFERROR(MATCH(50,'كشف الحساب'!$N$4:$N$203,0),0)=0,"",INDEX('كشف الحساب'!$F$4:$F$203,IFERROR(MATCH(50,'كشف الحساب'!$N$4:$N$203,0),0))),"")</f>
        <v/>
      </c>
      <c r="G54" s="72">
        <f>IFERROR(IF(IFERROR(MATCH(50,'كشف الحساب'!$N$4:$N$203,0),0)=0,"",INDEX('كشف الحساب'!$G$4:$G$203,IFERROR(MATCH(50,'كشف الحساب'!$N$4:$N$203,0),0))),"")</f>
        <v/>
      </c>
      <c r="H54" s="72">
        <f>IFERROR(IF(IFERROR(MATCH(50,'كشف الحساب'!$N$4:$N$203,0),0)=0,"",INDEX('كشف الحساب'!$H$4:$H$203,IFERROR(MATCH(50,'كشف الحساب'!$N$4:$N$203,0),0))),"")</f>
        <v/>
      </c>
      <c r="I54" s="72">
        <f>IFERROR(IF(IFERROR(MATCH(50,'كشف الحساب'!$N$4:$N$203,0),0)=0,"",INDEX('كشف الحساب'!$I$4:$I$203,IFERROR(MATCH(50,'كشف الحساب'!$N$4:$N$203,0),0))),"")</f>
        <v/>
      </c>
      <c r="J54" s="76">
        <f>IFERROR(IF(IFERROR(MATCH(50,'كشف الحساب'!$N$4:$N$203,0),0)=0,"",INDEX('كشف الحساب'!$J$4:$J$203,IFERROR(MATCH(50,'كشف الحساب'!$N$4:$N$203,0),0))),"")</f>
        <v/>
      </c>
      <c r="K54" s="72">
        <f>IFERROR(IF(IFERROR(MATCH(50,'كشف الحساب'!$N$4:$N$203,0),0)=0,"",INDEX('كشف الحساب'!$K$4:$K$203,IFERROR(MATCH(50,'كشف الحساب'!$N$4:$N$203,0),0))),"")</f>
        <v/>
      </c>
    </row>
    <row r="55" ht="15" customHeight="1" s="165">
      <c r="A55" s="65">
        <f>IFERROR(IF(IFERROR(MATCH(51,'كشف الحساب'!$N$4:$N$203,0),0)=0,"",INDEX('كشف الحساب'!$A$4:$A$203,IFERROR(MATCH(51,'كشف الحساب'!$N$4:$N$203,0),0))),"")</f>
        <v/>
      </c>
      <c r="B55" s="66">
        <f>IFERROR(IF(IFERROR(MATCH(51,'كشف الحساب'!$N$4:$N$203,0),0)=0,"",INDEX('كشف الحساب'!$B$4:$B$203,IFERROR(MATCH(51,'كشف الحساب'!$N$4:$N$203,0),0))),"")</f>
        <v/>
      </c>
      <c r="C55" s="67">
        <f>IFERROR(IF(IFERROR(MATCH(51,'كشف الحساب'!$N$4:$N$203,0),0)=0,"",INDEX('كشف الحساب'!$C$4:$C$203,IFERROR(MATCH(51,'كشف الحساب'!$N$4:$N$203,0),0))),"")</f>
        <v/>
      </c>
      <c r="D55" s="68">
        <f>IFERROR(IF(IFERROR(MATCH(51,'كشف الحساب'!$N$4:$N$203,0),0)=0,"",INDEX('كشف الحساب'!$D$4:$D$203,IFERROR(MATCH(51,'كشف الحساب'!$N$4:$N$203,0),0))),"")</f>
        <v/>
      </c>
      <c r="E55" s="69">
        <f>IFERROR(IF(IFERROR(MATCH(51,'كشف الحساب'!$N$4:$N$203,0),0)=0,"",INDEX('كشف الحساب'!$E$4:$E$203,IFERROR(MATCH(51,'كشف الحساب'!$N$4:$N$203,0),0))),"")</f>
        <v/>
      </c>
      <c r="F55" s="66">
        <f>IFERROR(IF(IFERROR(MATCH(51,'كشف الحساب'!$N$4:$N$203,0),0)=0,"",INDEX('كشف الحساب'!$F$4:$F$203,IFERROR(MATCH(51,'كشف الحساب'!$N$4:$N$203,0),0))),"")</f>
        <v/>
      </c>
      <c r="G55" s="66">
        <f>IFERROR(IF(IFERROR(MATCH(51,'كشف الحساب'!$N$4:$N$203,0),0)=0,"",INDEX('كشف الحساب'!$G$4:$G$203,IFERROR(MATCH(51,'كشف الحساب'!$N$4:$N$203,0),0))),"")</f>
        <v/>
      </c>
      <c r="H55" s="66">
        <f>IFERROR(IF(IFERROR(MATCH(51,'كشف الحساب'!$N$4:$N$203,0),0)=0,"",INDEX('كشف الحساب'!$H$4:$H$203,IFERROR(MATCH(51,'كشف الحساب'!$N$4:$N$203,0),0))),"")</f>
        <v/>
      </c>
      <c r="I55" s="66">
        <f>IFERROR(IF(IFERROR(MATCH(51,'كشف الحساب'!$N$4:$N$203,0),0)=0,"",INDEX('كشف الحساب'!$I$4:$I$203,IFERROR(MATCH(51,'كشف الحساب'!$N$4:$N$203,0),0))),"")</f>
        <v/>
      </c>
      <c r="J55" s="70">
        <f>IFERROR(IF(IFERROR(MATCH(51,'كشف الحساب'!$N$4:$N$203,0),0)=0,"",INDEX('كشف الحساب'!$J$4:$J$203,IFERROR(MATCH(51,'كشف الحساب'!$N$4:$N$203,0),0))),"")</f>
        <v/>
      </c>
      <c r="K55" s="66">
        <f>IFERROR(IF(IFERROR(MATCH(51,'كشف الحساب'!$N$4:$N$203,0),0)=0,"",INDEX('كشف الحساب'!$K$4:$K$203,IFERROR(MATCH(51,'كشف الحساب'!$N$4:$N$203,0),0))),"")</f>
        <v/>
      </c>
    </row>
    <row r="56" ht="15" customHeight="1" s="165">
      <c r="A56" s="71">
        <f>IFERROR(IF(IFERROR(MATCH(52,'كشف الحساب'!$N$4:$N$203,0),0)=0,"",INDEX('كشف الحساب'!$A$4:$A$203,IFERROR(MATCH(52,'كشف الحساب'!$N$4:$N$203,0),0))),"")</f>
        <v/>
      </c>
      <c r="B56" s="72">
        <f>IFERROR(IF(IFERROR(MATCH(52,'كشف الحساب'!$N$4:$N$203,0),0)=0,"",INDEX('كشف الحساب'!$B$4:$B$203,IFERROR(MATCH(52,'كشف الحساب'!$N$4:$N$203,0),0))),"")</f>
        <v/>
      </c>
      <c r="C56" s="73">
        <f>IFERROR(IF(IFERROR(MATCH(52,'كشف الحساب'!$N$4:$N$203,0),0)=0,"",INDEX('كشف الحساب'!$C$4:$C$203,IFERROR(MATCH(52,'كشف الحساب'!$N$4:$N$203,0),0))),"")</f>
        <v/>
      </c>
      <c r="D56" s="74">
        <f>IFERROR(IF(IFERROR(MATCH(52,'كشف الحساب'!$N$4:$N$203,0),0)=0,"",INDEX('كشف الحساب'!$D$4:$D$203,IFERROR(MATCH(52,'كشف الحساب'!$N$4:$N$203,0),0))),"")</f>
        <v/>
      </c>
      <c r="E56" s="75">
        <f>IFERROR(IF(IFERROR(MATCH(52,'كشف الحساب'!$N$4:$N$203,0),0)=0,"",INDEX('كشف الحساب'!$E$4:$E$203,IFERROR(MATCH(52,'كشف الحساب'!$N$4:$N$203,0),0))),"")</f>
        <v/>
      </c>
      <c r="F56" s="72">
        <f>IFERROR(IF(IFERROR(MATCH(52,'كشف الحساب'!$N$4:$N$203,0),0)=0,"",INDEX('كشف الحساب'!$F$4:$F$203,IFERROR(MATCH(52,'كشف الحساب'!$N$4:$N$203,0),0))),"")</f>
        <v/>
      </c>
      <c r="G56" s="72">
        <f>IFERROR(IF(IFERROR(MATCH(52,'كشف الحساب'!$N$4:$N$203,0),0)=0,"",INDEX('كشف الحساب'!$G$4:$G$203,IFERROR(MATCH(52,'كشف الحساب'!$N$4:$N$203,0),0))),"")</f>
        <v/>
      </c>
      <c r="H56" s="72">
        <f>IFERROR(IF(IFERROR(MATCH(52,'كشف الحساب'!$N$4:$N$203,0),0)=0,"",INDEX('كشف الحساب'!$H$4:$H$203,IFERROR(MATCH(52,'كشف الحساب'!$N$4:$N$203,0),0))),"")</f>
        <v/>
      </c>
      <c r="I56" s="72">
        <f>IFERROR(IF(IFERROR(MATCH(52,'كشف الحساب'!$N$4:$N$203,0),0)=0,"",INDEX('كشف الحساب'!$I$4:$I$203,IFERROR(MATCH(52,'كشف الحساب'!$N$4:$N$203,0),0))),"")</f>
        <v/>
      </c>
      <c r="J56" s="76">
        <f>IFERROR(IF(IFERROR(MATCH(52,'كشف الحساب'!$N$4:$N$203,0),0)=0,"",INDEX('كشف الحساب'!$J$4:$J$203,IFERROR(MATCH(52,'كشف الحساب'!$N$4:$N$203,0),0))),"")</f>
        <v/>
      </c>
      <c r="K56" s="72">
        <f>IFERROR(IF(IFERROR(MATCH(52,'كشف الحساب'!$N$4:$N$203,0),0)=0,"",INDEX('كشف الحساب'!$K$4:$K$203,IFERROR(MATCH(52,'كشف الحساب'!$N$4:$N$203,0),0))),"")</f>
        <v/>
      </c>
    </row>
    <row r="57" ht="15" customHeight="1" s="165">
      <c r="A57" s="65">
        <f>IFERROR(IF(IFERROR(MATCH(53,'كشف الحساب'!$N$4:$N$203,0),0)=0,"",INDEX('كشف الحساب'!$A$4:$A$203,IFERROR(MATCH(53,'كشف الحساب'!$N$4:$N$203,0),0))),"")</f>
        <v/>
      </c>
      <c r="B57" s="66">
        <f>IFERROR(IF(IFERROR(MATCH(53,'كشف الحساب'!$N$4:$N$203,0),0)=0,"",INDEX('كشف الحساب'!$B$4:$B$203,IFERROR(MATCH(53,'كشف الحساب'!$N$4:$N$203,0),0))),"")</f>
        <v/>
      </c>
      <c r="C57" s="67">
        <f>IFERROR(IF(IFERROR(MATCH(53,'كشف الحساب'!$N$4:$N$203,0),0)=0,"",INDEX('كشف الحساب'!$C$4:$C$203,IFERROR(MATCH(53,'كشف الحساب'!$N$4:$N$203,0),0))),"")</f>
        <v/>
      </c>
      <c r="D57" s="68">
        <f>IFERROR(IF(IFERROR(MATCH(53,'كشف الحساب'!$N$4:$N$203,0),0)=0,"",INDEX('كشف الحساب'!$D$4:$D$203,IFERROR(MATCH(53,'كشف الحساب'!$N$4:$N$203,0),0))),"")</f>
        <v/>
      </c>
      <c r="E57" s="69">
        <f>IFERROR(IF(IFERROR(MATCH(53,'كشف الحساب'!$N$4:$N$203,0),0)=0,"",INDEX('كشف الحساب'!$E$4:$E$203,IFERROR(MATCH(53,'كشف الحساب'!$N$4:$N$203,0),0))),"")</f>
        <v/>
      </c>
      <c r="F57" s="66">
        <f>IFERROR(IF(IFERROR(MATCH(53,'كشف الحساب'!$N$4:$N$203,0),0)=0,"",INDEX('كشف الحساب'!$F$4:$F$203,IFERROR(MATCH(53,'كشف الحساب'!$N$4:$N$203,0),0))),"")</f>
        <v/>
      </c>
      <c r="G57" s="66">
        <f>IFERROR(IF(IFERROR(MATCH(53,'كشف الحساب'!$N$4:$N$203,0),0)=0,"",INDEX('كشف الحساب'!$G$4:$G$203,IFERROR(MATCH(53,'كشف الحساب'!$N$4:$N$203,0),0))),"")</f>
        <v/>
      </c>
      <c r="H57" s="66">
        <f>IFERROR(IF(IFERROR(MATCH(53,'كشف الحساب'!$N$4:$N$203,0),0)=0,"",INDEX('كشف الحساب'!$H$4:$H$203,IFERROR(MATCH(53,'كشف الحساب'!$N$4:$N$203,0),0))),"")</f>
        <v/>
      </c>
      <c r="I57" s="66">
        <f>IFERROR(IF(IFERROR(MATCH(53,'كشف الحساب'!$N$4:$N$203,0),0)=0,"",INDEX('كشف الحساب'!$I$4:$I$203,IFERROR(MATCH(53,'كشف الحساب'!$N$4:$N$203,0),0))),"")</f>
        <v/>
      </c>
      <c r="J57" s="70">
        <f>IFERROR(IF(IFERROR(MATCH(53,'كشف الحساب'!$N$4:$N$203,0),0)=0,"",INDEX('كشف الحساب'!$J$4:$J$203,IFERROR(MATCH(53,'كشف الحساب'!$N$4:$N$203,0),0))),"")</f>
        <v/>
      </c>
      <c r="K57" s="66">
        <f>IFERROR(IF(IFERROR(MATCH(53,'كشف الحساب'!$N$4:$N$203,0),0)=0,"",INDEX('كشف الحساب'!$K$4:$K$203,IFERROR(MATCH(53,'كشف الحساب'!$N$4:$N$203,0),0))),"")</f>
        <v/>
      </c>
    </row>
    <row r="58" ht="15" customHeight="1" s="165">
      <c r="A58" s="71">
        <f>IFERROR(IF(IFERROR(MATCH(54,'كشف الحساب'!$N$4:$N$203,0),0)=0,"",INDEX('كشف الحساب'!$A$4:$A$203,IFERROR(MATCH(54,'كشف الحساب'!$N$4:$N$203,0),0))),"")</f>
        <v/>
      </c>
      <c r="B58" s="72">
        <f>IFERROR(IF(IFERROR(MATCH(54,'كشف الحساب'!$N$4:$N$203,0),0)=0,"",INDEX('كشف الحساب'!$B$4:$B$203,IFERROR(MATCH(54,'كشف الحساب'!$N$4:$N$203,0),0))),"")</f>
        <v/>
      </c>
      <c r="C58" s="73">
        <f>IFERROR(IF(IFERROR(MATCH(54,'كشف الحساب'!$N$4:$N$203,0),0)=0,"",INDEX('كشف الحساب'!$C$4:$C$203,IFERROR(MATCH(54,'كشف الحساب'!$N$4:$N$203,0),0))),"")</f>
        <v/>
      </c>
      <c r="D58" s="74">
        <f>IFERROR(IF(IFERROR(MATCH(54,'كشف الحساب'!$N$4:$N$203,0),0)=0,"",INDEX('كشف الحساب'!$D$4:$D$203,IFERROR(MATCH(54,'كشف الحساب'!$N$4:$N$203,0),0))),"")</f>
        <v/>
      </c>
      <c r="E58" s="75">
        <f>IFERROR(IF(IFERROR(MATCH(54,'كشف الحساب'!$N$4:$N$203,0),0)=0,"",INDEX('كشف الحساب'!$E$4:$E$203,IFERROR(MATCH(54,'كشف الحساب'!$N$4:$N$203,0),0))),"")</f>
        <v/>
      </c>
      <c r="F58" s="72">
        <f>IFERROR(IF(IFERROR(MATCH(54,'كشف الحساب'!$N$4:$N$203,0),0)=0,"",INDEX('كشف الحساب'!$F$4:$F$203,IFERROR(MATCH(54,'كشف الحساب'!$N$4:$N$203,0),0))),"")</f>
        <v/>
      </c>
      <c r="G58" s="72">
        <f>IFERROR(IF(IFERROR(MATCH(54,'كشف الحساب'!$N$4:$N$203,0),0)=0,"",INDEX('كشف الحساب'!$G$4:$G$203,IFERROR(MATCH(54,'كشف الحساب'!$N$4:$N$203,0),0))),"")</f>
        <v/>
      </c>
      <c r="H58" s="72">
        <f>IFERROR(IF(IFERROR(MATCH(54,'كشف الحساب'!$N$4:$N$203,0),0)=0,"",INDEX('كشف الحساب'!$H$4:$H$203,IFERROR(MATCH(54,'كشف الحساب'!$N$4:$N$203,0),0))),"")</f>
        <v/>
      </c>
      <c r="I58" s="72">
        <f>IFERROR(IF(IFERROR(MATCH(54,'كشف الحساب'!$N$4:$N$203,0),0)=0,"",INDEX('كشف الحساب'!$I$4:$I$203,IFERROR(MATCH(54,'كشف الحساب'!$N$4:$N$203,0),0))),"")</f>
        <v/>
      </c>
      <c r="J58" s="76">
        <f>IFERROR(IF(IFERROR(MATCH(54,'كشف الحساب'!$N$4:$N$203,0),0)=0,"",INDEX('كشف الحساب'!$J$4:$J$203,IFERROR(MATCH(54,'كشف الحساب'!$N$4:$N$203,0),0))),"")</f>
        <v/>
      </c>
      <c r="K58" s="72">
        <f>IFERROR(IF(IFERROR(MATCH(54,'كشف الحساب'!$N$4:$N$203,0),0)=0,"",INDEX('كشف الحساب'!$K$4:$K$203,IFERROR(MATCH(54,'كشف الحساب'!$N$4:$N$203,0),0))),"")</f>
        <v/>
      </c>
    </row>
    <row r="59" ht="15" customHeight="1" s="165">
      <c r="A59" s="65">
        <f>IFERROR(IF(IFERROR(MATCH(55,'كشف الحساب'!$N$4:$N$203,0),0)=0,"",INDEX('كشف الحساب'!$A$4:$A$203,IFERROR(MATCH(55,'كشف الحساب'!$N$4:$N$203,0),0))),"")</f>
        <v/>
      </c>
      <c r="B59" s="66">
        <f>IFERROR(IF(IFERROR(MATCH(55,'كشف الحساب'!$N$4:$N$203,0),0)=0,"",INDEX('كشف الحساب'!$B$4:$B$203,IFERROR(MATCH(55,'كشف الحساب'!$N$4:$N$203,0),0))),"")</f>
        <v/>
      </c>
      <c r="C59" s="67">
        <f>IFERROR(IF(IFERROR(MATCH(55,'كشف الحساب'!$N$4:$N$203,0),0)=0,"",INDEX('كشف الحساب'!$C$4:$C$203,IFERROR(MATCH(55,'كشف الحساب'!$N$4:$N$203,0),0))),"")</f>
        <v/>
      </c>
      <c r="D59" s="68">
        <f>IFERROR(IF(IFERROR(MATCH(55,'كشف الحساب'!$N$4:$N$203,0),0)=0,"",INDEX('كشف الحساب'!$D$4:$D$203,IFERROR(MATCH(55,'كشف الحساب'!$N$4:$N$203,0),0))),"")</f>
        <v/>
      </c>
      <c r="E59" s="69">
        <f>IFERROR(IF(IFERROR(MATCH(55,'كشف الحساب'!$N$4:$N$203,0),0)=0,"",INDEX('كشف الحساب'!$E$4:$E$203,IFERROR(MATCH(55,'كشف الحساب'!$N$4:$N$203,0),0))),"")</f>
        <v/>
      </c>
      <c r="F59" s="66">
        <f>IFERROR(IF(IFERROR(MATCH(55,'كشف الحساب'!$N$4:$N$203,0),0)=0,"",INDEX('كشف الحساب'!$F$4:$F$203,IFERROR(MATCH(55,'كشف الحساب'!$N$4:$N$203,0),0))),"")</f>
        <v/>
      </c>
      <c r="G59" s="66">
        <f>IFERROR(IF(IFERROR(MATCH(55,'كشف الحساب'!$N$4:$N$203,0),0)=0,"",INDEX('كشف الحساب'!$G$4:$G$203,IFERROR(MATCH(55,'كشف الحساب'!$N$4:$N$203,0),0))),"")</f>
        <v/>
      </c>
      <c r="H59" s="66">
        <f>IFERROR(IF(IFERROR(MATCH(55,'كشف الحساب'!$N$4:$N$203,0),0)=0,"",INDEX('كشف الحساب'!$H$4:$H$203,IFERROR(MATCH(55,'كشف الحساب'!$N$4:$N$203,0),0))),"")</f>
        <v/>
      </c>
      <c r="I59" s="66">
        <f>IFERROR(IF(IFERROR(MATCH(55,'كشف الحساب'!$N$4:$N$203,0),0)=0,"",INDEX('كشف الحساب'!$I$4:$I$203,IFERROR(MATCH(55,'كشف الحساب'!$N$4:$N$203,0),0))),"")</f>
        <v/>
      </c>
      <c r="J59" s="70">
        <f>IFERROR(IF(IFERROR(MATCH(55,'كشف الحساب'!$N$4:$N$203,0),0)=0,"",INDEX('كشف الحساب'!$J$4:$J$203,IFERROR(MATCH(55,'كشف الحساب'!$N$4:$N$203,0),0))),"")</f>
        <v/>
      </c>
      <c r="K59" s="66">
        <f>IFERROR(IF(IFERROR(MATCH(55,'كشف الحساب'!$N$4:$N$203,0),0)=0,"",INDEX('كشف الحساب'!$K$4:$K$203,IFERROR(MATCH(55,'كشف الحساب'!$N$4:$N$203,0),0))),"")</f>
        <v/>
      </c>
    </row>
    <row r="60" ht="15" customHeight="1" s="165">
      <c r="A60" s="71">
        <f>IFERROR(IF(IFERROR(MATCH(56,'كشف الحساب'!$N$4:$N$203,0),0)=0,"",INDEX('كشف الحساب'!$A$4:$A$203,IFERROR(MATCH(56,'كشف الحساب'!$N$4:$N$203,0),0))),"")</f>
        <v/>
      </c>
      <c r="B60" s="72">
        <f>IFERROR(IF(IFERROR(MATCH(56,'كشف الحساب'!$N$4:$N$203,0),0)=0,"",INDEX('كشف الحساب'!$B$4:$B$203,IFERROR(MATCH(56,'كشف الحساب'!$N$4:$N$203,0),0))),"")</f>
        <v/>
      </c>
      <c r="C60" s="73">
        <f>IFERROR(IF(IFERROR(MATCH(56,'كشف الحساب'!$N$4:$N$203,0),0)=0,"",INDEX('كشف الحساب'!$C$4:$C$203,IFERROR(MATCH(56,'كشف الحساب'!$N$4:$N$203,0),0))),"")</f>
        <v/>
      </c>
      <c r="D60" s="74">
        <f>IFERROR(IF(IFERROR(MATCH(56,'كشف الحساب'!$N$4:$N$203,0),0)=0,"",INDEX('كشف الحساب'!$D$4:$D$203,IFERROR(MATCH(56,'كشف الحساب'!$N$4:$N$203,0),0))),"")</f>
        <v/>
      </c>
      <c r="E60" s="75">
        <f>IFERROR(IF(IFERROR(MATCH(56,'كشف الحساب'!$N$4:$N$203,0),0)=0,"",INDEX('كشف الحساب'!$E$4:$E$203,IFERROR(MATCH(56,'كشف الحساب'!$N$4:$N$203,0),0))),"")</f>
        <v/>
      </c>
      <c r="F60" s="72">
        <f>IFERROR(IF(IFERROR(MATCH(56,'كشف الحساب'!$N$4:$N$203,0),0)=0,"",INDEX('كشف الحساب'!$F$4:$F$203,IFERROR(MATCH(56,'كشف الحساب'!$N$4:$N$203,0),0))),"")</f>
        <v/>
      </c>
      <c r="G60" s="72">
        <f>IFERROR(IF(IFERROR(MATCH(56,'كشف الحساب'!$N$4:$N$203,0),0)=0,"",INDEX('كشف الحساب'!$G$4:$G$203,IFERROR(MATCH(56,'كشف الحساب'!$N$4:$N$203,0),0))),"")</f>
        <v/>
      </c>
      <c r="H60" s="72">
        <f>IFERROR(IF(IFERROR(MATCH(56,'كشف الحساب'!$N$4:$N$203,0),0)=0,"",INDEX('كشف الحساب'!$H$4:$H$203,IFERROR(MATCH(56,'كشف الحساب'!$N$4:$N$203,0),0))),"")</f>
        <v/>
      </c>
      <c r="I60" s="72">
        <f>IFERROR(IF(IFERROR(MATCH(56,'كشف الحساب'!$N$4:$N$203,0),0)=0,"",INDEX('كشف الحساب'!$I$4:$I$203,IFERROR(MATCH(56,'كشف الحساب'!$N$4:$N$203,0),0))),"")</f>
        <v/>
      </c>
      <c r="J60" s="76">
        <f>IFERROR(IF(IFERROR(MATCH(56,'كشف الحساب'!$N$4:$N$203,0),0)=0,"",INDEX('كشف الحساب'!$J$4:$J$203,IFERROR(MATCH(56,'كشف الحساب'!$N$4:$N$203,0),0))),"")</f>
        <v/>
      </c>
      <c r="K60" s="72">
        <f>IFERROR(IF(IFERROR(MATCH(56,'كشف الحساب'!$N$4:$N$203,0),0)=0,"",INDEX('كشف الحساب'!$K$4:$K$203,IFERROR(MATCH(56,'كشف الحساب'!$N$4:$N$203,0),0))),"")</f>
        <v/>
      </c>
    </row>
    <row r="61" ht="15" customHeight="1" s="165">
      <c r="A61" s="65">
        <f>IFERROR(IF(IFERROR(MATCH(57,'كشف الحساب'!$N$4:$N$203,0),0)=0,"",INDEX('كشف الحساب'!$A$4:$A$203,IFERROR(MATCH(57,'كشف الحساب'!$N$4:$N$203,0),0))),"")</f>
        <v/>
      </c>
      <c r="B61" s="66">
        <f>IFERROR(IF(IFERROR(MATCH(57,'كشف الحساب'!$N$4:$N$203,0),0)=0,"",INDEX('كشف الحساب'!$B$4:$B$203,IFERROR(MATCH(57,'كشف الحساب'!$N$4:$N$203,0),0))),"")</f>
        <v/>
      </c>
      <c r="C61" s="67">
        <f>IFERROR(IF(IFERROR(MATCH(57,'كشف الحساب'!$N$4:$N$203,0),0)=0,"",INDEX('كشف الحساب'!$C$4:$C$203,IFERROR(MATCH(57,'كشف الحساب'!$N$4:$N$203,0),0))),"")</f>
        <v/>
      </c>
      <c r="D61" s="68">
        <f>IFERROR(IF(IFERROR(MATCH(57,'كشف الحساب'!$N$4:$N$203,0),0)=0,"",INDEX('كشف الحساب'!$D$4:$D$203,IFERROR(MATCH(57,'كشف الحساب'!$N$4:$N$203,0),0))),"")</f>
        <v/>
      </c>
      <c r="E61" s="69">
        <f>IFERROR(IF(IFERROR(MATCH(57,'كشف الحساب'!$N$4:$N$203,0),0)=0,"",INDEX('كشف الحساب'!$E$4:$E$203,IFERROR(MATCH(57,'كشف الحساب'!$N$4:$N$203,0),0))),"")</f>
        <v/>
      </c>
      <c r="F61" s="66">
        <f>IFERROR(IF(IFERROR(MATCH(57,'كشف الحساب'!$N$4:$N$203,0),0)=0,"",INDEX('كشف الحساب'!$F$4:$F$203,IFERROR(MATCH(57,'كشف الحساب'!$N$4:$N$203,0),0))),"")</f>
        <v/>
      </c>
      <c r="G61" s="66">
        <f>IFERROR(IF(IFERROR(MATCH(57,'كشف الحساب'!$N$4:$N$203,0),0)=0,"",INDEX('كشف الحساب'!$G$4:$G$203,IFERROR(MATCH(57,'كشف الحساب'!$N$4:$N$203,0),0))),"")</f>
        <v/>
      </c>
      <c r="H61" s="66">
        <f>IFERROR(IF(IFERROR(MATCH(57,'كشف الحساب'!$N$4:$N$203,0),0)=0,"",INDEX('كشف الحساب'!$H$4:$H$203,IFERROR(MATCH(57,'كشف الحساب'!$N$4:$N$203,0),0))),"")</f>
        <v/>
      </c>
      <c r="I61" s="66">
        <f>IFERROR(IF(IFERROR(MATCH(57,'كشف الحساب'!$N$4:$N$203,0),0)=0,"",INDEX('كشف الحساب'!$I$4:$I$203,IFERROR(MATCH(57,'كشف الحساب'!$N$4:$N$203,0),0))),"")</f>
        <v/>
      </c>
      <c r="J61" s="70">
        <f>IFERROR(IF(IFERROR(MATCH(57,'كشف الحساب'!$N$4:$N$203,0),0)=0,"",INDEX('كشف الحساب'!$J$4:$J$203,IFERROR(MATCH(57,'كشف الحساب'!$N$4:$N$203,0),0))),"")</f>
        <v/>
      </c>
      <c r="K61" s="66">
        <f>IFERROR(IF(IFERROR(MATCH(57,'كشف الحساب'!$N$4:$N$203,0),0)=0,"",INDEX('كشف الحساب'!$K$4:$K$203,IFERROR(MATCH(57,'كشف الحساب'!$N$4:$N$203,0),0))),"")</f>
        <v/>
      </c>
    </row>
    <row r="62" ht="15" customHeight="1" s="165">
      <c r="A62" s="71">
        <f>IFERROR(IF(IFERROR(MATCH(58,'كشف الحساب'!$N$4:$N$203,0),0)=0,"",INDEX('كشف الحساب'!$A$4:$A$203,IFERROR(MATCH(58,'كشف الحساب'!$N$4:$N$203,0),0))),"")</f>
        <v/>
      </c>
      <c r="B62" s="72">
        <f>IFERROR(IF(IFERROR(MATCH(58,'كشف الحساب'!$N$4:$N$203,0),0)=0,"",INDEX('كشف الحساب'!$B$4:$B$203,IFERROR(MATCH(58,'كشف الحساب'!$N$4:$N$203,0),0))),"")</f>
        <v/>
      </c>
      <c r="C62" s="73">
        <f>IFERROR(IF(IFERROR(MATCH(58,'كشف الحساب'!$N$4:$N$203,0),0)=0,"",INDEX('كشف الحساب'!$C$4:$C$203,IFERROR(MATCH(58,'كشف الحساب'!$N$4:$N$203,0),0))),"")</f>
        <v/>
      </c>
      <c r="D62" s="74">
        <f>IFERROR(IF(IFERROR(MATCH(58,'كشف الحساب'!$N$4:$N$203,0),0)=0,"",INDEX('كشف الحساب'!$D$4:$D$203,IFERROR(MATCH(58,'كشف الحساب'!$N$4:$N$203,0),0))),"")</f>
        <v/>
      </c>
      <c r="E62" s="75">
        <f>IFERROR(IF(IFERROR(MATCH(58,'كشف الحساب'!$N$4:$N$203,0),0)=0,"",INDEX('كشف الحساب'!$E$4:$E$203,IFERROR(MATCH(58,'كشف الحساب'!$N$4:$N$203,0),0))),"")</f>
        <v/>
      </c>
      <c r="F62" s="72">
        <f>IFERROR(IF(IFERROR(MATCH(58,'كشف الحساب'!$N$4:$N$203,0),0)=0,"",INDEX('كشف الحساب'!$F$4:$F$203,IFERROR(MATCH(58,'كشف الحساب'!$N$4:$N$203,0),0))),"")</f>
        <v/>
      </c>
      <c r="G62" s="72">
        <f>IFERROR(IF(IFERROR(MATCH(58,'كشف الحساب'!$N$4:$N$203,0),0)=0,"",INDEX('كشف الحساب'!$G$4:$G$203,IFERROR(MATCH(58,'كشف الحساب'!$N$4:$N$203,0),0))),"")</f>
        <v/>
      </c>
      <c r="H62" s="72">
        <f>IFERROR(IF(IFERROR(MATCH(58,'كشف الحساب'!$N$4:$N$203,0),0)=0,"",INDEX('كشف الحساب'!$H$4:$H$203,IFERROR(MATCH(58,'كشف الحساب'!$N$4:$N$203,0),0))),"")</f>
        <v/>
      </c>
      <c r="I62" s="72">
        <f>IFERROR(IF(IFERROR(MATCH(58,'كشف الحساب'!$N$4:$N$203,0),0)=0,"",INDEX('كشف الحساب'!$I$4:$I$203,IFERROR(MATCH(58,'كشف الحساب'!$N$4:$N$203,0),0))),"")</f>
        <v/>
      </c>
      <c r="J62" s="76">
        <f>IFERROR(IF(IFERROR(MATCH(58,'كشف الحساب'!$N$4:$N$203,0),0)=0,"",INDEX('كشف الحساب'!$J$4:$J$203,IFERROR(MATCH(58,'كشف الحساب'!$N$4:$N$203,0),0))),"")</f>
        <v/>
      </c>
      <c r="K62" s="72">
        <f>IFERROR(IF(IFERROR(MATCH(58,'كشف الحساب'!$N$4:$N$203,0),0)=0,"",INDEX('كشف الحساب'!$K$4:$K$203,IFERROR(MATCH(58,'كشف الحساب'!$N$4:$N$203,0),0))),"")</f>
        <v/>
      </c>
    </row>
    <row r="63" ht="15" customHeight="1" s="165">
      <c r="A63" s="65">
        <f>IFERROR(IF(IFERROR(MATCH(59,'كشف الحساب'!$N$4:$N$203,0),0)=0,"",INDEX('كشف الحساب'!$A$4:$A$203,IFERROR(MATCH(59,'كشف الحساب'!$N$4:$N$203,0),0))),"")</f>
        <v/>
      </c>
      <c r="B63" s="66">
        <f>IFERROR(IF(IFERROR(MATCH(59,'كشف الحساب'!$N$4:$N$203,0),0)=0,"",INDEX('كشف الحساب'!$B$4:$B$203,IFERROR(MATCH(59,'كشف الحساب'!$N$4:$N$203,0),0))),"")</f>
        <v/>
      </c>
      <c r="C63" s="67">
        <f>IFERROR(IF(IFERROR(MATCH(59,'كشف الحساب'!$N$4:$N$203,0),0)=0,"",INDEX('كشف الحساب'!$C$4:$C$203,IFERROR(MATCH(59,'كشف الحساب'!$N$4:$N$203,0),0))),"")</f>
        <v/>
      </c>
      <c r="D63" s="68">
        <f>IFERROR(IF(IFERROR(MATCH(59,'كشف الحساب'!$N$4:$N$203,0),0)=0,"",INDEX('كشف الحساب'!$D$4:$D$203,IFERROR(MATCH(59,'كشف الحساب'!$N$4:$N$203,0),0))),"")</f>
        <v/>
      </c>
      <c r="E63" s="69">
        <f>IFERROR(IF(IFERROR(MATCH(59,'كشف الحساب'!$N$4:$N$203,0),0)=0,"",INDEX('كشف الحساب'!$E$4:$E$203,IFERROR(MATCH(59,'كشف الحساب'!$N$4:$N$203,0),0))),"")</f>
        <v/>
      </c>
      <c r="F63" s="66">
        <f>IFERROR(IF(IFERROR(MATCH(59,'كشف الحساب'!$N$4:$N$203,0),0)=0,"",INDEX('كشف الحساب'!$F$4:$F$203,IFERROR(MATCH(59,'كشف الحساب'!$N$4:$N$203,0),0))),"")</f>
        <v/>
      </c>
      <c r="G63" s="66">
        <f>IFERROR(IF(IFERROR(MATCH(59,'كشف الحساب'!$N$4:$N$203,0),0)=0,"",INDEX('كشف الحساب'!$G$4:$G$203,IFERROR(MATCH(59,'كشف الحساب'!$N$4:$N$203,0),0))),"")</f>
        <v/>
      </c>
      <c r="H63" s="66">
        <f>IFERROR(IF(IFERROR(MATCH(59,'كشف الحساب'!$N$4:$N$203,0),0)=0,"",INDEX('كشف الحساب'!$H$4:$H$203,IFERROR(MATCH(59,'كشف الحساب'!$N$4:$N$203,0),0))),"")</f>
        <v/>
      </c>
      <c r="I63" s="66">
        <f>IFERROR(IF(IFERROR(MATCH(59,'كشف الحساب'!$N$4:$N$203,0),0)=0,"",INDEX('كشف الحساب'!$I$4:$I$203,IFERROR(MATCH(59,'كشف الحساب'!$N$4:$N$203,0),0))),"")</f>
        <v/>
      </c>
      <c r="J63" s="70">
        <f>IFERROR(IF(IFERROR(MATCH(59,'كشف الحساب'!$N$4:$N$203,0),0)=0,"",INDEX('كشف الحساب'!$J$4:$J$203,IFERROR(MATCH(59,'كشف الحساب'!$N$4:$N$203,0),0))),"")</f>
        <v/>
      </c>
      <c r="K63" s="66">
        <f>IFERROR(IF(IFERROR(MATCH(59,'كشف الحساب'!$N$4:$N$203,0),0)=0,"",INDEX('كشف الحساب'!$K$4:$K$203,IFERROR(MATCH(59,'كشف الحساب'!$N$4:$N$203,0),0))),"")</f>
        <v/>
      </c>
    </row>
    <row r="64" ht="15" customHeight="1" s="165">
      <c r="A64" s="71">
        <f>IFERROR(IF(IFERROR(MATCH(60,'كشف الحساب'!$N$4:$N$203,0),0)=0,"",INDEX('كشف الحساب'!$A$4:$A$203,IFERROR(MATCH(60,'كشف الحساب'!$N$4:$N$203,0),0))),"")</f>
        <v/>
      </c>
      <c r="B64" s="72">
        <f>IFERROR(IF(IFERROR(MATCH(60,'كشف الحساب'!$N$4:$N$203,0),0)=0,"",INDEX('كشف الحساب'!$B$4:$B$203,IFERROR(MATCH(60,'كشف الحساب'!$N$4:$N$203,0),0))),"")</f>
        <v/>
      </c>
      <c r="C64" s="73">
        <f>IFERROR(IF(IFERROR(MATCH(60,'كشف الحساب'!$N$4:$N$203,0),0)=0,"",INDEX('كشف الحساب'!$C$4:$C$203,IFERROR(MATCH(60,'كشف الحساب'!$N$4:$N$203,0),0))),"")</f>
        <v/>
      </c>
      <c r="D64" s="74">
        <f>IFERROR(IF(IFERROR(MATCH(60,'كشف الحساب'!$N$4:$N$203,0),0)=0,"",INDEX('كشف الحساب'!$D$4:$D$203,IFERROR(MATCH(60,'كشف الحساب'!$N$4:$N$203,0),0))),"")</f>
        <v/>
      </c>
      <c r="E64" s="75">
        <f>IFERROR(IF(IFERROR(MATCH(60,'كشف الحساب'!$N$4:$N$203,0),0)=0,"",INDEX('كشف الحساب'!$E$4:$E$203,IFERROR(MATCH(60,'كشف الحساب'!$N$4:$N$203,0),0))),"")</f>
        <v/>
      </c>
      <c r="F64" s="72">
        <f>IFERROR(IF(IFERROR(MATCH(60,'كشف الحساب'!$N$4:$N$203,0),0)=0,"",INDEX('كشف الحساب'!$F$4:$F$203,IFERROR(MATCH(60,'كشف الحساب'!$N$4:$N$203,0),0))),"")</f>
        <v/>
      </c>
      <c r="G64" s="72">
        <f>IFERROR(IF(IFERROR(MATCH(60,'كشف الحساب'!$N$4:$N$203,0),0)=0,"",INDEX('كشف الحساب'!$G$4:$G$203,IFERROR(MATCH(60,'كشف الحساب'!$N$4:$N$203,0),0))),"")</f>
        <v/>
      </c>
      <c r="H64" s="72">
        <f>IFERROR(IF(IFERROR(MATCH(60,'كشف الحساب'!$N$4:$N$203,0),0)=0,"",INDEX('كشف الحساب'!$H$4:$H$203,IFERROR(MATCH(60,'كشف الحساب'!$N$4:$N$203,0),0))),"")</f>
        <v/>
      </c>
      <c r="I64" s="72">
        <f>IFERROR(IF(IFERROR(MATCH(60,'كشف الحساب'!$N$4:$N$203,0),0)=0,"",INDEX('كشف الحساب'!$I$4:$I$203,IFERROR(MATCH(60,'كشف الحساب'!$N$4:$N$203,0),0))),"")</f>
        <v/>
      </c>
      <c r="J64" s="76">
        <f>IFERROR(IF(IFERROR(MATCH(60,'كشف الحساب'!$N$4:$N$203,0),0)=0,"",INDEX('كشف الحساب'!$J$4:$J$203,IFERROR(MATCH(60,'كشف الحساب'!$N$4:$N$203,0),0))),"")</f>
        <v/>
      </c>
      <c r="K64" s="72">
        <f>IFERROR(IF(IFERROR(MATCH(60,'كشف الحساب'!$N$4:$N$203,0),0)=0,"",INDEX('كشف الحساب'!$K$4:$K$203,IFERROR(MATCH(60,'كشف الحساب'!$N$4:$N$203,0),0))),"")</f>
        <v/>
      </c>
    </row>
    <row r="65" ht="15" customHeight="1" s="165">
      <c r="A65" s="65">
        <f>IFERROR(IF(IFERROR(MATCH(61,'كشف الحساب'!$N$4:$N$203,0),0)=0,"",INDEX('كشف الحساب'!$A$4:$A$203,IFERROR(MATCH(61,'كشف الحساب'!$N$4:$N$203,0),0))),"")</f>
        <v/>
      </c>
      <c r="B65" s="66">
        <f>IFERROR(IF(IFERROR(MATCH(61,'كشف الحساب'!$N$4:$N$203,0),0)=0,"",INDEX('كشف الحساب'!$B$4:$B$203,IFERROR(MATCH(61,'كشف الحساب'!$N$4:$N$203,0),0))),"")</f>
        <v/>
      </c>
      <c r="C65" s="67">
        <f>IFERROR(IF(IFERROR(MATCH(61,'كشف الحساب'!$N$4:$N$203,0),0)=0,"",INDEX('كشف الحساب'!$C$4:$C$203,IFERROR(MATCH(61,'كشف الحساب'!$N$4:$N$203,0),0))),"")</f>
        <v/>
      </c>
      <c r="D65" s="68">
        <f>IFERROR(IF(IFERROR(MATCH(61,'كشف الحساب'!$N$4:$N$203,0),0)=0,"",INDEX('كشف الحساب'!$D$4:$D$203,IFERROR(MATCH(61,'كشف الحساب'!$N$4:$N$203,0),0))),"")</f>
        <v/>
      </c>
      <c r="E65" s="69">
        <f>IFERROR(IF(IFERROR(MATCH(61,'كشف الحساب'!$N$4:$N$203,0),0)=0,"",INDEX('كشف الحساب'!$E$4:$E$203,IFERROR(MATCH(61,'كشف الحساب'!$N$4:$N$203,0),0))),"")</f>
        <v/>
      </c>
      <c r="F65" s="66">
        <f>IFERROR(IF(IFERROR(MATCH(61,'كشف الحساب'!$N$4:$N$203,0),0)=0,"",INDEX('كشف الحساب'!$F$4:$F$203,IFERROR(MATCH(61,'كشف الحساب'!$N$4:$N$203,0),0))),"")</f>
        <v/>
      </c>
      <c r="G65" s="66">
        <f>IFERROR(IF(IFERROR(MATCH(61,'كشف الحساب'!$N$4:$N$203,0),0)=0,"",INDEX('كشف الحساب'!$G$4:$G$203,IFERROR(MATCH(61,'كشف الحساب'!$N$4:$N$203,0),0))),"")</f>
        <v/>
      </c>
      <c r="H65" s="66">
        <f>IFERROR(IF(IFERROR(MATCH(61,'كشف الحساب'!$N$4:$N$203,0),0)=0,"",INDEX('كشف الحساب'!$H$4:$H$203,IFERROR(MATCH(61,'كشف الحساب'!$N$4:$N$203,0),0))),"")</f>
        <v/>
      </c>
      <c r="I65" s="66">
        <f>IFERROR(IF(IFERROR(MATCH(61,'كشف الحساب'!$N$4:$N$203,0),0)=0,"",INDEX('كشف الحساب'!$I$4:$I$203,IFERROR(MATCH(61,'كشف الحساب'!$N$4:$N$203,0),0))),"")</f>
        <v/>
      </c>
      <c r="J65" s="70">
        <f>IFERROR(IF(IFERROR(MATCH(61,'كشف الحساب'!$N$4:$N$203,0),0)=0,"",INDEX('كشف الحساب'!$J$4:$J$203,IFERROR(MATCH(61,'كشف الحساب'!$N$4:$N$203,0),0))),"")</f>
        <v/>
      </c>
      <c r="K65" s="66">
        <f>IFERROR(IF(IFERROR(MATCH(61,'كشف الحساب'!$N$4:$N$203,0),0)=0,"",INDEX('كشف الحساب'!$K$4:$K$203,IFERROR(MATCH(61,'كشف الحساب'!$N$4:$N$203,0),0))),"")</f>
        <v/>
      </c>
    </row>
    <row r="66" ht="15" customHeight="1" s="165">
      <c r="A66" s="71">
        <f>IFERROR(IF(IFERROR(MATCH(62,'كشف الحساب'!$N$4:$N$203,0),0)=0,"",INDEX('كشف الحساب'!$A$4:$A$203,IFERROR(MATCH(62,'كشف الحساب'!$N$4:$N$203,0),0))),"")</f>
        <v/>
      </c>
      <c r="B66" s="72">
        <f>IFERROR(IF(IFERROR(MATCH(62,'كشف الحساب'!$N$4:$N$203,0),0)=0,"",INDEX('كشف الحساب'!$B$4:$B$203,IFERROR(MATCH(62,'كشف الحساب'!$N$4:$N$203,0),0))),"")</f>
        <v/>
      </c>
      <c r="C66" s="73">
        <f>IFERROR(IF(IFERROR(MATCH(62,'كشف الحساب'!$N$4:$N$203,0),0)=0,"",INDEX('كشف الحساب'!$C$4:$C$203,IFERROR(MATCH(62,'كشف الحساب'!$N$4:$N$203,0),0))),"")</f>
        <v/>
      </c>
      <c r="D66" s="74">
        <f>IFERROR(IF(IFERROR(MATCH(62,'كشف الحساب'!$N$4:$N$203,0),0)=0,"",INDEX('كشف الحساب'!$D$4:$D$203,IFERROR(MATCH(62,'كشف الحساب'!$N$4:$N$203,0),0))),"")</f>
        <v/>
      </c>
      <c r="E66" s="75">
        <f>IFERROR(IF(IFERROR(MATCH(62,'كشف الحساب'!$N$4:$N$203,0),0)=0,"",INDEX('كشف الحساب'!$E$4:$E$203,IFERROR(MATCH(62,'كشف الحساب'!$N$4:$N$203,0),0))),"")</f>
        <v/>
      </c>
      <c r="F66" s="72">
        <f>IFERROR(IF(IFERROR(MATCH(62,'كشف الحساب'!$N$4:$N$203,0),0)=0,"",INDEX('كشف الحساب'!$F$4:$F$203,IFERROR(MATCH(62,'كشف الحساب'!$N$4:$N$203,0),0))),"")</f>
        <v/>
      </c>
      <c r="G66" s="72">
        <f>IFERROR(IF(IFERROR(MATCH(62,'كشف الحساب'!$N$4:$N$203,0),0)=0,"",INDEX('كشف الحساب'!$G$4:$G$203,IFERROR(MATCH(62,'كشف الحساب'!$N$4:$N$203,0),0))),"")</f>
        <v/>
      </c>
      <c r="H66" s="72">
        <f>IFERROR(IF(IFERROR(MATCH(62,'كشف الحساب'!$N$4:$N$203,0),0)=0,"",INDEX('كشف الحساب'!$H$4:$H$203,IFERROR(MATCH(62,'كشف الحساب'!$N$4:$N$203,0),0))),"")</f>
        <v/>
      </c>
      <c r="I66" s="72">
        <f>IFERROR(IF(IFERROR(MATCH(62,'كشف الحساب'!$N$4:$N$203,0),0)=0,"",INDEX('كشف الحساب'!$I$4:$I$203,IFERROR(MATCH(62,'كشف الحساب'!$N$4:$N$203,0),0))),"")</f>
        <v/>
      </c>
      <c r="J66" s="76">
        <f>IFERROR(IF(IFERROR(MATCH(62,'كشف الحساب'!$N$4:$N$203,0),0)=0,"",INDEX('كشف الحساب'!$J$4:$J$203,IFERROR(MATCH(62,'كشف الحساب'!$N$4:$N$203,0),0))),"")</f>
        <v/>
      </c>
      <c r="K66" s="72">
        <f>IFERROR(IF(IFERROR(MATCH(62,'كشف الحساب'!$N$4:$N$203,0),0)=0,"",INDEX('كشف الحساب'!$K$4:$K$203,IFERROR(MATCH(62,'كشف الحساب'!$N$4:$N$203,0),0))),"")</f>
        <v/>
      </c>
    </row>
    <row r="67" ht="15" customHeight="1" s="165">
      <c r="A67" s="65">
        <f>IFERROR(IF(IFERROR(MATCH(63,'كشف الحساب'!$N$4:$N$203,0),0)=0,"",INDEX('كشف الحساب'!$A$4:$A$203,IFERROR(MATCH(63,'كشف الحساب'!$N$4:$N$203,0),0))),"")</f>
        <v/>
      </c>
      <c r="B67" s="66">
        <f>IFERROR(IF(IFERROR(MATCH(63,'كشف الحساب'!$N$4:$N$203,0),0)=0,"",INDEX('كشف الحساب'!$B$4:$B$203,IFERROR(MATCH(63,'كشف الحساب'!$N$4:$N$203,0),0))),"")</f>
        <v/>
      </c>
      <c r="C67" s="67">
        <f>IFERROR(IF(IFERROR(MATCH(63,'كشف الحساب'!$N$4:$N$203,0),0)=0,"",INDEX('كشف الحساب'!$C$4:$C$203,IFERROR(MATCH(63,'كشف الحساب'!$N$4:$N$203,0),0))),"")</f>
        <v/>
      </c>
      <c r="D67" s="68">
        <f>IFERROR(IF(IFERROR(MATCH(63,'كشف الحساب'!$N$4:$N$203,0),0)=0,"",INDEX('كشف الحساب'!$D$4:$D$203,IFERROR(MATCH(63,'كشف الحساب'!$N$4:$N$203,0),0))),"")</f>
        <v/>
      </c>
      <c r="E67" s="69">
        <f>IFERROR(IF(IFERROR(MATCH(63,'كشف الحساب'!$N$4:$N$203,0),0)=0,"",INDEX('كشف الحساب'!$E$4:$E$203,IFERROR(MATCH(63,'كشف الحساب'!$N$4:$N$203,0),0))),"")</f>
        <v/>
      </c>
      <c r="F67" s="66">
        <f>IFERROR(IF(IFERROR(MATCH(63,'كشف الحساب'!$N$4:$N$203,0),0)=0,"",INDEX('كشف الحساب'!$F$4:$F$203,IFERROR(MATCH(63,'كشف الحساب'!$N$4:$N$203,0),0))),"")</f>
        <v/>
      </c>
      <c r="G67" s="66">
        <f>IFERROR(IF(IFERROR(MATCH(63,'كشف الحساب'!$N$4:$N$203,0),0)=0,"",INDEX('كشف الحساب'!$G$4:$G$203,IFERROR(MATCH(63,'كشف الحساب'!$N$4:$N$203,0),0))),"")</f>
        <v/>
      </c>
      <c r="H67" s="66">
        <f>IFERROR(IF(IFERROR(MATCH(63,'كشف الحساب'!$N$4:$N$203,0),0)=0,"",INDEX('كشف الحساب'!$H$4:$H$203,IFERROR(MATCH(63,'كشف الحساب'!$N$4:$N$203,0),0))),"")</f>
        <v/>
      </c>
      <c r="I67" s="66">
        <f>IFERROR(IF(IFERROR(MATCH(63,'كشف الحساب'!$N$4:$N$203,0),0)=0,"",INDEX('كشف الحساب'!$I$4:$I$203,IFERROR(MATCH(63,'كشف الحساب'!$N$4:$N$203,0),0))),"")</f>
        <v/>
      </c>
      <c r="J67" s="70">
        <f>IFERROR(IF(IFERROR(MATCH(63,'كشف الحساب'!$N$4:$N$203,0),0)=0,"",INDEX('كشف الحساب'!$J$4:$J$203,IFERROR(MATCH(63,'كشف الحساب'!$N$4:$N$203,0),0))),"")</f>
        <v/>
      </c>
      <c r="K67" s="66">
        <f>IFERROR(IF(IFERROR(MATCH(63,'كشف الحساب'!$N$4:$N$203,0),0)=0,"",INDEX('كشف الحساب'!$K$4:$K$203,IFERROR(MATCH(63,'كشف الحساب'!$N$4:$N$203,0),0))),"")</f>
        <v/>
      </c>
    </row>
    <row r="68" ht="15" customHeight="1" s="165">
      <c r="A68" s="71">
        <f>IFERROR(IF(IFERROR(MATCH(64,'كشف الحساب'!$N$4:$N$203,0),0)=0,"",INDEX('كشف الحساب'!$A$4:$A$203,IFERROR(MATCH(64,'كشف الحساب'!$N$4:$N$203,0),0))),"")</f>
        <v/>
      </c>
      <c r="B68" s="72">
        <f>IFERROR(IF(IFERROR(MATCH(64,'كشف الحساب'!$N$4:$N$203,0),0)=0,"",INDEX('كشف الحساب'!$B$4:$B$203,IFERROR(MATCH(64,'كشف الحساب'!$N$4:$N$203,0),0))),"")</f>
        <v/>
      </c>
      <c r="C68" s="73">
        <f>IFERROR(IF(IFERROR(MATCH(64,'كشف الحساب'!$N$4:$N$203,0),0)=0,"",INDEX('كشف الحساب'!$C$4:$C$203,IFERROR(MATCH(64,'كشف الحساب'!$N$4:$N$203,0),0))),"")</f>
        <v/>
      </c>
      <c r="D68" s="74">
        <f>IFERROR(IF(IFERROR(MATCH(64,'كشف الحساب'!$N$4:$N$203,0),0)=0,"",INDEX('كشف الحساب'!$D$4:$D$203,IFERROR(MATCH(64,'كشف الحساب'!$N$4:$N$203,0),0))),"")</f>
        <v/>
      </c>
      <c r="E68" s="75">
        <f>IFERROR(IF(IFERROR(MATCH(64,'كشف الحساب'!$N$4:$N$203,0),0)=0,"",INDEX('كشف الحساب'!$E$4:$E$203,IFERROR(MATCH(64,'كشف الحساب'!$N$4:$N$203,0),0))),"")</f>
        <v/>
      </c>
      <c r="F68" s="72">
        <f>IFERROR(IF(IFERROR(MATCH(64,'كشف الحساب'!$N$4:$N$203,0),0)=0,"",INDEX('كشف الحساب'!$F$4:$F$203,IFERROR(MATCH(64,'كشف الحساب'!$N$4:$N$203,0),0))),"")</f>
        <v/>
      </c>
      <c r="G68" s="72">
        <f>IFERROR(IF(IFERROR(MATCH(64,'كشف الحساب'!$N$4:$N$203,0),0)=0,"",INDEX('كشف الحساب'!$G$4:$G$203,IFERROR(MATCH(64,'كشف الحساب'!$N$4:$N$203,0),0))),"")</f>
        <v/>
      </c>
      <c r="H68" s="72">
        <f>IFERROR(IF(IFERROR(MATCH(64,'كشف الحساب'!$N$4:$N$203,0),0)=0,"",INDEX('كشف الحساب'!$H$4:$H$203,IFERROR(MATCH(64,'كشف الحساب'!$N$4:$N$203,0),0))),"")</f>
        <v/>
      </c>
      <c r="I68" s="72">
        <f>IFERROR(IF(IFERROR(MATCH(64,'كشف الحساب'!$N$4:$N$203,0),0)=0,"",INDEX('كشف الحساب'!$I$4:$I$203,IFERROR(MATCH(64,'كشف الحساب'!$N$4:$N$203,0),0))),"")</f>
        <v/>
      </c>
      <c r="J68" s="76">
        <f>IFERROR(IF(IFERROR(MATCH(64,'كشف الحساب'!$N$4:$N$203,0),0)=0,"",INDEX('كشف الحساب'!$J$4:$J$203,IFERROR(MATCH(64,'كشف الحساب'!$N$4:$N$203,0),0))),"")</f>
        <v/>
      </c>
      <c r="K68" s="72">
        <f>IFERROR(IF(IFERROR(MATCH(64,'كشف الحساب'!$N$4:$N$203,0),0)=0,"",INDEX('كشف الحساب'!$K$4:$K$203,IFERROR(MATCH(64,'كشف الحساب'!$N$4:$N$203,0),0))),"")</f>
        <v/>
      </c>
    </row>
    <row r="69" ht="15" customHeight="1" s="165">
      <c r="A69" s="65">
        <f>IFERROR(IF(IFERROR(MATCH(65,'كشف الحساب'!$N$4:$N$203,0),0)=0,"",INDEX('كشف الحساب'!$A$4:$A$203,IFERROR(MATCH(65,'كشف الحساب'!$N$4:$N$203,0),0))),"")</f>
        <v/>
      </c>
      <c r="B69" s="66">
        <f>IFERROR(IF(IFERROR(MATCH(65,'كشف الحساب'!$N$4:$N$203,0),0)=0,"",INDEX('كشف الحساب'!$B$4:$B$203,IFERROR(MATCH(65,'كشف الحساب'!$N$4:$N$203,0),0))),"")</f>
        <v/>
      </c>
      <c r="C69" s="67">
        <f>IFERROR(IF(IFERROR(MATCH(65,'كشف الحساب'!$N$4:$N$203,0),0)=0,"",INDEX('كشف الحساب'!$C$4:$C$203,IFERROR(MATCH(65,'كشف الحساب'!$N$4:$N$203,0),0))),"")</f>
        <v/>
      </c>
      <c r="D69" s="68">
        <f>IFERROR(IF(IFERROR(MATCH(65,'كشف الحساب'!$N$4:$N$203,0),0)=0,"",INDEX('كشف الحساب'!$D$4:$D$203,IFERROR(MATCH(65,'كشف الحساب'!$N$4:$N$203,0),0))),"")</f>
        <v/>
      </c>
      <c r="E69" s="69">
        <f>IFERROR(IF(IFERROR(MATCH(65,'كشف الحساب'!$N$4:$N$203,0),0)=0,"",INDEX('كشف الحساب'!$E$4:$E$203,IFERROR(MATCH(65,'كشف الحساب'!$N$4:$N$203,0),0))),"")</f>
        <v/>
      </c>
      <c r="F69" s="66">
        <f>IFERROR(IF(IFERROR(MATCH(65,'كشف الحساب'!$N$4:$N$203,0),0)=0,"",INDEX('كشف الحساب'!$F$4:$F$203,IFERROR(MATCH(65,'كشف الحساب'!$N$4:$N$203,0),0))),"")</f>
        <v/>
      </c>
      <c r="G69" s="66">
        <f>IFERROR(IF(IFERROR(MATCH(65,'كشف الحساب'!$N$4:$N$203,0),0)=0,"",INDEX('كشف الحساب'!$G$4:$G$203,IFERROR(MATCH(65,'كشف الحساب'!$N$4:$N$203,0),0))),"")</f>
        <v/>
      </c>
      <c r="H69" s="66">
        <f>IFERROR(IF(IFERROR(MATCH(65,'كشف الحساب'!$N$4:$N$203,0),0)=0,"",INDEX('كشف الحساب'!$H$4:$H$203,IFERROR(MATCH(65,'كشف الحساب'!$N$4:$N$203,0),0))),"")</f>
        <v/>
      </c>
      <c r="I69" s="66">
        <f>IFERROR(IF(IFERROR(MATCH(65,'كشف الحساب'!$N$4:$N$203,0),0)=0,"",INDEX('كشف الحساب'!$I$4:$I$203,IFERROR(MATCH(65,'كشف الحساب'!$N$4:$N$203,0),0))),"")</f>
        <v/>
      </c>
      <c r="J69" s="70">
        <f>IFERROR(IF(IFERROR(MATCH(65,'كشف الحساب'!$N$4:$N$203,0),0)=0,"",INDEX('كشف الحساب'!$J$4:$J$203,IFERROR(MATCH(65,'كشف الحساب'!$N$4:$N$203,0),0))),"")</f>
        <v/>
      </c>
      <c r="K69" s="66">
        <f>IFERROR(IF(IFERROR(MATCH(65,'كشف الحساب'!$N$4:$N$203,0),0)=0,"",INDEX('كشف الحساب'!$K$4:$K$203,IFERROR(MATCH(65,'كشف الحساب'!$N$4:$N$203,0),0))),"")</f>
        <v/>
      </c>
    </row>
    <row r="70" ht="15" customHeight="1" s="165">
      <c r="A70" s="71">
        <f>IFERROR(IF(IFERROR(MATCH(66,'كشف الحساب'!$N$4:$N$203,0),0)=0,"",INDEX('كشف الحساب'!$A$4:$A$203,IFERROR(MATCH(66,'كشف الحساب'!$N$4:$N$203,0),0))),"")</f>
        <v/>
      </c>
      <c r="B70" s="72">
        <f>IFERROR(IF(IFERROR(MATCH(66,'كشف الحساب'!$N$4:$N$203,0),0)=0,"",INDEX('كشف الحساب'!$B$4:$B$203,IFERROR(MATCH(66,'كشف الحساب'!$N$4:$N$203,0),0))),"")</f>
        <v/>
      </c>
      <c r="C70" s="73">
        <f>IFERROR(IF(IFERROR(MATCH(66,'كشف الحساب'!$N$4:$N$203,0),0)=0,"",INDEX('كشف الحساب'!$C$4:$C$203,IFERROR(MATCH(66,'كشف الحساب'!$N$4:$N$203,0),0))),"")</f>
        <v/>
      </c>
      <c r="D70" s="74">
        <f>IFERROR(IF(IFERROR(MATCH(66,'كشف الحساب'!$N$4:$N$203,0),0)=0,"",INDEX('كشف الحساب'!$D$4:$D$203,IFERROR(MATCH(66,'كشف الحساب'!$N$4:$N$203,0),0))),"")</f>
        <v/>
      </c>
      <c r="E70" s="75">
        <f>IFERROR(IF(IFERROR(MATCH(66,'كشف الحساب'!$N$4:$N$203,0),0)=0,"",INDEX('كشف الحساب'!$E$4:$E$203,IFERROR(MATCH(66,'كشف الحساب'!$N$4:$N$203,0),0))),"")</f>
        <v/>
      </c>
      <c r="F70" s="72">
        <f>IFERROR(IF(IFERROR(MATCH(66,'كشف الحساب'!$N$4:$N$203,0),0)=0,"",INDEX('كشف الحساب'!$F$4:$F$203,IFERROR(MATCH(66,'كشف الحساب'!$N$4:$N$203,0),0))),"")</f>
        <v/>
      </c>
      <c r="G70" s="72">
        <f>IFERROR(IF(IFERROR(MATCH(66,'كشف الحساب'!$N$4:$N$203,0),0)=0,"",INDEX('كشف الحساب'!$G$4:$G$203,IFERROR(MATCH(66,'كشف الحساب'!$N$4:$N$203,0),0))),"")</f>
        <v/>
      </c>
      <c r="H70" s="72">
        <f>IFERROR(IF(IFERROR(MATCH(66,'كشف الحساب'!$N$4:$N$203,0),0)=0,"",INDEX('كشف الحساب'!$H$4:$H$203,IFERROR(MATCH(66,'كشف الحساب'!$N$4:$N$203,0),0))),"")</f>
        <v/>
      </c>
      <c r="I70" s="72">
        <f>IFERROR(IF(IFERROR(MATCH(66,'كشف الحساب'!$N$4:$N$203,0),0)=0,"",INDEX('كشف الحساب'!$I$4:$I$203,IFERROR(MATCH(66,'كشف الحساب'!$N$4:$N$203,0),0))),"")</f>
        <v/>
      </c>
      <c r="J70" s="76">
        <f>IFERROR(IF(IFERROR(MATCH(66,'كشف الحساب'!$N$4:$N$203,0),0)=0,"",INDEX('كشف الحساب'!$J$4:$J$203,IFERROR(MATCH(66,'كشف الحساب'!$N$4:$N$203,0),0))),"")</f>
        <v/>
      </c>
      <c r="K70" s="72">
        <f>IFERROR(IF(IFERROR(MATCH(66,'كشف الحساب'!$N$4:$N$203,0),0)=0,"",INDEX('كشف الحساب'!$K$4:$K$203,IFERROR(MATCH(66,'كشف الحساب'!$N$4:$N$203,0),0))),"")</f>
        <v/>
      </c>
    </row>
    <row r="71" ht="15" customHeight="1" s="165">
      <c r="A71" s="65">
        <f>IFERROR(IF(IFERROR(MATCH(67,'كشف الحساب'!$N$4:$N$203,0),0)=0,"",INDEX('كشف الحساب'!$A$4:$A$203,IFERROR(MATCH(67,'كشف الحساب'!$N$4:$N$203,0),0))),"")</f>
        <v/>
      </c>
      <c r="B71" s="66">
        <f>IFERROR(IF(IFERROR(MATCH(67,'كشف الحساب'!$N$4:$N$203,0),0)=0,"",INDEX('كشف الحساب'!$B$4:$B$203,IFERROR(MATCH(67,'كشف الحساب'!$N$4:$N$203,0),0))),"")</f>
        <v/>
      </c>
      <c r="C71" s="67">
        <f>IFERROR(IF(IFERROR(MATCH(67,'كشف الحساب'!$N$4:$N$203,0),0)=0,"",INDEX('كشف الحساب'!$C$4:$C$203,IFERROR(MATCH(67,'كشف الحساب'!$N$4:$N$203,0),0))),"")</f>
        <v/>
      </c>
      <c r="D71" s="68">
        <f>IFERROR(IF(IFERROR(MATCH(67,'كشف الحساب'!$N$4:$N$203,0),0)=0,"",INDEX('كشف الحساب'!$D$4:$D$203,IFERROR(MATCH(67,'كشف الحساب'!$N$4:$N$203,0),0))),"")</f>
        <v/>
      </c>
      <c r="E71" s="69">
        <f>IFERROR(IF(IFERROR(MATCH(67,'كشف الحساب'!$N$4:$N$203,0),0)=0,"",INDEX('كشف الحساب'!$E$4:$E$203,IFERROR(MATCH(67,'كشف الحساب'!$N$4:$N$203,0),0))),"")</f>
        <v/>
      </c>
      <c r="F71" s="66">
        <f>IFERROR(IF(IFERROR(MATCH(67,'كشف الحساب'!$N$4:$N$203,0),0)=0,"",INDEX('كشف الحساب'!$F$4:$F$203,IFERROR(MATCH(67,'كشف الحساب'!$N$4:$N$203,0),0))),"")</f>
        <v/>
      </c>
      <c r="G71" s="66">
        <f>IFERROR(IF(IFERROR(MATCH(67,'كشف الحساب'!$N$4:$N$203,0),0)=0,"",INDEX('كشف الحساب'!$G$4:$G$203,IFERROR(MATCH(67,'كشف الحساب'!$N$4:$N$203,0),0))),"")</f>
        <v/>
      </c>
      <c r="H71" s="66">
        <f>IFERROR(IF(IFERROR(MATCH(67,'كشف الحساب'!$N$4:$N$203,0),0)=0,"",INDEX('كشف الحساب'!$H$4:$H$203,IFERROR(MATCH(67,'كشف الحساب'!$N$4:$N$203,0),0))),"")</f>
        <v/>
      </c>
      <c r="I71" s="66">
        <f>IFERROR(IF(IFERROR(MATCH(67,'كشف الحساب'!$N$4:$N$203,0),0)=0,"",INDEX('كشف الحساب'!$I$4:$I$203,IFERROR(MATCH(67,'كشف الحساب'!$N$4:$N$203,0),0))),"")</f>
        <v/>
      </c>
      <c r="J71" s="70">
        <f>IFERROR(IF(IFERROR(MATCH(67,'كشف الحساب'!$N$4:$N$203,0),0)=0,"",INDEX('كشف الحساب'!$J$4:$J$203,IFERROR(MATCH(67,'كشف الحساب'!$N$4:$N$203,0),0))),"")</f>
        <v/>
      </c>
      <c r="K71" s="66">
        <f>IFERROR(IF(IFERROR(MATCH(67,'كشف الحساب'!$N$4:$N$203,0),0)=0,"",INDEX('كشف الحساب'!$K$4:$K$203,IFERROR(MATCH(67,'كشف الحساب'!$N$4:$N$203,0),0))),"")</f>
        <v/>
      </c>
    </row>
    <row r="72" ht="15" customHeight="1" s="165">
      <c r="A72" s="71">
        <f>IFERROR(IF(IFERROR(MATCH(68,'كشف الحساب'!$N$4:$N$203,0),0)=0,"",INDEX('كشف الحساب'!$A$4:$A$203,IFERROR(MATCH(68,'كشف الحساب'!$N$4:$N$203,0),0))),"")</f>
        <v/>
      </c>
      <c r="B72" s="72">
        <f>IFERROR(IF(IFERROR(MATCH(68,'كشف الحساب'!$N$4:$N$203,0),0)=0,"",INDEX('كشف الحساب'!$B$4:$B$203,IFERROR(MATCH(68,'كشف الحساب'!$N$4:$N$203,0),0))),"")</f>
        <v/>
      </c>
      <c r="C72" s="73">
        <f>IFERROR(IF(IFERROR(MATCH(68,'كشف الحساب'!$N$4:$N$203,0),0)=0,"",INDEX('كشف الحساب'!$C$4:$C$203,IFERROR(MATCH(68,'كشف الحساب'!$N$4:$N$203,0),0))),"")</f>
        <v/>
      </c>
      <c r="D72" s="74">
        <f>IFERROR(IF(IFERROR(MATCH(68,'كشف الحساب'!$N$4:$N$203,0),0)=0,"",INDEX('كشف الحساب'!$D$4:$D$203,IFERROR(MATCH(68,'كشف الحساب'!$N$4:$N$203,0),0))),"")</f>
        <v/>
      </c>
      <c r="E72" s="75">
        <f>IFERROR(IF(IFERROR(MATCH(68,'كشف الحساب'!$N$4:$N$203,0),0)=0,"",INDEX('كشف الحساب'!$E$4:$E$203,IFERROR(MATCH(68,'كشف الحساب'!$N$4:$N$203,0),0))),"")</f>
        <v/>
      </c>
      <c r="F72" s="72">
        <f>IFERROR(IF(IFERROR(MATCH(68,'كشف الحساب'!$N$4:$N$203,0),0)=0,"",INDEX('كشف الحساب'!$F$4:$F$203,IFERROR(MATCH(68,'كشف الحساب'!$N$4:$N$203,0),0))),"")</f>
        <v/>
      </c>
      <c r="G72" s="72">
        <f>IFERROR(IF(IFERROR(MATCH(68,'كشف الحساب'!$N$4:$N$203,0),0)=0,"",INDEX('كشف الحساب'!$G$4:$G$203,IFERROR(MATCH(68,'كشف الحساب'!$N$4:$N$203,0),0))),"")</f>
        <v/>
      </c>
      <c r="H72" s="72">
        <f>IFERROR(IF(IFERROR(MATCH(68,'كشف الحساب'!$N$4:$N$203,0),0)=0,"",INDEX('كشف الحساب'!$H$4:$H$203,IFERROR(MATCH(68,'كشف الحساب'!$N$4:$N$203,0),0))),"")</f>
        <v/>
      </c>
      <c r="I72" s="72">
        <f>IFERROR(IF(IFERROR(MATCH(68,'كشف الحساب'!$N$4:$N$203,0),0)=0,"",INDEX('كشف الحساب'!$I$4:$I$203,IFERROR(MATCH(68,'كشف الحساب'!$N$4:$N$203,0),0))),"")</f>
        <v/>
      </c>
      <c r="J72" s="76">
        <f>IFERROR(IF(IFERROR(MATCH(68,'كشف الحساب'!$N$4:$N$203,0),0)=0,"",INDEX('كشف الحساب'!$J$4:$J$203,IFERROR(MATCH(68,'كشف الحساب'!$N$4:$N$203,0),0))),"")</f>
        <v/>
      </c>
      <c r="K72" s="72">
        <f>IFERROR(IF(IFERROR(MATCH(68,'كشف الحساب'!$N$4:$N$203,0),0)=0,"",INDEX('كشف الحساب'!$K$4:$K$203,IFERROR(MATCH(68,'كشف الحساب'!$N$4:$N$203,0),0))),"")</f>
        <v/>
      </c>
    </row>
    <row r="73" ht="15" customHeight="1" s="165">
      <c r="A73" s="65">
        <f>IFERROR(IF(IFERROR(MATCH(69,'كشف الحساب'!$N$4:$N$203,0),0)=0,"",INDEX('كشف الحساب'!$A$4:$A$203,IFERROR(MATCH(69,'كشف الحساب'!$N$4:$N$203,0),0))),"")</f>
        <v/>
      </c>
      <c r="B73" s="66">
        <f>IFERROR(IF(IFERROR(MATCH(69,'كشف الحساب'!$N$4:$N$203,0),0)=0,"",INDEX('كشف الحساب'!$B$4:$B$203,IFERROR(MATCH(69,'كشف الحساب'!$N$4:$N$203,0),0))),"")</f>
        <v/>
      </c>
      <c r="C73" s="67">
        <f>IFERROR(IF(IFERROR(MATCH(69,'كشف الحساب'!$N$4:$N$203,0),0)=0,"",INDEX('كشف الحساب'!$C$4:$C$203,IFERROR(MATCH(69,'كشف الحساب'!$N$4:$N$203,0),0))),"")</f>
        <v/>
      </c>
      <c r="D73" s="68">
        <f>IFERROR(IF(IFERROR(MATCH(69,'كشف الحساب'!$N$4:$N$203,0),0)=0,"",INDEX('كشف الحساب'!$D$4:$D$203,IFERROR(MATCH(69,'كشف الحساب'!$N$4:$N$203,0),0))),"")</f>
        <v/>
      </c>
      <c r="E73" s="69">
        <f>IFERROR(IF(IFERROR(MATCH(69,'كشف الحساب'!$N$4:$N$203,0),0)=0,"",INDEX('كشف الحساب'!$E$4:$E$203,IFERROR(MATCH(69,'كشف الحساب'!$N$4:$N$203,0),0))),"")</f>
        <v/>
      </c>
      <c r="F73" s="66">
        <f>IFERROR(IF(IFERROR(MATCH(69,'كشف الحساب'!$N$4:$N$203,0),0)=0,"",INDEX('كشف الحساب'!$F$4:$F$203,IFERROR(MATCH(69,'كشف الحساب'!$N$4:$N$203,0),0))),"")</f>
        <v/>
      </c>
      <c r="G73" s="66">
        <f>IFERROR(IF(IFERROR(MATCH(69,'كشف الحساب'!$N$4:$N$203,0),0)=0,"",INDEX('كشف الحساب'!$G$4:$G$203,IFERROR(MATCH(69,'كشف الحساب'!$N$4:$N$203,0),0))),"")</f>
        <v/>
      </c>
      <c r="H73" s="66">
        <f>IFERROR(IF(IFERROR(MATCH(69,'كشف الحساب'!$N$4:$N$203,0),0)=0,"",INDEX('كشف الحساب'!$H$4:$H$203,IFERROR(MATCH(69,'كشف الحساب'!$N$4:$N$203,0),0))),"")</f>
        <v/>
      </c>
      <c r="I73" s="66">
        <f>IFERROR(IF(IFERROR(MATCH(69,'كشف الحساب'!$N$4:$N$203,0),0)=0,"",INDEX('كشف الحساب'!$I$4:$I$203,IFERROR(MATCH(69,'كشف الحساب'!$N$4:$N$203,0),0))),"")</f>
        <v/>
      </c>
      <c r="J73" s="70">
        <f>IFERROR(IF(IFERROR(MATCH(69,'كشف الحساب'!$N$4:$N$203,0),0)=0,"",INDEX('كشف الحساب'!$J$4:$J$203,IFERROR(MATCH(69,'كشف الحساب'!$N$4:$N$203,0),0))),"")</f>
        <v/>
      </c>
      <c r="K73" s="66">
        <f>IFERROR(IF(IFERROR(MATCH(69,'كشف الحساب'!$N$4:$N$203,0),0)=0,"",INDEX('كشف الحساب'!$K$4:$K$203,IFERROR(MATCH(69,'كشف الحساب'!$N$4:$N$203,0),0))),"")</f>
        <v/>
      </c>
    </row>
    <row r="74" ht="15" customHeight="1" s="165">
      <c r="A74" s="71">
        <f>IFERROR(IF(IFERROR(MATCH(70,'كشف الحساب'!$N$4:$N$203,0),0)=0,"",INDEX('كشف الحساب'!$A$4:$A$203,IFERROR(MATCH(70,'كشف الحساب'!$N$4:$N$203,0),0))),"")</f>
        <v/>
      </c>
      <c r="B74" s="72">
        <f>IFERROR(IF(IFERROR(MATCH(70,'كشف الحساب'!$N$4:$N$203,0),0)=0,"",INDEX('كشف الحساب'!$B$4:$B$203,IFERROR(MATCH(70,'كشف الحساب'!$N$4:$N$203,0),0))),"")</f>
        <v/>
      </c>
      <c r="C74" s="73">
        <f>IFERROR(IF(IFERROR(MATCH(70,'كشف الحساب'!$N$4:$N$203,0),0)=0,"",INDEX('كشف الحساب'!$C$4:$C$203,IFERROR(MATCH(70,'كشف الحساب'!$N$4:$N$203,0),0))),"")</f>
        <v/>
      </c>
      <c r="D74" s="74">
        <f>IFERROR(IF(IFERROR(MATCH(70,'كشف الحساب'!$N$4:$N$203,0),0)=0,"",INDEX('كشف الحساب'!$D$4:$D$203,IFERROR(MATCH(70,'كشف الحساب'!$N$4:$N$203,0),0))),"")</f>
        <v/>
      </c>
      <c r="E74" s="75">
        <f>IFERROR(IF(IFERROR(MATCH(70,'كشف الحساب'!$N$4:$N$203,0),0)=0,"",INDEX('كشف الحساب'!$E$4:$E$203,IFERROR(MATCH(70,'كشف الحساب'!$N$4:$N$203,0),0))),"")</f>
        <v/>
      </c>
      <c r="F74" s="72">
        <f>IFERROR(IF(IFERROR(MATCH(70,'كشف الحساب'!$N$4:$N$203,0),0)=0,"",INDEX('كشف الحساب'!$F$4:$F$203,IFERROR(MATCH(70,'كشف الحساب'!$N$4:$N$203,0),0))),"")</f>
        <v/>
      </c>
      <c r="G74" s="72">
        <f>IFERROR(IF(IFERROR(MATCH(70,'كشف الحساب'!$N$4:$N$203,0),0)=0,"",INDEX('كشف الحساب'!$G$4:$G$203,IFERROR(MATCH(70,'كشف الحساب'!$N$4:$N$203,0),0))),"")</f>
        <v/>
      </c>
      <c r="H74" s="72">
        <f>IFERROR(IF(IFERROR(MATCH(70,'كشف الحساب'!$N$4:$N$203,0),0)=0,"",INDEX('كشف الحساب'!$H$4:$H$203,IFERROR(MATCH(70,'كشف الحساب'!$N$4:$N$203,0),0))),"")</f>
        <v/>
      </c>
      <c r="I74" s="72">
        <f>IFERROR(IF(IFERROR(MATCH(70,'كشف الحساب'!$N$4:$N$203,0),0)=0,"",INDEX('كشف الحساب'!$I$4:$I$203,IFERROR(MATCH(70,'كشف الحساب'!$N$4:$N$203,0),0))),"")</f>
        <v/>
      </c>
      <c r="J74" s="76">
        <f>IFERROR(IF(IFERROR(MATCH(70,'كشف الحساب'!$N$4:$N$203,0),0)=0,"",INDEX('كشف الحساب'!$J$4:$J$203,IFERROR(MATCH(70,'كشف الحساب'!$N$4:$N$203,0),0))),"")</f>
        <v/>
      </c>
      <c r="K74" s="72">
        <f>IFERROR(IF(IFERROR(MATCH(70,'كشف الحساب'!$N$4:$N$203,0),0)=0,"",INDEX('كشف الحساب'!$K$4:$K$203,IFERROR(MATCH(70,'كشف الحساب'!$N$4:$N$203,0),0))),"")</f>
        <v/>
      </c>
    </row>
    <row r="75" ht="15" customHeight="1" s="165">
      <c r="A75" s="65">
        <f>IFERROR(IF(IFERROR(MATCH(71,'كشف الحساب'!$N$4:$N$203,0),0)=0,"",INDEX('كشف الحساب'!$A$4:$A$203,IFERROR(MATCH(71,'كشف الحساب'!$N$4:$N$203,0),0))),"")</f>
        <v/>
      </c>
      <c r="B75" s="66">
        <f>IFERROR(IF(IFERROR(MATCH(71,'كشف الحساب'!$N$4:$N$203,0),0)=0,"",INDEX('كشف الحساب'!$B$4:$B$203,IFERROR(MATCH(71,'كشف الحساب'!$N$4:$N$203,0),0))),"")</f>
        <v/>
      </c>
      <c r="C75" s="67">
        <f>IFERROR(IF(IFERROR(MATCH(71,'كشف الحساب'!$N$4:$N$203,0),0)=0,"",INDEX('كشف الحساب'!$C$4:$C$203,IFERROR(MATCH(71,'كشف الحساب'!$N$4:$N$203,0),0))),"")</f>
        <v/>
      </c>
      <c r="D75" s="68">
        <f>IFERROR(IF(IFERROR(MATCH(71,'كشف الحساب'!$N$4:$N$203,0),0)=0,"",INDEX('كشف الحساب'!$D$4:$D$203,IFERROR(MATCH(71,'كشف الحساب'!$N$4:$N$203,0),0))),"")</f>
        <v/>
      </c>
      <c r="E75" s="69">
        <f>IFERROR(IF(IFERROR(MATCH(71,'كشف الحساب'!$N$4:$N$203,0),0)=0,"",INDEX('كشف الحساب'!$E$4:$E$203,IFERROR(MATCH(71,'كشف الحساب'!$N$4:$N$203,0),0))),"")</f>
        <v/>
      </c>
      <c r="F75" s="66">
        <f>IFERROR(IF(IFERROR(MATCH(71,'كشف الحساب'!$N$4:$N$203,0),0)=0,"",INDEX('كشف الحساب'!$F$4:$F$203,IFERROR(MATCH(71,'كشف الحساب'!$N$4:$N$203,0),0))),"")</f>
        <v/>
      </c>
      <c r="G75" s="66">
        <f>IFERROR(IF(IFERROR(MATCH(71,'كشف الحساب'!$N$4:$N$203,0),0)=0,"",INDEX('كشف الحساب'!$G$4:$G$203,IFERROR(MATCH(71,'كشف الحساب'!$N$4:$N$203,0),0))),"")</f>
        <v/>
      </c>
      <c r="H75" s="66">
        <f>IFERROR(IF(IFERROR(MATCH(71,'كشف الحساب'!$N$4:$N$203,0),0)=0,"",INDEX('كشف الحساب'!$H$4:$H$203,IFERROR(MATCH(71,'كشف الحساب'!$N$4:$N$203,0),0))),"")</f>
        <v/>
      </c>
      <c r="I75" s="66">
        <f>IFERROR(IF(IFERROR(MATCH(71,'كشف الحساب'!$N$4:$N$203,0),0)=0,"",INDEX('كشف الحساب'!$I$4:$I$203,IFERROR(MATCH(71,'كشف الحساب'!$N$4:$N$203,0),0))),"")</f>
        <v/>
      </c>
      <c r="J75" s="70">
        <f>IFERROR(IF(IFERROR(MATCH(71,'كشف الحساب'!$N$4:$N$203,0),0)=0,"",INDEX('كشف الحساب'!$J$4:$J$203,IFERROR(MATCH(71,'كشف الحساب'!$N$4:$N$203,0),0))),"")</f>
        <v/>
      </c>
      <c r="K75" s="66">
        <f>IFERROR(IF(IFERROR(MATCH(71,'كشف الحساب'!$N$4:$N$203,0),0)=0,"",INDEX('كشف الحساب'!$K$4:$K$203,IFERROR(MATCH(71,'كشف الحساب'!$N$4:$N$203,0),0))),"")</f>
        <v/>
      </c>
    </row>
    <row r="76" ht="15" customHeight="1" s="165">
      <c r="A76" s="71">
        <f>IFERROR(IF(IFERROR(MATCH(72,'كشف الحساب'!$N$4:$N$203,0),0)=0,"",INDEX('كشف الحساب'!$A$4:$A$203,IFERROR(MATCH(72,'كشف الحساب'!$N$4:$N$203,0),0))),"")</f>
        <v/>
      </c>
      <c r="B76" s="72">
        <f>IFERROR(IF(IFERROR(MATCH(72,'كشف الحساب'!$N$4:$N$203,0),0)=0,"",INDEX('كشف الحساب'!$B$4:$B$203,IFERROR(MATCH(72,'كشف الحساب'!$N$4:$N$203,0),0))),"")</f>
        <v/>
      </c>
      <c r="C76" s="73">
        <f>IFERROR(IF(IFERROR(MATCH(72,'كشف الحساب'!$N$4:$N$203,0),0)=0,"",INDEX('كشف الحساب'!$C$4:$C$203,IFERROR(MATCH(72,'كشف الحساب'!$N$4:$N$203,0),0))),"")</f>
        <v/>
      </c>
      <c r="D76" s="74">
        <f>IFERROR(IF(IFERROR(MATCH(72,'كشف الحساب'!$N$4:$N$203,0),0)=0,"",INDEX('كشف الحساب'!$D$4:$D$203,IFERROR(MATCH(72,'كشف الحساب'!$N$4:$N$203,0),0))),"")</f>
        <v/>
      </c>
      <c r="E76" s="75">
        <f>IFERROR(IF(IFERROR(MATCH(72,'كشف الحساب'!$N$4:$N$203,0),0)=0,"",INDEX('كشف الحساب'!$E$4:$E$203,IFERROR(MATCH(72,'كشف الحساب'!$N$4:$N$203,0),0))),"")</f>
        <v/>
      </c>
      <c r="F76" s="72">
        <f>IFERROR(IF(IFERROR(MATCH(72,'كشف الحساب'!$N$4:$N$203,0),0)=0,"",INDEX('كشف الحساب'!$F$4:$F$203,IFERROR(MATCH(72,'كشف الحساب'!$N$4:$N$203,0),0))),"")</f>
        <v/>
      </c>
      <c r="G76" s="72">
        <f>IFERROR(IF(IFERROR(MATCH(72,'كشف الحساب'!$N$4:$N$203,0),0)=0,"",INDEX('كشف الحساب'!$G$4:$G$203,IFERROR(MATCH(72,'كشف الحساب'!$N$4:$N$203,0),0))),"")</f>
        <v/>
      </c>
      <c r="H76" s="72">
        <f>IFERROR(IF(IFERROR(MATCH(72,'كشف الحساب'!$N$4:$N$203,0),0)=0,"",INDEX('كشف الحساب'!$H$4:$H$203,IFERROR(MATCH(72,'كشف الحساب'!$N$4:$N$203,0),0))),"")</f>
        <v/>
      </c>
      <c r="I76" s="72">
        <f>IFERROR(IF(IFERROR(MATCH(72,'كشف الحساب'!$N$4:$N$203,0),0)=0,"",INDEX('كشف الحساب'!$I$4:$I$203,IFERROR(MATCH(72,'كشف الحساب'!$N$4:$N$203,0),0))),"")</f>
        <v/>
      </c>
      <c r="J76" s="76">
        <f>IFERROR(IF(IFERROR(MATCH(72,'كشف الحساب'!$N$4:$N$203,0),0)=0,"",INDEX('كشف الحساب'!$J$4:$J$203,IFERROR(MATCH(72,'كشف الحساب'!$N$4:$N$203,0),0))),"")</f>
        <v/>
      </c>
      <c r="K76" s="72">
        <f>IFERROR(IF(IFERROR(MATCH(72,'كشف الحساب'!$N$4:$N$203,0),0)=0,"",INDEX('كشف الحساب'!$K$4:$K$203,IFERROR(MATCH(72,'كشف الحساب'!$N$4:$N$203,0),0))),"")</f>
        <v/>
      </c>
    </row>
    <row r="77" ht="15" customHeight="1" s="165">
      <c r="A77" s="65">
        <f>IFERROR(IF(IFERROR(MATCH(73,'كشف الحساب'!$N$4:$N$203,0),0)=0,"",INDEX('كشف الحساب'!$A$4:$A$203,IFERROR(MATCH(73,'كشف الحساب'!$N$4:$N$203,0),0))),"")</f>
        <v/>
      </c>
      <c r="B77" s="66">
        <f>IFERROR(IF(IFERROR(MATCH(73,'كشف الحساب'!$N$4:$N$203,0),0)=0,"",INDEX('كشف الحساب'!$B$4:$B$203,IFERROR(MATCH(73,'كشف الحساب'!$N$4:$N$203,0),0))),"")</f>
        <v/>
      </c>
      <c r="C77" s="67">
        <f>IFERROR(IF(IFERROR(MATCH(73,'كشف الحساب'!$N$4:$N$203,0),0)=0,"",INDEX('كشف الحساب'!$C$4:$C$203,IFERROR(MATCH(73,'كشف الحساب'!$N$4:$N$203,0),0))),"")</f>
        <v/>
      </c>
      <c r="D77" s="68">
        <f>IFERROR(IF(IFERROR(MATCH(73,'كشف الحساب'!$N$4:$N$203,0),0)=0,"",INDEX('كشف الحساب'!$D$4:$D$203,IFERROR(MATCH(73,'كشف الحساب'!$N$4:$N$203,0),0))),"")</f>
        <v/>
      </c>
      <c r="E77" s="69">
        <f>IFERROR(IF(IFERROR(MATCH(73,'كشف الحساب'!$N$4:$N$203,0),0)=0,"",INDEX('كشف الحساب'!$E$4:$E$203,IFERROR(MATCH(73,'كشف الحساب'!$N$4:$N$203,0),0))),"")</f>
        <v/>
      </c>
      <c r="F77" s="66">
        <f>IFERROR(IF(IFERROR(MATCH(73,'كشف الحساب'!$N$4:$N$203,0),0)=0,"",INDEX('كشف الحساب'!$F$4:$F$203,IFERROR(MATCH(73,'كشف الحساب'!$N$4:$N$203,0),0))),"")</f>
        <v/>
      </c>
      <c r="G77" s="66">
        <f>IFERROR(IF(IFERROR(MATCH(73,'كشف الحساب'!$N$4:$N$203,0),0)=0,"",INDEX('كشف الحساب'!$G$4:$G$203,IFERROR(MATCH(73,'كشف الحساب'!$N$4:$N$203,0),0))),"")</f>
        <v/>
      </c>
      <c r="H77" s="66">
        <f>IFERROR(IF(IFERROR(MATCH(73,'كشف الحساب'!$N$4:$N$203,0),0)=0,"",INDEX('كشف الحساب'!$H$4:$H$203,IFERROR(MATCH(73,'كشف الحساب'!$N$4:$N$203,0),0))),"")</f>
        <v/>
      </c>
      <c r="I77" s="66">
        <f>IFERROR(IF(IFERROR(MATCH(73,'كشف الحساب'!$N$4:$N$203,0),0)=0,"",INDEX('كشف الحساب'!$I$4:$I$203,IFERROR(MATCH(73,'كشف الحساب'!$N$4:$N$203,0),0))),"")</f>
        <v/>
      </c>
      <c r="J77" s="70">
        <f>IFERROR(IF(IFERROR(MATCH(73,'كشف الحساب'!$N$4:$N$203,0),0)=0,"",INDEX('كشف الحساب'!$J$4:$J$203,IFERROR(MATCH(73,'كشف الحساب'!$N$4:$N$203,0),0))),"")</f>
        <v/>
      </c>
      <c r="K77" s="66">
        <f>IFERROR(IF(IFERROR(MATCH(73,'كشف الحساب'!$N$4:$N$203,0),0)=0,"",INDEX('كشف الحساب'!$K$4:$K$203,IFERROR(MATCH(73,'كشف الحساب'!$N$4:$N$203,0),0))),"")</f>
        <v/>
      </c>
    </row>
    <row r="78" ht="15" customHeight="1" s="165">
      <c r="A78" s="71">
        <f>IFERROR(IF(IFERROR(MATCH(74,'كشف الحساب'!$N$4:$N$203,0),0)=0,"",INDEX('كشف الحساب'!$A$4:$A$203,IFERROR(MATCH(74,'كشف الحساب'!$N$4:$N$203,0),0))),"")</f>
        <v/>
      </c>
      <c r="B78" s="72">
        <f>IFERROR(IF(IFERROR(MATCH(74,'كشف الحساب'!$N$4:$N$203,0),0)=0,"",INDEX('كشف الحساب'!$B$4:$B$203,IFERROR(MATCH(74,'كشف الحساب'!$N$4:$N$203,0),0))),"")</f>
        <v/>
      </c>
      <c r="C78" s="73">
        <f>IFERROR(IF(IFERROR(MATCH(74,'كشف الحساب'!$N$4:$N$203,0),0)=0,"",INDEX('كشف الحساب'!$C$4:$C$203,IFERROR(MATCH(74,'كشف الحساب'!$N$4:$N$203,0),0))),"")</f>
        <v/>
      </c>
      <c r="D78" s="74">
        <f>IFERROR(IF(IFERROR(MATCH(74,'كشف الحساب'!$N$4:$N$203,0),0)=0,"",INDEX('كشف الحساب'!$D$4:$D$203,IFERROR(MATCH(74,'كشف الحساب'!$N$4:$N$203,0),0))),"")</f>
        <v/>
      </c>
      <c r="E78" s="75">
        <f>IFERROR(IF(IFERROR(MATCH(74,'كشف الحساب'!$N$4:$N$203,0),0)=0,"",INDEX('كشف الحساب'!$E$4:$E$203,IFERROR(MATCH(74,'كشف الحساب'!$N$4:$N$203,0),0))),"")</f>
        <v/>
      </c>
      <c r="F78" s="72">
        <f>IFERROR(IF(IFERROR(MATCH(74,'كشف الحساب'!$N$4:$N$203,0),0)=0,"",INDEX('كشف الحساب'!$F$4:$F$203,IFERROR(MATCH(74,'كشف الحساب'!$N$4:$N$203,0),0))),"")</f>
        <v/>
      </c>
      <c r="G78" s="72">
        <f>IFERROR(IF(IFERROR(MATCH(74,'كشف الحساب'!$N$4:$N$203,0),0)=0,"",INDEX('كشف الحساب'!$G$4:$G$203,IFERROR(MATCH(74,'كشف الحساب'!$N$4:$N$203,0),0))),"")</f>
        <v/>
      </c>
      <c r="H78" s="72">
        <f>IFERROR(IF(IFERROR(MATCH(74,'كشف الحساب'!$N$4:$N$203,0),0)=0,"",INDEX('كشف الحساب'!$H$4:$H$203,IFERROR(MATCH(74,'كشف الحساب'!$N$4:$N$203,0),0))),"")</f>
        <v/>
      </c>
      <c r="I78" s="72">
        <f>IFERROR(IF(IFERROR(MATCH(74,'كشف الحساب'!$N$4:$N$203,0),0)=0,"",INDEX('كشف الحساب'!$I$4:$I$203,IFERROR(MATCH(74,'كشف الحساب'!$N$4:$N$203,0),0))),"")</f>
        <v/>
      </c>
      <c r="J78" s="76">
        <f>IFERROR(IF(IFERROR(MATCH(74,'كشف الحساب'!$N$4:$N$203,0),0)=0,"",INDEX('كشف الحساب'!$J$4:$J$203,IFERROR(MATCH(74,'كشف الحساب'!$N$4:$N$203,0),0))),"")</f>
        <v/>
      </c>
      <c r="K78" s="72">
        <f>IFERROR(IF(IFERROR(MATCH(74,'كشف الحساب'!$N$4:$N$203,0),0)=0,"",INDEX('كشف الحساب'!$K$4:$K$203,IFERROR(MATCH(74,'كشف الحساب'!$N$4:$N$203,0),0))),"")</f>
        <v/>
      </c>
    </row>
    <row r="79" ht="15" customHeight="1" s="165">
      <c r="A79" s="65">
        <f>IFERROR(IF(IFERROR(MATCH(75,'كشف الحساب'!$N$4:$N$203,0),0)=0,"",INDEX('كشف الحساب'!$A$4:$A$203,IFERROR(MATCH(75,'كشف الحساب'!$N$4:$N$203,0),0))),"")</f>
        <v/>
      </c>
      <c r="B79" s="66">
        <f>IFERROR(IF(IFERROR(MATCH(75,'كشف الحساب'!$N$4:$N$203,0),0)=0,"",INDEX('كشف الحساب'!$B$4:$B$203,IFERROR(MATCH(75,'كشف الحساب'!$N$4:$N$203,0),0))),"")</f>
        <v/>
      </c>
      <c r="C79" s="67">
        <f>IFERROR(IF(IFERROR(MATCH(75,'كشف الحساب'!$N$4:$N$203,0),0)=0,"",INDEX('كشف الحساب'!$C$4:$C$203,IFERROR(MATCH(75,'كشف الحساب'!$N$4:$N$203,0),0))),"")</f>
        <v/>
      </c>
      <c r="D79" s="68">
        <f>IFERROR(IF(IFERROR(MATCH(75,'كشف الحساب'!$N$4:$N$203,0),0)=0,"",INDEX('كشف الحساب'!$D$4:$D$203,IFERROR(MATCH(75,'كشف الحساب'!$N$4:$N$203,0),0))),"")</f>
        <v/>
      </c>
      <c r="E79" s="69">
        <f>IFERROR(IF(IFERROR(MATCH(75,'كشف الحساب'!$N$4:$N$203,0),0)=0,"",INDEX('كشف الحساب'!$E$4:$E$203,IFERROR(MATCH(75,'كشف الحساب'!$N$4:$N$203,0),0))),"")</f>
        <v/>
      </c>
      <c r="F79" s="66">
        <f>IFERROR(IF(IFERROR(MATCH(75,'كشف الحساب'!$N$4:$N$203,0),0)=0,"",INDEX('كشف الحساب'!$F$4:$F$203,IFERROR(MATCH(75,'كشف الحساب'!$N$4:$N$203,0),0))),"")</f>
        <v/>
      </c>
      <c r="G79" s="66">
        <f>IFERROR(IF(IFERROR(MATCH(75,'كشف الحساب'!$N$4:$N$203,0),0)=0,"",INDEX('كشف الحساب'!$G$4:$G$203,IFERROR(MATCH(75,'كشف الحساب'!$N$4:$N$203,0),0))),"")</f>
        <v/>
      </c>
      <c r="H79" s="66">
        <f>IFERROR(IF(IFERROR(MATCH(75,'كشف الحساب'!$N$4:$N$203,0),0)=0,"",INDEX('كشف الحساب'!$H$4:$H$203,IFERROR(MATCH(75,'كشف الحساب'!$N$4:$N$203,0),0))),"")</f>
        <v/>
      </c>
      <c r="I79" s="66">
        <f>IFERROR(IF(IFERROR(MATCH(75,'كشف الحساب'!$N$4:$N$203,0),0)=0,"",INDEX('كشف الحساب'!$I$4:$I$203,IFERROR(MATCH(75,'كشف الحساب'!$N$4:$N$203,0),0))),"")</f>
        <v/>
      </c>
      <c r="J79" s="70">
        <f>IFERROR(IF(IFERROR(MATCH(75,'كشف الحساب'!$N$4:$N$203,0),0)=0,"",INDEX('كشف الحساب'!$J$4:$J$203,IFERROR(MATCH(75,'كشف الحساب'!$N$4:$N$203,0),0))),"")</f>
        <v/>
      </c>
      <c r="K79" s="66">
        <f>IFERROR(IF(IFERROR(MATCH(75,'كشف الحساب'!$N$4:$N$203,0),0)=0,"",INDEX('كشف الحساب'!$K$4:$K$203,IFERROR(MATCH(75,'كشف الحساب'!$N$4:$N$203,0),0))),"")</f>
        <v/>
      </c>
    </row>
    <row r="80" ht="15" customHeight="1" s="165">
      <c r="A80" s="71">
        <f>IFERROR(IF(IFERROR(MATCH(76,'كشف الحساب'!$N$4:$N$203,0),0)=0,"",INDEX('كشف الحساب'!$A$4:$A$203,IFERROR(MATCH(76,'كشف الحساب'!$N$4:$N$203,0),0))),"")</f>
        <v/>
      </c>
      <c r="B80" s="72">
        <f>IFERROR(IF(IFERROR(MATCH(76,'كشف الحساب'!$N$4:$N$203,0),0)=0,"",INDEX('كشف الحساب'!$B$4:$B$203,IFERROR(MATCH(76,'كشف الحساب'!$N$4:$N$203,0),0))),"")</f>
        <v/>
      </c>
      <c r="C80" s="73">
        <f>IFERROR(IF(IFERROR(MATCH(76,'كشف الحساب'!$N$4:$N$203,0),0)=0,"",INDEX('كشف الحساب'!$C$4:$C$203,IFERROR(MATCH(76,'كشف الحساب'!$N$4:$N$203,0),0))),"")</f>
        <v/>
      </c>
      <c r="D80" s="74">
        <f>IFERROR(IF(IFERROR(MATCH(76,'كشف الحساب'!$N$4:$N$203,0),0)=0,"",INDEX('كشف الحساب'!$D$4:$D$203,IFERROR(MATCH(76,'كشف الحساب'!$N$4:$N$203,0),0))),"")</f>
        <v/>
      </c>
      <c r="E80" s="75">
        <f>IFERROR(IF(IFERROR(MATCH(76,'كشف الحساب'!$N$4:$N$203,0),0)=0,"",INDEX('كشف الحساب'!$E$4:$E$203,IFERROR(MATCH(76,'كشف الحساب'!$N$4:$N$203,0),0))),"")</f>
        <v/>
      </c>
      <c r="F80" s="72">
        <f>IFERROR(IF(IFERROR(MATCH(76,'كشف الحساب'!$N$4:$N$203,0),0)=0,"",INDEX('كشف الحساب'!$F$4:$F$203,IFERROR(MATCH(76,'كشف الحساب'!$N$4:$N$203,0),0))),"")</f>
        <v/>
      </c>
      <c r="G80" s="72">
        <f>IFERROR(IF(IFERROR(MATCH(76,'كشف الحساب'!$N$4:$N$203,0),0)=0,"",INDEX('كشف الحساب'!$G$4:$G$203,IFERROR(MATCH(76,'كشف الحساب'!$N$4:$N$203,0),0))),"")</f>
        <v/>
      </c>
      <c r="H80" s="72">
        <f>IFERROR(IF(IFERROR(MATCH(76,'كشف الحساب'!$N$4:$N$203,0),0)=0,"",INDEX('كشف الحساب'!$H$4:$H$203,IFERROR(MATCH(76,'كشف الحساب'!$N$4:$N$203,0),0))),"")</f>
        <v/>
      </c>
      <c r="I80" s="72">
        <f>IFERROR(IF(IFERROR(MATCH(76,'كشف الحساب'!$N$4:$N$203,0),0)=0,"",INDEX('كشف الحساب'!$I$4:$I$203,IFERROR(MATCH(76,'كشف الحساب'!$N$4:$N$203,0),0))),"")</f>
        <v/>
      </c>
      <c r="J80" s="76">
        <f>IFERROR(IF(IFERROR(MATCH(76,'كشف الحساب'!$N$4:$N$203,0),0)=0,"",INDEX('كشف الحساب'!$J$4:$J$203,IFERROR(MATCH(76,'كشف الحساب'!$N$4:$N$203,0),0))),"")</f>
        <v/>
      </c>
      <c r="K80" s="72">
        <f>IFERROR(IF(IFERROR(MATCH(76,'كشف الحساب'!$N$4:$N$203,0),0)=0,"",INDEX('كشف الحساب'!$K$4:$K$203,IFERROR(MATCH(76,'كشف الحساب'!$N$4:$N$203,0),0))),"")</f>
        <v/>
      </c>
    </row>
    <row r="81" ht="15" customHeight="1" s="165">
      <c r="A81" s="65">
        <f>IFERROR(IF(IFERROR(MATCH(77,'كشف الحساب'!$N$4:$N$203,0),0)=0,"",INDEX('كشف الحساب'!$A$4:$A$203,IFERROR(MATCH(77,'كشف الحساب'!$N$4:$N$203,0),0))),"")</f>
        <v/>
      </c>
      <c r="B81" s="66">
        <f>IFERROR(IF(IFERROR(MATCH(77,'كشف الحساب'!$N$4:$N$203,0),0)=0,"",INDEX('كشف الحساب'!$B$4:$B$203,IFERROR(MATCH(77,'كشف الحساب'!$N$4:$N$203,0),0))),"")</f>
        <v/>
      </c>
      <c r="C81" s="67">
        <f>IFERROR(IF(IFERROR(MATCH(77,'كشف الحساب'!$N$4:$N$203,0),0)=0,"",INDEX('كشف الحساب'!$C$4:$C$203,IFERROR(MATCH(77,'كشف الحساب'!$N$4:$N$203,0),0))),"")</f>
        <v/>
      </c>
      <c r="D81" s="68">
        <f>IFERROR(IF(IFERROR(MATCH(77,'كشف الحساب'!$N$4:$N$203,0),0)=0,"",INDEX('كشف الحساب'!$D$4:$D$203,IFERROR(MATCH(77,'كشف الحساب'!$N$4:$N$203,0),0))),"")</f>
        <v/>
      </c>
      <c r="E81" s="69">
        <f>IFERROR(IF(IFERROR(MATCH(77,'كشف الحساب'!$N$4:$N$203,0),0)=0,"",INDEX('كشف الحساب'!$E$4:$E$203,IFERROR(MATCH(77,'كشف الحساب'!$N$4:$N$203,0),0))),"")</f>
        <v/>
      </c>
      <c r="F81" s="66">
        <f>IFERROR(IF(IFERROR(MATCH(77,'كشف الحساب'!$N$4:$N$203,0),0)=0,"",INDEX('كشف الحساب'!$F$4:$F$203,IFERROR(MATCH(77,'كشف الحساب'!$N$4:$N$203,0),0))),"")</f>
        <v/>
      </c>
      <c r="G81" s="66">
        <f>IFERROR(IF(IFERROR(MATCH(77,'كشف الحساب'!$N$4:$N$203,0),0)=0,"",INDEX('كشف الحساب'!$G$4:$G$203,IFERROR(MATCH(77,'كشف الحساب'!$N$4:$N$203,0),0))),"")</f>
        <v/>
      </c>
      <c r="H81" s="66">
        <f>IFERROR(IF(IFERROR(MATCH(77,'كشف الحساب'!$N$4:$N$203,0),0)=0,"",INDEX('كشف الحساب'!$H$4:$H$203,IFERROR(MATCH(77,'كشف الحساب'!$N$4:$N$203,0),0))),"")</f>
        <v/>
      </c>
      <c r="I81" s="66">
        <f>IFERROR(IF(IFERROR(MATCH(77,'كشف الحساب'!$N$4:$N$203,0),0)=0,"",INDEX('كشف الحساب'!$I$4:$I$203,IFERROR(MATCH(77,'كشف الحساب'!$N$4:$N$203,0),0))),"")</f>
        <v/>
      </c>
      <c r="J81" s="70">
        <f>IFERROR(IF(IFERROR(MATCH(77,'كشف الحساب'!$N$4:$N$203,0),0)=0,"",INDEX('كشف الحساب'!$J$4:$J$203,IFERROR(MATCH(77,'كشف الحساب'!$N$4:$N$203,0),0))),"")</f>
        <v/>
      </c>
      <c r="K81" s="66">
        <f>IFERROR(IF(IFERROR(MATCH(77,'كشف الحساب'!$N$4:$N$203,0),0)=0,"",INDEX('كشف الحساب'!$K$4:$K$203,IFERROR(MATCH(77,'كشف الحساب'!$N$4:$N$203,0),0))),"")</f>
        <v/>
      </c>
    </row>
    <row r="82" ht="15" customHeight="1" s="165">
      <c r="A82" s="71">
        <f>IFERROR(IF(IFERROR(MATCH(78,'كشف الحساب'!$N$4:$N$203,0),0)=0,"",INDEX('كشف الحساب'!$A$4:$A$203,IFERROR(MATCH(78,'كشف الحساب'!$N$4:$N$203,0),0))),"")</f>
        <v/>
      </c>
      <c r="B82" s="72">
        <f>IFERROR(IF(IFERROR(MATCH(78,'كشف الحساب'!$N$4:$N$203,0),0)=0,"",INDEX('كشف الحساب'!$B$4:$B$203,IFERROR(MATCH(78,'كشف الحساب'!$N$4:$N$203,0),0))),"")</f>
        <v/>
      </c>
      <c r="C82" s="73">
        <f>IFERROR(IF(IFERROR(MATCH(78,'كشف الحساب'!$N$4:$N$203,0),0)=0,"",INDEX('كشف الحساب'!$C$4:$C$203,IFERROR(MATCH(78,'كشف الحساب'!$N$4:$N$203,0),0))),"")</f>
        <v/>
      </c>
      <c r="D82" s="74">
        <f>IFERROR(IF(IFERROR(MATCH(78,'كشف الحساب'!$N$4:$N$203,0),0)=0,"",INDEX('كشف الحساب'!$D$4:$D$203,IFERROR(MATCH(78,'كشف الحساب'!$N$4:$N$203,0),0))),"")</f>
        <v/>
      </c>
      <c r="E82" s="75">
        <f>IFERROR(IF(IFERROR(MATCH(78,'كشف الحساب'!$N$4:$N$203,0),0)=0,"",INDEX('كشف الحساب'!$E$4:$E$203,IFERROR(MATCH(78,'كشف الحساب'!$N$4:$N$203,0),0))),"")</f>
        <v/>
      </c>
      <c r="F82" s="72">
        <f>IFERROR(IF(IFERROR(MATCH(78,'كشف الحساب'!$N$4:$N$203,0),0)=0,"",INDEX('كشف الحساب'!$F$4:$F$203,IFERROR(MATCH(78,'كشف الحساب'!$N$4:$N$203,0),0))),"")</f>
        <v/>
      </c>
      <c r="G82" s="72">
        <f>IFERROR(IF(IFERROR(MATCH(78,'كشف الحساب'!$N$4:$N$203,0),0)=0,"",INDEX('كشف الحساب'!$G$4:$G$203,IFERROR(MATCH(78,'كشف الحساب'!$N$4:$N$203,0),0))),"")</f>
        <v/>
      </c>
      <c r="H82" s="72">
        <f>IFERROR(IF(IFERROR(MATCH(78,'كشف الحساب'!$N$4:$N$203,0),0)=0,"",INDEX('كشف الحساب'!$H$4:$H$203,IFERROR(MATCH(78,'كشف الحساب'!$N$4:$N$203,0),0))),"")</f>
        <v/>
      </c>
      <c r="I82" s="72">
        <f>IFERROR(IF(IFERROR(MATCH(78,'كشف الحساب'!$N$4:$N$203,0),0)=0,"",INDEX('كشف الحساب'!$I$4:$I$203,IFERROR(MATCH(78,'كشف الحساب'!$N$4:$N$203,0),0))),"")</f>
        <v/>
      </c>
      <c r="J82" s="76">
        <f>IFERROR(IF(IFERROR(MATCH(78,'كشف الحساب'!$N$4:$N$203,0),0)=0,"",INDEX('كشف الحساب'!$J$4:$J$203,IFERROR(MATCH(78,'كشف الحساب'!$N$4:$N$203,0),0))),"")</f>
        <v/>
      </c>
      <c r="K82" s="72">
        <f>IFERROR(IF(IFERROR(MATCH(78,'كشف الحساب'!$N$4:$N$203,0),0)=0,"",INDEX('كشف الحساب'!$K$4:$K$203,IFERROR(MATCH(78,'كشف الحساب'!$N$4:$N$203,0),0))),"")</f>
        <v/>
      </c>
    </row>
    <row r="83" ht="15" customHeight="1" s="165">
      <c r="A83" s="65">
        <f>IFERROR(IF(IFERROR(MATCH(79,'كشف الحساب'!$N$4:$N$203,0),0)=0,"",INDEX('كشف الحساب'!$A$4:$A$203,IFERROR(MATCH(79,'كشف الحساب'!$N$4:$N$203,0),0))),"")</f>
        <v/>
      </c>
      <c r="B83" s="66">
        <f>IFERROR(IF(IFERROR(MATCH(79,'كشف الحساب'!$N$4:$N$203,0),0)=0,"",INDEX('كشف الحساب'!$B$4:$B$203,IFERROR(MATCH(79,'كشف الحساب'!$N$4:$N$203,0),0))),"")</f>
        <v/>
      </c>
      <c r="C83" s="67">
        <f>IFERROR(IF(IFERROR(MATCH(79,'كشف الحساب'!$N$4:$N$203,0),0)=0,"",INDEX('كشف الحساب'!$C$4:$C$203,IFERROR(MATCH(79,'كشف الحساب'!$N$4:$N$203,0),0))),"")</f>
        <v/>
      </c>
      <c r="D83" s="68">
        <f>IFERROR(IF(IFERROR(MATCH(79,'كشف الحساب'!$N$4:$N$203,0),0)=0,"",INDEX('كشف الحساب'!$D$4:$D$203,IFERROR(MATCH(79,'كشف الحساب'!$N$4:$N$203,0),0))),"")</f>
        <v/>
      </c>
      <c r="E83" s="69">
        <f>IFERROR(IF(IFERROR(MATCH(79,'كشف الحساب'!$N$4:$N$203,0),0)=0,"",INDEX('كشف الحساب'!$E$4:$E$203,IFERROR(MATCH(79,'كشف الحساب'!$N$4:$N$203,0),0))),"")</f>
        <v/>
      </c>
      <c r="F83" s="66">
        <f>IFERROR(IF(IFERROR(MATCH(79,'كشف الحساب'!$N$4:$N$203,0),0)=0,"",INDEX('كشف الحساب'!$F$4:$F$203,IFERROR(MATCH(79,'كشف الحساب'!$N$4:$N$203,0),0))),"")</f>
        <v/>
      </c>
      <c r="G83" s="66">
        <f>IFERROR(IF(IFERROR(MATCH(79,'كشف الحساب'!$N$4:$N$203,0),0)=0,"",INDEX('كشف الحساب'!$G$4:$G$203,IFERROR(MATCH(79,'كشف الحساب'!$N$4:$N$203,0),0))),"")</f>
        <v/>
      </c>
      <c r="H83" s="66">
        <f>IFERROR(IF(IFERROR(MATCH(79,'كشف الحساب'!$N$4:$N$203,0),0)=0,"",INDEX('كشف الحساب'!$H$4:$H$203,IFERROR(MATCH(79,'كشف الحساب'!$N$4:$N$203,0),0))),"")</f>
        <v/>
      </c>
      <c r="I83" s="66">
        <f>IFERROR(IF(IFERROR(MATCH(79,'كشف الحساب'!$N$4:$N$203,0),0)=0,"",INDEX('كشف الحساب'!$I$4:$I$203,IFERROR(MATCH(79,'كشف الحساب'!$N$4:$N$203,0),0))),"")</f>
        <v/>
      </c>
      <c r="J83" s="70">
        <f>IFERROR(IF(IFERROR(MATCH(79,'كشف الحساب'!$N$4:$N$203,0),0)=0,"",INDEX('كشف الحساب'!$J$4:$J$203,IFERROR(MATCH(79,'كشف الحساب'!$N$4:$N$203,0),0))),"")</f>
        <v/>
      </c>
      <c r="K83" s="66">
        <f>IFERROR(IF(IFERROR(MATCH(79,'كشف الحساب'!$N$4:$N$203,0),0)=0,"",INDEX('كشف الحساب'!$K$4:$K$203,IFERROR(MATCH(79,'كشف الحساب'!$N$4:$N$203,0),0))),"")</f>
        <v/>
      </c>
    </row>
    <row r="84" ht="15" customHeight="1" s="165">
      <c r="A84" s="71">
        <f>IFERROR(IF(IFERROR(MATCH(80,'كشف الحساب'!$N$4:$N$203,0),0)=0,"",INDEX('كشف الحساب'!$A$4:$A$203,IFERROR(MATCH(80,'كشف الحساب'!$N$4:$N$203,0),0))),"")</f>
        <v/>
      </c>
      <c r="B84" s="72">
        <f>IFERROR(IF(IFERROR(MATCH(80,'كشف الحساب'!$N$4:$N$203,0),0)=0,"",INDEX('كشف الحساب'!$B$4:$B$203,IFERROR(MATCH(80,'كشف الحساب'!$N$4:$N$203,0),0))),"")</f>
        <v/>
      </c>
      <c r="C84" s="73">
        <f>IFERROR(IF(IFERROR(MATCH(80,'كشف الحساب'!$N$4:$N$203,0),0)=0,"",INDEX('كشف الحساب'!$C$4:$C$203,IFERROR(MATCH(80,'كشف الحساب'!$N$4:$N$203,0),0))),"")</f>
        <v/>
      </c>
      <c r="D84" s="74">
        <f>IFERROR(IF(IFERROR(MATCH(80,'كشف الحساب'!$N$4:$N$203,0),0)=0,"",INDEX('كشف الحساب'!$D$4:$D$203,IFERROR(MATCH(80,'كشف الحساب'!$N$4:$N$203,0),0))),"")</f>
        <v/>
      </c>
      <c r="E84" s="75">
        <f>IFERROR(IF(IFERROR(MATCH(80,'كشف الحساب'!$N$4:$N$203,0),0)=0,"",INDEX('كشف الحساب'!$E$4:$E$203,IFERROR(MATCH(80,'كشف الحساب'!$N$4:$N$203,0),0))),"")</f>
        <v/>
      </c>
      <c r="F84" s="72">
        <f>IFERROR(IF(IFERROR(MATCH(80,'كشف الحساب'!$N$4:$N$203,0),0)=0,"",INDEX('كشف الحساب'!$F$4:$F$203,IFERROR(MATCH(80,'كشف الحساب'!$N$4:$N$203,0),0))),"")</f>
        <v/>
      </c>
      <c r="G84" s="72">
        <f>IFERROR(IF(IFERROR(MATCH(80,'كشف الحساب'!$N$4:$N$203,0),0)=0,"",INDEX('كشف الحساب'!$G$4:$G$203,IFERROR(MATCH(80,'كشف الحساب'!$N$4:$N$203,0),0))),"")</f>
        <v/>
      </c>
      <c r="H84" s="72">
        <f>IFERROR(IF(IFERROR(MATCH(80,'كشف الحساب'!$N$4:$N$203,0),0)=0,"",INDEX('كشف الحساب'!$H$4:$H$203,IFERROR(MATCH(80,'كشف الحساب'!$N$4:$N$203,0),0))),"")</f>
        <v/>
      </c>
      <c r="I84" s="72">
        <f>IFERROR(IF(IFERROR(MATCH(80,'كشف الحساب'!$N$4:$N$203,0),0)=0,"",INDEX('كشف الحساب'!$I$4:$I$203,IFERROR(MATCH(80,'كشف الحساب'!$N$4:$N$203,0),0))),"")</f>
        <v/>
      </c>
      <c r="J84" s="76">
        <f>IFERROR(IF(IFERROR(MATCH(80,'كشف الحساب'!$N$4:$N$203,0),0)=0,"",INDEX('كشف الحساب'!$J$4:$J$203,IFERROR(MATCH(80,'كشف الحساب'!$N$4:$N$203,0),0))),"")</f>
        <v/>
      </c>
      <c r="K84" s="72">
        <f>IFERROR(IF(IFERROR(MATCH(80,'كشف الحساب'!$N$4:$N$203,0),0)=0,"",INDEX('كشف الحساب'!$K$4:$K$203,IFERROR(MATCH(80,'كشف الحساب'!$N$4:$N$203,0),0))),"")</f>
        <v/>
      </c>
    </row>
    <row r="85" ht="15" customHeight="1" s="165">
      <c r="A85" s="65">
        <f>IFERROR(IF(IFERROR(MATCH(81,'كشف الحساب'!$N$4:$N$203,0),0)=0,"",INDEX('كشف الحساب'!$A$4:$A$203,IFERROR(MATCH(81,'كشف الحساب'!$N$4:$N$203,0),0))),"")</f>
        <v/>
      </c>
      <c r="B85" s="66">
        <f>IFERROR(IF(IFERROR(MATCH(81,'كشف الحساب'!$N$4:$N$203,0),0)=0,"",INDEX('كشف الحساب'!$B$4:$B$203,IFERROR(MATCH(81,'كشف الحساب'!$N$4:$N$203,0),0))),"")</f>
        <v/>
      </c>
      <c r="C85" s="67">
        <f>IFERROR(IF(IFERROR(MATCH(81,'كشف الحساب'!$N$4:$N$203,0),0)=0,"",INDEX('كشف الحساب'!$C$4:$C$203,IFERROR(MATCH(81,'كشف الحساب'!$N$4:$N$203,0),0))),"")</f>
        <v/>
      </c>
      <c r="D85" s="68">
        <f>IFERROR(IF(IFERROR(MATCH(81,'كشف الحساب'!$N$4:$N$203,0),0)=0,"",INDEX('كشف الحساب'!$D$4:$D$203,IFERROR(MATCH(81,'كشف الحساب'!$N$4:$N$203,0),0))),"")</f>
        <v/>
      </c>
      <c r="E85" s="69">
        <f>IFERROR(IF(IFERROR(MATCH(81,'كشف الحساب'!$N$4:$N$203,0),0)=0,"",INDEX('كشف الحساب'!$E$4:$E$203,IFERROR(MATCH(81,'كشف الحساب'!$N$4:$N$203,0),0))),"")</f>
        <v/>
      </c>
      <c r="F85" s="66">
        <f>IFERROR(IF(IFERROR(MATCH(81,'كشف الحساب'!$N$4:$N$203,0),0)=0,"",INDEX('كشف الحساب'!$F$4:$F$203,IFERROR(MATCH(81,'كشف الحساب'!$N$4:$N$203,0),0))),"")</f>
        <v/>
      </c>
      <c r="G85" s="66">
        <f>IFERROR(IF(IFERROR(MATCH(81,'كشف الحساب'!$N$4:$N$203,0),0)=0,"",INDEX('كشف الحساب'!$G$4:$G$203,IFERROR(MATCH(81,'كشف الحساب'!$N$4:$N$203,0),0))),"")</f>
        <v/>
      </c>
      <c r="H85" s="66">
        <f>IFERROR(IF(IFERROR(MATCH(81,'كشف الحساب'!$N$4:$N$203,0),0)=0,"",INDEX('كشف الحساب'!$H$4:$H$203,IFERROR(MATCH(81,'كشف الحساب'!$N$4:$N$203,0),0))),"")</f>
        <v/>
      </c>
      <c r="I85" s="66">
        <f>IFERROR(IF(IFERROR(MATCH(81,'كشف الحساب'!$N$4:$N$203,0),0)=0,"",INDEX('كشف الحساب'!$I$4:$I$203,IFERROR(MATCH(81,'كشف الحساب'!$N$4:$N$203,0),0))),"")</f>
        <v/>
      </c>
      <c r="J85" s="70">
        <f>IFERROR(IF(IFERROR(MATCH(81,'كشف الحساب'!$N$4:$N$203,0),0)=0,"",INDEX('كشف الحساب'!$J$4:$J$203,IFERROR(MATCH(81,'كشف الحساب'!$N$4:$N$203,0),0))),"")</f>
        <v/>
      </c>
      <c r="K85" s="66">
        <f>IFERROR(IF(IFERROR(MATCH(81,'كشف الحساب'!$N$4:$N$203,0),0)=0,"",INDEX('كشف الحساب'!$K$4:$K$203,IFERROR(MATCH(81,'كشف الحساب'!$N$4:$N$203,0),0))),"")</f>
        <v/>
      </c>
    </row>
    <row r="86" ht="15" customHeight="1" s="165">
      <c r="A86" s="71">
        <f>IFERROR(IF(IFERROR(MATCH(82,'كشف الحساب'!$N$4:$N$203,0),0)=0,"",INDEX('كشف الحساب'!$A$4:$A$203,IFERROR(MATCH(82,'كشف الحساب'!$N$4:$N$203,0),0))),"")</f>
        <v/>
      </c>
      <c r="B86" s="72">
        <f>IFERROR(IF(IFERROR(MATCH(82,'كشف الحساب'!$N$4:$N$203,0),0)=0,"",INDEX('كشف الحساب'!$B$4:$B$203,IFERROR(MATCH(82,'كشف الحساب'!$N$4:$N$203,0),0))),"")</f>
        <v/>
      </c>
      <c r="C86" s="73">
        <f>IFERROR(IF(IFERROR(MATCH(82,'كشف الحساب'!$N$4:$N$203,0),0)=0,"",INDEX('كشف الحساب'!$C$4:$C$203,IFERROR(MATCH(82,'كشف الحساب'!$N$4:$N$203,0),0))),"")</f>
        <v/>
      </c>
      <c r="D86" s="74">
        <f>IFERROR(IF(IFERROR(MATCH(82,'كشف الحساب'!$N$4:$N$203,0),0)=0,"",INDEX('كشف الحساب'!$D$4:$D$203,IFERROR(MATCH(82,'كشف الحساب'!$N$4:$N$203,0),0))),"")</f>
        <v/>
      </c>
      <c r="E86" s="75">
        <f>IFERROR(IF(IFERROR(MATCH(82,'كشف الحساب'!$N$4:$N$203,0),0)=0,"",INDEX('كشف الحساب'!$E$4:$E$203,IFERROR(MATCH(82,'كشف الحساب'!$N$4:$N$203,0),0))),"")</f>
        <v/>
      </c>
      <c r="F86" s="72">
        <f>IFERROR(IF(IFERROR(MATCH(82,'كشف الحساب'!$N$4:$N$203,0),0)=0,"",INDEX('كشف الحساب'!$F$4:$F$203,IFERROR(MATCH(82,'كشف الحساب'!$N$4:$N$203,0),0))),"")</f>
        <v/>
      </c>
      <c r="G86" s="72">
        <f>IFERROR(IF(IFERROR(MATCH(82,'كشف الحساب'!$N$4:$N$203,0),0)=0,"",INDEX('كشف الحساب'!$G$4:$G$203,IFERROR(MATCH(82,'كشف الحساب'!$N$4:$N$203,0),0))),"")</f>
        <v/>
      </c>
      <c r="H86" s="72">
        <f>IFERROR(IF(IFERROR(MATCH(82,'كشف الحساب'!$N$4:$N$203,0),0)=0,"",INDEX('كشف الحساب'!$H$4:$H$203,IFERROR(MATCH(82,'كشف الحساب'!$N$4:$N$203,0),0))),"")</f>
        <v/>
      </c>
      <c r="I86" s="72">
        <f>IFERROR(IF(IFERROR(MATCH(82,'كشف الحساب'!$N$4:$N$203,0),0)=0,"",INDEX('كشف الحساب'!$I$4:$I$203,IFERROR(MATCH(82,'كشف الحساب'!$N$4:$N$203,0),0))),"")</f>
        <v/>
      </c>
      <c r="J86" s="76">
        <f>IFERROR(IF(IFERROR(MATCH(82,'كشف الحساب'!$N$4:$N$203,0),0)=0,"",INDEX('كشف الحساب'!$J$4:$J$203,IFERROR(MATCH(82,'كشف الحساب'!$N$4:$N$203,0),0))),"")</f>
        <v/>
      </c>
      <c r="K86" s="72">
        <f>IFERROR(IF(IFERROR(MATCH(82,'كشف الحساب'!$N$4:$N$203,0),0)=0,"",INDEX('كشف الحساب'!$K$4:$K$203,IFERROR(MATCH(82,'كشف الحساب'!$N$4:$N$203,0),0))),"")</f>
        <v/>
      </c>
    </row>
    <row r="87" ht="15" customHeight="1" s="165">
      <c r="A87" s="65">
        <f>IFERROR(IF(IFERROR(MATCH(83,'كشف الحساب'!$N$4:$N$203,0),0)=0,"",INDEX('كشف الحساب'!$A$4:$A$203,IFERROR(MATCH(83,'كشف الحساب'!$N$4:$N$203,0),0))),"")</f>
        <v/>
      </c>
      <c r="B87" s="66">
        <f>IFERROR(IF(IFERROR(MATCH(83,'كشف الحساب'!$N$4:$N$203,0),0)=0,"",INDEX('كشف الحساب'!$B$4:$B$203,IFERROR(MATCH(83,'كشف الحساب'!$N$4:$N$203,0),0))),"")</f>
        <v/>
      </c>
      <c r="C87" s="67">
        <f>IFERROR(IF(IFERROR(MATCH(83,'كشف الحساب'!$N$4:$N$203,0),0)=0,"",INDEX('كشف الحساب'!$C$4:$C$203,IFERROR(MATCH(83,'كشف الحساب'!$N$4:$N$203,0),0))),"")</f>
        <v/>
      </c>
      <c r="D87" s="68">
        <f>IFERROR(IF(IFERROR(MATCH(83,'كشف الحساب'!$N$4:$N$203,0),0)=0,"",INDEX('كشف الحساب'!$D$4:$D$203,IFERROR(MATCH(83,'كشف الحساب'!$N$4:$N$203,0),0))),"")</f>
        <v/>
      </c>
      <c r="E87" s="69">
        <f>IFERROR(IF(IFERROR(MATCH(83,'كشف الحساب'!$N$4:$N$203,0),0)=0,"",INDEX('كشف الحساب'!$E$4:$E$203,IFERROR(MATCH(83,'كشف الحساب'!$N$4:$N$203,0),0))),"")</f>
        <v/>
      </c>
      <c r="F87" s="66">
        <f>IFERROR(IF(IFERROR(MATCH(83,'كشف الحساب'!$N$4:$N$203,0),0)=0,"",INDEX('كشف الحساب'!$F$4:$F$203,IFERROR(MATCH(83,'كشف الحساب'!$N$4:$N$203,0),0))),"")</f>
        <v/>
      </c>
      <c r="G87" s="66">
        <f>IFERROR(IF(IFERROR(MATCH(83,'كشف الحساب'!$N$4:$N$203,0),0)=0,"",INDEX('كشف الحساب'!$G$4:$G$203,IFERROR(MATCH(83,'كشف الحساب'!$N$4:$N$203,0),0))),"")</f>
        <v/>
      </c>
      <c r="H87" s="66">
        <f>IFERROR(IF(IFERROR(MATCH(83,'كشف الحساب'!$N$4:$N$203,0),0)=0,"",INDEX('كشف الحساب'!$H$4:$H$203,IFERROR(MATCH(83,'كشف الحساب'!$N$4:$N$203,0),0))),"")</f>
        <v/>
      </c>
      <c r="I87" s="66">
        <f>IFERROR(IF(IFERROR(MATCH(83,'كشف الحساب'!$N$4:$N$203,0),0)=0,"",INDEX('كشف الحساب'!$I$4:$I$203,IFERROR(MATCH(83,'كشف الحساب'!$N$4:$N$203,0),0))),"")</f>
        <v/>
      </c>
      <c r="J87" s="70">
        <f>IFERROR(IF(IFERROR(MATCH(83,'كشف الحساب'!$N$4:$N$203,0),0)=0,"",INDEX('كشف الحساب'!$J$4:$J$203,IFERROR(MATCH(83,'كشف الحساب'!$N$4:$N$203,0),0))),"")</f>
        <v/>
      </c>
      <c r="K87" s="66">
        <f>IFERROR(IF(IFERROR(MATCH(83,'كشف الحساب'!$N$4:$N$203,0),0)=0,"",INDEX('كشف الحساب'!$K$4:$K$203,IFERROR(MATCH(83,'كشف الحساب'!$N$4:$N$203,0),0))),"")</f>
        <v/>
      </c>
    </row>
    <row r="88" ht="15" customHeight="1" s="165">
      <c r="A88" s="71">
        <f>IFERROR(IF(IFERROR(MATCH(84,'كشف الحساب'!$N$4:$N$203,0),0)=0,"",INDEX('كشف الحساب'!$A$4:$A$203,IFERROR(MATCH(84,'كشف الحساب'!$N$4:$N$203,0),0))),"")</f>
        <v/>
      </c>
      <c r="B88" s="72">
        <f>IFERROR(IF(IFERROR(MATCH(84,'كشف الحساب'!$N$4:$N$203,0),0)=0,"",INDEX('كشف الحساب'!$B$4:$B$203,IFERROR(MATCH(84,'كشف الحساب'!$N$4:$N$203,0),0))),"")</f>
        <v/>
      </c>
      <c r="C88" s="73">
        <f>IFERROR(IF(IFERROR(MATCH(84,'كشف الحساب'!$N$4:$N$203,0),0)=0,"",INDEX('كشف الحساب'!$C$4:$C$203,IFERROR(MATCH(84,'كشف الحساب'!$N$4:$N$203,0),0))),"")</f>
        <v/>
      </c>
      <c r="D88" s="74">
        <f>IFERROR(IF(IFERROR(MATCH(84,'كشف الحساب'!$N$4:$N$203,0),0)=0,"",INDEX('كشف الحساب'!$D$4:$D$203,IFERROR(MATCH(84,'كشف الحساب'!$N$4:$N$203,0),0))),"")</f>
        <v/>
      </c>
      <c r="E88" s="75">
        <f>IFERROR(IF(IFERROR(MATCH(84,'كشف الحساب'!$N$4:$N$203,0),0)=0,"",INDEX('كشف الحساب'!$E$4:$E$203,IFERROR(MATCH(84,'كشف الحساب'!$N$4:$N$203,0),0))),"")</f>
        <v/>
      </c>
      <c r="F88" s="72">
        <f>IFERROR(IF(IFERROR(MATCH(84,'كشف الحساب'!$N$4:$N$203,0),0)=0,"",INDEX('كشف الحساب'!$F$4:$F$203,IFERROR(MATCH(84,'كشف الحساب'!$N$4:$N$203,0),0))),"")</f>
        <v/>
      </c>
      <c r="G88" s="72">
        <f>IFERROR(IF(IFERROR(MATCH(84,'كشف الحساب'!$N$4:$N$203,0),0)=0,"",INDEX('كشف الحساب'!$G$4:$G$203,IFERROR(MATCH(84,'كشف الحساب'!$N$4:$N$203,0),0))),"")</f>
        <v/>
      </c>
      <c r="H88" s="72">
        <f>IFERROR(IF(IFERROR(MATCH(84,'كشف الحساب'!$N$4:$N$203,0),0)=0,"",INDEX('كشف الحساب'!$H$4:$H$203,IFERROR(MATCH(84,'كشف الحساب'!$N$4:$N$203,0),0))),"")</f>
        <v/>
      </c>
      <c r="I88" s="72">
        <f>IFERROR(IF(IFERROR(MATCH(84,'كشف الحساب'!$N$4:$N$203,0),0)=0,"",INDEX('كشف الحساب'!$I$4:$I$203,IFERROR(MATCH(84,'كشف الحساب'!$N$4:$N$203,0),0))),"")</f>
        <v/>
      </c>
      <c r="J88" s="76">
        <f>IFERROR(IF(IFERROR(MATCH(84,'كشف الحساب'!$N$4:$N$203,0),0)=0,"",INDEX('كشف الحساب'!$J$4:$J$203,IFERROR(MATCH(84,'كشف الحساب'!$N$4:$N$203,0),0))),"")</f>
        <v/>
      </c>
      <c r="K88" s="72">
        <f>IFERROR(IF(IFERROR(MATCH(84,'كشف الحساب'!$N$4:$N$203,0),0)=0,"",INDEX('كشف الحساب'!$K$4:$K$203,IFERROR(MATCH(84,'كشف الحساب'!$N$4:$N$203,0),0))),"")</f>
        <v/>
      </c>
    </row>
    <row r="89" ht="15" customHeight="1" s="165">
      <c r="A89" s="65">
        <f>IFERROR(IF(IFERROR(MATCH(85,'كشف الحساب'!$N$4:$N$203,0),0)=0,"",INDEX('كشف الحساب'!$A$4:$A$203,IFERROR(MATCH(85,'كشف الحساب'!$N$4:$N$203,0),0))),"")</f>
        <v/>
      </c>
      <c r="B89" s="66">
        <f>IFERROR(IF(IFERROR(MATCH(85,'كشف الحساب'!$N$4:$N$203,0),0)=0,"",INDEX('كشف الحساب'!$B$4:$B$203,IFERROR(MATCH(85,'كشف الحساب'!$N$4:$N$203,0),0))),"")</f>
        <v/>
      </c>
      <c r="C89" s="67">
        <f>IFERROR(IF(IFERROR(MATCH(85,'كشف الحساب'!$N$4:$N$203,0),0)=0,"",INDEX('كشف الحساب'!$C$4:$C$203,IFERROR(MATCH(85,'كشف الحساب'!$N$4:$N$203,0),0))),"")</f>
        <v/>
      </c>
      <c r="D89" s="68">
        <f>IFERROR(IF(IFERROR(MATCH(85,'كشف الحساب'!$N$4:$N$203,0),0)=0,"",INDEX('كشف الحساب'!$D$4:$D$203,IFERROR(MATCH(85,'كشف الحساب'!$N$4:$N$203,0),0))),"")</f>
        <v/>
      </c>
      <c r="E89" s="69">
        <f>IFERROR(IF(IFERROR(MATCH(85,'كشف الحساب'!$N$4:$N$203,0),0)=0,"",INDEX('كشف الحساب'!$E$4:$E$203,IFERROR(MATCH(85,'كشف الحساب'!$N$4:$N$203,0),0))),"")</f>
        <v/>
      </c>
      <c r="F89" s="66">
        <f>IFERROR(IF(IFERROR(MATCH(85,'كشف الحساب'!$N$4:$N$203,0),0)=0,"",INDEX('كشف الحساب'!$F$4:$F$203,IFERROR(MATCH(85,'كشف الحساب'!$N$4:$N$203,0),0))),"")</f>
        <v/>
      </c>
      <c r="G89" s="66">
        <f>IFERROR(IF(IFERROR(MATCH(85,'كشف الحساب'!$N$4:$N$203,0),0)=0,"",INDEX('كشف الحساب'!$G$4:$G$203,IFERROR(MATCH(85,'كشف الحساب'!$N$4:$N$203,0),0))),"")</f>
        <v/>
      </c>
      <c r="H89" s="66">
        <f>IFERROR(IF(IFERROR(MATCH(85,'كشف الحساب'!$N$4:$N$203,0),0)=0,"",INDEX('كشف الحساب'!$H$4:$H$203,IFERROR(MATCH(85,'كشف الحساب'!$N$4:$N$203,0),0))),"")</f>
        <v/>
      </c>
      <c r="I89" s="66">
        <f>IFERROR(IF(IFERROR(MATCH(85,'كشف الحساب'!$N$4:$N$203,0),0)=0,"",INDEX('كشف الحساب'!$I$4:$I$203,IFERROR(MATCH(85,'كشف الحساب'!$N$4:$N$203,0),0))),"")</f>
        <v/>
      </c>
      <c r="J89" s="70">
        <f>IFERROR(IF(IFERROR(MATCH(85,'كشف الحساب'!$N$4:$N$203,0),0)=0,"",INDEX('كشف الحساب'!$J$4:$J$203,IFERROR(MATCH(85,'كشف الحساب'!$N$4:$N$203,0),0))),"")</f>
        <v/>
      </c>
      <c r="K89" s="66">
        <f>IFERROR(IF(IFERROR(MATCH(85,'كشف الحساب'!$N$4:$N$203,0),0)=0,"",INDEX('كشف الحساب'!$K$4:$K$203,IFERROR(MATCH(85,'كشف الحساب'!$N$4:$N$203,0),0))),"")</f>
        <v/>
      </c>
    </row>
    <row r="90" ht="15" customHeight="1" s="165">
      <c r="A90" s="71">
        <f>IFERROR(IF(IFERROR(MATCH(86,'كشف الحساب'!$N$4:$N$203,0),0)=0,"",INDEX('كشف الحساب'!$A$4:$A$203,IFERROR(MATCH(86,'كشف الحساب'!$N$4:$N$203,0),0))),"")</f>
        <v/>
      </c>
      <c r="B90" s="72">
        <f>IFERROR(IF(IFERROR(MATCH(86,'كشف الحساب'!$N$4:$N$203,0),0)=0,"",INDEX('كشف الحساب'!$B$4:$B$203,IFERROR(MATCH(86,'كشف الحساب'!$N$4:$N$203,0),0))),"")</f>
        <v/>
      </c>
      <c r="C90" s="73">
        <f>IFERROR(IF(IFERROR(MATCH(86,'كشف الحساب'!$N$4:$N$203,0),0)=0,"",INDEX('كشف الحساب'!$C$4:$C$203,IFERROR(MATCH(86,'كشف الحساب'!$N$4:$N$203,0),0))),"")</f>
        <v/>
      </c>
      <c r="D90" s="74">
        <f>IFERROR(IF(IFERROR(MATCH(86,'كشف الحساب'!$N$4:$N$203,0),0)=0,"",INDEX('كشف الحساب'!$D$4:$D$203,IFERROR(MATCH(86,'كشف الحساب'!$N$4:$N$203,0),0))),"")</f>
        <v/>
      </c>
      <c r="E90" s="75">
        <f>IFERROR(IF(IFERROR(MATCH(86,'كشف الحساب'!$N$4:$N$203,0),0)=0,"",INDEX('كشف الحساب'!$E$4:$E$203,IFERROR(MATCH(86,'كشف الحساب'!$N$4:$N$203,0),0))),"")</f>
        <v/>
      </c>
      <c r="F90" s="72">
        <f>IFERROR(IF(IFERROR(MATCH(86,'كشف الحساب'!$N$4:$N$203,0),0)=0,"",INDEX('كشف الحساب'!$F$4:$F$203,IFERROR(MATCH(86,'كشف الحساب'!$N$4:$N$203,0),0))),"")</f>
        <v/>
      </c>
      <c r="G90" s="72">
        <f>IFERROR(IF(IFERROR(MATCH(86,'كشف الحساب'!$N$4:$N$203,0),0)=0,"",INDEX('كشف الحساب'!$G$4:$G$203,IFERROR(MATCH(86,'كشف الحساب'!$N$4:$N$203,0),0))),"")</f>
        <v/>
      </c>
      <c r="H90" s="72">
        <f>IFERROR(IF(IFERROR(MATCH(86,'كشف الحساب'!$N$4:$N$203,0),0)=0,"",INDEX('كشف الحساب'!$H$4:$H$203,IFERROR(MATCH(86,'كشف الحساب'!$N$4:$N$203,0),0))),"")</f>
        <v/>
      </c>
      <c r="I90" s="72">
        <f>IFERROR(IF(IFERROR(MATCH(86,'كشف الحساب'!$N$4:$N$203,0),0)=0,"",INDEX('كشف الحساب'!$I$4:$I$203,IFERROR(MATCH(86,'كشف الحساب'!$N$4:$N$203,0),0))),"")</f>
        <v/>
      </c>
      <c r="J90" s="76">
        <f>IFERROR(IF(IFERROR(MATCH(86,'كشف الحساب'!$N$4:$N$203,0),0)=0,"",INDEX('كشف الحساب'!$J$4:$J$203,IFERROR(MATCH(86,'كشف الحساب'!$N$4:$N$203,0),0))),"")</f>
        <v/>
      </c>
      <c r="K90" s="72">
        <f>IFERROR(IF(IFERROR(MATCH(86,'كشف الحساب'!$N$4:$N$203,0),0)=0,"",INDEX('كشف الحساب'!$K$4:$K$203,IFERROR(MATCH(86,'كشف الحساب'!$N$4:$N$203,0),0))),"")</f>
        <v/>
      </c>
    </row>
    <row r="91" ht="15" customHeight="1" s="165">
      <c r="A91" s="65">
        <f>IFERROR(IF(IFERROR(MATCH(87,'كشف الحساب'!$N$4:$N$203,0),0)=0,"",INDEX('كشف الحساب'!$A$4:$A$203,IFERROR(MATCH(87,'كشف الحساب'!$N$4:$N$203,0),0))),"")</f>
        <v/>
      </c>
      <c r="B91" s="66">
        <f>IFERROR(IF(IFERROR(MATCH(87,'كشف الحساب'!$N$4:$N$203,0),0)=0,"",INDEX('كشف الحساب'!$B$4:$B$203,IFERROR(MATCH(87,'كشف الحساب'!$N$4:$N$203,0),0))),"")</f>
        <v/>
      </c>
      <c r="C91" s="67">
        <f>IFERROR(IF(IFERROR(MATCH(87,'كشف الحساب'!$N$4:$N$203,0),0)=0,"",INDEX('كشف الحساب'!$C$4:$C$203,IFERROR(MATCH(87,'كشف الحساب'!$N$4:$N$203,0),0))),"")</f>
        <v/>
      </c>
      <c r="D91" s="68">
        <f>IFERROR(IF(IFERROR(MATCH(87,'كشف الحساب'!$N$4:$N$203,0),0)=0,"",INDEX('كشف الحساب'!$D$4:$D$203,IFERROR(MATCH(87,'كشف الحساب'!$N$4:$N$203,0),0))),"")</f>
        <v/>
      </c>
      <c r="E91" s="69">
        <f>IFERROR(IF(IFERROR(MATCH(87,'كشف الحساب'!$N$4:$N$203,0),0)=0,"",INDEX('كشف الحساب'!$E$4:$E$203,IFERROR(MATCH(87,'كشف الحساب'!$N$4:$N$203,0),0))),"")</f>
        <v/>
      </c>
      <c r="F91" s="66">
        <f>IFERROR(IF(IFERROR(MATCH(87,'كشف الحساب'!$N$4:$N$203,0),0)=0,"",INDEX('كشف الحساب'!$F$4:$F$203,IFERROR(MATCH(87,'كشف الحساب'!$N$4:$N$203,0),0))),"")</f>
        <v/>
      </c>
      <c r="G91" s="66">
        <f>IFERROR(IF(IFERROR(MATCH(87,'كشف الحساب'!$N$4:$N$203,0),0)=0,"",INDEX('كشف الحساب'!$G$4:$G$203,IFERROR(MATCH(87,'كشف الحساب'!$N$4:$N$203,0),0))),"")</f>
        <v/>
      </c>
      <c r="H91" s="66">
        <f>IFERROR(IF(IFERROR(MATCH(87,'كشف الحساب'!$N$4:$N$203,0),0)=0,"",INDEX('كشف الحساب'!$H$4:$H$203,IFERROR(MATCH(87,'كشف الحساب'!$N$4:$N$203,0),0))),"")</f>
        <v/>
      </c>
      <c r="I91" s="66">
        <f>IFERROR(IF(IFERROR(MATCH(87,'كشف الحساب'!$N$4:$N$203,0),0)=0,"",INDEX('كشف الحساب'!$I$4:$I$203,IFERROR(MATCH(87,'كشف الحساب'!$N$4:$N$203,0),0))),"")</f>
        <v/>
      </c>
      <c r="J91" s="70">
        <f>IFERROR(IF(IFERROR(MATCH(87,'كشف الحساب'!$N$4:$N$203,0),0)=0,"",INDEX('كشف الحساب'!$J$4:$J$203,IFERROR(MATCH(87,'كشف الحساب'!$N$4:$N$203,0),0))),"")</f>
        <v/>
      </c>
      <c r="K91" s="66">
        <f>IFERROR(IF(IFERROR(MATCH(87,'كشف الحساب'!$N$4:$N$203,0),0)=0,"",INDEX('كشف الحساب'!$K$4:$K$203,IFERROR(MATCH(87,'كشف الحساب'!$N$4:$N$203,0),0))),"")</f>
        <v/>
      </c>
    </row>
    <row r="92" ht="15" customHeight="1" s="165">
      <c r="A92" s="71">
        <f>IFERROR(IF(IFERROR(MATCH(88,'كشف الحساب'!$N$4:$N$203,0),0)=0,"",INDEX('كشف الحساب'!$A$4:$A$203,IFERROR(MATCH(88,'كشف الحساب'!$N$4:$N$203,0),0))),"")</f>
        <v/>
      </c>
      <c r="B92" s="72">
        <f>IFERROR(IF(IFERROR(MATCH(88,'كشف الحساب'!$N$4:$N$203,0),0)=0,"",INDEX('كشف الحساب'!$B$4:$B$203,IFERROR(MATCH(88,'كشف الحساب'!$N$4:$N$203,0),0))),"")</f>
        <v/>
      </c>
      <c r="C92" s="73">
        <f>IFERROR(IF(IFERROR(MATCH(88,'كشف الحساب'!$N$4:$N$203,0),0)=0,"",INDEX('كشف الحساب'!$C$4:$C$203,IFERROR(MATCH(88,'كشف الحساب'!$N$4:$N$203,0),0))),"")</f>
        <v/>
      </c>
      <c r="D92" s="74">
        <f>IFERROR(IF(IFERROR(MATCH(88,'كشف الحساب'!$N$4:$N$203,0),0)=0,"",INDEX('كشف الحساب'!$D$4:$D$203,IFERROR(MATCH(88,'كشف الحساب'!$N$4:$N$203,0),0))),"")</f>
        <v/>
      </c>
      <c r="E92" s="75">
        <f>IFERROR(IF(IFERROR(MATCH(88,'كشف الحساب'!$N$4:$N$203,0),0)=0,"",INDEX('كشف الحساب'!$E$4:$E$203,IFERROR(MATCH(88,'كشف الحساب'!$N$4:$N$203,0),0))),"")</f>
        <v/>
      </c>
      <c r="F92" s="72">
        <f>IFERROR(IF(IFERROR(MATCH(88,'كشف الحساب'!$N$4:$N$203,0),0)=0,"",INDEX('كشف الحساب'!$F$4:$F$203,IFERROR(MATCH(88,'كشف الحساب'!$N$4:$N$203,0),0))),"")</f>
        <v/>
      </c>
      <c r="G92" s="72">
        <f>IFERROR(IF(IFERROR(MATCH(88,'كشف الحساب'!$N$4:$N$203,0),0)=0,"",INDEX('كشف الحساب'!$G$4:$G$203,IFERROR(MATCH(88,'كشف الحساب'!$N$4:$N$203,0),0))),"")</f>
        <v/>
      </c>
      <c r="H92" s="72">
        <f>IFERROR(IF(IFERROR(MATCH(88,'كشف الحساب'!$N$4:$N$203,0),0)=0,"",INDEX('كشف الحساب'!$H$4:$H$203,IFERROR(MATCH(88,'كشف الحساب'!$N$4:$N$203,0),0))),"")</f>
        <v/>
      </c>
      <c r="I92" s="72">
        <f>IFERROR(IF(IFERROR(MATCH(88,'كشف الحساب'!$N$4:$N$203,0),0)=0,"",INDEX('كشف الحساب'!$I$4:$I$203,IFERROR(MATCH(88,'كشف الحساب'!$N$4:$N$203,0),0))),"")</f>
        <v/>
      </c>
      <c r="J92" s="76">
        <f>IFERROR(IF(IFERROR(MATCH(88,'كشف الحساب'!$N$4:$N$203,0),0)=0,"",INDEX('كشف الحساب'!$J$4:$J$203,IFERROR(MATCH(88,'كشف الحساب'!$N$4:$N$203,0),0))),"")</f>
        <v/>
      </c>
      <c r="K92" s="72">
        <f>IFERROR(IF(IFERROR(MATCH(88,'كشف الحساب'!$N$4:$N$203,0),0)=0,"",INDEX('كشف الحساب'!$K$4:$K$203,IFERROR(MATCH(88,'كشف الحساب'!$N$4:$N$203,0),0))),"")</f>
        <v/>
      </c>
    </row>
    <row r="93" ht="15" customHeight="1" s="165">
      <c r="A93" s="65">
        <f>IFERROR(IF(IFERROR(MATCH(89,'كشف الحساب'!$N$4:$N$203,0),0)=0,"",INDEX('كشف الحساب'!$A$4:$A$203,IFERROR(MATCH(89,'كشف الحساب'!$N$4:$N$203,0),0))),"")</f>
        <v/>
      </c>
      <c r="B93" s="66">
        <f>IFERROR(IF(IFERROR(MATCH(89,'كشف الحساب'!$N$4:$N$203,0),0)=0,"",INDEX('كشف الحساب'!$B$4:$B$203,IFERROR(MATCH(89,'كشف الحساب'!$N$4:$N$203,0),0))),"")</f>
        <v/>
      </c>
      <c r="C93" s="67">
        <f>IFERROR(IF(IFERROR(MATCH(89,'كشف الحساب'!$N$4:$N$203,0),0)=0,"",INDEX('كشف الحساب'!$C$4:$C$203,IFERROR(MATCH(89,'كشف الحساب'!$N$4:$N$203,0),0))),"")</f>
        <v/>
      </c>
      <c r="D93" s="68">
        <f>IFERROR(IF(IFERROR(MATCH(89,'كشف الحساب'!$N$4:$N$203,0),0)=0,"",INDEX('كشف الحساب'!$D$4:$D$203,IFERROR(MATCH(89,'كشف الحساب'!$N$4:$N$203,0),0))),"")</f>
        <v/>
      </c>
      <c r="E93" s="69">
        <f>IFERROR(IF(IFERROR(MATCH(89,'كشف الحساب'!$N$4:$N$203,0),0)=0,"",INDEX('كشف الحساب'!$E$4:$E$203,IFERROR(MATCH(89,'كشف الحساب'!$N$4:$N$203,0),0))),"")</f>
        <v/>
      </c>
      <c r="F93" s="66">
        <f>IFERROR(IF(IFERROR(MATCH(89,'كشف الحساب'!$N$4:$N$203,0),0)=0,"",INDEX('كشف الحساب'!$F$4:$F$203,IFERROR(MATCH(89,'كشف الحساب'!$N$4:$N$203,0),0))),"")</f>
        <v/>
      </c>
      <c r="G93" s="66">
        <f>IFERROR(IF(IFERROR(MATCH(89,'كشف الحساب'!$N$4:$N$203,0),0)=0,"",INDEX('كشف الحساب'!$G$4:$G$203,IFERROR(MATCH(89,'كشف الحساب'!$N$4:$N$203,0),0))),"")</f>
        <v/>
      </c>
      <c r="H93" s="66">
        <f>IFERROR(IF(IFERROR(MATCH(89,'كشف الحساب'!$N$4:$N$203,0),0)=0,"",INDEX('كشف الحساب'!$H$4:$H$203,IFERROR(MATCH(89,'كشف الحساب'!$N$4:$N$203,0),0))),"")</f>
        <v/>
      </c>
      <c r="I93" s="66">
        <f>IFERROR(IF(IFERROR(MATCH(89,'كشف الحساب'!$N$4:$N$203,0),0)=0,"",INDEX('كشف الحساب'!$I$4:$I$203,IFERROR(MATCH(89,'كشف الحساب'!$N$4:$N$203,0),0))),"")</f>
        <v/>
      </c>
      <c r="J93" s="70">
        <f>IFERROR(IF(IFERROR(MATCH(89,'كشف الحساب'!$N$4:$N$203,0),0)=0,"",INDEX('كشف الحساب'!$J$4:$J$203,IFERROR(MATCH(89,'كشف الحساب'!$N$4:$N$203,0),0))),"")</f>
        <v/>
      </c>
      <c r="K93" s="66">
        <f>IFERROR(IF(IFERROR(MATCH(89,'كشف الحساب'!$N$4:$N$203,0),0)=0,"",INDEX('كشف الحساب'!$K$4:$K$203,IFERROR(MATCH(89,'كشف الحساب'!$N$4:$N$203,0),0))),"")</f>
        <v/>
      </c>
    </row>
    <row r="94" ht="15" customHeight="1" s="165">
      <c r="A94" s="71">
        <f>IFERROR(IF(IFERROR(MATCH(90,'كشف الحساب'!$N$4:$N$203,0),0)=0,"",INDEX('كشف الحساب'!$A$4:$A$203,IFERROR(MATCH(90,'كشف الحساب'!$N$4:$N$203,0),0))),"")</f>
        <v/>
      </c>
      <c r="B94" s="72">
        <f>IFERROR(IF(IFERROR(MATCH(90,'كشف الحساب'!$N$4:$N$203,0),0)=0,"",INDEX('كشف الحساب'!$B$4:$B$203,IFERROR(MATCH(90,'كشف الحساب'!$N$4:$N$203,0),0))),"")</f>
        <v/>
      </c>
      <c r="C94" s="73">
        <f>IFERROR(IF(IFERROR(MATCH(90,'كشف الحساب'!$N$4:$N$203,0),0)=0,"",INDEX('كشف الحساب'!$C$4:$C$203,IFERROR(MATCH(90,'كشف الحساب'!$N$4:$N$203,0),0))),"")</f>
        <v/>
      </c>
      <c r="D94" s="74">
        <f>IFERROR(IF(IFERROR(MATCH(90,'كشف الحساب'!$N$4:$N$203,0),0)=0,"",INDEX('كشف الحساب'!$D$4:$D$203,IFERROR(MATCH(90,'كشف الحساب'!$N$4:$N$203,0),0))),"")</f>
        <v/>
      </c>
      <c r="E94" s="75">
        <f>IFERROR(IF(IFERROR(MATCH(90,'كشف الحساب'!$N$4:$N$203,0),0)=0,"",INDEX('كشف الحساب'!$E$4:$E$203,IFERROR(MATCH(90,'كشف الحساب'!$N$4:$N$203,0),0))),"")</f>
        <v/>
      </c>
      <c r="F94" s="72">
        <f>IFERROR(IF(IFERROR(MATCH(90,'كشف الحساب'!$N$4:$N$203,0),0)=0,"",INDEX('كشف الحساب'!$F$4:$F$203,IFERROR(MATCH(90,'كشف الحساب'!$N$4:$N$203,0),0))),"")</f>
        <v/>
      </c>
      <c r="G94" s="72">
        <f>IFERROR(IF(IFERROR(MATCH(90,'كشف الحساب'!$N$4:$N$203,0),0)=0,"",INDEX('كشف الحساب'!$G$4:$G$203,IFERROR(MATCH(90,'كشف الحساب'!$N$4:$N$203,0),0))),"")</f>
        <v/>
      </c>
      <c r="H94" s="72">
        <f>IFERROR(IF(IFERROR(MATCH(90,'كشف الحساب'!$N$4:$N$203,0),0)=0,"",INDEX('كشف الحساب'!$H$4:$H$203,IFERROR(MATCH(90,'كشف الحساب'!$N$4:$N$203,0),0))),"")</f>
        <v/>
      </c>
      <c r="I94" s="72">
        <f>IFERROR(IF(IFERROR(MATCH(90,'كشف الحساب'!$N$4:$N$203,0),0)=0,"",INDEX('كشف الحساب'!$I$4:$I$203,IFERROR(MATCH(90,'كشف الحساب'!$N$4:$N$203,0),0))),"")</f>
        <v/>
      </c>
      <c r="J94" s="76">
        <f>IFERROR(IF(IFERROR(MATCH(90,'كشف الحساب'!$N$4:$N$203,0),0)=0,"",INDEX('كشف الحساب'!$J$4:$J$203,IFERROR(MATCH(90,'كشف الحساب'!$N$4:$N$203,0),0))),"")</f>
        <v/>
      </c>
      <c r="K94" s="72">
        <f>IFERROR(IF(IFERROR(MATCH(90,'كشف الحساب'!$N$4:$N$203,0),0)=0,"",INDEX('كشف الحساب'!$K$4:$K$203,IFERROR(MATCH(90,'كشف الحساب'!$N$4:$N$203,0),0))),"")</f>
        <v/>
      </c>
    </row>
    <row r="95" ht="15" customHeight="1" s="165">
      <c r="A95" s="65">
        <f>IFERROR(IF(IFERROR(MATCH(91,'كشف الحساب'!$N$4:$N$203,0),0)=0,"",INDEX('كشف الحساب'!$A$4:$A$203,IFERROR(MATCH(91,'كشف الحساب'!$N$4:$N$203,0),0))),"")</f>
        <v/>
      </c>
      <c r="B95" s="66">
        <f>IFERROR(IF(IFERROR(MATCH(91,'كشف الحساب'!$N$4:$N$203,0),0)=0,"",INDEX('كشف الحساب'!$B$4:$B$203,IFERROR(MATCH(91,'كشف الحساب'!$N$4:$N$203,0),0))),"")</f>
        <v/>
      </c>
      <c r="C95" s="67">
        <f>IFERROR(IF(IFERROR(MATCH(91,'كشف الحساب'!$N$4:$N$203,0),0)=0,"",INDEX('كشف الحساب'!$C$4:$C$203,IFERROR(MATCH(91,'كشف الحساب'!$N$4:$N$203,0),0))),"")</f>
        <v/>
      </c>
      <c r="D95" s="68">
        <f>IFERROR(IF(IFERROR(MATCH(91,'كشف الحساب'!$N$4:$N$203,0),0)=0,"",INDEX('كشف الحساب'!$D$4:$D$203,IFERROR(MATCH(91,'كشف الحساب'!$N$4:$N$203,0),0))),"")</f>
        <v/>
      </c>
      <c r="E95" s="69">
        <f>IFERROR(IF(IFERROR(MATCH(91,'كشف الحساب'!$N$4:$N$203,0),0)=0,"",INDEX('كشف الحساب'!$E$4:$E$203,IFERROR(MATCH(91,'كشف الحساب'!$N$4:$N$203,0),0))),"")</f>
        <v/>
      </c>
      <c r="F95" s="66">
        <f>IFERROR(IF(IFERROR(MATCH(91,'كشف الحساب'!$N$4:$N$203,0),0)=0,"",INDEX('كشف الحساب'!$F$4:$F$203,IFERROR(MATCH(91,'كشف الحساب'!$N$4:$N$203,0),0))),"")</f>
        <v/>
      </c>
      <c r="G95" s="66">
        <f>IFERROR(IF(IFERROR(MATCH(91,'كشف الحساب'!$N$4:$N$203,0),0)=0,"",INDEX('كشف الحساب'!$G$4:$G$203,IFERROR(MATCH(91,'كشف الحساب'!$N$4:$N$203,0),0))),"")</f>
        <v/>
      </c>
      <c r="H95" s="66">
        <f>IFERROR(IF(IFERROR(MATCH(91,'كشف الحساب'!$N$4:$N$203,0),0)=0,"",INDEX('كشف الحساب'!$H$4:$H$203,IFERROR(MATCH(91,'كشف الحساب'!$N$4:$N$203,0),0))),"")</f>
        <v/>
      </c>
      <c r="I95" s="66">
        <f>IFERROR(IF(IFERROR(MATCH(91,'كشف الحساب'!$N$4:$N$203,0),0)=0,"",INDEX('كشف الحساب'!$I$4:$I$203,IFERROR(MATCH(91,'كشف الحساب'!$N$4:$N$203,0),0))),"")</f>
        <v/>
      </c>
      <c r="J95" s="70">
        <f>IFERROR(IF(IFERROR(MATCH(91,'كشف الحساب'!$N$4:$N$203,0),0)=0,"",INDEX('كشف الحساب'!$J$4:$J$203,IFERROR(MATCH(91,'كشف الحساب'!$N$4:$N$203,0),0))),"")</f>
        <v/>
      </c>
      <c r="K95" s="66">
        <f>IFERROR(IF(IFERROR(MATCH(91,'كشف الحساب'!$N$4:$N$203,0),0)=0,"",INDEX('كشف الحساب'!$K$4:$K$203,IFERROR(MATCH(91,'كشف الحساب'!$N$4:$N$203,0),0))),"")</f>
        <v/>
      </c>
    </row>
    <row r="96" ht="15" customHeight="1" s="165">
      <c r="A96" s="71">
        <f>IFERROR(IF(IFERROR(MATCH(92,'كشف الحساب'!$N$4:$N$203,0),0)=0,"",INDEX('كشف الحساب'!$A$4:$A$203,IFERROR(MATCH(92,'كشف الحساب'!$N$4:$N$203,0),0))),"")</f>
        <v/>
      </c>
      <c r="B96" s="72">
        <f>IFERROR(IF(IFERROR(MATCH(92,'كشف الحساب'!$N$4:$N$203,0),0)=0,"",INDEX('كشف الحساب'!$B$4:$B$203,IFERROR(MATCH(92,'كشف الحساب'!$N$4:$N$203,0),0))),"")</f>
        <v/>
      </c>
      <c r="C96" s="73">
        <f>IFERROR(IF(IFERROR(MATCH(92,'كشف الحساب'!$N$4:$N$203,0),0)=0,"",INDEX('كشف الحساب'!$C$4:$C$203,IFERROR(MATCH(92,'كشف الحساب'!$N$4:$N$203,0),0))),"")</f>
        <v/>
      </c>
      <c r="D96" s="74">
        <f>IFERROR(IF(IFERROR(MATCH(92,'كشف الحساب'!$N$4:$N$203,0),0)=0,"",INDEX('كشف الحساب'!$D$4:$D$203,IFERROR(MATCH(92,'كشف الحساب'!$N$4:$N$203,0),0))),"")</f>
        <v/>
      </c>
      <c r="E96" s="75">
        <f>IFERROR(IF(IFERROR(MATCH(92,'كشف الحساب'!$N$4:$N$203,0),0)=0,"",INDEX('كشف الحساب'!$E$4:$E$203,IFERROR(MATCH(92,'كشف الحساب'!$N$4:$N$203,0),0))),"")</f>
        <v/>
      </c>
      <c r="F96" s="72">
        <f>IFERROR(IF(IFERROR(MATCH(92,'كشف الحساب'!$N$4:$N$203,0),0)=0,"",INDEX('كشف الحساب'!$F$4:$F$203,IFERROR(MATCH(92,'كشف الحساب'!$N$4:$N$203,0),0))),"")</f>
        <v/>
      </c>
      <c r="G96" s="72">
        <f>IFERROR(IF(IFERROR(MATCH(92,'كشف الحساب'!$N$4:$N$203,0),0)=0,"",INDEX('كشف الحساب'!$G$4:$G$203,IFERROR(MATCH(92,'كشف الحساب'!$N$4:$N$203,0),0))),"")</f>
        <v/>
      </c>
      <c r="H96" s="72">
        <f>IFERROR(IF(IFERROR(MATCH(92,'كشف الحساب'!$N$4:$N$203,0),0)=0,"",INDEX('كشف الحساب'!$H$4:$H$203,IFERROR(MATCH(92,'كشف الحساب'!$N$4:$N$203,0),0))),"")</f>
        <v/>
      </c>
      <c r="I96" s="72">
        <f>IFERROR(IF(IFERROR(MATCH(92,'كشف الحساب'!$N$4:$N$203,0),0)=0,"",INDEX('كشف الحساب'!$I$4:$I$203,IFERROR(MATCH(92,'كشف الحساب'!$N$4:$N$203,0),0))),"")</f>
        <v/>
      </c>
      <c r="J96" s="76">
        <f>IFERROR(IF(IFERROR(MATCH(92,'كشف الحساب'!$N$4:$N$203,0),0)=0,"",INDEX('كشف الحساب'!$J$4:$J$203,IFERROR(MATCH(92,'كشف الحساب'!$N$4:$N$203,0),0))),"")</f>
        <v/>
      </c>
      <c r="K96" s="72">
        <f>IFERROR(IF(IFERROR(MATCH(92,'كشف الحساب'!$N$4:$N$203,0),0)=0,"",INDEX('كشف الحساب'!$K$4:$K$203,IFERROR(MATCH(92,'كشف الحساب'!$N$4:$N$203,0),0))),"")</f>
        <v/>
      </c>
    </row>
    <row r="97" ht="15" customHeight="1" s="165">
      <c r="A97" s="65">
        <f>IFERROR(IF(IFERROR(MATCH(93,'كشف الحساب'!$N$4:$N$203,0),0)=0,"",INDEX('كشف الحساب'!$A$4:$A$203,IFERROR(MATCH(93,'كشف الحساب'!$N$4:$N$203,0),0))),"")</f>
        <v/>
      </c>
      <c r="B97" s="66">
        <f>IFERROR(IF(IFERROR(MATCH(93,'كشف الحساب'!$N$4:$N$203,0),0)=0,"",INDEX('كشف الحساب'!$B$4:$B$203,IFERROR(MATCH(93,'كشف الحساب'!$N$4:$N$203,0),0))),"")</f>
        <v/>
      </c>
      <c r="C97" s="67">
        <f>IFERROR(IF(IFERROR(MATCH(93,'كشف الحساب'!$N$4:$N$203,0),0)=0,"",INDEX('كشف الحساب'!$C$4:$C$203,IFERROR(MATCH(93,'كشف الحساب'!$N$4:$N$203,0),0))),"")</f>
        <v/>
      </c>
      <c r="D97" s="68">
        <f>IFERROR(IF(IFERROR(MATCH(93,'كشف الحساب'!$N$4:$N$203,0),0)=0,"",INDEX('كشف الحساب'!$D$4:$D$203,IFERROR(MATCH(93,'كشف الحساب'!$N$4:$N$203,0),0))),"")</f>
        <v/>
      </c>
      <c r="E97" s="69">
        <f>IFERROR(IF(IFERROR(MATCH(93,'كشف الحساب'!$N$4:$N$203,0),0)=0,"",INDEX('كشف الحساب'!$E$4:$E$203,IFERROR(MATCH(93,'كشف الحساب'!$N$4:$N$203,0),0))),"")</f>
        <v/>
      </c>
      <c r="F97" s="66">
        <f>IFERROR(IF(IFERROR(MATCH(93,'كشف الحساب'!$N$4:$N$203,0),0)=0,"",INDEX('كشف الحساب'!$F$4:$F$203,IFERROR(MATCH(93,'كشف الحساب'!$N$4:$N$203,0),0))),"")</f>
        <v/>
      </c>
      <c r="G97" s="66">
        <f>IFERROR(IF(IFERROR(MATCH(93,'كشف الحساب'!$N$4:$N$203,0),0)=0,"",INDEX('كشف الحساب'!$G$4:$G$203,IFERROR(MATCH(93,'كشف الحساب'!$N$4:$N$203,0),0))),"")</f>
        <v/>
      </c>
      <c r="H97" s="66">
        <f>IFERROR(IF(IFERROR(MATCH(93,'كشف الحساب'!$N$4:$N$203,0),0)=0,"",INDEX('كشف الحساب'!$H$4:$H$203,IFERROR(MATCH(93,'كشف الحساب'!$N$4:$N$203,0),0))),"")</f>
        <v/>
      </c>
      <c r="I97" s="66">
        <f>IFERROR(IF(IFERROR(MATCH(93,'كشف الحساب'!$N$4:$N$203,0),0)=0,"",INDEX('كشف الحساب'!$I$4:$I$203,IFERROR(MATCH(93,'كشف الحساب'!$N$4:$N$203,0),0))),"")</f>
        <v/>
      </c>
      <c r="J97" s="70">
        <f>IFERROR(IF(IFERROR(MATCH(93,'كشف الحساب'!$N$4:$N$203,0),0)=0,"",INDEX('كشف الحساب'!$J$4:$J$203,IFERROR(MATCH(93,'كشف الحساب'!$N$4:$N$203,0),0))),"")</f>
        <v/>
      </c>
      <c r="K97" s="66">
        <f>IFERROR(IF(IFERROR(MATCH(93,'كشف الحساب'!$N$4:$N$203,0),0)=0,"",INDEX('كشف الحساب'!$K$4:$K$203,IFERROR(MATCH(93,'كشف الحساب'!$N$4:$N$203,0),0))),"")</f>
        <v/>
      </c>
    </row>
    <row r="98" ht="15" customHeight="1" s="165">
      <c r="A98" s="71">
        <f>IFERROR(IF(IFERROR(MATCH(94,'كشف الحساب'!$N$4:$N$203,0),0)=0,"",INDEX('كشف الحساب'!$A$4:$A$203,IFERROR(MATCH(94,'كشف الحساب'!$N$4:$N$203,0),0))),"")</f>
        <v/>
      </c>
      <c r="B98" s="72">
        <f>IFERROR(IF(IFERROR(MATCH(94,'كشف الحساب'!$N$4:$N$203,0),0)=0,"",INDEX('كشف الحساب'!$B$4:$B$203,IFERROR(MATCH(94,'كشف الحساب'!$N$4:$N$203,0),0))),"")</f>
        <v/>
      </c>
      <c r="C98" s="73">
        <f>IFERROR(IF(IFERROR(MATCH(94,'كشف الحساب'!$N$4:$N$203,0),0)=0,"",INDEX('كشف الحساب'!$C$4:$C$203,IFERROR(MATCH(94,'كشف الحساب'!$N$4:$N$203,0),0))),"")</f>
        <v/>
      </c>
      <c r="D98" s="74">
        <f>IFERROR(IF(IFERROR(MATCH(94,'كشف الحساب'!$N$4:$N$203,0),0)=0,"",INDEX('كشف الحساب'!$D$4:$D$203,IFERROR(MATCH(94,'كشف الحساب'!$N$4:$N$203,0),0))),"")</f>
        <v/>
      </c>
      <c r="E98" s="75">
        <f>IFERROR(IF(IFERROR(MATCH(94,'كشف الحساب'!$N$4:$N$203,0),0)=0,"",INDEX('كشف الحساب'!$E$4:$E$203,IFERROR(MATCH(94,'كشف الحساب'!$N$4:$N$203,0),0))),"")</f>
        <v/>
      </c>
      <c r="F98" s="72">
        <f>IFERROR(IF(IFERROR(MATCH(94,'كشف الحساب'!$N$4:$N$203,0),0)=0,"",INDEX('كشف الحساب'!$F$4:$F$203,IFERROR(MATCH(94,'كشف الحساب'!$N$4:$N$203,0),0))),"")</f>
        <v/>
      </c>
      <c r="G98" s="72">
        <f>IFERROR(IF(IFERROR(MATCH(94,'كشف الحساب'!$N$4:$N$203,0),0)=0,"",INDEX('كشف الحساب'!$G$4:$G$203,IFERROR(MATCH(94,'كشف الحساب'!$N$4:$N$203,0),0))),"")</f>
        <v/>
      </c>
      <c r="H98" s="72">
        <f>IFERROR(IF(IFERROR(MATCH(94,'كشف الحساب'!$N$4:$N$203,0),0)=0,"",INDEX('كشف الحساب'!$H$4:$H$203,IFERROR(MATCH(94,'كشف الحساب'!$N$4:$N$203,0),0))),"")</f>
        <v/>
      </c>
      <c r="I98" s="72">
        <f>IFERROR(IF(IFERROR(MATCH(94,'كشف الحساب'!$N$4:$N$203,0),0)=0,"",INDEX('كشف الحساب'!$I$4:$I$203,IFERROR(MATCH(94,'كشف الحساب'!$N$4:$N$203,0),0))),"")</f>
        <v/>
      </c>
      <c r="J98" s="76">
        <f>IFERROR(IF(IFERROR(MATCH(94,'كشف الحساب'!$N$4:$N$203,0),0)=0,"",INDEX('كشف الحساب'!$J$4:$J$203,IFERROR(MATCH(94,'كشف الحساب'!$N$4:$N$203,0),0))),"")</f>
        <v/>
      </c>
      <c r="K98" s="72">
        <f>IFERROR(IF(IFERROR(MATCH(94,'كشف الحساب'!$N$4:$N$203,0),0)=0,"",INDEX('كشف الحساب'!$K$4:$K$203,IFERROR(MATCH(94,'كشف الحساب'!$N$4:$N$203,0),0))),"")</f>
        <v/>
      </c>
    </row>
    <row r="99" ht="15" customHeight="1" s="165">
      <c r="A99" s="65">
        <f>IFERROR(IF(IFERROR(MATCH(95,'كشف الحساب'!$N$4:$N$203,0),0)=0,"",INDEX('كشف الحساب'!$A$4:$A$203,IFERROR(MATCH(95,'كشف الحساب'!$N$4:$N$203,0),0))),"")</f>
        <v/>
      </c>
      <c r="B99" s="66">
        <f>IFERROR(IF(IFERROR(MATCH(95,'كشف الحساب'!$N$4:$N$203,0),0)=0,"",INDEX('كشف الحساب'!$B$4:$B$203,IFERROR(MATCH(95,'كشف الحساب'!$N$4:$N$203,0),0))),"")</f>
        <v/>
      </c>
      <c r="C99" s="67">
        <f>IFERROR(IF(IFERROR(MATCH(95,'كشف الحساب'!$N$4:$N$203,0),0)=0,"",INDEX('كشف الحساب'!$C$4:$C$203,IFERROR(MATCH(95,'كشف الحساب'!$N$4:$N$203,0),0))),"")</f>
        <v/>
      </c>
      <c r="D99" s="68">
        <f>IFERROR(IF(IFERROR(MATCH(95,'كشف الحساب'!$N$4:$N$203,0),0)=0,"",INDEX('كشف الحساب'!$D$4:$D$203,IFERROR(MATCH(95,'كشف الحساب'!$N$4:$N$203,0),0))),"")</f>
        <v/>
      </c>
      <c r="E99" s="69">
        <f>IFERROR(IF(IFERROR(MATCH(95,'كشف الحساب'!$N$4:$N$203,0),0)=0,"",INDEX('كشف الحساب'!$E$4:$E$203,IFERROR(MATCH(95,'كشف الحساب'!$N$4:$N$203,0),0))),"")</f>
        <v/>
      </c>
      <c r="F99" s="66">
        <f>IFERROR(IF(IFERROR(MATCH(95,'كشف الحساب'!$N$4:$N$203,0),0)=0,"",INDEX('كشف الحساب'!$F$4:$F$203,IFERROR(MATCH(95,'كشف الحساب'!$N$4:$N$203,0),0))),"")</f>
        <v/>
      </c>
      <c r="G99" s="66">
        <f>IFERROR(IF(IFERROR(MATCH(95,'كشف الحساب'!$N$4:$N$203,0),0)=0,"",INDEX('كشف الحساب'!$G$4:$G$203,IFERROR(MATCH(95,'كشف الحساب'!$N$4:$N$203,0),0))),"")</f>
        <v/>
      </c>
      <c r="H99" s="66">
        <f>IFERROR(IF(IFERROR(MATCH(95,'كشف الحساب'!$N$4:$N$203,0),0)=0,"",INDEX('كشف الحساب'!$H$4:$H$203,IFERROR(MATCH(95,'كشف الحساب'!$N$4:$N$203,0),0))),"")</f>
        <v/>
      </c>
      <c r="I99" s="66">
        <f>IFERROR(IF(IFERROR(MATCH(95,'كشف الحساب'!$N$4:$N$203,0),0)=0,"",INDEX('كشف الحساب'!$I$4:$I$203,IFERROR(MATCH(95,'كشف الحساب'!$N$4:$N$203,0),0))),"")</f>
        <v/>
      </c>
      <c r="J99" s="70">
        <f>IFERROR(IF(IFERROR(MATCH(95,'كشف الحساب'!$N$4:$N$203,0),0)=0,"",INDEX('كشف الحساب'!$J$4:$J$203,IFERROR(MATCH(95,'كشف الحساب'!$N$4:$N$203,0),0))),"")</f>
        <v/>
      </c>
      <c r="K99" s="66">
        <f>IFERROR(IF(IFERROR(MATCH(95,'كشف الحساب'!$N$4:$N$203,0),0)=0,"",INDEX('كشف الحساب'!$K$4:$K$203,IFERROR(MATCH(95,'كشف الحساب'!$N$4:$N$203,0),0))),"")</f>
        <v/>
      </c>
    </row>
    <row r="100" ht="15" customHeight="1" s="165">
      <c r="A100" s="71">
        <f>IFERROR(IF(IFERROR(MATCH(96,'كشف الحساب'!$N$4:$N$203,0),0)=0,"",INDEX('كشف الحساب'!$A$4:$A$203,IFERROR(MATCH(96,'كشف الحساب'!$N$4:$N$203,0),0))),"")</f>
        <v/>
      </c>
      <c r="B100" s="72">
        <f>IFERROR(IF(IFERROR(MATCH(96,'كشف الحساب'!$N$4:$N$203,0),0)=0,"",INDEX('كشف الحساب'!$B$4:$B$203,IFERROR(MATCH(96,'كشف الحساب'!$N$4:$N$203,0),0))),"")</f>
        <v/>
      </c>
      <c r="C100" s="73">
        <f>IFERROR(IF(IFERROR(MATCH(96,'كشف الحساب'!$N$4:$N$203,0),0)=0,"",INDEX('كشف الحساب'!$C$4:$C$203,IFERROR(MATCH(96,'كشف الحساب'!$N$4:$N$203,0),0))),"")</f>
        <v/>
      </c>
      <c r="D100" s="74">
        <f>IFERROR(IF(IFERROR(MATCH(96,'كشف الحساب'!$N$4:$N$203,0),0)=0,"",INDEX('كشف الحساب'!$D$4:$D$203,IFERROR(MATCH(96,'كشف الحساب'!$N$4:$N$203,0),0))),"")</f>
        <v/>
      </c>
      <c r="E100" s="75">
        <f>IFERROR(IF(IFERROR(MATCH(96,'كشف الحساب'!$N$4:$N$203,0),0)=0,"",INDEX('كشف الحساب'!$E$4:$E$203,IFERROR(MATCH(96,'كشف الحساب'!$N$4:$N$203,0),0))),"")</f>
        <v/>
      </c>
      <c r="F100" s="72">
        <f>IFERROR(IF(IFERROR(MATCH(96,'كشف الحساب'!$N$4:$N$203,0),0)=0,"",INDEX('كشف الحساب'!$F$4:$F$203,IFERROR(MATCH(96,'كشف الحساب'!$N$4:$N$203,0),0))),"")</f>
        <v/>
      </c>
      <c r="G100" s="72">
        <f>IFERROR(IF(IFERROR(MATCH(96,'كشف الحساب'!$N$4:$N$203,0),0)=0,"",INDEX('كشف الحساب'!$G$4:$G$203,IFERROR(MATCH(96,'كشف الحساب'!$N$4:$N$203,0),0))),"")</f>
        <v/>
      </c>
      <c r="H100" s="72">
        <f>IFERROR(IF(IFERROR(MATCH(96,'كشف الحساب'!$N$4:$N$203,0),0)=0,"",INDEX('كشف الحساب'!$H$4:$H$203,IFERROR(MATCH(96,'كشف الحساب'!$N$4:$N$203,0),0))),"")</f>
        <v/>
      </c>
      <c r="I100" s="72">
        <f>IFERROR(IF(IFERROR(MATCH(96,'كشف الحساب'!$N$4:$N$203,0),0)=0,"",INDEX('كشف الحساب'!$I$4:$I$203,IFERROR(MATCH(96,'كشف الحساب'!$N$4:$N$203,0),0))),"")</f>
        <v/>
      </c>
      <c r="J100" s="76">
        <f>IFERROR(IF(IFERROR(MATCH(96,'كشف الحساب'!$N$4:$N$203,0),0)=0,"",INDEX('كشف الحساب'!$J$4:$J$203,IFERROR(MATCH(96,'كشف الحساب'!$N$4:$N$203,0),0))),"")</f>
        <v/>
      </c>
      <c r="K100" s="72">
        <f>IFERROR(IF(IFERROR(MATCH(96,'كشف الحساب'!$N$4:$N$203,0),0)=0,"",INDEX('كشف الحساب'!$K$4:$K$203,IFERROR(MATCH(96,'كشف الحساب'!$N$4:$N$203,0),0))),"")</f>
        <v/>
      </c>
    </row>
    <row r="101" ht="15" customHeight="1" s="165">
      <c r="A101" s="65">
        <f>IFERROR(IF(IFERROR(MATCH(97,'كشف الحساب'!$N$4:$N$203,0),0)=0,"",INDEX('كشف الحساب'!$A$4:$A$203,IFERROR(MATCH(97,'كشف الحساب'!$N$4:$N$203,0),0))),"")</f>
        <v/>
      </c>
      <c r="B101" s="66">
        <f>IFERROR(IF(IFERROR(MATCH(97,'كشف الحساب'!$N$4:$N$203,0),0)=0,"",INDEX('كشف الحساب'!$B$4:$B$203,IFERROR(MATCH(97,'كشف الحساب'!$N$4:$N$203,0),0))),"")</f>
        <v/>
      </c>
      <c r="C101" s="67">
        <f>IFERROR(IF(IFERROR(MATCH(97,'كشف الحساب'!$N$4:$N$203,0),0)=0,"",INDEX('كشف الحساب'!$C$4:$C$203,IFERROR(MATCH(97,'كشف الحساب'!$N$4:$N$203,0),0))),"")</f>
        <v/>
      </c>
      <c r="D101" s="68">
        <f>IFERROR(IF(IFERROR(MATCH(97,'كشف الحساب'!$N$4:$N$203,0),0)=0,"",INDEX('كشف الحساب'!$D$4:$D$203,IFERROR(MATCH(97,'كشف الحساب'!$N$4:$N$203,0),0))),"")</f>
        <v/>
      </c>
      <c r="E101" s="69">
        <f>IFERROR(IF(IFERROR(MATCH(97,'كشف الحساب'!$N$4:$N$203,0),0)=0,"",INDEX('كشف الحساب'!$E$4:$E$203,IFERROR(MATCH(97,'كشف الحساب'!$N$4:$N$203,0),0))),"")</f>
        <v/>
      </c>
      <c r="F101" s="66">
        <f>IFERROR(IF(IFERROR(MATCH(97,'كشف الحساب'!$N$4:$N$203,0),0)=0,"",INDEX('كشف الحساب'!$F$4:$F$203,IFERROR(MATCH(97,'كشف الحساب'!$N$4:$N$203,0),0))),"")</f>
        <v/>
      </c>
      <c r="G101" s="66">
        <f>IFERROR(IF(IFERROR(MATCH(97,'كشف الحساب'!$N$4:$N$203,0),0)=0,"",INDEX('كشف الحساب'!$G$4:$G$203,IFERROR(MATCH(97,'كشف الحساب'!$N$4:$N$203,0),0))),"")</f>
        <v/>
      </c>
      <c r="H101" s="66">
        <f>IFERROR(IF(IFERROR(MATCH(97,'كشف الحساب'!$N$4:$N$203,0),0)=0,"",INDEX('كشف الحساب'!$H$4:$H$203,IFERROR(MATCH(97,'كشف الحساب'!$N$4:$N$203,0),0))),"")</f>
        <v/>
      </c>
      <c r="I101" s="66">
        <f>IFERROR(IF(IFERROR(MATCH(97,'كشف الحساب'!$N$4:$N$203,0),0)=0,"",INDEX('كشف الحساب'!$I$4:$I$203,IFERROR(MATCH(97,'كشف الحساب'!$N$4:$N$203,0),0))),"")</f>
        <v/>
      </c>
      <c r="J101" s="70">
        <f>IFERROR(IF(IFERROR(MATCH(97,'كشف الحساب'!$N$4:$N$203,0),0)=0,"",INDEX('كشف الحساب'!$J$4:$J$203,IFERROR(MATCH(97,'كشف الحساب'!$N$4:$N$203,0),0))),"")</f>
        <v/>
      </c>
      <c r="K101" s="66">
        <f>IFERROR(IF(IFERROR(MATCH(97,'كشف الحساب'!$N$4:$N$203,0),0)=0,"",INDEX('كشف الحساب'!$K$4:$K$203,IFERROR(MATCH(97,'كشف الحساب'!$N$4:$N$203,0),0))),"")</f>
        <v/>
      </c>
    </row>
    <row r="102" ht="15" customHeight="1" s="165">
      <c r="A102" s="71">
        <f>IFERROR(IF(IFERROR(MATCH(98,'كشف الحساب'!$N$4:$N$203,0),0)=0,"",INDEX('كشف الحساب'!$A$4:$A$203,IFERROR(MATCH(98,'كشف الحساب'!$N$4:$N$203,0),0))),"")</f>
        <v/>
      </c>
      <c r="B102" s="72">
        <f>IFERROR(IF(IFERROR(MATCH(98,'كشف الحساب'!$N$4:$N$203,0),0)=0,"",INDEX('كشف الحساب'!$B$4:$B$203,IFERROR(MATCH(98,'كشف الحساب'!$N$4:$N$203,0),0))),"")</f>
        <v/>
      </c>
      <c r="C102" s="73">
        <f>IFERROR(IF(IFERROR(MATCH(98,'كشف الحساب'!$N$4:$N$203,0),0)=0,"",INDEX('كشف الحساب'!$C$4:$C$203,IFERROR(MATCH(98,'كشف الحساب'!$N$4:$N$203,0),0))),"")</f>
        <v/>
      </c>
      <c r="D102" s="74">
        <f>IFERROR(IF(IFERROR(MATCH(98,'كشف الحساب'!$N$4:$N$203,0),0)=0,"",INDEX('كشف الحساب'!$D$4:$D$203,IFERROR(MATCH(98,'كشف الحساب'!$N$4:$N$203,0),0))),"")</f>
        <v/>
      </c>
      <c r="E102" s="75">
        <f>IFERROR(IF(IFERROR(MATCH(98,'كشف الحساب'!$N$4:$N$203,0),0)=0,"",INDEX('كشف الحساب'!$E$4:$E$203,IFERROR(MATCH(98,'كشف الحساب'!$N$4:$N$203,0),0))),"")</f>
        <v/>
      </c>
      <c r="F102" s="72">
        <f>IFERROR(IF(IFERROR(MATCH(98,'كشف الحساب'!$N$4:$N$203,0),0)=0,"",INDEX('كشف الحساب'!$F$4:$F$203,IFERROR(MATCH(98,'كشف الحساب'!$N$4:$N$203,0),0))),"")</f>
        <v/>
      </c>
      <c r="G102" s="72">
        <f>IFERROR(IF(IFERROR(MATCH(98,'كشف الحساب'!$N$4:$N$203,0),0)=0,"",INDEX('كشف الحساب'!$G$4:$G$203,IFERROR(MATCH(98,'كشف الحساب'!$N$4:$N$203,0),0))),"")</f>
        <v/>
      </c>
      <c r="H102" s="72">
        <f>IFERROR(IF(IFERROR(MATCH(98,'كشف الحساب'!$N$4:$N$203,0),0)=0,"",INDEX('كشف الحساب'!$H$4:$H$203,IFERROR(MATCH(98,'كشف الحساب'!$N$4:$N$203,0),0))),"")</f>
        <v/>
      </c>
      <c r="I102" s="72">
        <f>IFERROR(IF(IFERROR(MATCH(98,'كشف الحساب'!$N$4:$N$203,0),0)=0,"",INDEX('كشف الحساب'!$I$4:$I$203,IFERROR(MATCH(98,'كشف الحساب'!$N$4:$N$203,0),0))),"")</f>
        <v/>
      </c>
      <c r="J102" s="76">
        <f>IFERROR(IF(IFERROR(MATCH(98,'كشف الحساب'!$N$4:$N$203,0),0)=0,"",INDEX('كشف الحساب'!$J$4:$J$203,IFERROR(MATCH(98,'كشف الحساب'!$N$4:$N$203,0),0))),"")</f>
        <v/>
      </c>
      <c r="K102" s="72">
        <f>IFERROR(IF(IFERROR(MATCH(98,'كشف الحساب'!$N$4:$N$203,0),0)=0,"",INDEX('كشف الحساب'!$K$4:$K$203,IFERROR(MATCH(98,'كشف الحساب'!$N$4:$N$203,0),0))),"")</f>
        <v/>
      </c>
    </row>
    <row r="103" ht="15" customHeight="1" s="165">
      <c r="A103" s="65">
        <f>IFERROR(IF(IFERROR(MATCH(99,'كشف الحساب'!$N$4:$N$203,0),0)=0,"",INDEX('كشف الحساب'!$A$4:$A$203,IFERROR(MATCH(99,'كشف الحساب'!$N$4:$N$203,0),0))),"")</f>
        <v/>
      </c>
      <c r="B103" s="66">
        <f>IFERROR(IF(IFERROR(MATCH(99,'كشف الحساب'!$N$4:$N$203,0),0)=0,"",INDEX('كشف الحساب'!$B$4:$B$203,IFERROR(MATCH(99,'كشف الحساب'!$N$4:$N$203,0),0))),"")</f>
        <v/>
      </c>
      <c r="C103" s="67">
        <f>IFERROR(IF(IFERROR(MATCH(99,'كشف الحساب'!$N$4:$N$203,0),0)=0,"",INDEX('كشف الحساب'!$C$4:$C$203,IFERROR(MATCH(99,'كشف الحساب'!$N$4:$N$203,0),0))),"")</f>
        <v/>
      </c>
      <c r="D103" s="68">
        <f>IFERROR(IF(IFERROR(MATCH(99,'كشف الحساب'!$N$4:$N$203,0),0)=0,"",INDEX('كشف الحساب'!$D$4:$D$203,IFERROR(MATCH(99,'كشف الحساب'!$N$4:$N$203,0),0))),"")</f>
        <v/>
      </c>
      <c r="E103" s="69">
        <f>IFERROR(IF(IFERROR(MATCH(99,'كشف الحساب'!$N$4:$N$203,0),0)=0,"",INDEX('كشف الحساب'!$E$4:$E$203,IFERROR(MATCH(99,'كشف الحساب'!$N$4:$N$203,0),0))),"")</f>
        <v/>
      </c>
      <c r="F103" s="66">
        <f>IFERROR(IF(IFERROR(MATCH(99,'كشف الحساب'!$N$4:$N$203,0),0)=0,"",INDEX('كشف الحساب'!$F$4:$F$203,IFERROR(MATCH(99,'كشف الحساب'!$N$4:$N$203,0),0))),"")</f>
        <v/>
      </c>
      <c r="G103" s="66">
        <f>IFERROR(IF(IFERROR(MATCH(99,'كشف الحساب'!$N$4:$N$203,0),0)=0,"",INDEX('كشف الحساب'!$G$4:$G$203,IFERROR(MATCH(99,'كشف الحساب'!$N$4:$N$203,0),0))),"")</f>
        <v/>
      </c>
      <c r="H103" s="66">
        <f>IFERROR(IF(IFERROR(MATCH(99,'كشف الحساب'!$N$4:$N$203,0),0)=0,"",INDEX('كشف الحساب'!$H$4:$H$203,IFERROR(MATCH(99,'كشف الحساب'!$N$4:$N$203,0),0))),"")</f>
        <v/>
      </c>
      <c r="I103" s="66">
        <f>IFERROR(IF(IFERROR(MATCH(99,'كشف الحساب'!$N$4:$N$203,0),0)=0,"",INDEX('كشف الحساب'!$I$4:$I$203,IFERROR(MATCH(99,'كشف الحساب'!$N$4:$N$203,0),0))),"")</f>
        <v/>
      </c>
      <c r="J103" s="70">
        <f>IFERROR(IF(IFERROR(MATCH(99,'كشف الحساب'!$N$4:$N$203,0),0)=0,"",INDEX('كشف الحساب'!$J$4:$J$203,IFERROR(MATCH(99,'كشف الحساب'!$N$4:$N$203,0),0))),"")</f>
        <v/>
      </c>
      <c r="K103" s="66">
        <f>IFERROR(IF(IFERROR(MATCH(99,'كشف الحساب'!$N$4:$N$203,0),0)=0,"",INDEX('كشف الحساب'!$K$4:$K$203,IFERROR(MATCH(99,'كشف الحساب'!$N$4:$N$203,0),0))),"")</f>
        <v/>
      </c>
    </row>
    <row r="104" ht="15" customHeight="1" s="165">
      <c r="A104" s="71">
        <f>IFERROR(IF(IFERROR(MATCH(100,'كشف الحساب'!$N$4:$N$203,0),0)=0,"",INDEX('كشف الحساب'!$A$4:$A$203,IFERROR(MATCH(100,'كشف الحساب'!$N$4:$N$203,0),0))),"")</f>
        <v/>
      </c>
      <c r="B104" s="72">
        <f>IFERROR(IF(IFERROR(MATCH(100,'كشف الحساب'!$N$4:$N$203,0),0)=0,"",INDEX('كشف الحساب'!$B$4:$B$203,IFERROR(MATCH(100,'كشف الحساب'!$N$4:$N$203,0),0))),"")</f>
        <v/>
      </c>
      <c r="C104" s="73">
        <f>IFERROR(IF(IFERROR(MATCH(100,'كشف الحساب'!$N$4:$N$203,0),0)=0,"",INDEX('كشف الحساب'!$C$4:$C$203,IFERROR(MATCH(100,'كشف الحساب'!$N$4:$N$203,0),0))),"")</f>
        <v/>
      </c>
      <c r="D104" s="74">
        <f>IFERROR(IF(IFERROR(MATCH(100,'كشف الحساب'!$N$4:$N$203,0),0)=0,"",INDEX('كشف الحساب'!$D$4:$D$203,IFERROR(MATCH(100,'كشف الحساب'!$N$4:$N$203,0),0))),"")</f>
        <v/>
      </c>
      <c r="E104" s="75">
        <f>IFERROR(IF(IFERROR(MATCH(100,'كشف الحساب'!$N$4:$N$203,0),0)=0,"",INDEX('كشف الحساب'!$E$4:$E$203,IFERROR(MATCH(100,'كشف الحساب'!$N$4:$N$203,0),0))),"")</f>
        <v/>
      </c>
      <c r="F104" s="72">
        <f>IFERROR(IF(IFERROR(MATCH(100,'كشف الحساب'!$N$4:$N$203,0),0)=0,"",INDEX('كشف الحساب'!$F$4:$F$203,IFERROR(MATCH(100,'كشف الحساب'!$N$4:$N$203,0),0))),"")</f>
        <v/>
      </c>
      <c r="G104" s="72">
        <f>IFERROR(IF(IFERROR(MATCH(100,'كشف الحساب'!$N$4:$N$203,0),0)=0,"",INDEX('كشف الحساب'!$G$4:$G$203,IFERROR(MATCH(100,'كشف الحساب'!$N$4:$N$203,0),0))),"")</f>
        <v/>
      </c>
      <c r="H104" s="72">
        <f>IFERROR(IF(IFERROR(MATCH(100,'كشف الحساب'!$N$4:$N$203,0),0)=0,"",INDEX('كشف الحساب'!$H$4:$H$203,IFERROR(MATCH(100,'كشف الحساب'!$N$4:$N$203,0),0))),"")</f>
        <v/>
      </c>
      <c r="I104" s="72">
        <f>IFERROR(IF(IFERROR(MATCH(100,'كشف الحساب'!$N$4:$N$203,0),0)=0,"",INDEX('كشف الحساب'!$I$4:$I$203,IFERROR(MATCH(100,'كشف الحساب'!$N$4:$N$203,0),0))),"")</f>
        <v/>
      </c>
      <c r="J104" s="76">
        <f>IFERROR(IF(IFERROR(MATCH(100,'كشف الحساب'!$N$4:$N$203,0),0)=0,"",INDEX('كشف الحساب'!$J$4:$J$203,IFERROR(MATCH(100,'كشف الحساب'!$N$4:$N$203,0),0))),"")</f>
        <v/>
      </c>
      <c r="K104" s="72">
        <f>IFERROR(IF(IFERROR(MATCH(100,'كشف الحساب'!$N$4:$N$203,0),0)=0,"",INDEX('كشف الحساب'!$K$4:$K$203,IFERROR(MATCH(100,'كشف الحساب'!$N$4:$N$203,0),0))),"")</f>
        <v/>
      </c>
    </row>
    <row r="105" ht="15" customHeight="1" s="165">
      <c r="A105" s="65">
        <f>IFERROR(IF(IFERROR(MATCH(101,'كشف الحساب'!$N$4:$N$203,0),0)=0,"",INDEX('كشف الحساب'!$A$4:$A$203,IFERROR(MATCH(101,'كشف الحساب'!$N$4:$N$203,0),0))),"")</f>
        <v/>
      </c>
      <c r="B105" s="66">
        <f>IFERROR(IF(IFERROR(MATCH(101,'كشف الحساب'!$N$4:$N$203,0),0)=0,"",INDEX('كشف الحساب'!$B$4:$B$203,IFERROR(MATCH(101,'كشف الحساب'!$N$4:$N$203,0),0))),"")</f>
        <v/>
      </c>
      <c r="C105" s="67">
        <f>IFERROR(IF(IFERROR(MATCH(101,'كشف الحساب'!$N$4:$N$203,0),0)=0,"",INDEX('كشف الحساب'!$C$4:$C$203,IFERROR(MATCH(101,'كشف الحساب'!$N$4:$N$203,0),0))),"")</f>
        <v/>
      </c>
      <c r="D105" s="68">
        <f>IFERROR(IF(IFERROR(MATCH(101,'كشف الحساب'!$N$4:$N$203,0),0)=0,"",INDEX('كشف الحساب'!$D$4:$D$203,IFERROR(MATCH(101,'كشف الحساب'!$N$4:$N$203,0),0))),"")</f>
        <v/>
      </c>
      <c r="E105" s="69">
        <f>IFERROR(IF(IFERROR(MATCH(101,'كشف الحساب'!$N$4:$N$203,0),0)=0,"",INDEX('كشف الحساب'!$E$4:$E$203,IFERROR(MATCH(101,'كشف الحساب'!$N$4:$N$203,0),0))),"")</f>
        <v/>
      </c>
      <c r="F105" s="66">
        <f>IFERROR(IF(IFERROR(MATCH(101,'كشف الحساب'!$N$4:$N$203,0),0)=0,"",INDEX('كشف الحساب'!$F$4:$F$203,IFERROR(MATCH(101,'كشف الحساب'!$N$4:$N$203,0),0))),"")</f>
        <v/>
      </c>
      <c r="G105" s="66">
        <f>IFERROR(IF(IFERROR(MATCH(101,'كشف الحساب'!$N$4:$N$203,0),0)=0,"",INDEX('كشف الحساب'!$G$4:$G$203,IFERROR(MATCH(101,'كشف الحساب'!$N$4:$N$203,0),0))),"")</f>
        <v/>
      </c>
      <c r="H105" s="66">
        <f>IFERROR(IF(IFERROR(MATCH(101,'كشف الحساب'!$N$4:$N$203,0),0)=0,"",INDEX('كشف الحساب'!$H$4:$H$203,IFERROR(MATCH(101,'كشف الحساب'!$N$4:$N$203,0),0))),"")</f>
        <v/>
      </c>
      <c r="I105" s="66">
        <f>IFERROR(IF(IFERROR(MATCH(101,'كشف الحساب'!$N$4:$N$203,0),0)=0,"",INDEX('كشف الحساب'!$I$4:$I$203,IFERROR(MATCH(101,'كشف الحساب'!$N$4:$N$203,0),0))),"")</f>
        <v/>
      </c>
      <c r="J105" s="70">
        <f>IFERROR(IF(IFERROR(MATCH(101,'كشف الحساب'!$N$4:$N$203,0),0)=0,"",INDEX('كشف الحساب'!$J$4:$J$203,IFERROR(MATCH(101,'كشف الحساب'!$N$4:$N$203,0),0))),"")</f>
        <v/>
      </c>
      <c r="K105" s="66">
        <f>IFERROR(IF(IFERROR(MATCH(101,'كشف الحساب'!$N$4:$N$203,0),0)=0,"",INDEX('كشف الحساب'!$K$4:$K$203,IFERROR(MATCH(101,'كشف الحساب'!$N$4:$N$203,0),0))),"")</f>
        <v/>
      </c>
    </row>
    <row r="106" ht="15" customHeight="1" s="165">
      <c r="A106" s="71">
        <f>IFERROR(IF(IFERROR(MATCH(102,'كشف الحساب'!$N$4:$N$203,0),0)=0,"",INDEX('كشف الحساب'!$A$4:$A$203,IFERROR(MATCH(102,'كشف الحساب'!$N$4:$N$203,0),0))),"")</f>
        <v/>
      </c>
      <c r="B106" s="72">
        <f>IFERROR(IF(IFERROR(MATCH(102,'كشف الحساب'!$N$4:$N$203,0),0)=0,"",INDEX('كشف الحساب'!$B$4:$B$203,IFERROR(MATCH(102,'كشف الحساب'!$N$4:$N$203,0),0))),"")</f>
        <v/>
      </c>
      <c r="C106" s="73">
        <f>IFERROR(IF(IFERROR(MATCH(102,'كشف الحساب'!$N$4:$N$203,0),0)=0,"",INDEX('كشف الحساب'!$C$4:$C$203,IFERROR(MATCH(102,'كشف الحساب'!$N$4:$N$203,0),0))),"")</f>
        <v/>
      </c>
      <c r="D106" s="74">
        <f>IFERROR(IF(IFERROR(MATCH(102,'كشف الحساب'!$N$4:$N$203,0),0)=0,"",INDEX('كشف الحساب'!$D$4:$D$203,IFERROR(MATCH(102,'كشف الحساب'!$N$4:$N$203,0),0))),"")</f>
        <v/>
      </c>
      <c r="E106" s="75">
        <f>IFERROR(IF(IFERROR(MATCH(102,'كشف الحساب'!$N$4:$N$203,0),0)=0,"",INDEX('كشف الحساب'!$E$4:$E$203,IFERROR(MATCH(102,'كشف الحساب'!$N$4:$N$203,0),0))),"")</f>
        <v/>
      </c>
      <c r="F106" s="72">
        <f>IFERROR(IF(IFERROR(MATCH(102,'كشف الحساب'!$N$4:$N$203,0),0)=0,"",INDEX('كشف الحساب'!$F$4:$F$203,IFERROR(MATCH(102,'كشف الحساب'!$N$4:$N$203,0),0))),"")</f>
        <v/>
      </c>
      <c r="G106" s="72">
        <f>IFERROR(IF(IFERROR(MATCH(102,'كشف الحساب'!$N$4:$N$203,0),0)=0,"",INDEX('كشف الحساب'!$G$4:$G$203,IFERROR(MATCH(102,'كشف الحساب'!$N$4:$N$203,0),0))),"")</f>
        <v/>
      </c>
      <c r="H106" s="72">
        <f>IFERROR(IF(IFERROR(MATCH(102,'كشف الحساب'!$N$4:$N$203,0),0)=0,"",INDEX('كشف الحساب'!$H$4:$H$203,IFERROR(MATCH(102,'كشف الحساب'!$N$4:$N$203,0),0))),"")</f>
        <v/>
      </c>
      <c r="I106" s="72">
        <f>IFERROR(IF(IFERROR(MATCH(102,'كشف الحساب'!$N$4:$N$203,0),0)=0,"",INDEX('كشف الحساب'!$I$4:$I$203,IFERROR(MATCH(102,'كشف الحساب'!$N$4:$N$203,0),0))),"")</f>
        <v/>
      </c>
      <c r="J106" s="76">
        <f>IFERROR(IF(IFERROR(MATCH(102,'كشف الحساب'!$N$4:$N$203,0),0)=0,"",INDEX('كشف الحساب'!$J$4:$J$203,IFERROR(MATCH(102,'كشف الحساب'!$N$4:$N$203,0),0))),"")</f>
        <v/>
      </c>
      <c r="K106" s="72">
        <f>IFERROR(IF(IFERROR(MATCH(102,'كشف الحساب'!$N$4:$N$203,0),0)=0,"",INDEX('كشف الحساب'!$K$4:$K$203,IFERROR(MATCH(102,'كشف الحساب'!$N$4:$N$203,0),0))),"")</f>
        <v/>
      </c>
    </row>
    <row r="107" ht="15" customHeight="1" s="165">
      <c r="A107" s="65">
        <f>IFERROR(IF(IFERROR(MATCH(103,'كشف الحساب'!$N$4:$N$203,0),0)=0,"",INDEX('كشف الحساب'!$A$4:$A$203,IFERROR(MATCH(103,'كشف الحساب'!$N$4:$N$203,0),0))),"")</f>
        <v/>
      </c>
      <c r="B107" s="66">
        <f>IFERROR(IF(IFERROR(MATCH(103,'كشف الحساب'!$N$4:$N$203,0),0)=0,"",INDEX('كشف الحساب'!$B$4:$B$203,IFERROR(MATCH(103,'كشف الحساب'!$N$4:$N$203,0),0))),"")</f>
        <v/>
      </c>
      <c r="C107" s="67">
        <f>IFERROR(IF(IFERROR(MATCH(103,'كشف الحساب'!$N$4:$N$203,0),0)=0,"",INDEX('كشف الحساب'!$C$4:$C$203,IFERROR(MATCH(103,'كشف الحساب'!$N$4:$N$203,0),0))),"")</f>
        <v/>
      </c>
      <c r="D107" s="68">
        <f>IFERROR(IF(IFERROR(MATCH(103,'كشف الحساب'!$N$4:$N$203,0),0)=0,"",INDEX('كشف الحساب'!$D$4:$D$203,IFERROR(MATCH(103,'كشف الحساب'!$N$4:$N$203,0),0))),"")</f>
        <v/>
      </c>
      <c r="E107" s="69">
        <f>IFERROR(IF(IFERROR(MATCH(103,'كشف الحساب'!$N$4:$N$203,0),0)=0,"",INDEX('كشف الحساب'!$E$4:$E$203,IFERROR(MATCH(103,'كشف الحساب'!$N$4:$N$203,0),0))),"")</f>
        <v/>
      </c>
      <c r="F107" s="66">
        <f>IFERROR(IF(IFERROR(MATCH(103,'كشف الحساب'!$N$4:$N$203,0),0)=0,"",INDEX('كشف الحساب'!$F$4:$F$203,IFERROR(MATCH(103,'كشف الحساب'!$N$4:$N$203,0),0))),"")</f>
        <v/>
      </c>
      <c r="G107" s="66">
        <f>IFERROR(IF(IFERROR(MATCH(103,'كشف الحساب'!$N$4:$N$203,0),0)=0,"",INDEX('كشف الحساب'!$G$4:$G$203,IFERROR(MATCH(103,'كشف الحساب'!$N$4:$N$203,0),0))),"")</f>
        <v/>
      </c>
      <c r="H107" s="66">
        <f>IFERROR(IF(IFERROR(MATCH(103,'كشف الحساب'!$N$4:$N$203,0),0)=0,"",INDEX('كشف الحساب'!$H$4:$H$203,IFERROR(MATCH(103,'كشف الحساب'!$N$4:$N$203,0),0))),"")</f>
        <v/>
      </c>
      <c r="I107" s="66">
        <f>IFERROR(IF(IFERROR(MATCH(103,'كشف الحساب'!$N$4:$N$203,0),0)=0,"",INDEX('كشف الحساب'!$I$4:$I$203,IFERROR(MATCH(103,'كشف الحساب'!$N$4:$N$203,0),0))),"")</f>
        <v/>
      </c>
      <c r="J107" s="70">
        <f>IFERROR(IF(IFERROR(MATCH(103,'كشف الحساب'!$N$4:$N$203,0),0)=0,"",INDEX('كشف الحساب'!$J$4:$J$203,IFERROR(MATCH(103,'كشف الحساب'!$N$4:$N$203,0),0))),"")</f>
        <v/>
      </c>
      <c r="K107" s="66">
        <f>IFERROR(IF(IFERROR(MATCH(103,'كشف الحساب'!$N$4:$N$203,0),0)=0,"",INDEX('كشف الحساب'!$K$4:$K$203,IFERROR(MATCH(103,'كشف الحساب'!$N$4:$N$203,0),0))),"")</f>
        <v/>
      </c>
    </row>
    <row r="108" ht="15" customHeight="1" s="165">
      <c r="A108" s="71">
        <f>IFERROR(IF(IFERROR(MATCH(104,'كشف الحساب'!$N$4:$N$203,0),0)=0,"",INDEX('كشف الحساب'!$A$4:$A$203,IFERROR(MATCH(104,'كشف الحساب'!$N$4:$N$203,0),0))),"")</f>
        <v/>
      </c>
      <c r="B108" s="72">
        <f>IFERROR(IF(IFERROR(MATCH(104,'كشف الحساب'!$N$4:$N$203,0),0)=0,"",INDEX('كشف الحساب'!$B$4:$B$203,IFERROR(MATCH(104,'كشف الحساب'!$N$4:$N$203,0),0))),"")</f>
        <v/>
      </c>
      <c r="C108" s="73">
        <f>IFERROR(IF(IFERROR(MATCH(104,'كشف الحساب'!$N$4:$N$203,0),0)=0,"",INDEX('كشف الحساب'!$C$4:$C$203,IFERROR(MATCH(104,'كشف الحساب'!$N$4:$N$203,0),0))),"")</f>
        <v/>
      </c>
      <c r="D108" s="74">
        <f>IFERROR(IF(IFERROR(MATCH(104,'كشف الحساب'!$N$4:$N$203,0),0)=0,"",INDEX('كشف الحساب'!$D$4:$D$203,IFERROR(MATCH(104,'كشف الحساب'!$N$4:$N$203,0),0))),"")</f>
        <v/>
      </c>
      <c r="E108" s="75">
        <f>IFERROR(IF(IFERROR(MATCH(104,'كشف الحساب'!$N$4:$N$203,0),0)=0,"",INDEX('كشف الحساب'!$E$4:$E$203,IFERROR(MATCH(104,'كشف الحساب'!$N$4:$N$203,0),0))),"")</f>
        <v/>
      </c>
      <c r="F108" s="72">
        <f>IFERROR(IF(IFERROR(MATCH(104,'كشف الحساب'!$N$4:$N$203,0),0)=0,"",INDEX('كشف الحساب'!$F$4:$F$203,IFERROR(MATCH(104,'كشف الحساب'!$N$4:$N$203,0),0))),"")</f>
        <v/>
      </c>
      <c r="G108" s="72">
        <f>IFERROR(IF(IFERROR(MATCH(104,'كشف الحساب'!$N$4:$N$203,0),0)=0,"",INDEX('كشف الحساب'!$G$4:$G$203,IFERROR(MATCH(104,'كشف الحساب'!$N$4:$N$203,0),0))),"")</f>
        <v/>
      </c>
      <c r="H108" s="72">
        <f>IFERROR(IF(IFERROR(MATCH(104,'كشف الحساب'!$N$4:$N$203,0),0)=0,"",INDEX('كشف الحساب'!$H$4:$H$203,IFERROR(MATCH(104,'كشف الحساب'!$N$4:$N$203,0),0))),"")</f>
        <v/>
      </c>
      <c r="I108" s="72">
        <f>IFERROR(IF(IFERROR(MATCH(104,'كشف الحساب'!$N$4:$N$203,0),0)=0,"",INDEX('كشف الحساب'!$I$4:$I$203,IFERROR(MATCH(104,'كشف الحساب'!$N$4:$N$203,0),0))),"")</f>
        <v/>
      </c>
      <c r="J108" s="76">
        <f>IFERROR(IF(IFERROR(MATCH(104,'كشف الحساب'!$N$4:$N$203,0),0)=0,"",INDEX('كشف الحساب'!$J$4:$J$203,IFERROR(MATCH(104,'كشف الحساب'!$N$4:$N$203,0),0))),"")</f>
        <v/>
      </c>
      <c r="K108" s="72">
        <f>IFERROR(IF(IFERROR(MATCH(104,'كشف الحساب'!$N$4:$N$203,0),0)=0,"",INDEX('كشف الحساب'!$K$4:$K$203,IFERROR(MATCH(104,'كشف الحساب'!$N$4:$N$203,0),0))),"")</f>
        <v/>
      </c>
    </row>
    <row r="109" ht="15" customHeight="1" s="165">
      <c r="A109" s="65">
        <f>IFERROR(IF(IFERROR(MATCH(105,'كشف الحساب'!$N$4:$N$203,0),0)=0,"",INDEX('كشف الحساب'!$A$4:$A$203,IFERROR(MATCH(105,'كشف الحساب'!$N$4:$N$203,0),0))),"")</f>
        <v/>
      </c>
      <c r="B109" s="66">
        <f>IFERROR(IF(IFERROR(MATCH(105,'كشف الحساب'!$N$4:$N$203,0),0)=0,"",INDEX('كشف الحساب'!$B$4:$B$203,IFERROR(MATCH(105,'كشف الحساب'!$N$4:$N$203,0),0))),"")</f>
        <v/>
      </c>
      <c r="C109" s="67">
        <f>IFERROR(IF(IFERROR(MATCH(105,'كشف الحساب'!$N$4:$N$203,0),0)=0,"",INDEX('كشف الحساب'!$C$4:$C$203,IFERROR(MATCH(105,'كشف الحساب'!$N$4:$N$203,0),0))),"")</f>
        <v/>
      </c>
      <c r="D109" s="68">
        <f>IFERROR(IF(IFERROR(MATCH(105,'كشف الحساب'!$N$4:$N$203,0),0)=0,"",INDEX('كشف الحساب'!$D$4:$D$203,IFERROR(MATCH(105,'كشف الحساب'!$N$4:$N$203,0),0))),"")</f>
        <v/>
      </c>
      <c r="E109" s="69">
        <f>IFERROR(IF(IFERROR(MATCH(105,'كشف الحساب'!$N$4:$N$203,0),0)=0,"",INDEX('كشف الحساب'!$E$4:$E$203,IFERROR(MATCH(105,'كشف الحساب'!$N$4:$N$203,0),0))),"")</f>
        <v/>
      </c>
      <c r="F109" s="66">
        <f>IFERROR(IF(IFERROR(MATCH(105,'كشف الحساب'!$N$4:$N$203,0),0)=0,"",INDEX('كشف الحساب'!$F$4:$F$203,IFERROR(MATCH(105,'كشف الحساب'!$N$4:$N$203,0),0))),"")</f>
        <v/>
      </c>
      <c r="G109" s="66">
        <f>IFERROR(IF(IFERROR(MATCH(105,'كشف الحساب'!$N$4:$N$203,0),0)=0,"",INDEX('كشف الحساب'!$G$4:$G$203,IFERROR(MATCH(105,'كشف الحساب'!$N$4:$N$203,0),0))),"")</f>
        <v/>
      </c>
      <c r="H109" s="66">
        <f>IFERROR(IF(IFERROR(MATCH(105,'كشف الحساب'!$N$4:$N$203,0),0)=0,"",INDEX('كشف الحساب'!$H$4:$H$203,IFERROR(MATCH(105,'كشف الحساب'!$N$4:$N$203,0),0))),"")</f>
        <v/>
      </c>
      <c r="I109" s="66">
        <f>IFERROR(IF(IFERROR(MATCH(105,'كشف الحساب'!$N$4:$N$203,0),0)=0,"",INDEX('كشف الحساب'!$I$4:$I$203,IFERROR(MATCH(105,'كشف الحساب'!$N$4:$N$203,0),0))),"")</f>
        <v/>
      </c>
      <c r="J109" s="70">
        <f>IFERROR(IF(IFERROR(MATCH(105,'كشف الحساب'!$N$4:$N$203,0),0)=0,"",INDEX('كشف الحساب'!$J$4:$J$203,IFERROR(MATCH(105,'كشف الحساب'!$N$4:$N$203,0),0))),"")</f>
        <v/>
      </c>
      <c r="K109" s="66">
        <f>IFERROR(IF(IFERROR(MATCH(105,'كشف الحساب'!$N$4:$N$203,0),0)=0,"",INDEX('كشف الحساب'!$K$4:$K$203,IFERROR(MATCH(105,'كشف الحساب'!$N$4:$N$203,0),0))),"")</f>
        <v/>
      </c>
    </row>
    <row r="110" ht="15" customHeight="1" s="165">
      <c r="A110" s="71">
        <f>IFERROR(IF(IFERROR(MATCH(106,'كشف الحساب'!$N$4:$N$203,0),0)=0,"",INDEX('كشف الحساب'!$A$4:$A$203,IFERROR(MATCH(106,'كشف الحساب'!$N$4:$N$203,0),0))),"")</f>
        <v/>
      </c>
      <c r="B110" s="72">
        <f>IFERROR(IF(IFERROR(MATCH(106,'كشف الحساب'!$N$4:$N$203,0),0)=0,"",INDEX('كشف الحساب'!$B$4:$B$203,IFERROR(MATCH(106,'كشف الحساب'!$N$4:$N$203,0),0))),"")</f>
        <v/>
      </c>
      <c r="C110" s="73">
        <f>IFERROR(IF(IFERROR(MATCH(106,'كشف الحساب'!$N$4:$N$203,0),0)=0,"",INDEX('كشف الحساب'!$C$4:$C$203,IFERROR(MATCH(106,'كشف الحساب'!$N$4:$N$203,0),0))),"")</f>
        <v/>
      </c>
      <c r="D110" s="74">
        <f>IFERROR(IF(IFERROR(MATCH(106,'كشف الحساب'!$N$4:$N$203,0),0)=0,"",INDEX('كشف الحساب'!$D$4:$D$203,IFERROR(MATCH(106,'كشف الحساب'!$N$4:$N$203,0),0))),"")</f>
        <v/>
      </c>
      <c r="E110" s="75">
        <f>IFERROR(IF(IFERROR(MATCH(106,'كشف الحساب'!$N$4:$N$203,0),0)=0,"",INDEX('كشف الحساب'!$E$4:$E$203,IFERROR(MATCH(106,'كشف الحساب'!$N$4:$N$203,0),0))),"")</f>
        <v/>
      </c>
      <c r="F110" s="72">
        <f>IFERROR(IF(IFERROR(MATCH(106,'كشف الحساب'!$N$4:$N$203,0),0)=0,"",INDEX('كشف الحساب'!$F$4:$F$203,IFERROR(MATCH(106,'كشف الحساب'!$N$4:$N$203,0),0))),"")</f>
        <v/>
      </c>
      <c r="G110" s="72">
        <f>IFERROR(IF(IFERROR(MATCH(106,'كشف الحساب'!$N$4:$N$203,0),0)=0,"",INDEX('كشف الحساب'!$G$4:$G$203,IFERROR(MATCH(106,'كشف الحساب'!$N$4:$N$203,0),0))),"")</f>
        <v/>
      </c>
      <c r="H110" s="72">
        <f>IFERROR(IF(IFERROR(MATCH(106,'كشف الحساب'!$N$4:$N$203,0),0)=0,"",INDEX('كشف الحساب'!$H$4:$H$203,IFERROR(MATCH(106,'كشف الحساب'!$N$4:$N$203,0),0))),"")</f>
        <v/>
      </c>
      <c r="I110" s="72">
        <f>IFERROR(IF(IFERROR(MATCH(106,'كشف الحساب'!$N$4:$N$203,0),0)=0,"",INDEX('كشف الحساب'!$I$4:$I$203,IFERROR(MATCH(106,'كشف الحساب'!$N$4:$N$203,0),0))),"")</f>
        <v/>
      </c>
      <c r="J110" s="76">
        <f>IFERROR(IF(IFERROR(MATCH(106,'كشف الحساب'!$N$4:$N$203,0),0)=0,"",INDEX('كشف الحساب'!$J$4:$J$203,IFERROR(MATCH(106,'كشف الحساب'!$N$4:$N$203,0),0))),"")</f>
        <v/>
      </c>
      <c r="K110" s="72">
        <f>IFERROR(IF(IFERROR(MATCH(106,'كشف الحساب'!$N$4:$N$203,0),0)=0,"",INDEX('كشف الحساب'!$K$4:$K$203,IFERROR(MATCH(106,'كشف الحساب'!$N$4:$N$203,0),0))),"")</f>
        <v/>
      </c>
    </row>
    <row r="111" ht="15" customHeight="1" s="165">
      <c r="A111" s="65">
        <f>IFERROR(IF(IFERROR(MATCH(107,'كشف الحساب'!$N$4:$N$203,0),0)=0,"",INDEX('كشف الحساب'!$A$4:$A$203,IFERROR(MATCH(107,'كشف الحساب'!$N$4:$N$203,0),0))),"")</f>
        <v/>
      </c>
      <c r="B111" s="66">
        <f>IFERROR(IF(IFERROR(MATCH(107,'كشف الحساب'!$N$4:$N$203,0),0)=0,"",INDEX('كشف الحساب'!$B$4:$B$203,IFERROR(MATCH(107,'كشف الحساب'!$N$4:$N$203,0),0))),"")</f>
        <v/>
      </c>
      <c r="C111" s="67">
        <f>IFERROR(IF(IFERROR(MATCH(107,'كشف الحساب'!$N$4:$N$203,0),0)=0,"",INDEX('كشف الحساب'!$C$4:$C$203,IFERROR(MATCH(107,'كشف الحساب'!$N$4:$N$203,0),0))),"")</f>
        <v/>
      </c>
      <c r="D111" s="68">
        <f>IFERROR(IF(IFERROR(MATCH(107,'كشف الحساب'!$N$4:$N$203,0),0)=0,"",INDEX('كشف الحساب'!$D$4:$D$203,IFERROR(MATCH(107,'كشف الحساب'!$N$4:$N$203,0),0))),"")</f>
        <v/>
      </c>
      <c r="E111" s="69">
        <f>IFERROR(IF(IFERROR(MATCH(107,'كشف الحساب'!$N$4:$N$203,0),0)=0,"",INDEX('كشف الحساب'!$E$4:$E$203,IFERROR(MATCH(107,'كشف الحساب'!$N$4:$N$203,0),0))),"")</f>
        <v/>
      </c>
      <c r="F111" s="66">
        <f>IFERROR(IF(IFERROR(MATCH(107,'كشف الحساب'!$N$4:$N$203,0),0)=0,"",INDEX('كشف الحساب'!$F$4:$F$203,IFERROR(MATCH(107,'كشف الحساب'!$N$4:$N$203,0),0))),"")</f>
        <v/>
      </c>
      <c r="G111" s="66">
        <f>IFERROR(IF(IFERROR(MATCH(107,'كشف الحساب'!$N$4:$N$203,0),0)=0,"",INDEX('كشف الحساب'!$G$4:$G$203,IFERROR(MATCH(107,'كشف الحساب'!$N$4:$N$203,0),0))),"")</f>
        <v/>
      </c>
      <c r="H111" s="66">
        <f>IFERROR(IF(IFERROR(MATCH(107,'كشف الحساب'!$N$4:$N$203,0),0)=0,"",INDEX('كشف الحساب'!$H$4:$H$203,IFERROR(MATCH(107,'كشف الحساب'!$N$4:$N$203,0),0))),"")</f>
        <v/>
      </c>
      <c r="I111" s="66">
        <f>IFERROR(IF(IFERROR(MATCH(107,'كشف الحساب'!$N$4:$N$203,0),0)=0,"",INDEX('كشف الحساب'!$I$4:$I$203,IFERROR(MATCH(107,'كشف الحساب'!$N$4:$N$203,0),0))),"")</f>
        <v/>
      </c>
      <c r="J111" s="70">
        <f>IFERROR(IF(IFERROR(MATCH(107,'كشف الحساب'!$N$4:$N$203,0),0)=0,"",INDEX('كشف الحساب'!$J$4:$J$203,IFERROR(MATCH(107,'كشف الحساب'!$N$4:$N$203,0),0))),"")</f>
        <v/>
      </c>
      <c r="K111" s="66">
        <f>IFERROR(IF(IFERROR(MATCH(107,'كشف الحساب'!$N$4:$N$203,0),0)=0,"",INDEX('كشف الحساب'!$K$4:$K$203,IFERROR(MATCH(107,'كشف الحساب'!$N$4:$N$203,0),0))),"")</f>
        <v/>
      </c>
    </row>
    <row r="112" ht="15" customHeight="1" s="165">
      <c r="A112" s="71">
        <f>IFERROR(IF(IFERROR(MATCH(108,'كشف الحساب'!$N$4:$N$203,0),0)=0,"",INDEX('كشف الحساب'!$A$4:$A$203,IFERROR(MATCH(108,'كشف الحساب'!$N$4:$N$203,0),0))),"")</f>
        <v/>
      </c>
      <c r="B112" s="72">
        <f>IFERROR(IF(IFERROR(MATCH(108,'كشف الحساب'!$N$4:$N$203,0),0)=0,"",INDEX('كشف الحساب'!$B$4:$B$203,IFERROR(MATCH(108,'كشف الحساب'!$N$4:$N$203,0),0))),"")</f>
        <v/>
      </c>
      <c r="C112" s="73">
        <f>IFERROR(IF(IFERROR(MATCH(108,'كشف الحساب'!$N$4:$N$203,0),0)=0,"",INDEX('كشف الحساب'!$C$4:$C$203,IFERROR(MATCH(108,'كشف الحساب'!$N$4:$N$203,0),0))),"")</f>
        <v/>
      </c>
      <c r="D112" s="74">
        <f>IFERROR(IF(IFERROR(MATCH(108,'كشف الحساب'!$N$4:$N$203,0),0)=0,"",INDEX('كشف الحساب'!$D$4:$D$203,IFERROR(MATCH(108,'كشف الحساب'!$N$4:$N$203,0),0))),"")</f>
        <v/>
      </c>
      <c r="E112" s="75">
        <f>IFERROR(IF(IFERROR(MATCH(108,'كشف الحساب'!$N$4:$N$203,0),0)=0,"",INDEX('كشف الحساب'!$E$4:$E$203,IFERROR(MATCH(108,'كشف الحساب'!$N$4:$N$203,0),0))),"")</f>
        <v/>
      </c>
      <c r="F112" s="72">
        <f>IFERROR(IF(IFERROR(MATCH(108,'كشف الحساب'!$N$4:$N$203,0),0)=0,"",INDEX('كشف الحساب'!$F$4:$F$203,IFERROR(MATCH(108,'كشف الحساب'!$N$4:$N$203,0),0))),"")</f>
        <v/>
      </c>
      <c r="G112" s="72">
        <f>IFERROR(IF(IFERROR(MATCH(108,'كشف الحساب'!$N$4:$N$203,0),0)=0,"",INDEX('كشف الحساب'!$G$4:$G$203,IFERROR(MATCH(108,'كشف الحساب'!$N$4:$N$203,0),0))),"")</f>
        <v/>
      </c>
      <c r="H112" s="72">
        <f>IFERROR(IF(IFERROR(MATCH(108,'كشف الحساب'!$N$4:$N$203,0),0)=0,"",INDEX('كشف الحساب'!$H$4:$H$203,IFERROR(MATCH(108,'كشف الحساب'!$N$4:$N$203,0),0))),"")</f>
        <v/>
      </c>
      <c r="I112" s="72">
        <f>IFERROR(IF(IFERROR(MATCH(108,'كشف الحساب'!$N$4:$N$203,0),0)=0,"",INDEX('كشف الحساب'!$I$4:$I$203,IFERROR(MATCH(108,'كشف الحساب'!$N$4:$N$203,0),0))),"")</f>
        <v/>
      </c>
      <c r="J112" s="76">
        <f>IFERROR(IF(IFERROR(MATCH(108,'كشف الحساب'!$N$4:$N$203,0),0)=0,"",INDEX('كشف الحساب'!$J$4:$J$203,IFERROR(MATCH(108,'كشف الحساب'!$N$4:$N$203,0),0))),"")</f>
        <v/>
      </c>
      <c r="K112" s="72">
        <f>IFERROR(IF(IFERROR(MATCH(108,'كشف الحساب'!$N$4:$N$203,0),0)=0,"",INDEX('كشف الحساب'!$K$4:$K$203,IFERROR(MATCH(108,'كشف الحساب'!$N$4:$N$203,0),0))),"")</f>
        <v/>
      </c>
    </row>
    <row r="113" ht="15" customHeight="1" s="165">
      <c r="A113" s="65">
        <f>IFERROR(IF(IFERROR(MATCH(109,'كشف الحساب'!$N$4:$N$203,0),0)=0,"",INDEX('كشف الحساب'!$A$4:$A$203,IFERROR(MATCH(109,'كشف الحساب'!$N$4:$N$203,0),0))),"")</f>
        <v/>
      </c>
      <c r="B113" s="66">
        <f>IFERROR(IF(IFERROR(MATCH(109,'كشف الحساب'!$N$4:$N$203,0),0)=0,"",INDEX('كشف الحساب'!$B$4:$B$203,IFERROR(MATCH(109,'كشف الحساب'!$N$4:$N$203,0),0))),"")</f>
        <v/>
      </c>
      <c r="C113" s="67">
        <f>IFERROR(IF(IFERROR(MATCH(109,'كشف الحساب'!$N$4:$N$203,0),0)=0,"",INDEX('كشف الحساب'!$C$4:$C$203,IFERROR(MATCH(109,'كشف الحساب'!$N$4:$N$203,0),0))),"")</f>
        <v/>
      </c>
      <c r="D113" s="68">
        <f>IFERROR(IF(IFERROR(MATCH(109,'كشف الحساب'!$N$4:$N$203,0),0)=0,"",INDEX('كشف الحساب'!$D$4:$D$203,IFERROR(MATCH(109,'كشف الحساب'!$N$4:$N$203,0),0))),"")</f>
        <v/>
      </c>
      <c r="E113" s="69">
        <f>IFERROR(IF(IFERROR(MATCH(109,'كشف الحساب'!$N$4:$N$203,0),0)=0,"",INDEX('كشف الحساب'!$E$4:$E$203,IFERROR(MATCH(109,'كشف الحساب'!$N$4:$N$203,0),0))),"")</f>
        <v/>
      </c>
      <c r="F113" s="66">
        <f>IFERROR(IF(IFERROR(MATCH(109,'كشف الحساب'!$N$4:$N$203,0),0)=0,"",INDEX('كشف الحساب'!$F$4:$F$203,IFERROR(MATCH(109,'كشف الحساب'!$N$4:$N$203,0),0))),"")</f>
        <v/>
      </c>
      <c r="G113" s="66">
        <f>IFERROR(IF(IFERROR(MATCH(109,'كشف الحساب'!$N$4:$N$203,0),0)=0,"",INDEX('كشف الحساب'!$G$4:$G$203,IFERROR(MATCH(109,'كشف الحساب'!$N$4:$N$203,0),0))),"")</f>
        <v/>
      </c>
      <c r="H113" s="66">
        <f>IFERROR(IF(IFERROR(MATCH(109,'كشف الحساب'!$N$4:$N$203,0),0)=0,"",INDEX('كشف الحساب'!$H$4:$H$203,IFERROR(MATCH(109,'كشف الحساب'!$N$4:$N$203,0),0))),"")</f>
        <v/>
      </c>
      <c r="I113" s="66">
        <f>IFERROR(IF(IFERROR(MATCH(109,'كشف الحساب'!$N$4:$N$203,0),0)=0,"",INDEX('كشف الحساب'!$I$4:$I$203,IFERROR(MATCH(109,'كشف الحساب'!$N$4:$N$203,0),0))),"")</f>
        <v/>
      </c>
      <c r="J113" s="70">
        <f>IFERROR(IF(IFERROR(MATCH(109,'كشف الحساب'!$N$4:$N$203,0),0)=0,"",INDEX('كشف الحساب'!$J$4:$J$203,IFERROR(MATCH(109,'كشف الحساب'!$N$4:$N$203,0),0))),"")</f>
        <v/>
      </c>
      <c r="K113" s="66">
        <f>IFERROR(IF(IFERROR(MATCH(109,'كشف الحساب'!$N$4:$N$203,0),0)=0,"",INDEX('كشف الحساب'!$K$4:$K$203,IFERROR(MATCH(109,'كشف الحساب'!$N$4:$N$203,0),0))),"")</f>
        <v/>
      </c>
    </row>
    <row r="114" ht="15" customHeight="1" s="165">
      <c r="A114" s="71">
        <f>IFERROR(IF(IFERROR(MATCH(110,'كشف الحساب'!$N$4:$N$203,0),0)=0,"",INDEX('كشف الحساب'!$A$4:$A$203,IFERROR(MATCH(110,'كشف الحساب'!$N$4:$N$203,0),0))),"")</f>
        <v/>
      </c>
      <c r="B114" s="72">
        <f>IFERROR(IF(IFERROR(MATCH(110,'كشف الحساب'!$N$4:$N$203,0),0)=0,"",INDEX('كشف الحساب'!$B$4:$B$203,IFERROR(MATCH(110,'كشف الحساب'!$N$4:$N$203,0),0))),"")</f>
        <v/>
      </c>
      <c r="C114" s="73">
        <f>IFERROR(IF(IFERROR(MATCH(110,'كشف الحساب'!$N$4:$N$203,0),0)=0,"",INDEX('كشف الحساب'!$C$4:$C$203,IFERROR(MATCH(110,'كشف الحساب'!$N$4:$N$203,0),0))),"")</f>
        <v/>
      </c>
      <c r="D114" s="74">
        <f>IFERROR(IF(IFERROR(MATCH(110,'كشف الحساب'!$N$4:$N$203,0),0)=0,"",INDEX('كشف الحساب'!$D$4:$D$203,IFERROR(MATCH(110,'كشف الحساب'!$N$4:$N$203,0),0))),"")</f>
        <v/>
      </c>
      <c r="E114" s="75">
        <f>IFERROR(IF(IFERROR(MATCH(110,'كشف الحساب'!$N$4:$N$203,0),0)=0,"",INDEX('كشف الحساب'!$E$4:$E$203,IFERROR(MATCH(110,'كشف الحساب'!$N$4:$N$203,0),0))),"")</f>
        <v/>
      </c>
      <c r="F114" s="72">
        <f>IFERROR(IF(IFERROR(MATCH(110,'كشف الحساب'!$N$4:$N$203,0),0)=0,"",INDEX('كشف الحساب'!$F$4:$F$203,IFERROR(MATCH(110,'كشف الحساب'!$N$4:$N$203,0),0))),"")</f>
        <v/>
      </c>
      <c r="G114" s="72">
        <f>IFERROR(IF(IFERROR(MATCH(110,'كشف الحساب'!$N$4:$N$203,0),0)=0,"",INDEX('كشف الحساب'!$G$4:$G$203,IFERROR(MATCH(110,'كشف الحساب'!$N$4:$N$203,0),0))),"")</f>
        <v/>
      </c>
      <c r="H114" s="72">
        <f>IFERROR(IF(IFERROR(MATCH(110,'كشف الحساب'!$N$4:$N$203,0),0)=0,"",INDEX('كشف الحساب'!$H$4:$H$203,IFERROR(MATCH(110,'كشف الحساب'!$N$4:$N$203,0),0))),"")</f>
        <v/>
      </c>
      <c r="I114" s="72">
        <f>IFERROR(IF(IFERROR(MATCH(110,'كشف الحساب'!$N$4:$N$203,0),0)=0,"",INDEX('كشف الحساب'!$I$4:$I$203,IFERROR(MATCH(110,'كشف الحساب'!$N$4:$N$203,0),0))),"")</f>
        <v/>
      </c>
      <c r="J114" s="76">
        <f>IFERROR(IF(IFERROR(MATCH(110,'كشف الحساب'!$N$4:$N$203,0),0)=0,"",INDEX('كشف الحساب'!$J$4:$J$203,IFERROR(MATCH(110,'كشف الحساب'!$N$4:$N$203,0),0))),"")</f>
        <v/>
      </c>
      <c r="K114" s="72">
        <f>IFERROR(IF(IFERROR(MATCH(110,'كشف الحساب'!$N$4:$N$203,0),0)=0,"",INDEX('كشف الحساب'!$K$4:$K$203,IFERROR(MATCH(110,'كشف الحساب'!$N$4:$N$203,0),0))),"")</f>
        <v/>
      </c>
    </row>
    <row r="115" ht="15" customHeight="1" s="165">
      <c r="A115" s="65">
        <f>IFERROR(IF(IFERROR(MATCH(111,'كشف الحساب'!$N$4:$N$203,0),0)=0,"",INDEX('كشف الحساب'!$A$4:$A$203,IFERROR(MATCH(111,'كشف الحساب'!$N$4:$N$203,0),0))),"")</f>
        <v/>
      </c>
      <c r="B115" s="66">
        <f>IFERROR(IF(IFERROR(MATCH(111,'كشف الحساب'!$N$4:$N$203,0),0)=0,"",INDEX('كشف الحساب'!$B$4:$B$203,IFERROR(MATCH(111,'كشف الحساب'!$N$4:$N$203,0),0))),"")</f>
        <v/>
      </c>
      <c r="C115" s="67">
        <f>IFERROR(IF(IFERROR(MATCH(111,'كشف الحساب'!$N$4:$N$203,0),0)=0,"",INDEX('كشف الحساب'!$C$4:$C$203,IFERROR(MATCH(111,'كشف الحساب'!$N$4:$N$203,0),0))),"")</f>
        <v/>
      </c>
      <c r="D115" s="68">
        <f>IFERROR(IF(IFERROR(MATCH(111,'كشف الحساب'!$N$4:$N$203,0),0)=0,"",INDEX('كشف الحساب'!$D$4:$D$203,IFERROR(MATCH(111,'كشف الحساب'!$N$4:$N$203,0),0))),"")</f>
        <v/>
      </c>
      <c r="E115" s="69">
        <f>IFERROR(IF(IFERROR(MATCH(111,'كشف الحساب'!$N$4:$N$203,0),0)=0,"",INDEX('كشف الحساب'!$E$4:$E$203,IFERROR(MATCH(111,'كشف الحساب'!$N$4:$N$203,0),0))),"")</f>
        <v/>
      </c>
      <c r="F115" s="66">
        <f>IFERROR(IF(IFERROR(MATCH(111,'كشف الحساب'!$N$4:$N$203,0),0)=0,"",INDEX('كشف الحساب'!$F$4:$F$203,IFERROR(MATCH(111,'كشف الحساب'!$N$4:$N$203,0),0))),"")</f>
        <v/>
      </c>
      <c r="G115" s="66">
        <f>IFERROR(IF(IFERROR(MATCH(111,'كشف الحساب'!$N$4:$N$203,0),0)=0,"",INDEX('كشف الحساب'!$G$4:$G$203,IFERROR(MATCH(111,'كشف الحساب'!$N$4:$N$203,0),0))),"")</f>
        <v/>
      </c>
      <c r="H115" s="66">
        <f>IFERROR(IF(IFERROR(MATCH(111,'كشف الحساب'!$N$4:$N$203,0),0)=0,"",INDEX('كشف الحساب'!$H$4:$H$203,IFERROR(MATCH(111,'كشف الحساب'!$N$4:$N$203,0),0))),"")</f>
        <v/>
      </c>
      <c r="I115" s="66">
        <f>IFERROR(IF(IFERROR(MATCH(111,'كشف الحساب'!$N$4:$N$203,0),0)=0,"",INDEX('كشف الحساب'!$I$4:$I$203,IFERROR(MATCH(111,'كشف الحساب'!$N$4:$N$203,0),0))),"")</f>
        <v/>
      </c>
      <c r="J115" s="70">
        <f>IFERROR(IF(IFERROR(MATCH(111,'كشف الحساب'!$N$4:$N$203,0),0)=0,"",INDEX('كشف الحساب'!$J$4:$J$203,IFERROR(MATCH(111,'كشف الحساب'!$N$4:$N$203,0),0))),"")</f>
        <v/>
      </c>
      <c r="K115" s="66">
        <f>IFERROR(IF(IFERROR(MATCH(111,'كشف الحساب'!$N$4:$N$203,0),0)=0,"",INDEX('كشف الحساب'!$K$4:$K$203,IFERROR(MATCH(111,'كشف الحساب'!$N$4:$N$203,0),0))),"")</f>
        <v/>
      </c>
    </row>
    <row r="116" ht="15" customHeight="1" s="165">
      <c r="A116" s="71">
        <f>IFERROR(IF(IFERROR(MATCH(112,'كشف الحساب'!$N$4:$N$203,0),0)=0,"",INDEX('كشف الحساب'!$A$4:$A$203,IFERROR(MATCH(112,'كشف الحساب'!$N$4:$N$203,0),0))),"")</f>
        <v/>
      </c>
      <c r="B116" s="72">
        <f>IFERROR(IF(IFERROR(MATCH(112,'كشف الحساب'!$N$4:$N$203,0),0)=0,"",INDEX('كشف الحساب'!$B$4:$B$203,IFERROR(MATCH(112,'كشف الحساب'!$N$4:$N$203,0),0))),"")</f>
        <v/>
      </c>
      <c r="C116" s="73">
        <f>IFERROR(IF(IFERROR(MATCH(112,'كشف الحساب'!$N$4:$N$203,0),0)=0,"",INDEX('كشف الحساب'!$C$4:$C$203,IFERROR(MATCH(112,'كشف الحساب'!$N$4:$N$203,0),0))),"")</f>
        <v/>
      </c>
      <c r="D116" s="74">
        <f>IFERROR(IF(IFERROR(MATCH(112,'كشف الحساب'!$N$4:$N$203,0),0)=0,"",INDEX('كشف الحساب'!$D$4:$D$203,IFERROR(MATCH(112,'كشف الحساب'!$N$4:$N$203,0),0))),"")</f>
        <v/>
      </c>
      <c r="E116" s="75">
        <f>IFERROR(IF(IFERROR(MATCH(112,'كشف الحساب'!$N$4:$N$203,0),0)=0,"",INDEX('كشف الحساب'!$E$4:$E$203,IFERROR(MATCH(112,'كشف الحساب'!$N$4:$N$203,0),0))),"")</f>
        <v/>
      </c>
      <c r="F116" s="72">
        <f>IFERROR(IF(IFERROR(MATCH(112,'كشف الحساب'!$N$4:$N$203,0),0)=0,"",INDEX('كشف الحساب'!$F$4:$F$203,IFERROR(MATCH(112,'كشف الحساب'!$N$4:$N$203,0),0))),"")</f>
        <v/>
      </c>
      <c r="G116" s="72">
        <f>IFERROR(IF(IFERROR(MATCH(112,'كشف الحساب'!$N$4:$N$203,0),0)=0,"",INDEX('كشف الحساب'!$G$4:$G$203,IFERROR(MATCH(112,'كشف الحساب'!$N$4:$N$203,0),0))),"")</f>
        <v/>
      </c>
      <c r="H116" s="72">
        <f>IFERROR(IF(IFERROR(MATCH(112,'كشف الحساب'!$N$4:$N$203,0),0)=0,"",INDEX('كشف الحساب'!$H$4:$H$203,IFERROR(MATCH(112,'كشف الحساب'!$N$4:$N$203,0),0))),"")</f>
        <v/>
      </c>
      <c r="I116" s="72">
        <f>IFERROR(IF(IFERROR(MATCH(112,'كشف الحساب'!$N$4:$N$203,0),0)=0,"",INDEX('كشف الحساب'!$I$4:$I$203,IFERROR(MATCH(112,'كشف الحساب'!$N$4:$N$203,0),0))),"")</f>
        <v/>
      </c>
      <c r="J116" s="76">
        <f>IFERROR(IF(IFERROR(MATCH(112,'كشف الحساب'!$N$4:$N$203,0),0)=0,"",INDEX('كشف الحساب'!$J$4:$J$203,IFERROR(MATCH(112,'كشف الحساب'!$N$4:$N$203,0),0))),"")</f>
        <v/>
      </c>
      <c r="K116" s="72">
        <f>IFERROR(IF(IFERROR(MATCH(112,'كشف الحساب'!$N$4:$N$203,0),0)=0,"",INDEX('كشف الحساب'!$K$4:$K$203,IFERROR(MATCH(112,'كشف الحساب'!$N$4:$N$203,0),0))),"")</f>
        <v/>
      </c>
    </row>
    <row r="117" ht="15" customHeight="1" s="165">
      <c r="A117" s="65">
        <f>IFERROR(IF(IFERROR(MATCH(113,'كشف الحساب'!$N$4:$N$203,0),0)=0,"",INDEX('كشف الحساب'!$A$4:$A$203,IFERROR(MATCH(113,'كشف الحساب'!$N$4:$N$203,0),0))),"")</f>
        <v/>
      </c>
      <c r="B117" s="66">
        <f>IFERROR(IF(IFERROR(MATCH(113,'كشف الحساب'!$N$4:$N$203,0),0)=0,"",INDEX('كشف الحساب'!$B$4:$B$203,IFERROR(MATCH(113,'كشف الحساب'!$N$4:$N$203,0),0))),"")</f>
        <v/>
      </c>
      <c r="C117" s="67">
        <f>IFERROR(IF(IFERROR(MATCH(113,'كشف الحساب'!$N$4:$N$203,0),0)=0,"",INDEX('كشف الحساب'!$C$4:$C$203,IFERROR(MATCH(113,'كشف الحساب'!$N$4:$N$203,0),0))),"")</f>
        <v/>
      </c>
      <c r="D117" s="68">
        <f>IFERROR(IF(IFERROR(MATCH(113,'كشف الحساب'!$N$4:$N$203,0),0)=0,"",INDEX('كشف الحساب'!$D$4:$D$203,IFERROR(MATCH(113,'كشف الحساب'!$N$4:$N$203,0),0))),"")</f>
        <v/>
      </c>
      <c r="E117" s="69">
        <f>IFERROR(IF(IFERROR(MATCH(113,'كشف الحساب'!$N$4:$N$203,0),0)=0,"",INDEX('كشف الحساب'!$E$4:$E$203,IFERROR(MATCH(113,'كشف الحساب'!$N$4:$N$203,0),0))),"")</f>
        <v/>
      </c>
      <c r="F117" s="66">
        <f>IFERROR(IF(IFERROR(MATCH(113,'كشف الحساب'!$N$4:$N$203,0),0)=0,"",INDEX('كشف الحساب'!$F$4:$F$203,IFERROR(MATCH(113,'كشف الحساب'!$N$4:$N$203,0),0))),"")</f>
        <v/>
      </c>
      <c r="G117" s="66">
        <f>IFERROR(IF(IFERROR(MATCH(113,'كشف الحساب'!$N$4:$N$203,0),0)=0,"",INDEX('كشف الحساب'!$G$4:$G$203,IFERROR(MATCH(113,'كشف الحساب'!$N$4:$N$203,0),0))),"")</f>
        <v/>
      </c>
      <c r="H117" s="66">
        <f>IFERROR(IF(IFERROR(MATCH(113,'كشف الحساب'!$N$4:$N$203,0),0)=0,"",INDEX('كشف الحساب'!$H$4:$H$203,IFERROR(MATCH(113,'كشف الحساب'!$N$4:$N$203,0),0))),"")</f>
        <v/>
      </c>
      <c r="I117" s="66">
        <f>IFERROR(IF(IFERROR(MATCH(113,'كشف الحساب'!$N$4:$N$203,0),0)=0,"",INDEX('كشف الحساب'!$I$4:$I$203,IFERROR(MATCH(113,'كشف الحساب'!$N$4:$N$203,0),0))),"")</f>
        <v/>
      </c>
      <c r="J117" s="70">
        <f>IFERROR(IF(IFERROR(MATCH(113,'كشف الحساب'!$N$4:$N$203,0),0)=0,"",INDEX('كشف الحساب'!$J$4:$J$203,IFERROR(MATCH(113,'كشف الحساب'!$N$4:$N$203,0),0))),"")</f>
        <v/>
      </c>
      <c r="K117" s="66">
        <f>IFERROR(IF(IFERROR(MATCH(113,'كشف الحساب'!$N$4:$N$203,0),0)=0,"",INDEX('كشف الحساب'!$K$4:$K$203,IFERROR(MATCH(113,'كشف الحساب'!$N$4:$N$203,0),0))),"")</f>
        <v/>
      </c>
    </row>
    <row r="118" ht="15" customHeight="1" s="165">
      <c r="A118" s="71">
        <f>IFERROR(IF(IFERROR(MATCH(114,'كشف الحساب'!$N$4:$N$203,0),0)=0,"",INDEX('كشف الحساب'!$A$4:$A$203,IFERROR(MATCH(114,'كشف الحساب'!$N$4:$N$203,0),0))),"")</f>
        <v/>
      </c>
      <c r="B118" s="72">
        <f>IFERROR(IF(IFERROR(MATCH(114,'كشف الحساب'!$N$4:$N$203,0),0)=0,"",INDEX('كشف الحساب'!$B$4:$B$203,IFERROR(MATCH(114,'كشف الحساب'!$N$4:$N$203,0),0))),"")</f>
        <v/>
      </c>
      <c r="C118" s="73">
        <f>IFERROR(IF(IFERROR(MATCH(114,'كشف الحساب'!$N$4:$N$203,0),0)=0,"",INDEX('كشف الحساب'!$C$4:$C$203,IFERROR(MATCH(114,'كشف الحساب'!$N$4:$N$203,0),0))),"")</f>
        <v/>
      </c>
      <c r="D118" s="74">
        <f>IFERROR(IF(IFERROR(MATCH(114,'كشف الحساب'!$N$4:$N$203,0),0)=0,"",INDEX('كشف الحساب'!$D$4:$D$203,IFERROR(MATCH(114,'كشف الحساب'!$N$4:$N$203,0),0))),"")</f>
        <v/>
      </c>
      <c r="E118" s="75">
        <f>IFERROR(IF(IFERROR(MATCH(114,'كشف الحساب'!$N$4:$N$203,0),0)=0,"",INDEX('كشف الحساب'!$E$4:$E$203,IFERROR(MATCH(114,'كشف الحساب'!$N$4:$N$203,0),0))),"")</f>
        <v/>
      </c>
      <c r="F118" s="72">
        <f>IFERROR(IF(IFERROR(MATCH(114,'كشف الحساب'!$N$4:$N$203,0),0)=0,"",INDEX('كشف الحساب'!$F$4:$F$203,IFERROR(MATCH(114,'كشف الحساب'!$N$4:$N$203,0),0))),"")</f>
        <v/>
      </c>
      <c r="G118" s="72">
        <f>IFERROR(IF(IFERROR(MATCH(114,'كشف الحساب'!$N$4:$N$203,0),0)=0,"",INDEX('كشف الحساب'!$G$4:$G$203,IFERROR(MATCH(114,'كشف الحساب'!$N$4:$N$203,0),0))),"")</f>
        <v/>
      </c>
      <c r="H118" s="72">
        <f>IFERROR(IF(IFERROR(MATCH(114,'كشف الحساب'!$N$4:$N$203,0),0)=0,"",INDEX('كشف الحساب'!$H$4:$H$203,IFERROR(MATCH(114,'كشف الحساب'!$N$4:$N$203,0),0))),"")</f>
        <v/>
      </c>
      <c r="I118" s="72">
        <f>IFERROR(IF(IFERROR(MATCH(114,'كشف الحساب'!$N$4:$N$203,0),0)=0,"",INDEX('كشف الحساب'!$I$4:$I$203,IFERROR(MATCH(114,'كشف الحساب'!$N$4:$N$203,0),0))),"")</f>
        <v/>
      </c>
      <c r="J118" s="76">
        <f>IFERROR(IF(IFERROR(MATCH(114,'كشف الحساب'!$N$4:$N$203,0),0)=0,"",INDEX('كشف الحساب'!$J$4:$J$203,IFERROR(MATCH(114,'كشف الحساب'!$N$4:$N$203,0),0))),"")</f>
        <v/>
      </c>
      <c r="K118" s="72">
        <f>IFERROR(IF(IFERROR(MATCH(114,'كشف الحساب'!$N$4:$N$203,0),0)=0,"",INDEX('كشف الحساب'!$K$4:$K$203,IFERROR(MATCH(114,'كشف الحساب'!$N$4:$N$203,0),0))),"")</f>
        <v/>
      </c>
    </row>
    <row r="119" ht="15" customHeight="1" s="165">
      <c r="A119" s="65">
        <f>IFERROR(IF(IFERROR(MATCH(115,'كشف الحساب'!$N$4:$N$203,0),0)=0,"",INDEX('كشف الحساب'!$A$4:$A$203,IFERROR(MATCH(115,'كشف الحساب'!$N$4:$N$203,0),0))),"")</f>
        <v/>
      </c>
      <c r="B119" s="66">
        <f>IFERROR(IF(IFERROR(MATCH(115,'كشف الحساب'!$N$4:$N$203,0),0)=0,"",INDEX('كشف الحساب'!$B$4:$B$203,IFERROR(MATCH(115,'كشف الحساب'!$N$4:$N$203,0),0))),"")</f>
        <v/>
      </c>
      <c r="C119" s="67">
        <f>IFERROR(IF(IFERROR(MATCH(115,'كشف الحساب'!$N$4:$N$203,0),0)=0,"",INDEX('كشف الحساب'!$C$4:$C$203,IFERROR(MATCH(115,'كشف الحساب'!$N$4:$N$203,0),0))),"")</f>
        <v/>
      </c>
      <c r="D119" s="68">
        <f>IFERROR(IF(IFERROR(MATCH(115,'كشف الحساب'!$N$4:$N$203,0),0)=0,"",INDEX('كشف الحساب'!$D$4:$D$203,IFERROR(MATCH(115,'كشف الحساب'!$N$4:$N$203,0),0))),"")</f>
        <v/>
      </c>
      <c r="E119" s="69">
        <f>IFERROR(IF(IFERROR(MATCH(115,'كشف الحساب'!$N$4:$N$203,0),0)=0,"",INDEX('كشف الحساب'!$E$4:$E$203,IFERROR(MATCH(115,'كشف الحساب'!$N$4:$N$203,0),0))),"")</f>
        <v/>
      </c>
      <c r="F119" s="66">
        <f>IFERROR(IF(IFERROR(MATCH(115,'كشف الحساب'!$N$4:$N$203,0),0)=0,"",INDEX('كشف الحساب'!$F$4:$F$203,IFERROR(MATCH(115,'كشف الحساب'!$N$4:$N$203,0),0))),"")</f>
        <v/>
      </c>
      <c r="G119" s="66">
        <f>IFERROR(IF(IFERROR(MATCH(115,'كشف الحساب'!$N$4:$N$203,0),0)=0,"",INDEX('كشف الحساب'!$G$4:$G$203,IFERROR(MATCH(115,'كشف الحساب'!$N$4:$N$203,0),0))),"")</f>
        <v/>
      </c>
      <c r="H119" s="66">
        <f>IFERROR(IF(IFERROR(MATCH(115,'كشف الحساب'!$N$4:$N$203,0),0)=0,"",INDEX('كشف الحساب'!$H$4:$H$203,IFERROR(MATCH(115,'كشف الحساب'!$N$4:$N$203,0),0))),"")</f>
        <v/>
      </c>
      <c r="I119" s="66">
        <f>IFERROR(IF(IFERROR(MATCH(115,'كشف الحساب'!$N$4:$N$203,0),0)=0,"",INDEX('كشف الحساب'!$I$4:$I$203,IFERROR(MATCH(115,'كشف الحساب'!$N$4:$N$203,0),0))),"")</f>
        <v/>
      </c>
      <c r="J119" s="70">
        <f>IFERROR(IF(IFERROR(MATCH(115,'كشف الحساب'!$N$4:$N$203,0),0)=0,"",INDEX('كشف الحساب'!$J$4:$J$203,IFERROR(MATCH(115,'كشف الحساب'!$N$4:$N$203,0),0))),"")</f>
        <v/>
      </c>
      <c r="K119" s="66">
        <f>IFERROR(IF(IFERROR(MATCH(115,'كشف الحساب'!$N$4:$N$203,0),0)=0,"",INDEX('كشف الحساب'!$K$4:$K$203,IFERROR(MATCH(115,'كشف الحساب'!$N$4:$N$203,0),0))),"")</f>
        <v/>
      </c>
    </row>
    <row r="120" ht="15" customHeight="1" s="165">
      <c r="A120" s="71">
        <f>IFERROR(IF(IFERROR(MATCH(116,'كشف الحساب'!$N$4:$N$203,0),0)=0,"",INDEX('كشف الحساب'!$A$4:$A$203,IFERROR(MATCH(116,'كشف الحساب'!$N$4:$N$203,0),0))),"")</f>
        <v/>
      </c>
      <c r="B120" s="72">
        <f>IFERROR(IF(IFERROR(MATCH(116,'كشف الحساب'!$N$4:$N$203,0),0)=0,"",INDEX('كشف الحساب'!$B$4:$B$203,IFERROR(MATCH(116,'كشف الحساب'!$N$4:$N$203,0),0))),"")</f>
        <v/>
      </c>
      <c r="C120" s="73">
        <f>IFERROR(IF(IFERROR(MATCH(116,'كشف الحساب'!$N$4:$N$203,0),0)=0,"",INDEX('كشف الحساب'!$C$4:$C$203,IFERROR(MATCH(116,'كشف الحساب'!$N$4:$N$203,0),0))),"")</f>
        <v/>
      </c>
      <c r="D120" s="74">
        <f>IFERROR(IF(IFERROR(MATCH(116,'كشف الحساب'!$N$4:$N$203,0),0)=0,"",INDEX('كشف الحساب'!$D$4:$D$203,IFERROR(MATCH(116,'كشف الحساب'!$N$4:$N$203,0),0))),"")</f>
        <v/>
      </c>
      <c r="E120" s="75">
        <f>IFERROR(IF(IFERROR(MATCH(116,'كشف الحساب'!$N$4:$N$203,0),0)=0,"",INDEX('كشف الحساب'!$E$4:$E$203,IFERROR(MATCH(116,'كشف الحساب'!$N$4:$N$203,0),0))),"")</f>
        <v/>
      </c>
      <c r="F120" s="72">
        <f>IFERROR(IF(IFERROR(MATCH(116,'كشف الحساب'!$N$4:$N$203,0),0)=0,"",INDEX('كشف الحساب'!$F$4:$F$203,IFERROR(MATCH(116,'كشف الحساب'!$N$4:$N$203,0),0))),"")</f>
        <v/>
      </c>
      <c r="G120" s="72">
        <f>IFERROR(IF(IFERROR(MATCH(116,'كشف الحساب'!$N$4:$N$203,0),0)=0,"",INDEX('كشف الحساب'!$G$4:$G$203,IFERROR(MATCH(116,'كشف الحساب'!$N$4:$N$203,0),0))),"")</f>
        <v/>
      </c>
      <c r="H120" s="72">
        <f>IFERROR(IF(IFERROR(MATCH(116,'كشف الحساب'!$N$4:$N$203,0),0)=0,"",INDEX('كشف الحساب'!$H$4:$H$203,IFERROR(MATCH(116,'كشف الحساب'!$N$4:$N$203,0),0))),"")</f>
        <v/>
      </c>
      <c r="I120" s="72">
        <f>IFERROR(IF(IFERROR(MATCH(116,'كشف الحساب'!$N$4:$N$203,0),0)=0,"",INDEX('كشف الحساب'!$I$4:$I$203,IFERROR(MATCH(116,'كشف الحساب'!$N$4:$N$203,0),0))),"")</f>
        <v/>
      </c>
      <c r="J120" s="76">
        <f>IFERROR(IF(IFERROR(MATCH(116,'كشف الحساب'!$N$4:$N$203,0),0)=0,"",INDEX('كشف الحساب'!$J$4:$J$203,IFERROR(MATCH(116,'كشف الحساب'!$N$4:$N$203,0),0))),"")</f>
        <v/>
      </c>
      <c r="K120" s="72">
        <f>IFERROR(IF(IFERROR(MATCH(116,'كشف الحساب'!$N$4:$N$203,0),0)=0,"",INDEX('كشف الحساب'!$K$4:$K$203,IFERROR(MATCH(116,'كشف الحساب'!$N$4:$N$203,0),0))),"")</f>
        <v/>
      </c>
    </row>
    <row r="121" ht="15" customHeight="1" s="165">
      <c r="A121" s="65">
        <f>IFERROR(IF(IFERROR(MATCH(117,'كشف الحساب'!$N$4:$N$203,0),0)=0,"",INDEX('كشف الحساب'!$A$4:$A$203,IFERROR(MATCH(117,'كشف الحساب'!$N$4:$N$203,0),0))),"")</f>
        <v/>
      </c>
      <c r="B121" s="66">
        <f>IFERROR(IF(IFERROR(MATCH(117,'كشف الحساب'!$N$4:$N$203,0),0)=0,"",INDEX('كشف الحساب'!$B$4:$B$203,IFERROR(MATCH(117,'كشف الحساب'!$N$4:$N$203,0),0))),"")</f>
        <v/>
      </c>
      <c r="C121" s="67">
        <f>IFERROR(IF(IFERROR(MATCH(117,'كشف الحساب'!$N$4:$N$203,0),0)=0,"",INDEX('كشف الحساب'!$C$4:$C$203,IFERROR(MATCH(117,'كشف الحساب'!$N$4:$N$203,0),0))),"")</f>
        <v/>
      </c>
      <c r="D121" s="68">
        <f>IFERROR(IF(IFERROR(MATCH(117,'كشف الحساب'!$N$4:$N$203,0),0)=0,"",INDEX('كشف الحساب'!$D$4:$D$203,IFERROR(MATCH(117,'كشف الحساب'!$N$4:$N$203,0),0))),"")</f>
        <v/>
      </c>
      <c r="E121" s="69">
        <f>IFERROR(IF(IFERROR(MATCH(117,'كشف الحساب'!$N$4:$N$203,0),0)=0,"",INDEX('كشف الحساب'!$E$4:$E$203,IFERROR(MATCH(117,'كشف الحساب'!$N$4:$N$203,0),0))),"")</f>
        <v/>
      </c>
      <c r="F121" s="66">
        <f>IFERROR(IF(IFERROR(MATCH(117,'كشف الحساب'!$N$4:$N$203,0),0)=0,"",INDEX('كشف الحساب'!$F$4:$F$203,IFERROR(MATCH(117,'كشف الحساب'!$N$4:$N$203,0),0))),"")</f>
        <v/>
      </c>
      <c r="G121" s="66">
        <f>IFERROR(IF(IFERROR(MATCH(117,'كشف الحساب'!$N$4:$N$203,0),0)=0,"",INDEX('كشف الحساب'!$G$4:$G$203,IFERROR(MATCH(117,'كشف الحساب'!$N$4:$N$203,0),0))),"")</f>
        <v/>
      </c>
      <c r="H121" s="66">
        <f>IFERROR(IF(IFERROR(MATCH(117,'كشف الحساب'!$N$4:$N$203,0),0)=0,"",INDEX('كشف الحساب'!$H$4:$H$203,IFERROR(MATCH(117,'كشف الحساب'!$N$4:$N$203,0),0))),"")</f>
        <v/>
      </c>
      <c r="I121" s="66">
        <f>IFERROR(IF(IFERROR(MATCH(117,'كشف الحساب'!$N$4:$N$203,0),0)=0,"",INDEX('كشف الحساب'!$I$4:$I$203,IFERROR(MATCH(117,'كشف الحساب'!$N$4:$N$203,0),0))),"")</f>
        <v/>
      </c>
      <c r="J121" s="70">
        <f>IFERROR(IF(IFERROR(MATCH(117,'كشف الحساب'!$N$4:$N$203,0),0)=0,"",INDEX('كشف الحساب'!$J$4:$J$203,IFERROR(MATCH(117,'كشف الحساب'!$N$4:$N$203,0),0))),"")</f>
        <v/>
      </c>
      <c r="K121" s="66">
        <f>IFERROR(IF(IFERROR(MATCH(117,'كشف الحساب'!$N$4:$N$203,0),0)=0,"",INDEX('كشف الحساب'!$K$4:$K$203,IFERROR(MATCH(117,'كشف الحساب'!$N$4:$N$203,0),0))),"")</f>
        <v/>
      </c>
    </row>
    <row r="122" ht="15" customHeight="1" s="165">
      <c r="A122" s="71">
        <f>IFERROR(IF(IFERROR(MATCH(118,'كشف الحساب'!$N$4:$N$203,0),0)=0,"",INDEX('كشف الحساب'!$A$4:$A$203,IFERROR(MATCH(118,'كشف الحساب'!$N$4:$N$203,0),0))),"")</f>
        <v/>
      </c>
      <c r="B122" s="72">
        <f>IFERROR(IF(IFERROR(MATCH(118,'كشف الحساب'!$N$4:$N$203,0),0)=0,"",INDEX('كشف الحساب'!$B$4:$B$203,IFERROR(MATCH(118,'كشف الحساب'!$N$4:$N$203,0),0))),"")</f>
        <v/>
      </c>
      <c r="C122" s="73">
        <f>IFERROR(IF(IFERROR(MATCH(118,'كشف الحساب'!$N$4:$N$203,0),0)=0,"",INDEX('كشف الحساب'!$C$4:$C$203,IFERROR(MATCH(118,'كشف الحساب'!$N$4:$N$203,0),0))),"")</f>
        <v/>
      </c>
      <c r="D122" s="74">
        <f>IFERROR(IF(IFERROR(MATCH(118,'كشف الحساب'!$N$4:$N$203,0),0)=0,"",INDEX('كشف الحساب'!$D$4:$D$203,IFERROR(MATCH(118,'كشف الحساب'!$N$4:$N$203,0),0))),"")</f>
        <v/>
      </c>
      <c r="E122" s="75">
        <f>IFERROR(IF(IFERROR(MATCH(118,'كشف الحساب'!$N$4:$N$203,0),0)=0,"",INDEX('كشف الحساب'!$E$4:$E$203,IFERROR(MATCH(118,'كشف الحساب'!$N$4:$N$203,0),0))),"")</f>
        <v/>
      </c>
      <c r="F122" s="72">
        <f>IFERROR(IF(IFERROR(MATCH(118,'كشف الحساب'!$N$4:$N$203,0),0)=0,"",INDEX('كشف الحساب'!$F$4:$F$203,IFERROR(MATCH(118,'كشف الحساب'!$N$4:$N$203,0),0))),"")</f>
        <v/>
      </c>
      <c r="G122" s="72">
        <f>IFERROR(IF(IFERROR(MATCH(118,'كشف الحساب'!$N$4:$N$203,0),0)=0,"",INDEX('كشف الحساب'!$G$4:$G$203,IFERROR(MATCH(118,'كشف الحساب'!$N$4:$N$203,0),0))),"")</f>
        <v/>
      </c>
      <c r="H122" s="72">
        <f>IFERROR(IF(IFERROR(MATCH(118,'كشف الحساب'!$N$4:$N$203,0),0)=0,"",INDEX('كشف الحساب'!$H$4:$H$203,IFERROR(MATCH(118,'كشف الحساب'!$N$4:$N$203,0),0))),"")</f>
        <v/>
      </c>
      <c r="I122" s="72">
        <f>IFERROR(IF(IFERROR(MATCH(118,'كشف الحساب'!$N$4:$N$203,0),0)=0,"",INDEX('كشف الحساب'!$I$4:$I$203,IFERROR(MATCH(118,'كشف الحساب'!$N$4:$N$203,0),0))),"")</f>
        <v/>
      </c>
      <c r="J122" s="76">
        <f>IFERROR(IF(IFERROR(MATCH(118,'كشف الحساب'!$N$4:$N$203,0),0)=0,"",INDEX('كشف الحساب'!$J$4:$J$203,IFERROR(MATCH(118,'كشف الحساب'!$N$4:$N$203,0),0))),"")</f>
        <v/>
      </c>
      <c r="K122" s="72">
        <f>IFERROR(IF(IFERROR(MATCH(118,'كشف الحساب'!$N$4:$N$203,0),0)=0,"",INDEX('كشف الحساب'!$K$4:$K$203,IFERROR(MATCH(118,'كشف الحساب'!$N$4:$N$203,0),0))),"")</f>
        <v/>
      </c>
    </row>
    <row r="123" ht="15" customHeight="1" s="165">
      <c r="A123" s="65">
        <f>IFERROR(IF(IFERROR(MATCH(119,'كشف الحساب'!$N$4:$N$203,0),0)=0,"",INDEX('كشف الحساب'!$A$4:$A$203,IFERROR(MATCH(119,'كشف الحساب'!$N$4:$N$203,0),0))),"")</f>
        <v/>
      </c>
      <c r="B123" s="66">
        <f>IFERROR(IF(IFERROR(MATCH(119,'كشف الحساب'!$N$4:$N$203,0),0)=0,"",INDEX('كشف الحساب'!$B$4:$B$203,IFERROR(MATCH(119,'كشف الحساب'!$N$4:$N$203,0),0))),"")</f>
        <v/>
      </c>
      <c r="C123" s="67">
        <f>IFERROR(IF(IFERROR(MATCH(119,'كشف الحساب'!$N$4:$N$203,0),0)=0,"",INDEX('كشف الحساب'!$C$4:$C$203,IFERROR(MATCH(119,'كشف الحساب'!$N$4:$N$203,0),0))),"")</f>
        <v/>
      </c>
      <c r="D123" s="68">
        <f>IFERROR(IF(IFERROR(MATCH(119,'كشف الحساب'!$N$4:$N$203,0),0)=0,"",INDEX('كشف الحساب'!$D$4:$D$203,IFERROR(MATCH(119,'كشف الحساب'!$N$4:$N$203,0),0))),"")</f>
        <v/>
      </c>
      <c r="E123" s="69">
        <f>IFERROR(IF(IFERROR(MATCH(119,'كشف الحساب'!$N$4:$N$203,0),0)=0,"",INDEX('كشف الحساب'!$E$4:$E$203,IFERROR(MATCH(119,'كشف الحساب'!$N$4:$N$203,0),0))),"")</f>
        <v/>
      </c>
      <c r="F123" s="66">
        <f>IFERROR(IF(IFERROR(MATCH(119,'كشف الحساب'!$N$4:$N$203,0),0)=0,"",INDEX('كشف الحساب'!$F$4:$F$203,IFERROR(MATCH(119,'كشف الحساب'!$N$4:$N$203,0),0))),"")</f>
        <v/>
      </c>
      <c r="G123" s="66">
        <f>IFERROR(IF(IFERROR(MATCH(119,'كشف الحساب'!$N$4:$N$203,0),0)=0,"",INDEX('كشف الحساب'!$G$4:$G$203,IFERROR(MATCH(119,'كشف الحساب'!$N$4:$N$203,0),0))),"")</f>
        <v/>
      </c>
      <c r="H123" s="66">
        <f>IFERROR(IF(IFERROR(MATCH(119,'كشف الحساب'!$N$4:$N$203,0),0)=0,"",INDEX('كشف الحساب'!$H$4:$H$203,IFERROR(MATCH(119,'كشف الحساب'!$N$4:$N$203,0),0))),"")</f>
        <v/>
      </c>
      <c r="I123" s="66">
        <f>IFERROR(IF(IFERROR(MATCH(119,'كشف الحساب'!$N$4:$N$203,0),0)=0,"",INDEX('كشف الحساب'!$I$4:$I$203,IFERROR(MATCH(119,'كشف الحساب'!$N$4:$N$203,0),0))),"")</f>
        <v/>
      </c>
      <c r="J123" s="70">
        <f>IFERROR(IF(IFERROR(MATCH(119,'كشف الحساب'!$N$4:$N$203,0),0)=0,"",INDEX('كشف الحساب'!$J$4:$J$203,IFERROR(MATCH(119,'كشف الحساب'!$N$4:$N$203,0),0))),"")</f>
        <v/>
      </c>
      <c r="K123" s="66">
        <f>IFERROR(IF(IFERROR(MATCH(119,'كشف الحساب'!$N$4:$N$203,0),0)=0,"",INDEX('كشف الحساب'!$K$4:$K$203,IFERROR(MATCH(119,'كشف الحساب'!$N$4:$N$203,0),0))),"")</f>
        <v/>
      </c>
    </row>
    <row r="124" ht="15" customHeight="1" s="165">
      <c r="A124" s="71">
        <f>IFERROR(IF(IFERROR(MATCH(120,'كشف الحساب'!$N$4:$N$203,0),0)=0,"",INDEX('كشف الحساب'!$A$4:$A$203,IFERROR(MATCH(120,'كشف الحساب'!$N$4:$N$203,0),0))),"")</f>
        <v/>
      </c>
      <c r="B124" s="72">
        <f>IFERROR(IF(IFERROR(MATCH(120,'كشف الحساب'!$N$4:$N$203,0),0)=0,"",INDEX('كشف الحساب'!$B$4:$B$203,IFERROR(MATCH(120,'كشف الحساب'!$N$4:$N$203,0),0))),"")</f>
        <v/>
      </c>
      <c r="C124" s="73">
        <f>IFERROR(IF(IFERROR(MATCH(120,'كشف الحساب'!$N$4:$N$203,0),0)=0,"",INDEX('كشف الحساب'!$C$4:$C$203,IFERROR(MATCH(120,'كشف الحساب'!$N$4:$N$203,0),0))),"")</f>
        <v/>
      </c>
      <c r="D124" s="74">
        <f>IFERROR(IF(IFERROR(MATCH(120,'كشف الحساب'!$N$4:$N$203,0),0)=0,"",INDEX('كشف الحساب'!$D$4:$D$203,IFERROR(MATCH(120,'كشف الحساب'!$N$4:$N$203,0),0))),"")</f>
        <v/>
      </c>
      <c r="E124" s="75">
        <f>IFERROR(IF(IFERROR(MATCH(120,'كشف الحساب'!$N$4:$N$203,0),0)=0,"",INDEX('كشف الحساب'!$E$4:$E$203,IFERROR(MATCH(120,'كشف الحساب'!$N$4:$N$203,0),0))),"")</f>
        <v/>
      </c>
      <c r="F124" s="72">
        <f>IFERROR(IF(IFERROR(MATCH(120,'كشف الحساب'!$N$4:$N$203,0),0)=0,"",INDEX('كشف الحساب'!$F$4:$F$203,IFERROR(MATCH(120,'كشف الحساب'!$N$4:$N$203,0),0))),"")</f>
        <v/>
      </c>
      <c r="G124" s="72">
        <f>IFERROR(IF(IFERROR(MATCH(120,'كشف الحساب'!$N$4:$N$203,0),0)=0,"",INDEX('كشف الحساب'!$G$4:$G$203,IFERROR(MATCH(120,'كشف الحساب'!$N$4:$N$203,0),0))),"")</f>
        <v/>
      </c>
      <c r="H124" s="72">
        <f>IFERROR(IF(IFERROR(MATCH(120,'كشف الحساب'!$N$4:$N$203,0),0)=0,"",INDEX('كشف الحساب'!$H$4:$H$203,IFERROR(MATCH(120,'كشف الحساب'!$N$4:$N$203,0),0))),"")</f>
        <v/>
      </c>
      <c r="I124" s="72">
        <f>IFERROR(IF(IFERROR(MATCH(120,'كشف الحساب'!$N$4:$N$203,0),0)=0,"",INDEX('كشف الحساب'!$I$4:$I$203,IFERROR(MATCH(120,'كشف الحساب'!$N$4:$N$203,0),0))),"")</f>
        <v/>
      </c>
      <c r="J124" s="76">
        <f>IFERROR(IF(IFERROR(MATCH(120,'كشف الحساب'!$N$4:$N$203,0),0)=0,"",INDEX('كشف الحساب'!$J$4:$J$203,IFERROR(MATCH(120,'كشف الحساب'!$N$4:$N$203,0),0))),"")</f>
        <v/>
      </c>
      <c r="K124" s="72">
        <f>IFERROR(IF(IFERROR(MATCH(120,'كشف الحساب'!$N$4:$N$203,0),0)=0,"",INDEX('كشف الحساب'!$K$4:$K$203,IFERROR(MATCH(120,'كشف الحساب'!$N$4:$N$203,0),0))),"")</f>
        <v/>
      </c>
    </row>
    <row r="125" ht="15" customHeight="1" s="165">
      <c r="A125" s="65">
        <f>IFERROR(IF(IFERROR(MATCH(121,'كشف الحساب'!$N$4:$N$203,0),0)=0,"",INDEX('كشف الحساب'!$A$4:$A$203,IFERROR(MATCH(121,'كشف الحساب'!$N$4:$N$203,0),0))),"")</f>
        <v/>
      </c>
      <c r="B125" s="66">
        <f>IFERROR(IF(IFERROR(MATCH(121,'كشف الحساب'!$N$4:$N$203,0),0)=0,"",INDEX('كشف الحساب'!$B$4:$B$203,IFERROR(MATCH(121,'كشف الحساب'!$N$4:$N$203,0),0))),"")</f>
        <v/>
      </c>
      <c r="C125" s="67">
        <f>IFERROR(IF(IFERROR(MATCH(121,'كشف الحساب'!$N$4:$N$203,0),0)=0,"",INDEX('كشف الحساب'!$C$4:$C$203,IFERROR(MATCH(121,'كشف الحساب'!$N$4:$N$203,0),0))),"")</f>
        <v/>
      </c>
      <c r="D125" s="68">
        <f>IFERROR(IF(IFERROR(MATCH(121,'كشف الحساب'!$N$4:$N$203,0),0)=0,"",INDEX('كشف الحساب'!$D$4:$D$203,IFERROR(MATCH(121,'كشف الحساب'!$N$4:$N$203,0),0))),"")</f>
        <v/>
      </c>
      <c r="E125" s="69">
        <f>IFERROR(IF(IFERROR(MATCH(121,'كشف الحساب'!$N$4:$N$203,0),0)=0,"",INDEX('كشف الحساب'!$E$4:$E$203,IFERROR(MATCH(121,'كشف الحساب'!$N$4:$N$203,0),0))),"")</f>
        <v/>
      </c>
      <c r="F125" s="66">
        <f>IFERROR(IF(IFERROR(MATCH(121,'كشف الحساب'!$N$4:$N$203,0),0)=0,"",INDEX('كشف الحساب'!$F$4:$F$203,IFERROR(MATCH(121,'كشف الحساب'!$N$4:$N$203,0),0))),"")</f>
        <v/>
      </c>
      <c r="G125" s="66">
        <f>IFERROR(IF(IFERROR(MATCH(121,'كشف الحساب'!$N$4:$N$203,0),0)=0,"",INDEX('كشف الحساب'!$G$4:$G$203,IFERROR(MATCH(121,'كشف الحساب'!$N$4:$N$203,0),0))),"")</f>
        <v/>
      </c>
      <c r="H125" s="66">
        <f>IFERROR(IF(IFERROR(MATCH(121,'كشف الحساب'!$N$4:$N$203,0),0)=0,"",INDEX('كشف الحساب'!$H$4:$H$203,IFERROR(MATCH(121,'كشف الحساب'!$N$4:$N$203,0),0))),"")</f>
        <v/>
      </c>
      <c r="I125" s="66">
        <f>IFERROR(IF(IFERROR(MATCH(121,'كشف الحساب'!$N$4:$N$203,0),0)=0,"",INDEX('كشف الحساب'!$I$4:$I$203,IFERROR(MATCH(121,'كشف الحساب'!$N$4:$N$203,0),0))),"")</f>
        <v/>
      </c>
      <c r="J125" s="70">
        <f>IFERROR(IF(IFERROR(MATCH(121,'كشف الحساب'!$N$4:$N$203,0),0)=0,"",INDEX('كشف الحساب'!$J$4:$J$203,IFERROR(MATCH(121,'كشف الحساب'!$N$4:$N$203,0),0))),"")</f>
        <v/>
      </c>
      <c r="K125" s="66">
        <f>IFERROR(IF(IFERROR(MATCH(121,'كشف الحساب'!$N$4:$N$203,0),0)=0,"",INDEX('كشف الحساب'!$K$4:$K$203,IFERROR(MATCH(121,'كشف الحساب'!$N$4:$N$203,0),0))),"")</f>
        <v/>
      </c>
    </row>
    <row r="126" ht="15" customHeight="1" s="165">
      <c r="A126" s="71">
        <f>IFERROR(IF(IFERROR(MATCH(122,'كشف الحساب'!$N$4:$N$203,0),0)=0,"",INDEX('كشف الحساب'!$A$4:$A$203,IFERROR(MATCH(122,'كشف الحساب'!$N$4:$N$203,0),0))),"")</f>
        <v/>
      </c>
      <c r="B126" s="72">
        <f>IFERROR(IF(IFERROR(MATCH(122,'كشف الحساب'!$N$4:$N$203,0),0)=0,"",INDEX('كشف الحساب'!$B$4:$B$203,IFERROR(MATCH(122,'كشف الحساب'!$N$4:$N$203,0),0))),"")</f>
        <v/>
      </c>
      <c r="C126" s="73">
        <f>IFERROR(IF(IFERROR(MATCH(122,'كشف الحساب'!$N$4:$N$203,0),0)=0,"",INDEX('كشف الحساب'!$C$4:$C$203,IFERROR(MATCH(122,'كشف الحساب'!$N$4:$N$203,0),0))),"")</f>
        <v/>
      </c>
      <c r="D126" s="74">
        <f>IFERROR(IF(IFERROR(MATCH(122,'كشف الحساب'!$N$4:$N$203,0),0)=0,"",INDEX('كشف الحساب'!$D$4:$D$203,IFERROR(MATCH(122,'كشف الحساب'!$N$4:$N$203,0),0))),"")</f>
        <v/>
      </c>
      <c r="E126" s="75">
        <f>IFERROR(IF(IFERROR(MATCH(122,'كشف الحساب'!$N$4:$N$203,0),0)=0,"",INDEX('كشف الحساب'!$E$4:$E$203,IFERROR(MATCH(122,'كشف الحساب'!$N$4:$N$203,0),0))),"")</f>
        <v/>
      </c>
      <c r="F126" s="72">
        <f>IFERROR(IF(IFERROR(MATCH(122,'كشف الحساب'!$N$4:$N$203,0),0)=0,"",INDEX('كشف الحساب'!$F$4:$F$203,IFERROR(MATCH(122,'كشف الحساب'!$N$4:$N$203,0),0))),"")</f>
        <v/>
      </c>
      <c r="G126" s="72">
        <f>IFERROR(IF(IFERROR(MATCH(122,'كشف الحساب'!$N$4:$N$203,0),0)=0,"",INDEX('كشف الحساب'!$G$4:$G$203,IFERROR(MATCH(122,'كشف الحساب'!$N$4:$N$203,0),0))),"")</f>
        <v/>
      </c>
      <c r="H126" s="72">
        <f>IFERROR(IF(IFERROR(MATCH(122,'كشف الحساب'!$N$4:$N$203,0),0)=0,"",INDEX('كشف الحساب'!$H$4:$H$203,IFERROR(MATCH(122,'كشف الحساب'!$N$4:$N$203,0),0))),"")</f>
        <v/>
      </c>
      <c r="I126" s="72">
        <f>IFERROR(IF(IFERROR(MATCH(122,'كشف الحساب'!$N$4:$N$203,0),0)=0,"",INDEX('كشف الحساب'!$I$4:$I$203,IFERROR(MATCH(122,'كشف الحساب'!$N$4:$N$203,0),0))),"")</f>
        <v/>
      </c>
      <c r="J126" s="76">
        <f>IFERROR(IF(IFERROR(MATCH(122,'كشف الحساب'!$N$4:$N$203,0),0)=0,"",INDEX('كشف الحساب'!$J$4:$J$203,IFERROR(MATCH(122,'كشف الحساب'!$N$4:$N$203,0),0))),"")</f>
        <v/>
      </c>
      <c r="K126" s="72">
        <f>IFERROR(IF(IFERROR(MATCH(122,'كشف الحساب'!$N$4:$N$203,0),0)=0,"",INDEX('كشف الحساب'!$K$4:$K$203,IFERROR(MATCH(122,'كشف الحساب'!$N$4:$N$203,0),0))),"")</f>
        <v/>
      </c>
    </row>
    <row r="127" ht="15" customHeight="1" s="165">
      <c r="A127" s="65">
        <f>IFERROR(IF(IFERROR(MATCH(123,'كشف الحساب'!$N$4:$N$203,0),0)=0,"",INDEX('كشف الحساب'!$A$4:$A$203,IFERROR(MATCH(123,'كشف الحساب'!$N$4:$N$203,0),0))),"")</f>
        <v/>
      </c>
      <c r="B127" s="66">
        <f>IFERROR(IF(IFERROR(MATCH(123,'كشف الحساب'!$N$4:$N$203,0),0)=0,"",INDEX('كشف الحساب'!$B$4:$B$203,IFERROR(MATCH(123,'كشف الحساب'!$N$4:$N$203,0),0))),"")</f>
        <v/>
      </c>
      <c r="C127" s="67">
        <f>IFERROR(IF(IFERROR(MATCH(123,'كشف الحساب'!$N$4:$N$203,0),0)=0,"",INDEX('كشف الحساب'!$C$4:$C$203,IFERROR(MATCH(123,'كشف الحساب'!$N$4:$N$203,0),0))),"")</f>
        <v/>
      </c>
      <c r="D127" s="68">
        <f>IFERROR(IF(IFERROR(MATCH(123,'كشف الحساب'!$N$4:$N$203,0),0)=0,"",INDEX('كشف الحساب'!$D$4:$D$203,IFERROR(MATCH(123,'كشف الحساب'!$N$4:$N$203,0),0))),"")</f>
        <v/>
      </c>
      <c r="E127" s="69">
        <f>IFERROR(IF(IFERROR(MATCH(123,'كشف الحساب'!$N$4:$N$203,0),0)=0,"",INDEX('كشف الحساب'!$E$4:$E$203,IFERROR(MATCH(123,'كشف الحساب'!$N$4:$N$203,0),0))),"")</f>
        <v/>
      </c>
      <c r="F127" s="66">
        <f>IFERROR(IF(IFERROR(MATCH(123,'كشف الحساب'!$N$4:$N$203,0),0)=0,"",INDEX('كشف الحساب'!$F$4:$F$203,IFERROR(MATCH(123,'كشف الحساب'!$N$4:$N$203,0),0))),"")</f>
        <v/>
      </c>
      <c r="G127" s="66">
        <f>IFERROR(IF(IFERROR(MATCH(123,'كشف الحساب'!$N$4:$N$203,0),0)=0,"",INDEX('كشف الحساب'!$G$4:$G$203,IFERROR(MATCH(123,'كشف الحساب'!$N$4:$N$203,0),0))),"")</f>
        <v/>
      </c>
      <c r="H127" s="66">
        <f>IFERROR(IF(IFERROR(MATCH(123,'كشف الحساب'!$N$4:$N$203,0),0)=0,"",INDEX('كشف الحساب'!$H$4:$H$203,IFERROR(MATCH(123,'كشف الحساب'!$N$4:$N$203,0),0))),"")</f>
        <v/>
      </c>
      <c r="I127" s="66">
        <f>IFERROR(IF(IFERROR(MATCH(123,'كشف الحساب'!$N$4:$N$203,0),0)=0,"",INDEX('كشف الحساب'!$I$4:$I$203,IFERROR(MATCH(123,'كشف الحساب'!$N$4:$N$203,0),0))),"")</f>
        <v/>
      </c>
      <c r="J127" s="70">
        <f>IFERROR(IF(IFERROR(MATCH(123,'كشف الحساب'!$N$4:$N$203,0),0)=0,"",INDEX('كشف الحساب'!$J$4:$J$203,IFERROR(MATCH(123,'كشف الحساب'!$N$4:$N$203,0),0))),"")</f>
        <v/>
      </c>
      <c r="K127" s="66">
        <f>IFERROR(IF(IFERROR(MATCH(123,'كشف الحساب'!$N$4:$N$203,0),0)=0,"",INDEX('كشف الحساب'!$K$4:$K$203,IFERROR(MATCH(123,'كشف الحساب'!$N$4:$N$203,0),0))),"")</f>
        <v/>
      </c>
    </row>
    <row r="128" ht="15" customHeight="1" s="165">
      <c r="A128" s="71">
        <f>IFERROR(IF(IFERROR(MATCH(124,'كشف الحساب'!$N$4:$N$203,0),0)=0,"",INDEX('كشف الحساب'!$A$4:$A$203,IFERROR(MATCH(124,'كشف الحساب'!$N$4:$N$203,0),0))),"")</f>
        <v/>
      </c>
      <c r="B128" s="72">
        <f>IFERROR(IF(IFERROR(MATCH(124,'كشف الحساب'!$N$4:$N$203,0),0)=0,"",INDEX('كشف الحساب'!$B$4:$B$203,IFERROR(MATCH(124,'كشف الحساب'!$N$4:$N$203,0),0))),"")</f>
        <v/>
      </c>
      <c r="C128" s="73">
        <f>IFERROR(IF(IFERROR(MATCH(124,'كشف الحساب'!$N$4:$N$203,0),0)=0,"",INDEX('كشف الحساب'!$C$4:$C$203,IFERROR(MATCH(124,'كشف الحساب'!$N$4:$N$203,0),0))),"")</f>
        <v/>
      </c>
      <c r="D128" s="74">
        <f>IFERROR(IF(IFERROR(MATCH(124,'كشف الحساب'!$N$4:$N$203,0),0)=0,"",INDEX('كشف الحساب'!$D$4:$D$203,IFERROR(MATCH(124,'كشف الحساب'!$N$4:$N$203,0),0))),"")</f>
        <v/>
      </c>
      <c r="E128" s="75">
        <f>IFERROR(IF(IFERROR(MATCH(124,'كشف الحساب'!$N$4:$N$203,0),0)=0,"",INDEX('كشف الحساب'!$E$4:$E$203,IFERROR(MATCH(124,'كشف الحساب'!$N$4:$N$203,0),0))),"")</f>
        <v/>
      </c>
      <c r="F128" s="72">
        <f>IFERROR(IF(IFERROR(MATCH(124,'كشف الحساب'!$N$4:$N$203,0),0)=0,"",INDEX('كشف الحساب'!$F$4:$F$203,IFERROR(MATCH(124,'كشف الحساب'!$N$4:$N$203,0),0))),"")</f>
        <v/>
      </c>
      <c r="G128" s="72">
        <f>IFERROR(IF(IFERROR(MATCH(124,'كشف الحساب'!$N$4:$N$203,0),0)=0,"",INDEX('كشف الحساب'!$G$4:$G$203,IFERROR(MATCH(124,'كشف الحساب'!$N$4:$N$203,0),0))),"")</f>
        <v/>
      </c>
      <c r="H128" s="72">
        <f>IFERROR(IF(IFERROR(MATCH(124,'كشف الحساب'!$N$4:$N$203,0),0)=0,"",INDEX('كشف الحساب'!$H$4:$H$203,IFERROR(MATCH(124,'كشف الحساب'!$N$4:$N$203,0),0))),"")</f>
        <v/>
      </c>
      <c r="I128" s="72">
        <f>IFERROR(IF(IFERROR(MATCH(124,'كشف الحساب'!$N$4:$N$203,0),0)=0,"",INDEX('كشف الحساب'!$I$4:$I$203,IFERROR(MATCH(124,'كشف الحساب'!$N$4:$N$203,0),0))),"")</f>
        <v/>
      </c>
      <c r="J128" s="76">
        <f>IFERROR(IF(IFERROR(MATCH(124,'كشف الحساب'!$N$4:$N$203,0),0)=0,"",INDEX('كشف الحساب'!$J$4:$J$203,IFERROR(MATCH(124,'كشف الحساب'!$N$4:$N$203,0),0))),"")</f>
        <v/>
      </c>
      <c r="K128" s="72">
        <f>IFERROR(IF(IFERROR(MATCH(124,'كشف الحساب'!$N$4:$N$203,0),0)=0,"",INDEX('كشف الحساب'!$K$4:$K$203,IFERROR(MATCH(124,'كشف الحساب'!$N$4:$N$203,0),0))),"")</f>
        <v/>
      </c>
    </row>
    <row r="129" ht="15" customHeight="1" s="165">
      <c r="A129" s="65">
        <f>IFERROR(IF(IFERROR(MATCH(125,'كشف الحساب'!$N$4:$N$203,0),0)=0,"",INDEX('كشف الحساب'!$A$4:$A$203,IFERROR(MATCH(125,'كشف الحساب'!$N$4:$N$203,0),0))),"")</f>
        <v/>
      </c>
      <c r="B129" s="66">
        <f>IFERROR(IF(IFERROR(MATCH(125,'كشف الحساب'!$N$4:$N$203,0),0)=0,"",INDEX('كشف الحساب'!$B$4:$B$203,IFERROR(MATCH(125,'كشف الحساب'!$N$4:$N$203,0),0))),"")</f>
        <v/>
      </c>
      <c r="C129" s="67">
        <f>IFERROR(IF(IFERROR(MATCH(125,'كشف الحساب'!$N$4:$N$203,0),0)=0,"",INDEX('كشف الحساب'!$C$4:$C$203,IFERROR(MATCH(125,'كشف الحساب'!$N$4:$N$203,0),0))),"")</f>
        <v/>
      </c>
      <c r="D129" s="68">
        <f>IFERROR(IF(IFERROR(MATCH(125,'كشف الحساب'!$N$4:$N$203,0),0)=0,"",INDEX('كشف الحساب'!$D$4:$D$203,IFERROR(MATCH(125,'كشف الحساب'!$N$4:$N$203,0),0))),"")</f>
        <v/>
      </c>
      <c r="E129" s="69">
        <f>IFERROR(IF(IFERROR(MATCH(125,'كشف الحساب'!$N$4:$N$203,0),0)=0,"",INDEX('كشف الحساب'!$E$4:$E$203,IFERROR(MATCH(125,'كشف الحساب'!$N$4:$N$203,0),0))),"")</f>
        <v/>
      </c>
      <c r="F129" s="66">
        <f>IFERROR(IF(IFERROR(MATCH(125,'كشف الحساب'!$N$4:$N$203,0),0)=0,"",INDEX('كشف الحساب'!$F$4:$F$203,IFERROR(MATCH(125,'كشف الحساب'!$N$4:$N$203,0),0))),"")</f>
        <v/>
      </c>
      <c r="G129" s="66">
        <f>IFERROR(IF(IFERROR(MATCH(125,'كشف الحساب'!$N$4:$N$203,0),0)=0,"",INDEX('كشف الحساب'!$G$4:$G$203,IFERROR(MATCH(125,'كشف الحساب'!$N$4:$N$203,0),0))),"")</f>
        <v/>
      </c>
      <c r="H129" s="66">
        <f>IFERROR(IF(IFERROR(MATCH(125,'كشف الحساب'!$N$4:$N$203,0),0)=0,"",INDEX('كشف الحساب'!$H$4:$H$203,IFERROR(MATCH(125,'كشف الحساب'!$N$4:$N$203,0),0))),"")</f>
        <v/>
      </c>
      <c r="I129" s="66">
        <f>IFERROR(IF(IFERROR(MATCH(125,'كشف الحساب'!$N$4:$N$203,0),0)=0,"",INDEX('كشف الحساب'!$I$4:$I$203,IFERROR(MATCH(125,'كشف الحساب'!$N$4:$N$203,0),0))),"")</f>
        <v/>
      </c>
      <c r="J129" s="70">
        <f>IFERROR(IF(IFERROR(MATCH(125,'كشف الحساب'!$N$4:$N$203,0),0)=0,"",INDEX('كشف الحساب'!$J$4:$J$203,IFERROR(MATCH(125,'كشف الحساب'!$N$4:$N$203,0),0))),"")</f>
        <v/>
      </c>
      <c r="K129" s="66">
        <f>IFERROR(IF(IFERROR(MATCH(125,'كشف الحساب'!$N$4:$N$203,0),0)=0,"",INDEX('كشف الحساب'!$K$4:$K$203,IFERROR(MATCH(125,'كشف الحساب'!$N$4:$N$203,0),0))),"")</f>
        <v/>
      </c>
    </row>
    <row r="130" ht="15" customHeight="1" s="165">
      <c r="A130" s="71">
        <f>IFERROR(IF(IFERROR(MATCH(126,'كشف الحساب'!$N$4:$N$203,0),0)=0,"",INDEX('كشف الحساب'!$A$4:$A$203,IFERROR(MATCH(126,'كشف الحساب'!$N$4:$N$203,0),0))),"")</f>
        <v/>
      </c>
      <c r="B130" s="72">
        <f>IFERROR(IF(IFERROR(MATCH(126,'كشف الحساب'!$N$4:$N$203,0),0)=0,"",INDEX('كشف الحساب'!$B$4:$B$203,IFERROR(MATCH(126,'كشف الحساب'!$N$4:$N$203,0),0))),"")</f>
        <v/>
      </c>
      <c r="C130" s="73">
        <f>IFERROR(IF(IFERROR(MATCH(126,'كشف الحساب'!$N$4:$N$203,0),0)=0,"",INDEX('كشف الحساب'!$C$4:$C$203,IFERROR(MATCH(126,'كشف الحساب'!$N$4:$N$203,0),0))),"")</f>
        <v/>
      </c>
      <c r="D130" s="74">
        <f>IFERROR(IF(IFERROR(MATCH(126,'كشف الحساب'!$N$4:$N$203,0),0)=0,"",INDEX('كشف الحساب'!$D$4:$D$203,IFERROR(MATCH(126,'كشف الحساب'!$N$4:$N$203,0),0))),"")</f>
        <v/>
      </c>
      <c r="E130" s="75">
        <f>IFERROR(IF(IFERROR(MATCH(126,'كشف الحساب'!$N$4:$N$203,0),0)=0,"",INDEX('كشف الحساب'!$E$4:$E$203,IFERROR(MATCH(126,'كشف الحساب'!$N$4:$N$203,0),0))),"")</f>
        <v/>
      </c>
      <c r="F130" s="72">
        <f>IFERROR(IF(IFERROR(MATCH(126,'كشف الحساب'!$N$4:$N$203,0),0)=0,"",INDEX('كشف الحساب'!$F$4:$F$203,IFERROR(MATCH(126,'كشف الحساب'!$N$4:$N$203,0),0))),"")</f>
        <v/>
      </c>
      <c r="G130" s="72">
        <f>IFERROR(IF(IFERROR(MATCH(126,'كشف الحساب'!$N$4:$N$203,0),0)=0,"",INDEX('كشف الحساب'!$G$4:$G$203,IFERROR(MATCH(126,'كشف الحساب'!$N$4:$N$203,0),0))),"")</f>
        <v/>
      </c>
      <c r="H130" s="72">
        <f>IFERROR(IF(IFERROR(MATCH(126,'كشف الحساب'!$N$4:$N$203,0),0)=0,"",INDEX('كشف الحساب'!$H$4:$H$203,IFERROR(MATCH(126,'كشف الحساب'!$N$4:$N$203,0),0))),"")</f>
        <v/>
      </c>
      <c r="I130" s="72">
        <f>IFERROR(IF(IFERROR(MATCH(126,'كشف الحساب'!$N$4:$N$203,0),0)=0,"",INDEX('كشف الحساب'!$I$4:$I$203,IFERROR(MATCH(126,'كشف الحساب'!$N$4:$N$203,0),0))),"")</f>
        <v/>
      </c>
      <c r="J130" s="76">
        <f>IFERROR(IF(IFERROR(MATCH(126,'كشف الحساب'!$N$4:$N$203,0),0)=0,"",INDEX('كشف الحساب'!$J$4:$J$203,IFERROR(MATCH(126,'كشف الحساب'!$N$4:$N$203,0),0))),"")</f>
        <v/>
      </c>
      <c r="K130" s="72">
        <f>IFERROR(IF(IFERROR(MATCH(126,'كشف الحساب'!$N$4:$N$203,0),0)=0,"",INDEX('كشف الحساب'!$K$4:$K$203,IFERROR(MATCH(126,'كشف الحساب'!$N$4:$N$203,0),0))),"")</f>
        <v/>
      </c>
    </row>
    <row r="131" ht="15" customHeight="1" s="165">
      <c r="A131" s="65">
        <f>IFERROR(IF(IFERROR(MATCH(127,'كشف الحساب'!$N$4:$N$203,0),0)=0,"",INDEX('كشف الحساب'!$A$4:$A$203,IFERROR(MATCH(127,'كشف الحساب'!$N$4:$N$203,0),0))),"")</f>
        <v/>
      </c>
      <c r="B131" s="66">
        <f>IFERROR(IF(IFERROR(MATCH(127,'كشف الحساب'!$N$4:$N$203,0),0)=0,"",INDEX('كشف الحساب'!$B$4:$B$203,IFERROR(MATCH(127,'كشف الحساب'!$N$4:$N$203,0),0))),"")</f>
        <v/>
      </c>
      <c r="C131" s="67">
        <f>IFERROR(IF(IFERROR(MATCH(127,'كشف الحساب'!$N$4:$N$203,0),0)=0,"",INDEX('كشف الحساب'!$C$4:$C$203,IFERROR(MATCH(127,'كشف الحساب'!$N$4:$N$203,0),0))),"")</f>
        <v/>
      </c>
      <c r="D131" s="68">
        <f>IFERROR(IF(IFERROR(MATCH(127,'كشف الحساب'!$N$4:$N$203,0),0)=0,"",INDEX('كشف الحساب'!$D$4:$D$203,IFERROR(MATCH(127,'كشف الحساب'!$N$4:$N$203,0),0))),"")</f>
        <v/>
      </c>
      <c r="E131" s="69">
        <f>IFERROR(IF(IFERROR(MATCH(127,'كشف الحساب'!$N$4:$N$203,0),0)=0,"",INDEX('كشف الحساب'!$E$4:$E$203,IFERROR(MATCH(127,'كشف الحساب'!$N$4:$N$203,0),0))),"")</f>
        <v/>
      </c>
      <c r="F131" s="66">
        <f>IFERROR(IF(IFERROR(MATCH(127,'كشف الحساب'!$N$4:$N$203,0),0)=0,"",INDEX('كشف الحساب'!$F$4:$F$203,IFERROR(MATCH(127,'كشف الحساب'!$N$4:$N$203,0),0))),"")</f>
        <v/>
      </c>
      <c r="G131" s="66">
        <f>IFERROR(IF(IFERROR(MATCH(127,'كشف الحساب'!$N$4:$N$203,0),0)=0,"",INDEX('كشف الحساب'!$G$4:$G$203,IFERROR(MATCH(127,'كشف الحساب'!$N$4:$N$203,0),0))),"")</f>
        <v/>
      </c>
      <c r="H131" s="66">
        <f>IFERROR(IF(IFERROR(MATCH(127,'كشف الحساب'!$N$4:$N$203,0),0)=0,"",INDEX('كشف الحساب'!$H$4:$H$203,IFERROR(MATCH(127,'كشف الحساب'!$N$4:$N$203,0),0))),"")</f>
        <v/>
      </c>
      <c r="I131" s="66">
        <f>IFERROR(IF(IFERROR(MATCH(127,'كشف الحساب'!$N$4:$N$203,0),0)=0,"",INDEX('كشف الحساب'!$I$4:$I$203,IFERROR(MATCH(127,'كشف الحساب'!$N$4:$N$203,0),0))),"")</f>
        <v/>
      </c>
      <c r="J131" s="70">
        <f>IFERROR(IF(IFERROR(MATCH(127,'كشف الحساب'!$N$4:$N$203,0),0)=0,"",INDEX('كشف الحساب'!$J$4:$J$203,IFERROR(MATCH(127,'كشف الحساب'!$N$4:$N$203,0),0))),"")</f>
        <v/>
      </c>
      <c r="K131" s="66">
        <f>IFERROR(IF(IFERROR(MATCH(127,'كشف الحساب'!$N$4:$N$203,0),0)=0,"",INDEX('كشف الحساب'!$K$4:$K$203,IFERROR(MATCH(127,'كشف الحساب'!$N$4:$N$203,0),0))),"")</f>
        <v/>
      </c>
    </row>
    <row r="132" ht="15" customHeight="1" s="165">
      <c r="A132" s="71">
        <f>IFERROR(IF(IFERROR(MATCH(128,'كشف الحساب'!$N$4:$N$203,0),0)=0,"",INDEX('كشف الحساب'!$A$4:$A$203,IFERROR(MATCH(128,'كشف الحساب'!$N$4:$N$203,0),0))),"")</f>
        <v/>
      </c>
      <c r="B132" s="72">
        <f>IFERROR(IF(IFERROR(MATCH(128,'كشف الحساب'!$N$4:$N$203,0),0)=0,"",INDEX('كشف الحساب'!$B$4:$B$203,IFERROR(MATCH(128,'كشف الحساب'!$N$4:$N$203,0),0))),"")</f>
        <v/>
      </c>
      <c r="C132" s="73">
        <f>IFERROR(IF(IFERROR(MATCH(128,'كشف الحساب'!$N$4:$N$203,0),0)=0,"",INDEX('كشف الحساب'!$C$4:$C$203,IFERROR(MATCH(128,'كشف الحساب'!$N$4:$N$203,0),0))),"")</f>
        <v/>
      </c>
      <c r="D132" s="74">
        <f>IFERROR(IF(IFERROR(MATCH(128,'كشف الحساب'!$N$4:$N$203,0),0)=0,"",INDEX('كشف الحساب'!$D$4:$D$203,IFERROR(MATCH(128,'كشف الحساب'!$N$4:$N$203,0),0))),"")</f>
        <v/>
      </c>
      <c r="E132" s="75">
        <f>IFERROR(IF(IFERROR(MATCH(128,'كشف الحساب'!$N$4:$N$203,0),0)=0,"",INDEX('كشف الحساب'!$E$4:$E$203,IFERROR(MATCH(128,'كشف الحساب'!$N$4:$N$203,0),0))),"")</f>
        <v/>
      </c>
      <c r="F132" s="72">
        <f>IFERROR(IF(IFERROR(MATCH(128,'كشف الحساب'!$N$4:$N$203,0),0)=0,"",INDEX('كشف الحساب'!$F$4:$F$203,IFERROR(MATCH(128,'كشف الحساب'!$N$4:$N$203,0),0))),"")</f>
        <v/>
      </c>
      <c r="G132" s="72">
        <f>IFERROR(IF(IFERROR(MATCH(128,'كشف الحساب'!$N$4:$N$203,0),0)=0,"",INDEX('كشف الحساب'!$G$4:$G$203,IFERROR(MATCH(128,'كشف الحساب'!$N$4:$N$203,0),0))),"")</f>
        <v/>
      </c>
      <c r="H132" s="72">
        <f>IFERROR(IF(IFERROR(MATCH(128,'كشف الحساب'!$N$4:$N$203,0),0)=0,"",INDEX('كشف الحساب'!$H$4:$H$203,IFERROR(MATCH(128,'كشف الحساب'!$N$4:$N$203,0),0))),"")</f>
        <v/>
      </c>
      <c r="I132" s="72">
        <f>IFERROR(IF(IFERROR(MATCH(128,'كشف الحساب'!$N$4:$N$203,0),0)=0,"",INDEX('كشف الحساب'!$I$4:$I$203,IFERROR(MATCH(128,'كشف الحساب'!$N$4:$N$203,0),0))),"")</f>
        <v/>
      </c>
      <c r="J132" s="76">
        <f>IFERROR(IF(IFERROR(MATCH(128,'كشف الحساب'!$N$4:$N$203,0),0)=0,"",INDEX('كشف الحساب'!$J$4:$J$203,IFERROR(MATCH(128,'كشف الحساب'!$N$4:$N$203,0),0))),"")</f>
        <v/>
      </c>
      <c r="K132" s="72">
        <f>IFERROR(IF(IFERROR(MATCH(128,'كشف الحساب'!$N$4:$N$203,0),0)=0,"",INDEX('كشف الحساب'!$K$4:$K$203,IFERROR(MATCH(128,'كشف الحساب'!$N$4:$N$203,0),0))),"")</f>
        <v/>
      </c>
    </row>
    <row r="133" ht="15" customHeight="1" s="165">
      <c r="A133" s="65">
        <f>IFERROR(IF(IFERROR(MATCH(129,'كشف الحساب'!$N$4:$N$203,0),0)=0,"",INDEX('كشف الحساب'!$A$4:$A$203,IFERROR(MATCH(129,'كشف الحساب'!$N$4:$N$203,0),0))),"")</f>
        <v/>
      </c>
      <c r="B133" s="66">
        <f>IFERROR(IF(IFERROR(MATCH(129,'كشف الحساب'!$N$4:$N$203,0),0)=0,"",INDEX('كشف الحساب'!$B$4:$B$203,IFERROR(MATCH(129,'كشف الحساب'!$N$4:$N$203,0),0))),"")</f>
        <v/>
      </c>
      <c r="C133" s="67">
        <f>IFERROR(IF(IFERROR(MATCH(129,'كشف الحساب'!$N$4:$N$203,0),0)=0,"",INDEX('كشف الحساب'!$C$4:$C$203,IFERROR(MATCH(129,'كشف الحساب'!$N$4:$N$203,0),0))),"")</f>
        <v/>
      </c>
      <c r="D133" s="68">
        <f>IFERROR(IF(IFERROR(MATCH(129,'كشف الحساب'!$N$4:$N$203,0),0)=0,"",INDEX('كشف الحساب'!$D$4:$D$203,IFERROR(MATCH(129,'كشف الحساب'!$N$4:$N$203,0),0))),"")</f>
        <v/>
      </c>
      <c r="E133" s="69">
        <f>IFERROR(IF(IFERROR(MATCH(129,'كشف الحساب'!$N$4:$N$203,0),0)=0,"",INDEX('كشف الحساب'!$E$4:$E$203,IFERROR(MATCH(129,'كشف الحساب'!$N$4:$N$203,0),0))),"")</f>
        <v/>
      </c>
      <c r="F133" s="66">
        <f>IFERROR(IF(IFERROR(MATCH(129,'كشف الحساب'!$N$4:$N$203,0),0)=0,"",INDEX('كشف الحساب'!$F$4:$F$203,IFERROR(MATCH(129,'كشف الحساب'!$N$4:$N$203,0),0))),"")</f>
        <v/>
      </c>
      <c r="G133" s="66">
        <f>IFERROR(IF(IFERROR(MATCH(129,'كشف الحساب'!$N$4:$N$203,0),0)=0,"",INDEX('كشف الحساب'!$G$4:$G$203,IFERROR(MATCH(129,'كشف الحساب'!$N$4:$N$203,0),0))),"")</f>
        <v/>
      </c>
      <c r="H133" s="66">
        <f>IFERROR(IF(IFERROR(MATCH(129,'كشف الحساب'!$N$4:$N$203,0),0)=0,"",INDEX('كشف الحساب'!$H$4:$H$203,IFERROR(MATCH(129,'كشف الحساب'!$N$4:$N$203,0),0))),"")</f>
        <v/>
      </c>
      <c r="I133" s="66">
        <f>IFERROR(IF(IFERROR(MATCH(129,'كشف الحساب'!$N$4:$N$203,0),0)=0,"",INDEX('كشف الحساب'!$I$4:$I$203,IFERROR(MATCH(129,'كشف الحساب'!$N$4:$N$203,0),0))),"")</f>
        <v/>
      </c>
      <c r="J133" s="70">
        <f>IFERROR(IF(IFERROR(MATCH(129,'كشف الحساب'!$N$4:$N$203,0),0)=0,"",INDEX('كشف الحساب'!$J$4:$J$203,IFERROR(MATCH(129,'كشف الحساب'!$N$4:$N$203,0),0))),"")</f>
        <v/>
      </c>
      <c r="K133" s="66">
        <f>IFERROR(IF(IFERROR(MATCH(129,'كشف الحساب'!$N$4:$N$203,0),0)=0,"",INDEX('كشف الحساب'!$K$4:$K$203,IFERROR(MATCH(129,'كشف الحساب'!$N$4:$N$203,0),0))),"")</f>
        <v/>
      </c>
    </row>
    <row r="134" ht="15" customHeight="1" s="165">
      <c r="A134" s="71">
        <f>IFERROR(IF(IFERROR(MATCH(130,'كشف الحساب'!$N$4:$N$203,0),0)=0,"",INDEX('كشف الحساب'!$A$4:$A$203,IFERROR(MATCH(130,'كشف الحساب'!$N$4:$N$203,0),0))),"")</f>
        <v/>
      </c>
      <c r="B134" s="72">
        <f>IFERROR(IF(IFERROR(MATCH(130,'كشف الحساب'!$N$4:$N$203,0),0)=0,"",INDEX('كشف الحساب'!$B$4:$B$203,IFERROR(MATCH(130,'كشف الحساب'!$N$4:$N$203,0),0))),"")</f>
        <v/>
      </c>
      <c r="C134" s="73">
        <f>IFERROR(IF(IFERROR(MATCH(130,'كشف الحساب'!$N$4:$N$203,0),0)=0,"",INDEX('كشف الحساب'!$C$4:$C$203,IFERROR(MATCH(130,'كشف الحساب'!$N$4:$N$203,0),0))),"")</f>
        <v/>
      </c>
      <c r="D134" s="74">
        <f>IFERROR(IF(IFERROR(MATCH(130,'كشف الحساب'!$N$4:$N$203,0),0)=0,"",INDEX('كشف الحساب'!$D$4:$D$203,IFERROR(MATCH(130,'كشف الحساب'!$N$4:$N$203,0),0))),"")</f>
        <v/>
      </c>
      <c r="E134" s="75">
        <f>IFERROR(IF(IFERROR(MATCH(130,'كشف الحساب'!$N$4:$N$203,0),0)=0,"",INDEX('كشف الحساب'!$E$4:$E$203,IFERROR(MATCH(130,'كشف الحساب'!$N$4:$N$203,0),0))),"")</f>
        <v/>
      </c>
      <c r="F134" s="72">
        <f>IFERROR(IF(IFERROR(MATCH(130,'كشف الحساب'!$N$4:$N$203,0),0)=0,"",INDEX('كشف الحساب'!$F$4:$F$203,IFERROR(MATCH(130,'كشف الحساب'!$N$4:$N$203,0),0))),"")</f>
        <v/>
      </c>
      <c r="G134" s="72">
        <f>IFERROR(IF(IFERROR(MATCH(130,'كشف الحساب'!$N$4:$N$203,0),0)=0,"",INDEX('كشف الحساب'!$G$4:$G$203,IFERROR(MATCH(130,'كشف الحساب'!$N$4:$N$203,0),0))),"")</f>
        <v/>
      </c>
      <c r="H134" s="72">
        <f>IFERROR(IF(IFERROR(MATCH(130,'كشف الحساب'!$N$4:$N$203,0),0)=0,"",INDEX('كشف الحساب'!$H$4:$H$203,IFERROR(MATCH(130,'كشف الحساب'!$N$4:$N$203,0),0))),"")</f>
        <v/>
      </c>
      <c r="I134" s="72">
        <f>IFERROR(IF(IFERROR(MATCH(130,'كشف الحساب'!$N$4:$N$203,0),0)=0,"",INDEX('كشف الحساب'!$I$4:$I$203,IFERROR(MATCH(130,'كشف الحساب'!$N$4:$N$203,0),0))),"")</f>
        <v/>
      </c>
      <c r="J134" s="76">
        <f>IFERROR(IF(IFERROR(MATCH(130,'كشف الحساب'!$N$4:$N$203,0),0)=0,"",INDEX('كشف الحساب'!$J$4:$J$203,IFERROR(MATCH(130,'كشف الحساب'!$N$4:$N$203,0),0))),"")</f>
        <v/>
      </c>
      <c r="K134" s="72">
        <f>IFERROR(IF(IFERROR(MATCH(130,'كشف الحساب'!$N$4:$N$203,0),0)=0,"",INDEX('كشف الحساب'!$K$4:$K$203,IFERROR(MATCH(130,'كشف الحساب'!$N$4:$N$203,0),0))),"")</f>
        <v/>
      </c>
    </row>
    <row r="135" ht="15" customHeight="1" s="165">
      <c r="A135" s="65">
        <f>IFERROR(IF(IFERROR(MATCH(131,'كشف الحساب'!$N$4:$N$203,0),0)=0,"",INDEX('كشف الحساب'!$A$4:$A$203,IFERROR(MATCH(131,'كشف الحساب'!$N$4:$N$203,0),0))),"")</f>
        <v/>
      </c>
      <c r="B135" s="66">
        <f>IFERROR(IF(IFERROR(MATCH(131,'كشف الحساب'!$N$4:$N$203,0),0)=0,"",INDEX('كشف الحساب'!$B$4:$B$203,IFERROR(MATCH(131,'كشف الحساب'!$N$4:$N$203,0),0))),"")</f>
        <v/>
      </c>
      <c r="C135" s="67">
        <f>IFERROR(IF(IFERROR(MATCH(131,'كشف الحساب'!$N$4:$N$203,0),0)=0,"",INDEX('كشف الحساب'!$C$4:$C$203,IFERROR(MATCH(131,'كشف الحساب'!$N$4:$N$203,0),0))),"")</f>
        <v/>
      </c>
      <c r="D135" s="68">
        <f>IFERROR(IF(IFERROR(MATCH(131,'كشف الحساب'!$N$4:$N$203,0),0)=0,"",INDEX('كشف الحساب'!$D$4:$D$203,IFERROR(MATCH(131,'كشف الحساب'!$N$4:$N$203,0),0))),"")</f>
        <v/>
      </c>
      <c r="E135" s="69">
        <f>IFERROR(IF(IFERROR(MATCH(131,'كشف الحساب'!$N$4:$N$203,0),0)=0,"",INDEX('كشف الحساب'!$E$4:$E$203,IFERROR(MATCH(131,'كشف الحساب'!$N$4:$N$203,0),0))),"")</f>
        <v/>
      </c>
      <c r="F135" s="66">
        <f>IFERROR(IF(IFERROR(MATCH(131,'كشف الحساب'!$N$4:$N$203,0),0)=0,"",INDEX('كشف الحساب'!$F$4:$F$203,IFERROR(MATCH(131,'كشف الحساب'!$N$4:$N$203,0),0))),"")</f>
        <v/>
      </c>
      <c r="G135" s="66">
        <f>IFERROR(IF(IFERROR(MATCH(131,'كشف الحساب'!$N$4:$N$203,0),0)=0,"",INDEX('كشف الحساب'!$G$4:$G$203,IFERROR(MATCH(131,'كشف الحساب'!$N$4:$N$203,0),0))),"")</f>
        <v/>
      </c>
      <c r="H135" s="66">
        <f>IFERROR(IF(IFERROR(MATCH(131,'كشف الحساب'!$N$4:$N$203,0),0)=0,"",INDEX('كشف الحساب'!$H$4:$H$203,IFERROR(MATCH(131,'كشف الحساب'!$N$4:$N$203,0),0))),"")</f>
        <v/>
      </c>
      <c r="I135" s="66">
        <f>IFERROR(IF(IFERROR(MATCH(131,'كشف الحساب'!$N$4:$N$203,0),0)=0,"",INDEX('كشف الحساب'!$I$4:$I$203,IFERROR(MATCH(131,'كشف الحساب'!$N$4:$N$203,0),0))),"")</f>
        <v/>
      </c>
      <c r="J135" s="70">
        <f>IFERROR(IF(IFERROR(MATCH(131,'كشف الحساب'!$N$4:$N$203,0),0)=0,"",INDEX('كشف الحساب'!$J$4:$J$203,IFERROR(MATCH(131,'كشف الحساب'!$N$4:$N$203,0),0))),"")</f>
        <v/>
      </c>
      <c r="K135" s="66">
        <f>IFERROR(IF(IFERROR(MATCH(131,'كشف الحساب'!$N$4:$N$203,0),0)=0,"",INDEX('كشف الحساب'!$K$4:$K$203,IFERROR(MATCH(131,'كشف الحساب'!$N$4:$N$203,0),0))),"")</f>
        <v/>
      </c>
    </row>
    <row r="136" ht="15" customHeight="1" s="165">
      <c r="A136" s="71">
        <f>IFERROR(IF(IFERROR(MATCH(132,'كشف الحساب'!$N$4:$N$203,0),0)=0,"",INDEX('كشف الحساب'!$A$4:$A$203,IFERROR(MATCH(132,'كشف الحساب'!$N$4:$N$203,0),0))),"")</f>
        <v/>
      </c>
      <c r="B136" s="72">
        <f>IFERROR(IF(IFERROR(MATCH(132,'كشف الحساب'!$N$4:$N$203,0),0)=0,"",INDEX('كشف الحساب'!$B$4:$B$203,IFERROR(MATCH(132,'كشف الحساب'!$N$4:$N$203,0),0))),"")</f>
        <v/>
      </c>
      <c r="C136" s="73">
        <f>IFERROR(IF(IFERROR(MATCH(132,'كشف الحساب'!$N$4:$N$203,0),0)=0,"",INDEX('كشف الحساب'!$C$4:$C$203,IFERROR(MATCH(132,'كشف الحساب'!$N$4:$N$203,0),0))),"")</f>
        <v/>
      </c>
      <c r="D136" s="74">
        <f>IFERROR(IF(IFERROR(MATCH(132,'كشف الحساب'!$N$4:$N$203,0),0)=0,"",INDEX('كشف الحساب'!$D$4:$D$203,IFERROR(MATCH(132,'كشف الحساب'!$N$4:$N$203,0),0))),"")</f>
        <v/>
      </c>
      <c r="E136" s="75">
        <f>IFERROR(IF(IFERROR(MATCH(132,'كشف الحساب'!$N$4:$N$203,0),0)=0,"",INDEX('كشف الحساب'!$E$4:$E$203,IFERROR(MATCH(132,'كشف الحساب'!$N$4:$N$203,0),0))),"")</f>
        <v/>
      </c>
      <c r="F136" s="72">
        <f>IFERROR(IF(IFERROR(MATCH(132,'كشف الحساب'!$N$4:$N$203,0),0)=0,"",INDEX('كشف الحساب'!$F$4:$F$203,IFERROR(MATCH(132,'كشف الحساب'!$N$4:$N$203,0),0))),"")</f>
        <v/>
      </c>
      <c r="G136" s="72">
        <f>IFERROR(IF(IFERROR(MATCH(132,'كشف الحساب'!$N$4:$N$203,0),0)=0,"",INDEX('كشف الحساب'!$G$4:$G$203,IFERROR(MATCH(132,'كشف الحساب'!$N$4:$N$203,0),0))),"")</f>
        <v/>
      </c>
      <c r="H136" s="72">
        <f>IFERROR(IF(IFERROR(MATCH(132,'كشف الحساب'!$N$4:$N$203,0),0)=0,"",INDEX('كشف الحساب'!$H$4:$H$203,IFERROR(MATCH(132,'كشف الحساب'!$N$4:$N$203,0),0))),"")</f>
        <v/>
      </c>
      <c r="I136" s="72">
        <f>IFERROR(IF(IFERROR(MATCH(132,'كشف الحساب'!$N$4:$N$203,0),0)=0,"",INDEX('كشف الحساب'!$I$4:$I$203,IFERROR(MATCH(132,'كشف الحساب'!$N$4:$N$203,0),0))),"")</f>
        <v/>
      </c>
      <c r="J136" s="76">
        <f>IFERROR(IF(IFERROR(MATCH(132,'كشف الحساب'!$N$4:$N$203,0),0)=0,"",INDEX('كشف الحساب'!$J$4:$J$203,IFERROR(MATCH(132,'كشف الحساب'!$N$4:$N$203,0),0))),"")</f>
        <v/>
      </c>
      <c r="K136" s="72">
        <f>IFERROR(IF(IFERROR(MATCH(132,'كشف الحساب'!$N$4:$N$203,0),0)=0,"",INDEX('كشف الحساب'!$K$4:$K$203,IFERROR(MATCH(132,'كشف الحساب'!$N$4:$N$203,0),0))),"")</f>
        <v/>
      </c>
    </row>
    <row r="137" ht="15" customHeight="1" s="165">
      <c r="A137" s="65">
        <f>IFERROR(IF(IFERROR(MATCH(133,'كشف الحساب'!$N$4:$N$203,0),0)=0,"",INDEX('كشف الحساب'!$A$4:$A$203,IFERROR(MATCH(133,'كشف الحساب'!$N$4:$N$203,0),0))),"")</f>
        <v/>
      </c>
      <c r="B137" s="66">
        <f>IFERROR(IF(IFERROR(MATCH(133,'كشف الحساب'!$N$4:$N$203,0),0)=0,"",INDEX('كشف الحساب'!$B$4:$B$203,IFERROR(MATCH(133,'كشف الحساب'!$N$4:$N$203,0),0))),"")</f>
        <v/>
      </c>
      <c r="C137" s="67">
        <f>IFERROR(IF(IFERROR(MATCH(133,'كشف الحساب'!$N$4:$N$203,0),0)=0,"",INDEX('كشف الحساب'!$C$4:$C$203,IFERROR(MATCH(133,'كشف الحساب'!$N$4:$N$203,0),0))),"")</f>
        <v/>
      </c>
      <c r="D137" s="68">
        <f>IFERROR(IF(IFERROR(MATCH(133,'كشف الحساب'!$N$4:$N$203,0),0)=0,"",INDEX('كشف الحساب'!$D$4:$D$203,IFERROR(MATCH(133,'كشف الحساب'!$N$4:$N$203,0),0))),"")</f>
        <v/>
      </c>
      <c r="E137" s="69">
        <f>IFERROR(IF(IFERROR(MATCH(133,'كشف الحساب'!$N$4:$N$203,0),0)=0,"",INDEX('كشف الحساب'!$E$4:$E$203,IFERROR(MATCH(133,'كشف الحساب'!$N$4:$N$203,0),0))),"")</f>
        <v/>
      </c>
      <c r="F137" s="66">
        <f>IFERROR(IF(IFERROR(MATCH(133,'كشف الحساب'!$N$4:$N$203,0),0)=0,"",INDEX('كشف الحساب'!$F$4:$F$203,IFERROR(MATCH(133,'كشف الحساب'!$N$4:$N$203,0),0))),"")</f>
        <v/>
      </c>
      <c r="G137" s="66">
        <f>IFERROR(IF(IFERROR(MATCH(133,'كشف الحساب'!$N$4:$N$203,0),0)=0,"",INDEX('كشف الحساب'!$G$4:$G$203,IFERROR(MATCH(133,'كشف الحساب'!$N$4:$N$203,0),0))),"")</f>
        <v/>
      </c>
      <c r="H137" s="66">
        <f>IFERROR(IF(IFERROR(MATCH(133,'كشف الحساب'!$N$4:$N$203,0),0)=0,"",INDEX('كشف الحساب'!$H$4:$H$203,IFERROR(MATCH(133,'كشف الحساب'!$N$4:$N$203,0),0))),"")</f>
        <v/>
      </c>
      <c r="I137" s="66">
        <f>IFERROR(IF(IFERROR(MATCH(133,'كشف الحساب'!$N$4:$N$203,0),0)=0,"",INDEX('كشف الحساب'!$I$4:$I$203,IFERROR(MATCH(133,'كشف الحساب'!$N$4:$N$203,0),0))),"")</f>
        <v/>
      </c>
      <c r="J137" s="70">
        <f>IFERROR(IF(IFERROR(MATCH(133,'كشف الحساب'!$N$4:$N$203,0),0)=0,"",INDEX('كشف الحساب'!$J$4:$J$203,IFERROR(MATCH(133,'كشف الحساب'!$N$4:$N$203,0),0))),"")</f>
        <v/>
      </c>
      <c r="K137" s="66">
        <f>IFERROR(IF(IFERROR(MATCH(133,'كشف الحساب'!$N$4:$N$203,0),0)=0,"",INDEX('كشف الحساب'!$K$4:$K$203,IFERROR(MATCH(133,'كشف الحساب'!$N$4:$N$203,0),0))),"")</f>
        <v/>
      </c>
    </row>
    <row r="138" ht="15" customHeight="1" s="165">
      <c r="A138" s="71">
        <f>IFERROR(IF(IFERROR(MATCH(134,'كشف الحساب'!$N$4:$N$203,0),0)=0,"",INDEX('كشف الحساب'!$A$4:$A$203,IFERROR(MATCH(134,'كشف الحساب'!$N$4:$N$203,0),0))),"")</f>
        <v/>
      </c>
      <c r="B138" s="72">
        <f>IFERROR(IF(IFERROR(MATCH(134,'كشف الحساب'!$N$4:$N$203,0),0)=0,"",INDEX('كشف الحساب'!$B$4:$B$203,IFERROR(MATCH(134,'كشف الحساب'!$N$4:$N$203,0),0))),"")</f>
        <v/>
      </c>
      <c r="C138" s="73">
        <f>IFERROR(IF(IFERROR(MATCH(134,'كشف الحساب'!$N$4:$N$203,0),0)=0,"",INDEX('كشف الحساب'!$C$4:$C$203,IFERROR(MATCH(134,'كشف الحساب'!$N$4:$N$203,0),0))),"")</f>
        <v/>
      </c>
      <c r="D138" s="74">
        <f>IFERROR(IF(IFERROR(MATCH(134,'كشف الحساب'!$N$4:$N$203,0),0)=0,"",INDEX('كشف الحساب'!$D$4:$D$203,IFERROR(MATCH(134,'كشف الحساب'!$N$4:$N$203,0),0))),"")</f>
        <v/>
      </c>
      <c r="E138" s="75">
        <f>IFERROR(IF(IFERROR(MATCH(134,'كشف الحساب'!$N$4:$N$203,0),0)=0,"",INDEX('كشف الحساب'!$E$4:$E$203,IFERROR(MATCH(134,'كشف الحساب'!$N$4:$N$203,0),0))),"")</f>
        <v/>
      </c>
      <c r="F138" s="72">
        <f>IFERROR(IF(IFERROR(MATCH(134,'كشف الحساب'!$N$4:$N$203,0),0)=0,"",INDEX('كشف الحساب'!$F$4:$F$203,IFERROR(MATCH(134,'كشف الحساب'!$N$4:$N$203,0),0))),"")</f>
        <v/>
      </c>
      <c r="G138" s="72">
        <f>IFERROR(IF(IFERROR(MATCH(134,'كشف الحساب'!$N$4:$N$203,0),0)=0,"",INDEX('كشف الحساب'!$G$4:$G$203,IFERROR(MATCH(134,'كشف الحساب'!$N$4:$N$203,0),0))),"")</f>
        <v/>
      </c>
      <c r="H138" s="72">
        <f>IFERROR(IF(IFERROR(MATCH(134,'كشف الحساب'!$N$4:$N$203,0),0)=0,"",INDEX('كشف الحساب'!$H$4:$H$203,IFERROR(MATCH(134,'كشف الحساب'!$N$4:$N$203,0),0))),"")</f>
        <v/>
      </c>
      <c r="I138" s="72">
        <f>IFERROR(IF(IFERROR(MATCH(134,'كشف الحساب'!$N$4:$N$203,0),0)=0,"",INDEX('كشف الحساب'!$I$4:$I$203,IFERROR(MATCH(134,'كشف الحساب'!$N$4:$N$203,0),0))),"")</f>
        <v/>
      </c>
      <c r="J138" s="76">
        <f>IFERROR(IF(IFERROR(MATCH(134,'كشف الحساب'!$N$4:$N$203,0),0)=0,"",INDEX('كشف الحساب'!$J$4:$J$203,IFERROR(MATCH(134,'كشف الحساب'!$N$4:$N$203,0),0))),"")</f>
        <v/>
      </c>
      <c r="K138" s="72">
        <f>IFERROR(IF(IFERROR(MATCH(134,'كشف الحساب'!$N$4:$N$203,0),0)=0,"",INDEX('كشف الحساب'!$K$4:$K$203,IFERROR(MATCH(134,'كشف الحساب'!$N$4:$N$203,0),0))),"")</f>
        <v/>
      </c>
    </row>
    <row r="139" ht="15" customHeight="1" s="165">
      <c r="A139" s="65">
        <f>IFERROR(IF(IFERROR(MATCH(135,'كشف الحساب'!$N$4:$N$203,0),0)=0,"",INDEX('كشف الحساب'!$A$4:$A$203,IFERROR(MATCH(135,'كشف الحساب'!$N$4:$N$203,0),0))),"")</f>
        <v/>
      </c>
      <c r="B139" s="66">
        <f>IFERROR(IF(IFERROR(MATCH(135,'كشف الحساب'!$N$4:$N$203,0),0)=0,"",INDEX('كشف الحساب'!$B$4:$B$203,IFERROR(MATCH(135,'كشف الحساب'!$N$4:$N$203,0),0))),"")</f>
        <v/>
      </c>
      <c r="C139" s="67">
        <f>IFERROR(IF(IFERROR(MATCH(135,'كشف الحساب'!$N$4:$N$203,0),0)=0,"",INDEX('كشف الحساب'!$C$4:$C$203,IFERROR(MATCH(135,'كشف الحساب'!$N$4:$N$203,0),0))),"")</f>
        <v/>
      </c>
      <c r="D139" s="68">
        <f>IFERROR(IF(IFERROR(MATCH(135,'كشف الحساب'!$N$4:$N$203,0),0)=0,"",INDEX('كشف الحساب'!$D$4:$D$203,IFERROR(MATCH(135,'كشف الحساب'!$N$4:$N$203,0),0))),"")</f>
        <v/>
      </c>
      <c r="E139" s="69">
        <f>IFERROR(IF(IFERROR(MATCH(135,'كشف الحساب'!$N$4:$N$203,0),0)=0,"",INDEX('كشف الحساب'!$E$4:$E$203,IFERROR(MATCH(135,'كشف الحساب'!$N$4:$N$203,0),0))),"")</f>
        <v/>
      </c>
      <c r="F139" s="66">
        <f>IFERROR(IF(IFERROR(MATCH(135,'كشف الحساب'!$N$4:$N$203,0),0)=0,"",INDEX('كشف الحساب'!$F$4:$F$203,IFERROR(MATCH(135,'كشف الحساب'!$N$4:$N$203,0),0))),"")</f>
        <v/>
      </c>
      <c r="G139" s="66">
        <f>IFERROR(IF(IFERROR(MATCH(135,'كشف الحساب'!$N$4:$N$203,0),0)=0,"",INDEX('كشف الحساب'!$G$4:$G$203,IFERROR(MATCH(135,'كشف الحساب'!$N$4:$N$203,0),0))),"")</f>
        <v/>
      </c>
      <c r="H139" s="66">
        <f>IFERROR(IF(IFERROR(MATCH(135,'كشف الحساب'!$N$4:$N$203,0),0)=0,"",INDEX('كشف الحساب'!$H$4:$H$203,IFERROR(MATCH(135,'كشف الحساب'!$N$4:$N$203,0),0))),"")</f>
        <v/>
      </c>
      <c r="I139" s="66">
        <f>IFERROR(IF(IFERROR(MATCH(135,'كشف الحساب'!$N$4:$N$203,0),0)=0,"",INDEX('كشف الحساب'!$I$4:$I$203,IFERROR(MATCH(135,'كشف الحساب'!$N$4:$N$203,0),0))),"")</f>
        <v/>
      </c>
      <c r="J139" s="70">
        <f>IFERROR(IF(IFERROR(MATCH(135,'كشف الحساب'!$N$4:$N$203,0),0)=0,"",INDEX('كشف الحساب'!$J$4:$J$203,IFERROR(MATCH(135,'كشف الحساب'!$N$4:$N$203,0),0))),"")</f>
        <v/>
      </c>
      <c r="K139" s="66">
        <f>IFERROR(IF(IFERROR(MATCH(135,'كشف الحساب'!$N$4:$N$203,0),0)=0,"",INDEX('كشف الحساب'!$K$4:$K$203,IFERROR(MATCH(135,'كشف الحساب'!$N$4:$N$203,0),0))),"")</f>
        <v/>
      </c>
    </row>
    <row r="140" ht="15" customHeight="1" s="165">
      <c r="A140" s="71">
        <f>IFERROR(IF(IFERROR(MATCH(136,'كشف الحساب'!$N$4:$N$203,0),0)=0,"",INDEX('كشف الحساب'!$A$4:$A$203,IFERROR(MATCH(136,'كشف الحساب'!$N$4:$N$203,0),0))),"")</f>
        <v/>
      </c>
      <c r="B140" s="72">
        <f>IFERROR(IF(IFERROR(MATCH(136,'كشف الحساب'!$N$4:$N$203,0),0)=0,"",INDEX('كشف الحساب'!$B$4:$B$203,IFERROR(MATCH(136,'كشف الحساب'!$N$4:$N$203,0),0))),"")</f>
        <v/>
      </c>
      <c r="C140" s="73">
        <f>IFERROR(IF(IFERROR(MATCH(136,'كشف الحساب'!$N$4:$N$203,0),0)=0,"",INDEX('كشف الحساب'!$C$4:$C$203,IFERROR(MATCH(136,'كشف الحساب'!$N$4:$N$203,0),0))),"")</f>
        <v/>
      </c>
      <c r="D140" s="74">
        <f>IFERROR(IF(IFERROR(MATCH(136,'كشف الحساب'!$N$4:$N$203,0),0)=0,"",INDEX('كشف الحساب'!$D$4:$D$203,IFERROR(MATCH(136,'كشف الحساب'!$N$4:$N$203,0),0))),"")</f>
        <v/>
      </c>
      <c r="E140" s="75">
        <f>IFERROR(IF(IFERROR(MATCH(136,'كشف الحساب'!$N$4:$N$203,0),0)=0,"",INDEX('كشف الحساب'!$E$4:$E$203,IFERROR(MATCH(136,'كشف الحساب'!$N$4:$N$203,0),0))),"")</f>
        <v/>
      </c>
      <c r="F140" s="72">
        <f>IFERROR(IF(IFERROR(MATCH(136,'كشف الحساب'!$N$4:$N$203,0),0)=0,"",INDEX('كشف الحساب'!$F$4:$F$203,IFERROR(MATCH(136,'كشف الحساب'!$N$4:$N$203,0),0))),"")</f>
        <v/>
      </c>
      <c r="G140" s="72">
        <f>IFERROR(IF(IFERROR(MATCH(136,'كشف الحساب'!$N$4:$N$203,0),0)=0,"",INDEX('كشف الحساب'!$G$4:$G$203,IFERROR(MATCH(136,'كشف الحساب'!$N$4:$N$203,0),0))),"")</f>
        <v/>
      </c>
      <c r="H140" s="72">
        <f>IFERROR(IF(IFERROR(MATCH(136,'كشف الحساب'!$N$4:$N$203,0),0)=0,"",INDEX('كشف الحساب'!$H$4:$H$203,IFERROR(MATCH(136,'كشف الحساب'!$N$4:$N$203,0),0))),"")</f>
        <v/>
      </c>
      <c r="I140" s="72">
        <f>IFERROR(IF(IFERROR(MATCH(136,'كشف الحساب'!$N$4:$N$203,0),0)=0,"",INDEX('كشف الحساب'!$I$4:$I$203,IFERROR(MATCH(136,'كشف الحساب'!$N$4:$N$203,0),0))),"")</f>
        <v/>
      </c>
      <c r="J140" s="76">
        <f>IFERROR(IF(IFERROR(MATCH(136,'كشف الحساب'!$N$4:$N$203,0),0)=0,"",INDEX('كشف الحساب'!$J$4:$J$203,IFERROR(MATCH(136,'كشف الحساب'!$N$4:$N$203,0),0))),"")</f>
        <v/>
      </c>
      <c r="K140" s="72">
        <f>IFERROR(IF(IFERROR(MATCH(136,'كشف الحساب'!$N$4:$N$203,0),0)=0,"",INDEX('كشف الحساب'!$K$4:$K$203,IFERROR(MATCH(136,'كشف الحساب'!$N$4:$N$203,0),0))),"")</f>
        <v/>
      </c>
    </row>
    <row r="141" ht="15" customHeight="1" s="165">
      <c r="A141" s="65">
        <f>IFERROR(IF(IFERROR(MATCH(137,'كشف الحساب'!$N$4:$N$203,0),0)=0,"",INDEX('كشف الحساب'!$A$4:$A$203,IFERROR(MATCH(137,'كشف الحساب'!$N$4:$N$203,0),0))),"")</f>
        <v/>
      </c>
      <c r="B141" s="66">
        <f>IFERROR(IF(IFERROR(MATCH(137,'كشف الحساب'!$N$4:$N$203,0),0)=0,"",INDEX('كشف الحساب'!$B$4:$B$203,IFERROR(MATCH(137,'كشف الحساب'!$N$4:$N$203,0),0))),"")</f>
        <v/>
      </c>
      <c r="C141" s="67">
        <f>IFERROR(IF(IFERROR(MATCH(137,'كشف الحساب'!$N$4:$N$203,0),0)=0,"",INDEX('كشف الحساب'!$C$4:$C$203,IFERROR(MATCH(137,'كشف الحساب'!$N$4:$N$203,0),0))),"")</f>
        <v/>
      </c>
      <c r="D141" s="68">
        <f>IFERROR(IF(IFERROR(MATCH(137,'كشف الحساب'!$N$4:$N$203,0),0)=0,"",INDEX('كشف الحساب'!$D$4:$D$203,IFERROR(MATCH(137,'كشف الحساب'!$N$4:$N$203,0),0))),"")</f>
        <v/>
      </c>
      <c r="E141" s="69">
        <f>IFERROR(IF(IFERROR(MATCH(137,'كشف الحساب'!$N$4:$N$203,0),0)=0,"",INDEX('كشف الحساب'!$E$4:$E$203,IFERROR(MATCH(137,'كشف الحساب'!$N$4:$N$203,0),0))),"")</f>
        <v/>
      </c>
      <c r="F141" s="66">
        <f>IFERROR(IF(IFERROR(MATCH(137,'كشف الحساب'!$N$4:$N$203,0),0)=0,"",INDEX('كشف الحساب'!$F$4:$F$203,IFERROR(MATCH(137,'كشف الحساب'!$N$4:$N$203,0),0))),"")</f>
        <v/>
      </c>
      <c r="G141" s="66">
        <f>IFERROR(IF(IFERROR(MATCH(137,'كشف الحساب'!$N$4:$N$203,0),0)=0,"",INDEX('كشف الحساب'!$G$4:$G$203,IFERROR(MATCH(137,'كشف الحساب'!$N$4:$N$203,0),0))),"")</f>
        <v/>
      </c>
      <c r="H141" s="66">
        <f>IFERROR(IF(IFERROR(MATCH(137,'كشف الحساب'!$N$4:$N$203,0),0)=0,"",INDEX('كشف الحساب'!$H$4:$H$203,IFERROR(MATCH(137,'كشف الحساب'!$N$4:$N$203,0),0))),"")</f>
        <v/>
      </c>
      <c r="I141" s="66">
        <f>IFERROR(IF(IFERROR(MATCH(137,'كشف الحساب'!$N$4:$N$203,0),0)=0,"",INDEX('كشف الحساب'!$I$4:$I$203,IFERROR(MATCH(137,'كشف الحساب'!$N$4:$N$203,0),0))),"")</f>
        <v/>
      </c>
      <c r="J141" s="70">
        <f>IFERROR(IF(IFERROR(MATCH(137,'كشف الحساب'!$N$4:$N$203,0),0)=0,"",INDEX('كشف الحساب'!$J$4:$J$203,IFERROR(MATCH(137,'كشف الحساب'!$N$4:$N$203,0),0))),"")</f>
        <v/>
      </c>
      <c r="K141" s="66">
        <f>IFERROR(IF(IFERROR(MATCH(137,'كشف الحساب'!$N$4:$N$203,0),0)=0,"",INDEX('كشف الحساب'!$K$4:$K$203,IFERROR(MATCH(137,'كشف الحساب'!$N$4:$N$203,0),0))),"")</f>
        <v/>
      </c>
    </row>
    <row r="142" ht="15" customHeight="1" s="165">
      <c r="A142" s="71">
        <f>IFERROR(IF(IFERROR(MATCH(138,'كشف الحساب'!$N$4:$N$203,0),0)=0,"",INDEX('كشف الحساب'!$A$4:$A$203,IFERROR(MATCH(138,'كشف الحساب'!$N$4:$N$203,0),0))),"")</f>
        <v/>
      </c>
      <c r="B142" s="72">
        <f>IFERROR(IF(IFERROR(MATCH(138,'كشف الحساب'!$N$4:$N$203,0),0)=0,"",INDEX('كشف الحساب'!$B$4:$B$203,IFERROR(MATCH(138,'كشف الحساب'!$N$4:$N$203,0),0))),"")</f>
        <v/>
      </c>
      <c r="C142" s="73">
        <f>IFERROR(IF(IFERROR(MATCH(138,'كشف الحساب'!$N$4:$N$203,0),0)=0,"",INDEX('كشف الحساب'!$C$4:$C$203,IFERROR(MATCH(138,'كشف الحساب'!$N$4:$N$203,0),0))),"")</f>
        <v/>
      </c>
      <c r="D142" s="74">
        <f>IFERROR(IF(IFERROR(MATCH(138,'كشف الحساب'!$N$4:$N$203,0),0)=0,"",INDEX('كشف الحساب'!$D$4:$D$203,IFERROR(MATCH(138,'كشف الحساب'!$N$4:$N$203,0),0))),"")</f>
        <v/>
      </c>
      <c r="E142" s="75">
        <f>IFERROR(IF(IFERROR(MATCH(138,'كشف الحساب'!$N$4:$N$203,0),0)=0,"",INDEX('كشف الحساب'!$E$4:$E$203,IFERROR(MATCH(138,'كشف الحساب'!$N$4:$N$203,0),0))),"")</f>
        <v/>
      </c>
      <c r="F142" s="72">
        <f>IFERROR(IF(IFERROR(MATCH(138,'كشف الحساب'!$N$4:$N$203,0),0)=0,"",INDEX('كشف الحساب'!$F$4:$F$203,IFERROR(MATCH(138,'كشف الحساب'!$N$4:$N$203,0),0))),"")</f>
        <v/>
      </c>
      <c r="G142" s="72">
        <f>IFERROR(IF(IFERROR(MATCH(138,'كشف الحساب'!$N$4:$N$203,0),0)=0,"",INDEX('كشف الحساب'!$G$4:$G$203,IFERROR(MATCH(138,'كشف الحساب'!$N$4:$N$203,0),0))),"")</f>
        <v/>
      </c>
      <c r="H142" s="72">
        <f>IFERROR(IF(IFERROR(MATCH(138,'كشف الحساب'!$N$4:$N$203,0),0)=0,"",INDEX('كشف الحساب'!$H$4:$H$203,IFERROR(MATCH(138,'كشف الحساب'!$N$4:$N$203,0),0))),"")</f>
        <v/>
      </c>
      <c r="I142" s="72">
        <f>IFERROR(IF(IFERROR(MATCH(138,'كشف الحساب'!$N$4:$N$203,0),0)=0,"",INDEX('كشف الحساب'!$I$4:$I$203,IFERROR(MATCH(138,'كشف الحساب'!$N$4:$N$203,0),0))),"")</f>
        <v/>
      </c>
      <c r="J142" s="76">
        <f>IFERROR(IF(IFERROR(MATCH(138,'كشف الحساب'!$N$4:$N$203,0),0)=0,"",INDEX('كشف الحساب'!$J$4:$J$203,IFERROR(MATCH(138,'كشف الحساب'!$N$4:$N$203,0),0))),"")</f>
        <v/>
      </c>
      <c r="K142" s="72">
        <f>IFERROR(IF(IFERROR(MATCH(138,'كشف الحساب'!$N$4:$N$203,0),0)=0,"",INDEX('كشف الحساب'!$K$4:$K$203,IFERROR(MATCH(138,'كشف الحساب'!$N$4:$N$203,0),0))),"")</f>
        <v/>
      </c>
    </row>
    <row r="143" ht="15" customHeight="1" s="165">
      <c r="A143" s="65">
        <f>IFERROR(IF(IFERROR(MATCH(139,'كشف الحساب'!$N$4:$N$203,0),0)=0,"",INDEX('كشف الحساب'!$A$4:$A$203,IFERROR(MATCH(139,'كشف الحساب'!$N$4:$N$203,0),0))),"")</f>
        <v/>
      </c>
      <c r="B143" s="66">
        <f>IFERROR(IF(IFERROR(MATCH(139,'كشف الحساب'!$N$4:$N$203,0),0)=0,"",INDEX('كشف الحساب'!$B$4:$B$203,IFERROR(MATCH(139,'كشف الحساب'!$N$4:$N$203,0),0))),"")</f>
        <v/>
      </c>
      <c r="C143" s="67">
        <f>IFERROR(IF(IFERROR(MATCH(139,'كشف الحساب'!$N$4:$N$203,0),0)=0,"",INDEX('كشف الحساب'!$C$4:$C$203,IFERROR(MATCH(139,'كشف الحساب'!$N$4:$N$203,0),0))),"")</f>
        <v/>
      </c>
      <c r="D143" s="68">
        <f>IFERROR(IF(IFERROR(MATCH(139,'كشف الحساب'!$N$4:$N$203,0),0)=0,"",INDEX('كشف الحساب'!$D$4:$D$203,IFERROR(MATCH(139,'كشف الحساب'!$N$4:$N$203,0),0))),"")</f>
        <v/>
      </c>
      <c r="E143" s="69">
        <f>IFERROR(IF(IFERROR(MATCH(139,'كشف الحساب'!$N$4:$N$203,0),0)=0,"",INDEX('كشف الحساب'!$E$4:$E$203,IFERROR(MATCH(139,'كشف الحساب'!$N$4:$N$203,0),0))),"")</f>
        <v/>
      </c>
      <c r="F143" s="66">
        <f>IFERROR(IF(IFERROR(MATCH(139,'كشف الحساب'!$N$4:$N$203,0),0)=0,"",INDEX('كشف الحساب'!$F$4:$F$203,IFERROR(MATCH(139,'كشف الحساب'!$N$4:$N$203,0),0))),"")</f>
        <v/>
      </c>
      <c r="G143" s="66">
        <f>IFERROR(IF(IFERROR(MATCH(139,'كشف الحساب'!$N$4:$N$203,0),0)=0,"",INDEX('كشف الحساب'!$G$4:$G$203,IFERROR(MATCH(139,'كشف الحساب'!$N$4:$N$203,0),0))),"")</f>
        <v/>
      </c>
      <c r="H143" s="66">
        <f>IFERROR(IF(IFERROR(MATCH(139,'كشف الحساب'!$N$4:$N$203,0),0)=0,"",INDEX('كشف الحساب'!$H$4:$H$203,IFERROR(MATCH(139,'كشف الحساب'!$N$4:$N$203,0),0))),"")</f>
        <v/>
      </c>
      <c r="I143" s="66">
        <f>IFERROR(IF(IFERROR(MATCH(139,'كشف الحساب'!$N$4:$N$203,0),0)=0,"",INDEX('كشف الحساب'!$I$4:$I$203,IFERROR(MATCH(139,'كشف الحساب'!$N$4:$N$203,0),0))),"")</f>
        <v/>
      </c>
      <c r="J143" s="70">
        <f>IFERROR(IF(IFERROR(MATCH(139,'كشف الحساب'!$N$4:$N$203,0),0)=0,"",INDEX('كشف الحساب'!$J$4:$J$203,IFERROR(MATCH(139,'كشف الحساب'!$N$4:$N$203,0),0))),"")</f>
        <v/>
      </c>
      <c r="K143" s="66">
        <f>IFERROR(IF(IFERROR(MATCH(139,'كشف الحساب'!$N$4:$N$203,0),0)=0,"",INDEX('كشف الحساب'!$K$4:$K$203,IFERROR(MATCH(139,'كشف الحساب'!$N$4:$N$203,0),0))),"")</f>
        <v/>
      </c>
    </row>
    <row r="144" ht="15" customHeight="1" s="165">
      <c r="A144" s="71">
        <f>IFERROR(IF(IFERROR(MATCH(140,'كشف الحساب'!$N$4:$N$203,0),0)=0,"",INDEX('كشف الحساب'!$A$4:$A$203,IFERROR(MATCH(140,'كشف الحساب'!$N$4:$N$203,0),0))),"")</f>
        <v/>
      </c>
      <c r="B144" s="72">
        <f>IFERROR(IF(IFERROR(MATCH(140,'كشف الحساب'!$N$4:$N$203,0),0)=0,"",INDEX('كشف الحساب'!$B$4:$B$203,IFERROR(MATCH(140,'كشف الحساب'!$N$4:$N$203,0),0))),"")</f>
        <v/>
      </c>
      <c r="C144" s="73">
        <f>IFERROR(IF(IFERROR(MATCH(140,'كشف الحساب'!$N$4:$N$203,0),0)=0,"",INDEX('كشف الحساب'!$C$4:$C$203,IFERROR(MATCH(140,'كشف الحساب'!$N$4:$N$203,0),0))),"")</f>
        <v/>
      </c>
      <c r="D144" s="74">
        <f>IFERROR(IF(IFERROR(MATCH(140,'كشف الحساب'!$N$4:$N$203,0),0)=0,"",INDEX('كشف الحساب'!$D$4:$D$203,IFERROR(MATCH(140,'كشف الحساب'!$N$4:$N$203,0),0))),"")</f>
        <v/>
      </c>
      <c r="E144" s="75">
        <f>IFERROR(IF(IFERROR(MATCH(140,'كشف الحساب'!$N$4:$N$203,0),0)=0,"",INDEX('كشف الحساب'!$E$4:$E$203,IFERROR(MATCH(140,'كشف الحساب'!$N$4:$N$203,0),0))),"")</f>
        <v/>
      </c>
      <c r="F144" s="72">
        <f>IFERROR(IF(IFERROR(MATCH(140,'كشف الحساب'!$N$4:$N$203,0),0)=0,"",INDEX('كشف الحساب'!$F$4:$F$203,IFERROR(MATCH(140,'كشف الحساب'!$N$4:$N$203,0),0))),"")</f>
        <v/>
      </c>
      <c r="G144" s="72">
        <f>IFERROR(IF(IFERROR(MATCH(140,'كشف الحساب'!$N$4:$N$203,0),0)=0,"",INDEX('كشف الحساب'!$G$4:$G$203,IFERROR(MATCH(140,'كشف الحساب'!$N$4:$N$203,0),0))),"")</f>
        <v/>
      </c>
      <c r="H144" s="72">
        <f>IFERROR(IF(IFERROR(MATCH(140,'كشف الحساب'!$N$4:$N$203,0),0)=0,"",INDEX('كشف الحساب'!$H$4:$H$203,IFERROR(MATCH(140,'كشف الحساب'!$N$4:$N$203,0),0))),"")</f>
        <v/>
      </c>
      <c r="I144" s="72">
        <f>IFERROR(IF(IFERROR(MATCH(140,'كشف الحساب'!$N$4:$N$203,0),0)=0,"",INDEX('كشف الحساب'!$I$4:$I$203,IFERROR(MATCH(140,'كشف الحساب'!$N$4:$N$203,0),0))),"")</f>
        <v/>
      </c>
      <c r="J144" s="76">
        <f>IFERROR(IF(IFERROR(MATCH(140,'كشف الحساب'!$N$4:$N$203,0),0)=0,"",INDEX('كشف الحساب'!$J$4:$J$203,IFERROR(MATCH(140,'كشف الحساب'!$N$4:$N$203,0),0))),"")</f>
        <v/>
      </c>
      <c r="K144" s="72">
        <f>IFERROR(IF(IFERROR(MATCH(140,'كشف الحساب'!$N$4:$N$203,0),0)=0,"",INDEX('كشف الحساب'!$K$4:$K$203,IFERROR(MATCH(140,'كشف الحساب'!$N$4:$N$203,0),0))),"")</f>
        <v/>
      </c>
    </row>
    <row r="145" ht="15" customHeight="1" s="165">
      <c r="A145" s="65">
        <f>IFERROR(IF(IFERROR(MATCH(141,'كشف الحساب'!$N$4:$N$203,0),0)=0,"",INDEX('كشف الحساب'!$A$4:$A$203,IFERROR(MATCH(141,'كشف الحساب'!$N$4:$N$203,0),0))),"")</f>
        <v/>
      </c>
      <c r="B145" s="66">
        <f>IFERROR(IF(IFERROR(MATCH(141,'كشف الحساب'!$N$4:$N$203,0),0)=0,"",INDEX('كشف الحساب'!$B$4:$B$203,IFERROR(MATCH(141,'كشف الحساب'!$N$4:$N$203,0),0))),"")</f>
        <v/>
      </c>
      <c r="C145" s="67">
        <f>IFERROR(IF(IFERROR(MATCH(141,'كشف الحساب'!$N$4:$N$203,0),0)=0,"",INDEX('كشف الحساب'!$C$4:$C$203,IFERROR(MATCH(141,'كشف الحساب'!$N$4:$N$203,0),0))),"")</f>
        <v/>
      </c>
      <c r="D145" s="68">
        <f>IFERROR(IF(IFERROR(MATCH(141,'كشف الحساب'!$N$4:$N$203,0),0)=0,"",INDEX('كشف الحساب'!$D$4:$D$203,IFERROR(MATCH(141,'كشف الحساب'!$N$4:$N$203,0),0))),"")</f>
        <v/>
      </c>
      <c r="E145" s="69">
        <f>IFERROR(IF(IFERROR(MATCH(141,'كشف الحساب'!$N$4:$N$203,0),0)=0,"",INDEX('كشف الحساب'!$E$4:$E$203,IFERROR(MATCH(141,'كشف الحساب'!$N$4:$N$203,0),0))),"")</f>
        <v/>
      </c>
      <c r="F145" s="66">
        <f>IFERROR(IF(IFERROR(MATCH(141,'كشف الحساب'!$N$4:$N$203,0),0)=0,"",INDEX('كشف الحساب'!$F$4:$F$203,IFERROR(MATCH(141,'كشف الحساب'!$N$4:$N$203,0),0))),"")</f>
        <v/>
      </c>
      <c r="G145" s="66">
        <f>IFERROR(IF(IFERROR(MATCH(141,'كشف الحساب'!$N$4:$N$203,0),0)=0,"",INDEX('كشف الحساب'!$G$4:$G$203,IFERROR(MATCH(141,'كشف الحساب'!$N$4:$N$203,0),0))),"")</f>
        <v/>
      </c>
      <c r="H145" s="66">
        <f>IFERROR(IF(IFERROR(MATCH(141,'كشف الحساب'!$N$4:$N$203,0),0)=0,"",INDEX('كشف الحساب'!$H$4:$H$203,IFERROR(MATCH(141,'كشف الحساب'!$N$4:$N$203,0),0))),"")</f>
        <v/>
      </c>
      <c r="I145" s="66">
        <f>IFERROR(IF(IFERROR(MATCH(141,'كشف الحساب'!$N$4:$N$203,0),0)=0,"",INDEX('كشف الحساب'!$I$4:$I$203,IFERROR(MATCH(141,'كشف الحساب'!$N$4:$N$203,0),0))),"")</f>
        <v/>
      </c>
      <c r="J145" s="70">
        <f>IFERROR(IF(IFERROR(MATCH(141,'كشف الحساب'!$N$4:$N$203,0),0)=0,"",INDEX('كشف الحساب'!$J$4:$J$203,IFERROR(MATCH(141,'كشف الحساب'!$N$4:$N$203,0),0))),"")</f>
        <v/>
      </c>
      <c r="K145" s="66">
        <f>IFERROR(IF(IFERROR(MATCH(141,'كشف الحساب'!$N$4:$N$203,0),0)=0,"",INDEX('كشف الحساب'!$K$4:$K$203,IFERROR(MATCH(141,'كشف الحساب'!$N$4:$N$203,0),0))),"")</f>
        <v/>
      </c>
    </row>
    <row r="146" ht="15" customHeight="1" s="165">
      <c r="A146" s="71">
        <f>IFERROR(IF(IFERROR(MATCH(142,'كشف الحساب'!$N$4:$N$203,0),0)=0,"",INDEX('كشف الحساب'!$A$4:$A$203,IFERROR(MATCH(142,'كشف الحساب'!$N$4:$N$203,0),0))),"")</f>
        <v/>
      </c>
      <c r="B146" s="72">
        <f>IFERROR(IF(IFERROR(MATCH(142,'كشف الحساب'!$N$4:$N$203,0),0)=0,"",INDEX('كشف الحساب'!$B$4:$B$203,IFERROR(MATCH(142,'كشف الحساب'!$N$4:$N$203,0),0))),"")</f>
        <v/>
      </c>
      <c r="C146" s="73">
        <f>IFERROR(IF(IFERROR(MATCH(142,'كشف الحساب'!$N$4:$N$203,0),0)=0,"",INDEX('كشف الحساب'!$C$4:$C$203,IFERROR(MATCH(142,'كشف الحساب'!$N$4:$N$203,0),0))),"")</f>
        <v/>
      </c>
      <c r="D146" s="74">
        <f>IFERROR(IF(IFERROR(MATCH(142,'كشف الحساب'!$N$4:$N$203,0),0)=0,"",INDEX('كشف الحساب'!$D$4:$D$203,IFERROR(MATCH(142,'كشف الحساب'!$N$4:$N$203,0),0))),"")</f>
        <v/>
      </c>
      <c r="E146" s="75">
        <f>IFERROR(IF(IFERROR(MATCH(142,'كشف الحساب'!$N$4:$N$203,0),0)=0,"",INDEX('كشف الحساب'!$E$4:$E$203,IFERROR(MATCH(142,'كشف الحساب'!$N$4:$N$203,0),0))),"")</f>
        <v/>
      </c>
      <c r="F146" s="72">
        <f>IFERROR(IF(IFERROR(MATCH(142,'كشف الحساب'!$N$4:$N$203,0),0)=0,"",INDEX('كشف الحساب'!$F$4:$F$203,IFERROR(MATCH(142,'كشف الحساب'!$N$4:$N$203,0),0))),"")</f>
        <v/>
      </c>
      <c r="G146" s="72">
        <f>IFERROR(IF(IFERROR(MATCH(142,'كشف الحساب'!$N$4:$N$203,0),0)=0,"",INDEX('كشف الحساب'!$G$4:$G$203,IFERROR(MATCH(142,'كشف الحساب'!$N$4:$N$203,0),0))),"")</f>
        <v/>
      </c>
      <c r="H146" s="72">
        <f>IFERROR(IF(IFERROR(MATCH(142,'كشف الحساب'!$N$4:$N$203,0),0)=0,"",INDEX('كشف الحساب'!$H$4:$H$203,IFERROR(MATCH(142,'كشف الحساب'!$N$4:$N$203,0),0))),"")</f>
        <v/>
      </c>
      <c r="I146" s="72">
        <f>IFERROR(IF(IFERROR(MATCH(142,'كشف الحساب'!$N$4:$N$203,0),0)=0,"",INDEX('كشف الحساب'!$I$4:$I$203,IFERROR(MATCH(142,'كشف الحساب'!$N$4:$N$203,0),0))),"")</f>
        <v/>
      </c>
      <c r="J146" s="76">
        <f>IFERROR(IF(IFERROR(MATCH(142,'كشف الحساب'!$N$4:$N$203,0),0)=0,"",INDEX('كشف الحساب'!$J$4:$J$203,IFERROR(MATCH(142,'كشف الحساب'!$N$4:$N$203,0),0))),"")</f>
        <v/>
      </c>
      <c r="K146" s="72">
        <f>IFERROR(IF(IFERROR(MATCH(142,'كشف الحساب'!$N$4:$N$203,0),0)=0,"",INDEX('كشف الحساب'!$K$4:$K$203,IFERROR(MATCH(142,'كشف الحساب'!$N$4:$N$203,0),0))),"")</f>
        <v/>
      </c>
    </row>
    <row r="147" ht="15" customHeight="1" s="165">
      <c r="A147" s="65">
        <f>IFERROR(IF(IFERROR(MATCH(143,'كشف الحساب'!$N$4:$N$203,0),0)=0,"",INDEX('كشف الحساب'!$A$4:$A$203,IFERROR(MATCH(143,'كشف الحساب'!$N$4:$N$203,0),0))),"")</f>
        <v/>
      </c>
      <c r="B147" s="66">
        <f>IFERROR(IF(IFERROR(MATCH(143,'كشف الحساب'!$N$4:$N$203,0),0)=0,"",INDEX('كشف الحساب'!$B$4:$B$203,IFERROR(MATCH(143,'كشف الحساب'!$N$4:$N$203,0),0))),"")</f>
        <v/>
      </c>
      <c r="C147" s="67">
        <f>IFERROR(IF(IFERROR(MATCH(143,'كشف الحساب'!$N$4:$N$203,0),0)=0,"",INDEX('كشف الحساب'!$C$4:$C$203,IFERROR(MATCH(143,'كشف الحساب'!$N$4:$N$203,0),0))),"")</f>
        <v/>
      </c>
      <c r="D147" s="68">
        <f>IFERROR(IF(IFERROR(MATCH(143,'كشف الحساب'!$N$4:$N$203,0),0)=0,"",INDEX('كشف الحساب'!$D$4:$D$203,IFERROR(MATCH(143,'كشف الحساب'!$N$4:$N$203,0),0))),"")</f>
        <v/>
      </c>
      <c r="E147" s="69">
        <f>IFERROR(IF(IFERROR(MATCH(143,'كشف الحساب'!$N$4:$N$203,0),0)=0,"",INDEX('كشف الحساب'!$E$4:$E$203,IFERROR(MATCH(143,'كشف الحساب'!$N$4:$N$203,0),0))),"")</f>
        <v/>
      </c>
      <c r="F147" s="66">
        <f>IFERROR(IF(IFERROR(MATCH(143,'كشف الحساب'!$N$4:$N$203,0),0)=0,"",INDEX('كشف الحساب'!$F$4:$F$203,IFERROR(MATCH(143,'كشف الحساب'!$N$4:$N$203,0),0))),"")</f>
        <v/>
      </c>
      <c r="G147" s="66">
        <f>IFERROR(IF(IFERROR(MATCH(143,'كشف الحساب'!$N$4:$N$203,0),0)=0,"",INDEX('كشف الحساب'!$G$4:$G$203,IFERROR(MATCH(143,'كشف الحساب'!$N$4:$N$203,0),0))),"")</f>
        <v/>
      </c>
      <c r="H147" s="66">
        <f>IFERROR(IF(IFERROR(MATCH(143,'كشف الحساب'!$N$4:$N$203,0),0)=0,"",INDEX('كشف الحساب'!$H$4:$H$203,IFERROR(MATCH(143,'كشف الحساب'!$N$4:$N$203,0),0))),"")</f>
        <v/>
      </c>
      <c r="I147" s="66">
        <f>IFERROR(IF(IFERROR(MATCH(143,'كشف الحساب'!$N$4:$N$203,0),0)=0,"",INDEX('كشف الحساب'!$I$4:$I$203,IFERROR(MATCH(143,'كشف الحساب'!$N$4:$N$203,0),0))),"")</f>
        <v/>
      </c>
      <c r="J147" s="70">
        <f>IFERROR(IF(IFERROR(MATCH(143,'كشف الحساب'!$N$4:$N$203,0),0)=0,"",INDEX('كشف الحساب'!$J$4:$J$203,IFERROR(MATCH(143,'كشف الحساب'!$N$4:$N$203,0),0))),"")</f>
        <v/>
      </c>
      <c r="K147" s="66">
        <f>IFERROR(IF(IFERROR(MATCH(143,'كشف الحساب'!$N$4:$N$203,0),0)=0,"",INDEX('كشف الحساب'!$K$4:$K$203,IFERROR(MATCH(143,'كشف الحساب'!$N$4:$N$203,0),0))),"")</f>
        <v/>
      </c>
    </row>
    <row r="148" ht="15" customHeight="1" s="165">
      <c r="A148" s="71">
        <f>IFERROR(IF(IFERROR(MATCH(144,'كشف الحساب'!$N$4:$N$203,0),0)=0,"",INDEX('كشف الحساب'!$A$4:$A$203,IFERROR(MATCH(144,'كشف الحساب'!$N$4:$N$203,0),0))),"")</f>
        <v/>
      </c>
      <c r="B148" s="72">
        <f>IFERROR(IF(IFERROR(MATCH(144,'كشف الحساب'!$N$4:$N$203,0),0)=0,"",INDEX('كشف الحساب'!$B$4:$B$203,IFERROR(MATCH(144,'كشف الحساب'!$N$4:$N$203,0),0))),"")</f>
        <v/>
      </c>
      <c r="C148" s="73">
        <f>IFERROR(IF(IFERROR(MATCH(144,'كشف الحساب'!$N$4:$N$203,0),0)=0,"",INDEX('كشف الحساب'!$C$4:$C$203,IFERROR(MATCH(144,'كشف الحساب'!$N$4:$N$203,0),0))),"")</f>
        <v/>
      </c>
      <c r="D148" s="74">
        <f>IFERROR(IF(IFERROR(MATCH(144,'كشف الحساب'!$N$4:$N$203,0),0)=0,"",INDEX('كشف الحساب'!$D$4:$D$203,IFERROR(MATCH(144,'كشف الحساب'!$N$4:$N$203,0),0))),"")</f>
        <v/>
      </c>
      <c r="E148" s="75">
        <f>IFERROR(IF(IFERROR(MATCH(144,'كشف الحساب'!$N$4:$N$203,0),0)=0,"",INDEX('كشف الحساب'!$E$4:$E$203,IFERROR(MATCH(144,'كشف الحساب'!$N$4:$N$203,0),0))),"")</f>
        <v/>
      </c>
      <c r="F148" s="72">
        <f>IFERROR(IF(IFERROR(MATCH(144,'كشف الحساب'!$N$4:$N$203,0),0)=0,"",INDEX('كشف الحساب'!$F$4:$F$203,IFERROR(MATCH(144,'كشف الحساب'!$N$4:$N$203,0),0))),"")</f>
        <v/>
      </c>
      <c r="G148" s="72">
        <f>IFERROR(IF(IFERROR(MATCH(144,'كشف الحساب'!$N$4:$N$203,0),0)=0,"",INDEX('كشف الحساب'!$G$4:$G$203,IFERROR(MATCH(144,'كشف الحساب'!$N$4:$N$203,0),0))),"")</f>
        <v/>
      </c>
      <c r="H148" s="72">
        <f>IFERROR(IF(IFERROR(MATCH(144,'كشف الحساب'!$N$4:$N$203,0),0)=0,"",INDEX('كشف الحساب'!$H$4:$H$203,IFERROR(MATCH(144,'كشف الحساب'!$N$4:$N$203,0),0))),"")</f>
        <v/>
      </c>
      <c r="I148" s="72">
        <f>IFERROR(IF(IFERROR(MATCH(144,'كشف الحساب'!$N$4:$N$203,0),0)=0,"",INDEX('كشف الحساب'!$I$4:$I$203,IFERROR(MATCH(144,'كشف الحساب'!$N$4:$N$203,0),0))),"")</f>
        <v/>
      </c>
      <c r="J148" s="76">
        <f>IFERROR(IF(IFERROR(MATCH(144,'كشف الحساب'!$N$4:$N$203,0),0)=0,"",INDEX('كشف الحساب'!$J$4:$J$203,IFERROR(MATCH(144,'كشف الحساب'!$N$4:$N$203,0),0))),"")</f>
        <v/>
      </c>
      <c r="K148" s="72">
        <f>IFERROR(IF(IFERROR(MATCH(144,'كشف الحساب'!$N$4:$N$203,0),0)=0,"",INDEX('كشف الحساب'!$K$4:$K$203,IFERROR(MATCH(144,'كشف الحساب'!$N$4:$N$203,0),0))),"")</f>
        <v/>
      </c>
    </row>
    <row r="149" ht="15" customHeight="1" s="165">
      <c r="A149" s="65">
        <f>IFERROR(IF(IFERROR(MATCH(145,'كشف الحساب'!$N$4:$N$203,0),0)=0,"",INDEX('كشف الحساب'!$A$4:$A$203,IFERROR(MATCH(145,'كشف الحساب'!$N$4:$N$203,0),0))),"")</f>
        <v/>
      </c>
      <c r="B149" s="66">
        <f>IFERROR(IF(IFERROR(MATCH(145,'كشف الحساب'!$N$4:$N$203,0),0)=0,"",INDEX('كشف الحساب'!$B$4:$B$203,IFERROR(MATCH(145,'كشف الحساب'!$N$4:$N$203,0),0))),"")</f>
        <v/>
      </c>
      <c r="C149" s="67">
        <f>IFERROR(IF(IFERROR(MATCH(145,'كشف الحساب'!$N$4:$N$203,0),0)=0,"",INDEX('كشف الحساب'!$C$4:$C$203,IFERROR(MATCH(145,'كشف الحساب'!$N$4:$N$203,0),0))),"")</f>
        <v/>
      </c>
      <c r="D149" s="68">
        <f>IFERROR(IF(IFERROR(MATCH(145,'كشف الحساب'!$N$4:$N$203,0),0)=0,"",INDEX('كشف الحساب'!$D$4:$D$203,IFERROR(MATCH(145,'كشف الحساب'!$N$4:$N$203,0),0))),"")</f>
        <v/>
      </c>
      <c r="E149" s="69">
        <f>IFERROR(IF(IFERROR(MATCH(145,'كشف الحساب'!$N$4:$N$203,0),0)=0,"",INDEX('كشف الحساب'!$E$4:$E$203,IFERROR(MATCH(145,'كشف الحساب'!$N$4:$N$203,0),0))),"")</f>
        <v/>
      </c>
      <c r="F149" s="66">
        <f>IFERROR(IF(IFERROR(MATCH(145,'كشف الحساب'!$N$4:$N$203,0),0)=0,"",INDEX('كشف الحساب'!$F$4:$F$203,IFERROR(MATCH(145,'كشف الحساب'!$N$4:$N$203,0),0))),"")</f>
        <v/>
      </c>
      <c r="G149" s="66">
        <f>IFERROR(IF(IFERROR(MATCH(145,'كشف الحساب'!$N$4:$N$203,0),0)=0,"",INDEX('كشف الحساب'!$G$4:$G$203,IFERROR(MATCH(145,'كشف الحساب'!$N$4:$N$203,0),0))),"")</f>
        <v/>
      </c>
      <c r="H149" s="66">
        <f>IFERROR(IF(IFERROR(MATCH(145,'كشف الحساب'!$N$4:$N$203,0),0)=0,"",INDEX('كشف الحساب'!$H$4:$H$203,IFERROR(MATCH(145,'كشف الحساب'!$N$4:$N$203,0),0))),"")</f>
        <v/>
      </c>
      <c r="I149" s="66">
        <f>IFERROR(IF(IFERROR(MATCH(145,'كشف الحساب'!$N$4:$N$203,0),0)=0,"",INDEX('كشف الحساب'!$I$4:$I$203,IFERROR(MATCH(145,'كشف الحساب'!$N$4:$N$203,0),0))),"")</f>
        <v/>
      </c>
      <c r="J149" s="70">
        <f>IFERROR(IF(IFERROR(MATCH(145,'كشف الحساب'!$N$4:$N$203,0),0)=0,"",INDEX('كشف الحساب'!$J$4:$J$203,IFERROR(MATCH(145,'كشف الحساب'!$N$4:$N$203,0),0))),"")</f>
        <v/>
      </c>
      <c r="K149" s="66">
        <f>IFERROR(IF(IFERROR(MATCH(145,'كشف الحساب'!$N$4:$N$203,0),0)=0,"",INDEX('كشف الحساب'!$K$4:$K$203,IFERROR(MATCH(145,'كشف الحساب'!$N$4:$N$203,0),0))),"")</f>
        <v/>
      </c>
    </row>
    <row r="150" ht="15" customHeight="1" s="165">
      <c r="A150" s="71">
        <f>IFERROR(IF(IFERROR(MATCH(146,'كشف الحساب'!$N$4:$N$203,0),0)=0,"",INDEX('كشف الحساب'!$A$4:$A$203,IFERROR(MATCH(146,'كشف الحساب'!$N$4:$N$203,0),0))),"")</f>
        <v/>
      </c>
      <c r="B150" s="72">
        <f>IFERROR(IF(IFERROR(MATCH(146,'كشف الحساب'!$N$4:$N$203,0),0)=0,"",INDEX('كشف الحساب'!$B$4:$B$203,IFERROR(MATCH(146,'كشف الحساب'!$N$4:$N$203,0),0))),"")</f>
        <v/>
      </c>
      <c r="C150" s="73">
        <f>IFERROR(IF(IFERROR(MATCH(146,'كشف الحساب'!$N$4:$N$203,0),0)=0,"",INDEX('كشف الحساب'!$C$4:$C$203,IFERROR(MATCH(146,'كشف الحساب'!$N$4:$N$203,0),0))),"")</f>
        <v/>
      </c>
      <c r="D150" s="74">
        <f>IFERROR(IF(IFERROR(MATCH(146,'كشف الحساب'!$N$4:$N$203,0),0)=0,"",INDEX('كشف الحساب'!$D$4:$D$203,IFERROR(MATCH(146,'كشف الحساب'!$N$4:$N$203,0),0))),"")</f>
        <v/>
      </c>
      <c r="E150" s="75">
        <f>IFERROR(IF(IFERROR(MATCH(146,'كشف الحساب'!$N$4:$N$203,0),0)=0,"",INDEX('كشف الحساب'!$E$4:$E$203,IFERROR(MATCH(146,'كشف الحساب'!$N$4:$N$203,0),0))),"")</f>
        <v/>
      </c>
      <c r="F150" s="72">
        <f>IFERROR(IF(IFERROR(MATCH(146,'كشف الحساب'!$N$4:$N$203,0),0)=0,"",INDEX('كشف الحساب'!$F$4:$F$203,IFERROR(MATCH(146,'كشف الحساب'!$N$4:$N$203,0),0))),"")</f>
        <v/>
      </c>
      <c r="G150" s="72">
        <f>IFERROR(IF(IFERROR(MATCH(146,'كشف الحساب'!$N$4:$N$203,0),0)=0,"",INDEX('كشف الحساب'!$G$4:$G$203,IFERROR(MATCH(146,'كشف الحساب'!$N$4:$N$203,0),0))),"")</f>
        <v/>
      </c>
      <c r="H150" s="72">
        <f>IFERROR(IF(IFERROR(MATCH(146,'كشف الحساب'!$N$4:$N$203,0),0)=0,"",INDEX('كشف الحساب'!$H$4:$H$203,IFERROR(MATCH(146,'كشف الحساب'!$N$4:$N$203,0),0))),"")</f>
        <v/>
      </c>
      <c r="I150" s="72">
        <f>IFERROR(IF(IFERROR(MATCH(146,'كشف الحساب'!$N$4:$N$203,0),0)=0,"",INDEX('كشف الحساب'!$I$4:$I$203,IFERROR(MATCH(146,'كشف الحساب'!$N$4:$N$203,0),0))),"")</f>
        <v/>
      </c>
      <c r="J150" s="76">
        <f>IFERROR(IF(IFERROR(MATCH(146,'كشف الحساب'!$N$4:$N$203,0),0)=0,"",INDEX('كشف الحساب'!$J$4:$J$203,IFERROR(MATCH(146,'كشف الحساب'!$N$4:$N$203,0),0))),"")</f>
        <v/>
      </c>
      <c r="K150" s="72">
        <f>IFERROR(IF(IFERROR(MATCH(146,'كشف الحساب'!$N$4:$N$203,0),0)=0,"",INDEX('كشف الحساب'!$K$4:$K$203,IFERROR(MATCH(146,'كشف الحساب'!$N$4:$N$203,0),0))),"")</f>
        <v/>
      </c>
    </row>
    <row r="151" ht="15" customHeight="1" s="165">
      <c r="A151" s="65">
        <f>IFERROR(IF(IFERROR(MATCH(147,'كشف الحساب'!$N$4:$N$203,0),0)=0,"",INDEX('كشف الحساب'!$A$4:$A$203,IFERROR(MATCH(147,'كشف الحساب'!$N$4:$N$203,0),0))),"")</f>
        <v/>
      </c>
      <c r="B151" s="66">
        <f>IFERROR(IF(IFERROR(MATCH(147,'كشف الحساب'!$N$4:$N$203,0),0)=0,"",INDEX('كشف الحساب'!$B$4:$B$203,IFERROR(MATCH(147,'كشف الحساب'!$N$4:$N$203,0),0))),"")</f>
        <v/>
      </c>
      <c r="C151" s="67">
        <f>IFERROR(IF(IFERROR(MATCH(147,'كشف الحساب'!$N$4:$N$203,0),0)=0,"",INDEX('كشف الحساب'!$C$4:$C$203,IFERROR(MATCH(147,'كشف الحساب'!$N$4:$N$203,0),0))),"")</f>
        <v/>
      </c>
      <c r="D151" s="68">
        <f>IFERROR(IF(IFERROR(MATCH(147,'كشف الحساب'!$N$4:$N$203,0),0)=0,"",INDEX('كشف الحساب'!$D$4:$D$203,IFERROR(MATCH(147,'كشف الحساب'!$N$4:$N$203,0),0))),"")</f>
        <v/>
      </c>
      <c r="E151" s="69">
        <f>IFERROR(IF(IFERROR(MATCH(147,'كشف الحساب'!$N$4:$N$203,0),0)=0,"",INDEX('كشف الحساب'!$E$4:$E$203,IFERROR(MATCH(147,'كشف الحساب'!$N$4:$N$203,0),0))),"")</f>
        <v/>
      </c>
      <c r="F151" s="66">
        <f>IFERROR(IF(IFERROR(MATCH(147,'كشف الحساب'!$N$4:$N$203,0),0)=0,"",INDEX('كشف الحساب'!$F$4:$F$203,IFERROR(MATCH(147,'كشف الحساب'!$N$4:$N$203,0),0))),"")</f>
        <v/>
      </c>
      <c r="G151" s="66">
        <f>IFERROR(IF(IFERROR(MATCH(147,'كشف الحساب'!$N$4:$N$203,0),0)=0,"",INDEX('كشف الحساب'!$G$4:$G$203,IFERROR(MATCH(147,'كشف الحساب'!$N$4:$N$203,0),0))),"")</f>
        <v/>
      </c>
      <c r="H151" s="66">
        <f>IFERROR(IF(IFERROR(MATCH(147,'كشف الحساب'!$N$4:$N$203,0),0)=0,"",INDEX('كشف الحساب'!$H$4:$H$203,IFERROR(MATCH(147,'كشف الحساب'!$N$4:$N$203,0),0))),"")</f>
        <v/>
      </c>
      <c r="I151" s="66">
        <f>IFERROR(IF(IFERROR(MATCH(147,'كشف الحساب'!$N$4:$N$203,0),0)=0,"",INDEX('كشف الحساب'!$I$4:$I$203,IFERROR(MATCH(147,'كشف الحساب'!$N$4:$N$203,0),0))),"")</f>
        <v/>
      </c>
      <c r="J151" s="70">
        <f>IFERROR(IF(IFERROR(MATCH(147,'كشف الحساب'!$N$4:$N$203,0),0)=0,"",INDEX('كشف الحساب'!$J$4:$J$203,IFERROR(MATCH(147,'كشف الحساب'!$N$4:$N$203,0),0))),"")</f>
        <v/>
      </c>
      <c r="K151" s="66">
        <f>IFERROR(IF(IFERROR(MATCH(147,'كشف الحساب'!$N$4:$N$203,0),0)=0,"",INDEX('كشف الحساب'!$K$4:$K$203,IFERROR(MATCH(147,'كشف الحساب'!$N$4:$N$203,0),0))),"")</f>
        <v/>
      </c>
    </row>
    <row r="152" ht="15" customHeight="1" s="165">
      <c r="A152" s="71">
        <f>IFERROR(IF(IFERROR(MATCH(148,'كشف الحساب'!$N$4:$N$203,0),0)=0,"",INDEX('كشف الحساب'!$A$4:$A$203,IFERROR(MATCH(148,'كشف الحساب'!$N$4:$N$203,0),0))),"")</f>
        <v/>
      </c>
      <c r="B152" s="72">
        <f>IFERROR(IF(IFERROR(MATCH(148,'كشف الحساب'!$N$4:$N$203,0),0)=0,"",INDEX('كشف الحساب'!$B$4:$B$203,IFERROR(MATCH(148,'كشف الحساب'!$N$4:$N$203,0),0))),"")</f>
        <v/>
      </c>
      <c r="C152" s="73">
        <f>IFERROR(IF(IFERROR(MATCH(148,'كشف الحساب'!$N$4:$N$203,0),0)=0,"",INDEX('كشف الحساب'!$C$4:$C$203,IFERROR(MATCH(148,'كشف الحساب'!$N$4:$N$203,0),0))),"")</f>
        <v/>
      </c>
      <c r="D152" s="74">
        <f>IFERROR(IF(IFERROR(MATCH(148,'كشف الحساب'!$N$4:$N$203,0),0)=0,"",INDEX('كشف الحساب'!$D$4:$D$203,IFERROR(MATCH(148,'كشف الحساب'!$N$4:$N$203,0),0))),"")</f>
        <v/>
      </c>
      <c r="E152" s="75">
        <f>IFERROR(IF(IFERROR(MATCH(148,'كشف الحساب'!$N$4:$N$203,0),0)=0,"",INDEX('كشف الحساب'!$E$4:$E$203,IFERROR(MATCH(148,'كشف الحساب'!$N$4:$N$203,0),0))),"")</f>
        <v/>
      </c>
      <c r="F152" s="72">
        <f>IFERROR(IF(IFERROR(MATCH(148,'كشف الحساب'!$N$4:$N$203,0),0)=0,"",INDEX('كشف الحساب'!$F$4:$F$203,IFERROR(MATCH(148,'كشف الحساب'!$N$4:$N$203,0),0))),"")</f>
        <v/>
      </c>
      <c r="G152" s="72">
        <f>IFERROR(IF(IFERROR(MATCH(148,'كشف الحساب'!$N$4:$N$203,0),0)=0,"",INDEX('كشف الحساب'!$G$4:$G$203,IFERROR(MATCH(148,'كشف الحساب'!$N$4:$N$203,0),0))),"")</f>
        <v/>
      </c>
      <c r="H152" s="72">
        <f>IFERROR(IF(IFERROR(MATCH(148,'كشف الحساب'!$N$4:$N$203,0),0)=0,"",INDEX('كشف الحساب'!$H$4:$H$203,IFERROR(MATCH(148,'كشف الحساب'!$N$4:$N$203,0),0))),"")</f>
        <v/>
      </c>
      <c r="I152" s="72">
        <f>IFERROR(IF(IFERROR(MATCH(148,'كشف الحساب'!$N$4:$N$203,0),0)=0,"",INDEX('كشف الحساب'!$I$4:$I$203,IFERROR(MATCH(148,'كشف الحساب'!$N$4:$N$203,0),0))),"")</f>
        <v/>
      </c>
      <c r="J152" s="76">
        <f>IFERROR(IF(IFERROR(MATCH(148,'كشف الحساب'!$N$4:$N$203,0),0)=0,"",INDEX('كشف الحساب'!$J$4:$J$203,IFERROR(MATCH(148,'كشف الحساب'!$N$4:$N$203,0),0))),"")</f>
        <v/>
      </c>
      <c r="K152" s="72">
        <f>IFERROR(IF(IFERROR(MATCH(148,'كشف الحساب'!$N$4:$N$203,0),0)=0,"",INDEX('كشف الحساب'!$K$4:$K$203,IFERROR(MATCH(148,'كشف الحساب'!$N$4:$N$203,0),0))),"")</f>
        <v/>
      </c>
    </row>
    <row r="153" ht="15" customHeight="1" s="165">
      <c r="A153" s="65">
        <f>IFERROR(IF(IFERROR(MATCH(149,'كشف الحساب'!$N$4:$N$203,0),0)=0,"",INDEX('كشف الحساب'!$A$4:$A$203,IFERROR(MATCH(149,'كشف الحساب'!$N$4:$N$203,0),0))),"")</f>
        <v/>
      </c>
      <c r="B153" s="66">
        <f>IFERROR(IF(IFERROR(MATCH(149,'كشف الحساب'!$N$4:$N$203,0),0)=0,"",INDEX('كشف الحساب'!$B$4:$B$203,IFERROR(MATCH(149,'كشف الحساب'!$N$4:$N$203,0),0))),"")</f>
        <v/>
      </c>
      <c r="C153" s="67">
        <f>IFERROR(IF(IFERROR(MATCH(149,'كشف الحساب'!$N$4:$N$203,0),0)=0,"",INDEX('كشف الحساب'!$C$4:$C$203,IFERROR(MATCH(149,'كشف الحساب'!$N$4:$N$203,0),0))),"")</f>
        <v/>
      </c>
      <c r="D153" s="68">
        <f>IFERROR(IF(IFERROR(MATCH(149,'كشف الحساب'!$N$4:$N$203,0),0)=0,"",INDEX('كشف الحساب'!$D$4:$D$203,IFERROR(MATCH(149,'كشف الحساب'!$N$4:$N$203,0),0))),"")</f>
        <v/>
      </c>
      <c r="E153" s="69">
        <f>IFERROR(IF(IFERROR(MATCH(149,'كشف الحساب'!$N$4:$N$203,0),0)=0,"",INDEX('كشف الحساب'!$E$4:$E$203,IFERROR(MATCH(149,'كشف الحساب'!$N$4:$N$203,0),0))),"")</f>
        <v/>
      </c>
      <c r="F153" s="66">
        <f>IFERROR(IF(IFERROR(MATCH(149,'كشف الحساب'!$N$4:$N$203,0),0)=0,"",INDEX('كشف الحساب'!$F$4:$F$203,IFERROR(MATCH(149,'كشف الحساب'!$N$4:$N$203,0),0))),"")</f>
        <v/>
      </c>
      <c r="G153" s="66">
        <f>IFERROR(IF(IFERROR(MATCH(149,'كشف الحساب'!$N$4:$N$203,0),0)=0,"",INDEX('كشف الحساب'!$G$4:$G$203,IFERROR(MATCH(149,'كشف الحساب'!$N$4:$N$203,0),0))),"")</f>
        <v/>
      </c>
      <c r="H153" s="66">
        <f>IFERROR(IF(IFERROR(MATCH(149,'كشف الحساب'!$N$4:$N$203,0),0)=0,"",INDEX('كشف الحساب'!$H$4:$H$203,IFERROR(MATCH(149,'كشف الحساب'!$N$4:$N$203,0),0))),"")</f>
        <v/>
      </c>
      <c r="I153" s="66">
        <f>IFERROR(IF(IFERROR(MATCH(149,'كشف الحساب'!$N$4:$N$203,0),0)=0,"",INDEX('كشف الحساب'!$I$4:$I$203,IFERROR(MATCH(149,'كشف الحساب'!$N$4:$N$203,0),0))),"")</f>
        <v/>
      </c>
      <c r="J153" s="70">
        <f>IFERROR(IF(IFERROR(MATCH(149,'كشف الحساب'!$N$4:$N$203,0),0)=0,"",INDEX('كشف الحساب'!$J$4:$J$203,IFERROR(MATCH(149,'كشف الحساب'!$N$4:$N$203,0),0))),"")</f>
        <v/>
      </c>
      <c r="K153" s="66">
        <f>IFERROR(IF(IFERROR(MATCH(149,'كشف الحساب'!$N$4:$N$203,0),0)=0,"",INDEX('كشف الحساب'!$K$4:$K$203,IFERROR(MATCH(149,'كشف الحساب'!$N$4:$N$203,0),0))),"")</f>
        <v/>
      </c>
    </row>
    <row r="154" ht="15" customHeight="1" s="165">
      <c r="A154" s="71">
        <f>IFERROR(IF(IFERROR(MATCH(150,'كشف الحساب'!$N$4:$N$203,0),0)=0,"",INDEX('كشف الحساب'!$A$4:$A$203,IFERROR(MATCH(150,'كشف الحساب'!$N$4:$N$203,0),0))),"")</f>
        <v/>
      </c>
      <c r="B154" s="72">
        <f>IFERROR(IF(IFERROR(MATCH(150,'كشف الحساب'!$N$4:$N$203,0),0)=0,"",INDEX('كشف الحساب'!$B$4:$B$203,IFERROR(MATCH(150,'كشف الحساب'!$N$4:$N$203,0),0))),"")</f>
        <v/>
      </c>
      <c r="C154" s="73">
        <f>IFERROR(IF(IFERROR(MATCH(150,'كشف الحساب'!$N$4:$N$203,0),0)=0,"",INDEX('كشف الحساب'!$C$4:$C$203,IFERROR(MATCH(150,'كشف الحساب'!$N$4:$N$203,0),0))),"")</f>
        <v/>
      </c>
      <c r="D154" s="74">
        <f>IFERROR(IF(IFERROR(MATCH(150,'كشف الحساب'!$N$4:$N$203,0),0)=0,"",INDEX('كشف الحساب'!$D$4:$D$203,IFERROR(MATCH(150,'كشف الحساب'!$N$4:$N$203,0),0))),"")</f>
        <v/>
      </c>
      <c r="E154" s="75">
        <f>IFERROR(IF(IFERROR(MATCH(150,'كشف الحساب'!$N$4:$N$203,0),0)=0,"",INDEX('كشف الحساب'!$E$4:$E$203,IFERROR(MATCH(150,'كشف الحساب'!$N$4:$N$203,0),0))),"")</f>
        <v/>
      </c>
      <c r="F154" s="72">
        <f>IFERROR(IF(IFERROR(MATCH(150,'كشف الحساب'!$N$4:$N$203,0),0)=0,"",INDEX('كشف الحساب'!$F$4:$F$203,IFERROR(MATCH(150,'كشف الحساب'!$N$4:$N$203,0),0))),"")</f>
        <v/>
      </c>
      <c r="G154" s="72">
        <f>IFERROR(IF(IFERROR(MATCH(150,'كشف الحساب'!$N$4:$N$203,0),0)=0,"",INDEX('كشف الحساب'!$G$4:$G$203,IFERROR(MATCH(150,'كشف الحساب'!$N$4:$N$203,0),0))),"")</f>
        <v/>
      </c>
      <c r="H154" s="72">
        <f>IFERROR(IF(IFERROR(MATCH(150,'كشف الحساب'!$N$4:$N$203,0),0)=0,"",INDEX('كشف الحساب'!$H$4:$H$203,IFERROR(MATCH(150,'كشف الحساب'!$N$4:$N$203,0),0))),"")</f>
        <v/>
      </c>
      <c r="I154" s="72">
        <f>IFERROR(IF(IFERROR(MATCH(150,'كشف الحساب'!$N$4:$N$203,0),0)=0,"",INDEX('كشف الحساب'!$I$4:$I$203,IFERROR(MATCH(150,'كشف الحساب'!$N$4:$N$203,0),0))),"")</f>
        <v/>
      </c>
      <c r="J154" s="76">
        <f>IFERROR(IF(IFERROR(MATCH(150,'كشف الحساب'!$N$4:$N$203,0),0)=0,"",INDEX('كشف الحساب'!$J$4:$J$203,IFERROR(MATCH(150,'كشف الحساب'!$N$4:$N$203,0),0))),"")</f>
        <v/>
      </c>
      <c r="K154" s="72">
        <f>IFERROR(IF(IFERROR(MATCH(150,'كشف الحساب'!$N$4:$N$203,0),0)=0,"",INDEX('كشف الحساب'!$K$4:$K$203,IFERROR(MATCH(150,'كشف الحساب'!$N$4:$N$203,0),0))),"")</f>
        <v/>
      </c>
    </row>
    <row r="155" ht="21.75" customHeight="1" s="165">
      <c r="A155" s="172" t="inlineStr">
        <is>
          <t>ملخص الفترة المختارة</t>
        </is>
      </c>
      <c r="B155" s="161" t="n"/>
      <c r="C155" s="161" t="n"/>
      <c r="D155" s="77">
        <f>SUM(D5:D154)</f>
        <v/>
      </c>
      <c r="E155" s="77">
        <f>SUM(E5:E154)</f>
        <v/>
      </c>
      <c r="F155" s="173">
        <f>COUNTIF(H5:H154,"معلق")</f>
        <v/>
      </c>
      <c r="G155" s="161" t="n"/>
      <c r="H155" s="161" t="n"/>
      <c r="I155" s="78" t="n"/>
      <c r="J155" s="77">
        <f>E155-D155</f>
        <v/>
      </c>
      <c r="K155" s="78" t="n"/>
    </row>
    <row r="156" ht="15.75" customHeight="1" s="165">
      <c r="A156" s="79" t="n"/>
      <c r="B156" s="79" t="n"/>
      <c r="C156" s="79" t="n"/>
      <c r="D156" s="49" t="inlineStr">
        <is>
          <t>إجمالي السحوبات</t>
        </is>
      </c>
      <c r="E156" s="50" t="inlineStr">
        <is>
          <t>إجمالي الإيرادات</t>
        </is>
      </c>
      <c r="F156" s="51" t="inlineStr">
        <is>
          <t>عدد المعلقات</t>
        </is>
      </c>
      <c r="G156" s="79" t="n"/>
      <c r="H156" s="79" t="n"/>
      <c r="I156" s="79" t="n"/>
      <c r="J156" s="52" t="inlineStr">
        <is>
          <t>صافي الفترة</t>
        </is>
      </c>
      <c r="K156" s="79" t="n"/>
    </row>
  </sheetData>
  <mergeCells count="7">
    <mergeCell ref="A2:B2"/>
    <mergeCell ref="D2:E2"/>
    <mergeCell ref="A155:C155"/>
    <mergeCell ref="F155:H155"/>
    <mergeCell ref="G2:K2"/>
    <mergeCell ref="A3:C3"/>
    <mergeCell ref="A1:K1"/>
  </mergeCells>
  <conditionalFormatting sqref="J5:J154">
    <cfRule type="cellIs" priority="2" operator="lessThan" dxfId="1">
      <formula>0</formula>
    </cfRule>
    <cfRule type="cellIs" priority="3" operator="greaterThanOrEqual" dxfId="0">
      <formula>0</formula>
    </cfRule>
  </conditionalFormatting>
  <dataValidations count="2">
    <dataValidation sqref="C2" showDropDown="0" showInputMessage="0" showErrorMessage="0" allowBlank="0" type="list">
      <formula1>"يناير,فبراير,مارس,أبريل,مايو,يونيو,يوليو,أغسطس,سبتمبر,أكتوبر,نوفمبر,ديسمبر,الكل"</formula1>
      <formula2>0</formula2>
    </dataValidation>
    <dataValidation sqref="F2" showDropDown="0" showInputMessage="0" showErrorMessage="0" allowBlank="0" type="list">
      <formula1>"2024,2025,2026,2027,2028,الكل"</formula1>
      <formula2>0</formula2>
    </dataValidation>
  </dataValidations>
  <pageMargins left="0.25" right="0.25" top="0.75" bottom="0.75" header="0.3" footer="0.3"/>
  <pageSetup orientation="landscape" paperSize="9" scale="76" fitToHeight="0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baseColWidth="8" defaultColWidth="8.7109375" defaultRowHeight="15"/>
  <cols>
    <col width="12" customWidth="1" style="165" min="1" max="1"/>
    <col width="15" customWidth="1" style="165" min="2" max="2"/>
    <col width="38" customWidth="1" style="165" min="3" max="3"/>
    <col width="16" customWidth="1" style="165" min="4" max="5"/>
    <col width="20" customWidth="1" style="165" min="6" max="6"/>
    <col width="16" customWidth="1" style="165" min="7" max="7"/>
  </cols>
  <sheetData>
    <row r="1" ht="30" customHeight="1" s="165">
      <c r="A1" s="166" t="inlineStr">
        <is>
          <t>💰  المحفظة  —  Farm Wallet</t>
        </is>
      </c>
      <c r="B1" s="161" t="n"/>
      <c r="C1" s="161" t="n"/>
      <c r="D1" s="161" t="n"/>
      <c r="E1" s="161" t="n"/>
      <c r="F1" s="161" t="n"/>
      <c r="G1" s="161" t="n"/>
    </row>
    <row r="2" ht="24" customHeight="1" s="165">
      <c r="A2" s="171" t="inlineStr">
        <is>
          <t>اختر الشهر:</t>
        </is>
      </c>
      <c r="B2" s="161" t="n"/>
      <c r="C2" s="58" t="inlineStr">
        <is>
          <t>يونيو</t>
        </is>
      </c>
      <c r="D2" s="171" t="inlineStr">
        <is>
          <t>اختر السنة:</t>
        </is>
      </c>
      <c r="E2" s="161" t="n"/>
      <c r="F2" s="58" t="n">
        <v>2026</v>
      </c>
    </row>
    <row r="3" ht="21.75" customHeight="1" s="165">
      <c r="A3" s="175" t="inlineStr">
        <is>
          <t>رصيد المحفظة الافتتاحي:</t>
        </is>
      </c>
      <c r="B3" s="161" t="n"/>
      <c r="C3" s="59">
        <f>المحفظة!$D$2</f>
        <v/>
      </c>
      <c r="D3" s="175" t="inlineStr">
        <is>
          <t>رصيد المحفظة الحالي:</t>
        </is>
      </c>
      <c r="E3" s="161" t="n"/>
      <c r="F3" s="80">
        <f>المحفظة!$C$3</f>
        <v/>
      </c>
    </row>
    <row r="4" ht="21.75" customHeight="1" s="165">
      <c r="A4" s="176" t="inlineStr">
        <is>
          <t>🟢  الإيرادات</t>
        </is>
      </c>
      <c r="B4" s="161" t="n"/>
      <c r="C4" s="161" t="n"/>
      <c r="D4" s="161" t="n"/>
      <c r="E4" s="161" t="n"/>
      <c r="F4" s="161" t="n"/>
      <c r="G4" s="161" t="n"/>
    </row>
    <row r="5" ht="16.5" customHeight="1" s="165">
      <c r="A5" s="2">
        <f>IFERROR(IF(IFERROR(MATCH(1,المحفظة!$H$5:$H$104,0),0)=0,"",INDEX(المحفظة!$A$5:$A$104,IFERROR(MATCH(1,المحفظة!$H$5:$H$104,0),0))),"")</f>
        <v/>
      </c>
      <c r="B5" s="3">
        <f>IFERROR(IF(IFERROR(MATCH(1,المحفظة!$H$5:$H$104,0),0)=0,"",INDEX(المحفظة!$B$5:$B$104,IFERROR(MATCH(1,المحفظة!$H$5:$H$104,0),0))),"")</f>
        <v/>
      </c>
      <c r="C5" s="81">
        <f>IFERROR(IF(IFERROR(MATCH(1,المحفظة!$H$5:$H$104,0),0)=0,"",INDEX(المحفظة!$C$5:$C$104,IFERROR(MATCH(1,المحفظة!$H$5:$H$104,0),0))),"")</f>
        <v/>
      </c>
      <c r="D5" s="4" t="inlineStr">
        <is>
          <t>—</t>
        </is>
      </c>
      <c r="E5" s="5">
        <f>IFERROR(IF(IFERROR(MATCH(1,المحفظة!$H$5:$H$104,0),0)=0,"",INDEX(المحفظة!$E$5:$E$104,IFERROR(MATCH(1,المحفظة!$H$5:$H$104,0),0))),"")</f>
        <v/>
      </c>
      <c r="F5" s="3">
        <f>IFERROR(IF(IFERROR(MATCH(1,المحفظة!$H$5:$H$104,0),0)=0,"",INDEX(المحفظة!$F$5:$F$104,IFERROR(MATCH(1,المحفظة!$H$5:$H$104,0),0))),"")</f>
        <v/>
      </c>
      <c r="G5" s="82" t="n"/>
    </row>
    <row r="6" ht="16.5" customHeight="1" s="165">
      <c r="A6" s="7">
        <f>IFERROR(IF(IFERROR(MATCH(2,المحفظة!$H$5:$H$104,0),0)=0,"",INDEX(المحفظة!$A$5:$A$104,IFERROR(MATCH(2,المحفظة!$H$5:$H$104,0),0))),"")</f>
        <v/>
      </c>
      <c r="B6" s="8">
        <f>IFERROR(IF(IFERROR(MATCH(2,المحفظة!$H$5:$H$104,0),0)=0,"",INDEX(المحفظة!$B$5:$B$104,IFERROR(MATCH(2,المحفظة!$H$5:$H$104,0),0))),"")</f>
        <v/>
      </c>
      <c r="C6" s="83">
        <f>IFERROR(IF(IFERROR(MATCH(2,المحفظة!$H$5:$H$104,0),0)=0,"",INDEX(المحفظة!$C$5:$C$104,IFERROR(MATCH(2,المحفظة!$H$5:$H$104,0),0))),"")</f>
        <v/>
      </c>
      <c r="D6" s="9" t="inlineStr">
        <is>
          <t>—</t>
        </is>
      </c>
      <c r="E6" s="10">
        <f>IFERROR(IF(IFERROR(MATCH(2,المحفظة!$H$5:$H$104,0),0)=0,"",INDEX(المحفظة!$E$5:$E$104,IFERROR(MATCH(2,المحفظة!$H$5:$H$104,0),0))),"")</f>
        <v/>
      </c>
      <c r="F6" s="8">
        <f>IFERROR(IF(IFERROR(MATCH(2,المحفظة!$H$5:$H$104,0),0)=0,"",INDEX(المحفظة!$F$5:$F$104,IFERROR(MATCH(2,المحفظة!$H$5:$H$104,0),0))),"")</f>
        <v/>
      </c>
      <c r="G6" s="84" t="n"/>
    </row>
    <row r="7" ht="16.5" customHeight="1" s="165">
      <c r="A7" s="2">
        <f>IFERROR(IF(IFERROR(MATCH(3,المحفظة!$H$5:$H$104,0),0)=0,"",INDEX(المحفظة!$A$5:$A$104,IFERROR(MATCH(3,المحفظة!$H$5:$H$104,0),0))),"")</f>
        <v/>
      </c>
      <c r="B7" s="3">
        <f>IFERROR(IF(IFERROR(MATCH(3,المحفظة!$H$5:$H$104,0),0)=0,"",INDEX(المحفظة!$B$5:$B$104,IFERROR(MATCH(3,المحفظة!$H$5:$H$104,0),0))),"")</f>
        <v/>
      </c>
      <c r="C7" s="81">
        <f>IFERROR(IF(IFERROR(MATCH(3,المحفظة!$H$5:$H$104,0),0)=0,"",INDEX(المحفظة!$C$5:$C$104,IFERROR(MATCH(3,المحفظة!$H$5:$H$104,0),0))),"")</f>
        <v/>
      </c>
      <c r="D7" s="4" t="inlineStr">
        <is>
          <t>—</t>
        </is>
      </c>
      <c r="E7" s="5">
        <f>IFERROR(IF(IFERROR(MATCH(3,المحفظة!$H$5:$H$104,0),0)=0,"",INDEX(المحفظة!$E$5:$E$104,IFERROR(MATCH(3,المحفظة!$H$5:$H$104,0),0))),"")</f>
        <v/>
      </c>
      <c r="F7" s="3">
        <f>IFERROR(IF(IFERROR(MATCH(3,المحفظة!$H$5:$H$104,0),0)=0,"",INDEX(المحفظة!$F$5:$F$104,IFERROR(MATCH(3,المحفظة!$H$5:$H$104,0),0))),"")</f>
        <v/>
      </c>
      <c r="G7" s="82" t="n"/>
    </row>
    <row r="8" ht="16.5" customHeight="1" s="165">
      <c r="A8" s="7">
        <f>IFERROR(IF(IFERROR(MATCH(4,المحفظة!$H$5:$H$104,0),0)=0,"",INDEX(المحفظة!$A$5:$A$104,IFERROR(MATCH(4,المحفظة!$H$5:$H$104,0),0))),"")</f>
        <v/>
      </c>
      <c r="B8" s="8">
        <f>IFERROR(IF(IFERROR(MATCH(4,المحفظة!$H$5:$H$104,0),0)=0,"",INDEX(المحفظة!$B$5:$B$104,IFERROR(MATCH(4,المحفظة!$H$5:$H$104,0),0))),"")</f>
        <v/>
      </c>
      <c r="C8" s="83">
        <f>IFERROR(IF(IFERROR(MATCH(4,المحفظة!$H$5:$H$104,0),0)=0,"",INDEX(المحفظة!$C$5:$C$104,IFERROR(MATCH(4,المحفظة!$H$5:$H$104,0),0))),"")</f>
        <v/>
      </c>
      <c r="D8" s="9" t="inlineStr">
        <is>
          <t>—</t>
        </is>
      </c>
      <c r="E8" s="10">
        <f>IFERROR(IF(IFERROR(MATCH(4,المحفظة!$H$5:$H$104,0),0)=0,"",INDEX(المحفظة!$E$5:$E$104,IFERROR(MATCH(4,المحفظة!$H$5:$H$104,0),0))),"")</f>
        <v/>
      </c>
      <c r="F8" s="8">
        <f>IFERROR(IF(IFERROR(MATCH(4,المحفظة!$H$5:$H$104,0),0)=0,"",INDEX(المحفظة!$F$5:$F$104,IFERROR(MATCH(4,المحفظة!$H$5:$H$104,0),0))),"")</f>
        <v/>
      </c>
      <c r="G8" s="84" t="n"/>
    </row>
    <row r="9" ht="16.5" customHeight="1" s="165">
      <c r="A9" s="2">
        <f>IFERROR(IF(IFERROR(MATCH(5,المحفظة!$H$5:$H$104,0),0)=0,"",INDEX(المحفظة!$A$5:$A$104,IFERROR(MATCH(5,المحفظة!$H$5:$H$104,0),0))),"")</f>
        <v/>
      </c>
      <c r="B9" s="3">
        <f>IFERROR(IF(IFERROR(MATCH(5,المحفظة!$H$5:$H$104,0),0)=0,"",INDEX(المحفظة!$B$5:$B$104,IFERROR(MATCH(5,المحفظة!$H$5:$H$104,0),0))),"")</f>
        <v/>
      </c>
      <c r="C9" s="81">
        <f>IFERROR(IF(IFERROR(MATCH(5,المحفظة!$H$5:$H$104,0),0)=0,"",INDEX(المحفظة!$C$5:$C$104,IFERROR(MATCH(5,المحفظة!$H$5:$H$104,0),0))),"")</f>
        <v/>
      </c>
      <c r="D9" s="4" t="inlineStr">
        <is>
          <t>—</t>
        </is>
      </c>
      <c r="E9" s="5">
        <f>IFERROR(IF(IFERROR(MATCH(5,المحفظة!$H$5:$H$104,0),0)=0,"",INDEX(المحفظة!$E$5:$E$104,IFERROR(MATCH(5,المحفظة!$H$5:$H$104,0),0))),"")</f>
        <v/>
      </c>
      <c r="F9" s="3">
        <f>IFERROR(IF(IFERROR(MATCH(5,المحفظة!$H$5:$H$104,0),0)=0,"",INDEX(المحفظة!$F$5:$F$104,IFERROR(MATCH(5,المحفظة!$H$5:$H$104,0),0))),"")</f>
        <v/>
      </c>
      <c r="G9" s="82" t="n"/>
    </row>
    <row r="10" ht="16.5" customHeight="1" s="165">
      <c r="A10" s="7">
        <f>IFERROR(IF(IFERROR(MATCH(6,المحفظة!$H$5:$H$104,0),0)=0,"",INDEX(المحفظة!$A$5:$A$104,IFERROR(MATCH(6,المحفظة!$H$5:$H$104,0),0))),"")</f>
        <v/>
      </c>
      <c r="B10" s="8">
        <f>IFERROR(IF(IFERROR(MATCH(6,المحفظة!$H$5:$H$104,0),0)=0,"",INDEX(المحفظة!$B$5:$B$104,IFERROR(MATCH(6,المحفظة!$H$5:$H$104,0),0))),"")</f>
        <v/>
      </c>
      <c r="C10" s="83">
        <f>IFERROR(IF(IFERROR(MATCH(6,المحفظة!$H$5:$H$104,0),0)=0,"",INDEX(المحفظة!$C$5:$C$104,IFERROR(MATCH(6,المحفظة!$H$5:$H$104,0),0))),"")</f>
        <v/>
      </c>
      <c r="D10" s="9" t="inlineStr">
        <is>
          <t>—</t>
        </is>
      </c>
      <c r="E10" s="10">
        <f>IFERROR(IF(IFERROR(MATCH(6,المحفظة!$H$5:$H$104,0),0)=0,"",INDEX(المحفظة!$E$5:$E$104,IFERROR(MATCH(6,المحفظة!$H$5:$H$104,0),0))),"")</f>
        <v/>
      </c>
      <c r="F10" s="8">
        <f>IFERROR(IF(IFERROR(MATCH(6,المحفظة!$H$5:$H$104,0),0)=0,"",INDEX(المحفظة!$F$5:$F$104,IFERROR(MATCH(6,المحفظة!$H$5:$H$104,0),0))),"")</f>
        <v/>
      </c>
      <c r="G10" s="84" t="n"/>
    </row>
    <row r="11" ht="16.5" customHeight="1" s="165">
      <c r="A11" s="2">
        <f>IFERROR(IF(IFERROR(MATCH(7,المحفظة!$H$5:$H$104,0),0)=0,"",INDEX(المحفظة!$A$5:$A$104,IFERROR(MATCH(7,المحفظة!$H$5:$H$104,0),0))),"")</f>
        <v/>
      </c>
      <c r="B11" s="3">
        <f>IFERROR(IF(IFERROR(MATCH(7,المحفظة!$H$5:$H$104,0),0)=0,"",INDEX(المحفظة!$B$5:$B$104,IFERROR(MATCH(7,المحفظة!$H$5:$H$104,0),0))),"")</f>
        <v/>
      </c>
      <c r="C11" s="81">
        <f>IFERROR(IF(IFERROR(MATCH(7,المحفظة!$H$5:$H$104,0),0)=0,"",INDEX(المحفظة!$C$5:$C$104,IFERROR(MATCH(7,المحفظة!$H$5:$H$104,0),0))),"")</f>
        <v/>
      </c>
      <c r="D11" s="4" t="inlineStr">
        <is>
          <t>—</t>
        </is>
      </c>
      <c r="E11" s="5">
        <f>IFERROR(IF(IFERROR(MATCH(7,المحفظة!$H$5:$H$104,0),0)=0,"",INDEX(المحفظة!$E$5:$E$104,IFERROR(MATCH(7,المحفظة!$H$5:$H$104,0),0))),"")</f>
        <v/>
      </c>
      <c r="F11" s="3">
        <f>IFERROR(IF(IFERROR(MATCH(7,المحفظة!$H$5:$H$104,0),0)=0,"",INDEX(المحفظة!$F$5:$F$104,IFERROR(MATCH(7,المحفظة!$H$5:$H$104,0),0))),"")</f>
        <v/>
      </c>
      <c r="G11" s="82" t="n"/>
    </row>
    <row r="12" ht="16.5" customHeight="1" s="165">
      <c r="A12" s="7">
        <f>IFERROR(IF(IFERROR(MATCH(8,المحفظة!$H$5:$H$104,0),0)=0,"",INDEX(المحفظة!$A$5:$A$104,IFERROR(MATCH(8,المحفظة!$H$5:$H$104,0),0))),"")</f>
        <v/>
      </c>
      <c r="B12" s="8">
        <f>IFERROR(IF(IFERROR(MATCH(8,المحفظة!$H$5:$H$104,0),0)=0,"",INDEX(المحفظة!$B$5:$B$104,IFERROR(MATCH(8,المحفظة!$H$5:$H$104,0),0))),"")</f>
        <v/>
      </c>
      <c r="C12" s="83">
        <f>IFERROR(IF(IFERROR(MATCH(8,المحفظة!$H$5:$H$104,0),0)=0,"",INDEX(المحفظة!$C$5:$C$104,IFERROR(MATCH(8,المحفظة!$H$5:$H$104,0),0))),"")</f>
        <v/>
      </c>
      <c r="D12" s="9" t="inlineStr">
        <is>
          <t>—</t>
        </is>
      </c>
      <c r="E12" s="10">
        <f>IFERROR(IF(IFERROR(MATCH(8,المحفظة!$H$5:$H$104,0),0)=0,"",INDEX(المحفظة!$E$5:$E$104,IFERROR(MATCH(8,المحفظة!$H$5:$H$104,0),0))),"")</f>
        <v/>
      </c>
      <c r="F12" s="8">
        <f>IFERROR(IF(IFERROR(MATCH(8,المحفظة!$H$5:$H$104,0),0)=0,"",INDEX(المحفظة!$F$5:$F$104,IFERROR(MATCH(8,المحفظة!$H$5:$H$104,0),0))),"")</f>
        <v/>
      </c>
      <c r="G12" s="84" t="n"/>
    </row>
    <row r="13" ht="16.5" customHeight="1" s="165">
      <c r="A13" s="2">
        <f>IFERROR(IF(IFERROR(MATCH(9,المحفظة!$H$5:$H$104,0),0)=0,"",INDEX(المحفظة!$A$5:$A$104,IFERROR(MATCH(9,المحفظة!$H$5:$H$104,0),0))),"")</f>
        <v/>
      </c>
      <c r="B13" s="3">
        <f>IFERROR(IF(IFERROR(MATCH(9,المحفظة!$H$5:$H$104,0),0)=0,"",INDEX(المحفظة!$B$5:$B$104,IFERROR(MATCH(9,المحفظة!$H$5:$H$104,0),0))),"")</f>
        <v/>
      </c>
      <c r="C13" s="81">
        <f>IFERROR(IF(IFERROR(MATCH(9,المحفظة!$H$5:$H$104,0),0)=0,"",INDEX(المحفظة!$C$5:$C$104,IFERROR(MATCH(9,المحفظة!$H$5:$H$104,0),0))),"")</f>
        <v/>
      </c>
      <c r="D13" s="4" t="inlineStr">
        <is>
          <t>—</t>
        </is>
      </c>
      <c r="E13" s="5">
        <f>IFERROR(IF(IFERROR(MATCH(9,المحفظة!$H$5:$H$104,0),0)=0,"",INDEX(المحفظة!$E$5:$E$104,IFERROR(MATCH(9,المحفظة!$H$5:$H$104,0),0))),"")</f>
        <v/>
      </c>
      <c r="F13" s="3">
        <f>IFERROR(IF(IFERROR(MATCH(9,المحفظة!$H$5:$H$104,0),0)=0,"",INDEX(المحفظة!$F$5:$F$104,IFERROR(MATCH(9,المحفظة!$H$5:$H$104,0),0))),"")</f>
        <v/>
      </c>
      <c r="G13" s="82" t="n"/>
    </row>
    <row r="14" ht="16.5" customHeight="1" s="165">
      <c r="A14" s="7">
        <f>IFERROR(IF(IFERROR(MATCH(10,المحفظة!$H$5:$H$104,0),0)=0,"",INDEX(المحفظة!$A$5:$A$104,IFERROR(MATCH(10,المحفظة!$H$5:$H$104,0),0))),"")</f>
        <v/>
      </c>
      <c r="B14" s="8">
        <f>IFERROR(IF(IFERROR(MATCH(10,المحفظة!$H$5:$H$104,0),0)=0,"",INDEX(المحفظة!$B$5:$B$104,IFERROR(MATCH(10,المحفظة!$H$5:$H$104,0),0))),"")</f>
        <v/>
      </c>
      <c r="C14" s="83">
        <f>IFERROR(IF(IFERROR(MATCH(10,المحفظة!$H$5:$H$104,0),0)=0,"",INDEX(المحفظة!$C$5:$C$104,IFERROR(MATCH(10,المحفظة!$H$5:$H$104,0),0))),"")</f>
        <v/>
      </c>
      <c r="D14" s="9" t="inlineStr">
        <is>
          <t>—</t>
        </is>
      </c>
      <c r="E14" s="10">
        <f>IFERROR(IF(IFERROR(MATCH(10,المحفظة!$H$5:$H$104,0),0)=0,"",INDEX(المحفظة!$E$5:$E$104,IFERROR(MATCH(10,المحفظة!$H$5:$H$104,0),0))),"")</f>
        <v/>
      </c>
      <c r="F14" s="8">
        <f>IFERROR(IF(IFERROR(MATCH(10,المحفظة!$H$5:$H$104,0),0)=0,"",INDEX(المحفظة!$F$5:$F$104,IFERROR(MATCH(10,المحفظة!$H$5:$H$104,0),0))),"")</f>
        <v/>
      </c>
      <c r="G14" s="84" t="n"/>
    </row>
    <row r="15" ht="16.5" customHeight="1" s="165">
      <c r="A15" s="2">
        <f>IFERROR(IF(IFERROR(MATCH(11,المحفظة!$H$5:$H$104,0),0)=0,"",INDEX(المحفظة!$A$5:$A$104,IFERROR(MATCH(11,المحفظة!$H$5:$H$104,0),0))),"")</f>
        <v/>
      </c>
      <c r="B15" s="3">
        <f>IFERROR(IF(IFERROR(MATCH(11,المحفظة!$H$5:$H$104,0),0)=0,"",INDEX(المحفظة!$B$5:$B$104,IFERROR(MATCH(11,المحفظة!$H$5:$H$104,0),0))),"")</f>
        <v/>
      </c>
      <c r="C15" s="81">
        <f>IFERROR(IF(IFERROR(MATCH(11,المحفظة!$H$5:$H$104,0),0)=0,"",INDEX(المحفظة!$C$5:$C$104,IFERROR(MATCH(11,المحفظة!$H$5:$H$104,0),0))),"")</f>
        <v/>
      </c>
      <c r="D15" s="4" t="inlineStr">
        <is>
          <t>—</t>
        </is>
      </c>
      <c r="E15" s="5">
        <f>IFERROR(IF(IFERROR(MATCH(11,المحفظة!$H$5:$H$104,0),0)=0,"",INDEX(المحفظة!$E$5:$E$104,IFERROR(MATCH(11,المحفظة!$H$5:$H$104,0),0))),"")</f>
        <v/>
      </c>
      <c r="F15" s="3">
        <f>IFERROR(IF(IFERROR(MATCH(11,المحفظة!$H$5:$H$104,0),0)=0,"",INDEX(المحفظة!$F$5:$F$104,IFERROR(MATCH(11,المحفظة!$H$5:$H$104,0),0))),"")</f>
        <v/>
      </c>
      <c r="G15" s="82" t="n"/>
    </row>
    <row r="16" ht="16.5" customHeight="1" s="165">
      <c r="A16" s="7">
        <f>IFERROR(IF(IFERROR(MATCH(12,المحفظة!$H$5:$H$104,0),0)=0,"",INDEX(المحفظة!$A$5:$A$104,IFERROR(MATCH(12,المحفظة!$H$5:$H$104,0),0))),"")</f>
        <v/>
      </c>
      <c r="B16" s="8">
        <f>IFERROR(IF(IFERROR(MATCH(12,المحفظة!$H$5:$H$104,0),0)=0,"",INDEX(المحفظة!$B$5:$B$104,IFERROR(MATCH(12,المحفظة!$H$5:$H$104,0),0))),"")</f>
        <v/>
      </c>
      <c r="C16" s="83">
        <f>IFERROR(IF(IFERROR(MATCH(12,المحفظة!$H$5:$H$104,0),0)=0,"",INDEX(المحفظة!$C$5:$C$104,IFERROR(MATCH(12,المحفظة!$H$5:$H$104,0),0))),"")</f>
        <v/>
      </c>
      <c r="D16" s="9" t="inlineStr">
        <is>
          <t>—</t>
        </is>
      </c>
      <c r="E16" s="10">
        <f>IFERROR(IF(IFERROR(MATCH(12,المحفظة!$H$5:$H$104,0),0)=0,"",INDEX(المحفظة!$E$5:$E$104,IFERROR(MATCH(12,المحفظة!$H$5:$H$104,0),0))),"")</f>
        <v/>
      </c>
      <c r="F16" s="8">
        <f>IFERROR(IF(IFERROR(MATCH(12,المحفظة!$H$5:$H$104,0),0)=0,"",INDEX(المحفظة!$F$5:$F$104,IFERROR(MATCH(12,المحفظة!$H$5:$H$104,0),0))),"")</f>
        <v/>
      </c>
      <c r="G16" s="84" t="n"/>
    </row>
    <row r="17" ht="16.5" customHeight="1" s="165">
      <c r="A17" s="2">
        <f>IFERROR(IF(IFERROR(MATCH(13,المحفظة!$H$5:$H$104,0),0)=0,"",INDEX(المحفظة!$A$5:$A$104,IFERROR(MATCH(13,المحفظة!$H$5:$H$104,0),0))),"")</f>
        <v/>
      </c>
      <c r="B17" s="3">
        <f>IFERROR(IF(IFERROR(MATCH(13,المحفظة!$H$5:$H$104,0),0)=0,"",INDEX(المحفظة!$B$5:$B$104,IFERROR(MATCH(13,المحفظة!$H$5:$H$104,0),0))),"")</f>
        <v/>
      </c>
      <c r="C17" s="81">
        <f>IFERROR(IF(IFERROR(MATCH(13,المحفظة!$H$5:$H$104,0),0)=0,"",INDEX(المحفظة!$C$5:$C$104,IFERROR(MATCH(13,المحفظة!$H$5:$H$104,0),0))),"")</f>
        <v/>
      </c>
      <c r="D17" s="4" t="inlineStr">
        <is>
          <t>—</t>
        </is>
      </c>
      <c r="E17" s="5">
        <f>IFERROR(IF(IFERROR(MATCH(13,المحفظة!$H$5:$H$104,0),0)=0,"",INDEX(المحفظة!$E$5:$E$104,IFERROR(MATCH(13,المحفظة!$H$5:$H$104,0),0))),"")</f>
        <v/>
      </c>
      <c r="F17" s="3">
        <f>IFERROR(IF(IFERROR(MATCH(13,المحفظة!$H$5:$H$104,0),0)=0,"",INDEX(المحفظة!$F$5:$F$104,IFERROR(MATCH(13,المحفظة!$H$5:$H$104,0),0))),"")</f>
        <v/>
      </c>
      <c r="G17" s="82" t="n"/>
    </row>
    <row r="18" ht="16.5" customHeight="1" s="165">
      <c r="A18" s="7">
        <f>IFERROR(IF(IFERROR(MATCH(14,المحفظة!$H$5:$H$104,0),0)=0,"",INDEX(المحفظة!$A$5:$A$104,IFERROR(MATCH(14,المحفظة!$H$5:$H$104,0),0))),"")</f>
        <v/>
      </c>
      <c r="B18" s="8">
        <f>IFERROR(IF(IFERROR(MATCH(14,المحفظة!$H$5:$H$104,0),0)=0,"",INDEX(المحفظة!$B$5:$B$104,IFERROR(MATCH(14,المحفظة!$H$5:$H$104,0),0))),"")</f>
        <v/>
      </c>
      <c r="C18" s="83">
        <f>IFERROR(IF(IFERROR(MATCH(14,المحفظة!$H$5:$H$104,0),0)=0,"",INDEX(المحفظة!$C$5:$C$104,IFERROR(MATCH(14,المحفظة!$H$5:$H$104,0),0))),"")</f>
        <v/>
      </c>
      <c r="D18" s="9" t="inlineStr">
        <is>
          <t>—</t>
        </is>
      </c>
      <c r="E18" s="10">
        <f>IFERROR(IF(IFERROR(MATCH(14,المحفظة!$H$5:$H$104,0),0)=0,"",INDEX(المحفظة!$E$5:$E$104,IFERROR(MATCH(14,المحفظة!$H$5:$H$104,0),0))),"")</f>
        <v/>
      </c>
      <c r="F18" s="8">
        <f>IFERROR(IF(IFERROR(MATCH(14,المحفظة!$H$5:$H$104,0),0)=0,"",INDEX(المحفظة!$F$5:$F$104,IFERROR(MATCH(14,المحفظة!$H$5:$H$104,0),0))),"")</f>
        <v/>
      </c>
      <c r="G18" s="84" t="n"/>
    </row>
    <row r="19" ht="16.5" customHeight="1" s="165">
      <c r="A19" s="2">
        <f>IFERROR(IF(IFERROR(MATCH(15,المحفظة!$H$5:$H$104,0),0)=0,"",INDEX(المحفظة!$A$5:$A$104,IFERROR(MATCH(15,المحفظة!$H$5:$H$104,0),0))),"")</f>
        <v/>
      </c>
      <c r="B19" s="3">
        <f>IFERROR(IF(IFERROR(MATCH(15,المحفظة!$H$5:$H$104,0),0)=0,"",INDEX(المحفظة!$B$5:$B$104,IFERROR(MATCH(15,المحفظة!$H$5:$H$104,0),0))),"")</f>
        <v/>
      </c>
      <c r="C19" s="81">
        <f>IFERROR(IF(IFERROR(MATCH(15,المحفظة!$H$5:$H$104,0),0)=0,"",INDEX(المحفظة!$C$5:$C$104,IFERROR(MATCH(15,المحفظة!$H$5:$H$104,0),0))),"")</f>
        <v/>
      </c>
      <c r="D19" s="4" t="inlineStr">
        <is>
          <t>—</t>
        </is>
      </c>
      <c r="E19" s="5">
        <f>IFERROR(IF(IFERROR(MATCH(15,المحفظة!$H$5:$H$104,0),0)=0,"",INDEX(المحفظة!$E$5:$E$104,IFERROR(MATCH(15,المحفظة!$H$5:$H$104,0),0))),"")</f>
        <v/>
      </c>
      <c r="F19" s="3">
        <f>IFERROR(IF(IFERROR(MATCH(15,المحفظة!$H$5:$H$104,0),0)=0,"",INDEX(المحفظة!$F$5:$F$104,IFERROR(MATCH(15,المحفظة!$H$5:$H$104,0),0))),"")</f>
        <v/>
      </c>
      <c r="G19" s="82" t="n"/>
    </row>
    <row r="20" ht="16.5" customHeight="1" s="165">
      <c r="A20" s="7">
        <f>IFERROR(IF(IFERROR(MATCH(16,المحفظة!$H$5:$H$104,0),0)=0,"",INDEX(المحفظة!$A$5:$A$104,IFERROR(MATCH(16,المحفظة!$H$5:$H$104,0),0))),"")</f>
        <v/>
      </c>
      <c r="B20" s="8">
        <f>IFERROR(IF(IFERROR(MATCH(16,المحفظة!$H$5:$H$104,0),0)=0,"",INDEX(المحفظة!$B$5:$B$104,IFERROR(MATCH(16,المحفظة!$H$5:$H$104,0),0))),"")</f>
        <v/>
      </c>
      <c r="C20" s="83">
        <f>IFERROR(IF(IFERROR(MATCH(16,المحفظة!$H$5:$H$104,0),0)=0,"",INDEX(المحفظة!$C$5:$C$104,IFERROR(MATCH(16,المحفظة!$H$5:$H$104,0),0))),"")</f>
        <v/>
      </c>
      <c r="D20" s="9" t="inlineStr">
        <is>
          <t>—</t>
        </is>
      </c>
      <c r="E20" s="10">
        <f>IFERROR(IF(IFERROR(MATCH(16,المحفظة!$H$5:$H$104,0),0)=0,"",INDEX(المحفظة!$E$5:$E$104,IFERROR(MATCH(16,المحفظة!$H$5:$H$104,0),0))),"")</f>
        <v/>
      </c>
      <c r="F20" s="8">
        <f>IFERROR(IF(IFERROR(MATCH(16,المحفظة!$H$5:$H$104,0),0)=0,"",INDEX(المحفظة!$F$5:$F$104,IFERROR(MATCH(16,المحفظة!$H$5:$H$104,0),0))),"")</f>
        <v/>
      </c>
      <c r="G20" s="84" t="n"/>
    </row>
    <row r="21" ht="16.5" customHeight="1" s="165">
      <c r="A21" s="2">
        <f>IFERROR(IF(IFERROR(MATCH(17,المحفظة!$H$5:$H$104,0),0)=0,"",INDEX(المحفظة!$A$5:$A$104,IFERROR(MATCH(17,المحفظة!$H$5:$H$104,0),0))),"")</f>
        <v/>
      </c>
      <c r="B21" s="3">
        <f>IFERROR(IF(IFERROR(MATCH(17,المحفظة!$H$5:$H$104,0),0)=0,"",INDEX(المحفظة!$B$5:$B$104,IFERROR(MATCH(17,المحفظة!$H$5:$H$104,0),0))),"")</f>
        <v/>
      </c>
      <c r="C21" s="81">
        <f>IFERROR(IF(IFERROR(MATCH(17,المحفظة!$H$5:$H$104,0),0)=0,"",INDEX(المحفظة!$C$5:$C$104,IFERROR(MATCH(17,المحفظة!$H$5:$H$104,0),0))),"")</f>
        <v/>
      </c>
      <c r="D21" s="4" t="inlineStr">
        <is>
          <t>—</t>
        </is>
      </c>
      <c r="E21" s="5">
        <f>IFERROR(IF(IFERROR(MATCH(17,المحفظة!$H$5:$H$104,0),0)=0,"",INDEX(المحفظة!$E$5:$E$104,IFERROR(MATCH(17,المحفظة!$H$5:$H$104,0),0))),"")</f>
        <v/>
      </c>
      <c r="F21" s="3">
        <f>IFERROR(IF(IFERROR(MATCH(17,المحفظة!$H$5:$H$104,0),0)=0,"",INDEX(المحفظة!$F$5:$F$104,IFERROR(MATCH(17,المحفظة!$H$5:$H$104,0),0))),"")</f>
        <v/>
      </c>
      <c r="G21" s="82" t="n"/>
    </row>
    <row r="22" ht="16.5" customHeight="1" s="165">
      <c r="A22" s="7">
        <f>IFERROR(IF(IFERROR(MATCH(18,المحفظة!$H$5:$H$104,0),0)=0,"",INDEX(المحفظة!$A$5:$A$104,IFERROR(MATCH(18,المحفظة!$H$5:$H$104,0),0))),"")</f>
        <v/>
      </c>
      <c r="B22" s="8">
        <f>IFERROR(IF(IFERROR(MATCH(18,المحفظة!$H$5:$H$104,0),0)=0,"",INDEX(المحفظة!$B$5:$B$104,IFERROR(MATCH(18,المحفظة!$H$5:$H$104,0),0))),"")</f>
        <v/>
      </c>
      <c r="C22" s="83">
        <f>IFERROR(IF(IFERROR(MATCH(18,المحفظة!$H$5:$H$104,0),0)=0,"",INDEX(المحفظة!$C$5:$C$104,IFERROR(MATCH(18,المحفظة!$H$5:$H$104,0),0))),"")</f>
        <v/>
      </c>
      <c r="D22" s="9" t="inlineStr">
        <is>
          <t>—</t>
        </is>
      </c>
      <c r="E22" s="10">
        <f>IFERROR(IF(IFERROR(MATCH(18,المحفظة!$H$5:$H$104,0),0)=0,"",INDEX(المحفظة!$E$5:$E$104,IFERROR(MATCH(18,المحفظة!$H$5:$H$104,0),0))),"")</f>
        <v/>
      </c>
      <c r="F22" s="8">
        <f>IFERROR(IF(IFERROR(MATCH(18,المحفظة!$H$5:$H$104,0),0)=0,"",INDEX(المحفظة!$F$5:$F$104,IFERROR(MATCH(18,المحفظة!$H$5:$H$104,0),0))),"")</f>
        <v/>
      </c>
      <c r="G22" s="84" t="n"/>
    </row>
    <row r="23" ht="16.5" customHeight="1" s="165">
      <c r="A23" s="2">
        <f>IFERROR(IF(IFERROR(MATCH(19,المحفظة!$H$5:$H$104,0),0)=0,"",INDEX(المحفظة!$A$5:$A$104,IFERROR(MATCH(19,المحفظة!$H$5:$H$104,0),0))),"")</f>
        <v/>
      </c>
      <c r="B23" s="3">
        <f>IFERROR(IF(IFERROR(MATCH(19,المحفظة!$H$5:$H$104,0),0)=0,"",INDEX(المحفظة!$B$5:$B$104,IFERROR(MATCH(19,المحفظة!$H$5:$H$104,0),0))),"")</f>
        <v/>
      </c>
      <c r="C23" s="81">
        <f>IFERROR(IF(IFERROR(MATCH(19,المحفظة!$H$5:$H$104,0),0)=0,"",INDEX(المحفظة!$C$5:$C$104,IFERROR(MATCH(19,المحفظة!$H$5:$H$104,0),0))),"")</f>
        <v/>
      </c>
      <c r="D23" s="4" t="inlineStr">
        <is>
          <t>—</t>
        </is>
      </c>
      <c r="E23" s="5">
        <f>IFERROR(IF(IFERROR(MATCH(19,المحفظة!$H$5:$H$104,0),0)=0,"",INDEX(المحفظة!$E$5:$E$104,IFERROR(MATCH(19,المحفظة!$H$5:$H$104,0),0))),"")</f>
        <v/>
      </c>
      <c r="F23" s="3">
        <f>IFERROR(IF(IFERROR(MATCH(19,المحفظة!$H$5:$H$104,0),0)=0,"",INDEX(المحفظة!$F$5:$F$104,IFERROR(MATCH(19,المحفظة!$H$5:$H$104,0),0))),"")</f>
        <v/>
      </c>
      <c r="G23" s="82" t="n"/>
    </row>
    <row r="24" ht="15" customHeight="1" s="165">
      <c r="A24" s="85">
        <f>IFERROR(IF(IFERROR(MATCH(20,المحفظة!$H$5:$H$104,0),0)=0,"",INDEX(المحفظة!$A$5:$A$104,IFERROR(MATCH(20,المحفظة!$H$5:$H$104,0),0))),"")</f>
        <v/>
      </c>
      <c r="B24" s="86">
        <f>IFERROR(IF(IFERROR(MATCH(20,المحفظة!$H$5:$H$104,0),0)=0,"",INDEX(المحفظة!$B$5:$B$104,IFERROR(MATCH(20,المحفظة!$H$5:$H$104,0),0))),"")</f>
        <v/>
      </c>
      <c r="C24" s="87">
        <f>IFERROR(IF(IFERROR(MATCH(20,المحفظة!$H$5:$H$104,0),0)=0,"",INDEX(المحفظة!$C$5:$C$104,IFERROR(MATCH(20,المحفظة!$H$5:$H$104,0),0))),"")</f>
        <v/>
      </c>
      <c r="D24" s="88" t="inlineStr">
        <is>
          <t>—</t>
        </is>
      </c>
      <c r="E24" s="89">
        <f>IFERROR(IF(IFERROR(MATCH(20,المحفظة!$H$5:$H$104,0),0)=0,"",INDEX(المحفظة!$E$5:$E$104,IFERROR(MATCH(20,المحفظة!$H$5:$H$104,0),0))),"")</f>
        <v/>
      </c>
      <c r="F24" s="86">
        <f>IFERROR(IF(IFERROR(MATCH(20,المحفظة!$H$5:$H$104,0),0)=0,"",INDEX(المحفظة!$F$5:$F$104,IFERROR(MATCH(20,المحفظة!$H$5:$H$104,0),0))),"")</f>
        <v/>
      </c>
      <c r="G24" s="11" t="n"/>
    </row>
    <row r="25" ht="15" customHeight="1" s="165">
      <c r="A25" s="90">
        <f>IFERROR(IF(IFERROR(MATCH(21,المحفظة!$H$5:$H$104,0),0)=0,"",INDEX(المحفظة!$A$5:$A$104,IFERROR(MATCH(21,المحفظة!$H$5:$H$104,0),0))),"")</f>
        <v/>
      </c>
      <c r="B25" s="91">
        <f>IFERROR(IF(IFERROR(MATCH(21,المحفظة!$H$5:$H$104,0),0)=0,"",INDEX(المحفظة!$B$5:$B$104,IFERROR(MATCH(21,المحفظة!$H$5:$H$104,0),0))),"")</f>
        <v/>
      </c>
      <c r="C25" s="92">
        <f>IFERROR(IF(IFERROR(MATCH(21,المحفظة!$H$5:$H$104,0),0)=0,"",INDEX(المحفظة!$C$5:$C$104,IFERROR(MATCH(21,المحفظة!$H$5:$H$104,0),0))),"")</f>
        <v/>
      </c>
      <c r="D25" s="93" t="inlineStr">
        <is>
          <t>—</t>
        </is>
      </c>
      <c r="E25" s="94">
        <f>IFERROR(IF(IFERROR(MATCH(21,المحفظة!$H$5:$H$104,0),0)=0,"",INDEX(المحفظة!$E$5:$E$104,IFERROR(MATCH(21,المحفظة!$H$5:$H$104,0),0))),"")</f>
        <v/>
      </c>
      <c r="F25" s="91">
        <f>IFERROR(IF(IFERROR(MATCH(21,المحفظة!$H$5:$H$104,0),0)=0,"",INDEX(المحفظة!$F$5:$F$104,IFERROR(MATCH(21,المحفظة!$H$5:$H$104,0),0))),"")</f>
        <v/>
      </c>
      <c r="G25" s="6" t="n"/>
    </row>
    <row r="26" ht="15" customHeight="1" s="165">
      <c r="A26" s="85">
        <f>IFERROR(IF(IFERROR(MATCH(22,المحفظة!$H$5:$H$104,0),0)=0,"",INDEX(المحفظة!$A$5:$A$104,IFERROR(MATCH(22,المحفظة!$H$5:$H$104,0),0))),"")</f>
        <v/>
      </c>
      <c r="B26" s="86">
        <f>IFERROR(IF(IFERROR(MATCH(22,المحفظة!$H$5:$H$104,0),0)=0,"",INDEX(المحفظة!$B$5:$B$104,IFERROR(MATCH(22,المحفظة!$H$5:$H$104,0),0))),"")</f>
        <v/>
      </c>
      <c r="C26" s="87">
        <f>IFERROR(IF(IFERROR(MATCH(22,المحفظة!$H$5:$H$104,0),0)=0,"",INDEX(المحفظة!$C$5:$C$104,IFERROR(MATCH(22,المحفظة!$H$5:$H$104,0),0))),"")</f>
        <v/>
      </c>
      <c r="D26" s="88" t="inlineStr">
        <is>
          <t>—</t>
        </is>
      </c>
      <c r="E26" s="89">
        <f>IFERROR(IF(IFERROR(MATCH(22,المحفظة!$H$5:$H$104,0),0)=0,"",INDEX(المحفظة!$E$5:$E$104,IFERROR(MATCH(22,المحفظة!$H$5:$H$104,0),0))),"")</f>
        <v/>
      </c>
      <c r="F26" s="86">
        <f>IFERROR(IF(IFERROR(MATCH(22,المحفظة!$H$5:$H$104,0),0)=0,"",INDEX(المحفظة!$F$5:$F$104,IFERROR(MATCH(22,المحفظة!$H$5:$H$104,0),0))),"")</f>
        <v/>
      </c>
      <c r="G26" s="11" t="n"/>
    </row>
    <row r="27" ht="15" customHeight="1" s="165">
      <c r="A27" s="90">
        <f>IFERROR(IF(IFERROR(MATCH(23,المحفظة!$H$5:$H$104,0),0)=0,"",INDEX(المحفظة!$A$5:$A$104,IFERROR(MATCH(23,المحفظة!$H$5:$H$104,0),0))),"")</f>
        <v/>
      </c>
      <c r="B27" s="91">
        <f>IFERROR(IF(IFERROR(MATCH(23,المحفظة!$H$5:$H$104,0),0)=0,"",INDEX(المحفظة!$B$5:$B$104,IFERROR(MATCH(23,المحفظة!$H$5:$H$104,0),0))),"")</f>
        <v/>
      </c>
      <c r="C27" s="92">
        <f>IFERROR(IF(IFERROR(MATCH(23,المحفظة!$H$5:$H$104,0),0)=0,"",INDEX(المحفظة!$C$5:$C$104,IFERROR(MATCH(23,المحفظة!$H$5:$H$104,0),0))),"")</f>
        <v/>
      </c>
      <c r="D27" s="93" t="inlineStr">
        <is>
          <t>—</t>
        </is>
      </c>
      <c r="E27" s="94">
        <f>IFERROR(IF(IFERROR(MATCH(23,المحفظة!$H$5:$H$104,0),0)=0,"",INDEX(المحفظة!$E$5:$E$104,IFERROR(MATCH(23,المحفظة!$H$5:$H$104,0),0))),"")</f>
        <v/>
      </c>
      <c r="F27" s="91">
        <f>IFERROR(IF(IFERROR(MATCH(23,المحفظة!$H$5:$H$104,0),0)=0,"",INDEX(المحفظة!$F$5:$F$104,IFERROR(MATCH(23,المحفظة!$H$5:$H$104,0),0))),"")</f>
        <v/>
      </c>
      <c r="G27" s="6" t="n"/>
    </row>
    <row r="28" ht="15" customHeight="1" s="165">
      <c r="A28" s="85">
        <f>IFERROR(IF(IFERROR(MATCH(24,المحفظة!$H$5:$H$104,0),0)=0,"",INDEX(المحفظة!$A$5:$A$104,IFERROR(MATCH(24,المحفظة!$H$5:$H$104,0),0))),"")</f>
        <v/>
      </c>
      <c r="B28" s="86">
        <f>IFERROR(IF(IFERROR(MATCH(24,المحفظة!$H$5:$H$104,0),0)=0,"",INDEX(المحفظة!$B$5:$B$104,IFERROR(MATCH(24,المحفظة!$H$5:$H$104,0),0))),"")</f>
        <v/>
      </c>
      <c r="C28" s="87">
        <f>IFERROR(IF(IFERROR(MATCH(24,المحفظة!$H$5:$H$104,0),0)=0,"",INDEX(المحفظة!$C$5:$C$104,IFERROR(MATCH(24,المحفظة!$H$5:$H$104,0),0))),"")</f>
        <v/>
      </c>
      <c r="D28" s="88" t="inlineStr">
        <is>
          <t>—</t>
        </is>
      </c>
      <c r="E28" s="89">
        <f>IFERROR(IF(IFERROR(MATCH(24,المحفظة!$H$5:$H$104,0),0)=0,"",INDEX(المحفظة!$E$5:$E$104,IFERROR(MATCH(24,المحفظة!$H$5:$H$104,0),0))),"")</f>
        <v/>
      </c>
      <c r="F28" s="86">
        <f>IFERROR(IF(IFERROR(MATCH(24,المحفظة!$H$5:$H$104,0),0)=0,"",INDEX(المحفظة!$F$5:$F$104,IFERROR(MATCH(24,المحفظة!$H$5:$H$104,0),0))),"")</f>
        <v/>
      </c>
      <c r="G28" s="11" t="n"/>
    </row>
    <row r="29" ht="15" customHeight="1" s="165">
      <c r="A29" s="90">
        <f>IFERROR(IF(IFERROR(MATCH(25,المحفظة!$H$5:$H$104,0),0)=0,"",INDEX(المحفظة!$A$5:$A$104,IFERROR(MATCH(25,المحفظة!$H$5:$H$104,0),0))),"")</f>
        <v/>
      </c>
      <c r="B29" s="91">
        <f>IFERROR(IF(IFERROR(MATCH(25,المحفظة!$H$5:$H$104,0),0)=0,"",INDEX(المحفظة!$B$5:$B$104,IFERROR(MATCH(25,المحفظة!$H$5:$H$104,0),0))),"")</f>
        <v/>
      </c>
      <c r="C29" s="92">
        <f>IFERROR(IF(IFERROR(MATCH(25,المحفظة!$H$5:$H$104,0),0)=0,"",INDEX(المحفظة!$C$5:$C$104,IFERROR(MATCH(25,المحفظة!$H$5:$H$104,0),0))),"")</f>
        <v/>
      </c>
      <c r="D29" s="93" t="inlineStr">
        <is>
          <t>—</t>
        </is>
      </c>
      <c r="E29" s="94">
        <f>IFERROR(IF(IFERROR(MATCH(25,المحفظة!$H$5:$H$104,0),0)=0,"",INDEX(المحفظة!$E$5:$E$104,IFERROR(MATCH(25,المحفظة!$H$5:$H$104,0),0))),"")</f>
        <v/>
      </c>
      <c r="F29" s="91">
        <f>IFERROR(IF(IFERROR(MATCH(25,المحفظة!$H$5:$H$104,0),0)=0,"",INDEX(المحفظة!$F$5:$F$104,IFERROR(MATCH(25,المحفظة!$H$5:$H$104,0),0))),"")</f>
        <v/>
      </c>
      <c r="G29" s="6" t="n"/>
    </row>
    <row r="30" ht="15" customHeight="1" s="165">
      <c r="A30" s="85">
        <f>IFERROR(IF(IFERROR(MATCH(26,المحفظة!$H$5:$H$104,0),0)=0,"",INDEX(المحفظة!$A$5:$A$104,IFERROR(MATCH(26,المحفظة!$H$5:$H$104,0),0))),"")</f>
        <v/>
      </c>
      <c r="B30" s="86">
        <f>IFERROR(IF(IFERROR(MATCH(26,المحفظة!$H$5:$H$104,0),0)=0,"",INDEX(المحفظة!$B$5:$B$104,IFERROR(MATCH(26,المحفظة!$H$5:$H$104,0),0))),"")</f>
        <v/>
      </c>
      <c r="C30" s="87">
        <f>IFERROR(IF(IFERROR(MATCH(26,المحفظة!$H$5:$H$104,0),0)=0,"",INDEX(المحفظة!$C$5:$C$104,IFERROR(MATCH(26,المحفظة!$H$5:$H$104,0),0))),"")</f>
        <v/>
      </c>
      <c r="D30" s="88" t="inlineStr">
        <is>
          <t>—</t>
        </is>
      </c>
      <c r="E30" s="89">
        <f>IFERROR(IF(IFERROR(MATCH(26,المحفظة!$H$5:$H$104,0),0)=0,"",INDEX(المحفظة!$E$5:$E$104,IFERROR(MATCH(26,المحفظة!$H$5:$H$104,0),0))),"")</f>
        <v/>
      </c>
      <c r="F30" s="86">
        <f>IFERROR(IF(IFERROR(MATCH(26,المحفظة!$H$5:$H$104,0),0)=0,"",INDEX(المحفظة!$F$5:$F$104,IFERROR(MATCH(26,المحفظة!$H$5:$H$104,0),0))),"")</f>
        <v/>
      </c>
      <c r="G30" s="11" t="n"/>
    </row>
    <row r="31" ht="15" customHeight="1" s="165">
      <c r="A31" s="90">
        <f>IFERROR(IF(IFERROR(MATCH(27,المحفظة!$H$5:$H$104,0),0)=0,"",INDEX(المحفظة!$A$5:$A$104,IFERROR(MATCH(27,المحفظة!$H$5:$H$104,0),0))),"")</f>
        <v/>
      </c>
      <c r="B31" s="91">
        <f>IFERROR(IF(IFERROR(MATCH(27,المحفظة!$H$5:$H$104,0),0)=0,"",INDEX(المحفظة!$B$5:$B$104,IFERROR(MATCH(27,المحفظة!$H$5:$H$104,0),0))),"")</f>
        <v/>
      </c>
      <c r="C31" s="92">
        <f>IFERROR(IF(IFERROR(MATCH(27,المحفظة!$H$5:$H$104,0),0)=0,"",INDEX(المحفظة!$C$5:$C$104,IFERROR(MATCH(27,المحفظة!$H$5:$H$104,0),0))),"")</f>
        <v/>
      </c>
      <c r="D31" s="93" t="inlineStr">
        <is>
          <t>—</t>
        </is>
      </c>
      <c r="E31" s="94">
        <f>IFERROR(IF(IFERROR(MATCH(27,المحفظة!$H$5:$H$104,0),0)=0,"",INDEX(المحفظة!$E$5:$E$104,IFERROR(MATCH(27,المحفظة!$H$5:$H$104,0),0))),"")</f>
        <v/>
      </c>
      <c r="F31" s="91">
        <f>IFERROR(IF(IFERROR(MATCH(27,المحفظة!$H$5:$H$104,0),0)=0,"",INDEX(المحفظة!$F$5:$F$104,IFERROR(MATCH(27,المحفظة!$H$5:$H$104,0),0))),"")</f>
        <v/>
      </c>
      <c r="G31" s="6" t="n"/>
    </row>
    <row r="32" ht="15" customHeight="1" s="165">
      <c r="A32" s="85">
        <f>IFERROR(IF(IFERROR(MATCH(28,المحفظة!$H$5:$H$104,0),0)=0,"",INDEX(المحفظة!$A$5:$A$104,IFERROR(MATCH(28,المحفظة!$H$5:$H$104,0),0))),"")</f>
        <v/>
      </c>
      <c r="B32" s="86">
        <f>IFERROR(IF(IFERROR(MATCH(28,المحفظة!$H$5:$H$104,0),0)=0,"",INDEX(المحفظة!$B$5:$B$104,IFERROR(MATCH(28,المحفظة!$H$5:$H$104,0),0))),"")</f>
        <v/>
      </c>
      <c r="C32" s="87">
        <f>IFERROR(IF(IFERROR(MATCH(28,المحفظة!$H$5:$H$104,0),0)=0,"",INDEX(المحفظة!$C$5:$C$104,IFERROR(MATCH(28,المحفظة!$H$5:$H$104,0),0))),"")</f>
        <v/>
      </c>
      <c r="D32" s="88" t="inlineStr">
        <is>
          <t>—</t>
        </is>
      </c>
      <c r="E32" s="89">
        <f>IFERROR(IF(IFERROR(MATCH(28,المحفظة!$H$5:$H$104,0),0)=0,"",INDEX(المحفظة!$E$5:$E$104,IFERROR(MATCH(28,المحفظة!$H$5:$H$104,0),0))),"")</f>
        <v/>
      </c>
      <c r="F32" s="86">
        <f>IFERROR(IF(IFERROR(MATCH(28,المحفظة!$H$5:$H$104,0),0)=0,"",INDEX(المحفظة!$F$5:$F$104,IFERROR(MATCH(28,المحفظة!$H$5:$H$104,0),0))),"")</f>
        <v/>
      </c>
      <c r="G32" s="11" t="n"/>
    </row>
    <row r="33" ht="15" customHeight="1" s="165">
      <c r="A33" s="90">
        <f>IFERROR(IF(IFERROR(MATCH(29,المحفظة!$H$5:$H$104,0),0)=0,"",INDEX(المحفظة!$A$5:$A$104,IFERROR(MATCH(29,المحفظة!$H$5:$H$104,0),0))),"")</f>
        <v/>
      </c>
      <c r="B33" s="91">
        <f>IFERROR(IF(IFERROR(MATCH(29,المحفظة!$H$5:$H$104,0),0)=0,"",INDEX(المحفظة!$B$5:$B$104,IFERROR(MATCH(29,المحفظة!$H$5:$H$104,0),0))),"")</f>
        <v/>
      </c>
      <c r="C33" s="92">
        <f>IFERROR(IF(IFERROR(MATCH(29,المحفظة!$H$5:$H$104,0),0)=0,"",INDEX(المحفظة!$C$5:$C$104,IFERROR(MATCH(29,المحفظة!$H$5:$H$104,0),0))),"")</f>
        <v/>
      </c>
      <c r="D33" s="93" t="inlineStr">
        <is>
          <t>—</t>
        </is>
      </c>
      <c r="E33" s="94">
        <f>IFERROR(IF(IFERROR(MATCH(29,المحفظة!$H$5:$H$104,0),0)=0,"",INDEX(المحفظة!$E$5:$E$104,IFERROR(MATCH(29,المحفظة!$H$5:$H$104,0),0))),"")</f>
        <v/>
      </c>
      <c r="F33" s="91">
        <f>IFERROR(IF(IFERROR(MATCH(29,المحفظة!$H$5:$H$104,0),0)=0,"",INDEX(المحفظة!$F$5:$F$104,IFERROR(MATCH(29,المحفظة!$H$5:$H$104,0),0))),"")</f>
        <v/>
      </c>
      <c r="G33" s="6" t="n"/>
    </row>
    <row r="34" ht="15" customHeight="1" s="165">
      <c r="A34" s="85">
        <f>IFERROR(IF(IFERROR(MATCH(30,المحفظة!$H$5:$H$104,0),0)=0,"",INDEX(المحفظة!$A$5:$A$104,IFERROR(MATCH(30,المحفظة!$H$5:$H$104,0),0))),"")</f>
        <v/>
      </c>
      <c r="B34" s="86">
        <f>IFERROR(IF(IFERROR(MATCH(30,المحفظة!$H$5:$H$104,0),0)=0,"",INDEX(المحفظة!$B$5:$B$104,IFERROR(MATCH(30,المحفظة!$H$5:$H$104,0),0))),"")</f>
        <v/>
      </c>
      <c r="C34" s="87">
        <f>IFERROR(IF(IFERROR(MATCH(30,المحفظة!$H$5:$H$104,0),0)=0,"",INDEX(المحفظة!$C$5:$C$104,IFERROR(MATCH(30,المحفظة!$H$5:$H$104,0),0))),"")</f>
        <v/>
      </c>
      <c r="D34" s="88" t="inlineStr">
        <is>
          <t>—</t>
        </is>
      </c>
      <c r="E34" s="89">
        <f>IFERROR(IF(IFERROR(MATCH(30,المحفظة!$H$5:$H$104,0),0)=0,"",INDEX(المحفظة!$E$5:$E$104,IFERROR(MATCH(30,المحفظة!$H$5:$H$104,0),0))),"")</f>
        <v/>
      </c>
      <c r="F34" s="86">
        <f>IFERROR(IF(IFERROR(MATCH(30,المحفظة!$H$5:$H$104,0),0)=0,"",INDEX(المحفظة!$F$5:$F$104,IFERROR(MATCH(30,المحفظة!$H$5:$H$104,0),0))),"")</f>
        <v/>
      </c>
      <c r="G34" s="11" t="n"/>
    </row>
    <row r="35" ht="15" customHeight="1" s="165">
      <c r="A35" s="90">
        <f>IFERROR(IF(IFERROR(MATCH(31,المحفظة!$H$5:$H$104,0),0)=0,"",INDEX(المحفظة!$A$5:$A$104,IFERROR(MATCH(31,المحفظة!$H$5:$H$104,0),0))),"")</f>
        <v/>
      </c>
      <c r="B35" s="91">
        <f>IFERROR(IF(IFERROR(MATCH(31,المحفظة!$H$5:$H$104,0),0)=0,"",INDEX(المحفظة!$B$5:$B$104,IFERROR(MATCH(31,المحفظة!$H$5:$H$104,0),0))),"")</f>
        <v/>
      </c>
      <c r="C35" s="92">
        <f>IFERROR(IF(IFERROR(MATCH(31,المحفظة!$H$5:$H$104,0),0)=0,"",INDEX(المحفظة!$C$5:$C$104,IFERROR(MATCH(31,المحفظة!$H$5:$H$104,0),0))),"")</f>
        <v/>
      </c>
      <c r="D35" s="93" t="inlineStr">
        <is>
          <t>—</t>
        </is>
      </c>
      <c r="E35" s="94">
        <f>IFERROR(IF(IFERROR(MATCH(31,المحفظة!$H$5:$H$104,0),0)=0,"",INDEX(المحفظة!$E$5:$E$104,IFERROR(MATCH(31,المحفظة!$H$5:$H$104,0),0))),"")</f>
        <v/>
      </c>
      <c r="F35" s="91">
        <f>IFERROR(IF(IFERROR(MATCH(31,المحفظة!$H$5:$H$104,0),0)=0,"",INDEX(المحفظة!$F$5:$F$104,IFERROR(MATCH(31,المحفظة!$H$5:$H$104,0),0))),"")</f>
        <v/>
      </c>
      <c r="G35" s="6" t="n"/>
    </row>
    <row r="36" ht="15" customHeight="1" s="165">
      <c r="A36" s="85">
        <f>IFERROR(IF(IFERROR(MATCH(32,المحفظة!$H$5:$H$104,0),0)=0,"",INDEX(المحفظة!$A$5:$A$104,IFERROR(MATCH(32,المحفظة!$H$5:$H$104,0),0))),"")</f>
        <v/>
      </c>
      <c r="B36" s="86">
        <f>IFERROR(IF(IFERROR(MATCH(32,المحفظة!$H$5:$H$104,0),0)=0,"",INDEX(المحفظة!$B$5:$B$104,IFERROR(MATCH(32,المحفظة!$H$5:$H$104,0),0))),"")</f>
        <v/>
      </c>
      <c r="C36" s="87">
        <f>IFERROR(IF(IFERROR(MATCH(32,المحفظة!$H$5:$H$104,0),0)=0,"",INDEX(المحفظة!$C$5:$C$104,IFERROR(MATCH(32,المحفظة!$H$5:$H$104,0),0))),"")</f>
        <v/>
      </c>
      <c r="D36" s="88" t="inlineStr">
        <is>
          <t>—</t>
        </is>
      </c>
      <c r="E36" s="89">
        <f>IFERROR(IF(IFERROR(MATCH(32,المحفظة!$H$5:$H$104,0),0)=0,"",INDEX(المحفظة!$E$5:$E$104,IFERROR(MATCH(32,المحفظة!$H$5:$H$104,0),0))),"")</f>
        <v/>
      </c>
      <c r="F36" s="86">
        <f>IFERROR(IF(IFERROR(MATCH(32,المحفظة!$H$5:$H$104,0),0)=0,"",INDEX(المحفظة!$F$5:$F$104,IFERROR(MATCH(32,المحفظة!$H$5:$H$104,0),0))),"")</f>
        <v/>
      </c>
      <c r="G36" s="11" t="n"/>
    </row>
    <row r="37" ht="15" customHeight="1" s="165">
      <c r="A37" s="90">
        <f>IFERROR(IF(IFERROR(MATCH(33,المحفظة!$H$5:$H$104,0),0)=0,"",INDEX(المحفظة!$A$5:$A$104,IFERROR(MATCH(33,المحفظة!$H$5:$H$104,0),0))),"")</f>
        <v/>
      </c>
      <c r="B37" s="91">
        <f>IFERROR(IF(IFERROR(MATCH(33,المحفظة!$H$5:$H$104,0),0)=0,"",INDEX(المحفظة!$B$5:$B$104,IFERROR(MATCH(33,المحفظة!$H$5:$H$104,0),0))),"")</f>
        <v/>
      </c>
      <c r="C37" s="92">
        <f>IFERROR(IF(IFERROR(MATCH(33,المحفظة!$H$5:$H$104,0),0)=0,"",INDEX(المحفظة!$C$5:$C$104,IFERROR(MATCH(33,المحفظة!$H$5:$H$104,0),0))),"")</f>
        <v/>
      </c>
      <c r="D37" s="93" t="inlineStr">
        <is>
          <t>—</t>
        </is>
      </c>
      <c r="E37" s="94">
        <f>IFERROR(IF(IFERROR(MATCH(33,المحفظة!$H$5:$H$104,0),0)=0,"",INDEX(المحفظة!$E$5:$E$104,IFERROR(MATCH(33,المحفظة!$H$5:$H$104,0),0))),"")</f>
        <v/>
      </c>
      <c r="F37" s="91">
        <f>IFERROR(IF(IFERROR(MATCH(33,المحفظة!$H$5:$H$104,0),0)=0,"",INDEX(المحفظة!$F$5:$F$104,IFERROR(MATCH(33,المحفظة!$H$5:$H$104,0),0))),"")</f>
        <v/>
      </c>
      <c r="G37" s="6" t="n"/>
    </row>
    <row r="38" ht="15" customHeight="1" s="165">
      <c r="A38" s="85">
        <f>IFERROR(IF(IFERROR(MATCH(34,المحفظة!$H$5:$H$104,0),0)=0,"",INDEX(المحفظة!$A$5:$A$104,IFERROR(MATCH(34,المحفظة!$H$5:$H$104,0),0))),"")</f>
        <v/>
      </c>
      <c r="B38" s="86">
        <f>IFERROR(IF(IFERROR(MATCH(34,المحفظة!$H$5:$H$104,0),0)=0,"",INDEX(المحفظة!$B$5:$B$104,IFERROR(MATCH(34,المحفظة!$H$5:$H$104,0),0))),"")</f>
        <v/>
      </c>
      <c r="C38" s="87">
        <f>IFERROR(IF(IFERROR(MATCH(34,المحفظة!$H$5:$H$104,0),0)=0,"",INDEX(المحفظة!$C$5:$C$104,IFERROR(MATCH(34,المحفظة!$H$5:$H$104,0),0))),"")</f>
        <v/>
      </c>
      <c r="D38" s="88" t="inlineStr">
        <is>
          <t>—</t>
        </is>
      </c>
      <c r="E38" s="89">
        <f>IFERROR(IF(IFERROR(MATCH(34,المحفظة!$H$5:$H$104,0),0)=0,"",INDEX(المحفظة!$E$5:$E$104,IFERROR(MATCH(34,المحفظة!$H$5:$H$104,0),0))),"")</f>
        <v/>
      </c>
      <c r="F38" s="86">
        <f>IFERROR(IF(IFERROR(MATCH(34,المحفظة!$H$5:$H$104,0),0)=0,"",INDEX(المحفظة!$F$5:$F$104,IFERROR(MATCH(34,المحفظة!$H$5:$H$104,0),0))),"")</f>
        <v/>
      </c>
      <c r="G38" s="11" t="n"/>
    </row>
    <row r="39" ht="15" customHeight="1" s="165">
      <c r="A39" s="90">
        <f>IFERROR(IF(IFERROR(MATCH(35,المحفظة!$H$5:$H$104,0),0)=0,"",INDEX(المحفظة!$A$5:$A$104,IFERROR(MATCH(35,المحفظة!$H$5:$H$104,0),0))),"")</f>
        <v/>
      </c>
      <c r="B39" s="91">
        <f>IFERROR(IF(IFERROR(MATCH(35,المحفظة!$H$5:$H$104,0),0)=0,"",INDEX(المحفظة!$B$5:$B$104,IFERROR(MATCH(35,المحفظة!$H$5:$H$104,0),0))),"")</f>
        <v/>
      </c>
      <c r="C39" s="92">
        <f>IFERROR(IF(IFERROR(MATCH(35,المحفظة!$H$5:$H$104,0),0)=0,"",INDEX(المحفظة!$C$5:$C$104,IFERROR(MATCH(35,المحفظة!$H$5:$H$104,0),0))),"")</f>
        <v/>
      </c>
      <c r="D39" s="93" t="inlineStr">
        <is>
          <t>—</t>
        </is>
      </c>
      <c r="E39" s="94">
        <f>IFERROR(IF(IFERROR(MATCH(35,المحفظة!$H$5:$H$104,0),0)=0,"",INDEX(المحفظة!$E$5:$E$104,IFERROR(MATCH(35,المحفظة!$H$5:$H$104,0),0))),"")</f>
        <v/>
      </c>
      <c r="F39" s="91">
        <f>IFERROR(IF(IFERROR(MATCH(35,المحفظة!$H$5:$H$104,0),0)=0,"",INDEX(المحفظة!$F$5:$F$104,IFERROR(MATCH(35,المحفظة!$H$5:$H$104,0),0))),"")</f>
        <v/>
      </c>
      <c r="G39" s="6" t="n"/>
    </row>
    <row r="40" ht="15" customHeight="1" s="165">
      <c r="A40" s="85">
        <f>IFERROR(IF(IFERROR(MATCH(36,المحفظة!$H$5:$H$104,0),0)=0,"",INDEX(المحفظة!$A$5:$A$104,IFERROR(MATCH(36,المحفظة!$H$5:$H$104,0),0))),"")</f>
        <v/>
      </c>
      <c r="B40" s="86">
        <f>IFERROR(IF(IFERROR(MATCH(36,المحفظة!$H$5:$H$104,0),0)=0,"",INDEX(المحفظة!$B$5:$B$104,IFERROR(MATCH(36,المحفظة!$H$5:$H$104,0),0))),"")</f>
        <v/>
      </c>
      <c r="C40" s="87">
        <f>IFERROR(IF(IFERROR(MATCH(36,المحفظة!$H$5:$H$104,0),0)=0,"",INDEX(المحفظة!$C$5:$C$104,IFERROR(MATCH(36,المحفظة!$H$5:$H$104,0),0))),"")</f>
        <v/>
      </c>
      <c r="D40" s="88" t="inlineStr">
        <is>
          <t>—</t>
        </is>
      </c>
      <c r="E40" s="89">
        <f>IFERROR(IF(IFERROR(MATCH(36,المحفظة!$H$5:$H$104,0),0)=0,"",INDEX(المحفظة!$E$5:$E$104,IFERROR(MATCH(36,المحفظة!$H$5:$H$104,0),0))),"")</f>
        <v/>
      </c>
      <c r="F40" s="86">
        <f>IFERROR(IF(IFERROR(MATCH(36,المحفظة!$H$5:$H$104,0),0)=0,"",INDEX(المحفظة!$F$5:$F$104,IFERROR(MATCH(36,المحفظة!$H$5:$H$104,0),0))),"")</f>
        <v/>
      </c>
      <c r="G40" s="11" t="n"/>
    </row>
    <row r="41" ht="15" customHeight="1" s="165">
      <c r="A41" s="90">
        <f>IFERROR(IF(IFERROR(MATCH(37,المحفظة!$H$5:$H$104,0),0)=0,"",INDEX(المحفظة!$A$5:$A$104,IFERROR(MATCH(37,المحفظة!$H$5:$H$104,0),0))),"")</f>
        <v/>
      </c>
      <c r="B41" s="91">
        <f>IFERROR(IF(IFERROR(MATCH(37,المحفظة!$H$5:$H$104,0),0)=0,"",INDEX(المحفظة!$B$5:$B$104,IFERROR(MATCH(37,المحفظة!$H$5:$H$104,0),0))),"")</f>
        <v/>
      </c>
      <c r="C41" s="92">
        <f>IFERROR(IF(IFERROR(MATCH(37,المحفظة!$H$5:$H$104,0),0)=0,"",INDEX(المحفظة!$C$5:$C$104,IFERROR(MATCH(37,المحفظة!$H$5:$H$104,0),0))),"")</f>
        <v/>
      </c>
      <c r="D41" s="93" t="inlineStr">
        <is>
          <t>—</t>
        </is>
      </c>
      <c r="E41" s="94">
        <f>IFERROR(IF(IFERROR(MATCH(37,المحفظة!$H$5:$H$104,0),0)=0,"",INDEX(المحفظة!$E$5:$E$104,IFERROR(MATCH(37,المحفظة!$H$5:$H$104,0),0))),"")</f>
        <v/>
      </c>
      <c r="F41" s="91">
        <f>IFERROR(IF(IFERROR(MATCH(37,المحفظة!$H$5:$H$104,0),0)=0,"",INDEX(المحفظة!$F$5:$F$104,IFERROR(MATCH(37,المحفظة!$H$5:$H$104,0),0))),"")</f>
        <v/>
      </c>
      <c r="G41" s="6" t="n"/>
    </row>
    <row r="42" ht="15" customHeight="1" s="165">
      <c r="A42" s="85">
        <f>IFERROR(IF(IFERROR(MATCH(38,المحفظة!$H$5:$H$104,0),0)=0,"",INDEX(المحفظة!$A$5:$A$104,IFERROR(MATCH(38,المحفظة!$H$5:$H$104,0),0))),"")</f>
        <v/>
      </c>
      <c r="B42" s="86">
        <f>IFERROR(IF(IFERROR(MATCH(38,المحفظة!$H$5:$H$104,0),0)=0,"",INDEX(المحفظة!$B$5:$B$104,IFERROR(MATCH(38,المحفظة!$H$5:$H$104,0),0))),"")</f>
        <v/>
      </c>
      <c r="C42" s="87">
        <f>IFERROR(IF(IFERROR(MATCH(38,المحفظة!$H$5:$H$104,0),0)=0,"",INDEX(المحفظة!$C$5:$C$104,IFERROR(MATCH(38,المحفظة!$H$5:$H$104,0),0))),"")</f>
        <v/>
      </c>
      <c r="D42" s="88" t="inlineStr">
        <is>
          <t>—</t>
        </is>
      </c>
      <c r="E42" s="89">
        <f>IFERROR(IF(IFERROR(MATCH(38,المحفظة!$H$5:$H$104,0),0)=0,"",INDEX(المحفظة!$E$5:$E$104,IFERROR(MATCH(38,المحفظة!$H$5:$H$104,0),0))),"")</f>
        <v/>
      </c>
      <c r="F42" s="86">
        <f>IFERROR(IF(IFERROR(MATCH(38,المحفظة!$H$5:$H$104,0),0)=0,"",INDEX(المحفظة!$F$5:$F$104,IFERROR(MATCH(38,المحفظة!$H$5:$H$104,0),0))),"")</f>
        <v/>
      </c>
      <c r="G42" s="11" t="n"/>
    </row>
    <row r="43" ht="15" customHeight="1" s="165">
      <c r="A43" s="90">
        <f>IFERROR(IF(IFERROR(MATCH(39,المحفظة!$H$5:$H$104,0),0)=0,"",INDEX(المحفظة!$A$5:$A$104,IFERROR(MATCH(39,المحفظة!$H$5:$H$104,0),0))),"")</f>
        <v/>
      </c>
      <c r="B43" s="91">
        <f>IFERROR(IF(IFERROR(MATCH(39,المحفظة!$H$5:$H$104,0),0)=0,"",INDEX(المحفظة!$B$5:$B$104,IFERROR(MATCH(39,المحفظة!$H$5:$H$104,0),0))),"")</f>
        <v/>
      </c>
      <c r="C43" s="92">
        <f>IFERROR(IF(IFERROR(MATCH(39,المحفظة!$H$5:$H$104,0),0)=0,"",INDEX(المحفظة!$C$5:$C$104,IFERROR(MATCH(39,المحفظة!$H$5:$H$104,0),0))),"")</f>
        <v/>
      </c>
      <c r="D43" s="93" t="inlineStr">
        <is>
          <t>—</t>
        </is>
      </c>
      <c r="E43" s="94">
        <f>IFERROR(IF(IFERROR(MATCH(39,المحفظة!$H$5:$H$104,0),0)=0,"",INDEX(المحفظة!$E$5:$E$104,IFERROR(MATCH(39,المحفظة!$H$5:$H$104,0),0))),"")</f>
        <v/>
      </c>
      <c r="F43" s="91">
        <f>IFERROR(IF(IFERROR(MATCH(39,المحفظة!$H$5:$H$104,0),0)=0,"",INDEX(المحفظة!$F$5:$F$104,IFERROR(MATCH(39,المحفظة!$H$5:$H$104,0),0))),"")</f>
        <v/>
      </c>
      <c r="G43" s="6" t="n"/>
    </row>
    <row r="44" ht="15" customHeight="1" s="165">
      <c r="A44" s="85">
        <f>IFERROR(IF(IFERROR(MATCH(40,المحفظة!$H$5:$H$104,0),0)=0,"",INDEX(المحفظة!$A$5:$A$104,IFERROR(MATCH(40,المحفظة!$H$5:$H$104,0),0))),"")</f>
        <v/>
      </c>
      <c r="B44" s="86">
        <f>IFERROR(IF(IFERROR(MATCH(40,المحفظة!$H$5:$H$104,0),0)=0,"",INDEX(المحفظة!$B$5:$B$104,IFERROR(MATCH(40,المحفظة!$H$5:$H$104,0),0))),"")</f>
        <v/>
      </c>
      <c r="C44" s="87">
        <f>IFERROR(IF(IFERROR(MATCH(40,المحفظة!$H$5:$H$104,0),0)=0,"",INDEX(المحفظة!$C$5:$C$104,IFERROR(MATCH(40,المحفظة!$H$5:$H$104,0),0))),"")</f>
        <v/>
      </c>
      <c r="D44" s="88" t="inlineStr">
        <is>
          <t>—</t>
        </is>
      </c>
      <c r="E44" s="89">
        <f>IFERROR(IF(IFERROR(MATCH(40,المحفظة!$H$5:$H$104,0),0)=0,"",INDEX(المحفظة!$E$5:$E$104,IFERROR(MATCH(40,المحفظة!$H$5:$H$104,0),0))),"")</f>
        <v/>
      </c>
      <c r="F44" s="86">
        <f>IFERROR(IF(IFERROR(MATCH(40,المحفظة!$H$5:$H$104,0),0)=0,"",INDEX(المحفظة!$F$5:$F$104,IFERROR(MATCH(40,المحفظة!$H$5:$H$104,0),0))),"")</f>
        <v/>
      </c>
      <c r="G44" s="11" t="n"/>
    </row>
    <row r="45" ht="15" customHeight="1" s="165">
      <c r="A45" s="90">
        <f>IFERROR(IF(IFERROR(MATCH(41,المحفظة!$H$5:$H$104,0),0)=0,"",INDEX(المحفظة!$A$5:$A$104,IFERROR(MATCH(41,المحفظة!$H$5:$H$104,0),0))),"")</f>
        <v/>
      </c>
      <c r="B45" s="91">
        <f>IFERROR(IF(IFERROR(MATCH(41,المحفظة!$H$5:$H$104,0),0)=0,"",INDEX(المحفظة!$B$5:$B$104,IFERROR(MATCH(41,المحفظة!$H$5:$H$104,0),0))),"")</f>
        <v/>
      </c>
      <c r="C45" s="92">
        <f>IFERROR(IF(IFERROR(MATCH(41,المحفظة!$H$5:$H$104,0),0)=0,"",INDEX(المحفظة!$C$5:$C$104,IFERROR(MATCH(41,المحفظة!$H$5:$H$104,0),0))),"")</f>
        <v/>
      </c>
      <c r="D45" s="93" t="inlineStr">
        <is>
          <t>—</t>
        </is>
      </c>
      <c r="E45" s="94">
        <f>IFERROR(IF(IFERROR(MATCH(41,المحفظة!$H$5:$H$104,0),0)=0,"",INDEX(المحفظة!$E$5:$E$104,IFERROR(MATCH(41,المحفظة!$H$5:$H$104,0),0))),"")</f>
        <v/>
      </c>
      <c r="F45" s="91">
        <f>IFERROR(IF(IFERROR(MATCH(41,المحفظة!$H$5:$H$104,0),0)=0,"",INDEX(المحفظة!$F$5:$F$104,IFERROR(MATCH(41,المحفظة!$H$5:$H$104,0),0))),"")</f>
        <v/>
      </c>
      <c r="G45" s="6" t="n"/>
    </row>
    <row r="46" ht="15" customHeight="1" s="165">
      <c r="A46" s="85">
        <f>IFERROR(IF(IFERROR(MATCH(42,المحفظة!$H$5:$H$104,0),0)=0,"",INDEX(المحفظة!$A$5:$A$104,IFERROR(MATCH(42,المحفظة!$H$5:$H$104,0),0))),"")</f>
        <v/>
      </c>
      <c r="B46" s="86">
        <f>IFERROR(IF(IFERROR(MATCH(42,المحفظة!$H$5:$H$104,0),0)=0,"",INDEX(المحفظة!$B$5:$B$104,IFERROR(MATCH(42,المحفظة!$H$5:$H$104,0),0))),"")</f>
        <v/>
      </c>
      <c r="C46" s="87">
        <f>IFERROR(IF(IFERROR(MATCH(42,المحفظة!$H$5:$H$104,0),0)=0,"",INDEX(المحفظة!$C$5:$C$104,IFERROR(MATCH(42,المحفظة!$H$5:$H$104,0),0))),"")</f>
        <v/>
      </c>
      <c r="D46" s="88" t="inlineStr">
        <is>
          <t>—</t>
        </is>
      </c>
      <c r="E46" s="89">
        <f>IFERROR(IF(IFERROR(MATCH(42,المحفظة!$H$5:$H$104,0),0)=0,"",INDEX(المحفظة!$E$5:$E$104,IFERROR(MATCH(42,المحفظة!$H$5:$H$104,0),0))),"")</f>
        <v/>
      </c>
      <c r="F46" s="86">
        <f>IFERROR(IF(IFERROR(MATCH(42,المحفظة!$H$5:$H$104,0),0)=0,"",INDEX(المحفظة!$F$5:$F$104,IFERROR(MATCH(42,المحفظة!$H$5:$H$104,0),0))),"")</f>
        <v/>
      </c>
      <c r="G46" s="11" t="n"/>
    </row>
    <row r="47" ht="15" customHeight="1" s="165">
      <c r="A47" s="90">
        <f>IFERROR(IF(IFERROR(MATCH(43,المحفظة!$H$5:$H$104,0),0)=0,"",INDEX(المحفظة!$A$5:$A$104,IFERROR(MATCH(43,المحفظة!$H$5:$H$104,0),0))),"")</f>
        <v/>
      </c>
      <c r="B47" s="91">
        <f>IFERROR(IF(IFERROR(MATCH(43,المحفظة!$H$5:$H$104,0),0)=0,"",INDEX(المحفظة!$B$5:$B$104,IFERROR(MATCH(43,المحفظة!$H$5:$H$104,0),0))),"")</f>
        <v/>
      </c>
      <c r="C47" s="92">
        <f>IFERROR(IF(IFERROR(MATCH(43,المحفظة!$H$5:$H$104,0),0)=0,"",INDEX(المحفظة!$C$5:$C$104,IFERROR(MATCH(43,المحفظة!$H$5:$H$104,0),0))),"")</f>
        <v/>
      </c>
      <c r="D47" s="93" t="inlineStr">
        <is>
          <t>—</t>
        </is>
      </c>
      <c r="E47" s="94">
        <f>IFERROR(IF(IFERROR(MATCH(43,المحفظة!$H$5:$H$104,0),0)=0,"",INDEX(المحفظة!$E$5:$E$104,IFERROR(MATCH(43,المحفظة!$H$5:$H$104,0),0))),"")</f>
        <v/>
      </c>
      <c r="F47" s="91">
        <f>IFERROR(IF(IFERROR(MATCH(43,المحفظة!$H$5:$H$104,0),0)=0,"",INDEX(المحفظة!$F$5:$F$104,IFERROR(MATCH(43,المحفظة!$H$5:$H$104,0),0))),"")</f>
        <v/>
      </c>
      <c r="G47" s="6" t="n"/>
    </row>
    <row r="48" ht="15" customHeight="1" s="165">
      <c r="A48" s="85">
        <f>IFERROR(IF(IFERROR(MATCH(44,المحفظة!$H$5:$H$104,0),0)=0,"",INDEX(المحفظة!$A$5:$A$104,IFERROR(MATCH(44,المحفظة!$H$5:$H$104,0),0))),"")</f>
        <v/>
      </c>
      <c r="B48" s="86">
        <f>IFERROR(IF(IFERROR(MATCH(44,المحفظة!$H$5:$H$104,0),0)=0,"",INDEX(المحفظة!$B$5:$B$104,IFERROR(MATCH(44,المحفظة!$H$5:$H$104,0),0))),"")</f>
        <v/>
      </c>
      <c r="C48" s="87">
        <f>IFERROR(IF(IFERROR(MATCH(44,المحفظة!$H$5:$H$104,0),0)=0,"",INDEX(المحفظة!$C$5:$C$104,IFERROR(MATCH(44,المحفظة!$H$5:$H$104,0),0))),"")</f>
        <v/>
      </c>
      <c r="D48" s="88" t="inlineStr">
        <is>
          <t>—</t>
        </is>
      </c>
      <c r="E48" s="89">
        <f>IFERROR(IF(IFERROR(MATCH(44,المحفظة!$H$5:$H$104,0),0)=0,"",INDEX(المحفظة!$E$5:$E$104,IFERROR(MATCH(44,المحفظة!$H$5:$H$104,0),0))),"")</f>
        <v/>
      </c>
      <c r="F48" s="86">
        <f>IFERROR(IF(IFERROR(MATCH(44,المحفظة!$H$5:$H$104,0),0)=0,"",INDEX(المحفظة!$F$5:$F$104,IFERROR(MATCH(44,المحفظة!$H$5:$H$104,0),0))),"")</f>
        <v/>
      </c>
      <c r="G48" s="11" t="n"/>
    </row>
    <row r="49" ht="15" customHeight="1" s="165">
      <c r="A49" s="90">
        <f>IFERROR(IF(IFERROR(MATCH(45,المحفظة!$H$5:$H$104,0),0)=0,"",INDEX(المحفظة!$A$5:$A$104,IFERROR(MATCH(45,المحفظة!$H$5:$H$104,0),0))),"")</f>
        <v/>
      </c>
      <c r="B49" s="91">
        <f>IFERROR(IF(IFERROR(MATCH(45,المحفظة!$H$5:$H$104,0),0)=0,"",INDEX(المحفظة!$B$5:$B$104,IFERROR(MATCH(45,المحفظة!$H$5:$H$104,0),0))),"")</f>
        <v/>
      </c>
      <c r="C49" s="92">
        <f>IFERROR(IF(IFERROR(MATCH(45,المحفظة!$H$5:$H$104,0),0)=0,"",INDEX(المحفظة!$C$5:$C$104,IFERROR(MATCH(45,المحفظة!$H$5:$H$104,0),0))),"")</f>
        <v/>
      </c>
      <c r="D49" s="93" t="inlineStr">
        <is>
          <t>—</t>
        </is>
      </c>
      <c r="E49" s="94">
        <f>IFERROR(IF(IFERROR(MATCH(45,المحفظة!$H$5:$H$104,0),0)=0,"",INDEX(المحفظة!$E$5:$E$104,IFERROR(MATCH(45,المحفظة!$H$5:$H$104,0),0))),"")</f>
        <v/>
      </c>
      <c r="F49" s="91">
        <f>IFERROR(IF(IFERROR(MATCH(45,المحفظة!$H$5:$H$104,0),0)=0,"",INDEX(المحفظة!$F$5:$F$104,IFERROR(MATCH(45,المحفظة!$H$5:$H$104,0),0))),"")</f>
        <v/>
      </c>
      <c r="G49" s="6" t="n"/>
    </row>
    <row r="50" ht="15" customHeight="1" s="165">
      <c r="A50" s="85">
        <f>IFERROR(IF(IFERROR(MATCH(46,المحفظة!$H$5:$H$104,0),0)=0,"",INDEX(المحفظة!$A$5:$A$104,IFERROR(MATCH(46,المحفظة!$H$5:$H$104,0),0))),"")</f>
        <v/>
      </c>
      <c r="B50" s="86">
        <f>IFERROR(IF(IFERROR(MATCH(46,المحفظة!$H$5:$H$104,0),0)=0,"",INDEX(المحفظة!$B$5:$B$104,IFERROR(MATCH(46,المحفظة!$H$5:$H$104,0),0))),"")</f>
        <v/>
      </c>
      <c r="C50" s="87">
        <f>IFERROR(IF(IFERROR(MATCH(46,المحفظة!$H$5:$H$104,0),0)=0,"",INDEX(المحفظة!$C$5:$C$104,IFERROR(MATCH(46,المحفظة!$H$5:$H$104,0),0))),"")</f>
        <v/>
      </c>
      <c r="D50" s="88" t="inlineStr">
        <is>
          <t>—</t>
        </is>
      </c>
      <c r="E50" s="89">
        <f>IFERROR(IF(IFERROR(MATCH(46,المحفظة!$H$5:$H$104,0),0)=0,"",INDEX(المحفظة!$E$5:$E$104,IFERROR(MATCH(46,المحفظة!$H$5:$H$104,0),0))),"")</f>
        <v/>
      </c>
      <c r="F50" s="86">
        <f>IFERROR(IF(IFERROR(MATCH(46,المحفظة!$H$5:$H$104,0),0)=0,"",INDEX(المحفظة!$F$5:$F$104,IFERROR(MATCH(46,المحفظة!$H$5:$H$104,0),0))),"")</f>
        <v/>
      </c>
      <c r="G50" s="11" t="n"/>
    </row>
    <row r="51" ht="15" customHeight="1" s="165">
      <c r="A51" s="90">
        <f>IFERROR(IF(IFERROR(MATCH(47,المحفظة!$H$5:$H$104,0),0)=0,"",INDEX(المحفظة!$A$5:$A$104,IFERROR(MATCH(47,المحفظة!$H$5:$H$104,0),0))),"")</f>
        <v/>
      </c>
      <c r="B51" s="91">
        <f>IFERROR(IF(IFERROR(MATCH(47,المحفظة!$H$5:$H$104,0),0)=0,"",INDEX(المحفظة!$B$5:$B$104,IFERROR(MATCH(47,المحفظة!$H$5:$H$104,0),0))),"")</f>
        <v/>
      </c>
      <c r="C51" s="92">
        <f>IFERROR(IF(IFERROR(MATCH(47,المحفظة!$H$5:$H$104,0),0)=0,"",INDEX(المحفظة!$C$5:$C$104,IFERROR(MATCH(47,المحفظة!$H$5:$H$104,0),0))),"")</f>
        <v/>
      </c>
      <c r="D51" s="93" t="inlineStr">
        <is>
          <t>—</t>
        </is>
      </c>
      <c r="E51" s="94">
        <f>IFERROR(IF(IFERROR(MATCH(47,المحفظة!$H$5:$H$104,0),0)=0,"",INDEX(المحفظة!$E$5:$E$104,IFERROR(MATCH(47,المحفظة!$H$5:$H$104,0),0))),"")</f>
        <v/>
      </c>
      <c r="F51" s="91">
        <f>IFERROR(IF(IFERROR(MATCH(47,المحفظة!$H$5:$H$104,0),0)=0,"",INDEX(المحفظة!$F$5:$F$104,IFERROR(MATCH(47,المحفظة!$H$5:$H$104,0),0))),"")</f>
        <v/>
      </c>
      <c r="G51" s="6" t="n"/>
    </row>
    <row r="52" ht="15" customHeight="1" s="165">
      <c r="A52" s="85">
        <f>IFERROR(IF(IFERROR(MATCH(48,المحفظة!$H$5:$H$104,0),0)=0,"",INDEX(المحفظة!$A$5:$A$104,IFERROR(MATCH(48,المحفظة!$H$5:$H$104,0),0))),"")</f>
        <v/>
      </c>
      <c r="B52" s="86">
        <f>IFERROR(IF(IFERROR(MATCH(48,المحفظة!$H$5:$H$104,0),0)=0,"",INDEX(المحفظة!$B$5:$B$104,IFERROR(MATCH(48,المحفظة!$H$5:$H$104,0),0))),"")</f>
        <v/>
      </c>
      <c r="C52" s="87">
        <f>IFERROR(IF(IFERROR(MATCH(48,المحفظة!$H$5:$H$104,0),0)=0,"",INDEX(المحفظة!$C$5:$C$104,IFERROR(MATCH(48,المحفظة!$H$5:$H$104,0),0))),"")</f>
        <v/>
      </c>
      <c r="D52" s="88" t="inlineStr">
        <is>
          <t>—</t>
        </is>
      </c>
      <c r="E52" s="89">
        <f>IFERROR(IF(IFERROR(MATCH(48,المحفظة!$H$5:$H$104,0),0)=0,"",INDEX(المحفظة!$E$5:$E$104,IFERROR(MATCH(48,المحفظة!$H$5:$H$104,0),0))),"")</f>
        <v/>
      </c>
      <c r="F52" s="86">
        <f>IFERROR(IF(IFERROR(MATCH(48,المحفظة!$H$5:$H$104,0),0)=0,"",INDEX(المحفظة!$F$5:$F$104,IFERROR(MATCH(48,المحفظة!$H$5:$H$104,0),0))),"")</f>
        <v/>
      </c>
      <c r="G52" s="11" t="n"/>
    </row>
    <row r="53" ht="15" customHeight="1" s="165">
      <c r="A53" s="90">
        <f>IFERROR(IF(IFERROR(MATCH(49,المحفظة!$H$5:$H$104,0),0)=0,"",INDEX(المحفظة!$A$5:$A$104,IFERROR(MATCH(49,المحفظة!$H$5:$H$104,0),0))),"")</f>
        <v/>
      </c>
      <c r="B53" s="91">
        <f>IFERROR(IF(IFERROR(MATCH(49,المحفظة!$H$5:$H$104,0),0)=0,"",INDEX(المحفظة!$B$5:$B$104,IFERROR(MATCH(49,المحفظة!$H$5:$H$104,0),0))),"")</f>
        <v/>
      </c>
      <c r="C53" s="92">
        <f>IFERROR(IF(IFERROR(MATCH(49,المحفظة!$H$5:$H$104,0),0)=0,"",INDEX(المحفظة!$C$5:$C$104,IFERROR(MATCH(49,المحفظة!$H$5:$H$104,0),0))),"")</f>
        <v/>
      </c>
      <c r="D53" s="93" t="inlineStr">
        <is>
          <t>—</t>
        </is>
      </c>
      <c r="E53" s="94">
        <f>IFERROR(IF(IFERROR(MATCH(49,المحفظة!$H$5:$H$104,0),0)=0,"",INDEX(المحفظة!$E$5:$E$104,IFERROR(MATCH(49,المحفظة!$H$5:$H$104,0),0))),"")</f>
        <v/>
      </c>
      <c r="F53" s="91">
        <f>IFERROR(IF(IFERROR(MATCH(49,المحفظة!$H$5:$H$104,0),0)=0,"",INDEX(المحفظة!$F$5:$F$104,IFERROR(MATCH(49,المحفظة!$H$5:$H$104,0),0))),"")</f>
        <v/>
      </c>
      <c r="G53" s="6" t="n"/>
    </row>
    <row r="54" hidden="1" ht="15" customHeight="1" s="165">
      <c r="A54" s="85">
        <f>IFERROR(IF(IFERROR(MATCH(50,المحفظة!$H$5:$H$104,0),0)=0,"",INDEX(المحفظة!$A$5:$A$104,IFERROR(MATCH(50,المحفظة!$H$5:$H$104,0),0))),"")</f>
        <v/>
      </c>
      <c r="B54" s="86">
        <f>IFERROR(IF(IFERROR(MATCH(50,المحفظة!$H$5:$H$104,0),0)=0,"",INDEX(المحفظة!$B$5:$B$104,IFERROR(MATCH(50,المحفظة!$H$5:$H$104,0),0))),"")</f>
        <v/>
      </c>
      <c r="C54" s="87">
        <f>IFERROR(IF(IFERROR(MATCH(50,المحفظة!$H$5:$H$104,0),0)=0,"",INDEX(المحفظة!$C$5:$C$104,IFERROR(MATCH(50,المحفظة!$H$5:$H$104,0),0))),"")</f>
        <v/>
      </c>
      <c r="D54" s="88" t="inlineStr">
        <is>
          <t>—</t>
        </is>
      </c>
      <c r="E54" s="89">
        <f>IFERROR(IF(IFERROR(MATCH(50,المحفظة!$H$5:$H$104,0),0)=0,"",INDEX(المحفظة!$E$5:$E$104,IFERROR(MATCH(50,المحفظة!$H$5:$H$104,0),0))),"")</f>
        <v/>
      </c>
      <c r="F54" s="86">
        <f>IFERROR(IF(IFERROR(MATCH(50,المحفظة!$H$5:$H$104,0),0)=0,"",INDEX(المحفظة!$F$5:$F$104,IFERROR(MATCH(50,المحفظة!$H$5:$H$104,0),0))),"")</f>
        <v/>
      </c>
      <c r="G54" s="11" t="n"/>
    </row>
    <row r="55" ht="19.5" customHeight="1" s="165">
      <c r="A55" s="176" t="inlineStr">
        <is>
          <t>إجمالي الإيرادات</t>
        </is>
      </c>
      <c r="B55" s="161" t="n"/>
      <c r="C55" s="161" t="n"/>
      <c r="D55" s="161" t="n"/>
      <c r="E55" s="177">
        <f>SUMIF(المحفظة!$H$5:$H$104,"&gt;0",المحفظة!$E$5:$E$104)</f>
        <v/>
      </c>
      <c r="F55" s="78" t="n"/>
      <c r="G55" s="78" t="n"/>
    </row>
    <row r="56" ht="19.5" customHeight="1" s="165">
      <c r="A56" s="178" t="inlineStr">
        <is>
          <t>🔴  المصروفات من المحفظة</t>
        </is>
      </c>
      <c r="B56" s="161" t="n"/>
      <c r="C56" s="161" t="n"/>
      <c r="D56" s="161" t="n"/>
      <c r="E56" s="161" t="n"/>
      <c r="F56" s="161" t="n"/>
      <c r="G56" s="161" t="n"/>
    </row>
    <row r="57" ht="16.5" customHeight="1" s="165">
      <c r="A57" s="12">
        <f>IFERROR(IF(IFERROR(MATCH(1,المحفظة!$H$107:$H$206,0),0)=0,"",INDEX(المحفظة!$A$107:$A$206,IFERROR(MATCH(1,المحفظة!$H$107:$H$206,0),0))),"")</f>
        <v/>
      </c>
      <c r="B57" s="13">
        <f>IFERROR(IF(IFERROR(MATCH(1,المحفظة!$H$107:$H$206,0),0)=0,"",INDEX(المحفظة!$B$107:$B$206,IFERROR(MATCH(1,المحفظة!$H$107:$H$206,0),0))),"")</f>
        <v/>
      </c>
      <c r="C57" s="95">
        <f>IFERROR(IF(IFERROR(MATCH(1,المحفظة!$H$107:$H$206,0),0)=0,"",INDEX(المحفظة!$C$107:$C$206,IFERROR(MATCH(1,المحفظة!$H$107:$H$206,0),0))),"")</f>
        <v/>
      </c>
      <c r="D57" s="14">
        <f>IFERROR(IF(IFERROR(MATCH(1,المحفظة!$H$107:$H$206,0),0)=0,"",INDEX(المحفظة!$D$107:$D$206,IFERROR(MATCH(1,المحفظة!$H$107:$H$206,0),0))),"")</f>
        <v/>
      </c>
      <c r="E57" s="15" t="inlineStr">
        <is>
          <t>—</t>
        </is>
      </c>
      <c r="F57" s="13">
        <f>IFERROR(IF(IFERROR(MATCH(1,المحفظة!$H$107:$H$206,0),0)=0,"",INDEX(المحفظة!$F$107:$F$206,IFERROR(MATCH(1,المحفظة!$H$107:$H$206,0),0))),"")</f>
        <v/>
      </c>
      <c r="G57" s="96" t="n"/>
    </row>
    <row r="58" ht="16.5" customHeight="1" s="165">
      <c r="A58" s="17">
        <f>IFERROR(IF(IFERROR(MATCH(2,المحفظة!$H$107:$H$206,0),0)=0,"",INDEX(المحفظة!$A$107:$A$206,IFERROR(MATCH(2,المحفظة!$H$107:$H$206,0),0))),"")</f>
        <v/>
      </c>
      <c r="B58" s="18">
        <f>IFERROR(IF(IFERROR(MATCH(2,المحفظة!$H$107:$H$206,0),0)=0,"",INDEX(المحفظة!$B$107:$B$206,IFERROR(MATCH(2,المحفظة!$H$107:$H$206,0),0))),"")</f>
        <v/>
      </c>
      <c r="C58" s="97">
        <f>IFERROR(IF(IFERROR(MATCH(2,المحفظة!$H$107:$H$206,0),0)=0,"",INDEX(المحفظة!$C$107:$C$206,IFERROR(MATCH(2,المحفظة!$H$107:$H$206,0),0))),"")</f>
        <v/>
      </c>
      <c r="D58" s="19">
        <f>IFERROR(IF(IFERROR(MATCH(2,المحفظة!$H$107:$H$206,0),0)=0,"",INDEX(المحفظة!$D$107:$D$206,IFERROR(MATCH(2,المحفظة!$H$107:$H$206,0),0))),"")</f>
        <v/>
      </c>
      <c r="E58" s="20" t="inlineStr">
        <is>
          <t>—</t>
        </is>
      </c>
      <c r="F58" s="18">
        <f>IFERROR(IF(IFERROR(MATCH(2,المحفظة!$H$107:$H$206,0),0)=0,"",INDEX(المحفظة!$F$107:$F$206,IFERROR(MATCH(2,المحفظة!$H$107:$H$206,0),0))),"")</f>
        <v/>
      </c>
      <c r="G58" s="98" t="n"/>
    </row>
    <row r="59" ht="16.5" customHeight="1" s="165">
      <c r="A59" s="12">
        <f>IFERROR(IF(IFERROR(MATCH(3,المحفظة!$H$107:$H$206,0),0)=0,"",INDEX(المحفظة!$A$107:$A$206,IFERROR(MATCH(3,المحفظة!$H$107:$H$206,0),0))),"")</f>
        <v/>
      </c>
      <c r="B59" s="13">
        <f>IFERROR(IF(IFERROR(MATCH(3,المحفظة!$H$107:$H$206,0),0)=0,"",INDEX(المحفظة!$B$107:$B$206,IFERROR(MATCH(3,المحفظة!$H$107:$H$206,0),0))),"")</f>
        <v/>
      </c>
      <c r="C59" s="95">
        <f>IFERROR(IF(IFERROR(MATCH(3,المحفظة!$H$107:$H$206,0),0)=0,"",INDEX(المحفظة!$C$107:$C$206,IFERROR(MATCH(3,المحفظة!$H$107:$H$206,0),0))),"")</f>
        <v/>
      </c>
      <c r="D59" s="14">
        <f>IFERROR(IF(IFERROR(MATCH(3,المحفظة!$H$107:$H$206,0),0)=0,"",INDEX(المحفظة!$D$107:$D$206,IFERROR(MATCH(3,المحفظة!$H$107:$H$206,0),0))),"")</f>
        <v/>
      </c>
      <c r="E59" s="15" t="inlineStr">
        <is>
          <t>—</t>
        </is>
      </c>
      <c r="F59" s="13">
        <f>IFERROR(IF(IFERROR(MATCH(3,المحفظة!$H$107:$H$206,0),0)=0,"",INDEX(المحفظة!$F$107:$F$206,IFERROR(MATCH(3,المحفظة!$H$107:$H$206,0),0))),"")</f>
        <v/>
      </c>
      <c r="G59" s="96" t="n"/>
    </row>
    <row r="60" ht="16.5" customHeight="1" s="165">
      <c r="A60" s="17">
        <f>IFERROR(IF(IFERROR(MATCH(4,المحفظة!$H$107:$H$206,0),0)=0,"",INDEX(المحفظة!$A$107:$A$206,IFERROR(MATCH(4,المحفظة!$H$107:$H$206,0),0))),"")</f>
        <v/>
      </c>
      <c r="B60" s="18">
        <f>IFERROR(IF(IFERROR(MATCH(4,المحفظة!$H$107:$H$206,0),0)=0,"",INDEX(المحفظة!$B$107:$B$206,IFERROR(MATCH(4,المحفظة!$H$107:$H$206,0),0))),"")</f>
        <v/>
      </c>
      <c r="C60" s="97">
        <f>IFERROR(IF(IFERROR(MATCH(4,المحفظة!$H$107:$H$206,0),0)=0,"",INDEX(المحفظة!$C$107:$C$206,IFERROR(MATCH(4,المحفظة!$H$107:$H$206,0),0))),"")</f>
        <v/>
      </c>
      <c r="D60" s="19">
        <f>IFERROR(IF(IFERROR(MATCH(4,المحفظة!$H$107:$H$206,0),0)=0,"",INDEX(المحفظة!$D$107:$D$206,IFERROR(MATCH(4,المحفظة!$H$107:$H$206,0),0))),"")</f>
        <v/>
      </c>
      <c r="E60" s="20" t="inlineStr">
        <is>
          <t>—</t>
        </is>
      </c>
      <c r="F60" s="18">
        <f>IFERROR(IF(IFERROR(MATCH(4,المحفظة!$H$107:$H$206,0),0)=0,"",INDEX(المحفظة!$F$107:$F$206,IFERROR(MATCH(4,المحفظة!$H$107:$H$206,0),0))),"")</f>
        <v/>
      </c>
      <c r="G60" s="98" t="n"/>
    </row>
    <row r="61" ht="16.5" customHeight="1" s="165">
      <c r="A61" s="12">
        <f>IFERROR(IF(IFERROR(MATCH(5,المحفظة!$H$107:$H$206,0),0)=0,"",INDEX(المحفظة!$A$107:$A$206,IFERROR(MATCH(5,المحفظة!$H$107:$H$206,0),0))),"")</f>
        <v/>
      </c>
      <c r="B61" s="13">
        <f>IFERROR(IF(IFERROR(MATCH(5,المحفظة!$H$107:$H$206,0),0)=0,"",INDEX(المحفظة!$B$107:$B$206,IFERROR(MATCH(5,المحفظة!$H$107:$H$206,0),0))),"")</f>
        <v/>
      </c>
      <c r="C61" s="95">
        <f>IFERROR(IF(IFERROR(MATCH(5,المحفظة!$H$107:$H$206,0),0)=0,"",INDEX(المحفظة!$C$107:$C$206,IFERROR(MATCH(5,المحفظة!$H$107:$H$206,0),0))),"")</f>
        <v/>
      </c>
      <c r="D61" s="14">
        <f>IFERROR(IF(IFERROR(MATCH(5,المحفظة!$H$107:$H$206,0),0)=0,"",INDEX(المحفظة!$D$107:$D$206,IFERROR(MATCH(5,المحفظة!$H$107:$H$206,0),0))),"")</f>
        <v/>
      </c>
      <c r="E61" s="15" t="inlineStr">
        <is>
          <t>—</t>
        </is>
      </c>
      <c r="F61" s="13">
        <f>IFERROR(IF(IFERROR(MATCH(5,المحفظة!$H$107:$H$206,0),0)=0,"",INDEX(المحفظة!$F$107:$F$206,IFERROR(MATCH(5,المحفظة!$H$107:$H$206,0),0))),"")</f>
        <v/>
      </c>
      <c r="G61" s="96" t="n"/>
    </row>
    <row r="62" ht="16.5" customHeight="1" s="165">
      <c r="A62" s="17">
        <f>IFERROR(IF(IFERROR(MATCH(6,المحفظة!$H$107:$H$206,0),0)=0,"",INDEX(المحفظة!$A$107:$A$206,IFERROR(MATCH(6,المحفظة!$H$107:$H$206,0),0))),"")</f>
        <v/>
      </c>
      <c r="B62" s="18">
        <f>IFERROR(IF(IFERROR(MATCH(6,المحفظة!$H$107:$H$206,0),0)=0,"",INDEX(المحفظة!$B$107:$B$206,IFERROR(MATCH(6,المحفظة!$H$107:$H$206,0),0))),"")</f>
        <v/>
      </c>
      <c r="C62" s="97">
        <f>IFERROR(IF(IFERROR(MATCH(6,المحفظة!$H$107:$H$206,0),0)=0,"",INDEX(المحفظة!$C$107:$C$206,IFERROR(MATCH(6,المحفظة!$H$107:$H$206,0),0))),"")</f>
        <v/>
      </c>
      <c r="D62" s="19">
        <f>IFERROR(IF(IFERROR(MATCH(6,المحفظة!$H$107:$H$206,0),0)=0,"",INDEX(المحفظة!$D$107:$D$206,IFERROR(MATCH(6,المحفظة!$H$107:$H$206,0),0))),"")</f>
        <v/>
      </c>
      <c r="E62" s="20" t="inlineStr">
        <is>
          <t>—</t>
        </is>
      </c>
      <c r="F62" s="18">
        <f>IFERROR(IF(IFERROR(MATCH(6,المحفظة!$H$107:$H$206,0),0)=0,"",INDEX(المحفظة!$F$107:$F$206,IFERROR(MATCH(6,المحفظة!$H$107:$H$206,0),0))),"")</f>
        <v/>
      </c>
      <c r="G62" s="98" t="n"/>
    </row>
    <row r="63" ht="15" customHeight="1" s="165">
      <c r="A63" s="99">
        <f>IFERROR(IF(IFERROR(MATCH(7,المحفظة!$H$107:$H$206,0),0)=0,"",INDEX(المحفظة!$A$107:$A$206,IFERROR(MATCH(7,المحفظة!$H$107:$H$206,0),0))),"")</f>
        <v/>
      </c>
      <c r="B63" s="100">
        <f>IFERROR(IF(IFERROR(MATCH(7,المحفظة!$H$107:$H$206,0),0)=0,"",INDEX(المحفظة!$B$107:$B$206,IFERROR(MATCH(7,المحفظة!$H$107:$H$206,0),0))),"")</f>
        <v/>
      </c>
      <c r="C63" s="101">
        <f>IFERROR(IF(IFERROR(MATCH(7,المحفظة!$H$107:$H$206,0),0)=0,"",INDEX(المحفظة!$C$107:$C$206,IFERROR(MATCH(7,المحفظة!$H$107:$H$206,0),0))),"")</f>
        <v/>
      </c>
      <c r="D63" s="102">
        <f>IFERROR(IF(IFERROR(MATCH(7,المحفظة!$H$107:$H$206,0),0)=0,"",INDEX(المحفظة!$D$107:$D$206,IFERROR(MATCH(7,المحفظة!$H$107:$H$206,0),0))),"")</f>
        <v/>
      </c>
      <c r="E63" s="103" t="inlineStr">
        <is>
          <t>—</t>
        </is>
      </c>
      <c r="F63" s="100">
        <f>IFERROR(IF(IFERROR(MATCH(7,المحفظة!$H$107:$H$206,0),0)=0,"",INDEX(المحفظة!$F$107:$F$206,IFERROR(MATCH(7,المحفظة!$H$107:$H$206,0),0))),"")</f>
        <v/>
      </c>
      <c r="G63" s="16" t="n"/>
    </row>
    <row r="64" ht="15" customHeight="1" s="165">
      <c r="A64" s="104">
        <f>IFERROR(IF(IFERROR(MATCH(8,المحفظة!$H$107:$H$206,0),0)=0,"",INDEX(المحفظة!$A$107:$A$206,IFERROR(MATCH(8,المحفظة!$H$107:$H$206,0),0))),"")</f>
        <v/>
      </c>
      <c r="B64" s="105">
        <f>IFERROR(IF(IFERROR(MATCH(8,المحفظة!$H$107:$H$206,0),0)=0,"",INDEX(المحفظة!$B$107:$B$206,IFERROR(MATCH(8,المحفظة!$H$107:$H$206,0),0))),"")</f>
        <v/>
      </c>
      <c r="C64" s="106">
        <f>IFERROR(IF(IFERROR(MATCH(8,المحفظة!$H$107:$H$206,0),0)=0,"",INDEX(المحفظة!$C$107:$C$206,IFERROR(MATCH(8,المحفظة!$H$107:$H$206,0),0))),"")</f>
        <v/>
      </c>
      <c r="D64" s="107">
        <f>IFERROR(IF(IFERROR(MATCH(8,المحفظة!$H$107:$H$206,0),0)=0,"",INDEX(المحفظة!$D$107:$D$206,IFERROR(MATCH(8,المحفظة!$H$107:$H$206,0),0))),"")</f>
        <v/>
      </c>
      <c r="E64" s="108" t="inlineStr">
        <is>
          <t>—</t>
        </is>
      </c>
      <c r="F64" s="105">
        <f>IFERROR(IF(IFERROR(MATCH(8,المحفظة!$H$107:$H$206,0),0)=0,"",INDEX(المحفظة!$F$107:$F$206,IFERROR(MATCH(8,المحفظة!$H$107:$H$206,0),0))),"")</f>
        <v/>
      </c>
      <c r="G64" s="21" t="n"/>
    </row>
    <row r="65" ht="15" customHeight="1" s="165">
      <c r="A65" s="99">
        <f>IFERROR(IF(IFERROR(MATCH(9,المحفظة!$H$107:$H$206,0),0)=0,"",INDEX(المحفظة!$A$107:$A$206,IFERROR(MATCH(9,المحفظة!$H$107:$H$206,0),0))),"")</f>
        <v/>
      </c>
      <c r="B65" s="100">
        <f>IFERROR(IF(IFERROR(MATCH(9,المحفظة!$H$107:$H$206,0),0)=0,"",INDEX(المحفظة!$B$107:$B$206,IFERROR(MATCH(9,المحفظة!$H$107:$H$206,0),0))),"")</f>
        <v/>
      </c>
      <c r="C65" s="101">
        <f>IFERROR(IF(IFERROR(MATCH(9,المحفظة!$H$107:$H$206,0),0)=0,"",INDEX(المحفظة!$C$107:$C$206,IFERROR(MATCH(9,المحفظة!$H$107:$H$206,0),0))),"")</f>
        <v/>
      </c>
      <c r="D65" s="102">
        <f>IFERROR(IF(IFERROR(MATCH(9,المحفظة!$H$107:$H$206,0),0)=0,"",INDEX(المحفظة!$D$107:$D$206,IFERROR(MATCH(9,المحفظة!$H$107:$H$206,0),0))),"")</f>
        <v/>
      </c>
      <c r="E65" s="103" t="inlineStr">
        <is>
          <t>—</t>
        </is>
      </c>
      <c r="F65" s="100">
        <f>IFERROR(IF(IFERROR(MATCH(9,المحفظة!$H$107:$H$206,0),0)=0,"",INDEX(المحفظة!$F$107:$F$206,IFERROR(MATCH(9,المحفظة!$H$107:$H$206,0),0))),"")</f>
        <v/>
      </c>
      <c r="G65" s="16" t="n"/>
    </row>
    <row r="66" ht="15" customHeight="1" s="165">
      <c r="A66" s="104">
        <f>IFERROR(IF(IFERROR(MATCH(10,المحفظة!$H$107:$H$206,0),0)=0,"",INDEX(المحفظة!$A$107:$A$206,IFERROR(MATCH(10,المحفظة!$H$107:$H$206,0),0))),"")</f>
        <v/>
      </c>
      <c r="B66" s="105">
        <f>IFERROR(IF(IFERROR(MATCH(10,المحفظة!$H$107:$H$206,0),0)=0,"",INDEX(المحفظة!$B$107:$B$206,IFERROR(MATCH(10,المحفظة!$H$107:$H$206,0),0))),"")</f>
        <v/>
      </c>
      <c r="C66" s="106">
        <f>IFERROR(IF(IFERROR(MATCH(10,المحفظة!$H$107:$H$206,0),0)=0,"",INDEX(المحفظة!$C$107:$C$206,IFERROR(MATCH(10,المحفظة!$H$107:$H$206,0),0))),"")</f>
        <v/>
      </c>
      <c r="D66" s="107">
        <f>IFERROR(IF(IFERROR(MATCH(10,المحفظة!$H$107:$H$206,0),0)=0,"",INDEX(المحفظة!$D$107:$D$206,IFERROR(MATCH(10,المحفظة!$H$107:$H$206,0),0))),"")</f>
        <v/>
      </c>
      <c r="E66" s="108" t="inlineStr">
        <is>
          <t>—</t>
        </is>
      </c>
      <c r="F66" s="105">
        <f>IFERROR(IF(IFERROR(MATCH(10,المحفظة!$H$107:$H$206,0),0)=0,"",INDEX(المحفظة!$F$107:$F$206,IFERROR(MATCH(10,المحفظة!$H$107:$H$206,0),0))),"")</f>
        <v/>
      </c>
      <c r="G66" s="21" t="n"/>
    </row>
    <row r="67" ht="15" customHeight="1" s="165">
      <c r="A67" s="99">
        <f>IFERROR(IF(IFERROR(MATCH(11,المحفظة!$H$107:$H$206,0),0)=0,"",INDEX(المحفظة!$A$107:$A$206,IFERROR(MATCH(11,المحفظة!$H$107:$H$206,0),0))),"")</f>
        <v/>
      </c>
      <c r="B67" s="100">
        <f>IFERROR(IF(IFERROR(MATCH(11,المحفظة!$H$107:$H$206,0),0)=0,"",INDEX(المحفظة!$B$107:$B$206,IFERROR(MATCH(11,المحفظة!$H$107:$H$206,0),0))),"")</f>
        <v/>
      </c>
      <c r="C67" s="101">
        <f>IFERROR(IF(IFERROR(MATCH(11,المحفظة!$H$107:$H$206,0),0)=0,"",INDEX(المحفظة!$C$107:$C$206,IFERROR(MATCH(11,المحفظة!$H$107:$H$206,0),0))),"")</f>
        <v/>
      </c>
      <c r="D67" s="102">
        <f>IFERROR(IF(IFERROR(MATCH(11,المحفظة!$H$107:$H$206,0),0)=0,"",INDEX(المحفظة!$D$107:$D$206,IFERROR(MATCH(11,المحفظة!$H$107:$H$206,0),0))),"")</f>
        <v/>
      </c>
      <c r="E67" s="103" t="inlineStr">
        <is>
          <t>—</t>
        </is>
      </c>
      <c r="F67" s="100">
        <f>IFERROR(IF(IFERROR(MATCH(11,المحفظة!$H$107:$H$206,0),0)=0,"",INDEX(المحفظة!$F$107:$F$206,IFERROR(MATCH(11,المحفظة!$H$107:$H$206,0),0))),"")</f>
        <v/>
      </c>
      <c r="G67" s="16" t="n"/>
    </row>
    <row r="68" ht="15" customHeight="1" s="165">
      <c r="A68" s="104">
        <f>IFERROR(IF(IFERROR(MATCH(12,المحفظة!$H$107:$H$206,0),0)=0,"",INDEX(المحفظة!$A$107:$A$206,IFERROR(MATCH(12,المحفظة!$H$107:$H$206,0),0))),"")</f>
        <v/>
      </c>
      <c r="B68" s="105">
        <f>IFERROR(IF(IFERROR(MATCH(12,المحفظة!$H$107:$H$206,0),0)=0,"",INDEX(المحفظة!$B$107:$B$206,IFERROR(MATCH(12,المحفظة!$H$107:$H$206,0),0))),"")</f>
        <v/>
      </c>
      <c r="C68" s="106">
        <f>IFERROR(IF(IFERROR(MATCH(12,المحفظة!$H$107:$H$206,0),0)=0,"",INDEX(المحفظة!$C$107:$C$206,IFERROR(MATCH(12,المحفظة!$H$107:$H$206,0),0))),"")</f>
        <v/>
      </c>
      <c r="D68" s="107">
        <f>IFERROR(IF(IFERROR(MATCH(12,المحفظة!$H$107:$H$206,0),0)=0,"",INDEX(المحفظة!$D$107:$D$206,IFERROR(MATCH(12,المحفظة!$H$107:$H$206,0),0))),"")</f>
        <v/>
      </c>
      <c r="E68" s="108" t="inlineStr">
        <is>
          <t>—</t>
        </is>
      </c>
      <c r="F68" s="105">
        <f>IFERROR(IF(IFERROR(MATCH(12,المحفظة!$H$107:$H$206,0),0)=0,"",INDEX(المحفظة!$F$107:$F$206,IFERROR(MATCH(12,المحفظة!$H$107:$H$206,0),0))),"")</f>
        <v/>
      </c>
      <c r="G68" s="21" t="n"/>
    </row>
    <row r="69" ht="15" customHeight="1" s="165">
      <c r="A69" s="99">
        <f>IFERROR(IF(IFERROR(MATCH(13,المحفظة!$H$107:$H$206,0),0)=0,"",INDEX(المحفظة!$A$107:$A$206,IFERROR(MATCH(13,المحفظة!$H$107:$H$206,0),0))),"")</f>
        <v/>
      </c>
      <c r="B69" s="100">
        <f>IFERROR(IF(IFERROR(MATCH(13,المحفظة!$H$107:$H$206,0),0)=0,"",INDEX(المحفظة!$B$107:$B$206,IFERROR(MATCH(13,المحفظة!$H$107:$H$206,0),0))),"")</f>
        <v/>
      </c>
      <c r="C69" s="101">
        <f>IFERROR(IF(IFERROR(MATCH(13,المحفظة!$H$107:$H$206,0),0)=0,"",INDEX(المحفظة!$C$107:$C$206,IFERROR(MATCH(13,المحفظة!$H$107:$H$206,0),0))),"")</f>
        <v/>
      </c>
      <c r="D69" s="102">
        <f>IFERROR(IF(IFERROR(MATCH(13,المحفظة!$H$107:$H$206,0),0)=0,"",INDEX(المحفظة!$D$107:$D$206,IFERROR(MATCH(13,المحفظة!$H$107:$H$206,0),0))),"")</f>
        <v/>
      </c>
      <c r="E69" s="103" t="inlineStr">
        <is>
          <t>—</t>
        </is>
      </c>
      <c r="F69" s="100">
        <f>IFERROR(IF(IFERROR(MATCH(13,المحفظة!$H$107:$H$206,0),0)=0,"",INDEX(المحفظة!$F$107:$F$206,IFERROR(MATCH(13,المحفظة!$H$107:$H$206,0),0))),"")</f>
        <v/>
      </c>
      <c r="G69" s="16" t="n"/>
    </row>
    <row r="70" hidden="1" ht="15" customHeight="1" s="165">
      <c r="A70" s="104">
        <f>IFERROR(IF(IFERROR(MATCH(14,المحفظة!$H$107:$H$206,0),0)=0,"",INDEX(المحفظة!$A$107:$A$206,IFERROR(MATCH(14,المحفظة!$H$107:$H$206,0),0))),"")</f>
        <v/>
      </c>
      <c r="B70" s="105">
        <f>IFERROR(IF(IFERROR(MATCH(14,المحفظة!$H$107:$H$206,0),0)=0,"",INDEX(المحفظة!$B$107:$B$206,IFERROR(MATCH(14,المحفظة!$H$107:$H$206,0),0))),"")</f>
        <v/>
      </c>
      <c r="C70" s="106">
        <f>IFERROR(IF(IFERROR(MATCH(14,المحفظة!$H$107:$H$206,0),0)=0,"",INDEX(المحفظة!$C$107:$C$206,IFERROR(MATCH(14,المحفظة!$H$107:$H$206,0),0))),"")</f>
        <v/>
      </c>
      <c r="D70" s="107">
        <f>IFERROR(IF(IFERROR(MATCH(14,المحفظة!$H$107:$H$206,0),0)=0,"",INDEX(المحفظة!$D$107:$D$206,IFERROR(MATCH(14,المحفظة!$H$107:$H$206,0),0))),"")</f>
        <v/>
      </c>
      <c r="E70" s="108" t="inlineStr">
        <is>
          <t>—</t>
        </is>
      </c>
      <c r="F70" s="105">
        <f>IFERROR(IF(IFERROR(MATCH(14,المحفظة!$H$107:$H$206,0),0)=0,"",INDEX(المحفظة!$F$107:$F$206,IFERROR(MATCH(14,المحفظة!$H$107:$H$206,0),0))),"")</f>
        <v/>
      </c>
      <c r="G70" s="21" t="n"/>
    </row>
    <row r="71" hidden="1" ht="15" customHeight="1" s="165">
      <c r="A71" s="99">
        <f>IFERROR(IF(IFERROR(MATCH(15,المحفظة!$H$107:$H$206,0),0)=0,"",INDEX(المحفظة!$A$107:$A$206,IFERROR(MATCH(15,المحفظة!$H$107:$H$206,0),0))),"")</f>
        <v/>
      </c>
      <c r="B71" s="100">
        <f>IFERROR(IF(IFERROR(MATCH(15,المحفظة!$H$107:$H$206,0),0)=0,"",INDEX(المحفظة!$B$107:$B$206,IFERROR(MATCH(15,المحفظة!$H$107:$H$206,0),0))),"")</f>
        <v/>
      </c>
      <c r="C71" s="101">
        <f>IFERROR(IF(IFERROR(MATCH(15,المحفظة!$H$107:$H$206,0),0)=0,"",INDEX(المحفظة!$C$107:$C$206,IFERROR(MATCH(15,المحفظة!$H$107:$H$206,0),0))),"")</f>
        <v/>
      </c>
      <c r="D71" s="102">
        <f>IFERROR(IF(IFERROR(MATCH(15,المحفظة!$H$107:$H$206,0),0)=0,"",INDEX(المحفظة!$D$107:$D$206,IFERROR(MATCH(15,المحفظة!$H$107:$H$206,0),0))),"")</f>
        <v/>
      </c>
      <c r="E71" s="103" t="inlineStr">
        <is>
          <t>—</t>
        </is>
      </c>
      <c r="F71" s="100">
        <f>IFERROR(IF(IFERROR(MATCH(15,المحفظة!$H$107:$H$206,0),0)=0,"",INDEX(المحفظة!$F$107:$F$206,IFERROR(MATCH(15,المحفظة!$H$107:$H$206,0),0))),"")</f>
        <v/>
      </c>
      <c r="G71" s="16" t="n"/>
    </row>
    <row r="72" hidden="1" ht="15" customHeight="1" s="165">
      <c r="A72" s="104">
        <f>IFERROR(IF(IFERROR(MATCH(16,المحفظة!$H$107:$H$206,0),0)=0,"",INDEX(المحفظة!$A$107:$A$206,IFERROR(MATCH(16,المحفظة!$H$107:$H$206,0),0))),"")</f>
        <v/>
      </c>
      <c r="B72" s="105">
        <f>IFERROR(IF(IFERROR(MATCH(16,المحفظة!$H$107:$H$206,0),0)=0,"",INDEX(المحفظة!$B$107:$B$206,IFERROR(MATCH(16,المحفظة!$H$107:$H$206,0),0))),"")</f>
        <v/>
      </c>
      <c r="C72" s="106">
        <f>IFERROR(IF(IFERROR(MATCH(16,المحفظة!$H$107:$H$206,0),0)=0,"",INDEX(المحفظة!$C$107:$C$206,IFERROR(MATCH(16,المحفظة!$H$107:$H$206,0),0))),"")</f>
        <v/>
      </c>
      <c r="D72" s="107">
        <f>IFERROR(IF(IFERROR(MATCH(16,المحفظة!$H$107:$H$206,0),0)=0,"",INDEX(المحفظة!$D$107:$D$206,IFERROR(MATCH(16,المحفظة!$H$107:$H$206,0),0))),"")</f>
        <v/>
      </c>
      <c r="E72" s="108" t="inlineStr">
        <is>
          <t>—</t>
        </is>
      </c>
      <c r="F72" s="105">
        <f>IFERROR(IF(IFERROR(MATCH(16,المحفظة!$H$107:$H$206,0),0)=0,"",INDEX(المحفظة!$F$107:$F$206,IFERROR(MATCH(16,المحفظة!$H$107:$H$206,0),0))),"")</f>
        <v/>
      </c>
      <c r="G72" s="21" t="n"/>
    </row>
    <row r="73" hidden="1" ht="15" customHeight="1" s="165">
      <c r="A73" s="99">
        <f>IFERROR(IF(IFERROR(MATCH(17,المحفظة!$H$107:$H$206,0),0)=0,"",INDEX(المحفظة!$A$107:$A$206,IFERROR(MATCH(17,المحفظة!$H$107:$H$206,0),0))),"")</f>
        <v/>
      </c>
      <c r="B73" s="100">
        <f>IFERROR(IF(IFERROR(MATCH(17,المحفظة!$H$107:$H$206,0),0)=0,"",INDEX(المحفظة!$B$107:$B$206,IFERROR(MATCH(17,المحفظة!$H$107:$H$206,0),0))),"")</f>
        <v/>
      </c>
      <c r="C73" s="101">
        <f>IFERROR(IF(IFERROR(MATCH(17,المحفظة!$H$107:$H$206,0),0)=0,"",INDEX(المحفظة!$C$107:$C$206,IFERROR(MATCH(17,المحفظة!$H$107:$H$206,0),0))),"")</f>
        <v/>
      </c>
      <c r="D73" s="102">
        <f>IFERROR(IF(IFERROR(MATCH(17,المحفظة!$H$107:$H$206,0),0)=0,"",INDEX(المحفظة!$D$107:$D$206,IFERROR(MATCH(17,المحفظة!$H$107:$H$206,0),0))),"")</f>
        <v/>
      </c>
      <c r="E73" s="103" t="inlineStr">
        <is>
          <t>—</t>
        </is>
      </c>
      <c r="F73" s="100">
        <f>IFERROR(IF(IFERROR(MATCH(17,المحفظة!$H$107:$H$206,0),0)=0,"",INDEX(المحفظة!$F$107:$F$206,IFERROR(MATCH(17,المحفظة!$H$107:$H$206,0),0))),"")</f>
        <v/>
      </c>
      <c r="G73" s="16" t="n"/>
    </row>
    <row r="74" hidden="1" ht="15" customHeight="1" s="165">
      <c r="A74" s="104">
        <f>IFERROR(IF(IFERROR(MATCH(18,المحفظة!$H$107:$H$206,0),0)=0,"",INDEX(المحفظة!$A$107:$A$206,IFERROR(MATCH(18,المحفظة!$H$107:$H$206,0),0))),"")</f>
        <v/>
      </c>
      <c r="B74" s="105">
        <f>IFERROR(IF(IFERROR(MATCH(18,المحفظة!$H$107:$H$206,0),0)=0,"",INDEX(المحفظة!$B$107:$B$206,IFERROR(MATCH(18,المحفظة!$H$107:$H$206,0),0))),"")</f>
        <v/>
      </c>
      <c r="C74" s="106">
        <f>IFERROR(IF(IFERROR(MATCH(18,المحفظة!$H$107:$H$206,0),0)=0,"",INDEX(المحفظة!$C$107:$C$206,IFERROR(MATCH(18,المحفظة!$H$107:$H$206,0),0))),"")</f>
        <v/>
      </c>
      <c r="D74" s="107">
        <f>IFERROR(IF(IFERROR(MATCH(18,المحفظة!$H$107:$H$206,0),0)=0,"",INDEX(المحفظة!$D$107:$D$206,IFERROR(MATCH(18,المحفظة!$H$107:$H$206,0),0))),"")</f>
        <v/>
      </c>
      <c r="E74" s="108" t="inlineStr">
        <is>
          <t>—</t>
        </is>
      </c>
      <c r="F74" s="105">
        <f>IFERROR(IF(IFERROR(MATCH(18,المحفظة!$H$107:$H$206,0),0)=0,"",INDEX(المحفظة!$F$107:$F$206,IFERROR(MATCH(18,المحفظة!$H$107:$H$206,0),0))),"")</f>
        <v/>
      </c>
      <c r="G74" s="21" t="n"/>
    </row>
    <row r="75" hidden="1" ht="15" customHeight="1" s="165">
      <c r="A75" s="99">
        <f>IFERROR(IF(IFERROR(MATCH(19,المحفظة!$H$107:$H$206,0),0)=0,"",INDEX(المحفظة!$A$107:$A$206,IFERROR(MATCH(19,المحفظة!$H$107:$H$206,0),0))),"")</f>
        <v/>
      </c>
      <c r="B75" s="100">
        <f>IFERROR(IF(IFERROR(MATCH(19,المحفظة!$H$107:$H$206,0),0)=0,"",INDEX(المحفظة!$B$107:$B$206,IFERROR(MATCH(19,المحفظة!$H$107:$H$206,0),0))),"")</f>
        <v/>
      </c>
      <c r="C75" s="101">
        <f>IFERROR(IF(IFERROR(MATCH(19,المحفظة!$H$107:$H$206,0),0)=0,"",INDEX(المحفظة!$C$107:$C$206,IFERROR(MATCH(19,المحفظة!$H$107:$H$206,0),0))),"")</f>
        <v/>
      </c>
      <c r="D75" s="102">
        <f>IFERROR(IF(IFERROR(MATCH(19,المحفظة!$H$107:$H$206,0),0)=0,"",INDEX(المحفظة!$D$107:$D$206,IFERROR(MATCH(19,المحفظة!$H$107:$H$206,0),0))),"")</f>
        <v/>
      </c>
      <c r="E75" s="103" t="inlineStr">
        <is>
          <t>—</t>
        </is>
      </c>
      <c r="F75" s="100">
        <f>IFERROR(IF(IFERROR(MATCH(19,المحفظة!$H$107:$H$206,0),0)=0,"",INDEX(المحفظة!$F$107:$F$206,IFERROR(MATCH(19,المحفظة!$H$107:$H$206,0),0))),"")</f>
        <v/>
      </c>
      <c r="G75" s="16" t="n"/>
    </row>
    <row r="76" hidden="1" ht="15" customHeight="1" s="165">
      <c r="A76" s="104">
        <f>IFERROR(IF(IFERROR(MATCH(20,المحفظة!$H$107:$H$206,0),0)=0,"",INDEX(المحفظة!$A$107:$A$206,IFERROR(MATCH(20,المحفظة!$H$107:$H$206,0),0))),"")</f>
        <v/>
      </c>
      <c r="B76" s="105">
        <f>IFERROR(IF(IFERROR(MATCH(20,المحفظة!$H$107:$H$206,0),0)=0,"",INDEX(المحفظة!$B$107:$B$206,IFERROR(MATCH(20,المحفظة!$H$107:$H$206,0),0))),"")</f>
        <v/>
      </c>
      <c r="C76" s="106">
        <f>IFERROR(IF(IFERROR(MATCH(20,المحفظة!$H$107:$H$206,0),0)=0,"",INDEX(المحفظة!$C$107:$C$206,IFERROR(MATCH(20,المحفظة!$H$107:$H$206,0),0))),"")</f>
        <v/>
      </c>
      <c r="D76" s="107">
        <f>IFERROR(IF(IFERROR(MATCH(20,المحفظة!$H$107:$H$206,0),0)=0,"",INDEX(المحفظة!$D$107:$D$206,IFERROR(MATCH(20,المحفظة!$H$107:$H$206,0),0))),"")</f>
        <v/>
      </c>
      <c r="E76" s="108" t="inlineStr">
        <is>
          <t>—</t>
        </is>
      </c>
      <c r="F76" s="105">
        <f>IFERROR(IF(IFERROR(MATCH(20,المحفظة!$H$107:$H$206,0),0)=0,"",INDEX(المحفظة!$F$107:$F$206,IFERROR(MATCH(20,المحفظة!$H$107:$H$206,0),0))),"")</f>
        <v/>
      </c>
      <c r="G76" s="21" t="n"/>
    </row>
    <row r="77" hidden="1" ht="15" customHeight="1" s="165">
      <c r="A77" s="99">
        <f>IFERROR(IF(IFERROR(MATCH(21,المحفظة!$H$107:$H$206,0),0)=0,"",INDEX(المحفظة!$A$107:$A$206,IFERROR(MATCH(21,المحفظة!$H$107:$H$206,0),0))),"")</f>
        <v/>
      </c>
      <c r="B77" s="100">
        <f>IFERROR(IF(IFERROR(MATCH(21,المحفظة!$H$107:$H$206,0),0)=0,"",INDEX(المحفظة!$B$107:$B$206,IFERROR(MATCH(21,المحفظة!$H$107:$H$206,0),0))),"")</f>
        <v/>
      </c>
      <c r="C77" s="101">
        <f>IFERROR(IF(IFERROR(MATCH(21,المحفظة!$H$107:$H$206,0),0)=0,"",INDEX(المحفظة!$C$107:$C$206,IFERROR(MATCH(21,المحفظة!$H$107:$H$206,0),0))),"")</f>
        <v/>
      </c>
      <c r="D77" s="102">
        <f>IFERROR(IF(IFERROR(MATCH(21,المحفظة!$H$107:$H$206,0),0)=0,"",INDEX(المحفظة!$D$107:$D$206,IFERROR(MATCH(21,المحفظة!$H$107:$H$206,0),0))),"")</f>
        <v/>
      </c>
      <c r="E77" s="103" t="inlineStr">
        <is>
          <t>—</t>
        </is>
      </c>
      <c r="F77" s="100">
        <f>IFERROR(IF(IFERROR(MATCH(21,المحفظة!$H$107:$H$206,0),0)=0,"",INDEX(المحفظة!$F$107:$F$206,IFERROR(MATCH(21,المحفظة!$H$107:$H$206,0),0))),"")</f>
        <v/>
      </c>
      <c r="G77" s="16" t="n"/>
    </row>
    <row r="78" hidden="1" ht="15" customHeight="1" s="165">
      <c r="A78" s="104">
        <f>IFERROR(IF(IFERROR(MATCH(22,المحفظة!$H$107:$H$206,0),0)=0,"",INDEX(المحفظة!$A$107:$A$206,IFERROR(MATCH(22,المحفظة!$H$107:$H$206,0),0))),"")</f>
        <v/>
      </c>
      <c r="B78" s="105">
        <f>IFERROR(IF(IFERROR(MATCH(22,المحفظة!$H$107:$H$206,0),0)=0,"",INDEX(المحفظة!$B$107:$B$206,IFERROR(MATCH(22,المحفظة!$H$107:$H$206,0),0))),"")</f>
        <v/>
      </c>
      <c r="C78" s="106">
        <f>IFERROR(IF(IFERROR(MATCH(22,المحفظة!$H$107:$H$206,0),0)=0,"",INDEX(المحفظة!$C$107:$C$206,IFERROR(MATCH(22,المحفظة!$H$107:$H$206,0),0))),"")</f>
        <v/>
      </c>
      <c r="D78" s="107">
        <f>IFERROR(IF(IFERROR(MATCH(22,المحفظة!$H$107:$H$206,0),0)=0,"",INDEX(المحفظة!$D$107:$D$206,IFERROR(MATCH(22,المحفظة!$H$107:$H$206,0),0))),"")</f>
        <v/>
      </c>
      <c r="E78" s="108" t="inlineStr">
        <is>
          <t>—</t>
        </is>
      </c>
      <c r="F78" s="105">
        <f>IFERROR(IF(IFERROR(MATCH(22,المحفظة!$H$107:$H$206,0),0)=0,"",INDEX(المحفظة!$F$107:$F$206,IFERROR(MATCH(22,المحفظة!$H$107:$H$206,0),0))),"")</f>
        <v/>
      </c>
      <c r="G78" s="21" t="n"/>
    </row>
    <row r="79" hidden="1" ht="15" customHeight="1" s="165">
      <c r="A79" s="99">
        <f>IFERROR(IF(IFERROR(MATCH(23,المحفظة!$H$107:$H$206,0),0)=0,"",INDEX(المحفظة!$A$107:$A$206,IFERROR(MATCH(23,المحفظة!$H$107:$H$206,0),0))),"")</f>
        <v/>
      </c>
      <c r="B79" s="100">
        <f>IFERROR(IF(IFERROR(MATCH(23,المحفظة!$H$107:$H$206,0),0)=0,"",INDEX(المحفظة!$B$107:$B$206,IFERROR(MATCH(23,المحفظة!$H$107:$H$206,0),0))),"")</f>
        <v/>
      </c>
      <c r="C79" s="101">
        <f>IFERROR(IF(IFERROR(MATCH(23,المحفظة!$H$107:$H$206,0),0)=0,"",INDEX(المحفظة!$C$107:$C$206,IFERROR(MATCH(23,المحفظة!$H$107:$H$206,0),0))),"")</f>
        <v/>
      </c>
      <c r="D79" s="102">
        <f>IFERROR(IF(IFERROR(MATCH(23,المحفظة!$H$107:$H$206,0),0)=0,"",INDEX(المحفظة!$D$107:$D$206,IFERROR(MATCH(23,المحفظة!$H$107:$H$206,0),0))),"")</f>
        <v/>
      </c>
      <c r="E79" s="103" t="inlineStr">
        <is>
          <t>—</t>
        </is>
      </c>
      <c r="F79" s="100">
        <f>IFERROR(IF(IFERROR(MATCH(23,المحفظة!$H$107:$H$206,0),0)=0,"",INDEX(المحفظة!$F$107:$F$206,IFERROR(MATCH(23,المحفظة!$H$107:$H$206,0),0))),"")</f>
        <v/>
      </c>
      <c r="G79" s="16" t="n"/>
    </row>
    <row r="80" hidden="1" ht="15" customHeight="1" s="165">
      <c r="A80" s="104">
        <f>IFERROR(IF(IFERROR(MATCH(24,المحفظة!$H$107:$H$206,0),0)=0,"",INDEX(المحفظة!$A$107:$A$206,IFERROR(MATCH(24,المحفظة!$H$107:$H$206,0),0))),"")</f>
        <v/>
      </c>
      <c r="B80" s="105">
        <f>IFERROR(IF(IFERROR(MATCH(24,المحفظة!$H$107:$H$206,0),0)=0,"",INDEX(المحفظة!$B$107:$B$206,IFERROR(MATCH(24,المحفظة!$H$107:$H$206,0),0))),"")</f>
        <v/>
      </c>
      <c r="C80" s="106">
        <f>IFERROR(IF(IFERROR(MATCH(24,المحفظة!$H$107:$H$206,0),0)=0,"",INDEX(المحفظة!$C$107:$C$206,IFERROR(MATCH(24,المحفظة!$H$107:$H$206,0),0))),"")</f>
        <v/>
      </c>
      <c r="D80" s="107">
        <f>IFERROR(IF(IFERROR(MATCH(24,المحفظة!$H$107:$H$206,0),0)=0,"",INDEX(المحفظة!$D$107:$D$206,IFERROR(MATCH(24,المحفظة!$H$107:$H$206,0),0))),"")</f>
        <v/>
      </c>
      <c r="E80" s="108" t="inlineStr">
        <is>
          <t>—</t>
        </is>
      </c>
      <c r="F80" s="105">
        <f>IFERROR(IF(IFERROR(MATCH(24,المحفظة!$H$107:$H$206,0),0)=0,"",INDEX(المحفظة!$F$107:$F$206,IFERROR(MATCH(24,المحفظة!$H$107:$H$206,0),0))),"")</f>
        <v/>
      </c>
      <c r="G80" s="21" t="n"/>
    </row>
    <row r="81" hidden="1" ht="15" customHeight="1" s="165">
      <c r="A81" s="99">
        <f>IFERROR(IF(IFERROR(MATCH(25,المحفظة!$H$107:$H$206,0),0)=0,"",INDEX(المحفظة!$A$107:$A$206,IFERROR(MATCH(25,المحفظة!$H$107:$H$206,0),0))),"")</f>
        <v/>
      </c>
      <c r="B81" s="100">
        <f>IFERROR(IF(IFERROR(MATCH(25,المحفظة!$H$107:$H$206,0),0)=0,"",INDEX(المحفظة!$B$107:$B$206,IFERROR(MATCH(25,المحفظة!$H$107:$H$206,0),0))),"")</f>
        <v/>
      </c>
      <c r="C81" s="101">
        <f>IFERROR(IF(IFERROR(MATCH(25,المحفظة!$H$107:$H$206,0),0)=0,"",INDEX(المحفظة!$C$107:$C$206,IFERROR(MATCH(25,المحفظة!$H$107:$H$206,0),0))),"")</f>
        <v/>
      </c>
      <c r="D81" s="102">
        <f>IFERROR(IF(IFERROR(MATCH(25,المحفظة!$H$107:$H$206,0),0)=0,"",INDEX(المحفظة!$D$107:$D$206,IFERROR(MATCH(25,المحفظة!$H$107:$H$206,0),0))),"")</f>
        <v/>
      </c>
      <c r="E81" s="103" t="inlineStr">
        <is>
          <t>—</t>
        </is>
      </c>
      <c r="F81" s="100">
        <f>IFERROR(IF(IFERROR(MATCH(25,المحفظة!$H$107:$H$206,0),0)=0,"",INDEX(المحفظة!$F$107:$F$206,IFERROR(MATCH(25,المحفظة!$H$107:$H$206,0),0))),"")</f>
        <v/>
      </c>
      <c r="G81" s="16" t="n"/>
    </row>
    <row r="82" hidden="1" ht="15" customHeight="1" s="165">
      <c r="A82" s="104">
        <f>IFERROR(IF(IFERROR(MATCH(26,المحفظة!$H$107:$H$206,0),0)=0,"",INDEX(المحفظة!$A$107:$A$206,IFERROR(MATCH(26,المحفظة!$H$107:$H$206,0),0))),"")</f>
        <v/>
      </c>
      <c r="B82" s="105">
        <f>IFERROR(IF(IFERROR(MATCH(26,المحفظة!$H$107:$H$206,0),0)=0,"",INDEX(المحفظة!$B$107:$B$206,IFERROR(MATCH(26,المحفظة!$H$107:$H$206,0),0))),"")</f>
        <v/>
      </c>
      <c r="C82" s="106">
        <f>IFERROR(IF(IFERROR(MATCH(26,المحفظة!$H$107:$H$206,0),0)=0,"",INDEX(المحفظة!$C$107:$C$206,IFERROR(MATCH(26,المحفظة!$H$107:$H$206,0),0))),"")</f>
        <v/>
      </c>
      <c r="D82" s="107">
        <f>IFERROR(IF(IFERROR(MATCH(26,المحفظة!$H$107:$H$206,0),0)=0,"",INDEX(المحفظة!$D$107:$D$206,IFERROR(MATCH(26,المحفظة!$H$107:$H$206,0),0))),"")</f>
        <v/>
      </c>
      <c r="E82" s="108" t="inlineStr">
        <is>
          <t>—</t>
        </is>
      </c>
      <c r="F82" s="105">
        <f>IFERROR(IF(IFERROR(MATCH(26,المحفظة!$H$107:$H$206,0),0)=0,"",INDEX(المحفظة!$F$107:$F$206,IFERROR(MATCH(26,المحفظة!$H$107:$H$206,0),0))),"")</f>
        <v/>
      </c>
      <c r="G82" s="21" t="n"/>
    </row>
    <row r="83" hidden="1" ht="15" customHeight="1" s="165">
      <c r="A83" s="99">
        <f>IFERROR(IF(IFERROR(MATCH(27,المحفظة!$H$107:$H$206,0),0)=0,"",INDEX(المحفظة!$A$107:$A$206,IFERROR(MATCH(27,المحفظة!$H$107:$H$206,0),0))),"")</f>
        <v/>
      </c>
      <c r="B83" s="100">
        <f>IFERROR(IF(IFERROR(MATCH(27,المحفظة!$H$107:$H$206,0),0)=0,"",INDEX(المحفظة!$B$107:$B$206,IFERROR(MATCH(27,المحفظة!$H$107:$H$206,0),0))),"")</f>
        <v/>
      </c>
      <c r="C83" s="101">
        <f>IFERROR(IF(IFERROR(MATCH(27,المحفظة!$H$107:$H$206,0),0)=0,"",INDEX(المحفظة!$C$107:$C$206,IFERROR(MATCH(27,المحفظة!$H$107:$H$206,0),0))),"")</f>
        <v/>
      </c>
      <c r="D83" s="102">
        <f>IFERROR(IF(IFERROR(MATCH(27,المحفظة!$H$107:$H$206,0),0)=0,"",INDEX(المحفظة!$D$107:$D$206,IFERROR(MATCH(27,المحفظة!$H$107:$H$206,0),0))),"")</f>
        <v/>
      </c>
      <c r="E83" s="103" t="inlineStr">
        <is>
          <t>—</t>
        </is>
      </c>
      <c r="F83" s="100">
        <f>IFERROR(IF(IFERROR(MATCH(27,المحفظة!$H$107:$H$206,0),0)=0,"",INDEX(المحفظة!$F$107:$F$206,IFERROR(MATCH(27,المحفظة!$H$107:$H$206,0),0))),"")</f>
        <v/>
      </c>
      <c r="G83" s="16" t="n"/>
    </row>
    <row r="84" hidden="1" ht="15" customHeight="1" s="165">
      <c r="A84" s="104">
        <f>IFERROR(IF(IFERROR(MATCH(28,المحفظة!$H$107:$H$206,0),0)=0,"",INDEX(المحفظة!$A$107:$A$206,IFERROR(MATCH(28,المحفظة!$H$107:$H$206,0),0))),"")</f>
        <v/>
      </c>
      <c r="B84" s="105">
        <f>IFERROR(IF(IFERROR(MATCH(28,المحفظة!$H$107:$H$206,0),0)=0,"",INDEX(المحفظة!$B$107:$B$206,IFERROR(MATCH(28,المحفظة!$H$107:$H$206,0),0))),"")</f>
        <v/>
      </c>
      <c r="C84" s="106">
        <f>IFERROR(IF(IFERROR(MATCH(28,المحفظة!$H$107:$H$206,0),0)=0,"",INDEX(المحفظة!$C$107:$C$206,IFERROR(MATCH(28,المحفظة!$H$107:$H$206,0),0))),"")</f>
        <v/>
      </c>
      <c r="D84" s="107">
        <f>IFERROR(IF(IFERROR(MATCH(28,المحفظة!$H$107:$H$206,0),0)=0,"",INDEX(المحفظة!$D$107:$D$206,IFERROR(MATCH(28,المحفظة!$H$107:$H$206,0),0))),"")</f>
        <v/>
      </c>
      <c r="E84" s="108" t="inlineStr">
        <is>
          <t>—</t>
        </is>
      </c>
      <c r="F84" s="105">
        <f>IFERROR(IF(IFERROR(MATCH(28,المحفظة!$H$107:$H$206,0),0)=0,"",INDEX(المحفظة!$F$107:$F$206,IFERROR(MATCH(28,المحفظة!$H$107:$H$206,0),0))),"")</f>
        <v/>
      </c>
      <c r="G84" s="21" t="n"/>
    </row>
    <row r="85" hidden="1" ht="15" customHeight="1" s="165">
      <c r="A85" s="99">
        <f>IFERROR(IF(IFERROR(MATCH(29,المحفظة!$H$107:$H$206,0),0)=0,"",INDEX(المحفظة!$A$107:$A$206,IFERROR(MATCH(29,المحفظة!$H$107:$H$206,0),0))),"")</f>
        <v/>
      </c>
      <c r="B85" s="100">
        <f>IFERROR(IF(IFERROR(MATCH(29,المحفظة!$H$107:$H$206,0),0)=0,"",INDEX(المحفظة!$B$107:$B$206,IFERROR(MATCH(29,المحفظة!$H$107:$H$206,0),0))),"")</f>
        <v/>
      </c>
      <c r="C85" s="101">
        <f>IFERROR(IF(IFERROR(MATCH(29,المحفظة!$H$107:$H$206,0),0)=0,"",INDEX(المحفظة!$C$107:$C$206,IFERROR(MATCH(29,المحفظة!$H$107:$H$206,0),0))),"")</f>
        <v/>
      </c>
      <c r="D85" s="102">
        <f>IFERROR(IF(IFERROR(MATCH(29,المحفظة!$H$107:$H$206,0),0)=0,"",INDEX(المحفظة!$D$107:$D$206,IFERROR(MATCH(29,المحفظة!$H$107:$H$206,0),0))),"")</f>
        <v/>
      </c>
      <c r="E85" s="103" t="inlineStr">
        <is>
          <t>—</t>
        </is>
      </c>
      <c r="F85" s="100">
        <f>IFERROR(IF(IFERROR(MATCH(29,المحفظة!$H$107:$H$206,0),0)=0,"",INDEX(المحفظة!$F$107:$F$206,IFERROR(MATCH(29,المحفظة!$H$107:$H$206,0),0))),"")</f>
        <v/>
      </c>
      <c r="G85" s="16" t="n"/>
    </row>
    <row r="86" hidden="1" ht="15" customHeight="1" s="165">
      <c r="A86" s="104">
        <f>IFERROR(IF(IFERROR(MATCH(30,المحفظة!$H$107:$H$206,0),0)=0,"",INDEX(المحفظة!$A$107:$A$206,IFERROR(MATCH(30,المحفظة!$H$107:$H$206,0),0))),"")</f>
        <v/>
      </c>
      <c r="B86" s="105">
        <f>IFERROR(IF(IFERROR(MATCH(30,المحفظة!$H$107:$H$206,0),0)=0,"",INDEX(المحفظة!$B$107:$B$206,IFERROR(MATCH(30,المحفظة!$H$107:$H$206,0),0))),"")</f>
        <v/>
      </c>
      <c r="C86" s="106">
        <f>IFERROR(IF(IFERROR(MATCH(30,المحفظة!$H$107:$H$206,0),0)=0,"",INDEX(المحفظة!$C$107:$C$206,IFERROR(MATCH(30,المحفظة!$H$107:$H$206,0),0))),"")</f>
        <v/>
      </c>
      <c r="D86" s="107">
        <f>IFERROR(IF(IFERROR(MATCH(30,المحفظة!$H$107:$H$206,0),0)=0,"",INDEX(المحفظة!$D$107:$D$206,IFERROR(MATCH(30,المحفظة!$H$107:$H$206,0),0))),"")</f>
        <v/>
      </c>
      <c r="E86" s="108" t="inlineStr">
        <is>
          <t>—</t>
        </is>
      </c>
      <c r="F86" s="105">
        <f>IFERROR(IF(IFERROR(MATCH(30,المحفظة!$H$107:$H$206,0),0)=0,"",INDEX(المحفظة!$F$107:$F$206,IFERROR(MATCH(30,المحفظة!$H$107:$H$206,0),0))),"")</f>
        <v/>
      </c>
      <c r="G86" s="21" t="n"/>
    </row>
    <row r="87" hidden="1" ht="15" customHeight="1" s="165">
      <c r="A87" s="99">
        <f>IFERROR(IF(IFERROR(MATCH(31,المحفظة!$H$107:$H$206,0),0)=0,"",INDEX(المحفظة!$A$107:$A$206,IFERROR(MATCH(31,المحفظة!$H$107:$H$206,0),0))),"")</f>
        <v/>
      </c>
      <c r="B87" s="100">
        <f>IFERROR(IF(IFERROR(MATCH(31,المحفظة!$H$107:$H$206,0),0)=0,"",INDEX(المحفظة!$B$107:$B$206,IFERROR(MATCH(31,المحفظة!$H$107:$H$206,0),0))),"")</f>
        <v/>
      </c>
      <c r="C87" s="101">
        <f>IFERROR(IF(IFERROR(MATCH(31,المحفظة!$H$107:$H$206,0),0)=0,"",INDEX(المحفظة!$C$107:$C$206,IFERROR(MATCH(31,المحفظة!$H$107:$H$206,0),0))),"")</f>
        <v/>
      </c>
      <c r="D87" s="102">
        <f>IFERROR(IF(IFERROR(MATCH(31,المحفظة!$H$107:$H$206,0),0)=0,"",INDEX(المحفظة!$D$107:$D$206,IFERROR(MATCH(31,المحفظة!$H$107:$H$206,0),0))),"")</f>
        <v/>
      </c>
      <c r="E87" s="103" t="inlineStr">
        <is>
          <t>—</t>
        </is>
      </c>
      <c r="F87" s="100">
        <f>IFERROR(IF(IFERROR(MATCH(31,المحفظة!$H$107:$H$206,0),0)=0,"",INDEX(المحفظة!$F$107:$F$206,IFERROR(MATCH(31,المحفظة!$H$107:$H$206,0),0))),"")</f>
        <v/>
      </c>
      <c r="G87" s="16" t="n"/>
    </row>
    <row r="88" hidden="1" ht="15" customHeight="1" s="165">
      <c r="A88" s="104">
        <f>IFERROR(IF(IFERROR(MATCH(32,المحفظة!$H$107:$H$206,0),0)=0,"",INDEX(المحفظة!$A$107:$A$206,IFERROR(MATCH(32,المحفظة!$H$107:$H$206,0),0))),"")</f>
        <v/>
      </c>
      <c r="B88" s="105">
        <f>IFERROR(IF(IFERROR(MATCH(32,المحفظة!$H$107:$H$206,0),0)=0,"",INDEX(المحفظة!$B$107:$B$206,IFERROR(MATCH(32,المحفظة!$H$107:$H$206,0),0))),"")</f>
        <v/>
      </c>
      <c r="C88" s="106">
        <f>IFERROR(IF(IFERROR(MATCH(32,المحفظة!$H$107:$H$206,0),0)=0,"",INDEX(المحفظة!$C$107:$C$206,IFERROR(MATCH(32,المحفظة!$H$107:$H$206,0),0))),"")</f>
        <v/>
      </c>
      <c r="D88" s="107">
        <f>IFERROR(IF(IFERROR(MATCH(32,المحفظة!$H$107:$H$206,0),0)=0,"",INDEX(المحفظة!$D$107:$D$206,IFERROR(MATCH(32,المحفظة!$H$107:$H$206,0),0))),"")</f>
        <v/>
      </c>
      <c r="E88" s="108" t="inlineStr">
        <is>
          <t>—</t>
        </is>
      </c>
      <c r="F88" s="105">
        <f>IFERROR(IF(IFERROR(MATCH(32,المحفظة!$H$107:$H$206,0),0)=0,"",INDEX(المحفظة!$F$107:$F$206,IFERROR(MATCH(32,المحفظة!$H$107:$H$206,0),0))),"")</f>
        <v/>
      </c>
      <c r="G88" s="21" t="n"/>
    </row>
    <row r="89" hidden="1" ht="15" customHeight="1" s="165">
      <c r="A89" s="99">
        <f>IFERROR(IF(IFERROR(MATCH(33,المحفظة!$H$107:$H$206,0),0)=0,"",INDEX(المحفظة!$A$107:$A$206,IFERROR(MATCH(33,المحفظة!$H$107:$H$206,0),0))),"")</f>
        <v/>
      </c>
      <c r="B89" s="100">
        <f>IFERROR(IF(IFERROR(MATCH(33,المحفظة!$H$107:$H$206,0),0)=0,"",INDEX(المحفظة!$B$107:$B$206,IFERROR(MATCH(33,المحفظة!$H$107:$H$206,0),0))),"")</f>
        <v/>
      </c>
      <c r="C89" s="101">
        <f>IFERROR(IF(IFERROR(MATCH(33,المحفظة!$H$107:$H$206,0),0)=0,"",INDEX(المحفظة!$C$107:$C$206,IFERROR(MATCH(33,المحفظة!$H$107:$H$206,0),0))),"")</f>
        <v/>
      </c>
      <c r="D89" s="102">
        <f>IFERROR(IF(IFERROR(MATCH(33,المحفظة!$H$107:$H$206,0),0)=0,"",INDEX(المحفظة!$D$107:$D$206,IFERROR(MATCH(33,المحفظة!$H$107:$H$206,0),0))),"")</f>
        <v/>
      </c>
      <c r="E89" s="103" t="inlineStr">
        <is>
          <t>—</t>
        </is>
      </c>
      <c r="F89" s="100">
        <f>IFERROR(IF(IFERROR(MATCH(33,المحفظة!$H$107:$H$206,0),0)=0,"",INDEX(المحفظة!$F$107:$F$206,IFERROR(MATCH(33,المحفظة!$H$107:$H$206,0),0))),"")</f>
        <v/>
      </c>
      <c r="G89" s="16" t="n"/>
    </row>
    <row r="90" hidden="1" ht="15" customHeight="1" s="165">
      <c r="A90" s="104">
        <f>IFERROR(IF(IFERROR(MATCH(34,المحفظة!$H$107:$H$206,0),0)=0,"",INDEX(المحفظة!$A$107:$A$206,IFERROR(MATCH(34,المحفظة!$H$107:$H$206,0),0))),"")</f>
        <v/>
      </c>
      <c r="B90" s="105">
        <f>IFERROR(IF(IFERROR(MATCH(34,المحفظة!$H$107:$H$206,0),0)=0,"",INDEX(المحفظة!$B$107:$B$206,IFERROR(MATCH(34,المحفظة!$H$107:$H$206,0),0))),"")</f>
        <v/>
      </c>
      <c r="C90" s="106">
        <f>IFERROR(IF(IFERROR(MATCH(34,المحفظة!$H$107:$H$206,0),0)=0,"",INDEX(المحفظة!$C$107:$C$206,IFERROR(MATCH(34,المحفظة!$H$107:$H$206,0),0))),"")</f>
        <v/>
      </c>
      <c r="D90" s="107">
        <f>IFERROR(IF(IFERROR(MATCH(34,المحفظة!$H$107:$H$206,0),0)=0,"",INDEX(المحفظة!$D$107:$D$206,IFERROR(MATCH(34,المحفظة!$H$107:$H$206,0),0))),"")</f>
        <v/>
      </c>
      <c r="E90" s="108" t="inlineStr">
        <is>
          <t>—</t>
        </is>
      </c>
      <c r="F90" s="105">
        <f>IFERROR(IF(IFERROR(MATCH(34,المحفظة!$H$107:$H$206,0),0)=0,"",INDEX(المحفظة!$F$107:$F$206,IFERROR(MATCH(34,المحفظة!$H$107:$H$206,0),0))),"")</f>
        <v/>
      </c>
      <c r="G90" s="21" t="n"/>
    </row>
    <row r="91" hidden="1" ht="15" customHeight="1" s="165">
      <c r="A91" s="99">
        <f>IFERROR(IF(IFERROR(MATCH(35,المحفظة!$H$107:$H$206,0),0)=0,"",INDEX(المحفظة!$A$107:$A$206,IFERROR(MATCH(35,المحفظة!$H$107:$H$206,0),0))),"")</f>
        <v/>
      </c>
      <c r="B91" s="100">
        <f>IFERROR(IF(IFERROR(MATCH(35,المحفظة!$H$107:$H$206,0),0)=0,"",INDEX(المحفظة!$B$107:$B$206,IFERROR(MATCH(35,المحفظة!$H$107:$H$206,0),0))),"")</f>
        <v/>
      </c>
      <c r="C91" s="101">
        <f>IFERROR(IF(IFERROR(MATCH(35,المحفظة!$H$107:$H$206,0),0)=0,"",INDEX(المحفظة!$C$107:$C$206,IFERROR(MATCH(35,المحفظة!$H$107:$H$206,0),0))),"")</f>
        <v/>
      </c>
      <c r="D91" s="102">
        <f>IFERROR(IF(IFERROR(MATCH(35,المحفظة!$H$107:$H$206,0),0)=0,"",INDEX(المحفظة!$D$107:$D$206,IFERROR(MATCH(35,المحفظة!$H$107:$H$206,0),0))),"")</f>
        <v/>
      </c>
      <c r="E91" s="103" t="inlineStr">
        <is>
          <t>—</t>
        </is>
      </c>
      <c r="F91" s="100">
        <f>IFERROR(IF(IFERROR(MATCH(35,المحفظة!$H$107:$H$206,0),0)=0,"",INDEX(المحفظة!$F$107:$F$206,IFERROR(MATCH(35,المحفظة!$H$107:$H$206,0),0))),"")</f>
        <v/>
      </c>
      <c r="G91" s="16" t="n"/>
    </row>
    <row r="92" hidden="1" ht="15" customHeight="1" s="165">
      <c r="A92" s="104">
        <f>IFERROR(IF(IFERROR(MATCH(36,المحفظة!$H$107:$H$206,0),0)=0,"",INDEX(المحفظة!$A$107:$A$206,IFERROR(MATCH(36,المحفظة!$H$107:$H$206,0),0))),"")</f>
        <v/>
      </c>
      <c r="B92" s="105">
        <f>IFERROR(IF(IFERROR(MATCH(36,المحفظة!$H$107:$H$206,0),0)=0,"",INDEX(المحفظة!$B$107:$B$206,IFERROR(MATCH(36,المحفظة!$H$107:$H$206,0),0))),"")</f>
        <v/>
      </c>
      <c r="C92" s="106">
        <f>IFERROR(IF(IFERROR(MATCH(36,المحفظة!$H$107:$H$206,0),0)=0,"",INDEX(المحفظة!$C$107:$C$206,IFERROR(MATCH(36,المحفظة!$H$107:$H$206,0),0))),"")</f>
        <v/>
      </c>
      <c r="D92" s="107">
        <f>IFERROR(IF(IFERROR(MATCH(36,المحفظة!$H$107:$H$206,0),0)=0,"",INDEX(المحفظة!$D$107:$D$206,IFERROR(MATCH(36,المحفظة!$H$107:$H$206,0),0))),"")</f>
        <v/>
      </c>
      <c r="E92" s="108" t="inlineStr">
        <is>
          <t>—</t>
        </is>
      </c>
      <c r="F92" s="105">
        <f>IFERROR(IF(IFERROR(MATCH(36,المحفظة!$H$107:$H$206,0),0)=0,"",INDEX(المحفظة!$F$107:$F$206,IFERROR(MATCH(36,المحفظة!$H$107:$H$206,0),0))),"")</f>
        <v/>
      </c>
      <c r="G92" s="21" t="n"/>
    </row>
    <row r="93" hidden="1" ht="15" customHeight="1" s="165">
      <c r="A93" s="99">
        <f>IFERROR(IF(IFERROR(MATCH(37,المحفظة!$H$107:$H$206,0),0)=0,"",INDEX(المحفظة!$A$107:$A$206,IFERROR(MATCH(37,المحفظة!$H$107:$H$206,0),0))),"")</f>
        <v/>
      </c>
      <c r="B93" s="100">
        <f>IFERROR(IF(IFERROR(MATCH(37,المحفظة!$H$107:$H$206,0),0)=0,"",INDEX(المحفظة!$B$107:$B$206,IFERROR(MATCH(37,المحفظة!$H$107:$H$206,0),0))),"")</f>
        <v/>
      </c>
      <c r="C93" s="101">
        <f>IFERROR(IF(IFERROR(MATCH(37,المحفظة!$H$107:$H$206,0),0)=0,"",INDEX(المحفظة!$C$107:$C$206,IFERROR(MATCH(37,المحفظة!$H$107:$H$206,0),0))),"")</f>
        <v/>
      </c>
      <c r="D93" s="102">
        <f>IFERROR(IF(IFERROR(MATCH(37,المحفظة!$H$107:$H$206,0),0)=0,"",INDEX(المحفظة!$D$107:$D$206,IFERROR(MATCH(37,المحفظة!$H$107:$H$206,0),0))),"")</f>
        <v/>
      </c>
      <c r="E93" s="103" t="inlineStr">
        <is>
          <t>—</t>
        </is>
      </c>
      <c r="F93" s="100">
        <f>IFERROR(IF(IFERROR(MATCH(37,المحفظة!$H$107:$H$206,0),0)=0,"",INDEX(المحفظة!$F$107:$F$206,IFERROR(MATCH(37,المحفظة!$H$107:$H$206,0),0))),"")</f>
        <v/>
      </c>
      <c r="G93" s="16" t="n"/>
    </row>
    <row r="94" hidden="1" ht="15" customHeight="1" s="165">
      <c r="A94" s="104">
        <f>IFERROR(IF(IFERROR(MATCH(38,المحفظة!$H$107:$H$206,0),0)=0,"",INDEX(المحفظة!$A$107:$A$206,IFERROR(MATCH(38,المحفظة!$H$107:$H$206,0),0))),"")</f>
        <v/>
      </c>
      <c r="B94" s="105">
        <f>IFERROR(IF(IFERROR(MATCH(38,المحفظة!$H$107:$H$206,0),0)=0,"",INDEX(المحفظة!$B$107:$B$206,IFERROR(MATCH(38,المحفظة!$H$107:$H$206,0),0))),"")</f>
        <v/>
      </c>
      <c r="C94" s="106">
        <f>IFERROR(IF(IFERROR(MATCH(38,المحفظة!$H$107:$H$206,0),0)=0,"",INDEX(المحفظة!$C$107:$C$206,IFERROR(MATCH(38,المحفظة!$H$107:$H$206,0),0))),"")</f>
        <v/>
      </c>
      <c r="D94" s="107">
        <f>IFERROR(IF(IFERROR(MATCH(38,المحفظة!$H$107:$H$206,0),0)=0,"",INDEX(المحفظة!$D$107:$D$206,IFERROR(MATCH(38,المحفظة!$H$107:$H$206,0),0))),"")</f>
        <v/>
      </c>
      <c r="E94" s="108" t="inlineStr">
        <is>
          <t>—</t>
        </is>
      </c>
      <c r="F94" s="105">
        <f>IFERROR(IF(IFERROR(MATCH(38,المحفظة!$H$107:$H$206,0),0)=0,"",INDEX(المحفظة!$F$107:$F$206,IFERROR(MATCH(38,المحفظة!$H$107:$H$206,0),0))),"")</f>
        <v/>
      </c>
      <c r="G94" s="21" t="n"/>
    </row>
    <row r="95" hidden="1" ht="15" customHeight="1" s="165">
      <c r="A95" s="99">
        <f>IFERROR(IF(IFERROR(MATCH(39,المحفظة!$H$107:$H$206,0),0)=0,"",INDEX(المحفظة!$A$107:$A$206,IFERROR(MATCH(39,المحفظة!$H$107:$H$206,0),0))),"")</f>
        <v/>
      </c>
      <c r="B95" s="100">
        <f>IFERROR(IF(IFERROR(MATCH(39,المحفظة!$H$107:$H$206,0),0)=0,"",INDEX(المحفظة!$B$107:$B$206,IFERROR(MATCH(39,المحفظة!$H$107:$H$206,0),0))),"")</f>
        <v/>
      </c>
      <c r="C95" s="101">
        <f>IFERROR(IF(IFERROR(MATCH(39,المحفظة!$H$107:$H$206,0),0)=0,"",INDEX(المحفظة!$C$107:$C$206,IFERROR(MATCH(39,المحفظة!$H$107:$H$206,0),0))),"")</f>
        <v/>
      </c>
      <c r="D95" s="102">
        <f>IFERROR(IF(IFERROR(MATCH(39,المحفظة!$H$107:$H$206,0),0)=0,"",INDEX(المحفظة!$D$107:$D$206,IFERROR(MATCH(39,المحفظة!$H$107:$H$206,0),0))),"")</f>
        <v/>
      </c>
      <c r="E95" s="103" t="inlineStr">
        <is>
          <t>—</t>
        </is>
      </c>
      <c r="F95" s="100">
        <f>IFERROR(IF(IFERROR(MATCH(39,المحفظة!$H$107:$H$206,0),0)=0,"",INDEX(المحفظة!$F$107:$F$206,IFERROR(MATCH(39,المحفظة!$H$107:$H$206,0),0))),"")</f>
        <v/>
      </c>
      <c r="G95" s="16" t="n"/>
    </row>
    <row r="96" hidden="1" ht="15" customHeight="1" s="165">
      <c r="A96" s="104">
        <f>IFERROR(IF(IFERROR(MATCH(40,المحفظة!$H$107:$H$206,0),0)=0,"",INDEX(المحفظة!$A$107:$A$206,IFERROR(MATCH(40,المحفظة!$H$107:$H$206,0),0))),"")</f>
        <v/>
      </c>
      <c r="B96" s="105">
        <f>IFERROR(IF(IFERROR(MATCH(40,المحفظة!$H$107:$H$206,0),0)=0,"",INDEX(المحفظة!$B$107:$B$206,IFERROR(MATCH(40,المحفظة!$H$107:$H$206,0),0))),"")</f>
        <v/>
      </c>
      <c r="C96" s="106">
        <f>IFERROR(IF(IFERROR(MATCH(40,المحفظة!$H$107:$H$206,0),0)=0,"",INDEX(المحفظة!$C$107:$C$206,IFERROR(MATCH(40,المحفظة!$H$107:$H$206,0),0))),"")</f>
        <v/>
      </c>
      <c r="D96" s="107">
        <f>IFERROR(IF(IFERROR(MATCH(40,المحفظة!$H$107:$H$206,0),0)=0,"",INDEX(المحفظة!$D$107:$D$206,IFERROR(MATCH(40,المحفظة!$H$107:$H$206,0),0))),"")</f>
        <v/>
      </c>
      <c r="E96" s="108" t="inlineStr">
        <is>
          <t>—</t>
        </is>
      </c>
      <c r="F96" s="105">
        <f>IFERROR(IF(IFERROR(MATCH(40,المحفظة!$H$107:$H$206,0),0)=0,"",INDEX(المحفظة!$F$107:$F$206,IFERROR(MATCH(40,المحفظة!$H$107:$H$206,0),0))),"")</f>
        <v/>
      </c>
      <c r="G96" s="21" t="n"/>
    </row>
    <row r="97" hidden="1" ht="15" customHeight="1" s="165">
      <c r="A97" s="99">
        <f>IFERROR(IF(IFERROR(MATCH(41,المحفظة!$H$107:$H$206,0),0)=0,"",INDEX(المحفظة!$A$107:$A$206,IFERROR(MATCH(41,المحفظة!$H$107:$H$206,0),0))),"")</f>
        <v/>
      </c>
      <c r="B97" s="100">
        <f>IFERROR(IF(IFERROR(MATCH(41,المحفظة!$H$107:$H$206,0),0)=0,"",INDEX(المحفظة!$B$107:$B$206,IFERROR(MATCH(41,المحفظة!$H$107:$H$206,0),0))),"")</f>
        <v/>
      </c>
      <c r="C97" s="101">
        <f>IFERROR(IF(IFERROR(MATCH(41,المحفظة!$H$107:$H$206,0),0)=0,"",INDEX(المحفظة!$C$107:$C$206,IFERROR(MATCH(41,المحفظة!$H$107:$H$206,0),0))),"")</f>
        <v/>
      </c>
      <c r="D97" s="102">
        <f>IFERROR(IF(IFERROR(MATCH(41,المحفظة!$H$107:$H$206,0),0)=0,"",INDEX(المحفظة!$D$107:$D$206,IFERROR(MATCH(41,المحفظة!$H$107:$H$206,0),0))),"")</f>
        <v/>
      </c>
      <c r="E97" s="103" t="inlineStr">
        <is>
          <t>—</t>
        </is>
      </c>
      <c r="F97" s="100">
        <f>IFERROR(IF(IFERROR(MATCH(41,المحفظة!$H$107:$H$206,0),0)=0,"",INDEX(المحفظة!$F$107:$F$206,IFERROR(MATCH(41,المحفظة!$H$107:$H$206,0),0))),"")</f>
        <v/>
      </c>
      <c r="G97" s="16" t="n"/>
    </row>
    <row r="98" hidden="1" ht="15" customHeight="1" s="165">
      <c r="A98" s="104">
        <f>IFERROR(IF(IFERROR(MATCH(42,المحفظة!$H$107:$H$206,0),0)=0,"",INDEX(المحفظة!$A$107:$A$206,IFERROR(MATCH(42,المحفظة!$H$107:$H$206,0),0))),"")</f>
        <v/>
      </c>
      <c r="B98" s="105">
        <f>IFERROR(IF(IFERROR(MATCH(42,المحفظة!$H$107:$H$206,0),0)=0,"",INDEX(المحفظة!$B$107:$B$206,IFERROR(MATCH(42,المحفظة!$H$107:$H$206,0),0))),"")</f>
        <v/>
      </c>
      <c r="C98" s="106">
        <f>IFERROR(IF(IFERROR(MATCH(42,المحفظة!$H$107:$H$206,0),0)=0,"",INDEX(المحفظة!$C$107:$C$206,IFERROR(MATCH(42,المحفظة!$H$107:$H$206,0),0))),"")</f>
        <v/>
      </c>
      <c r="D98" s="107">
        <f>IFERROR(IF(IFERROR(MATCH(42,المحفظة!$H$107:$H$206,0),0)=0,"",INDEX(المحفظة!$D$107:$D$206,IFERROR(MATCH(42,المحفظة!$H$107:$H$206,0),0))),"")</f>
        <v/>
      </c>
      <c r="E98" s="108" t="inlineStr">
        <is>
          <t>—</t>
        </is>
      </c>
      <c r="F98" s="105">
        <f>IFERROR(IF(IFERROR(MATCH(42,المحفظة!$H$107:$H$206,0),0)=0,"",INDEX(المحفظة!$F$107:$F$206,IFERROR(MATCH(42,المحفظة!$H$107:$H$206,0),0))),"")</f>
        <v/>
      </c>
      <c r="G98" s="21" t="n"/>
    </row>
    <row r="99" hidden="1" ht="15" customHeight="1" s="165">
      <c r="A99" s="99">
        <f>IFERROR(IF(IFERROR(MATCH(43,المحفظة!$H$107:$H$206,0),0)=0,"",INDEX(المحفظة!$A$107:$A$206,IFERROR(MATCH(43,المحفظة!$H$107:$H$206,0),0))),"")</f>
        <v/>
      </c>
      <c r="B99" s="100">
        <f>IFERROR(IF(IFERROR(MATCH(43,المحفظة!$H$107:$H$206,0),0)=0,"",INDEX(المحفظة!$B$107:$B$206,IFERROR(MATCH(43,المحفظة!$H$107:$H$206,0),0))),"")</f>
        <v/>
      </c>
      <c r="C99" s="101">
        <f>IFERROR(IF(IFERROR(MATCH(43,المحفظة!$H$107:$H$206,0),0)=0,"",INDEX(المحفظة!$C$107:$C$206,IFERROR(MATCH(43,المحفظة!$H$107:$H$206,0),0))),"")</f>
        <v/>
      </c>
      <c r="D99" s="102">
        <f>IFERROR(IF(IFERROR(MATCH(43,المحفظة!$H$107:$H$206,0),0)=0,"",INDEX(المحفظة!$D$107:$D$206,IFERROR(MATCH(43,المحفظة!$H$107:$H$206,0),0))),"")</f>
        <v/>
      </c>
      <c r="E99" s="103" t="inlineStr">
        <is>
          <t>—</t>
        </is>
      </c>
      <c r="F99" s="100">
        <f>IFERROR(IF(IFERROR(MATCH(43,المحفظة!$H$107:$H$206,0),0)=0,"",INDEX(المحفظة!$F$107:$F$206,IFERROR(MATCH(43,المحفظة!$H$107:$H$206,0),0))),"")</f>
        <v/>
      </c>
      <c r="G99" s="16" t="n"/>
    </row>
    <row r="100" hidden="1" ht="15" customHeight="1" s="165">
      <c r="A100" s="104">
        <f>IFERROR(IF(IFERROR(MATCH(44,المحفظة!$H$107:$H$206,0),0)=0,"",INDEX(المحفظة!$A$107:$A$206,IFERROR(MATCH(44,المحفظة!$H$107:$H$206,0),0))),"")</f>
        <v/>
      </c>
      <c r="B100" s="105">
        <f>IFERROR(IF(IFERROR(MATCH(44,المحفظة!$H$107:$H$206,0),0)=0,"",INDEX(المحفظة!$B$107:$B$206,IFERROR(MATCH(44,المحفظة!$H$107:$H$206,0),0))),"")</f>
        <v/>
      </c>
      <c r="C100" s="106">
        <f>IFERROR(IF(IFERROR(MATCH(44,المحفظة!$H$107:$H$206,0),0)=0,"",INDEX(المحفظة!$C$107:$C$206,IFERROR(MATCH(44,المحفظة!$H$107:$H$206,0),0))),"")</f>
        <v/>
      </c>
      <c r="D100" s="107">
        <f>IFERROR(IF(IFERROR(MATCH(44,المحفظة!$H$107:$H$206,0),0)=0,"",INDEX(المحفظة!$D$107:$D$206,IFERROR(MATCH(44,المحفظة!$H$107:$H$206,0),0))),"")</f>
        <v/>
      </c>
      <c r="E100" s="108" t="inlineStr">
        <is>
          <t>—</t>
        </is>
      </c>
      <c r="F100" s="105">
        <f>IFERROR(IF(IFERROR(MATCH(44,المحفظة!$H$107:$H$206,0),0)=0,"",INDEX(المحفظة!$F$107:$F$206,IFERROR(MATCH(44,المحفظة!$H$107:$H$206,0),0))),"")</f>
        <v/>
      </c>
      <c r="G100" s="21" t="n"/>
    </row>
    <row r="101" hidden="1" ht="15" customHeight="1" s="165">
      <c r="A101" s="99">
        <f>IFERROR(IF(IFERROR(MATCH(45,المحفظة!$H$107:$H$206,0),0)=0,"",INDEX(المحفظة!$A$107:$A$206,IFERROR(MATCH(45,المحفظة!$H$107:$H$206,0),0))),"")</f>
        <v/>
      </c>
      <c r="B101" s="100">
        <f>IFERROR(IF(IFERROR(MATCH(45,المحفظة!$H$107:$H$206,0),0)=0,"",INDEX(المحفظة!$B$107:$B$206,IFERROR(MATCH(45,المحفظة!$H$107:$H$206,0),0))),"")</f>
        <v/>
      </c>
      <c r="C101" s="101">
        <f>IFERROR(IF(IFERROR(MATCH(45,المحفظة!$H$107:$H$206,0),0)=0,"",INDEX(المحفظة!$C$107:$C$206,IFERROR(MATCH(45,المحفظة!$H$107:$H$206,0),0))),"")</f>
        <v/>
      </c>
      <c r="D101" s="102">
        <f>IFERROR(IF(IFERROR(MATCH(45,المحفظة!$H$107:$H$206,0),0)=0,"",INDEX(المحفظة!$D$107:$D$206,IFERROR(MATCH(45,المحفظة!$H$107:$H$206,0),0))),"")</f>
        <v/>
      </c>
      <c r="E101" s="103" t="inlineStr">
        <is>
          <t>—</t>
        </is>
      </c>
      <c r="F101" s="100">
        <f>IFERROR(IF(IFERROR(MATCH(45,المحفظة!$H$107:$H$206,0),0)=0,"",INDEX(المحفظة!$F$107:$F$206,IFERROR(MATCH(45,المحفظة!$H$107:$H$206,0),0))),"")</f>
        <v/>
      </c>
      <c r="G101" s="16" t="n"/>
    </row>
    <row r="102" hidden="1" ht="15" customHeight="1" s="165">
      <c r="A102" s="104">
        <f>IFERROR(IF(IFERROR(MATCH(46,المحفظة!$H$107:$H$206,0),0)=0,"",INDEX(المحفظة!$A$107:$A$206,IFERROR(MATCH(46,المحفظة!$H$107:$H$206,0),0))),"")</f>
        <v/>
      </c>
      <c r="B102" s="105">
        <f>IFERROR(IF(IFERROR(MATCH(46,المحفظة!$H$107:$H$206,0),0)=0,"",INDEX(المحفظة!$B$107:$B$206,IFERROR(MATCH(46,المحفظة!$H$107:$H$206,0),0))),"")</f>
        <v/>
      </c>
      <c r="C102" s="106">
        <f>IFERROR(IF(IFERROR(MATCH(46,المحفظة!$H$107:$H$206,0),0)=0,"",INDEX(المحفظة!$C$107:$C$206,IFERROR(MATCH(46,المحفظة!$H$107:$H$206,0),0))),"")</f>
        <v/>
      </c>
      <c r="D102" s="107">
        <f>IFERROR(IF(IFERROR(MATCH(46,المحفظة!$H$107:$H$206,0),0)=0,"",INDEX(المحفظة!$D$107:$D$206,IFERROR(MATCH(46,المحفظة!$H$107:$H$206,0),0))),"")</f>
        <v/>
      </c>
      <c r="E102" s="108" t="inlineStr">
        <is>
          <t>—</t>
        </is>
      </c>
      <c r="F102" s="105">
        <f>IFERROR(IF(IFERROR(MATCH(46,المحفظة!$H$107:$H$206,0),0)=0,"",INDEX(المحفظة!$F$107:$F$206,IFERROR(MATCH(46,المحفظة!$H$107:$H$206,0),0))),"")</f>
        <v/>
      </c>
      <c r="G102" s="21" t="n"/>
    </row>
    <row r="103" hidden="1" ht="15" customHeight="1" s="165">
      <c r="A103" s="99">
        <f>IFERROR(IF(IFERROR(MATCH(47,المحفظة!$H$107:$H$206,0),0)=0,"",INDEX(المحفظة!$A$107:$A$206,IFERROR(MATCH(47,المحفظة!$H$107:$H$206,0),0))),"")</f>
        <v/>
      </c>
      <c r="B103" s="100">
        <f>IFERROR(IF(IFERROR(MATCH(47,المحفظة!$H$107:$H$206,0),0)=0,"",INDEX(المحفظة!$B$107:$B$206,IFERROR(MATCH(47,المحفظة!$H$107:$H$206,0),0))),"")</f>
        <v/>
      </c>
      <c r="C103" s="101">
        <f>IFERROR(IF(IFERROR(MATCH(47,المحفظة!$H$107:$H$206,0),0)=0,"",INDEX(المحفظة!$C$107:$C$206,IFERROR(MATCH(47,المحفظة!$H$107:$H$206,0),0))),"")</f>
        <v/>
      </c>
      <c r="D103" s="102">
        <f>IFERROR(IF(IFERROR(MATCH(47,المحفظة!$H$107:$H$206,0),0)=0,"",INDEX(المحفظة!$D$107:$D$206,IFERROR(MATCH(47,المحفظة!$H$107:$H$206,0),0))),"")</f>
        <v/>
      </c>
      <c r="E103" s="103" t="inlineStr">
        <is>
          <t>—</t>
        </is>
      </c>
      <c r="F103" s="100">
        <f>IFERROR(IF(IFERROR(MATCH(47,المحفظة!$H$107:$H$206,0),0)=0,"",INDEX(المحفظة!$F$107:$F$206,IFERROR(MATCH(47,المحفظة!$H$107:$H$206,0),0))),"")</f>
        <v/>
      </c>
      <c r="G103" s="16" t="n"/>
    </row>
    <row r="104" hidden="1" ht="15" customHeight="1" s="165">
      <c r="A104" s="104">
        <f>IFERROR(IF(IFERROR(MATCH(48,المحفظة!$H$107:$H$206,0),0)=0,"",INDEX(المحفظة!$A$107:$A$206,IFERROR(MATCH(48,المحفظة!$H$107:$H$206,0),0))),"")</f>
        <v/>
      </c>
      <c r="B104" s="105">
        <f>IFERROR(IF(IFERROR(MATCH(48,المحفظة!$H$107:$H$206,0),0)=0,"",INDEX(المحفظة!$B$107:$B$206,IFERROR(MATCH(48,المحفظة!$H$107:$H$206,0),0))),"")</f>
        <v/>
      </c>
      <c r="C104" s="106">
        <f>IFERROR(IF(IFERROR(MATCH(48,المحفظة!$H$107:$H$206,0),0)=0,"",INDEX(المحفظة!$C$107:$C$206,IFERROR(MATCH(48,المحفظة!$H$107:$H$206,0),0))),"")</f>
        <v/>
      </c>
      <c r="D104" s="107">
        <f>IFERROR(IF(IFERROR(MATCH(48,المحفظة!$H$107:$H$206,0),0)=0,"",INDEX(المحفظة!$D$107:$D$206,IFERROR(MATCH(48,المحفظة!$H$107:$H$206,0),0))),"")</f>
        <v/>
      </c>
      <c r="E104" s="108" t="inlineStr">
        <is>
          <t>—</t>
        </is>
      </c>
      <c r="F104" s="105">
        <f>IFERROR(IF(IFERROR(MATCH(48,المحفظة!$H$107:$H$206,0),0)=0,"",INDEX(المحفظة!$F$107:$F$206,IFERROR(MATCH(48,المحفظة!$H$107:$H$206,0),0))),"")</f>
        <v/>
      </c>
      <c r="G104" s="21" t="n"/>
    </row>
    <row r="105" hidden="1" ht="15" customHeight="1" s="165">
      <c r="A105" s="99">
        <f>IFERROR(IF(IFERROR(MATCH(49,المحفظة!$H$107:$H$206,0),0)=0,"",INDEX(المحفظة!$A$107:$A$206,IFERROR(MATCH(49,المحفظة!$H$107:$H$206,0),0))),"")</f>
        <v/>
      </c>
      <c r="B105" s="100">
        <f>IFERROR(IF(IFERROR(MATCH(49,المحفظة!$H$107:$H$206,0),0)=0,"",INDEX(المحفظة!$B$107:$B$206,IFERROR(MATCH(49,المحفظة!$H$107:$H$206,0),0))),"")</f>
        <v/>
      </c>
      <c r="C105" s="101">
        <f>IFERROR(IF(IFERROR(MATCH(49,المحفظة!$H$107:$H$206,0),0)=0,"",INDEX(المحفظة!$C$107:$C$206,IFERROR(MATCH(49,المحفظة!$H$107:$H$206,0),0))),"")</f>
        <v/>
      </c>
      <c r="D105" s="102">
        <f>IFERROR(IF(IFERROR(MATCH(49,المحفظة!$H$107:$H$206,0),0)=0,"",INDEX(المحفظة!$D$107:$D$206,IFERROR(MATCH(49,المحفظة!$H$107:$H$206,0),0))),"")</f>
        <v/>
      </c>
      <c r="E105" s="103" t="inlineStr">
        <is>
          <t>—</t>
        </is>
      </c>
      <c r="F105" s="100">
        <f>IFERROR(IF(IFERROR(MATCH(49,المحفظة!$H$107:$H$206,0),0)=0,"",INDEX(المحفظة!$F$107:$F$206,IFERROR(MATCH(49,المحفظة!$H$107:$H$206,0),0))),"")</f>
        <v/>
      </c>
      <c r="G105" s="16" t="n"/>
    </row>
    <row r="106" hidden="1" ht="15" customHeight="1" s="165">
      <c r="A106" s="104">
        <f>IFERROR(IF(IFERROR(MATCH(50,المحفظة!$H$107:$H$206,0),0)=0,"",INDEX(المحفظة!$A$107:$A$206,IFERROR(MATCH(50,المحفظة!$H$107:$H$206,0),0))),"")</f>
        <v/>
      </c>
      <c r="B106" s="105">
        <f>IFERROR(IF(IFERROR(MATCH(50,المحفظة!$H$107:$H$206,0),0)=0,"",INDEX(المحفظة!$B$107:$B$206,IFERROR(MATCH(50,المحفظة!$H$107:$H$206,0),0))),"")</f>
        <v/>
      </c>
      <c r="C106" s="106">
        <f>IFERROR(IF(IFERROR(MATCH(50,المحفظة!$H$107:$H$206,0),0)=0,"",INDEX(المحفظة!$C$107:$C$206,IFERROR(MATCH(50,المحفظة!$H$107:$H$206,0),0))),"")</f>
        <v/>
      </c>
      <c r="D106" s="107">
        <f>IFERROR(IF(IFERROR(MATCH(50,المحفظة!$H$107:$H$206,0),0)=0,"",INDEX(المحفظة!$D$107:$D$206,IFERROR(MATCH(50,المحفظة!$H$107:$H$206,0),0))),"")</f>
        <v/>
      </c>
      <c r="E106" s="108" t="inlineStr">
        <is>
          <t>—</t>
        </is>
      </c>
      <c r="F106" s="105">
        <f>IFERROR(IF(IFERROR(MATCH(50,المحفظة!$H$107:$H$206,0),0)=0,"",INDEX(المحفظة!$F$107:$F$206,IFERROR(MATCH(50,المحفظة!$H$107:$H$206,0),0))),"")</f>
        <v/>
      </c>
      <c r="G106" s="21" t="n"/>
    </row>
    <row r="107" ht="19.5" customHeight="1" s="165">
      <c r="A107" s="178" t="inlineStr">
        <is>
          <t>إجمالي المصروفات</t>
        </is>
      </c>
      <c r="B107" s="161" t="n"/>
      <c r="C107" s="161" t="n"/>
      <c r="D107" s="109">
        <f>SUMIF(المحفظة!$H$107:$H$206,"&gt;0",المحفظة!$D$107:$D$206)</f>
        <v/>
      </c>
      <c r="E107" s="78" t="n"/>
      <c r="F107" s="78" t="n"/>
      <c r="G107" s="78" t="n"/>
    </row>
    <row r="108" ht="19.5" customHeight="1" s="165">
      <c r="A108" s="172" t="inlineStr">
        <is>
          <t>💰  صافي المحفظة للفترة</t>
        </is>
      </c>
      <c r="B108" s="161" t="n"/>
      <c r="C108" s="161" t="n"/>
      <c r="D108" s="77">
        <f>E55-D107</f>
        <v/>
      </c>
      <c r="E108" s="177">
        <f>SUM(E5:E107)</f>
        <v/>
      </c>
      <c r="F108" s="161" t="n"/>
      <c r="G108" s="162" t="n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sqref="C2" showDropDown="0" showInputMessage="0" showErrorMessage="0" allowBlank="0" type="list">
      <formula1>"يناير,فبراير,مارس,أبريل,مايو,يونيو,يوليو,أغسطس,سبتمبر,أكتوبر,نوفمبر,ديسمبر,الكل"</formula1>
      <formula2>0</formula2>
    </dataValidation>
    <dataValidation sqref="F2" showDropDown="0" showInputMessage="0" showErrorMessage="0" allowBlank="0" type="list">
      <formula1>"2024,2025,2026,2027,2028,الكل"</formula1>
      <formula2>0</formula2>
    </dataValidation>
  </dataValidations>
  <pageMargins left="0.25" right="0.25" top="0.75" bottom="0.75" header="0.3" footer="0.3"/>
  <pageSetup orientation="landscape" paperSize="9" fitToHeight="0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2026-05-17T18:05:26Z</dcterms:created>
  <dcterms:modified xmlns:dcterms="http://purl.org/dc/terms/" xmlns:xsi="http://www.w3.org/2001/XMLSchema-instance" xsi:type="dcterms:W3CDTF">2026-07-05T18:40:14Z</dcterms:modified>
  <cp:lastModifiedBy>Hadi Ishak</cp:lastModifiedBy>
  <cp:revision>0</cp:revision>
  <cp:lastPrinted>2026-06-16T20:46:17Z</cp:lastPrinted>
</cp:coreProperties>
</file>