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01C3D9AB-4873-413D-87CC-3018C98BCAFD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J239" i="2"/>
  <c r="Q238" i="2"/>
  <c r="P238" i="2"/>
  <c r="O238" i="2"/>
  <c r="N238" i="2"/>
  <c r="M238" i="2"/>
  <c r="L238" i="2"/>
  <c r="J238" i="2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J236" i="2"/>
  <c r="Q235" i="2"/>
  <c r="P235" i="2"/>
  <c r="O235" i="2"/>
  <c r="N235" i="2"/>
  <c r="M235" i="2"/>
  <c r="L235" i="2"/>
  <c r="J235" i="2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J230" i="2"/>
  <c r="Q229" i="2"/>
  <c r="P229" i="2"/>
  <c r="O229" i="2"/>
  <c r="N229" i="2"/>
  <c r="M229" i="2"/>
  <c r="L229" i="2"/>
  <c r="J229" i="2"/>
  <c r="Q228" i="2"/>
  <c r="P228" i="2"/>
  <c r="O228" i="2"/>
  <c r="N228" i="2"/>
  <c r="M228" i="2"/>
  <c r="L228" i="2"/>
  <c r="J228" i="2"/>
  <c r="Q227" i="2"/>
  <c r="P227" i="2"/>
  <c r="O227" i="2"/>
  <c r="N227" i="2"/>
  <c r="M227" i="2"/>
  <c r="L227" i="2"/>
  <c r="J227" i="2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J225" i="2"/>
  <c r="Q224" i="2"/>
  <c r="P224" i="2"/>
  <c r="O224" i="2"/>
  <c r="N224" i="2"/>
  <c r="M224" i="2"/>
  <c r="L224" i="2"/>
  <c r="J224" i="2"/>
  <c r="Q223" i="2"/>
  <c r="P223" i="2"/>
  <c r="O223" i="2"/>
  <c r="N223" i="2"/>
  <c r="M223" i="2"/>
  <c r="L223" i="2"/>
  <c r="J223" i="2"/>
  <c r="Q222" i="2"/>
  <c r="P222" i="2"/>
  <c r="O222" i="2"/>
  <c r="N222" i="2"/>
  <c r="M222" i="2"/>
  <c r="L222" i="2"/>
  <c r="J222" i="2"/>
  <c r="Q221" i="2"/>
  <c r="P221" i="2"/>
  <c r="O221" i="2"/>
  <c r="N221" i="2"/>
  <c r="M221" i="2"/>
  <c r="L221" i="2"/>
  <c r="J221" i="2"/>
  <c r="Q220" i="2"/>
  <c r="P220" i="2"/>
  <c r="O220" i="2"/>
  <c r="N220" i="2"/>
  <c r="M220" i="2"/>
  <c r="L220" i="2"/>
  <c r="J220" i="2"/>
  <c r="Q219" i="2"/>
  <c r="P219" i="2"/>
  <c r="O219" i="2"/>
  <c r="N219" i="2"/>
  <c r="M219" i="2"/>
  <c r="L219" i="2"/>
  <c r="J219" i="2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B73" i="1" l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F202" i="1" s="1"/>
  <c r="D199" i="1"/>
  <c r="D198" i="1"/>
  <c r="C197" i="1"/>
  <c r="A196" i="1"/>
  <c r="F196" i="1" s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F204" i="1" s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F200" i="1" s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F205" i="1" s="1"/>
  <c r="C204" i="1"/>
  <c r="E203" i="1"/>
  <c r="A203" i="1"/>
  <c r="F203" i="1" s="1"/>
  <c r="C202" i="1"/>
  <c r="E201" i="1"/>
  <c r="A201" i="1"/>
  <c r="F201" i="1" s="1"/>
  <c r="C200" i="1"/>
  <c r="E199" i="1"/>
  <c r="A199" i="1"/>
  <c r="F199" i="1" s="1"/>
  <c r="C198" i="1"/>
  <c r="E197" i="1"/>
  <c r="A197" i="1"/>
  <c r="F197" i="1" s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F198" i="1" s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<sst xmlns="http://schemas.openxmlformats.org/spreadsheetml/2006/main" count="1067" uniqueCount="455">
  <si>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</si>
  <si>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</si>
  <si>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</si>
  <si>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</si>
  <si>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</si>
  <si>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</si>
  <si>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</si>
  <si>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</si>
  <si>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</si>
  <si>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</si>
  <si>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</si>
  <si>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</si>
  <si>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</si>
  <si>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</si>
  <si>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</si>
  <si>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</si>
  <si>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</si>
  <si>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</si>
  <si>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</si>
  <si>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</si>
  <si>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</si>
  <si>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</si>
  <si>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</si>
  <si>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</si>
  <si>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</si>
  <si>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</si>
  <si>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</si>
  <si>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</si>
  <si>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</si>
  <si>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</si>
  <si>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</si>
  <si>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</si>
  <si>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</si>
  <si>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</si>
  <si>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</si>
  <si>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</si>
  <si>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</si>
  <si>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</si>
  <si>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</si>
  <si>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</si>
  <si>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</si>
  <si>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</si>
  <si>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</si>
  <si>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</si>
  <si>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</si>
  <si>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</si>
  <si>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</si>
  <si>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</si>
  <si>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</si>
  <si>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</si>
  <si>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</si>
  <si>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</si>
  <si>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</si>
  <si>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</si>
  <si>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</si>
  <si>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</si>
  <si>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</si>
  <si>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</si>
  <si>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</si>
  <si>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</si>
  <si>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</si>
  <si>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</si>
  <si>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</si>
  <si>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</si>
  <si>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</si>
  <si>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</si>
  <si>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</si>
  <si>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</si>
  <si>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</si>
  <si>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</si>
  <si>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</si>
  <si>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</si>
  <si>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</si>
  <si>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</si>
  <si>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</si>
  <si>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</si>
  <si>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</si>
  <si>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</si>
  <si>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</si>
  <si>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</si>
  <si>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</si>
  <si>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</si>
  <si>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</si>
  <si>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</si>
  <si>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</si>
  <si>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</si>
  <si>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</si>
  <si>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</si>
  <si>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</si>
  <si>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</si>
  <si>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</si>
  <si>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</si>
  <si>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</si>
  <si>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</si>
  <si>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</si>
  <si>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</si>
  <si>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</si>
  <si>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</si>
  <si>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</si>
  <si>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</si>
  <si>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</si>
  <si>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</si>
  <si>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</si>
  <si>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</si>
  <si>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</si>
  <si>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</si>
  <si>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</si>
  <si>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</si>
  <si>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</si>
  <si>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</si>
  <si>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</si>
  <si>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</si>
  <si>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</si>
  <si>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</si>
  <si>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</si>
  <si>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</si>
  <si>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</si>
  <si>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</si>
  <si>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</si>
  <si>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</si>
  <si>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</si>
  <si>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</si>
  <si>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</si>
  <si>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</si>
  <si>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</si>
  <si>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</si>
  <si>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</si>
  <si>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</si>
  <si>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</si>
  <si>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</si>
  <si>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</si>
  <si>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</si>
  <si>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</si>
  <si>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</si>
  <si>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</si>
  <si>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</si>
  <si>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</si>
  <si>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</si>
  <si>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</si>
  <si>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</si>
  <si>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</si>
  <si>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</si>
  <si>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</si>
  <si>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</si>
  <si>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</si>
  <si>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</si>
  <si>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</si>
  <si>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</si>
  <si>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</si>
  <si>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</si>
  <si>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</si>
  <si>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</si>
  <si>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</si>
  <si>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</si>
  <si>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</si>
  <si>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</si>
  <si>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</si>
  <si>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</si>
  <si>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</si>
  <si>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</si>
  <si>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</si>
  <si>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</si>
  <si>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</si>
  <si>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</si>
  <si>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</si>
  <si>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</si>
  <si>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</si>
  <si>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</si>
  <si>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</si>
  <si>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</si>
  <si>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</si>
  <si>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</si>
  <si>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</si>
  <si>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</si>
  <si>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</si>
  <si>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</si>
  <si>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</si>
  <si>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</si>
  <si>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</si>
  <si>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</si>
  <si>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</si>
  <si>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</si>
  <si>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</si>
  <si>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</si>
  <si>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</si>
  <si>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</si>
  <si>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</si>
  <si>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</si>
  <si>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</si>
  <si>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</si>
  <si>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</si>
  <si>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</si>
  <si>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</si>
  <si>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</si>
  <si>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</si>
  <si>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</si>
  <si>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</si>
  <si>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</si>
  <si>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</si>
  <si>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</si>
  <si>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</si>
  <si>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</si>
  <si>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</si>
  <si>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</si>
  <si>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</si>
  <si>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</si>
  <si>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</si>
  <si>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</si>
  <si>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</si>
  <si>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</si>
  <si>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</si>
  <si>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</si>
  <si>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</si>
  <si>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</si>
  <si>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</si>
  <si>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</si>
  <si>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</si>
  <si>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</si>
  <si>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</si>
  <si>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</si>
  <si>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</si>
  <si>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</si>
  <si>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</si>
  <si>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</si>
  <si>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</si>
  <si>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</si>
  <si>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</si>
  <si>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</si>
  <si>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</si>
  <si>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</si>
  <si>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</si>
  <si>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</si>
  <si>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</si>
  <si>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</si>
  <si>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</si>
  <si>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</si>
  <si>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</si>
  <si>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</si>
  <si>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</si>
  <si>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</si>
  <si>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</si>
  <si>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</si>
  <si>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</si>
  <si>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</si>
  <si>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</si>
  <si>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</si>
  <si>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</si>
  <si>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</si>
  <si>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</si>
  <si>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</si>
  <si>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</si>
  <si>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</si>
  <si>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</si>
  <si>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</si>
  <si>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</si>
  <si>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</si>
  <si>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</si>
  <si>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</si>
  <si>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</si>
  <si>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</si>
  <si>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</si>
  <si>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</si>
  <si>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</si>
  <si>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</si>
  <si>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</si>
  <si>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</si>
  <si>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</si>
  <si>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</si>
  <si>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</si>
  <si>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</si>
  <si>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</si>
  <si>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</si>
  <si>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</si>
  <si>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</si>
  <si>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</si>
  <si>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</si>
  <si>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</si>
  <si>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</si>
  <si>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</si>
  <si>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</si>
  <si>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</si>
  <si>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</si>
  <si>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</si>
  <si>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</si>
  <si>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</si>
  <si>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</si>
  <si>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</si>
  <si>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</si>
  <si>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</si>
  <si>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</si>
  <si>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</si>
  <si>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</si>
  <si>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</si>
  <si>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</si>
  <si>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</si>
  <si>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</si>
  <si>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</si>
  <si>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</si>
  <si>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</si>
  <si>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</si>
  <si>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</si>
  <si>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</si>
  <si>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</si>
  <si>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</si>
  <si>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</si>
  <si>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</si>
  <si>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</si>
  <si>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</si>
  <si>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</si>
  <si>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</si>
  <si>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</si>
  <si>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</si>
  <si>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</si>
  <si>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</si>
  <si>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</si>
  <si>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</si>
  <si>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</si>
  <si>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</si>
  <si>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</si>
  <si>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</si>
  <si>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</si>
  <si>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</si>
  <si>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</si>
  <si>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</si>
  <si>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</si>
  <si>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</si>
  <si>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</si>
  <si>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</si>
  <si>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</si>
  <si>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</si>
  <si>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</si>
  <si>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</si>
  <si>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</si>
  <si>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</si>
  <si>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</si>
  <si>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</si>
  <si>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</si>
  <si>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</si>
  <si>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</si>
  <si>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</si>
  <si>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</si>
  <si>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</si>
  <si>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</si>
  <si>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</si>
  <si>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</si>
  <si>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</si>
  <si>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</si>
  <si>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</si>
  <si>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</si>
  <si>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</si>
  <si>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</si>
  <si>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</si>
  <si>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</si>
  <si>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</si>
  <si>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</si>
  <si>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</si>
  <si>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</si>
  <si>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</si>
  <si>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</si>
  <si>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</si>
  <si>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</si>
  <si>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</si>
  <si>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</si>
  <si>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</si>
  <si>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</si>
  <si>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</si>
  <si>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</si>
  <si>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</si>
  <si>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</si>
  <si>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</si>
  <si>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</si>
  <si>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</si>
  <si>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</si>
  <si>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</si>
  <si>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</si>
  <si>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</si>
  <si>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</si>
  <si>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</si>
  <si>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</si>
  <si>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</si>
  <si>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</si>
  <si>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</si>
  <si>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</si>
  <si>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</si>
  <si>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</si>
  <si>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</si>
  <si>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</si>
  <si>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</si>
  <si>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</si>
  <si>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</si>
  <si>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</si>
  <si>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</si>
  <si>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</si>
  <si>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</si>
  <si>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</si>
  <si>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</si>
  <si>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</si>
  <si>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</si>
  <si>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</si>
  <si>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</si>
  <si>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</si>
  <si>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</si>
  <si>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</si>
  <si>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</si>
  <si>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</si>
  <si>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</si>
  <si>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</si>
  <si>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</si>
  <si>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</si>
  <si>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</si>
  <si>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</si>
  <si>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</si>
  <si>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</si>
  <si>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</si>
  <si>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</si>
  <si>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</si>
  <si>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</si>
  <si>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</si>
  <si>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</si>
  <si>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</si>
  <si>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</si>
  <si>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</si>
  <si>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</si>
  <si>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</si>
  <si>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</si>
  <si>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</si>
  <si>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</si>
  <si>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</si>
  <si>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</si>
  <si>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</si>
  <si>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</si>
  <si>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</si>
  <si>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</si>
  <si>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</si>
  <si>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</si>
  <si>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</si>
  <si>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</si>
  <si>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</si>
  <si>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</si>
  <si>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</si>
  <si>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</si>
  <si>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</si>
  <si>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</si>
  <si>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</si>
  <si>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</si>
  <si>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</si>
  <si>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</si>
  <si>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</si>
  <si>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</si>
  <si>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</si>
  <si>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</si>
  <si>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</si>
  <si>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</si>
  <si>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</si>
  <si>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 xml:space="preserve">لم يدفع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</si>
</sst>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678.54500000000007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671.04500000000007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678.54500000000007</v>
      </c>
    </row>
    <row r="196" spans="1:6" ht="18" customHeight="1" x14ac:dyDescent="0.25">
      <c r="A196" s="142" t="str">
        <f>IFERROR(INDEX('كشف الحساب'!$A$4:$A$254,MATCH(191,'كشف الحساب'!$P$4:$P$254,0)),"")</f>
        <v/>
      </c>
      <c r="B196" s="122" t="str">
        <f>IFERROR(INDEX('كشف الحساب'!$B$4:$B$254,MATCH(191,'كشف الحساب'!$P$4:$P$254,0)),"")</f>
        <v/>
      </c>
      <c r="C196" s="121" t="str">
        <f>IFERROR(INDEX('كشف الحساب'!$C$4:$C$254,MATCH(191,'كشف الحساب'!$P$4:$P$254,0)),"")</f>
        <v/>
      </c>
      <c r="D196" s="123" t="str">
        <f>IFERROR(INDEX('كشف الحساب'!$E$4:$E$254,MATCH(191,'كشف الحساب'!$P$4:$P$254,0)),"")</f>
        <v/>
      </c>
      <c r="E196" s="124" t="str">
        <f>IFERROR(INDEX('كشف الحساب'!$D$4:$D$254,MATCH(191,'كشف الحساب'!$P$4:$P$254,0)),"")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الحساب'!$A$4:$A$254,MATCH(192,'كشف الحساب'!$P$4:$P$254,0)),"")</f>
        <v/>
      </c>
      <c r="B197" s="122" t="str">
        <f>IFERROR(INDEX('كشف الحساب'!$B$4:$B$254,MATCH(192,'كشف الحساب'!$P$4:$P$254,0)),"")</f>
        <v/>
      </c>
      <c r="C197" s="121" t="str">
        <f>IFERROR(INDEX('كشف الحساب'!$C$4:$C$254,MATCH(192,'كشف الحساب'!$P$4:$P$254,0)),"")</f>
        <v/>
      </c>
      <c r="D197" s="123" t="str">
        <f>IFERROR(INDEX('كشف الحساب'!$E$4:$E$254,MATCH(192,'كشف الحساب'!$P$4:$P$254,0)),"")</f>
        <v/>
      </c>
      <c r="E197" s="124" t="str">
        <f>IFERROR(INDEX('كشف الحساب'!$D$4:$D$254,MATCH(192,'كشف الحساب'!$P$4:$P$254,0)),"")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الحساب'!$A$4:$A$254,MATCH(193,'كشف الحساب'!$P$4:$P$254,0)),"")</f>
        <v/>
      </c>
      <c r="B198" s="122" t="str">
        <f>IFERROR(INDEX('كشف الحساب'!$B$4:$B$254,MATCH(193,'كشف الحساب'!$P$4:$P$254,0)),"")</f>
        <v/>
      </c>
      <c r="C198" s="121" t="str">
        <f>IFERROR(INDEX('كشف الحساب'!$C$4:$C$254,MATCH(193,'كشف الحساب'!$P$4:$P$254,0)),"")</f>
        <v/>
      </c>
      <c r="D198" s="123" t="str">
        <f>IFERROR(INDEX('كشف الحساب'!$E$4:$E$254,MATCH(193,'كشف الحساب'!$P$4:$P$254,0)),"")</f>
        <v/>
      </c>
      <c r="E198" s="124" t="str">
        <f>IFERROR(INDEX('كشف الحساب'!$D$4:$D$254,MATCH(193,'كشف الحساب'!$P$4:$P$254,0)),"")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الحساب'!$A$4:$A$254,MATCH(194,'كشف الحساب'!$P$4:$P$254,0)),"")</f>
        <v/>
      </c>
      <c r="B199" s="122" t="str">
        <f>IFERROR(INDEX('كشف الحساب'!$B$4:$B$254,MATCH(194,'كشف الحساب'!$P$4:$P$254,0)),"")</f>
        <v/>
      </c>
      <c r="C199" s="121" t="str">
        <f>IFERROR(INDEX('كشف الحساب'!$C$4:$C$254,MATCH(194,'كشف الحساب'!$P$4:$P$254,0)),"")</f>
        <v/>
      </c>
      <c r="D199" s="123" t="str">
        <f>IFERROR(INDEX('كشف الحساب'!$E$4:$E$254,MATCH(194,'كشف الحساب'!$P$4:$P$254,0)),"")</f>
        <v/>
      </c>
      <c r="E199" s="124" t="str">
        <f>IFERROR(INDEX('كشف الحساب'!$D$4:$D$254,MATCH(194,'كشف الحساب'!$P$4:$P$254,0)),"")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الحساب'!$A$4:$A$254,MATCH(195,'كشف الحساب'!$P$4:$P$254,0)),"")</f>
        <v/>
      </c>
      <c r="B200" s="122" t="str">
        <f>IFERROR(INDEX('كشف الحساب'!$B$4:$B$254,MATCH(195,'كشف الحساب'!$P$4:$P$254,0)),"")</f>
        <v/>
      </c>
      <c r="C200" s="121" t="str">
        <f>IFERROR(INDEX('كشف الحساب'!$C$4:$C$254,MATCH(195,'كشف الحساب'!$P$4:$P$254,0)),"")</f>
        <v/>
      </c>
      <c r="D200" s="123" t="str">
        <f>IFERROR(INDEX('كشف الحساب'!$E$4:$E$254,MATCH(195,'كشف الحساب'!$P$4:$P$254,0)),"")</f>
        <v/>
      </c>
      <c r="E200" s="124" t="str">
        <f>IFERROR(INDEX('كشف الحساب'!$D$4:$D$254,MATCH(195,'كشف الحساب'!$P$4:$P$254,0)),"")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الحساب'!$A$4:$A$254,MATCH(196,'كشف الحساب'!$P$4:$P$254,0)),"")</f>
        <v/>
      </c>
      <c r="B201" s="122" t="str">
        <f>IFERROR(INDEX('كشف الحساب'!$B$4:$B$254,MATCH(196,'كشف الحساب'!$P$4:$P$254,0)),"")</f>
        <v/>
      </c>
      <c r="C201" s="121" t="str">
        <f>IFERROR(INDEX('كشف الحساب'!$C$4:$C$254,MATCH(196,'كشف الحساب'!$P$4:$P$254,0)),"")</f>
        <v/>
      </c>
      <c r="D201" s="123" t="str">
        <f>IFERROR(INDEX('كشف الحساب'!$E$4:$E$254,MATCH(196,'كشف الحساب'!$P$4:$P$254,0)),"")</f>
        <v/>
      </c>
      <c r="E201" s="124" t="str">
        <f>IFERROR(INDEX('كشف الحساب'!$D$4:$D$254,MATCH(196,'كشف الحساب'!$P$4:$P$254,0)),"")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الحساب'!$A$4:$A$254,MATCH(197,'كشف الحساب'!$P$4:$P$254,0)),"")</f>
        <v/>
      </c>
      <c r="B202" s="122" t="str">
        <f>IFERROR(INDEX('كشف الحساب'!$B$4:$B$254,MATCH(197,'كشف الحساب'!$P$4:$P$254,0)),"")</f>
        <v/>
      </c>
      <c r="C202" s="121" t="str">
        <f>IFERROR(INDEX('كشف الحساب'!$C$4:$C$254,MATCH(197,'كشف الحساب'!$P$4:$P$254,0)),"")</f>
        <v/>
      </c>
      <c r="D202" s="123" t="str">
        <f>IFERROR(INDEX('كشف الحساب'!$E$4:$E$254,MATCH(197,'كشف الحساب'!$P$4:$P$254,0)),"")</f>
        <v/>
      </c>
      <c r="E202" s="124" t="str">
        <f>IFERROR(INDEX('كشف الحساب'!$D$4:$D$254,MATCH(197,'كشف الحساب'!$P$4:$P$254,0)),"")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الحساب'!$A$4:$A$254,MATCH(198,'كشف الحساب'!$P$4:$P$254,0)),"")</f>
        <v/>
      </c>
      <c r="B203" s="122" t="str">
        <f>IFERROR(INDEX('كشف الحساب'!$B$4:$B$254,MATCH(198,'كشف الحساب'!$P$4:$P$254,0)),"")</f>
        <v/>
      </c>
      <c r="C203" s="121" t="str">
        <f>IFERROR(INDEX('كشف الحساب'!$C$4:$C$254,MATCH(198,'كشف الحساب'!$P$4:$P$254,0)),"")</f>
        <v/>
      </c>
      <c r="D203" s="123" t="str">
        <f>IFERROR(INDEX('كشف الحساب'!$E$4:$E$254,MATCH(198,'كشف الحساب'!$P$4:$P$254,0)),"")</f>
        <v/>
      </c>
      <c r="E203" s="124" t="str">
        <f>IFERROR(INDEX('كشف الحساب'!$D$4:$D$254,MATCH(198,'كشف الحساب'!$P$4:$P$254,0)),"")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الحساب'!$A$4:$A$254,MATCH(199,'كشف الحساب'!$P$4:$P$254,0)),"")</f>
        <v/>
      </c>
      <c r="B204" s="122" t="str">
        <f>IFERROR(INDEX('كشف الحساب'!$B$4:$B$254,MATCH(199,'كشف الحساب'!$P$4:$P$254,0)),"")</f>
        <v/>
      </c>
      <c r="C204" s="121" t="str">
        <f>IFERROR(INDEX('كشف الحساب'!$C$4:$C$254,MATCH(199,'كشف الحساب'!$P$4:$P$254,0)),"")</f>
        <v/>
      </c>
      <c r="D204" s="123" t="str">
        <f>IFERROR(INDEX('كشف الحساب'!$E$4:$E$254,MATCH(199,'كشف الحساب'!$P$4:$P$254,0)),"")</f>
        <v/>
      </c>
      <c r="E204" s="124" t="str">
        <f>IFERROR(INDEX('كشف الحساب'!$D$4:$D$254,MATCH(199,'كشف الحساب'!$P$4:$P$254,0)),"")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الحساب'!$A$4:$A$254,MATCH(200,'كشف الحساب'!$P$4:$P$254,0)),"")</f>
        <v/>
      </c>
      <c r="B205" s="122" t="str">
        <f>IFERROR(INDEX('كشف الحساب'!$B$4:$B$254,MATCH(200,'كشف الحساب'!$P$4:$P$254,0)),"")</f>
        <v/>
      </c>
      <c r="C205" s="121" t="str">
        <f>IFERROR(INDEX('كشف الحساب'!$C$4:$C$254,MATCH(200,'كشف الحساب'!$P$4:$P$254,0)),"")</f>
        <v/>
      </c>
      <c r="D205" s="123" t="str">
        <f>IFERROR(INDEX('كشف الحساب'!$E$4:$E$254,MATCH(200,'كشف الحساب'!$P$4:$P$254,0)),"")</f>
        <v/>
      </c>
      <c r="E205" s="124" t="str">
        <f>IFERROR(INDEX('كشف الحساب'!$D$4:$D$254,MATCH(200,'كشف الحساب'!$P$4:$P$254,0)),"")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2561.19</v>
      </c>
      <c r="E206" s="129">
        <f>SUM(E6:E205)</f>
        <v>1882.645</v>
      </c>
      <c r="F206" s="130">
        <f>IFERROR(LOOKUP(2,1/($F$6:$F$205&lt;&gt;""),$F$6:$F$205),0)</f>
        <v>678.54500000000007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03" activePane="bottomLeft" state="frozen"/>
      <selection pane="bottomLeft" activeCell="E214" sqref="E21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/>
      <c r="B215" s="26"/>
      <c r="C215" s="27"/>
      <c r="D215" s="28"/>
      <c r="E215" s="29"/>
      <c r="F215" s="30"/>
      <c r="G215" s="31"/>
      <c r="H215" s="32"/>
      <c r="I215" s="33"/>
      <c r="J215" s="34" t="str">
        <f>IF(AND(D215="",E215="",A215="",B215="",C215=""),"", IFERROR(IF(J214="",D2,J214),D2)+IF(E215="",0,E215)-IF(OR(G215="أبو اسحاق",G215="أبو آدم",G215="أبو اسحاق ",G215="أبو آدم "),0,IF(D215="",0,D215)))</f>
        <v/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 t="str">
        <f>IF(OR($A215="",$F215="أحد الشركاء",AND($D215="",$E215="")),"",SUMPRODUCT(($A$4:$A215&lt;&gt;"")*($F$4:$F215&lt;&gt;"أحد الشركاء")*((($D$4:$D215&lt;&gt;"")+($E$4:$E215&lt;&gt;""))&gt;0)))</f>
        <v/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/>
      <c r="B216" s="36"/>
      <c r="C216" s="37"/>
      <c r="D216" s="38"/>
      <c r="E216" s="39"/>
      <c r="F216" s="136"/>
      <c r="G216" s="40"/>
      <c r="H216" s="41"/>
      <c r="I216" s="42"/>
      <c r="J216" s="43" t="str">
        <f>IF(AND(D216="",E216="",A216="",B216="",C216=""),"", IFERROR(IF(J215="",D2,J215),D2)+IF(E216="",0,E216)-IF(OR(G216="أبو اسحاق",G216="أبو آدم",G216="أبو اسحاق ",G216="أبو آدم "),0,IF(D216="",0,D216)))</f>
        <v/>
      </c>
      <c r="K216" s="44"/>
      <c r="L216" t="str">
        <f>IF(E215&gt;0,COUNTIF($E$4:E215,"&gt;0"),"")</f>
        <v/>
      </c>
      <c r="M216" t="str">
        <f>IF(AND(D215&gt;0,G215="المحفظة"),COUNTIFS($D$4:D215,"&gt;"&amp;0,$G$4:G215,"المحفظة"),"")</f>
        <v/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 t="str">
        <f>IF(OR($A216="",$F216="أحد الشركاء",AND($D216="",$E216="")),"",SUMPRODUCT(($A$4:$A216&lt;&gt;"")*($F$4:$F216&lt;&gt;"أحد الشركاء")*((($D$4:$D216&lt;&gt;"")+($E$4:$E216&lt;&gt;""))&gt;0)))</f>
        <v/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/>
      <c r="B217" s="26"/>
      <c r="C217" s="27"/>
      <c r="D217" s="28"/>
      <c r="E217" s="29"/>
      <c r="F217" s="30"/>
      <c r="G217" s="31"/>
      <c r="H217" s="32"/>
      <c r="I217" s="33"/>
      <c r="J217" s="34" t="str">
        <f>IF(AND(D217="",E217="",A217="",B217="",C217=""),"", IFERROR(IF(J216="",D2,J216),D2)+IF(E217="",0,E217)-IF(OR(G217="أبو اسحاق",G217="أبو آدم",G217="أبو اسحاق ",G217="أبو آدم "),0,IF(D217="",0,D217)))</f>
        <v/>
      </c>
      <c r="K217" s="35"/>
      <c r="L217" t="str">
        <f>IF(E216&gt;0,COUNTIF($E$4:E216,"&gt;0"),"")</f>
        <v/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 t="str">
        <f>IF(OR($A217="",$F217="أحد الشركاء",AND($D217="",$E217="")),"",SUMPRODUCT(($A$4:$A217&lt;&gt;"")*($F$4:$F217&lt;&gt;"أحد الشركاء")*((($D$4:$D217&lt;&gt;"")+($E$4:$E217&lt;&gt;""))&gt;0)))</f>
        <v/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/>
      <c r="B218" s="36"/>
      <c r="C218" s="37"/>
      <c r="D218" s="38"/>
      <c r="E218" s="39"/>
      <c r="F218" s="136"/>
      <c r="G218" s="40"/>
      <c r="H218" s="41"/>
      <c r="I218" s="42"/>
      <c r="J218" s="43" t="str">
        <f>IF(AND(D218="",E218="",A218="",B218="",C218=""),"", IFERROR(IF(J217="",D2,J217),D2)+IF(E218="",0,E218)-IF(OR(G218="أبو اسحاق",G218="أبو آدم",G218="أبو اسحاق ",G218="أبو آدم "),0,IF(D218="",0,D218)))</f>
        <v/>
      </c>
      <c r="K218" s="44"/>
      <c r="L218" t="str">
        <f>IF(E217&gt;0,COUNTIF($E$4:E217,"&gt;0"),"")</f>
        <v/>
      </c>
      <c r="M218" t="str">
        <f>IF(AND(D217&gt;0,G217="المحفظة"),COUNTIFS($D$4:D217,"&gt;"&amp;0,$G$4:G217,"المحفظة"),"")</f>
        <v/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 t="str">
        <f>IF(OR($A218="",$F218="أحد الشركاء",AND($D218="",$E218="")),"",SUMPRODUCT(($A$4:$A218&lt;&gt;"")*($F$4:$F218&lt;&gt;"أحد الشركاء")*((($D$4:$D218&lt;&gt;"")+($E$4:$E218&lt;&gt;""))&gt;0)))</f>
        <v/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/>
      <c r="B219" s="26"/>
      <c r="C219" s="27"/>
      <c r="D219" s="28"/>
      <c r="E219" s="29"/>
      <c r="F219" s="30"/>
      <c r="G219" s="31"/>
      <c r="H219" s="32"/>
      <c r="I219" s="33"/>
      <c r="J219" s="34" t="str">
        <f>IF(AND(D219="",E219="",A219="",B219="",C219=""),"", IFERROR(IF(J218="",D2,J218),D2)+IF(E219="",0,E219)-IF(OR(G219="أبو اسحاق",G219="أبو آدم",G219="أبو اسحاق ",G219="أبو آدم "),0,IF(D219="",0,D219)))</f>
        <v/>
      </c>
      <c r="K219" s="35"/>
      <c r="L219" t="str">
        <f>IF(E218&gt;0,COUNTIF($E$4:E218,"&gt;0"),"")</f>
        <v/>
      </c>
      <c r="M219" t="str">
        <f>IF(AND(D218&gt;0,G218="المحفظة"),COUNTIFS($D$4:D218,"&gt;"&amp;0,$G$4:G218,"المحفظة"),"")</f>
        <v/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 t="str">
        <f>IF(OR($A219="",$F219="أحد الشركاء",AND($D219="",$E219="")),"",SUMPRODUCT(($A$4:$A219&lt;&gt;"")*($F$4:$F219&lt;&gt;"أحد الشركاء")*((($D$4:$D219&lt;&gt;"")+($E$4:$E219&lt;&gt;""))&gt;0)))</f>
        <v/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/>
      <c r="B220" s="36"/>
      <c r="C220" s="37"/>
      <c r="D220" s="38"/>
      <c r="E220" s="39"/>
      <c r="F220" s="136"/>
      <c r="G220" s="40"/>
      <c r="H220" s="41"/>
      <c r="I220" s="42"/>
      <c r="J220" s="43" t="str">
        <f>IF(AND(D220="",E220="",A220="",B220="",C220=""),"", IFERROR(IF(J219="",D2,J219),D2)+IF(E220="",0,E220)-IF(OR(G220="أبو اسحاق",G220="أبو آدم",G220="أبو اسحاق ",G220="أبو آدم "),0,IF(D220="",0,D220)))</f>
        <v/>
      </c>
      <c r="K220" s="44"/>
      <c r="L220" t="str">
        <f>IF(E219&gt;0,COUNTIF($E$4:E219,"&gt;0"),"")</f>
        <v/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 t="str">
        <f>IF(OR($A220="",$F220="أحد الشركاء",AND($D220="",$E220="")),"",SUMPRODUCT(($A$4:$A220&lt;&gt;"")*($F$4:$F220&lt;&gt;"أحد الشركاء")*((($D$4:$D220&lt;&gt;"")+($E$4:$E220&lt;&gt;""))&gt;0)))</f>
        <v/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/>
      <c r="B221" s="26"/>
      <c r="C221" s="27"/>
      <c r="D221" s="28"/>
      <c r="E221" s="29"/>
      <c r="F221" s="30"/>
      <c r="G221" s="31"/>
      <c r="H221" s="32"/>
      <c r="I221" s="33"/>
      <c r="J221" s="34" t="str">
        <f>IF(AND(D221="",E221="",A221="",B221="",C221=""),"", IFERROR(IF(J220="",D2,J220),D2)+IF(E221="",0,E221)-IF(OR(G221="أبو اسحاق",G221="أبو آدم",G221="أبو اسحاق ",G221="أبو آدم "),0,IF(D221="",0,D221)))</f>
        <v/>
      </c>
      <c r="K221" s="35"/>
      <c r="L221" t="str">
        <f>IF(E220&gt;0,COUNTIF($E$4:E220,"&gt;0"),"")</f>
        <v/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 t="str">
        <f>IF(OR($A221="",$F221="أحد الشركاء",AND($D221="",$E221="")),"",SUMPRODUCT(($A$4:$A221&lt;&gt;"")*($F$4:$F221&lt;&gt;"أحد الشركاء")*((($D$4:$D221&lt;&gt;"")+($E$4:$E221&lt;&gt;""))&gt;0)))</f>
        <v/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/>
      <c r="B222" s="36"/>
      <c r="C222" s="37"/>
      <c r="D222" s="38"/>
      <c r="E222" s="39"/>
      <c r="F222" s="136"/>
      <c r="G222" s="40"/>
      <c r="H222" s="41"/>
      <c r="I222" s="42"/>
      <c r="J222" s="43" t="str">
        <f>IF(AND(D222="",E222="",A222="",B222="",C222=""),"", IFERROR(IF(J221="",D2,J221),D2)+IF(E222="",0,E222)-IF(OR(G222="أبو اسحاق",G222="أبو آدم",G222="أبو اسحاق ",G222="أبو آدم "),0,IF(D222="",0,D222)))</f>
        <v/>
      </c>
      <c r="K222" s="44"/>
      <c r="L222" t="str">
        <f>IF(E221&gt;0,COUNTIF($E$4:E221,"&gt;0"),"")</f>
        <v/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 t="str">
        <f>IF(OR($A222="",$F222="أحد الشركاء",AND($D222="",$E222="")),"",SUMPRODUCT(($A$4:$A222&lt;&gt;"")*($F$4:$F222&lt;&gt;"أحد الشركاء")*((($D$4:$D222&lt;&gt;"")+($E$4:$E222&lt;&gt;""))&gt;0)))</f>
        <v/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/>
      <c r="B223" s="26"/>
      <c r="C223" s="27"/>
      <c r="D223" s="28"/>
      <c r="E223" s="29"/>
      <c r="F223" s="30"/>
      <c r="G223" s="31"/>
      <c r="H223" s="32"/>
      <c r="I223" s="33"/>
      <c r="J223" s="34" t="str">
        <f>IF(AND(D223="",E223="",A223="",B223="",C223=""),"", IFERROR(IF(J222="",D2,J222),D2)+IF(E223="",0,E223)-IF(OR(G223="أبو اسحاق",G223="أبو آدم",G223="أبو اسحاق ",G223="أبو آدم "),0,IF(D223="",0,D223)))</f>
        <v/>
      </c>
      <c r="K223" s="35"/>
      <c r="L223" t="str">
        <f>IF(E222&gt;0,COUNTIF($E$4:E222,"&gt;0"),"")</f>
        <v/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 t="str">
        <f>IF(OR($A223="",$F223="أحد الشركاء",AND($D223="",$E223="")),"",SUMPRODUCT(($A$4:$A223&lt;&gt;"")*($F$4:$F223&lt;&gt;"أحد الشركاء")*((($D$4:$D223&lt;&gt;"")+($E$4:$E223&lt;&gt;""))&gt;0)))</f>
        <v/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/>
      <c r="B224" s="36"/>
      <c r="C224" s="37"/>
      <c r="D224" s="38"/>
      <c r="E224" s="39"/>
      <c r="F224" s="136"/>
      <c r="G224" s="40"/>
      <c r="H224" s="41"/>
      <c r="I224" s="42"/>
      <c r="J224" s="43" t="str">
        <f>IF(AND(D224="",E224="",A224="",B224="",C224=""),"", IFERROR(IF(J223="",D2,J223),D2)+IF(E224="",0,E224)-IF(OR(G224="أبو اسحاق",G224="أبو آدم",G224="أبو اسحاق ",G224="أبو آدم "),0,IF(D224="",0,D224)))</f>
        <v/>
      </c>
      <c r="K224" s="44"/>
      <c r="L224" t="str">
        <f>IF(E223&gt;0,COUNTIF($E$4:E223,"&gt;0"),"")</f>
        <v/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 t="str">
        <f>IF(OR($A224="",$F224="أحد الشركاء",AND($D224="",$E224="")),"",SUMPRODUCT(($A$4:$A224&lt;&gt;"")*($F$4:$F224&lt;&gt;"أحد الشركاء")*((($D$4:$D224&lt;&gt;"")+($E$4:$E224&lt;&gt;""))&gt;0)))</f>
        <v/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/>
      <c r="B225" s="26"/>
      <c r="C225" s="27"/>
      <c r="D225" s="28"/>
      <c r="E225" s="29"/>
      <c r="F225" s="30"/>
      <c r="G225" s="31"/>
      <c r="H225" s="32"/>
      <c r="I225" s="33"/>
      <c r="J225" s="34" t="str">
        <f>IF(AND(D225="",E225="",A225="",B225="",C225=""),"", IFERROR(IF(J224="",D2,J224),D2)+IF(E225="",0,E225)-IF(OR(G225="أبو اسحاق",G225="أبو آدم",G225="أبو اسحاق ",G225="أبو آدم "),0,IF(D225="",0,D225)))</f>
        <v/>
      </c>
      <c r="K225" s="35"/>
      <c r="L225" t="str">
        <f>IF(E224&gt;0,COUNTIF($E$4:E224,"&gt;0"),"")</f>
        <v/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 t="str">
        <f>IF(OR($A225="",$F225="أحد الشركاء",AND($D225="",$E225="")),"",SUMPRODUCT(($A$4:$A225&lt;&gt;"")*($F$4:$F225&lt;&gt;"أحد الشركاء")*((($D$4:$D225&lt;&gt;"")+($E$4:$E225&lt;&gt;""))&gt;0)))</f>
        <v/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/>
      <c r="B226" s="36"/>
      <c r="C226" s="37"/>
      <c r="D226" s="38"/>
      <c r="E226" s="39"/>
      <c r="F226" s="136"/>
      <c r="G226" s="40"/>
      <c r="H226" s="41"/>
      <c r="I226" s="42"/>
      <c r="J226" s="43" t="str">
        <f>IF(AND(D226="",E226="",A226="",B226="",C226=""),"", IFERROR(IF(J225="",D2,J225),D2)+IF(E226="",0,E226)-IF(OR(G226="أبو اسحاق",G226="أبو آدم",G226="أبو اسحاق ",G226="أبو آدم "),0,IF(D226="",0,D226)))</f>
        <v/>
      </c>
      <c r="K226" s="44"/>
      <c r="L226" t="str">
        <f>IF(E225&gt;0,COUNTIF($E$4:E225,"&gt;0"),"")</f>
        <v/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 t="str">
        <f>IF(OR($A226="",$F226="أحد الشركاء",AND($D226="",$E226="")),"",SUMPRODUCT(($A$4:$A226&lt;&gt;"")*($F$4:$F226&lt;&gt;"أحد الشركاء")*((($D$4:$D226&lt;&gt;"")+($E$4:$E226&lt;&gt;""))&gt;0)))</f>
        <v/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/>
      <c r="B227" s="26"/>
      <c r="C227" s="27"/>
      <c r="D227" s="28"/>
      <c r="E227" s="29"/>
      <c r="F227" s="30"/>
      <c r="G227" s="31"/>
      <c r="H227" s="32"/>
      <c r="I227" s="33"/>
      <c r="J227" s="34" t="str">
        <f>IF(AND(D227="",E227="",A227="",B227="",C227=""),"", IFERROR(IF(J226="",D2,J226),D2)+IF(E227="",0,E227)-IF(OR(G227="أبو اسحاق",G227="أبو آدم",G227="أبو اسحاق ",G227="أبو آدم "),0,IF(D227="",0,D227)))</f>
        <v/>
      </c>
      <c r="K227" s="35"/>
      <c r="L227" t="str">
        <f>IF(E226&gt;0,COUNTIF($E$4:E226,"&gt;0"),"")</f>
        <v/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 t="str">
        <f>IF(OR($A227="",$F227="أحد الشركاء",AND($D227="",$E227="")),"",SUMPRODUCT(($A$4:$A227&lt;&gt;"")*($F$4:$F227&lt;&gt;"أحد الشركاء")*((($D$4:$D227&lt;&gt;"")+($E$4:$E227&lt;&gt;""))&gt;0)))</f>
        <v/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/>
      <c r="B228" s="36"/>
      <c r="C228" s="37"/>
      <c r="D228" s="38"/>
      <c r="E228" s="39"/>
      <c r="F228" s="136"/>
      <c r="G228" s="40"/>
      <c r="H228" s="41"/>
      <c r="I228" s="42"/>
      <c r="J228" s="43" t="str">
        <f>IF(AND(D228="",E228="",A228="",B228="",C228=""),"", IFERROR(IF(J227="",D2,J227),D2)+IF(E228="",0,E228)-IF(OR(G228="أبو اسحاق",G228="أبو آدم",G228="أبو اسحاق ",G228="أبو آدم "),0,IF(D228="",0,D228)))</f>
        <v/>
      </c>
      <c r="K228" s="44"/>
      <c r="L228" t="str">
        <f>IF(E227&gt;0,COUNTIF($E$4:E227,"&gt;0"),"")</f>
        <v/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 t="str">
        <f>IF(OR($A228="",$F228="أحد الشركاء",AND($D228="",$E228="")),"",SUMPRODUCT(($A$4:$A228&lt;&gt;"")*($F$4:$F228&lt;&gt;"أحد الشركاء")*((($D$4:$D228&lt;&gt;"")+($E$4:$E228&lt;&gt;""))&gt;0)))</f>
        <v/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/>
      <c r="B229" s="26"/>
      <c r="C229" s="27"/>
      <c r="D229" s="28"/>
      <c r="E229" s="29"/>
      <c r="F229" s="30"/>
      <c r="G229" s="31"/>
      <c r="H229" s="32"/>
      <c r="I229" s="33"/>
      <c r="J229" s="34" t="str">
        <f>IF(AND(D229="",E229="",A229="",B229="",C229=""),"", IFERROR(IF(J228="",D2,J228),D2)+IF(E229="",0,E229)-IF(OR(G229="أبو اسحاق",G229="أبو آدم",G229="أبو اسحاق ",G229="أبو آدم "),0,IF(D229="",0,D229)))</f>
        <v/>
      </c>
      <c r="K229" s="35"/>
      <c r="L229" t="str">
        <f>IF(E228&gt;0,COUNTIF($E$4:E228,"&gt;0"),"")</f>
        <v/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 t="str">
        <f>IF(OR($A229="",$F229="أحد الشركاء",AND($D229="",$E229="")),"",SUMPRODUCT(($A$4:$A229&lt;&gt;"")*($F$4:$F229&lt;&gt;"أحد الشركاء")*((($D$4:$D229&lt;&gt;"")+($E$4:$E229&lt;&gt;""))&gt;0)))</f>
        <v/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/>
      <c r="B230" s="36"/>
      <c r="C230" s="37"/>
      <c r="D230" s="38"/>
      <c r="E230" s="39"/>
      <c r="F230" s="136"/>
      <c r="G230" s="40"/>
      <c r="H230" s="41"/>
      <c r="I230" s="42"/>
      <c r="J230" s="43" t="str">
        <f>IF(AND(D230="",E230="",A230="",B230="",C230=""),"", IFERROR(IF(J229="",D2,J229),D2)+IF(E230="",0,E230)-IF(OR(G230="أبو اسحاق",G230="أبو آدم",G230="أبو اسحاق ",G230="أبو آدم "),0,IF(D230="",0,D230)))</f>
        <v/>
      </c>
      <c r="K230" s="44"/>
      <c r="L230" t="str">
        <f>IF(E229&gt;0,COUNTIF($E$4:E229,"&gt;0"),"")</f>
        <v/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 t="str">
        <f>IF(OR($A230="",$F230="أحد الشركاء",AND($D230="",$E230="")),"",SUMPRODUCT(($A$4:$A230&lt;&gt;"")*($F$4:$F230&lt;&gt;"أحد الشركاء")*((($D$4:$D230&lt;&gt;"")+($E$4:$E230&lt;&gt;""))&gt;0)))</f>
        <v/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/>
      <c r="B231" s="26"/>
      <c r="C231" s="27"/>
      <c r="D231" s="28"/>
      <c r="E231" s="29"/>
      <c r="F231" s="30"/>
      <c r="G231" s="31"/>
      <c r="H231" s="32"/>
      <c r="I231" s="33"/>
      <c r="J231" s="34" t="str">
        <f>IF(AND(D231="",E231="",A231="",B231="",C231=""),"", IFERROR(IF(J230="",D2,J230),D2)+IF(E231="",0,E231)-IF(OR(G231="أبو اسحاق",G231="أبو آدم",G231="أبو اسحاق ",G231="أبو آدم "),0,IF(D231="",0,D231)))</f>
        <v/>
      </c>
      <c r="K231" s="35"/>
      <c r="L231" t="str">
        <f>IF(E230&gt;0,COUNTIF($E$4:E230,"&gt;0"),"")</f>
        <v/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 t="str">
        <f>IF(OR($A231="",$F231="أحد الشركاء",AND($D231="",$E231="")),"",SUMPRODUCT(($A$4:$A231&lt;&gt;"")*($F$4:$F231&lt;&gt;"أحد الشركاء")*((($D$4:$D231&lt;&gt;"")+($E$4:$E231&lt;&gt;""))&gt;0)))</f>
        <v/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/>
      <c r="B232" s="36"/>
      <c r="C232" s="37"/>
      <c r="D232" s="38"/>
      <c r="E232" s="39"/>
      <c r="F232" s="136"/>
      <c r="G232" s="40"/>
      <c r="H232" s="41"/>
      <c r="I232" s="42"/>
      <c r="J232" s="43" t="str">
        <f>IF(AND(D232="",E232="",A232="",B232="",C232=""),"", IFERROR(IF(J231="",D2,J231),D2)+IF(E232="",0,E232)-IF(OR(G232="أبو اسحاق",G232="أبو آدم",G232="أبو اسحاق ",G232="أبو آدم "),0,IF(D232="",0,D232)))</f>
        <v/>
      </c>
      <c r="K232" s="44"/>
      <c r="L232" t="str">
        <f>IF(E231&gt;0,COUNTIF($E$4:E231,"&gt;0"),"")</f>
        <v/>
      </c>
      <c r="M232" t="str">
        <f>IF(AND(D231&gt;0,G231="المحفظة"),COUNTIFS($D$4:D231,"&gt;"&amp;0,$G$4:G231,"المحفظة"),"")</f>
        <v/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 t="str">
        <f>IF(OR($A232="",$F232="أحد الشركاء",AND($D232="",$E232="")),"",SUMPRODUCT(($A$4:$A232&lt;&gt;"")*($F$4:$F232&lt;&gt;"أحد الشركاء")*((($D$4:$D232&lt;&gt;"")+($E$4:$E232&lt;&gt;""))&gt;0)))</f>
        <v/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/>
      <c r="B233" s="26"/>
      <c r="C233" s="27"/>
      <c r="D233" s="28"/>
      <c r="E233" s="29"/>
      <c r="F233" s="30"/>
      <c r="G233" s="31"/>
      <c r="H233" s="32"/>
      <c r="I233" s="33"/>
      <c r="J233" s="34" t="str">
        <f>IF(AND(D233="",E233="",A233="",B233="",C233=""),"", IFERROR(IF(J232="",D2,J232),D2)+IF(E233="",0,E233)-IF(OR(G233="أبو اسحاق",G233="أبو آدم",G233="أبو اسحاق ",G233="أبو آدم "),0,IF(D233="",0,D233)))</f>
        <v/>
      </c>
      <c r="K233" s="35"/>
      <c r="L233" t="str">
        <f>IF(E232&gt;0,COUNTIF($E$4:E232,"&gt;0"),"")</f>
        <v/>
      </c>
      <c r="M233" t="str">
        <f>IF(AND(D232&gt;0,G232="المحفظة"),COUNTIFS($D$4:D232,"&gt;"&amp;0,$G$4:G232,"المحفظة"),"")</f>
        <v/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 t="str">
        <f>IF(OR($A233="",$F233="أحد الشركاء",AND($D233="",$E233="")),"",SUMPRODUCT(($A$4:$A233&lt;&gt;"")*($F$4:$F233&lt;&gt;"أحد الشركاء")*((($D$4:$D233&lt;&gt;"")+($E$4:$E233&lt;&gt;""))&gt;0)))</f>
        <v/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/>
      <c r="B234" s="36"/>
      <c r="C234" s="37"/>
      <c r="D234" s="38"/>
      <c r="E234" s="39"/>
      <c r="F234" s="136"/>
      <c r="G234" s="40"/>
      <c r="H234" s="41"/>
      <c r="I234" s="42"/>
      <c r="J234" s="43" t="str">
        <f>IF(AND(D234="",E234="",A234="",B234="",C234=""),"", IFERROR(IF(J233="",D2,J233),D2)+IF(E234="",0,E234)-IF(OR(G234="أبو اسحاق",G234="أبو آدم",G234="أبو اسحاق ",G234="أبو آدم "),0,IF(D234="",0,D234)))</f>
        <v/>
      </c>
      <c r="K234" s="44"/>
      <c r="L234" t="str">
        <f>IF(E233&gt;0,COUNTIF($E$4:E233,"&gt;0"),"")</f>
        <v/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 t="str">
        <f>IF(OR($A234="",$F234="أحد الشركاء",AND($D234="",$E234="")),"",SUMPRODUCT(($A$4:$A234&lt;&gt;"")*($F$4:$F234&lt;&gt;"أحد الشركاء")*((($D$4:$D234&lt;&gt;"")+($E$4:$E234&lt;&gt;""))&gt;0)))</f>
        <v/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/>
      <c r="B235" s="26"/>
      <c r="C235" s="27"/>
      <c r="D235" s="28"/>
      <c r="E235" s="29"/>
      <c r="F235" s="30"/>
      <c r="G235" s="31"/>
      <c r="H235" s="32"/>
      <c r="I235" s="33"/>
      <c r="J235" s="34" t="str">
        <f>IF(AND(D235="",E235="",A235="",B235="",C235=""),"", IFERROR(IF(J234="",D2,J234),D2)+IF(E235="",0,E235)-IF(OR(G235="أبو اسحاق",G235="أبو آدم",G235="أبو اسحاق ",G235="أبو آدم "),0,IF(D235="",0,D235)))</f>
        <v/>
      </c>
      <c r="K235" s="35"/>
      <c r="L235" t="str">
        <f>IF(E234&gt;0,COUNTIF($E$4:E234,"&gt;0"),"")</f>
        <v/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 t="str">
        <f>IF(OR($A235="",$F235="أحد الشركاء",AND($D235="",$E235="")),"",SUMPRODUCT(($A$4:$A235&lt;&gt;"")*($F$4:$F235&lt;&gt;"أحد الشركاء")*((($D$4:$D235&lt;&gt;"")+($E$4:$E235&lt;&gt;""))&gt;0)))</f>
        <v/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/>
      <c r="B236" s="36"/>
      <c r="C236" s="37"/>
      <c r="D236" s="38"/>
      <c r="E236" s="39"/>
      <c r="F236" s="136"/>
      <c r="G236" s="40"/>
      <c r="H236" s="41"/>
      <c r="I236" s="42"/>
      <c r="J236" s="43" t="str">
        <f>IF(AND(D236="",E236="",A236="",B236="",C236=""),"", IFERROR(IF(J235="",D2,J235),D2)+IF(E236="",0,E236)-IF(OR(G236="أبو اسحاق",G236="أبو آدم",G236="أبو اسحاق ",G236="أبو آدم "),0,IF(D236="",0,D236)))</f>
        <v/>
      </c>
      <c r="K236" s="44"/>
      <c r="L236" t="str">
        <f>IF(E235&gt;0,COUNTIF($E$4:E235,"&gt;0"),"")</f>
        <v/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 t="str">
        <f>IF(OR($A236="",$F236="أحد الشركاء",AND($D236="",$E236="")),"",SUMPRODUCT(($A$4:$A236&lt;&gt;"")*($F$4:$F236&lt;&gt;"أحد الشركاء")*((($D$4:$D236&lt;&gt;"")+($E$4:$E236&lt;&gt;""))&gt;0)))</f>
        <v/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/>
      <c r="B237" s="26"/>
      <c r="C237" s="27"/>
      <c r="D237" s="28"/>
      <c r="E237" s="29"/>
      <c r="F237" s="30"/>
      <c r="G237" s="31"/>
      <c r="H237" s="32"/>
      <c r="I237" s="33"/>
      <c r="J237" s="34" t="str">
        <f>IF(AND(D237="",E237="",A237="",B237="",C237=""),"", IFERROR(IF(J236="",D2,J236),D2)+IF(E237="",0,E237)-IF(OR(G237="أبو اسحاق",G237="أبو آدم",G237="أبو اسحاق ",G237="أبو آدم "),0,IF(D237="",0,D237)))</f>
        <v/>
      </c>
      <c r="K237" s="35"/>
      <c r="L237" t="str">
        <f>IF(E236&gt;0,COUNTIF($E$4:E236,"&gt;0"),"")</f>
        <v/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 t="str">
        <f>IF(OR($A237="",$F237="أحد الشركاء",AND($D237="",$E237="")),"",SUMPRODUCT(($A$4:$A237&lt;&gt;"")*($F$4:$F237&lt;&gt;"أحد الشركاء")*((($D$4:$D237&lt;&gt;"")+($E$4:$E237&lt;&gt;""))&gt;0)))</f>
        <v/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/>
      <c r="B238" s="36"/>
      <c r="C238" s="37"/>
      <c r="D238" s="38"/>
      <c r="E238" s="39"/>
      <c r="F238" s="136"/>
      <c r="G238" s="40"/>
      <c r="H238" s="41"/>
      <c r="I238" s="42"/>
      <c r="J238" s="43" t="str">
        <f>IF(AND(D238="",E238="",A238="",B238="",C238=""),"", IFERROR(IF(J237="",D2,J237),D2)+IF(E238="",0,E238)-IF(OR(G238="أبو اسحاق",G238="أبو آدم",G238="أبو اسحاق ",G238="أبو آدم "),0,IF(D238="",0,D238)))</f>
        <v/>
      </c>
      <c r="K238" s="44"/>
      <c r="L238" t="str">
        <f>IF(E237&gt;0,COUNTIF($E$4:E237,"&gt;0"),"")</f>
        <v/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 t="str">
        <f>IF(OR($A238="",$F238="أحد الشركاء",AND($D238="",$E238="")),"",SUMPRODUCT(($A$4:$A238&lt;&gt;"")*($F$4:$F238&lt;&gt;"أحد الشركاء")*((($D$4:$D238&lt;&gt;"")+($E$4:$E238&lt;&gt;""))&gt;0)))</f>
        <v/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/>
      <c r="B239" s="26"/>
      <c r="C239" s="27"/>
      <c r="D239" s="28"/>
      <c r="E239" s="29"/>
      <c r="F239" s="30"/>
      <c r="G239" s="31"/>
      <c r="H239" s="32"/>
      <c r="I239" s="33"/>
      <c r="J239" s="34" t="str">
        <f>IF(AND(D239="",E239="",A239="",B239="",C239=""),"", IFERROR(IF(J238="",D2,J238),D2)+IF(E239="",0,E239)-IF(OR(G239="أبو اسحاق",G239="أبو آدم",G239="أبو اسحاق ",G239="أبو آدم "),0,IF(D239="",0,D239)))</f>
        <v/>
      </c>
      <c r="K239" s="35"/>
      <c r="L239" t="str">
        <f>IF(E238&gt;0,COUNTIF($E$4:E238,"&gt;0"),"")</f>
        <v/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 t="str">
        <f>IF(OR($A239="",$F239="أحد الشركاء",AND($D239="",$E239="")),"",SUMPRODUCT(($A$4:$A239&lt;&gt;"")*($F$4:$F239&lt;&gt;"أحد الشركاء")*((($D$4:$D239&lt;&gt;"")+($E$4:$E239&lt;&gt;""))&gt;0)))</f>
        <v/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/>
      <c r="B240" s="36"/>
      <c r="C240" s="37"/>
      <c r="D240" s="38"/>
      <c r="E240" s="39"/>
      <c r="F240" s="136"/>
      <c r="G240" s="40"/>
      <c r="H240" s="41"/>
      <c r="I240" s="42"/>
      <c r="J240" s="43" t="str">
        <f>IF(AND(D240="",E240="",A240="",B240="",C240=""),"", IFERROR(IF(J239="",D2,J239),D2)+IF(E240="",0,E240)-IF(OR(G240="أبو اسحاق",G240="أبو آدم",G240="أبو اسحاق ",G240="أبو آدم "),0,IF(D240="",0,D240)))</f>
        <v/>
      </c>
      <c r="K240" s="44"/>
      <c r="L240" t="str">
        <f>IF(E239&gt;0,COUNTIF($E$4:E239,"&gt;0"),"")</f>
        <v/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 t="str">
        <f>IF(OR($A240="",$F240="أحد الشركاء",AND($D240="",$E240="")),"",SUMPRODUCT(($A$4:$A240&lt;&gt;"")*($F$4:$F240&lt;&gt;"أحد الشركاء")*((($D$4:$D240&lt;&gt;"")+($E$4:$E240&lt;&gt;""))&gt;0)))</f>
        <v/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 t="str">
        <f>IF(E240&gt;0,COUNTIF($E$4:E240,"&gt;0"),"")</f>
        <v/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3664.1450000000004</v>
      </c>
      <c r="E255" s="46">
        <f>SUM(E4:E253)</f>
        <v>2561.19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7">
    <mergeCell ref="F254:H254"/>
    <mergeCell ref="A2:C2"/>
    <mergeCell ref="E2:K2"/>
    <mergeCell ref="A1:K1"/>
    <mergeCell ref="A254:C254"/>
    <mergeCell ref="K189:K193"/>
    <mergeCell ref="K209:K214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2026-09-21T10:33:54Z</dcterms:modified>
  <dc:language>en-US</dc:language>
</cp:coreProperties>
</file>