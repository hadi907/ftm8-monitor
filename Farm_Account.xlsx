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B90A9A1-5051-448E-9B31-CB433FC149E5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<sst xmlns="http://schemas.openxmlformats.org/spreadsheetml/2006/main" count="883" uniqueCount="380">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</sst>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5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3" t="s">
        <v>0</v>
      </c>
      <c r="B1" s="150"/>
      <c r="C1" s="150"/>
      <c r="D1" s="150"/>
      <c r="E1" s="150"/>
      <c r="F1" s="151"/>
    </row>
    <row r="2" spans="1:6" ht="30" customHeight="1" x14ac:dyDescent="0.25">
      <c r="A2" s="152" t="s">
        <v>1</v>
      </c>
      <c r="B2" s="150"/>
      <c r="C2" s="150"/>
      <c r="D2" s="150"/>
      <c r="E2" s="151"/>
      <c r="F2" s="119">
        <f>F206</f>
        <v>176.69500000000005</v>
      </c>
    </row>
    <row r="3" spans="1:6" ht="6" customHeight="1" x14ac:dyDescent="0.25">
      <c r="A3" s="155"/>
      <c r="B3" s="150"/>
      <c r="C3" s="150"/>
      <c r="D3" s="150"/>
      <c r="E3" s="150"/>
      <c r="F3" s="151"/>
    </row>
    <row r="4" spans="1:6" ht="27.95" customHeight="1" x14ac:dyDescent="0.25">
      <c r="A4" s="154" t="s">
        <v>2</v>
      </c>
      <c r="B4" s="150"/>
      <c r="C4" s="150"/>
      <c r="D4" s="150"/>
      <c r="E4" s="150"/>
      <c r="F4" s="151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1286.44</v>
      </c>
      <c r="E206" s="129">
        <f>SUM(E6:E205)</f>
        <v>1109.7449999999999</v>
      </c>
      <c r="F206" s="130">
        <f>IFERROR(LOOKUP(2,1/($F$6:$F$205&lt;&gt;""),$F$6:$F$205),0)</f>
        <v>176.69500000000005</v>
      </c>
    </row>
    <row r="208" spans="1:6" ht="18" customHeight="1" x14ac:dyDescent="0.25">
      <c r="A208" s="149" t="s">
        <v>10</v>
      </c>
      <c r="B208" s="150"/>
      <c r="C208" s="150"/>
      <c r="D208" s="150"/>
      <c r="E208" s="150"/>
      <c r="F208" s="151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57" activePane="bottomLeft" state="frozen"/>
      <selection pane="bottomLeft" activeCell="C168" sqref="C16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7" ht="24" customHeight="1" x14ac:dyDescent="0.25">
      <c r="A2" s="159" t="s">
        <v>17</v>
      </c>
      <c r="B2" s="157"/>
      <c r="C2" s="157"/>
      <c r="D2" s="1">
        <v>0</v>
      </c>
      <c r="E2" s="160" t="s">
        <v>18</v>
      </c>
      <c r="F2" s="161"/>
      <c r="G2" s="161"/>
      <c r="H2" s="161"/>
      <c r="I2" s="161"/>
      <c r="J2" s="161"/>
      <c r="K2" s="161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3"/>
      <c r="B204" s="157"/>
      <c r="C204" s="158"/>
      <c r="D204" s="38"/>
      <c r="E204" s="39"/>
      <c r="F204" s="156"/>
      <c r="G204" s="157"/>
      <c r="H204" s="158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2891.2450000000003</v>
      </c>
      <c r="E205" s="46">
        <f>SUM(E4:E203)</f>
        <v>1286.44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4" t="s">
        <v>220</v>
      </c>
      <c r="B1" s="157"/>
      <c r="C1" s="157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6" t="s">
        <v>236</v>
      </c>
      <c r="B1" s="157"/>
    </row>
    <row r="2" spans="1:2" ht="21.75" customHeight="1" x14ac:dyDescent="0.25">
      <c r="A2" s="165" t="s">
        <v>237</v>
      </c>
      <c r="B2" s="157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5" t="s">
        <v>242</v>
      </c>
      <c r="B5" s="157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5" t="s">
        <v>251</v>
      </c>
      <c r="B11" s="157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ht="24" customHeight="1" x14ac:dyDescent="0.25">
      <c r="A2" s="167"/>
      <c r="B2" s="157"/>
      <c r="C2" s="56" t="s">
        <v>342</v>
      </c>
      <c r="D2" s="167">
        <v>2026</v>
      </c>
      <c r="E2" s="157"/>
      <c r="F2" s="56" t="s">
        <v>256</v>
      </c>
      <c r="G2" s="170" t="s">
        <v>257</v>
      </c>
      <c r="H2" s="161"/>
      <c r="I2" s="161"/>
      <c r="J2" s="161"/>
      <c r="K2" s="161"/>
    </row>
    <row r="3" spans="1:11" ht="19.5" customHeight="1" x14ac:dyDescent="0.25">
      <c r="A3" s="171" t="s">
        <v>258</v>
      </c>
      <c r="B3" s="157"/>
      <c r="C3" s="157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8" t="s">
        <v>265</v>
      </c>
      <c r="B155" s="157"/>
      <c r="C155" s="157"/>
      <c r="D155" s="75">
        <f>SUM(D5:D154)</f>
        <v>757.95</v>
      </c>
      <c r="E155" s="75">
        <f>SUM(E5:E154)</f>
        <v>535.25</v>
      </c>
      <c r="F155" s="169">
        <f>COUNTIF(H5:H154,"معلق")</f>
        <v>0</v>
      </c>
      <c r="G155" s="157"/>
      <c r="H155" s="157"/>
      <c r="I155" s="76"/>
      <c r="J155" s="75">
        <f>E155-D155</f>
        <v>-222.70000000000005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2" t="s">
        <v>268</v>
      </c>
      <c r="B1" s="157"/>
      <c r="C1" s="157"/>
      <c r="D1" s="157"/>
      <c r="E1" s="157"/>
      <c r="F1" s="157"/>
      <c r="G1" s="157"/>
    </row>
    <row r="2" spans="1:7" ht="24" customHeight="1" x14ac:dyDescent="0.25">
      <c r="A2" s="167" t="s">
        <v>269</v>
      </c>
      <c r="B2" s="157"/>
      <c r="C2" s="56" t="s">
        <v>342</v>
      </c>
      <c r="D2" s="167" t="s">
        <v>270</v>
      </c>
      <c r="E2" s="157"/>
      <c r="F2" s="56">
        <v>2026</v>
      </c>
    </row>
    <row r="3" spans="1:7" ht="21.75" customHeight="1" x14ac:dyDescent="0.25">
      <c r="A3" s="171" t="s">
        <v>271</v>
      </c>
      <c r="B3" s="157"/>
      <c r="C3" s="57">
        <f>المحفظة!$D$2</f>
        <v>0</v>
      </c>
      <c r="D3" s="171" t="s">
        <v>272</v>
      </c>
      <c r="E3" s="157"/>
      <c r="F3" s="78">
        <f>المحفظة!$C$3</f>
        <v>0</v>
      </c>
    </row>
    <row r="4" spans="1:7" ht="21.75" customHeight="1" x14ac:dyDescent="0.25">
      <c r="A4" s="172" t="s">
        <v>273</v>
      </c>
      <c r="B4" s="157"/>
      <c r="C4" s="157"/>
      <c r="D4" s="157"/>
      <c r="E4" s="157"/>
      <c r="F4" s="157"/>
      <c r="G4" s="157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7"/>
      <c r="C55" s="157"/>
      <c r="D55" s="157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4" t="s">
        <v>275</v>
      </c>
      <c r="B56" s="157"/>
      <c r="C56" s="157"/>
      <c r="D56" s="157"/>
      <c r="E56" s="157"/>
      <c r="F56" s="157"/>
      <c r="G56" s="157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4" t="s">
        <v>276</v>
      </c>
      <c r="B107" s="157"/>
      <c r="C107" s="157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8" t="s">
        <v>277</v>
      </c>
      <c r="B108" s="157"/>
      <c r="C108" s="157"/>
      <c r="D108" s="75">
        <f>E55-D107</f>
        <v>0</v>
      </c>
      <c r="E108" s="173">
        <f>SUM(E5:E107)</f>
        <v>0</v>
      </c>
      <c r="F108" s="157"/>
      <c r="G108" s="158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2026-08-28T07:12:38Z</dcterms:modified>
  <dc:language>en-US</dc:language>
</cp:coreProperties>
</file>