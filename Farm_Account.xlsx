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B58B742C-F62C-4033-A572-D1823A0D6EA5}" xr6:coauthVersionLast="36" xr6:coauthVersionMax="36" xr10:uidLastSave="{00000000-0000-0000-0000-000000000000}"/>
  <bookViews>
    <workbookView xWindow="0" yWindow="0" windowWidth="16380" windowHeight="8190" tabRatio="500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 iterateDelta="1E-4"/>
</workbook>
</file>

<file path=xl/calcChain.xml><?xml version="1.0" encoding="utf-8"?>
<calcChain xmlns="http://schemas.openxmlformats.org/spreadsheetml/2006/main">
  <c r="J127" i="2" l="1"/>
  <c r="J126" i="2"/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05" i="2"/>
  <c r="J205" i="2"/>
  <c r="F205" i="2"/>
  <c r="E205" i="2"/>
  <c r="D205" i="2"/>
  <c r="Q204" i="2"/>
  <c r="P204" i="2"/>
  <c r="O204" i="2"/>
  <c r="N204" i="2"/>
  <c r="M204" i="2"/>
  <c r="L204" i="2"/>
  <c r="J204" i="2"/>
  <c r="Q203" i="2"/>
  <c r="P203" i="2"/>
  <c r="O203" i="2"/>
  <c r="N203" i="2"/>
  <c r="M203" i="2"/>
  <c r="L203" i="2"/>
  <c r="J203" i="2"/>
  <c r="Q202" i="2"/>
  <c r="P202" i="2"/>
  <c r="O202" i="2"/>
  <c r="N202" i="2"/>
  <c r="M202" i="2"/>
  <c r="L202" i="2"/>
  <c r="J202" i="2"/>
  <c r="Q201" i="2"/>
  <c r="P201" i="2"/>
  <c r="O201" i="2"/>
  <c r="N201" i="2"/>
  <c r="M201" i="2"/>
  <c r="L201" i="2"/>
  <c r="J201" i="2"/>
  <c r="Q200" i="2"/>
  <c r="P200" i="2"/>
  <c r="O200" i="2"/>
  <c r="N200" i="2"/>
  <c r="M200" i="2"/>
  <c r="L200" i="2"/>
  <c r="J200" i="2"/>
  <c r="Q199" i="2"/>
  <c r="P199" i="2"/>
  <c r="O199" i="2"/>
  <c r="N199" i="2"/>
  <c r="M199" i="2"/>
  <c r="L199" i="2"/>
  <c r="J199" i="2"/>
  <c r="Q198" i="2"/>
  <c r="P198" i="2"/>
  <c r="O198" i="2"/>
  <c r="N198" i="2"/>
  <c r="M198" i="2"/>
  <c r="L198" i="2"/>
  <c r="J198" i="2"/>
  <c r="Q197" i="2"/>
  <c r="P197" i="2"/>
  <c r="O197" i="2"/>
  <c r="N197" i="2"/>
  <c r="M197" i="2"/>
  <c r="L197" i="2"/>
  <c r="J197" i="2"/>
  <c r="Q196" i="2"/>
  <c r="P196" i="2"/>
  <c r="O196" i="2"/>
  <c r="N196" i="2"/>
  <c r="M196" i="2"/>
  <c r="L196" i="2"/>
  <c r="J196" i="2"/>
  <c r="Q195" i="2"/>
  <c r="P195" i="2"/>
  <c r="O195" i="2"/>
  <c r="N195" i="2"/>
  <c r="M195" i="2"/>
  <c r="L195" i="2"/>
  <c r="J195" i="2"/>
  <c r="Q194" i="2"/>
  <c r="P194" i="2"/>
  <c r="O194" i="2"/>
  <c r="N194" i="2"/>
  <c r="M194" i="2"/>
  <c r="L194" i="2"/>
  <c r="J194" i="2"/>
  <c r="Q193" i="2"/>
  <c r="P193" i="2"/>
  <c r="O193" i="2"/>
  <c r="N193" i="2"/>
  <c r="M193" i="2"/>
  <c r="L193" i="2"/>
  <c r="J193" i="2"/>
  <c r="Q192" i="2"/>
  <c r="P192" i="2"/>
  <c r="O192" i="2"/>
  <c r="N192" i="2"/>
  <c r="M192" i="2"/>
  <c r="L192" i="2"/>
  <c r="J192" i="2"/>
  <c r="Q191" i="2"/>
  <c r="P191" i="2"/>
  <c r="O191" i="2"/>
  <c r="N191" i="2"/>
  <c r="M191" i="2"/>
  <c r="L191" i="2"/>
  <c r="J191" i="2"/>
  <c r="Q190" i="2"/>
  <c r="P190" i="2"/>
  <c r="O190" i="2"/>
  <c r="N190" i="2"/>
  <c r="M190" i="2"/>
  <c r="L190" i="2"/>
  <c r="J190" i="2"/>
  <c r="Q189" i="2"/>
  <c r="P189" i="2"/>
  <c r="O189" i="2"/>
  <c r="N189" i="2"/>
  <c r="M189" i="2"/>
  <c r="L189" i="2"/>
  <c r="J189" i="2"/>
  <c r="Q188" i="2"/>
  <c r="P188" i="2"/>
  <c r="O188" i="2"/>
  <c r="N188" i="2"/>
  <c r="M188" i="2"/>
  <c r="L188" i="2"/>
  <c r="J188" i="2"/>
  <c r="Q187" i="2"/>
  <c r="P187" i="2"/>
  <c r="O187" i="2"/>
  <c r="N187" i="2"/>
  <c r="M187" i="2"/>
  <c r="L187" i="2"/>
  <c r="J187" i="2"/>
  <c r="Q186" i="2"/>
  <c r="P186" i="2"/>
  <c r="O186" i="2"/>
  <c r="N186" i="2"/>
  <c r="M186" i="2"/>
  <c r="L186" i="2"/>
  <c r="J186" i="2"/>
  <c r="Q185" i="2"/>
  <c r="P185" i="2"/>
  <c r="O185" i="2"/>
  <c r="N185" i="2"/>
  <c r="M185" i="2"/>
  <c r="L185" i="2"/>
  <c r="J185" i="2"/>
  <c r="Q184" i="2"/>
  <c r="P184" i="2"/>
  <c r="O184" i="2"/>
  <c r="N184" i="2"/>
  <c r="M184" i="2"/>
  <c r="L184" i="2"/>
  <c r="J184" i="2"/>
  <c r="Q183" i="2"/>
  <c r="P183" i="2"/>
  <c r="O183" i="2"/>
  <c r="N183" i="2"/>
  <c r="M183" i="2"/>
  <c r="L183" i="2"/>
  <c r="J183" i="2"/>
  <c r="Q182" i="2"/>
  <c r="P182" i="2"/>
  <c r="O182" i="2"/>
  <c r="N182" i="2"/>
  <c r="M182" i="2"/>
  <c r="L182" i="2"/>
  <c r="J182" i="2"/>
  <c r="Q181" i="2"/>
  <c r="P181" i="2"/>
  <c r="O181" i="2"/>
  <c r="N181" i="2"/>
  <c r="M181" i="2"/>
  <c r="L181" i="2"/>
  <c r="J181" i="2"/>
  <c r="Q180" i="2"/>
  <c r="P180" i="2"/>
  <c r="O180" i="2"/>
  <c r="N180" i="2"/>
  <c r="M180" i="2"/>
  <c r="L180" i="2"/>
  <c r="J180" i="2"/>
  <c r="Q179" i="2"/>
  <c r="P179" i="2"/>
  <c r="O179" i="2"/>
  <c r="N179" i="2"/>
  <c r="M179" i="2"/>
  <c r="L179" i="2"/>
  <c r="J179" i="2"/>
  <c r="Q178" i="2"/>
  <c r="P178" i="2"/>
  <c r="O178" i="2"/>
  <c r="N178" i="2"/>
  <c r="M178" i="2"/>
  <c r="L178" i="2"/>
  <c r="J178" i="2"/>
  <c r="Q177" i="2"/>
  <c r="P177" i="2"/>
  <c r="O177" i="2"/>
  <c r="N177" i="2"/>
  <c r="M177" i="2"/>
  <c r="L177" i="2"/>
  <c r="J177" i="2"/>
  <c r="Q176" i="2"/>
  <c r="P176" i="2"/>
  <c r="O176" i="2"/>
  <c r="N176" i="2"/>
  <c r="M176" i="2"/>
  <c r="L176" i="2"/>
  <c r="J176" i="2"/>
  <c r="Q175" i="2"/>
  <c r="P175" i="2"/>
  <c r="O175" i="2"/>
  <c r="N175" i="2"/>
  <c r="M175" i="2"/>
  <c r="L175" i="2"/>
  <c r="J175" i="2"/>
  <c r="Q174" i="2"/>
  <c r="P174" i="2"/>
  <c r="O174" i="2"/>
  <c r="N174" i="2"/>
  <c r="M174" i="2"/>
  <c r="L174" i="2"/>
  <c r="J174" i="2"/>
  <c r="Q173" i="2"/>
  <c r="P173" i="2"/>
  <c r="O173" i="2"/>
  <c r="N173" i="2"/>
  <c r="M173" i="2"/>
  <c r="L173" i="2"/>
  <c r="J173" i="2"/>
  <c r="Q172" i="2"/>
  <c r="P172" i="2"/>
  <c r="O172" i="2"/>
  <c r="N172" i="2"/>
  <c r="M172" i="2"/>
  <c r="L172" i="2"/>
  <c r="J172" i="2"/>
  <c r="Q171" i="2"/>
  <c r="P171" i="2"/>
  <c r="O171" i="2"/>
  <c r="N171" i="2"/>
  <c r="M171" i="2"/>
  <c r="L171" i="2"/>
  <c r="J171" i="2"/>
  <c r="Q170" i="2"/>
  <c r="P170" i="2"/>
  <c r="O170" i="2"/>
  <c r="N170" i="2"/>
  <c r="M170" i="2"/>
  <c r="L170" i="2"/>
  <c r="J170" i="2"/>
  <c r="Q169" i="2"/>
  <c r="P169" i="2"/>
  <c r="O169" i="2"/>
  <c r="N169" i="2"/>
  <c r="M169" i="2"/>
  <c r="L169" i="2"/>
  <c r="J169" i="2"/>
  <c r="Q168" i="2"/>
  <c r="P168" i="2"/>
  <c r="O168" i="2"/>
  <c r="N168" i="2"/>
  <c r="M168" i="2"/>
  <c r="L168" i="2"/>
  <c r="J168" i="2"/>
  <c r="Q167" i="2"/>
  <c r="P167" i="2"/>
  <c r="O167" i="2"/>
  <c r="N167" i="2"/>
  <c r="M167" i="2"/>
  <c r="L167" i="2"/>
  <c r="J167" i="2"/>
  <c r="Q166" i="2"/>
  <c r="P166" i="2"/>
  <c r="O166" i="2"/>
  <c r="N166" i="2"/>
  <c r="M166" i="2"/>
  <c r="L166" i="2"/>
  <c r="J166" i="2"/>
  <c r="Q165" i="2"/>
  <c r="P165" i="2"/>
  <c r="O165" i="2"/>
  <c r="N165" i="2"/>
  <c r="M165" i="2"/>
  <c r="L165" i="2"/>
  <c r="J165" i="2"/>
  <c r="Q164" i="2"/>
  <c r="P164" i="2"/>
  <c r="O164" i="2"/>
  <c r="N164" i="2"/>
  <c r="M164" i="2"/>
  <c r="L164" i="2"/>
  <c r="J164" i="2"/>
  <c r="Q163" i="2"/>
  <c r="P163" i="2"/>
  <c r="O163" i="2"/>
  <c r="N163" i="2"/>
  <c r="M163" i="2"/>
  <c r="L163" i="2"/>
  <c r="J163" i="2"/>
  <c r="Q162" i="2"/>
  <c r="P162" i="2"/>
  <c r="O162" i="2"/>
  <c r="N162" i="2"/>
  <c r="M162" i="2"/>
  <c r="L162" i="2"/>
  <c r="J162" i="2"/>
  <c r="Q161" i="2"/>
  <c r="P161" i="2"/>
  <c r="O161" i="2"/>
  <c r="N161" i="2"/>
  <c r="M161" i="2"/>
  <c r="L161" i="2"/>
  <c r="J161" i="2"/>
  <c r="Q160" i="2"/>
  <c r="P160" i="2"/>
  <c r="O160" i="2"/>
  <c r="N160" i="2"/>
  <c r="M160" i="2"/>
  <c r="L160" i="2"/>
  <c r="J160" i="2"/>
  <c r="Q159" i="2"/>
  <c r="P159" i="2"/>
  <c r="O159" i="2"/>
  <c r="N159" i="2"/>
  <c r="M159" i="2"/>
  <c r="L159" i="2"/>
  <c r="J159" i="2"/>
  <c r="Q158" i="2"/>
  <c r="P158" i="2"/>
  <c r="O158" i="2"/>
  <c r="N158" i="2"/>
  <c r="M158" i="2"/>
  <c r="L158" i="2"/>
  <c r="J158" i="2"/>
  <c r="Q157" i="2"/>
  <c r="P157" i="2"/>
  <c r="O157" i="2"/>
  <c r="N157" i="2"/>
  <c r="M157" i="2"/>
  <c r="L157" i="2"/>
  <c r="J157" i="2"/>
  <c r="Q156" i="2"/>
  <c r="P156" i="2"/>
  <c r="O156" i="2"/>
  <c r="N156" i="2"/>
  <c r="M156" i="2"/>
  <c r="L156" i="2"/>
  <c r="J156" i="2"/>
  <c r="Q155" i="2"/>
  <c r="P155" i="2"/>
  <c r="O155" i="2"/>
  <c r="N155" i="2"/>
  <c r="M155" i="2"/>
  <c r="L155" i="2"/>
  <c r="J155" i="2"/>
  <c r="Q154" i="2"/>
  <c r="P154" i="2"/>
  <c r="O154" i="2"/>
  <c r="N154" i="2"/>
  <c r="M154" i="2"/>
  <c r="L154" i="2"/>
  <c r="J154" i="2"/>
  <c r="Q153" i="2"/>
  <c r="P153" i="2"/>
  <c r="O153" i="2"/>
  <c r="N153" i="2"/>
  <c r="M153" i="2"/>
  <c r="L153" i="2"/>
  <c r="J153" i="2"/>
  <c r="Q152" i="2"/>
  <c r="P152" i="2"/>
  <c r="O152" i="2"/>
  <c r="N152" i="2"/>
  <c r="M152" i="2"/>
  <c r="L152" i="2"/>
  <c r="J152" i="2"/>
  <c r="Q151" i="2"/>
  <c r="P151" i="2"/>
  <c r="O151" i="2"/>
  <c r="N151" i="2"/>
  <c r="M151" i="2"/>
  <c r="L151" i="2"/>
  <c r="J151" i="2"/>
  <c r="Q150" i="2"/>
  <c r="P150" i="2"/>
  <c r="O150" i="2"/>
  <c r="N150" i="2"/>
  <c r="M150" i="2"/>
  <c r="L150" i="2"/>
  <c r="J150" i="2"/>
  <c r="Q149" i="2"/>
  <c r="P149" i="2"/>
  <c r="O149" i="2"/>
  <c r="N149" i="2"/>
  <c r="M149" i="2"/>
  <c r="L149" i="2"/>
  <c r="J149" i="2"/>
  <c r="Q148" i="2"/>
  <c r="P148" i="2"/>
  <c r="O148" i="2"/>
  <c r="N148" i="2"/>
  <c r="M148" i="2"/>
  <c r="L148" i="2"/>
  <c r="J148" i="2"/>
  <c r="Q147" i="2"/>
  <c r="P147" i="2"/>
  <c r="O147" i="2"/>
  <c r="N147" i="2"/>
  <c r="M147" i="2"/>
  <c r="L147" i="2"/>
  <c r="J147" i="2"/>
  <c r="Q146" i="2"/>
  <c r="P146" i="2"/>
  <c r="O146" i="2"/>
  <c r="N146" i="2"/>
  <c r="M146" i="2"/>
  <c r="L146" i="2"/>
  <c r="J146" i="2"/>
  <c r="Q145" i="2"/>
  <c r="P145" i="2"/>
  <c r="O145" i="2"/>
  <c r="N145" i="2"/>
  <c r="M145" i="2"/>
  <c r="L145" i="2"/>
  <c r="J145" i="2"/>
  <c r="Q144" i="2"/>
  <c r="P144" i="2"/>
  <c r="O144" i="2"/>
  <c r="N144" i="2"/>
  <c r="M144" i="2"/>
  <c r="L144" i="2"/>
  <c r="J144" i="2"/>
  <c r="Q143" i="2"/>
  <c r="P143" i="2"/>
  <c r="O143" i="2"/>
  <c r="N143" i="2"/>
  <c r="M143" i="2"/>
  <c r="L143" i="2"/>
  <c r="J143" i="2"/>
  <c r="Q142" i="2"/>
  <c r="P142" i="2"/>
  <c r="O142" i="2"/>
  <c r="N142" i="2"/>
  <c r="M142" i="2"/>
  <c r="L142" i="2"/>
  <c r="J142" i="2"/>
  <c r="Q141" i="2"/>
  <c r="P141" i="2"/>
  <c r="O141" i="2"/>
  <c r="N141" i="2"/>
  <c r="M141" i="2"/>
  <c r="L141" i="2"/>
  <c r="J141" i="2"/>
  <c r="Q140" i="2"/>
  <c r="P140" i="2"/>
  <c r="O140" i="2"/>
  <c r="N140" i="2"/>
  <c r="M140" i="2"/>
  <c r="L140" i="2"/>
  <c r="J140" i="2"/>
  <c r="Q139" i="2"/>
  <c r="P139" i="2"/>
  <c r="O139" i="2"/>
  <c r="N139" i="2"/>
  <c r="M139" i="2"/>
  <c r="L139" i="2"/>
  <c r="J139" i="2"/>
  <c r="Q138" i="2"/>
  <c r="P138" i="2"/>
  <c r="O138" i="2"/>
  <c r="N138" i="2"/>
  <c r="M138" i="2"/>
  <c r="L138" i="2"/>
  <c r="J138" i="2"/>
  <c r="Q137" i="2"/>
  <c r="P137" i="2"/>
  <c r="O137" i="2"/>
  <c r="N137" i="2"/>
  <c r="M137" i="2"/>
  <c r="L137" i="2"/>
  <c r="J137" i="2"/>
  <c r="Q136" i="2"/>
  <c r="P136" i="2"/>
  <c r="O136" i="2"/>
  <c r="N136" i="2"/>
  <c r="M136" i="2"/>
  <c r="L136" i="2"/>
  <c r="J136" i="2"/>
  <c r="Q135" i="2"/>
  <c r="P135" i="2"/>
  <c r="O135" i="2"/>
  <c r="N135" i="2"/>
  <c r="M135" i="2"/>
  <c r="L135" i="2"/>
  <c r="J135" i="2"/>
  <c r="Q134" i="2"/>
  <c r="P134" i="2"/>
  <c r="O134" i="2"/>
  <c r="N134" i="2"/>
  <c r="M134" i="2"/>
  <c r="L134" i="2"/>
  <c r="J134" i="2"/>
  <c r="Q133" i="2"/>
  <c r="P133" i="2"/>
  <c r="O133" i="2"/>
  <c r="N133" i="2"/>
  <c r="M133" i="2"/>
  <c r="L133" i="2"/>
  <c r="J133" i="2"/>
  <c r="Q132" i="2"/>
  <c r="P132" i="2"/>
  <c r="O132" i="2"/>
  <c r="N132" i="2"/>
  <c r="M132" i="2"/>
  <c r="L132" i="2"/>
  <c r="J132" i="2"/>
  <c r="Q131" i="2"/>
  <c r="P131" i="2"/>
  <c r="O131" i="2"/>
  <c r="M131" i="2"/>
  <c r="L131" i="2"/>
  <c r="J131" i="2"/>
  <c r="Q130" i="2"/>
  <c r="P130" i="2"/>
  <c r="O130" i="2"/>
  <c r="N130" i="2"/>
  <c r="N131" i="2" s="1"/>
  <c r="M130" i="2"/>
  <c r="L130" i="2"/>
  <c r="J130" i="2"/>
  <c r="Q129" i="2"/>
  <c r="P129" i="2"/>
  <c r="O129" i="2"/>
  <c r="N129" i="2"/>
  <c r="M129" i="2"/>
  <c r="L129" i="2"/>
  <c r="J129" i="2"/>
  <c r="Q128" i="2"/>
  <c r="P128" i="2"/>
  <c r="O128" i="2"/>
  <c r="N128" i="2"/>
  <c r="M128" i="2"/>
  <c r="L128" i="2"/>
  <c r="J128" i="2"/>
  <c r="Q127" i="2"/>
  <c r="P127" i="2"/>
  <c r="O127" i="2"/>
  <c r="N127" i="2"/>
  <c r="M127" i="2"/>
  <c r="L127" i="2"/>
  <c r="Q126" i="2"/>
  <c r="P126" i="2"/>
  <c r="O126" i="2"/>
  <c r="M126" i="2"/>
  <c r="L126" i="2"/>
  <c r="Q125" i="2"/>
  <c r="P125" i="2"/>
  <c r="O125" i="2"/>
  <c r="M125" i="2"/>
  <c r="L125" i="2"/>
  <c r="J125" i="2"/>
  <c r="Q124" i="2"/>
  <c r="P124" i="2"/>
  <c r="O124" i="2"/>
  <c r="M124" i="2"/>
  <c r="L124" i="2"/>
  <c r="J124" i="2"/>
  <c r="Q123" i="2"/>
  <c r="P123" i="2"/>
  <c r="O123" i="2"/>
  <c r="M123" i="2"/>
  <c r="L123" i="2"/>
  <c r="J123" i="2"/>
  <c r="Q122" i="2"/>
  <c r="P122" i="2"/>
  <c r="O122" i="2"/>
  <c r="M122" i="2"/>
  <c r="L122" i="2"/>
  <c r="J122" i="2"/>
  <c r="Q121" i="2"/>
  <c r="P121" i="2"/>
  <c r="O121" i="2"/>
  <c r="M121" i="2"/>
  <c r="L121" i="2"/>
  <c r="J121" i="2"/>
  <c r="Q120" i="2"/>
  <c r="P120" i="2"/>
  <c r="O120" i="2"/>
  <c r="M120" i="2"/>
  <c r="L120" i="2"/>
  <c r="J120" i="2"/>
  <c r="Q119" i="2"/>
  <c r="P119" i="2"/>
  <c r="O119" i="2"/>
  <c r="M119" i="2"/>
  <c r="L119" i="2"/>
  <c r="J119" i="2"/>
  <c r="Q118" i="2"/>
  <c r="P118" i="2"/>
  <c r="O118" i="2"/>
  <c r="M118" i="2"/>
  <c r="L118" i="2"/>
  <c r="J118" i="2"/>
  <c r="Q117" i="2"/>
  <c r="P117" i="2"/>
  <c r="O117" i="2"/>
  <c r="M117" i="2"/>
  <c r="L117" i="2"/>
  <c r="Q116" i="2"/>
  <c r="P116" i="2"/>
  <c r="O116" i="2"/>
  <c r="M116" i="2"/>
  <c r="L116" i="2"/>
  <c r="J116" i="2"/>
  <c r="J117" i="2" s="1"/>
  <c r="Q115" i="2"/>
  <c r="P115" i="2"/>
  <c r="O115" i="2"/>
  <c r="M115" i="2"/>
  <c r="L115" i="2"/>
  <c r="J115" i="2"/>
  <c r="Q114" i="2"/>
  <c r="P114" i="2"/>
  <c r="O114" i="2"/>
  <c r="M114" i="2"/>
  <c r="L114" i="2"/>
  <c r="Q113" i="2"/>
  <c r="P113" i="2"/>
  <c r="O113" i="2"/>
  <c r="M113" i="2"/>
  <c r="L113" i="2"/>
  <c r="J113" i="2"/>
  <c r="J114" i="2" s="1"/>
  <c r="Q112" i="2"/>
  <c r="P112" i="2"/>
  <c r="O112" i="2"/>
  <c r="M112" i="2"/>
  <c r="L112" i="2"/>
  <c r="Q111" i="2"/>
  <c r="P111" i="2"/>
  <c r="O111" i="2"/>
  <c r="M111" i="2"/>
  <c r="L111" i="2"/>
  <c r="Q110" i="2"/>
  <c r="P110" i="2"/>
  <c r="O110" i="2"/>
  <c r="M110" i="2"/>
  <c r="L110" i="2"/>
  <c r="Q109" i="2"/>
  <c r="P109" i="2"/>
  <c r="O109" i="2"/>
  <c r="M109" i="2"/>
  <c r="L109" i="2"/>
  <c r="Q108" i="2"/>
  <c r="P108" i="2"/>
  <c r="O108" i="2"/>
  <c r="M108" i="2"/>
  <c r="L108" i="2"/>
  <c r="Q107" i="2"/>
  <c r="P107" i="2"/>
  <c r="O107" i="2"/>
  <c r="M107" i="2"/>
  <c r="L107" i="2"/>
  <c r="Q106" i="2"/>
  <c r="P106" i="2"/>
  <c r="O106" i="2"/>
  <c r="M106" i="2"/>
  <c r="L106" i="2"/>
  <c r="Q105" i="2"/>
  <c r="P105" i="2"/>
  <c r="O105" i="2"/>
  <c r="M105" i="2"/>
  <c r="L105" i="2"/>
  <c r="J105" i="2"/>
  <c r="J106" i="2" s="1"/>
  <c r="J107" i="2" s="1"/>
  <c r="J108" i="2" s="1"/>
  <c r="J109" i="2" s="1"/>
  <c r="J110" i="2" s="1"/>
  <c r="J111" i="2" s="1"/>
  <c r="J112" i="2" s="1"/>
  <c r="Q104" i="2"/>
  <c r="P104" i="2"/>
  <c r="O104" i="2"/>
  <c r="M104" i="2"/>
  <c r="L104" i="2"/>
  <c r="Q103" i="2"/>
  <c r="P103" i="2"/>
  <c r="O103" i="2"/>
  <c r="M103" i="2"/>
  <c r="L103" i="2"/>
  <c r="Q102" i="2"/>
  <c r="P102" i="2"/>
  <c r="O102" i="2"/>
  <c r="M102" i="2"/>
  <c r="L102" i="2"/>
  <c r="Q101" i="2"/>
  <c r="P101" i="2"/>
  <c r="O101" i="2"/>
  <c r="M101" i="2"/>
  <c r="L101" i="2"/>
  <c r="Q100" i="2"/>
  <c r="P100" i="2"/>
  <c r="O100" i="2"/>
  <c r="M100" i="2"/>
  <c r="L100" i="2"/>
  <c r="Q99" i="2"/>
  <c r="P99" i="2"/>
  <c r="O99" i="2"/>
  <c r="M99" i="2"/>
  <c r="L99" i="2"/>
  <c r="Q98" i="2"/>
  <c r="P98" i="2"/>
  <c r="O98" i="2"/>
  <c r="M98" i="2"/>
  <c r="L98" i="2"/>
  <c r="Q97" i="2"/>
  <c r="P97" i="2"/>
  <c r="O97" i="2"/>
  <c r="M97" i="2"/>
  <c r="L97" i="2"/>
  <c r="Q96" i="2"/>
  <c r="P96" i="2"/>
  <c r="O96" i="2"/>
  <c r="M96" i="2"/>
  <c r="L96" i="2"/>
  <c r="Q95" i="2"/>
  <c r="P95" i="2"/>
  <c r="O95" i="2"/>
  <c r="M95" i="2"/>
  <c r="L95" i="2"/>
  <c r="Q94" i="2"/>
  <c r="P94" i="2"/>
  <c r="O94" i="2"/>
  <c r="M94" i="2"/>
  <c r="L94" i="2"/>
  <c r="Q93" i="2"/>
  <c r="P93" i="2"/>
  <c r="O93" i="2"/>
  <c r="M93" i="2"/>
  <c r="L93" i="2"/>
  <c r="Q92" i="2"/>
  <c r="P92" i="2"/>
  <c r="O92" i="2"/>
  <c r="M92" i="2"/>
  <c r="L92" i="2"/>
  <c r="Q91" i="2"/>
  <c r="P91" i="2"/>
  <c r="O91" i="2"/>
  <c r="M91" i="2"/>
  <c r="L91" i="2"/>
  <c r="Q90" i="2"/>
  <c r="P90" i="2"/>
  <c r="O90" i="2"/>
  <c r="M90" i="2"/>
  <c r="L90" i="2"/>
  <c r="Q89" i="2"/>
  <c r="P89" i="2"/>
  <c r="O89" i="2"/>
  <c r="M89" i="2"/>
  <c r="L89" i="2"/>
  <c r="Q88" i="2"/>
  <c r="P88" i="2"/>
  <c r="O88" i="2"/>
  <c r="M88" i="2"/>
  <c r="L88" i="2"/>
  <c r="Q87" i="2"/>
  <c r="P87" i="2"/>
  <c r="O87" i="2"/>
  <c r="M87" i="2"/>
  <c r="L87" i="2"/>
  <c r="Q86" i="2"/>
  <c r="P86" i="2"/>
  <c r="O86" i="2"/>
  <c r="M86" i="2"/>
  <c r="L86" i="2"/>
  <c r="Q85" i="2"/>
  <c r="P85" i="2"/>
  <c r="O85" i="2"/>
  <c r="M85" i="2"/>
  <c r="L85" i="2"/>
  <c r="Q84" i="2"/>
  <c r="P84" i="2"/>
  <c r="O84" i="2"/>
  <c r="M84" i="2"/>
  <c r="L84" i="2"/>
  <c r="Q83" i="2"/>
  <c r="P83" i="2"/>
  <c r="O83" i="2"/>
  <c r="M83" i="2"/>
  <c r="L83" i="2"/>
  <c r="Q82" i="2"/>
  <c r="P82" i="2"/>
  <c r="O82" i="2"/>
  <c r="M82" i="2"/>
  <c r="L82" i="2"/>
  <c r="Q81" i="2"/>
  <c r="P81" i="2"/>
  <c r="O81" i="2"/>
  <c r="M81" i="2"/>
  <c r="L81" i="2"/>
  <c r="Q80" i="2"/>
  <c r="P80" i="2"/>
  <c r="O80" i="2"/>
  <c r="M80" i="2"/>
  <c r="L80" i="2"/>
  <c r="Q79" i="2"/>
  <c r="P79" i="2"/>
  <c r="O79" i="2"/>
  <c r="M79" i="2"/>
  <c r="L79" i="2"/>
  <c r="Q78" i="2"/>
  <c r="P78" i="2"/>
  <c r="O78" i="2"/>
  <c r="M78" i="2"/>
  <c r="L78" i="2"/>
  <c r="Q77" i="2"/>
  <c r="P77" i="2"/>
  <c r="O77" i="2"/>
  <c r="M77" i="2"/>
  <c r="L77" i="2"/>
  <c r="Q76" i="2"/>
  <c r="P76" i="2"/>
  <c r="O76" i="2"/>
  <c r="M76" i="2"/>
  <c r="L76" i="2"/>
  <c r="Q75" i="2"/>
  <c r="P75" i="2"/>
  <c r="O75" i="2"/>
  <c r="M75" i="2"/>
  <c r="L75" i="2"/>
  <c r="Q74" i="2"/>
  <c r="P74" i="2"/>
  <c r="O74" i="2"/>
  <c r="M74" i="2"/>
  <c r="L74" i="2"/>
  <c r="Q73" i="2"/>
  <c r="P73" i="2"/>
  <c r="O73" i="2"/>
  <c r="M73" i="2"/>
  <c r="L73" i="2"/>
  <c r="Q72" i="2"/>
  <c r="P72" i="2"/>
  <c r="O72" i="2"/>
  <c r="M72" i="2"/>
  <c r="L72" i="2"/>
  <c r="Q71" i="2"/>
  <c r="P71" i="2"/>
  <c r="O71" i="2"/>
  <c r="M71" i="2"/>
  <c r="L71" i="2"/>
  <c r="Q70" i="2"/>
  <c r="P70" i="2"/>
  <c r="O70" i="2"/>
  <c r="M70" i="2"/>
  <c r="L70" i="2"/>
  <c r="Q69" i="2"/>
  <c r="P69" i="2"/>
  <c r="O69" i="2"/>
  <c r="M69" i="2"/>
  <c r="L69" i="2"/>
  <c r="Q68" i="2"/>
  <c r="P68" i="2"/>
  <c r="O68" i="2"/>
  <c r="M68" i="2"/>
  <c r="L68" i="2"/>
  <c r="Q67" i="2"/>
  <c r="P67" i="2"/>
  <c r="O67" i="2"/>
  <c r="M67" i="2"/>
  <c r="L67" i="2"/>
  <c r="Q66" i="2"/>
  <c r="P66" i="2"/>
  <c r="O66" i="2"/>
  <c r="M66" i="2"/>
  <c r="L66" i="2"/>
  <c r="Q65" i="2"/>
  <c r="P65" i="2"/>
  <c r="O65" i="2"/>
  <c r="M65" i="2"/>
  <c r="L65" i="2"/>
  <c r="Q64" i="2"/>
  <c r="P64" i="2"/>
  <c r="O64" i="2"/>
  <c r="M64" i="2"/>
  <c r="L64" i="2"/>
  <c r="Q63" i="2"/>
  <c r="P63" i="2"/>
  <c r="O63" i="2"/>
  <c r="M63" i="2"/>
  <c r="L63" i="2"/>
  <c r="Q62" i="2"/>
  <c r="P62" i="2"/>
  <c r="O62" i="2"/>
  <c r="M62" i="2"/>
  <c r="L62" i="2"/>
  <c r="Q61" i="2"/>
  <c r="P61" i="2"/>
  <c r="O61" i="2"/>
  <c r="M61" i="2"/>
  <c r="L61" i="2"/>
  <c r="Q60" i="2"/>
  <c r="P60" i="2"/>
  <c r="O60" i="2"/>
  <c r="M60" i="2"/>
  <c r="L60" i="2"/>
  <c r="Q59" i="2"/>
  <c r="P59" i="2"/>
  <c r="O59" i="2"/>
  <c r="M59" i="2"/>
  <c r="L59" i="2"/>
  <c r="Q58" i="2"/>
  <c r="P58" i="2"/>
  <c r="O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P5" i="2"/>
  <c r="O5" i="2"/>
  <c r="N5" i="2"/>
  <c r="M5" i="2"/>
  <c r="L5" i="2"/>
  <c r="Q4" i="2"/>
  <c r="P4" i="2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E220" i="1"/>
  <c r="D220" i="1"/>
  <c r="C220" i="1"/>
  <c r="B220" i="1"/>
  <c r="A220" i="1"/>
  <c r="E219" i="1"/>
  <c r="D219" i="1"/>
  <c r="C219" i="1"/>
  <c r="B219" i="1"/>
  <c r="A219" i="1"/>
  <c r="E218" i="1"/>
  <c r="D218" i="1"/>
  <c r="C218" i="1"/>
  <c r="B218" i="1"/>
  <c r="A218" i="1"/>
  <c r="E217" i="1"/>
  <c r="D217" i="1"/>
  <c r="C217" i="1"/>
  <c r="B217" i="1"/>
  <c r="A217" i="1"/>
  <c r="E216" i="1"/>
  <c r="D216" i="1"/>
  <c r="C216" i="1"/>
  <c r="B216" i="1"/>
  <c r="A216" i="1"/>
  <c r="E215" i="1"/>
  <c r="D215" i="1"/>
  <c r="C215" i="1"/>
  <c r="B215" i="1"/>
  <c r="A215" i="1"/>
  <c r="E214" i="1"/>
  <c r="D214" i="1"/>
  <c r="C214" i="1"/>
  <c r="B214" i="1"/>
  <c r="A214" i="1"/>
  <c r="E213" i="1"/>
  <c r="D213" i="1"/>
  <c r="C213" i="1"/>
  <c r="B213" i="1"/>
  <c r="A213" i="1"/>
  <c r="E212" i="1"/>
  <c r="D212" i="1"/>
  <c r="C212" i="1"/>
  <c r="B212" i="1"/>
  <c r="A212" i="1"/>
  <c r="E211" i="1"/>
  <c r="D211" i="1"/>
  <c r="C211" i="1"/>
  <c r="B211" i="1"/>
  <c r="A211" i="1"/>
  <c r="E210" i="1"/>
  <c r="D210" i="1"/>
  <c r="C210" i="1"/>
  <c r="B210" i="1"/>
  <c r="A210" i="1"/>
  <c r="E89" i="1"/>
  <c r="D89" i="1"/>
  <c r="C89" i="1"/>
  <c r="B89" i="1"/>
  <c r="A89" i="1"/>
  <c r="E88" i="1"/>
  <c r="D88" i="1"/>
  <c r="C88" i="1"/>
  <c r="B88" i="1"/>
  <c r="A88" i="1"/>
  <c r="E87" i="1"/>
  <c r="D87" i="1"/>
  <c r="C87" i="1"/>
  <c r="B87" i="1"/>
  <c r="A87" i="1"/>
  <c r="E86" i="1"/>
  <c r="D86" i="1"/>
  <c r="C86" i="1"/>
  <c r="B86" i="1"/>
  <c r="A86" i="1"/>
  <c r="E85" i="1"/>
  <c r="D85" i="1"/>
  <c r="C85" i="1"/>
  <c r="B85" i="1"/>
  <c r="A85" i="1"/>
  <c r="E84" i="1"/>
  <c r="D84" i="1"/>
  <c r="C84" i="1"/>
  <c r="B84" i="1"/>
  <c r="A84" i="1"/>
  <c r="E83" i="1"/>
  <c r="D83" i="1"/>
  <c r="C83" i="1"/>
  <c r="B83" i="1"/>
  <c r="A83" i="1"/>
  <c r="E82" i="1"/>
  <c r="D82" i="1"/>
  <c r="C82" i="1"/>
  <c r="B82" i="1"/>
  <c r="A82" i="1"/>
  <c r="E81" i="1"/>
  <c r="D81" i="1"/>
  <c r="C81" i="1"/>
  <c r="B81" i="1"/>
  <c r="A81" i="1"/>
  <c r="E80" i="1"/>
  <c r="D80" i="1"/>
  <c r="C80" i="1"/>
  <c r="B80" i="1"/>
  <c r="A80" i="1"/>
  <c r="E79" i="1"/>
  <c r="D79" i="1"/>
  <c r="C79" i="1"/>
  <c r="B79" i="1"/>
  <c r="A79" i="1"/>
  <c r="E78" i="1"/>
  <c r="D78" i="1"/>
  <c r="C78" i="1"/>
  <c r="B78" i="1"/>
  <c r="A78" i="1"/>
  <c r="E77" i="1"/>
  <c r="D77" i="1"/>
  <c r="C77" i="1"/>
  <c r="B77" i="1"/>
  <c r="A77" i="1"/>
  <c r="E76" i="1"/>
  <c r="D76" i="1"/>
  <c r="C76" i="1"/>
  <c r="B76" i="1"/>
  <c r="A76" i="1"/>
  <c r="E75" i="1"/>
  <c r="D75" i="1"/>
  <c r="C75" i="1"/>
  <c r="B75" i="1"/>
  <c r="A75" i="1"/>
  <c r="E74" i="1"/>
  <c r="D74" i="1"/>
  <c r="C74" i="1"/>
  <c r="B74" i="1"/>
  <c r="A74" i="1"/>
  <c r="E73" i="1"/>
  <c r="D73" i="1"/>
  <c r="C73" i="1"/>
  <c r="B73" i="1"/>
  <c r="A73" i="1"/>
  <c r="E72" i="1"/>
  <c r="D72" i="1"/>
  <c r="C72" i="1"/>
  <c r="B72" i="1"/>
  <c r="A72" i="1"/>
  <c r="E71" i="1"/>
  <c r="D71" i="1"/>
  <c r="C71" i="1"/>
  <c r="B71" i="1"/>
  <c r="A71" i="1"/>
  <c r="E70" i="1"/>
  <c r="D70" i="1"/>
  <c r="C70" i="1"/>
  <c r="B70" i="1"/>
  <c r="A70" i="1"/>
  <c r="E69" i="1"/>
  <c r="D69" i="1"/>
  <c r="C69" i="1"/>
  <c r="B69" i="1"/>
  <c r="A69" i="1"/>
  <c r="E68" i="1"/>
  <c r="D68" i="1"/>
  <c r="C68" i="1"/>
  <c r="B68" i="1"/>
  <c r="A68" i="1"/>
  <c r="E67" i="1"/>
  <c r="D67" i="1"/>
  <c r="C67" i="1"/>
  <c r="B67" i="1"/>
  <c r="A67" i="1"/>
  <c r="E66" i="1"/>
  <c r="D66" i="1"/>
  <c r="C66" i="1"/>
  <c r="B66" i="1"/>
  <c r="A66" i="1"/>
  <c r="E65" i="1"/>
  <c r="D65" i="1"/>
  <c r="C65" i="1"/>
  <c r="B65" i="1"/>
  <c r="A65" i="1"/>
  <c r="E64" i="1"/>
  <c r="D64" i="1"/>
  <c r="C64" i="1"/>
  <c r="B64" i="1"/>
  <c r="A64" i="1"/>
  <c r="E63" i="1"/>
  <c r="D63" i="1"/>
  <c r="C63" i="1"/>
  <c r="B63" i="1"/>
  <c r="A63" i="1"/>
  <c r="E62" i="1"/>
  <c r="D62" i="1"/>
  <c r="C62" i="1"/>
  <c r="B62" i="1"/>
  <c r="A62" i="1"/>
  <c r="E61" i="1"/>
  <c r="D61" i="1"/>
  <c r="C61" i="1"/>
  <c r="B61" i="1"/>
  <c r="A61" i="1"/>
  <c r="E60" i="1"/>
  <c r="D60" i="1"/>
  <c r="C60" i="1"/>
  <c r="B60" i="1"/>
  <c r="A60" i="1"/>
  <c r="E59" i="1"/>
  <c r="D59" i="1"/>
  <c r="C59" i="1"/>
  <c r="B59" i="1"/>
  <c r="A59" i="1"/>
  <c r="E58" i="1"/>
  <c r="D58" i="1"/>
  <c r="C58" i="1"/>
  <c r="B58" i="1"/>
  <c r="A58" i="1"/>
  <c r="E57" i="1"/>
  <c r="D57" i="1"/>
  <c r="C57" i="1"/>
  <c r="B57" i="1"/>
  <c r="A57" i="1"/>
  <c r="E56" i="1"/>
  <c r="D56" i="1"/>
  <c r="C56" i="1"/>
  <c r="B56" i="1"/>
  <c r="A56" i="1"/>
  <c r="E55" i="1"/>
  <c r="D55" i="1"/>
  <c r="C55" i="1"/>
  <c r="B55" i="1"/>
  <c r="A55" i="1"/>
  <c r="E54" i="1"/>
  <c r="D54" i="1"/>
  <c r="C54" i="1"/>
  <c r="B54" i="1"/>
  <c r="A54" i="1"/>
  <c r="E53" i="1"/>
  <c r="D53" i="1"/>
  <c r="C53" i="1"/>
  <c r="B53" i="1"/>
  <c r="A53" i="1"/>
  <c r="E52" i="1"/>
  <c r="D52" i="1"/>
  <c r="C52" i="1"/>
  <c r="B52" i="1"/>
  <c r="A52" i="1"/>
  <c r="E51" i="1"/>
  <c r="D51" i="1"/>
  <c r="C51" i="1"/>
  <c r="B51" i="1"/>
  <c r="A51" i="1"/>
  <c r="E50" i="1"/>
  <c r="D50" i="1"/>
  <c r="C50" i="1"/>
  <c r="B50" i="1"/>
  <c r="A50" i="1"/>
  <c r="E49" i="1"/>
  <c r="D49" i="1"/>
  <c r="C49" i="1"/>
  <c r="B49" i="1"/>
  <c r="A49" i="1"/>
  <c r="E48" i="1"/>
  <c r="D48" i="1"/>
  <c r="C48" i="1"/>
  <c r="B48" i="1"/>
  <c r="A48" i="1"/>
  <c r="E47" i="1"/>
  <c r="D47" i="1"/>
  <c r="C47" i="1"/>
  <c r="B47" i="1"/>
  <c r="A47" i="1"/>
  <c r="E46" i="1"/>
  <c r="D46" i="1"/>
  <c r="C46" i="1"/>
  <c r="B46" i="1"/>
  <c r="A46" i="1"/>
  <c r="E45" i="1"/>
  <c r="D45" i="1"/>
  <c r="C45" i="1"/>
  <c r="B45" i="1"/>
  <c r="A45" i="1"/>
  <c r="E44" i="1"/>
  <c r="D44" i="1"/>
  <c r="C44" i="1"/>
  <c r="B44" i="1"/>
  <c r="A44" i="1"/>
  <c r="E43" i="1"/>
  <c r="D43" i="1"/>
  <c r="C43" i="1"/>
  <c r="B43" i="1"/>
  <c r="A43" i="1"/>
  <c r="E42" i="1"/>
  <c r="D42" i="1"/>
  <c r="C42" i="1"/>
  <c r="B42" i="1"/>
  <c r="A42" i="1"/>
  <c r="E41" i="1"/>
  <c r="D41" i="1"/>
  <c r="C41" i="1"/>
  <c r="B41" i="1"/>
  <c r="A41" i="1"/>
  <c r="E40" i="1"/>
  <c r="D40" i="1"/>
  <c r="C40" i="1"/>
  <c r="B40" i="1"/>
  <c r="A40" i="1"/>
  <c r="E39" i="1"/>
  <c r="D39" i="1"/>
  <c r="C39" i="1"/>
  <c r="B39" i="1"/>
  <c r="A39" i="1"/>
  <c r="E38" i="1"/>
  <c r="D38" i="1"/>
  <c r="C38" i="1"/>
  <c r="B38" i="1"/>
  <c r="A38" i="1"/>
  <c r="E37" i="1"/>
  <c r="D37" i="1"/>
  <c r="C37" i="1"/>
  <c r="B37" i="1"/>
  <c r="A37" i="1"/>
  <c r="E36" i="1"/>
  <c r="D36" i="1"/>
  <c r="C36" i="1"/>
  <c r="B36" i="1"/>
  <c r="A36" i="1"/>
  <c r="E35" i="1"/>
  <c r="D35" i="1"/>
  <c r="C35" i="1"/>
  <c r="B35" i="1"/>
  <c r="A35" i="1"/>
  <c r="E34" i="1"/>
  <c r="D34" i="1"/>
  <c r="C34" i="1"/>
  <c r="B34" i="1"/>
  <c r="A34" i="1"/>
  <c r="E33" i="1"/>
  <c r="D33" i="1"/>
  <c r="C33" i="1"/>
  <c r="B33" i="1"/>
  <c r="A33" i="1"/>
  <c r="E32" i="1"/>
  <c r="D32" i="1"/>
  <c r="C32" i="1"/>
  <c r="B32" i="1"/>
  <c r="A32" i="1"/>
  <c r="E31" i="1"/>
  <c r="D31" i="1"/>
  <c r="C31" i="1"/>
  <c r="B31" i="1"/>
  <c r="A31" i="1"/>
  <c r="E30" i="1"/>
  <c r="D30" i="1"/>
  <c r="C30" i="1"/>
  <c r="B30" i="1"/>
  <c r="A30" i="1"/>
  <c r="E29" i="1"/>
  <c r="D29" i="1"/>
  <c r="C29" i="1"/>
  <c r="B29" i="1"/>
  <c r="A29" i="1"/>
  <c r="E28" i="1"/>
  <c r="D28" i="1"/>
  <c r="C28" i="1"/>
  <c r="B28" i="1"/>
  <c r="A28" i="1"/>
  <c r="E27" i="1"/>
  <c r="D27" i="1"/>
  <c r="C27" i="1"/>
  <c r="B27" i="1"/>
  <c r="A27" i="1"/>
  <c r="E26" i="1"/>
  <c r="D26" i="1"/>
  <c r="C26" i="1"/>
  <c r="B26" i="1"/>
  <c r="A26" i="1"/>
  <c r="E25" i="1"/>
  <c r="D25" i="1"/>
  <c r="C25" i="1"/>
  <c r="B25" i="1"/>
  <c r="A25" i="1"/>
  <c r="E24" i="1"/>
  <c r="D24" i="1"/>
  <c r="C24" i="1"/>
  <c r="B24" i="1"/>
  <c r="A24" i="1"/>
  <c r="E23" i="1"/>
  <c r="D23" i="1"/>
  <c r="C23" i="1"/>
  <c r="B23" i="1"/>
  <c r="A23" i="1"/>
  <c r="E22" i="1"/>
  <c r="D22" i="1"/>
  <c r="C22" i="1"/>
  <c r="B22" i="1"/>
  <c r="A22" i="1"/>
  <c r="E21" i="1"/>
  <c r="D21" i="1"/>
  <c r="C21" i="1"/>
  <c r="B21" i="1"/>
  <c r="A21" i="1"/>
  <c r="E20" i="1"/>
  <c r="D20" i="1"/>
  <c r="C20" i="1"/>
  <c r="B20" i="1"/>
  <c r="A20" i="1"/>
  <c r="E19" i="1"/>
  <c r="D19" i="1"/>
  <c r="C19" i="1"/>
  <c r="B19" i="1"/>
  <c r="A19" i="1"/>
  <c r="E18" i="1"/>
  <c r="D18" i="1"/>
  <c r="C18" i="1"/>
  <c r="B18" i="1"/>
  <c r="A18" i="1"/>
  <c r="E17" i="1"/>
  <c r="D17" i="1"/>
  <c r="C17" i="1"/>
  <c r="B17" i="1"/>
  <c r="A17" i="1"/>
  <c r="E16" i="1"/>
  <c r="D16" i="1"/>
  <c r="C16" i="1"/>
  <c r="B16" i="1"/>
  <c r="A16" i="1"/>
  <c r="E15" i="1"/>
  <c r="D15" i="1"/>
  <c r="C15" i="1"/>
  <c r="B15" i="1"/>
  <c r="A15" i="1"/>
  <c r="E14" i="1"/>
  <c r="D14" i="1"/>
  <c r="C14" i="1"/>
  <c r="B14" i="1"/>
  <c r="A14" i="1"/>
  <c r="E13" i="1"/>
  <c r="D13" i="1"/>
  <c r="C13" i="1"/>
  <c r="B13" i="1"/>
  <c r="A13" i="1"/>
  <c r="E12" i="1"/>
  <c r="D12" i="1"/>
  <c r="C12" i="1"/>
  <c r="B12" i="1"/>
  <c r="A12" i="1"/>
  <c r="E11" i="1"/>
  <c r="D11" i="1"/>
  <c r="C11" i="1"/>
  <c r="B11" i="1"/>
  <c r="A11" i="1"/>
  <c r="E10" i="1"/>
  <c r="D10" i="1"/>
  <c r="C10" i="1"/>
  <c r="B10" i="1"/>
  <c r="A10" i="1"/>
  <c r="E9" i="1"/>
  <c r="D9" i="1"/>
  <c r="C9" i="1"/>
  <c r="B9" i="1"/>
  <c r="A9" i="1"/>
  <c r="E8" i="1"/>
  <c r="D8" i="1"/>
  <c r="C8" i="1"/>
  <c r="B8" i="1"/>
  <c r="A8" i="1"/>
  <c r="E7" i="1"/>
  <c r="D7" i="1"/>
  <c r="C7" i="1"/>
  <c r="B7" i="1"/>
  <c r="A7" i="1"/>
  <c r="E6" i="1"/>
  <c r="D6" i="1"/>
  <c r="C6" i="1"/>
  <c r="B6" i="1"/>
  <c r="A6" i="1"/>
  <c r="A225" i="1" l="1"/>
  <c r="D108" i="6"/>
  <c r="C309" i="1"/>
  <c r="C103" i="1"/>
  <c r="B116" i="1"/>
  <c r="C195" i="1"/>
  <c r="C183" i="1"/>
  <c r="C90" i="1"/>
  <c r="A129" i="1"/>
  <c r="F129" i="1" s="1"/>
  <c r="B176" i="1"/>
  <c r="A92" i="1"/>
  <c r="E145" i="1"/>
  <c r="B152" i="1"/>
  <c r="E93" i="1"/>
  <c r="D106" i="1"/>
  <c r="C119" i="1"/>
  <c r="B132" i="1"/>
  <c r="A97" i="1"/>
  <c r="D122" i="1"/>
  <c r="C163" i="1"/>
  <c r="E109" i="1"/>
  <c r="C135" i="1"/>
  <c r="B100" i="1"/>
  <c r="A113" i="1"/>
  <c r="E125" i="1"/>
  <c r="C139" i="1"/>
  <c r="D90" i="1"/>
  <c r="B92" i="1"/>
  <c r="D94" i="1"/>
  <c r="E97" i="1"/>
  <c r="A101" i="1"/>
  <c r="B104" i="1"/>
  <c r="C107" i="1"/>
  <c r="D110" i="1"/>
  <c r="E113" i="1"/>
  <c r="A117" i="1"/>
  <c r="B120" i="1"/>
  <c r="C123" i="1"/>
  <c r="D126" i="1"/>
  <c r="E129" i="1"/>
  <c r="A133" i="1"/>
  <c r="F133" i="1" s="1"/>
  <c r="B136" i="1"/>
  <c r="A141" i="1"/>
  <c r="F141" i="1" s="1"/>
  <c r="C147" i="1"/>
  <c r="E153" i="1"/>
  <c r="D166" i="1"/>
  <c r="C179" i="1"/>
  <c r="B201" i="1"/>
  <c r="A309" i="1"/>
  <c r="A305" i="1"/>
  <c r="A301" i="1"/>
  <c r="B296" i="1"/>
  <c r="B292" i="1"/>
  <c r="B288" i="1"/>
  <c r="C283" i="1"/>
  <c r="D279" i="1"/>
  <c r="E277" i="1"/>
  <c r="C275" i="1"/>
  <c r="B273" i="1"/>
  <c r="C271" i="1"/>
  <c r="E269" i="1"/>
  <c r="B268" i="1"/>
  <c r="D266" i="1"/>
  <c r="A265" i="1"/>
  <c r="C263" i="1"/>
  <c r="E261" i="1"/>
  <c r="B260" i="1"/>
  <c r="D258" i="1"/>
  <c r="A257" i="1"/>
  <c r="C255" i="1"/>
  <c r="E253" i="1"/>
  <c r="B252" i="1"/>
  <c r="D250" i="1"/>
  <c r="B249" i="1"/>
  <c r="B248" i="1"/>
  <c r="A247" i="1"/>
  <c r="A246" i="1"/>
  <c r="A245" i="1"/>
  <c r="E243" i="1"/>
  <c r="E242" i="1"/>
  <c r="E241" i="1"/>
  <c r="D240" i="1"/>
  <c r="D239" i="1"/>
  <c r="D238" i="1"/>
  <c r="C237" i="1"/>
  <c r="C236" i="1"/>
  <c r="C235" i="1"/>
  <c r="B234" i="1"/>
  <c r="B233" i="1"/>
  <c r="B232" i="1"/>
  <c r="A231" i="1"/>
  <c r="A230" i="1"/>
  <c r="A229" i="1"/>
  <c r="E227" i="1"/>
  <c r="E226" i="1"/>
  <c r="E225" i="1"/>
  <c r="D224" i="1"/>
  <c r="D223" i="1"/>
  <c r="E222" i="1"/>
  <c r="A222" i="1"/>
  <c r="B221" i="1"/>
  <c r="B308" i="1"/>
  <c r="B304" i="1"/>
  <c r="C299" i="1"/>
  <c r="C295" i="1"/>
  <c r="C291" i="1"/>
  <c r="D286" i="1"/>
  <c r="D282" i="1"/>
  <c r="C279" i="1"/>
  <c r="A277" i="1"/>
  <c r="E274" i="1"/>
  <c r="A273" i="1"/>
  <c r="E270" i="1"/>
  <c r="B269" i="1"/>
  <c r="D267" i="1"/>
  <c r="A266" i="1"/>
  <c r="C264" i="1"/>
  <c r="E262" i="1"/>
  <c r="B261" i="1"/>
  <c r="D259" i="1"/>
  <c r="A258" i="1"/>
  <c r="C256" i="1"/>
  <c r="E254" i="1"/>
  <c r="B253" i="1"/>
  <c r="D251" i="1"/>
  <c r="A250" i="1"/>
  <c r="A249" i="1"/>
  <c r="E247" i="1"/>
  <c r="E246" i="1"/>
  <c r="E245" i="1"/>
  <c r="D244" i="1"/>
  <c r="D243" i="1"/>
  <c r="D242" i="1"/>
  <c r="C241" i="1"/>
  <c r="C240" i="1"/>
  <c r="C239" i="1"/>
  <c r="B238" i="1"/>
  <c r="B237" i="1"/>
  <c r="B236" i="1"/>
  <c r="A235" i="1"/>
  <c r="A234" i="1"/>
  <c r="A233" i="1"/>
  <c r="E231" i="1"/>
  <c r="E230" i="1"/>
  <c r="E229" i="1"/>
  <c r="D228" i="1"/>
  <c r="D227" i="1"/>
  <c r="D226" i="1"/>
  <c r="C225" i="1"/>
  <c r="C224" i="1"/>
  <c r="C223" i="1"/>
  <c r="C307" i="1"/>
  <c r="D302" i="1"/>
  <c r="D298" i="1"/>
  <c r="D294" i="1"/>
  <c r="E289" i="1"/>
  <c r="E285" i="1"/>
  <c r="E281" i="1"/>
  <c r="D278" i="1"/>
  <c r="C276" i="1"/>
  <c r="D274" i="1"/>
  <c r="B272" i="1"/>
  <c r="D270" i="1"/>
  <c r="A269" i="1"/>
  <c r="C267" i="1"/>
  <c r="E265" i="1"/>
  <c r="B264" i="1"/>
  <c r="D262" i="1"/>
  <c r="A261" i="1"/>
  <c r="C259" i="1"/>
  <c r="E257" i="1"/>
  <c r="B256" i="1"/>
  <c r="D254" i="1"/>
  <c r="A253" i="1"/>
  <c r="C251" i="1"/>
  <c r="E249" i="1"/>
  <c r="D248" i="1"/>
  <c r="D247" i="1"/>
  <c r="D246" i="1"/>
  <c r="C245" i="1"/>
  <c r="C244" i="1"/>
  <c r="C243" i="1"/>
  <c r="B242" i="1"/>
  <c r="B241" i="1"/>
  <c r="B240" i="1"/>
  <c r="A239" i="1"/>
  <c r="A238" i="1"/>
  <c r="A237" i="1"/>
  <c r="E235" i="1"/>
  <c r="E234" i="1"/>
  <c r="E233" i="1"/>
  <c r="D232" i="1"/>
  <c r="D231" i="1"/>
  <c r="D230" i="1"/>
  <c r="C229" i="1"/>
  <c r="C228" i="1"/>
  <c r="C227" i="1"/>
  <c r="B226" i="1"/>
  <c r="B225" i="1"/>
  <c r="B224" i="1"/>
  <c r="B223" i="1"/>
  <c r="C222" i="1"/>
  <c r="D221" i="1"/>
  <c r="E305" i="1"/>
  <c r="A289" i="1"/>
  <c r="B276" i="1"/>
  <c r="C268" i="1"/>
  <c r="A262" i="1"/>
  <c r="D255" i="1"/>
  <c r="C249" i="1"/>
  <c r="B245" i="1"/>
  <c r="A241" i="1"/>
  <c r="D236" i="1"/>
  <c r="C232" i="1"/>
  <c r="B228" i="1"/>
  <c r="E223" i="1"/>
  <c r="E221" i="1"/>
  <c r="E301" i="1"/>
  <c r="A285" i="1"/>
  <c r="E273" i="1"/>
  <c r="E266" i="1"/>
  <c r="C260" i="1"/>
  <c r="A254" i="1"/>
  <c r="C248" i="1"/>
  <c r="B244" i="1"/>
  <c r="E239" i="1"/>
  <c r="D235" i="1"/>
  <c r="C231" i="1"/>
  <c r="A227" i="1"/>
  <c r="A223" i="1"/>
  <c r="C221" i="1"/>
  <c r="E297" i="1"/>
  <c r="B280" i="1"/>
  <c r="D271" i="1"/>
  <c r="B265" i="1"/>
  <c r="E258" i="1"/>
  <c r="C252" i="1"/>
  <c r="C247" i="1"/>
  <c r="A243" i="1"/>
  <c r="E238" i="1"/>
  <c r="D234" i="1"/>
  <c r="B230" i="1"/>
  <c r="A226" i="1"/>
  <c r="D222" i="1"/>
  <c r="A221" i="1"/>
  <c r="A293" i="1"/>
  <c r="B257" i="1"/>
  <c r="E237" i="1"/>
  <c r="B222" i="1"/>
  <c r="A278" i="1"/>
  <c r="E250" i="1"/>
  <c r="C233" i="1"/>
  <c r="A270" i="1"/>
  <c r="B246" i="1"/>
  <c r="B229" i="1"/>
  <c r="B91" i="1"/>
  <c r="E92" i="1"/>
  <c r="C95" i="1"/>
  <c r="D98" i="1"/>
  <c r="E101" i="1"/>
  <c r="A105" i="1"/>
  <c r="B108" i="1"/>
  <c r="C111" i="1"/>
  <c r="D114" i="1"/>
  <c r="E117" i="1"/>
  <c r="A121" i="1"/>
  <c r="F121" i="1" s="1"/>
  <c r="B124" i="1"/>
  <c r="C127" i="1"/>
  <c r="D130" i="1"/>
  <c r="E133" i="1"/>
  <c r="A137" i="1"/>
  <c r="F137" i="1" s="1"/>
  <c r="D142" i="1"/>
  <c r="A149" i="1"/>
  <c r="F149" i="1" s="1"/>
  <c r="A157" i="1"/>
  <c r="F157" i="1" s="1"/>
  <c r="E169" i="1"/>
  <c r="A242" i="1"/>
  <c r="C205" i="1"/>
  <c r="D204" i="1"/>
  <c r="B203" i="1"/>
  <c r="C202" i="1"/>
  <c r="E201" i="1"/>
  <c r="A201" i="1"/>
  <c r="F201" i="1" s="1"/>
  <c r="B200" i="1"/>
  <c r="D199" i="1"/>
  <c r="E198" i="1"/>
  <c r="A198" i="1"/>
  <c r="F198" i="1" s="1"/>
  <c r="C197" i="1"/>
  <c r="D196" i="1"/>
  <c r="B195" i="1"/>
  <c r="C194" i="1"/>
  <c r="E193" i="1"/>
  <c r="A193" i="1"/>
  <c r="F193" i="1" s="1"/>
  <c r="B192" i="1"/>
  <c r="D191" i="1"/>
  <c r="E190" i="1"/>
  <c r="A190" i="1"/>
  <c r="F190" i="1" s="1"/>
  <c r="C189" i="1"/>
  <c r="D188" i="1"/>
  <c r="B187" i="1"/>
  <c r="C186" i="1"/>
  <c r="D185" i="1"/>
  <c r="E184" i="1"/>
  <c r="A184" i="1"/>
  <c r="F184" i="1" s="1"/>
  <c r="B183" i="1"/>
  <c r="C182" i="1"/>
  <c r="E205" i="1"/>
  <c r="A205" i="1"/>
  <c r="F205" i="1" s="1"/>
  <c r="B204" i="1"/>
  <c r="D203" i="1"/>
  <c r="E202" i="1"/>
  <c r="A202" i="1"/>
  <c r="F202" i="1" s="1"/>
  <c r="C201" i="1"/>
  <c r="D200" i="1"/>
  <c r="B199" i="1"/>
  <c r="C198" i="1"/>
  <c r="E197" i="1"/>
  <c r="A197" i="1"/>
  <c r="F197" i="1" s="1"/>
  <c r="B196" i="1"/>
  <c r="D195" i="1"/>
  <c r="E194" i="1"/>
  <c r="A194" i="1"/>
  <c r="F194" i="1" s="1"/>
  <c r="C193" i="1"/>
  <c r="D192" i="1"/>
  <c r="B191" i="1"/>
  <c r="C190" i="1"/>
  <c r="E189" i="1"/>
  <c r="A189" i="1"/>
  <c r="F189" i="1" s="1"/>
  <c r="B188" i="1"/>
  <c r="D187" i="1"/>
  <c r="E186" i="1"/>
  <c r="A186" i="1"/>
  <c r="F186" i="1" s="1"/>
  <c r="B185" i="1"/>
  <c r="C184" i="1"/>
  <c r="D183" i="1"/>
  <c r="E182" i="1"/>
  <c r="A182" i="1"/>
  <c r="F182" i="1" s="1"/>
  <c r="B205" i="1"/>
  <c r="E203" i="1"/>
  <c r="B202" i="1"/>
  <c r="E200" i="1"/>
  <c r="C199" i="1"/>
  <c r="C196" i="1"/>
  <c r="A195" i="1"/>
  <c r="F195" i="1" s="1"/>
  <c r="D193" i="1"/>
  <c r="A192" i="1"/>
  <c r="F192" i="1" s="1"/>
  <c r="D190" i="1"/>
  <c r="B189" i="1"/>
  <c r="E187" i="1"/>
  <c r="B186" i="1"/>
  <c r="D184" i="1"/>
  <c r="A183" i="1"/>
  <c r="F183" i="1" s="1"/>
  <c r="D181" i="1"/>
  <c r="E180" i="1"/>
  <c r="A180" i="1"/>
  <c r="F180" i="1" s="1"/>
  <c r="B179" i="1"/>
  <c r="C178" i="1"/>
  <c r="D177" i="1"/>
  <c r="E176" i="1"/>
  <c r="A176" i="1"/>
  <c r="F176" i="1" s="1"/>
  <c r="B175" i="1"/>
  <c r="C174" i="1"/>
  <c r="D173" i="1"/>
  <c r="E172" i="1"/>
  <c r="A172" i="1"/>
  <c r="F172" i="1" s="1"/>
  <c r="B171" i="1"/>
  <c r="C170" i="1"/>
  <c r="D169" i="1"/>
  <c r="E168" i="1"/>
  <c r="A168" i="1"/>
  <c r="F168" i="1" s="1"/>
  <c r="B167" i="1"/>
  <c r="C166" i="1"/>
  <c r="D165" i="1"/>
  <c r="E164" i="1"/>
  <c r="A164" i="1"/>
  <c r="F164" i="1" s="1"/>
  <c r="B163" i="1"/>
  <c r="C162" i="1"/>
  <c r="D161" i="1"/>
  <c r="E160" i="1"/>
  <c r="A160" i="1"/>
  <c r="F160" i="1" s="1"/>
  <c r="B159" i="1"/>
  <c r="C158" i="1"/>
  <c r="D157" i="1"/>
  <c r="E156" i="1"/>
  <c r="A156" i="1"/>
  <c r="F156" i="1" s="1"/>
  <c r="B155" i="1"/>
  <c r="C154" i="1"/>
  <c r="D153" i="1"/>
  <c r="E152" i="1"/>
  <c r="A152" i="1"/>
  <c r="F152" i="1" s="1"/>
  <c r="B151" i="1"/>
  <c r="C150" i="1"/>
  <c r="D149" i="1"/>
  <c r="E148" i="1"/>
  <c r="A148" i="1"/>
  <c r="F148" i="1" s="1"/>
  <c r="B147" i="1"/>
  <c r="C146" i="1"/>
  <c r="D145" i="1"/>
  <c r="E144" i="1"/>
  <c r="A144" i="1"/>
  <c r="F144" i="1" s="1"/>
  <c r="B143" i="1"/>
  <c r="C142" i="1"/>
  <c r="D141" i="1"/>
  <c r="E140" i="1"/>
  <c r="A140" i="1"/>
  <c r="F140" i="1" s="1"/>
  <c r="B139" i="1"/>
  <c r="C138" i="1"/>
  <c r="E204" i="1"/>
  <c r="C203" i="1"/>
  <c r="C200" i="1"/>
  <c r="A199" i="1"/>
  <c r="F199" i="1" s="1"/>
  <c r="D197" i="1"/>
  <c r="A196" i="1"/>
  <c r="F196" i="1" s="1"/>
  <c r="D194" i="1"/>
  <c r="B193" i="1"/>
  <c r="E191" i="1"/>
  <c r="B190" i="1"/>
  <c r="E188" i="1"/>
  <c r="C187" i="1"/>
  <c r="E185" i="1"/>
  <c r="B184" i="1"/>
  <c r="D182" i="1"/>
  <c r="C181" i="1"/>
  <c r="D180" i="1"/>
  <c r="E179" i="1"/>
  <c r="A179" i="1"/>
  <c r="F179" i="1" s="1"/>
  <c r="B178" i="1"/>
  <c r="C177" i="1"/>
  <c r="D176" i="1"/>
  <c r="E175" i="1"/>
  <c r="A175" i="1"/>
  <c r="F175" i="1" s="1"/>
  <c r="B174" i="1"/>
  <c r="C173" i="1"/>
  <c r="D172" i="1"/>
  <c r="E171" i="1"/>
  <c r="A171" i="1"/>
  <c r="F171" i="1" s="1"/>
  <c r="B170" i="1"/>
  <c r="C169" i="1"/>
  <c r="D168" i="1"/>
  <c r="E167" i="1"/>
  <c r="A167" i="1"/>
  <c r="F167" i="1" s="1"/>
  <c r="B166" i="1"/>
  <c r="C165" i="1"/>
  <c r="D164" i="1"/>
  <c r="E163" i="1"/>
  <c r="A163" i="1"/>
  <c r="F163" i="1" s="1"/>
  <c r="B162" i="1"/>
  <c r="C161" i="1"/>
  <c r="D160" i="1"/>
  <c r="E159" i="1"/>
  <c r="A159" i="1"/>
  <c r="F159" i="1" s="1"/>
  <c r="B158" i="1"/>
  <c r="C157" i="1"/>
  <c r="D156" i="1"/>
  <c r="E155" i="1"/>
  <c r="A155" i="1"/>
  <c r="F155" i="1" s="1"/>
  <c r="B154" i="1"/>
  <c r="C153" i="1"/>
  <c r="D152" i="1"/>
  <c r="E151" i="1"/>
  <c r="A151" i="1"/>
  <c r="F151" i="1" s="1"/>
  <c r="B150" i="1"/>
  <c r="C149" i="1"/>
  <c r="D148" i="1"/>
  <c r="E147" i="1"/>
  <c r="A147" i="1"/>
  <c r="F147" i="1" s="1"/>
  <c r="B146" i="1"/>
  <c r="C145" i="1"/>
  <c r="D144" i="1"/>
  <c r="E143" i="1"/>
  <c r="A143" i="1"/>
  <c r="F143" i="1" s="1"/>
  <c r="B142" i="1"/>
  <c r="C141" i="1"/>
  <c r="D140" i="1"/>
  <c r="E139" i="1"/>
  <c r="A139" i="1"/>
  <c r="F139" i="1" s="1"/>
  <c r="B138" i="1"/>
  <c r="C204" i="1"/>
  <c r="A203" i="1"/>
  <c r="F203" i="1" s="1"/>
  <c r="D201" i="1"/>
  <c r="A200" i="1"/>
  <c r="F200" i="1" s="1"/>
  <c r="D198" i="1"/>
  <c r="B197" i="1"/>
  <c r="E195" i="1"/>
  <c r="B194" i="1"/>
  <c r="E192" i="1"/>
  <c r="C191" i="1"/>
  <c r="C188" i="1"/>
  <c r="A187" i="1"/>
  <c r="F187" i="1" s="1"/>
  <c r="C185" i="1"/>
  <c r="E183" i="1"/>
  <c r="B182" i="1"/>
  <c r="B181" i="1"/>
  <c r="C180" i="1"/>
  <c r="D179" i="1"/>
  <c r="E178" i="1"/>
  <c r="A178" i="1"/>
  <c r="F178" i="1" s="1"/>
  <c r="B177" i="1"/>
  <c r="C176" i="1"/>
  <c r="D175" i="1"/>
  <c r="E174" i="1"/>
  <c r="A174" i="1"/>
  <c r="F174" i="1" s="1"/>
  <c r="B173" i="1"/>
  <c r="C172" i="1"/>
  <c r="D171" i="1"/>
  <c r="E170" i="1"/>
  <c r="A170" i="1"/>
  <c r="F170" i="1" s="1"/>
  <c r="B169" i="1"/>
  <c r="C168" i="1"/>
  <c r="D167" i="1"/>
  <c r="E166" i="1"/>
  <c r="A166" i="1"/>
  <c r="F166" i="1" s="1"/>
  <c r="B165" i="1"/>
  <c r="C164" i="1"/>
  <c r="D163" i="1"/>
  <c r="E162" i="1"/>
  <c r="A162" i="1"/>
  <c r="F162" i="1" s="1"/>
  <c r="B161" i="1"/>
  <c r="C160" i="1"/>
  <c r="D159" i="1"/>
  <c r="E158" i="1"/>
  <c r="A158" i="1"/>
  <c r="F158" i="1" s="1"/>
  <c r="B157" i="1"/>
  <c r="C156" i="1"/>
  <c r="D155" i="1"/>
  <c r="E154" i="1"/>
  <c r="A154" i="1"/>
  <c r="F154" i="1" s="1"/>
  <c r="D205" i="1"/>
  <c r="E199" i="1"/>
  <c r="A188" i="1"/>
  <c r="F188" i="1" s="1"/>
  <c r="E181" i="1"/>
  <c r="D178" i="1"/>
  <c r="C175" i="1"/>
  <c r="B172" i="1"/>
  <c r="A169" i="1"/>
  <c r="F169" i="1" s="1"/>
  <c r="E165" i="1"/>
  <c r="D162" i="1"/>
  <c r="C159" i="1"/>
  <c r="B156" i="1"/>
  <c r="B153" i="1"/>
  <c r="D151" i="1"/>
  <c r="A150" i="1"/>
  <c r="F150" i="1" s="1"/>
  <c r="C148" i="1"/>
  <c r="E146" i="1"/>
  <c r="B145" i="1"/>
  <c r="D143" i="1"/>
  <c r="A142" i="1"/>
  <c r="F142" i="1" s="1"/>
  <c r="C140" i="1"/>
  <c r="E138" i="1"/>
  <c r="D137" i="1"/>
  <c r="E136" i="1"/>
  <c r="A136" i="1"/>
  <c r="F136" i="1" s="1"/>
  <c r="B135" i="1"/>
  <c r="C134" i="1"/>
  <c r="D133" i="1"/>
  <c r="E132" i="1"/>
  <c r="A132" i="1"/>
  <c r="F132" i="1" s="1"/>
  <c r="B131" i="1"/>
  <c r="C130" i="1"/>
  <c r="D129" i="1"/>
  <c r="E128" i="1"/>
  <c r="A128" i="1"/>
  <c r="F128" i="1" s="1"/>
  <c r="B127" i="1"/>
  <c r="C126" i="1"/>
  <c r="D125" i="1"/>
  <c r="E124" i="1"/>
  <c r="A124" i="1"/>
  <c r="F124" i="1" s="1"/>
  <c r="B123" i="1"/>
  <c r="C122" i="1"/>
  <c r="D121" i="1"/>
  <c r="E120" i="1"/>
  <c r="A120" i="1"/>
  <c r="F120" i="1" s="1"/>
  <c r="B119" i="1"/>
  <c r="C118" i="1"/>
  <c r="D117" i="1"/>
  <c r="E116" i="1"/>
  <c r="A116" i="1"/>
  <c r="B115" i="1"/>
  <c r="C114" i="1"/>
  <c r="D113" i="1"/>
  <c r="E112" i="1"/>
  <c r="A112" i="1"/>
  <c r="B111" i="1"/>
  <c r="C110" i="1"/>
  <c r="D109" i="1"/>
  <c r="E108" i="1"/>
  <c r="A108" i="1"/>
  <c r="B107" i="1"/>
  <c r="C106" i="1"/>
  <c r="D105" i="1"/>
  <c r="E104" i="1"/>
  <c r="A104" i="1"/>
  <c r="B103" i="1"/>
  <c r="C102" i="1"/>
  <c r="D101" i="1"/>
  <c r="E100" i="1"/>
  <c r="A100" i="1"/>
  <c r="B99" i="1"/>
  <c r="C98" i="1"/>
  <c r="D97" i="1"/>
  <c r="E96" i="1"/>
  <c r="A96" i="1"/>
  <c r="B95" i="1"/>
  <c r="C94" i="1"/>
  <c r="D93" i="1"/>
  <c r="A204" i="1"/>
  <c r="F204" i="1" s="1"/>
  <c r="B198" i="1"/>
  <c r="C192" i="1"/>
  <c r="D186" i="1"/>
  <c r="A181" i="1"/>
  <c r="F181" i="1" s="1"/>
  <c r="E177" i="1"/>
  <c r="D174" i="1"/>
  <c r="C171" i="1"/>
  <c r="B168" i="1"/>
  <c r="A165" i="1"/>
  <c r="F165" i="1" s="1"/>
  <c r="E161" i="1"/>
  <c r="D158" i="1"/>
  <c r="C155" i="1"/>
  <c r="A153" i="1"/>
  <c r="F153" i="1" s="1"/>
  <c r="C151" i="1"/>
  <c r="E149" i="1"/>
  <c r="B148" i="1"/>
  <c r="D146" i="1"/>
  <c r="A145" i="1"/>
  <c r="F145" i="1" s="1"/>
  <c r="C143" i="1"/>
  <c r="E141" i="1"/>
  <c r="B140" i="1"/>
  <c r="D138" i="1"/>
  <c r="C137" i="1"/>
  <c r="D136" i="1"/>
  <c r="E135" i="1"/>
  <c r="A135" i="1"/>
  <c r="F135" i="1" s="1"/>
  <c r="B134" i="1"/>
  <c r="C133" i="1"/>
  <c r="D132" i="1"/>
  <c r="E131" i="1"/>
  <c r="A131" i="1"/>
  <c r="F131" i="1" s="1"/>
  <c r="B130" i="1"/>
  <c r="C129" i="1"/>
  <c r="D128" i="1"/>
  <c r="E127" i="1"/>
  <c r="A127" i="1"/>
  <c r="F127" i="1" s="1"/>
  <c r="B126" i="1"/>
  <c r="C125" i="1"/>
  <c r="D124" i="1"/>
  <c r="E123" i="1"/>
  <c r="A123" i="1"/>
  <c r="F123" i="1" s="1"/>
  <c r="B122" i="1"/>
  <c r="C121" i="1"/>
  <c r="D120" i="1"/>
  <c r="E119" i="1"/>
  <c r="A119" i="1"/>
  <c r="F119" i="1" s="1"/>
  <c r="B118" i="1"/>
  <c r="C117" i="1"/>
  <c r="D116" i="1"/>
  <c r="E115" i="1"/>
  <c r="A115" i="1"/>
  <c r="B114" i="1"/>
  <c r="C113" i="1"/>
  <c r="D112" i="1"/>
  <c r="E111" i="1"/>
  <c r="A111" i="1"/>
  <c r="B110" i="1"/>
  <c r="C109" i="1"/>
  <c r="D108" i="1"/>
  <c r="E107" i="1"/>
  <c r="A107" i="1"/>
  <c r="B106" i="1"/>
  <c r="C105" i="1"/>
  <c r="D104" i="1"/>
  <c r="E103" i="1"/>
  <c r="A103" i="1"/>
  <c r="B102" i="1"/>
  <c r="C101" i="1"/>
  <c r="D100" i="1"/>
  <c r="E99" i="1"/>
  <c r="A99" i="1"/>
  <c r="B98" i="1"/>
  <c r="C97" i="1"/>
  <c r="D96" i="1"/>
  <c r="E95" i="1"/>
  <c r="A95" i="1"/>
  <c r="B94" i="1"/>
  <c r="C93" i="1"/>
  <c r="D92" i="1"/>
  <c r="E91" i="1"/>
  <c r="A91" i="1"/>
  <c r="B90" i="1"/>
  <c r="D202" i="1"/>
  <c r="E196" i="1"/>
  <c r="A191" i="1"/>
  <c r="F191" i="1" s="1"/>
  <c r="A185" i="1"/>
  <c r="F185" i="1" s="1"/>
  <c r="B180" i="1"/>
  <c r="A177" i="1"/>
  <c r="F177" i="1" s="1"/>
  <c r="E173" i="1"/>
  <c r="D170" i="1"/>
  <c r="C167" i="1"/>
  <c r="B164" i="1"/>
  <c r="A161" i="1"/>
  <c r="F161" i="1" s="1"/>
  <c r="E157" i="1"/>
  <c r="D154" i="1"/>
  <c r="C152" i="1"/>
  <c r="E150" i="1"/>
  <c r="B149" i="1"/>
  <c r="D147" i="1"/>
  <c r="A146" i="1"/>
  <c r="F146" i="1" s="1"/>
  <c r="C144" i="1"/>
  <c r="E142" i="1"/>
  <c r="B141" i="1"/>
  <c r="D139" i="1"/>
  <c r="A138" i="1"/>
  <c r="F138" i="1" s="1"/>
  <c r="B137" i="1"/>
  <c r="C136" i="1"/>
  <c r="D135" i="1"/>
  <c r="E134" i="1"/>
  <c r="A134" i="1"/>
  <c r="F134" i="1" s="1"/>
  <c r="B133" i="1"/>
  <c r="C132" i="1"/>
  <c r="D131" i="1"/>
  <c r="E130" i="1"/>
  <c r="A130" i="1"/>
  <c r="F130" i="1" s="1"/>
  <c r="B129" i="1"/>
  <c r="C128" i="1"/>
  <c r="D127" i="1"/>
  <c r="E126" i="1"/>
  <c r="A126" i="1"/>
  <c r="F126" i="1" s="1"/>
  <c r="B125" i="1"/>
  <c r="C124" i="1"/>
  <c r="D123" i="1"/>
  <c r="E122" i="1"/>
  <c r="A122" i="1"/>
  <c r="F122" i="1" s="1"/>
  <c r="B121" i="1"/>
  <c r="C120" i="1"/>
  <c r="D119" i="1"/>
  <c r="E118" i="1"/>
  <c r="A118" i="1"/>
  <c r="F118" i="1" s="1"/>
  <c r="B117" i="1"/>
  <c r="C116" i="1"/>
  <c r="D115" i="1"/>
  <c r="E114" i="1"/>
  <c r="A114" i="1"/>
  <c r="B113" i="1"/>
  <c r="C112" i="1"/>
  <c r="D111" i="1"/>
  <c r="E110" i="1"/>
  <c r="A110" i="1"/>
  <c r="B109" i="1"/>
  <c r="C108" i="1"/>
  <c r="D107" i="1"/>
  <c r="E106" i="1"/>
  <c r="A106" i="1"/>
  <c r="B105" i="1"/>
  <c r="C104" i="1"/>
  <c r="D103" i="1"/>
  <c r="E102" i="1"/>
  <c r="A102" i="1"/>
  <c r="B101" i="1"/>
  <c r="C100" i="1"/>
  <c r="D99" i="1"/>
  <c r="E98" i="1"/>
  <c r="A98" i="1"/>
  <c r="B97" i="1"/>
  <c r="C96" i="1"/>
  <c r="D95" i="1"/>
  <c r="E94" i="1"/>
  <c r="A94" i="1"/>
  <c r="B93" i="1"/>
  <c r="C92" i="1"/>
  <c r="D91" i="1"/>
  <c r="E90" i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A90" i="1"/>
  <c r="C91" i="1"/>
  <c r="A93" i="1"/>
  <c r="B96" i="1"/>
  <c r="C99" i="1"/>
  <c r="D102" i="1"/>
  <c r="E105" i="1"/>
  <c r="A109" i="1"/>
  <c r="B112" i="1"/>
  <c r="C115" i="1"/>
  <c r="D118" i="1"/>
  <c r="E121" i="1"/>
  <c r="A125" i="1"/>
  <c r="F125" i="1" s="1"/>
  <c r="B128" i="1"/>
  <c r="C131" i="1"/>
  <c r="D134" i="1"/>
  <c r="E137" i="1"/>
  <c r="B144" i="1"/>
  <c r="D150" i="1"/>
  <c r="B160" i="1"/>
  <c r="A173" i="1"/>
  <c r="F173" i="1" s="1"/>
  <c r="D189" i="1"/>
  <c r="D263" i="1"/>
  <c r="D309" i="1"/>
  <c r="E309" i="1"/>
  <c r="C272" i="1"/>
  <c r="A274" i="1"/>
  <c r="D275" i="1"/>
  <c r="B277" i="1"/>
  <c r="E278" i="1"/>
  <c r="A281" i="1"/>
  <c r="B284" i="1"/>
  <c r="C287" i="1"/>
  <c r="D290" i="1"/>
  <c r="E293" i="1"/>
  <c r="A297" i="1"/>
  <c r="B300" i="1"/>
  <c r="C303" i="1"/>
  <c r="D306" i="1"/>
  <c r="C297" i="1"/>
  <c r="D296" i="1"/>
  <c r="E295" i="1"/>
  <c r="A295" i="1"/>
  <c r="B294" i="1"/>
  <c r="C293" i="1"/>
  <c r="D292" i="1"/>
  <c r="E291" i="1"/>
  <c r="A291" i="1"/>
  <c r="B290" i="1"/>
  <c r="C289" i="1"/>
  <c r="D288" i="1"/>
  <c r="E287" i="1"/>
  <c r="A287" i="1"/>
  <c r="B286" i="1"/>
  <c r="C285" i="1"/>
  <c r="D284" i="1"/>
  <c r="E283" i="1"/>
  <c r="A283" i="1"/>
  <c r="B282" i="1"/>
  <c r="C281" i="1"/>
  <c r="D280" i="1"/>
  <c r="E279" i="1"/>
  <c r="A279" i="1"/>
  <c r="B278" i="1"/>
  <c r="C277" i="1"/>
  <c r="D276" i="1"/>
  <c r="E275" i="1"/>
  <c r="A275" i="1"/>
  <c r="B274" i="1"/>
  <c r="C273" i="1"/>
  <c r="D272" i="1"/>
  <c r="E271" i="1"/>
  <c r="A271" i="1"/>
  <c r="B270" i="1"/>
  <c r="C269" i="1"/>
  <c r="D268" i="1"/>
  <c r="E267" i="1"/>
  <c r="A267" i="1"/>
  <c r="B266" i="1"/>
  <c r="C265" i="1"/>
  <c r="D264" i="1"/>
  <c r="E263" i="1"/>
  <c r="A263" i="1"/>
  <c r="B262" i="1"/>
  <c r="C261" i="1"/>
  <c r="D260" i="1"/>
  <c r="E259" i="1"/>
  <c r="A259" i="1"/>
  <c r="B258" i="1"/>
  <c r="C257" i="1"/>
  <c r="D256" i="1"/>
  <c r="E255" i="1"/>
  <c r="A255" i="1"/>
  <c r="B254" i="1"/>
  <c r="C253" i="1"/>
  <c r="D252" i="1"/>
  <c r="E251" i="1"/>
  <c r="A251" i="1"/>
  <c r="B250" i="1"/>
  <c r="B309" i="1"/>
  <c r="C308" i="1"/>
  <c r="D307" i="1"/>
  <c r="E306" i="1"/>
  <c r="A306" i="1"/>
  <c r="B305" i="1"/>
  <c r="C304" i="1"/>
  <c r="D303" i="1"/>
  <c r="E302" i="1"/>
  <c r="A302" i="1"/>
  <c r="B301" i="1"/>
  <c r="C300" i="1"/>
  <c r="D299" i="1"/>
  <c r="E298" i="1"/>
  <c r="A298" i="1"/>
  <c r="B297" i="1"/>
  <c r="C296" i="1"/>
  <c r="D295" i="1"/>
  <c r="E294" i="1"/>
  <c r="A294" i="1"/>
  <c r="B293" i="1"/>
  <c r="C292" i="1"/>
  <c r="D291" i="1"/>
  <c r="E290" i="1"/>
  <c r="A290" i="1"/>
  <c r="B289" i="1"/>
  <c r="C288" i="1"/>
  <c r="D287" i="1"/>
  <c r="E286" i="1"/>
  <c r="A286" i="1"/>
  <c r="B285" i="1"/>
  <c r="C284" i="1"/>
  <c r="D283" i="1"/>
  <c r="E282" i="1"/>
  <c r="A282" i="1"/>
  <c r="B281" i="1"/>
  <c r="C280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D269" i="1"/>
  <c r="C270" i="1"/>
  <c r="B271" i="1"/>
  <c r="A272" i="1"/>
  <c r="E272" i="1"/>
  <c r="D273" i="1"/>
  <c r="C274" i="1"/>
  <c r="B275" i="1"/>
  <c r="A276" i="1"/>
  <c r="E276" i="1"/>
  <c r="D277" i="1"/>
  <c r="C278" i="1"/>
  <c r="B279" i="1"/>
  <c r="A280" i="1"/>
  <c r="E280" i="1"/>
  <c r="D281" i="1"/>
  <c r="C282" i="1"/>
  <c r="B283" i="1"/>
  <c r="A284" i="1"/>
  <c r="E284" i="1"/>
  <c r="D285" i="1"/>
  <c r="C286" i="1"/>
  <c r="B287" i="1"/>
  <c r="A288" i="1"/>
  <c r="E288" i="1"/>
  <c r="D289" i="1"/>
  <c r="C290" i="1"/>
  <c r="B291" i="1"/>
  <c r="A292" i="1"/>
  <c r="E292" i="1"/>
  <c r="D293" i="1"/>
  <c r="C294" i="1"/>
  <c r="B295" i="1"/>
  <c r="A296" i="1"/>
  <c r="E296" i="1"/>
  <c r="D297" i="1"/>
  <c r="C298" i="1"/>
  <c r="B299" i="1"/>
  <c r="A300" i="1"/>
  <c r="E300" i="1"/>
  <c r="D301" i="1"/>
  <c r="C302" i="1"/>
  <c r="B303" i="1"/>
  <c r="A304" i="1"/>
  <c r="E304" i="1"/>
  <c r="D305" i="1"/>
  <c r="C306" i="1"/>
  <c r="B307" i="1"/>
  <c r="A308" i="1"/>
  <c r="E308" i="1"/>
  <c r="N58" i="2"/>
  <c r="B298" i="1"/>
  <c r="A299" i="1"/>
  <c r="E299" i="1"/>
  <c r="D300" i="1"/>
  <c r="C301" i="1"/>
  <c r="B302" i="1"/>
  <c r="A303" i="1"/>
  <c r="E303" i="1"/>
  <c r="D304" i="1"/>
  <c r="C305" i="1"/>
  <c r="B306" i="1"/>
  <c r="A307" i="1"/>
  <c r="E307" i="1"/>
  <c r="D308" i="1"/>
  <c r="N59" i="2"/>
  <c r="E108" i="6"/>
  <c r="E206" i="1" l="1"/>
  <c r="D206" i="1"/>
  <c r="D312" i="1"/>
  <c r="D310" i="1"/>
  <c r="N60" i="2"/>
  <c r="F56" i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D311" i="1"/>
  <c r="F206" i="1" l="1"/>
  <c r="F2" i="1" s="1"/>
  <c r="N61" i="2"/>
  <c r="N62" i="2"/>
  <c r="N63" i="2" l="1"/>
  <c r="N64" i="2" l="1"/>
  <c r="N65" i="2" l="1"/>
  <c r="N66" i="2" l="1"/>
  <c r="N67" i="2" l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N106" i="2" s="1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N120" i="2" s="1"/>
  <c r="N121" i="2" s="1"/>
  <c r="N122" i="2" s="1"/>
  <c r="N123" i="2" s="1"/>
  <c r="N124" i="2" s="1"/>
  <c r="N125" i="2" s="1"/>
  <c r="N126" i="2" s="1"/>
  <c r="B6" i="5" l="1"/>
  <c r="E5" i="5"/>
  <c r="E6" i="5"/>
  <c r="I5" i="5"/>
  <c r="J5" i="5"/>
  <c r="H5" i="5"/>
  <c r="B7" i="5"/>
  <c r="K6" i="5"/>
  <c r="G5" i="5"/>
  <c r="H6" i="5"/>
  <c r="K7" i="5"/>
  <c r="C6" i="5"/>
  <c r="I6" i="5"/>
  <c r="D6" i="5"/>
  <c r="K10" i="5"/>
  <c r="G9" i="5"/>
  <c r="F9" i="5"/>
  <c r="I10" i="5"/>
  <c r="H10" i="5"/>
  <c r="E12" i="5"/>
  <c r="D8" i="5"/>
  <c r="F10" i="5"/>
  <c r="F11" i="5"/>
  <c r="C12" i="5"/>
  <c r="D7" i="5"/>
  <c r="A6" i="5"/>
  <c r="C7" i="5"/>
  <c r="F6" i="5"/>
  <c r="H11" i="5"/>
  <c r="J9" i="5"/>
  <c r="E13" i="5"/>
  <c r="K5" i="5"/>
  <c r="G11" i="5"/>
  <c r="C5" i="5"/>
  <c r="H8" i="5"/>
  <c r="J6" i="5"/>
  <c r="B5" i="5"/>
  <c r="G8" i="5"/>
  <c r="E10" i="5"/>
  <c r="D10" i="5"/>
  <c r="G7" i="5"/>
  <c r="E11" i="5"/>
  <c r="H7" i="5"/>
  <c r="I12" i="5"/>
  <c r="F12" i="5"/>
  <c r="B9" i="5"/>
  <c r="A5" i="5"/>
  <c r="D5" i="5"/>
  <c r="B8" i="5"/>
  <c r="I11" i="5"/>
  <c r="B10" i="5"/>
  <c r="I7" i="5"/>
  <c r="E8" i="5"/>
  <c r="D9" i="5"/>
  <c r="A11" i="5"/>
  <c r="F7" i="5"/>
  <c r="K9" i="5"/>
  <c r="A13" i="5"/>
  <c r="I9" i="5"/>
  <c r="A10" i="5"/>
  <c r="K12" i="5"/>
  <c r="C9" i="5"/>
  <c r="D11" i="5"/>
  <c r="E7" i="5"/>
  <c r="J11" i="5"/>
  <c r="E9" i="5"/>
  <c r="J12" i="5"/>
  <c r="J13" i="5"/>
  <c r="G6" i="5"/>
  <c r="G10" i="5"/>
  <c r="I8" i="5"/>
  <c r="H9" i="5"/>
  <c r="A8" i="5"/>
  <c r="K11" i="5"/>
  <c r="J8" i="5"/>
  <c r="A12" i="5"/>
  <c r="K8" i="5"/>
  <c r="C11" i="5"/>
  <c r="A9" i="5"/>
  <c r="B11" i="5"/>
  <c r="C8" i="5"/>
  <c r="G12" i="5"/>
  <c r="F5" i="5"/>
  <c r="C10" i="5"/>
  <c r="J7" i="5"/>
  <c r="A7" i="5"/>
  <c r="F8" i="5"/>
  <c r="J10" i="5"/>
  <c r="K26" i="5"/>
  <c r="F25" i="5"/>
  <c r="G39" i="5"/>
  <c r="A86" i="5"/>
  <c r="A31" i="5"/>
  <c r="D37" i="5"/>
  <c r="J125" i="5"/>
  <c r="D140" i="5"/>
  <c r="A19" i="5"/>
  <c r="I23" i="5"/>
  <c r="H134" i="5"/>
  <c r="G74" i="5"/>
  <c r="I19" i="5"/>
  <c r="F20" i="5"/>
  <c r="B48" i="5"/>
  <c r="G29" i="5"/>
  <c r="K126" i="5"/>
  <c r="I68" i="5"/>
  <c r="D15" i="5"/>
  <c r="A16" i="5"/>
  <c r="F28" i="5"/>
  <c r="B101" i="5"/>
  <c r="I114" i="5"/>
  <c r="J138" i="5"/>
  <c r="C153" i="5"/>
  <c r="H21" i="5"/>
  <c r="H116" i="5"/>
  <c r="A105" i="5"/>
  <c r="H29" i="5"/>
  <c r="D149" i="5"/>
  <c r="J61" i="5"/>
  <c r="C93" i="5"/>
  <c r="D76" i="5"/>
  <c r="A77" i="5"/>
  <c r="G123" i="5"/>
  <c r="G89" i="5"/>
  <c r="E75" i="5"/>
  <c r="I113" i="5"/>
  <c r="D20" i="5"/>
  <c r="I110" i="5"/>
  <c r="H144" i="5"/>
  <c r="A43" i="5"/>
  <c r="I43" i="5"/>
  <c r="C88" i="5"/>
  <c r="J52" i="5"/>
  <c r="G130" i="5"/>
  <c r="G152" i="5"/>
  <c r="G38" i="5"/>
  <c r="G49" i="5"/>
  <c r="E20" i="5"/>
  <c r="A108" i="5"/>
  <c r="E107" i="5"/>
  <c r="A153" i="5"/>
  <c r="K108" i="5"/>
  <c r="H48" i="5"/>
  <c r="F46" i="5"/>
  <c r="B132" i="5"/>
  <c r="B81" i="5"/>
  <c r="K37" i="5"/>
  <c r="H148" i="5"/>
  <c r="I140" i="5"/>
  <c r="B135" i="5"/>
  <c r="A56" i="5"/>
  <c r="F81" i="5"/>
  <c r="K63" i="5"/>
  <c r="I100" i="5"/>
  <c r="F130" i="5"/>
  <c r="D129" i="5"/>
  <c r="H66" i="5"/>
  <c r="B68" i="5"/>
  <c r="K24" i="5"/>
  <c r="G43" i="5"/>
  <c r="C133" i="5"/>
  <c r="J139" i="5"/>
  <c r="B98" i="5"/>
  <c r="G47" i="5"/>
  <c r="A81" i="5"/>
  <c r="K116" i="5"/>
  <c r="H27" i="5"/>
  <c r="K150" i="5"/>
  <c r="D55" i="5"/>
  <c r="J49" i="5"/>
  <c r="D137" i="5"/>
  <c r="C110" i="5"/>
  <c r="F82" i="5"/>
  <c r="I88" i="5"/>
  <c r="C85" i="5"/>
  <c r="I144" i="5"/>
  <c r="F83" i="5"/>
  <c r="D18" i="5"/>
  <c r="G65" i="5"/>
  <c r="D59" i="5"/>
  <c r="G96" i="5"/>
  <c r="E79" i="5"/>
  <c r="F134" i="5"/>
  <c r="G25" i="5"/>
  <c r="D26" i="5"/>
  <c r="K110" i="5"/>
  <c r="H74" i="5"/>
  <c r="G144" i="5"/>
  <c r="A123" i="5"/>
  <c r="H57" i="5"/>
  <c r="J114" i="5"/>
  <c r="K111" i="5"/>
  <c r="K139" i="5"/>
  <c r="H65" i="5"/>
  <c r="F128" i="5"/>
  <c r="J142" i="5"/>
  <c r="D33" i="5"/>
  <c r="I13" i="5"/>
  <c r="G32" i="5"/>
  <c r="G154" i="5"/>
  <c r="I105" i="5"/>
  <c r="A32" i="5"/>
  <c r="K30" i="5"/>
  <c r="F119" i="5"/>
  <c r="C128" i="5"/>
  <c r="G82" i="5"/>
  <c r="A119" i="5"/>
  <c r="G54" i="5"/>
  <c r="K107" i="5"/>
  <c r="C78" i="5"/>
  <c r="K102" i="5"/>
  <c r="D134" i="5"/>
  <c r="J48" i="5"/>
  <c r="B65" i="5"/>
  <c r="H30" i="5"/>
  <c r="B12" i="5"/>
  <c r="C150" i="5"/>
  <c r="K88" i="5"/>
  <c r="K112" i="5"/>
  <c r="J21" i="5"/>
  <c r="I20" i="5"/>
  <c r="A126" i="5"/>
  <c r="D126" i="5"/>
  <c r="G132" i="5"/>
  <c r="B102" i="5"/>
  <c r="H79" i="5"/>
  <c r="H110" i="5"/>
  <c r="F75" i="5"/>
  <c r="F146" i="5"/>
  <c r="B55" i="5"/>
  <c r="F26" i="5"/>
  <c r="F73" i="5"/>
  <c r="J104" i="5"/>
  <c r="B90" i="5"/>
  <c r="A92" i="5"/>
  <c r="H43" i="5"/>
  <c r="D19" i="5"/>
  <c r="B84" i="5"/>
  <c r="E115" i="5"/>
  <c r="C47" i="5"/>
  <c r="K130" i="5"/>
  <c r="B63" i="5"/>
  <c r="J112" i="5"/>
  <c r="K29" i="5"/>
  <c r="D41" i="5"/>
  <c r="I148" i="5"/>
  <c r="F151" i="5"/>
  <c r="H113" i="5"/>
  <c r="E25" i="5"/>
  <c r="F72" i="5"/>
  <c r="D13" i="5"/>
  <c r="K31" i="5"/>
  <c r="A141" i="5"/>
  <c r="H145" i="5"/>
  <c r="J105" i="5"/>
  <c r="C91" i="5"/>
  <c r="C92" i="5"/>
  <c r="I69" i="5"/>
  <c r="D116" i="5"/>
  <c r="C121" i="5"/>
  <c r="B153" i="5"/>
  <c r="E78" i="5"/>
  <c r="B32" i="5"/>
  <c r="C13" i="5"/>
  <c r="A89" i="5"/>
  <c r="I138" i="5"/>
  <c r="C112" i="5"/>
  <c r="D69" i="5"/>
  <c r="D150" i="5"/>
  <c r="G68" i="5"/>
  <c r="B100" i="5"/>
  <c r="B140" i="5"/>
  <c r="D42" i="5"/>
  <c r="A47" i="5"/>
  <c r="E135" i="5"/>
  <c r="I103" i="5"/>
  <c r="J126" i="5"/>
  <c r="G147" i="5"/>
  <c r="I67" i="5"/>
  <c r="E149" i="5"/>
  <c r="H151" i="5"/>
  <c r="H75" i="5"/>
  <c r="C16" i="5"/>
  <c r="C53" i="5"/>
  <c r="A98" i="5"/>
  <c r="F74" i="5"/>
  <c r="J96" i="5"/>
  <c r="I122" i="5"/>
  <c r="E31" i="5"/>
  <c r="E55" i="5"/>
  <c r="F36" i="5"/>
  <c r="F142" i="5"/>
  <c r="B145" i="5"/>
  <c r="G13" i="5"/>
  <c r="B108" i="5"/>
  <c r="C48" i="5"/>
  <c r="C54" i="5"/>
  <c r="K119" i="5"/>
  <c r="E128" i="5"/>
  <c r="C58" i="5"/>
  <c r="B51" i="5"/>
  <c r="F95" i="5"/>
  <c r="A59" i="5"/>
  <c r="B149" i="5"/>
  <c r="H121" i="5"/>
  <c r="C139" i="5"/>
  <c r="D56" i="5"/>
  <c r="K53" i="5"/>
  <c r="E35" i="5"/>
  <c r="G120" i="5"/>
  <c r="K62" i="5"/>
  <c r="B21" i="5"/>
  <c r="B45" i="5"/>
  <c r="A44" i="5"/>
  <c r="A91" i="5"/>
  <c r="G142" i="5"/>
  <c r="G88" i="5"/>
  <c r="J147" i="5"/>
  <c r="E60" i="5"/>
  <c r="H101" i="5"/>
  <c r="F22" i="5"/>
  <c r="D77" i="5"/>
  <c r="I95" i="5"/>
  <c r="E132" i="5"/>
  <c r="K23" i="5"/>
  <c r="J37" i="5"/>
  <c r="F13" i="5"/>
  <c r="K89" i="5"/>
  <c r="H122" i="5"/>
  <c r="G35" i="5"/>
  <c r="A69" i="5"/>
  <c r="A18" i="5"/>
  <c r="H67" i="5"/>
  <c r="A99" i="5"/>
  <c r="F70" i="5"/>
  <c r="K99" i="5"/>
  <c r="G75" i="5"/>
  <c r="C154" i="5"/>
  <c r="D114" i="5"/>
  <c r="E145" i="5"/>
  <c r="K13" i="5"/>
  <c r="H14" i="5"/>
  <c r="K92" i="5"/>
  <c r="F140" i="5"/>
  <c r="C79" i="5"/>
  <c r="E116" i="5"/>
  <c r="B148" i="5"/>
  <c r="J140" i="5"/>
  <c r="D135" i="5"/>
  <c r="I32" i="5"/>
  <c r="F33" i="5"/>
  <c r="C65" i="5"/>
  <c r="I36" i="5"/>
  <c r="C117" i="5"/>
  <c r="K97" i="5"/>
  <c r="I14" i="5"/>
  <c r="D39" i="5"/>
  <c r="B53" i="5"/>
  <c r="I45" i="5"/>
  <c r="F89" i="5"/>
  <c r="J131" i="5"/>
  <c r="F115" i="5"/>
  <c r="A147" i="5"/>
  <c r="K98" i="5"/>
  <c r="J91" i="5"/>
  <c r="C106" i="5"/>
  <c r="H107" i="5"/>
  <c r="K69" i="5"/>
  <c r="J123" i="5"/>
  <c r="A97" i="5"/>
  <c r="A74" i="5"/>
  <c r="D85" i="5"/>
  <c r="I93" i="5"/>
  <c r="F80" i="5"/>
  <c r="H49" i="5"/>
  <c r="I56" i="5"/>
  <c r="H130" i="5"/>
  <c r="A63" i="5"/>
  <c r="E150" i="5"/>
  <c r="C143" i="5"/>
  <c r="G73" i="5"/>
  <c r="J79" i="5"/>
  <c r="K42" i="5"/>
  <c r="H12" i="5"/>
  <c r="A84" i="5"/>
  <c r="D104" i="5"/>
  <c r="J27" i="5"/>
  <c r="K17" i="5"/>
  <c r="C107" i="5"/>
  <c r="G36" i="5"/>
  <c r="C55" i="5"/>
  <c r="F125" i="5"/>
  <c r="A134" i="5"/>
  <c r="E90" i="5"/>
  <c r="G55" i="5"/>
  <c r="E45" i="5"/>
  <c r="I106" i="5"/>
  <c r="F85" i="5"/>
  <c r="I51" i="5"/>
  <c r="F43" i="5"/>
  <c r="E29" i="5"/>
  <c r="F108" i="5"/>
  <c r="G137" i="5"/>
  <c r="E109" i="5"/>
  <c r="D111" i="5"/>
  <c r="J24" i="5"/>
  <c r="E123" i="5"/>
  <c r="B127" i="5"/>
  <c r="H96" i="5"/>
  <c r="E97" i="5"/>
  <c r="D99" i="5"/>
  <c r="J97" i="5"/>
  <c r="C20" i="5"/>
  <c r="E21" i="5"/>
  <c r="E92" i="5"/>
  <c r="C95" i="5"/>
  <c r="B124" i="5"/>
  <c r="D139" i="5"/>
  <c r="G107" i="5"/>
  <c r="G101" i="5"/>
  <c r="H108" i="5"/>
  <c r="H20" i="5"/>
  <c r="F49" i="5"/>
  <c r="B25" i="5"/>
  <c r="D78" i="5"/>
  <c r="G109" i="5"/>
  <c r="B64" i="5"/>
  <c r="F39" i="5"/>
  <c r="C61" i="5"/>
  <c r="B126" i="5"/>
  <c r="C134" i="5"/>
  <c r="K79" i="5"/>
  <c r="A46" i="5"/>
  <c r="F143" i="5"/>
  <c r="A152" i="5"/>
  <c r="E87" i="5"/>
  <c r="J58" i="5"/>
  <c r="G72" i="5"/>
  <c r="C90" i="5"/>
  <c r="H68" i="5"/>
  <c r="H102" i="5"/>
  <c r="J129" i="5"/>
  <c r="K135" i="5"/>
  <c r="B141" i="5"/>
  <c r="I139" i="5"/>
  <c r="I22" i="5"/>
  <c r="K138" i="5"/>
  <c r="K143" i="5"/>
  <c r="J69" i="5"/>
  <c r="B23" i="5"/>
  <c r="K20" i="5"/>
  <c r="C71" i="5"/>
  <c r="D124" i="5"/>
  <c r="H142" i="5"/>
  <c r="K75" i="5"/>
  <c r="K114" i="5"/>
  <c r="E62" i="5"/>
  <c r="C41" i="5"/>
  <c r="D151" i="5"/>
  <c r="B57" i="5"/>
  <c r="C50" i="5"/>
  <c r="K50" i="5"/>
  <c r="G26" i="5"/>
  <c r="G99" i="5"/>
  <c r="J84" i="5"/>
  <c r="F107" i="5"/>
  <c r="G104" i="5"/>
  <c r="I119" i="5"/>
  <c r="F132" i="5"/>
  <c r="K44" i="5"/>
  <c r="E46" i="5"/>
  <c r="B40" i="5"/>
  <c r="B34" i="5"/>
  <c r="K52" i="5"/>
  <c r="H137" i="5"/>
  <c r="E131" i="5"/>
  <c r="G81" i="5"/>
  <c r="H64" i="5"/>
  <c r="E65" i="5"/>
  <c r="J76" i="5"/>
  <c r="G42" i="5"/>
  <c r="D109" i="5"/>
  <c r="B92" i="5"/>
  <c r="E26" i="5"/>
  <c r="B59" i="5"/>
  <c r="B150" i="5"/>
  <c r="H105" i="5"/>
  <c r="H54" i="5"/>
  <c r="H25" i="5"/>
  <c r="D12" i="5"/>
  <c r="G116" i="5"/>
  <c r="D31" i="5"/>
  <c r="A104" i="5"/>
  <c r="A57" i="5"/>
  <c r="F114" i="5"/>
  <c r="B120" i="5"/>
  <c r="K154" i="5"/>
  <c r="J63" i="5"/>
  <c r="D65" i="5"/>
  <c r="J36" i="5"/>
  <c r="F148" i="5"/>
  <c r="I101" i="5"/>
  <c r="B58" i="5"/>
  <c r="J62" i="5"/>
  <c r="K132" i="5"/>
  <c r="E104" i="5"/>
  <c r="J81" i="5"/>
  <c r="J83" i="5"/>
  <c r="G14" i="5"/>
  <c r="G92" i="5"/>
  <c r="C113" i="5"/>
  <c r="J122" i="5"/>
  <c r="G56" i="5"/>
  <c r="F60" i="5"/>
  <c r="J73" i="5"/>
  <c r="H103" i="5"/>
  <c r="C60" i="5"/>
  <c r="E121" i="5"/>
  <c r="I146" i="5"/>
  <c r="E44" i="5"/>
  <c r="D80" i="5"/>
  <c r="G77" i="5"/>
  <c r="F105" i="5"/>
  <c r="J71" i="5"/>
  <c r="J16" i="5"/>
  <c r="A151" i="5"/>
  <c r="I34" i="5"/>
  <c r="K140" i="5"/>
  <c r="J67" i="5"/>
  <c r="H40" i="5"/>
  <c r="D45" i="5"/>
  <c r="B129" i="5"/>
  <c r="B99" i="5"/>
  <c r="G66" i="5"/>
  <c r="B111" i="5"/>
  <c r="K123" i="5"/>
  <c r="C96" i="5"/>
  <c r="E138" i="5"/>
  <c r="D131" i="5"/>
  <c r="E38" i="5"/>
  <c r="K28" i="5"/>
  <c r="C132" i="5"/>
  <c r="G135" i="5"/>
  <c r="H77" i="5"/>
  <c r="F111" i="5"/>
  <c r="A136" i="5"/>
  <c r="E103" i="5"/>
  <c r="A72" i="5"/>
  <c r="J14" i="5"/>
  <c r="K73" i="5"/>
  <c r="F86" i="5"/>
  <c r="B131" i="5"/>
  <c r="E122" i="5"/>
  <c r="E49" i="5"/>
  <c r="D28" i="5"/>
  <c r="J47" i="5"/>
  <c r="K129" i="5"/>
  <c r="J117" i="5"/>
  <c r="K48" i="5"/>
  <c r="E30" i="5"/>
  <c r="F145" i="5"/>
  <c r="A131" i="5"/>
  <c r="I62" i="5"/>
  <c r="G91" i="5"/>
  <c r="B96" i="5"/>
  <c r="I64" i="5"/>
  <c r="C152" i="5"/>
  <c r="H44" i="5"/>
  <c r="G62" i="5"/>
  <c r="J39" i="5"/>
  <c r="J35" i="5"/>
  <c r="K47" i="5"/>
  <c r="H13" i="5"/>
  <c r="D143" i="5"/>
  <c r="C99" i="5"/>
  <c r="A137" i="5"/>
  <c r="E134" i="5"/>
  <c r="J111" i="5"/>
  <c r="C98" i="5"/>
  <c r="C129" i="5"/>
  <c r="G149" i="5"/>
  <c r="H92" i="5"/>
  <c r="G78" i="5"/>
  <c r="E85" i="5"/>
  <c r="D121" i="5"/>
  <c r="E95" i="5"/>
  <c r="B70" i="5"/>
  <c r="G151" i="5"/>
  <c r="G20" i="5"/>
  <c r="J100" i="5"/>
  <c r="B125" i="5"/>
  <c r="J33" i="5"/>
  <c r="G46" i="5"/>
  <c r="H51" i="5"/>
  <c r="B151" i="5"/>
  <c r="A128" i="5"/>
  <c r="F48" i="5"/>
  <c r="A22" i="5"/>
  <c r="K149" i="5"/>
  <c r="B88" i="5"/>
  <c r="E77" i="5"/>
  <c r="B94" i="5"/>
  <c r="K71" i="5"/>
  <c r="C109" i="5"/>
  <c r="J77" i="5"/>
  <c r="D74" i="5"/>
  <c r="D118" i="5"/>
  <c r="E89" i="5"/>
  <c r="B30" i="5"/>
  <c r="A33" i="5"/>
  <c r="J143" i="5"/>
  <c r="F117" i="5"/>
  <c r="I55" i="5"/>
  <c r="C45" i="5"/>
  <c r="D50" i="5"/>
  <c r="E152" i="5"/>
  <c r="J41" i="5"/>
  <c r="K90" i="5"/>
  <c r="I44" i="5"/>
  <c r="H118" i="5"/>
  <c r="H53" i="5"/>
  <c r="H81" i="5"/>
  <c r="K33" i="5"/>
  <c r="J107" i="5"/>
  <c r="K109" i="5"/>
  <c r="G30" i="5"/>
  <c r="H78" i="5"/>
  <c r="K121" i="5"/>
  <c r="I134" i="5"/>
  <c r="B47" i="5"/>
  <c r="E14" i="5"/>
  <c r="G24" i="5"/>
  <c r="G150" i="5"/>
  <c r="D136" i="5"/>
  <c r="I54" i="5"/>
  <c r="H33" i="5"/>
  <c r="H139" i="5"/>
  <c r="D82" i="5"/>
  <c r="K84" i="5"/>
  <c r="G33" i="5"/>
  <c r="H38" i="5"/>
  <c r="K131" i="5"/>
  <c r="J154" i="5"/>
  <c r="I90" i="5"/>
  <c r="K18" i="5"/>
  <c r="D90" i="5"/>
  <c r="K58" i="5"/>
  <c r="E146" i="5"/>
  <c r="J23" i="5"/>
  <c r="K43" i="5"/>
  <c r="H80" i="5"/>
  <c r="I126" i="5"/>
  <c r="A118" i="5"/>
  <c r="C23" i="5"/>
  <c r="D92" i="5"/>
  <c r="F135" i="5"/>
  <c r="E127" i="5"/>
  <c r="D52" i="5"/>
  <c r="A132" i="5"/>
  <c r="A60" i="5"/>
  <c r="H117" i="5"/>
  <c r="F32" i="5"/>
  <c r="K21" i="5"/>
  <c r="A27" i="5"/>
  <c r="F152" i="5"/>
  <c r="C73" i="5"/>
  <c r="A82" i="5"/>
  <c r="J70" i="5"/>
  <c r="A39" i="5"/>
  <c r="J121" i="5"/>
  <c r="B86" i="5"/>
  <c r="H124" i="5"/>
  <c r="K144" i="5"/>
  <c r="D88" i="5"/>
  <c r="F63" i="5"/>
  <c r="J132" i="5"/>
  <c r="F147" i="5"/>
  <c r="J68" i="5"/>
  <c r="E52" i="5"/>
  <c r="K57" i="5"/>
  <c r="D145" i="5"/>
  <c r="E119" i="5"/>
  <c r="D54" i="5"/>
  <c r="J40" i="5"/>
  <c r="I50" i="5"/>
  <c r="D127" i="5"/>
  <c r="B116" i="5"/>
  <c r="I84" i="5"/>
  <c r="D49" i="5"/>
  <c r="D66" i="5"/>
  <c r="J120" i="5"/>
  <c r="I111" i="5"/>
  <c r="E96" i="5"/>
  <c r="H89" i="5"/>
  <c r="E83" i="5"/>
  <c r="H97" i="5"/>
  <c r="D51" i="5"/>
  <c r="A71" i="5"/>
  <c r="G22" i="5"/>
  <c r="B73" i="5"/>
  <c r="I132" i="5"/>
  <c r="E19" i="5"/>
  <c r="D89" i="5"/>
  <c r="B83" i="5"/>
  <c r="E144" i="5"/>
  <c r="F16" i="5"/>
  <c r="C29" i="5"/>
  <c r="B18" i="5"/>
  <c r="K147" i="5"/>
  <c r="F104" i="5"/>
  <c r="J59" i="5"/>
  <c r="H73" i="5"/>
  <c r="I85" i="5"/>
  <c r="E71" i="5"/>
  <c r="D58" i="5"/>
  <c r="C26" i="5"/>
  <c r="F116" i="5"/>
  <c r="G121" i="5"/>
  <c r="G41" i="5"/>
  <c r="F18" i="5"/>
  <c r="H69" i="5"/>
  <c r="I125" i="5"/>
  <c r="F87" i="5"/>
  <c r="D32" i="5"/>
  <c r="H149" i="5"/>
  <c r="E125" i="5"/>
  <c r="K49" i="5"/>
  <c r="E39" i="5"/>
  <c r="F44" i="5"/>
  <c r="D122" i="5"/>
  <c r="B134" i="5"/>
  <c r="F98" i="5"/>
  <c r="G80" i="5"/>
  <c r="B103" i="5"/>
  <c r="F153" i="5"/>
  <c r="D153" i="5"/>
  <c r="C57" i="5"/>
  <c r="C84" i="5"/>
  <c r="I97" i="5"/>
  <c r="J127" i="5"/>
  <c r="I127" i="5"/>
  <c r="B89" i="5"/>
  <c r="J110" i="5"/>
  <c r="J149" i="5"/>
  <c r="G114" i="5"/>
  <c r="B109" i="5"/>
  <c r="K70" i="5"/>
  <c r="K100" i="5"/>
  <c r="K85" i="5"/>
  <c r="K146" i="5"/>
  <c r="A142" i="5"/>
  <c r="I17" i="5"/>
  <c r="H94" i="5"/>
  <c r="D63" i="5"/>
  <c r="I150" i="5"/>
  <c r="B15" i="5"/>
  <c r="C52" i="5"/>
  <c r="C149" i="5"/>
  <c r="E117" i="5"/>
  <c r="G108" i="5"/>
  <c r="E80" i="5"/>
  <c r="A94" i="5"/>
  <c r="A115" i="5"/>
  <c r="G18" i="5"/>
  <c r="B49" i="5"/>
  <c r="F21" i="5"/>
  <c r="D61" i="5"/>
  <c r="G85" i="5"/>
  <c r="J134" i="5"/>
  <c r="E106" i="5"/>
  <c r="G141" i="5"/>
  <c r="J29" i="5"/>
  <c r="J65" i="5"/>
  <c r="F123" i="5"/>
  <c r="H26" i="5"/>
  <c r="B16" i="5"/>
  <c r="C21" i="5"/>
  <c r="K86" i="5"/>
  <c r="D148" i="5"/>
  <c r="K153" i="5"/>
  <c r="A88" i="5"/>
  <c r="I78" i="5"/>
  <c r="D125" i="5"/>
  <c r="F154" i="5"/>
  <c r="J72" i="5"/>
  <c r="B19" i="5"/>
  <c r="D29" i="5"/>
  <c r="F96" i="5"/>
  <c r="B115" i="5"/>
  <c r="C38" i="5"/>
  <c r="D24" i="5"/>
  <c r="F77" i="5"/>
  <c r="G138" i="5"/>
  <c r="A15" i="5"/>
  <c r="I27" i="5"/>
  <c r="C82" i="5"/>
  <c r="H133" i="5"/>
  <c r="C138" i="5"/>
  <c r="I74" i="5"/>
  <c r="K76" i="5"/>
  <c r="E142" i="5"/>
  <c r="I153" i="5"/>
  <c r="K68" i="5"/>
  <c r="J99" i="5"/>
  <c r="J43" i="5"/>
  <c r="C89" i="5"/>
  <c r="E105" i="5"/>
  <c r="C22" i="5"/>
  <c r="K34" i="5"/>
  <c r="A40" i="5"/>
  <c r="J150" i="5"/>
  <c r="I58" i="5"/>
  <c r="I57" i="5"/>
  <c r="G106" i="5"/>
  <c r="I15" i="5"/>
  <c r="B112" i="5"/>
  <c r="A122" i="5"/>
  <c r="G86" i="5"/>
  <c r="G139" i="5"/>
  <c r="C111" i="5"/>
  <c r="F59" i="5"/>
  <c r="G19" i="5"/>
  <c r="K125" i="5"/>
  <c r="I99" i="5"/>
  <c r="I65" i="5"/>
  <c r="C141" i="5"/>
  <c r="D60" i="5"/>
  <c r="G97" i="5"/>
  <c r="C66" i="5"/>
  <c r="H153" i="5"/>
  <c r="B22" i="5"/>
  <c r="A24" i="5"/>
  <c r="H71" i="5"/>
  <c r="J130" i="5"/>
  <c r="J20" i="5"/>
  <c r="D23" i="5"/>
  <c r="E28" i="5"/>
  <c r="D67" i="5"/>
  <c r="A125" i="5"/>
  <c r="C25" i="5"/>
  <c r="J42" i="5"/>
  <c r="F141" i="5"/>
  <c r="E111" i="5"/>
  <c r="F133" i="5"/>
  <c r="J66" i="5"/>
  <c r="F109" i="5"/>
  <c r="B142" i="5"/>
  <c r="I108" i="5"/>
  <c r="B117" i="5"/>
  <c r="A121" i="5"/>
  <c r="F118" i="5"/>
  <c r="A124" i="5"/>
  <c r="A112" i="5"/>
  <c r="I76" i="5"/>
  <c r="F90" i="5"/>
  <c r="F112" i="5"/>
  <c r="C81" i="5"/>
  <c r="J115" i="5"/>
  <c r="I16" i="5"/>
  <c r="K67" i="5"/>
  <c r="E22" i="5"/>
  <c r="I73" i="5"/>
  <c r="E102" i="5"/>
  <c r="A21" i="5"/>
  <c r="F57" i="5"/>
  <c r="D57" i="5"/>
  <c r="E23" i="5"/>
  <c r="J15" i="5"/>
  <c r="I118" i="5"/>
  <c r="A144" i="5"/>
  <c r="H83" i="5"/>
  <c r="I30" i="5"/>
  <c r="K40" i="5"/>
  <c r="H90" i="5"/>
  <c r="D107" i="5"/>
  <c r="B41" i="5"/>
  <c r="I24" i="5"/>
  <c r="F84" i="5"/>
  <c r="I141" i="5"/>
  <c r="G140" i="5"/>
  <c r="F35" i="5"/>
  <c r="I77" i="5"/>
  <c r="B80" i="5"/>
  <c r="C126" i="5"/>
  <c r="C136" i="5"/>
  <c r="J55" i="5"/>
  <c r="B61" i="5"/>
  <c r="D132" i="5"/>
  <c r="I123" i="5"/>
  <c r="C40" i="5"/>
  <c r="A54" i="5"/>
  <c r="J26" i="5"/>
  <c r="I129" i="5"/>
  <c r="D94" i="5"/>
  <c r="K80" i="5"/>
  <c r="K55" i="5"/>
  <c r="C145" i="5"/>
  <c r="A103" i="5"/>
  <c r="G122" i="5"/>
  <c r="B13" i="5"/>
  <c r="G111" i="5"/>
  <c r="A26" i="5"/>
  <c r="H56" i="5"/>
  <c r="I112" i="5"/>
  <c r="C19" i="5"/>
  <c r="B136" i="5"/>
  <c r="J31" i="5"/>
  <c r="A64" i="5"/>
  <c r="E34" i="5"/>
  <c r="J95" i="5"/>
  <c r="J93" i="5"/>
  <c r="H128" i="5"/>
  <c r="E57" i="5"/>
  <c r="F62" i="5"/>
  <c r="C32" i="5"/>
  <c r="A95" i="5"/>
  <c r="B113" i="5"/>
  <c r="H39" i="5"/>
  <c r="B29" i="5"/>
  <c r="C34" i="5"/>
  <c r="F61" i="5"/>
  <c r="B119" i="5"/>
  <c r="B28" i="5"/>
  <c r="G17" i="5"/>
  <c r="F149" i="5"/>
  <c r="G124" i="5"/>
  <c r="D154" i="5"/>
  <c r="J51" i="5"/>
  <c r="D95" i="5"/>
  <c r="G60" i="5"/>
  <c r="K137" i="5"/>
  <c r="K148" i="5"/>
  <c r="K65" i="5"/>
  <c r="D17" i="5"/>
  <c r="G145" i="5"/>
  <c r="B146" i="5"/>
  <c r="D38" i="5"/>
  <c r="A51" i="5"/>
  <c r="J32" i="5"/>
  <c r="H135" i="5"/>
  <c r="A107" i="5"/>
  <c r="F58" i="5"/>
  <c r="G59" i="5"/>
  <c r="D147" i="5"/>
  <c r="I115" i="5"/>
  <c r="I143" i="5"/>
  <c r="D68" i="5"/>
  <c r="B75" i="5"/>
  <c r="A116" i="5"/>
  <c r="H141" i="5"/>
  <c r="F45" i="5"/>
  <c r="E59" i="5"/>
  <c r="G69" i="5"/>
  <c r="F139" i="5"/>
  <c r="H34" i="5"/>
  <c r="D73" i="5"/>
  <c r="A55" i="5"/>
  <c r="I98" i="5"/>
  <c r="B139" i="5"/>
  <c r="C63" i="5"/>
  <c r="J145" i="5"/>
  <c r="G94" i="5"/>
  <c r="D84" i="5"/>
  <c r="A53" i="5"/>
  <c r="J118" i="5"/>
  <c r="A87" i="5"/>
  <c r="E16" i="5"/>
  <c r="H120" i="5"/>
  <c r="G134" i="5"/>
  <c r="F150" i="5"/>
  <c r="K105" i="5"/>
  <c r="H88" i="5"/>
  <c r="K64" i="5"/>
  <c r="E139" i="5"/>
  <c r="J106" i="5"/>
  <c r="K122" i="5"/>
  <c r="I33" i="5"/>
  <c r="C74" i="5"/>
  <c r="I149" i="5"/>
  <c r="H146" i="5"/>
  <c r="A14" i="5"/>
  <c r="I29" i="5"/>
  <c r="F137" i="5"/>
  <c r="H98" i="5"/>
  <c r="J152" i="5"/>
  <c r="F17" i="5"/>
  <c r="G87" i="5"/>
  <c r="A79" i="5"/>
  <c r="I154" i="5"/>
  <c r="H55" i="5"/>
  <c r="E66" i="5"/>
  <c r="I87" i="5"/>
  <c r="F103" i="5"/>
  <c r="I52" i="5"/>
  <c r="D62" i="5"/>
  <c r="K66" i="5"/>
  <c r="A140" i="5"/>
  <c r="J133" i="5"/>
  <c r="I37" i="5"/>
  <c r="I82" i="5"/>
  <c r="I75" i="5"/>
  <c r="H84" i="5"/>
  <c r="B31" i="5"/>
  <c r="G15" i="5"/>
  <c r="F69" i="5"/>
  <c r="B78" i="5"/>
  <c r="E64" i="5"/>
  <c r="H114" i="5"/>
  <c r="D87" i="5"/>
  <c r="G93" i="5"/>
  <c r="K142" i="5"/>
  <c r="A143" i="5"/>
  <c r="F124" i="5"/>
  <c r="I92" i="5"/>
  <c r="B154" i="5"/>
  <c r="H143" i="5"/>
  <c r="H99" i="5"/>
  <c r="D113" i="5"/>
  <c r="C151" i="5"/>
  <c r="D119" i="5"/>
  <c r="H104" i="5"/>
  <c r="B71" i="5"/>
  <c r="E41" i="5"/>
  <c r="C127" i="5"/>
  <c r="J92" i="5"/>
  <c r="F14" i="5"/>
  <c r="K39" i="5"/>
  <c r="F38" i="5"/>
  <c r="I120" i="5"/>
  <c r="F88" i="5"/>
  <c r="K14" i="5"/>
  <c r="C18" i="5"/>
  <c r="D108" i="5"/>
  <c r="J135" i="5"/>
  <c r="I96" i="5"/>
  <c r="E151" i="5"/>
  <c r="J45" i="5"/>
  <c r="B130" i="5"/>
  <c r="D138" i="5"/>
  <c r="H42" i="5"/>
  <c r="C86" i="5"/>
  <c r="G58" i="5"/>
  <c r="J153" i="5"/>
  <c r="I39" i="5"/>
  <c r="F52" i="5"/>
  <c r="C94" i="5"/>
  <c r="K136" i="5"/>
  <c r="E129" i="5"/>
  <c r="E63" i="5"/>
  <c r="H16" i="5"/>
  <c r="C15" i="5"/>
  <c r="C80" i="5"/>
  <c r="E137" i="5"/>
  <c r="E58" i="5"/>
  <c r="C39" i="5"/>
  <c r="F144" i="5"/>
  <c r="B85" i="5"/>
  <c r="J88" i="5"/>
  <c r="D123" i="5"/>
  <c r="B43" i="5"/>
  <c r="G76" i="5"/>
  <c r="K101" i="5"/>
  <c r="G70" i="5"/>
  <c r="I49" i="5"/>
  <c r="K35" i="5"/>
  <c r="E68" i="5"/>
  <c r="K141" i="5"/>
  <c r="E136" i="5"/>
  <c r="A29" i="5"/>
  <c r="F54" i="5"/>
  <c r="I133" i="5"/>
  <c r="G105" i="5"/>
  <c r="K59" i="5"/>
  <c r="H72" i="5"/>
  <c r="E15" i="5"/>
  <c r="K127" i="5"/>
  <c r="C101" i="5"/>
  <c r="D64" i="5"/>
  <c r="B107" i="5"/>
  <c r="G113" i="5"/>
  <c r="G83" i="5"/>
  <c r="I41" i="5"/>
  <c r="I80" i="5"/>
  <c r="H111" i="5"/>
  <c r="A150" i="5"/>
  <c r="J146" i="5"/>
  <c r="C44" i="5"/>
  <c r="G131" i="5"/>
  <c r="H109" i="5"/>
  <c r="F127" i="5"/>
  <c r="A75" i="5"/>
  <c r="C31" i="5"/>
  <c r="J119" i="5"/>
  <c r="K93" i="5"/>
  <c r="G71" i="5"/>
  <c r="A61" i="5"/>
  <c r="B66" i="5"/>
  <c r="I91" i="5"/>
  <c r="G90" i="5"/>
  <c r="J25" i="5"/>
  <c r="J113" i="5"/>
  <c r="A30" i="5"/>
  <c r="A85" i="5"/>
  <c r="D81" i="5"/>
  <c r="C146" i="5"/>
  <c r="F41" i="5"/>
  <c r="F101" i="5"/>
  <c r="D86" i="5"/>
  <c r="K91" i="5"/>
  <c r="I70" i="5"/>
  <c r="A38" i="5"/>
  <c r="E48" i="5"/>
  <c r="D22" i="5"/>
  <c r="G103" i="5"/>
  <c r="I72" i="5"/>
  <c r="I147" i="5"/>
  <c r="B144" i="5"/>
  <c r="K16" i="5"/>
  <c r="G51" i="5"/>
  <c r="B50" i="5"/>
  <c r="K113" i="5"/>
  <c r="H82" i="5"/>
  <c r="J17" i="5"/>
  <c r="G129" i="5"/>
  <c r="I107" i="5"/>
  <c r="E76" i="5"/>
  <c r="H52" i="5"/>
  <c r="C120" i="5"/>
  <c r="G146" i="5"/>
  <c r="H70" i="5"/>
  <c r="F55" i="5"/>
  <c r="H106" i="5"/>
  <c r="I145" i="5"/>
  <c r="A28" i="5"/>
  <c r="I40" i="5"/>
  <c r="D101" i="5"/>
  <c r="F102" i="5"/>
  <c r="F131" i="5"/>
  <c r="E108" i="5"/>
  <c r="D16" i="5"/>
  <c r="B114" i="5"/>
  <c r="C140" i="5"/>
  <c r="H100" i="5"/>
  <c r="F121" i="5"/>
  <c r="F27" i="5"/>
  <c r="A148" i="5"/>
  <c r="G133" i="5"/>
  <c r="G28" i="5"/>
  <c r="E42" i="5"/>
  <c r="G52" i="5"/>
  <c r="J30" i="5"/>
  <c r="G112" i="5"/>
  <c r="J89" i="5"/>
  <c r="H138" i="5"/>
  <c r="E81" i="5"/>
  <c r="D71" i="5"/>
  <c r="J80" i="5"/>
  <c r="B60" i="5"/>
  <c r="J53" i="5"/>
  <c r="A102" i="5"/>
  <c r="I142" i="5"/>
  <c r="B137" i="5"/>
  <c r="B26" i="5"/>
  <c r="B72" i="5"/>
  <c r="J141" i="5"/>
  <c r="F113" i="5"/>
  <c r="E130" i="5"/>
  <c r="A41" i="5"/>
  <c r="J124" i="5"/>
  <c r="I135" i="5"/>
  <c r="B44" i="5"/>
  <c r="J56" i="5"/>
  <c r="I66" i="5"/>
  <c r="H131" i="5"/>
  <c r="A101" i="5"/>
  <c r="I60" i="5"/>
  <c r="C42" i="5"/>
  <c r="C118" i="5"/>
  <c r="E154" i="5"/>
  <c r="H152" i="5"/>
  <c r="E124" i="5"/>
  <c r="H37" i="5"/>
  <c r="H154" i="5"/>
  <c r="F126" i="5"/>
  <c r="K117" i="5"/>
  <c r="G118" i="5"/>
  <c r="F65" i="5"/>
  <c r="B138" i="5"/>
  <c r="C131" i="5"/>
  <c r="F31" i="5"/>
  <c r="K56" i="5"/>
  <c r="D120" i="5"/>
  <c r="D91" i="5"/>
  <c r="I128" i="5"/>
  <c r="A68" i="5"/>
  <c r="E88" i="5"/>
  <c r="F30" i="5"/>
  <c r="B67" i="5"/>
  <c r="B27" i="5"/>
  <c r="C69" i="5"/>
  <c r="C43" i="5"/>
  <c r="I124" i="5"/>
  <c r="B147" i="5"/>
  <c r="E61" i="5"/>
  <c r="H46" i="5"/>
  <c r="K77" i="5"/>
  <c r="K118" i="5"/>
  <c r="D110" i="5"/>
  <c r="D100" i="5"/>
  <c r="A62" i="5"/>
  <c r="C72" i="5"/>
  <c r="C119" i="5"/>
  <c r="B143" i="5"/>
  <c r="I71" i="5"/>
  <c r="A48" i="5"/>
  <c r="I109" i="5"/>
  <c r="G148" i="5"/>
  <c r="J144" i="5"/>
  <c r="J101" i="5"/>
  <c r="B110" i="5"/>
  <c r="K103" i="5"/>
  <c r="C144" i="5"/>
  <c r="A139" i="5"/>
  <c r="J34" i="5"/>
  <c r="B39" i="5"/>
  <c r="I137" i="5"/>
  <c r="H123" i="5"/>
  <c r="F71" i="5"/>
  <c r="H87" i="5"/>
  <c r="H17" i="5"/>
  <c r="D102" i="5"/>
  <c r="C130" i="5"/>
  <c r="E32" i="5"/>
  <c r="B35" i="5"/>
  <c r="A111" i="5"/>
  <c r="I79" i="5"/>
  <c r="F29" i="5"/>
  <c r="E36" i="5"/>
  <c r="E120" i="5"/>
  <c r="A129" i="5"/>
  <c r="E100" i="5"/>
  <c r="E86" i="5"/>
  <c r="B93" i="5"/>
  <c r="B122" i="5"/>
  <c r="C56" i="5"/>
  <c r="H18" i="5"/>
  <c r="D79" i="5"/>
  <c r="I28" i="5"/>
  <c r="G128" i="5"/>
  <c r="C148" i="5"/>
  <c r="E91" i="5"/>
  <c r="A50" i="5"/>
  <c r="G40" i="5"/>
  <c r="E126" i="5"/>
  <c r="C125" i="5"/>
  <c r="A93" i="5"/>
  <c r="C68" i="5"/>
  <c r="F78" i="5"/>
  <c r="C122" i="5"/>
  <c r="D93" i="5"/>
  <c r="E53" i="5"/>
  <c r="A114" i="5"/>
  <c r="B105" i="5"/>
  <c r="G100" i="5"/>
  <c r="A130" i="5"/>
  <c r="D112" i="5"/>
  <c r="C103" i="5"/>
  <c r="I116" i="5"/>
  <c r="I94" i="5"/>
  <c r="H125" i="5"/>
  <c r="E133" i="5"/>
  <c r="H85" i="5"/>
  <c r="A138" i="5"/>
  <c r="K145" i="5"/>
  <c r="A66" i="5"/>
  <c r="K95" i="5"/>
  <c r="B56" i="5"/>
  <c r="C142" i="5"/>
  <c r="I83" i="5"/>
  <c r="K82" i="5"/>
  <c r="E84" i="5"/>
  <c r="E118" i="5"/>
  <c r="F92" i="5"/>
  <c r="B79" i="5"/>
  <c r="A96" i="5"/>
  <c r="D146" i="5"/>
  <c r="C115" i="5"/>
  <c r="E143" i="5"/>
  <c r="K41" i="5"/>
  <c r="I31" i="5"/>
  <c r="A52" i="5"/>
  <c r="D75" i="5"/>
  <c r="J57" i="5"/>
  <c r="F99" i="5"/>
  <c r="F67" i="5"/>
  <c r="I136" i="5"/>
  <c r="K128" i="5"/>
  <c r="C36" i="5"/>
  <c r="C100" i="5"/>
  <c r="D130" i="5"/>
  <c r="A78" i="5"/>
  <c r="B38" i="5"/>
  <c r="A117" i="5"/>
  <c r="I104" i="5"/>
  <c r="A35" i="5"/>
  <c r="B121" i="5"/>
  <c r="K124" i="5"/>
  <c r="E113" i="5"/>
  <c r="H63" i="5"/>
  <c r="C77" i="5"/>
  <c r="F19" i="5"/>
  <c r="K133" i="5"/>
  <c r="G127" i="5"/>
  <c r="E114" i="5"/>
  <c r="G23" i="5"/>
  <c r="E54" i="5"/>
  <c r="H22" i="5"/>
  <c r="H140" i="5"/>
  <c r="I130" i="5"/>
  <c r="A58" i="5"/>
  <c r="K46" i="5"/>
  <c r="H86" i="5"/>
  <c r="B77" i="5"/>
  <c r="J137" i="5"/>
  <c r="D36" i="5"/>
  <c r="C24" i="5"/>
  <c r="J18" i="5"/>
  <c r="F66" i="5"/>
  <c r="E101" i="5"/>
  <c r="C51" i="5"/>
  <c r="J102" i="5"/>
  <c r="G136" i="5"/>
  <c r="D35" i="5"/>
  <c r="D98" i="5"/>
  <c r="G84" i="5"/>
  <c r="D34" i="5"/>
  <c r="H136" i="5"/>
  <c r="J136" i="5"/>
  <c r="J60" i="5"/>
  <c r="G27" i="5"/>
  <c r="E98" i="5"/>
  <c r="A20" i="5"/>
  <c r="J75" i="5"/>
  <c r="K94" i="5"/>
  <c r="A120" i="5"/>
  <c r="G79" i="5"/>
  <c r="B82" i="5"/>
  <c r="F34" i="5"/>
  <c r="B97" i="5"/>
  <c r="A42" i="5"/>
  <c r="C67" i="5"/>
  <c r="D141" i="5"/>
  <c r="F23" i="5"/>
  <c r="H132" i="5"/>
  <c r="B123" i="5"/>
  <c r="F93" i="5"/>
  <c r="E82" i="5"/>
  <c r="C97" i="5"/>
  <c r="A154" i="5"/>
  <c r="I35" i="5"/>
  <c r="C102" i="5"/>
  <c r="E67" i="5"/>
  <c r="A110" i="5"/>
  <c r="G44" i="5"/>
  <c r="E40" i="5"/>
  <c r="B20" i="5"/>
  <c r="D30" i="5"/>
  <c r="G102" i="5"/>
  <c r="D83" i="5"/>
  <c r="A34" i="5"/>
  <c r="I42" i="5"/>
  <c r="K27" i="5"/>
  <c r="H60" i="5"/>
  <c r="J85" i="5"/>
  <c r="F122" i="5"/>
  <c r="C35" i="5"/>
  <c r="B14" i="5"/>
  <c r="F79" i="5"/>
  <c r="C108" i="5"/>
  <c r="C62" i="5"/>
  <c r="K115" i="5"/>
  <c r="A17" i="5"/>
  <c r="J50" i="5"/>
  <c r="H147" i="5"/>
  <c r="H31" i="5"/>
  <c r="K106" i="5"/>
  <c r="H95" i="5"/>
  <c r="B152" i="5"/>
  <c r="D47" i="5"/>
  <c r="B69" i="5"/>
  <c r="I25" i="5"/>
  <c r="C75" i="5"/>
  <c r="E33" i="5"/>
  <c r="J94" i="5"/>
  <c r="H47" i="5"/>
  <c r="K72" i="5"/>
  <c r="G50" i="5"/>
  <c r="F106" i="5"/>
  <c r="E24" i="5"/>
  <c r="H41" i="5"/>
  <c r="K54" i="5"/>
  <c r="J44" i="5"/>
  <c r="G67" i="5"/>
  <c r="K74" i="5"/>
  <c r="K87" i="5"/>
  <c r="I61" i="5"/>
  <c r="F129" i="5"/>
  <c r="K15" i="5"/>
  <c r="K32" i="5"/>
  <c r="C105" i="5"/>
  <c r="A146" i="5"/>
  <c r="E18" i="5"/>
  <c r="C137" i="5"/>
  <c r="J116" i="5"/>
  <c r="C124" i="5"/>
  <c r="A76" i="5"/>
  <c r="F138" i="5"/>
  <c r="G126" i="5"/>
  <c r="A100" i="5"/>
  <c r="D144" i="5"/>
  <c r="K134" i="5"/>
  <c r="C33" i="5"/>
  <c r="K83" i="5"/>
  <c r="K51" i="5"/>
  <c r="K78" i="5"/>
  <c r="D25" i="5"/>
  <c r="B42" i="5"/>
  <c r="A67" i="5"/>
  <c r="G34" i="5"/>
  <c r="B87" i="5"/>
  <c r="I59" i="5"/>
  <c r="G98" i="5"/>
  <c r="I63" i="5"/>
  <c r="J108" i="5"/>
  <c r="E140" i="5"/>
  <c r="E73" i="5"/>
  <c r="C104" i="5"/>
  <c r="C123" i="5"/>
  <c r="G115" i="5"/>
  <c r="D72" i="5"/>
  <c r="C49" i="5"/>
  <c r="H119" i="5"/>
  <c r="B52" i="5"/>
  <c r="H36" i="5"/>
  <c r="E27" i="5"/>
  <c r="C59" i="5"/>
  <c r="E69" i="5"/>
  <c r="J98" i="5"/>
  <c r="E74" i="5"/>
  <c r="A133" i="5"/>
  <c r="D152" i="5"/>
  <c r="B37" i="5"/>
  <c r="J86" i="5"/>
  <c r="G153" i="5"/>
  <c r="A109" i="5"/>
  <c r="F110" i="5"/>
  <c r="H91" i="5"/>
  <c r="B95" i="5"/>
  <c r="C27" i="5"/>
  <c r="J148" i="5"/>
  <c r="C76" i="5"/>
  <c r="I102" i="5"/>
  <c r="D46" i="5"/>
  <c r="A49" i="5"/>
  <c r="A83" i="5"/>
  <c r="A73" i="5"/>
  <c r="H129" i="5"/>
  <c r="I46" i="5"/>
  <c r="E17" i="5"/>
  <c r="K104" i="5"/>
  <c r="I18" i="5"/>
  <c r="D96" i="5"/>
  <c r="B62" i="5"/>
  <c r="G57" i="5"/>
  <c r="A45" i="5"/>
  <c r="C28" i="5"/>
  <c r="D70" i="5"/>
  <c r="E43" i="5"/>
  <c r="G53" i="5"/>
  <c r="A23" i="5"/>
  <c r="A135" i="5"/>
  <c r="H19" i="5"/>
  <c r="C135" i="5"/>
  <c r="K81" i="5"/>
  <c r="B24" i="5"/>
  <c r="I151" i="5"/>
  <c r="J90" i="5"/>
  <c r="I48" i="5"/>
  <c r="J19" i="5"/>
  <c r="B133" i="5"/>
  <c r="F100" i="5"/>
  <c r="G31" i="5"/>
  <c r="G48" i="5"/>
  <c r="F76" i="5"/>
  <c r="D97" i="5"/>
  <c r="J38" i="5"/>
  <c r="J78" i="5"/>
  <c r="J82" i="5"/>
  <c r="C14" i="5"/>
  <c r="C64" i="5"/>
  <c r="H93" i="5"/>
  <c r="D128" i="5"/>
  <c r="I89" i="5"/>
  <c r="E70" i="5"/>
  <c r="K19" i="5"/>
  <c r="C114" i="5"/>
  <c r="G64" i="5"/>
  <c r="G63" i="5"/>
  <c r="F40" i="5"/>
  <c r="B46" i="5"/>
  <c r="H58" i="5"/>
  <c r="G37" i="5"/>
  <c r="C87" i="5"/>
  <c r="C17" i="5"/>
  <c r="D142" i="5"/>
  <c r="J87" i="5"/>
  <c r="I21" i="5"/>
  <c r="J46" i="5"/>
  <c r="D115" i="5"/>
  <c r="I131" i="5"/>
  <c r="B74" i="5"/>
  <c r="C147" i="5"/>
  <c r="E51" i="5"/>
  <c r="A106" i="5"/>
  <c r="G110" i="5"/>
  <c r="A149" i="5"/>
  <c r="D103" i="5"/>
  <c r="H45" i="5"/>
  <c r="G16" i="5"/>
  <c r="G21" i="5"/>
  <c r="F24" i="5"/>
  <c r="D27" i="5"/>
  <c r="B106" i="5"/>
  <c r="H76" i="5"/>
  <c r="A80" i="5"/>
  <c r="I152" i="5"/>
  <c r="H59" i="5"/>
  <c r="G45" i="5"/>
  <c r="E93" i="5"/>
  <c r="E99" i="5"/>
  <c r="F91" i="5"/>
  <c r="E94" i="5"/>
  <c r="E50" i="5"/>
  <c r="E153" i="5"/>
  <c r="K60" i="5"/>
  <c r="E147" i="5"/>
  <c r="D43" i="5"/>
  <c r="K36" i="5"/>
  <c r="I53" i="5"/>
  <c r="J151" i="5"/>
  <c r="E141" i="5"/>
  <c r="K22" i="5"/>
  <c r="G119" i="5"/>
  <c r="H62" i="5"/>
  <c r="J128" i="5"/>
  <c r="B104" i="5"/>
  <c r="H112" i="5"/>
  <c r="G61" i="5"/>
  <c r="F97" i="5"/>
  <c r="A145" i="5"/>
  <c r="D21" i="5"/>
  <c r="I38" i="5"/>
  <c r="D40" i="5"/>
  <c r="J109" i="5"/>
  <c r="I47" i="5"/>
  <c r="B54" i="5"/>
  <c r="H126" i="5"/>
  <c r="I26" i="5"/>
  <c r="G143" i="5"/>
  <c r="D106" i="5"/>
  <c r="E47" i="5"/>
  <c r="E112" i="5"/>
  <c r="K152" i="5"/>
  <c r="K61" i="5"/>
  <c r="C83" i="5"/>
  <c r="K38" i="5"/>
  <c r="B76" i="5"/>
  <c r="A36" i="5"/>
  <c r="F42" i="5"/>
  <c r="B17" i="5"/>
  <c r="E110" i="5"/>
  <c r="B128" i="5"/>
  <c r="F53" i="5"/>
  <c r="K96" i="5"/>
  <c r="B118" i="5"/>
  <c r="D44" i="5"/>
  <c r="A90" i="5"/>
  <c r="K151" i="5"/>
  <c r="H127" i="5"/>
  <c r="G117" i="5"/>
  <c r="C46" i="5"/>
  <c r="K25" i="5"/>
  <c r="H61" i="5"/>
  <c r="J28" i="5"/>
  <c r="J54" i="5"/>
  <c r="I86" i="5"/>
  <c r="E56" i="5"/>
  <c r="F64" i="5"/>
  <c r="C30" i="5"/>
  <c r="F136" i="5"/>
  <c r="H32" i="5"/>
  <c r="K120" i="5"/>
  <c r="E148" i="5"/>
  <c r="E72" i="5"/>
  <c r="D117" i="5"/>
  <c r="J74" i="5"/>
  <c r="F56" i="5"/>
  <c r="A65" i="5"/>
  <c r="D105" i="5"/>
  <c r="A113" i="5"/>
  <c r="D53" i="5"/>
  <c r="B33" i="5"/>
  <c r="F37" i="5"/>
  <c r="A127" i="5"/>
  <c r="I121" i="5"/>
  <c r="C70" i="5"/>
  <c r="H150" i="5"/>
  <c r="F15" i="5"/>
  <c r="J22" i="5"/>
  <c r="F94" i="5"/>
  <c r="D133" i="5"/>
  <c r="J103" i="5"/>
  <c r="H15" i="5"/>
  <c r="A25" i="5"/>
  <c r="J64" i="5"/>
  <c r="I117" i="5"/>
  <c r="K45" i="5"/>
  <c r="F120" i="5"/>
  <c r="B36" i="5"/>
  <c r="H24" i="5"/>
  <c r="I81" i="5"/>
  <c r="H23" i="5"/>
  <c r="C116" i="5"/>
  <c r="H35" i="5"/>
  <c r="G125" i="5"/>
  <c r="B91" i="5"/>
  <c r="H50" i="5"/>
  <c r="G95" i="5"/>
  <c r="A70" i="5"/>
  <c r="H115" i="5"/>
  <c r="F47" i="5"/>
  <c r="F50" i="5"/>
  <c r="F51" i="5"/>
  <c r="D14" i="5"/>
  <c r="D48" i="5"/>
  <c r="H28" i="5"/>
  <c r="F68" i="5"/>
  <c r="F155" i="5" l="1"/>
  <c r="E155" i="5"/>
  <c r="D155" i="5"/>
  <c r="J155" i="5" l="1"/>
</calcChain>
</file>

<file path=xl/sharedStrings.xml><?xml version="1.0" encoding="utf-8"?>
<sst xmlns="http://schemas.openxmlformats.org/spreadsheetml/2006/main" count="741" uniqueCount="327">
  <si>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</si>
  <si>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</si>
  <si>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</si>
  <si>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</si>
  <si>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</si>
  <si>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</si>
  <si>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</si>
  <si>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</si>
  <si>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</si>
  <si>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</si>
  <si>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</si>
  <si>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</si>
  <si>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</si>
  <si>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</si>
  <si>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</si>
  <si>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</si>
  <si>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</si>
  <si>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</si>
  <si>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</si>
  <si>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</si>
  <si>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</si>
  <si>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</si>
  <si>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</si>
  <si>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</si>
  <si>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</si>
  <si>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</si>
  <si>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</si>
  <si>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</si>
  <si>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</si>
  <si>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</si>
  <si>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</si>
  <si>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</si>
  <si>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</si>
  <si>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</si>
  <si>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</si>
  <si>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</si>
  <si>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</si>
  <si>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</si>
  <si>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</si>
  <si>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</si>
  <si>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</si>
  <si>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</si>
  <si>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</si>
  <si>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</si>
  <si>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</si>
  <si>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</si>
  <si>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</si>
  <si>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</si>
  <si>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</si>
  <si>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</si>
  <si>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</si>
  <si>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</si>
  <si>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</si>
  <si>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</si>
  <si>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</si>
  <si>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</si>
  <si>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</si>
  <si>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</si>
  <si>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</si>
  <si>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</si>
  <si>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</si>
  <si>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</si>
  <si>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</si>
  <si>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</si>
  <si>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</si>
  <si>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</si>
  <si>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</si>
  <si>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</si>
  <si>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</si>
  <si>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</si>
  <si>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</si>
  <si>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</si>
  <si>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</si>
  <si>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</si>
  <si>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</si>
  <si>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</si>
  <si>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</si>
  <si>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</si>
  <si>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</si>
  <si>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</si>
  <si>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</si>
  <si>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</si>
  <si>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</si>
  <si>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</si>
  <si>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</si>
  <si>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</si>
  <si>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</si>
  <si>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</si>
  <si>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</si>
  <si>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</si>
  <si>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</si>
  <si>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</si>
  <si>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</si>
  <si>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</si>
  <si>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</si>
  <si>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</si>
  <si>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</si>
  <si>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</si>
  <si>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</si>
  <si>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</si>
  <si>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</si>
  <si>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</si>
  <si>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</si>
  <si>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</si>
  <si>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</si>
  <si>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</si>
  <si>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</si>
  <si>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</si>
  <si>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</si>
  <si>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</si>
  <si>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</si>
  <si>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</si>
  <si>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</si>
  <si>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</si>
  <si>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</si>
  <si>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</si>
  <si>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</si>
  <si>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</si>
  <si>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</si>
  <si>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</si>
  <si>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</si>
  <si>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</si>
  <si>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</si>
  <si>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</si>
  <si>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</si>
  <si>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</si>
  <si>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</si>
  <si>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</si>
  <si>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</si>
  <si>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</si>
  <si>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</si>
  <si>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</si>
  <si>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</si>
  <si>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</si>
  <si>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</si>
  <si>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</si>
  <si>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</si>
  <si>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</si>
  <si>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</si>
  <si>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</si>
  <si>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</si>
  <si>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</si>
  <si>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</si>
  <si>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</si>
  <si>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</si>
  <si>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</si>
  <si>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</si>
  <si>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</si>
  <si>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</si>
  <si>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</si>
  <si>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</si>
  <si>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</si>
  <si>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</si>
  <si>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</si>
  <si>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</si>
  <si>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</si>
  <si>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</si>
  <si>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</si>
  <si>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</si>
  <si>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</si>
  <si>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</si>
  <si>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</si>
  <si>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</si>
  <si>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</si>
  <si>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</si>
  <si>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</si>
  <si>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</si>
  <si>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</si>
  <si>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</si>
  <si>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</si>
  <si>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</si>
  <si>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</si>
  <si>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</si>
  <si>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</si>
  <si>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</si>
  <si>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</si>
  <si>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</si>
  <si>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</si>
  <si>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</si>
  <si>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</si>
  <si>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</si>
  <si>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</si>
  <si>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</si>
  <si>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</si>
  <si>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</si>
  <si>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</si>
  <si>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</si>
  <si>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</si>
  <si>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</si>
  <si>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</si>
  <si>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</si>
  <si>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</si>
  <si>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</si>
  <si>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</si>
  <si>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</si>
  <si>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</si>
  <si>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</si>
  <si>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</si>
  <si>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</si>
  <si>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</si>
  <si>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</si>
  <si>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</si>
  <si>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</si>
  <si>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</si>
  <si>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</si>
  <si>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</si>
  <si>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</si>
  <si>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</si>
  <si>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</si>
  <si>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</si>
  <si>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</si>
  <si>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</si>
  <si>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</si>
  <si>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</si>
  <si>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</si>
  <si>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</si>
  <si>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</si>
  <si>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</si>
  <si>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</si>
  <si>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</si>
  <si>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</si>
  <si>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</si>
  <si>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</si>
  <si>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</si>
  <si>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</si>
  <si>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</si>
  <si>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</si>
  <si>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</si>
  <si>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</si>
  <si>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</si>
  <si>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</si>
  <si>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</si>
  <si>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</si>
  <si>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</si>
  <si>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</si>
  <si>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</si>
  <si>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</si>
  <si>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</si>
  <si>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</si>
  <si>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</si>
  <si>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</si>
  <si>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</si>
  <si>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</si>
  <si>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</si>
  <si>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</si>
  <si>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</si>
  <si>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</si>
  <si>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</si>
  <si>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</si>
  <si>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</si>
  <si>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</si>
  <si>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</si>
  <si>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</si>
  <si>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</si>
  <si>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</si>
  <si>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</si>
  <si>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يونيو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</si>
  <si>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</si>
  <si>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</si>
  <si>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</si>
  <si>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</si>
  <si>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</si>
  <si>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</si>
  <si>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</si>
  <si>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</si>
  <si>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</si>
  <si>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</si>
  <si>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</si>
  <si>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</si>
  <si>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</si>
  <si>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</si>
  <si>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</si>
  <si>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</si>
  <si>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</si>
  <si>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</si>
  <si>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</si>
  <si>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</si>
  <si>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</si>
  <si>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</si>
  <si>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</si>
  <si>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</si>
  <si>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</si>
  <si>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</si>
  <si>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</si>
  <si>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</si>
  <si>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</si>
  <si>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</si>
  <si>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</si>
  <si>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</si>
  <si>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</si>
  <si>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</si>
  <si>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</si>
  <si>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</si>
  <si>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</si>
  <si>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</si>
  <si>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</si>
  <si>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</si>
  <si>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</si>
  <si>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</si>
  <si>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</si>
  <si>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</si>
  <si>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</si>
  <si>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</si>
  <si>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</si>
  <si>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</si>
  <si>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</si>
  <si>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</si>
  <si>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</si>
  <si>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</si>
  <si>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</si>
  <si>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</si>
  <si>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</si>
  <si>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</si>
  <si>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</si>
  <si>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</si>
  <si>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</si>
  <si>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</si>
  <si>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</si>
  <si>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يوليو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</si>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</sst>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8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4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98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2" t="s">
        <v>0</v>
      </c>
      <c r="B1" s="149"/>
      <c r="C1" s="149"/>
      <c r="D1" s="149"/>
      <c r="E1" s="149"/>
      <c r="F1" s="150"/>
    </row>
    <row r="2" spans="1:6" ht="30" customHeight="1" x14ac:dyDescent="0.25">
      <c r="A2" s="151" t="s">
        <v>1</v>
      </c>
      <c r="B2" s="149"/>
      <c r="C2" s="149"/>
      <c r="D2" s="149"/>
      <c r="E2" s="150"/>
      <c r="F2" s="119">
        <f>F206</f>
        <v>22.395000000000007</v>
      </c>
    </row>
    <row r="3" spans="1:6" ht="6" customHeight="1" x14ac:dyDescent="0.25">
      <c r="A3" s="154"/>
      <c r="B3" s="149"/>
      <c r="C3" s="149"/>
      <c r="D3" s="149"/>
      <c r="E3" s="149"/>
      <c r="F3" s="150"/>
    </row>
    <row r="4" spans="1:6" ht="27.95" customHeight="1" x14ac:dyDescent="0.25">
      <c r="A4" s="153" t="s">
        <v>2</v>
      </c>
      <c r="B4" s="149"/>
      <c r="C4" s="149"/>
      <c r="D4" s="149"/>
      <c r="E4" s="149"/>
      <c r="F4" s="150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الحساب'!$A$4:$A$204,MATCH(1,'كشف الحساب'!$P$4:$P$204,0)),"")</f>
        <v>46121</v>
      </c>
      <c r="B6" s="122" t="str">
        <f>IFERROR(INDEX('كشف الحساب'!$B$4:$B$204,MATCH(1,'كشف الحساب'!$P$4:$P$204,0)),"")</f>
        <v>Inv-001</v>
      </c>
      <c r="C6" s="121" t="str">
        <f>IFERROR(INDEX('كشف الحساب'!$C$4:$C$204,MATCH(1,'كشف الحساب'!$P$4:$P$204,0)),"")</f>
        <v>بيع عدد١ اناناس</v>
      </c>
      <c r="D6" s="123">
        <f>IFERROR(INDEX('كشف الحساب'!$E$4:$E$204,MATCH(1,'كشف الحساب'!$P$4:$P$204,0)),"")</f>
        <v>5</v>
      </c>
      <c r="E6" s="124">
        <f>IFERROR(INDEX('كشف الحساب'!$D$4:$D$204,MATCH(1,'كشف الحساب'!$P$4:$P$204,0)),"")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الحساب'!$A$4:$A$204,MATCH(2,'كشف الحساب'!$P$4:$P$204,0)),"")</f>
        <v>46134</v>
      </c>
      <c r="B7" s="122" t="str">
        <f>IFERROR(INDEX('كشف الحساب'!$B$4:$B$204,MATCH(2,'كشف الحساب'!$P$4:$P$204,0)),"")</f>
        <v>8127</v>
      </c>
      <c r="C7" s="121" t="str">
        <f>IFERROR(INDEX('كشف الحساب'!$C$4:$C$204,MATCH(2,'كشف الحساب'!$P$4:$P$204,0)),"")</f>
        <v>تاير لعربة الرش</v>
      </c>
      <c r="D7" s="123">
        <f>IFERROR(INDEX('كشف الحساب'!$E$4:$E$204,MATCH(2,'كشف الحساب'!$P$4:$P$204,0)),"")</f>
        <v>0</v>
      </c>
      <c r="E7" s="124">
        <f>IFERROR(INDEX('كشف الحساب'!$D$4:$D$204,MATCH(2,'كشف الحساب'!$P$4:$P$204,0)),"")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الحساب'!$A$4:$A$204,MATCH(3,'كشف الحساب'!$P$4:$P$204,0)),"")</f>
        <v>46142</v>
      </c>
      <c r="B8" s="122">
        <f>IFERROR(INDEX('كشف الحساب'!$B$4:$B$204,MATCH(3,'كشف الحساب'!$P$4:$P$204,0)),"")</f>
        <v>0</v>
      </c>
      <c r="C8" s="121" t="str">
        <f>IFERROR(INDEX('كشف الحساب'!$C$4:$C$204,MATCH(3,'كشف الحساب'!$P$4:$P$204,0)),"")</f>
        <v>مدخول شهر ابريل</v>
      </c>
      <c r="D8" s="123">
        <f>IFERROR(INDEX('كشف الحساب'!$E$4:$E$204,MATCH(3,'كشف الحساب'!$P$4:$P$204,0)),"")</f>
        <v>40.5</v>
      </c>
      <c r="E8" s="124">
        <f>IFERROR(INDEX('كشف الحساب'!$D$4:$D$204,MATCH(3,'كشف الحساب'!$P$4:$P$204,0)),"")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الحساب'!$A$4:$A$204,MATCH(4,'كشف الحساب'!$P$4:$P$204,0)),"")</f>
        <v>46151</v>
      </c>
      <c r="B9" s="122" t="str">
        <f>IFERROR(INDEX('كشف الحساب'!$B$4:$B$204,MATCH(4,'كشف الحساب'!$P$4:$P$204,0)),"")</f>
        <v>Inv-013</v>
      </c>
      <c r="C9" s="121" t="str">
        <f>IFERROR(INDEX('كشف الحساب'!$C$4:$C$204,MATCH(4,'كشف الحساب'!$P$4:$P$204,0)),"")</f>
        <v>فل عدد 21 سعر الحبه .0.750</v>
      </c>
      <c r="D9" s="123">
        <f>IFERROR(INDEX('كشف الحساب'!$E$4:$E$204,MATCH(4,'كشف الحساب'!$P$4:$P$204,0)),"")</f>
        <v>15.75</v>
      </c>
      <c r="E9" s="124">
        <f>IFERROR(INDEX('كشف الحساب'!$D$4:$D$204,MATCH(4,'كشف الحساب'!$P$4:$P$204,0)),"")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الحساب'!$A$4:$A$204,MATCH(5,'كشف الحساب'!$P$4:$P$204,0)),"")</f>
        <v>46151</v>
      </c>
      <c r="B10" s="122" t="str">
        <f>IFERROR(INDEX('كشف الحساب'!$B$4:$B$204,MATCH(5,'كشف الحساب'!$P$4:$P$204,0)),"")</f>
        <v>Inv-013A</v>
      </c>
      <c r="C10" s="121" t="str">
        <f>IFERROR(INDEX('كشف الحساب'!$C$4:$C$204,MATCH(5,'كشف الحساب'!$P$4:$P$204,0)),"")</f>
        <v>برازيليا عدد 25 سعر الحبه .500</v>
      </c>
      <c r="D10" s="123">
        <f>IFERROR(INDEX('كشف الحساب'!$E$4:$E$204,MATCH(5,'كشف الحساب'!$P$4:$P$204,0)),"")</f>
        <v>12.5</v>
      </c>
      <c r="E10" s="124">
        <f>IFERROR(INDEX('كشف الحساب'!$D$4:$D$204,MATCH(5,'كشف الحساب'!$P$4:$P$204,0)),"")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الحساب'!$A$4:$A$204,MATCH(6,'كشف الحساب'!$P$4:$P$204,0)),"")</f>
        <v>46152</v>
      </c>
      <c r="B11" s="122" t="str">
        <f>IFERROR(INDEX('كشف الحساب'!$B$4:$B$204,MATCH(6,'كشف الحساب'!$P$4:$P$204,0)),"")</f>
        <v>Inv-016</v>
      </c>
      <c r="C11" s="121" t="str">
        <f>IFERROR(INDEX('كشف الحساب'!$C$4:$C$204,MATCH(6,'كشف الحساب'!$P$4:$P$204,0)),"")</f>
        <v>ودليه عدد 3 الحبه 0.750</v>
      </c>
      <c r="D11" s="123">
        <f>IFERROR(INDEX('كشف الحساب'!$E$4:$E$204,MATCH(6,'كشف الحساب'!$P$4:$P$204,0)),"")</f>
        <v>2.25</v>
      </c>
      <c r="E11" s="124">
        <f>IFERROR(INDEX('كشف الحساب'!$D$4:$D$204,MATCH(6,'كشف الحساب'!$P$4:$P$204,0)),"")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الحساب'!$A$4:$A$204,MATCH(7,'كشف الحساب'!$P$4:$P$204,0)),"")</f>
        <v>46155</v>
      </c>
      <c r="B12" s="122" t="str">
        <f>IFERROR(INDEX('كشف الحساب'!$B$4:$B$204,MATCH(7,'كشف الحساب'!$P$4:$P$204,0)),"")</f>
        <v>Inv-017</v>
      </c>
      <c r="C12" s="121" t="str">
        <f>IFERROR(INDEX('كشف الحساب'!$C$4:$C$204,MATCH(7,'كشف الحساب'!$P$4:$P$204,0)),"")</f>
        <v>فل عدد 10 الحبه 0.750</v>
      </c>
      <c r="D12" s="123">
        <f>IFERROR(INDEX('كشف الحساب'!$E$4:$E$204,MATCH(7,'كشف الحساب'!$P$4:$P$204,0)),"")</f>
        <v>7.5</v>
      </c>
      <c r="E12" s="124">
        <f>IFERROR(INDEX('كشف الحساب'!$D$4:$D$204,MATCH(7,'كشف الحساب'!$P$4:$P$204,0)),"")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الحساب'!$A$4:$A$204,MATCH(8,'كشف الحساب'!$P$4:$P$204,0)),"")</f>
        <v>46156</v>
      </c>
      <c r="B13" s="122" t="str">
        <f>IFERROR(INDEX('كشف الحساب'!$B$4:$B$204,MATCH(8,'كشف الحساب'!$P$4:$P$204,0)),"")</f>
        <v>Inv-18A</v>
      </c>
      <c r="C13" s="121" t="str">
        <f>IFERROR(INDEX('كشف الحساب'!$C$4:$C$204,MATCH(8,'كشف الحساب'!$P$4:$P$204,0)),"")</f>
        <v>ربل 4 حبات الحبه 1.500</v>
      </c>
      <c r="D13" s="123">
        <f>IFERROR(INDEX('كشف الحساب'!$E$4:$E$204,MATCH(8,'كشف الحساب'!$P$4:$P$204,0)),"")</f>
        <v>6</v>
      </c>
      <c r="E13" s="124">
        <f>IFERROR(INDEX('كشف الحساب'!$D$4:$D$204,MATCH(8,'كشف الحساب'!$P$4:$P$204,0)),"")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الحساب'!$A$4:$A$204,MATCH(9,'كشف الحساب'!$P$4:$P$204,0)),"")</f>
        <v>46156</v>
      </c>
      <c r="B14" s="122" t="str">
        <f>IFERROR(INDEX('كشف الحساب'!$B$4:$B$204,MATCH(9,'كشف الحساب'!$P$4:$P$204,0)),"")</f>
        <v>Inv-18</v>
      </c>
      <c r="C14" s="121" t="str">
        <f>IFERROR(INDEX('كشف الحساب'!$C$4:$C$204,MATCH(9,'كشف الحساب'!$P$4:$P$204,0)),"")</f>
        <v>ودليه 8 حبات الحبه 1</v>
      </c>
      <c r="D14" s="123">
        <f>IFERROR(INDEX('كشف الحساب'!$E$4:$E$204,MATCH(9,'كشف الحساب'!$P$4:$P$204,0)),"")</f>
        <v>8</v>
      </c>
      <c r="E14" s="124">
        <f>IFERROR(INDEX('كشف الحساب'!$D$4:$D$204,MATCH(9,'كشف الحساب'!$P$4:$P$204,0)),"")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الحساب'!$A$4:$A$204,MATCH(10,'كشف الحساب'!$P$4:$P$204,0)),"")</f>
        <v>46158</v>
      </c>
      <c r="B15" s="122" t="str">
        <f>IFERROR(INDEX('كشف الحساب'!$B$4:$B$204,MATCH(10,'كشف الحساب'!$P$4:$P$204,0)),"")</f>
        <v>Inv-19</v>
      </c>
      <c r="C15" s="121" t="str">
        <f>IFERROR(INDEX('كشف الحساب'!$C$4:$C$204,MATCH(10,'كشف الحساب'!$P$4:$P$204,0)),"")</f>
        <v>فل عدد 2 الحبه 0.750</v>
      </c>
      <c r="D15" s="123">
        <f>IFERROR(INDEX('كشف الحساب'!$E$4:$E$204,MATCH(10,'كشف الحساب'!$P$4:$P$204,0)),"")</f>
        <v>1.5</v>
      </c>
      <c r="E15" s="124">
        <f>IFERROR(INDEX('كشف الحساب'!$D$4:$D$204,MATCH(10,'كشف الحساب'!$P$4:$P$204,0)),"")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الحساب'!$A$4:$A$204,MATCH(11,'كشف الحساب'!$P$4:$P$204,0)),"")</f>
        <v>46158</v>
      </c>
      <c r="B16" s="122" t="str">
        <f>IFERROR(INDEX('كشف الحساب'!$B$4:$B$204,MATCH(11,'كشف الحساب'!$P$4:$P$204,0)),"")</f>
        <v>Inv-20</v>
      </c>
      <c r="C16" s="121" t="str">
        <f>IFERROR(INDEX('كشف الحساب'!$C$4:$C$204,MATCH(11,'كشف الحساب'!$P$4:$P$204,0)),"")</f>
        <v>صبار اوليفيرا عدد 3 الحبه 0.750</v>
      </c>
      <c r="D16" s="123">
        <f>IFERROR(INDEX('كشف الحساب'!$E$4:$E$204,MATCH(11,'كشف الحساب'!$P$4:$P$204,0)),"")</f>
        <v>2.25</v>
      </c>
      <c r="E16" s="124">
        <f>IFERROR(INDEX('كشف الحساب'!$D$4:$D$204,MATCH(11,'كشف الحساب'!$P$4:$P$204,0)),"")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الحساب'!$A$4:$A$204,MATCH(12,'كشف الحساب'!$P$4:$P$204,0)),"")</f>
        <v>46158</v>
      </c>
      <c r="B17" s="122" t="str">
        <f>IFERROR(INDEX('كشف الحساب'!$B$4:$B$204,MATCH(12,'كشف الحساب'!$P$4:$P$204,0)),"")</f>
        <v>Inv-21</v>
      </c>
      <c r="C17" s="121" t="str">
        <f>IFERROR(INDEX('كشف الحساب'!$C$4:$C$204,MATCH(12,'كشف الحساب'!$P$4:$P$204,0)),"")</f>
        <v>دارسينا عدد 1 الحبه 2.500</v>
      </c>
      <c r="D17" s="123">
        <f>IFERROR(INDEX('كشف الحساب'!$E$4:$E$204,MATCH(12,'كشف الحساب'!$P$4:$P$204,0)),"")</f>
        <v>2.5</v>
      </c>
      <c r="E17" s="124">
        <f>IFERROR(INDEX('كشف الحساب'!$D$4:$D$204,MATCH(12,'كشف الحساب'!$P$4:$P$204,0)),"")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الحساب'!$A$4:$A$204,MATCH(13,'كشف الحساب'!$P$4:$P$204,0)),"")</f>
        <v>46159</v>
      </c>
      <c r="B18" s="122" t="str">
        <f>IFERROR(INDEX('كشف الحساب'!$B$4:$B$204,MATCH(13,'كشف الحساب'!$P$4:$P$204,0)),"")</f>
        <v>Inv-22</v>
      </c>
      <c r="C18" s="121" t="str">
        <f>IFERROR(INDEX('كشف الحساب'!$C$4:$C$204,MATCH(13,'كشف الحساب'!$P$4:$P$204,0)),"")</f>
        <v>فل عدد 30 الحبه 0.750</v>
      </c>
      <c r="D18" s="123">
        <f>IFERROR(INDEX('كشف الحساب'!$E$4:$E$204,MATCH(13,'كشف الحساب'!$P$4:$P$204,0)),"")</f>
        <v>22.5</v>
      </c>
      <c r="E18" s="124">
        <f>IFERROR(INDEX('كشف الحساب'!$D$4:$D$204,MATCH(13,'كشف الحساب'!$P$4:$P$204,0)),"")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الحساب'!$A$4:$A$204,MATCH(14,'كشف الحساب'!$P$4:$P$204,0)),"")</f>
        <v>46159</v>
      </c>
      <c r="B19" s="122" t="str">
        <f>IFERROR(INDEX('كشف الحساب'!$B$4:$B$204,MATCH(14,'كشف الحساب'!$P$4:$P$204,0)),"")</f>
        <v>Inv-23</v>
      </c>
      <c r="C19" s="121" t="str">
        <f>IFERROR(INDEX('كشف الحساب'!$C$4:$C$204,MATCH(14,'كشف الحساب'!$P$4:$P$204,0)),"")</f>
        <v>برازيليا عدد 16 الحبه 0.500</v>
      </c>
      <c r="D19" s="123">
        <f>IFERROR(INDEX('كشف الحساب'!$E$4:$E$204,MATCH(14,'كشف الحساب'!$P$4:$P$204,0)),"")</f>
        <v>8</v>
      </c>
      <c r="E19" s="124">
        <f>IFERROR(INDEX('كشف الحساب'!$D$4:$D$204,MATCH(14,'كشف الحساب'!$P$4:$P$204,0)),"")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الحساب'!$A$4:$A$204,MATCH(15,'كشف الحساب'!$P$4:$P$204,0)),"")</f>
        <v>46160</v>
      </c>
      <c r="B20" s="122" t="str">
        <f>IFERROR(INDEX('كشف الحساب'!$B$4:$B$204,MATCH(15,'كشف الحساب'!$P$4:$P$204,0)),"")</f>
        <v>Inv-24</v>
      </c>
      <c r="C20" s="121" t="str">
        <f>IFERROR(INDEX('كشف الحساب'!$C$4:$C$204,MATCH(15,'كشف الحساب'!$P$4:$P$204,0)),"")</f>
        <v>فل عدد10 الحبه 0.750</v>
      </c>
      <c r="D20" s="123">
        <f>IFERROR(INDEX('كشف الحساب'!$E$4:$E$204,MATCH(15,'كشف الحساب'!$P$4:$P$204,0)),"")</f>
        <v>7.5</v>
      </c>
      <c r="E20" s="124">
        <f>IFERROR(INDEX('كشف الحساب'!$D$4:$D$204,MATCH(15,'كشف الحساب'!$P$4:$P$204,0)),"")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الحساب'!$A$4:$A$204,MATCH(16,'كشف الحساب'!$P$4:$P$204,0)),"")</f>
        <v>46160</v>
      </c>
      <c r="B21" s="122" t="str">
        <f>IFERROR(INDEX('كشف الحساب'!$B$4:$B$204,MATCH(16,'كشف الحساب'!$P$4:$P$204,0)),"")</f>
        <v>Inv-25</v>
      </c>
      <c r="C21" s="121" t="str">
        <f>IFERROR(INDEX('كشف الحساب'!$C$4:$C$204,MATCH(16,'كشف الحساب'!$P$4:$P$204,0)),"")</f>
        <v>دارسيناحمراء عدد 1</v>
      </c>
      <c r="D21" s="123">
        <f>IFERROR(INDEX('كشف الحساب'!$E$4:$E$204,MATCH(16,'كشف الحساب'!$P$4:$P$204,0)),"")</f>
        <v>5</v>
      </c>
      <c r="E21" s="124">
        <f>IFERROR(INDEX('كشف الحساب'!$D$4:$D$204,MATCH(16,'كشف الحساب'!$P$4:$P$204,0)),"")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الحساب'!$A$4:$A$204,MATCH(17,'كشف الحساب'!$P$4:$P$204,0)),"")</f>
        <v>46160</v>
      </c>
      <c r="B22" s="122" t="str">
        <f>IFERROR(INDEX('كشف الحساب'!$B$4:$B$204,MATCH(17,'كشف الحساب'!$P$4:$P$204,0)),"")</f>
        <v>Inv-26</v>
      </c>
      <c r="C22" s="121" t="str">
        <f>IFERROR(INDEX('كشف الحساب'!$C$4:$C$204,MATCH(17,'كشف الحساب'!$P$4:$P$204,0)),"")</f>
        <v>دارسينا خضراء عدد 2 الحبه 1.500</v>
      </c>
      <c r="D22" s="123">
        <f>IFERROR(INDEX('كشف الحساب'!$E$4:$E$204,MATCH(17,'كشف الحساب'!$P$4:$P$204,0)),"")</f>
        <v>3</v>
      </c>
      <c r="E22" s="124">
        <f>IFERROR(INDEX('كشف الحساب'!$D$4:$D$204,MATCH(17,'كشف الحساب'!$P$4:$P$204,0)),"")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الحساب'!$A$4:$A$204,MATCH(18,'كشف الحساب'!$P$4:$P$204,0)),"")</f>
        <v>46160</v>
      </c>
      <c r="B23" s="122" t="str">
        <f>IFERROR(INDEX('كشف الحساب'!$B$4:$B$204,MATCH(18,'كشف الحساب'!$P$4:$P$204,0)),"")</f>
        <v>Inv-27</v>
      </c>
      <c r="C23" s="121" t="str">
        <f>IFERROR(INDEX('كشف الحساب'!$C$4:$C$204,MATCH(18,'كشف الحساب'!$P$4:$P$204,0)),"")</f>
        <v>ربل عدد 2 الحبه 1.500</v>
      </c>
      <c r="D23" s="123">
        <f>IFERROR(INDEX('كشف الحساب'!$E$4:$E$204,MATCH(18,'كشف الحساب'!$P$4:$P$204,0)),"")</f>
        <v>3</v>
      </c>
      <c r="E23" s="124">
        <f>IFERROR(INDEX('كشف الحساب'!$D$4:$D$204,MATCH(18,'كشف الحساب'!$P$4:$P$204,0)),"")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الحساب'!$A$4:$A$204,MATCH(19,'كشف الحساب'!$P$4:$P$204,0)),"")</f>
        <v>46160</v>
      </c>
      <c r="B24" s="122" t="str">
        <f>IFERROR(INDEX('كشف الحساب'!$B$4:$B$204,MATCH(19,'كشف الحساب'!$P$4:$P$204,0)),"")</f>
        <v>Inv-28</v>
      </c>
      <c r="C24" s="121" t="str">
        <f>IFERROR(INDEX('كشف الحساب'!$C$4:$C$204,MATCH(19,'كشف الحساب'!$P$4:$P$204,0)),"")</f>
        <v>دارسينا حمراء عدد2 الحبه 2.500</v>
      </c>
      <c r="D24" s="123">
        <f>IFERROR(INDEX('كشف الحساب'!$E$4:$E$204,MATCH(19,'كشف الحساب'!$P$4:$P$204,0)),"")</f>
        <v>5</v>
      </c>
      <c r="E24" s="124">
        <f>IFERROR(INDEX('كشف الحساب'!$D$4:$D$204,MATCH(19,'كشف الحساب'!$P$4:$P$204,0)),"")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الحساب'!$A$4:$A$204,MATCH(20,'كشف الحساب'!$P$4:$P$204,0)),"")</f>
        <v>46160</v>
      </c>
      <c r="B25" s="122" t="str">
        <f>IFERROR(INDEX('كشف الحساب'!$B$4:$B$204,MATCH(20,'كشف الحساب'!$P$4:$P$204,0)),"")</f>
        <v>Inv-29</v>
      </c>
      <c r="C25" s="121" t="str">
        <f>IFERROR(INDEX('كشف الحساب'!$C$4:$C$204,MATCH(20,'كشف الحساب'!$P$4:$P$204,0)),"")</f>
        <v>برازيليا عدد 10 الحبه 0.500</v>
      </c>
      <c r="D25" s="123">
        <f>IFERROR(INDEX('كشف الحساب'!$E$4:$E$204,MATCH(20,'كشف الحساب'!$P$4:$P$204,0)),"")</f>
        <v>5</v>
      </c>
      <c r="E25" s="124">
        <f>IFERROR(INDEX('كشف الحساب'!$D$4:$D$204,MATCH(20,'كشف الحساب'!$P$4:$P$204,0)),"")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الحساب'!$A$4:$A$204,MATCH(21,'كشف الحساب'!$P$4:$P$204,0)),"")</f>
        <v>46160</v>
      </c>
      <c r="B26" s="122" t="str">
        <f>IFERROR(INDEX('كشف الحساب'!$B$4:$B$204,MATCH(21,'كشف الحساب'!$P$4:$P$204,0)),"")</f>
        <v>85164</v>
      </c>
      <c r="C26" s="121" t="str">
        <f>IFERROR(INDEX('كشف الحساب'!$C$4:$C$204,MATCH(21,'كشف الحساب'!$P$4:$P$204,0)),"")</f>
        <v>مبيد اسيتبلان عدد 1</v>
      </c>
      <c r="D26" s="123">
        <f>IFERROR(INDEX('كشف الحساب'!$E$4:$E$204,MATCH(21,'كشف الحساب'!$P$4:$P$204,0)),"")</f>
        <v>0</v>
      </c>
      <c r="E26" s="124">
        <f>IFERROR(INDEX('كشف الحساب'!$D$4:$D$204,MATCH(21,'كشف الحساب'!$P$4:$P$204,0)),"")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الحساب'!$A$4:$A$204,MATCH(22,'كشف الحساب'!$P$4:$P$204,0)),"")</f>
        <v>46161</v>
      </c>
      <c r="B27" s="122" t="str">
        <f>IFERROR(INDEX('كشف الحساب'!$B$4:$B$204,MATCH(22,'كشف الحساب'!$P$4:$P$204,0)),"")</f>
        <v>Inv-30</v>
      </c>
      <c r="C27" s="121" t="str">
        <f>IFERROR(INDEX('كشف الحساب'!$C$4:$C$204,MATCH(22,'كشف الحساب'!$P$4:$P$204,0)),"")</f>
        <v>فل عدد 30 الحبه 0.750</v>
      </c>
      <c r="D27" s="123">
        <f>IFERROR(INDEX('كشف الحساب'!$E$4:$E$204,MATCH(22,'كشف الحساب'!$P$4:$P$204,0)),"")</f>
        <v>22.5</v>
      </c>
      <c r="E27" s="124">
        <f>IFERROR(INDEX('كشف الحساب'!$D$4:$D$204,MATCH(22,'كشف الحساب'!$P$4:$P$204,0)),"")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الحساب'!$A$4:$A$204,MATCH(23,'كشف الحساب'!$P$4:$P$204,0)),"")</f>
        <v>46162</v>
      </c>
      <c r="B28" s="122" t="str">
        <f>IFERROR(INDEX('كشف الحساب'!$B$4:$B$204,MATCH(23,'كشف الحساب'!$P$4:$P$204,0)),"")</f>
        <v>Inv-31</v>
      </c>
      <c r="C28" s="121" t="str">
        <f>IFERROR(INDEX('كشف الحساب'!$C$4:$C$204,MATCH(23,'كشف الحساب'!$P$4:$P$204,0)),"")</f>
        <v>فل عدد30 الحبه 0.750</v>
      </c>
      <c r="D28" s="123">
        <f>IFERROR(INDEX('كشف الحساب'!$E$4:$E$204,MATCH(23,'كشف الحساب'!$P$4:$P$204,0)),"")</f>
        <v>22.5</v>
      </c>
      <c r="E28" s="124">
        <f>IFERROR(INDEX('كشف الحساب'!$D$4:$D$204,MATCH(23,'كشف الحساب'!$P$4:$P$204,0)),"")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الحساب'!$A$4:$A$204,MATCH(24,'كشف الحساب'!$P$4:$P$204,0)),"")</f>
        <v>46162</v>
      </c>
      <c r="B29" s="122" t="str">
        <f>IFERROR(INDEX('كشف الحساب'!$B$4:$B$204,MATCH(24,'كشف الحساب'!$P$4:$P$204,0)),"")</f>
        <v>Inv-32</v>
      </c>
      <c r="C29" s="121" t="str">
        <f>IFERROR(INDEX('كشف الحساب'!$C$4:$C$204,MATCH(24,'كشف الحساب'!$P$4:$P$204,0)),"")</f>
        <v>برازيليا عدد 50 الحبه0.500</v>
      </c>
      <c r="D29" s="123">
        <f>IFERROR(INDEX('كشف الحساب'!$E$4:$E$204,MATCH(24,'كشف الحساب'!$P$4:$P$204,0)),"")</f>
        <v>25</v>
      </c>
      <c r="E29" s="124">
        <f>IFERROR(INDEX('كشف الحساب'!$D$4:$D$204,MATCH(24,'كشف الحساب'!$P$4:$P$204,0)),"")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الحساب'!$A$4:$A$204,MATCH(25,'كشف الحساب'!$P$4:$P$204,0)),"")</f>
        <v>46163</v>
      </c>
      <c r="B30" s="122" t="str">
        <f>IFERROR(INDEX('كشف الحساب'!$B$4:$B$204,MATCH(25,'كشف الحساب'!$P$4:$P$204,0)),"")</f>
        <v>Inv-33</v>
      </c>
      <c r="C30" s="121" t="str">
        <f>IFERROR(INDEX('كشف الحساب'!$C$4:$C$204,MATCH(25,'كشف الحساب'!$P$4:$P$204,0)),"")</f>
        <v>برازيليا عدد 75 الحبه 0.500</v>
      </c>
      <c r="D30" s="123">
        <f>IFERROR(INDEX('كشف الحساب'!$E$4:$E$204,MATCH(25,'كشف الحساب'!$P$4:$P$204,0)),"")</f>
        <v>37.5</v>
      </c>
      <c r="E30" s="124">
        <f>IFERROR(INDEX('كشف الحساب'!$D$4:$D$204,MATCH(25,'كشف الحساب'!$P$4:$P$204,0)),"")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الحساب'!$A$4:$A$204,MATCH(26,'كشف الحساب'!$P$4:$P$204,0)),"")</f>
        <v>46163</v>
      </c>
      <c r="B31" s="122" t="str">
        <f>IFERROR(INDEX('كشف الحساب'!$B$4:$B$204,MATCH(26,'كشف الحساب'!$P$4:$P$204,0)),"")</f>
        <v>Inv-34</v>
      </c>
      <c r="C31" s="121" t="str">
        <f>IFERROR(INDEX('كشف الحساب'!$C$4:$C$204,MATCH(26,'كشف الحساب'!$P$4:$P$204,0)),"")</f>
        <v>دارسينيا احمر عدد1 حبه 2.500</v>
      </c>
      <c r="D31" s="123">
        <f>IFERROR(INDEX('كشف الحساب'!$E$4:$E$204,MATCH(26,'كشف الحساب'!$P$4:$P$204,0)),"")</f>
        <v>2.5</v>
      </c>
      <c r="E31" s="124">
        <f>IFERROR(INDEX('كشف الحساب'!$D$4:$D$204,MATCH(26,'كشف الحساب'!$P$4:$P$204,0)),"")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الحساب'!$A$4:$A$204,MATCH(27,'كشف الحساب'!$P$4:$P$204,0)),"")</f>
        <v>46164</v>
      </c>
      <c r="B32" s="122" t="str">
        <f>IFERROR(INDEX('كشف الحساب'!$B$4:$B$204,MATCH(27,'كشف الحساب'!$P$4:$P$204,0)),"")</f>
        <v>Inv-35</v>
      </c>
      <c r="C32" s="121" t="str">
        <f>IFERROR(INDEX('كشف الحساب'!$C$4:$C$204,MATCH(27,'كشف الحساب'!$P$4:$P$204,0)),"")</f>
        <v>دارسينا حمراء عدد 6 الحبه 2,500</v>
      </c>
      <c r="D32" s="123">
        <f>IFERROR(INDEX('كشف الحساب'!$E$4:$E$204,MATCH(27,'كشف الحساب'!$P$4:$P$204,0)),"")</f>
        <v>15</v>
      </c>
      <c r="E32" s="124">
        <f>IFERROR(INDEX('كشف الحساب'!$D$4:$D$204,MATCH(27,'كشف الحساب'!$P$4:$P$204,0)),"")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الحساب'!$A$4:$A$204,MATCH(28,'كشف الحساب'!$P$4:$P$204,0)),"")</f>
        <v>46164</v>
      </c>
      <c r="B33" s="122" t="str">
        <f>IFERROR(INDEX('كشف الحساب'!$B$4:$B$204,MATCH(28,'كشف الحساب'!$P$4:$P$204,0)),"")</f>
        <v>Inv-36</v>
      </c>
      <c r="C33" s="121" t="str">
        <f>IFERROR(INDEX('كشف الحساب'!$C$4:$C$204,MATCH(28,'كشف الحساب'!$P$4:$P$204,0)),"")</f>
        <v>ربل عدد4 الحبه 1.500</v>
      </c>
      <c r="D33" s="123">
        <f>IFERROR(INDEX('كشف الحساب'!$E$4:$E$204,MATCH(28,'كشف الحساب'!$P$4:$P$204,0)),"")</f>
        <v>6</v>
      </c>
      <c r="E33" s="124">
        <f>IFERROR(INDEX('كشف الحساب'!$D$4:$D$204,MATCH(28,'كشف الحساب'!$P$4:$P$204,0)),"")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الحساب'!$A$4:$A$204,MATCH(29,'كشف الحساب'!$P$4:$P$204,0)),"")</f>
        <v>46167</v>
      </c>
      <c r="B34" s="122" t="str">
        <f>IFERROR(INDEX('كشف الحساب'!$B$4:$B$204,MATCH(29,'كشف الحساب'!$P$4:$P$204,0)),"")</f>
        <v>Inv-37</v>
      </c>
      <c r="C34" s="121" t="str">
        <f>IFERROR(INDEX('كشف الحساب'!$C$4:$C$204,MATCH(29,'كشف الحساب'!$P$4:$P$204,0)),"")</f>
        <v>عطره عدد 10 الحبه 0.750</v>
      </c>
      <c r="D34" s="123">
        <f>IFERROR(INDEX('كشف الحساب'!$E$4:$E$204,MATCH(29,'كشف الحساب'!$P$4:$P$204,0)),"")</f>
        <v>7.5</v>
      </c>
      <c r="E34" s="124">
        <f>IFERROR(INDEX('كشف الحساب'!$D$4:$D$204,MATCH(29,'كشف الحساب'!$P$4:$P$204,0)),"")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الحساب'!$A$4:$A$204,MATCH(30,'كشف الحساب'!$P$4:$P$204,0)),"")</f>
        <v>46167</v>
      </c>
      <c r="B35" s="122" t="str">
        <f>IFERROR(INDEX('كشف الحساب'!$B$4:$B$204,MATCH(30,'كشف الحساب'!$P$4:$P$204,0)),"")</f>
        <v>Inv-38</v>
      </c>
      <c r="C35" s="121" t="str">
        <f>IFERROR(INDEX('كشف الحساب'!$C$4:$C$204,MATCH(30,'كشف الحساب'!$P$4:$P$204,0)),"")</f>
        <v>ودليه عدد 2 الحبه 1</v>
      </c>
      <c r="D35" s="123">
        <f>IFERROR(INDEX('كشف الحساب'!$E$4:$E$204,MATCH(30,'كشف الحساب'!$P$4:$P$204,0)),"")</f>
        <v>2</v>
      </c>
      <c r="E35" s="124">
        <f>IFERROR(INDEX('كشف الحساب'!$D$4:$D$204,MATCH(30,'كشف الحساب'!$P$4:$P$204,0)),"")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الحساب'!$A$4:$A$204,MATCH(31,'كشف الحساب'!$P$4:$P$204,0)),"")</f>
        <v>46167</v>
      </c>
      <c r="B36" s="122" t="str">
        <f>IFERROR(INDEX('كشف الحساب'!$B$4:$B$204,MATCH(31,'كشف الحساب'!$P$4:$P$204,0)),"")</f>
        <v>Inv-39</v>
      </c>
      <c r="C36" s="121" t="str">
        <f>IFERROR(INDEX('كشف الحساب'!$C$4:$C$204,MATCH(31,'كشف الحساب'!$P$4:$P$204,0)),"")</f>
        <v>داراسينا حمراء عدد4 الحبه 1</v>
      </c>
      <c r="D36" s="123">
        <f>IFERROR(INDEX('كشف الحساب'!$E$4:$E$204,MATCH(31,'كشف الحساب'!$P$4:$P$204,0)),"")</f>
        <v>4</v>
      </c>
      <c r="E36" s="124">
        <f>IFERROR(INDEX('كشف الحساب'!$D$4:$D$204,MATCH(31,'كشف الحساب'!$P$4:$P$204,0)),"")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الحساب'!$A$4:$A$204,MATCH(32,'كشف الحساب'!$P$4:$P$204,0)),"")</f>
        <v>46146</v>
      </c>
      <c r="B37" s="122" t="str">
        <f>IFERROR(INDEX('كشف الحساب'!$B$4:$B$204,MATCH(32,'كشف الحساب'!$P$4:$P$204,0)),"")</f>
        <v>Inv-40</v>
      </c>
      <c r="C37" s="121" t="str">
        <f>IFERROR(INDEX('كشف الحساب'!$C$4:$C$204,MATCH(32,'كشف الحساب'!$P$4:$P$204,0)),"")</f>
        <v>other</v>
      </c>
      <c r="D37" s="123">
        <f>IFERROR(INDEX('كشف الحساب'!$E$4:$E$204,MATCH(32,'كشف الحساب'!$P$4:$P$204,0)),"")</f>
        <v>9</v>
      </c>
      <c r="E37" s="124">
        <f>IFERROR(INDEX('كشف الحساب'!$D$4:$D$204,MATCH(32,'كشف الحساب'!$P$4:$P$204,0)),"")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الحساب'!$A$4:$A$204,MATCH(33,'كشف الحساب'!$P$4:$P$204,0)),"")</f>
        <v>46146</v>
      </c>
      <c r="B38" s="122" t="str">
        <f>IFERROR(INDEX('كشف الحساب'!$B$4:$B$204,MATCH(33,'كشف الحساب'!$P$4:$P$204,0)),"")</f>
        <v>Inv-41</v>
      </c>
      <c r="C38" s="121" t="str">
        <f>IFERROR(INDEX('كشف الحساب'!$C$4:$C$204,MATCH(33,'كشف الحساب'!$P$4:$P$204,0)),"")</f>
        <v>other</v>
      </c>
      <c r="D38" s="123">
        <f>IFERROR(INDEX('كشف الحساب'!$E$4:$E$204,MATCH(33,'كشف الحساب'!$P$4:$P$204,0)),"")</f>
        <v>9</v>
      </c>
      <c r="E38" s="124">
        <f>IFERROR(INDEX('كشف الحساب'!$D$4:$D$204,MATCH(33,'كشف الحساب'!$P$4:$P$204,0)),"")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الحساب'!$A$4:$A$204,MATCH(34,'كشف الحساب'!$P$4:$P$204,0)),"")</f>
        <v>46146</v>
      </c>
      <c r="B39" s="122" t="str">
        <f>IFERROR(INDEX('كشف الحساب'!$B$4:$B$204,MATCH(34,'كشف الحساب'!$P$4:$P$204,0)),"")</f>
        <v>Inv-42</v>
      </c>
      <c r="C39" s="121" t="str">
        <f>IFERROR(INDEX('كشف الحساب'!$C$4:$C$204,MATCH(34,'كشف الحساب'!$P$4:$P$204,0)),"")</f>
        <v>other</v>
      </c>
      <c r="D39" s="123">
        <f>IFERROR(INDEX('كشف الحساب'!$E$4:$E$204,MATCH(34,'كشف الحساب'!$P$4:$P$204,0)),"")</f>
        <v>2</v>
      </c>
      <c r="E39" s="124">
        <f>IFERROR(INDEX('كشف الحساب'!$D$4:$D$204,MATCH(34,'كشف الحساب'!$P$4:$P$204,0)),"")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الحساب'!$A$4:$A$204,MATCH(35,'كشف الحساب'!$P$4:$P$204,0)),"")</f>
        <v>46147</v>
      </c>
      <c r="B40" s="122" t="str">
        <f>IFERROR(INDEX('كشف الحساب'!$B$4:$B$204,MATCH(35,'كشف الحساب'!$P$4:$P$204,0)),"")</f>
        <v>Inv-43</v>
      </c>
      <c r="C40" s="121" t="str">
        <f>IFERROR(INDEX('كشف الحساب'!$C$4:$C$204,MATCH(35,'كشف الحساب'!$P$4:$P$204,0)),"")</f>
        <v>other</v>
      </c>
      <c r="D40" s="123">
        <f>IFERROR(INDEX('كشف الحساب'!$E$4:$E$204,MATCH(35,'كشف الحساب'!$P$4:$P$204,0)),"")</f>
        <v>3.75</v>
      </c>
      <c r="E40" s="124">
        <f>IFERROR(INDEX('كشف الحساب'!$D$4:$D$204,MATCH(35,'كشف الحساب'!$P$4:$P$204,0)),"")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الحساب'!$A$4:$A$204,MATCH(36,'كشف الحساب'!$P$4:$P$204,0)),"")</f>
        <v>46149</v>
      </c>
      <c r="B41" s="122" t="str">
        <f>IFERROR(INDEX('كشف الحساب'!$B$4:$B$204,MATCH(36,'كشف الحساب'!$P$4:$P$204,0)),"")</f>
        <v>Inv-44a</v>
      </c>
      <c r="C41" s="121" t="str">
        <f>IFERROR(INDEX('كشف الحساب'!$C$4:$C$204,MATCH(36,'كشف الحساب'!$P$4:$P$204,0)),"")</f>
        <v>other</v>
      </c>
      <c r="D41" s="123">
        <f>IFERROR(INDEX('كشف الحساب'!$E$4:$E$204,MATCH(36,'كشف الحساب'!$P$4:$P$204,0)),"")</f>
        <v>5</v>
      </c>
      <c r="E41" s="124">
        <f>IFERROR(INDEX('كشف الحساب'!$D$4:$D$204,MATCH(36,'كشف الحساب'!$P$4:$P$204,0)),"")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الحساب'!$A$4:$A$204,MATCH(37,'كشف الحساب'!$P$4:$P$204,0)),"")</f>
        <v>46155</v>
      </c>
      <c r="B42" s="122" t="str">
        <f>IFERROR(INDEX('كشف الحساب'!$B$4:$B$204,MATCH(37,'كشف الحساب'!$P$4:$P$204,0)),"")</f>
        <v>Inv-44</v>
      </c>
      <c r="C42" s="121" t="str">
        <f>IFERROR(INDEX('كشف الحساب'!$C$4:$C$204,MATCH(37,'كشف الحساب'!$P$4:$P$204,0)),"")</f>
        <v>other</v>
      </c>
      <c r="D42" s="123">
        <f>IFERROR(INDEX('كشف الحساب'!$E$4:$E$204,MATCH(37,'كشف الحساب'!$P$4:$P$204,0)),"")</f>
        <v>15</v>
      </c>
      <c r="E42" s="124">
        <f>IFERROR(INDEX('كشف الحساب'!$D$4:$D$204,MATCH(37,'كشف الحساب'!$P$4:$P$204,0)),"")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الحساب'!$A$4:$A$204,MATCH(38,'كشف الحساب'!$P$4:$P$204,0)),"")</f>
        <v>46155</v>
      </c>
      <c r="B43" s="122" t="str">
        <f>IFERROR(INDEX('كشف الحساب'!$B$4:$B$204,MATCH(38,'كشف الحساب'!$P$4:$P$204,0)),"")</f>
        <v>Inv-45</v>
      </c>
      <c r="C43" s="121" t="str">
        <f>IFERROR(INDEX('كشف الحساب'!$C$4:$C$204,MATCH(38,'كشف الحساب'!$P$4:$P$204,0)),"")</f>
        <v>other</v>
      </c>
      <c r="D43" s="123">
        <f>IFERROR(INDEX('كشف الحساب'!$E$4:$E$204,MATCH(38,'كشف الحساب'!$P$4:$P$204,0)),"")</f>
        <v>4</v>
      </c>
      <c r="E43" s="124">
        <f>IFERROR(INDEX('كشف الحساب'!$D$4:$D$204,MATCH(38,'كشف الحساب'!$P$4:$P$204,0)),"")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الحساب'!$A$4:$A$204,MATCH(39,'كشف الحساب'!$P$4:$P$204,0)),"")</f>
        <v>46155</v>
      </c>
      <c r="B44" s="122" t="str">
        <f>IFERROR(INDEX('كشف الحساب'!$B$4:$B$204,MATCH(39,'كشف الحساب'!$P$4:$P$204,0)),"")</f>
        <v>Inv-46</v>
      </c>
      <c r="C44" s="121" t="str">
        <f>IFERROR(INDEX('كشف الحساب'!$C$4:$C$204,MATCH(39,'كشف الحساب'!$P$4:$P$204,0)),"")</f>
        <v>other</v>
      </c>
      <c r="D44" s="123">
        <f>IFERROR(INDEX('كشف الحساب'!$E$4:$E$204,MATCH(39,'كشف الحساب'!$P$4:$P$204,0)),"")</f>
        <v>3.6</v>
      </c>
      <c r="E44" s="124">
        <f>IFERROR(INDEX('كشف الحساب'!$D$4:$D$204,MATCH(39,'كشف الحساب'!$P$4:$P$204,0)),"")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الحساب'!$A$4:$A$204,MATCH(40,'كشف الحساب'!$P$4:$P$204,0)),"")</f>
        <v>46158</v>
      </c>
      <c r="B45" s="122" t="str">
        <f>IFERROR(INDEX('كشف الحساب'!$B$4:$B$204,MATCH(40,'كشف الحساب'!$P$4:$P$204,0)),"")</f>
        <v>Inv-47</v>
      </c>
      <c r="C45" s="121" t="str">
        <f>IFERROR(INDEX('كشف الحساب'!$C$4:$C$204,MATCH(40,'كشف الحساب'!$P$4:$P$204,0)),"")</f>
        <v>other</v>
      </c>
      <c r="D45" s="123">
        <f>IFERROR(INDEX('كشف الحساب'!$E$4:$E$204,MATCH(40,'كشف الحساب'!$P$4:$P$204,0)),"")</f>
        <v>3</v>
      </c>
      <c r="E45" s="124">
        <f>IFERROR(INDEX('كشف الحساب'!$D$4:$D$204,MATCH(40,'كشف الحساب'!$P$4:$P$204,0)),"")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الحساب'!$A$4:$A$204,MATCH(41,'كشف الحساب'!$P$4:$P$204,0)),"")</f>
        <v>46155</v>
      </c>
      <c r="B46" s="122">
        <f>IFERROR(INDEX('كشف الحساب'!$B$4:$B$204,MATCH(41,'كشف الحساب'!$P$4:$P$204,0)),"")</f>
        <v>0</v>
      </c>
      <c r="C46" s="121" t="str">
        <f>IFERROR(INDEX('كشف الحساب'!$C$4:$C$204,MATCH(41,'كشف الحساب'!$P$4:$P$204,0)),"")</f>
        <v>جبس لتغطيه المحميه</v>
      </c>
      <c r="D46" s="123">
        <f>IFERROR(INDEX('كشف الحساب'!$E$4:$E$204,MATCH(41,'كشف الحساب'!$P$4:$P$204,0)),"")</f>
        <v>0</v>
      </c>
      <c r="E46" s="124">
        <f>IFERROR(INDEX('كشف الحساب'!$D$4:$D$204,MATCH(41,'كشف الحساب'!$P$4:$P$204,0)),"")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الحساب'!$A$4:$A$204,MATCH(42,'كشف الحساب'!$P$4:$P$204,0)),"")</f>
        <v>46175</v>
      </c>
      <c r="B47" s="122" t="str">
        <f>IFERROR(INDEX('كشف الحساب'!$B$4:$B$204,MATCH(42,'كشف الحساب'!$P$4:$P$204,0)),"")</f>
        <v>Inv-53</v>
      </c>
      <c r="C47" s="121" t="str">
        <f>IFERROR(INDEX('كشف الحساب'!$C$4:$C$204,MATCH(42,'كشف الحساب'!$P$4:$P$204,0)),"")</f>
        <v>فل عدد 24 الحبه .750</v>
      </c>
      <c r="D47" s="123">
        <f>IFERROR(INDEX('كشف الحساب'!$E$4:$E$204,MATCH(42,'كشف الحساب'!$P$4:$P$204,0)),"")</f>
        <v>18</v>
      </c>
      <c r="E47" s="124">
        <f>IFERROR(INDEX('كشف الحساب'!$D$4:$D$204,MATCH(42,'كشف الحساب'!$P$4:$P$204,0)),"")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الحساب'!$A$4:$A$204,MATCH(43,'كشف الحساب'!$P$4:$P$204,0)),"")</f>
        <v>46175</v>
      </c>
      <c r="B48" s="122" t="str">
        <f>IFERROR(INDEX('كشف الحساب'!$B$4:$B$204,MATCH(43,'كشف الحساب'!$P$4:$P$204,0)),"")</f>
        <v>Inv-54</v>
      </c>
      <c r="C48" s="121" t="str">
        <f>IFERROR(INDEX('كشف الحساب'!$C$4:$C$204,MATCH(43,'كشف الحساب'!$P$4:$P$204,0)),"")</f>
        <v>دارسينا خضراء عدد 1 الحبه 2</v>
      </c>
      <c r="D48" s="123">
        <f>IFERROR(INDEX('كشف الحساب'!$E$4:$E$204,MATCH(43,'كشف الحساب'!$P$4:$P$204,0)),"")</f>
        <v>2</v>
      </c>
      <c r="E48" s="124">
        <f>IFERROR(INDEX('كشف الحساب'!$D$4:$D$204,MATCH(43,'كشف الحساب'!$P$4:$P$204,0)),"")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الحساب'!$A$4:$A$204,MATCH(44,'كشف الحساب'!$P$4:$P$204,0)),"")</f>
        <v>46175</v>
      </c>
      <c r="B49" s="122" t="str">
        <f>IFERROR(INDEX('كشف الحساب'!$B$4:$B$204,MATCH(44,'كشف الحساب'!$P$4:$P$204,0)),"")</f>
        <v>Inv-55</v>
      </c>
      <c r="C49" s="121" t="str">
        <f>IFERROR(INDEX('كشف الحساب'!$C$4:$C$204,MATCH(44,'كشف الحساب'!$P$4:$P$204,0)),"")</f>
        <v>افوبيا عدد 2 الحبه .750</v>
      </c>
      <c r="D49" s="123">
        <f>IFERROR(INDEX('كشف الحساب'!$E$4:$E$204,MATCH(44,'كشف الحساب'!$P$4:$P$204,0)),"")</f>
        <v>1.5</v>
      </c>
      <c r="E49" s="124">
        <f>IFERROR(INDEX('كشف الحساب'!$D$4:$D$204,MATCH(44,'كشف الحساب'!$P$4:$P$204,0)),"")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الحساب'!$A$4:$A$204,MATCH(45,'كشف الحساب'!$P$4:$P$204,0)),"")</f>
        <v>46175</v>
      </c>
      <c r="B50" s="122" t="str">
        <f>IFERROR(INDEX('كشف الحساب'!$B$4:$B$204,MATCH(45,'كشف الحساب'!$P$4:$P$204,0)),"")</f>
        <v>Inv-56</v>
      </c>
      <c r="C50" s="121" t="str">
        <f>IFERROR(INDEX('كشف الحساب'!$C$4:$C$204,MATCH(45,'كشف الحساب'!$P$4:$P$204,0)),"")</f>
        <v>دارسينا سوداء عدد 3 الحبه 1</v>
      </c>
      <c r="D50" s="123">
        <f>IFERROR(INDEX('كشف الحساب'!$E$4:$E$204,MATCH(45,'كشف الحساب'!$P$4:$P$204,0)),"")</f>
        <v>3</v>
      </c>
      <c r="E50" s="124">
        <f>IFERROR(INDEX('كشف الحساب'!$D$4:$D$204,MATCH(45,'كشف الحساب'!$P$4:$P$204,0)),"")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الحساب'!$A$4:$A$204,MATCH(46,'كشف الحساب'!$P$4:$P$204,0)),"")</f>
        <v>46177</v>
      </c>
      <c r="B51" s="122" t="str">
        <f>IFERROR(INDEX('كشف الحساب'!$B$4:$B$204,MATCH(46,'كشف الحساب'!$P$4:$P$204,0)),"")</f>
        <v>inv-57</v>
      </c>
      <c r="C51" s="121" t="str">
        <f>IFERROR(INDEX('كشف الحساب'!$C$4:$C$204,MATCH(46,'كشف الحساب'!$P$4:$P$204,0)),"")</f>
        <v>فوزير عدد1 قيمه 1</v>
      </c>
      <c r="D51" s="123">
        <f>IFERROR(INDEX('كشف الحساب'!$E$4:$E$204,MATCH(46,'كشف الحساب'!$P$4:$P$204,0)),"")</f>
        <v>1</v>
      </c>
      <c r="E51" s="124">
        <f>IFERROR(INDEX('كشف الحساب'!$D$4:$D$204,MATCH(46,'كشف الحساب'!$P$4:$P$204,0)),"")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الحساب'!$A$4:$A$204,MATCH(47,'كشف الحساب'!$P$4:$P$204,0)),"")</f>
        <v>46177</v>
      </c>
      <c r="B52" s="122">
        <f>IFERROR(INDEX('كشف الحساب'!$B$4:$B$204,MATCH(47,'كشف الحساب'!$P$4:$P$204,0)),"")</f>
        <v>0</v>
      </c>
      <c r="C52" s="121" t="str">
        <f>IFERROR(INDEX('كشف الحساب'!$C$4:$C$204,MATCH(47,'كشف الحساب'!$P$4:$P$204,0)),"")</f>
        <v>سماد</v>
      </c>
      <c r="D52" s="123">
        <f>IFERROR(INDEX('كشف الحساب'!$E$4:$E$204,MATCH(47,'كشف الحساب'!$P$4:$P$204,0)),"")</f>
        <v>0</v>
      </c>
      <c r="E52" s="124">
        <f>IFERROR(INDEX('كشف الحساب'!$D$4:$D$204,MATCH(47,'كشف الحساب'!$P$4:$P$204,0)),"")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الحساب'!$A$4:$A$204,MATCH(48,'كشف الحساب'!$P$4:$P$204,0)),"")</f>
        <v>46177</v>
      </c>
      <c r="B53" s="122">
        <f>IFERROR(INDEX('كشف الحساب'!$B$4:$B$204,MATCH(48,'كشف الحساب'!$P$4:$P$204,0)),"")</f>
        <v>0</v>
      </c>
      <c r="C53" s="121" t="str">
        <f>IFERROR(INDEX('كشف الحساب'!$C$4:$C$204,MATCH(48,'كشف الحساب'!$P$4:$P$204,0)),"")</f>
        <v>تاير لعربة الرش</v>
      </c>
      <c r="D53" s="123">
        <f>IFERROR(INDEX('كشف الحساب'!$E$4:$E$204,MATCH(48,'كشف الحساب'!$P$4:$P$204,0)),"")</f>
        <v>0</v>
      </c>
      <c r="E53" s="124">
        <f>IFERROR(INDEX('كشف الحساب'!$D$4:$D$204,MATCH(48,'كشف الحساب'!$P$4:$P$204,0)),"")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الحساب'!$A$4:$A$204,MATCH(49,'كشف الحساب'!$P$4:$P$204,0)),"")</f>
        <v>46177</v>
      </c>
      <c r="B54" s="122">
        <f>IFERROR(INDEX('كشف الحساب'!$B$4:$B$204,MATCH(49,'كشف الحساب'!$P$4:$P$204,0)),"")</f>
        <v>0</v>
      </c>
      <c r="C54" s="121" t="str">
        <f>IFERROR(INDEX('كشف الحساب'!$C$4:$C$204,MATCH(49,'كشف الحساب'!$P$4:$P$204,0)),"")</f>
        <v>حفاره خلط السماد</v>
      </c>
      <c r="D54" s="123">
        <f>IFERROR(INDEX('كشف الحساب'!$E$4:$E$204,MATCH(49,'كشف الحساب'!$P$4:$P$204,0)),"")</f>
        <v>0</v>
      </c>
      <c r="E54" s="124">
        <f>IFERROR(INDEX('كشف الحساب'!$D$4:$D$204,MATCH(49,'كشف الحساب'!$P$4:$P$204,0)),"")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الحساب'!$A$4:$A$204,MATCH(50,'كشف الحساب'!$P$4:$P$204,0)),"")</f>
        <v>46179</v>
      </c>
      <c r="B55" s="122" t="str">
        <f>IFERROR(INDEX('كشف الحساب'!$B$4:$B$204,MATCH(50,'كشف الحساب'!$P$4:$P$204,0)),"")</f>
        <v>Inv-58</v>
      </c>
      <c r="C55" s="121" t="str">
        <f>IFERROR(INDEX('كشف الحساب'!$C$4:$C$204,MATCH(50,'كشف الحساب'!$P$4:$P$204,0)),"")</f>
        <v>دارسينا عدد3 بقيمه 1 للحبه</v>
      </c>
      <c r="D55" s="123">
        <f>IFERROR(INDEX('كشف الحساب'!$E$4:$E$204,MATCH(50,'كشف الحساب'!$P$4:$P$204,0)),"")</f>
        <v>3</v>
      </c>
      <c r="E55" s="124">
        <f>IFERROR(INDEX('كشف الحساب'!$D$4:$D$204,MATCH(50,'كشف الحساب'!$P$4:$P$204,0)),"")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الحساب'!$A$4:$A$204,MATCH(51,'كشف الحساب'!$P$4:$P$204,0)),"")</f>
        <v>46179</v>
      </c>
      <c r="B56" s="122" t="str">
        <f>IFERROR(INDEX('كشف الحساب'!$B$4:$B$204,MATCH(51,'كشف الحساب'!$P$4:$P$204,0)),"")</f>
        <v>Inv-59</v>
      </c>
      <c r="C56" s="121" t="str">
        <f>IFERROR(INDEX('كشف الحساب'!$C$4:$C$204,MATCH(51,'كشف الحساب'!$P$4:$P$204,0)),"")</f>
        <v>ودليه عدد 1 بقيمه 1</v>
      </c>
      <c r="D56" s="123">
        <f>IFERROR(INDEX('كشف الحساب'!$E$4:$E$204,MATCH(51,'كشف الحساب'!$P$4:$P$204,0)),"")</f>
        <v>1</v>
      </c>
      <c r="E56" s="124">
        <f>IFERROR(INDEX('كشف الحساب'!$D$4:$D$204,MATCH(51,'كشف الحساب'!$P$4:$P$204,0)),"")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الحساب'!$A$4:$A$204,MATCH(52,'كشف الحساب'!$P$4:$P$204,0)),"")</f>
        <v>46179</v>
      </c>
      <c r="B57" s="122" t="str">
        <f>IFERROR(INDEX('كشف الحساب'!$B$4:$B$204,MATCH(52,'كشف الحساب'!$P$4:$P$204,0)),"")</f>
        <v>Inv-60</v>
      </c>
      <c r="C57" s="121" t="str">
        <f>IFERROR(INDEX('كشف الحساب'!$C$4:$C$204,MATCH(52,'كشف الحساب'!$P$4:$P$204,0)),"")</f>
        <v>دارسينا حمراء عدد 1 بقيمه 3</v>
      </c>
      <c r="D57" s="123">
        <f>IFERROR(INDEX('كشف الحساب'!$E$4:$E$204,MATCH(52,'كشف الحساب'!$P$4:$P$204,0)),"")</f>
        <v>3</v>
      </c>
      <c r="E57" s="124">
        <f>IFERROR(INDEX('كشف الحساب'!$D$4:$D$204,MATCH(52,'كشف الحساب'!$P$4:$P$204,0)),"")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الحساب'!$A$4:$A$204,MATCH(53,'كشف الحساب'!$P$4:$P$204,0)),"")</f>
        <v>46181</v>
      </c>
      <c r="B58" s="122" t="str">
        <f>IFERROR(INDEX('كشف الحساب'!$B$4:$B$204,MATCH(53,'كشف الحساب'!$P$4:$P$204,0)),"")</f>
        <v>Inv-61</v>
      </c>
      <c r="C58" s="121" t="str">
        <f>IFERROR(INDEX('كشف الحساب'!$C$4:$C$204,MATCH(53,'كشف الحساب'!$P$4:$P$204,0)),"")</f>
        <v>فل عدد 20 بقيمه 0.750</v>
      </c>
      <c r="D58" s="123">
        <f>IFERROR(INDEX('كشف الحساب'!$E$4:$E$204,MATCH(53,'كشف الحساب'!$P$4:$P$204,0)),"")</f>
        <v>15</v>
      </c>
      <c r="E58" s="124">
        <f>IFERROR(INDEX('كشف الحساب'!$D$4:$D$204,MATCH(53,'كشف الحساب'!$P$4:$P$204,0)),"")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الحساب'!$A$4:$A$204,MATCH(54,'كشف الحساب'!$P$4:$P$204,0)),"")</f>
        <v>46181</v>
      </c>
      <c r="B59" s="122">
        <f>IFERROR(INDEX('كشف الحساب'!$B$4:$B$204,MATCH(54,'كشف الحساب'!$P$4:$P$204,0)),"")</f>
        <v>0</v>
      </c>
      <c r="C59" s="121" t="str">
        <f>IFERROR(INDEX('كشف الحساب'!$C$4:$C$204,MATCH(54,'كشف الحساب'!$P$4:$P$204,0)),"")</f>
        <v>اسمنت اسود للمحميه الصغيره الجديده</v>
      </c>
      <c r="D59" s="123">
        <f>IFERROR(INDEX('كشف الحساب'!$E$4:$E$204,MATCH(54,'كشف الحساب'!$P$4:$P$204,0)),"")</f>
        <v>0</v>
      </c>
      <c r="E59" s="124">
        <f>IFERROR(INDEX('كشف الحساب'!$D$4:$D$204,MATCH(54,'كشف الحساب'!$P$4:$P$204,0)),"")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الحساب'!$A$4:$A$204,MATCH(55,'كشف الحساب'!$P$4:$P$204,0)),"")</f>
        <v>46181</v>
      </c>
      <c r="B60" s="122">
        <f>IFERROR(INDEX('كشف الحساب'!$B$4:$B$204,MATCH(55,'كشف الحساب'!$P$4:$P$204,0)),"")</f>
        <v>0</v>
      </c>
      <c r="C60" s="121" t="str">
        <f>IFERROR(INDEX('كشف الحساب'!$C$4:$C$204,MATCH(55,'كشف الحساب'!$P$4:$P$204,0)),"")</f>
        <v>حديد اسود للمحميه الصغيره الجديده</v>
      </c>
      <c r="D60" s="123">
        <f>IFERROR(INDEX('كشف الحساب'!$E$4:$E$204,MATCH(55,'كشف الحساب'!$P$4:$P$204,0)),"")</f>
        <v>0</v>
      </c>
      <c r="E60" s="124">
        <f>IFERROR(INDEX('كشف الحساب'!$D$4:$D$204,MATCH(55,'كشف الحساب'!$P$4:$P$204,0)),"")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الحساب'!$A$4:$A$204,MATCH(56,'كشف الحساب'!$P$4:$P$204,0)),"")</f>
        <v>46182</v>
      </c>
      <c r="B61" s="122" t="str">
        <f>IFERROR(INDEX('كشف الحساب'!$B$4:$B$204,MATCH(56,'كشف الحساب'!$P$4:$P$204,0)),"")</f>
        <v>Inv-62</v>
      </c>
      <c r="C61" s="121" t="str">
        <f>IFERROR(INDEX('كشف الحساب'!$C$4:$C$204,MATCH(56,'كشف الحساب'!$P$4:$P$204,0)),"")</f>
        <v>فل عدد 30 الحبه 0.750</v>
      </c>
      <c r="D61" s="123">
        <f>IFERROR(INDEX('كشف الحساب'!$E$4:$E$204,MATCH(56,'كشف الحساب'!$P$4:$P$204,0)),"")</f>
        <v>22.5</v>
      </c>
      <c r="E61" s="124">
        <f>IFERROR(INDEX('كشف الحساب'!$D$4:$D$204,MATCH(56,'كشف الحساب'!$P$4:$P$204,0)),"")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الحساب'!$A$4:$A$204,MATCH(57,'كشف الحساب'!$P$4:$P$204,0)),"")</f>
        <v>46184</v>
      </c>
      <c r="B62" s="122">
        <f>IFERROR(INDEX('كشف الحساب'!$B$4:$B$204,MATCH(57,'كشف الحساب'!$P$4:$P$204,0)),"")</f>
        <v>0</v>
      </c>
      <c r="C62" s="121" t="str">
        <f>IFERROR(INDEX('كشف الحساب'!$C$4:$C$204,MATCH(57,'كشف الحساب'!$P$4:$P$204,0)),"")</f>
        <v>براغي</v>
      </c>
      <c r="D62" s="123">
        <f>IFERROR(INDEX('كشف الحساب'!$E$4:$E$204,MATCH(57,'كشف الحساب'!$P$4:$P$204,0)),"")</f>
        <v>0</v>
      </c>
      <c r="E62" s="124">
        <f>IFERROR(INDEX('كشف الحساب'!$D$4:$D$204,MATCH(57,'كشف الحساب'!$P$4:$P$204,0)),"")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الحساب'!$A$4:$A$204,MATCH(58,'كشف الحساب'!$P$4:$P$204,0)),"")</f>
        <v>46185</v>
      </c>
      <c r="B63" s="122">
        <f>IFERROR(INDEX('كشف الحساب'!$B$4:$B$204,MATCH(58,'كشف الحساب'!$P$4:$P$204,0)),"")</f>
        <v>0</v>
      </c>
      <c r="C63" s="121" t="str">
        <f>IFERROR(INDEX('كشف الحساب'!$C$4:$C$204,MATCH(58,'كشف الحساب'!$P$4:$P$204,0)),"")</f>
        <v>رول لحيم</v>
      </c>
      <c r="D63" s="123">
        <f>IFERROR(INDEX('كشف الحساب'!$E$4:$E$204,MATCH(58,'كشف الحساب'!$P$4:$P$204,0)),"")</f>
        <v>0</v>
      </c>
      <c r="E63" s="124">
        <f>IFERROR(INDEX('كشف الحساب'!$D$4:$D$204,MATCH(58,'كشف الحساب'!$P$4:$P$204,0)),"")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الحساب'!$A$4:$A$204,MATCH(59,'كشف الحساب'!$P$4:$P$204,0)),"")</f>
        <v>46186</v>
      </c>
      <c r="B64" s="122" t="str">
        <f>IFERROR(INDEX('كشف الحساب'!$B$4:$B$204,MATCH(59,'كشف الحساب'!$P$4:$P$204,0)),"")</f>
        <v>Inv-64</v>
      </c>
      <c r="C64" s="121" t="str">
        <f>IFERROR(INDEX('كشف الحساب'!$C$4:$C$204,MATCH(59,'كشف الحساب'!$P$4:$P$204,0)),"")</f>
        <v>معلقات عدد 10 الحبه 1</v>
      </c>
      <c r="D64" s="123">
        <f>IFERROR(INDEX('كشف الحساب'!$E$4:$E$204,MATCH(59,'كشف الحساب'!$P$4:$P$204,0)),"")</f>
        <v>10</v>
      </c>
      <c r="E64" s="124">
        <f>IFERROR(INDEX('كشف الحساب'!$D$4:$D$204,MATCH(59,'كشف الحساب'!$P$4:$P$204,0)),"")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الحساب'!$A$4:$A$204,MATCH(60,'كشف الحساب'!$P$4:$P$204,0)),"")</f>
        <v>46186</v>
      </c>
      <c r="B65" s="122" t="str">
        <f>IFERROR(INDEX('كشف الحساب'!$B$4:$B$204,MATCH(60,'كشف الحساب'!$P$4:$P$204,0)),"")</f>
        <v>Inv-65</v>
      </c>
      <c r="C65" s="121" t="str">
        <f>IFERROR(INDEX('كشف الحساب'!$C$4:$C$204,MATCH(60,'كشف الحساب'!$P$4:$P$204,0)),"")</f>
        <v>ودوليه عدد 5 الحبه 1</v>
      </c>
      <c r="D65" s="123">
        <f>IFERROR(INDEX('كشف الحساب'!$E$4:$E$204,MATCH(60,'كشف الحساب'!$P$4:$P$204,0)),"")</f>
        <v>5</v>
      </c>
      <c r="E65" s="124">
        <f>IFERROR(INDEX('كشف الحساب'!$D$4:$D$204,MATCH(60,'كشف الحساب'!$P$4:$P$204,0)),"")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الحساب'!$A$4:$A$204,MATCH(61,'كشف الحساب'!$P$4:$P$204,0)),"")</f>
        <v>46189</v>
      </c>
      <c r="B66" s="122" t="str">
        <f>IFERROR(INDEX('كشف الحساب'!$B$4:$B$204,MATCH(61,'كشف الحساب'!$P$4:$P$204,0)),"")</f>
        <v>Inv-66</v>
      </c>
      <c r="C66" s="121" t="str">
        <f>IFERROR(INDEX('كشف الحساب'!$C$4:$C$204,MATCH(61,'كشف الحساب'!$P$4:$P$204,0)),"")</f>
        <v>شوكليرا عدد10 الحبه 1.500</v>
      </c>
      <c r="D66" s="123">
        <f>IFERROR(INDEX('كشف الحساب'!$E$4:$E$204,MATCH(61,'كشف الحساب'!$P$4:$P$204,0)),"")</f>
        <v>15</v>
      </c>
      <c r="E66" s="124">
        <f>IFERROR(INDEX('كشف الحساب'!$D$4:$D$204,MATCH(61,'كشف الحساب'!$P$4:$P$204,0)),"")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الحساب'!$A$4:$A$204,MATCH(62,'كشف الحساب'!$P$4:$P$204,0)),"")</f>
        <v>46189</v>
      </c>
      <c r="B67" s="122" t="str">
        <f>IFERROR(INDEX('كشف الحساب'!$B$4:$B$204,MATCH(62,'كشف الحساب'!$P$4:$P$204,0)),"")</f>
        <v>Inv-67</v>
      </c>
      <c r="C67" s="121" t="str">
        <f>IFERROR(INDEX('كشف الحساب'!$C$4:$C$204,MATCH(62,'كشف الحساب'!$P$4:$P$204,0)),"")</f>
        <v>فيكس عدد7 الحبه 1</v>
      </c>
      <c r="D67" s="123">
        <f>IFERROR(INDEX('كشف الحساب'!$E$4:$E$204,MATCH(62,'كشف الحساب'!$P$4:$P$204,0)),"")</f>
        <v>7</v>
      </c>
      <c r="E67" s="124">
        <f>IFERROR(INDEX('كشف الحساب'!$D$4:$D$204,MATCH(62,'كشف الحساب'!$P$4:$P$204,0)),"")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الحساب'!$A$4:$A$204,MATCH(63,'كشف الحساب'!$P$4:$P$204,0)),"")</f>
        <v>46189</v>
      </c>
      <c r="B68" s="122" t="str">
        <f>IFERROR(INDEX('كشف الحساب'!$B$4:$B$204,MATCH(63,'كشف الحساب'!$P$4:$P$204,0)),"")</f>
        <v>Inv-68</v>
      </c>
      <c r="C68" s="121" t="str">
        <f>IFERROR(INDEX('كشف الحساب'!$C$4:$C$204,MATCH(63,'كشف الحساب'!$P$4:$P$204,0)),"")</f>
        <v>ربل عدد 5 الحبه 2</v>
      </c>
      <c r="D68" s="123">
        <f>IFERROR(INDEX('كشف الحساب'!$E$4:$E$204,MATCH(63,'كشف الحساب'!$P$4:$P$204,0)),"")</f>
        <v>10</v>
      </c>
      <c r="E68" s="124">
        <f>IFERROR(INDEX('كشف الحساب'!$D$4:$D$204,MATCH(63,'كشف الحساب'!$P$4:$P$204,0)),"")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الحساب'!$A$4:$A$204,MATCH(64,'كشف الحساب'!$P$4:$P$204,0)),"")</f>
        <v>46189</v>
      </c>
      <c r="B69" s="122" t="str">
        <f>IFERROR(INDEX('كشف الحساب'!$B$4:$B$204,MATCH(64,'كشف الحساب'!$P$4:$P$204,0)),"")</f>
        <v>Inv-69</v>
      </c>
      <c r="C69" s="121" t="str">
        <f>IFERROR(INDEX('كشف الحساب'!$C$4:$C$204,MATCH(64,'كشف الحساب'!$P$4:$P$204,0)),"")</f>
        <v>فل عدد 24 الحبه .750</v>
      </c>
      <c r="D69" s="123">
        <f>IFERROR(INDEX('كشف الحساب'!$E$4:$E$204,MATCH(64,'كشف الحساب'!$P$4:$P$204,0)),"")</f>
        <v>18</v>
      </c>
      <c r="E69" s="124">
        <f>IFERROR(INDEX('كشف الحساب'!$D$4:$D$204,MATCH(64,'كشف الحساب'!$P$4:$P$204,0)),"")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الحساب'!$A$4:$A$204,MATCH(65,'كشف الحساب'!$P$4:$P$204,0)),"")</f>
        <v>46188</v>
      </c>
      <c r="B70" s="122">
        <f>IFERROR(INDEX('كشف الحساب'!$B$4:$B$204,MATCH(65,'كشف الحساب'!$P$4:$P$204,0)),"")</f>
        <v>0</v>
      </c>
      <c r="C70" s="121" t="str">
        <f>IFERROR(INDEX('كشف الحساب'!$C$4:$C$204,MATCH(65,'كشف الحساب'!$P$4:$P$204,0)),"")</f>
        <v>أقامه عبدول</v>
      </c>
      <c r="D70" s="123">
        <f>IFERROR(INDEX('كشف الحساب'!$E$4:$E$204,MATCH(65,'كشف الحساب'!$P$4:$P$204,0)),"")</f>
        <v>0</v>
      </c>
      <c r="E70" s="124">
        <f>IFERROR(INDEX('كشف الحساب'!$D$4:$D$204,MATCH(65,'كشف الحساب'!$P$4:$P$204,0)),"")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الحساب'!$A$4:$A$204,MATCH(66,'كشف الحساب'!$P$4:$P$204,0)),"")</f>
        <v>46190</v>
      </c>
      <c r="B71" s="122" t="str">
        <f>IFERROR(INDEX('كشف الحساب'!$B$4:$B$204,MATCH(66,'كشف الحساب'!$P$4:$P$204,0)),"")</f>
        <v>Inv-70</v>
      </c>
      <c r="C71" s="121" t="str">
        <f>IFERROR(INDEX('كشف الحساب'!$C$4:$C$204,MATCH(66,'كشف الحساب'!$P$4:$P$204,0)),"")</f>
        <v>افوبياعدد 1 الحبه .0.750</v>
      </c>
      <c r="D71" s="123">
        <f>IFERROR(INDEX('كشف الحساب'!$E$4:$E$204,MATCH(66,'كشف الحساب'!$P$4:$P$204,0)),"")</f>
        <v>0.75</v>
      </c>
      <c r="E71" s="124">
        <f>IFERROR(INDEX('كشف الحساب'!$D$4:$D$204,MATCH(66,'كشف الحساب'!$P$4:$P$204,0)),"")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الحساب'!$A$4:$A$204,MATCH(67,'كشف الحساب'!$P$4:$P$204,0)),"")</f>
        <v>46190</v>
      </c>
      <c r="B72" s="122" t="str">
        <f>IFERROR(INDEX('كشف الحساب'!$B$4:$B$204,MATCH(67,'كشف الحساب'!$P$4:$P$204,0)),"")</f>
        <v>Inv-71</v>
      </c>
      <c r="C72" s="121" t="str">
        <f>IFERROR(INDEX('كشف الحساب'!$C$4:$C$204,MATCH(67,'كشف الحساب'!$P$4:$P$204,0)),"")</f>
        <v>دارسينا عدد 1 الحبه 1.500</v>
      </c>
      <c r="D72" s="123">
        <f>IFERROR(INDEX('كشف الحساب'!$E$4:$E$204,MATCH(67,'كشف الحساب'!$P$4:$P$204,0)),"")</f>
        <v>1.5</v>
      </c>
      <c r="E72" s="124">
        <f>IFERROR(INDEX('كشف الحساب'!$D$4:$D$204,MATCH(67,'كشف الحساب'!$P$4:$P$204,0)),"")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الحساب'!$A$4:$A$204,MATCH(68,'كشف الحساب'!$P$4:$P$204,0)),"")</f>
        <v>46191</v>
      </c>
      <c r="B73" s="122" t="str">
        <f>IFERROR(INDEX('كشف الحساب'!$B$4:$B$204,MATCH(68,'كشف الحساب'!$P$4:$P$204,0)),"")</f>
        <v>Inv-72</v>
      </c>
      <c r="C73" s="121" t="str">
        <f>IFERROR(INDEX('كشف الحساب'!$C$4:$C$204,MATCH(68,'كشف الحساب'!$P$4:$P$204,0)),"")</f>
        <v>فل عدد 1 الحبه 0.750</v>
      </c>
      <c r="D73" s="123">
        <f>IFERROR(INDEX('كشف الحساب'!$E$4:$E$204,MATCH(68,'كشف الحساب'!$P$4:$P$204,0)),"")</f>
        <v>0.75</v>
      </c>
      <c r="E73" s="124">
        <f>IFERROR(INDEX('كشف الحساب'!$D$4:$D$204,MATCH(68,'كشف الحساب'!$P$4:$P$204,0)),"")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الحساب'!$A$4:$A$204,MATCH(69,'كشف الحساب'!$P$4:$P$204,0)),"")</f>
        <v>46191</v>
      </c>
      <c r="B74" s="122" t="str">
        <f>IFERROR(INDEX('كشف الحساب'!$B$4:$B$204,MATCH(69,'كشف الحساب'!$P$4:$P$204,0)),"")</f>
        <v>Inv-73</v>
      </c>
      <c r="C74" s="121" t="str">
        <f>IFERROR(INDEX('كشف الحساب'!$C$4:$C$204,MATCH(69,'كشف الحساب'!$P$4:$P$204,0)),"")</f>
        <v>ودليه عدد 3 الحبه 1</v>
      </c>
      <c r="D74" s="123">
        <f>IFERROR(INDEX('كشف الحساب'!$E$4:$E$204,MATCH(69,'كشف الحساب'!$P$4:$P$204,0)),"")</f>
        <v>3</v>
      </c>
      <c r="E74" s="124">
        <f>IFERROR(INDEX('كشف الحساب'!$D$4:$D$204,MATCH(69,'كشف الحساب'!$P$4:$P$204,0)),"")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الحساب'!$A$4:$A$204,MATCH(70,'كشف الحساب'!$P$4:$P$204,0)),"")</f>
        <v>46199</v>
      </c>
      <c r="B75" s="122" t="str">
        <f>IFERROR(INDEX('كشف الحساب'!$B$4:$B$204,MATCH(70,'كشف الحساب'!$P$4:$P$204,0)),"")</f>
        <v>Inv-74</v>
      </c>
      <c r="C75" s="121" t="str">
        <f>IFERROR(INDEX('كشف الحساب'!$C$4:$C$204,MATCH(70,'كشف الحساب'!$P$4:$P$204,0)),"")</f>
        <v>ربل عدد 11 الحبه 2</v>
      </c>
      <c r="D75" s="123">
        <f>IFERROR(INDEX('كشف الحساب'!$E$4:$E$204,MATCH(70,'كشف الحساب'!$P$4:$P$204,0)),"")</f>
        <v>22</v>
      </c>
      <c r="E75" s="124">
        <f>IFERROR(INDEX('كشف الحساب'!$D$4:$D$204,MATCH(70,'كشف الحساب'!$P$4:$P$204,0)),"")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الحساب'!$A$4:$A$204,MATCH(71,'كشف الحساب'!$P$4:$P$204,0)),"")</f>
        <v>46199</v>
      </c>
      <c r="B76" s="122" t="str">
        <f>IFERROR(INDEX('كشف الحساب'!$B$4:$B$204,MATCH(71,'كشف الحساب'!$P$4:$P$204,0)),"")</f>
        <v>Inv-75</v>
      </c>
      <c r="C76" s="121" t="str">
        <f>IFERROR(INDEX('كشف الحساب'!$C$4:$C$204,MATCH(71,'كشف الحساب'!$P$4:$P$204,0)),"")</f>
        <v>شوفليرا عدد6 الحبه 1.500</v>
      </c>
      <c r="D76" s="123">
        <f>IFERROR(INDEX('كشف الحساب'!$E$4:$E$204,MATCH(71,'كشف الحساب'!$P$4:$P$204,0)),"")</f>
        <v>9</v>
      </c>
      <c r="E76" s="124">
        <f>IFERROR(INDEX('كشف الحساب'!$D$4:$D$204,MATCH(71,'كشف الحساب'!$P$4:$P$204,0)),"")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الحساب'!$A$4:$A$204,MATCH(72,'كشف الحساب'!$P$4:$P$204,0)),"")</f>
        <v>46197</v>
      </c>
      <c r="B77" s="122">
        <f>IFERROR(INDEX('كشف الحساب'!$B$4:$B$204,MATCH(72,'كشف الحساب'!$P$4:$P$204,0)),"")</f>
        <v>0</v>
      </c>
      <c r="C77" s="121" t="str">
        <f>IFERROR(INDEX('كشف الحساب'!$C$4:$C$204,MATCH(72,'كشف الحساب'!$P$4:$P$204,0)),"")</f>
        <v>nbk 18-18-18</v>
      </c>
      <c r="D77" s="123">
        <f>IFERROR(INDEX('كشف الحساب'!$E$4:$E$204,MATCH(72,'كشف الحساب'!$P$4:$P$204,0)),"")</f>
        <v>0</v>
      </c>
      <c r="E77" s="124">
        <f>IFERROR(INDEX('كشف الحساب'!$D$4:$D$204,MATCH(72,'كشف الحساب'!$P$4:$P$204,0)),"")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الحساب'!$A$4:$A$204,MATCH(73,'كشف الحساب'!$P$4:$P$204,0)),"")</f>
        <v>46201</v>
      </c>
      <c r="B78" s="122" t="str">
        <f>IFERROR(INDEX('كشف الحساب'!$B$4:$B$204,MATCH(73,'كشف الحساب'!$P$4:$P$204,0)),"")</f>
        <v>Inv-76</v>
      </c>
      <c r="C78" s="121" t="str">
        <f>IFERROR(INDEX('كشف الحساب'!$C$4:$C$204,MATCH(73,'كشف الحساب'!$P$4:$P$204,0)),"")</f>
        <v>فل عدد 11 الحبه 0.750</v>
      </c>
      <c r="D78" s="123">
        <f>IFERROR(INDEX('كشف الحساب'!$E$4:$E$204,MATCH(73,'كشف الحساب'!$P$4:$P$204,0)),"")</f>
        <v>8.25</v>
      </c>
      <c r="E78" s="124">
        <f>IFERROR(INDEX('كشف الحساب'!$D$4:$D$204,MATCH(73,'كشف الحساب'!$P$4:$P$204,0)),"")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الحساب'!$A$4:$A$204,MATCH(74,'كشف الحساب'!$P$4:$P$204,0)),"")</f>
        <v>46202</v>
      </c>
      <c r="B79" s="122" t="str">
        <f>IFERROR(INDEX('كشف الحساب'!$B$4:$B$204,MATCH(74,'كشف الحساب'!$P$4:$P$204,0)),"")</f>
        <v>Inv-77</v>
      </c>
      <c r="C79" s="121" t="str">
        <f>IFERROR(INDEX('كشف الحساب'!$C$4:$C$204,MATCH(74,'كشف الحساب'!$P$4:$P$204,0)),"")</f>
        <v>عطره عدد 3 الحبه 0.750</v>
      </c>
      <c r="D79" s="123">
        <f>IFERROR(INDEX('كشف الحساب'!$E$4:$E$204,MATCH(74,'كشف الحساب'!$P$4:$P$204,0)),"")</f>
        <v>2.25</v>
      </c>
      <c r="E79" s="124">
        <f>IFERROR(INDEX('كشف الحساب'!$D$4:$D$204,MATCH(74,'كشف الحساب'!$P$4:$P$204,0)),"")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الحساب'!$A$4:$A$204,MATCH(75,'كشف الحساب'!$P$4:$P$204,0)),"")</f>
        <v>46202</v>
      </c>
      <c r="B80" s="122" t="str">
        <f>IFERROR(INDEX('كشف الحساب'!$B$4:$B$204,MATCH(75,'كشف الحساب'!$P$4:$P$204,0)),"")</f>
        <v>Inv-78</v>
      </c>
      <c r="C80" s="121" t="str">
        <f>IFERROR(INDEX('كشف الحساب'!$C$4:$C$204,MATCH(75,'كشف الحساب'!$P$4:$P$204,0)),"")</f>
        <v>معلقات عدد 3 الحبه 1</v>
      </c>
      <c r="D80" s="123">
        <f>IFERROR(INDEX('كشف الحساب'!$E$4:$E$204,MATCH(75,'كشف الحساب'!$P$4:$P$204,0)),"")</f>
        <v>3</v>
      </c>
      <c r="E80" s="124">
        <f>IFERROR(INDEX('كشف الحساب'!$D$4:$D$204,MATCH(75,'كشف الحساب'!$P$4:$P$204,0)),"")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الحساب'!$A$4:$A$204,MATCH(76,'كشف الحساب'!$P$4:$P$204,0)),"")</f>
        <v>46203</v>
      </c>
      <c r="B81" s="122" t="str">
        <f>IFERROR(INDEX('كشف الحساب'!$B$4:$B$204,MATCH(76,'كشف الحساب'!$P$4:$P$204,0)),"")</f>
        <v>Inv-79</v>
      </c>
      <c r="C81" s="121" t="str">
        <f>IFERROR(INDEX('كشف الحساب'!$C$4:$C$204,MATCH(76,'كشف الحساب'!$P$4:$P$204,0)),"")</f>
        <v>معلقات عدد 4 الحبه 1</v>
      </c>
      <c r="D81" s="123">
        <f>IFERROR(INDEX('كشف الحساب'!$E$4:$E$204,MATCH(76,'كشف الحساب'!$P$4:$P$204,0)),"")</f>
        <v>4</v>
      </c>
      <c r="E81" s="124">
        <f>IFERROR(INDEX('كشف الحساب'!$D$4:$D$204,MATCH(76,'كشف الحساب'!$P$4:$P$204,0)),"")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الحساب'!$A$4:$A$204,MATCH(77,'كشف الحساب'!$P$4:$P$204,0)),"")</f>
        <v>46203</v>
      </c>
      <c r="B82" s="122" t="str">
        <f>IFERROR(INDEX('كشف الحساب'!$B$4:$B$204,MATCH(77,'كشف الحساب'!$P$4:$P$204,0)),"")</f>
        <v>Inv-80</v>
      </c>
      <c r="C82" s="121" t="str">
        <f>IFERROR(INDEX('كشف الحساب'!$C$4:$C$204,MATCH(77,'كشف الحساب'!$P$4:$P$204,0)),"")</f>
        <v>معلقات عدد4 الحبه 1</v>
      </c>
      <c r="D82" s="123">
        <f>IFERROR(INDEX('كشف الحساب'!$E$4:$E$204,MATCH(77,'كشف الحساب'!$P$4:$P$204,0)),"")</f>
        <v>4</v>
      </c>
      <c r="E82" s="124">
        <f>IFERROR(INDEX('كشف الحساب'!$D$4:$D$204,MATCH(77,'كشف الحساب'!$P$4:$P$204,0)),"")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الحساب'!$A$4:$A$204,MATCH(78,'كشف الحساب'!$P$4:$P$204,0)),"")</f>
        <v>46203</v>
      </c>
      <c r="B83" s="122" t="str">
        <f>IFERROR(INDEX('كشف الحساب'!$B$4:$B$204,MATCH(78,'كشف الحساب'!$P$4:$P$204,0)),"")</f>
        <v>Inv-81</v>
      </c>
      <c r="C83" s="121" t="str">
        <f>IFERROR(INDEX('كشف الحساب'!$C$4:$C$204,MATCH(78,'كشف الحساب'!$P$4:$P$204,0)),"")</f>
        <v>افوبيا عدد 2 الحبه 1</v>
      </c>
      <c r="D83" s="123">
        <f>IFERROR(INDEX('كشف الحساب'!$E$4:$E$204,MATCH(78,'كشف الحساب'!$P$4:$P$204,0)),"")</f>
        <v>2</v>
      </c>
      <c r="E83" s="124">
        <f>IFERROR(INDEX('كشف الحساب'!$D$4:$D$204,MATCH(78,'كشف الحساب'!$P$4:$P$204,0)),"")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الحساب'!$A$4:$A$204,MATCH(79,'كشف الحساب'!$P$4:$P$204,0)),"")</f>
        <v>46203</v>
      </c>
      <c r="B84" s="122">
        <f>IFERROR(INDEX('كشف الحساب'!$B$4:$B$204,MATCH(79,'كشف الحساب'!$P$4:$P$204,0)),"")</f>
        <v>0</v>
      </c>
      <c r="C84" s="121" t="str">
        <f>IFERROR(INDEX('كشف الحساب'!$C$4:$C$204,MATCH(79,'كشف الحساب'!$P$4:$P$204,0)),"")</f>
        <v>رواتب عماله شهر يونيو 2026</v>
      </c>
      <c r="D84" s="123">
        <f>IFERROR(INDEX('كشف الحساب'!$E$4:$E$204,MATCH(79,'كشف الحساب'!$P$4:$P$204,0)),"")</f>
        <v>0</v>
      </c>
      <c r="E84" s="124">
        <f>IFERROR(INDEX('كشف الحساب'!$D$4:$D$204,MATCH(79,'كشف الحساب'!$P$4:$P$204,0)),"")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الحساب'!$A$4:$A$204,MATCH(80,'كشف الحساب'!$P$4:$P$204,0)),"")</f>
        <v>46203</v>
      </c>
      <c r="B85" s="122">
        <f>IFERROR(INDEX('كشف الحساب'!$B$4:$B$204,MATCH(80,'كشف الحساب'!$P$4:$P$204,0)),"")</f>
        <v>0</v>
      </c>
      <c r="C85" s="121" t="str">
        <f>IFERROR(INDEX('كشف الحساب'!$C$4:$C$204,MATCH(80,'كشف الحساب'!$P$4:$P$204,0)),"")</f>
        <v>احواض عدد 1000 مقاس 25 سم</v>
      </c>
      <c r="D85" s="123">
        <f>IFERROR(INDEX('كشف الحساب'!$E$4:$E$204,MATCH(80,'كشف الحساب'!$P$4:$P$204,0)),"")</f>
        <v>0</v>
      </c>
      <c r="E85" s="124">
        <f>IFERROR(INDEX('كشف الحساب'!$D$4:$D$204,MATCH(80,'كشف الحساب'!$P$4:$P$204,0)),"")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الحساب'!$A$4:$A$204,MATCH(81,'كشف الحساب'!$P$4:$P$204,0)),"")</f>
        <v>46207</v>
      </c>
      <c r="B86" s="122">
        <f>IFERROR(INDEX('كشف الحساب'!$B$4:$B$204,MATCH(81,'كشف الحساب'!$P$4:$P$204,0)),"")</f>
        <v>0</v>
      </c>
      <c r="C86" s="121" t="str">
        <f>IFERROR(INDEX('كشف الحساب'!$C$4:$C$204,MATCH(81,'كشف الحساب'!$P$4:$P$204,0)),"")</f>
        <v>احواض عدد 1000 مقاس 14 سم</v>
      </c>
      <c r="D86" s="123">
        <f>IFERROR(INDEX('كشف الحساب'!$E$4:$E$204,MATCH(81,'كشف الحساب'!$P$4:$P$204,0)),"")</f>
        <v>0</v>
      </c>
      <c r="E86" s="124">
        <f>IFERROR(INDEX('كشف الحساب'!$D$4:$D$204,MATCH(81,'كشف الحساب'!$P$4:$P$204,0)),"")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الحساب'!$A$4:$A$204,MATCH(82,'كشف الحساب'!$P$4:$P$204,0)),"")</f>
        <v>46206</v>
      </c>
      <c r="B87" s="122" t="str">
        <f>IFERROR(INDEX('كشف الحساب'!$B$4:$B$204,MATCH(82,'كشف الحساب'!$P$4:$P$204,0)),"")</f>
        <v>Inv-82</v>
      </c>
      <c r="C87" s="121" t="str">
        <f>IFERROR(INDEX('كشف الحساب'!$C$4:$C$204,MATCH(82,'كشف الحساب'!$P$4:$P$204,0)),"")</f>
        <v>دارسينا عدد 1 بقيمه 2.500</v>
      </c>
      <c r="D87" s="123">
        <f>IFERROR(INDEX('كشف الحساب'!$E$4:$E$204,MATCH(82,'كشف الحساب'!$P$4:$P$204,0)),"")</f>
        <v>2.5</v>
      </c>
      <c r="E87" s="124">
        <f>IFERROR(INDEX('كشف الحساب'!$D$4:$D$204,MATCH(82,'كشف الحساب'!$P$4:$P$204,0)),"")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الحساب'!$A$4:$A$204,MATCH(83,'كشف الحساب'!$P$4:$P$204,0)),"")</f>
        <v>46207</v>
      </c>
      <c r="B88" s="122" t="str">
        <f>IFERROR(INDEX('كشف الحساب'!$B$4:$B$204,MATCH(83,'كشف الحساب'!$P$4:$P$204,0)),"")</f>
        <v>Inv-83</v>
      </c>
      <c r="C88" s="121" t="str">
        <f>IFERROR(INDEX('كشف الحساب'!$C$4:$C$204,MATCH(83,'كشف الحساب'!$P$4:$P$204,0)),"")</f>
        <v>ودليه عدد13 الحبه 1</v>
      </c>
      <c r="D88" s="123">
        <f>IFERROR(INDEX('كشف الحساب'!$E$4:$E$204,MATCH(83,'كشف الحساب'!$P$4:$P$204,0)),"")</f>
        <v>13</v>
      </c>
      <c r="E88" s="124">
        <f>IFERROR(INDEX('كشف الحساب'!$D$4:$D$204,MATCH(83,'كشف الحساب'!$P$4:$P$204,0)),"")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الحساب'!$A$4:$A$204,MATCH(84,'كشف الحساب'!$P$4:$P$204,0)),"")</f>
        <v>46207</v>
      </c>
      <c r="B89" s="122" t="str">
        <f>IFERROR(INDEX('كشف الحساب'!$B$4:$B$204,MATCH(84,'كشف الحساب'!$P$4:$P$204,0)),"")</f>
        <v>Inv-84</v>
      </c>
      <c r="C89" s="121" t="str">
        <f>IFERROR(INDEX('كشف الحساب'!$C$4:$C$204,MATCH(84,'كشف الحساب'!$P$4:$P$204,0)),"")</f>
        <v>معلقات عدد 4 الحبه 2</v>
      </c>
      <c r="D89" s="123">
        <f>IFERROR(INDEX('كشف الحساب'!$E$4:$E$204,MATCH(84,'كشف الحساب'!$P$4:$P$204,0)),"")</f>
        <v>8</v>
      </c>
      <c r="E89" s="124">
        <f>IFERROR(INDEX('كشف الحساب'!$D$4:$D$204,MATCH(84,'كشف الحساب'!$P$4:$P$204,0)),"")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الحساب'!$A$4:$A$204,MATCH(85,'كشف الحساب'!$P$4:$P$204,0)),"")</f>
        <v>46211</v>
      </c>
      <c r="B90" s="122" t="str">
        <f>IFERROR(INDEX('كشف الحساب'!$B$4:$B$204,MATCH(85,'كشف الحساب'!$P$4:$P$204,0)),"")</f>
        <v>Inv-85</v>
      </c>
      <c r="C90" s="121" t="str">
        <f>IFERROR(INDEX('كشف الحساب'!$C$4:$C$204,MATCH(85,'كشف الحساب'!$P$4:$P$204,0)),"")</f>
        <v>عطريات عدد8 الحبه 1</v>
      </c>
      <c r="D90" s="123">
        <f>IFERROR(INDEX('كشف الحساب'!$E$4:$E$204,MATCH(85,'كشف الحساب'!$P$4:$P$204,0)),"")</f>
        <v>8</v>
      </c>
      <c r="E90" s="124">
        <f>IFERROR(INDEX('كشف الحساب'!$D$4:$D$204,MATCH(85,'كشف الحساب'!$P$4:$P$204,0)),"")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الحساب'!$A$4:$A$204,MATCH(86,'كشف الحساب'!$P$4:$P$204,0)),"")</f>
        <v>46211</v>
      </c>
      <c r="B91" s="122" t="str">
        <f>IFERROR(INDEX('كشف الحساب'!$B$4:$B$204,MATCH(86,'كشف الحساب'!$P$4:$P$204,0)),"")</f>
        <v>Inv-86</v>
      </c>
      <c r="C91" s="121" t="str">
        <f>IFERROR(INDEX('كشف الحساب'!$C$4:$C$204,MATCH(86,'كشف الحساب'!$P$4:$P$204,0)),"")</f>
        <v>دارسينا سوداء عدد 12 الحبه 2</v>
      </c>
      <c r="D91" s="123">
        <f>IFERROR(INDEX('كشف الحساب'!$E$4:$E$204,MATCH(86,'كشف الحساب'!$P$4:$P$204,0)),"")</f>
        <v>24</v>
      </c>
      <c r="E91" s="124">
        <f>IFERROR(INDEX('كشف الحساب'!$D$4:$D$204,MATCH(86,'كشف الحساب'!$P$4:$P$204,0)),"")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الحساب'!$A$4:$A$204,MATCH(87,'كشف الحساب'!$P$4:$P$204,0)),"")</f>
        <v>46211</v>
      </c>
      <c r="B92" s="122" t="str">
        <f>IFERROR(INDEX('كشف الحساب'!$B$4:$B$204,MATCH(87,'كشف الحساب'!$P$4:$P$204,0)),"")</f>
        <v>Inv-87</v>
      </c>
      <c r="C92" s="121" t="str">
        <f>IFERROR(INDEX('كشف الحساب'!$C$4:$C$204,MATCH(87,'كشف الحساب'!$P$4:$P$204,0)),"")</f>
        <v>عطريات عدد 8 الحبه 1</v>
      </c>
      <c r="D92" s="123">
        <f>IFERROR(INDEX('كشف الحساب'!$E$4:$E$204,MATCH(87,'كشف الحساب'!$P$4:$P$204,0)),"")</f>
        <v>8</v>
      </c>
      <c r="E92" s="124">
        <f>IFERROR(INDEX('كشف الحساب'!$D$4:$D$204,MATCH(87,'كشف الحساب'!$P$4:$P$204,0)),"")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الحساب'!$A$4:$A$204,MATCH(88,'كشف الحساب'!$P$4:$P$204,0)),"")</f>
        <v>46212</v>
      </c>
      <c r="B93" s="122" t="str">
        <f>IFERROR(INDEX('كشف الحساب'!$B$4:$B$204,MATCH(88,'كشف الحساب'!$P$4:$P$204,0)),"")</f>
        <v>Inv-88</v>
      </c>
      <c r="C93" s="121" t="str">
        <f>IFERROR(INDEX('كشف الحساب'!$C$4:$C$204,MATCH(88,'كشف الحساب'!$P$4:$P$204,0)),"")</f>
        <v>دارسنا عدد1 الحبه 5</v>
      </c>
      <c r="D93" s="123">
        <f>IFERROR(INDEX('كشف الحساب'!$E$4:$E$204,MATCH(88,'كشف الحساب'!$P$4:$P$204,0)),"")</f>
        <v>5</v>
      </c>
      <c r="E93" s="124">
        <f>IFERROR(INDEX('كشف الحساب'!$D$4:$D$204,MATCH(88,'كشف الحساب'!$P$4:$P$204,0)),"")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الحساب'!$A$4:$A$204,MATCH(89,'كشف الحساب'!$P$4:$P$204,0)),"")</f>
        <v>46212</v>
      </c>
      <c r="B94" s="122" t="str">
        <f>IFERROR(INDEX('كشف الحساب'!$B$4:$B$204,MATCH(89,'كشف الحساب'!$P$4:$P$204,0)),"")</f>
        <v>Inv-89</v>
      </c>
      <c r="C94" s="121" t="str">
        <f>IFERROR(INDEX('كشف الحساب'!$C$4:$C$204,MATCH(89,'كشف الحساب'!$P$4:$P$204,0)),"")</f>
        <v>فل عدد1 الحبه .750</v>
      </c>
      <c r="D94" s="123">
        <f>IFERROR(INDEX('كشف الحساب'!$E$4:$E$204,MATCH(89,'كشف الحساب'!$P$4:$P$204,0)),"")</f>
        <v>0.75</v>
      </c>
      <c r="E94" s="124">
        <f>IFERROR(INDEX('كشف الحساب'!$D$4:$D$204,MATCH(89,'كشف الحساب'!$P$4:$P$204,0)),"")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الحساب'!$A$4:$A$204,MATCH(90,'كشف الحساب'!$P$4:$P$204,0)),"")</f>
        <v>46212</v>
      </c>
      <c r="B95" s="122" t="str">
        <f>IFERROR(INDEX('كشف الحساب'!$B$4:$B$204,MATCH(90,'كشف الحساب'!$P$4:$P$204,0)),"")</f>
        <v>Inv-90</v>
      </c>
      <c r="C95" s="121" t="str">
        <f>IFERROR(INDEX('كشف الحساب'!$C$4:$C$204,MATCH(90,'كشف الحساب'!$P$4:$P$204,0)),"")</f>
        <v>دارسينا عدد 1 الحبه 1.500</v>
      </c>
      <c r="D95" s="123">
        <f>IFERROR(INDEX('كشف الحساب'!$E$4:$E$204,MATCH(90,'كشف الحساب'!$P$4:$P$204,0)),"")</f>
        <v>1.5</v>
      </c>
      <c r="E95" s="124">
        <f>IFERROR(INDEX('كشف الحساب'!$D$4:$D$204,MATCH(90,'كشف الحساب'!$P$4:$P$204,0)),"")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الحساب'!$A$4:$A$204,MATCH(91,'كشف الحساب'!$P$4:$P$204,0)),"")</f>
        <v>46212</v>
      </c>
      <c r="B96" s="122" t="str">
        <f>IFERROR(INDEX('كشف الحساب'!$B$4:$B$204,MATCH(91,'كشف الحساب'!$P$4:$P$204,0)),"")</f>
        <v>Inv-91</v>
      </c>
      <c r="C96" s="121" t="str">
        <f>IFERROR(INDEX('كشف الحساب'!$C$4:$C$204,MATCH(91,'كشف الحساب'!$P$4:$P$204,0)),"")</f>
        <v>افبوديا عدد الحبه 0.750</v>
      </c>
      <c r="D96" s="123">
        <f>IFERROR(INDEX('كشف الحساب'!$E$4:$E$204,MATCH(91,'كشف الحساب'!$P$4:$P$204,0)),"")</f>
        <v>0.75</v>
      </c>
      <c r="E96" s="124">
        <f>IFERROR(INDEX('كشف الحساب'!$D$4:$D$204,MATCH(91,'كشف الحساب'!$P$4:$P$204,0)),"")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الحساب'!$A$4:$A$204,MATCH(92,'كشف الحساب'!$P$4:$P$204,0)),"")</f>
        <v>46212</v>
      </c>
      <c r="B97" s="122" t="str">
        <f>IFERROR(INDEX('كشف الحساب'!$B$4:$B$204,MATCH(92,'كشف الحساب'!$P$4:$P$204,0)),"")</f>
        <v>Inv-92</v>
      </c>
      <c r="C97" s="121" t="str">
        <f>IFERROR(INDEX('كشف الحساب'!$C$4:$C$204,MATCH(92,'كشف الحساب'!$P$4:$P$204,0)),"")</f>
        <v>عطريات عدد 1 الفحبه 1</v>
      </c>
      <c r="D97" s="123">
        <f>IFERROR(INDEX('كشف الحساب'!$E$4:$E$204,MATCH(92,'كشف الحساب'!$P$4:$P$204,0)),"")</f>
        <v>1</v>
      </c>
      <c r="E97" s="124">
        <f>IFERROR(INDEX('كشف الحساب'!$D$4:$D$204,MATCH(92,'كشف الحساب'!$P$4:$P$204,0)),"")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الحساب'!$A$4:$A$204,MATCH(93,'كشف الحساب'!$P$4:$P$204,0)),"")</f>
        <v>46217</v>
      </c>
      <c r="B98" s="122" t="str">
        <f>IFERROR(INDEX('كشف الحساب'!$B$4:$B$204,MATCH(93,'كشف الحساب'!$P$4:$P$204,0)),"")</f>
        <v>Inv-93</v>
      </c>
      <c r="C98" s="121" t="str">
        <f>IFERROR(INDEX('كشف الحساب'!$C$4:$C$204,MATCH(93,'كشف الحساب'!$P$4:$P$204,0)),"")</f>
        <v>متنوع عدد 2 الحبه 2.500</v>
      </c>
      <c r="D98" s="123">
        <f>IFERROR(INDEX('كشف الحساب'!$E$4:$E$204,MATCH(93,'كشف الحساب'!$P$4:$P$204,0)),"")</f>
        <v>5</v>
      </c>
      <c r="E98" s="124">
        <f>IFERROR(INDEX('كشف الحساب'!$D$4:$D$204,MATCH(93,'كشف الحساب'!$P$4:$P$204,0)),"")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الحساب'!$A$4:$A$204,MATCH(94,'كشف الحساب'!$P$4:$P$204,0)),"")</f>
        <v>46217</v>
      </c>
      <c r="B99" s="122" t="str">
        <f>IFERROR(INDEX('كشف الحساب'!$B$4:$B$204,MATCH(94,'كشف الحساب'!$P$4:$P$204,0)),"")</f>
        <v>Inv-94</v>
      </c>
      <c r="C99" s="121" t="str">
        <f>IFERROR(INDEX('كشف الحساب'!$C$4:$C$204,MATCH(94,'كشف الحساب'!$P$4:$P$204,0)),"")</f>
        <v>متنوع عدد 12 الحبه 2</v>
      </c>
      <c r="D99" s="123">
        <f>IFERROR(INDEX('كشف الحساب'!$E$4:$E$204,MATCH(94,'كشف الحساب'!$P$4:$P$204,0)),"")</f>
        <v>24</v>
      </c>
      <c r="E99" s="124">
        <f>IFERROR(INDEX('كشف الحساب'!$D$4:$D$204,MATCH(94,'كشف الحساب'!$P$4:$P$204,0)),"")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الحساب'!$A$4:$A$204,MATCH(95,'كشف الحساب'!$P$4:$P$204,0)),"")</f>
        <v>46217</v>
      </c>
      <c r="B100" s="122">
        <f>IFERROR(INDEX('كشف الحساب'!$B$4:$B$204,MATCH(95,'كشف الحساب'!$P$4:$P$204,0)),"")</f>
        <v>0</v>
      </c>
      <c r="C100" s="121" t="str">
        <f>IFERROR(INDEX('كشف الحساب'!$C$4:$C$204,MATCH(95,'كشف الحساب'!$P$4:$P$204,0)),"")</f>
        <v>حبل تعليق</v>
      </c>
      <c r="D100" s="123">
        <f>IFERROR(INDEX('كشف الحساب'!$E$4:$E$204,MATCH(95,'كشف الحساب'!$P$4:$P$204,0)),"")</f>
        <v>0</v>
      </c>
      <c r="E100" s="124">
        <f>IFERROR(INDEX('كشف الحساب'!$D$4:$D$204,MATCH(95,'كشف الحساب'!$P$4:$P$204,0)),"")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الحساب'!$A$4:$A$204,MATCH(96,'كشف الحساب'!$P$4:$P$204,0)),"")</f>
        <v>46219</v>
      </c>
      <c r="B101" s="122" t="str">
        <f>IFERROR(INDEX('كشف الحساب'!$B$4:$B$204,MATCH(96,'كشف الحساب'!$P$4:$P$204,0)),"")</f>
        <v>Inv-95</v>
      </c>
      <c r="C101" s="121" t="str">
        <f>IFERROR(INDEX('كشف الحساب'!$C$4:$C$204,MATCH(96,'كشف الحساب'!$P$4:$P$204,0)),"")</f>
        <v>ربل عدد 1 الحبه 2</v>
      </c>
      <c r="D101" s="123">
        <f>IFERROR(INDEX('كشف الحساب'!$E$4:$E$204,MATCH(96,'كشف الحساب'!$P$4:$P$204,0)),"")</f>
        <v>2</v>
      </c>
      <c r="E101" s="124">
        <f>IFERROR(INDEX('كشف الحساب'!$D$4:$D$204,MATCH(96,'كشف الحساب'!$P$4:$P$204,0)),"")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الحساب'!$A$4:$A$204,MATCH(97,'كشف الحساب'!$P$4:$P$204,0)),"")</f>
        <v>46219</v>
      </c>
      <c r="B102" s="122" t="str">
        <f>IFERROR(INDEX('كشف الحساب'!$B$4:$B$204,MATCH(97,'كشف الحساب'!$P$4:$P$204,0)),"")</f>
        <v>Inv-96</v>
      </c>
      <c r="C102" s="121" t="str">
        <f>IFERROR(INDEX('كشف الحساب'!$C$4:$C$204,MATCH(97,'كشف الحساب'!$P$4:$P$204,0)),"")</f>
        <v xml:space="preserve">دارسينا عدد 1 الحبه 2 </v>
      </c>
      <c r="D102" s="123">
        <f>IFERROR(INDEX('كشف الحساب'!$E$4:$E$204,MATCH(97,'كشف الحساب'!$P$4:$P$204,0)),"")</f>
        <v>2</v>
      </c>
      <c r="E102" s="124">
        <f>IFERROR(INDEX('كشف الحساب'!$D$4:$D$204,MATCH(97,'كشف الحساب'!$P$4:$P$204,0)),"")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الحساب'!$A$4:$A$204,MATCH(98,'كشف الحساب'!$P$4:$P$204,0)),"")</f>
        <v>46221</v>
      </c>
      <c r="B103" s="122" t="str">
        <f>IFERROR(INDEX('كشف الحساب'!$B$4:$B$204,MATCH(98,'كشف الحساب'!$P$4:$P$204,0)),"")</f>
        <v>Inv-97</v>
      </c>
      <c r="C103" s="121" t="str">
        <f>IFERROR(INDEX('كشف الحساب'!$C$4:$C$204,MATCH(98,'كشف الحساب'!$P$4:$P$204,0)),"")</f>
        <v>افوبيا عدد 1 الحبه 1</v>
      </c>
      <c r="D103" s="123">
        <f>IFERROR(INDEX('كشف الحساب'!$E$4:$E$204,MATCH(98,'كشف الحساب'!$P$4:$P$204,0)),"")</f>
        <v>1</v>
      </c>
      <c r="E103" s="124">
        <f>IFERROR(INDEX('كشف الحساب'!$D$4:$D$204,MATCH(98,'كشف الحساب'!$P$4:$P$204,0)),"")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الحساب'!$A$4:$A$204,MATCH(99,'كشف الحساب'!$P$4:$P$204,0)),"")</f>
        <v>46221</v>
      </c>
      <c r="B104" s="122" t="str">
        <f>IFERROR(INDEX('كشف الحساب'!$B$4:$B$204,MATCH(99,'كشف الحساب'!$P$4:$P$204,0)),"")</f>
        <v>Inv-98</v>
      </c>
      <c r="C104" s="121" t="str">
        <f>IFERROR(INDEX('كشف الحساب'!$C$4:$C$204,MATCH(99,'كشف الحساب'!$P$4:$P$204,0)),"")</f>
        <v>دارسينا عدد 1 الحبه 2</v>
      </c>
      <c r="D104" s="123">
        <f>IFERROR(INDEX('كشف الحساب'!$E$4:$E$204,MATCH(99,'كشف الحساب'!$P$4:$P$204,0)),"")</f>
        <v>2</v>
      </c>
      <c r="E104" s="124">
        <f>IFERROR(INDEX('كشف الحساب'!$D$4:$D$204,MATCH(99,'كشف الحساب'!$P$4:$P$204,0)),"")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الحساب'!$A$4:$A$204,MATCH(100,'كشف الحساب'!$P$4:$P$204,0)),"")</f>
        <v>46224</v>
      </c>
      <c r="B105" s="122" t="str">
        <f>IFERROR(INDEX('كشف الحساب'!$B$4:$B$204,MATCH(100,'كشف الحساب'!$P$4:$P$204,0)),"")</f>
        <v>Inv-99</v>
      </c>
      <c r="C105" s="121" t="str">
        <f>IFERROR(INDEX('كشف الحساب'!$C$4:$C$204,MATCH(100,'كشف الحساب'!$P$4:$P$204,0)),"")</f>
        <v>افوبيا عدد 9 الحبه 1</v>
      </c>
      <c r="D105" s="123">
        <f>IFERROR(INDEX('كشف الحساب'!$E$4:$E$204,MATCH(100,'كشف الحساب'!$P$4:$P$204,0)),"")</f>
        <v>9</v>
      </c>
      <c r="E105" s="124">
        <f>IFERROR(INDEX('كشف الحساب'!$D$4:$D$204,MATCH(100,'كشف الحساب'!$P$4:$P$204,0)),"")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الحساب'!$A$4:$A$204,MATCH(101,'كشف الحساب'!$P$4:$P$204,0)),"")</f>
        <v>46224</v>
      </c>
      <c r="B106" s="122" t="str">
        <f>IFERROR(INDEX('كشف الحساب'!$B$4:$B$204,MATCH(101,'كشف الحساب'!$P$4:$P$204,0)),"")</f>
        <v>Inv-100</v>
      </c>
      <c r="C106" s="121" t="str">
        <f>IFERROR(INDEX('كشف الحساب'!$C$4:$C$204,MATCH(101,'كشف الحساب'!$P$4:$P$204,0)),"")</f>
        <v>ربل عدد 11 الحبه 2</v>
      </c>
      <c r="D106" s="123">
        <f>IFERROR(INDEX('كشف الحساب'!$E$4:$E$204,MATCH(101,'كشف الحساب'!$P$4:$P$204,0)),"")</f>
        <v>22</v>
      </c>
      <c r="E106" s="124">
        <f>IFERROR(INDEX('كشف الحساب'!$D$4:$D$204,MATCH(101,'كشف الحساب'!$P$4:$P$204,0)),"")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الحساب'!$A$4:$A$204,MATCH(102,'كشف الحساب'!$P$4:$P$204,0)),"")</f>
        <v>46225</v>
      </c>
      <c r="B107" s="122" t="str">
        <f>IFERROR(INDEX('كشف الحساب'!$B$4:$B$204,MATCH(102,'كشف الحساب'!$P$4:$P$204,0)),"")</f>
        <v>Inv-101</v>
      </c>
      <c r="C107" s="121" t="str">
        <f>IFERROR(INDEX('كشف الحساب'!$C$4:$C$204,MATCH(102,'كشف الحساب'!$P$4:$P$204,0)),"")</f>
        <v>افوبيا عدد2 الحبه 1</v>
      </c>
      <c r="D107" s="123">
        <f>IFERROR(INDEX('كشف الحساب'!$E$4:$E$204,MATCH(102,'كشف الحساب'!$P$4:$P$204,0)),"")</f>
        <v>2</v>
      </c>
      <c r="E107" s="124">
        <f>IFERROR(INDEX('كشف الحساب'!$D$4:$D$204,MATCH(102,'كشف الحساب'!$P$4:$P$204,0)),"")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الحساب'!$A$4:$A$204,MATCH(103,'كشف الحساب'!$P$4:$P$204,0)),"")</f>
        <v>46227</v>
      </c>
      <c r="B108" s="122" t="str">
        <f>IFERROR(INDEX('كشف الحساب'!$B$4:$B$204,MATCH(103,'كشف الحساب'!$P$4:$P$204,0)),"")</f>
        <v>Inv-102</v>
      </c>
      <c r="C108" s="121" t="str">
        <f>IFERROR(INDEX('كشف الحساب'!$C$4:$C$204,MATCH(103,'كشف الحساب'!$P$4:$P$204,0)),"")</f>
        <v>متنوع عدد2 الحبه 1</v>
      </c>
      <c r="D108" s="123">
        <f>IFERROR(INDEX('كشف الحساب'!$E$4:$E$204,MATCH(103,'كشف الحساب'!$P$4:$P$204,0)),"")</f>
        <v>2</v>
      </c>
      <c r="E108" s="124">
        <f>IFERROR(INDEX('كشف الحساب'!$D$4:$D$204,MATCH(103,'كشف الحساب'!$P$4:$P$204,0)),"")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الحساب'!$A$4:$A$204,MATCH(104,'كشف الحساب'!$P$4:$P$204,0)),"")</f>
        <v>46229</v>
      </c>
      <c r="B109" s="122">
        <f>IFERROR(INDEX('كشف الحساب'!$B$4:$B$204,MATCH(104,'كشف الحساب'!$P$4:$P$204,0)),"")</f>
        <v>0</v>
      </c>
      <c r="C109" s="121" t="str">
        <f>IFERROR(INDEX('كشف الحساب'!$C$4:$C$204,MATCH(104,'كشف الحساب'!$P$4:$P$204,0)),"")</f>
        <v>كوكوبيد</v>
      </c>
      <c r="D109" s="123">
        <f>IFERROR(INDEX('كشف الحساب'!$E$4:$E$204,MATCH(104,'كشف الحساب'!$P$4:$P$204,0)),"")</f>
        <v>0</v>
      </c>
      <c r="E109" s="124">
        <f>IFERROR(INDEX('كشف الحساب'!$D$4:$D$204,MATCH(104,'كشف الحساب'!$P$4:$P$204,0)),"")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الحساب'!$A$4:$A$204,MATCH(105,'كشف الحساب'!$P$4:$P$204,0)),"")</f>
        <v>46229</v>
      </c>
      <c r="B110" s="122">
        <f>IFERROR(INDEX('كشف الحساب'!$B$4:$B$204,MATCH(105,'كشف الحساب'!$P$4:$P$204,0)),"")</f>
        <v>0</v>
      </c>
      <c r="C110" s="121" t="str">
        <f>IFERROR(INDEX('كشف الحساب'!$C$4:$C$204,MATCH(105,'كشف الحساب'!$P$4:$P$204,0)),"")</f>
        <v>احواض عدد 1000 مقاس 14 سم</v>
      </c>
      <c r="D110" s="123">
        <f>IFERROR(INDEX('كشف الحساب'!$E$4:$E$204,MATCH(105,'كشف الحساب'!$P$4:$P$204,0)),"")</f>
        <v>0</v>
      </c>
      <c r="E110" s="124">
        <f>IFERROR(INDEX('كشف الحساب'!$D$4:$D$204,MATCH(105,'كشف الحساب'!$P$4:$P$204,0)),"")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الحساب'!$A$4:$A$204,MATCH(106,'كشف الحساب'!$P$4:$P$204,0)),"")</f>
        <v>46594</v>
      </c>
      <c r="B111" s="122" t="str">
        <f>IFERROR(INDEX('كشف الحساب'!$B$4:$B$204,MATCH(106,'كشف الحساب'!$P$4:$P$204,0)),"")</f>
        <v>Inv-103</v>
      </c>
      <c r="C111" s="121" t="str">
        <f>IFERROR(INDEX('كشف الحساب'!$C$4:$C$204,MATCH(106,'كشف الحساب'!$P$4:$P$204,0)),"")</f>
        <v>متفرقات</v>
      </c>
      <c r="D111" s="123">
        <f>IFERROR(INDEX('كشف الحساب'!$E$4:$E$204,MATCH(106,'كشف الحساب'!$P$4:$P$204,0)),"")</f>
        <v>7.5</v>
      </c>
      <c r="E111" s="124">
        <f>IFERROR(INDEX('كشف الحساب'!$D$4:$D$204,MATCH(106,'كشف الحساب'!$P$4:$P$204,0)),"")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الحساب'!$A$4:$A$204,MATCH(107,'كشف الحساب'!$P$4:$P$204,0)),"")</f>
        <v>46229</v>
      </c>
      <c r="B112" s="122">
        <f>IFERROR(INDEX('كشف الحساب'!$B$4:$B$204,MATCH(107,'كشف الحساب'!$P$4:$P$204,0)),"")</f>
        <v>0</v>
      </c>
      <c r="C112" s="121" t="str">
        <f>IFERROR(INDEX('كشف الحساب'!$C$4:$C$204,MATCH(107,'كشف الحساب'!$P$4:$P$204,0)),"")</f>
        <v>تسوية رصيد فعلي - المتوفر 107.305 (صافي الشهر 99.075 + فائض عام 16.750)</v>
      </c>
      <c r="D112" s="123">
        <f>IFERROR(INDEX('كشف الحساب'!$E$4:$E$204,MATCH(107,'كشف الحساب'!$P$4:$P$204,0)),"")</f>
        <v>0</v>
      </c>
      <c r="E112" s="124">
        <f>IFERROR(INDEX('كشف الحساب'!$D$4:$D$204,MATCH(107,'كشف الحساب'!$P$4:$P$204,0)),"")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الحساب'!$A$4:$A$204,MATCH(108,'كشف الحساب'!$P$4:$P$204,0)),"")</f>
        <v>46231</v>
      </c>
      <c r="B113" s="122" t="str">
        <f>IFERROR(INDEX('كشف الحساب'!$B$4:$B$204,MATCH(108,'كشف الحساب'!$P$4:$P$204,0)),"")</f>
        <v>Inv-104</v>
      </c>
      <c r="C113" s="121" t="str">
        <f>IFERROR(INDEX('كشف الحساب'!$C$4:$C$204,MATCH(108,'كشف الحساب'!$P$4:$P$204,0)),"")</f>
        <v>متنوع عدد 1 الحبه 2.500</v>
      </c>
      <c r="D113" s="123">
        <f>IFERROR(INDEX('كشف الحساب'!$E$4:$E$204,MATCH(108,'كشف الحساب'!$P$4:$P$204,0)),"")</f>
        <v>2.5</v>
      </c>
      <c r="E113" s="124">
        <f>IFERROR(INDEX('كشف الحساب'!$D$4:$D$204,MATCH(108,'كشف الحساب'!$P$4:$P$204,0)),"")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الحساب'!$A$4:$A$204,MATCH(109,'كشف الحساب'!$P$4:$P$204,0)),"")</f>
        <v>46231</v>
      </c>
      <c r="B114" s="122" t="str">
        <f>IFERROR(INDEX('كشف الحساب'!$B$4:$B$204,MATCH(109,'كشف الحساب'!$P$4:$P$204,0)),"")</f>
        <v>Inv-105</v>
      </c>
      <c r="C114" s="121" t="str">
        <f>IFERROR(INDEX('كشف الحساب'!$C$4:$C$204,MATCH(109,'كشف الحساب'!$P$4:$P$204,0)),"")</f>
        <v>دارسينا عدد 1 الحبه 3</v>
      </c>
      <c r="D114" s="123">
        <f>IFERROR(INDEX('كشف الحساب'!$E$4:$E$204,MATCH(109,'كشف الحساب'!$P$4:$P$204,0)),"")</f>
        <v>3</v>
      </c>
      <c r="E114" s="124">
        <f>IFERROR(INDEX('كشف الحساب'!$D$4:$D$204,MATCH(109,'كشف الحساب'!$P$4:$P$204,0)),"")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الحساب'!$A$4:$A$204,MATCH(110,'كشف الحساب'!$P$4:$P$204,0)),"")</f>
        <v>46232</v>
      </c>
      <c r="B115" s="122">
        <f>IFERROR(INDEX('كشف الحساب'!$B$4:$B$204,MATCH(110,'كشف الحساب'!$P$4:$P$204,0)),"")</f>
        <v>0</v>
      </c>
      <c r="C115" s="121" t="str">
        <f>IFERROR(INDEX('كشف الحساب'!$C$4:$C$204,MATCH(110,'كشف الحساب'!$P$4:$P$204,0)),"")</f>
        <v>عدد 3 عماله + 10 ايام العامل البديل 40 دينار</v>
      </c>
      <c r="D115" s="123">
        <f>IFERROR(INDEX('كشف الحساب'!$E$4:$E$204,MATCH(110,'كشف الحساب'!$P$4:$P$204,0)),"")</f>
        <v>0</v>
      </c>
      <c r="E115" s="124">
        <f>IFERROR(INDEX('كشف الحساب'!$D$4:$D$204,MATCH(110,'كشف الحساب'!$P$4:$P$204,0)),"")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الحساب'!$A$4:$A$204,MATCH(111,'كشف الحساب'!$P$4:$P$204,0)),"")</f>
        <v>46234</v>
      </c>
      <c r="B116" s="122">
        <f>IFERROR(INDEX('كشف الحساب'!$B$4:$B$204,MATCH(111,'كشف الحساب'!$P$4:$P$204,0)),"")</f>
        <v>0</v>
      </c>
      <c r="C116" s="121" t="str">
        <f>IFERROR(INDEX('كشف الحساب'!$C$4:$C$204,MATCH(111,'كشف الحساب'!$P$4:$P$204,0)),"")</f>
        <v>تعديل رصيد</v>
      </c>
      <c r="D116" s="123">
        <f>IFERROR(INDEX('كشف الحساب'!$E$4:$E$204,MATCH(111,'كشف الحساب'!$P$4:$P$204,0)),"")</f>
        <v>8.59</v>
      </c>
      <c r="E116" s="124">
        <f>IFERROR(INDEX('كشف الحساب'!$D$4:$D$204,MATCH(111,'كشف الحساب'!$P$4:$P$204,0)),"")</f>
        <v>0</v>
      </c>
      <c r="F116" s="125">
        <f t="shared" si="3"/>
        <v>22.395000000000007</v>
      </c>
    </row>
    <row r="117" spans="1:6" ht="18" customHeight="1" x14ac:dyDescent="0.25">
      <c r="A117" s="142" t="str">
        <f>IFERROR(INDEX('كشف الحساب'!$A$4:$A$204,MATCH(112,'كشف الحساب'!$P$4:$P$204,0)),"")</f>
        <v/>
      </c>
      <c r="B117" s="122" t="str">
        <f>IFERROR(INDEX('كشف الحساب'!$B$4:$B$204,MATCH(112,'كشف الحساب'!$P$4:$P$204,0)),"")</f>
        <v/>
      </c>
      <c r="C117" s="121" t="str">
        <f>IFERROR(INDEX('كشف الحساب'!$C$4:$C$204,MATCH(112,'كشف الحساب'!$P$4:$P$204,0)),"")</f>
        <v/>
      </c>
      <c r="D117" s="123" t="str">
        <f>IFERROR(INDEX('كشف الحساب'!$E$4:$E$204,MATCH(112,'كشف الحساب'!$P$4:$P$204,0)),"")</f>
        <v/>
      </c>
      <c r="E117" s="124" t="str">
        <f>IFERROR(INDEX('كشف الحساب'!$D$4:$D$204,MATCH(112,'كشف الحساب'!$P$4:$P$204,0)),"")</f>
        <v/>
      </c>
      <c r="F117" s="125" t="str">
        <f t="shared" si="3"/>
        <v/>
      </c>
    </row>
    <row r="118" spans="1:6" ht="18" customHeight="1" x14ac:dyDescent="0.25">
      <c r="A118" s="142" t="str">
        <f>IFERROR(INDEX('كشف الحساب'!$A$4:$A$204,MATCH(113,'كشف الحساب'!$P$4:$P$204,0)),"")</f>
        <v/>
      </c>
      <c r="B118" s="122" t="str">
        <f>IFERROR(INDEX('كشف الحساب'!$B$4:$B$204,MATCH(113,'كشف الحساب'!$P$4:$P$204,0)),"")</f>
        <v/>
      </c>
      <c r="C118" s="121" t="str">
        <f>IFERROR(INDEX('كشف الحساب'!$C$4:$C$204,MATCH(113,'كشف الحساب'!$P$4:$P$204,0)),"")</f>
        <v/>
      </c>
      <c r="D118" s="123" t="str">
        <f>IFERROR(INDEX('كشف الحساب'!$E$4:$E$204,MATCH(113,'كشف الحساب'!$P$4:$P$204,0)),"")</f>
        <v/>
      </c>
      <c r="E118" s="124" t="str">
        <f>IFERROR(INDEX('كشف الحساب'!$D$4:$D$204,MATCH(113,'كشف الحساب'!$P$4:$P$204,0)),"")</f>
        <v/>
      </c>
      <c r="F118" s="125" t="str">
        <f t="shared" si="3"/>
        <v/>
      </c>
    </row>
    <row r="119" spans="1:6" ht="18" customHeight="1" x14ac:dyDescent="0.25">
      <c r="A119" s="142" t="str">
        <f>IFERROR(INDEX('كشف الحساب'!$A$4:$A$204,MATCH(114,'كشف الحساب'!$P$4:$P$204,0)),"")</f>
        <v/>
      </c>
      <c r="B119" s="122" t="str">
        <f>IFERROR(INDEX('كشف الحساب'!$B$4:$B$204,MATCH(114,'كشف الحساب'!$P$4:$P$204,0)),"")</f>
        <v/>
      </c>
      <c r="C119" s="121" t="str">
        <f>IFERROR(INDEX('كشف الحساب'!$C$4:$C$204,MATCH(114,'كشف الحساب'!$P$4:$P$204,0)),"")</f>
        <v/>
      </c>
      <c r="D119" s="123" t="str">
        <f>IFERROR(INDEX('كشف الحساب'!$E$4:$E$204,MATCH(114,'كشف الحساب'!$P$4:$P$204,0)),"")</f>
        <v/>
      </c>
      <c r="E119" s="124" t="str">
        <f>IFERROR(INDEX('كشف الحساب'!$D$4:$D$204,MATCH(114,'كشف الحساب'!$P$4:$P$204,0)),"")</f>
        <v/>
      </c>
      <c r="F119" s="125" t="str">
        <f t="shared" si="3"/>
        <v/>
      </c>
    </row>
    <row r="120" spans="1:6" ht="18" customHeight="1" x14ac:dyDescent="0.25">
      <c r="A120" s="142" t="str">
        <f>IFERROR(INDEX('كشف الحساب'!$A$4:$A$204,MATCH(115,'كشف الحساب'!$P$4:$P$204,0)),"")</f>
        <v/>
      </c>
      <c r="B120" s="122" t="str">
        <f>IFERROR(INDEX('كشف الحساب'!$B$4:$B$204,MATCH(115,'كشف الحساب'!$P$4:$P$204,0)),"")</f>
        <v/>
      </c>
      <c r="C120" s="121" t="str">
        <f>IFERROR(INDEX('كشف الحساب'!$C$4:$C$204,MATCH(115,'كشف الحساب'!$P$4:$P$204,0)),"")</f>
        <v/>
      </c>
      <c r="D120" s="123" t="str">
        <f>IFERROR(INDEX('كشف الحساب'!$E$4:$E$204,MATCH(115,'كشف الحساب'!$P$4:$P$204,0)),"")</f>
        <v/>
      </c>
      <c r="E120" s="124" t="str">
        <f>IFERROR(INDEX('كشف الحساب'!$D$4:$D$204,MATCH(115,'كشف الحساب'!$P$4:$P$204,0)),"")</f>
        <v/>
      </c>
      <c r="F120" s="125" t="str">
        <f t="shared" si="3"/>
        <v/>
      </c>
    </row>
    <row r="121" spans="1:6" ht="18" customHeight="1" x14ac:dyDescent="0.25">
      <c r="A121" s="142" t="str">
        <f>IFERROR(INDEX('كشف الحساب'!$A$4:$A$204,MATCH(116,'كشف الحساب'!$P$4:$P$204,0)),"")</f>
        <v/>
      </c>
      <c r="B121" s="122" t="str">
        <f>IFERROR(INDEX('كشف الحساب'!$B$4:$B$204,MATCH(116,'كشف الحساب'!$P$4:$P$204,0)),"")</f>
        <v/>
      </c>
      <c r="C121" s="121" t="str">
        <f>IFERROR(INDEX('كشف الحساب'!$C$4:$C$204,MATCH(116,'كشف الحساب'!$P$4:$P$204,0)),"")</f>
        <v/>
      </c>
      <c r="D121" s="123" t="str">
        <f>IFERROR(INDEX('كشف الحساب'!$E$4:$E$204,MATCH(116,'كشف الحساب'!$P$4:$P$204,0)),"")</f>
        <v/>
      </c>
      <c r="E121" s="124" t="str">
        <f>IFERROR(INDEX('كشف الحساب'!$D$4:$D$204,MATCH(116,'كشف الحساب'!$P$4:$P$204,0)),"")</f>
        <v/>
      </c>
      <c r="F121" s="125" t="str">
        <f t="shared" si="3"/>
        <v/>
      </c>
    </row>
    <row r="122" spans="1:6" ht="18" customHeight="1" x14ac:dyDescent="0.25">
      <c r="A122" s="142" t="str">
        <f>IFERROR(INDEX('كشف الحساب'!$A$4:$A$204,MATCH(117,'كشف الحساب'!$P$4:$P$204,0)),"")</f>
        <v/>
      </c>
      <c r="B122" s="122" t="str">
        <f>IFERROR(INDEX('كشف الحساب'!$B$4:$B$204,MATCH(117,'كشف الحساب'!$P$4:$P$204,0)),"")</f>
        <v/>
      </c>
      <c r="C122" s="121" t="str">
        <f>IFERROR(INDEX('كشف الحساب'!$C$4:$C$204,MATCH(117,'كشف الحساب'!$P$4:$P$204,0)),"")</f>
        <v/>
      </c>
      <c r="D122" s="123" t="str">
        <f>IFERROR(INDEX('كشف الحساب'!$E$4:$E$204,MATCH(117,'كشف الحساب'!$P$4:$P$204,0)),"")</f>
        <v/>
      </c>
      <c r="E122" s="124" t="str">
        <f>IFERROR(INDEX('كشف الحساب'!$D$4:$D$204,MATCH(117,'كشف الحساب'!$P$4:$P$204,0)),"")</f>
        <v/>
      </c>
      <c r="F122" s="125" t="str">
        <f t="shared" si="3"/>
        <v/>
      </c>
    </row>
    <row r="123" spans="1:6" ht="18" customHeight="1" x14ac:dyDescent="0.25">
      <c r="A123" s="142" t="str">
        <f>IFERROR(INDEX('كشف الحساب'!$A$4:$A$204,MATCH(118,'كشف الحساب'!$P$4:$P$204,0)),"")</f>
        <v/>
      </c>
      <c r="B123" s="122" t="str">
        <f>IFERROR(INDEX('كشف الحساب'!$B$4:$B$204,MATCH(118,'كشف الحساب'!$P$4:$P$204,0)),"")</f>
        <v/>
      </c>
      <c r="C123" s="121" t="str">
        <f>IFERROR(INDEX('كشف الحساب'!$C$4:$C$204,MATCH(118,'كشف الحساب'!$P$4:$P$204,0)),"")</f>
        <v/>
      </c>
      <c r="D123" s="123" t="str">
        <f>IFERROR(INDEX('كشف الحساب'!$E$4:$E$204,MATCH(118,'كشف الحساب'!$P$4:$P$204,0)),"")</f>
        <v/>
      </c>
      <c r="E123" s="124" t="str">
        <f>IFERROR(INDEX('كشف الحساب'!$D$4:$D$204,MATCH(118,'كشف الحساب'!$P$4:$P$204,0)),"")</f>
        <v/>
      </c>
      <c r="F123" s="125" t="str">
        <f t="shared" si="3"/>
        <v/>
      </c>
    </row>
    <row r="124" spans="1:6" ht="18" customHeight="1" x14ac:dyDescent="0.25">
      <c r="A124" s="142" t="str">
        <f>IFERROR(INDEX('كشف الحساب'!$A$4:$A$204,MATCH(119,'كشف الحساب'!$P$4:$P$204,0)),"")</f>
        <v/>
      </c>
      <c r="B124" s="122" t="str">
        <f>IFERROR(INDEX('كشف الحساب'!$B$4:$B$204,MATCH(119,'كشف الحساب'!$P$4:$P$204,0)),"")</f>
        <v/>
      </c>
      <c r="C124" s="121" t="str">
        <f>IFERROR(INDEX('كشف الحساب'!$C$4:$C$204,MATCH(119,'كشف الحساب'!$P$4:$P$204,0)),"")</f>
        <v/>
      </c>
      <c r="D124" s="123" t="str">
        <f>IFERROR(INDEX('كشف الحساب'!$E$4:$E$204,MATCH(119,'كشف الحساب'!$P$4:$P$204,0)),"")</f>
        <v/>
      </c>
      <c r="E124" s="124" t="str">
        <f>IFERROR(INDEX('كشف الحساب'!$D$4:$D$204,MATCH(119,'كشف الحساب'!$P$4:$P$204,0)),"")</f>
        <v/>
      </c>
      <c r="F124" s="125" t="str">
        <f t="shared" si="3"/>
        <v/>
      </c>
    </row>
    <row r="125" spans="1:6" ht="18" customHeight="1" x14ac:dyDescent="0.25">
      <c r="A125" s="142" t="str">
        <f>IFERROR(INDEX('كشف الحساب'!$A$4:$A$204,MATCH(120,'كشف الحساب'!$P$4:$P$204,0)),"")</f>
        <v/>
      </c>
      <c r="B125" s="122" t="str">
        <f>IFERROR(INDEX('كشف الحساب'!$B$4:$B$204,MATCH(120,'كشف الحساب'!$P$4:$P$204,0)),"")</f>
        <v/>
      </c>
      <c r="C125" s="121" t="str">
        <f>IFERROR(INDEX('كشف الحساب'!$C$4:$C$204,MATCH(120,'كشف الحساب'!$P$4:$P$204,0)),"")</f>
        <v/>
      </c>
      <c r="D125" s="123" t="str">
        <f>IFERROR(INDEX('كشف الحساب'!$E$4:$E$204,MATCH(120,'كشف الحساب'!$P$4:$P$204,0)),"")</f>
        <v/>
      </c>
      <c r="E125" s="124" t="str">
        <f>IFERROR(INDEX('كشف الحساب'!$D$4:$D$204,MATCH(120,'كشف الحساب'!$P$4:$P$204,0)),"")</f>
        <v/>
      </c>
      <c r="F125" s="125" t="str">
        <f t="shared" si="3"/>
        <v/>
      </c>
    </row>
    <row r="126" spans="1:6" ht="18" customHeight="1" x14ac:dyDescent="0.25">
      <c r="A126" s="142" t="str">
        <f>IFERROR(INDEX('كشف الحساب'!$A$4:$A$204,MATCH(121,'كشف الحساب'!$P$4:$P$204,0)),"")</f>
        <v/>
      </c>
      <c r="B126" s="122" t="str">
        <f>IFERROR(INDEX('كشف الحساب'!$B$4:$B$204,MATCH(121,'كشف الحساب'!$P$4:$P$204,0)),"")</f>
        <v/>
      </c>
      <c r="C126" s="121" t="str">
        <f>IFERROR(INDEX('كشف الحساب'!$C$4:$C$204,MATCH(121,'كشف الحساب'!$P$4:$P$204,0)),"")</f>
        <v/>
      </c>
      <c r="D126" s="123" t="str">
        <f>IFERROR(INDEX('كشف الحساب'!$E$4:$E$204,MATCH(121,'كشف الحساب'!$P$4:$P$204,0)),"")</f>
        <v/>
      </c>
      <c r="E126" s="124" t="str">
        <f>IFERROR(INDEX('كشف الحساب'!$D$4:$D$204,MATCH(121,'كشف الحساب'!$P$4:$P$204,0)),"")</f>
        <v/>
      </c>
      <c r="F126" s="125" t="str">
        <f t="shared" si="3"/>
        <v/>
      </c>
    </row>
    <row r="127" spans="1:6" ht="18" customHeight="1" x14ac:dyDescent="0.25">
      <c r="A127" s="142" t="str">
        <f>IFERROR(INDEX('كشف الحساب'!$A$4:$A$204,MATCH(122,'كشف الحساب'!$P$4:$P$204,0)),"")</f>
        <v/>
      </c>
      <c r="B127" s="122" t="str">
        <f>IFERROR(INDEX('كشف الحساب'!$B$4:$B$204,MATCH(122,'كشف الحساب'!$P$4:$P$204,0)),"")</f>
        <v/>
      </c>
      <c r="C127" s="121" t="str">
        <f>IFERROR(INDEX('كشف الحساب'!$C$4:$C$204,MATCH(122,'كشف الحساب'!$P$4:$P$204,0)),"")</f>
        <v/>
      </c>
      <c r="D127" s="123" t="str">
        <f>IFERROR(INDEX('كشف الحساب'!$E$4:$E$204,MATCH(122,'كشف الحساب'!$P$4:$P$204,0)),"")</f>
        <v/>
      </c>
      <c r="E127" s="124" t="str">
        <f>IFERROR(INDEX('كشف الحساب'!$D$4:$D$204,MATCH(122,'كشف الحساب'!$P$4:$P$204,0)),"")</f>
        <v/>
      </c>
      <c r="F127" s="125" t="str">
        <f t="shared" si="3"/>
        <v/>
      </c>
    </row>
    <row r="128" spans="1:6" ht="18" customHeight="1" x14ac:dyDescent="0.25">
      <c r="A128" s="142" t="str">
        <f>IFERROR(INDEX('كشف الحساب'!$A$4:$A$204,MATCH(123,'كشف الحساب'!$P$4:$P$204,0)),"")</f>
        <v/>
      </c>
      <c r="B128" s="122" t="str">
        <f>IFERROR(INDEX('كشف الحساب'!$B$4:$B$204,MATCH(123,'كشف الحساب'!$P$4:$P$204,0)),"")</f>
        <v/>
      </c>
      <c r="C128" s="121" t="str">
        <f>IFERROR(INDEX('كشف الحساب'!$C$4:$C$204,MATCH(123,'كشف الحساب'!$P$4:$P$204,0)),"")</f>
        <v/>
      </c>
      <c r="D128" s="123" t="str">
        <f>IFERROR(INDEX('كشف الحساب'!$E$4:$E$204,MATCH(123,'كشف الحساب'!$P$4:$P$204,0)),"")</f>
        <v/>
      </c>
      <c r="E128" s="124" t="str">
        <f>IFERROR(INDEX('كشف الحساب'!$D$4:$D$204,MATCH(123,'كشف الحساب'!$P$4:$P$204,0)),"")</f>
        <v/>
      </c>
      <c r="F128" s="125" t="str">
        <f t="shared" si="3"/>
        <v/>
      </c>
    </row>
    <row r="129" spans="1:6" ht="18" customHeight="1" x14ac:dyDescent="0.25">
      <c r="A129" s="142" t="str">
        <f>IFERROR(INDEX('كشف الحساب'!$A$4:$A$204,MATCH(124,'كشف الحساب'!$P$4:$P$204,0)),"")</f>
        <v/>
      </c>
      <c r="B129" s="122" t="str">
        <f>IFERROR(INDEX('كشف الحساب'!$B$4:$B$204,MATCH(124,'كشف الحساب'!$P$4:$P$204,0)),"")</f>
        <v/>
      </c>
      <c r="C129" s="121" t="str">
        <f>IFERROR(INDEX('كشف الحساب'!$C$4:$C$204,MATCH(124,'كشف الحساب'!$P$4:$P$204,0)),"")</f>
        <v/>
      </c>
      <c r="D129" s="123" t="str">
        <f>IFERROR(INDEX('كشف الحساب'!$E$4:$E$204,MATCH(124,'كشف الحساب'!$P$4:$P$204,0)),"")</f>
        <v/>
      </c>
      <c r="E129" s="124" t="str">
        <f>IFERROR(INDEX('كشف الحساب'!$D$4:$D$204,MATCH(124,'كشف الحساب'!$P$4:$P$204,0)),"")</f>
        <v/>
      </c>
      <c r="F129" s="125" t="str">
        <f t="shared" si="3"/>
        <v/>
      </c>
    </row>
    <row r="130" spans="1:6" ht="18" customHeight="1" x14ac:dyDescent="0.25">
      <c r="A130" s="142" t="str">
        <f>IFERROR(INDEX('كشف الحساب'!$A$4:$A$204,MATCH(125,'كشف الحساب'!$P$4:$P$204,0)),"")</f>
        <v/>
      </c>
      <c r="B130" s="122" t="str">
        <f>IFERROR(INDEX('كشف الحساب'!$B$4:$B$204,MATCH(125,'كشف الحساب'!$P$4:$P$204,0)),"")</f>
        <v/>
      </c>
      <c r="C130" s="121" t="str">
        <f>IFERROR(INDEX('كشف الحساب'!$C$4:$C$204,MATCH(125,'كشف الحساب'!$P$4:$P$204,0)),"")</f>
        <v/>
      </c>
      <c r="D130" s="123" t="str">
        <f>IFERROR(INDEX('كشف الحساب'!$E$4:$E$204,MATCH(125,'كشف الحساب'!$P$4:$P$204,0)),"")</f>
        <v/>
      </c>
      <c r="E130" s="124" t="str">
        <f>IFERROR(INDEX('كشف الحساب'!$D$4:$D$204,MATCH(125,'كشف الحساب'!$P$4:$P$204,0)),"")</f>
        <v/>
      </c>
      <c r="F130" s="125" t="str">
        <f t="shared" si="3"/>
        <v/>
      </c>
    </row>
    <row r="131" spans="1:6" ht="18" customHeight="1" x14ac:dyDescent="0.25">
      <c r="A131" s="142" t="str">
        <f>IFERROR(INDEX('كشف الحساب'!$A$4:$A$204,MATCH(126,'كشف الحساب'!$P$4:$P$204,0)),"")</f>
        <v/>
      </c>
      <c r="B131" s="122" t="str">
        <f>IFERROR(INDEX('كشف الحساب'!$B$4:$B$204,MATCH(126,'كشف الحساب'!$P$4:$P$204,0)),"")</f>
        <v/>
      </c>
      <c r="C131" s="121" t="str">
        <f>IFERROR(INDEX('كشف الحساب'!$C$4:$C$204,MATCH(126,'كشف الحساب'!$P$4:$P$204,0)),"")</f>
        <v/>
      </c>
      <c r="D131" s="123" t="str">
        <f>IFERROR(INDEX('كشف الحساب'!$E$4:$E$204,MATCH(126,'كشف الحساب'!$P$4:$P$204,0)),"")</f>
        <v/>
      </c>
      <c r="E131" s="124" t="str">
        <f>IFERROR(INDEX('كشف الحساب'!$D$4:$D$204,MATCH(126,'كشف الحساب'!$P$4:$P$204,0)),"")</f>
        <v/>
      </c>
      <c r="F131" s="125" t="str">
        <f t="shared" si="3"/>
        <v/>
      </c>
    </row>
    <row r="132" spans="1:6" ht="18" customHeight="1" x14ac:dyDescent="0.25">
      <c r="A132" s="142" t="str">
        <f>IFERROR(INDEX('كشف الحساب'!$A$4:$A$204,MATCH(127,'كشف الحساب'!$P$4:$P$204,0)),"")</f>
        <v/>
      </c>
      <c r="B132" s="122" t="str">
        <f>IFERROR(INDEX('كشف الحساب'!$B$4:$B$204,MATCH(127,'كشف الحساب'!$P$4:$P$204,0)),"")</f>
        <v/>
      </c>
      <c r="C132" s="121" t="str">
        <f>IFERROR(INDEX('كشف الحساب'!$C$4:$C$204,MATCH(127,'كشف الحساب'!$P$4:$P$204,0)),"")</f>
        <v/>
      </c>
      <c r="D132" s="123" t="str">
        <f>IFERROR(INDEX('كشف الحساب'!$E$4:$E$204,MATCH(127,'كشف الحساب'!$P$4:$P$204,0)),"")</f>
        <v/>
      </c>
      <c r="E132" s="124" t="str">
        <f>IFERROR(INDEX('كشف الحساب'!$D$4:$D$204,MATCH(127,'كشف الحساب'!$P$4:$P$204,0)),"")</f>
        <v/>
      </c>
      <c r="F132" s="125" t="str">
        <f t="shared" si="3"/>
        <v/>
      </c>
    </row>
    <row r="133" spans="1:6" ht="18" customHeight="1" x14ac:dyDescent="0.25">
      <c r="A133" s="142" t="str">
        <f>IFERROR(INDEX('كشف الحساب'!$A$4:$A$204,MATCH(128,'كشف الحساب'!$P$4:$P$204,0)),"")</f>
        <v/>
      </c>
      <c r="B133" s="122" t="str">
        <f>IFERROR(INDEX('كشف الحساب'!$B$4:$B$204,MATCH(128,'كشف الحساب'!$P$4:$P$204,0)),"")</f>
        <v/>
      </c>
      <c r="C133" s="121" t="str">
        <f>IFERROR(INDEX('كشف الحساب'!$C$4:$C$204,MATCH(128,'كشف الحساب'!$P$4:$P$204,0)),"")</f>
        <v/>
      </c>
      <c r="D133" s="123" t="str">
        <f>IFERROR(INDEX('كشف الحساب'!$E$4:$E$204,MATCH(128,'كشف الحساب'!$P$4:$P$204,0)),"")</f>
        <v/>
      </c>
      <c r="E133" s="124" t="str">
        <f>IFERROR(INDEX('كشف الحساب'!$D$4:$D$204,MATCH(128,'كشف الحساب'!$P$4:$P$204,0)),"")</f>
        <v/>
      </c>
      <c r="F133" s="125" t="str">
        <f t="shared" si="3"/>
        <v/>
      </c>
    </row>
    <row r="134" spans="1:6" ht="18" customHeight="1" x14ac:dyDescent="0.25">
      <c r="A134" s="142" t="str">
        <f>IFERROR(INDEX('كشف الحساب'!$A$4:$A$204,MATCH(129,'كشف الحساب'!$P$4:$P$204,0)),"")</f>
        <v/>
      </c>
      <c r="B134" s="122" t="str">
        <f>IFERROR(INDEX('كشف الحساب'!$B$4:$B$204,MATCH(129,'كشف الحساب'!$P$4:$P$204,0)),"")</f>
        <v/>
      </c>
      <c r="C134" s="121" t="str">
        <f>IFERROR(INDEX('كشف الحساب'!$C$4:$C$204,MATCH(129,'كشف الحساب'!$P$4:$P$204,0)),"")</f>
        <v/>
      </c>
      <c r="D134" s="123" t="str">
        <f>IFERROR(INDEX('كشف الحساب'!$E$4:$E$204,MATCH(129,'كشف الحساب'!$P$4:$P$204,0)),"")</f>
        <v/>
      </c>
      <c r="E134" s="124" t="str">
        <f>IFERROR(INDEX('كشف الحساب'!$D$4:$D$204,MATCH(129,'كشف الحساب'!$P$4:$P$204,0)),"")</f>
        <v/>
      </c>
      <c r="F134" s="125" t="str">
        <f t="shared" si="3"/>
        <v/>
      </c>
    </row>
    <row r="135" spans="1:6" ht="18" customHeight="1" x14ac:dyDescent="0.25">
      <c r="A135" s="142" t="str">
        <f>IFERROR(INDEX('كشف الحساب'!$A$4:$A$204,MATCH(130,'كشف الحساب'!$P$4:$P$204,0)),"")</f>
        <v/>
      </c>
      <c r="B135" s="122" t="str">
        <f>IFERROR(INDEX('كشف الحساب'!$B$4:$B$204,MATCH(130,'كشف الحساب'!$P$4:$P$204,0)),"")</f>
        <v/>
      </c>
      <c r="C135" s="121" t="str">
        <f>IFERROR(INDEX('كشف الحساب'!$C$4:$C$204,MATCH(130,'كشف الحساب'!$P$4:$P$204,0)),"")</f>
        <v/>
      </c>
      <c r="D135" s="123" t="str">
        <f>IFERROR(INDEX('كشف الحساب'!$E$4:$E$204,MATCH(130,'كشف الحساب'!$P$4:$P$204,0)),"")</f>
        <v/>
      </c>
      <c r="E135" s="124" t="str">
        <f>IFERROR(INDEX('كشف الحساب'!$D$4:$D$204,MATCH(130,'كشف الحساب'!$P$4:$P$204,0)),"")</f>
        <v/>
      </c>
      <c r="F135" s="125" t="str">
        <f t="shared" ref="F135:F166" si="4">IF($A135="","",IF($F134="",0,$F134)+IF($D135="",0,$D135)-IF($E135="",0,$E135))</f>
        <v/>
      </c>
    </row>
    <row r="136" spans="1:6" ht="18" customHeight="1" x14ac:dyDescent="0.25">
      <c r="A136" s="142" t="str">
        <f>IFERROR(INDEX('كشف الحساب'!$A$4:$A$204,MATCH(131,'كشف الحساب'!$P$4:$P$204,0)),"")</f>
        <v/>
      </c>
      <c r="B136" s="122" t="str">
        <f>IFERROR(INDEX('كشف الحساب'!$B$4:$B$204,MATCH(131,'كشف الحساب'!$P$4:$P$204,0)),"")</f>
        <v/>
      </c>
      <c r="C136" s="121" t="str">
        <f>IFERROR(INDEX('كشف الحساب'!$C$4:$C$204,MATCH(131,'كشف الحساب'!$P$4:$P$204,0)),"")</f>
        <v/>
      </c>
      <c r="D136" s="123" t="str">
        <f>IFERROR(INDEX('كشف الحساب'!$E$4:$E$204,MATCH(131,'كشف الحساب'!$P$4:$P$204,0)),"")</f>
        <v/>
      </c>
      <c r="E136" s="124" t="str">
        <f>IFERROR(INDEX('كشف الحساب'!$D$4:$D$204,MATCH(131,'كشف الحساب'!$P$4:$P$204,0)),"")</f>
        <v/>
      </c>
      <c r="F136" s="125" t="str">
        <f t="shared" si="4"/>
        <v/>
      </c>
    </row>
    <row r="137" spans="1:6" ht="18" customHeight="1" x14ac:dyDescent="0.25">
      <c r="A137" s="142" t="str">
        <f>IFERROR(INDEX('كشف الحساب'!$A$4:$A$204,MATCH(132,'كشف الحساب'!$P$4:$P$204,0)),"")</f>
        <v/>
      </c>
      <c r="B137" s="122" t="str">
        <f>IFERROR(INDEX('كشف الحساب'!$B$4:$B$204,MATCH(132,'كشف الحساب'!$P$4:$P$204,0)),"")</f>
        <v/>
      </c>
      <c r="C137" s="121" t="str">
        <f>IFERROR(INDEX('كشف الحساب'!$C$4:$C$204,MATCH(132,'كشف الحساب'!$P$4:$P$204,0)),"")</f>
        <v/>
      </c>
      <c r="D137" s="123" t="str">
        <f>IFERROR(INDEX('كشف الحساب'!$E$4:$E$204,MATCH(132,'كشف الحساب'!$P$4:$P$204,0)),"")</f>
        <v/>
      </c>
      <c r="E137" s="124" t="str">
        <f>IFERROR(INDEX('كشف الحساب'!$D$4:$D$204,MATCH(132,'كشف الحساب'!$P$4:$P$204,0)),"")</f>
        <v/>
      </c>
      <c r="F137" s="125" t="str">
        <f t="shared" si="4"/>
        <v/>
      </c>
    </row>
    <row r="138" spans="1:6" ht="18" customHeight="1" x14ac:dyDescent="0.25">
      <c r="A138" s="142" t="str">
        <f>IFERROR(INDEX('كشف الحساب'!$A$4:$A$204,MATCH(133,'كشف الحساب'!$P$4:$P$204,0)),"")</f>
        <v/>
      </c>
      <c r="B138" s="122" t="str">
        <f>IFERROR(INDEX('كشف الحساب'!$B$4:$B$204,MATCH(133,'كشف الحساب'!$P$4:$P$204,0)),"")</f>
        <v/>
      </c>
      <c r="C138" s="121" t="str">
        <f>IFERROR(INDEX('كشف الحساب'!$C$4:$C$204,MATCH(133,'كشف الحساب'!$P$4:$P$204,0)),"")</f>
        <v/>
      </c>
      <c r="D138" s="123" t="str">
        <f>IFERROR(INDEX('كشف الحساب'!$E$4:$E$204,MATCH(133,'كشف الحساب'!$P$4:$P$204,0)),"")</f>
        <v/>
      </c>
      <c r="E138" s="124" t="str">
        <f>IFERROR(INDEX('كشف الحساب'!$D$4:$D$204,MATCH(133,'كشف الحساب'!$P$4:$P$204,0)),"")</f>
        <v/>
      </c>
      <c r="F138" s="125" t="str">
        <f t="shared" si="4"/>
        <v/>
      </c>
    </row>
    <row r="139" spans="1:6" ht="18" customHeight="1" x14ac:dyDescent="0.25">
      <c r="A139" s="142" t="str">
        <f>IFERROR(INDEX('كشف الحساب'!$A$4:$A$204,MATCH(134,'كشف الحساب'!$P$4:$P$204,0)),"")</f>
        <v/>
      </c>
      <c r="B139" s="122" t="str">
        <f>IFERROR(INDEX('كشف الحساب'!$B$4:$B$204,MATCH(134,'كشف الحساب'!$P$4:$P$204,0)),"")</f>
        <v/>
      </c>
      <c r="C139" s="121" t="str">
        <f>IFERROR(INDEX('كشف الحساب'!$C$4:$C$204,MATCH(134,'كشف الحساب'!$P$4:$P$204,0)),"")</f>
        <v/>
      </c>
      <c r="D139" s="123" t="str">
        <f>IFERROR(INDEX('كشف الحساب'!$E$4:$E$204,MATCH(134,'كشف الحساب'!$P$4:$P$204,0)),"")</f>
        <v/>
      </c>
      <c r="E139" s="124" t="str">
        <f>IFERROR(INDEX('كشف الحساب'!$D$4:$D$204,MATCH(134,'كشف الحساب'!$P$4:$P$204,0)),"")</f>
        <v/>
      </c>
      <c r="F139" s="125" t="str">
        <f t="shared" si="4"/>
        <v/>
      </c>
    </row>
    <row r="140" spans="1:6" ht="18" customHeight="1" x14ac:dyDescent="0.25">
      <c r="A140" s="142" t="str">
        <f>IFERROR(INDEX('كشف الحساب'!$A$4:$A$204,MATCH(135,'كشف الحساب'!$P$4:$P$204,0)),"")</f>
        <v/>
      </c>
      <c r="B140" s="122" t="str">
        <f>IFERROR(INDEX('كشف الحساب'!$B$4:$B$204,MATCH(135,'كشف الحساب'!$P$4:$P$204,0)),"")</f>
        <v/>
      </c>
      <c r="C140" s="121" t="str">
        <f>IFERROR(INDEX('كشف الحساب'!$C$4:$C$204,MATCH(135,'كشف الحساب'!$P$4:$P$204,0)),"")</f>
        <v/>
      </c>
      <c r="D140" s="123" t="str">
        <f>IFERROR(INDEX('كشف الحساب'!$E$4:$E$204,MATCH(135,'كشف الحساب'!$P$4:$P$204,0)),"")</f>
        <v/>
      </c>
      <c r="E140" s="124" t="str">
        <f>IFERROR(INDEX('كشف الحساب'!$D$4:$D$204,MATCH(135,'كشف الحساب'!$P$4:$P$204,0)),"")</f>
        <v/>
      </c>
      <c r="F140" s="125" t="str">
        <f t="shared" si="4"/>
        <v/>
      </c>
    </row>
    <row r="141" spans="1:6" ht="18" customHeight="1" x14ac:dyDescent="0.25">
      <c r="A141" s="142" t="str">
        <f>IFERROR(INDEX('كشف الحساب'!$A$4:$A$204,MATCH(136,'كشف الحساب'!$P$4:$P$204,0)),"")</f>
        <v/>
      </c>
      <c r="B141" s="122" t="str">
        <f>IFERROR(INDEX('كشف الحساب'!$B$4:$B$204,MATCH(136,'كشف الحساب'!$P$4:$P$204,0)),"")</f>
        <v/>
      </c>
      <c r="C141" s="121" t="str">
        <f>IFERROR(INDEX('كشف الحساب'!$C$4:$C$204,MATCH(136,'كشف الحساب'!$P$4:$P$204,0)),"")</f>
        <v/>
      </c>
      <c r="D141" s="123" t="str">
        <f>IFERROR(INDEX('كشف الحساب'!$E$4:$E$204,MATCH(136,'كشف الحساب'!$P$4:$P$204,0)),"")</f>
        <v/>
      </c>
      <c r="E141" s="124" t="str">
        <f>IFERROR(INDEX('كشف الحساب'!$D$4:$D$204,MATCH(136,'كشف الحساب'!$P$4:$P$204,0)),"")</f>
        <v/>
      </c>
      <c r="F141" s="125" t="str">
        <f t="shared" si="4"/>
        <v/>
      </c>
    </row>
    <row r="142" spans="1:6" ht="18" customHeight="1" x14ac:dyDescent="0.25">
      <c r="A142" s="142" t="str">
        <f>IFERROR(INDEX('كشف الحساب'!$A$4:$A$204,MATCH(137,'كشف الحساب'!$P$4:$P$204,0)),"")</f>
        <v/>
      </c>
      <c r="B142" s="122" t="str">
        <f>IFERROR(INDEX('كشف الحساب'!$B$4:$B$204,MATCH(137,'كشف الحساب'!$P$4:$P$204,0)),"")</f>
        <v/>
      </c>
      <c r="C142" s="121" t="str">
        <f>IFERROR(INDEX('كشف الحساب'!$C$4:$C$204,MATCH(137,'كشف الحساب'!$P$4:$P$204,0)),"")</f>
        <v/>
      </c>
      <c r="D142" s="123" t="str">
        <f>IFERROR(INDEX('كشف الحساب'!$E$4:$E$204,MATCH(137,'كشف الحساب'!$P$4:$P$204,0)),"")</f>
        <v/>
      </c>
      <c r="E142" s="124" t="str">
        <f>IFERROR(INDEX('كشف الحساب'!$D$4:$D$204,MATCH(137,'كشف الحساب'!$P$4:$P$204,0)),"")</f>
        <v/>
      </c>
      <c r="F142" s="125" t="str">
        <f t="shared" si="4"/>
        <v/>
      </c>
    </row>
    <row r="143" spans="1:6" ht="18" customHeight="1" x14ac:dyDescent="0.25">
      <c r="A143" s="142" t="str">
        <f>IFERROR(INDEX('كشف الحساب'!$A$4:$A$204,MATCH(138,'كشف الحساب'!$P$4:$P$204,0)),"")</f>
        <v/>
      </c>
      <c r="B143" s="122" t="str">
        <f>IFERROR(INDEX('كشف الحساب'!$B$4:$B$204,MATCH(138,'كشف الحساب'!$P$4:$P$204,0)),"")</f>
        <v/>
      </c>
      <c r="C143" s="121" t="str">
        <f>IFERROR(INDEX('كشف الحساب'!$C$4:$C$204,MATCH(138,'كشف الحساب'!$P$4:$P$204,0)),"")</f>
        <v/>
      </c>
      <c r="D143" s="123" t="str">
        <f>IFERROR(INDEX('كشف الحساب'!$E$4:$E$204,MATCH(138,'كشف الحساب'!$P$4:$P$204,0)),"")</f>
        <v/>
      </c>
      <c r="E143" s="124" t="str">
        <f>IFERROR(INDEX('كشف الحساب'!$D$4:$D$204,MATCH(138,'كشف الحساب'!$P$4:$P$204,0)),"")</f>
        <v/>
      </c>
      <c r="F143" s="125" t="str">
        <f t="shared" si="4"/>
        <v/>
      </c>
    </row>
    <row r="144" spans="1:6" ht="18" customHeight="1" x14ac:dyDescent="0.25">
      <c r="A144" s="142" t="str">
        <f>IFERROR(INDEX('كشف الحساب'!$A$4:$A$204,MATCH(139,'كشف الحساب'!$P$4:$P$204,0)),"")</f>
        <v/>
      </c>
      <c r="B144" s="122" t="str">
        <f>IFERROR(INDEX('كشف الحساب'!$B$4:$B$204,MATCH(139,'كشف الحساب'!$P$4:$P$204,0)),"")</f>
        <v/>
      </c>
      <c r="C144" s="121" t="str">
        <f>IFERROR(INDEX('كشف الحساب'!$C$4:$C$204,MATCH(139,'كشف الحساب'!$P$4:$P$204,0)),"")</f>
        <v/>
      </c>
      <c r="D144" s="123" t="str">
        <f>IFERROR(INDEX('كشف الحساب'!$E$4:$E$204,MATCH(139,'كشف الحساب'!$P$4:$P$204,0)),"")</f>
        <v/>
      </c>
      <c r="E144" s="124" t="str">
        <f>IFERROR(INDEX('كشف الحساب'!$D$4:$D$204,MATCH(139,'كشف الحساب'!$P$4:$P$204,0)),"")</f>
        <v/>
      </c>
      <c r="F144" s="125" t="str">
        <f t="shared" si="4"/>
        <v/>
      </c>
    </row>
    <row r="145" spans="1:6" ht="18" customHeight="1" x14ac:dyDescent="0.25">
      <c r="A145" s="142" t="str">
        <f>IFERROR(INDEX('كشف الحساب'!$A$4:$A$204,MATCH(140,'كشف الحساب'!$P$4:$P$204,0)),"")</f>
        <v/>
      </c>
      <c r="B145" s="122" t="str">
        <f>IFERROR(INDEX('كشف الحساب'!$B$4:$B$204,MATCH(140,'كشف الحساب'!$P$4:$P$204,0)),"")</f>
        <v/>
      </c>
      <c r="C145" s="121" t="str">
        <f>IFERROR(INDEX('كشف الحساب'!$C$4:$C$204,MATCH(140,'كشف الحساب'!$P$4:$P$204,0)),"")</f>
        <v/>
      </c>
      <c r="D145" s="123" t="str">
        <f>IFERROR(INDEX('كشف الحساب'!$E$4:$E$204,MATCH(140,'كشف الحساب'!$P$4:$P$204,0)),"")</f>
        <v/>
      </c>
      <c r="E145" s="124" t="str">
        <f>IFERROR(INDEX('كشف الحساب'!$D$4:$D$204,MATCH(140,'كشف الحساب'!$P$4:$P$204,0)),"")</f>
        <v/>
      </c>
      <c r="F145" s="125" t="str">
        <f t="shared" si="4"/>
        <v/>
      </c>
    </row>
    <row r="146" spans="1:6" ht="18" customHeight="1" x14ac:dyDescent="0.25">
      <c r="A146" s="142" t="str">
        <f>IFERROR(INDEX('كشف الحساب'!$A$4:$A$204,MATCH(141,'كشف الحساب'!$P$4:$P$204,0)),"")</f>
        <v/>
      </c>
      <c r="B146" s="122" t="str">
        <f>IFERROR(INDEX('كشف الحساب'!$B$4:$B$204,MATCH(141,'كشف الحساب'!$P$4:$P$204,0)),"")</f>
        <v/>
      </c>
      <c r="C146" s="121" t="str">
        <f>IFERROR(INDEX('كشف الحساب'!$C$4:$C$204,MATCH(141,'كشف الحساب'!$P$4:$P$204,0)),"")</f>
        <v/>
      </c>
      <c r="D146" s="123" t="str">
        <f>IFERROR(INDEX('كشف الحساب'!$E$4:$E$204,MATCH(141,'كشف الحساب'!$P$4:$P$204,0)),"")</f>
        <v/>
      </c>
      <c r="E146" s="124" t="str">
        <f>IFERROR(INDEX('كشف الحساب'!$D$4:$D$204,MATCH(141,'كشف الحساب'!$P$4:$P$204,0)),"")</f>
        <v/>
      </c>
      <c r="F146" s="125" t="str">
        <f t="shared" si="4"/>
        <v/>
      </c>
    </row>
    <row r="147" spans="1:6" ht="18" customHeight="1" x14ac:dyDescent="0.25">
      <c r="A147" s="142" t="str">
        <f>IFERROR(INDEX('كشف الحساب'!$A$4:$A$204,MATCH(142,'كشف الحساب'!$P$4:$P$204,0)),"")</f>
        <v/>
      </c>
      <c r="B147" s="122" t="str">
        <f>IFERROR(INDEX('كشف الحساب'!$B$4:$B$204,MATCH(142,'كشف الحساب'!$P$4:$P$204,0)),"")</f>
        <v/>
      </c>
      <c r="C147" s="121" t="str">
        <f>IFERROR(INDEX('كشف الحساب'!$C$4:$C$204,MATCH(142,'كشف الحساب'!$P$4:$P$204,0)),"")</f>
        <v/>
      </c>
      <c r="D147" s="123" t="str">
        <f>IFERROR(INDEX('كشف الحساب'!$E$4:$E$204,MATCH(142,'كشف الحساب'!$P$4:$P$204,0)),"")</f>
        <v/>
      </c>
      <c r="E147" s="124" t="str">
        <f>IFERROR(INDEX('كشف الحساب'!$D$4:$D$204,MATCH(142,'كشف الحساب'!$P$4:$P$204,0)),"")</f>
        <v/>
      </c>
      <c r="F147" s="125" t="str">
        <f t="shared" si="4"/>
        <v/>
      </c>
    </row>
    <row r="148" spans="1:6" ht="18" customHeight="1" x14ac:dyDescent="0.25">
      <c r="A148" s="142" t="str">
        <f>IFERROR(INDEX('كشف الحساب'!$A$4:$A$204,MATCH(143,'كشف الحساب'!$P$4:$P$204,0)),"")</f>
        <v/>
      </c>
      <c r="B148" s="122" t="str">
        <f>IFERROR(INDEX('كشف الحساب'!$B$4:$B$204,MATCH(143,'كشف الحساب'!$P$4:$P$204,0)),"")</f>
        <v/>
      </c>
      <c r="C148" s="121" t="str">
        <f>IFERROR(INDEX('كشف الحساب'!$C$4:$C$204,MATCH(143,'كشف الحساب'!$P$4:$P$204,0)),"")</f>
        <v/>
      </c>
      <c r="D148" s="123" t="str">
        <f>IFERROR(INDEX('كشف الحساب'!$E$4:$E$204,MATCH(143,'كشف الحساب'!$P$4:$P$204,0)),"")</f>
        <v/>
      </c>
      <c r="E148" s="124" t="str">
        <f>IFERROR(INDEX('كشف الحساب'!$D$4:$D$204,MATCH(143,'كشف الحساب'!$P$4:$P$204,0)),"")</f>
        <v/>
      </c>
      <c r="F148" s="125" t="str">
        <f t="shared" si="4"/>
        <v/>
      </c>
    </row>
    <row r="149" spans="1:6" ht="18" customHeight="1" x14ac:dyDescent="0.25">
      <c r="A149" s="142" t="str">
        <f>IFERROR(INDEX('كشف الحساب'!$A$4:$A$204,MATCH(144,'كشف الحساب'!$P$4:$P$204,0)),"")</f>
        <v/>
      </c>
      <c r="B149" s="122" t="str">
        <f>IFERROR(INDEX('كشف الحساب'!$B$4:$B$204,MATCH(144,'كشف الحساب'!$P$4:$P$204,0)),"")</f>
        <v/>
      </c>
      <c r="C149" s="121" t="str">
        <f>IFERROR(INDEX('كشف الحساب'!$C$4:$C$204,MATCH(144,'كشف الحساب'!$P$4:$P$204,0)),"")</f>
        <v/>
      </c>
      <c r="D149" s="123" t="str">
        <f>IFERROR(INDEX('كشف الحساب'!$E$4:$E$204,MATCH(144,'كشف الحساب'!$P$4:$P$204,0)),"")</f>
        <v/>
      </c>
      <c r="E149" s="124" t="str">
        <f>IFERROR(INDEX('كشف الحساب'!$D$4:$D$204,MATCH(144,'كشف الحساب'!$P$4:$P$204,0)),"")</f>
        <v/>
      </c>
      <c r="F149" s="125" t="str">
        <f t="shared" si="4"/>
        <v/>
      </c>
    </row>
    <row r="150" spans="1:6" ht="18" customHeight="1" x14ac:dyDescent="0.25">
      <c r="A150" s="142" t="str">
        <f>IFERROR(INDEX('كشف الحساب'!$A$4:$A$204,MATCH(145,'كشف الحساب'!$P$4:$P$204,0)),"")</f>
        <v/>
      </c>
      <c r="B150" s="122" t="str">
        <f>IFERROR(INDEX('كشف الحساب'!$B$4:$B$204,MATCH(145,'كشف الحساب'!$P$4:$P$204,0)),"")</f>
        <v/>
      </c>
      <c r="C150" s="121" t="str">
        <f>IFERROR(INDEX('كشف الحساب'!$C$4:$C$204,MATCH(145,'كشف الحساب'!$P$4:$P$204,0)),"")</f>
        <v/>
      </c>
      <c r="D150" s="123" t="str">
        <f>IFERROR(INDEX('كشف الحساب'!$E$4:$E$204,MATCH(145,'كشف الحساب'!$P$4:$P$204,0)),"")</f>
        <v/>
      </c>
      <c r="E150" s="124" t="str">
        <f>IFERROR(INDEX('كشف الحساب'!$D$4:$D$204,MATCH(145,'كشف الحساب'!$P$4:$P$204,0)),"")</f>
        <v/>
      </c>
      <c r="F150" s="125" t="str">
        <f t="shared" si="4"/>
        <v/>
      </c>
    </row>
    <row r="151" spans="1:6" ht="18" customHeight="1" x14ac:dyDescent="0.25">
      <c r="A151" s="142" t="str">
        <f>IFERROR(INDEX('كشف الحساب'!$A$4:$A$204,MATCH(146,'كشف الحساب'!$P$4:$P$204,0)),"")</f>
        <v/>
      </c>
      <c r="B151" s="122" t="str">
        <f>IFERROR(INDEX('كشف الحساب'!$B$4:$B$204,MATCH(146,'كشف الحساب'!$P$4:$P$204,0)),"")</f>
        <v/>
      </c>
      <c r="C151" s="121" t="str">
        <f>IFERROR(INDEX('كشف الحساب'!$C$4:$C$204,MATCH(146,'كشف الحساب'!$P$4:$P$204,0)),"")</f>
        <v/>
      </c>
      <c r="D151" s="123" t="str">
        <f>IFERROR(INDEX('كشف الحساب'!$E$4:$E$204,MATCH(146,'كشف الحساب'!$P$4:$P$204,0)),"")</f>
        <v/>
      </c>
      <c r="E151" s="124" t="str">
        <f>IFERROR(INDEX('كشف الحساب'!$D$4:$D$204,MATCH(146,'كشف الحساب'!$P$4:$P$204,0)),"")</f>
        <v/>
      </c>
      <c r="F151" s="125" t="str">
        <f t="shared" si="4"/>
        <v/>
      </c>
    </row>
    <row r="152" spans="1:6" ht="18" customHeight="1" x14ac:dyDescent="0.25">
      <c r="A152" s="142" t="str">
        <f>IFERROR(INDEX('كشف الحساب'!$A$4:$A$204,MATCH(147,'كشف الحساب'!$P$4:$P$204,0)),"")</f>
        <v/>
      </c>
      <c r="B152" s="122" t="str">
        <f>IFERROR(INDEX('كشف الحساب'!$B$4:$B$204,MATCH(147,'كشف الحساب'!$P$4:$P$204,0)),"")</f>
        <v/>
      </c>
      <c r="C152" s="121" t="str">
        <f>IFERROR(INDEX('كشف الحساب'!$C$4:$C$204,MATCH(147,'كشف الحساب'!$P$4:$P$204,0)),"")</f>
        <v/>
      </c>
      <c r="D152" s="123" t="str">
        <f>IFERROR(INDEX('كشف الحساب'!$E$4:$E$204,MATCH(147,'كشف الحساب'!$P$4:$P$204,0)),"")</f>
        <v/>
      </c>
      <c r="E152" s="124" t="str">
        <f>IFERROR(INDEX('كشف الحساب'!$D$4:$D$204,MATCH(147,'كشف الحساب'!$P$4:$P$204,0)),"")</f>
        <v/>
      </c>
      <c r="F152" s="125" t="str">
        <f t="shared" si="4"/>
        <v/>
      </c>
    </row>
    <row r="153" spans="1:6" ht="18" customHeight="1" x14ac:dyDescent="0.25">
      <c r="A153" s="142" t="str">
        <f>IFERROR(INDEX('كشف الحساب'!$A$4:$A$204,MATCH(148,'كشف الحساب'!$P$4:$P$204,0)),"")</f>
        <v/>
      </c>
      <c r="B153" s="122" t="str">
        <f>IFERROR(INDEX('كشف الحساب'!$B$4:$B$204,MATCH(148,'كشف الحساب'!$P$4:$P$204,0)),"")</f>
        <v/>
      </c>
      <c r="C153" s="121" t="str">
        <f>IFERROR(INDEX('كشف الحساب'!$C$4:$C$204,MATCH(148,'كشف الحساب'!$P$4:$P$204,0)),"")</f>
        <v/>
      </c>
      <c r="D153" s="123" t="str">
        <f>IFERROR(INDEX('كشف الحساب'!$E$4:$E$204,MATCH(148,'كشف الحساب'!$P$4:$P$204,0)),"")</f>
        <v/>
      </c>
      <c r="E153" s="124" t="str">
        <f>IFERROR(INDEX('كشف الحساب'!$D$4:$D$204,MATCH(148,'كشف الحساب'!$P$4:$P$204,0)),"")</f>
        <v/>
      </c>
      <c r="F153" s="125" t="str">
        <f t="shared" si="4"/>
        <v/>
      </c>
    </row>
    <row r="154" spans="1:6" ht="18" customHeight="1" x14ac:dyDescent="0.25">
      <c r="A154" s="142" t="str">
        <f>IFERROR(INDEX('كشف الحساب'!$A$4:$A$204,MATCH(149,'كشف الحساب'!$P$4:$P$204,0)),"")</f>
        <v/>
      </c>
      <c r="B154" s="122" t="str">
        <f>IFERROR(INDEX('كشف الحساب'!$B$4:$B$204,MATCH(149,'كشف الحساب'!$P$4:$P$204,0)),"")</f>
        <v/>
      </c>
      <c r="C154" s="121" t="str">
        <f>IFERROR(INDEX('كشف الحساب'!$C$4:$C$204,MATCH(149,'كشف الحساب'!$P$4:$P$204,0)),"")</f>
        <v/>
      </c>
      <c r="D154" s="123" t="str">
        <f>IFERROR(INDEX('كشف الحساب'!$E$4:$E$204,MATCH(149,'كشف الحساب'!$P$4:$P$204,0)),"")</f>
        <v/>
      </c>
      <c r="E154" s="124" t="str">
        <f>IFERROR(INDEX('كشف الحساب'!$D$4:$D$204,MATCH(149,'كشف الحساب'!$P$4:$P$204,0)),"")</f>
        <v/>
      </c>
      <c r="F154" s="125" t="str">
        <f t="shared" si="4"/>
        <v/>
      </c>
    </row>
    <row r="155" spans="1:6" ht="18" customHeight="1" x14ac:dyDescent="0.25">
      <c r="A155" s="142" t="str">
        <f>IFERROR(INDEX('كشف الحساب'!$A$4:$A$204,MATCH(150,'كشف الحساب'!$P$4:$P$204,0)),"")</f>
        <v/>
      </c>
      <c r="B155" s="122" t="str">
        <f>IFERROR(INDEX('كشف الحساب'!$B$4:$B$204,MATCH(150,'كشف الحساب'!$P$4:$P$204,0)),"")</f>
        <v/>
      </c>
      <c r="C155" s="121" t="str">
        <f>IFERROR(INDEX('كشف الحساب'!$C$4:$C$204,MATCH(150,'كشف الحساب'!$P$4:$P$204,0)),"")</f>
        <v/>
      </c>
      <c r="D155" s="123" t="str">
        <f>IFERROR(INDEX('كشف الحساب'!$E$4:$E$204,MATCH(150,'كشف الحساب'!$P$4:$P$204,0)),"")</f>
        <v/>
      </c>
      <c r="E155" s="124" t="str">
        <f>IFERROR(INDEX('كشف الحساب'!$D$4:$D$204,MATCH(150,'كشف الحساب'!$P$4:$P$204,0)),"")</f>
        <v/>
      </c>
      <c r="F155" s="125" t="str">
        <f t="shared" si="4"/>
        <v/>
      </c>
    </row>
    <row r="156" spans="1:6" ht="18" customHeight="1" x14ac:dyDescent="0.25">
      <c r="A156" s="142" t="str">
        <f>IFERROR(INDEX('كشف الحساب'!$A$4:$A$204,MATCH(151,'كشف الحساب'!$P$4:$P$204,0)),"")</f>
        <v/>
      </c>
      <c r="B156" s="122" t="str">
        <f>IFERROR(INDEX('كشف الحساب'!$B$4:$B$204,MATCH(151,'كشف الحساب'!$P$4:$P$204,0)),"")</f>
        <v/>
      </c>
      <c r="C156" s="121" t="str">
        <f>IFERROR(INDEX('كشف الحساب'!$C$4:$C$204,MATCH(151,'كشف الحساب'!$P$4:$P$204,0)),"")</f>
        <v/>
      </c>
      <c r="D156" s="123" t="str">
        <f>IFERROR(INDEX('كشف الحساب'!$E$4:$E$204,MATCH(151,'كشف الحساب'!$P$4:$P$204,0)),"")</f>
        <v/>
      </c>
      <c r="E156" s="124" t="str">
        <f>IFERROR(INDEX('كشف الحساب'!$D$4:$D$204,MATCH(151,'كشف الحساب'!$P$4:$P$204,0)),"")</f>
        <v/>
      </c>
      <c r="F156" s="125" t="str">
        <f t="shared" si="4"/>
        <v/>
      </c>
    </row>
    <row r="157" spans="1:6" ht="18" customHeight="1" x14ac:dyDescent="0.25">
      <c r="A157" s="142" t="str">
        <f>IFERROR(INDEX('كشف الحساب'!$A$4:$A$204,MATCH(152,'كشف الحساب'!$P$4:$P$204,0)),"")</f>
        <v/>
      </c>
      <c r="B157" s="122" t="str">
        <f>IFERROR(INDEX('كشف الحساب'!$B$4:$B$204,MATCH(152,'كشف الحساب'!$P$4:$P$204,0)),"")</f>
        <v/>
      </c>
      <c r="C157" s="121" t="str">
        <f>IFERROR(INDEX('كشف الحساب'!$C$4:$C$204,MATCH(152,'كشف الحساب'!$P$4:$P$204,0)),"")</f>
        <v/>
      </c>
      <c r="D157" s="123" t="str">
        <f>IFERROR(INDEX('كشف الحساب'!$E$4:$E$204,MATCH(152,'كشف الحساب'!$P$4:$P$204,0)),"")</f>
        <v/>
      </c>
      <c r="E157" s="124" t="str">
        <f>IFERROR(INDEX('كشف الحساب'!$D$4:$D$204,MATCH(152,'كشف الحساب'!$P$4:$P$204,0)),"")</f>
        <v/>
      </c>
      <c r="F157" s="125" t="str">
        <f t="shared" si="4"/>
        <v/>
      </c>
    </row>
    <row r="158" spans="1:6" ht="18" customHeight="1" x14ac:dyDescent="0.25">
      <c r="A158" s="142" t="str">
        <f>IFERROR(INDEX('كشف الحساب'!$A$4:$A$204,MATCH(153,'كشف الحساب'!$P$4:$P$204,0)),"")</f>
        <v/>
      </c>
      <c r="B158" s="122" t="str">
        <f>IFERROR(INDEX('كشف الحساب'!$B$4:$B$204,MATCH(153,'كشف الحساب'!$P$4:$P$204,0)),"")</f>
        <v/>
      </c>
      <c r="C158" s="121" t="str">
        <f>IFERROR(INDEX('كشف الحساب'!$C$4:$C$204,MATCH(153,'كشف الحساب'!$P$4:$P$204,0)),"")</f>
        <v/>
      </c>
      <c r="D158" s="123" t="str">
        <f>IFERROR(INDEX('كشف الحساب'!$E$4:$E$204,MATCH(153,'كشف الحساب'!$P$4:$P$204,0)),"")</f>
        <v/>
      </c>
      <c r="E158" s="124" t="str">
        <f>IFERROR(INDEX('كشف الحساب'!$D$4:$D$204,MATCH(153,'كشف الحساب'!$P$4:$P$204,0)),"")</f>
        <v/>
      </c>
      <c r="F158" s="125" t="str">
        <f t="shared" si="4"/>
        <v/>
      </c>
    </row>
    <row r="159" spans="1:6" ht="18" customHeight="1" x14ac:dyDescent="0.25">
      <c r="A159" s="142" t="str">
        <f>IFERROR(INDEX('كشف الحساب'!$A$4:$A$204,MATCH(154,'كشف الحساب'!$P$4:$P$204,0)),"")</f>
        <v/>
      </c>
      <c r="B159" s="122" t="str">
        <f>IFERROR(INDEX('كشف الحساب'!$B$4:$B$204,MATCH(154,'كشف الحساب'!$P$4:$P$204,0)),"")</f>
        <v/>
      </c>
      <c r="C159" s="121" t="str">
        <f>IFERROR(INDEX('كشف الحساب'!$C$4:$C$204,MATCH(154,'كشف الحساب'!$P$4:$P$204,0)),"")</f>
        <v/>
      </c>
      <c r="D159" s="123" t="str">
        <f>IFERROR(INDEX('كشف الحساب'!$E$4:$E$204,MATCH(154,'كشف الحساب'!$P$4:$P$204,0)),"")</f>
        <v/>
      </c>
      <c r="E159" s="124" t="str">
        <f>IFERROR(INDEX('كشف الحساب'!$D$4:$D$204,MATCH(154,'كشف الحساب'!$P$4:$P$204,0)),"")</f>
        <v/>
      </c>
      <c r="F159" s="125" t="str">
        <f t="shared" si="4"/>
        <v/>
      </c>
    </row>
    <row r="160" spans="1:6" ht="18" customHeight="1" x14ac:dyDescent="0.25">
      <c r="A160" s="142" t="str">
        <f>IFERROR(INDEX('كشف الحساب'!$A$4:$A$204,MATCH(155,'كشف الحساب'!$P$4:$P$204,0)),"")</f>
        <v/>
      </c>
      <c r="B160" s="122" t="str">
        <f>IFERROR(INDEX('كشف الحساب'!$B$4:$B$204,MATCH(155,'كشف الحساب'!$P$4:$P$204,0)),"")</f>
        <v/>
      </c>
      <c r="C160" s="121" t="str">
        <f>IFERROR(INDEX('كشف الحساب'!$C$4:$C$204,MATCH(155,'كشف الحساب'!$P$4:$P$204,0)),"")</f>
        <v/>
      </c>
      <c r="D160" s="123" t="str">
        <f>IFERROR(INDEX('كشف الحساب'!$E$4:$E$204,MATCH(155,'كشف الحساب'!$P$4:$P$204,0)),"")</f>
        <v/>
      </c>
      <c r="E160" s="124" t="str">
        <f>IFERROR(INDEX('كشف الحساب'!$D$4:$D$204,MATCH(155,'كشف الحساب'!$P$4:$P$204,0)),"")</f>
        <v/>
      </c>
      <c r="F160" s="125" t="str">
        <f t="shared" si="4"/>
        <v/>
      </c>
    </row>
    <row r="161" spans="1:6" ht="18" customHeight="1" x14ac:dyDescent="0.25">
      <c r="A161" s="142" t="str">
        <f>IFERROR(INDEX('كشف الحساب'!$A$4:$A$204,MATCH(156,'كشف الحساب'!$P$4:$P$204,0)),"")</f>
        <v/>
      </c>
      <c r="B161" s="122" t="str">
        <f>IFERROR(INDEX('كشف الحساب'!$B$4:$B$204,MATCH(156,'كشف الحساب'!$P$4:$P$204,0)),"")</f>
        <v/>
      </c>
      <c r="C161" s="121" t="str">
        <f>IFERROR(INDEX('كشف الحساب'!$C$4:$C$204,MATCH(156,'كشف الحساب'!$P$4:$P$204,0)),"")</f>
        <v/>
      </c>
      <c r="D161" s="123" t="str">
        <f>IFERROR(INDEX('كشف الحساب'!$E$4:$E$204,MATCH(156,'كشف الحساب'!$P$4:$P$204,0)),"")</f>
        <v/>
      </c>
      <c r="E161" s="124" t="str">
        <f>IFERROR(INDEX('كشف الحساب'!$D$4:$D$204,MATCH(156,'كشف الحساب'!$P$4:$P$204,0)),"")</f>
        <v/>
      </c>
      <c r="F161" s="125" t="str">
        <f t="shared" si="4"/>
        <v/>
      </c>
    </row>
    <row r="162" spans="1:6" ht="18" customHeight="1" x14ac:dyDescent="0.25">
      <c r="A162" s="142" t="str">
        <f>IFERROR(INDEX('كشف الحساب'!$A$4:$A$204,MATCH(157,'كشف الحساب'!$P$4:$P$204,0)),"")</f>
        <v/>
      </c>
      <c r="B162" s="122" t="str">
        <f>IFERROR(INDEX('كشف الحساب'!$B$4:$B$204,MATCH(157,'كشف الحساب'!$P$4:$P$204,0)),"")</f>
        <v/>
      </c>
      <c r="C162" s="121" t="str">
        <f>IFERROR(INDEX('كشف الحساب'!$C$4:$C$204,MATCH(157,'كشف الحساب'!$P$4:$P$204,0)),"")</f>
        <v/>
      </c>
      <c r="D162" s="123" t="str">
        <f>IFERROR(INDEX('كشف الحساب'!$E$4:$E$204,MATCH(157,'كشف الحساب'!$P$4:$P$204,0)),"")</f>
        <v/>
      </c>
      <c r="E162" s="124" t="str">
        <f>IFERROR(INDEX('كشف الحساب'!$D$4:$D$204,MATCH(157,'كشف الحساب'!$P$4:$P$204,0)),"")</f>
        <v/>
      </c>
      <c r="F162" s="125" t="str">
        <f t="shared" si="4"/>
        <v/>
      </c>
    </row>
    <row r="163" spans="1:6" ht="18" customHeight="1" x14ac:dyDescent="0.25">
      <c r="A163" s="142" t="str">
        <f>IFERROR(INDEX('كشف الحساب'!$A$4:$A$204,MATCH(158,'كشف الحساب'!$P$4:$P$204,0)),"")</f>
        <v/>
      </c>
      <c r="B163" s="122" t="str">
        <f>IFERROR(INDEX('كشف الحساب'!$B$4:$B$204,MATCH(158,'كشف الحساب'!$P$4:$P$204,0)),"")</f>
        <v/>
      </c>
      <c r="C163" s="121" t="str">
        <f>IFERROR(INDEX('كشف الحساب'!$C$4:$C$204,MATCH(158,'كشف الحساب'!$P$4:$P$204,0)),"")</f>
        <v/>
      </c>
      <c r="D163" s="123" t="str">
        <f>IFERROR(INDEX('كشف الحساب'!$E$4:$E$204,MATCH(158,'كشف الحساب'!$P$4:$P$204,0)),"")</f>
        <v/>
      </c>
      <c r="E163" s="124" t="str">
        <f>IFERROR(INDEX('كشف الحساب'!$D$4:$D$204,MATCH(158,'كشف الحساب'!$P$4:$P$204,0)),"")</f>
        <v/>
      </c>
      <c r="F163" s="125" t="str">
        <f t="shared" si="4"/>
        <v/>
      </c>
    </row>
    <row r="164" spans="1:6" ht="18" customHeight="1" x14ac:dyDescent="0.25">
      <c r="A164" s="142" t="str">
        <f>IFERROR(INDEX('كشف الحساب'!$A$4:$A$204,MATCH(159,'كشف الحساب'!$P$4:$P$204,0)),"")</f>
        <v/>
      </c>
      <c r="B164" s="122" t="str">
        <f>IFERROR(INDEX('كشف الحساب'!$B$4:$B$204,MATCH(159,'كشف الحساب'!$P$4:$P$204,0)),"")</f>
        <v/>
      </c>
      <c r="C164" s="121" t="str">
        <f>IFERROR(INDEX('كشف الحساب'!$C$4:$C$204,MATCH(159,'كشف الحساب'!$P$4:$P$204,0)),"")</f>
        <v/>
      </c>
      <c r="D164" s="123" t="str">
        <f>IFERROR(INDEX('كشف الحساب'!$E$4:$E$204,MATCH(159,'كشف الحساب'!$P$4:$P$204,0)),"")</f>
        <v/>
      </c>
      <c r="E164" s="124" t="str">
        <f>IFERROR(INDEX('كشف الحساب'!$D$4:$D$204,MATCH(159,'كشف الحساب'!$P$4:$P$204,0)),"")</f>
        <v/>
      </c>
      <c r="F164" s="125" t="str">
        <f t="shared" si="4"/>
        <v/>
      </c>
    </row>
    <row r="165" spans="1:6" ht="18" customHeight="1" x14ac:dyDescent="0.25">
      <c r="A165" s="142" t="str">
        <f>IFERROR(INDEX('كشف الحساب'!$A$4:$A$204,MATCH(160,'كشف الحساب'!$P$4:$P$204,0)),"")</f>
        <v/>
      </c>
      <c r="B165" s="122" t="str">
        <f>IFERROR(INDEX('كشف الحساب'!$B$4:$B$204,MATCH(160,'كشف الحساب'!$P$4:$P$204,0)),"")</f>
        <v/>
      </c>
      <c r="C165" s="121" t="str">
        <f>IFERROR(INDEX('كشف الحساب'!$C$4:$C$204,MATCH(160,'كشف الحساب'!$P$4:$P$204,0)),"")</f>
        <v/>
      </c>
      <c r="D165" s="123" t="str">
        <f>IFERROR(INDEX('كشف الحساب'!$E$4:$E$204,MATCH(160,'كشف الحساب'!$P$4:$P$204,0)),"")</f>
        <v/>
      </c>
      <c r="E165" s="124" t="str">
        <f>IFERROR(INDEX('كشف الحساب'!$D$4:$D$204,MATCH(160,'كشف الحساب'!$P$4:$P$204,0)),"")</f>
        <v/>
      </c>
      <c r="F165" s="125" t="str">
        <f t="shared" si="4"/>
        <v/>
      </c>
    </row>
    <row r="166" spans="1:6" ht="18" customHeight="1" x14ac:dyDescent="0.25">
      <c r="A166" s="142" t="str">
        <f>IFERROR(INDEX('كشف الحساب'!$A$4:$A$204,MATCH(161,'كشف الحساب'!$P$4:$P$204,0)),"")</f>
        <v/>
      </c>
      <c r="B166" s="122" t="str">
        <f>IFERROR(INDEX('كشف الحساب'!$B$4:$B$204,MATCH(161,'كشف الحساب'!$P$4:$P$204,0)),"")</f>
        <v/>
      </c>
      <c r="C166" s="121" t="str">
        <f>IFERROR(INDEX('كشف الحساب'!$C$4:$C$204,MATCH(161,'كشف الحساب'!$P$4:$P$204,0)),"")</f>
        <v/>
      </c>
      <c r="D166" s="123" t="str">
        <f>IFERROR(INDEX('كشف الحساب'!$E$4:$E$204,MATCH(161,'كشف الحساب'!$P$4:$P$204,0)),"")</f>
        <v/>
      </c>
      <c r="E166" s="124" t="str">
        <f>IFERROR(INDEX('كشف الحساب'!$D$4:$D$204,MATCH(161,'كشف الحساب'!$P$4:$P$204,0)),"")</f>
        <v/>
      </c>
      <c r="F166" s="125" t="str">
        <f t="shared" si="4"/>
        <v/>
      </c>
    </row>
    <row r="167" spans="1:6" ht="18" customHeight="1" x14ac:dyDescent="0.25">
      <c r="A167" s="142" t="str">
        <f>IFERROR(INDEX('كشف الحساب'!$A$4:$A$204,MATCH(162,'كشف الحساب'!$P$4:$P$204,0)),"")</f>
        <v/>
      </c>
      <c r="B167" s="122" t="str">
        <f>IFERROR(INDEX('كشف الحساب'!$B$4:$B$204,MATCH(162,'كشف الحساب'!$P$4:$P$204,0)),"")</f>
        <v/>
      </c>
      <c r="C167" s="121" t="str">
        <f>IFERROR(INDEX('كشف الحساب'!$C$4:$C$204,MATCH(162,'كشف الحساب'!$P$4:$P$204,0)),"")</f>
        <v/>
      </c>
      <c r="D167" s="123" t="str">
        <f>IFERROR(INDEX('كشف الحساب'!$E$4:$E$204,MATCH(162,'كشف الحساب'!$P$4:$P$204,0)),"")</f>
        <v/>
      </c>
      <c r="E167" s="124" t="str">
        <f>IFERROR(INDEX('كشف الحساب'!$D$4:$D$204,MATCH(162,'كشف الحساب'!$P$4:$P$204,0)),"")</f>
        <v/>
      </c>
      <c r="F167" s="125" t="str">
        <f t="shared" ref="F167:F198" si="5">IF($A167="","",IF($F166="",0,$F166)+IF($D167="",0,$D167)-IF($E167="",0,$E167))</f>
        <v/>
      </c>
    </row>
    <row r="168" spans="1:6" ht="18" customHeight="1" x14ac:dyDescent="0.25">
      <c r="A168" s="142" t="str">
        <f>IFERROR(INDEX('كشف الحساب'!$A$4:$A$204,MATCH(163,'كشف الحساب'!$P$4:$P$204,0)),"")</f>
        <v/>
      </c>
      <c r="B168" s="122" t="str">
        <f>IFERROR(INDEX('كشف الحساب'!$B$4:$B$204,MATCH(163,'كشف الحساب'!$P$4:$P$204,0)),"")</f>
        <v/>
      </c>
      <c r="C168" s="121" t="str">
        <f>IFERROR(INDEX('كشف الحساب'!$C$4:$C$204,MATCH(163,'كشف الحساب'!$P$4:$P$204,0)),"")</f>
        <v/>
      </c>
      <c r="D168" s="123" t="str">
        <f>IFERROR(INDEX('كشف الحساب'!$E$4:$E$204,MATCH(163,'كشف الحساب'!$P$4:$P$204,0)),"")</f>
        <v/>
      </c>
      <c r="E168" s="124" t="str">
        <f>IFERROR(INDEX('كشف الحساب'!$D$4:$D$204,MATCH(163,'كشف الحساب'!$P$4:$P$204,0)),"")</f>
        <v/>
      </c>
      <c r="F168" s="125" t="str">
        <f t="shared" si="5"/>
        <v/>
      </c>
    </row>
    <row r="169" spans="1:6" ht="18" customHeight="1" x14ac:dyDescent="0.25">
      <c r="A169" s="142" t="str">
        <f>IFERROR(INDEX('كشف الحساب'!$A$4:$A$204,MATCH(164,'كشف الحساب'!$P$4:$P$204,0)),"")</f>
        <v/>
      </c>
      <c r="B169" s="122" t="str">
        <f>IFERROR(INDEX('كشف الحساب'!$B$4:$B$204,MATCH(164,'كشف الحساب'!$P$4:$P$204,0)),"")</f>
        <v/>
      </c>
      <c r="C169" s="121" t="str">
        <f>IFERROR(INDEX('كشف الحساب'!$C$4:$C$204,MATCH(164,'كشف الحساب'!$P$4:$P$204,0)),"")</f>
        <v/>
      </c>
      <c r="D169" s="123" t="str">
        <f>IFERROR(INDEX('كشف الحساب'!$E$4:$E$204,MATCH(164,'كشف الحساب'!$P$4:$P$204,0)),"")</f>
        <v/>
      </c>
      <c r="E169" s="124" t="str">
        <f>IFERROR(INDEX('كشف الحساب'!$D$4:$D$204,MATCH(164,'كشف الحساب'!$P$4:$P$204,0)),"")</f>
        <v/>
      </c>
      <c r="F169" s="125" t="str">
        <f t="shared" si="5"/>
        <v/>
      </c>
    </row>
    <row r="170" spans="1:6" ht="18" customHeight="1" x14ac:dyDescent="0.25">
      <c r="A170" s="142" t="str">
        <f>IFERROR(INDEX('كشف الحساب'!$A$4:$A$204,MATCH(165,'كشف الحساب'!$P$4:$P$204,0)),"")</f>
        <v/>
      </c>
      <c r="B170" s="122" t="str">
        <f>IFERROR(INDEX('كشف الحساب'!$B$4:$B$204,MATCH(165,'كشف الحساب'!$P$4:$P$204,0)),"")</f>
        <v/>
      </c>
      <c r="C170" s="121" t="str">
        <f>IFERROR(INDEX('كشف الحساب'!$C$4:$C$204,MATCH(165,'كشف الحساب'!$P$4:$P$204,0)),"")</f>
        <v/>
      </c>
      <c r="D170" s="123" t="str">
        <f>IFERROR(INDEX('كشف الحساب'!$E$4:$E$204,MATCH(165,'كشف الحساب'!$P$4:$P$204,0)),"")</f>
        <v/>
      </c>
      <c r="E170" s="124" t="str">
        <f>IFERROR(INDEX('كشف الحساب'!$D$4:$D$204,MATCH(165,'كشف الحساب'!$P$4:$P$204,0)),"")</f>
        <v/>
      </c>
      <c r="F170" s="125" t="str">
        <f t="shared" si="5"/>
        <v/>
      </c>
    </row>
    <row r="171" spans="1:6" ht="18" customHeight="1" x14ac:dyDescent="0.25">
      <c r="A171" s="142" t="str">
        <f>IFERROR(INDEX('كشف الحساب'!$A$4:$A$204,MATCH(166,'كشف الحساب'!$P$4:$P$204,0)),"")</f>
        <v/>
      </c>
      <c r="B171" s="122" t="str">
        <f>IFERROR(INDEX('كشف الحساب'!$B$4:$B$204,MATCH(166,'كشف الحساب'!$P$4:$P$204,0)),"")</f>
        <v/>
      </c>
      <c r="C171" s="121" t="str">
        <f>IFERROR(INDEX('كشف الحساب'!$C$4:$C$204,MATCH(166,'كشف الحساب'!$P$4:$P$204,0)),"")</f>
        <v/>
      </c>
      <c r="D171" s="123" t="str">
        <f>IFERROR(INDEX('كشف الحساب'!$E$4:$E$204,MATCH(166,'كشف الحساب'!$P$4:$P$204,0)),"")</f>
        <v/>
      </c>
      <c r="E171" s="124" t="str">
        <f>IFERROR(INDEX('كشف الحساب'!$D$4:$D$204,MATCH(166,'كشف الحساب'!$P$4:$P$204,0)),"")</f>
        <v/>
      </c>
      <c r="F171" s="125" t="str">
        <f t="shared" si="5"/>
        <v/>
      </c>
    </row>
    <row r="172" spans="1:6" ht="18" customHeight="1" x14ac:dyDescent="0.25">
      <c r="A172" s="142" t="str">
        <f>IFERROR(INDEX('كشف الحساب'!$A$4:$A$204,MATCH(167,'كشف الحساب'!$P$4:$P$204,0)),"")</f>
        <v/>
      </c>
      <c r="B172" s="122" t="str">
        <f>IFERROR(INDEX('كشف الحساب'!$B$4:$B$204,MATCH(167,'كشف الحساب'!$P$4:$P$204,0)),"")</f>
        <v/>
      </c>
      <c r="C172" s="121" t="str">
        <f>IFERROR(INDEX('كشف الحساب'!$C$4:$C$204,MATCH(167,'كشف الحساب'!$P$4:$P$204,0)),"")</f>
        <v/>
      </c>
      <c r="D172" s="123" t="str">
        <f>IFERROR(INDEX('كشف الحساب'!$E$4:$E$204,MATCH(167,'كشف الحساب'!$P$4:$P$204,0)),"")</f>
        <v/>
      </c>
      <c r="E172" s="124" t="str">
        <f>IFERROR(INDEX('كشف الحساب'!$D$4:$D$204,MATCH(167,'كشف الحساب'!$P$4:$P$204,0)),"")</f>
        <v/>
      </c>
      <c r="F172" s="125" t="str">
        <f t="shared" si="5"/>
        <v/>
      </c>
    </row>
    <row r="173" spans="1:6" ht="18" customHeight="1" x14ac:dyDescent="0.25">
      <c r="A173" s="142" t="str">
        <f>IFERROR(INDEX('كشف الحساب'!$A$4:$A$204,MATCH(168,'كشف الحساب'!$P$4:$P$204,0)),"")</f>
        <v/>
      </c>
      <c r="B173" s="122" t="str">
        <f>IFERROR(INDEX('كشف الحساب'!$B$4:$B$204,MATCH(168,'كشف الحساب'!$P$4:$P$204,0)),"")</f>
        <v/>
      </c>
      <c r="C173" s="121" t="str">
        <f>IFERROR(INDEX('كشف الحساب'!$C$4:$C$204,MATCH(168,'كشف الحساب'!$P$4:$P$204,0)),"")</f>
        <v/>
      </c>
      <c r="D173" s="123" t="str">
        <f>IFERROR(INDEX('كشف الحساب'!$E$4:$E$204,MATCH(168,'كشف الحساب'!$P$4:$P$204,0)),"")</f>
        <v/>
      </c>
      <c r="E173" s="124" t="str">
        <f>IFERROR(INDEX('كشف الحساب'!$D$4:$D$204,MATCH(168,'كشف الحساب'!$P$4:$P$204,0)),"")</f>
        <v/>
      </c>
      <c r="F173" s="125" t="str">
        <f t="shared" si="5"/>
        <v/>
      </c>
    </row>
    <row r="174" spans="1:6" ht="18" customHeight="1" x14ac:dyDescent="0.25">
      <c r="A174" s="142" t="str">
        <f>IFERROR(INDEX('كشف الحساب'!$A$4:$A$204,MATCH(169,'كشف الحساب'!$P$4:$P$204,0)),"")</f>
        <v/>
      </c>
      <c r="B174" s="122" t="str">
        <f>IFERROR(INDEX('كشف الحساب'!$B$4:$B$204,MATCH(169,'كشف الحساب'!$P$4:$P$204,0)),"")</f>
        <v/>
      </c>
      <c r="C174" s="121" t="str">
        <f>IFERROR(INDEX('كشف الحساب'!$C$4:$C$204,MATCH(169,'كشف الحساب'!$P$4:$P$204,0)),"")</f>
        <v/>
      </c>
      <c r="D174" s="123" t="str">
        <f>IFERROR(INDEX('كشف الحساب'!$E$4:$E$204,MATCH(169,'كشف الحساب'!$P$4:$P$204,0)),"")</f>
        <v/>
      </c>
      <c r="E174" s="124" t="str">
        <f>IFERROR(INDEX('كشف الحساب'!$D$4:$D$204,MATCH(169,'كشف الحساب'!$P$4:$P$204,0)),"")</f>
        <v/>
      </c>
      <c r="F174" s="125" t="str">
        <f t="shared" si="5"/>
        <v/>
      </c>
    </row>
    <row r="175" spans="1:6" ht="18" customHeight="1" x14ac:dyDescent="0.25">
      <c r="A175" s="142" t="str">
        <f>IFERROR(INDEX('كشف الحساب'!$A$4:$A$204,MATCH(170,'كشف الحساب'!$P$4:$P$204,0)),"")</f>
        <v/>
      </c>
      <c r="B175" s="122" t="str">
        <f>IFERROR(INDEX('كشف الحساب'!$B$4:$B$204,MATCH(170,'كشف الحساب'!$P$4:$P$204,0)),"")</f>
        <v/>
      </c>
      <c r="C175" s="121" t="str">
        <f>IFERROR(INDEX('كشف الحساب'!$C$4:$C$204,MATCH(170,'كشف الحساب'!$P$4:$P$204,0)),"")</f>
        <v/>
      </c>
      <c r="D175" s="123" t="str">
        <f>IFERROR(INDEX('كشف الحساب'!$E$4:$E$204,MATCH(170,'كشف الحساب'!$P$4:$P$204,0)),"")</f>
        <v/>
      </c>
      <c r="E175" s="124" t="str">
        <f>IFERROR(INDEX('كشف الحساب'!$D$4:$D$204,MATCH(170,'كشف الحساب'!$P$4:$P$204,0)),"")</f>
        <v/>
      </c>
      <c r="F175" s="125" t="str">
        <f t="shared" si="5"/>
        <v/>
      </c>
    </row>
    <row r="176" spans="1:6" ht="18" customHeight="1" x14ac:dyDescent="0.25">
      <c r="A176" s="142" t="str">
        <f>IFERROR(INDEX('كشف الحساب'!$A$4:$A$204,MATCH(171,'كشف الحساب'!$P$4:$P$204,0)),"")</f>
        <v/>
      </c>
      <c r="B176" s="122" t="str">
        <f>IFERROR(INDEX('كشف الحساب'!$B$4:$B$204,MATCH(171,'كشف الحساب'!$P$4:$P$204,0)),"")</f>
        <v/>
      </c>
      <c r="C176" s="121" t="str">
        <f>IFERROR(INDEX('كشف الحساب'!$C$4:$C$204,MATCH(171,'كشف الحساب'!$P$4:$P$204,0)),"")</f>
        <v/>
      </c>
      <c r="D176" s="123" t="str">
        <f>IFERROR(INDEX('كشف الحساب'!$E$4:$E$204,MATCH(171,'كشف الحساب'!$P$4:$P$204,0)),"")</f>
        <v/>
      </c>
      <c r="E176" s="124" t="str">
        <f>IFERROR(INDEX('كشف الحساب'!$D$4:$D$204,MATCH(171,'كشف الحساب'!$P$4:$P$204,0)),"")</f>
        <v/>
      </c>
      <c r="F176" s="125" t="str">
        <f t="shared" si="5"/>
        <v/>
      </c>
    </row>
    <row r="177" spans="1:6" ht="18" customHeight="1" x14ac:dyDescent="0.25">
      <c r="A177" s="142" t="str">
        <f>IFERROR(INDEX('كشف الحساب'!$A$4:$A$204,MATCH(172,'كشف الحساب'!$P$4:$P$204,0)),"")</f>
        <v/>
      </c>
      <c r="B177" s="122" t="str">
        <f>IFERROR(INDEX('كشف الحساب'!$B$4:$B$204,MATCH(172,'كشف الحساب'!$P$4:$P$204,0)),"")</f>
        <v/>
      </c>
      <c r="C177" s="121" t="str">
        <f>IFERROR(INDEX('كشف الحساب'!$C$4:$C$204,MATCH(172,'كشف الحساب'!$P$4:$P$204,0)),"")</f>
        <v/>
      </c>
      <c r="D177" s="123" t="str">
        <f>IFERROR(INDEX('كشف الحساب'!$E$4:$E$204,MATCH(172,'كشف الحساب'!$P$4:$P$204,0)),"")</f>
        <v/>
      </c>
      <c r="E177" s="124" t="str">
        <f>IFERROR(INDEX('كشف الحساب'!$D$4:$D$204,MATCH(172,'كشف الحساب'!$P$4:$P$204,0)),"")</f>
        <v/>
      </c>
      <c r="F177" s="125" t="str">
        <f t="shared" si="5"/>
        <v/>
      </c>
    </row>
    <row r="178" spans="1:6" ht="18" customHeight="1" x14ac:dyDescent="0.25">
      <c r="A178" s="142" t="str">
        <f>IFERROR(INDEX('كشف الحساب'!$A$4:$A$204,MATCH(173,'كشف الحساب'!$P$4:$P$204,0)),"")</f>
        <v/>
      </c>
      <c r="B178" s="122" t="str">
        <f>IFERROR(INDEX('كشف الحساب'!$B$4:$B$204,MATCH(173,'كشف الحساب'!$P$4:$P$204,0)),"")</f>
        <v/>
      </c>
      <c r="C178" s="121" t="str">
        <f>IFERROR(INDEX('كشف الحساب'!$C$4:$C$204,MATCH(173,'كشف الحساب'!$P$4:$P$204,0)),"")</f>
        <v/>
      </c>
      <c r="D178" s="123" t="str">
        <f>IFERROR(INDEX('كشف الحساب'!$E$4:$E$204,MATCH(173,'كشف الحساب'!$P$4:$P$204,0)),"")</f>
        <v/>
      </c>
      <c r="E178" s="124" t="str">
        <f>IFERROR(INDEX('كشف الحساب'!$D$4:$D$204,MATCH(173,'كشف الحساب'!$P$4:$P$204,0)),"")</f>
        <v/>
      </c>
      <c r="F178" s="125" t="str">
        <f t="shared" si="5"/>
        <v/>
      </c>
    </row>
    <row r="179" spans="1:6" ht="18" customHeight="1" x14ac:dyDescent="0.25">
      <c r="A179" s="142" t="str">
        <f>IFERROR(INDEX('كشف الحساب'!$A$4:$A$204,MATCH(174,'كشف الحساب'!$P$4:$P$204,0)),"")</f>
        <v/>
      </c>
      <c r="B179" s="122" t="str">
        <f>IFERROR(INDEX('كشف الحساب'!$B$4:$B$204,MATCH(174,'كشف الحساب'!$P$4:$P$204,0)),"")</f>
        <v/>
      </c>
      <c r="C179" s="121" t="str">
        <f>IFERROR(INDEX('كشف الحساب'!$C$4:$C$204,MATCH(174,'كشف الحساب'!$P$4:$P$204,0)),"")</f>
        <v/>
      </c>
      <c r="D179" s="123" t="str">
        <f>IFERROR(INDEX('كشف الحساب'!$E$4:$E$204,MATCH(174,'كشف الحساب'!$P$4:$P$204,0)),"")</f>
        <v/>
      </c>
      <c r="E179" s="124" t="str">
        <f>IFERROR(INDEX('كشف الحساب'!$D$4:$D$204,MATCH(174,'كشف الحساب'!$P$4:$P$204,0)),"")</f>
        <v/>
      </c>
      <c r="F179" s="125" t="str">
        <f t="shared" si="5"/>
        <v/>
      </c>
    </row>
    <row r="180" spans="1:6" ht="18" customHeight="1" x14ac:dyDescent="0.25">
      <c r="A180" s="142" t="str">
        <f>IFERROR(INDEX('كشف الحساب'!$A$4:$A$204,MATCH(175,'كشف الحساب'!$P$4:$P$204,0)),"")</f>
        <v/>
      </c>
      <c r="B180" s="122" t="str">
        <f>IFERROR(INDEX('كشف الحساب'!$B$4:$B$204,MATCH(175,'كشف الحساب'!$P$4:$P$204,0)),"")</f>
        <v/>
      </c>
      <c r="C180" s="121" t="str">
        <f>IFERROR(INDEX('كشف الحساب'!$C$4:$C$204,MATCH(175,'كشف الحساب'!$P$4:$P$204,0)),"")</f>
        <v/>
      </c>
      <c r="D180" s="123" t="str">
        <f>IFERROR(INDEX('كشف الحساب'!$E$4:$E$204,MATCH(175,'كشف الحساب'!$P$4:$P$204,0)),"")</f>
        <v/>
      </c>
      <c r="E180" s="124" t="str">
        <f>IFERROR(INDEX('كشف الحساب'!$D$4:$D$204,MATCH(175,'كشف الحساب'!$P$4:$P$204,0)),"")</f>
        <v/>
      </c>
      <c r="F180" s="125" t="str">
        <f t="shared" si="5"/>
        <v/>
      </c>
    </row>
    <row r="181" spans="1:6" ht="18" customHeight="1" x14ac:dyDescent="0.25">
      <c r="A181" s="142" t="str">
        <f>IFERROR(INDEX('كشف الحساب'!$A$4:$A$204,MATCH(176,'كشف الحساب'!$P$4:$P$204,0)),"")</f>
        <v/>
      </c>
      <c r="B181" s="122" t="str">
        <f>IFERROR(INDEX('كشف الحساب'!$B$4:$B$204,MATCH(176,'كشف الحساب'!$P$4:$P$204,0)),"")</f>
        <v/>
      </c>
      <c r="C181" s="121" t="str">
        <f>IFERROR(INDEX('كشف الحساب'!$C$4:$C$204,MATCH(176,'كشف الحساب'!$P$4:$P$204,0)),"")</f>
        <v/>
      </c>
      <c r="D181" s="123" t="str">
        <f>IFERROR(INDEX('كشف الحساب'!$E$4:$E$204,MATCH(176,'كشف الحساب'!$P$4:$P$204,0)),"")</f>
        <v/>
      </c>
      <c r="E181" s="124" t="str">
        <f>IFERROR(INDEX('كشف الحساب'!$D$4:$D$204,MATCH(176,'كشف الحساب'!$P$4:$P$204,0)),"")</f>
        <v/>
      </c>
      <c r="F181" s="125" t="str">
        <f t="shared" si="5"/>
        <v/>
      </c>
    </row>
    <row r="182" spans="1:6" ht="18" customHeight="1" x14ac:dyDescent="0.25">
      <c r="A182" s="142" t="str">
        <f>IFERROR(INDEX('كشف الحساب'!$A$4:$A$204,MATCH(177,'كشف الحساب'!$P$4:$P$204,0)),"")</f>
        <v/>
      </c>
      <c r="B182" s="122" t="str">
        <f>IFERROR(INDEX('كشف الحساب'!$B$4:$B$204,MATCH(177,'كشف الحساب'!$P$4:$P$204,0)),"")</f>
        <v/>
      </c>
      <c r="C182" s="121" t="str">
        <f>IFERROR(INDEX('كشف الحساب'!$C$4:$C$204,MATCH(177,'كشف الحساب'!$P$4:$P$204,0)),"")</f>
        <v/>
      </c>
      <c r="D182" s="123" t="str">
        <f>IFERROR(INDEX('كشف الحساب'!$E$4:$E$204,MATCH(177,'كشف الحساب'!$P$4:$P$204,0)),"")</f>
        <v/>
      </c>
      <c r="E182" s="124" t="str">
        <f>IFERROR(INDEX('كشف الحساب'!$D$4:$D$204,MATCH(177,'كشف الحساب'!$P$4:$P$204,0)),"")</f>
        <v/>
      </c>
      <c r="F182" s="125" t="str">
        <f t="shared" si="5"/>
        <v/>
      </c>
    </row>
    <row r="183" spans="1:6" ht="18" customHeight="1" x14ac:dyDescent="0.25">
      <c r="A183" s="142" t="str">
        <f>IFERROR(INDEX('كشف الحساب'!$A$4:$A$204,MATCH(178,'كشف الحساب'!$P$4:$P$204,0)),"")</f>
        <v/>
      </c>
      <c r="B183" s="122" t="str">
        <f>IFERROR(INDEX('كشف الحساب'!$B$4:$B$204,MATCH(178,'كشف الحساب'!$P$4:$P$204,0)),"")</f>
        <v/>
      </c>
      <c r="C183" s="121" t="str">
        <f>IFERROR(INDEX('كشف الحساب'!$C$4:$C$204,MATCH(178,'كشف الحساب'!$P$4:$P$204,0)),"")</f>
        <v/>
      </c>
      <c r="D183" s="123" t="str">
        <f>IFERROR(INDEX('كشف الحساب'!$E$4:$E$204,MATCH(178,'كشف الحساب'!$P$4:$P$204,0)),"")</f>
        <v/>
      </c>
      <c r="E183" s="124" t="str">
        <f>IFERROR(INDEX('كشف الحساب'!$D$4:$D$204,MATCH(178,'كشف الحساب'!$P$4:$P$204,0)),"")</f>
        <v/>
      </c>
      <c r="F183" s="125" t="str">
        <f t="shared" si="5"/>
        <v/>
      </c>
    </row>
    <row r="184" spans="1:6" ht="18" customHeight="1" x14ac:dyDescent="0.25">
      <c r="A184" s="142" t="str">
        <f>IFERROR(INDEX('كشف الحساب'!$A$4:$A$204,MATCH(179,'كشف الحساب'!$P$4:$P$204,0)),"")</f>
        <v/>
      </c>
      <c r="B184" s="122" t="str">
        <f>IFERROR(INDEX('كشف الحساب'!$B$4:$B$204,MATCH(179,'كشف الحساب'!$P$4:$P$204,0)),"")</f>
        <v/>
      </c>
      <c r="C184" s="121" t="str">
        <f>IFERROR(INDEX('كشف الحساب'!$C$4:$C$204,MATCH(179,'كشف الحساب'!$P$4:$P$204,0)),"")</f>
        <v/>
      </c>
      <c r="D184" s="123" t="str">
        <f>IFERROR(INDEX('كشف الحساب'!$E$4:$E$204,MATCH(179,'كشف الحساب'!$P$4:$P$204,0)),"")</f>
        <v/>
      </c>
      <c r="E184" s="124" t="str">
        <f>IFERROR(INDEX('كشف الحساب'!$D$4:$D$204,MATCH(179,'كشف الحساب'!$P$4:$P$204,0)),"")</f>
        <v/>
      </c>
      <c r="F184" s="125" t="str">
        <f t="shared" si="5"/>
        <v/>
      </c>
    </row>
    <row r="185" spans="1:6" ht="18" customHeight="1" x14ac:dyDescent="0.25">
      <c r="A185" s="142" t="str">
        <f>IFERROR(INDEX('كشف الحساب'!$A$4:$A$204,MATCH(180,'كشف الحساب'!$P$4:$P$204,0)),"")</f>
        <v/>
      </c>
      <c r="B185" s="122" t="str">
        <f>IFERROR(INDEX('كشف الحساب'!$B$4:$B$204,MATCH(180,'كشف الحساب'!$P$4:$P$204,0)),"")</f>
        <v/>
      </c>
      <c r="C185" s="121" t="str">
        <f>IFERROR(INDEX('كشف الحساب'!$C$4:$C$204,MATCH(180,'كشف الحساب'!$P$4:$P$204,0)),"")</f>
        <v/>
      </c>
      <c r="D185" s="123" t="str">
        <f>IFERROR(INDEX('كشف الحساب'!$E$4:$E$204,MATCH(180,'كشف الحساب'!$P$4:$P$204,0)),"")</f>
        <v/>
      </c>
      <c r="E185" s="124" t="str">
        <f>IFERROR(INDEX('كشف الحساب'!$D$4:$D$204,MATCH(180,'كشف الحساب'!$P$4:$P$204,0)),"")</f>
        <v/>
      </c>
      <c r="F185" s="125" t="str">
        <f t="shared" si="5"/>
        <v/>
      </c>
    </row>
    <row r="186" spans="1:6" ht="18" customHeight="1" x14ac:dyDescent="0.25">
      <c r="A186" s="142" t="str">
        <f>IFERROR(INDEX('كشف الحساب'!$A$4:$A$204,MATCH(181,'كشف الحساب'!$P$4:$P$204,0)),"")</f>
        <v/>
      </c>
      <c r="B186" s="122" t="str">
        <f>IFERROR(INDEX('كشف الحساب'!$B$4:$B$204,MATCH(181,'كشف الحساب'!$P$4:$P$204,0)),"")</f>
        <v/>
      </c>
      <c r="C186" s="121" t="str">
        <f>IFERROR(INDEX('كشف الحساب'!$C$4:$C$204,MATCH(181,'كشف الحساب'!$P$4:$P$204,0)),"")</f>
        <v/>
      </c>
      <c r="D186" s="123" t="str">
        <f>IFERROR(INDEX('كشف الحساب'!$E$4:$E$204,MATCH(181,'كشف الحساب'!$P$4:$P$204,0)),"")</f>
        <v/>
      </c>
      <c r="E186" s="124" t="str">
        <f>IFERROR(INDEX('كشف الحساب'!$D$4:$D$204,MATCH(181,'كشف الحساب'!$P$4:$P$204,0)),"")</f>
        <v/>
      </c>
      <c r="F186" s="125" t="str">
        <f t="shared" si="5"/>
        <v/>
      </c>
    </row>
    <row r="187" spans="1:6" ht="18" customHeight="1" x14ac:dyDescent="0.25">
      <c r="A187" s="142" t="str">
        <f>IFERROR(INDEX('كشف الحساب'!$A$4:$A$204,MATCH(182,'كشف الحساب'!$P$4:$P$204,0)),"")</f>
        <v/>
      </c>
      <c r="B187" s="122" t="str">
        <f>IFERROR(INDEX('كشف الحساب'!$B$4:$B$204,MATCH(182,'كشف الحساب'!$P$4:$P$204,0)),"")</f>
        <v/>
      </c>
      <c r="C187" s="121" t="str">
        <f>IFERROR(INDEX('كشف الحساب'!$C$4:$C$204,MATCH(182,'كشف الحساب'!$P$4:$P$204,0)),"")</f>
        <v/>
      </c>
      <c r="D187" s="123" t="str">
        <f>IFERROR(INDEX('كشف الحساب'!$E$4:$E$204,MATCH(182,'كشف الحساب'!$P$4:$P$204,0)),"")</f>
        <v/>
      </c>
      <c r="E187" s="124" t="str">
        <f>IFERROR(INDEX('كشف الحساب'!$D$4:$D$204,MATCH(182,'كشف الحساب'!$P$4:$P$204,0)),"")</f>
        <v/>
      </c>
      <c r="F187" s="125" t="str">
        <f t="shared" si="5"/>
        <v/>
      </c>
    </row>
    <row r="188" spans="1:6" ht="18" customHeight="1" x14ac:dyDescent="0.25">
      <c r="A188" s="142" t="str">
        <f>IFERROR(INDEX('كشف الحساب'!$A$4:$A$204,MATCH(183,'كشف الحساب'!$P$4:$P$204,0)),"")</f>
        <v/>
      </c>
      <c r="B188" s="122" t="str">
        <f>IFERROR(INDEX('كشف الحساب'!$B$4:$B$204,MATCH(183,'كشف الحساب'!$P$4:$P$204,0)),"")</f>
        <v/>
      </c>
      <c r="C188" s="121" t="str">
        <f>IFERROR(INDEX('كشف الحساب'!$C$4:$C$204,MATCH(183,'كشف الحساب'!$P$4:$P$204,0)),"")</f>
        <v/>
      </c>
      <c r="D188" s="123" t="str">
        <f>IFERROR(INDEX('كشف الحساب'!$E$4:$E$204,MATCH(183,'كشف الحساب'!$P$4:$P$204,0)),"")</f>
        <v/>
      </c>
      <c r="E188" s="124" t="str">
        <f>IFERROR(INDEX('كشف الحساب'!$D$4:$D$204,MATCH(183,'كشف الحساب'!$P$4:$P$204,0)),"")</f>
        <v/>
      </c>
      <c r="F188" s="125" t="str">
        <f t="shared" si="5"/>
        <v/>
      </c>
    </row>
    <row r="189" spans="1:6" ht="18" customHeight="1" x14ac:dyDescent="0.25">
      <c r="A189" s="142" t="str">
        <f>IFERROR(INDEX('كشف الحساب'!$A$4:$A$204,MATCH(184,'كشف الحساب'!$P$4:$P$204,0)),"")</f>
        <v/>
      </c>
      <c r="B189" s="122" t="str">
        <f>IFERROR(INDEX('كشف الحساب'!$B$4:$B$204,MATCH(184,'كشف الحساب'!$P$4:$P$204,0)),"")</f>
        <v/>
      </c>
      <c r="C189" s="121" t="str">
        <f>IFERROR(INDEX('كشف الحساب'!$C$4:$C$204,MATCH(184,'كشف الحساب'!$P$4:$P$204,0)),"")</f>
        <v/>
      </c>
      <c r="D189" s="123" t="str">
        <f>IFERROR(INDEX('كشف الحساب'!$E$4:$E$204,MATCH(184,'كشف الحساب'!$P$4:$P$204,0)),"")</f>
        <v/>
      </c>
      <c r="E189" s="124" t="str">
        <f>IFERROR(INDEX('كشف الحساب'!$D$4:$D$204,MATCH(184,'كشف الحساب'!$P$4:$P$204,0)),"")</f>
        <v/>
      </c>
      <c r="F189" s="125" t="str">
        <f t="shared" si="5"/>
        <v/>
      </c>
    </row>
    <row r="190" spans="1:6" ht="18" customHeight="1" x14ac:dyDescent="0.25">
      <c r="A190" s="142" t="str">
        <f>IFERROR(INDEX('كشف الحساب'!$A$4:$A$204,MATCH(185,'كشف الحساب'!$P$4:$P$204,0)),"")</f>
        <v/>
      </c>
      <c r="B190" s="122" t="str">
        <f>IFERROR(INDEX('كشف الحساب'!$B$4:$B$204,MATCH(185,'كشف الحساب'!$P$4:$P$204,0)),"")</f>
        <v/>
      </c>
      <c r="C190" s="121" t="str">
        <f>IFERROR(INDEX('كشف الحساب'!$C$4:$C$204,MATCH(185,'كشف الحساب'!$P$4:$P$204,0)),"")</f>
        <v/>
      </c>
      <c r="D190" s="123" t="str">
        <f>IFERROR(INDEX('كشف الحساب'!$E$4:$E$204,MATCH(185,'كشف الحساب'!$P$4:$P$204,0)),"")</f>
        <v/>
      </c>
      <c r="E190" s="124" t="str">
        <f>IFERROR(INDEX('كشف الحساب'!$D$4:$D$204,MATCH(185,'كشف الحساب'!$P$4:$P$204,0)),"")</f>
        <v/>
      </c>
      <c r="F190" s="125" t="str">
        <f t="shared" si="5"/>
        <v/>
      </c>
    </row>
    <row r="191" spans="1:6" ht="18" customHeight="1" x14ac:dyDescent="0.25">
      <c r="A191" s="142" t="str">
        <f>IFERROR(INDEX('كشف الحساب'!$A$4:$A$204,MATCH(186,'كشف الحساب'!$P$4:$P$204,0)),"")</f>
        <v/>
      </c>
      <c r="B191" s="122" t="str">
        <f>IFERROR(INDEX('كشف الحساب'!$B$4:$B$204,MATCH(186,'كشف الحساب'!$P$4:$P$204,0)),"")</f>
        <v/>
      </c>
      <c r="C191" s="121" t="str">
        <f>IFERROR(INDEX('كشف الحساب'!$C$4:$C$204,MATCH(186,'كشف الحساب'!$P$4:$P$204,0)),"")</f>
        <v/>
      </c>
      <c r="D191" s="123" t="str">
        <f>IFERROR(INDEX('كشف الحساب'!$E$4:$E$204,MATCH(186,'كشف الحساب'!$P$4:$P$204,0)),"")</f>
        <v/>
      </c>
      <c r="E191" s="124" t="str">
        <f>IFERROR(INDEX('كشف الحساب'!$D$4:$D$204,MATCH(186,'كشف الحساب'!$P$4:$P$204,0)),"")</f>
        <v/>
      </c>
      <c r="F191" s="125" t="str">
        <f t="shared" si="5"/>
        <v/>
      </c>
    </row>
    <row r="192" spans="1:6" ht="18" customHeight="1" x14ac:dyDescent="0.25">
      <c r="A192" s="142" t="str">
        <f>IFERROR(INDEX('كشف الحساب'!$A$4:$A$204,MATCH(187,'كشف الحساب'!$P$4:$P$204,0)),"")</f>
        <v/>
      </c>
      <c r="B192" s="122" t="str">
        <f>IFERROR(INDEX('كشف الحساب'!$B$4:$B$204,MATCH(187,'كشف الحساب'!$P$4:$P$204,0)),"")</f>
        <v/>
      </c>
      <c r="C192" s="121" t="str">
        <f>IFERROR(INDEX('كشف الحساب'!$C$4:$C$204,MATCH(187,'كشف الحساب'!$P$4:$P$204,0)),"")</f>
        <v/>
      </c>
      <c r="D192" s="123" t="str">
        <f>IFERROR(INDEX('كشف الحساب'!$E$4:$E$204,MATCH(187,'كشف الحساب'!$P$4:$P$204,0)),"")</f>
        <v/>
      </c>
      <c r="E192" s="124" t="str">
        <f>IFERROR(INDEX('كشف الحساب'!$D$4:$D$204,MATCH(187,'كشف الحساب'!$P$4:$P$204,0)),"")</f>
        <v/>
      </c>
      <c r="F192" s="125" t="str">
        <f t="shared" si="5"/>
        <v/>
      </c>
    </row>
    <row r="193" spans="1:6" ht="18" customHeight="1" x14ac:dyDescent="0.25">
      <c r="A193" s="142" t="str">
        <f>IFERROR(INDEX('كشف الحساب'!$A$4:$A$204,MATCH(188,'كشف الحساب'!$P$4:$P$204,0)),"")</f>
        <v/>
      </c>
      <c r="B193" s="122" t="str">
        <f>IFERROR(INDEX('كشف الحساب'!$B$4:$B$204,MATCH(188,'كشف الحساب'!$P$4:$P$204,0)),"")</f>
        <v/>
      </c>
      <c r="C193" s="121" t="str">
        <f>IFERROR(INDEX('كشف الحساب'!$C$4:$C$204,MATCH(188,'كشف الحساب'!$P$4:$P$204,0)),"")</f>
        <v/>
      </c>
      <c r="D193" s="123" t="str">
        <f>IFERROR(INDEX('كشف الحساب'!$E$4:$E$204,MATCH(188,'كشف الحساب'!$P$4:$P$204,0)),"")</f>
        <v/>
      </c>
      <c r="E193" s="124" t="str">
        <f>IFERROR(INDEX('كشف الحساب'!$D$4:$D$204,MATCH(188,'كشف الحساب'!$P$4:$P$204,0)),"")</f>
        <v/>
      </c>
      <c r="F193" s="125" t="str">
        <f t="shared" si="5"/>
        <v/>
      </c>
    </row>
    <row r="194" spans="1:6" ht="18" customHeight="1" x14ac:dyDescent="0.25">
      <c r="A194" s="142" t="str">
        <f>IFERROR(INDEX('كشف الحساب'!$A$4:$A$204,MATCH(189,'كشف الحساب'!$P$4:$P$204,0)),"")</f>
        <v/>
      </c>
      <c r="B194" s="122" t="str">
        <f>IFERROR(INDEX('كشف الحساب'!$B$4:$B$204,MATCH(189,'كشف الحساب'!$P$4:$P$204,0)),"")</f>
        <v/>
      </c>
      <c r="C194" s="121" t="str">
        <f>IFERROR(INDEX('كشف الحساب'!$C$4:$C$204,MATCH(189,'كشف الحساب'!$P$4:$P$204,0)),"")</f>
        <v/>
      </c>
      <c r="D194" s="123" t="str">
        <f>IFERROR(INDEX('كشف الحساب'!$E$4:$E$204,MATCH(189,'كشف الحساب'!$P$4:$P$204,0)),"")</f>
        <v/>
      </c>
      <c r="E194" s="124" t="str">
        <f>IFERROR(INDEX('كشف الحساب'!$D$4:$D$204,MATCH(189,'كشف الحساب'!$P$4:$P$204,0)),"")</f>
        <v/>
      </c>
      <c r="F194" s="125" t="str">
        <f t="shared" si="5"/>
        <v/>
      </c>
    </row>
    <row r="195" spans="1:6" ht="18" customHeight="1" x14ac:dyDescent="0.25">
      <c r="A195" s="142" t="str">
        <f>IFERROR(INDEX('كشف الحساب'!$A$4:$A$204,MATCH(190,'كشف الحساب'!$P$4:$P$204,0)),"")</f>
        <v/>
      </c>
      <c r="B195" s="122" t="str">
        <f>IFERROR(INDEX('كشف الحساب'!$B$4:$B$204,MATCH(190,'كشف الحساب'!$P$4:$P$204,0)),"")</f>
        <v/>
      </c>
      <c r="C195" s="121" t="str">
        <f>IFERROR(INDEX('كشف الحساب'!$C$4:$C$204,MATCH(190,'كشف الحساب'!$P$4:$P$204,0)),"")</f>
        <v/>
      </c>
      <c r="D195" s="123" t="str">
        <f>IFERROR(INDEX('كشف الحساب'!$E$4:$E$204,MATCH(190,'كشف الحساب'!$P$4:$P$204,0)),"")</f>
        <v/>
      </c>
      <c r="E195" s="124" t="str">
        <f>IFERROR(INDEX('كشف الحساب'!$D$4:$D$204,MATCH(190,'كشف الحساب'!$P$4:$P$204,0)),"")</f>
        <v/>
      </c>
      <c r="F195" s="125" t="str">
        <f t="shared" si="5"/>
        <v/>
      </c>
    </row>
    <row r="196" spans="1:6" ht="18" customHeight="1" x14ac:dyDescent="0.25">
      <c r="A196" s="142" t="str">
        <f>IFERROR(INDEX('كشف الحساب'!$A$4:$A$204,MATCH(191,'كشف الحساب'!$P$4:$P$204,0)),"")</f>
        <v/>
      </c>
      <c r="B196" s="122" t="str">
        <f>IFERROR(INDEX('كشف الحساب'!$B$4:$B$204,MATCH(191,'كشف الحساب'!$P$4:$P$204,0)),"")</f>
        <v/>
      </c>
      <c r="C196" s="121" t="str">
        <f>IFERROR(INDEX('كشف الحساب'!$C$4:$C$204,MATCH(191,'كشف الحساب'!$P$4:$P$204,0)),"")</f>
        <v/>
      </c>
      <c r="D196" s="123" t="str">
        <f>IFERROR(INDEX('كشف الحساب'!$E$4:$E$204,MATCH(191,'كشف الحساب'!$P$4:$P$204,0)),"")</f>
        <v/>
      </c>
      <c r="E196" s="124" t="str">
        <f>IFERROR(INDEX('كشف الحساب'!$D$4:$D$204,MATCH(191,'كشف الحساب'!$P$4:$P$204,0)),"")</f>
        <v/>
      </c>
      <c r="F196" s="125" t="str">
        <f t="shared" si="5"/>
        <v/>
      </c>
    </row>
    <row r="197" spans="1:6" ht="18" customHeight="1" x14ac:dyDescent="0.25">
      <c r="A197" s="142" t="str">
        <f>IFERROR(INDEX('كشف الحساب'!$A$4:$A$204,MATCH(192,'كشف الحساب'!$P$4:$P$204,0)),"")</f>
        <v/>
      </c>
      <c r="B197" s="122" t="str">
        <f>IFERROR(INDEX('كشف الحساب'!$B$4:$B$204,MATCH(192,'كشف الحساب'!$P$4:$P$204,0)),"")</f>
        <v/>
      </c>
      <c r="C197" s="121" t="str">
        <f>IFERROR(INDEX('كشف الحساب'!$C$4:$C$204,MATCH(192,'كشف الحساب'!$P$4:$P$204,0)),"")</f>
        <v/>
      </c>
      <c r="D197" s="123" t="str">
        <f>IFERROR(INDEX('كشف الحساب'!$E$4:$E$204,MATCH(192,'كشف الحساب'!$P$4:$P$204,0)),"")</f>
        <v/>
      </c>
      <c r="E197" s="124" t="str">
        <f>IFERROR(INDEX('كشف الحساب'!$D$4:$D$204,MATCH(192,'كشف الحساب'!$P$4:$P$204,0)),"")</f>
        <v/>
      </c>
      <c r="F197" s="125" t="str">
        <f t="shared" si="5"/>
        <v/>
      </c>
    </row>
    <row r="198" spans="1:6" ht="18" customHeight="1" x14ac:dyDescent="0.25">
      <c r="A198" s="142" t="str">
        <f>IFERROR(INDEX('كشف الحساب'!$A$4:$A$204,MATCH(193,'كشف الحساب'!$P$4:$P$204,0)),"")</f>
        <v/>
      </c>
      <c r="B198" s="122" t="str">
        <f>IFERROR(INDEX('كشف الحساب'!$B$4:$B$204,MATCH(193,'كشف الحساب'!$P$4:$P$204,0)),"")</f>
        <v/>
      </c>
      <c r="C198" s="121" t="str">
        <f>IFERROR(INDEX('كشف الحساب'!$C$4:$C$204,MATCH(193,'كشف الحساب'!$P$4:$P$204,0)),"")</f>
        <v/>
      </c>
      <c r="D198" s="123" t="str">
        <f>IFERROR(INDEX('كشف الحساب'!$E$4:$E$204,MATCH(193,'كشف الحساب'!$P$4:$P$204,0)),"")</f>
        <v/>
      </c>
      <c r="E198" s="124" t="str">
        <f>IFERROR(INDEX('كشف الحساب'!$D$4:$D$204,MATCH(193,'كشف الحساب'!$P$4:$P$204,0)),"")</f>
        <v/>
      </c>
      <c r="F198" s="125" t="str">
        <f t="shared" si="5"/>
        <v/>
      </c>
    </row>
    <row r="199" spans="1:6" ht="18" customHeight="1" x14ac:dyDescent="0.25">
      <c r="A199" s="142" t="str">
        <f>IFERROR(INDEX('كشف الحساب'!$A$4:$A$204,MATCH(194,'كشف الحساب'!$P$4:$P$204,0)),"")</f>
        <v/>
      </c>
      <c r="B199" s="122" t="str">
        <f>IFERROR(INDEX('كشف الحساب'!$B$4:$B$204,MATCH(194,'كشف الحساب'!$P$4:$P$204,0)),"")</f>
        <v/>
      </c>
      <c r="C199" s="121" t="str">
        <f>IFERROR(INDEX('كشف الحساب'!$C$4:$C$204,MATCH(194,'كشف الحساب'!$P$4:$P$204,0)),"")</f>
        <v/>
      </c>
      <c r="D199" s="123" t="str">
        <f>IFERROR(INDEX('كشف الحساب'!$E$4:$E$204,MATCH(194,'كشف الحساب'!$P$4:$P$204,0)),"")</f>
        <v/>
      </c>
      <c r="E199" s="124" t="str">
        <f>IFERROR(INDEX('كشف الحساب'!$D$4:$D$204,MATCH(194,'كشف الحساب'!$P$4:$P$204,0)),"")</f>
        <v/>
      </c>
      <c r="F199" s="125" t="str">
        <f t="shared" ref="F199:F205" si="6">IF($A199="","",IF($F198="",0,$F198)+IF($D199="",0,$D199)-IF($E199="",0,$E199))</f>
        <v/>
      </c>
    </row>
    <row r="200" spans="1:6" ht="18" customHeight="1" x14ac:dyDescent="0.25">
      <c r="A200" s="142" t="str">
        <f>IFERROR(INDEX('كشف الحساب'!$A$4:$A$204,MATCH(195,'كشف الحساب'!$P$4:$P$204,0)),"")</f>
        <v/>
      </c>
      <c r="B200" s="122" t="str">
        <f>IFERROR(INDEX('كشف الحساب'!$B$4:$B$204,MATCH(195,'كشف الحساب'!$P$4:$P$204,0)),"")</f>
        <v/>
      </c>
      <c r="C200" s="121" t="str">
        <f>IFERROR(INDEX('كشف الحساب'!$C$4:$C$204,MATCH(195,'كشف الحساب'!$P$4:$P$204,0)),"")</f>
        <v/>
      </c>
      <c r="D200" s="123" t="str">
        <f>IFERROR(INDEX('كشف الحساب'!$E$4:$E$204,MATCH(195,'كشف الحساب'!$P$4:$P$204,0)),"")</f>
        <v/>
      </c>
      <c r="E200" s="124" t="str">
        <f>IFERROR(INDEX('كشف الحساب'!$D$4:$D$204,MATCH(195,'كشف الحساب'!$P$4:$P$204,0)),"")</f>
        <v/>
      </c>
      <c r="F200" s="125" t="str">
        <f t="shared" si="6"/>
        <v/>
      </c>
    </row>
    <row r="201" spans="1:6" ht="18" customHeight="1" x14ac:dyDescent="0.25">
      <c r="A201" s="142" t="str">
        <f>IFERROR(INDEX('كشف الحساب'!$A$4:$A$204,MATCH(196,'كشف الحساب'!$P$4:$P$204,0)),"")</f>
        <v/>
      </c>
      <c r="B201" s="122" t="str">
        <f>IFERROR(INDEX('كشف الحساب'!$B$4:$B$204,MATCH(196,'كشف الحساب'!$P$4:$P$204,0)),"")</f>
        <v/>
      </c>
      <c r="C201" s="121" t="str">
        <f>IFERROR(INDEX('كشف الحساب'!$C$4:$C$204,MATCH(196,'كشف الحساب'!$P$4:$P$204,0)),"")</f>
        <v/>
      </c>
      <c r="D201" s="123" t="str">
        <f>IFERROR(INDEX('كشف الحساب'!$E$4:$E$204,MATCH(196,'كشف الحساب'!$P$4:$P$204,0)),"")</f>
        <v/>
      </c>
      <c r="E201" s="124" t="str">
        <f>IFERROR(INDEX('كشف الحساب'!$D$4:$D$204,MATCH(196,'كشف الحساب'!$P$4:$P$204,0)),"")</f>
        <v/>
      </c>
      <c r="F201" s="125" t="str">
        <f t="shared" si="6"/>
        <v/>
      </c>
    </row>
    <row r="202" spans="1:6" ht="18" customHeight="1" x14ac:dyDescent="0.25">
      <c r="A202" s="142" t="str">
        <f>IFERROR(INDEX('كشف الحساب'!$A$4:$A$204,MATCH(197,'كشف الحساب'!$P$4:$P$204,0)),"")</f>
        <v/>
      </c>
      <c r="B202" s="122" t="str">
        <f>IFERROR(INDEX('كشف الحساب'!$B$4:$B$204,MATCH(197,'كشف الحساب'!$P$4:$P$204,0)),"")</f>
        <v/>
      </c>
      <c r="C202" s="121" t="str">
        <f>IFERROR(INDEX('كشف الحساب'!$C$4:$C$204,MATCH(197,'كشف الحساب'!$P$4:$P$204,0)),"")</f>
        <v/>
      </c>
      <c r="D202" s="123" t="str">
        <f>IFERROR(INDEX('كشف الحساب'!$E$4:$E$204,MATCH(197,'كشف الحساب'!$P$4:$P$204,0)),"")</f>
        <v/>
      </c>
      <c r="E202" s="124" t="str">
        <f>IFERROR(INDEX('كشف الحساب'!$D$4:$D$204,MATCH(197,'كشف الحساب'!$P$4:$P$204,0)),"")</f>
        <v/>
      </c>
      <c r="F202" s="125" t="str">
        <f t="shared" si="6"/>
        <v/>
      </c>
    </row>
    <row r="203" spans="1:6" ht="18" customHeight="1" x14ac:dyDescent="0.25">
      <c r="A203" s="142" t="str">
        <f>IFERROR(INDEX('كشف الحساب'!$A$4:$A$204,MATCH(198,'كشف الحساب'!$P$4:$P$204,0)),"")</f>
        <v/>
      </c>
      <c r="B203" s="122" t="str">
        <f>IFERROR(INDEX('كشف الحساب'!$B$4:$B$204,MATCH(198,'كشف الحساب'!$P$4:$P$204,0)),"")</f>
        <v/>
      </c>
      <c r="C203" s="121" t="str">
        <f>IFERROR(INDEX('كشف الحساب'!$C$4:$C$204,MATCH(198,'كشف الحساب'!$P$4:$P$204,0)),"")</f>
        <v/>
      </c>
      <c r="D203" s="123" t="str">
        <f>IFERROR(INDEX('كشف الحساب'!$E$4:$E$204,MATCH(198,'كشف الحساب'!$P$4:$P$204,0)),"")</f>
        <v/>
      </c>
      <c r="E203" s="124" t="str">
        <f>IFERROR(INDEX('كشف الحساب'!$D$4:$D$204,MATCH(198,'كشف الحساب'!$P$4:$P$204,0)),"")</f>
        <v/>
      </c>
      <c r="F203" s="125" t="str">
        <f t="shared" si="6"/>
        <v/>
      </c>
    </row>
    <row r="204" spans="1:6" ht="18" customHeight="1" x14ac:dyDescent="0.25">
      <c r="A204" s="142" t="str">
        <f>IFERROR(INDEX('كشف الحساب'!$A$4:$A$204,MATCH(199,'كشف الحساب'!$P$4:$P$204,0)),"")</f>
        <v/>
      </c>
      <c r="B204" s="122" t="str">
        <f>IFERROR(INDEX('كشف الحساب'!$B$4:$B$204,MATCH(199,'كشف الحساب'!$P$4:$P$204,0)),"")</f>
        <v/>
      </c>
      <c r="C204" s="121" t="str">
        <f>IFERROR(INDEX('كشف الحساب'!$C$4:$C$204,MATCH(199,'كشف الحساب'!$P$4:$P$204,0)),"")</f>
        <v/>
      </c>
      <c r="D204" s="123" t="str">
        <f>IFERROR(INDEX('كشف الحساب'!$E$4:$E$204,MATCH(199,'كشف الحساب'!$P$4:$P$204,0)),"")</f>
        <v/>
      </c>
      <c r="E204" s="124" t="str">
        <f>IFERROR(INDEX('كشف الحساب'!$D$4:$D$204,MATCH(199,'كشف الحساب'!$P$4:$P$204,0)),"")</f>
        <v/>
      </c>
      <c r="F204" s="125" t="str">
        <f t="shared" si="6"/>
        <v/>
      </c>
    </row>
    <row r="205" spans="1:6" ht="18" customHeight="1" x14ac:dyDescent="0.25">
      <c r="A205" s="142" t="str">
        <f>IFERROR(INDEX('كشف الحساب'!$A$4:$A$204,MATCH(200,'كشف الحساب'!$P$4:$P$204,0)),"")</f>
        <v/>
      </c>
      <c r="B205" s="122" t="str">
        <f>IFERROR(INDEX('كشف الحساب'!$B$4:$B$204,MATCH(200,'كشف الحساب'!$P$4:$P$204,0)),"")</f>
        <v/>
      </c>
      <c r="C205" s="121" t="str">
        <f>IFERROR(INDEX('كشف الحساب'!$C$4:$C$204,MATCH(200,'كشف الحساب'!$P$4:$P$204,0)),"")</f>
        <v/>
      </c>
      <c r="D205" s="123" t="str">
        <f>IFERROR(INDEX('كشف الحساب'!$E$4:$E$204,MATCH(200,'كشف الحساب'!$P$4:$P$204,0)),"")</f>
        <v/>
      </c>
      <c r="E205" s="124" t="str">
        <f>IFERROR(INDEX('كشف الحساب'!$D$4:$D$204,MATCH(200,'كشف الحساب'!$P$4:$P$204,0)),"")</f>
        <v/>
      </c>
      <c r="F205" s="125" t="str">
        <f t="shared" si="6"/>
        <v/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722.19</v>
      </c>
      <c r="E206" s="129">
        <f>SUM(E6:E205)</f>
        <v>699.79499999999996</v>
      </c>
      <c r="F206" s="130">
        <f>IFERROR(LOOKUP(2,1/($F$6:$F$205&lt;&gt;""),$F$6:$F$205),0)</f>
        <v>22.395000000000007</v>
      </c>
    </row>
    <row r="208" spans="1:6" ht="18" customHeight="1" x14ac:dyDescent="0.25">
      <c r="A208" s="148" t="s">
        <v>10</v>
      </c>
      <c r="B208" s="149"/>
      <c r="C208" s="149"/>
      <c r="D208" s="149"/>
      <c r="E208" s="149"/>
      <c r="F208" s="150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الحساب'!$A$4:$A$204,MATCH(1,'كشف الحساب'!$Q$4:$Q$204,0)),"")</f>
        <v>46131</v>
      </c>
      <c r="B210" s="133">
        <f>IFERROR(INDEX('كشف الحساب'!$B$4:$B$204,MATCH(1,'كشف الحساب'!$Q$4:$Q$204,0)),"")</f>
        <v>0</v>
      </c>
      <c r="C210" s="132" t="str">
        <f>IFERROR(INDEX('كشف الحساب'!$C$4:$C$204,MATCH(1,'كشف الحساب'!$Q$4:$Q$204,0)),"")</f>
        <v>تبديل كمبرسيور ثلاجة العمال</v>
      </c>
      <c r="D210" s="134">
        <f>IFERROR(INDEX('كشف الحساب'!$D$4:$D$204,MATCH(1,'كشف الحساب'!$Q$4:$Q$204,0)),"")</f>
        <v>45</v>
      </c>
      <c r="E210" s="135" t="str">
        <f>IFERROR(INDEX('كشف الحساب'!$G$4:$G$204,MATCH(1,'كشف الحساب'!$Q$4:$Q$204,0)),"")</f>
        <v>أبو اسحاق</v>
      </c>
      <c r="F210" s="132"/>
    </row>
    <row r="211" spans="1:6" ht="18" customHeight="1" x14ac:dyDescent="0.25">
      <c r="A211" s="143">
        <f>IFERROR(INDEX('كشف الحساب'!$A$4:$A$204,MATCH(2,'كشف الحساب'!$Q$4:$Q$204,0)),"")</f>
        <v>46134</v>
      </c>
      <c r="B211" s="133" t="str">
        <f>IFERROR(INDEX('كشف الحساب'!$B$4:$B$204,MATCH(2,'كشف الحساب'!$Q$4:$Q$204,0)),"")</f>
        <v>11300</v>
      </c>
      <c r="C211" s="132" t="str">
        <f>IFERROR(INDEX('كشف الحساب'!$C$4:$C$204,MATCH(2,'كشف الحساب'!$Q$4:$Q$204,0)),"")</f>
        <v>فلاتر كيميكال لمحطة التحلية</v>
      </c>
      <c r="D211" s="134">
        <f>IFERROR(INDEX('كشف الحساب'!$D$4:$D$204,MATCH(2,'كشف الحساب'!$Q$4:$Q$204,0)),"")</f>
        <v>55</v>
      </c>
      <c r="E211" s="135" t="str">
        <f>IFERROR(INDEX('كشف الحساب'!$G$4:$G$204,MATCH(2,'كشف الحساب'!$Q$4:$Q$204,0)),"")</f>
        <v>أبو اسحاق</v>
      </c>
      <c r="F211" s="132"/>
    </row>
    <row r="212" spans="1:6" ht="18" customHeight="1" x14ac:dyDescent="0.25">
      <c r="A212" s="143">
        <f>IFERROR(INDEX('كشف الحساب'!$A$4:$A$204,MATCH(3,'كشف الحساب'!$Q$4:$Q$204,0)),"")</f>
        <v>46134</v>
      </c>
      <c r="B212" s="133">
        <f>IFERROR(INDEX('كشف الحساب'!$B$4:$B$204,MATCH(3,'كشف الحساب'!$Q$4:$Q$204,0)),"")</f>
        <v>0</v>
      </c>
      <c r="C212" s="132" t="str">
        <f>IFERROR(INDEX('كشف الحساب'!$C$4:$C$204,MATCH(3,'كشف الحساب'!$Q$4:$Q$204,0)),"")</f>
        <v>ديزل لمكينة الكهرباء</v>
      </c>
      <c r="D212" s="134">
        <f>IFERROR(INDEX('كشف الحساب'!$D$4:$D$204,MATCH(3,'كشف الحساب'!$Q$4:$Q$204,0)),"")</f>
        <v>20</v>
      </c>
      <c r="E212" s="135" t="str">
        <f>IFERROR(INDEX('كشف الحساب'!$G$4:$G$204,MATCH(3,'كشف الحساب'!$Q$4:$Q$204,0)),"")</f>
        <v>أبو اسحاق</v>
      </c>
      <c r="F212" s="132"/>
    </row>
    <row r="213" spans="1:6" ht="18" customHeight="1" x14ac:dyDescent="0.25">
      <c r="A213" s="143">
        <f>IFERROR(INDEX('كشف الحساب'!$A$4:$A$204,MATCH(4,'كشف الحساب'!$Q$4:$Q$204,0)),"")</f>
        <v>46134</v>
      </c>
      <c r="B213" s="133" t="str">
        <f>IFERROR(INDEX('كشف الحساب'!$B$4:$B$204,MATCH(4,'كشف الحساب'!$Q$4:$Q$204,0)),"")</f>
        <v>242</v>
      </c>
      <c r="C213" s="132" t="str">
        <f>IFERROR(INDEX('كشف الحساب'!$C$4:$C$204,MATCH(4,'كشف الحساب'!$Q$4:$Q$204,0)),"")</f>
        <v>احواض حجم25سم عدد 2000</v>
      </c>
      <c r="D213" s="134">
        <f>IFERROR(INDEX('كشف الحساب'!$D$4:$D$204,MATCH(4,'كشف الحساب'!$Q$4:$Q$204,0)),"")</f>
        <v>160</v>
      </c>
      <c r="E213" s="135" t="str">
        <f>IFERROR(INDEX('كشف الحساب'!$G$4:$G$204,MATCH(4,'كشف الحساب'!$Q$4:$Q$204,0)),"")</f>
        <v>أبو آدم</v>
      </c>
      <c r="F213" s="132"/>
    </row>
    <row r="214" spans="1:6" ht="18" customHeight="1" x14ac:dyDescent="0.25">
      <c r="A214" s="143">
        <f>IFERROR(INDEX('كشف الحساب'!$A$4:$A$204,MATCH(5,'كشف الحساب'!$Q$4:$Q$204,0)),"")</f>
        <v>46151</v>
      </c>
      <c r="B214" s="133">
        <f>IFERROR(INDEX('كشف الحساب'!$B$4:$B$204,MATCH(5,'كشف الحساب'!$Q$4:$Q$204,0)),"")</f>
        <v>18213</v>
      </c>
      <c r="C214" s="132" t="str">
        <f>IFERROR(INDEX('كشف الحساب'!$C$4:$C$204,MATCH(5,'كشف الحساب'!$Q$4:$Q$204,0)),"")</f>
        <v>شراء دريل</v>
      </c>
      <c r="D214" s="134">
        <f>IFERROR(INDEX('كشف الحساب'!$D$4:$D$204,MATCH(5,'كشف الحساب'!$Q$4:$Q$204,0)),"")</f>
        <v>9</v>
      </c>
      <c r="E214" s="135" t="str">
        <f>IFERROR(INDEX('كشف الحساب'!$G$4:$G$204,MATCH(5,'كشف الحساب'!$Q$4:$Q$204,0)),"")</f>
        <v>أبو اسحاق</v>
      </c>
      <c r="F214" s="132"/>
    </row>
    <row r="215" spans="1:6" ht="18" customHeight="1" x14ac:dyDescent="0.25">
      <c r="A215" s="143">
        <f>IFERROR(INDEX('كشف الحساب'!$A$4:$A$204,MATCH(6,'كشف الحساب'!$Q$4:$Q$204,0)),"")</f>
        <v>46167</v>
      </c>
      <c r="B215" s="133">
        <f>IFERROR(INDEX('كشف الحساب'!$B$4:$B$204,MATCH(6,'كشف الحساب'!$Q$4:$Q$204,0)),"")</f>
        <v>0</v>
      </c>
      <c r="C215" s="132" t="str">
        <f>IFERROR(INDEX('كشف الحساب'!$C$4:$C$204,MATCH(6,'كشف الحساب'!$Q$4:$Q$204,0)),"")</f>
        <v>يزل ماكينه كهرباء</v>
      </c>
      <c r="D215" s="134">
        <f>IFERROR(INDEX('كشف الحساب'!$D$4:$D$204,MATCH(6,'كشف الحساب'!$Q$4:$Q$204,0)),"")</f>
        <v>26</v>
      </c>
      <c r="E215" s="135" t="str">
        <f>IFERROR(INDEX('كشف الحساب'!$G$4:$G$204,MATCH(6,'كشف الحساب'!$Q$4:$Q$204,0)),"")</f>
        <v>أبو اسحاق</v>
      </c>
      <c r="F215" s="132"/>
    </row>
    <row r="216" spans="1:6" ht="18" customHeight="1" x14ac:dyDescent="0.25">
      <c r="A216" s="143">
        <f>IFERROR(INDEX('كشف الحساب'!$A$4:$A$204,MATCH(7,'كشف الحساب'!$Q$4:$Q$204,0)),"")</f>
        <v>46167</v>
      </c>
      <c r="B216" s="133">
        <f>IFERROR(INDEX('كشف الحساب'!$B$4:$B$204,MATCH(7,'كشف الحساب'!$Q$4:$Q$204,0)),"")</f>
        <v>0</v>
      </c>
      <c r="C216" s="132" t="str">
        <f>IFERROR(INDEX('كشف الحساب'!$C$4:$C$204,MATCH(7,'كشف الحساب'!$Q$4:$Q$204,0)),"")</f>
        <v>راتب عماله مايو 2025</v>
      </c>
      <c r="D216" s="134">
        <f>IFERROR(INDEX('كشف الحساب'!$D$4:$D$204,MATCH(7,'كشف الحساب'!$Q$4:$Q$204,0)),"")</f>
        <v>250</v>
      </c>
      <c r="E216" s="135" t="str">
        <f>IFERROR(INDEX('كشف الحساب'!$G$4:$G$204,MATCH(7,'كشف الحساب'!$Q$4:$Q$204,0)),"")</f>
        <v>أبو آدم</v>
      </c>
      <c r="F216" s="132"/>
    </row>
    <row r="217" spans="1:6" ht="18" customHeight="1" x14ac:dyDescent="0.25">
      <c r="A217" s="143">
        <f>IFERROR(INDEX('كشف الحساب'!$A$4:$A$204,MATCH(8,'كشف الحساب'!$Q$4:$Q$204,0)),"")</f>
        <v>46167</v>
      </c>
      <c r="B217" s="133">
        <f>IFERROR(INDEX('كشف الحساب'!$B$4:$B$204,MATCH(8,'كشف الحساب'!$Q$4:$Q$204,0)),"")</f>
        <v>0</v>
      </c>
      <c r="C217" s="132" t="str">
        <f>IFERROR(INDEX('كشف الحساب'!$C$4:$C$204,MATCH(8,'كشف الحساب'!$Q$4:$Q$204,0)),"")</f>
        <v>راتب عماله مايو 2025</v>
      </c>
      <c r="D217" s="134">
        <f>IFERROR(INDEX('كشف الحساب'!$D$4:$D$204,MATCH(8,'كشف الحساب'!$Q$4:$Q$204,0)),"")</f>
        <v>250</v>
      </c>
      <c r="E217" s="135" t="str">
        <f>IFERROR(INDEX('كشف الحساب'!$G$4:$G$204,MATCH(8,'كشف الحساب'!$Q$4:$Q$204,0)),"")</f>
        <v>أبو اسحاق</v>
      </c>
      <c r="F217" s="132"/>
    </row>
    <row r="218" spans="1:6" ht="18" customHeight="1" x14ac:dyDescent="0.25">
      <c r="A218" s="143">
        <f>IFERROR(INDEX('كشف الحساب'!$A$4:$A$204,MATCH(9,'كشف الحساب'!$Q$4:$Q$204,0)),"")</f>
        <v>46187</v>
      </c>
      <c r="B218" s="133">
        <f>IFERROR(INDEX('كشف الحساب'!$B$4:$B$204,MATCH(9,'كشف الحساب'!$Q$4:$Q$204,0)),"")</f>
        <v>0</v>
      </c>
      <c r="C218" s="132" t="str">
        <f>IFERROR(INDEX('كشف الحساب'!$C$4:$C$204,MATCH(9,'كشف الحساب'!$Q$4:$Q$204,0)),"")</f>
        <v>عصايا عدد 2000 احواض معاقات عدد 250</v>
      </c>
      <c r="D218" s="134">
        <f>IFERROR(INDEX('كشف الحساب'!$D$4:$D$204,MATCH(9,'كشف الحساب'!$Q$4:$Q$204,0)),"")</f>
        <v>107.5</v>
      </c>
      <c r="E218" s="135" t="str">
        <f>IFERROR(INDEX('كشف الحساب'!$G$4:$G$204,MATCH(9,'كشف الحساب'!$Q$4:$Q$204,0)),"")</f>
        <v>أبو اسحاق</v>
      </c>
      <c r="F218" s="132"/>
    </row>
    <row r="219" spans="1:6" ht="18" customHeight="1" x14ac:dyDescent="0.25">
      <c r="A219" s="143">
        <f>IFERROR(INDEX('كشف الحساب'!$A$4:$A$204,MATCH(10,'كشف الحساب'!$Q$4:$Q$204,0)),"")</f>
        <v>46203</v>
      </c>
      <c r="B219" s="133">
        <f>IFERROR(INDEX('كشف الحساب'!$B$4:$B$204,MATCH(10,'كشف الحساب'!$Q$4:$Q$204,0)),"")</f>
        <v>0</v>
      </c>
      <c r="C219" s="132" t="str">
        <f>IFERROR(INDEX('كشف الحساب'!$C$4:$C$204,MATCH(10,'كشف الحساب'!$Q$4:$Q$204,0)),"")</f>
        <v>تكمله رواتب يونيو 2026 ابوادم</v>
      </c>
      <c r="D219" s="134">
        <f>IFERROR(INDEX('كشف الحساب'!$D$4:$D$204,MATCH(10,'كشف الحساب'!$Q$4:$Q$204,0)),"")</f>
        <v>50</v>
      </c>
      <c r="E219" s="135" t="str">
        <f>IFERROR(INDEX('كشف الحساب'!$G$4:$G$204,MATCH(10,'كشف الحساب'!$Q$4:$Q$204,0)),"")</f>
        <v>أبو آدم</v>
      </c>
      <c r="F219" s="132"/>
    </row>
    <row r="220" spans="1:6" ht="18" customHeight="1" x14ac:dyDescent="0.25">
      <c r="A220" s="143">
        <f>IFERROR(INDEX('كشف الحساب'!$A$4:$A$204,MATCH(11,'كشف الحساب'!$Q$4:$Q$204,0)),"")</f>
        <v>46203</v>
      </c>
      <c r="B220" s="133">
        <f>IFERROR(INDEX('كشف الحساب'!$B$4:$B$204,MATCH(11,'كشف الحساب'!$Q$4:$Q$204,0)),"")</f>
        <v>0</v>
      </c>
      <c r="C220" s="132" t="str">
        <f>IFERROR(INDEX('كشف الحساب'!$C$4:$C$204,MATCH(11,'كشف الحساب'!$Q$4:$Q$204,0)),"")</f>
        <v>تكمله رواتب يونيو 2026 ابواسحاق</v>
      </c>
      <c r="D220" s="134">
        <f>IFERROR(INDEX('كشف الحساب'!$D$4:$D$204,MATCH(11,'كشف الحساب'!$Q$4:$Q$204,0)),"")</f>
        <v>50</v>
      </c>
      <c r="E220" s="135" t="str">
        <f>IFERROR(INDEX('كشف الحساب'!$G$4:$G$204,MATCH(11,'كشف الحساب'!$Q$4:$Q$204,0)),"")</f>
        <v>أبو اسحاق</v>
      </c>
      <c r="F220" s="132"/>
    </row>
    <row r="221" spans="1:6" ht="18" customHeight="1" x14ac:dyDescent="0.25">
      <c r="A221" s="143">
        <f>IFERROR(INDEX('كشف الحساب'!$A$4:$A$204,MATCH(12,'كشف الحساب'!$Q$4:$Q$204,0)),"")</f>
        <v>46232</v>
      </c>
      <c r="B221" s="133">
        <f>IFERROR(INDEX('كشف الحساب'!$B$4:$B$204,MATCH(12,'كشف الحساب'!$Q$4:$Q$204,0)),"")</f>
        <v>0</v>
      </c>
      <c r="C221" s="132" t="str">
        <f>IFERROR(INDEX('كشف الحساب'!$C$4:$C$204,MATCH(12,'كشف الحساب'!$Q$4:$Q$204,0)),"")</f>
        <v>عدد 3 عماله + 10 ايام العامل البديل 40 دينار +50 كهرباء (تم دفه 99 من المحفظه)</v>
      </c>
      <c r="D221" s="134">
        <f>IFERROR(INDEX('كشف الحساب'!$D$4:$D$204,MATCH(12,'كشف الحساب'!$Q$4:$Q$204,0)),"")</f>
        <v>205.5</v>
      </c>
      <c r="E221" s="135" t="str">
        <f>IFERROR(INDEX('كشف الحساب'!$G$4:$G$204,MATCH(12,'كشف الحساب'!$Q$4:$Q$204,0)),"")</f>
        <v>أبو آدم</v>
      </c>
      <c r="F221" s="132"/>
    </row>
    <row r="222" spans="1:6" ht="18" customHeight="1" x14ac:dyDescent="0.25">
      <c r="A222" s="143">
        <f>IFERROR(INDEX('كشف الحساب'!$A$4:$A$204,MATCH(13,'كشف الحساب'!$Q$4:$Q$204,0)),"")</f>
        <v>46232</v>
      </c>
      <c r="B222" s="133">
        <f>IFERROR(INDEX('كشف الحساب'!$B$4:$B$204,MATCH(13,'كشف الحساب'!$Q$4:$Q$204,0)),"")</f>
        <v>0</v>
      </c>
      <c r="C222" s="132" t="str">
        <f>IFERROR(INDEX('كشف الحساب'!$C$4:$C$204,MATCH(13,'كشف الحساب'!$Q$4:$Q$204,0)),"")</f>
        <v>عدد 3 عماله + 10 ايام العامل البديل 40 دينار +50 كهرباء (تم دفه 99 من المحفظه)</v>
      </c>
      <c r="D222" s="134">
        <f>IFERROR(INDEX('كشف الحساب'!$D$4:$D$204,MATCH(13,'كشف الحساب'!$Q$4:$Q$204,0)),"")</f>
        <v>205.5</v>
      </c>
      <c r="E222" s="135" t="str">
        <f>IFERROR(INDEX('كشف الحساب'!$G$4:$G$204,MATCH(13,'كشف الحساب'!$Q$4:$Q$204,0)),"")</f>
        <v>أبو اسحاق</v>
      </c>
      <c r="F222" s="132"/>
    </row>
    <row r="223" spans="1:6" ht="18" customHeight="1" x14ac:dyDescent="0.25">
      <c r="A223" s="143" t="str">
        <f>IFERROR(INDEX('كشف الحساب'!$A$4:$A$204,MATCH(14,'كشف الحساب'!$Q$4:$Q$204,0)),"")</f>
        <v/>
      </c>
      <c r="B223" s="133" t="str">
        <f>IFERROR(INDEX('كشف الحساب'!$B$4:$B$204,MATCH(14,'كشف الحساب'!$Q$4:$Q$204,0)),"")</f>
        <v/>
      </c>
      <c r="C223" s="132" t="str">
        <f>IFERROR(INDEX('كشف الحساب'!$C$4:$C$204,MATCH(14,'كشف الحساب'!$Q$4:$Q$204,0)),"")</f>
        <v/>
      </c>
      <c r="D223" s="134" t="str">
        <f>IFERROR(INDEX('كشف الحساب'!$D$4:$D$204,MATCH(14,'كشف الحساب'!$Q$4:$Q$204,0)),"")</f>
        <v/>
      </c>
      <c r="E223" s="135" t="str">
        <f>IFERROR(INDEX('كشف الحساب'!$G$4:$G$204,MATCH(14,'كشف الحساب'!$Q$4:$Q$204,0)),"")</f>
        <v/>
      </c>
      <c r="F223" s="132"/>
    </row>
    <row r="224" spans="1:6" ht="18" customHeight="1" x14ac:dyDescent="0.25">
      <c r="A224" s="143" t="str">
        <f>IFERROR(INDEX('كشف الحساب'!$A$4:$A$204,MATCH(15,'كشف الحساب'!$Q$4:$Q$204,0)),"")</f>
        <v/>
      </c>
      <c r="B224" s="133" t="str">
        <f>IFERROR(INDEX('كشف الحساب'!$B$4:$B$204,MATCH(15,'كشف الحساب'!$Q$4:$Q$204,0)),"")</f>
        <v/>
      </c>
      <c r="C224" s="132" t="str">
        <f>IFERROR(INDEX('كشف الحساب'!$C$4:$C$204,MATCH(15,'كشف الحساب'!$Q$4:$Q$204,0)),"")</f>
        <v/>
      </c>
      <c r="D224" s="134" t="str">
        <f>IFERROR(INDEX('كشف الحساب'!$D$4:$D$204,MATCH(15,'كشف الحساب'!$Q$4:$Q$204,0)),"")</f>
        <v/>
      </c>
      <c r="E224" s="135" t="str">
        <f>IFERROR(INDEX('كشف الحساب'!$G$4:$G$204,MATCH(15,'كشف الحساب'!$Q$4:$Q$204,0)),"")</f>
        <v/>
      </c>
      <c r="F224" s="132"/>
    </row>
    <row r="225" spans="1:6" ht="18" customHeight="1" x14ac:dyDescent="0.25">
      <c r="A225" s="143" t="str">
        <f>IFERROR(INDEX('كشف الحساب'!$A$4:$A$204,MATCH(16,'كشف الحساب'!$Q$4:$Q$204,0)),"")</f>
        <v/>
      </c>
      <c r="B225" s="133" t="str">
        <f>IFERROR(INDEX('كشف الحساب'!$B$4:$B$204,MATCH(16,'كشف الحساب'!$Q$4:$Q$204,0)),"")</f>
        <v/>
      </c>
      <c r="C225" s="132" t="str">
        <f>IFERROR(INDEX('كشف الحساب'!$C$4:$C$204,MATCH(16,'كشف الحساب'!$Q$4:$Q$204,0)),"")</f>
        <v/>
      </c>
      <c r="D225" s="134" t="str">
        <f>IFERROR(INDEX('كشف الحساب'!$D$4:$D$204,MATCH(16,'كشف الحساب'!$Q$4:$Q$204,0)),"")</f>
        <v/>
      </c>
      <c r="E225" s="135" t="str">
        <f>IFERROR(INDEX('كشف الحساب'!$G$4:$G$204,MATCH(16,'كشف الحساب'!$Q$4:$Q$204,0)),"")</f>
        <v/>
      </c>
      <c r="F225" s="132"/>
    </row>
    <row r="226" spans="1:6" ht="18" customHeight="1" x14ac:dyDescent="0.25">
      <c r="A226" s="143" t="str">
        <f>IFERROR(INDEX('كشف الحساب'!$A$4:$A$204,MATCH(17,'كشف الحساب'!$Q$4:$Q$204,0)),"")</f>
        <v/>
      </c>
      <c r="B226" s="133" t="str">
        <f>IFERROR(INDEX('كشف الحساب'!$B$4:$B$204,MATCH(17,'كشف الحساب'!$Q$4:$Q$204,0)),"")</f>
        <v/>
      </c>
      <c r="C226" s="132" t="str">
        <f>IFERROR(INDEX('كشف الحساب'!$C$4:$C$204,MATCH(17,'كشف الحساب'!$Q$4:$Q$204,0)),"")</f>
        <v/>
      </c>
      <c r="D226" s="134" t="str">
        <f>IFERROR(INDEX('كشف الحساب'!$D$4:$D$204,MATCH(17,'كشف الحساب'!$Q$4:$Q$204,0)),"")</f>
        <v/>
      </c>
      <c r="E226" s="135" t="str">
        <f>IFERROR(INDEX('كشف الحساب'!$G$4:$G$204,MATCH(17,'كشف الحساب'!$Q$4:$Q$204,0)),"")</f>
        <v/>
      </c>
      <c r="F226" s="132"/>
    </row>
    <row r="227" spans="1:6" ht="18" customHeight="1" x14ac:dyDescent="0.25">
      <c r="A227" s="143" t="str">
        <f>IFERROR(INDEX('كشف الحساب'!$A$4:$A$204,MATCH(18,'كشف الحساب'!$Q$4:$Q$204,0)),"")</f>
        <v/>
      </c>
      <c r="B227" s="133" t="str">
        <f>IFERROR(INDEX('كشف الحساب'!$B$4:$B$204,MATCH(18,'كشف الحساب'!$Q$4:$Q$204,0)),"")</f>
        <v/>
      </c>
      <c r="C227" s="132" t="str">
        <f>IFERROR(INDEX('كشف الحساب'!$C$4:$C$204,MATCH(18,'كشف الحساب'!$Q$4:$Q$204,0)),"")</f>
        <v/>
      </c>
      <c r="D227" s="134" t="str">
        <f>IFERROR(INDEX('كشف الحساب'!$D$4:$D$204,MATCH(18,'كشف الحساب'!$Q$4:$Q$204,0)),"")</f>
        <v/>
      </c>
      <c r="E227" s="135" t="str">
        <f>IFERROR(INDEX('كشف الحساب'!$G$4:$G$204,MATCH(18,'كشف الحساب'!$Q$4:$Q$204,0)),"")</f>
        <v/>
      </c>
      <c r="F227" s="132"/>
    </row>
    <row r="228" spans="1:6" ht="18" customHeight="1" x14ac:dyDescent="0.25">
      <c r="A228" s="143" t="str">
        <f>IFERROR(INDEX('كشف الحساب'!$A$4:$A$204,MATCH(19,'كشف الحساب'!$Q$4:$Q$204,0)),"")</f>
        <v/>
      </c>
      <c r="B228" s="133" t="str">
        <f>IFERROR(INDEX('كشف الحساب'!$B$4:$B$204,MATCH(19,'كشف الحساب'!$Q$4:$Q$204,0)),"")</f>
        <v/>
      </c>
      <c r="C228" s="132" t="str">
        <f>IFERROR(INDEX('كشف الحساب'!$C$4:$C$204,MATCH(19,'كشف الحساب'!$Q$4:$Q$204,0)),"")</f>
        <v/>
      </c>
      <c r="D228" s="134" t="str">
        <f>IFERROR(INDEX('كشف الحساب'!$D$4:$D$204,MATCH(19,'كشف الحساب'!$Q$4:$Q$204,0)),"")</f>
        <v/>
      </c>
      <c r="E228" s="135" t="str">
        <f>IFERROR(INDEX('كشف الحساب'!$G$4:$G$204,MATCH(19,'كشف الحساب'!$Q$4:$Q$204,0)),"")</f>
        <v/>
      </c>
      <c r="F228" s="132"/>
    </row>
    <row r="229" spans="1:6" ht="18" customHeight="1" x14ac:dyDescent="0.25">
      <c r="A229" s="143" t="str">
        <f>IFERROR(INDEX('كشف الحساب'!$A$4:$A$204,MATCH(20,'كشف الحساب'!$Q$4:$Q$204,0)),"")</f>
        <v/>
      </c>
      <c r="B229" s="133" t="str">
        <f>IFERROR(INDEX('كشف الحساب'!$B$4:$B$204,MATCH(20,'كشف الحساب'!$Q$4:$Q$204,0)),"")</f>
        <v/>
      </c>
      <c r="C229" s="132" t="str">
        <f>IFERROR(INDEX('كشف الحساب'!$C$4:$C$204,MATCH(20,'كشف الحساب'!$Q$4:$Q$204,0)),"")</f>
        <v/>
      </c>
      <c r="D229" s="134" t="str">
        <f>IFERROR(INDEX('كشف الحساب'!$D$4:$D$204,MATCH(20,'كشف الحساب'!$Q$4:$Q$204,0)),"")</f>
        <v/>
      </c>
      <c r="E229" s="135" t="str">
        <f>IFERROR(INDEX('كشف الحساب'!$G$4:$G$204,MATCH(20,'كشف الحساب'!$Q$4:$Q$204,0)),"")</f>
        <v/>
      </c>
      <c r="F229" s="132"/>
    </row>
    <row r="230" spans="1:6" ht="18" customHeight="1" x14ac:dyDescent="0.25">
      <c r="A230" s="143" t="str">
        <f>IFERROR(INDEX('كشف الحساب'!$A$4:$A$204,MATCH(21,'كشف الحساب'!$Q$4:$Q$204,0)),"")</f>
        <v/>
      </c>
      <c r="B230" s="133" t="str">
        <f>IFERROR(INDEX('كشف الحساب'!$B$4:$B$204,MATCH(21,'كشف الحساب'!$Q$4:$Q$204,0)),"")</f>
        <v/>
      </c>
      <c r="C230" s="132" t="str">
        <f>IFERROR(INDEX('كشف الحساب'!$C$4:$C$204,MATCH(21,'كشف الحساب'!$Q$4:$Q$204,0)),"")</f>
        <v/>
      </c>
      <c r="D230" s="134" t="str">
        <f>IFERROR(INDEX('كشف الحساب'!$D$4:$D$204,MATCH(21,'كشف الحساب'!$Q$4:$Q$204,0)),"")</f>
        <v/>
      </c>
      <c r="E230" s="135" t="str">
        <f>IFERROR(INDEX('كشف الحساب'!$G$4:$G$204,MATCH(21,'كشف الحساب'!$Q$4:$Q$204,0)),"")</f>
        <v/>
      </c>
      <c r="F230" s="132"/>
    </row>
    <row r="231" spans="1:6" ht="18" customHeight="1" x14ac:dyDescent="0.25">
      <c r="A231" s="143" t="str">
        <f>IFERROR(INDEX('كشف الحساب'!$A$4:$A$204,MATCH(22,'كشف الحساب'!$Q$4:$Q$204,0)),"")</f>
        <v/>
      </c>
      <c r="B231" s="133" t="str">
        <f>IFERROR(INDEX('كشف الحساب'!$B$4:$B$204,MATCH(22,'كشف الحساب'!$Q$4:$Q$204,0)),"")</f>
        <v/>
      </c>
      <c r="C231" s="132" t="str">
        <f>IFERROR(INDEX('كشف الحساب'!$C$4:$C$204,MATCH(22,'كشف الحساب'!$Q$4:$Q$204,0)),"")</f>
        <v/>
      </c>
      <c r="D231" s="134" t="str">
        <f>IFERROR(INDEX('كشف الحساب'!$D$4:$D$204,MATCH(22,'كشف الحساب'!$Q$4:$Q$204,0)),"")</f>
        <v/>
      </c>
      <c r="E231" s="135" t="str">
        <f>IFERROR(INDEX('كشف الحساب'!$G$4:$G$204,MATCH(22,'كشف الحساب'!$Q$4:$Q$204,0)),"")</f>
        <v/>
      </c>
      <c r="F231" s="132"/>
    </row>
    <row r="232" spans="1:6" ht="18" customHeight="1" x14ac:dyDescent="0.25">
      <c r="A232" s="143" t="str">
        <f>IFERROR(INDEX('كشف الحساب'!$A$4:$A$204,MATCH(23,'كشف الحساب'!$Q$4:$Q$204,0)),"")</f>
        <v/>
      </c>
      <c r="B232" s="133" t="str">
        <f>IFERROR(INDEX('كشف الحساب'!$B$4:$B$204,MATCH(23,'كشف الحساب'!$Q$4:$Q$204,0)),"")</f>
        <v/>
      </c>
      <c r="C232" s="132" t="str">
        <f>IFERROR(INDEX('كشف الحساب'!$C$4:$C$204,MATCH(23,'كشف الحساب'!$Q$4:$Q$204,0)),"")</f>
        <v/>
      </c>
      <c r="D232" s="134" t="str">
        <f>IFERROR(INDEX('كشف الحساب'!$D$4:$D$204,MATCH(23,'كشف الحساب'!$Q$4:$Q$204,0)),"")</f>
        <v/>
      </c>
      <c r="E232" s="135" t="str">
        <f>IFERROR(INDEX('كشف الحساب'!$G$4:$G$204,MATCH(23,'كشف الحساب'!$Q$4:$Q$204,0)),"")</f>
        <v/>
      </c>
      <c r="F232" s="132"/>
    </row>
    <row r="233" spans="1:6" ht="18" customHeight="1" x14ac:dyDescent="0.25">
      <c r="A233" s="143" t="str">
        <f>IFERROR(INDEX('كشف الحساب'!$A$4:$A$204,MATCH(24,'كشف الحساب'!$Q$4:$Q$204,0)),"")</f>
        <v/>
      </c>
      <c r="B233" s="133" t="str">
        <f>IFERROR(INDEX('كشف الحساب'!$B$4:$B$204,MATCH(24,'كشف الحساب'!$Q$4:$Q$204,0)),"")</f>
        <v/>
      </c>
      <c r="C233" s="132" t="str">
        <f>IFERROR(INDEX('كشف الحساب'!$C$4:$C$204,MATCH(24,'كشف الحساب'!$Q$4:$Q$204,0)),"")</f>
        <v/>
      </c>
      <c r="D233" s="134" t="str">
        <f>IFERROR(INDEX('كشف الحساب'!$D$4:$D$204,MATCH(24,'كشف الحساب'!$Q$4:$Q$204,0)),"")</f>
        <v/>
      </c>
      <c r="E233" s="135" t="str">
        <f>IFERROR(INDEX('كشف الحساب'!$G$4:$G$204,MATCH(24,'كشف الحساب'!$Q$4:$Q$204,0)),"")</f>
        <v/>
      </c>
      <c r="F233" s="132"/>
    </row>
    <row r="234" spans="1:6" ht="18" customHeight="1" x14ac:dyDescent="0.25">
      <c r="A234" s="143" t="str">
        <f>IFERROR(INDEX('كشف الحساب'!$A$4:$A$204,MATCH(25,'كشف الحساب'!$Q$4:$Q$204,0)),"")</f>
        <v/>
      </c>
      <c r="B234" s="133" t="str">
        <f>IFERROR(INDEX('كشف الحساب'!$B$4:$B$204,MATCH(25,'كشف الحساب'!$Q$4:$Q$204,0)),"")</f>
        <v/>
      </c>
      <c r="C234" s="132" t="str">
        <f>IFERROR(INDEX('كشف الحساب'!$C$4:$C$204,MATCH(25,'كشف الحساب'!$Q$4:$Q$204,0)),"")</f>
        <v/>
      </c>
      <c r="D234" s="134" t="str">
        <f>IFERROR(INDEX('كشف الحساب'!$D$4:$D$204,MATCH(25,'كشف الحساب'!$Q$4:$Q$204,0)),"")</f>
        <v/>
      </c>
      <c r="E234" s="135" t="str">
        <f>IFERROR(INDEX('كشف الحساب'!$G$4:$G$204,MATCH(25,'كشف الحساب'!$Q$4:$Q$204,0)),"")</f>
        <v/>
      </c>
      <c r="F234" s="132"/>
    </row>
    <row r="235" spans="1:6" ht="18" customHeight="1" x14ac:dyDescent="0.25">
      <c r="A235" s="143" t="str">
        <f>IFERROR(INDEX('كشف الحساب'!$A$4:$A$204,MATCH(26,'كشف الحساب'!$Q$4:$Q$204,0)),"")</f>
        <v/>
      </c>
      <c r="B235" s="133" t="str">
        <f>IFERROR(INDEX('كشف الحساب'!$B$4:$B$204,MATCH(26,'كشف الحساب'!$Q$4:$Q$204,0)),"")</f>
        <v/>
      </c>
      <c r="C235" s="132" t="str">
        <f>IFERROR(INDEX('كشف الحساب'!$C$4:$C$204,MATCH(26,'كشف الحساب'!$Q$4:$Q$204,0)),"")</f>
        <v/>
      </c>
      <c r="D235" s="134" t="str">
        <f>IFERROR(INDEX('كشف الحساب'!$D$4:$D$204,MATCH(26,'كشف الحساب'!$Q$4:$Q$204,0)),"")</f>
        <v/>
      </c>
      <c r="E235" s="135" t="str">
        <f>IFERROR(INDEX('كشف الحساب'!$G$4:$G$204,MATCH(26,'كشف الحساب'!$Q$4:$Q$204,0)),"")</f>
        <v/>
      </c>
      <c r="F235" s="132"/>
    </row>
    <row r="236" spans="1:6" ht="18" customHeight="1" x14ac:dyDescent="0.25">
      <c r="A236" s="143" t="str">
        <f>IFERROR(INDEX('كشف الحساب'!$A$4:$A$204,MATCH(27,'كشف الحساب'!$Q$4:$Q$204,0)),"")</f>
        <v/>
      </c>
      <c r="B236" s="133" t="str">
        <f>IFERROR(INDEX('كشف الحساب'!$B$4:$B$204,MATCH(27,'كشف الحساب'!$Q$4:$Q$204,0)),"")</f>
        <v/>
      </c>
      <c r="C236" s="132" t="str">
        <f>IFERROR(INDEX('كشف الحساب'!$C$4:$C$204,MATCH(27,'كشف الحساب'!$Q$4:$Q$204,0)),"")</f>
        <v/>
      </c>
      <c r="D236" s="134" t="str">
        <f>IFERROR(INDEX('كشف الحساب'!$D$4:$D$204,MATCH(27,'كشف الحساب'!$Q$4:$Q$204,0)),"")</f>
        <v/>
      </c>
      <c r="E236" s="135" t="str">
        <f>IFERROR(INDEX('كشف الحساب'!$G$4:$G$204,MATCH(27,'كشف الحساب'!$Q$4:$Q$204,0)),"")</f>
        <v/>
      </c>
      <c r="F236" s="132"/>
    </row>
    <row r="237" spans="1:6" ht="18" customHeight="1" x14ac:dyDescent="0.25">
      <c r="A237" s="143" t="str">
        <f>IFERROR(INDEX('كشف الحساب'!$A$4:$A$204,MATCH(28,'كشف الحساب'!$Q$4:$Q$204,0)),"")</f>
        <v/>
      </c>
      <c r="B237" s="133" t="str">
        <f>IFERROR(INDEX('كشف الحساب'!$B$4:$B$204,MATCH(28,'كشف الحساب'!$Q$4:$Q$204,0)),"")</f>
        <v/>
      </c>
      <c r="C237" s="132" t="str">
        <f>IFERROR(INDEX('كشف الحساب'!$C$4:$C$204,MATCH(28,'كشف الحساب'!$Q$4:$Q$204,0)),"")</f>
        <v/>
      </c>
      <c r="D237" s="134" t="str">
        <f>IFERROR(INDEX('كشف الحساب'!$D$4:$D$204,MATCH(28,'كشف الحساب'!$Q$4:$Q$204,0)),"")</f>
        <v/>
      </c>
      <c r="E237" s="135" t="str">
        <f>IFERROR(INDEX('كشف الحساب'!$G$4:$G$204,MATCH(28,'كشف الحساب'!$Q$4:$Q$204,0)),"")</f>
        <v/>
      </c>
      <c r="F237" s="132"/>
    </row>
    <row r="238" spans="1:6" ht="18" customHeight="1" x14ac:dyDescent="0.25">
      <c r="A238" s="143" t="str">
        <f>IFERROR(INDEX('كشف الحساب'!$A$4:$A$204,MATCH(29,'كشف الحساب'!$Q$4:$Q$204,0)),"")</f>
        <v/>
      </c>
      <c r="B238" s="133" t="str">
        <f>IFERROR(INDEX('كشف الحساب'!$B$4:$B$204,MATCH(29,'كشف الحساب'!$Q$4:$Q$204,0)),"")</f>
        <v/>
      </c>
      <c r="C238" s="132" t="str">
        <f>IFERROR(INDEX('كشف الحساب'!$C$4:$C$204,MATCH(29,'كشف الحساب'!$Q$4:$Q$204,0)),"")</f>
        <v/>
      </c>
      <c r="D238" s="134" t="str">
        <f>IFERROR(INDEX('كشف الحساب'!$D$4:$D$204,MATCH(29,'كشف الحساب'!$Q$4:$Q$204,0)),"")</f>
        <v/>
      </c>
      <c r="E238" s="135" t="str">
        <f>IFERROR(INDEX('كشف الحساب'!$G$4:$G$204,MATCH(29,'كشف الحساب'!$Q$4:$Q$204,0)),"")</f>
        <v/>
      </c>
      <c r="F238" s="132"/>
    </row>
    <row r="239" spans="1:6" ht="18" customHeight="1" x14ac:dyDescent="0.25">
      <c r="A239" s="143" t="str">
        <f>IFERROR(INDEX('كشف الحساب'!$A$4:$A$204,MATCH(30,'كشف الحساب'!$Q$4:$Q$204,0)),"")</f>
        <v/>
      </c>
      <c r="B239" s="133" t="str">
        <f>IFERROR(INDEX('كشف الحساب'!$B$4:$B$204,MATCH(30,'كشف الحساب'!$Q$4:$Q$204,0)),"")</f>
        <v/>
      </c>
      <c r="C239" s="132" t="str">
        <f>IFERROR(INDEX('كشف الحساب'!$C$4:$C$204,MATCH(30,'كشف الحساب'!$Q$4:$Q$204,0)),"")</f>
        <v/>
      </c>
      <c r="D239" s="134" t="str">
        <f>IFERROR(INDEX('كشف الحساب'!$D$4:$D$204,MATCH(30,'كشف الحساب'!$Q$4:$Q$204,0)),"")</f>
        <v/>
      </c>
      <c r="E239" s="135" t="str">
        <f>IFERROR(INDEX('كشف الحساب'!$G$4:$G$204,MATCH(30,'كشف الحساب'!$Q$4:$Q$204,0)),"")</f>
        <v/>
      </c>
      <c r="F239" s="132"/>
    </row>
    <row r="240" spans="1:6" ht="18" customHeight="1" x14ac:dyDescent="0.25">
      <c r="A240" s="143" t="str">
        <f>IFERROR(INDEX('كشف الحساب'!$A$4:$A$204,MATCH(31,'كشف الحساب'!$Q$4:$Q$204,0)),"")</f>
        <v/>
      </c>
      <c r="B240" s="133" t="str">
        <f>IFERROR(INDEX('كشف الحساب'!$B$4:$B$204,MATCH(31,'كشف الحساب'!$Q$4:$Q$204,0)),"")</f>
        <v/>
      </c>
      <c r="C240" s="132" t="str">
        <f>IFERROR(INDEX('كشف الحساب'!$C$4:$C$204,MATCH(31,'كشف الحساب'!$Q$4:$Q$204,0)),"")</f>
        <v/>
      </c>
      <c r="D240" s="134" t="str">
        <f>IFERROR(INDEX('كشف الحساب'!$D$4:$D$204,MATCH(31,'كشف الحساب'!$Q$4:$Q$204,0)),"")</f>
        <v/>
      </c>
      <c r="E240" s="135" t="str">
        <f>IFERROR(INDEX('كشف الحساب'!$G$4:$G$204,MATCH(31,'كشف الحساب'!$Q$4:$Q$204,0)),"")</f>
        <v/>
      </c>
      <c r="F240" s="132"/>
    </row>
    <row r="241" spans="1:6" ht="18" customHeight="1" x14ac:dyDescent="0.25">
      <c r="A241" s="143" t="str">
        <f>IFERROR(INDEX('كشف الحساب'!$A$4:$A$204,MATCH(32,'كشف الحساب'!$Q$4:$Q$204,0)),"")</f>
        <v/>
      </c>
      <c r="B241" s="133" t="str">
        <f>IFERROR(INDEX('كشف الحساب'!$B$4:$B$204,MATCH(32,'كشف الحساب'!$Q$4:$Q$204,0)),"")</f>
        <v/>
      </c>
      <c r="C241" s="132" t="str">
        <f>IFERROR(INDEX('كشف الحساب'!$C$4:$C$204,MATCH(32,'كشف الحساب'!$Q$4:$Q$204,0)),"")</f>
        <v/>
      </c>
      <c r="D241" s="134" t="str">
        <f>IFERROR(INDEX('كشف الحساب'!$D$4:$D$204,MATCH(32,'كشف الحساب'!$Q$4:$Q$204,0)),"")</f>
        <v/>
      </c>
      <c r="E241" s="135" t="str">
        <f>IFERROR(INDEX('كشف الحساب'!$G$4:$G$204,MATCH(32,'كشف الحساب'!$Q$4:$Q$204,0)),"")</f>
        <v/>
      </c>
      <c r="F241" s="132"/>
    </row>
    <row r="242" spans="1:6" ht="18" customHeight="1" x14ac:dyDescent="0.25">
      <c r="A242" s="143" t="str">
        <f>IFERROR(INDEX('كشف الحساب'!$A$4:$A$204,MATCH(33,'كشف الحساب'!$Q$4:$Q$204,0)),"")</f>
        <v/>
      </c>
      <c r="B242" s="133" t="str">
        <f>IFERROR(INDEX('كشف الحساب'!$B$4:$B$204,MATCH(33,'كشف الحساب'!$Q$4:$Q$204,0)),"")</f>
        <v/>
      </c>
      <c r="C242" s="132" t="str">
        <f>IFERROR(INDEX('كشف الحساب'!$C$4:$C$204,MATCH(33,'كشف الحساب'!$Q$4:$Q$204,0)),"")</f>
        <v/>
      </c>
      <c r="D242" s="134" t="str">
        <f>IFERROR(INDEX('كشف الحساب'!$D$4:$D$204,MATCH(33,'كشف الحساب'!$Q$4:$Q$204,0)),"")</f>
        <v/>
      </c>
      <c r="E242" s="135" t="str">
        <f>IFERROR(INDEX('كشف الحساب'!$G$4:$G$204,MATCH(33,'كشف الحساب'!$Q$4:$Q$204,0)),"")</f>
        <v/>
      </c>
      <c r="F242" s="132"/>
    </row>
    <row r="243" spans="1:6" ht="18" customHeight="1" x14ac:dyDescent="0.25">
      <c r="A243" s="143" t="str">
        <f>IFERROR(INDEX('كشف الحساب'!$A$4:$A$204,MATCH(34,'كشف الحساب'!$Q$4:$Q$204,0)),"")</f>
        <v/>
      </c>
      <c r="B243" s="133" t="str">
        <f>IFERROR(INDEX('كشف الحساب'!$B$4:$B$204,MATCH(34,'كشف الحساب'!$Q$4:$Q$204,0)),"")</f>
        <v/>
      </c>
      <c r="C243" s="132" t="str">
        <f>IFERROR(INDEX('كشف الحساب'!$C$4:$C$204,MATCH(34,'كشف الحساب'!$Q$4:$Q$204,0)),"")</f>
        <v/>
      </c>
      <c r="D243" s="134" t="str">
        <f>IFERROR(INDEX('كشف الحساب'!$D$4:$D$204,MATCH(34,'كشف الحساب'!$Q$4:$Q$204,0)),"")</f>
        <v/>
      </c>
      <c r="E243" s="135" t="str">
        <f>IFERROR(INDEX('كشف الحساب'!$G$4:$G$204,MATCH(34,'كشف الحساب'!$Q$4:$Q$204,0)),"")</f>
        <v/>
      </c>
      <c r="F243" s="132"/>
    </row>
    <row r="244" spans="1:6" ht="18" customHeight="1" x14ac:dyDescent="0.25">
      <c r="A244" s="143" t="str">
        <f>IFERROR(INDEX('كشف الحساب'!$A$4:$A$204,MATCH(35,'كشف الحساب'!$Q$4:$Q$204,0)),"")</f>
        <v/>
      </c>
      <c r="B244" s="133" t="str">
        <f>IFERROR(INDEX('كشف الحساب'!$B$4:$B$204,MATCH(35,'كشف الحساب'!$Q$4:$Q$204,0)),"")</f>
        <v/>
      </c>
      <c r="C244" s="132" t="str">
        <f>IFERROR(INDEX('كشف الحساب'!$C$4:$C$204,MATCH(35,'كشف الحساب'!$Q$4:$Q$204,0)),"")</f>
        <v/>
      </c>
      <c r="D244" s="134" t="str">
        <f>IFERROR(INDEX('كشف الحساب'!$D$4:$D$204,MATCH(35,'كشف الحساب'!$Q$4:$Q$204,0)),"")</f>
        <v/>
      </c>
      <c r="E244" s="135" t="str">
        <f>IFERROR(INDEX('كشف الحساب'!$G$4:$G$204,MATCH(35,'كشف الحساب'!$Q$4:$Q$204,0)),"")</f>
        <v/>
      </c>
      <c r="F244" s="132"/>
    </row>
    <row r="245" spans="1:6" ht="18" customHeight="1" x14ac:dyDescent="0.25">
      <c r="A245" s="143" t="str">
        <f>IFERROR(INDEX('كشف الحساب'!$A$4:$A$204,MATCH(36,'كشف الحساب'!$Q$4:$Q$204,0)),"")</f>
        <v/>
      </c>
      <c r="B245" s="133" t="str">
        <f>IFERROR(INDEX('كشف الحساب'!$B$4:$B$204,MATCH(36,'كشف الحساب'!$Q$4:$Q$204,0)),"")</f>
        <v/>
      </c>
      <c r="C245" s="132" t="str">
        <f>IFERROR(INDEX('كشف الحساب'!$C$4:$C$204,MATCH(36,'كشف الحساب'!$Q$4:$Q$204,0)),"")</f>
        <v/>
      </c>
      <c r="D245" s="134" t="str">
        <f>IFERROR(INDEX('كشف الحساب'!$D$4:$D$204,MATCH(36,'كشف الحساب'!$Q$4:$Q$204,0)),"")</f>
        <v/>
      </c>
      <c r="E245" s="135" t="str">
        <f>IFERROR(INDEX('كشف الحساب'!$G$4:$G$204,MATCH(36,'كشف الحساب'!$Q$4:$Q$204,0)),"")</f>
        <v/>
      </c>
      <c r="F245" s="132"/>
    </row>
    <row r="246" spans="1:6" ht="18" customHeight="1" x14ac:dyDescent="0.25">
      <c r="A246" s="143" t="str">
        <f>IFERROR(INDEX('كشف الحساب'!$A$4:$A$204,MATCH(37,'كشف الحساب'!$Q$4:$Q$204,0)),"")</f>
        <v/>
      </c>
      <c r="B246" s="133" t="str">
        <f>IFERROR(INDEX('كشف الحساب'!$B$4:$B$204,MATCH(37,'كشف الحساب'!$Q$4:$Q$204,0)),"")</f>
        <v/>
      </c>
      <c r="C246" s="132" t="str">
        <f>IFERROR(INDEX('كشف الحساب'!$C$4:$C$204,MATCH(37,'كشف الحساب'!$Q$4:$Q$204,0)),"")</f>
        <v/>
      </c>
      <c r="D246" s="134" t="str">
        <f>IFERROR(INDEX('كشف الحساب'!$D$4:$D$204,MATCH(37,'كشف الحساب'!$Q$4:$Q$204,0)),"")</f>
        <v/>
      </c>
      <c r="E246" s="135" t="str">
        <f>IFERROR(INDEX('كشف الحساب'!$G$4:$G$204,MATCH(37,'كشف الحساب'!$Q$4:$Q$204,0)),"")</f>
        <v/>
      </c>
      <c r="F246" s="132"/>
    </row>
    <row r="247" spans="1:6" ht="18" customHeight="1" x14ac:dyDescent="0.25">
      <c r="A247" s="143" t="str">
        <f>IFERROR(INDEX('كشف الحساب'!$A$4:$A$204,MATCH(38,'كشف الحساب'!$Q$4:$Q$204,0)),"")</f>
        <v/>
      </c>
      <c r="B247" s="133" t="str">
        <f>IFERROR(INDEX('كشف الحساب'!$B$4:$B$204,MATCH(38,'كشف الحساب'!$Q$4:$Q$204,0)),"")</f>
        <v/>
      </c>
      <c r="C247" s="132" t="str">
        <f>IFERROR(INDEX('كشف الحساب'!$C$4:$C$204,MATCH(38,'كشف الحساب'!$Q$4:$Q$204,0)),"")</f>
        <v/>
      </c>
      <c r="D247" s="134" t="str">
        <f>IFERROR(INDEX('كشف الحساب'!$D$4:$D$204,MATCH(38,'كشف الحساب'!$Q$4:$Q$204,0)),"")</f>
        <v/>
      </c>
      <c r="E247" s="135" t="str">
        <f>IFERROR(INDEX('كشف الحساب'!$G$4:$G$204,MATCH(38,'كشف الحساب'!$Q$4:$Q$204,0)),"")</f>
        <v/>
      </c>
      <c r="F247" s="132"/>
    </row>
    <row r="248" spans="1:6" ht="18" customHeight="1" x14ac:dyDescent="0.25">
      <c r="A248" s="143" t="str">
        <f>IFERROR(INDEX('كشف الحساب'!$A$4:$A$204,MATCH(39,'كشف الحساب'!$Q$4:$Q$204,0)),"")</f>
        <v/>
      </c>
      <c r="B248" s="133" t="str">
        <f>IFERROR(INDEX('كشف الحساب'!$B$4:$B$204,MATCH(39,'كشف الحساب'!$Q$4:$Q$204,0)),"")</f>
        <v/>
      </c>
      <c r="C248" s="132" t="str">
        <f>IFERROR(INDEX('كشف الحساب'!$C$4:$C$204,MATCH(39,'كشف الحساب'!$Q$4:$Q$204,0)),"")</f>
        <v/>
      </c>
      <c r="D248" s="134" t="str">
        <f>IFERROR(INDEX('كشف الحساب'!$D$4:$D$204,MATCH(39,'كشف الحساب'!$Q$4:$Q$204,0)),"")</f>
        <v/>
      </c>
      <c r="E248" s="135" t="str">
        <f>IFERROR(INDEX('كشف الحساب'!$G$4:$G$204,MATCH(39,'كشف الحساب'!$Q$4:$Q$204,0)),"")</f>
        <v/>
      </c>
      <c r="F248" s="132"/>
    </row>
    <row r="249" spans="1:6" ht="18" customHeight="1" x14ac:dyDescent="0.25">
      <c r="A249" s="143" t="str">
        <f>IFERROR(INDEX('كشف الحساب'!$A$4:$A$204,MATCH(40,'كشف الحساب'!$Q$4:$Q$204,0)),"")</f>
        <v/>
      </c>
      <c r="B249" s="133" t="str">
        <f>IFERROR(INDEX('كشف الحساب'!$B$4:$B$204,MATCH(40,'كشف الحساب'!$Q$4:$Q$204,0)),"")</f>
        <v/>
      </c>
      <c r="C249" s="132" t="str">
        <f>IFERROR(INDEX('كشف الحساب'!$C$4:$C$204,MATCH(40,'كشف الحساب'!$Q$4:$Q$204,0)),"")</f>
        <v/>
      </c>
      <c r="D249" s="134" t="str">
        <f>IFERROR(INDEX('كشف الحساب'!$D$4:$D$204,MATCH(40,'كشف الحساب'!$Q$4:$Q$204,0)),"")</f>
        <v/>
      </c>
      <c r="E249" s="135" t="str">
        <f>IFERROR(INDEX('كشف الحساب'!$G$4:$G$204,MATCH(40,'كشف الحساب'!$Q$4:$Q$204,0)),"")</f>
        <v/>
      </c>
      <c r="F249" s="132"/>
    </row>
    <row r="250" spans="1:6" ht="18" customHeight="1" x14ac:dyDescent="0.25">
      <c r="A250" s="143" t="str">
        <f>IFERROR(INDEX('كشف الحساب'!$A$4:$A$204,MATCH(41,'كشف الحساب'!$Q$4:$Q$204,0)),"")</f>
        <v/>
      </c>
      <c r="B250" s="133" t="str">
        <f>IFERROR(INDEX('كشف الحساب'!$B$4:$B$204,MATCH(41,'كشف الحساب'!$Q$4:$Q$204,0)),"")</f>
        <v/>
      </c>
      <c r="C250" s="132" t="str">
        <f>IFERROR(INDEX('كشف الحساب'!$C$4:$C$204,MATCH(41,'كشف الحساب'!$Q$4:$Q$204,0)),"")</f>
        <v/>
      </c>
      <c r="D250" s="134" t="str">
        <f>IFERROR(INDEX('كشف الحساب'!$D$4:$D$204,MATCH(41,'كشف الحساب'!$Q$4:$Q$204,0)),"")</f>
        <v/>
      </c>
      <c r="E250" s="135" t="str">
        <f>IFERROR(INDEX('كشف الحساب'!$G$4:$G$204,MATCH(41,'كشف الحساب'!$Q$4:$Q$204,0)),"")</f>
        <v/>
      </c>
      <c r="F250" s="132"/>
    </row>
    <row r="251" spans="1:6" ht="18" customHeight="1" x14ac:dyDescent="0.25">
      <c r="A251" s="143" t="str">
        <f>IFERROR(INDEX('كشف الحساب'!$A$4:$A$204,MATCH(42,'كشف الحساب'!$Q$4:$Q$204,0)),"")</f>
        <v/>
      </c>
      <c r="B251" s="133" t="str">
        <f>IFERROR(INDEX('كشف الحساب'!$B$4:$B$204,MATCH(42,'كشف الحساب'!$Q$4:$Q$204,0)),"")</f>
        <v/>
      </c>
      <c r="C251" s="132" t="str">
        <f>IFERROR(INDEX('كشف الحساب'!$C$4:$C$204,MATCH(42,'كشف الحساب'!$Q$4:$Q$204,0)),"")</f>
        <v/>
      </c>
      <c r="D251" s="134" t="str">
        <f>IFERROR(INDEX('كشف الحساب'!$D$4:$D$204,MATCH(42,'كشف الحساب'!$Q$4:$Q$204,0)),"")</f>
        <v/>
      </c>
      <c r="E251" s="135" t="str">
        <f>IFERROR(INDEX('كشف الحساب'!$G$4:$G$204,MATCH(42,'كشف الحساب'!$Q$4:$Q$204,0)),"")</f>
        <v/>
      </c>
      <c r="F251" s="132"/>
    </row>
    <row r="252" spans="1:6" ht="18" customHeight="1" x14ac:dyDescent="0.25">
      <c r="A252" s="143" t="str">
        <f>IFERROR(INDEX('كشف الحساب'!$A$4:$A$204,MATCH(43,'كشف الحساب'!$Q$4:$Q$204,0)),"")</f>
        <v/>
      </c>
      <c r="B252" s="133" t="str">
        <f>IFERROR(INDEX('كشف الحساب'!$B$4:$B$204,MATCH(43,'كشف الحساب'!$Q$4:$Q$204,0)),"")</f>
        <v/>
      </c>
      <c r="C252" s="132" t="str">
        <f>IFERROR(INDEX('كشف الحساب'!$C$4:$C$204,MATCH(43,'كشف الحساب'!$Q$4:$Q$204,0)),"")</f>
        <v/>
      </c>
      <c r="D252" s="134" t="str">
        <f>IFERROR(INDEX('كشف الحساب'!$D$4:$D$204,MATCH(43,'كشف الحساب'!$Q$4:$Q$204,0)),"")</f>
        <v/>
      </c>
      <c r="E252" s="135" t="str">
        <f>IFERROR(INDEX('كشف الحساب'!$G$4:$G$204,MATCH(43,'كشف الحساب'!$Q$4:$Q$204,0)),"")</f>
        <v/>
      </c>
      <c r="F252" s="132"/>
    </row>
    <row r="253" spans="1:6" ht="18" customHeight="1" x14ac:dyDescent="0.25">
      <c r="A253" s="143" t="str">
        <f>IFERROR(INDEX('كشف الحساب'!$A$4:$A$204,MATCH(44,'كشف الحساب'!$Q$4:$Q$204,0)),"")</f>
        <v/>
      </c>
      <c r="B253" s="133" t="str">
        <f>IFERROR(INDEX('كشف الحساب'!$B$4:$B$204,MATCH(44,'كشف الحساب'!$Q$4:$Q$204,0)),"")</f>
        <v/>
      </c>
      <c r="C253" s="132" t="str">
        <f>IFERROR(INDEX('كشف الحساب'!$C$4:$C$204,MATCH(44,'كشف الحساب'!$Q$4:$Q$204,0)),"")</f>
        <v/>
      </c>
      <c r="D253" s="134" t="str">
        <f>IFERROR(INDEX('كشف الحساب'!$D$4:$D$204,MATCH(44,'كشف الحساب'!$Q$4:$Q$204,0)),"")</f>
        <v/>
      </c>
      <c r="E253" s="135" t="str">
        <f>IFERROR(INDEX('كشف الحساب'!$G$4:$G$204,MATCH(44,'كشف الحساب'!$Q$4:$Q$204,0)),"")</f>
        <v/>
      </c>
      <c r="F253" s="132"/>
    </row>
    <row r="254" spans="1:6" ht="18" customHeight="1" x14ac:dyDescent="0.25">
      <c r="A254" s="143" t="str">
        <f>IFERROR(INDEX('كشف الحساب'!$A$4:$A$204,MATCH(45,'كشف الحساب'!$Q$4:$Q$204,0)),"")</f>
        <v/>
      </c>
      <c r="B254" s="133" t="str">
        <f>IFERROR(INDEX('كشف الحساب'!$B$4:$B$204,MATCH(45,'كشف الحساب'!$Q$4:$Q$204,0)),"")</f>
        <v/>
      </c>
      <c r="C254" s="132" t="str">
        <f>IFERROR(INDEX('كشف الحساب'!$C$4:$C$204,MATCH(45,'كشف الحساب'!$Q$4:$Q$204,0)),"")</f>
        <v/>
      </c>
      <c r="D254" s="134" t="str">
        <f>IFERROR(INDEX('كشف الحساب'!$D$4:$D$204,MATCH(45,'كشف الحساب'!$Q$4:$Q$204,0)),"")</f>
        <v/>
      </c>
      <c r="E254" s="135" t="str">
        <f>IFERROR(INDEX('كشف الحساب'!$G$4:$G$204,MATCH(45,'كشف الحساب'!$Q$4:$Q$204,0)),"")</f>
        <v/>
      </c>
      <c r="F254" s="132"/>
    </row>
    <row r="255" spans="1:6" ht="18" customHeight="1" x14ac:dyDescent="0.25">
      <c r="A255" s="143" t="str">
        <f>IFERROR(INDEX('كشف الحساب'!$A$4:$A$204,MATCH(46,'كشف الحساب'!$Q$4:$Q$204,0)),"")</f>
        <v/>
      </c>
      <c r="B255" s="133" t="str">
        <f>IFERROR(INDEX('كشف الحساب'!$B$4:$B$204,MATCH(46,'كشف الحساب'!$Q$4:$Q$204,0)),"")</f>
        <v/>
      </c>
      <c r="C255" s="132" t="str">
        <f>IFERROR(INDEX('كشف الحساب'!$C$4:$C$204,MATCH(46,'كشف الحساب'!$Q$4:$Q$204,0)),"")</f>
        <v/>
      </c>
      <c r="D255" s="134" t="str">
        <f>IFERROR(INDEX('كشف الحساب'!$D$4:$D$204,MATCH(46,'كشف الحساب'!$Q$4:$Q$204,0)),"")</f>
        <v/>
      </c>
      <c r="E255" s="135" t="str">
        <f>IFERROR(INDEX('كشف الحساب'!$G$4:$G$204,MATCH(46,'كشف الحساب'!$Q$4:$Q$204,0)),"")</f>
        <v/>
      </c>
      <c r="F255" s="132"/>
    </row>
    <row r="256" spans="1:6" ht="18" customHeight="1" x14ac:dyDescent="0.25">
      <c r="A256" s="143" t="str">
        <f>IFERROR(INDEX('كشف الحساب'!$A$4:$A$204,MATCH(47,'كشف الحساب'!$Q$4:$Q$204,0)),"")</f>
        <v/>
      </c>
      <c r="B256" s="133" t="str">
        <f>IFERROR(INDEX('كشف الحساب'!$B$4:$B$204,MATCH(47,'كشف الحساب'!$Q$4:$Q$204,0)),"")</f>
        <v/>
      </c>
      <c r="C256" s="132" t="str">
        <f>IFERROR(INDEX('كشف الحساب'!$C$4:$C$204,MATCH(47,'كشف الحساب'!$Q$4:$Q$204,0)),"")</f>
        <v/>
      </c>
      <c r="D256" s="134" t="str">
        <f>IFERROR(INDEX('كشف الحساب'!$D$4:$D$204,MATCH(47,'كشف الحساب'!$Q$4:$Q$204,0)),"")</f>
        <v/>
      </c>
      <c r="E256" s="135" t="str">
        <f>IFERROR(INDEX('كشف الحساب'!$G$4:$G$204,MATCH(47,'كشف الحساب'!$Q$4:$Q$204,0)),"")</f>
        <v/>
      </c>
      <c r="F256" s="132"/>
    </row>
    <row r="257" spans="1:6" ht="18" customHeight="1" x14ac:dyDescent="0.25">
      <c r="A257" s="143" t="str">
        <f>IFERROR(INDEX('كشف الحساب'!$A$4:$A$204,MATCH(48,'كشف الحساب'!$Q$4:$Q$204,0)),"")</f>
        <v/>
      </c>
      <c r="B257" s="133" t="str">
        <f>IFERROR(INDEX('كشف الحساب'!$B$4:$B$204,MATCH(48,'كشف الحساب'!$Q$4:$Q$204,0)),"")</f>
        <v/>
      </c>
      <c r="C257" s="132" t="str">
        <f>IFERROR(INDEX('كشف الحساب'!$C$4:$C$204,MATCH(48,'كشف الحساب'!$Q$4:$Q$204,0)),"")</f>
        <v/>
      </c>
      <c r="D257" s="134" t="str">
        <f>IFERROR(INDEX('كشف الحساب'!$D$4:$D$204,MATCH(48,'كشف الحساب'!$Q$4:$Q$204,0)),"")</f>
        <v/>
      </c>
      <c r="E257" s="135" t="str">
        <f>IFERROR(INDEX('كشف الحساب'!$G$4:$G$204,MATCH(48,'كشف الحساب'!$Q$4:$Q$204,0)),"")</f>
        <v/>
      </c>
      <c r="F257" s="132"/>
    </row>
    <row r="258" spans="1:6" ht="18" customHeight="1" x14ac:dyDescent="0.25">
      <c r="A258" s="143" t="str">
        <f>IFERROR(INDEX('كشف الحساب'!$A$4:$A$204,MATCH(49,'كشف الحساب'!$Q$4:$Q$204,0)),"")</f>
        <v/>
      </c>
      <c r="B258" s="133" t="str">
        <f>IFERROR(INDEX('كشف الحساب'!$B$4:$B$204,MATCH(49,'كشف الحساب'!$Q$4:$Q$204,0)),"")</f>
        <v/>
      </c>
      <c r="C258" s="132" t="str">
        <f>IFERROR(INDEX('كشف الحساب'!$C$4:$C$204,MATCH(49,'كشف الحساب'!$Q$4:$Q$204,0)),"")</f>
        <v/>
      </c>
      <c r="D258" s="134" t="str">
        <f>IFERROR(INDEX('كشف الحساب'!$D$4:$D$204,MATCH(49,'كشف الحساب'!$Q$4:$Q$204,0)),"")</f>
        <v/>
      </c>
      <c r="E258" s="135" t="str">
        <f>IFERROR(INDEX('كشف الحساب'!$G$4:$G$204,MATCH(49,'كشف الحساب'!$Q$4:$Q$204,0)),"")</f>
        <v/>
      </c>
      <c r="F258" s="132"/>
    </row>
    <row r="259" spans="1:6" ht="18" customHeight="1" x14ac:dyDescent="0.25">
      <c r="A259" s="143" t="str">
        <f>IFERROR(INDEX('كشف الحساب'!$A$4:$A$204,MATCH(50,'كشف الحساب'!$Q$4:$Q$204,0)),"")</f>
        <v/>
      </c>
      <c r="B259" s="133" t="str">
        <f>IFERROR(INDEX('كشف الحساب'!$B$4:$B$204,MATCH(50,'كشف الحساب'!$Q$4:$Q$204,0)),"")</f>
        <v/>
      </c>
      <c r="C259" s="132" t="str">
        <f>IFERROR(INDEX('كشف الحساب'!$C$4:$C$204,MATCH(50,'كشف الحساب'!$Q$4:$Q$204,0)),"")</f>
        <v/>
      </c>
      <c r="D259" s="134" t="str">
        <f>IFERROR(INDEX('كشف الحساب'!$D$4:$D$204,MATCH(50,'كشف الحساب'!$Q$4:$Q$204,0)),"")</f>
        <v/>
      </c>
      <c r="E259" s="135" t="str">
        <f>IFERROR(INDEX('كشف الحساب'!$G$4:$G$204,MATCH(50,'كشف الحساب'!$Q$4:$Q$204,0)),"")</f>
        <v/>
      </c>
      <c r="F259" s="132"/>
    </row>
    <row r="260" spans="1:6" ht="18" customHeight="1" x14ac:dyDescent="0.25">
      <c r="A260" s="143" t="str">
        <f>IFERROR(INDEX('كشف الحساب'!$A$4:$A$204,MATCH(51,'كشف الحساب'!$Q$4:$Q$204,0)),"")</f>
        <v/>
      </c>
      <c r="B260" s="133" t="str">
        <f>IFERROR(INDEX('كشف الحساب'!$B$4:$B$204,MATCH(51,'كشف الحساب'!$Q$4:$Q$204,0)),"")</f>
        <v/>
      </c>
      <c r="C260" s="132" t="str">
        <f>IFERROR(INDEX('كشف الحساب'!$C$4:$C$204,MATCH(51,'كشف الحساب'!$Q$4:$Q$204,0)),"")</f>
        <v/>
      </c>
      <c r="D260" s="134" t="str">
        <f>IFERROR(INDEX('كشف الحساب'!$D$4:$D$204,MATCH(51,'كشف الحساب'!$Q$4:$Q$204,0)),"")</f>
        <v/>
      </c>
      <c r="E260" s="135" t="str">
        <f>IFERROR(INDEX('كشف الحساب'!$G$4:$G$204,MATCH(51,'كشف الحساب'!$Q$4:$Q$204,0)),"")</f>
        <v/>
      </c>
      <c r="F260" s="132"/>
    </row>
    <row r="261" spans="1:6" ht="18" customHeight="1" x14ac:dyDescent="0.25">
      <c r="A261" s="143" t="str">
        <f>IFERROR(INDEX('كشف الحساب'!$A$4:$A$204,MATCH(52,'كشف الحساب'!$Q$4:$Q$204,0)),"")</f>
        <v/>
      </c>
      <c r="B261" s="133" t="str">
        <f>IFERROR(INDEX('كشف الحساب'!$B$4:$B$204,MATCH(52,'كشف الحساب'!$Q$4:$Q$204,0)),"")</f>
        <v/>
      </c>
      <c r="C261" s="132" t="str">
        <f>IFERROR(INDEX('كشف الحساب'!$C$4:$C$204,MATCH(52,'كشف الحساب'!$Q$4:$Q$204,0)),"")</f>
        <v/>
      </c>
      <c r="D261" s="134" t="str">
        <f>IFERROR(INDEX('كشف الحساب'!$D$4:$D$204,MATCH(52,'كشف الحساب'!$Q$4:$Q$204,0)),"")</f>
        <v/>
      </c>
      <c r="E261" s="135" t="str">
        <f>IFERROR(INDEX('كشف الحساب'!$G$4:$G$204,MATCH(52,'كشف الحساب'!$Q$4:$Q$204,0)),"")</f>
        <v/>
      </c>
      <c r="F261" s="132"/>
    </row>
    <row r="262" spans="1:6" ht="18" customHeight="1" x14ac:dyDescent="0.25">
      <c r="A262" s="143" t="str">
        <f>IFERROR(INDEX('كشف الحساب'!$A$4:$A$204,MATCH(53,'كشف الحساب'!$Q$4:$Q$204,0)),"")</f>
        <v/>
      </c>
      <c r="B262" s="133" t="str">
        <f>IFERROR(INDEX('كشف الحساب'!$B$4:$B$204,MATCH(53,'كشف الحساب'!$Q$4:$Q$204,0)),"")</f>
        <v/>
      </c>
      <c r="C262" s="132" t="str">
        <f>IFERROR(INDEX('كشف الحساب'!$C$4:$C$204,MATCH(53,'كشف الحساب'!$Q$4:$Q$204,0)),"")</f>
        <v/>
      </c>
      <c r="D262" s="134" t="str">
        <f>IFERROR(INDEX('كشف الحساب'!$D$4:$D$204,MATCH(53,'كشف الحساب'!$Q$4:$Q$204,0)),"")</f>
        <v/>
      </c>
      <c r="E262" s="135" t="str">
        <f>IFERROR(INDEX('كشف الحساب'!$G$4:$G$204,MATCH(53,'كشف الحساب'!$Q$4:$Q$204,0)),"")</f>
        <v/>
      </c>
      <c r="F262" s="132"/>
    </row>
    <row r="263" spans="1:6" ht="18" customHeight="1" x14ac:dyDescent="0.25">
      <c r="A263" s="143" t="str">
        <f>IFERROR(INDEX('كشف الحساب'!$A$4:$A$204,MATCH(54,'كشف الحساب'!$Q$4:$Q$204,0)),"")</f>
        <v/>
      </c>
      <c r="B263" s="133" t="str">
        <f>IFERROR(INDEX('كشف الحساب'!$B$4:$B$204,MATCH(54,'كشف الحساب'!$Q$4:$Q$204,0)),"")</f>
        <v/>
      </c>
      <c r="C263" s="132" t="str">
        <f>IFERROR(INDEX('كشف الحساب'!$C$4:$C$204,MATCH(54,'كشف الحساب'!$Q$4:$Q$204,0)),"")</f>
        <v/>
      </c>
      <c r="D263" s="134" t="str">
        <f>IFERROR(INDEX('كشف الحساب'!$D$4:$D$204,MATCH(54,'كشف الحساب'!$Q$4:$Q$204,0)),"")</f>
        <v/>
      </c>
      <c r="E263" s="135" t="str">
        <f>IFERROR(INDEX('كشف الحساب'!$G$4:$G$204,MATCH(54,'كشف الحساب'!$Q$4:$Q$204,0)),"")</f>
        <v/>
      </c>
      <c r="F263" s="132"/>
    </row>
    <row r="264" spans="1:6" ht="18" customHeight="1" x14ac:dyDescent="0.25">
      <c r="A264" s="143" t="str">
        <f>IFERROR(INDEX('كشف الحساب'!$A$4:$A$204,MATCH(55,'كشف الحساب'!$Q$4:$Q$204,0)),"")</f>
        <v/>
      </c>
      <c r="B264" s="133" t="str">
        <f>IFERROR(INDEX('كشف الحساب'!$B$4:$B$204,MATCH(55,'كشف الحساب'!$Q$4:$Q$204,0)),"")</f>
        <v/>
      </c>
      <c r="C264" s="132" t="str">
        <f>IFERROR(INDEX('كشف الحساب'!$C$4:$C$204,MATCH(55,'كشف الحساب'!$Q$4:$Q$204,0)),"")</f>
        <v/>
      </c>
      <c r="D264" s="134" t="str">
        <f>IFERROR(INDEX('كشف الحساب'!$D$4:$D$204,MATCH(55,'كشف الحساب'!$Q$4:$Q$204,0)),"")</f>
        <v/>
      </c>
      <c r="E264" s="135" t="str">
        <f>IFERROR(INDEX('كشف الحساب'!$G$4:$G$204,MATCH(55,'كشف الحساب'!$Q$4:$Q$204,0)),"")</f>
        <v/>
      </c>
      <c r="F264" s="132"/>
    </row>
    <row r="265" spans="1:6" ht="18" customHeight="1" x14ac:dyDescent="0.25">
      <c r="A265" s="143" t="str">
        <f>IFERROR(INDEX('كشف الحساب'!$A$4:$A$204,MATCH(56,'كشف الحساب'!$Q$4:$Q$204,0)),"")</f>
        <v/>
      </c>
      <c r="B265" s="133" t="str">
        <f>IFERROR(INDEX('كشف الحساب'!$B$4:$B$204,MATCH(56,'كشف الحساب'!$Q$4:$Q$204,0)),"")</f>
        <v/>
      </c>
      <c r="C265" s="132" t="str">
        <f>IFERROR(INDEX('كشف الحساب'!$C$4:$C$204,MATCH(56,'كشف الحساب'!$Q$4:$Q$204,0)),"")</f>
        <v/>
      </c>
      <c r="D265" s="134" t="str">
        <f>IFERROR(INDEX('كشف الحساب'!$D$4:$D$204,MATCH(56,'كشف الحساب'!$Q$4:$Q$204,0)),"")</f>
        <v/>
      </c>
      <c r="E265" s="135" t="str">
        <f>IFERROR(INDEX('كشف الحساب'!$G$4:$G$204,MATCH(56,'كشف الحساب'!$Q$4:$Q$204,0)),"")</f>
        <v/>
      </c>
      <c r="F265" s="132"/>
    </row>
    <row r="266" spans="1:6" ht="18" customHeight="1" x14ac:dyDescent="0.25">
      <c r="A266" s="143" t="str">
        <f>IFERROR(INDEX('كشف الحساب'!$A$4:$A$204,MATCH(57,'كشف الحساب'!$Q$4:$Q$204,0)),"")</f>
        <v/>
      </c>
      <c r="B266" s="133" t="str">
        <f>IFERROR(INDEX('كشف الحساب'!$B$4:$B$204,MATCH(57,'كشف الحساب'!$Q$4:$Q$204,0)),"")</f>
        <v/>
      </c>
      <c r="C266" s="132" t="str">
        <f>IFERROR(INDEX('كشف الحساب'!$C$4:$C$204,MATCH(57,'كشف الحساب'!$Q$4:$Q$204,0)),"")</f>
        <v/>
      </c>
      <c r="D266" s="134" t="str">
        <f>IFERROR(INDEX('كشف الحساب'!$D$4:$D$204,MATCH(57,'كشف الحساب'!$Q$4:$Q$204,0)),"")</f>
        <v/>
      </c>
      <c r="E266" s="135" t="str">
        <f>IFERROR(INDEX('كشف الحساب'!$G$4:$G$204,MATCH(57,'كشف الحساب'!$Q$4:$Q$204,0)),"")</f>
        <v/>
      </c>
      <c r="F266" s="132"/>
    </row>
    <row r="267" spans="1:6" ht="18" customHeight="1" x14ac:dyDescent="0.25">
      <c r="A267" s="143" t="str">
        <f>IFERROR(INDEX('كشف الحساب'!$A$4:$A$204,MATCH(58,'كشف الحساب'!$Q$4:$Q$204,0)),"")</f>
        <v/>
      </c>
      <c r="B267" s="133" t="str">
        <f>IFERROR(INDEX('كشف الحساب'!$B$4:$B$204,MATCH(58,'كشف الحساب'!$Q$4:$Q$204,0)),"")</f>
        <v/>
      </c>
      <c r="C267" s="132" t="str">
        <f>IFERROR(INDEX('كشف الحساب'!$C$4:$C$204,MATCH(58,'كشف الحساب'!$Q$4:$Q$204,0)),"")</f>
        <v/>
      </c>
      <c r="D267" s="134" t="str">
        <f>IFERROR(INDEX('كشف الحساب'!$D$4:$D$204,MATCH(58,'كشف الحساب'!$Q$4:$Q$204,0)),"")</f>
        <v/>
      </c>
      <c r="E267" s="135" t="str">
        <f>IFERROR(INDEX('كشف الحساب'!$G$4:$G$204,MATCH(58,'كشف الحساب'!$Q$4:$Q$204,0)),"")</f>
        <v/>
      </c>
      <c r="F267" s="132"/>
    </row>
    <row r="268" spans="1:6" ht="18" customHeight="1" x14ac:dyDescent="0.25">
      <c r="A268" s="143" t="str">
        <f>IFERROR(INDEX('كشف الحساب'!$A$4:$A$204,MATCH(59,'كشف الحساب'!$Q$4:$Q$204,0)),"")</f>
        <v/>
      </c>
      <c r="B268" s="133" t="str">
        <f>IFERROR(INDEX('كشف الحساب'!$B$4:$B$204,MATCH(59,'كشف الحساب'!$Q$4:$Q$204,0)),"")</f>
        <v/>
      </c>
      <c r="C268" s="132" t="str">
        <f>IFERROR(INDEX('كشف الحساب'!$C$4:$C$204,MATCH(59,'كشف الحساب'!$Q$4:$Q$204,0)),"")</f>
        <v/>
      </c>
      <c r="D268" s="134" t="str">
        <f>IFERROR(INDEX('كشف الحساب'!$D$4:$D$204,MATCH(59,'كشف الحساب'!$Q$4:$Q$204,0)),"")</f>
        <v/>
      </c>
      <c r="E268" s="135" t="str">
        <f>IFERROR(INDEX('كشف الحساب'!$G$4:$G$204,MATCH(59,'كشف الحساب'!$Q$4:$Q$204,0)),"")</f>
        <v/>
      </c>
      <c r="F268" s="132"/>
    </row>
    <row r="269" spans="1:6" ht="18" customHeight="1" x14ac:dyDescent="0.25">
      <c r="A269" s="143" t="str">
        <f>IFERROR(INDEX('كشف الحساب'!$A$4:$A$204,MATCH(60,'كشف الحساب'!$Q$4:$Q$204,0)),"")</f>
        <v/>
      </c>
      <c r="B269" s="133" t="str">
        <f>IFERROR(INDEX('كشف الحساب'!$B$4:$B$204,MATCH(60,'كشف الحساب'!$Q$4:$Q$204,0)),"")</f>
        <v/>
      </c>
      <c r="C269" s="132" t="str">
        <f>IFERROR(INDEX('كشف الحساب'!$C$4:$C$204,MATCH(60,'كشف الحساب'!$Q$4:$Q$204,0)),"")</f>
        <v/>
      </c>
      <c r="D269" s="134" t="str">
        <f>IFERROR(INDEX('كشف الحساب'!$D$4:$D$204,MATCH(60,'كشف الحساب'!$Q$4:$Q$204,0)),"")</f>
        <v/>
      </c>
      <c r="E269" s="135" t="str">
        <f>IFERROR(INDEX('كشف الحساب'!$G$4:$G$204,MATCH(60,'كشف الحساب'!$Q$4:$Q$204,0)),"")</f>
        <v/>
      </c>
      <c r="F269" s="132"/>
    </row>
    <row r="270" spans="1:6" ht="18" customHeight="1" x14ac:dyDescent="0.25">
      <c r="A270" s="143" t="str">
        <f>IFERROR(INDEX('كشف الحساب'!$A$4:$A$204,MATCH(61,'كشف الحساب'!$Q$4:$Q$204,0)),"")</f>
        <v/>
      </c>
      <c r="B270" s="133" t="str">
        <f>IFERROR(INDEX('كشف الحساب'!$B$4:$B$204,MATCH(61,'كشف الحساب'!$Q$4:$Q$204,0)),"")</f>
        <v/>
      </c>
      <c r="C270" s="132" t="str">
        <f>IFERROR(INDEX('كشف الحساب'!$C$4:$C$204,MATCH(61,'كشف الحساب'!$Q$4:$Q$204,0)),"")</f>
        <v/>
      </c>
      <c r="D270" s="134" t="str">
        <f>IFERROR(INDEX('كشف الحساب'!$D$4:$D$204,MATCH(61,'كشف الحساب'!$Q$4:$Q$204,0)),"")</f>
        <v/>
      </c>
      <c r="E270" s="135" t="str">
        <f>IFERROR(INDEX('كشف الحساب'!$G$4:$G$204,MATCH(61,'كشف الحساب'!$Q$4:$Q$204,0)),"")</f>
        <v/>
      </c>
      <c r="F270" s="132"/>
    </row>
    <row r="271" spans="1:6" ht="18" customHeight="1" x14ac:dyDescent="0.25">
      <c r="A271" s="143" t="str">
        <f>IFERROR(INDEX('كشف الحساب'!$A$4:$A$204,MATCH(62,'كشف الحساب'!$Q$4:$Q$204,0)),"")</f>
        <v/>
      </c>
      <c r="B271" s="133" t="str">
        <f>IFERROR(INDEX('كشف الحساب'!$B$4:$B$204,MATCH(62,'كشف الحساب'!$Q$4:$Q$204,0)),"")</f>
        <v/>
      </c>
      <c r="C271" s="132" t="str">
        <f>IFERROR(INDEX('كشف الحساب'!$C$4:$C$204,MATCH(62,'كشف الحساب'!$Q$4:$Q$204,0)),"")</f>
        <v/>
      </c>
      <c r="D271" s="134" t="str">
        <f>IFERROR(INDEX('كشف الحساب'!$D$4:$D$204,MATCH(62,'كشف الحساب'!$Q$4:$Q$204,0)),"")</f>
        <v/>
      </c>
      <c r="E271" s="135" t="str">
        <f>IFERROR(INDEX('كشف الحساب'!$G$4:$G$204,MATCH(62,'كشف الحساب'!$Q$4:$Q$204,0)),"")</f>
        <v/>
      </c>
      <c r="F271" s="132"/>
    </row>
    <row r="272" spans="1:6" ht="18" customHeight="1" x14ac:dyDescent="0.25">
      <c r="A272" s="143" t="str">
        <f>IFERROR(INDEX('كشف الحساب'!$A$4:$A$204,MATCH(63,'كشف الحساب'!$Q$4:$Q$204,0)),"")</f>
        <v/>
      </c>
      <c r="B272" s="133" t="str">
        <f>IFERROR(INDEX('كشف الحساب'!$B$4:$B$204,MATCH(63,'كشف الحساب'!$Q$4:$Q$204,0)),"")</f>
        <v/>
      </c>
      <c r="C272" s="132" t="str">
        <f>IFERROR(INDEX('كشف الحساب'!$C$4:$C$204,MATCH(63,'كشف الحساب'!$Q$4:$Q$204,0)),"")</f>
        <v/>
      </c>
      <c r="D272" s="134" t="str">
        <f>IFERROR(INDEX('كشف الحساب'!$D$4:$D$204,MATCH(63,'كشف الحساب'!$Q$4:$Q$204,0)),"")</f>
        <v/>
      </c>
      <c r="E272" s="135" t="str">
        <f>IFERROR(INDEX('كشف الحساب'!$G$4:$G$204,MATCH(63,'كشف الحساب'!$Q$4:$Q$204,0)),"")</f>
        <v/>
      </c>
      <c r="F272" s="132"/>
    </row>
    <row r="273" spans="1:6" ht="18" customHeight="1" x14ac:dyDescent="0.25">
      <c r="A273" s="143" t="str">
        <f>IFERROR(INDEX('كشف الحساب'!$A$4:$A$204,MATCH(64,'كشف الحساب'!$Q$4:$Q$204,0)),"")</f>
        <v/>
      </c>
      <c r="B273" s="133" t="str">
        <f>IFERROR(INDEX('كشف الحساب'!$B$4:$B$204,MATCH(64,'كشف الحساب'!$Q$4:$Q$204,0)),"")</f>
        <v/>
      </c>
      <c r="C273" s="132" t="str">
        <f>IFERROR(INDEX('كشف الحساب'!$C$4:$C$204,MATCH(64,'كشف الحساب'!$Q$4:$Q$204,0)),"")</f>
        <v/>
      </c>
      <c r="D273" s="134" t="str">
        <f>IFERROR(INDEX('كشف الحساب'!$D$4:$D$204,MATCH(64,'كشف الحساب'!$Q$4:$Q$204,0)),"")</f>
        <v/>
      </c>
      <c r="E273" s="135" t="str">
        <f>IFERROR(INDEX('كشف الحساب'!$G$4:$G$204,MATCH(64,'كشف الحساب'!$Q$4:$Q$204,0)),"")</f>
        <v/>
      </c>
      <c r="F273" s="132"/>
    </row>
    <row r="274" spans="1:6" ht="18" customHeight="1" x14ac:dyDescent="0.25">
      <c r="A274" s="143" t="str">
        <f>IFERROR(INDEX('كشف الحساب'!$A$4:$A$204,MATCH(65,'كشف الحساب'!$Q$4:$Q$204,0)),"")</f>
        <v/>
      </c>
      <c r="B274" s="133" t="str">
        <f>IFERROR(INDEX('كشف الحساب'!$B$4:$B$204,MATCH(65,'كشف الحساب'!$Q$4:$Q$204,0)),"")</f>
        <v/>
      </c>
      <c r="C274" s="132" t="str">
        <f>IFERROR(INDEX('كشف الحساب'!$C$4:$C$204,MATCH(65,'كشف الحساب'!$Q$4:$Q$204,0)),"")</f>
        <v/>
      </c>
      <c r="D274" s="134" t="str">
        <f>IFERROR(INDEX('كشف الحساب'!$D$4:$D$204,MATCH(65,'كشف الحساب'!$Q$4:$Q$204,0)),"")</f>
        <v/>
      </c>
      <c r="E274" s="135" t="str">
        <f>IFERROR(INDEX('كشف الحساب'!$G$4:$G$204,MATCH(65,'كشف الحساب'!$Q$4:$Q$204,0)),"")</f>
        <v/>
      </c>
      <c r="F274" s="132"/>
    </row>
    <row r="275" spans="1:6" ht="18" customHeight="1" x14ac:dyDescent="0.25">
      <c r="A275" s="143" t="str">
        <f>IFERROR(INDEX('كشف الحساب'!$A$4:$A$204,MATCH(66,'كشف الحساب'!$Q$4:$Q$204,0)),"")</f>
        <v/>
      </c>
      <c r="B275" s="133" t="str">
        <f>IFERROR(INDEX('كشف الحساب'!$B$4:$B$204,MATCH(66,'كشف الحساب'!$Q$4:$Q$204,0)),"")</f>
        <v/>
      </c>
      <c r="C275" s="132" t="str">
        <f>IFERROR(INDEX('كشف الحساب'!$C$4:$C$204,MATCH(66,'كشف الحساب'!$Q$4:$Q$204,0)),"")</f>
        <v/>
      </c>
      <c r="D275" s="134" t="str">
        <f>IFERROR(INDEX('كشف الحساب'!$D$4:$D$204,MATCH(66,'كشف الحساب'!$Q$4:$Q$204,0)),"")</f>
        <v/>
      </c>
      <c r="E275" s="135" t="str">
        <f>IFERROR(INDEX('كشف الحساب'!$G$4:$G$204,MATCH(66,'كشف الحساب'!$Q$4:$Q$204,0)),"")</f>
        <v/>
      </c>
      <c r="F275" s="132"/>
    </row>
    <row r="276" spans="1:6" ht="18" customHeight="1" x14ac:dyDescent="0.25">
      <c r="A276" s="143" t="str">
        <f>IFERROR(INDEX('كشف الحساب'!$A$4:$A$204,MATCH(67,'كشف الحساب'!$Q$4:$Q$204,0)),"")</f>
        <v/>
      </c>
      <c r="B276" s="133" t="str">
        <f>IFERROR(INDEX('كشف الحساب'!$B$4:$B$204,MATCH(67,'كشف الحساب'!$Q$4:$Q$204,0)),"")</f>
        <v/>
      </c>
      <c r="C276" s="132" t="str">
        <f>IFERROR(INDEX('كشف الحساب'!$C$4:$C$204,MATCH(67,'كشف الحساب'!$Q$4:$Q$204,0)),"")</f>
        <v/>
      </c>
      <c r="D276" s="134" t="str">
        <f>IFERROR(INDEX('كشف الحساب'!$D$4:$D$204,MATCH(67,'كشف الحساب'!$Q$4:$Q$204,0)),"")</f>
        <v/>
      </c>
      <c r="E276" s="135" t="str">
        <f>IFERROR(INDEX('كشف الحساب'!$G$4:$G$204,MATCH(67,'كشف الحساب'!$Q$4:$Q$204,0)),"")</f>
        <v/>
      </c>
      <c r="F276" s="132"/>
    </row>
    <row r="277" spans="1:6" ht="18" customHeight="1" x14ac:dyDescent="0.25">
      <c r="A277" s="143" t="str">
        <f>IFERROR(INDEX('كشف الحساب'!$A$4:$A$204,MATCH(68,'كشف الحساب'!$Q$4:$Q$204,0)),"")</f>
        <v/>
      </c>
      <c r="B277" s="133" t="str">
        <f>IFERROR(INDEX('كشف الحساب'!$B$4:$B$204,MATCH(68,'كشف الحساب'!$Q$4:$Q$204,0)),"")</f>
        <v/>
      </c>
      <c r="C277" s="132" t="str">
        <f>IFERROR(INDEX('كشف الحساب'!$C$4:$C$204,MATCH(68,'كشف الحساب'!$Q$4:$Q$204,0)),"")</f>
        <v/>
      </c>
      <c r="D277" s="134" t="str">
        <f>IFERROR(INDEX('كشف الحساب'!$D$4:$D$204,MATCH(68,'كشف الحساب'!$Q$4:$Q$204,0)),"")</f>
        <v/>
      </c>
      <c r="E277" s="135" t="str">
        <f>IFERROR(INDEX('كشف الحساب'!$G$4:$G$204,MATCH(68,'كشف الحساب'!$Q$4:$Q$204,0)),"")</f>
        <v/>
      </c>
      <c r="F277" s="132"/>
    </row>
    <row r="278" spans="1:6" ht="18" customHeight="1" x14ac:dyDescent="0.25">
      <c r="A278" s="143" t="str">
        <f>IFERROR(INDEX('كشف الحساب'!$A$4:$A$204,MATCH(69,'كشف الحساب'!$Q$4:$Q$204,0)),"")</f>
        <v/>
      </c>
      <c r="B278" s="133" t="str">
        <f>IFERROR(INDEX('كشف الحساب'!$B$4:$B$204,MATCH(69,'كشف الحساب'!$Q$4:$Q$204,0)),"")</f>
        <v/>
      </c>
      <c r="C278" s="132" t="str">
        <f>IFERROR(INDEX('كشف الحساب'!$C$4:$C$204,MATCH(69,'كشف الحساب'!$Q$4:$Q$204,0)),"")</f>
        <v/>
      </c>
      <c r="D278" s="134" t="str">
        <f>IFERROR(INDEX('كشف الحساب'!$D$4:$D$204,MATCH(69,'كشف الحساب'!$Q$4:$Q$204,0)),"")</f>
        <v/>
      </c>
      <c r="E278" s="135" t="str">
        <f>IFERROR(INDEX('كشف الحساب'!$G$4:$G$204,MATCH(69,'كشف الحساب'!$Q$4:$Q$204,0)),"")</f>
        <v/>
      </c>
      <c r="F278" s="132"/>
    </row>
    <row r="279" spans="1:6" ht="18" customHeight="1" x14ac:dyDescent="0.25">
      <c r="A279" s="143" t="str">
        <f>IFERROR(INDEX('كشف الحساب'!$A$4:$A$204,MATCH(70,'كشف الحساب'!$Q$4:$Q$204,0)),"")</f>
        <v/>
      </c>
      <c r="B279" s="133" t="str">
        <f>IFERROR(INDEX('كشف الحساب'!$B$4:$B$204,MATCH(70,'كشف الحساب'!$Q$4:$Q$204,0)),"")</f>
        <v/>
      </c>
      <c r="C279" s="132" t="str">
        <f>IFERROR(INDEX('كشف الحساب'!$C$4:$C$204,MATCH(70,'كشف الحساب'!$Q$4:$Q$204,0)),"")</f>
        <v/>
      </c>
      <c r="D279" s="134" t="str">
        <f>IFERROR(INDEX('كشف الحساب'!$D$4:$D$204,MATCH(70,'كشف الحساب'!$Q$4:$Q$204,0)),"")</f>
        <v/>
      </c>
      <c r="E279" s="135" t="str">
        <f>IFERROR(INDEX('كشف الحساب'!$G$4:$G$204,MATCH(70,'كشف الحساب'!$Q$4:$Q$204,0)),"")</f>
        <v/>
      </c>
      <c r="F279" s="132"/>
    </row>
    <row r="280" spans="1:6" ht="18" customHeight="1" x14ac:dyDescent="0.25">
      <c r="A280" s="143" t="str">
        <f>IFERROR(INDEX('كشف الحساب'!$A$4:$A$204,MATCH(71,'كشف الحساب'!$Q$4:$Q$204,0)),"")</f>
        <v/>
      </c>
      <c r="B280" s="133" t="str">
        <f>IFERROR(INDEX('كشف الحساب'!$B$4:$B$204,MATCH(71,'كشف الحساب'!$Q$4:$Q$204,0)),"")</f>
        <v/>
      </c>
      <c r="C280" s="132" t="str">
        <f>IFERROR(INDEX('كشف الحساب'!$C$4:$C$204,MATCH(71,'كشف الحساب'!$Q$4:$Q$204,0)),"")</f>
        <v/>
      </c>
      <c r="D280" s="134" t="str">
        <f>IFERROR(INDEX('كشف الحساب'!$D$4:$D$204,MATCH(71,'كشف الحساب'!$Q$4:$Q$204,0)),"")</f>
        <v/>
      </c>
      <c r="E280" s="135" t="str">
        <f>IFERROR(INDEX('كشف الحساب'!$G$4:$G$204,MATCH(71,'كشف الحساب'!$Q$4:$Q$204,0)),"")</f>
        <v/>
      </c>
      <c r="F280" s="132"/>
    </row>
    <row r="281" spans="1:6" ht="18" customHeight="1" x14ac:dyDescent="0.25">
      <c r="A281" s="143" t="str">
        <f>IFERROR(INDEX('كشف الحساب'!$A$4:$A$204,MATCH(72,'كشف الحساب'!$Q$4:$Q$204,0)),"")</f>
        <v/>
      </c>
      <c r="B281" s="133" t="str">
        <f>IFERROR(INDEX('كشف الحساب'!$B$4:$B$204,MATCH(72,'كشف الحساب'!$Q$4:$Q$204,0)),"")</f>
        <v/>
      </c>
      <c r="C281" s="132" t="str">
        <f>IFERROR(INDEX('كشف الحساب'!$C$4:$C$204,MATCH(72,'كشف الحساب'!$Q$4:$Q$204,0)),"")</f>
        <v/>
      </c>
      <c r="D281" s="134" t="str">
        <f>IFERROR(INDEX('كشف الحساب'!$D$4:$D$204,MATCH(72,'كشف الحساب'!$Q$4:$Q$204,0)),"")</f>
        <v/>
      </c>
      <c r="E281" s="135" t="str">
        <f>IFERROR(INDEX('كشف الحساب'!$G$4:$G$204,MATCH(72,'كشف الحساب'!$Q$4:$Q$204,0)),"")</f>
        <v/>
      </c>
      <c r="F281" s="132"/>
    </row>
    <row r="282" spans="1:6" ht="18" customHeight="1" x14ac:dyDescent="0.25">
      <c r="A282" s="143" t="str">
        <f>IFERROR(INDEX('كشف الحساب'!$A$4:$A$204,MATCH(73,'كشف الحساب'!$Q$4:$Q$204,0)),"")</f>
        <v/>
      </c>
      <c r="B282" s="133" t="str">
        <f>IFERROR(INDEX('كشف الحساب'!$B$4:$B$204,MATCH(73,'كشف الحساب'!$Q$4:$Q$204,0)),"")</f>
        <v/>
      </c>
      <c r="C282" s="132" t="str">
        <f>IFERROR(INDEX('كشف الحساب'!$C$4:$C$204,MATCH(73,'كشف الحساب'!$Q$4:$Q$204,0)),"")</f>
        <v/>
      </c>
      <c r="D282" s="134" t="str">
        <f>IFERROR(INDEX('كشف الحساب'!$D$4:$D$204,MATCH(73,'كشف الحساب'!$Q$4:$Q$204,0)),"")</f>
        <v/>
      </c>
      <c r="E282" s="135" t="str">
        <f>IFERROR(INDEX('كشف الحساب'!$G$4:$G$204,MATCH(73,'كشف الحساب'!$Q$4:$Q$204,0)),"")</f>
        <v/>
      </c>
      <c r="F282" s="132"/>
    </row>
    <row r="283" spans="1:6" ht="18" customHeight="1" x14ac:dyDescent="0.25">
      <c r="A283" s="143" t="str">
        <f>IFERROR(INDEX('كشف الحساب'!$A$4:$A$204,MATCH(74,'كشف الحساب'!$Q$4:$Q$204,0)),"")</f>
        <v/>
      </c>
      <c r="B283" s="133" t="str">
        <f>IFERROR(INDEX('كشف الحساب'!$B$4:$B$204,MATCH(74,'كشف الحساب'!$Q$4:$Q$204,0)),"")</f>
        <v/>
      </c>
      <c r="C283" s="132" t="str">
        <f>IFERROR(INDEX('كشف الحساب'!$C$4:$C$204,MATCH(74,'كشف الحساب'!$Q$4:$Q$204,0)),"")</f>
        <v/>
      </c>
      <c r="D283" s="134" t="str">
        <f>IFERROR(INDEX('كشف الحساب'!$D$4:$D$204,MATCH(74,'كشف الحساب'!$Q$4:$Q$204,0)),"")</f>
        <v/>
      </c>
      <c r="E283" s="135" t="str">
        <f>IFERROR(INDEX('كشف الحساب'!$G$4:$G$204,MATCH(74,'كشف الحساب'!$Q$4:$Q$204,0)),"")</f>
        <v/>
      </c>
      <c r="F283" s="132"/>
    </row>
    <row r="284" spans="1:6" ht="18" customHeight="1" x14ac:dyDescent="0.25">
      <c r="A284" s="143" t="str">
        <f>IFERROR(INDEX('كشف الحساب'!$A$4:$A$204,MATCH(75,'كشف الحساب'!$Q$4:$Q$204,0)),"")</f>
        <v/>
      </c>
      <c r="B284" s="133" t="str">
        <f>IFERROR(INDEX('كشف الحساب'!$B$4:$B$204,MATCH(75,'كشف الحساب'!$Q$4:$Q$204,0)),"")</f>
        <v/>
      </c>
      <c r="C284" s="132" t="str">
        <f>IFERROR(INDEX('كشف الحساب'!$C$4:$C$204,MATCH(75,'كشف الحساب'!$Q$4:$Q$204,0)),"")</f>
        <v/>
      </c>
      <c r="D284" s="134" t="str">
        <f>IFERROR(INDEX('كشف الحساب'!$D$4:$D$204,MATCH(75,'كشف الحساب'!$Q$4:$Q$204,0)),"")</f>
        <v/>
      </c>
      <c r="E284" s="135" t="str">
        <f>IFERROR(INDEX('كشف الحساب'!$G$4:$G$204,MATCH(75,'كشف الحساب'!$Q$4:$Q$204,0)),"")</f>
        <v/>
      </c>
      <c r="F284" s="132"/>
    </row>
    <row r="285" spans="1:6" ht="18" customHeight="1" x14ac:dyDescent="0.25">
      <c r="A285" s="143" t="str">
        <f>IFERROR(INDEX('كشف الحساب'!$A$4:$A$204,MATCH(76,'كشف الحساب'!$Q$4:$Q$204,0)),"")</f>
        <v/>
      </c>
      <c r="B285" s="133" t="str">
        <f>IFERROR(INDEX('كشف الحساب'!$B$4:$B$204,MATCH(76,'كشف الحساب'!$Q$4:$Q$204,0)),"")</f>
        <v/>
      </c>
      <c r="C285" s="132" t="str">
        <f>IFERROR(INDEX('كشف الحساب'!$C$4:$C$204,MATCH(76,'كشف الحساب'!$Q$4:$Q$204,0)),"")</f>
        <v/>
      </c>
      <c r="D285" s="134" t="str">
        <f>IFERROR(INDEX('كشف الحساب'!$D$4:$D$204,MATCH(76,'كشف الحساب'!$Q$4:$Q$204,0)),"")</f>
        <v/>
      </c>
      <c r="E285" s="135" t="str">
        <f>IFERROR(INDEX('كشف الحساب'!$G$4:$G$204,MATCH(76,'كشف الحساب'!$Q$4:$Q$204,0)),"")</f>
        <v/>
      </c>
      <c r="F285" s="132"/>
    </row>
    <row r="286" spans="1:6" ht="18" customHeight="1" x14ac:dyDescent="0.25">
      <c r="A286" s="143" t="str">
        <f>IFERROR(INDEX('كشف الحساب'!$A$4:$A$204,MATCH(77,'كشف الحساب'!$Q$4:$Q$204,0)),"")</f>
        <v/>
      </c>
      <c r="B286" s="133" t="str">
        <f>IFERROR(INDEX('كشف الحساب'!$B$4:$B$204,MATCH(77,'كشف الحساب'!$Q$4:$Q$204,0)),"")</f>
        <v/>
      </c>
      <c r="C286" s="132" t="str">
        <f>IFERROR(INDEX('كشف الحساب'!$C$4:$C$204,MATCH(77,'كشف الحساب'!$Q$4:$Q$204,0)),"")</f>
        <v/>
      </c>
      <c r="D286" s="134" t="str">
        <f>IFERROR(INDEX('كشف الحساب'!$D$4:$D$204,MATCH(77,'كشف الحساب'!$Q$4:$Q$204,0)),"")</f>
        <v/>
      </c>
      <c r="E286" s="135" t="str">
        <f>IFERROR(INDEX('كشف الحساب'!$G$4:$G$204,MATCH(77,'كشف الحساب'!$Q$4:$Q$204,0)),"")</f>
        <v/>
      </c>
      <c r="F286" s="132"/>
    </row>
    <row r="287" spans="1:6" ht="18" customHeight="1" x14ac:dyDescent="0.25">
      <c r="A287" s="143" t="str">
        <f>IFERROR(INDEX('كشف الحساب'!$A$4:$A$204,MATCH(78,'كشف الحساب'!$Q$4:$Q$204,0)),"")</f>
        <v/>
      </c>
      <c r="B287" s="133" t="str">
        <f>IFERROR(INDEX('كشف الحساب'!$B$4:$B$204,MATCH(78,'كشف الحساب'!$Q$4:$Q$204,0)),"")</f>
        <v/>
      </c>
      <c r="C287" s="132" t="str">
        <f>IFERROR(INDEX('كشف الحساب'!$C$4:$C$204,MATCH(78,'كشف الحساب'!$Q$4:$Q$204,0)),"")</f>
        <v/>
      </c>
      <c r="D287" s="134" t="str">
        <f>IFERROR(INDEX('كشف الحساب'!$D$4:$D$204,MATCH(78,'كشف الحساب'!$Q$4:$Q$204,0)),"")</f>
        <v/>
      </c>
      <c r="E287" s="135" t="str">
        <f>IFERROR(INDEX('كشف الحساب'!$G$4:$G$204,MATCH(78,'كشف الحساب'!$Q$4:$Q$204,0)),"")</f>
        <v/>
      </c>
      <c r="F287" s="132"/>
    </row>
    <row r="288" spans="1:6" ht="18" customHeight="1" x14ac:dyDescent="0.25">
      <c r="A288" s="143" t="str">
        <f>IFERROR(INDEX('كشف الحساب'!$A$4:$A$204,MATCH(79,'كشف الحساب'!$Q$4:$Q$204,0)),"")</f>
        <v/>
      </c>
      <c r="B288" s="133" t="str">
        <f>IFERROR(INDEX('كشف الحساب'!$B$4:$B$204,MATCH(79,'كشف الحساب'!$Q$4:$Q$204,0)),"")</f>
        <v/>
      </c>
      <c r="C288" s="132" t="str">
        <f>IFERROR(INDEX('كشف الحساب'!$C$4:$C$204,MATCH(79,'كشف الحساب'!$Q$4:$Q$204,0)),"")</f>
        <v/>
      </c>
      <c r="D288" s="134" t="str">
        <f>IFERROR(INDEX('كشف الحساب'!$D$4:$D$204,MATCH(79,'كشف الحساب'!$Q$4:$Q$204,0)),"")</f>
        <v/>
      </c>
      <c r="E288" s="135" t="str">
        <f>IFERROR(INDEX('كشف الحساب'!$G$4:$G$204,MATCH(79,'كشف الحساب'!$Q$4:$Q$204,0)),"")</f>
        <v/>
      </c>
      <c r="F288" s="132"/>
    </row>
    <row r="289" spans="1:6" ht="18" customHeight="1" x14ac:dyDescent="0.25">
      <c r="A289" s="143" t="str">
        <f>IFERROR(INDEX('كشف الحساب'!$A$4:$A$204,MATCH(80,'كشف الحساب'!$Q$4:$Q$204,0)),"")</f>
        <v/>
      </c>
      <c r="B289" s="133" t="str">
        <f>IFERROR(INDEX('كشف الحساب'!$B$4:$B$204,MATCH(80,'كشف الحساب'!$Q$4:$Q$204,0)),"")</f>
        <v/>
      </c>
      <c r="C289" s="132" t="str">
        <f>IFERROR(INDEX('كشف الحساب'!$C$4:$C$204,MATCH(80,'كشف الحساب'!$Q$4:$Q$204,0)),"")</f>
        <v/>
      </c>
      <c r="D289" s="134" t="str">
        <f>IFERROR(INDEX('كشف الحساب'!$D$4:$D$204,MATCH(80,'كشف الحساب'!$Q$4:$Q$204,0)),"")</f>
        <v/>
      </c>
      <c r="E289" s="135" t="str">
        <f>IFERROR(INDEX('كشف الحساب'!$G$4:$G$204,MATCH(80,'كشف الحساب'!$Q$4:$Q$204,0)),"")</f>
        <v/>
      </c>
      <c r="F289" s="132"/>
    </row>
    <row r="290" spans="1:6" ht="18" customHeight="1" x14ac:dyDescent="0.25">
      <c r="A290" s="143" t="str">
        <f>IFERROR(INDEX('كشف الحساب'!$A$4:$A$204,MATCH(81,'كشف الحساب'!$Q$4:$Q$204,0)),"")</f>
        <v/>
      </c>
      <c r="B290" s="133" t="str">
        <f>IFERROR(INDEX('كشف الحساب'!$B$4:$B$204,MATCH(81,'كشف الحساب'!$Q$4:$Q$204,0)),"")</f>
        <v/>
      </c>
      <c r="C290" s="132" t="str">
        <f>IFERROR(INDEX('كشف الحساب'!$C$4:$C$204,MATCH(81,'كشف الحساب'!$Q$4:$Q$204,0)),"")</f>
        <v/>
      </c>
      <c r="D290" s="134" t="str">
        <f>IFERROR(INDEX('كشف الحساب'!$D$4:$D$204,MATCH(81,'كشف الحساب'!$Q$4:$Q$204,0)),"")</f>
        <v/>
      </c>
      <c r="E290" s="135" t="str">
        <f>IFERROR(INDEX('كشف الحساب'!$G$4:$G$204,MATCH(81,'كشف الحساب'!$Q$4:$Q$204,0)),"")</f>
        <v/>
      </c>
      <c r="F290" s="132"/>
    </row>
    <row r="291" spans="1:6" ht="18" customHeight="1" x14ac:dyDescent="0.25">
      <c r="A291" s="143" t="str">
        <f>IFERROR(INDEX('كشف الحساب'!$A$4:$A$204,MATCH(82,'كشف الحساب'!$Q$4:$Q$204,0)),"")</f>
        <v/>
      </c>
      <c r="B291" s="133" t="str">
        <f>IFERROR(INDEX('كشف الحساب'!$B$4:$B$204,MATCH(82,'كشف الحساب'!$Q$4:$Q$204,0)),"")</f>
        <v/>
      </c>
      <c r="C291" s="132" t="str">
        <f>IFERROR(INDEX('كشف الحساب'!$C$4:$C$204,MATCH(82,'كشف الحساب'!$Q$4:$Q$204,0)),"")</f>
        <v/>
      </c>
      <c r="D291" s="134" t="str">
        <f>IFERROR(INDEX('كشف الحساب'!$D$4:$D$204,MATCH(82,'كشف الحساب'!$Q$4:$Q$204,0)),"")</f>
        <v/>
      </c>
      <c r="E291" s="135" t="str">
        <f>IFERROR(INDEX('كشف الحساب'!$G$4:$G$204,MATCH(82,'كشف الحساب'!$Q$4:$Q$204,0)),"")</f>
        <v/>
      </c>
      <c r="F291" s="132"/>
    </row>
    <row r="292" spans="1:6" ht="18" customHeight="1" x14ac:dyDescent="0.25">
      <c r="A292" s="143" t="str">
        <f>IFERROR(INDEX('كشف الحساب'!$A$4:$A$204,MATCH(83,'كشف الحساب'!$Q$4:$Q$204,0)),"")</f>
        <v/>
      </c>
      <c r="B292" s="133" t="str">
        <f>IFERROR(INDEX('كشف الحساب'!$B$4:$B$204,MATCH(83,'كشف الحساب'!$Q$4:$Q$204,0)),"")</f>
        <v/>
      </c>
      <c r="C292" s="132" t="str">
        <f>IFERROR(INDEX('كشف الحساب'!$C$4:$C$204,MATCH(83,'كشف الحساب'!$Q$4:$Q$204,0)),"")</f>
        <v/>
      </c>
      <c r="D292" s="134" t="str">
        <f>IFERROR(INDEX('كشف الحساب'!$D$4:$D$204,MATCH(83,'كشف الحساب'!$Q$4:$Q$204,0)),"")</f>
        <v/>
      </c>
      <c r="E292" s="135" t="str">
        <f>IFERROR(INDEX('كشف الحساب'!$G$4:$G$204,MATCH(83,'كشف الحساب'!$Q$4:$Q$204,0)),"")</f>
        <v/>
      </c>
      <c r="F292" s="132"/>
    </row>
    <row r="293" spans="1:6" ht="18" customHeight="1" x14ac:dyDescent="0.25">
      <c r="A293" s="143" t="str">
        <f>IFERROR(INDEX('كشف الحساب'!$A$4:$A$204,MATCH(84,'كشف الحساب'!$Q$4:$Q$204,0)),"")</f>
        <v/>
      </c>
      <c r="B293" s="133" t="str">
        <f>IFERROR(INDEX('كشف الحساب'!$B$4:$B$204,MATCH(84,'كشف الحساب'!$Q$4:$Q$204,0)),"")</f>
        <v/>
      </c>
      <c r="C293" s="132" t="str">
        <f>IFERROR(INDEX('كشف الحساب'!$C$4:$C$204,MATCH(84,'كشف الحساب'!$Q$4:$Q$204,0)),"")</f>
        <v/>
      </c>
      <c r="D293" s="134" t="str">
        <f>IFERROR(INDEX('كشف الحساب'!$D$4:$D$204,MATCH(84,'كشف الحساب'!$Q$4:$Q$204,0)),"")</f>
        <v/>
      </c>
      <c r="E293" s="135" t="str">
        <f>IFERROR(INDEX('كشف الحساب'!$G$4:$G$204,MATCH(84,'كشف الحساب'!$Q$4:$Q$204,0)),"")</f>
        <v/>
      </c>
      <c r="F293" s="132"/>
    </row>
    <row r="294" spans="1:6" ht="18" customHeight="1" x14ac:dyDescent="0.25">
      <c r="A294" s="143" t="str">
        <f>IFERROR(INDEX('كشف الحساب'!$A$4:$A$204,MATCH(85,'كشف الحساب'!$Q$4:$Q$204,0)),"")</f>
        <v/>
      </c>
      <c r="B294" s="133" t="str">
        <f>IFERROR(INDEX('كشف الحساب'!$B$4:$B$204,MATCH(85,'كشف الحساب'!$Q$4:$Q$204,0)),"")</f>
        <v/>
      </c>
      <c r="C294" s="132" t="str">
        <f>IFERROR(INDEX('كشف الحساب'!$C$4:$C$204,MATCH(85,'كشف الحساب'!$Q$4:$Q$204,0)),"")</f>
        <v/>
      </c>
      <c r="D294" s="134" t="str">
        <f>IFERROR(INDEX('كشف الحساب'!$D$4:$D$204,MATCH(85,'كشف الحساب'!$Q$4:$Q$204,0)),"")</f>
        <v/>
      </c>
      <c r="E294" s="135" t="str">
        <f>IFERROR(INDEX('كشف الحساب'!$G$4:$G$204,MATCH(85,'كشف الحساب'!$Q$4:$Q$204,0)),"")</f>
        <v/>
      </c>
      <c r="F294" s="132"/>
    </row>
    <row r="295" spans="1:6" ht="18" customHeight="1" x14ac:dyDescent="0.25">
      <c r="A295" s="143" t="str">
        <f>IFERROR(INDEX('كشف الحساب'!$A$4:$A$204,MATCH(86,'كشف الحساب'!$Q$4:$Q$204,0)),"")</f>
        <v/>
      </c>
      <c r="B295" s="133" t="str">
        <f>IFERROR(INDEX('كشف الحساب'!$B$4:$B$204,MATCH(86,'كشف الحساب'!$Q$4:$Q$204,0)),"")</f>
        <v/>
      </c>
      <c r="C295" s="132" t="str">
        <f>IFERROR(INDEX('كشف الحساب'!$C$4:$C$204,MATCH(86,'كشف الحساب'!$Q$4:$Q$204,0)),"")</f>
        <v/>
      </c>
      <c r="D295" s="134" t="str">
        <f>IFERROR(INDEX('كشف الحساب'!$D$4:$D$204,MATCH(86,'كشف الحساب'!$Q$4:$Q$204,0)),"")</f>
        <v/>
      </c>
      <c r="E295" s="135" t="str">
        <f>IFERROR(INDEX('كشف الحساب'!$G$4:$G$204,MATCH(86,'كشف الحساب'!$Q$4:$Q$204,0)),"")</f>
        <v/>
      </c>
      <c r="F295" s="132"/>
    </row>
    <row r="296" spans="1:6" ht="18" customHeight="1" x14ac:dyDescent="0.25">
      <c r="A296" s="143" t="str">
        <f>IFERROR(INDEX('كشف الحساب'!$A$4:$A$204,MATCH(87,'كشف الحساب'!$Q$4:$Q$204,0)),"")</f>
        <v/>
      </c>
      <c r="B296" s="133" t="str">
        <f>IFERROR(INDEX('كشف الحساب'!$B$4:$B$204,MATCH(87,'كشف الحساب'!$Q$4:$Q$204,0)),"")</f>
        <v/>
      </c>
      <c r="C296" s="132" t="str">
        <f>IFERROR(INDEX('كشف الحساب'!$C$4:$C$204,MATCH(87,'كشف الحساب'!$Q$4:$Q$204,0)),"")</f>
        <v/>
      </c>
      <c r="D296" s="134" t="str">
        <f>IFERROR(INDEX('كشف الحساب'!$D$4:$D$204,MATCH(87,'كشف الحساب'!$Q$4:$Q$204,0)),"")</f>
        <v/>
      </c>
      <c r="E296" s="135" t="str">
        <f>IFERROR(INDEX('كشف الحساب'!$G$4:$G$204,MATCH(87,'كشف الحساب'!$Q$4:$Q$204,0)),"")</f>
        <v/>
      </c>
      <c r="F296" s="132"/>
    </row>
    <row r="297" spans="1:6" ht="18" customHeight="1" x14ac:dyDescent="0.25">
      <c r="A297" s="143" t="str">
        <f>IFERROR(INDEX('كشف الحساب'!$A$4:$A$204,MATCH(88,'كشف الحساب'!$Q$4:$Q$204,0)),"")</f>
        <v/>
      </c>
      <c r="B297" s="133" t="str">
        <f>IFERROR(INDEX('كشف الحساب'!$B$4:$B$204,MATCH(88,'كشف الحساب'!$Q$4:$Q$204,0)),"")</f>
        <v/>
      </c>
      <c r="C297" s="132" t="str">
        <f>IFERROR(INDEX('كشف الحساب'!$C$4:$C$204,MATCH(88,'كشف الحساب'!$Q$4:$Q$204,0)),"")</f>
        <v/>
      </c>
      <c r="D297" s="134" t="str">
        <f>IFERROR(INDEX('كشف الحساب'!$D$4:$D$204,MATCH(88,'كشف الحساب'!$Q$4:$Q$204,0)),"")</f>
        <v/>
      </c>
      <c r="E297" s="135" t="str">
        <f>IFERROR(INDEX('كشف الحساب'!$G$4:$G$204,MATCH(88,'كشف الحساب'!$Q$4:$Q$204,0)),"")</f>
        <v/>
      </c>
      <c r="F297" s="132"/>
    </row>
    <row r="298" spans="1:6" ht="18" customHeight="1" x14ac:dyDescent="0.25">
      <c r="A298" s="143" t="str">
        <f>IFERROR(INDEX('كشف الحساب'!$A$4:$A$204,MATCH(89,'كشف الحساب'!$Q$4:$Q$204,0)),"")</f>
        <v/>
      </c>
      <c r="B298" s="133" t="str">
        <f>IFERROR(INDEX('كشف الحساب'!$B$4:$B$204,MATCH(89,'كشف الحساب'!$Q$4:$Q$204,0)),"")</f>
        <v/>
      </c>
      <c r="C298" s="132" t="str">
        <f>IFERROR(INDEX('كشف الحساب'!$C$4:$C$204,MATCH(89,'كشف الحساب'!$Q$4:$Q$204,0)),"")</f>
        <v/>
      </c>
      <c r="D298" s="134" t="str">
        <f>IFERROR(INDEX('كشف الحساب'!$D$4:$D$204,MATCH(89,'كشف الحساب'!$Q$4:$Q$204,0)),"")</f>
        <v/>
      </c>
      <c r="E298" s="135" t="str">
        <f>IFERROR(INDEX('كشف الحساب'!$G$4:$G$204,MATCH(89,'كشف الحساب'!$Q$4:$Q$204,0)),"")</f>
        <v/>
      </c>
      <c r="F298" s="132"/>
    </row>
    <row r="299" spans="1:6" ht="18" customHeight="1" x14ac:dyDescent="0.25">
      <c r="A299" s="143" t="str">
        <f>IFERROR(INDEX('كشف الحساب'!$A$4:$A$204,MATCH(90,'كشف الحساب'!$Q$4:$Q$204,0)),"")</f>
        <v/>
      </c>
      <c r="B299" s="133" t="str">
        <f>IFERROR(INDEX('كشف الحساب'!$B$4:$B$204,MATCH(90,'كشف الحساب'!$Q$4:$Q$204,0)),"")</f>
        <v/>
      </c>
      <c r="C299" s="132" t="str">
        <f>IFERROR(INDEX('كشف الحساب'!$C$4:$C$204,MATCH(90,'كشف الحساب'!$Q$4:$Q$204,0)),"")</f>
        <v/>
      </c>
      <c r="D299" s="134" t="str">
        <f>IFERROR(INDEX('كشف الحساب'!$D$4:$D$204,MATCH(90,'كشف الحساب'!$Q$4:$Q$204,0)),"")</f>
        <v/>
      </c>
      <c r="E299" s="135" t="str">
        <f>IFERROR(INDEX('كشف الحساب'!$G$4:$G$204,MATCH(90,'كشف الحساب'!$Q$4:$Q$204,0)),"")</f>
        <v/>
      </c>
      <c r="F299" s="132"/>
    </row>
    <row r="300" spans="1:6" ht="18" customHeight="1" x14ac:dyDescent="0.25">
      <c r="A300" s="143" t="str">
        <f>IFERROR(INDEX('كشف الحساب'!$A$4:$A$204,MATCH(91,'كشف الحساب'!$Q$4:$Q$204,0)),"")</f>
        <v/>
      </c>
      <c r="B300" s="133" t="str">
        <f>IFERROR(INDEX('كشف الحساب'!$B$4:$B$204,MATCH(91,'كشف الحساب'!$Q$4:$Q$204,0)),"")</f>
        <v/>
      </c>
      <c r="C300" s="132" t="str">
        <f>IFERROR(INDEX('كشف الحساب'!$C$4:$C$204,MATCH(91,'كشف الحساب'!$Q$4:$Q$204,0)),"")</f>
        <v/>
      </c>
      <c r="D300" s="134" t="str">
        <f>IFERROR(INDEX('كشف الحساب'!$D$4:$D$204,MATCH(91,'كشف الحساب'!$Q$4:$Q$204,0)),"")</f>
        <v/>
      </c>
      <c r="E300" s="135" t="str">
        <f>IFERROR(INDEX('كشف الحساب'!$G$4:$G$204,MATCH(91,'كشف الحساب'!$Q$4:$Q$204,0)),"")</f>
        <v/>
      </c>
      <c r="F300" s="132"/>
    </row>
    <row r="301" spans="1:6" ht="18" customHeight="1" x14ac:dyDescent="0.25">
      <c r="A301" s="143" t="str">
        <f>IFERROR(INDEX('كشف الحساب'!$A$4:$A$204,MATCH(92,'كشف الحساب'!$Q$4:$Q$204,0)),"")</f>
        <v/>
      </c>
      <c r="B301" s="133" t="str">
        <f>IFERROR(INDEX('كشف الحساب'!$B$4:$B$204,MATCH(92,'كشف الحساب'!$Q$4:$Q$204,0)),"")</f>
        <v/>
      </c>
      <c r="C301" s="132" t="str">
        <f>IFERROR(INDEX('كشف الحساب'!$C$4:$C$204,MATCH(92,'كشف الحساب'!$Q$4:$Q$204,0)),"")</f>
        <v/>
      </c>
      <c r="D301" s="134" t="str">
        <f>IFERROR(INDEX('كشف الحساب'!$D$4:$D$204,MATCH(92,'كشف الحساب'!$Q$4:$Q$204,0)),"")</f>
        <v/>
      </c>
      <c r="E301" s="135" t="str">
        <f>IFERROR(INDEX('كشف الحساب'!$G$4:$G$204,MATCH(92,'كشف الحساب'!$Q$4:$Q$204,0)),"")</f>
        <v/>
      </c>
      <c r="F301" s="132"/>
    </row>
    <row r="302" spans="1:6" ht="18" customHeight="1" x14ac:dyDescent="0.25">
      <c r="A302" s="143" t="str">
        <f>IFERROR(INDEX('كشف الحساب'!$A$4:$A$204,MATCH(93,'كشف الحساب'!$Q$4:$Q$204,0)),"")</f>
        <v/>
      </c>
      <c r="B302" s="133" t="str">
        <f>IFERROR(INDEX('كشف الحساب'!$B$4:$B$204,MATCH(93,'كشف الحساب'!$Q$4:$Q$204,0)),"")</f>
        <v/>
      </c>
      <c r="C302" s="132" t="str">
        <f>IFERROR(INDEX('كشف الحساب'!$C$4:$C$204,MATCH(93,'كشف الحساب'!$Q$4:$Q$204,0)),"")</f>
        <v/>
      </c>
      <c r="D302" s="134" t="str">
        <f>IFERROR(INDEX('كشف الحساب'!$D$4:$D$204,MATCH(93,'كشف الحساب'!$Q$4:$Q$204,0)),"")</f>
        <v/>
      </c>
      <c r="E302" s="135" t="str">
        <f>IFERROR(INDEX('كشف الحساب'!$G$4:$G$204,MATCH(93,'كشف الحساب'!$Q$4:$Q$204,0)),"")</f>
        <v/>
      </c>
      <c r="F302" s="132"/>
    </row>
    <row r="303" spans="1:6" ht="18" customHeight="1" x14ac:dyDescent="0.25">
      <c r="A303" s="143" t="str">
        <f>IFERROR(INDEX('كشف الحساب'!$A$4:$A$204,MATCH(94,'كشف الحساب'!$Q$4:$Q$204,0)),"")</f>
        <v/>
      </c>
      <c r="B303" s="133" t="str">
        <f>IFERROR(INDEX('كشف الحساب'!$B$4:$B$204,MATCH(94,'كشف الحساب'!$Q$4:$Q$204,0)),"")</f>
        <v/>
      </c>
      <c r="C303" s="132" t="str">
        <f>IFERROR(INDEX('كشف الحساب'!$C$4:$C$204,MATCH(94,'كشف الحساب'!$Q$4:$Q$204,0)),"")</f>
        <v/>
      </c>
      <c r="D303" s="134" t="str">
        <f>IFERROR(INDEX('كشف الحساب'!$D$4:$D$204,MATCH(94,'كشف الحساب'!$Q$4:$Q$204,0)),"")</f>
        <v/>
      </c>
      <c r="E303" s="135" t="str">
        <f>IFERROR(INDEX('كشف الحساب'!$G$4:$G$204,MATCH(94,'كشف الحساب'!$Q$4:$Q$204,0)),"")</f>
        <v/>
      </c>
      <c r="F303" s="132"/>
    </row>
    <row r="304" spans="1:6" ht="18" customHeight="1" x14ac:dyDescent="0.25">
      <c r="A304" s="143" t="str">
        <f>IFERROR(INDEX('كشف الحساب'!$A$4:$A$204,MATCH(95,'كشف الحساب'!$Q$4:$Q$204,0)),"")</f>
        <v/>
      </c>
      <c r="B304" s="133" t="str">
        <f>IFERROR(INDEX('كشف الحساب'!$B$4:$B$204,MATCH(95,'كشف الحساب'!$Q$4:$Q$204,0)),"")</f>
        <v/>
      </c>
      <c r="C304" s="132" t="str">
        <f>IFERROR(INDEX('كشف الحساب'!$C$4:$C$204,MATCH(95,'كشف الحساب'!$Q$4:$Q$204,0)),"")</f>
        <v/>
      </c>
      <c r="D304" s="134" t="str">
        <f>IFERROR(INDEX('كشف الحساب'!$D$4:$D$204,MATCH(95,'كشف الحساب'!$Q$4:$Q$204,0)),"")</f>
        <v/>
      </c>
      <c r="E304" s="135" t="str">
        <f>IFERROR(INDEX('كشف الحساب'!$G$4:$G$204,MATCH(95,'كشف الحساب'!$Q$4:$Q$204,0)),"")</f>
        <v/>
      </c>
      <c r="F304" s="132"/>
    </row>
    <row r="305" spans="1:6" ht="18" customHeight="1" x14ac:dyDescent="0.25">
      <c r="A305" s="143" t="str">
        <f>IFERROR(INDEX('كشف الحساب'!$A$4:$A$204,MATCH(96,'كشف الحساب'!$Q$4:$Q$204,0)),"")</f>
        <v/>
      </c>
      <c r="B305" s="133" t="str">
        <f>IFERROR(INDEX('كشف الحساب'!$B$4:$B$204,MATCH(96,'كشف الحساب'!$Q$4:$Q$204,0)),"")</f>
        <v/>
      </c>
      <c r="C305" s="132" t="str">
        <f>IFERROR(INDEX('كشف الحساب'!$C$4:$C$204,MATCH(96,'كشف الحساب'!$Q$4:$Q$204,0)),"")</f>
        <v/>
      </c>
      <c r="D305" s="134" t="str">
        <f>IFERROR(INDEX('كشف الحساب'!$D$4:$D$204,MATCH(96,'كشف الحساب'!$Q$4:$Q$204,0)),"")</f>
        <v/>
      </c>
      <c r="E305" s="135" t="str">
        <f>IFERROR(INDEX('كشف الحساب'!$G$4:$G$204,MATCH(96,'كشف الحساب'!$Q$4:$Q$204,0)),"")</f>
        <v/>
      </c>
      <c r="F305" s="132"/>
    </row>
    <row r="306" spans="1:6" ht="18" customHeight="1" x14ac:dyDescent="0.25">
      <c r="A306" s="143" t="str">
        <f>IFERROR(INDEX('كشف الحساب'!$A$4:$A$204,MATCH(97,'كشف الحساب'!$Q$4:$Q$204,0)),"")</f>
        <v/>
      </c>
      <c r="B306" s="133" t="str">
        <f>IFERROR(INDEX('كشف الحساب'!$B$4:$B$204,MATCH(97,'كشف الحساب'!$Q$4:$Q$204,0)),"")</f>
        <v/>
      </c>
      <c r="C306" s="132" t="str">
        <f>IFERROR(INDEX('كشف الحساب'!$C$4:$C$204,MATCH(97,'كشف الحساب'!$Q$4:$Q$204,0)),"")</f>
        <v/>
      </c>
      <c r="D306" s="134" t="str">
        <f>IFERROR(INDEX('كشف الحساب'!$D$4:$D$204,MATCH(97,'كشف الحساب'!$Q$4:$Q$204,0)),"")</f>
        <v/>
      </c>
      <c r="E306" s="135" t="str">
        <f>IFERROR(INDEX('كشف الحساب'!$G$4:$G$204,MATCH(97,'كشف الحساب'!$Q$4:$Q$204,0)),"")</f>
        <v/>
      </c>
      <c r="F306" s="132"/>
    </row>
    <row r="307" spans="1:6" ht="18" customHeight="1" x14ac:dyDescent="0.25">
      <c r="A307" s="143" t="str">
        <f>IFERROR(INDEX('كشف الحساب'!$A$4:$A$204,MATCH(98,'كشف الحساب'!$Q$4:$Q$204,0)),"")</f>
        <v/>
      </c>
      <c r="B307" s="133" t="str">
        <f>IFERROR(INDEX('كشف الحساب'!$B$4:$B$204,MATCH(98,'كشف الحساب'!$Q$4:$Q$204,0)),"")</f>
        <v/>
      </c>
      <c r="C307" s="132" t="str">
        <f>IFERROR(INDEX('كشف الحساب'!$C$4:$C$204,MATCH(98,'كشف الحساب'!$Q$4:$Q$204,0)),"")</f>
        <v/>
      </c>
      <c r="D307" s="134" t="str">
        <f>IFERROR(INDEX('كشف الحساب'!$D$4:$D$204,MATCH(98,'كشف الحساب'!$Q$4:$Q$204,0)),"")</f>
        <v/>
      </c>
      <c r="E307" s="135" t="str">
        <f>IFERROR(INDEX('كشف الحساب'!$G$4:$G$204,MATCH(98,'كشف الحساب'!$Q$4:$Q$204,0)),"")</f>
        <v/>
      </c>
      <c r="F307" s="132"/>
    </row>
    <row r="308" spans="1:6" ht="18" customHeight="1" x14ac:dyDescent="0.25">
      <c r="A308" s="143" t="str">
        <f>IFERROR(INDEX('كشف الحساب'!$A$4:$A$204,MATCH(99,'كشف الحساب'!$Q$4:$Q$204,0)),"")</f>
        <v/>
      </c>
      <c r="B308" s="133" t="str">
        <f>IFERROR(INDEX('كشف الحساب'!$B$4:$B$204,MATCH(99,'كشف الحساب'!$Q$4:$Q$204,0)),"")</f>
        <v/>
      </c>
      <c r="C308" s="132" t="str">
        <f>IFERROR(INDEX('كشف الحساب'!$C$4:$C$204,MATCH(99,'كشف الحساب'!$Q$4:$Q$204,0)),"")</f>
        <v/>
      </c>
      <c r="D308" s="134" t="str">
        <f>IFERROR(INDEX('كشف الحساب'!$D$4:$D$204,MATCH(99,'كشف الحساب'!$Q$4:$Q$204,0)),"")</f>
        <v/>
      </c>
      <c r="E308" s="135" t="str">
        <f>IFERROR(INDEX('كشف الحساب'!$G$4:$G$204,MATCH(99,'كشف الحساب'!$Q$4:$Q$204,0)),"")</f>
        <v/>
      </c>
      <c r="F308" s="132"/>
    </row>
    <row r="309" spans="1:6" ht="18" customHeight="1" x14ac:dyDescent="0.25">
      <c r="A309" s="143" t="str">
        <f>IFERROR(INDEX('كشف الحساب'!$A$4:$A$204,MATCH(100,'كشف الحساب'!$Q$4:$Q$204,0)),"")</f>
        <v/>
      </c>
      <c r="B309" s="133" t="str">
        <f>IFERROR(INDEX('كشف الحساب'!$B$4:$B$204,MATCH(100,'كشف الحساب'!$Q$4:$Q$204,0)),"")</f>
        <v/>
      </c>
      <c r="C309" s="132" t="str">
        <f>IFERROR(INDEX('كشف الحساب'!$C$4:$C$204,MATCH(100,'كشف الحساب'!$Q$4:$Q$204,0)),"")</f>
        <v/>
      </c>
      <c r="D309" s="134" t="str">
        <f>IFERROR(INDEX('كشف الحساب'!$D$4:$D$204,MATCH(100,'كشف الحساب'!$Q$4:$Q$204,0)),"")</f>
        <v/>
      </c>
      <c r="E309" s="135" t="str">
        <f>IFERROR(INDEX('كشف الحساب'!$G$4:$G$204,MATCH(100,'كشف الحساب'!$Q$4:$Q$204,0)),"")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1433.5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768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665.5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06"/>
  <sheetViews>
    <sheetView rightToLeft="1" tabSelected="1" zoomScaleNormal="100" workbookViewId="0">
      <pane ySplit="3" topLeftCell="A123" activePane="bottomLeft" state="frozen"/>
      <selection pane="bottomLeft" activeCell="E134" sqref="E134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1" t="s">
        <v>16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</row>
    <row r="2" spans="1:17" ht="24" customHeight="1" x14ac:dyDescent="0.25">
      <c r="A2" s="158" t="s">
        <v>17</v>
      </c>
      <c r="B2" s="156"/>
      <c r="C2" s="156"/>
      <c r="D2" s="1">
        <v>0</v>
      </c>
      <c r="E2" s="159" t="s">
        <v>18</v>
      </c>
      <c r="F2" s="160"/>
      <c r="G2" s="160"/>
      <c r="H2" s="160"/>
      <c r="I2" s="160"/>
      <c r="J2" s="160"/>
      <c r="K2" s="160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>1</v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>2</v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>3</v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>4</v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279</v>
      </c>
      <c r="C105" s="27" t="s">
        <v>293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>5</v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280</v>
      </c>
      <c r="C106" s="37" t="s">
        <v>281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>6</v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282</v>
      </c>
      <c r="C107" s="27" t="s">
        <v>283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>7</v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285</v>
      </c>
      <c r="C108" s="37" t="s">
        <v>284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>8</v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287</v>
      </c>
      <c r="C109" s="27" t="s">
        <v>286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>9</v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288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>10</v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289</v>
      </c>
      <c r="C111" s="27" t="s">
        <v>290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>11</v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291</v>
      </c>
      <c r="C112" s="37" t="s">
        <v>292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>12</v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294</v>
      </c>
      <c r="C113" s="27" t="s">
        <v>296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>13</v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295</v>
      </c>
      <c r="C114" s="37" t="s">
        <v>297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>14</v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298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>15</v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299</v>
      </c>
      <c r="C116" s="37" t="s">
        <v>300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>106.62500000000001</v>
      </c>
      <c r="K116" s="44" t="s">
        <v>301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>16</v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302</v>
      </c>
      <c r="C117" s="27" t="s">
        <v>303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>108.62500000000001</v>
      </c>
      <c r="K117" s="44" t="s">
        <v>301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>17</v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305</v>
      </c>
      <c r="C118" s="37" t="s">
        <v>304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>18</v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306</v>
      </c>
      <c r="C119" s="27" t="s">
        <v>307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>19</v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308</v>
      </c>
      <c r="C120" s="37" t="s">
        <v>309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IFERROR(IF(J119="",D2,J119),D2)+IF(E120="",0,E120)-IF(OR(G120="أبو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>20</v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310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IFERROR(IF(J120="",D2,J120),D2)+IF(E121="",0,E121)-IF(OR(G121="أبو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>21</v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311</v>
      </c>
      <c r="C122" s="37" t="s">
        <v>312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IFERROR(IF(J121="",D2,J121),D2)+IF(E122="",0,E122)-IF(OR(G122="أبو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>22</v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313</v>
      </c>
      <c r="C123" s="27" t="s">
        <v>314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IFERROR(IF(J122="",D2,J122),D2)+IF(E123="",0,E123)-IF(OR(G123="أبو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>23</v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315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IFERROR(IF(J123="",D2,J123),D2)+IF(E124="",0,E124)-IF(OR(G124="أبو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>24</v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IFERROR(IF(J124="",D2,J124),D2)+IF(E125="",0,E125)-IF(OR(G125="أبو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>25</v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316</v>
      </c>
      <c r="C126" s="37" t="s">
        <v>317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IFERROR(IF(J125="",D2,J125),D2)+IF(E126="",0,E126)-IF(OR(G126="أبو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>26</v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319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IFERROR(IF(J126="",D2,J126),D2)+IF(E127="",0,E127)-IF(OR(G127="أبو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>27</v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320</v>
      </c>
      <c r="C128" s="37" t="s">
        <v>321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IFERROR(IF(J127="",D2,J127),D2)+IF(E128="",0,E128)-IF(OR(G128="أبو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>28</v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322</v>
      </c>
      <c r="C129" s="27" t="s">
        <v>323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IFERROR(IF(J128="",D2,J128),D2)+IF(E129="",0,E129)-IF(OR(G129="أبو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>29</v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324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IFERROR(IF(J129="",D2,J129),D2)+IF(E130="",0,E130)-IF(OR(G130="أبو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>30</v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325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IFERROR(IF(J130="",D2,J130),D2)+IF(E131="",0,E131)-IF(OR(G131="أبو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>31</v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325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IFERROR(IF(J131="",D2,J131),D2)+IF(E132="",0,E132)-IF(OR(G132="أبو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>32</v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326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IFERROR(IF(J132="",D2,J132),D2)+IF(E133="",0,E133)-IF(OR(G133="أبو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>33</v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/>
      <c r="B134" s="36"/>
      <c r="C134" s="37"/>
      <c r="D134" s="38"/>
      <c r="E134" s="39"/>
      <c r="F134" s="136"/>
      <c r="G134" s="40"/>
      <c r="H134" s="41"/>
      <c r="I134" s="42"/>
      <c r="J134" s="43" t="str">
        <f>IF(AND(D134="",E134="",A134="",B134="",C134=""),"", IFERROR(IF(J133="",D2,J133),D2)+IF(E134="",0,E134)-IF(OR(G134="أبو اسحاق",G134="أبو آدم",G134="أبو اسحاق ",G134="أبو آدم "),0,IF(D134="",0,D134)))</f>
        <v/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 t="str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/>
      </c>
      <c r="O134" t="str">
        <f>IF(AND(D133&gt;0,F133="أحد الشركاء"),COUNTIFS($D$4:D133,"&gt;"&amp;0,$F$4:F133,"أحد الشركاء"),"")</f>
        <v/>
      </c>
      <c r="P134" t="str">
        <f>IF(OR($A134="",$F134="أحد الشركاء",AND($D134="",$E134="")),"",SUMPRODUCT(($A$4:$A134&lt;&gt;"")*($F$4:$F134&lt;&gt;"أحد الشركاء")*((($D$4:$D134&lt;&gt;"")+($E$4:$E134&lt;&gt;""))&gt;0)))</f>
        <v/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/>
      <c r="B135" s="26"/>
      <c r="C135" s="27"/>
      <c r="D135" s="28"/>
      <c r="E135" s="29"/>
      <c r="F135" s="30"/>
      <c r="G135" s="31"/>
      <c r="H135" s="32"/>
      <c r="I135" s="33"/>
      <c r="J135" s="34" t="str">
        <f>IF(AND(D135="",E135="",A135="",B135="",C135=""),"", IFERROR(IF(J134="",D2,J134),D2)+IF(E135="",0,E135)-IF(OR(G135="أبو اسحاق",G135="أبو آدم",G135="أبو اسحاق ",G135="أبو آدم "),0,IF(D135="",0,D135)))</f>
        <v/>
      </c>
      <c r="K135" s="35"/>
      <c r="L135" t="str">
        <f>IF(E134&gt;0,COUNTIF($E$4:E134,"&gt;0"),"")</f>
        <v/>
      </c>
      <c r="M135" t="str">
        <f>IF(AND(D134&gt;0,G134="المحفظة"),COUNTIFS($D$4:D134,"&gt;"&amp;0,$G$4:G134,"المحفظة"),"")</f>
        <v/>
      </c>
      <c r="N135" t="str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/>
      </c>
      <c r="O135" t="str">
        <f>IF(AND(D134&gt;0,F134="أحد الشركاء"),COUNTIFS($D$4:D134,"&gt;"&amp;0,$F$4:F134,"أحد الشركاء"),"")</f>
        <v/>
      </c>
      <c r="P135" t="str">
        <f>IF(OR($A135="",$F135="أحد الشركاء",AND($D135="",$E135="")),"",SUMPRODUCT(($A$4:$A135&lt;&gt;"")*($F$4:$F135&lt;&gt;"أحد الشركاء")*((($D$4:$D135&lt;&gt;"")+($E$4:$E135&lt;&gt;""))&gt;0)))</f>
        <v/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/>
      <c r="B136" s="36"/>
      <c r="C136" s="37"/>
      <c r="D136" s="38"/>
      <c r="E136" s="39"/>
      <c r="F136" s="136"/>
      <c r="G136" s="40"/>
      <c r="H136" s="41"/>
      <c r="I136" s="42"/>
      <c r="J136" s="43" t="str">
        <f>IF(AND(D136="",E136="",A136="",B136="",C136=""),"", IFERROR(IF(J135="",D2,J135),D2)+IF(E136="",0,E136)-IF(OR(G136="أبو اسحاق",G136="أبو آدم",G136="أبو اسحاق ",G136="أبو آدم "),0,IF(D136="",0,D136)))</f>
        <v/>
      </c>
      <c r="K136" s="44"/>
      <c r="L136" t="str">
        <f>IF(E135&gt;0,COUNTIF($E$4:E135,"&gt;0"),"")</f>
        <v/>
      </c>
      <c r="M136" t="str">
        <f>IF(AND(D135&gt;0,G135="المحفظة"),COUNTIFS($D$4:D135,"&gt;"&amp;0,$G$4:G135,"المحفظة"),"")</f>
        <v/>
      </c>
      <c r="N136" t="str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/>
      </c>
      <c r="O136" t="str">
        <f>IF(AND(D135&gt;0,F135="أحد الشركاء"),COUNTIFS($D$4:D135,"&gt;"&amp;0,$F$4:F135,"أحد الشركاء"),"")</f>
        <v/>
      </c>
      <c r="P136" t="str">
        <f>IF(OR($A136="",$F136="أحد الشركاء",AND($D136="",$E136="")),"",SUMPRODUCT(($A$4:$A136&lt;&gt;"")*($F$4:$F136&lt;&gt;"أحد الشركاء")*((($D$4:$D136&lt;&gt;"")+($E$4:$E136&lt;&gt;""))&gt;0)))</f>
        <v/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/>
      <c r="B137" s="26"/>
      <c r="C137" s="27"/>
      <c r="D137" s="28"/>
      <c r="E137" s="29"/>
      <c r="F137" s="30"/>
      <c r="G137" s="31"/>
      <c r="H137" s="32"/>
      <c r="I137" s="33"/>
      <c r="J137" s="34" t="str">
        <f>IF(AND(D137="",E137="",A137="",B137="",C137=""),"", IFERROR(IF(J136="",D2,J136),D2)+IF(E137="",0,E137)-IF(OR(G137="أبو اسحاق",G137="أبو آدم",G137="أبو اسحاق ",G137="أبو آدم "),0,IF(D137="",0,D137)))</f>
        <v/>
      </c>
      <c r="K137" s="35"/>
      <c r="L137" t="str">
        <f>IF(E136&gt;0,COUNTIF($E$4:E136,"&gt;0"),"")</f>
        <v/>
      </c>
      <c r="M137" t="str">
        <f>IF(AND(D136&gt;0,G136="المحفظة"),COUNTIFS($D$4:D136,"&gt;"&amp;0,$G$4:G136,"المحفظة"),"")</f>
        <v/>
      </c>
      <c r="N137" t="str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/>
      </c>
      <c r="O137" t="str">
        <f>IF(AND(D136&gt;0,F136="أحد الشركاء"),COUNTIFS($D$4:D136,"&gt;"&amp;0,$F$4:F136,"أحد الشركاء"),"")</f>
        <v/>
      </c>
      <c r="P137" t="str">
        <f>IF(OR($A137="",$F137="أحد الشركاء",AND($D137="",$E137="")),"",SUMPRODUCT(($A$4:$A137&lt;&gt;"")*($F$4:$F137&lt;&gt;"أحد الشركاء")*((($D$4:$D137&lt;&gt;"")+($E$4:$E137&lt;&gt;""))&gt;0)))</f>
        <v/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/>
      <c r="B138" s="36"/>
      <c r="C138" s="37"/>
      <c r="D138" s="38"/>
      <c r="E138" s="39"/>
      <c r="F138" s="136"/>
      <c r="G138" s="40"/>
      <c r="H138" s="41"/>
      <c r="I138" s="42"/>
      <c r="J138" s="43" t="str">
        <f>IF(AND(D138="",E138="",A138="",B138="",C138=""),"", IFERROR(IF(J137="",D2,J137),D2)+IF(E138="",0,E138)-IF(OR(G138="أبو اسحاق",G138="أبو آدم",G138="أبو اسحاق ",G138="أبو آدم "),0,IF(D138="",0,D138)))</f>
        <v/>
      </c>
      <c r="K138" s="44"/>
      <c r="L138" t="str">
        <f>IF(E137&gt;0,COUNTIF($E$4:E137,"&gt;0"),"")</f>
        <v/>
      </c>
      <c r="M138" t="str">
        <f>IF(AND(D137&gt;0,G137="المحفظة"),COUNTIFS($D$4:D137,"&gt;"&amp;0,$G$4:G137,"المحفظة"),"")</f>
        <v/>
      </c>
      <c r="N138" t="str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/>
      </c>
      <c r="O138" t="str">
        <f>IF(AND(D137&gt;0,F137="أحد الشركاء"),COUNTIFS($D$4:D137,"&gt;"&amp;0,$F$4:F137,"أحد الشركاء"),"")</f>
        <v/>
      </c>
      <c r="P138" t="str">
        <f>IF(OR($A138="",$F138="أحد الشركاء",AND($D138="",$E138="")),"",SUMPRODUCT(($A$4:$A138&lt;&gt;"")*($F$4:$F138&lt;&gt;"أحد الشركاء")*((($D$4:$D138&lt;&gt;"")+($E$4:$E138&lt;&gt;""))&gt;0)))</f>
        <v/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/>
      <c r="B139" s="26"/>
      <c r="C139" s="27"/>
      <c r="D139" s="28"/>
      <c r="E139" s="29"/>
      <c r="F139" s="30"/>
      <c r="G139" s="31"/>
      <c r="H139" s="32"/>
      <c r="I139" s="33"/>
      <c r="J139" s="34" t="str">
        <f>IF(AND(D139="",E139="",A139="",B139="",C139=""),"", IFERROR(IF(J138="",D2,J138),D2)+IF(E139="",0,E139)-IF(OR(G139="أبو اسحاق",G139="أبو آدم",G139="أبو اسحاق ",G139="أبو آدم "),0,IF(D139="",0,D139)))</f>
        <v/>
      </c>
      <c r="K139" s="35"/>
      <c r="L139" t="str">
        <f>IF(E138&gt;0,COUNTIF($E$4:E138,"&gt;0"),"")</f>
        <v/>
      </c>
      <c r="M139" t="str">
        <f>IF(AND(D138&gt;0,G138="المحفظة"),COUNTIFS($D$4:D138,"&gt;"&amp;0,$G$4:G138,"المحفظة"),"")</f>
        <v/>
      </c>
      <c r="N139" t="str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/>
      </c>
      <c r="O139" t="str">
        <f>IF(AND(D138&gt;0,F138="أحد الشركاء"),COUNTIFS($D$4:D138,"&gt;"&amp;0,$F$4:F138,"أحد الشركاء"),"")</f>
        <v/>
      </c>
      <c r="P139" t="str">
        <f>IF(OR($A139="",$F139="أحد الشركاء",AND($D139="",$E139="")),"",SUMPRODUCT(($A$4:$A139&lt;&gt;"")*($F$4:$F139&lt;&gt;"أحد الشركاء")*((($D$4:$D139&lt;&gt;"")+($E$4:$E139&lt;&gt;""))&gt;0)))</f>
        <v/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/>
      <c r="B140" s="36"/>
      <c r="C140" s="37"/>
      <c r="D140" s="38"/>
      <c r="E140" s="39"/>
      <c r="F140" s="136"/>
      <c r="G140" s="40"/>
      <c r="H140" s="41"/>
      <c r="I140" s="42"/>
      <c r="J140" s="43" t="str">
        <f>IF(AND(D140="",E140="",A140="",B140="",C140=""),"", IFERROR(IF(J139="",D2,J139),D2)+IF(E140="",0,E140)-IF(OR(G140="أبو اسحاق",G140="أبو آدم",G140="أبو اسحاق ",G140="أبو آدم "),0,IF(D140="",0,D140)))</f>
        <v/>
      </c>
      <c r="K140" s="44"/>
      <c r="L140" t="str">
        <f>IF(E139&gt;0,COUNTIF($E$4:E139,"&gt;0"),"")</f>
        <v/>
      </c>
      <c r="M140" t="str">
        <f>IF(AND(D139&gt;0,G139="المحفظة"),COUNTIFS($D$4:D139,"&gt;"&amp;0,$G$4:G139,"المحفظة"),"")</f>
        <v/>
      </c>
      <c r="N140" t="str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/>
      </c>
      <c r="O140" t="str">
        <f>IF(AND(D139&gt;0,F139="أحد الشركاء"),COUNTIFS($D$4:D139,"&gt;"&amp;0,$F$4:F139,"أحد الشركاء"),"")</f>
        <v/>
      </c>
      <c r="P140" t="str">
        <f>IF(OR($A140="",$F140="أحد الشركاء",AND($D140="",$E140="")),"",SUMPRODUCT(($A$4:$A140&lt;&gt;"")*($F$4:$F140&lt;&gt;"أحد الشركاء")*((($D$4:$D140&lt;&gt;"")+($E$4:$E140&lt;&gt;""))&gt;0)))</f>
        <v/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/>
      <c r="B141" s="26"/>
      <c r="C141" s="27"/>
      <c r="D141" s="28"/>
      <c r="E141" s="29"/>
      <c r="F141" s="30"/>
      <c r="G141" s="31"/>
      <c r="H141" s="32"/>
      <c r="I141" s="33"/>
      <c r="J141" s="34" t="str">
        <f>IF(AND(D141="",E141="",A141="",B141="",C141=""),"", IFERROR(IF(J140="",D2,J140),D2)+IF(E141="",0,E141)-IF(OR(G141="أبو اسحاق",G141="أبو آدم",G141="أبو اسحاق ",G141="أبو آدم "),0,IF(D141="",0,D141)))</f>
        <v/>
      </c>
      <c r="K141" s="35"/>
      <c r="L141" t="str">
        <f>IF(E140&gt;0,COUNTIF($E$4:E140,"&gt;0"),"")</f>
        <v/>
      </c>
      <c r="M141" t="str">
        <f>IF(AND(D140&gt;0,G140="المحفظة"),COUNTIFS($D$4:D140,"&gt;"&amp;0,$G$4:G140,"المحفظة"),"")</f>
        <v/>
      </c>
      <c r="N141" t="str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/>
      </c>
      <c r="O141" t="str">
        <f>IF(AND(D140&gt;0,F140="أحد الشركاء"),COUNTIFS($D$4:D140,"&gt;"&amp;0,$F$4:F140,"أحد الشركاء"),"")</f>
        <v/>
      </c>
      <c r="P141" t="str">
        <f>IF(OR($A141="",$F141="أحد الشركاء",AND($D141="",$E141="")),"",SUMPRODUCT(($A$4:$A141&lt;&gt;"")*($F$4:$F141&lt;&gt;"أحد الشركاء")*((($D$4:$D141&lt;&gt;"")+($E$4:$E141&lt;&gt;""))&gt;0)))</f>
        <v/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/>
      <c r="B142" s="36"/>
      <c r="C142" s="37"/>
      <c r="D142" s="38"/>
      <c r="E142" s="39"/>
      <c r="F142" s="136"/>
      <c r="G142" s="40"/>
      <c r="H142" s="41"/>
      <c r="I142" s="42"/>
      <c r="J142" s="43" t="str">
        <f>IF(AND(D142="",E142="",A142="",B142="",C142=""),"", IFERROR(IF(J141="",D2,J141),D2)+IF(E142="",0,E142)-IF(OR(G142="أبو اسحاق",G142="أبو آدم",G142="أبو اسحاق ",G142="أبو آدم "),0,IF(D142="",0,D142)))</f>
        <v/>
      </c>
      <c r="K142" s="44"/>
      <c r="L142" t="str">
        <f>IF(E141&gt;0,COUNTIF($E$4:E141,"&gt;0"),"")</f>
        <v/>
      </c>
      <c r="M142" t="str">
        <f>IF(AND(D141&gt;0,G141="المحفظة"),COUNTIFS($D$4:D141,"&gt;"&amp;0,$G$4:G141,"المحفظة"),"")</f>
        <v/>
      </c>
      <c r="N142" t="str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/>
      </c>
      <c r="O142" t="str">
        <f>IF(AND(D141&gt;0,F141="أحد الشركاء"),COUNTIFS($D$4:D141,"&gt;"&amp;0,$F$4:F141,"أحد الشركاء"),"")</f>
        <v/>
      </c>
      <c r="P142" t="str">
        <f>IF(OR($A142="",$F142="أحد الشركاء",AND($D142="",$E142="")),"",SUMPRODUCT(($A$4:$A142&lt;&gt;"")*($F$4:$F142&lt;&gt;"أحد الشركاء")*((($D$4:$D142&lt;&gt;"")+($E$4:$E142&lt;&gt;""))&gt;0)))</f>
        <v/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/>
      <c r="B143" s="26"/>
      <c r="C143" s="27"/>
      <c r="D143" s="28"/>
      <c r="E143" s="29"/>
      <c r="F143" s="30"/>
      <c r="G143" s="31"/>
      <c r="H143" s="32"/>
      <c r="I143" s="33"/>
      <c r="J143" s="34" t="str">
        <f>IF(AND(D143="",E143="",A143="",B143="",C143=""),"", IFERROR(IF(J142="",D2,J142),D2)+IF(E143="",0,E143)-IF(OR(G143="أبو اسحاق",G143="أبو آدم",G143="أبو اسحاق ",G143="أبو آدم "),0,IF(D143="",0,D143)))</f>
        <v/>
      </c>
      <c r="K143" s="35"/>
      <c r="L143" t="str">
        <f>IF(E142&gt;0,COUNTIF($E$4:E142,"&gt;0"),"")</f>
        <v/>
      </c>
      <c r="M143" t="str">
        <f>IF(AND(D142&gt;0,G142="المحفظة"),COUNTIFS($D$4:D142,"&gt;"&amp;0,$G$4:G142,"المحفظة"),"")</f>
        <v/>
      </c>
      <c r="N143" t="str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/>
      </c>
      <c r="O143" t="str">
        <f>IF(AND(D142&gt;0,F142="أحد الشركاء"),COUNTIFS($D$4:D142,"&gt;"&amp;0,$F$4:F142,"أحد الشركاء"),"")</f>
        <v/>
      </c>
      <c r="P143" t="str">
        <f>IF(OR($A143="",$F143="أحد الشركاء",AND($D143="",$E143="")),"",SUMPRODUCT(($A$4:$A143&lt;&gt;"")*($F$4:$F143&lt;&gt;"أحد الشركاء")*((($D$4:$D143&lt;&gt;"")+($E$4:$E143&lt;&gt;""))&gt;0)))</f>
        <v/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/>
      <c r="B144" s="36"/>
      <c r="C144" s="37"/>
      <c r="D144" s="38"/>
      <c r="E144" s="39"/>
      <c r="F144" s="136"/>
      <c r="G144" s="40"/>
      <c r="H144" s="41"/>
      <c r="I144" s="42"/>
      <c r="J144" s="43" t="str">
        <f>IF(AND(D144="",E144="",A144="",B144="",C144=""),"", IFERROR(IF(J143="",D2,J143),D2)+IF(E144="",0,E144)-IF(OR(G144="أبو اسحاق",G144="أبو آدم",G144="أبو اسحاق ",G144="أبو آدم "),0,IF(D144="",0,D144)))</f>
        <v/>
      </c>
      <c r="K144" s="44"/>
      <c r="L144" t="str">
        <f>IF(E143&gt;0,COUNTIF($E$4:E143,"&gt;0"),"")</f>
        <v/>
      </c>
      <c r="M144" t="str">
        <f>IF(AND(D143&gt;0,G143="المحفظة"),COUNTIFS($D$4:D143,"&gt;"&amp;0,$G$4:G143,"المحفظة"),"")</f>
        <v/>
      </c>
      <c r="N144" t="str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/>
      </c>
      <c r="O144" t="str">
        <f>IF(AND(D143&gt;0,F143="أحد الشركاء"),COUNTIFS($D$4:D143,"&gt;"&amp;0,$F$4:F143,"أحد الشركاء"),"")</f>
        <v/>
      </c>
      <c r="P144" t="str">
        <f>IF(OR($A144="",$F144="أحد الشركاء",AND($D144="",$E144="")),"",SUMPRODUCT(($A$4:$A144&lt;&gt;"")*($F$4:$F144&lt;&gt;"أحد الشركاء")*((($D$4:$D144&lt;&gt;"")+($E$4:$E144&lt;&gt;""))&gt;0)))</f>
        <v/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/>
      <c r="B145" s="26"/>
      <c r="C145" s="27"/>
      <c r="D145" s="28"/>
      <c r="E145" s="29"/>
      <c r="F145" s="30"/>
      <c r="G145" s="31"/>
      <c r="H145" s="32"/>
      <c r="I145" s="33"/>
      <c r="J145" s="34" t="str">
        <f>IF(AND(D145="",E145="",A145="",B145="",C145=""),"", IFERROR(IF(J144="",D2,J144),D2)+IF(E145="",0,E145)-IF(OR(G145="أبو اسحاق",G145="أبو آدم",G145="أبو اسحاق ",G145="أبو آدم "),0,IF(D145="",0,D145)))</f>
        <v/>
      </c>
      <c r="K145" s="35"/>
      <c r="L145" t="str">
        <f>IF(E144&gt;0,COUNTIF($E$4:E144,"&gt;0"),"")</f>
        <v/>
      </c>
      <c r="M145" t="str">
        <f>IF(AND(D144&gt;0,G144="المحفظة"),COUNTIFS($D$4:D144,"&gt;"&amp;0,$G$4:G144,"المحفظة"),"")</f>
        <v/>
      </c>
      <c r="N145" t="str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/>
      </c>
      <c r="O145" t="str">
        <f>IF(AND(D144&gt;0,F144="أحد الشركاء"),COUNTIFS($D$4:D144,"&gt;"&amp;0,$F$4:F144,"أحد الشركاء"),"")</f>
        <v/>
      </c>
      <c r="P145" t="str">
        <f>IF(OR($A145="",$F145="أحد الشركاء",AND($D145="",$E145="")),"",SUMPRODUCT(($A$4:$A145&lt;&gt;"")*($F$4:$F145&lt;&gt;"أحد الشركاء")*((($D$4:$D145&lt;&gt;"")+($E$4:$E145&lt;&gt;""))&gt;0)))</f>
        <v/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/>
      <c r="B146" s="36"/>
      <c r="C146" s="37"/>
      <c r="D146" s="38"/>
      <c r="E146" s="39"/>
      <c r="F146" s="136"/>
      <c r="G146" s="40"/>
      <c r="H146" s="41"/>
      <c r="I146" s="42"/>
      <c r="J146" s="43" t="str">
        <f>IF(AND(D146="",E146="",A146="",B146="",C146=""),"", IFERROR(IF(J145="",D2,J145),D2)+IF(E146="",0,E146)-IF(OR(G146="أبو اسحاق",G146="أبو آدم",G146="أبو اسحاق ",G146="أبو آدم "),0,IF(D146="",0,D146)))</f>
        <v/>
      </c>
      <c r="K146" s="44"/>
      <c r="L146" t="str">
        <f>IF(E145&gt;0,COUNTIF($E$4:E145,"&gt;0"),"")</f>
        <v/>
      </c>
      <c r="M146" t="str">
        <f>IF(AND(D145&gt;0,G145="المحفظة"),COUNTIFS($D$4:D145,"&gt;"&amp;0,$G$4:G145,"المحفظة"),"")</f>
        <v/>
      </c>
      <c r="N146" t="str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/>
      </c>
      <c r="O146" t="str">
        <f>IF(AND(D145&gt;0,F145="أحد الشركاء"),COUNTIFS($D$4:D145,"&gt;"&amp;0,$F$4:F145,"أحد الشركاء"),"")</f>
        <v/>
      </c>
      <c r="P146" t="str">
        <f>IF(OR($A146="",$F146="أحد الشركاء",AND($D146="",$E146="")),"",SUMPRODUCT(($A$4:$A146&lt;&gt;"")*($F$4:$F146&lt;&gt;"أحد الشركاء")*((($D$4:$D146&lt;&gt;"")+($E$4:$E146&lt;&gt;""))&gt;0)))</f>
        <v/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/>
      <c r="B147" s="26"/>
      <c r="C147" s="27"/>
      <c r="D147" s="28"/>
      <c r="E147" s="29"/>
      <c r="F147" s="30"/>
      <c r="G147" s="31"/>
      <c r="H147" s="32"/>
      <c r="I147" s="33"/>
      <c r="J147" s="34" t="str">
        <f>IF(AND(D147="",E147="",A147="",B147="",C147=""),"", IFERROR(IF(J146="",D2,J146),D2)+IF(E147="",0,E147)-IF(OR(G147="أبو اسحاق",G147="أبو آدم",G147="أبو اسحاق ",G147="أبو آدم "),0,IF(D147="",0,D147)))</f>
        <v/>
      </c>
      <c r="K147" s="35"/>
      <c r="L147" t="str">
        <f>IF(E146&gt;0,COUNTIF($E$4:E146,"&gt;0"),"")</f>
        <v/>
      </c>
      <c r="M147" t="str">
        <f>IF(AND(D146&gt;0,G146="المحفظة"),COUNTIFS($D$4:D146,"&gt;"&amp;0,$G$4:G146,"المحفظة"),"")</f>
        <v/>
      </c>
      <c r="N147" t="str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/>
      </c>
      <c r="O147" t="str">
        <f>IF(AND(D146&gt;0,F146="أحد الشركاء"),COUNTIFS($D$4:D146,"&gt;"&amp;0,$F$4:F146,"أحد الشركاء"),"")</f>
        <v/>
      </c>
      <c r="P147" t="str">
        <f>IF(OR($A147="",$F147="أحد الشركاء",AND($D147="",$E147="")),"",SUMPRODUCT(($A$4:$A147&lt;&gt;"")*($F$4:$F147&lt;&gt;"أحد الشركاء")*((($D$4:$D147&lt;&gt;"")+($E$4:$E147&lt;&gt;""))&gt;0)))</f>
        <v/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/>
      <c r="B148" s="36"/>
      <c r="C148" s="37"/>
      <c r="D148" s="38"/>
      <c r="E148" s="39"/>
      <c r="F148" s="136"/>
      <c r="G148" s="40"/>
      <c r="H148" s="41"/>
      <c r="I148" s="42"/>
      <c r="J148" s="43" t="str">
        <f>IF(AND(D148="",E148="",A148="",B148="",C148=""),"", IFERROR(IF(J147="",D2,J147),D2)+IF(E148="",0,E148)-IF(OR(G148="أبو اسحاق",G148="أبو آدم",G148="أبو اسحاق ",G148="أبو آدم "),0,IF(D148="",0,D148)))</f>
        <v/>
      </c>
      <c r="K148" s="44"/>
      <c r="L148" t="str">
        <f>IF(E147&gt;0,COUNTIF($E$4:E147,"&gt;0"),"")</f>
        <v/>
      </c>
      <c r="M148" t="str">
        <f>IF(AND(D147&gt;0,G147="المحفظة"),COUNTIFS($D$4:D147,"&gt;"&amp;0,$G$4:G147,"المحفظة"),"")</f>
        <v/>
      </c>
      <c r="N148" t="str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/>
      </c>
      <c r="O148" t="str">
        <f>IF(AND(D147&gt;0,F147="أحد الشركاء"),COUNTIFS($D$4:D147,"&gt;"&amp;0,$F$4:F147,"أحد الشركاء"),"")</f>
        <v/>
      </c>
      <c r="P148" t="str">
        <f>IF(OR($A148="",$F148="أحد الشركاء",AND($D148="",$E148="")),"",SUMPRODUCT(($A$4:$A148&lt;&gt;"")*($F$4:$F148&lt;&gt;"أحد الشركاء")*((($D$4:$D148&lt;&gt;"")+($E$4:$E148&lt;&gt;""))&gt;0)))</f>
        <v/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/>
      <c r="B149" s="26"/>
      <c r="C149" s="27"/>
      <c r="D149" s="28"/>
      <c r="E149" s="29"/>
      <c r="F149" s="30"/>
      <c r="G149" s="31"/>
      <c r="H149" s="32"/>
      <c r="I149" s="33"/>
      <c r="J149" s="34" t="str">
        <f>IF(AND(D149="",E149="",A149="",B149="",C149=""),"", IFERROR(IF(J148="",D2,J148),D2)+IF(E149="",0,E149)-IF(OR(G149="أبو اسحاق",G149="أبو آدم",G149="أبو اسحاق ",G149="أبو آدم "),0,IF(D149="",0,D149)))</f>
        <v/>
      </c>
      <c r="K149" s="35"/>
      <c r="L149" t="str">
        <f>IF(E148&gt;0,COUNTIF($E$4:E148,"&gt;0"),"")</f>
        <v/>
      </c>
      <c r="M149" t="str">
        <f>IF(AND(D148&gt;0,G148="المحفظة"),COUNTIFS($D$4:D148,"&gt;"&amp;0,$G$4:G148,"المحفظة"),"")</f>
        <v/>
      </c>
      <c r="N149" t="str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/>
      </c>
      <c r="O149" t="str">
        <f>IF(AND(D148&gt;0,F148="أحد الشركاء"),COUNTIFS($D$4:D148,"&gt;"&amp;0,$F$4:F148,"أحد الشركاء"),"")</f>
        <v/>
      </c>
      <c r="P149" t="str">
        <f>IF(OR($A149="",$F149="أحد الشركاء",AND($D149="",$E149="")),"",SUMPRODUCT(($A$4:$A149&lt;&gt;"")*($F$4:$F149&lt;&gt;"أحد الشركاء")*((($D$4:$D149&lt;&gt;"")+($E$4:$E149&lt;&gt;""))&gt;0)))</f>
        <v/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/>
      <c r="B150" s="36"/>
      <c r="C150" s="37"/>
      <c r="D150" s="38"/>
      <c r="E150" s="39"/>
      <c r="F150" s="136"/>
      <c r="G150" s="40"/>
      <c r="H150" s="41"/>
      <c r="I150" s="42"/>
      <c r="J150" s="43" t="str">
        <f>IF(AND(D150="",E150="",A150="",B150="",C150=""),"", IFERROR(IF(J149="",D2,J149),D2)+IF(E150="",0,E150)-IF(OR(G150="أبو اسحاق",G150="أبو آدم",G150="أبو اسحاق ",G150="أبو آدم "),0,IF(D150="",0,D150)))</f>
        <v/>
      </c>
      <c r="K150" s="44"/>
      <c r="L150" t="str">
        <f>IF(E149&gt;0,COUNTIF($E$4:E149,"&gt;0"),"")</f>
        <v/>
      </c>
      <c r="M150" t="str">
        <f>IF(AND(D149&gt;0,G149="المحفظة"),COUNTIFS($D$4:D149,"&gt;"&amp;0,$G$4:G149,"المحفظة"),"")</f>
        <v/>
      </c>
      <c r="N150" t="str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/>
      </c>
      <c r="O150" t="str">
        <f>IF(AND(D149&gt;0,F149="أحد الشركاء"),COUNTIFS($D$4:D149,"&gt;"&amp;0,$F$4:F149,"أحد الشركاء"),"")</f>
        <v/>
      </c>
      <c r="P150" t="str">
        <f>IF(OR($A150="",$F150="أحد الشركاء",AND($D150="",$E150="")),"",SUMPRODUCT(($A$4:$A150&lt;&gt;"")*($F$4:$F150&lt;&gt;"أحد الشركاء")*((($D$4:$D150&lt;&gt;"")+($E$4:$E150&lt;&gt;""))&gt;0)))</f>
        <v/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/>
      <c r="B151" s="26"/>
      <c r="C151" s="27"/>
      <c r="D151" s="28"/>
      <c r="E151" s="29"/>
      <c r="F151" s="30"/>
      <c r="G151" s="31"/>
      <c r="H151" s="32"/>
      <c r="I151" s="33"/>
      <c r="J151" s="34" t="str">
        <f>IF(AND(D151="",E151="",A151="",B151="",C151=""),"", IFERROR(IF(J150="",D2,J150),D2)+IF(E151="",0,E151)-IF(OR(G151="أبو اسحاق",G151="أبو آدم",G151="أبو اسحاق ",G151="أبو آدم "),0,IF(D151="",0,D151)))</f>
        <v/>
      </c>
      <c r="K151" s="35"/>
      <c r="L151" t="str">
        <f>IF(E150&gt;0,COUNTIF($E$4:E150,"&gt;0"),"")</f>
        <v/>
      </c>
      <c r="M151" t="str">
        <f>IF(AND(D150&gt;0,G150="المحفظة"),COUNTIFS($D$4:D150,"&gt;"&amp;0,$G$4:G150,"المحفظة"),"")</f>
        <v/>
      </c>
      <c r="N151" t="str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/>
      </c>
      <c r="O151" t="str">
        <f>IF(AND(D150&gt;0,F150="أحد الشركاء"),COUNTIFS($D$4:D150,"&gt;"&amp;0,$F$4:F150,"أحد الشركاء"),"")</f>
        <v/>
      </c>
      <c r="P151" t="str">
        <f>IF(OR($A151="",$F151="أحد الشركاء",AND($D151="",$E151="")),"",SUMPRODUCT(($A$4:$A151&lt;&gt;"")*($F$4:$F151&lt;&gt;"أحد الشركاء")*((($D$4:$D151&lt;&gt;"")+($E$4:$E151&lt;&gt;""))&gt;0)))</f>
        <v/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/>
      <c r="B152" s="36"/>
      <c r="C152" s="37"/>
      <c r="D152" s="38"/>
      <c r="E152" s="39"/>
      <c r="F152" s="136"/>
      <c r="G152" s="40"/>
      <c r="H152" s="41"/>
      <c r="I152" s="42"/>
      <c r="J152" s="43" t="str">
        <f>IF(AND(D152="",E152="",A152="",B152="",C152=""),"", IFERROR(IF(J151="",D2,J151),D2)+IF(E152="",0,E152)-IF(OR(G152="أبو اسحاق",G152="أبو آدم",G152="أبو اسحاق ",G152="أبو آدم "),0,IF(D152="",0,D152)))</f>
        <v/>
      </c>
      <c r="K152" s="44"/>
      <c r="L152" t="str">
        <f>IF(E151&gt;0,COUNTIF($E$4:E151,"&gt;0"),"")</f>
        <v/>
      </c>
      <c r="M152" t="str">
        <f>IF(AND(D151&gt;0,G151="المحفظة"),COUNTIFS($D$4:D151,"&gt;"&amp;0,$G$4:G151,"المحفظة"),"")</f>
        <v/>
      </c>
      <c r="N152" t="str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/>
      </c>
      <c r="O152" t="str">
        <f>IF(AND(D151&gt;0,F151="أحد الشركاء"),COUNTIFS($D$4:D151,"&gt;"&amp;0,$F$4:F151,"أحد الشركاء"),"")</f>
        <v/>
      </c>
      <c r="P152" t="str">
        <f>IF(OR($A152="",$F152="أحد الشركاء",AND($D152="",$E152="")),"",SUMPRODUCT(($A$4:$A152&lt;&gt;"")*($F$4:$F152&lt;&gt;"أحد الشركاء")*((($D$4:$D152&lt;&gt;"")+($E$4:$E152&lt;&gt;""))&gt;0)))</f>
        <v/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/>
      <c r="B153" s="26"/>
      <c r="C153" s="27"/>
      <c r="D153" s="28"/>
      <c r="E153" s="29"/>
      <c r="F153" s="30"/>
      <c r="G153" s="31"/>
      <c r="H153" s="32"/>
      <c r="I153" s="33"/>
      <c r="J153" s="34" t="str">
        <f>IF(AND(D153="",E153="",A153="",B153="",C153=""),"", IFERROR(IF(J152="",D2,J152),D2)+IF(E153="",0,E153)-IF(OR(G153="أبو اسحاق",G153="أبو آدم",G153="أبو اسحاق ",G153="أبو آدم "),0,IF(D153="",0,D153)))</f>
        <v/>
      </c>
      <c r="K153" s="35"/>
      <c r="L153" t="str">
        <f>IF(E152&gt;0,COUNTIF($E$4:E152,"&gt;0"),"")</f>
        <v/>
      </c>
      <c r="M153" t="str">
        <f>IF(AND(D152&gt;0,G152="المحفظة"),COUNTIFS($D$4:D152,"&gt;"&amp;0,$G$4:G152,"المحفظة"),"")</f>
        <v/>
      </c>
      <c r="N153" t="str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/>
      </c>
      <c r="O153" t="str">
        <f>IF(AND(D152&gt;0,F152="أحد الشركاء"),COUNTIFS($D$4:D152,"&gt;"&amp;0,$F$4:F152,"أحد الشركاء"),"")</f>
        <v/>
      </c>
      <c r="P153" t="str">
        <f>IF(OR($A153="",$F153="أحد الشركاء",AND($D153="",$E153="")),"",SUMPRODUCT(($A$4:$A153&lt;&gt;"")*($F$4:$F153&lt;&gt;"أحد الشركاء")*((($D$4:$D153&lt;&gt;"")+($E$4:$E153&lt;&gt;""))&gt;0)))</f>
        <v/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/>
      <c r="B154" s="36"/>
      <c r="C154" s="37"/>
      <c r="D154" s="38"/>
      <c r="E154" s="39"/>
      <c r="F154" s="136"/>
      <c r="G154" s="40"/>
      <c r="H154" s="41"/>
      <c r="I154" s="42"/>
      <c r="J154" s="43" t="str">
        <f>IF(AND(D154="",E154="",A154="",B154="",C154=""),"", IFERROR(IF(J153="",D2,J153),D2)+IF(E154="",0,E154)-IF(OR(G154="أبو اسحاق",G154="أبو آدم",G154="أبو اسحاق ",G154="أبو آدم "),0,IF(D154="",0,D154)))</f>
        <v/>
      </c>
      <c r="K154" s="44"/>
      <c r="L154" t="str">
        <f>IF(E153&gt;0,COUNTIF($E$4:E153,"&gt;0"),"")</f>
        <v/>
      </c>
      <c r="M154" t="str">
        <f>IF(AND(D153&gt;0,G153="المحفظة"),COUNTIFS($D$4:D153,"&gt;"&amp;0,$G$4:G153,"المحفظة"),"")</f>
        <v/>
      </c>
      <c r="N154" t="str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/>
      </c>
      <c r="O154" t="str">
        <f>IF(AND(D153&gt;0,F153="أحد الشركاء"),COUNTIFS($D$4:D153,"&gt;"&amp;0,$F$4:F153,"أحد الشركاء"),"")</f>
        <v/>
      </c>
      <c r="P154" t="str">
        <f>IF(OR($A154="",$F154="أحد الشركاء",AND($D154="",$E154="")),"",SUMPRODUCT(($A$4:$A154&lt;&gt;"")*($F$4:$F154&lt;&gt;"أحد الشركاء")*((($D$4:$D154&lt;&gt;"")+($E$4:$E154&lt;&gt;""))&gt;0)))</f>
        <v/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/>
      <c r="B155" s="26"/>
      <c r="C155" s="27"/>
      <c r="D155" s="28"/>
      <c r="E155" s="29"/>
      <c r="F155" s="30"/>
      <c r="G155" s="31"/>
      <c r="H155" s="32"/>
      <c r="I155" s="33"/>
      <c r="J155" s="34" t="str">
        <f>IF(AND(D155="",E155="",A155="",B155="",C155=""),"", IFERROR(IF(J154="",D2,J154),D2)+IF(E155="",0,E155)-IF(OR(G155="أبو اسحاق",G155="أبو آدم",G155="أبو اسحاق ",G155="أبو آدم "),0,IF(D155="",0,D155)))</f>
        <v/>
      </c>
      <c r="K155" s="35"/>
      <c r="L155" t="str">
        <f>IF(E154&gt;0,COUNTIF($E$4:E154,"&gt;0"),"")</f>
        <v/>
      </c>
      <c r="M155" t="str">
        <f>IF(AND(D154&gt;0,G154="المحفظة"),COUNTIFS($D$4:D154,"&gt;"&amp;0,$G$4:G154,"المحفظة"),"")</f>
        <v/>
      </c>
      <c r="N155" t="str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/>
      </c>
      <c r="O155" t="str">
        <f>IF(AND(D154&gt;0,F154="أحد الشركاء"),COUNTIFS($D$4:D154,"&gt;"&amp;0,$F$4:F154,"أحد الشركاء"),"")</f>
        <v/>
      </c>
      <c r="P155" t="str">
        <f>IF(OR($A155="",$F155="أحد الشركاء",AND($D155="",$E155="")),"",SUMPRODUCT(($A$4:$A155&lt;&gt;"")*($F$4:$F155&lt;&gt;"أحد الشركاء")*((($D$4:$D155&lt;&gt;"")+($E$4:$E155&lt;&gt;""))&gt;0)))</f>
        <v/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/>
      <c r="B156" s="36"/>
      <c r="C156" s="37"/>
      <c r="D156" s="38"/>
      <c r="E156" s="39"/>
      <c r="F156" s="136"/>
      <c r="G156" s="40"/>
      <c r="H156" s="41"/>
      <c r="I156" s="42"/>
      <c r="J156" s="43" t="str">
        <f>IF(AND(D156="",E156="",A156="",B156="",C156=""),"", IFERROR(IF(J155="",D2,J155),D2)+IF(E156="",0,E156)-IF(OR(G156="أبو اسحاق",G156="أبو آدم",G156="أبو اسحاق ",G156="أبو آدم "),0,IF(D156="",0,D156)))</f>
        <v/>
      </c>
      <c r="K156" s="44"/>
      <c r="L156" t="str">
        <f>IF(E155&gt;0,COUNTIF($E$4:E155,"&gt;0"),"")</f>
        <v/>
      </c>
      <c r="M156" t="str">
        <f>IF(AND(D155&gt;0,G155="المحفظة"),COUNTIFS($D$4:D155,"&gt;"&amp;0,$G$4:G155,"المحفظة"),"")</f>
        <v/>
      </c>
      <c r="N156" t="str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/>
      </c>
      <c r="O156" t="str">
        <f>IF(AND(D155&gt;0,F155="أحد الشركاء"),COUNTIFS($D$4:D155,"&gt;"&amp;0,$F$4:F155,"أحد الشركاء"),"")</f>
        <v/>
      </c>
      <c r="P156" t="str">
        <f>IF(OR($A156="",$F156="أحد الشركاء",AND($D156="",$E156="")),"",SUMPRODUCT(($A$4:$A156&lt;&gt;"")*($F$4:$F156&lt;&gt;"أحد الشركاء")*((($D$4:$D156&lt;&gt;"")+($E$4:$E156&lt;&gt;""))&gt;0)))</f>
        <v/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/>
      <c r="B157" s="26"/>
      <c r="C157" s="27"/>
      <c r="D157" s="28"/>
      <c r="E157" s="29"/>
      <c r="F157" s="30"/>
      <c r="G157" s="31"/>
      <c r="H157" s="32"/>
      <c r="I157" s="33"/>
      <c r="J157" s="34" t="str">
        <f>IF(AND(D157="",E157="",A157="",B157="",C157=""),"", IFERROR(IF(J156="",D2,J156),D2)+IF(E157="",0,E157)-IF(OR(G157="أبو اسحاق",G157="أبو آدم",G157="أبو اسحاق ",G157="أبو آدم "),0,IF(D157="",0,D157)))</f>
        <v/>
      </c>
      <c r="K157" s="35"/>
      <c r="L157" t="str">
        <f>IF(E156&gt;0,COUNTIF($E$4:E156,"&gt;0"),"")</f>
        <v/>
      </c>
      <c r="M157" t="str">
        <f>IF(AND(D156&gt;0,G156="المحفظة"),COUNTIFS($D$4:D156,"&gt;"&amp;0,$G$4:G156,"المحفظة"),"")</f>
        <v/>
      </c>
      <c r="N157" t="str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/>
      </c>
      <c r="O157" t="str">
        <f>IF(AND(D156&gt;0,F156="أحد الشركاء"),COUNTIFS($D$4:D156,"&gt;"&amp;0,$F$4:F156,"أحد الشركاء"),"")</f>
        <v/>
      </c>
      <c r="P157" t="str">
        <f>IF(OR($A157="",$F157="أحد الشركاء",AND($D157="",$E157="")),"",SUMPRODUCT(($A$4:$A157&lt;&gt;"")*($F$4:$F157&lt;&gt;"أحد الشركاء")*((($D$4:$D157&lt;&gt;"")+($E$4:$E157&lt;&gt;""))&gt;0)))</f>
        <v/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/>
      <c r="B158" s="36"/>
      <c r="C158" s="37"/>
      <c r="D158" s="38"/>
      <c r="E158" s="39"/>
      <c r="F158" s="136"/>
      <c r="G158" s="40"/>
      <c r="H158" s="41"/>
      <c r="I158" s="42"/>
      <c r="J158" s="43" t="str">
        <f>IF(AND(D158="",E158="",A158="",B158="",C158=""),"", IFERROR(IF(J157="",D2,J157),D2)+IF(E158="",0,E158)-IF(OR(G158="أبو اسحاق",G158="أبو آدم",G158="أبو اسحاق ",G158="أبو آدم "),0,IF(D158="",0,D158)))</f>
        <v/>
      </c>
      <c r="K158" s="44"/>
      <c r="L158" t="str">
        <f>IF(E157&gt;0,COUNTIF($E$4:E157,"&gt;0"),"")</f>
        <v/>
      </c>
      <c r="M158" t="str">
        <f>IF(AND(D157&gt;0,G157="المحفظة"),COUNTIFS($D$4:D157,"&gt;"&amp;0,$G$4:G157,"المحفظة"),"")</f>
        <v/>
      </c>
      <c r="N158" t="str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/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 t="str">
        <f>IF(OR($A158="",$F158&lt;&gt;"أحد الشركاء"),"",COUNTIFS($A$4:A158,"&lt;&gt;",$F$4:F158,"أحد الشركاء"))</f>
        <v/>
      </c>
    </row>
    <row r="159" spans="1:17" ht="18.75" customHeight="1" x14ac:dyDescent="0.25">
      <c r="A159" s="25"/>
      <c r="B159" s="26"/>
      <c r="C159" s="27"/>
      <c r="D159" s="28"/>
      <c r="E159" s="29"/>
      <c r="F159" s="30"/>
      <c r="G159" s="31"/>
      <c r="H159" s="32"/>
      <c r="I159" s="33"/>
      <c r="J159" s="34" t="str">
        <f>IF(AND(D159="",E159="",A159="",B159="",C159=""),"", IFERROR(IF(J158="",D2,J158),D2)+IF(E159="",0,E159)-IF(OR(G159="أبو اسحاق",G159="أبو آدم",G159="أبو اسحاق ",G159="أبو آدم "),0,IF(D159="",0,D159)))</f>
        <v/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 t="str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/>
      </c>
      <c r="O159" t="str">
        <f>IF(AND(D158&gt;0,F158="أحد الشركاء"),COUNTIFS($D$4:D158,"&gt;"&amp;0,$F$4:F158,"أحد الشركاء"),"")</f>
        <v/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 t="str">
        <f>IF(OR($A159="",$F159&lt;&gt;"أحد الشركاء"),"",COUNTIFS($A$4:A159,"&lt;&gt;",$F$4:F159,"أحد الشركاء"))</f>
        <v/>
      </c>
    </row>
    <row r="160" spans="1:17" ht="18.75" customHeight="1" x14ac:dyDescent="0.25">
      <c r="A160" s="139"/>
      <c r="B160" s="36"/>
      <c r="C160" s="37"/>
      <c r="D160" s="38"/>
      <c r="E160" s="39"/>
      <c r="F160" s="136"/>
      <c r="G160" s="40"/>
      <c r="H160" s="41"/>
      <c r="I160" s="42"/>
      <c r="J160" s="43" t="str">
        <f>IF(AND(D160="",E160="",A160="",B160="",C160=""),"", IFERROR(IF(J159="",D2,J159),D2)+IF(E160="",0,E160)-IF(OR(G160="أبو اسحاق",G160="أبو آدم",G160="أبو اسحاق ",G160="أبو آدم "),0,IF(D160="",0,D160)))</f>
        <v/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 t="str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/>
      </c>
      <c r="O160" t="str">
        <f>IF(AND(D159&gt;0,F159="أحد الشركاء"),COUNTIFS($D$4:D159,"&gt;"&amp;0,$F$4:F159,"أحد الشركاء"),"")</f>
        <v/>
      </c>
      <c r="P160" t="str">
        <f>IF(OR($A160="",$F160="أحد الشركاء",AND($D160="",$E160="")),"",SUMPRODUCT(($A$4:$A160&lt;&gt;"")*($F$4:$F160&lt;&gt;"أحد الشركاء")*((($D$4:$D160&lt;&gt;"")+($E$4:$E160&lt;&gt;""))&gt;0)))</f>
        <v/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/>
      <c r="B161" s="26"/>
      <c r="C161" s="27"/>
      <c r="D161" s="28"/>
      <c r="E161" s="29"/>
      <c r="F161" s="30"/>
      <c r="G161" s="31"/>
      <c r="H161" s="32"/>
      <c r="I161" s="33"/>
      <c r="J161" s="34" t="str">
        <f>IF(AND(D161="",E161="",A161="",B161="",C161=""),"", IFERROR(IF(J160="",D2,J160),D2)+IF(E161="",0,E161)-IF(OR(G161="أبو اسحاق",G161="أبو آدم",G161="أبو اسحاق ",G161="أبو آدم "),0,IF(D161="",0,D161)))</f>
        <v/>
      </c>
      <c r="K161" s="35"/>
      <c r="L161" t="str">
        <f>IF(E160&gt;0,COUNTIF($E$4:E160,"&gt;0"),"")</f>
        <v/>
      </c>
      <c r="M161" t="str">
        <f>IF(AND(D160&gt;0,G160="المحفظة"),COUNTIFS($D$4:D160,"&gt;"&amp;0,$G$4:G160,"المحفظة"),"")</f>
        <v/>
      </c>
      <c r="N161" t="str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/>
      </c>
      <c r="O161" t="str">
        <f>IF(AND(D160&gt;0,F160="أحد الشركاء"),COUNTIFS($D$4:D160,"&gt;"&amp;0,$F$4:F160,"أحد الشركاء"),"")</f>
        <v/>
      </c>
      <c r="P161" t="str">
        <f>IF(OR($A161="",$F161="أحد الشركاء",AND($D161="",$E161="")),"",SUMPRODUCT(($A$4:$A161&lt;&gt;"")*($F$4:$F161&lt;&gt;"أحد الشركاء")*((($D$4:$D161&lt;&gt;"")+($E$4:$E161&lt;&gt;""))&gt;0)))</f>
        <v/>
      </c>
      <c r="Q161" t="str">
        <f>IF(OR($A161="",$F161&lt;&gt;"أحد الشركاء"),"",COUNTIFS($A$4:A161,"&lt;&gt;",$F$4:F161,"أحد الشركاء"))</f>
        <v/>
      </c>
    </row>
    <row r="162" spans="1:17" ht="18.75" customHeight="1" x14ac:dyDescent="0.25">
      <c r="A162" s="139"/>
      <c r="B162" s="36"/>
      <c r="C162" s="37"/>
      <c r="D162" s="38"/>
      <c r="E162" s="39"/>
      <c r="F162" s="136"/>
      <c r="G162" s="40"/>
      <c r="H162" s="41"/>
      <c r="I162" s="42"/>
      <c r="J162" s="43" t="str">
        <f>IF(AND(D162="",E162="",A162="",B162="",C162=""),"", IFERROR(IF(J161="",D2,J161),D2)+IF(E162="",0,E162)-IF(OR(G162="أبو اسحاق",G162="أبو آدم",G162="أبو اسحاق ",G162="أبو آدم "),0,IF(D162="",0,D162)))</f>
        <v/>
      </c>
      <c r="K162" s="44"/>
      <c r="L162" t="str">
        <f>IF(E161&gt;0,COUNTIF($E$4:E161,"&gt;0"),"")</f>
        <v/>
      </c>
      <c r="M162" t="str">
        <f>IF(AND(D161&gt;0,G161="المحفظة"),COUNTIFS($D$4:D161,"&gt;"&amp;0,$G$4:G161,"المحفظة"),"")</f>
        <v/>
      </c>
      <c r="N162" t="str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/>
      </c>
      <c r="O162" t="str">
        <f>IF(AND(D161&gt;0,F161="أحد الشركاء"),COUNTIFS($D$4:D161,"&gt;"&amp;0,$F$4:F161,"أحد الشركاء"),"")</f>
        <v/>
      </c>
      <c r="P162" t="str">
        <f>IF(OR($A162="",$F162="أحد الشركاء",AND($D162="",$E162="")),"",SUMPRODUCT(($A$4:$A162&lt;&gt;"")*($F$4:$F162&lt;&gt;"أحد الشركاء")*((($D$4:$D162&lt;&gt;"")+($E$4:$E162&lt;&gt;""))&gt;0)))</f>
        <v/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/>
      <c r="B163" s="26"/>
      <c r="C163" s="27"/>
      <c r="D163" s="28"/>
      <c r="E163" s="29"/>
      <c r="F163" s="30"/>
      <c r="G163" s="31"/>
      <c r="H163" s="32"/>
      <c r="I163" s="33"/>
      <c r="J163" s="34" t="str">
        <f>IF(AND(D163="",E163="",A163="",B163="",C163=""),"", IFERROR(IF(J162="",D2,J162),D2)+IF(E163="",0,E163)-IF(OR(G163="أبو اسحاق",G163="أبو آدم",G163="أبو اسحاق ",G163="أبو آدم "),0,IF(D163="",0,D163)))</f>
        <v/>
      </c>
      <c r="K163" s="35"/>
      <c r="L163" t="str">
        <f>IF(E162&gt;0,COUNTIF($E$4:E162,"&gt;0"),"")</f>
        <v/>
      </c>
      <c r="M163" t="str">
        <f>IF(AND(D162&gt;0,G162="المحفظة"),COUNTIFS($D$4:D162,"&gt;"&amp;0,$G$4:G162,"المحفظة"),"")</f>
        <v/>
      </c>
      <c r="N163" t="str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/>
      </c>
      <c r="O163" t="str">
        <f>IF(AND(D162&gt;0,F162="أحد الشركاء"),COUNTIFS($D$4:D162,"&gt;"&amp;0,$F$4:F162,"أحد الشركاء"),"")</f>
        <v/>
      </c>
      <c r="P163" t="str">
        <f>IF(OR($A163="",$F163="أحد الشركاء",AND($D163="",$E163="")),"",SUMPRODUCT(($A$4:$A163&lt;&gt;"")*($F$4:$F163&lt;&gt;"أحد الشركاء")*((($D$4:$D163&lt;&gt;"")+($E$4:$E163&lt;&gt;""))&gt;0)))</f>
        <v/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/>
      <c r="B164" s="36"/>
      <c r="C164" s="37"/>
      <c r="D164" s="38"/>
      <c r="E164" s="39"/>
      <c r="F164" s="136"/>
      <c r="G164" s="40"/>
      <c r="H164" s="41"/>
      <c r="I164" s="42"/>
      <c r="J164" s="43" t="str">
        <f>IF(AND(D164="",E164="",A164="",B164="",C164=""),"", IFERROR(IF(J163="",D2,J163),D2)+IF(E164="",0,E164)-IF(OR(G164="أبو اسحاق",G164="أبو آدم",G164="أبو اسحاق ",G164="أبو آدم "),0,IF(D164="",0,D164)))</f>
        <v/>
      </c>
      <c r="K164" s="44"/>
      <c r="L164" t="str">
        <f>IF(E163&gt;0,COUNTIF($E$4:E163,"&gt;0"),"")</f>
        <v/>
      </c>
      <c r="M164" t="str">
        <f>IF(AND(D163&gt;0,G163="المحفظة"),COUNTIFS($D$4:D163,"&gt;"&amp;0,$G$4:G163,"المحفظة"),"")</f>
        <v/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 t="str">
        <f>IF(OR($A164="",$F164="أحد الشركاء",AND($D164="",$E164="")),"",SUMPRODUCT(($A$4:$A164&lt;&gt;"")*($F$4:$F164&lt;&gt;"أحد الشركاء")*((($D$4:$D164&lt;&gt;"")+($E$4:$E164&lt;&gt;""))&gt;0)))</f>
        <v/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25"/>
      <c r="B165" s="26"/>
      <c r="C165" s="27"/>
      <c r="D165" s="28"/>
      <c r="E165" s="29"/>
      <c r="F165" s="30"/>
      <c r="G165" s="31"/>
      <c r="H165" s="32"/>
      <c r="I165" s="33"/>
      <c r="J165" s="34" t="str">
        <f>IF(AND(D165="",E165="",A165="",B165="",C165=""),"", IFERROR(IF(J164="",D2,J164),D2)+IF(E165="",0,E165)-IF(OR(G165="أبو اسحاق",G165="أبو آدم",G165="أبو اسحاق ",G165="أبو آدم "),0,IF(D165="",0,D165)))</f>
        <v/>
      </c>
      <c r="K165" s="35"/>
      <c r="L165" t="str">
        <f>IF(E164&gt;0,COUNTIF($E$4:E164,"&gt;0"),"")</f>
        <v/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 t="str">
        <f>IF(OR($A165="",$F165="أحد الشركاء",AND($D165="",$E165="")),"",SUMPRODUCT(($A$4:$A165&lt;&gt;"")*($F$4:$F165&lt;&gt;"أحد الشركاء")*((($D$4:$D165&lt;&gt;"")+($E$4:$E165&lt;&gt;""))&gt;0)))</f>
        <v/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39"/>
      <c r="B166" s="36"/>
      <c r="C166" s="37"/>
      <c r="D166" s="38"/>
      <c r="E166" s="39"/>
      <c r="F166" s="136"/>
      <c r="G166" s="40"/>
      <c r="H166" s="41"/>
      <c r="I166" s="42"/>
      <c r="J166" s="43" t="str">
        <f>IF(AND(D166="",E166="",A166="",B166="",C166=""),"", IFERROR(IF(J165="",D2,J165),D2)+IF(E166="",0,E166)-IF(OR(G166="أبو اسحاق",G166="أبو آدم",G166="أبو اسحاق ",G166="أبو آدم "),0,IF(D166="",0,D166)))</f>
        <v/>
      </c>
      <c r="K166" s="44"/>
      <c r="L166" t="str">
        <f>IF(E165&gt;0,COUNTIF($E$4:E165,"&gt;0"),"")</f>
        <v/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 t="str">
        <f>IF(OR($A166="",$F166="أحد الشركاء",AND($D166="",$E166="")),"",SUMPRODUCT(($A$4:$A166&lt;&gt;"")*($F$4:$F166&lt;&gt;"أحد الشركاء")*((($D$4:$D166&lt;&gt;"")+($E$4:$E166&lt;&gt;""))&gt;0)))</f>
        <v/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/>
      <c r="B167" s="26"/>
      <c r="C167" s="27"/>
      <c r="D167" s="28"/>
      <c r="E167" s="29"/>
      <c r="F167" s="30"/>
      <c r="G167" s="31"/>
      <c r="H167" s="32"/>
      <c r="I167" s="33"/>
      <c r="J167" s="34" t="str">
        <f>IF(AND(D167="",E167="",A167="",B167="",C167=""),"", IFERROR(IF(J166="",D2,J166),D2)+IF(E167="",0,E167)-IF(OR(G167="أبو اسحاق",G167="أبو آدم",G167="أبو اسحاق ",G167="أبو آدم "),0,IF(D167="",0,D167)))</f>
        <v/>
      </c>
      <c r="K167" s="35"/>
      <c r="L167" t="str">
        <f>IF(E166&gt;0,COUNTIF($E$4:E166,"&gt;0"),"")</f>
        <v/>
      </c>
      <c r="M167" t="str">
        <f>IF(AND(D166&gt;0,G166="المحفظة"),COUNTIFS($D$4:D166,"&gt;"&amp;0,$G$4:G166,"المحفظة"),"")</f>
        <v/>
      </c>
      <c r="N167" t="str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/>
      </c>
      <c r="O167" t="str">
        <f>IF(AND(D166&gt;0,F166="أحد الشركاء"),COUNTIFS($D$4:D166,"&gt;"&amp;0,$F$4:F166,"أحد الشركاء"),"")</f>
        <v/>
      </c>
      <c r="P167" t="str">
        <f>IF(OR($A167="",$F167="أحد الشركاء",AND($D167="",$E167="")),"",SUMPRODUCT(($A$4:$A167&lt;&gt;"")*($F$4:$F167&lt;&gt;"أحد الشركاء")*((($D$4:$D167&lt;&gt;"")+($E$4:$E167&lt;&gt;""))&gt;0)))</f>
        <v/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/>
      <c r="B168" s="36"/>
      <c r="C168" s="37"/>
      <c r="D168" s="38"/>
      <c r="E168" s="39"/>
      <c r="F168" s="136"/>
      <c r="G168" s="40"/>
      <c r="H168" s="41"/>
      <c r="I168" s="42"/>
      <c r="J168" s="43" t="str">
        <f>IF(AND(D168="",E168="",A168="",B168="",C168=""),"", IFERROR(IF(J167="",D2,J167),D2)+IF(E168="",0,E168)-IF(OR(G168="أبو اسحاق",G168="أبو آدم",G168="أبو اسحاق ",G168="أبو آدم "),0,IF(D168="",0,D168)))</f>
        <v/>
      </c>
      <c r="K168" s="44"/>
      <c r="L168" t="str">
        <f>IF(E167&gt;0,COUNTIF($E$4:E167,"&gt;0"),"")</f>
        <v/>
      </c>
      <c r="M168" t="str">
        <f>IF(AND(D167&gt;0,G167="المحفظة"),COUNTIFS($D$4:D167,"&gt;"&amp;0,$G$4:G167,"المحفظة"),"")</f>
        <v/>
      </c>
      <c r="N168" t="str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/>
      </c>
      <c r="O168" t="str">
        <f>IF(AND(D167&gt;0,F167="أحد الشركاء"),COUNTIFS($D$4:D167,"&gt;"&amp;0,$F$4:F167,"أحد الشركاء"),"")</f>
        <v/>
      </c>
      <c r="P168" t="str">
        <f>IF(OR($A168="",$F168="أحد الشركاء",AND($D168="",$E168="")),"",SUMPRODUCT(($A$4:$A168&lt;&gt;"")*($F$4:$F168&lt;&gt;"أحد الشركاء")*((($D$4:$D168&lt;&gt;"")+($E$4:$E168&lt;&gt;""))&gt;0)))</f>
        <v/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/>
      <c r="B169" s="26"/>
      <c r="C169" s="27"/>
      <c r="D169" s="28"/>
      <c r="E169" s="29"/>
      <c r="F169" s="30"/>
      <c r="G169" s="31"/>
      <c r="H169" s="32"/>
      <c r="I169" s="33"/>
      <c r="J169" s="34" t="str">
        <f>IF(AND(D169="",E169="",A169="",B169="",C169=""),"", IFERROR(IF(J168="",D2,J168),D2)+IF(E169="",0,E169)-IF(OR(G169="أبو اسحاق",G169="أبو آدم",G169="أبو اسحاق ",G169="أبو آدم "),0,IF(D169="",0,D169)))</f>
        <v/>
      </c>
      <c r="K169" s="35"/>
      <c r="L169" t="str">
        <f>IF(E168&gt;0,COUNTIF($E$4:E168,"&gt;0"),"")</f>
        <v/>
      </c>
      <c r="M169" t="str">
        <f>IF(AND(D168&gt;0,G168="المحفظة"),COUNTIFS($D$4:D168,"&gt;"&amp;0,$G$4:G168,"المحفظة"),"")</f>
        <v/>
      </c>
      <c r="N169" t="str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/>
      </c>
      <c r="O169" t="str">
        <f>IF(AND(D168&gt;0,F168="أحد الشركاء"),COUNTIFS($D$4:D168,"&gt;"&amp;0,$F$4:F168,"أحد الشركاء"),"")</f>
        <v/>
      </c>
      <c r="P169" t="str">
        <f>IF(OR($A169="",$F169="أحد الشركاء",AND($D169="",$E169="")),"",SUMPRODUCT(($A$4:$A169&lt;&gt;"")*($F$4:$F169&lt;&gt;"أحد الشركاء")*((($D$4:$D169&lt;&gt;"")+($E$4:$E169&lt;&gt;""))&gt;0)))</f>
        <v/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/>
      <c r="B170" s="36"/>
      <c r="C170" s="37"/>
      <c r="D170" s="38"/>
      <c r="E170" s="39"/>
      <c r="F170" s="136"/>
      <c r="G170" s="40"/>
      <c r="H170" s="41"/>
      <c r="I170" s="42"/>
      <c r="J170" s="43" t="str">
        <f>IF(AND(D170="",E170="",A170="",B170="",C170=""),"", IFERROR(IF(J169="",D2,J169),D2)+IF(E170="",0,E170)-IF(OR(G170="أبو اسحاق",G170="أبو آدم",G170="أبو اسحاق ",G170="أبو آدم "),0,IF(D170="",0,D170)))</f>
        <v/>
      </c>
      <c r="K170" s="44"/>
      <c r="L170" t="str">
        <f>IF(E169&gt;0,COUNTIF($E$4:E169,"&gt;0"),"")</f>
        <v/>
      </c>
      <c r="M170" t="str">
        <f>IF(AND(D169&gt;0,G169="المحفظة"),COUNTIFS($D$4:D169,"&gt;"&amp;0,$G$4:G169,"المحفظة"),"")</f>
        <v/>
      </c>
      <c r="N170" t="str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/>
      </c>
      <c r="O170" t="str">
        <f>IF(AND(D169&gt;0,F169="أحد الشركاء"),COUNTIFS($D$4:D169,"&gt;"&amp;0,$F$4:F169,"أحد الشركاء"),"")</f>
        <v/>
      </c>
      <c r="P170" t="str">
        <f>IF(OR($A170="",$F170="أحد الشركاء",AND($D170="",$E170="")),"",SUMPRODUCT(($A$4:$A170&lt;&gt;"")*($F$4:$F170&lt;&gt;"أحد الشركاء")*((($D$4:$D170&lt;&gt;"")+($E$4:$E170&lt;&gt;""))&gt;0)))</f>
        <v/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/>
      <c r="B171" s="26"/>
      <c r="C171" s="27"/>
      <c r="D171" s="28"/>
      <c r="E171" s="29"/>
      <c r="F171" s="30"/>
      <c r="G171" s="31"/>
      <c r="H171" s="32"/>
      <c r="I171" s="33"/>
      <c r="J171" s="34" t="str">
        <f>IF(AND(D171="",E171="",A171="",B171="",C171=""),"", IFERROR(IF(J170="",D2,J170),D2)+IF(E171="",0,E171)-IF(OR(G171="أبو اسحاق",G171="أبو آدم",G171="أبو اسحاق ",G171="أبو آدم "),0,IF(D171="",0,D171)))</f>
        <v/>
      </c>
      <c r="K171" s="35"/>
      <c r="L171" t="str">
        <f>IF(E170&gt;0,COUNTIF($E$4:E170,"&gt;0"),"")</f>
        <v/>
      </c>
      <c r="M171" t="str">
        <f>IF(AND(D170&gt;0,G170="المحفظة"),COUNTIFS($D$4:D170,"&gt;"&amp;0,$G$4:G170,"المحفظة"),"")</f>
        <v/>
      </c>
      <c r="N171" t="str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/>
      </c>
      <c r="O171" t="str">
        <f>IF(AND(D170&gt;0,F170="أحد الشركاء"),COUNTIFS($D$4:D170,"&gt;"&amp;0,$F$4:F170,"أحد الشركاء"),"")</f>
        <v/>
      </c>
      <c r="P171" t="str">
        <f>IF(OR($A171="",$F171="أحد الشركاء",AND($D171="",$E171="")),"",SUMPRODUCT(($A$4:$A171&lt;&gt;"")*($F$4:$F171&lt;&gt;"أحد الشركاء")*((($D$4:$D171&lt;&gt;"")+($E$4:$E171&lt;&gt;""))&gt;0)))</f>
        <v/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/>
      <c r="B172" s="36"/>
      <c r="C172" s="37"/>
      <c r="D172" s="38"/>
      <c r="E172" s="39"/>
      <c r="F172" s="136"/>
      <c r="G172" s="40"/>
      <c r="H172" s="41"/>
      <c r="I172" s="42"/>
      <c r="J172" s="43" t="str">
        <f>IF(AND(D172="",E172="",A172="",B172="",C172=""),"", IFERROR(IF(J171="",D2,J171),D2)+IF(E172="",0,E172)-IF(OR(G172="أبو اسحاق",G172="أبو آدم",G172="أبو اسحاق ",G172="أبو آدم "),0,IF(D172="",0,D172)))</f>
        <v/>
      </c>
      <c r="K172" s="44"/>
      <c r="L172" t="str">
        <f>IF(E171&gt;0,COUNTIF($E$4:E171,"&gt;0"),"")</f>
        <v/>
      </c>
      <c r="M172" t="str">
        <f>IF(AND(D171&gt;0,G171="المحفظة"),COUNTIFS($D$4:D171,"&gt;"&amp;0,$G$4:G171,"المحفظة"),"")</f>
        <v/>
      </c>
      <c r="N172" t="str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/>
      </c>
      <c r="O172" t="str">
        <f>IF(AND(D171&gt;0,F171="أحد الشركاء"),COUNTIFS($D$4:D171,"&gt;"&amp;0,$F$4:F171,"أحد الشركاء"),"")</f>
        <v/>
      </c>
      <c r="P172" t="str">
        <f>IF(OR($A172="",$F172="أحد الشركاء",AND($D172="",$E172="")),"",SUMPRODUCT(($A$4:$A172&lt;&gt;"")*($F$4:$F172&lt;&gt;"أحد الشركاء")*((($D$4:$D172&lt;&gt;"")+($E$4:$E172&lt;&gt;""))&gt;0)))</f>
        <v/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/>
      <c r="B173" s="26"/>
      <c r="C173" s="27"/>
      <c r="D173" s="28"/>
      <c r="E173" s="29"/>
      <c r="F173" s="30"/>
      <c r="G173" s="31"/>
      <c r="H173" s="32"/>
      <c r="I173" s="33"/>
      <c r="J173" s="34" t="str">
        <f>IF(AND(D173="",E173="",A173="",B173="",C173=""),"", IFERROR(IF(J172="",D2,J172),D2)+IF(E173="",0,E173)-IF(OR(G173="أبو اسحاق",G173="أبو آدم",G173="أبو اسحاق ",G173="أبو آدم "),0,IF(D173="",0,D173)))</f>
        <v/>
      </c>
      <c r="K173" s="35"/>
      <c r="L173" t="str">
        <f>IF(E172&gt;0,COUNTIF($E$4:E172,"&gt;0"),"")</f>
        <v/>
      </c>
      <c r="M173" t="str">
        <f>IF(AND(D172&gt;0,G172="المحفظة"),COUNTIFS($D$4:D172,"&gt;"&amp;0,$G$4:G172,"المحفظة"),"")</f>
        <v/>
      </c>
      <c r="N173" t="str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/>
      </c>
      <c r="O173" t="str">
        <f>IF(AND(D172&gt;0,F172="أحد الشركاء"),COUNTIFS($D$4:D172,"&gt;"&amp;0,$F$4:F172,"أحد الشركاء"),"")</f>
        <v/>
      </c>
      <c r="P173" t="str">
        <f>IF(OR($A173="",$F173="أحد الشركاء",AND($D173="",$E173="")),"",SUMPRODUCT(($A$4:$A173&lt;&gt;"")*($F$4:$F173&lt;&gt;"أحد الشركاء")*((($D$4:$D173&lt;&gt;"")+($E$4:$E173&lt;&gt;""))&gt;0)))</f>
        <v/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/>
      <c r="B174" s="36"/>
      <c r="C174" s="37"/>
      <c r="D174" s="38"/>
      <c r="E174" s="39"/>
      <c r="F174" s="136"/>
      <c r="G174" s="40"/>
      <c r="H174" s="41"/>
      <c r="I174" s="42"/>
      <c r="J174" s="43" t="str">
        <f>IF(AND(D174="",E174="",A174="",B174="",C174=""),"", IFERROR(IF(J173="",D2,J173),D2)+IF(E174="",0,E174)-IF(OR(G174="أبو اسحاق",G174="أبو آدم",G174="أبو اسحاق ",G174="أبو آدم "),0,IF(D174="",0,D174)))</f>
        <v/>
      </c>
      <c r="K174" s="44"/>
      <c r="L174" t="str">
        <f>IF(E173&gt;0,COUNTIF($E$4:E173,"&gt;0"),"")</f>
        <v/>
      </c>
      <c r="M174" t="str">
        <f>IF(AND(D173&gt;0,G173="المحفظة"),COUNTIFS($D$4:D173,"&gt;"&amp;0,$G$4:G173,"المحفظة"),"")</f>
        <v/>
      </c>
      <c r="N174" t="str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/>
      </c>
      <c r="O174" t="str">
        <f>IF(AND(D173&gt;0,F173="أحد الشركاء"),COUNTIFS($D$4:D173,"&gt;"&amp;0,$F$4:F173,"أحد الشركاء"),"")</f>
        <v/>
      </c>
      <c r="P174" t="str">
        <f>IF(OR($A174="",$F174="أحد الشركاء",AND($D174="",$E174="")),"",SUMPRODUCT(($A$4:$A174&lt;&gt;"")*($F$4:$F174&lt;&gt;"أحد الشركاء")*((($D$4:$D174&lt;&gt;"")+($E$4:$E174&lt;&gt;""))&gt;0)))</f>
        <v/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/>
      <c r="B175" s="26"/>
      <c r="C175" s="27"/>
      <c r="D175" s="28"/>
      <c r="E175" s="29"/>
      <c r="F175" s="30"/>
      <c r="G175" s="31"/>
      <c r="H175" s="32"/>
      <c r="I175" s="33"/>
      <c r="J175" s="34" t="str">
        <f>IF(AND(D175="",E175="",A175="",B175="",C175=""),"", IFERROR(IF(J174="",D2,J174),D2)+IF(E175="",0,E175)-IF(OR(G175="أبو اسحاق",G175="أبو آدم",G175="أبو اسحاق ",G175="أبو آدم "),0,IF(D175="",0,D175)))</f>
        <v/>
      </c>
      <c r="K175" s="35"/>
      <c r="L175" t="str">
        <f>IF(E174&gt;0,COUNTIF($E$4:E174,"&gt;0"),"")</f>
        <v/>
      </c>
      <c r="M175" t="str">
        <f>IF(AND(D174&gt;0,G174="المحفظة"),COUNTIFS($D$4:D174,"&gt;"&amp;0,$G$4:G174,"المحفظة"),"")</f>
        <v/>
      </c>
      <c r="N175" t="str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/>
      </c>
      <c r="O175" t="str">
        <f>IF(AND(D174&gt;0,F174="أحد الشركاء"),COUNTIFS($D$4:D174,"&gt;"&amp;0,$F$4:F174,"أحد الشركاء"),"")</f>
        <v/>
      </c>
      <c r="P175" t="str">
        <f>IF(OR($A175="",$F175="أحد الشركاء",AND($D175="",$E175="")),"",SUMPRODUCT(($A$4:$A175&lt;&gt;"")*($F$4:$F175&lt;&gt;"أحد الشركاء")*((($D$4:$D175&lt;&gt;"")+($E$4:$E175&lt;&gt;""))&gt;0)))</f>
        <v/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/>
      <c r="B176" s="36"/>
      <c r="C176" s="37"/>
      <c r="D176" s="38"/>
      <c r="E176" s="39"/>
      <c r="F176" s="136"/>
      <c r="G176" s="40"/>
      <c r="H176" s="41"/>
      <c r="I176" s="42"/>
      <c r="J176" s="43" t="str">
        <f>IF(AND(D176="",E176="",A176="",B176="",C176=""),"", IFERROR(IF(J175="",D2,J175),D2)+IF(E176="",0,E176)-IF(OR(G176="أبو اسحاق",G176="أبو آدم",G176="أبو اسحاق ",G176="أبو آدم "),0,IF(D176="",0,D176)))</f>
        <v/>
      </c>
      <c r="K176" s="44"/>
      <c r="L176" t="str">
        <f>IF(E175&gt;0,COUNTIF($E$4:E175,"&gt;0"),"")</f>
        <v/>
      </c>
      <c r="M176" t="str">
        <f>IF(AND(D175&gt;0,G175="المحفظة"),COUNTIFS($D$4:D175,"&gt;"&amp;0,$G$4:G175,"المحفظة"),"")</f>
        <v/>
      </c>
      <c r="N176" t="str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/>
      </c>
      <c r="O176" t="str">
        <f>IF(AND(D175&gt;0,F175="أحد الشركاء"),COUNTIFS($D$4:D175,"&gt;"&amp;0,$F$4:F175,"أحد الشركاء"),"")</f>
        <v/>
      </c>
      <c r="P176" t="str">
        <f>IF(OR($A176="",$F176="أحد الشركاء",AND($D176="",$E176="")),"",SUMPRODUCT(($A$4:$A176&lt;&gt;"")*($F$4:$F176&lt;&gt;"أحد الشركاء")*((($D$4:$D176&lt;&gt;"")+($E$4:$E176&lt;&gt;""))&gt;0)))</f>
        <v/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/>
      <c r="B177" s="26"/>
      <c r="C177" s="27"/>
      <c r="D177" s="28"/>
      <c r="E177" s="29"/>
      <c r="F177" s="30"/>
      <c r="G177" s="31"/>
      <c r="H177" s="32"/>
      <c r="I177" s="33"/>
      <c r="J177" s="34" t="str">
        <f>IF(AND(D177="",E177="",A177="",B177="",C177=""),"", IFERROR(IF(J176="",D2,J176),D2)+IF(E177="",0,E177)-IF(OR(G177="أبو اسحاق",G177="أبو آدم",G177="أبو اسحاق ",G177="أبو آدم "),0,IF(D177="",0,D177)))</f>
        <v/>
      </c>
      <c r="K177" s="35"/>
      <c r="L177" t="str">
        <f>IF(E176&gt;0,COUNTIF($E$4:E176,"&gt;0"),"")</f>
        <v/>
      </c>
      <c r="M177" t="str">
        <f>IF(AND(D176&gt;0,G176="المحفظة"),COUNTIFS($D$4:D176,"&gt;"&amp;0,$G$4:G176,"المحفظة"),"")</f>
        <v/>
      </c>
      <c r="N177" t="str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/>
      </c>
      <c r="O177" t="str">
        <f>IF(AND(D176&gt;0,F176="أحد الشركاء"),COUNTIFS($D$4:D176,"&gt;"&amp;0,$F$4:F176,"أحد الشركاء"),"")</f>
        <v/>
      </c>
      <c r="P177" t="str">
        <f>IF(OR($A177="",$F177="أحد الشركاء",AND($D177="",$E177="")),"",SUMPRODUCT(($A$4:$A177&lt;&gt;"")*($F$4:$F177&lt;&gt;"أحد الشركاء")*((($D$4:$D177&lt;&gt;"")+($E$4:$E177&lt;&gt;""))&gt;0)))</f>
        <v/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/>
      <c r="B178" s="36"/>
      <c r="C178" s="37"/>
      <c r="D178" s="38"/>
      <c r="E178" s="39"/>
      <c r="F178" s="136"/>
      <c r="G178" s="40"/>
      <c r="H178" s="41"/>
      <c r="I178" s="42"/>
      <c r="J178" s="43" t="str">
        <f>IF(AND(D178="",E178="",A178="",B178="",C178=""),"", IFERROR(IF(J177="",D2,J177),D2)+IF(E178="",0,E178)-IF(OR(G178="أبو اسحاق",G178="أبو آدم",G178="أبو اسحاق ",G178="أبو آدم "),0,IF(D178="",0,D178)))</f>
        <v/>
      </c>
      <c r="K178" s="44"/>
      <c r="L178" t="str">
        <f>IF(E177&gt;0,COUNTIF($E$4:E177,"&gt;0"),"")</f>
        <v/>
      </c>
      <c r="M178" t="str">
        <f>IF(AND(D177&gt;0,G177="المحفظة"),COUNTIFS($D$4:D177,"&gt;"&amp;0,$G$4:G177,"المحفظة"),"")</f>
        <v/>
      </c>
      <c r="N178" t="str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/>
      </c>
      <c r="O178" t="str">
        <f>IF(AND(D177&gt;0,F177="أحد الشركاء"),COUNTIFS($D$4:D177,"&gt;"&amp;0,$F$4:F177,"أحد الشركاء"),"")</f>
        <v/>
      </c>
      <c r="P178" t="str">
        <f>IF(OR($A178="",$F178="أحد الشركاء",AND($D178="",$E178="")),"",SUMPRODUCT(($A$4:$A178&lt;&gt;"")*($F$4:$F178&lt;&gt;"أحد الشركاء")*((($D$4:$D178&lt;&gt;"")+($E$4:$E178&lt;&gt;""))&gt;0)))</f>
        <v/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25"/>
      <c r="B179" s="26"/>
      <c r="C179" s="27"/>
      <c r="D179" s="28"/>
      <c r="E179" s="29"/>
      <c r="F179" s="30"/>
      <c r="G179" s="31"/>
      <c r="H179" s="32"/>
      <c r="I179" s="33"/>
      <c r="J179" s="34" t="str">
        <f>IF(AND(D179="",E179="",A179="",B179="",C179=""),"", IFERROR(IF(J178="",D2,J178),D2)+IF(E179="",0,E179)-IF(OR(G179="أبو اسحاق",G179="أبو آدم",G179="أبو اسحاق ",G179="أبو آدم "),0,IF(D179="",0,D179)))</f>
        <v/>
      </c>
      <c r="K179" s="35"/>
      <c r="L179" t="str">
        <f>IF(E178&gt;0,COUNTIF($E$4:E178,"&gt;0"),"")</f>
        <v/>
      </c>
      <c r="M179" t="str">
        <f>IF(AND(D178&gt;0,G178="المحفظة"),COUNTIFS($D$4:D178,"&gt;"&amp;0,$G$4:G178,"المحفظة"),"")</f>
        <v/>
      </c>
      <c r="N179" t="str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/>
      </c>
      <c r="O179" t="str">
        <f>IF(AND(D178&gt;0,F178="أحد الشركاء"),COUNTIFS($D$4:D178,"&gt;"&amp;0,$F$4:F178,"أحد الشركاء"),"")</f>
        <v/>
      </c>
      <c r="P179" t="str">
        <f>IF(OR($A179="",$F179="أحد الشركاء",AND($D179="",$E179="")),"",SUMPRODUCT(($A$4:$A179&lt;&gt;"")*($F$4:$F179&lt;&gt;"أحد الشركاء")*((($D$4:$D179&lt;&gt;"")+($E$4:$E179&lt;&gt;""))&gt;0)))</f>
        <v/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39"/>
      <c r="B180" s="36"/>
      <c r="C180" s="37"/>
      <c r="D180" s="38"/>
      <c r="E180" s="39"/>
      <c r="F180" s="136"/>
      <c r="G180" s="40"/>
      <c r="H180" s="41"/>
      <c r="I180" s="42"/>
      <c r="J180" s="43" t="str">
        <f>IF(AND(D180="",E180="",A180="",B180="",C180=""),"", IFERROR(IF(J179="",D2,J179),D2)+IF(E180="",0,E180)-IF(OR(G180="أبو اسحاق",G180="أبو آدم",G180="أبو اسحاق ",G180="أبو آدم "),0,IF(D180="",0,D180)))</f>
        <v/>
      </c>
      <c r="K180" s="44"/>
      <c r="L180" t="str">
        <f>IF(E179&gt;0,COUNTIF($E$4:E179,"&gt;0"),"")</f>
        <v/>
      </c>
      <c r="M180" t="str">
        <f>IF(AND(D179&gt;0,G179="المحفظة"),COUNTIFS($D$4:D179,"&gt;"&amp;0,$G$4:G179,"المحفظة"),"")</f>
        <v/>
      </c>
      <c r="N180" t="str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/>
      </c>
      <c r="O180" t="str">
        <f>IF(AND(D179&gt;0,F179="أحد الشركاء"),COUNTIFS($D$4:D179,"&gt;"&amp;0,$F$4:F179,"أحد الشركاء"),"")</f>
        <v/>
      </c>
      <c r="P180" t="str">
        <f>IF(OR($A180="",$F180="أحد الشركاء",AND($D180="",$E180="")),"",SUMPRODUCT(($A$4:$A180&lt;&gt;"")*($F$4:$F180&lt;&gt;"أحد الشركاء")*((($D$4:$D180&lt;&gt;"")+($E$4:$E180&lt;&gt;""))&gt;0)))</f>
        <v/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/>
      <c r="B181" s="26"/>
      <c r="C181" s="27"/>
      <c r="D181" s="28"/>
      <c r="E181" s="29"/>
      <c r="F181" s="30"/>
      <c r="G181" s="31"/>
      <c r="H181" s="32"/>
      <c r="I181" s="33"/>
      <c r="J181" s="34" t="str">
        <f>IF(AND(D181="",E181="",A181="",B181="",C181=""),"", IFERROR(IF(J180="",D2,J180),D2)+IF(E181="",0,E181)-IF(OR(G181="أبو اسحاق",G181="أبو آدم",G181="أبو اسحاق ",G181="أبو آدم "),0,IF(D181="",0,D181)))</f>
        <v/>
      </c>
      <c r="K181" s="35"/>
      <c r="L181" t="str">
        <f>IF(E180&gt;0,COUNTIF($E$4:E180,"&gt;0"),"")</f>
        <v/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 t="str">
        <f>IF(OR($A181="",$F181="أحد الشركاء",AND($D181="",$E181="")),"",SUMPRODUCT(($A$4:$A181&lt;&gt;"")*($F$4:$F181&lt;&gt;"أحد الشركاء")*((($D$4:$D181&lt;&gt;"")+($E$4:$E181&lt;&gt;""))&gt;0)))</f>
        <v/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/>
      <c r="B182" s="36"/>
      <c r="C182" s="37"/>
      <c r="D182" s="38"/>
      <c r="E182" s="39"/>
      <c r="F182" s="136"/>
      <c r="G182" s="40"/>
      <c r="H182" s="41"/>
      <c r="I182" s="42"/>
      <c r="J182" s="43" t="str">
        <f>IF(AND(D182="",E182="",A182="",B182="",C182=""),"", IFERROR(IF(J181="",D2,J181),D2)+IF(E182="",0,E182)-IF(OR(G182="أبو اسحاق",G182="أبو آدم",G182="أبو اسحاق ",G182="أبو آدم "),0,IF(D182="",0,D182)))</f>
        <v/>
      </c>
      <c r="K182" s="44"/>
      <c r="L182" t="str">
        <f>IF(E181&gt;0,COUNTIF($E$4:E181,"&gt;0"),"")</f>
        <v/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 t="str">
        <f>IF(OR($A182="",$F182="أحد الشركاء",AND($D182="",$E182="")),"",SUMPRODUCT(($A$4:$A182&lt;&gt;"")*($F$4:$F182&lt;&gt;"أحد الشركاء")*((($D$4:$D182&lt;&gt;"")+($E$4:$E182&lt;&gt;""))&gt;0)))</f>
        <v/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/>
      <c r="B183" s="26"/>
      <c r="C183" s="27"/>
      <c r="D183" s="28"/>
      <c r="E183" s="29"/>
      <c r="F183" s="30"/>
      <c r="G183" s="31"/>
      <c r="H183" s="32"/>
      <c r="I183" s="33"/>
      <c r="J183" s="34" t="str">
        <f>IF(AND(D183="",E183="",A183="",B183="",C183=""),"", IFERROR(IF(J182="",D2,J182),D2)+IF(E183="",0,E183)-IF(OR(G183="أبو اسحاق",G183="أبو آدم",G183="أبو اسحاق ",G183="أبو آدم "),0,IF(D183="",0,D183)))</f>
        <v/>
      </c>
      <c r="K183" s="35"/>
      <c r="L183" t="str">
        <f>IF(E182&gt;0,COUNTIF($E$4:E182,"&gt;0"),"")</f>
        <v/>
      </c>
      <c r="M183" t="str">
        <f>IF(AND(D182&gt;0,G182="المحفظة"),COUNTIFS($D$4:D182,"&gt;"&amp;0,$G$4:G182,"المحفظة"),"")</f>
        <v/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 t="str">
        <f>IF(OR($A183="",$F183="أحد الشركاء",AND($D183="",$E183="")),"",SUMPRODUCT(($A$4:$A183&lt;&gt;"")*($F$4:$F183&lt;&gt;"أحد الشركاء")*((($D$4:$D183&lt;&gt;"")+($E$4:$E183&lt;&gt;""))&gt;0)))</f>
        <v/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139"/>
      <c r="B184" s="36"/>
      <c r="C184" s="37"/>
      <c r="D184" s="38"/>
      <c r="E184" s="39"/>
      <c r="F184" s="136"/>
      <c r="G184" s="40"/>
      <c r="H184" s="41"/>
      <c r="I184" s="42"/>
      <c r="J184" s="43" t="str">
        <f>IF(AND(D184="",E184="",A184="",B184="",C184=""),"", IFERROR(IF(J183="",D2,J183),D2)+IF(E184="",0,E184)-IF(OR(G184="أبو اسحاق",G184="أبو آدم",G184="أبو اسحاق ",G184="أبو آدم "),0,IF(D184="",0,D184)))</f>
        <v/>
      </c>
      <c r="K184" s="44"/>
      <c r="L184" t="str">
        <f>IF(E183&gt;0,COUNTIF($E$4:E183,"&gt;0"),"")</f>
        <v/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 t="str">
        <f>IF(OR($A184="",$F184="أحد الشركاء",AND($D184="",$E184="")),"",SUMPRODUCT(($A$4:$A184&lt;&gt;"")*($F$4:$F184&lt;&gt;"أحد الشركاء")*((($D$4:$D184&lt;&gt;"")+($E$4:$E184&lt;&gt;""))&gt;0)))</f>
        <v/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/>
      <c r="B185" s="26"/>
      <c r="C185" s="27"/>
      <c r="D185" s="28"/>
      <c r="E185" s="29"/>
      <c r="F185" s="30"/>
      <c r="G185" s="31"/>
      <c r="H185" s="32"/>
      <c r="I185" s="33"/>
      <c r="J185" s="34" t="str">
        <f>IF(AND(D185="",E185="",A185="",B185="",C185=""),"", IFERROR(IF(J184="",D2,J184),D2)+IF(E185="",0,E185)-IF(OR(G185="أبو اسحاق",G185="أبو آدم",G185="أبو اسحاق ",G185="أبو آدم "),0,IF(D185="",0,D185)))</f>
        <v/>
      </c>
      <c r="K185" s="35"/>
      <c r="L185" t="str">
        <f>IF(E184&gt;0,COUNTIF($E$4:E184,"&gt;0"),"")</f>
        <v/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 t="str">
        <f>IF(OR($A185="",$F185="أحد الشركاء",AND($D185="",$E185="")),"",SUMPRODUCT(($A$4:$A185&lt;&gt;"")*($F$4:$F185&lt;&gt;"أحد الشركاء")*((($D$4:$D185&lt;&gt;"")+($E$4:$E185&lt;&gt;""))&gt;0)))</f>
        <v/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139"/>
      <c r="B186" s="36"/>
      <c r="C186" s="37"/>
      <c r="D186" s="38"/>
      <c r="E186" s="39"/>
      <c r="F186" s="136"/>
      <c r="G186" s="40"/>
      <c r="H186" s="41"/>
      <c r="I186" s="42"/>
      <c r="J186" s="43" t="str">
        <f>IF(AND(D186="",E186="",A186="",B186="",C186=""),"", IFERROR(IF(J185="",D2,J185),D2)+IF(E186="",0,E186)-IF(OR(G186="أبو اسحاق",G186="أبو آدم",G186="أبو اسحاق ",G186="أبو آدم "),0,IF(D186="",0,D186)))</f>
        <v/>
      </c>
      <c r="K186" s="44"/>
      <c r="L186" t="str">
        <f>IF(E185&gt;0,COUNTIF($E$4:E185,"&gt;0"),"")</f>
        <v/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 t="str">
        <f>IF(OR($A186="",$F186="أحد الشركاء",AND($D186="",$E186="")),"",SUMPRODUCT(($A$4:$A186&lt;&gt;"")*($F$4:$F186&lt;&gt;"أحد الشركاء")*((($D$4:$D186&lt;&gt;"")+($E$4:$E186&lt;&gt;""))&gt;0)))</f>
        <v/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/>
      <c r="B187" s="26"/>
      <c r="C187" s="27"/>
      <c r="D187" s="28"/>
      <c r="E187" s="29"/>
      <c r="F187" s="30"/>
      <c r="G187" s="31"/>
      <c r="H187" s="32"/>
      <c r="I187" s="33"/>
      <c r="J187" s="34" t="str">
        <f>IF(AND(D187="",E187="",A187="",B187="",C187=""),"", IFERROR(IF(J186="",D2,J186),D2)+IF(E187="",0,E187)-IF(OR(G187="أبو اسحاق",G187="أبو آدم",G187="أبو اسحاق ",G187="أبو آدم "),0,IF(D187="",0,D187)))</f>
        <v/>
      </c>
      <c r="K187" s="35"/>
      <c r="L187" t="str">
        <f>IF(E186&gt;0,COUNTIF($E$4:E186,"&gt;0"),"")</f>
        <v/>
      </c>
      <c r="M187" t="str">
        <f>IF(AND(D186&gt;0,G186="المحفظة"),COUNTIFS($D$4:D186,"&gt;"&amp;0,$G$4:G186,"المحفظة"),"")</f>
        <v/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 t="str">
        <f>IF(OR($A187="",$F187="أحد الشركاء",AND($D187="",$E187="")),"",SUMPRODUCT(($A$4:$A187&lt;&gt;"")*($F$4:$F187&lt;&gt;"أحد الشركاء")*((($D$4:$D187&lt;&gt;"")+($E$4:$E187&lt;&gt;""))&gt;0)))</f>
        <v/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/>
      <c r="B188" s="36"/>
      <c r="C188" s="37"/>
      <c r="D188" s="38"/>
      <c r="E188" s="39"/>
      <c r="F188" s="136"/>
      <c r="G188" s="40"/>
      <c r="H188" s="41"/>
      <c r="I188" s="42"/>
      <c r="J188" s="43" t="str">
        <f>IF(AND(D188="",E188="",A188="",B188="",C188=""),"", IFERROR(IF(J187="",D2,J187),D2)+IF(E188="",0,E188)-IF(OR(G188="أبو اسحاق",G188="أبو آدم",G188="أبو اسحاق ",G188="أبو آدم "),0,IF(D188="",0,D188)))</f>
        <v/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 t="str">
        <f>IF(OR($A188="",$F188="أحد الشركاء",AND($D188="",$E188="")),"",SUMPRODUCT(($A$4:$A188&lt;&gt;"")*($F$4:$F188&lt;&gt;"أحد الشركاء")*((($D$4:$D188&lt;&gt;"")+($E$4:$E188&lt;&gt;""))&gt;0)))</f>
        <v/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/>
      <c r="B189" s="26"/>
      <c r="C189" s="27"/>
      <c r="D189" s="28"/>
      <c r="E189" s="29"/>
      <c r="F189" s="30"/>
      <c r="G189" s="31"/>
      <c r="H189" s="32"/>
      <c r="I189" s="33"/>
      <c r="J189" s="34" t="str">
        <f>IF(AND(D189="",E189="",A189="",B189="",C189=""),"", IFERROR(IF(J188="",D2,J188),D2)+IF(E189="",0,E189)-IF(OR(G189="أبو اسحاق",G189="أبو آدم",G189="أبو اسحاق ",G189="أبو آدم "),0,IF(D189="",0,D189)))</f>
        <v/>
      </c>
      <c r="K189" s="35"/>
      <c r="L189" t="str">
        <f>IF(E188&gt;0,COUNTIF($E$4:E188,"&gt;0"),"")</f>
        <v/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 t="str">
        <f>IF(OR($A189="",$F189="أحد الشركاء",AND($D189="",$E189="")),"",SUMPRODUCT(($A$4:$A189&lt;&gt;"")*($F$4:$F189&lt;&gt;"أحد الشركاء")*((($D$4:$D189&lt;&gt;"")+($E$4:$E189&lt;&gt;""))&gt;0)))</f>
        <v/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139"/>
      <c r="B190" s="36"/>
      <c r="C190" s="37"/>
      <c r="D190" s="38"/>
      <c r="E190" s="39"/>
      <c r="F190" s="136"/>
      <c r="G190" s="40"/>
      <c r="H190" s="41"/>
      <c r="I190" s="42"/>
      <c r="J190" s="43" t="str">
        <f>IF(AND(D190="",E190="",A190="",B190="",C190=""),"", IFERROR(IF(J189="",D2,J189),D2)+IF(E190="",0,E190)-IF(OR(G190="أبو اسحاق",G190="أبو آدم",G190="أبو اسحاق ",G190="أبو آدم "),0,IF(D190="",0,D190)))</f>
        <v/>
      </c>
      <c r="K190" s="44"/>
      <c r="L190" t="str">
        <f>IF(E189&gt;0,COUNTIF($E$4:E189,"&gt;0"),"")</f>
        <v/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 t="str">
        <f>IF(OR($A190="",$F190="أحد الشركاء",AND($D190="",$E190="")),"",SUMPRODUCT(($A$4:$A190&lt;&gt;"")*($F$4:$F190&lt;&gt;"أحد الشركاء")*((($D$4:$D190&lt;&gt;"")+($E$4:$E190&lt;&gt;""))&gt;0)))</f>
        <v/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/>
      <c r="B191" s="26"/>
      <c r="C191" s="27"/>
      <c r="D191" s="28"/>
      <c r="E191" s="29"/>
      <c r="F191" s="30"/>
      <c r="G191" s="31"/>
      <c r="H191" s="32"/>
      <c r="I191" s="33"/>
      <c r="J191" s="34" t="str">
        <f>IF(AND(D191="",E191="",A191="",B191="",C191=""),"", IFERROR(IF(J190="",D2,J190),D2)+IF(E191="",0,E191)-IF(OR(G191="أبو اسحاق",G191="أبو آدم",G191="أبو اسحاق ",G191="أبو آدم "),0,IF(D191="",0,D191)))</f>
        <v/>
      </c>
      <c r="K191" s="35"/>
      <c r="L191" t="str">
        <f>IF(E190&gt;0,COUNTIF($E$4:E190,"&gt;0"),"")</f>
        <v/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 t="str">
        <f>IF(OR($A191="",$F191="أحد الشركاء",AND($D191="",$E191="")),"",SUMPRODUCT(($A$4:$A191&lt;&gt;"")*($F$4:$F191&lt;&gt;"أحد الشركاء")*((($D$4:$D191&lt;&gt;"")+($E$4:$E191&lt;&gt;""))&gt;0)))</f>
        <v/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139"/>
      <c r="B192" s="36"/>
      <c r="C192" s="37"/>
      <c r="D192" s="38"/>
      <c r="E192" s="39"/>
      <c r="F192" s="136"/>
      <c r="G192" s="40"/>
      <c r="H192" s="41"/>
      <c r="I192" s="42"/>
      <c r="J192" s="43" t="str">
        <f>IF(AND(D192="",E192="",A192="",B192="",C192=""),"", IFERROR(IF(J191="",D2,J191),D2)+IF(E192="",0,E192)-IF(OR(G192="أبو اسحاق",G192="أبو آدم",G192="أبو اسحاق ",G192="أبو آدم "),0,IF(D192="",0,D192)))</f>
        <v/>
      </c>
      <c r="K192" s="44"/>
      <c r="L192" t="str">
        <f>IF(E191&gt;0,COUNTIF($E$4:E191,"&gt;0"),"")</f>
        <v/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 t="str">
        <f>IF(OR($A192="",$F192="أحد الشركاء",AND($D192="",$E192="")),"",SUMPRODUCT(($A$4:$A192&lt;&gt;"")*($F$4:$F192&lt;&gt;"أحد الشركاء")*((($D$4:$D192&lt;&gt;"")+($E$4:$E192&lt;&gt;""))&gt;0)))</f>
        <v/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/>
      <c r="B193" s="26"/>
      <c r="C193" s="27"/>
      <c r="D193" s="28"/>
      <c r="E193" s="29"/>
      <c r="F193" s="30"/>
      <c r="G193" s="31"/>
      <c r="H193" s="32"/>
      <c r="I193" s="33"/>
      <c r="J193" s="34" t="str">
        <f>IF(AND(D193="",E193="",A193="",B193="",C193=""),"", IFERROR(IF(J192="",D2,J192),D2)+IF(E193="",0,E193)-IF(OR(G193="أبو اسحاق",G193="أبو آدم",G193="أبو اسحاق ",G193="أبو آدم "),0,IF(D193="",0,D193)))</f>
        <v/>
      </c>
      <c r="K193" s="35"/>
      <c r="L193" t="str">
        <f>IF(E192&gt;0,COUNTIF($E$4:E192,"&gt;0"),"")</f>
        <v/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 t="str">
        <f>IF(OR($A193="",$F193="أحد الشركاء",AND($D193="",$E193="")),"",SUMPRODUCT(($A$4:$A193&lt;&gt;"")*($F$4:$F193&lt;&gt;"أحد الشركاء")*((($D$4:$D193&lt;&gt;"")+($E$4:$E193&lt;&gt;""))&gt;0)))</f>
        <v/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139"/>
      <c r="B194" s="36"/>
      <c r="C194" s="37"/>
      <c r="D194" s="38"/>
      <c r="E194" s="39"/>
      <c r="F194" s="136"/>
      <c r="G194" s="40"/>
      <c r="H194" s="41"/>
      <c r="I194" s="42"/>
      <c r="J194" s="43" t="str">
        <f>IF(AND(D194="",E194="",A194="",B194="",C194=""),"", IFERROR(IF(J193="",D2,J193),D2)+IF(E194="",0,E194)-IF(OR(G194="أبو اسحاق",G194="أبو آدم",G194="أبو اسحاق ",G194="أبو آدم "),0,IF(D194="",0,D194)))</f>
        <v/>
      </c>
      <c r="K194" s="44"/>
      <c r="L194" t="str">
        <f>IF(E193&gt;0,COUNTIF($E$4:E193,"&gt;0"),"")</f>
        <v/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 t="str">
        <f>IF(OR($A194="",$F194="أحد الشركاء",AND($D194="",$E194="")),"",SUMPRODUCT(($A$4:$A194&lt;&gt;"")*($F$4:$F194&lt;&gt;"أحد الشركاء")*((($D$4:$D194&lt;&gt;"")+($E$4:$E194&lt;&gt;""))&gt;0)))</f>
        <v/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/>
      <c r="B195" s="26"/>
      <c r="C195" s="27"/>
      <c r="D195" s="28"/>
      <c r="E195" s="29"/>
      <c r="F195" s="30"/>
      <c r="G195" s="31"/>
      <c r="H195" s="32"/>
      <c r="I195" s="33"/>
      <c r="J195" s="34" t="str">
        <f>IF(AND(D195="",E195="",A195="",B195="",C195=""),"", IFERROR(IF(J194="",D2,J194),D2)+IF(E195="",0,E195)-IF(OR(G195="أبو اسحاق",G195="أبو آدم",G195="أبو اسحاق ",G195="أبو آدم "),0,IF(D195="",0,D195)))</f>
        <v/>
      </c>
      <c r="K195" s="35"/>
      <c r="L195" t="str">
        <f>IF(E194&gt;0,COUNTIF($E$4:E194,"&gt;0"),"")</f>
        <v/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 t="str">
        <f>IF(OR($A195="",$F195="أحد الشركاء",AND($D195="",$E195="")),"",SUMPRODUCT(($A$4:$A195&lt;&gt;"")*($F$4:$F195&lt;&gt;"أحد الشركاء")*((($D$4:$D195&lt;&gt;"")+($E$4:$E195&lt;&gt;""))&gt;0)))</f>
        <v/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139"/>
      <c r="B196" s="36"/>
      <c r="C196" s="37"/>
      <c r="D196" s="38"/>
      <c r="E196" s="39"/>
      <c r="F196" s="136"/>
      <c r="G196" s="40"/>
      <c r="H196" s="41"/>
      <c r="I196" s="42"/>
      <c r="J196" s="43" t="str">
        <f>IF(AND(D196="",E196="",A196="",B196="",C196=""),"", IFERROR(IF(J195="",D2,J195),D2)+IF(E196="",0,E196)-IF(OR(G196="أبو اسحاق",G196="أبو آدم",G196="أبو اسحاق ",G196="أبو آدم "),0,IF(D196="",0,D196)))</f>
        <v/>
      </c>
      <c r="K196" s="44"/>
      <c r="L196" t="str">
        <f>IF(E195&gt;0,COUNTIF($E$4:E195,"&gt;0"),"")</f>
        <v/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 t="str">
        <f>IF(OR($A196="",$F196="أحد الشركاء",AND($D196="",$E196="")),"",SUMPRODUCT(($A$4:$A196&lt;&gt;"")*($F$4:$F196&lt;&gt;"أحد الشركاء")*((($D$4:$D196&lt;&gt;"")+($E$4:$E196&lt;&gt;""))&gt;0)))</f>
        <v/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/>
      <c r="B197" s="26"/>
      <c r="C197" s="27"/>
      <c r="D197" s="28"/>
      <c r="E197" s="29"/>
      <c r="F197" s="30"/>
      <c r="G197" s="31"/>
      <c r="H197" s="32"/>
      <c r="I197" s="33"/>
      <c r="J197" s="34" t="str">
        <f>IF(AND(D197="",E197="",A197="",B197="",C197=""),"", IFERROR(IF(J196="",D2,J196),D2)+IF(E197="",0,E197)-IF(OR(G197="أبو اسحاق",G197="أبو آدم",G197="أبو اسحاق ",G197="أبو آدم "),0,IF(D197="",0,D197)))</f>
        <v/>
      </c>
      <c r="K197" s="35"/>
      <c r="L197" t="str">
        <f>IF(E196&gt;0,COUNTIF($E$4:E196,"&gt;0"),"")</f>
        <v/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 t="str">
        <f>IF(OR($A197="",$F197="أحد الشركاء",AND($D197="",$E197="")),"",SUMPRODUCT(($A$4:$A197&lt;&gt;"")*($F$4:$F197&lt;&gt;"أحد الشركاء")*((($D$4:$D197&lt;&gt;"")+($E$4:$E197&lt;&gt;""))&gt;0)))</f>
        <v/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139"/>
      <c r="B198" s="36"/>
      <c r="C198" s="37"/>
      <c r="D198" s="38"/>
      <c r="E198" s="39"/>
      <c r="F198" s="136"/>
      <c r="G198" s="40"/>
      <c r="H198" s="41"/>
      <c r="I198" s="42"/>
      <c r="J198" s="43" t="str">
        <f>IF(AND(D198="",E198="",A198="",B198="",C198=""),"", IFERROR(IF(J197="",D2,J197),D2)+IF(E198="",0,E198)-IF(OR(G198="أبو اسحاق",G198="أبو آدم",G198="أبو اسحاق ",G198="أبو آدم "),0,IF(D198="",0,D198)))</f>
        <v/>
      </c>
      <c r="K198" s="44"/>
      <c r="L198" t="str">
        <f>IF(E197&gt;0,COUNTIF($E$4:E197,"&gt;0"),"")</f>
        <v/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 t="str">
        <f>IF(OR($A198="",$F198="أحد الشركاء",AND($D198="",$E198="")),"",SUMPRODUCT(($A$4:$A198&lt;&gt;"")*($F$4:$F198&lt;&gt;"أحد الشركاء")*((($D$4:$D198&lt;&gt;"")+($E$4:$E198&lt;&gt;""))&gt;0)))</f>
        <v/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/>
      <c r="B199" s="26"/>
      <c r="C199" s="27"/>
      <c r="D199" s="28"/>
      <c r="E199" s="29"/>
      <c r="F199" s="30"/>
      <c r="G199" s="31"/>
      <c r="H199" s="32"/>
      <c r="I199" s="33"/>
      <c r="J199" s="34" t="str">
        <f>IF(AND(D199="",E199="",A199="",B199="",C199=""),"", IFERROR(IF(J198="",D2,J198),D2)+IF(E199="",0,E199)-IF(OR(G199="أبو اسحاق",G199="أبو آدم",G199="أبو اسحاق ",G199="أبو آدم "),0,IF(D199="",0,D199)))</f>
        <v/>
      </c>
      <c r="K199" s="35"/>
      <c r="L199" t="str">
        <f>IF(E198&gt;0,COUNTIF($E$4:E198,"&gt;0"),"")</f>
        <v/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 t="str">
        <f>IF(OR($A199="",$F199="أحد الشركاء",AND($D199="",$E199="")),"",SUMPRODUCT(($A$4:$A199&lt;&gt;"")*($F$4:$F199&lt;&gt;"أحد الشركاء")*((($D$4:$D199&lt;&gt;"")+($E$4:$E199&lt;&gt;""))&gt;0)))</f>
        <v/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/>
      <c r="B200" s="36"/>
      <c r="C200" s="37"/>
      <c r="D200" s="38"/>
      <c r="E200" s="39"/>
      <c r="F200" s="136"/>
      <c r="G200" s="40"/>
      <c r="H200" s="41"/>
      <c r="I200" s="42"/>
      <c r="J200" s="43" t="str">
        <f>IF(AND(D200="",E200="",A200="",B200="",C200=""),"", IFERROR(IF(J199="",D2,J199),D2)+IF(E200="",0,E200)-IF(OR(G200="أبو اسحاق",G200="أبو آدم",G200="أبو اسحاق ",G200="أبو آدم "),0,IF(D200="",0,D200)))</f>
        <v/>
      </c>
      <c r="K200" s="44"/>
      <c r="L200" t="str">
        <f>IF(E199&gt;0,COUNTIF($E$4:E199,"&gt;0"),"")</f>
        <v/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 t="str">
        <f>IF(OR($A200="",$F200="أحد الشركاء",AND($D200="",$E200="")),"",SUMPRODUCT(($A$4:$A200&lt;&gt;"")*($F$4:$F200&lt;&gt;"أحد الشركاء")*((($D$4:$D200&lt;&gt;"")+($E$4:$E200&lt;&gt;""))&gt;0)))</f>
        <v/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/>
      <c r="B201" s="26"/>
      <c r="C201" s="27"/>
      <c r="D201" s="28"/>
      <c r="E201" s="29"/>
      <c r="F201" s="30"/>
      <c r="G201" s="31"/>
      <c r="H201" s="32"/>
      <c r="I201" s="33"/>
      <c r="J201" s="34" t="str">
        <f>IF(AND(D201="",E201="",A201="",B201="",C201=""),"", IFERROR(IF(J200="",D2,J200),D2)+IF(E201="",0,E201)-IF(OR(G201="أبو اسحاق",G201="أبو آدم",G201="أبو اسحاق ",G201="أبو آدم "),0,IF(D201="",0,D201)))</f>
        <v/>
      </c>
      <c r="K201" s="35"/>
      <c r="L201" t="str">
        <f>IF(E200&gt;0,COUNTIF($E$4:E200,"&gt;0"),"")</f>
        <v/>
      </c>
      <c r="M201" t="str">
        <f>IF(AND(D200&gt;0,G200="المحفظة"),COUNTIFS($D$4:D200,"&gt;"&amp;0,$G$4:G200,"المحفظة"),"")</f>
        <v/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 t="str">
        <f>IF(OR($A201="",$F201="أحد الشركاء",AND($D201="",$E201="")),"",SUMPRODUCT(($A$4:$A201&lt;&gt;"")*($F$4:$F201&lt;&gt;"أحد الشركاء")*((($D$4:$D201&lt;&gt;"")+($E$4:$E201&lt;&gt;""))&gt;0)))</f>
        <v/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/>
      <c r="B202" s="36"/>
      <c r="C202" s="37"/>
      <c r="D202" s="38"/>
      <c r="E202" s="39"/>
      <c r="F202" s="136"/>
      <c r="G202" s="40"/>
      <c r="H202" s="41"/>
      <c r="I202" s="42"/>
      <c r="J202" s="43" t="str">
        <f>IF(AND(D202="",E202="",A202="",B202="",C202=""),"", IFERROR(IF(J201="",D2,J201),D2)+IF(E202="",0,E202)-IF(OR(G202="أبو اسحاق",G202="أبو آدم",G202="أبو اسحاق ",G202="أبو آدم "),0,IF(D202="",0,D202)))</f>
        <v/>
      </c>
      <c r="K202" s="44"/>
      <c r="L202" t="str">
        <f>IF(E201&gt;0,COUNTIF($E$4:E201,"&gt;0"),"")</f>
        <v/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 t="str">
        <f>IF(OR($A202="",$F202="أحد الشركاء",AND($D202="",$E202="")),"",SUMPRODUCT(($A$4:$A202&lt;&gt;"")*($F$4:$F202&lt;&gt;"أحد الشركاء")*((($D$4:$D202&lt;&gt;"")+($E$4:$E202&lt;&gt;""))&gt;0)))</f>
        <v/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25"/>
      <c r="B203" s="26"/>
      <c r="C203" s="27"/>
      <c r="D203" s="28"/>
      <c r="E203" s="29"/>
      <c r="F203" s="30"/>
      <c r="G203" s="31"/>
      <c r="H203" s="32"/>
      <c r="I203" s="33"/>
      <c r="J203" s="34" t="str">
        <f>IF(AND(D203="",E203="",A203="",B203="",C203=""),"", IFERROR(IF(J202="",D2,J202),D2)+IF(E203="",0,E203)-IF(OR(G203="أبو اسحاق",G203="أبو آدم",G203="أبو اسحاق ",G203="أبو آدم "),0,IF(D203="",0,D203)))</f>
        <v/>
      </c>
      <c r="K203" s="35"/>
      <c r="L203" t="str">
        <f>IF(E202&gt;0,COUNTIF($E$4:E202,"&gt;0"),"")</f>
        <v/>
      </c>
      <c r="M203" t="str">
        <f>IF(AND(D202&gt;0,G202="المحفظة"),COUNTIFS($D$4:D202,"&gt;"&amp;0,$G$4:G202,"المحفظة"),"")</f>
        <v/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 t="str">
        <f>IF(OR($A203="",$F203="أحد الشركاء",AND($D203="",$E203="")),"",SUMPRODUCT(($A$4:$A203&lt;&gt;"")*($F$4:$F203&lt;&gt;"أحد الشركاء")*((($D$4:$D203&lt;&gt;"")+($E$4:$E203&lt;&gt;""))&gt;0)))</f>
        <v/>
      </c>
      <c r="Q203" t="str">
        <f>IF(OR($A203="",$F203&lt;&gt;"أحد الشركاء"),"",COUNTIFS($A$4:A203,"&lt;&gt;",$F$4:F203,"أحد الشركاء"))</f>
        <v/>
      </c>
    </row>
    <row r="204" spans="1:17" ht="25.5" customHeight="1" x14ac:dyDescent="0.25">
      <c r="A204" s="162"/>
      <c r="B204" s="156"/>
      <c r="C204" s="157"/>
      <c r="D204" s="38"/>
      <c r="E204" s="39"/>
      <c r="F204" s="155"/>
      <c r="G204" s="156"/>
      <c r="H204" s="157"/>
      <c r="I204" s="42"/>
      <c r="J204" s="43" t="str">
        <f>IF(AND(D203="",E203="",A203="",B203="",C203=""),"", IFERROR(IF(J202="",D2,J202),D2)+IF(E203="",0,E203)-IF(D203="",0,D203))</f>
        <v/>
      </c>
      <c r="K204" s="44"/>
      <c r="L204" t="str">
        <f>IF(E203&gt;0,COUNTIF($E$4:E203,"&gt;0"),"")</f>
        <v/>
      </c>
      <c r="M204" t="str">
        <f>IF(AND(D203&gt;0,G203="المحفظة"),COUNTIFS($D$4:D203,"&gt;"&amp;0,$G$4:G203,"المحفظة"),"")</f>
        <v/>
      </c>
      <c r="N204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4" t="str">
        <f>IF(AND(D203&gt;0,F203="أحد الشركاء"),COUNTIFS($D$4:D203,"&gt;"&amp;0,$F$4:F203,"أحد الشركاء"),"")</f>
        <v/>
      </c>
      <c r="P204" t="str">
        <f>IF(OR($A204="",$F204="أحد الشركاء",AND($D204="",$E204="")),"",SUMPRODUCT(($A$4:$A204&lt;&gt;"")*($F$4:$F204&lt;&gt;"أحد الشركاء")*((($D$4:$D204&lt;&gt;"")+($E$4:$E204&lt;&gt;""))&gt;0)))</f>
        <v/>
      </c>
      <c r="Q204" t="str">
        <f>IF(OR($A204="",$F204&lt;&gt;"أحد الشركاء"),"",COUNTIFS($A$4:A204,"&lt;&gt;",$F$4:F204,"أحد الشركاء"))</f>
        <v/>
      </c>
    </row>
    <row r="205" spans="1:17" ht="15.75" customHeight="1" x14ac:dyDescent="0.25">
      <c r="A205" s="108" t="s">
        <v>215</v>
      </c>
      <c r="B205" s="137"/>
      <c r="C205" s="137"/>
      <c r="D205" s="46">
        <f>SUM(D4:D203)</f>
        <v>2133.2950000000001</v>
      </c>
      <c r="E205" s="46">
        <f>SUM(E4:E203)</f>
        <v>722.19</v>
      </c>
      <c r="F205" s="140">
        <f>COUNTIF(H4:H203,"معلق")</f>
        <v>11</v>
      </c>
      <c r="G205" s="137"/>
      <c r="H205" s="137"/>
      <c r="J205" s="46">
        <f>$D$2+E204-D204</f>
        <v>0</v>
      </c>
      <c r="N205" t="str">
        <f>IF(AND(OR('طباعة كشف الحساب'!$C$2="الكل",IFERROR(MONTH(A205),0)=IFERROR(MATCH('طباعة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الحساب'!$F$2="الكل",IFERROR(YEAR(A205),0)=IFERROR(VALUE('طباعة كشف الحساب'!$F$2),0)),A205&lt;&gt;""),IFERROR(MAX($N$4:N204),0)+1,"")</f>
        <v/>
      </c>
    </row>
    <row r="206" spans="1:17" ht="15" customHeight="1" x14ac:dyDescent="0.25">
      <c r="D206" s="47" t="s">
        <v>216</v>
      </c>
      <c r="E206" s="48" t="s">
        <v>217</v>
      </c>
      <c r="F206" s="49" t="s">
        <v>218</v>
      </c>
      <c r="J206" s="50" t="s">
        <v>219</v>
      </c>
    </row>
  </sheetData>
  <mergeCells count="5">
    <mergeCell ref="F204:H204"/>
    <mergeCell ref="A2:C2"/>
    <mergeCell ref="E2:K2"/>
    <mergeCell ref="A1:K1"/>
    <mergeCell ref="A204:C204"/>
  </mergeCells>
  <conditionalFormatting sqref="J4:J20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03">
    <cfRule type="expression" dxfId="3" priority="4">
      <formula>H4="معلق"</formula>
    </cfRule>
  </conditionalFormatting>
  <conditionalFormatting sqref="G4:G20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0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0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0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63" t="s">
        <v>220</v>
      </c>
      <c r="B1" s="156"/>
      <c r="C1" s="156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65" t="s">
        <v>236</v>
      </c>
      <c r="B1" s="156"/>
    </row>
    <row r="2" spans="1:2" ht="21.75" customHeight="1" x14ac:dyDescent="0.25">
      <c r="A2" s="164" t="s">
        <v>237</v>
      </c>
      <c r="B2" s="156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64" t="s">
        <v>242</v>
      </c>
      <c r="B5" s="156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64" t="s">
        <v>251</v>
      </c>
      <c r="B11" s="156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29" activePane="bottomLeft" state="frozen"/>
      <selection pane="bottomLeft" activeCell="A38" sqref="A38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1" t="s">
        <v>16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</row>
    <row r="2" spans="1:11" ht="24" customHeight="1" x14ac:dyDescent="0.25">
      <c r="A2" s="166"/>
      <c r="B2" s="156"/>
      <c r="C2" s="56" t="s">
        <v>318</v>
      </c>
      <c r="D2" s="166">
        <v>2026</v>
      </c>
      <c r="E2" s="156"/>
      <c r="F2" s="56" t="s">
        <v>257</v>
      </c>
      <c r="G2" s="169" t="s">
        <v>258</v>
      </c>
      <c r="H2" s="160"/>
      <c r="I2" s="160"/>
      <c r="J2" s="160"/>
      <c r="K2" s="160"/>
    </row>
    <row r="3" spans="1:11" ht="19.5" customHeight="1" x14ac:dyDescent="0.25">
      <c r="A3" s="170" t="s">
        <v>259</v>
      </c>
      <c r="B3" s="156"/>
      <c r="C3" s="156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260</v>
      </c>
      <c r="E4" s="58" t="s">
        <v>261</v>
      </c>
      <c r="F4" s="58" t="s">
        <v>262</v>
      </c>
      <c r="G4" s="58" t="s">
        <v>263</v>
      </c>
      <c r="H4" s="58" t="s">
        <v>264</v>
      </c>
      <c r="I4" s="58" t="s">
        <v>221</v>
      </c>
      <c r="J4" s="58" t="s">
        <v>265</v>
      </c>
      <c r="K4" s="58" t="s">
        <v>223</v>
      </c>
    </row>
    <row r="5" spans="1:11" ht="16.5" customHeight="1" x14ac:dyDescent="0.25">
      <c r="A5" s="139">
        <f>IFERROR(IF(IFERROR(MATCH(1,'كشف الحساب'!$N$4:$N$203,0),0)=0,"",INDEX('كشف الحساب'!$A$4:$A$203,IFERROR(MATCH(1,'كشف الحساب'!$N$4:$N$203,0),0))),"")</f>
        <v>46207</v>
      </c>
      <c r="B5" s="59">
        <f>IFERROR(IF(IFERROR(MATCH(1,'كشف الحساب'!$N$4:$N$203,0),0)=0,"",INDEX('كشف الحساب'!$B$4:$B$203,IFERROR(MATCH(1,'كشف الحساب'!$N$4:$N$203,0),0))),"")</f>
        <v>0</v>
      </c>
      <c r="C5" s="37" t="str">
        <f>IFERROR(IF(IFERROR(MATCH(1,'كشف الحساب'!$N$4:$N$203,0),0)=0,"",INDEX('كشف الحساب'!$C$4:$C$203,IFERROR(MATCH(1,'كشف الحساب'!$N$4:$N$203,0),0))),"")</f>
        <v>احواض عدد 1000 مقاس 14 سم</v>
      </c>
      <c r="D5" s="38">
        <f>IFERROR(IF(IFERROR(MATCH(1,'كشف الحساب'!$N$4:$N$203,0),0)=0,"",INDEX('كشف الحساب'!$D$4:$D$203,IFERROR(MATCH(1,'كشف الحساب'!$N$4:$N$203,0),0))),"")</f>
        <v>20</v>
      </c>
      <c r="E5" s="60">
        <f>IFERROR(IF(IFERROR(MATCH(1,'كشف الحساب'!$N$4:$N$203,0),0)=0,"",INDEX('كشف الحساب'!$E$4:$E$203,IFERROR(MATCH(1,'كشف الحساب'!$N$4:$N$203,0),0))),"")</f>
        <v>0</v>
      </c>
      <c r="F5" s="59" t="str">
        <f>IFERROR(IF(IFERROR(MATCH(1,'كشف الحساب'!$N$4:$N$203,0),0)=0,"",INDEX('كشف الحساب'!$F$4:$F$203,IFERROR(MATCH(1,'كشف الحساب'!$N$4:$N$203,0),0))),"")</f>
        <v>نقداً</v>
      </c>
      <c r="G5" s="59" t="str">
        <f>IFERROR(IF(IFERROR(MATCH(1,'كشف الحساب'!$N$4:$N$203,0),0)=0,"",INDEX('كشف الحساب'!$G$4:$G$203,IFERROR(MATCH(1,'كشف الحساب'!$N$4:$N$203,0),0))),"")</f>
        <v>المحفظة</v>
      </c>
      <c r="H5" s="59" t="str">
        <f>IFERROR(IF(IFERROR(MATCH(1,'كشف الحساب'!$N$4:$N$203,0),0)=0,"",INDEX('كشف الحساب'!$H$4:$H$203,IFERROR(MATCH(1,'كشف الحساب'!$N$4:$N$203,0),0))),"")</f>
        <v>تم الدفع</v>
      </c>
      <c r="I5" s="59">
        <f>IFERROR(IF(IFERROR(MATCH(1,'كشف الحساب'!$N$4:$N$203,0),0)=0,"",INDEX('كشف الحساب'!$I$4:$I$203,IFERROR(MATCH(1,'كشف الحساب'!$N$4:$N$203,0),0))),"")</f>
        <v>0</v>
      </c>
      <c r="J5" s="43">
        <f>IFERROR(IF(IFERROR(MATCH(1,'كشف الحساب'!$N$4:$N$203,0),0)=0,"",INDEX('كشف الحساب'!$J$4:$J$203,IFERROR(MATCH(1,'كشف الحساب'!$N$4:$N$203,0),0))),"")</f>
        <v>5.0500000000000114</v>
      </c>
      <c r="K5" s="59">
        <f>IFERROR(IF(IFERROR(MATCH(1,'كشف الحساب'!$N$4:$N$203,0),0)=0,"",INDEX('كشف الحساب'!$K$4:$K$203,IFERROR(MATCH(1,'كشف الحساب'!$N$4:$N$203,0),0))),"")</f>
        <v>0</v>
      </c>
    </row>
    <row r="6" spans="1:11" ht="16.5" customHeight="1" x14ac:dyDescent="0.25">
      <c r="A6" s="25">
        <f>IFERROR(IF(IFERROR(MATCH(2,'كشف الحساب'!$N$4:$N$203,0),0)=0,"",INDEX('كشف الحساب'!$A$4:$A$203,IFERROR(MATCH(2,'كشف الحساب'!$N$4:$N$203,0),0))),"")</f>
        <v>46206</v>
      </c>
      <c r="B6" s="61" t="str">
        <f>IFERROR(IF(IFERROR(MATCH(2,'كشف الحساب'!$N$4:$N$203,0),0)=0,"",INDEX('كشف الحساب'!$B$4:$B$203,IFERROR(MATCH(2,'كشف الحساب'!$N$4:$N$203,0),0))),"")</f>
        <v>Inv-82</v>
      </c>
      <c r="C6" s="27" t="str">
        <f>IFERROR(IF(IFERROR(MATCH(2,'كشف الحساب'!$N$4:$N$203,0),0)=0,"",INDEX('كشف الحساب'!$C$4:$C$203,IFERROR(MATCH(2,'كشف الحساب'!$N$4:$N$203,0),0))),"")</f>
        <v>دارسينا عدد 1 بقيمه 2.500</v>
      </c>
      <c r="D6" s="28">
        <f>IFERROR(IF(IFERROR(MATCH(2,'كشف الحساب'!$N$4:$N$203,0),0)=0,"",INDEX('كشف الحساب'!$D$4:$D$203,IFERROR(MATCH(2,'كشف الحساب'!$N$4:$N$203,0),0))),"")</f>
        <v>0</v>
      </c>
      <c r="E6" s="62">
        <f>IFERROR(IF(IFERROR(MATCH(2,'كشف الحساب'!$N$4:$N$203,0),0)=0,"",INDEX('كشف الحساب'!$E$4:$E$203,IFERROR(MATCH(2,'كشف الحساب'!$N$4:$N$203,0),0))),"")</f>
        <v>2.5</v>
      </c>
      <c r="F6" s="61" t="str">
        <f>IFERROR(IF(IFERROR(MATCH(2,'كشف الحساب'!$N$4:$N$203,0),0)=0,"",INDEX('كشف الحساب'!$F$4:$F$203,IFERROR(MATCH(2,'كشف الحساب'!$N$4:$N$203,0),0))),"")</f>
        <v>أون لاين</v>
      </c>
      <c r="G6" s="61">
        <f>IFERROR(IF(IFERROR(MATCH(2,'كشف الحساب'!$N$4:$N$203,0),0)=0,"",INDEX('كشف الحساب'!$G$4:$G$203,IFERROR(MATCH(2,'كشف الحساب'!$N$4:$N$203,0),0))),"")</f>
        <v>0</v>
      </c>
      <c r="H6" s="61" t="str">
        <f>IFERROR(IF(IFERROR(MATCH(2,'كشف الحساب'!$N$4:$N$203,0),0)=0,"",INDEX('كشف الحساب'!$H$4:$H$203,IFERROR(MATCH(2,'كشف الحساب'!$N$4:$N$203,0),0))),"")</f>
        <v>تم الدفع</v>
      </c>
      <c r="I6" s="61">
        <f>IFERROR(IF(IFERROR(MATCH(2,'كشف الحساب'!$N$4:$N$203,0),0)=0,"",INDEX('كشف الحساب'!$I$4:$I$203,IFERROR(MATCH(2,'كشف الحساب'!$N$4:$N$203,0),0))),"")</f>
        <v>0</v>
      </c>
      <c r="J6" s="34">
        <f>IFERROR(IF(IFERROR(MATCH(2,'كشف الحساب'!$N$4:$N$203,0),0)=0,"",INDEX('كشف الحساب'!$J$4:$J$203,IFERROR(MATCH(2,'كشف الحساب'!$N$4:$N$203,0),0))),"")</f>
        <v>7.5500000000000114</v>
      </c>
      <c r="K6" s="61">
        <f>IFERROR(IF(IFERROR(MATCH(2,'كشف الحساب'!$N$4:$N$203,0),0)=0,"",INDEX('كشف الحساب'!$K$4:$K$203,IFERROR(MATCH(2,'كشف الحساب'!$N$4:$N$203,0),0))),"")</f>
        <v>0</v>
      </c>
    </row>
    <row r="7" spans="1:11" ht="16.5" customHeight="1" x14ac:dyDescent="0.25">
      <c r="A7" s="139">
        <f>IFERROR(IF(IFERROR(MATCH(3,'كشف الحساب'!$N$4:$N$203,0),0)=0,"",INDEX('كشف الحساب'!$A$4:$A$203,IFERROR(MATCH(3,'كشف الحساب'!$N$4:$N$203,0),0))),"")</f>
        <v>46207</v>
      </c>
      <c r="B7" s="59" t="str">
        <f>IFERROR(IF(IFERROR(MATCH(3,'كشف الحساب'!$N$4:$N$203,0),0)=0,"",INDEX('كشف الحساب'!$B$4:$B$203,IFERROR(MATCH(3,'كشف الحساب'!$N$4:$N$203,0),0))),"")</f>
        <v>Inv-83</v>
      </c>
      <c r="C7" s="37" t="str">
        <f>IFERROR(IF(IFERROR(MATCH(3,'كشف الحساب'!$N$4:$N$203,0),0)=0,"",INDEX('كشف الحساب'!$C$4:$C$203,IFERROR(MATCH(3,'كشف الحساب'!$N$4:$N$203,0),0))),"")</f>
        <v>ودليه عدد13 الحبه 1</v>
      </c>
      <c r="D7" s="38">
        <f>IFERROR(IF(IFERROR(MATCH(3,'كشف الحساب'!$N$4:$N$203,0),0)=0,"",INDEX('كشف الحساب'!$D$4:$D$203,IFERROR(MATCH(3,'كشف الحساب'!$N$4:$N$203,0),0))),"")</f>
        <v>0</v>
      </c>
      <c r="E7" s="60">
        <f>IFERROR(IF(IFERROR(MATCH(3,'كشف الحساب'!$N$4:$N$203,0),0)=0,"",INDEX('كشف الحساب'!$E$4:$E$203,IFERROR(MATCH(3,'كشف الحساب'!$N$4:$N$203,0),0))),"")</f>
        <v>13</v>
      </c>
      <c r="F7" s="59" t="str">
        <f>IFERROR(IF(IFERROR(MATCH(3,'كشف الحساب'!$N$4:$N$203,0),0)=0,"",INDEX('كشف الحساب'!$F$4:$F$203,IFERROR(MATCH(3,'كشف الحساب'!$N$4:$N$203,0),0))),"")</f>
        <v>نقداً</v>
      </c>
      <c r="G7" s="59">
        <f>IFERROR(IF(IFERROR(MATCH(3,'كشف الحساب'!$N$4:$N$203,0),0)=0,"",INDEX('كشف الحساب'!$G$4:$G$203,IFERROR(MATCH(3,'كشف الحساب'!$N$4:$N$203,0),0))),"")</f>
        <v>0</v>
      </c>
      <c r="H7" s="59" t="str">
        <f>IFERROR(IF(IFERROR(MATCH(3,'كشف الحساب'!$N$4:$N$203,0),0)=0,"",INDEX('كشف الحساب'!$H$4:$H$203,IFERROR(MATCH(3,'كشف الحساب'!$N$4:$N$203,0),0))),"")</f>
        <v>تم الدفع</v>
      </c>
      <c r="I7" s="59">
        <f>IFERROR(IF(IFERROR(MATCH(3,'كشف الحساب'!$N$4:$N$203,0),0)=0,"",INDEX('كشف الحساب'!$I$4:$I$203,IFERROR(MATCH(3,'كشف الحساب'!$N$4:$N$203,0),0))),"")</f>
        <v>0</v>
      </c>
      <c r="J7" s="43">
        <f>IFERROR(IF(IFERROR(MATCH(3,'كشف الحساب'!$N$4:$N$203,0),0)=0,"",INDEX('كشف الحساب'!$J$4:$J$203,IFERROR(MATCH(3,'كشف الحساب'!$N$4:$N$203,0),0))),"")</f>
        <v>20.550000000000011</v>
      </c>
      <c r="K7" s="59">
        <f>IFERROR(IF(IFERROR(MATCH(3,'كشف الحساب'!$N$4:$N$203,0),0)=0,"",INDEX('كشف الحساب'!$K$4:$K$203,IFERROR(MATCH(3,'كشف الحساب'!$N$4:$N$203,0),0))),"")</f>
        <v>0</v>
      </c>
    </row>
    <row r="8" spans="1:11" ht="16.5" customHeight="1" x14ac:dyDescent="0.25">
      <c r="A8" s="25">
        <f>IFERROR(IF(IFERROR(MATCH(4,'كشف الحساب'!$N$4:$N$203,0),0)=0,"",INDEX('كشف الحساب'!$A$4:$A$203,IFERROR(MATCH(4,'كشف الحساب'!$N$4:$N$203,0),0))),"")</f>
        <v>46207</v>
      </c>
      <c r="B8" s="61" t="str">
        <f>IFERROR(IF(IFERROR(MATCH(4,'كشف الحساب'!$N$4:$N$203,0),0)=0,"",INDEX('كشف الحساب'!$B$4:$B$203,IFERROR(MATCH(4,'كشف الحساب'!$N$4:$N$203,0),0))),"")</f>
        <v>Inv-84</v>
      </c>
      <c r="C8" s="27" t="str">
        <f>IFERROR(IF(IFERROR(MATCH(4,'كشف الحساب'!$N$4:$N$203,0),0)=0,"",INDEX('كشف الحساب'!$C$4:$C$203,IFERROR(MATCH(4,'كشف الحساب'!$N$4:$N$203,0),0))),"")</f>
        <v>معلقات عدد 4 الحبه 2</v>
      </c>
      <c r="D8" s="28">
        <f>IFERROR(IF(IFERROR(MATCH(4,'كشف الحساب'!$N$4:$N$203,0),0)=0,"",INDEX('كشف الحساب'!$D$4:$D$203,IFERROR(MATCH(4,'كشف الحساب'!$N$4:$N$203,0),0))),"")</f>
        <v>0</v>
      </c>
      <c r="E8" s="62">
        <f>IFERROR(IF(IFERROR(MATCH(4,'كشف الحساب'!$N$4:$N$203,0),0)=0,"",INDEX('كشف الحساب'!$E$4:$E$203,IFERROR(MATCH(4,'كشف الحساب'!$N$4:$N$203,0),0))),"")</f>
        <v>8</v>
      </c>
      <c r="F8" s="61" t="str">
        <f>IFERROR(IF(IFERROR(MATCH(4,'كشف الحساب'!$N$4:$N$203,0),0)=0,"",INDEX('كشف الحساب'!$F$4:$F$203,IFERROR(MATCH(4,'كشف الحساب'!$N$4:$N$203,0),0))),"")</f>
        <v>نقداً</v>
      </c>
      <c r="G8" s="61">
        <f>IFERROR(IF(IFERROR(MATCH(4,'كشف الحساب'!$N$4:$N$203,0),0)=0,"",INDEX('كشف الحساب'!$G$4:$G$203,IFERROR(MATCH(4,'كشف الحساب'!$N$4:$N$203,0),0))),"")</f>
        <v>0</v>
      </c>
      <c r="H8" s="61" t="str">
        <f>IFERROR(IF(IFERROR(MATCH(4,'كشف الحساب'!$N$4:$N$203,0),0)=0,"",INDEX('كشف الحساب'!$H$4:$H$203,IFERROR(MATCH(4,'كشف الحساب'!$N$4:$N$203,0),0))),"")</f>
        <v>تم الدفع</v>
      </c>
      <c r="I8" s="61">
        <f>IFERROR(IF(IFERROR(MATCH(4,'كشف الحساب'!$N$4:$N$203,0),0)=0,"",INDEX('كشف الحساب'!$I$4:$I$203,IFERROR(MATCH(4,'كشف الحساب'!$N$4:$N$203,0),0))),"")</f>
        <v>0</v>
      </c>
      <c r="J8" s="34">
        <f>IFERROR(IF(IFERROR(MATCH(4,'كشف الحساب'!$N$4:$N$203,0),0)=0,"",INDEX('كشف الحساب'!$J$4:$J$203,IFERROR(MATCH(4,'كشف الحساب'!$N$4:$N$203,0),0))),"")</f>
        <v>28.550000000000011</v>
      </c>
      <c r="K8" s="61">
        <f>IFERROR(IF(IFERROR(MATCH(4,'كشف الحساب'!$N$4:$N$203,0),0)=0,"",INDEX('كشف الحساب'!$K$4:$K$203,IFERROR(MATCH(4,'كشف الحساب'!$N$4:$N$203,0),0))),"")</f>
        <v>0</v>
      </c>
    </row>
    <row r="9" spans="1:11" ht="16.5" customHeight="1" x14ac:dyDescent="0.25">
      <c r="A9" s="139">
        <f>IFERROR(IF(IFERROR(MATCH(5,'كشف الحساب'!$N$4:$N$203,0),0)=0,"",INDEX('كشف الحساب'!$A$4:$A$203,IFERROR(MATCH(5,'كشف الحساب'!$N$4:$N$203,0),0))),"")</f>
        <v>46211</v>
      </c>
      <c r="B9" s="59" t="str">
        <f>IFERROR(IF(IFERROR(MATCH(5,'كشف الحساب'!$N$4:$N$203,0),0)=0,"",INDEX('كشف الحساب'!$B$4:$B$203,IFERROR(MATCH(5,'كشف الحساب'!$N$4:$N$203,0),0))),"")</f>
        <v>Inv-85</v>
      </c>
      <c r="C9" s="37" t="str">
        <f>IFERROR(IF(IFERROR(MATCH(5,'كشف الحساب'!$N$4:$N$203,0),0)=0,"",INDEX('كشف الحساب'!$C$4:$C$203,IFERROR(MATCH(5,'كشف الحساب'!$N$4:$N$203,0),0))),"")</f>
        <v>عطريات عدد8 الحبه 1</v>
      </c>
      <c r="D9" s="38">
        <f>IFERROR(IF(IFERROR(MATCH(5,'كشف الحساب'!$N$4:$N$203,0),0)=0,"",INDEX('كشف الحساب'!$D$4:$D$203,IFERROR(MATCH(5,'كشف الحساب'!$N$4:$N$203,0),0))),"")</f>
        <v>0</v>
      </c>
      <c r="E9" s="60">
        <f>IFERROR(IF(IFERROR(MATCH(5,'كشف الحساب'!$N$4:$N$203,0),0)=0,"",INDEX('كشف الحساب'!$E$4:$E$203,IFERROR(MATCH(5,'كشف الحساب'!$N$4:$N$203,0),0))),"")</f>
        <v>8</v>
      </c>
      <c r="F9" s="59" t="str">
        <f>IFERROR(IF(IFERROR(MATCH(5,'كشف الحساب'!$N$4:$N$203,0),0)=0,"",INDEX('كشف الحساب'!$F$4:$F$203,IFERROR(MATCH(5,'كشف الحساب'!$N$4:$N$203,0),0))),"")</f>
        <v>أون لاين</v>
      </c>
      <c r="G9" s="59">
        <f>IFERROR(IF(IFERROR(MATCH(5,'كشف الحساب'!$N$4:$N$203,0),0)=0,"",INDEX('كشف الحساب'!$G$4:$G$203,IFERROR(MATCH(5,'كشف الحساب'!$N$4:$N$203,0),0))),"")</f>
        <v>0</v>
      </c>
      <c r="H9" s="59" t="str">
        <f>IFERROR(IF(IFERROR(MATCH(5,'كشف الحساب'!$N$4:$N$203,0),0)=0,"",INDEX('كشف الحساب'!$H$4:$H$203,IFERROR(MATCH(5,'كشف الحساب'!$N$4:$N$203,0),0))),"")</f>
        <v>تم الدفع</v>
      </c>
      <c r="I9" s="59">
        <f>IFERROR(IF(IFERROR(MATCH(5,'كشف الحساب'!$N$4:$N$203,0),0)=0,"",INDEX('كشف الحساب'!$I$4:$I$203,IFERROR(MATCH(5,'كشف الحساب'!$N$4:$N$203,0),0))),"")</f>
        <v>0</v>
      </c>
      <c r="J9" s="43">
        <f>IFERROR(IF(IFERROR(MATCH(5,'كشف الحساب'!$N$4:$N$203,0),0)=0,"",INDEX('كشف الحساب'!$J$4:$J$203,IFERROR(MATCH(5,'كشف الحساب'!$N$4:$N$203,0),0))),"")</f>
        <v>36.550000000000011</v>
      </c>
      <c r="K9" s="59">
        <f>IFERROR(IF(IFERROR(MATCH(5,'كشف الحساب'!$N$4:$N$203,0),0)=0,"",INDEX('كشف الحساب'!$K$4:$K$203,IFERROR(MATCH(5,'كشف الحساب'!$N$4:$N$203,0),0))),"")</f>
        <v>0</v>
      </c>
    </row>
    <row r="10" spans="1:11" ht="16.5" customHeight="1" x14ac:dyDescent="0.25">
      <c r="A10" s="25">
        <f>IFERROR(IF(IFERROR(MATCH(6,'كشف الحساب'!$N$4:$N$203,0),0)=0,"",INDEX('كشف الحساب'!$A$4:$A$203,IFERROR(MATCH(6,'كشف الحساب'!$N$4:$N$203,0),0))),"")</f>
        <v>46211</v>
      </c>
      <c r="B10" s="61" t="str">
        <f>IFERROR(IF(IFERROR(MATCH(6,'كشف الحساب'!$N$4:$N$203,0),0)=0,"",INDEX('كشف الحساب'!$B$4:$B$203,IFERROR(MATCH(6,'كشف الحساب'!$N$4:$N$203,0),0))),"")</f>
        <v>Inv-86</v>
      </c>
      <c r="C10" s="27" t="str">
        <f>IFERROR(IF(IFERROR(MATCH(6,'كشف الحساب'!$N$4:$N$203,0),0)=0,"",INDEX('كشف الحساب'!$C$4:$C$203,IFERROR(MATCH(6,'كشف الحساب'!$N$4:$N$203,0),0))),"")</f>
        <v>دارسينا سوداء عدد 12 الحبه 2</v>
      </c>
      <c r="D10" s="28">
        <f>IFERROR(IF(IFERROR(MATCH(6,'كشف الحساب'!$N$4:$N$203,0),0)=0,"",INDEX('كشف الحساب'!$D$4:$D$203,IFERROR(MATCH(6,'كشف الحساب'!$N$4:$N$203,0),0))),"")</f>
        <v>0</v>
      </c>
      <c r="E10" s="62">
        <f>IFERROR(IF(IFERROR(MATCH(6,'كشف الحساب'!$N$4:$N$203,0),0)=0,"",INDEX('كشف الحساب'!$E$4:$E$203,IFERROR(MATCH(6,'كشف الحساب'!$N$4:$N$203,0),0))),"")</f>
        <v>24</v>
      </c>
      <c r="F10" s="61" t="str">
        <f>IFERROR(IF(IFERROR(MATCH(6,'كشف الحساب'!$N$4:$N$203,0),0)=0,"",INDEX('كشف الحساب'!$F$4:$F$203,IFERROR(MATCH(6,'كشف الحساب'!$N$4:$N$203,0),0))),"")</f>
        <v>أون لاين</v>
      </c>
      <c r="G10" s="61">
        <f>IFERROR(IF(IFERROR(MATCH(6,'كشف الحساب'!$N$4:$N$203,0),0)=0,"",INDEX('كشف الحساب'!$G$4:$G$203,IFERROR(MATCH(6,'كشف الحساب'!$N$4:$N$203,0),0))),"")</f>
        <v>0</v>
      </c>
      <c r="H10" s="61" t="str">
        <f>IFERROR(IF(IFERROR(MATCH(6,'كشف الحساب'!$N$4:$N$203,0),0)=0,"",INDEX('كشف الحساب'!$H$4:$H$203,IFERROR(MATCH(6,'كشف الحساب'!$N$4:$N$203,0),0))),"")</f>
        <v>تم الدفع</v>
      </c>
      <c r="I10" s="61">
        <f>IFERROR(IF(IFERROR(MATCH(6,'كشف الحساب'!$N$4:$N$203,0),0)=0,"",INDEX('كشف الحساب'!$I$4:$I$203,IFERROR(MATCH(6,'كشف الحساب'!$N$4:$N$203,0),0))),"")</f>
        <v>0</v>
      </c>
      <c r="J10" s="34">
        <f>IFERROR(IF(IFERROR(MATCH(6,'كشف الحساب'!$N$4:$N$203,0),0)=0,"",INDEX('كشف الحساب'!$J$4:$J$203,IFERROR(MATCH(6,'كشف الحساب'!$N$4:$N$203,0),0))),"")</f>
        <v>60.550000000000011</v>
      </c>
      <c r="K10" s="61">
        <f>IFERROR(IF(IFERROR(MATCH(6,'كشف الحساب'!$N$4:$N$203,0),0)=0,"",INDEX('كشف الحساب'!$K$4:$K$203,IFERROR(MATCH(6,'كشف الحساب'!$N$4:$N$203,0),0))),"")</f>
        <v>0</v>
      </c>
    </row>
    <row r="11" spans="1:11" ht="16.5" customHeight="1" x14ac:dyDescent="0.25">
      <c r="A11" s="139">
        <f>IFERROR(IF(IFERROR(MATCH(7,'كشف الحساب'!$N$4:$N$203,0),0)=0,"",INDEX('كشف الحساب'!$A$4:$A$203,IFERROR(MATCH(7,'كشف الحساب'!$N$4:$N$203,0),0))),"")</f>
        <v>46211</v>
      </c>
      <c r="B11" s="59" t="str">
        <f>IFERROR(IF(IFERROR(MATCH(7,'كشف الحساب'!$N$4:$N$203,0),0)=0,"",INDEX('كشف الحساب'!$B$4:$B$203,IFERROR(MATCH(7,'كشف الحساب'!$N$4:$N$203,0),0))),"")</f>
        <v>Inv-87</v>
      </c>
      <c r="C11" s="37" t="str">
        <f>IFERROR(IF(IFERROR(MATCH(7,'كشف الحساب'!$N$4:$N$203,0),0)=0,"",INDEX('كشف الحساب'!$C$4:$C$203,IFERROR(MATCH(7,'كشف الحساب'!$N$4:$N$203,0),0))),"")</f>
        <v>عطريات عدد 8 الحبه 1</v>
      </c>
      <c r="D11" s="38">
        <f>IFERROR(IF(IFERROR(MATCH(7,'كشف الحساب'!$N$4:$N$203,0),0)=0,"",INDEX('كشف الحساب'!$D$4:$D$203,IFERROR(MATCH(7,'كشف الحساب'!$N$4:$N$203,0),0))),"")</f>
        <v>0</v>
      </c>
      <c r="E11" s="60">
        <f>IFERROR(IF(IFERROR(MATCH(7,'كشف الحساب'!$N$4:$N$203,0),0)=0,"",INDEX('كشف الحساب'!$E$4:$E$203,IFERROR(MATCH(7,'كشف الحساب'!$N$4:$N$203,0),0))),"")</f>
        <v>8</v>
      </c>
      <c r="F11" s="59" t="str">
        <f>IFERROR(IF(IFERROR(MATCH(7,'كشف الحساب'!$N$4:$N$203,0),0)=0,"",INDEX('كشف الحساب'!$F$4:$F$203,IFERROR(MATCH(7,'كشف الحساب'!$N$4:$N$203,0),0))),"")</f>
        <v>أون لاين</v>
      </c>
      <c r="G11" s="59">
        <f>IFERROR(IF(IFERROR(MATCH(7,'كشف الحساب'!$N$4:$N$203,0),0)=0,"",INDEX('كشف الحساب'!$G$4:$G$203,IFERROR(MATCH(7,'كشف الحساب'!$N$4:$N$203,0),0))),"")</f>
        <v>0</v>
      </c>
      <c r="H11" s="59" t="str">
        <f>IFERROR(IF(IFERROR(MATCH(7,'كشف الحساب'!$N$4:$N$203,0),0)=0,"",INDEX('كشف الحساب'!$H$4:$H$203,IFERROR(MATCH(7,'كشف الحساب'!$N$4:$N$203,0),0))),"")</f>
        <v>تم الدفع</v>
      </c>
      <c r="I11" s="59">
        <f>IFERROR(IF(IFERROR(MATCH(7,'كشف الحساب'!$N$4:$N$203,0),0)=0,"",INDEX('كشف الحساب'!$I$4:$I$203,IFERROR(MATCH(7,'كشف الحساب'!$N$4:$N$203,0),0))),"")</f>
        <v>0</v>
      </c>
      <c r="J11" s="43">
        <f>IFERROR(IF(IFERROR(MATCH(7,'كشف الحساب'!$N$4:$N$203,0),0)=0,"",INDEX('كشف الحساب'!$J$4:$J$203,IFERROR(MATCH(7,'كشف الحساب'!$N$4:$N$203,0),0))),"")</f>
        <v>68.550000000000011</v>
      </c>
      <c r="K11" s="59">
        <f>IFERROR(IF(IFERROR(MATCH(7,'كشف الحساب'!$N$4:$N$203,0),0)=0,"",INDEX('كشف الحساب'!$K$4:$K$203,IFERROR(MATCH(7,'كشف الحساب'!$N$4:$N$203,0),0))),"")</f>
        <v>0</v>
      </c>
    </row>
    <row r="12" spans="1:11" ht="16.5" customHeight="1" x14ac:dyDescent="0.25">
      <c r="A12" s="25">
        <f>IFERROR(IF(IFERROR(MATCH(8,'كشف الحساب'!$N$4:$N$203,0),0)=0,"",INDEX('كشف الحساب'!$A$4:$A$203,IFERROR(MATCH(8,'كشف الحساب'!$N$4:$N$203,0),0))),"")</f>
        <v>46212</v>
      </c>
      <c r="B12" s="61" t="str">
        <f>IFERROR(IF(IFERROR(MATCH(8,'كشف الحساب'!$N$4:$N$203,0),0)=0,"",INDEX('كشف الحساب'!$B$4:$B$203,IFERROR(MATCH(8,'كشف الحساب'!$N$4:$N$203,0),0))),"")</f>
        <v>Inv-88</v>
      </c>
      <c r="C12" s="27" t="str">
        <f>IFERROR(IF(IFERROR(MATCH(8,'كشف الحساب'!$N$4:$N$203,0),0)=0,"",INDEX('كشف الحساب'!$C$4:$C$203,IFERROR(MATCH(8,'كشف الحساب'!$N$4:$N$203,0),0))),"")</f>
        <v>دارسنا عدد1 الحبه 5</v>
      </c>
      <c r="D12" s="28">
        <f>IFERROR(IF(IFERROR(MATCH(8,'كشف الحساب'!$N$4:$N$203,0),0)=0,"",INDEX('كشف الحساب'!$D$4:$D$203,IFERROR(MATCH(8,'كشف الحساب'!$N$4:$N$203,0),0))),"")</f>
        <v>0</v>
      </c>
      <c r="E12" s="62">
        <f>IFERROR(IF(IFERROR(MATCH(8,'كشف الحساب'!$N$4:$N$203,0),0)=0,"",INDEX('كشف الحساب'!$E$4:$E$203,IFERROR(MATCH(8,'كشف الحساب'!$N$4:$N$203,0),0))),"")</f>
        <v>5</v>
      </c>
      <c r="F12" s="61" t="str">
        <f>IFERROR(IF(IFERROR(MATCH(8,'كشف الحساب'!$N$4:$N$203,0),0)=0,"",INDEX('كشف الحساب'!$F$4:$F$203,IFERROR(MATCH(8,'كشف الحساب'!$N$4:$N$203,0),0))),"")</f>
        <v>أون لاين</v>
      </c>
      <c r="G12" s="61">
        <f>IFERROR(IF(IFERROR(MATCH(8,'كشف الحساب'!$N$4:$N$203,0),0)=0,"",INDEX('كشف الحساب'!$G$4:$G$203,IFERROR(MATCH(8,'كشف الحساب'!$N$4:$N$203,0),0))),"")</f>
        <v>0</v>
      </c>
      <c r="H12" s="61" t="str">
        <f>IFERROR(IF(IFERROR(MATCH(8,'كشف الحساب'!$N$4:$N$203,0),0)=0,"",INDEX('كشف الحساب'!$H$4:$H$203,IFERROR(MATCH(8,'كشف الحساب'!$N$4:$N$203,0),0))),"")</f>
        <v>تم الدفع</v>
      </c>
      <c r="I12" s="61">
        <f>IFERROR(IF(IFERROR(MATCH(8,'كشف الحساب'!$N$4:$N$203,0),0)=0,"",INDEX('كشف الحساب'!$I$4:$I$203,IFERROR(MATCH(8,'كشف الحساب'!$N$4:$N$203,0),0))),"")</f>
        <v>0</v>
      </c>
      <c r="J12" s="34">
        <f>IFERROR(IF(IFERROR(MATCH(8,'كشف الحساب'!$N$4:$N$203,0),0)=0,"",INDEX('كشف الحساب'!$J$4:$J$203,IFERROR(MATCH(8,'كشف الحساب'!$N$4:$N$203,0),0))),"")</f>
        <v>73.550000000000011</v>
      </c>
      <c r="K12" s="61">
        <f>IFERROR(IF(IFERROR(MATCH(8,'كشف الحساب'!$N$4:$N$203,0),0)=0,"",INDEX('كشف الحساب'!$K$4:$K$203,IFERROR(MATCH(8,'كشف الحساب'!$N$4:$N$203,0),0))),"")</f>
        <v>0</v>
      </c>
    </row>
    <row r="13" spans="1:11" ht="16.5" customHeight="1" x14ac:dyDescent="0.25">
      <c r="A13" s="139">
        <f>IFERROR(IF(IFERROR(MATCH(9,'كشف الحساب'!$N$4:$N$203,0),0)=0,"",INDEX('كشف الحساب'!$A$4:$A$203,IFERROR(MATCH(9,'كشف الحساب'!$N$4:$N$203,0),0))),"")</f>
        <v>46212</v>
      </c>
      <c r="B13" s="59" t="str">
        <f>IFERROR(IF(IFERROR(MATCH(9,'كشف الحساب'!$N$4:$N$203,0),0)=0,"",INDEX('كشف الحساب'!$B$4:$B$203,IFERROR(MATCH(9,'كشف الحساب'!$N$4:$N$203,0),0))),"")</f>
        <v>Inv-89</v>
      </c>
      <c r="C13" s="37" t="str">
        <f>IFERROR(IF(IFERROR(MATCH(9,'كشف الحساب'!$N$4:$N$203,0),0)=0,"",INDEX('كشف الحساب'!$C$4:$C$203,IFERROR(MATCH(9,'كشف الحساب'!$N$4:$N$203,0),0))),"")</f>
        <v>فل عدد1 الحبه .750</v>
      </c>
      <c r="D13" s="38">
        <f>IFERROR(IF(IFERROR(MATCH(9,'كشف الحساب'!$N$4:$N$203,0),0)=0,"",INDEX('كشف الحساب'!$D$4:$D$203,IFERROR(MATCH(9,'كشف الحساب'!$N$4:$N$203,0),0))),"")</f>
        <v>0</v>
      </c>
      <c r="E13" s="60">
        <f>IFERROR(IF(IFERROR(MATCH(9,'كشف الحساب'!$N$4:$N$203,0),0)=0,"",INDEX('كشف الحساب'!$E$4:$E$203,IFERROR(MATCH(9,'كشف الحساب'!$N$4:$N$203,0),0))),"")</f>
        <v>0.75</v>
      </c>
      <c r="F13" s="59" t="str">
        <f>IFERROR(IF(IFERROR(MATCH(9,'كشف الحساب'!$N$4:$N$203,0),0)=0,"",INDEX('كشف الحساب'!$F$4:$F$203,IFERROR(MATCH(9,'كشف الحساب'!$N$4:$N$203,0),0))),"")</f>
        <v>أون لاين</v>
      </c>
      <c r="G13" s="59">
        <f>IFERROR(IF(IFERROR(MATCH(9,'كشف الحساب'!$N$4:$N$203,0),0)=0,"",INDEX('كشف الحساب'!$G$4:$G$203,IFERROR(MATCH(9,'كشف الحساب'!$N$4:$N$203,0),0))),"")</f>
        <v>0</v>
      </c>
      <c r="H13" s="59" t="str">
        <f>IFERROR(IF(IFERROR(MATCH(9,'كشف الحساب'!$N$4:$N$203,0),0)=0,"",INDEX('كشف الحساب'!$H$4:$H$203,IFERROR(MATCH(9,'كشف الحساب'!$N$4:$N$203,0),0))),"")</f>
        <v>تم الدفع</v>
      </c>
      <c r="I13" s="59">
        <f>IFERROR(IF(IFERROR(MATCH(9,'كشف الحساب'!$N$4:$N$203,0),0)=0,"",INDEX('كشف الحساب'!$I$4:$I$203,IFERROR(MATCH(9,'كشف الحساب'!$N$4:$N$203,0),0))),"")</f>
        <v>0</v>
      </c>
      <c r="J13" s="43">
        <f>IFERROR(IF(IFERROR(MATCH(9,'كشف الحساب'!$N$4:$N$203,0),0)=0,"",INDEX('كشف الحساب'!$J$4:$J$203,IFERROR(MATCH(9,'كشف الحساب'!$N$4:$N$203,0),0))),"")</f>
        <v>74.300000000000011</v>
      </c>
      <c r="K13" s="59">
        <f>IFERROR(IF(IFERROR(MATCH(9,'كشف الحساب'!$N$4:$N$203,0),0)=0,"",INDEX('كشف الحساب'!$K$4:$K$203,IFERROR(MATCH(9,'كشف الحساب'!$N$4:$N$203,0),0))),"")</f>
        <v>0</v>
      </c>
    </row>
    <row r="14" spans="1:11" ht="16.5" customHeight="1" x14ac:dyDescent="0.25">
      <c r="A14" s="25">
        <f>IFERROR(IF(IFERROR(MATCH(10,'كشف الحساب'!$N$4:$N$203,0),0)=0,"",INDEX('كشف الحساب'!$A$4:$A$203,IFERROR(MATCH(10,'كشف الحساب'!$N$4:$N$203,0),0))),"")</f>
        <v>46212</v>
      </c>
      <c r="B14" s="61" t="str">
        <f>IFERROR(IF(IFERROR(MATCH(10,'كشف الحساب'!$N$4:$N$203,0),0)=0,"",INDEX('كشف الحساب'!$B$4:$B$203,IFERROR(MATCH(10,'كشف الحساب'!$N$4:$N$203,0),0))),"")</f>
        <v>Inv-90</v>
      </c>
      <c r="C14" s="27" t="str">
        <f>IFERROR(IF(IFERROR(MATCH(10,'كشف الحساب'!$N$4:$N$203,0),0)=0,"",INDEX('كشف الحساب'!$C$4:$C$203,IFERROR(MATCH(10,'كشف الحساب'!$N$4:$N$203,0),0))),"")</f>
        <v>دارسينا عدد 1 الحبه 1.500</v>
      </c>
      <c r="D14" s="28">
        <f>IFERROR(IF(IFERROR(MATCH(10,'كشف الحساب'!$N$4:$N$203,0),0)=0,"",INDEX('كشف الحساب'!$D$4:$D$203,IFERROR(MATCH(10,'كشف الحساب'!$N$4:$N$203,0),0))),"")</f>
        <v>0</v>
      </c>
      <c r="E14" s="62">
        <f>IFERROR(IF(IFERROR(MATCH(10,'كشف الحساب'!$N$4:$N$203,0),0)=0,"",INDEX('كشف الحساب'!$E$4:$E$203,IFERROR(MATCH(10,'كشف الحساب'!$N$4:$N$203,0),0))),"")</f>
        <v>1.5</v>
      </c>
      <c r="F14" s="61" t="str">
        <f>IFERROR(IF(IFERROR(MATCH(10,'كشف الحساب'!$N$4:$N$203,0),0)=0,"",INDEX('كشف الحساب'!$F$4:$F$203,IFERROR(MATCH(10,'كشف الحساب'!$N$4:$N$203,0),0))),"")</f>
        <v>أون لاين</v>
      </c>
      <c r="G14" s="61">
        <f>IFERROR(IF(IFERROR(MATCH(10,'كشف الحساب'!$N$4:$N$203,0),0)=0,"",INDEX('كشف الحساب'!$G$4:$G$203,IFERROR(MATCH(10,'كشف الحساب'!$N$4:$N$203,0),0))),"")</f>
        <v>0</v>
      </c>
      <c r="H14" s="61" t="str">
        <f>IFERROR(IF(IFERROR(MATCH(10,'كشف الحساب'!$N$4:$N$203,0),0)=0,"",INDEX('كشف الحساب'!$H$4:$H$203,IFERROR(MATCH(10,'كشف الحساب'!$N$4:$N$203,0),0))),"")</f>
        <v>تم الدفع</v>
      </c>
      <c r="I14" s="61">
        <f>IFERROR(IF(IFERROR(MATCH(10,'كشف الحساب'!$N$4:$N$203,0),0)=0,"",INDEX('كشف الحساب'!$I$4:$I$203,IFERROR(MATCH(10,'كشف الحساب'!$N$4:$N$203,0),0))),"")</f>
        <v>0</v>
      </c>
      <c r="J14" s="34">
        <f>IFERROR(IF(IFERROR(MATCH(10,'كشف الحساب'!$N$4:$N$203,0),0)=0,"",INDEX('كشف الحساب'!$J$4:$J$203,IFERROR(MATCH(10,'كشف الحساب'!$N$4:$N$203,0),0))),"")</f>
        <v>75.800000000000011</v>
      </c>
      <c r="K14" s="61">
        <f>IFERROR(IF(IFERROR(MATCH(10,'كشف الحساب'!$N$4:$N$203,0),0)=0,"",INDEX('كشف الحساب'!$K$4:$K$203,IFERROR(MATCH(10,'كشف الحساب'!$N$4:$N$203,0),0))),"")</f>
        <v>0</v>
      </c>
    </row>
    <row r="15" spans="1:11" ht="16.5" customHeight="1" x14ac:dyDescent="0.25">
      <c r="A15" s="139">
        <f>IFERROR(IF(IFERROR(MATCH(11,'كشف الحساب'!$N$4:$N$203,0),0)=0,"",INDEX('كشف الحساب'!$A$4:$A$203,IFERROR(MATCH(11,'كشف الحساب'!$N$4:$N$203,0),0))),"")</f>
        <v>46212</v>
      </c>
      <c r="B15" s="59" t="str">
        <f>IFERROR(IF(IFERROR(MATCH(11,'كشف الحساب'!$N$4:$N$203,0),0)=0,"",INDEX('كشف الحساب'!$B$4:$B$203,IFERROR(MATCH(11,'كشف الحساب'!$N$4:$N$203,0),0))),"")</f>
        <v>Inv-91</v>
      </c>
      <c r="C15" s="37" t="str">
        <f>IFERROR(IF(IFERROR(MATCH(11,'كشف الحساب'!$N$4:$N$203,0),0)=0,"",INDEX('كشف الحساب'!$C$4:$C$203,IFERROR(MATCH(11,'كشف الحساب'!$N$4:$N$203,0),0))),"")</f>
        <v>افبوديا عدد الحبه 0.750</v>
      </c>
      <c r="D15" s="38">
        <f>IFERROR(IF(IFERROR(MATCH(11,'كشف الحساب'!$N$4:$N$203,0),0)=0,"",INDEX('كشف الحساب'!$D$4:$D$203,IFERROR(MATCH(11,'كشف الحساب'!$N$4:$N$203,0),0))),"")</f>
        <v>0</v>
      </c>
      <c r="E15" s="60">
        <f>IFERROR(IF(IFERROR(MATCH(11,'كشف الحساب'!$N$4:$N$203,0),0)=0,"",INDEX('كشف الحساب'!$E$4:$E$203,IFERROR(MATCH(11,'كشف الحساب'!$N$4:$N$203,0),0))),"")</f>
        <v>0.75</v>
      </c>
      <c r="F15" s="59" t="str">
        <f>IFERROR(IF(IFERROR(MATCH(11,'كشف الحساب'!$N$4:$N$203,0),0)=0,"",INDEX('كشف الحساب'!$F$4:$F$203,IFERROR(MATCH(11,'كشف الحساب'!$N$4:$N$203,0),0))),"")</f>
        <v>أون لاين</v>
      </c>
      <c r="G15" s="59">
        <f>IFERROR(IF(IFERROR(MATCH(11,'كشف الحساب'!$N$4:$N$203,0),0)=0,"",INDEX('كشف الحساب'!$G$4:$G$203,IFERROR(MATCH(11,'كشف الحساب'!$N$4:$N$203,0),0))),"")</f>
        <v>0</v>
      </c>
      <c r="H15" s="59" t="str">
        <f>IFERROR(IF(IFERROR(MATCH(11,'كشف الحساب'!$N$4:$N$203,0),0)=0,"",INDEX('كشف الحساب'!$H$4:$H$203,IFERROR(MATCH(11,'كشف الحساب'!$N$4:$N$203,0),0))),"")</f>
        <v>تم الدفع</v>
      </c>
      <c r="I15" s="59">
        <f>IFERROR(IF(IFERROR(MATCH(11,'كشف الحساب'!$N$4:$N$203,0),0)=0,"",INDEX('كشف الحساب'!$I$4:$I$203,IFERROR(MATCH(11,'كشف الحساب'!$N$4:$N$203,0),0))),"")</f>
        <v>0</v>
      </c>
      <c r="J15" s="43">
        <f>IFERROR(IF(IFERROR(MATCH(11,'كشف الحساب'!$N$4:$N$203,0),0)=0,"",INDEX('كشف الحساب'!$J$4:$J$203,IFERROR(MATCH(11,'كشف الحساب'!$N$4:$N$203,0),0))),"")</f>
        <v>76.550000000000011</v>
      </c>
      <c r="K15" s="59">
        <f>IFERROR(IF(IFERROR(MATCH(11,'كشف الحساب'!$N$4:$N$203,0),0)=0,"",INDEX('كشف الحساب'!$K$4:$K$203,IFERROR(MATCH(11,'كشف الحساب'!$N$4:$N$203,0),0))),"")</f>
        <v>0</v>
      </c>
    </row>
    <row r="16" spans="1:11" ht="16.5" customHeight="1" x14ac:dyDescent="0.25">
      <c r="A16" s="25">
        <f>IFERROR(IF(IFERROR(MATCH(12,'كشف الحساب'!$N$4:$N$203,0),0)=0,"",INDEX('كشف الحساب'!$A$4:$A$203,IFERROR(MATCH(12,'كشف الحساب'!$N$4:$N$203,0),0))),"")</f>
        <v>46212</v>
      </c>
      <c r="B16" s="61" t="str">
        <f>IFERROR(IF(IFERROR(MATCH(12,'كشف الحساب'!$N$4:$N$203,0),0)=0,"",INDEX('كشف الحساب'!$B$4:$B$203,IFERROR(MATCH(12,'كشف الحساب'!$N$4:$N$203,0),0))),"")</f>
        <v>Inv-92</v>
      </c>
      <c r="C16" s="27" t="str">
        <f>IFERROR(IF(IFERROR(MATCH(12,'كشف الحساب'!$N$4:$N$203,0),0)=0,"",INDEX('كشف الحساب'!$C$4:$C$203,IFERROR(MATCH(12,'كشف الحساب'!$N$4:$N$203,0),0))),"")</f>
        <v>عطريات عدد 1 الفحبه 1</v>
      </c>
      <c r="D16" s="28">
        <f>IFERROR(IF(IFERROR(MATCH(12,'كشف الحساب'!$N$4:$N$203,0),0)=0,"",INDEX('كشف الحساب'!$D$4:$D$203,IFERROR(MATCH(12,'كشف الحساب'!$N$4:$N$203,0),0))),"")</f>
        <v>0</v>
      </c>
      <c r="E16" s="62">
        <f>IFERROR(IF(IFERROR(MATCH(12,'كشف الحساب'!$N$4:$N$203,0),0)=0,"",INDEX('كشف الحساب'!$E$4:$E$203,IFERROR(MATCH(12,'كشف الحساب'!$N$4:$N$203,0),0))),"")</f>
        <v>1</v>
      </c>
      <c r="F16" s="61" t="str">
        <f>IFERROR(IF(IFERROR(MATCH(12,'كشف الحساب'!$N$4:$N$203,0),0)=0,"",INDEX('كشف الحساب'!$F$4:$F$203,IFERROR(MATCH(12,'كشف الحساب'!$N$4:$N$203,0),0))),"")</f>
        <v>أون لاين</v>
      </c>
      <c r="G16" s="61">
        <f>IFERROR(IF(IFERROR(MATCH(12,'كشف الحساب'!$N$4:$N$203,0),0)=0,"",INDEX('كشف الحساب'!$G$4:$G$203,IFERROR(MATCH(12,'كشف الحساب'!$N$4:$N$203,0),0))),"")</f>
        <v>0</v>
      </c>
      <c r="H16" s="61" t="str">
        <f>IFERROR(IF(IFERROR(MATCH(12,'كشف الحساب'!$N$4:$N$203,0),0)=0,"",INDEX('كشف الحساب'!$H$4:$H$203,IFERROR(MATCH(12,'كشف الحساب'!$N$4:$N$203,0),0))),"")</f>
        <v>تم الدفع</v>
      </c>
      <c r="I16" s="61">
        <f>IFERROR(IF(IFERROR(MATCH(12,'كشف الحساب'!$N$4:$N$203,0),0)=0,"",INDEX('كشف الحساب'!$I$4:$I$203,IFERROR(MATCH(12,'كشف الحساب'!$N$4:$N$203,0),0))),"")</f>
        <v>0</v>
      </c>
      <c r="J16" s="34">
        <f>IFERROR(IF(IFERROR(MATCH(12,'كشف الحساب'!$N$4:$N$203,0),0)=0,"",INDEX('كشف الحساب'!$J$4:$J$203,IFERROR(MATCH(12,'كشف الحساب'!$N$4:$N$203,0),0))),"")</f>
        <v>77.550000000000011</v>
      </c>
      <c r="K16" s="61">
        <f>IFERROR(IF(IFERROR(MATCH(12,'كشف الحساب'!$N$4:$N$203,0),0)=0,"",INDEX('كشف الحساب'!$K$4:$K$203,IFERROR(MATCH(12,'كشف الحساب'!$N$4:$N$203,0),0))),"")</f>
        <v>0</v>
      </c>
    </row>
    <row r="17" spans="1:11" ht="16.5" customHeight="1" x14ac:dyDescent="0.25">
      <c r="A17" s="139">
        <f>IFERROR(IF(IFERROR(MATCH(13,'كشف الحساب'!$N$4:$N$203,0),0)=0,"",INDEX('كشف الحساب'!$A$4:$A$203,IFERROR(MATCH(13,'كشف الحساب'!$N$4:$N$203,0),0))),"")</f>
        <v>46217</v>
      </c>
      <c r="B17" s="59" t="str">
        <f>IFERROR(IF(IFERROR(MATCH(13,'كشف الحساب'!$N$4:$N$203,0),0)=0,"",INDEX('كشف الحساب'!$B$4:$B$203,IFERROR(MATCH(13,'كشف الحساب'!$N$4:$N$203,0),0))),"")</f>
        <v>Inv-93</v>
      </c>
      <c r="C17" s="37" t="str">
        <f>IFERROR(IF(IFERROR(MATCH(13,'كشف الحساب'!$N$4:$N$203,0),0)=0,"",INDEX('كشف الحساب'!$C$4:$C$203,IFERROR(MATCH(13,'كشف الحساب'!$N$4:$N$203,0),0))),"")</f>
        <v>متنوع عدد 2 الحبه 2.500</v>
      </c>
      <c r="D17" s="38">
        <f>IFERROR(IF(IFERROR(MATCH(13,'كشف الحساب'!$N$4:$N$203,0),0)=0,"",INDEX('كشف الحساب'!$D$4:$D$203,IFERROR(MATCH(13,'كشف الحساب'!$N$4:$N$203,0),0))),"")</f>
        <v>0</v>
      </c>
      <c r="E17" s="60">
        <f>IFERROR(IF(IFERROR(MATCH(13,'كشف الحساب'!$N$4:$N$203,0),0)=0,"",INDEX('كشف الحساب'!$E$4:$E$203,IFERROR(MATCH(13,'كشف الحساب'!$N$4:$N$203,0),0))),"")</f>
        <v>5</v>
      </c>
      <c r="F17" s="59" t="str">
        <f>IFERROR(IF(IFERROR(MATCH(13,'كشف الحساب'!$N$4:$N$203,0),0)=0,"",INDEX('كشف الحساب'!$F$4:$F$203,IFERROR(MATCH(13,'كشف الحساب'!$N$4:$N$203,0),0))),"")</f>
        <v>نقداً</v>
      </c>
      <c r="G17" s="59">
        <f>IFERROR(IF(IFERROR(MATCH(13,'كشف الحساب'!$N$4:$N$203,0),0)=0,"",INDEX('كشف الحساب'!$G$4:$G$203,IFERROR(MATCH(13,'كشف الحساب'!$N$4:$N$203,0),0))),"")</f>
        <v>0</v>
      </c>
      <c r="H17" s="59" t="str">
        <f>IFERROR(IF(IFERROR(MATCH(13,'كشف الحساب'!$N$4:$N$203,0),0)=0,"",INDEX('كشف الحساب'!$H$4:$H$203,IFERROR(MATCH(13,'كشف الحساب'!$N$4:$N$203,0),0))),"")</f>
        <v>تم الدفع</v>
      </c>
      <c r="I17" s="59">
        <f>IFERROR(IF(IFERROR(MATCH(13,'كشف الحساب'!$N$4:$N$203,0),0)=0,"",INDEX('كشف الحساب'!$I$4:$I$203,IFERROR(MATCH(13,'كشف الحساب'!$N$4:$N$203,0),0))),"")</f>
        <v>0</v>
      </c>
      <c r="J17" s="43">
        <f>IFERROR(IF(IFERROR(MATCH(13,'كشف الحساب'!$N$4:$N$203,0),0)=0,"",INDEX('كشف الحساب'!$J$4:$J$203,IFERROR(MATCH(13,'كشف الحساب'!$N$4:$N$203,0),0))),"")</f>
        <v>82.550000000000011</v>
      </c>
      <c r="K17" s="59">
        <f>IFERROR(IF(IFERROR(MATCH(13,'كشف الحساب'!$N$4:$N$203,0),0)=0,"",INDEX('كشف الحساب'!$K$4:$K$203,IFERROR(MATCH(13,'كشف الحساب'!$N$4:$N$203,0),0))),"")</f>
        <v>0</v>
      </c>
    </row>
    <row r="18" spans="1:11" ht="16.5" customHeight="1" x14ac:dyDescent="0.25">
      <c r="A18" s="25">
        <f>IFERROR(IF(IFERROR(MATCH(14,'كشف الحساب'!$N$4:$N$203,0),0)=0,"",INDEX('كشف الحساب'!$A$4:$A$203,IFERROR(MATCH(14,'كشف الحساب'!$N$4:$N$203,0),0))),"")</f>
        <v>46217</v>
      </c>
      <c r="B18" s="61" t="str">
        <f>IFERROR(IF(IFERROR(MATCH(14,'كشف الحساب'!$N$4:$N$203,0),0)=0,"",INDEX('كشف الحساب'!$B$4:$B$203,IFERROR(MATCH(14,'كشف الحساب'!$N$4:$N$203,0),0))),"")</f>
        <v>Inv-94</v>
      </c>
      <c r="C18" s="27" t="str">
        <f>IFERROR(IF(IFERROR(MATCH(14,'كشف الحساب'!$N$4:$N$203,0),0)=0,"",INDEX('كشف الحساب'!$C$4:$C$203,IFERROR(MATCH(14,'كشف الحساب'!$N$4:$N$203,0),0))),"")</f>
        <v>متنوع عدد 12 الحبه 2</v>
      </c>
      <c r="D18" s="28">
        <f>IFERROR(IF(IFERROR(MATCH(14,'كشف الحساب'!$N$4:$N$203,0),0)=0,"",INDEX('كشف الحساب'!$D$4:$D$203,IFERROR(MATCH(14,'كشف الحساب'!$N$4:$N$203,0),0))),"")</f>
        <v>0</v>
      </c>
      <c r="E18" s="62">
        <f>IFERROR(IF(IFERROR(MATCH(14,'كشف الحساب'!$N$4:$N$203,0),0)=0,"",INDEX('كشف الحساب'!$E$4:$E$203,IFERROR(MATCH(14,'كشف الحساب'!$N$4:$N$203,0),0))),"")</f>
        <v>24</v>
      </c>
      <c r="F18" s="61" t="str">
        <f>IFERROR(IF(IFERROR(MATCH(14,'كشف الحساب'!$N$4:$N$203,0),0)=0,"",INDEX('كشف الحساب'!$F$4:$F$203,IFERROR(MATCH(14,'كشف الحساب'!$N$4:$N$203,0),0))),"")</f>
        <v>نقداً</v>
      </c>
      <c r="G18" s="61">
        <f>IFERROR(IF(IFERROR(MATCH(14,'كشف الحساب'!$N$4:$N$203,0),0)=0,"",INDEX('كشف الحساب'!$G$4:$G$203,IFERROR(MATCH(14,'كشف الحساب'!$N$4:$N$203,0),0))),"")</f>
        <v>0</v>
      </c>
      <c r="H18" s="61" t="str">
        <f>IFERROR(IF(IFERROR(MATCH(14,'كشف الحساب'!$N$4:$N$203,0),0)=0,"",INDEX('كشف الحساب'!$H$4:$H$203,IFERROR(MATCH(14,'كشف الحساب'!$N$4:$N$203,0),0))),"")</f>
        <v>تم الدفع</v>
      </c>
      <c r="I18" s="61">
        <f>IFERROR(IF(IFERROR(MATCH(14,'كشف الحساب'!$N$4:$N$203,0),0)=0,"",INDEX('كشف الحساب'!$I$4:$I$203,IFERROR(MATCH(14,'كشف الحساب'!$N$4:$N$203,0),0))),"")</f>
        <v>0</v>
      </c>
      <c r="J18" s="34">
        <f>IFERROR(IF(IFERROR(MATCH(14,'كشف الحساب'!$N$4:$N$203,0),0)=0,"",INDEX('كشف الحساب'!$J$4:$J$203,IFERROR(MATCH(14,'كشف الحساب'!$N$4:$N$203,0),0))),"")</f>
        <v>106.55000000000001</v>
      </c>
      <c r="K18" s="61">
        <f>IFERROR(IF(IFERROR(MATCH(14,'كشف الحساب'!$N$4:$N$203,0),0)=0,"",INDEX('كشف الحساب'!$K$4:$K$203,IFERROR(MATCH(14,'كشف الحساب'!$N$4:$N$203,0),0))),"")</f>
        <v>0</v>
      </c>
    </row>
    <row r="19" spans="1:11" ht="16.5" customHeight="1" x14ac:dyDescent="0.25">
      <c r="A19" s="139">
        <f>IFERROR(IF(IFERROR(MATCH(15,'كشف الحساب'!$N$4:$N$203,0),0)=0,"",INDEX('كشف الحساب'!$A$4:$A$203,IFERROR(MATCH(15,'كشف الحساب'!$N$4:$N$203,0),0))),"")</f>
        <v>46217</v>
      </c>
      <c r="B19" s="59">
        <f>IFERROR(IF(IFERROR(MATCH(15,'كشف الحساب'!$N$4:$N$203,0),0)=0,"",INDEX('كشف الحساب'!$B$4:$B$203,IFERROR(MATCH(15,'كشف الحساب'!$N$4:$N$203,0),0))),"")</f>
        <v>0</v>
      </c>
      <c r="C19" s="37" t="str">
        <f>IFERROR(IF(IFERROR(MATCH(15,'كشف الحساب'!$N$4:$N$203,0),0)=0,"",INDEX('كشف الحساب'!$C$4:$C$203,IFERROR(MATCH(15,'كشف الحساب'!$N$4:$N$203,0),0))),"")</f>
        <v>حبل تعليق</v>
      </c>
      <c r="D19" s="38">
        <f>IFERROR(IF(IFERROR(MATCH(15,'كشف الحساب'!$N$4:$N$203,0),0)=0,"",INDEX('كشف الحساب'!$D$4:$D$203,IFERROR(MATCH(15,'كشف الحساب'!$N$4:$N$203,0),0))),"")</f>
        <v>1.925</v>
      </c>
      <c r="E19" s="60">
        <f>IFERROR(IF(IFERROR(MATCH(15,'كشف الحساب'!$N$4:$N$203,0),0)=0,"",INDEX('كشف الحساب'!$E$4:$E$203,IFERROR(MATCH(15,'كشف الحساب'!$N$4:$N$203,0),0))),"")</f>
        <v>0</v>
      </c>
      <c r="F19" s="59" t="str">
        <f>IFERROR(IF(IFERROR(MATCH(15,'كشف الحساب'!$N$4:$N$203,0),0)=0,"",INDEX('كشف الحساب'!$F$4:$F$203,IFERROR(MATCH(15,'كشف الحساب'!$N$4:$N$203,0),0))),"")</f>
        <v>نقداً</v>
      </c>
      <c r="G19" s="59" t="str">
        <f>IFERROR(IF(IFERROR(MATCH(15,'كشف الحساب'!$N$4:$N$203,0),0)=0,"",INDEX('كشف الحساب'!$G$4:$G$203,IFERROR(MATCH(15,'كشف الحساب'!$N$4:$N$203,0),0))),"")</f>
        <v>المحفظة</v>
      </c>
      <c r="H19" s="59" t="str">
        <f>IFERROR(IF(IFERROR(MATCH(15,'كشف الحساب'!$N$4:$N$203,0),0)=0,"",INDEX('كشف الحساب'!$H$4:$H$203,IFERROR(MATCH(15,'كشف الحساب'!$N$4:$N$203,0),0))),"")</f>
        <v>تم الدفع</v>
      </c>
      <c r="I19" s="59">
        <f>IFERROR(IF(IFERROR(MATCH(15,'كشف الحساب'!$N$4:$N$203,0),0)=0,"",INDEX('كشف الحساب'!$I$4:$I$203,IFERROR(MATCH(15,'كشف الحساب'!$N$4:$N$203,0),0))),"")</f>
        <v>0</v>
      </c>
      <c r="J19" s="43">
        <f>IFERROR(IF(IFERROR(MATCH(15,'كشف الحساب'!$N$4:$N$203,0),0)=0,"",INDEX('كشف الحساب'!$J$4:$J$203,IFERROR(MATCH(15,'كشف الحساب'!$N$4:$N$203,0),0))),"")</f>
        <v>104.62500000000001</v>
      </c>
      <c r="K19" s="59">
        <f>IFERROR(IF(IFERROR(MATCH(15,'كشف الحساب'!$N$4:$N$203,0),0)=0,"",INDEX('كشف الحساب'!$K$4:$K$203,IFERROR(MATCH(15,'كشف الحساب'!$N$4:$N$203,0),0))),"")</f>
        <v>0</v>
      </c>
    </row>
    <row r="20" spans="1:11" ht="16.5" customHeight="1" x14ac:dyDescent="0.25">
      <c r="A20" s="25">
        <f>IFERROR(IF(IFERROR(MATCH(16,'كشف الحساب'!$N$4:$N$203,0),0)=0,"",INDEX('كشف الحساب'!$A$4:$A$203,IFERROR(MATCH(16,'كشف الحساب'!$N$4:$N$203,0),0))),"")</f>
        <v>46219</v>
      </c>
      <c r="B20" s="61" t="str">
        <f>IFERROR(IF(IFERROR(MATCH(16,'كشف الحساب'!$N$4:$N$203,0),0)=0,"",INDEX('كشف الحساب'!$B$4:$B$203,IFERROR(MATCH(16,'كشف الحساب'!$N$4:$N$203,0),0))),"")</f>
        <v>Inv-95</v>
      </c>
      <c r="C20" s="27" t="str">
        <f>IFERROR(IF(IFERROR(MATCH(16,'كشف الحساب'!$N$4:$N$203,0),0)=0,"",INDEX('كشف الحساب'!$C$4:$C$203,IFERROR(MATCH(16,'كشف الحساب'!$N$4:$N$203,0),0))),"")</f>
        <v>ربل عدد 1 الحبه 2</v>
      </c>
      <c r="D20" s="28">
        <f>IFERROR(IF(IFERROR(MATCH(16,'كشف الحساب'!$N$4:$N$203,0),0)=0,"",INDEX('كشف الحساب'!$D$4:$D$203,IFERROR(MATCH(16,'كشف الحساب'!$N$4:$N$203,0),0))),"")</f>
        <v>0</v>
      </c>
      <c r="E20" s="62">
        <f>IFERROR(IF(IFERROR(MATCH(16,'كشف الحساب'!$N$4:$N$203,0),0)=0,"",INDEX('كشف الحساب'!$E$4:$E$203,IFERROR(MATCH(16,'كشف الحساب'!$N$4:$N$203,0),0))),"")</f>
        <v>2</v>
      </c>
      <c r="F20" s="61" t="str">
        <f>IFERROR(IF(IFERROR(MATCH(16,'كشف الحساب'!$N$4:$N$203,0),0)=0,"",INDEX('كشف الحساب'!$F$4:$F$203,IFERROR(MATCH(16,'كشف الحساب'!$N$4:$N$203,0),0))),"")</f>
        <v>أون لاين</v>
      </c>
      <c r="G20" s="61">
        <f>IFERROR(IF(IFERROR(MATCH(16,'كشف الحساب'!$N$4:$N$203,0),0)=0,"",INDEX('كشف الحساب'!$G$4:$G$203,IFERROR(MATCH(16,'كشف الحساب'!$N$4:$N$203,0),0))),"")</f>
        <v>0</v>
      </c>
      <c r="H20" s="61" t="str">
        <f>IFERROR(IF(IFERROR(MATCH(16,'كشف الحساب'!$N$4:$N$203,0),0)=0,"",INDEX('كشف الحساب'!$H$4:$H$203,IFERROR(MATCH(16,'كشف الحساب'!$N$4:$N$203,0),0))),"")</f>
        <v>تم الدفع</v>
      </c>
      <c r="I20" s="61">
        <f>IFERROR(IF(IFERROR(MATCH(16,'كشف الحساب'!$N$4:$N$203,0),0)=0,"",INDEX('كشف الحساب'!$I$4:$I$203,IFERROR(MATCH(16,'كشف الحساب'!$N$4:$N$203,0),0))),"")</f>
        <v>0</v>
      </c>
      <c r="J20" s="34">
        <f>IFERROR(IF(IFERROR(MATCH(16,'كشف الحساب'!$N$4:$N$203,0),0)=0,"",INDEX('كشف الحساب'!$J$4:$J$203,IFERROR(MATCH(16,'كشف الحساب'!$N$4:$N$203,0),0))),"")</f>
        <v>106.62500000000001</v>
      </c>
      <c r="K20" s="61" t="str">
        <f>IFERROR(IF(IFERROR(MATCH(16,'كشف الحساب'!$N$4:$N$203,0),0)=0,"",INDEX('كشف الحساب'!$K$4:$K$203,IFERROR(MATCH(16,'كشف الحساب'!$N$4:$N$203,0),0))),"")</f>
        <v>مهندس عامر</v>
      </c>
    </row>
    <row r="21" spans="1:11" ht="16.5" customHeight="1" x14ac:dyDescent="0.25">
      <c r="A21" s="139">
        <f>IFERROR(IF(IFERROR(MATCH(17,'كشف الحساب'!$N$4:$N$203,0),0)=0,"",INDEX('كشف الحساب'!$A$4:$A$203,IFERROR(MATCH(17,'كشف الحساب'!$N$4:$N$203,0),0))),"")</f>
        <v>46219</v>
      </c>
      <c r="B21" s="59" t="str">
        <f>IFERROR(IF(IFERROR(MATCH(17,'كشف الحساب'!$N$4:$N$203,0),0)=0,"",INDEX('كشف الحساب'!$B$4:$B$203,IFERROR(MATCH(17,'كشف الحساب'!$N$4:$N$203,0),0))),"")</f>
        <v>Inv-96</v>
      </c>
      <c r="C21" s="37" t="str">
        <f>IFERROR(IF(IFERROR(MATCH(17,'كشف الحساب'!$N$4:$N$203,0),0)=0,"",INDEX('كشف الحساب'!$C$4:$C$203,IFERROR(MATCH(17,'كشف الحساب'!$N$4:$N$203,0),0))),"")</f>
        <v xml:space="preserve">دارسينا عدد 1 الحبه 2 </v>
      </c>
      <c r="D21" s="38">
        <f>IFERROR(IF(IFERROR(MATCH(17,'كشف الحساب'!$N$4:$N$203,0),0)=0,"",INDEX('كشف الحساب'!$D$4:$D$203,IFERROR(MATCH(17,'كشف الحساب'!$N$4:$N$203,0),0))),"")</f>
        <v>0</v>
      </c>
      <c r="E21" s="60">
        <f>IFERROR(IF(IFERROR(MATCH(17,'كشف الحساب'!$N$4:$N$203,0),0)=0,"",INDEX('كشف الحساب'!$E$4:$E$203,IFERROR(MATCH(17,'كشف الحساب'!$N$4:$N$203,0),0))),"")</f>
        <v>2</v>
      </c>
      <c r="F21" s="59" t="str">
        <f>IFERROR(IF(IFERROR(MATCH(17,'كشف الحساب'!$N$4:$N$203,0),0)=0,"",INDEX('كشف الحساب'!$F$4:$F$203,IFERROR(MATCH(17,'كشف الحساب'!$N$4:$N$203,0),0))),"")</f>
        <v>أون لاين</v>
      </c>
      <c r="G21" s="59">
        <f>IFERROR(IF(IFERROR(MATCH(17,'كشف الحساب'!$N$4:$N$203,0),0)=0,"",INDEX('كشف الحساب'!$G$4:$G$203,IFERROR(MATCH(17,'كشف الحساب'!$N$4:$N$203,0),0))),"")</f>
        <v>0</v>
      </c>
      <c r="H21" s="59" t="str">
        <f>IFERROR(IF(IFERROR(MATCH(17,'كشف الحساب'!$N$4:$N$203,0),0)=0,"",INDEX('كشف الحساب'!$H$4:$H$203,IFERROR(MATCH(17,'كشف الحساب'!$N$4:$N$203,0),0))),"")</f>
        <v>تم الدفع</v>
      </c>
      <c r="I21" s="59">
        <f>IFERROR(IF(IFERROR(MATCH(17,'كشف الحساب'!$N$4:$N$203,0),0)=0,"",INDEX('كشف الحساب'!$I$4:$I$203,IFERROR(MATCH(17,'كشف الحساب'!$N$4:$N$203,0),0))),"")</f>
        <v>0</v>
      </c>
      <c r="J21" s="43">
        <f>IFERROR(IF(IFERROR(MATCH(17,'كشف الحساب'!$N$4:$N$203,0),0)=0,"",INDEX('كشف الحساب'!$J$4:$J$203,IFERROR(MATCH(17,'كشف الحساب'!$N$4:$N$203,0),0))),"")</f>
        <v>108.62500000000001</v>
      </c>
      <c r="K21" s="59" t="str">
        <f>IFERROR(IF(IFERROR(MATCH(17,'كشف الحساب'!$N$4:$N$203,0),0)=0,"",INDEX('كشف الحساب'!$K$4:$K$203,IFERROR(MATCH(17,'كشف الحساب'!$N$4:$N$203,0),0))),"")</f>
        <v>مهندس عامر</v>
      </c>
    </row>
    <row r="22" spans="1:11" ht="16.5" customHeight="1" x14ac:dyDescent="0.25">
      <c r="A22" s="25">
        <f>IFERROR(IF(IFERROR(MATCH(18,'كشف الحساب'!$N$4:$N$203,0),0)=0,"",INDEX('كشف الحساب'!$A$4:$A$203,IFERROR(MATCH(18,'كشف الحساب'!$N$4:$N$203,0),0))),"")</f>
        <v>46221</v>
      </c>
      <c r="B22" s="61" t="str">
        <f>IFERROR(IF(IFERROR(MATCH(18,'كشف الحساب'!$N$4:$N$203,0),0)=0,"",INDEX('كشف الحساب'!$B$4:$B$203,IFERROR(MATCH(18,'كشف الحساب'!$N$4:$N$203,0),0))),"")</f>
        <v>Inv-97</v>
      </c>
      <c r="C22" s="27" t="str">
        <f>IFERROR(IF(IFERROR(MATCH(18,'كشف الحساب'!$N$4:$N$203,0),0)=0,"",INDEX('كشف الحساب'!$C$4:$C$203,IFERROR(MATCH(18,'كشف الحساب'!$N$4:$N$203,0),0))),"")</f>
        <v>افوبيا عدد 1 الحبه 1</v>
      </c>
      <c r="D22" s="28">
        <f>IFERROR(IF(IFERROR(MATCH(18,'كشف الحساب'!$N$4:$N$203,0),0)=0,"",INDEX('كشف الحساب'!$D$4:$D$203,IFERROR(MATCH(18,'كشف الحساب'!$N$4:$N$203,0),0))),"")</f>
        <v>0</v>
      </c>
      <c r="E22" s="62">
        <f>IFERROR(IF(IFERROR(MATCH(18,'كشف الحساب'!$N$4:$N$203,0),0)=0,"",INDEX('كشف الحساب'!$E$4:$E$203,IFERROR(MATCH(18,'كشف الحساب'!$N$4:$N$203,0),0))),"")</f>
        <v>1</v>
      </c>
      <c r="F22" s="61" t="str">
        <f>IFERROR(IF(IFERROR(MATCH(18,'كشف الحساب'!$N$4:$N$203,0),0)=0,"",INDEX('كشف الحساب'!$F$4:$F$203,IFERROR(MATCH(18,'كشف الحساب'!$N$4:$N$203,0),0))),"")</f>
        <v>أون لاين</v>
      </c>
      <c r="G22" s="61">
        <f>IFERROR(IF(IFERROR(MATCH(18,'كشف الحساب'!$N$4:$N$203,0),0)=0,"",INDEX('كشف الحساب'!$G$4:$G$203,IFERROR(MATCH(18,'كشف الحساب'!$N$4:$N$203,0),0))),"")</f>
        <v>0</v>
      </c>
      <c r="H22" s="61" t="str">
        <f>IFERROR(IF(IFERROR(MATCH(18,'كشف الحساب'!$N$4:$N$203,0),0)=0,"",INDEX('كشف الحساب'!$H$4:$H$203,IFERROR(MATCH(18,'كشف الحساب'!$N$4:$N$203,0),0))),"")</f>
        <v>تم الدفع</v>
      </c>
      <c r="I22" s="61">
        <f>IFERROR(IF(IFERROR(MATCH(18,'كشف الحساب'!$N$4:$N$203,0),0)=0,"",INDEX('كشف الحساب'!$I$4:$I$203,IFERROR(MATCH(18,'كشف الحساب'!$N$4:$N$203,0),0))),"")</f>
        <v>0</v>
      </c>
      <c r="J22" s="34">
        <f>IFERROR(IF(IFERROR(MATCH(18,'كشف الحساب'!$N$4:$N$203,0),0)=0,"",INDEX('كشف الحساب'!$J$4:$J$203,IFERROR(MATCH(18,'كشف الحساب'!$N$4:$N$203,0),0))),"")</f>
        <v>109.62500000000001</v>
      </c>
      <c r="K22" s="61">
        <f>IFERROR(IF(IFERROR(MATCH(18,'كشف الحساب'!$N$4:$N$203,0),0)=0,"",INDEX('كشف الحساب'!$K$4:$K$203,IFERROR(MATCH(18,'كشف الحساب'!$N$4:$N$203,0),0))),"")</f>
        <v>0</v>
      </c>
    </row>
    <row r="23" spans="1:11" ht="16.5" customHeight="1" x14ac:dyDescent="0.25">
      <c r="A23" s="139">
        <f>IFERROR(IF(IFERROR(MATCH(19,'كشف الحساب'!$N$4:$N$203,0),0)=0,"",INDEX('كشف الحساب'!$A$4:$A$203,IFERROR(MATCH(19,'كشف الحساب'!$N$4:$N$203,0),0))),"")</f>
        <v>46221</v>
      </c>
      <c r="B23" s="59" t="str">
        <f>IFERROR(IF(IFERROR(MATCH(19,'كشف الحساب'!$N$4:$N$203,0),0)=0,"",INDEX('كشف الحساب'!$B$4:$B$203,IFERROR(MATCH(19,'كشف الحساب'!$N$4:$N$203,0),0))),"")</f>
        <v>Inv-98</v>
      </c>
      <c r="C23" s="37" t="str">
        <f>IFERROR(IF(IFERROR(MATCH(19,'كشف الحساب'!$N$4:$N$203,0),0)=0,"",INDEX('كشف الحساب'!$C$4:$C$203,IFERROR(MATCH(19,'كشف الحساب'!$N$4:$N$203,0),0))),"")</f>
        <v>دارسينا عدد 1 الحبه 2</v>
      </c>
      <c r="D23" s="38">
        <f>IFERROR(IF(IFERROR(MATCH(19,'كشف الحساب'!$N$4:$N$203,0),0)=0,"",INDEX('كشف الحساب'!$D$4:$D$203,IFERROR(MATCH(19,'كشف الحساب'!$N$4:$N$203,0),0))),"")</f>
        <v>0</v>
      </c>
      <c r="E23" s="60">
        <f>IFERROR(IF(IFERROR(MATCH(19,'كشف الحساب'!$N$4:$N$203,0),0)=0,"",INDEX('كشف الحساب'!$E$4:$E$203,IFERROR(MATCH(19,'كشف الحساب'!$N$4:$N$203,0),0))),"")</f>
        <v>2</v>
      </c>
      <c r="F23" s="59" t="str">
        <f>IFERROR(IF(IFERROR(MATCH(19,'كشف الحساب'!$N$4:$N$203,0),0)=0,"",INDEX('كشف الحساب'!$F$4:$F$203,IFERROR(MATCH(19,'كشف الحساب'!$N$4:$N$203,0),0))),"")</f>
        <v>أون لاين</v>
      </c>
      <c r="G23" s="59">
        <f>IFERROR(IF(IFERROR(MATCH(19,'كشف الحساب'!$N$4:$N$203,0),0)=0,"",INDEX('كشف الحساب'!$G$4:$G$203,IFERROR(MATCH(19,'كشف الحساب'!$N$4:$N$203,0),0))),"")</f>
        <v>0</v>
      </c>
      <c r="H23" s="59" t="str">
        <f>IFERROR(IF(IFERROR(MATCH(19,'كشف الحساب'!$N$4:$N$203,0),0)=0,"",INDEX('كشف الحساب'!$H$4:$H$203,IFERROR(MATCH(19,'كشف الحساب'!$N$4:$N$203,0),0))),"")</f>
        <v>تم الدفع</v>
      </c>
      <c r="I23" s="59">
        <f>IFERROR(IF(IFERROR(MATCH(19,'كشف الحساب'!$N$4:$N$203,0),0)=0,"",INDEX('كشف الحساب'!$I$4:$I$203,IFERROR(MATCH(19,'كشف الحساب'!$N$4:$N$203,0),0))),"")</f>
        <v>0</v>
      </c>
      <c r="J23" s="43">
        <f>IFERROR(IF(IFERROR(MATCH(19,'كشف الحساب'!$N$4:$N$203,0),0)=0,"",INDEX('كشف الحساب'!$J$4:$J$203,IFERROR(MATCH(19,'كشف الحساب'!$N$4:$N$203,0),0))),"")</f>
        <v>111.62500000000001</v>
      </c>
      <c r="K23" s="59">
        <f>IFERROR(IF(IFERROR(MATCH(19,'كشف الحساب'!$N$4:$N$203,0),0)=0,"",INDEX('كشف الحساب'!$K$4:$K$203,IFERROR(MATCH(19,'كشف الحساب'!$N$4:$N$203,0),0))),"")</f>
        <v>0</v>
      </c>
    </row>
    <row r="24" spans="1:11" ht="16.5" customHeight="1" x14ac:dyDescent="0.25">
      <c r="A24" s="25">
        <f>IFERROR(IF(IFERROR(MATCH(20,'كشف الحساب'!$N$4:$N$203,0),0)=0,"",INDEX('كشف الحساب'!$A$4:$A$203,IFERROR(MATCH(20,'كشف الحساب'!$N$4:$N$203,0),0))),"")</f>
        <v>46224</v>
      </c>
      <c r="B24" s="61" t="str">
        <f>IFERROR(IF(IFERROR(MATCH(20,'كشف الحساب'!$N$4:$N$203,0),0)=0,"",INDEX('كشف الحساب'!$B$4:$B$203,IFERROR(MATCH(20,'كشف الحساب'!$N$4:$N$203,0),0))),"")</f>
        <v>Inv-99</v>
      </c>
      <c r="C24" s="27" t="str">
        <f>IFERROR(IF(IFERROR(MATCH(20,'كشف الحساب'!$N$4:$N$203,0),0)=0,"",INDEX('كشف الحساب'!$C$4:$C$203,IFERROR(MATCH(20,'كشف الحساب'!$N$4:$N$203,0),0))),"")</f>
        <v>افوبيا عدد 9 الحبه 1</v>
      </c>
      <c r="D24" s="28">
        <f>IFERROR(IF(IFERROR(MATCH(20,'كشف الحساب'!$N$4:$N$203,0),0)=0,"",INDEX('كشف الحساب'!$D$4:$D$203,IFERROR(MATCH(20,'كشف الحساب'!$N$4:$N$203,0),0))),"")</f>
        <v>0</v>
      </c>
      <c r="E24" s="62">
        <f>IFERROR(IF(IFERROR(MATCH(20,'كشف الحساب'!$N$4:$N$203,0),0)=0,"",INDEX('كشف الحساب'!$E$4:$E$203,IFERROR(MATCH(20,'كشف الحساب'!$N$4:$N$203,0),0))),"")</f>
        <v>9</v>
      </c>
      <c r="F24" s="61" t="str">
        <f>IFERROR(IF(IFERROR(MATCH(20,'كشف الحساب'!$N$4:$N$203,0),0)=0,"",INDEX('كشف الحساب'!$F$4:$F$203,IFERROR(MATCH(20,'كشف الحساب'!$N$4:$N$203,0),0))),"")</f>
        <v>نقداً</v>
      </c>
      <c r="G24" s="61">
        <f>IFERROR(IF(IFERROR(MATCH(20,'كشف الحساب'!$N$4:$N$203,0),0)=0,"",INDEX('كشف الحساب'!$G$4:$G$203,IFERROR(MATCH(20,'كشف الحساب'!$N$4:$N$203,0),0))),"")</f>
        <v>0</v>
      </c>
      <c r="H24" s="61" t="str">
        <f>IFERROR(IF(IFERROR(MATCH(20,'كشف الحساب'!$N$4:$N$203,0),0)=0,"",INDEX('كشف الحساب'!$H$4:$H$203,IFERROR(MATCH(20,'كشف الحساب'!$N$4:$N$203,0),0))),"")</f>
        <v>تم الدفع</v>
      </c>
      <c r="I24" s="61">
        <f>IFERROR(IF(IFERROR(MATCH(20,'كشف الحساب'!$N$4:$N$203,0),0)=0,"",INDEX('كشف الحساب'!$I$4:$I$203,IFERROR(MATCH(20,'كشف الحساب'!$N$4:$N$203,0),0))),"")</f>
        <v>0</v>
      </c>
      <c r="J24" s="34">
        <f>IFERROR(IF(IFERROR(MATCH(20,'كشف الحساب'!$N$4:$N$203,0),0)=0,"",INDEX('كشف الحساب'!$J$4:$J$203,IFERROR(MATCH(20,'كشف الحساب'!$N$4:$N$203,0),0))),"")</f>
        <v>120.62500000000001</v>
      </c>
      <c r="K24" s="61">
        <f>IFERROR(IF(IFERROR(MATCH(20,'كشف الحساب'!$N$4:$N$203,0),0)=0,"",INDEX('كشف الحساب'!$K$4:$K$203,IFERROR(MATCH(20,'كشف الحساب'!$N$4:$N$203,0),0))),"")</f>
        <v>0</v>
      </c>
    </row>
    <row r="25" spans="1:11" ht="16.5" customHeight="1" x14ac:dyDescent="0.25">
      <c r="A25" s="139">
        <f>IFERROR(IF(IFERROR(MATCH(21,'كشف الحساب'!$N$4:$N$203,0),0)=0,"",INDEX('كشف الحساب'!$A$4:$A$203,IFERROR(MATCH(21,'كشف الحساب'!$N$4:$N$203,0),0))),"")</f>
        <v>46224</v>
      </c>
      <c r="B25" s="59" t="str">
        <f>IFERROR(IF(IFERROR(MATCH(21,'كشف الحساب'!$N$4:$N$203,0),0)=0,"",INDEX('كشف الحساب'!$B$4:$B$203,IFERROR(MATCH(21,'كشف الحساب'!$N$4:$N$203,0),0))),"")</f>
        <v>Inv-100</v>
      </c>
      <c r="C25" s="37" t="str">
        <f>IFERROR(IF(IFERROR(MATCH(21,'كشف الحساب'!$N$4:$N$203,0),0)=0,"",INDEX('كشف الحساب'!$C$4:$C$203,IFERROR(MATCH(21,'كشف الحساب'!$N$4:$N$203,0),0))),"")</f>
        <v>ربل عدد 11 الحبه 2</v>
      </c>
      <c r="D25" s="38">
        <f>IFERROR(IF(IFERROR(MATCH(21,'كشف الحساب'!$N$4:$N$203,0),0)=0,"",INDEX('كشف الحساب'!$D$4:$D$203,IFERROR(MATCH(21,'كشف الحساب'!$N$4:$N$203,0),0))),"")</f>
        <v>0</v>
      </c>
      <c r="E25" s="60">
        <f>IFERROR(IF(IFERROR(MATCH(21,'كشف الحساب'!$N$4:$N$203,0),0)=0,"",INDEX('كشف الحساب'!$E$4:$E$203,IFERROR(MATCH(21,'كشف الحساب'!$N$4:$N$203,0),0))),"")</f>
        <v>22</v>
      </c>
      <c r="F25" s="59" t="str">
        <f>IFERROR(IF(IFERROR(MATCH(21,'كشف الحساب'!$N$4:$N$203,0),0)=0,"",INDEX('كشف الحساب'!$F$4:$F$203,IFERROR(MATCH(21,'كشف الحساب'!$N$4:$N$203,0),0))),"")</f>
        <v>نقداً</v>
      </c>
      <c r="G25" s="59">
        <f>IFERROR(IF(IFERROR(MATCH(21,'كشف الحساب'!$N$4:$N$203,0),0)=0,"",INDEX('كشف الحساب'!$G$4:$G$203,IFERROR(MATCH(21,'كشف الحساب'!$N$4:$N$203,0),0))),"")</f>
        <v>0</v>
      </c>
      <c r="H25" s="59" t="str">
        <f>IFERROR(IF(IFERROR(MATCH(21,'كشف الحساب'!$N$4:$N$203,0),0)=0,"",INDEX('كشف الحساب'!$H$4:$H$203,IFERROR(MATCH(21,'كشف الحساب'!$N$4:$N$203,0),0))),"")</f>
        <v>تم الدفع</v>
      </c>
      <c r="I25" s="59">
        <f>IFERROR(IF(IFERROR(MATCH(21,'كشف الحساب'!$N$4:$N$203,0),0)=0,"",INDEX('كشف الحساب'!$I$4:$I$203,IFERROR(MATCH(21,'كشف الحساب'!$N$4:$N$203,0),0))),"")</f>
        <v>0</v>
      </c>
      <c r="J25" s="43">
        <f>IFERROR(IF(IFERROR(MATCH(21,'كشف الحساب'!$N$4:$N$203,0),0)=0,"",INDEX('كشف الحساب'!$J$4:$J$203,IFERROR(MATCH(21,'كشف الحساب'!$N$4:$N$203,0),0))),"")</f>
        <v>142.625</v>
      </c>
      <c r="K25" s="59">
        <f>IFERROR(IF(IFERROR(MATCH(21,'كشف الحساب'!$N$4:$N$203,0),0)=0,"",INDEX('كشف الحساب'!$K$4:$K$203,IFERROR(MATCH(21,'كشف الحساب'!$N$4:$N$203,0),0))),"")</f>
        <v>0</v>
      </c>
    </row>
    <row r="26" spans="1:11" ht="16.5" customHeight="1" x14ac:dyDescent="0.25">
      <c r="A26" s="25">
        <f>IFERROR(IF(IFERROR(MATCH(22,'كشف الحساب'!$N$4:$N$203,0),0)=0,"",INDEX('كشف الحساب'!$A$4:$A$203,IFERROR(MATCH(22,'كشف الحساب'!$N$4:$N$203,0),0))),"")</f>
        <v>46225</v>
      </c>
      <c r="B26" s="61" t="str">
        <f>IFERROR(IF(IFERROR(MATCH(22,'كشف الحساب'!$N$4:$N$203,0),0)=0,"",INDEX('كشف الحساب'!$B$4:$B$203,IFERROR(MATCH(22,'كشف الحساب'!$N$4:$N$203,0),0))),"")</f>
        <v>Inv-101</v>
      </c>
      <c r="C26" s="27" t="str">
        <f>IFERROR(IF(IFERROR(MATCH(22,'كشف الحساب'!$N$4:$N$203,0),0)=0,"",INDEX('كشف الحساب'!$C$4:$C$203,IFERROR(MATCH(22,'كشف الحساب'!$N$4:$N$203,0),0))),"")</f>
        <v>افوبيا عدد2 الحبه 1</v>
      </c>
      <c r="D26" s="28">
        <f>IFERROR(IF(IFERROR(MATCH(22,'كشف الحساب'!$N$4:$N$203,0),0)=0,"",INDEX('كشف الحساب'!$D$4:$D$203,IFERROR(MATCH(22,'كشف الحساب'!$N$4:$N$203,0),0))),"")</f>
        <v>0</v>
      </c>
      <c r="E26" s="62">
        <f>IFERROR(IF(IFERROR(MATCH(22,'كشف الحساب'!$N$4:$N$203,0),0)=0,"",INDEX('كشف الحساب'!$E$4:$E$203,IFERROR(MATCH(22,'كشف الحساب'!$N$4:$N$203,0),0))),"")</f>
        <v>2</v>
      </c>
      <c r="F26" s="61" t="str">
        <f>IFERROR(IF(IFERROR(MATCH(22,'كشف الحساب'!$N$4:$N$203,0),0)=0,"",INDEX('كشف الحساب'!$F$4:$F$203,IFERROR(MATCH(22,'كشف الحساب'!$N$4:$N$203,0),0))),"")</f>
        <v>أون لاين</v>
      </c>
      <c r="G26" s="61">
        <f>IFERROR(IF(IFERROR(MATCH(22,'كشف الحساب'!$N$4:$N$203,0),0)=0,"",INDEX('كشف الحساب'!$G$4:$G$203,IFERROR(MATCH(22,'كشف الحساب'!$N$4:$N$203,0),0))),"")</f>
        <v>0</v>
      </c>
      <c r="H26" s="61" t="str">
        <f>IFERROR(IF(IFERROR(MATCH(22,'كشف الحساب'!$N$4:$N$203,0),0)=0,"",INDEX('كشف الحساب'!$H$4:$H$203,IFERROR(MATCH(22,'كشف الحساب'!$N$4:$N$203,0),0))),"")</f>
        <v>تم الدفع</v>
      </c>
      <c r="I26" s="61">
        <f>IFERROR(IF(IFERROR(MATCH(22,'كشف الحساب'!$N$4:$N$203,0),0)=0,"",INDEX('كشف الحساب'!$I$4:$I$203,IFERROR(MATCH(22,'كشف الحساب'!$N$4:$N$203,0),0))),"")</f>
        <v>0</v>
      </c>
      <c r="J26" s="34">
        <f>IFERROR(IF(IFERROR(MATCH(22,'كشف الحساب'!$N$4:$N$203,0),0)=0,"",INDEX('كشف الحساب'!$J$4:$J$203,IFERROR(MATCH(22,'كشف الحساب'!$N$4:$N$203,0),0))),"")</f>
        <v>144.625</v>
      </c>
      <c r="K26" s="61">
        <f>IFERROR(IF(IFERROR(MATCH(22,'كشف الحساب'!$N$4:$N$203,0),0)=0,"",INDEX('كشف الحساب'!$K$4:$K$203,IFERROR(MATCH(22,'كشف الحساب'!$N$4:$N$203,0),0))),"")</f>
        <v>0</v>
      </c>
    </row>
    <row r="27" spans="1:11" ht="16.5" customHeight="1" x14ac:dyDescent="0.25">
      <c r="A27" s="139">
        <f>IFERROR(IF(IFERROR(MATCH(23,'كشف الحساب'!$N$4:$N$203,0),0)=0,"",INDEX('كشف الحساب'!$A$4:$A$203,IFERROR(MATCH(23,'كشف الحساب'!$N$4:$N$203,0),0))),"")</f>
        <v>46227</v>
      </c>
      <c r="B27" s="59" t="str">
        <f>IFERROR(IF(IFERROR(MATCH(23,'كشف الحساب'!$N$4:$N$203,0),0)=0,"",INDEX('كشف الحساب'!$B$4:$B$203,IFERROR(MATCH(23,'كشف الحساب'!$N$4:$N$203,0),0))),"")</f>
        <v>Inv-102</v>
      </c>
      <c r="C27" s="37" t="str">
        <f>IFERROR(IF(IFERROR(MATCH(23,'كشف الحساب'!$N$4:$N$203,0),0)=0,"",INDEX('كشف الحساب'!$C$4:$C$203,IFERROR(MATCH(23,'كشف الحساب'!$N$4:$N$203,0),0))),"")</f>
        <v>متنوع عدد2 الحبه 1</v>
      </c>
      <c r="D27" s="38">
        <f>IFERROR(IF(IFERROR(MATCH(23,'كشف الحساب'!$N$4:$N$203,0),0)=0,"",INDEX('كشف الحساب'!$D$4:$D$203,IFERROR(MATCH(23,'كشف الحساب'!$N$4:$N$203,0),0))),"")</f>
        <v>0</v>
      </c>
      <c r="E27" s="60">
        <f>IFERROR(IF(IFERROR(MATCH(23,'كشف الحساب'!$N$4:$N$203,0),0)=0,"",INDEX('كشف الحساب'!$E$4:$E$203,IFERROR(MATCH(23,'كشف الحساب'!$N$4:$N$203,0),0))),"")</f>
        <v>2</v>
      </c>
      <c r="F27" s="59" t="str">
        <f>IFERROR(IF(IFERROR(MATCH(23,'كشف الحساب'!$N$4:$N$203,0),0)=0,"",INDEX('كشف الحساب'!$F$4:$F$203,IFERROR(MATCH(23,'كشف الحساب'!$N$4:$N$203,0),0))),"")</f>
        <v>أون لاين</v>
      </c>
      <c r="G27" s="59">
        <f>IFERROR(IF(IFERROR(MATCH(23,'كشف الحساب'!$N$4:$N$203,0),0)=0,"",INDEX('كشف الحساب'!$G$4:$G$203,IFERROR(MATCH(23,'كشف الحساب'!$N$4:$N$203,0),0))),"")</f>
        <v>0</v>
      </c>
      <c r="H27" s="59" t="str">
        <f>IFERROR(IF(IFERROR(MATCH(23,'كشف الحساب'!$N$4:$N$203,0),0)=0,"",INDEX('كشف الحساب'!$H$4:$H$203,IFERROR(MATCH(23,'كشف الحساب'!$N$4:$N$203,0),0))),"")</f>
        <v>تم الدفع</v>
      </c>
      <c r="I27" s="59">
        <f>IFERROR(IF(IFERROR(MATCH(23,'كشف الحساب'!$N$4:$N$203,0),0)=0,"",INDEX('كشف الحساب'!$I$4:$I$203,IFERROR(MATCH(23,'كشف الحساب'!$N$4:$N$203,0),0))),"")</f>
        <v>0</v>
      </c>
      <c r="J27" s="43">
        <f>IFERROR(IF(IFERROR(MATCH(23,'كشف الحساب'!$N$4:$N$203,0),0)=0,"",INDEX('كشف الحساب'!$J$4:$J$203,IFERROR(MATCH(23,'كشف الحساب'!$N$4:$N$203,0),0))),"")</f>
        <v>146.625</v>
      </c>
      <c r="K27" s="59">
        <f>IFERROR(IF(IFERROR(MATCH(23,'كشف الحساب'!$N$4:$N$203,0),0)=0,"",INDEX('كشف الحساب'!$K$4:$K$203,IFERROR(MATCH(23,'كشف الحساب'!$N$4:$N$203,0),0))),"")</f>
        <v>0</v>
      </c>
    </row>
    <row r="28" spans="1:11" ht="16.5" customHeight="1" x14ac:dyDescent="0.25">
      <c r="A28" s="25">
        <f>IFERROR(IF(IFERROR(MATCH(24,'كشف الحساب'!$N$4:$N$203,0),0)=0,"",INDEX('كشف الحساب'!$A$4:$A$203,IFERROR(MATCH(24,'كشف الحساب'!$N$4:$N$203,0),0))),"")</f>
        <v>46229</v>
      </c>
      <c r="B28" s="61">
        <f>IFERROR(IF(IFERROR(MATCH(24,'كشف الحساب'!$N$4:$N$203,0),0)=0,"",INDEX('كشف الحساب'!$B$4:$B$203,IFERROR(MATCH(24,'كشف الحساب'!$N$4:$N$203,0),0))),"")</f>
        <v>0</v>
      </c>
      <c r="C28" s="27" t="str">
        <f>IFERROR(IF(IFERROR(MATCH(24,'كشف الحساب'!$N$4:$N$203,0),0)=0,"",INDEX('كشف الحساب'!$C$4:$C$203,IFERROR(MATCH(24,'كشف الحساب'!$N$4:$N$203,0),0))),"")</f>
        <v>كوكوبيد</v>
      </c>
      <c r="D28" s="28">
        <f>IFERROR(IF(IFERROR(MATCH(24,'كشف الحساب'!$N$4:$N$203,0),0)=0,"",INDEX('كشف الحساب'!$D$4:$D$203,IFERROR(MATCH(24,'كشف الحساب'!$N$4:$N$203,0),0))),"")</f>
        <v>10</v>
      </c>
      <c r="E28" s="62">
        <f>IFERROR(IF(IFERROR(MATCH(24,'كشف الحساب'!$N$4:$N$203,0),0)=0,"",INDEX('كشف الحساب'!$E$4:$E$203,IFERROR(MATCH(24,'كشف الحساب'!$N$4:$N$203,0),0))),"")</f>
        <v>0</v>
      </c>
      <c r="F28" s="61" t="str">
        <f>IFERROR(IF(IFERROR(MATCH(24,'كشف الحساب'!$N$4:$N$203,0),0)=0,"",INDEX('كشف الحساب'!$F$4:$F$203,IFERROR(MATCH(24,'كشف الحساب'!$N$4:$N$203,0),0))),"")</f>
        <v>نقداً</v>
      </c>
      <c r="G28" s="61" t="str">
        <f>IFERROR(IF(IFERROR(MATCH(24,'كشف الحساب'!$N$4:$N$203,0),0)=0,"",INDEX('كشف الحساب'!$G$4:$G$203,IFERROR(MATCH(24,'كشف الحساب'!$N$4:$N$203,0),0))),"")</f>
        <v>المحفظة</v>
      </c>
      <c r="H28" s="61" t="str">
        <f>IFERROR(IF(IFERROR(MATCH(24,'كشف الحساب'!$N$4:$N$203,0),0)=0,"",INDEX('كشف الحساب'!$H$4:$H$203,IFERROR(MATCH(24,'كشف الحساب'!$N$4:$N$203,0),0))),"")</f>
        <v>تم الدفع</v>
      </c>
      <c r="I28" s="61">
        <f>IFERROR(IF(IFERROR(MATCH(24,'كشف الحساب'!$N$4:$N$203,0),0)=0,"",INDEX('كشف الحساب'!$I$4:$I$203,IFERROR(MATCH(24,'كشف الحساب'!$N$4:$N$203,0),0))),"")</f>
        <v>0</v>
      </c>
      <c r="J28" s="34">
        <f>IFERROR(IF(IFERROR(MATCH(24,'كشف الحساب'!$N$4:$N$203,0),0)=0,"",INDEX('كشف الحساب'!$J$4:$J$203,IFERROR(MATCH(24,'كشف الحساب'!$N$4:$N$203,0),0))),"")</f>
        <v>136.625</v>
      </c>
      <c r="K28" s="61">
        <f>IFERROR(IF(IFERROR(MATCH(24,'كشف الحساب'!$N$4:$N$203,0),0)=0,"",INDEX('كشف الحساب'!$K$4:$K$203,IFERROR(MATCH(24,'كشف الحساب'!$N$4:$N$203,0),0))),"")</f>
        <v>0</v>
      </c>
    </row>
    <row r="29" spans="1:11" ht="16.5" customHeight="1" x14ac:dyDescent="0.25">
      <c r="A29" s="139">
        <f>IFERROR(IF(IFERROR(MATCH(25,'كشف الحساب'!$N$4:$N$203,0),0)=0,"",INDEX('كشف الحساب'!$A$4:$A$203,IFERROR(MATCH(25,'كشف الحساب'!$N$4:$N$203,0),0))),"")</f>
        <v>46229</v>
      </c>
      <c r="B29" s="59">
        <f>IFERROR(IF(IFERROR(MATCH(25,'كشف الحساب'!$N$4:$N$203,0),0)=0,"",INDEX('كشف الحساب'!$B$4:$B$203,IFERROR(MATCH(25,'كشف الحساب'!$N$4:$N$203,0),0))),"")</f>
        <v>0</v>
      </c>
      <c r="C29" s="37" t="str">
        <f>IFERROR(IF(IFERROR(MATCH(25,'كشف الحساب'!$N$4:$N$203,0),0)=0,"",INDEX('كشف الحساب'!$C$4:$C$203,IFERROR(MATCH(25,'كشف الحساب'!$N$4:$N$203,0),0))),"")</f>
        <v>احواض عدد 1000 مقاس 14 سم</v>
      </c>
      <c r="D29" s="38">
        <f>IFERROR(IF(IFERROR(MATCH(25,'كشف الحساب'!$N$4:$N$203,0),0)=0,"",INDEX('كشف الحساب'!$D$4:$D$203,IFERROR(MATCH(25,'كشف الحساب'!$N$4:$N$203,0),0))),"")</f>
        <v>20</v>
      </c>
      <c r="E29" s="60">
        <f>IFERROR(IF(IFERROR(MATCH(25,'كشف الحساب'!$N$4:$N$203,0),0)=0,"",INDEX('كشف الحساب'!$E$4:$E$203,IFERROR(MATCH(25,'كشف الحساب'!$N$4:$N$203,0),0))),"")</f>
        <v>0</v>
      </c>
      <c r="F29" s="59" t="str">
        <f>IFERROR(IF(IFERROR(MATCH(25,'كشف الحساب'!$N$4:$N$203,0),0)=0,"",INDEX('كشف الحساب'!$F$4:$F$203,IFERROR(MATCH(25,'كشف الحساب'!$N$4:$N$203,0),0))),"")</f>
        <v>نقداً</v>
      </c>
      <c r="G29" s="59" t="str">
        <f>IFERROR(IF(IFERROR(MATCH(25,'كشف الحساب'!$N$4:$N$203,0),0)=0,"",INDEX('كشف الحساب'!$G$4:$G$203,IFERROR(MATCH(25,'كشف الحساب'!$N$4:$N$203,0),0))),"")</f>
        <v>المحفظة</v>
      </c>
      <c r="H29" s="59" t="str">
        <f>IFERROR(IF(IFERROR(MATCH(25,'كشف الحساب'!$N$4:$N$203,0),0)=0,"",INDEX('كشف الحساب'!$H$4:$H$203,IFERROR(MATCH(25,'كشف الحساب'!$N$4:$N$203,0),0))),"")</f>
        <v>تم الدفع</v>
      </c>
      <c r="I29" s="59">
        <f>IFERROR(IF(IFERROR(MATCH(25,'كشف الحساب'!$N$4:$N$203,0),0)=0,"",INDEX('كشف الحساب'!$I$4:$I$203,IFERROR(MATCH(25,'كشف الحساب'!$N$4:$N$203,0),0))),"")</f>
        <v>0</v>
      </c>
      <c r="J29" s="43">
        <f>IFERROR(IF(IFERROR(MATCH(25,'كشف الحساب'!$N$4:$N$203,0),0)=0,"",INDEX('كشف الحساب'!$J$4:$J$203,IFERROR(MATCH(25,'كشف الحساب'!$N$4:$N$203,0),0))),"")</f>
        <v>116.625</v>
      </c>
      <c r="K29" s="59">
        <f>IFERROR(IF(IFERROR(MATCH(25,'كشف الحساب'!$N$4:$N$203,0),0)=0,"",INDEX('كشف الحساب'!$K$4:$K$203,IFERROR(MATCH(25,'كشف الحساب'!$N$4:$N$203,0),0))),"")</f>
        <v>0</v>
      </c>
    </row>
    <row r="30" spans="1:11" ht="16.5" customHeight="1" x14ac:dyDescent="0.25">
      <c r="A30" s="25">
        <f>IFERROR(IF(IFERROR(MATCH(26,'كشف الحساب'!$N$4:$N$203,0),0)=0,"",INDEX('كشف الحساب'!$A$4:$A$203,IFERROR(MATCH(26,'كشف الحساب'!$N$4:$N$203,0),0))),"")</f>
        <v>46594</v>
      </c>
      <c r="B30" s="61" t="str">
        <f>IFERROR(IF(IFERROR(MATCH(26,'كشف الحساب'!$N$4:$N$203,0),0)=0,"",INDEX('كشف الحساب'!$B$4:$B$203,IFERROR(MATCH(26,'كشف الحساب'!$N$4:$N$203,0),0))),"")</f>
        <v>Inv-103</v>
      </c>
      <c r="C30" s="27" t="str">
        <f>IFERROR(IF(IFERROR(MATCH(26,'كشف الحساب'!$N$4:$N$203,0),0)=0,"",INDEX('كشف الحساب'!$C$4:$C$203,IFERROR(MATCH(26,'كشف الحساب'!$N$4:$N$203,0),0))),"")</f>
        <v>متفرقات</v>
      </c>
      <c r="D30" s="28">
        <f>IFERROR(IF(IFERROR(MATCH(26,'كشف الحساب'!$N$4:$N$203,0),0)=0,"",INDEX('كشف الحساب'!$D$4:$D$203,IFERROR(MATCH(26,'كشف الحساب'!$N$4:$N$203,0),0))),"")</f>
        <v>0</v>
      </c>
      <c r="E30" s="62">
        <f>IFERROR(IF(IFERROR(MATCH(26,'كشف الحساب'!$N$4:$N$203,0),0)=0,"",INDEX('كشف الحساب'!$E$4:$E$203,IFERROR(MATCH(26,'كشف الحساب'!$N$4:$N$203,0),0))),"")</f>
        <v>7.5</v>
      </c>
      <c r="F30" s="61" t="str">
        <f>IFERROR(IF(IFERROR(MATCH(26,'كشف الحساب'!$N$4:$N$203,0),0)=0,"",INDEX('كشف الحساب'!$F$4:$F$203,IFERROR(MATCH(26,'كشف الحساب'!$N$4:$N$203,0),0))),"")</f>
        <v>نقداً</v>
      </c>
      <c r="G30" s="61">
        <f>IFERROR(IF(IFERROR(MATCH(26,'كشف الحساب'!$N$4:$N$203,0),0)=0,"",INDEX('كشف الحساب'!$G$4:$G$203,IFERROR(MATCH(26,'كشف الحساب'!$N$4:$N$203,0),0))),"")</f>
        <v>0</v>
      </c>
      <c r="H30" s="61" t="str">
        <f>IFERROR(IF(IFERROR(MATCH(26,'كشف الحساب'!$N$4:$N$203,0),0)=0,"",INDEX('كشف الحساب'!$H$4:$H$203,IFERROR(MATCH(26,'كشف الحساب'!$N$4:$N$203,0),0))),"")</f>
        <v>تم الدفع</v>
      </c>
      <c r="I30" s="61">
        <f>IFERROR(IF(IFERROR(MATCH(26,'كشف الحساب'!$N$4:$N$203,0),0)=0,"",INDEX('كشف الحساب'!$I$4:$I$203,IFERROR(MATCH(26,'كشف الحساب'!$N$4:$N$203,0),0))),"")</f>
        <v>0</v>
      </c>
      <c r="J30" s="34">
        <f>IFERROR(IF(IFERROR(MATCH(26,'كشف الحساب'!$N$4:$N$203,0),0)=0,"",INDEX('كشف الحساب'!$J$4:$J$203,IFERROR(MATCH(26,'كشف الحساب'!$N$4:$N$203,0),0))),"")</f>
        <v>124.125</v>
      </c>
      <c r="K30" s="61">
        <f>IFERROR(IF(IFERROR(MATCH(26,'كشف الحساب'!$N$4:$N$203,0),0)=0,"",INDEX('كشف الحساب'!$K$4:$K$203,IFERROR(MATCH(26,'كشف الحساب'!$N$4:$N$203,0),0))),"")</f>
        <v>0</v>
      </c>
    </row>
    <row r="31" spans="1:11" ht="16.5" customHeight="1" x14ac:dyDescent="0.25">
      <c r="A31" s="139">
        <f>IFERROR(IF(IFERROR(MATCH(27,'كشف الحساب'!$N$4:$N$203,0),0)=0,"",INDEX('كشف الحساب'!$A$4:$A$203,IFERROR(MATCH(27,'كشف الحساب'!$N$4:$N$203,0),0))),"")</f>
        <v>46229</v>
      </c>
      <c r="B31" s="59">
        <f>IFERROR(IF(IFERROR(MATCH(27,'كشف الحساب'!$N$4:$N$203,0),0)=0,"",INDEX('كشف الحساب'!$B$4:$B$203,IFERROR(MATCH(27,'كشف الحساب'!$N$4:$N$203,0),0))),"")</f>
        <v>0</v>
      </c>
      <c r="C31" s="37" t="str">
        <f>IFERROR(IF(IFERROR(MATCH(27,'كشف الحساب'!$N$4:$N$203,0),0)=0,"",INDEX('كشف الحساب'!$C$4:$C$203,IFERROR(MATCH(27,'كشف الحساب'!$N$4:$N$203,0),0))),"")</f>
        <v>تسوية رصيد فعلي - المتوفر 107.305 (صافي الشهر 99.075 + فائض عام 16.750)</v>
      </c>
      <c r="D31" s="38">
        <f>IFERROR(IF(IFERROR(MATCH(27,'كشف الحساب'!$N$4:$N$203,0),0)=0,"",INDEX('كشف الحساب'!$D$4:$D$203,IFERROR(MATCH(27,'كشف الحساب'!$N$4:$N$203,0),0))),"")</f>
        <v>16.82</v>
      </c>
      <c r="E31" s="60">
        <f>IFERROR(IF(IFERROR(MATCH(27,'كشف الحساب'!$N$4:$N$203,0),0)=0,"",INDEX('كشف الحساب'!$E$4:$E$203,IFERROR(MATCH(27,'كشف الحساب'!$N$4:$N$203,0),0))),"")</f>
        <v>0</v>
      </c>
      <c r="F31" s="59" t="str">
        <f>IFERROR(IF(IFERROR(MATCH(27,'كشف الحساب'!$N$4:$N$203,0),0)=0,"",INDEX('كشف الحساب'!$F$4:$F$203,IFERROR(MATCH(27,'كشف الحساب'!$N$4:$N$203,0),0))),"")</f>
        <v>نقداً</v>
      </c>
      <c r="G31" s="59" t="str">
        <f>IFERROR(IF(IFERROR(MATCH(27,'كشف الحساب'!$N$4:$N$203,0),0)=0,"",INDEX('كشف الحساب'!$G$4:$G$203,IFERROR(MATCH(27,'كشف الحساب'!$N$4:$N$203,0),0))),"")</f>
        <v>المحفظة</v>
      </c>
      <c r="H31" s="59" t="str">
        <f>IFERROR(IF(IFERROR(MATCH(27,'كشف الحساب'!$N$4:$N$203,0),0)=0,"",INDEX('كشف الحساب'!$H$4:$H$203,IFERROR(MATCH(27,'كشف الحساب'!$N$4:$N$203,0),0))),"")</f>
        <v>تم الدفع</v>
      </c>
      <c r="I31" s="59">
        <f>IFERROR(IF(IFERROR(MATCH(27,'كشف الحساب'!$N$4:$N$203,0),0)=0,"",INDEX('كشف الحساب'!$I$4:$I$203,IFERROR(MATCH(27,'كشف الحساب'!$N$4:$N$203,0),0))),"")</f>
        <v>0</v>
      </c>
      <c r="J31" s="43">
        <f>IFERROR(IF(IFERROR(MATCH(27,'كشف الحساب'!$N$4:$N$203,0),0)=0,"",INDEX('كشف الحساب'!$J$4:$J$203,IFERROR(MATCH(27,'كشف الحساب'!$N$4:$N$203,0),0))),"")</f>
        <v>107.30500000000001</v>
      </c>
      <c r="K31" s="59">
        <f>IFERROR(IF(IFERROR(MATCH(27,'كشف الحساب'!$N$4:$N$203,0),0)=0,"",INDEX('كشف الحساب'!$K$4:$K$203,IFERROR(MATCH(27,'كشف الحساب'!$N$4:$N$203,0),0))),"")</f>
        <v>0</v>
      </c>
    </row>
    <row r="32" spans="1:11" ht="16.5" customHeight="1" x14ac:dyDescent="0.25">
      <c r="A32" s="25">
        <f>IFERROR(IF(IFERROR(MATCH(28,'كشف الحساب'!$N$4:$N$203,0),0)=0,"",INDEX('كشف الحساب'!$A$4:$A$203,IFERROR(MATCH(28,'كشف الحساب'!$N$4:$N$203,0),0))),"")</f>
        <v>46231</v>
      </c>
      <c r="B32" s="61" t="str">
        <f>IFERROR(IF(IFERROR(MATCH(28,'كشف الحساب'!$N$4:$N$203,0),0)=0,"",INDEX('كشف الحساب'!$B$4:$B$203,IFERROR(MATCH(28,'كشف الحساب'!$N$4:$N$203,0),0))),"")</f>
        <v>Inv-104</v>
      </c>
      <c r="C32" s="27" t="str">
        <f>IFERROR(IF(IFERROR(MATCH(28,'كشف الحساب'!$N$4:$N$203,0),0)=0,"",INDEX('كشف الحساب'!$C$4:$C$203,IFERROR(MATCH(28,'كشف الحساب'!$N$4:$N$203,0),0))),"")</f>
        <v>متنوع عدد 1 الحبه 2.500</v>
      </c>
      <c r="D32" s="28">
        <f>IFERROR(IF(IFERROR(MATCH(28,'كشف الحساب'!$N$4:$N$203,0),0)=0,"",INDEX('كشف الحساب'!$D$4:$D$203,IFERROR(MATCH(28,'كشف الحساب'!$N$4:$N$203,0),0))),"")</f>
        <v>0</v>
      </c>
      <c r="E32" s="62">
        <f>IFERROR(IF(IFERROR(MATCH(28,'كشف الحساب'!$N$4:$N$203,0),0)=0,"",INDEX('كشف الحساب'!$E$4:$E$203,IFERROR(MATCH(28,'كشف الحساب'!$N$4:$N$203,0),0))),"")</f>
        <v>2.5</v>
      </c>
      <c r="F32" s="61" t="str">
        <f>IFERROR(IF(IFERROR(MATCH(28,'كشف الحساب'!$N$4:$N$203,0),0)=0,"",INDEX('كشف الحساب'!$F$4:$F$203,IFERROR(MATCH(28,'كشف الحساب'!$N$4:$N$203,0),0))),"")</f>
        <v>أون لاين</v>
      </c>
      <c r="G32" s="61">
        <f>IFERROR(IF(IFERROR(MATCH(28,'كشف الحساب'!$N$4:$N$203,0),0)=0,"",INDEX('كشف الحساب'!$G$4:$G$203,IFERROR(MATCH(28,'كشف الحساب'!$N$4:$N$203,0),0))),"")</f>
        <v>0</v>
      </c>
      <c r="H32" s="61" t="str">
        <f>IFERROR(IF(IFERROR(MATCH(28,'كشف الحساب'!$N$4:$N$203,0),0)=0,"",INDEX('كشف الحساب'!$H$4:$H$203,IFERROR(MATCH(28,'كشف الحساب'!$N$4:$N$203,0),0))),"")</f>
        <v>تم الدفع</v>
      </c>
      <c r="I32" s="61">
        <f>IFERROR(IF(IFERROR(MATCH(28,'كشف الحساب'!$N$4:$N$203,0),0)=0,"",INDEX('كشف الحساب'!$I$4:$I$203,IFERROR(MATCH(28,'كشف الحساب'!$N$4:$N$203,0),0))),"")</f>
        <v>0</v>
      </c>
      <c r="J32" s="34">
        <f>IFERROR(IF(IFERROR(MATCH(28,'كشف الحساب'!$N$4:$N$203,0),0)=0,"",INDEX('كشف الحساب'!$J$4:$J$203,IFERROR(MATCH(28,'كشف الحساب'!$N$4:$N$203,0),0))),"")</f>
        <v>109.80500000000001</v>
      </c>
      <c r="K32" s="61">
        <f>IFERROR(IF(IFERROR(MATCH(28,'كشف الحساب'!$N$4:$N$203,0),0)=0,"",INDEX('كشف الحساب'!$K$4:$K$203,IFERROR(MATCH(28,'كشف الحساب'!$N$4:$N$203,0),0))),"")</f>
        <v>0</v>
      </c>
    </row>
    <row r="33" spans="1:11" ht="16.5" customHeight="1" x14ac:dyDescent="0.25">
      <c r="A33" s="139">
        <f>IFERROR(IF(IFERROR(MATCH(29,'كشف الحساب'!$N$4:$N$203,0),0)=0,"",INDEX('كشف الحساب'!$A$4:$A$203,IFERROR(MATCH(29,'كشف الحساب'!$N$4:$N$203,0),0))),"")</f>
        <v>46231</v>
      </c>
      <c r="B33" s="59" t="str">
        <f>IFERROR(IF(IFERROR(MATCH(29,'كشف الحساب'!$N$4:$N$203,0),0)=0,"",INDEX('كشف الحساب'!$B$4:$B$203,IFERROR(MATCH(29,'كشف الحساب'!$N$4:$N$203,0),0))),"")</f>
        <v>Inv-105</v>
      </c>
      <c r="C33" s="37" t="str">
        <f>IFERROR(IF(IFERROR(MATCH(29,'كشف الحساب'!$N$4:$N$203,0),0)=0,"",INDEX('كشف الحساب'!$C$4:$C$203,IFERROR(MATCH(29,'كشف الحساب'!$N$4:$N$203,0),0))),"")</f>
        <v>دارسينا عدد 1 الحبه 3</v>
      </c>
      <c r="D33" s="38">
        <f>IFERROR(IF(IFERROR(MATCH(29,'كشف الحساب'!$N$4:$N$203,0),0)=0,"",INDEX('كشف الحساب'!$D$4:$D$203,IFERROR(MATCH(29,'كشف الحساب'!$N$4:$N$203,0),0))),"")</f>
        <v>0</v>
      </c>
      <c r="E33" s="60">
        <f>IFERROR(IF(IFERROR(MATCH(29,'كشف الحساب'!$N$4:$N$203,0),0)=0,"",INDEX('كشف الحساب'!$E$4:$E$203,IFERROR(MATCH(29,'كشف الحساب'!$N$4:$N$203,0),0))),"")</f>
        <v>3</v>
      </c>
      <c r="F33" s="59" t="str">
        <f>IFERROR(IF(IFERROR(MATCH(29,'كشف الحساب'!$N$4:$N$203,0),0)=0,"",INDEX('كشف الحساب'!$F$4:$F$203,IFERROR(MATCH(29,'كشف الحساب'!$N$4:$N$203,0),0))),"")</f>
        <v>أون لاين</v>
      </c>
      <c r="G33" s="59">
        <f>IFERROR(IF(IFERROR(MATCH(29,'كشف الحساب'!$N$4:$N$203,0),0)=0,"",INDEX('كشف الحساب'!$G$4:$G$203,IFERROR(MATCH(29,'كشف الحساب'!$N$4:$N$203,0),0))),"")</f>
        <v>0</v>
      </c>
      <c r="H33" s="59" t="str">
        <f>IFERROR(IF(IFERROR(MATCH(29,'كشف الحساب'!$N$4:$N$203,0),0)=0,"",INDEX('كشف الحساب'!$H$4:$H$203,IFERROR(MATCH(29,'كشف الحساب'!$N$4:$N$203,0),0))),"")</f>
        <v>تم الدفع</v>
      </c>
      <c r="I33" s="59">
        <f>IFERROR(IF(IFERROR(MATCH(29,'كشف الحساب'!$N$4:$N$203,0),0)=0,"",INDEX('كشف الحساب'!$I$4:$I$203,IFERROR(MATCH(29,'كشف الحساب'!$N$4:$N$203,0),0))),"")</f>
        <v>0</v>
      </c>
      <c r="J33" s="43">
        <f>IFERROR(IF(IFERROR(MATCH(29,'كشف الحساب'!$N$4:$N$203,0),0)=0,"",INDEX('كشف الحساب'!$J$4:$J$203,IFERROR(MATCH(29,'كشف الحساب'!$N$4:$N$203,0),0))),"")</f>
        <v>112.80500000000001</v>
      </c>
      <c r="K33" s="59">
        <f>IFERROR(IF(IFERROR(MATCH(29,'كشف الحساب'!$N$4:$N$203,0),0)=0,"",INDEX('كشف الحساب'!$K$4:$K$203,IFERROR(MATCH(29,'كشف الحساب'!$N$4:$N$203,0),0))),"")</f>
        <v>0</v>
      </c>
    </row>
    <row r="34" spans="1:11" ht="16.5" customHeight="1" x14ac:dyDescent="0.25">
      <c r="A34" s="25">
        <f>IFERROR(IF(IFERROR(MATCH(30,'كشف الحساب'!$N$4:$N$203,0),0)=0,"",INDEX('كشف الحساب'!$A$4:$A$203,IFERROR(MATCH(30,'كشف الحساب'!$N$4:$N$203,0),0))),"")</f>
        <v>46232</v>
      </c>
      <c r="B34" s="61">
        <f>IFERROR(IF(IFERROR(MATCH(30,'كشف الحساب'!$N$4:$N$203,0),0)=0,"",INDEX('كشف الحساب'!$B$4:$B$203,IFERROR(MATCH(30,'كشف الحساب'!$N$4:$N$203,0),0))),"")</f>
        <v>0</v>
      </c>
      <c r="C34" s="27" t="str">
        <f>IFERROR(IF(IFERROR(MATCH(30,'كشف الحساب'!$N$4:$N$203,0),0)=0,"",INDEX('كشف الحساب'!$C$4:$C$203,IFERROR(MATCH(30,'كشف الحساب'!$N$4:$N$203,0),0))),"")</f>
        <v>عدد 3 عماله + 10 ايام العامل البديل 40 دينار</v>
      </c>
      <c r="D34" s="28">
        <f>IFERROR(IF(IFERROR(MATCH(30,'كشف الحساب'!$N$4:$N$203,0),0)=0,"",INDEX('كشف الحساب'!$D$4:$D$203,IFERROR(MATCH(30,'كشف الحساب'!$N$4:$N$203,0),0))),"")</f>
        <v>99</v>
      </c>
      <c r="E34" s="62">
        <f>IFERROR(IF(IFERROR(MATCH(30,'كشف الحساب'!$N$4:$N$203,0),0)=0,"",INDEX('كشف الحساب'!$E$4:$E$203,IFERROR(MATCH(30,'كشف الحساب'!$N$4:$N$203,0),0))),"")</f>
        <v>0</v>
      </c>
      <c r="F34" s="61" t="str">
        <f>IFERROR(IF(IFERROR(MATCH(30,'كشف الحساب'!$N$4:$N$203,0),0)=0,"",INDEX('كشف الحساب'!$F$4:$F$203,IFERROR(MATCH(30,'كشف الحساب'!$N$4:$N$203,0),0))),"")</f>
        <v>نقداً</v>
      </c>
      <c r="G34" s="61" t="str">
        <f>IFERROR(IF(IFERROR(MATCH(30,'كشف الحساب'!$N$4:$N$203,0),0)=0,"",INDEX('كشف الحساب'!$G$4:$G$203,IFERROR(MATCH(30,'كشف الحساب'!$N$4:$N$203,0),0))),"")</f>
        <v>المحفظة</v>
      </c>
      <c r="H34" s="61" t="str">
        <f>IFERROR(IF(IFERROR(MATCH(30,'كشف الحساب'!$N$4:$N$203,0),0)=0,"",INDEX('كشف الحساب'!$H$4:$H$203,IFERROR(MATCH(30,'كشف الحساب'!$N$4:$N$203,0),0))),"")</f>
        <v>تم الدفع</v>
      </c>
      <c r="I34" s="61">
        <f>IFERROR(IF(IFERROR(MATCH(30,'كشف الحساب'!$N$4:$N$203,0),0)=0,"",INDEX('كشف الحساب'!$I$4:$I$203,IFERROR(MATCH(30,'كشف الحساب'!$N$4:$N$203,0),0))),"")</f>
        <v>0</v>
      </c>
      <c r="J34" s="34">
        <f>IFERROR(IF(IFERROR(MATCH(30,'كشف الحساب'!$N$4:$N$203,0),0)=0,"",INDEX('كشف الحساب'!$J$4:$J$203,IFERROR(MATCH(30,'كشف الحساب'!$N$4:$N$203,0),0))),"")</f>
        <v>13.805000000000007</v>
      </c>
      <c r="K34" s="61">
        <f>IFERROR(IF(IFERROR(MATCH(30,'كشف الحساب'!$N$4:$N$203,0),0)=0,"",INDEX('كشف الحساب'!$K$4:$K$203,IFERROR(MATCH(30,'كشف الحساب'!$N$4:$N$203,0),0))),"")</f>
        <v>0</v>
      </c>
    </row>
    <row r="35" spans="1:11" ht="15" customHeight="1" x14ac:dyDescent="0.25">
      <c r="A35" s="63">
        <f>IFERROR(IF(IFERROR(MATCH(31,'كشف الحساب'!$N$4:$N$203,0),0)=0,"",INDEX('كشف الحساب'!$A$4:$A$203,IFERROR(MATCH(31,'كشف الحساب'!$N$4:$N$203,0),0))),"")</f>
        <v>46232</v>
      </c>
      <c r="B35" s="64">
        <f>IFERROR(IF(IFERROR(MATCH(31,'كشف الحساب'!$N$4:$N$203,0),0)=0,"",INDEX('كشف الحساب'!$B$4:$B$203,IFERROR(MATCH(31,'كشف الحساب'!$N$4:$N$203,0),0))),"")</f>
        <v>0</v>
      </c>
      <c r="C35" s="65" t="str">
        <f>IFERROR(IF(IFERROR(MATCH(31,'كشف الحساب'!$N$4:$N$203,0),0)=0,"",INDEX('كشف الحساب'!$C$4:$C$203,IFERROR(MATCH(31,'كشف الحساب'!$N$4:$N$203,0),0))),"")</f>
        <v>عدد 3 عماله + 10 ايام العامل البديل 40 دينار +50 كهرباء (تم دفه 99 من المحفظه)</v>
      </c>
      <c r="D35" s="66">
        <f>IFERROR(IF(IFERROR(MATCH(31,'كشف الحساب'!$N$4:$N$203,0),0)=0,"",INDEX('كشف الحساب'!$D$4:$D$203,IFERROR(MATCH(31,'كشف الحساب'!$N$4:$N$203,0),0))),"")</f>
        <v>205.5</v>
      </c>
      <c r="E35" s="67">
        <f>IFERROR(IF(IFERROR(MATCH(31,'كشف الحساب'!$N$4:$N$203,0),0)=0,"",INDEX('كشف الحساب'!$E$4:$E$203,IFERROR(MATCH(31,'كشف الحساب'!$N$4:$N$203,0),0))),"")</f>
        <v>0</v>
      </c>
      <c r="F35" s="64" t="str">
        <f>IFERROR(IF(IFERROR(MATCH(31,'كشف الحساب'!$N$4:$N$203,0),0)=0,"",INDEX('كشف الحساب'!$F$4:$F$203,IFERROR(MATCH(31,'كشف الحساب'!$N$4:$N$203,0),0))),"")</f>
        <v>أحد الشركاء</v>
      </c>
      <c r="G35" s="64" t="str">
        <f>IFERROR(IF(IFERROR(MATCH(31,'كشف الحساب'!$N$4:$N$203,0),0)=0,"",INDEX('كشف الحساب'!$G$4:$G$203,IFERROR(MATCH(31,'كشف الحساب'!$N$4:$N$203,0),0))),"")</f>
        <v>أبو آدم</v>
      </c>
      <c r="H35" s="64" t="str">
        <f>IFERROR(IF(IFERROR(MATCH(31,'كشف الحساب'!$N$4:$N$203,0),0)=0,"",INDEX('كشف الحساب'!$H$4:$H$203,IFERROR(MATCH(31,'كشف الحساب'!$N$4:$N$203,0),0))),"")</f>
        <v>تم الدفع</v>
      </c>
      <c r="I35" s="64">
        <f>IFERROR(IF(IFERROR(MATCH(31,'كشف الحساب'!$N$4:$N$203,0),0)=0,"",INDEX('كشف الحساب'!$I$4:$I$203,IFERROR(MATCH(31,'كشف الحساب'!$N$4:$N$203,0),0))),"")</f>
        <v>0</v>
      </c>
      <c r="J35" s="68">
        <f>IFERROR(IF(IFERROR(MATCH(31,'كشف الحساب'!$N$4:$N$203,0),0)=0,"",INDEX('كشف الحساب'!$J$4:$J$203,IFERROR(MATCH(31,'كشف الحساب'!$N$4:$N$203,0),0))),"")</f>
        <v>13.805000000000007</v>
      </c>
      <c r="K35" s="64">
        <f>IFERROR(IF(IFERROR(MATCH(31,'كشف الحساب'!$N$4:$N$203,0),0)=0,"",INDEX('كشف الحساب'!$K$4:$K$203,IFERROR(MATCH(31,'كشف الحساب'!$N$4:$N$203,0),0))),"")</f>
        <v>0</v>
      </c>
    </row>
    <row r="36" spans="1:11" ht="15" customHeight="1" x14ac:dyDescent="0.25">
      <c r="A36" s="69">
        <f>IFERROR(IF(IFERROR(MATCH(32,'كشف الحساب'!$N$4:$N$203,0),0)=0,"",INDEX('كشف الحساب'!$A$4:$A$203,IFERROR(MATCH(32,'كشف الحساب'!$N$4:$N$203,0),0))),"")</f>
        <v>46232</v>
      </c>
      <c r="B36" s="70">
        <f>IFERROR(IF(IFERROR(MATCH(32,'كشف الحساب'!$N$4:$N$203,0),0)=0,"",INDEX('كشف الحساب'!$B$4:$B$203,IFERROR(MATCH(32,'كشف الحساب'!$N$4:$N$203,0),0))),"")</f>
        <v>0</v>
      </c>
      <c r="C36" s="71" t="str">
        <f>IFERROR(IF(IFERROR(MATCH(32,'كشف الحساب'!$N$4:$N$203,0),0)=0,"",INDEX('كشف الحساب'!$C$4:$C$203,IFERROR(MATCH(32,'كشف الحساب'!$N$4:$N$203,0),0))),"")</f>
        <v>عدد 3 عماله + 10 ايام العامل البديل 40 دينار +50 كهرباء (تم دفه 99 من المحفظه)</v>
      </c>
      <c r="D36" s="72">
        <f>IFERROR(IF(IFERROR(MATCH(32,'كشف الحساب'!$N$4:$N$203,0),0)=0,"",INDEX('كشف الحساب'!$D$4:$D$203,IFERROR(MATCH(32,'كشف الحساب'!$N$4:$N$203,0),0))),"")</f>
        <v>205.5</v>
      </c>
      <c r="E36" s="73">
        <f>IFERROR(IF(IFERROR(MATCH(32,'كشف الحساب'!$N$4:$N$203,0),0)=0,"",INDEX('كشف الحساب'!$E$4:$E$203,IFERROR(MATCH(32,'كشف الحساب'!$N$4:$N$203,0),0))),"")</f>
        <v>0</v>
      </c>
      <c r="F36" s="70" t="str">
        <f>IFERROR(IF(IFERROR(MATCH(32,'كشف الحساب'!$N$4:$N$203,0),0)=0,"",INDEX('كشف الحساب'!$F$4:$F$203,IFERROR(MATCH(32,'كشف الحساب'!$N$4:$N$203,0),0))),"")</f>
        <v>أحد الشركاء</v>
      </c>
      <c r="G36" s="70" t="str">
        <f>IFERROR(IF(IFERROR(MATCH(32,'كشف الحساب'!$N$4:$N$203,0),0)=0,"",INDEX('كشف الحساب'!$G$4:$G$203,IFERROR(MATCH(32,'كشف الحساب'!$N$4:$N$203,0),0))),"")</f>
        <v>أبو اسحاق</v>
      </c>
      <c r="H36" s="70" t="str">
        <f>IFERROR(IF(IFERROR(MATCH(32,'كشف الحساب'!$N$4:$N$203,0),0)=0,"",INDEX('كشف الحساب'!$H$4:$H$203,IFERROR(MATCH(32,'كشف الحساب'!$N$4:$N$203,0),0))),"")</f>
        <v>تم الدفع</v>
      </c>
      <c r="I36" s="70">
        <f>IFERROR(IF(IFERROR(MATCH(32,'كشف الحساب'!$N$4:$N$203,0),0)=0,"",INDEX('كشف الحساب'!$I$4:$I$203,IFERROR(MATCH(32,'كشف الحساب'!$N$4:$N$203,0),0))),"")</f>
        <v>0</v>
      </c>
      <c r="J36" s="74">
        <f>IFERROR(IF(IFERROR(MATCH(32,'كشف الحساب'!$N$4:$N$203,0),0)=0,"",INDEX('كشف الحساب'!$J$4:$J$203,IFERROR(MATCH(32,'كشف الحساب'!$N$4:$N$203,0),0))),"")</f>
        <v>13.805000000000007</v>
      </c>
      <c r="K36" s="70">
        <f>IFERROR(IF(IFERROR(MATCH(32,'كشف الحساب'!$N$4:$N$203,0),0)=0,"",INDEX('كشف الحساب'!$K$4:$K$203,IFERROR(MATCH(32,'كشف الحساب'!$N$4:$N$203,0),0))),"")</f>
        <v>0</v>
      </c>
    </row>
    <row r="37" spans="1:11" ht="15" customHeight="1" x14ac:dyDescent="0.25">
      <c r="A37" s="63"/>
      <c r="B37" s="64">
        <f>IFERROR(IF(IFERROR(MATCH(33,'كشف الحساب'!$N$4:$N$203,0),0)=0,"",INDEX('كشف الحساب'!$B$4:$B$203,IFERROR(MATCH(33,'كشف الحساب'!$N$4:$N$203,0),0))),"")</f>
        <v>0</v>
      </c>
      <c r="C37" s="65"/>
      <c r="D37" s="66">
        <f>IFERROR(IF(IFERROR(MATCH(33,'كشف الحساب'!$N$4:$N$203,0),0)=0,"",INDEX('كشف الحساب'!$D$4:$D$203,IFERROR(MATCH(33,'كشف الحساب'!$N$4:$N$203,0),0))),"")</f>
        <v>0</v>
      </c>
      <c r="E37"/>
      <c r="F37" s="64" t="str">
        <f>IFERROR(IF(IFERROR(MATCH(33,'كشف الحساب'!$N$4:$N$203,0),0)=0,"",INDEX('كشف الحساب'!$F$4:$F$203,IFERROR(MATCH(33,'كشف الحساب'!$N$4:$N$203,0),0))),"")</f>
        <v>نقداً</v>
      </c>
      <c r="G37" s="64">
        <f>IFERROR(IF(IFERROR(MATCH(33,'كشف الحساب'!$N$4:$N$203,0),0)=0,"",INDEX('كشف الحساب'!$G$4:$G$203,IFERROR(MATCH(33,'كشف الحساب'!$N$4:$N$203,0),0))),"")</f>
        <v>0</v>
      </c>
      <c r="H37" s="64" t="str">
        <f>IFERROR(IF(IFERROR(MATCH(33,'كشف الحساب'!$N$4:$N$203,0),0)=0,"",INDEX('كشف الحساب'!$H$4:$H$203,IFERROR(MATCH(33,'كشف الحساب'!$N$4:$N$203,0),0))),"")</f>
        <v>تم الدفع</v>
      </c>
      <c r="I37" s="64">
        <f>IFERROR(IF(IFERROR(MATCH(33,'كشف الحساب'!$N$4:$N$203,0),0)=0,"",INDEX('كشف الحساب'!$I$4:$I$203,IFERROR(MATCH(33,'كشف الحساب'!$N$4:$N$203,0),0))),"")</f>
        <v>0</v>
      </c>
      <c r="J37" s="68">
        <f>IFERROR(IF(IFERROR(MATCH(33,'كشف الحساب'!$N$4:$N$203,0),0)=0,"",INDEX('كشف الحساب'!$J$4:$J$203,IFERROR(MATCH(33,'كشف الحساب'!$N$4:$N$203,0),0))),"")</f>
        <v>22.395000000000007</v>
      </c>
      <c r="K37" s="64">
        <f>IFERROR(IF(IFERROR(MATCH(33,'كشف الحساب'!$N$4:$N$203,0),0)=0,"",INDEX('كشف الحساب'!$K$4:$K$203,IFERROR(MATCH(33,'كشف الحساب'!$N$4:$N$203,0),0))),"")</f>
        <v>0</v>
      </c>
    </row>
    <row r="38" spans="1:11" ht="15" customHeight="1" x14ac:dyDescent="0.25">
      <c r="A38" s="69" t="str">
        <f>IFERROR(IF(IFERROR(MATCH(34,'كشف الحساب'!$N$4:$N$203,0),0)=0,"",INDEX('كشف الحساب'!$A$4:$A$203,IFERROR(MATCH(34,'كشف الحساب'!$N$4:$N$203,0),0))),"")</f>
        <v/>
      </c>
      <c r="B38" s="70" t="str">
        <f>IFERROR(IF(IFERROR(MATCH(34,'كشف الحساب'!$N$4:$N$203,0),0)=0,"",INDEX('كشف الحساب'!$B$4:$B$203,IFERROR(MATCH(34,'كشف الحساب'!$N$4:$N$203,0),0))),"")</f>
        <v/>
      </c>
      <c r="C38" s="71" t="str">
        <f>IFERROR(IF(IFERROR(MATCH(34,'كشف الحساب'!$N$4:$N$203,0),0)=0,"",INDEX('كشف الحساب'!$C$4:$C$203,IFERROR(MATCH(34,'كشف الحساب'!$N$4:$N$203,0),0))),"")</f>
        <v/>
      </c>
      <c r="D38" s="72" t="str">
        <f>IFERROR(IF(IFERROR(MATCH(34,'كشف الحساب'!$N$4:$N$203,0),0)=0,"",INDEX('كشف الحساب'!$D$4:$D$203,IFERROR(MATCH(34,'كشف الحساب'!$N$4:$N$203,0),0))),"")</f>
        <v/>
      </c>
      <c r="E38" s="73" t="str">
        <f>IFERROR(IF(IFERROR(MATCH(34,'كشف الحساب'!$N$4:$N$203,0),0)=0,"",INDEX('كشف الحساب'!$E$4:$E$203,IFERROR(MATCH(34,'كشف الحساب'!$N$4:$N$203,0),0))),"")</f>
        <v/>
      </c>
      <c r="F38" s="70" t="str">
        <f>IFERROR(IF(IFERROR(MATCH(34,'كشف الحساب'!$N$4:$N$203,0),0)=0,"",INDEX('كشف الحساب'!$F$4:$F$203,IFERROR(MATCH(34,'كشف الحساب'!$N$4:$N$203,0),0))),"")</f>
        <v/>
      </c>
      <c r="G38" s="70" t="str">
        <f>IFERROR(IF(IFERROR(MATCH(34,'كشف الحساب'!$N$4:$N$203,0),0)=0,"",INDEX('كشف الحساب'!$G$4:$G$203,IFERROR(MATCH(34,'كشف الحساب'!$N$4:$N$203,0),0))),"")</f>
        <v/>
      </c>
      <c r="H38" s="70" t="str">
        <f>IFERROR(IF(IFERROR(MATCH(34,'كشف الحساب'!$N$4:$N$203,0),0)=0,"",INDEX('كشف الحساب'!$H$4:$H$203,IFERROR(MATCH(34,'كشف الحساب'!$N$4:$N$203,0),0))),"")</f>
        <v/>
      </c>
      <c r="I38" s="70" t="str">
        <f>IFERROR(IF(IFERROR(MATCH(34,'كشف الحساب'!$N$4:$N$203,0),0)=0,"",INDEX('كشف الحساب'!$I$4:$I$203,IFERROR(MATCH(34,'كشف الحساب'!$N$4:$N$203,0),0))),"")</f>
        <v/>
      </c>
      <c r="J38" s="74" t="str">
        <f>IFERROR(IF(IFERROR(MATCH(34,'كشف الحساب'!$N$4:$N$203,0),0)=0,"",INDEX('كشف الحساب'!$J$4:$J$203,IFERROR(MATCH(34,'كشف الحساب'!$N$4:$N$203,0),0))),"")</f>
        <v/>
      </c>
      <c r="K38" s="70" t="str">
        <f>IFERROR(IF(IFERROR(MATCH(34,'كشف الحساب'!$N$4:$N$203,0),0)=0,"",INDEX('كشف الحساب'!$K$4:$K$203,IFERROR(MATCH(34,'كشف الحساب'!$N$4:$N$203,0),0))),"")</f>
        <v/>
      </c>
    </row>
    <row r="39" spans="1:11" ht="15" customHeight="1" x14ac:dyDescent="0.25">
      <c r="A39" s="63" t="str">
        <f>IFERROR(IF(IFERROR(MATCH(35,'كشف الحساب'!$N$4:$N$203,0),0)=0,"",INDEX('كشف الحساب'!$A$4:$A$203,IFERROR(MATCH(35,'كشف الحساب'!$N$4:$N$203,0),0))),"")</f>
        <v/>
      </c>
      <c r="B39" s="64" t="str">
        <f>IFERROR(IF(IFERROR(MATCH(35,'كشف الحساب'!$N$4:$N$203,0),0)=0,"",INDEX('كشف الحساب'!$B$4:$B$203,IFERROR(MATCH(35,'كشف الحساب'!$N$4:$N$203,0),0))),"")</f>
        <v/>
      </c>
      <c r="C39" s="65" t="str">
        <f>IFERROR(IF(IFERROR(MATCH(35,'كشف الحساب'!$N$4:$N$203,0),0)=0,"",INDEX('كشف الحساب'!$C$4:$C$203,IFERROR(MATCH(35,'كشف الحساب'!$N$4:$N$203,0),0))),"")</f>
        <v/>
      </c>
      <c r="D39" s="66" t="str">
        <f>IFERROR(IF(IFERROR(MATCH(35,'كشف الحساب'!$N$4:$N$203,0),0)=0,"",INDEX('كشف الحساب'!$D$4:$D$203,IFERROR(MATCH(35,'كشف الحساب'!$N$4:$N$203,0),0))),"")</f>
        <v/>
      </c>
      <c r="E39" s="67" t="str">
        <f>IFERROR(IF(IFERROR(MATCH(35,'كشف الحساب'!$N$4:$N$203,0),0)=0,"",INDEX('كشف الحساب'!$E$4:$E$203,IFERROR(MATCH(35,'كشف الحساب'!$N$4:$N$203,0),0))),"")</f>
        <v/>
      </c>
      <c r="F39" s="64" t="str">
        <f>IFERROR(IF(IFERROR(MATCH(35,'كشف الحساب'!$N$4:$N$203,0),0)=0,"",INDEX('كشف الحساب'!$F$4:$F$203,IFERROR(MATCH(35,'كشف الحساب'!$N$4:$N$203,0),0))),"")</f>
        <v/>
      </c>
      <c r="G39" s="64" t="str">
        <f>IFERROR(IF(IFERROR(MATCH(35,'كشف الحساب'!$N$4:$N$203,0),0)=0,"",INDEX('كشف الحساب'!$G$4:$G$203,IFERROR(MATCH(35,'كشف الحساب'!$N$4:$N$203,0),0))),"")</f>
        <v/>
      </c>
      <c r="H39" s="64" t="str">
        <f>IFERROR(IF(IFERROR(MATCH(35,'كشف الحساب'!$N$4:$N$203,0),0)=0,"",INDEX('كشف الحساب'!$H$4:$H$203,IFERROR(MATCH(35,'كشف الحساب'!$N$4:$N$203,0),0))),"")</f>
        <v/>
      </c>
      <c r="I39" s="64" t="str">
        <f>IFERROR(IF(IFERROR(MATCH(35,'كشف الحساب'!$N$4:$N$203,0),0)=0,"",INDEX('كشف الحساب'!$I$4:$I$203,IFERROR(MATCH(35,'كشف الحساب'!$N$4:$N$203,0),0))),"")</f>
        <v/>
      </c>
      <c r="J39" s="68" t="str">
        <f>IFERROR(IF(IFERROR(MATCH(35,'كشف الحساب'!$N$4:$N$203,0),0)=0,"",INDEX('كشف الحساب'!$J$4:$J$203,IFERROR(MATCH(35,'كشف الحساب'!$N$4:$N$203,0),0))),"")</f>
        <v/>
      </c>
      <c r="K39" s="64" t="str">
        <f>IFERROR(IF(IFERROR(MATCH(35,'كشف الحساب'!$N$4:$N$203,0),0)=0,"",INDEX('كشف الحساب'!$K$4:$K$203,IFERROR(MATCH(35,'كشف الحساب'!$N$4:$N$203,0),0))),"")</f>
        <v/>
      </c>
    </row>
    <row r="40" spans="1:11" ht="15" customHeight="1" x14ac:dyDescent="0.25">
      <c r="A40" s="69" t="str">
        <f>IFERROR(IF(IFERROR(MATCH(36,'كشف الحساب'!$N$4:$N$203,0),0)=0,"",INDEX('كشف الحساب'!$A$4:$A$203,IFERROR(MATCH(36,'كشف الحساب'!$N$4:$N$203,0),0))),"")</f>
        <v/>
      </c>
      <c r="B40" s="70" t="str">
        <f>IFERROR(IF(IFERROR(MATCH(36,'كشف الحساب'!$N$4:$N$203,0),0)=0,"",INDEX('كشف الحساب'!$B$4:$B$203,IFERROR(MATCH(36,'كشف الحساب'!$N$4:$N$203,0),0))),"")</f>
        <v/>
      </c>
      <c r="C40" s="71" t="str">
        <f>IFERROR(IF(IFERROR(MATCH(36,'كشف الحساب'!$N$4:$N$203,0),0)=0,"",INDEX('كشف الحساب'!$C$4:$C$203,IFERROR(MATCH(36,'كشف الحساب'!$N$4:$N$203,0),0))),"")</f>
        <v/>
      </c>
      <c r="D40" s="72" t="str">
        <f>IFERROR(IF(IFERROR(MATCH(36,'كشف الحساب'!$N$4:$N$203,0),0)=0,"",INDEX('كشف الحساب'!$D$4:$D$203,IFERROR(MATCH(36,'كشف الحساب'!$N$4:$N$203,0),0))),"")</f>
        <v/>
      </c>
      <c r="E40" s="73" t="str">
        <f>IFERROR(IF(IFERROR(MATCH(36,'كشف الحساب'!$N$4:$N$203,0),0)=0,"",INDEX('كشف الحساب'!$E$4:$E$203,IFERROR(MATCH(36,'كشف الحساب'!$N$4:$N$203,0),0))),"")</f>
        <v/>
      </c>
      <c r="F40" s="70" t="str">
        <f>IFERROR(IF(IFERROR(MATCH(36,'كشف الحساب'!$N$4:$N$203,0),0)=0,"",INDEX('كشف الحساب'!$F$4:$F$203,IFERROR(MATCH(36,'كشف الحساب'!$N$4:$N$203,0),0))),"")</f>
        <v/>
      </c>
      <c r="G40" s="70" t="str">
        <f>IFERROR(IF(IFERROR(MATCH(36,'كشف الحساب'!$N$4:$N$203,0),0)=0,"",INDEX('كشف الحساب'!$G$4:$G$203,IFERROR(MATCH(36,'كشف الحساب'!$N$4:$N$203,0),0))),"")</f>
        <v/>
      </c>
      <c r="H40" s="70" t="str">
        <f>IFERROR(IF(IFERROR(MATCH(36,'كشف الحساب'!$N$4:$N$203,0),0)=0,"",INDEX('كشف الحساب'!$H$4:$H$203,IFERROR(MATCH(36,'كشف الحساب'!$N$4:$N$203,0),0))),"")</f>
        <v/>
      </c>
      <c r="I40" s="70" t="str">
        <f>IFERROR(IF(IFERROR(MATCH(36,'كشف الحساب'!$N$4:$N$203,0),0)=0,"",INDEX('كشف الحساب'!$I$4:$I$203,IFERROR(MATCH(36,'كشف الحساب'!$N$4:$N$203,0),0))),"")</f>
        <v/>
      </c>
      <c r="J40" s="74" t="str">
        <f>IFERROR(IF(IFERROR(MATCH(36,'كشف الحساب'!$N$4:$N$203,0),0)=0,"",INDEX('كشف الحساب'!$J$4:$J$203,IFERROR(MATCH(36,'كشف الحساب'!$N$4:$N$203,0),0))),"")</f>
        <v/>
      </c>
      <c r="K40" s="70" t="str">
        <f>IFERROR(IF(IFERROR(MATCH(36,'كشف الحساب'!$N$4:$N$203,0),0)=0,"",INDEX('كشف الحساب'!$K$4:$K$203,IFERROR(MATCH(36,'كشف الحساب'!$N$4:$N$203,0),0))),"")</f>
        <v/>
      </c>
    </row>
    <row r="41" spans="1:11" ht="15" customHeight="1" x14ac:dyDescent="0.25">
      <c r="A41" s="63" t="str">
        <f>IFERROR(IF(IFERROR(MATCH(37,'كشف الحساب'!$N$4:$N$203,0),0)=0,"",INDEX('كشف الحساب'!$A$4:$A$203,IFERROR(MATCH(37,'كشف الحساب'!$N$4:$N$203,0),0))),"")</f>
        <v/>
      </c>
      <c r="B41" s="64" t="str">
        <f>IFERROR(IF(IFERROR(MATCH(37,'كشف الحساب'!$N$4:$N$203,0),0)=0,"",INDEX('كشف الحساب'!$B$4:$B$203,IFERROR(MATCH(37,'كشف الحساب'!$N$4:$N$203,0),0))),"")</f>
        <v/>
      </c>
      <c r="C41" s="65" t="str">
        <f>IFERROR(IF(IFERROR(MATCH(37,'كشف الحساب'!$N$4:$N$203,0),0)=0,"",INDEX('كشف الحساب'!$C$4:$C$203,IFERROR(MATCH(37,'كشف الحساب'!$N$4:$N$203,0),0))),"")</f>
        <v/>
      </c>
      <c r="D41" s="66" t="str">
        <f>IFERROR(IF(IFERROR(MATCH(37,'كشف الحساب'!$N$4:$N$203,0),0)=0,"",INDEX('كشف الحساب'!$D$4:$D$203,IFERROR(MATCH(37,'كشف الحساب'!$N$4:$N$203,0),0))),"")</f>
        <v/>
      </c>
      <c r="E41" s="67" t="str">
        <f>IFERROR(IF(IFERROR(MATCH(37,'كشف الحساب'!$N$4:$N$203,0),0)=0,"",INDEX('كشف الحساب'!$E$4:$E$203,IFERROR(MATCH(37,'كشف الحساب'!$N$4:$N$203,0),0))),"")</f>
        <v/>
      </c>
      <c r="F41" s="64" t="str">
        <f>IFERROR(IF(IFERROR(MATCH(37,'كشف الحساب'!$N$4:$N$203,0),0)=0,"",INDEX('كشف الحساب'!$F$4:$F$203,IFERROR(MATCH(37,'كشف الحساب'!$N$4:$N$203,0),0))),"")</f>
        <v/>
      </c>
      <c r="G41" s="64" t="str">
        <f>IFERROR(IF(IFERROR(MATCH(37,'كشف الحساب'!$N$4:$N$203,0),0)=0,"",INDEX('كشف الحساب'!$G$4:$G$203,IFERROR(MATCH(37,'كشف الحساب'!$N$4:$N$203,0),0))),"")</f>
        <v/>
      </c>
      <c r="H41" s="64" t="str">
        <f>IFERROR(IF(IFERROR(MATCH(37,'كشف الحساب'!$N$4:$N$203,0),0)=0,"",INDEX('كشف الحساب'!$H$4:$H$203,IFERROR(MATCH(37,'كشف الحساب'!$N$4:$N$203,0),0))),"")</f>
        <v/>
      </c>
      <c r="I41" s="64" t="str">
        <f>IFERROR(IF(IFERROR(MATCH(37,'كشف الحساب'!$N$4:$N$203,0),0)=0,"",INDEX('كشف الحساب'!$I$4:$I$203,IFERROR(MATCH(37,'كشف الحساب'!$N$4:$N$203,0),0))),"")</f>
        <v/>
      </c>
      <c r="J41" s="68" t="str">
        <f>IFERROR(IF(IFERROR(MATCH(37,'كشف الحساب'!$N$4:$N$203,0),0)=0,"",INDEX('كشف الحساب'!$J$4:$J$203,IFERROR(MATCH(37,'كشف الحساب'!$N$4:$N$203,0),0))),"")</f>
        <v/>
      </c>
      <c r="K41" s="64" t="str">
        <f>IFERROR(IF(IFERROR(MATCH(37,'كشف الحساب'!$N$4:$N$203,0),0)=0,"",INDEX('كشف الحساب'!$K$4:$K$203,IFERROR(MATCH(37,'كشف الحساب'!$N$4:$N$203,0),0))),"")</f>
        <v/>
      </c>
    </row>
    <row r="42" spans="1:11" ht="15" customHeight="1" x14ac:dyDescent="0.25">
      <c r="A42" s="69" t="str">
        <f>IFERROR(IF(IFERROR(MATCH(38,'كشف الحساب'!$N$4:$N$203,0),0)=0,"",INDEX('كشف الحساب'!$A$4:$A$203,IFERROR(MATCH(38,'كشف الحساب'!$N$4:$N$203,0),0))),"")</f>
        <v/>
      </c>
      <c r="B42" s="70" t="str">
        <f>IFERROR(IF(IFERROR(MATCH(38,'كشف الحساب'!$N$4:$N$203,0),0)=0,"",INDEX('كشف الحساب'!$B$4:$B$203,IFERROR(MATCH(38,'كشف الحساب'!$N$4:$N$203,0),0))),"")</f>
        <v/>
      </c>
      <c r="C42" s="71" t="str">
        <f>IFERROR(IF(IFERROR(MATCH(38,'كشف الحساب'!$N$4:$N$203,0),0)=0,"",INDEX('كشف الحساب'!$C$4:$C$203,IFERROR(MATCH(38,'كشف الحساب'!$N$4:$N$203,0),0))),"")</f>
        <v/>
      </c>
      <c r="D42" s="72" t="str">
        <f>IFERROR(IF(IFERROR(MATCH(38,'كشف الحساب'!$N$4:$N$203,0),0)=0,"",INDEX('كشف الحساب'!$D$4:$D$203,IFERROR(MATCH(38,'كشف الحساب'!$N$4:$N$203,0),0))),"")</f>
        <v/>
      </c>
      <c r="E42" s="73" t="str">
        <f>IFERROR(IF(IFERROR(MATCH(38,'كشف الحساب'!$N$4:$N$203,0),0)=0,"",INDEX('كشف الحساب'!$E$4:$E$203,IFERROR(MATCH(38,'كشف الحساب'!$N$4:$N$203,0),0))),"")</f>
        <v/>
      </c>
      <c r="F42" s="70" t="str">
        <f>IFERROR(IF(IFERROR(MATCH(38,'كشف الحساب'!$N$4:$N$203,0),0)=0,"",INDEX('كشف الحساب'!$F$4:$F$203,IFERROR(MATCH(38,'كشف الحساب'!$N$4:$N$203,0),0))),"")</f>
        <v/>
      </c>
      <c r="G42" s="70" t="str">
        <f>IFERROR(IF(IFERROR(MATCH(38,'كشف الحساب'!$N$4:$N$203,0),0)=0,"",INDEX('كشف الحساب'!$G$4:$G$203,IFERROR(MATCH(38,'كشف الحساب'!$N$4:$N$203,0),0))),"")</f>
        <v/>
      </c>
      <c r="H42" s="70" t="str">
        <f>IFERROR(IF(IFERROR(MATCH(38,'كشف الحساب'!$N$4:$N$203,0),0)=0,"",INDEX('كشف الحساب'!$H$4:$H$203,IFERROR(MATCH(38,'كشف الحساب'!$N$4:$N$203,0),0))),"")</f>
        <v/>
      </c>
      <c r="I42" s="70" t="str">
        <f>IFERROR(IF(IFERROR(MATCH(38,'كشف الحساب'!$N$4:$N$203,0),0)=0,"",INDEX('كشف الحساب'!$I$4:$I$203,IFERROR(MATCH(38,'كشف الحساب'!$N$4:$N$203,0),0))),"")</f>
        <v/>
      </c>
      <c r="J42" s="74" t="str">
        <f>IFERROR(IF(IFERROR(MATCH(38,'كشف الحساب'!$N$4:$N$203,0),0)=0,"",INDEX('كشف الحساب'!$J$4:$J$203,IFERROR(MATCH(38,'كشف الحساب'!$N$4:$N$203,0),0))),"")</f>
        <v/>
      </c>
      <c r="K42" s="70" t="str">
        <f>IFERROR(IF(IFERROR(MATCH(38,'كشف الحساب'!$N$4:$N$203,0),0)=0,"",INDEX('كشف الحساب'!$K$4:$K$203,IFERROR(MATCH(38,'كشف الحساب'!$N$4:$N$203,0),0))),"")</f>
        <v/>
      </c>
    </row>
    <row r="43" spans="1:11" ht="15" customHeight="1" x14ac:dyDescent="0.25">
      <c r="A43" s="63" t="str">
        <f>IFERROR(IF(IFERROR(MATCH(39,'كشف الحساب'!$N$4:$N$203,0),0)=0,"",INDEX('كشف الحساب'!$A$4:$A$203,IFERROR(MATCH(39,'كشف الحساب'!$N$4:$N$203,0),0))),"")</f>
        <v/>
      </c>
      <c r="B43" s="64" t="str">
        <f>IFERROR(IF(IFERROR(MATCH(39,'كشف الحساب'!$N$4:$N$203,0),0)=0,"",INDEX('كشف الحساب'!$B$4:$B$203,IFERROR(MATCH(39,'كشف الحساب'!$N$4:$N$203,0),0))),"")</f>
        <v/>
      </c>
      <c r="C43" s="65" t="str">
        <f>IFERROR(IF(IFERROR(MATCH(39,'كشف الحساب'!$N$4:$N$203,0),0)=0,"",INDEX('كشف الحساب'!$C$4:$C$203,IFERROR(MATCH(39,'كشف الحساب'!$N$4:$N$203,0),0))),"")</f>
        <v/>
      </c>
      <c r="D43" s="66" t="str">
        <f>IFERROR(IF(IFERROR(MATCH(39,'كشف الحساب'!$N$4:$N$203,0),0)=0,"",INDEX('كشف الحساب'!$D$4:$D$203,IFERROR(MATCH(39,'كشف الحساب'!$N$4:$N$203,0),0))),"")</f>
        <v/>
      </c>
      <c r="E43" s="67" t="str">
        <f>IFERROR(IF(IFERROR(MATCH(39,'كشف الحساب'!$N$4:$N$203,0),0)=0,"",INDEX('كشف الحساب'!$E$4:$E$203,IFERROR(MATCH(39,'كشف الحساب'!$N$4:$N$203,0),0))),"")</f>
        <v/>
      </c>
      <c r="F43" s="64" t="str">
        <f>IFERROR(IF(IFERROR(MATCH(39,'كشف الحساب'!$N$4:$N$203,0),0)=0,"",INDEX('كشف الحساب'!$F$4:$F$203,IFERROR(MATCH(39,'كشف الحساب'!$N$4:$N$203,0),0))),"")</f>
        <v/>
      </c>
      <c r="G43" s="64" t="str">
        <f>IFERROR(IF(IFERROR(MATCH(39,'كشف الحساب'!$N$4:$N$203,0),0)=0,"",INDEX('كشف الحساب'!$G$4:$G$203,IFERROR(MATCH(39,'كشف الحساب'!$N$4:$N$203,0),0))),"")</f>
        <v/>
      </c>
      <c r="H43" s="64" t="str">
        <f>IFERROR(IF(IFERROR(MATCH(39,'كشف الحساب'!$N$4:$N$203,0),0)=0,"",INDEX('كشف الحساب'!$H$4:$H$203,IFERROR(MATCH(39,'كشف الحساب'!$N$4:$N$203,0),0))),"")</f>
        <v/>
      </c>
      <c r="I43" s="64" t="str">
        <f>IFERROR(IF(IFERROR(MATCH(39,'كشف الحساب'!$N$4:$N$203,0),0)=0,"",INDEX('كشف الحساب'!$I$4:$I$203,IFERROR(MATCH(39,'كشف الحساب'!$N$4:$N$203,0),0))),"")</f>
        <v/>
      </c>
      <c r="J43" s="68" t="str">
        <f>IFERROR(IF(IFERROR(MATCH(39,'كشف الحساب'!$N$4:$N$203,0),0)=0,"",INDEX('كشف الحساب'!$J$4:$J$203,IFERROR(MATCH(39,'كشف الحساب'!$N$4:$N$203,0),0))),"")</f>
        <v/>
      </c>
      <c r="K43" s="64" t="str">
        <f>IFERROR(IF(IFERROR(MATCH(39,'كشف الحساب'!$N$4:$N$203,0),0)=0,"",INDEX('كشف الحساب'!$K$4:$K$203,IFERROR(MATCH(39,'كشف الحساب'!$N$4:$N$203,0),0))),"")</f>
        <v/>
      </c>
    </row>
    <row r="44" spans="1:11" ht="15" customHeight="1" x14ac:dyDescent="0.25">
      <c r="A44" s="69" t="str">
        <f>IFERROR(IF(IFERROR(MATCH(40,'كشف الحساب'!$N$4:$N$203,0),0)=0,"",INDEX('كشف الحساب'!$A$4:$A$203,IFERROR(MATCH(40,'كشف الحساب'!$N$4:$N$203,0),0))),"")</f>
        <v/>
      </c>
      <c r="B44" s="70" t="str">
        <f>IFERROR(IF(IFERROR(MATCH(40,'كشف الحساب'!$N$4:$N$203,0),0)=0,"",INDEX('كشف الحساب'!$B$4:$B$203,IFERROR(MATCH(40,'كشف الحساب'!$N$4:$N$203,0),0))),"")</f>
        <v/>
      </c>
      <c r="C44" s="71" t="str">
        <f>IFERROR(IF(IFERROR(MATCH(40,'كشف الحساب'!$N$4:$N$203,0),0)=0,"",INDEX('كشف الحساب'!$C$4:$C$203,IFERROR(MATCH(40,'كشف الحساب'!$N$4:$N$203,0),0))),"")</f>
        <v/>
      </c>
      <c r="D44" s="72" t="str">
        <f>IFERROR(IF(IFERROR(MATCH(40,'كشف الحساب'!$N$4:$N$203,0),0)=0,"",INDEX('كشف الحساب'!$D$4:$D$203,IFERROR(MATCH(40,'كشف الحساب'!$N$4:$N$203,0),0))),"")</f>
        <v/>
      </c>
      <c r="E44" s="73" t="str">
        <f>IFERROR(IF(IFERROR(MATCH(40,'كشف الحساب'!$N$4:$N$203,0),0)=0,"",INDEX('كشف الحساب'!$E$4:$E$203,IFERROR(MATCH(40,'كشف الحساب'!$N$4:$N$203,0),0))),"")</f>
        <v/>
      </c>
      <c r="F44" s="70" t="str">
        <f>IFERROR(IF(IFERROR(MATCH(40,'كشف الحساب'!$N$4:$N$203,0),0)=0,"",INDEX('كشف الحساب'!$F$4:$F$203,IFERROR(MATCH(40,'كشف الحساب'!$N$4:$N$203,0),0))),"")</f>
        <v/>
      </c>
      <c r="G44" s="70" t="str">
        <f>IFERROR(IF(IFERROR(MATCH(40,'كشف الحساب'!$N$4:$N$203,0),0)=0,"",INDEX('كشف الحساب'!$G$4:$G$203,IFERROR(MATCH(40,'كشف الحساب'!$N$4:$N$203,0),0))),"")</f>
        <v/>
      </c>
      <c r="H44" s="70" t="str">
        <f>IFERROR(IF(IFERROR(MATCH(40,'كشف الحساب'!$N$4:$N$203,0),0)=0,"",INDEX('كشف الحساب'!$H$4:$H$203,IFERROR(MATCH(40,'كشف الحساب'!$N$4:$N$203,0),0))),"")</f>
        <v/>
      </c>
      <c r="I44" s="70" t="str">
        <f>IFERROR(IF(IFERROR(MATCH(40,'كشف الحساب'!$N$4:$N$203,0),0)=0,"",INDEX('كشف الحساب'!$I$4:$I$203,IFERROR(MATCH(40,'كشف الحساب'!$N$4:$N$203,0),0))),"")</f>
        <v/>
      </c>
      <c r="J44" s="74" t="str">
        <f>IFERROR(IF(IFERROR(MATCH(40,'كشف الحساب'!$N$4:$N$203,0),0)=0,"",INDEX('كشف الحساب'!$J$4:$J$203,IFERROR(MATCH(40,'كشف الحساب'!$N$4:$N$203,0),0))),"")</f>
        <v/>
      </c>
      <c r="K44" s="70" t="str">
        <f>IFERROR(IF(IFERROR(MATCH(40,'كشف الحساب'!$N$4:$N$203,0),0)=0,"",INDEX('كشف الحساب'!$K$4:$K$203,IFERROR(MATCH(40,'كشف الحساب'!$N$4:$N$203,0),0))),"")</f>
        <v/>
      </c>
    </row>
    <row r="45" spans="1:11" ht="15" customHeight="1" x14ac:dyDescent="0.25">
      <c r="A45" s="63" t="str">
        <f>IFERROR(IF(IFERROR(MATCH(41,'كشف الحساب'!$N$4:$N$203,0),0)=0,"",INDEX('كشف الحساب'!$A$4:$A$203,IFERROR(MATCH(41,'كشف الحساب'!$N$4:$N$203,0),0))),"")</f>
        <v/>
      </c>
      <c r="B45" s="64" t="str">
        <f>IFERROR(IF(IFERROR(MATCH(41,'كشف الحساب'!$N$4:$N$203,0),0)=0,"",INDEX('كشف الحساب'!$B$4:$B$203,IFERROR(MATCH(41,'كشف الحساب'!$N$4:$N$203,0),0))),"")</f>
        <v/>
      </c>
      <c r="C45" s="65" t="str">
        <f>IFERROR(IF(IFERROR(MATCH(41,'كشف الحساب'!$N$4:$N$203,0),0)=0,"",INDEX('كشف الحساب'!$C$4:$C$203,IFERROR(MATCH(41,'كشف الحساب'!$N$4:$N$203,0),0))),"")</f>
        <v/>
      </c>
      <c r="D45" s="66" t="str">
        <f>IFERROR(IF(IFERROR(MATCH(41,'كشف الحساب'!$N$4:$N$203,0),0)=0,"",INDEX('كشف الحساب'!$D$4:$D$203,IFERROR(MATCH(41,'كشف الحساب'!$N$4:$N$203,0),0))),"")</f>
        <v/>
      </c>
      <c r="E45" s="67" t="str">
        <f>IFERROR(IF(IFERROR(MATCH(41,'كشف الحساب'!$N$4:$N$203,0),0)=0,"",INDEX('كشف الحساب'!$E$4:$E$203,IFERROR(MATCH(41,'كشف الحساب'!$N$4:$N$203,0),0))),"")</f>
        <v/>
      </c>
      <c r="F45" s="64" t="str">
        <f>IFERROR(IF(IFERROR(MATCH(41,'كشف الحساب'!$N$4:$N$203,0),0)=0,"",INDEX('كشف الحساب'!$F$4:$F$203,IFERROR(MATCH(41,'كشف الحساب'!$N$4:$N$203,0),0))),"")</f>
        <v/>
      </c>
      <c r="G45" s="64" t="str">
        <f>IFERROR(IF(IFERROR(MATCH(41,'كشف الحساب'!$N$4:$N$203,0),0)=0,"",INDEX('كشف الحساب'!$G$4:$G$203,IFERROR(MATCH(41,'كشف الحساب'!$N$4:$N$203,0),0))),"")</f>
        <v/>
      </c>
      <c r="H45" s="64" t="str">
        <f>IFERROR(IF(IFERROR(MATCH(41,'كشف الحساب'!$N$4:$N$203,0),0)=0,"",INDEX('كشف الحساب'!$H$4:$H$203,IFERROR(MATCH(41,'كشف الحساب'!$N$4:$N$203,0),0))),"")</f>
        <v/>
      </c>
      <c r="I45" s="64" t="str">
        <f>IFERROR(IF(IFERROR(MATCH(41,'كشف الحساب'!$N$4:$N$203,0),0)=0,"",INDEX('كشف الحساب'!$I$4:$I$203,IFERROR(MATCH(41,'كشف الحساب'!$N$4:$N$203,0),0))),"")</f>
        <v/>
      </c>
      <c r="J45" s="68" t="str">
        <f>IFERROR(IF(IFERROR(MATCH(41,'كشف الحساب'!$N$4:$N$203,0),0)=0,"",INDEX('كشف الحساب'!$J$4:$J$203,IFERROR(MATCH(41,'كشف الحساب'!$N$4:$N$203,0),0))),"")</f>
        <v/>
      </c>
      <c r="K45" s="64" t="str">
        <f>IFERROR(IF(IFERROR(MATCH(41,'كشف الحساب'!$N$4:$N$203,0),0)=0,"",INDEX('كشف الحساب'!$K$4:$K$203,IFERROR(MATCH(41,'كشف الحساب'!$N$4:$N$203,0),0))),"")</f>
        <v/>
      </c>
    </row>
    <row r="46" spans="1:11" ht="15" customHeight="1" x14ac:dyDescent="0.25">
      <c r="A46" s="69" t="str">
        <f>IFERROR(IF(IFERROR(MATCH(42,'كشف الحساب'!$N$4:$N$203,0),0)=0,"",INDEX('كشف الحساب'!$A$4:$A$203,IFERROR(MATCH(42,'كشف الحساب'!$N$4:$N$203,0),0))),"")</f>
        <v/>
      </c>
      <c r="B46" s="70" t="str">
        <f>IFERROR(IF(IFERROR(MATCH(42,'كشف الحساب'!$N$4:$N$203,0),0)=0,"",INDEX('كشف الحساب'!$B$4:$B$203,IFERROR(MATCH(42,'كشف الحساب'!$N$4:$N$203,0),0))),"")</f>
        <v/>
      </c>
      <c r="C46" s="71" t="str">
        <f>IFERROR(IF(IFERROR(MATCH(42,'كشف الحساب'!$N$4:$N$203,0),0)=0,"",INDEX('كشف الحساب'!$C$4:$C$203,IFERROR(MATCH(42,'كشف الحساب'!$N$4:$N$203,0),0))),"")</f>
        <v/>
      </c>
      <c r="D46" s="72" t="str">
        <f>IFERROR(IF(IFERROR(MATCH(42,'كشف الحساب'!$N$4:$N$203,0),0)=0,"",INDEX('كشف الحساب'!$D$4:$D$203,IFERROR(MATCH(42,'كشف الحساب'!$N$4:$N$203,0),0))),"")</f>
        <v/>
      </c>
      <c r="E46" s="73" t="str">
        <f>IFERROR(IF(IFERROR(MATCH(42,'كشف الحساب'!$N$4:$N$203,0),0)=0,"",INDEX('كشف الحساب'!$E$4:$E$203,IFERROR(MATCH(42,'كشف الحساب'!$N$4:$N$203,0),0))),"")</f>
        <v/>
      </c>
      <c r="F46" s="70" t="str">
        <f>IFERROR(IF(IFERROR(MATCH(42,'كشف الحساب'!$N$4:$N$203,0),0)=0,"",INDEX('كشف الحساب'!$F$4:$F$203,IFERROR(MATCH(42,'كشف الحساب'!$N$4:$N$203,0),0))),"")</f>
        <v/>
      </c>
      <c r="G46" s="70" t="str">
        <f>IFERROR(IF(IFERROR(MATCH(42,'كشف الحساب'!$N$4:$N$203,0),0)=0,"",INDEX('كشف الحساب'!$G$4:$G$203,IFERROR(MATCH(42,'كشف الحساب'!$N$4:$N$203,0),0))),"")</f>
        <v/>
      </c>
      <c r="H46" s="70" t="str">
        <f>IFERROR(IF(IFERROR(MATCH(42,'كشف الحساب'!$N$4:$N$203,0),0)=0,"",INDEX('كشف الحساب'!$H$4:$H$203,IFERROR(MATCH(42,'كشف الحساب'!$N$4:$N$203,0),0))),"")</f>
        <v/>
      </c>
      <c r="I46" s="70" t="str">
        <f>IFERROR(IF(IFERROR(MATCH(42,'كشف الحساب'!$N$4:$N$203,0),0)=0,"",INDEX('كشف الحساب'!$I$4:$I$203,IFERROR(MATCH(42,'كشف الحساب'!$N$4:$N$203,0),0))),"")</f>
        <v/>
      </c>
      <c r="J46" s="74" t="str">
        <f>IFERROR(IF(IFERROR(MATCH(42,'كشف الحساب'!$N$4:$N$203,0),0)=0,"",INDEX('كشف الحساب'!$J$4:$J$203,IFERROR(MATCH(42,'كشف الحساب'!$N$4:$N$203,0),0))),"")</f>
        <v/>
      </c>
      <c r="K46" s="70" t="str">
        <f>IFERROR(IF(IFERROR(MATCH(42,'كشف الحساب'!$N$4:$N$203,0),0)=0,"",INDEX('كشف الحساب'!$K$4:$K$203,IFERROR(MATCH(42,'كشف الحساب'!$N$4:$N$203,0),0))),"")</f>
        <v/>
      </c>
    </row>
    <row r="47" spans="1:11" ht="15" customHeight="1" x14ac:dyDescent="0.25">
      <c r="A47" s="63" t="str">
        <f>IFERROR(IF(IFERROR(MATCH(43,'كشف الحساب'!$N$4:$N$203,0),0)=0,"",INDEX('كشف الحساب'!$A$4:$A$203,IFERROR(MATCH(43,'كشف الحساب'!$N$4:$N$203,0),0))),"")</f>
        <v/>
      </c>
      <c r="B47" s="64" t="str">
        <f>IFERROR(IF(IFERROR(MATCH(43,'كشف الحساب'!$N$4:$N$203,0),0)=0,"",INDEX('كشف الحساب'!$B$4:$B$203,IFERROR(MATCH(43,'كشف الحساب'!$N$4:$N$203,0),0))),"")</f>
        <v/>
      </c>
      <c r="C47" s="65" t="str">
        <f>IFERROR(IF(IFERROR(MATCH(43,'كشف الحساب'!$N$4:$N$203,0),0)=0,"",INDEX('كشف الحساب'!$C$4:$C$203,IFERROR(MATCH(43,'كشف الحساب'!$N$4:$N$203,0),0))),"")</f>
        <v/>
      </c>
      <c r="D47" s="66" t="str">
        <f>IFERROR(IF(IFERROR(MATCH(43,'كشف الحساب'!$N$4:$N$203,0),0)=0,"",INDEX('كشف الحساب'!$D$4:$D$203,IFERROR(MATCH(43,'كشف الحساب'!$N$4:$N$203,0),0))),"")</f>
        <v/>
      </c>
      <c r="E47" s="67" t="str">
        <f>IFERROR(IF(IFERROR(MATCH(43,'كشف الحساب'!$N$4:$N$203,0),0)=0,"",INDEX('كشف الحساب'!$E$4:$E$203,IFERROR(MATCH(43,'كشف الحساب'!$N$4:$N$203,0),0))),"")</f>
        <v/>
      </c>
      <c r="F47" s="64" t="str">
        <f>IFERROR(IF(IFERROR(MATCH(43,'كشف الحساب'!$N$4:$N$203,0),0)=0,"",INDEX('كشف الحساب'!$F$4:$F$203,IFERROR(MATCH(43,'كشف الحساب'!$N$4:$N$203,0),0))),"")</f>
        <v/>
      </c>
      <c r="G47" s="64" t="str">
        <f>IFERROR(IF(IFERROR(MATCH(43,'كشف الحساب'!$N$4:$N$203,0),0)=0,"",INDEX('كشف الحساب'!$G$4:$G$203,IFERROR(MATCH(43,'كشف الحساب'!$N$4:$N$203,0),0))),"")</f>
        <v/>
      </c>
      <c r="H47" s="64" t="str">
        <f>IFERROR(IF(IFERROR(MATCH(43,'كشف الحساب'!$N$4:$N$203,0),0)=0,"",INDEX('كشف الحساب'!$H$4:$H$203,IFERROR(MATCH(43,'كشف الحساب'!$N$4:$N$203,0),0))),"")</f>
        <v/>
      </c>
      <c r="I47" s="64" t="str">
        <f>IFERROR(IF(IFERROR(MATCH(43,'كشف الحساب'!$N$4:$N$203,0),0)=0,"",INDEX('كشف الحساب'!$I$4:$I$203,IFERROR(MATCH(43,'كشف الحساب'!$N$4:$N$203,0),0))),"")</f>
        <v/>
      </c>
      <c r="J47" s="68" t="str">
        <f>IFERROR(IF(IFERROR(MATCH(43,'كشف الحساب'!$N$4:$N$203,0),0)=0,"",INDEX('كشف الحساب'!$J$4:$J$203,IFERROR(MATCH(43,'كشف الحساب'!$N$4:$N$203,0),0))),"")</f>
        <v/>
      </c>
      <c r="K47" s="64" t="str">
        <f>IFERROR(IF(IFERROR(MATCH(43,'كشف الحساب'!$N$4:$N$203,0),0)=0,"",INDEX('كشف الحساب'!$K$4:$K$203,IFERROR(MATCH(43,'كشف الحساب'!$N$4:$N$203,0),0))),"")</f>
        <v/>
      </c>
    </row>
    <row r="48" spans="1:11" ht="15" customHeight="1" x14ac:dyDescent="0.25">
      <c r="A48" s="69" t="str">
        <f>IFERROR(IF(IFERROR(MATCH(44,'كشف الحساب'!$N$4:$N$203,0),0)=0,"",INDEX('كشف الحساب'!$A$4:$A$203,IFERROR(MATCH(44,'كشف الحساب'!$N$4:$N$203,0),0))),"")</f>
        <v/>
      </c>
      <c r="B48" s="70" t="str">
        <f>IFERROR(IF(IFERROR(MATCH(44,'كشف الحساب'!$N$4:$N$203,0),0)=0,"",INDEX('كشف الحساب'!$B$4:$B$203,IFERROR(MATCH(44,'كشف الحساب'!$N$4:$N$203,0),0))),"")</f>
        <v/>
      </c>
      <c r="C48" s="71" t="str">
        <f>IFERROR(IF(IFERROR(MATCH(44,'كشف الحساب'!$N$4:$N$203,0),0)=0,"",INDEX('كشف الحساب'!$C$4:$C$203,IFERROR(MATCH(44,'كشف الحساب'!$N$4:$N$203,0),0))),"")</f>
        <v/>
      </c>
      <c r="D48" s="72" t="str">
        <f>IFERROR(IF(IFERROR(MATCH(44,'كشف الحساب'!$N$4:$N$203,0),0)=0,"",INDEX('كشف الحساب'!$D$4:$D$203,IFERROR(MATCH(44,'كشف الحساب'!$N$4:$N$203,0),0))),"")</f>
        <v/>
      </c>
      <c r="E48" s="73" t="str">
        <f>IFERROR(IF(IFERROR(MATCH(44,'كشف الحساب'!$N$4:$N$203,0),0)=0,"",INDEX('كشف الحساب'!$E$4:$E$203,IFERROR(MATCH(44,'كشف الحساب'!$N$4:$N$203,0),0))),"")</f>
        <v/>
      </c>
      <c r="F48" s="70" t="str">
        <f>IFERROR(IF(IFERROR(MATCH(44,'كشف الحساب'!$N$4:$N$203,0),0)=0,"",INDEX('كشف الحساب'!$F$4:$F$203,IFERROR(MATCH(44,'كشف الحساب'!$N$4:$N$203,0),0))),"")</f>
        <v/>
      </c>
      <c r="G48" s="70" t="str">
        <f>IFERROR(IF(IFERROR(MATCH(44,'كشف الحساب'!$N$4:$N$203,0),0)=0,"",INDEX('كشف الحساب'!$G$4:$G$203,IFERROR(MATCH(44,'كشف الحساب'!$N$4:$N$203,0),0))),"")</f>
        <v/>
      </c>
      <c r="H48" s="70" t="str">
        <f>IFERROR(IF(IFERROR(MATCH(44,'كشف الحساب'!$N$4:$N$203,0),0)=0,"",INDEX('كشف الحساب'!$H$4:$H$203,IFERROR(MATCH(44,'كشف الحساب'!$N$4:$N$203,0),0))),"")</f>
        <v/>
      </c>
      <c r="I48" s="70" t="str">
        <f>IFERROR(IF(IFERROR(MATCH(44,'كشف الحساب'!$N$4:$N$203,0),0)=0,"",INDEX('كشف الحساب'!$I$4:$I$203,IFERROR(MATCH(44,'كشف الحساب'!$N$4:$N$203,0),0))),"")</f>
        <v/>
      </c>
      <c r="J48" s="74" t="str">
        <f>IFERROR(IF(IFERROR(MATCH(44,'كشف الحساب'!$N$4:$N$203,0),0)=0,"",INDEX('كشف الحساب'!$J$4:$J$203,IFERROR(MATCH(44,'كشف الحساب'!$N$4:$N$203,0),0))),"")</f>
        <v/>
      </c>
      <c r="K48" s="70" t="str">
        <f>IFERROR(IF(IFERROR(MATCH(44,'كشف الحساب'!$N$4:$N$203,0),0)=0,"",INDEX('كشف الحساب'!$K$4:$K$203,IFERROR(MATCH(44,'كشف الحساب'!$N$4:$N$203,0),0))),"")</f>
        <v/>
      </c>
    </row>
    <row r="49" spans="1:11" ht="15" customHeight="1" x14ac:dyDescent="0.25">
      <c r="A49" s="63" t="str">
        <f>IFERROR(IF(IFERROR(MATCH(45,'كشف الحساب'!$N$4:$N$203,0),0)=0,"",INDEX('كشف الحساب'!$A$4:$A$203,IFERROR(MATCH(45,'كشف الحساب'!$N$4:$N$203,0),0))),"")</f>
        <v/>
      </c>
      <c r="B49" s="64" t="str">
        <f>IFERROR(IF(IFERROR(MATCH(45,'كشف الحساب'!$N$4:$N$203,0),0)=0,"",INDEX('كشف الحساب'!$B$4:$B$203,IFERROR(MATCH(45,'كشف الحساب'!$N$4:$N$203,0),0))),"")</f>
        <v/>
      </c>
      <c r="C49" s="65" t="str">
        <f>IFERROR(IF(IFERROR(MATCH(45,'كشف الحساب'!$N$4:$N$203,0),0)=0,"",INDEX('كشف الحساب'!$C$4:$C$203,IFERROR(MATCH(45,'كشف الحساب'!$N$4:$N$203,0),0))),"")</f>
        <v/>
      </c>
      <c r="D49" s="66" t="str">
        <f>IFERROR(IF(IFERROR(MATCH(45,'كشف الحساب'!$N$4:$N$203,0),0)=0,"",INDEX('كشف الحساب'!$D$4:$D$203,IFERROR(MATCH(45,'كشف الحساب'!$N$4:$N$203,0),0))),"")</f>
        <v/>
      </c>
      <c r="E49" s="67" t="str">
        <f>IFERROR(IF(IFERROR(MATCH(45,'كشف الحساب'!$N$4:$N$203,0),0)=0,"",INDEX('كشف الحساب'!$E$4:$E$203,IFERROR(MATCH(45,'كشف الحساب'!$N$4:$N$203,0),0))),"")</f>
        <v/>
      </c>
      <c r="F49" s="64" t="str">
        <f>IFERROR(IF(IFERROR(MATCH(45,'كشف الحساب'!$N$4:$N$203,0),0)=0,"",INDEX('كشف الحساب'!$F$4:$F$203,IFERROR(MATCH(45,'كشف الحساب'!$N$4:$N$203,0),0))),"")</f>
        <v/>
      </c>
      <c r="G49" s="64" t="str">
        <f>IFERROR(IF(IFERROR(MATCH(45,'كشف الحساب'!$N$4:$N$203,0),0)=0,"",INDEX('كشف الحساب'!$G$4:$G$203,IFERROR(MATCH(45,'كشف الحساب'!$N$4:$N$203,0),0))),"")</f>
        <v/>
      </c>
      <c r="H49" s="64" t="str">
        <f>IFERROR(IF(IFERROR(MATCH(45,'كشف الحساب'!$N$4:$N$203,0),0)=0,"",INDEX('كشف الحساب'!$H$4:$H$203,IFERROR(MATCH(45,'كشف الحساب'!$N$4:$N$203,0),0))),"")</f>
        <v/>
      </c>
      <c r="I49" s="64" t="str">
        <f>IFERROR(IF(IFERROR(MATCH(45,'كشف الحساب'!$N$4:$N$203,0),0)=0,"",INDEX('كشف الحساب'!$I$4:$I$203,IFERROR(MATCH(45,'كشف الحساب'!$N$4:$N$203,0),0))),"")</f>
        <v/>
      </c>
      <c r="J49" s="68" t="str">
        <f>IFERROR(IF(IFERROR(MATCH(45,'كشف الحساب'!$N$4:$N$203,0),0)=0,"",INDEX('كشف الحساب'!$J$4:$J$203,IFERROR(MATCH(45,'كشف الحساب'!$N$4:$N$203,0),0))),"")</f>
        <v/>
      </c>
      <c r="K49" s="64" t="str">
        <f>IFERROR(IF(IFERROR(MATCH(45,'كشف الحساب'!$N$4:$N$203,0),0)=0,"",INDEX('كشف الحساب'!$K$4:$K$203,IFERROR(MATCH(45,'كشف الحساب'!$N$4:$N$203,0),0))),"")</f>
        <v/>
      </c>
    </row>
    <row r="50" spans="1:11" ht="15" customHeight="1" x14ac:dyDescent="0.25">
      <c r="A50" s="69" t="str">
        <f>IFERROR(IF(IFERROR(MATCH(46,'كشف الحساب'!$N$4:$N$203,0),0)=0,"",INDEX('كشف الحساب'!$A$4:$A$203,IFERROR(MATCH(46,'كشف الحساب'!$N$4:$N$203,0),0))),"")</f>
        <v/>
      </c>
      <c r="B50" s="70" t="str">
        <f>IFERROR(IF(IFERROR(MATCH(46,'كشف الحساب'!$N$4:$N$203,0),0)=0,"",INDEX('كشف الحساب'!$B$4:$B$203,IFERROR(MATCH(46,'كشف الحساب'!$N$4:$N$203,0),0))),"")</f>
        <v/>
      </c>
      <c r="C50" s="71" t="str">
        <f>IFERROR(IF(IFERROR(MATCH(46,'كشف الحساب'!$N$4:$N$203,0),0)=0,"",INDEX('كشف الحساب'!$C$4:$C$203,IFERROR(MATCH(46,'كشف الحساب'!$N$4:$N$203,0),0))),"")</f>
        <v/>
      </c>
      <c r="D50" s="72" t="str">
        <f>IFERROR(IF(IFERROR(MATCH(46,'كشف الحساب'!$N$4:$N$203,0),0)=0,"",INDEX('كشف الحساب'!$D$4:$D$203,IFERROR(MATCH(46,'كشف الحساب'!$N$4:$N$203,0),0))),"")</f>
        <v/>
      </c>
      <c r="E50" s="73" t="str">
        <f>IFERROR(IF(IFERROR(MATCH(46,'كشف الحساب'!$N$4:$N$203,0),0)=0,"",INDEX('كشف الحساب'!$E$4:$E$203,IFERROR(MATCH(46,'كشف الحساب'!$N$4:$N$203,0),0))),"")</f>
        <v/>
      </c>
      <c r="F50" s="70" t="str">
        <f>IFERROR(IF(IFERROR(MATCH(46,'كشف الحساب'!$N$4:$N$203,0),0)=0,"",INDEX('كشف الحساب'!$F$4:$F$203,IFERROR(MATCH(46,'كشف الحساب'!$N$4:$N$203,0),0))),"")</f>
        <v/>
      </c>
      <c r="G50" s="70" t="str">
        <f>IFERROR(IF(IFERROR(MATCH(46,'كشف الحساب'!$N$4:$N$203,0),0)=0,"",INDEX('كشف الحساب'!$G$4:$G$203,IFERROR(MATCH(46,'كشف الحساب'!$N$4:$N$203,0),0))),"")</f>
        <v/>
      </c>
      <c r="H50" s="70" t="str">
        <f>IFERROR(IF(IFERROR(MATCH(46,'كشف الحساب'!$N$4:$N$203,0),0)=0,"",INDEX('كشف الحساب'!$H$4:$H$203,IFERROR(MATCH(46,'كشف الحساب'!$N$4:$N$203,0),0))),"")</f>
        <v/>
      </c>
      <c r="I50" s="70" t="str">
        <f>IFERROR(IF(IFERROR(MATCH(46,'كشف الحساب'!$N$4:$N$203,0),0)=0,"",INDEX('كشف الحساب'!$I$4:$I$203,IFERROR(MATCH(46,'كشف الحساب'!$N$4:$N$203,0),0))),"")</f>
        <v/>
      </c>
      <c r="J50" s="74" t="str">
        <f>IFERROR(IF(IFERROR(MATCH(46,'كشف الحساب'!$N$4:$N$203,0),0)=0,"",INDEX('كشف الحساب'!$J$4:$J$203,IFERROR(MATCH(46,'كشف الحساب'!$N$4:$N$203,0),0))),"")</f>
        <v/>
      </c>
      <c r="K50" s="70" t="str">
        <f>IFERROR(IF(IFERROR(MATCH(46,'كشف الحساب'!$N$4:$N$203,0),0)=0,"",INDEX('كشف الحساب'!$K$4:$K$203,IFERROR(MATCH(46,'كشف الحساب'!$N$4:$N$203,0),0))),"")</f>
        <v/>
      </c>
    </row>
    <row r="51" spans="1:11" ht="15" customHeight="1" x14ac:dyDescent="0.25">
      <c r="A51" s="63" t="str">
        <f>IFERROR(IF(IFERROR(MATCH(47,'كشف الحساب'!$N$4:$N$203,0),0)=0,"",INDEX('كشف الحساب'!$A$4:$A$203,IFERROR(MATCH(47,'كشف الحساب'!$N$4:$N$203,0),0))),"")</f>
        <v/>
      </c>
      <c r="B51" s="64" t="str">
        <f>IFERROR(IF(IFERROR(MATCH(47,'كشف الحساب'!$N$4:$N$203,0),0)=0,"",INDEX('كشف الحساب'!$B$4:$B$203,IFERROR(MATCH(47,'كشف الحساب'!$N$4:$N$203,0),0))),"")</f>
        <v/>
      </c>
      <c r="C51" s="65" t="str">
        <f>IFERROR(IF(IFERROR(MATCH(47,'كشف الحساب'!$N$4:$N$203,0),0)=0,"",INDEX('كشف الحساب'!$C$4:$C$203,IFERROR(MATCH(47,'كشف الحساب'!$N$4:$N$203,0),0))),"")</f>
        <v/>
      </c>
      <c r="D51" s="66" t="str">
        <f>IFERROR(IF(IFERROR(MATCH(47,'كشف الحساب'!$N$4:$N$203,0),0)=0,"",INDEX('كشف الحساب'!$D$4:$D$203,IFERROR(MATCH(47,'كشف الحساب'!$N$4:$N$203,0),0))),"")</f>
        <v/>
      </c>
      <c r="E51" s="67" t="str">
        <f>IFERROR(IF(IFERROR(MATCH(47,'كشف الحساب'!$N$4:$N$203,0),0)=0,"",INDEX('كشف الحساب'!$E$4:$E$203,IFERROR(MATCH(47,'كشف الحساب'!$N$4:$N$203,0),0))),"")</f>
        <v/>
      </c>
      <c r="F51" s="64" t="str">
        <f>IFERROR(IF(IFERROR(MATCH(47,'كشف الحساب'!$N$4:$N$203,0),0)=0,"",INDEX('كشف الحساب'!$F$4:$F$203,IFERROR(MATCH(47,'كشف الحساب'!$N$4:$N$203,0),0))),"")</f>
        <v/>
      </c>
      <c r="G51" s="64" t="str">
        <f>IFERROR(IF(IFERROR(MATCH(47,'كشف الحساب'!$N$4:$N$203,0),0)=0,"",INDEX('كشف الحساب'!$G$4:$G$203,IFERROR(MATCH(47,'كشف الحساب'!$N$4:$N$203,0),0))),"")</f>
        <v/>
      </c>
      <c r="H51" s="64" t="str">
        <f>IFERROR(IF(IFERROR(MATCH(47,'كشف الحساب'!$N$4:$N$203,0),0)=0,"",INDEX('كشف الحساب'!$H$4:$H$203,IFERROR(MATCH(47,'كشف الحساب'!$N$4:$N$203,0),0))),"")</f>
        <v/>
      </c>
      <c r="I51" s="64" t="str">
        <f>IFERROR(IF(IFERROR(MATCH(47,'كشف الحساب'!$N$4:$N$203,0),0)=0,"",INDEX('كشف الحساب'!$I$4:$I$203,IFERROR(MATCH(47,'كشف الحساب'!$N$4:$N$203,0),0))),"")</f>
        <v/>
      </c>
      <c r="J51" s="68" t="str">
        <f>IFERROR(IF(IFERROR(MATCH(47,'كشف الحساب'!$N$4:$N$203,0),0)=0,"",INDEX('كشف الحساب'!$J$4:$J$203,IFERROR(MATCH(47,'كشف الحساب'!$N$4:$N$203,0),0))),"")</f>
        <v/>
      </c>
      <c r="K51" s="64" t="str">
        <f>IFERROR(IF(IFERROR(MATCH(47,'كشف الحساب'!$N$4:$N$203,0),0)=0,"",INDEX('كشف الحساب'!$K$4:$K$203,IFERROR(MATCH(47,'كشف الحساب'!$N$4:$N$203,0),0))),"")</f>
        <v/>
      </c>
    </row>
    <row r="52" spans="1:11" ht="15" customHeight="1" x14ac:dyDescent="0.25">
      <c r="A52" s="69" t="str">
        <f>IFERROR(IF(IFERROR(MATCH(48,'كشف الحساب'!$N$4:$N$203,0),0)=0,"",INDEX('كشف الحساب'!$A$4:$A$203,IFERROR(MATCH(48,'كشف الحساب'!$N$4:$N$203,0),0))),"")</f>
        <v/>
      </c>
      <c r="B52" s="70" t="str">
        <f>IFERROR(IF(IFERROR(MATCH(48,'كشف الحساب'!$N$4:$N$203,0),0)=0,"",INDEX('كشف الحساب'!$B$4:$B$203,IFERROR(MATCH(48,'كشف الحساب'!$N$4:$N$203,0),0))),"")</f>
        <v/>
      </c>
      <c r="C52" s="71" t="str">
        <f>IFERROR(IF(IFERROR(MATCH(48,'كشف الحساب'!$N$4:$N$203,0),0)=0,"",INDEX('كشف الحساب'!$C$4:$C$203,IFERROR(MATCH(48,'كشف الحساب'!$N$4:$N$203,0),0))),"")</f>
        <v/>
      </c>
      <c r="D52" s="72" t="str">
        <f>IFERROR(IF(IFERROR(MATCH(48,'كشف الحساب'!$N$4:$N$203,0),0)=0,"",INDEX('كشف الحساب'!$D$4:$D$203,IFERROR(MATCH(48,'كشف الحساب'!$N$4:$N$203,0),0))),"")</f>
        <v/>
      </c>
      <c r="E52" s="73" t="str">
        <f>IFERROR(IF(IFERROR(MATCH(48,'كشف الحساب'!$N$4:$N$203,0),0)=0,"",INDEX('كشف الحساب'!$E$4:$E$203,IFERROR(MATCH(48,'كشف الحساب'!$N$4:$N$203,0),0))),"")</f>
        <v/>
      </c>
      <c r="F52" s="70" t="str">
        <f>IFERROR(IF(IFERROR(MATCH(48,'كشف الحساب'!$N$4:$N$203,0),0)=0,"",INDEX('كشف الحساب'!$F$4:$F$203,IFERROR(MATCH(48,'كشف الحساب'!$N$4:$N$203,0),0))),"")</f>
        <v/>
      </c>
      <c r="G52" s="70" t="str">
        <f>IFERROR(IF(IFERROR(MATCH(48,'كشف الحساب'!$N$4:$N$203,0),0)=0,"",INDEX('كشف الحساب'!$G$4:$G$203,IFERROR(MATCH(48,'كشف الحساب'!$N$4:$N$203,0),0))),"")</f>
        <v/>
      </c>
      <c r="H52" s="70" t="str">
        <f>IFERROR(IF(IFERROR(MATCH(48,'كشف الحساب'!$N$4:$N$203,0),0)=0,"",INDEX('كشف الحساب'!$H$4:$H$203,IFERROR(MATCH(48,'كشف الحساب'!$N$4:$N$203,0),0))),"")</f>
        <v/>
      </c>
      <c r="I52" s="70" t="str">
        <f>IFERROR(IF(IFERROR(MATCH(48,'كشف الحساب'!$N$4:$N$203,0),0)=0,"",INDEX('كشف الحساب'!$I$4:$I$203,IFERROR(MATCH(48,'كشف الحساب'!$N$4:$N$203,0),0))),"")</f>
        <v/>
      </c>
      <c r="J52" s="74" t="str">
        <f>IFERROR(IF(IFERROR(MATCH(48,'كشف الحساب'!$N$4:$N$203,0),0)=0,"",INDEX('كشف الحساب'!$J$4:$J$203,IFERROR(MATCH(48,'كشف الحساب'!$N$4:$N$203,0),0))),"")</f>
        <v/>
      </c>
      <c r="K52" s="70" t="str">
        <f>IFERROR(IF(IFERROR(MATCH(48,'كشف الحساب'!$N$4:$N$203,0),0)=0,"",INDEX('كشف الحساب'!$K$4:$K$203,IFERROR(MATCH(48,'كشف الحساب'!$N$4:$N$203,0),0))),"")</f>
        <v/>
      </c>
    </row>
    <row r="53" spans="1:11" ht="15" customHeight="1" x14ac:dyDescent="0.25">
      <c r="A53" s="63" t="str">
        <f>IFERROR(IF(IFERROR(MATCH(49,'كشف الحساب'!$N$4:$N$203,0),0)=0,"",INDEX('كشف الحساب'!$A$4:$A$203,IFERROR(MATCH(49,'كشف الحساب'!$N$4:$N$203,0),0))),"")</f>
        <v/>
      </c>
      <c r="B53" s="64" t="str">
        <f>IFERROR(IF(IFERROR(MATCH(49,'كشف الحساب'!$N$4:$N$203,0),0)=0,"",INDEX('كشف الحساب'!$B$4:$B$203,IFERROR(MATCH(49,'كشف الحساب'!$N$4:$N$203,0),0))),"")</f>
        <v/>
      </c>
      <c r="C53" s="65" t="str">
        <f>IFERROR(IF(IFERROR(MATCH(49,'كشف الحساب'!$N$4:$N$203,0),0)=0,"",INDEX('كشف الحساب'!$C$4:$C$203,IFERROR(MATCH(49,'كشف الحساب'!$N$4:$N$203,0),0))),"")</f>
        <v/>
      </c>
      <c r="D53" s="66" t="str">
        <f>IFERROR(IF(IFERROR(MATCH(49,'كشف الحساب'!$N$4:$N$203,0),0)=0,"",INDEX('كشف الحساب'!$D$4:$D$203,IFERROR(MATCH(49,'كشف الحساب'!$N$4:$N$203,0),0))),"")</f>
        <v/>
      </c>
      <c r="E53" s="67" t="str">
        <f>IFERROR(IF(IFERROR(MATCH(49,'كشف الحساب'!$N$4:$N$203,0),0)=0,"",INDEX('كشف الحساب'!$E$4:$E$203,IFERROR(MATCH(49,'كشف الحساب'!$N$4:$N$203,0),0))),"")</f>
        <v/>
      </c>
      <c r="F53" s="64" t="str">
        <f>IFERROR(IF(IFERROR(MATCH(49,'كشف الحساب'!$N$4:$N$203,0),0)=0,"",INDEX('كشف الحساب'!$F$4:$F$203,IFERROR(MATCH(49,'كشف الحساب'!$N$4:$N$203,0),0))),"")</f>
        <v/>
      </c>
      <c r="G53" s="64" t="str">
        <f>IFERROR(IF(IFERROR(MATCH(49,'كشف الحساب'!$N$4:$N$203,0),0)=0,"",INDEX('كشف الحساب'!$G$4:$G$203,IFERROR(MATCH(49,'كشف الحساب'!$N$4:$N$203,0),0))),"")</f>
        <v/>
      </c>
      <c r="H53" s="64" t="str">
        <f>IFERROR(IF(IFERROR(MATCH(49,'كشف الحساب'!$N$4:$N$203,0),0)=0,"",INDEX('كشف الحساب'!$H$4:$H$203,IFERROR(MATCH(49,'كشف الحساب'!$N$4:$N$203,0),0))),"")</f>
        <v/>
      </c>
      <c r="I53" s="64" t="str">
        <f>IFERROR(IF(IFERROR(MATCH(49,'كشف الحساب'!$N$4:$N$203,0),0)=0,"",INDEX('كشف الحساب'!$I$4:$I$203,IFERROR(MATCH(49,'كشف الحساب'!$N$4:$N$203,0),0))),"")</f>
        <v/>
      </c>
      <c r="J53" s="68" t="str">
        <f>IFERROR(IF(IFERROR(MATCH(49,'كشف الحساب'!$N$4:$N$203,0),0)=0,"",INDEX('كشف الحساب'!$J$4:$J$203,IFERROR(MATCH(49,'كشف الحساب'!$N$4:$N$203,0),0))),"")</f>
        <v/>
      </c>
      <c r="K53" s="64" t="str">
        <f>IFERROR(IF(IFERROR(MATCH(49,'كشف الحساب'!$N$4:$N$203,0),0)=0,"",INDEX('كشف الحساب'!$K$4:$K$203,IFERROR(MATCH(49,'كشف الحساب'!$N$4:$N$203,0),0))),"")</f>
        <v/>
      </c>
    </row>
    <row r="54" spans="1:11" ht="15" customHeight="1" x14ac:dyDescent="0.25">
      <c r="A54" s="69" t="str">
        <f>IFERROR(IF(IFERROR(MATCH(50,'كشف الحساب'!$N$4:$N$203,0),0)=0,"",INDEX('كشف الحساب'!$A$4:$A$203,IFERROR(MATCH(50,'كشف الحساب'!$N$4:$N$203,0),0))),"")</f>
        <v/>
      </c>
      <c r="B54" s="70" t="str">
        <f>IFERROR(IF(IFERROR(MATCH(50,'كشف الحساب'!$N$4:$N$203,0),0)=0,"",INDEX('كشف الحساب'!$B$4:$B$203,IFERROR(MATCH(50,'كشف الحساب'!$N$4:$N$203,0),0))),"")</f>
        <v/>
      </c>
      <c r="C54" s="71" t="str">
        <f>IFERROR(IF(IFERROR(MATCH(50,'كشف الحساب'!$N$4:$N$203,0),0)=0,"",INDEX('كشف الحساب'!$C$4:$C$203,IFERROR(MATCH(50,'كشف الحساب'!$N$4:$N$203,0),0))),"")</f>
        <v/>
      </c>
      <c r="D54" s="72" t="str">
        <f>IFERROR(IF(IFERROR(MATCH(50,'كشف الحساب'!$N$4:$N$203,0),0)=0,"",INDEX('كشف الحساب'!$D$4:$D$203,IFERROR(MATCH(50,'كشف الحساب'!$N$4:$N$203,0),0))),"")</f>
        <v/>
      </c>
      <c r="E54" s="73" t="str">
        <f>IFERROR(IF(IFERROR(MATCH(50,'كشف الحساب'!$N$4:$N$203,0),0)=0,"",INDEX('كشف الحساب'!$E$4:$E$203,IFERROR(MATCH(50,'كشف الحساب'!$N$4:$N$203,0),0))),"")</f>
        <v/>
      </c>
      <c r="F54" s="70" t="str">
        <f>IFERROR(IF(IFERROR(MATCH(50,'كشف الحساب'!$N$4:$N$203,0),0)=0,"",INDEX('كشف الحساب'!$F$4:$F$203,IFERROR(MATCH(50,'كشف الحساب'!$N$4:$N$203,0),0))),"")</f>
        <v/>
      </c>
      <c r="G54" s="70" t="str">
        <f>IFERROR(IF(IFERROR(MATCH(50,'كشف الحساب'!$N$4:$N$203,0),0)=0,"",INDEX('كشف الحساب'!$G$4:$G$203,IFERROR(MATCH(50,'كشف الحساب'!$N$4:$N$203,0),0))),"")</f>
        <v/>
      </c>
      <c r="H54" s="70" t="str">
        <f>IFERROR(IF(IFERROR(MATCH(50,'كشف الحساب'!$N$4:$N$203,0),0)=0,"",INDEX('كشف الحساب'!$H$4:$H$203,IFERROR(MATCH(50,'كشف الحساب'!$N$4:$N$203,0),0))),"")</f>
        <v/>
      </c>
      <c r="I54" s="70" t="str">
        <f>IFERROR(IF(IFERROR(MATCH(50,'كشف الحساب'!$N$4:$N$203,0),0)=0,"",INDEX('كشف الحساب'!$I$4:$I$203,IFERROR(MATCH(50,'كشف الحساب'!$N$4:$N$203,0),0))),"")</f>
        <v/>
      </c>
      <c r="J54" s="74" t="str">
        <f>IFERROR(IF(IFERROR(MATCH(50,'كشف الحساب'!$N$4:$N$203,0),0)=0,"",INDEX('كشف الحساب'!$J$4:$J$203,IFERROR(MATCH(50,'كشف الحساب'!$N$4:$N$203,0),0))),"")</f>
        <v/>
      </c>
      <c r="K54" s="70" t="str">
        <f>IFERROR(IF(IFERROR(MATCH(50,'كشف الحساب'!$N$4:$N$203,0),0)=0,"",INDEX('كشف الحساب'!$K$4:$K$203,IFERROR(MATCH(50,'كشف الحساب'!$N$4:$N$203,0),0))),"")</f>
        <v/>
      </c>
    </row>
    <row r="55" spans="1:11" ht="15" customHeight="1" x14ac:dyDescent="0.25">
      <c r="A55" s="63" t="str">
        <f>IFERROR(IF(IFERROR(MATCH(51,'كشف الحساب'!$N$4:$N$203,0),0)=0,"",INDEX('كشف الحساب'!$A$4:$A$203,IFERROR(MATCH(51,'كشف الحساب'!$N$4:$N$203,0),0))),"")</f>
        <v/>
      </c>
      <c r="B55" s="64" t="str">
        <f>IFERROR(IF(IFERROR(MATCH(51,'كشف الحساب'!$N$4:$N$203,0),0)=0,"",INDEX('كشف الحساب'!$B$4:$B$203,IFERROR(MATCH(51,'كشف الحساب'!$N$4:$N$203,0),0))),"")</f>
        <v/>
      </c>
      <c r="C55" s="65" t="str">
        <f>IFERROR(IF(IFERROR(MATCH(51,'كشف الحساب'!$N$4:$N$203,0),0)=0,"",INDEX('كشف الحساب'!$C$4:$C$203,IFERROR(MATCH(51,'كشف الحساب'!$N$4:$N$203,0),0))),"")</f>
        <v/>
      </c>
      <c r="D55" s="66" t="str">
        <f>IFERROR(IF(IFERROR(MATCH(51,'كشف الحساب'!$N$4:$N$203,0),0)=0,"",INDEX('كشف الحساب'!$D$4:$D$203,IFERROR(MATCH(51,'كشف الحساب'!$N$4:$N$203,0),0))),"")</f>
        <v/>
      </c>
      <c r="E55" s="67" t="str">
        <f>IFERROR(IF(IFERROR(MATCH(51,'كشف الحساب'!$N$4:$N$203,0),0)=0,"",INDEX('كشف الحساب'!$E$4:$E$203,IFERROR(MATCH(51,'كشف الحساب'!$N$4:$N$203,0),0))),"")</f>
        <v/>
      </c>
      <c r="F55" s="64" t="str">
        <f>IFERROR(IF(IFERROR(MATCH(51,'كشف الحساب'!$N$4:$N$203,0),0)=0,"",INDEX('كشف الحساب'!$F$4:$F$203,IFERROR(MATCH(51,'كشف الحساب'!$N$4:$N$203,0),0))),"")</f>
        <v/>
      </c>
      <c r="G55" s="64" t="str">
        <f>IFERROR(IF(IFERROR(MATCH(51,'كشف الحساب'!$N$4:$N$203,0),0)=0,"",INDEX('كشف الحساب'!$G$4:$G$203,IFERROR(MATCH(51,'كشف الحساب'!$N$4:$N$203,0),0))),"")</f>
        <v/>
      </c>
      <c r="H55" s="64" t="str">
        <f>IFERROR(IF(IFERROR(MATCH(51,'كشف الحساب'!$N$4:$N$203,0),0)=0,"",INDEX('كشف الحساب'!$H$4:$H$203,IFERROR(MATCH(51,'كشف الحساب'!$N$4:$N$203,0),0))),"")</f>
        <v/>
      </c>
      <c r="I55" s="64" t="str">
        <f>IFERROR(IF(IFERROR(MATCH(51,'كشف الحساب'!$N$4:$N$203,0),0)=0,"",INDEX('كشف الحساب'!$I$4:$I$203,IFERROR(MATCH(51,'كشف الحساب'!$N$4:$N$203,0),0))),"")</f>
        <v/>
      </c>
      <c r="J55" s="68" t="str">
        <f>IFERROR(IF(IFERROR(MATCH(51,'كشف الحساب'!$N$4:$N$203,0),0)=0,"",INDEX('كشف الحساب'!$J$4:$J$203,IFERROR(MATCH(51,'كشف الحساب'!$N$4:$N$203,0),0))),"")</f>
        <v/>
      </c>
      <c r="K55" s="64" t="str">
        <f>IFERROR(IF(IFERROR(MATCH(51,'كشف الحساب'!$N$4:$N$203,0),0)=0,"",INDEX('كشف الحساب'!$K$4:$K$203,IFERROR(MATCH(51,'كشف الحساب'!$N$4:$N$203,0),0))),"")</f>
        <v/>
      </c>
    </row>
    <row r="56" spans="1:11" ht="15" customHeight="1" x14ac:dyDescent="0.25">
      <c r="A56" s="69" t="str">
        <f>IFERROR(IF(IFERROR(MATCH(52,'كشف الحساب'!$N$4:$N$203,0),0)=0,"",INDEX('كشف الحساب'!$A$4:$A$203,IFERROR(MATCH(52,'كشف الحساب'!$N$4:$N$203,0),0))),"")</f>
        <v/>
      </c>
      <c r="B56" s="70" t="str">
        <f>IFERROR(IF(IFERROR(MATCH(52,'كشف الحساب'!$N$4:$N$203,0),0)=0,"",INDEX('كشف الحساب'!$B$4:$B$203,IFERROR(MATCH(52,'كشف الحساب'!$N$4:$N$203,0),0))),"")</f>
        <v/>
      </c>
      <c r="C56" s="71" t="str">
        <f>IFERROR(IF(IFERROR(MATCH(52,'كشف الحساب'!$N$4:$N$203,0),0)=0,"",INDEX('كشف الحساب'!$C$4:$C$203,IFERROR(MATCH(52,'كشف الحساب'!$N$4:$N$203,0),0))),"")</f>
        <v/>
      </c>
      <c r="D56" s="72" t="str">
        <f>IFERROR(IF(IFERROR(MATCH(52,'كشف الحساب'!$N$4:$N$203,0),0)=0,"",INDEX('كشف الحساب'!$D$4:$D$203,IFERROR(MATCH(52,'كشف الحساب'!$N$4:$N$203,0),0))),"")</f>
        <v/>
      </c>
      <c r="E56" s="73" t="str">
        <f>IFERROR(IF(IFERROR(MATCH(52,'كشف الحساب'!$N$4:$N$203,0),0)=0,"",INDEX('كشف الحساب'!$E$4:$E$203,IFERROR(MATCH(52,'كشف الحساب'!$N$4:$N$203,0),0))),"")</f>
        <v/>
      </c>
      <c r="F56" s="70" t="str">
        <f>IFERROR(IF(IFERROR(MATCH(52,'كشف الحساب'!$N$4:$N$203,0),0)=0,"",INDEX('كشف الحساب'!$F$4:$F$203,IFERROR(MATCH(52,'كشف الحساب'!$N$4:$N$203,0),0))),"")</f>
        <v/>
      </c>
      <c r="G56" s="70" t="str">
        <f>IFERROR(IF(IFERROR(MATCH(52,'كشف الحساب'!$N$4:$N$203,0),0)=0,"",INDEX('كشف الحساب'!$G$4:$G$203,IFERROR(MATCH(52,'كشف الحساب'!$N$4:$N$203,0),0))),"")</f>
        <v/>
      </c>
      <c r="H56" s="70" t="str">
        <f>IFERROR(IF(IFERROR(MATCH(52,'كشف الحساب'!$N$4:$N$203,0),0)=0,"",INDEX('كشف الحساب'!$H$4:$H$203,IFERROR(MATCH(52,'كشف الحساب'!$N$4:$N$203,0),0))),"")</f>
        <v/>
      </c>
      <c r="I56" s="70" t="str">
        <f>IFERROR(IF(IFERROR(MATCH(52,'كشف الحساب'!$N$4:$N$203,0),0)=0,"",INDEX('كشف الحساب'!$I$4:$I$203,IFERROR(MATCH(52,'كشف الحساب'!$N$4:$N$203,0),0))),"")</f>
        <v/>
      </c>
      <c r="J56" s="74" t="str">
        <f>IFERROR(IF(IFERROR(MATCH(52,'كشف الحساب'!$N$4:$N$203,0),0)=0,"",INDEX('كشف الحساب'!$J$4:$J$203,IFERROR(MATCH(52,'كشف الحساب'!$N$4:$N$203,0),0))),"")</f>
        <v/>
      </c>
      <c r="K56" s="70" t="str">
        <f>IFERROR(IF(IFERROR(MATCH(52,'كشف الحساب'!$N$4:$N$203,0),0)=0,"",INDEX('كشف الحساب'!$K$4:$K$203,IFERROR(MATCH(52,'كشف الحساب'!$N$4:$N$203,0),0))),"")</f>
        <v/>
      </c>
    </row>
    <row r="57" spans="1:11" ht="15" customHeight="1" x14ac:dyDescent="0.25">
      <c r="A57" s="63" t="str">
        <f>IFERROR(IF(IFERROR(MATCH(53,'كشف الحساب'!$N$4:$N$203,0),0)=0,"",INDEX('كشف الحساب'!$A$4:$A$203,IFERROR(MATCH(53,'كشف الحساب'!$N$4:$N$203,0),0))),"")</f>
        <v/>
      </c>
      <c r="B57" s="64" t="str">
        <f>IFERROR(IF(IFERROR(MATCH(53,'كشف الحساب'!$N$4:$N$203,0),0)=0,"",INDEX('كشف الحساب'!$B$4:$B$203,IFERROR(MATCH(53,'كشف الحساب'!$N$4:$N$203,0),0))),"")</f>
        <v/>
      </c>
      <c r="C57" s="65" t="str">
        <f>IFERROR(IF(IFERROR(MATCH(53,'كشف الحساب'!$N$4:$N$203,0),0)=0,"",INDEX('كشف الحساب'!$C$4:$C$203,IFERROR(MATCH(53,'كشف الحساب'!$N$4:$N$203,0),0))),"")</f>
        <v/>
      </c>
      <c r="D57" s="66" t="str">
        <f>IFERROR(IF(IFERROR(MATCH(53,'كشف الحساب'!$N$4:$N$203,0),0)=0,"",INDEX('كشف الحساب'!$D$4:$D$203,IFERROR(MATCH(53,'كشف الحساب'!$N$4:$N$203,0),0))),"")</f>
        <v/>
      </c>
      <c r="E57" s="67" t="str">
        <f>IFERROR(IF(IFERROR(MATCH(53,'كشف الحساب'!$N$4:$N$203,0),0)=0,"",INDEX('كشف الحساب'!$E$4:$E$203,IFERROR(MATCH(53,'كشف الحساب'!$N$4:$N$203,0),0))),"")</f>
        <v/>
      </c>
      <c r="F57" s="64" t="str">
        <f>IFERROR(IF(IFERROR(MATCH(53,'كشف الحساب'!$N$4:$N$203,0),0)=0,"",INDEX('كشف الحساب'!$F$4:$F$203,IFERROR(MATCH(53,'كشف الحساب'!$N$4:$N$203,0),0))),"")</f>
        <v/>
      </c>
      <c r="G57" s="64" t="str">
        <f>IFERROR(IF(IFERROR(MATCH(53,'كشف الحساب'!$N$4:$N$203,0),0)=0,"",INDEX('كشف الحساب'!$G$4:$G$203,IFERROR(MATCH(53,'كشف الحساب'!$N$4:$N$203,0),0))),"")</f>
        <v/>
      </c>
      <c r="H57" s="64" t="str">
        <f>IFERROR(IF(IFERROR(MATCH(53,'كشف الحساب'!$N$4:$N$203,0),0)=0,"",INDEX('كشف الحساب'!$H$4:$H$203,IFERROR(MATCH(53,'كشف الحساب'!$N$4:$N$203,0),0))),"")</f>
        <v/>
      </c>
      <c r="I57" s="64" t="str">
        <f>IFERROR(IF(IFERROR(MATCH(53,'كشف الحساب'!$N$4:$N$203,0),0)=0,"",INDEX('كشف الحساب'!$I$4:$I$203,IFERROR(MATCH(53,'كشف الحساب'!$N$4:$N$203,0),0))),"")</f>
        <v/>
      </c>
      <c r="J57" s="68" t="str">
        <f>IFERROR(IF(IFERROR(MATCH(53,'كشف الحساب'!$N$4:$N$203,0),0)=0,"",INDEX('كشف الحساب'!$J$4:$J$203,IFERROR(MATCH(53,'كشف الحساب'!$N$4:$N$203,0),0))),"")</f>
        <v/>
      </c>
      <c r="K57" s="64" t="str">
        <f>IFERROR(IF(IFERROR(MATCH(53,'كشف الحساب'!$N$4:$N$203,0),0)=0,"",INDEX('كشف الحساب'!$K$4:$K$203,IFERROR(MATCH(53,'كشف الحساب'!$N$4:$N$203,0),0))),"")</f>
        <v/>
      </c>
    </row>
    <row r="58" spans="1:11" ht="15" customHeight="1" x14ac:dyDescent="0.25">
      <c r="A58" s="69" t="str">
        <f>IFERROR(IF(IFERROR(MATCH(54,'كشف الحساب'!$N$4:$N$203,0),0)=0,"",INDEX('كشف الحساب'!$A$4:$A$203,IFERROR(MATCH(54,'كشف الحساب'!$N$4:$N$203,0),0))),"")</f>
        <v/>
      </c>
      <c r="B58" s="70" t="str">
        <f>IFERROR(IF(IFERROR(MATCH(54,'كشف الحساب'!$N$4:$N$203,0),0)=0,"",INDEX('كشف الحساب'!$B$4:$B$203,IFERROR(MATCH(54,'كشف الحساب'!$N$4:$N$203,0),0))),"")</f>
        <v/>
      </c>
      <c r="C58" s="71" t="str">
        <f>IFERROR(IF(IFERROR(MATCH(54,'كشف الحساب'!$N$4:$N$203,0),0)=0,"",INDEX('كشف الحساب'!$C$4:$C$203,IFERROR(MATCH(54,'كشف الحساب'!$N$4:$N$203,0),0))),"")</f>
        <v/>
      </c>
      <c r="D58" s="72" t="str">
        <f>IFERROR(IF(IFERROR(MATCH(54,'كشف الحساب'!$N$4:$N$203,0),0)=0,"",INDEX('كشف الحساب'!$D$4:$D$203,IFERROR(MATCH(54,'كشف الحساب'!$N$4:$N$203,0),0))),"")</f>
        <v/>
      </c>
      <c r="E58" s="73" t="str">
        <f>IFERROR(IF(IFERROR(MATCH(54,'كشف الحساب'!$N$4:$N$203,0),0)=0,"",INDEX('كشف الحساب'!$E$4:$E$203,IFERROR(MATCH(54,'كشف الحساب'!$N$4:$N$203,0),0))),"")</f>
        <v/>
      </c>
      <c r="F58" s="70" t="str">
        <f>IFERROR(IF(IFERROR(MATCH(54,'كشف الحساب'!$N$4:$N$203,0),0)=0,"",INDEX('كشف الحساب'!$F$4:$F$203,IFERROR(MATCH(54,'كشف الحساب'!$N$4:$N$203,0),0))),"")</f>
        <v/>
      </c>
      <c r="G58" s="70" t="str">
        <f>IFERROR(IF(IFERROR(MATCH(54,'كشف الحساب'!$N$4:$N$203,0),0)=0,"",INDEX('كشف الحساب'!$G$4:$G$203,IFERROR(MATCH(54,'كشف الحساب'!$N$4:$N$203,0),0))),"")</f>
        <v/>
      </c>
      <c r="H58" s="70" t="str">
        <f>IFERROR(IF(IFERROR(MATCH(54,'كشف الحساب'!$N$4:$N$203,0),0)=0,"",INDEX('كشف الحساب'!$H$4:$H$203,IFERROR(MATCH(54,'كشف الحساب'!$N$4:$N$203,0),0))),"")</f>
        <v/>
      </c>
      <c r="I58" s="70" t="str">
        <f>IFERROR(IF(IFERROR(MATCH(54,'كشف الحساب'!$N$4:$N$203,0),0)=0,"",INDEX('كشف الحساب'!$I$4:$I$203,IFERROR(MATCH(54,'كشف الحساب'!$N$4:$N$203,0),0))),"")</f>
        <v/>
      </c>
      <c r="J58" s="74" t="str">
        <f>IFERROR(IF(IFERROR(MATCH(54,'كشف الحساب'!$N$4:$N$203,0),0)=0,"",INDEX('كشف الحساب'!$J$4:$J$203,IFERROR(MATCH(54,'كشف الحساب'!$N$4:$N$203,0),0))),"")</f>
        <v/>
      </c>
      <c r="K58" s="70" t="str">
        <f>IFERROR(IF(IFERROR(MATCH(54,'كشف الحساب'!$N$4:$N$203,0),0)=0,"",INDEX('كشف الحساب'!$K$4:$K$203,IFERROR(MATCH(54,'كشف الحساب'!$N$4:$N$203,0),0))),"")</f>
        <v/>
      </c>
    </row>
    <row r="59" spans="1:11" ht="15" customHeight="1" x14ac:dyDescent="0.25">
      <c r="A59" s="63" t="str">
        <f>IFERROR(IF(IFERROR(MATCH(55,'كشف الحساب'!$N$4:$N$203,0),0)=0,"",INDEX('كشف الحساب'!$A$4:$A$203,IFERROR(MATCH(55,'كشف الحساب'!$N$4:$N$203,0),0))),"")</f>
        <v/>
      </c>
      <c r="B59" s="64" t="str">
        <f>IFERROR(IF(IFERROR(MATCH(55,'كشف الحساب'!$N$4:$N$203,0),0)=0,"",INDEX('كشف الحساب'!$B$4:$B$203,IFERROR(MATCH(55,'كشف الحساب'!$N$4:$N$203,0),0))),"")</f>
        <v/>
      </c>
      <c r="C59" s="65" t="str">
        <f>IFERROR(IF(IFERROR(MATCH(55,'كشف الحساب'!$N$4:$N$203,0),0)=0,"",INDEX('كشف الحساب'!$C$4:$C$203,IFERROR(MATCH(55,'كشف الحساب'!$N$4:$N$203,0),0))),"")</f>
        <v/>
      </c>
      <c r="D59" s="66" t="str">
        <f>IFERROR(IF(IFERROR(MATCH(55,'كشف الحساب'!$N$4:$N$203,0),0)=0,"",INDEX('كشف الحساب'!$D$4:$D$203,IFERROR(MATCH(55,'كشف الحساب'!$N$4:$N$203,0),0))),"")</f>
        <v/>
      </c>
      <c r="E59" s="67" t="str">
        <f>IFERROR(IF(IFERROR(MATCH(55,'كشف الحساب'!$N$4:$N$203,0),0)=0,"",INDEX('كشف الحساب'!$E$4:$E$203,IFERROR(MATCH(55,'كشف الحساب'!$N$4:$N$203,0),0))),"")</f>
        <v/>
      </c>
      <c r="F59" s="64" t="str">
        <f>IFERROR(IF(IFERROR(MATCH(55,'كشف الحساب'!$N$4:$N$203,0),0)=0,"",INDEX('كشف الحساب'!$F$4:$F$203,IFERROR(MATCH(55,'كشف الحساب'!$N$4:$N$203,0),0))),"")</f>
        <v/>
      </c>
      <c r="G59" s="64" t="str">
        <f>IFERROR(IF(IFERROR(MATCH(55,'كشف الحساب'!$N$4:$N$203,0),0)=0,"",INDEX('كشف الحساب'!$G$4:$G$203,IFERROR(MATCH(55,'كشف الحساب'!$N$4:$N$203,0),0))),"")</f>
        <v/>
      </c>
      <c r="H59" s="64" t="str">
        <f>IFERROR(IF(IFERROR(MATCH(55,'كشف الحساب'!$N$4:$N$203,0),0)=0,"",INDEX('كشف الحساب'!$H$4:$H$203,IFERROR(MATCH(55,'كشف الحساب'!$N$4:$N$203,0),0))),"")</f>
        <v/>
      </c>
      <c r="I59" s="64" t="str">
        <f>IFERROR(IF(IFERROR(MATCH(55,'كشف الحساب'!$N$4:$N$203,0),0)=0,"",INDEX('كشف الحساب'!$I$4:$I$203,IFERROR(MATCH(55,'كشف الحساب'!$N$4:$N$203,0),0))),"")</f>
        <v/>
      </c>
      <c r="J59" s="68" t="str">
        <f>IFERROR(IF(IFERROR(MATCH(55,'كشف الحساب'!$N$4:$N$203,0),0)=0,"",INDEX('كشف الحساب'!$J$4:$J$203,IFERROR(MATCH(55,'كشف الحساب'!$N$4:$N$203,0),0))),"")</f>
        <v/>
      </c>
      <c r="K59" s="64" t="str">
        <f>IFERROR(IF(IFERROR(MATCH(55,'كشف الحساب'!$N$4:$N$203,0),0)=0,"",INDEX('كشف الحساب'!$K$4:$K$203,IFERROR(MATCH(55,'كشف الحساب'!$N$4:$N$203,0),0))),"")</f>
        <v/>
      </c>
    </row>
    <row r="60" spans="1:11" ht="15" customHeight="1" x14ac:dyDescent="0.25">
      <c r="A60" s="69" t="str">
        <f>IFERROR(IF(IFERROR(MATCH(56,'كشف الحساب'!$N$4:$N$203,0),0)=0,"",INDEX('كشف الحساب'!$A$4:$A$203,IFERROR(MATCH(56,'كشف الحساب'!$N$4:$N$203,0),0))),"")</f>
        <v/>
      </c>
      <c r="B60" s="70" t="str">
        <f>IFERROR(IF(IFERROR(MATCH(56,'كشف الحساب'!$N$4:$N$203,0),0)=0,"",INDEX('كشف الحساب'!$B$4:$B$203,IFERROR(MATCH(56,'كشف الحساب'!$N$4:$N$203,0),0))),"")</f>
        <v/>
      </c>
      <c r="C60" s="71" t="str">
        <f>IFERROR(IF(IFERROR(MATCH(56,'كشف الحساب'!$N$4:$N$203,0),0)=0,"",INDEX('كشف الحساب'!$C$4:$C$203,IFERROR(MATCH(56,'كشف الحساب'!$N$4:$N$203,0),0))),"")</f>
        <v/>
      </c>
      <c r="D60" s="72" t="str">
        <f>IFERROR(IF(IFERROR(MATCH(56,'كشف الحساب'!$N$4:$N$203,0),0)=0,"",INDEX('كشف الحساب'!$D$4:$D$203,IFERROR(MATCH(56,'كشف الحساب'!$N$4:$N$203,0),0))),"")</f>
        <v/>
      </c>
      <c r="E60" s="73" t="str">
        <f>IFERROR(IF(IFERROR(MATCH(56,'كشف الحساب'!$N$4:$N$203,0),0)=0,"",INDEX('كشف الحساب'!$E$4:$E$203,IFERROR(MATCH(56,'كشف الحساب'!$N$4:$N$203,0),0))),"")</f>
        <v/>
      </c>
      <c r="F60" s="70" t="str">
        <f>IFERROR(IF(IFERROR(MATCH(56,'كشف الحساب'!$N$4:$N$203,0),0)=0,"",INDEX('كشف الحساب'!$F$4:$F$203,IFERROR(MATCH(56,'كشف الحساب'!$N$4:$N$203,0),0))),"")</f>
        <v/>
      </c>
      <c r="G60" s="70" t="str">
        <f>IFERROR(IF(IFERROR(MATCH(56,'كشف الحساب'!$N$4:$N$203,0),0)=0,"",INDEX('كشف الحساب'!$G$4:$G$203,IFERROR(MATCH(56,'كشف الحساب'!$N$4:$N$203,0),0))),"")</f>
        <v/>
      </c>
      <c r="H60" s="70" t="str">
        <f>IFERROR(IF(IFERROR(MATCH(56,'كشف الحساب'!$N$4:$N$203,0),0)=0,"",INDEX('كشف الحساب'!$H$4:$H$203,IFERROR(MATCH(56,'كشف الحساب'!$N$4:$N$203,0),0))),"")</f>
        <v/>
      </c>
      <c r="I60" s="70" t="str">
        <f>IFERROR(IF(IFERROR(MATCH(56,'كشف الحساب'!$N$4:$N$203,0),0)=0,"",INDEX('كشف الحساب'!$I$4:$I$203,IFERROR(MATCH(56,'كشف الحساب'!$N$4:$N$203,0),0))),"")</f>
        <v/>
      </c>
      <c r="J60" s="74" t="str">
        <f>IFERROR(IF(IFERROR(MATCH(56,'كشف الحساب'!$N$4:$N$203,0),0)=0,"",INDEX('كشف الحساب'!$J$4:$J$203,IFERROR(MATCH(56,'كشف الحساب'!$N$4:$N$203,0),0))),"")</f>
        <v/>
      </c>
      <c r="K60" s="70" t="str">
        <f>IFERROR(IF(IFERROR(MATCH(56,'كشف الحساب'!$N$4:$N$203,0),0)=0,"",INDEX('كشف الحساب'!$K$4:$K$203,IFERROR(MATCH(56,'كشف الحساب'!$N$4:$N$203,0),0))),"")</f>
        <v/>
      </c>
    </row>
    <row r="61" spans="1:11" ht="15" customHeight="1" x14ac:dyDescent="0.25">
      <c r="A61" s="63" t="str">
        <f>IFERROR(IF(IFERROR(MATCH(57,'كشف الحساب'!$N$4:$N$203,0),0)=0,"",INDEX('كشف الحساب'!$A$4:$A$203,IFERROR(MATCH(57,'كشف الحساب'!$N$4:$N$203,0),0))),"")</f>
        <v/>
      </c>
      <c r="B61" s="64" t="str">
        <f>IFERROR(IF(IFERROR(MATCH(57,'كشف الحساب'!$N$4:$N$203,0),0)=0,"",INDEX('كشف الحساب'!$B$4:$B$203,IFERROR(MATCH(57,'كشف الحساب'!$N$4:$N$203,0),0))),"")</f>
        <v/>
      </c>
      <c r="C61" s="65" t="str">
        <f>IFERROR(IF(IFERROR(MATCH(57,'كشف الحساب'!$N$4:$N$203,0),0)=0,"",INDEX('كشف الحساب'!$C$4:$C$203,IFERROR(MATCH(57,'كشف الحساب'!$N$4:$N$203,0),0))),"")</f>
        <v/>
      </c>
      <c r="D61" s="66" t="str">
        <f>IFERROR(IF(IFERROR(MATCH(57,'كشف الحساب'!$N$4:$N$203,0),0)=0,"",INDEX('كشف الحساب'!$D$4:$D$203,IFERROR(MATCH(57,'كشف الحساب'!$N$4:$N$203,0),0))),"")</f>
        <v/>
      </c>
      <c r="E61" s="67" t="str">
        <f>IFERROR(IF(IFERROR(MATCH(57,'كشف الحساب'!$N$4:$N$203,0),0)=0,"",INDEX('كشف الحساب'!$E$4:$E$203,IFERROR(MATCH(57,'كشف الحساب'!$N$4:$N$203,0),0))),"")</f>
        <v/>
      </c>
      <c r="F61" s="64" t="str">
        <f>IFERROR(IF(IFERROR(MATCH(57,'كشف الحساب'!$N$4:$N$203,0),0)=0,"",INDEX('كشف الحساب'!$F$4:$F$203,IFERROR(MATCH(57,'كشف الحساب'!$N$4:$N$203,0),0))),"")</f>
        <v/>
      </c>
      <c r="G61" s="64" t="str">
        <f>IFERROR(IF(IFERROR(MATCH(57,'كشف الحساب'!$N$4:$N$203,0),0)=0,"",INDEX('كشف الحساب'!$G$4:$G$203,IFERROR(MATCH(57,'كشف الحساب'!$N$4:$N$203,0),0))),"")</f>
        <v/>
      </c>
      <c r="H61" s="64" t="str">
        <f>IFERROR(IF(IFERROR(MATCH(57,'كشف الحساب'!$N$4:$N$203,0),0)=0,"",INDEX('كشف الحساب'!$H$4:$H$203,IFERROR(MATCH(57,'كشف الحساب'!$N$4:$N$203,0),0))),"")</f>
        <v/>
      </c>
      <c r="I61" s="64" t="str">
        <f>IFERROR(IF(IFERROR(MATCH(57,'كشف الحساب'!$N$4:$N$203,0),0)=0,"",INDEX('كشف الحساب'!$I$4:$I$203,IFERROR(MATCH(57,'كشف الحساب'!$N$4:$N$203,0),0))),"")</f>
        <v/>
      </c>
      <c r="J61" s="68" t="str">
        <f>IFERROR(IF(IFERROR(MATCH(57,'كشف الحساب'!$N$4:$N$203,0),0)=0,"",INDEX('كشف الحساب'!$J$4:$J$203,IFERROR(MATCH(57,'كشف الحساب'!$N$4:$N$203,0),0))),"")</f>
        <v/>
      </c>
      <c r="K61" s="64" t="str">
        <f>IFERROR(IF(IFERROR(MATCH(57,'كشف الحساب'!$N$4:$N$203,0),0)=0,"",INDEX('كشف الحساب'!$K$4:$K$203,IFERROR(MATCH(57,'كشف الحساب'!$N$4:$N$203,0),0))),"")</f>
        <v/>
      </c>
    </row>
    <row r="62" spans="1:11" ht="15" customHeight="1" x14ac:dyDescent="0.25">
      <c r="A62" s="69" t="str">
        <f>IFERROR(IF(IFERROR(MATCH(58,'كشف الحساب'!$N$4:$N$203,0),0)=0,"",INDEX('كشف الحساب'!$A$4:$A$203,IFERROR(MATCH(58,'كشف الحساب'!$N$4:$N$203,0),0))),"")</f>
        <v/>
      </c>
      <c r="B62" s="70" t="str">
        <f>IFERROR(IF(IFERROR(MATCH(58,'كشف الحساب'!$N$4:$N$203,0),0)=0,"",INDEX('كشف الحساب'!$B$4:$B$203,IFERROR(MATCH(58,'كشف الحساب'!$N$4:$N$203,0),0))),"")</f>
        <v/>
      </c>
      <c r="C62" s="71" t="str">
        <f>IFERROR(IF(IFERROR(MATCH(58,'كشف الحساب'!$N$4:$N$203,0),0)=0,"",INDEX('كشف الحساب'!$C$4:$C$203,IFERROR(MATCH(58,'كشف الحساب'!$N$4:$N$203,0),0))),"")</f>
        <v/>
      </c>
      <c r="D62" s="72" t="str">
        <f>IFERROR(IF(IFERROR(MATCH(58,'كشف الحساب'!$N$4:$N$203,0),0)=0,"",INDEX('كشف الحساب'!$D$4:$D$203,IFERROR(MATCH(58,'كشف الحساب'!$N$4:$N$203,0),0))),"")</f>
        <v/>
      </c>
      <c r="E62" s="73" t="str">
        <f>IFERROR(IF(IFERROR(MATCH(58,'كشف الحساب'!$N$4:$N$203,0),0)=0,"",INDEX('كشف الحساب'!$E$4:$E$203,IFERROR(MATCH(58,'كشف الحساب'!$N$4:$N$203,0),0))),"")</f>
        <v/>
      </c>
      <c r="F62" s="70" t="str">
        <f>IFERROR(IF(IFERROR(MATCH(58,'كشف الحساب'!$N$4:$N$203,0),0)=0,"",INDEX('كشف الحساب'!$F$4:$F$203,IFERROR(MATCH(58,'كشف الحساب'!$N$4:$N$203,0),0))),"")</f>
        <v/>
      </c>
      <c r="G62" s="70" t="str">
        <f>IFERROR(IF(IFERROR(MATCH(58,'كشف الحساب'!$N$4:$N$203,0),0)=0,"",INDEX('كشف الحساب'!$G$4:$G$203,IFERROR(MATCH(58,'كشف الحساب'!$N$4:$N$203,0),0))),"")</f>
        <v/>
      </c>
      <c r="H62" s="70" t="str">
        <f>IFERROR(IF(IFERROR(MATCH(58,'كشف الحساب'!$N$4:$N$203,0),0)=0,"",INDEX('كشف الحساب'!$H$4:$H$203,IFERROR(MATCH(58,'كشف الحساب'!$N$4:$N$203,0),0))),"")</f>
        <v/>
      </c>
      <c r="I62" s="70" t="str">
        <f>IFERROR(IF(IFERROR(MATCH(58,'كشف الحساب'!$N$4:$N$203,0),0)=0,"",INDEX('كشف الحساب'!$I$4:$I$203,IFERROR(MATCH(58,'كشف الحساب'!$N$4:$N$203,0),0))),"")</f>
        <v/>
      </c>
      <c r="J62" s="74" t="str">
        <f>IFERROR(IF(IFERROR(MATCH(58,'كشف الحساب'!$N$4:$N$203,0),0)=0,"",INDEX('كشف الحساب'!$J$4:$J$203,IFERROR(MATCH(58,'كشف الحساب'!$N$4:$N$203,0),0))),"")</f>
        <v/>
      </c>
      <c r="K62" s="70" t="str">
        <f>IFERROR(IF(IFERROR(MATCH(58,'كشف الحساب'!$N$4:$N$203,0),0)=0,"",INDEX('كشف الحساب'!$K$4:$K$203,IFERROR(MATCH(58,'كشف الحساب'!$N$4:$N$203,0),0))),"")</f>
        <v/>
      </c>
    </row>
    <row r="63" spans="1:11" ht="15" customHeight="1" x14ac:dyDescent="0.25">
      <c r="A63" s="63" t="str">
        <f>IFERROR(IF(IFERROR(MATCH(59,'كشف الحساب'!$N$4:$N$203,0),0)=0,"",INDEX('كشف الحساب'!$A$4:$A$203,IFERROR(MATCH(59,'كشف الحساب'!$N$4:$N$203,0),0))),"")</f>
        <v/>
      </c>
      <c r="B63" s="64" t="str">
        <f>IFERROR(IF(IFERROR(MATCH(59,'كشف الحساب'!$N$4:$N$203,0),0)=0,"",INDEX('كشف الحساب'!$B$4:$B$203,IFERROR(MATCH(59,'كشف الحساب'!$N$4:$N$203,0),0))),"")</f>
        <v/>
      </c>
      <c r="C63" s="65" t="str">
        <f>IFERROR(IF(IFERROR(MATCH(59,'كشف الحساب'!$N$4:$N$203,0),0)=0,"",INDEX('كشف الحساب'!$C$4:$C$203,IFERROR(MATCH(59,'كشف الحساب'!$N$4:$N$203,0),0))),"")</f>
        <v/>
      </c>
      <c r="D63" s="66" t="str">
        <f>IFERROR(IF(IFERROR(MATCH(59,'كشف الحساب'!$N$4:$N$203,0),0)=0,"",INDEX('كشف الحساب'!$D$4:$D$203,IFERROR(MATCH(59,'كشف الحساب'!$N$4:$N$203,0),0))),"")</f>
        <v/>
      </c>
      <c r="E63" s="67" t="str">
        <f>IFERROR(IF(IFERROR(MATCH(59,'كشف الحساب'!$N$4:$N$203,0),0)=0,"",INDEX('كشف الحساب'!$E$4:$E$203,IFERROR(MATCH(59,'كشف الحساب'!$N$4:$N$203,0),0))),"")</f>
        <v/>
      </c>
      <c r="F63" s="64" t="str">
        <f>IFERROR(IF(IFERROR(MATCH(59,'كشف الحساب'!$N$4:$N$203,0),0)=0,"",INDEX('كشف الحساب'!$F$4:$F$203,IFERROR(MATCH(59,'كشف الحساب'!$N$4:$N$203,0),0))),"")</f>
        <v/>
      </c>
      <c r="G63" s="64" t="str">
        <f>IFERROR(IF(IFERROR(MATCH(59,'كشف الحساب'!$N$4:$N$203,0),0)=0,"",INDEX('كشف الحساب'!$G$4:$G$203,IFERROR(MATCH(59,'كشف الحساب'!$N$4:$N$203,0),0))),"")</f>
        <v/>
      </c>
      <c r="H63" s="64" t="str">
        <f>IFERROR(IF(IFERROR(MATCH(59,'كشف الحساب'!$N$4:$N$203,0),0)=0,"",INDEX('كشف الحساب'!$H$4:$H$203,IFERROR(MATCH(59,'كشف الحساب'!$N$4:$N$203,0),0))),"")</f>
        <v/>
      </c>
      <c r="I63" s="64" t="str">
        <f>IFERROR(IF(IFERROR(MATCH(59,'كشف الحساب'!$N$4:$N$203,0),0)=0,"",INDEX('كشف الحساب'!$I$4:$I$203,IFERROR(MATCH(59,'كشف الحساب'!$N$4:$N$203,0),0))),"")</f>
        <v/>
      </c>
      <c r="J63" s="68" t="str">
        <f>IFERROR(IF(IFERROR(MATCH(59,'كشف الحساب'!$N$4:$N$203,0),0)=0,"",INDEX('كشف الحساب'!$J$4:$J$203,IFERROR(MATCH(59,'كشف الحساب'!$N$4:$N$203,0),0))),"")</f>
        <v/>
      </c>
      <c r="K63" s="64" t="str">
        <f>IFERROR(IF(IFERROR(MATCH(59,'كشف الحساب'!$N$4:$N$203,0),0)=0,"",INDEX('كشف الحساب'!$K$4:$K$203,IFERROR(MATCH(59,'كشف الحساب'!$N$4:$N$203,0),0))),"")</f>
        <v/>
      </c>
    </row>
    <row r="64" spans="1:11" ht="15" customHeight="1" x14ac:dyDescent="0.25">
      <c r="A64" s="69" t="str">
        <f>IFERROR(IF(IFERROR(MATCH(60,'كشف الحساب'!$N$4:$N$203,0),0)=0,"",INDEX('كشف الحساب'!$A$4:$A$203,IFERROR(MATCH(60,'كشف الحساب'!$N$4:$N$203,0),0))),"")</f>
        <v/>
      </c>
      <c r="B64" s="70" t="str">
        <f>IFERROR(IF(IFERROR(MATCH(60,'كشف الحساب'!$N$4:$N$203,0),0)=0,"",INDEX('كشف الحساب'!$B$4:$B$203,IFERROR(MATCH(60,'كشف الحساب'!$N$4:$N$203,0),0))),"")</f>
        <v/>
      </c>
      <c r="C64" s="71" t="str">
        <f>IFERROR(IF(IFERROR(MATCH(60,'كشف الحساب'!$N$4:$N$203,0),0)=0,"",INDEX('كشف الحساب'!$C$4:$C$203,IFERROR(MATCH(60,'كشف الحساب'!$N$4:$N$203,0),0))),"")</f>
        <v/>
      </c>
      <c r="D64" s="72" t="str">
        <f>IFERROR(IF(IFERROR(MATCH(60,'كشف الحساب'!$N$4:$N$203,0),0)=0,"",INDEX('كشف الحساب'!$D$4:$D$203,IFERROR(MATCH(60,'كشف الحساب'!$N$4:$N$203,0),0))),"")</f>
        <v/>
      </c>
      <c r="E64" s="73" t="str">
        <f>IFERROR(IF(IFERROR(MATCH(60,'كشف الحساب'!$N$4:$N$203,0),0)=0,"",INDEX('كشف الحساب'!$E$4:$E$203,IFERROR(MATCH(60,'كشف الحساب'!$N$4:$N$203,0),0))),"")</f>
        <v/>
      </c>
      <c r="F64" s="70" t="str">
        <f>IFERROR(IF(IFERROR(MATCH(60,'كشف الحساب'!$N$4:$N$203,0),0)=0,"",INDEX('كشف الحساب'!$F$4:$F$203,IFERROR(MATCH(60,'كشف الحساب'!$N$4:$N$203,0),0))),"")</f>
        <v/>
      </c>
      <c r="G64" s="70" t="str">
        <f>IFERROR(IF(IFERROR(MATCH(60,'كشف الحساب'!$N$4:$N$203,0),0)=0,"",INDEX('كشف الحساب'!$G$4:$G$203,IFERROR(MATCH(60,'كشف الحساب'!$N$4:$N$203,0),0))),"")</f>
        <v/>
      </c>
      <c r="H64" s="70" t="str">
        <f>IFERROR(IF(IFERROR(MATCH(60,'كشف الحساب'!$N$4:$N$203,0),0)=0,"",INDEX('كشف الحساب'!$H$4:$H$203,IFERROR(MATCH(60,'كشف الحساب'!$N$4:$N$203,0),0))),"")</f>
        <v/>
      </c>
      <c r="I64" s="70" t="str">
        <f>IFERROR(IF(IFERROR(MATCH(60,'كشف الحساب'!$N$4:$N$203,0),0)=0,"",INDEX('كشف الحساب'!$I$4:$I$203,IFERROR(MATCH(60,'كشف الحساب'!$N$4:$N$203,0),0))),"")</f>
        <v/>
      </c>
      <c r="J64" s="74" t="str">
        <f>IFERROR(IF(IFERROR(MATCH(60,'كشف الحساب'!$N$4:$N$203,0),0)=0,"",INDEX('كشف الحساب'!$J$4:$J$203,IFERROR(MATCH(60,'كشف الحساب'!$N$4:$N$203,0),0))),"")</f>
        <v/>
      </c>
      <c r="K64" s="70" t="str">
        <f>IFERROR(IF(IFERROR(MATCH(60,'كشف الحساب'!$N$4:$N$203,0),0)=0,"",INDEX('كشف الحساب'!$K$4:$K$203,IFERROR(MATCH(60,'كشف الحساب'!$N$4:$N$203,0),0))),"")</f>
        <v/>
      </c>
    </row>
    <row r="65" spans="1:11" ht="15" customHeight="1" x14ac:dyDescent="0.25">
      <c r="A65" s="63" t="str">
        <f>IFERROR(IF(IFERROR(MATCH(61,'كشف الحساب'!$N$4:$N$203,0),0)=0,"",INDEX('كشف الحساب'!$A$4:$A$203,IFERROR(MATCH(61,'كشف الحساب'!$N$4:$N$203,0),0))),"")</f>
        <v/>
      </c>
      <c r="B65" s="64" t="str">
        <f>IFERROR(IF(IFERROR(MATCH(61,'كشف الحساب'!$N$4:$N$203,0),0)=0,"",INDEX('كشف الحساب'!$B$4:$B$203,IFERROR(MATCH(61,'كشف الحساب'!$N$4:$N$203,0),0))),"")</f>
        <v/>
      </c>
      <c r="C65" s="65" t="str">
        <f>IFERROR(IF(IFERROR(MATCH(61,'كشف الحساب'!$N$4:$N$203,0),0)=0,"",INDEX('كشف الحساب'!$C$4:$C$203,IFERROR(MATCH(61,'كشف الحساب'!$N$4:$N$203,0),0))),"")</f>
        <v/>
      </c>
      <c r="D65" s="66" t="str">
        <f>IFERROR(IF(IFERROR(MATCH(61,'كشف الحساب'!$N$4:$N$203,0),0)=0,"",INDEX('كشف الحساب'!$D$4:$D$203,IFERROR(MATCH(61,'كشف الحساب'!$N$4:$N$203,0),0))),"")</f>
        <v/>
      </c>
      <c r="E65" s="67" t="str">
        <f>IFERROR(IF(IFERROR(MATCH(61,'كشف الحساب'!$N$4:$N$203,0),0)=0,"",INDEX('كشف الحساب'!$E$4:$E$203,IFERROR(MATCH(61,'كشف الحساب'!$N$4:$N$203,0),0))),"")</f>
        <v/>
      </c>
      <c r="F65" s="64" t="str">
        <f>IFERROR(IF(IFERROR(MATCH(61,'كشف الحساب'!$N$4:$N$203,0),0)=0,"",INDEX('كشف الحساب'!$F$4:$F$203,IFERROR(MATCH(61,'كشف الحساب'!$N$4:$N$203,0),0))),"")</f>
        <v/>
      </c>
      <c r="G65" s="64" t="str">
        <f>IFERROR(IF(IFERROR(MATCH(61,'كشف الحساب'!$N$4:$N$203,0),0)=0,"",INDEX('كشف الحساب'!$G$4:$G$203,IFERROR(MATCH(61,'كشف الحساب'!$N$4:$N$203,0),0))),"")</f>
        <v/>
      </c>
      <c r="H65" s="64" t="str">
        <f>IFERROR(IF(IFERROR(MATCH(61,'كشف الحساب'!$N$4:$N$203,0),0)=0,"",INDEX('كشف الحساب'!$H$4:$H$203,IFERROR(MATCH(61,'كشف الحساب'!$N$4:$N$203,0),0))),"")</f>
        <v/>
      </c>
      <c r="I65" s="64" t="str">
        <f>IFERROR(IF(IFERROR(MATCH(61,'كشف الحساب'!$N$4:$N$203,0),0)=0,"",INDEX('كشف الحساب'!$I$4:$I$203,IFERROR(MATCH(61,'كشف الحساب'!$N$4:$N$203,0),0))),"")</f>
        <v/>
      </c>
      <c r="J65" s="68" t="str">
        <f>IFERROR(IF(IFERROR(MATCH(61,'كشف الحساب'!$N$4:$N$203,0),0)=0,"",INDEX('كشف الحساب'!$J$4:$J$203,IFERROR(MATCH(61,'كشف الحساب'!$N$4:$N$203,0),0))),"")</f>
        <v/>
      </c>
      <c r="K65" s="64" t="str">
        <f>IFERROR(IF(IFERROR(MATCH(61,'كشف الحساب'!$N$4:$N$203,0),0)=0,"",INDEX('كشف الحساب'!$K$4:$K$203,IFERROR(MATCH(61,'كشف الحساب'!$N$4:$N$203,0),0))),"")</f>
        <v/>
      </c>
    </row>
    <row r="66" spans="1:11" ht="15" customHeight="1" x14ac:dyDescent="0.25">
      <c r="A66" s="69" t="str">
        <f>IFERROR(IF(IFERROR(MATCH(62,'كشف الحساب'!$N$4:$N$203,0),0)=0,"",INDEX('كشف الحساب'!$A$4:$A$203,IFERROR(MATCH(62,'كشف الحساب'!$N$4:$N$203,0),0))),"")</f>
        <v/>
      </c>
      <c r="B66" s="70" t="str">
        <f>IFERROR(IF(IFERROR(MATCH(62,'كشف الحساب'!$N$4:$N$203,0),0)=0,"",INDEX('كشف الحساب'!$B$4:$B$203,IFERROR(MATCH(62,'كشف الحساب'!$N$4:$N$203,0),0))),"")</f>
        <v/>
      </c>
      <c r="C66" s="71" t="str">
        <f>IFERROR(IF(IFERROR(MATCH(62,'كشف الحساب'!$N$4:$N$203,0),0)=0,"",INDEX('كشف الحساب'!$C$4:$C$203,IFERROR(MATCH(62,'كشف الحساب'!$N$4:$N$203,0),0))),"")</f>
        <v/>
      </c>
      <c r="D66" s="72" t="str">
        <f>IFERROR(IF(IFERROR(MATCH(62,'كشف الحساب'!$N$4:$N$203,0),0)=0,"",INDEX('كشف الحساب'!$D$4:$D$203,IFERROR(MATCH(62,'كشف الحساب'!$N$4:$N$203,0),0))),"")</f>
        <v/>
      </c>
      <c r="E66" s="73" t="str">
        <f>IFERROR(IF(IFERROR(MATCH(62,'كشف الحساب'!$N$4:$N$203,0),0)=0,"",INDEX('كشف الحساب'!$E$4:$E$203,IFERROR(MATCH(62,'كشف الحساب'!$N$4:$N$203,0),0))),"")</f>
        <v/>
      </c>
      <c r="F66" s="70" t="str">
        <f>IFERROR(IF(IFERROR(MATCH(62,'كشف الحساب'!$N$4:$N$203,0),0)=0,"",INDEX('كشف الحساب'!$F$4:$F$203,IFERROR(MATCH(62,'كشف الحساب'!$N$4:$N$203,0),0))),"")</f>
        <v/>
      </c>
      <c r="G66" s="70" t="str">
        <f>IFERROR(IF(IFERROR(MATCH(62,'كشف الحساب'!$N$4:$N$203,0),0)=0,"",INDEX('كشف الحساب'!$G$4:$G$203,IFERROR(MATCH(62,'كشف الحساب'!$N$4:$N$203,0),0))),"")</f>
        <v/>
      </c>
      <c r="H66" s="70" t="str">
        <f>IFERROR(IF(IFERROR(MATCH(62,'كشف الحساب'!$N$4:$N$203,0),0)=0,"",INDEX('كشف الحساب'!$H$4:$H$203,IFERROR(MATCH(62,'كشف الحساب'!$N$4:$N$203,0),0))),"")</f>
        <v/>
      </c>
      <c r="I66" s="70" t="str">
        <f>IFERROR(IF(IFERROR(MATCH(62,'كشف الحساب'!$N$4:$N$203,0),0)=0,"",INDEX('كشف الحساب'!$I$4:$I$203,IFERROR(MATCH(62,'كشف الحساب'!$N$4:$N$203,0),0))),"")</f>
        <v/>
      </c>
      <c r="J66" s="74" t="str">
        <f>IFERROR(IF(IFERROR(MATCH(62,'كشف الحساب'!$N$4:$N$203,0),0)=0,"",INDEX('كشف الحساب'!$J$4:$J$203,IFERROR(MATCH(62,'كشف الحساب'!$N$4:$N$203,0),0))),"")</f>
        <v/>
      </c>
      <c r="K66" s="70" t="str">
        <f>IFERROR(IF(IFERROR(MATCH(62,'كشف الحساب'!$N$4:$N$203,0),0)=0,"",INDEX('كشف الحساب'!$K$4:$K$203,IFERROR(MATCH(62,'كشف الحساب'!$N$4:$N$203,0),0))),"")</f>
        <v/>
      </c>
    </row>
    <row r="67" spans="1:11" ht="15" customHeight="1" x14ac:dyDescent="0.25">
      <c r="A67" s="63" t="str">
        <f>IFERROR(IF(IFERROR(MATCH(63,'كشف الحساب'!$N$4:$N$203,0),0)=0,"",INDEX('كشف الحساب'!$A$4:$A$203,IFERROR(MATCH(63,'كشف الحساب'!$N$4:$N$203,0),0))),"")</f>
        <v/>
      </c>
      <c r="B67" s="64" t="str">
        <f>IFERROR(IF(IFERROR(MATCH(63,'كشف الحساب'!$N$4:$N$203,0),0)=0,"",INDEX('كشف الحساب'!$B$4:$B$203,IFERROR(MATCH(63,'كشف الحساب'!$N$4:$N$203,0),0))),"")</f>
        <v/>
      </c>
      <c r="C67" s="65" t="str">
        <f>IFERROR(IF(IFERROR(MATCH(63,'كشف الحساب'!$N$4:$N$203,0),0)=0,"",INDEX('كشف الحساب'!$C$4:$C$203,IFERROR(MATCH(63,'كشف الحساب'!$N$4:$N$203,0),0))),"")</f>
        <v/>
      </c>
      <c r="D67" s="66" t="str">
        <f>IFERROR(IF(IFERROR(MATCH(63,'كشف الحساب'!$N$4:$N$203,0),0)=0,"",INDEX('كشف الحساب'!$D$4:$D$203,IFERROR(MATCH(63,'كشف الحساب'!$N$4:$N$203,0),0))),"")</f>
        <v/>
      </c>
      <c r="E67" s="67" t="str">
        <f>IFERROR(IF(IFERROR(MATCH(63,'كشف الحساب'!$N$4:$N$203,0),0)=0,"",INDEX('كشف الحساب'!$E$4:$E$203,IFERROR(MATCH(63,'كشف الحساب'!$N$4:$N$203,0),0))),"")</f>
        <v/>
      </c>
      <c r="F67" s="64" t="str">
        <f>IFERROR(IF(IFERROR(MATCH(63,'كشف الحساب'!$N$4:$N$203,0),0)=0,"",INDEX('كشف الحساب'!$F$4:$F$203,IFERROR(MATCH(63,'كشف الحساب'!$N$4:$N$203,0),0))),"")</f>
        <v/>
      </c>
      <c r="G67" s="64" t="str">
        <f>IFERROR(IF(IFERROR(MATCH(63,'كشف الحساب'!$N$4:$N$203,0),0)=0,"",INDEX('كشف الحساب'!$G$4:$G$203,IFERROR(MATCH(63,'كشف الحساب'!$N$4:$N$203,0),0))),"")</f>
        <v/>
      </c>
      <c r="H67" s="64" t="str">
        <f>IFERROR(IF(IFERROR(MATCH(63,'كشف الحساب'!$N$4:$N$203,0),0)=0,"",INDEX('كشف الحساب'!$H$4:$H$203,IFERROR(MATCH(63,'كشف الحساب'!$N$4:$N$203,0),0))),"")</f>
        <v/>
      </c>
      <c r="I67" s="64" t="str">
        <f>IFERROR(IF(IFERROR(MATCH(63,'كشف الحساب'!$N$4:$N$203,0),0)=0,"",INDEX('كشف الحساب'!$I$4:$I$203,IFERROR(MATCH(63,'كشف الحساب'!$N$4:$N$203,0),0))),"")</f>
        <v/>
      </c>
      <c r="J67" s="68" t="str">
        <f>IFERROR(IF(IFERROR(MATCH(63,'كشف الحساب'!$N$4:$N$203,0),0)=0,"",INDEX('كشف الحساب'!$J$4:$J$203,IFERROR(MATCH(63,'كشف الحساب'!$N$4:$N$203,0),0))),"")</f>
        <v/>
      </c>
      <c r="K67" s="64" t="str">
        <f>IFERROR(IF(IFERROR(MATCH(63,'كشف الحساب'!$N$4:$N$203,0),0)=0,"",INDEX('كشف الحساب'!$K$4:$K$203,IFERROR(MATCH(63,'كشف الحساب'!$N$4:$N$203,0),0))),"")</f>
        <v/>
      </c>
    </row>
    <row r="68" spans="1:11" ht="15" customHeight="1" x14ac:dyDescent="0.25">
      <c r="A68" s="69" t="str">
        <f>IFERROR(IF(IFERROR(MATCH(64,'كشف الحساب'!$N$4:$N$203,0),0)=0,"",INDEX('كشف الحساب'!$A$4:$A$203,IFERROR(MATCH(64,'كشف الحساب'!$N$4:$N$203,0),0))),"")</f>
        <v/>
      </c>
      <c r="B68" s="70" t="str">
        <f>IFERROR(IF(IFERROR(MATCH(64,'كشف الحساب'!$N$4:$N$203,0),0)=0,"",INDEX('كشف الحساب'!$B$4:$B$203,IFERROR(MATCH(64,'كشف الحساب'!$N$4:$N$203,0),0))),"")</f>
        <v/>
      </c>
      <c r="C68" s="71" t="str">
        <f>IFERROR(IF(IFERROR(MATCH(64,'كشف الحساب'!$N$4:$N$203,0),0)=0,"",INDEX('كشف الحساب'!$C$4:$C$203,IFERROR(MATCH(64,'كشف الحساب'!$N$4:$N$203,0),0))),"")</f>
        <v/>
      </c>
      <c r="D68" s="72" t="str">
        <f>IFERROR(IF(IFERROR(MATCH(64,'كشف الحساب'!$N$4:$N$203,0),0)=0,"",INDEX('كشف الحساب'!$D$4:$D$203,IFERROR(MATCH(64,'كشف الحساب'!$N$4:$N$203,0),0))),"")</f>
        <v/>
      </c>
      <c r="E68" s="73" t="str">
        <f>IFERROR(IF(IFERROR(MATCH(64,'كشف الحساب'!$N$4:$N$203,0),0)=0,"",INDEX('كشف الحساب'!$E$4:$E$203,IFERROR(MATCH(64,'كشف الحساب'!$N$4:$N$203,0),0))),"")</f>
        <v/>
      </c>
      <c r="F68" s="70" t="str">
        <f>IFERROR(IF(IFERROR(MATCH(64,'كشف الحساب'!$N$4:$N$203,0),0)=0,"",INDEX('كشف الحساب'!$F$4:$F$203,IFERROR(MATCH(64,'كشف الحساب'!$N$4:$N$203,0),0))),"")</f>
        <v/>
      </c>
      <c r="G68" s="70" t="str">
        <f>IFERROR(IF(IFERROR(MATCH(64,'كشف الحساب'!$N$4:$N$203,0),0)=0,"",INDEX('كشف الحساب'!$G$4:$G$203,IFERROR(MATCH(64,'كشف الحساب'!$N$4:$N$203,0),0))),"")</f>
        <v/>
      </c>
      <c r="H68" s="70" t="str">
        <f>IFERROR(IF(IFERROR(MATCH(64,'كشف الحساب'!$N$4:$N$203,0),0)=0,"",INDEX('كشف الحساب'!$H$4:$H$203,IFERROR(MATCH(64,'كشف الحساب'!$N$4:$N$203,0),0))),"")</f>
        <v/>
      </c>
      <c r="I68" s="70" t="str">
        <f>IFERROR(IF(IFERROR(MATCH(64,'كشف الحساب'!$N$4:$N$203,0),0)=0,"",INDEX('كشف الحساب'!$I$4:$I$203,IFERROR(MATCH(64,'كشف الحساب'!$N$4:$N$203,0),0))),"")</f>
        <v/>
      </c>
      <c r="J68" s="74" t="str">
        <f>IFERROR(IF(IFERROR(MATCH(64,'كشف الحساب'!$N$4:$N$203,0),0)=0,"",INDEX('كشف الحساب'!$J$4:$J$203,IFERROR(MATCH(64,'كشف الحساب'!$N$4:$N$203,0),0))),"")</f>
        <v/>
      </c>
      <c r="K68" s="70" t="str">
        <f>IFERROR(IF(IFERROR(MATCH(64,'كشف الحساب'!$N$4:$N$203,0),0)=0,"",INDEX('كشف الحساب'!$K$4:$K$203,IFERROR(MATCH(64,'كشف الحساب'!$N$4:$N$203,0),0))),"")</f>
        <v/>
      </c>
    </row>
    <row r="69" spans="1:11" ht="15" customHeight="1" x14ac:dyDescent="0.25">
      <c r="A69" s="63" t="str">
        <f>IFERROR(IF(IFERROR(MATCH(65,'كشف الحساب'!$N$4:$N$203,0),0)=0,"",INDEX('كشف الحساب'!$A$4:$A$203,IFERROR(MATCH(65,'كشف الحساب'!$N$4:$N$203,0),0))),"")</f>
        <v/>
      </c>
      <c r="B69" s="64" t="str">
        <f>IFERROR(IF(IFERROR(MATCH(65,'كشف الحساب'!$N$4:$N$203,0),0)=0,"",INDEX('كشف الحساب'!$B$4:$B$203,IFERROR(MATCH(65,'كشف الحساب'!$N$4:$N$203,0),0))),"")</f>
        <v/>
      </c>
      <c r="C69" s="65" t="str">
        <f>IFERROR(IF(IFERROR(MATCH(65,'كشف الحساب'!$N$4:$N$203,0),0)=0,"",INDEX('كشف الحساب'!$C$4:$C$203,IFERROR(MATCH(65,'كشف الحساب'!$N$4:$N$203,0),0))),"")</f>
        <v/>
      </c>
      <c r="D69" s="66" t="str">
        <f>IFERROR(IF(IFERROR(MATCH(65,'كشف الحساب'!$N$4:$N$203,0),0)=0,"",INDEX('كشف الحساب'!$D$4:$D$203,IFERROR(MATCH(65,'كشف الحساب'!$N$4:$N$203,0),0))),"")</f>
        <v/>
      </c>
      <c r="E69" s="67" t="str">
        <f>IFERROR(IF(IFERROR(MATCH(65,'كشف الحساب'!$N$4:$N$203,0),0)=0,"",INDEX('كشف الحساب'!$E$4:$E$203,IFERROR(MATCH(65,'كشف الحساب'!$N$4:$N$203,0),0))),"")</f>
        <v/>
      </c>
      <c r="F69" s="64" t="str">
        <f>IFERROR(IF(IFERROR(MATCH(65,'كشف الحساب'!$N$4:$N$203,0),0)=0,"",INDEX('كشف الحساب'!$F$4:$F$203,IFERROR(MATCH(65,'كشف الحساب'!$N$4:$N$203,0),0))),"")</f>
        <v/>
      </c>
      <c r="G69" s="64" t="str">
        <f>IFERROR(IF(IFERROR(MATCH(65,'كشف الحساب'!$N$4:$N$203,0),0)=0,"",INDEX('كشف الحساب'!$G$4:$G$203,IFERROR(MATCH(65,'كشف الحساب'!$N$4:$N$203,0),0))),"")</f>
        <v/>
      </c>
      <c r="H69" s="64" t="str">
        <f>IFERROR(IF(IFERROR(MATCH(65,'كشف الحساب'!$N$4:$N$203,0),0)=0,"",INDEX('كشف الحساب'!$H$4:$H$203,IFERROR(MATCH(65,'كشف الحساب'!$N$4:$N$203,0),0))),"")</f>
        <v/>
      </c>
      <c r="I69" s="64" t="str">
        <f>IFERROR(IF(IFERROR(MATCH(65,'كشف الحساب'!$N$4:$N$203,0),0)=0,"",INDEX('كشف الحساب'!$I$4:$I$203,IFERROR(MATCH(65,'كشف الحساب'!$N$4:$N$203,0),0))),"")</f>
        <v/>
      </c>
      <c r="J69" s="68" t="str">
        <f>IFERROR(IF(IFERROR(MATCH(65,'كشف الحساب'!$N$4:$N$203,0),0)=0,"",INDEX('كشف الحساب'!$J$4:$J$203,IFERROR(MATCH(65,'كشف الحساب'!$N$4:$N$203,0),0))),"")</f>
        <v/>
      </c>
      <c r="K69" s="64" t="str">
        <f>IFERROR(IF(IFERROR(MATCH(65,'كشف الحساب'!$N$4:$N$203,0),0)=0,"",INDEX('كشف الحساب'!$K$4:$K$203,IFERROR(MATCH(65,'كشف الحساب'!$N$4:$N$203,0),0))),"")</f>
        <v/>
      </c>
    </row>
    <row r="70" spans="1:11" ht="15" customHeight="1" x14ac:dyDescent="0.25">
      <c r="A70" s="69" t="str">
        <f>IFERROR(IF(IFERROR(MATCH(66,'كشف الحساب'!$N$4:$N$203,0),0)=0,"",INDEX('كشف الحساب'!$A$4:$A$203,IFERROR(MATCH(66,'كشف الحساب'!$N$4:$N$203,0),0))),"")</f>
        <v/>
      </c>
      <c r="B70" s="70" t="str">
        <f>IFERROR(IF(IFERROR(MATCH(66,'كشف الحساب'!$N$4:$N$203,0),0)=0,"",INDEX('كشف الحساب'!$B$4:$B$203,IFERROR(MATCH(66,'كشف الحساب'!$N$4:$N$203,0),0))),"")</f>
        <v/>
      </c>
      <c r="C70" s="71" t="str">
        <f>IFERROR(IF(IFERROR(MATCH(66,'كشف الحساب'!$N$4:$N$203,0),0)=0,"",INDEX('كشف الحساب'!$C$4:$C$203,IFERROR(MATCH(66,'كشف الحساب'!$N$4:$N$203,0),0))),"")</f>
        <v/>
      </c>
      <c r="D70" s="72" t="str">
        <f>IFERROR(IF(IFERROR(MATCH(66,'كشف الحساب'!$N$4:$N$203,0),0)=0,"",INDEX('كشف الحساب'!$D$4:$D$203,IFERROR(MATCH(66,'كشف الحساب'!$N$4:$N$203,0),0))),"")</f>
        <v/>
      </c>
      <c r="E70" s="73" t="str">
        <f>IFERROR(IF(IFERROR(MATCH(66,'كشف الحساب'!$N$4:$N$203,0),0)=0,"",INDEX('كشف الحساب'!$E$4:$E$203,IFERROR(MATCH(66,'كشف الحساب'!$N$4:$N$203,0),0))),"")</f>
        <v/>
      </c>
      <c r="F70" s="70" t="str">
        <f>IFERROR(IF(IFERROR(MATCH(66,'كشف الحساب'!$N$4:$N$203,0),0)=0,"",INDEX('كشف الحساب'!$F$4:$F$203,IFERROR(MATCH(66,'كشف الحساب'!$N$4:$N$203,0),0))),"")</f>
        <v/>
      </c>
      <c r="G70" s="70" t="str">
        <f>IFERROR(IF(IFERROR(MATCH(66,'كشف الحساب'!$N$4:$N$203,0),0)=0,"",INDEX('كشف الحساب'!$G$4:$G$203,IFERROR(MATCH(66,'كشف الحساب'!$N$4:$N$203,0),0))),"")</f>
        <v/>
      </c>
      <c r="H70" s="70" t="str">
        <f>IFERROR(IF(IFERROR(MATCH(66,'كشف الحساب'!$N$4:$N$203,0),0)=0,"",INDEX('كشف الحساب'!$H$4:$H$203,IFERROR(MATCH(66,'كشف الحساب'!$N$4:$N$203,0),0))),"")</f>
        <v/>
      </c>
      <c r="I70" s="70" t="str">
        <f>IFERROR(IF(IFERROR(MATCH(66,'كشف الحساب'!$N$4:$N$203,0),0)=0,"",INDEX('كشف الحساب'!$I$4:$I$203,IFERROR(MATCH(66,'كشف الحساب'!$N$4:$N$203,0),0))),"")</f>
        <v/>
      </c>
      <c r="J70" s="74" t="str">
        <f>IFERROR(IF(IFERROR(MATCH(66,'كشف الحساب'!$N$4:$N$203,0),0)=0,"",INDEX('كشف الحساب'!$J$4:$J$203,IFERROR(MATCH(66,'كشف الحساب'!$N$4:$N$203,0),0))),"")</f>
        <v/>
      </c>
      <c r="K70" s="70" t="str">
        <f>IFERROR(IF(IFERROR(MATCH(66,'كشف الحساب'!$N$4:$N$203,0),0)=0,"",INDEX('كشف الحساب'!$K$4:$K$203,IFERROR(MATCH(66,'كشف الحساب'!$N$4:$N$203,0),0))),"")</f>
        <v/>
      </c>
    </row>
    <row r="71" spans="1:11" ht="15" customHeight="1" x14ac:dyDescent="0.25">
      <c r="A71" s="63" t="str">
        <f>IFERROR(IF(IFERROR(MATCH(67,'كشف الحساب'!$N$4:$N$203,0),0)=0,"",INDEX('كشف الحساب'!$A$4:$A$203,IFERROR(MATCH(67,'كشف الحساب'!$N$4:$N$203,0),0))),"")</f>
        <v/>
      </c>
      <c r="B71" s="64" t="str">
        <f>IFERROR(IF(IFERROR(MATCH(67,'كشف الحساب'!$N$4:$N$203,0),0)=0,"",INDEX('كشف الحساب'!$B$4:$B$203,IFERROR(MATCH(67,'كشف الحساب'!$N$4:$N$203,0),0))),"")</f>
        <v/>
      </c>
      <c r="C71" s="65" t="str">
        <f>IFERROR(IF(IFERROR(MATCH(67,'كشف الحساب'!$N$4:$N$203,0),0)=0,"",INDEX('كشف الحساب'!$C$4:$C$203,IFERROR(MATCH(67,'كشف الحساب'!$N$4:$N$203,0),0))),"")</f>
        <v/>
      </c>
      <c r="D71" s="66" t="str">
        <f>IFERROR(IF(IFERROR(MATCH(67,'كشف الحساب'!$N$4:$N$203,0),0)=0,"",INDEX('كشف الحساب'!$D$4:$D$203,IFERROR(MATCH(67,'كشف الحساب'!$N$4:$N$203,0),0))),"")</f>
        <v/>
      </c>
      <c r="E71" s="67" t="str">
        <f>IFERROR(IF(IFERROR(MATCH(67,'كشف الحساب'!$N$4:$N$203,0),0)=0,"",INDEX('كشف الحساب'!$E$4:$E$203,IFERROR(MATCH(67,'كشف الحساب'!$N$4:$N$203,0),0))),"")</f>
        <v/>
      </c>
      <c r="F71" s="64" t="str">
        <f>IFERROR(IF(IFERROR(MATCH(67,'كشف الحساب'!$N$4:$N$203,0),0)=0,"",INDEX('كشف الحساب'!$F$4:$F$203,IFERROR(MATCH(67,'كشف الحساب'!$N$4:$N$203,0),0))),"")</f>
        <v/>
      </c>
      <c r="G71" s="64" t="str">
        <f>IFERROR(IF(IFERROR(MATCH(67,'كشف الحساب'!$N$4:$N$203,0),0)=0,"",INDEX('كشف الحساب'!$G$4:$G$203,IFERROR(MATCH(67,'كشف الحساب'!$N$4:$N$203,0),0))),"")</f>
        <v/>
      </c>
      <c r="H71" s="64" t="str">
        <f>IFERROR(IF(IFERROR(MATCH(67,'كشف الحساب'!$N$4:$N$203,0),0)=0,"",INDEX('كشف الحساب'!$H$4:$H$203,IFERROR(MATCH(67,'كشف الحساب'!$N$4:$N$203,0),0))),"")</f>
        <v/>
      </c>
      <c r="I71" s="64" t="str">
        <f>IFERROR(IF(IFERROR(MATCH(67,'كشف الحساب'!$N$4:$N$203,0),0)=0,"",INDEX('كشف الحساب'!$I$4:$I$203,IFERROR(MATCH(67,'كشف الحساب'!$N$4:$N$203,0),0))),"")</f>
        <v/>
      </c>
      <c r="J71" s="68" t="str">
        <f>IFERROR(IF(IFERROR(MATCH(67,'كشف الحساب'!$N$4:$N$203,0),0)=0,"",INDEX('كشف الحساب'!$J$4:$J$203,IFERROR(MATCH(67,'كشف الحساب'!$N$4:$N$203,0),0))),"")</f>
        <v/>
      </c>
      <c r="K71" s="64" t="str">
        <f>IFERROR(IF(IFERROR(MATCH(67,'كشف الحساب'!$N$4:$N$203,0),0)=0,"",INDEX('كشف الحساب'!$K$4:$K$203,IFERROR(MATCH(67,'كشف الحساب'!$N$4:$N$203,0),0))),"")</f>
        <v/>
      </c>
    </row>
    <row r="72" spans="1:11" ht="15" customHeight="1" x14ac:dyDescent="0.25">
      <c r="A72" s="69" t="str">
        <f>IFERROR(IF(IFERROR(MATCH(68,'كشف الحساب'!$N$4:$N$203,0),0)=0,"",INDEX('كشف الحساب'!$A$4:$A$203,IFERROR(MATCH(68,'كشف الحساب'!$N$4:$N$203,0),0))),"")</f>
        <v/>
      </c>
      <c r="B72" s="70" t="str">
        <f>IFERROR(IF(IFERROR(MATCH(68,'كشف الحساب'!$N$4:$N$203,0),0)=0,"",INDEX('كشف الحساب'!$B$4:$B$203,IFERROR(MATCH(68,'كشف الحساب'!$N$4:$N$203,0),0))),"")</f>
        <v/>
      </c>
      <c r="C72" s="71" t="str">
        <f>IFERROR(IF(IFERROR(MATCH(68,'كشف الحساب'!$N$4:$N$203,0),0)=0,"",INDEX('كشف الحساب'!$C$4:$C$203,IFERROR(MATCH(68,'كشف الحساب'!$N$4:$N$203,0),0))),"")</f>
        <v/>
      </c>
      <c r="D72" s="72" t="str">
        <f>IFERROR(IF(IFERROR(MATCH(68,'كشف الحساب'!$N$4:$N$203,0),0)=0,"",INDEX('كشف الحساب'!$D$4:$D$203,IFERROR(MATCH(68,'كشف الحساب'!$N$4:$N$203,0),0))),"")</f>
        <v/>
      </c>
      <c r="E72" s="73" t="str">
        <f>IFERROR(IF(IFERROR(MATCH(68,'كشف الحساب'!$N$4:$N$203,0),0)=0,"",INDEX('كشف الحساب'!$E$4:$E$203,IFERROR(MATCH(68,'كشف الحساب'!$N$4:$N$203,0),0))),"")</f>
        <v/>
      </c>
      <c r="F72" s="70" t="str">
        <f>IFERROR(IF(IFERROR(MATCH(68,'كشف الحساب'!$N$4:$N$203,0),0)=0,"",INDEX('كشف الحساب'!$F$4:$F$203,IFERROR(MATCH(68,'كشف الحساب'!$N$4:$N$203,0),0))),"")</f>
        <v/>
      </c>
      <c r="G72" s="70" t="str">
        <f>IFERROR(IF(IFERROR(MATCH(68,'كشف الحساب'!$N$4:$N$203,0),0)=0,"",INDEX('كشف الحساب'!$G$4:$G$203,IFERROR(MATCH(68,'كشف الحساب'!$N$4:$N$203,0),0))),"")</f>
        <v/>
      </c>
      <c r="H72" s="70" t="str">
        <f>IFERROR(IF(IFERROR(MATCH(68,'كشف الحساب'!$N$4:$N$203,0),0)=0,"",INDEX('كشف الحساب'!$H$4:$H$203,IFERROR(MATCH(68,'كشف الحساب'!$N$4:$N$203,0),0))),"")</f>
        <v/>
      </c>
      <c r="I72" s="70" t="str">
        <f>IFERROR(IF(IFERROR(MATCH(68,'كشف الحساب'!$N$4:$N$203,0),0)=0,"",INDEX('كشف الحساب'!$I$4:$I$203,IFERROR(MATCH(68,'كشف الحساب'!$N$4:$N$203,0),0))),"")</f>
        <v/>
      </c>
      <c r="J72" s="74" t="str">
        <f>IFERROR(IF(IFERROR(MATCH(68,'كشف الحساب'!$N$4:$N$203,0),0)=0,"",INDEX('كشف الحساب'!$J$4:$J$203,IFERROR(MATCH(68,'كشف الحساب'!$N$4:$N$203,0),0))),"")</f>
        <v/>
      </c>
      <c r="K72" s="70" t="str">
        <f>IFERROR(IF(IFERROR(MATCH(68,'كشف الحساب'!$N$4:$N$203,0),0)=0,"",INDEX('كشف الحساب'!$K$4:$K$203,IFERROR(MATCH(68,'كشف الحساب'!$N$4:$N$203,0),0))),"")</f>
        <v/>
      </c>
    </row>
    <row r="73" spans="1:11" ht="15" customHeight="1" x14ac:dyDescent="0.25">
      <c r="A73" s="63" t="str">
        <f>IFERROR(IF(IFERROR(MATCH(69,'كشف الحساب'!$N$4:$N$203,0),0)=0,"",INDEX('كشف الحساب'!$A$4:$A$203,IFERROR(MATCH(69,'كشف الحساب'!$N$4:$N$203,0),0))),"")</f>
        <v/>
      </c>
      <c r="B73" s="64" t="str">
        <f>IFERROR(IF(IFERROR(MATCH(69,'كشف الحساب'!$N$4:$N$203,0),0)=0,"",INDEX('كشف الحساب'!$B$4:$B$203,IFERROR(MATCH(69,'كشف الحساب'!$N$4:$N$203,0),0))),"")</f>
        <v/>
      </c>
      <c r="C73" s="65" t="str">
        <f>IFERROR(IF(IFERROR(MATCH(69,'كشف الحساب'!$N$4:$N$203,0),0)=0,"",INDEX('كشف الحساب'!$C$4:$C$203,IFERROR(MATCH(69,'كشف الحساب'!$N$4:$N$203,0),0))),"")</f>
        <v/>
      </c>
      <c r="D73" s="66" t="str">
        <f>IFERROR(IF(IFERROR(MATCH(69,'كشف الحساب'!$N$4:$N$203,0),0)=0,"",INDEX('كشف الحساب'!$D$4:$D$203,IFERROR(MATCH(69,'كشف الحساب'!$N$4:$N$203,0),0))),"")</f>
        <v/>
      </c>
      <c r="E73" s="67" t="str">
        <f>IFERROR(IF(IFERROR(MATCH(69,'كشف الحساب'!$N$4:$N$203,0),0)=0,"",INDEX('كشف الحساب'!$E$4:$E$203,IFERROR(MATCH(69,'كشف الحساب'!$N$4:$N$203,0),0))),"")</f>
        <v/>
      </c>
      <c r="F73" s="64" t="str">
        <f>IFERROR(IF(IFERROR(MATCH(69,'كشف الحساب'!$N$4:$N$203,0),0)=0,"",INDEX('كشف الحساب'!$F$4:$F$203,IFERROR(MATCH(69,'كشف الحساب'!$N$4:$N$203,0),0))),"")</f>
        <v/>
      </c>
      <c r="G73" s="64" t="str">
        <f>IFERROR(IF(IFERROR(MATCH(69,'كشف الحساب'!$N$4:$N$203,0),0)=0,"",INDEX('كشف الحساب'!$G$4:$G$203,IFERROR(MATCH(69,'كشف الحساب'!$N$4:$N$203,0),0))),"")</f>
        <v/>
      </c>
      <c r="H73" s="64" t="str">
        <f>IFERROR(IF(IFERROR(MATCH(69,'كشف الحساب'!$N$4:$N$203,0),0)=0,"",INDEX('كشف الحساب'!$H$4:$H$203,IFERROR(MATCH(69,'كشف الحساب'!$N$4:$N$203,0),0))),"")</f>
        <v/>
      </c>
      <c r="I73" s="64" t="str">
        <f>IFERROR(IF(IFERROR(MATCH(69,'كشف الحساب'!$N$4:$N$203,0),0)=0,"",INDEX('كشف الحساب'!$I$4:$I$203,IFERROR(MATCH(69,'كشف الحساب'!$N$4:$N$203,0),0))),"")</f>
        <v/>
      </c>
      <c r="J73" s="68" t="str">
        <f>IFERROR(IF(IFERROR(MATCH(69,'كشف الحساب'!$N$4:$N$203,0),0)=0,"",INDEX('كشف الحساب'!$J$4:$J$203,IFERROR(MATCH(69,'كشف الحساب'!$N$4:$N$203,0),0))),"")</f>
        <v/>
      </c>
      <c r="K73" s="64" t="str">
        <f>IFERROR(IF(IFERROR(MATCH(69,'كشف الحساب'!$N$4:$N$203,0),0)=0,"",INDEX('كشف الحساب'!$K$4:$K$203,IFERROR(MATCH(69,'كشف الحساب'!$N$4:$N$203,0),0))),"")</f>
        <v/>
      </c>
    </row>
    <row r="74" spans="1:11" ht="15" customHeight="1" x14ac:dyDescent="0.25">
      <c r="A74" s="69" t="str">
        <f>IFERROR(IF(IFERROR(MATCH(70,'كشف الحساب'!$N$4:$N$203,0),0)=0,"",INDEX('كشف الحساب'!$A$4:$A$203,IFERROR(MATCH(70,'كشف الحساب'!$N$4:$N$203,0),0))),"")</f>
        <v/>
      </c>
      <c r="B74" s="70" t="str">
        <f>IFERROR(IF(IFERROR(MATCH(70,'كشف الحساب'!$N$4:$N$203,0),0)=0,"",INDEX('كشف الحساب'!$B$4:$B$203,IFERROR(MATCH(70,'كشف الحساب'!$N$4:$N$203,0),0))),"")</f>
        <v/>
      </c>
      <c r="C74" s="71" t="str">
        <f>IFERROR(IF(IFERROR(MATCH(70,'كشف الحساب'!$N$4:$N$203,0),0)=0,"",INDEX('كشف الحساب'!$C$4:$C$203,IFERROR(MATCH(70,'كشف الحساب'!$N$4:$N$203,0),0))),"")</f>
        <v/>
      </c>
      <c r="D74" s="72" t="str">
        <f>IFERROR(IF(IFERROR(MATCH(70,'كشف الحساب'!$N$4:$N$203,0),0)=0,"",INDEX('كشف الحساب'!$D$4:$D$203,IFERROR(MATCH(70,'كشف الحساب'!$N$4:$N$203,0),0))),"")</f>
        <v/>
      </c>
      <c r="E74" s="73" t="str">
        <f>IFERROR(IF(IFERROR(MATCH(70,'كشف الحساب'!$N$4:$N$203,0),0)=0,"",INDEX('كشف الحساب'!$E$4:$E$203,IFERROR(MATCH(70,'كشف الحساب'!$N$4:$N$203,0),0))),"")</f>
        <v/>
      </c>
      <c r="F74" s="70" t="str">
        <f>IFERROR(IF(IFERROR(MATCH(70,'كشف الحساب'!$N$4:$N$203,0),0)=0,"",INDEX('كشف الحساب'!$F$4:$F$203,IFERROR(MATCH(70,'كشف الحساب'!$N$4:$N$203,0),0))),"")</f>
        <v/>
      </c>
      <c r="G74" s="70" t="str">
        <f>IFERROR(IF(IFERROR(MATCH(70,'كشف الحساب'!$N$4:$N$203,0),0)=0,"",INDEX('كشف الحساب'!$G$4:$G$203,IFERROR(MATCH(70,'كشف الحساب'!$N$4:$N$203,0),0))),"")</f>
        <v/>
      </c>
      <c r="H74" s="70" t="str">
        <f>IFERROR(IF(IFERROR(MATCH(70,'كشف الحساب'!$N$4:$N$203,0),0)=0,"",INDEX('كشف الحساب'!$H$4:$H$203,IFERROR(MATCH(70,'كشف الحساب'!$N$4:$N$203,0),0))),"")</f>
        <v/>
      </c>
      <c r="I74" s="70" t="str">
        <f>IFERROR(IF(IFERROR(MATCH(70,'كشف الحساب'!$N$4:$N$203,0),0)=0,"",INDEX('كشف الحساب'!$I$4:$I$203,IFERROR(MATCH(70,'كشف الحساب'!$N$4:$N$203,0),0))),"")</f>
        <v/>
      </c>
      <c r="J74" s="74" t="str">
        <f>IFERROR(IF(IFERROR(MATCH(70,'كشف الحساب'!$N$4:$N$203,0),0)=0,"",INDEX('كشف الحساب'!$J$4:$J$203,IFERROR(MATCH(70,'كشف الحساب'!$N$4:$N$203,0),0))),"")</f>
        <v/>
      </c>
      <c r="K74" s="70" t="str">
        <f>IFERROR(IF(IFERROR(MATCH(70,'كشف الحساب'!$N$4:$N$203,0),0)=0,"",INDEX('كشف الحساب'!$K$4:$K$203,IFERROR(MATCH(70,'كشف الحساب'!$N$4:$N$203,0),0))),"")</f>
        <v/>
      </c>
    </row>
    <row r="75" spans="1:11" ht="15" customHeight="1" x14ac:dyDescent="0.25">
      <c r="A75" s="63" t="str">
        <f>IFERROR(IF(IFERROR(MATCH(71,'كشف الحساب'!$N$4:$N$203,0),0)=0,"",INDEX('كشف الحساب'!$A$4:$A$203,IFERROR(MATCH(71,'كشف الحساب'!$N$4:$N$203,0),0))),"")</f>
        <v/>
      </c>
      <c r="B75" s="64" t="str">
        <f>IFERROR(IF(IFERROR(MATCH(71,'كشف الحساب'!$N$4:$N$203,0),0)=0,"",INDEX('كشف الحساب'!$B$4:$B$203,IFERROR(MATCH(71,'كشف الحساب'!$N$4:$N$203,0),0))),"")</f>
        <v/>
      </c>
      <c r="C75" s="65" t="str">
        <f>IFERROR(IF(IFERROR(MATCH(71,'كشف الحساب'!$N$4:$N$203,0),0)=0,"",INDEX('كشف الحساب'!$C$4:$C$203,IFERROR(MATCH(71,'كشف الحساب'!$N$4:$N$203,0),0))),"")</f>
        <v/>
      </c>
      <c r="D75" s="66" t="str">
        <f>IFERROR(IF(IFERROR(MATCH(71,'كشف الحساب'!$N$4:$N$203,0),0)=0,"",INDEX('كشف الحساب'!$D$4:$D$203,IFERROR(MATCH(71,'كشف الحساب'!$N$4:$N$203,0),0))),"")</f>
        <v/>
      </c>
      <c r="E75" s="67" t="str">
        <f>IFERROR(IF(IFERROR(MATCH(71,'كشف الحساب'!$N$4:$N$203,0),0)=0,"",INDEX('كشف الحساب'!$E$4:$E$203,IFERROR(MATCH(71,'كشف الحساب'!$N$4:$N$203,0),0))),"")</f>
        <v/>
      </c>
      <c r="F75" s="64" t="str">
        <f>IFERROR(IF(IFERROR(MATCH(71,'كشف الحساب'!$N$4:$N$203,0),0)=0,"",INDEX('كشف الحساب'!$F$4:$F$203,IFERROR(MATCH(71,'كشف الحساب'!$N$4:$N$203,0),0))),"")</f>
        <v/>
      </c>
      <c r="G75" s="64" t="str">
        <f>IFERROR(IF(IFERROR(MATCH(71,'كشف الحساب'!$N$4:$N$203,0),0)=0,"",INDEX('كشف الحساب'!$G$4:$G$203,IFERROR(MATCH(71,'كشف الحساب'!$N$4:$N$203,0),0))),"")</f>
        <v/>
      </c>
      <c r="H75" s="64" t="str">
        <f>IFERROR(IF(IFERROR(MATCH(71,'كشف الحساب'!$N$4:$N$203,0),0)=0,"",INDEX('كشف الحساب'!$H$4:$H$203,IFERROR(MATCH(71,'كشف الحساب'!$N$4:$N$203,0),0))),"")</f>
        <v/>
      </c>
      <c r="I75" s="64" t="str">
        <f>IFERROR(IF(IFERROR(MATCH(71,'كشف الحساب'!$N$4:$N$203,0),0)=0,"",INDEX('كشف الحساب'!$I$4:$I$203,IFERROR(MATCH(71,'كشف الحساب'!$N$4:$N$203,0),0))),"")</f>
        <v/>
      </c>
      <c r="J75" s="68" t="str">
        <f>IFERROR(IF(IFERROR(MATCH(71,'كشف الحساب'!$N$4:$N$203,0),0)=0,"",INDEX('كشف الحساب'!$J$4:$J$203,IFERROR(MATCH(71,'كشف الحساب'!$N$4:$N$203,0),0))),"")</f>
        <v/>
      </c>
      <c r="K75" s="64" t="str">
        <f>IFERROR(IF(IFERROR(MATCH(71,'كشف الحساب'!$N$4:$N$203,0),0)=0,"",INDEX('كشف الحساب'!$K$4:$K$203,IFERROR(MATCH(71,'كشف الحساب'!$N$4:$N$203,0),0))),"")</f>
        <v/>
      </c>
    </row>
    <row r="76" spans="1:11" ht="15" customHeight="1" x14ac:dyDescent="0.25">
      <c r="A76" s="69" t="str">
        <f>IFERROR(IF(IFERROR(MATCH(72,'كشف الحساب'!$N$4:$N$203,0),0)=0,"",INDEX('كشف الحساب'!$A$4:$A$203,IFERROR(MATCH(72,'كشف الحساب'!$N$4:$N$203,0),0))),"")</f>
        <v/>
      </c>
      <c r="B76" s="70" t="str">
        <f>IFERROR(IF(IFERROR(MATCH(72,'كشف الحساب'!$N$4:$N$203,0),0)=0,"",INDEX('كشف الحساب'!$B$4:$B$203,IFERROR(MATCH(72,'كشف الحساب'!$N$4:$N$203,0),0))),"")</f>
        <v/>
      </c>
      <c r="C76" s="71" t="str">
        <f>IFERROR(IF(IFERROR(MATCH(72,'كشف الحساب'!$N$4:$N$203,0),0)=0,"",INDEX('كشف الحساب'!$C$4:$C$203,IFERROR(MATCH(72,'كشف الحساب'!$N$4:$N$203,0),0))),"")</f>
        <v/>
      </c>
      <c r="D76" s="72" t="str">
        <f>IFERROR(IF(IFERROR(MATCH(72,'كشف الحساب'!$N$4:$N$203,0),0)=0,"",INDEX('كشف الحساب'!$D$4:$D$203,IFERROR(MATCH(72,'كشف الحساب'!$N$4:$N$203,0),0))),"")</f>
        <v/>
      </c>
      <c r="E76" s="73" t="str">
        <f>IFERROR(IF(IFERROR(MATCH(72,'كشف الحساب'!$N$4:$N$203,0),0)=0,"",INDEX('كشف الحساب'!$E$4:$E$203,IFERROR(MATCH(72,'كشف الحساب'!$N$4:$N$203,0),0))),"")</f>
        <v/>
      </c>
      <c r="F76" s="70" t="str">
        <f>IFERROR(IF(IFERROR(MATCH(72,'كشف الحساب'!$N$4:$N$203,0),0)=0,"",INDEX('كشف الحساب'!$F$4:$F$203,IFERROR(MATCH(72,'كشف الحساب'!$N$4:$N$203,0),0))),"")</f>
        <v/>
      </c>
      <c r="G76" s="70" t="str">
        <f>IFERROR(IF(IFERROR(MATCH(72,'كشف الحساب'!$N$4:$N$203,0),0)=0,"",INDEX('كشف الحساب'!$G$4:$G$203,IFERROR(MATCH(72,'كشف الحساب'!$N$4:$N$203,0),0))),"")</f>
        <v/>
      </c>
      <c r="H76" s="70" t="str">
        <f>IFERROR(IF(IFERROR(MATCH(72,'كشف الحساب'!$N$4:$N$203,0),0)=0,"",INDEX('كشف الحساب'!$H$4:$H$203,IFERROR(MATCH(72,'كشف الحساب'!$N$4:$N$203,0),0))),"")</f>
        <v/>
      </c>
      <c r="I76" s="70" t="str">
        <f>IFERROR(IF(IFERROR(MATCH(72,'كشف الحساب'!$N$4:$N$203,0),0)=0,"",INDEX('كشف الحساب'!$I$4:$I$203,IFERROR(MATCH(72,'كشف الحساب'!$N$4:$N$203,0),0))),"")</f>
        <v/>
      </c>
      <c r="J76" s="74" t="str">
        <f>IFERROR(IF(IFERROR(MATCH(72,'كشف الحساب'!$N$4:$N$203,0),0)=0,"",INDEX('كشف الحساب'!$J$4:$J$203,IFERROR(MATCH(72,'كشف الحساب'!$N$4:$N$203,0),0))),"")</f>
        <v/>
      </c>
      <c r="K76" s="70" t="str">
        <f>IFERROR(IF(IFERROR(MATCH(72,'كشف الحساب'!$N$4:$N$203,0),0)=0,"",INDEX('كشف الحساب'!$K$4:$K$203,IFERROR(MATCH(72,'كشف الحساب'!$N$4:$N$203,0),0))),"")</f>
        <v/>
      </c>
    </row>
    <row r="77" spans="1:11" ht="15" customHeight="1" x14ac:dyDescent="0.25">
      <c r="A77" s="63" t="str">
        <f>IFERROR(IF(IFERROR(MATCH(73,'كشف الحساب'!$N$4:$N$203,0),0)=0,"",INDEX('كشف الحساب'!$A$4:$A$203,IFERROR(MATCH(73,'كشف الحساب'!$N$4:$N$203,0),0))),"")</f>
        <v/>
      </c>
      <c r="B77" s="64" t="str">
        <f>IFERROR(IF(IFERROR(MATCH(73,'كشف الحساب'!$N$4:$N$203,0),0)=0,"",INDEX('كشف الحساب'!$B$4:$B$203,IFERROR(MATCH(73,'كشف الحساب'!$N$4:$N$203,0),0))),"")</f>
        <v/>
      </c>
      <c r="C77" s="65" t="str">
        <f>IFERROR(IF(IFERROR(MATCH(73,'كشف الحساب'!$N$4:$N$203,0),0)=0,"",INDEX('كشف الحساب'!$C$4:$C$203,IFERROR(MATCH(73,'كشف الحساب'!$N$4:$N$203,0),0))),"")</f>
        <v/>
      </c>
      <c r="D77" s="66" t="str">
        <f>IFERROR(IF(IFERROR(MATCH(73,'كشف الحساب'!$N$4:$N$203,0),0)=0,"",INDEX('كشف الحساب'!$D$4:$D$203,IFERROR(MATCH(73,'كشف الحساب'!$N$4:$N$203,0),0))),"")</f>
        <v/>
      </c>
      <c r="E77" s="67" t="str">
        <f>IFERROR(IF(IFERROR(MATCH(73,'كشف الحساب'!$N$4:$N$203,0),0)=0,"",INDEX('كشف الحساب'!$E$4:$E$203,IFERROR(MATCH(73,'كشف الحساب'!$N$4:$N$203,0),0))),"")</f>
        <v/>
      </c>
      <c r="F77" s="64" t="str">
        <f>IFERROR(IF(IFERROR(MATCH(73,'كشف الحساب'!$N$4:$N$203,0),0)=0,"",INDEX('كشف الحساب'!$F$4:$F$203,IFERROR(MATCH(73,'كشف الحساب'!$N$4:$N$203,0),0))),"")</f>
        <v/>
      </c>
      <c r="G77" s="64" t="str">
        <f>IFERROR(IF(IFERROR(MATCH(73,'كشف الحساب'!$N$4:$N$203,0),0)=0,"",INDEX('كشف الحساب'!$G$4:$G$203,IFERROR(MATCH(73,'كشف الحساب'!$N$4:$N$203,0),0))),"")</f>
        <v/>
      </c>
      <c r="H77" s="64" t="str">
        <f>IFERROR(IF(IFERROR(MATCH(73,'كشف الحساب'!$N$4:$N$203,0),0)=0,"",INDEX('كشف الحساب'!$H$4:$H$203,IFERROR(MATCH(73,'كشف الحساب'!$N$4:$N$203,0),0))),"")</f>
        <v/>
      </c>
      <c r="I77" s="64" t="str">
        <f>IFERROR(IF(IFERROR(MATCH(73,'كشف الحساب'!$N$4:$N$203,0),0)=0,"",INDEX('كشف الحساب'!$I$4:$I$203,IFERROR(MATCH(73,'كشف الحساب'!$N$4:$N$203,0),0))),"")</f>
        <v/>
      </c>
      <c r="J77" s="68" t="str">
        <f>IFERROR(IF(IFERROR(MATCH(73,'كشف الحساب'!$N$4:$N$203,0),0)=0,"",INDEX('كشف الحساب'!$J$4:$J$203,IFERROR(MATCH(73,'كشف الحساب'!$N$4:$N$203,0),0))),"")</f>
        <v/>
      </c>
      <c r="K77" s="64" t="str">
        <f>IFERROR(IF(IFERROR(MATCH(73,'كشف الحساب'!$N$4:$N$203,0),0)=0,"",INDEX('كشف الحساب'!$K$4:$K$203,IFERROR(MATCH(73,'كشف الحساب'!$N$4:$N$203,0),0))),"")</f>
        <v/>
      </c>
    </row>
    <row r="78" spans="1:11" ht="15" customHeight="1" x14ac:dyDescent="0.25">
      <c r="A78" s="69" t="str">
        <f>IFERROR(IF(IFERROR(MATCH(74,'كشف الحساب'!$N$4:$N$203,0),0)=0,"",INDEX('كشف الحساب'!$A$4:$A$203,IFERROR(MATCH(74,'كشف الحساب'!$N$4:$N$203,0),0))),"")</f>
        <v/>
      </c>
      <c r="B78" s="70" t="str">
        <f>IFERROR(IF(IFERROR(MATCH(74,'كشف الحساب'!$N$4:$N$203,0),0)=0,"",INDEX('كشف الحساب'!$B$4:$B$203,IFERROR(MATCH(74,'كشف الحساب'!$N$4:$N$203,0),0))),"")</f>
        <v/>
      </c>
      <c r="C78" s="71" t="str">
        <f>IFERROR(IF(IFERROR(MATCH(74,'كشف الحساب'!$N$4:$N$203,0),0)=0,"",INDEX('كشف الحساب'!$C$4:$C$203,IFERROR(MATCH(74,'كشف الحساب'!$N$4:$N$203,0),0))),"")</f>
        <v/>
      </c>
      <c r="D78" s="72" t="str">
        <f>IFERROR(IF(IFERROR(MATCH(74,'كشف الحساب'!$N$4:$N$203,0),0)=0,"",INDEX('كشف الحساب'!$D$4:$D$203,IFERROR(MATCH(74,'كشف الحساب'!$N$4:$N$203,0),0))),"")</f>
        <v/>
      </c>
      <c r="E78" s="73" t="str">
        <f>IFERROR(IF(IFERROR(MATCH(74,'كشف الحساب'!$N$4:$N$203,0),0)=0,"",INDEX('كشف الحساب'!$E$4:$E$203,IFERROR(MATCH(74,'كشف الحساب'!$N$4:$N$203,0),0))),"")</f>
        <v/>
      </c>
      <c r="F78" s="70" t="str">
        <f>IFERROR(IF(IFERROR(MATCH(74,'كشف الحساب'!$N$4:$N$203,0),0)=0,"",INDEX('كشف الحساب'!$F$4:$F$203,IFERROR(MATCH(74,'كشف الحساب'!$N$4:$N$203,0),0))),"")</f>
        <v/>
      </c>
      <c r="G78" s="70" t="str">
        <f>IFERROR(IF(IFERROR(MATCH(74,'كشف الحساب'!$N$4:$N$203,0),0)=0,"",INDEX('كشف الحساب'!$G$4:$G$203,IFERROR(MATCH(74,'كشف الحساب'!$N$4:$N$203,0),0))),"")</f>
        <v/>
      </c>
      <c r="H78" s="70" t="str">
        <f>IFERROR(IF(IFERROR(MATCH(74,'كشف الحساب'!$N$4:$N$203,0),0)=0,"",INDEX('كشف الحساب'!$H$4:$H$203,IFERROR(MATCH(74,'كشف الحساب'!$N$4:$N$203,0),0))),"")</f>
        <v/>
      </c>
      <c r="I78" s="70" t="str">
        <f>IFERROR(IF(IFERROR(MATCH(74,'كشف الحساب'!$N$4:$N$203,0),0)=0,"",INDEX('كشف الحساب'!$I$4:$I$203,IFERROR(MATCH(74,'كشف الحساب'!$N$4:$N$203,0),0))),"")</f>
        <v/>
      </c>
      <c r="J78" s="74" t="str">
        <f>IFERROR(IF(IFERROR(MATCH(74,'كشف الحساب'!$N$4:$N$203,0),0)=0,"",INDEX('كشف الحساب'!$J$4:$J$203,IFERROR(MATCH(74,'كشف الحساب'!$N$4:$N$203,0),0))),"")</f>
        <v/>
      </c>
      <c r="K78" s="70" t="str">
        <f>IFERROR(IF(IFERROR(MATCH(74,'كشف الحساب'!$N$4:$N$203,0),0)=0,"",INDEX('كشف الحساب'!$K$4:$K$203,IFERROR(MATCH(74,'كشف الحساب'!$N$4:$N$203,0),0))),"")</f>
        <v/>
      </c>
    </row>
    <row r="79" spans="1:11" ht="15" customHeight="1" x14ac:dyDescent="0.25">
      <c r="A79" s="63" t="str">
        <f>IFERROR(IF(IFERROR(MATCH(75,'كشف الحساب'!$N$4:$N$203,0),0)=0,"",INDEX('كشف الحساب'!$A$4:$A$203,IFERROR(MATCH(75,'كشف الحساب'!$N$4:$N$203,0),0))),"")</f>
        <v/>
      </c>
      <c r="B79" s="64" t="str">
        <f>IFERROR(IF(IFERROR(MATCH(75,'كشف الحساب'!$N$4:$N$203,0),0)=0,"",INDEX('كشف الحساب'!$B$4:$B$203,IFERROR(MATCH(75,'كشف الحساب'!$N$4:$N$203,0),0))),"")</f>
        <v/>
      </c>
      <c r="C79" s="65" t="str">
        <f>IFERROR(IF(IFERROR(MATCH(75,'كشف الحساب'!$N$4:$N$203,0),0)=0,"",INDEX('كشف الحساب'!$C$4:$C$203,IFERROR(MATCH(75,'كشف الحساب'!$N$4:$N$203,0),0))),"")</f>
        <v/>
      </c>
      <c r="D79" s="66" t="str">
        <f>IFERROR(IF(IFERROR(MATCH(75,'كشف الحساب'!$N$4:$N$203,0),0)=0,"",INDEX('كشف الحساب'!$D$4:$D$203,IFERROR(MATCH(75,'كشف الحساب'!$N$4:$N$203,0),0))),"")</f>
        <v/>
      </c>
      <c r="E79" s="67" t="str">
        <f>IFERROR(IF(IFERROR(MATCH(75,'كشف الحساب'!$N$4:$N$203,0),0)=0,"",INDEX('كشف الحساب'!$E$4:$E$203,IFERROR(MATCH(75,'كشف الحساب'!$N$4:$N$203,0),0))),"")</f>
        <v/>
      </c>
      <c r="F79" s="64" t="str">
        <f>IFERROR(IF(IFERROR(MATCH(75,'كشف الحساب'!$N$4:$N$203,0),0)=0,"",INDEX('كشف الحساب'!$F$4:$F$203,IFERROR(MATCH(75,'كشف الحساب'!$N$4:$N$203,0),0))),"")</f>
        <v/>
      </c>
      <c r="G79" s="64" t="str">
        <f>IFERROR(IF(IFERROR(MATCH(75,'كشف الحساب'!$N$4:$N$203,0),0)=0,"",INDEX('كشف الحساب'!$G$4:$G$203,IFERROR(MATCH(75,'كشف الحساب'!$N$4:$N$203,0),0))),"")</f>
        <v/>
      </c>
      <c r="H79" s="64" t="str">
        <f>IFERROR(IF(IFERROR(MATCH(75,'كشف الحساب'!$N$4:$N$203,0),0)=0,"",INDEX('كشف الحساب'!$H$4:$H$203,IFERROR(MATCH(75,'كشف الحساب'!$N$4:$N$203,0),0))),"")</f>
        <v/>
      </c>
      <c r="I79" s="64" t="str">
        <f>IFERROR(IF(IFERROR(MATCH(75,'كشف الحساب'!$N$4:$N$203,0),0)=0,"",INDEX('كشف الحساب'!$I$4:$I$203,IFERROR(MATCH(75,'كشف الحساب'!$N$4:$N$203,0),0))),"")</f>
        <v/>
      </c>
      <c r="J79" s="68" t="str">
        <f>IFERROR(IF(IFERROR(MATCH(75,'كشف الحساب'!$N$4:$N$203,0),0)=0,"",INDEX('كشف الحساب'!$J$4:$J$203,IFERROR(MATCH(75,'كشف الحساب'!$N$4:$N$203,0),0))),"")</f>
        <v/>
      </c>
      <c r="K79" s="64" t="str">
        <f>IFERROR(IF(IFERROR(MATCH(75,'كشف الحساب'!$N$4:$N$203,0),0)=0,"",INDEX('كشف الحساب'!$K$4:$K$203,IFERROR(MATCH(75,'كشف الحساب'!$N$4:$N$203,0),0))),"")</f>
        <v/>
      </c>
    </row>
    <row r="80" spans="1:11" ht="15" customHeight="1" x14ac:dyDescent="0.25">
      <c r="A80" s="69" t="str">
        <f>IFERROR(IF(IFERROR(MATCH(76,'كشف الحساب'!$N$4:$N$203,0),0)=0,"",INDEX('كشف الحساب'!$A$4:$A$203,IFERROR(MATCH(76,'كشف الحساب'!$N$4:$N$203,0),0))),"")</f>
        <v/>
      </c>
      <c r="B80" s="70" t="str">
        <f>IFERROR(IF(IFERROR(MATCH(76,'كشف الحساب'!$N$4:$N$203,0),0)=0,"",INDEX('كشف الحساب'!$B$4:$B$203,IFERROR(MATCH(76,'كشف الحساب'!$N$4:$N$203,0),0))),"")</f>
        <v/>
      </c>
      <c r="C80" s="71" t="str">
        <f>IFERROR(IF(IFERROR(MATCH(76,'كشف الحساب'!$N$4:$N$203,0),0)=0,"",INDEX('كشف الحساب'!$C$4:$C$203,IFERROR(MATCH(76,'كشف الحساب'!$N$4:$N$203,0),0))),"")</f>
        <v/>
      </c>
      <c r="D80" s="72" t="str">
        <f>IFERROR(IF(IFERROR(MATCH(76,'كشف الحساب'!$N$4:$N$203,0),0)=0,"",INDEX('كشف الحساب'!$D$4:$D$203,IFERROR(MATCH(76,'كشف الحساب'!$N$4:$N$203,0),0))),"")</f>
        <v/>
      </c>
      <c r="E80" s="73" t="str">
        <f>IFERROR(IF(IFERROR(MATCH(76,'كشف الحساب'!$N$4:$N$203,0),0)=0,"",INDEX('كشف الحساب'!$E$4:$E$203,IFERROR(MATCH(76,'كشف الحساب'!$N$4:$N$203,0),0))),"")</f>
        <v/>
      </c>
      <c r="F80" s="70" t="str">
        <f>IFERROR(IF(IFERROR(MATCH(76,'كشف الحساب'!$N$4:$N$203,0),0)=0,"",INDEX('كشف الحساب'!$F$4:$F$203,IFERROR(MATCH(76,'كشف الحساب'!$N$4:$N$203,0),0))),"")</f>
        <v/>
      </c>
      <c r="G80" s="70" t="str">
        <f>IFERROR(IF(IFERROR(MATCH(76,'كشف الحساب'!$N$4:$N$203,0),0)=0,"",INDEX('كشف الحساب'!$G$4:$G$203,IFERROR(MATCH(76,'كشف الحساب'!$N$4:$N$203,0),0))),"")</f>
        <v/>
      </c>
      <c r="H80" s="70" t="str">
        <f>IFERROR(IF(IFERROR(MATCH(76,'كشف الحساب'!$N$4:$N$203,0),0)=0,"",INDEX('كشف الحساب'!$H$4:$H$203,IFERROR(MATCH(76,'كشف الحساب'!$N$4:$N$203,0),0))),"")</f>
        <v/>
      </c>
      <c r="I80" s="70" t="str">
        <f>IFERROR(IF(IFERROR(MATCH(76,'كشف الحساب'!$N$4:$N$203,0),0)=0,"",INDEX('كشف الحساب'!$I$4:$I$203,IFERROR(MATCH(76,'كشف الحساب'!$N$4:$N$203,0),0))),"")</f>
        <v/>
      </c>
      <c r="J80" s="74" t="str">
        <f>IFERROR(IF(IFERROR(MATCH(76,'كشف الحساب'!$N$4:$N$203,0),0)=0,"",INDEX('كشف الحساب'!$J$4:$J$203,IFERROR(MATCH(76,'كشف الحساب'!$N$4:$N$203,0),0))),"")</f>
        <v/>
      </c>
      <c r="K80" s="70" t="str">
        <f>IFERROR(IF(IFERROR(MATCH(76,'كشف الحساب'!$N$4:$N$203,0),0)=0,"",INDEX('كشف الحساب'!$K$4:$K$203,IFERROR(MATCH(76,'كشف الحساب'!$N$4:$N$203,0),0))),"")</f>
        <v/>
      </c>
    </row>
    <row r="81" spans="1:11" ht="15" customHeight="1" x14ac:dyDescent="0.25">
      <c r="A81" s="63" t="str">
        <f>IFERROR(IF(IFERROR(MATCH(77,'كشف الحساب'!$N$4:$N$203,0),0)=0,"",INDEX('كشف الحساب'!$A$4:$A$203,IFERROR(MATCH(77,'كشف الحساب'!$N$4:$N$203,0),0))),"")</f>
        <v/>
      </c>
      <c r="B81" s="64" t="str">
        <f>IFERROR(IF(IFERROR(MATCH(77,'كشف الحساب'!$N$4:$N$203,0),0)=0,"",INDEX('كشف الحساب'!$B$4:$B$203,IFERROR(MATCH(77,'كشف الحساب'!$N$4:$N$203,0),0))),"")</f>
        <v/>
      </c>
      <c r="C81" s="65" t="str">
        <f>IFERROR(IF(IFERROR(MATCH(77,'كشف الحساب'!$N$4:$N$203,0),0)=0,"",INDEX('كشف الحساب'!$C$4:$C$203,IFERROR(MATCH(77,'كشف الحساب'!$N$4:$N$203,0),0))),"")</f>
        <v/>
      </c>
      <c r="D81" s="66" t="str">
        <f>IFERROR(IF(IFERROR(MATCH(77,'كشف الحساب'!$N$4:$N$203,0),0)=0,"",INDEX('كشف الحساب'!$D$4:$D$203,IFERROR(MATCH(77,'كشف الحساب'!$N$4:$N$203,0),0))),"")</f>
        <v/>
      </c>
      <c r="E81" s="67" t="str">
        <f>IFERROR(IF(IFERROR(MATCH(77,'كشف الحساب'!$N$4:$N$203,0),0)=0,"",INDEX('كشف الحساب'!$E$4:$E$203,IFERROR(MATCH(77,'كشف الحساب'!$N$4:$N$203,0),0))),"")</f>
        <v/>
      </c>
      <c r="F81" s="64" t="str">
        <f>IFERROR(IF(IFERROR(MATCH(77,'كشف الحساب'!$N$4:$N$203,0),0)=0,"",INDEX('كشف الحساب'!$F$4:$F$203,IFERROR(MATCH(77,'كشف الحساب'!$N$4:$N$203,0),0))),"")</f>
        <v/>
      </c>
      <c r="G81" s="64" t="str">
        <f>IFERROR(IF(IFERROR(MATCH(77,'كشف الحساب'!$N$4:$N$203,0),0)=0,"",INDEX('كشف الحساب'!$G$4:$G$203,IFERROR(MATCH(77,'كشف الحساب'!$N$4:$N$203,0),0))),"")</f>
        <v/>
      </c>
      <c r="H81" s="64" t="str">
        <f>IFERROR(IF(IFERROR(MATCH(77,'كشف الحساب'!$N$4:$N$203,0),0)=0,"",INDEX('كشف الحساب'!$H$4:$H$203,IFERROR(MATCH(77,'كشف الحساب'!$N$4:$N$203,0),0))),"")</f>
        <v/>
      </c>
      <c r="I81" s="64" t="str">
        <f>IFERROR(IF(IFERROR(MATCH(77,'كشف الحساب'!$N$4:$N$203,0),0)=0,"",INDEX('كشف الحساب'!$I$4:$I$203,IFERROR(MATCH(77,'كشف الحساب'!$N$4:$N$203,0),0))),"")</f>
        <v/>
      </c>
      <c r="J81" s="68" t="str">
        <f>IFERROR(IF(IFERROR(MATCH(77,'كشف الحساب'!$N$4:$N$203,0),0)=0,"",INDEX('كشف الحساب'!$J$4:$J$203,IFERROR(MATCH(77,'كشف الحساب'!$N$4:$N$203,0),0))),"")</f>
        <v/>
      </c>
      <c r="K81" s="64" t="str">
        <f>IFERROR(IF(IFERROR(MATCH(77,'كشف الحساب'!$N$4:$N$203,0),0)=0,"",INDEX('كشف الحساب'!$K$4:$K$203,IFERROR(MATCH(77,'كشف الحساب'!$N$4:$N$203,0),0))),"")</f>
        <v/>
      </c>
    </row>
    <row r="82" spans="1:11" ht="15" customHeight="1" x14ac:dyDescent="0.25">
      <c r="A82" s="69" t="str">
        <f>IFERROR(IF(IFERROR(MATCH(78,'كشف الحساب'!$N$4:$N$203,0),0)=0,"",INDEX('كشف الحساب'!$A$4:$A$203,IFERROR(MATCH(78,'كشف الحساب'!$N$4:$N$203,0),0))),"")</f>
        <v/>
      </c>
      <c r="B82" s="70" t="str">
        <f>IFERROR(IF(IFERROR(MATCH(78,'كشف الحساب'!$N$4:$N$203,0),0)=0,"",INDEX('كشف الحساب'!$B$4:$B$203,IFERROR(MATCH(78,'كشف الحساب'!$N$4:$N$203,0),0))),"")</f>
        <v/>
      </c>
      <c r="C82" s="71" t="str">
        <f>IFERROR(IF(IFERROR(MATCH(78,'كشف الحساب'!$N$4:$N$203,0),0)=0,"",INDEX('كشف الحساب'!$C$4:$C$203,IFERROR(MATCH(78,'كشف الحساب'!$N$4:$N$203,0),0))),"")</f>
        <v/>
      </c>
      <c r="D82" s="72" t="str">
        <f>IFERROR(IF(IFERROR(MATCH(78,'كشف الحساب'!$N$4:$N$203,0),0)=0,"",INDEX('كشف الحساب'!$D$4:$D$203,IFERROR(MATCH(78,'كشف الحساب'!$N$4:$N$203,0),0))),"")</f>
        <v/>
      </c>
      <c r="E82" s="73" t="str">
        <f>IFERROR(IF(IFERROR(MATCH(78,'كشف الحساب'!$N$4:$N$203,0),0)=0,"",INDEX('كشف الحساب'!$E$4:$E$203,IFERROR(MATCH(78,'كشف الحساب'!$N$4:$N$203,0),0))),"")</f>
        <v/>
      </c>
      <c r="F82" s="70" t="str">
        <f>IFERROR(IF(IFERROR(MATCH(78,'كشف الحساب'!$N$4:$N$203,0),0)=0,"",INDEX('كشف الحساب'!$F$4:$F$203,IFERROR(MATCH(78,'كشف الحساب'!$N$4:$N$203,0),0))),"")</f>
        <v/>
      </c>
      <c r="G82" s="70" t="str">
        <f>IFERROR(IF(IFERROR(MATCH(78,'كشف الحساب'!$N$4:$N$203,0),0)=0,"",INDEX('كشف الحساب'!$G$4:$G$203,IFERROR(MATCH(78,'كشف الحساب'!$N$4:$N$203,0),0))),"")</f>
        <v/>
      </c>
      <c r="H82" s="70" t="str">
        <f>IFERROR(IF(IFERROR(MATCH(78,'كشف الحساب'!$N$4:$N$203,0),0)=0,"",INDEX('كشف الحساب'!$H$4:$H$203,IFERROR(MATCH(78,'كشف الحساب'!$N$4:$N$203,0),0))),"")</f>
        <v/>
      </c>
      <c r="I82" s="70" t="str">
        <f>IFERROR(IF(IFERROR(MATCH(78,'كشف الحساب'!$N$4:$N$203,0),0)=0,"",INDEX('كشف الحساب'!$I$4:$I$203,IFERROR(MATCH(78,'كشف الحساب'!$N$4:$N$203,0),0))),"")</f>
        <v/>
      </c>
      <c r="J82" s="74" t="str">
        <f>IFERROR(IF(IFERROR(MATCH(78,'كشف الحساب'!$N$4:$N$203,0),0)=0,"",INDEX('كشف الحساب'!$J$4:$J$203,IFERROR(MATCH(78,'كشف الحساب'!$N$4:$N$203,0),0))),"")</f>
        <v/>
      </c>
      <c r="K82" s="70" t="str">
        <f>IFERROR(IF(IFERROR(MATCH(78,'كشف الحساب'!$N$4:$N$203,0),0)=0,"",INDEX('كشف الحساب'!$K$4:$K$203,IFERROR(MATCH(78,'كشف الحساب'!$N$4:$N$203,0),0))),"")</f>
        <v/>
      </c>
    </row>
    <row r="83" spans="1:11" ht="15" customHeight="1" x14ac:dyDescent="0.25">
      <c r="A83" s="63" t="str">
        <f>IFERROR(IF(IFERROR(MATCH(79,'كشف الحساب'!$N$4:$N$203,0),0)=0,"",INDEX('كشف الحساب'!$A$4:$A$203,IFERROR(MATCH(79,'كشف الحساب'!$N$4:$N$203,0),0))),"")</f>
        <v/>
      </c>
      <c r="B83" s="64" t="str">
        <f>IFERROR(IF(IFERROR(MATCH(79,'كشف الحساب'!$N$4:$N$203,0),0)=0,"",INDEX('كشف الحساب'!$B$4:$B$203,IFERROR(MATCH(79,'كشف الحساب'!$N$4:$N$203,0),0))),"")</f>
        <v/>
      </c>
      <c r="C83" s="65" t="str">
        <f>IFERROR(IF(IFERROR(MATCH(79,'كشف الحساب'!$N$4:$N$203,0),0)=0,"",INDEX('كشف الحساب'!$C$4:$C$203,IFERROR(MATCH(79,'كشف الحساب'!$N$4:$N$203,0),0))),"")</f>
        <v/>
      </c>
      <c r="D83" s="66" t="str">
        <f>IFERROR(IF(IFERROR(MATCH(79,'كشف الحساب'!$N$4:$N$203,0),0)=0,"",INDEX('كشف الحساب'!$D$4:$D$203,IFERROR(MATCH(79,'كشف الحساب'!$N$4:$N$203,0),0))),"")</f>
        <v/>
      </c>
      <c r="E83" s="67" t="str">
        <f>IFERROR(IF(IFERROR(MATCH(79,'كشف الحساب'!$N$4:$N$203,0),0)=0,"",INDEX('كشف الحساب'!$E$4:$E$203,IFERROR(MATCH(79,'كشف الحساب'!$N$4:$N$203,0),0))),"")</f>
        <v/>
      </c>
      <c r="F83" s="64" t="str">
        <f>IFERROR(IF(IFERROR(MATCH(79,'كشف الحساب'!$N$4:$N$203,0),0)=0,"",INDEX('كشف الحساب'!$F$4:$F$203,IFERROR(MATCH(79,'كشف الحساب'!$N$4:$N$203,0),0))),"")</f>
        <v/>
      </c>
      <c r="G83" s="64" t="str">
        <f>IFERROR(IF(IFERROR(MATCH(79,'كشف الحساب'!$N$4:$N$203,0),0)=0,"",INDEX('كشف الحساب'!$G$4:$G$203,IFERROR(MATCH(79,'كشف الحساب'!$N$4:$N$203,0),0))),"")</f>
        <v/>
      </c>
      <c r="H83" s="64" t="str">
        <f>IFERROR(IF(IFERROR(MATCH(79,'كشف الحساب'!$N$4:$N$203,0),0)=0,"",INDEX('كشف الحساب'!$H$4:$H$203,IFERROR(MATCH(79,'كشف الحساب'!$N$4:$N$203,0),0))),"")</f>
        <v/>
      </c>
      <c r="I83" s="64" t="str">
        <f>IFERROR(IF(IFERROR(MATCH(79,'كشف الحساب'!$N$4:$N$203,0),0)=0,"",INDEX('كشف الحساب'!$I$4:$I$203,IFERROR(MATCH(79,'كشف الحساب'!$N$4:$N$203,0),0))),"")</f>
        <v/>
      </c>
      <c r="J83" s="68" t="str">
        <f>IFERROR(IF(IFERROR(MATCH(79,'كشف الحساب'!$N$4:$N$203,0),0)=0,"",INDEX('كشف الحساب'!$J$4:$J$203,IFERROR(MATCH(79,'كشف الحساب'!$N$4:$N$203,0),0))),"")</f>
        <v/>
      </c>
      <c r="K83" s="64" t="str">
        <f>IFERROR(IF(IFERROR(MATCH(79,'كشف الحساب'!$N$4:$N$203,0),0)=0,"",INDEX('كشف الحساب'!$K$4:$K$203,IFERROR(MATCH(79,'كشف الحساب'!$N$4:$N$203,0),0))),"")</f>
        <v/>
      </c>
    </row>
    <row r="84" spans="1:11" ht="15" customHeight="1" x14ac:dyDescent="0.25">
      <c r="A84" s="69" t="str">
        <f>IFERROR(IF(IFERROR(MATCH(80,'كشف الحساب'!$N$4:$N$203,0),0)=0,"",INDEX('كشف الحساب'!$A$4:$A$203,IFERROR(MATCH(80,'كشف الحساب'!$N$4:$N$203,0),0))),"")</f>
        <v/>
      </c>
      <c r="B84" s="70" t="str">
        <f>IFERROR(IF(IFERROR(MATCH(80,'كشف الحساب'!$N$4:$N$203,0),0)=0,"",INDEX('كشف الحساب'!$B$4:$B$203,IFERROR(MATCH(80,'كشف الحساب'!$N$4:$N$203,0),0))),"")</f>
        <v/>
      </c>
      <c r="C84" s="71" t="str">
        <f>IFERROR(IF(IFERROR(MATCH(80,'كشف الحساب'!$N$4:$N$203,0),0)=0,"",INDEX('كشف الحساب'!$C$4:$C$203,IFERROR(MATCH(80,'كشف الحساب'!$N$4:$N$203,0),0))),"")</f>
        <v/>
      </c>
      <c r="D84" s="72" t="str">
        <f>IFERROR(IF(IFERROR(MATCH(80,'كشف الحساب'!$N$4:$N$203,0),0)=0,"",INDEX('كشف الحساب'!$D$4:$D$203,IFERROR(MATCH(80,'كشف الحساب'!$N$4:$N$203,0),0))),"")</f>
        <v/>
      </c>
      <c r="E84" s="73" t="str">
        <f>IFERROR(IF(IFERROR(MATCH(80,'كشف الحساب'!$N$4:$N$203,0),0)=0,"",INDEX('كشف الحساب'!$E$4:$E$203,IFERROR(MATCH(80,'كشف الحساب'!$N$4:$N$203,0),0))),"")</f>
        <v/>
      </c>
      <c r="F84" s="70" t="str">
        <f>IFERROR(IF(IFERROR(MATCH(80,'كشف الحساب'!$N$4:$N$203,0),0)=0,"",INDEX('كشف الحساب'!$F$4:$F$203,IFERROR(MATCH(80,'كشف الحساب'!$N$4:$N$203,0),0))),"")</f>
        <v/>
      </c>
      <c r="G84" s="70" t="str">
        <f>IFERROR(IF(IFERROR(MATCH(80,'كشف الحساب'!$N$4:$N$203,0),0)=0,"",INDEX('كشف الحساب'!$G$4:$G$203,IFERROR(MATCH(80,'كشف الحساب'!$N$4:$N$203,0),0))),"")</f>
        <v/>
      </c>
      <c r="H84" s="70" t="str">
        <f>IFERROR(IF(IFERROR(MATCH(80,'كشف الحساب'!$N$4:$N$203,0),0)=0,"",INDEX('كشف الحساب'!$H$4:$H$203,IFERROR(MATCH(80,'كشف الحساب'!$N$4:$N$203,0),0))),"")</f>
        <v/>
      </c>
      <c r="I84" s="70" t="str">
        <f>IFERROR(IF(IFERROR(MATCH(80,'كشف الحساب'!$N$4:$N$203,0),0)=0,"",INDEX('كشف الحساب'!$I$4:$I$203,IFERROR(MATCH(80,'كشف الحساب'!$N$4:$N$203,0),0))),"")</f>
        <v/>
      </c>
      <c r="J84" s="74" t="str">
        <f>IFERROR(IF(IFERROR(MATCH(80,'كشف الحساب'!$N$4:$N$203,0),0)=0,"",INDEX('كشف الحساب'!$J$4:$J$203,IFERROR(MATCH(80,'كشف الحساب'!$N$4:$N$203,0),0))),"")</f>
        <v/>
      </c>
      <c r="K84" s="70" t="str">
        <f>IFERROR(IF(IFERROR(MATCH(80,'كشف الحساب'!$N$4:$N$203,0),0)=0,"",INDEX('كشف الحساب'!$K$4:$K$203,IFERROR(MATCH(80,'كشف الحساب'!$N$4:$N$203,0),0))),"")</f>
        <v/>
      </c>
    </row>
    <row r="85" spans="1:11" ht="15" customHeight="1" x14ac:dyDescent="0.25">
      <c r="A85" s="63" t="str">
        <f>IFERROR(IF(IFERROR(MATCH(81,'كشف الحساب'!$N$4:$N$203,0),0)=0,"",INDEX('كشف الحساب'!$A$4:$A$203,IFERROR(MATCH(81,'كشف الحساب'!$N$4:$N$203,0),0))),"")</f>
        <v/>
      </c>
      <c r="B85" s="64" t="str">
        <f>IFERROR(IF(IFERROR(MATCH(81,'كشف الحساب'!$N$4:$N$203,0),0)=0,"",INDEX('كشف الحساب'!$B$4:$B$203,IFERROR(MATCH(81,'كشف الحساب'!$N$4:$N$203,0),0))),"")</f>
        <v/>
      </c>
      <c r="C85" s="65" t="str">
        <f>IFERROR(IF(IFERROR(MATCH(81,'كشف الحساب'!$N$4:$N$203,0),0)=0,"",INDEX('كشف الحساب'!$C$4:$C$203,IFERROR(MATCH(81,'كشف الحساب'!$N$4:$N$203,0),0))),"")</f>
        <v/>
      </c>
      <c r="D85" s="66" t="str">
        <f>IFERROR(IF(IFERROR(MATCH(81,'كشف الحساب'!$N$4:$N$203,0),0)=0,"",INDEX('كشف الحساب'!$D$4:$D$203,IFERROR(MATCH(81,'كشف الحساب'!$N$4:$N$203,0),0))),"")</f>
        <v/>
      </c>
      <c r="E85" s="67" t="str">
        <f>IFERROR(IF(IFERROR(MATCH(81,'كشف الحساب'!$N$4:$N$203,0),0)=0,"",INDEX('كشف الحساب'!$E$4:$E$203,IFERROR(MATCH(81,'كشف الحساب'!$N$4:$N$203,0),0))),"")</f>
        <v/>
      </c>
      <c r="F85" s="64" t="str">
        <f>IFERROR(IF(IFERROR(MATCH(81,'كشف الحساب'!$N$4:$N$203,0),0)=0,"",INDEX('كشف الحساب'!$F$4:$F$203,IFERROR(MATCH(81,'كشف الحساب'!$N$4:$N$203,0),0))),"")</f>
        <v/>
      </c>
      <c r="G85" s="64" t="str">
        <f>IFERROR(IF(IFERROR(MATCH(81,'كشف الحساب'!$N$4:$N$203,0),0)=0,"",INDEX('كشف الحساب'!$G$4:$G$203,IFERROR(MATCH(81,'كشف الحساب'!$N$4:$N$203,0),0))),"")</f>
        <v/>
      </c>
      <c r="H85" s="64" t="str">
        <f>IFERROR(IF(IFERROR(MATCH(81,'كشف الحساب'!$N$4:$N$203,0),0)=0,"",INDEX('كشف الحساب'!$H$4:$H$203,IFERROR(MATCH(81,'كشف الحساب'!$N$4:$N$203,0),0))),"")</f>
        <v/>
      </c>
      <c r="I85" s="64" t="str">
        <f>IFERROR(IF(IFERROR(MATCH(81,'كشف الحساب'!$N$4:$N$203,0),0)=0,"",INDEX('كشف الحساب'!$I$4:$I$203,IFERROR(MATCH(81,'كشف الحساب'!$N$4:$N$203,0),0))),"")</f>
        <v/>
      </c>
      <c r="J85" s="68" t="str">
        <f>IFERROR(IF(IFERROR(MATCH(81,'كشف الحساب'!$N$4:$N$203,0),0)=0,"",INDEX('كشف الحساب'!$J$4:$J$203,IFERROR(MATCH(81,'كشف الحساب'!$N$4:$N$203,0),0))),"")</f>
        <v/>
      </c>
      <c r="K85" s="64" t="str">
        <f>IFERROR(IF(IFERROR(MATCH(81,'كشف الحساب'!$N$4:$N$203,0),0)=0,"",INDEX('كشف الحساب'!$K$4:$K$203,IFERROR(MATCH(81,'كشف الحساب'!$N$4:$N$203,0),0))),"")</f>
        <v/>
      </c>
    </row>
    <row r="86" spans="1:11" ht="15" customHeight="1" x14ac:dyDescent="0.25">
      <c r="A86" s="69" t="str">
        <f>IFERROR(IF(IFERROR(MATCH(82,'كشف الحساب'!$N$4:$N$203,0),0)=0,"",INDEX('كشف الحساب'!$A$4:$A$203,IFERROR(MATCH(82,'كشف الحساب'!$N$4:$N$203,0),0))),"")</f>
        <v/>
      </c>
      <c r="B86" s="70" t="str">
        <f>IFERROR(IF(IFERROR(MATCH(82,'كشف الحساب'!$N$4:$N$203,0),0)=0,"",INDEX('كشف الحساب'!$B$4:$B$203,IFERROR(MATCH(82,'كشف الحساب'!$N$4:$N$203,0),0))),"")</f>
        <v/>
      </c>
      <c r="C86" s="71" t="str">
        <f>IFERROR(IF(IFERROR(MATCH(82,'كشف الحساب'!$N$4:$N$203,0),0)=0,"",INDEX('كشف الحساب'!$C$4:$C$203,IFERROR(MATCH(82,'كشف الحساب'!$N$4:$N$203,0),0))),"")</f>
        <v/>
      </c>
      <c r="D86" s="72" t="str">
        <f>IFERROR(IF(IFERROR(MATCH(82,'كشف الحساب'!$N$4:$N$203,0),0)=0,"",INDEX('كشف الحساب'!$D$4:$D$203,IFERROR(MATCH(82,'كشف الحساب'!$N$4:$N$203,0),0))),"")</f>
        <v/>
      </c>
      <c r="E86" s="73" t="str">
        <f>IFERROR(IF(IFERROR(MATCH(82,'كشف الحساب'!$N$4:$N$203,0),0)=0,"",INDEX('كشف الحساب'!$E$4:$E$203,IFERROR(MATCH(82,'كشف الحساب'!$N$4:$N$203,0),0))),"")</f>
        <v/>
      </c>
      <c r="F86" s="70" t="str">
        <f>IFERROR(IF(IFERROR(MATCH(82,'كشف الحساب'!$N$4:$N$203,0),0)=0,"",INDEX('كشف الحساب'!$F$4:$F$203,IFERROR(MATCH(82,'كشف الحساب'!$N$4:$N$203,0),0))),"")</f>
        <v/>
      </c>
      <c r="G86" s="70" t="str">
        <f>IFERROR(IF(IFERROR(MATCH(82,'كشف الحساب'!$N$4:$N$203,0),0)=0,"",INDEX('كشف الحساب'!$G$4:$G$203,IFERROR(MATCH(82,'كشف الحساب'!$N$4:$N$203,0),0))),"")</f>
        <v/>
      </c>
      <c r="H86" s="70" t="str">
        <f>IFERROR(IF(IFERROR(MATCH(82,'كشف الحساب'!$N$4:$N$203,0),0)=0,"",INDEX('كشف الحساب'!$H$4:$H$203,IFERROR(MATCH(82,'كشف الحساب'!$N$4:$N$203,0),0))),"")</f>
        <v/>
      </c>
      <c r="I86" s="70" t="str">
        <f>IFERROR(IF(IFERROR(MATCH(82,'كشف الحساب'!$N$4:$N$203,0),0)=0,"",INDEX('كشف الحساب'!$I$4:$I$203,IFERROR(MATCH(82,'كشف الحساب'!$N$4:$N$203,0),0))),"")</f>
        <v/>
      </c>
      <c r="J86" s="74" t="str">
        <f>IFERROR(IF(IFERROR(MATCH(82,'كشف الحساب'!$N$4:$N$203,0),0)=0,"",INDEX('كشف الحساب'!$J$4:$J$203,IFERROR(MATCH(82,'كشف الحساب'!$N$4:$N$203,0),0))),"")</f>
        <v/>
      </c>
      <c r="K86" s="70" t="str">
        <f>IFERROR(IF(IFERROR(MATCH(82,'كشف الحساب'!$N$4:$N$203,0),0)=0,"",INDEX('كشف الحساب'!$K$4:$K$203,IFERROR(MATCH(82,'كشف الحساب'!$N$4:$N$203,0),0))),"")</f>
        <v/>
      </c>
    </row>
    <row r="87" spans="1:11" ht="15" customHeight="1" x14ac:dyDescent="0.25">
      <c r="A87" s="63" t="str">
        <f>IFERROR(IF(IFERROR(MATCH(83,'كشف الحساب'!$N$4:$N$203,0),0)=0,"",INDEX('كشف الحساب'!$A$4:$A$203,IFERROR(MATCH(83,'كشف الحساب'!$N$4:$N$203,0),0))),"")</f>
        <v/>
      </c>
      <c r="B87" s="64" t="str">
        <f>IFERROR(IF(IFERROR(MATCH(83,'كشف الحساب'!$N$4:$N$203,0),0)=0,"",INDEX('كشف الحساب'!$B$4:$B$203,IFERROR(MATCH(83,'كشف الحساب'!$N$4:$N$203,0),0))),"")</f>
        <v/>
      </c>
      <c r="C87" s="65" t="str">
        <f>IFERROR(IF(IFERROR(MATCH(83,'كشف الحساب'!$N$4:$N$203,0),0)=0,"",INDEX('كشف الحساب'!$C$4:$C$203,IFERROR(MATCH(83,'كشف الحساب'!$N$4:$N$203,0),0))),"")</f>
        <v/>
      </c>
      <c r="D87" s="66" t="str">
        <f>IFERROR(IF(IFERROR(MATCH(83,'كشف الحساب'!$N$4:$N$203,0),0)=0,"",INDEX('كشف الحساب'!$D$4:$D$203,IFERROR(MATCH(83,'كشف الحساب'!$N$4:$N$203,0),0))),"")</f>
        <v/>
      </c>
      <c r="E87" s="67" t="str">
        <f>IFERROR(IF(IFERROR(MATCH(83,'كشف الحساب'!$N$4:$N$203,0),0)=0,"",INDEX('كشف الحساب'!$E$4:$E$203,IFERROR(MATCH(83,'كشف الحساب'!$N$4:$N$203,0),0))),"")</f>
        <v/>
      </c>
      <c r="F87" s="64" t="str">
        <f>IFERROR(IF(IFERROR(MATCH(83,'كشف الحساب'!$N$4:$N$203,0),0)=0,"",INDEX('كشف الحساب'!$F$4:$F$203,IFERROR(MATCH(83,'كشف الحساب'!$N$4:$N$203,0),0))),"")</f>
        <v/>
      </c>
      <c r="G87" s="64" t="str">
        <f>IFERROR(IF(IFERROR(MATCH(83,'كشف الحساب'!$N$4:$N$203,0),0)=0,"",INDEX('كشف الحساب'!$G$4:$G$203,IFERROR(MATCH(83,'كشف الحساب'!$N$4:$N$203,0),0))),"")</f>
        <v/>
      </c>
      <c r="H87" s="64" t="str">
        <f>IFERROR(IF(IFERROR(MATCH(83,'كشف الحساب'!$N$4:$N$203,0),0)=0,"",INDEX('كشف الحساب'!$H$4:$H$203,IFERROR(MATCH(83,'كشف الحساب'!$N$4:$N$203,0),0))),"")</f>
        <v/>
      </c>
      <c r="I87" s="64" t="str">
        <f>IFERROR(IF(IFERROR(MATCH(83,'كشف الحساب'!$N$4:$N$203,0),0)=0,"",INDEX('كشف الحساب'!$I$4:$I$203,IFERROR(MATCH(83,'كشف الحساب'!$N$4:$N$203,0),0))),"")</f>
        <v/>
      </c>
      <c r="J87" s="68" t="str">
        <f>IFERROR(IF(IFERROR(MATCH(83,'كشف الحساب'!$N$4:$N$203,0),0)=0,"",INDEX('كشف الحساب'!$J$4:$J$203,IFERROR(MATCH(83,'كشف الحساب'!$N$4:$N$203,0),0))),"")</f>
        <v/>
      </c>
      <c r="K87" s="64" t="str">
        <f>IFERROR(IF(IFERROR(MATCH(83,'كشف الحساب'!$N$4:$N$203,0),0)=0,"",INDEX('كشف الحساب'!$K$4:$K$203,IFERROR(MATCH(83,'كشف الحساب'!$N$4:$N$203,0),0))),"")</f>
        <v/>
      </c>
    </row>
    <row r="88" spans="1:11" ht="15" customHeight="1" x14ac:dyDescent="0.25">
      <c r="A88" s="69" t="str">
        <f>IFERROR(IF(IFERROR(MATCH(84,'كشف الحساب'!$N$4:$N$203,0),0)=0,"",INDEX('كشف الحساب'!$A$4:$A$203,IFERROR(MATCH(84,'كشف الحساب'!$N$4:$N$203,0),0))),"")</f>
        <v/>
      </c>
      <c r="B88" s="70" t="str">
        <f>IFERROR(IF(IFERROR(MATCH(84,'كشف الحساب'!$N$4:$N$203,0),0)=0,"",INDEX('كشف الحساب'!$B$4:$B$203,IFERROR(MATCH(84,'كشف الحساب'!$N$4:$N$203,0),0))),"")</f>
        <v/>
      </c>
      <c r="C88" s="71" t="str">
        <f>IFERROR(IF(IFERROR(MATCH(84,'كشف الحساب'!$N$4:$N$203,0),0)=0,"",INDEX('كشف الحساب'!$C$4:$C$203,IFERROR(MATCH(84,'كشف الحساب'!$N$4:$N$203,0),0))),"")</f>
        <v/>
      </c>
      <c r="D88" s="72" t="str">
        <f>IFERROR(IF(IFERROR(MATCH(84,'كشف الحساب'!$N$4:$N$203,0),0)=0,"",INDEX('كشف الحساب'!$D$4:$D$203,IFERROR(MATCH(84,'كشف الحساب'!$N$4:$N$203,0),0))),"")</f>
        <v/>
      </c>
      <c r="E88" s="73" t="str">
        <f>IFERROR(IF(IFERROR(MATCH(84,'كشف الحساب'!$N$4:$N$203,0),0)=0,"",INDEX('كشف الحساب'!$E$4:$E$203,IFERROR(MATCH(84,'كشف الحساب'!$N$4:$N$203,0),0))),"")</f>
        <v/>
      </c>
      <c r="F88" s="70" t="str">
        <f>IFERROR(IF(IFERROR(MATCH(84,'كشف الحساب'!$N$4:$N$203,0),0)=0,"",INDEX('كشف الحساب'!$F$4:$F$203,IFERROR(MATCH(84,'كشف الحساب'!$N$4:$N$203,0),0))),"")</f>
        <v/>
      </c>
      <c r="G88" s="70" t="str">
        <f>IFERROR(IF(IFERROR(MATCH(84,'كشف الحساب'!$N$4:$N$203,0),0)=0,"",INDEX('كشف الحساب'!$G$4:$G$203,IFERROR(MATCH(84,'كشف الحساب'!$N$4:$N$203,0),0))),"")</f>
        <v/>
      </c>
      <c r="H88" s="70" t="str">
        <f>IFERROR(IF(IFERROR(MATCH(84,'كشف الحساب'!$N$4:$N$203,0),0)=0,"",INDEX('كشف الحساب'!$H$4:$H$203,IFERROR(MATCH(84,'كشف الحساب'!$N$4:$N$203,0),0))),"")</f>
        <v/>
      </c>
      <c r="I88" s="70" t="str">
        <f>IFERROR(IF(IFERROR(MATCH(84,'كشف الحساب'!$N$4:$N$203,0),0)=0,"",INDEX('كشف الحساب'!$I$4:$I$203,IFERROR(MATCH(84,'كشف الحساب'!$N$4:$N$203,0),0))),"")</f>
        <v/>
      </c>
      <c r="J88" s="74" t="str">
        <f>IFERROR(IF(IFERROR(MATCH(84,'كشف الحساب'!$N$4:$N$203,0),0)=0,"",INDEX('كشف الحساب'!$J$4:$J$203,IFERROR(MATCH(84,'كشف الحساب'!$N$4:$N$203,0),0))),"")</f>
        <v/>
      </c>
      <c r="K88" s="70" t="str">
        <f>IFERROR(IF(IFERROR(MATCH(84,'كشف الحساب'!$N$4:$N$203,0),0)=0,"",INDEX('كشف الحساب'!$K$4:$K$203,IFERROR(MATCH(84,'كشف الحساب'!$N$4:$N$203,0),0))),"")</f>
        <v/>
      </c>
    </row>
    <row r="89" spans="1:11" ht="15" customHeight="1" x14ac:dyDescent="0.25">
      <c r="A89" s="63" t="str">
        <f>IFERROR(IF(IFERROR(MATCH(85,'كشف الحساب'!$N$4:$N$203,0),0)=0,"",INDEX('كشف الحساب'!$A$4:$A$203,IFERROR(MATCH(85,'كشف الحساب'!$N$4:$N$203,0),0))),"")</f>
        <v/>
      </c>
      <c r="B89" s="64" t="str">
        <f>IFERROR(IF(IFERROR(MATCH(85,'كشف الحساب'!$N$4:$N$203,0),0)=0,"",INDEX('كشف الحساب'!$B$4:$B$203,IFERROR(MATCH(85,'كشف الحساب'!$N$4:$N$203,0),0))),"")</f>
        <v/>
      </c>
      <c r="C89" s="65" t="str">
        <f>IFERROR(IF(IFERROR(MATCH(85,'كشف الحساب'!$N$4:$N$203,0),0)=0,"",INDEX('كشف الحساب'!$C$4:$C$203,IFERROR(MATCH(85,'كشف الحساب'!$N$4:$N$203,0),0))),"")</f>
        <v/>
      </c>
      <c r="D89" s="66" t="str">
        <f>IFERROR(IF(IFERROR(MATCH(85,'كشف الحساب'!$N$4:$N$203,0),0)=0,"",INDEX('كشف الحساب'!$D$4:$D$203,IFERROR(MATCH(85,'كشف الحساب'!$N$4:$N$203,0),0))),"")</f>
        <v/>
      </c>
      <c r="E89" s="67" t="str">
        <f>IFERROR(IF(IFERROR(MATCH(85,'كشف الحساب'!$N$4:$N$203,0),0)=0,"",INDEX('كشف الحساب'!$E$4:$E$203,IFERROR(MATCH(85,'كشف الحساب'!$N$4:$N$203,0),0))),"")</f>
        <v/>
      </c>
      <c r="F89" s="64" t="str">
        <f>IFERROR(IF(IFERROR(MATCH(85,'كشف الحساب'!$N$4:$N$203,0),0)=0,"",INDEX('كشف الحساب'!$F$4:$F$203,IFERROR(MATCH(85,'كشف الحساب'!$N$4:$N$203,0),0))),"")</f>
        <v/>
      </c>
      <c r="G89" s="64" t="str">
        <f>IFERROR(IF(IFERROR(MATCH(85,'كشف الحساب'!$N$4:$N$203,0),0)=0,"",INDEX('كشف الحساب'!$G$4:$G$203,IFERROR(MATCH(85,'كشف الحساب'!$N$4:$N$203,0),0))),"")</f>
        <v/>
      </c>
      <c r="H89" s="64" t="str">
        <f>IFERROR(IF(IFERROR(MATCH(85,'كشف الحساب'!$N$4:$N$203,0),0)=0,"",INDEX('كشف الحساب'!$H$4:$H$203,IFERROR(MATCH(85,'كشف الحساب'!$N$4:$N$203,0),0))),"")</f>
        <v/>
      </c>
      <c r="I89" s="64" t="str">
        <f>IFERROR(IF(IFERROR(MATCH(85,'كشف الحساب'!$N$4:$N$203,0),0)=0,"",INDEX('كشف الحساب'!$I$4:$I$203,IFERROR(MATCH(85,'كشف الحساب'!$N$4:$N$203,0),0))),"")</f>
        <v/>
      </c>
      <c r="J89" s="68" t="str">
        <f>IFERROR(IF(IFERROR(MATCH(85,'كشف الحساب'!$N$4:$N$203,0),0)=0,"",INDEX('كشف الحساب'!$J$4:$J$203,IFERROR(MATCH(85,'كشف الحساب'!$N$4:$N$203,0),0))),"")</f>
        <v/>
      </c>
      <c r="K89" s="64" t="str">
        <f>IFERROR(IF(IFERROR(MATCH(85,'كشف الحساب'!$N$4:$N$203,0),0)=0,"",INDEX('كشف الحساب'!$K$4:$K$203,IFERROR(MATCH(85,'كشف الحساب'!$N$4:$N$203,0),0))),"")</f>
        <v/>
      </c>
    </row>
    <row r="90" spans="1:11" ht="15" customHeight="1" x14ac:dyDescent="0.25">
      <c r="A90" s="69" t="str">
        <f>IFERROR(IF(IFERROR(MATCH(86,'كشف الحساب'!$N$4:$N$203,0),0)=0,"",INDEX('كشف الحساب'!$A$4:$A$203,IFERROR(MATCH(86,'كشف الحساب'!$N$4:$N$203,0),0))),"")</f>
        <v/>
      </c>
      <c r="B90" s="70" t="str">
        <f>IFERROR(IF(IFERROR(MATCH(86,'كشف الحساب'!$N$4:$N$203,0),0)=0,"",INDEX('كشف الحساب'!$B$4:$B$203,IFERROR(MATCH(86,'كشف الحساب'!$N$4:$N$203,0),0))),"")</f>
        <v/>
      </c>
      <c r="C90" s="71" t="str">
        <f>IFERROR(IF(IFERROR(MATCH(86,'كشف الحساب'!$N$4:$N$203,0),0)=0,"",INDEX('كشف الحساب'!$C$4:$C$203,IFERROR(MATCH(86,'كشف الحساب'!$N$4:$N$203,0),0))),"")</f>
        <v/>
      </c>
      <c r="D90" s="72" t="str">
        <f>IFERROR(IF(IFERROR(MATCH(86,'كشف الحساب'!$N$4:$N$203,0),0)=0,"",INDEX('كشف الحساب'!$D$4:$D$203,IFERROR(MATCH(86,'كشف الحساب'!$N$4:$N$203,0),0))),"")</f>
        <v/>
      </c>
      <c r="E90" s="73" t="str">
        <f>IFERROR(IF(IFERROR(MATCH(86,'كشف الحساب'!$N$4:$N$203,0),0)=0,"",INDEX('كشف الحساب'!$E$4:$E$203,IFERROR(MATCH(86,'كشف الحساب'!$N$4:$N$203,0),0))),"")</f>
        <v/>
      </c>
      <c r="F90" s="70" t="str">
        <f>IFERROR(IF(IFERROR(MATCH(86,'كشف الحساب'!$N$4:$N$203,0),0)=0,"",INDEX('كشف الحساب'!$F$4:$F$203,IFERROR(MATCH(86,'كشف الحساب'!$N$4:$N$203,0),0))),"")</f>
        <v/>
      </c>
      <c r="G90" s="70" t="str">
        <f>IFERROR(IF(IFERROR(MATCH(86,'كشف الحساب'!$N$4:$N$203,0),0)=0,"",INDEX('كشف الحساب'!$G$4:$G$203,IFERROR(MATCH(86,'كشف الحساب'!$N$4:$N$203,0),0))),"")</f>
        <v/>
      </c>
      <c r="H90" s="70" t="str">
        <f>IFERROR(IF(IFERROR(MATCH(86,'كشف الحساب'!$N$4:$N$203,0),0)=0,"",INDEX('كشف الحساب'!$H$4:$H$203,IFERROR(MATCH(86,'كشف الحساب'!$N$4:$N$203,0),0))),"")</f>
        <v/>
      </c>
      <c r="I90" s="70" t="str">
        <f>IFERROR(IF(IFERROR(MATCH(86,'كشف الحساب'!$N$4:$N$203,0),0)=0,"",INDEX('كشف الحساب'!$I$4:$I$203,IFERROR(MATCH(86,'كشف الحساب'!$N$4:$N$203,0),0))),"")</f>
        <v/>
      </c>
      <c r="J90" s="74" t="str">
        <f>IFERROR(IF(IFERROR(MATCH(86,'كشف الحساب'!$N$4:$N$203,0),0)=0,"",INDEX('كشف الحساب'!$J$4:$J$203,IFERROR(MATCH(86,'كشف الحساب'!$N$4:$N$203,0),0))),"")</f>
        <v/>
      </c>
      <c r="K90" s="70" t="str">
        <f>IFERROR(IF(IFERROR(MATCH(86,'كشف الحساب'!$N$4:$N$203,0),0)=0,"",INDEX('كشف الحساب'!$K$4:$K$203,IFERROR(MATCH(86,'كشف الحساب'!$N$4:$N$203,0),0))),"")</f>
        <v/>
      </c>
    </row>
    <row r="91" spans="1:11" ht="15" customHeight="1" x14ac:dyDescent="0.25">
      <c r="A91" s="63" t="str">
        <f>IFERROR(IF(IFERROR(MATCH(87,'كشف الحساب'!$N$4:$N$203,0),0)=0,"",INDEX('كشف الحساب'!$A$4:$A$203,IFERROR(MATCH(87,'كشف الحساب'!$N$4:$N$203,0),0))),"")</f>
        <v/>
      </c>
      <c r="B91" s="64" t="str">
        <f>IFERROR(IF(IFERROR(MATCH(87,'كشف الحساب'!$N$4:$N$203,0),0)=0,"",INDEX('كشف الحساب'!$B$4:$B$203,IFERROR(MATCH(87,'كشف الحساب'!$N$4:$N$203,0),0))),"")</f>
        <v/>
      </c>
      <c r="C91" s="65" t="str">
        <f>IFERROR(IF(IFERROR(MATCH(87,'كشف الحساب'!$N$4:$N$203,0),0)=0,"",INDEX('كشف الحساب'!$C$4:$C$203,IFERROR(MATCH(87,'كشف الحساب'!$N$4:$N$203,0),0))),"")</f>
        <v/>
      </c>
      <c r="D91" s="66" t="str">
        <f>IFERROR(IF(IFERROR(MATCH(87,'كشف الحساب'!$N$4:$N$203,0),0)=0,"",INDEX('كشف الحساب'!$D$4:$D$203,IFERROR(MATCH(87,'كشف الحساب'!$N$4:$N$203,0),0))),"")</f>
        <v/>
      </c>
      <c r="E91" s="67" t="str">
        <f>IFERROR(IF(IFERROR(MATCH(87,'كشف الحساب'!$N$4:$N$203,0),0)=0,"",INDEX('كشف الحساب'!$E$4:$E$203,IFERROR(MATCH(87,'كشف الحساب'!$N$4:$N$203,0),0))),"")</f>
        <v/>
      </c>
      <c r="F91" s="64" t="str">
        <f>IFERROR(IF(IFERROR(MATCH(87,'كشف الحساب'!$N$4:$N$203,0),0)=0,"",INDEX('كشف الحساب'!$F$4:$F$203,IFERROR(MATCH(87,'كشف الحساب'!$N$4:$N$203,0),0))),"")</f>
        <v/>
      </c>
      <c r="G91" s="64" t="str">
        <f>IFERROR(IF(IFERROR(MATCH(87,'كشف الحساب'!$N$4:$N$203,0),0)=0,"",INDEX('كشف الحساب'!$G$4:$G$203,IFERROR(MATCH(87,'كشف الحساب'!$N$4:$N$203,0),0))),"")</f>
        <v/>
      </c>
      <c r="H91" s="64" t="str">
        <f>IFERROR(IF(IFERROR(MATCH(87,'كشف الحساب'!$N$4:$N$203,0),0)=0,"",INDEX('كشف الحساب'!$H$4:$H$203,IFERROR(MATCH(87,'كشف الحساب'!$N$4:$N$203,0),0))),"")</f>
        <v/>
      </c>
      <c r="I91" s="64" t="str">
        <f>IFERROR(IF(IFERROR(MATCH(87,'كشف الحساب'!$N$4:$N$203,0),0)=0,"",INDEX('كشف الحساب'!$I$4:$I$203,IFERROR(MATCH(87,'كشف الحساب'!$N$4:$N$203,0),0))),"")</f>
        <v/>
      </c>
      <c r="J91" s="68" t="str">
        <f>IFERROR(IF(IFERROR(MATCH(87,'كشف الحساب'!$N$4:$N$203,0),0)=0,"",INDEX('كشف الحساب'!$J$4:$J$203,IFERROR(MATCH(87,'كشف الحساب'!$N$4:$N$203,0),0))),"")</f>
        <v/>
      </c>
      <c r="K91" s="64" t="str">
        <f>IFERROR(IF(IFERROR(MATCH(87,'كشف الحساب'!$N$4:$N$203,0),0)=0,"",INDEX('كشف الحساب'!$K$4:$K$203,IFERROR(MATCH(87,'كشف الحساب'!$N$4:$N$203,0),0))),"")</f>
        <v/>
      </c>
    </row>
    <row r="92" spans="1:11" ht="15" customHeight="1" x14ac:dyDescent="0.25">
      <c r="A92" s="69" t="str">
        <f>IFERROR(IF(IFERROR(MATCH(88,'كشف الحساب'!$N$4:$N$203,0),0)=0,"",INDEX('كشف الحساب'!$A$4:$A$203,IFERROR(MATCH(88,'كشف الحساب'!$N$4:$N$203,0),0))),"")</f>
        <v/>
      </c>
      <c r="B92" s="70" t="str">
        <f>IFERROR(IF(IFERROR(MATCH(88,'كشف الحساب'!$N$4:$N$203,0),0)=0,"",INDEX('كشف الحساب'!$B$4:$B$203,IFERROR(MATCH(88,'كشف الحساب'!$N$4:$N$203,0),0))),"")</f>
        <v/>
      </c>
      <c r="C92" s="71" t="str">
        <f>IFERROR(IF(IFERROR(MATCH(88,'كشف الحساب'!$N$4:$N$203,0),0)=0,"",INDEX('كشف الحساب'!$C$4:$C$203,IFERROR(MATCH(88,'كشف الحساب'!$N$4:$N$203,0),0))),"")</f>
        <v/>
      </c>
      <c r="D92" s="72" t="str">
        <f>IFERROR(IF(IFERROR(MATCH(88,'كشف الحساب'!$N$4:$N$203,0),0)=0,"",INDEX('كشف الحساب'!$D$4:$D$203,IFERROR(MATCH(88,'كشف الحساب'!$N$4:$N$203,0),0))),"")</f>
        <v/>
      </c>
      <c r="E92" s="73" t="str">
        <f>IFERROR(IF(IFERROR(MATCH(88,'كشف الحساب'!$N$4:$N$203,0),0)=0,"",INDEX('كشف الحساب'!$E$4:$E$203,IFERROR(MATCH(88,'كشف الحساب'!$N$4:$N$203,0),0))),"")</f>
        <v/>
      </c>
      <c r="F92" s="70" t="str">
        <f>IFERROR(IF(IFERROR(MATCH(88,'كشف الحساب'!$N$4:$N$203,0),0)=0,"",INDEX('كشف الحساب'!$F$4:$F$203,IFERROR(MATCH(88,'كشف الحساب'!$N$4:$N$203,0),0))),"")</f>
        <v/>
      </c>
      <c r="G92" s="70" t="str">
        <f>IFERROR(IF(IFERROR(MATCH(88,'كشف الحساب'!$N$4:$N$203,0),0)=0,"",INDEX('كشف الحساب'!$G$4:$G$203,IFERROR(MATCH(88,'كشف الحساب'!$N$4:$N$203,0),0))),"")</f>
        <v/>
      </c>
      <c r="H92" s="70" t="str">
        <f>IFERROR(IF(IFERROR(MATCH(88,'كشف الحساب'!$N$4:$N$203,0),0)=0,"",INDEX('كشف الحساب'!$H$4:$H$203,IFERROR(MATCH(88,'كشف الحساب'!$N$4:$N$203,0),0))),"")</f>
        <v/>
      </c>
      <c r="I92" s="70" t="str">
        <f>IFERROR(IF(IFERROR(MATCH(88,'كشف الحساب'!$N$4:$N$203,0),0)=0,"",INDEX('كشف الحساب'!$I$4:$I$203,IFERROR(MATCH(88,'كشف الحساب'!$N$4:$N$203,0),0))),"")</f>
        <v/>
      </c>
      <c r="J92" s="74" t="str">
        <f>IFERROR(IF(IFERROR(MATCH(88,'كشف الحساب'!$N$4:$N$203,0),0)=0,"",INDEX('كشف الحساب'!$J$4:$J$203,IFERROR(MATCH(88,'كشف الحساب'!$N$4:$N$203,0),0))),"")</f>
        <v/>
      </c>
      <c r="K92" s="70" t="str">
        <f>IFERROR(IF(IFERROR(MATCH(88,'كشف الحساب'!$N$4:$N$203,0),0)=0,"",INDEX('كشف الحساب'!$K$4:$K$203,IFERROR(MATCH(88,'كشف الحساب'!$N$4:$N$203,0),0))),"")</f>
        <v/>
      </c>
    </row>
    <row r="93" spans="1:11" ht="15" customHeight="1" x14ac:dyDescent="0.25">
      <c r="A93" s="63" t="str">
        <f>IFERROR(IF(IFERROR(MATCH(89,'كشف الحساب'!$N$4:$N$203,0),0)=0,"",INDEX('كشف الحساب'!$A$4:$A$203,IFERROR(MATCH(89,'كشف الحساب'!$N$4:$N$203,0),0))),"")</f>
        <v/>
      </c>
      <c r="B93" s="64" t="str">
        <f>IFERROR(IF(IFERROR(MATCH(89,'كشف الحساب'!$N$4:$N$203,0),0)=0,"",INDEX('كشف الحساب'!$B$4:$B$203,IFERROR(MATCH(89,'كشف الحساب'!$N$4:$N$203,0),0))),"")</f>
        <v/>
      </c>
      <c r="C93" s="65" t="str">
        <f>IFERROR(IF(IFERROR(MATCH(89,'كشف الحساب'!$N$4:$N$203,0),0)=0,"",INDEX('كشف الحساب'!$C$4:$C$203,IFERROR(MATCH(89,'كشف الحساب'!$N$4:$N$203,0),0))),"")</f>
        <v/>
      </c>
      <c r="D93" s="66" t="str">
        <f>IFERROR(IF(IFERROR(MATCH(89,'كشف الحساب'!$N$4:$N$203,0),0)=0,"",INDEX('كشف الحساب'!$D$4:$D$203,IFERROR(MATCH(89,'كشف الحساب'!$N$4:$N$203,0),0))),"")</f>
        <v/>
      </c>
      <c r="E93" s="67" t="str">
        <f>IFERROR(IF(IFERROR(MATCH(89,'كشف الحساب'!$N$4:$N$203,0),0)=0,"",INDEX('كشف الحساب'!$E$4:$E$203,IFERROR(MATCH(89,'كشف الحساب'!$N$4:$N$203,0),0))),"")</f>
        <v/>
      </c>
      <c r="F93" s="64" t="str">
        <f>IFERROR(IF(IFERROR(MATCH(89,'كشف الحساب'!$N$4:$N$203,0),0)=0,"",INDEX('كشف الحساب'!$F$4:$F$203,IFERROR(MATCH(89,'كشف الحساب'!$N$4:$N$203,0),0))),"")</f>
        <v/>
      </c>
      <c r="G93" s="64" t="str">
        <f>IFERROR(IF(IFERROR(MATCH(89,'كشف الحساب'!$N$4:$N$203,0),0)=0,"",INDEX('كشف الحساب'!$G$4:$G$203,IFERROR(MATCH(89,'كشف الحساب'!$N$4:$N$203,0),0))),"")</f>
        <v/>
      </c>
      <c r="H93" s="64" t="str">
        <f>IFERROR(IF(IFERROR(MATCH(89,'كشف الحساب'!$N$4:$N$203,0),0)=0,"",INDEX('كشف الحساب'!$H$4:$H$203,IFERROR(MATCH(89,'كشف الحساب'!$N$4:$N$203,0),0))),"")</f>
        <v/>
      </c>
      <c r="I93" s="64" t="str">
        <f>IFERROR(IF(IFERROR(MATCH(89,'كشف الحساب'!$N$4:$N$203,0),0)=0,"",INDEX('كشف الحساب'!$I$4:$I$203,IFERROR(MATCH(89,'كشف الحساب'!$N$4:$N$203,0),0))),"")</f>
        <v/>
      </c>
      <c r="J93" s="68" t="str">
        <f>IFERROR(IF(IFERROR(MATCH(89,'كشف الحساب'!$N$4:$N$203,0),0)=0,"",INDEX('كشف الحساب'!$J$4:$J$203,IFERROR(MATCH(89,'كشف الحساب'!$N$4:$N$203,0),0))),"")</f>
        <v/>
      </c>
      <c r="K93" s="64" t="str">
        <f>IFERROR(IF(IFERROR(MATCH(89,'كشف الحساب'!$N$4:$N$203,0),0)=0,"",INDEX('كشف الحساب'!$K$4:$K$203,IFERROR(MATCH(89,'كشف الحساب'!$N$4:$N$203,0),0))),"")</f>
        <v/>
      </c>
    </row>
    <row r="94" spans="1:11" ht="15" customHeight="1" x14ac:dyDescent="0.25">
      <c r="A94" s="69" t="str">
        <f>IFERROR(IF(IFERROR(MATCH(90,'كشف الحساب'!$N$4:$N$203,0),0)=0,"",INDEX('كشف الحساب'!$A$4:$A$203,IFERROR(MATCH(90,'كشف الحساب'!$N$4:$N$203,0),0))),"")</f>
        <v/>
      </c>
      <c r="B94" s="70" t="str">
        <f>IFERROR(IF(IFERROR(MATCH(90,'كشف الحساب'!$N$4:$N$203,0),0)=0,"",INDEX('كشف الحساب'!$B$4:$B$203,IFERROR(MATCH(90,'كشف الحساب'!$N$4:$N$203,0),0))),"")</f>
        <v/>
      </c>
      <c r="C94" s="71" t="str">
        <f>IFERROR(IF(IFERROR(MATCH(90,'كشف الحساب'!$N$4:$N$203,0),0)=0,"",INDEX('كشف الحساب'!$C$4:$C$203,IFERROR(MATCH(90,'كشف الحساب'!$N$4:$N$203,0),0))),"")</f>
        <v/>
      </c>
      <c r="D94" s="72" t="str">
        <f>IFERROR(IF(IFERROR(MATCH(90,'كشف الحساب'!$N$4:$N$203,0),0)=0,"",INDEX('كشف الحساب'!$D$4:$D$203,IFERROR(MATCH(90,'كشف الحساب'!$N$4:$N$203,0),0))),"")</f>
        <v/>
      </c>
      <c r="E94" s="73" t="str">
        <f>IFERROR(IF(IFERROR(MATCH(90,'كشف الحساب'!$N$4:$N$203,0),0)=0,"",INDEX('كشف الحساب'!$E$4:$E$203,IFERROR(MATCH(90,'كشف الحساب'!$N$4:$N$203,0),0))),"")</f>
        <v/>
      </c>
      <c r="F94" s="70" t="str">
        <f>IFERROR(IF(IFERROR(MATCH(90,'كشف الحساب'!$N$4:$N$203,0),0)=0,"",INDEX('كشف الحساب'!$F$4:$F$203,IFERROR(MATCH(90,'كشف الحساب'!$N$4:$N$203,0),0))),"")</f>
        <v/>
      </c>
      <c r="G94" s="70" t="str">
        <f>IFERROR(IF(IFERROR(MATCH(90,'كشف الحساب'!$N$4:$N$203,0),0)=0,"",INDEX('كشف الحساب'!$G$4:$G$203,IFERROR(MATCH(90,'كشف الحساب'!$N$4:$N$203,0),0))),"")</f>
        <v/>
      </c>
      <c r="H94" s="70" t="str">
        <f>IFERROR(IF(IFERROR(MATCH(90,'كشف الحساب'!$N$4:$N$203,0),0)=0,"",INDEX('كشف الحساب'!$H$4:$H$203,IFERROR(MATCH(90,'كشف الحساب'!$N$4:$N$203,0),0))),"")</f>
        <v/>
      </c>
      <c r="I94" s="70" t="str">
        <f>IFERROR(IF(IFERROR(MATCH(90,'كشف الحساب'!$N$4:$N$203,0),0)=0,"",INDEX('كشف الحساب'!$I$4:$I$203,IFERROR(MATCH(90,'كشف الحساب'!$N$4:$N$203,0),0))),"")</f>
        <v/>
      </c>
      <c r="J94" s="74" t="str">
        <f>IFERROR(IF(IFERROR(MATCH(90,'كشف الحساب'!$N$4:$N$203,0),0)=0,"",INDEX('كشف الحساب'!$J$4:$J$203,IFERROR(MATCH(90,'كشف الحساب'!$N$4:$N$203,0),0))),"")</f>
        <v/>
      </c>
      <c r="K94" s="70" t="str">
        <f>IFERROR(IF(IFERROR(MATCH(90,'كشف الحساب'!$N$4:$N$203,0),0)=0,"",INDEX('كشف الحساب'!$K$4:$K$203,IFERROR(MATCH(90,'كشف الحساب'!$N$4:$N$203,0),0))),"")</f>
        <v/>
      </c>
    </row>
    <row r="95" spans="1:11" ht="15" customHeight="1" x14ac:dyDescent="0.25">
      <c r="A95" s="63" t="str">
        <f>IFERROR(IF(IFERROR(MATCH(91,'كشف الحساب'!$N$4:$N$203,0),0)=0,"",INDEX('كشف الحساب'!$A$4:$A$203,IFERROR(MATCH(91,'كشف الحساب'!$N$4:$N$203,0),0))),"")</f>
        <v/>
      </c>
      <c r="B95" s="64" t="str">
        <f>IFERROR(IF(IFERROR(MATCH(91,'كشف الحساب'!$N$4:$N$203,0),0)=0,"",INDEX('كشف الحساب'!$B$4:$B$203,IFERROR(MATCH(91,'كشف الحساب'!$N$4:$N$203,0),0))),"")</f>
        <v/>
      </c>
      <c r="C95" s="65" t="str">
        <f>IFERROR(IF(IFERROR(MATCH(91,'كشف الحساب'!$N$4:$N$203,0),0)=0,"",INDEX('كشف الحساب'!$C$4:$C$203,IFERROR(MATCH(91,'كشف الحساب'!$N$4:$N$203,0),0))),"")</f>
        <v/>
      </c>
      <c r="D95" s="66" t="str">
        <f>IFERROR(IF(IFERROR(MATCH(91,'كشف الحساب'!$N$4:$N$203,0),0)=0,"",INDEX('كشف الحساب'!$D$4:$D$203,IFERROR(MATCH(91,'كشف الحساب'!$N$4:$N$203,0),0))),"")</f>
        <v/>
      </c>
      <c r="E95" s="67" t="str">
        <f>IFERROR(IF(IFERROR(MATCH(91,'كشف الحساب'!$N$4:$N$203,0),0)=0,"",INDEX('كشف الحساب'!$E$4:$E$203,IFERROR(MATCH(91,'كشف الحساب'!$N$4:$N$203,0),0))),"")</f>
        <v/>
      </c>
      <c r="F95" s="64" t="str">
        <f>IFERROR(IF(IFERROR(MATCH(91,'كشف الحساب'!$N$4:$N$203,0),0)=0,"",INDEX('كشف الحساب'!$F$4:$F$203,IFERROR(MATCH(91,'كشف الحساب'!$N$4:$N$203,0),0))),"")</f>
        <v/>
      </c>
      <c r="G95" s="64" t="str">
        <f>IFERROR(IF(IFERROR(MATCH(91,'كشف الحساب'!$N$4:$N$203,0),0)=0,"",INDEX('كشف الحساب'!$G$4:$G$203,IFERROR(MATCH(91,'كشف الحساب'!$N$4:$N$203,0),0))),"")</f>
        <v/>
      </c>
      <c r="H95" s="64" t="str">
        <f>IFERROR(IF(IFERROR(MATCH(91,'كشف الحساب'!$N$4:$N$203,0),0)=0,"",INDEX('كشف الحساب'!$H$4:$H$203,IFERROR(MATCH(91,'كشف الحساب'!$N$4:$N$203,0),0))),"")</f>
        <v/>
      </c>
      <c r="I95" s="64" t="str">
        <f>IFERROR(IF(IFERROR(MATCH(91,'كشف الحساب'!$N$4:$N$203,0),0)=0,"",INDEX('كشف الحساب'!$I$4:$I$203,IFERROR(MATCH(91,'كشف الحساب'!$N$4:$N$203,0),0))),"")</f>
        <v/>
      </c>
      <c r="J95" s="68" t="str">
        <f>IFERROR(IF(IFERROR(MATCH(91,'كشف الحساب'!$N$4:$N$203,0),0)=0,"",INDEX('كشف الحساب'!$J$4:$J$203,IFERROR(MATCH(91,'كشف الحساب'!$N$4:$N$203,0),0))),"")</f>
        <v/>
      </c>
      <c r="K95" s="64" t="str">
        <f>IFERROR(IF(IFERROR(MATCH(91,'كشف الحساب'!$N$4:$N$203,0),0)=0,"",INDEX('كشف الحساب'!$K$4:$K$203,IFERROR(MATCH(91,'كشف الحساب'!$N$4:$N$203,0),0))),"")</f>
        <v/>
      </c>
    </row>
    <row r="96" spans="1:11" ht="15" customHeight="1" x14ac:dyDescent="0.25">
      <c r="A96" s="69" t="str">
        <f>IFERROR(IF(IFERROR(MATCH(92,'كشف الحساب'!$N$4:$N$203,0),0)=0,"",INDEX('كشف الحساب'!$A$4:$A$203,IFERROR(MATCH(92,'كشف الحساب'!$N$4:$N$203,0),0))),"")</f>
        <v/>
      </c>
      <c r="B96" s="70" t="str">
        <f>IFERROR(IF(IFERROR(MATCH(92,'كشف الحساب'!$N$4:$N$203,0),0)=0,"",INDEX('كشف الحساب'!$B$4:$B$203,IFERROR(MATCH(92,'كشف الحساب'!$N$4:$N$203,0),0))),"")</f>
        <v/>
      </c>
      <c r="C96" s="71" t="str">
        <f>IFERROR(IF(IFERROR(MATCH(92,'كشف الحساب'!$N$4:$N$203,0),0)=0,"",INDEX('كشف الحساب'!$C$4:$C$203,IFERROR(MATCH(92,'كشف الحساب'!$N$4:$N$203,0),0))),"")</f>
        <v/>
      </c>
      <c r="D96" s="72" t="str">
        <f>IFERROR(IF(IFERROR(MATCH(92,'كشف الحساب'!$N$4:$N$203,0),0)=0,"",INDEX('كشف الحساب'!$D$4:$D$203,IFERROR(MATCH(92,'كشف الحساب'!$N$4:$N$203,0),0))),"")</f>
        <v/>
      </c>
      <c r="E96" s="73" t="str">
        <f>IFERROR(IF(IFERROR(MATCH(92,'كشف الحساب'!$N$4:$N$203,0),0)=0,"",INDEX('كشف الحساب'!$E$4:$E$203,IFERROR(MATCH(92,'كشف الحساب'!$N$4:$N$203,0),0))),"")</f>
        <v/>
      </c>
      <c r="F96" s="70" t="str">
        <f>IFERROR(IF(IFERROR(MATCH(92,'كشف الحساب'!$N$4:$N$203,0),0)=0,"",INDEX('كشف الحساب'!$F$4:$F$203,IFERROR(MATCH(92,'كشف الحساب'!$N$4:$N$203,0),0))),"")</f>
        <v/>
      </c>
      <c r="G96" s="70" t="str">
        <f>IFERROR(IF(IFERROR(MATCH(92,'كشف الحساب'!$N$4:$N$203,0),0)=0,"",INDEX('كشف الحساب'!$G$4:$G$203,IFERROR(MATCH(92,'كشف الحساب'!$N$4:$N$203,0),0))),"")</f>
        <v/>
      </c>
      <c r="H96" s="70" t="str">
        <f>IFERROR(IF(IFERROR(MATCH(92,'كشف الحساب'!$N$4:$N$203,0),0)=0,"",INDEX('كشف الحساب'!$H$4:$H$203,IFERROR(MATCH(92,'كشف الحساب'!$N$4:$N$203,0),0))),"")</f>
        <v/>
      </c>
      <c r="I96" s="70" t="str">
        <f>IFERROR(IF(IFERROR(MATCH(92,'كشف الحساب'!$N$4:$N$203,0),0)=0,"",INDEX('كشف الحساب'!$I$4:$I$203,IFERROR(MATCH(92,'كشف الحساب'!$N$4:$N$203,0),0))),"")</f>
        <v/>
      </c>
      <c r="J96" s="74" t="str">
        <f>IFERROR(IF(IFERROR(MATCH(92,'كشف الحساب'!$N$4:$N$203,0),0)=0,"",INDEX('كشف الحساب'!$J$4:$J$203,IFERROR(MATCH(92,'كشف الحساب'!$N$4:$N$203,0),0))),"")</f>
        <v/>
      </c>
      <c r="K96" s="70" t="str">
        <f>IFERROR(IF(IFERROR(MATCH(92,'كشف الحساب'!$N$4:$N$203,0),0)=0,"",INDEX('كشف الحساب'!$K$4:$K$203,IFERROR(MATCH(92,'كشف الحساب'!$N$4:$N$203,0),0))),"")</f>
        <v/>
      </c>
    </row>
    <row r="97" spans="1:11" ht="15" customHeight="1" x14ac:dyDescent="0.25">
      <c r="A97" s="63" t="str">
        <f>IFERROR(IF(IFERROR(MATCH(93,'كشف الحساب'!$N$4:$N$203,0),0)=0,"",INDEX('كشف الحساب'!$A$4:$A$203,IFERROR(MATCH(93,'كشف الحساب'!$N$4:$N$203,0),0))),"")</f>
        <v/>
      </c>
      <c r="B97" s="64" t="str">
        <f>IFERROR(IF(IFERROR(MATCH(93,'كشف الحساب'!$N$4:$N$203,0),0)=0,"",INDEX('كشف الحساب'!$B$4:$B$203,IFERROR(MATCH(93,'كشف الحساب'!$N$4:$N$203,0),0))),"")</f>
        <v/>
      </c>
      <c r="C97" s="65" t="str">
        <f>IFERROR(IF(IFERROR(MATCH(93,'كشف الحساب'!$N$4:$N$203,0),0)=0,"",INDEX('كشف الحساب'!$C$4:$C$203,IFERROR(MATCH(93,'كشف الحساب'!$N$4:$N$203,0),0))),"")</f>
        <v/>
      </c>
      <c r="D97" s="66" t="str">
        <f>IFERROR(IF(IFERROR(MATCH(93,'كشف الحساب'!$N$4:$N$203,0),0)=0,"",INDEX('كشف الحساب'!$D$4:$D$203,IFERROR(MATCH(93,'كشف الحساب'!$N$4:$N$203,0),0))),"")</f>
        <v/>
      </c>
      <c r="E97" s="67" t="str">
        <f>IFERROR(IF(IFERROR(MATCH(93,'كشف الحساب'!$N$4:$N$203,0),0)=0,"",INDEX('كشف الحساب'!$E$4:$E$203,IFERROR(MATCH(93,'كشف الحساب'!$N$4:$N$203,0),0))),"")</f>
        <v/>
      </c>
      <c r="F97" s="64" t="str">
        <f>IFERROR(IF(IFERROR(MATCH(93,'كشف الحساب'!$N$4:$N$203,0),0)=0,"",INDEX('كشف الحساب'!$F$4:$F$203,IFERROR(MATCH(93,'كشف الحساب'!$N$4:$N$203,0),0))),"")</f>
        <v/>
      </c>
      <c r="G97" s="64" t="str">
        <f>IFERROR(IF(IFERROR(MATCH(93,'كشف الحساب'!$N$4:$N$203,0),0)=0,"",INDEX('كشف الحساب'!$G$4:$G$203,IFERROR(MATCH(93,'كشف الحساب'!$N$4:$N$203,0),0))),"")</f>
        <v/>
      </c>
      <c r="H97" s="64" t="str">
        <f>IFERROR(IF(IFERROR(MATCH(93,'كشف الحساب'!$N$4:$N$203,0),0)=0,"",INDEX('كشف الحساب'!$H$4:$H$203,IFERROR(MATCH(93,'كشف الحساب'!$N$4:$N$203,0),0))),"")</f>
        <v/>
      </c>
      <c r="I97" s="64" t="str">
        <f>IFERROR(IF(IFERROR(MATCH(93,'كشف الحساب'!$N$4:$N$203,0),0)=0,"",INDEX('كشف الحساب'!$I$4:$I$203,IFERROR(MATCH(93,'كشف الحساب'!$N$4:$N$203,0),0))),"")</f>
        <v/>
      </c>
      <c r="J97" s="68" t="str">
        <f>IFERROR(IF(IFERROR(MATCH(93,'كشف الحساب'!$N$4:$N$203,0),0)=0,"",INDEX('كشف الحساب'!$J$4:$J$203,IFERROR(MATCH(93,'كشف الحساب'!$N$4:$N$203,0),0))),"")</f>
        <v/>
      </c>
      <c r="K97" s="64" t="str">
        <f>IFERROR(IF(IFERROR(MATCH(93,'كشف الحساب'!$N$4:$N$203,0),0)=0,"",INDEX('كشف الحساب'!$K$4:$K$203,IFERROR(MATCH(93,'كشف الحساب'!$N$4:$N$203,0),0))),"")</f>
        <v/>
      </c>
    </row>
    <row r="98" spans="1:11" ht="15" customHeight="1" x14ac:dyDescent="0.25">
      <c r="A98" s="69" t="str">
        <f>IFERROR(IF(IFERROR(MATCH(94,'كشف الحساب'!$N$4:$N$203,0),0)=0,"",INDEX('كشف الحساب'!$A$4:$A$203,IFERROR(MATCH(94,'كشف الحساب'!$N$4:$N$203,0),0))),"")</f>
        <v/>
      </c>
      <c r="B98" s="70" t="str">
        <f>IFERROR(IF(IFERROR(MATCH(94,'كشف الحساب'!$N$4:$N$203,0),0)=0,"",INDEX('كشف الحساب'!$B$4:$B$203,IFERROR(MATCH(94,'كشف الحساب'!$N$4:$N$203,0),0))),"")</f>
        <v/>
      </c>
      <c r="C98" s="71" t="str">
        <f>IFERROR(IF(IFERROR(MATCH(94,'كشف الحساب'!$N$4:$N$203,0),0)=0,"",INDEX('كشف الحساب'!$C$4:$C$203,IFERROR(MATCH(94,'كشف الحساب'!$N$4:$N$203,0),0))),"")</f>
        <v/>
      </c>
      <c r="D98" s="72" t="str">
        <f>IFERROR(IF(IFERROR(MATCH(94,'كشف الحساب'!$N$4:$N$203,0),0)=0,"",INDEX('كشف الحساب'!$D$4:$D$203,IFERROR(MATCH(94,'كشف الحساب'!$N$4:$N$203,0),0))),"")</f>
        <v/>
      </c>
      <c r="E98" s="73" t="str">
        <f>IFERROR(IF(IFERROR(MATCH(94,'كشف الحساب'!$N$4:$N$203,0),0)=0,"",INDEX('كشف الحساب'!$E$4:$E$203,IFERROR(MATCH(94,'كشف الحساب'!$N$4:$N$203,0),0))),"")</f>
        <v/>
      </c>
      <c r="F98" s="70" t="str">
        <f>IFERROR(IF(IFERROR(MATCH(94,'كشف الحساب'!$N$4:$N$203,0),0)=0,"",INDEX('كشف الحساب'!$F$4:$F$203,IFERROR(MATCH(94,'كشف الحساب'!$N$4:$N$203,0),0))),"")</f>
        <v/>
      </c>
      <c r="G98" s="70" t="str">
        <f>IFERROR(IF(IFERROR(MATCH(94,'كشف الحساب'!$N$4:$N$203,0),0)=0,"",INDEX('كشف الحساب'!$G$4:$G$203,IFERROR(MATCH(94,'كشف الحساب'!$N$4:$N$203,0),0))),"")</f>
        <v/>
      </c>
      <c r="H98" s="70" t="str">
        <f>IFERROR(IF(IFERROR(MATCH(94,'كشف الحساب'!$N$4:$N$203,0),0)=0,"",INDEX('كشف الحساب'!$H$4:$H$203,IFERROR(MATCH(94,'كشف الحساب'!$N$4:$N$203,0),0))),"")</f>
        <v/>
      </c>
      <c r="I98" s="70" t="str">
        <f>IFERROR(IF(IFERROR(MATCH(94,'كشف الحساب'!$N$4:$N$203,0),0)=0,"",INDEX('كشف الحساب'!$I$4:$I$203,IFERROR(MATCH(94,'كشف الحساب'!$N$4:$N$203,0),0))),"")</f>
        <v/>
      </c>
      <c r="J98" s="74" t="str">
        <f>IFERROR(IF(IFERROR(MATCH(94,'كشف الحساب'!$N$4:$N$203,0),0)=0,"",INDEX('كشف الحساب'!$J$4:$J$203,IFERROR(MATCH(94,'كشف الحساب'!$N$4:$N$203,0),0))),"")</f>
        <v/>
      </c>
      <c r="K98" s="70" t="str">
        <f>IFERROR(IF(IFERROR(MATCH(94,'كشف الحساب'!$N$4:$N$203,0),0)=0,"",INDEX('كشف الحساب'!$K$4:$K$203,IFERROR(MATCH(94,'كشف الحساب'!$N$4:$N$203,0),0))),"")</f>
        <v/>
      </c>
    </row>
    <row r="99" spans="1:11" ht="15" customHeight="1" x14ac:dyDescent="0.25">
      <c r="A99" s="63" t="str">
        <f>IFERROR(IF(IFERROR(MATCH(95,'كشف الحساب'!$N$4:$N$203,0),0)=0,"",INDEX('كشف الحساب'!$A$4:$A$203,IFERROR(MATCH(95,'كشف الحساب'!$N$4:$N$203,0),0))),"")</f>
        <v/>
      </c>
      <c r="B99" s="64" t="str">
        <f>IFERROR(IF(IFERROR(MATCH(95,'كشف الحساب'!$N$4:$N$203,0),0)=0,"",INDEX('كشف الحساب'!$B$4:$B$203,IFERROR(MATCH(95,'كشف الحساب'!$N$4:$N$203,0),0))),"")</f>
        <v/>
      </c>
      <c r="C99" s="65" t="str">
        <f>IFERROR(IF(IFERROR(MATCH(95,'كشف الحساب'!$N$4:$N$203,0),0)=0,"",INDEX('كشف الحساب'!$C$4:$C$203,IFERROR(MATCH(95,'كشف الحساب'!$N$4:$N$203,0),0))),"")</f>
        <v/>
      </c>
      <c r="D99" s="66" t="str">
        <f>IFERROR(IF(IFERROR(MATCH(95,'كشف الحساب'!$N$4:$N$203,0),0)=0,"",INDEX('كشف الحساب'!$D$4:$D$203,IFERROR(MATCH(95,'كشف الحساب'!$N$4:$N$203,0),0))),"")</f>
        <v/>
      </c>
      <c r="E99" s="67" t="str">
        <f>IFERROR(IF(IFERROR(MATCH(95,'كشف الحساب'!$N$4:$N$203,0),0)=0,"",INDEX('كشف الحساب'!$E$4:$E$203,IFERROR(MATCH(95,'كشف الحساب'!$N$4:$N$203,0),0))),"")</f>
        <v/>
      </c>
      <c r="F99" s="64" t="str">
        <f>IFERROR(IF(IFERROR(MATCH(95,'كشف الحساب'!$N$4:$N$203,0),0)=0,"",INDEX('كشف الحساب'!$F$4:$F$203,IFERROR(MATCH(95,'كشف الحساب'!$N$4:$N$203,0),0))),"")</f>
        <v/>
      </c>
      <c r="G99" s="64" t="str">
        <f>IFERROR(IF(IFERROR(MATCH(95,'كشف الحساب'!$N$4:$N$203,0),0)=0,"",INDEX('كشف الحساب'!$G$4:$G$203,IFERROR(MATCH(95,'كشف الحساب'!$N$4:$N$203,0),0))),"")</f>
        <v/>
      </c>
      <c r="H99" s="64" t="str">
        <f>IFERROR(IF(IFERROR(MATCH(95,'كشف الحساب'!$N$4:$N$203,0),0)=0,"",INDEX('كشف الحساب'!$H$4:$H$203,IFERROR(MATCH(95,'كشف الحساب'!$N$4:$N$203,0),0))),"")</f>
        <v/>
      </c>
      <c r="I99" s="64" t="str">
        <f>IFERROR(IF(IFERROR(MATCH(95,'كشف الحساب'!$N$4:$N$203,0),0)=0,"",INDEX('كشف الحساب'!$I$4:$I$203,IFERROR(MATCH(95,'كشف الحساب'!$N$4:$N$203,0),0))),"")</f>
        <v/>
      </c>
      <c r="J99" s="68" t="str">
        <f>IFERROR(IF(IFERROR(MATCH(95,'كشف الحساب'!$N$4:$N$203,0),0)=0,"",INDEX('كشف الحساب'!$J$4:$J$203,IFERROR(MATCH(95,'كشف الحساب'!$N$4:$N$203,0),0))),"")</f>
        <v/>
      </c>
      <c r="K99" s="64" t="str">
        <f>IFERROR(IF(IFERROR(MATCH(95,'كشف الحساب'!$N$4:$N$203,0),0)=0,"",INDEX('كشف الحساب'!$K$4:$K$203,IFERROR(MATCH(95,'كشف الحساب'!$N$4:$N$203,0),0))),"")</f>
        <v/>
      </c>
    </row>
    <row r="100" spans="1:11" ht="15" customHeight="1" x14ac:dyDescent="0.25">
      <c r="A100" s="69" t="str">
        <f>IFERROR(IF(IFERROR(MATCH(96,'كشف الحساب'!$N$4:$N$203,0),0)=0,"",INDEX('كشف الحساب'!$A$4:$A$203,IFERROR(MATCH(96,'كشف الحساب'!$N$4:$N$203,0),0))),"")</f>
        <v/>
      </c>
      <c r="B100" s="70" t="str">
        <f>IFERROR(IF(IFERROR(MATCH(96,'كشف الحساب'!$N$4:$N$203,0),0)=0,"",INDEX('كشف الحساب'!$B$4:$B$203,IFERROR(MATCH(96,'كشف الحساب'!$N$4:$N$203,0),0))),"")</f>
        <v/>
      </c>
      <c r="C100" s="71" t="str">
        <f>IFERROR(IF(IFERROR(MATCH(96,'كشف الحساب'!$N$4:$N$203,0),0)=0,"",INDEX('كشف الحساب'!$C$4:$C$203,IFERROR(MATCH(96,'كشف الحساب'!$N$4:$N$203,0),0))),"")</f>
        <v/>
      </c>
      <c r="D100" s="72" t="str">
        <f>IFERROR(IF(IFERROR(MATCH(96,'كشف الحساب'!$N$4:$N$203,0),0)=0,"",INDEX('كشف الحساب'!$D$4:$D$203,IFERROR(MATCH(96,'كشف الحساب'!$N$4:$N$203,0),0))),"")</f>
        <v/>
      </c>
      <c r="E100" s="73" t="str">
        <f>IFERROR(IF(IFERROR(MATCH(96,'كشف الحساب'!$N$4:$N$203,0),0)=0,"",INDEX('كشف الحساب'!$E$4:$E$203,IFERROR(MATCH(96,'كشف الحساب'!$N$4:$N$203,0),0))),"")</f>
        <v/>
      </c>
      <c r="F100" s="70" t="str">
        <f>IFERROR(IF(IFERROR(MATCH(96,'كشف الحساب'!$N$4:$N$203,0),0)=0,"",INDEX('كشف الحساب'!$F$4:$F$203,IFERROR(MATCH(96,'كشف الحساب'!$N$4:$N$203,0),0))),"")</f>
        <v/>
      </c>
      <c r="G100" s="70" t="str">
        <f>IFERROR(IF(IFERROR(MATCH(96,'كشف الحساب'!$N$4:$N$203,0),0)=0,"",INDEX('كشف الحساب'!$G$4:$G$203,IFERROR(MATCH(96,'كشف الحساب'!$N$4:$N$203,0),0))),"")</f>
        <v/>
      </c>
      <c r="H100" s="70" t="str">
        <f>IFERROR(IF(IFERROR(MATCH(96,'كشف الحساب'!$N$4:$N$203,0),0)=0,"",INDEX('كشف الحساب'!$H$4:$H$203,IFERROR(MATCH(96,'كشف الحساب'!$N$4:$N$203,0),0))),"")</f>
        <v/>
      </c>
      <c r="I100" s="70" t="str">
        <f>IFERROR(IF(IFERROR(MATCH(96,'كشف الحساب'!$N$4:$N$203,0),0)=0,"",INDEX('كشف الحساب'!$I$4:$I$203,IFERROR(MATCH(96,'كشف الحساب'!$N$4:$N$203,0),0))),"")</f>
        <v/>
      </c>
      <c r="J100" s="74" t="str">
        <f>IFERROR(IF(IFERROR(MATCH(96,'كشف الحساب'!$N$4:$N$203,0),0)=0,"",INDEX('كشف الحساب'!$J$4:$J$203,IFERROR(MATCH(96,'كشف الحساب'!$N$4:$N$203,0),0))),"")</f>
        <v/>
      </c>
      <c r="K100" s="70" t="str">
        <f>IFERROR(IF(IFERROR(MATCH(96,'كشف الحساب'!$N$4:$N$203,0),0)=0,"",INDEX('كشف الحساب'!$K$4:$K$203,IFERROR(MATCH(96,'كشف الحساب'!$N$4:$N$203,0),0))),"")</f>
        <v/>
      </c>
    </row>
    <row r="101" spans="1:11" ht="15" customHeight="1" x14ac:dyDescent="0.25">
      <c r="A101" s="63" t="str">
        <f>IFERROR(IF(IFERROR(MATCH(97,'كشف الحساب'!$N$4:$N$203,0),0)=0,"",INDEX('كشف الحساب'!$A$4:$A$203,IFERROR(MATCH(97,'كشف الحساب'!$N$4:$N$203,0),0))),"")</f>
        <v/>
      </c>
      <c r="B101" s="64" t="str">
        <f>IFERROR(IF(IFERROR(MATCH(97,'كشف الحساب'!$N$4:$N$203,0),0)=0,"",INDEX('كشف الحساب'!$B$4:$B$203,IFERROR(MATCH(97,'كشف الحساب'!$N$4:$N$203,0),0))),"")</f>
        <v/>
      </c>
      <c r="C101" s="65" t="str">
        <f>IFERROR(IF(IFERROR(MATCH(97,'كشف الحساب'!$N$4:$N$203,0),0)=0,"",INDEX('كشف الحساب'!$C$4:$C$203,IFERROR(MATCH(97,'كشف الحساب'!$N$4:$N$203,0),0))),"")</f>
        <v/>
      </c>
      <c r="D101" s="66" t="str">
        <f>IFERROR(IF(IFERROR(MATCH(97,'كشف الحساب'!$N$4:$N$203,0),0)=0,"",INDEX('كشف الحساب'!$D$4:$D$203,IFERROR(MATCH(97,'كشف الحساب'!$N$4:$N$203,0),0))),"")</f>
        <v/>
      </c>
      <c r="E101" s="67" t="str">
        <f>IFERROR(IF(IFERROR(MATCH(97,'كشف الحساب'!$N$4:$N$203,0),0)=0,"",INDEX('كشف الحساب'!$E$4:$E$203,IFERROR(MATCH(97,'كشف الحساب'!$N$4:$N$203,0),0))),"")</f>
        <v/>
      </c>
      <c r="F101" s="64" t="str">
        <f>IFERROR(IF(IFERROR(MATCH(97,'كشف الحساب'!$N$4:$N$203,0),0)=0,"",INDEX('كشف الحساب'!$F$4:$F$203,IFERROR(MATCH(97,'كشف الحساب'!$N$4:$N$203,0),0))),"")</f>
        <v/>
      </c>
      <c r="G101" s="64" t="str">
        <f>IFERROR(IF(IFERROR(MATCH(97,'كشف الحساب'!$N$4:$N$203,0),0)=0,"",INDEX('كشف الحساب'!$G$4:$G$203,IFERROR(MATCH(97,'كشف الحساب'!$N$4:$N$203,0),0))),"")</f>
        <v/>
      </c>
      <c r="H101" s="64" t="str">
        <f>IFERROR(IF(IFERROR(MATCH(97,'كشف الحساب'!$N$4:$N$203,0),0)=0,"",INDEX('كشف الحساب'!$H$4:$H$203,IFERROR(MATCH(97,'كشف الحساب'!$N$4:$N$203,0),0))),"")</f>
        <v/>
      </c>
      <c r="I101" s="64" t="str">
        <f>IFERROR(IF(IFERROR(MATCH(97,'كشف الحساب'!$N$4:$N$203,0),0)=0,"",INDEX('كشف الحساب'!$I$4:$I$203,IFERROR(MATCH(97,'كشف الحساب'!$N$4:$N$203,0),0))),"")</f>
        <v/>
      </c>
      <c r="J101" s="68" t="str">
        <f>IFERROR(IF(IFERROR(MATCH(97,'كشف الحساب'!$N$4:$N$203,0),0)=0,"",INDEX('كشف الحساب'!$J$4:$J$203,IFERROR(MATCH(97,'كشف الحساب'!$N$4:$N$203,0),0))),"")</f>
        <v/>
      </c>
      <c r="K101" s="64" t="str">
        <f>IFERROR(IF(IFERROR(MATCH(97,'كشف الحساب'!$N$4:$N$203,0),0)=0,"",INDEX('كشف الحساب'!$K$4:$K$203,IFERROR(MATCH(97,'كشف الحساب'!$N$4:$N$203,0),0))),"")</f>
        <v/>
      </c>
    </row>
    <row r="102" spans="1:11" ht="15" customHeight="1" x14ac:dyDescent="0.25">
      <c r="A102" s="69" t="str">
        <f>IFERROR(IF(IFERROR(MATCH(98,'كشف الحساب'!$N$4:$N$203,0),0)=0,"",INDEX('كشف الحساب'!$A$4:$A$203,IFERROR(MATCH(98,'كشف الحساب'!$N$4:$N$203,0),0))),"")</f>
        <v/>
      </c>
      <c r="B102" s="70" t="str">
        <f>IFERROR(IF(IFERROR(MATCH(98,'كشف الحساب'!$N$4:$N$203,0),0)=0,"",INDEX('كشف الحساب'!$B$4:$B$203,IFERROR(MATCH(98,'كشف الحساب'!$N$4:$N$203,0),0))),"")</f>
        <v/>
      </c>
      <c r="C102" s="71" t="str">
        <f>IFERROR(IF(IFERROR(MATCH(98,'كشف الحساب'!$N$4:$N$203,0),0)=0,"",INDEX('كشف الحساب'!$C$4:$C$203,IFERROR(MATCH(98,'كشف الحساب'!$N$4:$N$203,0),0))),"")</f>
        <v/>
      </c>
      <c r="D102" s="72" t="str">
        <f>IFERROR(IF(IFERROR(MATCH(98,'كشف الحساب'!$N$4:$N$203,0),0)=0,"",INDEX('كشف الحساب'!$D$4:$D$203,IFERROR(MATCH(98,'كشف الحساب'!$N$4:$N$203,0),0))),"")</f>
        <v/>
      </c>
      <c r="E102" s="73" t="str">
        <f>IFERROR(IF(IFERROR(MATCH(98,'كشف الحساب'!$N$4:$N$203,0),0)=0,"",INDEX('كشف الحساب'!$E$4:$E$203,IFERROR(MATCH(98,'كشف الحساب'!$N$4:$N$203,0),0))),"")</f>
        <v/>
      </c>
      <c r="F102" s="70" t="str">
        <f>IFERROR(IF(IFERROR(MATCH(98,'كشف الحساب'!$N$4:$N$203,0),0)=0,"",INDEX('كشف الحساب'!$F$4:$F$203,IFERROR(MATCH(98,'كشف الحساب'!$N$4:$N$203,0),0))),"")</f>
        <v/>
      </c>
      <c r="G102" s="70" t="str">
        <f>IFERROR(IF(IFERROR(MATCH(98,'كشف الحساب'!$N$4:$N$203,0),0)=0,"",INDEX('كشف الحساب'!$G$4:$G$203,IFERROR(MATCH(98,'كشف الحساب'!$N$4:$N$203,0),0))),"")</f>
        <v/>
      </c>
      <c r="H102" s="70" t="str">
        <f>IFERROR(IF(IFERROR(MATCH(98,'كشف الحساب'!$N$4:$N$203,0),0)=0,"",INDEX('كشف الحساب'!$H$4:$H$203,IFERROR(MATCH(98,'كشف الحساب'!$N$4:$N$203,0),0))),"")</f>
        <v/>
      </c>
      <c r="I102" s="70" t="str">
        <f>IFERROR(IF(IFERROR(MATCH(98,'كشف الحساب'!$N$4:$N$203,0),0)=0,"",INDEX('كشف الحساب'!$I$4:$I$203,IFERROR(MATCH(98,'كشف الحساب'!$N$4:$N$203,0),0))),"")</f>
        <v/>
      </c>
      <c r="J102" s="74" t="str">
        <f>IFERROR(IF(IFERROR(MATCH(98,'كشف الحساب'!$N$4:$N$203,0),0)=0,"",INDEX('كشف الحساب'!$J$4:$J$203,IFERROR(MATCH(98,'كشف الحساب'!$N$4:$N$203,0),0))),"")</f>
        <v/>
      </c>
      <c r="K102" s="70" t="str">
        <f>IFERROR(IF(IFERROR(MATCH(98,'كشف الحساب'!$N$4:$N$203,0),0)=0,"",INDEX('كشف الحساب'!$K$4:$K$203,IFERROR(MATCH(98,'كشف الحساب'!$N$4:$N$203,0),0))),"")</f>
        <v/>
      </c>
    </row>
    <row r="103" spans="1:11" ht="15" customHeight="1" x14ac:dyDescent="0.25">
      <c r="A103" s="63" t="str">
        <f>IFERROR(IF(IFERROR(MATCH(99,'كشف الحساب'!$N$4:$N$203,0),0)=0,"",INDEX('كشف الحساب'!$A$4:$A$203,IFERROR(MATCH(99,'كشف الحساب'!$N$4:$N$203,0),0))),"")</f>
        <v/>
      </c>
      <c r="B103" s="64" t="str">
        <f>IFERROR(IF(IFERROR(MATCH(99,'كشف الحساب'!$N$4:$N$203,0),0)=0,"",INDEX('كشف الحساب'!$B$4:$B$203,IFERROR(MATCH(99,'كشف الحساب'!$N$4:$N$203,0),0))),"")</f>
        <v/>
      </c>
      <c r="C103" s="65" t="str">
        <f>IFERROR(IF(IFERROR(MATCH(99,'كشف الحساب'!$N$4:$N$203,0),0)=0,"",INDEX('كشف الحساب'!$C$4:$C$203,IFERROR(MATCH(99,'كشف الحساب'!$N$4:$N$203,0),0))),"")</f>
        <v/>
      </c>
      <c r="D103" s="66" t="str">
        <f>IFERROR(IF(IFERROR(MATCH(99,'كشف الحساب'!$N$4:$N$203,0),0)=0,"",INDEX('كشف الحساب'!$D$4:$D$203,IFERROR(MATCH(99,'كشف الحساب'!$N$4:$N$203,0),0))),"")</f>
        <v/>
      </c>
      <c r="E103" s="67" t="str">
        <f>IFERROR(IF(IFERROR(MATCH(99,'كشف الحساب'!$N$4:$N$203,0),0)=0,"",INDEX('كشف الحساب'!$E$4:$E$203,IFERROR(MATCH(99,'كشف الحساب'!$N$4:$N$203,0),0))),"")</f>
        <v/>
      </c>
      <c r="F103" s="64" t="str">
        <f>IFERROR(IF(IFERROR(MATCH(99,'كشف الحساب'!$N$4:$N$203,0),0)=0,"",INDEX('كشف الحساب'!$F$4:$F$203,IFERROR(MATCH(99,'كشف الحساب'!$N$4:$N$203,0),0))),"")</f>
        <v/>
      </c>
      <c r="G103" s="64" t="str">
        <f>IFERROR(IF(IFERROR(MATCH(99,'كشف الحساب'!$N$4:$N$203,0),0)=0,"",INDEX('كشف الحساب'!$G$4:$G$203,IFERROR(MATCH(99,'كشف الحساب'!$N$4:$N$203,0),0))),"")</f>
        <v/>
      </c>
      <c r="H103" s="64" t="str">
        <f>IFERROR(IF(IFERROR(MATCH(99,'كشف الحساب'!$N$4:$N$203,0),0)=0,"",INDEX('كشف الحساب'!$H$4:$H$203,IFERROR(MATCH(99,'كشف الحساب'!$N$4:$N$203,0),0))),"")</f>
        <v/>
      </c>
      <c r="I103" s="64" t="str">
        <f>IFERROR(IF(IFERROR(MATCH(99,'كشف الحساب'!$N$4:$N$203,0),0)=0,"",INDEX('كشف الحساب'!$I$4:$I$203,IFERROR(MATCH(99,'كشف الحساب'!$N$4:$N$203,0),0))),"")</f>
        <v/>
      </c>
      <c r="J103" s="68" t="str">
        <f>IFERROR(IF(IFERROR(MATCH(99,'كشف الحساب'!$N$4:$N$203,0),0)=0,"",INDEX('كشف الحساب'!$J$4:$J$203,IFERROR(MATCH(99,'كشف الحساب'!$N$4:$N$203,0),0))),"")</f>
        <v/>
      </c>
      <c r="K103" s="64" t="str">
        <f>IFERROR(IF(IFERROR(MATCH(99,'كشف الحساب'!$N$4:$N$203,0),0)=0,"",INDEX('كشف الحساب'!$K$4:$K$203,IFERROR(MATCH(99,'كشف الحساب'!$N$4:$N$203,0),0))),"")</f>
        <v/>
      </c>
    </row>
    <row r="104" spans="1:11" ht="15" customHeight="1" x14ac:dyDescent="0.25">
      <c r="A104" s="69" t="str">
        <f>IFERROR(IF(IFERROR(MATCH(100,'كشف الحساب'!$N$4:$N$203,0),0)=0,"",INDEX('كشف الحساب'!$A$4:$A$203,IFERROR(MATCH(100,'كشف الحساب'!$N$4:$N$203,0),0))),"")</f>
        <v/>
      </c>
      <c r="B104" s="70" t="str">
        <f>IFERROR(IF(IFERROR(MATCH(100,'كشف الحساب'!$N$4:$N$203,0),0)=0,"",INDEX('كشف الحساب'!$B$4:$B$203,IFERROR(MATCH(100,'كشف الحساب'!$N$4:$N$203,0),0))),"")</f>
        <v/>
      </c>
      <c r="C104" s="71" t="str">
        <f>IFERROR(IF(IFERROR(MATCH(100,'كشف الحساب'!$N$4:$N$203,0),0)=0,"",INDEX('كشف الحساب'!$C$4:$C$203,IFERROR(MATCH(100,'كشف الحساب'!$N$4:$N$203,0),0))),"")</f>
        <v/>
      </c>
      <c r="D104" s="72" t="str">
        <f>IFERROR(IF(IFERROR(MATCH(100,'كشف الحساب'!$N$4:$N$203,0),0)=0,"",INDEX('كشف الحساب'!$D$4:$D$203,IFERROR(MATCH(100,'كشف الحساب'!$N$4:$N$203,0),0))),"")</f>
        <v/>
      </c>
      <c r="E104" s="73" t="str">
        <f>IFERROR(IF(IFERROR(MATCH(100,'كشف الحساب'!$N$4:$N$203,0),0)=0,"",INDEX('كشف الحساب'!$E$4:$E$203,IFERROR(MATCH(100,'كشف الحساب'!$N$4:$N$203,0),0))),"")</f>
        <v/>
      </c>
      <c r="F104" s="70" t="str">
        <f>IFERROR(IF(IFERROR(MATCH(100,'كشف الحساب'!$N$4:$N$203,0),0)=0,"",INDEX('كشف الحساب'!$F$4:$F$203,IFERROR(MATCH(100,'كشف الحساب'!$N$4:$N$203,0),0))),"")</f>
        <v/>
      </c>
      <c r="G104" s="70" t="str">
        <f>IFERROR(IF(IFERROR(MATCH(100,'كشف الحساب'!$N$4:$N$203,0),0)=0,"",INDEX('كشف الحساب'!$G$4:$G$203,IFERROR(MATCH(100,'كشف الحساب'!$N$4:$N$203,0),0))),"")</f>
        <v/>
      </c>
      <c r="H104" s="70" t="str">
        <f>IFERROR(IF(IFERROR(MATCH(100,'كشف الحساب'!$N$4:$N$203,0),0)=0,"",INDEX('كشف الحساب'!$H$4:$H$203,IFERROR(MATCH(100,'كشف الحساب'!$N$4:$N$203,0),0))),"")</f>
        <v/>
      </c>
      <c r="I104" s="70" t="str">
        <f>IFERROR(IF(IFERROR(MATCH(100,'كشف الحساب'!$N$4:$N$203,0),0)=0,"",INDEX('كشف الحساب'!$I$4:$I$203,IFERROR(MATCH(100,'كشف الحساب'!$N$4:$N$203,0),0))),"")</f>
        <v/>
      </c>
      <c r="J104" s="74" t="str">
        <f>IFERROR(IF(IFERROR(MATCH(100,'كشف الحساب'!$N$4:$N$203,0),0)=0,"",INDEX('كشف الحساب'!$J$4:$J$203,IFERROR(MATCH(100,'كشف الحساب'!$N$4:$N$203,0),0))),"")</f>
        <v/>
      </c>
      <c r="K104" s="70" t="str">
        <f>IFERROR(IF(IFERROR(MATCH(100,'كشف الحساب'!$N$4:$N$203,0),0)=0,"",INDEX('كشف الحساب'!$K$4:$K$203,IFERROR(MATCH(100,'كشف الحساب'!$N$4:$N$203,0),0))),"")</f>
        <v/>
      </c>
    </row>
    <row r="105" spans="1:11" ht="15" customHeight="1" x14ac:dyDescent="0.25">
      <c r="A105" s="63" t="str">
        <f>IFERROR(IF(IFERROR(MATCH(101,'كشف الحساب'!$N$4:$N$203,0),0)=0,"",INDEX('كشف الحساب'!$A$4:$A$203,IFERROR(MATCH(101,'كشف الحساب'!$N$4:$N$203,0),0))),"")</f>
        <v/>
      </c>
      <c r="B105" s="64" t="str">
        <f>IFERROR(IF(IFERROR(MATCH(101,'كشف الحساب'!$N$4:$N$203,0),0)=0,"",INDEX('كشف الحساب'!$B$4:$B$203,IFERROR(MATCH(101,'كشف الحساب'!$N$4:$N$203,0),0))),"")</f>
        <v/>
      </c>
      <c r="C105" s="65" t="str">
        <f>IFERROR(IF(IFERROR(MATCH(101,'كشف الحساب'!$N$4:$N$203,0),0)=0,"",INDEX('كشف الحساب'!$C$4:$C$203,IFERROR(MATCH(101,'كشف الحساب'!$N$4:$N$203,0),0))),"")</f>
        <v/>
      </c>
      <c r="D105" s="66" t="str">
        <f>IFERROR(IF(IFERROR(MATCH(101,'كشف الحساب'!$N$4:$N$203,0),0)=0,"",INDEX('كشف الحساب'!$D$4:$D$203,IFERROR(MATCH(101,'كشف الحساب'!$N$4:$N$203,0),0))),"")</f>
        <v/>
      </c>
      <c r="E105" s="67" t="str">
        <f>IFERROR(IF(IFERROR(MATCH(101,'كشف الحساب'!$N$4:$N$203,0),0)=0,"",INDEX('كشف الحساب'!$E$4:$E$203,IFERROR(MATCH(101,'كشف الحساب'!$N$4:$N$203,0),0))),"")</f>
        <v/>
      </c>
      <c r="F105" s="64" t="str">
        <f>IFERROR(IF(IFERROR(MATCH(101,'كشف الحساب'!$N$4:$N$203,0),0)=0,"",INDEX('كشف الحساب'!$F$4:$F$203,IFERROR(MATCH(101,'كشف الحساب'!$N$4:$N$203,0),0))),"")</f>
        <v/>
      </c>
      <c r="G105" s="64" t="str">
        <f>IFERROR(IF(IFERROR(MATCH(101,'كشف الحساب'!$N$4:$N$203,0),0)=0,"",INDEX('كشف الحساب'!$G$4:$G$203,IFERROR(MATCH(101,'كشف الحساب'!$N$4:$N$203,0),0))),"")</f>
        <v/>
      </c>
      <c r="H105" s="64" t="str">
        <f>IFERROR(IF(IFERROR(MATCH(101,'كشف الحساب'!$N$4:$N$203,0),0)=0,"",INDEX('كشف الحساب'!$H$4:$H$203,IFERROR(MATCH(101,'كشف الحساب'!$N$4:$N$203,0),0))),"")</f>
        <v/>
      </c>
      <c r="I105" s="64" t="str">
        <f>IFERROR(IF(IFERROR(MATCH(101,'كشف الحساب'!$N$4:$N$203,0),0)=0,"",INDEX('كشف الحساب'!$I$4:$I$203,IFERROR(MATCH(101,'كشف الحساب'!$N$4:$N$203,0),0))),"")</f>
        <v/>
      </c>
      <c r="J105" s="68" t="str">
        <f>IFERROR(IF(IFERROR(MATCH(101,'كشف الحساب'!$N$4:$N$203,0),0)=0,"",INDEX('كشف الحساب'!$J$4:$J$203,IFERROR(MATCH(101,'كشف الحساب'!$N$4:$N$203,0),0))),"")</f>
        <v/>
      </c>
      <c r="K105" s="64" t="str">
        <f>IFERROR(IF(IFERROR(MATCH(101,'كشف الحساب'!$N$4:$N$203,0),0)=0,"",INDEX('كشف الحساب'!$K$4:$K$203,IFERROR(MATCH(101,'كشف الحساب'!$N$4:$N$203,0),0))),"")</f>
        <v/>
      </c>
    </row>
    <row r="106" spans="1:11" ht="15" customHeight="1" x14ac:dyDescent="0.25">
      <c r="A106" s="69" t="str">
        <f>IFERROR(IF(IFERROR(MATCH(102,'كشف الحساب'!$N$4:$N$203,0),0)=0,"",INDEX('كشف الحساب'!$A$4:$A$203,IFERROR(MATCH(102,'كشف الحساب'!$N$4:$N$203,0),0))),"")</f>
        <v/>
      </c>
      <c r="B106" s="70" t="str">
        <f>IFERROR(IF(IFERROR(MATCH(102,'كشف الحساب'!$N$4:$N$203,0),0)=0,"",INDEX('كشف الحساب'!$B$4:$B$203,IFERROR(MATCH(102,'كشف الحساب'!$N$4:$N$203,0),0))),"")</f>
        <v/>
      </c>
      <c r="C106" s="71" t="str">
        <f>IFERROR(IF(IFERROR(MATCH(102,'كشف الحساب'!$N$4:$N$203,0),0)=0,"",INDEX('كشف الحساب'!$C$4:$C$203,IFERROR(MATCH(102,'كشف الحساب'!$N$4:$N$203,0),0))),"")</f>
        <v/>
      </c>
      <c r="D106" s="72" t="str">
        <f>IFERROR(IF(IFERROR(MATCH(102,'كشف الحساب'!$N$4:$N$203,0),0)=0,"",INDEX('كشف الحساب'!$D$4:$D$203,IFERROR(MATCH(102,'كشف الحساب'!$N$4:$N$203,0),0))),"")</f>
        <v/>
      </c>
      <c r="E106" s="73" t="str">
        <f>IFERROR(IF(IFERROR(MATCH(102,'كشف الحساب'!$N$4:$N$203,0),0)=0,"",INDEX('كشف الحساب'!$E$4:$E$203,IFERROR(MATCH(102,'كشف الحساب'!$N$4:$N$203,0),0))),"")</f>
        <v/>
      </c>
      <c r="F106" s="70" t="str">
        <f>IFERROR(IF(IFERROR(MATCH(102,'كشف الحساب'!$N$4:$N$203,0),0)=0,"",INDEX('كشف الحساب'!$F$4:$F$203,IFERROR(MATCH(102,'كشف الحساب'!$N$4:$N$203,0),0))),"")</f>
        <v/>
      </c>
      <c r="G106" s="70" t="str">
        <f>IFERROR(IF(IFERROR(MATCH(102,'كشف الحساب'!$N$4:$N$203,0),0)=0,"",INDEX('كشف الحساب'!$G$4:$G$203,IFERROR(MATCH(102,'كشف الحساب'!$N$4:$N$203,0),0))),"")</f>
        <v/>
      </c>
      <c r="H106" s="70" t="str">
        <f>IFERROR(IF(IFERROR(MATCH(102,'كشف الحساب'!$N$4:$N$203,0),0)=0,"",INDEX('كشف الحساب'!$H$4:$H$203,IFERROR(MATCH(102,'كشف الحساب'!$N$4:$N$203,0),0))),"")</f>
        <v/>
      </c>
      <c r="I106" s="70" t="str">
        <f>IFERROR(IF(IFERROR(MATCH(102,'كشف الحساب'!$N$4:$N$203,0),0)=0,"",INDEX('كشف الحساب'!$I$4:$I$203,IFERROR(MATCH(102,'كشف الحساب'!$N$4:$N$203,0),0))),"")</f>
        <v/>
      </c>
      <c r="J106" s="74" t="str">
        <f>IFERROR(IF(IFERROR(MATCH(102,'كشف الحساب'!$N$4:$N$203,0),0)=0,"",INDEX('كشف الحساب'!$J$4:$J$203,IFERROR(MATCH(102,'كشف الحساب'!$N$4:$N$203,0),0))),"")</f>
        <v/>
      </c>
      <c r="K106" s="70" t="str">
        <f>IFERROR(IF(IFERROR(MATCH(102,'كشف الحساب'!$N$4:$N$203,0),0)=0,"",INDEX('كشف الحساب'!$K$4:$K$203,IFERROR(MATCH(102,'كشف الحساب'!$N$4:$N$203,0),0))),"")</f>
        <v/>
      </c>
    </row>
    <row r="107" spans="1:11" ht="15" customHeight="1" x14ac:dyDescent="0.25">
      <c r="A107" s="63" t="str">
        <f>IFERROR(IF(IFERROR(MATCH(103,'كشف الحساب'!$N$4:$N$203,0),0)=0,"",INDEX('كشف الحساب'!$A$4:$A$203,IFERROR(MATCH(103,'كشف الحساب'!$N$4:$N$203,0),0))),"")</f>
        <v/>
      </c>
      <c r="B107" s="64" t="str">
        <f>IFERROR(IF(IFERROR(MATCH(103,'كشف الحساب'!$N$4:$N$203,0),0)=0,"",INDEX('كشف الحساب'!$B$4:$B$203,IFERROR(MATCH(103,'كشف الحساب'!$N$4:$N$203,0),0))),"")</f>
        <v/>
      </c>
      <c r="C107" s="65" t="str">
        <f>IFERROR(IF(IFERROR(MATCH(103,'كشف الحساب'!$N$4:$N$203,0),0)=0,"",INDEX('كشف الحساب'!$C$4:$C$203,IFERROR(MATCH(103,'كشف الحساب'!$N$4:$N$203,0),0))),"")</f>
        <v/>
      </c>
      <c r="D107" s="66" t="str">
        <f>IFERROR(IF(IFERROR(MATCH(103,'كشف الحساب'!$N$4:$N$203,0),0)=0,"",INDEX('كشف الحساب'!$D$4:$D$203,IFERROR(MATCH(103,'كشف الحساب'!$N$4:$N$203,0),0))),"")</f>
        <v/>
      </c>
      <c r="E107" s="67" t="str">
        <f>IFERROR(IF(IFERROR(MATCH(103,'كشف الحساب'!$N$4:$N$203,0),0)=0,"",INDEX('كشف الحساب'!$E$4:$E$203,IFERROR(MATCH(103,'كشف الحساب'!$N$4:$N$203,0),0))),"")</f>
        <v/>
      </c>
      <c r="F107" s="64" t="str">
        <f>IFERROR(IF(IFERROR(MATCH(103,'كشف الحساب'!$N$4:$N$203,0),0)=0,"",INDEX('كشف الحساب'!$F$4:$F$203,IFERROR(MATCH(103,'كشف الحساب'!$N$4:$N$203,0),0))),"")</f>
        <v/>
      </c>
      <c r="G107" s="64" t="str">
        <f>IFERROR(IF(IFERROR(MATCH(103,'كشف الحساب'!$N$4:$N$203,0),0)=0,"",INDEX('كشف الحساب'!$G$4:$G$203,IFERROR(MATCH(103,'كشف الحساب'!$N$4:$N$203,0),0))),"")</f>
        <v/>
      </c>
      <c r="H107" s="64" t="str">
        <f>IFERROR(IF(IFERROR(MATCH(103,'كشف الحساب'!$N$4:$N$203,0),0)=0,"",INDEX('كشف الحساب'!$H$4:$H$203,IFERROR(MATCH(103,'كشف الحساب'!$N$4:$N$203,0),0))),"")</f>
        <v/>
      </c>
      <c r="I107" s="64" t="str">
        <f>IFERROR(IF(IFERROR(MATCH(103,'كشف الحساب'!$N$4:$N$203,0),0)=0,"",INDEX('كشف الحساب'!$I$4:$I$203,IFERROR(MATCH(103,'كشف الحساب'!$N$4:$N$203,0),0))),"")</f>
        <v/>
      </c>
      <c r="J107" s="68" t="str">
        <f>IFERROR(IF(IFERROR(MATCH(103,'كشف الحساب'!$N$4:$N$203,0),0)=0,"",INDEX('كشف الحساب'!$J$4:$J$203,IFERROR(MATCH(103,'كشف الحساب'!$N$4:$N$203,0),0))),"")</f>
        <v/>
      </c>
      <c r="K107" s="64" t="str">
        <f>IFERROR(IF(IFERROR(MATCH(103,'كشف الحساب'!$N$4:$N$203,0),0)=0,"",INDEX('كشف الحساب'!$K$4:$K$203,IFERROR(MATCH(103,'كشف الحساب'!$N$4:$N$203,0),0))),"")</f>
        <v/>
      </c>
    </row>
    <row r="108" spans="1:11" ht="15" customHeight="1" x14ac:dyDescent="0.25">
      <c r="A108" s="69" t="str">
        <f>IFERROR(IF(IFERROR(MATCH(104,'كشف الحساب'!$N$4:$N$203,0),0)=0,"",INDEX('كشف الحساب'!$A$4:$A$203,IFERROR(MATCH(104,'كشف الحساب'!$N$4:$N$203,0),0))),"")</f>
        <v/>
      </c>
      <c r="B108" s="70" t="str">
        <f>IFERROR(IF(IFERROR(MATCH(104,'كشف الحساب'!$N$4:$N$203,0),0)=0,"",INDEX('كشف الحساب'!$B$4:$B$203,IFERROR(MATCH(104,'كشف الحساب'!$N$4:$N$203,0),0))),"")</f>
        <v/>
      </c>
      <c r="C108" s="71" t="str">
        <f>IFERROR(IF(IFERROR(MATCH(104,'كشف الحساب'!$N$4:$N$203,0),0)=0,"",INDEX('كشف الحساب'!$C$4:$C$203,IFERROR(MATCH(104,'كشف الحساب'!$N$4:$N$203,0),0))),"")</f>
        <v/>
      </c>
      <c r="D108" s="72" t="str">
        <f>IFERROR(IF(IFERROR(MATCH(104,'كشف الحساب'!$N$4:$N$203,0),0)=0,"",INDEX('كشف الحساب'!$D$4:$D$203,IFERROR(MATCH(104,'كشف الحساب'!$N$4:$N$203,0),0))),"")</f>
        <v/>
      </c>
      <c r="E108" s="73" t="str">
        <f>IFERROR(IF(IFERROR(MATCH(104,'كشف الحساب'!$N$4:$N$203,0),0)=0,"",INDEX('كشف الحساب'!$E$4:$E$203,IFERROR(MATCH(104,'كشف الحساب'!$N$4:$N$203,0),0))),"")</f>
        <v/>
      </c>
      <c r="F108" s="70" t="str">
        <f>IFERROR(IF(IFERROR(MATCH(104,'كشف الحساب'!$N$4:$N$203,0),0)=0,"",INDEX('كشف الحساب'!$F$4:$F$203,IFERROR(MATCH(104,'كشف الحساب'!$N$4:$N$203,0),0))),"")</f>
        <v/>
      </c>
      <c r="G108" s="70" t="str">
        <f>IFERROR(IF(IFERROR(MATCH(104,'كشف الحساب'!$N$4:$N$203,0),0)=0,"",INDEX('كشف الحساب'!$G$4:$G$203,IFERROR(MATCH(104,'كشف الحساب'!$N$4:$N$203,0),0))),"")</f>
        <v/>
      </c>
      <c r="H108" s="70" t="str">
        <f>IFERROR(IF(IFERROR(MATCH(104,'كشف الحساب'!$N$4:$N$203,0),0)=0,"",INDEX('كشف الحساب'!$H$4:$H$203,IFERROR(MATCH(104,'كشف الحساب'!$N$4:$N$203,0),0))),"")</f>
        <v/>
      </c>
      <c r="I108" s="70" t="str">
        <f>IFERROR(IF(IFERROR(MATCH(104,'كشف الحساب'!$N$4:$N$203,0),0)=0,"",INDEX('كشف الحساب'!$I$4:$I$203,IFERROR(MATCH(104,'كشف الحساب'!$N$4:$N$203,0),0))),"")</f>
        <v/>
      </c>
      <c r="J108" s="74" t="str">
        <f>IFERROR(IF(IFERROR(MATCH(104,'كشف الحساب'!$N$4:$N$203,0),0)=0,"",INDEX('كشف الحساب'!$J$4:$J$203,IFERROR(MATCH(104,'كشف الحساب'!$N$4:$N$203,0),0))),"")</f>
        <v/>
      </c>
      <c r="K108" s="70" t="str">
        <f>IFERROR(IF(IFERROR(MATCH(104,'كشف الحساب'!$N$4:$N$203,0),0)=0,"",INDEX('كشف الحساب'!$K$4:$K$203,IFERROR(MATCH(104,'كشف الحساب'!$N$4:$N$203,0),0))),"")</f>
        <v/>
      </c>
    </row>
    <row r="109" spans="1:11" ht="15" customHeight="1" x14ac:dyDescent="0.25">
      <c r="A109" s="63" t="str">
        <f>IFERROR(IF(IFERROR(MATCH(105,'كشف الحساب'!$N$4:$N$203,0),0)=0,"",INDEX('كشف الحساب'!$A$4:$A$203,IFERROR(MATCH(105,'كشف الحساب'!$N$4:$N$203,0),0))),"")</f>
        <v/>
      </c>
      <c r="B109" s="64" t="str">
        <f>IFERROR(IF(IFERROR(MATCH(105,'كشف الحساب'!$N$4:$N$203,0),0)=0,"",INDEX('كشف الحساب'!$B$4:$B$203,IFERROR(MATCH(105,'كشف الحساب'!$N$4:$N$203,0),0))),"")</f>
        <v/>
      </c>
      <c r="C109" s="65" t="str">
        <f>IFERROR(IF(IFERROR(MATCH(105,'كشف الحساب'!$N$4:$N$203,0),0)=0,"",INDEX('كشف الحساب'!$C$4:$C$203,IFERROR(MATCH(105,'كشف الحساب'!$N$4:$N$203,0),0))),"")</f>
        <v/>
      </c>
      <c r="D109" s="66" t="str">
        <f>IFERROR(IF(IFERROR(MATCH(105,'كشف الحساب'!$N$4:$N$203,0),0)=0,"",INDEX('كشف الحساب'!$D$4:$D$203,IFERROR(MATCH(105,'كشف الحساب'!$N$4:$N$203,0),0))),"")</f>
        <v/>
      </c>
      <c r="E109" s="67" t="str">
        <f>IFERROR(IF(IFERROR(MATCH(105,'كشف الحساب'!$N$4:$N$203,0),0)=0,"",INDEX('كشف الحساب'!$E$4:$E$203,IFERROR(MATCH(105,'كشف الحساب'!$N$4:$N$203,0),0))),"")</f>
        <v/>
      </c>
      <c r="F109" s="64" t="str">
        <f>IFERROR(IF(IFERROR(MATCH(105,'كشف الحساب'!$N$4:$N$203,0),0)=0,"",INDEX('كشف الحساب'!$F$4:$F$203,IFERROR(MATCH(105,'كشف الحساب'!$N$4:$N$203,0),0))),"")</f>
        <v/>
      </c>
      <c r="G109" s="64" t="str">
        <f>IFERROR(IF(IFERROR(MATCH(105,'كشف الحساب'!$N$4:$N$203,0),0)=0,"",INDEX('كشف الحساب'!$G$4:$G$203,IFERROR(MATCH(105,'كشف الحساب'!$N$4:$N$203,0),0))),"")</f>
        <v/>
      </c>
      <c r="H109" s="64" t="str">
        <f>IFERROR(IF(IFERROR(MATCH(105,'كشف الحساب'!$N$4:$N$203,0),0)=0,"",INDEX('كشف الحساب'!$H$4:$H$203,IFERROR(MATCH(105,'كشف الحساب'!$N$4:$N$203,0),0))),"")</f>
        <v/>
      </c>
      <c r="I109" s="64" t="str">
        <f>IFERROR(IF(IFERROR(MATCH(105,'كشف الحساب'!$N$4:$N$203,0),0)=0,"",INDEX('كشف الحساب'!$I$4:$I$203,IFERROR(MATCH(105,'كشف الحساب'!$N$4:$N$203,0),0))),"")</f>
        <v/>
      </c>
      <c r="J109" s="68" t="str">
        <f>IFERROR(IF(IFERROR(MATCH(105,'كشف الحساب'!$N$4:$N$203,0),0)=0,"",INDEX('كشف الحساب'!$J$4:$J$203,IFERROR(MATCH(105,'كشف الحساب'!$N$4:$N$203,0),0))),"")</f>
        <v/>
      </c>
      <c r="K109" s="64" t="str">
        <f>IFERROR(IF(IFERROR(MATCH(105,'كشف الحساب'!$N$4:$N$203,0),0)=0,"",INDEX('كشف الحساب'!$K$4:$K$203,IFERROR(MATCH(105,'كشف الحساب'!$N$4:$N$203,0),0))),"")</f>
        <v/>
      </c>
    </row>
    <row r="110" spans="1:11" ht="15" customHeight="1" x14ac:dyDescent="0.25">
      <c r="A110" s="69" t="str">
        <f>IFERROR(IF(IFERROR(MATCH(106,'كشف الحساب'!$N$4:$N$203,0),0)=0,"",INDEX('كشف الحساب'!$A$4:$A$203,IFERROR(MATCH(106,'كشف الحساب'!$N$4:$N$203,0),0))),"")</f>
        <v/>
      </c>
      <c r="B110" s="70" t="str">
        <f>IFERROR(IF(IFERROR(MATCH(106,'كشف الحساب'!$N$4:$N$203,0),0)=0,"",INDEX('كشف الحساب'!$B$4:$B$203,IFERROR(MATCH(106,'كشف الحساب'!$N$4:$N$203,0),0))),"")</f>
        <v/>
      </c>
      <c r="C110" s="71" t="str">
        <f>IFERROR(IF(IFERROR(MATCH(106,'كشف الحساب'!$N$4:$N$203,0),0)=0,"",INDEX('كشف الحساب'!$C$4:$C$203,IFERROR(MATCH(106,'كشف الحساب'!$N$4:$N$203,0),0))),"")</f>
        <v/>
      </c>
      <c r="D110" s="72" t="str">
        <f>IFERROR(IF(IFERROR(MATCH(106,'كشف الحساب'!$N$4:$N$203,0),0)=0,"",INDEX('كشف الحساب'!$D$4:$D$203,IFERROR(MATCH(106,'كشف الحساب'!$N$4:$N$203,0),0))),"")</f>
        <v/>
      </c>
      <c r="E110" s="73" t="str">
        <f>IFERROR(IF(IFERROR(MATCH(106,'كشف الحساب'!$N$4:$N$203,0),0)=0,"",INDEX('كشف الحساب'!$E$4:$E$203,IFERROR(MATCH(106,'كشف الحساب'!$N$4:$N$203,0),0))),"")</f>
        <v/>
      </c>
      <c r="F110" s="70" t="str">
        <f>IFERROR(IF(IFERROR(MATCH(106,'كشف الحساب'!$N$4:$N$203,0),0)=0,"",INDEX('كشف الحساب'!$F$4:$F$203,IFERROR(MATCH(106,'كشف الحساب'!$N$4:$N$203,0),0))),"")</f>
        <v/>
      </c>
      <c r="G110" s="70" t="str">
        <f>IFERROR(IF(IFERROR(MATCH(106,'كشف الحساب'!$N$4:$N$203,0),0)=0,"",INDEX('كشف الحساب'!$G$4:$G$203,IFERROR(MATCH(106,'كشف الحساب'!$N$4:$N$203,0),0))),"")</f>
        <v/>
      </c>
      <c r="H110" s="70" t="str">
        <f>IFERROR(IF(IFERROR(MATCH(106,'كشف الحساب'!$N$4:$N$203,0),0)=0,"",INDEX('كشف الحساب'!$H$4:$H$203,IFERROR(MATCH(106,'كشف الحساب'!$N$4:$N$203,0),0))),"")</f>
        <v/>
      </c>
      <c r="I110" s="70" t="str">
        <f>IFERROR(IF(IFERROR(MATCH(106,'كشف الحساب'!$N$4:$N$203,0),0)=0,"",INDEX('كشف الحساب'!$I$4:$I$203,IFERROR(MATCH(106,'كشف الحساب'!$N$4:$N$203,0),0))),"")</f>
        <v/>
      </c>
      <c r="J110" s="74" t="str">
        <f>IFERROR(IF(IFERROR(MATCH(106,'كشف الحساب'!$N$4:$N$203,0),0)=0,"",INDEX('كشف الحساب'!$J$4:$J$203,IFERROR(MATCH(106,'كشف الحساب'!$N$4:$N$203,0),0))),"")</f>
        <v/>
      </c>
      <c r="K110" s="70" t="str">
        <f>IFERROR(IF(IFERROR(MATCH(106,'كشف الحساب'!$N$4:$N$203,0),0)=0,"",INDEX('كشف الحساب'!$K$4:$K$203,IFERROR(MATCH(106,'كشف الحساب'!$N$4:$N$203,0),0))),"")</f>
        <v/>
      </c>
    </row>
    <row r="111" spans="1:11" ht="15" customHeight="1" x14ac:dyDescent="0.25">
      <c r="A111" s="63" t="str">
        <f>IFERROR(IF(IFERROR(MATCH(107,'كشف الحساب'!$N$4:$N$203,0),0)=0,"",INDEX('كشف الحساب'!$A$4:$A$203,IFERROR(MATCH(107,'كشف الحساب'!$N$4:$N$203,0),0))),"")</f>
        <v/>
      </c>
      <c r="B111" s="64" t="str">
        <f>IFERROR(IF(IFERROR(MATCH(107,'كشف الحساب'!$N$4:$N$203,0),0)=0,"",INDEX('كشف الحساب'!$B$4:$B$203,IFERROR(MATCH(107,'كشف الحساب'!$N$4:$N$203,0),0))),"")</f>
        <v/>
      </c>
      <c r="C111" s="65" t="str">
        <f>IFERROR(IF(IFERROR(MATCH(107,'كشف الحساب'!$N$4:$N$203,0),0)=0,"",INDEX('كشف الحساب'!$C$4:$C$203,IFERROR(MATCH(107,'كشف الحساب'!$N$4:$N$203,0),0))),"")</f>
        <v/>
      </c>
      <c r="D111" s="66" t="str">
        <f>IFERROR(IF(IFERROR(MATCH(107,'كشف الحساب'!$N$4:$N$203,0),0)=0,"",INDEX('كشف الحساب'!$D$4:$D$203,IFERROR(MATCH(107,'كشف الحساب'!$N$4:$N$203,0),0))),"")</f>
        <v/>
      </c>
      <c r="E111" s="67" t="str">
        <f>IFERROR(IF(IFERROR(MATCH(107,'كشف الحساب'!$N$4:$N$203,0),0)=0,"",INDEX('كشف الحساب'!$E$4:$E$203,IFERROR(MATCH(107,'كشف الحساب'!$N$4:$N$203,0),0))),"")</f>
        <v/>
      </c>
      <c r="F111" s="64" t="str">
        <f>IFERROR(IF(IFERROR(MATCH(107,'كشف الحساب'!$N$4:$N$203,0),0)=0,"",INDEX('كشف الحساب'!$F$4:$F$203,IFERROR(MATCH(107,'كشف الحساب'!$N$4:$N$203,0),0))),"")</f>
        <v/>
      </c>
      <c r="G111" s="64" t="str">
        <f>IFERROR(IF(IFERROR(MATCH(107,'كشف الحساب'!$N$4:$N$203,0),0)=0,"",INDEX('كشف الحساب'!$G$4:$G$203,IFERROR(MATCH(107,'كشف الحساب'!$N$4:$N$203,0),0))),"")</f>
        <v/>
      </c>
      <c r="H111" s="64" t="str">
        <f>IFERROR(IF(IFERROR(MATCH(107,'كشف الحساب'!$N$4:$N$203,0),0)=0,"",INDEX('كشف الحساب'!$H$4:$H$203,IFERROR(MATCH(107,'كشف الحساب'!$N$4:$N$203,0),0))),"")</f>
        <v/>
      </c>
      <c r="I111" s="64" t="str">
        <f>IFERROR(IF(IFERROR(MATCH(107,'كشف الحساب'!$N$4:$N$203,0),0)=0,"",INDEX('كشف الحساب'!$I$4:$I$203,IFERROR(MATCH(107,'كشف الحساب'!$N$4:$N$203,0),0))),"")</f>
        <v/>
      </c>
      <c r="J111" s="68" t="str">
        <f>IFERROR(IF(IFERROR(MATCH(107,'كشف الحساب'!$N$4:$N$203,0),0)=0,"",INDEX('كشف الحساب'!$J$4:$J$203,IFERROR(MATCH(107,'كشف الحساب'!$N$4:$N$203,0),0))),"")</f>
        <v/>
      </c>
      <c r="K111" s="64" t="str">
        <f>IFERROR(IF(IFERROR(MATCH(107,'كشف الحساب'!$N$4:$N$203,0),0)=0,"",INDEX('كشف الحساب'!$K$4:$K$203,IFERROR(MATCH(107,'كشف الحساب'!$N$4:$N$203,0),0))),"")</f>
        <v/>
      </c>
    </row>
    <row r="112" spans="1:11" ht="15" customHeight="1" x14ac:dyDescent="0.25">
      <c r="A112" s="69" t="str">
        <f>IFERROR(IF(IFERROR(MATCH(108,'كشف الحساب'!$N$4:$N$203,0),0)=0,"",INDEX('كشف الحساب'!$A$4:$A$203,IFERROR(MATCH(108,'كشف الحساب'!$N$4:$N$203,0),0))),"")</f>
        <v/>
      </c>
      <c r="B112" s="70" t="str">
        <f>IFERROR(IF(IFERROR(MATCH(108,'كشف الحساب'!$N$4:$N$203,0),0)=0,"",INDEX('كشف الحساب'!$B$4:$B$203,IFERROR(MATCH(108,'كشف الحساب'!$N$4:$N$203,0),0))),"")</f>
        <v/>
      </c>
      <c r="C112" s="71" t="str">
        <f>IFERROR(IF(IFERROR(MATCH(108,'كشف الحساب'!$N$4:$N$203,0),0)=0,"",INDEX('كشف الحساب'!$C$4:$C$203,IFERROR(MATCH(108,'كشف الحساب'!$N$4:$N$203,0),0))),"")</f>
        <v/>
      </c>
      <c r="D112" s="72" t="str">
        <f>IFERROR(IF(IFERROR(MATCH(108,'كشف الحساب'!$N$4:$N$203,0),0)=0,"",INDEX('كشف الحساب'!$D$4:$D$203,IFERROR(MATCH(108,'كشف الحساب'!$N$4:$N$203,0),0))),"")</f>
        <v/>
      </c>
      <c r="E112" s="73" t="str">
        <f>IFERROR(IF(IFERROR(MATCH(108,'كشف الحساب'!$N$4:$N$203,0),0)=0,"",INDEX('كشف الحساب'!$E$4:$E$203,IFERROR(MATCH(108,'كشف الحساب'!$N$4:$N$203,0),0))),"")</f>
        <v/>
      </c>
      <c r="F112" s="70" t="str">
        <f>IFERROR(IF(IFERROR(MATCH(108,'كشف الحساب'!$N$4:$N$203,0),0)=0,"",INDEX('كشف الحساب'!$F$4:$F$203,IFERROR(MATCH(108,'كشف الحساب'!$N$4:$N$203,0),0))),"")</f>
        <v/>
      </c>
      <c r="G112" s="70" t="str">
        <f>IFERROR(IF(IFERROR(MATCH(108,'كشف الحساب'!$N$4:$N$203,0),0)=0,"",INDEX('كشف الحساب'!$G$4:$G$203,IFERROR(MATCH(108,'كشف الحساب'!$N$4:$N$203,0),0))),"")</f>
        <v/>
      </c>
      <c r="H112" s="70" t="str">
        <f>IFERROR(IF(IFERROR(MATCH(108,'كشف الحساب'!$N$4:$N$203,0),0)=0,"",INDEX('كشف الحساب'!$H$4:$H$203,IFERROR(MATCH(108,'كشف الحساب'!$N$4:$N$203,0),0))),"")</f>
        <v/>
      </c>
      <c r="I112" s="70" t="str">
        <f>IFERROR(IF(IFERROR(MATCH(108,'كشف الحساب'!$N$4:$N$203,0),0)=0,"",INDEX('كشف الحساب'!$I$4:$I$203,IFERROR(MATCH(108,'كشف الحساب'!$N$4:$N$203,0),0))),"")</f>
        <v/>
      </c>
      <c r="J112" s="74" t="str">
        <f>IFERROR(IF(IFERROR(MATCH(108,'كشف الحساب'!$N$4:$N$203,0),0)=0,"",INDEX('كشف الحساب'!$J$4:$J$203,IFERROR(MATCH(108,'كشف الحساب'!$N$4:$N$203,0),0))),"")</f>
        <v/>
      </c>
      <c r="K112" s="70" t="str">
        <f>IFERROR(IF(IFERROR(MATCH(108,'كشف الحساب'!$N$4:$N$203,0),0)=0,"",INDEX('كشف الحساب'!$K$4:$K$203,IFERROR(MATCH(108,'كشف الحساب'!$N$4:$N$203,0),0))),"")</f>
        <v/>
      </c>
    </row>
    <row r="113" spans="1:11" ht="15" customHeight="1" x14ac:dyDescent="0.25">
      <c r="A113" s="63" t="str">
        <f>IFERROR(IF(IFERROR(MATCH(109,'كشف الحساب'!$N$4:$N$203,0),0)=0,"",INDEX('كشف الحساب'!$A$4:$A$203,IFERROR(MATCH(109,'كشف الحساب'!$N$4:$N$203,0),0))),"")</f>
        <v/>
      </c>
      <c r="B113" s="64" t="str">
        <f>IFERROR(IF(IFERROR(MATCH(109,'كشف الحساب'!$N$4:$N$203,0),0)=0,"",INDEX('كشف الحساب'!$B$4:$B$203,IFERROR(MATCH(109,'كشف الحساب'!$N$4:$N$203,0),0))),"")</f>
        <v/>
      </c>
      <c r="C113" s="65" t="str">
        <f>IFERROR(IF(IFERROR(MATCH(109,'كشف الحساب'!$N$4:$N$203,0),0)=0,"",INDEX('كشف الحساب'!$C$4:$C$203,IFERROR(MATCH(109,'كشف الحساب'!$N$4:$N$203,0),0))),"")</f>
        <v/>
      </c>
      <c r="D113" s="66" t="str">
        <f>IFERROR(IF(IFERROR(MATCH(109,'كشف الحساب'!$N$4:$N$203,0),0)=0,"",INDEX('كشف الحساب'!$D$4:$D$203,IFERROR(MATCH(109,'كشف الحساب'!$N$4:$N$203,0),0))),"")</f>
        <v/>
      </c>
      <c r="E113" s="67" t="str">
        <f>IFERROR(IF(IFERROR(MATCH(109,'كشف الحساب'!$N$4:$N$203,0),0)=0,"",INDEX('كشف الحساب'!$E$4:$E$203,IFERROR(MATCH(109,'كشف الحساب'!$N$4:$N$203,0),0))),"")</f>
        <v/>
      </c>
      <c r="F113" s="64" t="str">
        <f>IFERROR(IF(IFERROR(MATCH(109,'كشف الحساب'!$N$4:$N$203,0),0)=0,"",INDEX('كشف الحساب'!$F$4:$F$203,IFERROR(MATCH(109,'كشف الحساب'!$N$4:$N$203,0),0))),"")</f>
        <v/>
      </c>
      <c r="G113" s="64" t="str">
        <f>IFERROR(IF(IFERROR(MATCH(109,'كشف الحساب'!$N$4:$N$203,0),0)=0,"",INDEX('كشف الحساب'!$G$4:$G$203,IFERROR(MATCH(109,'كشف الحساب'!$N$4:$N$203,0),0))),"")</f>
        <v/>
      </c>
      <c r="H113" s="64" t="str">
        <f>IFERROR(IF(IFERROR(MATCH(109,'كشف الحساب'!$N$4:$N$203,0),0)=0,"",INDEX('كشف الحساب'!$H$4:$H$203,IFERROR(MATCH(109,'كشف الحساب'!$N$4:$N$203,0),0))),"")</f>
        <v/>
      </c>
      <c r="I113" s="64" t="str">
        <f>IFERROR(IF(IFERROR(MATCH(109,'كشف الحساب'!$N$4:$N$203,0),0)=0,"",INDEX('كشف الحساب'!$I$4:$I$203,IFERROR(MATCH(109,'كشف الحساب'!$N$4:$N$203,0),0))),"")</f>
        <v/>
      </c>
      <c r="J113" s="68" t="str">
        <f>IFERROR(IF(IFERROR(MATCH(109,'كشف الحساب'!$N$4:$N$203,0),0)=0,"",INDEX('كشف الحساب'!$J$4:$J$203,IFERROR(MATCH(109,'كشف الحساب'!$N$4:$N$203,0),0))),"")</f>
        <v/>
      </c>
      <c r="K113" s="64" t="str">
        <f>IFERROR(IF(IFERROR(MATCH(109,'كشف الحساب'!$N$4:$N$203,0),0)=0,"",INDEX('كشف الحساب'!$K$4:$K$203,IFERROR(MATCH(109,'كشف الحساب'!$N$4:$N$203,0),0))),"")</f>
        <v/>
      </c>
    </row>
    <row r="114" spans="1:11" ht="15" customHeight="1" x14ac:dyDescent="0.25">
      <c r="A114" s="69" t="str">
        <f>IFERROR(IF(IFERROR(MATCH(110,'كشف الحساب'!$N$4:$N$203,0),0)=0,"",INDEX('كشف الحساب'!$A$4:$A$203,IFERROR(MATCH(110,'كشف الحساب'!$N$4:$N$203,0),0))),"")</f>
        <v/>
      </c>
      <c r="B114" s="70" t="str">
        <f>IFERROR(IF(IFERROR(MATCH(110,'كشف الحساب'!$N$4:$N$203,0),0)=0,"",INDEX('كشف الحساب'!$B$4:$B$203,IFERROR(MATCH(110,'كشف الحساب'!$N$4:$N$203,0),0))),"")</f>
        <v/>
      </c>
      <c r="C114" s="71" t="str">
        <f>IFERROR(IF(IFERROR(MATCH(110,'كشف الحساب'!$N$4:$N$203,0),0)=0,"",INDEX('كشف الحساب'!$C$4:$C$203,IFERROR(MATCH(110,'كشف الحساب'!$N$4:$N$203,0),0))),"")</f>
        <v/>
      </c>
      <c r="D114" s="72" t="str">
        <f>IFERROR(IF(IFERROR(MATCH(110,'كشف الحساب'!$N$4:$N$203,0),0)=0,"",INDEX('كشف الحساب'!$D$4:$D$203,IFERROR(MATCH(110,'كشف الحساب'!$N$4:$N$203,0),0))),"")</f>
        <v/>
      </c>
      <c r="E114" s="73" t="str">
        <f>IFERROR(IF(IFERROR(MATCH(110,'كشف الحساب'!$N$4:$N$203,0),0)=0,"",INDEX('كشف الحساب'!$E$4:$E$203,IFERROR(MATCH(110,'كشف الحساب'!$N$4:$N$203,0),0))),"")</f>
        <v/>
      </c>
      <c r="F114" s="70" t="str">
        <f>IFERROR(IF(IFERROR(MATCH(110,'كشف الحساب'!$N$4:$N$203,0),0)=0,"",INDEX('كشف الحساب'!$F$4:$F$203,IFERROR(MATCH(110,'كشف الحساب'!$N$4:$N$203,0),0))),"")</f>
        <v/>
      </c>
      <c r="G114" s="70" t="str">
        <f>IFERROR(IF(IFERROR(MATCH(110,'كشف الحساب'!$N$4:$N$203,0),0)=0,"",INDEX('كشف الحساب'!$G$4:$G$203,IFERROR(MATCH(110,'كشف الحساب'!$N$4:$N$203,0),0))),"")</f>
        <v/>
      </c>
      <c r="H114" s="70" t="str">
        <f>IFERROR(IF(IFERROR(MATCH(110,'كشف الحساب'!$N$4:$N$203,0),0)=0,"",INDEX('كشف الحساب'!$H$4:$H$203,IFERROR(MATCH(110,'كشف الحساب'!$N$4:$N$203,0),0))),"")</f>
        <v/>
      </c>
      <c r="I114" s="70" t="str">
        <f>IFERROR(IF(IFERROR(MATCH(110,'كشف الحساب'!$N$4:$N$203,0),0)=0,"",INDEX('كشف الحساب'!$I$4:$I$203,IFERROR(MATCH(110,'كشف الحساب'!$N$4:$N$203,0),0))),"")</f>
        <v/>
      </c>
      <c r="J114" s="74" t="str">
        <f>IFERROR(IF(IFERROR(MATCH(110,'كشف الحساب'!$N$4:$N$203,0),0)=0,"",INDEX('كشف الحساب'!$J$4:$J$203,IFERROR(MATCH(110,'كشف الحساب'!$N$4:$N$203,0),0))),"")</f>
        <v/>
      </c>
      <c r="K114" s="70" t="str">
        <f>IFERROR(IF(IFERROR(MATCH(110,'كشف الحساب'!$N$4:$N$203,0),0)=0,"",INDEX('كشف الحساب'!$K$4:$K$203,IFERROR(MATCH(110,'كشف الحساب'!$N$4:$N$203,0),0))),"")</f>
        <v/>
      </c>
    </row>
    <row r="115" spans="1:11" ht="15" customHeight="1" x14ac:dyDescent="0.25">
      <c r="A115" s="63" t="str">
        <f>IFERROR(IF(IFERROR(MATCH(111,'كشف الحساب'!$N$4:$N$203,0),0)=0,"",INDEX('كشف الحساب'!$A$4:$A$203,IFERROR(MATCH(111,'كشف الحساب'!$N$4:$N$203,0),0))),"")</f>
        <v/>
      </c>
      <c r="B115" s="64" t="str">
        <f>IFERROR(IF(IFERROR(MATCH(111,'كشف الحساب'!$N$4:$N$203,0),0)=0,"",INDEX('كشف الحساب'!$B$4:$B$203,IFERROR(MATCH(111,'كشف الحساب'!$N$4:$N$203,0),0))),"")</f>
        <v/>
      </c>
      <c r="C115" s="65" t="str">
        <f>IFERROR(IF(IFERROR(MATCH(111,'كشف الحساب'!$N$4:$N$203,0),0)=0,"",INDEX('كشف الحساب'!$C$4:$C$203,IFERROR(MATCH(111,'كشف الحساب'!$N$4:$N$203,0),0))),"")</f>
        <v/>
      </c>
      <c r="D115" s="66" t="str">
        <f>IFERROR(IF(IFERROR(MATCH(111,'كشف الحساب'!$N$4:$N$203,0),0)=0,"",INDEX('كشف الحساب'!$D$4:$D$203,IFERROR(MATCH(111,'كشف الحساب'!$N$4:$N$203,0),0))),"")</f>
        <v/>
      </c>
      <c r="E115" s="67" t="str">
        <f>IFERROR(IF(IFERROR(MATCH(111,'كشف الحساب'!$N$4:$N$203,0),0)=0,"",INDEX('كشف الحساب'!$E$4:$E$203,IFERROR(MATCH(111,'كشف الحساب'!$N$4:$N$203,0),0))),"")</f>
        <v/>
      </c>
      <c r="F115" s="64" t="str">
        <f>IFERROR(IF(IFERROR(MATCH(111,'كشف الحساب'!$N$4:$N$203,0),0)=0,"",INDEX('كشف الحساب'!$F$4:$F$203,IFERROR(MATCH(111,'كشف الحساب'!$N$4:$N$203,0),0))),"")</f>
        <v/>
      </c>
      <c r="G115" s="64" t="str">
        <f>IFERROR(IF(IFERROR(MATCH(111,'كشف الحساب'!$N$4:$N$203,0),0)=0,"",INDEX('كشف الحساب'!$G$4:$G$203,IFERROR(MATCH(111,'كشف الحساب'!$N$4:$N$203,0),0))),"")</f>
        <v/>
      </c>
      <c r="H115" s="64" t="str">
        <f>IFERROR(IF(IFERROR(MATCH(111,'كشف الحساب'!$N$4:$N$203,0),0)=0,"",INDEX('كشف الحساب'!$H$4:$H$203,IFERROR(MATCH(111,'كشف الحساب'!$N$4:$N$203,0),0))),"")</f>
        <v/>
      </c>
      <c r="I115" s="64" t="str">
        <f>IFERROR(IF(IFERROR(MATCH(111,'كشف الحساب'!$N$4:$N$203,0),0)=0,"",INDEX('كشف الحساب'!$I$4:$I$203,IFERROR(MATCH(111,'كشف الحساب'!$N$4:$N$203,0),0))),"")</f>
        <v/>
      </c>
      <c r="J115" s="68" t="str">
        <f>IFERROR(IF(IFERROR(MATCH(111,'كشف الحساب'!$N$4:$N$203,0),0)=0,"",INDEX('كشف الحساب'!$J$4:$J$203,IFERROR(MATCH(111,'كشف الحساب'!$N$4:$N$203,0),0))),"")</f>
        <v/>
      </c>
      <c r="K115" s="64" t="str">
        <f>IFERROR(IF(IFERROR(MATCH(111,'كشف الحساب'!$N$4:$N$203,0),0)=0,"",INDEX('كشف الحساب'!$K$4:$K$203,IFERROR(MATCH(111,'كشف الحساب'!$N$4:$N$203,0),0))),"")</f>
        <v/>
      </c>
    </row>
    <row r="116" spans="1:11" ht="15" customHeight="1" x14ac:dyDescent="0.25">
      <c r="A116" s="69" t="str">
        <f>IFERROR(IF(IFERROR(MATCH(112,'كشف الحساب'!$N$4:$N$203,0),0)=0,"",INDEX('كشف الحساب'!$A$4:$A$203,IFERROR(MATCH(112,'كشف الحساب'!$N$4:$N$203,0),0))),"")</f>
        <v/>
      </c>
      <c r="B116" s="70" t="str">
        <f>IFERROR(IF(IFERROR(MATCH(112,'كشف الحساب'!$N$4:$N$203,0),0)=0,"",INDEX('كشف الحساب'!$B$4:$B$203,IFERROR(MATCH(112,'كشف الحساب'!$N$4:$N$203,0),0))),"")</f>
        <v/>
      </c>
      <c r="C116" s="71" t="str">
        <f>IFERROR(IF(IFERROR(MATCH(112,'كشف الحساب'!$N$4:$N$203,0),0)=0,"",INDEX('كشف الحساب'!$C$4:$C$203,IFERROR(MATCH(112,'كشف الحساب'!$N$4:$N$203,0),0))),"")</f>
        <v/>
      </c>
      <c r="D116" s="72" t="str">
        <f>IFERROR(IF(IFERROR(MATCH(112,'كشف الحساب'!$N$4:$N$203,0),0)=0,"",INDEX('كشف الحساب'!$D$4:$D$203,IFERROR(MATCH(112,'كشف الحساب'!$N$4:$N$203,0),0))),"")</f>
        <v/>
      </c>
      <c r="E116" s="73" t="str">
        <f>IFERROR(IF(IFERROR(MATCH(112,'كشف الحساب'!$N$4:$N$203,0),0)=0,"",INDEX('كشف الحساب'!$E$4:$E$203,IFERROR(MATCH(112,'كشف الحساب'!$N$4:$N$203,0),0))),"")</f>
        <v/>
      </c>
      <c r="F116" s="70" t="str">
        <f>IFERROR(IF(IFERROR(MATCH(112,'كشف الحساب'!$N$4:$N$203,0),0)=0,"",INDEX('كشف الحساب'!$F$4:$F$203,IFERROR(MATCH(112,'كشف الحساب'!$N$4:$N$203,0),0))),"")</f>
        <v/>
      </c>
      <c r="G116" s="70" t="str">
        <f>IFERROR(IF(IFERROR(MATCH(112,'كشف الحساب'!$N$4:$N$203,0),0)=0,"",INDEX('كشف الحساب'!$G$4:$G$203,IFERROR(MATCH(112,'كشف الحساب'!$N$4:$N$203,0),0))),"")</f>
        <v/>
      </c>
      <c r="H116" s="70" t="str">
        <f>IFERROR(IF(IFERROR(MATCH(112,'كشف الحساب'!$N$4:$N$203,0),0)=0,"",INDEX('كشف الحساب'!$H$4:$H$203,IFERROR(MATCH(112,'كشف الحساب'!$N$4:$N$203,0),0))),"")</f>
        <v/>
      </c>
      <c r="I116" s="70" t="str">
        <f>IFERROR(IF(IFERROR(MATCH(112,'كشف الحساب'!$N$4:$N$203,0),0)=0,"",INDEX('كشف الحساب'!$I$4:$I$203,IFERROR(MATCH(112,'كشف الحساب'!$N$4:$N$203,0),0))),"")</f>
        <v/>
      </c>
      <c r="J116" s="74" t="str">
        <f>IFERROR(IF(IFERROR(MATCH(112,'كشف الحساب'!$N$4:$N$203,0),0)=0,"",INDEX('كشف الحساب'!$J$4:$J$203,IFERROR(MATCH(112,'كشف الحساب'!$N$4:$N$203,0),0))),"")</f>
        <v/>
      </c>
      <c r="K116" s="70" t="str">
        <f>IFERROR(IF(IFERROR(MATCH(112,'كشف الحساب'!$N$4:$N$203,0),0)=0,"",INDEX('كشف الحساب'!$K$4:$K$203,IFERROR(MATCH(112,'كشف الحساب'!$N$4:$N$203,0),0))),"")</f>
        <v/>
      </c>
    </row>
    <row r="117" spans="1:11" ht="15" customHeight="1" x14ac:dyDescent="0.25">
      <c r="A117" s="63" t="str">
        <f>IFERROR(IF(IFERROR(MATCH(113,'كشف الحساب'!$N$4:$N$203,0),0)=0,"",INDEX('كشف الحساب'!$A$4:$A$203,IFERROR(MATCH(113,'كشف الحساب'!$N$4:$N$203,0),0))),"")</f>
        <v/>
      </c>
      <c r="B117" s="64" t="str">
        <f>IFERROR(IF(IFERROR(MATCH(113,'كشف الحساب'!$N$4:$N$203,0),0)=0,"",INDEX('كشف الحساب'!$B$4:$B$203,IFERROR(MATCH(113,'كشف الحساب'!$N$4:$N$203,0),0))),"")</f>
        <v/>
      </c>
      <c r="C117" s="65" t="str">
        <f>IFERROR(IF(IFERROR(MATCH(113,'كشف الحساب'!$N$4:$N$203,0),0)=0,"",INDEX('كشف الحساب'!$C$4:$C$203,IFERROR(MATCH(113,'كشف الحساب'!$N$4:$N$203,0),0))),"")</f>
        <v/>
      </c>
      <c r="D117" s="66" t="str">
        <f>IFERROR(IF(IFERROR(MATCH(113,'كشف الحساب'!$N$4:$N$203,0),0)=0,"",INDEX('كشف الحساب'!$D$4:$D$203,IFERROR(MATCH(113,'كشف الحساب'!$N$4:$N$203,0),0))),"")</f>
        <v/>
      </c>
      <c r="E117" s="67" t="str">
        <f>IFERROR(IF(IFERROR(MATCH(113,'كشف الحساب'!$N$4:$N$203,0),0)=0,"",INDEX('كشف الحساب'!$E$4:$E$203,IFERROR(MATCH(113,'كشف الحساب'!$N$4:$N$203,0),0))),"")</f>
        <v/>
      </c>
      <c r="F117" s="64" t="str">
        <f>IFERROR(IF(IFERROR(MATCH(113,'كشف الحساب'!$N$4:$N$203,0),0)=0,"",INDEX('كشف الحساب'!$F$4:$F$203,IFERROR(MATCH(113,'كشف الحساب'!$N$4:$N$203,0),0))),"")</f>
        <v/>
      </c>
      <c r="G117" s="64" t="str">
        <f>IFERROR(IF(IFERROR(MATCH(113,'كشف الحساب'!$N$4:$N$203,0),0)=0,"",INDEX('كشف الحساب'!$G$4:$G$203,IFERROR(MATCH(113,'كشف الحساب'!$N$4:$N$203,0),0))),"")</f>
        <v/>
      </c>
      <c r="H117" s="64" t="str">
        <f>IFERROR(IF(IFERROR(MATCH(113,'كشف الحساب'!$N$4:$N$203,0),0)=0,"",INDEX('كشف الحساب'!$H$4:$H$203,IFERROR(MATCH(113,'كشف الحساب'!$N$4:$N$203,0),0))),"")</f>
        <v/>
      </c>
      <c r="I117" s="64" t="str">
        <f>IFERROR(IF(IFERROR(MATCH(113,'كشف الحساب'!$N$4:$N$203,0),0)=0,"",INDEX('كشف الحساب'!$I$4:$I$203,IFERROR(MATCH(113,'كشف الحساب'!$N$4:$N$203,0),0))),"")</f>
        <v/>
      </c>
      <c r="J117" s="68" t="str">
        <f>IFERROR(IF(IFERROR(MATCH(113,'كشف الحساب'!$N$4:$N$203,0),0)=0,"",INDEX('كشف الحساب'!$J$4:$J$203,IFERROR(MATCH(113,'كشف الحساب'!$N$4:$N$203,0),0))),"")</f>
        <v/>
      </c>
      <c r="K117" s="64" t="str">
        <f>IFERROR(IF(IFERROR(MATCH(113,'كشف الحساب'!$N$4:$N$203,0),0)=0,"",INDEX('كشف الحساب'!$K$4:$K$203,IFERROR(MATCH(113,'كشف الحساب'!$N$4:$N$203,0),0))),"")</f>
        <v/>
      </c>
    </row>
    <row r="118" spans="1:11" ht="15" customHeight="1" x14ac:dyDescent="0.25">
      <c r="A118" s="69" t="str">
        <f>IFERROR(IF(IFERROR(MATCH(114,'كشف الحساب'!$N$4:$N$203,0),0)=0,"",INDEX('كشف الحساب'!$A$4:$A$203,IFERROR(MATCH(114,'كشف الحساب'!$N$4:$N$203,0),0))),"")</f>
        <v/>
      </c>
      <c r="B118" s="70" t="str">
        <f>IFERROR(IF(IFERROR(MATCH(114,'كشف الحساب'!$N$4:$N$203,0),0)=0,"",INDEX('كشف الحساب'!$B$4:$B$203,IFERROR(MATCH(114,'كشف الحساب'!$N$4:$N$203,0),0))),"")</f>
        <v/>
      </c>
      <c r="C118" s="71" t="str">
        <f>IFERROR(IF(IFERROR(MATCH(114,'كشف الحساب'!$N$4:$N$203,0),0)=0,"",INDEX('كشف الحساب'!$C$4:$C$203,IFERROR(MATCH(114,'كشف الحساب'!$N$4:$N$203,0),0))),"")</f>
        <v/>
      </c>
      <c r="D118" s="72" t="str">
        <f>IFERROR(IF(IFERROR(MATCH(114,'كشف الحساب'!$N$4:$N$203,0),0)=0,"",INDEX('كشف الحساب'!$D$4:$D$203,IFERROR(MATCH(114,'كشف الحساب'!$N$4:$N$203,0),0))),"")</f>
        <v/>
      </c>
      <c r="E118" s="73" t="str">
        <f>IFERROR(IF(IFERROR(MATCH(114,'كشف الحساب'!$N$4:$N$203,0),0)=0,"",INDEX('كشف الحساب'!$E$4:$E$203,IFERROR(MATCH(114,'كشف الحساب'!$N$4:$N$203,0),0))),"")</f>
        <v/>
      </c>
      <c r="F118" s="70" t="str">
        <f>IFERROR(IF(IFERROR(MATCH(114,'كشف الحساب'!$N$4:$N$203,0),0)=0,"",INDEX('كشف الحساب'!$F$4:$F$203,IFERROR(MATCH(114,'كشف الحساب'!$N$4:$N$203,0),0))),"")</f>
        <v/>
      </c>
      <c r="G118" s="70" t="str">
        <f>IFERROR(IF(IFERROR(MATCH(114,'كشف الحساب'!$N$4:$N$203,0),0)=0,"",INDEX('كشف الحساب'!$G$4:$G$203,IFERROR(MATCH(114,'كشف الحساب'!$N$4:$N$203,0),0))),"")</f>
        <v/>
      </c>
      <c r="H118" s="70" t="str">
        <f>IFERROR(IF(IFERROR(MATCH(114,'كشف الحساب'!$N$4:$N$203,0),0)=0,"",INDEX('كشف الحساب'!$H$4:$H$203,IFERROR(MATCH(114,'كشف الحساب'!$N$4:$N$203,0),0))),"")</f>
        <v/>
      </c>
      <c r="I118" s="70" t="str">
        <f>IFERROR(IF(IFERROR(MATCH(114,'كشف الحساب'!$N$4:$N$203,0),0)=0,"",INDEX('كشف الحساب'!$I$4:$I$203,IFERROR(MATCH(114,'كشف الحساب'!$N$4:$N$203,0),0))),"")</f>
        <v/>
      </c>
      <c r="J118" s="74" t="str">
        <f>IFERROR(IF(IFERROR(MATCH(114,'كشف الحساب'!$N$4:$N$203,0),0)=0,"",INDEX('كشف الحساب'!$J$4:$J$203,IFERROR(MATCH(114,'كشف الحساب'!$N$4:$N$203,0),0))),"")</f>
        <v/>
      </c>
      <c r="K118" s="70" t="str">
        <f>IFERROR(IF(IFERROR(MATCH(114,'كشف الحساب'!$N$4:$N$203,0),0)=0,"",INDEX('كشف الحساب'!$K$4:$K$203,IFERROR(MATCH(114,'كشف الحساب'!$N$4:$N$203,0),0))),"")</f>
        <v/>
      </c>
    </row>
    <row r="119" spans="1:11" ht="15" customHeight="1" x14ac:dyDescent="0.25">
      <c r="A119" s="63" t="str">
        <f>IFERROR(IF(IFERROR(MATCH(115,'كشف الحساب'!$N$4:$N$203,0),0)=0,"",INDEX('كشف الحساب'!$A$4:$A$203,IFERROR(MATCH(115,'كشف الحساب'!$N$4:$N$203,0),0))),"")</f>
        <v/>
      </c>
      <c r="B119" s="64" t="str">
        <f>IFERROR(IF(IFERROR(MATCH(115,'كشف الحساب'!$N$4:$N$203,0),0)=0,"",INDEX('كشف الحساب'!$B$4:$B$203,IFERROR(MATCH(115,'كشف الحساب'!$N$4:$N$203,0),0))),"")</f>
        <v/>
      </c>
      <c r="C119" s="65" t="str">
        <f>IFERROR(IF(IFERROR(MATCH(115,'كشف الحساب'!$N$4:$N$203,0),0)=0,"",INDEX('كشف الحساب'!$C$4:$C$203,IFERROR(MATCH(115,'كشف الحساب'!$N$4:$N$203,0),0))),"")</f>
        <v/>
      </c>
      <c r="D119" s="66" t="str">
        <f>IFERROR(IF(IFERROR(MATCH(115,'كشف الحساب'!$N$4:$N$203,0),0)=0,"",INDEX('كشف الحساب'!$D$4:$D$203,IFERROR(MATCH(115,'كشف الحساب'!$N$4:$N$203,0),0))),"")</f>
        <v/>
      </c>
      <c r="E119" s="67" t="str">
        <f>IFERROR(IF(IFERROR(MATCH(115,'كشف الحساب'!$N$4:$N$203,0),0)=0,"",INDEX('كشف الحساب'!$E$4:$E$203,IFERROR(MATCH(115,'كشف الحساب'!$N$4:$N$203,0),0))),"")</f>
        <v/>
      </c>
      <c r="F119" s="64" t="str">
        <f>IFERROR(IF(IFERROR(MATCH(115,'كشف الحساب'!$N$4:$N$203,0),0)=0,"",INDEX('كشف الحساب'!$F$4:$F$203,IFERROR(MATCH(115,'كشف الحساب'!$N$4:$N$203,0),0))),"")</f>
        <v/>
      </c>
      <c r="G119" s="64" t="str">
        <f>IFERROR(IF(IFERROR(MATCH(115,'كشف الحساب'!$N$4:$N$203,0),0)=0,"",INDEX('كشف الحساب'!$G$4:$G$203,IFERROR(MATCH(115,'كشف الحساب'!$N$4:$N$203,0),0))),"")</f>
        <v/>
      </c>
      <c r="H119" s="64" t="str">
        <f>IFERROR(IF(IFERROR(MATCH(115,'كشف الحساب'!$N$4:$N$203,0),0)=0,"",INDEX('كشف الحساب'!$H$4:$H$203,IFERROR(MATCH(115,'كشف الحساب'!$N$4:$N$203,0),0))),"")</f>
        <v/>
      </c>
      <c r="I119" s="64" t="str">
        <f>IFERROR(IF(IFERROR(MATCH(115,'كشف الحساب'!$N$4:$N$203,0),0)=0,"",INDEX('كشف الحساب'!$I$4:$I$203,IFERROR(MATCH(115,'كشف الحساب'!$N$4:$N$203,0),0))),"")</f>
        <v/>
      </c>
      <c r="J119" s="68" t="str">
        <f>IFERROR(IF(IFERROR(MATCH(115,'كشف الحساب'!$N$4:$N$203,0),0)=0,"",INDEX('كشف الحساب'!$J$4:$J$203,IFERROR(MATCH(115,'كشف الحساب'!$N$4:$N$203,0),0))),"")</f>
        <v/>
      </c>
      <c r="K119" s="64" t="str">
        <f>IFERROR(IF(IFERROR(MATCH(115,'كشف الحساب'!$N$4:$N$203,0),0)=0,"",INDEX('كشف الحساب'!$K$4:$K$203,IFERROR(MATCH(115,'كشف الحساب'!$N$4:$N$203,0),0))),"")</f>
        <v/>
      </c>
    </row>
    <row r="120" spans="1:11" ht="15" customHeight="1" x14ac:dyDescent="0.25">
      <c r="A120" s="69" t="str">
        <f>IFERROR(IF(IFERROR(MATCH(116,'كشف الحساب'!$N$4:$N$203,0),0)=0,"",INDEX('كشف الحساب'!$A$4:$A$203,IFERROR(MATCH(116,'كشف الحساب'!$N$4:$N$203,0),0))),"")</f>
        <v/>
      </c>
      <c r="B120" s="70" t="str">
        <f>IFERROR(IF(IFERROR(MATCH(116,'كشف الحساب'!$N$4:$N$203,0),0)=0,"",INDEX('كشف الحساب'!$B$4:$B$203,IFERROR(MATCH(116,'كشف الحساب'!$N$4:$N$203,0),0))),"")</f>
        <v/>
      </c>
      <c r="C120" s="71" t="str">
        <f>IFERROR(IF(IFERROR(MATCH(116,'كشف الحساب'!$N$4:$N$203,0),0)=0,"",INDEX('كشف الحساب'!$C$4:$C$203,IFERROR(MATCH(116,'كشف الحساب'!$N$4:$N$203,0),0))),"")</f>
        <v/>
      </c>
      <c r="D120" s="72" t="str">
        <f>IFERROR(IF(IFERROR(MATCH(116,'كشف الحساب'!$N$4:$N$203,0),0)=0,"",INDEX('كشف الحساب'!$D$4:$D$203,IFERROR(MATCH(116,'كشف الحساب'!$N$4:$N$203,0),0))),"")</f>
        <v/>
      </c>
      <c r="E120" s="73" t="str">
        <f>IFERROR(IF(IFERROR(MATCH(116,'كشف الحساب'!$N$4:$N$203,0),0)=0,"",INDEX('كشف الحساب'!$E$4:$E$203,IFERROR(MATCH(116,'كشف الحساب'!$N$4:$N$203,0),0))),"")</f>
        <v/>
      </c>
      <c r="F120" s="70" t="str">
        <f>IFERROR(IF(IFERROR(MATCH(116,'كشف الحساب'!$N$4:$N$203,0),0)=0,"",INDEX('كشف الحساب'!$F$4:$F$203,IFERROR(MATCH(116,'كشف الحساب'!$N$4:$N$203,0),0))),"")</f>
        <v/>
      </c>
      <c r="G120" s="70" t="str">
        <f>IFERROR(IF(IFERROR(MATCH(116,'كشف الحساب'!$N$4:$N$203,0),0)=0,"",INDEX('كشف الحساب'!$G$4:$G$203,IFERROR(MATCH(116,'كشف الحساب'!$N$4:$N$203,0),0))),"")</f>
        <v/>
      </c>
      <c r="H120" s="70" t="str">
        <f>IFERROR(IF(IFERROR(MATCH(116,'كشف الحساب'!$N$4:$N$203,0),0)=0,"",INDEX('كشف الحساب'!$H$4:$H$203,IFERROR(MATCH(116,'كشف الحساب'!$N$4:$N$203,0),0))),"")</f>
        <v/>
      </c>
      <c r="I120" s="70" t="str">
        <f>IFERROR(IF(IFERROR(MATCH(116,'كشف الحساب'!$N$4:$N$203,0),0)=0,"",INDEX('كشف الحساب'!$I$4:$I$203,IFERROR(MATCH(116,'كشف الحساب'!$N$4:$N$203,0),0))),"")</f>
        <v/>
      </c>
      <c r="J120" s="74" t="str">
        <f>IFERROR(IF(IFERROR(MATCH(116,'كشف الحساب'!$N$4:$N$203,0),0)=0,"",INDEX('كشف الحساب'!$J$4:$J$203,IFERROR(MATCH(116,'كشف الحساب'!$N$4:$N$203,0),0))),"")</f>
        <v/>
      </c>
      <c r="K120" s="70" t="str">
        <f>IFERROR(IF(IFERROR(MATCH(116,'كشف الحساب'!$N$4:$N$203,0),0)=0,"",INDEX('كشف الحساب'!$K$4:$K$203,IFERROR(MATCH(116,'كشف الحساب'!$N$4:$N$203,0),0))),"")</f>
        <v/>
      </c>
    </row>
    <row r="121" spans="1:11" ht="15" customHeight="1" x14ac:dyDescent="0.25">
      <c r="A121" s="63" t="str">
        <f>IFERROR(IF(IFERROR(MATCH(117,'كشف الحساب'!$N$4:$N$203,0),0)=0,"",INDEX('كشف الحساب'!$A$4:$A$203,IFERROR(MATCH(117,'كشف الحساب'!$N$4:$N$203,0),0))),"")</f>
        <v/>
      </c>
      <c r="B121" s="64" t="str">
        <f>IFERROR(IF(IFERROR(MATCH(117,'كشف الحساب'!$N$4:$N$203,0),0)=0,"",INDEX('كشف الحساب'!$B$4:$B$203,IFERROR(MATCH(117,'كشف الحساب'!$N$4:$N$203,0),0))),"")</f>
        <v/>
      </c>
      <c r="C121" s="65" t="str">
        <f>IFERROR(IF(IFERROR(MATCH(117,'كشف الحساب'!$N$4:$N$203,0),0)=0,"",INDEX('كشف الحساب'!$C$4:$C$203,IFERROR(MATCH(117,'كشف الحساب'!$N$4:$N$203,0),0))),"")</f>
        <v/>
      </c>
      <c r="D121" s="66" t="str">
        <f>IFERROR(IF(IFERROR(MATCH(117,'كشف الحساب'!$N$4:$N$203,0),0)=0,"",INDEX('كشف الحساب'!$D$4:$D$203,IFERROR(MATCH(117,'كشف الحساب'!$N$4:$N$203,0),0))),"")</f>
        <v/>
      </c>
      <c r="E121" s="67" t="str">
        <f>IFERROR(IF(IFERROR(MATCH(117,'كشف الحساب'!$N$4:$N$203,0),0)=0,"",INDEX('كشف الحساب'!$E$4:$E$203,IFERROR(MATCH(117,'كشف الحساب'!$N$4:$N$203,0),0))),"")</f>
        <v/>
      </c>
      <c r="F121" s="64" t="str">
        <f>IFERROR(IF(IFERROR(MATCH(117,'كشف الحساب'!$N$4:$N$203,0),0)=0,"",INDEX('كشف الحساب'!$F$4:$F$203,IFERROR(MATCH(117,'كشف الحساب'!$N$4:$N$203,0),0))),"")</f>
        <v/>
      </c>
      <c r="G121" s="64" t="str">
        <f>IFERROR(IF(IFERROR(MATCH(117,'كشف الحساب'!$N$4:$N$203,0),0)=0,"",INDEX('كشف الحساب'!$G$4:$G$203,IFERROR(MATCH(117,'كشف الحساب'!$N$4:$N$203,0),0))),"")</f>
        <v/>
      </c>
      <c r="H121" s="64" t="str">
        <f>IFERROR(IF(IFERROR(MATCH(117,'كشف الحساب'!$N$4:$N$203,0),0)=0,"",INDEX('كشف الحساب'!$H$4:$H$203,IFERROR(MATCH(117,'كشف الحساب'!$N$4:$N$203,0),0))),"")</f>
        <v/>
      </c>
      <c r="I121" s="64" t="str">
        <f>IFERROR(IF(IFERROR(MATCH(117,'كشف الحساب'!$N$4:$N$203,0),0)=0,"",INDEX('كشف الحساب'!$I$4:$I$203,IFERROR(MATCH(117,'كشف الحساب'!$N$4:$N$203,0),0))),"")</f>
        <v/>
      </c>
      <c r="J121" s="68" t="str">
        <f>IFERROR(IF(IFERROR(MATCH(117,'كشف الحساب'!$N$4:$N$203,0),0)=0,"",INDEX('كشف الحساب'!$J$4:$J$203,IFERROR(MATCH(117,'كشف الحساب'!$N$4:$N$203,0),0))),"")</f>
        <v/>
      </c>
      <c r="K121" s="64" t="str">
        <f>IFERROR(IF(IFERROR(MATCH(117,'كشف الحساب'!$N$4:$N$203,0),0)=0,"",INDEX('كشف الحساب'!$K$4:$K$203,IFERROR(MATCH(117,'كشف الحساب'!$N$4:$N$203,0),0))),"")</f>
        <v/>
      </c>
    </row>
    <row r="122" spans="1:11" ht="15" customHeight="1" x14ac:dyDescent="0.25">
      <c r="A122" s="69" t="str">
        <f>IFERROR(IF(IFERROR(MATCH(118,'كشف الحساب'!$N$4:$N$203,0),0)=0,"",INDEX('كشف الحساب'!$A$4:$A$203,IFERROR(MATCH(118,'كشف الحساب'!$N$4:$N$203,0),0))),"")</f>
        <v/>
      </c>
      <c r="B122" s="70" t="str">
        <f>IFERROR(IF(IFERROR(MATCH(118,'كشف الحساب'!$N$4:$N$203,0),0)=0,"",INDEX('كشف الحساب'!$B$4:$B$203,IFERROR(MATCH(118,'كشف الحساب'!$N$4:$N$203,0),0))),"")</f>
        <v/>
      </c>
      <c r="C122" s="71" t="str">
        <f>IFERROR(IF(IFERROR(MATCH(118,'كشف الحساب'!$N$4:$N$203,0),0)=0,"",INDEX('كشف الحساب'!$C$4:$C$203,IFERROR(MATCH(118,'كشف الحساب'!$N$4:$N$203,0),0))),"")</f>
        <v/>
      </c>
      <c r="D122" s="72" t="str">
        <f>IFERROR(IF(IFERROR(MATCH(118,'كشف الحساب'!$N$4:$N$203,0),0)=0,"",INDEX('كشف الحساب'!$D$4:$D$203,IFERROR(MATCH(118,'كشف الحساب'!$N$4:$N$203,0),0))),"")</f>
        <v/>
      </c>
      <c r="E122" s="73" t="str">
        <f>IFERROR(IF(IFERROR(MATCH(118,'كشف الحساب'!$N$4:$N$203,0),0)=0,"",INDEX('كشف الحساب'!$E$4:$E$203,IFERROR(MATCH(118,'كشف الحساب'!$N$4:$N$203,0),0))),"")</f>
        <v/>
      </c>
      <c r="F122" s="70" t="str">
        <f>IFERROR(IF(IFERROR(MATCH(118,'كشف الحساب'!$N$4:$N$203,0),0)=0,"",INDEX('كشف الحساب'!$F$4:$F$203,IFERROR(MATCH(118,'كشف الحساب'!$N$4:$N$203,0),0))),"")</f>
        <v/>
      </c>
      <c r="G122" s="70" t="str">
        <f>IFERROR(IF(IFERROR(MATCH(118,'كشف الحساب'!$N$4:$N$203,0),0)=0,"",INDEX('كشف الحساب'!$G$4:$G$203,IFERROR(MATCH(118,'كشف الحساب'!$N$4:$N$203,0),0))),"")</f>
        <v/>
      </c>
      <c r="H122" s="70" t="str">
        <f>IFERROR(IF(IFERROR(MATCH(118,'كشف الحساب'!$N$4:$N$203,0),0)=0,"",INDEX('كشف الحساب'!$H$4:$H$203,IFERROR(MATCH(118,'كشف الحساب'!$N$4:$N$203,0),0))),"")</f>
        <v/>
      </c>
      <c r="I122" s="70" t="str">
        <f>IFERROR(IF(IFERROR(MATCH(118,'كشف الحساب'!$N$4:$N$203,0),0)=0,"",INDEX('كشف الحساب'!$I$4:$I$203,IFERROR(MATCH(118,'كشف الحساب'!$N$4:$N$203,0),0))),"")</f>
        <v/>
      </c>
      <c r="J122" s="74" t="str">
        <f>IFERROR(IF(IFERROR(MATCH(118,'كشف الحساب'!$N$4:$N$203,0),0)=0,"",INDEX('كشف الحساب'!$J$4:$J$203,IFERROR(MATCH(118,'كشف الحساب'!$N$4:$N$203,0),0))),"")</f>
        <v/>
      </c>
      <c r="K122" s="70" t="str">
        <f>IFERROR(IF(IFERROR(MATCH(118,'كشف الحساب'!$N$4:$N$203,0),0)=0,"",INDEX('كشف الحساب'!$K$4:$K$203,IFERROR(MATCH(118,'كشف الحساب'!$N$4:$N$203,0),0))),"")</f>
        <v/>
      </c>
    </row>
    <row r="123" spans="1:11" ht="15" customHeight="1" x14ac:dyDescent="0.25">
      <c r="A123" s="63" t="str">
        <f>IFERROR(IF(IFERROR(MATCH(119,'كشف الحساب'!$N$4:$N$203,0),0)=0,"",INDEX('كشف الحساب'!$A$4:$A$203,IFERROR(MATCH(119,'كشف الحساب'!$N$4:$N$203,0),0))),"")</f>
        <v/>
      </c>
      <c r="B123" s="64" t="str">
        <f>IFERROR(IF(IFERROR(MATCH(119,'كشف الحساب'!$N$4:$N$203,0),0)=0,"",INDEX('كشف الحساب'!$B$4:$B$203,IFERROR(MATCH(119,'كشف الحساب'!$N$4:$N$203,0),0))),"")</f>
        <v/>
      </c>
      <c r="C123" s="65" t="str">
        <f>IFERROR(IF(IFERROR(MATCH(119,'كشف الحساب'!$N$4:$N$203,0),0)=0,"",INDEX('كشف الحساب'!$C$4:$C$203,IFERROR(MATCH(119,'كشف الحساب'!$N$4:$N$203,0),0))),"")</f>
        <v/>
      </c>
      <c r="D123" s="66" t="str">
        <f>IFERROR(IF(IFERROR(MATCH(119,'كشف الحساب'!$N$4:$N$203,0),0)=0,"",INDEX('كشف الحساب'!$D$4:$D$203,IFERROR(MATCH(119,'كشف الحساب'!$N$4:$N$203,0),0))),"")</f>
        <v/>
      </c>
      <c r="E123" s="67" t="str">
        <f>IFERROR(IF(IFERROR(MATCH(119,'كشف الحساب'!$N$4:$N$203,0),0)=0,"",INDEX('كشف الحساب'!$E$4:$E$203,IFERROR(MATCH(119,'كشف الحساب'!$N$4:$N$203,0),0))),"")</f>
        <v/>
      </c>
      <c r="F123" s="64" t="str">
        <f>IFERROR(IF(IFERROR(MATCH(119,'كشف الحساب'!$N$4:$N$203,0),0)=0,"",INDEX('كشف الحساب'!$F$4:$F$203,IFERROR(MATCH(119,'كشف الحساب'!$N$4:$N$203,0),0))),"")</f>
        <v/>
      </c>
      <c r="G123" s="64" t="str">
        <f>IFERROR(IF(IFERROR(MATCH(119,'كشف الحساب'!$N$4:$N$203,0),0)=0,"",INDEX('كشف الحساب'!$G$4:$G$203,IFERROR(MATCH(119,'كشف الحساب'!$N$4:$N$203,0),0))),"")</f>
        <v/>
      </c>
      <c r="H123" s="64" t="str">
        <f>IFERROR(IF(IFERROR(MATCH(119,'كشف الحساب'!$N$4:$N$203,0),0)=0,"",INDEX('كشف الحساب'!$H$4:$H$203,IFERROR(MATCH(119,'كشف الحساب'!$N$4:$N$203,0),0))),"")</f>
        <v/>
      </c>
      <c r="I123" s="64" t="str">
        <f>IFERROR(IF(IFERROR(MATCH(119,'كشف الحساب'!$N$4:$N$203,0),0)=0,"",INDEX('كشف الحساب'!$I$4:$I$203,IFERROR(MATCH(119,'كشف الحساب'!$N$4:$N$203,0),0))),"")</f>
        <v/>
      </c>
      <c r="J123" s="68" t="str">
        <f>IFERROR(IF(IFERROR(MATCH(119,'كشف الحساب'!$N$4:$N$203,0),0)=0,"",INDEX('كشف الحساب'!$J$4:$J$203,IFERROR(MATCH(119,'كشف الحساب'!$N$4:$N$203,0),0))),"")</f>
        <v/>
      </c>
      <c r="K123" s="64" t="str">
        <f>IFERROR(IF(IFERROR(MATCH(119,'كشف الحساب'!$N$4:$N$203,0),0)=0,"",INDEX('كشف الحساب'!$K$4:$K$203,IFERROR(MATCH(119,'كشف الحساب'!$N$4:$N$203,0),0))),"")</f>
        <v/>
      </c>
    </row>
    <row r="124" spans="1:11" ht="15" customHeight="1" x14ac:dyDescent="0.25">
      <c r="A124" s="69" t="str">
        <f>IFERROR(IF(IFERROR(MATCH(120,'كشف الحساب'!$N$4:$N$203,0),0)=0,"",INDEX('كشف الحساب'!$A$4:$A$203,IFERROR(MATCH(120,'كشف الحساب'!$N$4:$N$203,0),0))),"")</f>
        <v/>
      </c>
      <c r="B124" s="70" t="str">
        <f>IFERROR(IF(IFERROR(MATCH(120,'كشف الحساب'!$N$4:$N$203,0),0)=0,"",INDEX('كشف الحساب'!$B$4:$B$203,IFERROR(MATCH(120,'كشف الحساب'!$N$4:$N$203,0),0))),"")</f>
        <v/>
      </c>
      <c r="C124" s="71" t="str">
        <f>IFERROR(IF(IFERROR(MATCH(120,'كشف الحساب'!$N$4:$N$203,0),0)=0,"",INDEX('كشف الحساب'!$C$4:$C$203,IFERROR(MATCH(120,'كشف الحساب'!$N$4:$N$203,0),0))),"")</f>
        <v/>
      </c>
      <c r="D124" s="72" t="str">
        <f>IFERROR(IF(IFERROR(MATCH(120,'كشف الحساب'!$N$4:$N$203,0),0)=0,"",INDEX('كشف الحساب'!$D$4:$D$203,IFERROR(MATCH(120,'كشف الحساب'!$N$4:$N$203,0),0))),"")</f>
        <v/>
      </c>
      <c r="E124" s="73" t="str">
        <f>IFERROR(IF(IFERROR(MATCH(120,'كشف الحساب'!$N$4:$N$203,0),0)=0,"",INDEX('كشف الحساب'!$E$4:$E$203,IFERROR(MATCH(120,'كشف الحساب'!$N$4:$N$203,0),0))),"")</f>
        <v/>
      </c>
      <c r="F124" s="70" t="str">
        <f>IFERROR(IF(IFERROR(MATCH(120,'كشف الحساب'!$N$4:$N$203,0),0)=0,"",INDEX('كشف الحساب'!$F$4:$F$203,IFERROR(MATCH(120,'كشف الحساب'!$N$4:$N$203,0),0))),"")</f>
        <v/>
      </c>
      <c r="G124" s="70" t="str">
        <f>IFERROR(IF(IFERROR(MATCH(120,'كشف الحساب'!$N$4:$N$203,0),0)=0,"",INDEX('كشف الحساب'!$G$4:$G$203,IFERROR(MATCH(120,'كشف الحساب'!$N$4:$N$203,0),0))),"")</f>
        <v/>
      </c>
      <c r="H124" s="70" t="str">
        <f>IFERROR(IF(IFERROR(MATCH(120,'كشف الحساب'!$N$4:$N$203,0),0)=0,"",INDEX('كشف الحساب'!$H$4:$H$203,IFERROR(MATCH(120,'كشف الحساب'!$N$4:$N$203,0),0))),"")</f>
        <v/>
      </c>
      <c r="I124" s="70" t="str">
        <f>IFERROR(IF(IFERROR(MATCH(120,'كشف الحساب'!$N$4:$N$203,0),0)=0,"",INDEX('كشف الحساب'!$I$4:$I$203,IFERROR(MATCH(120,'كشف الحساب'!$N$4:$N$203,0),0))),"")</f>
        <v/>
      </c>
      <c r="J124" s="74" t="str">
        <f>IFERROR(IF(IFERROR(MATCH(120,'كشف الحساب'!$N$4:$N$203,0),0)=0,"",INDEX('كشف الحساب'!$J$4:$J$203,IFERROR(MATCH(120,'كشف الحساب'!$N$4:$N$203,0),0))),"")</f>
        <v/>
      </c>
      <c r="K124" s="70" t="str">
        <f>IFERROR(IF(IFERROR(MATCH(120,'كشف الحساب'!$N$4:$N$203,0),0)=0,"",INDEX('كشف الحساب'!$K$4:$K$203,IFERROR(MATCH(120,'كشف الحساب'!$N$4:$N$203,0),0))),"")</f>
        <v/>
      </c>
    </row>
    <row r="125" spans="1:11" ht="15" customHeight="1" x14ac:dyDescent="0.25">
      <c r="A125" s="63" t="str">
        <f>IFERROR(IF(IFERROR(MATCH(121,'كشف الحساب'!$N$4:$N$203,0),0)=0,"",INDEX('كشف الحساب'!$A$4:$A$203,IFERROR(MATCH(121,'كشف الحساب'!$N$4:$N$203,0),0))),"")</f>
        <v/>
      </c>
      <c r="B125" s="64" t="str">
        <f>IFERROR(IF(IFERROR(MATCH(121,'كشف الحساب'!$N$4:$N$203,0),0)=0,"",INDEX('كشف الحساب'!$B$4:$B$203,IFERROR(MATCH(121,'كشف الحساب'!$N$4:$N$203,0),0))),"")</f>
        <v/>
      </c>
      <c r="C125" s="65" t="str">
        <f>IFERROR(IF(IFERROR(MATCH(121,'كشف الحساب'!$N$4:$N$203,0),0)=0,"",INDEX('كشف الحساب'!$C$4:$C$203,IFERROR(MATCH(121,'كشف الحساب'!$N$4:$N$203,0),0))),"")</f>
        <v/>
      </c>
      <c r="D125" s="66" t="str">
        <f>IFERROR(IF(IFERROR(MATCH(121,'كشف الحساب'!$N$4:$N$203,0),0)=0,"",INDEX('كشف الحساب'!$D$4:$D$203,IFERROR(MATCH(121,'كشف الحساب'!$N$4:$N$203,0),0))),"")</f>
        <v/>
      </c>
      <c r="E125" s="67" t="str">
        <f>IFERROR(IF(IFERROR(MATCH(121,'كشف الحساب'!$N$4:$N$203,0),0)=0,"",INDEX('كشف الحساب'!$E$4:$E$203,IFERROR(MATCH(121,'كشف الحساب'!$N$4:$N$203,0),0))),"")</f>
        <v/>
      </c>
      <c r="F125" s="64" t="str">
        <f>IFERROR(IF(IFERROR(MATCH(121,'كشف الحساب'!$N$4:$N$203,0),0)=0,"",INDEX('كشف الحساب'!$F$4:$F$203,IFERROR(MATCH(121,'كشف الحساب'!$N$4:$N$203,0),0))),"")</f>
        <v/>
      </c>
      <c r="G125" s="64" t="str">
        <f>IFERROR(IF(IFERROR(MATCH(121,'كشف الحساب'!$N$4:$N$203,0),0)=0,"",INDEX('كشف الحساب'!$G$4:$G$203,IFERROR(MATCH(121,'كشف الحساب'!$N$4:$N$203,0),0))),"")</f>
        <v/>
      </c>
      <c r="H125" s="64" t="str">
        <f>IFERROR(IF(IFERROR(MATCH(121,'كشف الحساب'!$N$4:$N$203,0),0)=0,"",INDEX('كشف الحساب'!$H$4:$H$203,IFERROR(MATCH(121,'كشف الحساب'!$N$4:$N$203,0),0))),"")</f>
        <v/>
      </c>
      <c r="I125" s="64" t="str">
        <f>IFERROR(IF(IFERROR(MATCH(121,'كشف الحساب'!$N$4:$N$203,0),0)=0,"",INDEX('كشف الحساب'!$I$4:$I$203,IFERROR(MATCH(121,'كشف الحساب'!$N$4:$N$203,0),0))),"")</f>
        <v/>
      </c>
      <c r="J125" s="68" t="str">
        <f>IFERROR(IF(IFERROR(MATCH(121,'كشف الحساب'!$N$4:$N$203,0),0)=0,"",INDEX('كشف الحساب'!$J$4:$J$203,IFERROR(MATCH(121,'كشف الحساب'!$N$4:$N$203,0),0))),"")</f>
        <v/>
      </c>
      <c r="K125" s="64" t="str">
        <f>IFERROR(IF(IFERROR(MATCH(121,'كشف الحساب'!$N$4:$N$203,0),0)=0,"",INDEX('كشف الحساب'!$K$4:$K$203,IFERROR(MATCH(121,'كشف الحساب'!$N$4:$N$203,0),0))),"")</f>
        <v/>
      </c>
    </row>
    <row r="126" spans="1:11" ht="15" customHeight="1" x14ac:dyDescent="0.25">
      <c r="A126" s="69" t="str">
        <f>IFERROR(IF(IFERROR(MATCH(122,'كشف الحساب'!$N$4:$N$203,0),0)=0,"",INDEX('كشف الحساب'!$A$4:$A$203,IFERROR(MATCH(122,'كشف الحساب'!$N$4:$N$203,0),0))),"")</f>
        <v/>
      </c>
      <c r="B126" s="70" t="str">
        <f>IFERROR(IF(IFERROR(MATCH(122,'كشف الحساب'!$N$4:$N$203,0),0)=0,"",INDEX('كشف الحساب'!$B$4:$B$203,IFERROR(MATCH(122,'كشف الحساب'!$N$4:$N$203,0),0))),"")</f>
        <v/>
      </c>
      <c r="C126" s="71" t="str">
        <f>IFERROR(IF(IFERROR(MATCH(122,'كشف الحساب'!$N$4:$N$203,0),0)=0,"",INDEX('كشف الحساب'!$C$4:$C$203,IFERROR(MATCH(122,'كشف الحساب'!$N$4:$N$203,0),0))),"")</f>
        <v/>
      </c>
      <c r="D126" s="72" t="str">
        <f>IFERROR(IF(IFERROR(MATCH(122,'كشف الحساب'!$N$4:$N$203,0),0)=0,"",INDEX('كشف الحساب'!$D$4:$D$203,IFERROR(MATCH(122,'كشف الحساب'!$N$4:$N$203,0),0))),"")</f>
        <v/>
      </c>
      <c r="E126" s="73" t="str">
        <f>IFERROR(IF(IFERROR(MATCH(122,'كشف الحساب'!$N$4:$N$203,0),0)=0,"",INDEX('كشف الحساب'!$E$4:$E$203,IFERROR(MATCH(122,'كشف الحساب'!$N$4:$N$203,0),0))),"")</f>
        <v/>
      </c>
      <c r="F126" s="70" t="str">
        <f>IFERROR(IF(IFERROR(MATCH(122,'كشف الحساب'!$N$4:$N$203,0),0)=0,"",INDEX('كشف الحساب'!$F$4:$F$203,IFERROR(MATCH(122,'كشف الحساب'!$N$4:$N$203,0),0))),"")</f>
        <v/>
      </c>
      <c r="G126" s="70" t="str">
        <f>IFERROR(IF(IFERROR(MATCH(122,'كشف الحساب'!$N$4:$N$203,0),0)=0,"",INDEX('كشف الحساب'!$G$4:$G$203,IFERROR(MATCH(122,'كشف الحساب'!$N$4:$N$203,0),0))),"")</f>
        <v/>
      </c>
      <c r="H126" s="70" t="str">
        <f>IFERROR(IF(IFERROR(MATCH(122,'كشف الحساب'!$N$4:$N$203,0),0)=0,"",INDEX('كشف الحساب'!$H$4:$H$203,IFERROR(MATCH(122,'كشف الحساب'!$N$4:$N$203,0),0))),"")</f>
        <v/>
      </c>
      <c r="I126" s="70" t="str">
        <f>IFERROR(IF(IFERROR(MATCH(122,'كشف الحساب'!$N$4:$N$203,0),0)=0,"",INDEX('كشف الحساب'!$I$4:$I$203,IFERROR(MATCH(122,'كشف الحساب'!$N$4:$N$203,0),0))),"")</f>
        <v/>
      </c>
      <c r="J126" s="74" t="str">
        <f>IFERROR(IF(IFERROR(MATCH(122,'كشف الحساب'!$N$4:$N$203,0),0)=0,"",INDEX('كشف الحساب'!$J$4:$J$203,IFERROR(MATCH(122,'كشف الحساب'!$N$4:$N$203,0),0))),"")</f>
        <v/>
      </c>
      <c r="K126" s="70" t="str">
        <f>IFERROR(IF(IFERROR(MATCH(122,'كشف الحساب'!$N$4:$N$203,0),0)=0,"",INDEX('كشف الحساب'!$K$4:$K$203,IFERROR(MATCH(122,'كشف الحساب'!$N$4:$N$203,0),0))),"")</f>
        <v/>
      </c>
    </row>
    <row r="127" spans="1:11" ht="15" customHeight="1" x14ac:dyDescent="0.25">
      <c r="A127" s="63" t="str">
        <f>IFERROR(IF(IFERROR(MATCH(123,'كشف الحساب'!$N$4:$N$203,0),0)=0,"",INDEX('كشف الحساب'!$A$4:$A$203,IFERROR(MATCH(123,'كشف الحساب'!$N$4:$N$203,0),0))),"")</f>
        <v/>
      </c>
      <c r="B127" s="64" t="str">
        <f>IFERROR(IF(IFERROR(MATCH(123,'كشف الحساب'!$N$4:$N$203,0),0)=0,"",INDEX('كشف الحساب'!$B$4:$B$203,IFERROR(MATCH(123,'كشف الحساب'!$N$4:$N$203,0),0))),"")</f>
        <v/>
      </c>
      <c r="C127" s="65" t="str">
        <f>IFERROR(IF(IFERROR(MATCH(123,'كشف الحساب'!$N$4:$N$203,0),0)=0,"",INDEX('كشف الحساب'!$C$4:$C$203,IFERROR(MATCH(123,'كشف الحساب'!$N$4:$N$203,0),0))),"")</f>
        <v/>
      </c>
      <c r="D127" s="66" t="str">
        <f>IFERROR(IF(IFERROR(MATCH(123,'كشف الحساب'!$N$4:$N$203,0),0)=0,"",INDEX('كشف الحساب'!$D$4:$D$203,IFERROR(MATCH(123,'كشف الحساب'!$N$4:$N$203,0),0))),"")</f>
        <v/>
      </c>
      <c r="E127" s="67" t="str">
        <f>IFERROR(IF(IFERROR(MATCH(123,'كشف الحساب'!$N$4:$N$203,0),0)=0,"",INDEX('كشف الحساب'!$E$4:$E$203,IFERROR(MATCH(123,'كشف الحساب'!$N$4:$N$203,0),0))),"")</f>
        <v/>
      </c>
      <c r="F127" s="64" t="str">
        <f>IFERROR(IF(IFERROR(MATCH(123,'كشف الحساب'!$N$4:$N$203,0),0)=0,"",INDEX('كشف الحساب'!$F$4:$F$203,IFERROR(MATCH(123,'كشف الحساب'!$N$4:$N$203,0),0))),"")</f>
        <v/>
      </c>
      <c r="G127" s="64" t="str">
        <f>IFERROR(IF(IFERROR(MATCH(123,'كشف الحساب'!$N$4:$N$203,0),0)=0,"",INDEX('كشف الحساب'!$G$4:$G$203,IFERROR(MATCH(123,'كشف الحساب'!$N$4:$N$203,0),0))),"")</f>
        <v/>
      </c>
      <c r="H127" s="64" t="str">
        <f>IFERROR(IF(IFERROR(MATCH(123,'كشف الحساب'!$N$4:$N$203,0),0)=0,"",INDEX('كشف الحساب'!$H$4:$H$203,IFERROR(MATCH(123,'كشف الحساب'!$N$4:$N$203,0),0))),"")</f>
        <v/>
      </c>
      <c r="I127" s="64" t="str">
        <f>IFERROR(IF(IFERROR(MATCH(123,'كشف الحساب'!$N$4:$N$203,0),0)=0,"",INDEX('كشف الحساب'!$I$4:$I$203,IFERROR(MATCH(123,'كشف الحساب'!$N$4:$N$203,0),0))),"")</f>
        <v/>
      </c>
      <c r="J127" s="68" t="str">
        <f>IFERROR(IF(IFERROR(MATCH(123,'كشف الحساب'!$N$4:$N$203,0),0)=0,"",INDEX('كشف الحساب'!$J$4:$J$203,IFERROR(MATCH(123,'كشف الحساب'!$N$4:$N$203,0),0))),"")</f>
        <v/>
      </c>
      <c r="K127" s="64" t="str">
        <f>IFERROR(IF(IFERROR(MATCH(123,'كشف الحساب'!$N$4:$N$203,0),0)=0,"",INDEX('كشف الحساب'!$K$4:$K$203,IFERROR(MATCH(123,'كشف الحساب'!$N$4:$N$203,0),0))),"")</f>
        <v/>
      </c>
    </row>
    <row r="128" spans="1:11" ht="15" customHeight="1" x14ac:dyDescent="0.25">
      <c r="A128" s="69" t="str">
        <f>IFERROR(IF(IFERROR(MATCH(124,'كشف الحساب'!$N$4:$N$203,0),0)=0,"",INDEX('كشف الحساب'!$A$4:$A$203,IFERROR(MATCH(124,'كشف الحساب'!$N$4:$N$203,0),0))),"")</f>
        <v/>
      </c>
      <c r="B128" s="70" t="str">
        <f>IFERROR(IF(IFERROR(MATCH(124,'كشف الحساب'!$N$4:$N$203,0),0)=0,"",INDEX('كشف الحساب'!$B$4:$B$203,IFERROR(MATCH(124,'كشف الحساب'!$N$4:$N$203,0),0))),"")</f>
        <v/>
      </c>
      <c r="C128" s="71" t="str">
        <f>IFERROR(IF(IFERROR(MATCH(124,'كشف الحساب'!$N$4:$N$203,0),0)=0,"",INDEX('كشف الحساب'!$C$4:$C$203,IFERROR(MATCH(124,'كشف الحساب'!$N$4:$N$203,0),0))),"")</f>
        <v/>
      </c>
      <c r="D128" s="72" t="str">
        <f>IFERROR(IF(IFERROR(MATCH(124,'كشف الحساب'!$N$4:$N$203,0),0)=0,"",INDEX('كشف الحساب'!$D$4:$D$203,IFERROR(MATCH(124,'كشف الحساب'!$N$4:$N$203,0),0))),"")</f>
        <v/>
      </c>
      <c r="E128" s="73" t="str">
        <f>IFERROR(IF(IFERROR(MATCH(124,'كشف الحساب'!$N$4:$N$203,0),0)=0,"",INDEX('كشف الحساب'!$E$4:$E$203,IFERROR(MATCH(124,'كشف الحساب'!$N$4:$N$203,0),0))),"")</f>
        <v/>
      </c>
      <c r="F128" s="70" t="str">
        <f>IFERROR(IF(IFERROR(MATCH(124,'كشف الحساب'!$N$4:$N$203,0),0)=0,"",INDEX('كشف الحساب'!$F$4:$F$203,IFERROR(MATCH(124,'كشف الحساب'!$N$4:$N$203,0),0))),"")</f>
        <v/>
      </c>
      <c r="G128" s="70" t="str">
        <f>IFERROR(IF(IFERROR(MATCH(124,'كشف الحساب'!$N$4:$N$203,0),0)=0,"",INDEX('كشف الحساب'!$G$4:$G$203,IFERROR(MATCH(124,'كشف الحساب'!$N$4:$N$203,0),0))),"")</f>
        <v/>
      </c>
      <c r="H128" s="70" t="str">
        <f>IFERROR(IF(IFERROR(MATCH(124,'كشف الحساب'!$N$4:$N$203,0),0)=0,"",INDEX('كشف الحساب'!$H$4:$H$203,IFERROR(MATCH(124,'كشف الحساب'!$N$4:$N$203,0),0))),"")</f>
        <v/>
      </c>
      <c r="I128" s="70" t="str">
        <f>IFERROR(IF(IFERROR(MATCH(124,'كشف الحساب'!$N$4:$N$203,0),0)=0,"",INDEX('كشف الحساب'!$I$4:$I$203,IFERROR(MATCH(124,'كشف الحساب'!$N$4:$N$203,0),0))),"")</f>
        <v/>
      </c>
      <c r="J128" s="74" t="str">
        <f>IFERROR(IF(IFERROR(MATCH(124,'كشف الحساب'!$N$4:$N$203,0),0)=0,"",INDEX('كشف الحساب'!$J$4:$J$203,IFERROR(MATCH(124,'كشف الحساب'!$N$4:$N$203,0),0))),"")</f>
        <v/>
      </c>
      <c r="K128" s="70" t="str">
        <f>IFERROR(IF(IFERROR(MATCH(124,'كشف الحساب'!$N$4:$N$203,0),0)=0,"",INDEX('كشف الحساب'!$K$4:$K$203,IFERROR(MATCH(124,'كشف الحساب'!$N$4:$N$203,0),0))),"")</f>
        <v/>
      </c>
    </row>
    <row r="129" spans="1:11" ht="15" customHeight="1" x14ac:dyDescent="0.25">
      <c r="A129" s="63" t="str">
        <f>IFERROR(IF(IFERROR(MATCH(125,'كشف الحساب'!$N$4:$N$203,0),0)=0,"",INDEX('كشف الحساب'!$A$4:$A$203,IFERROR(MATCH(125,'كشف الحساب'!$N$4:$N$203,0),0))),"")</f>
        <v/>
      </c>
      <c r="B129" s="64" t="str">
        <f>IFERROR(IF(IFERROR(MATCH(125,'كشف الحساب'!$N$4:$N$203,0),0)=0,"",INDEX('كشف الحساب'!$B$4:$B$203,IFERROR(MATCH(125,'كشف الحساب'!$N$4:$N$203,0),0))),"")</f>
        <v/>
      </c>
      <c r="C129" s="65" t="str">
        <f>IFERROR(IF(IFERROR(MATCH(125,'كشف الحساب'!$N$4:$N$203,0),0)=0,"",INDEX('كشف الحساب'!$C$4:$C$203,IFERROR(MATCH(125,'كشف الحساب'!$N$4:$N$203,0),0))),"")</f>
        <v/>
      </c>
      <c r="D129" s="66" t="str">
        <f>IFERROR(IF(IFERROR(MATCH(125,'كشف الحساب'!$N$4:$N$203,0),0)=0,"",INDEX('كشف الحساب'!$D$4:$D$203,IFERROR(MATCH(125,'كشف الحساب'!$N$4:$N$203,0),0))),"")</f>
        <v/>
      </c>
      <c r="E129" s="67" t="str">
        <f>IFERROR(IF(IFERROR(MATCH(125,'كشف الحساب'!$N$4:$N$203,0),0)=0,"",INDEX('كشف الحساب'!$E$4:$E$203,IFERROR(MATCH(125,'كشف الحساب'!$N$4:$N$203,0),0))),"")</f>
        <v/>
      </c>
      <c r="F129" s="64" t="str">
        <f>IFERROR(IF(IFERROR(MATCH(125,'كشف الحساب'!$N$4:$N$203,0),0)=0,"",INDEX('كشف الحساب'!$F$4:$F$203,IFERROR(MATCH(125,'كشف الحساب'!$N$4:$N$203,0),0))),"")</f>
        <v/>
      </c>
      <c r="G129" s="64" t="str">
        <f>IFERROR(IF(IFERROR(MATCH(125,'كشف الحساب'!$N$4:$N$203,0),0)=0,"",INDEX('كشف الحساب'!$G$4:$G$203,IFERROR(MATCH(125,'كشف الحساب'!$N$4:$N$203,0),0))),"")</f>
        <v/>
      </c>
      <c r="H129" s="64" t="str">
        <f>IFERROR(IF(IFERROR(MATCH(125,'كشف الحساب'!$N$4:$N$203,0),0)=0,"",INDEX('كشف الحساب'!$H$4:$H$203,IFERROR(MATCH(125,'كشف الحساب'!$N$4:$N$203,0),0))),"")</f>
        <v/>
      </c>
      <c r="I129" s="64" t="str">
        <f>IFERROR(IF(IFERROR(MATCH(125,'كشف الحساب'!$N$4:$N$203,0),0)=0,"",INDEX('كشف الحساب'!$I$4:$I$203,IFERROR(MATCH(125,'كشف الحساب'!$N$4:$N$203,0),0))),"")</f>
        <v/>
      </c>
      <c r="J129" s="68" t="str">
        <f>IFERROR(IF(IFERROR(MATCH(125,'كشف الحساب'!$N$4:$N$203,0),0)=0,"",INDEX('كشف الحساب'!$J$4:$J$203,IFERROR(MATCH(125,'كشف الحساب'!$N$4:$N$203,0),0))),"")</f>
        <v/>
      </c>
      <c r="K129" s="64" t="str">
        <f>IFERROR(IF(IFERROR(MATCH(125,'كشف الحساب'!$N$4:$N$203,0),0)=0,"",INDEX('كشف الحساب'!$K$4:$K$203,IFERROR(MATCH(125,'كشف الحساب'!$N$4:$N$203,0),0))),"")</f>
        <v/>
      </c>
    </row>
    <row r="130" spans="1:11" ht="15" customHeight="1" x14ac:dyDescent="0.25">
      <c r="A130" s="69" t="str">
        <f>IFERROR(IF(IFERROR(MATCH(126,'كشف الحساب'!$N$4:$N$203,0),0)=0,"",INDEX('كشف الحساب'!$A$4:$A$203,IFERROR(MATCH(126,'كشف الحساب'!$N$4:$N$203,0),0))),"")</f>
        <v/>
      </c>
      <c r="B130" s="70" t="str">
        <f>IFERROR(IF(IFERROR(MATCH(126,'كشف الحساب'!$N$4:$N$203,0),0)=0,"",INDEX('كشف الحساب'!$B$4:$B$203,IFERROR(MATCH(126,'كشف الحساب'!$N$4:$N$203,0),0))),"")</f>
        <v/>
      </c>
      <c r="C130" s="71" t="str">
        <f>IFERROR(IF(IFERROR(MATCH(126,'كشف الحساب'!$N$4:$N$203,0),0)=0,"",INDEX('كشف الحساب'!$C$4:$C$203,IFERROR(MATCH(126,'كشف الحساب'!$N$4:$N$203,0),0))),"")</f>
        <v/>
      </c>
      <c r="D130" s="72" t="str">
        <f>IFERROR(IF(IFERROR(MATCH(126,'كشف الحساب'!$N$4:$N$203,0),0)=0,"",INDEX('كشف الحساب'!$D$4:$D$203,IFERROR(MATCH(126,'كشف الحساب'!$N$4:$N$203,0),0))),"")</f>
        <v/>
      </c>
      <c r="E130" s="73" t="str">
        <f>IFERROR(IF(IFERROR(MATCH(126,'كشف الحساب'!$N$4:$N$203,0),0)=0,"",INDEX('كشف الحساب'!$E$4:$E$203,IFERROR(MATCH(126,'كشف الحساب'!$N$4:$N$203,0),0))),"")</f>
        <v/>
      </c>
      <c r="F130" s="70" t="str">
        <f>IFERROR(IF(IFERROR(MATCH(126,'كشف الحساب'!$N$4:$N$203,0),0)=0,"",INDEX('كشف الحساب'!$F$4:$F$203,IFERROR(MATCH(126,'كشف الحساب'!$N$4:$N$203,0),0))),"")</f>
        <v/>
      </c>
      <c r="G130" s="70" t="str">
        <f>IFERROR(IF(IFERROR(MATCH(126,'كشف الحساب'!$N$4:$N$203,0),0)=0,"",INDEX('كشف الحساب'!$G$4:$G$203,IFERROR(MATCH(126,'كشف الحساب'!$N$4:$N$203,0),0))),"")</f>
        <v/>
      </c>
      <c r="H130" s="70" t="str">
        <f>IFERROR(IF(IFERROR(MATCH(126,'كشف الحساب'!$N$4:$N$203,0),0)=0,"",INDEX('كشف الحساب'!$H$4:$H$203,IFERROR(MATCH(126,'كشف الحساب'!$N$4:$N$203,0),0))),"")</f>
        <v/>
      </c>
      <c r="I130" s="70" t="str">
        <f>IFERROR(IF(IFERROR(MATCH(126,'كشف الحساب'!$N$4:$N$203,0),0)=0,"",INDEX('كشف الحساب'!$I$4:$I$203,IFERROR(MATCH(126,'كشف الحساب'!$N$4:$N$203,0),0))),"")</f>
        <v/>
      </c>
      <c r="J130" s="74" t="str">
        <f>IFERROR(IF(IFERROR(MATCH(126,'كشف الحساب'!$N$4:$N$203,0),0)=0,"",INDEX('كشف الحساب'!$J$4:$J$203,IFERROR(MATCH(126,'كشف الحساب'!$N$4:$N$203,0),0))),"")</f>
        <v/>
      </c>
      <c r="K130" s="70" t="str">
        <f>IFERROR(IF(IFERROR(MATCH(126,'كشف الحساب'!$N$4:$N$203,0),0)=0,"",INDEX('كشف الحساب'!$K$4:$K$203,IFERROR(MATCH(126,'كشف الحساب'!$N$4:$N$203,0),0))),"")</f>
        <v/>
      </c>
    </row>
    <row r="131" spans="1:11" ht="15" customHeight="1" x14ac:dyDescent="0.25">
      <c r="A131" s="63" t="str">
        <f>IFERROR(IF(IFERROR(MATCH(127,'كشف الحساب'!$N$4:$N$203,0),0)=0,"",INDEX('كشف الحساب'!$A$4:$A$203,IFERROR(MATCH(127,'كشف الحساب'!$N$4:$N$203,0),0))),"")</f>
        <v/>
      </c>
      <c r="B131" s="64" t="str">
        <f>IFERROR(IF(IFERROR(MATCH(127,'كشف الحساب'!$N$4:$N$203,0),0)=0,"",INDEX('كشف الحساب'!$B$4:$B$203,IFERROR(MATCH(127,'كشف الحساب'!$N$4:$N$203,0),0))),"")</f>
        <v/>
      </c>
      <c r="C131" s="65" t="str">
        <f>IFERROR(IF(IFERROR(MATCH(127,'كشف الحساب'!$N$4:$N$203,0),0)=0,"",INDEX('كشف الحساب'!$C$4:$C$203,IFERROR(MATCH(127,'كشف الحساب'!$N$4:$N$203,0),0))),"")</f>
        <v/>
      </c>
      <c r="D131" s="66" t="str">
        <f>IFERROR(IF(IFERROR(MATCH(127,'كشف الحساب'!$N$4:$N$203,0),0)=0,"",INDEX('كشف الحساب'!$D$4:$D$203,IFERROR(MATCH(127,'كشف الحساب'!$N$4:$N$203,0),0))),"")</f>
        <v/>
      </c>
      <c r="E131" s="67" t="str">
        <f>IFERROR(IF(IFERROR(MATCH(127,'كشف الحساب'!$N$4:$N$203,0),0)=0,"",INDEX('كشف الحساب'!$E$4:$E$203,IFERROR(MATCH(127,'كشف الحساب'!$N$4:$N$203,0),0))),"")</f>
        <v/>
      </c>
      <c r="F131" s="64" t="str">
        <f>IFERROR(IF(IFERROR(MATCH(127,'كشف الحساب'!$N$4:$N$203,0),0)=0,"",INDEX('كشف الحساب'!$F$4:$F$203,IFERROR(MATCH(127,'كشف الحساب'!$N$4:$N$203,0),0))),"")</f>
        <v/>
      </c>
      <c r="G131" s="64" t="str">
        <f>IFERROR(IF(IFERROR(MATCH(127,'كشف الحساب'!$N$4:$N$203,0),0)=0,"",INDEX('كشف الحساب'!$G$4:$G$203,IFERROR(MATCH(127,'كشف الحساب'!$N$4:$N$203,0),0))),"")</f>
        <v/>
      </c>
      <c r="H131" s="64" t="str">
        <f>IFERROR(IF(IFERROR(MATCH(127,'كشف الحساب'!$N$4:$N$203,0),0)=0,"",INDEX('كشف الحساب'!$H$4:$H$203,IFERROR(MATCH(127,'كشف الحساب'!$N$4:$N$203,0),0))),"")</f>
        <v/>
      </c>
      <c r="I131" s="64" t="str">
        <f>IFERROR(IF(IFERROR(MATCH(127,'كشف الحساب'!$N$4:$N$203,0),0)=0,"",INDEX('كشف الحساب'!$I$4:$I$203,IFERROR(MATCH(127,'كشف الحساب'!$N$4:$N$203,0),0))),"")</f>
        <v/>
      </c>
      <c r="J131" s="68" t="str">
        <f>IFERROR(IF(IFERROR(MATCH(127,'كشف الحساب'!$N$4:$N$203,0),0)=0,"",INDEX('كشف الحساب'!$J$4:$J$203,IFERROR(MATCH(127,'كشف الحساب'!$N$4:$N$203,0),0))),"")</f>
        <v/>
      </c>
      <c r="K131" s="64" t="str">
        <f>IFERROR(IF(IFERROR(MATCH(127,'كشف الحساب'!$N$4:$N$203,0),0)=0,"",INDEX('كشف الحساب'!$K$4:$K$203,IFERROR(MATCH(127,'كشف الحساب'!$N$4:$N$203,0),0))),"")</f>
        <v/>
      </c>
    </row>
    <row r="132" spans="1:11" ht="15" customHeight="1" x14ac:dyDescent="0.25">
      <c r="A132" s="69" t="str">
        <f>IFERROR(IF(IFERROR(MATCH(128,'كشف الحساب'!$N$4:$N$203,0),0)=0,"",INDEX('كشف الحساب'!$A$4:$A$203,IFERROR(MATCH(128,'كشف الحساب'!$N$4:$N$203,0),0))),"")</f>
        <v/>
      </c>
      <c r="B132" s="70" t="str">
        <f>IFERROR(IF(IFERROR(MATCH(128,'كشف الحساب'!$N$4:$N$203,0),0)=0,"",INDEX('كشف الحساب'!$B$4:$B$203,IFERROR(MATCH(128,'كشف الحساب'!$N$4:$N$203,0),0))),"")</f>
        <v/>
      </c>
      <c r="C132" s="71" t="str">
        <f>IFERROR(IF(IFERROR(MATCH(128,'كشف الحساب'!$N$4:$N$203,0),0)=0,"",INDEX('كشف الحساب'!$C$4:$C$203,IFERROR(MATCH(128,'كشف الحساب'!$N$4:$N$203,0),0))),"")</f>
        <v/>
      </c>
      <c r="D132" s="72" t="str">
        <f>IFERROR(IF(IFERROR(MATCH(128,'كشف الحساب'!$N$4:$N$203,0),0)=0,"",INDEX('كشف الحساب'!$D$4:$D$203,IFERROR(MATCH(128,'كشف الحساب'!$N$4:$N$203,0),0))),"")</f>
        <v/>
      </c>
      <c r="E132" s="73" t="str">
        <f>IFERROR(IF(IFERROR(MATCH(128,'كشف الحساب'!$N$4:$N$203,0),0)=0,"",INDEX('كشف الحساب'!$E$4:$E$203,IFERROR(MATCH(128,'كشف الحساب'!$N$4:$N$203,0),0))),"")</f>
        <v/>
      </c>
      <c r="F132" s="70" t="str">
        <f>IFERROR(IF(IFERROR(MATCH(128,'كشف الحساب'!$N$4:$N$203,0),0)=0,"",INDEX('كشف الحساب'!$F$4:$F$203,IFERROR(MATCH(128,'كشف الحساب'!$N$4:$N$203,0),0))),"")</f>
        <v/>
      </c>
      <c r="G132" s="70" t="str">
        <f>IFERROR(IF(IFERROR(MATCH(128,'كشف الحساب'!$N$4:$N$203,0),0)=0,"",INDEX('كشف الحساب'!$G$4:$G$203,IFERROR(MATCH(128,'كشف الحساب'!$N$4:$N$203,0),0))),"")</f>
        <v/>
      </c>
      <c r="H132" s="70" t="str">
        <f>IFERROR(IF(IFERROR(MATCH(128,'كشف الحساب'!$N$4:$N$203,0),0)=0,"",INDEX('كشف الحساب'!$H$4:$H$203,IFERROR(MATCH(128,'كشف الحساب'!$N$4:$N$203,0),0))),"")</f>
        <v/>
      </c>
      <c r="I132" s="70" t="str">
        <f>IFERROR(IF(IFERROR(MATCH(128,'كشف الحساب'!$N$4:$N$203,0),0)=0,"",INDEX('كشف الحساب'!$I$4:$I$203,IFERROR(MATCH(128,'كشف الحساب'!$N$4:$N$203,0),0))),"")</f>
        <v/>
      </c>
      <c r="J132" s="74" t="str">
        <f>IFERROR(IF(IFERROR(MATCH(128,'كشف الحساب'!$N$4:$N$203,0),0)=0,"",INDEX('كشف الحساب'!$J$4:$J$203,IFERROR(MATCH(128,'كشف الحساب'!$N$4:$N$203,0),0))),"")</f>
        <v/>
      </c>
      <c r="K132" s="70" t="str">
        <f>IFERROR(IF(IFERROR(MATCH(128,'كشف الحساب'!$N$4:$N$203,0),0)=0,"",INDEX('كشف الحساب'!$K$4:$K$203,IFERROR(MATCH(128,'كشف الحساب'!$N$4:$N$203,0),0))),"")</f>
        <v/>
      </c>
    </row>
    <row r="133" spans="1:11" ht="15" customHeight="1" x14ac:dyDescent="0.25">
      <c r="A133" s="63" t="str">
        <f>IFERROR(IF(IFERROR(MATCH(129,'كشف الحساب'!$N$4:$N$203,0),0)=0,"",INDEX('كشف الحساب'!$A$4:$A$203,IFERROR(MATCH(129,'كشف الحساب'!$N$4:$N$203,0),0))),"")</f>
        <v/>
      </c>
      <c r="B133" s="64" t="str">
        <f>IFERROR(IF(IFERROR(MATCH(129,'كشف الحساب'!$N$4:$N$203,0),0)=0,"",INDEX('كشف الحساب'!$B$4:$B$203,IFERROR(MATCH(129,'كشف الحساب'!$N$4:$N$203,0),0))),"")</f>
        <v/>
      </c>
      <c r="C133" s="65" t="str">
        <f>IFERROR(IF(IFERROR(MATCH(129,'كشف الحساب'!$N$4:$N$203,0),0)=0,"",INDEX('كشف الحساب'!$C$4:$C$203,IFERROR(MATCH(129,'كشف الحساب'!$N$4:$N$203,0),0))),"")</f>
        <v/>
      </c>
      <c r="D133" s="66" t="str">
        <f>IFERROR(IF(IFERROR(MATCH(129,'كشف الحساب'!$N$4:$N$203,0),0)=0,"",INDEX('كشف الحساب'!$D$4:$D$203,IFERROR(MATCH(129,'كشف الحساب'!$N$4:$N$203,0),0))),"")</f>
        <v/>
      </c>
      <c r="E133" s="67" t="str">
        <f>IFERROR(IF(IFERROR(MATCH(129,'كشف الحساب'!$N$4:$N$203,0),0)=0,"",INDEX('كشف الحساب'!$E$4:$E$203,IFERROR(MATCH(129,'كشف الحساب'!$N$4:$N$203,0),0))),"")</f>
        <v/>
      </c>
      <c r="F133" s="64" t="str">
        <f>IFERROR(IF(IFERROR(MATCH(129,'كشف الحساب'!$N$4:$N$203,0),0)=0,"",INDEX('كشف الحساب'!$F$4:$F$203,IFERROR(MATCH(129,'كشف الحساب'!$N$4:$N$203,0),0))),"")</f>
        <v/>
      </c>
      <c r="G133" s="64" t="str">
        <f>IFERROR(IF(IFERROR(MATCH(129,'كشف الحساب'!$N$4:$N$203,0),0)=0,"",INDEX('كشف الحساب'!$G$4:$G$203,IFERROR(MATCH(129,'كشف الحساب'!$N$4:$N$203,0),0))),"")</f>
        <v/>
      </c>
      <c r="H133" s="64" t="str">
        <f>IFERROR(IF(IFERROR(MATCH(129,'كشف الحساب'!$N$4:$N$203,0),0)=0,"",INDEX('كشف الحساب'!$H$4:$H$203,IFERROR(MATCH(129,'كشف الحساب'!$N$4:$N$203,0),0))),"")</f>
        <v/>
      </c>
      <c r="I133" s="64" t="str">
        <f>IFERROR(IF(IFERROR(MATCH(129,'كشف الحساب'!$N$4:$N$203,0),0)=0,"",INDEX('كشف الحساب'!$I$4:$I$203,IFERROR(MATCH(129,'كشف الحساب'!$N$4:$N$203,0),0))),"")</f>
        <v/>
      </c>
      <c r="J133" s="68" t="str">
        <f>IFERROR(IF(IFERROR(MATCH(129,'كشف الحساب'!$N$4:$N$203,0),0)=0,"",INDEX('كشف الحساب'!$J$4:$J$203,IFERROR(MATCH(129,'كشف الحساب'!$N$4:$N$203,0),0))),"")</f>
        <v/>
      </c>
      <c r="K133" s="64" t="str">
        <f>IFERROR(IF(IFERROR(MATCH(129,'كشف الحساب'!$N$4:$N$203,0),0)=0,"",INDEX('كشف الحساب'!$K$4:$K$203,IFERROR(MATCH(129,'كشف الحساب'!$N$4:$N$203,0),0))),"")</f>
        <v/>
      </c>
    </row>
    <row r="134" spans="1:11" ht="15" customHeight="1" x14ac:dyDescent="0.25">
      <c r="A134" s="69" t="str">
        <f>IFERROR(IF(IFERROR(MATCH(130,'كشف الحساب'!$N$4:$N$203,0),0)=0,"",INDEX('كشف الحساب'!$A$4:$A$203,IFERROR(MATCH(130,'كشف الحساب'!$N$4:$N$203,0),0))),"")</f>
        <v/>
      </c>
      <c r="B134" s="70" t="str">
        <f>IFERROR(IF(IFERROR(MATCH(130,'كشف الحساب'!$N$4:$N$203,0),0)=0,"",INDEX('كشف الحساب'!$B$4:$B$203,IFERROR(MATCH(130,'كشف الحساب'!$N$4:$N$203,0),0))),"")</f>
        <v/>
      </c>
      <c r="C134" s="71" t="str">
        <f>IFERROR(IF(IFERROR(MATCH(130,'كشف الحساب'!$N$4:$N$203,0),0)=0,"",INDEX('كشف الحساب'!$C$4:$C$203,IFERROR(MATCH(130,'كشف الحساب'!$N$4:$N$203,0),0))),"")</f>
        <v/>
      </c>
      <c r="D134" s="72" t="str">
        <f>IFERROR(IF(IFERROR(MATCH(130,'كشف الحساب'!$N$4:$N$203,0),0)=0,"",INDEX('كشف الحساب'!$D$4:$D$203,IFERROR(MATCH(130,'كشف الحساب'!$N$4:$N$203,0),0))),"")</f>
        <v/>
      </c>
      <c r="E134" s="73" t="str">
        <f>IFERROR(IF(IFERROR(MATCH(130,'كشف الحساب'!$N$4:$N$203,0),0)=0,"",INDEX('كشف الحساب'!$E$4:$E$203,IFERROR(MATCH(130,'كشف الحساب'!$N$4:$N$203,0),0))),"")</f>
        <v/>
      </c>
      <c r="F134" s="70" t="str">
        <f>IFERROR(IF(IFERROR(MATCH(130,'كشف الحساب'!$N$4:$N$203,0),0)=0,"",INDEX('كشف الحساب'!$F$4:$F$203,IFERROR(MATCH(130,'كشف الحساب'!$N$4:$N$203,0),0))),"")</f>
        <v/>
      </c>
      <c r="G134" s="70" t="str">
        <f>IFERROR(IF(IFERROR(MATCH(130,'كشف الحساب'!$N$4:$N$203,0),0)=0,"",INDEX('كشف الحساب'!$G$4:$G$203,IFERROR(MATCH(130,'كشف الحساب'!$N$4:$N$203,0),0))),"")</f>
        <v/>
      </c>
      <c r="H134" s="70" t="str">
        <f>IFERROR(IF(IFERROR(MATCH(130,'كشف الحساب'!$N$4:$N$203,0),0)=0,"",INDEX('كشف الحساب'!$H$4:$H$203,IFERROR(MATCH(130,'كشف الحساب'!$N$4:$N$203,0),0))),"")</f>
        <v/>
      </c>
      <c r="I134" s="70" t="str">
        <f>IFERROR(IF(IFERROR(MATCH(130,'كشف الحساب'!$N$4:$N$203,0),0)=0,"",INDEX('كشف الحساب'!$I$4:$I$203,IFERROR(MATCH(130,'كشف الحساب'!$N$4:$N$203,0),0))),"")</f>
        <v/>
      </c>
      <c r="J134" s="74" t="str">
        <f>IFERROR(IF(IFERROR(MATCH(130,'كشف الحساب'!$N$4:$N$203,0),0)=0,"",INDEX('كشف الحساب'!$J$4:$J$203,IFERROR(MATCH(130,'كشف الحساب'!$N$4:$N$203,0),0))),"")</f>
        <v/>
      </c>
      <c r="K134" s="70" t="str">
        <f>IFERROR(IF(IFERROR(MATCH(130,'كشف الحساب'!$N$4:$N$203,0),0)=0,"",INDEX('كشف الحساب'!$K$4:$K$203,IFERROR(MATCH(130,'كشف الحساب'!$N$4:$N$203,0),0))),"")</f>
        <v/>
      </c>
    </row>
    <row r="135" spans="1:11" ht="15" customHeight="1" x14ac:dyDescent="0.25">
      <c r="A135" s="63" t="str">
        <f>IFERROR(IF(IFERROR(MATCH(131,'كشف الحساب'!$N$4:$N$203,0),0)=0,"",INDEX('كشف الحساب'!$A$4:$A$203,IFERROR(MATCH(131,'كشف الحساب'!$N$4:$N$203,0),0))),"")</f>
        <v/>
      </c>
      <c r="B135" s="64" t="str">
        <f>IFERROR(IF(IFERROR(MATCH(131,'كشف الحساب'!$N$4:$N$203,0),0)=0,"",INDEX('كشف الحساب'!$B$4:$B$203,IFERROR(MATCH(131,'كشف الحساب'!$N$4:$N$203,0),0))),"")</f>
        <v/>
      </c>
      <c r="C135" s="65" t="str">
        <f>IFERROR(IF(IFERROR(MATCH(131,'كشف الحساب'!$N$4:$N$203,0),0)=0,"",INDEX('كشف الحساب'!$C$4:$C$203,IFERROR(MATCH(131,'كشف الحساب'!$N$4:$N$203,0),0))),"")</f>
        <v/>
      </c>
      <c r="D135" s="66" t="str">
        <f>IFERROR(IF(IFERROR(MATCH(131,'كشف الحساب'!$N$4:$N$203,0),0)=0,"",INDEX('كشف الحساب'!$D$4:$D$203,IFERROR(MATCH(131,'كشف الحساب'!$N$4:$N$203,0),0))),"")</f>
        <v/>
      </c>
      <c r="E135" s="67" t="str">
        <f>IFERROR(IF(IFERROR(MATCH(131,'كشف الحساب'!$N$4:$N$203,0),0)=0,"",INDEX('كشف الحساب'!$E$4:$E$203,IFERROR(MATCH(131,'كشف الحساب'!$N$4:$N$203,0),0))),"")</f>
        <v/>
      </c>
      <c r="F135" s="64" t="str">
        <f>IFERROR(IF(IFERROR(MATCH(131,'كشف الحساب'!$N$4:$N$203,0),0)=0,"",INDEX('كشف الحساب'!$F$4:$F$203,IFERROR(MATCH(131,'كشف الحساب'!$N$4:$N$203,0),0))),"")</f>
        <v/>
      </c>
      <c r="G135" s="64" t="str">
        <f>IFERROR(IF(IFERROR(MATCH(131,'كشف الحساب'!$N$4:$N$203,0),0)=0,"",INDEX('كشف الحساب'!$G$4:$G$203,IFERROR(MATCH(131,'كشف الحساب'!$N$4:$N$203,0),0))),"")</f>
        <v/>
      </c>
      <c r="H135" s="64" t="str">
        <f>IFERROR(IF(IFERROR(MATCH(131,'كشف الحساب'!$N$4:$N$203,0),0)=0,"",INDEX('كشف الحساب'!$H$4:$H$203,IFERROR(MATCH(131,'كشف الحساب'!$N$4:$N$203,0),0))),"")</f>
        <v/>
      </c>
      <c r="I135" s="64" t="str">
        <f>IFERROR(IF(IFERROR(MATCH(131,'كشف الحساب'!$N$4:$N$203,0),0)=0,"",INDEX('كشف الحساب'!$I$4:$I$203,IFERROR(MATCH(131,'كشف الحساب'!$N$4:$N$203,0),0))),"")</f>
        <v/>
      </c>
      <c r="J135" s="68" t="str">
        <f>IFERROR(IF(IFERROR(MATCH(131,'كشف الحساب'!$N$4:$N$203,0),0)=0,"",INDEX('كشف الحساب'!$J$4:$J$203,IFERROR(MATCH(131,'كشف الحساب'!$N$4:$N$203,0),0))),"")</f>
        <v/>
      </c>
      <c r="K135" s="64" t="str">
        <f>IFERROR(IF(IFERROR(MATCH(131,'كشف الحساب'!$N$4:$N$203,0),0)=0,"",INDEX('كشف الحساب'!$K$4:$K$203,IFERROR(MATCH(131,'كشف الحساب'!$N$4:$N$203,0),0))),"")</f>
        <v/>
      </c>
    </row>
    <row r="136" spans="1:11" ht="15" customHeight="1" x14ac:dyDescent="0.25">
      <c r="A136" s="69" t="str">
        <f>IFERROR(IF(IFERROR(MATCH(132,'كشف الحساب'!$N$4:$N$203,0),0)=0,"",INDEX('كشف الحساب'!$A$4:$A$203,IFERROR(MATCH(132,'كشف الحساب'!$N$4:$N$203,0),0))),"")</f>
        <v/>
      </c>
      <c r="B136" s="70" t="str">
        <f>IFERROR(IF(IFERROR(MATCH(132,'كشف الحساب'!$N$4:$N$203,0),0)=0,"",INDEX('كشف الحساب'!$B$4:$B$203,IFERROR(MATCH(132,'كشف الحساب'!$N$4:$N$203,0),0))),"")</f>
        <v/>
      </c>
      <c r="C136" s="71" t="str">
        <f>IFERROR(IF(IFERROR(MATCH(132,'كشف الحساب'!$N$4:$N$203,0),0)=0,"",INDEX('كشف الحساب'!$C$4:$C$203,IFERROR(MATCH(132,'كشف الحساب'!$N$4:$N$203,0),0))),"")</f>
        <v/>
      </c>
      <c r="D136" s="72" t="str">
        <f>IFERROR(IF(IFERROR(MATCH(132,'كشف الحساب'!$N$4:$N$203,0),0)=0,"",INDEX('كشف الحساب'!$D$4:$D$203,IFERROR(MATCH(132,'كشف الحساب'!$N$4:$N$203,0),0))),"")</f>
        <v/>
      </c>
      <c r="E136" s="73" t="str">
        <f>IFERROR(IF(IFERROR(MATCH(132,'كشف الحساب'!$N$4:$N$203,0),0)=0,"",INDEX('كشف الحساب'!$E$4:$E$203,IFERROR(MATCH(132,'كشف الحساب'!$N$4:$N$203,0),0))),"")</f>
        <v/>
      </c>
      <c r="F136" s="70" t="str">
        <f>IFERROR(IF(IFERROR(MATCH(132,'كشف الحساب'!$N$4:$N$203,0),0)=0,"",INDEX('كشف الحساب'!$F$4:$F$203,IFERROR(MATCH(132,'كشف الحساب'!$N$4:$N$203,0),0))),"")</f>
        <v/>
      </c>
      <c r="G136" s="70" t="str">
        <f>IFERROR(IF(IFERROR(MATCH(132,'كشف الحساب'!$N$4:$N$203,0),0)=0,"",INDEX('كشف الحساب'!$G$4:$G$203,IFERROR(MATCH(132,'كشف الحساب'!$N$4:$N$203,0),0))),"")</f>
        <v/>
      </c>
      <c r="H136" s="70" t="str">
        <f>IFERROR(IF(IFERROR(MATCH(132,'كشف الحساب'!$N$4:$N$203,0),0)=0,"",INDEX('كشف الحساب'!$H$4:$H$203,IFERROR(MATCH(132,'كشف الحساب'!$N$4:$N$203,0),0))),"")</f>
        <v/>
      </c>
      <c r="I136" s="70" t="str">
        <f>IFERROR(IF(IFERROR(MATCH(132,'كشف الحساب'!$N$4:$N$203,0),0)=0,"",INDEX('كشف الحساب'!$I$4:$I$203,IFERROR(MATCH(132,'كشف الحساب'!$N$4:$N$203,0),0))),"")</f>
        <v/>
      </c>
      <c r="J136" s="74" t="str">
        <f>IFERROR(IF(IFERROR(MATCH(132,'كشف الحساب'!$N$4:$N$203,0),0)=0,"",INDEX('كشف الحساب'!$J$4:$J$203,IFERROR(MATCH(132,'كشف الحساب'!$N$4:$N$203,0),0))),"")</f>
        <v/>
      </c>
      <c r="K136" s="70" t="str">
        <f>IFERROR(IF(IFERROR(MATCH(132,'كشف الحساب'!$N$4:$N$203,0),0)=0,"",INDEX('كشف الحساب'!$K$4:$K$203,IFERROR(MATCH(132,'كشف الحساب'!$N$4:$N$203,0),0))),"")</f>
        <v/>
      </c>
    </row>
    <row r="137" spans="1:11" ht="15" customHeight="1" x14ac:dyDescent="0.25">
      <c r="A137" s="63" t="str">
        <f>IFERROR(IF(IFERROR(MATCH(133,'كشف الحساب'!$N$4:$N$203,0),0)=0,"",INDEX('كشف الحساب'!$A$4:$A$203,IFERROR(MATCH(133,'كشف الحساب'!$N$4:$N$203,0),0))),"")</f>
        <v/>
      </c>
      <c r="B137" s="64" t="str">
        <f>IFERROR(IF(IFERROR(MATCH(133,'كشف الحساب'!$N$4:$N$203,0),0)=0,"",INDEX('كشف الحساب'!$B$4:$B$203,IFERROR(MATCH(133,'كشف الحساب'!$N$4:$N$203,0),0))),"")</f>
        <v/>
      </c>
      <c r="C137" s="65" t="str">
        <f>IFERROR(IF(IFERROR(MATCH(133,'كشف الحساب'!$N$4:$N$203,0),0)=0,"",INDEX('كشف الحساب'!$C$4:$C$203,IFERROR(MATCH(133,'كشف الحساب'!$N$4:$N$203,0),0))),"")</f>
        <v/>
      </c>
      <c r="D137" s="66" t="str">
        <f>IFERROR(IF(IFERROR(MATCH(133,'كشف الحساب'!$N$4:$N$203,0),0)=0,"",INDEX('كشف الحساب'!$D$4:$D$203,IFERROR(MATCH(133,'كشف الحساب'!$N$4:$N$203,0),0))),"")</f>
        <v/>
      </c>
      <c r="E137" s="67" t="str">
        <f>IFERROR(IF(IFERROR(MATCH(133,'كشف الحساب'!$N$4:$N$203,0),0)=0,"",INDEX('كشف الحساب'!$E$4:$E$203,IFERROR(MATCH(133,'كشف الحساب'!$N$4:$N$203,0),0))),"")</f>
        <v/>
      </c>
      <c r="F137" s="64" t="str">
        <f>IFERROR(IF(IFERROR(MATCH(133,'كشف الحساب'!$N$4:$N$203,0),0)=0,"",INDEX('كشف الحساب'!$F$4:$F$203,IFERROR(MATCH(133,'كشف الحساب'!$N$4:$N$203,0),0))),"")</f>
        <v/>
      </c>
      <c r="G137" s="64" t="str">
        <f>IFERROR(IF(IFERROR(MATCH(133,'كشف الحساب'!$N$4:$N$203,0),0)=0,"",INDEX('كشف الحساب'!$G$4:$G$203,IFERROR(MATCH(133,'كشف الحساب'!$N$4:$N$203,0),0))),"")</f>
        <v/>
      </c>
      <c r="H137" s="64" t="str">
        <f>IFERROR(IF(IFERROR(MATCH(133,'كشف الحساب'!$N$4:$N$203,0),0)=0,"",INDEX('كشف الحساب'!$H$4:$H$203,IFERROR(MATCH(133,'كشف الحساب'!$N$4:$N$203,0),0))),"")</f>
        <v/>
      </c>
      <c r="I137" s="64" t="str">
        <f>IFERROR(IF(IFERROR(MATCH(133,'كشف الحساب'!$N$4:$N$203,0),0)=0,"",INDEX('كشف الحساب'!$I$4:$I$203,IFERROR(MATCH(133,'كشف الحساب'!$N$4:$N$203,0),0))),"")</f>
        <v/>
      </c>
      <c r="J137" s="68" t="str">
        <f>IFERROR(IF(IFERROR(MATCH(133,'كشف الحساب'!$N$4:$N$203,0),0)=0,"",INDEX('كشف الحساب'!$J$4:$J$203,IFERROR(MATCH(133,'كشف الحساب'!$N$4:$N$203,0),0))),"")</f>
        <v/>
      </c>
      <c r="K137" s="64" t="str">
        <f>IFERROR(IF(IFERROR(MATCH(133,'كشف الحساب'!$N$4:$N$203,0),0)=0,"",INDEX('كشف الحساب'!$K$4:$K$203,IFERROR(MATCH(133,'كشف الحساب'!$N$4:$N$203,0),0))),"")</f>
        <v/>
      </c>
    </row>
    <row r="138" spans="1:11" ht="15" customHeight="1" x14ac:dyDescent="0.25">
      <c r="A138" s="69" t="str">
        <f>IFERROR(IF(IFERROR(MATCH(134,'كشف الحساب'!$N$4:$N$203,0),0)=0,"",INDEX('كشف الحساب'!$A$4:$A$203,IFERROR(MATCH(134,'كشف الحساب'!$N$4:$N$203,0),0))),"")</f>
        <v/>
      </c>
      <c r="B138" s="70" t="str">
        <f>IFERROR(IF(IFERROR(MATCH(134,'كشف الحساب'!$N$4:$N$203,0),0)=0,"",INDEX('كشف الحساب'!$B$4:$B$203,IFERROR(MATCH(134,'كشف الحساب'!$N$4:$N$203,0),0))),"")</f>
        <v/>
      </c>
      <c r="C138" s="71" t="str">
        <f>IFERROR(IF(IFERROR(MATCH(134,'كشف الحساب'!$N$4:$N$203,0),0)=0,"",INDEX('كشف الحساب'!$C$4:$C$203,IFERROR(MATCH(134,'كشف الحساب'!$N$4:$N$203,0),0))),"")</f>
        <v/>
      </c>
      <c r="D138" s="72" t="str">
        <f>IFERROR(IF(IFERROR(MATCH(134,'كشف الحساب'!$N$4:$N$203,0),0)=0,"",INDEX('كشف الحساب'!$D$4:$D$203,IFERROR(MATCH(134,'كشف الحساب'!$N$4:$N$203,0),0))),"")</f>
        <v/>
      </c>
      <c r="E138" s="73" t="str">
        <f>IFERROR(IF(IFERROR(MATCH(134,'كشف الحساب'!$N$4:$N$203,0),0)=0,"",INDEX('كشف الحساب'!$E$4:$E$203,IFERROR(MATCH(134,'كشف الحساب'!$N$4:$N$203,0),0))),"")</f>
        <v/>
      </c>
      <c r="F138" s="70" t="str">
        <f>IFERROR(IF(IFERROR(MATCH(134,'كشف الحساب'!$N$4:$N$203,0),0)=0,"",INDEX('كشف الحساب'!$F$4:$F$203,IFERROR(MATCH(134,'كشف الحساب'!$N$4:$N$203,0),0))),"")</f>
        <v/>
      </c>
      <c r="G138" s="70" t="str">
        <f>IFERROR(IF(IFERROR(MATCH(134,'كشف الحساب'!$N$4:$N$203,0),0)=0,"",INDEX('كشف الحساب'!$G$4:$G$203,IFERROR(MATCH(134,'كشف الحساب'!$N$4:$N$203,0),0))),"")</f>
        <v/>
      </c>
      <c r="H138" s="70" t="str">
        <f>IFERROR(IF(IFERROR(MATCH(134,'كشف الحساب'!$N$4:$N$203,0),0)=0,"",INDEX('كشف الحساب'!$H$4:$H$203,IFERROR(MATCH(134,'كشف الحساب'!$N$4:$N$203,0),0))),"")</f>
        <v/>
      </c>
      <c r="I138" s="70" t="str">
        <f>IFERROR(IF(IFERROR(MATCH(134,'كشف الحساب'!$N$4:$N$203,0),0)=0,"",INDEX('كشف الحساب'!$I$4:$I$203,IFERROR(MATCH(134,'كشف الحساب'!$N$4:$N$203,0),0))),"")</f>
        <v/>
      </c>
      <c r="J138" s="74" t="str">
        <f>IFERROR(IF(IFERROR(MATCH(134,'كشف الحساب'!$N$4:$N$203,0),0)=0,"",INDEX('كشف الحساب'!$J$4:$J$203,IFERROR(MATCH(134,'كشف الحساب'!$N$4:$N$203,0),0))),"")</f>
        <v/>
      </c>
      <c r="K138" s="70" t="str">
        <f>IFERROR(IF(IFERROR(MATCH(134,'كشف الحساب'!$N$4:$N$203,0),0)=0,"",INDEX('كشف الحساب'!$K$4:$K$203,IFERROR(MATCH(134,'كشف الحساب'!$N$4:$N$203,0),0))),"")</f>
        <v/>
      </c>
    </row>
    <row r="139" spans="1:11" ht="15" customHeight="1" x14ac:dyDescent="0.25">
      <c r="A139" s="63" t="str">
        <f>IFERROR(IF(IFERROR(MATCH(135,'كشف الحساب'!$N$4:$N$203,0),0)=0,"",INDEX('كشف الحساب'!$A$4:$A$203,IFERROR(MATCH(135,'كشف الحساب'!$N$4:$N$203,0),0))),"")</f>
        <v/>
      </c>
      <c r="B139" s="64" t="str">
        <f>IFERROR(IF(IFERROR(MATCH(135,'كشف الحساب'!$N$4:$N$203,0),0)=0,"",INDEX('كشف الحساب'!$B$4:$B$203,IFERROR(MATCH(135,'كشف الحساب'!$N$4:$N$203,0),0))),"")</f>
        <v/>
      </c>
      <c r="C139" s="65" t="str">
        <f>IFERROR(IF(IFERROR(MATCH(135,'كشف الحساب'!$N$4:$N$203,0),0)=0,"",INDEX('كشف الحساب'!$C$4:$C$203,IFERROR(MATCH(135,'كشف الحساب'!$N$4:$N$203,0),0))),"")</f>
        <v/>
      </c>
      <c r="D139" s="66" t="str">
        <f>IFERROR(IF(IFERROR(MATCH(135,'كشف الحساب'!$N$4:$N$203,0),0)=0,"",INDEX('كشف الحساب'!$D$4:$D$203,IFERROR(MATCH(135,'كشف الحساب'!$N$4:$N$203,0),0))),"")</f>
        <v/>
      </c>
      <c r="E139" s="67" t="str">
        <f>IFERROR(IF(IFERROR(MATCH(135,'كشف الحساب'!$N$4:$N$203,0),0)=0,"",INDEX('كشف الحساب'!$E$4:$E$203,IFERROR(MATCH(135,'كشف الحساب'!$N$4:$N$203,0),0))),"")</f>
        <v/>
      </c>
      <c r="F139" s="64" t="str">
        <f>IFERROR(IF(IFERROR(MATCH(135,'كشف الحساب'!$N$4:$N$203,0),0)=0,"",INDEX('كشف الحساب'!$F$4:$F$203,IFERROR(MATCH(135,'كشف الحساب'!$N$4:$N$203,0),0))),"")</f>
        <v/>
      </c>
      <c r="G139" s="64" t="str">
        <f>IFERROR(IF(IFERROR(MATCH(135,'كشف الحساب'!$N$4:$N$203,0),0)=0,"",INDEX('كشف الحساب'!$G$4:$G$203,IFERROR(MATCH(135,'كشف الحساب'!$N$4:$N$203,0),0))),"")</f>
        <v/>
      </c>
      <c r="H139" s="64" t="str">
        <f>IFERROR(IF(IFERROR(MATCH(135,'كشف الحساب'!$N$4:$N$203,0),0)=0,"",INDEX('كشف الحساب'!$H$4:$H$203,IFERROR(MATCH(135,'كشف الحساب'!$N$4:$N$203,0),0))),"")</f>
        <v/>
      </c>
      <c r="I139" s="64" t="str">
        <f>IFERROR(IF(IFERROR(MATCH(135,'كشف الحساب'!$N$4:$N$203,0),0)=0,"",INDEX('كشف الحساب'!$I$4:$I$203,IFERROR(MATCH(135,'كشف الحساب'!$N$4:$N$203,0),0))),"")</f>
        <v/>
      </c>
      <c r="J139" s="68" t="str">
        <f>IFERROR(IF(IFERROR(MATCH(135,'كشف الحساب'!$N$4:$N$203,0),0)=0,"",INDEX('كشف الحساب'!$J$4:$J$203,IFERROR(MATCH(135,'كشف الحساب'!$N$4:$N$203,0),0))),"")</f>
        <v/>
      </c>
      <c r="K139" s="64" t="str">
        <f>IFERROR(IF(IFERROR(MATCH(135,'كشف الحساب'!$N$4:$N$203,0),0)=0,"",INDEX('كشف الحساب'!$K$4:$K$203,IFERROR(MATCH(135,'كشف الحساب'!$N$4:$N$203,0),0))),"")</f>
        <v/>
      </c>
    </row>
    <row r="140" spans="1:11" ht="15" customHeight="1" x14ac:dyDescent="0.25">
      <c r="A140" s="69" t="str">
        <f>IFERROR(IF(IFERROR(MATCH(136,'كشف الحساب'!$N$4:$N$203,0),0)=0,"",INDEX('كشف الحساب'!$A$4:$A$203,IFERROR(MATCH(136,'كشف الحساب'!$N$4:$N$203,0),0))),"")</f>
        <v/>
      </c>
      <c r="B140" s="70" t="str">
        <f>IFERROR(IF(IFERROR(MATCH(136,'كشف الحساب'!$N$4:$N$203,0),0)=0,"",INDEX('كشف الحساب'!$B$4:$B$203,IFERROR(MATCH(136,'كشف الحساب'!$N$4:$N$203,0),0))),"")</f>
        <v/>
      </c>
      <c r="C140" s="71" t="str">
        <f>IFERROR(IF(IFERROR(MATCH(136,'كشف الحساب'!$N$4:$N$203,0),0)=0,"",INDEX('كشف الحساب'!$C$4:$C$203,IFERROR(MATCH(136,'كشف الحساب'!$N$4:$N$203,0),0))),"")</f>
        <v/>
      </c>
      <c r="D140" s="72" t="str">
        <f>IFERROR(IF(IFERROR(MATCH(136,'كشف الحساب'!$N$4:$N$203,0),0)=0,"",INDEX('كشف الحساب'!$D$4:$D$203,IFERROR(MATCH(136,'كشف الحساب'!$N$4:$N$203,0),0))),"")</f>
        <v/>
      </c>
      <c r="E140" s="73" t="str">
        <f>IFERROR(IF(IFERROR(MATCH(136,'كشف الحساب'!$N$4:$N$203,0),0)=0,"",INDEX('كشف الحساب'!$E$4:$E$203,IFERROR(MATCH(136,'كشف الحساب'!$N$4:$N$203,0),0))),"")</f>
        <v/>
      </c>
      <c r="F140" s="70" t="str">
        <f>IFERROR(IF(IFERROR(MATCH(136,'كشف الحساب'!$N$4:$N$203,0),0)=0,"",INDEX('كشف الحساب'!$F$4:$F$203,IFERROR(MATCH(136,'كشف الحساب'!$N$4:$N$203,0),0))),"")</f>
        <v/>
      </c>
      <c r="G140" s="70" t="str">
        <f>IFERROR(IF(IFERROR(MATCH(136,'كشف الحساب'!$N$4:$N$203,0),0)=0,"",INDEX('كشف الحساب'!$G$4:$G$203,IFERROR(MATCH(136,'كشف الحساب'!$N$4:$N$203,0),0))),"")</f>
        <v/>
      </c>
      <c r="H140" s="70" t="str">
        <f>IFERROR(IF(IFERROR(MATCH(136,'كشف الحساب'!$N$4:$N$203,0),0)=0,"",INDEX('كشف الحساب'!$H$4:$H$203,IFERROR(MATCH(136,'كشف الحساب'!$N$4:$N$203,0),0))),"")</f>
        <v/>
      </c>
      <c r="I140" s="70" t="str">
        <f>IFERROR(IF(IFERROR(MATCH(136,'كشف الحساب'!$N$4:$N$203,0),0)=0,"",INDEX('كشف الحساب'!$I$4:$I$203,IFERROR(MATCH(136,'كشف الحساب'!$N$4:$N$203,0),0))),"")</f>
        <v/>
      </c>
      <c r="J140" s="74" t="str">
        <f>IFERROR(IF(IFERROR(MATCH(136,'كشف الحساب'!$N$4:$N$203,0),0)=0,"",INDEX('كشف الحساب'!$J$4:$J$203,IFERROR(MATCH(136,'كشف الحساب'!$N$4:$N$203,0),0))),"")</f>
        <v/>
      </c>
      <c r="K140" s="70" t="str">
        <f>IFERROR(IF(IFERROR(MATCH(136,'كشف الحساب'!$N$4:$N$203,0),0)=0,"",INDEX('كشف الحساب'!$K$4:$K$203,IFERROR(MATCH(136,'كشف الحساب'!$N$4:$N$203,0),0))),"")</f>
        <v/>
      </c>
    </row>
    <row r="141" spans="1:11" ht="15" customHeight="1" x14ac:dyDescent="0.25">
      <c r="A141" s="63" t="str">
        <f>IFERROR(IF(IFERROR(MATCH(137,'كشف الحساب'!$N$4:$N$203,0),0)=0,"",INDEX('كشف الحساب'!$A$4:$A$203,IFERROR(MATCH(137,'كشف الحساب'!$N$4:$N$203,0),0))),"")</f>
        <v/>
      </c>
      <c r="B141" s="64" t="str">
        <f>IFERROR(IF(IFERROR(MATCH(137,'كشف الحساب'!$N$4:$N$203,0),0)=0,"",INDEX('كشف الحساب'!$B$4:$B$203,IFERROR(MATCH(137,'كشف الحساب'!$N$4:$N$203,0),0))),"")</f>
        <v/>
      </c>
      <c r="C141" s="65" t="str">
        <f>IFERROR(IF(IFERROR(MATCH(137,'كشف الحساب'!$N$4:$N$203,0),0)=0,"",INDEX('كشف الحساب'!$C$4:$C$203,IFERROR(MATCH(137,'كشف الحساب'!$N$4:$N$203,0),0))),"")</f>
        <v/>
      </c>
      <c r="D141" s="66" t="str">
        <f>IFERROR(IF(IFERROR(MATCH(137,'كشف الحساب'!$N$4:$N$203,0),0)=0,"",INDEX('كشف الحساب'!$D$4:$D$203,IFERROR(MATCH(137,'كشف الحساب'!$N$4:$N$203,0),0))),"")</f>
        <v/>
      </c>
      <c r="E141" s="67" t="str">
        <f>IFERROR(IF(IFERROR(MATCH(137,'كشف الحساب'!$N$4:$N$203,0),0)=0,"",INDEX('كشف الحساب'!$E$4:$E$203,IFERROR(MATCH(137,'كشف الحساب'!$N$4:$N$203,0),0))),"")</f>
        <v/>
      </c>
      <c r="F141" s="64" t="str">
        <f>IFERROR(IF(IFERROR(MATCH(137,'كشف الحساب'!$N$4:$N$203,0),0)=0,"",INDEX('كشف الحساب'!$F$4:$F$203,IFERROR(MATCH(137,'كشف الحساب'!$N$4:$N$203,0),0))),"")</f>
        <v/>
      </c>
      <c r="G141" s="64" t="str">
        <f>IFERROR(IF(IFERROR(MATCH(137,'كشف الحساب'!$N$4:$N$203,0),0)=0,"",INDEX('كشف الحساب'!$G$4:$G$203,IFERROR(MATCH(137,'كشف الحساب'!$N$4:$N$203,0),0))),"")</f>
        <v/>
      </c>
      <c r="H141" s="64" t="str">
        <f>IFERROR(IF(IFERROR(MATCH(137,'كشف الحساب'!$N$4:$N$203,0),0)=0,"",INDEX('كشف الحساب'!$H$4:$H$203,IFERROR(MATCH(137,'كشف الحساب'!$N$4:$N$203,0),0))),"")</f>
        <v/>
      </c>
      <c r="I141" s="64" t="str">
        <f>IFERROR(IF(IFERROR(MATCH(137,'كشف الحساب'!$N$4:$N$203,0),0)=0,"",INDEX('كشف الحساب'!$I$4:$I$203,IFERROR(MATCH(137,'كشف الحساب'!$N$4:$N$203,0),0))),"")</f>
        <v/>
      </c>
      <c r="J141" s="68" t="str">
        <f>IFERROR(IF(IFERROR(MATCH(137,'كشف الحساب'!$N$4:$N$203,0),0)=0,"",INDEX('كشف الحساب'!$J$4:$J$203,IFERROR(MATCH(137,'كشف الحساب'!$N$4:$N$203,0),0))),"")</f>
        <v/>
      </c>
      <c r="K141" s="64" t="str">
        <f>IFERROR(IF(IFERROR(MATCH(137,'كشف الحساب'!$N$4:$N$203,0),0)=0,"",INDEX('كشف الحساب'!$K$4:$K$203,IFERROR(MATCH(137,'كشف الحساب'!$N$4:$N$203,0),0))),"")</f>
        <v/>
      </c>
    </row>
    <row r="142" spans="1:11" ht="15" customHeight="1" x14ac:dyDescent="0.25">
      <c r="A142" s="69" t="str">
        <f>IFERROR(IF(IFERROR(MATCH(138,'كشف الحساب'!$N$4:$N$203,0),0)=0,"",INDEX('كشف الحساب'!$A$4:$A$203,IFERROR(MATCH(138,'كشف الحساب'!$N$4:$N$203,0),0))),"")</f>
        <v/>
      </c>
      <c r="B142" s="70" t="str">
        <f>IFERROR(IF(IFERROR(MATCH(138,'كشف الحساب'!$N$4:$N$203,0),0)=0,"",INDEX('كشف الحساب'!$B$4:$B$203,IFERROR(MATCH(138,'كشف الحساب'!$N$4:$N$203,0),0))),"")</f>
        <v/>
      </c>
      <c r="C142" s="71" t="str">
        <f>IFERROR(IF(IFERROR(MATCH(138,'كشف الحساب'!$N$4:$N$203,0),0)=0,"",INDEX('كشف الحساب'!$C$4:$C$203,IFERROR(MATCH(138,'كشف الحساب'!$N$4:$N$203,0),0))),"")</f>
        <v/>
      </c>
      <c r="D142" s="72" t="str">
        <f>IFERROR(IF(IFERROR(MATCH(138,'كشف الحساب'!$N$4:$N$203,0),0)=0,"",INDEX('كشف الحساب'!$D$4:$D$203,IFERROR(MATCH(138,'كشف الحساب'!$N$4:$N$203,0),0))),"")</f>
        <v/>
      </c>
      <c r="E142" s="73" t="str">
        <f>IFERROR(IF(IFERROR(MATCH(138,'كشف الحساب'!$N$4:$N$203,0),0)=0,"",INDEX('كشف الحساب'!$E$4:$E$203,IFERROR(MATCH(138,'كشف الحساب'!$N$4:$N$203,0),0))),"")</f>
        <v/>
      </c>
      <c r="F142" s="70" t="str">
        <f>IFERROR(IF(IFERROR(MATCH(138,'كشف الحساب'!$N$4:$N$203,0),0)=0,"",INDEX('كشف الحساب'!$F$4:$F$203,IFERROR(MATCH(138,'كشف الحساب'!$N$4:$N$203,0),0))),"")</f>
        <v/>
      </c>
      <c r="G142" s="70" t="str">
        <f>IFERROR(IF(IFERROR(MATCH(138,'كشف الحساب'!$N$4:$N$203,0),0)=0,"",INDEX('كشف الحساب'!$G$4:$G$203,IFERROR(MATCH(138,'كشف الحساب'!$N$4:$N$203,0),0))),"")</f>
        <v/>
      </c>
      <c r="H142" s="70" t="str">
        <f>IFERROR(IF(IFERROR(MATCH(138,'كشف الحساب'!$N$4:$N$203,0),0)=0,"",INDEX('كشف الحساب'!$H$4:$H$203,IFERROR(MATCH(138,'كشف الحساب'!$N$4:$N$203,0),0))),"")</f>
        <v/>
      </c>
      <c r="I142" s="70" t="str">
        <f>IFERROR(IF(IFERROR(MATCH(138,'كشف الحساب'!$N$4:$N$203,0),0)=0,"",INDEX('كشف الحساب'!$I$4:$I$203,IFERROR(MATCH(138,'كشف الحساب'!$N$4:$N$203,0),0))),"")</f>
        <v/>
      </c>
      <c r="J142" s="74" t="str">
        <f>IFERROR(IF(IFERROR(MATCH(138,'كشف الحساب'!$N$4:$N$203,0),0)=0,"",INDEX('كشف الحساب'!$J$4:$J$203,IFERROR(MATCH(138,'كشف الحساب'!$N$4:$N$203,0),0))),"")</f>
        <v/>
      </c>
      <c r="K142" s="70" t="str">
        <f>IFERROR(IF(IFERROR(MATCH(138,'كشف الحساب'!$N$4:$N$203,0),0)=0,"",INDEX('كشف الحساب'!$K$4:$K$203,IFERROR(MATCH(138,'كشف الحساب'!$N$4:$N$203,0),0))),"")</f>
        <v/>
      </c>
    </row>
    <row r="143" spans="1:11" ht="15" customHeight="1" x14ac:dyDescent="0.25">
      <c r="A143" s="63" t="str">
        <f>IFERROR(IF(IFERROR(MATCH(139,'كشف الحساب'!$N$4:$N$203,0),0)=0,"",INDEX('كشف الحساب'!$A$4:$A$203,IFERROR(MATCH(139,'كشف الحساب'!$N$4:$N$203,0),0))),"")</f>
        <v/>
      </c>
      <c r="B143" s="64" t="str">
        <f>IFERROR(IF(IFERROR(MATCH(139,'كشف الحساب'!$N$4:$N$203,0),0)=0,"",INDEX('كشف الحساب'!$B$4:$B$203,IFERROR(MATCH(139,'كشف الحساب'!$N$4:$N$203,0),0))),"")</f>
        <v/>
      </c>
      <c r="C143" s="65" t="str">
        <f>IFERROR(IF(IFERROR(MATCH(139,'كشف الحساب'!$N$4:$N$203,0),0)=0,"",INDEX('كشف الحساب'!$C$4:$C$203,IFERROR(MATCH(139,'كشف الحساب'!$N$4:$N$203,0),0))),"")</f>
        <v/>
      </c>
      <c r="D143" s="66" t="str">
        <f>IFERROR(IF(IFERROR(MATCH(139,'كشف الحساب'!$N$4:$N$203,0),0)=0,"",INDEX('كشف الحساب'!$D$4:$D$203,IFERROR(MATCH(139,'كشف الحساب'!$N$4:$N$203,0),0))),"")</f>
        <v/>
      </c>
      <c r="E143" s="67" t="str">
        <f>IFERROR(IF(IFERROR(MATCH(139,'كشف الحساب'!$N$4:$N$203,0),0)=0,"",INDEX('كشف الحساب'!$E$4:$E$203,IFERROR(MATCH(139,'كشف الحساب'!$N$4:$N$203,0),0))),"")</f>
        <v/>
      </c>
      <c r="F143" s="64" t="str">
        <f>IFERROR(IF(IFERROR(MATCH(139,'كشف الحساب'!$N$4:$N$203,0),0)=0,"",INDEX('كشف الحساب'!$F$4:$F$203,IFERROR(MATCH(139,'كشف الحساب'!$N$4:$N$203,0),0))),"")</f>
        <v/>
      </c>
      <c r="G143" s="64" t="str">
        <f>IFERROR(IF(IFERROR(MATCH(139,'كشف الحساب'!$N$4:$N$203,0),0)=0,"",INDEX('كشف الحساب'!$G$4:$G$203,IFERROR(MATCH(139,'كشف الحساب'!$N$4:$N$203,0),0))),"")</f>
        <v/>
      </c>
      <c r="H143" s="64" t="str">
        <f>IFERROR(IF(IFERROR(MATCH(139,'كشف الحساب'!$N$4:$N$203,0),0)=0,"",INDEX('كشف الحساب'!$H$4:$H$203,IFERROR(MATCH(139,'كشف الحساب'!$N$4:$N$203,0),0))),"")</f>
        <v/>
      </c>
      <c r="I143" s="64" t="str">
        <f>IFERROR(IF(IFERROR(MATCH(139,'كشف الحساب'!$N$4:$N$203,0),0)=0,"",INDEX('كشف الحساب'!$I$4:$I$203,IFERROR(MATCH(139,'كشف الحساب'!$N$4:$N$203,0),0))),"")</f>
        <v/>
      </c>
      <c r="J143" s="68" t="str">
        <f>IFERROR(IF(IFERROR(MATCH(139,'كشف الحساب'!$N$4:$N$203,0),0)=0,"",INDEX('كشف الحساب'!$J$4:$J$203,IFERROR(MATCH(139,'كشف الحساب'!$N$4:$N$203,0),0))),"")</f>
        <v/>
      </c>
      <c r="K143" s="64" t="str">
        <f>IFERROR(IF(IFERROR(MATCH(139,'كشف الحساب'!$N$4:$N$203,0),0)=0,"",INDEX('كشف الحساب'!$K$4:$K$203,IFERROR(MATCH(139,'كشف الحساب'!$N$4:$N$203,0),0))),"")</f>
        <v/>
      </c>
    </row>
    <row r="144" spans="1:11" ht="15" customHeight="1" x14ac:dyDescent="0.25">
      <c r="A144" s="69" t="str">
        <f>IFERROR(IF(IFERROR(MATCH(140,'كشف الحساب'!$N$4:$N$203,0),0)=0,"",INDEX('كشف الحساب'!$A$4:$A$203,IFERROR(MATCH(140,'كشف الحساب'!$N$4:$N$203,0),0))),"")</f>
        <v/>
      </c>
      <c r="B144" s="70" t="str">
        <f>IFERROR(IF(IFERROR(MATCH(140,'كشف الحساب'!$N$4:$N$203,0),0)=0,"",INDEX('كشف الحساب'!$B$4:$B$203,IFERROR(MATCH(140,'كشف الحساب'!$N$4:$N$203,0),0))),"")</f>
        <v/>
      </c>
      <c r="C144" s="71" t="str">
        <f>IFERROR(IF(IFERROR(MATCH(140,'كشف الحساب'!$N$4:$N$203,0),0)=0,"",INDEX('كشف الحساب'!$C$4:$C$203,IFERROR(MATCH(140,'كشف الحساب'!$N$4:$N$203,0),0))),"")</f>
        <v/>
      </c>
      <c r="D144" s="72" t="str">
        <f>IFERROR(IF(IFERROR(MATCH(140,'كشف الحساب'!$N$4:$N$203,0),0)=0,"",INDEX('كشف الحساب'!$D$4:$D$203,IFERROR(MATCH(140,'كشف الحساب'!$N$4:$N$203,0),0))),"")</f>
        <v/>
      </c>
      <c r="E144" s="73" t="str">
        <f>IFERROR(IF(IFERROR(MATCH(140,'كشف الحساب'!$N$4:$N$203,0),0)=0,"",INDEX('كشف الحساب'!$E$4:$E$203,IFERROR(MATCH(140,'كشف الحساب'!$N$4:$N$203,0),0))),"")</f>
        <v/>
      </c>
      <c r="F144" s="70" t="str">
        <f>IFERROR(IF(IFERROR(MATCH(140,'كشف الحساب'!$N$4:$N$203,0),0)=0,"",INDEX('كشف الحساب'!$F$4:$F$203,IFERROR(MATCH(140,'كشف الحساب'!$N$4:$N$203,0),0))),"")</f>
        <v/>
      </c>
      <c r="G144" s="70" t="str">
        <f>IFERROR(IF(IFERROR(MATCH(140,'كشف الحساب'!$N$4:$N$203,0),0)=0,"",INDEX('كشف الحساب'!$G$4:$G$203,IFERROR(MATCH(140,'كشف الحساب'!$N$4:$N$203,0),0))),"")</f>
        <v/>
      </c>
      <c r="H144" s="70" t="str">
        <f>IFERROR(IF(IFERROR(MATCH(140,'كشف الحساب'!$N$4:$N$203,0),0)=0,"",INDEX('كشف الحساب'!$H$4:$H$203,IFERROR(MATCH(140,'كشف الحساب'!$N$4:$N$203,0),0))),"")</f>
        <v/>
      </c>
      <c r="I144" s="70" t="str">
        <f>IFERROR(IF(IFERROR(MATCH(140,'كشف الحساب'!$N$4:$N$203,0),0)=0,"",INDEX('كشف الحساب'!$I$4:$I$203,IFERROR(MATCH(140,'كشف الحساب'!$N$4:$N$203,0),0))),"")</f>
        <v/>
      </c>
      <c r="J144" s="74" t="str">
        <f>IFERROR(IF(IFERROR(MATCH(140,'كشف الحساب'!$N$4:$N$203,0),0)=0,"",INDEX('كشف الحساب'!$J$4:$J$203,IFERROR(MATCH(140,'كشف الحساب'!$N$4:$N$203,0),0))),"")</f>
        <v/>
      </c>
      <c r="K144" s="70" t="str">
        <f>IFERROR(IF(IFERROR(MATCH(140,'كشف الحساب'!$N$4:$N$203,0),0)=0,"",INDEX('كشف الحساب'!$K$4:$K$203,IFERROR(MATCH(140,'كشف الحساب'!$N$4:$N$203,0),0))),"")</f>
        <v/>
      </c>
    </row>
    <row r="145" spans="1:11" ht="15" customHeight="1" x14ac:dyDescent="0.25">
      <c r="A145" s="63" t="str">
        <f>IFERROR(IF(IFERROR(MATCH(141,'كشف الحساب'!$N$4:$N$203,0),0)=0,"",INDEX('كشف الحساب'!$A$4:$A$203,IFERROR(MATCH(141,'كشف الحساب'!$N$4:$N$203,0),0))),"")</f>
        <v/>
      </c>
      <c r="B145" s="64" t="str">
        <f>IFERROR(IF(IFERROR(MATCH(141,'كشف الحساب'!$N$4:$N$203,0),0)=0,"",INDEX('كشف الحساب'!$B$4:$B$203,IFERROR(MATCH(141,'كشف الحساب'!$N$4:$N$203,0),0))),"")</f>
        <v/>
      </c>
      <c r="C145" s="65" t="str">
        <f>IFERROR(IF(IFERROR(MATCH(141,'كشف الحساب'!$N$4:$N$203,0),0)=0,"",INDEX('كشف الحساب'!$C$4:$C$203,IFERROR(MATCH(141,'كشف الحساب'!$N$4:$N$203,0),0))),"")</f>
        <v/>
      </c>
      <c r="D145" s="66" t="str">
        <f>IFERROR(IF(IFERROR(MATCH(141,'كشف الحساب'!$N$4:$N$203,0),0)=0,"",INDEX('كشف الحساب'!$D$4:$D$203,IFERROR(MATCH(141,'كشف الحساب'!$N$4:$N$203,0),0))),"")</f>
        <v/>
      </c>
      <c r="E145" s="67" t="str">
        <f>IFERROR(IF(IFERROR(MATCH(141,'كشف الحساب'!$N$4:$N$203,0),0)=0,"",INDEX('كشف الحساب'!$E$4:$E$203,IFERROR(MATCH(141,'كشف الحساب'!$N$4:$N$203,0),0))),"")</f>
        <v/>
      </c>
      <c r="F145" s="64" t="str">
        <f>IFERROR(IF(IFERROR(MATCH(141,'كشف الحساب'!$N$4:$N$203,0),0)=0,"",INDEX('كشف الحساب'!$F$4:$F$203,IFERROR(MATCH(141,'كشف الحساب'!$N$4:$N$203,0),0))),"")</f>
        <v/>
      </c>
      <c r="G145" s="64" t="str">
        <f>IFERROR(IF(IFERROR(MATCH(141,'كشف الحساب'!$N$4:$N$203,0),0)=0,"",INDEX('كشف الحساب'!$G$4:$G$203,IFERROR(MATCH(141,'كشف الحساب'!$N$4:$N$203,0),0))),"")</f>
        <v/>
      </c>
      <c r="H145" s="64" t="str">
        <f>IFERROR(IF(IFERROR(MATCH(141,'كشف الحساب'!$N$4:$N$203,0),0)=0,"",INDEX('كشف الحساب'!$H$4:$H$203,IFERROR(MATCH(141,'كشف الحساب'!$N$4:$N$203,0),0))),"")</f>
        <v/>
      </c>
      <c r="I145" s="64" t="str">
        <f>IFERROR(IF(IFERROR(MATCH(141,'كشف الحساب'!$N$4:$N$203,0),0)=0,"",INDEX('كشف الحساب'!$I$4:$I$203,IFERROR(MATCH(141,'كشف الحساب'!$N$4:$N$203,0),0))),"")</f>
        <v/>
      </c>
      <c r="J145" s="68" t="str">
        <f>IFERROR(IF(IFERROR(MATCH(141,'كشف الحساب'!$N$4:$N$203,0),0)=0,"",INDEX('كشف الحساب'!$J$4:$J$203,IFERROR(MATCH(141,'كشف الحساب'!$N$4:$N$203,0),0))),"")</f>
        <v/>
      </c>
      <c r="K145" s="64" t="str">
        <f>IFERROR(IF(IFERROR(MATCH(141,'كشف الحساب'!$N$4:$N$203,0),0)=0,"",INDEX('كشف الحساب'!$K$4:$K$203,IFERROR(MATCH(141,'كشف الحساب'!$N$4:$N$203,0),0))),"")</f>
        <v/>
      </c>
    </row>
    <row r="146" spans="1:11" ht="15" customHeight="1" x14ac:dyDescent="0.25">
      <c r="A146" s="69" t="str">
        <f>IFERROR(IF(IFERROR(MATCH(142,'كشف الحساب'!$N$4:$N$203,0),0)=0,"",INDEX('كشف الحساب'!$A$4:$A$203,IFERROR(MATCH(142,'كشف الحساب'!$N$4:$N$203,0),0))),"")</f>
        <v/>
      </c>
      <c r="B146" s="70" t="str">
        <f>IFERROR(IF(IFERROR(MATCH(142,'كشف الحساب'!$N$4:$N$203,0),0)=0,"",INDEX('كشف الحساب'!$B$4:$B$203,IFERROR(MATCH(142,'كشف الحساب'!$N$4:$N$203,0),0))),"")</f>
        <v/>
      </c>
      <c r="C146" s="71" t="str">
        <f>IFERROR(IF(IFERROR(MATCH(142,'كشف الحساب'!$N$4:$N$203,0),0)=0,"",INDEX('كشف الحساب'!$C$4:$C$203,IFERROR(MATCH(142,'كشف الحساب'!$N$4:$N$203,0),0))),"")</f>
        <v/>
      </c>
      <c r="D146" s="72" t="str">
        <f>IFERROR(IF(IFERROR(MATCH(142,'كشف الحساب'!$N$4:$N$203,0),0)=0,"",INDEX('كشف الحساب'!$D$4:$D$203,IFERROR(MATCH(142,'كشف الحساب'!$N$4:$N$203,0),0))),"")</f>
        <v/>
      </c>
      <c r="E146" s="73" t="str">
        <f>IFERROR(IF(IFERROR(MATCH(142,'كشف الحساب'!$N$4:$N$203,0),0)=0,"",INDEX('كشف الحساب'!$E$4:$E$203,IFERROR(MATCH(142,'كشف الحساب'!$N$4:$N$203,0),0))),"")</f>
        <v/>
      </c>
      <c r="F146" s="70" t="str">
        <f>IFERROR(IF(IFERROR(MATCH(142,'كشف الحساب'!$N$4:$N$203,0),0)=0,"",INDEX('كشف الحساب'!$F$4:$F$203,IFERROR(MATCH(142,'كشف الحساب'!$N$4:$N$203,0),0))),"")</f>
        <v/>
      </c>
      <c r="G146" s="70" t="str">
        <f>IFERROR(IF(IFERROR(MATCH(142,'كشف الحساب'!$N$4:$N$203,0),0)=0,"",INDEX('كشف الحساب'!$G$4:$G$203,IFERROR(MATCH(142,'كشف الحساب'!$N$4:$N$203,0),0))),"")</f>
        <v/>
      </c>
      <c r="H146" s="70" t="str">
        <f>IFERROR(IF(IFERROR(MATCH(142,'كشف الحساب'!$N$4:$N$203,0),0)=0,"",INDEX('كشف الحساب'!$H$4:$H$203,IFERROR(MATCH(142,'كشف الحساب'!$N$4:$N$203,0),0))),"")</f>
        <v/>
      </c>
      <c r="I146" s="70" t="str">
        <f>IFERROR(IF(IFERROR(MATCH(142,'كشف الحساب'!$N$4:$N$203,0),0)=0,"",INDEX('كشف الحساب'!$I$4:$I$203,IFERROR(MATCH(142,'كشف الحساب'!$N$4:$N$203,0),0))),"")</f>
        <v/>
      </c>
      <c r="J146" s="74" t="str">
        <f>IFERROR(IF(IFERROR(MATCH(142,'كشف الحساب'!$N$4:$N$203,0),0)=0,"",INDEX('كشف الحساب'!$J$4:$J$203,IFERROR(MATCH(142,'كشف الحساب'!$N$4:$N$203,0),0))),"")</f>
        <v/>
      </c>
      <c r="K146" s="70" t="str">
        <f>IFERROR(IF(IFERROR(MATCH(142,'كشف الحساب'!$N$4:$N$203,0),0)=0,"",INDEX('كشف الحساب'!$K$4:$K$203,IFERROR(MATCH(142,'كشف الحساب'!$N$4:$N$203,0),0))),"")</f>
        <v/>
      </c>
    </row>
    <row r="147" spans="1:11" ht="15" customHeight="1" x14ac:dyDescent="0.25">
      <c r="A147" s="63" t="str">
        <f>IFERROR(IF(IFERROR(MATCH(143,'كشف الحساب'!$N$4:$N$203,0),0)=0,"",INDEX('كشف الحساب'!$A$4:$A$203,IFERROR(MATCH(143,'كشف الحساب'!$N$4:$N$203,0),0))),"")</f>
        <v/>
      </c>
      <c r="B147" s="64" t="str">
        <f>IFERROR(IF(IFERROR(MATCH(143,'كشف الحساب'!$N$4:$N$203,0),0)=0,"",INDEX('كشف الحساب'!$B$4:$B$203,IFERROR(MATCH(143,'كشف الحساب'!$N$4:$N$203,0),0))),"")</f>
        <v/>
      </c>
      <c r="C147" s="65" t="str">
        <f>IFERROR(IF(IFERROR(MATCH(143,'كشف الحساب'!$N$4:$N$203,0),0)=0,"",INDEX('كشف الحساب'!$C$4:$C$203,IFERROR(MATCH(143,'كشف الحساب'!$N$4:$N$203,0),0))),"")</f>
        <v/>
      </c>
      <c r="D147" s="66" t="str">
        <f>IFERROR(IF(IFERROR(MATCH(143,'كشف الحساب'!$N$4:$N$203,0),0)=0,"",INDEX('كشف الحساب'!$D$4:$D$203,IFERROR(MATCH(143,'كشف الحساب'!$N$4:$N$203,0),0))),"")</f>
        <v/>
      </c>
      <c r="E147" s="67" t="str">
        <f>IFERROR(IF(IFERROR(MATCH(143,'كشف الحساب'!$N$4:$N$203,0),0)=0,"",INDEX('كشف الحساب'!$E$4:$E$203,IFERROR(MATCH(143,'كشف الحساب'!$N$4:$N$203,0),0))),"")</f>
        <v/>
      </c>
      <c r="F147" s="64" t="str">
        <f>IFERROR(IF(IFERROR(MATCH(143,'كشف الحساب'!$N$4:$N$203,0),0)=0,"",INDEX('كشف الحساب'!$F$4:$F$203,IFERROR(MATCH(143,'كشف الحساب'!$N$4:$N$203,0),0))),"")</f>
        <v/>
      </c>
      <c r="G147" s="64" t="str">
        <f>IFERROR(IF(IFERROR(MATCH(143,'كشف الحساب'!$N$4:$N$203,0),0)=0,"",INDEX('كشف الحساب'!$G$4:$G$203,IFERROR(MATCH(143,'كشف الحساب'!$N$4:$N$203,0),0))),"")</f>
        <v/>
      </c>
      <c r="H147" s="64" t="str">
        <f>IFERROR(IF(IFERROR(MATCH(143,'كشف الحساب'!$N$4:$N$203,0),0)=0,"",INDEX('كشف الحساب'!$H$4:$H$203,IFERROR(MATCH(143,'كشف الحساب'!$N$4:$N$203,0),0))),"")</f>
        <v/>
      </c>
      <c r="I147" s="64" t="str">
        <f>IFERROR(IF(IFERROR(MATCH(143,'كشف الحساب'!$N$4:$N$203,0),0)=0,"",INDEX('كشف الحساب'!$I$4:$I$203,IFERROR(MATCH(143,'كشف الحساب'!$N$4:$N$203,0),0))),"")</f>
        <v/>
      </c>
      <c r="J147" s="68" t="str">
        <f>IFERROR(IF(IFERROR(MATCH(143,'كشف الحساب'!$N$4:$N$203,0),0)=0,"",INDEX('كشف الحساب'!$J$4:$J$203,IFERROR(MATCH(143,'كشف الحساب'!$N$4:$N$203,0),0))),"")</f>
        <v/>
      </c>
      <c r="K147" s="64" t="str">
        <f>IFERROR(IF(IFERROR(MATCH(143,'كشف الحساب'!$N$4:$N$203,0),0)=0,"",INDEX('كشف الحساب'!$K$4:$K$203,IFERROR(MATCH(143,'كشف الحساب'!$N$4:$N$203,0),0))),"")</f>
        <v/>
      </c>
    </row>
    <row r="148" spans="1:11" ht="15" customHeight="1" x14ac:dyDescent="0.25">
      <c r="A148" s="69" t="str">
        <f>IFERROR(IF(IFERROR(MATCH(144,'كشف الحساب'!$N$4:$N$203,0),0)=0,"",INDEX('كشف الحساب'!$A$4:$A$203,IFERROR(MATCH(144,'كشف الحساب'!$N$4:$N$203,0),0))),"")</f>
        <v/>
      </c>
      <c r="B148" s="70" t="str">
        <f>IFERROR(IF(IFERROR(MATCH(144,'كشف الحساب'!$N$4:$N$203,0),0)=0,"",INDEX('كشف الحساب'!$B$4:$B$203,IFERROR(MATCH(144,'كشف الحساب'!$N$4:$N$203,0),0))),"")</f>
        <v/>
      </c>
      <c r="C148" s="71" t="str">
        <f>IFERROR(IF(IFERROR(MATCH(144,'كشف الحساب'!$N$4:$N$203,0),0)=0,"",INDEX('كشف الحساب'!$C$4:$C$203,IFERROR(MATCH(144,'كشف الحساب'!$N$4:$N$203,0),0))),"")</f>
        <v/>
      </c>
      <c r="D148" s="72" t="str">
        <f>IFERROR(IF(IFERROR(MATCH(144,'كشف الحساب'!$N$4:$N$203,0),0)=0,"",INDEX('كشف الحساب'!$D$4:$D$203,IFERROR(MATCH(144,'كشف الحساب'!$N$4:$N$203,0),0))),"")</f>
        <v/>
      </c>
      <c r="E148" s="73" t="str">
        <f>IFERROR(IF(IFERROR(MATCH(144,'كشف الحساب'!$N$4:$N$203,0),0)=0,"",INDEX('كشف الحساب'!$E$4:$E$203,IFERROR(MATCH(144,'كشف الحساب'!$N$4:$N$203,0),0))),"")</f>
        <v/>
      </c>
      <c r="F148" s="70" t="str">
        <f>IFERROR(IF(IFERROR(MATCH(144,'كشف الحساب'!$N$4:$N$203,0),0)=0,"",INDEX('كشف الحساب'!$F$4:$F$203,IFERROR(MATCH(144,'كشف الحساب'!$N$4:$N$203,0),0))),"")</f>
        <v/>
      </c>
      <c r="G148" s="70" t="str">
        <f>IFERROR(IF(IFERROR(MATCH(144,'كشف الحساب'!$N$4:$N$203,0),0)=0,"",INDEX('كشف الحساب'!$G$4:$G$203,IFERROR(MATCH(144,'كشف الحساب'!$N$4:$N$203,0),0))),"")</f>
        <v/>
      </c>
      <c r="H148" s="70" t="str">
        <f>IFERROR(IF(IFERROR(MATCH(144,'كشف الحساب'!$N$4:$N$203,0),0)=0,"",INDEX('كشف الحساب'!$H$4:$H$203,IFERROR(MATCH(144,'كشف الحساب'!$N$4:$N$203,0),0))),"")</f>
        <v/>
      </c>
      <c r="I148" s="70" t="str">
        <f>IFERROR(IF(IFERROR(MATCH(144,'كشف الحساب'!$N$4:$N$203,0),0)=0,"",INDEX('كشف الحساب'!$I$4:$I$203,IFERROR(MATCH(144,'كشف الحساب'!$N$4:$N$203,0),0))),"")</f>
        <v/>
      </c>
      <c r="J148" s="74" t="str">
        <f>IFERROR(IF(IFERROR(MATCH(144,'كشف الحساب'!$N$4:$N$203,0),0)=0,"",INDEX('كشف الحساب'!$J$4:$J$203,IFERROR(MATCH(144,'كشف الحساب'!$N$4:$N$203,0),0))),"")</f>
        <v/>
      </c>
      <c r="K148" s="70" t="str">
        <f>IFERROR(IF(IFERROR(MATCH(144,'كشف الحساب'!$N$4:$N$203,0),0)=0,"",INDEX('كشف الحساب'!$K$4:$K$203,IFERROR(MATCH(144,'كشف الحساب'!$N$4:$N$203,0),0))),"")</f>
        <v/>
      </c>
    </row>
    <row r="149" spans="1:11" ht="15" customHeight="1" x14ac:dyDescent="0.25">
      <c r="A149" s="63" t="str">
        <f>IFERROR(IF(IFERROR(MATCH(145,'كشف الحساب'!$N$4:$N$203,0),0)=0,"",INDEX('كشف الحساب'!$A$4:$A$203,IFERROR(MATCH(145,'كشف الحساب'!$N$4:$N$203,0),0))),"")</f>
        <v/>
      </c>
      <c r="B149" s="64" t="str">
        <f>IFERROR(IF(IFERROR(MATCH(145,'كشف الحساب'!$N$4:$N$203,0),0)=0,"",INDEX('كشف الحساب'!$B$4:$B$203,IFERROR(MATCH(145,'كشف الحساب'!$N$4:$N$203,0),0))),"")</f>
        <v/>
      </c>
      <c r="C149" s="65" t="str">
        <f>IFERROR(IF(IFERROR(MATCH(145,'كشف الحساب'!$N$4:$N$203,0),0)=0,"",INDEX('كشف الحساب'!$C$4:$C$203,IFERROR(MATCH(145,'كشف الحساب'!$N$4:$N$203,0),0))),"")</f>
        <v/>
      </c>
      <c r="D149" s="66" t="str">
        <f>IFERROR(IF(IFERROR(MATCH(145,'كشف الحساب'!$N$4:$N$203,0),0)=0,"",INDEX('كشف الحساب'!$D$4:$D$203,IFERROR(MATCH(145,'كشف الحساب'!$N$4:$N$203,0),0))),"")</f>
        <v/>
      </c>
      <c r="E149" s="67" t="str">
        <f>IFERROR(IF(IFERROR(MATCH(145,'كشف الحساب'!$N$4:$N$203,0),0)=0,"",INDEX('كشف الحساب'!$E$4:$E$203,IFERROR(MATCH(145,'كشف الحساب'!$N$4:$N$203,0),0))),"")</f>
        <v/>
      </c>
      <c r="F149" s="64" t="str">
        <f>IFERROR(IF(IFERROR(MATCH(145,'كشف الحساب'!$N$4:$N$203,0),0)=0,"",INDEX('كشف الحساب'!$F$4:$F$203,IFERROR(MATCH(145,'كشف الحساب'!$N$4:$N$203,0),0))),"")</f>
        <v/>
      </c>
      <c r="G149" s="64" t="str">
        <f>IFERROR(IF(IFERROR(MATCH(145,'كشف الحساب'!$N$4:$N$203,0),0)=0,"",INDEX('كشف الحساب'!$G$4:$G$203,IFERROR(MATCH(145,'كشف الحساب'!$N$4:$N$203,0),0))),"")</f>
        <v/>
      </c>
      <c r="H149" s="64" t="str">
        <f>IFERROR(IF(IFERROR(MATCH(145,'كشف الحساب'!$N$4:$N$203,0),0)=0,"",INDEX('كشف الحساب'!$H$4:$H$203,IFERROR(MATCH(145,'كشف الحساب'!$N$4:$N$203,0),0))),"")</f>
        <v/>
      </c>
      <c r="I149" s="64" t="str">
        <f>IFERROR(IF(IFERROR(MATCH(145,'كشف الحساب'!$N$4:$N$203,0),0)=0,"",INDEX('كشف الحساب'!$I$4:$I$203,IFERROR(MATCH(145,'كشف الحساب'!$N$4:$N$203,0),0))),"")</f>
        <v/>
      </c>
      <c r="J149" s="68" t="str">
        <f>IFERROR(IF(IFERROR(MATCH(145,'كشف الحساب'!$N$4:$N$203,0),0)=0,"",INDEX('كشف الحساب'!$J$4:$J$203,IFERROR(MATCH(145,'كشف الحساب'!$N$4:$N$203,0),0))),"")</f>
        <v/>
      </c>
      <c r="K149" s="64" t="str">
        <f>IFERROR(IF(IFERROR(MATCH(145,'كشف الحساب'!$N$4:$N$203,0),0)=0,"",INDEX('كشف الحساب'!$K$4:$K$203,IFERROR(MATCH(145,'كشف الحساب'!$N$4:$N$203,0),0))),"")</f>
        <v/>
      </c>
    </row>
    <row r="150" spans="1:11" ht="15" customHeight="1" x14ac:dyDescent="0.25">
      <c r="A150" s="69" t="str">
        <f>IFERROR(IF(IFERROR(MATCH(146,'كشف الحساب'!$N$4:$N$203,0),0)=0,"",INDEX('كشف الحساب'!$A$4:$A$203,IFERROR(MATCH(146,'كشف الحساب'!$N$4:$N$203,0),0))),"")</f>
        <v/>
      </c>
      <c r="B150" s="70" t="str">
        <f>IFERROR(IF(IFERROR(MATCH(146,'كشف الحساب'!$N$4:$N$203,0),0)=0,"",INDEX('كشف الحساب'!$B$4:$B$203,IFERROR(MATCH(146,'كشف الحساب'!$N$4:$N$203,0),0))),"")</f>
        <v/>
      </c>
      <c r="C150" s="71" t="str">
        <f>IFERROR(IF(IFERROR(MATCH(146,'كشف الحساب'!$N$4:$N$203,0),0)=0,"",INDEX('كشف الحساب'!$C$4:$C$203,IFERROR(MATCH(146,'كشف الحساب'!$N$4:$N$203,0),0))),"")</f>
        <v/>
      </c>
      <c r="D150" s="72" t="str">
        <f>IFERROR(IF(IFERROR(MATCH(146,'كشف الحساب'!$N$4:$N$203,0),0)=0,"",INDEX('كشف الحساب'!$D$4:$D$203,IFERROR(MATCH(146,'كشف الحساب'!$N$4:$N$203,0),0))),"")</f>
        <v/>
      </c>
      <c r="E150" s="73" t="str">
        <f>IFERROR(IF(IFERROR(MATCH(146,'كشف الحساب'!$N$4:$N$203,0),0)=0,"",INDEX('كشف الحساب'!$E$4:$E$203,IFERROR(MATCH(146,'كشف الحساب'!$N$4:$N$203,0),0))),"")</f>
        <v/>
      </c>
      <c r="F150" s="70" t="str">
        <f>IFERROR(IF(IFERROR(MATCH(146,'كشف الحساب'!$N$4:$N$203,0),0)=0,"",INDEX('كشف الحساب'!$F$4:$F$203,IFERROR(MATCH(146,'كشف الحساب'!$N$4:$N$203,0),0))),"")</f>
        <v/>
      </c>
      <c r="G150" s="70" t="str">
        <f>IFERROR(IF(IFERROR(MATCH(146,'كشف الحساب'!$N$4:$N$203,0),0)=0,"",INDEX('كشف الحساب'!$G$4:$G$203,IFERROR(MATCH(146,'كشف الحساب'!$N$4:$N$203,0),0))),"")</f>
        <v/>
      </c>
      <c r="H150" s="70" t="str">
        <f>IFERROR(IF(IFERROR(MATCH(146,'كشف الحساب'!$N$4:$N$203,0),0)=0,"",INDEX('كشف الحساب'!$H$4:$H$203,IFERROR(MATCH(146,'كشف الحساب'!$N$4:$N$203,0),0))),"")</f>
        <v/>
      </c>
      <c r="I150" s="70" t="str">
        <f>IFERROR(IF(IFERROR(MATCH(146,'كشف الحساب'!$N$4:$N$203,0),0)=0,"",INDEX('كشف الحساب'!$I$4:$I$203,IFERROR(MATCH(146,'كشف الحساب'!$N$4:$N$203,0),0))),"")</f>
        <v/>
      </c>
      <c r="J150" s="74" t="str">
        <f>IFERROR(IF(IFERROR(MATCH(146,'كشف الحساب'!$N$4:$N$203,0),0)=0,"",INDEX('كشف الحساب'!$J$4:$J$203,IFERROR(MATCH(146,'كشف الحساب'!$N$4:$N$203,0),0))),"")</f>
        <v/>
      </c>
      <c r="K150" s="70" t="str">
        <f>IFERROR(IF(IFERROR(MATCH(146,'كشف الحساب'!$N$4:$N$203,0),0)=0,"",INDEX('كشف الحساب'!$K$4:$K$203,IFERROR(MATCH(146,'كشف الحساب'!$N$4:$N$203,0),0))),"")</f>
        <v/>
      </c>
    </row>
    <row r="151" spans="1:11" ht="15" customHeight="1" x14ac:dyDescent="0.25">
      <c r="A151" s="63" t="str">
        <f>IFERROR(IF(IFERROR(MATCH(147,'كشف الحساب'!$N$4:$N$203,0),0)=0,"",INDEX('كشف الحساب'!$A$4:$A$203,IFERROR(MATCH(147,'كشف الحساب'!$N$4:$N$203,0),0))),"")</f>
        <v/>
      </c>
      <c r="B151" s="64" t="str">
        <f>IFERROR(IF(IFERROR(MATCH(147,'كشف الحساب'!$N$4:$N$203,0),0)=0,"",INDEX('كشف الحساب'!$B$4:$B$203,IFERROR(MATCH(147,'كشف الحساب'!$N$4:$N$203,0),0))),"")</f>
        <v/>
      </c>
      <c r="C151" s="65" t="str">
        <f>IFERROR(IF(IFERROR(MATCH(147,'كشف الحساب'!$N$4:$N$203,0),0)=0,"",INDEX('كشف الحساب'!$C$4:$C$203,IFERROR(MATCH(147,'كشف الحساب'!$N$4:$N$203,0),0))),"")</f>
        <v/>
      </c>
      <c r="D151" s="66" t="str">
        <f>IFERROR(IF(IFERROR(MATCH(147,'كشف الحساب'!$N$4:$N$203,0),0)=0,"",INDEX('كشف الحساب'!$D$4:$D$203,IFERROR(MATCH(147,'كشف الحساب'!$N$4:$N$203,0),0))),"")</f>
        <v/>
      </c>
      <c r="E151" s="67" t="str">
        <f>IFERROR(IF(IFERROR(MATCH(147,'كشف الحساب'!$N$4:$N$203,0),0)=0,"",INDEX('كشف الحساب'!$E$4:$E$203,IFERROR(MATCH(147,'كشف الحساب'!$N$4:$N$203,0),0))),"")</f>
        <v/>
      </c>
      <c r="F151" s="64" t="str">
        <f>IFERROR(IF(IFERROR(MATCH(147,'كشف الحساب'!$N$4:$N$203,0),0)=0,"",INDEX('كشف الحساب'!$F$4:$F$203,IFERROR(MATCH(147,'كشف الحساب'!$N$4:$N$203,0),0))),"")</f>
        <v/>
      </c>
      <c r="G151" s="64" t="str">
        <f>IFERROR(IF(IFERROR(MATCH(147,'كشف الحساب'!$N$4:$N$203,0),0)=0,"",INDEX('كشف الحساب'!$G$4:$G$203,IFERROR(MATCH(147,'كشف الحساب'!$N$4:$N$203,0),0))),"")</f>
        <v/>
      </c>
      <c r="H151" s="64" t="str">
        <f>IFERROR(IF(IFERROR(MATCH(147,'كشف الحساب'!$N$4:$N$203,0),0)=0,"",INDEX('كشف الحساب'!$H$4:$H$203,IFERROR(MATCH(147,'كشف الحساب'!$N$4:$N$203,0),0))),"")</f>
        <v/>
      </c>
      <c r="I151" s="64" t="str">
        <f>IFERROR(IF(IFERROR(MATCH(147,'كشف الحساب'!$N$4:$N$203,0),0)=0,"",INDEX('كشف الحساب'!$I$4:$I$203,IFERROR(MATCH(147,'كشف الحساب'!$N$4:$N$203,0),0))),"")</f>
        <v/>
      </c>
      <c r="J151" s="68" t="str">
        <f>IFERROR(IF(IFERROR(MATCH(147,'كشف الحساب'!$N$4:$N$203,0),0)=0,"",INDEX('كشف الحساب'!$J$4:$J$203,IFERROR(MATCH(147,'كشف الحساب'!$N$4:$N$203,0),0))),"")</f>
        <v/>
      </c>
      <c r="K151" s="64" t="str">
        <f>IFERROR(IF(IFERROR(MATCH(147,'كشف الحساب'!$N$4:$N$203,0),0)=0,"",INDEX('كشف الحساب'!$K$4:$K$203,IFERROR(MATCH(147,'كشف الحساب'!$N$4:$N$203,0),0))),"")</f>
        <v/>
      </c>
    </row>
    <row r="152" spans="1:11" ht="15" customHeight="1" x14ac:dyDescent="0.25">
      <c r="A152" s="69" t="str">
        <f>IFERROR(IF(IFERROR(MATCH(148,'كشف الحساب'!$N$4:$N$203,0),0)=0,"",INDEX('كشف الحساب'!$A$4:$A$203,IFERROR(MATCH(148,'كشف الحساب'!$N$4:$N$203,0),0))),"")</f>
        <v/>
      </c>
      <c r="B152" s="70" t="str">
        <f>IFERROR(IF(IFERROR(MATCH(148,'كشف الحساب'!$N$4:$N$203,0),0)=0,"",INDEX('كشف الحساب'!$B$4:$B$203,IFERROR(MATCH(148,'كشف الحساب'!$N$4:$N$203,0),0))),"")</f>
        <v/>
      </c>
      <c r="C152" s="71" t="str">
        <f>IFERROR(IF(IFERROR(MATCH(148,'كشف الحساب'!$N$4:$N$203,0),0)=0,"",INDEX('كشف الحساب'!$C$4:$C$203,IFERROR(MATCH(148,'كشف الحساب'!$N$4:$N$203,0),0))),"")</f>
        <v/>
      </c>
      <c r="D152" s="72" t="str">
        <f>IFERROR(IF(IFERROR(MATCH(148,'كشف الحساب'!$N$4:$N$203,0),0)=0,"",INDEX('كشف الحساب'!$D$4:$D$203,IFERROR(MATCH(148,'كشف الحساب'!$N$4:$N$203,0),0))),"")</f>
        <v/>
      </c>
      <c r="E152" s="73" t="str">
        <f>IFERROR(IF(IFERROR(MATCH(148,'كشف الحساب'!$N$4:$N$203,0),0)=0,"",INDEX('كشف الحساب'!$E$4:$E$203,IFERROR(MATCH(148,'كشف الحساب'!$N$4:$N$203,0),0))),"")</f>
        <v/>
      </c>
      <c r="F152" s="70" t="str">
        <f>IFERROR(IF(IFERROR(MATCH(148,'كشف الحساب'!$N$4:$N$203,0),0)=0,"",INDEX('كشف الحساب'!$F$4:$F$203,IFERROR(MATCH(148,'كشف الحساب'!$N$4:$N$203,0),0))),"")</f>
        <v/>
      </c>
      <c r="G152" s="70" t="str">
        <f>IFERROR(IF(IFERROR(MATCH(148,'كشف الحساب'!$N$4:$N$203,0),0)=0,"",INDEX('كشف الحساب'!$G$4:$G$203,IFERROR(MATCH(148,'كشف الحساب'!$N$4:$N$203,0),0))),"")</f>
        <v/>
      </c>
      <c r="H152" s="70" t="str">
        <f>IFERROR(IF(IFERROR(MATCH(148,'كشف الحساب'!$N$4:$N$203,0),0)=0,"",INDEX('كشف الحساب'!$H$4:$H$203,IFERROR(MATCH(148,'كشف الحساب'!$N$4:$N$203,0),0))),"")</f>
        <v/>
      </c>
      <c r="I152" s="70" t="str">
        <f>IFERROR(IF(IFERROR(MATCH(148,'كشف الحساب'!$N$4:$N$203,0),0)=0,"",INDEX('كشف الحساب'!$I$4:$I$203,IFERROR(MATCH(148,'كشف الحساب'!$N$4:$N$203,0),0))),"")</f>
        <v/>
      </c>
      <c r="J152" s="74" t="str">
        <f>IFERROR(IF(IFERROR(MATCH(148,'كشف الحساب'!$N$4:$N$203,0),0)=0,"",INDEX('كشف الحساب'!$J$4:$J$203,IFERROR(MATCH(148,'كشف الحساب'!$N$4:$N$203,0),0))),"")</f>
        <v/>
      </c>
      <c r="K152" s="70" t="str">
        <f>IFERROR(IF(IFERROR(MATCH(148,'كشف الحساب'!$N$4:$N$203,0),0)=0,"",INDEX('كشف الحساب'!$K$4:$K$203,IFERROR(MATCH(148,'كشف الحساب'!$N$4:$N$203,0),0))),"")</f>
        <v/>
      </c>
    </row>
    <row r="153" spans="1:11" ht="15" customHeight="1" x14ac:dyDescent="0.25">
      <c r="A153" s="63" t="str">
        <f>IFERROR(IF(IFERROR(MATCH(149,'كشف الحساب'!$N$4:$N$203,0),0)=0,"",INDEX('كشف الحساب'!$A$4:$A$203,IFERROR(MATCH(149,'كشف الحساب'!$N$4:$N$203,0),0))),"")</f>
        <v/>
      </c>
      <c r="B153" s="64" t="str">
        <f>IFERROR(IF(IFERROR(MATCH(149,'كشف الحساب'!$N$4:$N$203,0),0)=0,"",INDEX('كشف الحساب'!$B$4:$B$203,IFERROR(MATCH(149,'كشف الحساب'!$N$4:$N$203,0),0))),"")</f>
        <v/>
      </c>
      <c r="C153" s="65" t="str">
        <f>IFERROR(IF(IFERROR(MATCH(149,'كشف الحساب'!$N$4:$N$203,0),0)=0,"",INDEX('كشف الحساب'!$C$4:$C$203,IFERROR(MATCH(149,'كشف الحساب'!$N$4:$N$203,0),0))),"")</f>
        <v/>
      </c>
      <c r="D153" s="66" t="str">
        <f>IFERROR(IF(IFERROR(MATCH(149,'كشف الحساب'!$N$4:$N$203,0),0)=0,"",INDEX('كشف الحساب'!$D$4:$D$203,IFERROR(MATCH(149,'كشف الحساب'!$N$4:$N$203,0),0))),"")</f>
        <v/>
      </c>
      <c r="E153" s="67" t="str">
        <f>IFERROR(IF(IFERROR(MATCH(149,'كشف الحساب'!$N$4:$N$203,0),0)=0,"",INDEX('كشف الحساب'!$E$4:$E$203,IFERROR(MATCH(149,'كشف الحساب'!$N$4:$N$203,0),0))),"")</f>
        <v/>
      </c>
      <c r="F153" s="64" t="str">
        <f>IFERROR(IF(IFERROR(MATCH(149,'كشف الحساب'!$N$4:$N$203,0),0)=0,"",INDEX('كشف الحساب'!$F$4:$F$203,IFERROR(MATCH(149,'كشف الحساب'!$N$4:$N$203,0),0))),"")</f>
        <v/>
      </c>
      <c r="G153" s="64" t="str">
        <f>IFERROR(IF(IFERROR(MATCH(149,'كشف الحساب'!$N$4:$N$203,0),0)=0,"",INDEX('كشف الحساب'!$G$4:$G$203,IFERROR(MATCH(149,'كشف الحساب'!$N$4:$N$203,0),0))),"")</f>
        <v/>
      </c>
      <c r="H153" s="64" t="str">
        <f>IFERROR(IF(IFERROR(MATCH(149,'كشف الحساب'!$N$4:$N$203,0),0)=0,"",INDEX('كشف الحساب'!$H$4:$H$203,IFERROR(MATCH(149,'كشف الحساب'!$N$4:$N$203,0),0))),"")</f>
        <v/>
      </c>
      <c r="I153" s="64" t="str">
        <f>IFERROR(IF(IFERROR(MATCH(149,'كشف الحساب'!$N$4:$N$203,0),0)=0,"",INDEX('كشف الحساب'!$I$4:$I$203,IFERROR(MATCH(149,'كشف الحساب'!$N$4:$N$203,0),0))),"")</f>
        <v/>
      </c>
      <c r="J153" s="68" t="str">
        <f>IFERROR(IF(IFERROR(MATCH(149,'كشف الحساب'!$N$4:$N$203,0),0)=0,"",INDEX('كشف الحساب'!$J$4:$J$203,IFERROR(MATCH(149,'كشف الحساب'!$N$4:$N$203,0),0))),"")</f>
        <v/>
      </c>
      <c r="K153" s="64" t="str">
        <f>IFERROR(IF(IFERROR(MATCH(149,'كشف الحساب'!$N$4:$N$203,0),0)=0,"",INDEX('كشف الحساب'!$K$4:$K$203,IFERROR(MATCH(149,'كشف الحساب'!$N$4:$N$203,0),0))),"")</f>
        <v/>
      </c>
    </row>
    <row r="154" spans="1:11" ht="15" customHeight="1" x14ac:dyDescent="0.25">
      <c r="A154" s="69" t="str">
        <f>IFERROR(IF(IFERROR(MATCH(150,'كشف الحساب'!$N$4:$N$203,0),0)=0,"",INDEX('كشف الحساب'!$A$4:$A$203,IFERROR(MATCH(150,'كشف الحساب'!$N$4:$N$203,0),0))),"")</f>
        <v/>
      </c>
      <c r="B154" s="70" t="str">
        <f>IFERROR(IF(IFERROR(MATCH(150,'كشف الحساب'!$N$4:$N$203,0),0)=0,"",INDEX('كشف الحساب'!$B$4:$B$203,IFERROR(MATCH(150,'كشف الحساب'!$N$4:$N$203,0),0))),"")</f>
        <v/>
      </c>
      <c r="C154" s="71" t="str">
        <f>IFERROR(IF(IFERROR(MATCH(150,'كشف الحساب'!$N$4:$N$203,0),0)=0,"",INDEX('كشف الحساب'!$C$4:$C$203,IFERROR(MATCH(150,'كشف الحساب'!$N$4:$N$203,0),0))),"")</f>
        <v/>
      </c>
      <c r="D154" s="72" t="str">
        <f>IFERROR(IF(IFERROR(MATCH(150,'كشف الحساب'!$N$4:$N$203,0),0)=0,"",INDEX('كشف الحساب'!$D$4:$D$203,IFERROR(MATCH(150,'كشف الحساب'!$N$4:$N$203,0),0))),"")</f>
        <v/>
      </c>
      <c r="E154" s="73" t="str">
        <f>IFERROR(IF(IFERROR(MATCH(150,'كشف الحساب'!$N$4:$N$203,0),0)=0,"",INDEX('كشف الحساب'!$E$4:$E$203,IFERROR(MATCH(150,'كشف الحساب'!$N$4:$N$203,0),0))),"")</f>
        <v/>
      </c>
      <c r="F154" s="70" t="str">
        <f>IFERROR(IF(IFERROR(MATCH(150,'كشف الحساب'!$N$4:$N$203,0),0)=0,"",INDEX('كشف الحساب'!$F$4:$F$203,IFERROR(MATCH(150,'كشف الحساب'!$N$4:$N$203,0),0))),"")</f>
        <v/>
      </c>
      <c r="G154" s="70" t="str">
        <f>IFERROR(IF(IFERROR(MATCH(150,'كشف الحساب'!$N$4:$N$203,0),0)=0,"",INDEX('كشف الحساب'!$G$4:$G$203,IFERROR(MATCH(150,'كشف الحساب'!$N$4:$N$203,0),0))),"")</f>
        <v/>
      </c>
      <c r="H154" s="70" t="str">
        <f>IFERROR(IF(IFERROR(MATCH(150,'كشف الحساب'!$N$4:$N$203,0),0)=0,"",INDEX('كشف الحساب'!$H$4:$H$203,IFERROR(MATCH(150,'كشف الحساب'!$N$4:$N$203,0),0))),"")</f>
        <v/>
      </c>
      <c r="I154" s="70" t="str">
        <f>IFERROR(IF(IFERROR(MATCH(150,'كشف الحساب'!$N$4:$N$203,0),0)=0,"",INDEX('كشف الحساب'!$I$4:$I$203,IFERROR(MATCH(150,'كشف الحساب'!$N$4:$N$203,0),0))),"")</f>
        <v/>
      </c>
      <c r="J154" s="74" t="str">
        <f>IFERROR(IF(IFERROR(MATCH(150,'كشف الحساب'!$N$4:$N$203,0),0)=0,"",INDEX('كشف الحساب'!$J$4:$J$203,IFERROR(MATCH(150,'كشف الحساب'!$N$4:$N$203,0),0))),"")</f>
        <v/>
      </c>
      <c r="K154" s="70" t="str">
        <f>IFERROR(IF(IFERROR(MATCH(150,'كشف الحساب'!$N$4:$N$203,0),0)=0,"",INDEX('كشف الحساب'!$K$4:$K$203,IFERROR(MATCH(150,'كشف الحساب'!$N$4:$N$203,0),0))),"")</f>
        <v/>
      </c>
    </row>
    <row r="155" spans="1:11" ht="21.75" customHeight="1" x14ac:dyDescent="0.25">
      <c r="A155" s="167" t="s">
        <v>266</v>
      </c>
      <c r="B155" s="156"/>
      <c r="C155" s="156"/>
      <c r="D155" s="75">
        <f>SUM(D5:D154)</f>
        <v>578.745</v>
      </c>
      <c r="E155" s="75">
        <f>SUM(E5:E154)</f>
        <v>156.5</v>
      </c>
      <c r="F155" s="168">
        <f>COUNTIF(H5:H154,"معلق")</f>
        <v>0</v>
      </c>
      <c r="G155" s="156"/>
      <c r="H155" s="156"/>
      <c r="I155" s="76"/>
      <c r="J155" s="75">
        <f>E155-D155</f>
        <v>-422.245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267</v>
      </c>
      <c r="F156" s="49" t="s">
        <v>218</v>
      </c>
      <c r="G156" s="77"/>
      <c r="H156" s="77"/>
      <c r="I156" s="77"/>
      <c r="J156" s="50" t="s">
        <v>268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C2" sqref="C2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1" t="s">
        <v>269</v>
      </c>
      <c r="B1" s="156"/>
      <c r="C1" s="156"/>
      <c r="D1" s="156"/>
      <c r="E1" s="156"/>
      <c r="F1" s="156"/>
      <c r="G1" s="156"/>
    </row>
    <row r="2" spans="1:7" ht="24" customHeight="1" x14ac:dyDescent="0.25">
      <c r="A2" s="166" t="s">
        <v>270</v>
      </c>
      <c r="B2" s="156"/>
      <c r="C2" s="56" t="s">
        <v>256</v>
      </c>
      <c r="D2" s="166" t="s">
        <v>271</v>
      </c>
      <c r="E2" s="156"/>
      <c r="F2" s="56">
        <v>2026</v>
      </c>
    </row>
    <row r="3" spans="1:7" ht="21.75" customHeight="1" x14ac:dyDescent="0.25">
      <c r="A3" s="170" t="s">
        <v>272</v>
      </c>
      <c r="B3" s="156"/>
      <c r="C3" s="57">
        <f>المحفظة!$D$2</f>
        <v>0</v>
      </c>
      <c r="D3" s="170" t="s">
        <v>273</v>
      </c>
      <c r="E3" s="156"/>
      <c r="F3" s="78">
        <f>المحفظة!$C$3</f>
        <v>0</v>
      </c>
    </row>
    <row r="4" spans="1:7" ht="21.75" customHeight="1" x14ac:dyDescent="0.25">
      <c r="A4" s="172" t="s">
        <v>274</v>
      </c>
      <c r="B4" s="156"/>
      <c r="C4" s="156"/>
      <c r="D4" s="156"/>
      <c r="E4" s="156"/>
      <c r="F4" s="156"/>
      <c r="G4" s="156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275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275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275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275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275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275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275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275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275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275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275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275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275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275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275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275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275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275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275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275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275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275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275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275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275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275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275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275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275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275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275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275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275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275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275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275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275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275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275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275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275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275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275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275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275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275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275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275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275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275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72" t="s">
        <v>267</v>
      </c>
      <c r="B55" s="156"/>
      <c r="C55" s="156"/>
      <c r="D55" s="156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71" t="s">
        <v>276</v>
      </c>
      <c r="B56" s="156"/>
      <c r="C56" s="156"/>
      <c r="D56" s="156"/>
      <c r="E56" s="156"/>
      <c r="F56" s="156"/>
      <c r="G56" s="156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275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275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275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275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275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275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275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275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275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275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275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275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275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275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275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275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275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275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275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275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275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275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275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275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275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275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275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275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275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275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275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275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275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275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275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275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275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275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275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275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275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275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275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275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275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275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275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275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275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275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71" t="s">
        <v>277</v>
      </c>
      <c r="B107" s="156"/>
      <c r="C107" s="156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67" t="s">
        <v>278</v>
      </c>
      <c r="B108" s="156"/>
      <c r="C108" s="156"/>
      <c r="D108" s="75">
        <f>E55-D107</f>
        <v>0</v>
      </c>
      <c r="E108" s="173">
        <f>SUM(E5:E107)</f>
        <v>0</v>
      </c>
      <c r="F108" s="156"/>
      <c r="G108" s="157"/>
    </row>
  </sheetData>
  <mergeCells count="11">
    <mergeCell ref="A108:C108"/>
    <mergeCell ref="D3:E3"/>
    <mergeCell ref="A4:G4"/>
    <mergeCell ref="A55:D55"/>
    <mergeCell ref="E108:G108"/>
    <mergeCell ref="A3:B3"/>
    <mergeCell ref="A2:B2"/>
    <mergeCell ref="A1:G1"/>
    <mergeCell ref="A107:C107"/>
    <mergeCell ref="A56:G56"/>
    <mergeCell ref="D2:E2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2026-07-31T14:28:05Z</dcterms:modified>
  <dc:language>en-US</dc:language>
</cp:coreProperties>
</file>