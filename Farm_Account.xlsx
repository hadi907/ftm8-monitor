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DE2F4611-2376-48B1-AEFA-82DCD76C6B1C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J194" i="2"/>
  <c r="J195" i="2" s="1"/>
  <c r="J196" i="2" s="1"/>
  <c r="J197" i="2" s="1"/>
  <c r="J198" i="2" s="1"/>
  <c r="J199" i="2" s="1"/>
  <c r="J200" i="2" s="1"/>
  <c r="J201" i="2" s="1"/>
  <c r="J202" i="2" s="1"/>
  <c r="Q193" i="2"/>
  <c r="P193" i="2"/>
  <c r="O193" i="2"/>
  <c r="N193" i="2"/>
  <c r="M193" i="2"/>
  <c r="L193" i="2"/>
  <c r="Q192" i="2"/>
  <c r="P192" i="2"/>
  <c r="O192" i="2"/>
  <c r="N192" i="2"/>
  <c r="M192" i="2"/>
  <c r="L192" i="2"/>
  <c r="J192" i="2"/>
  <c r="J193" i="2" s="1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D181" i="1"/>
  <c r="E180" i="1"/>
  <c r="A180" i="1"/>
  <c r="B179" i="1"/>
  <c r="C178" i="1"/>
  <c r="D177" i="1"/>
  <c r="E176" i="1"/>
  <c r="A176" i="1"/>
  <c r="B175" i="1"/>
  <c r="C174" i="1"/>
  <c r="D173" i="1"/>
  <c r="E172" i="1"/>
  <c r="A172" i="1"/>
  <c r="B171" i="1"/>
  <c r="C170" i="1"/>
  <c r="D169" i="1"/>
  <c r="E168" i="1"/>
  <c r="A168" i="1"/>
  <c r="B167" i="1"/>
  <c r="C166" i="1"/>
  <c r="D165" i="1"/>
  <c r="E164" i="1"/>
  <c r="A164" i="1"/>
  <c r="B163" i="1"/>
  <c r="C162" i="1"/>
  <c r="D161" i="1"/>
  <c r="E160" i="1"/>
  <c r="A160" i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B178" i="1"/>
  <c r="C177" i="1"/>
  <c r="D176" i="1"/>
  <c r="E175" i="1"/>
  <c r="A175" i="1"/>
  <c r="B174" i="1"/>
  <c r="C173" i="1"/>
  <c r="D172" i="1"/>
  <c r="E171" i="1"/>
  <c r="A171" i="1"/>
  <c r="B170" i="1"/>
  <c r="C169" i="1"/>
  <c r="D168" i="1"/>
  <c r="E167" i="1"/>
  <c r="A167" i="1"/>
  <c r="B166" i="1"/>
  <c r="C165" i="1"/>
  <c r="D164" i="1"/>
  <c r="E163" i="1"/>
  <c r="A163" i="1"/>
  <c r="B162" i="1"/>
  <c r="C161" i="1"/>
  <c r="D160" i="1"/>
  <c r="E159" i="1"/>
  <c r="A159" i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B177" i="1"/>
  <c r="C176" i="1"/>
  <c r="D175" i="1"/>
  <c r="E174" i="1"/>
  <c r="A174" i="1"/>
  <c r="B173" i="1"/>
  <c r="C172" i="1"/>
  <c r="D171" i="1"/>
  <c r="E170" i="1"/>
  <c r="A170" i="1"/>
  <c r="B169" i="1"/>
  <c r="C168" i="1"/>
  <c r="D167" i="1"/>
  <c r="E166" i="1"/>
  <c r="A166" i="1"/>
  <c r="B165" i="1"/>
  <c r="C164" i="1"/>
  <c r="D163" i="1"/>
  <c r="E162" i="1"/>
  <c r="A162" i="1"/>
  <c r="B161" i="1"/>
  <c r="C160" i="1"/>
  <c r="D159" i="1"/>
  <c r="E158" i="1"/>
  <c r="A158" i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E177" i="1"/>
  <c r="D174" i="1"/>
  <c r="C171" i="1"/>
  <c r="B168" i="1"/>
  <c r="A165" i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E173" i="1"/>
  <c r="D170" i="1"/>
  <c r="C167" i="1"/>
  <c r="B164" i="1"/>
  <c r="A161" i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<sst xmlns="http://schemas.openxmlformats.org/spreadsheetml/2006/main" count="1018" uniqueCount="434">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</sst>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0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5" t="s">
        <v>0</v>
      </c>
      <c r="B1" s="152"/>
      <c r="C1" s="152"/>
      <c r="D1" s="152"/>
      <c r="E1" s="152"/>
      <c r="F1" s="153"/>
    </row>
    <row r="2" spans="1:6" ht="30" customHeight="1" x14ac:dyDescent="0.25">
      <c r="A2" s="154" t="s">
        <v>1</v>
      </c>
      <c r="B2" s="152"/>
      <c r="C2" s="152"/>
      <c r="D2" s="152"/>
      <c r="E2" s="153"/>
      <c r="F2" s="119">
        <f>F206</f>
        <v>609.29500000000007</v>
      </c>
    </row>
    <row r="3" spans="1:6" ht="6" customHeight="1" x14ac:dyDescent="0.25">
      <c r="A3" s="157"/>
      <c r="B3" s="152"/>
      <c r="C3" s="152"/>
      <c r="D3" s="152"/>
      <c r="E3" s="152"/>
      <c r="F3" s="153"/>
    </row>
    <row r="4" spans="1:6" ht="27.95" customHeight="1" x14ac:dyDescent="0.25">
      <c r="A4" s="156" t="s">
        <v>2</v>
      </c>
      <c r="B4" s="152"/>
      <c r="C4" s="152"/>
      <c r="D4" s="152"/>
      <c r="E4" s="152"/>
      <c r="F4" s="153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الحساب'!$A$4:$A$204,MATCH(153,'كشف الحساب'!$P$4:$P$204,0)),"")</f>
        <v>46264</v>
      </c>
      <c r="B158" s="122">
        <f>IFERROR(INDEX('كشف الحساب'!$B$4:$B$204,MATCH(153,'كشف الحساب'!$P$4:$P$204,0)),"")</f>
        <v>0</v>
      </c>
      <c r="C158" s="121" t="str">
        <f>IFERROR(INDEX('كشف الحساب'!$C$4:$C$204,MATCH(153,'كشف الحساب'!$P$4:$P$204,0)),"")</f>
        <v>أقامه نزمول 3 سنوات</v>
      </c>
      <c r="D158" s="123">
        <f>IFERROR(INDEX('كشف الحساب'!$E$4:$E$204,MATCH(153,'كشف الحساب'!$P$4:$P$204,0)),"")</f>
        <v>0</v>
      </c>
      <c r="E158" s="124">
        <f>IFERROR(INDEX('كشف الحساب'!$D$4:$D$204,MATCH(153,'كشف الحساب'!$P$4:$P$204,0)),"")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الحساب'!$A$4:$A$204,MATCH(154,'كشف الحساب'!$P$4:$P$204,0)),"")</f>
        <v>46265</v>
      </c>
      <c r="B159" s="122">
        <f>IFERROR(INDEX('كشف الحساب'!$B$4:$B$204,MATCH(154,'كشف الحساب'!$P$4:$P$204,0)),"")</f>
        <v>0</v>
      </c>
      <c r="C159" s="121" t="str">
        <f>IFERROR(INDEX('كشف الحساب'!$C$4:$C$204,MATCH(154,'كشف الحساب'!$P$4:$P$204,0)),"")</f>
        <v>رواتب + كهرباء وماء</v>
      </c>
      <c r="D159" s="123">
        <f>IFERROR(INDEX('كشف الحساب'!$E$4:$E$204,MATCH(154,'كشف الحساب'!$P$4:$P$204,0)),"")</f>
        <v>0</v>
      </c>
      <c r="E159" s="124">
        <f>IFERROR(INDEX('كشف الحساب'!$D$4:$D$204,MATCH(154,'كشف الحساب'!$P$4:$P$204,0)),"")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الحساب'!$A$4:$A$204,MATCH(155,'كشف الحساب'!$P$4:$P$204,0)),"")</f>
        <v>46265</v>
      </c>
      <c r="B160" s="122">
        <f>IFERROR(INDEX('كشف الحساب'!$B$4:$B$204,MATCH(155,'كشف الحساب'!$P$4:$P$204,0)),"")</f>
        <v>0</v>
      </c>
      <c r="C160" s="121" t="str">
        <f>IFERROR(INDEX('كشف الحساب'!$C$4:$C$204,MATCH(155,'كشف الحساب'!$P$4:$P$204,0)),"")</f>
        <v>نصف قيمه فلتر المالج</v>
      </c>
      <c r="D160" s="123">
        <f>IFERROR(INDEX('كشف الحساب'!$E$4:$E$204,MATCH(155,'كشف الحساب'!$P$4:$P$204,0)),"")</f>
        <v>0</v>
      </c>
      <c r="E160" s="124">
        <f>IFERROR(INDEX('كشف الحساب'!$D$4:$D$204,MATCH(155,'كشف الحساب'!$P$4:$P$204,0)),"")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الحساب'!$A$4:$A$204,MATCH(156,'كشف الحساب'!$P$4:$P$204,0)),"")</f>
        <v>46265</v>
      </c>
      <c r="B161" s="122" t="str">
        <f>IFERROR(INDEX('كشف الحساب'!$B$4:$B$204,MATCH(156,'كشف الحساب'!$P$4:$P$204,0)),"")</f>
        <v>Inv-132</v>
      </c>
      <c r="C161" s="121" t="str">
        <f>IFERROR(INDEX('كشف الحساب'!$C$4:$C$204,MATCH(156,'كشف الحساب'!$P$4:$P$204,0)),"")</f>
        <v>ودليه عدد 2 الحبه 1</v>
      </c>
      <c r="D161" s="123">
        <f>IFERROR(INDEX('كشف الحساب'!$E$4:$E$204,MATCH(156,'كشف الحساب'!$P$4:$P$204,0)),"")</f>
        <v>2</v>
      </c>
      <c r="E161" s="124">
        <f>IFERROR(INDEX('كشف الحساب'!$D$4:$D$204,MATCH(156,'كشف الحساب'!$P$4:$P$204,0)),"")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الحساب'!$A$4:$A$204,MATCH(157,'كشف الحساب'!$P$4:$P$204,0)),"")</f>
        <v>46268</v>
      </c>
      <c r="B162" s="122" t="str">
        <f>IFERROR(INDEX('كشف الحساب'!$B$4:$B$204,MATCH(157,'كشف الحساب'!$P$4:$P$204,0)),"")</f>
        <v>Inv-133</v>
      </c>
      <c r="C162" s="121" t="str">
        <f>IFERROR(INDEX('كشف الحساب'!$C$4:$C$204,MATCH(157,'كشف الحساب'!$P$4:$P$204,0)),"")</f>
        <v>زهور التهاني</v>
      </c>
      <c r="D162" s="123">
        <f>IFERROR(INDEX('كشف الحساب'!$E$4:$E$204,MATCH(157,'كشف الحساب'!$P$4:$P$204,0)),"")</f>
        <v>270</v>
      </c>
      <c r="E162" s="124">
        <f>IFERROR(INDEX('كشف الحساب'!$D$4:$D$204,MATCH(157,'كشف الحساب'!$P$4:$P$204,0)),"")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الحساب'!$A$4:$A$204,MATCH(158,'كشف الحساب'!$P$4:$P$204,0)),"")</f>
        <v>46269</v>
      </c>
      <c r="B163" s="122">
        <f>IFERROR(INDEX('كشف الحساب'!$B$4:$B$204,MATCH(158,'كشف الحساب'!$P$4:$P$204,0)),"")</f>
        <v>0</v>
      </c>
      <c r="C163" s="121" t="str">
        <f>IFERROR(INDEX('كشف الحساب'!$C$4:$C$204,MATCH(158,'كشف الحساب'!$P$4:$P$204,0)),"")</f>
        <v>يوريا  عدد1 (12.250) + مقص عدد1(1.250)</v>
      </c>
      <c r="D163" s="123">
        <f>IFERROR(INDEX('كشف الحساب'!$E$4:$E$204,MATCH(158,'كشف الحساب'!$P$4:$P$204,0)),"")</f>
        <v>0</v>
      </c>
      <c r="E163" s="124">
        <f>IFERROR(INDEX('كشف الحساب'!$D$4:$D$204,MATCH(158,'كشف الحساب'!$P$4:$P$204,0)),"")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الحساب'!$A$4:$A$204,MATCH(159,'كشف الحساب'!$P$4:$P$204,0)),"")</f>
        <v>46271</v>
      </c>
      <c r="B164" s="122" t="str">
        <f>IFERROR(INDEX('كشف الحساب'!$B$4:$B$204,MATCH(159,'كشف الحساب'!$P$4:$P$204,0)),"")</f>
        <v>Inv-134</v>
      </c>
      <c r="C164" s="121" t="str">
        <f>IFERROR(INDEX('كشف الحساب'!$C$4:$C$204,MATCH(159,'كشف الحساب'!$P$4:$P$204,0)),"")</f>
        <v>ليمون جراس عدد 4 الحبه 3</v>
      </c>
      <c r="D164" s="123">
        <f>IFERROR(INDEX('كشف الحساب'!$E$4:$E$204,MATCH(159,'كشف الحساب'!$P$4:$P$204,0)),"")</f>
        <v>12</v>
      </c>
      <c r="E164" s="124">
        <f>IFERROR(INDEX('كشف الحساب'!$D$4:$D$204,MATCH(159,'كشف الحساب'!$P$4:$P$204,0)),"")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الحساب'!$A$4:$A$204,MATCH(160,'كشف الحساب'!$P$4:$P$204,0)),"")</f>
        <v>46271</v>
      </c>
      <c r="B165" s="122" t="str">
        <f>IFERROR(INDEX('كشف الحساب'!$B$4:$B$204,MATCH(160,'كشف الحساب'!$P$4:$P$204,0)),"")</f>
        <v>Inv-135</v>
      </c>
      <c r="C165" s="121" t="str">
        <f>IFERROR(INDEX('كشف الحساب'!$C$4:$C$204,MATCH(160,'كشف الحساب'!$P$4:$P$204,0)),"")</f>
        <v>ربل عدد 2 الحبه 1.500</v>
      </c>
      <c r="D165" s="123">
        <f>IFERROR(INDEX('كشف الحساب'!$E$4:$E$204,MATCH(160,'كشف الحساب'!$P$4:$P$204,0)),"")</f>
        <v>3</v>
      </c>
      <c r="E165" s="124">
        <f>IFERROR(INDEX('كشف الحساب'!$D$4:$D$204,MATCH(160,'كشف الحساب'!$P$4:$P$204,0)),"")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الحساب'!$A$4:$A$204,MATCH(161,'كشف الحساب'!$P$4:$P$204,0)),"")</f>
        <v>46271</v>
      </c>
      <c r="B166" s="122" t="str">
        <f>IFERROR(INDEX('كشف الحساب'!$B$4:$B$204,MATCH(161,'كشف الحساب'!$P$4:$P$204,0)),"")</f>
        <v>Inv-136</v>
      </c>
      <c r="C166" s="121" t="str">
        <f>IFERROR(INDEX('كشف الحساب'!$C$4:$C$204,MATCH(161,'كشف الحساب'!$P$4:$P$204,0)),"")</f>
        <v>متنوع عدد 7 الحبه 1</v>
      </c>
      <c r="D166" s="123">
        <f>IFERROR(INDEX('كشف الحساب'!$E$4:$E$204,MATCH(161,'كشف الحساب'!$P$4:$P$204,0)),"")</f>
        <v>7</v>
      </c>
      <c r="E166" s="124">
        <f>IFERROR(INDEX('كشف الحساب'!$D$4:$D$204,MATCH(161,'كشف الحساب'!$P$4:$P$204,0)),"")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الحساب'!$A$4:$A$204,MATCH(162,'كشف الحساب'!$P$4:$P$204,0)),"")</f>
        <v>46271</v>
      </c>
      <c r="B167" s="122">
        <f>IFERROR(INDEX('كشف الحساب'!$B$4:$B$204,MATCH(162,'كشف الحساب'!$P$4:$P$204,0)),"")</f>
        <v>0</v>
      </c>
      <c r="C167" s="121" t="str">
        <f>IFERROR(INDEX('كشف الحساب'!$C$4:$C$204,MATCH(162,'كشف الحساب'!$P$4:$P$204,0)),"")</f>
        <v>احواض  عدد 1000 الحجم 25 سم</v>
      </c>
      <c r="D167" s="123">
        <f>IFERROR(INDEX('كشف الحساب'!$E$4:$E$204,MATCH(162,'كشف الحساب'!$P$4:$P$204,0)),"")</f>
        <v>0</v>
      </c>
      <c r="E167" s="124">
        <f>IFERROR(INDEX('كشف الحساب'!$D$4:$D$204,MATCH(162,'كشف الحساب'!$P$4:$P$204,0)),"")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الحساب'!$A$4:$A$204,MATCH(163,'كشف الحساب'!$P$4:$P$204,0)),"")</f>
        <v>46272</v>
      </c>
      <c r="B168" s="122">
        <f>IFERROR(INDEX('كشف الحساب'!$B$4:$B$204,MATCH(163,'كشف الحساب'!$P$4:$P$204,0)),"")</f>
        <v>0</v>
      </c>
      <c r="C168" s="121" t="str">
        <f>IFERROR(INDEX('كشف الحساب'!$C$4:$C$204,MATCH(163,'كشف الحساب'!$P$4:$P$204,0)),"")</f>
        <v>وصلات</v>
      </c>
      <c r="D168" s="123">
        <f>IFERROR(INDEX('كشف الحساب'!$E$4:$E$204,MATCH(163,'كشف الحساب'!$P$4:$P$204,0)),"")</f>
        <v>0</v>
      </c>
      <c r="E168" s="124">
        <f>IFERROR(INDEX('كشف الحساب'!$D$4:$D$204,MATCH(163,'كشف الحساب'!$P$4:$P$204,0)),"")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الحساب'!$A$4:$A$204,MATCH(164,'كشف الحساب'!$P$4:$P$204,0)),"")</f>
        <v>46275</v>
      </c>
      <c r="B169" s="122" t="str">
        <f>IFERROR(INDEX('كشف الحساب'!$B$4:$B$204,MATCH(164,'كشف الحساب'!$P$4:$P$204,0)),"")</f>
        <v>Inv-137</v>
      </c>
      <c r="C169" s="121" t="str">
        <f>IFERROR(INDEX('كشف الحساب'!$C$4:$C$204,MATCH(164,'كشف الحساب'!$P$4:$P$204,0)),"")</f>
        <v>صبار عدد 5 الحبه 1</v>
      </c>
      <c r="D169" s="123">
        <f>IFERROR(INDEX('كشف الحساب'!$E$4:$E$204,MATCH(164,'كشف الحساب'!$P$4:$P$204,0)),"")</f>
        <v>5</v>
      </c>
      <c r="E169" s="124">
        <f>IFERROR(INDEX('كشف الحساب'!$D$4:$D$204,MATCH(164,'كشف الحساب'!$P$4:$P$204,0)),"")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الحساب'!$A$4:$A$204,MATCH(165,'كشف الحساب'!$P$4:$P$204,0)),"")</f>
        <v>46276</v>
      </c>
      <c r="B170" s="122" t="str">
        <f>IFERROR(INDEX('كشف الحساب'!$B$4:$B$204,MATCH(165,'كشف الحساب'!$P$4:$P$204,0)),"")</f>
        <v>Inv-138</v>
      </c>
      <c r="C170" s="121" t="str">
        <f>IFERROR(INDEX('كشف الحساب'!$C$4:$C$204,MATCH(165,'كشف الحساب'!$P$4:$P$204,0)),"")</f>
        <v>متنوع عدد 10 الحبه 1.500</v>
      </c>
      <c r="D170" s="123">
        <f>IFERROR(INDEX('كشف الحساب'!$E$4:$E$204,MATCH(165,'كشف الحساب'!$P$4:$P$204,0)),"")</f>
        <v>15</v>
      </c>
      <c r="E170" s="124">
        <f>IFERROR(INDEX('كشف الحساب'!$D$4:$D$204,MATCH(165,'كشف الحساب'!$P$4:$P$204,0)),"")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الحساب'!$A$4:$A$204,MATCH(166,'كشف الحساب'!$P$4:$P$204,0)),"")</f>
        <v>46276</v>
      </c>
      <c r="B171" s="122" t="str">
        <f>IFERROR(INDEX('كشف الحساب'!$B$4:$B$204,MATCH(166,'كشف الحساب'!$P$4:$P$204,0)),"")</f>
        <v>Inv-139</v>
      </c>
      <c r="C171" s="121" t="str">
        <f>IFERROR(INDEX('كشف الحساب'!$C$4:$C$204,MATCH(166,'كشف الحساب'!$P$4:$P$204,0)),"")</f>
        <v>متنوع عدد 20 الحبه 1</v>
      </c>
      <c r="D171" s="123">
        <f>IFERROR(INDEX('كشف الحساب'!$E$4:$E$204,MATCH(166,'كشف الحساب'!$P$4:$P$204,0)),"")</f>
        <v>20</v>
      </c>
      <c r="E171" s="124">
        <f>IFERROR(INDEX('كشف الحساب'!$D$4:$D$204,MATCH(166,'كشف الحساب'!$P$4:$P$204,0)),"")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الحساب'!$A$4:$A$204,MATCH(167,'كشف الحساب'!$P$4:$P$204,0)),"")</f>
        <v>46276</v>
      </c>
      <c r="B172" s="122" t="str">
        <f>IFERROR(INDEX('كشف الحساب'!$B$4:$B$204,MATCH(167,'كشف الحساب'!$P$4:$P$204,0)),"")</f>
        <v>Inv-140</v>
      </c>
      <c r="C172" s="121" t="str">
        <f>IFERROR(INDEX('كشف الحساب'!$C$4:$C$204,MATCH(167,'كشف الحساب'!$P$4:$P$204,0)),"")</f>
        <v>صبار عدد 35 الحبه 1</v>
      </c>
      <c r="D172" s="123">
        <f>IFERROR(INDEX('كشف الحساب'!$E$4:$E$204,MATCH(167,'كشف الحساب'!$P$4:$P$204,0)),"")</f>
        <v>35</v>
      </c>
      <c r="E172" s="124">
        <f>IFERROR(INDEX('كشف الحساب'!$D$4:$D$204,MATCH(167,'كشف الحساب'!$P$4:$P$204,0)),"")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الحساب'!$A$4:$A$204,MATCH(168,'كشف الحساب'!$P$4:$P$204,0)),"")</f>
        <v>46276</v>
      </c>
      <c r="B173" s="122" t="str">
        <f>IFERROR(INDEX('كشف الحساب'!$B$4:$B$204,MATCH(168,'كشف الحساب'!$P$4:$P$204,0)),"")</f>
        <v>Inv-141</v>
      </c>
      <c r="C173" s="121" t="str">
        <f>IFERROR(INDEX('كشف الحساب'!$C$4:$C$204,MATCH(168,'كشف الحساب'!$P$4:$P$204,0)),"")</f>
        <v>متنوع عدد 5 الحبه 1</v>
      </c>
      <c r="D173" s="123">
        <f>IFERROR(INDEX('كشف الحساب'!$E$4:$E$204,MATCH(168,'كشف الحساب'!$P$4:$P$204,0)),"")</f>
        <v>5</v>
      </c>
      <c r="E173" s="124">
        <f>IFERROR(INDEX('كشف الحساب'!$D$4:$D$204,MATCH(168,'كشف الحساب'!$P$4:$P$204,0)),"")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الحساب'!$A$4:$A$204,MATCH(169,'كشف الحساب'!$P$4:$P$204,0)),"")</f>
        <v>46276</v>
      </c>
      <c r="B174" s="122" t="str">
        <f>IFERROR(INDEX('كشف الحساب'!$B$4:$B$204,MATCH(169,'كشف الحساب'!$P$4:$P$204,0)),"")</f>
        <v>Inv-142</v>
      </c>
      <c r="C174" s="121" t="str">
        <f>IFERROR(INDEX('كشف الحساب'!$C$4:$C$204,MATCH(169,'كشف الحساب'!$P$4:$P$204,0)),"")</f>
        <v>عطره العدد 10 الحبه .750</v>
      </c>
      <c r="D174" s="123">
        <f>IFERROR(INDEX('كشف الحساب'!$E$4:$E$204,MATCH(169,'كشف الحساب'!$P$4:$P$204,0)),"")</f>
        <v>10</v>
      </c>
      <c r="E174" s="124">
        <f>IFERROR(INDEX('كشف الحساب'!$D$4:$D$204,MATCH(169,'كشف الحساب'!$P$4:$P$204,0)),"")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الحساب'!$A$4:$A$204,MATCH(170,'كشف الحساب'!$P$4:$P$204,0)),"")</f>
        <v>46276</v>
      </c>
      <c r="B175" s="122" t="str">
        <f>IFERROR(INDEX('كشف الحساب'!$B$4:$B$204,MATCH(170,'كشف الحساب'!$P$4:$P$204,0)),"")</f>
        <v>Inv-143</v>
      </c>
      <c r="C175" s="121" t="str">
        <f>IFERROR(INDEX('كشف الحساب'!$C$4:$C$204,MATCH(170,'كشف الحساب'!$P$4:$P$204,0)),"")</f>
        <v>دارسينا متنوع عدد 2  الحبه 3</v>
      </c>
      <c r="D175" s="123">
        <f>IFERROR(INDEX('كشف الحساب'!$E$4:$E$204,MATCH(170,'كشف الحساب'!$P$4:$P$204,0)),"")</f>
        <v>6</v>
      </c>
      <c r="E175" s="124">
        <f>IFERROR(INDEX('كشف الحساب'!$D$4:$D$204,MATCH(170,'كشف الحساب'!$P$4:$P$204,0)),"")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الحساب'!$A$4:$A$204,MATCH(171,'كشف الحساب'!$P$4:$P$204,0)),"")</f>
        <v>46276</v>
      </c>
      <c r="B176" s="122" t="str">
        <f>IFERROR(INDEX('كشف الحساب'!$B$4:$B$204,MATCH(171,'كشف الحساب'!$P$4:$P$204,0)),"")</f>
        <v>Inv-144</v>
      </c>
      <c r="C176" s="121" t="str">
        <f>IFERROR(INDEX('كشف الحساب'!$C$4:$C$204,MATCH(171,'كشف الحساب'!$P$4:$P$204,0)),"")</f>
        <v>معلقات عدد 2 الحبه 1</v>
      </c>
      <c r="D176" s="123">
        <f>IFERROR(INDEX('كشف الحساب'!$E$4:$E$204,MATCH(171,'كشف الحساب'!$P$4:$P$204,0)),"")</f>
        <v>2</v>
      </c>
      <c r="E176" s="124">
        <f>IFERROR(INDEX('كشف الحساب'!$D$4:$D$204,MATCH(171,'كشف الحساب'!$P$4:$P$204,0)),"")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الحساب'!$A$4:$A$204,MATCH(172,'كشف الحساب'!$P$4:$P$204,0)),"")</f>
        <v>46276</v>
      </c>
      <c r="B177" s="122" t="str">
        <f>IFERROR(INDEX('كشف الحساب'!$B$4:$B$204,MATCH(172,'كشف الحساب'!$P$4:$P$204,0)),"")</f>
        <v>Inv-145</v>
      </c>
      <c r="C177" s="121" t="str">
        <f>IFERROR(INDEX('كشف الحساب'!$C$4:$C$204,MATCH(172,'كشف الحساب'!$P$4:$P$204,0)),"")</f>
        <v>دارسينا اسود عدد 2 الحبه 2.500</v>
      </c>
      <c r="D177" s="123">
        <f>IFERROR(INDEX('كشف الحساب'!$E$4:$E$204,MATCH(172,'كشف الحساب'!$P$4:$P$204,0)),"")</f>
        <v>5</v>
      </c>
      <c r="E177" s="124">
        <f>IFERROR(INDEX('كشف الحساب'!$D$4:$D$204,MATCH(172,'كشف الحساب'!$P$4:$P$204,0)),"")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الحساب'!$A$4:$A$204,MATCH(173,'كشف الحساب'!$P$4:$P$204,0)),"")</f>
        <v>46276</v>
      </c>
      <c r="B178" s="122" t="str">
        <f>IFERROR(INDEX('كشف الحساب'!$B$4:$B$204,MATCH(173,'كشف الحساب'!$P$4:$P$204,0)),"")</f>
        <v>Inv-146</v>
      </c>
      <c r="C178" s="121" t="str">
        <f>IFERROR(INDEX('كشف الحساب'!$C$4:$C$204,MATCH(173,'كشف الحساب'!$P$4:$P$204,0)),"")</f>
        <v>متنوع عدد 2 الحبه 1</v>
      </c>
      <c r="D178" s="123">
        <f>IFERROR(INDEX('كشف الحساب'!$E$4:$E$204,MATCH(173,'كشف الحساب'!$P$4:$P$204,0)),"")</f>
        <v>2</v>
      </c>
      <c r="E178" s="124">
        <f>IFERROR(INDEX('كشف الحساب'!$D$4:$D$204,MATCH(173,'كشف الحساب'!$P$4:$P$204,0)),"")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الحساب'!$A$4:$A$204,MATCH(174,'كشف الحساب'!$P$4:$P$204,0)),"")</f>
        <v>46276</v>
      </c>
      <c r="B179" s="122" t="str">
        <f>IFERROR(INDEX('كشف الحساب'!$B$4:$B$204,MATCH(174,'كشف الحساب'!$P$4:$P$204,0)),"")</f>
        <v>Inv-147</v>
      </c>
      <c r="C179" s="121" t="str">
        <f>IFERROR(INDEX('كشف الحساب'!$C$4:$C$204,MATCH(174,'كشف الحساب'!$P$4:$P$204,0)),"")</f>
        <v>متنوع عدد 2 الحبه 1.500</v>
      </c>
      <c r="D179" s="123">
        <f>IFERROR(INDEX('كشف الحساب'!$E$4:$E$204,MATCH(174,'كشف الحساب'!$P$4:$P$204,0)),"")</f>
        <v>3</v>
      </c>
      <c r="E179" s="124">
        <f>IFERROR(INDEX('كشف الحساب'!$D$4:$D$204,MATCH(174,'كشف الحساب'!$P$4:$P$204,0)),"")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الحساب'!$A$4:$A$204,MATCH(175,'كشف الحساب'!$P$4:$P$204,0)),"")</f>
        <v>46276</v>
      </c>
      <c r="B180" s="122" t="str">
        <f>IFERROR(INDEX('كشف الحساب'!$B$4:$B$204,MATCH(175,'كشف الحساب'!$P$4:$P$204,0)),"")</f>
        <v>Inv-148</v>
      </c>
      <c r="C180" s="121" t="str">
        <f>IFERROR(INDEX('كشف الحساب'!$C$4:$C$204,MATCH(175,'كشف الحساب'!$P$4:$P$204,0)),"")</f>
        <v>متنوع عدد 2 الحبه 1</v>
      </c>
      <c r="D180" s="123">
        <f>IFERROR(INDEX('كشف الحساب'!$E$4:$E$204,MATCH(175,'كشف الحساب'!$P$4:$P$204,0)),"")</f>
        <v>2</v>
      </c>
      <c r="E180" s="124">
        <f>IFERROR(INDEX('كشف الحساب'!$D$4:$D$204,MATCH(175,'كشف الحساب'!$P$4:$P$204,0)),"")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الحساب'!$A$4:$A$204,MATCH(176,'كشف الحساب'!$P$4:$P$204,0)),"")</f>
        <v>46277</v>
      </c>
      <c r="B181" s="122">
        <f>IFERROR(INDEX('كشف الحساب'!$B$4:$B$204,MATCH(176,'كشف الحساب'!$P$4:$P$204,0)),"")</f>
        <v>0</v>
      </c>
      <c r="C181" s="121" t="str">
        <f>IFERROR(INDEX('كشف الحساب'!$C$4:$C$204,MATCH(176,'كشف الحساب'!$P$4:$P$204,0)),"")</f>
        <v>عصايا  500 حجم 120سم 500 90 سم 2 ابريق ماء 8 لتر</v>
      </c>
      <c r="D181" s="123">
        <f>IFERROR(INDEX('كشف الحساب'!$E$4:$E$204,MATCH(176,'كشف الحساب'!$P$4:$P$204,0)),"")</f>
        <v>0</v>
      </c>
      <c r="E181" s="124">
        <f>IFERROR(INDEX('كشف الحساب'!$D$4:$D$204,MATCH(176,'كشف الحساب'!$P$4:$P$204,0)),"")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الحساب'!$A$4:$A$204,MATCH(177,'كشف الحساب'!$P$4:$P$204,0)),"")</f>
        <v>46278</v>
      </c>
      <c r="B182" s="122" t="str">
        <f>IFERROR(INDEX('كشف الحساب'!$B$4:$B$204,MATCH(177,'كشف الحساب'!$P$4:$P$204,0)),"")</f>
        <v>Inv-149</v>
      </c>
      <c r="C182" s="121" t="str">
        <f>IFERROR(INDEX('كشف الحساب'!$C$4:$C$204,MATCH(177,'كشف الحساب'!$P$4:$P$204,0)),"")</f>
        <v>زهور التهاني</v>
      </c>
      <c r="D182" s="123">
        <f>IFERROR(INDEX('كشف الحساب'!$E$4:$E$204,MATCH(177,'كشف الحساب'!$P$4:$P$204,0)),"")</f>
        <v>310</v>
      </c>
      <c r="E182" s="124">
        <f>IFERROR(INDEX('كشف الحساب'!$D$4:$D$204,MATCH(177,'كشف الحساب'!$P$4:$P$204,0)),"")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الحساب'!$A$4:$A$204,MATCH(178,'كشف الحساب'!$P$4:$P$204,0)),"")</f>
        <v>46278</v>
      </c>
      <c r="B183" s="122">
        <f>IFERROR(INDEX('كشف الحساب'!$B$4:$B$204,MATCH(178,'كشف الحساب'!$P$4:$P$204,0)),"")</f>
        <v>0</v>
      </c>
      <c r="C183" s="121" t="str">
        <f>IFERROR(INDEX('كشف الحساب'!$C$4:$C$204,MATCH(178,'كشف الحساب'!$P$4:$P$204,0)),"")</f>
        <v>فيتامين حديد</v>
      </c>
      <c r="D183" s="123">
        <f>IFERROR(INDEX('كشف الحساب'!$E$4:$E$204,MATCH(178,'كشف الحساب'!$P$4:$P$204,0)),"")</f>
        <v>0</v>
      </c>
      <c r="E183" s="124">
        <f>IFERROR(INDEX('كشف الحساب'!$D$4:$D$204,MATCH(178,'كشف الحساب'!$P$4:$P$204,0)),"")</f>
        <v>5</v>
      </c>
      <c r="F183" s="125">
        <f t="shared" si="5"/>
        <v>609.29500000000007</v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2465.69</v>
      </c>
      <c r="E206" s="129">
        <f>SUM(E6:E205)</f>
        <v>1856.395</v>
      </c>
      <c r="F206" s="130">
        <f>IFERROR(LOOKUP(2,1/($F$6:$F$205&lt;&gt;""),$F$6:$F$205),0)</f>
        <v>609.29500000000007</v>
      </c>
    </row>
    <row r="208" spans="1:6" ht="18" customHeight="1" x14ac:dyDescent="0.25">
      <c r="A208" s="151" t="s">
        <v>10</v>
      </c>
      <c r="B208" s="152"/>
      <c r="C208" s="152"/>
      <c r="D208" s="152"/>
      <c r="E208" s="152"/>
      <c r="F208" s="153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topLeftCell="B1" zoomScaleNormal="100" workbookViewId="0">
      <pane ySplit="3" topLeftCell="A189" activePane="bottomLeft" state="frozen"/>
      <selection pane="bottomLeft" activeCell="K189" sqref="K189:K19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7" ht="24" customHeight="1" x14ac:dyDescent="0.25">
      <c r="A2" s="161" t="s">
        <v>17</v>
      </c>
      <c r="B2" s="159"/>
      <c r="C2" s="159"/>
      <c r="D2" s="1">
        <v>0</v>
      </c>
      <c r="E2" s="162" t="s">
        <v>18</v>
      </c>
      <c r="F2" s="163"/>
      <c r="G2" s="163"/>
      <c r="H2" s="163"/>
      <c r="I2" s="163"/>
      <c r="J2" s="163"/>
      <c r="K2" s="163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6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7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7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7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68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5"/>
      <c r="B204" s="159"/>
      <c r="C204" s="160"/>
      <c r="D204" s="38"/>
      <c r="E204" s="39"/>
      <c r="F204" s="158"/>
      <c r="G204" s="159"/>
      <c r="H204" s="160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3637.8950000000004</v>
      </c>
      <c r="E205" s="46">
        <f>SUM(E4:E203)</f>
        <v>2465.69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6">
    <mergeCell ref="F204:H204"/>
    <mergeCell ref="A2:C2"/>
    <mergeCell ref="E2:K2"/>
    <mergeCell ref="A1:K1"/>
    <mergeCell ref="A204:C204"/>
    <mergeCell ref="K189:K193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9" t="s">
        <v>220</v>
      </c>
      <c r="B1" s="159"/>
      <c r="C1" s="159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1" t="s">
        <v>236</v>
      </c>
      <c r="B1" s="159"/>
    </row>
    <row r="2" spans="1:2" ht="21.75" customHeight="1" x14ac:dyDescent="0.25">
      <c r="A2" s="170" t="s">
        <v>237</v>
      </c>
      <c r="B2" s="159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0" t="s">
        <v>242</v>
      </c>
      <c r="B5" s="159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0" t="s">
        <v>251</v>
      </c>
      <c r="B11" s="159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24" customHeight="1" x14ac:dyDescent="0.25">
      <c r="A2" s="172"/>
      <c r="B2" s="159"/>
      <c r="C2" s="56" t="s">
        <v>342</v>
      </c>
      <c r="D2" s="172">
        <v>2026</v>
      </c>
      <c r="E2" s="159"/>
      <c r="F2" s="56" t="s">
        <v>256</v>
      </c>
      <c r="G2" s="175" t="s">
        <v>257</v>
      </c>
      <c r="H2" s="163"/>
      <c r="I2" s="163"/>
      <c r="J2" s="163"/>
      <c r="K2" s="163"/>
    </row>
    <row r="3" spans="1:11" ht="19.5" customHeight="1" x14ac:dyDescent="0.25">
      <c r="A3" s="176" t="s">
        <v>258</v>
      </c>
      <c r="B3" s="159"/>
      <c r="C3" s="159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46264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أقامه نزمول 3 سنوات</v>
      </c>
      <c r="D45" s="66">
        <f>IFERROR(IF(IFERROR(MATCH(41,'كشف الحساب'!$N$4:$N$203,0),0)=0,"",INDEX('كشف الحساب'!$D$4:$D$203,IFERROR(MATCH(41,'كشف الحساب'!$N$4:$N$203,0),0))),"")</f>
        <v>35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نقداً</v>
      </c>
      <c r="G45" s="64" t="str">
        <f>IFERROR(IF(IFERROR(MATCH(41,'كشف الحساب'!$N$4:$N$203,0),0)=0,"",INDEX('كشف الحساب'!$G$4:$G$203,IFERROR(MATCH(41,'كشف الحساب'!$N$4:$N$203,0),0))),"")</f>
        <v>المحفظة</v>
      </c>
      <c r="H45" s="64" t="str">
        <f>IFERROR(IF(IFERROR(MATCH(41,'كشف الحساب'!$N$4:$N$203,0),0)=0,"",INDEX('كشف الحساب'!$H$4:$H$203,IFERROR(MATCH(41,'كشف الحساب'!$N$4:$N$203,0),0))),"")</f>
        <v>تم الدفع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567.94500000000005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46265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رواتب + كهرباء وماء</v>
      </c>
      <c r="D46" s="72">
        <f>IFERROR(IF(IFERROR(MATCH(42,'كشف الحساب'!$N$4:$N$203,0),0)=0,"",INDEX('كشف الحساب'!$D$4:$D$203,IFERROR(MATCH(42,'كشف الحساب'!$N$4:$N$203,0),0))),"")</f>
        <v>470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نقداً</v>
      </c>
      <c r="G46" s="70" t="str">
        <f>IFERROR(IF(IFERROR(MATCH(42,'كشف الحساب'!$N$4:$N$203,0),0)=0,"",INDEX('كشف الحساب'!$G$4:$G$203,IFERROR(MATCH(42,'كشف الحساب'!$N$4:$N$203,0),0))),"")</f>
        <v>المحفظة</v>
      </c>
      <c r="H46" s="70" t="str">
        <f>IFERROR(IF(IFERROR(MATCH(42,'كشف الحساب'!$N$4:$N$203,0),0)=0,"",INDEX('كشف الحساب'!$H$4:$H$203,IFERROR(MATCH(42,'كشف الحساب'!$N$4:$N$203,0),0))),"")</f>
        <v>تم الدفع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97.94500000000005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46265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نصف قيمه فلتر المالج</v>
      </c>
      <c r="D47" s="66">
        <f>IFERROR(IF(IFERROR(MATCH(43,'كشف الحساب'!$N$4:$N$203,0),0)=0,"",INDEX('كشف الحساب'!$D$4:$D$203,IFERROR(MATCH(43,'كشف الحساب'!$N$4:$N$203,0),0))),"")</f>
        <v>62.5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>
        <f>IFERROR(IF(IFERROR(MATCH(43,'كشف الحساب'!$N$4:$N$203,0),0)=0,"",INDEX('كشف الحساب'!$F$4:$F$203,IFERROR(MATCH(43,'كشف الحساب'!$N$4:$N$203,0),0))),"")</f>
        <v>0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35.44500000000005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>
        <f>IFERROR(IF(IFERROR(MATCH(44,'كشف الحساب'!$N$4:$N$203,0),0)=0,"",INDEX('كشف الحساب'!$A$4:$A$203,IFERROR(MATCH(44,'كشف الحساب'!$N$4:$N$203,0),0))),"")</f>
        <v>46265</v>
      </c>
      <c r="B48" s="70" t="str">
        <f>IFERROR(IF(IFERROR(MATCH(44,'كشف الحساب'!$N$4:$N$203,0),0)=0,"",INDEX('كشف الحساب'!$B$4:$B$203,IFERROR(MATCH(44,'كشف الحساب'!$N$4:$N$203,0),0))),"")</f>
        <v>Inv-132</v>
      </c>
      <c r="C48" s="71" t="str">
        <f>IFERROR(IF(IFERROR(MATCH(44,'كشف الحساب'!$N$4:$N$203,0),0)=0,"",INDEX('كشف الحساب'!$C$4:$C$203,IFERROR(MATCH(44,'كشف الحساب'!$N$4:$N$203,0),0))),"")</f>
        <v>ودليه عدد 2 الحبه 1</v>
      </c>
      <c r="D48" s="72">
        <f>IFERROR(IF(IFERROR(MATCH(44,'كشف الحساب'!$N$4:$N$203,0),0)=0,"",INDEX('كشف الحساب'!$D$4:$D$203,IFERROR(MATCH(44,'كشف الحساب'!$N$4:$N$203,0),0))),"")</f>
        <v>0</v>
      </c>
      <c r="E48" s="73">
        <f>IFERROR(IF(IFERROR(MATCH(44,'كشف الحساب'!$N$4:$N$203,0),0)=0,"",INDEX('كشف الحساب'!$E$4:$E$203,IFERROR(MATCH(44,'كشف الحساب'!$N$4:$N$203,0),0))),"")</f>
        <v>2</v>
      </c>
      <c r="F48" s="70" t="str">
        <f>IFERROR(IF(IFERROR(MATCH(44,'كشف الحساب'!$N$4:$N$203,0),0)=0,"",INDEX('كشف الحساب'!$F$4:$F$203,IFERROR(MATCH(44,'كشف الحساب'!$N$4:$N$203,0),0))),"")</f>
        <v>أون لاين</v>
      </c>
      <c r="G48" s="70">
        <f>IFERROR(IF(IFERROR(MATCH(44,'كشف الحساب'!$N$4:$N$203,0),0)=0,"",INDEX('كشف الحساب'!$G$4:$G$203,IFERROR(MATCH(44,'كشف الحساب'!$N$4:$N$203,0),0))),"")</f>
        <v>0</v>
      </c>
      <c r="H48" s="70" t="str">
        <f>IFERROR(IF(IFERROR(MATCH(44,'كشف الحساب'!$N$4:$N$203,0),0)=0,"",INDEX('كشف الحساب'!$H$4:$H$203,IFERROR(MATCH(44,'كشف الحساب'!$N$4:$N$203,0),0))),"")</f>
        <v>تم الدفع</v>
      </c>
      <c r="I48" s="70">
        <f>IFERROR(IF(IFERROR(MATCH(44,'كشف الحساب'!$N$4:$N$203,0),0)=0,"",INDEX('كشف الحساب'!$I$4:$I$203,IFERROR(MATCH(44,'كشف الحساب'!$N$4:$N$203,0),0))),"")</f>
        <v>0</v>
      </c>
      <c r="J48" s="74">
        <f>IFERROR(IF(IFERROR(MATCH(44,'كشف الحساب'!$N$4:$N$203,0),0)=0,"",INDEX('كشف الحساب'!$J$4:$J$203,IFERROR(MATCH(44,'كشف الحساب'!$N$4:$N$203,0),0))),"")</f>
        <v>37.44500000000005</v>
      </c>
      <c r="K48" s="70">
        <f>IFERROR(IF(IFERROR(MATCH(44,'كشف الحساب'!$N$4:$N$203,0),0)=0,"",INDEX('كشف الحساب'!$K$4:$K$203,IFERROR(MATCH(44,'كشف الحساب'!$N$4:$N$203,0),0))),"")</f>
        <v>0</v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73" t="s">
        <v>265</v>
      </c>
      <c r="B155" s="159"/>
      <c r="C155" s="159"/>
      <c r="D155" s="75">
        <f>SUM(D5:D154)</f>
        <v>1364.45</v>
      </c>
      <c r="E155" s="75">
        <f>SUM(E5:E154)</f>
        <v>602.5</v>
      </c>
      <c r="F155" s="174">
        <f>COUNTIF(H5:H154,"معلق")</f>
        <v>0</v>
      </c>
      <c r="G155" s="159"/>
      <c r="H155" s="159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4" t="s">
        <v>268</v>
      </c>
      <c r="B1" s="159"/>
      <c r="C1" s="159"/>
      <c r="D1" s="159"/>
      <c r="E1" s="159"/>
      <c r="F1" s="159"/>
      <c r="G1" s="159"/>
    </row>
    <row r="2" spans="1:7" ht="24" customHeight="1" x14ac:dyDescent="0.25">
      <c r="A2" s="172" t="s">
        <v>269</v>
      </c>
      <c r="B2" s="159"/>
      <c r="C2" s="56" t="s">
        <v>342</v>
      </c>
      <c r="D2" s="172" t="s">
        <v>270</v>
      </c>
      <c r="E2" s="159"/>
      <c r="F2" s="56">
        <v>2026</v>
      </c>
    </row>
    <row r="3" spans="1:7" ht="21.75" customHeight="1" x14ac:dyDescent="0.25">
      <c r="A3" s="176" t="s">
        <v>271</v>
      </c>
      <c r="B3" s="159"/>
      <c r="C3" s="57">
        <f>المحفظة!$D$2</f>
        <v>0</v>
      </c>
      <c r="D3" s="176" t="s">
        <v>272</v>
      </c>
      <c r="E3" s="159"/>
      <c r="F3" s="78">
        <f>المحفظة!$C$3</f>
        <v>0</v>
      </c>
    </row>
    <row r="4" spans="1:7" ht="21.75" customHeight="1" x14ac:dyDescent="0.25">
      <c r="A4" s="177" t="s">
        <v>273</v>
      </c>
      <c r="B4" s="159"/>
      <c r="C4" s="159"/>
      <c r="D4" s="159"/>
      <c r="E4" s="159"/>
      <c r="F4" s="159"/>
      <c r="G4" s="159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7" t="s">
        <v>266</v>
      </c>
      <c r="B55" s="159"/>
      <c r="C55" s="159"/>
      <c r="D55" s="159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59"/>
      <c r="C56" s="159"/>
      <c r="D56" s="159"/>
      <c r="E56" s="159"/>
      <c r="F56" s="159"/>
      <c r="G56" s="159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59"/>
      <c r="C107" s="159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3" t="s">
        <v>277</v>
      </c>
      <c r="B108" s="159"/>
      <c r="C108" s="159"/>
      <c r="D108" s="75">
        <f>E55-D107</f>
        <v>0</v>
      </c>
      <c r="E108" s="178">
        <f>SUM(E5:E107)</f>
        <v>0</v>
      </c>
      <c r="F108" s="159"/>
      <c r="G108" s="160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2026-09-13T20:54:43Z</dcterms:modified>
  <dc:language>en-US</dc:language>
</cp:coreProperties>
</file>