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3EC3C1F1-7BCA-4DE1-AB43-FC7154B8AE34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D108" i="6" l="1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F6" i="1" s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7" i="1" l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<sst xmlns="http://schemas.openxmlformats.org/spreadsheetml/2006/main" count="1299" uniqueCount="540">
  <si>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</si>
  <si>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</si>
  <si>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</si>
  <si>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</si>
  <si>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</si>
  <si>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</si>
  <si>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</si>
  <si>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</si>
  <si>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</si>
  <si>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</si>
  <si>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</si>
  <si>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</si>
  <si>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</si>
  <si>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</si>
  <si>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</si>
  <si>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</si>
  <si>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</si>
  <si>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</si>
  <si>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</si>
  <si>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</si>
  <si>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</si>
  <si>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</si>
  <si>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</si>
  <si>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</si>
  <si>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</si>
  <si>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</si>
  <si>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</si>
  <si>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</si>
  <si>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</si>
  <si>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</si>
  <si>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</si>
  <si>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</si>
  <si>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</si>
  <si>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</si>
  <si>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</si>
  <si>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</si>
  <si>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</si>
  <si>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</si>
  <si>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</si>
  <si>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</si>
  <si>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</si>
  <si>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</si>
  <si>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</si>
  <si>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</si>
  <si>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</si>
  <si>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</si>
  <si>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</si>
  <si>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</si>
  <si>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</si>
  <si>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</si>
  <si>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</si>
  <si>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</si>
  <si>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</si>
  <si>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</si>
  <si>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</si>
  <si>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</si>
  <si>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</si>
  <si>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</si>
  <si>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</si>
  <si>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</si>
  <si>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</si>
  <si>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</si>
  <si>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</si>
  <si>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</si>
  <si>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</si>
  <si>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</si>
  <si>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</si>
  <si>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</si>
  <si>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</si>
  <si>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</si>
  <si>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</si>
  <si>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</si>
  <si>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</si>
  <si>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</si>
  <si>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</si>
  <si>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</si>
  <si>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</si>
  <si>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</si>
  <si>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</si>
  <si>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</si>
  <si>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</si>
  <si>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</si>
  <si>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</si>
  <si>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</si>
  <si>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</si>
  <si>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</si>
  <si>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</si>
  <si>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</si>
  <si>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</si>
  <si>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</si>
  <si>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</si>
  <si>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</si>
  <si>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</si>
  <si>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</si>
  <si>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</si>
  <si>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</si>
  <si>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</si>
  <si>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</si>
  <si>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</si>
  <si>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</si>
  <si>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</si>
  <si>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</si>
  <si>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</si>
  <si>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</si>
  <si>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</si>
  <si>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</si>
  <si>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</si>
  <si>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</si>
  <si>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</si>
  <si>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</si>
  <si>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</si>
  <si>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</si>
  <si>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</si>
  <si>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</si>
  <si>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</si>
  <si>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</si>
  <si>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</si>
  <si>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</si>
  <si>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</si>
  <si>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</si>
  <si>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</si>
  <si>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</si>
  <si>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</si>
  <si>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</si>
  <si>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</si>
  <si>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</si>
  <si>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</si>
  <si>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</si>
  <si>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</si>
  <si>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</si>
  <si>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</si>
  <si>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</si>
  <si>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</si>
  <si>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</si>
  <si>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</si>
  <si>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</si>
  <si>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</si>
  <si>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</si>
  <si>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</si>
  <si>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</si>
  <si>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</si>
  <si>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</si>
  <si>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</si>
  <si>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</si>
  <si>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</si>
  <si>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</si>
  <si>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</si>
  <si>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</si>
  <si>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</si>
  <si>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</si>
  <si>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</si>
  <si>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</si>
  <si>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</si>
  <si>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</si>
  <si>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</si>
  <si>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</si>
  <si>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</si>
  <si>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</si>
  <si>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</si>
  <si>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</si>
  <si>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</si>
  <si>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</si>
  <si>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</si>
  <si>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</si>
  <si>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</si>
  <si>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</si>
  <si>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</si>
  <si>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</si>
  <si>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</si>
  <si>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</si>
  <si>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</si>
  <si>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</si>
  <si>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</si>
  <si>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</si>
  <si>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</si>
  <si>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</si>
  <si>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</si>
  <si>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</si>
  <si>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</si>
  <si>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</si>
  <si>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</si>
  <si>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</si>
  <si>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</si>
  <si>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</si>
  <si>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</si>
  <si>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</si>
  <si>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</si>
  <si>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</si>
  <si>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</si>
  <si>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</si>
  <si>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</si>
  <si>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</si>
  <si>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</si>
  <si>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</si>
  <si>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</si>
  <si>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</si>
  <si>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</si>
  <si>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</si>
  <si>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</si>
  <si>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</si>
  <si>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</si>
  <si>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</si>
  <si>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</si>
  <si>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</si>
  <si>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</si>
  <si>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</si>
  <si>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</si>
  <si>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</si>
  <si>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</si>
  <si>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</si>
  <si>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</si>
  <si>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</si>
  <si>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</si>
  <si>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</si>
  <si>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</si>
  <si>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</si>
  <si>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</si>
  <si>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</si>
  <si>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</si>
  <si>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</si>
  <si>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</si>
  <si>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</si>
  <si>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</si>
  <si>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</si>
  <si>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</si>
  <si>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</si>
  <si>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</si>
  <si>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</si>
  <si>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</si>
  <si>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</si>
  <si>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</si>
  <si>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</si>
  <si>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</si>
  <si>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</si>
  <si>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</si>
  <si>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</si>
  <si>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</si>
  <si>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</si>
  <si>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</si>
  <si>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</si>
  <si>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</si>
  <si>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</si>
  <si>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</si>
  <si>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</si>
  <si>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</si>
  <si>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</si>
  <si>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</si>
  <si>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</si>
  <si>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</si>
  <si>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</si>
  <si>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</si>
  <si>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</si>
  <si>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</si>
  <si>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</si>
  <si>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</si>
  <si>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</si>
  <si>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</si>
  <si>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</si>
  <si>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</si>
  <si>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</si>
  <si>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</si>
  <si>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</si>
  <si>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</si>
  <si>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</si>
  <si>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</si>
  <si>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</si>
  <si>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</si>
  <si>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</si>
  <si>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</si>
  <si>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</si>
  <si>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</si>
  <si>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</si>
  <si>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</si>
  <si>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</si>
  <si>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</si>
  <si>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</si>
  <si>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</si>
  <si>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</si>
  <si>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</si>
  <si>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</si>
  <si>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</si>
  <si>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</si>
  <si>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</si>
  <si>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</si>
  <si>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</si>
  <si>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</si>
  <si>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</si>
  <si>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</si>
  <si>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</si>
  <si>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</si>
  <si>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</si>
  <si>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</si>
  <si>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</si>
  <si>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</si>
  <si>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</si>
  <si>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</si>
  <si>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</si>
  <si>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</si>
  <si>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</si>
  <si>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</si>
  <si>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</si>
  <si>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</si>
  <si>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</si>
  <si>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</si>
  <si>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</si>
  <si>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</si>
  <si>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</si>
  <si>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</si>
  <si>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</si>
  <si>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</si>
  <si>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</si>
  <si>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</si>
  <si>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</si>
  <si>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</si>
  <si>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</si>
  <si>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</si>
  <si>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</si>
  <si>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</si>
  <si>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</si>
  <si>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</si>
  <si>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</si>
  <si>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</si>
  <si>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</si>
  <si>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</si>
  <si>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</si>
  <si>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</si>
  <si>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</si>
  <si>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</si>
  <si>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</si>
  <si>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</si>
  <si>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</si>
  <si>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</si>
  <si>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</si>
  <si>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</si>
  <si>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</si>
  <si>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</si>
  <si>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</si>
  <si>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</si>
  <si>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</si>
  <si>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</si>
  <si>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</si>
  <si>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</si>
  <si>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</si>
  <si>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</si>
  <si>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</si>
  <si>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</si>
  <si>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</si>
  <si>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</si>
  <si>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</si>
  <si>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</si>
  <si>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</si>
  <si>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</si>
  <si>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</si>
  <si>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</si>
  <si>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</si>
  <si>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</si>
  <si>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</si>
  <si>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</si>
  <si>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</si>
  <si>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</si>
  <si>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</si>
  <si>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</si>
  <si>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</si>
  <si>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</si>
  <si>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</si>
  <si>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</si>
  <si>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</si>
  <si>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</si>
  <si>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</si>
  <si>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</si>
  <si>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</si>
  <si>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</si>
  <si>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</si>
  <si>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</si>
  <si>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</si>
  <si>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</si>
  <si>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</si>
  <si>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</si>
  <si>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</si>
  <si>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</si>
  <si>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</si>
  <si>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</si>
  <si>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</si>
  <si>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</si>
  <si>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</si>
  <si>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</si>
  <si>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</si>
  <si>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</si>
  <si>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</si>
  <si>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</si>
  <si>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</si>
  <si>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</si>
  <si>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</si>
  <si>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</si>
  <si>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</si>
  <si>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</si>
  <si>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</si>
  <si>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</si>
  <si>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</si>
  <si>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</si>
  <si>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</si>
  <si>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</si>
  <si>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</si>
  <si>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</si>
  <si>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</si>
  <si>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</si>
  <si>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</si>
  <si>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</si>
  <si>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</si>
  <si>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</si>
  <si>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</si>
  <si>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</si>
  <si>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</si>
  <si>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</si>
  <si>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</si>
  <si>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</si>
  <si>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</si>
  <si>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</si>
  <si>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</si>
  <si>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</si>
  <si>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</si>
  <si>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</si>
  <si>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</si>
  <si>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</si>
  <si>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</si>
  <si>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</si>
  <si>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</si>
  <si>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</si>
  <si>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</si>
  <si>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</si>
  <si>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</si>
  <si>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</si>
  <si>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</si>
  <si>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</si>
  <si>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</si>
  <si>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</si>
  <si>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</si>
  <si>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</si>
  <si>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</si>
  <si>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</si>
  <si>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</si>
  <si>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</si>
  <si>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</si>
  <si>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</si>
  <si>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</si>
  <si>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</si>
  <si>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</si>
  <si>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</si>
  <si>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</si>
  <si>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</si>
  <si>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</si>
  <si>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</si>
  <si>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</si>
  <si>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</si>
  <si>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</si>
  <si>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</si>
  <si>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</si>
  <si>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</si>
  <si>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</si>
  <si>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</si>
  <si>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</si>
  <si>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</si>
  <si>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</si>
  <si>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</si>
  <si>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</si>
  <si>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</si>
  <si>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</si>
  <si>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</si>
  <si>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</si>
  <si>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</si>
  <si>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</si>
  <si>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</si>
  <si>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</si>
  <si>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</si>
  <si>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</si>
  <si>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</si>
  <si>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</si>
  <si>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</si>
  <si>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</si>
  <si>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</si>
  <si>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</si>
  <si>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</si>
  <si>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</si>
  <si>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</si>
  <si>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</si>
  <si>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</si>
  <si>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</si>
  <si>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</si>
  <si>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</si>
  <si>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</si>
  <si>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</si>
  <si>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</si>
  <si>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</si>
  <si>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</si>
  <si>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</si>
  <si>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</si>
  <si>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</si>
  <si>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</si>
  <si>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</si>
  <si>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</si>
  <si>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</si>
  <si>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</si>
  <si>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</si>
  <si>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</si>
  <si>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</si>
  <si>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</si>
  <si>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</si>
  <si>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</si>
  <si>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</si>
  <si>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</si>
  <si>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</si>
  <si>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</si>
  <si>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</si>
  <si>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</si>
  <si>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</si>
  <si>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</si>
  <si>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</si>
  <si>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</si>
  <si>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</si>
  <si>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</si>
  <si>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</si>
  <si>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</si>
  <si>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</si>
  <si>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</si>
  <si>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</si>
  <si>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</si>
  <si>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</si>
  <si>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</si>
  <si>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</si>
  <si>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</si>
  <si>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</si>
  <si>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</si>
  <si>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</si>
  <si>
    <t>فردوس تدكره 103+راتب 14 يوم 40</t>
  </si>
  <si>
    <t>20 بديل فردوس مقدم +20 سيور مراوح+مضخه الرش</t>
  </si>
  <si>
    <t>Inv-198</t>
  </si>
  <si>
    <t>Inv-199</t>
  </si>
  <si>
    <t>متنوع - ابوادم</t>
  </si>
  <si>
    <t>متنوع - زهور التهاني</t>
  </si>
  <si>
    <t>عامل اضافي اوفرتايم لتحميل زهور التهاني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</si>
</sst>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51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  <font>
      <sz val="9"/>
      <color rgb="FF1C1C1C"/>
      <name val="Arial"/>
      <family val="2"/>
    </font>
    <font>
      <b/>
      <sz val="10"/>
      <name val="Arial"/>
      <family val="2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6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49" fillId="0" borderId="0" xfId="0" applyFont="1"/>
    <xf numFmtId="0" fontId="50" fillId="19" borderId="2" xfId="0" applyFont="1" applyFill="1" applyBorder="1" applyAlignment="1">
      <alignment horizontal="center" vertical="center"/>
    </xf>
    <xf numFmtId="0" fontId="50" fillId="20" borderId="2" xfId="0" applyFont="1" applyFill="1" applyBorder="1" applyAlignment="1">
      <alignment horizontal="center" vertical="center"/>
    </xf>
    <xf numFmtId="0" fontId="50" fillId="21" borderId="2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62" activePane="bottomLeft" state="frozen"/>
      <selection pane="bottomLeft" activeCell="D273" sqref="D27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>
        <v>46307</v>
      </c>
      <c r="B268" s="36"/>
      <c r="C268" s="37" t="s">
        <v>533</v>
      </c>
      <c r="D268" s="38">
        <v>143</v>
      </c>
      <c r="E268" s="39"/>
      <c r="F268" s="136" t="s">
        <v>38</v>
      </c>
      <c r="G268" s="40" t="s">
        <v>39</v>
      </c>
      <c r="H268" s="41" t="s">
        <v>40</v>
      </c>
      <c r="I268" s="42"/>
      <c r="J268" s="43">
        <f>IF(AND(D268="",E268="",A268="",B268="",C268=""),"", IFERROR(IF(J267="",D2,J267),D2)+IF(OR(E268="",H268="معلق"),0,E268)-IF(OR(G268="أبو اسحاق",G268="أبو آدم",G268="أبو اسحاق ",G268="أبو آدم "),0,IF(D268="",0,D268)))</f>
        <v>1580.595</v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>
        <f>IF(OR($A268="",$F268="أحد الشركاء",AND($D268="",$E268="")),"",SUMPRODUCT(($A$4:$A268&lt;&gt;"")*($F$4:$F268&lt;&gt;"أحد الشركاء")*((($D$4:$D268&lt;&gt;"")+($E$4:$E268&lt;&gt;""))&gt;0)))</f>
        <v>244</v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>
        <v>46307</v>
      </c>
      <c r="B269" s="26"/>
      <c r="C269" s="27" t="s">
        <v>534</v>
      </c>
      <c r="D269" s="28">
        <v>40</v>
      </c>
      <c r="E269" s="29"/>
      <c r="F269" s="30" t="s">
        <v>38</v>
      </c>
      <c r="G269" s="31" t="s">
        <v>39</v>
      </c>
      <c r="H269" s="32" t="s">
        <v>40</v>
      </c>
      <c r="I269" s="33"/>
      <c r="J269" s="34">
        <f>IF(AND(D269="",E269="",A269="",B269="",C269=""),"", IFERROR(IF(J268="",D2,J268),D2)+IF(OR(E269="",H269="معلق"),0,E269)-IF(OR(G269="أبو اسحاق",G269="أبو آدم",G269="أبو اسحاق ",G269="أبو آدم "),0,IF(D269="",0,D269)))</f>
        <v>1540.595</v>
      </c>
      <c r="K269" s="35"/>
      <c r="L269" t="str">
        <f>IF(E268&gt;0,COUNTIF($E$4:E268,"&gt;0"),"")</f>
        <v/>
      </c>
      <c r="M269">
        <f>IF(AND(D268&gt;0,G268="المحفظة"),COUNTIFS($D$4:D268,"&gt;"&amp;0,$G$4:G268,"المحفظة"),"")</f>
        <v>58</v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>
        <f>IF(OR($A269="",$F269="أحد الشركاء",AND($D269="",$E269="")),"",SUMPRODUCT(($A$4:$A269&lt;&gt;"")*($F$4:$F269&lt;&gt;"أحد الشركاء")*((($D$4:$D269&lt;&gt;"")+($E$4:$E269&lt;&gt;""))&gt;0)))</f>
        <v>245</v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>
        <v>46310</v>
      </c>
      <c r="B270" s="36" t="s">
        <v>535</v>
      </c>
      <c r="C270" s="37" t="s">
        <v>538</v>
      </c>
      <c r="D270" s="38"/>
      <c r="E270" s="39">
        <v>378</v>
      </c>
      <c r="F270" s="136" t="s">
        <v>38</v>
      </c>
      <c r="G270" s="40"/>
      <c r="H270" s="41" t="s">
        <v>40</v>
      </c>
      <c r="I270" s="42"/>
      <c r="J270" s="43">
        <f>IF(AND(D270="",E270="",A270="",B270="",C270=""),"", IFERROR(IF(J269="",D2,J269),D2)+IF(OR(E270="",H270="معلق"),0,E270)-IF(OR(G270="أبو اسحاق",G270="أبو آدم",G270="أبو اسحاق ",G270="أبو آدم "),0,IF(D270="",0,D270)))</f>
        <v>1918.595</v>
      </c>
      <c r="K270" s="44"/>
      <c r="L270" t="str">
        <f>IF(E269&gt;0,COUNTIF($E$4:E269,"&gt;0"),"")</f>
        <v/>
      </c>
      <c r="M270">
        <f>IF(AND(D269&gt;0,G269="المحفظة"),COUNTIFS($D$4:D269,"&gt;"&amp;0,$G$4:G269,"المحفظة"),"")</f>
        <v>59</v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>
        <f>IF(OR($A270="",$F270="أحد الشركاء",AND($D270="",$E270="")),"",SUMPRODUCT(($A$4:$A270&lt;&gt;"")*($F$4:$F270&lt;&gt;"أحد الشركاء")*((($D$4:$D270&lt;&gt;"")+($E$4:$E270&lt;&gt;""))&gt;0)))</f>
        <v>246</v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>
        <v>46310</v>
      </c>
      <c r="B271" s="26" t="s">
        <v>536</v>
      </c>
      <c r="C271" s="27" t="s">
        <v>537</v>
      </c>
      <c r="D271" s="28"/>
      <c r="E271" s="29">
        <v>16.5</v>
      </c>
      <c r="F271" s="30" t="s">
        <v>38</v>
      </c>
      <c r="G271" s="31"/>
      <c r="H271" s="32" t="s">
        <v>40</v>
      </c>
      <c r="I271" s="33"/>
      <c r="J271" s="34">
        <f>IF(AND(D271="",E271="",A271="",B271="",C271=""),"", IFERROR(IF(J270="",D2,J270),D2)+IF(OR(E271="",H271="معلق"),0,E271)-IF(OR(G271="أبو اسحاق",G271="أبو آدم",G271="أبو اسحاق ",G271="أبو آدم "),0,IF(D271="",0,D271)))</f>
        <v>1935.095</v>
      </c>
      <c r="K271" s="35"/>
      <c r="L271">
        <f>IF(E270&gt;0,COUNTIF($E$4:E270,"&gt;0"),"")</f>
        <v>184</v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>
        <f>IF(OR($A271="",$F271="أحد الشركاء",AND($D271="",$E271="")),"",SUMPRODUCT(($A$4:$A271&lt;&gt;"")*($F$4:$F271&lt;&gt;"أحد الشركاء")*((($D$4:$D271&lt;&gt;"")+($E$4:$E271&lt;&gt;""))&gt;0)))</f>
        <v>247</v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>
        <v>46310</v>
      </c>
      <c r="B272" s="36"/>
      <c r="C272" s="182" t="s">
        <v>539</v>
      </c>
      <c r="D272" s="38">
        <v>3</v>
      </c>
      <c r="E272" s="39"/>
      <c r="F272" s="183" t="s">
        <v>38</v>
      </c>
      <c r="G272" s="184" t="s">
        <v>39</v>
      </c>
      <c r="H272" s="185" t="s">
        <v>40</v>
      </c>
      <c r="I272" s="42"/>
      <c r="J272" s="43">
        <f>IF(AND(D272="",E272="",A272="",B272="",C272=""),"", IFERROR(IF(J271="",D2,J271),D2)+IF(OR(E272="",H272="معلق"),0,E272)-IF(OR(G272="أبو اسحاق",G272="أبو آدم",G272="أبو اسحاق ",G272="أبو آدم "),0,IF(D272="",0,D272)))</f>
        <v>1932.095</v>
      </c>
      <c r="K272" s="44"/>
      <c r="L272">
        <f>IF(E271&gt;0,COUNTIF($E$4:E271,"&gt;0"),"")</f>
        <v>185</v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>
        <f>IF(OR($A272="",$F272="أحد الشركاء",AND($D272="",$E272="")),"",SUMPRODUCT(($A$4:$A272&lt;&gt;"")*($F$4:$F272&lt;&gt;"أحد الشركاء")*((($D$4:$D272&lt;&gt;"")+($E$4:$E272&lt;&gt;""))&gt;0)))</f>
        <v>248</v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IFERROR(IF(J272="",D2,J272),D2)+IF(OR(E273="",H273="معلق"),0,E273)-IF(OR(G273="أبو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>
        <f>IF(AND(D272&gt;0,G272="المحفظة"),COUNTIFS($D$4:D272,"&gt;"&amp;0,$G$4:G272,"المحفظة"),"")</f>
        <v>60</v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1932.095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4941.1450000000004</v>
      </c>
      <c r="E355" s="46">
        <f ca="1">SUMPRODUCT(SUBTOTAL(9,OFFSET(E4,ROW(E4:E353)-ROW(E4),0)),--(H4:H353&lt;&gt;"معلق"))</f>
        <v>5091.74</v>
      </c>
      <c r="F355" s="140">
        <f ca="1">SUMPRODUCT(SUBTOTAL(3,OFFSET(H4,ROW(H4:H353)-ROW(H4),0))*(H4:H353="معلق"))</f>
        <v>11</v>
      </c>
      <c r="G355" s="137"/>
      <c r="H355" s="137"/>
      <c r="J355" s="46">
        <f t="array" aca="1" ref="J355" ca="1">IFERROR(LOOKUP(2,1/((SUBTOTAL(3,OFFSET(J4,ROW(J4:J353)-ROW(J4),0))&gt;0)*(J4:J353&lt;&gt;"")),J4:J353),$D$2)</f>
        <v>1932.095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79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9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81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81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0">
        <f>SUM(E5:E107)</f>
        <v>0</v>
      </c>
      <c r="F108" s="161"/>
      <c r="G108" s="162"/>
    </row>
  </sheetData>
  <mergeCells count="11">
    <mergeCell ref="A2:B2"/>
    <mergeCell ref="A1:G1"/>
    <mergeCell ref="A107:C107"/>
    <mergeCell ref="A56:G56"/>
    <mergeCell ref="D2:E2"/>
    <mergeCell ref="A108:C108"/>
    <mergeCell ref="D3:E3"/>
    <mergeCell ref="A4:G4"/>
    <mergeCell ref="A55:D55"/>
    <mergeCell ref="E108:G108"/>
    <mergeCell ref="A3:B3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2026-10-15T20:01:12Z</dcterms:modified>
  <dc:language>en-US</dc:language>
</cp:coreProperties>
</file>