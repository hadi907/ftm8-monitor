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DEECEF02-8767-4259-A391-6F2BDE66A5F2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Q152" i="2"/>
  <c r="P152" i="2"/>
  <c r="O152" i="2"/>
  <c r="N152" i="2"/>
  <c r="M152" i="2"/>
  <c r="L152" i="2"/>
  <c r="Q151" i="2"/>
  <c r="P151" i="2"/>
  <c r="O151" i="2"/>
  <c r="N151" i="2"/>
  <c r="M151" i="2"/>
  <c r="L151" i="2"/>
  <c r="Q150" i="2"/>
  <c r="P150" i="2"/>
  <c r="O150" i="2"/>
  <c r="N150" i="2"/>
  <c r="M150" i="2"/>
  <c r="L150" i="2"/>
  <c r="Q149" i="2"/>
  <c r="P149" i="2"/>
  <c r="O149" i="2"/>
  <c r="N149" i="2"/>
  <c r="M149" i="2"/>
  <c r="L149" i="2"/>
  <c r="Q148" i="2"/>
  <c r="P148" i="2"/>
  <c r="O148" i="2"/>
  <c r="N148" i="2"/>
  <c r="M148" i="2"/>
  <c r="L148" i="2"/>
  <c r="Q147" i="2"/>
  <c r="P147" i="2"/>
  <c r="O147" i="2"/>
  <c r="N147" i="2"/>
  <c r="M147" i="2"/>
  <c r="L147" i="2"/>
  <c r="Q146" i="2"/>
  <c r="P146" i="2"/>
  <c r="O146" i="2"/>
  <c r="N146" i="2"/>
  <c r="M146" i="2"/>
  <c r="L146" i="2"/>
  <c r="Q145" i="2"/>
  <c r="P145" i="2"/>
  <c r="O145" i="2"/>
  <c r="N145" i="2"/>
  <c r="M145" i="2"/>
  <c r="L145" i="2"/>
  <c r="J145" i="2"/>
  <c r="J146" i="2" s="1"/>
  <c r="J147" i="2" s="1"/>
  <c r="J148" i="2" s="1"/>
  <c r="J149" i="2" s="1"/>
  <c r="J150" i="2" s="1"/>
  <c r="J151" i="2" s="1"/>
  <c r="J152" i="2" s="1"/>
  <c r="J153" i="2" s="1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B136" i="1"/>
  <c r="A141" i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D142" i="1"/>
  <c r="A149" i="1"/>
  <c r="A157" i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B159" i="1"/>
  <c r="C158" i="1"/>
  <c r="D157" i="1"/>
  <c r="E156" i="1"/>
  <c r="A156" i="1"/>
  <c r="B155" i="1"/>
  <c r="C154" i="1"/>
  <c r="D153" i="1"/>
  <c r="E152" i="1"/>
  <c r="A152" i="1"/>
  <c r="B151" i="1"/>
  <c r="C150" i="1"/>
  <c r="D149" i="1"/>
  <c r="E148" i="1"/>
  <c r="A148" i="1"/>
  <c r="B147" i="1"/>
  <c r="C146" i="1"/>
  <c r="D145" i="1"/>
  <c r="E144" i="1"/>
  <c r="A144" i="1"/>
  <c r="B143" i="1"/>
  <c r="C142" i="1"/>
  <c r="D141" i="1"/>
  <c r="E140" i="1"/>
  <c r="A140" i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B162" i="1"/>
  <c r="C161" i="1"/>
  <c r="D160" i="1"/>
  <c r="E159" i="1"/>
  <c r="A159" i="1"/>
  <c r="B158" i="1"/>
  <c r="C157" i="1"/>
  <c r="D156" i="1"/>
  <c r="E155" i="1"/>
  <c r="A155" i="1"/>
  <c r="B154" i="1"/>
  <c r="C153" i="1"/>
  <c r="D152" i="1"/>
  <c r="E151" i="1"/>
  <c r="A151" i="1"/>
  <c r="B150" i="1"/>
  <c r="C149" i="1"/>
  <c r="D148" i="1"/>
  <c r="E147" i="1"/>
  <c r="A147" i="1"/>
  <c r="B146" i="1"/>
  <c r="C145" i="1"/>
  <c r="D144" i="1"/>
  <c r="E143" i="1"/>
  <c r="A143" i="1"/>
  <c r="B142" i="1"/>
  <c r="C141" i="1"/>
  <c r="D140" i="1"/>
  <c r="E139" i="1"/>
  <c r="A139" i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B161" i="1"/>
  <c r="C160" i="1"/>
  <c r="D159" i="1"/>
  <c r="E158" i="1"/>
  <c r="A158" i="1"/>
  <c r="B157" i="1"/>
  <c r="C156" i="1"/>
  <c r="D155" i="1"/>
  <c r="E154" i="1"/>
  <c r="A154" i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C148" i="1"/>
  <c r="E146" i="1"/>
  <c r="B145" i="1"/>
  <c r="D143" i="1"/>
  <c r="A142" i="1"/>
  <c r="C140" i="1"/>
  <c r="E138" i="1"/>
  <c r="D137" i="1"/>
  <c r="E136" i="1"/>
  <c r="A136" i="1"/>
  <c r="B135" i="1"/>
  <c r="C134" i="1"/>
  <c r="D133" i="1"/>
  <c r="E132" i="1"/>
  <c r="A132" i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C151" i="1"/>
  <c r="E149" i="1"/>
  <c r="B148" i="1"/>
  <c r="D146" i="1"/>
  <c r="A145" i="1"/>
  <c r="C143" i="1"/>
  <c r="E141" i="1"/>
  <c r="B140" i="1"/>
  <c r="D138" i="1"/>
  <c r="C137" i="1"/>
  <c r="D136" i="1"/>
  <c r="E135" i="1"/>
  <c r="A135" i="1"/>
  <c r="B134" i="1"/>
  <c r="C133" i="1"/>
  <c r="D132" i="1"/>
  <c r="E131" i="1"/>
  <c r="A131" i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E157" i="1"/>
  <c r="D154" i="1"/>
  <c r="C152" i="1"/>
  <c r="E150" i="1"/>
  <c r="B149" i="1"/>
  <c r="D147" i="1"/>
  <c r="A146" i="1"/>
  <c r="C144" i="1"/>
  <c r="E142" i="1"/>
  <c r="B141" i="1"/>
  <c r="D139" i="1"/>
  <c r="A138" i="1"/>
  <c r="B137" i="1"/>
  <c r="C136" i="1"/>
  <c r="D135" i="1"/>
  <c r="E134" i="1"/>
  <c r="A134" i="1"/>
  <c r="B133" i="1"/>
  <c r="C132" i="1"/>
  <c r="D131" i="1"/>
  <c r="E130" i="1"/>
  <c r="A130" i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<sst xmlns="http://schemas.openxmlformats.org/spreadsheetml/2006/main" count="938" uniqueCount="401">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</sst>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7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5" t="s">
        <v>0</v>
      </c>
      <c r="B1" s="152"/>
      <c r="C1" s="152"/>
      <c r="D1" s="152"/>
      <c r="E1" s="152"/>
      <c r="F1" s="153"/>
    </row>
    <row r="2" spans="1:6" ht="30" customHeight="1" x14ac:dyDescent="0.25">
      <c r="A2" s="154" t="s">
        <v>1</v>
      </c>
      <c r="B2" s="152"/>
      <c r="C2" s="152"/>
      <c r="D2" s="152"/>
      <c r="E2" s="153"/>
      <c r="F2" s="119">
        <f>F206</f>
        <v>293.94500000000005</v>
      </c>
    </row>
    <row r="3" spans="1:6" ht="6" customHeight="1" x14ac:dyDescent="0.25">
      <c r="A3" s="157"/>
      <c r="B3" s="152"/>
      <c r="C3" s="152"/>
      <c r="D3" s="152"/>
      <c r="E3" s="152"/>
      <c r="F3" s="153"/>
    </row>
    <row r="4" spans="1:6" ht="27.95" customHeight="1" x14ac:dyDescent="0.25">
      <c r="A4" s="156" t="s">
        <v>2</v>
      </c>
      <c r="B4" s="152"/>
      <c r="C4" s="152"/>
      <c r="D4" s="152"/>
      <c r="E4" s="152"/>
      <c r="F4" s="153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Inv-114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الحساب'!$A$4:$A$204,MATCH(124,'كشف الحساب'!$P$4:$P$204,0)),"")</f>
        <v>46245</v>
      </c>
      <c r="B129" s="122">
        <f>IFERROR(INDEX('كشف الحساب'!$B$4:$B$204,MATCH(124,'كشف الحساب'!$P$4:$P$204,0)),"")</f>
        <v>0</v>
      </c>
      <c r="C129" s="121" t="str">
        <f>IFERROR(INDEX('كشف الحساب'!$C$4:$C$204,MATCH(124,'كشف الحساب'!$P$4:$P$204,0)),"")</f>
        <v>احواض معلقه + كوكوبيت</v>
      </c>
      <c r="D129" s="123">
        <f>IFERROR(INDEX('كشف الحساب'!$E$4:$E$204,MATCH(124,'كشف الحساب'!$P$4:$P$204,0)),"")</f>
        <v>0</v>
      </c>
      <c r="E129" s="124">
        <f>IFERROR(INDEX('كشف الحساب'!$D$4:$D$204,MATCH(124,'كشف الحساب'!$P$4:$P$204,0)),"")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الحساب'!$A$4:$A$204,MATCH(125,'كشف الحساب'!$P$4:$P$204,0)),"")</f>
        <v>46245</v>
      </c>
      <c r="B130" s="122">
        <f>IFERROR(INDEX('كشف الحساب'!$B$4:$B$204,MATCH(125,'كشف الحساب'!$P$4:$P$204,0)),"")</f>
        <v>0</v>
      </c>
      <c r="C130" s="121" t="str">
        <f>IFERROR(INDEX('كشف الحساب'!$C$4:$C$204,MATCH(125,'كشف الحساب'!$P$4:$P$204,0)),"")</f>
        <v>15-15-15 خرماشه</v>
      </c>
      <c r="D130" s="123">
        <f>IFERROR(INDEX('كشف الحساب'!$E$4:$E$204,MATCH(125,'كشف الحساب'!$P$4:$P$204,0)),"")</f>
        <v>0</v>
      </c>
      <c r="E130" s="124">
        <f>IFERROR(INDEX('كشف الحساب'!$D$4:$D$204,MATCH(125,'كشف الحساب'!$P$4:$P$204,0)),"")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الحساب'!$A$4:$A$204,MATCH(126,'كشف الحساب'!$P$4:$P$204,0)),"")</f>
        <v>46247</v>
      </c>
      <c r="B131" s="122">
        <f>IFERROR(INDEX('كشف الحساب'!$B$4:$B$204,MATCH(126,'كشف الحساب'!$P$4:$P$204,0)),"")</f>
        <v>0</v>
      </c>
      <c r="C131" s="121" t="str">
        <f>IFERROR(INDEX('كشف الحساب'!$C$4:$C$204,MATCH(126,'كشف الحساب'!$P$4:$P$204,0)),"")</f>
        <v>هرمون تدير</v>
      </c>
      <c r="D131" s="123">
        <f>IFERROR(INDEX('كشف الحساب'!$E$4:$E$204,MATCH(126,'كشف الحساب'!$P$4:$P$204,0)),"")</f>
        <v>0</v>
      </c>
      <c r="E131" s="124">
        <f>IFERROR(INDEX('كشف الحساب'!$D$4:$D$204,MATCH(126,'كشف الحساب'!$P$4:$P$204,0)),"")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الحساب'!$A$4:$A$204,MATCH(127,'كشف الحساب'!$P$4:$P$204,0)),"")</f>
        <v>46247</v>
      </c>
      <c r="B132" s="122">
        <f>IFERROR(INDEX('كشف الحساب'!$B$4:$B$204,MATCH(127,'كشف الحساب'!$P$4:$P$204,0)),"")</f>
        <v>0</v>
      </c>
      <c r="C132" s="121" t="str">
        <f>IFERROR(INDEX('كشف الحساب'!$C$4:$C$204,MATCH(127,'كشف الحساب'!$P$4:$P$204,0)),"")</f>
        <v>احواض مقاس 14 عدد 1000</v>
      </c>
      <c r="D132" s="123">
        <f>IFERROR(INDEX('كشف الحساب'!$E$4:$E$204,MATCH(127,'كشف الحساب'!$P$4:$P$204,0)),"")</f>
        <v>0</v>
      </c>
      <c r="E132" s="124">
        <f>IFERROR(INDEX('كشف الحساب'!$D$4:$D$204,MATCH(127,'كشف الحساب'!$P$4:$P$204,0)),"")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الحساب'!$A$4:$A$204,MATCH(128,'كشف الحساب'!$P$4:$P$204,0)),"")</f>
        <v>46247</v>
      </c>
      <c r="B133" s="122">
        <f>IFERROR(INDEX('كشف الحساب'!$B$4:$B$204,MATCH(128,'كشف الحساب'!$P$4:$P$204,0)),"")</f>
        <v>0</v>
      </c>
      <c r="C133" s="121" t="str">
        <f>IFERROR(INDEX('كشف الحساب'!$C$4:$C$204,MATCH(128,'كشف الحساب'!$P$4:$P$204,0)),"")</f>
        <v>وصلات</v>
      </c>
      <c r="D133" s="123">
        <f>IFERROR(INDEX('كشف الحساب'!$E$4:$E$204,MATCH(128,'كشف الحساب'!$P$4:$P$204,0)),"")</f>
        <v>0</v>
      </c>
      <c r="E133" s="124">
        <f>IFERROR(INDEX('كشف الحساب'!$D$4:$D$204,MATCH(128,'كشف الحساب'!$P$4:$P$204,0)),"")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الحساب'!$A$4:$A$204,MATCH(129,'كشف الحساب'!$P$4:$P$204,0)),"")</f>
        <v>46249</v>
      </c>
      <c r="B134" s="122">
        <f>IFERROR(INDEX('كشف الحساب'!$B$4:$B$204,MATCH(129,'كشف الحساب'!$P$4:$P$204,0)),"")</f>
        <v>0</v>
      </c>
      <c r="C134" s="121" t="str">
        <f>IFERROR(INDEX('كشف الحساب'!$C$4:$C$204,MATCH(129,'كشف الحساب'!$P$4:$P$204,0)),"")</f>
        <v>وصلات وحنفيه</v>
      </c>
      <c r="D134" s="123">
        <f>IFERROR(INDEX('كشف الحساب'!$E$4:$E$204,MATCH(129,'كشف الحساب'!$P$4:$P$204,0)),"")</f>
        <v>0</v>
      </c>
      <c r="E134" s="124">
        <f>IFERROR(INDEX('كشف الحساب'!$D$4:$D$204,MATCH(129,'كشف الحساب'!$P$4:$P$204,0)),"")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الحساب'!$A$4:$A$204,MATCH(130,'كشف الحساب'!$P$4:$P$204,0)),"")</f>
        <v>46252</v>
      </c>
      <c r="B135" s="122" t="str">
        <f>IFERROR(INDEX('كشف الحساب'!$B$4:$B$204,MATCH(130,'كشف الحساب'!$P$4:$P$204,0)),"")</f>
        <v>Inv-115</v>
      </c>
      <c r="C135" s="121" t="str">
        <f>IFERROR(INDEX('كشف الحساب'!$C$4:$C$204,MATCH(130,'كشف الحساب'!$P$4:$P$204,0)),"")</f>
        <v>فل عدد 14 الحبه .750</v>
      </c>
      <c r="D135" s="123">
        <f>IFERROR(INDEX('كشف الحساب'!$E$4:$E$204,MATCH(130,'كشف الحساب'!$P$4:$P$204,0)),"")</f>
        <v>10.5</v>
      </c>
      <c r="E135" s="124">
        <f>IFERROR(INDEX('كشف الحساب'!$D$4:$D$204,MATCH(130,'كشف الحساب'!$P$4:$P$204,0)),"")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الحساب'!$A$4:$A$204,MATCH(131,'كشف الحساب'!$P$4:$P$204,0)),"")</f>
        <v>46252</v>
      </c>
      <c r="B136" s="122" t="str">
        <f>IFERROR(INDEX('كشف الحساب'!$B$4:$B$204,MATCH(131,'كشف الحساب'!$P$4:$P$204,0)),"")</f>
        <v>Inv-116</v>
      </c>
      <c r="C136" s="121" t="str">
        <f>IFERROR(INDEX('كشف الحساب'!$C$4:$C$204,MATCH(131,'كشف الحساب'!$P$4:$P$204,0)),"")</f>
        <v>متنوع عدد 1 الحبه 2.500</v>
      </c>
      <c r="D136" s="123">
        <f>IFERROR(INDEX('كشف الحساب'!$E$4:$E$204,MATCH(131,'كشف الحساب'!$P$4:$P$204,0)),"")</f>
        <v>2.5</v>
      </c>
      <c r="E136" s="124">
        <f>IFERROR(INDEX('كشف الحساب'!$D$4:$D$204,MATCH(131,'كشف الحساب'!$P$4:$P$204,0)),"")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الحساب'!$A$4:$A$204,MATCH(132,'كشف الحساب'!$P$4:$P$204,0)),"")</f>
        <v>46258</v>
      </c>
      <c r="B137" s="122" t="str">
        <f>IFERROR(INDEX('كشف الحساب'!$B$4:$B$204,MATCH(132,'كشف الحساب'!$P$4:$P$204,0)),"")</f>
        <v>Inv-117</v>
      </c>
      <c r="C137" s="121" t="str">
        <f>IFERROR(INDEX('كشف الحساب'!$C$4:$C$204,MATCH(132,'كشف الحساب'!$P$4:$P$204,0)),"")</f>
        <v>ربل عدد 10 الحبه 2.250</v>
      </c>
      <c r="D137" s="123">
        <f>IFERROR(INDEX('كشف الحساب'!$E$4:$E$204,MATCH(132,'كشف الحساب'!$P$4:$P$204,0)),"")</f>
        <v>22.5</v>
      </c>
      <c r="E137" s="124">
        <f>IFERROR(INDEX('كشف الحساب'!$D$4:$D$204,MATCH(132,'كشف الحساب'!$P$4:$P$204,0)),"")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الحساب'!$A$4:$A$204,MATCH(133,'كشف الحساب'!$P$4:$P$204,0)),"")</f>
        <v>46258</v>
      </c>
      <c r="B138" s="122" t="str">
        <f>IFERROR(INDEX('كشف الحساب'!$B$4:$B$204,MATCH(133,'كشف الحساب'!$P$4:$P$204,0)),"")</f>
        <v>Inv-118</v>
      </c>
      <c r="C138" s="121" t="str">
        <f>IFERROR(INDEX('كشف الحساب'!$C$4:$C$204,MATCH(133,'كشف الحساب'!$P$4:$P$204,0)),"")</f>
        <v>متنوع عدد 4 الحبه 1</v>
      </c>
      <c r="D138" s="123">
        <f>IFERROR(INDEX('كشف الحساب'!$E$4:$E$204,MATCH(133,'كشف الحساب'!$P$4:$P$204,0)),"")</f>
        <v>4</v>
      </c>
      <c r="E138" s="124">
        <f>IFERROR(INDEX('كشف الحساب'!$D$4:$D$204,MATCH(133,'كشف الحساب'!$P$4:$P$204,0)),"")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الحساب'!$A$4:$A$204,MATCH(134,'كشف الحساب'!$P$4:$P$204,0)),"")</f>
        <v>46258</v>
      </c>
      <c r="B139" s="122" t="str">
        <f>IFERROR(INDEX('كشف الحساب'!$B$4:$B$204,MATCH(134,'كشف الحساب'!$P$4:$P$204,0)),"")</f>
        <v>Inv-119</v>
      </c>
      <c r="C139" s="121" t="str">
        <f>IFERROR(INDEX('كشف الحساب'!$C$4:$C$204,MATCH(134,'كشف الحساب'!$P$4:$P$204,0)),"")</f>
        <v>دارسينا عدد 2 الحبه 3</v>
      </c>
      <c r="D139" s="123">
        <f>IFERROR(INDEX('كشف الحساب'!$E$4:$E$204,MATCH(134,'كشف الحساب'!$P$4:$P$204,0)),"")</f>
        <v>6</v>
      </c>
      <c r="E139" s="124">
        <f>IFERROR(INDEX('كشف الحساب'!$D$4:$D$204,MATCH(134,'كشف الحساب'!$P$4:$P$204,0)),"")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الحساب'!$A$4:$A$204,MATCH(135,'كشف الحساب'!$P$4:$P$204,0)),"")</f>
        <v>46258</v>
      </c>
      <c r="B140" s="122" t="str">
        <f>IFERROR(INDEX('كشف الحساب'!$B$4:$B$204,MATCH(135,'كشف الحساب'!$P$4:$P$204,0)),"")</f>
        <v>Inv-120</v>
      </c>
      <c r="C140" s="121" t="str">
        <f>IFERROR(INDEX('كشف الحساب'!$C$4:$C$204,MATCH(135,'كشف الحساب'!$P$4:$P$204,0)),"")</f>
        <v>فل عدد 2 الحبه .750</v>
      </c>
      <c r="D140" s="123">
        <f>IFERROR(INDEX('كشف الحساب'!$E$4:$E$204,MATCH(135,'كشف الحساب'!$P$4:$P$204,0)),"")</f>
        <v>1.5</v>
      </c>
      <c r="E140" s="124">
        <f>IFERROR(INDEX('كشف الحساب'!$D$4:$D$204,MATCH(135,'كشف الحساب'!$P$4:$P$204,0)),"")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الحساب'!$A$4:$A$204,MATCH(136,'كشف الحساب'!$P$4:$P$204,0)),"")</f>
        <v>46258</v>
      </c>
      <c r="B141" s="122">
        <f>IFERROR(INDEX('كشف الحساب'!$B$4:$B$204,MATCH(136,'كشف الحساب'!$P$4:$P$204,0)),"")</f>
        <v>0</v>
      </c>
      <c r="C141" s="121" t="str">
        <f>IFERROR(INDEX('كشف الحساب'!$C$4:$C$204,MATCH(136,'كشف الحساب'!$P$4:$P$204,0)),"")</f>
        <v>اسمده</v>
      </c>
      <c r="D141" s="123">
        <f>IFERROR(INDEX('كشف الحساب'!$E$4:$E$204,MATCH(136,'كشف الحساب'!$P$4:$P$204,0)),"")</f>
        <v>0</v>
      </c>
      <c r="E141" s="124">
        <f>IFERROR(INDEX('كشف الحساب'!$D$4:$D$204,MATCH(136,'كشف الحساب'!$P$4:$P$204,0)),"")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الحساب'!$A$4:$A$204,MATCH(137,'كشف الحساب'!$P$4:$P$204,0)),"")</f>
        <v>46260</v>
      </c>
      <c r="B142" s="122" t="str">
        <f>IFERROR(INDEX('كشف الحساب'!$B$4:$B$204,MATCH(137,'كشف الحساب'!$P$4:$P$204,0)),"")</f>
        <v>Inv-121</v>
      </c>
      <c r="C142" s="121" t="str">
        <f>IFERROR(INDEX('كشف الحساب'!$C$4:$C$204,MATCH(137,'كشف الحساب'!$P$4:$P$204,0)),"")</f>
        <v>شركه التهاني</v>
      </c>
      <c r="D142" s="123">
        <f>IFERROR(INDEX('كشف الحساب'!$E$4:$E$204,MATCH(137,'كشف الحساب'!$P$4:$P$204,0)),"")</f>
        <v>260</v>
      </c>
      <c r="E142" s="124">
        <f>IFERROR(INDEX('كشف الحساب'!$D$4:$D$204,MATCH(137,'كشف الحساب'!$P$4:$P$204,0)),"")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الحساب'!$A$4:$A$204,MATCH(138,'كشف الحساب'!$P$4:$P$204,0)),"")</f>
        <v>46260</v>
      </c>
      <c r="B143" s="122">
        <f>IFERROR(INDEX('كشف الحساب'!$B$4:$B$204,MATCH(138,'كشف الحساب'!$P$4:$P$204,0)),"")</f>
        <v>0</v>
      </c>
      <c r="C143" s="121" t="str">
        <f>IFERROR(INDEX('كشف الحساب'!$C$4:$C$204,MATCH(138,'كشف الحساب'!$P$4:$P$204,0)),"")</f>
        <v>, حوض معلق عدد500 (الوحده.170(,بتموس عدد 10 الحبه 15</v>
      </c>
      <c r="D143" s="123">
        <f>IFERROR(INDEX('كشف الحساب'!$E$4:$E$204,MATCH(138,'كشف الحساب'!$P$4:$P$204,0)),"")</f>
        <v>0</v>
      </c>
      <c r="E143" s="124">
        <f>IFERROR(INDEX('كشف الحساب'!$D$4:$D$204,MATCH(138,'كشف الحساب'!$P$4:$P$204,0)),"")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الحساب'!$A$4:$A$204,MATCH(139,'كشف الحساب'!$P$4:$P$204,0)),"")</f>
        <v>46251</v>
      </c>
      <c r="B144" s="122">
        <f>IFERROR(INDEX('كشف الحساب'!$B$4:$B$204,MATCH(139,'كشف الحساب'!$P$4:$P$204,0)),"")</f>
        <v>0</v>
      </c>
      <c r="C144" s="121" t="str">
        <f>IFERROR(INDEX('كشف الحساب'!$C$4:$C$204,MATCH(139,'كشف الحساب'!$P$4:$P$204,0)),"")</f>
        <v>تاير توكتوك</v>
      </c>
      <c r="D144" s="123">
        <f>IFERROR(INDEX('كشف الحساب'!$E$4:$E$204,MATCH(139,'كشف الحساب'!$P$4:$P$204,0)),"")</f>
        <v>0</v>
      </c>
      <c r="E144" s="124">
        <f>IFERROR(INDEX('كشف الحساب'!$D$4:$D$204,MATCH(139,'كشف الحساب'!$P$4:$P$204,0)),"")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الحساب'!$A$4:$A$204,MATCH(140,'كشف الحساب'!$P$4:$P$204,0)),"")</f>
        <v>46229</v>
      </c>
      <c r="B145" s="122" t="str">
        <f>IFERROR(INDEX('كشف الحساب'!$B$4:$B$204,MATCH(140,'كشف الحساب'!$P$4:$P$204,0)),"")</f>
        <v>Inv-122</v>
      </c>
      <c r="C145" s="121" t="str">
        <f>IFERROR(INDEX('كشف الحساب'!$C$4:$C$204,MATCH(140,'كشف الحساب'!$P$4:$P$204,0)),"")</f>
        <v>متنوع عدد10 الحبه 1</v>
      </c>
      <c r="D145" s="123">
        <f>IFERROR(INDEX('كشف الحساب'!$E$4:$E$204,MATCH(140,'كشف الحساب'!$P$4:$P$204,0)),"")</f>
        <v>10</v>
      </c>
      <c r="E145" s="124">
        <f>IFERROR(INDEX('كشف الحساب'!$D$4:$D$204,MATCH(140,'كشف الحساب'!$P$4:$P$204,0)),"")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الحساب'!$A$4:$A$204,MATCH(141,'كشف الحساب'!$P$4:$P$204,0)),"")</f>
        <v>46229</v>
      </c>
      <c r="B146" s="122" t="str">
        <f>IFERROR(INDEX('كشف الحساب'!$B$4:$B$204,MATCH(141,'كشف الحساب'!$P$4:$P$204,0)),"")</f>
        <v>Inv-123</v>
      </c>
      <c r="C146" s="121" t="str">
        <f>IFERROR(INDEX('كشف الحساب'!$C$4:$C$204,MATCH(141,'كشف الحساب'!$P$4:$P$204,0)),"")</f>
        <v>ربل عدد 4 الحبه 2.250</v>
      </c>
      <c r="D146" s="123">
        <f>IFERROR(INDEX('كشف الحساب'!$E$4:$E$204,MATCH(141,'كشف الحساب'!$P$4:$P$204,0)),"")</f>
        <v>9</v>
      </c>
      <c r="E146" s="124">
        <f>IFERROR(INDEX('كشف الحساب'!$D$4:$D$204,MATCH(141,'كشف الحساب'!$P$4:$P$204,0)),"")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الحساب'!$A$4:$A$204,MATCH(142,'كشف الحساب'!$P$4:$P$204,0)),"")</f>
        <v>46229</v>
      </c>
      <c r="B147" s="122" t="str">
        <f>IFERROR(INDEX('كشف الحساب'!$B$4:$B$204,MATCH(142,'كشف الحساب'!$P$4:$P$204,0)),"")</f>
        <v>Inv-124</v>
      </c>
      <c r="C147" s="121" t="str">
        <f>IFERROR(INDEX('كشف الحساب'!$C$4:$C$204,MATCH(142,'كشف الحساب'!$P$4:$P$204,0)),"")</f>
        <v>متنوع عدد 10 الحبه 1</v>
      </c>
      <c r="D147" s="123">
        <f>IFERROR(INDEX('كشف الحساب'!$E$4:$E$204,MATCH(142,'كشف الحساب'!$P$4:$P$204,0)),"")</f>
        <v>10</v>
      </c>
      <c r="E147" s="124">
        <f>IFERROR(INDEX('كشف الحساب'!$D$4:$D$204,MATCH(142,'كشف الحساب'!$P$4:$P$204,0)),"")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الحساب'!$A$4:$A$204,MATCH(143,'كشف الحساب'!$P$4:$P$204,0)),"")</f>
        <v>46251</v>
      </c>
      <c r="B148" s="122">
        <f>IFERROR(INDEX('كشف الحساب'!$B$4:$B$204,MATCH(143,'كشف الحساب'!$P$4:$P$204,0)),"")</f>
        <v>0</v>
      </c>
      <c r="C148" s="121" t="str">
        <f>IFERROR(INDEX('كشف الحساب'!$C$4:$C$204,MATCH(143,'كشف الحساب'!$P$4:$P$204,0)),"")</f>
        <v>هوز اصفر 3/4 طول 50 متر</v>
      </c>
      <c r="D148" s="123">
        <f>IFERROR(INDEX('كشف الحساب'!$E$4:$E$204,MATCH(143,'كشف الحساب'!$P$4:$P$204,0)),"")</f>
        <v>0</v>
      </c>
      <c r="E148" s="124">
        <f>IFERROR(INDEX('كشف الحساب'!$D$4:$D$204,MATCH(143,'كشف الحساب'!$P$4:$P$204,0)),"")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الحساب'!$A$4:$A$204,MATCH(144,'كشف الحساب'!$P$4:$P$204,0)),"")</f>
        <v>46254</v>
      </c>
      <c r="B149" s="122" t="str">
        <f>IFERROR(INDEX('كشف الحساب'!$B$4:$B$204,MATCH(144,'كشف الحساب'!$P$4:$P$204,0)),"")</f>
        <v>Inv-125</v>
      </c>
      <c r="C149" s="121" t="str">
        <f>IFERROR(INDEX('كشف الحساب'!$C$4:$C$204,MATCH(144,'كشف الحساب'!$P$4:$P$204,0)),"")</f>
        <v>متنوع - تم الدفع 26/8</v>
      </c>
      <c r="D149" s="123">
        <f>IFERROR(INDEX('كشف الحساب'!$E$4:$E$204,MATCH(144,'كشف الحساب'!$P$4:$P$204,0)),"")</f>
        <v>59</v>
      </c>
      <c r="E149" s="124">
        <f>IFERROR(INDEX('كشف الحساب'!$D$4:$D$204,MATCH(144,'كشف الحساب'!$P$4:$P$204,0)),"")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الحساب'!$A$4:$A$204,MATCH(145,'كشف الحساب'!$P$4:$P$204,0)),"")</f>
        <v>46263</v>
      </c>
      <c r="B150" s="122" t="str">
        <f>IFERROR(INDEX('كشف الحساب'!$B$4:$B$204,MATCH(145,'كشف الحساب'!$P$4:$P$204,0)),"")</f>
        <v>Inv-126</v>
      </c>
      <c r="C150" s="121" t="str">
        <f>IFERROR(INDEX('كشف الحساب'!$C$4:$C$204,MATCH(145,'كشف الحساب'!$P$4:$P$204,0)),"")</f>
        <v>فاتوره لزهور التهاني</v>
      </c>
      <c r="D150" s="123">
        <f>IFERROR(INDEX('كشف الحساب'!$E$4:$E$204,MATCH(145,'كشف الحساب'!$P$4:$P$204,0)),"")</f>
        <v>400</v>
      </c>
      <c r="E150" s="124">
        <f>IFERROR(INDEX('كشف الحساب'!$D$4:$D$204,MATCH(145,'كشف الحساب'!$P$4:$P$204,0)),"")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الحساب'!$A$4:$A$204,MATCH(146,'كشف الحساب'!$P$4:$P$204,0)),"")</f>
        <v>46263</v>
      </c>
      <c r="B151" s="122">
        <f>IFERROR(INDEX('كشف الحساب'!$B$4:$B$204,MATCH(146,'كشف الحساب'!$P$4:$P$204,0)),"")</f>
        <v>0</v>
      </c>
      <c r="C151" s="121" t="str">
        <f>IFERROR(INDEX('كشف الحساب'!$C$4:$C$204,MATCH(146,'كشف الحساب'!$P$4:$P$204,0)),"")</f>
        <v>صبار عدد 15 الحبه 1</v>
      </c>
      <c r="D151" s="123">
        <f>IFERROR(INDEX('كشف الحساب'!$E$4:$E$204,MATCH(146,'كشف الحساب'!$P$4:$P$204,0)),"")</f>
        <v>0</v>
      </c>
      <c r="E151" s="124">
        <f>IFERROR(INDEX('كشف الحساب'!$D$4:$D$204,MATCH(146,'كشف الحساب'!$P$4:$P$204,0)),"")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الحساب'!$A$4:$A$204,MATCH(147,'كشف الحساب'!$P$4:$P$204,0)),"")</f>
        <v>46263</v>
      </c>
      <c r="B152" s="122">
        <f>IFERROR(INDEX('كشف الحساب'!$B$4:$B$204,MATCH(147,'كشف الحساب'!$P$4:$P$204,0)),"")</f>
        <v>0</v>
      </c>
      <c r="C152" s="121" t="str">
        <f>IFERROR(INDEX('كشف الحساب'!$C$4:$C$204,MATCH(147,'كشف الحساب'!$P$4:$P$204,0)),"")</f>
        <v>زيتون عدد 2 الحبه 12</v>
      </c>
      <c r="D152" s="123">
        <f>IFERROR(INDEX('كشف الحساب'!$E$4:$E$204,MATCH(147,'كشف الحساب'!$P$4:$P$204,0)),"")</f>
        <v>0</v>
      </c>
      <c r="E152" s="124">
        <f>IFERROR(INDEX('كشف الحساب'!$D$4:$D$204,MATCH(147,'كشف الحساب'!$P$4:$P$204,0)),"")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الحساب'!$A$4:$A$204,MATCH(148,'كشف الحساب'!$P$4:$P$204,0)),"")</f>
        <v>46264</v>
      </c>
      <c r="B153" s="122" t="str">
        <f>IFERROR(INDEX('كشف الحساب'!$B$4:$B$204,MATCH(148,'كشف الحساب'!$P$4:$P$204,0)),"")</f>
        <v>Inv-127</v>
      </c>
      <c r="C153" s="121" t="str">
        <f>IFERROR(INDEX('كشف الحساب'!$C$4:$C$204,MATCH(148,'كشف الحساب'!$P$4:$P$204,0)),"")</f>
        <v>اناناس عدد 4 الواحده 4</v>
      </c>
      <c r="D153" s="123">
        <f>IFERROR(INDEX('كشف الحساب'!$E$4:$E$204,MATCH(148,'كشف الحساب'!$P$4:$P$204,0)),"")</f>
        <v>16</v>
      </c>
      <c r="E153" s="124">
        <f>IFERROR(INDEX('كشف الحساب'!$D$4:$D$204,MATCH(148,'كشف الحساب'!$P$4:$P$204,0)),"")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الحساب'!$A$4:$A$204,MATCH(149,'كشف الحساب'!$P$4:$P$204,0)),"")</f>
        <v>46264</v>
      </c>
      <c r="B154" s="122" t="str">
        <f>IFERROR(INDEX('كشف الحساب'!$B$4:$B$204,MATCH(149,'كشف الحساب'!$P$4:$P$204,0)),"")</f>
        <v>Inv-128</v>
      </c>
      <c r="C154" s="121" t="str">
        <f>IFERROR(INDEX('كشف الحساب'!$C$4:$C$204,MATCH(149,'كشف الحساب'!$P$4:$P$204,0)),"")</f>
        <v>ربل عدد 6 الحبه 2.500</v>
      </c>
      <c r="D154" s="123">
        <f>IFERROR(INDEX('كشف الحساب'!$E$4:$E$204,MATCH(149,'كشف الحساب'!$P$4:$P$204,0)),"")</f>
        <v>15</v>
      </c>
      <c r="E154" s="124">
        <f>IFERROR(INDEX('كشف الحساب'!$D$4:$D$204,MATCH(149,'كشف الحساب'!$P$4:$P$204,0)),"")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الحساب'!$A$4:$A$204,MATCH(150,'كشف الحساب'!$P$4:$P$204,0)),"")</f>
        <v>46264</v>
      </c>
      <c r="B155" s="122" t="str">
        <f>IFERROR(INDEX('كشف الحساب'!$B$4:$B$204,MATCH(150,'كشف الحساب'!$P$4:$P$204,0)),"")</f>
        <v>Inv-129</v>
      </c>
      <c r="C155" s="121" t="str">
        <f>IFERROR(INDEX('كشف الحساب'!$C$4:$C$204,MATCH(150,'كشف الحساب'!$P$4:$P$204,0)),"")</f>
        <v>متنوع عدد 17 الحبه 1</v>
      </c>
      <c r="D155" s="123">
        <f>IFERROR(INDEX('كشف الحساب'!$E$4:$E$204,MATCH(150,'كشف الحساب'!$P$4:$P$204,0)),"")</f>
        <v>17</v>
      </c>
      <c r="E155" s="124">
        <f>IFERROR(INDEX('كشف الحساب'!$D$4:$D$204,MATCH(150,'كشف الحساب'!$P$4:$P$204,0)),"")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الحساب'!$A$4:$A$204,MATCH(151,'كشف الحساب'!$P$4:$P$204,0)),"")</f>
        <v>46264</v>
      </c>
      <c r="B156" s="122" t="str">
        <f>IFERROR(INDEX('كشف الحساب'!$B$4:$B$204,MATCH(151,'كشف الحساب'!$P$4:$P$204,0)),"")</f>
        <v>Inv-130</v>
      </c>
      <c r="C156" s="121" t="str">
        <f>IFERROR(INDEX('كشف الحساب'!$C$4:$C$204,MATCH(151,'كشف الحساب'!$P$4:$P$204,0)),"")</f>
        <v>صبار عدد 13 الحبه 0.750</v>
      </c>
      <c r="D156" s="123">
        <f>IFERROR(INDEX('كشف الحساب'!$E$4:$E$204,MATCH(151,'كشف الحساب'!$P$4:$P$204,0)),"")</f>
        <v>9.75</v>
      </c>
      <c r="E156" s="124">
        <f>IFERROR(INDEX('كشف الحساب'!$D$4:$D$204,MATCH(151,'كشف الحساب'!$P$4:$P$204,0)),"")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الحساب'!$A$4:$A$204,MATCH(152,'كشف الحساب'!$P$4:$P$204,0)),"")</f>
        <v>46264</v>
      </c>
      <c r="B157" s="122" t="str">
        <f>IFERROR(INDEX('كشف الحساب'!$B$4:$B$204,MATCH(152,'كشف الحساب'!$P$4:$P$204,0)),"")</f>
        <v>Inv-131</v>
      </c>
      <c r="C157" s="121" t="str">
        <f>IFERROR(INDEX('كشف الحساب'!$C$4:$C$204,MATCH(152,'كشف الحساب'!$P$4:$P$204,0)),"")</f>
        <v>تين عدد5 الحبه 1.500</v>
      </c>
      <c r="D157" s="123">
        <f>IFERROR(INDEX('كشف الحساب'!$E$4:$E$204,MATCH(152,'كشف الحساب'!$P$4:$P$204,0)),"")</f>
        <v>7.5</v>
      </c>
      <c r="E157" s="124">
        <f>IFERROR(INDEX('كشف الحساب'!$D$4:$D$204,MATCH(152,'كشف الحساب'!$P$4:$P$204,0)),"")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الحساب'!$A$4:$A$204,MATCH(153,'كشف الحساب'!$P$4:$P$204,0)),"")</f>
        <v>46264</v>
      </c>
      <c r="B158" s="122">
        <f>IFERROR(INDEX('كشف الحساب'!$B$4:$B$204,MATCH(153,'كشف الحساب'!$P$4:$P$204,0)),"")</f>
        <v>0</v>
      </c>
      <c r="C158" s="121" t="str">
        <f>IFERROR(INDEX('كشف الحساب'!$C$4:$C$204,MATCH(153,'كشف الحساب'!$P$4:$P$204,0)),"")</f>
        <v>أقامه نزمول 3 سنوات</v>
      </c>
      <c r="D158" s="123">
        <f>IFERROR(INDEX('كشف الحساب'!$E$4:$E$204,MATCH(153,'كشف الحساب'!$P$4:$P$204,0)),"")</f>
        <v>0</v>
      </c>
      <c r="E158" s="124">
        <f>IFERROR(INDEX('كشف الحساب'!$D$4:$D$204,MATCH(153,'كشف الحساب'!$P$4:$P$204,0)),"")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الحساب'!$A$4:$A$204,MATCH(154,'كشف الحساب'!$P$4:$P$204,0)),"")</f>
        <v>46265</v>
      </c>
      <c r="B159" s="122">
        <f>IFERROR(INDEX('كشف الحساب'!$B$4:$B$204,MATCH(154,'كشف الحساب'!$P$4:$P$204,0)),"")</f>
        <v>0</v>
      </c>
      <c r="C159" s="121" t="str">
        <f>IFERROR(INDEX('كشف الحساب'!$C$4:$C$204,MATCH(154,'كشف الحساب'!$P$4:$P$204,0)),"")</f>
        <v>رواتب + كهرباء وماء</v>
      </c>
      <c r="D159" s="123">
        <f>IFERROR(INDEX('كشف الحساب'!$E$4:$E$204,MATCH(154,'كشف الحساب'!$P$4:$P$204,0)),"")</f>
        <v>0</v>
      </c>
      <c r="E159" s="124">
        <f>IFERROR(INDEX('كشف الحساب'!$D$4:$D$204,MATCH(154,'كشف الحساب'!$P$4:$P$204,0)),"")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الحساب'!$A$4:$A$204,MATCH(155,'كشف الحساب'!$P$4:$P$204,0)),"")</f>
        <v>46265</v>
      </c>
      <c r="B160" s="122">
        <f>IFERROR(INDEX('كشف الحساب'!$B$4:$B$204,MATCH(155,'كشف الحساب'!$P$4:$P$204,0)),"")</f>
        <v>0</v>
      </c>
      <c r="C160" s="121" t="str">
        <f>IFERROR(INDEX('كشف الحساب'!$C$4:$C$204,MATCH(155,'كشف الحساب'!$P$4:$P$204,0)),"")</f>
        <v>نصف قيمه فلتر المالج</v>
      </c>
      <c r="D160" s="123">
        <f>IFERROR(INDEX('كشف الحساب'!$E$4:$E$204,MATCH(155,'كشف الحساب'!$P$4:$P$204,0)),"")</f>
        <v>0</v>
      </c>
      <c r="E160" s="124">
        <f>IFERROR(INDEX('كشف الحساب'!$D$4:$D$204,MATCH(155,'كشف الحساب'!$P$4:$P$204,0)),"")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الحساب'!$A$4:$A$204,MATCH(156,'كشف الحساب'!$P$4:$P$204,0)),"")</f>
        <v>46265</v>
      </c>
      <c r="B161" s="122" t="str">
        <f>IFERROR(INDEX('كشف الحساب'!$B$4:$B$204,MATCH(156,'كشف الحساب'!$P$4:$P$204,0)),"")</f>
        <v>Inv-132</v>
      </c>
      <c r="C161" s="121" t="str">
        <f>IFERROR(INDEX('كشف الحساب'!$C$4:$C$204,MATCH(156,'كشف الحساب'!$P$4:$P$204,0)),"")</f>
        <v>ودليه عدد 2 الحبه 1</v>
      </c>
      <c r="D161" s="123">
        <f>IFERROR(INDEX('كشف الحساب'!$E$4:$E$204,MATCH(156,'كشف الحساب'!$P$4:$P$204,0)),"")</f>
        <v>2</v>
      </c>
      <c r="E161" s="124">
        <f>IFERROR(INDEX('كشف الحساب'!$D$4:$D$204,MATCH(156,'كشف الحساب'!$P$4:$P$204,0)),"")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الحساب'!$A$4:$A$204,MATCH(157,'كشف الحساب'!$P$4:$P$204,0)),"")</f>
        <v>46268</v>
      </c>
      <c r="B162" s="122" t="str">
        <f>IFERROR(INDEX('كشف الحساب'!$B$4:$B$204,MATCH(157,'كشف الحساب'!$P$4:$P$204,0)),"")</f>
        <v>Inv-133</v>
      </c>
      <c r="C162" s="121" t="str">
        <f>IFERROR(INDEX('كشف الحساب'!$C$4:$C$204,MATCH(157,'كشف الحساب'!$P$4:$P$204,0)),"")</f>
        <v>زهور التهاني</v>
      </c>
      <c r="D162" s="123">
        <f>IFERROR(INDEX('كشف الحساب'!$E$4:$E$204,MATCH(157,'كشف الحساب'!$P$4:$P$204,0)),"")</f>
        <v>270</v>
      </c>
      <c r="E162" s="124">
        <f>IFERROR(INDEX('كشف الحساب'!$D$4:$D$204,MATCH(157,'كشف الحساب'!$P$4:$P$204,0)),"")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الحساب'!$A$4:$A$204,MATCH(158,'كشف الحساب'!$P$4:$P$204,0)),"")</f>
        <v>46269</v>
      </c>
      <c r="B163" s="122">
        <f>IFERROR(INDEX('كشف الحساب'!$B$4:$B$204,MATCH(158,'كشف الحساب'!$P$4:$P$204,0)),"")</f>
        <v>0</v>
      </c>
      <c r="C163" s="121" t="str">
        <f>IFERROR(INDEX('كشف الحساب'!$C$4:$C$204,MATCH(158,'كشف الحساب'!$P$4:$P$204,0)),"")</f>
        <v>يوريا  عدد1 (12.250) + مقص عدد1(1.250)</v>
      </c>
      <c r="D163" s="123">
        <f>IFERROR(INDEX('كشف الحساب'!$E$4:$E$204,MATCH(158,'كشف الحساب'!$P$4:$P$204,0)),"")</f>
        <v>0</v>
      </c>
      <c r="E163" s="124">
        <f>IFERROR(INDEX('كشف الحساب'!$D$4:$D$204,MATCH(158,'كشف الحساب'!$P$4:$P$204,0)),"")</f>
        <v>13.5</v>
      </c>
      <c r="F163" s="125">
        <f t="shared" si="4"/>
        <v>293.94500000000005</v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2023.69</v>
      </c>
      <c r="E206" s="129">
        <f>SUM(E6:E205)</f>
        <v>1729.7449999999999</v>
      </c>
      <c r="F206" s="130">
        <f>IFERROR(LOOKUP(2,1/($F$6:$F$205&lt;&gt;""),$F$6:$F$205),0)</f>
        <v>293.94500000000005</v>
      </c>
    </row>
    <row r="208" spans="1:6" ht="18" customHeight="1" x14ac:dyDescent="0.25">
      <c r="A208" s="151" t="s">
        <v>10</v>
      </c>
      <c r="B208" s="152"/>
      <c r="C208" s="152"/>
      <c r="D208" s="152"/>
      <c r="E208" s="152"/>
      <c r="F208" s="153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>
        <f>IFERROR(INDEX('كشف الحساب'!$A$4:$A$204,MATCH(14,'كشف الحساب'!$Q$4:$Q$204,0)),"")</f>
        <v>46235</v>
      </c>
      <c r="B223" s="133">
        <f>IFERROR(INDEX('كشف الحساب'!$B$4:$B$204,MATCH(14,'كشف الحساب'!$Q$4:$Q$204,0)),"")</f>
        <v>0</v>
      </c>
      <c r="C223" s="132" t="str">
        <f>IFERROR(INDEX('كشف الحساب'!$C$4:$C$204,MATCH(14,'كشف الحساب'!$Q$4:$Q$204,0)),"")</f>
        <v>احواض عدد 3500 مقاس 25 سم</v>
      </c>
      <c r="D223" s="134">
        <f>IFERROR(INDEX('كشف الحساب'!$D$4:$D$204,MATCH(14,'كشف الحساب'!$Q$4:$Q$204,0)),"")</f>
        <v>280</v>
      </c>
      <c r="E223" s="135" t="str">
        <f>IFERROR(INDEX('كشف الحساب'!$G$4:$G$204,MATCH(14,'كشف الحساب'!$Q$4:$Q$204,0)),"")</f>
        <v>أبو آدم</v>
      </c>
      <c r="F223" s="132"/>
    </row>
    <row r="224" spans="1:6" ht="18" customHeight="1" x14ac:dyDescent="0.25">
      <c r="A224" s="143">
        <f>IFERROR(INDEX('كشف الحساب'!$A$4:$A$204,MATCH(15,'كشف الحساب'!$Q$4:$Q$204,0)),"")</f>
        <v>46238</v>
      </c>
      <c r="B224" s="133">
        <f>IFERROR(INDEX('كشف الحساب'!$B$4:$B$204,MATCH(15,'كشف الحساب'!$Q$4:$Q$204,0)),"")</f>
        <v>0</v>
      </c>
      <c r="C224" s="132" t="str">
        <f>IFERROR(INDEX('كشف الحساب'!$C$4:$C$204,MATCH(15,'كشف الحساب'!$Q$4:$Q$204,0)),"")</f>
        <v>حديد كحميه 2</v>
      </c>
      <c r="D224" s="134">
        <f>IFERROR(INDEX('كشف الحساب'!$D$4:$D$204,MATCH(15,'كشف الحساب'!$Q$4:$Q$204,0)),"")</f>
        <v>68</v>
      </c>
      <c r="E224" s="135" t="str">
        <f>IFERROR(INDEX('كشف الحساب'!$G$4:$G$204,MATCH(15,'كشف الحساب'!$Q$4:$Q$204,0)),"")</f>
        <v>أبو اسحاق</v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71" activePane="bottomLeft" state="frozen"/>
      <selection pane="bottomLeft" activeCell="H182" sqref="H182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4" t="s">
        <v>16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7" ht="24" customHeight="1" x14ac:dyDescent="0.25">
      <c r="A2" s="161" t="s">
        <v>17</v>
      </c>
      <c r="B2" s="159"/>
      <c r="C2" s="159"/>
      <c r="D2" s="1">
        <v>0</v>
      </c>
      <c r="E2" s="162" t="s">
        <v>18</v>
      </c>
      <c r="F2" s="163"/>
      <c r="G2" s="163"/>
      <c r="H2" s="163"/>
      <c r="I2" s="163"/>
      <c r="J2" s="163"/>
      <c r="K2" s="163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5"/>
      <c r="B204" s="159"/>
      <c r="C204" s="160"/>
      <c r="D204" s="38"/>
      <c r="E204" s="39"/>
      <c r="F204" s="158"/>
      <c r="G204" s="159"/>
      <c r="H204" s="160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3511.2450000000003</v>
      </c>
      <c r="E205" s="46">
        <f>SUM(E4:E203)</f>
        <v>2023.69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6" t="s">
        <v>220</v>
      </c>
      <c r="B1" s="159"/>
      <c r="C1" s="159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8" t="s">
        <v>236</v>
      </c>
      <c r="B1" s="159"/>
    </row>
    <row r="2" spans="1:2" ht="21.75" customHeight="1" x14ac:dyDescent="0.25">
      <c r="A2" s="167" t="s">
        <v>237</v>
      </c>
      <c r="B2" s="159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7" t="s">
        <v>242</v>
      </c>
      <c r="B5" s="159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7" t="s">
        <v>251</v>
      </c>
      <c r="B11" s="159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4" t="s">
        <v>16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1" ht="24" customHeight="1" x14ac:dyDescent="0.25">
      <c r="A2" s="169"/>
      <c r="B2" s="159"/>
      <c r="C2" s="56" t="s">
        <v>342</v>
      </c>
      <c r="D2" s="169">
        <v>2026</v>
      </c>
      <c r="E2" s="159"/>
      <c r="F2" s="56" t="s">
        <v>256</v>
      </c>
      <c r="G2" s="172" t="s">
        <v>257</v>
      </c>
      <c r="H2" s="163"/>
      <c r="I2" s="163"/>
      <c r="J2" s="163"/>
      <c r="K2" s="163"/>
    </row>
    <row r="3" spans="1:11" ht="19.5" customHeight="1" x14ac:dyDescent="0.25">
      <c r="A3" s="173" t="s">
        <v>258</v>
      </c>
      <c r="B3" s="159"/>
      <c r="C3" s="159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Inv-114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46245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احواض معلقه + كوكوبيت</v>
      </c>
      <c r="D17" s="38">
        <f>IFERROR(IF(IFERROR(MATCH(13,'كشف الحساب'!$N$4:$N$203,0),0)=0,"",INDEX('كشف الحساب'!$D$4:$D$203,IFERROR(MATCH(13,'كشف الحساب'!$N$4:$N$203,0),0))),"")</f>
        <v>55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77.89500000000001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46245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15-15-15 خرماشه</v>
      </c>
      <c r="D18" s="28">
        <f>IFERROR(IF(IFERROR(MATCH(14,'كشف الحساب'!$N$4:$N$203,0),0)=0,"",INDEX('كشف الحساب'!$D$4:$D$203,IFERROR(MATCH(14,'كشف الحساب'!$N$4:$N$203,0),0))),"")</f>
        <v>7.6749999999999998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70.220000000000013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46247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هرمون تدير</v>
      </c>
      <c r="D19" s="38">
        <f>IFERROR(IF(IFERROR(MATCH(15,'كشف الحساب'!$N$4:$N$203,0),0)=0,"",INDEX('كشف الحساب'!$D$4:$D$203,IFERROR(MATCH(15,'كشف الحساب'!$N$4:$N$203,0),0))),"")</f>
        <v>4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66.220000000000013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46247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احواض مقاس 14 عدد 1000</v>
      </c>
      <c r="D20" s="28">
        <f>IFERROR(IF(IFERROR(MATCH(16,'كشف الحساب'!$N$4:$N$203,0),0)=0,"",INDEX('كشف الحساب'!$D$4:$D$203,IFERROR(MATCH(16,'كشف الحساب'!$N$4:$N$203,0),0))),"")</f>
        <v>20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46.220000000000013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46247</v>
      </c>
      <c r="B21" s="59">
        <f>IFERROR(IF(IFERROR(MATCH(17,'كشف الحساب'!$N$4:$N$203,0),0)=0,"",INDEX('كشف الحساب'!$B$4:$B$203,IFERROR(MATCH(17,'كشف الحساب'!$N$4:$N$203,0),0))),"")</f>
        <v>0</v>
      </c>
      <c r="C21" s="37" t="str">
        <f>IFERROR(IF(IFERROR(MATCH(17,'كشف الحساب'!$N$4:$N$203,0),0)=0,"",INDEX('كشف الحساب'!$C$4:$C$203,IFERROR(MATCH(17,'كشف الحساب'!$N$4:$N$203,0),0))),"")</f>
        <v>وصلات</v>
      </c>
      <c r="D21" s="38">
        <f>IFERROR(IF(IFERROR(MATCH(17,'كشف الحساب'!$N$4:$N$203,0),0)=0,"",INDEX('كشف الحساب'!$D$4:$D$203,IFERROR(MATCH(17,'كشف الحساب'!$N$4:$N$203,0),0))),"")</f>
        <v>0.9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 t="str">
        <f>IFERROR(IF(IFERROR(MATCH(17,'كشف الحساب'!$N$4:$N$203,0),0)=0,"",INDEX('كشف الحساب'!$G$4:$G$203,IFERROR(MATCH(17,'كشف الحساب'!$N$4:$N$203,0),0))),"")</f>
        <v>المحفظة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45.320000000000014</v>
      </c>
      <c r="K21" s="59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46249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وصلات وحنفيه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43.320000000000014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46252</v>
      </c>
      <c r="B23" s="59" t="str">
        <f>IFERROR(IF(IFERROR(MATCH(19,'كشف الحساب'!$N$4:$N$203,0),0)=0,"",INDEX('كشف الحساب'!$B$4:$B$203,IFERROR(MATCH(19,'كشف الحساب'!$N$4:$N$203,0),0))),"")</f>
        <v>Inv-115</v>
      </c>
      <c r="C23" s="37" t="str">
        <f>IFERROR(IF(IFERROR(MATCH(19,'كشف الحساب'!$N$4:$N$203,0),0)=0,"",INDEX('كشف الحساب'!$C$4:$C$203,IFERROR(MATCH(19,'كشف الحساب'!$N$4:$N$203,0),0))),"")</f>
        <v>فل عدد 14 الحبه .750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10.5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53.820000000000014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46252</v>
      </c>
      <c r="B24" s="61" t="str">
        <f>IFERROR(IF(IFERROR(MATCH(20,'كشف الحساب'!$N$4:$N$203,0),0)=0,"",INDEX('كشف الحساب'!$B$4:$B$203,IFERROR(MATCH(20,'كشف الحساب'!$N$4:$N$203,0),0))),"")</f>
        <v>Inv-116</v>
      </c>
      <c r="C24" s="27" t="str">
        <f>IFERROR(IF(IFERROR(MATCH(20,'كشف الحساب'!$N$4:$N$203,0),0)=0,"",INDEX('كشف الحساب'!$C$4:$C$203,IFERROR(MATCH(20,'كشف الحساب'!$N$4:$N$203,0),0))),"")</f>
        <v>متنوع عدد 1 الحبه 2.500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2.5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56.320000000000014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46258</v>
      </c>
      <c r="B25" s="59" t="str">
        <f>IFERROR(IF(IFERROR(MATCH(21,'كشف الحساب'!$N$4:$N$203,0),0)=0,"",INDEX('كشف الحساب'!$B$4:$B$203,IFERROR(MATCH(21,'كشف الحساب'!$N$4:$N$203,0),0))),"")</f>
        <v>Inv-117</v>
      </c>
      <c r="C25" s="37" t="str">
        <f>IFERROR(IF(IFERROR(MATCH(21,'كشف الحساب'!$N$4:$N$203,0),0)=0,"",INDEX('كشف الحساب'!$C$4:$C$203,IFERROR(MATCH(21,'كشف الحساب'!$N$4:$N$203,0),0))),"")</f>
        <v>ربل عدد 10 الحبه 2.250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22.5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78.820000000000022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46258</v>
      </c>
      <c r="B26" s="61" t="str">
        <f>IFERROR(IF(IFERROR(MATCH(22,'كشف الحساب'!$N$4:$N$203,0),0)=0,"",INDEX('كشف الحساب'!$B$4:$B$203,IFERROR(MATCH(22,'كشف الحساب'!$N$4:$N$203,0),0))),"")</f>
        <v>Inv-118</v>
      </c>
      <c r="C26" s="27" t="str">
        <f>IFERROR(IF(IFERROR(MATCH(22,'كشف الحساب'!$N$4:$N$203,0),0)=0,"",INDEX('كشف الحساب'!$C$4:$C$203,IFERROR(MATCH(22,'كشف الحساب'!$N$4:$N$203,0),0))),"")</f>
        <v>متنوع عدد 4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4</v>
      </c>
      <c r="F26" s="61" t="str">
        <f>IFERROR(IF(IFERROR(MATCH(22,'كشف الحساب'!$N$4:$N$203,0),0)=0,"",INDEX('كشف الحساب'!$F$4:$F$203,IFERROR(MATCH(22,'كشف الحساب'!$N$4:$N$203,0),0))),"")</f>
        <v>نقداً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82.820000000000022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46258</v>
      </c>
      <c r="B27" s="59" t="str">
        <f>IFERROR(IF(IFERROR(MATCH(23,'كشف الحساب'!$N$4:$N$203,0),0)=0,"",INDEX('كشف الحساب'!$B$4:$B$203,IFERROR(MATCH(23,'كشف الحساب'!$N$4:$N$203,0),0))),"")</f>
        <v>Inv-119</v>
      </c>
      <c r="C27" s="37" t="str">
        <f>IFERROR(IF(IFERROR(MATCH(23,'كشف الحساب'!$N$4:$N$203,0),0)=0,"",INDEX('كشف الحساب'!$C$4:$C$203,IFERROR(MATCH(23,'كشف الحساب'!$N$4:$N$203,0),0))),"")</f>
        <v>دارسينا عدد 2 الحبه 3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6</v>
      </c>
      <c r="F27" s="59" t="str">
        <f>IFERROR(IF(IFERROR(MATCH(23,'كشف الحساب'!$N$4:$N$203,0),0)=0,"",INDEX('كشف الحساب'!$F$4:$F$203,IFERROR(MATCH(23,'كشف الحساب'!$N$4:$N$203,0),0))),"")</f>
        <v>نقداً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88.820000000000022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46258</v>
      </c>
      <c r="B28" s="61" t="str">
        <f>IFERROR(IF(IFERROR(MATCH(24,'كشف الحساب'!$N$4:$N$203,0),0)=0,"",INDEX('كشف الحساب'!$B$4:$B$203,IFERROR(MATCH(24,'كشف الحساب'!$N$4:$N$203,0),0))),"")</f>
        <v>Inv-120</v>
      </c>
      <c r="C28" s="27" t="str">
        <f>IFERROR(IF(IFERROR(MATCH(24,'كشف الحساب'!$N$4:$N$203,0),0)=0,"",INDEX('كشف الحساب'!$C$4:$C$203,IFERROR(MATCH(24,'كشف الحساب'!$N$4:$N$203,0),0))),"")</f>
        <v>فل عدد 2 الحبه .750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1.5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90.320000000000022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46235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3500 مقاس 25 سم</v>
      </c>
      <c r="D29" s="38">
        <f>IFERROR(IF(IFERROR(MATCH(25,'كشف الحساب'!$N$4:$N$203,0),0)=0,"",INDEX('كشف الحساب'!$D$4:$D$203,IFERROR(MATCH(25,'كشف الحساب'!$N$4:$N$203,0),0))),"")</f>
        <v>280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أحد الشركاء</v>
      </c>
      <c r="G29" s="59" t="str">
        <f>IFERROR(IF(IFERROR(MATCH(25,'كشف الحساب'!$N$4:$N$203,0),0)=0,"",INDEX('كشف الحساب'!$G$4:$G$203,IFERROR(MATCH(25,'كشف الحساب'!$N$4:$N$203,0),0))),"")</f>
        <v>أبو آدم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90.320000000000022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46238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حديد كحميه 2</v>
      </c>
      <c r="D30" s="28">
        <f>IFERROR(IF(IFERROR(MATCH(26,'كشف الحساب'!$N$4:$N$203,0),0)=0,"",INDEX('كشف الحساب'!$D$4:$D$203,IFERROR(MATCH(26,'كشف الحساب'!$N$4:$N$203,0),0))),"")</f>
        <v>68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أحد الشركاء</v>
      </c>
      <c r="G30" s="61" t="str">
        <f>IFERROR(IF(IFERROR(MATCH(26,'كشف الحساب'!$N$4:$N$203,0),0)=0,"",INDEX('كشف الحساب'!$G$4:$G$203,IFERROR(MATCH(26,'كشف الحساب'!$N$4:$N$203,0),0))),"")</f>
        <v>أبو اسحاق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90.320000000000022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46258</v>
      </c>
      <c r="B31" s="59">
        <f>IFERROR(IF(IFERROR(MATCH(27,'كشف الحساب'!$N$4:$N$203,0),0)=0,"",INDEX('كشف الحساب'!$B$4:$B$203,IFERROR(MATCH(27,'كشف الحساب'!$N$4:$N$203,0),0))),"")</f>
        <v>0</v>
      </c>
      <c r="C31" s="37" t="str">
        <f>IFERROR(IF(IFERROR(MATCH(27,'كشف الحساب'!$N$4:$N$203,0),0)=0,"",INDEX('كشف الحساب'!$C$4:$C$203,IFERROR(MATCH(27,'كشف الحساب'!$N$4:$N$203,0),0))),"")</f>
        <v>اسمده</v>
      </c>
      <c r="D31" s="38">
        <f>IFERROR(IF(IFERROR(MATCH(27,'كشف الحساب'!$N$4:$N$203,0),0)=0,"",INDEX('كشف الحساب'!$D$4:$D$203,IFERROR(MATCH(27,'كشف الحساب'!$N$4:$N$203,0),0))),"")</f>
        <v>4.125</v>
      </c>
      <c r="E31" s="60">
        <f>IFERROR(IF(IFERROR(MATCH(27,'كشف الحساب'!$N$4:$N$203,0),0)=0,"",INDEX('كشف الحساب'!$E$4:$E$203,IFERROR(MATCH(27,'كشف الحساب'!$N$4:$N$203,0),0))),"")</f>
        <v>0</v>
      </c>
      <c r="F31" s="59" t="str">
        <f>IFERROR(IF(IFERROR(MATCH(27,'كشف الحساب'!$N$4:$N$203,0),0)=0,"",INDEX('كشف الحساب'!$F$4:$F$203,IFERROR(MATCH(27,'كشف الحساب'!$N$4:$N$203,0),0))),"")</f>
        <v>نقداً</v>
      </c>
      <c r="G31" s="59" t="str">
        <f>IFERROR(IF(IFERROR(MATCH(27,'كشف الحساب'!$N$4:$N$203,0),0)=0,"",INDEX('كشف الحساب'!$G$4:$G$203,IFERROR(MATCH(27,'كشف الحساب'!$N$4:$N$203,0),0))),"")</f>
        <v>المحفظة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86.195000000000022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46260</v>
      </c>
      <c r="B32" s="61" t="str">
        <f>IFERROR(IF(IFERROR(MATCH(28,'كشف الحساب'!$N$4:$N$203,0),0)=0,"",INDEX('كشف الحساب'!$B$4:$B$203,IFERROR(MATCH(28,'كشف الحساب'!$N$4:$N$203,0),0))),"")</f>
        <v>Inv-121</v>
      </c>
      <c r="C32" s="27" t="str">
        <f>IFERROR(IF(IFERROR(MATCH(28,'كشف الحساب'!$N$4:$N$203,0),0)=0,"",INDEX('كشف الحساب'!$C$4:$C$203,IFERROR(MATCH(28,'كشف الحساب'!$N$4:$N$203,0),0))),"")</f>
        <v>شركه التهاني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260</v>
      </c>
      <c r="F32" s="61" t="str">
        <f>IFERROR(IF(IFERROR(MATCH(28,'كشف الحساب'!$N$4:$N$203,0),0)=0,"",INDEX('كشف الحساب'!$F$4:$F$203,IFERROR(MATCH(28,'كشف الحساب'!$N$4:$N$203,0),0))),"")</f>
        <v>نقداً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346.19500000000005</v>
      </c>
      <c r="K32" s="61" t="str">
        <f>IFERROR(IF(IFERROR(MATCH(28,'كشف الحساب'!$N$4:$N$203,0),0)=0,"",INDEX('كشف الحساب'!$K$4:$K$203,IFERROR(MATCH(28,'كشف الحساب'!$N$4:$N$203,0),0))),"")</f>
        <v>تم عمل خصم من ابوادم 3.750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46260</v>
      </c>
      <c r="B33" s="59">
        <f>IFERROR(IF(IFERROR(MATCH(29,'كشف الحساب'!$N$4:$N$203,0),0)=0,"",INDEX('كشف الحساب'!$B$4:$B$203,IFERROR(MATCH(29,'كشف الحساب'!$N$4:$N$203,0),0))),"")</f>
        <v>0</v>
      </c>
      <c r="C33" s="37" t="str">
        <f>IFERROR(IF(IFERROR(MATCH(29,'كشف الحساب'!$N$4:$N$203,0),0)=0,"",INDEX('كشف الحساب'!$C$4:$C$203,IFERROR(MATCH(29,'كشف الحساب'!$N$4:$N$203,0),0))),"")</f>
        <v>, حوض معلق عدد500 (الوحده.170(,بتموس عدد 10 الحبه 15</v>
      </c>
      <c r="D33" s="38">
        <f>IFERROR(IF(IFERROR(MATCH(29,'كشف الحساب'!$N$4:$N$203,0),0)=0,"",INDEX('كشف الحساب'!$D$4:$D$203,IFERROR(MATCH(29,'كشف الحساب'!$N$4:$N$203,0),0))),"")</f>
        <v>243</v>
      </c>
      <c r="E33" s="60">
        <f>IFERROR(IF(IFERROR(MATCH(29,'كشف الحساب'!$N$4:$N$203,0),0)=0,"",INDEX('كشف الحساب'!$E$4:$E$203,IFERROR(MATCH(29,'كشف الحساب'!$N$4:$N$203,0),0))),"")</f>
        <v>0</v>
      </c>
      <c r="F33" s="59" t="str">
        <f>IFERROR(IF(IFERROR(MATCH(29,'كشف الحساب'!$N$4:$N$203,0),0)=0,"",INDEX('كشف الحساب'!$F$4:$F$203,IFERROR(MATCH(29,'كشف الحساب'!$N$4:$N$203,0),0))),"")</f>
        <v>نقداً</v>
      </c>
      <c r="G33" s="59" t="str">
        <f>IFERROR(IF(IFERROR(MATCH(29,'كشف الحساب'!$N$4:$N$203,0),0)=0,"",INDEX('كشف الحساب'!$G$4:$G$203,IFERROR(MATCH(29,'كشف الحساب'!$N$4:$N$203,0),0))),"")</f>
        <v>المحفظة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103.19500000000005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46251</v>
      </c>
      <c r="B34" s="61">
        <f>IFERROR(IF(IFERROR(MATCH(30,'كشف الحساب'!$N$4:$N$203,0),0)=0,"",INDEX('كشف الحساب'!$B$4:$B$203,IFERROR(MATCH(30,'كشف الحساب'!$N$4:$N$203,0),0))),"")</f>
        <v>0</v>
      </c>
      <c r="C34" s="27" t="str">
        <f>IFERROR(IF(IFERROR(MATCH(30,'كشف الحساب'!$N$4:$N$203,0),0)=0,"",INDEX('كشف الحساب'!$C$4:$C$203,IFERROR(MATCH(30,'كشف الحساب'!$N$4:$N$203,0),0))),"")</f>
        <v>تاير توكتوك</v>
      </c>
      <c r="D34" s="28">
        <f>IFERROR(IF(IFERROR(MATCH(30,'كشف الحساب'!$N$4:$N$203,0),0)=0,"",INDEX('كشف الحساب'!$D$4:$D$203,IFERROR(MATCH(30,'كشف الحساب'!$N$4:$N$203,0),0))),"")</f>
        <v>3</v>
      </c>
      <c r="E34" s="62">
        <f>IFERROR(IF(IFERROR(MATCH(30,'كشف الحساب'!$N$4:$N$203,0),0)=0,"",INDEX('كشف الحساب'!$E$4:$E$203,IFERROR(MATCH(30,'كشف الحساب'!$N$4:$N$203,0),0))),"")</f>
        <v>0</v>
      </c>
      <c r="F34" s="61" t="str">
        <f>IFERROR(IF(IFERROR(MATCH(30,'كشف الحساب'!$N$4:$N$203,0),0)=0,"",INDEX('كشف الحساب'!$F$4:$F$203,IFERROR(MATCH(30,'كشف الحساب'!$N$4:$N$203,0),0))),"")</f>
        <v>نقداً</v>
      </c>
      <c r="G34" s="61" t="str">
        <f>IFERROR(IF(IFERROR(MATCH(30,'كشف الحساب'!$N$4:$N$203,0),0)=0,"",INDEX('كشف الحساب'!$G$4:$G$203,IFERROR(MATCH(30,'كشف الحساب'!$N$4:$N$203,0),0))),"")</f>
        <v>المحفظة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100.19500000000005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46251</v>
      </c>
      <c r="B35" s="64">
        <f>IFERROR(IF(IFERROR(MATCH(31,'كشف الحساب'!$N$4:$N$203,0),0)=0,"",INDEX('كشف الحساب'!$B$4:$B$203,IFERROR(MATCH(31,'كشف الحساب'!$N$4:$N$203,0),0))),"")</f>
        <v>0</v>
      </c>
      <c r="C35" s="65" t="str">
        <f>IFERROR(IF(IFERROR(MATCH(31,'كشف الحساب'!$N$4:$N$203,0),0)=0,"",INDEX('كشف الحساب'!$C$4:$C$203,IFERROR(MATCH(31,'كشف الحساب'!$N$4:$N$203,0),0))),"")</f>
        <v>هوز اصفر 3/4 طول 50 متر</v>
      </c>
      <c r="D35" s="66">
        <f>IFERROR(IF(IFERROR(MATCH(31,'كشف الحساب'!$N$4:$N$203,0),0)=0,"",INDEX('كشف الحساب'!$D$4:$D$203,IFERROR(MATCH(31,'كشف الحساب'!$N$4:$N$203,0),0))),"")</f>
        <v>11.5</v>
      </c>
      <c r="E35" s="67">
        <f>IFERROR(IF(IFERROR(MATCH(31,'كشف الحساب'!$N$4:$N$203,0),0)=0,"",INDEX('كشف الحساب'!$E$4:$E$203,IFERROR(MATCH(31,'كشف الحساب'!$N$4:$N$203,0),0))),"")</f>
        <v>0</v>
      </c>
      <c r="F35" s="64" t="str">
        <f>IFERROR(IF(IFERROR(MATCH(31,'كشف الحساب'!$N$4:$N$203,0),0)=0,"",INDEX('كشف الحساب'!$F$4:$F$203,IFERROR(MATCH(31,'كشف الحساب'!$N$4:$N$203,0),0))),"")</f>
        <v>نقداً</v>
      </c>
      <c r="G35" s="64" t="str">
        <f>IFERROR(IF(IFERROR(MATCH(31,'كشف الحساب'!$N$4:$N$203,0),0)=0,"",INDEX('كشف الحساب'!$G$4:$G$203,IFERROR(MATCH(31,'كشف الحساب'!$N$4:$N$203,0),0))),"")</f>
        <v>المحفظة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117.69500000000005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46254</v>
      </c>
      <c r="B36" s="70" t="str">
        <f>IFERROR(IF(IFERROR(MATCH(32,'كشف الحساب'!$N$4:$N$203,0),0)=0,"",INDEX('كشف الحساب'!$B$4:$B$203,IFERROR(MATCH(32,'كشف الحساب'!$N$4:$N$203,0),0))),"")</f>
        <v>Inv-125</v>
      </c>
      <c r="C36" s="71" t="str">
        <f>IFERROR(IF(IFERROR(MATCH(32,'كشف الحساب'!$N$4:$N$203,0),0)=0,"",INDEX('كشف الحساب'!$C$4:$C$203,IFERROR(MATCH(32,'كشف الحساب'!$N$4:$N$203,0),0))),"")</f>
        <v>متنوع - تم الدفع 26/8</v>
      </c>
      <c r="D36" s="72">
        <f>IFERROR(IF(IFERROR(MATCH(32,'كشف الحساب'!$N$4:$N$203,0),0)=0,"",INDEX('كشف الحساب'!$D$4:$D$203,IFERROR(MATCH(32,'كشف الحساب'!$N$4:$N$203,0),0))),"")</f>
        <v>0</v>
      </c>
      <c r="E36" s="73">
        <f>IFERROR(IF(IFERROR(MATCH(32,'كشف الحساب'!$N$4:$N$203,0),0)=0,"",INDEX('كشف الحساب'!$E$4:$E$203,IFERROR(MATCH(32,'كشف الحساب'!$N$4:$N$203,0),0))),"")</f>
        <v>59</v>
      </c>
      <c r="F36" s="70" t="str">
        <f>IFERROR(IF(IFERROR(MATCH(32,'كشف الحساب'!$N$4:$N$203,0),0)=0,"",INDEX('كشف الحساب'!$F$4:$F$203,IFERROR(MATCH(32,'كشف الحساب'!$N$4:$N$203,0),0))),"")</f>
        <v>نقداً</v>
      </c>
      <c r="G36" s="70">
        <f>IFERROR(IF(IFERROR(MATCH(32,'كشف الحساب'!$N$4:$N$203,0),0)=0,"",INDEX('كشف الحساب'!$G$4:$G$203,IFERROR(MATCH(32,'كشف الحساب'!$N$4:$N$203,0),0))),"")</f>
        <v>0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176.69500000000005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>Inv-126</v>
      </c>
      <c r="C37" s="65"/>
      <c r="D37" s="66">
        <f>IFERROR(IF(IFERROR(MATCH(33,'كشف الحساب'!$N$4:$N$203,0),0)=0,"",INDEX('كشف الحساب'!$D$4:$D$203,IFERROR(MATCH(33,'كشف الحساب'!$N$4:$N$203,0),0))),"")</f>
        <v>0</v>
      </c>
      <c r="E37"/>
      <c r="F37" s="64" t="str">
        <f>IFERROR(IF(IFERROR(MATCH(33,'كشف الحساب'!$N$4:$N$203,0),0)=0,"",INDEX('كشف الحساب'!$F$4:$F$203,IFERROR(MATCH(33,'كشف الحساب'!$N$4:$N$203,0),0))),"")</f>
        <v>نقداً</v>
      </c>
      <c r="G37" s="64">
        <f>IFERROR(IF(IFERROR(MATCH(33,'كشف الحساب'!$N$4:$N$203,0),0)=0,"",INDEX('كشف الحساب'!$G$4:$G$203,IFERROR(MATCH(33,'كشف الحساب'!$N$4:$N$203,0),0))),"")</f>
        <v>0</v>
      </c>
      <c r="H37" s="64" t="str">
        <f>IFERROR(IF(IFERROR(MATCH(33,'كشف الحساب'!$N$4:$N$203,0),0)=0,"",INDEX('كشف الحساب'!$H$4:$H$203,IFERROR(MATCH(33,'كشف الحساب'!$N$4:$N$203,0),0))),"")</f>
        <v>تم الدفع</v>
      </c>
      <c r="I37" s="64">
        <f>IFERROR(IF(IFERROR(MATCH(33,'كشف الحساب'!$N$4:$N$203,0),0)=0,"",INDEX('كشف الحساب'!$I$4:$I$203,IFERROR(MATCH(33,'كشف الحساب'!$N$4:$N$203,0),0))),"")</f>
        <v>0</v>
      </c>
      <c r="J37" s="68">
        <f>IFERROR(IF(IFERROR(MATCH(33,'كشف الحساب'!$N$4:$N$203,0),0)=0,"",INDEX('كشف الحساب'!$J$4:$J$203,IFERROR(MATCH(33,'كشف الحساب'!$N$4:$N$203,0),0))),"")</f>
        <v>576.69500000000005</v>
      </c>
      <c r="K37" s="64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69">
        <f>IFERROR(IF(IFERROR(MATCH(34,'كشف الحساب'!$N$4:$N$203,0),0)=0,"",INDEX('كشف الحساب'!$A$4:$A$203,IFERROR(MATCH(34,'كشف الحساب'!$N$4:$N$203,0),0))),"")</f>
        <v>46263</v>
      </c>
      <c r="B38" s="70">
        <f>IFERROR(IF(IFERROR(MATCH(34,'كشف الحساب'!$N$4:$N$203,0),0)=0,"",INDEX('كشف الحساب'!$B$4:$B$203,IFERROR(MATCH(34,'كشف الحساب'!$N$4:$N$203,0),0))),"")</f>
        <v>0</v>
      </c>
      <c r="C38" s="71" t="str">
        <f>IFERROR(IF(IFERROR(MATCH(34,'كشف الحساب'!$N$4:$N$203,0),0)=0,"",INDEX('كشف الحساب'!$C$4:$C$203,IFERROR(MATCH(34,'كشف الحساب'!$N$4:$N$203,0),0))),"")</f>
        <v>صبار عدد 15 الحبه 1</v>
      </c>
      <c r="D38" s="72">
        <f>IFERROR(IF(IFERROR(MATCH(34,'كشف الحساب'!$N$4:$N$203,0),0)=0,"",INDEX('كشف الحساب'!$D$4:$D$203,IFERROR(MATCH(34,'كشف الحساب'!$N$4:$N$203,0),0))),"")</f>
        <v>15</v>
      </c>
      <c r="E38" s="73">
        <f>IFERROR(IF(IFERROR(MATCH(34,'كشف الحساب'!$N$4:$N$203,0),0)=0,"",INDEX('كشف الحساب'!$E$4:$E$203,IFERROR(MATCH(34,'كشف الحساب'!$N$4:$N$203,0),0))),"")</f>
        <v>0</v>
      </c>
      <c r="F38" s="70" t="str">
        <f>IFERROR(IF(IFERROR(MATCH(34,'كشف الحساب'!$N$4:$N$203,0),0)=0,"",INDEX('كشف الحساب'!$F$4:$F$203,IFERROR(MATCH(34,'كشف الحساب'!$N$4:$N$203,0),0))),"")</f>
        <v>نقداً</v>
      </c>
      <c r="G38" s="70" t="str">
        <f>IFERROR(IF(IFERROR(MATCH(34,'كشف الحساب'!$N$4:$N$203,0),0)=0,"",INDEX('كشف الحساب'!$G$4:$G$203,IFERROR(MATCH(34,'كشف الحساب'!$N$4:$N$203,0),0))),"")</f>
        <v>المحفظة</v>
      </c>
      <c r="H38" s="70" t="str">
        <f>IFERROR(IF(IFERROR(MATCH(34,'كشف الحساب'!$N$4:$N$203,0),0)=0,"",INDEX('كشف الحساب'!$H$4:$H$203,IFERROR(MATCH(34,'كشف الحساب'!$N$4:$N$203,0),0))),"")</f>
        <v>تم الدفع</v>
      </c>
      <c r="I38" s="70">
        <f>IFERROR(IF(IFERROR(MATCH(34,'كشف الحساب'!$N$4:$N$203,0),0)=0,"",INDEX('كشف الحساب'!$I$4:$I$203,IFERROR(MATCH(34,'كشف الحساب'!$N$4:$N$203,0),0))),"")</f>
        <v>0</v>
      </c>
      <c r="J38" s="74">
        <f>IFERROR(IF(IFERROR(MATCH(34,'كشف الحساب'!$N$4:$N$203,0),0)=0,"",INDEX('كشف الحساب'!$J$4:$J$203,IFERROR(MATCH(34,'كشف الحساب'!$N$4:$N$203,0),0))),"")</f>
        <v>561.69500000000005</v>
      </c>
      <c r="K38" s="70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 x14ac:dyDescent="0.25">
      <c r="A39" s="63">
        <f>IFERROR(IF(IFERROR(MATCH(35,'كشف الحساب'!$N$4:$N$203,0),0)=0,"",INDEX('كشف الحساب'!$A$4:$A$203,IFERROR(MATCH(35,'كشف الحساب'!$N$4:$N$203,0),0))),"")</f>
        <v>46263</v>
      </c>
      <c r="B39" s="64">
        <f>IFERROR(IF(IFERROR(MATCH(35,'كشف الحساب'!$N$4:$N$203,0),0)=0,"",INDEX('كشف الحساب'!$B$4:$B$203,IFERROR(MATCH(35,'كشف الحساب'!$N$4:$N$203,0),0))),"")</f>
        <v>0</v>
      </c>
      <c r="C39" s="65" t="str">
        <f>IFERROR(IF(IFERROR(MATCH(35,'كشف الحساب'!$N$4:$N$203,0),0)=0,"",INDEX('كشف الحساب'!$C$4:$C$203,IFERROR(MATCH(35,'كشف الحساب'!$N$4:$N$203,0),0))),"")</f>
        <v>زيتون عدد 2 الحبه 12</v>
      </c>
      <c r="D39" s="66">
        <f>IFERROR(IF(IFERROR(MATCH(35,'كشف الحساب'!$N$4:$N$203,0),0)=0,"",INDEX('كشف الحساب'!$D$4:$D$203,IFERROR(MATCH(35,'كشف الحساب'!$N$4:$N$203,0),0))),"")</f>
        <v>24</v>
      </c>
      <c r="E39" s="67">
        <f>IFERROR(IF(IFERROR(MATCH(35,'كشف الحساب'!$N$4:$N$203,0),0)=0,"",INDEX('كشف الحساب'!$E$4:$E$203,IFERROR(MATCH(35,'كشف الحساب'!$N$4:$N$203,0),0))),"")</f>
        <v>0</v>
      </c>
      <c r="F39" s="64" t="str">
        <f>IFERROR(IF(IFERROR(MATCH(35,'كشف الحساب'!$N$4:$N$203,0),0)=0,"",INDEX('كشف الحساب'!$F$4:$F$203,IFERROR(MATCH(35,'كشف الحساب'!$N$4:$N$203,0),0))),"")</f>
        <v>نقداً</v>
      </c>
      <c r="G39" s="64" t="str">
        <f>IFERROR(IF(IFERROR(MATCH(35,'كشف الحساب'!$N$4:$N$203,0),0)=0,"",INDEX('كشف الحساب'!$G$4:$G$203,IFERROR(MATCH(35,'كشف الحساب'!$N$4:$N$203,0),0))),"")</f>
        <v>المحفظة</v>
      </c>
      <c r="H39" s="64" t="str">
        <f>IFERROR(IF(IFERROR(MATCH(35,'كشف الحساب'!$N$4:$N$203,0),0)=0,"",INDEX('كشف الحساب'!$H$4:$H$203,IFERROR(MATCH(35,'كشف الحساب'!$N$4:$N$203,0),0))),"")</f>
        <v>تم الدفع</v>
      </c>
      <c r="I39" s="64">
        <f>IFERROR(IF(IFERROR(MATCH(35,'كشف الحساب'!$N$4:$N$203,0),0)=0,"",INDEX('كشف الحساب'!$I$4:$I$203,IFERROR(MATCH(35,'كشف الحساب'!$N$4:$N$203,0),0))),"")</f>
        <v>0</v>
      </c>
      <c r="J39" s="68">
        <f>IFERROR(IF(IFERROR(MATCH(35,'كشف الحساب'!$N$4:$N$203,0),0)=0,"",INDEX('كشف الحساب'!$J$4:$J$203,IFERROR(MATCH(35,'كشف الحساب'!$N$4:$N$203,0),0))),"")</f>
        <v>537.69500000000005</v>
      </c>
      <c r="K39" s="64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 x14ac:dyDescent="0.25">
      <c r="A40" s="69">
        <f>IFERROR(IF(IFERROR(MATCH(36,'كشف الحساب'!$N$4:$N$203,0),0)=0,"",INDEX('كشف الحساب'!$A$4:$A$203,IFERROR(MATCH(36,'كشف الحساب'!$N$4:$N$203,0),0))),"")</f>
        <v>46264</v>
      </c>
      <c r="B40" s="70" t="str">
        <f>IFERROR(IF(IFERROR(MATCH(36,'كشف الحساب'!$N$4:$N$203,0),0)=0,"",INDEX('كشف الحساب'!$B$4:$B$203,IFERROR(MATCH(36,'كشف الحساب'!$N$4:$N$203,0),0))),"")</f>
        <v>Inv-127</v>
      </c>
      <c r="C40" s="71" t="str">
        <f>IFERROR(IF(IFERROR(MATCH(36,'كشف الحساب'!$N$4:$N$203,0),0)=0,"",INDEX('كشف الحساب'!$C$4:$C$203,IFERROR(MATCH(36,'كشف الحساب'!$N$4:$N$203,0),0))),"")</f>
        <v>اناناس عدد 4 الواحده 4</v>
      </c>
      <c r="D40" s="72">
        <f>IFERROR(IF(IFERROR(MATCH(36,'كشف الحساب'!$N$4:$N$203,0),0)=0,"",INDEX('كشف الحساب'!$D$4:$D$203,IFERROR(MATCH(36,'كشف الحساب'!$N$4:$N$203,0),0))),"")</f>
        <v>0</v>
      </c>
      <c r="E40" s="73">
        <f>IFERROR(IF(IFERROR(MATCH(36,'كشف الحساب'!$N$4:$N$203,0),0)=0,"",INDEX('كشف الحساب'!$E$4:$E$203,IFERROR(MATCH(36,'كشف الحساب'!$N$4:$N$203,0),0))),"")</f>
        <v>16</v>
      </c>
      <c r="F40" s="70" t="str">
        <f>IFERROR(IF(IFERROR(MATCH(36,'كشف الحساب'!$N$4:$N$203,0),0)=0,"",INDEX('كشف الحساب'!$F$4:$F$203,IFERROR(MATCH(36,'كشف الحساب'!$N$4:$N$203,0),0))),"")</f>
        <v>نقداً</v>
      </c>
      <c r="G40" s="70">
        <f>IFERROR(IF(IFERROR(MATCH(36,'كشف الحساب'!$N$4:$N$203,0),0)=0,"",INDEX('كشف الحساب'!$G$4:$G$203,IFERROR(MATCH(36,'كشف الحساب'!$N$4:$N$203,0),0))),"")</f>
        <v>0</v>
      </c>
      <c r="H40" s="70" t="str">
        <f>IFERROR(IF(IFERROR(MATCH(36,'كشف الحساب'!$N$4:$N$203,0),0)=0,"",INDEX('كشف الحساب'!$H$4:$H$203,IFERROR(MATCH(36,'كشف الحساب'!$N$4:$N$203,0),0))),"")</f>
        <v>تم الدفع</v>
      </c>
      <c r="I40" s="70">
        <f>IFERROR(IF(IFERROR(MATCH(36,'كشف الحساب'!$N$4:$N$203,0),0)=0,"",INDEX('كشف الحساب'!$I$4:$I$203,IFERROR(MATCH(36,'كشف الحساب'!$N$4:$N$203,0),0))),"")</f>
        <v>0</v>
      </c>
      <c r="J40" s="74">
        <f>IFERROR(IF(IFERROR(MATCH(36,'كشف الحساب'!$N$4:$N$203,0),0)=0,"",INDEX('كشف الحساب'!$J$4:$J$203,IFERROR(MATCH(36,'كشف الحساب'!$N$4:$N$203,0),0))),"")</f>
        <v>553.69500000000005</v>
      </c>
      <c r="K40" s="70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 x14ac:dyDescent="0.25">
      <c r="A41" s="63">
        <f>IFERROR(IF(IFERROR(MATCH(37,'كشف الحساب'!$N$4:$N$203,0),0)=0,"",INDEX('كشف الحساب'!$A$4:$A$203,IFERROR(MATCH(37,'كشف الحساب'!$N$4:$N$203,0),0))),"")</f>
        <v>46264</v>
      </c>
      <c r="B41" s="64" t="str">
        <f>IFERROR(IF(IFERROR(MATCH(37,'كشف الحساب'!$N$4:$N$203,0),0)=0,"",INDEX('كشف الحساب'!$B$4:$B$203,IFERROR(MATCH(37,'كشف الحساب'!$N$4:$N$203,0),0))),"")</f>
        <v>Inv-128</v>
      </c>
      <c r="C41" s="65" t="str">
        <f>IFERROR(IF(IFERROR(MATCH(37,'كشف الحساب'!$N$4:$N$203,0),0)=0,"",INDEX('كشف الحساب'!$C$4:$C$203,IFERROR(MATCH(37,'كشف الحساب'!$N$4:$N$203,0),0))),"")</f>
        <v>ربل عدد 6 الحبه 2.500</v>
      </c>
      <c r="D41" s="66">
        <f>IFERROR(IF(IFERROR(MATCH(37,'كشف الحساب'!$N$4:$N$203,0),0)=0,"",INDEX('كشف الحساب'!$D$4:$D$203,IFERROR(MATCH(37,'كشف الحساب'!$N$4:$N$203,0),0))),"")</f>
        <v>0</v>
      </c>
      <c r="E41" s="67">
        <f>IFERROR(IF(IFERROR(MATCH(37,'كشف الحساب'!$N$4:$N$203,0),0)=0,"",INDEX('كشف الحساب'!$E$4:$E$203,IFERROR(MATCH(37,'كشف الحساب'!$N$4:$N$203,0),0))),"")</f>
        <v>15</v>
      </c>
      <c r="F41" s="64" t="str">
        <f>IFERROR(IF(IFERROR(MATCH(37,'كشف الحساب'!$N$4:$N$203,0),0)=0,"",INDEX('كشف الحساب'!$F$4:$F$203,IFERROR(MATCH(37,'كشف الحساب'!$N$4:$N$203,0),0))),"")</f>
        <v>نقداً</v>
      </c>
      <c r="G41" s="64">
        <f>IFERROR(IF(IFERROR(MATCH(37,'كشف الحساب'!$N$4:$N$203,0),0)=0,"",INDEX('كشف الحساب'!$G$4:$G$203,IFERROR(MATCH(37,'كشف الحساب'!$N$4:$N$203,0),0))),"")</f>
        <v>0</v>
      </c>
      <c r="H41" s="64" t="str">
        <f>IFERROR(IF(IFERROR(MATCH(37,'كشف الحساب'!$N$4:$N$203,0),0)=0,"",INDEX('كشف الحساب'!$H$4:$H$203,IFERROR(MATCH(37,'كشف الحساب'!$N$4:$N$203,0),0))),"")</f>
        <v>تم الدفع</v>
      </c>
      <c r="I41" s="64">
        <f>IFERROR(IF(IFERROR(MATCH(37,'كشف الحساب'!$N$4:$N$203,0),0)=0,"",INDEX('كشف الحساب'!$I$4:$I$203,IFERROR(MATCH(37,'كشف الحساب'!$N$4:$N$203,0),0))),"")</f>
        <v>0</v>
      </c>
      <c r="J41" s="68">
        <f>IFERROR(IF(IFERROR(MATCH(37,'كشف الحساب'!$N$4:$N$203,0),0)=0,"",INDEX('كشف الحساب'!$J$4:$J$203,IFERROR(MATCH(37,'كشف الحساب'!$N$4:$N$203,0),0))),"")</f>
        <v>568.69500000000005</v>
      </c>
      <c r="K41" s="64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 x14ac:dyDescent="0.25">
      <c r="A42" s="69">
        <f>IFERROR(IF(IFERROR(MATCH(38,'كشف الحساب'!$N$4:$N$203,0),0)=0,"",INDEX('كشف الحساب'!$A$4:$A$203,IFERROR(MATCH(38,'كشف الحساب'!$N$4:$N$203,0),0))),"")</f>
        <v>46264</v>
      </c>
      <c r="B42" s="70" t="str">
        <f>IFERROR(IF(IFERROR(MATCH(38,'كشف الحساب'!$N$4:$N$203,0),0)=0,"",INDEX('كشف الحساب'!$B$4:$B$203,IFERROR(MATCH(38,'كشف الحساب'!$N$4:$N$203,0),0))),"")</f>
        <v>Inv-129</v>
      </c>
      <c r="C42" s="71" t="str">
        <f>IFERROR(IF(IFERROR(MATCH(38,'كشف الحساب'!$N$4:$N$203,0),0)=0,"",INDEX('كشف الحساب'!$C$4:$C$203,IFERROR(MATCH(38,'كشف الحساب'!$N$4:$N$203,0),0))),"")</f>
        <v>متنوع عدد 17 الحبه 1</v>
      </c>
      <c r="D42" s="72">
        <f>IFERROR(IF(IFERROR(MATCH(38,'كشف الحساب'!$N$4:$N$203,0),0)=0,"",INDEX('كشف الحساب'!$D$4:$D$203,IFERROR(MATCH(38,'كشف الحساب'!$N$4:$N$203,0),0))),"")</f>
        <v>0</v>
      </c>
      <c r="E42" s="73">
        <f>IFERROR(IF(IFERROR(MATCH(38,'كشف الحساب'!$N$4:$N$203,0),0)=0,"",INDEX('كشف الحساب'!$E$4:$E$203,IFERROR(MATCH(38,'كشف الحساب'!$N$4:$N$203,0),0))),"")</f>
        <v>17</v>
      </c>
      <c r="F42" s="70" t="str">
        <f>IFERROR(IF(IFERROR(MATCH(38,'كشف الحساب'!$N$4:$N$203,0),0)=0,"",INDEX('كشف الحساب'!$F$4:$F$203,IFERROR(MATCH(38,'كشف الحساب'!$N$4:$N$203,0),0))),"")</f>
        <v>نقداً</v>
      </c>
      <c r="G42" s="70">
        <f>IFERROR(IF(IFERROR(MATCH(38,'كشف الحساب'!$N$4:$N$203,0),0)=0,"",INDEX('كشف الحساب'!$G$4:$G$203,IFERROR(MATCH(38,'كشف الحساب'!$N$4:$N$203,0),0))),"")</f>
        <v>0</v>
      </c>
      <c r="H42" s="70" t="str">
        <f>IFERROR(IF(IFERROR(MATCH(38,'كشف الحساب'!$N$4:$N$203,0),0)=0,"",INDEX('كشف الحساب'!$H$4:$H$203,IFERROR(MATCH(38,'كشف الحساب'!$N$4:$N$203,0),0))),"")</f>
        <v>تم الدفع</v>
      </c>
      <c r="I42" s="70">
        <f>IFERROR(IF(IFERROR(MATCH(38,'كشف الحساب'!$N$4:$N$203,0),0)=0,"",INDEX('كشف الحساب'!$I$4:$I$203,IFERROR(MATCH(38,'كشف الحساب'!$N$4:$N$203,0),0))),"")</f>
        <v>0</v>
      </c>
      <c r="J42" s="74">
        <f>IFERROR(IF(IFERROR(MATCH(38,'كشف الحساب'!$N$4:$N$203,0),0)=0,"",INDEX('كشف الحساب'!$J$4:$J$203,IFERROR(MATCH(38,'كشف الحساب'!$N$4:$N$203,0),0))),"")</f>
        <v>585.69500000000005</v>
      </c>
      <c r="K42" s="70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 x14ac:dyDescent="0.25">
      <c r="A43" s="63">
        <f>IFERROR(IF(IFERROR(MATCH(39,'كشف الحساب'!$N$4:$N$203,0),0)=0,"",INDEX('كشف الحساب'!$A$4:$A$203,IFERROR(MATCH(39,'كشف الحساب'!$N$4:$N$203,0),0))),"")</f>
        <v>46264</v>
      </c>
      <c r="B43" s="64" t="str">
        <f>IFERROR(IF(IFERROR(MATCH(39,'كشف الحساب'!$N$4:$N$203,0),0)=0,"",INDEX('كشف الحساب'!$B$4:$B$203,IFERROR(MATCH(39,'كشف الحساب'!$N$4:$N$203,0),0))),"")</f>
        <v>Inv-130</v>
      </c>
      <c r="C43" s="65" t="str">
        <f>IFERROR(IF(IFERROR(MATCH(39,'كشف الحساب'!$N$4:$N$203,0),0)=0,"",INDEX('كشف الحساب'!$C$4:$C$203,IFERROR(MATCH(39,'كشف الحساب'!$N$4:$N$203,0),0))),"")</f>
        <v>صبار عدد 13 الحبه 0.750</v>
      </c>
      <c r="D43" s="66">
        <f>IFERROR(IF(IFERROR(MATCH(39,'كشف الحساب'!$N$4:$N$203,0),0)=0,"",INDEX('كشف الحساب'!$D$4:$D$203,IFERROR(MATCH(39,'كشف الحساب'!$N$4:$N$203,0),0))),"")</f>
        <v>0</v>
      </c>
      <c r="E43" s="67">
        <f>IFERROR(IF(IFERROR(MATCH(39,'كشف الحساب'!$N$4:$N$203,0),0)=0,"",INDEX('كشف الحساب'!$E$4:$E$203,IFERROR(MATCH(39,'كشف الحساب'!$N$4:$N$203,0),0))),"")</f>
        <v>9.75</v>
      </c>
      <c r="F43" s="64" t="str">
        <f>IFERROR(IF(IFERROR(MATCH(39,'كشف الحساب'!$N$4:$N$203,0),0)=0,"",INDEX('كشف الحساب'!$F$4:$F$203,IFERROR(MATCH(39,'كشف الحساب'!$N$4:$N$203,0),0))),"")</f>
        <v>نقداً</v>
      </c>
      <c r="G43" s="64">
        <f>IFERROR(IF(IFERROR(MATCH(39,'كشف الحساب'!$N$4:$N$203,0),0)=0,"",INDEX('كشف الحساب'!$G$4:$G$203,IFERROR(MATCH(39,'كشف الحساب'!$N$4:$N$203,0),0))),"")</f>
        <v>0</v>
      </c>
      <c r="H43" s="64" t="str">
        <f>IFERROR(IF(IFERROR(MATCH(39,'كشف الحساب'!$N$4:$N$203,0),0)=0,"",INDEX('كشف الحساب'!$H$4:$H$203,IFERROR(MATCH(39,'كشف الحساب'!$N$4:$N$203,0),0))),"")</f>
        <v>تم الدفع</v>
      </c>
      <c r="I43" s="64">
        <f>IFERROR(IF(IFERROR(MATCH(39,'كشف الحساب'!$N$4:$N$203,0),0)=0,"",INDEX('كشف الحساب'!$I$4:$I$203,IFERROR(MATCH(39,'كشف الحساب'!$N$4:$N$203,0),0))),"")</f>
        <v>0</v>
      </c>
      <c r="J43" s="68">
        <f>IFERROR(IF(IFERROR(MATCH(39,'كشف الحساب'!$N$4:$N$203,0),0)=0,"",INDEX('كشف الحساب'!$J$4:$J$203,IFERROR(MATCH(39,'كشف الحساب'!$N$4:$N$203,0),0))),"")</f>
        <v>595.44500000000005</v>
      </c>
      <c r="K43" s="64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 x14ac:dyDescent="0.25">
      <c r="A44" s="69">
        <f>IFERROR(IF(IFERROR(MATCH(40,'كشف الحساب'!$N$4:$N$203,0),0)=0,"",INDEX('كشف الحساب'!$A$4:$A$203,IFERROR(MATCH(40,'كشف الحساب'!$N$4:$N$203,0),0))),"")</f>
        <v>46264</v>
      </c>
      <c r="B44" s="70" t="str">
        <f>IFERROR(IF(IFERROR(MATCH(40,'كشف الحساب'!$N$4:$N$203,0),0)=0,"",INDEX('كشف الحساب'!$B$4:$B$203,IFERROR(MATCH(40,'كشف الحساب'!$N$4:$N$203,0),0))),"")</f>
        <v>Inv-131</v>
      </c>
      <c r="C44" s="71" t="str">
        <f>IFERROR(IF(IFERROR(MATCH(40,'كشف الحساب'!$N$4:$N$203,0),0)=0,"",INDEX('كشف الحساب'!$C$4:$C$203,IFERROR(MATCH(40,'كشف الحساب'!$N$4:$N$203,0),0))),"")</f>
        <v>تين عدد5 الحبه 1.500</v>
      </c>
      <c r="D44" s="72">
        <f>IFERROR(IF(IFERROR(MATCH(40,'كشف الحساب'!$N$4:$N$203,0),0)=0,"",INDEX('كشف الحساب'!$D$4:$D$203,IFERROR(MATCH(40,'كشف الحساب'!$N$4:$N$203,0),0))),"")</f>
        <v>0</v>
      </c>
      <c r="E44" s="73">
        <f>IFERROR(IF(IFERROR(MATCH(40,'كشف الحساب'!$N$4:$N$203,0),0)=0,"",INDEX('كشف الحساب'!$E$4:$E$203,IFERROR(MATCH(40,'كشف الحساب'!$N$4:$N$203,0),0))),"")</f>
        <v>7.5</v>
      </c>
      <c r="F44" s="70" t="str">
        <f>IFERROR(IF(IFERROR(MATCH(40,'كشف الحساب'!$N$4:$N$203,0),0)=0,"",INDEX('كشف الحساب'!$F$4:$F$203,IFERROR(MATCH(40,'كشف الحساب'!$N$4:$N$203,0),0))),"")</f>
        <v>نقداً</v>
      </c>
      <c r="G44" s="70">
        <f>IFERROR(IF(IFERROR(MATCH(40,'كشف الحساب'!$N$4:$N$203,0),0)=0,"",INDEX('كشف الحساب'!$G$4:$G$203,IFERROR(MATCH(40,'كشف الحساب'!$N$4:$N$203,0),0))),"")</f>
        <v>0</v>
      </c>
      <c r="H44" s="70" t="str">
        <f>IFERROR(IF(IFERROR(MATCH(40,'كشف الحساب'!$N$4:$N$203,0),0)=0,"",INDEX('كشف الحساب'!$H$4:$H$203,IFERROR(MATCH(40,'كشف الحساب'!$N$4:$N$203,0),0))),"")</f>
        <v>تم الدفع</v>
      </c>
      <c r="I44" s="70">
        <f>IFERROR(IF(IFERROR(MATCH(40,'كشف الحساب'!$N$4:$N$203,0),0)=0,"",INDEX('كشف الحساب'!$I$4:$I$203,IFERROR(MATCH(40,'كشف الحساب'!$N$4:$N$203,0),0))),"")</f>
        <v>0</v>
      </c>
      <c r="J44" s="74">
        <f>IFERROR(IF(IFERROR(MATCH(40,'كشف الحساب'!$N$4:$N$203,0),0)=0,"",INDEX('كشف الحساب'!$J$4:$J$203,IFERROR(MATCH(40,'كشف الحساب'!$N$4:$N$203,0),0))),"")</f>
        <v>602.94500000000005</v>
      </c>
      <c r="K44" s="70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 x14ac:dyDescent="0.25">
      <c r="A45" s="63">
        <f>IFERROR(IF(IFERROR(MATCH(41,'كشف الحساب'!$N$4:$N$203,0),0)=0,"",INDEX('كشف الحساب'!$A$4:$A$203,IFERROR(MATCH(41,'كشف الحساب'!$N$4:$N$203,0),0))),"")</f>
        <v>46264</v>
      </c>
      <c r="B45" s="64">
        <f>IFERROR(IF(IFERROR(MATCH(41,'كشف الحساب'!$N$4:$N$203,0),0)=0,"",INDEX('كشف الحساب'!$B$4:$B$203,IFERROR(MATCH(41,'كشف الحساب'!$N$4:$N$203,0),0))),"")</f>
        <v>0</v>
      </c>
      <c r="C45" s="65" t="str">
        <f>IFERROR(IF(IFERROR(MATCH(41,'كشف الحساب'!$N$4:$N$203,0),0)=0,"",INDEX('كشف الحساب'!$C$4:$C$203,IFERROR(MATCH(41,'كشف الحساب'!$N$4:$N$203,0),0))),"")</f>
        <v>أقامه نزمول 3 سنوات</v>
      </c>
      <c r="D45" s="66">
        <f>IFERROR(IF(IFERROR(MATCH(41,'كشف الحساب'!$N$4:$N$203,0),0)=0,"",INDEX('كشف الحساب'!$D$4:$D$203,IFERROR(MATCH(41,'كشف الحساب'!$N$4:$N$203,0),0))),"")</f>
        <v>35</v>
      </c>
      <c r="E45" s="67">
        <f>IFERROR(IF(IFERROR(MATCH(41,'كشف الحساب'!$N$4:$N$203,0),0)=0,"",INDEX('كشف الحساب'!$E$4:$E$203,IFERROR(MATCH(41,'كشف الحساب'!$N$4:$N$203,0),0))),"")</f>
        <v>0</v>
      </c>
      <c r="F45" s="64" t="str">
        <f>IFERROR(IF(IFERROR(MATCH(41,'كشف الحساب'!$N$4:$N$203,0),0)=0,"",INDEX('كشف الحساب'!$F$4:$F$203,IFERROR(MATCH(41,'كشف الحساب'!$N$4:$N$203,0),0))),"")</f>
        <v>نقداً</v>
      </c>
      <c r="G45" s="64" t="str">
        <f>IFERROR(IF(IFERROR(MATCH(41,'كشف الحساب'!$N$4:$N$203,0),0)=0,"",INDEX('كشف الحساب'!$G$4:$G$203,IFERROR(MATCH(41,'كشف الحساب'!$N$4:$N$203,0),0))),"")</f>
        <v>المحفظة</v>
      </c>
      <c r="H45" s="64" t="str">
        <f>IFERROR(IF(IFERROR(MATCH(41,'كشف الحساب'!$N$4:$N$203,0),0)=0,"",INDEX('كشف الحساب'!$H$4:$H$203,IFERROR(MATCH(41,'كشف الحساب'!$N$4:$N$203,0),0))),"")</f>
        <v>تم الدفع</v>
      </c>
      <c r="I45" s="64">
        <f>IFERROR(IF(IFERROR(MATCH(41,'كشف الحساب'!$N$4:$N$203,0),0)=0,"",INDEX('كشف الحساب'!$I$4:$I$203,IFERROR(MATCH(41,'كشف الحساب'!$N$4:$N$203,0),0))),"")</f>
        <v>0</v>
      </c>
      <c r="J45" s="68">
        <f>IFERROR(IF(IFERROR(MATCH(41,'كشف الحساب'!$N$4:$N$203,0),0)=0,"",INDEX('كشف الحساب'!$J$4:$J$203,IFERROR(MATCH(41,'كشف الحساب'!$N$4:$N$203,0),0))),"")</f>
        <v>567.94500000000005</v>
      </c>
      <c r="K45" s="64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 x14ac:dyDescent="0.25">
      <c r="A46" s="69">
        <f>IFERROR(IF(IFERROR(MATCH(42,'كشف الحساب'!$N$4:$N$203,0),0)=0,"",INDEX('كشف الحساب'!$A$4:$A$203,IFERROR(MATCH(42,'كشف الحساب'!$N$4:$N$203,0),0))),"")</f>
        <v>46265</v>
      </c>
      <c r="B46" s="70">
        <f>IFERROR(IF(IFERROR(MATCH(42,'كشف الحساب'!$N$4:$N$203,0),0)=0,"",INDEX('كشف الحساب'!$B$4:$B$203,IFERROR(MATCH(42,'كشف الحساب'!$N$4:$N$203,0),0))),"")</f>
        <v>0</v>
      </c>
      <c r="C46" s="71" t="str">
        <f>IFERROR(IF(IFERROR(MATCH(42,'كشف الحساب'!$N$4:$N$203,0),0)=0,"",INDEX('كشف الحساب'!$C$4:$C$203,IFERROR(MATCH(42,'كشف الحساب'!$N$4:$N$203,0),0))),"")</f>
        <v>رواتب + كهرباء وماء</v>
      </c>
      <c r="D46" s="72">
        <f>IFERROR(IF(IFERROR(MATCH(42,'كشف الحساب'!$N$4:$N$203,0),0)=0,"",INDEX('كشف الحساب'!$D$4:$D$203,IFERROR(MATCH(42,'كشف الحساب'!$N$4:$N$203,0),0))),"")</f>
        <v>470</v>
      </c>
      <c r="E46" s="73">
        <f>IFERROR(IF(IFERROR(MATCH(42,'كشف الحساب'!$N$4:$N$203,0),0)=0,"",INDEX('كشف الحساب'!$E$4:$E$203,IFERROR(MATCH(42,'كشف الحساب'!$N$4:$N$203,0),0))),"")</f>
        <v>0</v>
      </c>
      <c r="F46" s="70" t="str">
        <f>IFERROR(IF(IFERROR(MATCH(42,'كشف الحساب'!$N$4:$N$203,0),0)=0,"",INDEX('كشف الحساب'!$F$4:$F$203,IFERROR(MATCH(42,'كشف الحساب'!$N$4:$N$203,0),0))),"")</f>
        <v>نقداً</v>
      </c>
      <c r="G46" s="70" t="str">
        <f>IFERROR(IF(IFERROR(MATCH(42,'كشف الحساب'!$N$4:$N$203,0),0)=0,"",INDEX('كشف الحساب'!$G$4:$G$203,IFERROR(MATCH(42,'كشف الحساب'!$N$4:$N$203,0),0))),"")</f>
        <v>المحفظة</v>
      </c>
      <c r="H46" s="70" t="str">
        <f>IFERROR(IF(IFERROR(MATCH(42,'كشف الحساب'!$N$4:$N$203,0),0)=0,"",INDEX('كشف الحساب'!$H$4:$H$203,IFERROR(MATCH(42,'كشف الحساب'!$N$4:$N$203,0),0))),"")</f>
        <v>تم الدفع</v>
      </c>
      <c r="I46" s="70">
        <f>IFERROR(IF(IFERROR(MATCH(42,'كشف الحساب'!$N$4:$N$203,0),0)=0,"",INDEX('كشف الحساب'!$I$4:$I$203,IFERROR(MATCH(42,'كشف الحساب'!$N$4:$N$203,0),0))),"")</f>
        <v>0</v>
      </c>
      <c r="J46" s="74">
        <f>IFERROR(IF(IFERROR(MATCH(42,'كشف الحساب'!$N$4:$N$203,0),0)=0,"",INDEX('كشف الحساب'!$J$4:$J$203,IFERROR(MATCH(42,'كشف الحساب'!$N$4:$N$203,0),0))),"")</f>
        <v>97.94500000000005</v>
      </c>
      <c r="K46" s="70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 x14ac:dyDescent="0.25">
      <c r="A47" s="63">
        <f>IFERROR(IF(IFERROR(MATCH(43,'كشف الحساب'!$N$4:$N$203,0),0)=0,"",INDEX('كشف الحساب'!$A$4:$A$203,IFERROR(MATCH(43,'كشف الحساب'!$N$4:$N$203,0),0))),"")</f>
        <v>46265</v>
      </c>
      <c r="B47" s="64">
        <f>IFERROR(IF(IFERROR(MATCH(43,'كشف الحساب'!$N$4:$N$203,0),0)=0,"",INDEX('كشف الحساب'!$B$4:$B$203,IFERROR(MATCH(43,'كشف الحساب'!$N$4:$N$203,0),0))),"")</f>
        <v>0</v>
      </c>
      <c r="C47" s="65" t="str">
        <f>IFERROR(IF(IFERROR(MATCH(43,'كشف الحساب'!$N$4:$N$203,0),0)=0,"",INDEX('كشف الحساب'!$C$4:$C$203,IFERROR(MATCH(43,'كشف الحساب'!$N$4:$N$203,0),0))),"")</f>
        <v>نصف قيمه فلتر المالج</v>
      </c>
      <c r="D47" s="66">
        <f>IFERROR(IF(IFERROR(MATCH(43,'كشف الحساب'!$N$4:$N$203,0),0)=0,"",INDEX('كشف الحساب'!$D$4:$D$203,IFERROR(MATCH(43,'كشف الحساب'!$N$4:$N$203,0),0))),"")</f>
        <v>62.5</v>
      </c>
      <c r="E47" s="67">
        <f>IFERROR(IF(IFERROR(MATCH(43,'كشف الحساب'!$N$4:$N$203,0),0)=0,"",INDEX('كشف الحساب'!$E$4:$E$203,IFERROR(MATCH(43,'كشف الحساب'!$N$4:$N$203,0),0))),"")</f>
        <v>0</v>
      </c>
      <c r="F47" s="64">
        <f>IFERROR(IF(IFERROR(MATCH(43,'كشف الحساب'!$N$4:$N$203,0),0)=0,"",INDEX('كشف الحساب'!$F$4:$F$203,IFERROR(MATCH(43,'كشف الحساب'!$N$4:$N$203,0),0))),"")</f>
        <v>0</v>
      </c>
      <c r="G47" s="64" t="str">
        <f>IFERROR(IF(IFERROR(MATCH(43,'كشف الحساب'!$N$4:$N$203,0),0)=0,"",INDEX('كشف الحساب'!$G$4:$G$203,IFERROR(MATCH(43,'كشف الحساب'!$N$4:$N$203,0),0))),"")</f>
        <v>المحفظة</v>
      </c>
      <c r="H47" s="64" t="str">
        <f>IFERROR(IF(IFERROR(MATCH(43,'كشف الحساب'!$N$4:$N$203,0),0)=0,"",INDEX('كشف الحساب'!$H$4:$H$203,IFERROR(MATCH(43,'كشف الحساب'!$N$4:$N$203,0),0))),"")</f>
        <v>تم الدفع</v>
      </c>
      <c r="I47" s="64">
        <f>IFERROR(IF(IFERROR(MATCH(43,'كشف الحساب'!$N$4:$N$203,0),0)=0,"",INDEX('كشف الحساب'!$I$4:$I$203,IFERROR(MATCH(43,'كشف الحساب'!$N$4:$N$203,0),0))),"")</f>
        <v>0</v>
      </c>
      <c r="J47" s="68">
        <f>IFERROR(IF(IFERROR(MATCH(43,'كشف الحساب'!$N$4:$N$203,0),0)=0,"",INDEX('كشف الحساب'!$J$4:$J$203,IFERROR(MATCH(43,'كشف الحساب'!$N$4:$N$203,0),0))),"")</f>
        <v>35.44500000000005</v>
      </c>
      <c r="K47" s="64">
        <f>IFERROR(IF(IFERROR(MATCH(43,'كشف الحساب'!$N$4:$N$203,0),0)=0,"",INDEX('كشف الحساب'!$K$4:$K$203,IFERROR(MATCH(43,'كشف الحساب'!$N$4:$N$203,0),0))),"")</f>
        <v>0</v>
      </c>
    </row>
    <row r="48" spans="1:11" ht="15" customHeight="1" x14ac:dyDescent="0.25">
      <c r="A48" s="69">
        <f>IFERROR(IF(IFERROR(MATCH(44,'كشف الحساب'!$N$4:$N$203,0),0)=0,"",INDEX('كشف الحساب'!$A$4:$A$203,IFERROR(MATCH(44,'كشف الحساب'!$N$4:$N$203,0),0))),"")</f>
        <v>46265</v>
      </c>
      <c r="B48" s="70" t="str">
        <f>IFERROR(IF(IFERROR(MATCH(44,'كشف الحساب'!$N$4:$N$203,0),0)=0,"",INDEX('كشف الحساب'!$B$4:$B$203,IFERROR(MATCH(44,'كشف الحساب'!$N$4:$N$203,0),0))),"")</f>
        <v>Inv-132</v>
      </c>
      <c r="C48" s="71" t="str">
        <f>IFERROR(IF(IFERROR(MATCH(44,'كشف الحساب'!$N$4:$N$203,0),0)=0,"",INDEX('كشف الحساب'!$C$4:$C$203,IFERROR(MATCH(44,'كشف الحساب'!$N$4:$N$203,0),0))),"")</f>
        <v>ودليه عدد 2 الحبه 1</v>
      </c>
      <c r="D48" s="72">
        <f>IFERROR(IF(IFERROR(MATCH(44,'كشف الحساب'!$N$4:$N$203,0),0)=0,"",INDEX('كشف الحساب'!$D$4:$D$203,IFERROR(MATCH(44,'كشف الحساب'!$N$4:$N$203,0),0))),"")</f>
        <v>0</v>
      </c>
      <c r="E48" s="73">
        <f>IFERROR(IF(IFERROR(MATCH(44,'كشف الحساب'!$N$4:$N$203,0),0)=0,"",INDEX('كشف الحساب'!$E$4:$E$203,IFERROR(MATCH(44,'كشف الحساب'!$N$4:$N$203,0),0))),"")</f>
        <v>2</v>
      </c>
      <c r="F48" s="70" t="str">
        <f>IFERROR(IF(IFERROR(MATCH(44,'كشف الحساب'!$N$4:$N$203,0),0)=0,"",INDEX('كشف الحساب'!$F$4:$F$203,IFERROR(MATCH(44,'كشف الحساب'!$N$4:$N$203,0),0))),"")</f>
        <v>أون لاين</v>
      </c>
      <c r="G48" s="70">
        <f>IFERROR(IF(IFERROR(MATCH(44,'كشف الحساب'!$N$4:$N$203,0),0)=0,"",INDEX('كشف الحساب'!$G$4:$G$203,IFERROR(MATCH(44,'كشف الحساب'!$N$4:$N$203,0),0))),"")</f>
        <v>0</v>
      </c>
      <c r="H48" s="70" t="str">
        <f>IFERROR(IF(IFERROR(MATCH(44,'كشف الحساب'!$N$4:$N$203,0),0)=0,"",INDEX('كشف الحساب'!$H$4:$H$203,IFERROR(MATCH(44,'كشف الحساب'!$N$4:$N$203,0),0))),"")</f>
        <v>تم الدفع</v>
      </c>
      <c r="I48" s="70">
        <f>IFERROR(IF(IFERROR(MATCH(44,'كشف الحساب'!$N$4:$N$203,0),0)=0,"",INDEX('كشف الحساب'!$I$4:$I$203,IFERROR(MATCH(44,'كشف الحساب'!$N$4:$N$203,0),0))),"")</f>
        <v>0</v>
      </c>
      <c r="J48" s="74">
        <f>IFERROR(IF(IFERROR(MATCH(44,'كشف الحساب'!$N$4:$N$203,0),0)=0,"",INDEX('كشف الحساب'!$J$4:$J$203,IFERROR(MATCH(44,'كشف الحساب'!$N$4:$N$203,0),0))),"")</f>
        <v>37.44500000000005</v>
      </c>
      <c r="K48" s="70">
        <f>IFERROR(IF(IFERROR(MATCH(44,'كشف الحساب'!$N$4:$N$203,0),0)=0,"",INDEX('كشف الحساب'!$K$4:$K$203,IFERROR(MATCH(44,'كشف الحساب'!$N$4:$N$203,0),0))),"")</f>
        <v>0</v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70" t="s">
        <v>265</v>
      </c>
      <c r="B155" s="159"/>
      <c r="C155" s="159"/>
      <c r="D155" s="75">
        <f>SUM(D5:D154)</f>
        <v>1364.45</v>
      </c>
      <c r="E155" s="75">
        <f>SUM(E5:E154)</f>
        <v>602.5</v>
      </c>
      <c r="F155" s="171">
        <f>COUNTIF(H5:H154,"معلق")</f>
        <v>0</v>
      </c>
      <c r="G155" s="159"/>
      <c r="H155" s="159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4" t="s">
        <v>268</v>
      </c>
      <c r="B1" s="159"/>
      <c r="C1" s="159"/>
      <c r="D1" s="159"/>
      <c r="E1" s="159"/>
      <c r="F1" s="159"/>
      <c r="G1" s="159"/>
    </row>
    <row r="2" spans="1:7" ht="24" customHeight="1" x14ac:dyDescent="0.25">
      <c r="A2" s="169" t="s">
        <v>269</v>
      </c>
      <c r="B2" s="159"/>
      <c r="C2" s="56" t="s">
        <v>342</v>
      </c>
      <c r="D2" s="169" t="s">
        <v>270</v>
      </c>
      <c r="E2" s="159"/>
      <c r="F2" s="56">
        <v>2026</v>
      </c>
    </row>
    <row r="3" spans="1:7" ht="21.75" customHeight="1" x14ac:dyDescent="0.25">
      <c r="A3" s="173" t="s">
        <v>271</v>
      </c>
      <c r="B3" s="159"/>
      <c r="C3" s="57">
        <f>المحفظة!$D$2</f>
        <v>0</v>
      </c>
      <c r="D3" s="173" t="s">
        <v>272</v>
      </c>
      <c r="E3" s="159"/>
      <c r="F3" s="78">
        <f>المحفظة!$C$3</f>
        <v>0</v>
      </c>
    </row>
    <row r="4" spans="1:7" ht="21.75" customHeight="1" x14ac:dyDescent="0.25">
      <c r="A4" s="174" t="s">
        <v>273</v>
      </c>
      <c r="B4" s="159"/>
      <c r="C4" s="159"/>
      <c r="D4" s="159"/>
      <c r="E4" s="159"/>
      <c r="F4" s="159"/>
      <c r="G4" s="159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4" t="s">
        <v>266</v>
      </c>
      <c r="B55" s="159"/>
      <c r="C55" s="159"/>
      <c r="D55" s="159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6" t="s">
        <v>275</v>
      </c>
      <c r="B56" s="159"/>
      <c r="C56" s="159"/>
      <c r="D56" s="159"/>
      <c r="E56" s="159"/>
      <c r="F56" s="159"/>
      <c r="G56" s="159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6" t="s">
        <v>276</v>
      </c>
      <c r="B107" s="159"/>
      <c r="C107" s="159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0" t="s">
        <v>277</v>
      </c>
      <c r="B108" s="159"/>
      <c r="C108" s="159"/>
      <c r="D108" s="75">
        <f>E55-D107</f>
        <v>0</v>
      </c>
      <c r="E108" s="175">
        <f>SUM(E5:E107)</f>
        <v>0</v>
      </c>
      <c r="F108" s="159"/>
      <c r="G108" s="160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2026-09-05T22:58:14Z</dcterms:modified>
  <dc:language>en-US</dc:language>
</cp:coreProperties>
</file>