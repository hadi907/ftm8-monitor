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1E867B1-A9F1-49D7-8E84-F813923C115C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J117" i="2"/>
  <c r="Q116" i="2"/>
  <c r="P116" i="2"/>
  <c r="O116" i="2"/>
  <c r="N116" i="2"/>
  <c r="M116" i="2"/>
  <c r="L116" i="2"/>
  <c r="J116" i="2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J114" i="2"/>
  <c r="Q113" i="2"/>
  <c r="P113" i="2"/>
  <c r="O113" i="2"/>
  <c r="N113" i="2"/>
  <c r="M113" i="2"/>
  <c r="L113" i="2"/>
  <c r="J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J108" i="2"/>
  <c r="J109" i="2" s="1"/>
  <c r="J110" i="2" s="1"/>
  <c r="J111" i="2" s="1"/>
  <c r="J112" i="2" s="1"/>
  <c r="Q107" i="2"/>
  <c r="P107" i="2"/>
  <c r="O107" i="2"/>
  <c r="N107" i="2"/>
  <c r="M107" i="2"/>
  <c r="L107" i="2"/>
  <c r="J107" i="2"/>
  <c r="Q106" i="2"/>
  <c r="P106" i="2"/>
  <c r="O106" i="2"/>
  <c r="N106" i="2"/>
  <c r="M106" i="2"/>
  <c r="L106" i="2"/>
  <c r="J106" i="2"/>
  <c r="Q105" i="2"/>
  <c r="A225" i="1" s="1"/>
  <c r="P105" i="2"/>
  <c r="O105" i="2"/>
  <c r="N105" i="2"/>
  <c r="M105" i="2"/>
  <c r="L105" i="2"/>
  <c r="J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C309" i="1" s="1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C103" i="1" l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F101" i="1" s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F105" i="1" s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F108" i="1" s="1"/>
  <c r="B107" i="1"/>
  <c r="C106" i="1"/>
  <c r="D105" i="1"/>
  <c r="E104" i="1"/>
  <c r="A104" i="1"/>
  <c r="F104" i="1" s="1"/>
  <c r="B103" i="1"/>
  <c r="C102" i="1"/>
  <c r="D101" i="1"/>
  <c r="E100" i="1"/>
  <c r="A100" i="1"/>
  <c r="F100" i="1" s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F111" i="1" s="1"/>
  <c r="B110" i="1"/>
  <c r="C109" i="1"/>
  <c r="D108" i="1"/>
  <c r="E107" i="1"/>
  <c r="A107" i="1"/>
  <c r="F107" i="1" s="1"/>
  <c r="B106" i="1"/>
  <c r="C105" i="1"/>
  <c r="D104" i="1"/>
  <c r="E103" i="1"/>
  <c r="A103" i="1"/>
  <c r="F103" i="1" s="1"/>
  <c r="B102" i="1"/>
  <c r="C101" i="1"/>
  <c r="D100" i="1"/>
  <c r="E99" i="1"/>
  <c r="A99" i="1"/>
  <c r="F99" i="1" s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F110" i="1" s="1"/>
  <c r="B109" i="1"/>
  <c r="C108" i="1"/>
  <c r="D107" i="1"/>
  <c r="E106" i="1"/>
  <c r="A106" i="1"/>
  <c r="F106" i="1" s="1"/>
  <c r="B105" i="1"/>
  <c r="C104" i="1"/>
  <c r="D103" i="1"/>
  <c r="E102" i="1"/>
  <c r="A102" i="1"/>
  <c r="F102" i="1" s="1"/>
  <c r="B101" i="1"/>
  <c r="C100" i="1"/>
  <c r="D99" i="1"/>
  <c r="E98" i="1"/>
  <c r="A98" i="1"/>
  <c r="F98" i="1" s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F109" i="1" s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<sst xmlns="http://schemas.openxmlformats.org/spreadsheetml/2006/main" count="656" uniqueCount="294">
  <si>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</si>
  <si>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</si>
  <si>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</si>
  <si>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</si>
  <si>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</si>
  <si>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</si>
  <si>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</si>
  <si>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</si>
  <si>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</si>
  <si>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</si>
  <si>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</si>
  <si>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</si>
  <si>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</si>
  <si>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</si>
  <si>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</si>
  <si>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</si>
  <si>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</si>
  <si>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</si>
  <si>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</si>
  <si>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</si>
  <si>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</si>
  <si>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</si>
  <si>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</si>
  <si>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</si>
  <si>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</si>
  <si>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</si>
  <si>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</si>
  <si>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</si>
  <si>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</si>
  <si>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</si>
  <si>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</si>
  <si>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</si>
  <si>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</si>
  <si>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</si>
  <si>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</si>
  <si>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</si>
  <si>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</si>
  <si>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</si>
  <si>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</si>
  <si>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</si>
  <si>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</si>
  <si>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</si>
  <si>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</si>
  <si>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</si>
  <si>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</si>
  <si>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</si>
  <si>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</si>
  <si>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</si>
  <si>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</si>
  <si>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</si>
  <si>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</si>
  <si>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</si>
  <si>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</si>
  <si>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</si>
  <si>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</si>
  <si>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</si>
  <si>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</si>
  <si>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</si>
  <si>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</si>
  <si>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</si>
  <si>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</si>
  <si>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</si>
  <si>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</si>
  <si>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</si>
  <si>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</si>
  <si>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</si>
  <si>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</si>
  <si>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</si>
  <si>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</si>
  <si>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</si>
  <si>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</si>
  <si>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</si>
  <si>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</si>
  <si>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</si>
  <si>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</si>
  <si>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</si>
  <si>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</si>
  <si>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</si>
  <si>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</si>
  <si>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</si>
  <si>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</si>
  <si>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</si>
  <si>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</si>
  <si>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</si>
  <si>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</si>
  <si>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</si>
  <si>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</si>
  <si>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</si>
  <si>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</si>
  <si>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</si>
  <si>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</si>
  <si>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</si>
  <si>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</si>
  <si>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</si>
  <si>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</si>
  <si>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</si>
  <si>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</si>
  <si>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</si>
  <si>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</si>
  <si>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</si>
  <si>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</si>
  <si>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</si>
  <si>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</si>
  <si>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</si>
  <si>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</si>
  <si>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</si>
  <si>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</si>
  <si>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</si>
  <si>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</si>
  <si>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</si>
  <si>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</si>
  <si>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</si>
  <si>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</si>
  <si>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</si>
  <si>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</si>
  <si>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</si>
  <si>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</si>
  <si>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</si>
  <si>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</si>
  <si>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</si>
  <si>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</si>
  <si>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</si>
  <si>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</si>
  <si>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</si>
  <si>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</si>
  <si>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</si>
  <si>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</si>
  <si>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</si>
  <si>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</si>
  <si>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</si>
  <si>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</si>
  <si>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</si>
  <si>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</si>
  <si>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</si>
  <si>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</si>
  <si>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</si>
  <si>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</si>
  <si>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</si>
  <si>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</si>
  <si>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</si>
  <si>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</si>
  <si>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</si>
  <si>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</si>
  <si>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</si>
  <si>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</si>
  <si>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</si>
  <si>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</si>
  <si>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</si>
  <si>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</si>
  <si>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</si>
  <si>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</si>
  <si>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</si>
  <si>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</si>
  <si>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</si>
  <si>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</si>
  <si>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</si>
  <si>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</si>
  <si>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</si>
  <si>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</si>
  <si>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</si>
  <si>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</si>
  <si>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</si>
  <si>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</si>
  <si>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</si>
  <si>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</si>
  <si>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</si>
  <si>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</si>
  <si>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</si>
  <si>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</si>
  <si>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</si>
  <si>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</si>
  <si>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</si>
  <si>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</si>
  <si>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</si>
  <si>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</si>
  <si>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</si>
  <si>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</si>
  <si>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</si>
  <si>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</si>
  <si>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</si>
  <si>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</si>
  <si>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</si>
  <si>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</si>
  <si>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</si>
  <si>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</si>
  <si>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</si>
  <si>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</si>
  <si>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</si>
  <si>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</si>
  <si>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</si>
  <si>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</si>
  <si>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</si>
  <si>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</si>
  <si>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</si>
  <si>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</si>
  <si>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</si>
  <si>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</si>
  <si>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</si>
  <si>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</si>
  <si>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</si>
  <si>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</si>
  <si>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</si>
  <si>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</si>
  <si>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</si>
  <si>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</si>
  <si>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</si>
  <si>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</si>
  <si>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</si>
  <si>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</si>
  <si>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</si>
  <si>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</si>
  <si>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</si>
  <si>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</si>
  <si>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</si>
  <si>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</si>
  <si>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</si>
  <si>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</si>
  <si>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</si>
  <si>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</si>
  <si>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</si>
  <si>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</si>
  <si>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</si>
  <si>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</si>
  <si>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</si>
  <si>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</si>
  <si>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</si>
  <si>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</si>
  <si>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</si>
  <si>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</si>
  <si>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</si>
  <si>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</si>
  <si>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</si>
  <si>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</si>
  <si>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</si>
  <si>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</si>
  <si>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</si>
  <si>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</si>
  <si>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</si>
  <si>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</si>
  <si>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</si>
  <si>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</si>
  <si>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</si>
  <si>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</si>
  <si>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</si>
  <si>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</si>
  <si>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</si>
  <si>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</si>
  <si>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</si>
  <si>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</si>
  <si>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</si>
  <si>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</si>
  <si>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</si>
  <si>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</si>
  <si>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</si>
  <si>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</si>
  <si>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</si>
  <si>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</si>
  <si>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</si>
  <si>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</si>
  <si>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</si>
  <si>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</si>
  <si>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</si>
  <si>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</si>
  <si>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</si>
  <si>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</si>
  <si>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</si>
  <si>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</si>
  <si>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</si>
  <si>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</si>
  <si>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</si>
  <si>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</si>
  <si>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</si>
  <si>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</si>
  <si>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</si>
  <si>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</si>
  <si>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</si>
  <si>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</si>
  <si>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</si>
  <si>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</si>
  <si>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</si>
  <si>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عطريات عدد8 الحبه 0.800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</si>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</sst>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1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77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49" t="s">
        <v>0</v>
      </c>
      <c r="B1" s="146"/>
      <c r="C1" s="146"/>
      <c r="D1" s="146"/>
      <c r="E1" s="146"/>
      <c r="F1" s="147"/>
    </row>
    <row r="2" spans="1:6" ht="30" customHeight="1" x14ac:dyDescent="0.25">
      <c r="A2" s="148" t="s">
        <v>1</v>
      </c>
      <c r="B2" s="146"/>
      <c r="C2" s="146"/>
      <c r="D2" s="146"/>
      <c r="E2" s="147"/>
      <c r="F2" s="119">
        <f>F206</f>
        <v>77.550000000000011</v>
      </c>
    </row>
    <row r="3" spans="1:6" ht="6" customHeight="1" x14ac:dyDescent="0.25">
      <c r="A3" s="151"/>
      <c r="B3" s="146"/>
      <c r="C3" s="146"/>
      <c r="D3" s="146"/>
      <c r="E3" s="146"/>
      <c r="F3" s="147"/>
    </row>
    <row r="4" spans="1:6" ht="27.95" customHeight="1" x14ac:dyDescent="0.25">
      <c r="A4" s="150" t="s">
        <v>2</v>
      </c>
      <c r="B4" s="146"/>
      <c r="C4" s="146"/>
      <c r="D4" s="146"/>
      <c r="E4" s="146"/>
      <c r="F4" s="147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0.800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 t="str">
        <f>IFERROR(INDEX('كشف الحساب'!$A$4:$A$204,MATCH(93,'كشف الحساب'!$P$4:$P$204,0)),"")</f>
        <v/>
      </c>
      <c r="B98" s="122" t="str">
        <f>IFERROR(INDEX('كشف الحساب'!$B$4:$B$204,MATCH(93,'كشف الحساب'!$P$4:$P$204,0)),"")</f>
        <v/>
      </c>
      <c r="C98" s="121" t="str">
        <f>IFERROR(INDEX('كشف الحساب'!$C$4:$C$204,MATCH(93,'كشف الحساب'!$P$4:$P$204,0)),"")</f>
        <v/>
      </c>
      <c r="D98" s="123" t="str">
        <f>IFERROR(INDEX('كشف الحساب'!$E$4:$E$204,MATCH(93,'كشف الحساب'!$P$4:$P$204,0)),"")</f>
        <v/>
      </c>
      <c r="E98" s="124" t="str">
        <f>IFERROR(INDEX('كشف الحساب'!$D$4:$D$204,MATCH(93,'كشف الحساب'!$P$4:$P$204,0)),"")</f>
        <v/>
      </c>
      <c r="F98" s="125" t="str">
        <f t="shared" si="2"/>
        <v/>
      </c>
    </row>
    <row r="99" spans="1:6" ht="18" customHeight="1" x14ac:dyDescent="0.25">
      <c r="A99" s="142" t="str">
        <f>IFERROR(INDEX('كشف الحساب'!$A$4:$A$204,MATCH(94,'كشف الحساب'!$P$4:$P$204,0)),"")</f>
        <v/>
      </c>
      <c r="B99" s="122" t="str">
        <f>IFERROR(INDEX('كشف الحساب'!$B$4:$B$204,MATCH(94,'كشف الحساب'!$P$4:$P$204,0)),"")</f>
        <v/>
      </c>
      <c r="C99" s="121" t="str">
        <f>IFERROR(INDEX('كشف الحساب'!$C$4:$C$204,MATCH(94,'كشف الحساب'!$P$4:$P$204,0)),"")</f>
        <v/>
      </c>
      <c r="D99" s="123" t="str">
        <f>IFERROR(INDEX('كشف الحساب'!$E$4:$E$204,MATCH(94,'كشف الحساب'!$P$4:$P$204,0)),"")</f>
        <v/>
      </c>
      <c r="E99" s="124" t="str">
        <f>IFERROR(INDEX('كشف الحساب'!$D$4:$D$204,MATCH(94,'كشف الحساب'!$P$4:$P$204,0)),"")</f>
        <v/>
      </c>
      <c r="F99" s="125" t="str">
        <f t="shared" si="2"/>
        <v/>
      </c>
    </row>
    <row r="100" spans="1:6" ht="18" customHeight="1" x14ac:dyDescent="0.25">
      <c r="A100" s="142" t="str">
        <f>IFERROR(INDEX('كشف الحساب'!$A$4:$A$204,MATCH(95,'كشف الحساب'!$P$4:$P$204,0)),"")</f>
        <v/>
      </c>
      <c r="B100" s="122" t="str">
        <f>IFERROR(INDEX('كشف الحساب'!$B$4:$B$204,MATCH(95,'كشف الحساب'!$P$4:$P$204,0)),"")</f>
        <v/>
      </c>
      <c r="C100" s="121" t="str">
        <f>IFERROR(INDEX('كشف الحساب'!$C$4:$C$204,MATCH(95,'كشف الحساب'!$P$4:$P$204,0)),"")</f>
        <v/>
      </c>
      <c r="D100" s="123" t="str">
        <f>IFERROR(INDEX('كشف الحساب'!$E$4:$E$204,MATCH(95,'كشف الحساب'!$P$4:$P$204,0)),"")</f>
        <v/>
      </c>
      <c r="E100" s="124" t="str">
        <f>IFERROR(INDEX('كشف الحساب'!$D$4:$D$204,MATCH(95,'كشف الحساب'!$P$4:$P$204,0)),"")</f>
        <v/>
      </c>
      <c r="F100" s="125" t="str">
        <f t="shared" si="2"/>
        <v/>
      </c>
    </row>
    <row r="101" spans="1:6" ht="18" customHeight="1" x14ac:dyDescent="0.25">
      <c r="A101" s="142" t="str">
        <f>IFERROR(INDEX('كشف الحساب'!$A$4:$A$204,MATCH(96,'كشف الحساب'!$P$4:$P$204,0)),"")</f>
        <v/>
      </c>
      <c r="B101" s="122" t="str">
        <f>IFERROR(INDEX('كشف الحساب'!$B$4:$B$204,MATCH(96,'كشف الحساب'!$P$4:$P$204,0)),"")</f>
        <v/>
      </c>
      <c r="C101" s="121" t="str">
        <f>IFERROR(INDEX('كشف الحساب'!$C$4:$C$204,MATCH(96,'كشف الحساب'!$P$4:$P$204,0)),"")</f>
        <v/>
      </c>
      <c r="D101" s="123" t="str">
        <f>IFERROR(INDEX('كشف الحساب'!$E$4:$E$204,MATCH(96,'كشف الحساب'!$P$4:$P$204,0)),"")</f>
        <v/>
      </c>
      <c r="E101" s="124" t="str">
        <f>IFERROR(INDEX('كشف الحساب'!$D$4:$D$204,MATCH(96,'كشف الحساب'!$P$4:$P$204,0)),"")</f>
        <v/>
      </c>
      <c r="F101" s="125" t="str">
        <f t="shared" si="2"/>
        <v/>
      </c>
    </row>
    <row r="102" spans="1:6" ht="18" customHeight="1" x14ac:dyDescent="0.25">
      <c r="A102" s="142" t="str">
        <f>IFERROR(INDEX('كشف الحساب'!$A$4:$A$204,MATCH(97,'كشف الحساب'!$P$4:$P$204,0)),"")</f>
        <v/>
      </c>
      <c r="B102" s="122" t="str">
        <f>IFERROR(INDEX('كشف الحساب'!$B$4:$B$204,MATCH(97,'كشف الحساب'!$P$4:$P$204,0)),"")</f>
        <v/>
      </c>
      <c r="C102" s="121" t="str">
        <f>IFERROR(INDEX('كشف الحساب'!$C$4:$C$204,MATCH(97,'كشف الحساب'!$P$4:$P$204,0)),"")</f>
        <v/>
      </c>
      <c r="D102" s="123" t="str">
        <f>IFERROR(INDEX('كشف الحساب'!$E$4:$E$204,MATCH(97,'كشف الحساب'!$P$4:$P$204,0)),"")</f>
        <v/>
      </c>
      <c r="E102" s="124" t="str">
        <f>IFERROR(INDEX('كشف الحساب'!$D$4:$D$204,MATCH(97,'كشف الحساب'!$P$4:$P$204,0)),"")</f>
        <v/>
      </c>
      <c r="F102" s="125" t="str">
        <f t="shared" si="2"/>
        <v/>
      </c>
    </row>
    <row r="103" spans="1:6" ht="18" customHeight="1" x14ac:dyDescent="0.25">
      <c r="A103" s="142" t="str">
        <f>IFERROR(INDEX('كشف الحساب'!$A$4:$A$204,MATCH(98,'كشف الحساب'!$P$4:$P$204,0)),"")</f>
        <v/>
      </c>
      <c r="B103" s="122" t="str">
        <f>IFERROR(INDEX('كشف الحساب'!$B$4:$B$204,MATCH(98,'كشف الحساب'!$P$4:$P$204,0)),"")</f>
        <v/>
      </c>
      <c r="C103" s="121" t="str">
        <f>IFERROR(INDEX('كشف الحساب'!$C$4:$C$204,MATCH(98,'كشف الحساب'!$P$4:$P$204,0)),"")</f>
        <v/>
      </c>
      <c r="D103" s="123" t="str">
        <f>IFERROR(INDEX('كشف الحساب'!$E$4:$E$204,MATCH(98,'كشف الحساب'!$P$4:$P$204,0)),"")</f>
        <v/>
      </c>
      <c r="E103" s="124" t="str">
        <f>IFERROR(INDEX('كشف الحساب'!$D$4:$D$204,MATCH(98,'كشف الحساب'!$P$4:$P$204,0)),"")</f>
        <v/>
      </c>
      <c r="F103" s="125" t="str">
        <f t="shared" ref="F103:F134" si="3">IF($A103="","",IF($F102="",0,$F102)+IF($D103="",0,$D103)-IF($E103="",0,$E103))</f>
        <v/>
      </c>
    </row>
    <row r="104" spans="1:6" ht="18" customHeight="1" x14ac:dyDescent="0.25">
      <c r="A104" s="142" t="str">
        <f>IFERROR(INDEX('كشف الحساب'!$A$4:$A$204,MATCH(99,'كشف الحساب'!$P$4:$P$204,0)),"")</f>
        <v/>
      </c>
      <c r="B104" s="122" t="str">
        <f>IFERROR(INDEX('كشف الحساب'!$B$4:$B$204,MATCH(99,'كشف الحساب'!$P$4:$P$204,0)),"")</f>
        <v/>
      </c>
      <c r="C104" s="121" t="str">
        <f>IFERROR(INDEX('كشف الحساب'!$C$4:$C$204,MATCH(99,'كشف الحساب'!$P$4:$P$204,0)),"")</f>
        <v/>
      </c>
      <c r="D104" s="123" t="str">
        <f>IFERROR(INDEX('كشف الحساب'!$E$4:$E$204,MATCH(99,'كشف الحساب'!$P$4:$P$204,0)),"")</f>
        <v/>
      </c>
      <c r="E104" s="124" t="str">
        <f>IFERROR(INDEX('كشف الحساب'!$D$4:$D$204,MATCH(99,'كشف الحساب'!$P$4:$P$204,0)),"")</f>
        <v/>
      </c>
      <c r="F104" s="125" t="str">
        <f t="shared" si="3"/>
        <v/>
      </c>
    </row>
    <row r="105" spans="1:6" ht="18" customHeight="1" x14ac:dyDescent="0.25">
      <c r="A105" s="142" t="str">
        <f>IFERROR(INDEX('كشف الحساب'!$A$4:$A$204,MATCH(100,'كشف الحساب'!$P$4:$P$204,0)),"")</f>
        <v/>
      </c>
      <c r="B105" s="122" t="str">
        <f>IFERROR(INDEX('كشف الحساب'!$B$4:$B$204,MATCH(100,'كشف الحساب'!$P$4:$P$204,0)),"")</f>
        <v/>
      </c>
      <c r="C105" s="121" t="str">
        <f>IFERROR(INDEX('كشف الحساب'!$C$4:$C$204,MATCH(100,'كشف الحساب'!$P$4:$P$204,0)),"")</f>
        <v/>
      </c>
      <c r="D105" s="123" t="str">
        <f>IFERROR(INDEX('كشف الحساب'!$E$4:$E$204,MATCH(100,'كشف الحساب'!$P$4:$P$204,0)),"")</f>
        <v/>
      </c>
      <c r="E105" s="124" t="str">
        <f>IFERROR(INDEX('كشف الحساب'!$D$4:$D$204,MATCH(100,'كشف الحساب'!$P$4:$P$204,0)),"")</f>
        <v/>
      </c>
      <c r="F105" s="125" t="str">
        <f t="shared" si="3"/>
        <v/>
      </c>
    </row>
    <row r="106" spans="1:6" ht="18" customHeight="1" x14ac:dyDescent="0.25">
      <c r="A106" s="142" t="str">
        <f>IFERROR(INDEX('كشف الحساب'!$A$4:$A$204,MATCH(101,'كشف الحساب'!$P$4:$P$204,0)),"")</f>
        <v/>
      </c>
      <c r="B106" s="122" t="str">
        <f>IFERROR(INDEX('كشف الحساب'!$B$4:$B$204,MATCH(101,'كشف الحساب'!$P$4:$P$204,0)),"")</f>
        <v/>
      </c>
      <c r="C106" s="121" t="str">
        <f>IFERROR(INDEX('كشف الحساب'!$C$4:$C$204,MATCH(101,'كشف الحساب'!$P$4:$P$204,0)),"")</f>
        <v/>
      </c>
      <c r="D106" s="123" t="str">
        <f>IFERROR(INDEX('كشف الحساب'!$E$4:$E$204,MATCH(101,'كشف الحساب'!$P$4:$P$204,0)),"")</f>
        <v/>
      </c>
      <c r="E106" s="124" t="str">
        <f>IFERROR(INDEX('كشف الحساب'!$D$4:$D$204,MATCH(101,'كشف الحساب'!$P$4:$P$204,0)),"")</f>
        <v/>
      </c>
      <c r="F106" s="125" t="str">
        <f t="shared" si="3"/>
        <v/>
      </c>
    </row>
    <row r="107" spans="1:6" ht="18" customHeight="1" x14ac:dyDescent="0.25">
      <c r="A107" s="142" t="str">
        <f>IFERROR(INDEX('كشف الحساب'!$A$4:$A$204,MATCH(102,'كشف الحساب'!$P$4:$P$204,0)),"")</f>
        <v/>
      </c>
      <c r="B107" s="122" t="str">
        <f>IFERROR(INDEX('كشف الحساب'!$B$4:$B$204,MATCH(102,'كشف الحساب'!$P$4:$P$204,0)),"")</f>
        <v/>
      </c>
      <c r="C107" s="121" t="str">
        <f>IFERROR(INDEX('كشف الحساب'!$C$4:$C$204,MATCH(102,'كشف الحساب'!$P$4:$P$204,0)),"")</f>
        <v/>
      </c>
      <c r="D107" s="123" t="str">
        <f>IFERROR(INDEX('كشف الحساب'!$E$4:$E$204,MATCH(102,'كشف الحساب'!$P$4:$P$204,0)),"")</f>
        <v/>
      </c>
      <c r="E107" s="124" t="str">
        <f>IFERROR(INDEX('كشف الحساب'!$D$4:$D$204,MATCH(102,'كشف الحساب'!$P$4:$P$204,0)),"")</f>
        <v/>
      </c>
      <c r="F107" s="125" t="str">
        <f t="shared" si="3"/>
        <v/>
      </c>
    </row>
    <row r="108" spans="1:6" ht="18" customHeight="1" x14ac:dyDescent="0.25">
      <c r="A108" s="142" t="str">
        <f>IFERROR(INDEX('كشف الحساب'!$A$4:$A$204,MATCH(103,'كشف الحساب'!$P$4:$P$204,0)),"")</f>
        <v/>
      </c>
      <c r="B108" s="122" t="str">
        <f>IFERROR(INDEX('كشف الحساب'!$B$4:$B$204,MATCH(103,'كشف الحساب'!$P$4:$P$204,0)),"")</f>
        <v/>
      </c>
      <c r="C108" s="121" t="str">
        <f>IFERROR(INDEX('كشف الحساب'!$C$4:$C$204,MATCH(103,'كشف الحساب'!$P$4:$P$204,0)),"")</f>
        <v/>
      </c>
      <c r="D108" s="123" t="str">
        <f>IFERROR(INDEX('كشف الحساب'!$E$4:$E$204,MATCH(103,'كشف الحساب'!$P$4:$P$204,0)),"")</f>
        <v/>
      </c>
      <c r="E108" s="124" t="str">
        <f>IFERROR(INDEX('كشف الحساب'!$D$4:$D$204,MATCH(103,'كشف الحساب'!$P$4:$P$204,0)),"")</f>
        <v/>
      </c>
      <c r="F108" s="125" t="str">
        <f t="shared" si="3"/>
        <v/>
      </c>
    </row>
    <row r="109" spans="1:6" ht="18" customHeight="1" x14ac:dyDescent="0.25">
      <c r="A109" s="142" t="str">
        <f>IFERROR(INDEX('كشف الحساب'!$A$4:$A$204,MATCH(104,'كشف الحساب'!$P$4:$P$204,0)),"")</f>
        <v/>
      </c>
      <c r="B109" s="122" t="str">
        <f>IFERROR(INDEX('كشف الحساب'!$B$4:$B$204,MATCH(104,'كشف الحساب'!$P$4:$P$204,0)),"")</f>
        <v/>
      </c>
      <c r="C109" s="121" t="str">
        <f>IFERROR(INDEX('كشف الحساب'!$C$4:$C$204,MATCH(104,'كشف الحساب'!$P$4:$P$204,0)),"")</f>
        <v/>
      </c>
      <c r="D109" s="123" t="str">
        <f>IFERROR(INDEX('كشف الحساب'!$E$4:$E$204,MATCH(104,'كشف الحساب'!$P$4:$P$204,0)),"")</f>
        <v/>
      </c>
      <c r="E109" s="124" t="str">
        <f>IFERROR(INDEX('كشف الحساب'!$D$4:$D$204,MATCH(104,'كشف الحساب'!$P$4:$P$204,0)),"")</f>
        <v/>
      </c>
      <c r="F109" s="125" t="str">
        <f t="shared" si="3"/>
        <v/>
      </c>
    </row>
    <row r="110" spans="1:6" ht="18" customHeight="1" x14ac:dyDescent="0.25">
      <c r="A110" s="142" t="str">
        <f>IFERROR(INDEX('كشف الحساب'!$A$4:$A$204,MATCH(105,'كشف الحساب'!$P$4:$P$204,0)),"")</f>
        <v/>
      </c>
      <c r="B110" s="122" t="str">
        <f>IFERROR(INDEX('كشف الحساب'!$B$4:$B$204,MATCH(105,'كشف الحساب'!$P$4:$P$204,0)),"")</f>
        <v/>
      </c>
      <c r="C110" s="121" t="str">
        <f>IFERROR(INDEX('كشف الحساب'!$C$4:$C$204,MATCH(105,'كشف الحساب'!$P$4:$P$204,0)),"")</f>
        <v/>
      </c>
      <c r="D110" s="123" t="str">
        <f>IFERROR(INDEX('كشف الحساب'!$E$4:$E$204,MATCH(105,'كشف الحساب'!$P$4:$P$204,0)),"")</f>
        <v/>
      </c>
      <c r="E110" s="124" t="str">
        <f>IFERROR(INDEX('كشف الحساب'!$D$4:$D$204,MATCH(105,'كشف الحساب'!$P$4:$P$204,0)),"")</f>
        <v/>
      </c>
      <c r="F110" s="125" t="str">
        <f t="shared" si="3"/>
        <v/>
      </c>
    </row>
    <row r="111" spans="1:6" ht="18" customHeight="1" x14ac:dyDescent="0.25">
      <c r="A111" s="142" t="str">
        <f>IFERROR(INDEX('كشف الحساب'!$A$4:$A$204,MATCH(106,'كشف الحساب'!$P$4:$P$204,0)),"")</f>
        <v/>
      </c>
      <c r="B111" s="122" t="str">
        <f>IFERROR(INDEX('كشف الحساب'!$B$4:$B$204,MATCH(106,'كشف الحساب'!$P$4:$P$204,0)),"")</f>
        <v/>
      </c>
      <c r="C111" s="121" t="str">
        <f>IFERROR(INDEX('كشف الحساب'!$C$4:$C$204,MATCH(106,'كشف الحساب'!$P$4:$P$204,0)),"")</f>
        <v/>
      </c>
      <c r="D111" s="123" t="str">
        <f>IFERROR(INDEX('كشف الحساب'!$E$4:$E$204,MATCH(106,'كشف الحساب'!$P$4:$P$204,0)),"")</f>
        <v/>
      </c>
      <c r="E111" s="124" t="str">
        <f>IFERROR(INDEX('كشف الحساب'!$D$4:$D$204,MATCH(106,'كشف الحساب'!$P$4:$P$204,0)),"")</f>
        <v/>
      </c>
      <c r="F111" s="125" t="str">
        <f t="shared" si="3"/>
        <v/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629.6</v>
      </c>
      <c r="E206" s="129">
        <f>SUM(E6:E205)</f>
        <v>552.04999999999995</v>
      </c>
      <c r="F206" s="130">
        <f>IFERROR(LOOKUP(2,1/($F$6:$F$205&lt;&gt;""),$F$6:$F$205),0)</f>
        <v>77.550000000000011</v>
      </c>
    </row>
    <row r="208" spans="1:6" ht="18" customHeight="1" x14ac:dyDescent="0.25">
      <c r="A208" s="145" t="s">
        <v>10</v>
      </c>
      <c r="B208" s="146"/>
      <c r="C208" s="146"/>
      <c r="D208" s="146"/>
      <c r="E208" s="146"/>
      <c r="F208" s="147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02" activePane="bottomLeft" state="frozen"/>
      <selection pane="bottomLeft" activeCell="A113" sqref="A11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58" t="s">
        <v>16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7" ht="24" customHeight="1" x14ac:dyDescent="0.25">
      <c r="A2" s="155" t="s">
        <v>17</v>
      </c>
      <c r="B2" s="153"/>
      <c r="C2" s="153"/>
      <c r="D2" s="1">
        <v>0</v>
      </c>
      <c r="E2" s="156" t="s">
        <v>18</v>
      </c>
      <c r="F2" s="157"/>
      <c r="G2" s="157"/>
      <c r="H2" s="157"/>
      <c r="I2" s="157"/>
      <c r="J2" s="157"/>
      <c r="K2" s="157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280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281</v>
      </c>
      <c r="C106" s="37" t="s">
        <v>282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283</v>
      </c>
      <c r="C107" s="27" t="s">
        <v>284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286</v>
      </c>
      <c r="C108" s="37" t="s">
        <v>285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288</v>
      </c>
      <c r="C109" s="27" t="s">
        <v>287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289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290</v>
      </c>
      <c r="C111" s="27" t="s">
        <v>291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292</v>
      </c>
      <c r="C112" s="37" t="s">
        <v>293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/>
      <c r="B113" s="26"/>
      <c r="C113" s="27"/>
      <c r="D113" s="28"/>
      <c r="E113" s="29"/>
      <c r="F113" s="30"/>
      <c r="G113" s="31"/>
      <c r="H113" s="32"/>
      <c r="I113" s="33"/>
      <c r="J113" s="3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 t="str">
        <f>IF(OR($A113="",$F113="أحد الشركاء",AND($D113="",$E113="")),"",SUMPRODUCT(($A$4:$A113&lt;&gt;"")*($F$4:$F113&lt;&gt;"أحد الشركاء")*((($D$4:$D113&lt;&gt;"")+($E$4:$E113&lt;&gt;""))&gt;0)))</f>
        <v/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/>
      <c r="B114" s="36"/>
      <c r="C114" s="37"/>
      <c r="D114" s="38"/>
      <c r="E114" s="39"/>
      <c r="F114" s="136"/>
      <c r="G114" s="40"/>
      <c r="H114" s="41"/>
      <c r="I114" s="42"/>
      <c r="J114" s="43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44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 t="str">
        <f>IF(OR($A114="",$F114="أحد الشركاء",AND($D114="",$E114="")),"",SUMPRODUCT(($A$4:$A114&lt;&gt;"")*($F$4:$F114&lt;&gt;"أحد الشركاء")*((($D$4:$D114&lt;&gt;"")+($E$4:$E114&lt;&gt;""))&gt;0)))</f>
        <v/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/>
      <c r="B115" s="26"/>
      <c r="C115" s="27"/>
      <c r="D115" s="28"/>
      <c r="E115" s="29"/>
      <c r="F115" s="30"/>
      <c r="G115" s="31"/>
      <c r="H115" s="32"/>
      <c r="I115" s="33"/>
      <c r="J115" s="3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3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 t="str">
        <f>IF(OR($A115="",$F115="أحد الشركاء",AND($D115="",$E115="")),"",SUMPRODUCT(($A$4:$A115&lt;&gt;"")*($F$4:$F115&lt;&gt;"أحد الشركاء")*((($D$4:$D115&lt;&gt;"")+($E$4:$E115&lt;&gt;""))&gt;0)))</f>
        <v/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/>
      <c r="B116" s="36"/>
      <c r="C116" s="37"/>
      <c r="D116" s="38"/>
      <c r="E116" s="39"/>
      <c r="F116" s="136"/>
      <c r="G116" s="40"/>
      <c r="H116" s="41"/>
      <c r="I116" s="42"/>
      <c r="J116" s="43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44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 t="str">
        <f>IF(OR($A116="",$F116="أحد الشركاء",AND($D116="",$E116="")),"",SUMPRODUCT(($A$4:$A116&lt;&gt;"")*($F$4:$F116&lt;&gt;"أحد الشركاء")*((($D$4:$D116&lt;&gt;"")+($E$4:$E116&lt;&gt;""))&gt;0)))</f>
        <v/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25"/>
      <c r="B117" s="26"/>
      <c r="C117" s="27"/>
      <c r="D117" s="28"/>
      <c r="E117" s="29"/>
      <c r="F117" s="30"/>
      <c r="G117" s="31"/>
      <c r="H117" s="32"/>
      <c r="I117" s="33"/>
      <c r="J117" s="3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3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 t="str">
        <f>IF(OR($A117="",$F117="أحد الشركاء",AND($D117="",$E117="")),"",SUMPRODUCT(($A$4:$A117&lt;&gt;"")*($F$4:$F117&lt;&gt;"أحد الشركاء")*((($D$4:$D117&lt;&gt;"")+($E$4:$E117&lt;&gt;""))&gt;0)))</f>
        <v/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/>
      <c r="B118" s="36"/>
      <c r="C118" s="37"/>
      <c r="D118" s="38"/>
      <c r="E118" s="39"/>
      <c r="F118" s="136"/>
      <c r="G118" s="40"/>
      <c r="H118" s="41"/>
      <c r="I118" s="42"/>
      <c r="J118" s="43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44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 t="str">
        <f>IF(OR($A118="",$F118="أحد الشركاء",AND($D118="",$E118="")),"",SUMPRODUCT(($A$4:$A118&lt;&gt;"")*($F$4:$F118&lt;&gt;"أحد الشركاء")*((($D$4:$D118&lt;&gt;"")+($E$4:$E118&lt;&gt;""))&gt;0)))</f>
        <v/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25"/>
      <c r="B119" s="26"/>
      <c r="C119" s="27"/>
      <c r="D119" s="28"/>
      <c r="E119" s="29"/>
      <c r="F119" s="30"/>
      <c r="G119" s="31"/>
      <c r="H119" s="32"/>
      <c r="I119" s="33"/>
      <c r="J119" s="3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3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 t="str">
        <f>IF(OR($A119="",$F119="أحد الشركاء",AND($D119="",$E119="")),"",SUMPRODUCT(($A$4:$A119&lt;&gt;"")*($F$4:$F119&lt;&gt;"أحد الشركاء")*((($D$4:$D119&lt;&gt;"")+($E$4:$E119&lt;&gt;""))&gt;0)))</f>
        <v/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/>
      <c r="B120" s="36"/>
      <c r="C120" s="37"/>
      <c r="D120" s="38"/>
      <c r="E120" s="39"/>
      <c r="F120" s="136"/>
      <c r="G120" s="40"/>
      <c r="H120" s="41"/>
      <c r="I120" s="42"/>
      <c r="J120" s="43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44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 t="str">
        <f>IF(OR($A120="",$F120="أحد الشركاء",AND($D120="",$E120="")),"",SUMPRODUCT(($A$4:$A120&lt;&gt;"")*($F$4:$F120&lt;&gt;"أحد الشركاء")*((($D$4:$D120&lt;&gt;"")+($E$4:$E120&lt;&gt;""))&gt;0)))</f>
        <v/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25"/>
      <c r="B121" s="26"/>
      <c r="C121" s="27"/>
      <c r="D121" s="28"/>
      <c r="E121" s="29"/>
      <c r="F121" s="30"/>
      <c r="G121" s="31"/>
      <c r="H121" s="32"/>
      <c r="I121" s="33"/>
      <c r="J121" s="3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3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 t="str">
        <f>IF(OR($A121="",$F121="أحد الشركاء",AND($D121="",$E121="")),"",SUMPRODUCT(($A$4:$A121&lt;&gt;"")*($F$4:$F121&lt;&gt;"أحد الشركاء")*((($D$4:$D121&lt;&gt;"")+($E$4:$E121&lt;&gt;""))&gt;0)))</f>
        <v/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/>
      <c r="B122" s="36"/>
      <c r="C122" s="37"/>
      <c r="D122" s="38"/>
      <c r="E122" s="39"/>
      <c r="F122" s="136"/>
      <c r="G122" s="40"/>
      <c r="H122" s="41"/>
      <c r="I122" s="42"/>
      <c r="J122" s="43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 t="str">
        <f>IF(OR($A122="",$F122="أحد الشركاء",AND($D122="",$E122="")),"",SUMPRODUCT(($A$4:$A122&lt;&gt;"")*($F$4:$F122&lt;&gt;"أحد الشركاء")*((($D$4:$D122&lt;&gt;"")+($E$4:$E122&lt;&gt;""))&gt;0)))</f>
        <v/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/>
      <c r="B123" s="26"/>
      <c r="C123" s="27"/>
      <c r="D123" s="28"/>
      <c r="E123" s="29"/>
      <c r="F123" s="30"/>
      <c r="G123" s="31"/>
      <c r="H123" s="32"/>
      <c r="I123" s="33"/>
      <c r="J123" s="3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 t="str">
        <f>IF(OR($A123="",$F123="أحد الشركاء",AND($D123="",$E123="")),"",SUMPRODUCT(($A$4:$A123&lt;&gt;"")*($F$4:$F123&lt;&gt;"أحد الشركاء")*((($D$4:$D123&lt;&gt;"")+($E$4:$E123&lt;&gt;""))&gt;0)))</f>
        <v/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/>
      <c r="B124" s="36"/>
      <c r="C124" s="37"/>
      <c r="D124" s="38"/>
      <c r="E124" s="39"/>
      <c r="F124" s="136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 t="str">
        <f>IF(OR($A124="",$F124="أحد الشركاء",AND($D124="",$E124="")),"",SUMPRODUCT(($A$4:$A124&lt;&gt;"")*($F$4:$F124&lt;&gt;"أحد الشركاء")*((($D$4:$D124&lt;&gt;"")+($E$4:$E124&lt;&gt;""))&gt;0)))</f>
        <v/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 t="str">
        <f>IF(OR($A125="",$F125="أحد الشركاء",AND($D125="",$E125="")),"",SUMPRODUCT(($A$4:$A125&lt;&gt;"")*($F$4:$F125&lt;&gt;"أحد الشركاء")*((($D$4:$D125&lt;&gt;"")+($E$4:$E125&lt;&gt;""))&gt;0)))</f>
        <v/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/>
      <c r="B126" s="36"/>
      <c r="C126" s="37"/>
      <c r="D126" s="38"/>
      <c r="E126" s="39"/>
      <c r="F126" s="136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 t="str">
        <f>IF(OR($A126="",$F126="أحد الشركاء",AND($D126="",$E126="")),"",SUMPRODUCT(($A$4:$A126&lt;&gt;"")*($F$4:$F126&lt;&gt;"أحد الشركاء")*((($D$4:$D126&lt;&gt;"")+($E$4:$E126&lt;&gt;""))&gt;0)))</f>
        <v/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59"/>
      <c r="B204" s="153"/>
      <c r="C204" s="154"/>
      <c r="D204" s="38"/>
      <c r="E204" s="39"/>
      <c r="F204" s="152"/>
      <c r="G204" s="153"/>
      <c r="H204" s="154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1574.55</v>
      </c>
      <c r="E205" s="46">
        <f>SUM(E4:E203)</f>
        <v>629.6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0" t="s">
        <v>220</v>
      </c>
      <c r="B1" s="153"/>
      <c r="C1" s="153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2" t="s">
        <v>236</v>
      </c>
      <c r="B1" s="153"/>
    </row>
    <row r="2" spans="1:2" ht="21.75" customHeight="1" x14ac:dyDescent="0.25">
      <c r="A2" s="161" t="s">
        <v>237</v>
      </c>
      <c r="B2" s="153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1" t="s">
        <v>242</v>
      </c>
      <c r="B5" s="153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1" t="s">
        <v>251</v>
      </c>
      <c r="B11" s="153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58" t="s">
        <v>16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1" ht="24" customHeight="1" x14ac:dyDescent="0.25">
      <c r="A2" s="163"/>
      <c r="B2" s="153"/>
      <c r="C2" s="56" t="s">
        <v>256</v>
      </c>
      <c r="D2" s="163">
        <v>2026</v>
      </c>
      <c r="E2" s="153"/>
      <c r="F2" s="56" t="s">
        <v>257</v>
      </c>
      <c r="G2" s="166" t="s">
        <v>258</v>
      </c>
      <c r="H2" s="157"/>
      <c r="I2" s="157"/>
      <c r="J2" s="157"/>
      <c r="K2" s="157"/>
    </row>
    <row r="3" spans="1:11" ht="19.5" customHeight="1" x14ac:dyDescent="0.25">
      <c r="A3" s="167" t="s">
        <v>259</v>
      </c>
      <c r="B3" s="153"/>
      <c r="C3" s="153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4" t="s">
        <v>266</v>
      </c>
      <c r="B155" s="153"/>
      <c r="C155" s="153"/>
      <c r="D155" s="75">
        <f>SUM(D5:D154)</f>
        <v>724.8</v>
      </c>
      <c r="E155" s="75">
        <f>SUM(E5:E154)</f>
        <v>195.5</v>
      </c>
      <c r="F155" s="165">
        <f>COUNTIF(H5:H154,"معلق")</f>
        <v>3</v>
      </c>
      <c r="G155" s="153"/>
      <c r="H155" s="153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58" t="s">
        <v>269</v>
      </c>
      <c r="B1" s="153"/>
      <c r="C1" s="153"/>
      <c r="D1" s="153"/>
      <c r="E1" s="153"/>
      <c r="F1" s="153"/>
      <c r="G1" s="153"/>
    </row>
    <row r="2" spans="1:7" ht="24" customHeight="1" x14ac:dyDescent="0.25">
      <c r="A2" s="163" t="s">
        <v>270</v>
      </c>
      <c r="B2" s="153"/>
      <c r="C2" s="56" t="s">
        <v>256</v>
      </c>
      <c r="D2" s="163" t="s">
        <v>271</v>
      </c>
      <c r="E2" s="153"/>
      <c r="F2" s="56">
        <v>2026</v>
      </c>
    </row>
    <row r="3" spans="1:7" ht="21.75" customHeight="1" x14ac:dyDescent="0.25">
      <c r="A3" s="167" t="s">
        <v>272</v>
      </c>
      <c r="B3" s="153"/>
      <c r="C3" s="57">
        <f>المحفظة!$D$2</f>
        <v>0</v>
      </c>
      <c r="D3" s="167" t="s">
        <v>273</v>
      </c>
      <c r="E3" s="153"/>
      <c r="F3" s="78">
        <f>المحفظة!$C$3</f>
        <v>0</v>
      </c>
    </row>
    <row r="4" spans="1:7" ht="21.75" customHeight="1" x14ac:dyDescent="0.25">
      <c r="A4" s="168" t="s">
        <v>274</v>
      </c>
      <c r="B4" s="153"/>
      <c r="C4" s="153"/>
      <c r="D4" s="153"/>
      <c r="E4" s="153"/>
      <c r="F4" s="153"/>
      <c r="G4" s="153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68" t="s">
        <v>267</v>
      </c>
      <c r="B55" s="153"/>
      <c r="C55" s="153"/>
      <c r="D55" s="153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0" t="s">
        <v>276</v>
      </c>
      <c r="B56" s="153"/>
      <c r="C56" s="153"/>
      <c r="D56" s="153"/>
      <c r="E56" s="153"/>
      <c r="F56" s="153"/>
      <c r="G56" s="153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0" t="s">
        <v>277</v>
      </c>
      <c r="B107" s="153"/>
      <c r="C107" s="153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4" t="s">
        <v>278</v>
      </c>
      <c r="B108" s="153"/>
      <c r="C108" s="153"/>
      <c r="D108" s="75">
        <f>E55-D107</f>
        <v>0</v>
      </c>
      <c r="E108" s="169">
        <f>SUM(E5:E107)</f>
        <v>0</v>
      </c>
      <c r="F108" s="153"/>
      <c r="G108" s="154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2026-07-09T14:44:14Z</dcterms:modified>
  <dc:language>en-US</dc:language>
</cp:coreProperties>
</file>