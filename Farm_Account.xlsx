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7DCBA7AE-0E4E-4AAF-9872-9949B87A1775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<sst xmlns="http://schemas.openxmlformats.org/spreadsheetml/2006/main" count="810" uniqueCount="351">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</sst>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45.320000000000014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Inv-113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891.44</v>
      </c>
      <c r="E206" s="129">
        <f>SUM(E6:E205)</f>
        <v>846.11999999999989</v>
      </c>
      <c r="F206" s="130">
        <f>IFERROR(LOOKUP(2,1/($F$6:$F$205&lt;&gt;""),$F$6:$F$205),0)</f>
        <v>45.320000000000014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1433.5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768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665.5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40" activePane="bottomLeft" state="frozen"/>
      <selection pane="bottomLeft" activeCell="H150" sqref="H150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343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2279.6200000000003</v>
      </c>
      <c r="E205" s="46">
        <f>SUM(E4:E203)</f>
        <v>891.44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342</v>
      </c>
      <c r="D2" s="166">
        <v>2026</v>
      </c>
      <c r="E2" s="156"/>
      <c r="F2" s="56" t="s">
        <v>256</v>
      </c>
      <c r="G2" s="169" t="s">
        <v>257</v>
      </c>
      <c r="H2" s="160"/>
      <c r="I2" s="160"/>
      <c r="J2" s="160"/>
      <c r="K2" s="160"/>
    </row>
    <row r="3" spans="1:11" ht="19.5" customHeight="1" x14ac:dyDescent="0.25">
      <c r="A3" s="170" t="s">
        <v>258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Inv-113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 t="str">
        <f>IFERROR(IF(IFERROR(MATCH(18,'كشف الحساب'!$N$4:$N$203,0),0)=0,"",INDEX('كشف الحساب'!$A$4:$A$203,IFERROR(MATCH(18,'كشف الحساب'!$N$4:$N$203,0),0))),"")</f>
        <v/>
      </c>
      <c r="B22" s="61" t="str">
        <f>IFERROR(IF(IFERROR(MATCH(18,'كشف الحساب'!$N$4:$N$203,0),0)=0,"",INDEX('كشف الحساب'!$B$4:$B$203,IFERROR(MATCH(18,'كشف الحساب'!$N$4:$N$203,0),0))),"")</f>
        <v/>
      </c>
      <c r="C22" s="27" t="str">
        <f>IFERROR(IF(IFERROR(MATCH(18,'كشف الحساب'!$N$4:$N$203,0),0)=0,"",INDEX('كشف الحساب'!$C$4:$C$203,IFERROR(MATCH(18,'كشف الحساب'!$N$4:$N$203,0),0))),"")</f>
        <v/>
      </c>
      <c r="D22" s="28" t="str">
        <f>IFERROR(IF(IFERROR(MATCH(18,'كشف الحساب'!$N$4:$N$203,0),0)=0,"",INDEX('كشف الحساب'!$D$4:$D$203,IFERROR(MATCH(18,'كشف الحساب'!$N$4:$N$203,0),0))),"")</f>
        <v/>
      </c>
      <c r="E22" s="62" t="str">
        <f>IFERROR(IF(IFERROR(MATCH(18,'كشف الحساب'!$N$4:$N$203,0),0)=0,"",INDEX('كشف الحساب'!$E$4:$E$203,IFERROR(MATCH(18,'كشف الحساب'!$N$4:$N$203,0),0))),"")</f>
        <v/>
      </c>
      <c r="F22" s="61" t="str">
        <f>IFERROR(IF(IFERROR(MATCH(18,'كشف الحساب'!$N$4:$N$203,0),0)=0,"",INDEX('كشف الحساب'!$F$4:$F$203,IFERROR(MATCH(18,'كشف الحساب'!$N$4:$N$203,0),0))),"")</f>
        <v/>
      </c>
      <c r="G22" s="61" t="str">
        <f>IFERROR(IF(IFERROR(MATCH(18,'كشف الحساب'!$N$4:$N$203,0),0)=0,"",INDEX('كشف الحساب'!$G$4:$G$203,IFERROR(MATCH(18,'كشف الحساب'!$N$4:$N$203,0),0))),"")</f>
        <v/>
      </c>
      <c r="H22" s="61" t="str">
        <f>IFERROR(IF(IFERROR(MATCH(18,'كشف الحساب'!$N$4:$N$203,0),0)=0,"",INDEX('كشف الحساب'!$H$4:$H$203,IFERROR(MATCH(18,'كشف الحساب'!$N$4:$N$203,0),0))),"")</f>
        <v/>
      </c>
      <c r="I22" s="61" t="str">
        <f>IFERROR(IF(IFERROR(MATCH(18,'كشف الحساب'!$N$4:$N$203,0),0)=0,"",INDEX('كشف الحساب'!$I$4:$I$203,IFERROR(MATCH(18,'كشف الحساب'!$N$4:$N$203,0),0))),"")</f>
        <v/>
      </c>
      <c r="J22" s="34" t="str">
        <f>IFERROR(IF(IFERROR(MATCH(18,'كشف الحساب'!$N$4:$N$203,0),0)=0,"",INDEX('كشف الحساب'!$J$4:$J$203,IFERROR(MATCH(18,'كشف الحساب'!$N$4:$N$203,0),0))),"")</f>
        <v/>
      </c>
      <c r="K22" s="61" t="str">
        <f>IFERROR(IF(IFERROR(MATCH(18,'كشف الحساب'!$N$4:$N$203,0),0)=0,"",INDEX('كشف الحساب'!$K$4:$K$203,IFERROR(MATCH(18,'كشف الحساب'!$N$4:$N$203,0),0))),"")</f>
        <v/>
      </c>
    </row>
    <row r="23" spans="1:11" ht="16.5" customHeight="1" x14ac:dyDescent="0.25">
      <c r="A23" s="139" t="str">
        <f>IFERROR(IF(IFERROR(MATCH(19,'كشف الحساب'!$N$4:$N$203,0),0)=0,"",INDEX('كشف الحساب'!$A$4:$A$203,IFERROR(MATCH(19,'كشف الحساب'!$N$4:$N$203,0),0))),"")</f>
        <v/>
      </c>
      <c r="B23" s="59" t="str">
        <f>IFERROR(IF(IFERROR(MATCH(19,'كشف الحساب'!$N$4:$N$203,0),0)=0,"",INDEX('كشف الحساب'!$B$4:$B$203,IFERROR(MATCH(19,'كشف الحساب'!$N$4:$N$203,0),0))),"")</f>
        <v/>
      </c>
      <c r="C23" s="37" t="str">
        <f>IFERROR(IF(IFERROR(MATCH(19,'كشف الحساب'!$N$4:$N$203,0),0)=0,"",INDEX('كشف الحساب'!$C$4:$C$203,IFERROR(MATCH(19,'كشف الحساب'!$N$4:$N$203,0),0))),"")</f>
        <v/>
      </c>
      <c r="D23" s="38" t="str">
        <f>IFERROR(IF(IFERROR(MATCH(19,'كشف الحساب'!$N$4:$N$203,0),0)=0,"",INDEX('كشف الحساب'!$D$4:$D$203,IFERROR(MATCH(19,'كشف الحساب'!$N$4:$N$203,0),0))),"")</f>
        <v/>
      </c>
      <c r="E23" s="60" t="str">
        <f>IFERROR(IF(IFERROR(MATCH(19,'كشف الحساب'!$N$4:$N$203,0),0)=0,"",INDEX('كشف الحساب'!$E$4:$E$203,IFERROR(MATCH(19,'كشف الحساب'!$N$4:$N$203,0),0))),"")</f>
        <v/>
      </c>
      <c r="F23" s="59" t="str">
        <f>IFERROR(IF(IFERROR(MATCH(19,'كشف الحساب'!$N$4:$N$203,0),0)=0,"",INDEX('كشف الحساب'!$F$4:$F$203,IFERROR(MATCH(19,'كشف الحساب'!$N$4:$N$203,0),0))),"")</f>
        <v/>
      </c>
      <c r="G23" s="59" t="str">
        <f>IFERROR(IF(IFERROR(MATCH(19,'كشف الحساب'!$N$4:$N$203,0),0)=0,"",INDEX('كشف الحساب'!$G$4:$G$203,IFERROR(MATCH(19,'كشف الحساب'!$N$4:$N$203,0),0))),"")</f>
        <v/>
      </c>
      <c r="H23" s="59" t="str">
        <f>IFERROR(IF(IFERROR(MATCH(19,'كشف الحساب'!$N$4:$N$203,0),0)=0,"",INDEX('كشف الحساب'!$H$4:$H$203,IFERROR(MATCH(19,'كشف الحساب'!$N$4:$N$203,0),0))),"")</f>
        <v/>
      </c>
      <c r="I23" s="59" t="str">
        <f>IFERROR(IF(IFERROR(MATCH(19,'كشف الحساب'!$N$4:$N$203,0),0)=0,"",INDEX('كشف الحساب'!$I$4:$I$203,IFERROR(MATCH(19,'كشف الحساب'!$N$4:$N$203,0),0))),"")</f>
        <v/>
      </c>
      <c r="J23" s="43" t="str">
        <f>IFERROR(IF(IFERROR(MATCH(19,'كشف الحساب'!$N$4:$N$203,0),0)=0,"",INDEX('كشف الحساب'!$J$4:$J$203,IFERROR(MATCH(19,'كشف الحساب'!$N$4:$N$203,0),0))),"")</f>
        <v/>
      </c>
      <c r="K23" s="59" t="str">
        <f>IFERROR(IF(IFERROR(MATCH(19,'كشف الحساب'!$N$4:$N$203,0),0)=0,"",INDEX('كشف الحساب'!$K$4:$K$203,IFERROR(MATCH(19,'كشف الحساب'!$N$4:$N$203,0),0))),"")</f>
        <v/>
      </c>
    </row>
    <row r="24" spans="1:11" ht="16.5" customHeight="1" x14ac:dyDescent="0.25">
      <c r="A24" s="25" t="str">
        <f>IFERROR(IF(IFERROR(MATCH(20,'كشف الحساب'!$N$4:$N$203,0),0)=0,"",INDEX('كشف الحساب'!$A$4:$A$203,IFERROR(MATCH(20,'كشف الحساب'!$N$4:$N$203,0),0))),"")</f>
        <v/>
      </c>
      <c r="B24" s="61" t="str">
        <f>IFERROR(IF(IFERROR(MATCH(20,'كشف الحساب'!$N$4:$N$203,0),0)=0,"",INDEX('كشف الحساب'!$B$4:$B$203,IFERROR(MATCH(20,'كشف الحساب'!$N$4:$N$203,0),0))),"")</f>
        <v/>
      </c>
      <c r="C24" s="27" t="str">
        <f>IFERROR(IF(IFERROR(MATCH(20,'كشف الحساب'!$N$4:$N$203,0),0)=0,"",INDEX('كشف الحساب'!$C$4:$C$203,IFERROR(MATCH(20,'كشف الحساب'!$N$4:$N$203,0),0))),"")</f>
        <v/>
      </c>
      <c r="D24" s="28" t="str">
        <f>IFERROR(IF(IFERROR(MATCH(20,'كشف الحساب'!$N$4:$N$203,0),0)=0,"",INDEX('كشف الحساب'!$D$4:$D$203,IFERROR(MATCH(20,'كشف الحساب'!$N$4:$N$203,0),0))),"")</f>
        <v/>
      </c>
      <c r="E24" s="62" t="str">
        <f>IFERROR(IF(IFERROR(MATCH(20,'كشف الحساب'!$N$4:$N$203,0),0)=0,"",INDEX('كشف الحساب'!$E$4:$E$203,IFERROR(MATCH(20,'كشف الحساب'!$N$4:$N$203,0),0))),"")</f>
        <v/>
      </c>
      <c r="F24" s="61" t="str">
        <f>IFERROR(IF(IFERROR(MATCH(20,'كشف الحساب'!$N$4:$N$203,0),0)=0,"",INDEX('كشف الحساب'!$F$4:$F$203,IFERROR(MATCH(20,'كشف الحساب'!$N$4:$N$203,0),0))),"")</f>
        <v/>
      </c>
      <c r="G24" s="61" t="str">
        <f>IFERROR(IF(IFERROR(MATCH(20,'كشف الحساب'!$N$4:$N$203,0),0)=0,"",INDEX('كشف الحساب'!$G$4:$G$203,IFERROR(MATCH(20,'كشف الحساب'!$N$4:$N$203,0),0))),"")</f>
        <v/>
      </c>
      <c r="H24" s="61" t="str">
        <f>IFERROR(IF(IFERROR(MATCH(20,'كشف الحساب'!$N$4:$N$203,0),0)=0,"",INDEX('كشف الحساب'!$H$4:$H$203,IFERROR(MATCH(20,'كشف الحساب'!$N$4:$N$203,0),0))),"")</f>
        <v/>
      </c>
      <c r="I24" s="61" t="str">
        <f>IFERROR(IF(IFERROR(MATCH(20,'كشف الحساب'!$N$4:$N$203,0),0)=0,"",INDEX('كشف الحساب'!$I$4:$I$203,IFERROR(MATCH(20,'كشف الحساب'!$N$4:$N$203,0),0))),"")</f>
        <v/>
      </c>
      <c r="J24" s="34" t="str">
        <f>IFERROR(IF(IFERROR(MATCH(20,'كشف الحساب'!$N$4:$N$203,0),0)=0,"",INDEX('كشف الحساب'!$J$4:$J$203,IFERROR(MATCH(20,'كشف الحساب'!$N$4:$N$203,0),0))),"")</f>
        <v/>
      </c>
      <c r="K24" s="61" t="str">
        <f>IFERROR(IF(IFERROR(MATCH(20,'كشف الحساب'!$N$4:$N$203,0),0)=0,"",INDEX('كشف الحساب'!$K$4:$K$203,IFERROR(MATCH(20,'كشف الحساب'!$N$4:$N$203,0),0))),"")</f>
        <v/>
      </c>
    </row>
    <row r="25" spans="1:11" ht="16.5" customHeight="1" x14ac:dyDescent="0.25">
      <c r="A25" s="139" t="str">
        <f>IFERROR(IF(IFERROR(MATCH(21,'كشف الحساب'!$N$4:$N$203,0),0)=0,"",INDEX('كشف الحساب'!$A$4:$A$203,IFERROR(MATCH(21,'كشف الحساب'!$N$4:$N$203,0),0))),"")</f>
        <v/>
      </c>
      <c r="B25" s="59" t="str">
        <f>IFERROR(IF(IFERROR(MATCH(21,'كشف الحساب'!$N$4:$N$203,0),0)=0,"",INDEX('كشف الحساب'!$B$4:$B$203,IFERROR(MATCH(21,'كشف الحساب'!$N$4:$N$203,0),0))),"")</f>
        <v/>
      </c>
      <c r="C25" s="37" t="str">
        <f>IFERROR(IF(IFERROR(MATCH(21,'كشف الحساب'!$N$4:$N$203,0),0)=0,"",INDEX('كشف الحساب'!$C$4:$C$203,IFERROR(MATCH(21,'كشف الحساب'!$N$4:$N$203,0),0))),"")</f>
        <v/>
      </c>
      <c r="D25" s="38" t="str">
        <f>IFERROR(IF(IFERROR(MATCH(21,'كشف الحساب'!$N$4:$N$203,0),0)=0,"",INDEX('كشف الحساب'!$D$4:$D$203,IFERROR(MATCH(21,'كشف الحساب'!$N$4:$N$203,0),0))),"")</f>
        <v/>
      </c>
      <c r="E25" s="60" t="str">
        <f>IFERROR(IF(IFERROR(MATCH(21,'كشف الحساب'!$N$4:$N$203,0),0)=0,"",INDEX('كشف الحساب'!$E$4:$E$203,IFERROR(MATCH(21,'كشف الحساب'!$N$4:$N$203,0),0))),"")</f>
        <v/>
      </c>
      <c r="F25" s="59" t="str">
        <f>IFERROR(IF(IFERROR(MATCH(21,'كشف الحساب'!$N$4:$N$203,0),0)=0,"",INDEX('كشف الحساب'!$F$4:$F$203,IFERROR(MATCH(21,'كشف الحساب'!$N$4:$N$203,0),0))),"")</f>
        <v/>
      </c>
      <c r="G25" s="59" t="str">
        <f>IFERROR(IF(IFERROR(MATCH(21,'كشف الحساب'!$N$4:$N$203,0),0)=0,"",INDEX('كشف الحساب'!$G$4:$G$203,IFERROR(MATCH(21,'كشف الحساب'!$N$4:$N$203,0),0))),"")</f>
        <v/>
      </c>
      <c r="H25" s="59" t="str">
        <f>IFERROR(IF(IFERROR(MATCH(21,'كشف الحساب'!$N$4:$N$203,0),0)=0,"",INDEX('كشف الحساب'!$H$4:$H$203,IFERROR(MATCH(21,'كشف الحساب'!$N$4:$N$203,0),0))),"")</f>
        <v/>
      </c>
      <c r="I25" s="59" t="str">
        <f>IFERROR(IF(IFERROR(MATCH(21,'كشف الحساب'!$N$4:$N$203,0),0)=0,"",INDEX('كشف الحساب'!$I$4:$I$203,IFERROR(MATCH(21,'كشف الحساب'!$N$4:$N$203,0),0))),"")</f>
        <v/>
      </c>
      <c r="J25" s="43" t="str">
        <f>IFERROR(IF(IFERROR(MATCH(21,'كشف الحساب'!$N$4:$N$203,0),0)=0,"",INDEX('كشف الحساب'!$J$4:$J$203,IFERROR(MATCH(21,'كشف الحساب'!$N$4:$N$203,0),0))),"")</f>
        <v/>
      </c>
      <c r="K25" s="59" t="str">
        <f>IFERROR(IF(IFERROR(MATCH(21,'كشف الحساب'!$N$4:$N$203,0),0)=0,"",INDEX('كشف الحساب'!$K$4:$K$203,IFERROR(MATCH(21,'كشف الحساب'!$N$4:$N$203,0),0))),"")</f>
        <v/>
      </c>
    </row>
    <row r="26" spans="1:11" ht="16.5" customHeight="1" x14ac:dyDescent="0.25">
      <c r="A26" s="25" t="str">
        <f>IFERROR(IF(IFERROR(MATCH(22,'كشف الحساب'!$N$4:$N$203,0),0)=0,"",INDEX('كشف الحساب'!$A$4:$A$203,IFERROR(MATCH(22,'كشف الحساب'!$N$4:$N$203,0),0))),"")</f>
        <v/>
      </c>
      <c r="B26" s="61" t="str">
        <f>IFERROR(IF(IFERROR(MATCH(22,'كشف الحساب'!$N$4:$N$203,0),0)=0,"",INDEX('كشف الحساب'!$B$4:$B$203,IFERROR(MATCH(22,'كشف الحساب'!$N$4:$N$203,0),0))),"")</f>
        <v/>
      </c>
      <c r="C26" s="27" t="str">
        <f>IFERROR(IF(IFERROR(MATCH(22,'كشف الحساب'!$N$4:$N$203,0),0)=0,"",INDEX('كشف الحساب'!$C$4:$C$203,IFERROR(MATCH(22,'كشف الحساب'!$N$4:$N$203,0),0))),"")</f>
        <v/>
      </c>
      <c r="D26" s="28" t="str">
        <f>IFERROR(IF(IFERROR(MATCH(22,'كشف الحساب'!$N$4:$N$203,0),0)=0,"",INDEX('كشف الحساب'!$D$4:$D$203,IFERROR(MATCH(22,'كشف الحساب'!$N$4:$N$203,0),0))),"")</f>
        <v/>
      </c>
      <c r="E26" s="62" t="str">
        <f>IFERROR(IF(IFERROR(MATCH(22,'كشف الحساب'!$N$4:$N$203,0),0)=0,"",INDEX('كشف الحساب'!$E$4:$E$203,IFERROR(MATCH(22,'كشف الحساب'!$N$4:$N$203,0),0))),"")</f>
        <v/>
      </c>
      <c r="F26" s="61" t="str">
        <f>IFERROR(IF(IFERROR(MATCH(22,'كشف الحساب'!$N$4:$N$203,0),0)=0,"",INDEX('كشف الحساب'!$F$4:$F$203,IFERROR(MATCH(22,'كشف الحساب'!$N$4:$N$203,0),0))),"")</f>
        <v/>
      </c>
      <c r="G26" s="61" t="str">
        <f>IFERROR(IF(IFERROR(MATCH(22,'كشف الحساب'!$N$4:$N$203,0),0)=0,"",INDEX('كشف الحساب'!$G$4:$G$203,IFERROR(MATCH(22,'كشف الحساب'!$N$4:$N$203,0),0))),"")</f>
        <v/>
      </c>
      <c r="H26" s="61" t="str">
        <f>IFERROR(IF(IFERROR(MATCH(22,'كشف الحساب'!$N$4:$N$203,0),0)=0,"",INDEX('كشف الحساب'!$H$4:$H$203,IFERROR(MATCH(22,'كشف الحساب'!$N$4:$N$203,0),0))),"")</f>
        <v/>
      </c>
      <c r="I26" s="61" t="str">
        <f>IFERROR(IF(IFERROR(MATCH(22,'كشف الحساب'!$N$4:$N$203,0),0)=0,"",INDEX('كشف الحساب'!$I$4:$I$203,IFERROR(MATCH(22,'كشف الحساب'!$N$4:$N$203,0),0))),"")</f>
        <v/>
      </c>
      <c r="J26" s="34" t="str">
        <f>IFERROR(IF(IFERROR(MATCH(22,'كشف الحساب'!$N$4:$N$203,0),0)=0,"",INDEX('كشف الحساب'!$J$4:$J$203,IFERROR(MATCH(22,'كشف الحساب'!$N$4:$N$203,0),0))),"")</f>
        <v/>
      </c>
      <c r="K26" s="61" t="str">
        <f>IFERROR(IF(IFERROR(MATCH(22,'كشف الحساب'!$N$4:$N$203,0),0)=0,"",INDEX('كشف الحساب'!$K$4:$K$203,IFERROR(MATCH(22,'كشف الحساب'!$N$4:$N$203,0),0))),"")</f>
        <v/>
      </c>
    </row>
    <row r="27" spans="1:11" ht="16.5" customHeight="1" x14ac:dyDescent="0.25">
      <c r="A27" s="139" t="str">
        <f>IFERROR(IF(IFERROR(MATCH(23,'كشف الحساب'!$N$4:$N$203,0),0)=0,"",INDEX('كشف الحساب'!$A$4:$A$203,IFERROR(MATCH(23,'كشف الحساب'!$N$4:$N$203,0),0))),"")</f>
        <v/>
      </c>
      <c r="B27" s="59" t="str">
        <f>IFERROR(IF(IFERROR(MATCH(23,'كشف الحساب'!$N$4:$N$203,0),0)=0,"",INDEX('كشف الحساب'!$B$4:$B$203,IFERROR(MATCH(23,'كشف الحساب'!$N$4:$N$203,0),0))),"")</f>
        <v/>
      </c>
      <c r="C27" s="37" t="str">
        <f>IFERROR(IF(IFERROR(MATCH(23,'كشف الحساب'!$N$4:$N$203,0),0)=0,"",INDEX('كشف الحساب'!$C$4:$C$203,IFERROR(MATCH(23,'كشف الحساب'!$N$4:$N$203,0),0))),"")</f>
        <v/>
      </c>
      <c r="D27" s="38" t="str">
        <f>IFERROR(IF(IFERROR(MATCH(23,'كشف الحساب'!$N$4:$N$203,0),0)=0,"",INDEX('كشف الحساب'!$D$4:$D$203,IFERROR(MATCH(23,'كشف الحساب'!$N$4:$N$203,0),0))),"")</f>
        <v/>
      </c>
      <c r="E27" s="60" t="str">
        <f>IFERROR(IF(IFERROR(MATCH(23,'كشف الحساب'!$N$4:$N$203,0),0)=0,"",INDEX('كشف الحساب'!$E$4:$E$203,IFERROR(MATCH(23,'كشف الحساب'!$N$4:$N$203,0),0))),"")</f>
        <v/>
      </c>
      <c r="F27" s="59" t="str">
        <f>IFERROR(IF(IFERROR(MATCH(23,'كشف الحساب'!$N$4:$N$203,0),0)=0,"",INDEX('كشف الحساب'!$F$4:$F$203,IFERROR(MATCH(23,'كشف الحساب'!$N$4:$N$203,0),0))),"")</f>
        <v/>
      </c>
      <c r="G27" s="59" t="str">
        <f>IFERROR(IF(IFERROR(MATCH(23,'كشف الحساب'!$N$4:$N$203,0),0)=0,"",INDEX('كشف الحساب'!$G$4:$G$203,IFERROR(MATCH(23,'كشف الحساب'!$N$4:$N$203,0),0))),"")</f>
        <v/>
      </c>
      <c r="H27" s="59" t="str">
        <f>IFERROR(IF(IFERROR(MATCH(23,'كشف الحساب'!$N$4:$N$203,0),0)=0,"",INDEX('كشف الحساب'!$H$4:$H$203,IFERROR(MATCH(23,'كشف الحساب'!$N$4:$N$203,0),0))),"")</f>
        <v/>
      </c>
      <c r="I27" s="59" t="str">
        <f>IFERROR(IF(IFERROR(MATCH(23,'كشف الحساب'!$N$4:$N$203,0),0)=0,"",INDEX('كشف الحساب'!$I$4:$I$203,IFERROR(MATCH(23,'كشف الحساب'!$N$4:$N$203,0),0))),"")</f>
        <v/>
      </c>
      <c r="J27" s="43" t="str">
        <f>IFERROR(IF(IFERROR(MATCH(23,'كشف الحساب'!$N$4:$N$203,0),0)=0,"",INDEX('كشف الحساب'!$J$4:$J$203,IFERROR(MATCH(23,'كشف الحساب'!$N$4:$N$203,0),0))),"")</f>
        <v/>
      </c>
      <c r="K27" s="59" t="str">
        <f>IFERROR(IF(IFERROR(MATCH(23,'كشف الحساب'!$N$4:$N$203,0),0)=0,"",INDEX('كشف الحساب'!$K$4:$K$203,IFERROR(MATCH(23,'كشف الحساب'!$N$4:$N$203,0),0))),"")</f>
        <v/>
      </c>
    </row>
    <row r="28" spans="1:11" ht="16.5" customHeight="1" x14ac:dyDescent="0.25">
      <c r="A28" s="25" t="str">
        <f>IFERROR(IF(IFERROR(MATCH(24,'كشف الحساب'!$N$4:$N$203,0),0)=0,"",INDEX('كشف الحساب'!$A$4:$A$203,IFERROR(MATCH(24,'كشف الحساب'!$N$4:$N$203,0),0))),"")</f>
        <v/>
      </c>
      <c r="B28" s="61" t="str">
        <f>IFERROR(IF(IFERROR(MATCH(24,'كشف الحساب'!$N$4:$N$203,0),0)=0,"",INDEX('كشف الحساب'!$B$4:$B$203,IFERROR(MATCH(24,'كشف الحساب'!$N$4:$N$203,0),0))),"")</f>
        <v/>
      </c>
      <c r="C28" s="27" t="str">
        <f>IFERROR(IF(IFERROR(MATCH(24,'كشف الحساب'!$N$4:$N$203,0),0)=0,"",INDEX('كشف الحساب'!$C$4:$C$203,IFERROR(MATCH(24,'كشف الحساب'!$N$4:$N$203,0),0))),"")</f>
        <v/>
      </c>
      <c r="D28" s="28" t="str">
        <f>IFERROR(IF(IFERROR(MATCH(24,'كشف الحساب'!$N$4:$N$203,0),0)=0,"",INDEX('كشف الحساب'!$D$4:$D$203,IFERROR(MATCH(24,'كشف الحساب'!$N$4:$N$203,0),0))),"")</f>
        <v/>
      </c>
      <c r="E28" s="62" t="str">
        <f>IFERROR(IF(IFERROR(MATCH(24,'كشف الحساب'!$N$4:$N$203,0),0)=0,"",INDEX('كشف الحساب'!$E$4:$E$203,IFERROR(MATCH(24,'كشف الحساب'!$N$4:$N$203,0),0))),"")</f>
        <v/>
      </c>
      <c r="F28" s="61" t="str">
        <f>IFERROR(IF(IFERROR(MATCH(24,'كشف الحساب'!$N$4:$N$203,0),0)=0,"",INDEX('كشف الحساب'!$F$4:$F$203,IFERROR(MATCH(24,'كشف الحساب'!$N$4:$N$203,0),0))),"")</f>
        <v/>
      </c>
      <c r="G28" s="61" t="str">
        <f>IFERROR(IF(IFERROR(MATCH(24,'كشف الحساب'!$N$4:$N$203,0),0)=0,"",INDEX('كشف الحساب'!$G$4:$G$203,IFERROR(MATCH(24,'كشف الحساب'!$N$4:$N$203,0),0))),"")</f>
        <v/>
      </c>
      <c r="H28" s="61" t="str">
        <f>IFERROR(IF(IFERROR(MATCH(24,'كشف الحساب'!$N$4:$N$203,0),0)=0,"",INDEX('كشف الحساب'!$H$4:$H$203,IFERROR(MATCH(24,'كشف الحساب'!$N$4:$N$203,0),0))),"")</f>
        <v/>
      </c>
      <c r="I28" s="61" t="str">
        <f>IFERROR(IF(IFERROR(MATCH(24,'كشف الحساب'!$N$4:$N$203,0),0)=0,"",INDEX('كشف الحساب'!$I$4:$I$203,IFERROR(MATCH(24,'كشف الحساب'!$N$4:$N$203,0),0))),"")</f>
        <v/>
      </c>
      <c r="J28" s="34" t="str">
        <f>IFERROR(IF(IFERROR(MATCH(24,'كشف الحساب'!$N$4:$N$203,0),0)=0,"",INDEX('كشف الحساب'!$J$4:$J$203,IFERROR(MATCH(24,'كشف الحساب'!$N$4:$N$203,0),0))),"")</f>
        <v/>
      </c>
      <c r="K28" s="61" t="str">
        <f>IFERROR(IF(IFERROR(MATCH(24,'كشف الحساب'!$N$4:$N$203,0),0)=0,"",INDEX('كشف الحساب'!$K$4:$K$203,IFERROR(MATCH(24,'كشف الحساب'!$N$4:$N$203,0),0))),"")</f>
        <v/>
      </c>
    </row>
    <row r="29" spans="1:11" ht="16.5" customHeight="1" x14ac:dyDescent="0.25">
      <c r="A29" s="139" t="str">
        <f>IFERROR(IF(IFERROR(MATCH(25,'كشف الحساب'!$N$4:$N$203,0),0)=0,"",INDEX('كشف الحساب'!$A$4:$A$203,IFERROR(MATCH(25,'كشف الحساب'!$N$4:$N$203,0),0))),"")</f>
        <v/>
      </c>
      <c r="B29" s="59" t="str">
        <f>IFERROR(IF(IFERROR(MATCH(25,'كشف الحساب'!$N$4:$N$203,0),0)=0,"",INDEX('كشف الحساب'!$B$4:$B$203,IFERROR(MATCH(25,'كشف الحساب'!$N$4:$N$203,0),0))),"")</f>
        <v/>
      </c>
      <c r="C29" s="37" t="str">
        <f>IFERROR(IF(IFERROR(MATCH(25,'كشف الحساب'!$N$4:$N$203,0),0)=0,"",INDEX('كشف الحساب'!$C$4:$C$203,IFERROR(MATCH(25,'كشف الحساب'!$N$4:$N$203,0),0))),"")</f>
        <v/>
      </c>
      <c r="D29" s="38" t="str">
        <f>IFERROR(IF(IFERROR(MATCH(25,'كشف الحساب'!$N$4:$N$203,0),0)=0,"",INDEX('كشف الحساب'!$D$4:$D$203,IFERROR(MATCH(25,'كشف الحساب'!$N$4:$N$203,0),0))),"")</f>
        <v/>
      </c>
      <c r="E29" s="60" t="str">
        <f>IFERROR(IF(IFERROR(MATCH(25,'كشف الحساب'!$N$4:$N$203,0),0)=0,"",INDEX('كشف الحساب'!$E$4:$E$203,IFERROR(MATCH(25,'كشف الحساب'!$N$4:$N$203,0),0))),"")</f>
        <v/>
      </c>
      <c r="F29" s="59" t="str">
        <f>IFERROR(IF(IFERROR(MATCH(25,'كشف الحساب'!$N$4:$N$203,0),0)=0,"",INDEX('كشف الحساب'!$F$4:$F$203,IFERROR(MATCH(25,'كشف الحساب'!$N$4:$N$203,0),0))),"")</f>
        <v/>
      </c>
      <c r="G29" s="59" t="str">
        <f>IFERROR(IF(IFERROR(MATCH(25,'كشف الحساب'!$N$4:$N$203,0),0)=0,"",INDEX('كشف الحساب'!$G$4:$G$203,IFERROR(MATCH(25,'كشف الحساب'!$N$4:$N$203,0),0))),"")</f>
        <v/>
      </c>
      <c r="H29" s="59" t="str">
        <f>IFERROR(IF(IFERROR(MATCH(25,'كشف الحساب'!$N$4:$N$203,0),0)=0,"",INDEX('كشف الحساب'!$H$4:$H$203,IFERROR(MATCH(25,'كشف الحساب'!$N$4:$N$203,0),0))),"")</f>
        <v/>
      </c>
      <c r="I29" s="59" t="str">
        <f>IFERROR(IF(IFERROR(MATCH(25,'كشف الحساب'!$N$4:$N$203,0),0)=0,"",INDEX('كشف الحساب'!$I$4:$I$203,IFERROR(MATCH(25,'كشف الحساب'!$N$4:$N$203,0),0))),"")</f>
        <v/>
      </c>
      <c r="J29" s="43" t="str">
        <f>IFERROR(IF(IFERROR(MATCH(25,'كشف الحساب'!$N$4:$N$203,0),0)=0,"",INDEX('كشف الحساب'!$J$4:$J$203,IFERROR(MATCH(25,'كشف الحساب'!$N$4:$N$203,0),0))),"")</f>
        <v/>
      </c>
      <c r="K29" s="59" t="str">
        <f>IFERROR(IF(IFERROR(MATCH(25,'كشف الحساب'!$N$4:$N$203,0),0)=0,"",INDEX('كشف الحساب'!$K$4:$K$203,IFERROR(MATCH(25,'كشف الحساب'!$N$4:$N$203,0),0))),"")</f>
        <v/>
      </c>
    </row>
    <row r="30" spans="1:11" ht="16.5" customHeight="1" x14ac:dyDescent="0.25">
      <c r="A30" s="25" t="str">
        <f>IFERROR(IF(IFERROR(MATCH(26,'كشف الحساب'!$N$4:$N$203,0),0)=0,"",INDEX('كشف الحساب'!$A$4:$A$203,IFERROR(MATCH(26,'كشف الحساب'!$N$4:$N$203,0),0))),"")</f>
        <v/>
      </c>
      <c r="B30" s="61" t="str">
        <f>IFERROR(IF(IFERROR(MATCH(26,'كشف الحساب'!$N$4:$N$203,0),0)=0,"",INDEX('كشف الحساب'!$B$4:$B$203,IFERROR(MATCH(26,'كشف الحساب'!$N$4:$N$203,0),0))),"")</f>
        <v/>
      </c>
      <c r="C30" s="27" t="str">
        <f>IFERROR(IF(IFERROR(MATCH(26,'كشف الحساب'!$N$4:$N$203,0),0)=0,"",INDEX('كشف الحساب'!$C$4:$C$203,IFERROR(MATCH(26,'كشف الحساب'!$N$4:$N$203,0),0))),"")</f>
        <v/>
      </c>
      <c r="D30" s="28" t="str">
        <f>IFERROR(IF(IFERROR(MATCH(26,'كشف الحساب'!$N$4:$N$203,0),0)=0,"",INDEX('كشف الحساب'!$D$4:$D$203,IFERROR(MATCH(26,'كشف الحساب'!$N$4:$N$203,0),0))),"")</f>
        <v/>
      </c>
      <c r="E30" s="62" t="str">
        <f>IFERROR(IF(IFERROR(MATCH(26,'كشف الحساب'!$N$4:$N$203,0),0)=0,"",INDEX('كشف الحساب'!$E$4:$E$203,IFERROR(MATCH(26,'كشف الحساب'!$N$4:$N$203,0),0))),"")</f>
        <v/>
      </c>
      <c r="F30" s="61" t="str">
        <f>IFERROR(IF(IFERROR(MATCH(26,'كشف الحساب'!$N$4:$N$203,0),0)=0,"",INDEX('كشف الحساب'!$F$4:$F$203,IFERROR(MATCH(26,'كشف الحساب'!$N$4:$N$203,0),0))),"")</f>
        <v/>
      </c>
      <c r="G30" s="61" t="str">
        <f>IFERROR(IF(IFERROR(MATCH(26,'كشف الحساب'!$N$4:$N$203,0),0)=0,"",INDEX('كشف الحساب'!$G$4:$G$203,IFERROR(MATCH(26,'كشف الحساب'!$N$4:$N$203,0),0))),"")</f>
        <v/>
      </c>
      <c r="H30" s="61" t="str">
        <f>IFERROR(IF(IFERROR(MATCH(26,'كشف الحساب'!$N$4:$N$203,0),0)=0,"",INDEX('كشف الحساب'!$H$4:$H$203,IFERROR(MATCH(26,'كشف الحساب'!$N$4:$N$203,0),0))),"")</f>
        <v/>
      </c>
      <c r="I30" s="61" t="str">
        <f>IFERROR(IF(IFERROR(MATCH(26,'كشف الحساب'!$N$4:$N$203,0),0)=0,"",INDEX('كشف الحساب'!$I$4:$I$203,IFERROR(MATCH(26,'كشف الحساب'!$N$4:$N$203,0),0))),"")</f>
        <v/>
      </c>
      <c r="J30" s="34" t="str">
        <f>IFERROR(IF(IFERROR(MATCH(26,'كشف الحساب'!$N$4:$N$203,0),0)=0,"",INDEX('كشف الحساب'!$J$4:$J$203,IFERROR(MATCH(26,'كشف الحساب'!$N$4:$N$203,0),0))),"")</f>
        <v/>
      </c>
      <c r="K30" s="61" t="str">
        <f>IFERROR(IF(IFERROR(MATCH(26,'كشف الحساب'!$N$4:$N$203,0),0)=0,"",INDEX('كشف الحساب'!$K$4:$K$203,IFERROR(MATCH(26,'كشف الحساب'!$N$4:$N$203,0),0))),"")</f>
        <v/>
      </c>
    </row>
    <row r="31" spans="1:11" ht="16.5" customHeight="1" x14ac:dyDescent="0.25">
      <c r="A31" s="139" t="str">
        <f>IFERROR(IF(IFERROR(MATCH(27,'كشف الحساب'!$N$4:$N$203,0),0)=0,"",INDEX('كشف الحساب'!$A$4:$A$203,IFERROR(MATCH(27,'كشف الحساب'!$N$4:$N$203,0),0))),"")</f>
        <v/>
      </c>
      <c r="B31" s="59" t="str">
        <f>IFERROR(IF(IFERROR(MATCH(27,'كشف الحساب'!$N$4:$N$203,0),0)=0,"",INDEX('كشف الحساب'!$B$4:$B$203,IFERROR(MATCH(27,'كشف الحساب'!$N$4:$N$203,0),0))),"")</f>
        <v/>
      </c>
      <c r="C31" s="37" t="str">
        <f>IFERROR(IF(IFERROR(MATCH(27,'كشف الحساب'!$N$4:$N$203,0),0)=0,"",INDEX('كشف الحساب'!$C$4:$C$203,IFERROR(MATCH(27,'كشف الحساب'!$N$4:$N$203,0),0))),"")</f>
        <v/>
      </c>
      <c r="D31" s="38" t="str">
        <f>IFERROR(IF(IFERROR(MATCH(27,'كشف الحساب'!$N$4:$N$203,0),0)=0,"",INDEX('كشف الحساب'!$D$4:$D$203,IFERROR(MATCH(27,'كشف الحساب'!$N$4:$N$203,0),0))),"")</f>
        <v/>
      </c>
      <c r="E31" s="60" t="str">
        <f>IFERROR(IF(IFERROR(MATCH(27,'كشف الحساب'!$N$4:$N$203,0),0)=0,"",INDEX('كشف الحساب'!$E$4:$E$203,IFERROR(MATCH(27,'كشف الحساب'!$N$4:$N$203,0),0))),"")</f>
        <v/>
      </c>
      <c r="F31" s="59" t="str">
        <f>IFERROR(IF(IFERROR(MATCH(27,'كشف الحساب'!$N$4:$N$203,0),0)=0,"",INDEX('كشف الحساب'!$F$4:$F$203,IFERROR(MATCH(27,'كشف الحساب'!$N$4:$N$203,0),0))),"")</f>
        <v/>
      </c>
      <c r="G31" s="59" t="str">
        <f>IFERROR(IF(IFERROR(MATCH(27,'كشف الحساب'!$N$4:$N$203,0),0)=0,"",INDEX('كشف الحساب'!$G$4:$G$203,IFERROR(MATCH(27,'كشف الحساب'!$N$4:$N$203,0),0))),"")</f>
        <v/>
      </c>
      <c r="H31" s="59" t="str">
        <f>IFERROR(IF(IFERROR(MATCH(27,'كشف الحساب'!$N$4:$N$203,0),0)=0,"",INDEX('كشف الحساب'!$H$4:$H$203,IFERROR(MATCH(27,'كشف الحساب'!$N$4:$N$203,0),0))),"")</f>
        <v/>
      </c>
      <c r="I31" s="59" t="str">
        <f>IFERROR(IF(IFERROR(MATCH(27,'كشف الحساب'!$N$4:$N$203,0),0)=0,"",INDEX('كشف الحساب'!$I$4:$I$203,IFERROR(MATCH(27,'كشف الحساب'!$N$4:$N$203,0),0))),"")</f>
        <v/>
      </c>
      <c r="J31" s="43" t="str">
        <f>IFERROR(IF(IFERROR(MATCH(27,'كشف الحساب'!$N$4:$N$203,0),0)=0,"",INDEX('كشف الحساب'!$J$4:$J$203,IFERROR(MATCH(27,'كشف الحساب'!$N$4:$N$203,0),0))),"")</f>
        <v/>
      </c>
      <c r="K31" s="59" t="str">
        <f>IFERROR(IF(IFERROR(MATCH(27,'كشف الحساب'!$N$4:$N$203,0),0)=0,"",INDEX('كشف الحساب'!$K$4:$K$203,IFERROR(MATCH(27,'كشف الحساب'!$N$4:$N$203,0),0))),"")</f>
        <v/>
      </c>
    </row>
    <row r="32" spans="1:11" ht="16.5" customHeight="1" x14ac:dyDescent="0.25">
      <c r="A32" s="25" t="str">
        <f>IFERROR(IF(IFERROR(MATCH(28,'كشف الحساب'!$N$4:$N$203,0),0)=0,"",INDEX('كشف الحساب'!$A$4:$A$203,IFERROR(MATCH(28,'كشف الحساب'!$N$4:$N$203,0),0))),"")</f>
        <v/>
      </c>
      <c r="B32" s="61" t="str">
        <f>IFERROR(IF(IFERROR(MATCH(28,'كشف الحساب'!$N$4:$N$203,0),0)=0,"",INDEX('كشف الحساب'!$B$4:$B$203,IFERROR(MATCH(28,'كشف الحساب'!$N$4:$N$203,0),0))),"")</f>
        <v/>
      </c>
      <c r="C32" s="27" t="str">
        <f>IFERROR(IF(IFERROR(MATCH(28,'كشف الحساب'!$N$4:$N$203,0),0)=0,"",INDEX('كشف الحساب'!$C$4:$C$203,IFERROR(MATCH(28,'كشف الحساب'!$N$4:$N$203,0),0))),"")</f>
        <v/>
      </c>
      <c r="D32" s="28" t="str">
        <f>IFERROR(IF(IFERROR(MATCH(28,'كشف الحساب'!$N$4:$N$203,0),0)=0,"",INDEX('كشف الحساب'!$D$4:$D$203,IFERROR(MATCH(28,'كشف الحساب'!$N$4:$N$203,0),0))),"")</f>
        <v/>
      </c>
      <c r="E32" s="62" t="str">
        <f>IFERROR(IF(IFERROR(MATCH(28,'كشف الحساب'!$N$4:$N$203,0),0)=0,"",INDEX('كشف الحساب'!$E$4:$E$203,IFERROR(MATCH(28,'كشف الحساب'!$N$4:$N$203,0),0))),"")</f>
        <v/>
      </c>
      <c r="F32" s="61" t="str">
        <f>IFERROR(IF(IFERROR(MATCH(28,'كشف الحساب'!$N$4:$N$203,0),0)=0,"",INDEX('كشف الحساب'!$F$4:$F$203,IFERROR(MATCH(28,'كشف الحساب'!$N$4:$N$203,0),0))),"")</f>
        <v/>
      </c>
      <c r="G32" s="61" t="str">
        <f>IFERROR(IF(IFERROR(MATCH(28,'كشف الحساب'!$N$4:$N$203,0),0)=0,"",INDEX('كشف الحساب'!$G$4:$G$203,IFERROR(MATCH(28,'كشف الحساب'!$N$4:$N$203,0),0))),"")</f>
        <v/>
      </c>
      <c r="H32" s="61" t="str">
        <f>IFERROR(IF(IFERROR(MATCH(28,'كشف الحساب'!$N$4:$N$203,0),0)=0,"",INDEX('كشف الحساب'!$H$4:$H$203,IFERROR(MATCH(28,'كشف الحساب'!$N$4:$N$203,0),0))),"")</f>
        <v/>
      </c>
      <c r="I32" s="61" t="str">
        <f>IFERROR(IF(IFERROR(MATCH(28,'كشف الحساب'!$N$4:$N$203,0),0)=0,"",INDEX('كشف الحساب'!$I$4:$I$203,IFERROR(MATCH(28,'كشف الحساب'!$N$4:$N$203,0),0))),"")</f>
        <v/>
      </c>
      <c r="J32" s="34" t="str">
        <f>IFERROR(IF(IFERROR(MATCH(28,'كشف الحساب'!$N$4:$N$203,0),0)=0,"",INDEX('كشف الحساب'!$J$4:$J$203,IFERROR(MATCH(28,'كشف الحساب'!$N$4:$N$203,0),0))),"")</f>
        <v/>
      </c>
      <c r="K32" s="61" t="str">
        <f>IFERROR(IF(IFERROR(MATCH(28,'كشف الحساب'!$N$4:$N$203,0),0)=0,"",INDEX('كشف الحساب'!$K$4:$K$203,IFERROR(MATCH(28,'كشف الحساب'!$N$4:$N$203,0),0))),"")</f>
        <v/>
      </c>
    </row>
    <row r="33" spans="1:11" ht="16.5" customHeight="1" x14ac:dyDescent="0.25">
      <c r="A33" s="139" t="str">
        <f>IFERROR(IF(IFERROR(MATCH(29,'كشف الحساب'!$N$4:$N$203,0),0)=0,"",INDEX('كشف الحساب'!$A$4:$A$203,IFERROR(MATCH(29,'كشف الحساب'!$N$4:$N$203,0),0))),"")</f>
        <v/>
      </c>
      <c r="B33" s="59" t="str">
        <f>IFERROR(IF(IFERROR(MATCH(29,'كشف الحساب'!$N$4:$N$203,0),0)=0,"",INDEX('كشف الحساب'!$B$4:$B$203,IFERROR(MATCH(29,'كشف الحساب'!$N$4:$N$203,0),0))),"")</f>
        <v/>
      </c>
      <c r="C33" s="37" t="str">
        <f>IFERROR(IF(IFERROR(MATCH(29,'كشف الحساب'!$N$4:$N$203,0),0)=0,"",INDEX('كشف الحساب'!$C$4:$C$203,IFERROR(MATCH(29,'كشف الحساب'!$N$4:$N$203,0),0))),"")</f>
        <v/>
      </c>
      <c r="D33" s="38" t="str">
        <f>IFERROR(IF(IFERROR(MATCH(29,'كشف الحساب'!$N$4:$N$203,0),0)=0,"",INDEX('كشف الحساب'!$D$4:$D$203,IFERROR(MATCH(29,'كشف الحساب'!$N$4:$N$203,0),0))),"")</f>
        <v/>
      </c>
      <c r="E33" s="60" t="str">
        <f>IFERROR(IF(IFERROR(MATCH(29,'كشف الحساب'!$N$4:$N$203,0),0)=0,"",INDEX('كشف الحساب'!$E$4:$E$203,IFERROR(MATCH(29,'كشف الحساب'!$N$4:$N$203,0),0))),"")</f>
        <v/>
      </c>
      <c r="F33" s="59" t="str">
        <f>IFERROR(IF(IFERROR(MATCH(29,'كشف الحساب'!$N$4:$N$203,0),0)=0,"",INDEX('كشف الحساب'!$F$4:$F$203,IFERROR(MATCH(29,'كشف الحساب'!$N$4:$N$203,0),0))),"")</f>
        <v/>
      </c>
      <c r="G33" s="59" t="str">
        <f>IFERROR(IF(IFERROR(MATCH(29,'كشف الحساب'!$N$4:$N$203,0),0)=0,"",INDEX('كشف الحساب'!$G$4:$G$203,IFERROR(MATCH(29,'كشف الحساب'!$N$4:$N$203,0),0))),"")</f>
        <v/>
      </c>
      <c r="H33" s="59" t="str">
        <f>IFERROR(IF(IFERROR(MATCH(29,'كشف الحساب'!$N$4:$N$203,0),0)=0,"",INDEX('كشف الحساب'!$H$4:$H$203,IFERROR(MATCH(29,'كشف الحساب'!$N$4:$N$203,0),0))),"")</f>
        <v/>
      </c>
      <c r="I33" s="59" t="str">
        <f>IFERROR(IF(IFERROR(MATCH(29,'كشف الحساب'!$N$4:$N$203,0),0)=0,"",INDEX('كشف الحساب'!$I$4:$I$203,IFERROR(MATCH(29,'كشف الحساب'!$N$4:$N$203,0),0))),"")</f>
        <v/>
      </c>
      <c r="J33" s="43" t="str">
        <f>IFERROR(IF(IFERROR(MATCH(29,'كشف الحساب'!$N$4:$N$203,0),0)=0,"",INDEX('كشف الحساب'!$J$4:$J$203,IFERROR(MATCH(29,'كشف الحساب'!$N$4:$N$203,0),0))),"")</f>
        <v/>
      </c>
      <c r="K33" s="59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 x14ac:dyDescent="0.25">
      <c r="A34" s="25" t="str">
        <f>IFERROR(IF(IFERROR(MATCH(30,'كشف الحساب'!$N$4:$N$203,0),0)=0,"",INDEX('كشف الحساب'!$A$4:$A$203,IFERROR(MATCH(30,'كشف الحساب'!$N$4:$N$203,0),0))),"")</f>
        <v/>
      </c>
      <c r="B34" s="61" t="str">
        <f>IFERROR(IF(IFERROR(MATCH(30,'كشف الحساب'!$N$4:$N$203,0),0)=0,"",INDEX('كشف الحساب'!$B$4:$B$203,IFERROR(MATCH(30,'كشف الحساب'!$N$4:$N$203,0),0))),"")</f>
        <v/>
      </c>
      <c r="C34" s="27" t="str">
        <f>IFERROR(IF(IFERROR(MATCH(30,'كشف الحساب'!$N$4:$N$203,0),0)=0,"",INDEX('كشف الحساب'!$C$4:$C$203,IFERROR(MATCH(30,'كشف الحساب'!$N$4:$N$203,0),0))),"")</f>
        <v/>
      </c>
      <c r="D34" s="28" t="str">
        <f>IFERROR(IF(IFERROR(MATCH(30,'كشف الحساب'!$N$4:$N$203,0),0)=0,"",INDEX('كشف الحساب'!$D$4:$D$203,IFERROR(MATCH(30,'كشف الحساب'!$N$4:$N$203,0),0))),"")</f>
        <v/>
      </c>
      <c r="E34" s="62" t="str">
        <f>IFERROR(IF(IFERROR(MATCH(30,'كشف الحساب'!$N$4:$N$203,0),0)=0,"",INDEX('كشف الحساب'!$E$4:$E$203,IFERROR(MATCH(30,'كشف الحساب'!$N$4:$N$203,0),0))),"")</f>
        <v/>
      </c>
      <c r="F34" s="61" t="str">
        <f>IFERROR(IF(IFERROR(MATCH(30,'كشف الحساب'!$N$4:$N$203,0),0)=0,"",INDEX('كشف الحساب'!$F$4:$F$203,IFERROR(MATCH(30,'كشف الحساب'!$N$4:$N$203,0),0))),"")</f>
        <v/>
      </c>
      <c r="G34" s="61" t="str">
        <f>IFERROR(IF(IFERROR(MATCH(30,'كشف الحساب'!$N$4:$N$203,0),0)=0,"",INDEX('كشف الحساب'!$G$4:$G$203,IFERROR(MATCH(30,'كشف الحساب'!$N$4:$N$203,0),0))),"")</f>
        <v/>
      </c>
      <c r="H34" s="61" t="str">
        <f>IFERROR(IF(IFERROR(MATCH(30,'كشف الحساب'!$N$4:$N$203,0),0)=0,"",INDEX('كشف الحساب'!$H$4:$H$203,IFERROR(MATCH(30,'كشف الحساب'!$N$4:$N$203,0),0))),"")</f>
        <v/>
      </c>
      <c r="I34" s="61" t="str">
        <f>IFERROR(IF(IFERROR(MATCH(30,'كشف الحساب'!$N$4:$N$203,0),0)=0,"",INDEX('كشف الحساب'!$I$4:$I$203,IFERROR(MATCH(30,'كشف الحساب'!$N$4:$N$203,0),0))),"")</f>
        <v/>
      </c>
      <c r="J34" s="34" t="str">
        <f>IFERROR(IF(IFERROR(MATCH(30,'كشف الحساب'!$N$4:$N$203,0),0)=0,"",INDEX('كشف الحساب'!$J$4:$J$203,IFERROR(MATCH(30,'كشف الحساب'!$N$4:$N$203,0),0))),"")</f>
        <v/>
      </c>
      <c r="K34" s="61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 x14ac:dyDescent="0.25">
      <c r="A35" s="63" t="str">
        <f>IFERROR(IF(IFERROR(MATCH(31,'كشف الحساب'!$N$4:$N$203,0),0)=0,"",INDEX('كشف الحساب'!$A$4:$A$203,IFERROR(MATCH(31,'كشف الحساب'!$N$4:$N$203,0),0))),"")</f>
        <v/>
      </c>
      <c r="B35" s="64" t="str">
        <f>IFERROR(IF(IFERROR(MATCH(31,'كشف الحساب'!$N$4:$N$203,0),0)=0,"",INDEX('كشف الحساب'!$B$4:$B$203,IFERROR(MATCH(31,'كشف الحساب'!$N$4:$N$203,0),0))),"")</f>
        <v/>
      </c>
      <c r="C35" s="65" t="str">
        <f>IFERROR(IF(IFERROR(MATCH(31,'كشف الحساب'!$N$4:$N$203,0),0)=0,"",INDEX('كشف الحساب'!$C$4:$C$203,IFERROR(MATCH(31,'كشف الحساب'!$N$4:$N$203,0),0))),"")</f>
        <v/>
      </c>
      <c r="D35" s="66" t="str">
        <f>IFERROR(IF(IFERROR(MATCH(31,'كشف الحساب'!$N$4:$N$203,0),0)=0,"",INDEX('كشف الحساب'!$D$4:$D$203,IFERROR(MATCH(31,'كشف الحساب'!$N$4:$N$203,0),0))),"")</f>
        <v/>
      </c>
      <c r="E35" s="67" t="str">
        <f>IFERROR(IF(IFERROR(MATCH(31,'كشف الحساب'!$N$4:$N$203,0),0)=0,"",INDEX('كشف الحساب'!$E$4:$E$203,IFERROR(MATCH(31,'كشف الحساب'!$N$4:$N$203,0),0))),"")</f>
        <v/>
      </c>
      <c r="F35" s="64" t="str">
        <f>IFERROR(IF(IFERROR(MATCH(31,'كشف الحساب'!$N$4:$N$203,0),0)=0,"",INDEX('كشف الحساب'!$F$4:$F$203,IFERROR(MATCH(31,'كشف الحساب'!$N$4:$N$203,0),0))),"")</f>
        <v/>
      </c>
      <c r="G35" s="64" t="str">
        <f>IFERROR(IF(IFERROR(MATCH(31,'كشف الحساب'!$N$4:$N$203,0),0)=0,"",INDEX('كشف الحساب'!$G$4:$G$203,IFERROR(MATCH(31,'كشف الحساب'!$N$4:$N$203,0),0))),"")</f>
        <v/>
      </c>
      <c r="H35" s="64" t="str">
        <f>IFERROR(IF(IFERROR(MATCH(31,'كشف الحساب'!$N$4:$N$203,0),0)=0,"",INDEX('كشف الحساب'!$H$4:$H$203,IFERROR(MATCH(31,'كشف الحساب'!$N$4:$N$203,0),0))),"")</f>
        <v/>
      </c>
      <c r="I35" s="64" t="str">
        <f>IFERROR(IF(IFERROR(MATCH(31,'كشف الحساب'!$N$4:$N$203,0),0)=0,"",INDEX('كشف الحساب'!$I$4:$I$203,IFERROR(MATCH(31,'كشف الحساب'!$N$4:$N$203,0),0))),"")</f>
        <v/>
      </c>
      <c r="J35" s="68" t="str">
        <f>IFERROR(IF(IFERROR(MATCH(31,'كشف الحساب'!$N$4:$N$203,0),0)=0,"",INDEX('كشف الحساب'!$J$4:$J$203,IFERROR(MATCH(31,'كشف الحساب'!$N$4:$N$203,0),0))),"")</f>
        <v/>
      </c>
      <c r="K35" s="64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/>
      </c>
      <c r="C37" s="65"/>
      <c r="D37" s="66" t="str">
        <f>IFERROR(IF(IFERROR(MATCH(33,'كشف الحساب'!$N$4:$N$203,0),0)=0,"",INDEX('كشف الحساب'!$D$4:$D$203,IFERROR(MATCH(33,'كشف الحساب'!$N$4:$N$203,0),0))),"")</f>
        <v/>
      </c>
      <c r="E37"/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265</v>
      </c>
      <c r="B155" s="156"/>
      <c r="C155" s="156"/>
      <c r="D155" s="75">
        <f>SUM(D5:D154)</f>
        <v>146.32500000000002</v>
      </c>
      <c r="E155" s="75">
        <f>SUM(E5:E154)</f>
        <v>169.25</v>
      </c>
      <c r="F155" s="168">
        <f>COUNTIF(H5:H154,"معلق")</f>
        <v>0</v>
      </c>
      <c r="G155" s="156"/>
      <c r="H155" s="156"/>
      <c r="I155" s="76"/>
      <c r="J155" s="75">
        <f>E155-D155</f>
        <v>22.924999999999983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268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269</v>
      </c>
      <c r="B2" s="156"/>
      <c r="C2" s="56" t="s">
        <v>342</v>
      </c>
      <c r="D2" s="166" t="s">
        <v>270</v>
      </c>
      <c r="E2" s="156"/>
      <c r="F2" s="56">
        <v>2026</v>
      </c>
    </row>
    <row r="3" spans="1:7" ht="21.75" customHeight="1" x14ac:dyDescent="0.25">
      <c r="A3" s="170" t="s">
        <v>271</v>
      </c>
      <c r="B3" s="156"/>
      <c r="C3" s="57">
        <f>المحفظة!$D$2</f>
        <v>0</v>
      </c>
      <c r="D3" s="170" t="s">
        <v>272</v>
      </c>
      <c r="E3" s="156"/>
      <c r="F3" s="78">
        <f>المحفظة!$C$3</f>
        <v>0</v>
      </c>
    </row>
    <row r="4" spans="1:7" ht="21.75" customHeight="1" x14ac:dyDescent="0.25">
      <c r="A4" s="171" t="s">
        <v>273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1" t="s">
        <v>266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3" t="s">
        <v>275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3" t="s">
        <v>276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277</v>
      </c>
      <c r="B108" s="156"/>
      <c r="C108" s="156"/>
      <c r="D108" s="75">
        <f>E55-D107</f>
        <v>0</v>
      </c>
      <c r="E108" s="172">
        <f>SUM(E5:E107)</f>
        <v>0</v>
      </c>
      <c r="F108" s="156"/>
      <c r="G108" s="157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2026-08-13T13:49:05Z</dcterms:modified>
  <dc:language>en-US</dc:language>
</cp:coreProperties>
</file>