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3CF843F3-065A-4889-872E-CDD8CD1C7A6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J227" i="2"/>
  <c r="J228" i="2" s="1"/>
  <c r="J229" i="2" s="1"/>
  <c r="J230" i="2" s="1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J225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<sst xmlns="http://schemas.openxmlformats.org/spreadsheetml/2006/main" count="1133" uniqueCount="480">
  <si>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</si>
  <si>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</si>
  <si>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</si>
  <si>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</si>
  <si>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</si>
  <si>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</si>
  <si>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</si>
  <si>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</si>
  <si>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</si>
  <si>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</si>
  <si>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</si>
  <si>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</si>
  <si>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</si>
  <si>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</si>
  <si>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</si>
  <si>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</si>
  <si>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</si>
  <si>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</si>
  <si>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</si>
  <si>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</si>
  <si>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</si>
  <si>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</si>
  <si>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</si>
  <si>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</si>
  <si>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</si>
  <si>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</si>
  <si>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</si>
  <si>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</si>
  <si>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</si>
  <si>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</si>
  <si>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</si>
  <si>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</si>
  <si>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</si>
  <si>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</si>
  <si>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</si>
  <si>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</si>
  <si>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</si>
  <si>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</si>
  <si>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</si>
  <si>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</si>
  <si>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</si>
  <si>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</si>
  <si>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</si>
  <si>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</si>
  <si>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</si>
  <si>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</si>
  <si>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</si>
  <si>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</si>
  <si>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</si>
  <si>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</si>
  <si>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</si>
  <si>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</si>
  <si>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</si>
  <si>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</si>
  <si>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</si>
  <si>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</si>
  <si>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</si>
  <si>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</si>
  <si>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</si>
  <si>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</si>
  <si>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</si>
  <si>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</si>
  <si>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</si>
  <si>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</si>
  <si>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</si>
  <si>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</si>
  <si>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</si>
  <si>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</si>
  <si>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</si>
  <si>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</si>
  <si>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</si>
  <si>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</si>
  <si>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</si>
  <si>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</si>
  <si>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</si>
  <si>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</si>
  <si>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</si>
  <si>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</si>
  <si>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</si>
  <si>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</si>
  <si>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</si>
  <si>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</si>
  <si>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</si>
  <si>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</si>
  <si>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</si>
  <si>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</si>
  <si>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</si>
  <si>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</si>
  <si>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</si>
  <si>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</si>
  <si>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</si>
  <si>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</si>
  <si>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</si>
  <si>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</si>
  <si>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</si>
  <si>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</si>
  <si>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</si>
  <si>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</si>
  <si>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</si>
  <si>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</si>
  <si>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</si>
  <si>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</si>
  <si>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</si>
  <si>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</si>
  <si>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</si>
  <si>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</si>
  <si>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</si>
  <si>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</si>
  <si>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</si>
  <si>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</si>
  <si>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</si>
  <si>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</si>
  <si>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</si>
  <si>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</si>
  <si>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</si>
  <si>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</si>
  <si>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</si>
  <si>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</si>
  <si>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</si>
  <si>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</si>
  <si>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</si>
  <si>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</si>
  <si>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</si>
  <si>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</si>
  <si>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</si>
  <si>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</si>
  <si>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</si>
  <si>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</si>
  <si>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</si>
  <si>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</si>
  <si>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</si>
  <si>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</si>
  <si>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</si>
  <si>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</si>
  <si>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</si>
  <si>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</si>
  <si>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</si>
  <si>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</si>
  <si>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</si>
  <si>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</si>
  <si>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</si>
  <si>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</si>
  <si>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</si>
  <si>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</si>
  <si>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</si>
  <si>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</si>
  <si>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</si>
  <si>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</si>
  <si>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</si>
  <si>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</si>
  <si>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</si>
  <si>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</si>
  <si>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</si>
  <si>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</si>
  <si>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</si>
  <si>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</si>
  <si>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</si>
  <si>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</si>
  <si>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</si>
  <si>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</si>
  <si>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</si>
  <si>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</si>
  <si>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</si>
  <si>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</si>
  <si>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</si>
  <si>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</si>
  <si>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</si>
  <si>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</si>
  <si>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</si>
  <si>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</si>
  <si>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</si>
  <si>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</si>
  <si>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</si>
  <si>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</si>
  <si>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</si>
  <si>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</si>
  <si>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</si>
  <si>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</si>
  <si>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</si>
  <si>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</si>
  <si>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</si>
  <si>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</si>
  <si>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</si>
  <si>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</si>
  <si>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</si>
  <si>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</si>
  <si>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</si>
  <si>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</si>
  <si>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</si>
  <si>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</si>
  <si>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</si>
  <si>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</si>
  <si>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</si>
  <si>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</si>
  <si>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</si>
  <si>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</si>
  <si>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</si>
  <si>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</si>
  <si>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</si>
  <si>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</si>
  <si>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</si>
  <si>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</si>
  <si>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</si>
  <si>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</si>
  <si>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</si>
  <si>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</si>
  <si>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</si>
  <si>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</si>
  <si>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</si>
  <si>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</si>
  <si>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</si>
  <si>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</si>
  <si>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</si>
  <si>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</si>
  <si>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</si>
  <si>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</si>
  <si>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</si>
  <si>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</si>
  <si>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</si>
  <si>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</si>
  <si>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</si>
  <si>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</si>
  <si>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</si>
  <si>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</si>
  <si>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</si>
  <si>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</si>
  <si>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</si>
  <si>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</si>
  <si>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</si>
  <si>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</si>
  <si>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</si>
  <si>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</si>
  <si>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</si>
  <si>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</si>
  <si>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</si>
  <si>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</si>
  <si>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</si>
  <si>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</si>
  <si>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</si>
  <si>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</si>
  <si>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</si>
  <si>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</si>
  <si>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</si>
  <si>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</si>
  <si>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</si>
  <si>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</si>
  <si>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</si>
  <si>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</si>
  <si>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</si>
  <si>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</si>
  <si>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</si>
  <si>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</si>
  <si>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</si>
  <si>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</si>
  <si>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</si>
  <si>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</si>
  <si>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</si>
  <si>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</si>
  <si>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</si>
  <si>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</si>
  <si>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</si>
  <si>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</si>
  <si>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</si>
  <si>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</si>
  <si>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</si>
  <si>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</si>
  <si>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</si>
  <si>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</si>
  <si>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</si>
  <si>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</si>
  <si>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</si>
  <si>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</si>
  <si>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</si>
  <si>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</si>
  <si>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</si>
  <si>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</si>
  <si>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</si>
  <si>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</si>
  <si>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</si>
  <si>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</si>
  <si>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</si>
  <si>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</si>
  <si>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</si>
  <si>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</si>
  <si>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</si>
  <si>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</si>
  <si>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</si>
  <si>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</si>
  <si>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</si>
  <si>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</si>
  <si>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</si>
  <si>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</si>
  <si>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</si>
  <si>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</si>
  <si>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</si>
  <si>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</si>
  <si>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</si>
  <si>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</si>
  <si>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</si>
  <si>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</si>
  <si>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</si>
  <si>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</si>
  <si>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</si>
  <si>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</si>
  <si>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</si>
  <si>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</si>
  <si>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</si>
  <si>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</si>
  <si>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</si>
  <si>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</si>
  <si>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</si>
  <si>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</si>
  <si>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</si>
  <si>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</si>
  <si>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</si>
  <si>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</si>
  <si>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</si>
  <si>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</si>
  <si>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</si>
  <si>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</si>
  <si>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</si>
  <si>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</si>
  <si>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</si>
  <si>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</si>
  <si>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</si>
  <si>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</si>
  <si>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</si>
  <si>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</si>
  <si>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</si>
  <si>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</si>
  <si>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</si>
  <si>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</si>
  <si>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</si>
  <si>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</si>
  <si>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</si>
  <si>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</si>
  <si>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</si>
  <si>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</si>
  <si>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</si>
  <si>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</si>
  <si>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</si>
  <si>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</si>
  <si>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</si>
  <si>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</si>
  <si>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</si>
  <si>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</si>
  <si>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</si>
  <si>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</si>
  <si>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</si>
  <si>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</si>
  <si>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</si>
  <si>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</si>
  <si>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</si>
  <si>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</si>
  <si>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</si>
  <si>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</si>
  <si>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</si>
  <si>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</si>
  <si>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</si>
  <si>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</si>
  <si>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</si>
  <si>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</si>
  <si>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</si>
  <si>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</si>
  <si>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</si>
  <si>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</si>
  <si>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</si>
  <si>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</si>
  <si>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</si>
  <si>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</si>
  <si>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</si>
  <si>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</si>
  <si>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</si>
  <si>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</si>
  <si>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</si>
  <si>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</si>
  <si>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</si>
  <si>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</si>
  <si>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</si>
  <si>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</si>
  <si>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</si>
  <si>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</si>
  <si>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</si>
  <si>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</si>
  <si>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</si>
  <si>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</si>
  <si>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</si>
  <si>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</si>
  <si>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</si>
  <si>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</si>
  <si>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</si>
  <si>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</si>
  <si>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</si>
  <si>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</si>
  <si>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</si>
  <si>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</si>
  <si>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</si>
  <si>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</si>
  <si>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</si>
  <si>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</si>
  <si>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</si>
  <si>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</si>
  <si>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</si>
  <si>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</si>
  <si>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</si>
  <si>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</si>
  <si>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</si>
  <si>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</si>
  <si>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</si>
  <si>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</si>
  <si>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</si>
  <si>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</si>
  <si>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</si>
  <si>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</si>
  <si>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</si>
  <si>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</si>
  <si>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</si>
  <si>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</si>
  <si>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</si>
  <si>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</si>
  <si>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</si>
  <si>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</si>
  <si>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</si>
  <si>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</si>
  <si>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</si>
  <si>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</si>
  <si>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</si>
  <si>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</si>
  <si>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</si>
  <si>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</si>
  <si>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</si>
  <si>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</si>
  <si>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</si>
  <si>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</si>
  <si>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</si>
  <si>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</si>
  <si>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</si>
  <si>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</si>
  <si>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</si>
  <si>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</si>
  <si>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</si>
  <si>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</si>
  <si>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</si>
  <si>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</si>
  <si>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</si>
  <si>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</si>
  <si>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</si>
  <si>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</si>
  <si>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</si>
  <si>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</si>
  <si>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</si>
  <si>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</si>
  <si>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</si>
  <si>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</si>
  <si>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لم يدفع  63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</si>
  <si>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</si>
  <si>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</si>
  <si>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</si>
  <si>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</si>
  <si>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</si>
  <si>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</si>
  <si>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</si>
  <si>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</si>
  <si>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</si>
  <si>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</si>
  <si>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</si>
  <si>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</si>
  <si>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لم يدفه أبو ادم 79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</si>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</sst>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981.79500000000007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981.79500000000007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1946.395</v>
      </c>
      <c r="F206" s="130">
        <f>IFERROR(LOOKUP(2,1/($F$6:$F$205&lt;&gt;""),$F$6:$F$205),0)</f>
        <v>981.79500000000007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topLeftCell="B1" zoomScaleNormal="100" workbookViewId="0">
      <pane ySplit="3" topLeftCell="A220" activePane="bottomLeft" state="frozen"/>
      <selection pane="bottomLeft" activeCell="K231" sqref="K23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455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456</v>
      </c>
      <c r="C216" s="37" t="s">
        <v>457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458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459</v>
      </c>
      <c r="C219" s="27" t="s">
        <v>460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467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461</v>
      </c>
      <c r="C220" s="37" t="s">
        <v>460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462</v>
      </c>
      <c r="C221" s="27" t="s">
        <v>463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464</v>
      </c>
      <c r="C222" s="37" t="s">
        <v>465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466</v>
      </c>
      <c r="C223" s="27" t="s">
        <v>460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468</v>
      </c>
      <c r="C224" s="37" t="s">
        <v>470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981.79500000000007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469</v>
      </c>
      <c r="C225" s="27" t="s">
        <v>460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986.79500000000007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472</v>
      </c>
      <c r="C226" s="37" t="s">
        <v>471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996.79500000000007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473</v>
      </c>
      <c r="C227" s="27" t="s">
        <v>460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1016.7950000000001</v>
      </c>
      <c r="K227" s="168" t="s">
        <v>479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474</v>
      </c>
      <c r="C228" s="37" t="s">
        <v>460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1025.7950000000001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475</v>
      </c>
      <c r="C229" s="27" t="s">
        <v>477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1049.7950000000001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476</v>
      </c>
      <c r="C230" s="37" t="s">
        <v>478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1062.7950000000001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3727.8950000000004</v>
      </c>
      <c r="E255" s="46">
        <f>SUM(E4:E253)</f>
        <v>3009.19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2026-09-22T20:39:22Z</dcterms:modified>
  <dc:language>en-US</dc:language>
</cp:coreProperties>
</file>