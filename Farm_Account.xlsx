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AEFF9F62-6098-449D-AAF1-A7985781E56C}" xr6:coauthVersionLast="36" xr6:coauthVersionMax="36" xr10:uidLastSave="{00000000-0000-0000-0000-000000000000}"/>
  <bookViews>
    <workbookView xWindow="0" yWindow="0" windowWidth="16380" windowHeight="8190" tabRatio="500" firstSheet="1" activeTab="5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J153" i="2"/>
  <c r="Q152" i="2"/>
  <c r="P152" i="2"/>
  <c r="O152" i="2"/>
  <c r="N152" i="2"/>
  <c r="M152" i="2"/>
  <c r="L152" i="2"/>
  <c r="J152" i="2"/>
  <c r="Q151" i="2"/>
  <c r="P151" i="2"/>
  <c r="O151" i="2"/>
  <c r="N151" i="2"/>
  <c r="M151" i="2"/>
  <c r="L151" i="2"/>
  <c r="J151" i="2"/>
  <c r="Q150" i="2"/>
  <c r="P150" i="2"/>
  <c r="O150" i="2"/>
  <c r="N150" i="2"/>
  <c r="M150" i="2"/>
  <c r="L150" i="2"/>
  <c r="J150" i="2"/>
  <c r="Q149" i="2"/>
  <c r="P149" i="2"/>
  <c r="O149" i="2"/>
  <c r="N149" i="2"/>
  <c r="M149" i="2"/>
  <c r="L149" i="2"/>
  <c r="J149" i="2"/>
  <c r="Q148" i="2"/>
  <c r="P148" i="2"/>
  <c r="O148" i="2"/>
  <c r="N148" i="2"/>
  <c r="M148" i="2"/>
  <c r="L148" i="2"/>
  <c r="J148" i="2"/>
  <c r="Q147" i="2"/>
  <c r="P147" i="2"/>
  <c r="O147" i="2"/>
  <c r="N147" i="2"/>
  <c r="M147" i="2"/>
  <c r="L147" i="2"/>
  <c r="J147" i="2"/>
  <c r="Q146" i="2"/>
  <c r="P146" i="2"/>
  <c r="O146" i="2"/>
  <c r="N146" i="2"/>
  <c r="M146" i="2"/>
  <c r="L146" i="2"/>
  <c r="J146" i="2"/>
  <c r="Q145" i="2"/>
  <c r="P145" i="2"/>
  <c r="O145" i="2"/>
  <c r="N145" i="2"/>
  <c r="M145" i="2"/>
  <c r="L145" i="2"/>
  <c r="J145" i="2"/>
  <c r="Q144" i="2"/>
  <c r="P144" i="2"/>
  <c r="O144" i="2"/>
  <c r="N144" i="2"/>
  <c r="M144" i="2"/>
  <c r="L144" i="2"/>
  <c r="J144" i="2"/>
  <c r="Q143" i="2"/>
  <c r="P143" i="2"/>
  <c r="O143" i="2"/>
  <c r="M143" i="2"/>
  <c r="L143" i="2"/>
  <c r="J143" i="2"/>
  <c r="Q142" i="2"/>
  <c r="P142" i="2"/>
  <c r="O142" i="2"/>
  <c r="M142" i="2"/>
  <c r="L142" i="2"/>
  <c r="J142" i="2"/>
  <c r="Q141" i="2"/>
  <c r="P141" i="2"/>
  <c r="O141" i="2"/>
  <c r="M141" i="2"/>
  <c r="L141" i="2"/>
  <c r="J141" i="2"/>
  <c r="Q140" i="2"/>
  <c r="P140" i="2"/>
  <c r="O140" i="2"/>
  <c r="M140" i="2"/>
  <c r="L140" i="2"/>
  <c r="J140" i="2"/>
  <c r="Q139" i="2"/>
  <c r="P139" i="2"/>
  <c r="O139" i="2"/>
  <c r="M139" i="2"/>
  <c r="L139" i="2"/>
  <c r="J139" i="2"/>
  <c r="Q138" i="2"/>
  <c r="P138" i="2"/>
  <c r="O138" i="2"/>
  <c r="M138" i="2"/>
  <c r="L138" i="2"/>
  <c r="J138" i="2"/>
  <c r="Q137" i="2"/>
  <c r="P137" i="2"/>
  <c r="O137" i="2"/>
  <c r="M137" i="2"/>
  <c r="L137" i="2"/>
  <c r="J137" i="2"/>
  <c r="Q136" i="2"/>
  <c r="P136" i="2"/>
  <c r="O136" i="2"/>
  <c r="M136" i="2"/>
  <c r="L136" i="2"/>
  <c r="J136" i="2"/>
  <c r="Q135" i="2"/>
  <c r="P135" i="2"/>
  <c r="O135" i="2"/>
  <c r="M135" i="2"/>
  <c r="L135" i="2"/>
  <c r="J135" i="2"/>
  <c r="Q134" i="2"/>
  <c r="P134" i="2"/>
  <c r="O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F129" i="1" s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F133" i="1" s="1"/>
  <c r="B136" i="1"/>
  <c r="A141" i="1"/>
  <c r="F141" i="1" s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B124" i="1"/>
  <c r="C127" i="1"/>
  <c r="D130" i="1"/>
  <c r="E133" i="1"/>
  <c r="A137" i="1"/>
  <c r="F137" i="1" s="1"/>
  <c r="D142" i="1"/>
  <c r="A149" i="1"/>
  <c r="F149" i="1" s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F152" i="1" s="1"/>
  <c r="B151" i="1"/>
  <c r="C150" i="1"/>
  <c r="D149" i="1"/>
  <c r="E148" i="1"/>
  <c r="A148" i="1"/>
  <c r="F148" i="1" s="1"/>
  <c r="B147" i="1"/>
  <c r="C146" i="1"/>
  <c r="D145" i="1"/>
  <c r="E144" i="1"/>
  <c r="A144" i="1"/>
  <c r="F144" i="1" s="1"/>
  <c r="B143" i="1"/>
  <c r="C142" i="1"/>
  <c r="D141" i="1"/>
  <c r="E140" i="1"/>
  <c r="A140" i="1"/>
  <c r="F140" i="1" s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F151" i="1" s="1"/>
  <c r="B150" i="1"/>
  <c r="C149" i="1"/>
  <c r="D148" i="1"/>
  <c r="E147" i="1"/>
  <c r="A147" i="1"/>
  <c r="F147" i="1" s="1"/>
  <c r="B146" i="1"/>
  <c r="C145" i="1"/>
  <c r="D144" i="1"/>
  <c r="E143" i="1"/>
  <c r="A143" i="1"/>
  <c r="F143" i="1" s="1"/>
  <c r="B142" i="1"/>
  <c r="C141" i="1"/>
  <c r="D140" i="1"/>
  <c r="E139" i="1"/>
  <c r="A139" i="1"/>
  <c r="F139" i="1" s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F150" i="1" s="1"/>
  <c r="C148" i="1"/>
  <c r="E146" i="1"/>
  <c r="B145" i="1"/>
  <c r="D143" i="1"/>
  <c r="A142" i="1"/>
  <c r="F142" i="1" s="1"/>
  <c r="C140" i="1"/>
  <c r="E138" i="1"/>
  <c r="D137" i="1"/>
  <c r="E136" i="1"/>
  <c r="A136" i="1"/>
  <c r="F136" i="1" s="1"/>
  <c r="B135" i="1"/>
  <c r="C134" i="1"/>
  <c r="D133" i="1"/>
  <c r="E132" i="1"/>
  <c r="A132" i="1"/>
  <c r="F132" i="1" s="1"/>
  <c r="B131" i="1"/>
  <c r="C130" i="1"/>
  <c r="D129" i="1"/>
  <c r="E128" i="1"/>
  <c r="A128" i="1"/>
  <c r="F128" i="1" s="1"/>
  <c r="B127" i="1"/>
  <c r="C126" i="1"/>
  <c r="D125" i="1"/>
  <c r="E124" i="1"/>
  <c r="A124" i="1"/>
  <c r="B123" i="1"/>
  <c r="C122" i="1"/>
  <c r="D121" i="1"/>
  <c r="E120" i="1"/>
  <c r="A120" i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F145" i="1" s="1"/>
  <c r="C143" i="1"/>
  <c r="E141" i="1"/>
  <c r="B140" i="1"/>
  <c r="D138" i="1"/>
  <c r="C137" i="1"/>
  <c r="D136" i="1"/>
  <c r="E135" i="1"/>
  <c r="A135" i="1"/>
  <c r="F135" i="1" s="1"/>
  <c r="B134" i="1"/>
  <c r="C133" i="1"/>
  <c r="D132" i="1"/>
  <c r="E131" i="1"/>
  <c r="A131" i="1"/>
  <c r="F131" i="1" s="1"/>
  <c r="B130" i="1"/>
  <c r="C129" i="1"/>
  <c r="D128" i="1"/>
  <c r="E127" i="1"/>
  <c r="A127" i="1"/>
  <c r="F127" i="1" s="1"/>
  <c r="B126" i="1"/>
  <c r="C125" i="1"/>
  <c r="D124" i="1"/>
  <c r="E123" i="1"/>
  <c r="A123" i="1"/>
  <c r="B122" i="1"/>
  <c r="C121" i="1"/>
  <c r="D120" i="1"/>
  <c r="E119" i="1"/>
  <c r="A119" i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F146" i="1" s="1"/>
  <c r="C144" i="1"/>
  <c r="E142" i="1"/>
  <c r="B141" i="1"/>
  <c r="D139" i="1"/>
  <c r="A138" i="1"/>
  <c r="F138" i="1" s="1"/>
  <c r="B137" i="1"/>
  <c r="C136" i="1"/>
  <c r="D135" i="1"/>
  <c r="E134" i="1"/>
  <c r="A134" i="1"/>
  <c r="F134" i="1" s="1"/>
  <c r="B133" i="1"/>
  <c r="C132" i="1"/>
  <c r="D131" i="1"/>
  <c r="E130" i="1"/>
  <c r="A130" i="1"/>
  <c r="F130" i="1" s="1"/>
  <c r="B129" i="1"/>
  <c r="C128" i="1"/>
  <c r="D127" i="1"/>
  <c r="E126" i="1"/>
  <c r="A126" i="1"/>
  <c r="B125" i="1"/>
  <c r="C124" i="1"/>
  <c r="D123" i="1"/>
  <c r="E122" i="1"/>
  <c r="A122" i="1"/>
  <c r="B121" i="1"/>
  <c r="C120" i="1"/>
  <c r="D119" i="1"/>
  <c r="E118" i="1"/>
  <c r="A118" i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<sst xmlns="http://schemas.openxmlformats.org/spreadsheetml/2006/main" count="782" uniqueCount="343">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</sst>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4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2" t="s">
        <v>0</v>
      </c>
      <c r="B1" s="149"/>
      <c r="C1" s="149"/>
      <c r="D1" s="149"/>
      <c r="E1" s="149"/>
      <c r="F1" s="150"/>
    </row>
    <row r="2" spans="1:6" ht="30" customHeight="1" x14ac:dyDescent="0.25">
      <c r="A2" s="151" t="s">
        <v>1</v>
      </c>
      <c r="B2" s="149"/>
      <c r="C2" s="149"/>
      <c r="D2" s="149"/>
      <c r="E2" s="150"/>
      <c r="F2" s="119">
        <f>F206</f>
        <v>34.89500000000001</v>
      </c>
    </row>
    <row r="3" spans="1:6" ht="6" customHeight="1" x14ac:dyDescent="0.25">
      <c r="A3" s="154"/>
      <c r="B3" s="149"/>
      <c r="C3" s="149"/>
      <c r="D3" s="149"/>
      <c r="E3" s="149"/>
      <c r="F3" s="150"/>
    </row>
    <row r="4" spans="1:6" ht="27.95" customHeight="1" x14ac:dyDescent="0.25">
      <c r="A4" s="153" t="s">
        <v>2</v>
      </c>
      <c r="B4" s="149"/>
      <c r="C4" s="149"/>
      <c r="D4" s="149"/>
      <c r="E4" s="149"/>
      <c r="F4" s="150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الحساب'!$A$4:$A$204,MATCH(113,'كشف الحساب'!$P$4:$P$204,0)),"")</f>
        <v>46235</v>
      </c>
      <c r="B118" s="122" t="str">
        <f>IFERROR(INDEX('كشف الحساب'!$B$4:$B$204,MATCH(113,'كشف الحساب'!$P$4:$P$204,0)),"")</f>
        <v>Inv-107</v>
      </c>
      <c r="C118" s="121" t="str">
        <f>IFERROR(INDEX('كشف الحساب'!$C$4:$C$204,MATCH(113,'كشف الحساب'!$P$4:$P$204,0)),"")</f>
        <v>متنوع عدد 1 بقيمه 2.500</v>
      </c>
      <c r="D118" s="123">
        <f>IFERROR(INDEX('كشف الحساب'!$E$4:$E$204,MATCH(113,'كشف الحساب'!$P$4:$P$204,0)),"")</f>
        <v>2.5</v>
      </c>
      <c r="E118" s="124">
        <f>IFERROR(INDEX('كشف الحساب'!$D$4:$D$204,MATCH(113,'كشف الحساب'!$P$4:$P$204,0)),"")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الحساب'!$A$4:$A$204,MATCH(114,'كشف الحساب'!$P$4:$P$204,0)),"")</f>
        <v>46235</v>
      </c>
      <c r="B119" s="122" t="str">
        <f>IFERROR(INDEX('كشف الحساب'!$B$4:$B$204,MATCH(114,'كشف الحساب'!$P$4:$P$204,0)),"")</f>
        <v>Inv-108</v>
      </c>
      <c r="C119" s="121" t="str">
        <f>IFERROR(INDEX('كشف الحساب'!$C$4:$C$204,MATCH(114,'كشف الحساب'!$P$4:$P$204,0)),"")</f>
        <v>فل عدد 1 بقيمه .750</v>
      </c>
      <c r="D119" s="123">
        <f>IFERROR(INDEX('كشف الحساب'!$E$4:$E$204,MATCH(114,'كشف الحساب'!$P$4:$P$204,0)),"")</f>
        <v>0.75</v>
      </c>
      <c r="E119" s="124">
        <f>IFERROR(INDEX('كشف الحساب'!$D$4:$D$204,MATCH(114,'كشف الحساب'!$P$4:$P$204,0)),"")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الحساب'!$A$4:$A$204,MATCH(115,'كشف الحساب'!$P$4:$P$204,0)),"")</f>
        <v>46235</v>
      </c>
      <c r="B120" s="122">
        <f>IFERROR(INDEX('كشف الحساب'!$B$4:$B$204,MATCH(115,'كشف الحساب'!$P$4:$P$204,0)),"")</f>
        <v>0</v>
      </c>
      <c r="C120" s="121" t="str">
        <f>IFERROR(INDEX('كشف الحساب'!$C$4:$C$204,MATCH(115,'كشف الحساب'!$P$4:$P$204,0)),"")</f>
        <v>بتموس عدد 2 الواحده 12</v>
      </c>
      <c r="D120" s="123">
        <f>IFERROR(INDEX('كشف الحساب'!$E$4:$E$204,MATCH(115,'كشف الحساب'!$P$4:$P$204,0)),"")</f>
        <v>0</v>
      </c>
      <c r="E120" s="124">
        <f>IFERROR(INDEX('كشف الحساب'!$D$4:$D$204,MATCH(115,'كشف الحساب'!$P$4:$P$204,0)),"")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الحساب'!$A$4:$A$204,MATCH(116,'كشف الحساب'!$P$4:$P$204,0)),"")</f>
        <v>46239</v>
      </c>
      <c r="B121" s="122" t="str">
        <f>IFERROR(INDEX('كشف الحساب'!$B$4:$B$204,MATCH(116,'كشف الحساب'!$P$4:$P$204,0)),"")</f>
        <v>Inv-109</v>
      </c>
      <c r="C121" s="121" t="str">
        <f>IFERROR(INDEX('كشف الحساب'!$C$4:$C$204,MATCH(116,'كشف الحساب'!$P$4:$P$204,0)),"")</f>
        <v>متنوع عدد 1 الحبه 1</v>
      </c>
      <c r="D121" s="123">
        <f>IFERROR(INDEX('كشف الحساب'!$E$4:$E$204,MATCH(116,'كشف الحساب'!$P$4:$P$204,0)),"")</f>
        <v>1</v>
      </c>
      <c r="E121" s="124">
        <f>IFERROR(INDEX('كشف الحساب'!$D$4:$D$204,MATCH(116,'كشف الحساب'!$P$4:$P$204,0)),"")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الحساب'!$A$4:$A$204,MATCH(117,'كشف الحساب'!$P$4:$P$204,0)),"")</f>
        <v>46240</v>
      </c>
      <c r="B122" s="122" t="str">
        <f>IFERROR(INDEX('كشف الحساب'!$B$4:$B$204,MATCH(117,'كشف الحساب'!$P$4:$P$204,0)),"")</f>
        <v>Inv-110</v>
      </c>
      <c r="C122" s="121" t="str">
        <f>IFERROR(INDEX('كشف الحساب'!$C$4:$C$204,MATCH(117,'كشف الحساب'!$P$4:$P$204,0)),"")</f>
        <v>متنوع عدد10 الحبه 1</v>
      </c>
      <c r="D122" s="123">
        <f>IFERROR(INDEX('كشف الحساب'!$E$4:$E$204,MATCH(117,'كشف الحساب'!$P$4:$P$204,0)),"")</f>
        <v>10</v>
      </c>
      <c r="E122" s="124">
        <f>IFERROR(INDEX('كشف الحساب'!$D$4:$D$204,MATCH(117,'كشف الحساب'!$P$4:$P$204,0)),"")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الحساب'!$A$4:$A$204,MATCH(118,'كشف الحساب'!$P$4:$P$204,0)),"")</f>
        <v>46240</v>
      </c>
      <c r="B123" s="122" t="str">
        <f>IFERROR(INDEX('كشف الحساب'!$B$4:$B$204,MATCH(118,'كشف الحساب'!$P$4:$P$204,0)),"")</f>
        <v>Inv-111</v>
      </c>
      <c r="C123" s="121" t="str">
        <f>IFERROR(INDEX('كشف الحساب'!$C$4:$C$204,MATCH(118,'كشف الحساب'!$P$4:$P$204,0)),"")</f>
        <v>متنوع 6 عدد 1</v>
      </c>
      <c r="D123" s="123">
        <f>IFERROR(INDEX('كشف الحساب'!$E$4:$E$204,MATCH(118,'كشف الحساب'!$P$4:$P$204,0)),"")</f>
        <v>6</v>
      </c>
      <c r="E123" s="124">
        <f>IFERROR(INDEX('كشف الحساب'!$D$4:$D$204,MATCH(118,'كشف الحساب'!$P$4:$P$204,0)),"")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الحساب'!$A$4:$A$204,MATCH(119,'كشف الحساب'!$P$4:$P$204,0)),"")</f>
        <v>46240</v>
      </c>
      <c r="B124" s="122" t="str">
        <f>IFERROR(INDEX('كشف الحساب'!$B$4:$B$204,MATCH(119,'كشف الحساب'!$P$4:$P$204,0)),"")</f>
        <v>Inv-112</v>
      </c>
      <c r="C124" s="121" t="str">
        <f>IFERROR(INDEX('كشف الحساب'!$C$4:$C$204,MATCH(119,'كشف الحساب'!$P$4:$P$204,0)),"")</f>
        <v>ربل عدد 15 الحبه2</v>
      </c>
      <c r="D124" s="123">
        <f>IFERROR(INDEX('كشف الحساب'!$E$4:$E$204,MATCH(119,'كشف الحساب'!$P$4:$P$204,0)),"")</f>
        <v>29</v>
      </c>
      <c r="E124" s="124">
        <f>IFERROR(INDEX('كشف الحساب'!$D$4:$D$204,MATCH(119,'كشف الحساب'!$P$4:$P$204,0)),"")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الحساب'!$A$4:$A$204,MATCH(120,'كشف الحساب'!$P$4:$P$204,0)),"")</f>
        <v>46240</v>
      </c>
      <c r="B125" s="122">
        <f>IFERROR(INDEX('كشف الحساب'!$B$4:$B$204,MATCH(120,'كشف الحساب'!$P$4:$P$204,0)),"")</f>
        <v>0</v>
      </c>
      <c r="C125" s="121" t="str">
        <f>IFERROR(INDEX('كشف الحساب'!$C$4:$C$204,MATCH(120,'كشف الحساب'!$P$4:$P$204,0)),"")</f>
        <v>كيميكل للمعالج</v>
      </c>
      <c r="D125" s="123">
        <f>IFERROR(INDEX('كشف الحساب'!$E$4:$E$204,MATCH(120,'كشف الحساب'!$P$4:$P$204,0)),"")</f>
        <v>0</v>
      </c>
      <c r="E125" s="124">
        <f>IFERROR(INDEX('كشف الحساب'!$D$4:$D$204,MATCH(120,'كشف الحساب'!$P$4:$P$204,0)),"")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الحساب'!$A$4:$A$204,MATCH(121,'كشف الحساب'!$P$4:$P$204,0)),"")</f>
        <v>46240</v>
      </c>
      <c r="B126" s="122">
        <f>IFERROR(INDEX('كشف الحساب'!$B$4:$B$204,MATCH(121,'كشف الحساب'!$P$4:$P$204,0)),"")</f>
        <v>0</v>
      </c>
      <c r="C126" s="121" t="str">
        <f>IFERROR(INDEX('كشف الحساب'!$C$4:$C$204,MATCH(121,'كشف الحساب'!$P$4:$P$204,0)),"")</f>
        <v>ترمستات الثلاجه الكبيره</v>
      </c>
      <c r="D126" s="123">
        <f>IFERROR(INDEX('كشف الحساب'!$E$4:$E$204,MATCH(121,'كشف الحساب'!$P$4:$P$204,0)),"")</f>
        <v>0</v>
      </c>
      <c r="E126" s="124">
        <f>IFERROR(INDEX('كشف الحساب'!$D$4:$D$204,MATCH(121,'كشف الحساب'!$P$4:$P$204,0)),"")</f>
        <v>5.75</v>
      </c>
      <c r="F126" s="125">
        <f t="shared" si="3"/>
        <v>34.89500000000001</v>
      </c>
    </row>
    <row r="127" spans="1:6" ht="18" customHeight="1" x14ac:dyDescent="0.25">
      <c r="A127" s="142" t="str">
        <f>IFERROR(INDEX('كشف الحساب'!$A$4:$A$204,MATCH(122,'كشف الحساب'!$P$4:$P$204,0)),"")</f>
        <v/>
      </c>
      <c r="B127" s="122" t="str">
        <f>IFERROR(INDEX('كشف الحساب'!$B$4:$B$204,MATCH(122,'كشف الحساب'!$P$4:$P$204,0)),"")</f>
        <v/>
      </c>
      <c r="C127" s="121" t="str">
        <f>IFERROR(INDEX('كشف الحساب'!$C$4:$C$204,MATCH(122,'كشف الحساب'!$P$4:$P$204,0)),"")</f>
        <v/>
      </c>
      <c r="D127" s="123" t="str">
        <f>IFERROR(INDEX('كشف الحساب'!$E$4:$E$204,MATCH(122,'كشف الحساب'!$P$4:$P$204,0)),"")</f>
        <v/>
      </c>
      <c r="E127" s="124" t="str">
        <f>IFERROR(INDEX('كشف الحساب'!$D$4:$D$204,MATCH(122,'كشف الحساب'!$P$4:$P$204,0)),"")</f>
        <v/>
      </c>
      <c r="F127" s="125" t="str">
        <f t="shared" si="3"/>
        <v/>
      </c>
    </row>
    <row r="128" spans="1:6" ht="18" customHeight="1" x14ac:dyDescent="0.25">
      <c r="A128" s="142" t="str">
        <f>IFERROR(INDEX('كشف الحساب'!$A$4:$A$204,MATCH(123,'كشف الحساب'!$P$4:$P$204,0)),"")</f>
        <v/>
      </c>
      <c r="B128" s="122" t="str">
        <f>IFERROR(INDEX('كشف الحساب'!$B$4:$B$204,MATCH(123,'كشف الحساب'!$P$4:$P$204,0)),"")</f>
        <v/>
      </c>
      <c r="C128" s="121" t="str">
        <f>IFERROR(INDEX('كشف الحساب'!$C$4:$C$204,MATCH(123,'كشف الحساب'!$P$4:$P$204,0)),"")</f>
        <v/>
      </c>
      <c r="D128" s="123" t="str">
        <f>IFERROR(INDEX('كشف الحساب'!$E$4:$E$204,MATCH(123,'كشف الحساب'!$P$4:$P$204,0)),"")</f>
        <v/>
      </c>
      <c r="E128" s="124" t="str">
        <f>IFERROR(INDEX('كشف الحساب'!$D$4:$D$204,MATCH(123,'كشف الحساب'!$P$4:$P$204,0)),"")</f>
        <v/>
      </c>
      <c r="F128" s="125" t="str">
        <f t="shared" si="3"/>
        <v/>
      </c>
    </row>
    <row r="129" spans="1:6" ht="18" customHeight="1" x14ac:dyDescent="0.25">
      <c r="A129" s="142" t="str">
        <f>IFERROR(INDEX('كشف الحساب'!$A$4:$A$204,MATCH(124,'كشف الحساب'!$P$4:$P$204,0)),"")</f>
        <v/>
      </c>
      <c r="B129" s="122" t="str">
        <f>IFERROR(INDEX('كشف الحساب'!$B$4:$B$204,MATCH(124,'كشف الحساب'!$P$4:$P$204,0)),"")</f>
        <v/>
      </c>
      <c r="C129" s="121" t="str">
        <f>IFERROR(INDEX('كشف الحساب'!$C$4:$C$204,MATCH(124,'كشف الحساب'!$P$4:$P$204,0)),"")</f>
        <v/>
      </c>
      <c r="D129" s="123" t="str">
        <f>IFERROR(INDEX('كشف الحساب'!$E$4:$E$204,MATCH(124,'كشف الحساب'!$P$4:$P$204,0)),"")</f>
        <v/>
      </c>
      <c r="E129" s="124" t="str">
        <f>IFERROR(INDEX('كشف الحساب'!$D$4:$D$204,MATCH(124,'كشف الحساب'!$P$4:$P$204,0)),"")</f>
        <v/>
      </c>
      <c r="F129" s="125" t="str">
        <f t="shared" si="3"/>
        <v/>
      </c>
    </row>
    <row r="130" spans="1:6" ht="18" customHeight="1" x14ac:dyDescent="0.25">
      <c r="A130" s="142" t="str">
        <f>IFERROR(INDEX('كشف الحساب'!$A$4:$A$204,MATCH(125,'كشف الحساب'!$P$4:$P$204,0)),"")</f>
        <v/>
      </c>
      <c r="B130" s="122" t="str">
        <f>IFERROR(INDEX('كشف الحساب'!$B$4:$B$204,MATCH(125,'كشف الحساب'!$P$4:$P$204,0)),"")</f>
        <v/>
      </c>
      <c r="C130" s="121" t="str">
        <f>IFERROR(INDEX('كشف الحساب'!$C$4:$C$204,MATCH(125,'كشف الحساب'!$P$4:$P$204,0)),"")</f>
        <v/>
      </c>
      <c r="D130" s="123" t="str">
        <f>IFERROR(INDEX('كشف الحساب'!$E$4:$E$204,MATCH(125,'كشف الحساب'!$P$4:$P$204,0)),"")</f>
        <v/>
      </c>
      <c r="E130" s="124" t="str">
        <f>IFERROR(INDEX('كشف الحساب'!$D$4:$D$204,MATCH(125,'كشف الحساب'!$P$4:$P$204,0)),"")</f>
        <v/>
      </c>
      <c r="F130" s="125" t="str">
        <f t="shared" si="3"/>
        <v/>
      </c>
    </row>
    <row r="131" spans="1:6" ht="18" customHeight="1" x14ac:dyDescent="0.25">
      <c r="A131" s="142" t="str">
        <f>IFERROR(INDEX('كشف الحساب'!$A$4:$A$204,MATCH(126,'كشف الحساب'!$P$4:$P$204,0)),"")</f>
        <v/>
      </c>
      <c r="B131" s="122" t="str">
        <f>IFERROR(INDEX('كشف الحساب'!$B$4:$B$204,MATCH(126,'كشف الحساب'!$P$4:$P$204,0)),"")</f>
        <v/>
      </c>
      <c r="C131" s="121" t="str">
        <f>IFERROR(INDEX('كشف الحساب'!$C$4:$C$204,MATCH(126,'كشف الحساب'!$P$4:$P$204,0)),"")</f>
        <v/>
      </c>
      <c r="D131" s="123" t="str">
        <f>IFERROR(INDEX('كشف الحساب'!$E$4:$E$204,MATCH(126,'كشف الحساب'!$P$4:$P$204,0)),"")</f>
        <v/>
      </c>
      <c r="E131" s="124" t="str">
        <f>IFERROR(INDEX('كشف الحساب'!$D$4:$D$204,MATCH(126,'كشف الحساب'!$P$4:$P$204,0)),"")</f>
        <v/>
      </c>
      <c r="F131" s="125" t="str">
        <f t="shared" si="3"/>
        <v/>
      </c>
    </row>
    <row r="132" spans="1:6" ht="18" customHeight="1" x14ac:dyDescent="0.25">
      <c r="A132" s="142" t="str">
        <f>IFERROR(INDEX('كشف الحساب'!$A$4:$A$204,MATCH(127,'كشف الحساب'!$P$4:$P$204,0)),"")</f>
        <v/>
      </c>
      <c r="B132" s="122" t="str">
        <f>IFERROR(INDEX('كشف الحساب'!$B$4:$B$204,MATCH(127,'كشف الحساب'!$P$4:$P$204,0)),"")</f>
        <v/>
      </c>
      <c r="C132" s="121" t="str">
        <f>IFERROR(INDEX('كشف الحساب'!$C$4:$C$204,MATCH(127,'كشف الحساب'!$P$4:$P$204,0)),"")</f>
        <v/>
      </c>
      <c r="D132" s="123" t="str">
        <f>IFERROR(INDEX('كشف الحساب'!$E$4:$E$204,MATCH(127,'كشف الحساب'!$P$4:$P$204,0)),"")</f>
        <v/>
      </c>
      <c r="E132" s="124" t="str">
        <f>IFERROR(INDEX('كشف الحساب'!$D$4:$D$204,MATCH(127,'كشف الحساب'!$P$4:$P$204,0)),"")</f>
        <v/>
      </c>
      <c r="F132" s="125" t="str">
        <f t="shared" si="3"/>
        <v/>
      </c>
    </row>
    <row r="133" spans="1:6" ht="18" customHeight="1" x14ac:dyDescent="0.25">
      <c r="A133" s="142" t="str">
        <f>IFERROR(INDEX('كشف الحساب'!$A$4:$A$204,MATCH(128,'كشف الحساب'!$P$4:$P$204,0)),"")</f>
        <v/>
      </c>
      <c r="B133" s="122" t="str">
        <f>IFERROR(INDEX('كشف الحساب'!$B$4:$B$204,MATCH(128,'كشف الحساب'!$P$4:$P$204,0)),"")</f>
        <v/>
      </c>
      <c r="C133" s="121" t="str">
        <f>IFERROR(INDEX('كشف الحساب'!$C$4:$C$204,MATCH(128,'كشف الحساب'!$P$4:$P$204,0)),"")</f>
        <v/>
      </c>
      <c r="D133" s="123" t="str">
        <f>IFERROR(INDEX('كشف الحساب'!$E$4:$E$204,MATCH(128,'كشف الحساب'!$P$4:$P$204,0)),"")</f>
        <v/>
      </c>
      <c r="E133" s="124" t="str">
        <f>IFERROR(INDEX('كشف الحساب'!$D$4:$D$204,MATCH(128,'كشف الحساب'!$P$4:$P$204,0)),"")</f>
        <v/>
      </c>
      <c r="F133" s="125" t="str">
        <f t="shared" si="3"/>
        <v/>
      </c>
    </row>
    <row r="134" spans="1:6" ht="18" customHeight="1" x14ac:dyDescent="0.25">
      <c r="A134" s="142" t="str">
        <f>IFERROR(INDEX('كشف الحساب'!$A$4:$A$204,MATCH(129,'كشف الحساب'!$P$4:$P$204,0)),"")</f>
        <v/>
      </c>
      <c r="B134" s="122" t="str">
        <f>IFERROR(INDEX('كشف الحساب'!$B$4:$B$204,MATCH(129,'كشف الحساب'!$P$4:$P$204,0)),"")</f>
        <v/>
      </c>
      <c r="C134" s="121" t="str">
        <f>IFERROR(INDEX('كشف الحساب'!$C$4:$C$204,MATCH(129,'كشف الحساب'!$P$4:$P$204,0)),"")</f>
        <v/>
      </c>
      <c r="D134" s="123" t="str">
        <f>IFERROR(INDEX('كشف الحساب'!$E$4:$E$204,MATCH(129,'كشف الحساب'!$P$4:$P$204,0)),"")</f>
        <v/>
      </c>
      <c r="E134" s="124" t="str">
        <f>IFERROR(INDEX('كشف الحساب'!$D$4:$D$204,MATCH(129,'كشف الحساب'!$P$4:$P$204,0)),"")</f>
        <v/>
      </c>
      <c r="F134" s="125" t="str">
        <f t="shared" si="3"/>
        <v/>
      </c>
    </row>
    <row r="135" spans="1:6" ht="18" customHeight="1" x14ac:dyDescent="0.25">
      <c r="A135" s="142" t="str">
        <f>IFERROR(INDEX('كشف الحساب'!$A$4:$A$204,MATCH(130,'كشف الحساب'!$P$4:$P$204,0)),"")</f>
        <v/>
      </c>
      <c r="B135" s="122" t="str">
        <f>IFERROR(INDEX('كشف الحساب'!$B$4:$B$204,MATCH(130,'كشف الحساب'!$P$4:$P$204,0)),"")</f>
        <v/>
      </c>
      <c r="C135" s="121" t="str">
        <f>IFERROR(INDEX('كشف الحساب'!$C$4:$C$204,MATCH(130,'كشف الحساب'!$P$4:$P$204,0)),"")</f>
        <v/>
      </c>
      <c r="D135" s="123" t="str">
        <f>IFERROR(INDEX('كشف الحساب'!$E$4:$E$204,MATCH(130,'كشف الحساب'!$P$4:$P$204,0)),"")</f>
        <v/>
      </c>
      <c r="E135" s="124" t="str">
        <f>IFERROR(INDEX('كشف الحساب'!$D$4:$D$204,MATCH(130,'كشف الحساب'!$P$4:$P$204,0)),"")</f>
        <v/>
      </c>
      <c r="F135" s="125" t="str">
        <f t="shared" ref="F135:F166" si="4">IF($A135="","",IF($F134="",0,$F134)+IF($D135="",0,$D135)-IF($E135="",0,$E135))</f>
        <v/>
      </c>
    </row>
    <row r="136" spans="1:6" ht="18" customHeight="1" x14ac:dyDescent="0.25">
      <c r="A136" s="142" t="str">
        <f>IFERROR(INDEX('كشف الحساب'!$A$4:$A$204,MATCH(131,'كشف الحساب'!$P$4:$P$204,0)),"")</f>
        <v/>
      </c>
      <c r="B136" s="122" t="str">
        <f>IFERROR(INDEX('كشف الحساب'!$B$4:$B$204,MATCH(131,'كشف الحساب'!$P$4:$P$204,0)),"")</f>
        <v/>
      </c>
      <c r="C136" s="121" t="str">
        <f>IFERROR(INDEX('كشف الحساب'!$C$4:$C$204,MATCH(131,'كشف الحساب'!$P$4:$P$204,0)),"")</f>
        <v/>
      </c>
      <c r="D136" s="123" t="str">
        <f>IFERROR(INDEX('كشف الحساب'!$E$4:$E$204,MATCH(131,'كشف الحساب'!$P$4:$P$204,0)),"")</f>
        <v/>
      </c>
      <c r="E136" s="124" t="str">
        <f>IFERROR(INDEX('كشف الحساب'!$D$4:$D$204,MATCH(131,'كشف الحساب'!$P$4:$P$204,0)),"")</f>
        <v/>
      </c>
      <c r="F136" s="125" t="str">
        <f t="shared" si="4"/>
        <v/>
      </c>
    </row>
    <row r="137" spans="1:6" ht="18" customHeight="1" x14ac:dyDescent="0.25">
      <c r="A137" s="142" t="str">
        <f>IFERROR(INDEX('كشف الحساب'!$A$4:$A$204,MATCH(132,'كشف الحساب'!$P$4:$P$204,0)),"")</f>
        <v/>
      </c>
      <c r="B137" s="122" t="str">
        <f>IFERROR(INDEX('كشف الحساب'!$B$4:$B$204,MATCH(132,'كشف الحساب'!$P$4:$P$204,0)),"")</f>
        <v/>
      </c>
      <c r="C137" s="121" t="str">
        <f>IFERROR(INDEX('كشف الحساب'!$C$4:$C$204,MATCH(132,'كشف الحساب'!$P$4:$P$204,0)),"")</f>
        <v/>
      </c>
      <c r="D137" s="123" t="str">
        <f>IFERROR(INDEX('كشف الحساب'!$E$4:$E$204,MATCH(132,'كشف الحساب'!$P$4:$P$204,0)),"")</f>
        <v/>
      </c>
      <c r="E137" s="124" t="str">
        <f>IFERROR(INDEX('كشف الحساب'!$D$4:$D$204,MATCH(132,'كشف الحساب'!$P$4:$P$204,0)),"")</f>
        <v/>
      </c>
      <c r="F137" s="125" t="str">
        <f t="shared" si="4"/>
        <v/>
      </c>
    </row>
    <row r="138" spans="1:6" ht="18" customHeight="1" x14ac:dyDescent="0.25">
      <c r="A138" s="142" t="str">
        <f>IFERROR(INDEX('كشف الحساب'!$A$4:$A$204,MATCH(133,'كشف الحساب'!$P$4:$P$204,0)),"")</f>
        <v/>
      </c>
      <c r="B138" s="122" t="str">
        <f>IFERROR(INDEX('كشف الحساب'!$B$4:$B$204,MATCH(133,'كشف الحساب'!$P$4:$P$204,0)),"")</f>
        <v/>
      </c>
      <c r="C138" s="121" t="str">
        <f>IFERROR(INDEX('كشف الحساب'!$C$4:$C$204,MATCH(133,'كشف الحساب'!$P$4:$P$204,0)),"")</f>
        <v/>
      </c>
      <c r="D138" s="123" t="str">
        <f>IFERROR(INDEX('كشف الحساب'!$E$4:$E$204,MATCH(133,'كشف الحساب'!$P$4:$P$204,0)),"")</f>
        <v/>
      </c>
      <c r="E138" s="124" t="str">
        <f>IFERROR(INDEX('كشف الحساب'!$D$4:$D$204,MATCH(133,'كشف الحساب'!$P$4:$P$204,0)),"")</f>
        <v/>
      </c>
      <c r="F138" s="125" t="str">
        <f t="shared" si="4"/>
        <v/>
      </c>
    </row>
    <row r="139" spans="1:6" ht="18" customHeight="1" x14ac:dyDescent="0.25">
      <c r="A139" s="142" t="str">
        <f>IFERROR(INDEX('كشف الحساب'!$A$4:$A$204,MATCH(134,'كشف الحساب'!$P$4:$P$204,0)),"")</f>
        <v/>
      </c>
      <c r="B139" s="122" t="str">
        <f>IFERROR(INDEX('كشف الحساب'!$B$4:$B$204,MATCH(134,'كشف الحساب'!$P$4:$P$204,0)),"")</f>
        <v/>
      </c>
      <c r="C139" s="121" t="str">
        <f>IFERROR(INDEX('كشف الحساب'!$C$4:$C$204,MATCH(134,'كشف الحساب'!$P$4:$P$204,0)),"")</f>
        <v/>
      </c>
      <c r="D139" s="123" t="str">
        <f>IFERROR(INDEX('كشف الحساب'!$E$4:$E$204,MATCH(134,'كشف الحساب'!$P$4:$P$204,0)),"")</f>
        <v/>
      </c>
      <c r="E139" s="124" t="str">
        <f>IFERROR(INDEX('كشف الحساب'!$D$4:$D$204,MATCH(134,'كشف الحساب'!$P$4:$P$204,0)),"")</f>
        <v/>
      </c>
      <c r="F139" s="125" t="str">
        <f t="shared" si="4"/>
        <v/>
      </c>
    </row>
    <row r="140" spans="1:6" ht="18" customHeight="1" x14ac:dyDescent="0.25">
      <c r="A140" s="142" t="str">
        <f>IFERROR(INDEX('كشف الحساب'!$A$4:$A$204,MATCH(135,'كشف الحساب'!$P$4:$P$204,0)),"")</f>
        <v/>
      </c>
      <c r="B140" s="122" t="str">
        <f>IFERROR(INDEX('كشف الحساب'!$B$4:$B$204,MATCH(135,'كشف الحساب'!$P$4:$P$204,0)),"")</f>
        <v/>
      </c>
      <c r="C140" s="121" t="str">
        <f>IFERROR(INDEX('كشف الحساب'!$C$4:$C$204,MATCH(135,'كشف الحساب'!$P$4:$P$204,0)),"")</f>
        <v/>
      </c>
      <c r="D140" s="123" t="str">
        <f>IFERROR(INDEX('كشف الحساب'!$E$4:$E$204,MATCH(135,'كشف الحساب'!$P$4:$P$204,0)),"")</f>
        <v/>
      </c>
      <c r="E140" s="124" t="str">
        <f>IFERROR(INDEX('كشف الحساب'!$D$4:$D$204,MATCH(135,'كشف الحساب'!$P$4:$P$204,0)),"")</f>
        <v/>
      </c>
      <c r="F140" s="125" t="str">
        <f t="shared" si="4"/>
        <v/>
      </c>
    </row>
    <row r="141" spans="1:6" ht="18" customHeight="1" x14ac:dyDescent="0.25">
      <c r="A141" s="142" t="str">
        <f>IFERROR(INDEX('كشف الحساب'!$A$4:$A$204,MATCH(136,'كشف الحساب'!$P$4:$P$204,0)),"")</f>
        <v/>
      </c>
      <c r="B141" s="122" t="str">
        <f>IFERROR(INDEX('كشف الحساب'!$B$4:$B$204,MATCH(136,'كشف الحساب'!$P$4:$P$204,0)),"")</f>
        <v/>
      </c>
      <c r="C141" s="121" t="str">
        <f>IFERROR(INDEX('كشف الحساب'!$C$4:$C$204,MATCH(136,'كشف الحساب'!$P$4:$P$204,0)),"")</f>
        <v/>
      </c>
      <c r="D141" s="123" t="str">
        <f>IFERROR(INDEX('كشف الحساب'!$E$4:$E$204,MATCH(136,'كشف الحساب'!$P$4:$P$204,0)),"")</f>
        <v/>
      </c>
      <c r="E141" s="124" t="str">
        <f>IFERROR(INDEX('كشف الحساب'!$D$4:$D$204,MATCH(136,'كشف الحساب'!$P$4:$P$204,0)),"")</f>
        <v/>
      </c>
      <c r="F141" s="125" t="str">
        <f t="shared" si="4"/>
        <v/>
      </c>
    </row>
    <row r="142" spans="1:6" ht="18" customHeight="1" x14ac:dyDescent="0.25">
      <c r="A142" s="142" t="str">
        <f>IFERROR(INDEX('كشف الحساب'!$A$4:$A$204,MATCH(137,'كشف الحساب'!$P$4:$P$204,0)),"")</f>
        <v/>
      </c>
      <c r="B142" s="122" t="str">
        <f>IFERROR(INDEX('كشف الحساب'!$B$4:$B$204,MATCH(137,'كشف الحساب'!$P$4:$P$204,0)),"")</f>
        <v/>
      </c>
      <c r="C142" s="121" t="str">
        <f>IFERROR(INDEX('كشف الحساب'!$C$4:$C$204,MATCH(137,'كشف الحساب'!$P$4:$P$204,0)),"")</f>
        <v/>
      </c>
      <c r="D142" s="123" t="str">
        <f>IFERROR(INDEX('كشف الحساب'!$E$4:$E$204,MATCH(137,'كشف الحساب'!$P$4:$P$204,0)),"")</f>
        <v/>
      </c>
      <c r="E142" s="124" t="str">
        <f>IFERROR(INDEX('كشف الحساب'!$D$4:$D$204,MATCH(137,'كشف الحساب'!$P$4:$P$204,0)),"")</f>
        <v/>
      </c>
      <c r="F142" s="125" t="str">
        <f t="shared" si="4"/>
        <v/>
      </c>
    </row>
    <row r="143" spans="1:6" ht="18" customHeight="1" x14ac:dyDescent="0.25">
      <c r="A143" s="142" t="str">
        <f>IFERROR(INDEX('كشف الحساب'!$A$4:$A$204,MATCH(138,'كشف الحساب'!$P$4:$P$204,0)),"")</f>
        <v/>
      </c>
      <c r="B143" s="122" t="str">
        <f>IFERROR(INDEX('كشف الحساب'!$B$4:$B$204,MATCH(138,'كشف الحساب'!$P$4:$P$204,0)),"")</f>
        <v/>
      </c>
      <c r="C143" s="121" t="str">
        <f>IFERROR(INDEX('كشف الحساب'!$C$4:$C$204,MATCH(138,'كشف الحساب'!$P$4:$P$204,0)),"")</f>
        <v/>
      </c>
      <c r="D143" s="123" t="str">
        <f>IFERROR(INDEX('كشف الحساب'!$E$4:$E$204,MATCH(138,'كشف الحساب'!$P$4:$P$204,0)),"")</f>
        <v/>
      </c>
      <c r="E143" s="124" t="str">
        <f>IFERROR(INDEX('كشف الحساب'!$D$4:$D$204,MATCH(138,'كشف الحساب'!$P$4:$P$204,0)),"")</f>
        <v/>
      </c>
      <c r="F143" s="125" t="str">
        <f t="shared" si="4"/>
        <v/>
      </c>
    </row>
    <row r="144" spans="1:6" ht="18" customHeight="1" x14ac:dyDescent="0.25">
      <c r="A144" s="142" t="str">
        <f>IFERROR(INDEX('كشف الحساب'!$A$4:$A$204,MATCH(139,'كشف الحساب'!$P$4:$P$204,0)),"")</f>
        <v/>
      </c>
      <c r="B144" s="122" t="str">
        <f>IFERROR(INDEX('كشف الحساب'!$B$4:$B$204,MATCH(139,'كشف الحساب'!$P$4:$P$204,0)),"")</f>
        <v/>
      </c>
      <c r="C144" s="121" t="str">
        <f>IFERROR(INDEX('كشف الحساب'!$C$4:$C$204,MATCH(139,'كشف الحساب'!$P$4:$P$204,0)),"")</f>
        <v/>
      </c>
      <c r="D144" s="123" t="str">
        <f>IFERROR(INDEX('كشف الحساب'!$E$4:$E$204,MATCH(139,'كشف الحساب'!$P$4:$P$204,0)),"")</f>
        <v/>
      </c>
      <c r="E144" s="124" t="str">
        <f>IFERROR(INDEX('كشف الحساب'!$D$4:$D$204,MATCH(139,'كشف الحساب'!$P$4:$P$204,0)),"")</f>
        <v/>
      </c>
      <c r="F144" s="125" t="str">
        <f t="shared" si="4"/>
        <v/>
      </c>
    </row>
    <row r="145" spans="1:6" ht="18" customHeight="1" x14ac:dyDescent="0.25">
      <c r="A145" s="142" t="str">
        <f>IFERROR(INDEX('كشف الحساب'!$A$4:$A$204,MATCH(140,'كشف الحساب'!$P$4:$P$204,0)),"")</f>
        <v/>
      </c>
      <c r="B145" s="122" t="str">
        <f>IFERROR(INDEX('كشف الحساب'!$B$4:$B$204,MATCH(140,'كشف الحساب'!$P$4:$P$204,0)),"")</f>
        <v/>
      </c>
      <c r="C145" s="121" t="str">
        <f>IFERROR(INDEX('كشف الحساب'!$C$4:$C$204,MATCH(140,'كشف الحساب'!$P$4:$P$204,0)),"")</f>
        <v/>
      </c>
      <c r="D145" s="123" t="str">
        <f>IFERROR(INDEX('كشف الحساب'!$E$4:$E$204,MATCH(140,'كشف الحساب'!$P$4:$P$204,0)),"")</f>
        <v/>
      </c>
      <c r="E145" s="124" t="str">
        <f>IFERROR(INDEX('كشف الحساب'!$D$4:$D$204,MATCH(140,'كشف الحساب'!$P$4:$P$204,0)),"")</f>
        <v/>
      </c>
      <c r="F145" s="125" t="str">
        <f t="shared" si="4"/>
        <v/>
      </c>
    </row>
    <row r="146" spans="1:6" ht="18" customHeight="1" x14ac:dyDescent="0.25">
      <c r="A146" s="142" t="str">
        <f>IFERROR(INDEX('كشف الحساب'!$A$4:$A$204,MATCH(141,'كشف الحساب'!$P$4:$P$204,0)),"")</f>
        <v/>
      </c>
      <c r="B146" s="122" t="str">
        <f>IFERROR(INDEX('كشف الحساب'!$B$4:$B$204,MATCH(141,'كشف الحساب'!$P$4:$P$204,0)),"")</f>
        <v/>
      </c>
      <c r="C146" s="121" t="str">
        <f>IFERROR(INDEX('كشف الحساب'!$C$4:$C$204,MATCH(141,'كشف الحساب'!$P$4:$P$204,0)),"")</f>
        <v/>
      </c>
      <c r="D146" s="123" t="str">
        <f>IFERROR(INDEX('كشف الحساب'!$E$4:$E$204,MATCH(141,'كشف الحساب'!$P$4:$P$204,0)),"")</f>
        <v/>
      </c>
      <c r="E146" s="124" t="str">
        <f>IFERROR(INDEX('كشف الحساب'!$D$4:$D$204,MATCH(141,'كشف الحساب'!$P$4:$P$204,0)),"")</f>
        <v/>
      </c>
      <c r="F146" s="125" t="str">
        <f t="shared" si="4"/>
        <v/>
      </c>
    </row>
    <row r="147" spans="1:6" ht="18" customHeight="1" x14ac:dyDescent="0.25">
      <c r="A147" s="142" t="str">
        <f>IFERROR(INDEX('كشف الحساب'!$A$4:$A$204,MATCH(142,'كشف الحساب'!$P$4:$P$204,0)),"")</f>
        <v/>
      </c>
      <c r="B147" s="122" t="str">
        <f>IFERROR(INDEX('كشف الحساب'!$B$4:$B$204,MATCH(142,'كشف الحساب'!$P$4:$P$204,0)),"")</f>
        <v/>
      </c>
      <c r="C147" s="121" t="str">
        <f>IFERROR(INDEX('كشف الحساب'!$C$4:$C$204,MATCH(142,'كشف الحساب'!$P$4:$P$204,0)),"")</f>
        <v/>
      </c>
      <c r="D147" s="123" t="str">
        <f>IFERROR(INDEX('كشف الحساب'!$E$4:$E$204,MATCH(142,'كشف الحساب'!$P$4:$P$204,0)),"")</f>
        <v/>
      </c>
      <c r="E147" s="124" t="str">
        <f>IFERROR(INDEX('كشف الحساب'!$D$4:$D$204,MATCH(142,'كشف الحساب'!$P$4:$P$204,0)),"")</f>
        <v/>
      </c>
      <c r="F147" s="125" t="str">
        <f t="shared" si="4"/>
        <v/>
      </c>
    </row>
    <row r="148" spans="1:6" ht="18" customHeight="1" x14ac:dyDescent="0.25">
      <c r="A148" s="142" t="str">
        <f>IFERROR(INDEX('كشف الحساب'!$A$4:$A$204,MATCH(143,'كشف الحساب'!$P$4:$P$204,0)),"")</f>
        <v/>
      </c>
      <c r="B148" s="122" t="str">
        <f>IFERROR(INDEX('كشف الحساب'!$B$4:$B$204,MATCH(143,'كشف الحساب'!$P$4:$P$204,0)),"")</f>
        <v/>
      </c>
      <c r="C148" s="121" t="str">
        <f>IFERROR(INDEX('كشف الحساب'!$C$4:$C$204,MATCH(143,'كشف الحساب'!$P$4:$P$204,0)),"")</f>
        <v/>
      </c>
      <c r="D148" s="123" t="str">
        <f>IFERROR(INDEX('كشف الحساب'!$E$4:$E$204,MATCH(143,'كشف الحساب'!$P$4:$P$204,0)),"")</f>
        <v/>
      </c>
      <c r="E148" s="124" t="str">
        <f>IFERROR(INDEX('كشف الحساب'!$D$4:$D$204,MATCH(143,'كشف الحساب'!$P$4:$P$204,0)),"")</f>
        <v/>
      </c>
      <c r="F148" s="125" t="str">
        <f t="shared" si="4"/>
        <v/>
      </c>
    </row>
    <row r="149" spans="1:6" ht="18" customHeight="1" x14ac:dyDescent="0.25">
      <c r="A149" s="142" t="str">
        <f>IFERROR(INDEX('كشف الحساب'!$A$4:$A$204,MATCH(144,'كشف الحساب'!$P$4:$P$204,0)),"")</f>
        <v/>
      </c>
      <c r="B149" s="122" t="str">
        <f>IFERROR(INDEX('كشف الحساب'!$B$4:$B$204,MATCH(144,'كشف الحساب'!$P$4:$P$204,0)),"")</f>
        <v/>
      </c>
      <c r="C149" s="121" t="str">
        <f>IFERROR(INDEX('كشف الحساب'!$C$4:$C$204,MATCH(144,'كشف الحساب'!$P$4:$P$204,0)),"")</f>
        <v/>
      </c>
      <c r="D149" s="123" t="str">
        <f>IFERROR(INDEX('كشف الحساب'!$E$4:$E$204,MATCH(144,'كشف الحساب'!$P$4:$P$204,0)),"")</f>
        <v/>
      </c>
      <c r="E149" s="124" t="str">
        <f>IFERROR(INDEX('كشف الحساب'!$D$4:$D$204,MATCH(144,'كشف الحساب'!$P$4:$P$204,0)),"")</f>
        <v/>
      </c>
      <c r="F149" s="125" t="str">
        <f t="shared" si="4"/>
        <v/>
      </c>
    </row>
    <row r="150" spans="1:6" ht="18" customHeight="1" x14ac:dyDescent="0.25">
      <c r="A150" s="142" t="str">
        <f>IFERROR(INDEX('كشف الحساب'!$A$4:$A$204,MATCH(145,'كشف الحساب'!$P$4:$P$204,0)),"")</f>
        <v/>
      </c>
      <c r="B150" s="122" t="str">
        <f>IFERROR(INDEX('كشف الحساب'!$B$4:$B$204,MATCH(145,'كشف الحساب'!$P$4:$P$204,0)),"")</f>
        <v/>
      </c>
      <c r="C150" s="121" t="str">
        <f>IFERROR(INDEX('كشف الحساب'!$C$4:$C$204,MATCH(145,'كشف الحساب'!$P$4:$P$204,0)),"")</f>
        <v/>
      </c>
      <c r="D150" s="123" t="str">
        <f>IFERROR(INDEX('كشف الحساب'!$E$4:$E$204,MATCH(145,'كشف الحساب'!$P$4:$P$204,0)),"")</f>
        <v/>
      </c>
      <c r="E150" s="124" t="str">
        <f>IFERROR(INDEX('كشف الحساب'!$D$4:$D$204,MATCH(145,'كشف الحساب'!$P$4:$P$204,0)),"")</f>
        <v/>
      </c>
      <c r="F150" s="125" t="str">
        <f t="shared" si="4"/>
        <v/>
      </c>
    </row>
    <row r="151" spans="1:6" ht="18" customHeight="1" x14ac:dyDescent="0.25">
      <c r="A151" s="142" t="str">
        <f>IFERROR(INDEX('كشف الحساب'!$A$4:$A$204,MATCH(146,'كشف الحساب'!$P$4:$P$204,0)),"")</f>
        <v/>
      </c>
      <c r="B151" s="122" t="str">
        <f>IFERROR(INDEX('كشف الحساب'!$B$4:$B$204,MATCH(146,'كشف الحساب'!$P$4:$P$204,0)),"")</f>
        <v/>
      </c>
      <c r="C151" s="121" t="str">
        <f>IFERROR(INDEX('كشف الحساب'!$C$4:$C$204,MATCH(146,'كشف الحساب'!$P$4:$P$204,0)),"")</f>
        <v/>
      </c>
      <c r="D151" s="123" t="str">
        <f>IFERROR(INDEX('كشف الحساب'!$E$4:$E$204,MATCH(146,'كشف الحساب'!$P$4:$P$204,0)),"")</f>
        <v/>
      </c>
      <c r="E151" s="124" t="str">
        <f>IFERROR(INDEX('كشف الحساب'!$D$4:$D$204,MATCH(146,'كشف الحساب'!$P$4:$P$204,0)),"")</f>
        <v/>
      </c>
      <c r="F151" s="125" t="str">
        <f t="shared" si="4"/>
        <v/>
      </c>
    </row>
    <row r="152" spans="1:6" ht="18" customHeight="1" x14ac:dyDescent="0.25">
      <c r="A152" s="142" t="str">
        <f>IFERROR(INDEX('كشف الحساب'!$A$4:$A$204,MATCH(147,'كشف الحساب'!$P$4:$P$204,0)),"")</f>
        <v/>
      </c>
      <c r="B152" s="122" t="str">
        <f>IFERROR(INDEX('كشف الحساب'!$B$4:$B$204,MATCH(147,'كشف الحساب'!$P$4:$P$204,0)),"")</f>
        <v/>
      </c>
      <c r="C152" s="121" t="str">
        <f>IFERROR(INDEX('كشف الحساب'!$C$4:$C$204,MATCH(147,'كشف الحساب'!$P$4:$P$204,0)),"")</f>
        <v/>
      </c>
      <c r="D152" s="123" t="str">
        <f>IFERROR(INDEX('كشف الحساب'!$E$4:$E$204,MATCH(147,'كشف الحساب'!$P$4:$P$204,0)),"")</f>
        <v/>
      </c>
      <c r="E152" s="124" t="str">
        <f>IFERROR(INDEX('كشف الحساب'!$D$4:$D$204,MATCH(147,'كشف الحساب'!$P$4:$P$204,0)),"")</f>
        <v/>
      </c>
      <c r="F152" s="125" t="str">
        <f t="shared" si="4"/>
        <v/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793.44</v>
      </c>
      <c r="E206" s="129">
        <f>SUM(E6:E205)</f>
        <v>758.54499999999996</v>
      </c>
      <c r="F206" s="130">
        <f>IFERROR(LOOKUP(2,1/($F$6:$F$205&lt;&gt;""),$F$6:$F$205),0)</f>
        <v>34.89500000000001</v>
      </c>
    </row>
    <row r="208" spans="1:6" ht="18" customHeight="1" x14ac:dyDescent="0.25">
      <c r="A208" s="148" t="s">
        <v>10</v>
      </c>
      <c r="B208" s="149"/>
      <c r="C208" s="149"/>
      <c r="D208" s="149"/>
      <c r="E208" s="149"/>
      <c r="F208" s="150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 t="str">
        <f>IFERROR(INDEX('كشف الحساب'!$A$4:$A$204,MATCH(14,'كشف الحساب'!$Q$4:$Q$204,0)),"")</f>
        <v/>
      </c>
      <c r="B223" s="133" t="str">
        <f>IFERROR(INDEX('كشف الحساب'!$B$4:$B$204,MATCH(14,'كشف الحساب'!$Q$4:$Q$204,0)),"")</f>
        <v/>
      </c>
      <c r="C223" s="132" t="str">
        <f>IFERROR(INDEX('كشف الحساب'!$C$4:$C$204,MATCH(14,'كشف الحساب'!$Q$4:$Q$204,0)),"")</f>
        <v/>
      </c>
      <c r="D223" s="134" t="str">
        <f>IFERROR(INDEX('كشف الحساب'!$D$4:$D$204,MATCH(14,'كشف الحساب'!$Q$4:$Q$204,0)),"")</f>
        <v/>
      </c>
      <c r="E223" s="135" t="str">
        <f>IFERROR(INDEX('كشف الحساب'!$G$4:$G$204,MATCH(14,'كشف الحساب'!$Q$4:$Q$204,0)),"")</f>
        <v/>
      </c>
      <c r="F223" s="132"/>
    </row>
    <row r="224" spans="1:6" ht="18" customHeight="1" x14ac:dyDescent="0.25">
      <c r="A224" s="143" t="str">
        <f>IFERROR(INDEX('كشف الحساب'!$A$4:$A$204,MATCH(15,'كشف الحساب'!$Q$4:$Q$204,0)),"")</f>
        <v/>
      </c>
      <c r="B224" s="133" t="str">
        <f>IFERROR(INDEX('كشف الحساب'!$B$4:$B$204,MATCH(15,'كشف الحساب'!$Q$4:$Q$204,0)),"")</f>
        <v/>
      </c>
      <c r="C224" s="132" t="str">
        <f>IFERROR(INDEX('كشف الحساب'!$C$4:$C$204,MATCH(15,'كشف الحساب'!$Q$4:$Q$204,0)),"")</f>
        <v/>
      </c>
      <c r="D224" s="134" t="str">
        <f>IFERROR(INDEX('كشف الحساب'!$D$4:$D$204,MATCH(15,'كشف الحساب'!$Q$4:$Q$204,0)),"")</f>
        <v/>
      </c>
      <c r="E224" s="135" t="str">
        <f>IFERROR(INDEX('كشف الحساب'!$G$4:$G$204,MATCH(15,'كشف الحساب'!$Q$4:$Q$204,0)),"")</f>
        <v/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1433.5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768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665.5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zoomScaleNormal="100" workbookViewId="0">
      <pane ySplit="3" topLeftCell="A135" activePane="bottomLeft" state="frozen"/>
      <selection pane="bottomLeft" activeCell="I144" sqref="I144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7" ht="24" customHeight="1" x14ac:dyDescent="0.25">
      <c r="A2" s="158" t="s">
        <v>17</v>
      </c>
      <c r="B2" s="156"/>
      <c r="C2" s="156"/>
      <c r="D2" s="1">
        <v>0</v>
      </c>
      <c r="E2" s="159" t="s">
        <v>18</v>
      </c>
      <c r="F2" s="160"/>
      <c r="G2" s="160"/>
      <c r="H2" s="160"/>
      <c r="I2" s="160"/>
      <c r="J2" s="160"/>
      <c r="K2" s="160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/>
      <c r="B144" s="36"/>
      <c r="C144" s="37"/>
      <c r="D144" s="38"/>
      <c r="E144" s="39"/>
      <c r="F144" s="136"/>
      <c r="G144" s="40"/>
      <c r="H144" s="41"/>
      <c r="I144" s="42"/>
      <c r="J144" s="43" t="str">
        <f>IF(AND(D144="",E144="",A144="",B144="",C144=""),"", IFERROR(IF(J143="",D2,J143),D2)+IF(E144="",0,E144)-IF(OR(G144="أبو اسحاق",G144="أبو آدم",G144="أبو اسحاق ",G144="أبو آدم "),0,IF(D144="",0,D144)))</f>
        <v/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t="str">
        <f>IF(AND(D143&gt;0,F143="أحد الشركاء"),COUNTIFS($D$4:D143,"&gt;"&amp;0,$F$4:F143,"أحد الشركاء"),"")</f>
        <v/>
      </c>
      <c r="P144" t="str">
        <f>IF(OR($A144="",$F144="أحد الشركاء",AND($D144="",$E144="")),"",SUMPRODUCT(($A$4:$A144&lt;&gt;"")*($F$4:$F144&lt;&gt;"أحد الشركاء")*((($D$4:$D144&lt;&gt;"")+($E$4:$E144&lt;&gt;""))&gt;0)))</f>
        <v/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/>
      <c r="B145" s="26"/>
      <c r="C145" s="27"/>
      <c r="D145" s="28"/>
      <c r="E145" s="29"/>
      <c r="F145" s="30"/>
      <c r="G145" s="31"/>
      <c r="H145" s="32"/>
      <c r="I145" s="33"/>
      <c r="J145" s="34" t="str">
        <f>IF(AND(D145="",E145="",A145="",B145="",C145=""),"", IFERROR(IF(J144="",D2,J144),D2)+IF(E145="",0,E145)-IF(OR(G145="أبو اسحاق",G145="أبو آدم",G145="أبو اسحاق ",G145="أبو آدم "),0,IF(D145="",0,D145)))</f>
        <v/>
      </c>
      <c r="K145" s="35"/>
      <c r="L145" t="str">
        <f>IF(E144&gt;0,COUNTIF($E$4:E144,"&gt;0"),"")</f>
        <v/>
      </c>
      <c r="M145" t="str">
        <f>IF(AND(D144&gt;0,G144="المحفظة"),COUNTIFS($D$4:D144,"&gt;"&amp;0,$G$4:G144,"المحفظة"),"")</f>
        <v/>
      </c>
      <c r="N145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t="str">
        <f>IF(AND(D144&gt;0,F144="أحد الشركاء"),COUNTIFS($D$4:D144,"&gt;"&amp;0,$F$4:F144,"أحد الشركاء"),"")</f>
        <v/>
      </c>
      <c r="P145" t="str">
        <f>IF(OR($A145="",$F145="أحد الشركاء",AND($D145="",$E145="")),"",SUMPRODUCT(($A$4:$A145&lt;&gt;"")*($F$4:$F145&lt;&gt;"أحد الشركاء")*((($D$4:$D145&lt;&gt;"")+($E$4:$E145&lt;&gt;""))&gt;0)))</f>
        <v/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/>
      <c r="B146" s="36"/>
      <c r="C146" s="37"/>
      <c r="D146" s="38"/>
      <c r="E146" s="39"/>
      <c r="F146" s="136"/>
      <c r="G146" s="40"/>
      <c r="H146" s="41"/>
      <c r="I146" s="42"/>
      <c r="J146" s="43" t="str">
        <f>IF(AND(D146="",E146="",A146="",B146="",C146=""),"", IFERROR(IF(J145="",D2,J145),D2)+IF(E146="",0,E146)-IF(OR(G146="أبو اسحاق",G146="أبو آدم",G146="أبو اسحاق ",G146="أبو آدم "),0,IF(D146="",0,D146)))</f>
        <v/>
      </c>
      <c r="K146" s="44"/>
      <c r="L146" t="str">
        <f>IF(E145&gt;0,COUNTIF($E$4:E145,"&gt;0"),"")</f>
        <v/>
      </c>
      <c r="M146" t="str">
        <f>IF(AND(D145&gt;0,G145="المحفظة"),COUNTIFS($D$4:D145,"&gt;"&amp;0,$G$4:G145,"المحفظة"),"")</f>
        <v/>
      </c>
      <c r="N146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t="str">
        <f>IF(AND(D145&gt;0,F145="أحد الشركاء"),COUNTIFS($D$4:D145,"&gt;"&amp;0,$F$4:F145,"أحد الشركاء"),"")</f>
        <v/>
      </c>
      <c r="P146" t="str">
        <f>IF(OR($A146="",$F146="أحد الشركاء",AND($D146="",$E146="")),"",SUMPRODUCT(($A$4:$A146&lt;&gt;"")*($F$4:$F146&lt;&gt;"أحد الشركاء")*((($D$4:$D146&lt;&gt;"")+($E$4:$E146&lt;&gt;""))&gt;0)))</f>
        <v/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/>
      <c r="B147" s="26"/>
      <c r="C147" s="27"/>
      <c r="D147" s="28"/>
      <c r="E147" s="29"/>
      <c r="F147" s="30"/>
      <c r="G147" s="31"/>
      <c r="H147" s="32"/>
      <c r="I147" s="33"/>
      <c r="J147" s="34" t="str">
        <f>IF(AND(D147="",E147="",A147="",B147="",C147=""),"", IFERROR(IF(J146="",D2,J146),D2)+IF(E147="",0,E147)-IF(OR(G147="أبو اسحاق",G147="أبو آدم",G147="أبو اسحاق ",G147="أبو آدم "),0,IF(D147="",0,D147)))</f>
        <v/>
      </c>
      <c r="K147" s="35"/>
      <c r="L147" t="str">
        <f>IF(E146&gt;0,COUNTIF($E$4:E146,"&gt;0"),"")</f>
        <v/>
      </c>
      <c r="M147" t="str">
        <f>IF(AND(D146&gt;0,G146="المحفظة"),COUNTIFS($D$4:D146,"&gt;"&amp;0,$G$4:G146,"المحفظة"),"")</f>
        <v/>
      </c>
      <c r="N147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t="str">
        <f>IF(AND(D146&gt;0,F146="أحد الشركاء"),COUNTIFS($D$4:D146,"&gt;"&amp;0,$F$4:F146,"أحد الشركاء"),"")</f>
        <v/>
      </c>
      <c r="P147" t="str">
        <f>IF(OR($A147="",$F147="أحد الشركاء",AND($D147="",$E147="")),"",SUMPRODUCT(($A$4:$A147&lt;&gt;"")*($F$4:$F147&lt;&gt;"أحد الشركاء")*((($D$4:$D147&lt;&gt;"")+($E$4:$E147&lt;&gt;""))&gt;0)))</f>
        <v/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/>
      <c r="B148" s="36"/>
      <c r="C148" s="37"/>
      <c r="D148" s="38"/>
      <c r="E148" s="39"/>
      <c r="F148" s="136"/>
      <c r="G148" s="40"/>
      <c r="H148" s="41"/>
      <c r="I148" s="42"/>
      <c r="J148" s="43" t="str">
        <f>IF(AND(D148="",E148="",A148="",B148="",C148=""),"", IFERROR(IF(J147="",D2,J147),D2)+IF(E148="",0,E148)-IF(OR(G148="أبو اسحاق",G148="أبو آدم",G148="أبو اسحاق ",G148="أبو آدم "),0,IF(D148="",0,D148)))</f>
        <v/>
      </c>
      <c r="K148" s="44"/>
      <c r="L148" t="str">
        <f>IF(E147&gt;0,COUNTIF($E$4:E147,"&gt;0"),"")</f>
        <v/>
      </c>
      <c r="M148" t="str">
        <f>IF(AND(D147&gt;0,G147="المحفظة"),COUNTIFS($D$4:D147,"&gt;"&amp;0,$G$4:G147,"المحفظة"),"")</f>
        <v/>
      </c>
      <c r="N148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t="str">
        <f>IF(AND(D147&gt;0,F147="أحد الشركاء"),COUNTIFS($D$4:D147,"&gt;"&amp;0,$F$4:F147,"أحد الشركاء"),"")</f>
        <v/>
      </c>
      <c r="P148" t="str">
        <f>IF(OR($A148="",$F148="أحد الشركاء",AND($D148="",$E148="")),"",SUMPRODUCT(($A$4:$A148&lt;&gt;"")*($F$4:$F148&lt;&gt;"أحد الشركاء")*((($D$4:$D148&lt;&gt;"")+($E$4:$E148&lt;&gt;""))&gt;0)))</f>
        <v/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/>
      <c r="B149" s="26"/>
      <c r="C149" s="27"/>
      <c r="D149" s="28"/>
      <c r="E149" s="29"/>
      <c r="F149" s="30"/>
      <c r="G149" s="31"/>
      <c r="H149" s="32"/>
      <c r="I149" s="33"/>
      <c r="J149" s="34" t="str">
        <f>IF(AND(D149="",E149="",A149="",B149="",C149=""),"", IFERROR(IF(J148="",D2,J148),D2)+IF(E149="",0,E149)-IF(OR(G149="أبو اسحاق",G149="أبو آدم",G149="أبو اسحاق ",G149="أبو آدم "),0,IF(D149="",0,D149)))</f>
        <v/>
      </c>
      <c r="K149" s="3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t="str">
        <f>IF(AND(D148&gt;0,F148="أحد الشركاء"),COUNTIFS($D$4:D148,"&gt;"&amp;0,$F$4:F148,"أحد الشركاء"),"")</f>
        <v/>
      </c>
      <c r="P149" t="str">
        <f>IF(OR($A149="",$F149="أحد الشركاء",AND($D149="",$E149="")),"",SUMPRODUCT(($A$4:$A149&lt;&gt;"")*($F$4:$F149&lt;&gt;"أحد الشركاء")*((($D$4:$D149&lt;&gt;"")+($E$4:$E149&lt;&gt;""))&gt;0)))</f>
        <v/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/>
      <c r="B150" s="36"/>
      <c r="C150" s="37"/>
      <c r="D150" s="38"/>
      <c r="E150" s="39"/>
      <c r="F150" s="136"/>
      <c r="G150" s="40"/>
      <c r="H150" s="41"/>
      <c r="I150" s="42"/>
      <c r="J150" s="43" t="str">
        <f>IF(AND(D150="",E150="",A150="",B150="",C150=""),"", IFERROR(IF(J149="",D2,J149),D2)+IF(E150="",0,E150)-IF(OR(G150="أبو اسحاق",G150="أبو آدم",G150="أبو اسحاق ",G150="أبو آدم "),0,IF(D150="",0,D150)))</f>
        <v/>
      </c>
      <c r="K150" s="44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t="str">
        <f>IF(AND(D149&gt;0,F149="أحد الشركاء"),COUNTIFS($D$4:D149,"&gt;"&amp;0,$F$4:F149,"أحد الشركاء"),"")</f>
        <v/>
      </c>
      <c r="P150" t="str">
        <f>IF(OR($A150="",$F150="أحد الشركاء",AND($D150="",$E150="")),"",SUMPRODUCT(($A$4:$A150&lt;&gt;"")*($F$4:$F150&lt;&gt;"أحد الشركاء")*((($D$4:$D150&lt;&gt;"")+($E$4:$E150&lt;&gt;""))&gt;0)))</f>
        <v/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/>
      <c r="B151" s="26"/>
      <c r="C151" s="27"/>
      <c r="D151" s="28"/>
      <c r="E151" s="29"/>
      <c r="F151" s="30"/>
      <c r="G151" s="31"/>
      <c r="H151" s="32"/>
      <c r="I151" s="33"/>
      <c r="J151" s="34" t="str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3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t="str">
        <f>IF(AND(D150&gt;0,F150="أحد الشركاء"),COUNTIFS($D$4:D150,"&gt;"&amp;0,$F$4:F150,"أحد الشركاء"),"")</f>
        <v/>
      </c>
      <c r="P151" t="str">
        <f>IF(OR($A151="",$F151="أحد الشركاء",AND($D151="",$E151="")),"",SUMPRODUCT(($A$4:$A151&lt;&gt;"")*($F$4:$F151&lt;&gt;"أحد الشركاء")*((($D$4:$D151&lt;&gt;"")+($E$4:$E151&lt;&gt;""))&gt;0)))</f>
        <v/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/>
      <c r="B152" s="36"/>
      <c r="C152" s="37"/>
      <c r="D152" s="38"/>
      <c r="E152" s="39"/>
      <c r="F152" s="136"/>
      <c r="G152" s="40"/>
      <c r="H152" s="41"/>
      <c r="I152" s="42"/>
      <c r="J152" s="43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44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  <c r="P152" t="str">
        <f>IF(OR($A152="",$F152="أحد الشركاء",AND($D152="",$E152="")),"",SUMPRODUCT(($A$4:$A152&lt;&gt;"")*($F$4:$F152&lt;&gt;"أحد الشركاء")*((($D$4:$D152&lt;&gt;"")+($E$4:$E152&lt;&gt;""))&gt;0)))</f>
        <v/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/>
      <c r="B153" s="26"/>
      <c r="C153" s="27"/>
      <c r="D153" s="28"/>
      <c r="E153" s="29"/>
      <c r="F153" s="30"/>
      <c r="G153" s="31"/>
      <c r="H153" s="32"/>
      <c r="I153" s="33"/>
      <c r="J153" s="3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3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  <c r="P153" t="str">
        <f>IF(OR($A153="",$F153="أحد الشركاء",AND($D153="",$E153="")),"",SUMPRODUCT(($A$4:$A153&lt;&gt;"")*($F$4:$F153&lt;&gt;"أحد الشركاء")*((($D$4:$D153&lt;&gt;"")+($E$4:$E153&lt;&gt;""))&gt;0)))</f>
        <v/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/>
      <c r="B154" s="36"/>
      <c r="C154" s="37"/>
      <c r="D154" s="38"/>
      <c r="E154" s="39"/>
      <c r="F154" s="136"/>
      <c r="G154" s="40"/>
      <c r="H154" s="41"/>
      <c r="I154" s="42"/>
      <c r="J154" s="43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44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  <c r="P154" t="str">
        <f>IF(OR($A154="",$F154="أحد الشركاء",AND($D154="",$E154="")),"",SUMPRODUCT(($A$4:$A154&lt;&gt;"")*($F$4:$F154&lt;&gt;"أحد الشركاء")*((($D$4:$D154&lt;&gt;"")+($E$4:$E154&lt;&gt;""))&gt;0)))</f>
        <v/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/>
      <c r="B155" s="26"/>
      <c r="C155" s="27"/>
      <c r="D155" s="28"/>
      <c r="E155" s="29"/>
      <c r="F155" s="30"/>
      <c r="G155" s="31"/>
      <c r="H155" s="32"/>
      <c r="I155" s="33"/>
      <c r="J155" s="3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3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  <c r="P155" t="str">
        <f>IF(OR($A155="",$F155="أحد الشركاء",AND($D155="",$E155="")),"",SUMPRODUCT(($A$4:$A155&lt;&gt;"")*($F$4:$F155&lt;&gt;"أحد الشركاء")*((($D$4:$D155&lt;&gt;"")+($E$4:$E155&lt;&gt;""))&gt;0)))</f>
        <v/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/>
      <c r="B156" s="36"/>
      <c r="C156" s="37"/>
      <c r="D156" s="38"/>
      <c r="E156" s="39"/>
      <c r="F156" s="136"/>
      <c r="G156" s="40"/>
      <c r="H156" s="41"/>
      <c r="I156" s="42"/>
      <c r="J156" s="43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44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  <c r="P156" t="str">
        <f>IF(OR($A156="",$F156="أحد الشركاء",AND($D156="",$E156="")),"",SUMPRODUCT(($A$4:$A156&lt;&gt;"")*($F$4:$F156&lt;&gt;"أحد الشركاء")*((($D$4:$D156&lt;&gt;"")+($E$4:$E156&lt;&gt;""))&gt;0)))</f>
        <v/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/>
      <c r="B157" s="26"/>
      <c r="C157" s="27"/>
      <c r="D157" s="28"/>
      <c r="E157" s="29"/>
      <c r="F157" s="30"/>
      <c r="G157" s="31"/>
      <c r="H157" s="32"/>
      <c r="I157" s="33"/>
      <c r="J157" s="3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3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  <c r="P157" t="str">
        <f>IF(OR($A157="",$F157="أحد الشركاء",AND($D157="",$E157="")),"",SUMPRODUCT(($A$4:$A157&lt;&gt;"")*($F$4:$F157&lt;&gt;"أحد الشركاء")*((($D$4:$D157&lt;&gt;"")+($E$4:$E157&lt;&gt;""))&gt;0)))</f>
        <v/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/>
      <c r="B158" s="36"/>
      <c r="C158" s="37"/>
      <c r="D158" s="38"/>
      <c r="E158" s="39"/>
      <c r="F158" s="136"/>
      <c r="G158" s="40"/>
      <c r="H158" s="41"/>
      <c r="I158" s="42"/>
      <c r="J158" s="43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44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 t="str">
        <f>IF(OR($A158="",$F158&lt;&gt;"أحد الشركاء"),"",COUNTIFS($A$4:A158,"&lt;&gt;",$F$4:F158,"أحد الشركاء"))</f>
        <v/>
      </c>
    </row>
    <row r="159" spans="1:17" ht="18.75" customHeight="1" x14ac:dyDescent="0.25">
      <c r="A159" s="25"/>
      <c r="B159" s="26"/>
      <c r="C159" s="27"/>
      <c r="D159" s="28"/>
      <c r="E159" s="29"/>
      <c r="F159" s="30"/>
      <c r="G159" s="31"/>
      <c r="H159" s="32"/>
      <c r="I159" s="33"/>
      <c r="J159" s="3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 t="str">
        <f>IF(OR($A159="",$F159&lt;&gt;"أحد الشركاء"),"",COUNTIFS($A$4:A159,"&lt;&gt;",$F$4:F159,"أحد الشركاء"))</f>
        <v/>
      </c>
    </row>
    <row r="160" spans="1:17" ht="18.75" customHeight="1" x14ac:dyDescent="0.25">
      <c r="A160" s="139"/>
      <c r="B160" s="36"/>
      <c r="C160" s="37"/>
      <c r="D160" s="38"/>
      <c r="E160" s="39"/>
      <c r="F160" s="136"/>
      <c r="G160" s="40"/>
      <c r="H160" s="41"/>
      <c r="I160" s="42"/>
      <c r="J160" s="43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  <c r="P160" t="str">
        <f>IF(OR($A160="",$F160="أحد الشركاء",AND($D160="",$E160="")),"",SUMPRODUCT(($A$4:$A160&lt;&gt;"")*($F$4:$F160&lt;&gt;"أحد الشركاء")*((($D$4:$D160&lt;&gt;"")+($E$4:$E160&lt;&gt;""))&gt;0)))</f>
        <v/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/>
      <c r="B161" s="26"/>
      <c r="C161" s="27"/>
      <c r="D161" s="28"/>
      <c r="E161" s="29"/>
      <c r="F161" s="30"/>
      <c r="G161" s="31"/>
      <c r="H161" s="32"/>
      <c r="I161" s="33"/>
      <c r="J161" s="3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3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  <c r="P161" t="str">
        <f>IF(OR($A161="",$F161="أحد الشركاء",AND($D161="",$E161="")),"",SUMPRODUCT(($A$4:$A161&lt;&gt;"")*($F$4:$F161&lt;&gt;"أحد الشركاء")*((($D$4:$D161&lt;&gt;"")+($E$4:$E161&lt;&gt;""))&gt;0)))</f>
        <v/>
      </c>
      <c r="Q161" t="str">
        <f>IF(OR($A161="",$F161&lt;&gt;"أحد الشركاء"),"",COUNTIFS($A$4:A161,"&lt;&gt;",$F$4:F161,"أحد الشركاء"))</f>
        <v/>
      </c>
    </row>
    <row r="162" spans="1:17" ht="18.75" customHeight="1" x14ac:dyDescent="0.25">
      <c r="A162" s="139"/>
      <c r="B162" s="36"/>
      <c r="C162" s="37"/>
      <c r="D162" s="38"/>
      <c r="E162" s="39"/>
      <c r="F162" s="136"/>
      <c r="G162" s="40"/>
      <c r="H162" s="41"/>
      <c r="I162" s="42"/>
      <c r="J162" s="43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44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  <c r="P162" t="str">
        <f>IF(OR($A162="",$F162="أحد الشركاء",AND($D162="",$E162="")),"",SUMPRODUCT(($A$4:$A162&lt;&gt;"")*($F$4:$F162&lt;&gt;"أحد الشركاء")*((($D$4:$D162&lt;&gt;"")+($E$4:$E162&lt;&gt;""))&gt;0)))</f>
        <v/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/>
      <c r="B163" s="26"/>
      <c r="C163" s="27"/>
      <c r="D163" s="28"/>
      <c r="E163" s="29"/>
      <c r="F163" s="30"/>
      <c r="G163" s="31"/>
      <c r="H163" s="32"/>
      <c r="I163" s="33"/>
      <c r="J163" s="3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3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  <c r="P163" t="str">
        <f>IF(OR($A163="",$F163="أحد الشركاء",AND($D163="",$E163="")),"",SUMPRODUCT(($A$4:$A163&lt;&gt;"")*($F$4:$F163&lt;&gt;"أحد الشركاء")*((($D$4:$D163&lt;&gt;"")+($E$4:$E163&lt;&gt;""))&gt;0)))</f>
        <v/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/>
      <c r="B164" s="36"/>
      <c r="C164" s="37"/>
      <c r="D164" s="38"/>
      <c r="E164" s="39"/>
      <c r="F164" s="136"/>
      <c r="G164" s="40"/>
      <c r="H164" s="41"/>
      <c r="I164" s="42"/>
      <c r="J164" s="43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44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 t="str">
        <f>IF(OR($A164="",$F164="أحد الشركاء",AND($D164="",$E164="")),"",SUMPRODUCT(($A$4:$A164&lt;&gt;"")*($F$4:$F164&lt;&gt;"أحد الشركاء")*((($D$4:$D164&lt;&gt;"")+($E$4:$E164&lt;&gt;""))&gt;0)))</f>
        <v/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25"/>
      <c r="B165" s="26"/>
      <c r="C165" s="27"/>
      <c r="D165" s="28"/>
      <c r="E165" s="29"/>
      <c r="F165" s="30"/>
      <c r="G165" s="31"/>
      <c r="H165" s="32"/>
      <c r="I165" s="33"/>
      <c r="J165" s="3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3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 t="str">
        <f>IF(OR($A165="",$F165="أحد الشركاء",AND($D165="",$E165="")),"",SUMPRODUCT(($A$4:$A165&lt;&gt;"")*($F$4:$F165&lt;&gt;"أحد الشركاء")*((($D$4:$D165&lt;&gt;"")+($E$4:$E165&lt;&gt;""))&gt;0)))</f>
        <v/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39"/>
      <c r="B166" s="36"/>
      <c r="C166" s="37"/>
      <c r="D166" s="38"/>
      <c r="E166" s="39"/>
      <c r="F166" s="136"/>
      <c r="G166" s="40"/>
      <c r="H166" s="41"/>
      <c r="I166" s="42"/>
      <c r="J166" s="43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44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 t="str">
        <f>IF(OR($A166="",$F166="أحد الشركاء",AND($D166="",$E166="")),"",SUMPRODUCT(($A$4:$A166&lt;&gt;"")*($F$4:$F166&lt;&gt;"أحد الشركاء")*((($D$4:$D166&lt;&gt;"")+($E$4:$E166&lt;&gt;""))&gt;0)))</f>
        <v/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/>
      <c r="B167" s="26"/>
      <c r="C167" s="27"/>
      <c r="D167" s="28"/>
      <c r="E167" s="29"/>
      <c r="F167" s="30"/>
      <c r="G167" s="31"/>
      <c r="H167" s="32"/>
      <c r="I167" s="33"/>
      <c r="J167" s="3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3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  <c r="P167" t="str">
        <f>IF(OR($A167="",$F167="أحد الشركاء",AND($D167="",$E167="")),"",SUMPRODUCT(($A$4:$A167&lt;&gt;"")*($F$4:$F167&lt;&gt;"أحد الشركاء")*((($D$4:$D167&lt;&gt;"")+($E$4:$E167&lt;&gt;""))&gt;0)))</f>
        <v/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/>
      <c r="B168" s="36"/>
      <c r="C168" s="37"/>
      <c r="D168" s="38"/>
      <c r="E168" s="39"/>
      <c r="F168" s="136"/>
      <c r="G168" s="40"/>
      <c r="H168" s="41"/>
      <c r="I168" s="42"/>
      <c r="J168" s="43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  <c r="P168" t="str">
        <f>IF(OR($A168="",$F168="أحد الشركاء",AND($D168="",$E168="")),"",SUMPRODUCT(($A$4:$A168&lt;&gt;"")*($F$4:$F168&lt;&gt;"أحد الشركاء")*((($D$4:$D168&lt;&gt;"")+($E$4:$E168&lt;&gt;""))&gt;0)))</f>
        <v/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  <c r="P169" t="str">
        <f>IF(OR($A169="",$F169="أحد الشركاء",AND($D169="",$E169="")),"",SUMPRODUCT(($A$4:$A169&lt;&gt;"")*($F$4:$F169&lt;&gt;"أحد الشركاء")*((($D$4:$D169&lt;&gt;"")+($E$4:$E169&lt;&gt;""))&gt;0)))</f>
        <v/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/>
      <c r="B170" s="36"/>
      <c r="C170" s="37"/>
      <c r="D170" s="38"/>
      <c r="E170" s="39"/>
      <c r="F170" s="136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  <c r="P170" t="str">
        <f>IF(OR($A170="",$F170="أحد الشركاء",AND($D170="",$E170="")),"",SUMPRODUCT(($A$4:$A170&lt;&gt;"")*($F$4:$F170&lt;&gt;"أحد الشركاء")*((($D$4:$D170&lt;&gt;"")+($E$4:$E170&lt;&gt;""))&gt;0)))</f>
        <v/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  <c r="P171" t="str">
        <f>IF(OR($A171="",$F171="أحد الشركاء",AND($D171="",$E171="")),"",SUMPRODUCT(($A$4:$A171&lt;&gt;"")*($F$4:$F171&lt;&gt;"أحد الشركاء")*((($D$4:$D171&lt;&gt;"")+($E$4:$E171&lt;&gt;""))&gt;0)))</f>
        <v/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2"/>
      <c r="B204" s="156"/>
      <c r="C204" s="157"/>
      <c r="D204" s="38"/>
      <c r="E204" s="39"/>
      <c r="F204" s="155"/>
      <c r="G204" s="156"/>
      <c r="H204" s="157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2192.0450000000001</v>
      </c>
      <c r="E205" s="46">
        <f>SUM(E4:E203)</f>
        <v>793.44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3" t="s">
        <v>220</v>
      </c>
      <c r="B1" s="156"/>
      <c r="C1" s="156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5" t="s">
        <v>236</v>
      </c>
      <c r="B1" s="156"/>
    </row>
    <row r="2" spans="1:2" ht="21.75" customHeight="1" x14ac:dyDescent="0.25">
      <c r="A2" s="164" t="s">
        <v>237</v>
      </c>
      <c r="B2" s="156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4" t="s">
        <v>242</v>
      </c>
      <c r="B5" s="156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4" t="s">
        <v>251</v>
      </c>
      <c r="B11" s="156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1" ht="24" customHeight="1" x14ac:dyDescent="0.25">
      <c r="A2" s="166"/>
      <c r="B2" s="156"/>
      <c r="C2" s="56" t="s">
        <v>342</v>
      </c>
      <c r="D2" s="166">
        <v>2026</v>
      </c>
      <c r="E2" s="156"/>
      <c r="F2" s="56" t="s">
        <v>256</v>
      </c>
      <c r="G2" s="169" t="s">
        <v>257</v>
      </c>
      <c r="H2" s="160"/>
      <c r="I2" s="160"/>
      <c r="J2" s="160"/>
      <c r="K2" s="160"/>
    </row>
    <row r="3" spans="1:11" ht="19.5" customHeight="1" x14ac:dyDescent="0.25">
      <c r="A3" s="170" t="s">
        <v>258</v>
      </c>
      <c r="B3" s="156"/>
      <c r="C3" s="156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46235</v>
      </c>
      <c r="B5" s="59" t="str">
        <f>IFERROR(IF(IFERROR(MATCH(1,'كشف الحساب'!$N$4:$N$203,0),0)=0,"",INDEX('كشف الحساب'!$B$4:$B$203,IFERROR(MATCH(1,'كشف الحساب'!$N$4:$N$203,0),0))),"")</f>
        <v>Inv-106</v>
      </c>
      <c r="C5" s="37" t="str">
        <f>IFERROR(IF(IFERROR(MATCH(1,'كشف الحساب'!$N$4:$N$203,0),0)=0,"",INDEX('كشف الحساب'!$C$4:$C$203,IFERROR(MATCH(1,'كشف الحساب'!$N$4:$N$203,0),0))),"")</f>
        <v>ربل عدد 11 الحبه 2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22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44.39500000000001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46235</v>
      </c>
      <c r="B6" s="61" t="str">
        <f>IFERROR(IF(IFERROR(MATCH(2,'كشف الحساب'!$N$4:$N$203,0),0)=0,"",INDEX('كشف الحساب'!$B$4:$B$203,IFERROR(MATCH(2,'كشف الحساب'!$N$4:$N$203,0),0))),"")</f>
        <v>Inv-107</v>
      </c>
      <c r="C6" s="27" t="str">
        <f>IFERROR(IF(IFERROR(MATCH(2,'كشف الحساب'!$N$4:$N$203,0),0)=0,"",INDEX('كشف الحساب'!$C$4:$C$203,IFERROR(MATCH(2,'كشف الحساب'!$N$4:$N$203,0),0))),"")</f>
        <v>متنوع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46.89500000000001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46235</v>
      </c>
      <c r="B7" s="59" t="str">
        <f>IFERROR(IF(IFERROR(MATCH(3,'كشف الحساب'!$N$4:$N$203,0),0)=0,"",INDEX('كشف الحساب'!$B$4:$B$203,IFERROR(MATCH(3,'كشف الحساب'!$N$4:$N$203,0),0))),"")</f>
        <v>Inv-108</v>
      </c>
      <c r="C7" s="37" t="str">
        <f>IFERROR(IF(IFERROR(MATCH(3,'كشف الحساب'!$N$4:$N$203,0),0)=0,"",INDEX('كشف الحساب'!$C$4:$C$203,IFERROR(MATCH(3,'كشف الحساب'!$N$4:$N$203,0),0))),"")</f>
        <v>فل عدد 1 بقيمه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0.75</v>
      </c>
      <c r="F7" s="59" t="str">
        <f>IFERROR(IF(IFERROR(MATCH(3,'كشف الحساب'!$N$4:$N$203,0),0)=0,"",INDEX('كشف الحساب'!$F$4:$F$203,IFERROR(MATCH(3,'كشف الحساب'!$N$4:$N$203,0),0))),"")</f>
        <v>أون لاين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47.64500000000001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46235</v>
      </c>
      <c r="B8" s="61">
        <f>IFERROR(IF(IFERROR(MATCH(4,'كشف الحساب'!$N$4:$N$203,0),0)=0,"",INDEX('كشف الحساب'!$B$4:$B$203,IFERROR(MATCH(4,'كشف الحساب'!$N$4:$N$203,0),0))),"")</f>
        <v>0</v>
      </c>
      <c r="C8" s="27" t="str">
        <f>IFERROR(IF(IFERROR(MATCH(4,'كشف الحساب'!$N$4:$N$203,0),0)=0,"",INDEX('كشف الحساب'!$C$4:$C$203,IFERROR(MATCH(4,'كشف الحساب'!$N$4:$N$203,0),0))),"")</f>
        <v>بتموس عدد 2 الواحده 12</v>
      </c>
      <c r="D8" s="28">
        <f>IFERROR(IF(IFERROR(MATCH(4,'كشف الحساب'!$N$4:$N$203,0),0)=0,"",INDEX('كشف الحساب'!$D$4:$D$203,IFERROR(MATCH(4,'كشف الحساب'!$N$4:$N$203,0),0))),"")</f>
        <v>24</v>
      </c>
      <c r="E8" s="62">
        <f>IFERROR(IF(IFERROR(MATCH(4,'كشف الحساب'!$N$4:$N$203,0),0)=0,"",INDEX('كشف الحساب'!$E$4:$E$203,IFERROR(MATCH(4,'كشف الحساب'!$N$4:$N$203,0),0))),"")</f>
        <v>0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 t="str">
        <f>IFERROR(IF(IFERROR(MATCH(4,'كشف الحساب'!$N$4:$N$203,0),0)=0,"",INDEX('كشف الحساب'!$G$4:$G$203,IFERROR(MATCH(4,'كشف الحساب'!$N$4:$N$203,0),0))),"")</f>
        <v>المحفظة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23.64500000000001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46239</v>
      </c>
      <c r="B9" s="59" t="str">
        <f>IFERROR(IF(IFERROR(MATCH(5,'كشف الحساب'!$N$4:$N$203,0),0)=0,"",INDEX('كشف الحساب'!$B$4:$B$203,IFERROR(MATCH(5,'كشف الحساب'!$N$4:$N$203,0),0))),"")</f>
        <v>Inv-109</v>
      </c>
      <c r="C9" s="37" t="str">
        <f>IFERROR(IF(IFERROR(MATCH(5,'كشف الحساب'!$N$4:$N$203,0),0)=0,"",INDEX('كشف الحساب'!$C$4:$C$203,IFERROR(MATCH(5,'كشف الحساب'!$N$4:$N$203,0),0))),"")</f>
        <v>متنوع عدد 1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24.64500000000001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46240</v>
      </c>
      <c r="B10" s="61" t="str">
        <f>IFERROR(IF(IFERROR(MATCH(6,'كشف الحساب'!$N$4:$N$203,0),0)=0,"",INDEX('كشف الحساب'!$B$4:$B$203,IFERROR(MATCH(6,'كشف الحساب'!$N$4:$N$203,0),0))),"")</f>
        <v>Inv-110</v>
      </c>
      <c r="C10" s="27" t="str">
        <f>IFERROR(IF(IFERROR(MATCH(6,'كشف الحساب'!$N$4:$N$203,0),0)=0,"",INDEX('كشف الحساب'!$C$4:$C$203,IFERROR(MATCH(6,'كشف الحساب'!$N$4:$N$203,0),0))),"")</f>
        <v>متنوع عدد10 الحبه 1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10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34.64500000000001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46240</v>
      </c>
      <c r="B11" s="59" t="str">
        <f>IFERROR(IF(IFERROR(MATCH(7,'كشف الحساب'!$N$4:$N$203,0),0)=0,"",INDEX('كشف الحساب'!$B$4:$B$203,IFERROR(MATCH(7,'كشف الحساب'!$N$4:$N$203,0),0))),"")</f>
        <v>Inv-111</v>
      </c>
      <c r="C11" s="37" t="str">
        <f>IFERROR(IF(IFERROR(MATCH(7,'كشف الحساب'!$N$4:$N$203,0),0)=0,"",INDEX('كشف الحساب'!$C$4:$C$203,IFERROR(MATCH(7,'كشف الحساب'!$N$4:$N$203,0),0))),"")</f>
        <v>متنوع 6 عدد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6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40.64500000000001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46240</v>
      </c>
      <c r="B12" s="61" t="str">
        <f>IFERROR(IF(IFERROR(MATCH(8,'كشف الحساب'!$N$4:$N$203,0),0)=0,"",INDEX('كشف الحساب'!$B$4:$B$203,IFERROR(MATCH(8,'كشف الحساب'!$N$4:$N$203,0),0))),"")</f>
        <v>Inv-112</v>
      </c>
      <c r="C12" s="27" t="str">
        <f>IFERROR(IF(IFERROR(MATCH(8,'كشف الحساب'!$N$4:$N$203,0),0)=0,"",INDEX('كشف الحساب'!$C$4:$C$203,IFERROR(MATCH(8,'كشف الحساب'!$N$4:$N$203,0),0))),"")</f>
        <v>ربل عدد 15 الحبه2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29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69.64500000000001</v>
      </c>
      <c r="K12" s="61" t="str">
        <f>IFERROR(IF(IFERROR(MATCH(8,'كشف الحساب'!$N$4:$N$203,0),0)=0,"",INDEX('كشف الحساب'!$K$4:$K$203,IFERROR(MATCH(8,'كشف الحساب'!$N$4:$N$203,0),0))),"")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46240</v>
      </c>
      <c r="B13" s="59">
        <f>IFERROR(IF(IFERROR(MATCH(9,'كشف الحساب'!$N$4:$N$203,0),0)=0,"",INDEX('كشف الحساب'!$B$4:$B$203,IFERROR(MATCH(9,'كشف الحساب'!$N$4:$N$203,0),0))),"")</f>
        <v>0</v>
      </c>
      <c r="C13" s="37" t="str">
        <f>IFERROR(IF(IFERROR(MATCH(9,'كشف الحساب'!$N$4:$N$203,0),0)=0,"",INDEX('كشف الحساب'!$C$4:$C$203,IFERROR(MATCH(9,'كشف الحساب'!$N$4:$N$203,0),0))),"")</f>
        <v>كيميكل للمعالج</v>
      </c>
      <c r="D13" s="38">
        <f>IFERROR(IF(IFERROR(MATCH(9,'كشف الحساب'!$N$4:$N$203,0),0)=0,"",INDEX('كشف الحساب'!$D$4:$D$203,IFERROR(MATCH(9,'كشف الحساب'!$N$4:$N$203,0),0))),"")</f>
        <v>29</v>
      </c>
      <c r="E13" s="60">
        <f>IFERROR(IF(IFERROR(MATCH(9,'كشف الحساب'!$N$4:$N$203,0),0)=0,"",INDEX('كشف الحساب'!$E$4:$E$203,IFERROR(MATCH(9,'كشف الحساب'!$N$4:$N$203,0),0))),"")</f>
        <v>0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 t="str">
        <f>IFERROR(IF(IFERROR(MATCH(9,'كشف الحساب'!$N$4:$N$203,0),0)=0,"",INDEX('كشف الحساب'!$G$4:$G$203,IFERROR(MATCH(9,'كشف الحساب'!$N$4:$N$203,0),0))),"")</f>
        <v>المحفظة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40.64500000000001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46240</v>
      </c>
      <c r="B14" s="61">
        <f>IFERROR(IF(IFERROR(MATCH(10,'كشف الحساب'!$N$4:$N$203,0),0)=0,"",INDEX('كشف الحساب'!$B$4:$B$203,IFERROR(MATCH(10,'كشف الحساب'!$N$4:$N$203,0),0))),"")</f>
        <v>0</v>
      </c>
      <c r="C14" s="27" t="str">
        <f>IFERROR(IF(IFERROR(MATCH(10,'كشف الحساب'!$N$4:$N$203,0),0)=0,"",INDEX('كشف الحساب'!$C$4:$C$203,IFERROR(MATCH(10,'كشف الحساب'!$N$4:$N$203,0),0))),"")</f>
        <v>ترمستات الثلاجه الكبيره</v>
      </c>
      <c r="D14" s="28">
        <f>IFERROR(IF(IFERROR(MATCH(10,'كشف الحساب'!$N$4:$N$203,0),0)=0,"",INDEX('كشف الحساب'!$D$4:$D$203,IFERROR(MATCH(10,'كشف الحساب'!$N$4:$N$203,0),0))),"")</f>
        <v>5.75</v>
      </c>
      <c r="E14" s="62">
        <f>IFERROR(IF(IFERROR(MATCH(10,'كشف الحساب'!$N$4:$N$203,0),0)=0,"",INDEX('كشف الحساب'!$E$4:$E$203,IFERROR(MATCH(10,'كشف الحساب'!$N$4:$N$203,0),0))),"")</f>
        <v>0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 t="str">
        <f>IFERROR(IF(IFERROR(MATCH(10,'كشف الحساب'!$N$4:$N$203,0),0)=0,"",INDEX('كشف الحساب'!$G$4:$G$203,IFERROR(MATCH(10,'كشف الحساب'!$N$4:$N$203,0),0))),"")</f>
        <v>المحفظة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34.89500000000001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 t="str">
        <f>IFERROR(IF(IFERROR(MATCH(11,'كشف الحساب'!$N$4:$N$203,0),0)=0,"",INDEX('كشف الحساب'!$A$4:$A$203,IFERROR(MATCH(11,'كشف الحساب'!$N$4:$N$203,0),0))),"")</f>
        <v/>
      </c>
      <c r="B15" s="59" t="str">
        <f>IFERROR(IF(IFERROR(MATCH(11,'كشف الحساب'!$N$4:$N$203,0),0)=0,"",INDEX('كشف الحساب'!$B$4:$B$203,IFERROR(MATCH(11,'كشف الحساب'!$N$4:$N$203,0),0))),"")</f>
        <v/>
      </c>
      <c r="C15" s="37" t="str">
        <f>IFERROR(IF(IFERROR(MATCH(11,'كشف الحساب'!$N$4:$N$203,0),0)=0,"",INDEX('كشف الحساب'!$C$4:$C$203,IFERROR(MATCH(11,'كشف الحساب'!$N$4:$N$203,0),0))),"")</f>
        <v/>
      </c>
      <c r="D15" s="38" t="str">
        <f>IFERROR(IF(IFERROR(MATCH(11,'كشف الحساب'!$N$4:$N$203,0),0)=0,"",INDEX('كشف الحساب'!$D$4:$D$203,IFERROR(MATCH(11,'كشف الحساب'!$N$4:$N$203,0),0))),"")</f>
        <v/>
      </c>
      <c r="E15" s="60" t="str">
        <f>IFERROR(IF(IFERROR(MATCH(11,'كشف الحساب'!$N$4:$N$203,0),0)=0,"",INDEX('كشف الحساب'!$E$4:$E$203,IFERROR(MATCH(11,'كشف الحساب'!$N$4:$N$203,0),0))),"")</f>
        <v/>
      </c>
      <c r="F15" s="59" t="str">
        <f>IFERROR(IF(IFERROR(MATCH(11,'كشف الحساب'!$N$4:$N$203,0),0)=0,"",INDEX('كشف الحساب'!$F$4:$F$203,IFERROR(MATCH(11,'كشف الحساب'!$N$4:$N$203,0),0))),"")</f>
        <v/>
      </c>
      <c r="G15" s="59" t="str">
        <f>IFERROR(IF(IFERROR(MATCH(11,'كشف الحساب'!$N$4:$N$203,0),0)=0,"",INDEX('كشف الحساب'!$G$4:$G$203,IFERROR(MATCH(11,'كشف الحساب'!$N$4:$N$203,0),0))),"")</f>
        <v/>
      </c>
      <c r="H15" s="59" t="str">
        <f>IFERROR(IF(IFERROR(MATCH(11,'كشف الحساب'!$N$4:$N$203,0),0)=0,"",INDEX('كشف الحساب'!$H$4:$H$203,IFERROR(MATCH(11,'كشف الحساب'!$N$4:$N$203,0),0))),"")</f>
        <v/>
      </c>
      <c r="I15" s="59" t="str">
        <f>IFERROR(IF(IFERROR(MATCH(11,'كشف الحساب'!$N$4:$N$203,0),0)=0,"",INDEX('كشف الحساب'!$I$4:$I$203,IFERROR(MATCH(11,'كشف الحساب'!$N$4:$N$203,0),0))),"")</f>
        <v/>
      </c>
      <c r="J15" s="43" t="str">
        <f>IFERROR(IF(IFERROR(MATCH(11,'كشف الحساب'!$N$4:$N$203,0),0)=0,"",INDEX('كشف الحساب'!$J$4:$J$203,IFERROR(MATCH(11,'كشف الحساب'!$N$4:$N$203,0),0))),"")</f>
        <v/>
      </c>
      <c r="K15" s="59" t="str">
        <f>IFERROR(IF(IFERROR(MATCH(11,'كشف الحساب'!$N$4:$N$203,0),0)=0,"",INDEX('كشف الحساب'!$K$4:$K$203,IFERROR(MATCH(11,'كشف الحساب'!$N$4:$N$203,0),0))),"")</f>
        <v/>
      </c>
    </row>
    <row r="16" spans="1:11" ht="16.5" customHeight="1" x14ac:dyDescent="0.25">
      <c r="A16" s="25" t="str">
        <f>IFERROR(IF(IFERROR(MATCH(12,'كشف الحساب'!$N$4:$N$203,0),0)=0,"",INDEX('كشف الحساب'!$A$4:$A$203,IFERROR(MATCH(12,'كشف الحساب'!$N$4:$N$203,0),0))),"")</f>
        <v/>
      </c>
      <c r="B16" s="61" t="str">
        <f>IFERROR(IF(IFERROR(MATCH(12,'كشف الحساب'!$N$4:$N$203,0),0)=0,"",INDEX('كشف الحساب'!$B$4:$B$203,IFERROR(MATCH(12,'كشف الحساب'!$N$4:$N$203,0),0))),"")</f>
        <v/>
      </c>
      <c r="C16" s="27" t="str">
        <f>IFERROR(IF(IFERROR(MATCH(12,'كشف الحساب'!$N$4:$N$203,0),0)=0,"",INDEX('كشف الحساب'!$C$4:$C$203,IFERROR(MATCH(12,'كشف الحساب'!$N$4:$N$203,0),0))),"")</f>
        <v/>
      </c>
      <c r="D16" s="28" t="str">
        <f>IFERROR(IF(IFERROR(MATCH(12,'كشف الحساب'!$N$4:$N$203,0),0)=0,"",INDEX('كشف الحساب'!$D$4:$D$203,IFERROR(MATCH(12,'كشف الحساب'!$N$4:$N$203,0),0))),"")</f>
        <v/>
      </c>
      <c r="E16" s="62" t="str">
        <f>IFERROR(IF(IFERROR(MATCH(12,'كشف الحساب'!$N$4:$N$203,0),0)=0,"",INDEX('كشف الحساب'!$E$4:$E$203,IFERROR(MATCH(12,'كشف الحساب'!$N$4:$N$203,0),0))),"")</f>
        <v/>
      </c>
      <c r="F16" s="61" t="str">
        <f>IFERROR(IF(IFERROR(MATCH(12,'كشف الحساب'!$N$4:$N$203,0),0)=0,"",INDEX('كشف الحساب'!$F$4:$F$203,IFERROR(MATCH(12,'كشف الحساب'!$N$4:$N$203,0),0))),"")</f>
        <v/>
      </c>
      <c r="G16" s="61" t="str">
        <f>IFERROR(IF(IFERROR(MATCH(12,'كشف الحساب'!$N$4:$N$203,0),0)=0,"",INDEX('كشف الحساب'!$G$4:$G$203,IFERROR(MATCH(12,'كشف الحساب'!$N$4:$N$203,0),0))),"")</f>
        <v/>
      </c>
      <c r="H16" s="61" t="str">
        <f>IFERROR(IF(IFERROR(MATCH(12,'كشف الحساب'!$N$4:$N$203,0),0)=0,"",INDEX('كشف الحساب'!$H$4:$H$203,IFERROR(MATCH(12,'كشف الحساب'!$N$4:$N$203,0),0))),"")</f>
        <v/>
      </c>
      <c r="I16" s="61" t="str">
        <f>IFERROR(IF(IFERROR(MATCH(12,'كشف الحساب'!$N$4:$N$203,0),0)=0,"",INDEX('كشف الحساب'!$I$4:$I$203,IFERROR(MATCH(12,'كشف الحساب'!$N$4:$N$203,0),0))),"")</f>
        <v/>
      </c>
      <c r="J16" s="34" t="str">
        <f>IFERROR(IF(IFERROR(MATCH(12,'كشف الحساب'!$N$4:$N$203,0),0)=0,"",INDEX('كشف الحساب'!$J$4:$J$203,IFERROR(MATCH(12,'كشف الحساب'!$N$4:$N$203,0),0))),"")</f>
        <v/>
      </c>
      <c r="K16" s="61" t="str">
        <f>IFERROR(IF(IFERROR(MATCH(12,'كشف الحساب'!$N$4:$N$203,0),0)=0,"",INDEX('كشف الحساب'!$K$4:$K$203,IFERROR(MATCH(12,'كشف الحساب'!$N$4:$N$203,0),0))),"")</f>
        <v/>
      </c>
    </row>
    <row r="17" spans="1:11" ht="16.5" customHeight="1" x14ac:dyDescent="0.25">
      <c r="A17" s="139" t="str">
        <f>IFERROR(IF(IFERROR(MATCH(13,'كشف الحساب'!$N$4:$N$203,0),0)=0,"",INDEX('كشف الحساب'!$A$4:$A$203,IFERROR(MATCH(13,'كشف الحساب'!$N$4:$N$203,0),0))),"")</f>
        <v/>
      </c>
      <c r="B17" s="59" t="str">
        <f>IFERROR(IF(IFERROR(MATCH(13,'كشف الحساب'!$N$4:$N$203,0),0)=0,"",INDEX('كشف الحساب'!$B$4:$B$203,IFERROR(MATCH(13,'كشف الحساب'!$N$4:$N$203,0),0))),"")</f>
        <v/>
      </c>
      <c r="C17" s="37" t="str">
        <f>IFERROR(IF(IFERROR(MATCH(13,'كشف الحساب'!$N$4:$N$203,0),0)=0,"",INDEX('كشف الحساب'!$C$4:$C$203,IFERROR(MATCH(13,'كشف الحساب'!$N$4:$N$203,0),0))),"")</f>
        <v/>
      </c>
      <c r="D17" s="38" t="str">
        <f>IFERROR(IF(IFERROR(MATCH(13,'كشف الحساب'!$N$4:$N$203,0),0)=0,"",INDEX('كشف الحساب'!$D$4:$D$203,IFERROR(MATCH(13,'كشف الحساب'!$N$4:$N$203,0),0))),"")</f>
        <v/>
      </c>
      <c r="E17" s="60" t="str">
        <f>IFERROR(IF(IFERROR(MATCH(13,'كشف الحساب'!$N$4:$N$203,0),0)=0,"",INDEX('كشف الحساب'!$E$4:$E$203,IFERROR(MATCH(13,'كشف الحساب'!$N$4:$N$203,0),0))),"")</f>
        <v/>
      </c>
      <c r="F17" s="59" t="str">
        <f>IFERROR(IF(IFERROR(MATCH(13,'كشف الحساب'!$N$4:$N$203,0),0)=0,"",INDEX('كشف الحساب'!$F$4:$F$203,IFERROR(MATCH(13,'كشف الحساب'!$N$4:$N$203,0),0))),"")</f>
        <v/>
      </c>
      <c r="G17" s="59" t="str">
        <f>IFERROR(IF(IFERROR(MATCH(13,'كشف الحساب'!$N$4:$N$203,0),0)=0,"",INDEX('كشف الحساب'!$G$4:$G$203,IFERROR(MATCH(13,'كشف الحساب'!$N$4:$N$203,0),0))),"")</f>
        <v/>
      </c>
      <c r="H17" s="59" t="str">
        <f>IFERROR(IF(IFERROR(MATCH(13,'كشف الحساب'!$N$4:$N$203,0),0)=0,"",INDEX('كشف الحساب'!$H$4:$H$203,IFERROR(MATCH(13,'كشف الحساب'!$N$4:$N$203,0),0))),"")</f>
        <v/>
      </c>
      <c r="I17" s="59" t="str">
        <f>IFERROR(IF(IFERROR(MATCH(13,'كشف الحساب'!$N$4:$N$203,0),0)=0,"",INDEX('كشف الحساب'!$I$4:$I$203,IFERROR(MATCH(13,'كشف الحساب'!$N$4:$N$203,0),0))),"")</f>
        <v/>
      </c>
      <c r="J17" s="43" t="str">
        <f>IFERROR(IF(IFERROR(MATCH(13,'كشف الحساب'!$N$4:$N$203,0),0)=0,"",INDEX('كشف الحساب'!$J$4:$J$203,IFERROR(MATCH(13,'كشف الحساب'!$N$4:$N$203,0),0))),"")</f>
        <v/>
      </c>
      <c r="K17" s="59" t="str">
        <f>IFERROR(IF(IFERROR(MATCH(13,'كشف الحساب'!$N$4:$N$203,0),0)=0,"",INDEX('كشف الحساب'!$K$4:$K$203,IFERROR(MATCH(13,'كشف الحساب'!$N$4:$N$203,0),0))),"")</f>
        <v/>
      </c>
    </row>
    <row r="18" spans="1:11" ht="16.5" customHeight="1" x14ac:dyDescent="0.25">
      <c r="A18" s="25" t="str">
        <f>IFERROR(IF(IFERROR(MATCH(14,'كشف الحساب'!$N$4:$N$203,0),0)=0,"",INDEX('كشف الحساب'!$A$4:$A$203,IFERROR(MATCH(14,'كشف الحساب'!$N$4:$N$203,0),0))),"")</f>
        <v/>
      </c>
      <c r="B18" s="61" t="str">
        <f>IFERROR(IF(IFERROR(MATCH(14,'كشف الحساب'!$N$4:$N$203,0),0)=0,"",INDEX('كشف الحساب'!$B$4:$B$203,IFERROR(MATCH(14,'كشف الحساب'!$N$4:$N$203,0),0))),"")</f>
        <v/>
      </c>
      <c r="C18" s="27" t="str">
        <f>IFERROR(IF(IFERROR(MATCH(14,'كشف الحساب'!$N$4:$N$203,0),0)=0,"",INDEX('كشف الحساب'!$C$4:$C$203,IFERROR(MATCH(14,'كشف الحساب'!$N$4:$N$203,0),0))),"")</f>
        <v/>
      </c>
      <c r="D18" s="28" t="str">
        <f>IFERROR(IF(IFERROR(MATCH(14,'كشف الحساب'!$N$4:$N$203,0),0)=0,"",INDEX('كشف الحساب'!$D$4:$D$203,IFERROR(MATCH(14,'كشف الحساب'!$N$4:$N$203,0),0))),"")</f>
        <v/>
      </c>
      <c r="E18" s="62" t="str">
        <f>IFERROR(IF(IFERROR(MATCH(14,'كشف الحساب'!$N$4:$N$203,0),0)=0,"",INDEX('كشف الحساب'!$E$4:$E$203,IFERROR(MATCH(14,'كشف الحساب'!$N$4:$N$203,0),0))),"")</f>
        <v/>
      </c>
      <c r="F18" s="61" t="str">
        <f>IFERROR(IF(IFERROR(MATCH(14,'كشف الحساب'!$N$4:$N$203,0),0)=0,"",INDEX('كشف الحساب'!$F$4:$F$203,IFERROR(MATCH(14,'كشف الحساب'!$N$4:$N$203,0),0))),"")</f>
        <v/>
      </c>
      <c r="G18" s="61" t="str">
        <f>IFERROR(IF(IFERROR(MATCH(14,'كشف الحساب'!$N$4:$N$203,0),0)=0,"",INDEX('كشف الحساب'!$G$4:$G$203,IFERROR(MATCH(14,'كشف الحساب'!$N$4:$N$203,0),0))),"")</f>
        <v/>
      </c>
      <c r="H18" s="61" t="str">
        <f>IFERROR(IF(IFERROR(MATCH(14,'كشف الحساب'!$N$4:$N$203,0),0)=0,"",INDEX('كشف الحساب'!$H$4:$H$203,IFERROR(MATCH(14,'كشف الحساب'!$N$4:$N$203,0),0))),"")</f>
        <v/>
      </c>
      <c r="I18" s="61" t="str">
        <f>IFERROR(IF(IFERROR(MATCH(14,'كشف الحساب'!$N$4:$N$203,0),0)=0,"",INDEX('كشف الحساب'!$I$4:$I$203,IFERROR(MATCH(14,'كشف الحساب'!$N$4:$N$203,0),0))),"")</f>
        <v/>
      </c>
      <c r="J18" s="34" t="str">
        <f>IFERROR(IF(IFERROR(MATCH(14,'كشف الحساب'!$N$4:$N$203,0),0)=0,"",INDEX('كشف الحساب'!$J$4:$J$203,IFERROR(MATCH(14,'كشف الحساب'!$N$4:$N$203,0),0))),"")</f>
        <v/>
      </c>
      <c r="K18" s="61" t="str">
        <f>IFERROR(IF(IFERROR(MATCH(14,'كشف الحساب'!$N$4:$N$203,0),0)=0,"",INDEX('كشف الحساب'!$K$4:$K$203,IFERROR(MATCH(14,'كشف الحساب'!$N$4:$N$203,0),0))),"")</f>
        <v/>
      </c>
    </row>
    <row r="19" spans="1:11" ht="16.5" customHeight="1" x14ac:dyDescent="0.25">
      <c r="A19" s="139" t="str">
        <f>IFERROR(IF(IFERROR(MATCH(15,'كشف الحساب'!$N$4:$N$203,0),0)=0,"",INDEX('كشف الحساب'!$A$4:$A$203,IFERROR(MATCH(15,'كشف الحساب'!$N$4:$N$203,0),0))),"")</f>
        <v/>
      </c>
      <c r="B19" s="59" t="str">
        <f>IFERROR(IF(IFERROR(MATCH(15,'كشف الحساب'!$N$4:$N$203,0),0)=0,"",INDEX('كشف الحساب'!$B$4:$B$203,IFERROR(MATCH(15,'كشف الحساب'!$N$4:$N$203,0),0))),"")</f>
        <v/>
      </c>
      <c r="C19" s="37" t="str">
        <f>IFERROR(IF(IFERROR(MATCH(15,'كشف الحساب'!$N$4:$N$203,0),0)=0,"",INDEX('كشف الحساب'!$C$4:$C$203,IFERROR(MATCH(15,'كشف الحساب'!$N$4:$N$203,0),0))),"")</f>
        <v/>
      </c>
      <c r="D19" s="38" t="str">
        <f>IFERROR(IF(IFERROR(MATCH(15,'كشف الحساب'!$N$4:$N$203,0),0)=0,"",INDEX('كشف الحساب'!$D$4:$D$203,IFERROR(MATCH(15,'كشف الحساب'!$N$4:$N$203,0),0))),"")</f>
        <v/>
      </c>
      <c r="E19" s="60" t="str">
        <f>IFERROR(IF(IFERROR(MATCH(15,'كشف الحساب'!$N$4:$N$203,0),0)=0,"",INDEX('كشف الحساب'!$E$4:$E$203,IFERROR(MATCH(15,'كشف الحساب'!$N$4:$N$203,0),0))),"")</f>
        <v/>
      </c>
      <c r="F19" s="59" t="str">
        <f>IFERROR(IF(IFERROR(MATCH(15,'كشف الحساب'!$N$4:$N$203,0),0)=0,"",INDEX('كشف الحساب'!$F$4:$F$203,IFERROR(MATCH(15,'كشف الحساب'!$N$4:$N$203,0),0))),"")</f>
        <v/>
      </c>
      <c r="G19" s="59" t="str">
        <f>IFERROR(IF(IFERROR(MATCH(15,'كشف الحساب'!$N$4:$N$203,0),0)=0,"",INDEX('كشف الحساب'!$G$4:$G$203,IFERROR(MATCH(15,'كشف الحساب'!$N$4:$N$203,0),0))),"")</f>
        <v/>
      </c>
      <c r="H19" s="59" t="str">
        <f>IFERROR(IF(IFERROR(MATCH(15,'كشف الحساب'!$N$4:$N$203,0),0)=0,"",INDEX('كشف الحساب'!$H$4:$H$203,IFERROR(MATCH(15,'كشف الحساب'!$N$4:$N$203,0),0))),"")</f>
        <v/>
      </c>
      <c r="I19" s="59" t="str">
        <f>IFERROR(IF(IFERROR(MATCH(15,'كشف الحساب'!$N$4:$N$203,0),0)=0,"",INDEX('كشف الحساب'!$I$4:$I$203,IFERROR(MATCH(15,'كشف الحساب'!$N$4:$N$203,0),0))),"")</f>
        <v/>
      </c>
      <c r="J19" s="43" t="str">
        <f>IFERROR(IF(IFERROR(MATCH(15,'كشف الحساب'!$N$4:$N$203,0),0)=0,"",INDEX('كشف الحساب'!$J$4:$J$203,IFERROR(MATCH(15,'كشف الحساب'!$N$4:$N$203,0),0))),"")</f>
        <v/>
      </c>
      <c r="K19" s="59" t="str">
        <f>IFERROR(IF(IFERROR(MATCH(15,'كشف الحساب'!$N$4:$N$203,0),0)=0,"",INDEX('كشف الحساب'!$K$4:$K$203,IFERROR(MATCH(15,'كشف الحساب'!$N$4:$N$203,0),0))),"")</f>
        <v/>
      </c>
    </row>
    <row r="20" spans="1:11" ht="16.5" customHeight="1" x14ac:dyDescent="0.25">
      <c r="A20" s="25" t="str">
        <f>IFERROR(IF(IFERROR(MATCH(16,'كشف الحساب'!$N$4:$N$203,0),0)=0,"",INDEX('كشف الحساب'!$A$4:$A$203,IFERROR(MATCH(16,'كشف الحساب'!$N$4:$N$203,0),0))),"")</f>
        <v/>
      </c>
      <c r="B20" s="61" t="str">
        <f>IFERROR(IF(IFERROR(MATCH(16,'كشف الحساب'!$N$4:$N$203,0),0)=0,"",INDEX('كشف الحساب'!$B$4:$B$203,IFERROR(MATCH(16,'كشف الحساب'!$N$4:$N$203,0),0))),"")</f>
        <v/>
      </c>
      <c r="C20" s="27" t="str">
        <f>IFERROR(IF(IFERROR(MATCH(16,'كشف الحساب'!$N$4:$N$203,0),0)=0,"",INDEX('كشف الحساب'!$C$4:$C$203,IFERROR(MATCH(16,'كشف الحساب'!$N$4:$N$203,0),0))),"")</f>
        <v/>
      </c>
      <c r="D20" s="28" t="str">
        <f>IFERROR(IF(IFERROR(MATCH(16,'كشف الحساب'!$N$4:$N$203,0),0)=0,"",INDEX('كشف الحساب'!$D$4:$D$203,IFERROR(MATCH(16,'كشف الحساب'!$N$4:$N$203,0),0))),"")</f>
        <v/>
      </c>
      <c r="E20" s="62" t="str">
        <f>IFERROR(IF(IFERROR(MATCH(16,'كشف الحساب'!$N$4:$N$203,0),0)=0,"",INDEX('كشف الحساب'!$E$4:$E$203,IFERROR(MATCH(16,'كشف الحساب'!$N$4:$N$203,0),0))),"")</f>
        <v/>
      </c>
      <c r="F20" s="61" t="str">
        <f>IFERROR(IF(IFERROR(MATCH(16,'كشف الحساب'!$N$4:$N$203,0),0)=0,"",INDEX('كشف الحساب'!$F$4:$F$203,IFERROR(MATCH(16,'كشف الحساب'!$N$4:$N$203,0),0))),"")</f>
        <v/>
      </c>
      <c r="G20" s="61" t="str">
        <f>IFERROR(IF(IFERROR(MATCH(16,'كشف الحساب'!$N$4:$N$203,0),0)=0,"",INDEX('كشف الحساب'!$G$4:$G$203,IFERROR(MATCH(16,'كشف الحساب'!$N$4:$N$203,0),0))),"")</f>
        <v/>
      </c>
      <c r="H20" s="61" t="str">
        <f>IFERROR(IF(IFERROR(MATCH(16,'كشف الحساب'!$N$4:$N$203,0),0)=0,"",INDEX('كشف الحساب'!$H$4:$H$203,IFERROR(MATCH(16,'كشف الحساب'!$N$4:$N$203,0),0))),"")</f>
        <v/>
      </c>
      <c r="I20" s="61" t="str">
        <f>IFERROR(IF(IFERROR(MATCH(16,'كشف الحساب'!$N$4:$N$203,0),0)=0,"",INDEX('كشف الحساب'!$I$4:$I$203,IFERROR(MATCH(16,'كشف الحساب'!$N$4:$N$203,0),0))),"")</f>
        <v/>
      </c>
      <c r="J20" s="34" t="str">
        <f>IFERROR(IF(IFERROR(MATCH(16,'كشف الحساب'!$N$4:$N$203,0),0)=0,"",INDEX('كشف الحساب'!$J$4:$J$203,IFERROR(MATCH(16,'كشف الحساب'!$N$4:$N$203,0),0))),"")</f>
        <v/>
      </c>
      <c r="K20" s="61" t="str">
        <f>IFERROR(IF(IFERROR(MATCH(16,'كشف الحساب'!$N$4:$N$203,0),0)=0,"",INDEX('كشف الحساب'!$K$4:$K$203,IFERROR(MATCH(16,'كشف الحساب'!$N$4:$N$203,0),0))),"")</f>
        <v/>
      </c>
    </row>
    <row r="21" spans="1:11" ht="16.5" customHeight="1" x14ac:dyDescent="0.25">
      <c r="A21" s="139" t="str">
        <f>IFERROR(IF(IFERROR(MATCH(17,'كشف الحساب'!$N$4:$N$203,0),0)=0,"",INDEX('كشف الحساب'!$A$4:$A$203,IFERROR(MATCH(17,'كشف الحساب'!$N$4:$N$203,0),0))),"")</f>
        <v/>
      </c>
      <c r="B21" s="59" t="str">
        <f>IFERROR(IF(IFERROR(MATCH(17,'كشف الحساب'!$N$4:$N$203,0),0)=0,"",INDEX('كشف الحساب'!$B$4:$B$203,IFERROR(MATCH(17,'كشف الحساب'!$N$4:$N$203,0),0))),"")</f>
        <v/>
      </c>
      <c r="C21" s="37" t="str">
        <f>IFERROR(IF(IFERROR(MATCH(17,'كشف الحساب'!$N$4:$N$203,0),0)=0,"",INDEX('كشف الحساب'!$C$4:$C$203,IFERROR(MATCH(17,'كشف الحساب'!$N$4:$N$203,0),0))),"")</f>
        <v/>
      </c>
      <c r="D21" s="38" t="str">
        <f>IFERROR(IF(IFERROR(MATCH(17,'كشف الحساب'!$N$4:$N$203,0),0)=0,"",INDEX('كشف الحساب'!$D$4:$D$203,IFERROR(MATCH(17,'كشف الحساب'!$N$4:$N$203,0),0))),"")</f>
        <v/>
      </c>
      <c r="E21" s="60" t="str">
        <f>IFERROR(IF(IFERROR(MATCH(17,'كشف الحساب'!$N$4:$N$203,0),0)=0,"",INDEX('كشف الحساب'!$E$4:$E$203,IFERROR(MATCH(17,'كشف الحساب'!$N$4:$N$203,0),0))),"")</f>
        <v/>
      </c>
      <c r="F21" s="59" t="str">
        <f>IFERROR(IF(IFERROR(MATCH(17,'كشف الحساب'!$N$4:$N$203,0),0)=0,"",INDEX('كشف الحساب'!$F$4:$F$203,IFERROR(MATCH(17,'كشف الحساب'!$N$4:$N$203,0),0))),"")</f>
        <v/>
      </c>
      <c r="G21" s="59" t="str">
        <f>IFERROR(IF(IFERROR(MATCH(17,'كشف الحساب'!$N$4:$N$203,0),0)=0,"",INDEX('كشف الحساب'!$G$4:$G$203,IFERROR(MATCH(17,'كشف الحساب'!$N$4:$N$203,0),0))),"")</f>
        <v/>
      </c>
      <c r="H21" s="59" t="str">
        <f>IFERROR(IF(IFERROR(MATCH(17,'كشف الحساب'!$N$4:$N$203,0),0)=0,"",INDEX('كشف الحساب'!$H$4:$H$203,IFERROR(MATCH(17,'كشف الحساب'!$N$4:$N$203,0),0))),"")</f>
        <v/>
      </c>
      <c r="I21" s="59" t="str">
        <f>IFERROR(IF(IFERROR(MATCH(17,'كشف الحساب'!$N$4:$N$203,0),0)=0,"",INDEX('كشف الحساب'!$I$4:$I$203,IFERROR(MATCH(17,'كشف الحساب'!$N$4:$N$203,0),0))),"")</f>
        <v/>
      </c>
      <c r="J21" s="43" t="str">
        <f>IFERROR(IF(IFERROR(MATCH(17,'كشف الحساب'!$N$4:$N$203,0),0)=0,"",INDEX('كشف الحساب'!$J$4:$J$203,IFERROR(MATCH(17,'كشف الحساب'!$N$4:$N$203,0),0))),"")</f>
        <v/>
      </c>
      <c r="K21" s="59" t="str">
        <f>IFERROR(IF(IFERROR(MATCH(17,'كشف الحساب'!$N$4:$N$203,0),0)=0,"",INDEX('كشف الحساب'!$K$4:$K$203,IFERROR(MATCH(17,'كشف الحساب'!$N$4:$N$203,0),0))),"")</f>
        <v/>
      </c>
    </row>
    <row r="22" spans="1:11" ht="16.5" customHeight="1" x14ac:dyDescent="0.25">
      <c r="A22" s="25" t="str">
        <f>IFERROR(IF(IFERROR(MATCH(18,'كشف الحساب'!$N$4:$N$203,0),0)=0,"",INDEX('كشف الحساب'!$A$4:$A$203,IFERROR(MATCH(18,'كشف الحساب'!$N$4:$N$203,0),0))),"")</f>
        <v/>
      </c>
      <c r="B22" s="61" t="str">
        <f>IFERROR(IF(IFERROR(MATCH(18,'كشف الحساب'!$N$4:$N$203,0),0)=0,"",INDEX('كشف الحساب'!$B$4:$B$203,IFERROR(MATCH(18,'كشف الحساب'!$N$4:$N$203,0),0))),"")</f>
        <v/>
      </c>
      <c r="C22" s="27" t="str">
        <f>IFERROR(IF(IFERROR(MATCH(18,'كشف الحساب'!$N$4:$N$203,0),0)=0,"",INDEX('كشف الحساب'!$C$4:$C$203,IFERROR(MATCH(18,'كشف الحساب'!$N$4:$N$203,0),0))),"")</f>
        <v/>
      </c>
      <c r="D22" s="28" t="str">
        <f>IFERROR(IF(IFERROR(MATCH(18,'كشف الحساب'!$N$4:$N$203,0),0)=0,"",INDEX('كشف الحساب'!$D$4:$D$203,IFERROR(MATCH(18,'كشف الحساب'!$N$4:$N$203,0),0))),"")</f>
        <v/>
      </c>
      <c r="E22" s="62" t="str">
        <f>IFERROR(IF(IFERROR(MATCH(18,'كشف الحساب'!$N$4:$N$203,0),0)=0,"",INDEX('كشف الحساب'!$E$4:$E$203,IFERROR(MATCH(18,'كشف الحساب'!$N$4:$N$203,0),0))),"")</f>
        <v/>
      </c>
      <c r="F22" s="61" t="str">
        <f>IFERROR(IF(IFERROR(MATCH(18,'كشف الحساب'!$N$4:$N$203,0),0)=0,"",INDEX('كشف الحساب'!$F$4:$F$203,IFERROR(MATCH(18,'كشف الحساب'!$N$4:$N$203,0),0))),"")</f>
        <v/>
      </c>
      <c r="G22" s="61" t="str">
        <f>IFERROR(IF(IFERROR(MATCH(18,'كشف الحساب'!$N$4:$N$203,0),0)=0,"",INDEX('كشف الحساب'!$G$4:$G$203,IFERROR(MATCH(18,'كشف الحساب'!$N$4:$N$203,0),0))),"")</f>
        <v/>
      </c>
      <c r="H22" s="61" t="str">
        <f>IFERROR(IF(IFERROR(MATCH(18,'كشف الحساب'!$N$4:$N$203,0),0)=0,"",INDEX('كشف الحساب'!$H$4:$H$203,IFERROR(MATCH(18,'كشف الحساب'!$N$4:$N$203,0),0))),"")</f>
        <v/>
      </c>
      <c r="I22" s="61" t="str">
        <f>IFERROR(IF(IFERROR(MATCH(18,'كشف الحساب'!$N$4:$N$203,0),0)=0,"",INDEX('كشف الحساب'!$I$4:$I$203,IFERROR(MATCH(18,'كشف الحساب'!$N$4:$N$203,0),0))),"")</f>
        <v/>
      </c>
      <c r="J22" s="34" t="str">
        <f>IFERROR(IF(IFERROR(MATCH(18,'كشف الحساب'!$N$4:$N$203,0),0)=0,"",INDEX('كشف الحساب'!$J$4:$J$203,IFERROR(MATCH(18,'كشف الحساب'!$N$4:$N$203,0),0))),"")</f>
        <v/>
      </c>
      <c r="K22" s="61" t="str">
        <f>IFERROR(IF(IFERROR(MATCH(18,'كشف الحساب'!$N$4:$N$203,0),0)=0,"",INDEX('كشف الحساب'!$K$4:$K$203,IFERROR(MATCH(18,'كشف الحساب'!$N$4:$N$203,0),0))),"")</f>
        <v/>
      </c>
    </row>
    <row r="23" spans="1:11" ht="16.5" customHeight="1" x14ac:dyDescent="0.25">
      <c r="A23" s="139" t="str">
        <f>IFERROR(IF(IFERROR(MATCH(19,'كشف الحساب'!$N$4:$N$203,0),0)=0,"",INDEX('كشف الحساب'!$A$4:$A$203,IFERROR(MATCH(19,'كشف الحساب'!$N$4:$N$203,0),0))),"")</f>
        <v/>
      </c>
      <c r="B23" s="59" t="str">
        <f>IFERROR(IF(IFERROR(MATCH(19,'كشف الحساب'!$N$4:$N$203,0),0)=0,"",INDEX('كشف الحساب'!$B$4:$B$203,IFERROR(MATCH(19,'كشف الحساب'!$N$4:$N$203,0),0))),"")</f>
        <v/>
      </c>
      <c r="C23" s="37" t="str">
        <f>IFERROR(IF(IFERROR(MATCH(19,'كشف الحساب'!$N$4:$N$203,0),0)=0,"",INDEX('كشف الحساب'!$C$4:$C$203,IFERROR(MATCH(19,'كشف الحساب'!$N$4:$N$203,0),0))),"")</f>
        <v/>
      </c>
      <c r="D23" s="38" t="str">
        <f>IFERROR(IF(IFERROR(MATCH(19,'كشف الحساب'!$N$4:$N$203,0),0)=0,"",INDEX('كشف الحساب'!$D$4:$D$203,IFERROR(MATCH(19,'كشف الحساب'!$N$4:$N$203,0),0))),"")</f>
        <v/>
      </c>
      <c r="E23" s="60" t="str">
        <f>IFERROR(IF(IFERROR(MATCH(19,'كشف الحساب'!$N$4:$N$203,0),0)=0,"",INDEX('كشف الحساب'!$E$4:$E$203,IFERROR(MATCH(19,'كشف الحساب'!$N$4:$N$203,0),0))),"")</f>
        <v/>
      </c>
      <c r="F23" s="59" t="str">
        <f>IFERROR(IF(IFERROR(MATCH(19,'كشف الحساب'!$N$4:$N$203,0),0)=0,"",INDEX('كشف الحساب'!$F$4:$F$203,IFERROR(MATCH(19,'كشف الحساب'!$N$4:$N$203,0),0))),"")</f>
        <v/>
      </c>
      <c r="G23" s="59" t="str">
        <f>IFERROR(IF(IFERROR(MATCH(19,'كشف الحساب'!$N$4:$N$203,0),0)=0,"",INDEX('كشف الحساب'!$G$4:$G$203,IFERROR(MATCH(19,'كشف الحساب'!$N$4:$N$203,0),0))),"")</f>
        <v/>
      </c>
      <c r="H23" s="59" t="str">
        <f>IFERROR(IF(IFERROR(MATCH(19,'كشف الحساب'!$N$4:$N$203,0),0)=0,"",INDEX('كشف الحساب'!$H$4:$H$203,IFERROR(MATCH(19,'كشف الحساب'!$N$4:$N$203,0),0))),"")</f>
        <v/>
      </c>
      <c r="I23" s="59" t="str">
        <f>IFERROR(IF(IFERROR(MATCH(19,'كشف الحساب'!$N$4:$N$203,0),0)=0,"",INDEX('كشف الحساب'!$I$4:$I$203,IFERROR(MATCH(19,'كشف الحساب'!$N$4:$N$203,0),0))),"")</f>
        <v/>
      </c>
      <c r="J23" s="43" t="str">
        <f>IFERROR(IF(IFERROR(MATCH(19,'كشف الحساب'!$N$4:$N$203,0),0)=0,"",INDEX('كشف الحساب'!$J$4:$J$203,IFERROR(MATCH(19,'كشف الحساب'!$N$4:$N$203,0),0))),"")</f>
        <v/>
      </c>
      <c r="K23" s="59" t="str">
        <f>IFERROR(IF(IFERROR(MATCH(19,'كشف الحساب'!$N$4:$N$203,0),0)=0,"",INDEX('كشف الحساب'!$K$4:$K$203,IFERROR(MATCH(19,'كشف الحساب'!$N$4:$N$203,0),0))),"")</f>
        <v/>
      </c>
    </row>
    <row r="24" spans="1:11" ht="16.5" customHeight="1" x14ac:dyDescent="0.25">
      <c r="A24" s="25" t="str">
        <f>IFERROR(IF(IFERROR(MATCH(20,'كشف الحساب'!$N$4:$N$203,0),0)=0,"",INDEX('كشف الحساب'!$A$4:$A$203,IFERROR(MATCH(20,'كشف الحساب'!$N$4:$N$203,0),0))),"")</f>
        <v/>
      </c>
      <c r="B24" s="61" t="str">
        <f>IFERROR(IF(IFERROR(MATCH(20,'كشف الحساب'!$N$4:$N$203,0),0)=0,"",INDEX('كشف الحساب'!$B$4:$B$203,IFERROR(MATCH(20,'كشف الحساب'!$N$4:$N$203,0),0))),"")</f>
        <v/>
      </c>
      <c r="C24" s="27" t="str">
        <f>IFERROR(IF(IFERROR(MATCH(20,'كشف الحساب'!$N$4:$N$203,0),0)=0,"",INDEX('كشف الحساب'!$C$4:$C$203,IFERROR(MATCH(20,'كشف الحساب'!$N$4:$N$203,0),0))),"")</f>
        <v/>
      </c>
      <c r="D24" s="28" t="str">
        <f>IFERROR(IF(IFERROR(MATCH(20,'كشف الحساب'!$N$4:$N$203,0),0)=0,"",INDEX('كشف الحساب'!$D$4:$D$203,IFERROR(MATCH(20,'كشف الحساب'!$N$4:$N$203,0),0))),"")</f>
        <v/>
      </c>
      <c r="E24" s="62" t="str">
        <f>IFERROR(IF(IFERROR(MATCH(20,'كشف الحساب'!$N$4:$N$203,0),0)=0,"",INDEX('كشف الحساب'!$E$4:$E$203,IFERROR(MATCH(20,'كشف الحساب'!$N$4:$N$203,0),0))),"")</f>
        <v/>
      </c>
      <c r="F24" s="61" t="str">
        <f>IFERROR(IF(IFERROR(MATCH(20,'كشف الحساب'!$N$4:$N$203,0),0)=0,"",INDEX('كشف الحساب'!$F$4:$F$203,IFERROR(MATCH(20,'كشف الحساب'!$N$4:$N$203,0),0))),"")</f>
        <v/>
      </c>
      <c r="G24" s="61" t="str">
        <f>IFERROR(IF(IFERROR(MATCH(20,'كشف الحساب'!$N$4:$N$203,0),0)=0,"",INDEX('كشف الحساب'!$G$4:$G$203,IFERROR(MATCH(20,'كشف الحساب'!$N$4:$N$203,0),0))),"")</f>
        <v/>
      </c>
      <c r="H24" s="61" t="str">
        <f>IFERROR(IF(IFERROR(MATCH(20,'كشف الحساب'!$N$4:$N$203,0),0)=0,"",INDEX('كشف الحساب'!$H$4:$H$203,IFERROR(MATCH(20,'كشف الحساب'!$N$4:$N$203,0),0))),"")</f>
        <v/>
      </c>
      <c r="I24" s="61" t="str">
        <f>IFERROR(IF(IFERROR(MATCH(20,'كشف الحساب'!$N$4:$N$203,0),0)=0,"",INDEX('كشف الحساب'!$I$4:$I$203,IFERROR(MATCH(20,'كشف الحساب'!$N$4:$N$203,0),0))),"")</f>
        <v/>
      </c>
      <c r="J24" s="34" t="str">
        <f>IFERROR(IF(IFERROR(MATCH(20,'كشف الحساب'!$N$4:$N$203,0),0)=0,"",INDEX('كشف الحساب'!$J$4:$J$203,IFERROR(MATCH(20,'كشف الحساب'!$N$4:$N$203,0),0))),"")</f>
        <v/>
      </c>
      <c r="K24" s="61" t="str">
        <f>IFERROR(IF(IFERROR(MATCH(20,'كشف الحساب'!$N$4:$N$203,0),0)=0,"",INDEX('كشف الحساب'!$K$4:$K$203,IFERROR(MATCH(20,'كشف الحساب'!$N$4:$N$203,0),0))),"")</f>
        <v/>
      </c>
    </row>
    <row r="25" spans="1:11" ht="16.5" customHeight="1" x14ac:dyDescent="0.25">
      <c r="A25" s="139" t="str">
        <f>IFERROR(IF(IFERROR(MATCH(21,'كشف الحساب'!$N$4:$N$203,0),0)=0,"",INDEX('كشف الحساب'!$A$4:$A$203,IFERROR(MATCH(21,'كشف الحساب'!$N$4:$N$203,0),0))),"")</f>
        <v/>
      </c>
      <c r="B25" s="59" t="str">
        <f>IFERROR(IF(IFERROR(MATCH(21,'كشف الحساب'!$N$4:$N$203,0),0)=0,"",INDEX('كشف الحساب'!$B$4:$B$203,IFERROR(MATCH(21,'كشف الحساب'!$N$4:$N$203,0),0))),"")</f>
        <v/>
      </c>
      <c r="C25" s="37" t="str">
        <f>IFERROR(IF(IFERROR(MATCH(21,'كشف الحساب'!$N$4:$N$203,0),0)=0,"",INDEX('كشف الحساب'!$C$4:$C$203,IFERROR(MATCH(21,'كشف الحساب'!$N$4:$N$203,0),0))),"")</f>
        <v/>
      </c>
      <c r="D25" s="38" t="str">
        <f>IFERROR(IF(IFERROR(MATCH(21,'كشف الحساب'!$N$4:$N$203,0),0)=0,"",INDEX('كشف الحساب'!$D$4:$D$203,IFERROR(MATCH(21,'كشف الحساب'!$N$4:$N$203,0),0))),"")</f>
        <v/>
      </c>
      <c r="E25" s="60" t="str">
        <f>IFERROR(IF(IFERROR(MATCH(21,'كشف الحساب'!$N$4:$N$203,0),0)=0,"",INDEX('كشف الحساب'!$E$4:$E$203,IFERROR(MATCH(21,'كشف الحساب'!$N$4:$N$203,0),0))),"")</f>
        <v/>
      </c>
      <c r="F25" s="59" t="str">
        <f>IFERROR(IF(IFERROR(MATCH(21,'كشف الحساب'!$N$4:$N$203,0),0)=0,"",INDEX('كشف الحساب'!$F$4:$F$203,IFERROR(MATCH(21,'كشف الحساب'!$N$4:$N$203,0),0))),"")</f>
        <v/>
      </c>
      <c r="G25" s="59" t="str">
        <f>IFERROR(IF(IFERROR(MATCH(21,'كشف الحساب'!$N$4:$N$203,0),0)=0,"",INDEX('كشف الحساب'!$G$4:$G$203,IFERROR(MATCH(21,'كشف الحساب'!$N$4:$N$203,0),0))),"")</f>
        <v/>
      </c>
      <c r="H25" s="59" t="str">
        <f>IFERROR(IF(IFERROR(MATCH(21,'كشف الحساب'!$N$4:$N$203,0),0)=0,"",INDEX('كشف الحساب'!$H$4:$H$203,IFERROR(MATCH(21,'كشف الحساب'!$N$4:$N$203,0),0))),"")</f>
        <v/>
      </c>
      <c r="I25" s="59" t="str">
        <f>IFERROR(IF(IFERROR(MATCH(21,'كشف الحساب'!$N$4:$N$203,0),0)=0,"",INDEX('كشف الحساب'!$I$4:$I$203,IFERROR(MATCH(21,'كشف الحساب'!$N$4:$N$203,0),0))),"")</f>
        <v/>
      </c>
      <c r="J25" s="43" t="str">
        <f>IFERROR(IF(IFERROR(MATCH(21,'كشف الحساب'!$N$4:$N$203,0),0)=0,"",INDEX('كشف الحساب'!$J$4:$J$203,IFERROR(MATCH(21,'كشف الحساب'!$N$4:$N$203,0),0))),"")</f>
        <v/>
      </c>
      <c r="K25" s="59" t="str">
        <f>IFERROR(IF(IFERROR(MATCH(21,'كشف الحساب'!$N$4:$N$203,0),0)=0,"",INDEX('كشف الحساب'!$K$4:$K$203,IFERROR(MATCH(21,'كشف الحساب'!$N$4:$N$203,0),0))),"")</f>
        <v/>
      </c>
    </row>
    <row r="26" spans="1:11" ht="16.5" customHeight="1" x14ac:dyDescent="0.25">
      <c r="A26" s="25" t="str">
        <f>IFERROR(IF(IFERROR(MATCH(22,'كشف الحساب'!$N$4:$N$203,0),0)=0,"",INDEX('كشف الحساب'!$A$4:$A$203,IFERROR(MATCH(22,'كشف الحساب'!$N$4:$N$203,0),0))),"")</f>
        <v/>
      </c>
      <c r="B26" s="61" t="str">
        <f>IFERROR(IF(IFERROR(MATCH(22,'كشف الحساب'!$N$4:$N$203,0),0)=0,"",INDEX('كشف الحساب'!$B$4:$B$203,IFERROR(MATCH(22,'كشف الحساب'!$N$4:$N$203,0),0))),"")</f>
        <v/>
      </c>
      <c r="C26" s="27" t="str">
        <f>IFERROR(IF(IFERROR(MATCH(22,'كشف الحساب'!$N$4:$N$203,0),0)=0,"",INDEX('كشف الحساب'!$C$4:$C$203,IFERROR(MATCH(22,'كشف الحساب'!$N$4:$N$203,0),0))),"")</f>
        <v/>
      </c>
      <c r="D26" s="28" t="str">
        <f>IFERROR(IF(IFERROR(MATCH(22,'كشف الحساب'!$N$4:$N$203,0),0)=0,"",INDEX('كشف الحساب'!$D$4:$D$203,IFERROR(MATCH(22,'كشف الحساب'!$N$4:$N$203,0),0))),"")</f>
        <v/>
      </c>
      <c r="E26" s="62" t="str">
        <f>IFERROR(IF(IFERROR(MATCH(22,'كشف الحساب'!$N$4:$N$203,0),0)=0,"",INDEX('كشف الحساب'!$E$4:$E$203,IFERROR(MATCH(22,'كشف الحساب'!$N$4:$N$203,0),0))),"")</f>
        <v/>
      </c>
      <c r="F26" s="61" t="str">
        <f>IFERROR(IF(IFERROR(MATCH(22,'كشف الحساب'!$N$4:$N$203,0),0)=0,"",INDEX('كشف الحساب'!$F$4:$F$203,IFERROR(MATCH(22,'كشف الحساب'!$N$4:$N$203,0),0))),"")</f>
        <v/>
      </c>
      <c r="G26" s="61" t="str">
        <f>IFERROR(IF(IFERROR(MATCH(22,'كشف الحساب'!$N$4:$N$203,0),0)=0,"",INDEX('كشف الحساب'!$G$4:$G$203,IFERROR(MATCH(22,'كشف الحساب'!$N$4:$N$203,0),0))),"")</f>
        <v/>
      </c>
      <c r="H26" s="61" t="str">
        <f>IFERROR(IF(IFERROR(MATCH(22,'كشف الحساب'!$N$4:$N$203,0),0)=0,"",INDEX('كشف الحساب'!$H$4:$H$203,IFERROR(MATCH(22,'كشف الحساب'!$N$4:$N$203,0),0))),"")</f>
        <v/>
      </c>
      <c r="I26" s="61" t="str">
        <f>IFERROR(IF(IFERROR(MATCH(22,'كشف الحساب'!$N$4:$N$203,0),0)=0,"",INDEX('كشف الحساب'!$I$4:$I$203,IFERROR(MATCH(22,'كشف الحساب'!$N$4:$N$203,0),0))),"")</f>
        <v/>
      </c>
      <c r="J26" s="34" t="str">
        <f>IFERROR(IF(IFERROR(MATCH(22,'كشف الحساب'!$N$4:$N$203,0),0)=0,"",INDEX('كشف الحساب'!$J$4:$J$203,IFERROR(MATCH(22,'كشف الحساب'!$N$4:$N$203,0),0))),"")</f>
        <v/>
      </c>
      <c r="K26" s="61" t="str">
        <f>IFERROR(IF(IFERROR(MATCH(22,'كشف الحساب'!$N$4:$N$203,0),0)=0,"",INDEX('كشف الحساب'!$K$4:$K$203,IFERROR(MATCH(22,'كشف الحساب'!$N$4:$N$203,0),0))),"")</f>
        <v/>
      </c>
    </row>
    <row r="27" spans="1:11" ht="16.5" customHeight="1" x14ac:dyDescent="0.25">
      <c r="A27" s="139" t="str">
        <f>IFERROR(IF(IFERROR(MATCH(23,'كشف الحساب'!$N$4:$N$203,0),0)=0,"",INDEX('كشف الحساب'!$A$4:$A$203,IFERROR(MATCH(23,'كشف الحساب'!$N$4:$N$203,0),0))),"")</f>
        <v/>
      </c>
      <c r="B27" s="59" t="str">
        <f>IFERROR(IF(IFERROR(MATCH(23,'كشف الحساب'!$N$4:$N$203,0),0)=0,"",INDEX('كشف الحساب'!$B$4:$B$203,IFERROR(MATCH(23,'كشف الحساب'!$N$4:$N$203,0),0))),"")</f>
        <v/>
      </c>
      <c r="C27" s="37" t="str">
        <f>IFERROR(IF(IFERROR(MATCH(23,'كشف الحساب'!$N$4:$N$203,0),0)=0,"",INDEX('كشف الحساب'!$C$4:$C$203,IFERROR(MATCH(23,'كشف الحساب'!$N$4:$N$203,0),0))),"")</f>
        <v/>
      </c>
      <c r="D27" s="38" t="str">
        <f>IFERROR(IF(IFERROR(MATCH(23,'كشف الحساب'!$N$4:$N$203,0),0)=0,"",INDEX('كشف الحساب'!$D$4:$D$203,IFERROR(MATCH(23,'كشف الحساب'!$N$4:$N$203,0),0))),"")</f>
        <v/>
      </c>
      <c r="E27" s="60" t="str">
        <f>IFERROR(IF(IFERROR(MATCH(23,'كشف الحساب'!$N$4:$N$203,0),0)=0,"",INDEX('كشف الحساب'!$E$4:$E$203,IFERROR(MATCH(23,'كشف الحساب'!$N$4:$N$203,0),0))),"")</f>
        <v/>
      </c>
      <c r="F27" s="59" t="str">
        <f>IFERROR(IF(IFERROR(MATCH(23,'كشف الحساب'!$N$4:$N$203,0),0)=0,"",INDEX('كشف الحساب'!$F$4:$F$203,IFERROR(MATCH(23,'كشف الحساب'!$N$4:$N$203,0),0))),"")</f>
        <v/>
      </c>
      <c r="G27" s="59" t="str">
        <f>IFERROR(IF(IFERROR(MATCH(23,'كشف الحساب'!$N$4:$N$203,0),0)=0,"",INDEX('كشف الحساب'!$G$4:$G$203,IFERROR(MATCH(23,'كشف الحساب'!$N$4:$N$203,0),0))),"")</f>
        <v/>
      </c>
      <c r="H27" s="59" t="str">
        <f>IFERROR(IF(IFERROR(MATCH(23,'كشف الحساب'!$N$4:$N$203,0),0)=0,"",INDEX('كشف الحساب'!$H$4:$H$203,IFERROR(MATCH(23,'كشف الحساب'!$N$4:$N$203,0),0))),"")</f>
        <v/>
      </c>
      <c r="I27" s="59" t="str">
        <f>IFERROR(IF(IFERROR(MATCH(23,'كشف الحساب'!$N$4:$N$203,0),0)=0,"",INDEX('كشف الحساب'!$I$4:$I$203,IFERROR(MATCH(23,'كشف الحساب'!$N$4:$N$203,0),0))),"")</f>
        <v/>
      </c>
      <c r="J27" s="43" t="str">
        <f>IFERROR(IF(IFERROR(MATCH(23,'كشف الحساب'!$N$4:$N$203,0),0)=0,"",INDEX('كشف الحساب'!$J$4:$J$203,IFERROR(MATCH(23,'كشف الحساب'!$N$4:$N$203,0),0))),"")</f>
        <v/>
      </c>
      <c r="K27" s="59" t="str">
        <f>IFERROR(IF(IFERROR(MATCH(23,'كشف الحساب'!$N$4:$N$203,0),0)=0,"",INDEX('كشف الحساب'!$K$4:$K$203,IFERROR(MATCH(23,'كشف الحساب'!$N$4:$N$203,0),0))),"")</f>
        <v/>
      </c>
    </row>
    <row r="28" spans="1:11" ht="16.5" customHeight="1" x14ac:dyDescent="0.25">
      <c r="A28" s="25" t="str">
        <f>IFERROR(IF(IFERROR(MATCH(24,'كشف الحساب'!$N$4:$N$203,0),0)=0,"",INDEX('كشف الحساب'!$A$4:$A$203,IFERROR(MATCH(24,'كشف الحساب'!$N$4:$N$203,0),0))),"")</f>
        <v/>
      </c>
      <c r="B28" s="61" t="str">
        <f>IFERROR(IF(IFERROR(MATCH(24,'كشف الحساب'!$N$4:$N$203,0),0)=0,"",INDEX('كشف الحساب'!$B$4:$B$203,IFERROR(MATCH(24,'كشف الحساب'!$N$4:$N$203,0),0))),"")</f>
        <v/>
      </c>
      <c r="C28" s="27" t="str">
        <f>IFERROR(IF(IFERROR(MATCH(24,'كشف الحساب'!$N$4:$N$203,0),0)=0,"",INDEX('كشف الحساب'!$C$4:$C$203,IFERROR(MATCH(24,'كشف الحساب'!$N$4:$N$203,0),0))),"")</f>
        <v/>
      </c>
      <c r="D28" s="28" t="str">
        <f>IFERROR(IF(IFERROR(MATCH(24,'كشف الحساب'!$N$4:$N$203,0),0)=0,"",INDEX('كشف الحساب'!$D$4:$D$203,IFERROR(MATCH(24,'كشف الحساب'!$N$4:$N$203,0),0))),"")</f>
        <v/>
      </c>
      <c r="E28" s="62" t="str">
        <f>IFERROR(IF(IFERROR(MATCH(24,'كشف الحساب'!$N$4:$N$203,0),0)=0,"",INDEX('كشف الحساب'!$E$4:$E$203,IFERROR(MATCH(24,'كشف الحساب'!$N$4:$N$203,0),0))),"")</f>
        <v/>
      </c>
      <c r="F28" s="61" t="str">
        <f>IFERROR(IF(IFERROR(MATCH(24,'كشف الحساب'!$N$4:$N$203,0),0)=0,"",INDEX('كشف الحساب'!$F$4:$F$203,IFERROR(MATCH(24,'كشف الحساب'!$N$4:$N$203,0),0))),"")</f>
        <v/>
      </c>
      <c r="G28" s="61" t="str">
        <f>IFERROR(IF(IFERROR(MATCH(24,'كشف الحساب'!$N$4:$N$203,0),0)=0,"",INDEX('كشف الحساب'!$G$4:$G$203,IFERROR(MATCH(24,'كشف الحساب'!$N$4:$N$203,0),0))),"")</f>
        <v/>
      </c>
      <c r="H28" s="61" t="str">
        <f>IFERROR(IF(IFERROR(MATCH(24,'كشف الحساب'!$N$4:$N$203,0),0)=0,"",INDEX('كشف الحساب'!$H$4:$H$203,IFERROR(MATCH(24,'كشف الحساب'!$N$4:$N$203,0),0))),"")</f>
        <v/>
      </c>
      <c r="I28" s="61" t="str">
        <f>IFERROR(IF(IFERROR(MATCH(24,'كشف الحساب'!$N$4:$N$203,0),0)=0,"",INDEX('كشف الحساب'!$I$4:$I$203,IFERROR(MATCH(24,'كشف الحساب'!$N$4:$N$203,0),0))),"")</f>
        <v/>
      </c>
      <c r="J28" s="34" t="str">
        <f>IFERROR(IF(IFERROR(MATCH(24,'كشف الحساب'!$N$4:$N$203,0),0)=0,"",INDEX('كشف الحساب'!$J$4:$J$203,IFERROR(MATCH(24,'كشف الحساب'!$N$4:$N$203,0),0))),"")</f>
        <v/>
      </c>
      <c r="K28" s="61" t="str">
        <f>IFERROR(IF(IFERROR(MATCH(24,'كشف الحساب'!$N$4:$N$203,0),0)=0,"",INDEX('كشف الحساب'!$K$4:$K$203,IFERROR(MATCH(24,'كشف الحساب'!$N$4:$N$203,0),0))),"")</f>
        <v/>
      </c>
    </row>
    <row r="29" spans="1:11" ht="16.5" customHeight="1" x14ac:dyDescent="0.25">
      <c r="A29" s="139" t="str">
        <f>IFERROR(IF(IFERROR(MATCH(25,'كشف الحساب'!$N$4:$N$203,0),0)=0,"",INDEX('كشف الحساب'!$A$4:$A$203,IFERROR(MATCH(25,'كشف الحساب'!$N$4:$N$203,0),0))),"")</f>
        <v/>
      </c>
      <c r="B29" s="59" t="str">
        <f>IFERROR(IF(IFERROR(MATCH(25,'كشف الحساب'!$N$4:$N$203,0),0)=0,"",INDEX('كشف الحساب'!$B$4:$B$203,IFERROR(MATCH(25,'كشف الحساب'!$N$4:$N$203,0),0))),"")</f>
        <v/>
      </c>
      <c r="C29" s="37" t="str">
        <f>IFERROR(IF(IFERROR(MATCH(25,'كشف الحساب'!$N$4:$N$203,0),0)=0,"",INDEX('كشف الحساب'!$C$4:$C$203,IFERROR(MATCH(25,'كشف الحساب'!$N$4:$N$203,0),0))),"")</f>
        <v/>
      </c>
      <c r="D29" s="38" t="str">
        <f>IFERROR(IF(IFERROR(MATCH(25,'كشف الحساب'!$N$4:$N$203,0),0)=0,"",INDEX('كشف الحساب'!$D$4:$D$203,IFERROR(MATCH(25,'كشف الحساب'!$N$4:$N$203,0),0))),"")</f>
        <v/>
      </c>
      <c r="E29" s="60" t="str">
        <f>IFERROR(IF(IFERROR(MATCH(25,'كشف الحساب'!$N$4:$N$203,0),0)=0,"",INDEX('كشف الحساب'!$E$4:$E$203,IFERROR(MATCH(25,'كشف الحساب'!$N$4:$N$203,0),0))),"")</f>
        <v/>
      </c>
      <c r="F29" s="59" t="str">
        <f>IFERROR(IF(IFERROR(MATCH(25,'كشف الحساب'!$N$4:$N$203,0),0)=0,"",INDEX('كشف الحساب'!$F$4:$F$203,IFERROR(MATCH(25,'كشف الحساب'!$N$4:$N$203,0),0))),"")</f>
        <v/>
      </c>
      <c r="G29" s="59" t="str">
        <f>IFERROR(IF(IFERROR(MATCH(25,'كشف الحساب'!$N$4:$N$203,0),0)=0,"",INDEX('كشف الحساب'!$G$4:$G$203,IFERROR(MATCH(25,'كشف الحساب'!$N$4:$N$203,0),0))),"")</f>
        <v/>
      </c>
      <c r="H29" s="59" t="str">
        <f>IFERROR(IF(IFERROR(MATCH(25,'كشف الحساب'!$N$4:$N$203,0),0)=0,"",INDEX('كشف الحساب'!$H$4:$H$203,IFERROR(MATCH(25,'كشف الحساب'!$N$4:$N$203,0),0))),"")</f>
        <v/>
      </c>
      <c r="I29" s="59" t="str">
        <f>IFERROR(IF(IFERROR(MATCH(25,'كشف الحساب'!$N$4:$N$203,0),0)=0,"",INDEX('كشف الحساب'!$I$4:$I$203,IFERROR(MATCH(25,'كشف الحساب'!$N$4:$N$203,0),0))),"")</f>
        <v/>
      </c>
      <c r="J29" s="43" t="str">
        <f>IFERROR(IF(IFERROR(MATCH(25,'كشف الحساب'!$N$4:$N$203,0),0)=0,"",INDEX('كشف الحساب'!$J$4:$J$203,IFERROR(MATCH(25,'كشف الحساب'!$N$4:$N$203,0),0))),"")</f>
        <v/>
      </c>
      <c r="K29" s="59" t="str">
        <f>IFERROR(IF(IFERROR(MATCH(25,'كشف الحساب'!$N$4:$N$203,0),0)=0,"",INDEX('كشف الحساب'!$K$4:$K$203,IFERROR(MATCH(25,'كشف الحساب'!$N$4:$N$203,0),0))),"")</f>
        <v/>
      </c>
    </row>
    <row r="30" spans="1:11" ht="16.5" customHeight="1" x14ac:dyDescent="0.25">
      <c r="A30" s="25" t="str">
        <f>IFERROR(IF(IFERROR(MATCH(26,'كشف الحساب'!$N$4:$N$203,0),0)=0,"",INDEX('كشف الحساب'!$A$4:$A$203,IFERROR(MATCH(26,'كشف الحساب'!$N$4:$N$203,0),0))),"")</f>
        <v/>
      </c>
      <c r="B30" s="61" t="str">
        <f>IFERROR(IF(IFERROR(MATCH(26,'كشف الحساب'!$N$4:$N$203,0),0)=0,"",INDEX('كشف الحساب'!$B$4:$B$203,IFERROR(MATCH(26,'كشف الحساب'!$N$4:$N$203,0),0))),"")</f>
        <v/>
      </c>
      <c r="C30" s="27" t="str">
        <f>IFERROR(IF(IFERROR(MATCH(26,'كشف الحساب'!$N$4:$N$203,0),0)=0,"",INDEX('كشف الحساب'!$C$4:$C$203,IFERROR(MATCH(26,'كشف الحساب'!$N$4:$N$203,0),0))),"")</f>
        <v/>
      </c>
      <c r="D30" s="28" t="str">
        <f>IFERROR(IF(IFERROR(MATCH(26,'كشف الحساب'!$N$4:$N$203,0),0)=0,"",INDEX('كشف الحساب'!$D$4:$D$203,IFERROR(MATCH(26,'كشف الحساب'!$N$4:$N$203,0),0))),"")</f>
        <v/>
      </c>
      <c r="E30" s="62" t="str">
        <f>IFERROR(IF(IFERROR(MATCH(26,'كشف الحساب'!$N$4:$N$203,0),0)=0,"",INDEX('كشف الحساب'!$E$4:$E$203,IFERROR(MATCH(26,'كشف الحساب'!$N$4:$N$203,0),0))),"")</f>
        <v/>
      </c>
      <c r="F30" s="61" t="str">
        <f>IFERROR(IF(IFERROR(MATCH(26,'كشف الحساب'!$N$4:$N$203,0),0)=0,"",INDEX('كشف الحساب'!$F$4:$F$203,IFERROR(MATCH(26,'كشف الحساب'!$N$4:$N$203,0),0))),"")</f>
        <v/>
      </c>
      <c r="G30" s="61" t="str">
        <f>IFERROR(IF(IFERROR(MATCH(26,'كشف الحساب'!$N$4:$N$203,0),0)=0,"",INDEX('كشف الحساب'!$G$4:$G$203,IFERROR(MATCH(26,'كشف الحساب'!$N$4:$N$203,0),0))),"")</f>
        <v/>
      </c>
      <c r="H30" s="61" t="str">
        <f>IFERROR(IF(IFERROR(MATCH(26,'كشف الحساب'!$N$4:$N$203,0),0)=0,"",INDEX('كشف الحساب'!$H$4:$H$203,IFERROR(MATCH(26,'كشف الحساب'!$N$4:$N$203,0),0))),"")</f>
        <v/>
      </c>
      <c r="I30" s="61" t="str">
        <f>IFERROR(IF(IFERROR(MATCH(26,'كشف الحساب'!$N$4:$N$203,0),0)=0,"",INDEX('كشف الحساب'!$I$4:$I$203,IFERROR(MATCH(26,'كشف الحساب'!$N$4:$N$203,0),0))),"")</f>
        <v/>
      </c>
      <c r="J30" s="34" t="str">
        <f>IFERROR(IF(IFERROR(MATCH(26,'كشف الحساب'!$N$4:$N$203,0),0)=0,"",INDEX('كشف الحساب'!$J$4:$J$203,IFERROR(MATCH(26,'كشف الحساب'!$N$4:$N$203,0),0))),"")</f>
        <v/>
      </c>
      <c r="K30" s="61" t="str">
        <f>IFERROR(IF(IFERROR(MATCH(26,'كشف الحساب'!$N$4:$N$203,0),0)=0,"",INDEX('كشف الحساب'!$K$4:$K$203,IFERROR(MATCH(26,'كشف الحساب'!$N$4:$N$203,0),0))),"")</f>
        <v/>
      </c>
    </row>
    <row r="31" spans="1:11" ht="16.5" customHeight="1" x14ac:dyDescent="0.25">
      <c r="A31" s="139" t="str">
        <f>IFERROR(IF(IFERROR(MATCH(27,'كشف الحساب'!$N$4:$N$203,0),0)=0,"",INDEX('كشف الحساب'!$A$4:$A$203,IFERROR(MATCH(27,'كشف الحساب'!$N$4:$N$203,0),0))),"")</f>
        <v/>
      </c>
      <c r="B31" s="59" t="str">
        <f>IFERROR(IF(IFERROR(MATCH(27,'كشف الحساب'!$N$4:$N$203,0),0)=0,"",INDEX('كشف الحساب'!$B$4:$B$203,IFERROR(MATCH(27,'كشف الحساب'!$N$4:$N$203,0),0))),"")</f>
        <v/>
      </c>
      <c r="C31" s="37" t="str">
        <f>IFERROR(IF(IFERROR(MATCH(27,'كشف الحساب'!$N$4:$N$203,0),0)=0,"",INDEX('كشف الحساب'!$C$4:$C$203,IFERROR(MATCH(27,'كشف الحساب'!$N$4:$N$203,0),0))),"")</f>
        <v/>
      </c>
      <c r="D31" s="38" t="str">
        <f>IFERROR(IF(IFERROR(MATCH(27,'كشف الحساب'!$N$4:$N$203,0),0)=0,"",INDEX('كشف الحساب'!$D$4:$D$203,IFERROR(MATCH(27,'كشف الحساب'!$N$4:$N$203,0),0))),"")</f>
        <v/>
      </c>
      <c r="E31" s="60" t="str">
        <f>IFERROR(IF(IFERROR(MATCH(27,'كشف الحساب'!$N$4:$N$203,0),0)=0,"",INDEX('كشف الحساب'!$E$4:$E$203,IFERROR(MATCH(27,'كشف الحساب'!$N$4:$N$203,0),0))),"")</f>
        <v/>
      </c>
      <c r="F31" s="59" t="str">
        <f>IFERROR(IF(IFERROR(MATCH(27,'كشف الحساب'!$N$4:$N$203,0),0)=0,"",INDEX('كشف الحساب'!$F$4:$F$203,IFERROR(MATCH(27,'كشف الحساب'!$N$4:$N$203,0),0))),"")</f>
        <v/>
      </c>
      <c r="G31" s="59" t="str">
        <f>IFERROR(IF(IFERROR(MATCH(27,'كشف الحساب'!$N$4:$N$203,0),0)=0,"",INDEX('كشف الحساب'!$G$4:$G$203,IFERROR(MATCH(27,'كشف الحساب'!$N$4:$N$203,0),0))),"")</f>
        <v/>
      </c>
      <c r="H31" s="59" t="str">
        <f>IFERROR(IF(IFERROR(MATCH(27,'كشف الحساب'!$N$4:$N$203,0),0)=0,"",INDEX('كشف الحساب'!$H$4:$H$203,IFERROR(MATCH(27,'كشف الحساب'!$N$4:$N$203,0),0))),"")</f>
        <v/>
      </c>
      <c r="I31" s="59" t="str">
        <f>IFERROR(IF(IFERROR(MATCH(27,'كشف الحساب'!$N$4:$N$203,0),0)=0,"",INDEX('كشف الحساب'!$I$4:$I$203,IFERROR(MATCH(27,'كشف الحساب'!$N$4:$N$203,0),0))),"")</f>
        <v/>
      </c>
      <c r="J31" s="43" t="str">
        <f>IFERROR(IF(IFERROR(MATCH(27,'كشف الحساب'!$N$4:$N$203,0),0)=0,"",INDEX('كشف الحساب'!$J$4:$J$203,IFERROR(MATCH(27,'كشف الحساب'!$N$4:$N$203,0),0))),"")</f>
        <v/>
      </c>
      <c r="K31" s="59" t="str">
        <f>IFERROR(IF(IFERROR(MATCH(27,'كشف الحساب'!$N$4:$N$203,0),0)=0,"",INDEX('كشف الحساب'!$K$4:$K$203,IFERROR(MATCH(27,'كشف الحساب'!$N$4:$N$203,0),0))),"")</f>
        <v/>
      </c>
    </row>
    <row r="32" spans="1:11" ht="16.5" customHeight="1" x14ac:dyDescent="0.25">
      <c r="A32" s="25" t="str">
        <f>IFERROR(IF(IFERROR(MATCH(28,'كشف الحساب'!$N$4:$N$203,0),0)=0,"",INDEX('كشف الحساب'!$A$4:$A$203,IFERROR(MATCH(28,'كشف الحساب'!$N$4:$N$203,0),0))),"")</f>
        <v/>
      </c>
      <c r="B32" s="61" t="str">
        <f>IFERROR(IF(IFERROR(MATCH(28,'كشف الحساب'!$N$4:$N$203,0),0)=0,"",INDEX('كشف الحساب'!$B$4:$B$203,IFERROR(MATCH(28,'كشف الحساب'!$N$4:$N$203,0),0))),"")</f>
        <v/>
      </c>
      <c r="C32" s="27" t="str">
        <f>IFERROR(IF(IFERROR(MATCH(28,'كشف الحساب'!$N$4:$N$203,0),0)=0,"",INDEX('كشف الحساب'!$C$4:$C$203,IFERROR(MATCH(28,'كشف الحساب'!$N$4:$N$203,0),0))),"")</f>
        <v/>
      </c>
      <c r="D32" s="28" t="str">
        <f>IFERROR(IF(IFERROR(MATCH(28,'كشف الحساب'!$N$4:$N$203,0),0)=0,"",INDEX('كشف الحساب'!$D$4:$D$203,IFERROR(MATCH(28,'كشف الحساب'!$N$4:$N$203,0),0))),"")</f>
        <v/>
      </c>
      <c r="E32" s="62" t="str">
        <f>IFERROR(IF(IFERROR(MATCH(28,'كشف الحساب'!$N$4:$N$203,0),0)=0,"",INDEX('كشف الحساب'!$E$4:$E$203,IFERROR(MATCH(28,'كشف الحساب'!$N$4:$N$203,0),0))),"")</f>
        <v/>
      </c>
      <c r="F32" s="61" t="str">
        <f>IFERROR(IF(IFERROR(MATCH(28,'كشف الحساب'!$N$4:$N$203,0),0)=0,"",INDEX('كشف الحساب'!$F$4:$F$203,IFERROR(MATCH(28,'كشف الحساب'!$N$4:$N$203,0),0))),"")</f>
        <v/>
      </c>
      <c r="G32" s="61" t="str">
        <f>IFERROR(IF(IFERROR(MATCH(28,'كشف الحساب'!$N$4:$N$203,0),0)=0,"",INDEX('كشف الحساب'!$G$4:$G$203,IFERROR(MATCH(28,'كشف الحساب'!$N$4:$N$203,0),0))),"")</f>
        <v/>
      </c>
      <c r="H32" s="61" t="str">
        <f>IFERROR(IF(IFERROR(MATCH(28,'كشف الحساب'!$N$4:$N$203,0),0)=0,"",INDEX('كشف الحساب'!$H$4:$H$203,IFERROR(MATCH(28,'كشف الحساب'!$N$4:$N$203,0),0))),"")</f>
        <v/>
      </c>
      <c r="I32" s="61" t="str">
        <f>IFERROR(IF(IFERROR(MATCH(28,'كشف الحساب'!$N$4:$N$203,0),0)=0,"",INDEX('كشف الحساب'!$I$4:$I$203,IFERROR(MATCH(28,'كشف الحساب'!$N$4:$N$203,0),0))),"")</f>
        <v/>
      </c>
      <c r="J32" s="34" t="str">
        <f>IFERROR(IF(IFERROR(MATCH(28,'كشف الحساب'!$N$4:$N$203,0),0)=0,"",INDEX('كشف الحساب'!$J$4:$J$203,IFERROR(MATCH(28,'كشف الحساب'!$N$4:$N$203,0),0))),"")</f>
        <v/>
      </c>
      <c r="K32" s="61" t="str">
        <f>IFERROR(IF(IFERROR(MATCH(28,'كشف الحساب'!$N$4:$N$203,0),0)=0,"",INDEX('كشف الحساب'!$K$4:$K$203,IFERROR(MATCH(28,'كشف الحساب'!$N$4:$N$203,0),0))),"")</f>
        <v/>
      </c>
    </row>
    <row r="33" spans="1:11" ht="16.5" customHeight="1" x14ac:dyDescent="0.25">
      <c r="A33" s="139" t="str">
        <f>IFERROR(IF(IFERROR(MATCH(29,'كشف الحساب'!$N$4:$N$203,0),0)=0,"",INDEX('كشف الحساب'!$A$4:$A$203,IFERROR(MATCH(29,'كشف الحساب'!$N$4:$N$203,0),0))),"")</f>
        <v/>
      </c>
      <c r="B33" s="59" t="str">
        <f>IFERROR(IF(IFERROR(MATCH(29,'كشف الحساب'!$N$4:$N$203,0),0)=0,"",INDEX('كشف الحساب'!$B$4:$B$203,IFERROR(MATCH(29,'كشف الحساب'!$N$4:$N$203,0),0))),"")</f>
        <v/>
      </c>
      <c r="C33" s="37" t="str">
        <f>IFERROR(IF(IFERROR(MATCH(29,'كشف الحساب'!$N$4:$N$203,0),0)=0,"",INDEX('كشف الحساب'!$C$4:$C$203,IFERROR(MATCH(29,'كشف الحساب'!$N$4:$N$203,0),0))),"")</f>
        <v/>
      </c>
      <c r="D33" s="38" t="str">
        <f>IFERROR(IF(IFERROR(MATCH(29,'كشف الحساب'!$N$4:$N$203,0),0)=0,"",INDEX('كشف الحساب'!$D$4:$D$203,IFERROR(MATCH(29,'كشف الحساب'!$N$4:$N$203,0),0))),"")</f>
        <v/>
      </c>
      <c r="E33" s="60" t="str">
        <f>IFERROR(IF(IFERROR(MATCH(29,'كشف الحساب'!$N$4:$N$203,0),0)=0,"",INDEX('كشف الحساب'!$E$4:$E$203,IFERROR(MATCH(29,'كشف الحساب'!$N$4:$N$203,0),0))),"")</f>
        <v/>
      </c>
      <c r="F33" s="59" t="str">
        <f>IFERROR(IF(IFERROR(MATCH(29,'كشف الحساب'!$N$4:$N$203,0),0)=0,"",INDEX('كشف الحساب'!$F$4:$F$203,IFERROR(MATCH(29,'كشف الحساب'!$N$4:$N$203,0),0))),"")</f>
        <v/>
      </c>
      <c r="G33" s="59" t="str">
        <f>IFERROR(IF(IFERROR(MATCH(29,'كشف الحساب'!$N$4:$N$203,0),0)=0,"",INDEX('كشف الحساب'!$G$4:$G$203,IFERROR(MATCH(29,'كشف الحساب'!$N$4:$N$203,0),0))),"")</f>
        <v/>
      </c>
      <c r="H33" s="59" t="str">
        <f>IFERROR(IF(IFERROR(MATCH(29,'كشف الحساب'!$N$4:$N$203,0),0)=0,"",INDEX('كشف الحساب'!$H$4:$H$203,IFERROR(MATCH(29,'كشف الحساب'!$N$4:$N$203,0),0))),"")</f>
        <v/>
      </c>
      <c r="I33" s="59" t="str">
        <f>IFERROR(IF(IFERROR(MATCH(29,'كشف الحساب'!$N$4:$N$203,0),0)=0,"",INDEX('كشف الحساب'!$I$4:$I$203,IFERROR(MATCH(29,'كشف الحساب'!$N$4:$N$203,0),0))),"")</f>
        <v/>
      </c>
      <c r="J33" s="43" t="str">
        <f>IFERROR(IF(IFERROR(MATCH(29,'كشف الحساب'!$N$4:$N$203,0),0)=0,"",INDEX('كشف الحساب'!$J$4:$J$203,IFERROR(MATCH(29,'كشف الحساب'!$N$4:$N$203,0),0))),"")</f>
        <v/>
      </c>
      <c r="K33" s="59" t="str">
        <f>IFERROR(IF(IFERROR(MATCH(29,'كشف الحساب'!$N$4:$N$203,0),0)=0,"",INDEX('كشف الحساب'!$K$4:$K$203,IFERROR(MATCH(29,'كشف الحساب'!$N$4:$N$203,0),0))),"")</f>
        <v/>
      </c>
    </row>
    <row r="34" spans="1:11" ht="16.5" customHeight="1" x14ac:dyDescent="0.25">
      <c r="A34" s="25" t="str">
        <f>IFERROR(IF(IFERROR(MATCH(30,'كشف الحساب'!$N$4:$N$203,0),0)=0,"",INDEX('كشف الحساب'!$A$4:$A$203,IFERROR(MATCH(30,'كشف الحساب'!$N$4:$N$203,0),0))),"")</f>
        <v/>
      </c>
      <c r="B34" s="61" t="str">
        <f>IFERROR(IF(IFERROR(MATCH(30,'كشف الحساب'!$N$4:$N$203,0),0)=0,"",INDEX('كشف الحساب'!$B$4:$B$203,IFERROR(MATCH(30,'كشف الحساب'!$N$4:$N$203,0),0))),"")</f>
        <v/>
      </c>
      <c r="C34" s="27" t="str">
        <f>IFERROR(IF(IFERROR(MATCH(30,'كشف الحساب'!$N$4:$N$203,0),0)=0,"",INDEX('كشف الحساب'!$C$4:$C$203,IFERROR(MATCH(30,'كشف الحساب'!$N$4:$N$203,0),0))),"")</f>
        <v/>
      </c>
      <c r="D34" s="28" t="str">
        <f>IFERROR(IF(IFERROR(MATCH(30,'كشف الحساب'!$N$4:$N$203,0),0)=0,"",INDEX('كشف الحساب'!$D$4:$D$203,IFERROR(MATCH(30,'كشف الحساب'!$N$4:$N$203,0),0))),"")</f>
        <v/>
      </c>
      <c r="E34" s="62" t="str">
        <f>IFERROR(IF(IFERROR(MATCH(30,'كشف الحساب'!$N$4:$N$203,0),0)=0,"",INDEX('كشف الحساب'!$E$4:$E$203,IFERROR(MATCH(30,'كشف الحساب'!$N$4:$N$203,0),0))),"")</f>
        <v/>
      </c>
      <c r="F34" s="61" t="str">
        <f>IFERROR(IF(IFERROR(MATCH(30,'كشف الحساب'!$N$4:$N$203,0),0)=0,"",INDEX('كشف الحساب'!$F$4:$F$203,IFERROR(MATCH(30,'كشف الحساب'!$N$4:$N$203,0),0))),"")</f>
        <v/>
      </c>
      <c r="G34" s="61" t="str">
        <f>IFERROR(IF(IFERROR(MATCH(30,'كشف الحساب'!$N$4:$N$203,0),0)=0,"",INDEX('كشف الحساب'!$G$4:$G$203,IFERROR(MATCH(30,'كشف الحساب'!$N$4:$N$203,0),0))),"")</f>
        <v/>
      </c>
      <c r="H34" s="61" t="str">
        <f>IFERROR(IF(IFERROR(MATCH(30,'كشف الحساب'!$N$4:$N$203,0),0)=0,"",INDEX('كشف الحساب'!$H$4:$H$203,IFERROR(MATCH(30,'كشف الحساب'!$N$4:$N$203,0),0))),"")</f>
        <v/>
      </c>
      <c r="I34" s="61" t="str">
        <f>IFERROR(IF(IFERROR(MATCH(30,'كشف الحساب'!$N$4:$N$203,0),0)=0,"",INDEX('كشف الحساب'!$I$4:$I$203,IFERROR(MATCH(30,'كشف الحساب'!$N$4:$N$203,0),0))),"")</f>
        <v/>
      </c>
      <c r="J34" s="34" t="str">
        <f>IFERROR(IF(IFERROR(MATCH(30,'كشف الحساب'!$N$4:$N$203,0),0)=0,"",INDEX('كشف الحساب'!$J$4:$J$203,IFERROR(MATCH(30,'كشف الحساب'!$N$4:$N$203,0),0))),"")</f>
        <v/>
      </c>
      <c r="K34" s="61" t="str">
        <f>IFERROR(IF(IFERROR(MATCH(30,'كشف الحساب'!$N$4:$N$203,0),0)=0,"",INDEX('كشف الحساب'!$K$4:$K$203,IFERROR(MATCH(30,'كشف الحساب'!$N$4:$N$203,0),0))),"")</f>
        <v/>
      </c>
    </row>
    <row r="35" spans="1:11" ht="15" customHeight="1" x14ac:dyDescent="0.25">
      <c r="A35" s="63" t="str">
        <f>IFERROR(IF(IFERROR(MATCH(31,'كشف الحساب'!$N$4:$N$203,0),0)=0,"",INDEX('كشف الحساب'!$A$4:$A$203,IFERROR(MATCH(31,'كشف الحساب'!$N$4:$N$203,0),0))),"")</f>
        <v/>
      </c>
      <c r="B35" s="64" t="str">
        <f>IFERROR(IF(IFERROR(MATCH(31,'كشف الحساب'!$N$4:$N$203,0),0)=0,"",INDEX('كشف الحساب'!$B$4:$B$203,IFERROR(MATCH(31,'كشف الحساب'!$N$4:$N$203,0),0))),"")</f>
        <v/>
      </c>
      <c r="C35" s="65" t="str">
        <f>IFERROR(IF(IFERROR(MATCH(31,'كشف الحساب'!$N$4:$N$203,0),0)=0,"",INDEX('كشف الحساب'!$C$4:$C$203,IFERROR(MATCH(31,'كشف الحساب'!$N$4:$N$203,0),0))),"")</f>
        <v/>
      </c>
      <c r="D35" s="66" t="str">
        <f>IFERROR(IF(IFERROR(MATCH(31,'كشف الحساب'!$N$4:$N$203,0),0)=0,"",INDEX('كشف الحساب'!$D$4:$D$203,IFERROR(MATCH(31,'كشف الحساب'!$N$4:$N$203,0),0))),"")</f>
        <v/>
      </c>
      <c r="E35" s="67" t="str">
        <f>IFERROR(IF(IFERROR(MATCH(31,'كشف الحساب'!$N$4:$N$203,0),0)=0,"",INDEX('كشف الحساب'!$E$4:$E$203,IFERROR(MATCH(31,'كشف الحساب'!$N$4:$N$203,0),0))),"")</f>
        <v/>
      </c>
      <c r="F35" s="64" t="str">
        <f>IFERROR(IF(IFERROR(MATCH(31,'كشف الحساب'!$N$4:$N$203,0),0)=0,"",INDEX('كشف الحساب'!$F$4:$F$203,IFERROR(MATCH(31,'كشف الحساب'!$N$4:$N$203,0),0))),"")</f>
        <v/>
      </c>
      <c r="G35" s="64" t="str">
        <f>IFERROR(IF(IFERROR(MATCH(31,'كشف الحساب'!$N$4:$N$203,0),0)=0,"",INDEX('كشف الحساب'!$G$4:$G$203,IFERROR(MATCH(31,'كشف الحساب'!$N$4:$N$203,0),0))),"")</f>
        <v/>
      </c>
      <c r="H35" s="64" t="str">
        <f>IFERROR(IF(IFERROR(MATCH(31,'كشف الحساب'!$N$4:$N$203,0),0)=0,"",INDEX('كشف الحساب'!$H$4:$H$203,IFERROR(MATCH(31,'كشف الحساب'!$N$4:$N$203,0),0))),"")</f>
        <v/>
      </c>
      <c r="I35" s="64" t="str">
        <f>IFERROR(IF(IFERROR(MATCH(31,'كشف الحساب'!$N$4:$N$203,0),0)=0,"",INDEX('كشف الحساب'!$I$4:$I$203,IFERROR(MATCH(31,'كشف الحساب'!$N$4:$N$203,0),0))),"")</f>
        <v/>
      </c>
      <c r="J35" s="68" t="str">
        <f>IFERROR(IF(IFERROR(MATCH(31,'كشف الحساب'!$N$4:$N$203,0),0)=0,"",INDEX('كشف الحساب'!$J$4:$J$203,IFERROR(MATCH(31,'كشف الحساب'!$N$4:$N$203,0),0))),"")</f>
        <v/>
      </c>
      <c r="K35" s="64" t="str">
        <f>IFERROR(IF(IFERROR(MATCH(31,'كشف الحساب'!$N$4:$N$203,0),0)=0,"",INDEX('كشف الحساب'!$K$4:$K$203,IFERROR(MATCH(31,'كشف الحساب'!$N$4:$N$203,0),0))),"")</f>
        <v/>
      </c>
    </row>
    <row r="36" spans="1:11" ht="15" customHeight="1" x14ac:dyDescent="0.25">
      <c r="A36" s="69" t="str">
        <f>IFERROR(IF(IFERROR(MATCH(32,'كشف الحساب'!$N$4:$N$203,0),0)=0,"",INDEX('كشف الحساب'!$A$4:$A$203,IFERROR(MATCH(32,'كشف الحساب'!$N$4:$N$203,0),0))),"")</f>
        <v/>
      </c>
      <c r="B36" s="70" t="str">
        <f>IFERROR(IF(IFERROR(MATCH(32,'كشف الحساب'!$N$4:$N$203,0),0)=0,"",INDEX('كشف الحساب'!$B$4:$B$203,IFERROR(MATCH(32,'كشف الحساب'!$N$4:$N$203,0),0))),"")</f>
        <v/>
      </c>
      <c r="C36" s="71" t="str">
        <f>IFERROR(IF(IFERROR(MATCH(32,'كشف الحساب'!$N$4:$N$203,0),0)=0,"",INDEX('كشف الحساب'!$C$4:$C$203,IFERROR(MATCH(32,'كشف الحساب'!$N$4:$N$203,0),0))),"")</f>
        <v/>
      </c>
      <c r="D36" s="72" t="str">
        <f>IFERROR(IF(IFERROR(MATCH(32,'كشف الحساب'!$N$4:$N$203,0),0)=0,"",INDEX('كشف الحساب'!$D$4:$D$203,IFERROR(MATCH(32,'كشف الحساب'!$N$4:$N$203,0),0))),"")</f>
        <v/>
      </c>
      <c r="E36" s="73" t="str">
        <f>IFERROR(IF(IFERROR(MATCH(32,'كشف الحساب'!$N$4:$N$203,0),0)=0,"",INDEX('كشف الحساب'!$E$4:$E$203,IFERROR(MATCH(32,'كشف الحساب'!$N$4:$N$203,0),0))),"")</f>
        <v/>
      </c>
      <c r="F36" s="70" t="str">
        <f>IFERROR(IF(IFERROR(MATCH(32,'كشف الحساب'!$N$4:$N$203,0),0)=0,"",INDEX('كشف الحساب'!$F$4:$F$203,IFERROR(MATCH(32,'كشف الحساب'!$N$4:$N$203,0),0))),"")</f>
        <v/>
      </c>
      <c r="G36" s="70" t="str">
        <f>IFERROR(IF(IFERROR(MATCH(32,'كشف الحساب'!$N$4:$N$203,0),0)=0,"",INDEX('كشف الحساب'!$G$4:$G$203,IFERROR(MATCH(32,'كشف الحساب'!$N$4:$N$203,0),0))),"")</f>
        <v/>
      </c>
      <c r="H36" s="70" t="str">
        <f>IFERROR(IF(IFERROR(MATCH(32,'كشف الحساب'!$N$4:$N$203,0),0)=0,"",INDEX('كشف الحساب'!$H$4:$H$203,IFERROR(MATCH(32,'كشف الحساب'!$N$4:$N$203,0),0))),"")</f>
        <v/>
      </c>
      <c r="I36" s="70" t="str">
        <f>IFERROR(IF(IFERROR(MATCH(32,'كشف الحساب'!$N$4:$N$203,0),0)=0,"",INDEX('كشف الحساب'!$I$4:$I$203,IFERROR(MATCH(32,'كشف الحساب'!$N$4:$N$203,0),0))),"")</f>
        <v/>
      </c>
      <c r="J36" s="74" t="str">
        <f>IFERROR(IF(IFERROR(MATCH(32,'كشف الحساب'!$N$4:$N$203,0),0)=0,"",INDEX('كشف الحساب'!$J$4:$J$203,IFERROR(MATCH(32,'كشف الحساب'!$N$4:$N$203,0),0))),"")</f>
        <v/>
      </c>
      <c r="K36" s="70" t="str">
        <f>IFERROR(IF(IFERROR(MATCH(32,'كشف الحساب'!$N$4:$N$203,0),0)=0,"",INDEX('كشف الحساب'!$K$4:$K$203,IFERROR(MATCH(32,'كشف الحساب'!$N$4:$N$203,0),0))),"")</f>
        <v/>
      </c>
    </row>
    <row r="37" spans="1:11" ht="15" customHeight="1" x14ac:dyDescent="0.25">
      <c r="A37" s="63"/>
      <c r="B37" s="64" t="str">
        <f>IFERROR(IF(IFERROR(MATCH(33,'كشف الحساب'!$N$4:$N$203,0),0)=0,"",INDEX('كشف الحساب'!$B$4:$B$203,IFERROR(MATCH(33,'كشف الحساب'!$N$4:$N$203,0),0))),"")</f>
        <v/>
      </c>
      <c r="C37" s="65"/>
      <c r="D37" s="66" t="str">
        <f>IFERROR(IF(IFERROR(MATCH(33,'كشف الحساب'!$N$4:$N$203,0),0)=0,"",INDEX('كشف الحساب'!$D$4:$D$203,IFERROR(MATCH(33,'كشف الحساب'!$N$4:$N$203,0),0))),"")</f>
        <v/>
      </c>
      <c r="E37"/>
      <c r="F37" s="64" t="str">
        <f>IFERROR(IF(IFERROR(MATCH(33,'كشف الحساب'!$N$4:$N$203,0),0)=0,"",INDEX('كشف الحساب'!$F$4:$F$203,IFERROR(MATCH(33,'كشف الحساب'!$N$4:$N$203,0),0))),"")</f>
        <v/>
      </c>
      <c r="G37" s="64" t="str">
        <f>IFERROR(IF(IFERROR(MATCH(33,'كشف الحساب'!$N$4:$N$203,0),0)=0,"",INDEX('كشف الحساب'!$G$4:$G$203,IFERROR(MATCH(33,'كشف الحساب'!$N$4:$N$203,0),0))),"")</f>
        <v/>
      </c>
      <c r="H37" s="64" t="str">
        <f>IFERROR(IF(IFERROR(MATCH(33,'كشف الحساب'!$N$4:$N$203,0),0)=0,"",INDEX('كشف الحساب'!$H$4:$H$203,IFERROR(MATCH(33,'كشف الحساب'!$N$4:$N$203,0),0))),"")</f>
        <v/>
      </c>
      <c r="I37" s="64" t="str">
        <f>IFERROR(IF(IFERROR(MATCH(33,'كشف الحساب'!$N$4:$N$203,0),0)=0,"",INDEX('كشف الحساب'!$I$4:$I$203,IFERROR(MATCH(33,'كشف الحساب'!$N$4:$N$203,0),0))),"")</f>
        <v/>
      </c>
      <c r="J37" s="68" t="str">
        <f>IFERROR(IF(IFERROR(MATCH(33,'كشف الحساب'!$N$4:$N$203,0),0)=0,"",INDEX('كشف الحساب'!$J$4:$J$203,IFERROR(MATCH(33,'كشف الحساب'!$N$4:$N$203,0),0))),"")</f>
        <v/>
      </c>
      <c r="K37" s="64" t="str">
        <f>IFERROR(IF(IFERROR(MATCH(33,'كشف الحساب'!$N$4:$N$203,0),0)=0,"",INDEX('كشف الحساب'!$K$4:$K$203,IFERROR(MATCH(33,'كشف الحساب'!$N$4:$N$203,0),0))),"")</f>
        <v/>
      </c>
    </row>
    <row r="38" spans="1:11" ht="15" customHeight="1" x14ac:dyDescent="0.25">
      <c r="A38" s="69" t="str">
        <f>IFERROR(IF(IFERROR(MATCH(34,'كشف الحساب'!$N$4:$N$203,0),0)=0,"",INDEX('كشف الحساب'!$A$4:$A$203,IFERROR(MATCH(34,'كشف الحساب'!$N$4:$N$203,0),0))),"")</f>
        <v/>
      </c>
      <c r="B38" s="70" t="str">
        <f>IFERROR(IF(IFERROR(MATCH(34,'كشف الحساب'!$N$4:$N$203,0),0)=0,"",INDEX('كشف الحساب'!$B$4:$B$203,IFERROR(MATCH(34,'كشف الحساب'!$N$4:$N$203,0),0))),"")</f>
        <v/>
      </c>
      <c r="C38" s="71" t="str">
        <f>IFERROR(IF(IFERROR(MATCH(34,'كشف الحساب'!$N$4:$N$203,0),0)=0,"",INDEX('كشف الحساب'!$C$4:$C$203,IFERROR(MATCH(34,'كشف الحساب'!$N$4:$N$203,0),0))),"")</f>
        <v/>
      </c>
      <c r="D38" s="72" t="str">
        <f>IFERROR(IF(IFERROR(MATCH(34,'كشف الحساب'!$N$4:$N$203,0),0)=0,"",INDEX('كشف الحساب'!$D$4:$D$203,IFERROR(MATCH(34,'كشف الحساب'!$N$4:$N$203,0),0))),"")</f>
        <v/>
      </c>
      <c r="E38" s="73" t="str">
        <f>IFERROR(IF(IFERROR(MATCH(34,'كشف الحساب'!$N$4:$N$203,0),0)=0,"",INDEX('كشف الحساب'!$E$4:$E$203,IFERROR(MATCH(34,'كشف الحساب'!$N$4:$N$203,0),0))),"")</f>
        <v/>
      </c>
      <c r="F38" s="70" t="str">
        <f>IFERROR(IF(IFERROR(MATCH(34,'كشف الحساب'!$N$4:$N$203,0),0)=0,"",INDEX('كشف الحساب'!$F$4:$F$203,IFERROR(MATCH(34,'كشف الحساب'!$N$4:$N$203,0),0))),"")</f>
        <v/>
      </c>
      <c r="G38" s="70" t="str">
        <f>IFERROR(IF(IFERROR(MATCH(34,'كشف الحساب'!$N$4:$N$203,0),0)=0,"",INDEX('كشف الحساب'!$G$4:$G$203,IFERROR(MATCH(34,'كشف الحساب'!$N$4:$N$203,0),0))),"")</f>
        <v/>
      </c>
      <c r="H38" s="70" t="str">
        <f>IFERROR(IF(IFERROR(MATCH(34,'كشف الحساب'!$N$4:$N$203,0),0)=0,"",INDEX('كشف الحساب'!$H$4:$H$203,IFERROR(MATCH(34,'كشف الحساب'!$N$4:$N$203,0),0))),"")</f>
        <v/>
      </c>
      <c r="I38" s="70" t="str">
        <f>IFERROR(IF(IFERROR(MATCH(34,'كشف الحساب'!$N$4:$N$203,0),0)=0,"",INDEX('كشف الحساب'!$I$4:$I$203,IFERROR(MATCH(34,'كشف الحساب'!$N$4:$N$203,0),0))),"")</f>
        <v/>
      </c>
      <c r="J38" s="74" t="str">
        <f>IFERROR(IF(IFERROR(MATCH(34,'كشف الحساب'!$N$4:$N$203,0),0)=0,"",INDEX('كشف الحساب'!$J$4:$J$203,IFERROR(MATCH(34,'كشف الحساب'!$N$4:$N$203,0),0))),"")</f>
        <v/>
      </c>
      <c r="K38" s="70" t="str">
        <f>IFERROR(IF(IFERROR(MATCH(34,'كشف الحساب'!$N$4:$N$203,0),0)=0,"",INDEX('كشف الحساب'!$K$4:$K$203,IFERROR(MATCH(34,'كشف الحساب'!$N$4:$N$203,0),0))),"")</f>
        <v/>
      </c>
    </row>
    <row r="39" spans="1:11" ht="15" customHeight="1" x14ac:dyDescent="0.25">
      <c r="A39" s="63" t="str">
        <f>IFERROR(IF(IFERROR(MATCH(35,'كشف الحساب'!$N$4:$N$203,0),0)=0,"",INDEX('كشف الحساب'!$A$4:$A$203,IFERROR(MATCH(35,'كشف الحساب'!$N$4:$N$203,0),0))),"")</f>
        <v/>
      </c>
      <c r="B39" s="64" t="str">
        <f>IFERROR(IF(IFERROR(MATCH(35,'كشف الحساب'!$N$4:$N$203,0),0)=0,"",INDEX('كشف الحساب'!$B$4:$B$203,IFERROR(MATCH(35,'كشف الحساب'!$N$4:$N$203,0),0))),"")</f>
        <v/>
      </c>
      <c r="C39" s="65" t="str">
        <f>IFERROR(IF(IFERROR(MATCH(35,'كشف الحساب'!$N$4:$N$203,0),0)=0,"",INDEX('كشف الحساب'!$C$4:$C$203,IFERROR(MATCH(35,'كشف الحساب'!$N$4:$N$203,0),0))),"")</f>
        <v/>
      </c>
      <c r="D39" s="66" t="str">
        <f>IFERROR(IF(IFERROR(MATCH(35,'كشف الحساب'!$N$4:$N$203,0),0)=0,"",INDEX('كشف الحساب'!$D$4:$D$203,IFERROR(MATCH(35,'كشف الحساب'!$N$4:$N$203,0),0))),"")</f>
        <v/>
      </c>
      <c r="E39" s="67" t="str">
        <f>IFERROR(IF(IFERROR(MATCH(35,'كشف الحساب'!$N$4:$N$203,0),0)=0,"",INDEX('كشف الحساب'!$E$4:$E$203,IFERROR(MATCH(35,'كشف الحساب'!$N$4:$N$203,0),0))),"")</f>
        <v/>
      </c>
      <c r="F39" s="64" t="str">
        <f>IFERROR(IF(IFERROR(MATCH(35,'كشف الحساب'!$N$4:$N$203,0),0)=0,"",INDEX('كشف الحساب'!$F$4:$F$203,IFERROR(MATCH(35,'كشف الحساب'!$N$4:$N$203,0),0))),"")</f>
        <v/>
      </c>
      <c r="G39" s="64" t="str">
        <f>IFERROR(IF(IFERROR(MATCH(35,'كشف الحساب'!$N$4:$N$203,0),0)=0,"",INDEX('كشف الحساب'!$G$4:$G$203,IFERROR(MATCH(35,'كشف الحساب'!$N$4:$N$203,0),0))),"")</f>
        <v/>
      </c>
      <c r="H39" s="64" t="str">
        <f>IFERROR(IF(IFERROR(MATCH(35,'كشف الحساب'!$N$4:$N$203,0),0)=0,"",INDEX('كشف الحساب'!$H$4:$H$203,IFERROR(MATCH(35,'كشف الحساب'!$N$4:$N$203,0),0))),"")</f>
        <v/>
      </c>
      <c r="I39" s="64" t="str">
        <f>IFERROR(IF(IFERROR(MATCH(35,'كشف الحساب'!$N$4:$N$203,0),0)=0,"",INDEX('كشف الحساب'!$I$4:$I$203,IFERROR(MATCH(35,'كشف الحساب'!$N$4:$N$203,0),0))),"")</f>
        <v/>
      </c>
      <c r="J39" s="68" t="str">
        <f>IFERROR(IF(IFERROR(MATCH(35,'كشف الحساب'!$N$4:$N$203,0),0)=0,"",INDEX('كشف الحساب'!$J$4:$J$203,IFERROR(MATCH(35,'كشف الحساب'!$N$4:$N$203,0),0))),"")</f>
        <v/>
      </c>
      <c r="K39" s="64" t="str">
        <f>IFERROR(IF(IFERROR(MATCH(35,'كشف الحساب'!$N$4:$N$203,0),0)=0,"",INDEX('كشف الحساب'!$K$4:$K$203,IFERROR(MATCH(35,'كشف الحساب'!$N$4:$N$203,0),0))),"")</f>
        <v/>
      </c>
    </row>
    <row r="40" spans="1:11" ht="15" customHeight="1" x14ac:dyDescent="0.25">
      <c r="A40" s="69" t="str">
        <f>IFERROR(IF(IFERROR(MATCH(36,'كشف الحساب'!$N$4:$N$203,0),0)=0,"",INDEX('كشف الحساب'!$A$4:$A$203,IFERROR(MATCH(36,'كشف الحساب'!$N$4:$N$203,0),0))),"")</f>
        <v/>
      </c>
      <c r="B40" s="70" t="str">
        <f>IFERROR(IF(IFERROR(MATCH(36,'كشف الحساب'!$N$4:$N$203,0),0)=0,"",INDEX('كشف الحساب'!$B$4:$B$203,IFERROR(MATCH(36,'كشف الحساب'!$N$4:$N$203,0),0))),"")</f>
        <v/>
      </c>
      <c r="C40" s="71" t="str">
        <f>IFERROR(IF(IFERROR(MATCH(36,'كشف الحساب'!$N$4:$N$203,0),0)=0,"",INDEX('كشف الحساب'!$C$4:$C$203,IFERROR(MATCH(36,'كشف الحساب'!$N$4:$N$203,0),0))),"")</f>
        <v/>
      </c>
      <c r="D40" s="72" t="str">
        <f>IFERROR(IF(IFERROR(MATCH(36,'كشف الحساب'!$N$4:$N$203,0),0)=0,"",INDEX('كشف الحساب'!$D$4:$D$203,IFERROR(MATCH(36,'كشف الحساب'!$N$4:$N$203,0),0))),"")</f>
        <v/>
      </c>
      <c r="E40" s="73" t="str">
        <f>IFERROR(IF(IFERROR(MATCH(36,'كشف الحساب'!$N$4:$N$203,0),0)=0,"",INDEX('كشف الحساب'!$E$4:$E$203,IFERROR(MATCH(36,'كشف الحساب'!$N$4:$N$203,0),0))),"")</f>
        <v/>
      </c>
      <c r="F40" s="70" t="str">
        <f>IFERROR(IF(IFERROR(MATCH(36,'كشف الحساب'!$N$4:$N$203,0),0)=0,"",INDEX('كشف الحساب'!$F$4:$F$203,IFERROR(MATCH(36,'كشف الحساب'!$N$4:$N$203,0),0))),"")</f>
        <v/>
      </c>
      <c r="G40" s="70" t="str">
        <f>IFERROR(IF(IFERROR(MATCH(36,'كشف الحساب'!$N$4:$N$203,0),0)=0,"",INDEX('كشف الحساب'!$G$4:$G$203,IFERROR(MATCH(36,'كشف الحساب'!$N$4:$N$203,0),0))),"")</f>
        <v/>
      </c>
      <c r="H40" s="70" t="str">
        <f>IFERROR(IF(IFERROR(MATCH(36,'كشف الحساب'!$N$4:$N$203,0),0)=0,"",INDEX('كشف الحساب'!$H$4:$H$203,IFERROR(MATCH(36,'كشف الحساب'!$N$4:$N$203,0),0))),"")</f>
        <v/>
      </c>
      <c r="I40" s="70" t="str">
        <f>IFERROR(IF(IFERROR(MATCH(36,'كشف الحساب'!$N$4:$N$203,0),0)=0,"",INDEX('كشف الحساب'!$I$4:$I$203,IFERROR(MATCH(36,'كشف الحساب'!$N$4:$N$203,0),0))),"")</f>
        <v/>
      </c>
      <c r="J40" s="74" t="str">
        <f>IFERROR(IF(IFERROR(MATCH(36,'كشف الحساب'!$N$4:$N$203,0),0)=0,"",INDEX('كشف الحساب'!$J$4:$J$203,IFERROR(MATCH(36,'كشف الحساب'!$N$4:$N$203,0),0))),"")</f>
        <v/>
      </c>
      <c r="K40" s="70" t="str">
        <f>IFERROR(IF(IFERROR(MATCH(36,'كشف الحساب'!$N$4:$N$203,0),0)=0,"",INDEX('كشف الحساب'!$K$4:$K$203,IFERROR(MATCH(36,'كشف الحساب'!$N$4:$N$203,0),0))),"")</f>
        <v/>
      </c>
    </row>
    <row r="41" spans="1:11" ht="15" customHeight="1" x14ac:dyDescent="0.25">
      <c r="A41" s="63" t="str">
        <f>IFERROR(IF(IFERROR(MATCH(37,'كشف الحساب'!$N$4:$N$203,0),0)=0,"",INDEX('كشف الحساب'!$A$4:$A$203,IFERROR(MATCH(37,'كشف الحساب'!$N$4:$N$203,0),0))),"")</f>
        <v/>
      </c>
      <c r="B41" s="64" t="str">
        <f>IFERROR(IF(IFERROR(MATCH(37,'كشف الحساب'!$N$4:$N$203,0),0)=0,"",INDEX('كشف الحساب'!$B$4:$B$203,IFERROR(MATCH(37,'كشف الحساب'!$N$4:$N$203,0),0))),"")</f>
        <v/>
      </c>
      <c r="C41" s="65" t="str">
        <f>IFERROR(IF(IFERROR(MATCH(37,'كشف الحساب'!$N$4:$N$203,0),0)=0,"",INDEX('كشف الحساب'!$C$4:$C$203,IFERROR(MATCH(37,'كشف الحساب'!$N$4:$N$203,0),0))),"")</f>
        <v/>
      </c>
      <c r="D41" s="66" t="str">
        <f>IFERROR(IF(IFERROR(MATCH(37,'كشف الحساب'!$N$4:$N$203,0),0)=0,"",INDEX('كشف الحساب'!$D$4:$D$203,IFERROR(MATCH(37,'كشف الحساب'!$N$4:$N$203,0),0))),"")</f>
        <v/>
      </c>
      <c r="E41" s="67" t="str">
        <f>IFERROR(IF(IFERROR(MATCH(37,'كشف الحساب'!$N$4:$N$203,0),0)=0,"",INDEX('كشف الحساب'!$E$4:$E$203,IFERROR(MATCH(37,'كشف الحساب'!$N$4:$N$203,0),0))),"")</f>
        <v/>
      </c>
      <c r="F41" s="64" t="str">
        <f>IFERROR(IF(IFERROR(MATCH(37,'كشف الحساب'!$N$4:$N$203,0),0)=0,"",INDEX('كشف الحساب'!$F$4:$F$203,IFERROR(MATCH(37,'كشف الحساب'!$N$4:$N$203,0),0))),"")</f>
        <v/>
      </c>
      <c r="G41" s="64" t="str">
        <f>IFERROR(IF(IFERROR(MATCH(37,'كشف الحساب'!$N$4:$N$203,0),0)=0,"",INDEX('كشف الحساب'!$G$4:$G$203,IFERROR(MATCH(37,'كشف الحساب'!$N$4:$N$203,0),0))),"")</f>
        <v/>
      </c>
      <c r="H41" s="64" t="str">
        <f>IFERROR(IF(IFERROR(MATCH(37,'كشف الحساب'!$N$4:$N$203,0),0)=0,"",INDEX('كشف الحساب'!$H$4:$H$203,IFERROR(MATCH(37,'كشف الحساب'!$N$4:$N$203,0),0))),"")</f>
        <v/>
      </c>
      <c r="I41" s="64" t="str">
        <f>IFERROR(IF(IFERROR(MATCH(37,'كشف الحساب'!$N$4:$N$203,0),0)=0,"",INDEX('كشف الحساب'!$I$4:$I$203,IFERROR(MATCH(37,'كشف الحساب'!$N$4:$N$203,0),0))),"")</f>
        <v/>
      </c>
      <c r="J41" s="68" t="str">
        <f>IFERROR(IF(IFERROR(MATCH(37,'كشف الحساب'!$N$4:$N$203,0),0)=0,"",INDEX('كشف الحساب'!$J$4:$J$203,IFERROR(MATCH(37,'كشف الحساب'!$N$4:$N$203,0),0))),"")</f>
        <v/>
      </c>
      <c r="K41" s="64" t="str">
        <f>IFERROR(IF(IFERROR(MATCH(37,'كشف الحساب'!$N$4:$N$203,0),0)=0,"",INDEX('كشف الحساب'!$K$4:$K$203,IFERROR(MATCH(37,'كشف الحساب'!$N$4:$N$203,0),0))),"")</f>
        <v/>
      </c>
    </row>
    <row r="42" spans="1:11" ht="15" customHeight="1" x14ac:dyDescent="0.25">
      <c r="A42" s="69" t="str">
        <f>IFERROR(IF(IFERROR(MATCH(38,'كشف الحساب'!$N$4:$N$203,0),0)=0,"",INDEX('كشف الحساب'!$A$4:$A$203,IFERROR(MATCH(38,'كشف الحساب'!$N$4:$N$203,0),0))),"")</f>
        <v/>
      </c>
      <c r="B42" s="70" t="str">
        <f>IFERROR(IF(IFERROR(MATCH(38,'كشف الحساب'!$N$4:$N$203,0),0)=0,"",INDEX('كشف الحساب'!$B$4:$B$203,IFERROR(MATCH(38,'كشف الحساب'!$N$4:$N$203,0),0))),"")</f>
        <v/>
      </c>
      <c r="C42" s="71" t="str">
        <f>IFERROR(IF(IFERROR(MATCH(38,'كشف الحساب'!$N$4:$N$203,0),0)=0,"",INDEX('كشف الحساب'!$C$4:$C$203,IFERROR(MATCH(38,'كشف الحساب'!$N$4:$N$203,0),0))),"")</f>
        <v/>
      </c>
      <c r="D42" s="72" t="str">
        <f>IFERROR(IF(IFERROR(MATCH(38,'كشف الحساب'!$N$4:$N$203,0),0)=0,"",INDEX('كشف الحساب'!$D$4:$D$203,IFERROR(MATCH(38,'كشف الحساب'!$N$4:$N$203,0),0))),"")</f>
        <v/>
      </c>
      <c r="E42" s="73" t="str">
        <f>IFERROR(IF(IFERROR(MATCH(38,'كشف الحساب'!$N$4:$N$203,0),0)=0,"",INDEX('كشف الحساب'!$E$4:$E$203,IFERROR(MATCH(38,'كشف الحساب'!$N$4:$N$203,0),0))),"")</f>
        <v/>
      </c>
      <c r="F42" s="70" t="str">
        <f>IFERROR(IF(IFERROR(MATCH(38,'كشف الحساب'!$N$4:$N$203,0),0)=0,"",INDEX('كشف الحساب'!$F$4:$F$203,IFERROR(MATCH(38,'كشف الحساب'!$N$4:$N$203,0),0))),"")</f>
        <v/>
      </c>
      <c r="G42" s="70" t="str">
        <f>IFERROR(IF(IFERROR(MATCH(38,'كشف الحساب'!$N$4:$N$203,0),0)=0,"",INDEX('كشف الحساب'!$G$4:$G$203,IFERROR(MATCH(38,'كشف الحساب'!$N$4:$N$203,0),0))),"")</f>
        <v/>
      </c>
      <c r="H42" s="70" t="str">
        <f>IFERROR(IF(IFERROR(MATCH(38,'كشف الحساب'!$N$4:$N$203,0),0)=0,"",INDEX('كشف الحساب'!$H$4:$H$203,IFERROR(MATCH(38,'كشف الحساب'!$N$4:$N$203,0),0))),"")</f>
        <v/>
      </c>
      <c r="I42" s="70" t="str">
        <f>IFERROR(IF(IFERROR(MATCH(38,'كشف الحساب'!$N$4:$N$203,0),0)=0,"",INDEX('كشف الحساب'!$I$4:$I$203,IFERROR(MATCH(38,'كشف الحساب'!$N$4:$N$203,0),0))),"")</f>
        <v/>
      </c>
      <c r="J42" s="74" t="str">
        <f>IFERROR(IF(IFERROR(MATCH(38,'كشف الحساب'!$N$4:$N$203,0),0)=0,"",INDEX('كشف الحساب'!$J$4:$J$203,IFERROR(MATCH(38,'كشف الحساب'!$N$4:$N$203,0),0))),"")</f>
        <v/>
      </c>
      <c r="K42" s="70" t="str">
        <f>IFERROR(IF(IFERROR(MATCH(38,'كشف الحساب'!$N$4:$N$203,0),0)=0,"",INDEX('كشف الحساب'!$K$4:$K$203,IFERROR(MATCH(38,'كشف الحساب'!$N$4:$N$203,0),0))),"")</f>
        <v/>
      </c>
    </row>
    <row r="43" spans="1:11" ht="15" customHeight="1" x14ac:dyDescent="0.25">
      <c r="A43" s="63" t="str">
        <f>IFERROR(IF(IFERROR(MATCH(39,'كشف الحساب'!$N$4:$N$203,0),0)=0,"",INDEX('كشف الحساب'!$A$4:$A$203,IFERROR(MATCH(39,'كشف الحساب'!$N$4:$N$203,0),0))),"")</f>
        <v/>
      </c>
      <c r="B43" s="64" t="str">
        <f>IFERROR(IF(IFERROR(MATCH(39,'كشف الحساب'!$N$4:$N$203,0),0)=0,"",INDEX('كشف الحساب'!$B$4:$B$203,IFERROR(MATCH(39,'كشف الحساب'!$N$4:$N$203,0),0))),"")</f>
        <v/>
      </c>
      <c r="C43" s="65" t="str">
        <f>IFERROR(IF(IFERROR(MATCH(39,'كشف الحساب'!$N$4:$N$203,0),0)=0,"",INDEX('كشف الحساب'!$C$4:$C$203,IFERROR(MATCH(39,'كشف الحساب'!$N$4:$N$203,0),0))),"")</f>
        <v/>
      </c>
      <c r="D43" s="66" t="str">
        <f>IFERROR(IF(IFERROR(MATCH(39,'كشف الحساب'!$N$4:$N$203,0),0)=0,"",INDEX('كشف الحساب'!$D$4:$D$203,IFERROR(MATCH(39,'كشف الحساب'!$N$4:$N$203,0),0))),"")</f>
        <v/>
      </c>
      <c r="E43" s="67" t="str">
        <f>IFERROR(IF(IFERROR(MATCH(39,'كشف الحساب'!$N$4:$N$203,0),0)=0,"",INDEX('كشف الحساب'!$E$4:$E$203,IFERROR(MATCH(39,'كشف الحساب'!$N$4:$N$203,0),0))),"")</f>
        <v/>
      </c>
      <c r="F43" s="64" t="str">
        <f>IFERROR(IF(IFERROR(MATCH(39,'كشف الحساب'!$N$4:$N$203,0),0)=0,"",INDEX('كشف الحساب'!$F$4:$F$203,IFERROR(MATCH(39,'كشف الحساب'!$N$4:$N$203,0),0))),"")</f>
        <v/>
      </c>
      <c r="G43" s="64" t="str">
        <f>IFERROR(IF(IFERROR(MATCH(39,'كشف الحساب'!$N$4:$N$203,0),0)=0,"",INDEX('كشف الحساب'!$G$4:$G$203,IFERROR(MATCH(39,'كشف الحساب'!$N$4:$N$203,0),0))),"")</f>
        <v/>
      </c>
      <c r="H43" s="64" t="str">
        <f>IFERROR(IF(IFERROR(MATCH(39,'كشف الحساب'!$N$4:$N$203,0),0)=0,"",INDEX('كشف الحساب'!$H$4:$H$203,IFERROR(MATCH(39,'كشف الحساب'!$N$4:$N$203,0),0))),"")</f>
        <v/>
      </c>
      <c r="I43" s="64" t="str">
        <f>IFERROR(IF(IFERROR(MATCH(39,'كشف الحساب'!$N$4:$N$203,0),0)=0,"",INDEX('كشف الحساب'!$I$4:$I$203,IFERROR(MATCH(39,'كشف الحساب'!$N$4:$N$203,0),0))),"")</f>
        <v/>
      </c>
      <c r="J43" s="68" t="str">
        <f>IFERROR(IF(IFERROR(MATCH(39,'كشف الحساب'!$N$4:$N$203,0),0)=0,"",INDEX('كشف الحساب'!$J$4:$J$203,IFERROR(MATCH(39,'كشف الحساب'!$N$4:$N$203,0),0))),"")</f>
        <v/>
      </c>
      <c r="K43" s="64" t="str">
        <f>IFERROR(IF(IFERROR(MATCH(39,'كشف الحساب'!$N$4:$N$203,0),0)=0,"",INDEX('كشف الحساب'!$K$4:$K$203,IFERROR(MATCH(39,'كشف الحساب'!$N$4:$N$203,0),0))),"")</f>
        <v/>
      </c>
    </row>
    <row r="44" spans="1:11" ht="15" customHeight="1" x14ac:dyDescent="0.25">
      <c r="A44" s="69" t="str">
        <f>IFERROR(IF(IFERROR(MATCH(40,'كشف الحساب'!$N$4:$N$203,0),0)=0,"",INDEX('كشف الحساب'!$A$4:$A$203,IFERROR(MATCH(40,'كشف الحساب'!$N$4:$N$203,0),0))),"")</f>
        <v/>
      </c>
      <c r="B44" s="70" t="str">
        <f>IFERROR(IF(IFERROR(MATCH(40,'كشف الحساب'!$N$4:$N$203,0),0)=0,"",INDEX('كشف الحساب'!$B$4:$B$203,IFERROR(MATCH(40,'كشف الحساب'!$N$4:$N$203,0),0))),"")</f>
        <v/>
      </c>
      <c r="C44" s="71" t="str">
        <f>IFERROR(IF(IFERROR(MATCH(40,'كشف الحساب'!$N$4:$N$203,0),0)=0,"",INDEX('كشف الحساب'!$C$4:$C$203,IFERROR(MATCH(40,'كشف الحساب'!$N$4:$N$203,0),0))),"")</f>
        <v/>
      </c>
      <c r="D44" s="72" t="str">
        <f>IFERROR(IF(IFERROR(MATCH(40,'كشف الحساب'!$N$4:$N$203,0),0)=0,"",INDEX('كشف الحساب'!$D$4:$D$203,IFERROR(MATCH(40,'كشف الحساب'!$N$4:$N$203,0),0))),"")</f>
        <v/>
      </c>
      <c r="E44" s="73" t="str">
        <f>IFERROR(IF(IFERROR(MATCH(40,'كشف الحساب'!$N$4:$N$203,0),0)=0,"",INDEX('كشف الحساب'!$E$4:$E$203,IFERROR(MATCH(40,'كشف الحساب'!$N$4:$N$203,0),0))),"")</f>
        <v/>
      </c>
      <c r="F44" s="70" t="str">
        <f>IFERROR(IF(IFERROR(MATCH(40,'كشف الحساب'!$N$4:$N$203,0),0)=0,"",INDEX('كشف الحساب'!$F$4:$F$203,IFERROR(MATCH(40,'كشف الحساب'!$N$4:$N$203,0),0))),"")</f>
        <v/>
      </c>
      <c r="G44" s="70" t="str">
        <f>IFERROR(IF(IFERROR(MATCH(40,'كشف الحساب'!$N$4:$N$203,0),0)=0,"",INDEX('كشف الحساب'!$G$4:$G$203,IFERROR(MATCH(40,'كشف الحساب'!$N$4:$N$203,0),0))),"")</f>
        <v/>
      </c>
      <c r="H44" s="70" t="str">
        <f>IFERROR(IF(IFERROR(MATCH(40,'كشف الحساب'!$N$4:$N$203,0),0)=0,"",INDEX('كشف الحساب'!$H$4:$H$203,IFERROR(MATCH(40,'كشف الحساب'!$N$4:$N$203,0),0))),"")</f>
        <v/>
      </c>
      <c r="I44" s="70" t="str">
        <f>IFERROR(IF(IFERROR(MATCH(40,'كشف الحساب'!$N$4:$N$203,0),0)=0,"",INDEX('كشف الحساب'!$I$4:$I$203,IFERROR(MATCH(40,'كشف الحساب'!$N$4:$N$203,0),0))),"")</f>
        <v/>
      </c>
      <c r="J44" s="74" t="str">
        <f>IFERROR(IF(IFERROR(MATCH(40,'كشف الحساب'!$N$4:$N$203,0),0)=0,"",INDEX('كشف الحساب'!$J$4:$J$203,IFERROR(MATCH(40,'كشف الحساب'!$N$4:$N$203,0),0))),"")</f>
        <v/>
      </c>
      <c r="K44" s="70" t="str">
        <f>IFERROR(IF(IFERROR(MATCH(40,'كشف الحساب'!$N$4:$N$203,0),0)=0,"",INDEX('كشف الحساب'!$K$4:$K$203,IFERROR(MATCH(40,'كشف الحساب'!$N$4:$N$203,0),0))),"")</f>
        <v/>
      </c>
    </row>
    <row r="45" spans="1:11" ht="15" customHeight="1" x14ac:dyDescent="0.25">
      <c r="A45" s="63" t="str">
        <f>IFERROR(IF(IFERROR(MATCH(41,'كشف الحساب'!$N$4:$N$203,0),0)=0,"",INDEX('كشف الحساب'!$A$4:$A$203,IFERROR(MATCH(41,'كشف الحساب'!$N$4:$N$203,0),0))),"")</f>
        <v/>
      </c>
      <c r="B45" s="64" t="str">
        <f>IFERROR(IF(IFERROR(MATCH(41,'كشف الحساب'!$N$4:$N$203,0),0)=0,"",INDEX('كشف الحساب'!$B$4:$B$203,IFERROR(MATCH(41,'كشف الحساب'!$N$4:$N$203,0),0))),"")</f>
        <v/>
      </c>
      <c r="C45" s="65" t="str">
        <f>IFERROR(IF(IFERROR(MATCH(41,'كشف الحساب'!$N$4:$N$203,0),0)=0,"",INDEX('كشف الحساب'!$C$4:$C$203,IFERROR(MATCH(41,'كشف الحساب'!$N$4:$N$203,0),0))),"")</f>
        <v/>
      </c>
      <c r="D45" s="66" t="str">
        <f>IFERROR(IF(IFERROR(MATCH(41,'كشف الحساب'!$N$4:$N$203,0),0)=0,"",INDEX('كشف الحساب'!$D$4:$D$203,IFERROR(MATCH(41,'كشف الحساب'!$N$4:$N$203,0),0))),"")</f>
        <v/>
      </c>
      <c r="E45" s="67" t="str">
        <f>IFERROR(IF(IFERROR(MATCH(41,'كشف الحساب'!$N$4:$N$203,0),0)=0,"",INDEX('كشف الحساب'!$E$4:$E$203,IFERROR(MATCH(41,'كشف الحساب'!$N$4:$N$203,0),0))),"")</f>
        <v/>
      </c>
      <c r="F45" s="64" t="str">
        <f>IFERROR(IF(IFERROR(MATCH(41,'كشف الحساب'!$N$4:$N$203,0),0)=0,"",INDEX('كشف الحساب'!$F$4:$F$203,IFERROR(MATCH(41,'كشف الحساب'!$N$4:$N$203,0),0))),"")</f>
        <v/>
      </c>
      <c r="G45" s="64" t="str">
        <f>IFERROR(IF(IFERROR(MATCH(41,'كشف الحساب'!$N$4:$N$203,0),0)=0,"",INDEX('كشف الحساب'!$G$4:$G$203,IFERROR(MATCH(41,'كشف الحساب'!$N$4:$N$203,0),0))),"")</f>
        <v/>
      </c>
      <c r="H45" s="64" t="str">
        <f>IFERROR(IF(IFERROR(MATCH(41,'كشف الحساب'!$N$4:$N$203,0),0)=0,"",INDEX('كشف الحساب'!$H$4:$H$203,IFERROR(MATCH(41,'كشف الحساب'!$N$4:$N$203,0),0))),"")</f>
        <v/>
      </c>
      <c r="I45" s="64" t="str">
        <f>IFERROR(IF(IFERROR(MATCH(41,'كشف الحساب'!$N$4:$N$203,0),0)=0,"",INDEX('كشف الحساب'!$I$4:$I$203,IFERROR(MATCH(41,'كشف الحساب'!$N$4:$N$203,0),0))),"")</f>
        <v/>
      </c>
      <c r="J45" s="68" t="str">
        <f>IFERROR(IF(IFERROR(MATCH(41,'كشف الحساب'!$N$4:$N$203,0),0)=0,"",INDEX('كشف الحساب'!$J$4:$J$203,IFERROR(MATCH(41,'كشف الحساب'!$N$4:$N$203,0),0))),"")</f>
        <v/>
      </c>
      <c r="K45" s="64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 x14ac:dyDescent="0.25">
      <c r="A46" s="69" t="str">
        <f>IFERROR(IF(IFERROR(MATCH(42,'كشف الحساب'!$N$4:$N$203,0),0)=0,"",INDEX('كشف الحساب'!$A$4:$A$203,IFERROR(MATCH(42,'كشف الحساب'!$N$4:$N$203,0),0))),"")</f>
        <v/>
      </c>
      <c r="B46" s="70" t="str">
        <f>IFERROR(IF(IFERROR(MATCH(42,'كشف الحساب'!$N$4:$N$203,0),0)=0,"",INDEX('كشف الحساب'!$B$4:$B$203,IFERROR(MATCH(42,'كشف الحساب'!$N$4:$N$203,0),0))),"")</f>
        <v/>
      </c>
      <c r="C46" s="71" t="str">
        <f>IFERROR(IF(IFERROR(MATCH(42,'كشف الحساب'!$N$4:$N$203,0),0)=0,"",INDEX('كشف الحساب'!$C$4:$C$203,IFERROR(MATCH(42,'كشف الحساب'!$N$4:$N$203,0),0))),"")</f>
        <v/>
      </c>
      <c r="D46" s="72" t="str">
        <f>IFERROR(IF(IFERROR(MATCH(42,'كشف الحساب'!$N$4:$N$203,0),0)=0,"",INDEX('كشف الحساب'!$D$4:$D$203,IFERROR(MATCH(42,'كشف الحساب'!$N$4:$N$203,0),0))),"")</f>
        <v/>
      </c>
      <c r="E46" s="73" t="str">
        <f>IFERROR(IF(IFERROR(MATCH(42,'كشف الحساب'!$N$4:$N$203,0),0)=0,"",INDEX('كشف الحساب'!$E$4:$E$203,IFERROR(MATCH(42,'كشف الحساب'!$N$4:$N$203,0),0))),"")</f>
        <v/>
      </c>
      <c r="F46" s="70" t="str">
        <f>IFERROR(IF(IFERROR(MATCH(42,'كشف الحساب'!$N$4:$N$203,0),0)=0,"",INDEX('كشف الحساب'!$F$4:$F$203,IFERROR(MATCH(42,'كشف الحساب'!$N$4:$N$203,0),0))),"")</f>
        <v/>
      </c>
      <c r="G46" s="70" t="str">
        <f>IFERROR(IF(IFERROR(MATCH(42,'كشف الحساب'!$N$4:$N$203,0),0)=0,"",INDEX('كشف الحساب'!$G$4:$G$203,IFERROR(MATCH(42,'كشف الحساب'!$N$4:$N$203,0),0))),"")</f>
        <v/>
      </c>
      <c r="H46" s="70" t="str">
        <f>IFERROR(IF(IFERROR(MATCH(42,'كشف الحساب'!$N$4:$N$203,0),0)=0,"",INDEX('كشف الحساب'!$H$4:$H$203,IFERROR(MATCH(42,'كشف الحساب'!$N$4:$N$203,0),0))),"")</f>
        <v/>
      </c>
      <c r="I46" s="70" t="str">
        <f>IFERROR(IF(IFERROR(MATCH(42,'كشف الحساب'!$N$4:$N$203,0),0)=0,"",INDEX('كشف الحساب'!$I$4:$I$203,IFERROR(MATCH(42,'كشف الحساب'!$N$4:$N$203,0),0))),"")</f>
        <v/>
      </c>
      <c r="J46" s="74" t="str">
        <f>IFERROR(IF(IFERROR(MATCH(42,'كشف الحساب'!$N$4:$N$203,0),0)=0,"",INDEX('كشف الحساب'!$J$4:$J$203,IFERROR(MATCH(42,'كشف الحساب'!$N$4:$N$203,0),0))),"")</f>
        <v/>
      </c>
      <c r="K46" s="70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 x14ac:dyDescent="0.25">
      <c r="A47" s="63" t="str">
        <f>IFERROR(IF(IFERROR(MATCH(43,'كشف الحساب'!$N$4:$N$203,0),0)=0,"",INDEX('كشف الحساب'!$A$4:$A$203,IFERROR(MATCH(43,'كشف الحساب'!$N$4:$N$203,0),0))),"")</f>
        <v/>
      </c>
      <c r="B47" s="64" t="str">
        <f>IFERROR(IF(IFERROR(MATCH(43,'كشف الحساب'!$N$4:$N$203,0),0)=0,"",INDEX('كشف الحساب'!$B$4:$B$203,IFERROR(MATCH(43,'كشف الحساب'!$N$4:$N$203,0),0))),"")</f>
        <v/>
      </c>
      <c r="C47" s="65" t="str">
        <f>IFERROR(IF(IFERROR(MATCH(43,'كشف الحساب'!$N$4:$N$203,0),0)=0,"",INDEX('كشف الحساب'!$C$4:$C$203,IFERROR(MATCH(43,'كشف الحساب'!$N$4:$N$203,0),0))),"")</f>
        <v/>
      </c>
      <c r="D47" s="66" t="str">
        <f>IFERROR(IF(IFERROR(MATCH(43,'كشف الحساب'!$N$4:$N$203,0),0)=0,"",INDEX('كشف الحساب'!$D$4:$D$203,IFERROR(MATCH(43,'كشف الحساب'!$N$4:$N$203,0),0))),"")</f>
        <v/>
      </c>
      <c r="E47" s="67" t="str">
        <f>IFERROR(IF(IFERROR(MATCH(43,'كشف الحساب'!$N$4:$N$203,0),0)=0,"",INDEX('كشف الحساب'!$E$4:$E$203,IFERROR(MATCH(43,'كشف الحساب'!$N$4:$N$203,0),0))),"")</f>
        <v/>
      </c>
      <c r="F47" s="64" t="str">
        <f>IFERROR(IF(IFERROR(MATCH(43,'كشف الحساب'!$N$4:$N$203,0),0)=0,"",INDEX('كشف الحساب'!$F$4:$F$203,IFERROR(MATCH(43,'كشف الحساب'!$N$4:$N$203,0),0))),"")</f>
        <v/>
      </c>
      <c r="G47" s="64" t="str">
        <f>IFERROR(IF(IFERROR(MATCH(43,'كشف الحساب'!$N$4:$N$203,0),0)=0,"",INDEX('كشف الحساب'!$G$4:$G$203,IFERROR(MATCH(43,'كشف الحساب'!$N$4:$N$203,0),0))),"")</f>
        <v/>
      </c>
      <c r="H47" s="64" t="str">
        <f>IFERROR(IF(IFERROR(MATCH(43,'كشف الحساب'!$N$4:$N$203,0),0)=0,"",INDEX('كشف الحساب'!$H$4:$H$203,IFERROR(MATCH(43,'كشف الحساب'!$N$4:$N$203,0),0))),"")</f>
        <v/>
      </c>
      <c r="I47" s="64" t="str">
        <f>IFERROR(IF(IFERROR(MATCH(43,'كشف الحساب'!$N$4:$N$203,0),0)=0,"",INDEX('كشف الحساب'!$I$4:$I$203,IFERROR(MATCH(43,'كشف الحساب'!$N$4:$N$203,0),0))),"")</f>
        <v/>
      </c>
      <c r="J47" s="68" t="str">
        <f>IFERROR(IF(IFERROR(MATCH(43,'كشف الحساب'!$N$4:$N$203,0),0)=0,"",INDEX('كشف الحساب'!$J$4:$J$203,IFERROR(MATCH(43,'كشف الحساب'!$N$4:$N$203,0),0))),"")</f>
        <v/>
      </c>
      <c r="K47" s="64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7" t="s">
        <v>265</v>
      </c>
      <c r="B155" s="156"/>
      <c r="C155" s="156"/>
      <c r="D155" s="75">
        <f>SUM(D5:D154)</f>
        <v>58.75</v>
      </c>
      <c r="E155" s="75">
        <f>SUM(E5:E154)</f>
        <v>71.25</v>
      </c>
      <c r="F155" s="168">
        <f>COUNTIF(H5:H154,"معلق")</f>
        <v>0</v>
      </c>
      <c r="G155" s="156"/>
      <c r="H155" s="156"/>
      <c r="I155" s="76"/>
      <c r="J155" s="75">
        <f>E155-D155</f>
        <v>12.5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tabSelected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1" t="s">
        <v>268</v>
      </c>
      <c r="B1" s="156"/>
      <c r="C1" s="156"/>
      <c r="D1" s="156"/>
      <c r="E1" s="156"/>
      <c r="F1" s="156"/>
      <c r="G1" s="156"/>
    </row>
    <row r="2" spans="1:7" ht="24" customHeight="1" x14ac:dyDescent="0.25">
      <c r="A2" s="166" t="s">
        <v>269</v>
      </c>
      <c r="B2" s="156"/>
      <c r="C2" s="56" t="s">
        <v>342</v>
      </c>
      <c r="D2" s="166" t="s">
        <v>270</v>
      </c>
      <c r="E2" s="156"/>
      <c r="F2" s="56">
        <v>2026</v>
      </c>
    </row>
    <row r="3" spans="1:7" ht="21.75" customHeight="1" x14ac:dyDescent="0.25">
      <c r="A3" s="170" t="s">
        <v>271</v>
      </c>
      <c r="B3" s="156"/>
      <c r="C3" s="57">
        <f>المحفظة!$D$2</f>
        <v>0</v>
      </c>
      <c r="D3" s="170" t="s">
        <v>272</v>
      </c>
      <c r="E3" s="156"/>
      <c r="F3" s="78">
        <f>المحفظة!$C$3</f>
        <v>0</v>
      </c>
    </row>
    <row r="4" spans="1:7" ht="21.75" customHeight="1" x14ac:dyDescent="0.25">
      <c r="A4" s="172" t="s">
        <v>273</v>
      </c>
      <c r="B4" s="156"/>
      <c r="C4" s="156"/>
      <c r="D4" s="156"/>
      <c r="E4" s="156"/>
      <c r="F4" s="156"/>
      <c r="G4" s="156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2" t="s">
        <v>266</v>
      </c>
      <c r="B55" s="156"/>
      <c r="C55" s="156"/>
      <c r="D55" s="156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1" t="s">
        <v>275</v>
      </c>
      <c r="B56" s="156"/>
      <c r="C56" s="156"/>
      <c r="D56" s="156"/>
      <c r="E56" s="156"/>
      <c r="F56" s="156"/>
      <c r="G56" s="156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1" t="s">
        <v>276</v>
      </c>
      <c r="B107" s="156"/>
      <c r="C107" s="156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7" t="s">
        <v>277</v>
      </c>
      <c r="B108" s="156"/>
      <c r="C108" s="156"/>
      <c r="D108" s="75">
        <f>E55-D107</f>
        <v>0</v>
      </c>
      <c r="E108" s="173">
        <f>SUM(E5:E107)</f>
        <v>0</v>
      </c>
      <c r="F108" s="156"/>
      <c r="G108" s="157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2026-08-07T04:07:04Z</dcterms:modified>
  <dc:language>en-US</dc:language>
</cp:coreProperties>
</file>