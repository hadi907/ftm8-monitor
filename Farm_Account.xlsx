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المحفظة" sheetId="1" state="visible" r:id="rId3"/>
    <sheet name="كشف الحساب" sheetId="2" state="visible" r:id="rId4"/>
    <sheet name="بنود المحفظة" sheetId="3" state="visible" r:id="rId5"/>
    <sheet name="تعليمات" sheetId="4" state="visible" r:id="rId6"/>
    <sheet name="طباعة كشف الحساب" sheetId="5" state="visible" r:id="rId7"/>
    <sheet name="طباعة المحفظة" sheetId="6" state="visible" r:id="rId8"/>
  </sheets>
  <definedNames>
    <definedName function="false" hidden="false" localSheetId="5" name="_xlnm.Print_Area" vbProcedure="false">'طباعة المحفظة'!$A$1:$G$52,'طباعة المحفظة'!$A$55:$G$69,'طباعة المحفظة'!$A$107:$G$108</definedName>
    <definedName function="false" hidden="false" localSheetId="5" name="_xlnm.Print_Titles" vbProcedure="false">'طباعة المحفظة'!$1:$4</definedName>
    <definedName function="false" hidden="false" localSheetId="4" name="_xlnm.Print_Area" vbProcedure="false">'طباعة كشف الحساب'!$A$1:$K$156</definedName>
    <definedName function="false" hidden="false" localSheetId="4" name="_xlnm.Print_Titles" vbProcedure="false">'طباعة كشف الحساب'!$1:$4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<sst xmlns="http://schemas.openxmlformats.org/spreadsheetml/2006/main" count="746" uniqueCount="224">
  <si>
    <t xml:space="preserve">💰  المحفظة  —  Farm Wallet</t>
  </si>
  <si>
    <t xml:space="preserve">رصيد المحفظة الافتتاحي</t>
  </si>
  <si>
    <t xml:space="preserve">← اكتب رصيد المحفظة الابتدائي هنا</t>
  </si>
  <si>
    <t xml:space="preserve">رصيد المحفظة الحالي ▼</t>
  </si>
  <si>
    <t xml:space="preserve">يتحدث تلقائياً عند إضافة إيرادات أو دفع من المحفظة في كشف الحساب</t>
  </si>
  <si>
    <t xml:space="preserve">🟢  دخول تلقائي — الإيرادات المُسجَّلة في كشف الحساب (عمود إيداع)</t>
  </si>
  <si>
    <t xml:space="preserve">—</t>
  </si>
  <si>
    <t xml:space="preserve">إجمالي الإيرادات</t>
  </si>
  <si>
    <t xml:space="preserve">🔴  خروج تلقائي — المصروفات المدفوعة من المحفظة (عند اختيار "المحفظة" كدافع في كشف الحساب)</t>
  </si>
  <si>
    <t xml:space="preserve">إجمالي المصروفات من المحفظة</t>
  </si>
  <si>
    <t xml:space="preserve">💰  الرصيد الختامي للمحفظة</t>
  </si>
  <si>
    <t xml:space="preserve">الرصيد الافتتاحي + الإيرادات − المصروفات</t>
  </si>
  <si>
    <t xml:space="preserve">🔵  ديون الشركاء  —  مصروفات دفعها الشركاء (مستحقة السداد للمزرعة)</t>
  </si>
  <si>
    <t xml:space="preserve">التاريخ</t>
  </si>
  <si>
    <t xml:space="preserve">المرجع</t>
  </si>
  <si>
    <t xml:space="preserve">البيان / الوصف</t>
  </si>
  <si>
    <t xml:space="preserve">المبلغ</t>
  </si>
  <si>
    <t xml:space="preserve">بند الصرف</t>
  </si>
  <si>
    <t xml:space="preserve">الشريك</t>
  </si>
  <si>
    <t xml:space="preserve">إجمالي مدفوعات الشركاء</t>
  </si>
  <si>
    <t xml:space="preserve">دين أبو اسحاق</t>
  </si>
  <si>
    <t xml:space="preserve">دين أبو آدم</t>
  </si>
  <si>
    <t xml:space="preserve">كشف حساب المزرعة  —  Farm Account Statement</t>
  </si>
  <si>
    <t xml:space="preserve">الرصيد الافتتاحي  /  Opening Balance</t>
  </si>
  <si>
    <t xml:space="preserve">← اكتب الرصيد الافتتاحي هنا</t>
  </si>
  <si>
    <t xml:space="preserve">التاريخ
Date</t>
  </si>
  <si>
    <t xml:space="preserve">المرجع
Ref #</t>
  </si>
  <si>
    <t xml:space="preserve">البيان / الوصف
Description</t>
  </si>
  <si>
    <t xml:space="preserve">سحب (مدين)
Debit</t>
  </si>
  <si>
    <t xml:space="preserve">إيداع (دائن)
Credit</t>
  </si>
  <si>
    <t xml:space="preserve">طريقة الدفع
Pay Method</t>
  </si>
  <si>
    <t xml:space="preserve">الدافع / من المحفظة
Paid By</t>
  </si>
  <si>
    <t xml:space="preserve">الحالة
Status</t>
  </si>
  <si>
    <t xml:space="preserve">بند الصرف
Wallet Band</t>
  </si>
  <si>
    <t xml:space="preserve">الرصيد
Balance</t>
  </si>
  <si>
    <t xml:space="preserve">ملاحظات
Notes</t>
  </si>
  <si>
    <t xml:space="preserve"># إيداع</t>
  </si>
  <si>
    <t xml:space="preserve"># محفظة</t>
  </si>
  <si>
    <t xml:space="preserve"># طباعة</t>
  </si>
  <si>
    <t xml:space="preserve"># شركاء</t>
  </si>
  <si>
    <t xml:space="preserve">82869</t>
  </si>
  <si>
    <t xml:space="preserve">مبيدات الاتحاد الكويتي للمزارعين</t>
  </si>
  <si>
    <t xml:space="preserve">نقداً</t>
  </si>
  <si>
    <t xml:space="preserve">المحفظة</t>
  </si>
  <si>
    <t xml:space="preserve">تم الدفع</t>
  </si>
  <si>
    <t xml:space="preserve">مبيدات وأسمدة</t>
  </si>
  <si>
    <t xml:space="preserve">Inv-001</t>
  </si>
  <si>
    <t xml:space="preserve">بيع عدد١ اناناس</t>
  </si>
  <si>
    <t xml:space="preserve">242</t>
  </si>
  <si>
    <t xml:space="preserve">احواض حجم 18سم عدد 2000</t>
  </si>
  <si>
    <t xml:space="preserve">مستلزمات زراعية</t>
  </si>
  <si>
    <t xml:space="preserve">تبديل كمبرسيور ثلاجة العمال</t>
  </si>
  <si>
    <t xml:space="preserve">أحد الشركاء</t>
  </si>
  <si>
    <t xml:space="preserve">أبو اسحاق</t>
  </si>
  <si>
    <t xml:space="preserve">معلق</t>
  </si>
  <si>
    <t xml:space="preserve">صيانة المعدات</t>
  </si>
  <si>
    <t xml:space="preserve">11300</t>
  </si>
  <si>
    <t xml:space="preserve">فلاتر كيميكال لمحطة التحلية</t>
  </si>
  <si>
    <t xml:space="preserve">وقود ومحروقات</t>
  </si>
  <si>
    <t xml:space="preserve">ديزل لمكينة الكهرباء</t>
  </si>
  <si>
    <t xml:space="preserve">8127</t>
  </si>
  <si>
    <t xml:space="preserve">تاير لعربة الرش</t>
  </si>
  <si>
    <t xml:space="preserve">تم الصرف</t>
  </si>
  <si>
    <t xml:space="preserve">احواض حجم25سم عدد 2000</t>
  </si>
  <si>
    <t xml:space="preserve">أبو آدم</t>
  </si>
  <si>
    <t xml:space="preserve">أحواض وأدوات</t>
  </si>
  <si>
    <t xml:space="preserve">مدخول شهر ابريل</t>
  </si>
  <si>
    <t xml:space="preserve">احواض حجم 14سم عدد 2000</t>
  </si>
  <si>
    <t xml:space="preserve">جبس لتغطيه المحميه</t>
  </si>
  <si>
    <t xml:space="preserve">بونص عمالة أبريل</t>
  </si>
  <si>
    <t xml:space="preserve">رواتب وعمالة</t>
  </si>
  <si>
    <t xml:space="preserve">Inv-013</t>
  </si>
  <si>
    <t xml:space="preserve">فل عدد 21 سعر الحبه .0.750</t>
  </si>
  <si>
    <t xml:space="preserve">Inv-013A</t>
  </si>
  <si>
    <t xml:space="preserve">برازيليا عدد 25 سعر الحبه .500</t>
  </si>
  <si>
    <t xml:space="preserve">شراء دريل</t>
  </si>
  <si>
    <t xml:space="preserve">Inv-016</t>
  </si>
  <si>
    <t xml:space="preserve">ودليه عدد 3 الحبه 0.750</t>
  </si>
  <si>
    <t xml:space="preserve">Inv-017</t>
  </si>
  <si>
    <t xml:space="preserve">فل عدد 10 الحبه 0.750</t>
  </si>
  <si>
    <t xml:space="preserve">Inv-18A</t>
  </si>
  <si>
    <t xml:space="preserve">ربل 4 حبات الحبه 1.500</t>
  </si>
  <si>
    <t xml:space="preserve">Inv-18</t>
  </si>
  <si>
    <t xml:space="preserve">ودليه 8 حبات الحبه 1</t>
  </si>
  <si>
    <t xml:space="preserve">Inv-19</t>
  </si>
  <si>
    <t xml:space="preserve">فل عدد 2 الحبه 0.750</t>
  </si>
  <si>
    <t xml:space="preserve">Inv-20</t>
  </si>
  <si>
    <t xml:space="preserve">صبار اوليفيرا عدد 3 الحبه 0.750</t>
  </si>
  <si>
    <t xml:space="preserve">Inv-21</t>
  </si>
  <si>
    <t xml:space="preserve">دارسينا عدد 1 الحبه 2.500</t>
  </si>
  <si>
    <t xml:space="preserve">Inv-22</t>
  </si>
  <si>
    <t xml:space="preserve">فل عدد 30 الحبه 0.750</t>
  </si>
  <si>
    <t xml:space="preserve">تم إعطاء 1 حبه هديه الإجمالي 31 حبه</t>
  </si>
  <si>
    <t xml:space="preserve">Inv-23</t>
  </si>
  <si>
    <t xml:space="preserve">برازيليا عدد 16 الحبه 0.500</t>
  </si>
  <si>
    <t xml:space="preserve">Inv-24</t>
  </si>
  <si>
    <t xml:space="preserve">فل عدد10 الحبه 0.750</t>
  </si>
  <si>
    <t xml:space="preserve">Inv-25</t>
  </si>
  <si>
    <t xml:space="preserve">دارسيناحمراء عدد 1</t>
  </si>
  <si>
    <t xml:space="preserve">Inv-26</t>
  </si>
  <si>
    <t xml:space="preserve">دارسينا خضراء عدد 2 الحبه 1.500</t>
  </si>
  <si>
    <t xml:space="preserve">Inv-27</t>
  </si>
  <si>
    <t xml:space="preserve">ربل عدد 2 الحبه 1.500</t>
  </si>
  <si>
    <t xml:space="preserve">Inv-28</t>
  </si>
  <si>
    <t xml:space="preserve">دارسينا حمراء عدد2 الحبه 2.500</t>
  </si>
  <si>
    <t xml:space="preserve">Inv-29</t>
  </si>
  <si>
    <t xml:space="preserve">برازيليا عدد 10 الحبه 0.500</t>
  </si>
  <si>
    <t xml:space="preserve">85164</t>
  </si>
  <si>
    <t xml:space="preserve">مبيد اسيتبلان عدد 1</t>
  </si>
  <si>
    <t xml:space="preserve">Inv-30</t>
  </si>
  <si>
    <t xml:space="preserve">Inv-31</t>
  </si>
  <si>
    <t xml:space="preserve">فل عدد30 الحبه 0.750</t>
  </si>
  <si>
    <t xml:space="preserve">Inv-32</t>
  </si>
  <si>
    <t xml:space="preserve">برازيليا عدد 50 الحبه0.500</t>
  </si>
  <si>
    <t xml:space="preserve">Inv-33</t>
  </si>
  <si>
    <t xml:space="preserve">برازيليا عدد 75 الحبه 0.500</t>
  </si>
  <si>
    <t xml:space="preserve">Inv-34</t>
  </si>
  <si>
    <t xml:space="preserve">دارسينيا احمر عدد1 حبه 2.500</t>
  </si>
  <si>
    <t xml:space="preserve">Inv-35</t>
  </si>
  <si>
    <t xml:space="preserve">دارسينا حمراء عدد 6 الحبه 2,500</t>
  </si>
  <si>
    <t xml:space="preserve">Inv-36</t>
  </si>
  <si>
    <t xml:space="preserve">ربل عدد4 الحبه 1.500</t>
  </si>
  <si>
    <t xml:space="preserve">Inv-37</t>
  </si>
  <si>
    <t xml:space="preserve">عطره عدد 10 الحبه 0.750</t>
  </si>
  <si>
    <t xml:space="preserve">Inv-38</t>
  </si>
  <si>
    <t xml:space="preserve">ودليه عدد 2 الحبه 1</t>
  </si>
  <si>
    <t xml:space="preserve">Inv-39</t>
  </si>
  <si>
    <t xml:space="preserve">داراسينا حمراء عدد4 الحبه 1</t>
  </si>
  <si>
    <t xml:space="preserve">يزل ماكينه كهرباء</t>
  </si>
  <si>
    <t xml:space="preserve">راتب عماله مايو 2025</t>
  </si>
  <si>
    <t xml:space="preserve">رواتب العمال</t>
  </si>
  <si>
    <t xml:space="preserve">Inv-40</t>
  </si>
  <si>
    <t xml:space="preserve">other</t>
  </si>
  <si>
    <t xml:space="preserve">Inv-41</t>
  </si>
  <si>
    <t xml:space="preserve">Inv-42</t>
  </si>
  <si>
    <t xml:space="preserve">Inv-43</t>
  </si>
  <si>
    <t xml:space="preserve">Inv-44a</t>
  </si>
  <si>
    <t xml:space="preserve">Inv-44</t>
  </si>
  <si>
    <t xml:space="preserve">Inv-45</t>
  </si>
  <si>
    <t xml:space="preserve">Inv-46</t>
  </si>
  <si>
    <t xml:space="preserve">Inv-47</t>
  </si>
  <si>
    <t xml:space="preserve">Inv-53</t>
  </si>
  <si>
    <t xml:space="preserve">فل عدد 24 الحبه .750</t>
  </si>
  <si>
    <t xml:space="preserve">Inv-54</t>
  </si>
  <si>
    <t xml:space="preserve">دارسينا خضراء عدد 1 الحبه 2</t>
  </si>
  <si>
    <t xml:space="preserve">Inv-55</t>
  </si>
  <si>
    <t xml:space="preserve">افوبيا عدد 2 الحبه .750</t>
  </si>
  <si>
    <t xml:space="preserve">Inv-56</t>
  </si>
  <si>
    <t xml:space="preserve">دارسينا سوداء عدد 3 الحبه 1</t>
  </si>
  <si>
    <t xml:space="preserve">inv-57</t>
  </si>
  <si>
    <t xml:space="preserve">فوزير عدد1 قيمه 1</t>
  </si>
  <si>
    <t xml:space="preserve">سماد</t>
  </si>
  <si>
    <t xml:space="preserve">حفاره خلط السماد</t>
  </si>
  <si>
    <t xml:space="preserve">Inv-58</t>
  </si>
  <si>
    <t xml:space="preserve">دارسينا عدد3 بقيمه 1 للحبه</t>
  </si>
  <si>
    <t xml:space="preserve">Inv-59</t>
  </si>
  <si>
    <t xml:space="preserve">ودليه عدد 1 بقيمه 1</t>
  </si>
  <si>
    <t xml:space="preserve">Inv-60</t>
  </si>
  <si>
    <t xml:space="preserve">دارسينا حمراء عدد 1 بقيمه 3</t>
  </si>
  <si>
    <t xml:space="preserve">Inv-61</t>
  </si>
  <si>
    <t xml:space="preserve">فل عدد 20 بقيمه 0.750</t>
  </si>
  <si>
    <t xml:space="preserve">اسمنت اسود للمحميه الصغيره الجديده</t>
  </si>
  <si>
    <t xml:space="preserve">حديد اسود للمحميه الصغيره الجديده</t>
  </si>
  <si>
    <t xml:space="preserve">Inv-62</t>
  </si>
  <si>
    <t xml:space="preserve">الإجمالي  /  TOTALS</t>
  </si>
  <si>
    <t xml:space="preserve">إجمالي السحوبات</t>
  </si>
  <si>
    <t xml:space="preserve">إجمالي الإيداعات</t>
  </si>
  <si>
    <t xml:space="preserve">عدد المعلقات</t>
  </si>
  <si>
    <t xml:space="preserve">الرصيد الختامي</t>
  </si>
  <si>
    <t xml:space="preserve">بنود التسديد من المحفظة</t>
  </si>
  <si>
    <t xml:space="preserve">الوصف</t>
  </si>
  <si>
    <t xml:space="preserve">ملاحظات</t>
  </si>
  <si>
    <t xml:space="preserve">مياه وكهرباء</t>
  </si>
  <si>
    <t xml:space="preserve">نقليات وتوصيل</t>
  </si>
  <si>
    <t xml:space="preserve">إيجارات</t>
  </si>
  <si>
    <t xml:space="preserve">مصاريف إدارية</t>
  </si>
  <si>
    <t xml:space="preserve">مدفوعات المهندس مختار</t>
  </si>
  <si>
    <t xml:space="preserve">مدفوعات محمد أبو آدم</t>
  </si>
  <si>
    <t xml:space="preserve">مبيعات الجمعيات</t>
  </si>
  <si>
    <t xml:space="preserve">مبيعات أون لاين</t>
  </si>
  <si>
    <t xml:space="preserve">مبيعات المزرعة المباشرة</t>
  </si>
  <si>
    <t xml:space="preserve">ديون مستردة</t>
  </si>
  <si>
    <t xml:space="preserve">مصاريف طارئة</t>
  </si>
  <si>
    <t xml:space="preserve">أخرى</t>
  </si>
  <si>
    <t xml:space="preserve">📘  تعليمات الاستخدام</t>
  </si>
  <si>
    <t xml:space="preserve">كشف الحساب — الدفع العادي</t>
  </si>
  <si>
    <t xml:space="preserve">①</t>
  </si>
  <si>
    <t xml:space="preserve">اكتب المبلغ في عمود D (سحب) واختر طريقة الدفع = نقداً أو أون لاين أو أحد الشركاء</t>
  </si>
  <si>
    <t xml:space="preserve">②</t>
  </si>
  <si>
    <t xml:space="preserve">اختر الدافع G: أبو اسحاق / أبو آدم / نزمول — لا يخصم من المحفظة</t>
  </si>
  <si>
    <t xml:space="preserve">كشف الحساب — الدفع من المحفظة</t>
  </si>
  <si>
    <t xml:space="preserve">اكتب المبلغ في عمود D (سحب)</t>
  </si>
  <si>
    <t xml:space="preserve">عمود F (طريقة الدفع): اختر  "من المحفظة"</t>
  </si>
  <si>
    <t xml:space="preserve">③</t>
  </si>
  <si>
    <t xml:space="preserve">عمود G (الدافع): اختر  "المحفظة"  ← هذا هو المفتاح للخصم التلقائي</t>
  </si>
  <si>
    <t xml:space="preserve">④</t>
  </si>
  <si>
    <t xml:space="preserve">عمود I (بند الصرف): اختر البند المناسب مثل رواتب / وقود / إلخ</t>
  </si>
  <si>
    <t xml:space="preserve">⑤</t>
  </si>
  <si>
    <t xml:space="preserve">🔄 المبلغ يُخصم تلقائياً من المحفظة — لا تحتاج كتابة أي شيء في ورقة المحفظة</t>
  </si>
  <si>
    <t xml:space="preserve">المحفظة — كيف تعمل</t>
  </si>
  <si>
    <t xml:space="preserve">القسم الأخضر: جميع الإيرادات (عمود إيداع E في كشف الحساب) تظهر تلقائياً</t>
  </si>
  <si>
    <t xml:space="preserve">القسم الأحمر: جميع المصروفات المدفوعة من المحفظة (عند اختيار المحفظة كدافع) تظهر تلقائياً</t>
  </si>
  <si>
    <t xml:space="preserve">رصيد المحفظة = الافتتاحي + إجمالي الإيرادات − إجمالي المصروفات</t>
  </si>
  <si>
    <t xml:space="preserve">الرصيد في الخلية C3 يتحدث فورياً مع أي تغيير في كشف الحساب</t>
  </si>
  <si>
    <t xml:space="preserve">الكل</t>
  </si>
  <si>
    <t xml:space="preserve">⬆ اختر الشهر والسنة ثم  Ctrl+P  أو  File → Export → PDF</t>
  </si>
  <si>
    <t xml:space="preserve">الرصيد الافتتاحي:</t>
  </si>
  <si>
    <t xml:space="preserve">سحب</t>
  </si>
  <si>
    <t xml:space="preserve">إيداع</t>
  </si>
  <si>
    <t xml:space="preserve">طريقة الدفع</t>
  </si>
  <si>
    <t xml:space="preserve">الدافع</t>
  </si>
  <si>
    <t xml:space="preserve">الحالة</t>
  </si>
  <si>
    <t xml:space="preserve">الرصيد</t>
  </si>
  <si>
    <t xml:space="preserve">ملخص الفترة المختارة</t>
  </si>
  <si>
    <t xml:space="preserve">صافي الفترة</t>
  </si>
  <si>
    <t xml:space="preserve">اختر الشهر:</t>
  </si>
  <si>
    <t xml:space="preserve">مايو</t>
  </si>
  <si>
    <t xml:space="preserve">اختر السنة:</t>
  </si>
  <si>
    <t xml:space="preserve">رصيد المحفظة الافتتاحي:</t>
  </si>
  <si>
    <t xml:space="preserve">رصيد المحفظة الحالي:</t>
  </si>
  <si>
    <t xml:space="preserve">🟢  الإيرادات</t>
  </si>
  <si>
    <t xml:space="preserve">🔴  المصروفات من المحفظة</t>
  </si>
  <si>
    <t xml:space="preserve">إجمالي المصروفات</t>
  </si>
  <si>
    <t xml:space="preserve">💰  صافي المحفظة للفترة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</si>
</sst>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.000"/>
    <numFmt numFmtId="166" formatCode="d\-mmm\-yy"/>
    <numFmt numFmtId="167" formatCode="General"/>
    <numFmt numFmtId="168" formatCode="m/d/yyyy"/>
  </numFmts>
  <fonts count="4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3"/>
      <color rgb="FFC00000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3"/>
      <color rgb="FFFFFFFF"/>
      <name val="Arial"/>
      <family val="0"/>
      <charset val="1"/>
    </font>
    <font>
      <i val="true"/>
      <sz val="9"/>
      <color rgb="FFA9D1F5"/>
      <name val="Arial"/>
      <family val="0"/>
      <charset val="1"/>
    </font>
    <font>
      <sz val="10"/>
      <color rgb="FF375623"/>
      <name val="Arial"/>
      <family val="0"/>
      <charset val="1"/>
    </font>
    <font>
      <b val="true"/>
      <sz val="10"/>
      <color rgb="FF375623"/>
      <name val="Arial"/>
      <family val="0"/>
      <charset val="1"/>
    </font>
    <font>
      <sz val="10"/>
      <color rgb="FFAAAAAA"/>
      <name val="Arial"/>
      <family val="0"/>
      <charset val="1"/>
    </font>
    <font>
      <sz val="9"/>
      <name val="Arial"/>
      <family val="0"/>
      <charset val="1"/>
    </font>
    <font>
      <sz val="10"/>
      <color rgb="FF8B0000"/>
      <name val="Arial"/>
      <family val="0"/>
      <charset val="1"/>
    </font>
    <font>
      <b val="true"/>
      <sz val="10"/>
      <color rgb="FF8B0000"/>
      <name val="Arial"/>
      <family val="0"/>
      <charset val="1"/>
    </font>
    <font>
      <b val="true"/>
      <sz val="9"/>
      <color rgb="FF4B0082"/>
      <name val="Arial"/>
      <family val="0"/>
      <charset val="1"/>
    </font>
    <font>
      <b val="true"/>
      <sz val="11"/>
      <color rgb="FF002060"/>
      <name val="FreeSans"/>
      <family val="2"/>
      <charset val="1"/>
    </font>
    <font>
      <b val="true"/>
      <sz val="10"/>
      <name val="FreeSans"/>
      <family val="2"/>
      <charset val="1"/>
    </font>
    <font>
      <b val="true"/>
      <sz val="10"/>
      <name val="Cambria"/>
      <family val="0"/>
      <charset val="1"/>
    </font>
    <font>
      <b val="true"/>
      <sz val="11"/>
      <name val="FreeSans"/>
      <family val="2"/>
      <charset val="1"/>
    </font>
    <font>
      <b val="true"/>
      <sz val="11"/>
      <color rgb="FF843C0C"/>
      <name val="FreeSans"/>
      <family val="2"/>
      <charset val="1"/>
    </font>
    <font>
      <b val="true"/>
      <sz val="9"/>
      <color rgb="FFFFFFFF"/>
      <name val="Arial"/>
      <family val="0"/>
      <charset val="1"/>
    </font>
    <font>
      <sz val="7"/>
      <color rgb="FFFFFFFF"/>
      <name val="Arial"/>
      <family val="0"/>
      <charset val="1"/>
    </font>
    <font>
      <sz val="8"/>
      <color rgb="FFAAAAAA"/>
      <name val="Arial"/>
      <family val="0"/>
      <charset val="1"/>
    </font>
    <font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1E5C1E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7030A0"/>
      <name val="Arial"/>
      <family val="0"/>
      <charset val="1"/>
    </font>
    <font>
      <i val="true"/>
      <sz val="9"/>
      <color rgb="FF606060"/>
      <name val="Arial"/>
      <family val="0"/>
      <charset val="1"/>
    </font>
    <font>
      <b val="true"/>
      <sz val="9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C00000"/>
      <name val="Arial"/>
      <family val="0"/>
      <charset val="1"/>
    </font>
    <font>
      <b val="true"/>
      <sz val="10"/>
      <color rgb="FF1F4E79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9"/>
      <color rgb="FF8B0000"/>
      <name val="Arial"/>
      <family val="0"/>
      <charset val="1"/>
    </font>
    <font>
      <sz val="9"/>
      <color rgb="FF375623"/>
      <name val="Arial"/>
      <family val="0"/>
      <charset val="1"/>
    </font>
    <font>
      <sz val="10"/>
      <color theme="1"/>
      <name val="Calibri"/>
      <family val="0"/>
      <charset val="1"/>
    </font>
    <font>
      <sz val="9"/>
      <color theme="1"/>
      <name val="Calibri"/>
      <family val="0"/>
      <charset val="1"/>
    </font>
    <font>
      <b val="true"/>
      <sz val="12"/>
      <color rgb="FF375623"/>
      <name val="Arial"/>
      <family val="0"/>
      <charset val="1"/>
    </font>
    <font>
      <sz val="9"/>
      <color rgb="FFAAAAAA"/>
      <name val="Arial"/>
      <family val="0"/>
      <charset val="1"/>
    </font>
    <font>
      <b val="true"/>
      <sz val="9"/>
      <color rgb="FF375623"/>
      <name val="Arial"/>
      <family val="0"/>
      <charset val="1"/>
    </font>
    <font>
      <b val="true"/>
      <sz val="9"/>
      <color rgb="FF8B0000"/>
      <name val="Arial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A3C5E"/>
        <bgColor rgb="FF1F4E79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BDD7EE"/>
        <bgColor rgb="FFC2D8EE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/>
      <top style="thin">
        <color rgb="FFBBBBBB"/>
      </top>
      <bottom style="thin">
        <color rgb="FFBBBBBB"/>
      </bottom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 diagonalUp="false" diagonalDown="false">
      <left/>
      <right/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6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8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1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8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6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11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6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11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1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14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1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6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1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1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9" fillId="1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2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8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9" fillId="2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2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0" fillId="2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9" fillId="2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1" fillId="2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2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5" fillId="2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9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2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7" fillId="1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7" fillId="2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3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6" fillId="31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7" fillId="4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20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3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2" fillId="25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4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3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32" fillId="1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2" fillId="2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3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8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3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9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7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4" fillId="7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5" fillId="6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1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0" fillId="1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3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5" fillId="1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3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8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45" fillId="11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3" fillId="11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9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b val="1"/>
        <color rgb="FFC00000"/>
      </font>
    </dxf>
    <dxf>
      <font>
        <b val="1"/>
        <color rgb="FF375623"/>
      </font>
    </dxf>
    <dxf>
      <font>
        <name val="Arial"/>
        <charset val="1"/>
        <family val="0"/>
        <b val="1"/>
        <color rgb="FFFFFFFF"/>
      </font>
      <fill>
        <patternFill>
          <bgColor rgb="FFFF6B35"/>
        </patternFill>
      </fill>
    </dxf>
    <dxf>
      <font>
        <name val="Arial"/>
        <charset val="1"/>
        <family val="0"/>
        <b val="1"/>
        <color rgb="FF4B0082"/>
      </font>
      <fill>
        <patternFill>
          <bgColor rgb="FFD9B3FF"/>
        </patternFill>
      </fill>
    </dxf>
  </dxfs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L2" activeCellId="0" sqref="L2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6"/>
    <col collapsed="false" customWidth="true" hidden="false" outlineLevel="0" max="3" min="3" style="1" width="40"/>
    <col collapsed="false" customWidth="true" hidden="false" outlineLevel="0" max="5" min="4" style="1" width="18"/>
    <col collapsed="false" customWidth="true" hidden="false" outlineLevel="0" max="6" min="6" style="1" width="22"/>
    <col collapsed="false" customWidth="true" hidden="false" outlineLevel="0" max="7" min="7" style="1" width="18"/>
    <col collapsed="false" customWidth="true" hidden="true" outlineLevel="0" max="8" min="8" style="1" width="4"/>
  </cols>
  <sheetData>
    <row r="1" customFormat="false" ht="31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4" hidden="false" customHeight="true" outlineLevel="0" collapsed="false">
      <c r="A2" s="3" t="s">
        <v>1</v>
      </c>
      <c r="B2" s="3"/>
      <c r="C2" s="3"/>
      <c r="D2" s="4" t="n">
        <v>0</v>
      </c>
      <c r="E2" s="5" t="s">
        <v>2</v>
      </c>
      <c r="F2" s="5"/>
      <c r="G2" s="5"/>
    </row>
    <row r="3" customFormat="false" ht="24" hidden="false" customHeight="true" outlineLevel="0" collapsed="false">
      <c r="A3" s="6" t="s">
        <v>3</v>
      </c>
      <c r="B3" s="6"/>
      <c r="C3" s="7" t="n">
        <f aca="false">$D$2+SUM(E5:E104)-SUM(D106:D205)</f>
        <v>276.6</v>
      </c>
      <c r="D3" s="8" t="s">
        <v>4</v>
      </c>
      <c r="E3" s="8"/>
      <c r="F3" s="8"/>
      <c r="G3" s="8"/>
    </row>
    <row r="4" customFormat="false" ht="21.75" hidden="false" customHeight="true" outlineLevel="0" collapsed="false">
      <c r="A4" s="9" t="s">
        <v>5</v>
      </c>
      <c r="B4" s="9"/>
      <c r="C4" s="9"/>
      <c r="D4" s="9"/>
      <c r="E4" s="9"/>
      <c r="F4" s="9"/>
      <c r="G4" s="9"/>
    </row>
    <row r="5" customFormat="false" ht="18" hidden="false" customHeight="true" outlineLevel="0" collapsed="false">
      <c r="A5" s="10" t="n">
        <f aca="false">IFERROR(INDEX('كشف الحساب'!$A$4:$A$203,MATCH(1,'كشف الحساب'!$L$4:$L$203,0)),"")</f>
        <v>46121</v>
      </c>
      <c r="B5" s="11" t="str">
        <f aca="false">IFERROR(INDEX('كشف الحساب'!$B$4:$B$203,MATCH(1,'كشف الحساب'!$L$4:$L$203,0)),"")</f>
        <v>Inv-001</v>
      </c>
      <c r="C5" s="12" t="str">
        <f aca="false">IFERROR(INDEX('كشف الحساب'!$C$4:$C$203,MATCH(1,'كشف الحساب'!$L$4:$L$203,0)),"")</f>
        <v>بيع عدد١ اناناس</v>
      </c>
      <c r="D5" s="13" t="s">
        <v>6</v>
      </c>
      <c r="E5" s="14" t="n">
        <f aca="false">IFERROR(INDEX('كشف الحساب'!$E$4:$E$203,MATCH(1,'كشف الحساب'!$L$4:$L$203,0)),"")</f>
        <v>5</v>
      </c>
      <c r="F5" s="15" t="str">
        <f aca="false">IFERROR(INDEX('كشف الحساب'!$F$4:$F$203,MATCH(1,'كشف الحساب'!$L$4:$L$203,0)),"")</f>
        <v>نقداً</v>
      </c>
      <c r="G5" s="16"/>
      <c r="H5" s="1" t="str">
        <f aca="false">IF(AND(OR('طباعة المحفظة'!$C$2="الكل",MONTH(A5)=IFERROR(MATCH('طباعة المحفظة'!$C$2,{"يناير","فبراير","مارس","أبريل","مايو","يونيو","يوليو","أغسطس","سبتمبر","أكتوبر","نوفمبر","ديسمبر"},0),0)),OR('طباعة المحفظة'!$F$2="الكل",YEAR(A5)=IFERROR(VALUE('طباعة المحفظة'!$F$2),0)),A5&lt;&gt;""),1,"")</f>
        <v/>
      </c>
    </row>
    <row r="6" customFormat="false" ht="18" hidden="false" customHeight="true" outlineLevel="0" collapsed="false">
      <c r="A6" s="17" t="n">
        <f aca="false">IFERROR(INDEX('كشف الحساب'!$A$4:$A$203,MATCH(2,'كشف الحساب'!$L$4:$L$203,0)),"")</f>
        <v>46142</v>
      </c>
      <c r="B6" s="18" t="n">
        <f aca="false">IFERROR(INDEX('كشف الحساب'!$B$4:$B$203,MATCH(2,'كشف الحساب'!$L$4:$L$203,0)),"")</f>
        <v>0</v>
      </c>
      <c r="C6" s="19" t="str">
        <f aca="false">IFERROR(INDEX('كشف الحساب'!$C$4:$C$203,MATCH(2,'كشف الحساب'!$L$4:$L$203,0)),"")</f>
        <v>مدخول شهر ابريل</v>
      </c>
      <c r="D6" s="20" t="s">
        <v>6</v>
      </c>
      <c r="E6" s="21" t="n">
        <f aca="false">IFERROR(INDEX('كشف الحساب'!$E$4:$E$203,MATCH(2,'كشف الحساب'!$L$4:$L$203,0)),"")</f>
        <v>181</v>
      </c>
      <c r="F6" s="22" t="n">
        <f aca="false">IFERROR(INDEX('كشف الحساب'!$F$4:$F$203,MATCH(2,'كشف الحساب'!$L$4:$L$203,0)),"")</f>
        <v>0</v>
      </c>
      <c r="G6" s="23"/>
      <c r="H6" s="1" t="str">
        <f aca="false">IF(AND(OR('طباعة المحفظة'!$C$2="الكل",MONTH(A6)=IFERROR(MATCH('طباعة المحفظة'!$C$2,{"يناير","فبراير","مارس","أبريل","مايو","يونيو","يوليو","أغسطس","سبتمبر","أكتوبر","نوفمبر","ديسمبر"},0),0)),OR('طباعة المحفظة'!$F$2="الكل",YEAR(A6)=IFERROR(VALUE('طباعة المحفظة'!$F$2),0)),A6&lt;&gt;""),IFERROR(MAX($H$5:H5),0)+1,"")</f>
        <v/>
      </c>
    </row>
    <row r="7" customFormat="false" ht="18" hidden="false" customHeight="true" outlineLevel="0" collapsed="false">
      <c r="A7" s="10" t="n">
        <f aca="false">IFERROR(INDEX('كشف الحساب'!$A$4:$A$203,MATCH(3,'كشف الحساب'!$L$4:$L$203,0)),"")</f>
        <v>46151</v>
      </c>
      <c r="B7" s="11" t="str">
        <f aca="false">IFERROR(INDEX('كشف الحساب'!$B$4:$B$203,MATCH(3,'كشف الحساب'!$L$4:$L$203,0)),"")</f>
        <v>Inv-013A</v>
      </c>
      <c r="C7" s="12" t="str">
        <f aca="false">IFERROR(INDEX('كشف الحساب'!$C$4:$C$203,MATCH(3,'كشف الحساب'!$L$4:$L$203,0)),"")</f>
        <v>برازيليا عدد 25 سعر الحبه .500</v>
      </c>
      <c r="D7" s="13" t="s">
        <v>6</v>
      </c>
      <c r="E7" s="14" t="n">
        <f aca="false">IFERROR(INDEX('كشف الحساب'!$E$4:$E$203,MATCH(3,'كشف الحساب'!$L$4:$L$203,0)),"")</f>
        <v>12.5</v>
      </c>
      <c r="F7" s="15" t="str">
        <f aca="false">IFERROR(INDEX('كشف الحساب'!$F$4:$F$203,MATCH(3,'كشف الحساب'!$L$4:$L$203,0)),"")</f>
        <v>نقداً</v>
      </c>
      <c r="G7" s="16"/>
      <c r="H7" s="1" t="n">
        <f aca="false">IF(AND(OR('طباعة المحفظة'!$C$2="الكل",MONTH(A7)=IFERROR(MATCH('طباعة المحفظة'!$C$2,{"يناير","فبراير","مارس","أبريل","مايو","يونيو","يوليو","أغسطس","سبتمبر","أكتوبر","نوفمبر","ديسمبر"},0),0)),OR('طباعة المحفظة'!$F$2="الكل",YEAR(A7)=IFERROR(VALUE('طباعة المحفظة'!$F$2),0)),A7&lt;&gt;""),IFERROR(MAX($H$5:H6),0)+1,"")</f>
        <v>1</v>
      </c>
    </row>
    <row r="8" customFormat="false" ht="18" hidden="false" customHeight="true" outlineLevel="0" collapsed="false">
      <c r="A8" s="17" t="n">
        <f aca="false">IFERROR(INDEX('كشف الحساب'!$A$4:$A$203,MATCH(4,'كشف الحساب'!$L$4:$L$203,0)),"")</f>
        <v>46151</v>
      </c>
      <c r="B8" s="18" t="n">
        <f aca="false">IFERROR(INDEX('كشف الحساب'!$B$4:$B$203,MATCH(4,'كشف الحساب'!$L$4:$L$203,0)),"")</f>
        <v>18213</v>
      </c>
      <c r="C8" s="19" t="str">
        <f aca="false">IFERROR(INDEX('كشف الحساب'!$C$4:$C$203,MATCH(4,'كشف الحساب'!$L$4:$L$203,0)),"")</f>
        <v>شراء دريل</v>
      </c>
      <c r="D8" s="20" t="s">
        <v>6</v>
      </c>
      <c r="E8" s="21" t="n">
        <f aca="false">IFERROR(INDEX('كشف الحساب'!$E$4:$E$203,MATCH(4,'كشف الحساب'!$L$4:$L$203,0)),"")</f>
        <v>0</v>
      </c>
      <c r="F8" s="22" t="str">
        <f aca="false">IFERROR(INDEX('كشف الحساب'!$F$4:$F$203,MATCH(4,'كشف الحساب'!$L$4:$L$203,0)),"")</f>
        <v>أحد الشركاء</v>
      </c>
      <c r="G8" s="23"/>
      <c r="H8" s="1" t="n">
        <f aca="false">IF(AND(OR('طباعة المحفظة'!$C$2="الكل",MONTH(A8)=IFERROR(MATCH('طباعة المحفظة'!$C$2,{"يناير","فبراير","مارس","أبريل","مايو","يونيو","يوليو","أغسطس","سبتمبر","أكتوبر","نوفمبر","ديسمبر"},0),0)),OR('طباعة المحفظة'!$F$2="الكل",YEAR(A8)=IFERROR(VALUE('طباعة المحفظة'!$F$2),0)),A8&lt;&gt;""),IFERROR(MAX($H$5:H7),0)+1,"")</f>
        <v>2</v>
      </c>
    </row>
    <row r="9" customFormat="false" ht="18" hidden="false" customHeight="true" outlineLevel="0" collapsed="false">
      <c r="A9" s="10" t="n">
        <f aca="false">IFERROR(INDEX('كشف الحساب'!$A$4:$A$203,MATCH(5,'كشف الحساب'!$L$4:$L$203,0)),"")</f>
        <v>46155</v>
      </c>
      <c r="B9" s="11" t="str">
        <f aca="false">IFERROR(INDEX('كشف الحساب'!$B$4:$B$203,MATCH(5,'كشف الحساب'!$L$4:$L$203,0)),"")</f>
        <v>Inv-017</v>
      </c>
      <c r="C9" s="12" t="str">
        <f aca="false">IFERROR(INDEX('كشف الحساب'!$C$4:$C$203,MATCH(5,'كشف الحساب'!$L$4:$L$203,0)),"")</f>
        <v>فل عدد 10 الحبه 0.750</v>
      </c>
      <c r="D9" s="13" t="s">
        <v>6</v>
      </c>
      <c r="E9" s="14" t="n">
        <f aca="false">IFERROR(INDEX('كشف الحساب'!$E$4:$E$203,MATCH(5,'كشف الحساب'!$L$4:$L$203,0)),"")</f>
        <v>7.5</v>
      </c>
      <c r="F9" s="15" t="str">
        <f aca="false">IFERROR(INDEX('كشف الحساب'!$F$4:$F$203,MATCH(5,'كشف الحساب'!$L$4:$L$203,0)),"")</f>
        <v>نقداً</v>
      </c>
      <c r="G9" s="16"/>
      <c r="H9" s="1" t="n">
        <f aca="false">IF(AND(OR('طباعة المحفظة'!$C$2="الكل",MONTH(A9)=IFERROR(MATCH('طباعة المحفظة'!$C$2,{"يناير","فبراير","مارس","أبريل","مايو","يونيو","يوليو","أغسطس","سبتمبر","أكتوبر","نوفمبر","ديسمبر"},0),0)),OR('طباعة المحفظة'!$F$2="الكل",YEAR(A9)=IFERROR(VALUE('طباعة المحفظة'!$F$2),0)),A9&lt;&gt;""),IFERROR(MAX($H$5:H8),0)+1,"")</f>
        <v>3</v>
      </c>
    </row>
    <row r="10" customFormat="false" ht="18" hidden="false" customHeight="true" outlineLevel="0" collapsed="false">
      <c r="A10" s="17" t="n">
        <f aca="false">IFERROR(INDEX('كشف الحساب'!$A$4:$A$203,MATCH(6,'كشف الحساب'!$L$4:$L$203,0)),"")</f>
        <v>46155</v>
      </c>
      <c r="B10" s="18" t="str">
        <f aca="false">IFERROR(INDEX('كشف الحساب'!$B$4:$B$203,MATCH(6,'كشف الحساب'!$L$4:$L$203,0)),"")</f>
        <v>Inv-18A</v>
      </c>
      <c r="C10" s="19" t="str">
        <f aca="false">IFERROR(INDEX('كشف الحساب'!$C$4:$C$203,MATCH(6,'كشف الحساب'!$L$4:$L$203,0)),"")</f>
        <v>ربل 4 حبات الحبه 1.500</v>
      </c>
      <c r="D10" s="20" t="s">
        <v>6</v>
      </c>
      <c r="E10" s="21" t="n">
        <f aca="false">IFERROR(INDEX('كشف الحساب'!$E$4:$E$203,MATCH(6,'كشف الحساب'!$L$4:$L$203,0)),"")</f>
        <v>6</v>
      </c>
      <c r="F10" s="22" t="str">
        <f aca="false">IFERROR(INDEX('كشف الحساب'!$F$4:$F$203,MATCH(6,'كشف الحساب'!$L$4:$L$203,0)),"")</f>
        <v>نقداً</v>
      </c>
      <c r="G10" s="23"/>
      <c r="H10" s="1" t="n">
        <f aca="false">IF(AND(OR('طباعة المحفظة'!$C$2="الكل",MONTH(A10)=IFERROR(MATCH('طباعة المحفظة'!$C$2,{"يناير","فبراير","مارس","أبريل","مايو","يونيو","يوليو","أغسطس","سبتمبر","أكتوبر","نوفمبر","ديسمبر"},0),0)),OR('طباعة المحفظة'!$F$2="الكل",YEAR(A10)=IFERROR(VALUE('طباعة المحفظة'!$F$2),0)),A10&lt;&gt;""),IFERROR(MAX($H$5:H9),0)+1,"")</f>
        <v>4</v>
      </c>
    </row>
    <row r="11" customFormat="false" ht="18" hidden="false" customHeight="true" outlineLevel="0" collapsed="false">
      <c r="A11" s="10" t="n">
        <f aca="false">IFERROR(INDEX('كشف الحساب'!$A$4:$A$203,MATCH(7,'كشف الحساب'!$L$4:$L$203,0)),"")</f>
        <v>46156</v>
      </c>
      <c r="B11" s="11" t="str">
        <f aca="false">IFERROR(INDEX('كشف الحساب'!$B$4:$B$203,MATCH(7,'كشف الحساب'!$L$4:$L$203,0)),"")</f>
        <v>Inv-18</v>
      </c>
      <c r="C11" s="12" t="str">
        <f aca="false">IFERROR(INDEX('كشف الحساب'!$C$4:$C$203,MATCH(7,'كشف الحساب'!$L$4:$L$203,0)),"")</f>
        <v>ودليه 8 حبات الحبه 1</v>
      </c>
      <c r="D11" s="13" t="s">
        <v>6</v>
      </c>
      <c r="E11" s="14" t="n">
        <f aca="false">IFERROR(INDEX('كشف الحساب'!$E$4:$E$203,MATCH(7,'كشف الحساب'!$L$4:$L$203,0)),"")</f>
        <v>8</v>
      </c>
      <c r="F11" s="15" t="str">
        <f aca="false">IFERROR(INDEX('كشف الحساب'!$F$4:$F$203,MATCH(7,'كشف الحساب'!$L$4:$L$203,0)),"")</f>
        <v>نقداً</v>
      </c>
      <c r="G11" s="16"/>
      <c r="H11" s="1" t="n">
        <f aca="false">IF(AND(OR('طباعة المحفظة'!$C$2="الكل",MONTH(A11)=IFERROR(MATCH('طباعة المحفظة'!$C$2,{"يناير","فبراير","مارس","أبريل","مايو","يونيو","يوليو","أغسطس","سبتمبر","أكتوبر","نوفمبر","ديسمبر"},0),0)),OR('طباعة المحفظة'!$F$2="الكل",YEAR(A11)=IFERROR(VALUE('طباعة المحفظة'!$F$2),0)),A11&lt;&gt;""),IFERROR(MAX($H$5:H10),0)+1,"")</f>
        <v>5</v>
      </c>
    </row>
    <row r="12" customFormat="false" ht="18" hidden="false" customHeight="true" outlineLevel="0" collapsed="false">
      <c r="A12" s="17" t="n">
        <f aca="false">IFERROR(INDEX('كشف الحساب'!$A$4:$A$203,MATCH(8,'كشف الحساب'!$L$4:$L$203,0)),"")</f>
        <v>46158</v>
      </c>
      <c r="B12" s="18" t="str">
        <f aca="false">IFERROR(INDEX('كشف الحساب'!$B$4:$B$203,MATCH(8,'كشف الحساب'!$L$4:$L$203,0)),"")</f>
        <v>Inv-19</v>
      </c>
      <c r="C12" s="19" t="str">
        <f aca="false">IFERROR(INDEX('كشف الحساب'!$C$4:$C$203,MATCH(8,'كشف الحساب'!$L$4:$L$203,0)),"")</f>
        <v>فل عدد 2 الحبه 0.750</v>
      </c>
      <c r="D12" s="20" t="s">
        <v>6</v>
      </c>
      <c r="E12" s="21" t="n">
        <f aca="false">IFERROR(INDEX('كشف الحساب'!$E$4:$E$203,MATCH(8,'كشف الحساب'!$L$4:$L$203,0)),"")</f>
        <v>1.5</v>
      </c>
      <c r="F12" s="22" t="str">
        <f aca="false">IFERROR(INDEX('كشف الحساب'!$F$4:$F$203,MATCH(8,'كشف الحساب'!$L$4:$L$203,0)),"")</f>
        <v>نقداً</v>
      </c>
      <c r="G12" s="23"/>
      <c r="H12" s="1" t="n">
        <f aca="false">IF(AND(OR('طباعة المحفظة'!$C$2="الكل",MONTH(A12)=IFERROR(MATCH('طباعة المحفظة'!$C$2,{"يناير","فبراير","مارس","أبريل","مايو","يونيو","يوليو","أغسطس","سبتمبر","أكتوبر","نوفمبر","ديسمبر"},0),0)),OR('طباعة المحفظة'!$F$2="الكل",YEAR(A12)=IFERROR(VALUE('طباعة المحفظة'!$F$2),0)),A12&lt;&gt;""),IFERROR(MAX($H$5:H11),0)+1,"")</f>
        <v>6</v>
      </c>
    </row>
    <row r="13" customFormat="false" ht="18" hidden="false" customHeight="true" outlineLevel="0" collapsed="false">
      <c r="A13" s="10" t="n">
        <f aca="false">IFERROR(INDEX('كشف الحساب'!$A$4:$A$203,MATCH(9,'كشف الحساب'!$L$4:$L$203,0)),"")</f>
        <v>46158</v>
      </c>
      <c r="B13" s="11" t="str">
        <f aca="false">IFERROR(INDEX('كشف الحساب'!$B$4:$B$203,MATCH(9,'كشف الحساب'!$L$4:$L$203,0)),"")</f>
        <v>Inv-20</v>
      </c>
      <c r="C13" s="12" t="str">
        <f aca="false">IFERROR(INDEX('كشف الحساب'!$C$4:$C$203,MATCH(9,'كشف الحساب'!$L$4:$L$203,0)),"")</f>
        <v>صبار اوليفيرا عدد 3 الحبه 0.750</v>
      </c>
      <c r="D13" s="13" t="s">
        <v>6</v>
      </c>
      <c r="E13" s="14" t="n">
        <f aca="false">IFERROR(INDEX('كشف الحساب'!$E$4:$E$203,MATCH(9,'كشف الحساب'!$L$4:$L$203,0)),"")</f>
        <v>2.25</v>
      </c>
      <c r="F13" s="15" t="str">
        <f aca="false">IFERROR(INDEX('كشف الحساب'!$F$4:$F$203,MATCH(9,'كشف الحساب'!$L$4:$L$203,0)),"")</f>
        <v>نقداً</v>
      </c>
      <c r="G13" s="16"/>
      <c r="H13" s="1" t="n">
        <f aca="false">IF(AND(OR('طباعة المحفظة'!$C$2="الكل",MONTH(A13)=IFERROR(MATCH('طباعة المحفظة'!$C$2,{"يناير","فبراير","مارس","أبريل","مايو","يونيو","يوليو","أغسطس","سبتمبر","أكتوبر","نوفمبر","ديسمبر"},0),0)),OR('طباعة المحفظة'!$F$2="الكل",YEAR(A13)=IFERROR(VALUE('طباعة المحفظة'!$F$2),0)),A13&lt;&gt;""),IFERROR(MAX($H$5:H12),0)+1,"")</f>
        <v>7</v>
      </c>
    </row>
    <row r="14" customFormat="false" ht="18" hidden="false" customHeight="true" outlineLevel="0" collapsed="false">
      <c r="A14" s="17" t="n">
        <f aca="false">IFERROR(INDEX('كشف الحساب'!$A$4:$A$203,MATCH(10,'كشف الحساب'!$L$4:$L$203,0)),"")</f>
        <v>46158</v>
      </c>
      <c r="B14" s="18" t="str">
        <f aca="false">IFERROR(INDEX('كشف الحساب'!$B$4:$B$203,MATCH(10,'كشف الحساب'!$L$4:$L$203,0)),"")</f>
        <v>Inv-21</v>
      </c>
      <c r="C14" s="19" t="str">
        <f aca="false">IFERROR(INDEX('كشف الحساب'!$C$4:$C$203,MATCH(10,'كشف الحساب'!$L$4:$L$203,0)),"")</f>
        <v>دارسينا عدد 1 الحبه 2.500</v>
      </c>
      <c r="D14" s="20" t="s">
        <v>6</v>
      </c>
      <c r="E14" s="21" t="n">
        <f aca="false">IFERROR(INDEX('كشف الحساب'!$E$4:$E$203,MATCH(10,'كشف الحساب'!$L$4:$L$203,0)),"")</f>
        <v>2.5</v>
      </c>
      <c r="F14" s="22" t="str">
        <f aca="false">IFERROR(INDEX('كشف الحساب'!$F$4:$F$203,MATCH(10,'كشف الحساب'!$L$4:$L$203,0)),"")</f>
        <v>نقداً</v>
      </c>
      <c r="G14" s="23"/>
      <c r="H14" s="1" t="n">
        <f aca="false">IF(AND(OR('طباعة المحفظة'!$C$2="الكل",MONTH(A14)=IFERROR(MATCH('طباعة المحفظة'!$C$2,{"يناير","فبراير","مارس","أبريل","مايو","يونيو","يوليو","أغسطس","سبتمبر","أكتوبر","نوفمبر","ديسمبر"},0),0)),OR('طباعة المحفظة'!$F$2="الكل",YEAR(A14)=IFERROR(VALUE('طباعة المحفظة'!$F$2),0)),A14&lt;&gt;""),IFERROR(MAX($H$5:H13),0)+1,"")</f>
        <v>8</v>
      </c>
    </row>
    <row r="15" customFormat="false" ht="18" hidden="false" customHeight="true" outlineLevel="0" collapsed="false">
      <c r="A15" s="10" t="n">
        <f aca="false">IFERROR(INDEX('كشف الحساب'!$A$4:$A$203,MATCH(11,'كشف الحساب'!$L$4:$L$203,0)),"")</f>
        <v>46159</v>
      </c>
      <c r="B15" s="11" t="str">
        <f aca="false">IFERROR(INDEX('كشف الحساب'!$B$4:$B$203,MATCH(11,'كشف الحساب'!$L$4:$L$203,0)),"")</f>
        <v>Inv-22</v>
      </c>
      <c r="C15" s="12" t="str">
        <f aca="false">IFERROR(INDEX('كشف الحساب'!$C$4:$C$203,MATCH(11,'كشف الحساب'!$L$4:$L$203,0)),"")</f>
        <v>فل عدد 30 الحبه 0.750</v>
      </c>
      <c r="D15" s="13" t="s">
        <v>6</v>
      </c>
      <c r="E15" s="14" t="n">
        <f aca="false">IFERROR(INDEX('كشف الحساب'!$E$4:$E$203,MATCH(11,'كشف الحساب'!$L$4:$L$203,0)),"")</f>
        <v>22.5</v>
      </c>
      <c r="F15" s="15" t="str">
        <f aca="false">IFERROR(INDEX('كشف الحساب'!$F$4:$F$203,MATCH(11,'كشف الحساب'!$L$4:$L$203,0)),"")</f>
        <v>نقداً</v>
      </c>
      <c r="G15" s="16"/>
      <c r="H15" s="1" t="n">
        <f aca="false">IF(AND(OR('طباعة المحفظة'!$C$2="الكل",MONTH(A15)=IFERROR(MATCH('طباعة المحفظة'!$C$2,{"يناير","فبراير","مارس","أبريل","مايو","يونيو","يوليو","أغسطس","سبتمبر","أكتوبر","نوفمبر","ديسمبر"},0),0)),OR('طباعة المحفظة'!$F$2="الكل",YEAR(A15)=IFERROR(VALUE('طباعة المحفظة'!$F$2),0)),A15&lt;&gt;""),IFERROR(MAX($H$5:H14),0)+1,"")</f>
        <v>9</v>
      </c>
    </row>
    <row r="16" customFormat="false" ht="18" hidden="false" customHeight="true" outlineLevel="0" collapsed="false">
      <c r="A16" s="17" t="n">
        <f aca="false">IFERROR(INDEX('كشف الحساب'!$A$4:$A$203,MATCH(12,'كشف الحساب'!$L$4:$L$203,0)),"")</f>
        <v>46159</v>
      </c>
      <c r="B16" s="18" t="str">
        <f aca="false">IFERROR(INDEX('كشف الحساب'!$B$4:$B$203,MATCH(12,'كشف الحساب'!$L$4:$L$203,0)),"")</f>
        <v>Inv-23</v>
      </c>
      <c r="C16" s="19" t="str">
        <f aca="false">IFERROR(INDEX('كشف الحساب'!$C$4:$C$203,MATCH(12,'كشف الحساب'!$L$4:$L$203,0)),"")</f>
        <v>برازيليا عدد 16 الحبه 0.500</v>
      </c>
      <c r="D16" s="20" t="s">
        <v>6</v>
      </c>
      <c r="E16" s="21" t="n">
        <f aca="false">IFERROR(INDEX('كشف الحساب'!$E$4:$E$203,MATCH(12,'كشف الحساب'!$L$4:$L$203,0)),"")</f>
        <v>8</v>
      </c>
      <c r="F16" s="22" t="str">
        <f aca="false">IFERROR(INDEX('كشف الحساب'!$F$4:$F$203,MATCH(12,'كشف الحساب'!$L$4:$L$203,0)),"")</f>
        <v>نقداً</v>
      </c>
      <c r="G16" s="23"/>
      <c r="H16" s="1" t="n">
        <f aca="false">IF(AND(OR('طباعة المحفظة'!$C$2="الكل",MONTH(A16)=IFERROR(MATCH('طباعة المحفظة'!$C$2,{"يناير","فبراير","مارس","أبريل","مايو","يونيو","يوليو","أغسطس","سبتمبر","أكتوبر","نوفمبر","ديسمبر"},0),0)),OR('طباعة المحفظة'!$F$2="الكل",YEAR(A16)=IFERROR(VALUE('طباعة المحفظة'!$F$2),0)),A16&lt;&gt;""),IFERROR(MAX($H$5:H15),0)+1,"")</f>
        <v>10</v>
      </c>
    </row>
    <row r="17" customFormat="false" ht="18" hidden="false" customHeight="true" outlineLevel="0" collapsed="false">
      <c r="A17" s="10" t="n">
        <f aca="false">IFERROR(INDEX('كشف الحساب'!$A$4:$A$203,MATCH(13,'كشف الحساب'!$L$4:$L$203,0)),"")</f>
        <v>46160</v>
      </c>
      <c r="B17" s="11" t="str">
        <f aca="false">IFERROR(INDEX('كشف الحساب'!$B$4:$B$203,MATCH(13,'كشف الحساب'!$L$4:$L$203,0)),"")</f>
        <v>Inv-24</v>
      </c>
      <c r="C17" s="12" t="str">
        <f aca="false">IFERROR(INDEX('كشف الحساب'!$C$4:$C$203,MATCH(13,'كشف الحساب'!$L$4:$L$203,0)),"")</f>
        <v>فل عدد10 الحبه 0.750</v>
      </c>
      <c r="D17" s="13" t="s">
        <v>6</v>
      </c>
      <c r="E17" s="14" t="n">
        <f aca="false">IFERROR(INDEX('كشف الحساب'!$E$4:$E$203,MATCH(13,'كشف الحساب'!$L$4:$L$203,0)),"")</f>
        <v>7.5</v>
      </c>
      <c r="F17" s="15" t="str">
        <f aca="false">IFERROR(INDEX('كشف الحساب'!$F$4:$F$203,MATCH(13,'كشف الحساب'!$L$4:$L$203,0)),"")</f>
        <v>نقداً</v>
      </c>
      <c r="G17" s="16"/>
      <c r="H17" s="1" t="n">
        <f aca="false">IF(AND(OR('طباعة المحفظة'!$C$2="الكل",MONTH(A17)=IFERROR(MATCH('طباعة المحفظة'!$C$2,{"يناير","فبراير","مارس","أبريل","مايو","يونيو","يوليو","أغسطس","سبتمبر","أكتوبر","نوفمبر","ديسمبر"},0),0)),OR('طباعة المحفظة'!$F$2="الكل",YEAR(A17)=IFERROR(VALUE('طباعة المحفظة'!$F$2),0)),A17&lt;&gt;""),IFERROR(MAX($H$5:H16),0)+1,"")</f>
        <v>11</v>
      </c>
    </row>
    <row r="18" customFormat="false" ht="18" hidden="false" customHeight="true" outlineLevel="0" collapsed="false">
      <c r="A18" s="17" t="n">
        <f aca="false">IFERROR(INDEX('كشف الحساب'!$A$4:$A$203,MATCH(14,'كشف الحساب'!$L$4:$L$203,0)),"")</f>
        <v>46160</v>
      </c>
      <c r="B18" s="18" t="str">
        <f aca="false">IFERROR(INDEX('كشف الحساب'!$B$4:$B$203,MATCH(14,'كشف الحساب'!$L$4:$L$203,0)),"")</f>
        <v>Inv-25</v>
      </c>
      <c r="C18" s="19" t="str">
        <f aca="false">IFERROR(INDEX('كشف الحساب'!$C$4:$C$203,MATCH(14,'كشف الحساب'!$L$4:$L$203,0)),"")</f>
        <v>دارسيناحمراء عدد 1</v>
      </c>
      <c r="D18" s="20" t="s">
        <v>6</v>
      </c>
      <c r="E18" s="21" t="n">
        <f aca="false">IFERROR(INDEX('كشف الحساب'!$E$4:$E$203,MATCH(14,'كشف الحساب'!$L$4:$L$203,0)),"")</f>
        <v>5</v>
      </c>
      <c r="F18" s="22" t="str">
        <f aca="false">IFERROR(INDEX('كشف الحساب'!$F$4:$F$203,MATCH(14,'كشف الحساب'!$L$4:$L$203,0)),"")</f>
        <v>نقداً</v>
      </c>
      <c r="G18" s="23"/>
      <c r="H18" s="1" t="n">
        <f aca="false">IF(AND(OR('طباعة المحفظة'!$C$2="الكل",MONTH(A18)=IFERROR(MATCH('طباعة المحفظة'!$C$2,{"يناير","فبراير","مارس","أبريل","مايو","يونيو","يوليو","أغسطس","سبتمبر","أكتوبر","نوفمبر","ديسمبر"},0),0)),OR('طباعة المحفظة'!$F$2="الكل",YEAR(A18)=IFERROR(VALUE('طباعة المحفظة'!$F$2),0)),A18&lt;&gt;""),IFERROR(MAX($H$5:H17),0)+1,"")</f>
        <v>12</v>
      </c>
    </row>
    <row r="19" customFormat="false" ht="18" hidden="false" customHeight="true" outlineLevel="0" collapsed="false">
      <c r="A19" s="10" t="n">
        <f aca="false">IFERROR(INDEX('كشف الحساب'!$A$4:$A$203,MATCH(15,'كشف الحساب'!$L$4:$L$203,0)),"")</f>
        <v>46160</v>
      </c>
      <c r="B19" s="11" t="str">
        <f aca="false">IFERROR(INDEX('كشف الحساب'!$B$4:$B$203,MATCH(15,'كشف الحساب'!$L$4:$L$203,0)),"")</f>
        <v>Inv-26</v>
      </c>
      <c r="C19" s="12" t="str">
        <f aca="false">IFERROR(INDEX('كشف الحساب'!$C$4:$C$203,MATCH(15,'كشف الحساب'!$L$4:$L$203,0)),"")</f>
        <v>دارسينا خضراء عدد 2 الحبه 1.500</v>
      </c>
      <c r="D19" s="13" t="s">
        <v>6</v>
      </c>
      <c r="E19" s="14" t="n">
        <f aca="false">IFERROR(INDEX('كشف الحساب'!$E$4:$E$203,MATCH(15,'كشف الحساب'!$L$4:$L$203,0)),"")</f>
        <v>3</v>
      </c>
      <c r="F19" s="15" t="str">
        <f aca="false">IFERROR(INDEX('كشف الحساب'!$F$4:$F$203,MATCH(15,'كشف الحساب'!$L$4:$L$203,0)),"")</f>
        <v>نقداً</v>
      </c>
      <c r="G19" s="16"/>
      <c r="H19" s="1" t="n">
        <f aca="false">IF(AND(OR('طباعة المحفظة'!$C$2="الكل",MONTH(A19)=IFERROR(MATCH('طباعة المحفظة'!$C$2,{"يناير","فبراير","مارس","أبريل","مايو","يونيو","يوليو","أغسطس","سبتمبر","أكتوبر","نوفمبر","ديسمبر"},0),0)),OR('طباعة المحفظة'!$F$2="الكل",YEAR(A19)=IFERROR(VALUE('طباعة المحفظة'!$F$2),0)),A19&lt;&gt;""),IFERROR(MAX($H$5:H18),0)+1,"")</f>
        <v>13</v>
      </c>
    </row>
    <row r="20" customFormat="false" ht="18" hidden="false" customHeight="true" outlineLevel="0" collapsed="false">
      <c r="A20" s="17" t="n">
        <f aca="false">IFERROR(INDEX('كشف الحساب'!$A$4:$A$203,MATCH(16,'كشف الحساب'!$L$4:$L$203,0)),"")</f>
        <v>46160</v>
      </c>
      <c r="B20" s="18" t="str">
        <f aca="false">IFERROR(INDEX('كشف الحساب'!$B$4:$B$203,MATCH(16,'كشف الحساب'!$L$4:$L$203,0)),"")</f>
        <v>Inv-27</v>
      </c>
      <c r="C20" s="19" t="str">
        <f aca="false">IFERROR(INDEX('كشف الحساب'!$C$4:$C$203,MATCH(16,'كشف الحساب'!$L$4:$L$203,0)),"")</f>
        <v>ربل عدد 2 الحبه 1.500</v>
      </c>
      <c r="D20" s="20" t="s">
        <v>6</v>
      </c>
      <c r="E20" s="21" t="n">
        <f aca="false">IFERROR(INDEX('كشف الحساب'!$E$4:$E$203,MATCH(16,'كشف الحساب'!$L$4:$L$203,0)),"")</f>
        <v>3</v>
      </c>
      <c r="F20" s="22" t="str">
        <f aca="false">IFERROR(INDEX('كشف الحساب'!$F$4:$F$203,MATCH(16,'كشف الحساب'!$L$4:$L$203,0)),"")</f>
        <v>نقداً</v>
      </c>
      <c r="G20" s="23"/>
      <c r="H20" s="1" t="n">
        <f aca="false">IF(AND(OR('طباعة المحفظة'!$C$2="الكل",MONTH(A20)=IFERROR(MATCH('طباعة المحفظة'!$C$2,{"يناير","فبراير","مارس","أبريل","مايو","يونيو","يوليو","أغسطس","سبتمبر","أكتوبر","نوفمبر","ديسمبر"},0),0)),OR('طباعة المحفظة'!$F$2="الكل",YEAR(A20)=IFERROR(VALUE('طباعة المحفظة'!$F$2),0)),A20&lt;&gt;""),IFERROR(MAX($H$5:H19),0)+1,"")</f>
        <v>14</v>
      </c>
    </row>
    <row r="21" customFormat="false" ht="18" hidden="false" customHeight="true" outlineLevel="0" collapsed="false">
      <c r="A21" s="10" t="n">
        <f aca="false">IFERROR(INDEX('كشف الحساب'!$A$4:$A$203,MATCH(17,'كشف الحساب'!$L$4:$L$203,0)),"")</f>
        <v>46160</v>
      </c>
      <c r="B21" s="11" t="str">
        <f aca="false">IFERROR(INDEX('كشف الحساب'!$B$4:$B$203,MATCH(17,'كشف الحساب'!$L$4:$L$203,0)),"")</f>
        <v>Inv-28</v>
      </c>
      <c r="C21" s="12" t="str">
        <f aca="false">IFERROR(INDEX('كشف الحساب'!$C$4:$C$203,MATCH(17,'كشف الحساب'!$L$4:$L$203,0)),"")</f>
        <v>دارسينا حمراء عدد2 الحبه 2.500</v>
      </c>
      <c r="D21" s="13" t="s">
        <v>6</v>
      </c>
      <c r="E21" s="14" t="n">
        <f aca="false">IFERROR(INDEX('كشف الحساب'!$E$4:$E$203,MATCH(17,'كشف الحساب'!$L$4:$L$203,0)),"")</f>
        <v>5</v>
      </c>
      <c r="F21" s="15" t="str">
        <f aca="false">IFERROR(INDEX('كشف الحساب'!$F$4:$F$203,MATCH(17,'كشف الحساب'!$L$4:$L$203,0)),"")</f>
        <v>نقداً</v>
      </c>
      <c r="G21" s="16"/>
      <c r="H21" s="1" t="n">
        <f aca="false">IF(AND(OR('طباعة المحفظة'!$C$2="الكل",MONTH(A21)=IFERROR(MATCH('طباعة المحفظة'!$C$2,{"يناير","فبراير","مارس","أبريل","مايو","يونيو","يوليو","أغسطس","سبتمبر","أكتوبر","نوفمبر","ديسمبر"},0),0)),OR('طباعة المحفظة'!$F$2="الكل",YEAR(A21)=IFERROR(VALUE('طباعة المحفظة'!$F$2),0)),A21&lt;&gt;""),IFERROR(MAX($H$5:H20),0)+1,"")</f>
        <v>15</v>
      </c>
    </row>
    <row r="22" customFormat="false" ht="18" hidden="false" customHeight="true" outlineLevel="0" collapsed="false">
      <c r="A22" s="17" t="n">
        <f aca="false">IFERROR(INDEX('كشف الحساب'!$A$4:$A$203,MATCH(18,'كشف الحساب'!$L$4:$L$203,0)),"")</f>
        <v>46160</v>
      </c>
      <c r="B22" s="18" t="str">
        <f aca="false">IFERROR(INDEX('كشف الحساب'!$B$4:$B$203,MATCH(18,'كشف الحساب'!$L$4:$L$203,0)),"")</f>
        <v>Inv-29</v>
      </c>
      <c r="C22" s="19" t="str">
        <f aca="false">IFERROR(INDEX('كشف الحساب'!$C$4:$C$203,MATCH(18,'كشف الحساب'!$L$4:$L$203,0)),"")</f>
        <v>برازيليا عدد 10 الحبه 0.500</v>
      </c>
      <c r="D22" s="20" t="s">
        <v>6</v>
      </c>
      <c r="E22" s="21" t="n">
        <f aca="false">IFERROR(INDEX('كشف الحساب'!$E$4:$E$203,MATCH(18,'كشف الحساب'!$L$4:$L$203,0)),"")</f>
        <v>5</v>
      </c>
      <c r="F22" s="22" t="str">
        <f aca="false">IFERROR(INDEX('كشف الحساب'!$F$4:$F$203,MATCH(18,'كشف الحساب'!$L$4:$L$203,0)),"")</f>
        <v>نقداً</v>
      </c>
      <c r="G22" s="23"/>
      <c r="H22" s="1" t="n">
        <f aca="false">IF(AND(OR('طباعة المحفظة'!$C$2="الكل",MONTH(A22)=IFERROR(MATCH('طباعة المحفظة'!$C$2,{"يناير","فبراير","مارس","أبريل","مايو","يونيو","يوليو","أغسطس","سبتمبر","أكتوبر","نوفمبر","ديسمبر"},0),0)),OR('طباعة المحفظة'!$F$2="الكل",YEAR(A22)=IFERROR(VALUE('طباعة المحفظة'!$F$2),0)),A22&lt;&gt;""),IFERROR(MAX($H$5:H21),0)+1,"")</f>
        <v>16</v>
      </c>
    </row>
    <row r="23" customFormat="false" ht="18" hidden="false" customHeight="true" outlineLevel="0" collapsed="false">
      <c r="A23" s="10" t="n">
        <f aca="false">IFERROR(INDEX('كشف الحساب'!$A$4:$A$203,MATCH(19,'كشف الحساب'!$L$4:$L$203,0)),"")</f>
        <v>46160</v>
      </c>
      <c r="B23" s="11" t="str">
        <f aca="false">IFERROR(INDEX('كشف الحساب'!$B$4:$B$203,MATCH(19,'كشف الحساب'!$L$4:$L$203,0)),"")</f>
        <v>85164</v>
      </c>
      <c r="C23" s="12" t="str">
        <f aca="false">IFERROR(INDEX('كشف الحساب'!$C$4:$C$203,MATCH(19,'كشف الحساب'!$L$4:$L$203,0)),"")</f>
        <v>مبيد اسيتبلان عدد 1</v>
      </c>
      <c r="D23" s="13" t="s">
        <v>6</v>
      </c>
      <c r="E23" s="14" t="n">
        <f aca="false">IFERROR(INDEX('كشف الحساب'!$E$4:$E$203,MATCH(19,'كشف الحساب'!$L$4:$L$203,0)),"")</f>
        <v>0</v>
      </c>
      <c r="F23" s="15" t="str">
        <f aca="false">IFERROR(INDEX('كشف الحساب'!$F$4:$F$203,MATCH(19,'كشف الحساب'!$L$4:$L$203,0)),"")</f>
        <v>نقداً</v>
      </c>
      <c r="G23" s="16"/>
      <c r="H23" s="1" t="n">
        <f aca="false">IF(AND(OR('طباعة المحفظة'!$C$2="الكل",MONTH(A23)=IFERROR(MATCH('طباعة المحفظة'!$C$2,{"يناير","فبراير","مارس","أبريل","مايو","يونيو","يوليو","أغسطس","سبتمبر","أكتوبر","نوفمبر","ديسمبر"},0),0)),OR('طباعة المحفظة'!$F$2="الكل",YEAR(A23)=IFERROR(VALUE('طباعة المحفظة'!$F$2),0)),A23&lt;&gt;""),IFERROR(MAX($H$5:H22),0)+1,"")</f>
        <v>17</v>
      </c>
    </row>
    <row r="24" customFormat="false" ht="18" hidden="false" customHeight="true" outlineLevel="0" collapsed="false">
      <c r="A24" s="17" t="n">
        <f aca="false">IFERROR(INDEX('كشف الحساب'!$A$4:$A$203,MATCH(20,'كشف الحساب'!$L$4:$L$203,0)),"")</f>
        <v>46162</v>
      </c>
      <c r="B24" s="18" t="str">
        <f aca="false">IFERROR(INDEX('كشف الحساب'!$B$4:$B$203,MATCH(20,'كشف الحساب'!$L$4:$L$203,0)),"")</f>
        <v>Inv-31</v>
      </c>
      <c r="C24" s="19" t="str">
        <f aca="false">IFERROR(INDEX('كشف الحساب'!$C$4:$C$203,MATCH(20,'كشف الحساب'!$L$4:$L$203,0)),"")</f>
        <v>فل عدد30 الحبه 0.750</v>
      </c>
      <c r="D24" s="20" t="s">
        <v>6</v>
      </c>
      <c r="E24" s="21" t="n">
        <f aca="false">IFERROR(INDEX('كشف الحساب'!$E$4:$E$203,MATCH(20,'كشف الحساب'!$L$4:$L$203,0)),"")</f>
        <v>22.5</v>
      </c>
      <c r="F24" s="22" t="str">
        <f aca="false">IFERROR(INDEX('كشف الحساب'!$F$4:$F$203,MATCH(20,'كشف الحساب'!$L$4:$L$203,0)),"")</f>
        <v>نقداً</v>
      </c>
      <c r="G24" s="23"/>
      <c r="H24" s="1" t="n">
        <f aca="false">IF(AND(OR('طباعة المحفظة'!$C$2="الكل",MONTH(A24)=IFERROR(MATCH('طباعة المحفظة'!$C$2,{"يناير","فبراير","مارس","أبريل","مايو","يونيو","يوليو","أغسطس","سبتمبر","أكتوبر","نوفمبر","ديسمبر"},0),0)),OR('طباعة المحفظة'!$F$2="الكل",YEAR(A24)=IFERROR(VALUE('طباعة المحفظة'!$F$2),0)),A24&lt;&gt;""),IFERROR(MAX($H$5:H23),0)+1,"")</f>
        <v>18</v>
      </c>
    </row>
    <row r="25" customFormat="false" ht="18" hidden="false" customHeight="true" outlineLevel="0" collapsed="false">
      <c r="A25" s="10" t="n">
        <f aca="false">IFERROR(INDEX('كشف الحساب'!$A$4:$A$203,MATCH(21,'كشف الحساب'!$L$4:$L$203,0)),"")</f>
        <v>46162</v>
      </c>
      <c r="B25" s="11" t="str">
        <f aca="false">IFERROR(INDEX('كشف الحساب'!$B$4:$B$203,MATCH(21,'كشف الحساب'!$L$4:$L$203,0)),"")</f>
        <v>Inv-32</v>
      </c>
      <c r="C25" s="12" t="str">
        <f aca="false">IFERROR(INDEX('كشف الحساب'!$C$4:$C$203,MATCH(21,'كشف الحساب'!$L$4:$L$203,0)),"")</f>
        <v>برازيليا عدد 50 الحبه0.500</v>
      </c>
      <c r="D25" s="13" t="s">
        <v>6</v>
      </c>
      <c r="E25" s="14" t="n">
        <f aca="false">IFERROR(INDEX('كشف الحساب'!$E$4:$E$203,MATCH(21,'كشف الحساب'!$L$4:$L$203,0)),"")</f>
        <v>25</v>
      </c>
      <c r="F25" s="15" t="str">
        <f aca="false">IFERROR(INDEX('كشف الحساب'!$F$4:$F$203,MATCH(21,'كشف الحساب'!$L$4:$L$203,0)),"")</f>
        <v>نقداً</v>
      </c>
      <c r="G25" s="16"/>
      <c r="H25" s="1" t="n">
        <f aca="false">IF(AND(OR('طباعة المحفظة'!$C$2="الكل",MONTH(A25)=IFERROR(MATCH('طباعة المحفظة'!$C$2,{"يناير","فبراير","مارس","أبريل","مايو","يونيو","يوليو","أغسطس","سبتمبر","أكتوبر","نوفمبر","ديسمبر"},0),0)),OR('طباعة المحفظة'!$F$2="الكل",YEAR(A25)=IFERROR(VALUE('طباعة المحفظة'!$F$2),0)),A25&lt;&gt;""),IFERROR(MAX($H$5:H24),0)+1,"")</f>
        <v>19</v>
      </c>
    </row>
    <row r="26" customFormat="false" ht="18" hidden="false" customHeight="true" outlineLevel="0" collapsed="false">
      <c r="A26" s="17" t="n">
        <f aca="false">IFERROR(INDEX('كشف الحساب'!$A$4:$A$203,MATCH(22,'كشف الحساب'!$L$4:$L$203,0)),"")</f>
        <v>46163</v>
      </c>
      <c r="B26" s="18" t="str">
        <f aca="false">IFERROR(INDEX('كشف الحساب'!$B$4:$B$203,MATCH(22,'كشف الحساب'!$L$4:$L$203,0)),"")</f>
        <v>Inv-33</v>
      </c>
      <c r="C26" s="19" t="str">
        <f aca="false">IFERROR(INDEX('كشف الحساب'!$C$4:$C$203,MATCH(22,'كشف الحساب'!$L$4:$L$203,0)),"")</f>
        <v>برازيليا عدد 75 الحبه 0.500</v>
      </c>
      <c r="D26" s="20" t="s">
        <v>6</v>
      </c>
      <c r="E26" s="21" t="n">
        <f aca="false">IFERROR(INDEX('كشف الحساب'!$E$4:$E$203,MATCH(22,'كشف الحساب'!$L$4:$L$203,0)),"")</f>
        <v>37.5</v>
      </c>
      <c r="F26" s="22" t="str">
        <f aca="false">IFERROR(INDEX('كشف الحساب'!$F$4:$F$203,MATCH(22,'كشف الحساب'!$L$4:$L$203,0)),"")</f>
        <v>نقداً</v>
      </c>
      <c r="G26" s="23"/>
      <c r="H26" s="1" t="n">
        <f aca="false">IF(AND(OR('طباعة المحفظة'!$C$2="الكل",MONTH(A26)=IFERROR(MATCH('طباعة المحفظة'!$C$2,{"يناير","فبراير","مارس","أبريل","مايو","يونيو","يوليو","أغسطس","سبتمبر","أكتوبر","نوفمبر","ديسمبر"},0),0)),OR('طباعة المحفظة'!$F$2="الكل",YEAR(A26)=IFERROR(VALUE('طباعة المحفظة'!$F$2),0)),A26&lt;&gt;""),IFERROR(MAX($H$5:H25),0)+1,"")</f>
        <v>20</v>
      </c>
    </row>
    <row r="27" customFormat="false" ht="18" hidden="false" customHeight="true" outlineLevel="0" collapsed="false">
      <c r="A27" s="10" t="n">
        <f aca="false">IFERROR(INDEX('كشف الحساب'!$A$4:$A$203,MATCH(23,'كشف الحساب'!$L$4:$L$203,0)),"")</f>
        <v>46163</v>
      </c>
      <c r="B27" s="11" t="str">
        <f aca="false">IFERROR(INDEX('كشف الحساب'!$B$4:$B$203,MATCH(23,'كشف الحساب'!$L$4:$L$203,0)),"")</f>
        <v>Inv-34</v>
      </c>
      <c r="C27" s="12" t="str">
        <f aca="false">IFERROR(INDEX('كشف الحساب'!$C$4:$C$203,MATCH(23,'كشف الحساب'!$L$4:$L$203,0)),"")</f>
        <v>دارسينيا احمر عدد1 حبه 2.500</v>
      </c>
      <c r="D27" s="13" t="s">
        <v>6</v>
      </c>
      <c r="E27" s="14" t="n">
        <f aca="false">IFERROR(INDEX('كشف الحساب'!$E$4:$E$203,MATCH(23,'كشف الحساب'!$L$4:$L$203,0)),"")</f>
        <v>2.5</v>
      </c>
      <c r="F27" s="15" t="str">
        <f aca="false">IFERROR(INDEX('كشف الحساب'!$F$4:$F$203,MATCH(23,'كشف الحساب'!$L$4:$L$203,0)),"")</f>
        <v>نقداً</v>
      </c>
      <c r="G27" s="16"/>
      <c r="H27" s="1" t="n">
        <f aca="false">IF(AND(OR('طباعة المحفظة'!$C$2="الكل",MONTH(A27)=IFERROR(MATCH('طباعة المحفظة'!$C$2,{"يناير","فبراير","مارس","أبريل","مايو","يونيو","يوليو","أغسطس","سبتمبر","أكتوبر","نوفمبر","ديسمبر"},0),0)),OR('طباعة المحفظة'!$F$2="الكل",YEAR(A27)=IFERROR(VALUE('طباعة المحفظة'!$F$2),0)),A27&lt;&gt;""),IFERROR(MAX($H$5:H26),0)+1,"")</f>
        <v>21</v>
      </c>
    </row>
    <row r="28" customFormat="false" ht="18" hidden="false" customHeight="true" outlineLevel="0" collapsed="false">
      <c r="A28" s="17" t="n">
        <f aca="false">IFERROR(INDEX('كشف الحساب'!$A$4:$A$203,MATCH(24,'كشف الحساب'!$L$4:$L$203,0)),"")</f>
        <v>46164</v>
      </c>
      <c r="B28" s="18" t="str">
        <f aca="false">IFERROR(INDEX('كشف الحساب'!$B$4:$B$203,MATCH(24,'كشف الحساب'!$L$4:$L$203,0)),"")</f>
        <v>Inv-35</v>
      </c>
      <c r="C28" s="19" t="str">
        <f aca="false">IFERROR(INDEX('كشف الحساب'!$C$4:$C$203,MATCH(24,'كشف الحساب'!$L$4:$L$203,0)),"")</f>
        <v>دارسينا حمراء عدد 6 الحبه 2,500</v>
      </c>
      <c r="D28" s="20" t="s">
        <v>6</v>
      </c>
      <c r="E28" s="21" t="n">
        <f aca="false">IFERROR(INDEX('كشف الحساب'!$E$4:$E$203,MATCH(24,'كشف الحساب'!$L$4:$L$203,0)),"")</f>
        <v>15</v>
      </c>
      <c r="F28" s="22" t="str">
        <f aca="false">IFERROR(INDEX('كشف الحساب'!$F$4:$F$203,MATCH(24,'كشف الحساب'!$L$4:$L$203,0)),"")</f>
        <v>نقداً</v>
      </c>
      <c r="G28" s="23"/>
      <c r="H28" s="1" t="n">
        <f aca="false">IF(AND(OR('طباعة المحفظة'!$C$2="الكل",MONTH(A28)=IFERROR(MATCH('طباعة المحفظة'!$C$2,{"يناير","فبراير","مارس","أبريل","مايو","يونيو","يوليو","أغسطس","سبتمبر","أكتوبر","نوفمبر","ديسمبر"},0),0)),OR('طباعة المحفظة'!$F$2="الكل",YEAR(A28)=IFERROR(VALUE('طباعة المحفظة'!$F$2),0)),A28&lt;&gt;""),IFERROR(MAX($H$5:H27),0)+1,"")</f>
        <v>22</v>
      </c>
    </row>
    <row r="29" customFormat="false" ht="18" hidden="false" customHeight="true" outlineLevel="0" collapsed="false">
      <c r="A29" s="10" t="n">
        <f aca="false">IFERROR(INDEX('كشف الحساب'!$A$4:$A$203,MATCH(25,'كشف الحساب'!$L$4:$L$203,0)),"")</f>
        <v>46164</v>
      </c>
      <c r="B29" s="11" t="str">
        <f aca="false">IFERROR(INDEX('كشف الحساب'!$B$4:$B$203,MATCH(25,'كشف الحساب'!$L$4:$L$203,0)),"")</f>
        <v>Inv-36</v>
      </c>
      <c r="C29" s="12" t="str">
        <f aca="false">IFERROR(INDEX('كشف الحساب'!$C$4:$C$203,MATCH(25,'كشف الحساب'!$L$4:$L$203,0)),"")</f>
        <v>ربل عدد4 الحبه 1.500</v>
      </c>
      <c r="D29" s="13" t="s">
        <v>6</v>
      </c>
      <c r="E29" s="14" t="n">
        <f aca="false">IFERROR(INDEX('كشف الحساب'!$E$4:$E$203,MATCH(25,'كشف الحساب'!$L$4:$L$203,0)),"")</f>
        <v>6</v>
      </c>
      <c r="F29" s="15" t="str">
        <f aca="false">IFERROR(INDEX('كشف الحساب'!$F$4:$F$203,MATCH(25,'كشف الحساب'!$L$4:$L$203,0)),"")</f>
        <v>نقداً</v>
      </c>
      <c r="G29" s="16"/>
      <c r="H29" s="1" t="n">
        <f aca="false">IF(AND(OR('طباعة المحفظة'!$C$2="الكل",MONTH(A29)=IFERROR(MATCH('طباعة المحفظة'!$C$2,{"يناير","فبراير","مارس","أبريل","مايو","يونيو","يوليو","أغسطس","سبتمبر","أكتوبر","نوفمبر","ديسمبر"},0),0)),OR('طباعة المحفظة'!$F$2="الكل",YEAR(A29)=IFERROR(VALUE('طباعة المحفظة'!$F$2),0)),A29&lt;&gt;""),IFERROR(MAX($H$5:H28),0)+1,"")</f>
        <v>23</v>
      </c>
    </row>
    <row r="30" customFormat="false" ht="18" hidden="false" customHeight="true" outlineLevel="0" collapsed="false">
      <c r="A30" s="17" t="n">
        <f aca="false">IFERROR(INDEX('كشف الحساب'!$A$4:$A$203,MATCH(26,'كشف الحساب'!$L$4:$L$203,0)),"")</f>
        <v>46167</v>
      </c>
      <c r="B30" s="18" t="str">
        <f aca="false">IFERROR(INDEX('كشف الحساب'!$B$4:$B$203,MATCH(26,'كشف الحساب'!$L$4:$L$203,0)),"")</f>
        <v>Inv-37</v>
      </c>
      <c r="C30" s="19" t="str">
        <f aca="false">IFERROR(INDEX('كشف الحساب'!$C$4:$C$203,MATCH(26,'كشف الحساب'!$L$4:$L$203,0)),"")</f>
        <v>عطره عدد 10 الحبه 0.750</v>
      </c>
      <c r="D30" s="20" t="s">
        <v>6</v>
      </c>
      <c r="E30" s="21" t="n">
        <f aca="false">IFERROR(INDEX('كشف الحساب'!$E$4:$E$203,MATCH(26,'كشف الحساب'!$L$4:$L$203,0)),"")</f>
        <v>7.5</v>
      </c>
      <c r="F30" s="22" t="str">
        <f aca="false">IFERROR(INDEX('كشف الحساب'!$F$4:$F$203,MATCH(26,'كشف الحساب'!$L$4:$L$203,0)),"")</f>
        <v>نقداً</v>
      </c>
      <c r="G30" s="23"/>
      <c r="H30" s="1" t="n">
        <f aca="false">IF(AND(OR('طباعة المحفظة'!$C$2="الكل",MONTH(A30)=IFERROR(MATCH('طباعة المحفظة'!$C$2,{"يناير","فبراير","مارس","أبريل","مايو","يونيو","يوليو","أغسطس","سبتمبر","أكتوبر","نوفمبر","ديسمبر"},0),0)),OR('طباعة المحفظة'!$F$2="الكل",YEAR(A30)=IFERROR(VALUE('طباعة المحفظة'!$F$2),0)),A30&lt;&gt;""),IFERROR(MAX($H$5:H29),0)+1,"")</f>
        <v>24</v>
      </c>
    </row>
    <row r="31" customFormat="false" ht="18" hidden="false" customHeight="true" outlineLevel="0" collapsed="false">
      <c r="A31" s="10" t="n">
        <f aca="false">IFERROR(INDEX('كشف الحساب'!$A$4:$A$203,MATCH(27,'كشف الحساب'!$L$4:$L$203,0)),"")</f>
        <v>46167</v>
      </c>
      <c r="B31" s="11" t="str">
        <f aca="false">IFERROR(INDEX('كشف الحساب'!$B$4:$B$203,MATCH(27,'كشف الحساب'!$L$4:$L$203,0)),"")</f>
        <v>Inv-38</v>
      </c>
      <c r="C31" s="12" t="str">
        <f aca="false">IFERROR(INDEX('كشف الحساب'!$C$4:$C$203,MATCH(27,'كشف الحساب'!$L$4:$L$203,0)),"")</f>
        <v>ودليه عدد 2 الحبه 1</v>
      </c>
      <c r="D31" s="13" t="s">
        <v>6</v>
      </c>
      <c r="E31" s="14" t="n">
        <f aca="false">IFERROR(INDEX('كشف الحساب'!$E$4:$E$203,MATCH(27,'كشف الحساب'!$L$4:$L$203,0)),"")</f>
        <v>2</v>
      </c>
      <c r="F31" s="15" t="str">
        <f aca="false">IFERROR(INDEX('كشف الحساب'!$F$4:$F$203,MATCH(27,'كشف الحساب'!$L$4:$L$203,0)),"")</f>
        <v>نقداً</v>
      </c>
      <c r="G31" s="16"/>
      <c r="H31" s="1" t="n">
        <f aca="false">IF(AND(OR('طباعة المحفظة'!$C$2="الكل",MONTH(A31)=IFERROR(MATCH('طباعة المحفظة'!$C$2,{"يناير","فبراير","مارس","أبريل","مايو","يونيو","يوليو","أغسطس","سبتمبر","أكتوبر","نوفمبر","ديسمبر"},0),0)),OR('طباعة المحفظة'!$F$2="الكل",YEAR(A31)=IFERROR(VALUE('طباعة المحفظة'!$F$2),0)),A31&lt;&gt;""),IFERROR(MAX($H$5:H30),0)+1,"")</f>
        <v>25</v>
      </c>
    </row>
    <row r="32" customFormat="false" ht="18" hidden="false" customHeight="true" outlineLevel="0" collapsed="false">
      <c r="A32" s="17" t="n">
        <f aca="false">IFERROR(INDEX('كشف الحساب'!$A$4:$A$203,MATCH(28,'كشف الحساب'!$L$4:$L$203,0)),"")</f>
        <v>46167</v>
      </c>
      <c r="B32" s="18" t="str">
        <f aca="false">IFERROR(INDEX('كشف الحساب'!$B$4:$B$203,MATCH(28,'كشف الحساب'!$L$4:$L$203,0)),"")</f>
        <v>Inv-39</v>
      </c>
      <c r="C32" s="19" t="str">
        <f aca="false">IFERROR(INDEX('كشف الحساب'!$C$4:$C$203,MATCH(28,'كشف الحساب'!$L$4:$L$203,0)),"")</f>
        <v>داراسينا حمراء عدد4 الحبه 1</v>
      </c>
      <c r="D32" s="20" t="s">
        <v>6</v>
      </c>
      <c r="E32" s="21" t="n">
        <f aca="false">IFERROR(INDEX('كشف الحساب'!$E$4:$E$203,MATCH(28,'كشف الحساب'!$L$4:$L$203,0)),"")</f>
        <v>4</v>
      </c>
      <c r="F32" s="22" t="str">
        <f aca="false">IFERROR(INDEX('كشف الحساب'!$F$4:$F$203,MATCH(28,'كشف الحساب'!$L$4:$L$203,0)),"")</f>
        <v>نقداً</v>
      </c>
      <c r="G32" s="23"/>
      <c r="H32" s="1" t="n">
        <f aca="false">IF(AND(OR('طباعة المحفظة'!$C$2="الكل",MONTH(A32)=IFERROR(MATCH('طباعة المحفظة'!$C$2,{"يناير","فبراير","مارس","أبريل","مايو","يونيو","يوليو","أغسطس","سبتمبر","أكتوبر","نوفمبر","ديسمبر"},0),0)),OR('طباعة المحفظة'!$F$2="الكل",YEAR(A32)=IFERROR(VALUE('طباعة المحفظة'!$F$2),0)),A32&lt;&gt;""),IFERROR(MAX($H$5:H31),0)+1,"")</f>
        <v>26</v>
      </c>
    </row>
    <row r="33" customFormat="false" ht="18" hidden="false" customHeight="true" outlineLevel="0" collapsed="false">
      <c r="A33" s="10" t="n">
        <f aca="false">IFERROR(INDEX('كشف الحساب'!$A$4:$A$203,MATCH(29,'كشف الحساب'!$L$4:$L$203,0)),"")</f>
        <v>46167</v>
      </c>
      <c r="B33" s="11" t="n">
        <f aca="false">IFERROR(INDEX('كشف الحساب'!$B$4:$B$203,MATCH(29,'كشف الحساب'!$L$4:$L$203,0)),"")</f>
        <v>0</v>
      </c>
      <c r="C33" s="12" t="str">
        <f aca="false">IFERROR(INDEX('كشف الحساب'!$C$4:$C$203,MATCH(29,'كشف الحساب'!$L$4:$L$203,0)),"")</f>
        <v>يزل ماكينه كهرباء</v>
      </c>
      <c r="D33" s="13" t="s">
        <v>6</v>
      </c>
      <c r="E33" s="14" t="n">
        <f aca="false">IFERROR(INDEX('كشف الحساب'!$E$4:$E$203,MATCH(29,'كشف الحساب'!$L$4:$L$203,0)),"")</f>
        <v>0</v>
      </c>
      <c r="F33" s="15" t="str">
        <f aca="false">IFERROR(INDEX('كشف الحساب'!$F$4:$F$203,MATCH(29,'كشف الحساب'!$L$4:$L$203,0)),"")</f>
        <v>أحد الشركاء</v>
      </c>
      <c r="G33" s="16"/>
      <c r="H33" s="1" t="n">
        <f aca="false">IF(AND(OR('طباعة المحفظة'!$C$2="الكل",MONTH(A33)=IFERROR(MATCH('طباعة المحفظة'!$C$2,{"يناير","فبراير","مارس","أبريل","مايو","يونيو","يوليو","أغسطس","سبتمبر","أكتوبر","نوفمبر","ديسمبر"},0),0)),OR('طباعة المحفظة'!$F$2="الكل",YEAR(A33)=IFERROR(VALUE('طباعة المحفظة'!$F$2),0)),A33&lt;&gt;""),IFERROR(MAX($H$5:H32),0)+1,"")</f>
        <v>27</v>
      </c>
    </row>
    <row r="34" customFormat="false" ht="18" hidden="false" customHeight="true" outlineLevel="0" collapsed="false">
      <c r="A34" s="17" t="n">
        <f aca="false">IFERROR(INDEX('كشف الحساب'!$A$4:$A$203,MATCH(30,'كشف الحساب'!$L$4:$L$203,0)),"")</f>
        <v>46146</v>
      </c>
      <c r="B34" s="18" t="str">
        <f aca="false">IFERROR(INDEX('كشف الحساب'!$B$4:$B$203,MATCH(30,'كشف الحساب'!$L$4:$L$203,0)),"")</f>
        <v>Inv-41</v>
      </c>
      <c r="C34" s="19" t="str">
        <f aca="false">IFERROR(INDEX('كشف الحساب'!$C$4:$C$203,MATCH(30,'كشف الحساب'!$L$4:$L$203,0)),"")</f>
        <v>other</v>
      </c>
      <c r="D34" s="20" t="s">
        <v>6</v>
      </c>
      <c r="E34" s="21" t="n">
        <f aca="false">IFERROR(INDEX('كشف الحساب'!$E$4:$E$203,MATCH(30,'كشف الحساب'!$L$4:$L$203,0)),"")</f>
        <v>9</v>
      </c>
      <c r="F34" s="22" t="str">
        <f aca="false">IFERROR(INDEX('كشف الحساب'!$F$4:$F$203,MATCH(30,'كشف الحساب'!$L$4:$L$203,0)),"")</f>
        <v>نقداً</v>
      </c>
      <c r="G34" s="23"/>
      <c r="H34" s="1" t="n">
        <f aca="false">IF(AND(OR('طباعة المحفظة'!$C$2="الكل",IFERROR(MONTH(A34),0)=IFERROR(MATCH('طباعة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المحفظة'!$F$2="الكل",IFERROR(YEAR(A34),0)=IFERROR(VALUE('طباعة المحفظة'!$F$2),0)),A34&lt;&gt;""),IFERROR(MAX($H$5:H33),0)+1,"")</f>
        <v>28</v>
      </c>
    </row>
    <row r="35" customFormat="false" ht="18" hidden="false" customHeight="true" outlineLevel="0" collapsed="false">
      <c r="A35" s="10" t="n">
        <f aca="false">IFERROR(INDEX('كشف الحساب'!$A$4:$A$203,MATCH(31,'كشف الحساب'!$L$4:$L$203,0)),"")</f>
        <v>46146</v>
      </c>
      <c r="B35" s="11" t="str">
        <f aca="false">IFERROR(INDEX('كشف الحساب'!$B$4:$B$203,MATCH(31,'كشف الحساب'!$L$4:$L$203,0)),"")</f>
        <v>Inv-42</v>
      </c>
      <c r="C35" s="12" t="str">
        <f aca="false">IFERROR(INDEX('كشف الحساب'!$C$4:$C$203,MATCH(31,'كشف الحساب'!$L$4:$L$203,0)),"")</f>
        <v>other</v>
      </c>
      <c r="D35" s="13" t="s">
        <v>6</v>
      </c>
      <c r="E35" s="14" t="n">
        <f aca="false">IFERROR(INDEX('كشف الحساب'!$E$4:$E$203,MATCH(31,'كشف الحساب'!$L$4:$L$203,0)),"")</f>
        <v>2</v>
      </c>
      <c r="F35" s="15" t="str">
        <f aca="false">IFERROR(INDEX('كشف الحساب'!$F$4:$F$203,MATCH(31,'كشف الحساب'!$L$4:$L$203,0)),"")</f>
        <v>نقداً</v>
      </c>
      <c r="G35" s="16"/>
      <c r="H35" s="1" t="n">
        <f aca="false">IF(AND(OR('طباعة المحفظة'!$C$2="الكل",IFERROR(MONTH(A35),0)=IFERROR(MATCH('طباعة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المحفظة'!$F$2="الكل",IFERROR(YEAR(A35),0)=IFERROR(VALUE('طباعة المحفظة'!$F$2),0)),A35&lt;&gt;""),IFERROR(MAX($H$5:H34),0)+1,"")</f>
        <v>29</v>
      </c>
    </row>
    <row r="36" customFormat="false" ht="18" hidden="false" customHeight="true" outlineLevel="0" collapsed="false">
      <c r="A36" s="17" t="n">
        <f aca="false">IFERROR(INDEX('كشف الحساب'!$A$4:$A$203,MATCH(32,'كشف الحساب'!$L$4:$L$203,0)),"")</f>
        <v>46147</v>
      </c>
      <c r="B36" s="18" t="str">
        <f aca="false">IFERROR(INDEX('كشف الحساب'!$B$4:$B$203,MATCH(32,'كشف الحساب'!$L$4:$L$203,0)),"")</f>
        <v>Inv-43</v>
      </c>
      <c r="C36" s="19" t="str">
        <f aca="false">IFERROR(INDEX('كشف الحساب'!$C$4:$C$203,MATCH(32,'كشف الحساب'!$L$4:$L$203,0)),"")</f>
        <v>other</v>
      </c>
      <c r="D36" s="20" t="s">
        <v>6</v>
      </c>
      <c r="E36" s="21" t="n">
        <f aca="false">IFERROR(INDEX('كشف الحساب'!$E$4:$E$203,MATCH(32,'كشف الحساب'!$L$4:$L$203,0)),"")</f>
        <v>3.75</v>
      </c>
      <c r="F36" s="22" t="str">
        <f aca="false">IFERROR(INDEX('كشف الحساب'!$F$4:$F$203,MATCH(32,'كشف الحساب'!$L$4:$L$203,0)),"")</f>
        <v>نقداً</v>
      </c>
      <c r="G36" s="23"/>
      <c r="H36" s="1" t="n">
        <f aca="false">IF(AND(OR('طباعة المحفظة'!$C$2="الكل",IFERROR(MONTH(A36),0)=IFERROR(MATCH('طباعة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المحفظة'!$F$2="الكل",IFERROR(YEAR(A36),0)=IFERROR(VALUE('طباعة المحفظة'!$F$2),0)),A36&lt;&gt;""),IFERROR(MAX($H$5:H35),0)+1,"")</f>
        <v>30</v>
      </c>
    </row>
    <row r="37" customFormat="false" ht="18" hidden="false" customHeight="true" outlineLevel="0" collapsed="false">
      <c r="A37" s="10" t="n">
        <f aca="false">IFERROR(INDEX('كشف الحساب'!$A$4:$A$203,MATCH(33,'كشف الحساب'!$L$4:$L$203,0)),"")</f>
        <v>46149</v>
      </c>
      <c r="B37" s="11" t="str">
        <f aca="false">IFERROR(INDEX('كشف الحساب'!$B$4:$B$203,MATCH(33,'كشف الحساب'!$L$4:$L$203,0)),"")</f>
        <v>Inv-44a</v>
      </c>
      <c r="C37" s="12" t="str">
        <f aca="false">IFERROR(INDEX('كشف الحساب'!$C$4:$C$203,MATCH(33,'كشف الحساب'!$L$4:$L$203,0)),"")</f>
        <v>other</v>
      </c>
      <c r="D37" s="13" t="s">
        <v>6</v>
      </c>
      <c r="E37" s="14" t="n">
        <f aca="false">IFERROR(INDEX('كشف الحساب'!$E$4:$E$203,MATCH(33,'كشف الحساب'!$L$4:$L$203,0)),"")</f>
        <v>5</v>
      </c>
      <c r="F37" s="15" t="str">
        <f aca="false">IFERROR(INDEX('كشف الحساب'!$F$4:$F$203,MATCH(33,'كشف الحساب'!$L$4:$L$203,0)),"")</f>
        <v>نقداً</v>
      </c>
      <c r="G37" s="16"/>
      <c r="H37" s="1" t="n">
        <f aca="false">IF(AND(OR('طباعة المحفظة'!$C$2="الكل",IFERROR(MONTH(A37),0)=IFERROR(MATCH('طباعة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المحفظة'!$F$2="الكل",IFERROR(YEAR(A37),0)=IFERROR(VALUE('طباعة المحفظة'!$F$2),0)),A37&lt;&gt;""),IFERROR(MAX($H$5:H36),0)+1,"")</f>
        <v>31</v>
      </c>
    </row>
    <row r="38" customFormat="false" ht="18" hidden="false" customHeight="true" outlineLevel="0" collapsed="false">
      <c r="A38" s="17" t="n">
        <f aca="false">IFERROR(INDEX('كشف الحساب'!$A$4:$A$203,MATCH(34,'كشف الحساب'!$L$4:$L$203,0)),"")</f>
        <v>46155</v>
      </c>
      <c r="B38" s="18" t="str">
        <f aca="false">IFERROR(INDEX('كشف الحساب'!$B$4:$B$203,MATCH(34,'كشف الحساب'!$L$4:$L$203,0)),"")</f>
        <v>Inv-44</v>
      </c>
      <c r="C38" s="19" t="str">
        <f aca="false">IFERROR(INDEX('كشف الحساب'!$C$4:$C$203,MATCH(34,'كشف الحساب'!$L$4:$L$203,0)),"")</f>
        <v>other</v>
      </c>
      <c r="D38" s="20" t="s">
        <v>6</v>
      </c>
      <c r="E38" s="21" t="n">
        <f aca="false">IFERROR(INDEX('كشف الحساب'!$E$4:$E$203,MATCH(34,'كشف الحساب'!$L$4:$L$203,0)),"")</f>
        <v>15</v>
      </c>
      <c r="F38" s="22" t="str">
        <f aca="false">IFERROR(INDEX('كشف الحساب'!$F$4:$F$203,MATCH(34,'كشف الحساب'!$L$4:$L$203,0)),"")</f>
        <v>نقداً</v>
      </c>
      <c r="G38" s="23"/>
      <c r="H38" s="1" t="n">
        <f aca="false">IF(AND(OR('طباعة المحفظة'!$C$2="الكل",IFERROR(MONTH(A38),0)=IFERROR(MATCH('طباعة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المحفظة'!$F$2="الكل",IFERROR(YEAR(A38),0)=IFERROR(VALUE('طباعة المحفظة'!$F$2),0)),A38&lt;&gt;""),IFERROR(MAX($H$5:H37),0)+1,"")</f>
        <v>32</v>
      </c>
    </row>
    <row r="39" customFormat="false" ht="18" hidden="false" customHeight="true" outlineLevel="0" collapsed="false">
      <c r="A39" s="10" t="n">
        <f aca="false">IFERROR(INDEX('كشف الحساب'!$A$4:$A$203,MATCH(35,'كشف الحساب'!$L$4:$L$203,0)),"")</f>
        <v>46155</v>
      </c>
      <c r="B39" s="11" t="str">
        <f aca="false">IFERROR(INDEX('كشف الحساب'!$B$4:$B$203,MATCH(35,'كشف الحساب'!$L$4:$L$203,0)),"")</f>
        <v>Inv-45</v>
      </c>
      <c r="C39" s="12" t="str">
        <f aca="false">IFERROR(INDEX('كشف الحساب'!$C$4:$C$203,MATCH(35,'كشف الحساب'!$L$4:$L$203,0)),"")</f>
        <v>other</v>
      </c>
      <c r="D39" s="13" t="s">
        <v>6</v>
      </c>
      <c r="E39" s="14" t="n">
        <f aca="false">IFERROR(INDEX('كشف الحساب'!$E$4:$E$203,MATCH(35,'كشف الحساب'!$L$4:$L$203,0)),"")</f>
        <v>4</v>
      </c>
      <c r="F39" s="15" t="str">
        <f aca="false">IFERROR(INDEX('كشف الحساب'!$F$4:$F$203,MATCH(35,'كشف الحساب'!$L$4:$L$203,0)),"")</f>
        <v>نقداً</v>
      </c>
      <c r="G39" s="16"/>
      <c r="H39" s="1" t="n">
        <f aca="false">IF(AND(OR('طباعة المحفظة'!$C$2="الكل",IFERROR(MONTH(A39),0)=IFERROR(MATCH('طباعة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المحفظة'!$F$2="الكل",IFERROR(YEAR(A39),0)=IFERROR(VALUE('طباعة المحفظة'!$F$2),0)),A39&lt;&gt;""),IFERROR(MAX($H$5:H38),0)+1,"")</f>
        <v>33</v>
      </c>
    </row>
    <row r="40" customFormat="false" ht="18" hidden="false" customHeight="true" outlineLevel="0" collapsed="false">
      <c r="A40" s="17" t="n">
        <f aca="false">IFERROR(INDEX('كشف الحساب'!$A$4:$A$203,MATCH(36,'كشف الحساب'!$L$4:$L$203,0)),"")</f>
        <v>46155</v>
      </c>
      <c r="B40" s="18" t="str">
        <f aca="false">IFERROR(INDEX('كشف الحساب'!$B$4:$B$203,MATCH(36,'كشف الحساب'!$L$4:$L$203,0)),"")</f>
        <v>Inv-46</v>
      </c>
      <c r="C40" s="19" t="str">
        <f aca="false">IFERROR(INDEX('كشف الحساب'!$C$4:$C$203,MATCH(36,'كشف الحساب'!$L$4:$L$203,0)),"")</f>
        <v>other</v>
      </c>
      <c r="D40" s="20" t="s">
        <v>6</v>
      </c>
      <c r="E40" s="21" t="n">
        <f aca="false">IFERROR(INDEX('كشف الحساب'!$E$4:$E$203,MATCH(36,'كشف الحساب'!$L$4:$L$203,0)),"")</f>
        <v>3.6</v>
      </c>
      <c r="F40" s="22" t="str">
        <f aca="false">IFERROR(INDEX('كشف الحساب'!$F$4:$F$203,MATCH(36,'كشف الحساب'!$L$4:$L$203,0)),"")</f>
        <v>نقداً</v>
      </c>
      <c r="G40" s="23"/>
      <c r="H40" s="1" t="n">
        <f aca="false">IF(AND(OR('طباعة المحفظة'!$C$2="الكل",IFERROR(MONTH(A40),0)=IFERROR(MATCH('طباعة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المحفظة'!$F$2="الكل",IFERROR(YEAR(A40),0)=IFERROR(VALUE('طباعة المحفظة'!$F$2),0)),A40&lt;&gt;""),IFERROR(MAX($H$5:H39),0)+1,"")</f>
        <v>34</v>
      </c>
    </row>
    <row r="41" customFormat="false" ht="18" hidden="false" customHeight="true" outlineLevel="0" collapsed="false">
      <c r="A41" s="10" t="n">
        <f aca="false">IFERROR(INDEX('كشف الحساب'!$A$4:$A$203,MATCH(37,'كشف الحساب'!$L$4:$L$203,0)),"")</f>
        <v>46158</v>
      </c>
      <c r="B41" s="11" t="str">
        <f aca="false">IFERROR(INDEX('كشف الحساب'!$B$4:$B$203,MATCH(37,'كشف الحساب'!$L$4:$L$203,0)),"")</f>
        <v>Inv-47</v>
      </c>
      <c r="C41" s="12" t="str">
        <f aca="false">IFERROR(INDEX('كشف الحساب'!$C$4:$C$203,MATCH(37,'كشف الحساب'!$L$4:$L$203,0)),"")</f>
        <v>other</v>
      </c>
      <c r="D41" s="13" t="s">
        <v>6</v>
      </c>
      <c r="E41" s="14" t="n">
        <f aca="false">IFERROR(INDEX('كشف الحساب'!$E$4:$E$203,MATCH(37,'كشف الحساب'!$L$4:$L$203,0)),"")</f>
        <v>3</v>
      </c>
      <c r="F41" s="15" t="str">
        <f aca="false">IFERROR(INDEX('كشف الحساب'!$F$4:$F$203,MATCH(37,'كشف الحساب'!$L$4:$L$203,0)),"")</f>
        <v>نقداً</v>
      </c>
      <c r="G41" s="16"/>
      <c r="H41" s="1" t="n">
        <f aca="false">IF(AND(OR('طباعة المحفظة'!$C$2="الكل",IFERROR(MONTH(A41),0)=IFERROR(MATCH('طباعة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المحفظة'!$F$2="الكل",IFERROR(YEAR(A41),0)=IFERROR(VALUE('طباعة المحفظة'!$F$2),0)),A41&lt;&gt;""),IFERROR(MAX($H$5:H40),0)+1,"")</f>
        <v>35</v>
      </c>
    </row>
    <row r="42" customFormat="false" ht="18" hidden="false" customHeight="true" outlineLevel="0" collapsed="false">
      <c r="A42" s="17" t="n">
        <f aca="false">IFERROR(INDEX('كشف الحساب'!$A$4:$A$203,MATCH(38,'كشف الحساب'!$L$4:$L$203,0)),"")</f>
        <v>46155</v>
      </c>
      <c r="B42" s="18" t="n">
        <f aca="false">IFERROR(INDEX('كشف الحساب'!$B$4:$B$203,MATCH(38,'كشف الحساب'!$L$4:$L$203,0)),"")</f>
        <v>0</v>
      </c>
      <c r="C42" s="19" t="str">
        <f aca="false">IFERROR(INDEX('كشف الحساب'!$C$4:$C$203,MATCH(38,'كشف الحساب'!$L$4:$L$203,0)),"")</f>
        <v>جبس لتغطيه المحميه</v>
      </c>
      <c r="D42" s="20" t="s">
        <v>6</v>
      </c>
      <c r="E42" s="21" t="n">
        <f aca="false">IFERROR(INDEX('كشف الحساب'!$E$4:$E$203,MATCH(38,'كشف الحساب'!$L$4:$L$203,0)),"")</f>
        <v>0</v>
      </c>
      <c r="F42" s="22" t="str">
        <f aca="false">IFERROR(INDEX('كشف الحساب'!$F$4:$F$203,MATCH(38,'كشف الحساب'!$L$4:$L$203,0)),"")</f>
        <v>نقداً</v>
      </c>
      <c r="G42" s="23"/>
      <c r="H42" s="1" t="n">
        <f aca="false">IF(AND(OR('طباعة المحفظة'!$C$2="الكل",IFERROR(MONTH(A42),0)=IFERROR(MATCH('طباعة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المحفظة'!$F$2="الكل",IFERROR(YEAR(A42),0)=IFERROR(VALUE('طباعة المحفظة'!$F$2),0)),A42&lt;&gt;""),IFERROR(MAX($H$5:H41),0)+1,"")</f>
        <v>36</v>
      </c>
    </row>
    <row r="43" customFormat="false" ht="18" hidden="false" customHeight="true" outlineLevel="0" collapsed="false">
      <c r="A43" s="10" t="n">
        <f aca="false">IFERROR(INDEX('كشف الحساب'!$A$4:$A$203,MATCH(39,'كشف الحساب'!$L$4:$L$203,0)),"")</f>
        <v>46175</v>
      </c>
      <c r="B43" s="11" t="str">
        <f aca="false">IFERROR(INDEX('كشف الحساب'!$B$4:$B$203,MATCH(39,'كشف الحساب'!$L$4:$L$203,0)),"")</f>
        <v>Inv-54</v>
      </c>
      <c r="C43" s="12" t="str">
        <f aca="false">IFERROR(INDEX('كشف الحساب'!$C$4:$C$203,MATCH(39,'كشف الحساب'!$L$4:$L$203,0)),"")</f>
        <v>دارسينا خضراء عدد 1 الحبه 2</v>
      </c>
      <c r="D43" s="13" t="s">
        <v>6</v>
      </c>
      <c r="E43" s="14" t="n">
        <f aca="false">IFERROR(INDEX('كشف الحساب'!$E$4:$E$203,MATCH(39,'كشف الحساب'!$L$4:$L$203,0)),"")</f>
        <v>2</v>
      </c>
      <c r="F43" s="15" t="str">
        <f aca="false">IFERROR(INDEX('كشف الحساب'!$F$4:$F$203,MATCH(39,'كشف الحساب'!$L$4:$L$203,0)),"")</f>
        <v>نقداً</v>
      </c>
      <c r="G43" s="16"/>
      <c r="H43" s="1" t="str">
        <f aca="false">IF(AND(OR('طباعة المحفظة'!$C$2="الكل",IFERROR(MONTH(A43),0)=IFERROR(MATCH('طباعة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المحفظة'!$F$2="الكل",IFERROR(YEAR(A43),0)=IFERROR(VALUE('طباعة المحفظة'!$F$2),0)),A43&lt;&gt;""),IFERROR(MAX($H$5:H42),0)+1,"")</f>
        <v/>
      </c>
    </row>
    <row r="44" customFormat="false" ht="18" hidden="false" customHeight="true" outlineLevel="0" collapsed="false">
      <c r="A44" s="17" t="n">
        <f aca="false">IFERROR(INDEX('كشف الحساب'!$A$4:$A$203,MATCH(40,'كشف الحساب'!$L$4:$L$203,0)),"")</f>
        <v>46175</v>
      </c>
      <c r="B44" s="18" t="str">
        <f aca="false">IFERROR(INDEX('كشف الحساب'!$B$4:$B$203,MATCH(40,'كشف الحساب'!$L$4:$L$203,0)),"")</f>
        <v>Inv-55</v>
      </c>
      <c r="C44" s="19" t="str">
        <f aca="false">IFERROR(INDEX('كشف الحساب'!$C$4:$C$203,MATCH(40,'كشف الحساب'!$L$4:$L$203,0)),"")</f>
        <v>افوبيا عدد 2 الحبه .750</v>
      </c>
      <c r="D44" s="20" t="s">
        <v>6</v>
      </c>
      <c r="E44" s="21" t="n">
        <f aca="false">IFERROR(INDEX('كشف الحساب'!$E$4:$E$203,MATCH(40,'كشف الحساب'!$L$4:$L$203,0)),"")</f>
        <v>1.5</v>
      </c>
      <c r="F44" s="22" t="str">
        <f aca="false">IFERROR(INDEX('كشف الحساب'!$F$4:$F$203,MATCH(40,'كشف الحساب'!$L$4:$L$203,0)),"")</f>
        <v>نقداً</v>
      </c>
      <c r="G44" s="23"/>
      <c r="H44" s="1" t="str">
        <f aca="false">IF(AND(OR('طباعة المحفظة'!$C$2="الكل",IFERROR(MONTH(A44),0)=IFERROR(MATCH('طباعة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المحفظة'!$F$2="الكل",IFERROR(YEAR(A44),0)=IFERROR(VALUE('طباعة المحفظة'!$F$2),0)),A44&lt;&gt;""),IFERROR(MAX($H$5:H43),0)+1,"")</f>
        <v/>
      </c>
    </row>
    <row r="45" customFormat="false" ht="18" hidden="false" customHeight="true" outlineLevel="0" collapsed="false">
      <c r="A45" s="10" t="n">
        <f aca="false">IFERROR(INDEX('كشف الحساب'!$A$4:$A$203,MATCH(41,'كشف الحساب'!$L$4:$L$203,0)),"")</f>
        <v>46175</v>
      </c>
      <c r="B45" s="11" t="str">
        <f aca="false">IFERROR(INDEX('كشف الحساب'!$B$4:$B$203,MATCH(41,'كشف الحساب'!$L$4:$L$203,0)),"")</f>
        <v>Inv-56</v>
      </c>
      <c r="C45" s="12" t="str">
        <f aca="false">IFERROR(INDEX('كشف الحساب'!$C$4:$C$203,MATCH(41,'كشف الحساب'!$L$4:$L$203,0)),"")</f>
        <v>دارسينا سوداء عدد 3 الحبه 1</v>
      </c>
      <c r="D45" s="13" t="s">
        <v>6</v>
      </c>
      <c r="E45" s="14" t="n">
        <f aca="false">IFERROR(INDEX('كشف الحساب'!$E$4:$E$203,MATCH(41,'كشف الحساب'!$L$4:$L$203,0)),"")</f>
        <v>3</v>
      </c>
      <c r="F45" s="15" t="str">
        <f aca="false">IFERROR(INDEX('كشف الحساب'!$F$4:$F$203,MATCH(41,'كشف الحساب'!$L$4:$L$203,0)),"")</f>
        <v>نقداً</v>
      </c>
      <c r="G45" s="16"/>
      <c r="H45" s="1" t="str">
        <f aca="false">IF(AND(OR('طباعة المحفظة'!$C$2="الكل",IFERROR(MONTH(A45),0)=IFERROR(MATCH('طباعة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المحفظة'!$F$2="الكل",IFERROR(YEAR(A45),0)=IFERROR(VALUE('طباعة المحفظة'!$F$2),0)),A45&lt;&gt;""),IFERROR(MAX($H$5:H44),0)+1,"")</f>
        <v/>
      </c>
    </row>
    <row r="46" customFormat="false" ht="18" hidden="false" customHeight="true" outlineLevel="0" collapsed="false">
      <c r="A46" s="17" t="n">
        <f aca="false">IFERROR(INDEX('كشف الحساب'!$A$4:$A$203,MATCH(42,'كشف الحساب'!$L$4:$L$203,0)),"")</f>
        <v>46177</v>
      </c>
      <c r="B46" s="18" t="str">
        <f aca="false">IFERROR(INDEX('كشف الحساب'!$B$4:$B$203,MATCH(42,'كشف الحساب'!$L$4:$L$203,0)),"")</f>
        <v>inv-57</v>
      </c>
      <c r="C46" s="19" t="str">
        <f aca="false">IFERROR(INDEX('كشف الحساب'!$C$4:$C$203,MATCH(42,'كشف الحساب'!$L$4:$L$203,0)),"")</f>
        <v>فوزير عدد1 قيمه 1</v>
      </c>
      <c r="D46" s="20" t="s">
        <v>6</v>
      </c>
      <c r="E46" s="21" t="n">
        <f aca="false">IFERROR(INDEX('كشف الحساب'!$E$4:$E$203,MATCH(42,'كشف الحساب'!$L$4:$L$203,0)),"")</f>
        <v>1</v>
      </c>
      <c r="F46" s="22" t="str">
        <f aca="false">IFERROR(INDEX('كشف الحساب'!$F$4:$F$203,MATCH(42,'كشف الحساب'!$L$4:$L$203,0)),"")</f>
        <v>نقداً</v>
      </c>
      <c r="G46" s="23"/>
      <c r="H46" s="1" t="str">
        <f aca="false">IF(AND(OR('طباعة المحفظة'!$C$2="الكل",IFERROR(MONTH(A46),0)=IFERROR(MATCH('طباعة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المحفظة'!$F$2="الكل",IFERROR(YEAR(A46),0)=IFERROR(VALUE('طباعة المحفظة'!$F$2),0)),A46&lt;&gt;""),IFERROR(MAX($H$5:H45),0)+1,"")</f>
        <v/>
      </c>
    </row>
    <row r="47" customFormat="false" ht="18" hidden="false" customHeight="true" outlineLevel="0" collapsed="false">
      <c r="A47" s="10" t="n">
        <f aca="false">IFERROR(INDEX('كشف الحساب'!$A$4:$A$203,MATCH(43,'كشف الحساب'!$L$4:$L$203,0)),"")</f>
        <v>46177</v>
      </c>
      <c r="B47" s="11" t="n">
        <f aca="false">IFERROR(INDEX('كشف الحساب'!$B$4:$B$203,MATCH(43,'كشف الحساب'!$L$4:$L$203,0)),"")</f>
        <v>0</v>
      </c>
      <c r="C47" s="12" t="str">
        <f aca="false">IFERROR(INDEX('كشف الحساب'!$C$4:$C$203,MATCH(43,'كشف الحساب'!$L$4:$L$203,0)),"")</f>
        <v>سماد</v>
      </c>
      <c r="D47" s="13" t="s">
        <v>6</v>
      </c>
      <c r="E47" s="14" t="n">
        <f aca="false">IFERROR(INDEX('كشف الحساب'!$E$4:$E$203,MATCH(43,'كشف الحساب'!$L$4:$L$203,0)),"")</f>
        <v>0</v>
      </c>
      <c r="F47" s="15" t="str">
        <f aca="false">IFERROR(INDEX('كشف الحساب'!$F$4:$F$203,MATCH(43,'كشف الحساب'!$L$4:$L$203,0)),"")</f>
        <v>نقداً</v>
      </c>
      <c r="G47" s="16"/>
      <c r="H47" s="1" t="str">
        <f aca="false">IF(AND(OR('طباعة المحفظة'!$C$2="الكل",IFERROR(MONTH(A47),0)=IFERROR(MATCH('طباعة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المحفظة'!$F$2="الكل",IFERROR(YEAR(A47),0)=IFERROR(VALUE('طباعة المحفظة'!$F$2),0)),A47&lt;&gt;""),IFERROR(MAX($H$5:H46),0)+1,"")</f>
        <v/>
      </c>
    </row>
    <row r="48" customFormat="false" ht="18" hidden="false" customHeight="true" outlineLevel="0" collapsed="false">
      <c r="A48" s="17" t="n">
        <f aca="false">IFERROR(INDEX('كشف الحساب'!$A$4:$A$203,MATCH(44,'كشف الحساب'!$L$4:$L$203,0)),"")</f>
        <v>46179</v>
      </c>
      <c r="B48" s="18" t="str">
        <f aca="false">IFERROR(INDEX('كشف الحساب'!$B$4:$B$203,MATCH(44,'كشف الحساب'!$L$4:$L$203,0)),"")</f>
        <v>Inv-59</v>
      </c>
      <c r="C48" s="19" t="str">
        <f aca="false">IFERROR(INDEX('كشف الحساب'!$C$4:$C$203,MATCH(44,'كشف الحساب'!$L$4:$L$203,0)),"")</f>
        <v>ودليه عدد 1 بقيمه 1</v>
      </c>
      <c r="D48" s="20" t="s">
        <v>6</v>
      </c>
      <c r="E48" s="21" t="n">
        <f aca="false">IFERROR(INDEX('كشف الحساب'!$E$4:$E$203,MATCH(44,'كشف الحساب'!$L$4:$L$203,0)),"")</f>
        <v>1</v>
      </c>
      <c r="F48" s="22" t="str">
        <f aca="false">IFERROR(INDEX('كشف الحساب'!$F$4:$F$203,MATCH(44,'كشف الحساب'!$L$4:$L$203,0)),"")</f>
        <v>نقداً</v>
      </c>
      <c r="G48" s="23"/>
      <c r="H48" s="1" t="str">
        <f aca="false">IF(AND(OR('طباعة المحفظة'!$C$2="الكل",IFERROR(MONTH(A48),0)=IFERROR(MATCH('طباعة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المحفظة'!$F$2="الكل",IFERROR(YEAR(A48),0)=IFERROR(VALUE('طباعة المحفظة'!$F$2),0)),A48&lt;&gt;""),IFERROR(MAX($H$5:H47),0)+1,"")</f>
        <v/>
      </c>
    </row>
    <row r="49" customFormat="false" ht="18" hidden="false" customHeight="true" outlineLevel="0" collapsed="false">
      <c r="A49" s="10" t="n">
        <f aca="false">IFERROR(INDEX('كشف الحساب'!$A$4:$A$203,MATCH(45,'كشف الحساب'!$L$4:$L$203,0)),"")</f>
        <v>46179</v>
      </c>
      <c r="B49" s="11" t="str">
        <f aca="false">IFERROR(INDEX('كشف الحساب'!$B$4:$B$203,MATCH(45,'كشف الحساب'!$L$4:$L$203,0)),"")</f>
        <v>Inv-60</v>
      </c>
      <c r="C49" s="12" t="str">
        <f aca="false">IFERROR(INDEX('كشف الحساب'!$C$4:$C$203,MATCH(45,'كشف الحساب'!$L$4:$L$203,0)),"")</f>
        <v>دارسينا حمراء عدد 1 بقيمه 3</v>
      </c>
      <c r="D49" s="13" t="s">
        <v>6</v>
      </c>
      <c r="E49" s="14" t="n">
        <f aca="false">IFERROR(INDEX('كشف الحساب'!$E$4:$E$203,MATCH(45,'كشف الحساب'!$L$4:$L$203,0)),"")</f>
        <v>3</v>
      </c>
      <c r="F49" s="15" t="str">
        <f aca="false">IFERROR(INDEX('كشف الحساب'!$F$4:$F$203,MATCH(45,'كشف الحساب'!$L$4:$L$203,0)),"")</f>
        <v>نقداً</v>
      </c>
      <c r="G49" s="16"/>
      <c r="H49" s="1" t="str">
        <f aca="false">IF(AND(OR('طباعة المحفظة'!$C$2="الكل",IFERROR(MONTH(A49),0)=IFERROR(MATCH('طباعة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المحفظة'!$F$2="الكل",IFERROR(YEAR(A49),0)=IFERROR(VALUE('طباعة المحفظة'!$F$2),0)),A49&lt;&gt;""),IFERROR(MAX($H$5:H48),0)+1,"")</f>
        <v/>
      </c>
    </row>
    <row r="50" customFormat="false" ht="18" hidden="false" customHeight="true" outlineLevel="0" collapsed="false">
      <c r="A50" s="17" t="n">
        <f aca="false">IFERROR(INDEX('كشف الحساب'!$A$4:$A$203,MATCH(46,'كشف الحساب'!$L$4:$L$203,0)),"")</f>
        <v>46181</v>
      </c>
      <c r="B50" s="18" t="str">
        <f aca="false">IFERROR(INDEX('كشف الحساب'!$B$4:$B$203,MATCH(46,'كشف الحساب'!$L$4:$L$203,0)),"")</f>
        <v>Inv-61</v>
      </c>
      <c r="C50" s="19" t="str">
        <f aca="false">IFERROR(INDEX('كشف الحساب'!$C$4:$C$203,MATCH(46,'كشف الحساب'!$L$4:$L$203,0)),"")</f>
        <v>فل عدد 20 بقيمه 0.750</v>
      </c>
      <c r="D50" s="20" t="s">
        <v>6</v>
      </c>
      <c r="E50" s="21" t="n">
        <f aca="false">IFERROR(INDEX('كشف الحساب'!$E$4:$E$203,MATCH(46,'كشف الحساب'!$L$4:$L$203,0)),"")</f>
        <v>15</v>
      </c>
      <c r="F50" s="22" t="str">
        <f aca="false">IFERROR(INDEX('كشف الحساب'!$F$4:$F$203,MATCH(46,'كشف الحساب'!$L$4:$L$203,0)),"")</f>
        <v>نقداً</v>
      </c>
      <c r="G50" s="23"/>
      <c r="H50" s="1" t="str">
        <f aca="false">IF(AND(OR('طباعة المحفظة'!$C$2="الكل",IFERROR(MONTH(A50),0)=IFERROR(MATCH('طباعة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المحفظة'!$F$2="الكل",IFERROR(YEAR(A50),0)=IFERROR(VALUE('طباعة المحفظة'!$F$2),0)),A50&lt;&gt;""),IFERROR(MAX($H$5:H49),0)+1,"")</f>
        <v/>
      </c>
    </row>
    <row r="51" customFormat="false" ht="18" hidden="false" customHeight="true" outlineLevel="0" collapsed="false">
      <c r="A51" s="10" t="n">
        <f aca="false">IFERROR(INDEX('كشف الحساب'!$A$4:$A$203,MATCH(47,'كشف الحساب'!$L$4:$L$203,0)),"")</f>
        <v>46181</v>
      </c>
      <c r="B51" s="11" t="n">
        <f aca="false">IFERROR(INDEX('كشف الحساب'!$B$4:$B$203,MATCH(47,'كشف الحساب'!$L$4:$L$203,0)),"")</f>
        <v>0</v>
      </c>
      <c r="C51" s="12" t="str">
        <f aca="false">IFERROR(INDEX('كشف الحساب'!$C$4:$C$203,MATCH(47,'كشف الحساب'!$L$4:$L$203,0)),"")</f>
        <v>اسمنت اسود للمحميه الصغيره الجديده</v>
      </c>
      <c r="D51" s="13" t="s">
        <v>6</v>
      </c>
      <c r="E51" s="14" t="n">
        <f aca="false">IFERROR(INDEX('كشف الحساب'!$E$4:$E$203,MATCH(47,'كشف الحساب'!$L$4:$L$203,0)),"")</f>
        <v>0</v>
      </c>
      <c r="F51" s="15" t="str">
        <f aca="false">IFERROR(INDEX('كشف الحساب'!$F$4:$F$203,MATCH(47,'كشف الحساب'!$L$4:$L$203,0)),"")</f>
        <v>نقداً</v>
      </c>
      <c r="G51" s="16"/>
      <c r="H51" s="1" t="str">
        <f aca="false">IF(AND(OR('طباعة المحفظة'!$C$2="الكل",IFERROR(MONTH(A51),0)=IFERROR(MATCH('طباعة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المحفظة'!$F$2="الكل",IFERROR(YEAR(A51),0)=IFERROR(VALUE('طباعة المحفظة'!$F$2),0)),A51&lt;&gt;""),IFERROR(MAX($H$5:H50),0)+1,"")</f>
        <v/>
      </c>
    </row>
    <row r="52" customFormat="false" ht="18" hidden="false" customHeight="true" outlineLevel="0" collapsed="false">
      <c r="A52" s="17" t="n">
        <f aca="false">IFERROR(INDEX('كشف الحساب'!$A$4:$A$203,MATCH(48,'كشف الحساب'!$L$4:$L$203,0)),"")</f>
        <v>0</v>
      </c>
      <c r="B52" s="18" t="n">
        <f aca="false">IFERROR(INDEX('كشف الحساب'!$B$4:$B$203,MATCH(48,'كشف الحساب'!$L$4:$L$203,0)),"")</f>
        <v>0</v>
      </c>
      <c r="C52" s="19" t="n">
        <f aca="false">IFERROR(INDEX('كشف الحساب'!$C$4:$C$203,MATCH(48,'كشف الحساب'!$L$4:$L$203,0)),"")</f>
        <v>0</v>
      </c>
      <c r="D52" s="20" t="s">
        <v>6</v>
      </c>
      <c r="E52" s="21" t="n">
        <f aca="false">IFERROR(INDEX('كشف الحساب'!$E$4:$E$203,MATCH(48,'كشف الحساب'!$L$4:$L$203,0)),"")</f>
        <v>0</v>
      </c>
      <c r="F52" s="22" t="n">
        <f aca="false">IFERROR(INDEX('كشف الحساب'!$F$4:$F$203,MATCH(48,'كشف الحساب'!$L$4:$L$203,0)),"")</f>
        <v>0</v>
      </c>
      <c r="G52" s="23"/>
      <c r="H52" s="1" t="str">
        <f aca="false">IF(AND(OR('طباعة المحفظة'!$C$2="الكل",IFERROR(MONTH(A52),0)=IFERROR(MATCH('طباعة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المحفظة'!$F$2="الكل",IFERROR(YEAR(A52),0)=IFERROR(VALUE('طباعة المحفظة'!$F$2),0)),A52&lt;&gt;""),IFERROR(MAX($H$5:H51),0)+1,"")</f>
        <v/>
      </c>
    </row>
    <row r="53" customFormat="false" ht="18" hidden="false" customHeight="true" outlineLevel="0" collapsed="false">
      <c r="A53" s="10" t="str">
        <f aca="false">IFERROR(INDEX('كشف الحساب'!$A$4:$A$203,MATCH(49,'كشف الحساب'!$L$4:$L$203,0)),"")</f>
        <v/>
      </c>
      <c r="B53" s="11" t="str">
        <f aca="false">IFERROR(INDEX('كشف الحساب'!$B$4:$B$203,MATCH(49,'كشف الحساب'!$L$4:$L$203,0)),"")</f>
        <v/>
      </c>
      <c r="C53" s="12" t="str">
        <f aca="false">IFERROR(INDEX('كشف الحساب'!$C$4:$C$203,MATCH(49,'كشف الحساب'!$L$4:$L$203,0)),"")</f>
        <v/>
      </c>
      <c r="D53" s="13" t="s">
        <v>6</v>
      </c>
      <c r="E53" s="14" t="str">
        <f aca="false">IFERROR(INDEX('كشف الحساب'!$E$4:$E$203,MATCH(49,'كشف الحساب'!$L$4:$L$203,0)),"")</f>
        <v/>
      </c>
      <c r="F53" s="15" t="str">
        <f aca="false">IFERROR(INDEX('كشف الحساب'!$F$4:$F$203,MATCH(49,'كشف الحساب'!$L$4:$L$203,0)),"")</f>
        <v/>
      </c>
      <c r="G53" s="16"/>
      <c r="H53" s="1" t="str">
        <f aca="false">IF(AND(OR('طباعة المحفظة'!$C$2="الكل",IFERROR(MONTH(A53),0)=IFERROR(MATCH('طباعة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المحفظة'!$F$2="الكل",IFERROR(YEAR(A53),0)=IFERROR(VALUE('طباعة المحفظة'!$F$2),0)),A53&lt;&gt;""),IFERROR(MAX($H$5:H52),0)+1,"")</f>
        <v/>
      </c>
    </row>
    <row r="54" customFormat="false" ht="18" hidden="false" customHeight="true" outlineLevel="0" collapsed="false">
      <c r="A54" s="17" t="str">
        <f aca="false">IFERROR(INDEX('كشف الحساب'!$A$4:$A$203,MATCH(50,'كشف الحساب'!$L$4:$L$203,0)),"")</f>
        <v/>
      </c>
      <c r="B54" s="18" t="str">
        <f aca="false">IFERROR(INDEX('كشف الحساب'!$B$4:$B$203,MATCH(50,'كشف الحساب'!$L$4:$L$203,0)),"")</f>
        <v/>
      </c>
      <c r="C54" s="19" t="str">
        <f aca="false">IFERROR(INDEX('كشف الحساب'!$C$4:$C$203,MATCH(50,'كشف الحساب'!$L$4:$L$203,0)),"")</f>
        <v/>
      </c>
      <c r="D54" s="20" t="s">
        <v>6</v>
      </c>
      <c r="E54" s="21" t="str">
        <f aca="false">IFERROR(INDEX('كشف الحساب'!$E$4:$E$203,MATCH(50,'كشف الحساب'!$L$4:$L$203,0)),"")</f>
        <v/>
      </c>
      <c r="F54" s="22" t="str">
        <f aca="false">IFERROR(INDEX('كشف الحساب'!$F$4:$F$203,MATCH(50,'كشف الحساب'!$L$4:$L$203,0)),"")</f>
        <v/>
      </c>
      <c r="G54" s="23"/>
      <c r="H54" s="1" t="str">
        <f aca="false">IF(AND(OR('طباعة المحفظة'!$C$2="الكل",IFERROR(MONTH(A54),0)=IFERROR(MATCH('طباعة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المحفظة'!$F$2="الكل",IFERROR(YEAR(A54),0)=IFERROR(VALUE('طباعة المحفظة'!$F$2),0)),A54&lt;&gt;""),IFERROR(MAX($H$5:H53),0)+1,"")</f>
        <v/>
      </c>
    </row>
    <row r="55" customFormat="false" ht="18" hidden="false" customHeight="true" outlineLevel="0" collapsed="false">
      <c r="A55" s="10" t="str">
        <f aca="false">IFERROR(INDEX('كشف الحساب'!$A$4:$A$203,MATCH(51,'كشف الحساب'!$L$4:$L$203,0)),"")</f>
        <v/>
      </c>
      <c r="B55" s="11" t="str">
        <f aca="false">IFERROR(INDEX('كشف الحساب'!$B$4:$B$203,MATCH(51,'كشف الحساب'!$L$4:$L$203,0)),"")</f>
        <v/>
      </c>
      <c r="C55" s="12" t="str">
        <f aca="false">IFERROR(INDEX('كشف الحساب'!$C$4:$C$203,MATCH(51,'كشف الحساب'!$L$4:$L$203,0)),"")</f>
        <v/>
      </c>
      <c r="D55" s="13" t="s">
        <v>6</v>
      </c>
      <c r="E55" s="14" t="str">
        <f aca="false">IFERROR(INDEX('كشف الحساب'!$E$4:$E$203,MATCH(51,'كشف الحساب'!$L$4:$L$203,0)),"")</f>
        <v/>
      </c>
      <c r="F55" s="15" t="str">
        <f aca="false">IFERROR(INDEX('كشف الحساب'!$F$4:$F$203,MATCH(51,'كشف الحساب'!$L$4:$L$203,0)),"")</f>
        <v/>
      </c>
      <c r="G55" s="16"/>
      <c r="H55" s="1" t="str">
        <f aca="false">IF(AND(OR('طباعة المحفظة'!$C$2="الكل",IFERROR(MONTH(A55),0)=IFERROR(MATCH('طباعة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المحفظة'!$F$2="الكل",IFERROR(YEAR(A55),0)=IFERROR(VALUE('طباعة المحفظة'!$F$2),0)),A55&lt;&gt;""),IFERROR(MAX($H$5:H54),0)+1,"")</f>
        <v/>
      </c>
    </row>
    <row r="56" customFormat="false" ht="18" hidden="false" customHeight="true" outlineLevel="0" collapsed="false">
      <c r="A56" s="17" t="str">
        <f aca="false">IFERROR(INDEX('كشف الحساب'!$A$4:$A$203,MATCH(52,'كشف الحساب'!$L$4:$L$203,0)),"")</f>
        <v/>
      </c>
      <c r="B56" s="18" t="str">
        <f aca="false">IFERROR(INDEX('كشف الحساب'!$B$4:$B$203,MATCH(52,'كشف الحساب'!$L$4:$L$203,0)),"")</f>
        <v/>
      </c>
      <c r="C56" s="19" t="str">
        <f aca="false">IFERROR(INDEX('كشف الحساب'!$C$4:$C$203,MATCH(52,'كشف الحساب'!$L$4:$L$203,0)),"")</f>
        <v/>
      </c>
      <c r="D56" s="20" t="s">
        <v>6</v>
      </c>
      <c r="E56" s="21" t="str">
        <f aca="false">IFERROR(INDEX('كشف الحساب'!$E$4:$E$203,MATCH(52,'كشف الحساب'!$L$4:$L$203,0)),"")</f>
        <v/>
      </c>
      <c r="F56" s="22" t="str">
        <f aca="false">IFERROR(INDEX('كشف الحساب'!$F$4:$F$203,MATCH(52,'كشف الحساب'!$L$4:$L$203,0)),"")</f>
        <v/>
      </c>
      <c r="G56" s="23"/>
      <c r="H56" s="1" t="str">
        <f aca="false">IF(AND(OR('طباعة المحفظة'!$C$2="الكل",IFERROR(MONTH(A56),0)=IFERROR(MATCH('طباعة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المحفظة'!$F$2="الكل",IFERROR(YEAR(A56),0)=IFERROR(VALUE('طباعة المحفظة'!$F$2),0)),A56&lt;&gt;""),IFERROR(MAX($H$5:H55),0)+1,"")</f>
        <v/>
      </c>
    </row>
    <row r="57" customFormat="false" ht="18" hidden="false" customHeight="true" outlineLevel="0" collapsed="false">
      <c r="A57" s="10" t="str">
        <f aca="false">IFERROR(INDEX('كشف الحساب'!$A$4:$A$203,MATCH(53,'كشف الحساب'!$L$4:$L$203,0)),"")</f>
        <v/>
      </c>
      <c r="B57" s="11" t="str">
        <f aca="false">IFERROR(INDEX('كشف الحساب'!$B$4:$B$203,MATCH(53,'كشف الحساب'!$L$4:$L$203,0)),"")</f>
        <v/>
      </c>
      <c r="C57" s="12" t="str">
        <f aca="false">IFERROR(INDEX('كشف الحساب'!$C$4:$C$203,MATCH(53,'كشف الحساب'!$L$4:$L$203,0)),"")</f>
        <v/>
      </c>
      <c r="D57" s="13" t="s">
        <v>6</v>
      </c>
      <c r="E57" s="14" t="str">
        <f aca="false">IFERROR(INDEX('كشف الحساب'!$E$4:$E$203,MATCH(53,'كشف الحساب'!$L$4:$L$203,0)),"")</f>
        <v/>
      </c>
      <c r="F57" s="15" t="str">
        <f aca="false">IFERROR(INDEX('كشف الحساب'!$F$4:$F$203,MATCH(53,'كشف الحساب'!$L$4:$L$203,0)),"")</f>
        <v/>
      </c>
      <c r="G57" s="16"/>
      <c r="H57" s="1" t="str">
        <f aca="false">IF(AND(OR('طباعة المحفظة'!$C$2="الكل",IFERROR(MONTH(A57),0)=IFERROR(MATCH('طباعة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المحفظة'!$F$2="الكل",IFERROR(YEAR(A57),0)=IFERROR(VALUE('طباعة المحفظة'!$F$2),0)),A57&lt;&gt;""),IFERROR(MAX($H$5:H56),0)+1,"")</f>
        <v/>
      </c>
    </row>
    <row r="58" customFormat="false" ht="18" hidden="false" customHeight="true" outlineLevel="0" collapsed="false">
      <c r="A58" s="17" t="str">
        <f aca="false">IFERROR(INDEX('كشف الحساب'!$A$4:$A$203,MATCH(54,'كشف الحساب'!$L$4:$L$203,0)),"")</f>
        <v/>
      </c>
      <c r="B58" s="18" t="str">
        <f aca="false">IFERROR(INDEX('كشف الحساب'!$B$4:$B$203,MATCH(54,'كشف الحساب'!$L$4:$L$203,0)),"")</f>
        <v/>
      </c>
      <c r="C58" s="19" t="str">
        <f aca="false">IFERROR(INDEX('كشف الحساب'!$C$4:$C$203,MATCH(54,'كشف الحساب'!$L$4:$L$203,0)),"")</f>
        <v/>
      </c>
      <c r="D58" s="20" t="s">
        <v>6</v>
      </c>
      <c r="E58" s="21" t="str">
        <f aca="false">IFERROR(INDEX('كشف الحساب'!$E$4:$E$203,MATCH(54,'كشف الحساب'!$L$4:$L$203,0)),"")</f>
        <v/>
      </c>
      <c r="F58" s="22" t="str">
        <f aca="false">IFERROR(INDEX('كشف الحساب'!$F$4:$F$203,MATCH(54,'كشف الحساب'!$L$4:$L$203,0)),"")</f>
        <v/>
      </c>
      <c r="G58" s="23"/>
      <c r="H58" s="1" t="str">
        <f aca="false">IF(AND(OR('طباعة المحفظة'!$C$2="الكل",IFERROR(MONTH(A58),0)=IFERROR(MATCH('طباعة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المحفظة'!$F$2="الكل",IFERROR(YEAR(A58),0)=IFERROR(VALUE('طباعة المحفظة'!$F$2),0)),A58&lt;&gt;""),IFERROR(MAX($H$5:H57),0)+1,"")</f>
        <v/>
      </c>
    </row>
    <row r="59" customFormat="false" ht="18" hidden="false" customHeight="true" outlineLevel="0" collapsed="false">
      <c r="A59" s="10" t="str">
        <f aca="false">IFERROR(INDEX('كشف الحساب'!$A$4:$A$203,MATCH(55,'كشف الحساب'!$L$4:$L$203,0)),"")</f>
        <v/>
      </c>
      <c r="B59" s="11" t="str">
        <f aca="false">IFERROR(INDEX('كشف الحساب'!$B$4:$B$203,MATCH(55,'كشف الحساب'!$L$4:$L$203,0)),"")</f>
        <v/>
      </c>
      <c r="C59" s="12" t="str">
        <f aca="false">IFERROR(INDEX('كشف الحساب'!$C$4:$C$203,MATCH(55,'كشف الحساب'!$L$4:$L$203,0)),"")</f>
        <v/>
      </c>
      <c r="D59" s="13" t="s">
        <v>6</v>
      </c>
      <c r="E59" s="14" t="str">
        <f aca="false">IFERROR(INDEX('كشف الحساب'!$E$4:$E$203,MATCH(55,'كشف الحساب'!$L$4:$L$203,0)),"")</f>
        <v/>
      </c>
      <c r="F59" s="15" t="str">
        <f aca="false">IFERROR(INDEX('كشف الحساب'!$F$4:$F$203,MATCH(55,'كشف الحساب'!$L$4:$L$203,0)),"")</f>
        <v/>
      </c>
      <c r="G59" s="16"/>
      <c r="H59" s="1" t="str">
        <f aca="false">IF(AND(OR('طباعة المحفظة'!$C$2="الكل",IFERROR(MONTH(A59),0)=IFERROR(MATCH('طباعة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المحفظة'!$F$2="الكل",IFERROR(YEAR(A59),0)=IFERROR(VALUE('طباعة المحفظة'!$F$2),0)),A59&lt;&gt;""),IFERROR(MAX($H$5:H58),0)+1,"")</f>
        <v/>
      </c>
    </row>
    <row r="60" customFormat="false" ht="18" hidden="false" customHeight="true" outlineLevel="0" collapsed="false">
      <c r="A60" s="17" t="str">
        <f aca="false">IFERROR(INDEX('كشف الحساب'!$A$4:$A$203,MATCH(56,'كشف الحساب'!$L$4:$L$203,0)),"")</f>
        <v/>
      </c>
      <c r="B60" s="18" t="str">
        <f aca="false">IFERROR(INDEX('كشف الحساب'!$B$4:$B$203,MATCH(56,'كشف الحساب'!$L$4:$L$203,0)),"")</f>
        <v/>
      </c>
      <c r="C60" s="19" t="str">
        <f aca="false">IFERROR(INDEX('كشف الحساب'!$C$4:$C$203,MATCH(56,'كشف الحساب'!$L$4:$L$203,0)),"")</f>
        <v/>
      </c>
      <c r="D60" s="20" t="s">
        <v>6</v>
      </c>
      <c r="E60" s="21" t="str">
        <f aca="false">IFERROR(INDEX('كشف الحساب'!$E$4:$E$203,MATCH(56,'كشف الحساب'!$L$4:$L$203,0)),"")</f>
        <v/>
      </c>
      <c r="F60" s="22" t="str">
        <f aca="false">IFERROR(INDEX('كشف الحساب'!$F$4:$F$203,MATCH(56,'كشف الحساب'!$L$4:$L$203,0)),"")</f>
        <v/>
      </c>
      <c r="G60" s="23"/>
      <c r="H60" s="1" t="str">
        <f aca="false">IF(AND(OR('طباعة المحفظة'!$C$2="الكل",IFERROR(MONTH(A60),0)=IFERROR(MATCH('طباعة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المحفظة'!$F$2="الكل",IFERROR(YEAR(A60),0)=IFERROR(VALUE('طباعة المحفظة'!$F$2),0)),A60&lt;&gt;""),IFERROR(MAX($H$5:H59),0)+1,"")</f>
        <v/>
      </c>
    </row>
    <row r="61" customFormat="false" ht="18" hidden="false" customHeight="true" outlineLevel="0" collapsed="false">
      <c r="A61" s="10" t="str">
        <f aca="false">IFERROR(INDEX('كشف الحساب'!$A$4:$A$203,MATCH(57,'كشف الحساب'!$L$4:$L$203,0)),"")</f>
        <v/>
      </c>
      <c r="B61" s="11" t="str">
        <f aca="false">IFERROR(INDEX('كشف الحساب'!$B$4:$B$203,MATCH(57,'كشف الحساب'!$L$4:$L$203,0)),"")</f>
        <v/>
      </c>
      <c r="C61" s="12" t="str">
        <f aca="false">IFERROR(INDEX('كشف الحساب'!$C$4:$C$203,MATCH(57,'كشف الحساب'!$L$4:$L$203,0)),"")</f>
        <v/>
      </c>
      <c r="D61" s="13" t="s">
        <v>6</v>
      </c>
      <c r="E61" s="14" t="str">
        <f aca="false">IFERROR(INDEX('كشف الحساب'!$E$4:$E$203,MATCH(57,'كشف الحساب'!$L$4:$L$203,0)),"")</f>
        <v/>
      </c>
      <c r="F61" s="15" t="str">
        <f aca="false">IFERROR(INDEX('كشف الحساب'!$F$4:$F$203,MATCH(57,'كشف الحساب'!$L$4:$L$203,0)),"")</f>
        <v/>
      </c>
      <c r="G61" s="16"/>
      <c r="H61" s="1" t="str">
        <f aca="false">IF(AND(OR('طباعة المحفظة'!$C$2="الكل",IFERROR(MONTH(A61),0)=IFERROR(MATCH('طباعة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المحفظة'!$F$2="الكل",IFERROR(YEAR(A61),0)=IFERROR(VALUE('طباعة المحفظة'!$F$2),0)),A61&lt;&gt;""),IFERROR(MAX($H$5:H60),0)+1,"")</f>
        <v/>
      </c>
    </row>
    <row r="62" customFormat="false" ht="18" hidden="false" customHeight="true" outlineLevel="0" collapsed="false">
      <c r="A62" s="17" t="str">
        <f aca="false">IFERROR(INDEX('كشف الحساب'!$A$4:$A$203,MATCH(58,'كشف الحساب'!$L$4:$L$203,0)),"")</f>
        <v/>
      </c>
      <c r="B62" s="18" t="str">
        <f aca="false">IFERROR(INDEX('كشف الحساب'!$B$4:$B$203,MATCH(58,'كشف الحساب'!$L$4:$L$203,0)),"")</f>
        <v/>
      </c>
      <c r="C62" s="19" t="str">
        <f aca="false">IFERROR(INDEX('كشف الحساب'!$C$4:$C$203,MATCH(58,'كشف الحساب'!$L$4:$L$203,0)),"")</f>
        <v/>
      </c>
      <c r="D62" s="20" t="s">
        <v>6</v>
      </c>
      <c r="E62" s="21" t="str">
        <f aca="false">IFERROR(INDEX('كشف الحساب'!$E$4:$E$203,MATCH(58,'كشف الحساب'!$L$4:$L$203,0)),"")</f>
        <v/>
      </c>
      <c r="F62" s="22" t="str">
        <f aca="false">IFERROR(INDEX('كشف الحساب'!$F$4:$F$203,MATCH(58,'كشف الحساب'!$L$4:$L$203,0)),"")</f>
        <v/>
      </c>
      <c r="G62" s="23"/>
      <c r="H62" s="1" t="str">
        <f aca="false">IF(AND(OR('طباعة المحفظة'!$C$2="الكل",IFERROR(MONTH(A62),0)=IFERROR(MATCH('طباعة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المحفظة'!$F$2="الكل",IFERROR(YEAR(A62),0)=IFERROR(VALUE('طباعة المحفظة'!$F$2),0)),A62&lt;&gt;""),IFERROR(MAX($H$5:H61),0)+1,"")</f>
        <v/>
      </c>
    </row>
    <row r="63" customFormat="false" ht="18" hidden="false" customHeight="true" outlineLevel="0" collapsed="false">
      <c r="A63" s="10" t="str">
        <f aca="false">IFERROR(INDEX('كشف الحساب'!$A$4:$A$203,MATCH(59,'كشف الحساب'!$L$4:$L$203,0)),"")</f>
        <v/>
      </c>
      <c r="B63" s="11" t="str">
        <f aca="false">IFERROR(INDEX('كشف الحساب'!$B$4:$B$203,MATCH(59,'كشف الحساب'!$L$4:$L$203,0)),"")</f>
        <v/>
      </c>
      <c r="C63" s="12" t="str">
        <f aca="false">IFERROR(INDEX('كشف الحساب'!$C$4:$C$203,MATCH(59,'كشف الحساب'!$L$4:$L$203,0)),"")</f>
        <v/>
      </c>
      <c r="D63" s="13" t="s">
        <v>6</v>
      </c>
      <c r="E63" s="14" t="str">
        <f aca="false">IFERROR(INDEX('كشف الحساب'!$E$4:$E$203,MATCH(59,'كشف الحساب'!$L$4:$L$203,0)),"")</f>
        <v/>
      </c>
      <c r="F63" s="15" t="str">
        <f aca="false">IFERROR(INDEX('كشف الحساب'!$F$4:$F$203,MATCH(59,'كشف الحساب'!$L$4:$L$203,0)),"")</f>
        <v/>
      </c>
      <c r="G63" s="16"/>
      <c r="H63" s="1" t="str">
        <f aca="false">IF(AND(OR('طباعة المحفظة'!$C$2="الكل",IFERROR(MONTH(A63),0)=IFERROR(MATCH('طباعة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المحفظة'!$F$2="الكل",IFERROR(YEAR(A63),0)=IFERROR(VALUE('طباعة المحفظة'!$F$2),0)),A63&lt;&gt;""),IFERROR(MAX($H$5:H62),0)+1,"")</f>
        <v/>
      </c>
    </row>
    <row r="64" customFormat="false" ht="18" hidden="false" customHeight="true" outlineLevel="0" collapsed="false">
      <c r="A64" s="17" t="str">
        <f aca="false">IFERROR(INDEX('كشف الحساب'!$A$4:$A$203,MATCH(60,'كشف الحساب'!$L$4:$L$203,0)),"")</f>
        <v/>
      </c>
      <c r="B64" s="18" t="str">
        <f aca="false">IFERROR(INDEX('كشف الحساب'!$B$4:$B$203,MATCH(60,'كشف الحساب'!$L$4:$L$203,0)),"")</f>
        <v/>
      </c>
      <c r="C64" s="19" t="str">
        <f aca="false">IFERROR(INDEX('كشف الحساب'!$C$4:$C$203,MATCH(60,'كشف الحساب'!$L$4:$L$203,0)),"")</f>
        <v/>
      </c>
      <c r="D64" s="20" t="s">
        <v>6</v>
      </c>
      <c r="E64" s="21" t="str">
        <f aca="false">IFERROR(INDEX('كشف الحساب'!$E$4:$E$203,MATCH(60,'كشف الحساب'!$L$4:$L$203,0)),"")</f>
        <v/>
      </c>
      <c r="F64" s="22" t="str">
        <f aca="false">IFERROR(INDEX('كشف الحساب'!$F$4:$F$203,MATCH(60,'كشف الحساب'!$L$4:$L$203,0)),"")</f>
        <v/>
      </c>
      <c r="G64" s="23"/>
      <c r="H64" s="1" t="str">
        <f aca="false">IF(AND(OR('طباعة المحفظة'!$C$2="الكل",IFERROR(MONTH(A64),0)=IFERROR(MATCH('طباعة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المحفظة'!$F$2="الكل",IFERROR(YEAR(A64),0)=IFERROR(VALUE('طباعة المحفظة'!$F$2),0)),A64&lt;&gt;""),IFERROR(MAX($H$5:H63),0)+1,"")</f>
        <v/>
      </c>
    </row>
    <row r="65" customFormat="false" ht="18" hidden="false" customHeight="true" outlineLevel="0" collapsed="false">
      <c r="A65" s="10" t="str">
        <f aca="false">IFERROR(INDEX('كشف الحساب'!$A$4:$A$203,MATCH(61,'كشف الحساب'!$L$4:$L$203,0)),"")</f>
        <v/>
      </c>
      <c r="B65" s="11" t="str">
        <f aca="false">IFERROR(INDEX('كشف الحساب'!$B$4:$B$203,MATCH(61,'كشف الحساب'!$L$4:$L$203,0)),"")</f>
        <v/>
      </c>
      <c r="C65" s="12" t="str">
        <f aca="false">IFERROR(INDEX('كشف الحساب'!$C$4:$C$203,MATCH(61,'كشف الحساب'!$L$4:$L$203,0)),"")</f>
        <v/>
      </c>
      <c r="D65" s="13" t="s">
        <v>6</v>
      </c>
      <c r="E65" s="14" t="str">
        <f aca="false">IFERROR(INDEX('كشف الحساب'!$E$4:$E$203,MATCH(61,'كشف الحساب'!$L$4:$L$203,0)),"")</f>
        <v/>
      </c>
      <c r="F65" s="15" t="str">
        <f aca="false">IFERROR(INDEX('كشف الحساب'!$F$4:$F$203,MATCH(61,'كشف الحساب'!$L$4:$L$203,0)),"")</f>
        <v/>
      </c>
      <c r="G65" s="16"/>
      <c r="H65" s="1" t="str">
        <f aca="false">IF(AND(OR('طباعة المحفظة'!$C$2="الكل",IFERROR(MONTH(A65),0)=IFERROR(MATCH('طباعة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المحفظة'!$F$2="الكل",IFERROR(YEAR(A65),0)=IFERROR(VALUE('طباعة المحفظة'!$F$2),0)),A65&lt;&gt;""),IFERROR(MAX($H$5:H64),0)+1,"")</f>
        <v/>
      </c>
    </row>
    <row r="66" customFormat="false" ht="18" hidden="false" customHeight="true" outlineLevel="0" collapsed="false">
      <c r="A66" s="17" t="str">
        <f aca="false">IFERROR(INDEX('كشف الحساب'!$A$4:$A$203,MATCH(62,'كشف الحساب'!$L$4:$L$203,0)),"")</f>
        <v/>
      </c>
      <c r="B66" s="18" t="str">
        <f aca="false">IFERROR(INDEX('كشف الحساب'!$B$4:$B$203,MATCH(62,'كشف الحساب'!$L$4:$L$203,0)),"")</f>
        <v/>
      </c>
      <c r="C66" s="19" t="str">
        <f aca="false">IFERROR(INDEX('كشف الحساب'!$C$4:$C$203,MATCH(62,'كشف الحساب'!$L$4:$L$203,0)),"")</f>
        <v/>
      </c>
      <c r="D66" s="20" t="s">
        <v>6</v>
      </c>
      <c r="E66" s="21" t="str">
        <f aca="false">IFERROR(INDEX('كشف الحساب'!$E$4:$E$203,MATCH(62,'كشف الحساب'!$L$4:$L$203,0)),"")</f>
        <v/>
      </c>
      <c r="F66" s="22" t="str">
        <f aca="false">IFERROR(INDEX('كشف الحساب'!$F$4:$F$203,MATCH(62,'كشف الحساب'!$L$4:$L$203,0)),"")</f>
        <v/>
      </c>
      <c r="G66" s="23"/>
      <c r="H66" s="1" t="str">
        <f aca="false">IF(AND(OR('طباعة المحفظة'!$C$2="الكل",IFERROR(MONTH(A66),0)=IFERROR(MATCH('طباعة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المحفظة'!$F$2="الكل",IFERROR(YEAR(A66),0)=IFERROR(VALUE('طباعة المحفظة'!$F$2),0)),A66&lt;&gt;""),IFERROR(MAX($H$5:H65),0)+1,"")</f>
        <v/>
      </c>
    </row>
    <row r="67" customFormat="false" ht="18" hidden="false" customHeight="true" outlineLevel="0" collapsed="false">
      <c r="A67" s="10" t="str">
        <f aca="false">IFERROR(INDEX('كشف الحساب'!$A$4:$A$203,MATCH(63,'كشف الحساب'!$L$4:$L$203,0)),"")</f>
        <v/>
      </c>
      <c r="B67" s="11" t="str">
        <f aca="false">IFERROR(INDEX('كشف الحساب'!$B$4:$B$203,MATCH(63,'كشف الحساب'!$L$4:$L$203,0)),"")</f>
        <v/>
      </c>
      <c r="C67" s="12" t="str">
        <f aca="false">IFERROR(INDEX('كشف الحساب'!$C$4:$C$203,MATCH(63,'كشف الحساب'!$L$4:$L$203,0)),"")</f>
        <v/>
      </c>
      <c r="D67" s="13" t="s">
        <v>6</v>
      </c>
      <c r="E67" s="14" t="str">
        <f aca="false">IFERROR(INDEX('كشف الحساب'!$E$4:$E$203,MATCH(63,'كشف الحساب'!$L$4:$L$203,0)),"")</f>
        <v/>
      </c>
      <c r="F67" s="15" t="str">
        <f aca="false">IFERROR(INDEX('كشف الحساب'!$F$4:$F$203,MATCH(63,'كشف الحساب'!$L$4:$L$203,0)),"")</f>
        <v/>
      </c>
      <c r="G67" s="16"/>
      <c r="H67" s="1" t="str">
        <f aca="false">IF(AND(OR('طباعة المحفظة'!$C$2="الكل",IFERROR(MONTH(A67),0)=IFERROR(MATCH('طباعة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المحفظة'!$F$2="الكل",IFERROR(YEAR(A67),0)=IFERROR(VALUE('طباعة المحفظة'!$F$2),0)),A67&lt;&gt;""),IFERROR(MAX($H$5:H66),0)+1,"")</f>
        <v/>
      </c>
    </row>
    <row r="68" customFormat="false" ht="18" hidden="false" customHeight="true" outlineLevel="0" collapsed="false">
      <c r="A68" s="17" t="str">
        <f aca="false">IFERROR(INDEX('كشف الحساب'!$A$4:$A$203,MATCH(64,'كشف الحساب'!$L$4:$L$203,0)),"")</f>
        <v/>
      </c>
      <c r="B68" s="18" t="str">
        <f aca="false">IFERROR(INDEX('كشف الحساب'!$B$4:$B$203,MATCH(64,'كشف الحساب'!$L$4:$L$203,0)),"")</f>
        <v/>
      </c>
      <c r="C68" s="19" t="str">
        <f aca="false">IFERROR(INDEX('كشف الحساب'!$C$4:$C$203,MATCH(64,'كشف الحساب'!$L$4:$L$203,0)),"")</f>
        <v/>
      </c>
      <c r="D68" s="20" t="s">
        <v>6</v>
      </c>
      <c r="E68" s="21" t="str">
        <f aca="false">IFERROR(INDEX('كشف الحساب'!$E$4:$E$203,MATCH(64,'كشف الحساب'!$L$4:$L$203,0)),"")</f>
        <v/>
      </c>
      <c r="F68" s="22" t="str">
        <f aca="false">IFERROR(INDEX('كشف الحساب'!$F$4:$F$203,MATCH(64,'كشف الحساب'!$L$4:$L$203,0)),"")</f>
        <v/>
      </c>
      <c r="G68" s="23"/>
      <c r="H68" s="1" t="str">
        <f aca="false">IF(AND(OR('طباعة المحفظة'!$C$2="الكل",IFERROR(MONTH(A68),0)=IFERROR(MATCH('طباعة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المحفظة'!$F$2="الكل",IFERROR(YEAR(A68),0)=IFERROR(VALUE('طباعة المحفظة'!$F$2),0)),A68&lt;&gt;""),IFERROR(MAX($H$5:H67),0)+1,"")</f>
        <v/>
      </c>
    </row>
    <row r="69" customFormat="false" ht="18" hidden="false" customHeight="true" outlineLevel="0" collapsed="false">
      <c r="A69" s="10" t="str">
        <f aca="false">IFERROR(INDEX('كشف الحساب'!$A$4:$A$203,MATCH(65,'كشف الحساب'!$L$4:$L$203,0)),"")</f>
        <v/>
      </c>
      <c r="B69" s="11" t="str">
        <f aca="false">IFERROR(INDEX('كشف الحساب'!$B$4:$B$203,MATCH(65,'كشف الحساب'!$L$4:$L$203,0)),"")</f>
        <v/>
      </c>
      <c r="C69" s="12" t="str">
        <f aca="false">IFERROR(INDEX('كشف الحساب'!$C$4:$C$203,MATCH(65,'كشف الحساب'!$L$4:$L$203,0)),"")</f>
        <v/>
      </c>
      <c r="D69" s="13" t="s">
        <v>6</v>
      </c>
      <c r="E69" s="14" t="str">
        <f aca="false">IFERROR(INDEX('كشف الحساب'!$E$4:$E$203,MATCH(65,'كشف الحساب'!$L$4:$L$203,0)),"")</f>
        <v/>
      </c>
      <c r="F69" s="15" t="str">
        <f aca="false">IFERROR(INDEX('كشف الحساب'!$F$4:$F$203,MATCH(65,'كشف الحساب'!$L$4:$L$203,0)),"")</f>
        <v/>
      </c>
      <c r="G69" s="16"/>
      <c r="H69" s="1" t="str">
        <f aca="false">IF(AND(OR('طباعة المحفظة'!$C$2="الكل",IFERROR(MONTH(A69),0)=IFERROR(MATCH('طباعة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المحفظة'!$F$2="الكل",IFERROR(YEAR(A69),0)=IFERROR(VALUE('طباعة المحفظة'!$F$2),0)),A69&lt;&gt;""),IFERROR(MAX($H$5:H68),0)+1,"")</f>
        <v/>
      </c>
    </row>
    <row r="70" customFormat="false" ht="18" hidden="false" customHeight="true" outlineLevel="0" collapsed="false">
      <c r="A70" s="17" t="str">
        <f aca="false">IFERROR(INDEX('كشف الحساب'!$A$4:$A$203,MATCH(66,'كشف الحساب'!$L$4:$L$203,0)),"")</f>
        <v/>
      </c>
      <c r="B70" s="18" t="str">
        <f aca="false">IFERROR(INDEX('كشف الحساب'!$B$4:$B$203,MATCH(66,'كشف الحساب'!$L$4:$L$203,0)),"")</f>
        <v/>
      </c>
      <c r="C70" s="19" t="str">
        <f aca="false">IFERROR(INDEX('كشف الحساب'!$C$4:$C$203,MATCH(66,'كشف الحساب'!$L$4:$L$203,0)),"")</f>
        <v/>
      </c>
      <c r="D70" s="20" t="s">
        <v>6</v>
      </c>
      <c r="E70" s="21" t="str">
        <f aca="false">IFERROR(INDEX('كشف الحساب'!$E$4:$E$203,MATCH(66,'كشف الحساب'!$L$4:$L$203,0)),"")</f>
        <v/>
      </c>
      <c r="F70" s="22" t="str">
        <f aca="false">IFERROR(INDEX('كشف الحساب'!$F$4:$F$203,MATCH(66,'كشف الحساب'!$L$4:$L$203,0)),"")</f>
        <v/>
      </c>
      <c r="G70" s="23"/>
      <c r="H70" s="1" t="str">
        <f aca="false">IF(AND(OR('طباعة المحفظة'!$C$2="الكل",IFERROR(MONTH(A70),0)=IFERROR(MATCH('طباعة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المحفظة'!$F$2="الكل",IFERROR(YEAR(A70),0)=IFERROR(VALUE('طباعة المحفظة'!$F$2),0)),A70&lt;&gt;""),IFERROR(MAX($H$5:H69),0)+1,"")</f>
        <v/>
      </c>
    </row>
    <row r="71" customFormat="false" ht="18" hidden="false" customHeight="true" outlineLevel="0" collapsed="false">
      <c r="A71" s="10" t="str">
        <f aca="false">IFERROR(INDEX('كشف الحساب'!$A$4:$A$203,MATCH(67,'كشف الحساب'!$L$4:$L$203,0)),"")</f>
        <v/>
      </c>
      <c r="B71" s="11" t="str">
        <f aca="false">IFERROR(INDEX('كشف الحساب'!$B$4:$B$203,MATCH(67,'كشف الحساب'!$L$4:$L$203,0)),"")</f>
        <v/>
      </c>
      <c r="C71" s="12" t="str">
        <f aca="false">IFERROR(INDEX('كشف الحساب'!$C$4:$C$203,MATCH(67,'كشف الحساب'!$L$4:$L$203,0)),"")</f>
        <v/>
      </c>
      <c r="D71" s="13" t="s">
        <v>6</v>
      </c>
      <c r="E71" s="14" t="str">
        <f aca="false">IFERROR(INDEX('كشف الحساب'!$E$4:$E$203,MATCH(67,'كشف الحساب'!$L$4:$L$203,0)),"")</f>
        <v/>
      </c>
      <c r="F71" s="15" t="str">
        <f aca="false">IFERROR(INDEX('كشف الحساب'!$F$4:$F$203,MATCH(67,'كشف الحساب'!$L$4:$L$203,0)),"")</f>
        <v/>
      </c>
      <c r="G71" s="16"/>
      <c r="H71" s="1" t="str">
        <f aca="false">IF(AND(OR('طباعة المحفظة'!$C$2="الكل",IFERROR(MONTH(A71),0)=IFERROR(MATCH('طباعة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المحفظة'!$F$2="الكل",IFERROR(YEAR(A71),0)=IFERROR(VALUE('طباعة المحفظة'!$F$2),0)),A71&lt;&gt;""),IFERROR(MAX($H$5:H70),0)+1,"")</f>
        <v/>
      </c>
    </row>
    <row r="72" customFormat="false" ht="18" hidden="false" customHeight="true" outlineLevel="0" collapsed="false">
      <c r="A72" s="17" t="str">
        <f aca="false">IFERROR(INDEX('كشف الحساب'!$A$4:$A$203,MATCH(68,'كشف الحساب'!$L$4:$L$203,0)),"")</f>
        <v/>
      </c>
      <c r="B72" s="18" t="str">
        <f aca="false">IFERROR(INDEX('كشف الحساب'!$B$4:$B$203,MATCH(68,'كشف الحساب'!$L$4:$L$203,0)),"")</f>
        <v/>
      </c>
      <c r="C72" s="19" t="str">
        <f aca="false">IFERROR(INDEX('كشف الحساب'!$C$4:$C$203,MATCH(68,'كشف الحساب'!$L$4:$L$203,0)),"")</f>
        <v/>
      </c>
      <c r="D72" s="20" t="s">
        <v>6</v>
      </c>
      <c r="E72" s="21" t="str">
        <f aca="false">IFERROR(INDEX('كشف الحساب'!$E$4:$E$203,MATCH(68,'كشف الحساب'!$L$4:$L$203,0)),"")</f>
        <v/>
      </c>
      <c r="F72" s="22" t="str">
        <f aca="false">IFERROR(INDEX('كشف الحساب'!$F$4:$F$203,MATCH(68,'كشف الحساب'!$L$4:$L$203,0)),"")</f>
        <v/>
      </c>
      <c r="G72" s="23"/>
      <c r="H72" s="1" t="str">
        <f aca="false">IF(AND(OR('طباعة المحفظة'!$C$2="الكل",IFERROR(MONTH(A72),0)=IFERROR(MATCH('طباعة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المحفظة'!$F$2="الكل",IFERROR(YEAR(A72),0)=IFERROR(VALUE('طباعة المحفظة'!$F$2),0)),A72&lt;&gt;""),IFERROR(MAX($H$5:H71),0)+1,"")</f>
        <v/>
      </c>
    </row>
    <row r="73" customFormat="false" ht="18" hidden="false" customHeight="true" outlineLevel="0" collapsed="false">
      <c r="A73" s="10" t="str">
        <f aca="false">IFERROR(INDEX('كشف الحساب'!$A$4:$A$203,MATCH(69,'كشف الحساب'!$L$4:$L$203,0)),"")</f>
        <v/>
      </c>
      <c r="B73" s="11" t="str">
        <f aca="false">IFERROR(INDEX('كشف الحساب'!$B$4:$B$203,MATCH(69,'كشف الحساب'!$L$4:$L$203,0)),"")</f>
        <v/>
      </c>
      <c r="C73" s="12" t="str">
        <f aca="false">IFERROR(INDEX('كشف الحساب'!$C$4:$C$203,MATCH(69,'كشف الحساب'!$L$4:$L$203,0)),"")</f>
        <v/>
      </c>
      <c r="D73" s="13" t="s">
        <v>6</v>
      </c>
      <c r="E73" s="14" t="str">
        <f aca="false">IFERROR(INDEX('كشف الحساب'!$E$4:$E$203,MATCH(69,'كشف الحساب'!$L$4:$L$203,0)),"")</f>
        <v/>
      </c>
      <c r="F73" s="15" t="str">
        <f aca="false">IFERROR(INDEX('كشف الحساب'!$F$4:$F$203,MATCH(69,'كشف الحساب'!$L$4:$L$203,0)),"")</f>
        <v/>
      </c>
      <c r="G73" s="16"/>
      <c r="H73" s="1" t="str">
        <f aca="false">IF(AND(OR('طباعة المحفظة'!$C$2="الكل",IFERROR(MONTH(A73),0)=IFERROR(MATCH('طباعة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المحفظة'!$F$2="الكل",IFERROR(YEAR(A73),0)=IFERROR(VALUE('طباعة المحفظة'!$F$2),0)),A73&lt;&gt;""),IFERROR(MAX($H$5:H72),0)+1,"")</f>
        <v/>
      </c>
    </row>
    <row r="74" customFormat="false" ht="18" hidden="false" customHeight="true" outlineLevel="0" collapsed="false">
      <c r="A74" s="17" t="str">
        <f aca="false">IFERROR(INDEX('كشف الحساب'!$A$4:$A$203,MATCH(70,'كشف الحساب'!$L$4:$L$203,0)),"")</f>
        <v/>
      </c>
      <c r="B74" s="18" t="str">
        <f aca="false">IFERROR(INDEX('كشف الحساب'!$B$4:$B$203,MATCH(70,'كشف الحساب'!$L$4:$L$203,0)),"")</f>
        <v/>
      </c>
      <c r="C74" s="19" t="str">
        <f aca="false">IFERROR(INDEX('كشف الحساب'!$C$4:$C$203,MATCH(70,'كشف الحساب'!$L$4:$L$203,0)),"")</f>
        <v/>
      </c>
      <c r="D74" s="20" t="s">
        <v>6</v>
      </c>
      <c r="E74" s="21" t="str">
        <f aca="false">IFERROR(INDEX('كشف الحساب'!$E$4:$E$203,MATCH(70,'كشف الحساب'!$L$4:$L$203,0)),"")</f>
        <v/>
      </c>
      <c r="F74" s="22" t="str">
        <f aca="false">IFERROR(INDEX('كشف الحساب'!$F$4:$F$203,MATCH(70,'كشف الحساب'!$L$4:$L$203,0)),"")</f>
        <v/>
      </c>
      <c r="G74" s="23"/>
      <c r="H74" s="1" t="str">
        <f aca="false">IF(AND(OR('طباعة المحفظة'!$C$2="الكل",IFERROR(MONTH(A74),0)=IFERROR(MATCH('طباعة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المحفظة'!$F$2="الكل",IFERROR(YEAR(A74),0)=IFERROR(VALUE('طباعة المحفظة'!$F$2),0)),A74&lt;&gt;""),IFERROR(MAX($H$5:H73),0)+1,"")</f>
        <v/>
      </c>
    </row>
    <row r="75" customFormat="false" ht="18" hidden="false" customHeight="true" outlineLevel="0" collapsed="false">
      <c r="A75" s="10" t="str">
        <f aca="false">IFERROR(INDEX('كشف الحساب'!$A$4:$A$203,MATCH(71,'كشف الحساب'!$L$4:$L$203,0)),"")</f>
        <v/>
      </c>
      <c r="B75" s="11" t="str">
        <f aca="false">IFERROR(INDEX('كشف الحساب'!$B$4:$B$203,MATCH(71,'كشف الحساب'!$L$4:$L$203,0)),"")</f>
        <v/>
      </c>
      <c r="C75" s="12" t="str">
        <f aca="false">IFERROR(INDEX('كشف الحساب'!$C$4:$C$203,MATCH(71,'كشف الحساب'!$L$4:$L$203,0)),"")</f>
        <v/>
      </c>
      <c r="D75" s="13" t="s">
        <v>6</v>
      </c>
      <c r="E75" s="14" t="str">
        <f aca="false">IFERROR(INDEX('كشف الحساب'!$E$4:$E$203,MATCH(71,'كشف الحساب'!$L$4:$L$203,0)),"")</f>
        <v/>
      </c>
      <c r="F75" s="15" t="str">
        <f aca="false">IFERROR(INDEX('كشف الحساب'!$F$4:$F$203,MATCH(71,'كشف الحساب'!$L$4:$L$203,0)),"")</f>
        <v/>
      </c>
      <c r="G75" s="16"/>
      <c r="H75" s="1" t="str">
        <f aca="false">IF(AND(OR('طباعة المحفظة'!$C$2="الكل",IFERROR(MONTH(A75),0)=IFERROR(MATCH('طباعة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المحفظة'!$F$2="الكل",IFERROR(YEAR(A75),0)=IFERROR(VALUE('طباعة المحفظة'!$F$2),0)),A75&lt;&gt;""),IFERROR(MAX($H$5:H74),0)+1,"")</f>
        <v/>
      </c>
    </row>
    <row r="76" customFormat="false" ht="18" hidden="false" customHeight="true" outlineLevel="0" collapsed="false">
      <c r="A76" s="17" t="str">
        <f aca="false">IFERROR(INDEX('كشف الحساب'!$A$4:$A$203,MATCH(72,'كشف الحساب'!$L$4:$L$203,0)),"")</f>
        <v/>
      </c>
      <c r="B76" s="18" t="str">
        <f aca="false">IFERROR(INDEX('كشف الحساب'!$B$4:$B$203,MATCH(72,'كشف الحساب'!$L$4:$L$203,0)),"")</f>
        <v/>
      </c>
      <c r="C76" s="19" t="str">
        <f aca="false">IFERROR(INDEX('كشف الحساب'!$C$4:$C$203,MATCH(72,'كشف الحساب'!$L$4:$L$203,0)),"")</f>
        <v/>
      </c>
      <c r="D76" s="20" t="s">
        <v>6</v>
      </c>
      <c r="E76" s="21" t="str">
        <f aca="false">IFERROR(INDEX('كشف الحساب'!$E$4:$E$203,MATCH(72,'كشف الحساب'!$L$4:$L$203,0)),"")</f>
        <v/>
      </c>
      <c r="F76" s="22" t="str">
        <f aca="false">IFERROR(INDEX('كشف الحساب'!$F$4:$F$203,MATCH(72,'كشف الحساب'!$L$4:$L$203,0)),"")</f>
        <v/>
      </c>
      <c r="G76" s="23"/>
      <c r="H76" s="1" t="str">
        <f aca="false">IF(AND(OR('طباعة المحفظة'!$C$2="الكل",IFERROR(MONTH(A76),0)=IFERROR(MATCH('طباعة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المحفظة'!$F$2="الكل",IFERROR(YEAR(A76),0)=IFERROR(VALUE('طباعة المحفظة'!$F$2),0)),A76&lt;&gt;""),IFERROR(MAX($H$5:H75),0)+1,"")</f>
        <v/>
      </c>
    </row>
    <row r="77" customFormat="false" ht="18" hidden="false" customHeight="true" outlineLevel="0" collapsed="false">
      <c r="A77" s="10" t="str">
        <f aca="false">IFERROR(INDEX('كشف الحساب'!$A$4:$A$203,MATCH(73,'كشف الحساب'!$L$4:$L$203,0)),"")</f>
        <v/>
      </c>
      <c r="B77" s="11" t="str">
        <f aca="false">IFERROR(INDEX('كشف الحساب'!$B$4:$B$203,MATCH(73,'كشف الحساب'!$L$4:$L$203,0)),"")</f>
        <v/>
      </c>
      <c r="C77" s="12" t="str">
        <f aca="false">IFERROR(INDEX('كشف الحساب'!$C$4:$C$203,MATCH(73,'كشف الحساب'!$L$4:$L$203,0)),"")</f>
        <v/>
      </c>
      <c r="D77" s="13" t="s">
        <v>6</v>
      </c>
      <c r="E77" s="14" t="str">
        <f aca="false">IFERROR(INDEX('كشف الحساب'!$E$4:$E$203,MATCH(73,'كشف الحساب'!$L$4:$L$203,0)),"")</f>
        <v/>
      </c>
      <c r="F77" s="15" t="str">
        <f aca="false">IFERROR(INDEX('كشف الحساب'!$F$4:$F$203,MATCH(73,'كشف الحساب'!$L$4:$L$203,0)),"")</f>
        <v/>
      </c>
      <c r="G77" s="16"/>
      <c r="H77" s="1" t="str">
        <f aca="false">IF(AND(OR('طباعة المحفظة'!$C$2="الكل",IFERROR(MONTH(A77),0)=IFERROR(MATCH('طباعة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المحفظة'!$F$2="الكل",IFERROR(YEAR(A77),0)=IFERROR(VALUE('طباعة المحفظة'!$F$2),0)),A77&lt;&gt;""),IFERROR(MAX($H$5:H76),0)+1,"")</f>
        <v/>
      </c>
    </row>
    <row r="78" customFormat="false" ht="18" hidden="false" customHeight="true" outlineLevel="0" collapsed="false">
      <c r="A78" s="17" t="str">
        <f aca="false">IFERROR(INDEX('كشف الحساب'!$A$4:$A$203,MATCH(74,'كشف الحساب'!$L$4:$L$203,0)),"")</f>
        <v/>
      </c>
      <c r="B78" s="18" t="str">
        <f aca="false">IFERROR(INDEX('كشف الحساب'!$B$4:$B$203,MATCH(74,'كشف الحساب'!$L$4:$L$203,0)),"")</f>
        <v/>
      </c>
      <c r="C78" s="19" t="str">
        <f aca="false">IFERROR(INDEX('كشف الحساب'!$C$4:$C$203,MATCH(74,'كشف الحساب'!$L$4:$L$203,0)),"")</f>
        <v/>
      </c>
      <c r="D78" s="20" t="s">
        <v>6</v>
      </c>
      <c r="E78" s="21" t="str">
        <f aca="false">IFERROR(INDEX('كشف الحساب'!$E$4:$E$203,MATCH(74,'كشف الحساب'!$L$4:$L$203,0)),"")</f>
        <v/>
      </c>
      <c r="F78" s="22" t="str">
        <f aca="false">IFERROR(INDEX('كشف الحساب'!$F$4:$F$203,MATCH(74,'كشف الحساب'!$L$4:$L$203,0)),"")</f>
        <v/>
      </c>
      <c r="G78" s="23"/>
      <c r="H78" s="1" t="str">
        <f aca="false">IF(AND(OR('طباعة المحفظة'!$C$2="الكل",IFERROR(MONTH(A78),0)=IFERROR(MATCH('طباعة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المحفظة'!$F$2="الكل",IFERROR(YEAR(A78),0)=IFERROR(VALUE('طباعة المحفظة'!$F$2),0)),A78&lt;&gt;""),IFERROR(MAX($H$5:H77),0)+1,"")</f>
        <v/>
      </c>
    </row>
    <row r="79" customFormat="false" ht="18" hidden="false" customHeight="true" outlineLevel="0" collapsed="false">
      <c r="A79" s="10" t="str">
        <f aca="false">IFERROR(INDEX('كشف الحساب'!$A$4:$A$203,MATCH(75,'كشف الحساب'!$L$4:$L$203,0)),"")</f>
        <v/>
      </c>
      <c r="B79" s="11" t="str">
        <f aca="false">IFERROR(INDEX('كشف الحساب'!$B$4:$B$203,MATCH(75,'كشف الحساب'!$L$4:$L$203,0)),"")</f>
        <v/>
      </c>
      <c r="C79" s="12" t="str">
        <f aca="false">IFERROR(INDEX('كشف الحساب'!$C$4:$C$203,MATCH(75,'كشف الحساب'!$L$4:$L$203,0)),"")</f>
        <v/>
      </c>
      <c r="D79" s="13" t="s">
        <v>6</v>
      </c>
      <c r="E79" s="14" t="str">
        <f aca="false">IFERROR(INDEX('كشف الحساب'!$E$4:$E$203,MATCH(75,'كشف الحساب'!$L$4:$L$203,0)),"")</f>
        <v/>
      </c>
      <c r="F79" s="15" t="str">
        <f aca="false">IFERROR(INDEX('كشف الحساب'!$F$4:$F$203,MATCH(75,'كشف الحساب'!$L$4:$L$203,0)),"")</f>
        <v/>
      </c>
      <c r="G79" s="16"/>
      <c r="H79" s="1" t="str">
        <f aca="false">IF(AND(OR('طباعة المحفظة'!$C$2="الكل",IFERROR(MONTH(A79),0)=IFERROR(MATCH('طباعة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المحفظة'!$F$2="الكل",IFERROR(YEAR(A79),0)=IFERROR(VALUE('طباعة المحفظة'!$F$2),0)),A79&lt;&gt;""),IFERROR(MAX($H$5:H78),0)+1,"")</f>
        <v/>
      </c>
    </row>
    <row r="80" customFormat="false" ht="18" hidden="false" customHeight="true" outlineLevel="0" collapsed="false">
      <c r="A80" s="17" t="str">
        <f aca="false">IFERROR(INDEX('كشف الحساب'!$A$4:$A$203,MATCH(76,'كشف الحساب'!$L$4:$L$203,0)),"")</f>
        <v/>
      </c>
      <c r="B80" s="18" t="str">
        <f aca="false">IFERROR(INDEX('كشف الحساب'!$B$4:$B$203,MATCH(76,'كشف الحساب'!$L$4:$L$203,0)),"")</f>
        <v/>
      </c>
      <c r="C80" s="19" t="str">
        <f aca="false">IFERROR(INDEX('كشف الحساب'!$C$4:$C$203,MATCH(76,'كشف الحساب'!$L$4:$L$203,0)),"")</f>
        <v/>
      </c>
      <c r="D80" s="20" t="s">
        <v>6</v>
      </c>
      <c r="E80" s="21" t="str">
        <f aca="false">IFERROR(INDEX('كشف الحساب'!$E$4:$E$203,MATCH(76,'كشف الحساب'!$L$4:$L$203,0)),"")</f>
        <v/>
      </c>
      <c r="F80" s="22" t="str">
        <f aca="false">IFERROR(INDEX('كشف الحساب'!$F$4:$F$203,MATCH(76,'كشف الحساب'!$L$4:$L$203,0)),"")</f>
        <v/>
      </c>
      <c r="G80" s="23"/>
      <c r="H80" s="1" t="str">
        <f aca="false">IF(AND(OR('طباعة المحفظة'!$C$2="الكل",IFERROR(MONTH(A80),0)=IFERROR(MATCH('طباعة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المحفظة'!$F$2="الكل",IFERROR(YEAR(A80),0)=IFERROR(VALUE('طباعة المحفظة'!$F$2),0)),A80&lt;&gt;""),IFERROR(MAX($H$5:H79),0)+1,"")</f>
        <v/>
      </c>
    </row>
    <row r="81" customFormat="false" ht="18" hidden="false" customHeight="true" outlineLevel="0" collapsed="false">
      <c r="A81" s="10" t="str">
        <f aca="false">IFERROR(INDEX('كشف الحساب'!$A$4:$A$203,MATCH(77,'كشف الحساب'!$L$4:$L$203,0)),"")</f>
        <v/>
      </c>
      <c r="B81" s="11" t="str">
        <f aca="false">IFERROR(INDEX('كشف الحساب'!$B$4:$B$203,MATCH(77,'كشف الحساب'!$L$4:$L$203,0)),"")</f>
        <v/>
      </c>
      <c r="C81" s="12" t="str">
        <f aca="false">IFERROR(INDEX('كشف الحساب'!$C$4:$C$203,MATCH(77,'كشف الحساب'!$L$4:$L$203,0)),"")</f>
        <v/>
      </c>
      <c r="D81" s="13" t="s">
        <v>6</v>
      </c>
      <c r="E81" s="14" t="str">
        <f aca="false">IFERROR(INDEX('كشف الحساب'!$E$4:$E$203,MATCH(77,'كشف الحساب'!$L$4:$L$203,0)),"")</f>
        <v/>
      </c>
      <c r="F81" s="15" t="str">
        <f aca="false">IFERROR(INDEX('كشف الحساب'!$F$4:$F$203,MATCH(77,'كشف الحساب'!$L$4:$L$203,0)),"")</f>
        <v/>
      </c>
      <c r="G81" s="16"/>
      <c r="H81" s="1" t="str">
        <f aca="false">IF(AND(OR('طباعة المحفظة'!$C$2="الكل",IFERROR(MONTH(A81),0)=IFERROR(MATCH('طباعة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المحفظة'!$F$2="الكل",IFERROR(YEAR(A81),0)=IFERROR(VALUE('طباعة المحفظة'!$F$2),0)),A81&lt;&gt;""),IFERROR(MAX($H$5:H80),0)+1,"")</f>
        <v/>
      </c>
    </row>
    <row r="82" customFormat="false" ht="18" hidden="false" customHeight="true" outlineLevel="0" collapsed="false">
      <c r="A82" s="17" t="str">
        <f aca="false">IFERROR(INDEX('كشف الحساب'!$A$4:$A$203,MATCH(78,'كشف الحساب'!$L$4:$L$203,0)),"")</f>
        <v/>
      </c>
      <c r="B82" s="18" t="str">
        <f aca="false">IFERROR(INDEX('كشف الحساب'!$B$4:$B$203,MATCH(78,'كشف الحساب'!$L$4:$L$203,0)),"")</f>
        <v/>
      </c>
      <c r="C82" s="19" t="str">
        <f aca="false">IFERROR(INDEX('كشف الحساب'!$C$4:$C$203,MATCH(78,'كشف الحساب'!$L$4:$L$203,0)),"")</f>
        <v/>
      </c>
      <c r="D82" s="20" t="s">
        <v>6</v>
      </c>
      <c r="E82" s="21" t="str">
        <f aca="false">IFERROR(INDEX('كشف الحساب'!$E$4:$E$203,MATCH(78,'كشف الحساب'!$L$4:$L$203,0)),"")</f>
        <v/>
      </c>
      <c r="F82" s="22" t="str">
        <f aca="false">IFERROR(INDEX('كشف الحساب'!$F$4:$F$203,MATCH(78,'كشف الحساب'!$L$4:$L$203,0)),"")</f>
        <v/>
      </c>
      <c r="G82" s="23"/>
      <c r="H82" s="1" t="str">
        <f aca="false">IF(AND(OR('طباعة المحفظة'!$C$2="الكل",IFERROR(MONTH(A82),0)=IFERROR(MATCH('طباعة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المحفظة'!$F$2="الكل",IFERROR(YEAR(A82),0)=IFERROR(VALUE('طباعة المحفظة'!$F$2),0)),A82&lt;&gt;""),IFERROR(MAX($H$5:H81),0)+1,"")</f>
        <v/>
      </c>
    </row>
    <row r="83" customFormat="false" ht="18" hidden="false" customHeight="true" outlineLevel="0" collapsed="false">
      <c r="A83" s="10" t="str">
        <f aca="false">IFERROR(INDEX('كشف الحساب'!$A$4:$A$203,MATCH(79,'كشف الحساب'!$L$4:$L$203,0)),"")</f>
        <v/>
      </c>
      <c r="B83" s="11" t="str">
        <f aca="false">IFERROR(INDEX('كشف الحساب'!$B$4:$B$203,MATCH(79,'كشف الحساب'!$L$4:$L$203,0)),"")</f>
        <v/>
      </c>
      <c r="C83" s="12" t="str">
        <f aca="false">IFERROR(INDEX('كشف الحساب'!$C$4:$C$203,MATCH(79,'كشف الحساب'!$L$4:$L$203,0)),"")</f>
        <v/>
      </c>
      <c r="D83" s="13" t="s">
        <v>6</v>
      </c>
      <c r="E83" s="14" t="str">
        <f aca="false">IFERROR(INDEX('كشف الحساب'!$E$4:$E$203,MATCH(79,'كشف الحساب'!$L$4:$L$203,0)),"")</f>
        <v/>
      </c>
      <c r="F83" s="15" t="str">
        <f aca="false">IFERROR(INDEX('كشف الحساب'!$F$4:$F$203,MATCH(79,'كشف الحساب'!$L$4:$L$203,0)),"")</f>
        <v/>
      </c>
      <c r="G83" s="16"/>
      <c r="H83" s="1" t="str">
        <f aca="false">IF(AND(OR('طباعة المحفظة'!$C$2="الكل",IFERROR(MONTH(A83),0)=IFERROR(MATCH('طباعة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المحفظة'!$F$2="الكل",IFERROR(YEAR(A83),0)=IFERROR(VALUE('طباعة المحفظة'!$F$2),0)),A83&lt;&gt;""),IFERROR(MAX($H$5:H82),0)+1,"")</f>
        <v/>
      </c>
    </row>
    <row r="84" customFormat="false" ht="18" hidden="false" customHeight="true" outlineLevel="0" collapsed="false">
      <c r="A84" s="17" t="str">
        <f aca="false">IFERROR(INDEX('كشف الحساب'!$A$4:$A$203,MATCH(80,'كشف الحساب'!$L$4:$L$203,0)),"")</f>
        <v/>
      </c>
      <c r="B84" s="18" t="str">
        <f aca="false">IFERROR(INDEX('كشف الحساب'!$B$4:$B$203,MATCH(80,'كشف الحساب'!$L$4:$L$203,0)),"")</f>
        <v/>
      </c>
      <c r="C84" s="19" t="str">
        <f aca="false">IFERROR(INDEX('كشف الحساب'!$C$4:$C$203,MATCH(80,'كشف الحساب'!$L$4:$L$203,0)),"")</f>
        <v/>
      </c>
      <c r="D84" s="20" t="s">
        <v>6</v>
      </c>
      <c r="E84" s="21" t="str">
        <f aca="false">IFERROR(INDEX('كشف الحساب'!$E$4:$E$203,MATCH(80,'كشف الحساب'!$L$4:$L$203,0)),"")</f>
        <v/>
      </c>
      <c r="F84" s="22" t="str">
        <f aca="false">IFERROR(INDEX('كشف الحساب'!$F$4:$F$203,MATCH(80,'كشف الحساب'!$L$4:$L$203,0)),"")</f>
        <v/>
      </c>
      <c r="G84" s="23"/>
      <c r="H84" s="1" t="str">
        <f aca="false">IF(AND(OR('طباعة المحفظة'!$C$2="الكل",IFERROR(MONTH(A84),0)=IFERROR(MATCH('طباعة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المحفظة'!$F$2="الكل",IFERROR(YEAR(A84),0)=IFERROR(VALUE('طباعة المحفظة'!$F$2),0)),A84&lt;&gt;""),IFERROR(MAX($H$5:H83),0)+1,"")</f>
        <v/>
      </c>
    </row>
    <row r="85" customFormat="false" ht="18" hidden="false" customHeight="true" outlineLevel="0" collapsed="false">
      <c r="A85" s="10" t="str">
        <f aca="false">IFERROR(INDEX('كشف الحساب'!$A$4:$A$203,MATCH(81,'كشف الحساب'!$L$4:$L$203,0)),"")</f>
        <v/>
      </c>
      <c r="B85" s="11" t="str">
        <f aca="false">IFERROR(INDEX('كشف الحساب'!$B$4:$B$203,MATCH(81,'كشف الحساب'!$L$4:$L$203,0)),"")</f>
        <v/>
      </c>
      <c r="C85" s="12" t="str">
        <f aca="false">IFERROR(INDEX('كشف الحساب'!$C$4:$C$203,MATCH(81,'كشف الحساب'!$L$4:$L$203,0)),"")</f>
        <v/>
      </c>
      <c r="D85" s="13" t="s">
        <v>6</v>
      </c>
      <c r="E85" s="14" t="str">
        <f aca="false">IFERROR(INDEX('كشف الحساب'!$E$4:$E$203,MATCH(81,'كشف الحساب'!$L$4:$L$203,0)),"")</f>
        <v/>
      </c>
      <c r="F85" s="15" t="str">
        <f aca="false">IFERROR(INDEX('كشف الحساب'!$F$4:$F$203,MATCH(81,'كشف الحساب'!$L$4:$L$203,0)),"")</f>
        <v/>
      </c>
      <c r="G85" s="16"/>
      <c r="H85" s="1" t="str">
        <f aca="false">IF(AND(OR('طباعة المحفظة'!$C$2="الكل",IFERROR(MONTH(A85),0)=IFERROR(MATCH('طباعة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المحفظة'!$F$2="الكل",IFERROR(YEAR(A85),0)=IFERROR(VALUE('طباعة المحفظة'!$F$2),0)),A85&lt;&gt;""),IFERROR(MAX($H$5:H84),0)+1,"")</f>
        <v/>
      </c>
    </row>
    <row r="86" customFormat="false" ht="18" hidden="false" customHeight="true" outlineLevel="0" collapsed="false">
      <c r="A86" s="17" t="str">
        <f aca="false">IFERROR(INDEX('كشف الحساب'!$A$4:$A$203,MATCH(82,'كشف الحساب'!$L$4:$L$203,0)),"")</f>
        <v/>
      </c>
      <c r="B86" s="18" t="str">
        <f aca="false">IFERROR(INDEX('كشف الحساب'!$B$4:$B$203,MATCH(82,'كشف الحساب'!$L$4:$L$203,0)),"")</f>
        <v/>
      </c>
      <c r="C86" s="19" t="str">
        <f aca="false">IFERROR(INDEX('كشف الحساب'!$C$4:$C$203,MATCH(82,'كشف الحساب'!$L$4:$L$203,0)),"")</f>
        <v/>
      </c>
      <c r="D86" s="20" t="s">
        <v>6</v>
      </c>
      <c r="E86" s="21" t="str">
        <f aca="false">IFERROR(INDEX('كشف الحساب'!$E$4:$E$203,MATCH(82,'كشف الحساب'!$L$4:$L$203,0)),"")</f>
        <v/>
      </c>
      <c r="F86" s="22" t="str">
        <f aca="false">IFERROR(INDEX('كشف الحساب'!$F$4:$F$203,MATCH(82,'كشف الحساب'!$L$4:$L$203,0)),"")</f>
        <v/>
      </c>
      <c r="G86" s="23"/>
      <c r="H86" s="1" t="str">
        <f aca="false">IF(AND(OR('طباعة المحفظة'!$C$2="الكل",IFERROR(MONTH(A86),0)=IFERROR(MATCH('طباعة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المحفظة'!$F$2="الكل",IFERROR(YEAR(A86),0)=IFERROR(VALUE('طباعة المحفظة'!$F$2),0)),A86&lt;&gt;""),IFERROR(MAX($H$5:H85),0)+1,"")</f>
        <v/>
      </c>
    </row>
    <row r="87" customFormat="false" ht="18" hidden="false" customHeight="true" outlineLevel="0" collapsed="false">
      <c r="A87" s="10" t="str">
        <f aca="false">IFERROR(INDEX('كشف الحساب'!$A$4:$A$203,MATCH(83,'كشف الحساب'!$L$4:$L$203,0)),"")</f>
        <v/>
      </c>
      <c r="B87" s="11" t="str">
        <f aca="false">IFERROR(INDEX('كشف الحساب'!$B$4:$B$203,MATCH(83,'كشف الحساب'!$L$4:$L$203,0)),"")</f>
        <v/>
      </c>
      <c r="C87" s="12" t="str">
        <f aca="false">IFERROR(INDEX('كشف الحساب'!$C$4:$C$203,MATCH(83,'كشف الحساب'!$L$4:$L$203,0)),"")</f>
        <v/>
      </c>
      <c r="D87" s="13" t="s">
        <v>6</v>
      </c>
      <c r="E87" s="14" t="str">
        <f aca="false">IFERROR(INDEX('كشف الحساب'!$E$4:$E$203,MATCH(83,'كشف الحساب'!$L$4:$L$203,0)),"")</f>
        <v/>
      </c>
      <c r="F87" s="15" t="str">
        <f aca="false">IFERROR(INDEX('كشف الحساب'!$F$4:$F$203,MATCH(83,'كشف الحساب'!$L$4:$L$203,0)),"")</f>
        <v/>
      </c>
      <c r="G87" s="16"/>
      <c r="H87" s="1" t="str">
        <f aca="false">IF(AND(OR('طباعة المحفظة'!$C$2="الكل",IFERROR(MONTH(A87),0)=IFERROR(MATCH('طباعة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المحفظة'!$F$2="الكل",IFERROR(YEAR(A87),0)=IFERROR(VALUE('طباعة المحفظة'!$F$2),0)),A87&lt;&gt;""),IFERROR(MAX($H$5:H86),0)+1,"")</f>
        <v/>
      </c>
    </row>
    <row r="88" customFormat="false" ht="18" hidden="false" customHeight="true" outlineLevel="0" collapsed="false">
      <c r="A88" s="17" t="str">
        <f aca="false">IFERROR(INDEX('كشف الحساب'!$A$4:$A$203,MATCH(84,'كشف الحساب'!$L$4:$L$203,0)),"")</f>
        <v/>
      </c>
      <c r="B88" s="18" t="str">
        <f aca="false">IFERROR(INDEX('كشف الحساب'!$B$4:$B$203,MATCH(84,'كشف الحساب'!$L$4:$L$203,0)),"")</f>
        <v/>
      </c>
      <c r="C88" s="19" t="str">
        <f aca="false">IFERROR(INDEX('كشف الحساب'!$C$4:$C$203,MATCH(84,'كشف الحساب'!$L$4:$L$203,0)),"")</f>
        <v/>
      </c>
      <c r="D88" s="20" t="s">
        <v>6</v>
      </c>
      <c r="E88" s="21" t="str">
        <f aca="false">IFERROR(INDEX('كشف الحساب'!$E$4:$E$203,MATCH(84,'كشف الحساب'!$L$4:$L$203,0)),"")</f>
        <v/>
      </c>
      <c r="F88" s="22" t="str">
        <f aca="false">IFERROR(INDEX('كشف الحساب'!$F$4:$F$203,MATCH(84,'كشف الحساب'!$L$4:$L$203,0)),"")</f>
        <v/>
      </c>
      <c r="G88" s="23"/>
      <c r="H88" s="1" t="str">
        <f aca="false">IF(AND(OR('طباعة المحفظة'!$C$2="الكل",IFERROR(MONTH(A88),0)=IFERROR(MATCH('طباعة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المحفظة'!$F$2="الكل",IFERROR(YEAR(A88),0)=IFERROR(VALUE('طباعة المحفظة'!$F$2),0)),A88&lt;&gt;""),IFERROR(MAX($H$5:H87),0)+1,"")</f>
        <v/>
      </c>
    </row>
    <row r="89" customFormat="false" ht="18" hidden="false" customHeight="true" outlineLevel="0" collapsed="false">
      <c r="A89" s="10" t="str">
        <f aca="false">IFERROR(INDEX('كشف الحساب'!$A$4:$A$203,MATCH(85,'كشف الحساب'!$L$4:$L$203,0)),"")</f>
        <v/>
      </c>
      <c r="B89" s="11" t="str">
        <f aca="false">IFERROR(INDEX('كشف الحساب'!$B$4:$B$203,MATCH(85,'كشف الحساب'!$L$4:$L$203,0)),"")</f>
        <v/>
      </c>
      <c r="C89" s="12" t="str">
        <f aca="false">IFERROR(INDEX('كشف الحساب'!$C$4:$C$203,MATCH(85,'كشف الحساب'!$L$4:$L$203,0)),"")</f>
        <v/>
      </c>
      <c r="D89" s="13" t="s">
        <v>6</v>
      </c>
      <c r="E89" s="14" t="str">
        <f aca="false">IFERROR(INDEX('كشف الحساب'!$E$4:$E$203,MATCH(85,'كشف الحساب'!$L$4:$L$203,0)),"")</f>
        <v/>
      </c>
      <c r="F89" s="15" t="str">
        <f aca="false">IFERROR(INDEX('كشف الحساب'!$F$4:$F$203,MATCH(85,'كشف الحساب'!$L$4:$L$203,0)),"")</f>
        <v/>
      </c>
      <c r="G89" s="16"/>
      <c r="H89" s="1" t="str">
        <f aca="false">IF(AND(OR('طباعة المحفظة'!$C$2="الكل",IFERROR(MONTH(A89),0)=IFERROR(MATCH('طباعة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المحفظة'!$F$2="الكل",IFERROR(YEAR(A89),0)=IFERROR(VALUE('طباعة المحفظة'!$F$2),0)),A89&lt;&gt;""),IFERROR(MAX($H$5:H88),0)+1,"")</f>
        <v/>
      </c>
    </row>
    <row r="90" customFormat="false" ht="18" hidden="false" customHeight="true" outlineLevel="0" collapsed="false">
      <c r="A90" s="17" t="str">
        <f aca="false">IFERROR(INDEX('كشف الحساب'!$A$4:$A$203,MATCH(86,'كشف الحساب'!$L$4:$L$203,0)),"")</f>
        <v/>
      </c>
      <c r="B90" s="18" t="str">
        <f aca="false">IFERROR(INDEX('كشف الحساب'!$B$4:$B$203,MATCH(86,'كشف الحساب'!$L$4:$L$203,0)),"")</f>
        <v/>
      </c>
      <c r="C90" s="19" t="str">
        <f aca="false">IFERROR(INDEX('كشف الحساب'!$C$4:$C$203,MATCH(86,'كشف الحساب'!$L$4:$L$203,0)),"")</f>
        <v/>
      </c>
      <c r="D90" s="20" t="s">
        <v>6</v>
      </c>
      <c r="E90" s="21" t="str">
        <f aca="false">IFERROR(INDEX('كشف الحساب'!$E$4:$E$203,MATCH(86,'كشف الحساب'!$L$4:$L$203,0)),"")</f>
        <v/>
      </c>
      <c r="F90" s="22" t="str">
        <f aca="false">IFERROR(INDEX('كشف الحساب'!$F$4:$F$203,MATCH(86,'كشف الحساب'!$L$4:$L$203,0)),"")</f>
        <v/>
      </c>
      <c r="G90" s="23"/>
      <c r="H90" s="1" t="str">
        <f aca="false">IF(AND(OR('طباعة المحفظة'!$C$2="الكل",IFERROR(MONTH(A90),0)=IFERROR(MATCH('طباعة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المحفظة'!$F$2="الكل",IFERROR(YEAR(A90),0)=IFERROR(VALUE('طباعة المحفظة'!$F$2),0)),A90&lt;&gt;""),IFERROR(MAX($H$5:H89),0)+1,"")</f>
        <v/>
      </c>
    </row>
    <row r="91" customFormat="false" ht="18" hidden="false" customHeight="true" outlineLevel="0" collapsed="false">
      <c r="A91" s="10" t="str">
        <f aca="false">IFERROR(INDEX('كشف الحساب'!$A$4:$A$203,MATCH(87,'كشف الحساب'!$L$4:$L$203,0)),"")</f>
        <v/>
      </c>
      <c r="B91" s="11" t="str">
        <f aca="false">IFERROR(INDEX('كشف الحساب'!$B$4:$B$203,MATCH(87,'كشف الحساب'!$L$4:$L$203,0)),"")</f>
        <v/>
      </c>
      <c r="C91" s="12" t="str">
        <f aca="false">IFERROR(INDEX('كشف الحساب'!$C$4:$C$203,MATCH(87,'كشف الحساب'!$L$4:$L$203,0)),"")</f>
        <v/>
      </c>
      <c r="D91" s="13" t="s">
        <v>6</v>
      </c>
      <c r="E91" s="14" t="str">
        <f aca="false">IFERROR(INDEX('كشف الحساب'!$E$4:$E$203,MATCH(87,'كشف الحساب'!$L$4:$L$203,0)),"")</f>
        <v/>
      </c>
      <c r="F91" s="15" t="str">
        <f aca="false">IFERROR(INDEX('كشف الحساب'!$F$4:$F$203,MATCH(87,'كشف الحساب'!$L$4:$L$203,0)),"")</f>
        <v/>
      </c>
      <c r="G91" s="16"/>
      <c r="H91" s="1" t="str">
        <f aca="false">IF(AND(OR('طباعة المحفظة'!$C$2="الكل",IFERROR(MONTH(A91),0)=IFERROR(MATCH('طباعة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المحفظة'!$F$2="الكل",IFERROR(YEAR(A91),0)=IFERROR(VALUE('طباعة المحفظة'!$F$2),0)),A91&lt;&gt;""),IFERROR(MAX($H$5:H90),0)+1,"")</f>
        <v/>
      </c>
    </row>
    <row r="92" customFormat="false" ht="18" hidden="false" customHeight="true" outlineLevel="0" collapsed="false">
      <c r="A92" s="17" t="str">
        <f aca="false">IFERROR(INDEX('كشف الحساب'!$A$4:$A$203,MATCH(88,'كشف الحساب'!$L$4:$L$203,0)),"")</f>
        <v/>
      </c>
      <c r="B92" s="18" t="str">
        <f aca="false">IFERROR(INDEX('كشف الحساب'!$B$4:$B$203,MATCH(88,'كشف الحساب'!$L$4:$L$203,0)),"")</f>
        <v/>
      </c>
      <c r="C92" s="19" t="str">
        <f aca="false">IFERROR(INDEX('كشف الحساب'!$C$4:$C$203,MATCH(88,'كشف الحساب'!$L$4:$L$203,0)),"")</f>
        <v/>
      </c>
      <c r="D92" s="20" t="s">
        <v>6</v>
      </c>
      <c r="E92" s="21" t="str">
        <f aca="false">IFERROR(INDEX('كشف الحساب'!$E$4:$E$203,MATCH(88,'كشف الحساب'!$L$4:$L$203,0)),"")</f>
        <v/>
      </c>
      <c r="F92" s="22" t="str">
        <f aca="false">IFERROR(INDEX('كشف الحساب'!$F$4:$F$203,MATCH(88,'كشف الحساب'!$L$4:$L$203,0)),"")</f>
        <v/>
      </c>
      <c r="G92" s="23"/>
      <c r="H92" s="1" t="str">
        <f aca="false">IF(AND(OR('طباعة المحفظة'!$C$2="الكل",IFERROR(MONTH(A92),0)=IFERROR(MATCH('طباعة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المحفظة'!$F$2="الكل",IFERROR(YEAR(A92),0)=IFERROR(VALUE('طباعة المحفظة'!$F$2),0)),A92&lt;&gt;""),IFERROR(MAX($H$5:H91),0)+1,"")</f>
        <v/>
      </c>
    </row>
    <row r="93" customFormat="false" ht="18" hidden="false" customHeight="true" outlineLevel="0" collapsed="false">
      <c r="A93" s="10" t="str">
        <f aca="false">IFERROR(INDEX('كشف الحساب'!$A$4:$A$203,MATCH(89,'كشف الحساب'!$L$4:$L$203,0)),"")</f>
        <v/>
      </c>
      <c r="B93" s="11" t="str">
        <f aca="false">IFERROR(INDEX('كشف الحساب'!$B$4:$B$203,MATCH(89,'كشف الحساب'!$L$4:$L$203,0)),"")</f>
        <v/>
      </c>
      <c r="C93" s="12" t="str">
        <f aca="false">IFERROR(INDEX('كشف الحساب'!$C$4:$C$203,MATCH(89,'كشف الحساب'!$L$4:$L$203,0)),"")</f>
        <v/>
      </c>
      <c r="D93" s="13" t="s">
        <v>6</v>
      </c>
      <c r="E93" s="14" t="str">
        <f aca="false">IFERROR(INDEX('كشف الحساب'!$E$4:$E$203,MATCH(89,'كشف الحساب'!$L$4:$L$203,0)),"")</f>
        <v/>
      </c>
      <c r="F93" s="15" t="str">
        <f aca="false">IFERROR(INDEX('كشف الحساب'!$F$4:$F$203,MATCH(89,'كشف الحساب'!$L$4:$L$203,0)),"")</f>
        <v/>
      </c>
      <c r="G93" s="16"/>
      <c r="H93" s="1" t="str">
        <f aca="false">IF(AND(OR('طباعة المحفظة'!$C$2="الكل",IFERROR(MONTH(A93),0)=IFERROR(MATCH('طباعة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المحفظة'!$F$2="الكل",IFERROR(YEAR(A93),0)=IFERROR(VALUE('طباعة المحفظة'!$F$2),0)),A93&lt;&gt;""),IFERROR(MAX($H$5:H92),0)+1,"")</f>
        <v/>
      </c>
    </row>
    <row r="94" customFormat="false" ht="18" hidden="false" customHeight="true" outlineLevel="0" collapsed="false">
      <c r="A94" s="17" t="str">
        <f aca="false">IFERROR(INDEX('كشف الحساب'!$A$4:$A$203,MATCH(90,'كشف الحساب'!$L$4:$L$203,0)),"")</f>
        <v/>
      </c>
      <c r="B94" s="18" t="str">
        <f aca="false">IFERROR(INDEX('كشف الحساب'!$B$4:$B$203,MATCH(90,'كشف الحساب'!$L$4:$L$203,0)),"")</f>
        <v/>
      </c>
      <c r="C94" s="19" t="str">
        <f aca="false">IFERROR(INDEX('كشف الحساب'!$C$4:$C$203,MATCH(90,'كشف الحساب'!$L$4:$L$203,0)),"")</f>
        <v/>
      </c>
      <c r="D94" s="20" t="s">
        <v>6</v>
      </c>
      <c r="E94" s="21" t="str">
        <f aca="false">IFERROR(INDEX('كشف الحساب'!$E$4:$E$203,MATCH(90,'كشف الحساب'!$L$4:$L$203,0)),"")</f>
        <v/>
      </c>
      <c r="F94" s="22" t="str">
        <f aca="false">IFERROR(INDEX('كشف الحساب'!$F$4:$F$203,MATCH(90,'كشف الحساب'!$L$4:$L$203,0)),"")</f>
        <v/>
      </c>
      <c r="G94" s="23"/>
      <c r="H94" s="1" t="str">
        <f aca="false">IF(AND(OR('طباعة المحفظة'!$C$2="الكل",IFERROR(MONTH(A94),0)=IFERROR(MATCH('طباعة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المحفظة'!$F$2="الكل",IFERROR(YEAR(A94),0)=IFERROR(VALUE('طباعة المحفظة'!$F$2),0)),A94&lt;&gt;""),IFERROR(MAX($H$5:H93),0)+1,"")</f>
        <v/>
      </c>
    </row>
    <row r="95" customFormat="false" ht="18" hidden="false" customHeight="true" outlineLevel="0" collapsed="false">
      <c r="A95" s="10" t="str">
        <f aca="false">IFERROR(INDEX('كشف الحساب'!$A$4:$A$203,MATCH(91,'كشف الحساب'!$L$4:$L$203,0)),"")</f>
        <v/>
      </c>
      <c r="B95" s="11" t="str">
        <f aca="false">IFERROR(INDEX('كشف الحساب'!$B$4:$B$203,MATCH(91,'كشف الحساب'!$L$4:$L$203,0)),"")</f>
        <v/>
      </c>
      <c r="C95" s="12" t="str">
        <f aca="false">IFERROR(INDEX('كشف الحساب'!$C$4:$C$203,MATCH(91,'كشف الحساب'!$L$4:$L$203,0)),"")</f>
        <v/>
      </c>
      <c r="D95" s="13" t="s">
        <v>6</v>
      </c>
      <c r="E95" s="14" t="str">
        <f aca="false">IFERROR(INDEX('كشف الحساب'!$E$4:$E$203,MATCH(91,'كشف الحساب'!$L$4:$L$203,0)),"")</f>
        <v/>
      </c>
      <c r="F95" s="15" t="str">
        <f aca="false">IFERROR(INDEX('كشف الحساب'!$F$4:$F$203,MATCH(91,'كشف الحساب'!$L$4:$L$203,0)),"")</f>
        <v/>
      </c>
      <c r="G95" s="16"/>
      <c r="H95" s="1" t="str">
        <f aca="false">IF(AND(OR('طباعة المحفظة'!$C$2="الكل",IFERROR(MONTH(A95),0)=IFERROR(MATCH('طباعة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المحفظة'!$F$2="الكل",IFERROR(YEAR(A95),0)=IFERROR(VALUE('طباعة المحفظة'!$F$2),0)),A95&lt;&gt;""),IFERROR(MAX($H$5:H94),0)+1,"")</f>
        <v/>
      </c>
    </row>
    <row r="96" customFormat="false" ht="18" hidden="false" customHeight="true" outlineLevel="0" collapsed="false">
      <c r="A96" s="17" t="str">
        <f aca="false">IFERROR(INDEX('كشف الحساب'!$A$4:$A$203,MATCH(92,'كشف الحساب'!$L$4:$L$203,0)),"")</f>
        <v/>
      </c>
      <c r="B96" s="18" t="str">
        <f aca="false">IFERROR(INDEX('كشف الحساب'!$B$4:$B$203,MATCH(92,'كشف الحساب'!$L$4:$L$203,0)),"")</f>
        <v/>
      </c>
      <c r="C96" s="19" t="str">
        <f aca="false">IFERROR(INDEX('كشف الحساب'!$C$4:$C$203,MATCH(92,'كشف الحساب'!$L$4:$L$203,0)),"")</f>
        <v/>
      </c>
      <c r="D96" s="20" t="s">
        <v>6</v>
      </c>
      <c r="E96" s="21" t="str">
        <f aca="false">IFERROR(INDEX('كشف الحساب'!$E$4:$E$203,MATCH(92,'كشف الحساب'!$L$4:$L$203,0)),"")</f>
        <v/>
      </c>
      <c r="F96" s="22" t="str">
        <f aca="false">IFERROR(INDEX('كشف الحساب'!$F$4:$F$203,MATCH(92,'كشف الحساب'!$L$4:$L$203,0)),"")</f>
        <v/>
      </c>
      <c r="G96" s="23"/>
      <c r="H96" s="1" t="str">
        <f aca="false">IF(AND(OR('طباعة المحفظة'!$C$2="الكل",IFERROR(MONTH(A96),0)=IFERROR(MATCH('طباعة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المحفظة'!$F$2="الكل",IFERROR(YEAR(A96),0)=IFERROR(VALUE('طباعة المحفظة'!$F$2),0)),A96&lt;&gt;""),IFERROR(MAX($H$5:H95),0)+1,"")</f>
        <v/>
      </c>
    </row>
    <row r="97" customFormat="false" ht="18" hidden="false" customHeight="true" outlineLevel="0" collapsed="false">
      <c r="A97" s="10" t="str">
        <f aca="false">IFERROR(INDEX('كشف الحساب'!$A$4:$A$203,MATCH(93,'كشف الحساب'!$L$4:$L$203,0)),"")</f>
        <v/>
      </c>
      <c r="B97" s="11" t="str">
        <f aca="false">IFERROR(INDEX('كشف الحساب'!$B$4:$B$203,MATCH(93,'كشف الحساب'!$L$4:$L$203,0)),"")</f>
        <v/>
      </c>
      <c r="C97" s="12" t="str">
        <f aca="false">IFERROR(INDEX('كشف الحساب'!$C$4:$C$203,MATCH(93,'كشف الحساب'!$L$4:$L$203,0)),"")</f>
        <v/>
      </c>
      <c r="D97" s="13" t="s">
        <v>6</v>
      </c>
      <c r="E97" s="14" t="str">
        <f aca="false">IFERROR(INDEX('كشف الحساب'!$E$4:$E$203,MATCH(93,'كشف الحساب'!$L$4:$L$203,0)),"")</f>
        <v/>
      </c>
      <c r="F97" s="15" t="str">
        <f aca="false">IFERROR(INDEX('كشف الحساب'!$F$4:$F$203,MATCH(93,'كشف الحساب'!$L$4:$L$203,0)),"")</f>
        <v/>
      </c>
      <c r="G97" s="16"/>
      <c r="H97" s="1" t="str">
        <f aca="false">IF(AND(OR('طباعة المحفظة'!$C$2="الكل",IFERROR(MONTH(A97),0)=IFERROR(MATCH('طباعة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المحفظة'!$F$2="الكل",IFERROR(YEAR(A97),0)=IFERROR(VALUE('طباعة المحفظة'!$F$2),0)),A97&lt;&gt;""),IFERROR(MAX($H$5:H96),0)+1,"")</f>
        <v/>
      </c>
    </row>
    <row r="98" customFormat="false" ht="18" hidden="false" customHeight="true" outlineLevel="0" collapsed="false">
      <c r="A98" s="17" t="str">
        <f aca="false">IFERROR(INDEX('كشف الحساب'!$A$4:$A$203,MATCH(94,'كشف الحساب'!$L$4:$L$203,0)),"")</f>
        <v/>
      </c>
      <c r="B98" s="18" t="str">
        <f aca="false">IFERROR(INDEX('كشف الحساب'!$B$4:$B$203,MATCH(94,'كشف الحساب'!$L$4:$L$203,0)),"")</f>
        <v/>
      </c>
      <c r="C98" s="19" t="str">
        <f aca="false">IFERROR(INDEX('كشف الحساب'!$C$4:$C$203,MATCH(94,'كشف الحساب'!$L$4:$L$203,0)),"")</f>
        <v/>
      </c>
      <c r="D98" s="20" t="s">
        <v>6</v>
      </c>
      <c r="E98" s="21" t="str">
        <f aca="false">IFERROR(INDEX('كشف الحساب'!$E$4:$E$203,MATCH(94,'كشف الحساب'!$L$4:$L$203,0)),"")</f>
        <v/>
      </c>
      <c r="F98" s="22" t="str">
        <f aca="false">IFERROR(INDEX('كشف الحساب'!$F$4:$F$203,MATCH(94,'كشف الحساب'!$L$4:$L$203,0)),"")</f>
        <v/>
      </c>
      <c r="G98" s="23"/>
      <c r="H98" s="1" t="str">
        <f aca="false">IF(AND(OR('طباعة المحفظة'!$C$2="الكل",IFERROR(MONTH(A98),0)=IFERROR(MATCH('طباعة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المحفظة'!$F$2="الكل",IFERROR(YEAR(A98),0)=IFERROR(VALUE('طباعة المحفظة'!$F$2),0)),A98&lt;&gt;""),IFERROR(MAX($H$5:H97),0)+1,"")</f>
        <v/>
      </c>
    </row>
    <row r="99" customFormat="false" ht="18" hidden="false" customHeight="true" outlineLevel="0" collapsed="false">
      <c r="A99" s="10" t="str">
        <f aca="false">IFERROR(INDEX('كشف الحساب'!$A$4:$A$203,MATCH(95,'كشف الحساب'!$L$4:$L$203,0)),"")</f>
        <v/>
      </c>
      <c r="B99" s="11" t="str">
        <f aca="false">IFERROR(INDEX('كشف الحساب'!$B$4:$B$203,MATCH(95,'كشف الحساب'!$L$4:$L$203,0)),"")</f>
        <v/>
      </c>
      <c r="C99" s="12" t="str">
        <f aca="false">IFERROR(INDEX('كشف الحساب'!$C$4:$C$203,MATCH(95,'كشف الحساب'!$L$4:$L$203,0)),"")</f>
        <v/>
      </c>
      <c r="D99" s="13" t="s">
        <v>6</v>
      </c>
      <c r="E99" s="14" t="str">
        <f aca="false">IFERROR(INDEX('كشف الحساب'!$E$4:$E$203,MATCH(95,'كشف الحساب'!$L$4:$L$203,0)),"")</f>
        <v/>
      </c>
      <c r="F99" s="15" t="str">
        <f aca="false">IFERROR(INDEX('كشف الحساب'!$F$4:$F$203,MATCH(95,'كشف الحساب'!$L$4:$L$203,0)),"")</f>
        <v/>
      </c>
      <c r="G99" s="16"/>
      <c r="H99" s="1" t="str">
        <f aca="false">IF(AND(OR('طباعة المحفظة'!$C$2="الكل",IFERROR(MONTH(A99),0)=IFERROR(MATCH('طباعة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المحفظة'!$F$2="الكل",IFERROR(YEAR(A99),0)=IFERROR(VALUE('طباعة المحفظة'!$F$2),0)),A99&lt;&gt;""),IFERROR(MAX($H$5:H98),0)+1,"")</f>
        <v/>
      </c>
    </row>
    <row r="100" customFormat="false" ht="18" hidden="false" customHeight="true" outlineLevel="0" collapsed="false">
      <c r="A100" s="17" t="str">
        <f aca="false">IFERROR(INDEX('كشف الحساب'!$A$4:$A$203,MATCH(96,'كشف الحساب'!$L$4:$L$203,0)),"")</f>
        <v/>
      </c>
      <c r="B100" s="18" t="str">
        <f aca="false">IFERROR(INDEX('كشف الحساب'!$B$4:$B$203,MATCH(96,'كشف الحساب'!$L$4:$L$203,0)),"")</f>
        <v/>
      </c>
      <c r="C100" s="19" t="str">
        <f aca="false">IFERROR(INDEX('كشف الحساب'!$C$4:$C$203,MATCH(96,'كشف الحساب'!$L$4:$L$203,0)),"")</f>
        <v/>
      </c>
      <c r="D100" s="20" t="s">
        <v>6</v>
      </c>
      <c r="E100" s="21" t="str">
        <f aca="false">IFERROR(INDEX('كشف الحساب'!$E$4:$E$203,MATCH(96,'كشف الحساب'!$L$4:$L$203,0)),"")</f>
        <v/>
      </c>
      <c r="F100" s="22" t="str">
        <f aca="false">IFERROR(INDEX('كشف الحساب'!$F$4:$F$203,MATCH(96,'كشف الحساب'!$L$4:$L$203,0)),"")</f>
        <v/>
      </c>
      <c r="G100" s="23"/>
      <c r="H100" s="1" t="str">
        <f aca="false">IF(AND(OR('طباعة المحفظة'!$C$2="الكل",IFERROR(MONTH(A100),0)=IFERROR(MATCH('طباعة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المحفظة'!$F$2="الكل",IFERROR(YEAR(A100),0)=IFERROR(VALUE('طباعة المحفظة'!$F$2),0)),A100&lt;&gt;""),IFERROR(MAX($H$5:H99),0)+1,"")</f>
        <v/>
      </c>
    </row>
    <row r="101" customFormat="false" ht="18" hidden="false" customHeight="true" outlineLevel="0" collapsed="false">
      <c r="A101" s="10" t="str">
        <f aca="false">IFERROR(INDEX('كشف الحساب'!$A$4:$A$203,MATCH(97,'كشف الحساب'!$L$4:$L$203,0)),"")</f>
        <v/>
      </c>
      <c r="B101" s="11" t="str">
        <f aca="false">IFERROR(INDEX('كشف الحساب'!$B$4:$B$203,MATCH(97,'كشف الحساب'!$L$4:$L$203,0)),"")</f>
        <v/>
      </c>
      <c r="C101" s="12" t="str">
        <f aca="false">IFERROR(INDEX('كشف الحساب'!$C$4:$C$203,MATCH(97,'كشف الحساب'!$L$4:$L$203,0)),"")</f>
        <v/>
      </c>
      <c r="D101" s="13" t="s">
        <v>6</v>
      </c>
      <c r="E101" s="14" t="str">
        <f aca="false">IFERROR(INDEX('كشف الحساب'!$E$4:$E$203,MATCH(97,'كشف الحساب'!$L$4:$L$203,0)),"")</f>
        <v/>
      </c>
      <c r="F101" s="15" t="str">
        <f aca="false">IFERROR(INDEX('كشف الحساب'!$F$4:$F$203,MATCH(97,'كشف الحساب'!$L$4:$L$203,0)),"")</f>
        <v/>
      </c>
      <c r="G101" s="16"/>
      <c r="H101" s="1" t="str">
        <f aca="false">IF(AND(OR('طباعة المحفظة'!$C$2="الكل",IFERROR(MONTH(A101),0)=IFERROR(MATCH('طباعة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المحفظة'!$F$2="الكل",IFERROR(YEAR(A101),0)=IFERROR(VALUE('طباعة المحفظة'!$F$2),0)),A101&lt;&gt;""),IFERROR(MAX($H$5:H100),0)+1,"")</f>
        <v/>
      </c>
    </row>
    <row r="102" customFormat="false" ht="18" hidden="false" customHeight="true" outlineLevel="0" collapsed="false">
      <c r="A102" s="17" t="str">
        <f aca="false">IFERROR(INDEX('كشف الحساب'!$A$4:$A$203,MATCH(98,'كشف الحساب'!$L$4:$L$203,0)),"")</f>
        <v/>
      </c>
      <c r="B102" s="18" t="str">
        <f aca="false">IFERROR(INDEX('كشف الحساب'!$B$4:$B$203,MATCH(98,'كشف الحساب'!$L$4:$L$203,0)),"")</f>
        <v/>
      </c>
      <c r="C102" s="19" t="str">
        <f aca="false">IFERROR(INDEX('كشف الحساب'!$C$4:$C$203,MATCH(98,'كشف الحساب'!$L$4:$L$203,0)),"")</f>
        <v/>
      </c>
      <c r="D102" s="20" t="s">
        <v>6</v>
      </c>
      <c r="E102" s="21" t="str">
        <f aca="false">IFERROR(INDEX('كشف الحساب'!$E$4:$E$203,MATCH(98,'كشف الحساب'!$L$4:$L$203,0)),"")</f>
        <v/>
      </c>
      <c r="F102" s="22" t="str">
        <f aca="false">IFERROR(INDEX('كشف الحساب'!$F$4:$F$203,MATCH(98,'كشف الحساب'!$L$4:$L$203,0)),"")</f>
        <v/>
      </c>
      <c r="G102" s="23"/>
      <c r="H102" s="1" t="str">
        <f aca="false">IF(AND(OR('طباعة المحفظة'!$C$2="الكل",IFERROR(MONTH(A102),0)=IFERROR(MATCH('طباعة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المحفظة'!$F$2="الكل",IFERROR(YEAR(A102),0)=IFERROR(VALUE('طباعة المحفظة'!$F$2),0)),A102&lt;&gt;""),IFERROR(MAX($H$5:H101),0)+1,"")</f>
        <v/>
      </c>
    </row>
    <row r="103" customFormat="false" ht="18" hidden="false" customHeight="true" outlineLevel="0" collapsed="false">
      <c r="A103" s="10" t="str">
        <f aca="false">IFERROR(INDEX('كشف الحساب'!$A$4:$A$203,MATCH(99,'كشف الحساب'!$L$4:$L$203,0)),"")</f>
        <v/>
      </c>
      <c r="B103" s="11" t="str">
        <f aca="false">IFERROR(INDEX('كشف الحساب'!$B$4:$B$203,MATCH(99,'كشف الحساب'!$L$4:$L$203,0)),"")</f>
        <v/>
      </c>
      <c r="C103" s="12" t="str">
        <f aca="false">IFERROR(INDEX('كشف الحساب'!$C$4:$C$203,MATCH(99,'كشف الحساب'!$L$4:$L$203,0)),"")</f>
        <v/>
      </c>
      <c r="D103" s="13" t="s">
        <v>6</v>
      </c>
      <c r="E103" s="14" t="str">
        <f aca="false">IFERROR(INDEX('كشف الحساب'!$E$4:$E$203,MATCH(99,'كشف الحساب'!$L$4:$L$203,0)),"")</f>
        <v/>
      </c>
      <c r="F103" s="15" t="str">
        <f aca="false">IFERROR(INDEX('كشف الحساب'!$F$4:$F$203,MATCH(99,'كشف الحساب'!$L$4:$L$203,0)),"")</f>
        <v/>
      </c>
      <c r="G103" s="16"/>
      <c r="H103" s="1" t="str">
        <f aca="false">IF(AND(OR('طباعة المحفظة'!$C$2="الكل",IFERROR(MONTH(A103),0)=IFERROR(MATCH('طباعة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المحفظة'!$F$2="الكل",IFERROR(YEAR(A103),0)=IFERROR(VALUE('طباعة المحفظة'!$F$2),0)),A103&lt;&gt;""),IFERROR(MAX($H$5:H102),0)+1,"")</f>
        <v/>
      </c>
    </row>
    <row r="104" customFormat="false" ht="18" hidden="false" customHeight="true" outlineLevel="0" collapsed="false">
      <c r="A104" s="17" t="str">
        <f aca="false">IFERROR(INDEX('كشف الحساب'!$A$4:$A$203,MATCH(100,'كشف الحساب'!$L$4:$L$203,0)),"")</f>
        <v/>
      </c>
      <c r="B104" s="18" t="str">
        <f aca="false">IFERROR(INDEX('كشف الحساب'!$B$4:$B$203,MATCH(100,'كشف الحساب'!$L$4:$L$203,0)),"")</f>
        <v/>
      </c>
      <c r="C104" s="19" t="str">
        <f aca="false">IFERROR(INDEX('كشف الحساب'!$C$4:$C$203,MATCH(100,'كشف الحساب'!$L$4:$L$203,0)),"")</f>
        <v/>
      </c>
      <c r="D104" s="20" t="s">
        <v>6</v>
      </c>
      <c r="E104" s="21" t="str">
        <f aca="false">IFERROR(INDEX('كشف الحساب'!$E$4:$E$203,MATCH(100,'كشف الحساب'!$L$4:$L$203,0)),"")</f>
        <v/>
      </c>
      <c r="F104" s="22" t="str">
        <f aca="false">IFERROR(INDEX('كشف الحساب'!$F$4:$F$203,MATCH(100,'كشف الحساب'!$L$4:$L$203,0)),"")</f>
        <v/>
      </c>
      <c r="G104" s="23"/>
      <c r="H104" s="1" t="str">
        <f aca="false">IF(AND(OR('طباعة المحفظة'!$C$2="الكل",IFERROR(MONTH(A104),0)=IFERROR(MATCH('طباعة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المحفظة'!$F$2="الكل",IFERROR(YEAR(A104),0)=IFERROR(VALUE('طباعة المحفظة'!$F$2),0)),A104&lt;&gt;""),IFERROR(MAX($H$5:H103),0)+1,"")</f>
        <v/>
      </c>
    </row>
    <row r="105" customFormat="false" ht="21.75" hidden="false" customHeight="true" outlineLevel="0" collapsed="false">
      <c r="A105" s="24" t="s">
        <v>7</v>
      </c>
      <c r="B105" s="24"/>
      <c r="C105" s="24"/>
      <c r="D105" s="24"/>
      <c r="E105" s="25" t="n">
        <f aca="false">SUM(E5:E104)</f>
        <v>479.1</v>
      </c>
    </row>
    <row r="106" customFormat="false" ht="21.75" hidden="false" customHeight="true" outlineLevel="0" collapsed="false">
      <c r="A106" s="26" t="s">
        <v>8</v>
      </c>
      <c r="B106" s="26"/>
      <c r="C106" s="26"/>
      <c r="D106" s="26"/>
      <c r="E106" s="26"/>
      <c r="F106" s="26"/>
      <c r="G106" s="26"/>
    </row>
    <row r="107" customFormat="false" ht="18" hidden="false" customHeight="true" outlineLevel="0" collapsed="false">
      <c r="A107" s="27" t="n">
        <f aca="false">IFERROR(INDEX('كشف الحساب'!$A$4:$A$203,MATCH(1,'كشف الحساب'!$M$4:$M$203,0)),"")</f>
        <v>46117</v>
      </c>
      <c r="B107" s="28" t="str">
        <f aca="false">IFERROR(INDEX('كشف الحساب'!$B$4:$B$203,MATCH(1,'كشف الحساب'!$M$4:$M$203,0)),"")</f>
        <v>82869</v>
      </c>
      <c r="C107" s="29" t="str">
        <f aca="false">IFERROR(INDEX('كشف الحساب'!$C$4:$C$203,MATCH(1,'كشف الحساب'!$M$4:$M$203,0)),"")</f>
        <v>مبيدات الاتحاد الكويتي للمزارعين</v>
      </c>
      <c r="D107" s="30" t="n">
        <f aca="false">IFERROR(INDEX('كشف الحساب'!$D$4:$D$203,MATCH(1,'كشف الحساب'!$M$4:$M$203,0)),"")</f>
        <v>4.5</v>
      </c>
      <c r="E107" s="31" t="s">
        <v>6</v>
      </c>
      <c r="F107" s="32" t="str">
        <f aca="false">IFERROR(INDEX('كشف الحساب'!$I$4:$I$203,MATCH(1,'كشف الحساب'!$M$4:$M$203,0)),"")</f>
        <v>مبيدات وأسمدة</v>
      </c>
      <c r="G107" s="33"/>
      <c r="H107" s="1" t="str">
        <f aca="false">IF(AND(OR('طباعة المحفظة'!$C$2="الكل",IFERROR(MONTH(A107),0)=IFERROR(MATCH('طباعة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المحفظة'!$F$2="الكل",IFERROR(YEAR(A107),0)=IFERROR(VALUE('طباعة المحفظة'!$F$2),0)),A107&lt;&gt;""),1,"")</f>
        <v/>
      </c>
    </row>
    <row r="108" customFormat="false" ht="18" hidden="false" customHeight="true" outlineLevel="0" collapsed="false">
      <c r="A108" s="34" t="n">
        <f aca="false">IFERROR(INDEX('كشف الحساب'!$A$4:$A$203,MATCH(2,'كشف الحساب'!$M$4:$M$203,0)),"")</f>
        <v>46124</v>
      </c>
      <c r="B108" s="35" t="str">
        <f aca="false">IFERROR(INDEX('كشف الحساب'!$B$4:$B$203,MATCH(2,'كشف الحساب'!$M$4:$M$203,0)),"")</f>
        <v>242</v>
      </c>
      <c r="C108" s="36" t="str">
        <f aca="false">IFERROR(INDEX('كشف الحساب'!$C$4:$C$203,MATCH(2,'كشف الحساب'!$M$4:$M$203,0)),"")</f>
        <v>احواض حجم 18سم عدد 2000</v>
      </c>
      <c r="D108" s="37" t="n">
        <f aca="false">IFERROR(INDEX('كشف الحساب'!$D$4:$D$203,MATCH(2,'كشف الحساب'!$M$4:$M$203,0)),"")</f>
        <v>90</v>
      </c>
      <c r="E108" s="38" t="s">
        <v>6</v>
      </c>
      <c r="F108" s="39" t="str">
        <f aca="false">IFERROR(INDEX('كشف الحساب'!$I$4:$I$203,MATCH(2,'كشف الحساب'!$M$4:$M$203,0)),"")</f>
        <v>مستلزمات زراعية</v>
      </c>
      <c r="G108" s="40"/>
      <c r="H108" s="1" t="str">
        <f aca="false">IF(AND(OR('طباعة المحفظة'!$C$2="الكل",IFERROR(MONTH(A108),0)=IFERROR(MATCH('طباعة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المحفظة'!$F$2="الكل",IFERROR(YEAR(A108),0)=IFERROR(VALUE('طباعة المحفظة'!$F$2),0)),A108&lt;&gt;""),IFERROR(MAX($H$107:H107),0)+1,"")</f>
        <v/>
      </c>
    </row>
    <row r="109" customFormat="false" ht="18" hidden="false" customHeight="true" outlineLevel="0" collapsed="false">
      <c r="A109" s="27" t="n">
        <f aca="false">IFERROR(INDEX('كشف الحساب'!$A$4:$A$203,MATCH(3,'كشف الحساب'!$M$4:$M$203,0)),"")</f>
        <v>46134</v>
      </c>
      <c r="B109" s="28" t="str">
        <f aca="false">IFERROR(INDEX('كشف الحساب'!$B$4:$B$203,MATCH(3,'كشف الحساب'!$M$4:$M$203,0)),"")</f>
        <v>8127</v>
      </c>
      <c r="C109" s="29" t="str">
        <f aca="false">IFERROR(INDEX('كشف الحساب'!$C$4:$C$203,MATCH(3,'كشف الحساب'!$M$4:$M$203,0)),"")</f>
        <v>تاير لعربة الرش</v>
      </c>
      <c r="D109" s="30" t="n">
        <f aca="false">IFERROR(INDEX('كشف الحساب'!$D$4:$D$203,MATCH(3,'كشف الحساب'!$M$4:$M$203,0)),"")</f>
        <v>3</v>
      </c>
      <c r="E109" s="31" t="s">
        <v>6</v>
      </c>
      <c r="F109" s="32" t="str">
        <f aca="false">IFERROR(INDEX('كشف الحساب'!$I$4:$I$203,MATCH(3,'كشف الحساب'!$M$4:$M$203,0)),"")</f>
        <v>مستلزمات زراعية</v>
      </c>
      <c r="G109" s="33"/>
      <c r="H109" s="1" t="str">
        <f aca="false">IF(AND(OR('طباعة المحفظة'!$C$2="الكل",IFERROR(MONTH(A109),0)=IFERROR(MATCH('طباعة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المحفظة'!$F$2="الكل",IFERROR(YEAR(A109),0)=IFERROR(VALUE('طباعة المحفظة'!$F$2),0)),A109&lt;&gt;""),IFERROR(MAX($H$107:H108),0)+1,"")</f>
        <v/>
      </c>
    </row>
    <row r="110" customFormat="false" ht="18" hidden="false" customHeight="true" outlineLevel="0" collapsed="false">
      <c r="A110" s="34" t="n">
        <f aca="false">IFERROR(INDEX('كشف الحساب'!$A$4:$A$203,MATCH(4,'كشف الحساب'!$M$4:$M$203,0)),"")</f>
        <v>46142</v>
      </c>
      <c r="B110" s="35" t="n">
        <f aca="false">IFERROR(INDEX('كشف الحساب'!$B$4:$B$203,MATCH(4,'كشف الحساب'!$M$4:$M$203,0)),"")</f>
        <v>40505</v>
      </c>
      <c r="C110" s="36" t="str">
        <f aca="false">IFERROR(INDEX('كشف الحساب'!$C$4:$C$203,MATCH(4,'كشف الحساب'!$M$4:$M$203,0)),"")</f>
        <v>احواض حجم 14سم عدد 2000</v>
      </c>
      <c r="D110" s="37" t="n">
        <f aca="false">IFERROR(INDEX('كشف الحساب'!$D$4:$D$203,MATCH(4,'كشف الحساب'!$M$4:$M$203,0)),"")</f>
        <v>40</v>
      </c>
      <c r="E110" s="38" t="s">
        <v>6</v>
      </c>
      <c r="F110" s="39" t="str">
        <f aca="false">IFERROR(INDEX('كشف الحساب'!$I$4:$I$203,MATCH(4,'كشف الحساب'!$M$4:$M$203,0)),"")</f>
        <v>أحواض وأدوات</v>
      </c>
      <c r="G110" s="40"/>
      <c r="H110" s="1" t="str">
        <f aca="false">IF(AND(OR('طباعة المحفظة'!$C$2="الكل",IFERROR(MONTH(A110),0)=IFERROR(MATCH('طباعة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المحفظة'!$F$2="الكل",IFERROR(YEAR(A110),0)=IFERROR(VALUE('طباعة المحفظة'!$F$2),0)),A110&lt;&gt;""),IFERROR(MAX($H$107:H109),0)+1,"")</f>
        <v/>
      </c>
    </row>
    <row r="111" customFormat="false" ht="18" hidden="false" customHeight="true" outlineLevel="0" collapsed="false">
      <c r="A111" s="27" t="n">
        <f aca="false">IFERROR(INDEX('كشف الحساب'!$A$4:$A$203,MATCH(5,'كشف الحساب'!$M$4:$M$203,0)),"")</f>
        <v>46142</v>
      </c>
      <c r="B111" s="28" t="n">
        <f aca="false">IFERROR(INDEX('كشف الحساب'!$B$4:$B$203,MATCH(5,'كشف الحساب'!$M$4:$M$203,0)),"")</f>
        <v>5370</v>
      </c>
      <c r="C111" s="29" t="str">
        <f aca="false">IFERROR(INDEX('كشف الحساب'!$C$4:$C$203,MATCH(5,'كشف الحساب'!$M$4:$M$203,0)),"")</f>
        <v>جبس لتغطيه المحميه</v>
      </c>
      <c r="D111" s="30" t="n">
        <f aca="false">IFERROR(INDEX('كشف الحساب'!$D$4:$D$203,MATCH(5,'كشف الحساب'!$M$4:$M$203,0)),"")</f>
        <v>3</v>
      </c>
      <c r="E111" s="31" t="s">
        <v>6</v>
      </c>
      <c r="F111" s="32" t="str">
        <f aca="false">IFERROR(INDEX('كشف الحساب'!$I$4:$I$203,MATCH(5,'كشف الحساب'!$M$4:$M$203,0)),"")</f>
        <v>مبيدات وأسمدة</v>
      </c>
      <c r="G111" s="33"/>
      <c r="H111" s="1" t="str">
        <f aca="false">IF(AND(OR('طباعة المحفظة'!$C$2="الكل",IFERROR(MONTH(A111),0)=IFERROR(MATCH('طباعة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المحفظة'!$F$2="الكل",IFERROR(YEAR(A111),0)=IFERROR(VALUE('طباعة المحفظة'!$F$2),0)),A111&lt;&gt;""),IFERROR(MAX($H$107:H110),0)+1,"")</f>
        <v/>
      </c>
    </row>
    <row r="112" customFormat="false" ht="18" hidden="false" customHeight="true" outlineLevel="0" collapsed="false">
      <c r="A112" s="34" t="n">
        <f aca="false">IFERROR(INDEX('كشف الحساب'!$A$4:$A$203,MATCH(6,'كشف الحساب'!$M$4:$M$203,0)),"")</f>
        <v>46151</v>
      </c>
      <c r="B112" s="35" t="str">
        <f aca="false">IFERROR(INDEX('كشف الحساب'!$B$4:$B$203,MATCH(6,'كشف الحساب'!$M$4:$M$203,0)),"")</f>
        <v>Inv-013</v>
      </c>
      <c r="C112" s="36" t="str">
        <f aca="false">IFERROR(INDEX('كشف الحساب'!$C$4:$C$203,MATCH(6,'كشف الحساب'!$M$4:$M$203,0)),"")</f>
        <v>فل عدد 21 سعر الحبه .0.750</v>
      </c>
      <c r="D112" s="37" t="n">
        <f aca="false">IFERROR(INDEX('كشف الحساب'!$D$4:$D$203,MATCH(6,'كشف الحساب'!$M$4:$M$203,0)),"")</f>
        <v>0</v>
      </c>
      <c r="E112" s="38" t="s">
        <v>6</v>
      </c>
      <c r="F112" s="39" t="n">
        <f aca="false">IFERROR(INDEX('كشف الحساب'!$I$4:$I$203,MATCH(6,'كشف الحساب'!$M$4:$M$203,0)),"")</f>
        <v>0</v>
      </c>
      <c r="G112" s="40"/>
      <c r="H112" s="1" t="n">
        <f aca="false">IF(AND(OR('طباعة المحفظة'!$C$2="الكل",IFERROR(MONTH(A112),0)=IFERROR(MATCH('طباعة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المحفظة'!$F$2="الكل",IFERROR(YEAR(A112),0)=IFERROR(VALUE('طباعة المحفظة'!$F$2),0)),A112&lt;&gt;""),IFERROR(MAX($H$107:H111),0)+1,"")</f>
        <v>1</v>
      </c>
    </row>
    <row r="113" customFormat="false" ht="18" hidden="false" customHeight="true" outlineLevel="0" collapsed="false">
      <c r="A113" s="27" t="n">
        <f aca="false">IFERROR(INDEX('كشف الحساب'!$A$4:$A$203,MATCH(7,'كشف الحساب'!$M$4:$M$203,0)),"")</f>
        <v>46161</v>
      </c>
      <c r="B113" s="28" t="str">
        <f aca="false">IFERROR(INDEX('كشف الحساب'!$B$4:$B$203,MATCH(7,'كشف الحساب'!$M$4:$M$203,0)),"")</f>
        <v>Inv-30</v>
      </c>
      <c r="C113" s="29" t="str">
        <f aca="false">IFERROR(INDEX('كشف الحساب'!$C$4:$C$203,MATCH(7,'كشف الحساب'!$M$4:$M$203,0)),"")</f>
        <v>فل عدد 30 الحبه 0.750</v>
      </c>
      <c r="D113" s="30" t="n">
        <f aca="false">IFERROR(INDEX('كشف الحساب'!$D$4:$D$203,MATCH(7,'كشف الحساب'!$M$4:$M$203,0)),"")</f>
        <v>0</v>
      </c>
      <c r="E113" s="31" t="s">
        <v>6</v>
      </c>
      <c r="F113" s="32" t="n">
        <f aca="false">IFERROR(INDEX('كشف الحساب'!$I$4:$I$203,MATCH(7,'كشف الحساب'!$M$4:$M$203,0)),"")</f>
        <v>0</v>
      </c>
      <c r="G113" s="33"/>
      <c r="H113" s="1" t="n">
        <f aca="false">IF(AND(OR('طباعة المحفظة'!$C$2="الكل",IFERROR(MONTH(A113),0)=IFERROR(MATCH('طباعة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المحفظة'!$F$2="الكل",IFERROR(YEAR(A113),0)=IFERROR(VALUE('طباعة المحفظة'!$F$2),0)),A113&lt;&gt;""),IFERROR(MAX($H$107:H112),0)+1,"")</f>
        <v>2</v>
      </c>
    </row>
    <row r="114" customFormat="false" ht="18" hidden="false" customHeight="true" outlineLevel="0" collapsed="false">
      <c r="A114" s="34" t="n">
        <f aca="false">IFERROR(INDEX('كشف الحساب'!$A$4:$A$203,MATCH(8,'كشف الحساب'!$M$4:$M$203,0)),"")</f>
        <v>46175</v>
      </c>
      <c r="B114" s="35" t="str">
        <f aca="false">IFERROR(INDEX('كشف الحساب'!$B$4:$B$203,MATCH(8,'كشف الحساب'!$M$4:$M$203,0)),"")</f>
        <v>Inv-53</v>
      </c>
      <c r="C114" s="36" t="str">
        <f aca="false">IFERROR(INDEX('كشف الحساب'!$C$4:$C$203,MATCH(8,'كشف الحساب'!$M$4:$M$203,0)),"")</f>
        <v>فل عدد 24 الحبه .750</v>
      </c>
      <c r="D114" s="37" t="n">
        <f aca="false">IFERROR(INDEX('كشف الحساب'!$D$4:$D$203,MATCH(8,'كشف الحساب'!$M$4:$M$203,0)),"")</f>
        <v>0</v>
      </c>
      <c r="E114" s="38" t="s">
        <v>6</v>
      </c>
      <c r="F114" s="39" t="n">
        <f aca="false">IFERROR(INDEX('كشف الحساب'!$I$4:$I$203,MATCH(8,'كشف الحساب'!$M$4:$M$203,0)),"")</f>
        <v>0</v>
      </c>
      <c r="G114" s="40"/>
      <c r="H114" s="1" t="str">
        <f aca="false">IF(AND(OR('طباعة المحفظة'!$C$2="الكل",IFERROR(MONTH(A114),0)=IFERROR(MATCH('طباعة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المحفظة'!$F$2="الكل",IFERROR(YEAR(A114),0)=IFERROR(VALUE('طباعة المحفظة'!$F$2),0)),A114&lt;&gt;""),IFERROR(MAX($H$107:H113),0)+1,"")</f>
        <v/>
      </c>
    </row>
    <row r="115" customFormat="false" ht="18" hidden="false" customHeight="true" outlineLevel="0" collapsed="false">
      <c r="A115" s="27" t="n">
        <f aca="false">IFERROR(INDEX('كشف الحساب'!$A$4:$A$203,MATCH(9,'كشف الحساب'!$M$4:$M$203,0)),"")</f>
        <v>46177</v>
      </c>
      <c r="B115" s="28" t="n">
        <f aca="false">IFERROR(INDEX('كشف الحساب'!$B$4:$B$203,MATCH(9,'كشف الحساب'!$M$4:$M$203,0)),"")</f>
        <v>0</v>
      </c>
      <c r="C115" s="29" t="str">
        <f aca="false">IFERROR(INDEX('كشف الحساب'!$C$4:$C$203,MATCH(9,'كشف الحساب'!$M$4:$M$203,0)),"")</f>
        <v>تاير لعربة الرش</v>
      </c>
      <c r="D115" s="30" t="n">
        <f aca="false">IFERROR(INDEX('كشف الحساب'!$D$4:$D$203,MATCH(9,'كشف الحساب'!$M$4:$M$203,0)),"")</f>
        <v>3.25</v>
      </c>
      <c r="E115" s="31" t="s">
        <v>6</v>
      </c>
      <c r="F115" s="32" t="n">
        <f aca="false">IFERROR(INDEX('كشف الحساب'!$I$4:$I$203,MATCH(9,'كشف الحساب'!$M$4:$M$203,0)),"")</f>
        <v>0</v>
      </c>
      <c r="G115" s="33"/>
      <c r="H115" s="1" t="str">
        <f aca="false">IF(AND(OR('طباعة المحفظة'!$C$2="الكل",IFERROR(MONTH(A115),0)=IFERROR(MATCH('طباعة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المحفظة'!$F$2="الكل",IFERROR(YEAR(A115),0)=IFERROR(VALUE('طباعة المحفظة'!$F$2),0)),A115&lt;&gt;""),IFERROR(MAX($H$107:H114),0)+1,"")</f>
        <v/>
      </c>
    </row>
    <row r="116" customFormat="false" ht="18" hidden="false" customHeight="true" outlineLevel="0" collapsed="false">
      <c r="A116" s="34" t="n">
        <f aca="false">IFERROR(INDEX('كشف الحساب'!$A$4:$A$203,MATCH(10,'كشف الحساب'!$M$4:$M$203,0)),"")</f>
        <v>46177</v>
      </c>
      <c r="B116" s="35" t="n">
        <f aca="false">IFERROR(INDEX('كشف الحساب'!$B$4:$B$203,MATCH(10,'كشف الحساب'!$M$4:$M$203,0)),"")</f>
        <v>0</v>
      </c>
      <c r="C116" s="36" t="str">
        <f aca="false">IFERROR(INDEX('كشف الحساب'!$C$4:$C$203,MATCH(10,'كشف الحساب'!$M$4:$M$203,0)),"")</f>
        <v>حفاره خلط السماد</v>
      </c>
      <c r="D116" s="37" t="n">
        <f aca="false">IFERROR(INDEX('كشف الحساب'!$D$4:$D$203,MATCH(10,'كشف الحساب'!$M$4:$M$203,0)),"")</f>
        <v>12</v>
      </c>
      <c r="E116" s="38" t="s">
        <v>6</v>
      </c>
      <c r="F116" s="39" t="n">
        <f aca="false">IFERROR(INDEX('كشف الحساب'!$I$4:$I$203,MATCH(10,'كشف الحساب'!$M$4:$M$203,0)),"")</f>
        <v>0</v>
      </c>
      <c r="G116" s="40"/>
      <c r="H116" s="1" t="str">
        <f aca="false">IF(AND(OR('طباعة المحفظة'!$C$2="الكل",IFERROR(MONTH(A116),0)=IFERROR(MATCH('طباعة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المحفظة'!$F$2="الكل",IFERROR(YEAR(A116),0)=IFERROR(VALUE('طباعة المحفظة'!$F$2),0)),A116&lt;&gt;""),IFERROR(MAX($H$107:H115),0)+1,"")</f>
        <v/>
      </c>
    </row>
    <row r="117" customFormat="false" ht="18" hidden="false" customHeight="true" outlineLevel="0" collapsed="false">
      <c r="A117" s="27" t="n">
        <f aca="false">IFERROR(INDEX('كشف الحساب'!$A$4:$A$203,MATCH(11,'كشف الحساب'!$M$4:$M$203,0)),"")</f>
        <v>46179</v>
      </c>
      <c r="B117" s="28" t="str">
        <f aca="false">IFERROR(INDEX('كشف الحساب'!$B$4:$B$203,MATCH(11,'كشف الحساب'!$M$4:$M$203,0)),"")</f>
        <v>Inv-58</v>
      </c>
      <c r="C117" s="29" t="str">
        <f aca="false">IFERROR(INDEX('كشف الحساب'!$C$4:$C$203,MATCH(11,'كشف الحساب'!$M$4:$M$203,0)),"")</f>
        <v>دارسينا عدد3 بقيمه 1 للحبه</v>
      </c>
      <c r="D117" s="30" t="n">
        <f aca="false">IFERROR(INDEX('كشف الحساب'!$D$4:$D$203,MATCH(11,'كشف الحساب'!$M$4:$M$203,0)),"")</f>
        <v>0</v>
      </c>
      <c r="E117" s="31" t="s">
        <v>6</v>
      </c>
      <c r="F117" s="32" t="n">
        <f aca="false">IFERROR(INDEX('كشف الحساب'!$I$4:$I$203,MATCH(11,'كشف الحساب'!$M$4:$M$203,0)),"")</f>
        <v>0</v>
      </c>
      <c r="G117" s="33"/>
      <c r="H117" s="1" t="str">
        <f aca="false">IF(AND(OR('طباعة المحفظة'!$C$2="الكل",IFERROR(MONTH(A117),0)=IFERROR(MATCH('طباعة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المحفظة'!$F$2="الكل",IFERROR(YEAR(A117),0)=IFERROR(VALUE('طباعة المحفظة'!$F$2),0)),A117&lt;&gt;""),IFERROR(MAX($H$107:H116),0)+1,"")</f>
        <v/>
      </c>
    </row>
    <row r="118" customFormat="false" ht="18" hidden="false" customHeight="true" outlineLevel="0" collapsed="false">
      <c r="A118" s="34" t="n">
        <f aca="false">IFERROR(INDEX('كشف الحساب'!$A$4:$A$203,MATCH(12,'كشف الحساب'!$M$4:$M$203,0)),"")</f>
        <v>46181</v>
      </c>
      <c r="B118" s="35" t="n">
        <f aca="false">IFERROR(INDEX('كشف الحساب'!$B$4:$B$203,MATCH(12,'كشف الحساب'!$M$4:$M$203,0)),"")</f>
        <v>0</v>
      </c>
      <c r="C118" s="36" t="str">
        <f aca="false">IFERROR(INDEX('كشف الحساب'!$C$4:$C$203,MATCH(12,'كشف الحساب'!$M$4:$M$203,0)),"")</f>
        <v>حديد اسود للمحميه الصغيره الجديده</v>
      </c>
      <c r="D118" s="37" t="n">
        <f aca="false">IFERROR(INDEX('كشف الحساب'!$D$4:$D$203,MATCH(12,'كشف الحساب'!$M$4:$M$203,0)),"")</f>
        <v>46.75</v>
      </c>
      <c r="E118" s="38" t="s">
        <v>6</v>
      </c>
      <c r="F118" s="39" t="n">
        <f aca="false">IFERROR(INDEX('كشف الحساب'!$I$4:$I$203,MATCH(12,'كشف الحساب'!$M$4:$M$203,0)),"")</f>
        <v>0</v>
      </c>
      <c r="G118" s="40"/>
      <c r="H118" s="1" t="str">
        <f aca="false">IF(AND(OR('طباعة المحفظة'!$C$2="الكل",IFERROR(MONTH(A118),0)=IFERROR(MATCH('طباعة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المحفظة'!$F$2="الكل",IFERROR(YEAR(A118),0)=IFERROR(VALUE('طباعة المحفظة'!$F$2),0)),A118&lt;&gt;""),IFERROR(MAX($H$107:H117),0)+1,"")</f>
        <v/>
      </c>
    </row>
    <row r="119" customFormat="false" ht="18" hidden="false" customHeight="true" outlineLevel="0" collapsed="false">
      <c r="A119" s="27" t="n">
        <f aca="false">IFERROR(INDEX('كشف الحساب'!$A$4:$A$203,MATCH(13,'كشف الحساب'!$M$4:$M$203,0)),"")</f>
        <v>46182</v>
      </c>
      <c r="B119" s="28" t="str">
        <f aca="false">IFERROR(INDEX('كشف الحساب'!$B$4:$B$203,MATCH(13,'كشف الحساب'!$M$4:$M$203,0)),"")</f>
        <v>Inv-62</v>
      </c>
      <c r="C119" s="29" t="str">
        <f aca="false">IFERROR(INDEX('كشف الحساب'!$C$4:$C$203,MATCH(13,'كشف الحساب'!$M$4:$M$203,0)),"")</f>
        <v>فل عدد 30 الحبه 0.750</v>
      </c>
      <c r="D119" s="30" t="n">
        <f aca="false">IFERROR(INDEX('كشف الحساب'!$D$4:$D$203,MATCH(13,'كشف الحساب'!$M$4:$M$203,0)),"")</f>
        <v>0</v>
      </c>
      <c r="E119" s="31" t="s">
        <v>6</v>
      </c>
      <c r="F119" s="32" t="n">
        <f aca="false">IFERROR(INDEX('كشف الحساب'!$I$4:$I$203,MATCH(13,'كشف الحساب'!$M$4:$M$203,0)),"")</f>
        <v>0</v>
      </c>
      <c r="G119" s="33"/>
      <c r="H119" s="1" t="str">
        <f aca="false">IF(AND(OR('طباعة المحفظة'!$C$2="الكل",IFERROR(MONTH(A119),0)=IFERROR(MATCH('طباعة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المحفظة'!$F$2="الكل",IFERROR(YEAR(A119),0)=IFERROR(VALUE('طباعة المحفظة'!$F$2),0)),A119&lt;&gt;""),IFERROR(MAX($H$107:H118),0)+1,"")</f>
        <v/>
      </c>
    </row>
    <row r="120" customFormat="false" ht="18" hidden="false" customHeight="true" outlineLevel="0" collapsed="false">
      <c r="A120" s="34" t="str">
        <f aca="false">IFERROR(INDEX('كشف الحساب'!$A$4:$A$203,MATCH(14,'كشف الحساب'!$M$4:$M$203,0)),"")</f>
        <v/>
      </c>
      <c r="B120" s="35" t="str">
        <f aca="false">IFERROR(INDEX('كشف الحساب'!$B$4:$B$203,MATCH(14,'كشف الحساب'!$M$4:$M$203,0)),"")</f>
        <v/>
      </c>
      <c r="C120" s="36" t="str">
        <f aca="false">IFERROR(INDEX('كشف الحساب'!$C$4:$C$203,MATCH(14,'كشف الحساب'!$M$4:$M$203,0)),"")</f>
        <v/>
      </c>
      <c r="D120" s="37" t="str">
        <f aca="false">IFERROR(INDEX('كشف الحساب'!$D$4:$D$203,MATCH(14,'كشف الحساب'!$M$4:$M$203,0)),"")</f>
        <v/>
      </c>
      <c r="E120" s="38" t="s">
        <v>6</v>
      </c>
      <c r="F120" s="39" t="str">
        <f aca="false">IFERROR(INDEX('كشف الحساب'!$I$4:$I$203,MATCH(14,'كشف الحساب'!$M$4:$M$203,0)),"")</f>
        <v/>
      </c>
      <c r="G120" s="40"/>
      <c r="H120" s="1" t="str">
        <f aca="false">IF(AND(OR('طباعة المحفظة'!$C$2="الكل",IFERROR(MONTH(A120),0)=IFERROR(MATCH('طباعة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المحفظة'!$F$2="الكل",IFERROR(YEAR(A120),0)=IFERROR(VALUE('طباعة المحفظة'!$F$2),0)),A120&lt;&gt;""),IFERROR(MAX($H$107:H119),0)+1,"")</f>
        <v/>
      </c>
    </row>
    <row r="121" customFormat="false" ht="18" hidden="false" customHeight="true" outlineLevel="0" collapsed="false">
      <c r="A121" s="27" t="str">
        <f aca="false">IFERROR(INDEX('كشف الحساب'!$A$4:$A$203,MATCH(15,'كشف الحساب'!$M$4:$M$203,0)),"")</f>
        <v/>
      </c>
      <c r="B121" s="28" t="str">
        <f aca="false">IFERROR(INDEX('كشف الحساب'!$B$4:$B$203,MATCH(15,'كشف الحساب'!$M$4:$M$203,0)),"")</f>
        <v/>
      </c>
      <c r="C121" s="29" t="str">
        <f aca="false">IFERROR(INDEX('كشف الحساب'!$C$4:$C$203,MATCH(15,'كشف الحساب'!$M$4:$M$203,0)),"")</f>
        <v/>
      </c>
      <c r="D121" s="30" t="str">
        <f aca="false">IFERROR(INDEX('كشف الحساب'!$D$4:$D$203,MATCH(15,'كشف الحساب'!$M$4:$M$203,0)),"")</f>
        <v/>
      </c>
      <c r="E121" s="31" t="s">
        <v>6</v>
      </c>
      <c r="F121" s="32" t="str">
        <f aca="false">IFERROR(INDEX('كشف الحساب'!$I$4:$I$203,MATCH(15,'كشف الحساب'!$M$4:$M$203,0)),"")</f>
        <v/>
      </c>
      <c r="G121" s="33"/>
      <c r="H121" s="1" t="str">
        <f aca="false">IF(AND(OR('طباعة المحفظة'!$C$2="الكل",IFERROR(MONTH(A121),0)=IFERROR(MATCH('طباعة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المحفظة'!$F$2="الكل",IFERROR(YEAR(A121),0)=IFERROR(VALUE('طباعة المحفظة'!$F$2),0)),A121&lt;&gt;""),IFERROR(MAX($H$107:H120),0)+1,"")</f>
        <v/>
      </c>
    </row>
    <row r="122" customFormat="false" ht="18" hidden="false" customHeight="true" outlineLevel="0" collapsed="false">
      <c r="A122" s="34" t="str">
        <f aca="false">IFERROR(INDEX('كشف الحساب'!$A$4:$A$203,MATCH(16,'كشف الحساب'!$M$4:$M$203,0)),"")</f>
        <v/>
      </c>
      <c r="B122" s="35" t="str">
        <f aca="false">IFERROR(INDEX('كشف الحساب'!$B$4:$B$203,MATCH(16,'كشف الحساب'!$M$4:$M$203,0)),"")</f>
        <v/>
      </c>
      <c r="C122" s="36" t="str">
        <f aca="false">IFERROR(INDEX('كشف الحساب'!$C$4:$C$203,MATCH(16,'كشف الحساب'!$M$4:$M$203,0)),"")</f>
        <v/>
      </c>
      <c r="D122" s="37" t="str">
        <f aca="false">IFERROR(INDEX('كشف الحساب'!$D$4:$D$203,MATCH(16,'كشف الحساب'!$M$4:$M$203,0)),"")</f>
        <v/>
      </c>
      <c r="E122" s="38" t="s">
        <v>6</v>
      </c>
      <c r="F122" s="39" t="str">
        <f aca="false">IFERROR(INDEX('كشف الحساب'!$I$4:$I$203,MATCH(16,'كشف الحساب'!$M$4:$M$203,0)),"")</f>
        <v/>
      </c>
      <c r="G122" s="40"/>
      <c r="H122" s="1" t="str">
        <f aca="false">IF(AND(OR('طباعة المحفظة'!$C$2="الكل",IFERROR(MONTH(A122),0)=IFERROR(MATCH('طباعة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المحفظة'!$F$2="الكل",IFERROR(YEAR(A122),0)=IFERROR(VALUE('طباعة المحفظة'!$F$2),0)),A122&lt;&gt;""),IFERROR(MAX($H$107:H121),0)+1,"")</f>
        <v/>
      </c>
    </row>
    <row r="123" customFormat="false" ht="18" hidden="false" customHeight="true" outlineLevel="0" collapsed="false">
      <c r="A123" s="27" t="str">
        <f aca="false">IFERROR(INDEX('كشف الحساب'!$A$4:$A$203,MATCH(17,'كشف الحساب'!$M$4:$M$203,0)),"")</f>
        <v/>
      </c>
      <c r="B123" s="28" t="str">
        <f aca="false">IFERROR(INDEX('كشف الحساب'!$B$4:$B$203,MATCH(17,'كشف الحساب'!$M$4:$M$203,0)),"")</f>
        <v/>
      </c>
      <c r="C123" s="29" t="str">
        <f aca="false">IFERROR(INDEX('كشف الحساب'!$C$4:$C$203,MATCH(17,'كشف الحساب'!$M$4:$M$203,0)),"")</f>
        <v/>
      </c>
      <c r="D123" s="30" t="str">
        <f aca="false">IFERROR(INDEX('كشف الحساب'!$D$4:$D$203,MATCH(17,'كشف الحساب'!$M$4:$M$203,0)),"")</f>
        <v/>
      </c>
      <c r="E123" s="31" t="s">
        <v>6</v>
      </c>
      <c r="F123" s="32" t="str">
        <f aca="false">IFERROR(INDEX('كشف الحساب'!$I$4:$I$203,MATCH(17,'كشف الحساب'!$M$4:$M$203,0)),"")</f>
        <v/>
      </c>
      <c r="G123" s="33"/>
      <c r="H123" s="1" t="str">
        <f aca="false">IF(AND(OR('طباعة المحفظة'!$C$2="الكل",IFERROR(MONTH(A123),0)=IFERROR(MATCH('طباعة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المحفظة'!$F$2="الكل",IFERROR(YEAR(A123),0)=IFERROR(VALUE('طباعة المحفظة'!$F$2),0)),A123&lt;&gt;""),IFERROR(MAX($H$107:H122),0)+1,"")</f>
        <v/>
      </c>
    </row>
    <row r="124" customFormat="false" ht="18" hidden="false" customHeight="true" outlineLevel="0" collapsed="false">
      <c r="A124" s="34" t="str">
        <f aca="false">IFERROR(INDEX('كشف الحساب'!$A$4:$A$203,MATCH(18,'كشف الحساب'!$M$4:$M$203,0)),"")</f>
        <v/>
      </c>
      <c r="B124" s="35" t="str">
        <f aca="false">IFERROR(INDEX('كشف الحساب'!$B$4:$B$203,MATCH(18,'كشف الحساب'!$M$4:$M$203,0)),"")</f>
        <v/>
      </c>
      <c r="C124" s="36" t="str">
        <f aca="false">IFERROR(INDEX('كشف الحساب'!$C$4:$C$203,MATCH(18,'كشف الحساب'!$M$4:$M$203,0)),"")</f>
        <v/>
      </c>
      <c r="D124" s="37" t="str">
        <f aca="false">IFERROR(INDEX('كشف الحساب'!$D$4:$D$203,MATCH(18,'كشف الحساب'!$M$4:$M$203,0)),"")</f>
        <v/>
      </c>
      <c r="E124" s="38" t="s">
        <v>6</v>
      </c>
      <c r="F124" s="39" t="str">
        <f aca="false">IFERROR(INDEX('كشف الحساب'!$I$4:$I$203,MATCH(18,'كشف الحساب'!$M$4:$M$203,0)),"")</f>
        <v/>
      </c>
      <c r="G124" s="40"/>
      <c r="H124" s="1" t="str">
        <f aca="false">IF(AND(OR('طباعة المحفظة'!$C$2="الكل",IFERROR(MONTH(A124),0)=IFERROR(MATCH('طباعة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المحفظة'!$F$2="الكل",IFERROR(YEAR(A124),0)=IFERROR(VALUE('طباعة المحفظة'!$F$2),0)),A124&lt;&gt;""),IFERROR(MAX($H$107:H123),0)+1,"")</f>
        <v/>
      </c>
    </row>
    <row r="125" customFormat="false" ht="18" hidden="false" customHeight="true" outlineLevel="0" collapsed="false">
      <c r="A125" s="27" t="str">
        <f aca="false">IFERROR(INDEX('كشف الحساب'!$A$4:$A$203,MATCH(19,'كشف الحساب'!$M$4:$M$203,0)),"")</f>
        <v/>
      </c>
      <c r="B125" s="28" t="str">
        <f aca="false">IFERROR(INDEX('كشف الحساب'!$B$4:$B$203,MATCH(19,'كشف الحساب'!$M$4:$M$203,0)),"")</f>
        <v/>
      </c>
      <c r="C125" s="29" t="str">
        <f aca="false">IFERROR(INDEX('كشف الحساب'!$C$4:$C$203,MATCH(19,'كشف الحساب'!$M$4:$M$203,0)),"")</f>
        <v/>
      </c>
      <c r="D125" s="30" t="str">
        <f aca="false">IFERROR(INDEX('كشف الحساب'!$D$4:$D$203,MATCH(19,'كشف الحساب'!$M$4:$M$203,0)),"")</f>
        <v/>
      </c>
      <c r="E125" s="31" t="s">
        <v>6</v>
      </c>
      <c r="F125" s="32" t="str">
        <f aca="false">IFERROR(INDEX('كشف الحساب'!$I$4:$I$203,MATCH(19,'كشف الحساب'!$M$4:$M$203,0)),"")</f>
        <v/>
      </c>
      <c r="G125" s="33"/>
      <c r="H125" s="1" t="str">
        <f aca="false">IF(AND(OR('طباعة المحفظة'!$C$2="الكل",IFERROR(MONTH(A125),0)=IFERROR(MATCH('طباعة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المحفظة'!$F$2="الكل",IFERROR(YEAR(A125),0)=IFERROR(VALUE('طباعة المحفظة'!$F$2),0)),A125&lt;&gt;""),IFERROR(MAX($H$107:H124),0)+1,"")</f>
        <v/>
      </c>
    </row>
    <row r="126" customFormat="false" ht="18" hidden="false" customHeight="true" outlineLevel="0" collapsed="false">
      <c r="A126" s="34" t="str">
        <f aca="false">IFERROR(INDEX('كشف الحساب'!$A$4:$A$203,MATCH(20,'كشف الحساب'!$M$4:$M$203,0)),"")</f>
        <v/>
      </c>
      <c r="B126" s="35" t="str">
        <f aca="false">IFERROR(INDEX('كشف الحساب'!$B$4:$B$203,MATCH(20,'كشف الحساب'!$M$4:$M$203,0)),"")</f>
        <v/>
      </c>
      <c r="C126" s="36" t="str">
        <f aca="false">IFERROR(INDEX('كشف الحساب'!$C$4:$C$203,MATCH(20,'كشف الحساب'!$M$4:$M$203,0)),"")</f>
        <v/>
      </c>
      <c r="D126" s="37" t="str">
        <f aca="false">IFERROR(INDEX('كشف الحساب'!$D$4:$D$203,MATCH(20,'كشف الحساب'!$M$4:$M$203,0)),"")</f>
        <v/>
      </c>
      <c r="E126" s="38" t="s">
        <v>6</v>
      </c>
      <c r="F126" s="39" t="str">
        <f aca="false">IFERROR(INDEX('كشف الحساب'!$I$4:$I$203,MATCH(20,'كشف الحساب'!$M$4:$M$203,0)),"")</f>
        <v/>
      </c>
      <c r="G126" s="40"/>
      <c r="H126" s="1" t="str">
        <f aca="false">IF(AND(OR('طباعة المحفظة'!$C$2="الكل",IFERROR(MONTH(A126),0)=IFERROR(MATCH('طباعة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المحفظة'!$F$2="الكل",IFERROR(YEAR(A126),0)=IFERROR(VALUE('طباعة المحفظة'!$F$2),0)),A126&lt;&gt;""),IFERROR(MAX($H$107:H125),0)+1,"")</f>
        <v/>
      </c>
    </row>
    <row r="127" customFormat="false" ht="18" hidden="false" customHeight="true" outlineLevel="0" collapsed="false">
      <c r="A127" s="27" t="str">
        <f aca="false">IFERROR(INDEX('كشف الحساب'!$A$4:$A$203,MATCH(21,'كشف الحساب'!$M$4:$M$203,0)),"")</f>
        <v/>
      </c>
      <c r="B127" s="28" t="str">
        <f aca="false">IFERROR(INDEX('كشف الحساب'!$B$4:$B$203,MATCH(21,'كشف الحساب'!$M$4:$M$203,0)),"")</f>
        <v/>
      </c>
      <c r="C127" s="29" t="str">
        <f aca="false">IFERROR(INDEX('كشف الحساب'!$C$4:$C$203,MATCH(21,'كشف الحساب'!$M$4:$M$203,0)),"")</f>
        <v/>
      </c>
      <c r="D127" s="30" t="str">
        <f aca="false">IFERROR(INDEX('كشف الحساب'!$D$4:$D$203,MATCH(21,'كشف الحساب'!$M$4:$M$203,0)),"")</f>
        <v/>
      </c>
      <c r="E127" s="31" t="s">
        <v>6</v>
      </c>
      <c r="F127" s="32" t="str">
        <f aca="false">IFERROR(INDEX('كشف الحساب'!$I$4:$I$203,MATCH(21,'كشف الحساب'!$M$4:$M$203,0)),"")</f>
        <v/>
      </c>
      <c r="G127" s="33"/>
      <c r="H127" s="1" t="str">
        <f aca="false">IF(AND(OR('طباعة المحفظة'!$C$2="الكل",IFERROR(MONTH(A127),0)=IFERROR(MATCH('طباعة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المحفظة'!$F$2="الكل",IFERROR(YEAR(A127),0)=IFERROR(VALUE('طباعة المحفظة'!$F$2),0)),A127&lt;&gt;""),IFERROR(MAX($H$107:H126),0)+1,"")</f>
        <v/>
      </c>
    </row>
    <row r="128" customFormat="false" ht="18" hidden="false" customHeight="true" outlineLevel="0" collapsed="false">
      <c r="A128" s="34" t="str">
        <f aca="false">IFERROR(INDEX('كشف الحساب'!$A$4:$A$203,MATCH(22,'كشف الحساب'!$M$4:$M$203,0)),"")</f>
        <v/>
      </c>
      <c r="B128" s="35" t="str">
        <f aca="false">IFERROR(INDEX('كشف الحساب'!$B$4:$B$203,MATCH(22,'كشف الحساب'!$M$4:$M$203,0)),"")</f>
        <v/>
      </c>
      <c r="C128" s="36" t="str">
        <f aca="false">IFERROR(INDEX('كشف الحساب'!$C$4:$C$203,MATCH(22,'كشف الحساب'!$M$4:$M$203,0)),"")</f>
        <v/>
      </c>
      <c r="D128" s="37" t="str">
        <f aca="false">IFERROR(INDEX('كشف الحساب'!$D$4:$D$203,MATCH(22,'كشف الحساب'!$M$4:$M$203,0)),"")</f>
        <v/>
      </c>
      <c r="E128" s="38" t="s">
        <v>6</v>
      </c>
      <c r="F128" s="39" t="str">
        <f aca="false">IFERROR(INDEX('كشف الحساب'!$I$4:$I$203,MATCH(22,'كشف الحساب'!$M$4:$M$203,0)),"")</f>
        <v/>
      </c>
      <c r="G128" s="40"/>
      <c r="H128" s="1" t="str">
        <f aca="false">IF(AND(OR('طباعة المحفظة'!$C$2="الكل",IFERROR(MONTH(A128),0)=IFERROR(MATCH('طباعة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المحفظة'!$F$2="الكل",IFERROR(YEAR(A128),0)=IFERROR(VALUE('طباعة المحفظة'!$F$2),0)),A128&lt;&gt;""),IFERROR(MAX($H$107:H127),0)+1,"")</f>
        <v/>
      </c>
    </row>
    <row r="129" customFormat="false" ht="18" hidden="false" customHeight="true" outlineLevel="0" collapsed="false">
      <c r="A129" s="27" t="str">
        <f aca="false">IFERROR(INDEX('كشف الحساب'!$A$4:$A$203,MATCH(23,'كشف الحساب'!$M$4:$M$203,0)),"")</f>
        <v/>
      </c>
      <c r="B129" s="28" t="str">
        <f aca="false">IFERROR(INDEX('كشف الحساب'!$B$4:$B$203,MATCH(23,'كشف الحساب'!$M$4:$M$203,0)),"")</f>
        <v/>
      </c>
      <c r="C129" s="29" t="str">
        <f aca="false">IFERROR(INDEX('كشف الحساب'!$C$4:$C$203,MATCH(23,'كشف الحساب'!$M$4:$M$203,0)),"")</f>
        <v/>
      </c>
      <c r="D129" s="30" t="str">
        <f aca="false">IFERROR(INDEX('كشف الحساب'!$D$4:$D$203,MATCH(23,'كشف الحساب'!$M$4:$M$203,0)),"")</f>
        <v/>
      </c>
      <c r="E129" s="31" t="s">
        <v>6</v>
      </c>
      <c r="F129" s="32" t="str">
        <f aca="false">IFERROR(INDEX('كشف الحساب'!$I$4:$I$203,MATCH(23,'كشف الحساب'!$M$4:$M$203,0)),"")</f>
        <v/>
      </c>
      <c r="G129" s="33"/>
      <c r="H129" s="1" t="str">
        <f aca="false">IF(AND(OR('طباعة المحفظة'!$C$2="الكل",IFERROR(MONTH(A129),0)=IFERROR(MATCH('طباعة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المحفظة'!$F$2="الكل",IFERROR(YEAR(A129),0)=IFERROR(VALUE('طباعة المحفظة'!$F$2),0)),A129&lt;&gt;""),IFERROR(MAX($H$107:H128),0)+1,"")</f>
        <v/>
      </c>
    </row>
    <row r="130" customFormat="false" ht="18" hidden="false" customHeight="true" outlineLevel="0" collapsed="false">
      <c r="A130" s="34" t="str">
        <f aca="false">IFERROR(INDEX('كشف الحساب'!$A$4:$A$203,MATCH(24,'كشف الحساب'!$M$4:$M$203,0)),"")</f>
        <v/>
      </c>
      <c r="B130" s="35" t="str">
        <f aca="false">IFERROR(INDEX('كشف الحساب'!$B$4:$B$203,MATCH(24,'كشف الحساب'!$M$4:$M$203,0)),"")</f>
        <v/>
      </c>
      <c r="C130" s="36" t="str">
        <f aca="false">IFERROR(INDEX('كشف الحساب'!$C$4:$C$203,MATCH(24,'كشف الحساب'!$M$4:$M$203,0)),"")</f>
        <v/>
      </c>
      <c r="D130" s="37" t="str">
        <f aca="false">IFERROR(INDEX('كشف الحساب'!$D$4:$D$203,MATCH(24,'كشف الحساب'!$M$4:$M$203,0)),"")</f>
        <v/>
      </c>
      <c r="E130" s="38" t="s">
        <v>6</v>
      </c>
      <c r="F130" s="39" t="str">
        <f aca="false">IFERROR(INDEX('كشف الحساب'!$I$4:$I$203,MATCH(24,'كشف الحساب'!$M$4:$M$203,0)),"")</f>
        <v/>
      </c>
      <c r="G130" s="40"/>
      <c r="H130" s="1" t="str">
        <f aca="false">IF(AND(OR('طباعة المحفظة'!$C$2="الكل",IFERROR(MONTH(A130),0)=IFERROR(MATCH('طباعة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المحفظة'!$F$2="الكل",IFERROR(YEAR(A130),0)=IFERROR(VALUE('طباعة المحفظة'!$F$2),0)),A130&lt;&gt;""),IFERROR(MAX($H$107:H129),0)+1,"")</f>
        <v/>
      </c>
    </row>
    <row r="131" customFormat="false" ht="18" hidden="false" customHeight="true" outlineLevel="0" collapsed="false">
      <c r="A131" s="27" t="str">
        <f aca="false">IFERROR(INDEX('كشف الحساب'!$A$4:$A$203,MATCH(25,'كشف الحساب'!$M$4:$M$203,0)),"")</f>
        <v/>
      </c>
      <c r="B131" s="28" t="str">
        <f aca="false">IFERROR(INDEX('كشف الحساب'!$B$4:$B$203,MATCH(25,'كشف الحساب'!$M$4:$M$203,0)),"")</f>
        <v/>
      </c>
      <c r="C131" s="29" t="str">
        <f aca="false">IFERROR(INDEX('كشف الحساب'!$C$4:$C$203,MATCH(25,'كشف الحساب'!$M$4:$M$203,0)),"")</f>
        <v/>
      </c>
      <c r="D131" s="30" t="str">
        <f aca="false">IFERROR(INDEX('كشف الحساب'!$D$4:$D$203,MATCH(25,'كشف الحساب'!$M$4:$M$203,0)),"")</f>
        <v/>
      </c>
      <c r="E131" s="31" t="s">
        <v>6</v>
      </c>
      <c r="F131" s="32" t="str">
        <f aca="false">IFERROR(INDEX('كشف الحساب'!$I$4:$I$203,MATCH(25,'كشف الحساب'!$M$4:$M$203,0)),"")</f>
        <v/>
      </c>
      <c r="G131" s="33"/>
      <c r="H131" s="1" t="str">
        <f aca="false">IF(AND(OR('طباعة المحفظة'!$C$2="الكل",IFERROR(MONTH(A131),0)=IFERROR(MATCH('طباعة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المحفظة'!$F$2="الكل",IFERROR(YEAR(A131),0)=IFERROR(VALUE('طباعة المحفظة'!$F$2),0)),A131&lt;&gt;""),IFERROR(MAX($H$107:H130),0)+1,"")</f>
        <v/>
      </c>
    </row>
    <row r="132" customFormat="false" ht="18" hidden="false" customHeight="true" outlineLevel="0" collapsed="false">
      <c r="A132" s="34" t="str">
        <f aca="false">IFERROR(INDEX('كشف الحساب'!$A$4:$A$203,MATCH(26,'كشف الحساب'!$M$4:$M$203,0)),"")</f>
        <v/>
      </c>
      <c r="B132" s="35" t="str">
        <f aca="false">IFERROR(INDEX('كشف الحساب'!$B$4:$B$203,MATCH(26,'كشف الحساب'!$M$4:$M$203,0)),"")</f>
        <v/>
      </c>
      <c r="C132" s="36" t="str">
        <f aca="false">IFERROR(INDEX('كشف الحساب'!$C$4:$C$203,MATCH(26,'كشف الحساب'!$M$4:$M$203,0)),"")</f>
        <v/>
      </c>
      <c r="D132" s="37" t="str">
        <f aca="false">IFERROR(INDEX('كشف الحساب'!$D$4:$D$203,MATCH(26,'كشف الحساب'!$M$4:$M$203,0)),"")</f>
        <v/>
      </c>
      <c r="E132" s="38" t="s">
        <v>6</v>
      </c>
      <c r="F132" s="39" t="str">
        <f aca="false">IFERROR(INDEX('كشف الحساب'!$I$4:$I$203,MATCH(26,'كشف الحساب'!$M$4:$M$203,0)),"")</f>
        <v/>
      </c>
      <c r="G132" s="40"/>
      <c r="H132" s="1" t="str">
        <f aca="false">IF(AND(OR('طباعة المحفظة'!$C$2="الكل",IFERROR(MONTH(A132),0)=IFERROR(MATCH('طباعة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المحفظة'!$F$2="الكل",IFERROR(YEAR(A132),0)=IFERROR(VALUE('طباعة المحفظة'!$F$2),0)),A132&lt;&gt;""),IFERROR(MAX($H$107:H131),0)+1,"")</f>
        <v/>
      </c>
    </row>
    <row r="133" customFormat="false" ht="18" hidden="false" customHeight="true" outlineLevel="0" collapsed="false">
      <c r="A133" s="27" t="str">
        <f aca="false">IFERROR(INDEX('كشف الحساب'!$A$4:$A$203,MATCH(27,'كشف الحساب'!$M$4:$M$203,0)),"")</f>
        <v/>
      </c>
      <c r="B133" s="28" t="str">
        <f aca="false">IFERROR(INDEX('كشف الحساب'!$B$4:$B$203,MATCH(27,'كشف الحساب'!$M$4:$M$203,0)),"")</f>
        <v/>
      </c>
      <c r="C133" s="29" t="str">
        <f aca="false">IFERROR(INDEX('كشف الحساب'!$C$4:$C$203,MATCH(27,'كشف الحساب'!$M$4:$M$203,0)),"")</f>
        <v/>
      </c>
      <c r="D133" s="30" t="str">
        <f aca="false">IFERROR(INDEX('كشف الحساب'!$D$4:$D$203,MATCH(27,'كشف الحساب'!$M$4:$M$203,0)),"")</f>
        <v/>
      </c>
      <c r="E133" s="31" t="s">
        <v>6</v>
      </c>
      <c r="F133" s="32" t="str">
        <f aca="false">IFERROR(INDEX('كشف الحساب'!$I$4:$I$203,MATCH(27,'كشف الحساب'!$M$4:$M$203,0)),"")</f>
        <v/>
      </c>
      <c r="G133" s="33"/>
      <c r="H133" s="1" t="str">
        <f aca="false">IF(AND(OR('طباعة المحفظة'!$C$2="الكل",IFERROR(MONTH(A133),0)=IFERROR(MATCH('طباعة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المحفظة'!$F$2="الكل",IFERROR(YEAR(A133),0)=IFERROR(VALUE('طباعة المحفظة'!$F$2),0)),A133&lt;&gt;""),IFERROR(MAX($H$107:H132),0)+1,"")</f>
        <v/>
      </c>
    </row>
    <row r="134" customFormat="false" ht="18" hidden="false" customHeight="true" outlineLevel="0" collapsed="false">
      <c r="A134" s="34" t="str">
        <f aca="false">IFERROR(INDEX('كشف الحساب'!$A$4:$A$203,MATCH(28,'كشف الحساب'!$M$4:$M$203,0)),"")</f>
        <v/>
      </c>
      <c r="B134" s="35" t="str">
        <f aca="false">IFERROR(INDEX('كشف الحساب'!$B$4:$B$203,MATCH(28,'كشف الحساب'!$M$4:$M$203,0)),"")</f>
        <v/>
      </c>
      <c r="C134" s="36" t="str">
        <f aca="false">IFERROR(INDEX('كشف الحساب'!$C$4:$C$203,MATCH(28,'كشف الحساب'!$M$4:$M$203,0)),"")</f>
        <v/>
      </c>
      <c r="D134" s="37" t="str">
        <f aca="false">IFERROR(INDEX('كشف الحساب'!$D$4:$D$203,MATCH(28,'كشف الحساب'!$M$4:$M$203,0)),"")</f>
        <v/>
      </c>
      <c r="E134" s="38" t="s">
        <v>6</v>
      </c>
      <c r="F134" s="39" t="str">
        <f aca="false">IFERROR(INDEX('كشف الحساب'!$I$4:$I$203,MATCH(28,'كشف الحساب'!$M$4:$M$203,0)),"")</f>
        <v/>
      </c>
      <c r="G134" s="40"/>
      <c r="H134" s="1" t="str">
        <f aca="false">IF(AND(OR('طباعة المحفظة'!$C$2="الكل",IFERROR(MONTH(A134),0)=IFERROR(MATCH('طباعة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المحفظة'!$F$2="الكل",IFERROR(YEAR(A134),0)=IFERROR(VALUE('طباعة المحفظة'!$F$2),0)),A134&lt;&gt;""),IFERROR(MAX($H$107:H133),0)+1,"")</f>
        <v/>
      </c>
    </row>
    <row r="135" customFormat="false" ht="18" hidden="false" customHeight="true" outlineLevel="0" collapsed="false">
      <c r="A135" s="27" t="str">
        <f aca="false">IFERROR(INDEX('كشف الحساب'!$A$4:$A$203,MATCH(29,'كشف الحساب'!$M$4:$M$203,0)),"")</f>
        <v/>
      </c>
      <c r="B135" s="28" t="str">
        <f aca="false">IFERROR(INDEX('كشف الحساب'!$B$4:$B$203,MATCH(29,'كشف الحساب'!$M$4:$M$203,0)),"")</f>
        <v/>
      </c>
      <c r="C135" s="29" t="str">
        <f aca="false">IFERROR(INDEX('كشف الحساب'!$C$4:$C$203,MATCH(29,'كشف الحساب'!$M$4:$M$203,0)),"")</f>
        <v/>
      </c>
      <c r="D135" s="30" t="str">
        <f aca="false">IFERROR(INDEX('كشف الحساب'!$D$4:$D$203,MATCH(29,'كشف الحساب'!$M$4:$M$203,0)),"")</f>
        <v/>
      </c>
      <c r="E135" s="31" t="s">
        <v>6</v>
      </c>
      <c r="F135" s="32" t="str">
        <f aca="false">IFERROR(INDEX('كشف الحساب'!$I$4:$I$203,MATCH(29,'كشف الحساب'!$M$4:$M$203,0)),"")</f>
        <v/>
      </c>
      <c r="G135" s="33"/>
      <c r="H135" s="1" t="str">
        <f aca="false">IF(AND(OR('طباعة المحفظة'!$C$2="الكل",IFERROR(MONTH(A135),0)=IFERROR(MATCH('طباعة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المحفظة'!$F$2="الكل",IFERROR(YEAR(A135),0)=IFERROR(VALUE('طباعة المحفظة'!$F$2),0)),A135&lt;&gt;""),IFERROR(MAX($H$107:H134),0)+1,"")</f>
        <v/>
      </c>
    </row>
    <row r="136" customFormat="false" ht="18" hidden="false" customHeight="true" outlineLevel="0" collapsed="false">
      <c r="A136" s="34" t="str">
        <f aca="false">IFERROR(INDEX('كشف الحساب'!$A$4:$A$203,MATCH(30,'كشف الحساب'!$M$4:$M$203,0)),"")</f>
        <v/>
      </c>
      <c r="B136" s="35" t="str">
        <f aca="false">IFERROR(INDEX('كشف الحساب'!$B$4:$B$203,MATCH(30,'كشف الحساب'!$M$4:$M$203,0)),"")</f>
        <v/>
      </c>
      <c r="C136" s="36" t="str">
        <f aca="false">IFERROR(INDEX('كشف الحساب'!$C$4:$C$203,MATCH(30,'كشف الحساب'!$M$4:$M$203,0)),"")</f>
        <v/>
      </c>
      <c r="D136" s="37" t="str">
        <f aca="false">IFERROR(INDEX('كشف الحساب'!$D$4:$D$203,MATCH(30,'كشف الحساب'!$M$4:$M$203,0)),"")</f>
        <v/>
      </c>
      <c r="E136" s="38" t="s">
        <v>6</v>
      </c>
      <c r="F136" s="39" t="str">
        <f aca="false">IFERROR(INDEX('كشف الحساب'!$I$4:$I$203,MATCH(30,'كشف الحساب'!$M$4:$M$203,0)),"")</f>
        <v/>
      </c>
      <c r="G136" s="40"/>
      <c r="H136" s="1" t="str">
        <f aca="false">IF(AND(OR('طباعة المحفظة'!$C$2="الكل",IFERROR(MONTH(A136),0)=IFERROR(MATCH('طباعة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المحفظة'!$F$2="الكل",IFERROR(YEAR(A136),0)=IFERROR(VALUE('طباعة المحفظة'!$F$2),0)),A136&lt;&gt;""),IFERROR(MAX($H$107:H135),0)+1,"")</f>
        <v/>
      </c>
    </row>
    <row r="137" customFormat="false" ht="18" hidden="false" customHeight="true" outlineLevel="0" collapsed="false">
      <c r="A137" s="27" t="str">
        <f aca="false">IFERROR(INDEX('كشف الحساب'!$A$4:$A$203,MATCH(31,'كشف الحساب'!$M$4:$M$203,0)),"")</f>
        <v/>
      </c>
      <c r="B137" s="28" t="str">
        <f aca="false">IFERROR(INDEX('كشف الحساب'!$B$4:$B$203,MATCH(31,'كشف الحساب'!$M$4:$M$203,0)),"")</f>
        <v/>
      </c>
      <c r="C137" s="29" t="str">
        <f aca="false">IFERROR(INDEX('كشف الحساب'!$C$4:$C$203,MATCH(31,'كشف الحساب'!$M$4:$M$203,0)),"")</f>
        <v/>
      </c>
      <c r="D137" s="30" t="str">
        <f aca="false">IFERROR(INDEX('كشف الحساب'!$D$4:$D$203,MATCH(31,'كشف الحساب'!$M$4:$M$203,0)),"")</f>
        <v/>
      </c>
      <c r="E137" s="31" t="s">
        <v>6</v>
      </c>
      <c r="F137" s="32" t="str">
        <f aca="false">IFERROR(INDEX('كشف الحساب'!$I$4:$I$203,MATCH(31,'كشف الحساب'!$M$4:$M$203,0)),"")</f>
        <v/>
      </c>
      <c r="G137" s="33"/>
      <c r="H137" s="1" t="str">
        <f aca="false">IF(AND(OR('طباعة المحفظة'!$C$2="الكل",IFERROR(MONTH(A137),0)=IFERROR(MATCH('طباعة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المحفظة'!$F$2="الكل",IFERROR(YEAR(A137),0)=IFERROR(VALUE('طباعة المحفظة'!$F$2),0)),A137&lt;&gt;""),IFERROR(MAX($H$107:H136),0)+1,"")</f>
        <v/>
      </c>
    </row>
    <row r="138" customFormat="false" ht="18" hidden="false" customHeight="true" outlineLevel="0" collapsed="false">
      <c r="A138" s="34" t="str">
        <f aca="false">IFERROR(INDEX('كشف الحساب'!$A$4:$A$203,MATCH(32,'كشف الحساب'!$M$4:$M$203,0)),"")</f>
        <v/>
      </c>
      <c r="B138" s="35" t="str">
        <f aca="false">IFERROR(INDEX('كشف الحساب'!$B$4:$B$203,MATCH(32,'كشف الحساب'!$M$4:$M$203,0)),"")</f>
        <v/>
      </c>
      <c r="C138" s="36" t="str">
        <f aca="false">IFERROR(INDEX('كشف الحساب'!$C$4:$C$203,MATCH(32,'كشف الحساب'!$M$4:$M$203,0)),"")</f>
        <v/>
      </c>
      <c r="D138" s="37" t="str">
        <f aca="false">IFERROR(INDEX('كشف الحساب'!$D$4:$D$203,MATCH(32,'كشف الحساب'!$M$4:$M$203,0)),"")</f>
        <v/>
      </c>
      <c r="E138" s="38" t="s">
        <v>6</v>
      </c>
      <c r="F138" s="39" t="str">
        <f aca="false">IFERROR(INDEX('كشف الحساب'!$I$4:$I$203,MATCH(32,'كشف الحساب'!$M$4:$M$203,0)),"")</f>
        <v/>
      </c>
      <c r="G138" s="40"/>
      <c r="H138" s="1" t="str">
        <f aca="false">IF(AND(OR('طباعة المحفظة'!$C$2="الكل",IFERROR(MONTH(A138),0)=IFERROR(MATCH('طباعة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المحفظة'!$F$2="الكل",IFERROR(YEAR(A138),0)=IFERROR(VALUE('طباعة المحفظة'!$F$2),0)),A138&lt;&gt;""),IFERROR(MAX($H$107:H137),0)+1,"")</f>
        <v/>
      </c>
    </row>
    <row r="139" customFormat="false" ht="18" hidden="false" customHeight="true" outlineLevel="0" collapsed="false">
      <c r="A139" s="27" t="str">
        <f aca="false">IFERROR(INDEX('كشف الحساب'!$A$4:$A$203,MATCH(33,'كشف الحساب'!$M$4:$M$203,0)),"")</f>
        <v/>
      </c>
      <c r="B139" s="28" t="str">
        <f aca="false">IFERROR(INDEX('كشف الحساب'!$B$4:$B$203,MATCH(33,'كشف الحساب'!$M$4:$M$203,0)),"")</f>
        <v/>
      </c>
      <c r="C139" s="29" t="str">
        <f aca="false">IFERROR(INDEX('كشف الحساب'!$C$4:$C$203,MATCH(33,'كشف الحساب'!$M$4:$M$203,0)),"")</f>
        <v/>
      </c>
      <c r="D139" s="30" t="str">
        <f aca="false">IFERROR(INDEX('كشف الحساب'!$D$4:$D$203,MATCH(33,'كشف الحساب'!$M$4:$M$203,0)),"")</f>
        <v/>
      </c>
      <c r="E139" s="31" t="s">
        <v>6</v>
      </c>
      <c r="F139" s="32" t="str">
        <f aca="false">IFERROR(INDEX('كشف الحساب'!$I$4:$I$203,MATCH(33,'كشف الحساب'!$M$4:$M$203,0)),"")</f>
        <v/>
      </c>
      <c r="G139" s="33"/>
      <c r="H139" s="1" t="str">
        <f aca="false">IF(AND(OR('طباعة المحفظة'!$C$2="الكل",IFERROR(MONTH(A139),0)=IFERROR(MATCH('طباعة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المحفظة'!$F$2="الكل",IFERROR(YEAR(A139),0)=IFERROR(VALUE('طباعة المحفظة'!$F$2),0)),A139&lt;&gt;""),IFERROR(MAX($H$107:H138),0)+1,"")</f>
        <v/>
      </c>
    </row>
    <row r="140" customFormat="false" ht="18" hidden="false" customHeight="true" outlineLevel="0" collapsed="false">
      <c r="A140" s="34" t="str">
        <f aca="false">IFERROR(INDEX('كشف الحساب'!$A$4:$A$203,MATCH(34,'كشف الحساب'!$M$4:$M$203,0)),"")</f>
        <v/>
      </c>
      <c r="B140" s="35" t="str">
        <f aca="false">IFERROR(INDEX('كشف الحساب'!$B$4:$B$203,MATCH(34,'كشف الحساب'!$M$4:$M$203,0)),"")</f>
        <v/>
      </c>
      <c r="C140" s="36" t="str">
        <f aca="false">IFERROR(INDEX('كشف الحساب'!$C$4:$C$203,MATCH(34,'كشف الحساب'!$M$4:$M$203,0)),"")</f>
        <v/>
      </c>
      <c r="D140" s="37" t="str">
        <f aca="false">IFERROR(INDEX('كشف الحساب'!$D$4:$D$203,MATCH(34,'كشف الحساب'!$M$4:$M$203,0)),"")</f>
        <v/>
      </c>
      <c r="E140" s="38" t="s">
        <v>6</v>
      </c>
      <c r="F140" s="39" t="str">
        <f aca="false">IFERROR(INDEX('كشف الحساب'!$I$4:$I$203,MATCH(34,'كشف الحساب'!$M$4:$M$203,0)),"")</f>
        <v/>
      </c>
      <c r="G140" s="40"/>
      <c r="H140" s="1" t="str">
        <f aca="false">IF(AND(OR('طباعة المحفظة'!$C$2="الكل",IFERROR(MONTH(A140),0)=IFERROR(MATCH('طباعة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المحفظة'!$F$2="الكل",IFERROR(YEAR(A140),0)=IFERROR(VALUE('طباعة المحفظة'!$F$2),0)),A140&lt;&gt;""),IFERROR(MAX($H$107:H139),0)+1,"")</f>
        <v/>
      </c>
    </row>
    <row r="141" customFormat="false" ht="18" hidden="false" customHeight="true" outlineLevel="0" collapsed="false">
      <c r="A141" s="27" t="str">
        <f aca="false">IFERROR(INDEX('كشف الحساب'!$A$4:$A$203,MATCH(35,'كشف الحساب'!$M$4:$M$203,0)),"")</f>
        <v/>
      </c>
      <c r="B141" s="28" t="str">
        <f aca="false">IFERROR(INDEX('كشف الحساب'!$B$4:$B$203,MATCH(35,'كشف الحساب'!$M$4:$M$203,0)),"")</f>
        <v/>
      </c>
      <c r="C141" s="29" t="str">
        <f aca="false">IFERROR(INDEX('كشف الحساب'!$C$4:$C$203,MATCH(35,'كشف الحساب'!$M$4:$M$203,0)),"")</f>
        <v/>
      </c>
      <c r="D141" s="30" t="str">
        <f aca="false">IFERROR(INDEX('كشف الحساب'!$D$4:$D$203,MATCH(35,'كشف الحساب'!$M$4:$M$203,0)),"")</f>
        <v/>
      </c>
      <c r="E141" s="31" t="s">
        <v>6</v>
      </c>
      <c r="F141" s="32" t="str">
        <f aca="false">IFERROR(INDEX('كشف الحساب'!$I$4:$I$203,MATCH(35,'كشف الحساب'!$M$4:$M$203,0)),"")</f>
        <v/>
      </c>
      <c r="G141" s="33"/>
      <c r="H141" s="1" t="str">
        <f aca="false">IF(AND(OR('طباعة المحفظة'!$C$2="الكل",IFERROR(MONTH(A141),0)=IFERROR(MATCH('طباعة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المحفظة'!$F$2="الكل",IFERROR(YEAR(A141),0)=IFERROR(VALUE('طباعة المحفظة'!$F$2),0)),A141&lt;&gt;""),IFERROR(MAX($H$107:H140),0)+1,"")</f>
        <v/>
      </c>
    </row>
    <row r="142" customFormat="false" ht="18" hidden="false" customHeight="true" outlineLevel="0" collapsed="false">
      <c r="A142" s="34" t="str">
        <f aca="false">IFERROR(INDEX('كشف الحساب'!$A$4:$A$203,MATCH(36,'كشف الحساب'!$M$4:$M$203,0)),"")</f>
        <v/>
      </c>
      <c r="B142" s="35" t="str">
        <f aca="false">IFERROR(INDEX('كشف الحساب'!$B$4:$B$203,MATCH(36,'كشف الحساب'!$M$4:$M$203,0)),"")</f>
        <v/>
      </c>
      <c r="C142" s="36" t="str">
        <f aca="false">IFERROR(INDEX('كشف الحساب'!$C$4:$C$203,MATCH(36,'كشف الحساب'!$M$4:$M$203,0)),"")</f>
        <v/>
      </c>
      <c r="D142" s="37" t="str">
        <f aca="false">IFERROR(INDEX('كشف الحساب'!$D$4:$D$203,MATCH(36,'كشف الحساب'!$M$4:$M$203,0)),"")</f>
        <v/>
      </c>
      <c r="E142" s="38" t="s">
        <v>6</v>
      </c>
      <c r="F142" s="39" t="str">
        <f aca="false">IFERROR(INDEX('كشف الحساب'!$I$4:$I$203,MATCH(36,'كشف الحساب'!$M$4:$M$203,0)),"")</f>
        <v/>
      </c>
      <c r="G142" s="40"/>
      <c r="H142" s="1" t="str">
        <f aca="false">IF(AND(OR('طباعة المحفظة'!$C$2="الكل",IFERROR(MONTH(A142),0)=IFERROR(MATCH('طباعة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المحفظة'!$F$2="الكل",IFERROR(YEAR(A142),0)=IFERROR(VALUE('طباعة المحفظة'!$F$2),0)),A142&lt;&gt;""),IFERROR(MAX($H$107:H141),0)+1,"")</f>
        <v/>
      </c>
    </row>
    <row r="143" customFormat="false" ht="18" hidden="false" customHeight="true" outlineLevel="0" collapsed="false">
      <c r="A143" s="27" t="str">
        <f aca="false">IFERROR(INDEX('كشف الحساب'!$A$4:$A$203,MATCH(37,'كشف الحساب'!$M$4:$M$203,0)),"")</f>
        <v/>
      </c>
      <c r="B143" s="28" t="str">
        <f aca="false">IFERROR(INDEX('كشف الحساب'!$B$4:$B$203,MATCH(37,'كشف الحساب'!$M$4:$M$203,0)),"")</f>
        <v/>
      </c>
      <c r="C143" s="29" t="str">
        <f aca="false">IFERROR(INDEX('كشف الحساب'!$C$4:$C$203,MATCH(37,'كشف الحساب'!$M$4:$M$203,0)),"")</f>
        <v/>
      </c>
      <c r="D143" s="30" t="str">
        <f aca="false">IFERROR(INDEX('كشف الحساب'!$D$4:$D$203,MATCH(37,'كشف الحساب'!$M$4:$M$203,0)),"")</f>
        <v/>
      </c>
      <c r="E143" s="31" t="s">
        <v>6</v>
      </c>
      <c r="F143" s="32" t="str">
        <f aca="false">IFERROR(INDEX('كشف الحساب'!$I$4:$I$203,MATCH(37,'كشف الحساب'!$M$4:$M$203,0)),"")</f>
        <v/>
      </c>
      <c r="G143" s="33"/>
      <c r="H143" s="1" t="str">
        <f aca="false">IF(AND(OR('طباعة المحفظة'!$C$2="الكل",IFERROR(MONTH(A143),0)=IFERROR(MATCH('طباعة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المحفظة'!$F$2="الكل",IFERROR(YEAR(A143),0)=IFERROR(VALUE('طباعة المحفظة'!$F$2),0)),A143&lt;&gt;""),IFERROR(MAX($H$107:H142),0)+1,"")</f>
        <v/>
      </c>
    </row>
    <row r="144" customFormat="false" ht="18" hidden="false" customHeight="true" outlineLevel="0" collapsed="false">
      <c r="A144" s="34" t="str">
        <f aca="false">IFERROR(INDEX('كشف الحساب'!$A$4:$A$203,MATCH(38,'كشف الحساب'!$M$4:$M$203,0)),"")</f>
        <v/>
      </c>
      <c r="B144" s="35" t="str">
        <f aca="false">IFERROR(INDEX('كشف الحساب'!$B$4:$B$203,MATCH(38,'كشف الحساب'!$M$4:$M$203,0)),"")</f>
        <v/>
      </c>
      <c r="C144" s="36" t="str">
        <f aca="false">IFERROR(INDEX('كشف الحساب'!$C$4:$C$203,MATCH(38,'كشف الحساب'!$M$4:$M$203,0)),"")</f>
        <v/>
      </c>
      <c r="D144" s="37" t="str">
        <f aca="false">IFERROR(INDEX('كشف الحساب'!$D$4:$D$203,MATCH(38,'كشف الحساب'!$M$4:$M$203,0)),"")</f>
        <v/>
      </c>
      <c r="E144" s="38" t="s">
        <v>6</v>
      </c>
      <c r="F144" s="39" t="str">
        <f aca="false">IFERROR(INDEX('كشف الحساب'!$I$4:$I$203,MATCH(38,'كشف الحساب'!$M$4:$M$203,0)),"")</f>
        <v/>
      </c>
      <c r="G144" s="40"/>
      <c r="H144" s="1" t="str">
        <f aca="false">IF(AND(OR('طباعة المحفظة'!$C$2="الكل",IFERROR(MONTH(A144),0)=IFERROR(MATCH('طباعة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المحفظة'!$F$2="الكل",IFERROR(YEAR(A144),0)=IFERROR(VALUE('طباعة المحفظة'!$F$2),0)),A144&lt;&gt;""),IFERROR(MAX($H$107:H143),0)+1,"")</f>
        <v/>
      </c>
    </row>
    <row r="145" customFormat="false" ht="18" hidden="false" customHeight="true" outlineLevel="0" collapsed="false">
      <c r="A145" s="27" t="str">
        <f aca="false">IFERROR(INDEX('كشف الحساب'!$A$4:$A$203,MATCH(39,'كشف الحساب'!$M$4:$M$203,0)),"")</f>
        <v/>
      </c>
      <c r="B145" s="28" t="str">
        <f aca="false">IFERROR(INDEX('كشف الحساب'!$B$4:$B$203,MATCH(39,'كشف الحساب'!$M$4:$M$203,0)),"")</f>
        <v/>
      </c>
      <c r="C145" s="29" t="str">
        <f aca="false">IFERROR(INDEX('كشف الحساب'!$C$4:$C$203,MATCH(39,'كشف الحساب'!$M$4:$M$203,0)),"")</f>
        <v/>
      </c>
      <c r="D145" s="30" t="str">
        <f aca="false">IFERROR(INDEX('كشف الحساب'!$D$4:$D$203,MATCH(39,'كشف الحساب'!$M$4:$M$203,0)),"")</f>
        <v/>
      </c>
      <c r="E145" s="31" t="s">
        <v>6</v>
      </c>
      <c r="F145" s="32" t="str">
        <f aca="false">IFERROR(INDEX('كشف الحساب'!$I$4:$I$203,MATCH(39,'كشف الحساب'!$M$4:$M$203,0)),"")</f>
        <v/>
      </c>
      <c r="G145" s="33"/>
      <c r="H145" s="1" t="str">
        <f aca="false">IF(AND(OR('طباعة المحفظة'!$C$2="الكل",IFERROR(MONTH(A145),0)=IFERROR(MATCH('طباعة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المحفظة'!$F$2="الكل",IFERROR(YEAR(A145),0)=IFERROR(VALUE('طباعة المحفظة'!$F$2),0)),A145&lt;&gt;""),IFERROR(MAX($H$107:H144),0)+1,"")</f>
        <v/>
      </c>
    </row>
    <row r="146" customFormat="false" ht="18" hidden="false" customHeight="true" outlineLevel="0" collapsed="false">
      <c r="A146" s="34" t="str">
        <f aca="false">IFERROR(INDEX('كشف الحساب'!$A$4:$A$203,MATCH(40,'كشف الحساب'!$M$4:$M$203,0)),"")</f>
        <v/>
      </c>
      <c r="B146" s="35" t="str">
        <f aca="false">IFERROR(INDEX('كشف الحساب'!$B$4:$B$203,MATCH(40,'كشف الحساب'!$M$4:$M$203,0)),"")</f>
        <v/>
      </c>
      <c r="C146" s="36" t="str">
        <f aca="false">IFERROR(INDEX('كشف الحساب'!$C$4:$C$203,MATCH(40,'كشف الحساب'!$M$4:$M$203,0)),"")</f>
        <v/>
      </c>
      <c r="D146" s="37" t="str">
        <f aca="false">IFERROR(INDEX('كشف الحساب'!$D$4:$D$203,MATCH(40,'كشف الحساب'!$M$4:$M$203,0)),"")</f>
        <v/>
      </c>
      <c r="E146" s="38" t="s">
        <v>6</v>
      </c>
      <c r="F146" s="39" t="str">
        <f aca="false">IFERROR(INDEX('كشف الحساب'!$I$4:$I$203,MATCH(40,'كشف الحساب'!$M$4:$M$203,0)),"")</f>
        <v/>
      </c>
      <c r="G146" s="40"/>
      <c r="H146" s="1" t="str">
        <f aca="false">IF(AND(OR('طباعة المحفظة'!$C$2="الكل",IFERROR(MONTH(A146),0)=IFERROR(MATCH('طباعة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المحفظة'!$F$2="الكل",IFERROR(YEAR(A146),0)=IFERROR(VALUE('طباعة المحفظة'!$F$2),0)),A146&lt;&gt;""),IFERROR(MAX($H$107:H145),0)+1,"")</f>
        <v/>
      </c>
    </row>
    <row r="147" customFormat="false" ht="18" hidden="false" customHeight="true" outlineLevel="0" collapsed="false">
      <c r="A147" s="27" t="str">
        <f aca="false">IFERROR(INDEX('كشف الحساب'!$A$4:$A$203,MATCH(41,'كشف الحساب'!$M$4:$M$203,0)),"")</f>
        <v/>
      </c>
      <c r="B147" s="28" t="str">
        <f aca="false">IFERROR(INDEX('كشف الحساب'!$B$4:$B$203,MATCH(41,'كشف الحساب'!$M$4:$M$203,0)),"")</f>
        <v/>
      </c>
      <c r="C147" s="29" t="str">
        <f aca="false">IFERROR(INDEX('كشف الحساب'!$C$4:$C$203,MATCH(41,'كشف الحساب'!$M$4:$M$203,0)),"")</f>
        <v/>
      </c>
      <c r="D147" s="30" t="str">
        <f aca="false">IFERROR(INDEX('كشف الحساب'!$D$4:$D$203,MATCH(41,'كشف الحساب'!$M$4:$M$203,0)),"")</f>
        <v/>
      </c>
      <c r="E147" s="31" t="s">
        <v>6</v>
      </c>
      <c r="F147" s="32" t="str">
        <f aca="false">IFERROR(INDEX('كشف الحساب'!$I$4:$I$203,MATCH(41,'كشف الحساب'!$M$4:$M$203,0)),"")</f>
        <v/>
      </c>
      <c r="G147" s="33"/>
      <c r="H147" s="1" t="str">
        <f aca="false">IF(AND(OR('طباعة المحفظة'!$C$2="الكل",IFERROR(MONTH(A147),0)=IFERROR(MATCH('طباعة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المحفظة'!$F$2="الكل",IFERROR(YEAR(A147),0)=IFERROR(VALUE('طباعة المحفظة'!$F$2),0)),A147&lt;&gt;""),IFERROR(MAX($H$107:H146),0)+1,"")</f>
        <v/>
      </c>
    </row>
    <row r="148" customFormat="false" ht="18" hidden="false" customHeight="true" outlineLevel="0" collapsed="false">
      <c r="A148" s="34" t="str">
        <f aca="false">IFERROR(INDEX('كشف الحساب'!$A$4:$A$203,MATCH(42,'كشف الحساب'!$M$4:$M$203,0)),"")</f>
        <v/>
      </c>
      <c r="B148" s="35" t="str">
        <f aca="false">IFERROR(INDEX('كشف الحساب'!$B$4:$B$203,MATCH(42,'كشف الحساب'!$M$4:$M$203,0)),"")</f>
        <v/>
      </c>
      <c r="C148" s="36" t="str">
        <f aca="false">IFERROR(INDEX('كشف الحساب'!$C$4:$C$203,MATCH(42,'كشف الحساب'!$M$4:$M$203,0)),"")</f>
        <v/>
      </c>
      <c r="D148" s="37" t="str">
        <f aca="false">IFERROR(INDEX('كشف الحساب'!$D$4:$D$203,MATCH(42,'كشف الحساب'!$M$4:$M$203,0)),"")</f>
        <v/>
      </c>
      <c r="E148" s="38" t="s">
        <v>6</v>
      </c>
      <c r="F148" s="39" t="str">
        <f aca="false">IFERROR(INDEX('كشف الحساب'!$I$4:$I$203,MATCH(42,'كشف الحساب'!$M$4:$M$203,0)),"")</f>
        <v/>
      </c>
      <c r="G148" s="40"/>
      <c r="H148" s="1" t="str">
        <f aca="false">IF(AND(OR('طباعة المحفظة'!$C$2="الكل",IFERROR(MONTH(A148),0)=IFERROR(MATCH('طباعة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المحفظة'!$F$2="الكل",IFERROR(YEAR(A148),0)=IFERROR(VALUE('طباعة المحفظة'!$F$2),0)),A148&lt;&gt;""),IFERROR(MAX($H$107:H147),0)+1,"")</f>
        <v/>
      </c>
    </row>
    <row r="149" customFormat="false" ht="18" hidden="false" customHeight="true" outlineLevel="0" collapsed="false">
      <c r="A149" s="27" t="str">
        <f aca="false">IFERROR(INDEX('كشف الحساب'!$A$4:$A$203,MATCH(43,'كشف الحساب'!$M$4:$M$203,0)),"")</f>
        <v/>
      </c>
      <c r="B149" s="28" t="str">
        <f aca="false">IFERROR(INDEX('كشف الحساب'!$B$4:$B$203,MATCH(43,'كشف الحساب'!$M$4:$M$203,0)),"")</f>
        <v/>
      </c>
      <c r="C149" s="29" t="str">
        <f aca="false">IFERROR(INDEX('كشف الحساب'!$C$4:$C$203,MATCH(43,'كشف الحساب'!$M$4:$M$203,0)),"")</f>
        <v/>
      </c>
      <c r="D149" s="30" t="str">
        <f aca="false">IFERROR(INDEX('كشف الحساب'!$D$4:$D$203,MATCH(43,'كشف الحساب'!$M$4:$M$203,0)),"")</f>
        <v/>
      </c>
      <c r="E149" s="31" t="s">
        <v>6</v>
      </c>
      <c r="F149" s="32" t="str">
        <f aca="false">IFERROR(INDEX('كشف الحساب'!$I$4:$I$203,MATCH(43,'كشف الحساب'!$M$4:$M$203,0)),"")</f>
        <v/>
      </c>
      <c r="G149" s="33"/>
      <c r="H149" s="1" t="str">
        <f aca="false">IF(AND(OR('طباعة المحفظة'!$C$2="الكل",IFERROR(MONTH(A149),0)=IFERROR(MATCH('طباعة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المحفظة'!$F$2="الكل",IFERROR(YEAR(A149),0)=IFERROR(VALUE('طباعة المحفظة'!$F$2),0)),A149&lt;&gt;""),IFERROR(MAX($H$107:H148),0)+1,"")</f>
        <v/>
      </c>
    </row>
    <row r="150" customFormat="false" ht="18" hidden="false" customHeight="true" outlineLevel="0" collapsed="false">
      <c r="A150" s="34" t="str">
        <f aca="false">IFERROR(INDEX('كشف الحساب'!$A$4:$A$203,MATCH(44,'كشف الحساب'!$M$4:$M$203,0)),"")</f>
        <v/>
      </c>
      <c r="B150" s="35" t="str">
        <f aca="false">IFERROR(INDEX('كشف الحساب'!$B$4:$B$203,MATCH(44,'كشف الحساب'!$M$4:$M$203,0)),"")</f>
        <v/>
      </c>
      <c r="C150" s="36" t="str">
        <f aca="false">IFERROR(INDEX('كشف الحساب'!$C$4:$C$203,MATCH(44,'كشف الحساب'!$M$4:$M$203,0)),"")</f>
        <v/>
      </c>
      <c r="D150" s="37" t="str">
        <f aca="false">IFERROR(INDEX('كشف الحساب'!$D$4:$D$203,MATCH(44,'كشف الحساب'!$M$4:$M$203,0)),"")</f>
        <v/>
      </c>
      <c r="E150" s="38" t="s">
        <v>6</v>
      </c>
      <c r="F150" s="39" t="str">
        <f aca="false">IFERROR(INDEX('كشف الحساب'!$I$4:$I$203,MATCH(44,'كشف الحساب'!$M$4:$M$203,0)),"")</f>
        <v/>
      </c>
      <c r="G150" s="40"/>
      <c r="H150" s="1" t="str">
        <f aca="false">IF(AND(OR('طباعة المحفظة'!$C$2="الكل",IFERROR(MONTH(A150),0)=IFERROR(MATCH('طباعة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المحفظة'!$F$2="الكل",IFERROR(YEAR(A150),0)=IFERROR(VALUE('طباعة المحفظة'!$F$2),0)),A150&lt;&gt;""),IFERROR(MAX($H$107:H149),0)+1,"")</f>
        <v/>
      </c>
    </row>
    <row r="151" customFormat="false" ht="18" hidden="false" customHeight="true" outlineLevel="0" collapsed="false">
      <c r="A151" s="27" t="str">
        <f aca="false">IFERROR(INDEX('كشف الحساب'!$A$4:$A$203,MATCH(45,'كشف الحساب'!$M$4:$M$203,0)),"")</f>
        <v/>
      </c>
      <c r="B151" s="28" t="str">
        <f aca="false">IFERROR(INDEX('كشف الحساب'!$B$4:$B$203,MATCH(45,'كشف الحساب'!$M$4:$M$203,0)),"")</f>
        <v/>
      </c>
      <c r="C151" s="29" t="str">
        <f aca="false">IFERROR(INDEX('كشف الحساب'!$C$4:$C$203,MATCH(45,'كشف الحساب'!$M$4:$M$203,0)),"")</f>
        <v/>
      </c>
      <c r="D151" s="30" t="str">
        <f aca="false">IFERROR(INDEX('كشف الحساب'!$D$4:$D$203,MATCH(45,'كشف الحساب'!$M$4:$M$203,0)),"")</f>
        <v/>
      </c>
      <c r="E151" s="31" t="s">
        <v>6</v>
      </c>
      <c r="F151" s="32" t="str">
        <f aca="false">IFERROR(INDEX('كشف الحساب'!$I$4:$I$203,MATCH(45,'كشف الحساب'!$M$4:$M$203,0)),"")</f>
        <v/>
      </c>
      <c r="G151" s="33"/>
      <c r="H151" s="1" t="str">
        <f aca="false">IF(AND(OR('طباعة المحفظة'!$C$2="الكل",IFERROR(MONTH(A151),0)=IFERROR(MATCH('طباعة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المحفظة'!$F$2="الكل",IFERROR(YEAR(A151),0)=IFERROR(VALUE('طباعة المحفظة'!$F$2),0)),A151&lt;&gt;""),IFERROR(MAX($H$107:H150),0)+1,"")</f>
        <v/>
      </c>
    </row>
    <row r="152" customFormat="false" ht="18" hidden="false" customHeight="true" outlineLevel="0" collapsed="false">
      <c r="A152" s="34" t="str">
        <f aca="false">IFERROR(INDEX('كشف الحساب'!$A$4:$A$203,MATCH(46,'كشف الحساب'!$M$4:$M$203,0)),"")</f>
        <v/>
      </c>
      <c r="B152" s="35" t="str">
        <f aca="false">IFERROR(INDEX('كشف الحساب'!$B$4:$B$203,MATCH(46,'كشف الحساب'!$M$4:$M$203,0)),"")</f>
        <v/>
      </c>
      <c r="C152" s="36" t="str">
        <f aca="false">IFERROR(INDEX('كشف الحساب'!$C$4:$C$203,MATCH(46,'كشف الحساب'!$M$4:$M$203,0)),"")</f>
        <v/>
      </c>
      <c r="D152" s="37" t="str">
        <f aca="false">IFERROR(INDEX('كشف الحساب'!$D$4:$D$203,MATCH(46,'كشف الحساب'!$M$4:$M$203,0)),"")</f>
        <v/>
      </c>
      <c r="E152" s="38" t="s">
        <v>6</v>
      </c>
      <c r="F152" s="39" t="str">
        <f aca="false">IFERROR(INDEX('كشف الحساب'!$I$4:$I$203,MATCH(46,'كشف الحساب'!$M$4:$M$203,0)),"")</f>
        <v/>
      </c>
      <c r="G152" s="40"/>
      <c r="H152" s="1" t="str">
        <f aca="false">IF(AND(OR('طباعة المحفظة'!$C$2="الكل",IFERROR(MONTH(A152),0)=IFERROR(MATCH('طباعة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المحفظة'!$F$2="الكل",IFERROR(YEAR(A152),0)=IFERROR(VALUE('طباعة المحفظة'!$F$2),0)),A152&lt;&gt;""),IFERROR(MAX($H$107:H151),0)+1,"")</f>
        <v/>
      </c>
    </row>
    <row r="153" customFormat="false" ht="18" hidden="false" customHeight="true" outlineLevel="0" collapsed="false">
      <c r="A153" s="27" t="str">
        <f aca="false">IFERROR(INDEX('كشف الحساب'!$A$4:$A$203,MATCH(47,'كشف الحساب'!$M$4:$M$203,0)),"")</f>
        <v/>
      </c>
      <c r="B153" s="28" t="str">
        <f aca="false">IFERROR(INDEX('كشف الحساب'!$B$4:$B$203,MATCH(47,'كشف الحساب'!$M$4:$M$203,0)),"")</f>
        <v/>
      </c>
      <c r="C153" s="29" t="str">
        <f aca="false">IFERROR(INDEX('كشف الحساب'!$C$4:$C$203,MATCH(47,'كشف الحساب'!$M$4:$M$203,0)),"")</f>
        <v/>
      </c>
      <c r="D153" s="30" t="str">
        <f aca="false">IFERROR(INDEX('كشف الحساب'!$D$4:$D$203,MATCH(47,'كشف الحساب'!$M$4:$M$203,0)),"")</f>
        <v/>
      </c>
      <c r="E153" s="31" t="s">
        <v>6</v>
      </c>
      <c r="F153" s="32" t="str">
        <f aca="false">IFERROR(INDEX('كشف الحساب'!$I$4:$I$203,MATCH(47,'كشف الحساب'!$M$4:$M$203,0)),"")</f>
        <v/>
      </c>
      <c r="G153" s="33"/>
      <c r="H153" s="1" t="str">
        <f aca="false">IF(AND(OR('طباعة المحفظة'!$C$2="الكل",IFERROR(MONTH(A153),0)=IFERROR(MATCH('طباعة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المحفظة'!$F$2="الكل",IFERROR(YEAR(A153),0)=IFERROR(VALUE('طباعة المحفظة'!$F$2),0)),A153&lt;&gt;""),IFERROR(MAX($H$107:H152),0)+1,"")</f>
        <v/>
      </c>
    </row>
    <row r="154" customFormat="false" ht="18" hidden="false" customHeight="true" outlineLevel="0" collapsed="false">
      <c r="A154" s="34" t="str">
        <f aca="false">IFERROR(INDEX('كشف الحساب'!$A$4:$A$203,MATCH(48,'كشف الحساب'!$M$4:$M$203,0)),"")</f>
        <v/>
      </c>
      <c r="B154" s="35" t="str">
        <f aca="false">IFERROR(INDEX('كشف الحساب'!$B$4:$B$203,MATCH(48,'كشف الحساب'!$M$4:$M$203,0)),"")</f>
        <v/>
      </c>
      <c r="C154" s="36" t="str">
        <f aca="false">IFERROR(INDEX('كشف الحساب'!$C$4:$C$203,MATCH(48,'كشف الحساب'!$M$4:$M$203,0)),"")</f>
        <v/>
      </c>
      <c r="D154" s="37" t="str">
        <f aca="false">IFERROR(INDEX('كشف الحساب'!$D$4:$D$203,MATCH(48,'كشف الحساب'!$M$4:$M$203,0)),"")</f>
        <v/>
      </c>
      <c r="E154" s="38" t="s">
        <v>6</v>
      </c>
      <c r="F154" s="39" t="str">
        <f aca="false">IFERROR(INDEX('كشف الحساب'!$I$4:$I$203,MATCH(48,'كشف الحساب'!$M$4:$M$203,0)),"")</f>
        <v/>
      </c>
      <c r="G154" s="40"/>
      <c r="H154" s="1" t="str">
        <f aca="false">IF(AND(OR('طباعة المحفظة'!$C$2="الكل",IFERROR(MONTH(A154),0)=IFERROR(MATCH('طباعة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المحفظة'!$F$2="الكل",IFERROR(YEAR(A154),0)=IFERROR(VALUE('طباعة المحفظة'!$F$2),0)),A154&lt;&gt;""),IFERROR(MAX($H$107:H153),0)+1,"")</f>
        <v/>
      </c>
    </row>
    <row r="155" customFormat="false" ht="18" hidden="false" customHeight="true" outlineLevel="0" collapsed="false">
      <c r="A155" s="27" t="str">
        <f aca="false">IFERROR(INDEX('كشف الحساب'!$A$4:$A$203,MATCH(49,'كشف الحساب'!$M$4:$M$203,0)),"")</f>
        <v/>
      </c>
      <c r="B155" s="28" t="str">
        <f aca="false">IFERROR(INDEX('كشف الحساب'!$B$4:$B$203,MATCH(49,'كشف الحساب'!$M$4:$M$203,0)),"")</f>
        <v/>
      </c>
      <c r="C155" s="29" t="str">
        <f aca="false">IFERROR(INDEX('كشف الحساب'!$C$4:$C$203,MATCH(49,'كشف الحساب'!$M$4:$M$203,0)),"")</f>
        <v/>
      </c>
      <c r="D155" s="30" t="str">
        <f aca="false">IFERROR(INDEX('كشف الحساب'!$D$4:$D$203,MATCH(49,'كشف الحساب'!$M$4:$M$203,0)),"")</f>
        <v/>
      </c>
      <c r="E155" s="31" t="s">
        <v>6</v>
      </c>
      <c r="F155" s="32" t="str">
        <f aca="false">IFERROR(INDEX('كشف الحساب'!$I$4:$I$203,MATCH(49,'كشف الحساب'!$M$4:$M$203,0)),"")</f>
        <v/>
      </c>
      <c r="G155" s="33"/>
      <c r="H155" s="1" t="str">
        <f aca="false">IF(AND(OR('طباعة المحفظة'!$C$2="الكل",IFERROR(MONTH(A155),0)=IFERROR(MATCH('طباعة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المحفظة'!$F$2="الكل",IFERROR(YEAR(A155),0)=IFERROR(VALUE('طباعة المحفظة'!$F$2),0)),A155&lt;&gt;""),IFERROR(MAX($H$107:H154),0)+1,"")</f>
        <v/>
      </c>
    </row>
    <row r="156" customFormat="false" ht="18" hidden="false" customHeight="true" outlineLevel="0" collapsed="false">
      <c r="A156" s="34" t="str">
        <f aca="false">IFERROR(INDEX('كشف الحساب'!$A$4:$A$203,MATCH(50,'كشف الحساب'!$M$4:$M$203,0)),"")</f>
        <v/>
      </c>
      <c r="B156" s="35" t="str">
        <f aca="false">IFERROR(INDEX('كشف الحساب'!$B$4:$B$203,MATCH(50,'كشف الحساب'!$M$4:$M$203,0)),"")</f>
        <v/>
      </c>
      <c r="C156" s="36" t="str">
        <f aca="false">IFERROR(INDEX('كشف الحساب'!$C$4:$C$203,MATCH(50,'كشف الحساب'!$M$4:$M$203,0)),"")</f>
        <v/>
      </c>
      <c r="D156" s="37" t="str">
        <f aca="false">IFERROR(INDEX('كشف الحساب'!$D$4:$D$203,MATCH(50,'كشف الحساب'!$M$4:$M$203,0)),"")</f>
        <v/>
      </c>
      <c r="E156" s="38" t="s">
        <v>6</v>
      </c>
      <c r="F156" s="39" t="str">
        <f aca="false">IFERROR(INDEX('كشف الحساب'!$I$4:$I$203,MATCH(50,'كشف الحساب'!$M$4:$M$203,0)),"")</f>
        <v/>
      </c>
      <c r="G156" s="40"/>
      <c r="H156" s="1" t="str">
        <f aca="false">IF(AND(OR('طباعة المحفظة'!$C$2="الكل",IFERROR(MONTH(A156),0)=IFERROR(MATCH('طباعة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المحفظة'!$F$2="الكل",IFERROR(YEAR(A156),0)=IFERROR(VALUE('طباعة المحفظة'!$F$2),0)),A156&lt;&gt;""),IFERROR(MAX($H$107:H155),0)+1,"")</f>
        <v/>
      </c>
    </row>
    <row r="157" customFormat="false" ht="18" hidden="false" customHeight="true" outlineLevel="0" collapsed="false">
      <c r="A157" s="27" t="str">
        <f aca="false">IFERROR(INDEX('كشف الحساب'!$A$4:$A$203,MATCH(51,'كشف الحساب'!$M$4:$M$203,0)),"")</f>
        <v/>
      </c>
      <c r="B157" s="28" t="str">
        <f aca="false">IFERROR(INDEX('كشف الحساب'!$B$4:$B$203,MATCH(51,'كشف الحساب'!$M$4:$M$203,0)),"")</f>
        <v/>
      </c>
      <c r="C157" s="29" t="str">
        <f aca="false">IFERROR(INDEX('كشف الحساب'!$C$4:$C$203,MATCH(51,'كشف الحساب'!$M$4:$M$203,0)),"")</f>
        <v/>
      </c>
      <c r="D157" s="30" t="str">
        <f aca="false">IFERROR(INDEX('كشف الحساب'!$D$4:$D$203,MATCH(51,'كشف الحساب'!$M$4:$M$203,0)),"")</f>
        <v/>
      </c>
      <c r="E157" s="31" t="s">
        <v>6</v>
      </c>
      <c r="F157" s="32" t="str">
        <f aca="false">IFERROR(INDEX('كشف الحساب'!$I$4:$I$203,MATCH(51,'كشف الحساب'!$M$4:$M$203,0)),"")</f>
        <v/>
      </c>
      <c r="G157" s="33"/>
      <c r="H157" s="1" t="str">
        <f aca="false">IF(AND(OR('طباعة المحفظة'!$C$2="الكل",IFERROR(MONTH(A157),0)=IFERROR(MATCH('طباعة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المحفظة'!$F$2="الكل",IFERROR(YEAR(A157),0)=IFERROR(VALUE('طباعة المحفظة'!$F$2),0)),A157&lt;&gt;""),IFERROR(MAX($H$107:H156),0)+1,"")</f>
        <v/>
      </c>
    </row>
    <row r="158" customFormat="false" ht="18" hidden="false" customHeight="true" outlineLevel="0" collapsed="false">
      <c r="A158" s="34" t="str">
        <f aca="false">IFERROR(INDEX('كشف الحساب'!$A$4:$A$203,MATCH(52,'كشف الحساب'!$M$4:$M$203,0)),"")</f>
        <v/>
      </c>
      <c r="B158" s="35" t="str">
        <f aca="false">IFERROR(INDEX('كشف الحساب'!$B$4:$B$203,MATCH(52,'كشف الحساب'!$M$4:$M$203,0)),"")</f>
        <v/>
      </c>
      <c r="C158" s="36" t="str">
        <f aca="false">IFERROR(INDEX('كشف الحساب'!$C$4:$C$203,MATCH(52,'كشف الحساب'!$M$4:$M$203,0)),"")</f>
        <v/>
      </c>
      <c r="D158" s="37" t="str">
        <f aca="false">IFERROR(INDEX('كشف الحساب'!$D$4:$D$203,MATCH(52,'كشف الحساب'!$M$4:$M$203,0)),"")</f>
        <v/>
      </c>
      <c r="E158" s="38" t="s">
        <v>6</v>
      </c>
      <c r="F158" s="39" t="str">
        <f aca="false">IFERROR(INDEX('كشف الحساب'!$I$4:$I$203,MATCH(52,'كشف الحساب'!$M$4:$M$203,0)),"")</f>
        <v/>
      </c>
      <c r="G158" s="40"/>
      <c r="H158" s="1" t="str">
        <f aca="false">IF(AND(OR('طباعة المحفظة'!$C$2="الكل",IFERROR(MONTH(A158),0)=IFERROR(MATCH('طباعة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المحفظة'!$F$2="الكل",IFERROR(YEAR(A158),0)=IFERROR(VALUE('طباعة المحفظة'!$F$2),0)),A158&lt;&gt;""),IFERROR(MAX($H$107:H157),0)+1,"")</f>
        <v/>
      </c>
    </row>
    <row r="159" customFormat="false" ht="18" hidden="false" customHeight="true" outlineLevel="0" collapsed="false">
      <c r="A159" s="27" t="str">
        <f aca="false">IFERROR(INDEX('كشف الحساب'!$A$4:$A$203,MATCH(53,'كشف الحساب'!$M$4:$M$203,0)),"")</f>
        <v/>
      </c>
      <c r="B159" s="28" t="str">
        <f aca="false">IFERROR(INDEX('كشف الحساب'!$B$4:$B$203,MATCH(53,'كشف الحساب'!$M$4:$M$203,0)),"")</f>
        <v/>
      </c>
      <c r="C159" s="29" t="str">
        <f aca="false">IFERROR(INDEX('كشف الحساب'!$C$4:$C$203,MATCH(53,'كشف الحساب'!$M$4:$M$203,0)),"")</f>
        <v/>
      </c>
      <c r="D159" s="30" t="str">
        <f aca="false">IFERROR(INDEX('كشف الحساب'!$D$4:$D$203,MATCH(53,'كشف الحساب'!$M$4:$M$203,0)),"")</f>
        <v/>
      </c>
      <c r="E159" s="31" t="s">
        <v>6</v>
      </c>
      <c r="F159" s="32" t="str">
        <f aca="false">IFERROR(INDEX('كشف الحساب'!$I$4:$I$203,MATCH(53,'كشف الحساب'!$M$4:$M$203,0)),"")</f>
        <v/>
      </c>
      <c r="G159" s="33"/>
      <c r="H159" s="1" t="str">
        <f aca="false">IF(AND(OR('طباعة المحفظة'!$C$2="الكل",IFERROR(MONTH(A159),0)=IFERROR(MATCH('طباعة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المحفظة'!$F$2="الكل",IFERROR(YEAR(A159),0)=IFERROR(VALUE('طباعة المحفظة'!$F$2),0)),A159&lt;&gt;""),IFERROR(MAX($H$107:H158),0)+1,"")</f>
        <v/>
      </c>
    </row>
    <row r="160" customFormat="false" ht="18" hidden="false" customHeight="true" outlineLevel="0" collapsed="false">
      <c r="A160" s="34" t="str">
        <f aca="false">IFERROR(INDEX('كشف الحساب'!$A$4:$A$203,MATCH(54,'كشف الحساب'!$M$4:$M$203,0)),"")</f>
        <v/>
      </c>
      <c r="B160" s="35" t="str">
        <f aca="false">IFERROR(INDEX('كشف الحساب'!$B$4:$B$203,MATCH(54,'كشف الحساب'!$M$4:$M$203,0)),"")</f>
        <v/>
      </c>
      <c r="C160" s="36" t="str">
        <f aca="false">IFERROR(INDEX('كشف الحساب'!$C$4:$C$203,MATCH(54,'كشف الحساب'!$M$4:$M$203,0)),"")</f>
        <v/>
      </c>
      <c r="D160" s="37" t="str">
        <f aca="false">IFERROR(INDEX('كشف الحساب'!$D$4:$D$203,MATCH(54,'كشف الحساب'!$M$4:$M$203,0)),"")</f>
        <v/>
      </c>
      <c r="E160" s="38" t="s">
        <v>6</v>
      </c>
      <c r="F160" s="39" t="str">
        <f aca="false">IFERROR(INDEX('كشف الحساب'!$I$4:$I$203,MATCH(54,'كشف الحساب'!$M$4:$M$203,0)),"")</f>
        <v/>
      </c>
      <c r="G160" s="40"/>
      <c r="H160" s="1" t="str">
        <f aca="false">IF(AND(OR('طباعة المحفظة'!$C$2="الكل",IFERROR(MONTH(A160),0)=IFERROR(MATCH('طباعة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المحفظة'!$F$2="الكل",IFERROR(YEAR(A160),0)=IFERROR(VALUE('طباعة المحفظة'!$F$2),0)),A160&lt;&gt;""),IFERROR(MAX($H$107:H159),0)+1,"")</f>
        <v/>
      </c>
    </row>
    <row r="161" customFormat="false" ht="18" hidden="false" customHeight="true" outlineLevel="0" collapsed="false">
      <c r="A161" s="27" t="str">
        <f aca="false">IFERROR(INDEX('كشف الحساب'!$A$4:$A$203,MATCH(55,'كشف الحساب'!$M$4:$M$203,0)),"")</f>
        <v/>
      </c>
      <c r="B161" s="28" t="str">
        <f aca="false">IFERROR(INDEX('كشف الحساب'!$B$4:$B$203,MATCH(55,'كشف الحساب'!$M$4:$M$203,0)),"")</f>
        <v/>
      </c>
      <c r="C161" s="29" t="str">
        <f aca="false">IFERROR(INDEX('كشف الحساب'!$C$4:$C$203,MATCH(55,'كشف الحساب'!$M$4:$M$203,0)),"")</f>
        <v/>
      </c>
      <c r="D161" s="30" t="str">
        <f aca="false">IFERROR(INDEX('كشف الحساب'!$D$4:$D$203,MATCH(55,'كشف الحساب'!$M$4:$M$203,0)),"")</f>
        <v/>
      </c>
      <c r="E161" s="31" t="s">
        <v>6</v>
      </c>
      <c r="F161" s="32" t="str">
        <f aca="false">IFERROR(INDEX('كشف الحساب'!$I$4:$I$203,MATCH(55,'كشف الحساب'!$M$4:$M$203,0)),"")</f>
        <v/>
      </c>
      <c r="G161" s="33"/>
      <c r="H161" s="1" t="str">
        <f aca="false">IF(AND(OR('طباعة المحفظة'!$C$2="الكل",IFERROR(MONTH(A161),0)=IFERROR(MATCH('طباعة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المحفظة'!$F$2="الكل",IFERROR(YEAR(A161),0)=IFERROR(VALUE('طباعة المحفظة'!$F$2),0)),A161&lt;&gt;""),IFERROR(MAX($H$107:H160),0)+1,"")</f>
        <v/>
      </c>
    </row>
    <row r="162" customFormat="false" ht="18" hidden="false" customHeight="true" outlineLevel="0" collapsed="false">
      <c r="A162" s="34" t="str">
        <f aca="false">IFERROR(INDEX('كشف الحساب'!$A$4:$A$203,MATCH(56,'كشف الحساب'!$M$4:$M$203,0)),"")</f>
        <v/>
      </c>
      <c r="B162" s="35" t="str">
        <f aca="false">IFERROR(INDEX('كشف الحساب'!$B$4:$B$203,MATCH(56,'كشف الحساب'!$M$4:$M$203,0)),"")</f>
        <v/>
      </c>
      <c r="C162" s="36" t="str">
        <f aca="false">IFERROR(INDEX('كشف الحساب'!$C$4:$C$203,MATCH(56,'كشف الحساب'!$M$4:$M$203,0)),"")</f>
        <v/>
      </c>
      <c r="D162" s="37" t="str">
        <f aca="false">IFERROR(INDEX('كشف الحساب'!$D$4:$D$203,MATCH(56,'كشف الحساب'!$M$4:$M$203,0)),"")</f>
        <v/>
      </c>
      <c r="E162" s="38" t="s">
        <v>6</v>
      </c>
      <c r="F162" s="39" t="str">
        <f aca="false">IFERROR(INDEX('كشف الحساب'!$I$4:$I$203,MATCH(56,'كشف الحساب'!$M$4:$M$203,0)),"")</f>
        <v/>
      </c>
      <c r="G162" s="40"/>
      <c r="H162" s="1" t="str">
        <f aca="false">IF(AND(OR('طباعة المحفظة'!$C$2="الكل",IFERROR(MONTH(A162),0)=IFERROR(MATCH('طباعة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المحفظة'!$F$2="الكل",IFERROR(YEAR(A162),0)=IFERROR(VALUE('طباعة المحفظة'!$F$2),0)),A162&lt;&gt;""),IFERROR(MAX($H$107:H161),0)+1,"")</f>
        <v/>
      </c>
    </row>
    <row r="163" customFormat="false" ht="18" hidden="false" customHeight="true" outlineLevel="0" collapsed="false">
      <c r="A163" s="27" t="str">
        <f aca="false">IFERROR(INDEX('كشف الحساب'!$A$4:$A$203,MATCH(57,'كشف الحساب'!$M$4:$M$203,0)),"")</f>
        <v/>
      </c>
      <c r="B163" s="28" t="str">
        <f aca="false">IFERROR(INDEX('كشف الحساب'!$B$4:$B$203,MATCH(57,'كشف الحساب'!$M$4:$M$203,0)),"")</f>
        <v/>
      </c>
      <c r="C163" s="29" t="str">
        <f aca="false">IFERROR(INDEX('كشف الحساب'!$C$4:$C$203,MATCH(57,'كشف الحساب'!$M$4:$M$203,0)),"")</f>
        <v/>
      </c>
      <c r="D163" s="30" t="str">
        <f aca="false">IFERROR(INDEX('كشف الحساب'!$D$4:$D$203,MATCH(57,'كشف الحساب'!$M$4:$M$203,0)),"")</f>
        <v/>
      </c>
      <c r="E163" s="31" t="s">
        <v>6</v>
      </c>
      <c r="F163" s="32" t="str">
        <f aca="false">IFERROR(INDEX('كشف الحساب'!$I$4:$I$203,MATCH(57,'كشف الحساب'!$M$4:$M$203,0)),"")</f>
        <v/>
      </c>
      <c r="G163" s="33"/>
      <c r="H163" s="1" t="str">
        <f aca="false">IF(AND(OR('طباعة المحفظة'!$C$2="الكل",IFERROR(MONTH(A163),0)=IFERROR(MATCH('طباعة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المحفظة'!$F$2="الكل",IFERROR(YEAR(A163),0)=IFERROR(VALUE('طباعة المحفظة'!$F$2),0)),A163&lt;&gt;""),IFERROR(MAX($H$107:H162),0)+1,"")</f>
        <v/>
      </c>
    </row>
    <row r="164" customFormat="false" ht="18" hidden="false" customHeight="true" outlineLevel="0" collapsed="false">
      <c r="A164" s="34" t="str">
        <f aca="false">IFERROR(INDEX('كشف الحساب'!$A$4:$A$203,MATCH(58,'كشف الحساب'!$M$4:$M$203,0)),"")</f>
        <v/>
      </c>
      <c r="B164" s="35" t="str">
        <f aca="false">IFERROR(INDEX('كشف الحساب'!$B$4:$B$203,MATCH(58,'كشف الحساب'!$M$4:$M$203,0)),"")</f>
        <v/>
      </c>
      <c r="C164" s="36" t="str">
        <f aca="false">IFERROR(INDEX('كشف الحساب'!$C$4:$C$203,MATCH(58,'كشف الحساب'!$M$4:$M$203,0)),"")</f>
        <v/>
      </c>
      <c r="D164" s="37" t="str">
        <f aca="false">IFERROR(INDEX('كشف الحساب'!$D$4:$D$203,MATCH(58,'كشف الحساب'!$M$4:$M$203,0)),"")</f>
        <v/>
      </c>
      <c r="E164" s="38" t="s">
        <v>6</v>
      </c>
      <c r="F164" s="39" t="str">
        <f aca="false">IFERROR(INDEX('كشف الحساب'!$I$4:$I$203,MATCH(58,'كشف الحساب'!$M$4:$M$203,0)),"")</f>
        <v/>
      </c>
      <c r="G164" s="40"/>
      <c r="H164" s="1" t="str">
        <f aca="false">IF(AND(OR('طباعة المحفظة'!$C$2="الكل",IFERROR(MONTH(A164),0)=IFERROR(MATCH('طباعة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المحفظة'!$F$2="الكل",IFERROR(YEAR(A164),0)=IFERROR(VALUE('طباعة المحفظة'!$F$2),0)),A164&lt;&gt;""),IFERROR(MAX($H$107:H163),0)+1,"")</f>
        <v/>
      </c>
    </row>
    <row r="165" customFormat="false" ht="18" hidden="false" customHeight="true" outlineLevel="0" collapsed="false">
      <c r="A165" s="27" t="str">
        <f aca="false">IFERROR(INDEX('كشف الحساب'!$A$4:$A$203,MATCH(59,'كشف الحساب'!$M$4:$M$203,0)),"")</f>
        <v/>
      </c>
      <c r="B165" s="28" t="str">
        <f aca="false">IFERROR(INDEX('كشف الحساب'!$B$4:$B$203,MATCH(59,'كشف الحساب'!$M$4:$M$203,0)),"")</f>
        <v/>
      </c>
      <c r="C165" s="29" t="str">
        <f aca="false">IFERROR(INDEX('كشف الحساب'!$C$4:$C$203,MATCH(59,'كشف الحساب'!$M$4:$M$203,0)),"")</f>
        <v/>
      </c>
      <c r="D165" s="30" t="str">
        <f aca="false">IFERROR(INDEX('كشف الحساب'!$D$4:$D$203,MATCH(59,'كشف الحساب'!$M$4:$M$203,0)),"")</f>
        <v/>
      </c>
      <c r="E165" s="31" t="s">
        <v>6</v>
      </c>
      <c r="F165" s="32" t="str">
        <f aca="false">IFERROR(INDEX('كشف الحساب'!$I$4:$I$203,MATCH(59,'كشف الحساب'!$M$4:$M$203,0)),"")</f>
        <v/>
      </c>
      <c r="G165" s="33"/>
      <c r="H165" s="1" t="str">
        <f aca="false">IF(AND(OR('طباعة المحفظة'!$C$2="الكل",IFERROR(MONTH(A165),0)=IFERROR(MATCH('طباعة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المحفظة'!$F$2="الكل",IFERROR(YEAR(A165),0)=IFERROR(VALUE('طباعة المحفظة'!$F$2),0)),A165&lt;&gt;""),IFERROR(MAX($H$107:H164),0)+1,"")</f>
        <v/>
      </c>
    </row>
    <row r="166" customFormat="false" ht="18" hidden="false" customHeight="true" outlineLevel="0" collapsed="false">
      <c r="A166" s="34" t="str">
        <f aca="false">IFERROR(INDEX('كشف الحساب'!$A$4:$A$203,MATCH(60,'كشف الحساب'!$M$4:$M$203,0)),"")</f>
        <v/>
      </c>
      <c r="B166" s="35" t="str">
        <f aca="false">IFERROR(INDEX('كشف الحساب'!$B$4:$B$203,MATCH(60,'كشف الحساب'!$M$4:$M$203,0)),"")</f>
        <v/>
      </c>
      <c r="C166" s="36" t="str">
        <f aca="false">IFERROR(INDEX('كشف الحساب'!$C$4:$C$203,MATCH(60,'كشف الحساب'!$M$4:$M$203,0)),"")</f>
        <v/>
      </c>
      <c r="D166" s="37" t="str">
        <f aca="false">IFERROR(INDEX('كشف الحساب'!$D$4:$D$203,MATCH(60,'كشف الحساب'!$M$4:$M$203,0)),"")</f>
        <v/>
      </c>
      <c r="E166" s="38" t="s">
        <v>6</v>
      </c>
      <c r="F166" s="39" t="str">
        <f aca="false">IFERROR(INDEX('كشف الحساب'!$I$4:$I$203,MATCH(60,'كشف الحساب'!$M$4:$M$203,0)),"")</f>
        <v/>
      </c>
      <c r="G166" s="40"/>
      <c r="H166" s="1" t="str">
        <f aca="false">IF(AND(OR('طباعة المحفظة'!$C$2="الكل",IFERROR(MONTH(A166),0)=IFERROR(MATCH('طباعة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المحفظة'!$F$2="الكل",IFERROR(YEAR(A166),0)=IFERROR(VALUE('طباعة المحفظة'!$F$2),0)),A166&lt;&gt;""),IFERROR(MAX($H$107:H165),0)+1,"")</f>
        <v/>
      </c>
    </row>
    <row r="167" customFormat="false" ht="18" hidden="false" customHeight="true" outlineLevel="0" collapsed="false">
      <c r="A167" s="27" t="str">
        <f aca="false">IFERROR(INDEX('كشف الحساب'!$A$4:$A$203,MATCH(61,'كشف الحساب'!$M$4:$M$203,0)),"")</f>
        <v/>
      </c>
      <c r="B167" s="28" t="str">
        <f aca="false">IFERROR(INDEX('كشف الحساب'!$B$4:$B$203,MATCH(61,'كشف الحساب'!$M$4:$M$203,0)),"")</f>
        <v/>
      </c>
      <c r="C167" s="29" t="str">
        <f aca="false">IFERROR(INDEX('كشف الحساب'!$C$4:$C$203,MATCH(61,'كشف الحساب'!$M$4:$M$203,0)),"")</f>
        <v/>
      </c>
      <c r="D167" s="30" t="str">
        <f aca="false">IFERROR(INDEX('كشف الحساب'!$D$4:$D$203,MATCH(61,'كشف الحساب'!$M$4:$M$203,0)),"")</f>
        <v/>
      </c>
      <c r="E167" s="31" t="s">
        <v>6</v>
      </c>
      <c r="F167" s="32" t="str">
        <f aca="false">IFERROR(INDEX('كشف الحساب'!$I$4:$I$203,MATCH(61,'كشف الحساب'!$M$4:$M$203,0)),"")</f>
        <v/>
      </c>
      <c r="G167" s="33"/>
      <c r="H167" s="1" t="str">
        <f aca="false">IF(AND(OR('طباعة المحفظة'!$C$2="الكل",IFERROR(MONTH(A167),0)=IFERROR(MATCH('طباعة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المحفظة'!$F$2="الكل",IFERROR(YEAR(A167),0)=IFERROR(VALUE('طباعة المحفظة'!$F$2),0)),A167&lt;&gt;""),IFERROR(MAX($H$107:H166),0)+1,"")</f>
        <v/>
      </c>
    </row>
    <row r="168" customFormat="false" ht="18" hidden="false" customHeight="true" outlineLevel="0" collapsed="false">
      <c r="A168" s="34" t="str">
        <f aca="false">IFERROR(INDEX('كشف الحساب'!$A$4:$A$203,MATCH(62,'كشف الحساب'!$M$4:$M$203,0)),"")</f>
        <v/>
      </c>
      <c r="B168" s="35" t="str">
        <f aca="false">IFERROR(INDEX('كشف الحساب'!$B$4:$B$203,MATCH(62,'كشف الحساب'!$M$4:$M$203,0)),"")</f>
        <v/>
      </c>
      <c r="C168" s="36" t="str">
        <f aca="false">IFERROR(INDEX('كشف الحساب'!$C$4:$C$203,MATCH(62,'كشف الحساب'!$M$4:$M$203,0)),"")</f>
        <v/>
      </c>
      <c r="D168" s="37" t="str">
        <f aca="false">IFERROR(INDEX('كشف الحساب'!$D$4:$D$203,MATCH(62,'كشف الحساب'!$M$4:$M$203,0)),"")</f>
        <v/>
      </c>
      <c r="E168" s="38" t="s">
        <v>6</v>
      </c>
      <c r="F168" s="39" t="str">
        <f aca="false">IFERROR(INDEX('كشف الحساب'!$I$4:$I$203,MATCH(62,'كشف الحساب'!$M$4:$M$203,0)),"")</f>
        <v/>
      </c>
      <c r="G168" s="40"/>
      <c r="H168" s="1" t="str">
        <f aca="false">IF(AND(OR('طباعة المحفظة'!$C$2="الكل",IFERROR(MONTH(A168),0)=IFERROR(MATCH('طباعة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المحفظة'!$F$2="الكل",IFERROR(YEAR(A168),0)=IFERROR(VALUE('طباعة المحفظة'!$F$2),0)),A168&lt;&gt;""),IFERROR(MAX($H$107:H167),0)+1,"")</f>
        <v/>
      </c>
    </row>
    <row r="169" customFormat="false" ht="18" hidden="false" customHeight="true" outlineLevel="0" collapsed="false">
      <c r="A169" s="27" t="str">
        <f aca="false">IFERROR(INDEX('كشف الحساب'!$A$4:$A$203,MATCH(63,'كشف الحساب'!$M$4:$M$203,0)),"")</f>
        <v/>
      </c>
      <c r="B169" s="28" t="str">
        <f aca="false">IFERROR(INDEX('كشف الحساب'!$B$4:$B$203,MATCH(63,'كشف الحساب'!$M$4:$M$203,0)),"")</f>
        <v/>
      </c>
      <c r="C169" s="29" t="str">
        <f aca="false">IFERROR(INDEX('كشف الحساب'!$C$4:$C$203,MATCH(63,'كشف الحساب'!$M$4:$M$203,0)),"")</f>
        <v/>
      </c>
      <c r="D169" s="30" t="str">
        <f aca="false">IFERROR(INDEX('كشف الحساب'!$D$4:$D$203,MATCH(63,'كشف الحساب'!$M$4:$M$203,0)),"")</f>
        <v/>
      </c>
      <c r="E169" s="31" t="s">
        <v>6</v>
      </c>
      <c r="F169" s="32" t="str">
        <f aca="false">IFERROR(INDEX('كشف الحساب'!$I$4:$I$203,MATCH(63,'كشف الحساب'!$M$4:$M$203,0)),"")</f>
        <v/>
      </c>
      <c r="G169" s="33"/>
      <c r="H169" s="1" t="str">
        <f aca="false">IF(AND(OR('طباعة المحفظة'!$C$2="الكل",IFERROR(MONTH(A169),0)=IFERROR(MATCH('طباعة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المحفظة'!$F$2="الكل",IFERROR(YEAR(A169),0)=IFERROR(VALUE('طباعة المحفظة'!$F$2),0)),A169&lt;&gt;""),IFERROR(MAX($H$107:H168),0)+1,"")</f>
        <v/>
      </c>
    </row>
    <row r="170" customFormat="false" ht="18" hidden="false" customHeight="true" outlineLevel="0" collapsed="false">
      <c r="A170" s="34" t="str">
        <f aca="false">IFERROR(INDEX('كشف الحساب'!$A$4:$A$203,MATCH(64,'كشف الحساب'!$M$4:$M$203,0)),"")</f>
        <v/>
      </c>
      <c r="B170" s="35" t="str">
        <f aca="false">IFERROR(INDEX('كشف الحساب'!$B$4:$B$203,MATCH(64,'كشف الحساب'!$M$4:$M$203,0)),"")</f>
        <v/>
      </c>
      <c r="C170" s="36" t="str">
        <f aca="false">IFERROR(INDEX('كشف الحساب'!$C$4:$C$203,MATCH(64,'كشف الحساب'!$M$4:$M$203,0)),"")</f>
        <v/>
      </c>
      <c r="D170" s="37" t="str">
        <f aca="false">IFERROR(INDEX('كشف الحساب'!$D$4:$D$203,MATCH(64,'كشف الحساب'!$M$4:$M$203,0)),"")</f>
        <v/>
      </c>
      <c r="E170" s="38" t="s">
        <v>6</v>
      </c>
      <c r="F170" s="39" t="str">
        <f aca="false">IFERROR(INDEX('كشف الحساب'!$I$4:$I$203,MATCH(64,'كشف الحساب'!$M$4:$M$203,0)),"")</f>
        <v/>
      </c>
      <c r="G170" s="40"/>
      <c r="H170" s="1" t="str">
        <f aca="false">IF(AND(OR('طباعة المحفظة'!$C$2="الكل",IFERROR(MONTH(A170),0)=IFERROR(MATCH('طباعة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المحفظة'!$F$2="الكل",IFERROR(YEAR(A170),0)=IFERROR(VALUE('طباعة المحفظة'!$F$2),0)),A170&lt;&gt;""),IFERROR(MAX($H$107:H169),0)+1,"")</f>
        <v/>
      </c>
    </row>
    <row r="171" customFormat="false" ht="18" hidden="false" customHeight="true" outlineLevel="0" collapsed="false">
      <c r="A171" s="27" t="str">
        <f aca="false">IFERROR(INDEX('كشف الحساب'!$A$4:$A$203,MATCH(65,'كشف الحساب'!$M$4:$M$203,0)),"")</f>
        <v/>
      </c>
      <c r="B171" s="28" t="str">
        <f aca="false">IFERROR(INDEX('كشف الحساب'!$B$4:$B$203,MATCH(65,'كشف الحساب'!$M$4:$M$203,0)),"")</f>
        <v/>
      </c>
      <c r="C171" s="29" t="str">
        <f aca="false">IFERROR(INDEX('كشف الحساب'!$C$4:$C$203,MATCH(65,'كشف الحساب'!$M$4:$M$203,0)),"")</f>
        <v/>
      </c>
      <c r="D171" s="30" t="str">
        <f aca="false">IFERROR(INDEX('كشف الحساب'!$D$4:$D$203,MATCH(65,'كشف الحساب'!$M$4:$M$203,0)),"")</f>
        <v/>
      </c>
      <c r="E171" s="31" t="s">
        <v>6</v>
      </c>
      <c r="F171" s="32" t="str">
        <f aca="false">IFERROR(INDEX('كشف الحساب'!$I$4:$I$203,MATCH(65,'كشف الحساب'!$M$4:$M$203,0)),"")</f>
        <v/>
      </c>
      <c r="G171" s="33"/>
      <c r="H171" s="1" t="str">
        <f aca="false">IF(AND(OR('طباعة المحفظة'!$C$2="الكل",IFERROR(MONTH(A171),0)=IFERROR(MATCH('طباعة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المحفظة'!$F$2="الكل",IFERROR(YEAR(A171),0)=IFERROR(VALUE('طباعة المحفظة'!$F$2),0)),A171&lt;&gt;""),IFERROR(MAX($H$107:H170),0)+1,"")</f>
        <v/>
      </c>
    </row>
    <row r="172" customFormat="false" ht="18" hidden="false" customHeight="true" outlineLevel="0" collapsed="false">
      <c r="A172" s="34" t="str">
        <f aca="false">IFERROR(INDEX('كشف الحساب'!$A$4:$A$203,MATCH(66,'كشف الحساب'!$M$4:$M$203,0)),"")</f>
        <v/>
      </c>
      <c r="B172" s="35" t="str">
        <f aca="false">IFERROR(INDEX('كشف الحساب'!$B$4:$B$203,MATCH(66,'كشف الحساب'!$M$4:$M$203,0)),"")</f>
        <v/>
      </c>
      <c r="C172" s="36" t="str">
        <f aca="false">IFERROR(INDEX('كشف الحساب'!$C$4:$C$203,MATCH(66,'كشف الحساب'!$M$4:$M$203,0)),"")</f>
        <v/>
      </c>
      <c r="D172" s="37" t="str">
        <f aca="false">IFERROR(INDEX('كشف الحساب'!$D$4:$D$203,MATCH(66,'كشف الحساب'!$M$4:$M$203,0)),"")</f>
        <v/>
      </c>
      <c r="E172" s="38" t="s">
        <v>6</v>
      </c>
      <c r="F172" s="39" t="str">
        <f aca="false">IFERROR(INDEX('كشف الحساب'!$I$4:$I$203,MATCH(66,'كشف الحساب'!$M$4:$M$203,0)),"")</f>
        <v/>
      </c>
      <c r="G172" s="40"/>
      <c r="H172" s="1" t="str">
        <f aca="false">IF(AND(OR('طباعة المحفظة'!$C$2="الكل",IFERROR(MONTH(A172),0)=IFERROR(MATCH('طباعة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المحفظة'!$F$2="الكل",IFERROR(YEAR(A172),0)=IFERROR(VALUE('طباعة المحفظة'!$F$2),0)),A172&lt;&gt;""),IFERROR(MAX($H$107:H171),0)+1,"")</f>
        <v/>
      </c>
    </row>
    <row r="173" customFormat="false" ht="18" hidden="false" customHeight="true" outlineLevel="0" collapsed="false">
      <c r="A173" s="27" t="str">
        <f aca="false">IFERROR(INDEX('كشف الحساب'!$A$4:$A$203,MATCH(67,'كشف الحساب'!$M$4:$M$203,0)),"")</f>
        <v/>
      </c>
      <c r="B173" s="28" t="str">
        <f aca="false">IFERROR(INDEX('كشف الحساب'!$B$4:$B$203,MATCH(67,'كشف الحساب'!$M$4:$M$203,0)),"")</f>
        <v/>
      </c>
      <c r="C173" s="29" t="str">
        <f aca="false">IFERROR(INDEX('كشف الحساب'!$C$4:$C$203,MATCH(67,'كشف الحساب'!$M$4:$M$203,0)),"")</f>
        <v/>
      </c>
      <c r="D173" s="30" t="str">
        <f aca="false">IFERROR(INDEX('كشف الحساب'!$D$4:$D$203,MATCH(67,'كشف الحساب'!$M$4:$M$203,0)),"")</f>
        <v/>
      </c>
      <c r="E173" s="31" t="s">
        <v>6</v>
      </c>
      <c r="F173" s="32" t="str">
        <f aca="false">IFERROR(INDEX('كشف الحساب'!$I$4:$I$203,MATCH(67,'كشف الحساب'!$M$4:$M$203,0)),"")</f>
        <v/>
      </c>
      <c r="G173" s="33"/>
      <c r="H173" s="1" t="str">
        <f aca="false">IF(AND(OR('طباعة المحفظة'!$C$2="الكل",IFERROR(MONTH(A173),0)=IFERROR(MATCH('طباعة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المحفظة'!$F$2="الكل",IFERROR(YEAR(A173),0)=IFERROR(VALUE('طباعة المحفظة'!$F$2),0)),A173&lt;&gt;""),IFERROR(MAX($H$107:H172),0)+1,"")</f>
        <v/>
      </c>
    </row>
    <row r="174" customFormat="false" ht="18" hidden="false" customHeight="true" outlineLevel="0" collapsed="false">
      <c r="A174" s="34" t="str">
        <f aca="false">IFERROR(INDEX('كشف الحساب'!$A$4:$A$203,MATCH(68,'كشف الحساب'!$M$4:$M$203,0)),"")</f>
        <v/>
      </c>
      <c r="B174" s="35" t="str">
        <f aca="false">IFERROR(INDEX('كشف الحساب'!$B$4:$B$203,MATCH(68,'كشف الحساب'!$M$4:$M$203,0)),"")</f>
        <v/>
      </c>
      <c r="C174" s="36" t="str">
        <f aca="false">IFERROR(INDEX('كشف الحساب'!$C$4:$C$203,MATCH(68,'كشف الحساب'!$M$4:$M$203,0)),"")</f>
        <v/>
      </c>
      <c r="D174" s="37" t="str">
        <f aca="false">IFERROR(INDEX('كشف الحساب'!$D$4:$D$203,MATCH(68,'كشف الحساب'!$M$4:$M$203,0)),"")</f>
        <v/>
      </c>
      <c r="E174" s="38" t="s">
        <v>6</v>
      </c>
      <c r="F174" s="39" t="str">
        <f aca="false">IFERROR(INDEX('كشف الحساب'!$I$4:$I$203,MATCH(68,'كشف الحساب'!$M$4:$M$203,0)),"")</f>
        <v/>
      </c>
      <c r="G174" s="40"/>
      <c r="H174" s="1" t="str">
        <f aca="false">IF(AND(OR('طباعة المحفظة'!$C$2="الكل",IFERROR(MONTH(A174),0)=IFERROR(MATCH('طباعة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المحفظة'!$F$2="الكل",IFERROR(YEAR(A174),0)=IFERROR(VALUE('طباعة المحفظة'!$F$2),0)),A174&lt;&gt;""),IFERROR(MAX($H$107:H173),0)+1,"")</f>
        <v/>
      </c>
    </row>
    <row r="175" customFormat="false" ht="18" hidden="false" customHeight="true" outlineLevel="0" collapsed="false">
      <c r="A175" s="27" t="str">
        <f aca="false">IFERROR(INDEX('كشف الحساب'!$A$4:$A$203,MATCH(69,'كشف الحساب'!$M$4:$M$203,0)),"")</f>
        <v/>
      </c>
      <c r="B175" s="28" t="str">
        <f aca="false">IFERROR(INDEX('كشف الحساب'!$B$4:$B$203,MATCH(69,'كشف الحساب'!$M$4:$M$203,0)),"")</f>
        <v/>
      </c>
      <c r="C175" s="29" t="str">
        <f aca="false">IFERROR(INDEX('كشف الحساب'!$C$4:$C$203,MATCH(69,'كشف الحساب'!$M$4:$M$203,0)),"")</f>
        <v/>
      </c>
      <c r="D175" s="30" t="str">
        <f aca="false">IFERROR(INDEX('كشف الحساب'!$D$4:$D$203,MATCH(69,'كشف الحساب'!$M$4:$M$203,0)),"")</f>
        <v/>
      </c>
      <c r="E175" s="31" t="s">
        <v>6</v>
      </c>
      <c r="F175" s="32" t="str">
        <f aca="false">IFERROR(INDEX('كشف الحساب'!$I$4:$I$203,MATCH(69,'كشف الحساب'!$M$4:$M$203,0)),"")</f>
        <v/>
      </c>
      <c r="G175" s="33"/>
      <c r="H175" s="1" t="str">
        <f aca="false">IF(AND(OR('طباعة المحفظة'!$C$2="الكل",IFERROR(MONTH(A175),0)=IFERROR(MATCH('طباعة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المحفظة'!$F$2="الكل",IFERROR(YEAR(A175),0)=IFERROR(VALUE('طباعة المحفظة'!$F$2),0)),A175&lt;&gt;""),IFERROR(MAX($H$107:H174),0)+1,"")</f>
        <v/>
      </c>
    </row>
    <row r="176" customFormat="false" ht="18" hidden="false" customHeight="true" outlineLevel="0" collapsed="false">
      <c r="A176" s="34" t="str">
        <f aca="false">IFERROR(INDEX('كشف الحساب'!$A$4:$A$203,MATCH(70,'كشف الحساب'!$M$4:$M$203,0)),"")</f>
        <v/>
      </c>
      <c r="B176" s="35" t="str">
        <f aca="false">IFERROR(INDEX('كشف الحساب'!$B$4:$B$203,MATCH(70,'كشف الحساب'!$M$4:$M$203,0)),"")</f>
        <v/>
      </c>
      <c r="C176" s="36" t="str">
        <f aca="false">IFERROR(INDEX('كشف الحساب'!$C$4:$C$203,MATCH(70,'كشف الحساب'!$M$4:$M$203,0)),"")</f>
        <v/>
      </c>
      <c r="D176" s="37" t="str">
        <f aca="false">IFERROR(INDEX('كشف الحساب'!$D$4:$D$203,MATCH(70,'كشف الحساب'!$M$4:$M$203,0)),"")</f>
        <v/>
      </c>
      <c r="E176" s="38" t="s">
        <v>6</v>
      </c>
      <c r="F176" s="39" t="str">
        <f aca="false">IFERROR(INDEX('كشف الحساب'!$I$4:$I$203,MATCH(70,'كشف الحساب'!$M$4:$M$203,0)),"")</f>
        <v/>
      </c>
      <c r="G176" s="40"/>
      <c r="H176" s="1" t="str">
        <f aca="false">IF(AND(OR('طباعة المحفظة'!$C$2="الكل",IFERROR(MONTH(A176),0)=IFERROR(MATCH('طباعة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المحفظة'!$F$2="الكل",IFERROR(YEAR(A176),0)=IFERROR(VALUE('طباعة المحفظة'!$F$2),0)),A176&lt;&gt;""),IFERROR(MAX($H$107:H175),0)+1,"")</f>
        <v/>
      </c>
    </row>
    <row r="177" customFormat="false" ht="18" hidden="false" customHeight="true" outlineLevel="0" collapsed="false">
      <c r="A177" s="27" t="str">
        <f aca="false">IFERROR(INDEX('كشف الحساب'!$A$4:$A$203,MATCH(71,'كشف الحساب'!$M$4:$M$203,0)),"")</f>
        <v/>
      </c>
      <c r="B177" s="28" t="str">
        <f aca="false">IFERROR(INDEX('كشف الحساب'!$B$4:$B$203,MATCH(71,'كشف الحساب'!$M$4:$M$203,0)),"")</f>
        <v/>
      </c>
      <c r="C177" s="29" t="str">
        <f aca="false">IFERROR(INDEX('كشف الحساب'!$C$4:$C$203,MATCH(71,'كشف الحساب'!$M$4:$M$203,0)),"")</f>
        <v/>
      </c>
      <c r="D177" s="30" t="str">
        <f aca="false">IFERROR(INDEX('كشف الحساب'!$D$4:$D$203,MATCH(71,'كشف الحساب'!$M$4:$M$203,0)),"")</f>
        <v/>
      </c>
      <c r="E177" s="31" t="s">
        <v>6</v>
      </c>
      <c r="F177" s="32" t="str">
        <f aca="false">IFERROR(INDEX('كشف الحساب'!$I$4:$I$203,MATCH(71,'كشف الحساب'!$M$4:$M$203,0)),"")</f>
        <v/>
      </c>
      <c r="G177" s="33"/>
      <c r="H177" s="1" t="str">
        <f aca="false">IF(AND(OR('طباعة المحفظة'!$C$2="الكل",IFERROR(MONTH(A177),0)=IFERROR(MATCH('طباعة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المحفظة'!$F$2="الكل",IFERROR(YEAR(A177),0)=IFERROR(VALUE('طباعة المحفظة'!$F$2),0)),A177&lt;&gt;""),IFERROR(MAX($H$107:H176),0)+1,"")</f>
        <v/>
      </c>
    </row>
    <row r="178" customFormat="false" ht="18" hidden="false" customHeight="true" outlineLevel="0" collapsed="false">
      <c r="A178" s="34" t="str">
        <f aca="false">IFERROR(INDEX('كشف الحساب'!$A$4:$A$203,MATCH(72,'كشف الحساب'!$M$4:$M$203,0)),"")</f>
        <v/>
      </c>
      <c r="B178" s="35" t="str">
        <f aca="false">IFERROR(INDEX('كشف الحساب'!$B$4:$B$203,MATCH(72,'كشف الحساب'!$M$4:$M$203,0)),"")</f>
        <v/>
      </c>
      <c r="C178" s="36" t="str">
        <f aca="false">IFERROR(INDEX('كشف الحساب'!$C$4:$C$203,MATCH(72,'كشف الحساب'!$M$4:$M$203,0)),"")</f>
        <v/>
      </c>
      <c r="D178" s="37" t="str">
        <f aca="false">IFERROR(INDEX('كشف الحساب'!$D$4:$D$203,MATCH(72,'كشف الحساب'!$M$4:$M$203,0)),"")</f>
        <v/>
      </c>
      <c r="E178" s="38" t="s">
        <v>6</v>
      </c>
      <c r="F178" s="39" t="str">
        <f aca="false">IFERROR(INDEX('كشف الحساب'!$I$4:$I$203,MATCH(72,'كشف الحساب'!$M$4:$M$203,0)),"")</f>
        <v/>
      </c>
      <c r="G178" s="40"/>
      <c r="H178" s="1" t="str">
        <f aca="false">IF(AND(OR('طباعة المحفظة'!$C$2="الكل",IFERROR(MONTH(A178),0)=IFERROR(MATCH('طباعة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المحفظة'!$F$2="الكل",IFERROR(YEAR(A178),0)=IFERROR(VALUE('طباعة المحفظة'!$F$2),0)),A178&lt;&gt;""),IFERROR(MAX($H$107:H177),0)+1,"")</f>
        <v/>
      </c>
    </row>
    <row r="179" customFormat="false" ht="18" hidden="false" customHeight="true" outlineLevel="0" collapsed="false">
      <c r="A179" s="27" t="str">
        <f aca="false">IFERROR(INDEX('كشف الحساب'!$A$4:$A$203,MATCH(73,'كشف الحساب'!$M$4:$M$203,0)),"")</f>
        <v/>
      </c>
      <c r="B179" s="28" t="str">
        <f aca="false">IFERROR(INDEX('كشف الحساب'!$B$4:$B$203,MATCH(73,'كشف الحساب'!$M$4:$M$203,0)),"")</f>
        <v/>
      </c>
      <c r="C179" s="29" t="str">
        <f aca="false">IFERROR(INDEX('كشف الحساب'!$C$4:$C$203,MATCH(73,'كشف الحساب'!$M$4:$M$203,0)),"")</f>
        <v/>
      </c>
      <c r="D179" s="30" t="str">
        <f aca="false">IFERROR(INDEX('كشف الحساب'!$D$4:$D$203,MATCH(73,'كشف الحساب'!$M$4:$M$203,0)),"")</f>
        <v/>
      </c>
      <c r="E179" s="31" t="s">
        <v>6</v>
      </c>
      <c r="F179" s="32" t="str">
        <f aca="false">IFERROR(INDEX('كشف الحساب'!$I$4:$I$203,MATCH(73,'كشف الحساب'!$M$4:$M$203,0)),"")</f>
        <v/>
      </c>
      <c r="G179" s="33"/>
      <c r="H179" s="1" t="str">
        <f aca="false">IF(AND(OR('طباعة المحفظة'!$C$2="الكل",IFERROR(MONTH(A179),0)=IFERROR(MATCH('طباعة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المحفظة'!$F$2="الكل",IFERROR(YEAR(A179),0)=IFERROR(VALUE('طباعة المحفظة'!$F$2),0)),A179&lt;&gt;""),IFERROR(MAX($H$107:H178),0)+1,"")</f>
        <v/>
      </c>
    </row>
    <row r="180" customFormat="false" ht="18" hidden="false" customHeight="true" outlineLevel="0" collapsed="false">
      <c r="A180" s="34" t="str">
        <f aca="false">IFERROR(INDEX('كشف الحساب'!$A$4:$A$203,MATCH(74,'كشف الحساب'!$M$4:$M$203,0)),"")</f>
        <v/>
      </c>
      <c r="B180" s="35" t="str">
        <f aca="false">IFERROR(INDEX('كشف الحساب'!$B$4:$B$203,MATCH(74,'كشف الحساب'!$M$4:$M$203,0)),"")</f>
        <v/>
      </c>
      <c r="C180" s="36" t="str">
        <f aca="false">IFERROR(INDEX('كشف الحساب'!$C$4:$C$203,MATCH(74,'كشف الحساب'!$M$4:$M$203,0)),"")</f>
        <v/>
      </c>
      <c r="D180" s="37" t="str">
        <f aca="false">IFERROR(INDEX('كشف الحساب'!$D$4:$D$203,MATCH(74,'كشف الحساب'!$M$4:$M$203,0)),"")</f>
        <v/>
      </c>
      <c r="E180" s="38" t="s">
        <v>6</v>
      </c>
      <c r="F180" s="39" t="str">
        <f aca="false">IFERROR(INDEX('كشف الحساب'!$I$4:$I$203,MATCH(74,'كشف الحساب'!$M$4:$M$203,0)),"")</f>
        <v/>
      </c>
      <c r="G180" s="40"/>
      <c r="H180" s="1" t="str">
        <f aca="false">IF(AND(OR('طباعة المحفظة'!$C$2="الكل",IFERROR(MONTH(A180),0)=IFERROR(MATCH('طباعة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المحفظة'!$F$2="الكل",IFERROR(YEAR(A180),0)=IFERROR(VALUE('طباعة المحفظة'!$F$2),0)),A180&lt;&gt;""),IFERROR(MAX($H$107:H179),0)+1,"")</f>
        <v/>
      </c>
    </row>
    <row r="181" customFormat="false" ht="18" hidden="false" customHeight="true" outlineLevel="0" collapsed="false">
      <c r="A181" s="27" t="str">
        <f aca="false">IFERROR(INDEX('كشف الحساب'!$A$4:$A$203,MATCH(75,'كشف الحساب'!$M$4:$M$203,0)),"")</f>
        <v/>
      </c>
      <c r="B181" s="28" t="str">
        <f aca="false">IFERROR(INDEX('كشف الحساب'!$B$4:$B$203,MATCH(75,'كشف الحساب'!$M$4:$M$203,0)),"")</f>
        <v/>
      </c>
      <c r="C181" s="29" t="str">
        <f aca="false">IFERROR(INDEX('كشف الحساب'!$C$4:$C$203,MATCH(75,'كشف الحساب'!$M$4:$M$203,0)),"")</f>
        <v/>
      </c>
      <c r="D181" s="30" t="str">
        <f aca="false">IFERROR(INDEX('كشف الحساب'!$D$4:$D$203,MATCH(75,'كشف الحساب'!$M$4:$M$203,0)),"")</f>
        <v/>
      </c>
      <c r="E181" s="31" t="s">
        <v>6</v>
      </c>
      <c r="F181" s="32" t="str">
        <f aca="false">IFERROR(INDEX('كشف الحساب'!$I$4:$I$203,MATCH(75,'كشف الحساب'!$M$4:$M$203,0)),"")</f>
        <v/>
      </c>
      <c r="G181" s="33"/>
      <c r="H181" s="1" t="str">
        <f aca="false">IF(AND(OR('طباعة المحفظة'!$C$2="الكل",IFERROR(MONTH(A181),0)=IFERROR(MATCH('طباعة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المحفظة'!$F$2="الكل",IFERROR(YEAR(A181),0)=IFERROR(VALUE('طباعة المحفظة'!$F$2),0)),A181&lt;&gt;""),IFERROR(MAX($H$107:H180),0)+1,"")</f>
        <v/>
      </c>
    </row>
    <row r="182" customFormat="false" ht="18" hidden="false" customHeight="true" outlineLevel="0" collapsed="false">
      <c r="A182" s="34" t="str">
        <f aca="false">IFERROR(INDEX('كشف الحساب'!$A$4:$A$203,MATCH(76,'كشف الحساب'!$M$4:$M$203,0)),"")</f>
        <v/>
      </c>
      <c r="B182" s="35" t="str">
        <f aca="false">IFERROR(INDEX('كشف الحساب'!$B$4:$B$203,MATCH(76,'كشف الحساب'!$M$4:$M$203,0)),"")</f>
        <v/>
      </c>
      <c r="C182" s="36" t="str">
        <f aca="false">IFERROR(INDEX('كشف الحساب'!$C$4:$C$203,MATCH(76,'كشف الحساب'!$M$4:$M$203,0)),"")</f>
        <v/>
      </c>
      <c r="D182" s="37" t="str">
        <f aca="false">IFERROR(INDEX('كشف الحساب'!$D$4:$D$203,MATCH(76,'كشف الحساب'!$M$4:$M$203,0)),"")</f>
        <v/>
      </c>
      <c r="E182" s="38" t="s">
        <v>6</v>
      </c>
      <c r="F182" s="39" t="str">
        <f aca="false">IFERROR(INDEX('كشف الحساب'!$I$4:$I$203,MATCH(76,'كشف الحساب'!$M$4:$M$203,0)),"")</f>
        <v/>
      </c>
      <c r="G182" s="40"/>
      <c r="H182" s="1" t="str">
        <f aca="false">IF(AND(OR('طباعة المحفظة'!$C$2="الكل",IFERROR(MONTH(A182),0)=IFERROR(MATCH('طباعة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المحفظة'!$F$2="الكل",IFERROR(YEAR(A182),0)=IFERROR(VALUE('طباعة المحفظة'!$F$2),0)),A182&lt;&gt;""),IFERROR(MAX($H$107:H181),0)+1,"")</f>
        <v/>
      </c>
    </row>
    <row r="183" customFormat="false" ht="18" hidden="false" customHeight="true" outlineLevel="0" collapsed="false">
      <c r="A183" s="27" t="str">
        <f aca="false">IFERROR(INDEX('كشف الحساب'!$A$4:$A$203,MATCH(77,'كشف الحساب'!$M$4:$M$203,0)),"")</f>
        <v/>
      </c>
      <c r="B183" s="28" t="str">
        <f aca="false">IFERROR(INDEX('كشف الحساب'!$B$4:$B$203,MATCH(77,'كشف الحساب'!$M$4:$M$203,0)),"")</f>
        <v/>
      </c>
      <c r="C183" s="29" t="str">
        <f aca="false">IFERROR(INDEX('كشف الحساب'!$C$4:$C$203,MATCH(77,'كشف الحساب'!$M$4:$M$203,0)),"")</f>
        <v/>
      </c>
      <c r="D183" s="30" t="str">
        <f aca="false">IFERROR(INDEX('كشف الحساب'!$D$4:$D$203,MATCH(77,'كشف الحساب'!$M$4:$M$203,0)),"")</f>
        <v/>
      </c>
      <c r="E183" s="31" t="s">
        <v>6</v>
      </c>
      <c r="F183" s="32" t="str">
        <f aca="false">IFERROR(INDEX('كشف الحساب'!$I$4:$I$203,MATCH(77,'كشف الحساب'!$M$4:$M$203,0)),"")</f>
        <v/>
      </c>
      <c r="G183" s="33"/>
      <c r="H183" s="1" t="str">
        <f aca="false">IF(AND(OR('طباعة المحفظة'!$C$2="الكل",IFERROR(MONTH(A183),0)=IFERROR(MATCH('طباعة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المحفظة'!$F$2="الكل",IFERROR(YEAR(A183),0)=IFERROR(VALUE('طباعة المحفظة'!$F$2),0)),A183&lt;&gt;""),IFERROR(MAX($H$107:H182),0)+1,"")</f>
        <v/>
      </c>
    </row>
    <row r="184" customFormat="false" ht="18" hidden="false" customHeight="true" outlineLevel="0" collapsed="false">
      <c r="A184" s="34" t="str">
        <f aca="false">IFERROR(INDEX('كشف الحساب'!$A$4:$A$203,MATCH(78,'كشف الحساب'!$M$4:$M$203,0)),"")</f>
        <v/>
      </c>
      <c r="B184" s="35" t="str">
        <f aca="false">IFERROR(INDEX('كشف الحساب'!$B$4:$B$203,MATCH(78,'كشف الحساب'!$M$4:$M$203,0)),"")</f>
        <v/>
      </c>
      <c r="C184" s="36" t="str">
        <f aca="false">IFERROR(INDEX('كشف الحساب'!$C$4:$C$203,MATCH(78,'كشف الحساب'!$M$4:$M$203,0)),"")</f>
        <v/>
      </c>
      <c r="D184" s="37" t="str">
        <f aca="false">IFERROR(INDEX('كشف الحساب'!$D$4:$D$203,MATCH(78,'كشف الحساب'!$M$4:$M$203,0)),"")</f>
        <v/>
      </c>
      <c r="E184" s="38" t="s">
        <v>6</v>
      </c>
      <c r="F184" s="39" t="str">
        <f aca="false">IFERROR(INDEX('كشف الحساب'!$I$4:$I$203,MATCH(78,'كشف الحساب'!$M$4:$M$203,0)),"")</f>
        <v/>
      </c>
      <c r="G184" s="40"/>
      <c r="H184" s="1" t="str">
        <f aca="false">IF(AND(OR('طباعة المحفظة'!$C$2="الكل",IFERROR(MONTH(A184),0)=IFERROR(MATCH('طباعة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المحفظة'!$F$2="الكل",IFERROR(YEAR(A184),0)=IFERROR(VALUE('طباعة المحفظة'!$F$2),0)),A184&lt;&gt;""),IFERROR(MAX($H$107:H183),0)+1,"")</f>
        <v/>
      </c>
    </row>
    <row r="185" customFormat="false" ht="18" hidden="false" customHeight="true" outlineLevel="0" collapsed="false">
      <c r="A185" s="27" t="str">
        <f aca="false">IFERROR(INDEX('كشف الحساب'!$A$4:$A$203,MATCH(79,'كشف الحساب'!$M$4:$M$203,0)),"")</f>
        <v/>
      </c>
      <c r="B185" s="28" t="str">
        <f aca="false">IFERROR(INDEX('كشف الحساب'!$B$4:$B$203,MATCH(79,'كشف الحساب'!$M$4:$M$203,0)),"")</f>
        <v/>
      </c>
      <c r="C185" s="29" t="str">
        <f aca="false">IFERROR(INDEX('كشف الحساب'!$C$4:$C$203,MATCH(79,'كشف الحساب'!$M$4:$M$203,0)),"")</f>
        <v/>
      </c>
      <c r="D185" s="30" t="str">
        <f aca="false">IFERROR(INDEX('كشف الحساب'!$D$4:$D$203,MATCH(79,'كشف الحساب'!$M$4:$M$203,0)),"")</f>
        <v/>
      </c>
      <c r="E185" s="31" t="s">
        <v>6</v>
      </c>
      <c r="F185" s="32" t="str">
        <f aca="false">IFERROR(INDEX('كشف الحساب'!$I$4:$I$203,MATCH(79,'كشف الحساب'!$M$4:$M$203,0)),"")</f>
        <v/>
      </c>
      <c r="G185" s="33"/>
      <c r="H185" s="1" t="str">
        <f aca="false">IF(AND(OR('طباعة المحفظة'!$C$2="الكل",IFERROR(MONTH(A185),0)=IFERROR(MATCH('طباعة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المحفظة'!$F$2="الكل",IFERROR(YEAR(A185),0)=IFERROR(VALUE('طباعة المحفظة'!$F$2),0)),A185&lt;&gt;""),IFERROR(MAX($H$107:H184),0)+1,"")</f>
        <v/>
      </c>
    </row>
    <row r="186" customFormat="false" ht="18" hidden="false" customHeight="true" outlineLevel="0" collapsed="false">
      <c r="A186" s="34" t="str">
        <f aca="false">IFERROR(INDEX('كشف الحساب'!$A$4:$A$203,MATCH(80,'كشف الحساب'!$M$4:$M$203,0)),"")</f>
        <v/>
      </c>
      <c r="B186" s="35" t="str">
        <f aca="false">IFERROR(INDEX('كشف الحساب'!$B$4:$B$203,MATCH(80,'كشف الحساب'!$M$4:$M$203,0)),"")</f>
        <v/>
      </c>
      <c r="C186" s="36" t="str">
        <f aca="false">IFERROR(INDEX('كشف الحساب'!$C$4:$C$203,MATCH(80,'كشف الحساب'!$M$4:$M$203,0)),"")</f>
        <v/>
      </c>
      <c r="D186" s="37" t="str">
        <f aca="false">IFERROR(INDEX('كشف الحساب'!$D$4:$D$203,MATCH(80,'كشف الحساب'!$M$4:$M$203,0)),"")</f>
        <v/>
      </c>
      <c r="E186" s="38" t="s">
        <v>6</v>
      </c>
      <c r="F186" s="39" t="str">
        <f aca="false">IFERROR(INDEX('كشف الحساب'!$I$4:$I$203,MATCH(80,'كشف الحساب'!$M$4:$M$203,0)),"")</f>
        <v/>
      </c>
      <c r="G186" s="40"/>
      <c r="H186" s="1" t="str">
        <f aca="false">IF(AND(OR('طباعة المحفظة'!$C$2="الكل",IFERROR(MONTH(A186),0)=IFERROR(MATCH('طباعة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المحفظة'!$F$2="الكل",IFERROR(YEAR(A186),0)=IFERROR(VALUE('طباعة المحفظة'!$F$2),0)),A186&lt;&gt;""),IFERROR(MAX($H$107:H185),0)+1,"")</f>
        <v/>
      </c>
    </row>
    <row r="187" customFormat="false" ht="18" hidden="false" customHeight="true" outlineLevel="0" collapsed="false">
      <c r="A187" s="27" t="str">
        <f aca="false">IFERROR(INDEX('كشف الحساب'!$A$4:$A$203,MATCH(81,'كشف الحساب'!$M$4:$M$203,0)),"")</f>
        <v/>
      </c>
      <c r="B187" s="28" t="str">
        <f aca="false">IFERROR(INDEX('كشف الحساب'!$B$4:$B$203,MATCH(81,'كشف الحساب'!$M$4:$M$203,0)),"")</f>
        <v/>
      </c>
      <c r="C187" s="29" t="str">
        <f aca="false">IFERROR(INDEX('كشف الحساب'!$C$4:$C$203,MATCH(81,'كشف الحساب'!$M$4:$M$203,0)),"")</f>
        <v/>
      </c>
      <c r="D187" s="30" t="str">
        <f aca="false">IFERROR(INDEX('كشف الحساب'!$D$4:$D$203,MATCH(81,'كشف الحساب'!$M$4:$M$203,0)),"")</f>
        <v/>
      </c>
      <c r="E187" s="31" t="s">
        <v>6</v>
      </c>
      <c r="F187" s="32" t="str">
        <f aca="false">IFERROR(INDEX('كشف الحساب'!$I$4:$I$203,MATCH(81,'كشف الحساب'!$M$4:$M$203,0)),"")</f>
        <v/>
      </c>
      <c r="G187" s="33"/>
      <c r="H187" s="1" t="str">
        <f aca="false">IF(AND(OR('طباعة المحفظة'!$C$2="الكل",IFERROR(MONTH(A187),0)=IFERROR(MATCH('طباعة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المحفظة'!$F$2="الكل",IFERROR(YEAR(A187),0)=IFERROR(VALUE('طباعة المحفظة'!$F$2),0)),A187&lt;&gt;""),IFERROR(MAX($H$107:H186),0)+1,"")</f>
        <v/>
      </c>
    </row>
    <row r="188" customFormat="false" ht="18" hidden="false" customHeight="true" outlineLevel="0" collapsed="false">
      <c r="A188" s="34" t="str">
        <f aca="false">IFERROR(INDEX('كشف الحساب'!$A$4:$A$203,MATCH(82,'كشف الحساب'!$M$4:$M$203,0)),"")</f>
        <v/>
      </c>
      <c r="B188" s="35" t="str">
        <f aca="false">IFERROR(INDEX('كشف الحساب'!$B$4:$B$203,MATCH(82,'كشف الحساب'!$M$4:$M$203,0)),"")</f>
        <v/>
      </c>
      <c r="C188" s="36" t="str">
        <f aca="false">IFERROR(INDEX('كشف الحساب'!$C$4:$C$203,MATCH(82,'كشف الحساب'!$M$4:$M$203,0)),"")</f>
        <v/>
      </c>
      <c r="D188" s="37" t="str">
        <f aca="false">IFERROR(INDEX('كشف الحساب'!$D$4:$D$203,MATCH(82,'كشف الحساب'!$M$4:$M$203,0)),"")</f>
        <v/>
      </c>
      <c r="E188" s="38" t="s">
        <v>6</v>
      </c>
      <c r="F188" s="39" t="str">
        <f aca="false">IFERROR(INDEX('كشف الحساب'!$I$4:$I$203,MATCH(82,'كشف الحساب'!$M$4:$M$203,0)),"")</f>
        <v/>
      </c>
      <c r="G188" s="40"/>
      <c r="H188" s="1" t="str">
        <f aca="false">IF(AND(OR('طباعة المحفظة'!$C$2="الكل",IFERROR(MONTH(A188),0)=IFERROR(MATCH('طباعة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المحفظة'!$F$2="الكل",IFERROR(YEAR(A188),0)=IFERROR(VALUE('طباعة المحفظة'!$F$2),0)),A188&lt;&gt;""),IFERROR(MAX($H$107:H187),0)+1,"")</f>
        <v/>
      </c>
    </row>
    <row r="189" customFormat="false" ht="18" hidden="false" customHeight="true" outlineLevel="0" collapsed="false">
      <c r="A189" s="27" t="str">
        <f aca="false">IFERROR(INDEX('كشف الحساب'!$A$4:$A$203,MATCH(83,'كشف الحساب'!$M$4:$M$203,0)),"")</f>
        <v/>
      </c>
      <c r="B189" s="28" t="str">
        <f aca="false">IFERROR(INDEX('كشف الحساب'!$B$4:$B$203,MATCH(83,'كشف الحساب'!$M$4:$M$203,0)),"")</f>
        <v/>
      </c>
      <c r="C189" s="29" t="str">
        <f aca="false">IFERROR(INDEX('كشف الحساب'!$C$4:$C$203,MATCH(83,'كشف الحساب'!$M$4:$M$203,0)),"")</f>
        <v/>
      </c>
      <c r="D189" s="30" t="str">
        <f aca="false">IFERROR(INDEX('كشف الحساب'!$D$4:$D$203,MATCH(83,'كشف الحساب'!$M$4:$M$203,0)),"")</f>
        <v/>
      </c>
      <c r="E189" s="31" t="s">
        <v>6</v>
      </c>
      <c r="F189" s="32" t="str">
        <f aca="false">IFERROR(INDEX('كشف الحساب'!$I$4:$I$203,MATCH(83,'كشف الحساب'!$M$4:$M$203,0)),"")</f>
        <v/>
      </c>
      <c r="G189" s="33"/>
      <c r="H189" s="1" t="str">
        <f aca="false">IF(AND(OR('طباعة المحفظة'!$C$2="الكل",IFERROR(MONTH(A189),0)=IFERROR(MATCH('طباعة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المحفظة'!$F$2="الكل",IFERROR(YEAR(A189),0)=IFERROR(VALUE('طباعة المحفظة'!$F$2),0)),A189&lt;&gt;""),IFERROR(MAX($H$107:H188),0)+1,"")</f>
        <v/>
      </c>
    </row>
    <row r="190" customFormat="false" ht="18" hidden="false" customHeight="true" outlineLevel="0" collapsed="false">
      <c r="A190" s="34" t="str">
        <f aca="false">IFERROR(INDEX('كشف الحساب'!$A$4:$A$203,MATCH(84,'كشف الحساب'!$M$4:$M$203,0)),"")</f>
        <v/>
      </c>
      <c r="B190" s="35" t="str">
        <f aca="false">IFERROR(INDEX('كشف الحساب'!$B$4:$B$203,MATCH(84,'كشف الحساب'!$M$4:$M$203,0)),"")</f>
        <v/>
      </c>
      <c r="C190" s="36" t="str">
        <f aca="false">IFERROR(INDEX('كشف الحساب'!$C$4:$C$203,MATCH(84,'كشف الحساب'!$M$4:$M$203,0)),"")</f>
        <v/>
      </c>
      <c r="D190" s="37" t="str">
        <f aca="false">IFERROR(INDEX('كشف الحساب'!$D$4:$D$203,MATCH(84,'كشف الحساب'!$M$4:$M$203,0)),"")</f>
        <v/>
      </c>
      <c r="E190" s="38" t="s">
        <v>6</v>
      </c>
      <c r="F190" s="39" t="str">
        <f aca="false">IFERROR(INDEX('كشف الحساب'!$I$4:$I$203,MATCH(84,'كشف الحساب'!$M$4:$M$203,0)),"")</f>
        <v/>
      </c>
      <c r="G190" s="40"/>
      <c r="H190" s="1" t="str">
        <f aca="false">IF(AND(OR('طباعة المحفظة'!$C$2="الكل",IFERROR(MONTH(A190),0)=IFERROR(MATCH('طباعة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المحفظة'!$F$2="الكل",IFERROR(YEAR(A190),0)=IFERROR(VALUE('طباعة المحفظة'!$F$2),0)),A190&lt;&gt;""),IFERROR(MAX($H$107:H189),0)+1,"")</f>
        <v/>
      </c>
    </row>
    <row r="191" customFormat="false" ht="18" hidden="false" customHeight="true" outlineLevel="0" collapsed="false">
      <c r="A191" s="27" t="str">
        <f aca="false">IFERROR(INDEX('كشف الحساب'!$A$4:$A$203,MATCH(85,'كشف الحساب'!$M$4:$M$203,0)),"")</f>
        <v/>
      </c>
      <c r="B191" s="28" t="str">
        <f aca="false">IFERROR(INDEX('كشف الحساب'!$B$4:$B$203,MATCH(85,'كشف الحساب'!$M$4:$M$203,0)),"")</f>
        <v/>
      </c>
      <c r="C191" s="29" t="str">
        <f aca="false">IFERROR(INDEX('كشف الحساب'!$C$4:$C$203,MATCH(85,'كشف الحساب'!$M$4:$M$203,0)),"")</f>
        <v/>
      </c>
      <c r="D191" s="30" t="str">
        <f aca="false">IFERROR(INDEX('كشف الحساب'!$D$4:$D$203,MATCH(85,'كشف الحساب'!$M$4:$M$203,0)),"")</f>
        <v/>
      </c>
      <c r="E191" s="31" t="s">
        <v>6</v>
      </c>
      <c r="F191" s="32" t="str">
        <f aca="false">IFERROR(INDEX('كشف الحساب'!$I$4:$I$203,MATCH(85,'كشف الحساب'!$M$4:$M$203,0)),"")</f>
        <v/>
      </c>
      <c r="G191" s="33"/>
      <c r="H191" s="1" t="str">
        <f aca="false">IF(AND(OR('طباعة المحفظة'!$C$2="الكل",IFERROR(MONTH(A191),0)=IFERROR(MATCH('طباعة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المحفظة'!$F$2="الكل",IFERROR(YEAR(A191),0)=IFERROR(VALUE('طباعة المحفظة'!$F$2),0)),A191&lt;&gt;""),IFERROR(MAX($H$107:H190),0)+1,"")</f>
        <v/>
      </c>
    </row>
    <row r="192" customFormat="false" ht="18" hidden="false" customHeight="true" outlineLevel="0" collapsed="false">
      <c r="A192" s="34" t="str">
        <f aca="false">IFERROR(INDEX('كشف الحساب'!$A$4:$A$203,MATCH(86,'كشف الحساب'!$M$4:$M$203,0)),"")</f>
        <v/>
      </c>
      <c r="B192" s="35" t="str">
        <f aca="false">IFERROR(INDEX('كشف الحساب'!$B$4:$B$203,MATCH(86,'كشف الحساب'!$M$4:$M$203,0)),"")</f>
        <v/>
      </c>
      <c r="C192" s="36" t="str">
        <f aca="false">IFERROR(INDEX('كشف الحساب'!$C$4:$C$203,MATCH(86,'كشف الحساب'!$M$4:$M$203,0)),"")</f>
        <v/>
      </c>
      <c r="D192" s="37" t="str">
        <f aca="false">IFERROR(INDEX('كشف الحساب'!$D$4:$D$203,MATCH(86,'كشف الحساب'!$M$4:$M$203,0)),"")</f>
        <v/>
      </c>
      <c r="E192" s="38" t="s">
        <v>6</v>
      </c>
      <c r="F192" s="39" t="str">
        <f aca="false">IFERROR(INDEX('كشف الحساب'!$I$4:$I$203,MATCH(86,'كشف الحساب'!$M$4:$M$203,0)),"")</f>
        <v/>
      </c>
      <c r="G192" s="40"/>
      <c r="H192" s="1" t="str">
        <f aca="false">IF(AND(OR('طباعة المحفظة'!$C$2="الكل",IFERROR(MONTH(A192),0)=IFERROR(MATCH('طباعة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المحفظة'!$F$2="الكل",IFERROR(YEAR(A192),0)=IFERROR(VALUE('طباعة المحفظة'!$F$2),0)),A192&lt;&gt;""),IFERROR(MAX($H$107:H191),0)+1,"")</f>
        <v/>
      </c>
    </row>
    <row r="193" customFormat="false" ht="18" hidden="false" customHeight="true" outlineLevel="0" collapsed="false">
      <c r="A193" s="27" t="str">
        <f aca="false">IFERROR(INDEX('كشف الحساب'!$A$4:$A$203,MATCH(87,'كشف الحساب'!$M$4:$M$203,0)),"")</f>
        <v/>
      </c>
      <c r="B193" s="28" t="str">
        <f aca="false">IFERROR(INDEX('كشف الحساب'!$B$4:$B$203,MATCH(87,'كشف الحساب'!$M$4:$M$203,0)),"")</f>
        <v/>
      </c>
      <c r="C193" s="29" t="str">
        <f aca="false">IFERROR(INDEX('كشف الحساب'!$C$4:$C$203,MATCH(87,'كشف الحساب'!$M$4:$M$203,0)),"")</f>
        <v/>
      </c>
      <c r="D193" s="30" t="str">
        <f aca="false">IFERROR(INDEX('كشف الحساب'!$D$4:$D$203,MATCH(87,'كشف الحساب'!$M$4:$M$203,0)),"")</f>
        <v/>
      </c>
      <c r="E193" s="31" t="s">
        <v>6</v>
      </c>
      <c r="F193" s="32" t="str">
        <f aca="false">IFERROR(INDEX('كشف الحساب'!$I$4:$I$203,MATCH(87,'كشف الحساب'!$M$4:$M$203,0)),"")</f>
        <v/>
      </c>
      <c r="G193" s="33"/>
      <c r="H193" s="1" t="str">
        <f aca="false">IF(AND(OR('طباعة المحفظة'!$C$2="الكل",IFERROR(MONTH(A193),0)=IFERROR(MATCH('طباعة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المحفظة'!$F$2="الكل",IFERROR(YEAR(A193),0)=IFERROR(VALUE('طباعة المحفظة'!$F$2),0)),A193&lt;&gt;""),IFERROR(MAX($H$107:H192),0)+1,"")</f>
        <v/>
      </c>
    </row>
    <row r="194" customFormat="false" ht="18" hidden="false" customHeight="true" outlineLevel="0" collapsed="false">
      <c r="A194" s="34" t="str">
        <f aca="false">IFERROR(INDEX('كشف الحساب'!$A$4:$A$203,MATCH(88,'كشف الحساب'!$M$4:$M$203,0)),"")</f>
        <v/>
      </c>
      <c r="B194" s="35" t="str">
        <f aca="false">IFERROR(INDEX('كشف الحساب'!$B$4:$B$203,MATCH(88,'كشف الحساب'!$M$4:$M$203,0)),"")</f>
        <v/>
      </c>
      <c r="C194" s="36" t="str">
        <f aca="false">IFERROR(INDEX('كشف الحساب'!$C$4:$C$203,MATCH(88,'كشف الحساب'!$M$4:$M$203,0)),"")</f>
        <v/>
      </c>
      <c r="D194" s="37" t="str">
        <f aca="false">IFERROR(INDEX('كشف الحساب'!$D$4:$D$203,MATCH(88,'كشف الحساب'!$M$4:$M$203,0)),"")</f>
        <v/>
      </c>
      <c r="E194" s="38" t="s">
        <v>6</v>
      </c>
      <c r="F194" s="39" t="str">
        <f aca="false">IFERROR(INDEX('كشف الحساب'!$I$4:$I$203,MATCH(88,'كشف الحساب'!$M$4:$M$203,0)),"")</f>
        <v/>
      </c>
      <c r="G194" s="40"/>
      <c r="H194" s="1" t="str">
        <f aca="false">IF(AND(OR('طباعة المحفظة'!$C$2="الكل",IFERROR(MONTH(A194),0)=IFERROR(MATCH('طباعة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المحفظة'!$F$2="الكل",IFERROR(YEAR(A194),0)=IFERROR(VALUE('طباعة المحفظة'!$F$2),0)),A194&lt;&gt;""),IFERROR(MAX($H$107:H193),0)+1,"")</f>
        <v/>
      </c>
    </row>
    <row r="195" customFormat="false" ht="18" hidden="false" customHeight="true" outlineLevel="0" collapsed="false">
      <c r="A195" s="27" t="str">
        <f aca="false">IFERROR(INDEX('كشف الحساب'!$A$4:$A$203,MATCH(89,'كشف الحساب'!$M$4:$M$203,0)),"")</f>
        <v/>
      </c>
      <c r="B195" s="28" t="str">
        <f aca="false">IFERROR(INDEX('كشف الحساب'!$B$4:$B$203,MATCH(89,'كشف الحساب'!$M$4:$M$203,0)),"")</f>
        <v/>
      </c>
      <c r="C195" s="29" t="str">
        <f aca="false">IFERROR(INDEX('كشف الحساب'!$C$4:$C$203,MATCH(89,'كشف الحساب'!$M$4:$M$203,0)),"")</f>
        <v/>
      </c>
      <c r="D195" s="30" t="str">
        <f aca="false">IFERROR(INDEX('كشف الحساب'!$D$4:$D$203,MATCH(89,'كشف الحساب'!$M$4:$M$203,0)),"")</f>
        <v/>
      </c>
      <c r="E195" s="31" t="s">
        <v>6</v>
      </c>
      <c r="F195" s="32" t="str">
        <f aca="false">IFERROR(INDEX('كشف الحساب'!$I$4:$I$203,MATCH(89,'كشف الحساب'!$M$4:$M$203,0)),"")</f>
        <v/>
      </c>
      <c r="G195" s="33"/>
      <c r="H195" s="1" t="str">
        <f aca="false">IF(AND(OR('طباعة المحفظة'!$C$2="الكل",IFERROR(MONTH(A195),0)=IFERROR(MATCH('طباعة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المحفظة'!$F$2="الكل",IFERROR(YEAR(A195),0)=IFERROR(VALUE('طباعة المحفظة'!$F$2),0)),A195&lt;&gt;""),IFERROR(MAX($H$107:H194),0)+1,"")</f>
        <v/>
      </c>
    </row>
    <row r="196" customFormat="false" ht="18" hidden="false" customHeight="true" outlineLevel="0" collapsed="false">
      <c r="A196" s="34" t="str">
        <f aca="false">IFERROR(INDEX('كشف الحساب'!$A$4:$A$203,MATCH(90,'كشف الحساب'!$M$4:$M$203,0)),"")</f>
        <v/>
      </c>
      <c r="B196" s="35" t="str">
        <f aca="false">IFERROR(INDEX('كشف الحساب'!$B$4:$B$203,MATCH(90,'كشف الحساب'!$M$4:$M$203,0)),"")</f>
        <v/>
      </c>
      <c r="C196" s="36" t="str">
        <f aca="false">IFERROR(INDEX('كشف الحساب'!$C$4:$C$203,MATCH(90,'كشف الحساب'!$M$4:$M$203,0)),"")</f>
        <v/>
      </c>
      <c r="D196" s="37" t="str">
        <f aca="false">IFERROR(INDEX('كشف الحساب'!$D$4:$D$203,MATCH(90,'كشف الحساب'!$M$4:$M$203,0)),"")</f>
        <v/>
      </c>
      <c r="E196" s="38" t="s">
        <v>6</v>
      </c>
      <c r="F196" s="39" t="str">
        <f aca="false">IFERROR(INDEX('كشف الحساب'!$I$4:$I$203,MATCH(90,'كشف الحساب'!$M$4:$M$203,0)),"")</f>
        <v/>
      </c>
      <c r="G196" s="40"/>
      <c r="H196" s="1" t="str">
        <f aca="false">IF(AND(OR('طباعة المحفظة'!$C$2="الكل",IFERROR(MONTH(A196),0)=IFERROR(MATCH('طباعة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المحفظة'!$F$2="الكل",IFERROR(YEAR(A196),0)=IFERROR(VALUE('طباعة المحفظة'!$F$2),0)),A196&lt;&gt;""),IFERROR(MAX($H$107:H195),0)+1,"")</f>
        <v/>
      </c>
    </row>
    <row r="197" customFormat="false" ht="18" hidden="false" customHeight="true" outlineLevel="0" collapsed="false">
      <c r="A197" s="27" t="str">
        <f aca="false">IFERROR(INDEX('كشف الحساب'!$A$4:$A$203,MATCH(91,'كشف الحساب'!$M$4:$M$203,0)),"")</f>
        <v/>
      </c>
      <c r="B197" s="28" t="str">
        <f aca="false">IFERROR(INDEX('كشف الحساب'!$B$4:$B$203,MATCH(91,'كشف الحساب'!$M$4:$M$203,0)),"")</f>
        <v/>
      </c>
      <c r="C197" s="29" t="str">
        <f aca="false">IFERROR(INDEX('كشف الحساب'!$C$4:$C$203,MATCH(91,'كشف الحساب'!$M$4:$M$203,0)),"")</f>
        <v/>
      </c>
      <c r="D197" s="30" t="str">
        <f aca="false">IFERROR(INDEX('كشف الحساب'!$D$4:$D$203,MATCH(91,'كشف الحساب'!$M$4:$M$203,0)),"")</f>
        <v/>
      </c>
      <c r="E197" s="31" t="s">
        <v>6</v>
      </c>
      <c r="F197" s="32" t="str">
        <f aca="false">IFERROR(INDEX('كشف الحساب'!$I$4:$I$203,MATCH(91,'كشف الحساب'!$M$4:$M$203,0)),"")</f>
        <v/>
      </c>
      <c r="G197" s="33"/>
      <c r="H197" s="1" t="str">
        <f aca="false">IF(AND(OR('طباعة المحفظة'!$C$2="الكل",IFERROR(MONTH(A197),0)=IFERROR(MATCH('طباعة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المحفظة'!$F$2="الكل",IFERROR(YEAR(A197),0)=IFERROR(VALUE('طباعة المحفظة'!$F$2),0)),A197&lt;&gt;""),IFERROR(MAX($H$107:H196),0)+1,"")</f>
        <v/>
      </c>
    </row>
    <row r="198" customFormat="false" ht="18" hidden="false" customHeight="true" outlineLevel="0" collapsed="false">
      <c r="A198" s="34" t="str">
        <f aca="false">IFERROR(INDEX('كشف الحساب'!$A$4:$A$203,MATCH(92,'كشف الحساب'!$M$4:$M$203,0)),"")</f>
        <v/>
      </c>
      <c r="B198" s="35" t="str">
        <f aca="false">IFERROR(INDEX('كشف الحساب'!$B$4:$B$203,MATCH(92,'كشف الحساب'!$M$4:$M$203,0)),"")</f>
        <v/>
      </c>
      <c r="C198" s="36" t="str">
        <f aca="false">IFERROR(INDEX('كشف الحساب'!$C$4:$C$203,MATCH(92,'كشف الحساب'!$M$4:$M$203,0)),"")</f>
        <v/>
      </c>
      <c r="D198" s="37" t="str">
        <f aca="false">IFERROR(INDEX('كشف الحساب'!$D$4:$D$203,MATCH(92,'كشف الحساب'!$M$4:$M$203,0)),"")</f>
        <v/>
      </c>
      <c r="E198" s="38" t="s">
        <v>6</v>
      </c>
      <c r="F198" s="39" t="str">
        <f aca="false">IFERROR(INDEX('كشف الحساب'!$I$4:$I$203,MATCH(92,'كشف الحساب'!$M$4:$M$203,0)),"")</f>
        <v/>
      </c>
      <c r="G198" s="40"/>
      <c r="H198" s="1" t="str">
        <f aca="false">IF(AND(OR('طباعة المحفظة'!$C$2="الكل",IFERROR(MONTH(A198),0)=IFERROR(MATCH('طباعة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المحفظة'!$F$2="الكل",IFERROR(YEAR(A198),0)=IFERROR(VALUE('طباعة المحفظة'!$F$2),0)),A198&lt;&gt;""),IFERROR(MAX($H$107:H197),0)+1,"")</f>
        <v/>
      </c>
    </row>
    <row r="199" customFormat="false" ht="18" hidden="false" customHeight="true" outlineLevel="0" collapsed="false">
      <c r="A199" s="27" t="str">
        <f aca="false">IFERROR(INDEX('كشف الحساب'!$A$4:$A$203,MATCH(93,'كشف الحساب'!$M$4:$M$203,0)),"")</f>
        <v/>
      </c>
      <c r="B199" s="28" t="str">
        <f aca="false">IFERROR(INDEX('كشف الحساب'!$B$4:$B$203,MATCH(93,'كشف الحساب'!$M$4:$M$203,0)),"")</f>
        <v/>
      </c>
      <c r="C199" s="29" t="str">
        <f aca="false">IFERROR(INDEX('كشف الحساب'!$C$4:$C$203,MATCH(93,'كشف الحساب'!$M$4:$M$203,0)),"")</f>
        <v/>
      </c>
      <c r="D199" s="30" t="str">
        <f aca="false">IFERROR(INDEX('كشف الحساب'!$D$4:$D$203,MATCH(93,'كشف الحساب'!$M$4:$M$203,0)),"")</f>
        <v/>
      </c>
      <c r="E199" s="31" t="s">
        <v>6</v>
      </c>
      <c r="F199" s="32" t="str">
        <f aca="false">IFERROR(INDEX('كشف الحساب'!$I$4:$I$203,MATCH(93,'كشف الحساب'!$M$4:$M$203,0)),"")</f>
        <v/>
      </c>
      <c r="G199" s="33"/>
      <c r="H199" s="1" t="str">
        <f aca="false">IF(AND(OR('طباعة المحفظة'!$C$2="الكل",IFERROR(MONTH(A199),0)=IFERROR(MATCH('طباعة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المحفظة'!$F$2="الكل",IFERROR(YEAR(A199),0)=IFERROR(VALUE('طباعة المحفظة'!$F$2),0)),A199&lt;&gt;""),IFERROR(MAX($H$107:H198),0)+1,"")</f>
        <v/>
      </c>
    </row>
    <row r="200" customFormat="false" ht="18" hidden="false" customHeight="true" outlineLevel="0" collapsed="false">
      <c r="A200" s="34" t="str">
        <f aca="false">IFERROR(INDEX('كشف الحساب'!$A$4:$A$203,MATCH(94,'كشف الحساب'!$M$4:$M$203,0)),"")</f>
        <v/>
      </c>
      <c r="B200" s="35" t="str">
        <f aca="false">IFERROR(INDEX('كشف الحساب'!$B$4:$B$203,MATCH(94,'كشف الحساب'!$M$4:$M$203,0)),"")</f>
        <v/>
      </c>
      <c r="C200" s="36" t="str">
        <f aca="false">IFERROR(INDEX('كشف الحساب'!$C$4:$C$203,MATCH(94,'كشف الحساب'!$M$4:$M$203,0)),"")</f>
        <v/>
      </c>
      <c r="D200" s="37" t="str">
        <f aca="false">IFERROR(INDEX('كشف الحساب'!$D$4:$D$203,MATCH(94,'كشف الحساب'!$M$4:$M$203,0)),"")</f>
        <v/>
      </c>
      <c r="E200" s="38" t="s">
        <v>6</v>
      </c>
      <c r="F200" s="39" t="str">
        <f aca="false">IFERROR(INDEX('كشف الحساب'!$I$4:$I$203,MATCH(94,'كشف الحساب'!$M$4:$M$203,0)),"")</f>
        <v/>
      </c>
      <c r="G200" s="40"/>
      <c r="H200" s="1" t="str">
        <f aca="false">IF(AND(OR('طباعة المحفظة'!$C$2="الكل",IFERROR(MONTH(A200),0)=IFERROR(MATCH('طباعة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المحفظة'!$F$2="الكل",IFERROR(YEAR(A200),0)=IFERROR(VALUE('طباعة المحفظة'!$F$2),0)),A200&lt;&gt;""),IFERROR(MAX($H$107:H199),0)+1,"")</f>
        <v/>
      </c>
    </row>
    <row r="201" customFormat="false" ht="18" hidden="false" customHeight="true" outlineLevel="0" collapsed="false">
      <c r="A201" s="27" t="str">
        <f aca="false">IFERROR(INDEX('كشف الحساب'!$A$4:$A$203,MATCH(95,'كشف الحساب'!$M$4:$M$203,0)),"")</f>
        <v/>
      </c>
      <c r="B201" s="28" t="str">
        <f aca="false">IFERROR(INDEX('كشف الحساب'!$B$4:$B$203,MATCH(95,'كشف الحساب'!$M$4:$M$203,0)),"")</f>
        <v/>
      </c>
      <c r="C201" s="29" t="str">
        <f aca="false">IFERROR(INDEX('كشف الحساب'!$C$4:$C$203,MATCH(95,'كشف الحساب'!$M$4:$M$203,0)),"")</f>
        <v/>
      </c>
      <c r="D201" s="30" t="str">
        <f aca="false">IFERROR(INDEX('كشف الحساب'!$D$4:$D$203,MATCH(95,'كشف الحساب'!$M$4:$M$203,0)),"")</f>
        <v/>
      </c>
      <c r="E201" s="31" t="s">
        <v>6</v>
      </c>
      <c r="F201" s="32" t="str">
        <f aca="false">IFERROR(INDEX('كشف الحساب'!$I$4:$I$203,MATCH(95,'كشف الحساب'!$M$4:$M$203,0)),"")</f>
        <v/>
      </c>
      <c r="G201" s="33"/>
      <c r="H201" s="1" t="str">
        <f aca="false">IF(AND(OR('طباعة المحفظة'!$C$2="الكل",IFERROR(MONTH(A201),0)=IFERROR(MATCH('طباعة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المحفظة'!$F$2="الكل",IFERROR(YEAR(A201),0)=IFERROR(VALUE('طباعة المحفظة'!$F$2),0)),A201&lt;&gt;""),IFERROR(MAX($H$107:H200),0)+1,"")</f>
        <v/>
      </c>
    </row>
    <row r="202" customFormat="false" ht="18" hidden="false" customHeight="true" outlineLevel="0" collapsed="false">
      <c r="A202" s="34" t="str">
        <f aca="false">IFERROR(INDEX('كشف الحساب'!$A$4:$A$203,MATCH(96,'كشف الحساب'!$M$4:$M$203,0)),"")</f>
        <v/>
      </c>
      <c r="B202" s="35" t="str">
        <f aca="false">IFERROR(INDEX('كشف الحساب'!$B$4:$B$203,MATCH(96,'كشف الحساب'!$M$4:$M$203,0)),"")</f>
        <v/>
      </c>
      <c r="C202" s="36" t="str">
        <f aca="false">IFERROR(INDEX('كشف الحساب'!$C$4:$C$203,MATCH(96,'كشف الحساب'!$M$4:$M$203,0)),"")</f>
        <v/>
      </c>
      <c r="D202" s="37" t="str">
        <f aca="false">IFERROR(INDEX('كشف الحساب'!$D$4:$D$203,MATCH(96,'كشف الحساب'!$M$4:$M$203,0)),"")</f>
        <v/>
      </c>
      <c r="E202" s="38" t="s">
        <v>6</v>
      </c>
      <c r="F202" s="39" t="str">
        <f aca="false">IFERROR(INDEX('كشف الحساب'!$I$4:$I$203,MATCH(96,'كشف الحساب'!$M$4:$M$203,0)),"")</f>
        <v/>
      </c>
      <c r="G202" s="40"/>
      <c r="H202" s="1" t="str">
        <f aca="false">IF(AND(OR('طباعة المحفظة'!$C$2="الكل",IFERROR(MONTH(A202),0)=IFERROR(MATCH('طباعة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المحفظة'!$F$2="الكل",IFERROR(YEAR(A202),0)=IFERROR(VALUE('طباعة المحفظة'!$F$2),0)),A202&lt;&gt;""),IFERROR(MAX($H$107:H201),0)+1,"")</f>
        <v/>
      </c>
    </row>
    <row r="203" customFormat="false" ht="18" hidden="false" customHeight="true" outlineLevel="0" collapsed="false">
      <c r="A203" s="27" t="str">
        <f aca="false">IFERROR(INDEX('كشف الحساب'!$A$4:$A$203,MATCH(97,'كشف الحساب'!$M$4:$M$203,0)),"")</f>
        <v/>
      </c>
      <c r="B203" s="28" t="str">
        <f aca="false">IFERROR(INDEX('كشف الحساب'!$B$4:$B$203,MATCH(97,'كشف الحساب'!$M$4:$M$203,0)),"")</f>
        <v/>
      </c>
      <c r="C203" s="29" t="str">
        <f aca="false">IFERROR(INDEX('كشف الحساب'!$C$4:$C$203,MATCH(97,'كشف الحساب'!$M$4:$M$203,0)),"")</f>
        <v/>
      </c>
      <c r="D203" s="30" t="str">
        <f aca="false">IFERROR(INDEX('كشف الحساب'!$D$4:$D$203,MATCH(97,'كشف الحساب'!$M$4:$M$203,0)),"")</f>
        <v/>
      </c>
      <c r="E203" s="31" t="s">
        <v>6</v>
      </c>
      <c r="F203" s="32" t="str">
        <f aca="false">IFERROR(INDEX('كشف الحساب'!$I$4:$I$203,MATCH(97,'كشف الحساب'!$M$4:$M$203,0)),"")</f>
        <v/>
      </c>
      <c r="G203" s="33"/>
      <c r="H203" s="1" t="str">
        <f aca="false">IF(AND(OR('طباعة المحفظة'!$C$2="الكل",IFERROR(MONTH(A203),0)=IFERROR(MATCH('طباعة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المحفظة'!$F$2="الكل",IFERROR(YEAR(A203),0)=IFERROR(VALUE('طباعة المحفظة'!$F$2),0)),A203&lt;&gt;""),IFERROR(MAX($H$107:H202),0)+1,"")</f>
        <v/>
      </c>
    </row>
    <row r="204" customFormat="false" ht="18" hidden="false" customHeight="true" outlineLevel="0" collapsed="false">
      <c r="A204" s="34" t="str">
        <f aca="false">IFERROR(INDEX('كشف الحساب'!$A$4:$A$203,MATCH(98,'كشف الحساب'!$M$4:$M$203,0)),"")</f>
        <v/>
      </c>
      <c r="B204" s="35" t="str">
        <f aca="false">IFERROR(INDEX('كشف الحساب'!$B$4:$B$203,MATCH(98,'كشف الحساب'!$M$4:$M$203,0)),"")</f>
        <v/>
      </c>
      <c r="C204" s="36" t="str">
        <f aca="false">IFERROR(INDEX('كشف الحساب'!$C$4:$C$203,MATCH(98,'كشف الحساب'!$M$4:$M$203,0)),"")</f>
        <v/>
      </c>
      <c r="D204" s="37" t="str">
        <f aca="false">IFERROR(INDEX('كشف الحساب'!$D$4:$D$203,MATCH(98,'كشف الحساب'!$M$4:$M$203,0)),"")</f>
        <v/>
      </c>
      <c r="E204" s="38" t="s">
        <v>6</v>
      </c>
      <c r="F204" s="39" t="str">
        <f aca="false">IFERROR(INDEX('كشف الحساب'!$I$4:$I$203,MATCH(98,'كشف الحساب'!$M$4:$M$203,0)),"")</f>
        <v/>
      </c>
      <c r="G204" s="40"/>
      <c r="H204" s="1" t="str">
        <f aca="false">IF(AND(OR('طباعة المحفظة'!$C$2="الكل",IFERROR(MONTH(A204),0)=IFERROR(MATCH('طباعة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المحفظة'!$F$2="الكل",IFERROR(YEAR(A204),0)=IFERROR(VALUE('طباعة المحفظة'!$F$2),0)),A204&lt;&gt;""),IFERROR(MAX($H$107:H203),0)+1,"")</f>
        <v/>
      </c>
    </row>
    <row r="205" customFormat="false" ht="18" hidden="false" customHeight="true" outlineLevel="0" collapsed="false">
      <c r="A205" s="27" t="str">
        <f aca="false">IFERROR(INDEX('كشف الحساب'!$A$4:$A$203,MATCH(99,'كشف الحساب'!$M$4:$M$203,0)),"")</f>
        <v/>
      </c>
      <c r="B205" s="28" t="str">
        <f aca="false">IFERROR(INDEX('كشف الحساب'!$B$4:$B$203,MATCH(99,'كشف الحساب'!$M$4:$M$203,0)),"")</f>
        <v/>
      </c>
      <c r="C205" s="29" t="str">
        <f aca="false">IFERROR(INDEX('كشف الحساب'!$C$4:$C$203,MATCH(99,'كشف الحساب'!$M$4:$M$203,0)),"")</f>
        <v/>
      </c>
      <c r="D205" s="30" t="str">
        <f aca="false">IFERROR(INDEX('كشف الحساب'!$D$4:$D$203,MATCH(99,'كشف الحساب'!$M$4:$M$203,0)),"")</f>
        <v/>
      </c>
      <c r="E205" s="31" t="s">
        <v>6</v>
      </c>
      <c r="F205" s="32" t="str">
        <f aca="false">IFERROR(INDEX('كشف الحساب'!$I$4:$I$203,MATCH(99,'كشف الحساب'!$M$4:$M$203,0)),"")</f>
        <v/>
      </c>
      <c r="G205" s="33"/>
      <c r="H205" s="1" t="str">
        <f aca="false">IF(AND(OR('طباعة المحفظة'!$C$2="الكل",IFERROR(MONTH(A205),0)=IFERROR(MATCH('طباعة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المحفظة'!$F$2="الكل",IFERROR(YEAR(A205),0)=IFERROR(VALUE('طباعة المحفظة'!$F$2),0)),A205&lt;&gt;""),IFERROR(MAX($H$107:H204),0)+1,"")</f>
        <v/>
      </c>
    </row>
    <row r="206" customFormat="false" ht="18" hidden="false" customHeight="true" outlineLevel="0" collapsed="false">
      <c r="A206" s="34" t="str">
        <f aca="false">IFERROR(INDEX('كشف الحساب'!$A$4:$A$203,MATCH(100,'كشف الحساب'!$M$4:$M$203,0)),"")</f>
        <v/>
      </c>
      <c r="B206" s="35" t="str">
        <f aca="false">IFERROR(INDEX('كشف الحساب'!$B$4:$B$203,MATCH(100,'كشف الحساب'!$M$4:$M$203,0)),"")</f>
        <v/>
      </c>
      <c r="C206" s="36" t="str">
        <f aca="false">IFERROR(INDEX('كشف الحساب'!$C$4:$C$203,MATCH(100,'كشف الحساب'!$M$4:$M$203,0)),"")</f>
        <v/>
      </c>
      <c r="D206" s="37" t="str">
        <f aca="false">IFERROR(INDEX('كشف الحساب'!$D$4:$D$203,MATCH(100,'كشف الحساب'!$M$4:$M$203,0)),"")</f>
        <v/>
      </c>
      <c r="E206" s="38" t="s">
        <v>6</v>
      </c>
      <c r="F206" s="39" t="str">
        <f aca="false">IFERROR(INDEX('كشف الحساب'!$I$4:$I$203,MATCH(100,'كشف الحساب'!$M$4:$M$203,0)),"")</f>
        <v/>
      </c>
      <c r="G206" s="40"/>
      <c r="H206" s="1" t="str">
        <f aca="false">IF(AND(OR('طباعة المحفظة'!$C$2="الكل",IFERROR(MONTH(A206),0)=IFERROR(MATCH('طباعة المحفظة'!$C$2,{"يناير","فبراير","مارس","أبريل","مايو","يونيو","يوليو","أغسطس","سبتمبر","أكتوبر","نوفمبر","ديسمبر"},0),0)),OR('طباعة المحفظة'!$F$2="الكل",IFERROR(YEAR(A206),0)=IFERROR(VALUE('طباعة المحفظة'!$F$2),0)),A206&lt;&gt;""),IFERROR(MAX($H$107:H205),0)+1,"")</f>
        <v/>
      </c>
    </row>
    <row r="207" customFormat="false" ht="21.75" hidden="false" customHeight="true" outlineLevel="0" collapsed="false">
      <c r="A207" s="41" t="s">
        <v>9</v>
      </c>
      <c r="B207" s="41"/>
      <c r="C207" s="41"/>
      <c r="D207" s="42" t="n">
        <f aca="false">SUM(D107:D206)</f>
        <v>202.5</v>
      </c>
    </row>
    <row r="208" customFormat="false" ht="27.75" hidden="false" customHeight="true" outlineLevel="0" collapsed="false">
      <c r="A208" s="43" t="s">
        <v>10</v>
      </c>
      <c r="B208" s="43"/>
      <c r="C208" s="43"/>
      <c r="D208" s="44" t="n">
        <f aca="false">$D$2+E105-D207</f>
        <v>276.6</v>
      </c>
      <c r="E208" s="45" t="s">
        <v>11</v>
      </c>
      <c r="F208" s="45"/>
      <c r="G208" s="45"/>
    </row>
    <row r="210" customFormat="false" ht="15" hidden="false" customHeight="true" outlineLevel="0" collapsed="false">
      <c r="A210" s="46" t="s">
        <v>12</v>
      </c>
    </row>
    <row r="211" customFormat="false" ht="15" hidden="false" customHeight="true" outlineLevel="0" collapsed="false">
      <c r="A211" s="47" t="s">
        <v>13</v>
      </c>
      <c r="B211" s="47" t="s">
        <v>14</v>
      </c>
      <c r="C211" s="47" t="s">
        <v>15</v>
      </c>
      <c r="D211" s="47" t="s">
        <v>16</v>
      </c>
      <c r="E211" s="48" t="s">
        <v>6</v>
      </c>
      <c r="F211" s="47" t="s">
        <v>17</v>
      </c>
      <c r="G211" s="47" t="s">
        <v>18</v>
      </c>
    </row>
    <row r="212" customFormat="false" ht="15" hidden="false" customHeight="true" outlineLevel="0" collapsed="false">
      <c r="A212" s="49" t="n">
        <f aca="false">IFERROR(INDEX('كشف الحساب'!$A$4:$A$203,MATCH(1,'كشف الحساب'!$O$4:$O$203,0)),"")</f>
        <v>46131</v>
      </c>
      <c r="B212" s="1" t="n">
        <f aca="false">IFERROR(INDEX('كشف الحساب'!$B$4:$B$203,MATCH(1,'كشف الحساب'!$O$4:$O$203,0)),"")</f>
        <v>0</v>
      </c>
      <c r="C212" s="1" t="str">
        <f aca="false">IFERROR(INDEX('كشف الحساب'!$C$4:$C$203,MATCH(1,'كشف الحساب'!$O$4:$O$203,0)),"")</f>
        <v>تبديل كمبرسيور ثلاجة العمال</v>
      </c>
      <c r="D212" s="50" t="n">
        <f aca="false">IFERROR(INDEX('كشف الحساب'!$D$4:$D$203,MATCH(1,'كشف الحساب'!$O$4:$O$203,0)),"")</f>
        <v>45</v>
      </c>
      <c r="E212" s="1" t="s">
        <v>6</v>
      </c>
      <c r="F212" s="1" t="str">
        <f aca="false">IFERROR(INDEX('كشف الحساب'!$I$4:$I$203,MATCH(1,'كشف الحساب'!$O$4:$O$203,0)),"")</f>
        <v>صيانة المعدات</v>
      </c>
      <c r="G212" s="1" t="str">
        <f aca="false">IFERROR(INDEX('كشف الحساب'!$G$4:$G$203,MATCH(1,'كشف الحساب'!$O$4:$O$203,0)),"")</f>
        <v>أبو اسحاق</v>
      </c>
    </row>
    <row r="213" customFormat="false" ht="15" hidden="false" customHeight="true" outlineLevel="0" collapsed="false">
      <c r="A213" s="49" t="n">
        <f aca="false">IFERROR(INDEX('كشف الحساب'!$A$4:$A$203,MATCH(2,'كشف الحساب'!$O$4:$O$203,0)),"")</f>
        <v>46134</v>
      </c>
      <c r="B213" s="1" t="str">
        <f aca="false">IFERROR(INDEX('كشف الحساب'!$B$4:$B$203,MATCH(2,'كشف الحساب'!$O$4:$O$203,0)),"")</f>
        <v>11300</v>
      </c>
      <c r="C213" s="1" t="str">
        <f aca="false">IFERROR(INDEX('كشف الحساب'!$C$4:$C$203,MATCH(2,'كشف الحساب'!$O$4:$O$203,0)),"")</f>
        <v>فلاتر كيميكال لمحطة التحلية</v>
      </c>
      <c r="D213" s="50" t="n">
        <f aca="false">IFERROR(INDEX('كشف الحساب'!$D$4:$D$203,MATCH(2,'كشف الحساب'!$O$4:$O$203,0)),"")</f>
        <v>55</v>
      </c>
      <c r="E213" s="1" t="s">
        <v>6</v>
      </c>
      <c r="F213" s="1" t="str">
        <f aca="false">IFERROR(INDEX('كشف الحساب'!$I$4:$I$203,MATCH(2,'كشف الحساب'!$O$4:$O$203,0)),"")</f>
        <v>وقود ومحروقات</v>
      </c>
      <c r="G213" s="1" t="str">
        <f aca="false">IFERROR(INDEX('كشف الحساب'!$G$4:$G$203,MATCH(2,'كشف الحساب'!$O$4:$O$203,0)),"")</f>
        <v>أبو اسحاق</v>
      </c>
    </row>
    <row r="214" customFormat="false" ht="15" hidden="false" customHeight="true" outlineLevel="0" collapsed="false">
      <c r="A214" s="49" t="n">
        <f aca="false">IFERROR(INDEX('كشف الحساب'!$A$4:$A$203,MATCH(3,'كشف الحساب'!$O$4:$O$203,0)),"")</f>
        <v>46134</v>
      </c>
      <c r="B214" s="1" t="n">
        <f aca="false">IFERROR(INDEX('كشف الحساب'!$B$4:$B$203,MATCH(3,'كشف الحساب'!$O$4:$O$203,0)),"")</f>
        <v>0</v>
      </c>
      <c r="C214" s="1" t="str">
        <f aca="false">IFERROR(INDEX('كشف الحساب'!$C$4:$C$203,MATCH(3,'كشف الحساب'!$O$4:$O$203,0)),"")</f>
        <v>ديزل لمكينة الكهرباء</v>
      </c>
      <c r="D214" s="50" t="n">
        <f aca="false">IFERROR(INDEX('كشف الحساب'!$D$4:$D$203,MATCH(3,'كشف الحساب'!$O$4:$O$203,0)),"")</f>
        <v>20</v>
      </c>
      <c r="E214" s="1" t="s">
        <v>6</v>
      </c>
      <c r="F214" s="1" t="str">
        <f aca="false">IFERROR(INDEX('كشف الحساب'!$I$4:$I$203,MATCH(3,'كشف الحساب'!$O$4:$O$203,0)),"")</f>
        <v>وقود ومحروقات</v>
      </c>
      <c r="G214" s="1" t="str">
        <f aca="false">IFERROR(INDEX('كشف الحساب'!$G$4:$G$203,MATCH(3,'كشف الحساب'!$O$4:$O$203,0)),"")</f>
        <v>أبو اسحاق</v>
      </c>
    </row>
    <row r="215" customFormat="false" ht="15" hidden="false" customHeight="true" outlineLevel="0" collapsed="false">
      <c r="A215" s="49" t="n">
        <f aca="false">IFERROR(INDEX('كشف الحساب'!$A$4:$A$203,MATCH(4,'كشف الحساب'!$O$4:$O$203,0)),"")</f>
        <v>46134</v>
      </c>
      <c r="B215" s="1" t="str">
        <f aca="false">IFERROR(INDEX('كشف الحساب'!$B$4:$B$203,MATCH(4,'كشف الحساب'!$O$4:$O$203,0)),"")</f>
        <v>242</v>
      </c>
      <c r="C215" s="1" t="str">
        <f aca="false">IFERROR(INDEX('كشف الحساب'!$C$4:$C$203,MATCH(4,'كشف الحساب'!$O$4:$O$203,0)),"")</f>
        <v>احواض حجم25سم عدد 2000</v>
      </c>
      <c r="D215" s="50" t="n">
        <f aca="false">IFERROR(INDEX('كشف الحساب'!$D$4:$D$203,MATCH(4,'كشف الحساب'!$O$4:$O$203,0)),"")</f>
        <v>190</v>
      </c>
      <c r="E215" s="1" t="s">
        <v>6</v>
      </c>
      <c r="F215" s="1" t="str">
        <f aca="false">IFERROR(INDEX('كشف الحساب'!$I$4:$I$203,MATCH(4,'كشف الحساب'!$O$4:$O$203,0)),"")</f>
        <v>أحواض وأدوات</v>
      </c>
      <c r="G215" s="1" t="str">
        <f aca="false">IFERROR(INDEX('كشف الحساب'!$G$4:$G$203,MATCH(4,'كشف الحساب'!$O$4:$O$203,0)),"")</f>
        <v>أبو آدم</v>
      </c>
    </row>
    <row r="216" customFormat="false" ht="15" hidden="false" customHeight="true" outlineLevel="0" collapsed="false">
      <c r="A216" s="49" t="n">
        <f aca="false">IFERROR(INDEX('كشف الحساب'!$A$4:$A$203,MATCH(5,'كشف الحساب'!$O$4:$O$203,0)),"")</f>
        <v>46152</v>
      </c>
      <c r="B216" s="1" t="str">
        <f aca="false">IFERROR(INDEX('كشف الحساب'!$B$4:$B$203,MATCH(5,'كشف الحساب'!$O$4:$O$203,0)),"")</f>
        <v>Inv-016</v>
      </c>
      <c r="C216" s="1" t="str">
        <f aca="false">IFERROR(INDEX('كشف الحساب'!$C$4:$C$203,MATCH(5,'كشف الحساب'!$O$4:$O$203,0)),"")</f>
        <v>ودليه عدد 3 الحبه 0.750</v>
      </c>
      <c r="D216" s="50" t="n">
        <f aca="false">IFERROR(INDEX('كشف الحساب'!$D$4:$D$203,MATCH(5,'كشف الحساب'!$O$4:$O$203,0)),"")</f>
        <v>0</v>
      </c>
      <c r="E216" s="1" t="s">
        <v>6</v>
      </c>
      <c r="F216" s="1" t="n">
        <f aca="false">IFERROR(INDEX('كشف الحساب'!$I$4:$I$203,MATCH(5,'كشف الحساب'!$O$4:$O$203,0)),"")</f>
        <v>0</v>
      </c>
      <c r="G216" s="1" t="n">
        <f aca="false">IFERROR(INDEX('كشف الحساب'!$G$4:$G$203,MATCH(5,'كشف الحساب'!$O$4:$O$203,0)),"")</f>
        <v>0</v>
      </c>
    </row>
    <row r="217" customFormat="false" ht="15" hidden="false" customHeight="true" outlineLevel="0" collapsed="false">
      <c r="A217" s="49" t="n">
        <f aca="false">IFERROR(INDEX('كشف الحساب'!$A$4:$A$203,MATCH(6,'كشف الحساب'!$O$4:$O$203,0)),"")</f>
        <v>46167</v>
      </c>
      <c r="B217" s="1" t="n">
        <f aca="false">IFERROR(INDEX('كشف الحساب'!$B$4:$B$203,MATCH(6,'كشف الحساب'!$O$4:$O$203,0)),"")</f>
        <v>0</v>
      </c>
      <c r="C217" s="1" t="str">
        <f aca="false">IFERROR(INDEX('كشف الحساب'!$C$4:$C$203,MATCH(6,'كشف الحساب'!$O$4:$O$203,0)),"")</f>
        <v>راتب عماله مايو 2025</v>
      </c>
      <c r="D217" s="50" t="n">
        <f aca="false">IFERROR(INDEX('كشف الحساب'!$D$4:$D$203,MATCH(6,'كشف الحساب'!$O$4:$O$203,0)),"")</f>
        <v>250</v>
      </c>
      <c r="E217" s="1" t="s">
        <v>6</v>
      </c>
      <c r="F217" s="1" t="str">
        <f aca="false">IFERROR(INDEX('كشف الحساب'!$I$4:$I$203,MATCH(6,'كشف الحساب'!$O$4:$O$203,0)),"")</f>
        <v>رواتب العمال</v>
      </c>
      <c r="G217" s="1" t="str">
        <f aca="false">IFERROR(INDEX('كشف الحساب'!$G$4:$G$203,MATCH(6,'كشف الحساب'!$O$4:$O$203,0)),"")</f>
        <v>أبو آدم</v>
      </c>
    </row>
    <row r="218" customFormat="false" ht="15" hidden="false" customHeight="true" outlineLevel="0" collapsed="false">
      <c r="A218" s="49" t="n">
        <f aca="false">IFERROR(INDEX('كشف الحساب'!$A$4:$A$203,MATCH(7,'كشف الحساب'!$O$4:$O$203,0)),"")</f>
        <v>46167</v>
      </c>
      <c r="B218" s="1" t="n">
        <f aca="false">IFERROR(INDEX('كشف الحساب'!$B$4:$B$203,MATCH(7,'كشف الحساب'!$O$4:$O$203,0)),"")</f>
        <v>0</v>
      </c>
      <c r="C218" s="1" t="str">
        <f aca="false">IFERROR(INDEX('كشف الحساب'!$C$4:$C$203,MATCH(7,'كشف الحساب'!$O$4:$O$203,0)),"")</f>
        <v>راتب عماله مايو 2025</v>
      </c>
      <c r="D218" s="50" t="n">
        <f aca="false">IFERROR(INDEX('كشف الحساب'!$D$4:$D$203,MATCH(7,'كشف الحساب'!$O$4:$O$203,0)),"")</f>
        <v>250</v>
      </c>
      <c r="E218" s="1" t="s">
        <v>6</v>
      </c>
      <c r="F218" s="1" t="str">
        <f aca="false">IFERROR(INDEX('كشف الحساب'!$I$4:$I$203,MATCH(7,'كشف الحساب'!$O$4:$O$203,0)),"")</f>
        <v>رواتب العمال</v>
      </c>
      <c r="G218" s="1" t="str">
        <f aca="false">IFERROR(INDEX('كشف الحساب'!$G$4:$G$203,MATCH(7,'كشف الحساب'!$O$4:$O$203,0)),"")</f>
        <v>أبو اسحاق</v>
      </c>
    </row>
    <row r="219" customFormat="false" ht="15" hidden="false" customHeight="true" outlineLevel="0" collapsed="false">
      <c r="A219" s="49" t="n">
        <f aca="false">IFERROR(INDEX('كشف الحساب'!$A$4:$A$203,MATCH(8,'كشف الحساب'!$O$4:$O$203,0)),"")</f>
        <v>46146</v>
      </c>
      <c r="B219" s="1" t="str">
        <f aca="false">IFERROR(INDEX('كشف الحساب'!$B$4:$B$203,MATCH(8,'كشف الحساب'!$O$4:$O$203,0)),"")</f>
        <v>Inv-40</v>
      </c>
      <c r="C219" s="1" t="str">
        <f aca="false">IFERROR(INDEX('كشف الحساب'!$C$4:$C$203,MATCH(8,'كشف الحساب'!$O$4:$O$203,0)),"")</f>
        <v>other</v>
      </c>
      <c r="D219" s="50" t="n">
        <f aca="false">IFERROR(INDEX('كشف الحساب'!$D$4:$D$203,MATCH(8,'كشف الحساب'!$O$4:$O$203,0)),"")</f>
        <v>0</v>
      </c>
      <c r="E219" s="1" t="s">
        <v>6</v>
      </c>
      <c r="F219" s="1" t="n">
        <f aca="false">IFERROR(INDEX('كشف الحساب'!$I$4:$I$203,MATCH(8,'كشف الحساب'!$O$4:$O$203,0)),"")</f>
        <v>0</v>
      </c>
      <c r="G219" s="1" t="n">
        <f aca="false">IFERROR(INDEX('كشف الحساب'!$G$4:$G$203,MATCH(8,'كشف الحساب'!$O$4:$O$203,0)),"")</f>
        <v>0</v>
      </c>
    </row>
    <row r="220" customFormat="false" ht="15" hidden="false" customHeight="true" outlineLevel="0" collapsed="false">
      <c r="A220" s="1" t="str">
        <f aca="false">IFERROR(INDEX('كشف الحساب'!$A$4:$A$203,MATCH(9,'كشف الحساب'!$O$4:$O$203,0)),"")</f>
        <v/>
      </c>
      <c r="B220" s="1" t="str">
        <f aca="false">IFERROR(INDEX('كشف الحساب'!$B$4:$B$203,MATCH(9,'كشف الحساب'!$O$4:$O$203,0)),"")</f>
        <v/>
      </c>
      <c r="C220" s="1" t="str">
        <f aca="false">IFERROR(INDEX('كشف الحساب'!$C$4:$C$203,MATCH(9,'كشف الحساب'!$O$4:$O$203,0)),"")</f>
        <v/>
      </c>
      <c r="D220" s="1" t="str">
        <f aca="false">IFERROR(INDEX('كشف الحساب'!$D$4:$D$203,MATCH(9,'كشف الحساب'!$O$4:$O$203,0)),"")</f>
        <v/>
      </c>
      <c r="E220" s="1" t="s">
        <v>6</v>
      </c>
      <c r="F220" s="1" t="str">
        <f aca="false">IFERROR(INDEX('كشف الحساب'!$I$4:$I$203,MATCH(9,'كشف الحساب'!$O$4:$O$203,0)),"")</f>
        <v/>
      </c>
      <c r="G220" s="1" t="str">
        <f aca="false">IFERROR(INDEX('كشف الحساب'!$G$4:$G$203,MATCH(9,'كشف الحساب'!$O$4:$O$203,0)),"")</f>
        <v/>
      </c>
    </row>
    <row r="221" customFormat="false" ht="15" hidden="false" customHeight="true" outlineLevel="0" collapsed="false">
      <c r="A221" s="1" t="str">
        <f aca="false">IFERROR(INDEX('كشف الحساب'!$A$4:$A$203,MATCH(10,'كشف الحساب'!$O$4:$O$203,0)),"")</f>
        <v/>
      </c>
      <c r="B221" s="1" t="str">
        <f aca="false">IFERROR(INDEX('كشف الحساب'!$B$4:$B$203,MATCH(10,'كشف الحساب'!$O$4:$O$203,0)),"")</f>
        <v/>
      </c>
      <c r="C221" s="1" t="str">
        <f aca="false">IFERROR(INDEX('كشف الحساب'!$C$4:$C$203,MATCH(10,'كشف الحساب'!$O$4:$O$203,0)),"")</f>
        <v/>
      </c>
      <c r="D221" s="1" t="str">
        <f aca="false">IFERROR(INDEX('كشف الحساب'!$D$4:$D$203,MATCH(10,'كشف الحساب'!$O$4:$O$203,0)),"")</f>
        <v/>
      </c>
      <c r="E221" s="1" t="s">
        <v>6</v>
      </c>
      <c r="F221" s="1" t="str">
        <f aca="false">IFERROR(INDEX('كشف الحساب'!$I$4:$I$203,MATCH(10,'كشف الحساب'!$O$4:$O$203,0)),"")</f>
        <v/>
      </c>
      <c r="G221" s="1" t="str">
        <f aca="false">IFERROR(INDEX('كشف الحساب'!$G$4:$G$203,MATCH(10,'كشف الحساب'!$O$4:$O$203,0)),"")</f>
        <v/>
      </c>
    </row>
    <row r="222" customFormat="false" ht="15" hidden="false" customHeight="true" outlineLevel="0" collapsed="false">
      <c r="A222" s="1" t="str">
        <f aca="false">IFERROR(INDEX('كشف الحساب'!$A$4:$A$203,MATCH(11,'كشف الحساب'!$O$4:$O$203,0)),"")</f>
        <v/>
      </c>
      <c r="B222" s="1" t="str">
        <f aca="false">IFERROR(INDEX('كشف الحساب'!$B$4:$B$203,MATCH(11,'كشف الحساب'!$O$4:$O$203,0)),"")</f>
        <v/>
      </c>
      <c r="C222" s="1" t="str">
        <f aca="false">IFERROR(INDEX('كشف الحساب'!$C$4:$C$203,MATCH(11,'كشف الحساب'!$O$4:$O$203,0)),"")</f>
        <v/>
      </c>
      <c r="D222" s="1" t="str">
        <f aca="false">IFERROR(INDEX('كشف الحساب'!$D$4:$D$203,MATCH(11,'كشف الحساب'!$O$4:$O$203,0)),"")</f>
        <v/>
      </c>
      <c r="E222" s="1" t="s">
        <v>6</v>
      </c>
      <c r="F222" s="1" t="str">
        <f aca="false">IFERROR(INDEX('كشف الحساب'!$I$4:$I$203,MATCH(11,'كشف الحساب'!$O$4:$O$203,0)),"")</f>
        <v/>
      </c>
      <c r="G222" s="1" t="str">
        <f aca="false">IFERROR(INDEX('كشف الحساب'!$G$4:$G$203,MATCH(11,'كشف الحساب'!$O$4:$O$203,0)),"")</f>
        <v/>
      </c>
    </row>
    <row r="223" customFormat="false" ht="15" hidden="false" customHeight="true" outlineLevel="0" collapsed="false">
      <c r="A223" s="1" t="str">
        <f aca="false">IFERROR(INDEX('كشف الحساب'!$A$4:$A$203,MATCH(12,'كشف الحساب'!$O$4:$O$203,0)),"")</f>
        <v/>
      </c>
      <c r="B223" s="1" t="str">
        <f aca="false">IFERROR(INDEX('كشف الحساب'!$B$4:$B$203,MATCH(12,'كشف الحساب'!$O$4:$O$203,0)),"")</f>
        <v/>
      </c>
      <c r="C223" s="1" t="str">
        <f aca="false">IFERROR(INDEX('كشف الحساب'!$C$4:$C$203,MATCH(12,'كشف الحساب'!$O$4:$O$203,0)),"")</f>
        <v/>
      </c>
      <c r="D223" s="1" t="str">
        <f aca="false">IFERROR(INDEX('كشف الحساب'!$D$4:$D$203,MATCH(12,'كشف الحساب'!$O$4:$O$203,0)),"")</f>
        <v/>
      </c>
      <c r="E223" s="1" t="s">
        <v>6</v>
      </c>
      <c r="F223" s="1" t="str">
        <f aca="false">IFERROR(INDEX('كشف الحساب'!$I$4:$I$203,MATCH(12,'كشف الحساب'!$O$4:$O$203,0)),"")</f>
        <v/>
      </c>
      <c r="G223" s="1" t="str">
        <f aca="false">IFERROR(INDEX('كشف الحساب'!$G$4:$G$203,MATCH(12,'كشف الحساب'!$O$4:$O$203,0)),"")</f>
        <v/>
      </c>
    </row>
    <row r="224" customFormat="false" ht="15" hidden="false" customHeight="true" outlineLevel="0" collapsed="false">
      <c r="A224" s="1" t="str">
        <f aca="false">IFERROR(INDEX('كشف الحساب'!$A$4:$A$203,MATCH(13,'كشف الحساب'!$O$4:$O$203,0)),"")</f>
        <v/>
      </c>
      <c r="B224" s="1" t="str">
        <f aca="false">IFERROR(INDEX('كشف الحساب'!$B$4:$B$203,MATCH(13,'كشف الحساب'!$O$4:$O$203,0)),"")</f>
        <v/>
      </c>
      <c r="C224" s="1" t="str">
        <f aca="false">IFERROR(INDEX('كشف الحساب'!$C$4:$C$203,MATCH(13,'كشف الحساب'!$O$4:$O$203,0)),"")</f>
        <v/>
      </c>
      <c r="D224" s="1" t="str">
        <f aca="false">IFERROR(INDEX('كشف الحساب'!$D$4:$D$203,MATCH(13,'كشف الحساب'!$O$4:$O$203,0)),"")</f>
        <v/>
      </c>
      <c r="E224" s="1" t="s">
        <v>6</v>
      </c>
      <c r="F224" s="1" t="str">
        <f aca="false">IFERROR(INDEX('كشف الحساب'!$I$4:$I$203,MATCH(13,'كشف الحساب'!$O$4:$O$203,0)),"")</f>
        <v/>
      </c>
      <c r="G224" s="1" t="str">
        <f aca="false">IFERROR(INDEX('كشف الحساب'!$G$4:$G$203,MATCH(13,'كشف الحساب'!$O$4:$O$203,0)),"")</f>
        <v/>
      </c>
    </row>
    <row r="225" customFormat="false" ht="15" hidden="false" customHeight="true" outlineLevel="0" collapsed="false">
      <c r="A225" s="1" t="str">
        <f aca="false">IFERROR(INDEX('كشف الحساب'!$A$4:$A$203,MATCH(14,'كشف الحساب'!$O$4:$O$203,0)),"")</f>
        <v/>
      </c>
      <c r="B225" s="1" t="str">
        <f aca="false">IFERROR(INDEX('كشف الحساب'!$B$4:$B$203,MATCH(14,'كشف الحساب'!$O$4:$O$203,0)),"")</f>
        <v/>
      </c>
      <c r="C225" s="1" t="str">
        <f aca="false">IFERROR(INDEX('كشف الحساب'!$C$4:$C$203,MATCH(14,'كشف الحساب'!$O$4:$O$203,0)),"")</f>
        <v/>
      </c>
      <c r="D225" s="1" t="str">
        <f aca="false">IFERROR(INDEX('كشف الحساب'!$D$4:$D$203,MATCH(14,'كشف الحساب'!$O$4:$O$203,0)),"")</f>
        <v/>
      </c>
      <c r="E225" s="1" t="s">
        <v>6</v>
      </c>
      <c r="F225" s="1" t="str">
        <f aca="false">IFERROR(INDEX('كشف الحساب'!$I$4:$I$203,MATCH(14,'كشف الحساب'!$O$4:$O$203,0)),"")</f>
        <v/>
      </c>
      <c r="G225" s="1" t="str">
        <f aca="false">IFERROR(INDEX('كشف الحساب'!$G$4:$G$203,MATCH(14,'كشف الحساب'!$O$4:$O$203,0)),"")</f>
        <v/>
      </c>
    </row>
    <row r="226" customFormat="false" ht="15" hidden="false" customHeight="true" outlineLevel="0" collapsed="false">
      <c r="A226" s="1" t="str">
        <f aca="false">IFERROR(INDEX('كشف الحساب'!$A$4:$A$203,MATCH(15,'كشف الحساب'!$O$4:$O$203,0)),"")</f>
        <v/>
      </c>
      <c r="B226" s="1" t="str">
        <f aca="false">IFERROR(INDEX('كشف الحساب'!$B$4:$B$203,MATCH(15,'كشف الحساب'!$O$4:$O$203,0)),"")</f>
        <v/>
      </c>
      <c r="C226" s="1" t="str">
        <f aca="false">IFERROR(INDEX('كشف الحساب'!$C$4:$C$203,MATCH(15,'كشف الحساب'!$O$4:$O$203,0)),"")</f>
        <v/>
      </c>
      <c r="D226" s="1" t="str">
        <f aca="false">IFERROR(INDEX('كشف الحساب'!$D$4:$D$203,MATCH(15,'كشف الحساب'!$O$4:$O$203,0)),"")</f>
        <v/>
      </c>
      <c r="E226" s="1" t="s">
        <v>6</v>
      </c>
      <c r="F226" s="1" t="str">
        <f aca="false">IFERROR(INDEX('كشف الحساب'!$I$4:$I$203,MATCH(15,'كشف الحساب'!$O$4:$O$203,0)),"")</f>
        <v/>
      </c>
      <c r="G226" s="1" t="str">
        <f aca="false">IFERROR(INDEX('كشف الحساب'!$G$4:$G$203,MATCH(15,'كشف الحساب'!$O$4:$O$203,0)),"")</f>
        <v/>
      </c>
    </row>
    <row r="227" customFormat="false" ht="15" hidden="false" customHeight="true" outlineLevel="0" collapsed="false">
      <c r="A227" s="1" t="str">
        <f aca="false">IFERROR(INDEX('كشف الحساب'!$A$4:$A$203,MATCH(16,'كشف الحساب'!$O$4:$O$203,0)),"")</f>
        <v/>
      </c>
      <c r="B227" s="1" t="str">
        <f aca="false">IFERROR(INDEX('كشف الحساب'!$B$4:$B$203,MATCH(16,'كشف الحساب'!$O$4:$O$203,0)),"")</f>
        <v/>
      </c>
      <c r="C227" s="1" t="str">
        <f aca="false">IFERROR(INDEX('كشف الحساب'!$C$4:$C$203,MATCH(16,'كشف الحساب'!$O$4:$O$203,0)),"")</f>
        <v/>
      </c>
      <c r="D227" s="1" t="str">
        <f aca="false">IFERROR(INDEX('كشف الحساب'!$D$4:$D$203,MATCH(16,'كشف الحساب'!$O$4:$O$203,0)),"")</f>
        <v/>
      </c>
      <c r="E227" s="1" t="s">
        <v>6</v>
      </c>
      <c r="F227" s="1" t="str">
        <f aca="false">IFERROR(INDEX('كشف الحساب'!$I$4:$I$203,MATCH(16,'كشف الحساب'!$O$4:$O$203,0)),"")</f>
        <v/>
      </c>
      <c r="G227" s="1" t="str">
        <f aca="false">IFERROR(INDEX('كشف الحساب'!$G$4:$G$203,MATCH(16,'كشف الحساب'!$O$4:$O$203,0)),"")</f>
        <v/>
      </c>
    </row>
    <row r="228" customFormat="false" ht="15" hidden="false" customHeight="true" outlineLevel="0" collapsed="false">
      <c r="A228" s="1" t="str">
        <f aca="false">IFERROR(INDEX('كشف الحساب'!$A$4:$A$203,MATCH(17,'كشف الحساب'!$O$4:$O$203,0)),"")</f>
        <v/>
      </c>
      <c r="B228" s="1" t="str">
        <f aca="false">IFERROR(INDEX('كشف الحساب'!$B$4:$B$203,MATCH(17,'كشف الحساب'!$O$4:$O$203,0)),"")</f>
        <v/>
      </c>
      <c r="C228" s="1" t="str">
        <f aca="false">IFERROR(INDEX('كشف الحساب'!$C$4:$C$203,MATCH(17,'كشف الحساب'!$O$4:$O$203,0)),"")</f>
        <v/>
      </c>
      <c r="D228" s="1" t="str">
        <f aca="false">IFERROR(INDEX('كشف الحساب'!$D$4:$D$203,MATCH(17,'كشف الحساب'!$O$4:$O$203,0)),"")</f>
        <v/>
      </c>
      <c r="E228" s="1" t="s">
        <v>6</v>
      </c>
      <c r="F228" s="1" t="str">
        <f aca="false">IFERROR(INDEX('كشف الحساب'!$I$4:$I$203,MATCH(17,'كشف الحساب'!$O$4:$O$203,0)),"")</f>
        <v/>
      </c>
      <c r="G228" s="1" t="str">
        <f aca="false">IFERROR(INDEX('كشف الحساب'!$G$4:$G$203,MATCH(17,'كشف الحساب'!$O$4:$O$203,0)),"")</f>
        <v/>
      </c>
    </row>
    <row r="229" customFormat="false" ht="15" hidden="false" customHeight="true" outlineLevel="0" collapsed="false">
      <c r="A229" s="1" t="str">
        <f aca="false">IFERROR(INDEX('كشف الحساب'!$A$4:$A$203,MATCH(18,'كشف الحساب'!$O$4:$O$203,0)),"")</f>
        <v/>
      </c>
      <c r="B229" s="1" t="str">
        <f aca="false">IFERROR(INDEX('كشف الحساب'!$B$4:$B$203,MATCH(18,'كشف الحساب'!$O$4:$O$203,0)),"")</f>
        <v/>
      </c>
      <c r="C229" s="1" t="str">
        <f aca="false">IFERROR(INDEX('كشف الحساب'!$C$4:$C$203,MATCH(18,'كشف الحساب'!$O$4:$O$203,0)),"")</f>
        <v/>
      </c>
      <c r="D229" s="1" t="str">
        <f aca="false">IFERROR(INDEX('كشف الحساب'!$D$4:$D$203,MATCH(18,'كشف الحساب'!$O$4:$O$203,0)),"")</f>
        <v/>
      </c>
      <c r="E229" s="1" t="s">
        <v>6</v>
      </c>
      <c r="F229" s="1" t="str">
        <f aca="false">IFERROR(INDEX('كشف الحساب'!$I$4:$I$203,MATCH(18,'كشف الحساب'!$O$4:$O$203,0)),"")</f>
        <v/>
      </c>
      <c r="G229" s="1" t="str">
        <f aca="false">IFERROR(INDEX('كشف الحساب'!$G$4:$G$203,MATCH(18,'كشف الحساب'!$O$4:$O$203,0)),"")</f>
        <v/>
      </c>
    </row>
    <row r="230" customFormat="false" ht="15" hidden="false" customHeight="true" outlineLevel="0" collapsed="false">
      <c r="A230" s="1" t="str">
        <f aca="false">IFERROR(INDEX('كشف الحساب'!$A$4:$A$203,MATCH(19,'كشف الحساب'!$O$4:$O$203,0)),"")</f>
        <v/>
      </c>
      <c r="B230" s="1" t="str">
        <f aca="false">IFERROR(INDEX('كشف الحساب'!$B$4:$B$203,MATCH(19,'كشف الحساب'!$O$4:$O$203,0)),"")</f>
        <v/>
      </c>
      <c r="C230" s="1" t="str">
        <f aca="false">IFERROR(INDEX('كشف الحساب'!$C$4:$C$203,MATCH(19,'كشف الحساب'!$O$4:$O$203,0)),"")</f>
        <v/>
      </c>
      <c r="D230" s="1" t="str">
        <f aca="false">IFERROR(INDEX('كشف الحساب'!$D$4:$D$203,MATCH(19,'كشف الحساب'!$O$4:$O$203,0)),"")</f>
        <v/>
      </c>
      <c r="E230" s="1" t="s">
        <v>6</v>
      </c>
      <c r="F230" s="1" t="str">
        <f aca="false">IFERROR(INDEX('كشف الحساب'!$I$4:$I$203,MATCH(19,'كشف الحساب'!$O$4:$O$203,0)),"")</f>
        <v/>
      </c>
      <c r="G230" s="1" t="str">
        <f aca="false">IFERROR(INDEX('كشف الحساب'!$G$4:$G$203,MATCH(19,'كشف الحساب'!$O$4:$O$203,0)),"")</f>
        <v/>
      </c>
    </row>
    <row r="231" customFormat="false" ht="15" hidden="false" customHeight="true" outlineLevel="0" collapsed="false">
      <c r="A231" s="1" t="str">
        <f aca="false">IFERROR(INDEX('كشف الحساب'!$A$4:$A$203,MATCH(20,'كشف الحساب'!$O$4:$O$203,0)),"")</f>
        <v/>
      </c>
      <c r="B231" s="1" t="str">
        <f aca="false">IFERROR(INDEX('كشف الحساب'!$B$4:$B$203,MATCH(20,'كشف الحساب'!$O$4:$O$203,0)),"")</f>
        <v/>
      </c>
      <c r="C231" s="1" t="str">
        <f aca="false">IFERROR(INDEX('كشف الحساب'!$C$4:$C$203,MATCH(20,'كشف الحساب'!$O$4:$O$203,0)),"")</f>
        <v/>
      </c>
      <c r="D231" s="1" t="str">
        <f aca="false">IFERROR(INDEX('كشف الحساب'!$D$4:$D$203,MATCH(20,'كشف الحساب'!$O$4:$O$203,0)),"")</f>
        <v/>
      </c>
      <c r="E231" s="1" t="s">
        <v>6</v>
      </c>
      <c r="F231" s="1" t="str">
        <f aca="false">IFERROR(INDEX('كشف الحساب'!$I$4:$I$203,MATCH(20,'كشف الحساب'!$O$4:$O$203,0)),"")</f>
        <v/>
      </c>
      <c r="G231" s="1" t="str">
        <f aca="false">IFERROR(INDEX('كشف الحساب'!$G$4:$G$203,MATCH(20,'كشف الحساب'!$O$4:$O$203,0)),"")</f>
        <v/>
      </c>
    </row>
    <row r="232" customFormat="false" ht="15" hidden="false" customHeight="true" outlineLevel="0" collapsed="false">
      <c r="A232" s="1" t="str">
        <f aca="false">IFERROR(INDEX('كشف الحساب'!$A$4:$A$203,MATCH(21,'كشف الحساب'!$O$4:$O$203,0)),"")</f>
        <v/>
      </c>
      <c r="B232" s="1" t="str">
        <f aca="false">IFERROR(INDEX('كشف الحساب'!$B$4:$B$203,MATCH(21,'كشف الحساب'!$O$4:$O$203,0)),"")</f>
        <v/>
      </c>
      <c r="C232" s="1" t="str">
        <f aca="false">IFERROR(INDEX('كشف الحساب'!$C$4:$C$203,MATCH(21,'كشف الحساب'!$O$4:$O$203,0)),"")</f>
        <v/>
      </c>
      <c r="D232" s="1" t="str">
        <f aca="false">IFERROR(INDEX('كشف الحساب'!$D$4:$D$203,MATCH(21,'كشف الحساب'!$O$4:$O$203,0)),"")</f>
        <v/>
      </c>
      <c r="E232" s="1" t="s">
        <v>6</v>
      </c>
      <c r="F232" s="1" t="str">
        <f aca="false">IFERROR(INDEX('كشف الحساب'!$I$4:$I$203,MATCH(21,'كشف الحساب'!$O$4:$O$203,0)),"")</f>
        <v/>
      </c>
      <c r="G232" s="1" t="str">
        <f aca="false">IFERROR(INDEX('كشف الحساب'!$G$4:$G$203,MATCH(21,'كشف الحساب'!$O$4:$O$203,0)),"")</f>
        <v/>
      </c>
    </row>
    <row r="233" customFormat="false" ht="15" hidden="false" customHeight="true" outlineLevel="0" collapsed="false">
      <c r="A233" s="1" t="str">
        <f aca="false">IFERROR(INDEX('كشف الحساب'!$A$4:$A$203,MATCH(22,'كشف الحساب'!$O$4:$O$203,0)),"")</f>
        <v/>
      </c>
      <c r="B233" s="1" t="str">
        <f aca="false">IFERROR(INDEX('كشف الحساب'!$B$4:$B$203,MATCH(22,'كشف الحساب'!$O$4:$O$203,0)),"")</f>
        <v/>
      </c>
      <c r="C233" s="1" t="str">
        <f aca="false">IFERROR(INDEX('كشف الحساب'!$C$4:$C$203,MATCH(22,'كشف الحساب'!$O$4:$O$203,0)),"")</f>
        <v/>
      </c>
      <c r="D233" s="1" t="str">
        <f aca="false">IFERROR(INDEX('كشف الحساب'!$D$4:$D$203,MATCH(22,'كشف الحساب'!$O$4:$O$203,0)),"")</f>
        <v/>
      </c>
      <c r="E233" s="1" t="s">
        <v>6</v>
      </c>
      <c r="F233" s="1" t="str">
        <f aca="false">IFERROR(INDEX('كشف الحساب'!$I$4:$I$203,MATCH(22,'كشف الحساب'!$O$4:$O$203,0)),"")</f>
        <v/>
      </c>
      <c r="G233" s="1" t="str">
        <f aca="false">IFERROR(INDEX('كشف الحساب'!$G$4:$G$203,MATCH(22,'كشف الحساب'!$O$4:$O$203,0)),"")</f>
        <v/>
      </c>
    </row>
    <row r="234" customFormat="false" ht="15" hidden="false" customHeight="true" outlineLevel="0" collapsed="false">
      <c r="A234" s="1" t="str">
        <f aca="false">IFERROR(INDEX('كشف الحساب'!$A$4:$A$203,MATCH(23,'كشف الحساب'!$O$4:$O$203,0)),"")</f>
        <v/>
      </c>
      <c r="B234" s="1" t="str">
        <f aca="false">IFERROR(INDEX('كشف الحساب'!$B$4:$B$203,MATCH(23,'كشف الحساب'!$O$4:$O$203,0)),"")</f>
        <v/>
      </c>
      <c r="C234" s="1" t="str">
        <f aca="false">IFERROR(INDEX('كشف الحساب'!$C$4:$C$203,MATCH(23,'كشف الحساب'!$O$4:$O$203,0)),"")</f>
        <v/>
      </c>
      <c r="D234" s="1" t="str">
        <f aca="false">IFERROR(INDEX('كشف الحساب'!$D$4:$D$203,MATCH(23,'كشف الحساب'!$O$4:$O$203,0)),"")</f>
        <v/>
      </c>
      <c r="E234" s="1" t="s">
        <v>6</v>
      </c>
      <c r="F234" s="1" t="str">
        <f aca="false">IFERROR(INDEX('كشف الحساب'!$I$4:$I$203,MATCH(23,'كشف الحساب'!$O$4:$O$203,0)),"")</f>
        <v/>
      </c>
      <c r="G234" s="1" t="str">
        <f aca="false">IFERROR(INDEX('كشف الحساب'!$G$4:$G$203,MATCH(23,'كشف الحساب'!$O$4:$O$203,0)),"")</f>
        <v/>
      </c>
    </row>
    <row r="235" customFormat="false" ht="15" hidden="false" customHeight="true" outlineLevel="0" collapsed="false">
      <c r="A235" s="1" t="str">
        <f aca="false">IFERROR(INDEX('كشف الحساب'!$A$4:$A$203,MATCH(24,'كشف الحساب'!$O$4:$O$203,0)),"")</f>
        <v/>
      </c>
      <c r="B235" s="1" t="str">
        <f aca="false">IFERROR(INDEX('كشف الحساب'!$B$4:$B$203,MATCH(24,'كشف الحساب'!$O$4:$O$203,0)),"")</f>
        <v/>
      </c>
      <c r="C235" s="1" t="str">
        <f aca="false">IFERROR(INDEX('كشف الحساب'!$C$4:$C$203,MATCH(24,'كشف الحساب'!$O$4:$O$203,0)),"")</f>
        <v/>
      </c>
      <c r="D235" s="1" t="str">
        <f aca="false">IFERROR(INDEX('كشف الحساب'!$D$4:$D$203,MATCH(24,'كشف الحساب'!$O$4:$O$203,0)),"")</f>
        <v/>
      </c>
      <c r="E235" s="1" t="s">
        <v>6</v>
      </c>
      <c r="F235" s="1" t="str">
        <f aca="false">IFERROR(INDEX('كشف الحساب'!$I$4:$I$203,MATCH(24,'كشف الحساب'!$O$4:$O$203,0)),"")</f>
        <v/>
      </c>
      <c r="G235" s="1" t="str">
        <f aca="false">IFERROR(INDEX('كشف الحساب'!$G$4:$G$203,MATCH(24,'كشف الحساب'!$O$4:$O$203,0)),"")</f>
        <v/>
      </c>
    </row>
    <row r="236" customFormat="false" ht="15" hidden="false" customHeight="true" outlineLevel="0" collapsed="false">
      <c r="A236" s="1" t="str">
        <f aca="false">IFERROR(INDEX('كشف الحساب'!$A$4:$A$203,MATCH(25,'كشف الحساب'!$O$4:$O$203,0)),"")</f>
        <v/>
      </c>
      <c r="B236" s="1" t="str">
        <f aca="false">IFERROR(INDEX('كشف الحساب'!$B$4:$B$203,MATCH(25,'كشف الحساب'!$O$4:$O$203,0)),"")</f>
        <v/>
      </c>
      <c r="C236" s="1" t="str">
        <f aca="false">IFERROR(INDEX('كشف الحساب'!$C$4:$C$203,MATCH(25,'كشف الحساب'!$O$4:$O$203,0)),"")</f>
        <v/>
      </c>
      <c r="D236" s="1" t="str">
        <f aca="false">IFERROR(INDEX('كشف الحساب'!$D$4:$D$203,MATCH(25,'كشف الحساب'!$O$4:$O$203,0)),"")</f>
        <v/>
      </c>
      <c r="E236" s="1" t="s">
        <v>6</v>
      </c>
      <c r="F236" s="1" t="str">
        <f aca="false">IFERROR(INDEX('كشف الحساب'!$I$4:$I$203,MATCH(25,'كشف الحساب'!$O$4:$O$203,0)),"")</f>
        <v/>
      </c>
      <c r="G236" s="1" t="str">
        <f aca="false">IFERROR(INDEX('كشف الحساب'!$G$4:$G$203,MATCH(25,'كشف الحساب'!$O$4:$O$203,0)),"")</f>
        <v/>
      </c>
    </row>
    <row r="237" customFormat="false" ht="15" hidden="false" customHeight="true" outlineLevel="0" collapsed="false">
      <c r="A237" s="1" t="str">
        <f aca="false">IFERROR(INDEX('كشف الحساب'!$A$4:$A$203,MATCH(26,'كشف الحساب'!$O$4:$O$203,0)),"")</f>
        <v/>
      </c>
      <c r="B237" s="1" t="str">
        <f aca="false">IFERROR(INDEX('كشف الحساب'!$B$4:$B$203,MATCH(26,'كشف الحساب'!$O$4:$O$203,0)),"")</f>
        <v/>
      </c>
      <c r="C237" s="1" t="str">
        <f aca="false">IFERROR(INDEX('كشف الحساب'!$C$4:$C$203,MATCH(26,'كشف الحساب'!$O$4:$O$203,0)),"")</f>
        <v/>
      </c>
      <c r="D237" s="1" t="str">
        <f aca="false">IFERROR(INDEX('كشف الحساب'!$D$4:$D$203,MATCH(26,'كشف الحساب'!$O$4:$O$203,0)),"")</f>
        <v/>
      </c>
      <c r="E237" s="1" t="s">
        <v>6</v>
      </c>
      <c r="F237" s="1" t="str">
        <f aca="false">IFERROR(INDEX('كشف الحساب'!$I$4:$I$203,MATCH(26,'كشف الحساب'!$O$4:$O$203,0)),"")</f>
        <v/>
      </c>
      <c r="G237" s="1" t="str">
        <f aca="false">IFERROR(INDEX('كشف الحساب'!$G$4:$G$203,MATCH(26,'كشف الحساب'!$O$4:$O$203,0)),"")</f>
        <v/>
      </c>
    </row>
    <row r="238" customFormat="false" ht="15" hidden="false" customHeight="true" outlineLevel="0" collapsed="false">
      <c r="A238" s="1" t="str">
        <f aca="false">IFERROR(INDEX('كشف الحساب'!$A$4:$A$203,MATCH(27,'كشف الحساب'!$O$4:$O$203,0)),"")</f>
        <v/>
      </c>
      <c r="B238" s="1" t="str">
        <f aca="false">IFERROR(INDEX('كشف الحساب'!$B$4:$B$203,MATCH(27,'كشف الحساب'!$O$4:$O$203,0)),"")</f>
        <v/>
      </c>
      <c r="C238" s="1" t="str">
        <f aca="false">IFERROR(INDEX('كشف الحساب'!$C$4:$C$203,MATCH(27,'كشف الحساب'!$O$4:$O$203,0)),"")</f>
        <v/>
      </c>
      <c r="D238" s="1" t="str">
        <f aca="false">IFERROR(INDEX('كشف الحساب'!$D$4:$D$203,MATCH(27,'كشف الحساب'!$O$4:$O$203,0)),"")</f>
        <v/>
      </c>
      <c r="E238" s="1" t="s">
        <v>6</v>
      </c>
      <c r="F238" s="1" t="str">
        <f aca="false">IFERROR(INDEX('كشف الحساب'!$I$4:$I$203,MATCH(27,'كشف الحساب'!$O$4:$O$203,0)),"")</f>
        <v/>
      </c>
      <c r="G238" s="1" t="str">
        <f aca="false">IFERROR(INDEX('كشف الحساب'!$G$4:$G$203,MATCH(27,'كشف الحساب'!$O$4:$O$203,0)),"")</f>
        <v/>
      </c>
    </row>
    <row r="239" customFormat="false" ht="15" hidden="false" customHeight="true" outlineLevel="0" collapsed="false">
      <c r="A239" s="1" t="str">
        <f aca="false">IFERROR(INDEX('كشف الحساب'!$A$4:$A$203,MATCH(28,'كشف الحساب'!$O$4:$O$203,0)),"")</f>
        <v/>
      </c>
      <c r="B239" s="1" t="str">
        <f aca="false">IFERROR(INDEX('كشف الحساب'!$B$4:$B$203,MATCH(28,'كشف الحساب'!$O$4:$O$203,0)),"")</f>
        <v/>
      </c>
      <c r="C239" s="1" t="str">
        <f aca="false">IFERROR(INDEX('كشف الحساب'!$C$4:$C$203,MATCH(28,'كشف الحساب'!$O$4:$O$203,0)),"")</f>
        <v/>
      </c>
      <c r="D239" s="1" t="str">
        <f aca="false">IFERROR(INDEX('كشف الحساب'!$D$4:$D$203,MATCH(28,'كشف الحساب'!$O$4:$O$203,0)),"")</f>
        <v/>
      </c>
      <c r="E239" s="1" t="s">
        <v>6</v>
      </c>
      <c r="F239" s="1" t="str">
        <f aca="false">IFERROR(INDEX('كشف الحساب'!$I$4:$I$203,MATCH(28,'كشف الحساب'!$O$4:$O$203,0)),"")</f>
        <v/>
      </c>
      <c r="G239" s="1" t="str">
        <f aca="false">IFERROR(INDEX('كشف الحساب'!$G$4:$G$203,MATCH(28,'كشف الحساب'!$O$4:$O$203,0)),"")</f>
        <v/>
      </c>
    </row>
    <row r="240" customFormat="false" ht="15" hidden="false" customHeight="true" outlineLevel="0" collapsed="false">
      <c r="A240" s="1" t="str">
        <f aca="false">IFERROR(INDEX('كشف الحساب'!$A$4:$A$203,MATCH(29,'كشف الحساب'!$O$4:$O$203,0)),"")</f>
        <v/>
      </c>
      <c r="B240" s="1" t="str">
        <f aca="false">IFERROR(INDEX('كشف الحساب'!$B$4:$B$203,MATCH(29,'كشف الحساب'!$O$4:$O$203,0)),"")</f>
        <v/>
      </c>
      <c r="C240" s="1" t="str">
        <f aca="false">IFERROR(INDEX('كشف الحساب'!$C$4:$C$203,MATCH(29,'كشف الحساب'!$O$4:$O$203,0)),"")</f>
        <v/>
      </c>
      <c r="D240" s="1" t="str">
        <f aca="false">IFERROR(INDEX('كشف الحساب'!$D$4:$D$203,MATCH(29,'كشف الحساب'!$O$4:$O$203,0)),"")</f>
        <v/>
      </c>
      <c r="E240" s="1" t="s">
        <v>6</v>
      </c>
      <c r="F240" s="1" t="str">
        <f aca="false">IFERROR(INDEX('كشف الحساب'!$I$4:$I$203,MATCH(29,'كشف الحساب'!$O$4:$O$203,0)),"")</f>
        <v/>
      </c>
      <c r="G240" s="1" t="str">
        <f aca="false">IFERROR(INDEX('كشف الحساب'!$G$4:$G$203,MATCH(29,'كشف الحساب'!$O$4:$O$203,0)),"")</f>
        <v/>
      </c>
    </row>
    <row r="241" customFormat="false" ht="15" hidden="false" customHeight="true" outlineLevel="0" collapsed="false">
      <c r="A241" s="1" t="str">
        <f aca="false">IFERROR(INDEX('كشف الحساب'!$A$4:$A$203,MATCH(30,'كشف الحساب'!$O$4:$O$203,0)),"")</f>
        <v/>
      </c>
      <c r="B241" s="1" t="str">
        <f aca="false">IFERROR(INDEX('كشف الحساب'!$B$4:$B$203,MATCH(30,'كشف الحساب'!$O$4:$O$203,0)),"")</f>
        <v/>
      </c>
      <c r="C241" s="1" t="str">
        <f aca="false">IFERROR(INDEX('كشف الحساب'!$C$4:$C$203,MATCH(30,'كشف الحساب'!$O$4:$O$203,0)),"")</f>
        <v/>
      </c>
      <c r="D241" s="1" t="str">
        <f aca="false">IFERROR(INDEX('كشف الحساب'!$D$4:$D$203,MATCH(30,'كشف الحساب'!$O$4:$O$203,0)),"")</f>
        <v/>
      </c>
      <c r="E241" s="1" t="s">
        <v>6</v>
      </c>
      <c r="F241" s="1" t="str">
        <f aca="false">IFERROR(INDEX('كشف الحساب'!$I$4:$I$203,MATCH(30,'كشف الحساب'!$O$4:$O$203,0)),"")</f>
        <v/>
      </c>
      <c r="G241" s="1" t="str">
        <f aca="false">IFERROR(INDEX('كشف الحساب'!$G$4:$G$203,MATCH(30,'كشف الحساب'!$O$4:$O$203,0)),"")</f>
        <v/>
      </c>
    </row>
    <row r="242" customFormat="false" ht="15" hidden="false" customHeight="true" outlineLevel="0" collapsed="false">
      <c r="A242" s="1" t="str">
        <f aca="false">IFERROR(INDEX('كشف الحساب'!$A$4:$A$203,MATCH(31,'كشف الحساب'!$O$4:$O$203,0)),"")</f>
        <v/>
      </c>
      <c r="B242" s="1" t="str">
        <f aca="false">IFERROR(INDEX('كشف الحساب'!$B$4:$B$203,MATCH(31,'كشف الحساب'!$O$4:$O$203,0)),"")</f>
        <v/>
      </c>
      <c r="C242" s="1" t="str">
        <f aca="false">IFERROR(INDEX('كشف الحساب'!$C$4:$C$203,MATCH(31,'كشف الحساب'!$O$4:$O$203,0)),"")</f>
        <v/>
      </c>
      <c r="D242" s="1" t="str">
        <f aca="false">IFERROR(INDEX('كشف الحساب'!$D$4:$D$203,MATCH(31,'كشف الحساب'!$O$4:$O$203,0)),"")</f>
        <v/>
      </c>
      <c r="E242" s="1" t="s">
        <v>6</v>
      </c>
      <c r="F242" s="1" t="str">
        <f aca="false">IFERROR(INDEX('كشف الحساب'!$I$4:$I$203,MATCH(31,'كشف الحساب'!$O$4:$O$203,0)),"")</f>
        <v/>
      </c>
      <c r="G242" s="1" t="str">
        <f aca="false">IFERROR(INDEX('كشف الحساب'!$G$4:$G$203,MATCH(31,'كشف الحساب'!$O$4:$O$203,0)),"")</f>
        <v/>
      </c>
    </row>
    <row r="243" customFormat="false" ht="15" hidden="false" customHeight="true" outlineLevel="0" collapsed="false">
      <c r="A243" s="1" t="str">
        <f aca="false">IFERROR(INDEX('كشف الحساب'!$A$4:$A$203,MATCH(32,'كشف الحساب'!$O$4:$O$203,0)),"")</f>
        <v/>
      </c>
      <c r="B243" s="1" t="str">
        <f aca="false">IFERROR(INDEX('كشف الحساب'!$B$4:$B$203,MATCH(32,'كشف الحساب'!$O$4:$O$203,0)),"")</f>
        <v/>
      </c>
      <c r="C243" s="1" t="str">
        <f aca="false">IFERROR(INDEX('كشف الحساب'!$C$4:$C$203,MATCH(32,'كشف الحساب'!$O$4:$O$203,0)),"")</f>
        <v/>
      </c>
      <c r="D243" s="1" t="str">
        <f aca="false">IFERROR(INDEX('كشف الحساب'!$D$4:$D$203,MATCH(32,'كشف الحساب'!$O$4:$O$203,0)),"")</f>
        <v/>
      </c>
      <c r="E243" s="1" t="s">
        <v>6</v>
      </c>
      <c r="F243" s="1" t="str">
        <f aca="false">IFERROR(INDEX('كشف الحساب'!$I$4:$I$203,MATCH(32,'كشف الحساب'!$O$4:$O$203,0)),"")</f>
        <v/>
      </c>
      <c r="G243" s="1" t="str">
        <f aca="false">IFERROR(INDEX('كشف الحساب'!$G$4:$G$203,MATCH(32,'كشف الحساب'!$O$4:$O$203,0)),"")</f>
        <v/>
      </c>
    </row>
    <row r="244" customFormat="false" ht="15" hidden="false" customHeight="true" outlineLevel="0" collapsed="false">
      <c r="A244" s="1" t="str">
        <f aca="false">IFERROR(INDEX('كشف الحساب'!$A$4:$A$203,MATCH(33,'كشف الحساب'!$O$4:$O$203,0)),"")</f>
        <v/>
      </c>
      <c r="B244" s="1" t="str">
        <f aca="false">IFERROR(INDEX('كشف الحساب'!$B$4:$B$203,MATCH(33,'كشف الحساب'!$O$4:$O$203,0)),"")</f>
        <v/>
      </c>
      <c r="C244" s="1" t="str">
        <f aca="false">IFERROR(INDEX('كشف الحساب'!$C$4:$C$203,MATCH(33,'كشف الحساب'!$O$4:$O$203,0)),"")</f>
        <v/>
      </c>
      <c r="D244" s="1" t="str">
        <f aca="false">IFERROR(INDEX('كشف الحساب'!$D$4:$D$203,MATCH(33,'كشف الحساب'!$O$4:$O$203,0)),"")</f>
        <v/>
      </c>
      <c r="E244" s="1" t="s">
        <v>6</v>
      </c>
      <c r="F244" s="1" t="str">
        <f aca="false">IFERROR(INDEX('كشف الحساب'!$I$4:$I$203,MATCH(33,'كشف الحساب'!$O$4:$O$203,0)),"")</f>
        <v/>
      </c>
      <c r="G244" s="1" t="str">
        <f aca="false">IFERROR(INDEX('كشف الحساب'!$G$4:$G$203,MATCH(33,'كشف الحساب'!$O$4:$O$203,0)),"")</f>
        <v/>
      </c>
    </row>
    <row r="245" customFormat="false" ht="15" hidden="false" customHeight="true" outlineLevel="0" collapsed="false">
      <c r="A245" s="1" t="str">
        <f aca="false">IFERROR(INDEX('كشف الحساب'!$A$4:$A$203,MATCH(34,'كشف الحساب'!$O$4:$O$203,0)),"")</f>
        <v/>
      </c>
      <c r="B245" s="1" t="str">
        <f aca="false">IFERROR(INDEX('كشف الحساب'!$B$4:$B$203,MATCH(34,'كشف الحساب'!$O$4:$O$203,0)),"")</f>
        <v/>
      </c>
      <c r="C245" s="1" t="str">
        <f aca="false">IFERROR(INDEX('كشف الحساب'!$C$4:$C$203,MATCH(34,'كشف الحساب'!$O$4:$O$203,0)),"")</f>
        <v/>
      </c>
      <c r="D245" s="1" t="str">
        <f aca="false">IFERROR(INDEX('كشف الحساب'!$D$4:$D$203,MATCH(34,'كشف الحساب'!$O$4:$O$203,0)),"")</f>
        <v/>
      </c>
      <c r="E245" s="1" t="s">
        <v>6</v>
      </c>
      <c r="F245" s="1" t="str">
        <f aca="false">IFERROR(INDEX('كشف الحساب'!$I$4:$I$203,MATCH(34,'كشف الحساب'!$O$4:$O$203,0)),"")</f>
        <v/>
      </c>
      <c r="G245" s="1" t="str">
        <f aca="false">IFERROR(INDEX('كشف الحساب'!$G$4:$G$203,MATCH(34,'كشف الحساب'!$O$4:$O$203,0)),"")</f>
        <v/>
      </c>
    </row>
    <row r="246" customFormat="false" ht="15" hidden="false" customHeight="true" outlineLevel="0" collapsed="false">
      <c r="A246" s="1" t="str">
        <f aca="false">IFERROR(INDEX('كشف الحساب'!$A$4:$A$203,MATCH(35,'كشف الحساب'!$O$4:$O$203,0)),"")</f>
        <v/>
      </c>
      <c r="B246" s="1" t="str">
        <f aca="false">IFERROR(INDEX('كشف الحساب'!$B$4:$B$203,MATCH(35,'كشف الحساب'!$O$4:$O$203,0)),"")</f>
        <v/>
      </c>
      <c r="C246" s="1" t="str">
        <f aca="false">IFERROR(INDEX('كشف الحساب'!$C$4:$C$203,MATCH(35,'كشف الحساب'!$O$4:$O$203,0)),"")</f>
        <v/>
      </c>
      <c r="D246" s="1" t="str">
        <f aca="false">IFERROR(INDEX('كشف الحساب'!$D$4:$D$203,MATCH(35,'كشف الحساب'!$O$4:$O$203,0)),"")</f>
        <v/>
      </c>
      <c r="E246" s="1" t="s">
        <v>6</v>
      </c>
      <c r="F246" s="1" t="str">
        <f aca="false">IFERROR(INDEX('كشف الحساب'!$I$4:$I$203,MATCH(35,'كشف الحساب'!$O$4:$O$203,0)),"")</f>
        <v/>
      </c>
      <c r="G246" s="1" t="str">
        <f aca="false">IFERROR(INDEX('كشف الحساب'!$G$4:$G$203,MATCH(35,'كشف الحساب'!$O$4:$O$203,0)),"")</f>
        <v/>
      </c>
    </row>
    <row r="247" customFormat="false" ht="15" hidden="false" customHeight="true" outlineLevel="0" collapsed="false">
      <c r="A247" s="1" t="str">
        <f aca="false">IFERROR(INDEX('كشف الحساب'!$A$4:$A$203,MATCH(36,'كشف الحساب'!$O$4:$O$203,0)),"")</f>
        <v/>
      </c>
      <c r="B247" s="1" t="str">
        <f aca="false">IFERROR(INDEX('كشف الحساب'!$B$4:$B$203,MATCH(36,'كشف الحساب'!$O$4:$O$203,0)),"")</f>
        <v/>
      </c>
      <c r="C247" s="1" t="str">
        <f aca="false">IFERROR(INDEX('كشف الحساب'!$C$4:$C$203,MATCH(36,'كشف الحساب'!$O$4:$O$203,0)),"")</f>
        <v/>
      </c>
      <c r="D247" s="1" t="str">
        <f aca="false">IFERROR(INDEX('كشف الحساب'!$D$4:$D$203,MATCH(36,'كشف الحساب'!$O$4:$O$203,0)),"")</f>
        <v/>
      </c>
      <c r="E247" s="1" t="s">
        <v>6</v>
      </c>
      <c r="F247" s="1" t="str">
        <f aca="false">IFERROR(INDEX('كشف الحساب'!$I$4:$I$203,MATCH(36,'كشف الحساب'!$O$4:$O$203,0)),"")</f>
        <v/>
      </c>
      <c r="G247" s="1" t="str">
        <f aca="false">IFERROR(INDEX('كشف الحساب'!$G$4:$G$203,MATCH(36,'كشف الحساب'!$O$4:$O$203,0)),"")</f>
        <v/>
      </c>
    </row>
    <row r="248" customFormat="false" ht="15" hidden="false" customHeight="true" outlineLevel="0" collapsed="false">
      <c r="A248" s="1" t="str">
        <f aca="false">IFERROR(INDEX('كشف الحساب'!$A$4:$A$203,MATCH(37,'كشف الحساب'!$O$4:$O$203,0)),"")</f>
        <v/>
      </c>
      <c r="B248" s="1" t="str">
        <f aca="false">IFERROR(INDEX('كشف الحساب'!$B$4:$B$203,MATCH(37,'كشف الحساب'!$O$4:$O$203,0)),"")</f>
        <v/>
      </c>
      <c r="C248" s="1" t="str">
        <f aca="false">IFERROR(INDEX('كشف الحساب'!$C$4:$C$203,MATCH(37,'كشف الحساب'!$O$4:$O$203,0)),"")</f>
        <v/>
      </c>
      <c r="D248" s="1" t="str">
        <f aca="false">IFERROR(INDEX('كشف الحساب'!$D$4:$D$203,MATCH(37,'كشف الحساب'!$O$4:$O$203,0)),"")</f>
        <v/>
      </c>
      <c r="E248" s="1" t="s">
        <v>6</v>
      </c>
      <c r="F248" s="1" t="str">
        <f aca="false">IFERROR(INDEX('كشف الحساب'!$I$4:$I$203,MATCH(37,'كشف الحساب'!$O$4:$O$203,0)),"")</f>
        <v/>
      </c>
      <c r="G248" s="1" t="str">
        <f aca="false">IFERROR(INDEX('كشف الحساب'!$G$4:$G$203,MATCH(37,'كشف الحساب'!$O$4:$O$203,0)),"")</f>
        <v/>
      </c>
    </row>
    <row r="249" customFormat="false" ht="15" hidden="false" customHeight="true" outlineLevel="0" collapsed="false">
      <c r="A249" s="1" t="str">
        <f aca="false">IFERROR(INDEX('كشف الحساب'!$A$4:$A$203,MATCH(38,'كشف الحساب'!$O$4:$O$203,0)),"")</f>
        <v/>
      </c>
      <c r="B249" s="1" t="str">
        <f aca="false">IFERROR(INDEX('كشف الحساب'!$B$4:$B$203,MATCH(38,'كشف الحساب'!$O$4:$O$203,0)),"")</f>
        <v/>
      </c>
      <c r="C249" s="1" t="str">
        <f aca="false">IFERROR(INDEX('كشف الحساب'!$C$4:$C$203,MATCH(38,'كشف الحساب'!$O$4:$O$203,0)),"")</f>
        <v/>
      </c>
      <c r="D249" s="1" t="str">
        <f aca="false">IFERROR(INDEX('كشف الحساب'!$D$4:$D$203,MATCH(38,'كشف الحساب'!$O$4:$O$203,0)),"")</f>
        <v/>
      </c>
      <c r="E249" s="1" t="s">
        <v>6</v>
      </c>
      <c r="F249" s="1" t="str">
        <f aca="false">IFERROR(INDEX('كشف الحساب'!$I$4:$I$203,MATCH(38,'كشف الحساب'!$O$4:$O$203,0)),"")</f>
        <v/>
      </c>
      <c r="G249" s="1" t="str">
        <f aca="false">IFERROR(INDEX('كشف الحساب'!$G$4:$G$203,MATCH(38,'كشف الحساب'!$O$4:$O$203,0)),"")</f>
        <v/>
      </c>
    </row>
    <row r="250" customFormat="false" ht="15" hidden="false" customHeight="true" outlineLevel="0" collapsed="false">
      <c r="A250" s="1" t="str">
        <f aca="false">IFERROR(INDEX('كشف الحساب'!$A$4:$A$203,MATCH(39,'كشف الحساب'!$O$4:$O$203,0)),"")</f>
        <v/>
      </c>
      <c r="B250" s="1" t="str">
        <f aca="false">IFERROR(INDEX('كشف الحساب'!$B$4:$B$203,MATCH(39,'كشف الحساب'!$O$4:$O$203,0)),"")</f>
        <v/>
      </c>
      <c r="C250" s="1" t="str">
        <f aca="false">IFERROR(INDEX('كشف الحساب'!$C$4:$C$203,MATCH(39,'كشف الحساب'!$O$4:$O$203,0)),"")</f>
        <v/>
      </c>
      <c r="D250" s="1" t="str">
        <f aca="false">IFERROR(INDEX('كشف الحساب'!$D$4:$D$203,MATCH(39,'كشف الحساب'!$O$4:$O$203,0)),"")</f>
        <v/>
      </c>
      <c r="E250" s="1" t="s">
        <v>6</v>
      </c>
      <c r="F250" s="1" t="str">
        <f aca="false">IFERROR(INDEX('كشف الحساب'!$I$4:$I$203,MATCH(39,'كشف الحساب'!$O$4:$O$203,0)),"")</f>
        <v/>
      </c>
      <c r="G250" s="1" t="str">
        <f aca="false">IFERROR(INDEX('كشف الحساب'!$G$4:$G$203,MATCH(39,'كشف الحساب'!$O$4:$O$203,0)),"")</f>
        <v/>
      </c>
    </row>
    <row r="251" customFormat="false" ht="15" hidden="false" customHeight="true" outlineLevel="0" collapsed="false">
      <c r="A251" s="1" t="str">
        <f aca="false">IFERROR(INDEX('كشف الحساب'!$A$4:$A$203,MATCH(40,'كشف الحساب'!$O$4:$O$203,0)),"")</f>
        <v/>
      </c>
      <c r="B251" s="1" t="str">
        <f aca="false">IFERROR(INDEX('كشف الحساب'!$B$4:$B$203,MATCH(40,'كشف الحساب'!$O$4:$O$203,0)),"")</f>
        <v/>
      </c>
      <c r="C251" s="1" t="str">
        <f aca="false">IFERROR(INDEX('كشف الحساب'!$C$4:$C$203,MATCH(40,'كشف الحساب'!$O$4:$O$203,0)),"")</f>
        <v/>
      </c>
      <c r="D251" s="1" t="str">
        <f aca="false">IFERROR(INDEX('كشف الحساب'!$D$4:$D$203,MATCH(40,'كشف الحساب'!$O$4:$O$203,0)),"")</f>
        <v/>
      </c>
      <c r="E251" s="1" t="s">
        <v>6</v>
      </c>
      <c r="F251" s="1" t="str">
        <f aca="false">IFERROR(INDEX('كشف الحساب'!$I$4:$I$203,MATCH(40,'كشف الحساب'!$O$4:$O$203,0)),"")</f>
        <v/>
      </c>
      <c r="G251" s="1" t="str">
        <f aca="false">IFERROR(INDEX('كشف الحساب'!$G$4:$G$203,MATCH(40,'كشف الحساب'!$O$4:$O$203,0)),"")</f>
        <v/>
      </c>
    </row>
    <row r="252" customFormat="false" ht="15" hidden="false" customHeight="true" outlineLevel="0" collapsed="false">
      <c r="A252" s="1" t="str">
        <f aca="false">IFERROR(INDEX('كشف الحساب'!$A$4:$A$203,MATCH(41,'كشف الحساب'!$O$4:$O$203,0)),"")</f>
        <v/>
      </c>
      <c r="B252" s="1" t="str">
        <f aca="false">IFERROR(INDEX('كشف الحساب'!$B$4:$B$203,MATCH(41,'كشف الحساب'!$O$4:$O$203,0)),"")</f>
        <v/>
      </c>
      <c r="C252" s="1" t="str">
        <f aca="false">IFERROR(INDEX('كشف الحساب'!$C$4:$C$203,MATCH(41,'كشف الحساب'!$O$4:$O$203,0)),"")</f>
        <v/>
      </c>
      <c r="D252" s="1" t="str">
        <f aca="false">IFERROR(INDEX('كشف الحساب'!$D$4:$D$203,MATCH(41,'كشف الحساب'!$O$4:$O$203,0)),"")</f>
        <v/>
      </c>
      <c r="E252" s="1" t="s">
        <v>6</v>
      </c>
      <c r="F252" s="1" t="str">
        <f aca="false">IFERROR(INDEX('كشف الحساب'!$I$4:$I$203,MATCH(41,'كشف الحساب'!$O$4:$O$203,0)),"")</f>
        <v/>
      </c>
      <c r="G252" s="1" t="str">
        <f aca="false">IFERROR(INDEX('كشف الحساب'!$G$4:$G$203,MATCH(41,'كشف الحساب'!$O$4:$O$203,0)),"")</f>
        <v/>
      </c>
    </row>
    <row r="253" customFormat="false" ht="15" hidden="false" customHeight="true" outlineLevel="0" collapsed="false">
      <c r="A253" s="1" t="str">
        <f aca="false">IFERROR(INDEX('كشف الحساب'!$A$4:$A$203,MATCH(42,'كشف الحساب'!$O$4:$O$203,0)),"")</f>
        <v/>
      </c>
      <c r="B253" s="1" t="str">
        <f aca="false">IFERROR(INDEX('كشف الحساب'!$B$4:$B$203,MATCH(42,'كشف الحساب'!$O$4:$O$203,0)),"")</f>
        <v/>
      </c>
      <c r="C253" s="1" t="str">
        <f aca="false">IFERROR(INDEX('كشف الحساب'!$C$4:$C$203,MATCH(42,'كشف الحساب'!$O$4:$O$203,0)),"")</f>
        <v/>
      </c>
      <c r="D253" s="1" t="str">
        <f aca="false">IFERROR(INDEX('كشف الحساب'!$D$4:$D$203,MATCH(42,'كشف الحساب'!$O$4:$O$203,0)),"")</f>
        <v/>
      </c>
      <c r="E253" s="1" t="s">
        <v>6</v>
      </c>
      <c r="F253" s="1" t="str">
        <f aca="false">IFERROR(INDEX('كشف الحساب'!$I$4:$I$203,MATCH(42,'كشف الحساب'!$O$4:$O$203,0)),"")</f>
        <v/>
      </c>
      <c r="G253" s="1" t="str">
        <f aca="false">IFERROR(INDEX('كشف الحساب'!$G$4:$G$203,MATCH(42,'كشف الحساب'!$O$4:$O$203,0)),"")</f>
        <v/>
      </c>
    </row>
    <row r="254" customFormat="false" ht="15" hidden="false" customHeight="true" outlineLevel="0" collapsed="false">
      <c r="A254" s="1" t="str">
        <f aca="false">IFERROR(INDEX('كشف الحساب'!$A$4:$A$203,MATCH(43,'كشف الحساب'!$O$4:$O$203,0)),"")</f>
        <v/>
      </c>
      <c r="B254" s="1" t="str">
        <f aca="false">IFERROR(INDEX('كشف الحساب'!$B$4:$B$203,MATCH(43,'كشف الحساب'!$O$4:$O$203,0)),"")</f>
        <v/>
      </c>
      <c r="C254" s="1" t="str">
        <f aca="false">IFERROR(INDEX('كشف الحساب'!$C$4:$C$203,MATCH(43,'كشف الحساب'!$O$4:$O$203,0)),"")</f>
        <v/>
      </c>
      <c r="D254" s="1" t="str">
        <f aca="false">IFERROR(INDEX('كشف الحساب'!$D$4:$D$203,MATCH(43,'كشف الحساب'!$O$4:$O$203,0)),"")</f>
        <v/>
      </c>
      <c r="E254" s="1" t="s">
        <v>6</v>
      </c>
      <c r="F254" s="1" t="str">
        <f aca="false">IFERROR(INDEX('كشف الحساب'!$I$4:$I$203,MATCH(43,'كشف الحساب'!$O$4:$O$203,0)),"")</f>
        <v/>
      </c>
      <c r="G254" s="1" t="str">
        <f aca="false">IFERROR(INDEX('كشف الحساب'!$G$4:$G$203,MATCH(43,'كشف الحساب'!$O$4:$O$203,0)),"")</f>
        <v/>
      </c>
    </row>
    <row r="255" customFormat="false" ht="15" hidden="false" customHeight="true" outlineLevel="0" collapsed="false">
      <c r="A255" s="1" t="str">
        <f aca="false">IFERROR(INDEX('كشف الحساب'!$A$4:$A$203,MATCH(44,'كشف الحساب'!$O$4:$O$203,0)),"")</f>
        <v/>
      </c>
      <c r="B255" s="1" t="str">
        <f aca="false">IFERROR(INDEX('كشف الحساب'!$B$4:$B$203,MATCH(44,'كشف الحساب'!$O$4:$O$203,0)),"")</f>
        <v/>
      </c>
      <c r="C255" s="1" t="str">
        <f aca="false">IFERROR(INDEX('كشف الحساب'!$C$4:$C$203,MATCH(44,'كشف الحساب'!$O$4:$O$203,0)),"")</f>
        <v/>
      </c>
      <c r="D255" s="1" t="str">
        <f aca="false">IFERROR(INDEX('كشف الحساب'!$D$4:$D$203,MATCH(44,'كشف الحساب'!$O$4:$O$203,0)),"")</f>
        <v/>
      </c>
      <c r="E255" s="1" t="s">
        <v>6</v>
      </c>
      <c r="F255" s="1" t="str">
        <f aca="false">IFERROR(INDEX('كشف الحساب'!$I$4:$I$203,MATCH(44,'كشف الحساب'!$O$4:$O$203,0)),"")</f>
        <v/>
      </c>
      <c r="G255" s="1" t="str">
        <f aca="false">IFERROR(INDEX('كشف الحساب'!$G$4:$G$203,MATCH(44,'كشف الحساب'!$O$4:$O$203,0)),"")</f>
        <v/>
      </c>
    </row>
    <row r="256" customFormat="false" ht="15" hidden="false" customHeight="true" outlineLevel="0" collapsed="false">
      <c r="A256" s="1" t="str">
        <f aca="false">IFERROR(INDEX('كشف الحساب'!$A$4:$A$203,MATCH(45,'كشف الحساب'!$O$4:$O$203,0)),"")</f>
        <v/>
      </c>
      <c r="B256" s="1" t="str">
        <f aca="false">IFERROR(INDEX('كشف الحساب'!$B$4:$B$203,MATCH(45,'كشف الحساب'!$O$4:$O$203,0)),"")</f>
        <v/>
      </c>
      <c r="C256" s="1" t="str">
        <f aca="false">IFERROR(INDEX('كشف الحساب'!$C$4:$C$203,MATCH(45,'كشف الحساب'!$O$4:$O$203,0)),"")</f>
        <v/>
      </c>
      <c r="D256" s="1" t="str">
        <f aca="false">IFERROR(INDEX('كشف الحساب'!$D$4:$D$203,MATCH(45,'كشف الحساب'!$O$4:$O$203,0)),"")</f>
        <v/>
      </c>
      <c r="E256" s="1" t="s">
        <v>6</v>
      </c>
      <c r="F256" s="1" t="str">
        <f aca="false">IFERROR(INDEX('كشف الحساب'!$I$4:$I$203,MATCH(45,'كشف الحساب'!$O$4:$O$203,0)),"")</f>
        <v/>
      </c>
      <c r="G256" s="1" t="str">
        <f aca="false">IFERROR(INDEX('كشف الحساب'!$G$4:$G$203,MATCH(45,'كشف الحساب'!$O$4:$O$203,0)),"")</f>
        <v/>
      </c>
    </row>
    <row r="257" customFormat="false" ht="15" hidden="false" customHeight="true" outlineLevel="0" collapsed="false">
      <c r="A257" s="1" t="str">
        <f aca="false">IFERROR(INDEX('كشف الحساب'!$A$4:$A$203,MATCH(46,'كشف الحساب'!$O$4:$O$203,0)),"")</f>
        <v/>
      </c>
      <c r="B257" s="1" t="str">
        <f aca="false">IFERROR(INDEX('كشف الحساب'!$B$4:$B$203,MATCH(46,'كشف الحساب'!$O$4:$O$203,0)),"")</f>
        <v/>
      </c>
      <c r="C257" s="1" t="str">
        <f aca="false">IFERROR(INDEX('كشف الحساب'!$C$4:$C$203,MATCH(46,'كشف الحساب'!$O$4:$O$203,0)),"")</f>
        <v/>
      </c>
      <c r="D257" s="1" t="str">
        <f aca="false">IFERROR(INDEX('كشف الحساب'!$D$4:$D$203,MATCH(46,'كشف الحساب'!$O$4:$O$203,0)),"")</f>
        <v/>
      </c>
      <c r="E257" s="1" t="s">
        <v>6</v>
      </c>
      <c r="F257" s="1" t="str">
        <f aca="false">IFERROR(INDEX('كشف الحساب'!$I$4:$I$203,MATCH(46,'كشف الحساب'!$O$4:$O$203,0)),"")</f>
        <v/>
      </c>
      <c r="G257" s="1" t="str">
        <f aca="false">IFERROR(INDEX('كشف الحساب'!$G$4:$G$203,MATCH(46,'كشف الحساب'!$O$4:$O$203,0)),"")</f>
        <v/>
      </c>
    </row>
    <row r="258" customFormat="false" ht="15" hidden="false" customHeight="true" outlineLevel="0" collapsed="false">
      <c r="A258" s="1" t="str">
        <f aca="false">IFERROR(INDEX('كشف الحساب'!$A$4:$A$203,MATCH(47,'كشف الحساب'!$O$4:$O$203,0)),"")</f>
        <v/>
      </c>
      <c r="B258" s="1" t="str">
        <f aca="false">IFERROR(INDEX('كشف الحساب'!$B$4:$B$203,MATCH(47,'كشف الحساب'!$O$4:$O$203,0)),"")</f>
        <v/>
      </c>
      <c r="C258" s="1" t="str">
        <f aca="false">IFERROR(INDEX('كشف الحساب'!$C$4:$C$203,MATCH(47,'كشف الحساب'!$O$4:$O$203,0)),"")</f>
        <v/>
      </c>
      <c r="D258" s="1" t="str">
        <f aca="false">IFERROR(INDEX('كشف الحساب'!$D$4:$D$203,MATCH(47,'كشف الحساب'!$O$4:$O$203,0)),"")</f>
        <v/>
      </c>
      <c r="E258" s="1" t="s">
        <v>6</v>
      </c>
      <c r="F258" s="1" t="str">
        <f aca="false">IFERROR(INDEX('كشف الحساب'!$I$4:$I$203,MATCH(47,'كشف الحساب'!$O$4:$O$203,0)),"")</f>
        <v/>
      </c>
      <c r="G258" s="1" t="str">
        <f aca="false">IFERROR(INDEX('كشف الحساب'!$G$4:$G$203,MATCH(47,'كشف الحساب'!$O$4:$O$203,0)),"")</f>
        <v/>
      </c>
    </row>
    <row r="259" customFormat="false" ht="15" hidden="false" customHeight="true" outlineLevel="0" collapsed="false">
      <c r="A259" s="1" t="str">
        <f aca="false">IFERROR(INDEX('كشف الحساب'!$A$4:$A$203,MATCH(48,'كشف الحساب'!$O$4:$O$203,0)),"")</f>
        <v/>
      </c>
      <c r="B259" s="1" t="str">
        <f aca="false">IFERROR(INDEX('كشف الحساب'!$B$4:$B$203,MATCH(48,'كشف الحساب'!$O$4:$O$203,0)),"")</f>
        <v/>
      </c>
      <c r="C259" s="1" t="str">
        <f aca="false">IFERROR(INDEX('كشف الحساب'!$C$4:$C$203,MATCH(48,'كشف الحساب'!$O$4:$O$203,0)),"")</f>
        <v/>
      </c>
      <c r="D259" s="1" t="str">
        <f aca="false">IFERROR(INDEX('كشف الحساب'!$D$4:$D$203,MATCH(48,'كشف الحساب'!$O$4:$O$203,0)),"")</f>
        <v/>
      </c>
      <c r="E259" s="1" t="s">
        <v>6</v>
      </c>
      <c r="F259" s="1" t="str">
        <f aca="false">IFERROR(INDEX('كشف الحساب'!$I$4:$I$203,MATCH(48,'كشف الحساب'!$O$4:$O$203,0)),"")</f>
        <v/>
      </c>
      <c r="G259" s="1" t="str">
        <f aca="false">IFERROR(INDEX('كشف الحساب'!$G$4:$G$203,MATCH(48,'كشف الحساب'!$O$4:$O$203,0)),"")</f>
        <v/>
      </c>
    </row>
    <row r="260" customFormat="false" ht="15" hidden="false" customHeight="true" outlineLevel="0" collapsed="false">
      <c r="A260" s="1" t="str">
        <f aca="false">IFERROR(INDEX('كشف الحساب'!$A$4:$A$203,MATCH(49,'كشف الحساب'!$O$4:$O$203,0)),"")</f>
        <v/>
      </c>
      <c r="B260" s="1" t="str">
        <f aca="false">IFERROR(INDEX('كشف الحساب'!$B$4:$B$203,MATCH(49,'كشف الحساب'!$O$4:$O$203,0)),"")</f>
        <v/>
      </c>
      <c r="C260" s="1" t="str">
        <f aca="false">IFERROR(INDEX('كشف الحساب'!$C$4:$C$203,MATCH(49,'كشف الحساب'!$O$4:$O$203,0)),"")</f>
        <v/>
      </c>
      <c r="D260" s="1" t="str">
        <f aca="false">IFERROR(INDEX('كشف الحساب'!$D$4:$D$203,MATCH(49,'كشف الحساب'!$O$4:$O$203,0)),"")</f>
        <v/>
      </c>
      <c r="E260" s="1" t="s">
        <v>6</v>
      </c>
      <c r="F260" s="1" t="str">
        <f aca="false">IFERROR(INDEX('كشف الحساب'!$I$4:$I$203,MATCH(49,'كشف الحساب'!$O$4:$O$203,0)),"")</f>
        <v/>
      </c>
      <c r="G260" s="1" t="str">
        <f aca="false">IFERROR(INDEX('كشف الحساب'!$G$4:$G$203,MATCH(49,'كشف الحساب'!$O$4:$O$203,0)),"")</f>
        <v/>
      </c>
    </row>
    <row r="261" customFormat="false" ht="15" hidden="false" customHeight="true" outlineLevel="0" collapsed="false">
      <c r="A261" s="1" t="str">
        <f aca="false">IFERROR(INDEX('كشف الحساب'!$A$4:$A$203,MATCH(50,'كشف الحساب'!$O$4:$O$203,0)),"")</f>
        <v/>
      </c>
      <c r="B261" s="1" t="str">
        <f aca="false">IFERROR(INDEX('كشف الحساب'!$B$4:$B$203,MATCH(50,'كشف الحساب'!$O$4:$O$203,0)),"")</f>
        <v/>
      </c>
      <c r="C261" s="1" t="str">
        <f aca="false">IFERROR(INDEX('كشف الحساب'!$C$4:$C$203,MATCH(50,'كشف الحساب'!$O$4:$O$203,0)),"")</f>
        <v/>
      </c>
      <c r="D261" s="1" t="str">
        <f aca="false">IFERROR(INDEX('كشف الحساب'!$D$4:$D$203,MATCH(50,'كشف الحساب'!$O$4:$O$203,0)),"")</f>
        <v/>
      </c>
      <c r="E261" s="1" t="s">
        <v>6</v>
      </c>
      <c r="F261" s="1" t="str">
        <f aca="false">IFERROR(INDEX('كشف الحساب'!$I$4:$I$203,MATCH(50,'كشف الحساب'!$O$4:$O$203,0)),"")</f>
        <v/>
      </c>
      <c r="G261" s="1" t="str">
        <f aca="false">IFERROR(INDEX('كشف الحساب'!$G$4:$G$203,MATCH(50,'كشف الحساب'!$O$4:$O$203,0)),"")</f>
        <v/>
      </c>
    </row>
    <row r="262" customFormat="false" ht="15" hidden="false" customHeight="true" outlineLevel="0" collapsed="false">
      <c r="A262" s="51" t="s">
        <v>19</v>
      </c>
      <c r="D262" s="51" t="n">
        <f aca="false">SUM(D212:D261)</f>
        <v>810</v>
      </c>
    </row>
    <row r="263" customFormat="false" ht="15" hidden="false" customHeight="true" outlineLevel="0" collapsed="false">
      <c r="A263" s="52" t="s">
        <v>20</v>
      </c>
      <c r="D263" s="52" t="n">
        <f aca="false">SUMIF('كشف الحساب'!$G$4:$G$203,"أبو اسحاق",'كشف الحساب'!$D$4:$D$203)</f>
        <v>405</v>
      </c>
    </row>
    <row r="264" customFormat="false" ht="15" hidden="false" customHeight="true" outlineLevel="0" collapsed="false">
      <c r="A264" s="52" t="s">
        <v>21</v>
      </c>
      <c r="D264" s="52" t="n">
        <f aca="false">SUMIF('كشف الحساب'!$G$4:$G$203,"أبو آدم",'كشف الحساب'!$D$4:$D$203)</f>
        <v>440</v>
      </c>
    </row>
  </sheetData>
  <mergeCells count="11">
    <mergeCell ref="A1:G1"/>
    <mergeCell ref="A2:C2"/>
    <mergeCell ref="E2:G2"/>
    <mergeCell ref="A3:B3"/>
    <mergeCell ref="D3:G3"/>
    <mergeCell ref="A4:G4"/>
    <mergeCell ref="A105:D105"/>
    <mergeCell ref="A106:G106"/>
    <mergeCell ref="A207:C207"/>
    <mergeCell ref="A208:C208"/>
    <mergeCell ref="E208:G20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O206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68" activePane="bottomLeft" state="frozen"/>
      <selection pane="topLeft" activeCell="A1" activeCellId="0" sqref="A1"/>
      <selection pane="bottomLeft" activeCell="E73" activeCellId="0" sqref="E73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4"/>
    <col collapsed="false" customWidth="true" hidden="false" outlineLevel="0" max="3" min="3" style="1" width="27.86"/>
    <col collapsed="false" customWidth="true" hidden="false" outlineLevel="0" max="6" min="4" style="1" width="16"/>
    <col collapsed="false" customWidth="true" hidden="false" outlineLevel="0" max="8" min="7" style="1" width="14"/>
    <col collapsed="false" customWidth="true" hidden="false" outlineLevel="0" max="10" min="9" style="1" width="22"/>
    <col collapsed="false" customWidth="true" hidden="false" outlineLevel="0" max="11" min="11" style="1" width="20"/>
    <col collapsed="false" customWidth="true" hidden="true" outlineLevel="0" max="14" min="12" style="1" width="4"/>
  </cols>
  <sheetData>
    <row r="1" customFormat="false" ht="31.5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4" hidden="false" customHeight="true" outlineLevel="0" collapsed="false">
      <c r="A2" s="3" t="s">
        <v>23</v>
      </c>
      <c r="B2" s="3"/>
      <c r="C2" s="3"/>
      <c r="D2" s="4" t="n">
        <v>0</v>
      </c>
      <c r="E2" s="5" t="s">
        <v>24</v>
      </c>
      <c r="F2" s="5"/>
      <c r="G2" s="5"/>
      <c r="H2" s="5"/>
      <c r="I2" s="5"/>
      <c r="J2" s="5"/>
      <c r="K2" s="5"/>
    </row>
    <row r="3" customFormat="false" ht="36" hidden="false" customHeight="true" outlineLevel="0" collapsed="false">
      <c r="A3" s="53" t="s">
        <v>25</v>
      </c>
      <c r="B3" s="53" t="s">
        <v>26</v>
      </c>
      <c r="C3" s="53" t="s">
        <v>27</v>
      </c>
      <c r="D3" s="53" t="s">
        <v>28</v>
      </c>
      <c r="E3" s="53" t="s">
        <v>29</v>
      </c>
      <c r="F3" s="53" t="s">
        <v>30</v>
      </c>
      <c r="G3" s="53" t="s">
        <v>31</v>
      </c>
      <c r="H3" s="53" t="s">
        <v>32</v>
      </c>
      <c r="I3" s="53" t="s">
        <v>33</v>
      </c>
      <c r="J3" s="53" t="s">
        <v>34</v>
      </c>
      <c r="K3" s="53" t="s">
        <v>35</v>
      </c>
      <c r="L3" s="54" t="s">
        <v>36</v>
      </c>
      <c r="M3" s="54" t="s">
        <v>37</v>
      </c>
      <c r="N3" s="55" t="s">
        <v>38</v>
      </c>
      <c r="O3" s="55" t="s">
        <v>39</v>
      </c>
    </row>
    <row r="4" customFormat="false" ht="18.75" hidden="false" customHeight="true" outlineLevel="0" collapsed="false">
      <c r="A4" s="56" t="n">
        <v>46117</v>
      </c>
      <c r="B4" s="57" t="s">
        <v>40</v>
      </c>
      <c r="C4" s="58" t="s">
        <v>41</v>
      </c>
      <c r="D4" s="59" t="n">
        <v>4.5</v>
      </c>
      <c r="E4" s="60"/>
      <c r="F4" s="61" t="s">
        <v>42</v>
      </c>
      <c r="G4" s="62" t="s">
        <v>43</v>
      </c>
      <c r="H4" s="63" t="s">
        <v>44</v>
      </c>
      <c r="I4" s="64" t="s">
        <v>45</v>
      </c>
      <c r="J4" s="65" t="n">
        <f aca="false">IFERROR(IF(AND(D4="",E4="",A4="",B4="",C4=""),"", D2+IF(E4="",0,E4)-IF(OR(G4="أبو اسحاق",G4="أبو آدم",G4="أبو اسحاق ",G4="أبو آدم "),0,IF(D4="",0,D4))),D2)</f>
        <v>-4.5</v>
      </c>
      <c r="K4" s="66"/>
      <c r="L4" s="1" t="str">
        <f aca="false">IF(E4&gt;0,COUNTIF($E$4:E4,"&gt;0"),"")</f>
        <v/>
      </c>
      <c r="M4" s="1" t="n">
        <f aca="false">IF(AND(D4&gt;0,G4="المحفظة"),COUNTIFS($D$4:D4,"&gt;"&amp;0,$G$4:G4,"المحفظة"),"")</f>
        <v>1</v>
      </c>
      <c r="N4" s="1" t="n">
        <f aca="false"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>1</v>
      </c>
      <c r="O4" s="1" t="str">
        <f aca="false">IF(AND(D4&gt;0,F4="أحد الشركاء"),1,"")</f>
        <v/>
      </c>
    </row>
    <row r="5" customFormat="false" ht="18.75" hidden="false" customHeight="true" outlineLevel="0" collapsed="false">
      <c r="A5" s="67" t="n">
        <v>46121</v>
      </c>
      <c r="B5" s="68" t="s">
        <v>46</v>
      </c>
      <c r="C5" s="69" t="s">
        <v>47</v>
      </c>
      <c r="D5" s="70"/>
      <c r="E5" s="71" t="n">
        <v>5</v>
      </c>
      <c r="F5" s="72" t="s">
        <v>42</v>
      </c>
      <c r="G5" s="73"/>
      <c r="H5" s="74" t="s">
        <v>44</v>
      </c>
      <c r="I5" s="75"/>
      <c r="J5" s="76" t="n">
        <f aca="false">IF(AND(D5="",E5="",A5="",B5="",C5=""),"", IFERROR(IF(J4="",D2,J4),D2)+IF(E5="",0,E5)-IF(OR(G5="أبو اسحاق",G5="أبو آدم",G5="أبو اسحاق ",G5="أبو آدم "),0,IF(D5="",0,D5)))</f>
        <v>0.5</v>
      </c>
      <c r="K5" s="77"/>
      <c r="L5" s="1" t="n">
        <f aca="false">IF(E5&gt;0,COUNTIF($E$4:E5,"&gt;0"),"")</f>
        <v>1</v>
      </c>
      <c r="M5" s="1" t="str">
        <f aca="false">IF(AND(D5&gt;0,G5="المحفظة"),COUNTIFS($D$4:D5,"&gt;"&amp;0,$G$4:G5,"المحفظة"),"")</f>
        <v/>
      </c>
      <c r="N5" s="1" t="n">
        <f aca="false"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>2</v>
      </c>
      <c r="O5" s="1" t="str">
        <f aca="false">IF(AND(D5&gt;0,F5="أحد الشركاء"),COUNTIFS($D$4:D5,"&gt;"&amp;0,$F$4:F5,"أحد الشركاء"),"")</f>
        <v/>
      </c>
    </row>
    <row r="6" customFormat="false" ht="18.75" hidden="false" customHeight="true" outlineLevel="0" collapsed="false">
      <c r="A6" s="56" t="n">
        <v>46124</v>
      </c>
      <c r="B6" s="57" t="s">
        <v>48</v>
      </c>
      <c r="C6" s="58" t="s">
        <v>49</v>
      </c>
      <c r="D6" s="59" t="n">
        <v>90</v>
      </c>
      <c r="E6" s="60"/>
      <c r="F6" s="61" t="s">
        <v>42</v>
      </c>
      <c r="G6" s="62" t="s">
        <v>43</v>
      </c>
      <c r="H6" s="63" t="s">
        <v>44</v>
      </c>
      <c r="I6" s="64" t="s">
        <v>50</v>
      </c>
      <c r="J6" s="65" t="n">
        <f aca="false">IF(AND(D6="",E6="",A6="",B6="",C6=""),"", IFERROR(IF(J5="",D2,J5),D2)+IF(E6="",0,E6)-IF(OR(G6="أبو اسحاق",G6="أبو آدم",G6="أبو اسحاق ",G6="أبو آدم "),0,IF(D6="",0,D6)))</f>
        <v>-89.5</v>
      </c>
      <c r="K6" s="66"/>
      <c r="L6" s="1" t="str">
        <f aca="false">IF(E6&gt;0,COUNTIF($E$4:E6,"&gt;0"),"")</f>
        <v/>
      </c>
      <c r="M6" s="1" t="n">
        <f aca="false">IF(AND(D6&gt;0,G6="المحفظة"),COUNTIFS($D$4:D6,"&gt;"&amp;0,$G$4:G6,"المحفظة"),"")</f>
        <v>2</v>
      </c>
      <c r="N6" s="1" t="n">
        <f aca="false"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>3</v>
      </c>
      <c r="O6" s="1" t="str">
        <f aca="false">IF(AND(D6&gt;0,F6="أحد الشركاء"),COUNTIFS($D$4:D6,"&gt;"&amp;0,$F$4:F6,"أحد الشركاء"),"")</f>
        <v/>
      </c>
    </row>
    <row r="7" customFormat="false" ht="18.75" hidden="false" customHeight="true" outlineLevel="0" collapsed="false">
      <c r="A7" s="67" t="n">
        <v>46131</v>
      </c>
      <c r="B7" s="68"/>
      <c r="C7" s="69" t="s">
        <v>51</v>
      </c>
      <c r="D7" s="70" t="n">
        <v>45</v>
      </c>
      <c r="E7" s="71"/>
      <c r="F7" s="72" t="s">
        <v>52</v>
      </c>
      <c r="G7" s="73" t="s">
        <v>53</v>
      </c>
      <c r="H7" s="74" t="s">
        <v>54</v>
      </c>
      <c r="I7" s="75" t="s">
        <v>55</v>
      </c>
      <c r="J7" s="76" t="n">
        <f aca="false">IF(AND(D7="",E7="",A7="",B7="",C7=""),"", IFERROR(IF(J6="",D2,J6),D2)+IF(E7="",0,E7)-IF(OR(G7="أبو اسحاق",G7="أبو آدم",G7="أبو اسحاق ",G7="أبو آدم "),0,IF(D7="",0,D7)))</f>
        <v>-89.5</v>
      </c>
      <c r="K7" s="77"/>
      <c r="L7" s="1" t="str">
        <f aca="false">IF(E7&gt;0,COUNTIF($E$4:E7,"&gt;0"),"")</f>
        <v/>
      </c>
      <c r="M7" s="1" t="str">
        <f aca="false">IF(AND(D7&gt;0,G7="المحفظة"),COUNTIFS($D$4:D7,"&gt;"&amp;0,$G$4:G7,"المحفظة"),"")</f>
        <v/>
      </c>
      <c r="N7" s="1" t="n">
        <f aca="false"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>4</v>
      </c>
      <c r="O7" s="1" t="n">
        <f aca="false">IF(AND(D7&gt;0,F7="أحد الشركاء"),COUNTIFS($D$4:D7,"&gt;"&amp;0,$F$4:F7,"أحد الشركاء"),"")</f>
        <v>1</v>
      </c>
    </row>
    <row r="8" customFormat="false" ht="18.75" hidden="false" customHeight="true" outlineLevel="0" collapsed="false">
      <c r="A8" s="56" t="n">
        <v>46134</v>
      </c>
      <c r="B8" s="57" t="s">
        <v>56</v>
      </c>
      <c r="C8" s="58" t="s">
        <v>57</v>
      </c>
      <c r="D8" s="59" t="n">
        <v>55</v>
      </c>
      <c r="E8" s="60"/>
      <c r="F8" s="61" t="s">
        <v>52</v>
      </c>
      <c r="G8" s="62" t="s">
        <v>53</v>
      </c>
      <c r="H8" s="63" t="s">
        <v>54</v>
      </c>
      <c r="I8" s="64" t="s">
        <v>58</v>
      </c>
      <c r="J8" s="65" t="n">
        <f aca="false">IF(AND(D8="",E8="",A8="",B8="",C8=""),"", IFERROR(IF(J7="",D2,J7),D2)+IF(E8="",0,E8)-IF(OR(G8="أبو اسحاق",G8="أبو آدم",G8="أبو اسحاق ",G8="أبو آدم "),0,IF(D8="",0,D8)))</f>
        <v>-89.5</v>
      </c>
      <c r="K8" s="66"/>
      <c r="L8" s="1" t="str">
        <f aca="false">IF(E8&gt;0,COUNTIF($E$4:E8,"&gt;0"),"")</f>
        <v/>
      </c>
      <c r="M8" s="1" t="str">
        <f aca="false">IF(AND(D8&gt;0,G8="المحفظة"),COUNTIFS($D$4:D8,"&gt;"&amp;0,$G$4:G8,"المحفظة"),"")</f>
        <v/>
      </c>
      <c r="N8" s="1" t="n">
        <f aca="false"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>5</v>
      </c>
      <c r="O8" s="1" t="n">
        <f aca="false">IF(AND(D8&gt;0,F8="أحد الشركاء"),COUNTIFS($D$4:D8,"&gt;"&amp;0,$F$4:F8,"أحد الشركاء"),"")</f>
        <v>2</v>
      </c>
    </row>
    <row r="9" customFormat="false" ht="18.75" hidden="false" customHeight="true" outlineLevel="0" collapsed="false">
      <c r="A9" s="67" t="n">
        <v>46134</v>
      </c>
      <c r="B9" s="68"/>
      <c r="C9" s="69" t="s">
        <v>59</v>
      </c>
      <c r="D9" s="70" t="n">
        <v>20</v>
      </c>
      <c r="E9" s="71"/>
      <c r="F9" s="72" t="s">
        <v>52</v>
      </c>
      <c r="G9" s="73" t="s">
        <v>53</v>
      </c>
      <c r="H9" s="74" t="s">
        <v>54</v>
      </c>
      <c r="I9" s="75" t="s">
        <v>58</v>
      </c>
      <c r="J9" s="76" t="n">
        <f aca="false">IF(AND(D9="",E9="",A9="",B9="",C9=""),"", IFERROR(IF(J8="",D2,J8),D2)+IF(E9="",0,E9)-IF(OR(G9="أبو اسحاق",G9="أبو آدم",G9="أبو اسحاق ",G9="أبو آدم "),0,IF(D9="",0,D9)))</f>
        <v>-89.5</v>
      </c>
      <c r="K9" s="77"/>
      <c r="L9" s="1" t="str">
        <f aca="false">IF(E9&gt;0,COUNTIF($E$4:E9,"&gt;0"),"")</f>
        <v/>
      </c>
      <c r="M9" s="1" t="str">
        <f aca="false">IF(AND(D9&gt;0,G9="المحفظة"),COUNTIFS($D$4:D9,"&gt;"&amp;0,$G$4:G9,"المحفظة"),"")</f>
        <v/>
      </c>
      <c r="N9" s="1" t="n">
        <f aca="false"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>6</v>
      </c>
      <c r="O9" s="1" t="n">
        <f aca="false">IF(AND(D9&gt;0,F9="أحد الشركاء"),COUNTIFS($D$4:D9,"&gt;"&amp;0,$F$4:F9,"أحد الشركاء"),"")</f>
        <v>3</v>
      </c>
    </row>
    <row r="10" customFormat="false" ht="18.75" hidden="false" customHeight="true" outlineLevel="0" collapsed="false">
      <c r="A10" s="56" t="n">
        <v>46134</v>
      </c>
      <c r="B10" s="57" t="s">
        <v>60</v>
      </c>
      <c r="C10" s="58" t="s">
        <v>61</v>
      </c>
      <c r="D10" s="59" t="n">
        <v>3</v>
      </c>
      <c r="E10" s="60"/>
      <c r="F10" s="61" t="s">
        <v>42</v>
      </c>
      <c r="G10" s="62" t="s">
        <v>43</v>
      </c>
      <c r="H10" s="63" t="s">
        <v>44</v>
      </c>
      <c r="I10" s="64" t="s">
        <v>50</v>
      </c>
      <c r="J10" s="65" t="n">
        <f aca="false">IF(AND(D10="",E10="",A10="",B10="",C10=""),"", IFERROR(IF(J9="",D2,J9),D2)+IF(E10="",0,E10)-IF(OR(G10="أبو اسحاق",G10="أبو آدم",G10="أبو اسحاق ",G10="أبو آدم "),0,IF(D10="",0,D10)))</f>
        <v>-92.5</v>
      </c>
      <c r="K10" s="66" t="s">
        <v>62</v>
      </c>
      <c r="L10" s="1" t="str">
        <f aca="false">IF(E10&gt;0,COUNTIF($E$4:E10,"&gt;0"),"")</f>
        <v/>
      </c>
      <c r="M10" s="1" t="n">
        <f aca="false">IF(AND(D10&gt;0,G10="المحفظة"),COUNTIFS($D$4:D10,"&gt;"&amp;0,$G$4:G10,"المحفظة"),"")</f>
        <v>3</v>
      </c>
      <c r="N10" s="1" t="n">
        <f aca="false"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>7</v>
      </c>
      <c r="O10" s="1" t="str">
        <f aca="false">IF(AND(D10&gt;0,F10="أحد الشركاء"),COUNTIFS($D$4:D10,"&gt;"&amp;0,$F$4:F10,"أحد الشركاء"),"")</f>
        <v/>
      </c>
    </row>
    <row r="11" customFormat="false" ht="18.75" hidden="false" customHeight="true" outlineLevel="0" collapsed="false">
      <c r="A11" s="67" t="n">
        <v>46134</v>
      </c>
      <c r="B11" s="68" t="s">
        <v>48</v>
      </c>
      <c r="C11" s="69" t="s">
        <v>63</v>
      </c>
      <c r="D11" s="70" t="n">
        <v>190</v>
      </c>
      <c r="E11" s="71"/>
      <c r="F11" s="72" t="s">
        <v>52</v>
      </c>
      <c r="G11" s="73" t="s">
        <v>64</v>
      </c>
      <c r="H11" s="74" t="s">
        <v>54</v>
      </c>
      <c r="I11" s="75" t="s">
        <v>65</v>
      </c>
      <c r="J11" s="76" t="n">
        <f aca="false">IF(AND(D11="",E11="",A11="",B11="",C11=""),"", IFERROR(IF(J10="",D2,J10),D2)+IF(E11="",0,E11)-IF(OR(G11="أبو اسحاق",G11="أبو آدم",G11="أبو اسحاق ",G11="أبو آدم "),0,IF(D11="",0,D11)))</f>
        <v>-92.5</v>
      </c>
      <c r="K11" s="77"/>
      <c r="L11" s="1" t="str">
        <f aca="false">IF(E11&gt;0,COUNTIF($E$4:E11,"&gt;0"),"")</f>
        <v/>
      </c>
      <c r="M11" s="1" t="str">
        <f aca="false">IF(AND(D11&gt;0,G11="المحفظة"),COUNTIFS($D$4:D11,"&gt;"&amp;0,$G$4:G11,"المحفظة"),"")</f>
        <v/>
      </c>
      <c r="N11" s="1" t="n">
        <f aca="false"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>8</v>
      </c>
      <c r="O11" s="1" t="n">
        <f aca="false">IF(AND(D11&gt;0,F11="أحد الشركاء"),COUNTIFS($D$4:D11,"&gt;"&amp;0,$F$4:F11,"أحد الشركاء"),"")</f>
        <v>4</v>
      </c>
    </row>
    <row r="12" customFormat="false" ht="18.75" hidden="false" customHeight="true" outlineLevel="0" collapsed="false">
      <c r="A12" s="56" t="n">
        <v>46142</v>
      </c>
      <c r="B12" s="57"/>
      <c r="C12" s="58" t="s">
        <v>66</v>
      </c>
      <c r="D12" s="59"/>
      <c r="E12" s="60" t="n">
        <v>181</v>
      </c>
      <c r="F12" s="61"/>
      <c r="G12" s="62"/>
      <c r="H12" s="63"/>
      <c r="I12" s="64"/>
      <c r="J12" s="65" t="n">
        <f aca="false">IF(AND(D12="",E12="",A12="",B12="",C12=""),"", IFERROR(IF(J11="",D2,J11),D2)+IF(E12="",0,E12)-IF(OR(G12="أبو اسحاق",G12="أبو آدم",G12="أبو اسحاق ",G12="أبو آدم "),0,IF(D12="",0,D12)))</f>
        <v>88.5</v>
      </c>
      <c r="K12" s="66"/>
      <c r="L12" s="1" t="n">
        <f aca="false">IF(E12&gt;0,COUNTIF($E$4:E12,"&gt;0"),"")</f>
        <v>2</v>
      </c>
      <c r="M12" s="1" t="str">
        <f aca="false">IF(AND(D12&gt;0,G12="المحفظة"),COUNTIFS($D$4:D12,"&gt;"&amp;0,$G$4:G12,"المحفظة"),"")</f>
        <v/>
      </c>
      <c r="N12" s="1" t="n">
        <f aca="false"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>9</v>
      </c>
      <c r="O12" s="1" t="str">
        <f aca="false">IF(AND(D12&gt;0,F12="أحد الشركاء"),COUNTIFS($D$4:D12,"&gt;"&amp;0,$F$4:F12,"أحد الشركاء"),"")</f>
        <v/>
      </c>
    </row>
    <row r="13" customFormat="false" ht="18.75" hidden="false" customHeight="true" outlineLevel="0" collapsed="false">
      <c r="A13" s="56" t="n">
        <v>46142</v>
      </c>
      <c r="B13" s="68" t="n">
        <v>40505</v>
      </c>
      <c r="C13" s="69" t="s">
        <v>67</v>
      </c>
      <c r="D13" s="70" t="n">
        <v>40</v>
      </c>
      <c r="E13" s="71"/>
      <c r="F13" s="72" t="s">
        <v>42</v>
      </c>
      <c r="G13" s="73" t="s">
        <v>43</v>
      </c>
      <c r="H13" s="74" t="s">
        <v>44</v>
      </c>
      <c r="I13" s="75" t="s">
        <v>65</v>
      </c>
      <c r="J13" s="76" t="n">
        <f aca="false">IF(AND(D13="",E13="",A13="",B13="",C13=""),"", IFERROR(IF(J12="",D2,J12),D2)+IF(E13="",0,E13)-IF(OR(G13="أبو اسحاق",G13="أبو آدم",G13="أبو اسحاق ",G13="أبو آدم "),0,IF(D13="",0,D13)))</f>
        <v>48.5</v>
      </c>
      <c r="K13" s="77"/>
      <c r="L13" s="1" t="str">
        <f aca="false">IF(E13&gt;0,COUNTIF($E$4:E13,"&gt;0"),"")</f>
        <v/>
      </c>
      <c r="M13" s="1" t="n">
        <f aca="false">IF(AND(D13&gt;0,G13="المحفظة"),COUNTIFS($D$4:D13,"&gt;"&amp;0,$G$4:G13,"المحفظة"),"")</f>
        <v>4</v>
      </c>
      <c r="N13" s="1" t="n">
        <f aca="false"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>10</v>
      </c>
      <c r="O13" s="1" t="str">
        <f aca="false">IF(AND(D13&gt;0,F13="أحد الشركاء"),COUNTIFS($D$4:D13,"&gt;"&amp;0,$F$4:F13,"أحد الشركاء"),"")</f>
        <v/>
      </c>
    </row>
    <row r="14" customFormat="false" ht="18.75" hidden="false" customHeight="true" outlineLevel="0" collapsed="false">
      <c r="A14" s="56" t="n">
        <v>46142</v>
      </c>
      <c r="B14" s="57" t="n">
        <v>5370</v>
      </c>
      <c r="C14" s="58" t="s">
        <v>68</v>
      </c>
      <c r="D14" s="59" t="n">
        <v>3</v>
      </c>
      <c r="E14" s="60"/>
      <c r="F14" s="61" t="s">
        <v>42</v>
      </c>
      <c r="G14" s="62" t="s">
        <v>43</v>
      </c>
      <c r="H14" s="63" t="s">
        <v>44</v>
      </c>
      <c r="I14" s="64" t="s">
        <v>45</v>
      </c>
      <c r="J14" s="65" t="n">
        <f aca="false">IF(AND(D14="",E14="",A14="",B14="",C14=""),"", IFERROR(IF(J13="",D2,J13),D2)+IF(E14="",0,E14)-IF(OR(G14="أبو اسحاق",G14="أبو آدم",G14="أبو اسحاق ",G14="أبو آدم "),0,IF(D14="",0,D14)))</f>
        <v>45.5</v>
      </c>
      <c r="K14" s="66"/>
      <c r="L14" s="1" t="str">
        <f aca="false">IF(E14&gt;0,COUNTIF($E$4:E14,"&gt;0"),"")</f>
        <v/>
      </c>
      <c r="M14" s="1" t="n">
        <f aca="false">IF(AND(D14&gt;0,G14="المحفظة"),COUNTIFS($D$4:D14,"&gt;"&amp;0,$G$4:G14,"المحفظة"),"")</f>
        <v>5</v>
      </c>
      <c r="N14" s="1" t="n">
        <f aca="false"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>11</v>
      </c>
      <c r="O14" s="1" t="str">
        <f aca="false">IF(AND(D14&gt;0,F14="أحد الشركاء"),COUNTIFS($D$4:D14,"&gt;"&amp;0,$F$4:F14,"أحد الشركاء"),"")</f>
        <v/>
      </c>
    </row>
    <row r="15" customFormat="false" ht="18.75" hidden="false" customHeight="true" outlineLevel="0" collapsed="false">
      <c r="A15" s="78" t="n">
        <v>46142</v>
      </c>
      <c r="B15" s="57"/>
      <c r="C15" s="58" t="s">
        <v>69</v>
      </c>
      <c r="D15" s="59" t="n">
        <v>5</v>
      </c>
      <c r="E15" s="60"/>
      <c r="F15" s="61" t="s">
        <v>42</v>
      </c>
      <c r="G15" s="62" t="s">
        <v>43</v>
      </c>
      <c r="H15" s="63" t="s">
        <v>44</v>
      </c>
      <c r="I15" s="64" t="s">
        <v>70</v>
      </c>
      <c r="J15" s="65"/>
      <c r="K15" s="66"/>
      <c r="L15" s="1" t="str">
        <f aca="false">IF(E15&gt;0,COUNTIF($E$4:E15,"&gt;0"),"")</f>
        <v/>
      </c>
      <c r="N15" s="1" t="n">
        <f aca="false"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>12</v>
      </c>
    </row>
    <row r="16" customFormat="false" ht="18.75" hidden="false" customHeight="true" outlineLevel="0" collapsed="false">
      <c r="A16" s="67" t="n">
        <v>46151</v>
      </c>
      <c r="B16" s="68" t="s">
        <v>71</v>
      </c>
      <c r="C16" s="69" t="s">
        <v>72</v>
      </c>
      <c r="D16" s="70"/>
      <c r="E16" s="71" t="n">
        <v>15.75</v>
      </c>
      <c r="F16" s="72" t="s">
        <v>42</v>
      </c>
      <c r="G16" s="73"/>
      <c r="H16" s="74" t="s">
        <v>44</v>
      </c>
      <c r="I16" s="75"/>
      <c r="J16" s="76" t="n">
        <f aca="false">IF(AND(D16="",E16="",A16="",B16="",C16=""),"", IFERROR(IF(J15="",D2,J15),D2)+IF(E16="",0,E16)-IF(OR(G16="أبو اسحاق",G16="أبو آدم",G16="أبو اسحاق ",G16="أبو آدم "),0,IF(D16="",0,D16)))</f>
        <v>15.75</v>
      </c>
      <c r="K16" s="77"/>
      <c r="L16" s="1" t="str">
        <f aca="false">IF(E15&gt;0,COUNTIF($E$4:E15,"&gt;0"),"")</f>
        <v/>
      </c>
      <c r="M16" s="1" t="n">
        <f aca="false">IF(AND(D15&gt;0,G15="المحفظة"),COUNTIFS($D$4:D15,"&gt;"&amp;0,$G$4:G15,"المحفظة"),"")</f>
        <v>6</v>
      </c>
      <c r="N16" s="1" t="n">
        <f aca="false"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>13</v>
      </c>
      <c r="O16" s="1" t="str">
        <f aca="false">IF(AND(D15&gt;0,F15="أحد الشركاء"),COUNTIFS($D$4:D15,"&gt;"&amp;0,$F$4:F15,"أحد الشركاء"),"")</f>
        <v/>
      </c>
    </row>
    <row r="17" customFormat="false" ht="18.75" hidden="false" customHeight="true" outlineLevel="0" collapsed="false">
      <c r="A17" s="67" t="n">
        <v>46151</v>
      </c>
      <c r="B17" s="68" t="s">
        <v>73</v>
      </c>
      <c r="C17" s="58" t="s">
        <v>74</v>
      </c>
      <c r="D17" s="59"/>
      <c r="E17" s="60" t="n">
        <v>12.5</v>
      </c>
      <c r="F17" s="61" t="s">
        <v>42</v>
      </c>
      <c r="G17" s="62" t="s">
        <v>43</v>
      </c>
      <c r="H17" s="63" t="s">
        <v>44</v>
      </c>
      <c r="I17" s="64"/>
      <c r="J17" s="65" t="n">
        <f aca="false">IF(AND(D17="",E17="",A17="",B17="",C17=""),"", IFERROR(IF(J16="",D2,J16),D2)+IF(E17="",0,E17)-IF(OR(G17="أبو اسحاق",G17="أبو آدم",G17="أبو اسحاق ",G17="أبو آدم "),0,IF(D17="",0,D17)))</f>
        <v>28.25</v>
      </c>
      <c r="K17" s="66"/>
      <c r="L17" s="1" t="n">
        <f aca="false">IF(E16&gt;0,COUNTIF($E$4:E16,"&gt;0"),"")</f>
        <v>3</v>
      </c>
      <c r="M17" s="1" t="str">
        <f aca="false">IF(AND(D16&gt;0,G16="المحفظة"),COUNTIFS($D$4:D16,"&gt;"&amp;0,$G$4:G16,"المحفظة"),"")</f>
        <v/>
      </c>
      <c r="N17" s="1" t="n">
        <f aca="false"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>14</v>
      </c>
      <c r="O17" s="1" t="str">
        <f aca="false">IF(AND(D16&gt;0,F16="أحد الشركاء"),COUNTIFS($D$4:D16,"&gt;"&amp;0,$F$4:F16,"أحد الشركاء"),"")</f>
        <v/>
      </c>
    </row>
    <row r="18" customFormat="false" ht="18.75" hidden="false" customHeight="true" outlineLevel="0" collapsed="false">
      <c r="A18" s="67" t="n">
        <v>46151</v>
      </c>
      <c r="B18" s="68" t="n">
        <v>18213</v>
      </c>
      <c r="C18" s="69" t="s">
        <v>75</v>
      </c>
      <c r="D18" s="70" t="n">
        <v>9</v>
      </c>
      <c r="E18" s="71"/>
      <c r="F18" s="72" t="s">
        <v>52</v>
      </c>
      <c r="G18" s="73" t="s">
        <v>53</v>
      </c>
      <c r="H18" s="74" t="s">
        <v>54</v>
      </c>
      <c r="I18" s="75" t="s">
        <v>50</v>
      </c>
      <c r="J18" s="76" t="n">
        <f aca="false">IF(AND(D18="",E18="",A18="",B18="",C18=""),"", IFERROR(IF(J17="",D2,J17),D2)+IF(E18="",0,E18)-IF(OR(G18="أبو اسحاق",G18="أبو آدم",G18="أبو اسحاق ",G18="أبو آدم "),0,IF(D18="",0,D18)))</f>
        <v>28.25</v>
      </c>
      <c r="K18" s="77"/>
      <c r="L18" s="1" t="n">
        <f aca="false">IF(E17&gt;0,COUNTIF($E$4:E17,"&gt;0"),"")</f>
        <v>4</v>
      </c>
      <c r="M18" s="1" t="str">
        <f aca="false">IF(AND(D17&gt;0,G17="المحفظة"),COUNTIFS($D$4:D17,"&gt;"&amp;0,$G$4:G17,"المحفظة"),"")</f>
        <v/>
      </c>
      <c r="N18" s="1" t="n">
        <f aca="false"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>15</v>
      </c>
      <c r="O18" s="1" t="str">
        <f aca="false">IF(AND(D17&gt;0,F17="أحد الشركاء"),COUNTIFS($D$4:D17,"&gt;"&amp;0,$F$4:F17,"أحد الشركاء"),"")</f>
        <v/>
      </c>
    </row>
    <row r="19" customFormat="false" ht="18.75" hidden="false" customHeight="true" outlineLevel="0" collapsed="false">
      <c r="A19" s="56" t="n">
        <v>46152</v>
      </c>
      <c r="B19" s="57" t="s">
        <v>76</v>
      </c>
      <c r="C19" s="58" t="s">
        <v>77</v>
      </c>
      <c r="D19" s="59"/>
      <c r="E19" s="60" t="n">
        <v>2.25</v>
      </c>
      <c r="F19" s="61" t="s">
        <v>42</v>
      </c>
      <c r="G19" s="62"/>
      <c r="H19" s="63"/>
      <c r="I19" s="64"/>
      <c r="J19" s="65" t="n">
        <f aca="false">IF(AND(D19="",E19="",A19="",B19="",C19=""),"", IFERROR(IF(J18="",D2,J18),D2)+IF(E19="",0,E19)-IF(OR(G19="أبو اسحاق",G19="أبو آدم",G19="أبو اسحاق ",G19="أبو آدم "),0,IF(D19="",0,D19)))</f>
        <v>30.5</v>
      </c>
      <c r="K19" s="66"/>
      <c r="L19" s="1" t="str">
        <f aca="false">IF(E18&gt;0,COUNTIF($E$4:E18,"&gt;0"),"")</f>
        <v/>
      </c>
      <c r="M19" s="1" t="str">
        <f aca="false">IF(AND(D18&gt;0,G18="المحفظة"),COUNTIFS($D$4:D18,"&gt;"&amp;0,$G$4:G18,"المحفظة"),"")</f>
        <v/>
      </c>
      <c r="N19" s="1" t="n">
        <f aca="false"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>16</v>
      </c>
      <c r="O19" s="1" t="n">
        <f aca="false">IF(AND(D18&gt;0,F18="أحد الشركاء"),COUNTIFS($D$4:D18,"&gt;"&amp;0,$F$4:F18,"أحد الشركاء"),"")</f>
        <v>5</v>
      </c>
    </row>
    <row r="20" customFormat="false" ht="18.75" hidden="false" customHeight="true" outlineLevel="0" collapsed="false">
      <c r="A20" s="67" t="n">
        <v>46155</v>
      </c>
      <c r="B20" s="68" t="s">
        <v>78</v>
      </c>
      <c r="C20" s="69" t="s">
        <v>79</v>
      </c>
      <c r="D20" s="70"/>
      <c r="E20" s="71" t="n">
        <v>7.5</v>
      </c>
      <c r="F20" s="72" t="s">
        <v>42</v>
      </c>
      <c r="G20" s="73"/>
      <c r="H20" s="74"/>
      <c r="I20" s="75"/>
      <c r="J20" s="76" t="n">
        <f aca="false">IF(AND(D20="",E20="",A20="",B20="",C20=""),"", IFERROR(IF(J19="",D2,J19),D2)+IF(E20="",0,E20)-IF(OR(G20="أبو اسحاق",G20="أبو آدم",G20="أبو اسحاق ",G20="أبو آدم "),0,IF(D20="",0,D20)))</f>
        <v>38</v>
      </c>
      <c r="K20" s="77"/>
      <c r="L20" s="1" t="n">
        <f aca="false">IF(E19&gt;0,COUNTIF($E$4:E19,"&gt;0"),"")</f>
        <v>5</v>
      </c>
      <c r="M20" s="1" t="str">
        <f aca="false">IF(AND(D19&gt;0,G19="المحفظة"),COUNTIFS($D$4:D19,"&gt;"&amp;0,$G$4:G19,"المحفظة"),"")</f>
        <v/>
      </c>
      <c r="N20" s="1" t="n">
        <f aca="false"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>17</v>
      </c>
      <c r="O20" s="1" t="str">
        <f aca="false">IF(AND(D19&gt;0,F19="أحد الشركاء"),COUNTIFS($D$4:D19,"&gt;"&amp;0,$F$4:F19,"أحد الشركاء"),"")</f>
        <v/>
      </c>
    </row>
    <row r="21" customFormat="false" ht="18.75" hidden="false" customHeight="true" outlineLevel="0" collapsed="false">
      <c r="A21" s="67" t="n">
        <v>46155</v>
      </c>
      <c r="B21" s="57" t="s">
        <v>80</v>
      </c>
      <c r="C21" s="58" t="s">
        <v>81</v>
      </c>
      <c r="D21" s="59"/>
      <c r="E21" s="60" t="n">
        <v>6</v>
      </c>
      <c r="F21" s="61" t="s">
        <v>42</v>
      </c>
      <c r="G21" s="62"/>
      <c r="H21" s="63"/>
      <c r="I21" s="64"/>
      <c r="J21" s="65" t="n">
        <f aca="false">IF(AND(D21="",E21="",A21="",B21="",C21=""),"", IFERROR(IF(J20="",D2,J20),D2)+IF(E21="",0,E21)-IF(OR(G21="أبو اسحاق",G21="أبو آدم",G21="أبو اسحاق ",G21="أبو آدم "),0,IF(D21="",0,D21)))</f>
        <v>44</v>
      </c>
      <c r="K21" s="66"/>
      <c r="L21" s="1" t="n">
        <f aca="false">IF(E20&gt;0,COUNTIF($E$4:E20,"&gt;0"),"")</f>
        <v>6</v>
      </c>
      <c r="M21" s="1" t="str">
        <f aca="false">IF(AND(D20&gt;0,G20="المحفظة"),COUNTIFS($D$4:D20,"&gt;"&amp;0,$G$4:G20,"المحفظة"),"")</f>
        <v/>
      </c>
      <c r="N21" s="1" t="n">
        <f aca="false"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>18</v>
      </c>
      <c r="O21" s="1" t="str">
        <f aca="false">IF(AND(D20&gt;0,F20="أحد الشركاء"),COUNTIFS($D$4:D20,"&gt;"&amp;0,$F$4:F20,"أحد الشركاء"),"")</f>
        <v/>
      </c>
    </row>
    <row r="22" customFormat="false" ht="18.75" hidden="false" customHeight="true" outlineLevel="0" collapsed="false">
      <c r="A22" s="67" t="n">
        <v>46156</v>
      </c>
      <c r="B22" s="68" t="s">
        <v>82</v>
      </c>
      <c r="C22" s="69" t="s">
        <v>83</v>
      </c>
      <c r="D22" s="70"/>
      <c r="E22" s="71" t="n">
        <v>8</v>
      </c>
      <c r="F22" s="72" t="s">
        <v>42</v>
      </c>
      <c r="G22" s="73"/>
      <c r="H22" s="74"/>
      <c r="I22" s="75"/>
      <c r="J22" s="76" t="n">
        <f aca="false">IF(AND(D22="",E22="",A22="",B22="",C22=""),"", IFERROR(IF(J21="",D2,J21),D2)+IF(E22="",0,E22)-IF(OR(G22="أبو اسحاق",G22="أبو آدم",G22="أبو اسحاق ",G22="أبو آدم "),0,IF(D22="",0,D22)))</f>
        <v>52</v>
      </c>
      <c r="K22" s="77"/>
      <c r="L22" s="1" t="n">
        <f aca="false">IF(E21&gt;0,COUNTIF($E$4:E21,"&gt;0"),"")</f>
        <v>7</v>
      </c>
      <c r="M22" s="1" t="str">
        <f aca="false">IF(AND(D21&gt;0,G21="المحفظة"),COUNTIFS($D$4:D21,"&gt;"&amp;0,$G$4:G21,"المحفظة"),"")</f>
        <v/>
      </c>
      <c r="N22" s="1" t="n">
        <f aca="false"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>19</v>
      </c>
      <c r="O22" s="1" t="str">
        <f aca="false">IF(AND(D21&gt;0,F21="أحد الشركاء"),COUNTIFS($D$4:D21,"&gt;"&amp;0,$F$4:F21,"أحد الشركاء"),"")</f>
        <v/>
      </c>
    </row>
    <row r="23" customFormat="false" ht="18.75" hidden="false" customHeight="true" outlineLevel="0" collapsed="false">
      <c r="A23" s="56" t="n">
        <v>46158</v>
      </c>
      <c r="B23" s="57" t="s">
        <v>84</v>
      </c>
      <c r="C23" s="58" t="s">
        <v>85</v>
      </c>
      <c r="D23" s="59"/>
      <c r="E23" s="60" t="n">
        <v>1.5</v>
      </c>
      <c r="F23" s="61" t="s">
        <v>42</v>
      </c>
      <c r="G23" s="62"/>
      <c r="H23" s="63"/>
      <c r="I23" s="64"/>
      <c r="J23" s="65" t="n">
        <f aca="false">IF(AND(D23="",E23="",A23="",B23="",C23=""),"", IFERROR(IF(J22="",D2,J22),D2)+IF(E23="",0,E23)-IF(OR(G23="أبو اسحاق",G23="أبو آدم",G23="أبو اسحاق ",G23="أبو آدم "),0,IF(D23="",0,D23)))</f>
        <v>53.5</v>
      </c>
      <c r="K23" s="66"/>
      <c r="L23" s="1" t="n">
        <f aca="false">IF(E22&gt;0,COUNTIF($E$4:E22,"&gt;0"),"")</f>
        <v>8</v>
      </c>
      <c r="M23" s="1" t="str">
        <f aca="false">IF(AND(D22&gt;0,G22="المحفظة"),COUNTIFS($D$4:D22,"&gt;"&amp;0,$G$4:G22,"المحفظة"),"")</f>
        <v/>
      </c>
      <c r="N23" s="1" t="n">
        <f aca="false"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>20</v>
      </c>
      <c r="O23" s="1" t="str">
        <f aca="false">IF(AND(D22&gt;0,F22="أحد الشركاء"),COUNTIFS($D$4:D22,"&gt;"&amp;0,$F$4:F22,"أحد الشركاء"),"")</f>
        <v/>
      </c>
    </row>
    <row r="24" customFormat="false" ht="18.75" hidden="false" customHeight="true" outlineLevel="0" collapsed="false">
      <c r="A24" s="56" t="n">
        <v>46158</v>
      </c>
      <c r="B24" s="68" t="s">
        <v>86</v>
      </c>
      <c r="C24" s="69" t="s">
        <v>87</v>
      </c>
      <c r="D24" s="70"/>
      <c r="E24" s="71" t="n">
        <v>2.25</v>
      </c>
      <c r="F24" s="72" t="s">
        <v>42</v>
      </c>
      <c r="G24" s="73"/>
      <c r="H24" s="74"/>
      <c r="I24" s="75"/>
      <c r="J24" s="76" t="n">
        <f aca="false">IF(AND(D24="",E24="",A24="",B24="",C24=""),"", IFERROR(IF(J23="",D2,J23),D2)+IF(E24="",0,E24)-IF(OR(G24="أبو اسحاق",G24="أبو آدم",G24="أبو اسحاق ",G24="أبو آدم "),0,IF(D24="",0,D24)))</f>
        <v>55.75</v>
      </c>
      <c r="K24" s="77"/>
      <c r="L24" s="1" t="n">
        <f aca="false">IF(E23&gt;0,COUNTIF($E$4:E23,"&gt;0"),"")</f>
        <v>9</v>
      </c>
      <c r="M24" s="1" t="str">
        <f aca="false">IF(AND(D23&gt;0,G23="المحفظة"),COUNTIFS($D$4:D23,"&gt;"&amp;0,$G$4:G23,"المحفظة"),"")</f>
        <v/>
      </c>
      <c r="N24" s="1" t="n">
        <f aca="false"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>21</v>
      </c>
      <c r="O24" s="1" t="str">
        <f aca="false">IF(AND(D23&gt;0,F23="أحد الشركاء"),COUNTIFS($D$4:D23,"&gt;"&amp;0,$F$4:F23,"أحد الشركاء"),"")</f>
        <v/>
      </c>
    </row>
    <row r="25" customFormat="false" ht="18.75" hidden="false" customHeight="true" outlineLevel="0" collapsed="false">
      <c r="A25" s="56" t="n">
        <v>46158</v>
      </c>
      <c r="B25" s="57" t="s">
        <v>88</v>
      </c>
      <c r="C25" s="58" t="s">
        <v>89</v>
      </c>
      <c r="D25" s="59"/>
      <c r="E25" s="60" t="n">
        <v>2.5</v>
      </c>
      <c r="F25" s="61" t="s">
        <v>42</v>
      </c>
      <c r="G25" s="62"/>
      <c r="H25" s="63"/>
      <c r="I25" s="64"/>
      <c r="J25" s="65" t="n">
        <f aca="false">IF(AND(D25="",E25="",A25="",B25="",C25=""),"", IFERROR(IF(J24="",D2,J24),D2)+IF(E25="",0,E25)-IF(OR(G25="أبو اسحاق",G25="أبو آدم",G25="أبو اسحاق ",G25="أبو آدم "),0,IF(D25="",0,D25)))</f>
        <v>58.25</v>
      </c>
      <c r="K25" s="66"/>
      <c r="L25" s="1" t="n">
        <f aca="false">IF(E24&gt;0,COUNTIF($E$4:E24,"&gt;0"),"")</f>
        <v>10</v>
      </c>
      <c r="M25" s="1" t="str">
        <f aca="false">IF(AND(D24&gt;0,G24="المحفظة"),COUNTIFS($D$4:D24,"&gt;"&amp;0,$G$4:G24,"المحفظة"),"")</f>
        <v/>
      </c>
      <c r="N25" s="1" t="n">
        <f aca="false"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>22</v>
      </c>
      <c r="O25" s="1" t="str">
        <f aca="false">IF(AND(D24&gt;0,F24="أحد الشركاء"),COUNTIFS($D$4:D24,"&gt;"&amp;0,$F$4:F24,"أحد الشركاء"),"")</f>
        <v/>
      </c>
    </row>
    <row r="26" customFormat="false" ht="18.75" hidden="false" customHeight="true" outlineLevel="0" collapsed="false">
      <c r="A26" s="67" t="n">
        <v>46159</v>
      </c>
      <c r="B26" s="68" t="s">
        <v>90</v>
      </c>
      <c r="C26" s="69" t="s">
        <v>91</v>
      </c>
      <c r="D26" s="70"/>
      <c r="E26" s="71" t="n">
        <v>22.5</v>
      </c>
      <c r="F26" s="72" t="s">
        <v>42</v>
      </c>
      <c r="G26" s="73"/>
      <c r="H26" s="74"/>
      <c r="I26" s="75"/>
      <c r="J26" s="76" t="n">
        <f aca="false">IF(AND(D26="",E26="",A26="",B26="",C26=""),"", IFERROR(IF(J25="",D2,J25),D2)+IF(E26="",0,E26)-IF(OR(G26="أبو اسحاق",G26="أبو آدم",G26="أبو اسحاق ",G26="أبو آدم "),0,IF(D26="",0,D26)))</f>
        <v>80.75</v>
      </c>
      <c r="K26" s="77" t="s">
        <v>92</v>
      </c>
      <c r="L26" s="1" t="n">
        <f aca="false">IF(E25&gt;0,COUNTIF($E$4:E25,"&gt;0"),"")</f>
        <v>11</v>
      </c>
      <c r="M26" s="1" t="str">
        <f aca="false">IF(AND(D25&gt;0,G25="المحفظة"),COUNTIFS($D$4:D25,"&gt;"&amp;0,$G$4:G25,"المحفظة"),"")</f>
        <v/>
      </c>
      <c r="N26" s="1" t="n">
        <f aca="false"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>23</v>
      </c>
      <c r="O26" s="1" t="str">
        <f aca="false">IF(AND(D25&gt;0,F25="أحد الشركاء"),COUNTIFS($D$4:D25,"&gt;"&amp;0,$F$4:F25,"أحد الشركاء"),"")</f>
        <v/>
      </c>
    </row>
    <row r="27" customFormat="false" ht="18.75" hidden="false" customHeight="true" outlineLevel="0" collapsed="false">
      <c r="A27" s="67" t="n">
        <v>46159</v>
      </c>
      <c r="B27" s="57" t="s">
        <v>93</v>
      </c>
      <c r="C27" s="58" t="s">
        <v>94</v>
      </c>
      <c r="D27" s="59"/>
      <c r="E27" s="60" t="n">
        <v>8</v>
      </c>
      <c r="F27" s="61" t="s">
        <v>42</v>
      </c>
      <c r="G27" s="62"/>
      <c r="H27" s="63"/>
      <c r="I27" s="64"/>
      <c r="J27" s="65" t="n">
        <f aca="false">IF(AND(D27="",E27="",A27="",B27="",C27=""),"", IFERROR(IF(J26="",D2,J26),D2)+IF(E27="",0,E27)-IF(OR(G27="أبو اسحاق",G27="أبو آدم",G27="أبو اسحاق ",G27="أبو آدم "),0,IF(D27="",0,D27)))</f>
        <v>88.75</v>
      </c>
      <c r="K27" s="66"/>
      <c r="L27" s="1" t="n">
        <f aca="false">IF(E26&gt;0,COUNTIF($E$4:E26,"&gt;0"),"")</f>
        <v>12</v>
      </c>
      <c r="M27" s="1" t="str">
        <f aca="false">IF(AND(D26&gt;0,G26="المحفظة"),COUNTIFS($D$4:D26,"&gt;"&amp;0,$G$4:G26,"المحفظة"),"")</f>
        <v/>
      </c>
      <c r="N27" s="1" t="n">
        <f aca="false"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>24</v>
      </c>
      <c r="O27" s="1" t="str">
        <f aca="false">IF(AND(D26&gt;0,F26="أحد الشركاء"),COUNTIFS($D$4:D26,"&gt;"&amp;0,$F$4:F26,"أحد الشركاء"),"")</f>
        <v/>
      </c>
    </row>
    <row r="28" customFormat="false" ht="18.75" hidden="false" customHeight="true" outlineLevel="0" collapsed="false">
      <c r="A28" s="67" t="n">
        <v>46160</v>
      </c>
      <c r="B28" s="57" t="s">
        <v>95</v>
      </c>
      <c r="C28" s="58" t="s">
        <v>96</v>
      </c>
      <c r="D28" s="59"/>
      <c r="E28" s="60" t="n">
        <v>7.5</v>
      </c>
      <c r="F28" s="61" t="s">
        <v>42</v>
      </c>
      <c r="G28" s="62"/>
      <c r="H28" s="63"/>
      <c r="I28" s="64"/>
      <c r="J28" s="65" t="n">
        <f aca="false">IF(AND(D28="",E28="",A28="",B28="",C28=""),"", IFERROR(IF(J27="",D2,J27),D2)+IF(E28="",0,E28)-IF(OR(G28="أبو اسحاق",G28="أبو آدم",G28="أبو اسحاق ",G28="أبو آدم "),0,IF(D28="",0,D28)))</f>
        <v>96.25</v>
      </c>
      <c r="K28" s="66"/>
      <c r="L28" s="1" t="n">
        <f aca="false">IF(E27&gt;0,COUNTIF($E$4:E27,"&gt;0"),"")</f>
        <v>13</v>
      </c>
      <c r="M28" s="1" t="str">
        <f aca="false">IF(AND(D27&gt;0,G27="المحفظة"),COUNTIFS($D$4:D27,"&gt;"&amp;0,$G$4:G27,"المحفظة"),"")</f>
        <v/>
      </c>
      <c r="N28" s="1" t="n">
        <f aca="false"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>25</v>
      </c>
      <c r="O28" s="1" t="str">
        <f aca="false">IF(AND(D27&gt;0,F27="أحد الشركاء"),COUNTIFS($D$4:D27,"&gt;"&amp;0,$F$4:F27,"أحد الشركاء"),"")</f>
        <v/>
      </c>
    </row>
    <row r="29" customFormat="false" ht="18.75" hidden="false" customHeight="true" outlineLevel="0" collapsed="false">
      <c r="A29" s="67" t="n">
        <v>46160</v>
      </c>
      <c r="B29" s="57" t="s">
        <v>97</v>
      </c>
      <c r="C29" s="58" t="s">
        <v>98</v>
      </c>
      <c r="D29" s="59"/>
      <c r="E29" s="60" t="n">
        <v>5</v>
      </c>
      <c r="F29" s="61" t="s">
        <v>42</v>
      </c>
      <c r="G29" s="62"/>
      <c r="H29" s="63"/>
      <c r="I29" s="64"/>
      <c r="J29" s="65" t="n">
        <f aca="false">IF(AND(D29="",E29="",A29="",B29="",C29=""),"", IFERROR(IF(J28="",D2,J28),D2)+IF(E29="",0,E29)-IF(OR(G29="أبو اسحاق",G29="أبو آدم",G29="أبو اسحاق ",G29="أبو آدم "),0,IF(D29="",0,D29)))</f>
        <v>101.25</v>
      </c>
      <c r="K29" s="66"/>
      <c r="L29" s="1" t="n">
        <f aca="false">IF(E28&gt;0,COUNTIF($E$4:E28,"&gt;0"),"")</f>
        <v>14</v>
      </c>
      <c r="M29" s="1" t="str">
        <f aca="false">IF(AND(D28&gt;0,G28="المحفظة"),COUNTIFS($D$4:D28,"&gt;"&amp;0,$G$4:G28,"المحفظة"),"")</f>
        <v/>
      </c>
      <c r="N29" s="1" t="n">
        <f aca="false"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>26</v>
      </c>
      <c r="O29" s="1" t="str">
        <f aca="false">IF(AND(D28&gt;0,F28="أحد الشركاء"),COUNTIFS($D$4:D28,"&gt;"&amp;0,$F$4:F28,"أحد الشركاء"),"")</f>
        <v/>
      </c>
    </row>
    <row r="30" customFormat="false" ht="18.75" hidden="false" customHeight="true" outlineLevel="0" collapsed="false">
      <c r="A30" s="67" t="n">
        <v>46160</v>
      </c>
      <c r="B30" s="57" t="s">
        <v>99</v>
      </c>
      <c r="C30" s="58" t="s">
        <v>100</v>
      </c>
      <c r="D30" s="59"/>
      <c r="E30" s="60" t="n">
        <v>3</v>
      </c>
      <c r="F30" s="61" t="s">
        <v>42</v>
      </c>
      <c r="G30" s="62"/>
      <c r="H30" s="63"/>
      <c r="I30" s="64"/>
      <c r="J30" s="65" t="n">
        <f aca="false">IF(AND(D30="",E30="",A30="",B30="",C30=""),"", IFERROR(IF(J29="",D2,J29),D2)+IF(E30="",0,E30)-IF(OR(G30="أبو اسحاق",G30="أبو آدم",G30="أبو اسحاق ",G30="أبو آدم "),0,IF(D30="",0,D30)))</f>
        <v>104.25</v>
      </c>
      <c r="K30" s="66"/>
      <c r="L30" s="1" t="n">
        <f aca="false">IF(E29&gt;0,COUNTIF($E$4:E29,"&gt;0"),"")</f>
        <v>15</v>
      </c>
      <c r="M30" s="1" t="str">
        <f aca="false">IF(AND(D29&gt;0,G29="المحفظة"),COUNTIFS($D$4:D29,"&gt;"&amp;0,$G$4:G29,"المحفظة"),"")</f>
        <v/>
      </c>
      <c r="N30" s="1" t="n">
        <f aca="false"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>27</v>
      </c>
      <c r="O30" s="1" t="str">
        <f aca="false">IF(AND(D29&gt;0,F29="أحد الشركاء"),COUNTIFS($D$4:D29,"&gt;"&amp;0,$F$4:F29,"أحد الشركاء"),"")</f>
        <v/>
      </c>
    </row>
    <row r="31" customFormat="false" ht="18.75" hidden="false" customHeight="true" outlineLevel="0" collapsed="false">
      <c r="A31" s="67" t="n">
        <v>46160</v>
      </c>
      <c r="B31" s="57" t="s">
        <v>101</v>
      </c>
      <c r="C31" s="58" t="s">
        <v>102</v>
      </c>
      <c r="D31" s="59"/>
      <c r="E31" s="60" t="n">
        <v>3</v>
      </c>
      <c r="F31" s="61" t="s">
        <v>42</v>
      </c>
      <c r="G31" s="62"/>
      <c r="H31" s="63"/>
      <c r="I31" s="64"/>
      <c r="J31" s="65" t="n">
        <f aca="false">IF(AND(D31="",E31="",A31="",B31="",C31=""),"", IFERROR(IF(J30="",D2,J30),D2)+IF(E31="",0,E31)-IF(OR(G31="أبو اسحاق",G31="أبو آدم",G31="أبو اسحاق ",G31="أبو آدم "),0,IF(D31="",0,D31)))</f>
        <v>107.25</v>
      </c>
      <c r="K31" s="66"/>
      <c r="L31" s="1" t="n">
        <f aca="false">IF(E30&gt;0,COUNTIF($E$4:E30,"&gt;0"),"")</f>
        <v>16</v>
      </c>
      <c r="M31" s="1" t="str">
        <f aca="false">IF(AND(D30&gt;0,G30="المحفظة"),COUNTIFS($D$4:D30,"&gt;"&amp;0,$G$4:G30,"المحفظة"),"")</f>
        <v/>
      </c>
      <c r="N31" s="1" t="n">
        <f aca="false"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>28</v>
      </c>
      <c r="O31" s="1" t="str">
        <f aca="false">IF(AND(D30&gt;0,F30="أحد الشركاء"),COUNTIFS($D$4:D30,"&gt;"&amp;0,$F$4:F30,"أحد الشركاء"),"")</f>
        <v/>
      </c>
    </row>
    <row r="32" customFormat="false" ht="18.75" hidden="false" customHeight="true" outlineLevel="0" collapsed="false">
      <c r="A32" s="67" t="n">
        <v>46160</v>
      </c>
      <c r="B32" s="57" t="s">
        <v>103</v>
      </c>
      <c r="C32" s="58" t="s">
        <v>104</v>
      </c>
      <c r="D32" s="59"/>
      <c r="E32" s="60" t="n">
        <v>5</v>
      </c>
      <c r="F32" s="61" t="s">
        <v>42</v>
      </c>
      <c r="G32" s="62"/>
      <c r="H32" s="63"/>
      <c r="I32" s="64"/>
      <c r="J32" s="65" t="n">
        <f aca="false">IF(AND(D32="",E32="",A32="",B32="",C32=""),"", IFERROR(IF(J31="",D2,J31),D2)+IF(E32="",0,E32)-IF(OR(G32="أبو اسحاق",G32="أبو آدم",G32="أبو اسحاق ",G32="أبو آدم "),0,IF(D32="",0,D32)))</f>
        <v>112.25</v>
      </c>
      <c r="K32" s="66"/>
      <c r="L32" s="1" t="n">
        <f aca="false">IF(E31&gt;0,COUNTIF($E$4:E31,"&gt;0"),"")</f>
        <v>17</v>
      </c>
      <c r="M32" s="1" t="str">
        <f aca="false">IF(AND(D31&gt;0,G31="المحفظة"),COUNTIFS($D$4:D31,"&gt;"&amp;0,$G$4:G31,"المحفظة"),"")</f>
        <v/>
      </c>
      <c r="N32" s="1" t="n">
        <f aca="false"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>29</v>
      </c>
      <c r="O32" s="1" t="str">
        <f aca="false">IF(AND(D31&gt;0,F31="أحد الشركاء"),COUNTIFS($D$4:D31,"&gt;"&amp;0,$F$4:F31,"أحد الشركاء"),"")</f>
        <v/>
      </c>
    </row>
    <row r="33" customFormat="false" ht="18.75" hidden="false" customHeight="true" outlineLevel="0" collapsed="false">
      <c r="A33" s="67" t="n">
        <v>46160</v>
      </c>
      <c r="B33" s="57" t="s">
        <v>105</v>
      </c>
      <c r="C33" s="58" t="s">
        <v>106</v>
      </c>
      <c r="D33" s="59"/>
      <c r="E33" s="60" t="n">
        <v>5</v>
      </c>
      <c r="F33" s="61" t="s">
        <v>42</v>
      </c>
      <c r="G33" s="62"/>
      <c r="H33" s="63"/>
      <c r="I33" s="64"/>
      <c r="J33" s="65" t="n">
        <f aca="false">IF(AND(D33="",E33="",A33="",B33="",C33=""),"", IFERROR(IF(J32="",D2,J32),D2)+IF(E33="",0,E33)-IF(OR(G33="أبو اسحاق",G33="أبو آدم",G33="أبو اسحاق ",G33="أبو آدم "),0,IF(D33="",0,D33)))</f>
        <v>117.25</v>
      </c>
      <c r="K33" s="66"/>
      <c r="L33" s="1" t="n">
        <f aca="false">IF(E32&gt;0,COUNTIF($E$4:E32,"&gt;0"),"")</f>
        <v>18</v>
      </c>
      <c r="M33" s="1" t="str">
        <f aca="false">IF(AND(D32&gt;0,G32="المحفظة"),COUNTIFS($D$4:D32,"&gt;"&amp;0,$G$4:G32,"المحفظة"),"")</f>
        <v/>
      </c>
      <c r="N33" s="1" t="n">
        <f aca="false"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>30</v>
      </c>
      <c r="O33" s="1" t="str">
        <f aca="false">IF(AND(D32&gt;0,F32="أحد الشركاء"),COUNTIFS($D$4:D32,"&gt;"&amp;0,$F$4:F32,"أحد الشركاء"),"")</f>
        <v/>
      </c>
    </row>
    <row r="34" customFormat="false" ht="18.75" hidden="false" customHeight="true" outlineLevel="0" collapsed="false">
      <c r="A34" s="67" t="n">
        <v>46160</v>
      </c>
      <c r="B34" s="57" t="s">
        <v>107</v>
      </c>
      <c r="C34" s="58" t="s">
        <v>108</v>
      </c>
      <c r="D34" s="59" t="n">
        <v>9</v>
      </c>
      <c r="E34" s="60"/>
      <c r="F34" s="61" t="s">
        <v>42</v>
      </c>
      <c r="G34" s="62" t="s">
        <v>43</v>
      </c>
      <c r="H34" s="63" t="s">
        <v>44</v>
      </c>
      <c r="I34" s="64" t="s">
        <v>45</v>
      </c>
      <c r="J34" s="65" t="n">
        <f aca="false">IF(AND(D34="",E34="",A34="",B34="",C34=""),"", IFERROR(IF(J33="",D2,J33),D2)+IF(E34="",0,E34)-IF(OR(G34="أبو اسحاق",G34="أبو آدم",G34="أبو اسحاق ",G34="أبو آدم "),0,IF(D34="",0,D34)))</f>
        <v>108.25</v>
      </c>
      <c r="K34" s="66"/>
      <c r="L34" s="1" t="n">
        <f aca="false">IF(E33&gt;0,COUNTIF($E$4:E33,"&gt;0"),"")</f>
        <v>19</v>
      </c>
      <c r="M34" s="1" t="str">
        <f aca="false">IF(AND(D33&gt;0,G33="المحفظة"),COUNTIFS($D$4:D33,"&gt;"&amp;0,$G$4:G33,"المحفظة"),"")</f>
        <v/>
      </c>
      <c r="N34" s="1" t="n">
        <f aca="false"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>31</v>
      </c>
      <c r="O34" s="1" t="str">
        <f aca="false">IF(AND(D33&gt;0,F33="أحد الشركاء"),COUNTIFS($D$4:D33,"&gt;"&amp;0,$F$4:F33,"أحد الشركاء"),"")</f>
        <v/>
      </c>
    </row>
    <row r="35" customFormat="false" ht="18.75" hidden="false" customHeight="true" outlineLevel="0" collapsed="false">
      <c r="A35" s="56" t="n">
        <v>46161</v>
      </c>
      <c r="B35" s="57" t="s">
        <v>109</v>
      </c>
      <c r="C35" s="58" t="s">
        <v>91</v>
      </c>
      <c r="D35" s="59"/>
      <c r="E35" s="60" t="n">
        <v>22.5</v>
      </c>
      <c r="F35" s="61" t="s">
        <v>42</v>
      </c>
      <c r="G35" s="62"/>
      <c r="H35" s="63"/>
      <c r="I35" s="64"/>
      <c r="J35" s="65" t="n">
        <f aca="false">IF(AND(D35="",E35="",A35="",B35="",C35=""),"", IFERROR(IF(J34="",D2,J34),D2)+IF(E35="",0,E35)-IF(OR(G35="أبو اسحاق",G35="أبو آدم",G35="أبو اسحاق ",G35="أبو آدم "),0,IF(D35="",0,D35)))</f>
        <v>130.75</v>
      </c>
      <c r="K35" s="66"/>
      <c r="L35" s="1" t="str">
        <f aca="false">IF(E34&gt;0,COUNTIF($E$4:E34,"&gt;0"),"")</f>
        <v/>
      </c>
      <c r="M35" s="1" t="n">
        <f aca="false">IF(AND(D34&gt;0,G34="المحفظة"),COUNTIFS($D$4:D34,"&gt;"&amp;0,$G$4:G34,"المحفظة"),"")</f>
        <v>7</v>
      </c>
      <c r="N35" s="1" t="n">
        <f aca="false"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>32</v>
      </c>
      <c r="O35" s="1" t="str">
        <f aca="false">IF(AND(D34&gt;0,F34="أحد الشركاء"),COUNTIFS($D$4:D34,"&gt;"&amp;0,$F$4:F34,"أحد الشركاء"),"")</f>
        <v/>
      </c>
    </row>
    <row r="36" customFormat="false" ht="18.75" hidden="false" customHeight="true" outlineLevel="0" collapsed="false">
      <c r="A36" s="67" t="n">
        <v>46162</v>
      </c>
      <c r="B36" s="68" t="s">
        <v>110</v>
      </c>
      <c r="C36" s="69" t="s">
        <v>111</v>
      </c>
      <c r="D36" s="70"/>
      <c r="E36" s="71" t="n">
        <v>22.5</v>
      </c>
      <c r="F36" s="72" t="s">
        <v>42</v>
      </c>
      <c r="G36" s="73"/>
      <c r="H36" s="74"/>
      <c r="I36" s="75"/>
      <c r="J36" s="76" t="n">
        <f aca="false">IF(AND(D36="",E36="",A36="",B36="",C36=""),"", IFERROR(IF(J35="",D2,J35),D2)+IF(E36="",0,E36)-IF(OR(G36="أبو اسحاق",G36="أبو آدم",G36="أبو اسحاق ",G36="أبو آدم "),0,IF(D36="",0,D36)))</f>
        <v>153.25</v>
      </c>
      <c r="K36" s="77"/>
      <c r="L36" s="1" t="n">
        <f aca="false">IF(E35&gt;0,COUNTIF($E$4:E35,"&gt;0"),"")</f>
        <v>20</v>
      </c>
      <c r="M36" s="1" t="str">
        <f aca="false">IF(AND(D35&gt;0,G35="المحفظة"),COUNTIFS($D$4:D35,"&gt;"&amp;0,$G$4:G35,"المحفظة"),"")</f>
        <v/>
      </c>
      <c r="N36" s="1" t="n">
        <f aca="false"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>33</v>
      </c>
      <c r="O36" s="1" t="str">
        <f aca="false">IF(AND(D35&gt;0,F35="أحد الشركاء"),COUNTIFS($D$4:D35,"&gt;"&amp;0,$F$4:F35,"أحد الشركاء"),"")</f>
        <v/>
      </c>
    </row>
    <row r="37" customFormat="false" ht="18.75" hidden="false" customHeight="true" outlineLevel="0" collapsed="false">
      <c r="A37" s="67" t="n">
        <v>46162</v>
      </c>
      <c r="B37" s="57" t="s">
        <v>112</v>
      </c>
      <c r="C37" s="58" t="s">
        <v>113</v>
      </c>
      <c r="D37" s="59"/>
      <c r="E37" s="60" t="n">
        <v>25</v>
      </c>
      <c r="F37" s="61" t="s">
        <v>42</v>
      </c>
      <c r="G37" s="62"/>
      <c r="H37" s="63"/>
      <c r="I37" s="64"/>
      <c r="J37" s="65" t="n">
        <f aca="false">IF(AND(D37="",E37="",A37="",B37="",C37=""),"", IFERROR(IF(J36="",D2,J36),D2)+IF(E37="",0,E37)-IF(OR(G37="أبو اسحاق",G37="أبو آدم",G37="أبو اسحاق ",G37="أبو آدم "),0,IF(D37="",0,D37)))</f>
        <v>178.25</v>
      </c>
      <c r="K37" s="66"/>
      <c r="L37" s="1" t="n">
        <f aca="false">IF(E36&gt;0,COUNTIF($E$4:E36,"&gt;0"),"")</f>
        <v>21</v>
      </c>
      <c r="M37" s="1" t="str">
        <f aca="false">IF(AND(D36&gt;0,G36="المحفظة"),COUNTIFS($D$4:D36,"&gt;"&amp;0,$G$4:G36,"المحفظة"),"")</f>
        <v/>
      </c>
      <c r="N37" s="1" t="n">
        <f aca="false"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>34</v>
      </c>
      <c r="O37" s="1" t="str">
        <f aca="false">IF(AND(D36&gt;0,F36="أحد الشركاء"),COUNTIFS($D$4:D36,"&gt;"&amp;0,$F$4:F36,"أحد الشركاء"),"")</f>
        <v/>
      </c>
    </row>
    <row r="38" customFormat="false" ht="18.75" hidden="false" customHeight="true" outlineLevel="0" collapsed="false">
      <c r="A38" s="67" t="n">
        <v>46163</v>
      </c>
      <c r="B38" s="68" t="s">
        <v>114</v>
      </c>
      <c r="C38" s="69" t="s">
        <v>115</v>
      </c>
      <c r="D38" s="70"/>
      <c r="E38" s="71" t="n">
        <v>37.5</v>
      </c>
      <c r="F38" s="72" t="s">
        <v>42</v>
      </c>
      <c r="G38" s="73"/>
      <c r="H38" s="74"/>
      <c r="I38" s="75"/>
      <c r="J38" s="76" t="n">
        <f aca="false">IF(AND(D38="",E38="",A38="",B38="",C38=""),"", IFERROR(IF(J37="",D2,J37),D2)+IF(E38="",0,E38)-IF(OR(G38="أبو اسحاق",G38="أبو آدم",G38="أبو اسحاق ",G38="أبو آدم "),0,IF(D38="",0,D38)))</f>
        <v>215.75</v>
      </c>
      <c r="K38" s="77"/>
      <c r="L38" s="1" t="n">
        <f aca="false">IF(E37&gt;0,COUNTIF($E$4:E37,"&gt;0"),"")</f>
        <v>22</v>
      </c>
      <c r="M38" s="1" t="str">
        <f aca="false">IF(AND(D37&gt;0,G37="المحفظة"),COUNTIFS($D$4:D37,"&gt;"&amp;0,$G$4:G37,"المحفظة"),"")</f>
        <v/>
      </c>
      <c r="N38" s="1" t="n">
        <f aca="false"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>35</v>
      </c>
      <c r="O38" s="1" t="str">
        <f aca="false">IF(AND(D37&gt;0,F37="أحد الشركاء"),COUNTIFS($D$4:D37,"&gt;"&amp;0,$F$4:F37,"أحد الشركاء"),"")</f>
        <v/>
      </c>
    </row>
    <row r="39" customFormat="false" ht="18.75" hidden="false" customHeight="true" outlineLevel="0" collapsed="false">
      <c r="A39" s="56" t="n">
        <v>46163</v>
      </c>
      <c r="B39" s="57" t="s">
        <v>116</v>
      </c>
      <c r="C39" s="58" t="s">
        <v>117</v>
      </c>
      <c r="D39" s="59"/>
      <c r="E39" s="60" t="n">
        <v>2.5</v>
      </c>
      <c r="F39" s="61" t="s">
        <v>42</v>
      </c>
      <c r="G39" s="62"/>
      <c r="H39" s="63"/>
      <c r="I39" s="64"/>
      <c r="J39" s="65" t="n">
        <f aca="false">IF(AND(D39="",E39="",A39="",B39="",C39=""),"", IFERROR(IF(J38="",D2,J38),D2)+IF(E39="",0,E39)-IF(OR(G39="أبو اسحاق",G39="أبو آدم",G39="أبو اسحاق ",G39="أبو آدم "),0,IF(D39="",0,D39)))</f>
        <v>218.25</v>
      </c>
      <c r="K39" s="66"/>
      <c r="L39" s="1" t="n">
        <f aca="false">IF(E38&gt;0,COUNTIF($E$4:E38,"&gt;0"),"")</f>
        <v>23</v>
      </c>
      <c r="M39" s="1" t="str">
        <f aca="false">IF(AND(D38&gt;0,G38="المحفظة"),COUNTIFS($D$4:D38,"&gt;"&amp;0,$G$4:G38,"المحفظة"),"")</f>
        <v/>
      </c>
      <c r="N39" s="1" t="n">
        <f aca="false"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>36</v>
      </c>
      <c r="O39" s="1" t="str">
        <f aca="false">IF(AND(D38&gt;0,F38="أحد الشركاء"),COUNTIFS($D$4:D38,"&gt;"&amp;0,$F$4:F38,"أحد الشركاء"),"")</f>
        <v/>
      </c>
    </row>
    <row r="40" customFormat="false" ht="18.75" hidden="false" customHeight="true" outlineLevel="0" collapsed="false">
      <c r="A40" s="67" t="n">
        <v>46164</v>
      </c>
      <c r="B40" s="68" t="s">
        <v>118</v>
      </c>
      <c r="C40" s="69" t="s">
        <v>119</v>
      </c>
      <c r="D40" s="70"/>
      <c r="E40" s="71" t="n">
        <v>15</v>
      </c>
      <c r="F40" s="72" t="s">
        <v>42</v>
      </c>
      <c r="G40" s="73"/>
      <c r="H40" s="74"/>
      <c r="I40" s="75"/>
      <c r="J40" s="76" t="n">
        <f aca="false">IF(AND(D40="",E40="",A40="",B40="",C40=""),"", IFERROR(IF(J39="",D2,J39),D2)+IF(E40="",0,E40)-IF(OR(G40="أبو اسحاق",G40="أبو آدم",G40="أبو اسحاق ",G40="أبو آدم "),0,IF(D40="",0,D40)))</f>
        <v>233.25</v>
      </c>
      <c r="K40" s="77"/>
      <c r="L40" s="1" t="n">
        <f aca="false">IF(E39&gt;0,COUNTIF($E$4:E39,"&gt;0"),"")</f>
        <v>24</v>
      </c>
      <c r="M40" s="1" t="str">
        <f aca="false">IF(AND(D39&gt;0,G39="المحفظة"),COUNTIFS($D$4:D39,"&gt;"&amp;0,$G$4:G39,"المحفظة"),"")</f>
        <v/>
      </c>
      <c r="N40" s="1" t="n">
        <f aca="false"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>37</v>
      </c>
      <c r="O40" s="1" t="str">
        <f aca="false">IF(AND(D39&gt;0,F39="أحد الشركاء"),COUNTIFS($D$4:D39,"&gt;"&amp;0,$F$4:F39,"أحد الشركاء"),"")</f>
        <v/>
      </c>
    </row>
    <row r="41" customFormat="false" ht="18.75" hidden="false" customHeight="true" outlineLevel="0" collapsed="false">
      <c r="A41" s="67" t="n">
        <v>46164</v>
      </c>
      <c r="B41" s="57" t="s">
        <v>120</v>
      </c>
      <c r="C41" s="58" t="s">
        <v>121</v>
      </c>
      <c r="D41" s="59"/>
      <c r="E41" s="60" t="n">
        <v>6</v>
      </c>
      <c r="F41" s="61" t="s">
        <v>42</v>
      </c>
      <c r="G41" s="62"/>
      <c r="H41" s="63"/>
      <c r="I41" s="64"/>
      <c r="J41" s="65" t="n">
        <f aca="false">IF(AND(D41="",E41="",A41="",B41="",C41=""),"", IFERROR(IF(J40="",D2,J40),D2)+IF(E41="",0,E41)-IF(OR(G41="أبو اسحاق",G41="أبو آدم",G41="أبو اسحاق ",G41="أبو آدم "),0,IF(D41="",0,D41)))</f>
        <v>239.25</v>
      </c>
      <c r="K41" s="66"/>
      <c r="L41" s="1" t="n">
        <f aca="false">IF(E40&gt;0,COUNTIF($E$4:E40,"&gt;0"),"")</f>
        <v>25</v>
      </c>
      <c r="M41" s="1" t="str">
        <f aca="false">IF(AND(D40&gt;0,G40="المحفظة"),COUNTIFS($D$4:D40,"&gt;"&amp;0,$G$4:G40,"المحفظة"),"")</f>
        <v/>
      </c>
      <c r="N41" s="1" t="n">
        <f aca="false"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>38</v>
      </c>
      <c r="O41" s="1" t="str">
        <f aca="false">IF(AND(D40&gt;0,F40="أحد الشركاء"),COUNTIFS($D$4:D40,"&gt;"&amp;0,$F$4:F40,"أحد الشركاء"),"")</f>
        <v/>
      </c>
    </row>
    <row r="42" customFormat="false" ht="18.75" hidden="false" customHeight="true" outlineLevel="0" collapsed="false">
      <c r="A42" s="67" t="n">
        <v>46167</v>
      </c>
      <c r="B42" s="68" t="s">
        <v>122</v>
      </c>
      <c r="C42" s="69" t="s">
        <v>123</v>
      </c>
      <c r="D42" s="70"/>
      <c r="E42" s="71" t="n">
        <v>7.5</v>
      </c>
      <c r="F42" s="72" t="s">
        <v>42</v>
      </c>
      <c r="G42" s="73"/>
      <c r="H42" s="74"/>
      <c r="I42" s="75"/>
      <c r="J42" s="76" t="n">
        <f aca="false">IF(AND(D42="",E42="",A42="",B42="",C42=""),"", IFERROR(IF(J41="",D2,J41),D2)+IF(E42="",0,E42)-IF(OR(G42="أبو اسحاق",G42="أبو آدم",G42="أبو اسحاق ",G42="أبو آدم "),0,IF(D42="",0,D42)))</f>
        <v>246.75</v>
      </c>
      <c r="K42" s="77"/>
      <c r="L42" s="1" t="n">
        <f aca="false">IF(E41&gt;0,COUNTIF($E$4:E41,"&gt;0"),"")</f>
        <v>26</v>
      </c>
      <c r="M42" s="1" t="str">
        <f aca="false">IF(AND(D41&gt;0,G41="المحفظة"),COUNTIFS($D$4:D41,"&gt;"&amp;0,$G$4:G41,"المحفظة"),"")</f>
        <v/>
      </c>
      <c r="N42" s="1" t="n">
        <f aca="false"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>39</v>
      </c>
      <c r="O42" s="1" t="str">
        <f aca="false">IF(AND(D41&gt;0,F41="أحد الشركاء"),COUNTIFS($D$4:D41,"&gt;"&amp;0,$F$4:F41,"أحد الشركاء"),"")</f>
        <v/>
      </c>
    </row>
    <row r="43" customFormat="false" ht="18.75" hidden="false" customHeight="true" outlineLevel="0" collapsed="false">
      <c r="A43" s="67" t="n">
        <v>46167</v>
      </c>
      <c r="B43" s="57" t="s">
        <v>124</v>
      </c>
      <c r="C43" s="58" t="s">
        <v>125</v>
      </c>
      <c r="D43" s="59"/>
      <c r="E43" s="60" t="n">
        <v>2</v>
      </c>
      <c r="F43" s="61" t="s">
        <v>42</v>
      </c>
      <c r="G43" s="62"/>
      <c r="H43" s="63"/>
      <c r="I43" s="64"/>
      <c r="J43" s="65" t="n">
        <f aca="false">IF(AND(D43="",E43="",A43="",B43="",C43=""),"", IFERROR(IF(J42="",D2,J42),D2)+IF(E43="",0,E43)-IF(OR(G43="أبو اسحاق",G43="أبو آدم",G43="أبو اسحاق ",G43="أبو آدم "),0,IF(D43="",0,D43)))</f>
        <v>248.75</v>
      </c>
      <c r="K43" s="66"/>
      <c r="L43" s="1" t="n">
        <f aca="false">IF(E42&gt;0,COUNTIF($E$4:E42,"&gt;0"),"")</f>
        <v>27</v>
      </c>
      <c r="M43" s="1" t="str">
        <f aca="false">IF(AND(D42&gt;0,G42="المحفظة"),COUNTIFS($D$4:D42,"&gt;"&amp;0,$G$4:G42,"المحفظة"),"")</f>
        <v/>
      </c>
      <c r="N43" s="1" t="n">
        <f aca="false"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>40</v>
      </c>
      <c r="O43" s="1" t="str">
        <f aca="false">IF(AND(D42&gt;0,F42="أحد الشركاء"),COUNTIFS($D$4:D42,"&gt;"&amp;0,$F$4:F42,"أحد الشركاء"),"")</f>
        <v/>
      </c>
    </row>
    <row r="44" customFormat="false" ht="18.75" hidden="false" customHeight="true" outlineLevel="0" collapsed="false">
      <c r="A44" s="67" t="n">
        <v>46167</v>
      </c>
      <c r="B44" s="68" t="s">
        <v>126</v>
      </c>
      <c r="C44" s="69" t="s">
        <v>127</v>
      </c>
      <c r="D44" s="70"/>
      <c r="E44" s="71" t="n">
        <v>4</v>
      </c>
      <c r="F44" s="72" t="s">
        <v>42</v>
      </c>
      <c r="G44" s="73"/>
      <c r="H44" s="74"/>
      <c r="I44" s="75"/>
      <c r="J44" s="76" t="n">
        <f aca="false">IF(AND(D44="",E44="",A44="",B44="",C44=""),"", IFERROR(IF(J43="",D2,J43),D2)+IF(E44="",0,E44)-IF(OR(G44="أبو اسحاق",G44="أبو آدم",G44="أبو اسحاق ",G44="أبو آدم "),0,IF(D44="",0,D44)))</f>
        <v>252.75</v>
      </c>
      <c r="K44" s="77"/>
      <c r="L44" s="1" t="n">
        <f aca="false">IF(E43&gt;0,COUNTIF($E$4:E43,"&gt;0"),"")</f>
        <v>28</v>
      </c>
      <c r="M44" s="1" t="str">
        <f aca="false">IF(AND(D43&gt;0,G43="المحفظة"),COUNTIFS($D$4:D43,"&gt;"&amp;0,$G$4:G43,"المحفظة"),"")</f>
        <v/>
      </c>
      <c r="N44" s="1" t="n">
        <f aca="false"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>41</v>
      </c>
      <c r="O44" s="1" t="str">
        <f aca="false">IF(AND(D43&gt;0,F43="أحد الشركاء"),COUNTIFS($D$4:D43,"&gt;"&amp;0,$F$4:F43,"أحد الشركاء"),"")</f>
        <v/>
      </c>
    </row>
    <row r="45" customFormat="false" ht="18.75" hidden="false" customHeight="true" outlineLevel="0" collapsed="false">
      <c r="A45" s="67" t="n">
        <v>46167</v>
      </c>
      <c r="B45" s="57"/>
      <c r="C45" s="58" t="s">
        <v>128</v>
      </c>
      <c r="D45" s="59" t="n">
        <v>26</v>
      </c>
      <c r="E45" s="60"/>
      <c r="F45" s="61" t="s">
        <v>52</v>
      </c>
      <c r="G45" s="62" t="s">
        <v>53</v>
      </c>
      <c r="H45" s="63" t="s">
        <v>54</v>
      </c>
      <c r="I45" s="64"/>
      <c r="J45" s="65" t="n">
        <f aca="false">IF(AND(D45="",E45="",A45="",B45="",C45=""),"", IFERROR(IF(J44="",D2,J44),D2)+IF(E45="",0,E45)-IF(OR(G45="أبو اسحاق",G45="أبو آدم",G45="أبو اسحاق ",G45="أبو آدم "),0,IF(D45="",0,D45)))</f>
        <v>252.75</v>
      </c>
      <c r="K45" s="66"/>
      <c r="L45" s="1" t="n">
        <f aca="false">IF(E44&gt;0,COUNTIF($E$4:E44,"&gt;0"),"")</f>
        <v>29</v>
      </c>
      <c r="M45" s="1" t="str">
        <f aca="false">IF(AND(D44&gt;0,G44="المحفظة"),COUNTIFS($D$4:D44,"&gt;"&amp;0,$G$4:G44,"المحفظة"),"")</f>
        <v/>
      </c>
      <c r="N45" s="1" t="n">
        <f aca="false"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>42</v>
      </c>
      <c r="O45" s="1" t="str">
        <f aca="false">IF(AND(D44&gt;0,F44="أحد الشركاء"),COUNTIFS($D$4:D44,"&gt;"&amp;0,$F$4:F44,"أحد الشركاء"),"")</f>
        <v/>
      </c>
    </row>
    <row r="46" customFormat="false" ht="18.75" hidden="false" customHeight="true" outlineLevel="0" collapsed="false">
      <c r="A46" s="67" t="n">
        <v>46167</v>
      </c>
      <c r="B46" s="68"/>
      <c r="C46" s="69" t="s">
        <v>129</v>
      </c>
      <c r="D46" s="70" t="n">
        <v>250</v>
      </c>
      <c r="E46" s="71"/>
      <c r="F46" s="72" t="s">
        <v>52</v>
      </c>
      <c r="G46" s="73" t="s">
        <v>64</v>
      </c>
      <c r="H46" s="74" t="s">
        <v>54</v>
      </c>
      <c r="I46" s="75" t="s">
        <v>130</v>
      </c>
      <c r="J46" s="76" t="n">
        <f aca="false">IF(AND(D46="",E46="",A46="",B46="",C46=""),"", IFERROR(IF(J45="",D2,J45),D2)+IF(E46="",0,E46)-IF(OR(G46="أبو اسحاق",G46="أبو آدم",G46="أبو اسحاق ",G46="أبو آدم "),0,IF(D46="",0,D46)))</f>
        <v>252.75</v>
      </c>
      <c r="K46" s="77"/>
      <c r="L46" s="1" t="str">
        <f aca="false">IF(E45&gt;0,COUNTIF($E$4:E45,"&gt;0"),"")</f>
        <v/>
      </c>
      <c r="M46" s="1" t="str">
        <f aca="false">IF(AND(D45&gt;0,G45="المحفظة"),COUNTIFS($D$4:D45,"&gt;"&amp;0,$G$4:G45,"المحفظة"),"")</f>
        <v/>
      </c>
      <c r="N46" s="1" t="n">
        <f aca="false"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>43</v>
      </c>
      <c r="O46" s="1" t="n">
        <f aca="false">IF(AND(D45&gt;0,F45="أحد الشركاء"),COUNTIFS($D$4:D45,"&gt;"&amp;0,$F$4:F45,"أحد الشركاء"),"")</f>
        <v>6</v>
      </c>
    </row>
    <row r="47" customFormat="false" ht="18.75" hidden="false" customHeight="true" outlineLevel="0" collapsed="false">
      <c r="A47" s="56" t="n">
        <v>46167</v>
      </c>
      <c r="B47" s="57"/>
      <c r="C47" s="58" t="s">
        <v>129</v>
      </c>
      <c r="D47" s="59" t="n">
        <v>250</v>
      </c>
      <c r="E47" s="60"/>
      <c r="F47" s="61" t="s">
        <v>52</v>
      </c>
      <c r="G47" s="62" t="s">
        <v>53</v>
      </c>
      <c r="H47" s="63" t="s">
        <v>54</v>
      </c>
      <c r="I47" s="64" t="s">
        <v>130</v>
      </c>
      <c r="J47" s="65" t="n">
        <f aca="false">IF(AND(D47="",E47="",A47="",B47="",C47=""),"", IFERROR(IF(J46="",D2,J46),D2)+IF(E47="",0,E47)-IF(OR(G47="أبو اسحاق",G47="أبو آدم",G47="أبو اسحاق ",G47="أبو آدم "),0,IF(D47="",0,D47)))</f>
        <v>252.75</v>
      </c>
      <c r="K47" s="66"/>
      <c r="L47" s="1" t="str">
        <f aca="false">IF(E46&gt;0,COUNTIF($E$4:E46,"&gt;0"),"")</f>
        <v/>
      </c>
      <c r="M47" s="1" t="str">
        <f aca="false">IF(AND(D46&gt;0,G46="المحفظة"),COUNTIFS($D$4:D46,"&gt;"&amp;0,$G$4:G46,"المحفظة"),"")</f>
        <v/>
      </c>
      <c r="N47" s="1" t="n">
        <f aca="false"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>44</v>
      </c>
      <c r="O47" s="1" t="n">
        <f aca="false">IF(AND(D46&gt;0,F46="أحد الشركاء"),COUNTIFS($D$4:D46,"&gt;"&amp;0,$F$4:F46,"أحد الشركاء"),"")</f>
        <v>7</v>
      </c>
    </row>
    <row r="48" customFormat="false" ht="18.75" hidden="false" customHeight="true" outlineLevel="0" collapsed="false">
      <c r="A48" s="67" t="n">
        <v>46146</v>
      </c>
      <c r="B48" s="68" t="s">
        <v>131</v>
      </c>
      <c r="C48" s="69" t="s">
        <v>132</v>
      </c>
      <c r="D48" s="70"/>
      <c r="E48" s="71" t="n">
        <v>9</v>
      </c>
      <c r="F48" s="72" t="s">
        <v>42</v>
      </c>
      <c r="G48" s="73"/>
      <c r="H48" s="74" t="s">
        <v>44</v>
      </c>
      <c r="I48" s="75"/>
      <c r="J48" s="76" t="n">
        <f aca="false">IF(AND(D48="",E48="",A48="",B48="",C48=""),"", IFERROR(IF(J47="",D2,J47),D2)+IF(E48="",0,E48)-IF(OR(G48="أبو اسحاق",G48="أبو آدم",G48="أبو اسحاق ",G48="أبو آدم "),0,IF(D48="",0,D48)))</f>
        <v>261.75</v>
      </c>
      <c r="K48" s="77"/>
      <c r="L48" s="1" t="str">
        <f aca="false">IF(E47&gt;0,COUNTIF($E$4:E47,"&gt;0"),"")</f>
        <v/>
      </c>
      <c r="M48" s="1" t="str">
        <f aca="false">IF(AND(D47&gt;0,G47="المحفظة"),COUNTIFS($D$4:D47,"&gt;"&amp;0,$G$4:G47,"المحفظة"),"")</f>
        <v/>
      </c>
      <c r="N48" s="1" t="n">
        <f aca="false"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>45</v>
      </c>
      <c r="O48" s="1" t="n">
        <f aca="false">IF(AND(D47&gt;0,F47="أحد الشركاء"),COUNTIFS($D$4:D47,"&gt;"&amp;0,$F$4:F47,"أحد الشركاء"),"")</f>
        <v>8</v>
      </c>
    </row>
    <row r="49" customFormat="false" ht="18.75" hidden="false" customHeight="true" outlineLevel="0" collapsed="false">
      <c r="A49" s="56" t="n">
        <v>46146</v>
      </c>
      <c r="B49" s="57" t="s">
        <v>133</v>
      </c>
      <c r="C49" s="58" t="s">
        <v>132</v>
      </c>
      <c r="D49" s="59"/>
      <c r="E49" s="60" t="n">
        <v>9</v>
      </c>
      <c r="F49" s="61" t="s">
        <v>42</v>
      </c>
      <c r="G49" s="62"/>
      <c r="H49" s="63" t="s">
        <v>44</v>
      </c>
      <c r="I49" s="64"/>
      <c r="J49" s="65" t="n">
        <f aca="false">IF(AND(D49="",E49="",A49="",B49="",C49=""),"", IFERROR(IF(J48="",D2,J48),D2)+IF(E49="",0,E49)-IF(OR(G49="أبو اسحاق",G49="أبو آدم",G49="أبو اسحاق ",G49="أبو آدم "),0,IF(D49="",0,D49)))</f>
        <v>270.75</v>
      </c>
      <c r="K49" s="66"/>
      <c r="L49" s="1" t="n">
        <f aca="false">IF(E48&gt;0,COUNTIF($E$4:E48,"&gt;0"),"")</f>
        <v>30</v>
      </c>
      <c r="M49" s="1" t="str">
        <f aca="false">IF(AND(D48&gt;0,G48="المحفظة"),COUNTIFS($D$4:D48,"&gt;"&amp;0,$G$4:G48,"المحفظة"),"")</f>
        <v/>
      </c>
      <c r="N49" s="1" t="n">
        <f aca="false"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>46</v>
      </c>
      <c r="O49" s="1" t="str">
        <f aca="false">IF(AND(D48&gt;0,F48="أحد الشركاء"),COUNTIFS($D$4:D48,"&gt;"&amp;0,$F$4:F48,"أحد الشركاء"),"")</f>
        <v/>
      </c>
    </row>
    <row r="50" customFormat="false" ht="18.75" hidden="false" customHeight="true" outlineLevel="0" collapsed="false">
      <c r="A50" s="67" t="n">
        <v>46146</v>
      </c>
      <c r="B50" s="68" t="s">
        <v>134</v>
      </c>
      <c r="C50" s="69" t="s">
        <v>132</v>
      </c>
      <c r="D50" s="70"/>
      <c r="E50" s="71" t="n">
        <v>2</v>
      </c>
      <c r="F50" s="72" t="s">
        <v>42</v>
      </c>
      <c r="G50" s="73"/>
      <c r="H50" s="74" t="s">
        <v>44</v>
      </c>
      <c r="I50" s="75"/>
      <c r="J50" s="76" t="n">
        <f aca="false">IF(AND(D50="",E50="",A50="",B50="",C50=""),"", IFERROR(IF(J49="",D2,J49),D2)+IF(E50="",0,E50)-IF(OR(G50="أبو اسحاق",G50="أبو آدم",G50="أبو اسحاق ",G50="أبو آدم "),0,IF(D50="",0,D50)))</f>
        <v>272.75</v>
      </c>
      <c r="K50" s="77"/>
      <c r="L50" s="1" t="n">
        <f aca="false">IF(E49&gt;0,COUNTIF($E$4:E49,"&gt;0"),"")</f>
        <v>31</v>
      </c>
      <c r="M50" s="1" t="str">
        <f aca="false">IF(AND(D49&gt;0,G49="المحفظة"),COUNTIFS($D$4:D49,"&gt;"&amp;0,$G$4:G49,"المحفظة"),"")</f>
        <v/>
      </c>
      <c r="N50" s="1" t="n">
        <f aca="false"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>47</v>
      </c>
      <c r="O50" s="1" t="str">
        <f aca="false">IF(AND(D49&gt;0,F49="أحد الشركاء"),COUNTIFS($D$4:D49,"&gt;"&amp;0,$F$4:F49,"أحد الشركاء"),"")</f>
        <v/>
      </c>
    </row>
    <row r="51" customFormat="false" ht="18.75" hidden="false" customHeight="true" outlineLevel="0" collapsed="false">
      <c r="A51" s="56" t="n">
        <v>46147</v>
      </c>
      <c r="B51" s="57" t="s">
        <v>135</v>
      </c>
      <c r="C51" s="58" t="s">
        <v>132</v>
      </c>
      <c r="D51" s="59"/>
      <c r="E51" s="60" t="n">
        <v>3.75</v>
      </c>
      <c r="F51" s="61" t="s">
        <v>42</v>
      </c>
      <c r="G51" s="62"/>
      <c r="H51" s="63" t="s">
        <v>44</v>
      </c>
      <c r="I51" s="64"/>
      <c r="J51" s="65" t="n">
        <f aca="false">IF(AND(D51="",E51="",A51="",B51="",C51=""),"", IFERROR(IF(J50="",D2,J50),D2)+IF(E51="",0,E51)-IF(OR(G51="أبو اسحاق",G51="أبو آدم",G51="أبو اسحاق ",G51="أبو آدم "),0,IF(D51="",0,D51)))</f>
        <v>276.5</v>
      </c>
      <c r="K51" s="66"/>
      <c r="L51" s="1" t="n">
        <f aca="false">IF(E50&gt;0,COUNTIF($E$4:E50,"&gt;0"),"")</f>
        <v>32</v>
      </c>
      <c r="M51" s="1" t="str">
        <f aca="false">IF(AND(D50&gt;0,G50="المحفظة"),COUNTIFS($D$4:D50,"&gt;"&amp;0,$G$4:G50,"المحفظة"),"")</f>
        <v/>
      </c>
      <c r="N51" s="1" t="n">
        <f aca="false"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>48</v>
      </c>
      <c r="O51" s="1" t="str">
        <f aca="false">IF(AND(D50&gt;0,F50="أحد الشركاء"),COUNTIFS($D$4:D50,"&gt;"&amp;0,$F$4:F50,"أحد الشركاء"),"")</f>
        <v/>
      </c>
    </row>
    <row r="52" customFormat="false" ht="18.75" hidden="false" customHeight="true" outlineLevel="0" collapsed="false">
      <c r="A52" s="67" t="n">
        <v>46149</v>
      </c>
      <c r="B52" s="68" t="s">
        <v>136</v>
      </c>
      <c r="C52" s="69" t="s">
        <v>132</v>
      </c>
      <c r="D52" s="70"/>
      <c r="E52" s="71" t="n">
        <v>5</v>
      </c>
      <c r="F52" s="72" t="s">
        <v>42</v>
      </c>
      <c r="G52" s="73"/>
      <c r="H52" s="74" t="s">
        <v>44</v>
      </c>
      <c r="I52" s="75"/>
      <c r="J52" s="76" t="n">
        <f aca="false">IF(AND(D52="",E52="",A52="",B52="",C52=""),"", IFERROR(IF(J51="",D2,J51),D2)+IF(E52="",0,E52)-IF(OR(G52="أبو اسحاق",G52="أبو آدم",G52="أبو اسحاق ",G52="أبو آدم "),0,IF(D52="",0,D52)))</f>
        <v>281.5</v>
      </c>
      <c r="K52" s="77"/>
      <c r="L52" s="1" t="n">
        <f aca="false">IF(E51&gt;0,COUNTIF($E$4:E51,"&gt;0"),"")</f>
        <v>33</v>
      </c>
      <c r="M52" s="1" t="str">
        <f aca="false">IF(AND(D51&gt;0,G51="المحفظة"),COUNTIFS($D$4:D51,"&gt;"&amp;0,$G$4:G51,"المحفظة"),"")</f>
        <v/>
      </c>
      <c r="N52" s="1" t="n">
        <f aca="false"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>49</v>
      </c>
      <c r="O52" s="1" t="str">
        <f aca="false">IF(AND(D51&gt;0,F51="أحد الشركاء"),COUNTIFS($D$4:D51,"&gt;"&amp;0,$F$4:F51,"أحد الشركاء"),"")</f>
        <v/>
      </c>
    </row>
    <row r="53" customFormat="false" ht="18.75" hidden="false" customHeight="true" outlineLevel="0" collapsed="false">
      <c r="A53" s="56" t="n">
        <v>46155</v>
      </c>
      <c r="B53" s="57" t="s">
        <v>137</v>
      </c>
      <c r="C53" s="58" t="s">
        <v>132</v>
      </c>
      <c r="D53" s="59"/>
      <c r="E53" s="60" t="n">
        <v>15</v>
      </c>
      <c r="F53" s="61" t="s">
        <v>42</v>
      </c>
      <c r="G53" s="62"/>
      <c r="H53" s="63" t="s">
        <v>44</v>
      </c>
      <c r="I53" s="64"/>
      <c r="J53" s="65" t="n">
        <f aca="false">IF(AND(D53="",E53="",A53="",B53="",C53=""),"", IFERROR(IF(J52="",D2,J52),D2)+IF(E53="",0,E53)-IF(OR(G53="أبو اسحاق",G53="أبو آدم",G53="أبو اسحاق ",G53="أبو آدم "),0,IF(D53="",0,D53)))</f>
        <v>296.5</v>
      </c>
      <c r="K53" s="66"/>
      <c r="L53" s="1" t="n">
        <f aca="false">IF(E52&gt;0,COUNTIF($E$4:E52,"&gt;0"),"")</f>
        <v>34</v>
      </c>
      <c r="M53" s="1" t="str">
        <f aca="false">IF(AND(D52&gt;0,G52="المحفظة"),COUNTIFS($D$4:D52,"&gt;"&amp;0,$G$4:G52,"المحفظة"),"")</f>
        <v/>
      </c>
      <c r="N53" s="1" t="n">
        <f aca="false"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>50</v>
      </c>
      <c r="O53" s="1" t="str">
        <f aca="false">IF(AND(D52&gt;0,F52="أحد الشركاء"),COUNTIFS($D$4:D52,"&gt;"&amp;0,$F$4:F52,"أحد الشركاء"),"")</f>
        <v/>
      </c>
    </row>
    <row r="54" customFormat="false" ht="18.75" hidden="false" customHeight="true" outlineLevel="0" collapsed="false">
      <c r="A54" s="67" t="n">
        <v>46155</v>
      </c>
      <c r="B54" s="68" t="s">
        <v>138</v>
      </c>
      <c r="C54" s="69" t="s">
        <v>132</v>
      </c>
      <c r="D54" s="70"/>
      <c r="E54" s="71" t="n">
        <v>4</v>
      </c>
      <c r="F54" s="72" t="s">
        <v>42</v>
      </c>
      <c r="G54" s="73"/>
      <c r="H54" s="74" t="s">
        <v>44</v>
      </c>
      <c r="I54" s="75"/>
      <c r="J54" s="76" t="n">
        <f aca="false">IF(AND(D54="",E54="",A54="",B54="",C54=""),"", IFERROR(IF(J53="",D2,J53),D2)+IF(E54="",0,E54)-IF(OR(G54="أبو اسحاق",G54="أبو آدم",G54="أبو اسحاق ",G54="أبو آدم "),0,IF(D54="",0,D54)))</f>
        <v>300.5</v>
      </c>
      <c r="K54" s="77"/>
      <c r="L54" s="1" t="n">
        <f aca="false">IF(E53&gt;0,COUNTIF($E$4:E53,"&gt;0"),"")</f>
        <v>35</v>
      </c>
      <c r="M54" s="1" t="str">
        <f aca="false">IF(AND(D53&gt;0,G53="المحفظة"),COUNTIFS($D$4:D53,"&gt;"&amp;0,$G$4:G53,"المحفظة"),"")</f>
        <v/>
      </c>
      <c r="N54" s="1" t="n">
        <f aca="false"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>51</v>
      </c>
      <c r="O54" s="1" t="str">
        <f aca="false">IF(AND(D53&gt;0,F53="أحد الشركاء"),COUNTIFS($D$4:D53,"&gt;"&amp;0,$F$4:F53,"أحد الشركاء"),"")</f>
        <v/>
      </c>
    </row>
    <row r="55" customFormat="false" ht="18.75" hidden="false" customHeight="true" outlineLevel="0" collapsed="false">
      <c r="A55" s="56" t="n">
        <v>46155</v>
      </c>
      <c r="B55" s="57" t="s">
        <v>139</v>
      </c>
      <c r="C55" s="58" t="s">
        <v>132</v>
      </c>
      <c r="D55" s="59"/>
      <c r="E55" s="60" t="n">
        <v>3.6</v>
      </c>
      <c r="F55" s="61" t="s">
        <v>42</v>
      </c>
      <c r="G55" s="62"/>
      <c r="H55" s="63" t="s">
        <v>44</v>
      </c>
      <c r="I55" s="64"/>
      <c r="J55" s="65" t="n">
        <f aca="false">IF(AND(D55="",E55="",A55="",B55="",C55=""),"", IFERROR(IF(J54="",D2,J54),D2)+IF(E55="",0,E55)-IF(OR(G55="أبو اسحاق",G55="أبو آدم",G55="أبو اسحاق ",G55="أبو آدم "),0,IF(D55="",0,D55)))</f>
        <v>304.1</v>
      </c>
      <c r="K55" s="66"/>
      <c r="L55" s="1" t="n">
        <f aca="false">IF(E54&gt;0,COUNTIF($E$4:E54,"&gt;0"),"")</f>
        <v>36</v>
      </c>
      <c r="M55" s="1" t="str">
        <f aca="false">IF(AND(D54&gt;0,G54="المحفظة"),COUNTIFS($D$4:D54,"&gt;"&amp;0,$G$4:G54,"المحفظة"),"")</f>
        <v/>
      </c>
      <c r="N55" s="1" t="n">
        <f aca="false"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>52</v>
      </c>
      <c r="O55" s="1" t="str">
        <f aca="false">IF(AND(D54&gt;0,F54="أحد الشركاء"),COUNTIFS($D$4:D54,"&gt;"&amp;0,$F$4:F54,"أحد الشركاء"),"")</f>
        <v/>
      </c>
    </row>
    <row r="56" customFormat="false" ht="18.75" hidden="false" customHeight="true" outlineLevel="0" collapsed="false">
      <c r="A56" s="67" t="n">
        <v>46158</v>
      </c>
      <c r="B56" s="68" t="s">
        <v>140</v>
      </c>
      <c r="C56" s="69" t="s">
        <v>132</v>
      </c>
      <c r="D56" s="70"/>
      <c r="E56" s="71" t="n">
        <v>3</v>
      </c>
      <c r="F56" s="72" t="s">
        <v>42</v>
      </c>
      <c r="G56" s="73"/>
      <c r="H56" s="74" t="s">
        <v>44</v>
      </c>
      <c r="I56" s="75"/>
      <c r="J56" s="76" t="n">
        <f aca="false">IF(AND(D56="",E56="",A56="",B56="",C56=""),"", IFERROR(IF(J55="",D2,J55),D2)+IF(E56="",0,E56)-IF(OR(G56="أبو اسحاق",G56="أبو آدم",G56="أبو اسحاق ",G56="أبو آدم "),0,IF(D56="",0,D56)))</f>
        <v>307.1</v>
      </c>
      <c r="K56" s="77"/>
      <c r="L56" s="1" t="n">
        <f aca="false">IF(E55&gt;0,COUNTIF($E$4:E55,"&gt;0"),"")</f>
        <v>37</v>
      </c>
      <c r="M56" s="1" t="str">
        <f aca="false">IF(AND(D55&gt;0,G55="المحفظة"),COUNTIFS($D$4:D55,"&gt;"&amp;0,$G$4:G55,"المحفظة"),"")</f>
        <v/>
      </c>
      <c r="N56" s="1" t="n">
        <f aca="false"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>53</v>
      </c>
      <c r="O56" s="1" t="str">
        <f aca="false">IF(AND(D55&gt;0,F55="أحد الشركاء"),COUNTIFS($D$4:D55,"&gt;"&amp;0,$F$4:F55,"أحد الشركاء"),"")</f>
        <v/>
      </c>
    </row>
    <row r="57" customFormat="false" ht="18.75" hidden="false" customHeight="true" outlineLevel="0" collapsed="false">
      <c r="A57" s="56" t="n">
        <v>46155</v>
      </c>
      <c r="B57" s="57"/>
      <c r="C57" s="58" t="s">
        <v>68</v>
      </c>
      <c r="D57" s="59" t="n">
        <v>2.75</v>
      </c>
      <c r="E57" s="60"/>
      <c r="F57" s="61" t="s">
        <v>42</v>
      </c>
      <c r="G57" s="62" t="s">
        <v>43</v>
      </c>
      <c r="H57" s="63" t="s">
        <v>44</v>
      </c>
      <c r="I57" s="64"/>
      <c r="J57" s="65" t="n">
        <f aca="false">IF(AND(D57="",E57="",A57="",B57="",C57=""),"", IFERROR(IF(J56="",D2,J56),D2)+IF(E57="",0,E57)-IF(OR(G57="أبو اسحاق",G57="أبو آدم",G57="أبو اسحاق ",G57="أبو آدم "),0,IF(D57="",0,D57)))</f>
        <v>304.35</v>
      </c>
      <c r="K57" s="66"/>
      <c r="L57" s="1" t="n">
        <f aca="false">IF(E56&gt;0,COUNTIF($E$4:E56,"&gt;0"),"")</f>
        <v>38</v>
      </c>
      <c r="M57" s="1" t="str">
        <f aca="false">IF(AND(D56&gt;0,G56="المحفظة"),COUNTIFS($D$4:D56,"&gt;"&amp;0,$G$4:G56,"المحفظة"),"")</f>
        <v/>
      </c>
      <c r="N57" s="1" t="n">
        <f aca="false"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>54</v>
      </c>
      <c r="O57" s="1" t="str">
        <f aca="false">IF(AND(D56&gt;0,F56="أحد الشركاء"),COUNTIFS($D$4:D56,"&gt;"&amp;0,$F$4:F56,"أحد الشركاء"),"")</f>
        <v/>
      </c>
    </row>
    <row r="58" customFormat="false" ht="18.75" hidden="false" customHeight="true" outlineLevel="0" collapsed="false">
      <c r="A58" s="67" t="n">
        <v>46175</v>
      </c>
      <c r="B58" s="57" t="s">
        <v>141</v>
      </c>
      <c r="C58" s="69" t="s">
        <v>142</v>
      </c>
      <c r="D58" s="70"/>
      <c r="E58" s="71" t="n">
        <v>18</v>
      </c>
      <c r="F58" s="72" t="s">
        <v>42</v>
      </c>
      <c r="G58" s="73"/>
      <c r="H58" s="74" t="s">
        <v>44</v>
      </c>
      <c r="I58" s="75"/>
      <c r="J58" s="76" t="n">
        <f aca="false">IF(AND(D58="",E58="",A58="",B58="",C58=""),"", IFERROR(IF(J57="",D2,J57),D2)+IF(E58="",0,E58)-IF(OR(G58="أبو اسحاق",G58="أبو آدم",G58="أبو اسحاق ",G58="أبو آدم "),0,IF(D58="",0,D58)))</f>
        <v>322.35</v>
      </c>
      <c r="K58" s="77"/>
      <c r="L58" s="1" t="str">
        <f aca="false">IF(E57&gt;0,COUNTIF($E$4:E57,"&gt;0"),"")</f>
        <v/>
      </c>
      <c r="M58" s="1" t="n">
        <f aca="false">IF(AND(D57&gt;0,G57="المحفظة"),COUNTIFS($D$4:D57,"&gt;"&amp;0,$G$4:G57,"المحفظة"),"")</f>
        <v>8</v>
      </c>
      <c r="N58" s="1" t="n">
        <f aca="false"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>55</v>
      </c>
      <c r="O58" s="1" t="str">
        <f aca="false">IF(AND(D57&gt;0,F57="أحد الشركاء"),COUNTIFS($D$4:D57,"&gt;"&amp;0,$F$4:F57,"أحد الشركاء"),"")</f>
        <v/>
      </c>
    </row>
    <row r="59" customFormat="false" ht="18.75" hidden="false" customHeight="true" outlineLevel="0" collapsed="false">
      <c r="A59" s="67" t="n">
        <v>46175</v>
      </c>
      <c r="B59" s="68" t="s">
        <v>143</v>
      </c>
      <c r="C59" s="58" t="s">
        <v>144</v>
      </c>
      <c r="D59" s="59"/>
      <c r="E59" s="60" t="n">
        <v>2</v>
      </c>
      <c r="F59" s="61" t="s">
        <v>42</v>
      </c>
      <c r="G59" s="62"/>
      <c r="H59" s="63" t="s">
        <v>44</v>
      </c>
      <c r="I59" s="64"/>
      <c r="J59" s="65" t="n">
        <f aca="false">IF(AND(D59="",E59="",A59="",B59="",C59=""),"", IFERROR(IF(J58="",D2,J58),D2)+IF(E59="",0,E59)-IF(OR(G59="أبو اسحاق",G59="أبو آدم",G59="أبو اسحاق ",G59="أبو آدم "),0,IF(D59="",0,D59)))</f>
        <v>324.35</v>
      </c>
      <c r="K59" s="66"/>
      <c r="L59" s="1" t="n">
        <f aca="false">IF(E58&gt;0,COUNTIF($E$4:E58,"&gt;0"),"")</f>
        <v>39</v>
      </c>
      <c r="M59" s="1" t="str">
        <f aca="false">IF(AND(D58&gt;0,G58="المحفظة"),COUNTIFS($D$4:D58,"&gt;"&amp;0,$G$4:G58,"المحفظة"),"")</f>
        <v/>
      </c>
      <c r="N59" s="1" t="n">
        <f aca="false"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>56</v>
      </c>
      <c r="O59" s="1" t="str">
        <f aca="false">IF(AND(D58&gt;0,F58="أحد الشركاء"),COUNTIFS($D$4:D58,"&gt;"&amp;0,$F$4:F58,"أحد الشركاء"),"")</f>
        <v/>
      </c>
    </row>
    <row r="60" customFormat="false" ht="18.75" hidden="false" customHeight="true" outlineLevel="0" collapsed="false">
      <c r="A60" s="67" t="n">
        <v>46175</v>
      </c>
      <c r="B60" s="57" t="s">
        <v>145</v>
      </c>
      <c r="C60" s="69" t="s">
        <v>146</v>
      </c>
      <c r="D60" s="70"/>
      <c r="E60" s="71" t="n">
        <v>1.5</v>
      </c>
      <c r="F60" s="72" t="s">
        <v>42</v>
      </c>
      <c r="G60" s="73"/>
      <c r="H60" s="74" t="s">
        <v>44</v>
      </c>
      <c r="I60" s="75"/>
      <c r="J60" s="76" t="n">
        <f aca="false">IF(AND(D60="",E60="",A60="",B60="",C60=""),"", IFERROR(IF(J59="",D2,J59),D2)+IF(E60="",0,E60)-IF(OR(G60="أبو اسحاق",G60="أبو آدم",G60="أبو اسحاق ",G60="أبو آدم "),0,IF(D60="",0,D60)))</f>
        <v>325.85</v>
      </c>
      <c r="K60" s="77"/>
      <c r="L60" s="1" t="n">
        <f aca="false">IF(E59&gt;0,COUNTIF($E$4:E59,"&gt;0"),"")</f>
        <v>40</v>
      </c>
      <c r="M60" s="1" t="str">
        <f aca="false">IF(AND(D59&gt;0,G59="المحفظة"),COUNTIFS($D$4:D59,"&gt;"&amp;0,$G$4:G59,"المحفظة"),"")</f>
        <v/>
      </c>
      <c r="N60" s="1" t="n">
        <f aca="false"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>57</v>
      </c>
      <c r="O60" s="1" t="str">
        <f aca="false">IF(AND(D59&gt;0,F59="أحد الشركاء"),COUNTIFS($D$4:D59,"&gt;"&amp;0,$F$4:F59,"أحد الشركاء"),"")</f>
        <v/>
      </c>
    </row>
    <row r="61" customFormat="false" ht="18.75" hidden="false" customHeight="true" outlineLevel="0" collapsed="false">
      <c r="A61" s="67" t="n">
        <v>46175</v>
      </c>
      <c r="B61" s="68" t="s">
        <v>147</v>
      </c>
      <c r="C61" s="58" t="s">
        <v>148</v>
      </c>
      <c r="D61" s="59"/>
      <c r="E61" s="60" t="n">
        <v>3</v>
      </c>
      <c r="F61" s="61" t="s">
        <v>42</v>
      </c>
      <c r="G61" s="62"/>
      <c r="H61" s="63" t="s">
        <v>44</v>
      </c>
      <c r="I61" s="64"/>
      <c r="J61" s="65" t="n">
        <f aca="false">IF(AND(D61="",E61="",A61="",B61="",C61=""),"", IFERROR(IF(J60="",D2,J60),D2)+IF(E61="",0,E61)-IF(OR(G61="أبو اسحاق",G61="أبو آدم",G61="أبو اسحاق ",G61="أبو آدم "),0,IF(D61="",0,D61)))</f>
        <v>328.85</v>
      </c>
      <c r="K61" s="66"/>
      <c r="L61" s="1" t="n">
        <f aca="false">IF(E60&gt;0,COUNTIF($E$4:E60,"&gt;0"),"")</f>
        <v>41</v>
      </c>
      <c r="M61" s="1" t="str">
        <f aca="false">IF(AND(D60&gt;0,G60="المحفظة"),COUNTIFS($D$4:D60,"&gt;"&amp;0,$G$4:G60,"المحفظة"),"")</f>
        <v/>
      </c>
      <c r="N61" s="1" t="n">
        <f aca="false"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>58</v>
      </c>
      <c r="O61" s="1" t="str">
        <f aca="false">IF(AND(D60&gt;0,F60="أحد الشركاء"),COUNTIFS($D$4:D60,"&gt;"&amp;0,$F$4:F60,"أحد الشركاء"),"")</f>
        <v/>
      </c>
    </row>
    <row r="62" customFormat="false" ht="18.75" hidden="false" customHeight="true" outlineLevel="0" collapsed="false">
      <c r="A62" s="67" t="n">
        <v>46177</v>
      </c>
      <c r="B62" s="68" t="s">
        <v>149</v>
      </c>
      <c r="C62" s="69" t="s">
        <v>150</v>
      </c>
      <c r="D62" s="70"/>
      <c r="E62" s="71" t="n">
        <v>1</v>
      </c>
      <c r="F62" s="72" t="s">
        <v>42</v>
      </c>
      <c r="G62" s="73"/>
      <c r="H62" s="74" t="s">
        <v>44</v>
      </c>
      <c r="I62" s="75"/>
      <c r="J62" s="76" t="n">
        <f aca="false">IF(AND(D62="",E62="",A62="",B62="",C62=""),"", IFERROR(IF(J61="",D2,J61),D2)+IF(E62="",0,E62)-IF(OR(G62="أبو اسحاق",G62="أبو آدم",G62="أبو اسحاق ",G62="أبو آدم "),0,IF(D62="",0,D62)))</f>
        <v>329.85</v>
      </c>
      <c r="K62" s="77"/>
      <c r="L62" s="1" t="n">
        <f aca="false">IF(E61&gt;0,COUNTIF($E$4:E61,"&gt;0"),"")</f>
        <v>42</v>
      </c>
      <c r="M62" s="1" t="str">
        <f aca="false">IF(AND(D61&gt;0,G61="المحفظة"),COUNTIFS($D$4:D61,"&gt;"&amp;0,$G$4:G61,"المحفظة"),"")</f>
        <v/>
      </c>
      <c r="N62" s="1" t="n">
        <f aca="false"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>59</v>
      </c>
      <c r="O62" s="1" t="str">
        <f aca="false">IF(AND(D61&gt;0,F61="أحد الشركاء"),COUNTIFS($D$4:D61,"&gt;"&amp;0,$F$4:F61,"أحد الشركاء"),"")</f>
        <v/>
      </c>
    </row>
    <row r="63" customFormat="false" ht="18.75" hidden="false" customHeight="true" outlineLevel="0" collapsed="false">
      <c r="A63" s="67" t="n">
        <v>46177</v>
      </c>
      <c r="B63" s="57"/>
      <c r="C63" s="58" t="s">
        <v>151</v>
      </c>
      <c r="D63" s="59" t="n">
        <v>10</v>
      </c>
      <c r="E63" s="60"/>
      <c r="F63" s="61" t="s">
        <v>42</v>
      </c>
      <c r="G63" s="62" t="s">
        <v>43</v>
      </c>
      <c r="H63" s="63" t="s">
        <v>44</v>
      </c>
      <c r="I63" s="64"/>
      <c r="J63" s="65" t="n">
        <f aca="false">IF(AND(D63="",E63="",A63="",B63="",C63=""),"", IFERROR(IF(J62="",D2,J62),D2)+IF(E63="",0,E63)-IF(OR(G63="أبو اسحاق",G63="أبو آدم",G63="أبو اسحاق ",G63="أبو آدم "),0,IF(D63="",0,D63)))</f>
        <v>319.85</v>
      </c>
      <c r="K63" s="66"/>
      <c r="L63" s="1" t="n">
        <f aca="false">IF(E62&gt;0,COUNTIF($E$4:E62,"&gt;0"),"")</f>
        <v>43</v>
      </c>
      <c r="M63" s="1" t="str">
        <f aca="false">IF(AND(D62&gt;0,G62="المحفظة"),COUNTIFS($D$4:D62,"&gt;"&amp;0,$G$4:G62,"المحفظة"),"")</f>
        <v/>
      </c>
      <c r="N63" s="1" t="n">
        <f aca="false"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>60</v>
      </c>
      <c r="O63" s="1" t="str">
        <f aca="false">IF(AND(D62&gt;0,F62="أحد الشركاء"),COUNTIFS($D$4:D62,"&gt;"&amp;0,$F$4:F62,"أحد الشركاء"),"")</f>
        <v/>
      </c>
    </row>
    <row r="64" customFormat="false" ht="18.75" hidden="false" customHeight="true" outlineLevel="0" collapsed="false">
      <c r="A64" s="67" t="n">
        <v>46177</v>
      </c>
      <c r="B64" s="68"/>
      <c r="C64" s="69" t="s">
        <v>61</v>
      </c>
      <c r="D64" s="70" t="n">
        <v>3.25</v>
      </c>
      <c r="E64" s="71"/>
      <c r="F64" s="72" t="s">
        <v>42</v>
      </c>
      <c r="G64" s="73" t="s">
        <v>43</v>
      </c>
      <c r="H64" s="74" t="s">
        <v>44</v>
      </c>
      <c r="I64" s="75"/>
      <c r="J64" s="76" t="n">
        <f aca="false">IF(AND(D64="",E64="",A64="",B64="",C64=""),"", IFERROR(IF(J63="",D2,J63),D2)+IF(E64="",0,E64)-IF(OR(G64="أبو اسحاق",G64="أبو آدم",G64="أبو اسحاق ",G64="أبو آدم "),0,IF(D64="",0,D64)))</f>
        <v>316.6</v>
      </c>
      <c r="K64" s="77"/>
      <c r="L64" s="1" t="str">
        <f aca="false">IF(E63&gt;0,COUNTIF($E$4:E63,"&gt;0"),"")</f>
        <v/>
      </c>
      <c r="M64" s="1" t="n">
        <f aca="false">IF(AND(D63&gt;0,G63="المحفظة"),COUNTIFS($D$4:D63,"&gt;"&amp;0,$G$4:G63,"المحفظة"),"")</f>
        <v>9</v>
      </c>
      <c r="N64" s="1" t="n">
        <f aca="false"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>61</v>
      </c>
      <c r="O64" s="1" t="str">
        <f aca="false">IF(AND(D63&gt;0,F63="أحد الشركاء"),COUNTIFS($D$4:D63,"&gt;"&amp;0,$F$4:F63,"أحد الشركاء"),"")</f>
        <v/>
      </c>
    </row>
    <row r="65" customFormat="false" ht="18.75" hidden="false" customHeight="true" outlineLevel="0" collapsed="false">
      <c r="A65" s="67" t="n">
        <v>46177</v>
      </c>
      <c r="B65" s="57"/>
      <c r="C65" s="58" t="s">
        <v>152</v>
      </c>
      <c r="D65" s="59" t="n">
        <v>12</v>
      </c>
      <c r="E65" s="60"/>
      <c r="F65" s="61" t="s">
        <v>42</v>
      </c>
      <c r="G65" s="62" t="s">
        <v>43</v>
      </c>
      <c r="H65" s="63" t="s">
        <v>44</v>
      </c>
      <c r="I65" s="64"/>
      <c r="J65" s="65" t="n">
        <f aca="false">IF(AND(D65="",E65="",A65="",B65="",C65=""),"", IFERROR(IF(J64="",D2,J64),D2)+IF(E65="",0,E65)-IF(OR(G65="أبو اسحاق",G65="أبو آدم",G65="أبو اسحاق ",G65="أبو آدم "),0,IF(D65="",0,D65)))</f>
        <v>304.6</v>
      </c>
      <c r="K65" s="66"/>
      <c r="L65" s="1" t="str">
        <f aca="false">IF(E64&gt;0,COUNTIF($E$4:E64,"&gt;0"),"")</f>
        <v/>
      </c>
      <c r="M65" s="1" t="n">
        <f aca="false">IF(AND(D64&gt;0,G64="المحفظة"),COUNTIFS($D$4:D64,"&gt;"&amp;0,$G$4:G64,"المحفظة"),"")</f>
        <v>10</v>
      </c>
      <c r="N65" s="1" t="n">
        <f aca="false"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5" s="1" t="str">
        <f aca="false">IF(AND(D64&gt;0,F64="أحد الشركاء"),COUNTIFS($D$4:D64,"&gt;"&amp;0,$F$4:F64,"أحد الشركاء"),"")</f>
        <v/>
      </c>
    </row>
    <row r="66" customFormat="false" ht="18.75" hidden="false" customHeight="true" outlineLevel="0" collapsed="false">
      <c r="A66" s="67" t="n">
        <v>46179</v>
      </c>
      <c r="B66" s="68" t="s">
        <v>153</v>
      </c>
      <c r="C66" s="69" t="s">
        <v>154</v>
      </c>
      <c r="D66" s="70"/>
      <c r="E66" s="71" t="n">
        <v>3</v>
      </c>
      <c r="F66" s="72" t="s">
        <v>42</v>
      </c>
      <c r="G66" s="73"/>
      <c r="H66" s="74" t="s">
        <v>44</v>
      </c>
      <c r="I66" s="75"/>
      <c r="J66" s="76" t="n">
        <f aca="false">IF(AND(D66="",E66="",A66="",B66="",C66=""),"", IFERROR(IF(J65="",D2,J65),D2)+IF(E66="",0,E66)-IF(OR(G66="أبو اسحاق",G66="أبو آدم",G66="أبو اسحاق ",G66="أبو آدم "),0,IF(D66="",0,D66)))</f>
        <v>307.6</v>
      </c>
      <c r="K66" s="77"/>
      <c r="L66" s="1" t="str">
        <f aca="false">IF(E65&gt;0,COUNTIF($E$4:E65,"&gt;0"),"")</f>
        <v/>
      </c>
      <c r="M66" s="1" t="n">
        <f aca="false">IF(AND(D65&gt;0,G65="المحفظة"),COUNTIFS($D$4:D65,"&gt;"&amp;0,$G$4:G65,"المحفظة"),"")</f>
        <v>11</v>
      </c>
      <c r="N66" s="1" t="n">
        <f aca="false"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>62</v>
      </c>
      <c r="O66" s="1" t="str">
        <f aca="false">IF(AND(D65&gt;0,F65="أحد الشركاء"),COUNTIFS($D$4:D65,"&gt;"&amp;0,$F$4:F65,"أحد الشركاء"),"")</f>
        <v/>
      </c>
    </row>
    <row r="67" customFormat="false" ht="18.75" hidden="false" customHeight="true" outlineLevel="0" collapsed="false">
      <c r="A67" s="67" t="n">
        <v>46179</v>
      </c>
      <c r="B67" s="68" t="s">
        <v>155</v>
      </c>
      <c r="C67" s="58" t="s">
        <v>156</v>
      </c>
      <c r="D67" s="59"/>
      <c r="E67" s="60" t="n">
        <v>1</v>
      </c>
      <c r="F67" s="61" t="s">
        <v>42</v>
      </c>
      <c r="G67" s="62"/>
      <c r="H67" s="63" t="s">
        <v>44</v>
      </c>
      <c r="I67" s="64"/>
      <c r="J67" s="65" t="n">
        <f aca="false">IF(AND(D67="",E67="",A67="",B67="",C67=""),"", IFERROR(IF(J66="",D2,J66),D2)+IF(E67="",0,E67)-IF(OR(G67="أبو اسحاق",G67="أبو آدم",G67="أبو اسحاق ",G67="أبو آدم "),0,IF(D67="",0,D67)))</f>
        <v>308.6</v>
      </c>
      <c r="K67" s="66"/>
      <c r="L67" s="1" t="n">
        <f aca="false">IF(E66&gt;0,COUNTIF($E$4:E66,"&gt;0"),"")</f>
        <v>44</v>
      </c>
      <c r="M67" s="1" t="str">
        <f aca="false">IF(AND(D66&gt;0,G66="المحفظة"),COUNTIFS($D$4:D66,"&gt;"&amp;0,$G$4:G66,"المحفظة"),"")</f>
        <v/>
      </c>
      <c r="N67" s="1" t="n">
        <f aca="false"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>63</v>
      </c>
      <c r="O67" s="1" t="str">
        <f aca="false">IF(AND(D66&gt;0,F66="أحد الشركاء"),COUNTIFS($D$4:D66,"&gt;"&amp;0,$F$4:F66,"أحد الشركاء"),"")</f>
        <v/>
      </c>
    </row>
    <row r="68" customFormat="false" ht="18.75" hidden="false" customHeight="true" outlineLevel="0" collapsed="false">
      <c r="A68" s="67" t="n">
        <v>46179</v>
      </c>
      <c r="B68" s="68" t="s">
        <v>157</v>
      </c>
      <c r="C68" s="69" t="s">
        <v>158</v>
      </c>
      <c r="D68" s="70"/>
      <c r="E68" s="71" t="n">
        <v>3</v>
      </c>
      <c r="F68" s="72" t="s">
        <v>42</v>
      </c>
      <c r="G68" s="73"/>
      <c r="H68" s="74" t="s">
        <v>44</v>
      </c>
      <c r="I68" s="75"/>
      <c r="J68" s="76" t="n">
        <f aca="false">IF(AND(D68="",E68="",A68="",B68="",C68=""),"", IFERROR(IF(J67="",D2,J67),D2)+IF(E68="",0,E68)-IF(OR(G68="أبو اسحاق",G68="أبو آدم",G68="أبو اسحاق ",G68="أبو آدم "),0,IF(D68="",0,D68)))</f>
        <v>311.6</v>
      </c>
      <c r="K68" s="77"/>
      <c r="L68" s="1" t="n">
        <f aca="false">IF(E67&gt;0,COUNTIF($E$4:E67,"&gt;0"),"")</f>
        <v>45</v>
      </c>
      <c r="M68" s="1" t="str">
        <f aca="false">IF(AND(D67&gt;0,G67="المحفظة"),COUNTIFS($D$4:D67,"&gt;"&amp;0,$G$4:G67,"المحفظة"),"")</f>
        <v/>
      </c>
      <c r="N68" s="1" t="n">
        <f aca="false"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>63</v>
      </c>
      <c r="O68" s="1" t="str">
        <f aca="false">IF(AND(D67&gt;0,F67="أحد الشركاء"),COUNTIFS($D$4:D67,"&gt;"&amp;0,$F$4:F67,"أحد الشركاء"),"")</f>
        <v/>
      </c>
    </row>
    <row r="69" customFormat="false" ht="18.75" hidden="false" customHeight="true" outlineLevel="0" collapsed="false">
      <c r="A69" s="56" t="n">
        <v>46181</v>
      </c>
      <c r="B69" s="57" t="s">
        <v>159</v>
      </c>
      <c r="C69" s="58" t="s">
        <v>160</v>
      </c>
      <c r="D69" s="59"/>
      <c r="E69" s="60" t="n">
        <v>15</v>
      </c>
      <c r="F69" s="61" t="s">
        <v>42</v>
      </c>
      <c r="G69" s="62"/>
      <c r="H69" s="63" t="s">
        <v>44</v>
      </c>
      <c r="I69" s="64"/>
      <c r="J69" s="65" t="n">
        <f aca="false">IF(AND(D69="",E69="",A69="",B69="",C69=""),"", IFERROR(IF(J68="",D2,J68),D2)+IF(E69="",0,E69)-IF(OR(G69="أبو اسحاق",G69="أبو آدم",G69="أبو اسحاق ",G69="أبو آدم "),0,IF(D69="",0,D69)))</f>
        <v>326.6</v>
      </c>
      <c r="K69" s="66"/>
      <c r="L69" s="1" t="n">
        <f aca="false">IF(E68&gt;0,COUNTIF($E$4:E68,"&gt;0"),"")</f>
        <v>46</v>
      </c>
      <c r="M69" s="1" t="str">
        <f aca="false">IF(AND(D68&gt;0,G68="المحفظة"),COUNTIFS($D$4:D68,"&gt;"&amp;0,$G$4:G68,"المحفظة"),"")</f>
        <v/>
      </c>
      <c r="N69" s="1" t="n">
        <f aca="false"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>64</v>
      </c>
      <c r="O69" s="1" t="str">
        <f aca="false">IF(AND(D68&gt;0,F68="أحد الشركاء"),COUNTIFS($D$4:D68,"&gt;"&amp;0,$F$4:F68,"أحد الشركاء"),"")</f>
        <v/>
      </c>
    </row>
    <row r="70" customFormat="false" ht="18.75" hidden="false" customHeight="true" outlineLevel="0" collapsed="false">
      <c r="A70" s="67" t="n">
        <v>46181</v>
      </c>
      <c r="C70" s="69" t="s">
        <v>161</v>
      </c>
      <c r="D70" s="70" t="n">
        <v>2.8</v>
      </c>
      <c r="E70" s="71"/>
      <c r="F70" s="72" t="s">
        <v>42</v>
      </c>
      <c r="G70" s="73" t="s">
        <v>43</v>
      </c>
      <c r="H70" s="74" t="s">
        <v>44</v>
      </c>
      <c r="I70" s="75"/>
      <c r="J70" s="76" t="n">
        <f aca="false">IF(AND(D70="",E70="",A70="",B70="",C70=""),"", IFERROR(IF(J69="",D2,J69),D2)+IF(E70="",0,E70)-IF(OR(G70="أبو اسحاق",G70="أبو آدم",G70="أبو اسحاق ",G70="أبو آدم "),0,IF(D70="",0,D70)))</f>
        <v>323.8</v>
      </c>
      <c r="K70" s="77"/>
      <c r="L70" s="1" t="n">
        <f aca="false">IF(E69&gt;0,COUNTIF($E$4:E69,"&gt;0"),"")</f>
        <v>47</v>
      </c>
      <c r="M70" s="1" t="str">
        <f aca="false">IF(AND(D69&gt;0,G69="المحفظة"),COUNTIFS($D$4:D69,"&gt;"&amp;0,$G$4:G69,"المحفظة"),"")</f>
        <v/>
      </c>
      <c r="N70" s="1" t="n">
        <f aca="false"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>64</v>
      </c>
      <c r="O70" s="1" t="str">
        <f aca="false">IF(AND(D69&gt;0,F69="أحد الشركاء"),COUNTIFS($D$4:D69,"&gt;"&amp;0,$F$4:F69,"أحد الشركاء"),"")</f>
        <v/>
      </c>
    </row>
    <row r="71" customFormat="false" ht="18.75" hidden="false" customHeight="true" outlineLevel="0" collapsed="false">
      <c r="A71" s="67" t="n">
        <v>46181</v>
      </c>
      <c r="C71" s="69" t="s">
        <v>162</v>
      </c>
      <c r="D71" s="59" t="n">
        <v>46.75</v>
      </c>
      <c r="E71" s="60"/>
      <c r="F71" s="61" t="s">
        <v>42</v>
      </c>
      <c r="G71" s="62" t="s">
        <v>43</v>
      </c>
      <c r="H71" s="63" t="s">
        <v>44</v>
      </c>
      <c r="I71" s="64"/>
      <c r="J71" s="65" t="n">
        <f aca="false">IF(AND(D71="",E71="",A71="",B71="",C71=""),"", IFERROR(IF(J70="",D2,J70),D2)+IF(E71="",0,E71)-IF(OR(G71="أبو اسحاق",G71="أبو آدم",G71="أبو اسحاق ",G71="أبو آدم "),0,IF(D71="",0,D71)))</f>
        <v>277.05</v>
      </c>
      <c r="K71" s="66"/>
      <c r="L71" s="1" t="str">
        <f aca="false">IF(E70&gt;0,COUNTIF($E$4:E70,"&gt;0"),"")</f>
        <v/>
      </c>
      <c r="M71" s="1" t="n">
        <f aca="false">IF(AND(D70&gt;0,G70="المحفظة"),COUNTIFS($D$4:D70,"&gt;"&amp;0,$G$4:G70,"المحفظة"),"")</f>
        <v>12</v>
      </c>
      <c r="N71" s="1" t="n">
        <f aca="false"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>65</v>
      </c>
      <c r="O71" s="1" t="str">
        <f aca="false">IF(AND(D70&gt;0,F70="أحد الشركاء"),COUNTIFS($D$4:D70,"&gt;"&amp;0,$F$4:F70,"أحد الشركاء"),"")</f>
        <v/>
      </c>
    </row>
    <row r="72" customFormat="false" ht="18.75" hidden="false" customHeight="true" outlineLevel="0" collapsed="false">
      <c r="A72" s="67" t="n">
        <v>46182</v>
      </c>
      <c r="B72" s="57" t="s">
        <v>163</v>
      </c>
      <c r="C72" s="69" t="s">
        <v>91</v>
      </c>
      <c r="D72" s="70"/>
      <c r="E72" s="71" t="n">
        <v>22.5</v>
      </c>
      <c r="F72" s="72" t="s">
        <v>42</v>
      </c>
      <c r="G72" s="73"/>
      <c r="H72" s="74" t="s">
        <v>44</v>
      </c>
      <c r="I72" s="75"/>
      <c r="J72" s="76" t="n">
        <f aca="false">IF(AND(D72="",E72="",A72="",B72="",C72=""),"", IFERROR(IF(J71="",D2,J71),D2)+IF(E72="",0,E72)-IF(OR(G72="أبو اسحاق",G72="أبو آدم",G72="أبو اسحاق ",G72="أبو آدم "),0,IF(D72="",0,D72)))</f>
        <v>299.55</v>
      </c>
      <c r="K72" s="77"/>
      <c r="L72" s="1" t="str">
        <f aca="false">IF(E71&gt;0,COUNTIF($E$4:E71,"&gt;0"),"")</f>
        <v/>
      </c>
      <c r="M72" s="1" t="n">
        <f aca="false">IF(AND(D71&gt;0,G71="المحفظة"),COUNTIFS($D$4:D71,"&gt;"&amp;0,$G$4:G71,"المحفظة"),"")</f>
        <v>13</v>
      </c>
      <c r="N72" s="1" t="n">
        <f aca="false"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>65</v>
      </c>
      <c r="O72" s="1" t="str">
        <f aca="false">IF(AND(D71&gt;0,F71="أحد الشركاء"),COUNTIFS($D$4:D71,"&gt;"&amp;0,$F$4:F71,"أحد الشركاء"),"")</f>
        <v/>
      </c>
    </row>
    <row r="73" customFormat="false" ht="18.75" hidden="false" customHeight="true" outlineLevel="0" collapsed="false">
      <c r="A73" s="56"/>
      <c r="B73" s="57"/>
      <c r="C73" s="58"/>
      <c r="D73" s="59"/>
      <c r="E73" s="60"/>
      <c r="F73" s="61"/>
      <c r="G73" s="62"/>
      <c r="H73" s="63"/>
      <c r="I73" s="64"/>
      <c r="J73" s="65" t="str">
        <f aca="false">IF(AND(D73="",E73="",A73="",B73="",C73=""),"", IFERROR(IF(J72="",D2,J72),D2)+IF(E73="",0,E73)-IF(OR(G73="أبو اسحاق",G73="أبو آدم",G73="أبو اسحاق ",G73="أبو آدم "),0,IF(D73="",0,D73)))</f>
        <v/>
      </c>
      <c r="K73" s="66"/>
      <c r="L73" s="1" t="n">
        <f aca="false">IF(E72&gt;0,COUNTIF($E$4:E72,"&gt;0"),"")</f>
        <v>48</v>
      </c>
      <c r="M73" s="1" t="str">
        <f aca="false">IF(AND(D72&gt;0,G72="المحفظة"),COUNTIFS($D$4:D72,"&gt;"&amp;0,$G$4:G72,"المحفظة"),"")</f>
        <v/>
      </c>
      <c r="N73" s="1" t="n">
        <f aca="false"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>66</v>
      </c>
      <c r="O73" s="1" t="str">
        <f aca="false">IF(AND(D72&gt;0,F72="أحد الشركاء"),COUNTIFS($D$4:D72,"&gt;"&amp;0,$F$4:F72,"أحد الشركاء"),"")</f>
        <v/>
      </c>
    </row>
    <row r="74" customFormat="false" ht="18.75" hidden="false" customHeight="true" outlineLevel="0" collapsed="false">
      <c r="A74" s="67"/>
      <c r="B74" s="68"/>
      <c r="C74" s="69"/>
      <c r="D74" s="70"/>
      <c r="E74" s="71"/>
      <c r="F74" s="72"/>
      <c r="G74" s="73"/>
      <c r="H74" s="74"/>
      <c r="I74" s="75"/>
      <c r="J74" s="76" t="str">
        <f aca="false">IF(AND(D73="",E73="",A73="",B73="",C73=""),"", IFERROR(IF(J72="",D2,J72),D2)+IF(E73="",0,E73)-IF(D73="",0,D73))</f>
        <v/>
      </c>
      <c r="K74" s="77"/>
      <c r="L74" s="1" t="str">
        <f aca="false">IF(E73&gt;0,COUNTIF($E$4:E73,"&gt;0"),"")</f>
        <v/>
      </c>
      <c r="M74" s="1" t="str">
        <f aca="false">IF(AND(D73&gt;0,G73="المحفظة"),COUNTIFS($D$4:D73,"&gt;"&amp;0,$G$4:G73,"المحفظة"),"")</f>
        <v/>
      </c>
      <c r="N74" s="1" t="str">
        <f aca="false"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4" s="1" t="str">
        <f aca="false">IF(AND(D73&gt;0,F73="أحد الشركاء"),COUNTIFS($D$4:D73,"&gt;"&amp;0,$F$4:F73,"أحد الشركاء"),"")</f>
        <v/>
      </c>
    </row>
    <row r="75" customFormat="false" ht="18.75" hidden="false" customHeight="true" outlineLevel="0" collapsed="false">
      <c r="A75" s="56"/>
      <c r="B75" s="57"/>
      <c r="C75" s="58"/>
      <c r="D75" s="59"/>
      <c r="E75" s="60"/>
      <c r="F75" s="61"/>
      <c r="G75" s="62"/>
      <c r="H75" s="63"/>
      <c r="I75" s="64"/>
      <c r="J75" s="65" t="str">
        <f aca="false">IF(AND(D74="",E74="",A74="",B74="",C74=""),"", IFERROR(IF(J73="",D2,J73),D2)+IF(E74="",0,E74)-IF(D74="",0,D74))</f>
        <v/>
      </c>
      <c r="K75" s="66"/>
      <c r="L75" s="1" t="str">
        <f aca="false">IF(E74&gt;0,COUNTIF($E$4:E74,"&gt;0"),"")</f>
        <v/>
      </c>
      <c r="M75" s="1" t="str">
        <f aca="false">IF(AND(D74&gt;0,G74="المحفظة"),COUNTIFS($D$4:D74,"&gt;"&amp;0,$G$4:G74,"المحفظة"),"")</f>
        <v/>
      </c>
      <c r="N75" s="1" t="str">
        <f aca="false"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5" s="1" t="str">
        <f aca="false">IF(AND(D74&gt;0,F74="أحد الشركاء"),COUNTIFS($D$4:D74,"&gt;"&amp;0,$F$4:F74,"أحد الشركاء"),"")</f>
        <v/>
      </c>
    </row>
    <row r="76" customFormat="false" ht="18.75" hidden="false" customHeight="true" outlineLevel="0" collapsed="false">
      <c r="A76" s="67"/>
      <c r="B76" s="68"/>
      <c r="C76" s="69"/>
      <c r="D76" s="70"/>
      <c r="E76" s="71"/>
      <c r="F76" s="72"/>
      <c r="G76" s="73"/>
      <c r="H76" s="74"/>
      <c r="I76" s="75"/>
      <c r="J76" s="76" t="str">
        <f aca="false">IF(AND(D75="",E75="",A75="",B75="",C75=""),"", IFERROR(IF(J74="",D2,J74),D2)+IF(E75="",0,E75)-IF(D75="",0,D75))</f>
        <v/>
      </c>
      <c r="K76" s="77"/>
      <c r="L76" s="1" t="str">
        <f aca="false">IF(E75&gt;0,COUNTIF($E$4:E75,"&gt;0"),"")</f>
        <v/>
      </c>
      <c r="M76" s="1" t="str">
        <f aca="false">IF(AND(D75&gt;0,G75="المحفظة"),COUNTIFS($D$4:D75,"&gt;"&amp;0,$G$4:G75,"المحفظة"),"")</f>
        <v/>
      </c>
      <c r="N76" s="1" t="str">
        <f aca="false"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6" s="1" t="str">
        <f aca="false">IF(AND(D75&gt;0,F75="أحد الشركاء"),COUNTIFS($D$4:D75,"&gt;"&amp;0,$F$4:F75,"أحد الشركاء"),"")</f>
        <v/>
      </c>
    </row>
    <row r="77" customFormat="false" ht="18.75" hidden="false" customHeight="true" outlineLevel="0" collapsed="false">
      <c r="A77" s="56"/>
      <c r="B77" s="57"/>
      <c r="C77" s="58"/>
      <c r="D77" s="59"/>
      <c r="E77" s="60"/>
      <c r="F77" s="61"/>
      <c r="G77" s="62"/>
      <c r="H77" s="63"/>
      <c r="I77" s="64"/>
      <c r="J77" s="65" t="str">
        <f aca="false">IF(AND(D76="",E76="",A76="",B76="",C76=""),"", IFERROR(IF(J75="",D2,J75),D2)+IF(E76="",0,E76)-IF(D76="",0,D76))</f>
        <v/>
      </c>
      <c r="K77" s="66"/>
      <c r="L77" s="1" t="str">
        <f aca="false">IF(E76&gt;0,COUNTIF($E$4:E76,"&gt;0"),"")</f>
        <v/>
      </c>
      <c r="M77" s="1" t="str">
        <f aca="false">IF(AND(D76&gt;0,G76="المحفظة"),COUNTIFS($D$4:D76,"&gt;"&amp;0,$G$4:G76,"المحفظة"),"")</f>
        <v/>
      </c>
      <c r="N77" s="1" t="str">
        <f aca="false"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7" s="1" t="str">
        <f aca="false">IF(AND(D76&gt;0,F76="أحد الشركاء"),COUNTIFS($D$4:D76,"&gt;"&amp;0,$F$4:F76,"أحد الشركاء"),"")</f>
        <v/>
      </c>
    </row>
    <row r="78" customFormat="false" ht="18.75" hidden="false" customHeight="true" outlineLevel="0" collapsed="false">
      <c r="A78" s="67"/>
      <c r="B78" s="68"/>
      <c r="C78" s="69"/>
      <c r="D78" s="70"/>
      <c r="E78" s="71"/>
      <c r="F78" s="72"/>
      <c r="G78" s="73"/>
      <c r="H78" s="74"/>
      <c r="I78" s="75"/>
      <c r="J78" s="76" t="str">
        <f aca="false">IF(AND(D77="",E77="",A77="",B77="",C77=""),"", IFERROR(IF(J76="",D2,J76),D2)+IF(E77="",0,E77)-IF(D77="",0,D77))</f>
        <v/>
      </c>
      <c r="K78" s="77"/>
      <c r="L78" s="1" t="str">
        <f aca="false">IF(E77&gt;0,COUNTIF($E$4:E77,"&gt;0"),"")</f>
        <v/>
      </c>
      <c r="M78" s="1" t="str">
        <f aca="false">IF(AND(D77&gt;0,G77="المحفظة"),COUNTIFS($D$4:D77,"&gt;"&amp;0,$G$4:G77,"المحفظة"),"")</f>
        <v/>
      </c>
      <c r="N78" s="1" t="str">
        <f aca="false"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8" s="1" t="str">
        <f aca="false">IF(AND(D77&gt;0,F77="أحد الشركاء"),COUNTIFS($D$4:D77,"&gt;"&amp;0,$F$4:F77,"أحد الشركاء"),"")</f>
        <v/>
      </c>
    </row>
    <row r="79" customFormat="false" ht="18.75" hidden="false" customHeight="true" outlineLevel="0" collapsed="false">
      <c r="A79" s="56"/>
      <c r="B79" s="57"/>
      <c r="C79" s="58"/>
      <c r="D79" s="59"/>
      <c r="E79" s="60"/>
      <c r="F79" s="61"/>
      <c r="G79" s="62"/>
      <c r="H79" s="63"/>
      <c r="I79" s="64"/>
      <c r="J79" s="65" t="str">
        <f aca="false">IF(AND(D78="",E78="",A78="",B78="",C78=""),"", IFERROR(IF(J77="",D2,J77),D2)+IF(E78="",0,E78)-IF(D78="",0,D78))</f>
        <v/>
      </c>
      <c r="K79" s="66"/>
      <c r="L79" s="1" t="str">
        <f aca="false">IF(E78&gt;0,COUNTIF($E$4:E78,"&gt;0"),"")</f>
        <v/>
      </c>
      <c r="M79" s="1" t="str">
        <f aca="false">IF(AND(D78&gt;0,G78="المحفظة"),COUNTIFS($D$4:D78,"&gt;"&amp;0,$G$4:G78,"المحفظة"),"")</f>
        <v/>
      </c>
      <c r="N79" s="1" t="str">
        <f aca="false"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9" s="1" t="str">
        <f aca="false">IF(AND(D78&gt;0,F78="أحد الشركاء"),COUNTIFS($D$4:D78,"&gt;"&amp;0,$F$4:F78,"أحد الشركاء"),"")</f>
        <v/>
      </c>
    </row>
    <row r="80" customFormat="false" ht="18.75" hidden="false" customHeight="true" outlineLevel="0" collapsed="false">
      <c r="A80" s="67"/>
      <c r="B80" s="68"/>
      <c r="C80" s="69"/>
      <c r="D80" s="70"/>
      <c r="E80" s="71"/>
      <c r="F80" s="72"/>
      <c r="G80" s="73"/>
      <c r="H80" s="74"/>
      <c r="I80" s="75"/>
      <c r="J80" s="76" t="str">
        <f aca="false">IF(AND(D79="",E79="",A79="",B79="",C79=""),"", IFERROR(IF(J78="",D2,J78),D2)+IF(E79="",0,E79)-IF(D79="",0,D79))</f>
        <v/>
      </c>
      <c r="K80" s="77"/>
      <c r="L80" s="1" t="str">
        <f aca="false">IF(E79&gt;0,COUNTIF($E$4:E79,"&gt;0"),"")</f>
        <v/>
      </c>
      <c r="M80" s="1" t="str">
        <f aca="false">IF(AND(D79&gt;0,G79="المحفظة"),COUNTIFS($D$4:D79,"&gt;"&amp;0,$G$4:G79,"المحفظة"),"")</f>
        <v/>
      </c>
      <c r="N80" s="1" t="str">
        <f aca="false"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80" s="1" t="str">
        <f aca="false">IF(AND(D79&gt;0,F79="أحد الشركاء"),COUNTIFS($D$4:D79,"&gt;"&amp;0,$F$4:F79,"أحد الشركاء"),"")</f>
        <v/>
      </c>
    </row>
    <row r="81" customFormat="false" ht="18.75" hidden="false" customHeight="true" outlineLevel="0" collapsed="false">
      <c r="A81" s="56"/>
      <c r="B81" s="57"/>
      <c r="C81" s="58"/>
      <c r="D81" s="59"/>
      <c r="E81" s="60"/>
      <c r="F81" s="61"/>
      <c r="G81" s="62"/>
      <c r="H81" s="63"/>
      <c r="I81" s="64"/>
      <c r="J81" s="65" t="str">
        <f aca="false">IF(AND(D80="",E80="",A80="",B80="",C80=""),"", IFERROR(IF(J79="",D2,J79),D2)+IF(E80="",0,E80)-IF(D80="",0,D80))</f>
        <v/>
      </c>
      <c r="K81" s="66"/>
      <c r="L81" s="1" t="str">
        <f aca="false">IF(E80&gt;0,COUNTIF($E$4:E80,"&gt;0"),"")</f>
        <v/>
      </c>
      <c r="M81" s="1" t="str">
        <f aca="false">IF(AND(D80&gt;0,G80="المحفظة"),COUNTIFS($D$4:D80,"&gt;"&amp;0,$G$4:G80,"المحفظة"),"")</f>
        <v/>
      </c>
      <c r="N81" s="1" t="str">
        <f aca="false"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1" s="1" t="str">
        <f aca="false">IF(AND(D80&gt;0,F80="أحد الشركاء"),COUNTIFS($D$4:D80,"&gt;"&amp;0,$F$4:F80,"أحد الشركاء"),"")</f>
        <v/>
      </c>
    </row>
    <row r="82" customFormat="false" ht="18.75" hidden="false" customHeight="true" outlineLevel="0" collapsed="false">
      <c r="A82" s="67"/>
      <c r="B82" s="68"/>
      <c r="C82" s="69"/>
      <c r="D82" s="70"/>
      <c r="E82" s="71"/>
      <c r="F82" s="72"/>
      <c r="G82" s="73"/>
      <c r="H82" s="74"/>
      <c r="I82" s="75"/>
      <c r="J82" s="76" t="str">
        <f aca="false">IF(AND(D81="",E81="",A81="",B81="",C81=""),"", IFERROR(IF(J80="",D2,J80),D2)+IF(E81="",0,E81)-IF(D81="",0,D81))</f>
        <v/>
      </c>
      <c r="K82" s="77"/>
      <c r="L82" s="1" t="str">
        <f aca="false">IF(E81&gt;0,COUNTIF($E$4:E81,"&gt;0"),"")</f>
        <v/>
      </c>
      <c r="M82" s="1" t="str">
        <f aca="false">IF(AND(D81&gt;0,G81="المحفظة"),COUNTIFS($D$4:D81,"&gt;"&amp;0,$G$4:G81,"المحفظة"),"")</f>
        <v/>
      </c>
      <c r="N82" s="1" t="str">
        <f aca="false"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2" s="1" t="str">
        <f aca="false">IF(AND(D81&gt;0,F81="أحد الشركاء"),COUNTIFS($D$4:D81,"&gt;"&amp;0,$F$4:F81,"أحد الشركاء"),"")</f>
        <v/>
      </c>
    </row>
    <row r="83" customFormat="false" ht="18.75" hidden="false" customHeight="true" outlineLevel="0" collapsed="false">
      <c r="A83" s="56"/>
      <c r="B83" s="57"/>
      <c r="C83" s="58"/>
      <c r="D83" s="59"/>
      <c r="E83" s="60"/>
      <c r="F83" s="61"/>
      <c r="G83" s="62"/>
      <c r="H83" s="63"/>
      <c r="I83" s="64"/>
      <c r="J83" s="65" t="str">
        <f aca="false">IF(AND(D82="",E82="",A82="",B82="",C82=""),"", IFERROR(IF(J81="",D2,J81),D2)+IF(E82="",0,E82)-IF(D82="",0,D82))</f>
        <v/>
      </c>
      <c r="K83" s="66"/>
      <c r="L83" s="1" t="str">
        <f aca="false">IF(E82&gt;0,COUNTIF($E$4:E82,"&gt;0"),"")</f>
        <v/>
      </c>
      <c r="M83" s="1" t="str">
        <f aca="false">IF(AND(D82&gt;0,G82="المحفظة"),COUNTIFS($D$4:D82,"&gt;"&amp;0,$G$4:G82,"المحفظة"),"")</f>
        <v/>
      </c>
      <c r="N83" s="1" t="str">
        <f aca="false"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3" s="1" t="str">
        <f aca="false">IF(AND(D82&gt;0,F82="أحد الشركاء"),COUNTIFS($D$4:D82,"&gt;"&amp;0,$F$4:F82,"أحد الشركاء"),"")</f>
        <v/>
      </c>
    </row>
    <row r="84" customFormat="false" ht="18.75" hidden="false" customHeight="true" outlineLevel="0" collapsed="false">
      <c r="A84" s="67"/>
      <c r="B84" s="68"/>
      <c r="C84" s="69"/>
      <c r="D84" s="70"/>
      <c r="E84" s="71"/>
      <c r="F84" s="72"/>
      <c r="G84" s="73"/>
      <c r="H84" s="74"/>
      <c r="I84" s="75"/>
      <c r="J84" s="76" t="str">
        <f aca="false">IF(AND(D83="",E83="",A83="",B83="",C83=""),"", IFERROR(IF(J82="",D2,J82),D2)+IF(E83="",0,E83)-IF(D83="",0,D83))</f>
        <v/>
      </c>
      <c r="K84" s="77"/>
      <c r="L84" s="1" t="str">
        <f aca="false">IF(E83&gt;0,COUNTIF($E$4:E83,"&gt;0"),"")</f>
        <v/>
      </c>
      <c r="M84" s="1" t="str">
        <f aca="false">IF(AND(D83&gt;0,G83="المحفظة"),COUNTIFS($D$4:D83,"&gt;"&amp;0,$G$4:G83,"المحفظة"),"")</f>
        <v/>
      </c>
      <c r="N84" s="1" t="str">
        <f aca="false"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4" s="1" t="str">
        <f aca="false">IF(AND(D83&gt;0,F83="أحد الشركاء"),COUNTIFS($D$4:D83,"&gt;"&amp;0,$F$4:F83,"أحد الشركاء"),"")</f>
        <v/>
      </c>
    </row>
    <row r="85" customFormat="false" ht="18.75" hidden="false" customHeight="true" outlineLevel="0" collapsed="false">
      <c r="A85" s="56"/>
      <c r="B85" s="57"/>
      <c r="C85" s="58"/>
      <c r="D85" s="59"/>
      <c r="E85" s="60"/>
      <c r="F85" s="61"/>
      <c r="G85" s="62"/>
      <c r="H85" s="63"/>
      <c r="I85" s="64"/>
      <c r="J85" s="65" t="str">
        <f aca="false">IF(AND(D84="",E84="",A84="",B84="",C84=""),"", IFERROR(IF(J83="",D2,J83),D2)+IF(E84="",0,E84)-IF(D84="",0,D84))</f>
        <v/>
      </c>
      <c r="K85" s="66"/>
      <c r="L85" s="1" t="str">
        <f aca="false">IF(E84&gt;0,COUNTIF($E$4:E84,"&gt;0"),"")</f>
        <v/>
      </c>
      <c r="M85" s="1" t="str">
        <f aca="false">IF(AND(D84&gt;0,G84="المحفظة"),COUNTIFS($D$4:D84,"&gt;"&amp;0,$G$4:G84,"المحفظة"),"")</f>
        <v/>
      </c>
      <c r="N85" s="1" t="str">
        <f aca="false"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5" s="1" t="str">
        <f aca="false">IF(AND(D84&gt;0,F84="أحد الشركاء"),COUNTIFS($D$4:D84,"&gt;"&amp;0,$F$4:F84,"أحد الشركاء"),"")</f>
        <v/>
      </c>
    </row>
    <row r="86" customFormat="false" ht="18.75" hidden="false" customHeight="true" outlineLevel="0" collapsed="false">
      <c r="A86" s="67"/>
      <c r="B86" s="68"/>
      <c r="C86" s="69"/>
      <c r="D86" s="70"/>
      <c r="E86" s="71"/>
      <c r="F86" s="72"/>
      <c r="G86" s="73"/>
      <c r="H86" s="74"/>
      <c r="I86" s="75"/>
      <c r="J86" s="76" t="str">
        <f aca="false">IF(AND(D85="",E85="",A85="",B85="",C85=""),"", IFERROR(IF(J84="",D2,J84),D2)+IF(E85="",0,E85)-IF(D85="",0,D85))</f>
        <v/>
      </c>
      <c r="K86" s="77"/>
      <c r="L86" s="1" t="str">
        <f aca="false">IF(E85&gt;0,COUNTIF($E$4:E85,"&gt;0"),"")</f>
        <v/>
      </c>
      <c r="M86" s="1" t="str">
        <f aca="false">IF(AND(D85&gt;0,G85="المحفظة"),COUNTIFS($D$4:D85,"&gt;"&amp;0,$G$4:G85,"المحفظة"),"")</f>
        <v/>
      </c>
      <c r="N86" s="1" t="str">
        <f aca="false"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6" s="1" t="str">
        <f aca="false">IF(AND(D85&gt;0,F85="أحد الشركاء"),COUNTIFS($D$4:D85,"&gt;"&amp;0,$F$4:F85,"أحد الشركاء"),"")</f>
        <v/>
      </c>
    </row>
    <row r="87" customFormat="false" ht="18.75" hidden="false" customHeight="true" outlineLevel="0" collapsed="false">
      <c r="A87" s="56"/>
      <c r="B87" s="57"/>
      <c r="C87" s="58"/>
      <c r="D87" s="59"/>
      <c r="E87" s="60"/>
      <c r="F87" s="61"/>
      <c r="G87" s="62"/>
      <c r="H87" s="63"/>
      <c r="I87" s="64"/>
      <c r="J87" s="65" t="str">
        <f aca="false">IF(AND(D86="",E86="",A86="",B86="",C86=""),"", IFERROR(IF(J85="",D2,J85),D2)+IF(E86="",0,E86)-IF(D86="",0,D86))</f>
        <v/>
      </c>
      <c r="K87" s="66"/>
      <c r="L87" s="1" t="str">
        <f aca="false">IF(E86&gt;0,COUNTIF($E$4:E86,"&gt;0"),"")</f>
        <v/>
      </c>
      <c r="M87" s="1" t="str">
        <f aca="false">IF(AND(D86&gt;0,G86="المحفظة"),COUNTIFS($D$4:D86,"&gt;"&amp;0,$G$4:G86,"المحفظة"),"")</f>
        <v/>
      </c>
      <c r="N87" s="1" t="str">
        <f aca="false"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7" s="1" t="str">
        <f aca="false">IF(AND(D86&gt;0,F86="أحد الشركاء"),COUNTIFS($D$4:D86,"&gt;"&amp;0,$F$4:F86,"أحد الشركاء"),"")</f>
        <v/>
      </c>
    </row>
    <row r="88" customFormat="false" ht="18.75" hidden="false" customHeight="true" outlineLevel="0" collapsed="false">
      <c r="A88" s="67"/>
      <c r="B88" s="68"/>
      <c r="C88" s="69"/>
      <c r="D88" s="70"/>
      <c r="E88" s="71"/>
      <c r="F88" s="72"/>
      <c r="G88" s="73"/>
      <c r="H88" s="74"/>
      <c r="I88" s="75"/>
      <c r="J88" s="76" t="str">
        <f aca="false">IF(AND(D87="",E87="",A87="",B87="",C87=""),"", IFERROR(IF(J86="",D2,J86),D2)+IF(E87="",0,E87)-IF(D87="",0,D87))</f>
        <v/>
      </c>
      <c r="K88" s="77"/>
      <c r="L88" s="1" t="str">
        <f aca="false">IF(E87&gt;0,COUNTIF($E$4:E87,"&gt;0"),"")</f>
        <v/>
      </c>
      <c r="M88" s="1" t="str">
        <f aca="false">IF(AND(D87&gt;0,G87="المحفظة"),COUNTIFS($D$4:D87,"&gt;"&amp;0,$G$4:G87,"المحفظة"),"")</f>
        <v/>
      </c>
      <c r="N88" s="1" t="str">
        <f aca="false"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8" s="1" t="str">
        <f aca="false">IF(AND(D87&gt;0,F87="أحد الشركاء"),COUNTIFS($D$4:D87,"&gt;"&amp;0,$F$4:F87,"أحد الشركاء"),"")</f>
        <v/>
      </c>
    </row>
    <row r="89" customFormat="false" ht="18.75" hidden="false" customHeight="true" outlineLevel="0" collapsed="false">
      <c r="A89" s="56"/>
      <c r="B89" s="57"/>
      <c r="C89" s="58"/>
      <c r="D89" s="59"/>
      <c r="E89" s="60"/>
      <c r="F89" s="61"/>
      <c r="G89" s="62"/>
      <c r="H89" s="63"/>
      <c r="I89" s="64"/>
      <c r="J89" s="65" t="str">
        <f aca="false">IF(AND(D88="",E88="",A88="",B88="",C88=""),"", IFERROR(IF(J87="",D2,J87),D2)+IF(E88="",0,E88)-IF(D88="",0,D88))</f>
        <v/>
      </c>
      <c r="K89" s="66"/>
      <c r="L89" s="1" t="str">
        <f aca="false">IF(E88&gt;0,COUNTIF($E$4:E88,"&gt;0"),"")</f>
        <v/>
      </c>
      <c r="M89" s="1" t="str">
        <f aca="false">IF(AND(D88&gt;0,G88="المحفظة"),COUNTIFS($D$4:D88,"&gt;"&amp;0,$G$4:G88,"المحفظة"),"")</f>
        <v/>
      </c>
      <c r="N89" s="1" t="str">
        <f aca="false"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9" s="1" t="str">
        <f aca="false">IF(AND(D88&gt;0,F88="أحد الشركاء"),COUNTIFS($D$4:D88,"&gt;"&amp;0,$F$4:F88,"أحد الشركاء"),"")</f>
        <v/>
      </c>
    </row>
    <row r="90" customFormat="false" ht="18.75" hidden="false" customHeight="true" outlineLevel="0" collapsed="false">
      <c r="A90" s="67"/>
      <c r="B90" s="68"/>
      <c r="C90" s="69"/>
      <c r="D90" s="70"/>
      <c r="E90" s="71"/>
      <c r="F90" s="72"/>
      <c r="G90" s="73"/>
      <c r="H90" s="74"/>
      <c r="I90" s="75"/>
      <c r="J90" s="76" t="str">
        <f aca="false">IF(AND(D89="",E89="",A89="",B89="",C89=""),"", IFERROR(IF(J88="",D2,J88),D2)+IF(E89="",0,E89)-IF(D89="",0,D89))</f>
        <v/>
      </c>
      <c r="K90" s="77"/>
      <c r="L90" s="1" t="str">
        <f aca="false">IF(E89&gt;0,COUNTIF($E$4:E89,"&gt;0"),"")</f>
        <v/>
      </c>
      <c r="M90" s="1" t="str">
        <f aca="false">IF(AND(D89&gt;0,G89="المحفظة"),COUNTIFS($D$4:D89,"&gt;"&amp;0,$G$4:G89,"المحفظة"),"")</f>
        <v/>
      </c>
      <c r="N90" s="1" t="str">
        <f aca="false"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90" s="1" t="str">
        <f aca="false">IF(AND(D89&gt;0,F89="أحد الشركاء"),COUNTIFS($D$4:D89,"&gt;"&amp;0,$F$4:F89,"أحد الشركاء"),"")</f>
        <v/>
      </c>
    </row>
    <row r="91" customFormat="false" ht="18.75" hidden="false" customHeight="true" outlineLevel="0" collapsed="false">
      <c r="A91" s="56"/>
      <c r="B91" s="57"/>
      <c r="C91" s="58"/>
      <c r="D91" s="59"/>
      <c r="E91" s="60"/>
      <c r="F91" s="61"/>
      <c r="G91" s="62"/>
      <c r="H91" s="63"/>
      <c r="I91" s="64"/>
      <c r="J91" s="65" t="str">
        <f aca="false">IF(AND(D90="",E90="",A90="",B90="",C90=""),"", IFERROR(IF(J89="",D2,J89),D2)+IF(E90="",0,E90)-IF(D90="",0,D90))</f>
        <v/>
      </c>
      <c r="K91" s="66"/>
      <c r="L91" s="1" t="str">
        <f aca="false">IF(E90&gt;0,COUNTIF($E$4:E90,"&gt;0"),"")</f>
        <v/>
      </c>
      <c r="M91" s="1" t="str">
        <f aca="false">IF(AND(D90&gt;0,G90="المحفظة"),COUNTIFS($D$4:D90,"&gt;"&amp;0,$G$4:G90,"المحفظة"),"")</f>
        <v/>
      </c>
      <c r="N91" s="1" t="str">
        <f aca="false"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1" s="1" t="str">
        <f aca="false">IF(AND(D90&gt;0,F90="أحد الشركاء"),COUNTIFS($D$4:D90,"&gt;"&amp;0,$F$4:F90,"أحد الشركاء"),"")</f>
        <v/>
      </c>
    </row>
    <row r="92" customFormat="false" ht="18.75" hidden="false" customHeight="true" outlineLevel="0" collapsed="false">
      <c r="A92" s="67"/>
      <c r="B92" s="68"/>
      <c r="C92" s="69"/>
      <c r="D92" s="70"/>
      <c r="E92" s="71"/>
      <c r="F92" s="72"/>
      <c r="G92" s="73"/>
      <c r="H92" s="74"/>
      <c r="I92" s="75"/>
      <c r="J92" s="76" t="str">
        <f aca="false">IF(AND(D91="",E91="",A91="",B91="",C91=""),"", IFERROR(IF(J90="",D2,J90),D2)+IF(E91="",0,E91)-IF(D91="",0,D91))</f>
        <v/>
      </c>
      <c r="K92" s="77"/>
      <c r="L92" s="1" t="str">
        <f aca="false">IF(E91&gt;0,COUNTIF($E$4:E91,"&gt;0"),"")</f>
        <v/>
      </c>
      <c r="M92" s="1" t="str">
        <f aca="false">IF(AND(D91&gt;0,G91="المحفظة"),COUNTIFS($D$4:D91,"&gt;"&amp;0,$G$4:G91,"المحفظة"),"")</f>
        <v/>
      </c>
      <c r="N92" s="1" t="str">
        <f aca="false"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2" s="1" t="str">
        <f aca="false">IF(AND(D91&gt;0,F91="أحد الشركاء"),COUNTIFS($D$4:D91,"&gt;"&amp;0,$F$4:F91,"أحد الشركاء"),"")</f>
        <v/>
      </c>
    </row>
    <row r="93" customFormat="false" ht="18.75" hidden="false" customHeight="true" outlineLevel="0" collapsed="false">
      <c r="A93" s="56"/>
      <c r="B93" s="57"/>
      <c r="C93" s="58"/>
      <c r="D93" s="59"/>
      <c r="E93" s="60"/>
      <c r="F93" s="61"/>
      <c r="G93" s="62"/>
      <c r="H93" s="63"/>
      <c r="I93" s="64"/>
      <c r="J93" s="65" t="str">
        <f aca="false">IF(AND(D92="",E92="",A92="",B92="",C92=""),"", IFERROR(IF(J91="",D2,J91),D2)+IF(E92="",0,E92)-IF(D92="",0,D92))</f>
        <v/>
      </c>
      <c r="K93" s="66"/>
      <c r="L93" s="1" t="str">
        <f aca="false">IF(E92&gt;0,COUNTIF($E$4:E92,"&gt;0"),"")</f>
        <v/>
      </c>
      <c r="M93" s="1" t="str">
        <f aca="false">IF(AND(D92&gt;0,G92="المحفظة"),COUNTIFS($D$4:D92,"&gt;"&amp;0,$G$4:G92,"المحفظة"),"")</f>
        <v/>
      </c>
      <c r="N93" s="1" t="str">
        <f aca="false"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3" s="1" t="str">
        <f aca="false">IF(AND(D92&gt;0,F92="أحد الشركاء"),COUNTIFS($D$4:D92,"&gt;"&amp;0,$F$4:F92,"أحد الشركاء"),"")</f>
        <v/>
      </c>
    </row>
    <row r="94" customFormat="false" ht="18.75" hidden="false" customHeight="true" outlineLevel="0" collapsed="false">
      <c r="A94" s="67"/>
      <c r="B94" s="68"/>
      <c r="C94" s="69"/>
      <c r="D94" s="70"/>
      <c r="E94" s="71"/>
      <c r="F94" s="72"/>
      <c r="G94" s="73"/>
      <c r="H94" s="74"/>
      <c r="I94" s="75"/>
      <c r="J94" s="76" t="str">
        <f aca="false">IF(AND(D93="",E93="",A93="",B93="",C93=""),"", IFERROR(IF(J92="",D2,J92),D2)+IF(E93="",0,E93)-IF(D93="",0,D93))</f>
        <v/>
      </c>
      <c r="K94" s="77"/>
      <c r="L94" s="1" t="str">
        <f aca="false">IF(E93&gt;0,COUNTIF($E$4:E93,"&gt;0"),"")</f>
        <v/>
      </c>
      <c r="M94" s="1" t="str">
        <f aca="false">IF(AND(D93&gt;0,G93="المحفظة"),COUNTIFS($D$4:D93,"&gt;"&amp;0,$G$4:G93,"المحفظة"),"")</f>
        <v/>
      </c>
      <c r="N94" s="1" t="str">
        <f aca="false"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4" s="1" t="str">
        <f aca="false">IF(AND(D93&gt;0,F93="أحد الشركاء"),COUNTIFS($D$4:D93,"&gt;"&amp;0,$F$4:F93,"أحد الشركاء"),"")</f>
        <v/>
      </c>
    </row>
    <row r="95" customFormat="false" ht="18.75" hidden="false" customHeight="true" outlineLevel="0" collapsed="false">
      <c r="A95" s="56"/>
      <c r="B95" s="57"/>
      <c r="C95" s="58"/>
      <c r="D95" s="59"/>
      <c r="E95" s="60"/>
      <c r="F95" s="61"/>
      <c r="G95" s="62"/>
      <c r="H95" s="63"/>
      <c r="I95" s="64"/>
      <c r="J95" s="65" t="str">
        <f aca="false">IF(AND(D94="",E94="",A94="",B94="",C94=""),"", IFERROR(IF(J93="",D2,J93),D2)+IF(E94="",0,E94)-IF(D94="",0,D94))</f>
        <v/>
      </c>
      <c r="K95" s="66"/>
      <c r="L95" s="1" t="str">
        <f aca="false">IF(E94&gt;0,COUNTIF($E$4:E94,"&gt;0"),"")</f>
        <v/>
      </c>
      <c r="M95" s="1" t="str">
        <f aca="false">IF(AND(D94&gt;0,G94="المحفظة"),COUNTIFS($D$4:D94,"&gt;"&amp;0,$G$4:G94,"المحفظة"),"")</f>
        <v/>
      </c>
      <c r="N95" s="1" t="str">
        <f aca="false"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5" s="1" t="str">
        <f aca="false">IF(AND(D94&gt;0,F94="أحد الشركاء"),COUNTIFS($D$4:D94,"&gt;"&amp;0,$F$4:F94,"أحد الشركاء"),"")</f>
        <v/>
      </c>
    </row>
    <row r="96" customFormat="false" ht="18.75" hidden="false" customHeight="true" outlineLevel="0" collapsed="false">
      <c r="A96" s="67"/>
      <c r="B96" s="68"/>
      <c r="C96" s="69"/>
      <c r="D96" s="70"/>
      <c r="E96" s="71"/>
      <c r="F96" s="72"/>
      <c r="G96" s="73"/>
      <c r="H96" s="74"/>
      <c r="I96" s="75"/>
      <c r="J96" s="76" t="str">
        <f aca="false">IF(AND(D95="",E95="",A95="",B95="",C95=""),"", IFERROR(IF(J94="",D2,J94),D2)+IF(E95="",0,E95)-IF(D95="",0,D95))</f>
        <v/>
      </c>
      <c r="K96" s="77"/>
      <c r="L96" s="1" t="str">
        <f aca="false">IF(E95&gt;0,COUNTIF($E$4:E95,"&gt;0"),"")</f>
        <v/>
      </c>
      <c r="M96" s="1" t="str">
        <f aca="false">IF(AND(D95&gt;0,G95="المحفظة"),COUNTIFS($D$4:D95,"&gt;"&amp;0,$G$4:G95,"المحفظة"),"")</f>
        <v/>
      </c>
      <c r="N96" s="1" t="str">
        <f aca="false"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6" s="1" t="str">
        <f aca="false">IF(AND(D95&gt;0,F95="أحد الشركاء"),COUNTIFS($D$4:D95,"&gt;"&amp;0,$F$4:F95,"أحد الشركاء"),"")</f>
        <v/>
      </c>
    </row>
    <row r="97" customFormat="false" ht="18.75" hidden="false" customHeight="true" outlineLevel="0" collapsed="false">
      <c r="A97" s="56"/>
      <c r="B97" s="57"/>
      <c r="C97" s="58"/>
      <c r="D97" s="59"/>
      <c r="E97" s="60"/>
      <c r="F97" s="61"/>
      <c r="G97" s="62"/>
      <c r="H97" s="63"/>
      <c r="I97" s="64"/>
      <c r="J97" s="65" t="str">
        <f aca="false">IF(AND(D96="",E96="",A96="",B96="",C96=""),"", IFERROR(IF(J95="",D2,J95),D2)+IF(E96="",0,E96)-IF(D96="",0,D96))</f>
        <v/>
      </c>
      <c r="K97" s="66"/>
      <c r="L97" s="1" t="str">
        <f aca="false">IF(E96&gt;0,COUNTIF($E$4:E96,"&gt;0"),"")</f>
        <v/>
      </c>
      <c r="M97" s="1" t="str">
        <f aca="false">IF(AND(D96&gt;0,G96="المحفظة"),COUNTIFS($D$4:D96,"&gt;"&amp;0,$G$4:G96,"المحفظة"),"")</f>
        <v/>
      </c>
      <c r="N97" s="1" t="str">
        <f aca="false"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7" s="1" t="str">
        <f aca="false">IF(AND(D96&gt;0,F96="أحد الشركاء"),COUNTIFS($D$4:D96,"&gt;"&amp;0,$F$4:F96,"أحد الشركاء"),"")</f>
        <v/>
      </c>
    </row>
    <row r="98" customFormat="false" ht="18.75" hidden="false" customHeight="true" outlineLevel="0" collapsed="false">
      <c r="A98" s="67"/>
      <c r="B98" s="68"/>
      <c r="C98" s="69"/>
      <c r="D98" s="70"/>
      <c r="E98" s="71"/>
      <c r="F98" s="72"/>
      <c r="G98" s="73"/>
      <c r="H98" s="74"/>
      <c r="I98" s="75"/>
      <c r="J98" s="76" t="str">
        <f aca="false">IF(AND(D97="",E97="",A97="",B97="",C97=""),"", IFERROR(IF(J96="",D2,J96),D2)+IF(E97="",0,E97)-IF(D97="",0,D97))</f>
        <v/>
      </c>
      <c r="K98" s="77"/>
      <c r="L98" s="1" t="str">
        <f aca="false">IF(E97&gt;0,COUNTIF($E$4:E97,"&gt;0"),"")</f>
        <v/>
      </c>
      <c r="M98" s="1" t="str">
        <f aca="false">IF(AND(D97&gt;0,G97="المحفظة"),COUNTIFS($D$4:D97,"&gt;"&amp;0,$G$4:G97,"المحفظة"),"")</f>
        <v/>
      </c>
      <c r="N98" s="1" t="str">
        <f aca="false"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8" s="1" t="str">
        <f aca="false">IF(AND(D97&gt;0,F97="أحد الشركاء"),COUNTIFS($D$4:D97,"&gt;"&amp;0,$F$4:F97,"أحد الشركاء"),"")</f>
        <v/>
      </c>
    </row>
    <row r="99" customFormat="false" ht="18.75" hidden="false" customHeight="true" outlineLevel="0" collapsed="false">
      <c r="A99" s="56"/>
      <c r="B99" s="57"/>
      <c r="C99" s="58"/>
      <c r="D99" s="59"/>
      <c r="E99" s="60"/>
      <c r="F99" s="61"/>
      <c r="G99" s="62"/>
      <c r="H99" s="63"/>
      <c r="I99" s="64"/>
      <c r="J99" s="65" t="str">
        <f aca="false">IF(AND(D98="",E98="",A98="",B98="",C98=""),"", IFERROR(IF(J97="",D2,J97),D2)+IF(E98="",0,E98)-IF(D98="",0,D98))</f>
        <v/>
      </c>
      <c r="K99" s="66"/>
      <c r="L99" s="1" t="str">
        <f aca="false">IF(E98&gt;0,COUNTIF($E$4:E98,"&gt;0"),"")</f>
        <v/>
      </c>
      <c r="M99" s="1" t="str">
        <f aca="false">IF(AND(D98&gt;0,G98="المحفظة"),COUNTIFS($D$4:D98,"&gt;"&amp;0,$G$4:G98,"المحفظة"),"")</f>
        <v/>
      </c>
      <c r="N99" s="1" t="str">
        <f aca="false"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9" s="1" t="str">
        <f aca="false">IF(AND(D98&gt;0,F98="أحد الشركاء"),COUNTIFS($D$4:D98,"&gt;"&amp;0,$F$4:F98,"أحد الشركاء"),"")</f>
        <v/>
      </c>
    </row>
    <row r="100" customFormat="false" ht="18.75" hidden="false" customHeight="true" outlineLevel="0" collapsed="false">
      <c r="A100" s="67"/>
      <c r="B100" s="68"/>
      <c r="C100" s="69"/>
      <c r="D100" s="70"/>
      <c r="E100" s="71"/>
      <c r="F100" s="72"/>
      <c r="G100" s="73"/>
      <c r="H100" s="74"/>
      <c r="I100" s="75"/>
      <c r="J100" s="76" t="str">
        <f aca="false">IF(AND(D99="",E99="",A99="",B99="",C99=""),"", IFERROR(IF(J98="",D2,J98),D2)+IF(E99="",0,E99)-IF(D99="",0,D99))</f>
        <v/>
      </c>
      <c r="K100" s="77"/>
      <c r="L100" s="1" t="str">
        <f aca="false">IF(E99&gt;0,COUNTIF($E$4:E99,"&gt;0"),"")</f>
        <v/>
      </c>
      <c r="M100" s="1" t="str">
        <f aca="false">IF(AND(D99&gt;0,G99="المحفظة"),COUNTIFS($D$4:D99,"&gt;"&amp;0,$G$4:G99,"المحفظة"),"")</f>
        <v/>
      </c>
      <c r="N100" s="1" t="str">
        <f aca="false"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100" s="1" t="str">
        <f aca="false">IF(AND(D99&gt;0,F99="أحد الشركاء"),COUNTIFS($D$4:D99,"&gt;"&amp;0,$F$4:F99,"أحد الشركاء"),"")</f>
        <v/>
      </c>
    </row>
    <row r="101" customFormat="false" ht="18.75" hidden="false" customHeight="true" outlineLevel="0" collapsed="false">
      <c r="A101" s="56"/>
      <c r="B101" s="57"/>
      <c r="C101" s="58"/>
      <c r="D101" s="59"/>
      <c r="E101" s="60"/>
      <c r="F101" s="61"/>
      <c r="G101" s="62"/>
      <c r="H101" s="63"/>
      <c r="I101" s="64"/>
      <c r="J101" s="65" t="str">
        <f aca="false">IF(AND(D100="",E100="",A100="",B100="",C100=""),"", IFERROR(IF(J99="",D2,J99),D2)+IF(E100="",0,E100)-IF(D100="",0,D100))</f>
        <v/>
      </c>
      <c r="K101" s="66"/>
      <c r="L101" s="1" t="str">
        <f aca="false">IF(E100&gt;0,COUNTIF($E$4:E100,"&gt;0"),"")</f>
        <v/>
      </c>
      <c r="M101" s="1" t="str">
        <f aca="false">IF(AND(D100&gt;0,G100="المحفظة"),COUNTIFS($D$4:D100,"&gt;"&amp;0,$G$4:G100,"المحفظة"),"")</f>
        <v/>
      </c>
      <c r="N101" s="1" t="str">
        <f aca="false"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1" s="1" t="str">
        <f aca="false">IF(AND(D100&gt;0,F100="أحد الشركاء"),COUNTIFS($D$4:D100,"&gt;"&amp;0,$F$4:F100,"أحد الشركاء"),"")</f>
        <v/>
      </c>
    </row>
    <row r="102" customFormat="false" ht="18.75" hidden="false" customHeight="true" outlineLevel="0" collapsed="false">
      <c r="A102" s="67"/>
      <c r="B102" s="68"/>
      <c r="C102" s="69"/>
      <c r="D102" s="70"/>
      <c r="E102" s="71"/>
      <c r="F102" s="72"/>
      <c r="G102" s="73"/>
      <c r="H102" s="74"/>
      <c r="I102" s="75"/>
      <c r="J102" s="76" t="str">
        <f aca="false">IF(AND(D101="",E101="",A101="",B101="",C101=""),"", IFERROR(IF(J100="",D2,J100),D2)+IF(E101="",0,E101)-IF(D101="",0,D101))</f>
        <v/>
      </c>
      <c r="K102" s="77"/>
      <c r="L102" s="1" t="str">
        <f aca="false">IF(E101&gt;0,COUNTIF($E$4:E101,"&gt;0"),"")</f>
        <v/>
      </c>
      <c r="M102" s="1" t="str">
        <f aca="false">IF(AND(D101&gt;0,G101="المحفظة"),COUNTIFS($D$4:D101,"&gt;"&amp;0,$G$4:G101,"المحفظة"),"")</f>
        <v/>
      </c>
      <c r="N102" s="1" t="str">
        <f aca="false"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2" s="1" t="str">
        <f aca="false">IF(AND(D101&gt;0,F101="أحد الشركاء"),COUNTIFS($D$4:D101,"&gt;"&amp;0,$F$4:F101,"أحد الشركاء"),"")</f>
        <v/>
      </c>
    </row>
    <row r="103" customFormat="false" ht="18.75" hidden="false" customHeight="true" outlineLevel="0" collapsed="false">
      <c r="A103" s="56"/>
      <c r="B103" s="57"/>
      <c r="C103" s="58"/>
      <c r="D103" s="59"/>
      <c r="E103" s="60"/>
      <c r="F103" s="61"/>
      <c r="G103" s="62"/>
      <c r="H103" s="63"/>
      <c r="I103" s="64"/>
      <c r="J103" s="65" t="str">
        <f aca="false">IF(AND(D102="",E102="",A102="",B102="",C102=""),"", IFERROR(IF(J101="",D2,J101),D2)+IF(E102="",0,E102)-IF(D102="",0,D102))</f>
        <v/>
      </c>
      <c r="K103" s="66"/>
      <c r="L103" s="1" t="str">
        <f aca="false">IF(E102&gt;0,COUNTIF($E$4:E102,"&gt;0"),"")</f>
        <v/>
      </c>
      <c r="M103" s="1" t="str">
        <f aca="false">IF(AND(D102&gt;0,G102="المحفظة"),COUNTIFS($D$4:D102,"&gt;"&amp;0,$G$4:G102,"المحفظة"),"")</f>
        <v/>
      </c>
      <c r="N103" s="1" t="str">
        <f aca="false"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3" s="1" t="str">
        <f aca="false">IF(AND(D102&gt;0,F102="أحد الشركاء"),COUNTIFS($D$4:D102,"&gt;"&amp;0,$F$4:F102,"أحد الشركاء"),"")</f>
        <v/>
      </c>
    </row>
    <row r="104" customFormat="false" ht="18.75" hidden="false" customHeight="true" outlineLevel="0" collapsed="false">
      <c r="A104" s="67"/>
      <c r="B104" s="68"/>
      <c r="C104" s="69"/>
      <c r="D104" s="70"/>
      <c r="E104" s="71"/>
      <c r="F104" s="72"/>
      <c r="G104" s="73"/>
      <c r="H104" s="74"/>
      <c r="I104" s="75"/>
      <c r="J104" s="76" t="str">
        <f aca="false">IF(AND(D103="",E103="",A103="",B103="",C103=""),"", IFERROR(IF(J102="",D2,J102),D2)+IF(E103="",0,E103)-IF(D103="",0,D103))</f>
        <v/>
      </c>
      <c r="K104" s="77"/>
      <c r="L104" s="1" t="str">
        <f aca="false">IF(E103&gt;0,COUNTIF($E$4:E103,"&gt;0"),"")</f>
        <v/>
      </c>
      <c r="M104" s="1" t="str">
        <f aca="false">IF(AND(D103&gt;0,G103="المحفظة"),COUNTIFS($D$4:D103,"&gt;"&amp;0,$G$4:G103,"المحفظة"),"")</f>
        <v/>
      </c>
      <c r="N104" s="1" t="str">
        <f aca="false"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4" s="1" t="str">
        <f aca="false">IF(AND(D103&gt;0,F103="أحد الشركاء"),COUNTIFS($D$4:D103,"&gt;"&amp;0,$F$4:F103,"أحد الشركاء"),"")</f>
        <v/>
      </c>
    </row>
    <row r="105" customFormat="false" ht="18.75" hidden="false" customHeight="true" outlineLevel="0" collapsed="false">
      <c r="A105" s="56"/>
      <c r="B105" s="57"/>
      <c r="C105" s="58"/>
      <c r="D105" s="59"/>
      <c r="E105" s="60"/>
      <c r="F105" s="61"/>
      <c r="G105" s="62"/>
      <c r="H105" s="63"/>
      <c r="I105" s="64"/>
      <c r="J105" s="65" t="str">
        <f aca="false">IF(AND(D104="",E104="",A104="",B104="",C104=""),"", IFERROR(IF(J103="",D2,J103),D2)+IF(E104="",0,E104)-IF(D104="",0,D104))</f>
        <v/>
      </c>
      <c r="K105" s="66"/>
      <c r="L105" s="1" t="str">
        <f aca="false">IF(E104&gt;0,COUNTIF($E$4:E104,"&gt;0"),"")</f>
        <v/>
      </c>
      <c r="M105" s="1" t="str">
        <f aca="false">IF(AND(D104&gt;0,G104="المحفظة"),COUNTIFS($D$4:D104,"&gt;"&amp;0,$G$4:G104,"المحفظة"),"")</f>
        <v/>
      </c>
      <c r="N105" s="1" t="str">
        <f aca="false"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5" s="1" t="str">
        <f aca="false">IF(AND(D104&gt;0,F104="أحد الشركاء"),COUNTIFS($D$4:D104,"&gt;"&amp;0,$F$4:F104,"أحد الشركاء"),"")</f>
        <v/>
      </c>
    </row>
    <row r="106" customFormat="false" ht="18.75" hidden="false" customHeight="true" outlineLevel="0" collapsed="false">
      <c r="A106" s="67"/>
      <c r="B106" s="68"/>
      <c r="C106" s="69"/>
      <c r="D106" s="70"/>
      <c r="E106" s="71"/>
      <c r="F106" s="72"/>
      <c r="G106" s="73"/>
      <c r="H106" s="74"/>
      <c r="I106" s="75"/>
      <c r="J106" s="76" t="str">
        <f aca="false">IF(AND(D105="",E105="",A105="",B105="",C105=""),"", IFERROR(IF(J104="",D2,J104),D2)+IF(E105="",0,E105)-IF(D105="",0,D105))</f>
        <v/>
      </c>
      <c r="K106" s="77"/>
      <c r="L106" s="1" t="str">
        <f aca="false">IF(E105&gt;0,COUNTIF($E$4:E105,"&gt;0"),"")</f>
        <v/>
      </c>
      <c r="M106" s="1" t="str">
        <f aca="false">IF(AND(D105&gt;0,G105="المحفظة"),COUNTIFS($D$4:D105,"&gt;"&amp;0,$G$4:G105,"المحفظة"),"")</f>
        <v/>
      </c>
      <c r="N106" s="1" t="str">
        <f aca="false"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6" s="1" t="str">
        <f aca="false">IF(AND(D105&gt;0,F105="أحد الشركاء"),COUNTIFS($D$4:D105,"&gt;"&amp;0,$F$4:F105,"أحد الشركاء"),"")</f>
        <v/>
      </c>
    </row>
    <row r="107" customFormat="false" ht="18.75" hidden="false" customHeight="true" outlineLevel="0" collapsed="false">
      <c r="A107" s="56"/>
      <c r="B107" s="57"/>
      <c r="C107" s="58"/>
      <c r="D107" s="59"/>
      <c r="E107" s="60"/>
      <c r="F107" s="61"/>
      <c r="G107" s="62"/>
      <c r="H107" s="63"/>
      <c r="I107" s="64"/>
      <c r="J107" s="65" t="str">
        <f aca="false">IF(AND(D106="",E106="",A106="",B106="",C106=""),"", IFERROR(IF(J105="",D2,J105),D2)+IF(E106="",0,E106)-IF(D106="",0,D106))</f>
        <v/>
      </c>
      <c r="K107" s="66"/>
      <c r="L107" s="1" t="str">
        <f aca="false">IF(E106&gt;0,COUNTIF($E$4:E106,"&gt;0"),"")</f>
        <v/>
      </c>
      <c r="M107" s="1" t="str">
        <f aca="false">IF(AND(D106&gt;0,G106="المحفظة"),COUNTIFS($D$4:D106,"&gt;"&amp;0,$G$4:G106,"المحفظة"),"")</f>
        <v/>
      </c>
      <c r="N107" s="1" t="str">
        <f aca="false"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7" s="1" t="str">
        <f aca="false">IF(AND(D106&gt;0,F106="أحد الشركاء"),COUNTIFS($D$4:D106,"&gt;"&amp;0,$F$4:F106,"أحد الشركاء"),"")</f>
        <v/>
      </c>
    </row>
    <row r="108" customFormat="false" ht="18.75" hidden="false" customHeight="true" outlineLevel="0" collapsed="false">
      <c r="A108" s="67"/>
      <c r="B108" s="68"/>
      <c r="C108" s="69"/>
      <c r="D108" s="70"/>
      <c r="E108" s="71"/>
      <c r="F108" s="72"/>
      <c r="G108" s="73"/>
      <c r="H108" s="74"/>
      <c r="I108" s="75"/>
      <c r="J108" s="76" t="str">
        <f aca="false">IF(AND(D107="",E107="",A107="",B107="",C107=""),"", IFERROR(IF(J106="",D2,J106),D2)+IF(E107="",0,E107)-IF(D107="",0,D107))</f>
        <v/>
      </c>
      <c r="K108" s="77"/>
      <c r="L108" s="1" t="str">
        <f aca="false">IF(E107&gt;0,COUNTIF($E$4:E107,"&gt;0"),"")</f>
        <v/>
      </c>
      <c r="M108" s="1" t="str">
        <f aca="false">IF(AND(D107&gt;0,G107="المحفظة"),COUNTIFS($D$4:D107,"&gt;"&amp;0,$G$4:G107,"المحفظة"),"")</f>
        <v/>
      </c>
      <c r="N108" s="1" t="str">
        <f aca="false"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8" s="1" t="str">
        <f aca="false">IF(AND(D107&gt;0,F107="أحد الشركاء"),COUNTIFS($D$4:D107,"&gt;"&amp;0,$F$4:F107,"أحد الشركاء"),"")</f>
        <v/>
      </c>
    </row>
    <row r="109" customFormat="false" ht="18.75" hidden="false" customHeight="true" outlineLevel="0" collapsed="false">
      <c r="A109" s="56"/>
      <c r="B109" s="57"/>
      <c r="C109" s="58"/>
      <c r="D109" s="59"/>
      <c r="E109" s="60"/>
      <c r="F109" s="61"/>
      <c r="G109" s="62"/>
      <c r="H109" s="63"/>
      <c r="I109" s="64"/>
      <c r="J109" s="65" t="str">
        <f aca="false">IF(AND(D108="",E108="",A108="",B108="",C108=""),"", IFERROR(IF(J107="",D2,J107),D2)+IF(E108="",0,E108)-IF(D108="",0,D108))</f>
        <v/>
      </c>
      <c r="K109" s="66"/>
      <c r="L109" s="1" t="str">
        <f aca="false">IF(E108&gt;0,COUNTIF($E$4:E108,"&gt;0"),"")</f>
        <v/>
      </c>
      <c r="M109" s="1" t="str">
        <f aca="false">IF(AND(D108&gt;0,G108="المحفظة"),COUNTIFS($D$4:D108,"&gt;"&amp;0,$G$4:G108,"المحفظة"),"")</f>
        <v/>
      </c>
      <c r="N109" s="1" t="str">
        <f aca="false"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9" s="1" t="str">
        <f aca="false">IF(AND(D108&gt;0,F108="أحد الشركاء"),COUNTIFS($D$4:D108,"&gt;"&amp;0,$F$4:F108,"أحد الشركاء"),"")</f>
        <v/>
      </c>
    </row>
    <row r="110" customFormat="false" ht="18.75" hidden="false" customHeight="true" outlineLevel="0" collapsed="false">
      <c r="A110" s="67"/>
      <c r="B110" s="68"/>
      <c r="C110" s="69"/>
      <c r="D110" s="70"/>
      <c r="E110" s="71"/>
      <c r="F110" s="72"/>
      <c r="G110" s="73"/>
      <c r="H110" s="74"/>
      <c r="I110" s="75"/>
      <c r="J110" s="76" t="str">
        <f aca="false">IF(AND(D109="",E109="",A109="",B109="",C109=""),"", IFERROR(IF(J108="",D2,J108),D2)+IF(E109="",0,E109)-IF(D109="",0,D109))</f>
        <v/>
      </c>
      <c r="K110" s="77"/>
      <c r="L110" s="1" t="str">
        <f aca="false">IF(E109&gt;0,COUNTIF($E$4:E109,"&gt;0"),"")</f>
        <v/>
      </c>
      <c r="M110" s="1" t="str">
        <f aca="false">IF(AND(D109&gt;0,G109="المحفظة"),COUNTIFS($D$4:D109,"&gt;"&amp;0,$G$4:G109,"المحفظة"),"")</f>
        <v/>
      </c>
      <c r="N110" s="1" t="str">
        <f aca="false"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10" s="1" t="str">
        <f aca="false">IF(AND(D109&gt;0,F109="أحد الشركاء"),COUNTIFS($D$4:D109,"&gt;"&amp;0,$F$4:F109,"أحد الشركاء"),"")</f>
        <v/>
      </c>
    </row>
    <row r="111" customFormat="false" ht="18.75" hidden="false" customHeight="true" outlineLevel="0" collapsed="false">
      <c r="A111" s="56"/>
      <c r="B111" s="57"/>
      <c r="C111" s="58"/>
      <c r="D111" s="59"/>
      <c r="E111" s="60"/>
      <c r="F111" s="61"/>
      <c r="G111" s="62"/>
      <c r="H111" s="63"/>
      <c r="I111" s="64"/>
      <c r="J111" s="65" t="str">
        <f aca="false">IF(AND(D110="",E110="",A110="",B110="",C110=""),"", IFERROR(IF(J109="",D2,J109),D2)+IF(E110="",0,E110)-IF(D110="",0,D110))</f>
        <v/>
      </c>
      <c r="K111" s="66"/>
      <c r="L111" s="1" t="str">
        <f aca="false">IF(E110&gt;0,COUNTIF($E$4:E110,"&gt;0"),"")</f>
        <v/>
      </c>
      <c r="M111" s="1" t="str">
        <f aca="false">IF(AND(D110&gt;0,G110="المحفظة"),COUNTIFS($D$4:D110,"&gt;"&amp;0,$G$4:G110,"المحفظة"),"")</f>
        <v/>
      </c>
      <c r="N111" s="1" t="str">
        <f aca="false"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1" s="1" t="str">
        <f aca="false">IF(AND(D110&gt;0,F110="أحد الشركاء"),COUNTIFS($D$4:D110,"&gt;"&amp;0,$F$4:F110,"أحد الشركاء"),"")</f>
        <v/>
      </c>
    </row>
    <row r="112" customFormat="false" ht="18.75" hidden="false" customHeight="true" outlineLevel="0" collapsed="false">
      <c r="A112" s="67"/>
      <c r="B112" s="68"/>
      <c r="C112" s="69"/>
      <c r="D112" s="70"/>
      <c r="E112" s="71"/>
      <c r="F112" s="72"/>
      <c r="G112" s="73"/>
      <c r="H112" s="74"/>
      <c r="I112" s="75"/>
      <c r="J112" s="76" t="str">
        <f aca="false">IF(AND(D111="",E111="",A111="",B111="",C111=""),"", IFERROR(IF(J110="",D2,J110),D2)+IF(E111="",0,E111)-IF(D111="",0,D111))</f>
        <v/>
      </c>
      <c r="K112" s="77"/>
      <c r="L112" s="1" t="str">
        <f aca="false">IF(E111&gt;0,COUNTIF($E$4:E111,"&gt;0"),"")</f>
        <v/>
      </c>
      <c r="M112" s="1" t="str">
        <f aca="false">IF(AND(D111&gt;0,G111="المحفظة"),COUNTIFS($D$4:D111,"&gt;"&amp;0,$G$4:G111,"المحفظة"),"")</f>
        <v/>
      </c>
      <c r="N112" s="1" t="str">
        <f aca="false"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2" s="1" t="str">
        <f aca="false">IF(AND(D111&gt;0,F111="أحد الشركاء"),COUNTIFS($D$4:D111,"&gt;"&amp;0,$F$4:F111,"أحد الشركاء"),"")</f>
        <v/>
      </c>
    </row>
    <row r="113" customFormat="false" ht="18.75" hidden="false" customHeight="true" outlineLevel="0" collapsed="false">
      <c r="A113" s="56"/>
      <c r="B113" s="57"/>
      <c r="C113" s="58"/>
      <c r="D113" s="59"/>
      <c r="E113" s="60"/>
      <c r="F113" s="61"/>
      <c r="G113" s="62"/>
      <c r="H113" s="63"/>
      <c r="I113" s="64"/>
      <c r="J113" s="65" t="str">
        <f aca="false">IF(AND(D112="",E112="",A112="",B112="",C112=""),"", IFERROR(IF(J111="",D2,J111),D2)+IF(E112="",0,E112)-IF(D112="",0,D112))</f>
        <v/>
      </c>
      <c r="K113" s="66"/>
      <c r="L113" s="1" t="str">
        <f aca="false">IF(E112&gt;0,COUNTIF($E$4:E112,"&gt;0"),"")</f>
        <v/>
      </c>
      <c r="M113" s="1" t="str">
        <f aca="false">IF(AND(D112&gt;0,G112="المحفظة"),COUNTIFS($D$4:D112,"&gt;"&amp;0,$G$4:G112,"المحفظة"),"")</f>
        <v/>
      </c>
      <c r="N113" s="1" t="str">
        <f aca="false"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3" s="1" t="str">
        <f aca="false">IF(AND(D112&gt;0,F112="أحد الشركاء"),COUNTIFS($D$4:D112,"&gt;"&amp;0,$F$4:F112,"أحد الشركاء"),"")</f>
        <v/>
      </c>
    </row>
    <row r="114" customFormat="false" ht="18.75" hidden="false" customHeight="true" outlineLevel="0" collapsed="false">
      <c r="A114" s="67"/>
      <c r="B114" s="68"/>
      <c r="C114" s="69"/>
      <c r="D114" s="70"/>
      <c r="E114" s="71"/>
      <c r="F114" s="72"/>
      <c r="G114" s="73"/>
      <c r="H114" s="74"/>
      <c r="I114" s="75"/>
      <c r="J114" s="76" t="str">
        <f aca="false">IF(AND(D113="",E113="",A113="",B113="",C113=""),"", IFERROR(IF(J112="",D2,J112),D2)+IF(E113="",0,E113)-IF(D113="",0,D113))</f>
        <v/>
      </c>
      <c r="K114" s="77"/>
      <c r="L114" s="1" t="str">
        <f aca="false">IF(E113&gt;0,COUNTIF($E$4:E113,"&gt;0"),"")</f>
        <v/>
      </c>
      <c r="M114" s="1" t="str">
        <f aca="false">IF(AND(D113&gt;0,G113="المحفظة"),COUNTIFS($D$4:D113,"&gt;"&amp;0,$G$4:G113,"المحفظة"),"")</f>
        <v/>
      </c>
      <c r="N114" s="1" t="str">
        <f aca="false"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4" s="1" t="str">
        <f aca="false">IF(AND(D113&gt;0,F113="أحد الشركاء"),COUNTIFS($D$4:D113,"&gt;"&amp;0,$F$4:F113,"أحد الشركاء"),"")</f>
        <v/>
      </c>
    </row>
    <row r="115" customFormat="false" ht="18.75" hidden="false" customHeight="true" outlineLevel="0" collapsed="false">
      <c r="A115" s="56"/>
      <c r="B115" s="57"/>
      <c r="C115" s="58"/>
      <c r="D115" s="59"/>
      <c r="E115" s="60"/>
      <c r="F115" s="61"/>
      <c r="G115" s="62"/>
      <c r="H115" s="63"/>
      <c r="I115" s="64"/>
      <c r="J115" s="65" t="str">
        <f aca="false">IF(AND(D114="",E114="",A114="",B114="",C114=""),"", IFERROR(IF(J113="",D2,J113),D2)+IF(E114="",0,E114)-IF(D114="",0,D114))</f>
        <v/>
      </c>
      <c r="K115" s="66"/>
      <c r="L115" s="1" t="str">
        <f aca="false">IF(E114&gt;0,COUNTIF($E$4:E114,"&gt;0"),"")</f>
        <v/>
      </c>
      <c r="M115" s="1" t="str">
        <f aca="false">IF(AND(D114&gt;0,G114="المحفظة"),COUNTIFS($D$4:D114,"&gt;"&amp;0,$G$4:G114,"المحفظة"),"")</f>
        <v/>
      </c>
      <c r="N115" s="1" t="str">
        <f aca="false"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5" s="1" t="str">
        <f aca="false">IF(AND(D114&gt;0,F114="أحد الشركاء"),COUNTIFS($D$4:D114,"&gt;"&amp;0,$F$4:F114,"أحد الشركاء"),"")</f>
        <v/>
      </c>
    </row>
    <row r="116" customFormat="false" ht="18.75" hidden="false" customHeight="true" outlineLevel="0" collapsed="false">
      <c r="A116" s="67"/>
      <c r="B116" s="68"/>
      <c r="C116" s="69"/>
      <c r="D116" s="70"/>
      <c r="E116" s="71"/>
      <c r="F116" s="72"/>
      <c r="G116" s="73"/>
      <c r="H116" s="74"/>
      <c r="I116" s="75"/>
      <c r="J116" s="76" t="str">
        <f aca="false">IF(AND(D115="",E115="",A115="",B115="",C115=""),"", IFERROR(IF(J114="",D2,J114),D2)+IF(E115="",0,E115)-IF(D115="",0,D115))</f>
        <v/>
      </c>
      <c r="K116" s="77"/>
      <c r="L116" s="1" t="str">
        <f aca="false">IF(E115&gt;0,COUNTIF($E$4:E115,"&gt;0"),"")</f>
        <v/>
      </c>
      <c r="M116" s="1" t="str">
        <f aca="false">IF(AND(D115&gt;0,G115="المحفظة"),COUNTIFS($D$4:D115,"&gt;"&amp;0,$G$4:G115,"المحفظة"),"")</f>
        <v/>
      </c>
      <c r="N116" s="1" t="str">
        <f aca="false"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6" s="1" t="str">
        <f aca="false">IF(AND(D115&gt;0,F115="أحد الشركاء"),COUNTIFS($D$4:D115,"&gt;"&amp;0,$F$4:F115,"أحد الشركاء"),"")</f>
        <v/>
      </c>
    </row>
    <row r="117" customFormat="false" ht="18.75" hidden="false" customHeight="true" outlineLevel="0" collapsed="false">
      <c r="A117" s="56"/>
      <c r="B117" s="57"/>
      <c r="C117" s="58"/>
      <c r="D117" s="59"/>
      <c r="E117" s="60"/>
      <c r="F117" s="61"/>
      <c r="G117" s="62"/>
      <c r="H117" s="63"/>
      <c r="I117" s="64"/>
      <c r="J117" s="65" t="str">
        <f aca="false">IF(AND(D116="",E116="",A116="",B116="",C116=""),"", IFERROR(IF(J115="",D2,J115),D2)+IF(E116="",0,E116)-IF(D116="",0,D116))</f>
        <v/>
      </c>
      <c r="K117" s="66"/>
      <c r="L117" s="1" t="str">
        <f aca="false">IF(E116&gt;0,COUNTIF($E$4:E116,"&gt;0"),"")</f>
        <v/>
      </c>
      <c r="M117" s="1" t="str">
        <f aca="false">IF(AND(D116&gt;0,G116="المحفظة"),COUNTIFS($D$4:D116,"&gt;"&amp;0,$G$4:G116,"المحفظة"),"")</f>
        <v/>
      </c>
      <c r="N117" s="1" t="str">
        <f aca="false"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7" s="1" t="str">
        <f aca="false">IF(AND(D116&gt;0,F116="أحد الشركاء"),COUNTIFS($D$4:D116,"&gt;"&amp;0,$F$4:F116,"أحد الشركاء"),"")</f>
        <v/>
      </c>
    </row>
    <row r="118" customFormat="false" ht="18.75" hidden="false" customHeight="true" outlineLevel="0" collapsed="false">
      <c r="A118" s="67"/>
      <c r="B118" s="68"/>
      <c r="C118" s="69"/>
      <c r="D118" s="70"/>
      <c r="E118" s="71"/>
      <c r="F118" s="72"/>
      <c r="G118" s="73"/>
      <c r="H118" s="74"/>
      <c r="I118" s="75"/>
      <c r="J118" s="76" t="str">
        <f aca="false">IF(AND(D117="",E117="",A117="",B117="",C117=""),"", IFERROR(IF(J116="",D2,J116),D2)+IF(E117="",0,E117)-IF(D117="",0,D117))</f>
        <v/>
      </c>
      <c r="K118" s="77"/>
      <c r="L118" s="1" t="str">
        <f aca="false">IF(E117&gt;0,COUNTIF($E$4:E117,"&gt;0"),"")</f>
        <v/>
      </c>
      <c r="M118" s="1" t="str">
        <f aca="false">IF(AND(D117&gt;0,G117="المحفظة"),COUNTIFS($D$4:D117,"&gt;"&amp;0,$G$4:G117,"المحفظة"),"")</f>
        <v/>
      </c>
      <c r="N118" s="1" t="str">
        <f aca="false"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8" s="1" t="str">
        <f aca="false">IF(AND(D117&gt;0,F117="أحد الشركاء"),COUNTIFS($D$4:D117,"&gt;"&amp;0,$F$4:F117,"أحد الشركاء"),"")</f>
        <v/>
      </c>
    </row>
    <row r="119" customFormat="false" ht="18.75" hidden="false" customHeight="true" outlineLevel="0" collapsed="false">
      <c r="A119" s="56"/>
      <c r="B119" s="57"/>
      <c r="C119" s="58"/>
      <c r="D119" s="59"/>
      <c r="E119" s="60"/>
      <c r="F119" s="61"/>
      <c r="G119" s="62"/>
      <c r="H119" s="63"/>
      <c r="I119" s="64"/>
      <c r="J119" s="65" t="str">
        <f aca="false">IF(AND(D118="",E118="",A118="",B118="",C118=""),"", IFERROR(IF(J117="",D2,J117),D2)+IF(E118="",0,E118)-IF(D118="",0,D118))</f>
        <v/>
      </c>
      <c r="K119" s="66"/>
      <c r="L119" s="1" t="str">
        <f aca="false">IF(E118&gt;0,COUNTIF($E$4:E118,"&gt;0"),"")</f>
        <v/>
      </c>
      <c r="M119" s="1" t="str">
        <f aca="false">IF(AND(D118&gt;0,G118="المحفظة"),COUNTIFS($D$4:D118,"&gt;"&amp;0,$G$4:G118,"المحفظة"),"")</f>
        <v/>
      </c>
      <c r="N119" s="1" t="str">
        <f aca="false"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9" s="1" t="str">
        <f aca="false">IF(AND(D118&gt;0,F118="أحد الشركاء"),COUNTIFS($D$4:D118,"&gt;"&amp;0,$F$4:F118,"أحد الشركاء"),"")</f>
        <v/>
      </c>
    </row>
    <row r="120" customFormat="false" ht="18.75" hidden="false" customHeight="true" outlineLevel="0" collapsed="false">
      <c r="A120" s="67"/>
      <c r="B120" s="68"/>
      <c r="C120" s="69"/>
      <c r="D120" s="70"/>
      <c r="E120" s="71"/>
      <c r="F120" s="72"/>
      <c r="G120" s="73"/>
      <c r="H120" s="74"/>
      <c r="I120" s="75"/>
      <c r="J120" s="76" t="str">
        <f aca="false">IF(AND(D119="",E119="",A119="",B119="",C119=""),"", IFERROR(IF(J118="",D2,J118),D2)+IF(E119="",0,E119)-IF(D119="",0,D119))</f>
        <v/>
      </c>
      <c r="K120" s="77"/>
      <c r="L120" s="1" t="str">
        <f aca="false">IF(E119&gt;0,COUNTIF($E$4:E119,"&gt;0"),"")</f>
        <v/>
      </c>
      <c r="M120" s="1" t="str">
        <f aca="false">IF(AND(D119&gt;0,G119="المحفظة"),COUNTIFS($D$4:D119,"&gt;"&amp;0,$G$4:G119,"المحفظة"),"")</f>
        <v/>
      </c>
      <c r="N120" s="1" t="str">
        <f aca="false"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20" s="1" t="str">
        <f aca="false">IF(AND(D119&gt;0,F119="أحد الشركاء"),COUNTIFS($D$4:D119,"&gt;"&amp;0,$F$4:F119,"أحد الشركاء"),"")</f>
        <v/>
      </c>
    </row>
    <row r="121" customFormat="false" ht="18.75" hidden="false" customHeight="true" outlineLevel="0" collapsed="false">
      <c r="A121" s="56"/>
      <c r="B121" s="57"/>
      <c r="C121" s="58"/>
      <c r="D121" s="59"/>
      <c r="E121" s="60"/>
      <c r="F121" s="61"/>
      <c r="G121" s="62"/>
      <c r="H121" s="63"/>
      <c r="I121" s="64"/>
      <c r="J121" s="65" t="str">
        <f aca="false">IF(AND(D120="",E120="",A120="",B120="",C120=""),"", IFERROR(IF(J119="",D2,J119),D2)+IF(E120="",0,E120)-IF(D120="",0,D120))</f>
        <v/>
      </c>
      <c r="K121" s="66"/>
      <c r="L121" s="1" t="str">
        <f aca="false">IF(E120&gt;0,COUNTIF($E$4:E120,"&gt;0"),"")</f>
        <v/>
      </c>
      <c r="M121" s="1" t="str">
        <f aca="false">IF(AND(D120&gt;0,G120="المحفظة"),COUNTIFS($D$4:D120,"&gt;"&amp;0,$G$4:G120,"المحفظة"),"")</f>
        <v/>
      </c>
      <c r="N121" s="1" t="str">
        <f aca="false"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1" s="1" t="str">
        <f aca="false">IF(AND(D120&gt;0,F120="أحد الشركاء"),COUNTIFS($D$4:D120,"&gt;"&amp;0,$F$4:F120,"أحد الشركاء"),"")</f>
        <v/>
      </c>
    </row>
    <row r="122" customFormat="false" ht="18.75" hidden="false" customHeight="true" outlineLevel="0" collapsed="false">
      <c r="A122" s="67"/>
      <c r="B122" s="68"/>
      <c r="C122" s="69"/>
      <c r="D122" s="70"/>
      <c r="E122" s="71"/>
      <c r="F122" s="72"/>
      <c r="G122" s="73"/>
      <c r="H122" s="74"/>
      <c r="I122" s="75"/>
      <c r="J122" s="76" t="str">
        <f aca="false">IF(AND(D121="",E121="",A121="",B121="",C121=""),"", IFERROR(IF(J120="",D2,J120),D2)+IF(E121="",0,E121)-IF(D121="",0,D121))</f>
        <v/>
      </c>
      <c r="K122" s="77"/>
      <c r="L122" s="1" t="str">
        <f aca="false">IF(E121&gt;0,COUNTIF($E$4:E121,"&gt;0"),"")</f>
        <v/>
      </c>
      <c r="M122" s="1" t="str">
        <f aca="false">IF(AND(D121&gt;0,G121="المحفظة"),COUNTIFS($D$4:D121,"&gt;"&amp;0,$G$4:G121,"المحفظة"),"")</f>
        <v/>
      </c>
      <c r="N122" s="1" t="str">
        <f aca="false"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2" s="1" t="str">
        <f aca="false">IF(AND(D121&gt;0,F121="أحد الشركاء"),COUNTIFS($D$4:D121,"&gt;"&amp;0,$F$4:F121,"أحد الشركاء"),"")</f>
        <v/>
      </c>
    </row>
    <row r="123" customFormat="false" ht="18.75" hidden="false" customHeight="true" outlineLevel="0" collapsed="false">
      <c r="A123" s="56"/>
      <c r="B123" s="57"/>
      <c r="C123" s="58"/>
      <c r="D123" s="59"/>
      <c r="E123" s="60"/>
      <c r="F123" s="61"/>
      <c r="G123" s="62"/>
      <c r="H123" s="63"/>
      <c r="I123" s="64"/>
      <c r="J123" s="65" t="str">
        <f aca="false">IF(AND(D122="",E122="",A122="",B122="",C122=""),"", IFERROR(IF(J121="",D2,J121),D2)+IF(E122="",0,E122)-IF(D122="",0,D122))</f>
        <v/>
      </c>
      <c r="K123" s="66"/>
      <c r="L123" s="1" t="str">
        <f aca="false">IF(E122&gt;0,COUNTIF($E$4:E122,"&gt;0"),"")</f>
        <v/>
      </c>
      <c r="M123" s="1" t="str">
        <f aca="false">IF(AND(D122&gt;0,G122="المحفظة"),COUNTIFS($D$4:D122,"&gt;"&amp;0,$G$4:G122,"المحفظة"),"")</f>
        <v/>
      </c>
      <c r="N123" s="1" t="str">
        <f aca="false"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3" s="1" t="str">
        <f aca="false">IF(AND(D122&gt;0,F122="أحد الشركاء"),COUNTIFS($D$4:D122,"&gt;"&amp;0,$F$4:F122,"أحد الشركاء"),"")</f>
        <v/>
      </c>
    </row>
    <row r="124" customFormat="false" ht="18.75" hidden="false" customHeight="true" outlineLevel="0" collapsed="false">
      <c r="A124" s="67"/>
      <c r="B124" s="68"/>
      <c r="C124" s="69"/>
      <c r="D124" s="70"/>
      <c r="E124" s="71"/>
      <c r="F124" s="72"/>
      <c r="G124" s="73"/>
      <c r="H124" s="74"/>
      <c r="I124" s="75"/>
      <c r="J124" s="76" t="str">
        <f aca="false">IF(AND(D123="",E123="",A123="",B123="",C123=""),"", IFERROR(IF(J122="",D2,J122),D2)+IF(E123="",0,E123)-IF(D123="",0,D123))</f>
        <v/>
      </c>
      <c r="K124" s="77"/>
      <c r="L124" s="1" t="str">
        <f aca="false">IF(E123&gt;0,COUNTIF($E$4:E123,"&gt;0"),"")</f>
        <v/>
      </c>
      <c r="M124" s="1" t="str">
        <f aca="false">IF(AND(D123&gt;0,G123="المحفظة"),COUNTIFS($D$4:D123,"&gt;"&amp;0,$G$4:G123,"المحفظة"),"")</f>
        <v/>
      </c>
      <c r="N124" s="1" t="str">
        <f aca="false"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4" s="1" t="str">
        <f aca="false">IF(AND(D123&gt;0,F123="أحد الشركاء"),COUNTIFS($D$4:D123,"&gt;"&amp;0,$F$4:F123,"أحد الشركاء"),"")</f>
        <v/>
      </c>
    </row>
    <row r="125" customFormat="false" ht="18.75" hidden="false" customHeight="true" outlineLevel="0" collapsed="false">
      <c r="A125" s="56"/>
      <c r="B125" s="57"/>
      <c r="C125" s="58"/>
      <c r="D125" s="59"/>
      <c r="E125" s="60"/>
      <c r="F125" s="61"/>
      <c r="G125" s="62"/>
      <c r="H125" s="63"/>
      <c r="I125" s="64"/>
      <c r="J125" s="65" t="str">
        <f aca="false">IF(AND(D124="",E124="",A124="",B124="",C124=""),"", IFERROR(IF(J123="",D2,J123),D2)+IF(E124="",0,E124)-IF(D124="",0,D124))</f>
        <v/>
      </c>
      <c r="K125" s="66"/>
      <c r="L125" s="1" t="str">
        <f aca="false">IF(E124&gt;0,COUNTIF($E$4:E124,"&gt;0"),"")</f>
        <v/>
      </c>
      <c r="M125" s="1" t="str">
        <f aca="false">IF(AND(D124&gt;0,G124="المحفظة"),COUNTIFS($D$4:D124,"&gt;"&amp;0,$G$4:G124,"المحفظة"),"")</f>
        <v/>
      </c>
      <c r="N125" s="1" t="str">
        <f aca="false"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5" s="1" t="str">
        <f aca="false">IF(AND(D124&gt;0,F124="أحد الشركاء"),COUNTIFS($D$4:D124,"&gt;"&amp;0,$F$4:F124,"أحد الشركاء"),"")</f>
        <v/>
      </c>
    </row>
    <row r="126" customFormat="false" ht="18.75" hidden="false" customHeight="true" outlineLevel="0" collapsed="false">
      <c r="A126" s="67"/>
      <c r="B126" s="68"/>
      <c r="C126" s="69"/>
      <c r="D126" s="70"/>
      <c r="E126" s="71"/>
      <c r="F126" s="72"/>
      <c r="G126" s="73"/>
      <c r="H126" s="74"/>
      <c r="I126" s="75"/>
      <c r="J126" s="76" t="str">
        <f aca="false">IF(AND(D125="",E125="",A125="",B125="",C125=""),"", IFERROR(IF(J124="",D2,J124),D2)+IF(E125="",0,E125)-IF(D125="",0,D125))</f>
        <v/>
      </c>
      <c r="K126" s="77"/>
      <c r="L126" s="1" t="str">
        <f aca="false">IF(E125&gt;0,COUNTIF($E$4:E125,"&gt;0"),"")</f>
        <v/>
      </c>
      <c r="M126" s="1" t="str">
        <f aca="false">IF(AND(D125&gt;0,G125="المحفظة"),COUNTIFS($D$4:D125,"&gt;"&amp;0,$G$4:G125,"المحفظة"),"")</f>
        <v/>
      </c>
      <c r="N126" s="1" t="str">
        <f aca="false"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6" s="1" t="str">
        <f aca="false">IF(AND(D125&gt;0,F125="أحد الشركاء"),COUNTIFS($D$4:D125,"&gt;"&amp;0,$F$4:F125,"أحد الشركاء"),"")</f>
        <v/>
      </c>
    </row>
    <row r="127" customFormat="false" ht="18.75" hidden="false" customHeight="true" outlineLevel="0" collapsed="false">
      <c r="A127" s="56"/>
      <c r="B127" s="57"/>
      <c r="C127" s="58"/>
      <c r="D127" s="59"/>
      <c r="E127" s="60"/>
      <c r="F127" s="61"/>
      <c r="G127" s="62"/>
      <c r="H127" s="63"/>
      <c r="I127" s="64"/>
      <c r="J127" s="65" t="str">
        <f aca="false">IF(AND(D126="",E126="",A126="",B126="",C126=""),"", IFERROR(IF(J125="",D2,J125),D2)+IF(E126="",0,E126)-IF(D126="",0,D126))</f>
        <v/>
      </c>
      <c r="K127" s="66"/>
      <c r="L127" s="1" t="str">
        <f aca="false">IF(E126&gt;0,COUNTIF($E$4:E126,"&gt;0"),"")</f>
        <v/>
      </c>
      <c r="M127" s="1" t="str">
        <f aca="false">IF(AND(D126&gt;0,G126="المحفظة"),COUNTIFS($D$4:D126,"&gt;"&amp;0,$G$4:G126,"المحفظة"),"")</f>
        <v/>
      </c>
      <c r="N127" s="1" t="str">
        <f aca="false"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7" s="1" t="str">
        <f aca="false">IF(AND(D126&gt;0,F126="أحد الشركاء"),COUNTIFS($D$4:D126,"&gt;"&amp;0,$F$4:F126,"أحد الشركاء"),"")</f>
        <v/>
      </c>
    </row>
    <row r="128" customFormat="false" ht="18.75" hidden="false" customHeight="true" outlineLevel="0" collapsed="false">
      <c r="A128" s="67"/>
      <c r="B128" s="68"/>
      <c r="C128" s="69"/>
      <c r="D128" s="70"/>
      <c r="E128" s="71"/>
      <c r="F128" s="72"/>
      <c r="G128" s="73"/>
      <c r="H128" s="74"/>
      <c r="I128" s="75"/>
      <c r="J128" s="76" t="str">
        <f aca="false">IF(AND(D127="",E127="",A127="",B127="",C127=""),"", IFERROR(IF(J126="",D2,J126),D2)+IF(E127="",0,E127)-IF(D127="",0,D127))</f>
        <v/>
      </c>
      <c r="K128" s="77"/>
      <c r="L128" s="1" t="str">
        <f aca="false">IF(E127&gt;0,COUNTIF($E$4:E127,"&gt;0"),"")</f>
        <v/>
      </c>
      <c r="M128" s="1" t="str">
        <f aca="false">IF(AND(D127&gt;0,G127="المحفظة"),COUNTIFS($D$4:D127,"&gt;"&amp;0,$G$4:G127,"المحفظة"),"")</f>
        <v/>
      </c>
      <c r="N128" s="1" t="str">
        <f aca="false"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8" s="1" t="str">
        <f aca="false">IF(AND(D127&gt;0,F127="أحد الشركاء"),COUNTIFS($D$4:D127,"&gt;"&amp;0,$F$4:F127,"أحد الشركاء"),"")</f>
        <v/>
      </c>
    </row>
    <row r="129" customFormat="false" ht="18.75" hidden="false" customHeight="true" outlineLevel="0" collapsed="false">
      <c r="A129" s="56"/>
      <c r="B129" s="57"/>
      <c r="C129" s="58"/>
      <c r="D129" s="59"/>
      <c r="E129" s="60"/>
      <c r="F129" s="61"/>
      <c r="G129" s="62"/>
      <c r="H129" s="63"/>
      <c r="I129" s="64"/>
      <c r="J129" s="65" t="str">
        <f aca="false">IF(AND(D128="",E128="",A128="",B128="",C128=""),"", IFERROR(IF(J127="",D2,J127),D2)+IF(E128="",0,E128)-IF(D128="",0,D128))</f>
        <v/>
      </c>
      <c r="K129" s="66"/>
      <c r="L129" s="1" t="str">
        <f aca="false">IF(E128&gt;0,COUNTIF($E$4:E128,"&gt;0"),"")</f>
        <v/>
      </c>
      <c r="M129" s="1" t="str">
        <f aca="false">IF(AND(D128&gt;0,G128="المحفظة"),COUNTIFS($D$4:D128,"&gt;"&amp;0,$G$4:G128,"المحفظة"),"")</f>
        <v/>
      </c>
      <c r="N129" s="1" t="str">
        <f aca="false"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9" s="1" t="str">
        <f aca="false">IF(AND(D128&gt;0,F128="أحد الشركاء"),COUNTIFS($D$4:D128,"&gt;"&amp;0,$F$4:F128,"أحد الشركاء"),"")</f>
        <v/>
      </c>
    </row>
    <row r="130" customFormat="false" ht="18.75" hidden="false" customHeight="true" outlineLevel="0" collapsed="false">
      <c r="A130" s="67"/>
      <c r="B130" s="68"/>
      <c r="C130" s="69"/>
      <c r="D130" s="70"/>
      <c r="E130" s="71"/>
      <c r="F130" s="72"/>
      <c r="G130" s="73"/>
      <c r="H130" s="74"/>
      <c r="I130" s="75"/>
      <c r="J130" s="76" t="str">
        <f aca="false">IF(AND(D129="",E129="",A129="",B129="",C129=""),"", IFERROR(IF(J128="",D2,J128),D2)+IF(E129="",0,E129)-IF(D129="",0,D129))</f>
        <v/>
      </c>
      <c r="K130" s="77"/>
      <c r="L130" s="1" t="str">
        <f aca="false">IF(E129&gt;0,COUNTIF($E$4:E129,"&gt;0"),"")</f>
        <v/>
      </c>
      <c r="M130" s="1" t="str">
        <f aca="false">IF(AND(D129&gt;0,G129="المحفظة"),COUNTIFS($D$4:D129,"&gt;"&amp;0,$G$4:G129,"المحفظة"),"")</f>
        <v/>
      </c>
      <c r="N130" s="1" t="str">
        <f aca="false"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30" s="1" t="str">
        <f aca="false">IF(AND(D129&gt;0,F129="أحد الشركاء"),COUNTIFS($D$4:D129,"&gt;"&amp;0,$F$4:F129,"أحد الشركاء"),"")</f>
        <v/>
      </c>
    </row>
    <row r="131" customFormat="false" ht="18.75" hidden="false" customHeight="true" outlineLevel="0" collapsed="false">
      <c r="A131" s="56"/>
      <c r="B131" s="57"/>
      <c r="C131" s="58"/>
      <c r="D131" s="59"/>
      <c r="E131" s="60"/>
      <c r="F131" s="61"/>
      <c r="G131" s="62"/>
      <c r="H131" s="63"/>
      <c r="I131" s="64"/>
      <c r="J131" s="65" t="str">
        <f aca="false">IF(AND(D130="",E130="",A130="",B130="",C130=""),"", IFERROR(IF(J129="",D2,J129),D2)+IF(E130="",0,E130)-IF(D130="",0,D130))</f>
        <v/>
      </c>
      <c r="K131" s="66"/>
      <c r="L131" s="1" t="str">
        <f aca="false">IF(E130&gt;0,COUNTIF($E$4:E130,"&gt;0"),"")</f>
        <v/>
      </c>
      <c r="M131" s="1" t="str">
        <f aca="false">IF(AND(D130&gt;0,G130="المحفظة"),COUNTIFS($D$4:D130,"&gt;"&amp;0,$G$4:G130,"المحفظة"),"")</f>
        <v/>
      </c>
      <c r="N131" s="1" t="str">
        <f aca="false"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1" s="1" t="str">
        <f aca="false">IF(AND(D130&gt;0,F130="أحد الشركاء"),COUNTIFS($D$4:D130,"&gt;"&amp;0,$F$4:F130,"أحد الشركاء"),"")</f>
        <v/>
      </c>
    </row>
    <row r="132" customFormat="false" ht="18.75" hidden="false" customHeight="true" outlineLevel="0" collapsed="false">
      <c r="A132" s="67"/>
      <c r="B132" s="68"/>
      <c r="C132" s="69"/>
      <c r="D132" s="70"/>
      <c r="E132" s="71"/>
      <c r="F132" s="72"/>
      <c r="G132" s="73"/>
      <c r="H132" s="74"/>
      <c r="I132" s="75"/>
      <c r="J132" s="76" t="str">
        <f aca="false">IF(AND(D131="",E131="",A131="",B131="",C131=""),"", IFERROR(IF(J130="",D2,J130),D2)+IF(E131="",0,E131)-IF(D131="",0,D131))</f>
        <v/>
      </c>
      <c r="K132" s="77"/>
      <c r="L132" s="1" t="str">
        <f aca="false">IF(E131&gt;0,COUNTIF($E$4:E131,"&gt;0"),"")</f>
        <v/>
      </c>
      <c r="M132" s="1" t="str">
        <f aca="false">IF(AND(D131&gt;0,G131="المحفظة"),COUNTIFS($D$4:D131,"&gt;"&amp;0,$G$4:G131,"المحفظة"),"")</f>
        <v/>
      </c>
      <c r="N132" s="1" t="str">
        <f aca="false"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2" s="1" t="str">
        <f aca="false">IF(AND(D131&gt;0,F131="أحد الشركاء"),COUNTIFS($D$4:D131,"&gt;"&amp;0,$F$4:F131,"أحد الشركاء"),"")</f>
        <v/>
      </c>
    </row>
    <row r="133" customFormat="false" ht="18.75" hidden="false" customHeight="true" outlineLevel="0" collapsed="false">
      <c r="A133" s="56"/>
      <c r="B133" s="57"/>
      <c r="C133" s="58"/>
      <c r="D133" s="59"/>
      <c r="E133" s="60"/>
      <c r="F133" s="61"/>
      <c r="G133" s="62"/>
      <c r="H133" s="63"/>
      <c r="I133" s="64"/>
      <c r="J133" s="65" t="str">
        <f aca="false">IF(AND(D132="",E132="",A132="",B132="",C132=""),"", IFERROR(IF(J131="",D2,J131),D2)+IF(E132="",0,E132)-IF(D132="",0,D132))</f>
        <v/>
      </c>
      <c r="K133" s="66"/>
      <c r="L133" s="1" t="str">
        <f aca="false">IF(E132&gt;0,COUNTIF($E$4:E132,"&gt;0"),"")</f>
        <v/>
      </c>
      <c r="M133" s="1" t="str">
        <f aca="false">IF(AND(D132&gt;0,G132="المحفظة"),COUNTIFS($D$4:D132,"&gt;"&amp;0,$G$4:G132,"المحفظة"),"")</f>
        <v/>
      </c>
      <c r="N133" s="1" t="str">
        <f aca="false"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3" s="1" t="str">
        <f aca="false">IF(AND(D132&gt;0,F132="أحد الشركاء"),COUNTIFS($D$4:D132,"&gt;"&amp;0,$F$4:F132,"أحد الشركاء"),"")</f>
        <v/>
      </c>
    </row>
    <row r="134" customFormat="false" ht="18.75" hidden="false" customHeight="true" outlineLevel="0" collapsed="false">
      <c r="A134" s="67"/>
      <c r="B134" s="68"/>
      <c r="C134" s="69"/>
      <c r="D134" s="70"/>
      <c r="E134" s="71"/>
      <c r="F134" s="72"/>
      <c r="G134" s="73"/>
      <c r="H134" s="74"/>
      <c r="I134" s="75"/>
      <c r="J134" s="76" t="str">
        <f aca="false">IF(AND(D133="",E133="",A133="",B133="",C133=""),"", IFERROR(IF(J132="",D2,J132),D2)+IF(E133="",0,E133)-IF(D133="",0,D133))</f>
        <v/>
      </c>
      <c r="K134" s="77"/>
      <c r="L134" s="1" t="str">
        <f aca="false">IF(E133&gt;0,COUNTIF($E$4:E133,"&gt;0"),"")</f>
        <v/>
      </c>
      <c r="M134" s="1" t="str">
        <f aca="false">IF(AND(D133&gt;0,G133="المحفظة"),COUNTIFS($D$4:D133,"&gt;"&amp;0,$G$4:G133,"المحفظة"),"")</f>
        <v/>
      </c>
      <c r="N134" s="1" t="str">
        <f aca="false"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4" s="1" t="str">
        <f aca="false">IF(AND(D133&gt;0,F133="أحد الشركاء"),COUNTIFS($D$4:D133,"&gt;"&amp;0,$F$4:F133,"أحد الشركاء"),"")</f>
        <v/>
      </c>
    </row>
    <row r="135" customFormat="false" ht="18.75" hidden="false" customHeight="true" outlineLevel="0" collapsed="false">
      <c r="A135" s="56"/>
      <c r="B135" s="57"/>
      <c r="C135" s="58"/>
      <c r="D135" s="59"/>
      <c r="E135" s="60"/>
      <c r="F135" s="61"/>
      <c r="G135" s="62"/>
      <c r="H135" s="63"/>
      <c r="I135" s="64"/>
      <c r="J135" s="65" t="str">
        <f aca="false">IF(AND(D134="",E134="",A134="",B134="",C134=""),"", IFERROR(IF(J133="",D2,J133),D2)+IF(E134="",0,E134)-IF(D134="",0,D134))</f>
        <v/>
      </c>
      <c r="K135" s="66"/>
      <c r="L135" s="1" t="str">
        <f aca="false">IF(E134&gt;0,COUNTIF($E$4:E134,"&gt;0"),"")</f>
        <v/>
      </c>
      <c r="M135" s="1" t="str">
        <f aca="false">IF(AND(D134&gt;0,G134="المحفظة"),COUNTIFS($D$4:D134,"&gt;"&amp;0,$G$4:G134,"المحفظة"),"")</f>
        <v/>
      </c>
      <c r="N135" s="1" t="str">
        <f aca="false"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/>
      </c>
      <c r="O135" s="1" t="str">
        <f aca="false">IF(AND(D134&gt;0,F134="أحد الشركاء"),COUNTIFS($D$4:D134,"&gt;"&amp;0,$F$4:F134,"أحد الشركاء"),"")</f>
        <v/>
      </c>
    </row>
    <row r="136" customFormat="false" ht="18.75" hidden="false" customHeight="true" outlineLevel="0" collapsed="false">
      <c r="A136" s="67"/>
      <c r="B136" s="68"/>
      <c r="C136" s="69"/>
      <c r="D136" s="70"/>
      <c r="E136" s="71"/>
      <c r="F136" s="72"/>
      <c r="G136" s="73"/>
      <c r="H136" s="74"/>
      <c r="I136" s="75"/>
      <c r="J136" s="76" t="str">
        <f aca="false">IF(AND(D135="",E135="",A135="",B135="",C135=""),"", IFERROR(IF(J134="",D2,J134),D2)+IF(E135="",0,E135)-IF(D135="",0,D135))</f>
        <v/>
      </c>
      <c r="K136" s="77"/>
      <c r="L136" s="1" t="str">
        <f aca="false">IF(E135&gt;0,COUNTIF($E$4:E135,"&gt;0"),"")</f>
        <v/>
      </c>
      <c r="M136" s="1" t="str">
        <f aca="false">IF(AND(D135&gt;0,G135="المحفظة"),COUNTIFS($D$4:D135,"&gt;"&amp;0,$G$4:G135,"المحفظة"),"")</f>
        <v/>
      </c>
      <c r="N136" s="1" t="str">
        <f aca="false"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/>
      </c>
      <c r="O136" s="1" t="str">
        <f aca="false">IF(AND(D135&gt;0,F135="أحد الشركاء"),COUNTIFS($D$4:D135,"&gt;"&amp;0,$F$4:F135,"أحد الشركاء"),"")</f>
        <v/>
      </c>
    </row>
    <row r="137" customFormat="false" ht="18.75" hidden="false" customHeight="true" outlineLevel="0" collapsed="false">
      <c r="A137" s="56"/>
      <c r="B137" s="57"/>
      <c r="C137" s="58"/>
      <c r="D137" s="59"/>
      <c r="E137" s="60"/>
      <c r="F137" s="61"/>
      <c r="G137" s="62"/>
      <c r="H137" s="63"/>
      <c r="I137" s="64"/>
      <c r="J137" s="65" t="str">
        <f aca="false">IF(AND(D136="",E136="",A136="",B136="",C136=""),"", IFERROR(IF(J135="",D2,J135),D2)+IF(E136="",0,E136)-IF(D136="",0,D136))</f>
        <v/>
      </c>
      <c r="K137" s="66"/>
      <c r="L137" s="1" t="str">
        <f aca="false">IF(E136&gt;0,COUNTIF($E$4:E136,"&gt;0"),"")</f>
        <v/>
      </c>
      <c r="M137" s="1" t="str">
        <f aca="false">IF(AND(D136&gt;0,G136="المحفظة"),COUNTIFS($D$4:D136,"&gt;"&amp;0,$G$4:G136,"المحفظة"),"")</f>
        <v/>
      </c>
      <c r="N137" s="1" t="str">
        <f aca="false"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/>
      </c>
      <c r="O137" s="1" t="str">
        <f aca="false">IF(AND(D136&gt;0,F136="أحد الشركاء"),COUNTIFS($D$4:D136,"&gt;"&amp;0,$F$4:F136,"أحد الشركاء"),"")</f>
        <v/>
      </c>
    </row>
    <row r="138" customFormat="false" ht="18.75" hidden="false" customHeight="true" outlineLevel="0" collapsed="false">
      <c r="A138" s="67"/>
      <c r="B138" s="68"/>
      <c r="C138" s="69"/>
      <c r="D138" s="70"/>
      <c r="E138" s="71"/>
      <c r="F138" s="72"/>
      <c r="G138" s="73"/>
      <c r="H138" s="74"/>
      <c r="I138" s="75"/>
      <c r="J138" s="76" t="str">
        <f aca="false">IF(AND(D137="",E137="",A137="",B137="",C137=""),"", IFERROR(IF(J136="",D2,J136),D2)+IF(E137="",0,E137)-IF(D137="",0,D137))</f>
        <v/>
      </c>
      <c r="K138" s="77"/>
      <c r="L138" s="1" t="str">
        <f aca="false">IF(E137&gt;0,COUNTIF($E$4:E137,"&gt;0"),"")</f>
        <v/>
      </c>
      <c r="M138" s="1" t="str">
        <f aca="false">IF(AND(D137&gt;0,G137="المحفظة"),COUNTIFS($D$4:D137,"&gt;"&amp;0,$G$4:G137,"المحفظة"),"")</f>
        <v/>
      </c>
      <c r="N138" s="1" t="str">
        <f aca="false"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/>
      </c>
      <c r="O138" s="1" t="str">
        <f aca="false">IF(AND(D137&gt;0,F137="أحد الشركاء"),COUNTIFS($D$4:D137,"&gt;"&amp;0,$F$4:F137,"أحد الشركاء"),"")</f>
        <v/>
      </c>
    </row>
    <row r="139" customFormat="false" ht="18.75" hidden="false" customHeight="true" outlineLevel="0" collapsed="false">
      <c r="A139" s="56"/>
      <c r="B139" s="57"/>
      <c r="C139" s="58"/>
      <c r="D139" s="59"/>
      <c r="E139" s="60"/>
      <c r="F139" s="61"/>
      <c r="G139" s="62"/>
      <c r="H139" s="63"/>
      <c r="I139" s="64"/>
      <c r="J139" s="65" t="str">
        <f aca="false">IF(AND(D138="",E138="",A138="",B138="",C138=""),"", IFERROR(IF(J137="",D2,J137),D2)+IF(E138="",0,E138)-IF(D138="",0,D138))</f>
        <v/>
      </c>
      <c r="K139" s="66"/>
      <c r="L139" s="1" t="str">
        <f aca="false">IF(E138&gt;0,COUNTIF($E$4:E138,"&gt;0"),"")</f>
        <v/>
      </c>
      <c r="M139" s="1" t="str">
        <f aca="false">IF(AND(D138&gt;0,G138="المحفظة"),COUNTIFS($D$4:D138,"&gt;"&amp;0,$G$4:G138,"المحفظة"),"")</f>
        <v/>
      </c>
      <c r="N139" s="1" t="str">
        <f aca="false"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/>
      </c>
      <c r="O139" s="1" t="str">
        <f aca="false">IF(AND(D138&gt;0,F138="أحد الشركاء"),COUNTIFS($D$4:D138,"&gt;"&amp;0,$F$4:F138,"أحد الشركاء"),"")</f>
        <v/>
      </c>
    </row>
    <row r="140" customFormat="false" ht="18.75" hidden="false" customHeight="true" outlineLevel="0" collapsed="false">
      <c r="A140" s="67"/>
      <c r="B140" s="68"/>
      <c r="C140" s="69"/>
      <c r="D140" s="70"/>
      <c r="E140" s="71"/>
      <c r="F140" s="72"/>
      <c r="G140" s="73"/>
      <c r="H140" s="74"/>
      <c r="I140" s="75"/>
      <c r="J140" s="76" t="str">
        <f aca="false">IF(AND(D139="",E139="",A139="",B139="",C139=""),"", IFERROR(IF(J138="",D2,J138),D2)+IF(E139="",0,E139)-IF(D139="",0,D139))</f>
        <v/>
      </c>
      <c r="K140" s="77"/>
      <c r="L140" s="1" t="str">
        <f aca="false">IF(E139&gt;0,COUNTIF($E$4:E139,"&gt;0"),"")</f>
        <v/>
      </c>
      <c r="M140" s="1" t="str">
        <f aca="false">IF(AND(D139&gt;0,G139="المحفظة"),COUNTIFS($D$4:D139,"&gt;"&amp;0,$G$4:G139,"المحفظة"),"")</f>
        <v/>
      </c>
      <c r="N140" s="1" t="str">
        <f aca="false"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/>
      </c>
      <c r="O140" s="1" t="str">
        <f aca="false">IF(AND(D139&gt;0,F139="أحد الشركاء"),COUNTIFS($D$4:D139,"&gt;"&amp;0,$F$4:F139,"أحد الشركاء"),"")</f>
        <v/>
      </c>
    </row>
    <row r="141" customFormat="false" ht="18.75" hidden="false" customHeight="true" outlineLevel="0" collapsed="false">
      <c r="A141" s="56"/>
      <c r="B141" s="57"/>
      <c r="C141" s="58"/>
      <c r="D141" s="59"/>
      <c r="E141" s="60"/>
      <c r="F141" s="61"/>
      <c r="G141" s="62"/>
      <c r="H141" s="63"/>
      <c r="I141" s="64"/>
      <c r="J141" s="65" t="str">
        <f aca="false">IF(AND(D140="",E140="",A140="",B140="",C140=""),"", IFERROR(IF(J139="",D2,J139),D2)+IF(E140="",0,E140)-IF(D140="",0,D140))</f>
        <v/>
      </c>
      <c r="K141" s="66"/>
      <c r="L141" s="1" t="str">
        <f aca="false">IF(E140&gt;0,COUNTIF($E$4:E140,"&gt;0"),"")</f>
        <v/>
      </c>
      <c r="M141" s="1" t="str">
        <f aca="false">IF(AND(D140&gt;0,G140="المحفظة"),COUNTIFS($D$4:D140,"&gt;"&amp;0,$G$4:G140,"المحفظة"),"")</f>
        <v/>
      </c>
      <c r="N141" s="1" t="str">
        <f aca="false"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/>
      </c>
      <c r="O141" s="1" t="str">
        <f aca="false">IF(AND(D140&gt;0,F140="أحد الشركاء"),COUNTIFS($D$4:D140,"&gt;"&amp;0,$F$4:F140,"أحد الشركاء"),"")</f>
        <v/>
      </c>
    </row>
    <row r="142" customFormat="false" ht="18.75" hidden="false" customHeight="true" outlineLevel="0" collapsed="false">
      <c r="A142" s="67"/>
      <c r="B142" s="68"/>
      <c r="C142" s="69"/>
      <c r="D142" s="70"/>
      <c r="E142" s="71"/>
      <c r="F142" s="72"/>
      <c r="G142" s="73"/>
      <c r="H142" s="74"/>
      <c r="I142" s="75"/>
      <c r="J142" s="76" t="str">
        <f aca="false">IF(AND(D141="",E141="",A141="",B141="",C141=""),"", IFERROR(IF(J140="",D2,J140),D2)+IF(E141="",0,E141)-IF(D141="",0,D141))</f>
        <v/>
      </c>
      <c r="K142" s="77"/>
      <c r="L142" s="1" t="str">
        <f aca="false">IF(E141&gt;0,COUNTIF($E$4:E141,"&gt;0"),"")</f>
        <v/>
      </c>
      <c r="M142" s="1" t="str">
        <f aca="false">IF(AND(D141&gt;0,G141="المحفظة"),COUNTIFS($D$4:D141,"&gt;"&amp;0,$G$4:G141,"المحفظة"),"")</f>
        <v/>
      </c>
      <c r="N142" s="1" t="str">
        <f aca="false"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/>
      </c>
      <c r="O142" s="1" t="str">
        <f aca="false">IF(AND(D141&gt;0,F141="أحد الشركاء"),COUNTIFS($D$4:D141,"&gt;"&amp;0,$F$4:F141,"أحد الشركاء"),"")</f>
        <v/>
      </c>
    </row>
    <row r="143" customFormat="false" ht="18.75" hidden="false" customHeight="true" outlineLevel="0" collapsed="false">
      <c r="A143" s="56"/>
      <c r="B143" s="57"/>
      <c r="C143" s="58"/>
      <c r="D143" s="59"/>
      <c r="E143" s="60"/>
      <c r="F143" s="61"/>
      <c r="G143" s="62"/>
      <c r="H143" s="63"/>
      <c r="I143" s="64"/>
      <c r="J143" s="65" t="str">
        <f aca="false">IF(AND(D142="",E142="",A142="",B142="",C142=""),"", IFERROR(IF(J141="",D2,J141),D2)+IF(E142="",0,E142)-IF(D142="",0,D142))</f>
        <v/>
      </c>
      <c r="K143" s="66"/>
      <c r="L143" s="1" t="str">
        <f aca="false">IF(E142&gt;0,COUNTIF($E$4:E142,"&gt;0"),"")</f>
        <v/>
      </c>
      <c r="M143" s="1" t="str">
        <f aca="false">IF(AND(D142&gt;0,G142="المحفظة"),COUNTIFS($D$4:D142,"&gt;"&amp;0,$G$4:G142,"المحفظة"),"")</f>
        <v/>
      </c>
      <c r="N143" s="1" t="str">
        <f aca="false"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/>
      </c>
      <c r="O143" s="1" t="str">
        <f aca="false">IF(AND(D142&gt;0,F142="أحد الشركاء"),COUNTIFS($D$4:D142,"&gt;"&amp;0,$F$4:F142,"أحد الشركاء"),"")</f>
        <v/>
      </c>
    </row>
    <row r="144" customFormat="false" ht="18.75" hidden="false" customHeight="true" outlineLevel="0" collapsed="false">
      <c r="A144" s="67"/>
      <c r="B144" s="68"/>
      <c r="C144" s="69"/>
      <c r="D144" s="70"/>
      <c r="E144" s="71"/>
      <c r="F144" s="72"/>
      <c r="G144" s="73"/>
      <c r="H144" s="74"/>
      <c r="I144" s="75"/>
      <c r="J144" s="76" t="str">
        <f aca="false">IF(AND(D143="",E143="",A143="",B143="",C143=""),"", IFERROR(IF(J142="",D2,J142),D2)+IF(E143="",0,E143)-IF(D143="",0,D143))</f>
        <v/>
      </c>
      <c r="K144" s="77"/>
      <c r="L144" s="1" t="str">
        <f aca="false">IF(E143&gt;0,COUNTIF($E$4:E143,"&gt;0"),"")</f>
        <v/>
      </c>
      <c r="M144" s="1" t="str">
        <f aca="false">IF(AND(D143&gt;0,G143="المحفظة"),COUNTIFS($D$4:D143,"&gt;"&amp;0,$G$4:G143,"المحفظة"),"")</f>
        <v/>
      </c>
      <c r="N144" s="1" t="str">
        <f aca="false"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/>
      </c>
      <c r="O144" s="1" t="str">
        <f aca="false">IF(AND(D143&gt;0,F143="أحد الشركاء"),COUNTIFS($D$4:D143,"&gt;"&amp;0,$F$4:F143,"أحد الشركاء"),"")</f>
        <v/>
      </c>
    </row>
    <row r="145" customFormat="false" ht="18.75" hidden="false" customHeight="true" outlineLevel="0" collapsed="false">
      <c r="A145" s="56"/>
      <c r="B145" s="57"/>
      <c r="C145" s="58"/>
      <c r="D145" s="59"/>
      <c r="E145" s="60"/>
      <c r="F145" s="61"/>
      <c r="G145" s="62"/>
      <c r="H145" s="63"/>
      <c r="I145" s="64"/>
      <c r="J145" s="65" t="str">
        <f aca="false">IF(AND(D144="",E144="",A144="",B144="",C144=""),"", IFERROR(IF(J143="",D2,J143),D2)+IF(E144="",0,E144)-IF(D144="",0,D144))</f>
        <v/>
      </c>
      <c r="K145" s="66"/>
      <c r="L145" s="1" t="str">
        <f aca="false">IF(E144&gt;0,COUNTIF($E$4:E144,"&gt;0"),"")</f>
        <v/>
      </c>
      <c r="M145" s="1" t="str">
        <f aca="false">IF(AND(D144&gt;0,G144="المحفظة"),COUNTIFS($D$4:D144,"&gt;"&amp;0,$G$4:G144,"المحفظة"),"")</f>
        <v/>
      </c>
      <c r="N145" s="1" t="str">
        <f aca="false"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/>
      </c>
      <c r="O145" s="1" t="str">
        <f aca="false">IF(AND(D144&gt;0,F144="أحد الشركاء"),COUNTIFS($D$4:D144,"&gt;"&amp;0,$F$4:F144,"أحد الشركاء"),"")</f>
        <v/>
      </c>
    </row>
    <row r="146" customFormat="false" ht="18.75" hidden="false" customHeight="true" outlineLevel="0" collapsed="false">
      <c r="A146" s="67"/>
      <c r="B146" s="68"/>
      <c r="C146" s="69"/>
      <c r="D146" s="70"/>
      <c r="E146" s="71"/>
      <c r="F146" s="72"/>
      <c r="G146" s="73"/>
      <c r="H146" s="74"/>
      <c r="I146" s="75"/>
      <c r="J146" s="76" t="str">
        <f aca="false">IF(AND(D145="",E145="",A145="",B145="",C145=""),"", IFERROR(IF(J144="",D2,J144),D2)+IF(E145="",0,E145)-IF(D145="",0,D145))</f>
        <v/>
      </c>
      <c r="K146" s="77"/>
      <c r="L146" s="1" t="str">
        <f aca="false">IF(E145&gt;0,COUNTIF($E$4:E145,"&gt;0"),"")</f>
        <v/>
      </c>
      <c r="M146" s="1" t="str">
        <f aca="false">IF(AND(D145&gt;0,G145="المحفظة"),COUNTIFS($D$4:D145,"&gt;"&amp;0,$G$4:G145,"المحفظة"),"")</f>
        <v/>
      </c>
      <c r="N146" s="1" t="str">
        <f aca="false"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/>
      </c>
      <c r="O146" s="1" t="str">
        <f aca="false">IF(AND(D145&gt;0,F145="أحد الشركاء"),COUNTIFS($D$4:D145,"&gt;"&amp;0,$F$4:F145,"أحد الشركاء"),"")</f>
        <v/>
      </c>
    </row>
    <row r="147" customFormat="false" ht="18.75" hidden="false" customHeight="true" outlineLevel="0" collapsed="false">
      <c r="A147" s="56"/>
      <c r="B147" s="57"/>
      <c r="C147" s="58"/>
      <c r="D147" s="59"/>
      <c r="E147" s="60"/>
      <c r="F147" s="61"/>
      <c r="G147" s="62"/>
      <c r="H147" s="63"/>
      <c r="I147" s="64"/>
      <c r="J147" s="65" t="str">
        <f aca="false">IF(AND(D146="",E146="",A146="",B146="",C146=""),"", IFERROR(IF(J145="",D2,J145),D2)+IF(E146="",0,E146)-IF(D146="",0,D146))</f>
        <v/>
      </c>
      <c r="K147" s="66"/>
      <c r="L147" s="1" t="str">
        <f aca="false">IF(E146&gt;0,COUNTIF($E$4:E146,"&gt;0"),"")</f>
        <v/>
      </c>
      <c r="M147" s="1" t="str">
        <f aca="false">IF(AND(D146&gt;0,G146="المحفظة"),COUNTIFS($D$4:D146,"&gt;"&amp;0,$G$4:G146,"المحفظة"),"")</f>
        <v/>
      </c>
      <c r="N147" s="1" t="str">
        <f aca="false"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/>
      </c>
      <c r="O147" s="1" t="str">
        <f aca="false">IF(AND(D146&gt;0,F146="أحد الشركاء"),COUNTIFS($D$4:D146,"&gt;"&amp;0,$F$4:F146,"أحد الشركاء"),"")</f>
        <v/>
      </c>
    </row>
    <row r="148" customFormat="false" ht="18.75" hidden="false" customHeight="true" outlineLevel="0" collapsed="false">
      <c r="A148" s="67"/>
      <c r="B148" s="68"/>
      <c r="C148" s="69"/>
      <c r="D148" s="70"/>
      <c r="E148" s="71"/>
      <c r="F148" s="72"/>
      <c r="G148" s="73"/>
      <c r="H148" s="74"/>
      <c r="I148" s="75"/>
      <c r="J148" s="76" t="str">
        <f aca="false">IF(AND(D147="",E147="",A147="",B147="",C147=""),"", IFERROR(IF(J146="",D2,J146),D2)+IF(E147="",0,E147)-IF(D147="",0,D147))</f>
        <v/>
      </c>
      <c r="K148" s="77"/>
      <c r="L148" s="1" t="str">
        <f aca="false">IF(E147&gt;0,COUNTIF($E$4:E147,"&gt;0"),"")</f>
        <v/>
      </c>
      <c r="M148" s="1" t="str">
        <f aca="false">IF(AND(D147&gt;0,G147="المحفظة"),COUNTIFS($D$4:D147,"&gt;"&amp;0,$G$4:G147,"المحفظة"),"")</f>
        <v/>
      </c>
      <c r="N148" s="1" t="str">
        <f aca="false"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/>
      </c>
      <c r="O148" s="1" t="str">
        <f aca="false">IF(AND(D147&gt;0,F147="أحد الشركاء"),COUNTIFS($D$4:D147,"&gt;"&amp;0,$F$4:F147,"أحد الشركاء"),"")</f>
        <v/>
      </c>
    </row>
    <row r="149" customFormat="false" ht="18.75" hidden="false" customHeight="true" outlineLevel="0" collapsed="false">
      <c r="A149" s="56"/>
      <c r="B149" s="57"/>
      <c r="C149" s="58"/>
      <c r="D149" s="59"/>
      <c r="E149" s="60"/>
      <c r="F149" s="61"/>
      <c r="G149" s="62"/>
      <c r="H149" s="63"/>
      <c r="I149" s="64"/>
      <c r="J149" s="65" t="str">
        <f aca="false">IF(AND(D148="",E148="",A148="",B148="",C148=""),"", IFERROR(IF(J147="",D2,J147),D2)+IF(E148="",0,E148)-IF(D148="",0,D148))</f>
        <v/>
      </c>
      <c r="K149" s="66"/>
      <c r="L149" s="1" t="str">
        <f aca="false">IF(E148&gt;0,COUNTIF($E$4:E148,"&gt;0"),"")</f>
        <v/>
      </c>
      <c r="M149" s="1" t="str">
        <f aca="false">IF(AND(D148&gt;0,G148="المحفظة"),COUNTIFS($D$4:D148,"&gt;"&amp;0,$G$4:G148,"المحفظة"),"")</f>
        <v/>
      </c>
      <c r="N149" s="1" t="str">
        <f aca="false"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/>
      </c>
      <c r="O149" s="1" t="str">
        <f aca="false">IF(AND(D148&gt;0,F148="أحد الشركاء"),COUNTIFS($D$4:D148,"&gt;"&amp;0,$F$4:F148,"أحد الشركاء"),"")</f>
        <v/>
      </c>
    </row>
    <row r="150" customFormat="false" ht="18.75" hidden="false" customHeight="true" outlineLevel="0" collapsed="false">
      <c r="A150" s="67"/>
      <c r="B150" s="68"/>
      <c r="C150" s="69"/>
      <c r="D150" s="70"/>
      <c r="E150" s="71"/>
      <c r="F150" s="72"/>
      <c r="G150" s="73"/>
      <c r="H150" s="74"/>
      <c r="I150" s="75"/>
      <c r="J150" s="76" t="str">
        <f aca="false">IF(AND(D149="",E149="",A149="",B149="",C149=""),"", IFERROR(IF(J148="",D2,J148),D2)+IF(E149="",0,E149)-IF(D149="",0,D149))</f>
        <v/>
      </c>
      <c r="K150" s="77"/>
      <c r="L150" s="1" t="str">
        <f aca="false">IF(E149&gt;0,COUNTIF($E$4:E149,"&gt;0"),"")</f>
        <v/>
      </c>
      <c r="M150" s="1" t="str">
        <f aca="false">IF(AND(D149&gt;0,G149="المحفظة"),COUNTIFS($D$4:D149,"&gt;"&amp;0,$G$4:G149,"المحفظة"),"")</f>
        <v/>
      </c>
      <c r="N150" s="1" t="str">
        <f aca="false"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/>
      </c>
      <c r="O150" s="1" t="str">
        <f aca="false">IF(AND(D149&gt;0,F149="أحد الشركاء"),COUNTIFS($D$4:D149,"&gt;"&amp;0,$F$4:F149,"أحد الشركاء"),"")</f>
        <v/>
      </c>
    </row>
    <row r="151" customFormat="false" ht="18.75" hidden="false" customHeight="true" outlineLevel="0" collapsed="false">
      <c r="A151" s="56"/>
      <c r="B151" s="57"/>
      <c r="C151" s="58"/>
      <c r="D151" s="59"/>
      <c r="E151" s="60"/>
      <c r="F151" s="61"/>
      <c r="G151" s="62"/>
      <c r="H151" s="63"/>
      <c r="I151" s="64"/>
      <c r="J151" s="65" t="str">
        <f aca="false">IF(AND(D150="",E150="",A150="",B150="",C150=""),"", IFERROR(IF(J149="",D2,J149),D2)+IF(E150="",0,E150)-IF(D150="",0,D150))</f>
        <v/>
      </c>
      <c r="K151" s="66"/>
      <c r="L151" s="1" t="str">
        <f aca="false">IF(E150&gt;0,COUNTIF($E$4:E150,"&gt;0"),"")</f>
        <v/>
      </c>
      <c r="M151" s="1" t="str">
        <f aca="false">IF(AND(D150&gt;0,G150="المحفظة"),COUNTIFS($D$4:D150,"&gt;"&amp;0,$G$4:G150,"المحفظة"),"")</f>
        <v/>
      </c>
      <c r="N151" s="1" t="str">
        <f aca="false"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/>
      </c>
      <c r="O151" s="1" t="str">
        <f aca="false">IF(AND(D150&gt;0,F150="أحد الشركاء"),COUNTIFS($D$4:D150,"&gt;"&amp;0,$F$4:F150,"أحد الشركاء"),"")</f>
        <v/>
      </c>
    </row>
    <row r="152" customFormat="false" ht="18.75" hidden="false" customHeight="true" outlineLevel="0" collapsed="false">
      <c r="A152" s="67"/>
      <c r="B152" s="68"/>
      <c r="C152" s="69"/>
      <c r="D152" s="70"/>
      <c r="E152" s="71"/>
      <c r="F152" s="72"/>
      <c r="G152" s="73"/>
      <c r="H152" s="74"/>
      <c r="I152" s="75"/>
      <c r="J152" s="76" t="str">
        <f aca="false">IF(AND(D151="",E151="",A151="",B151="",C151=""),"", IFERROR(IF(J150="",D2,J150),D2)+IF(E151="",0,E151)-IF(D151="",0,D151))</f>
        <v/>
      </c>
      <c r="K152" s="77"/>
      <c r="L152" s="1" t="str">
        <f aca="false">IF(E151&gt;0,COUNTIF($E$4:E151,"&gt;0"),"")</f>
        <v/>
      </c>
      <c r="M152" s="1" t="str">
        <f aca="false">IF(AND(D151&gt;0,G151="المحفظة"),COUNTIFS($D$4:D151,"&gt;"&amp;0,$G$4:G151,"المحفظة"),"")</f>
        <v/>
      </c>
      <c r="N152" s="1" t="str">
        <f aca="false"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/>
      </c>
      <c r="O152" s="1" t="str">
        <f aca="false">IF(AND(D151&gt;0,F151="أحد الشركاء"),COUNTIFS($D$4:D151,"&gt;"&amp;0,$F$4:F151,"أحد الشركاء"),"")</f>
        <v/>
      </c>
    </row>
    <row r="153" customFormat="false" ht="18.75" hidden="false" customHeight="true" outlineLevel="0" collapsed="false">
      <c r="A153" s="56"/>
      <c r="B153" s="57"/>
      <c r="C153" s="58"/>
      <c r="D153" s="59"/>
      <c r="E153" s="60"/>
      <c r="F153" s="61"/>
      <c r="G153" s="62"/>
      <c r="H153" s="63"/>
      <c r="I153" s="64"/>
      <c r="J153" s="65" t="str">
        <f aca="false">IF(AND(D152="",E152="",A152="",B152="",C152=""),"", IFERROR(IF(J151="",D2,J151),D2)+IF(E152="",0,E152)-IF(D152="",0,D152))</f>
        <v/>
      </c>
      <c r="K153" s="66"/>
      <c r="L153" s="1" t="str">
        <f aca="false">IF(E152&gt;0,COUNTIF($E$4:E152,"&gt;0"),"")</f>
        <v/>
      </c>
      <c r="M153" s="1" t="str">
        <f aca="false">IF(AND(D152&gt;0,G152="المحفظة"),COUNTIFS($D$4:D152,"&gt;"&amp;0,$G$4:G152,"المحفظة"),"")</f>
        <v/>
      </c>
      <c r="N153" s="1" t="str">
        <f aca="false"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/>
      </c>
      <c r="O153" s="1" t="str">
        <f aca="false">IF(AND(D152&gt;0,F152="أحد الشركاء"),COUNTIFS($D$4:D152,"&gt;"&amp;0,$F$4:F152,"أحد الشركاء"),"")</f>
        <v/>
      </c>
    </row>
    <row r="154" customFormat="false" ht="18.75" hidden="false" customHeight="true" outlineLevel="0" collapsed="false">
      <c r="A154" s="67"/>
      <c r="B154" s="68"/>
      <c r="C154" s="69"/>
      <c r="D154" s="70"/>
      <c r="E154" s="71"/>
      <c r="F154" s="72"/>
      <c r="G154" s="73"/>
      <c r="H154" s="74"/>
      <c r="I154" s="75"/>
      <c r="J154" s="76" t="str">
        <f aca="false">IF(AND(D153="",E153="",A153="",B153="",C153=""),"", IFERROR(IF(J152="",D2,J152),D2)+IF(E153="",0,E153)-IF(D153="",0,D153))</f>
        <v/>
      </c>
      <c r="K154" s="77"/>
      <c r="L154" s="1" t="str">
        <f aca="false">IF(E153&gt;0,COUNTIF($E$4:E153,"&gt;0"),"")</f>
        <v/>
      </c>
      <c r="M154" s="1" t="str">
        <f aca="false">IF(AND(D153&gt;0,G153="المحفظة"),COUNTIFS($D$4:D153,"&gt;"&amp;0,$G$4:G153,"المحفظة"),"")</f>
        <v/>
      </c>
      <c r="N154" s="1" t="str">
        <f aca="false"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/>
      </c>
      <c r="O154" s="1" t="str">
        <f aca="false">IF(AND(D153&gt;0,F153="أحد الشركاء"),COUNTIFS($D$4:D153,"&gt;"&amp;0,$F$4:F153,"أحد الشركاء"),"")</f>
        <v/>
      </c>
    </row>
    <row r="155" customFormat="false" ht="18.75" hidden="false" customHeight="true" outlineLevel="0" collapsed="false">
      <c r="A155" s="56"/>
      <c r="B155" s="57"/>
      <c r="C155" s="58"/>
      <c r="D155" s="59"/>
      <c r="E155" s="60"/>
      <c r="F155" s="61"/>
      <c r="G155" s="62"/>
      <c r="H155" s="63"/>
      <c r="I155" s="64"/>
      <c r="J155" s="65" t="str">
        <f aca="false">IF(AND(D154="",E154="",A154="",B154="",C154=""),"", IFERROR(IF(J153="",D2,J153),D2)+IF(E154="",0,E154)-IF(D154="",0,D154))</f>
        <v/>
      </c>
      <c r="K155" s="66"/>
      <c r="L155" s="1" t="str">
        <f aca="false">IF(E154&gt;0,COUNTIF($E$4:E154,"&gt;0"),"")</f>
        <v/>
      </c>
      <c r="M155" s="1" t="str">
        <f aca="false">IF(AND(D154&gt;0,G154="المحفظة"),COUNTIFS($D$4:D154,"&gt;"&amp;0,$G$4:G154,"المحفظة"),"")</f>
        <v/>
      </c>
      <c r="N155" s="1" t="str">
        <f aca="false"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5" s="1" t="str">
        <f aca="false">IF(AND(D154&gt;0,F154="أحد الشركاء"),COUNTIFS($D$4:D154,"&gt;"&amp;0,$F$4:F154,"أحد الشركاء"),"")</f>
        <v/>
      </c>
    </row>
    <row r="156" customFormat="false" ht="18.75" hidden="false" customHeight="true" outlineLevel="0" collapsed="false">
      <c r="A156" s="67"/>
      <c r="B156" s="68"/>
      <c r="C156" s="69"/>
      <c r="D156" s="70"/>
      <c r="E156" s="71"/>
      <c r="F156" s="72"/>
      <c r="G156" s="73"/>
      <c r="H156" s="74"/>
      <c r="I156" s="75"/>
      <c r="J156" s="76" t="str">
        <f aca="false">IF(AND(D155="",E155="",A155="",B155="",C155=""),"", IFERROR(IF(J154="",D2,J154),D2)+IF(E155="",0,E155)-IF(D155="",0,D155))</f>
        <v/>
      </c>
      <c r="K156" s="77"/>
      <c r="L156" s="1" t="str">
        <f aca="false">IF(E155&gt;0,COUNTIF($E$4:E155,"&gt;0"),"")</f>
        <v/>
      </c>
      <c r="M156" s="1" t="str">
        <f aca="false">IF(AND(D155&gt;0,G155="المحفظة"),COUNTIFS($D$4:D155,"&gt;"&amp;0,$G$4:G155,"المحفظة"),"")</f>
        <v/>
      </c>
      <c r="N156" s="1" t="str">
        <f aca="false"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6" s="1" t="str">
        <f aca="false">IF(AND(D155&gt;0,F155="أحد الشركاء"),COUNTIFS($D$4:D155,"&gt;"&amp;0,$F$4:F155,"أحد الشركاء"),"")</f>
        <v/>
      </c>
    </row>
    <row r="157" customFormat="false" ht="18.75" hidden="false" customHeight="true" outlineLevel="0" collapsed="false">
      <c r="A157" s="56"/>
      <c r="B157" s="57"/>
      <c r="C157" s="58"/>
      <c r="D157" s="59"/>
      <c r="E157" s="60"/>
      <c r="F157" s="61"/>
      <c r="G157" s="62"/>
      <c r="H157" s="63"/>
      <c r="I157" s="64"/>
      <c r="J157" s="65" t="str">
        <f aca="false">IF(AND(D156="",E156="",A156="",B156="",C156=""),"", IFERROR(IF(J155="",D2,J155),D2)+IF(E156="",0,E156)-IF(D156="",0,D156))</f>
        <v/>
      </c>
      <c r="K157" s="66"/>
      <c r="L157" s="1" t="str">
        <f aca="false">IF(E156&gt;0,COUNTIF($E$4:E156,"&gt;0"),"")</f>
        <v/>
      </c>
      <c r="M157" s="1" t="str">
        <f aca="false">IF(AND(D156&gt;0,G156="المحفظة"),COUNTIFS($D$4:D156,"&gt;"&amp;0,$G$4:G156,"المحفظة"),"")</f>
        <v/>
      </c>
      <c r="N157" s="1" t="str">
        <f aca="false"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7" s="1" t="str">
        <f aca="false">IF(AND(D156&gt;0,F156="أحد الشركاء"),COUNTIFS($D$4:D156,"&gt;"&amp;0,$F$4:F156,"أحد الشركاء"),"")</f>
        <v/>
      </c>
    </row>
    <row r="158" customFormat="false" ht="18.75" hidden="false" customHeight="true" outlineLevel="0" collapsed="false">
      <c r="A158" s="67"/>
      <c r="B158" s="68"/>
      <c r="C158" s="69"/>
      <c r="D158" s="70"/>
      <c r="E158" s="71"/>
      <c r="F158" s="72"/>
      <c r="G158" s="73"/>
      <c r="H158" s="74"/>
      <c r="I158" s="75"/>
      <c r="J158" s="76" t="str">
        <f aca="false">IF(AND(D157="",E157="",A157="",B157="",C157=""),"", IFERROR(IF(J156="",D2,J156),D2)+IF(E157="",0,E157)-IF(D157="",0,D157))</f>
        <v/>
      </c>
      <c r="K158" s="77"/>
      <c r="L158" s="1" t="str">
        <f aca="false">IF(E157&gt;0,COUNTIF($E$4:E157,"&gt;0"),"")</f>
        <v/>
      </c>
      <c r="M158" s="1" t="str">
        <f aca="false">IF(AND(D157&gt;0,G157="المحفظة"),COUNTIFS($D$4:D157,"&gt;"&amp;0,$G$4:G157,"المحفظة"),"")</f>
        <v/>
      </c>
      <c r="N158" s="1" t="str">
        <f aca="false"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8" s="1" t="str">
        <f aca="false">IF(AND(D157&gt;0,F157="أحد الشركاء"),COUNTIFS($D$4:D157,"&gt;"&amp;0,$F$4:F157,"أحد الشركاء"),"")</f>
        <v/>
      </c>
    </row>
    <row r="159" customFormat="false" ht="18.75" hidden="false" customHeight="true" outlineLevel="0" collapsed="false">
      <c r="A159" s="56"/>
      <c r="B159" s="57"/>
      <c r="C159" s="58"/>
      <c r="D159" s="59"/>
      <c r="E159" s="60"/>
      <c r="F159" s="61"/>
      <c r="G159" s="62"/>
      <c r="H159" s="63"/>
      <c r="I159" s="64"/>
      <c r="J159" s="65" t="str">
        <f aca="false">IF(AND(D158="",E158="",A158="",B158="",C158=""),"", IFERROR(IF(J157="",D2,J157),D2)+IF(E158="",0,E158)-IF(D158="",0,D158))</f>
        <v/>
      </c>
      <c r="K159" s="66"/>
      <c r="L159" s="1" t="str">
        <f aca="false">IF(E158&gt;0,COUNTIF($E$4:E158,"&gt;0"),"")</f>
        <v/>
      </c>
      <c r="M159" s="1" t="str">
        <f aca="false">IF(AND(D158&gt;0,G158="المحفظة"),COUNTIFS($D$4:D158,"&gt;"&amp;0,$G$4:G158,"المحفظة"),"")</f>
        <v/>
      </c>
      <c r="N159" s="1" t="str">
        <f aca="false"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9" s="1" t="str">
        <f aca="false">IF(AND(D158&gt;0,F158="أحد الشركاء"),COUNTIFS($D$4:D158,"&gt;"&amp;0,$F$4:F158,"أحد الشركاء"),"")</f>
        <v/>
      </c>
    </row>
    <row r="160" customFormat="false" ht="18.75" hidden="false" customHeight="true" outlineLevel="0" collapsed="false">
      <c r="A160" s="67"/>
      <c r="B160" s="68"/>
      <c r="C160" s="69"/>
      <c r="D160" s="70"/>
      <c r="E160" s="71"/>
      <c r="F160" s="72"/>
      <c r="G160" s="73"/>
      <c r="H160" s="74"/>
      <c r="I160" s="75"/>
      <c r="J160" s="76" t="str">
        <f aca="false">IF(AND(D159="",E159="",A159="",B159="",C159=""),"", IFERROR(IF(J158="",D2,J158),D2)+IF(E159="",0,E159)-IF(D159="",0,D159))</f>
        <v/>
      </c>
      <c r="K160" s="77"/>
      <c r="L160" s="1" t="str">
        <f aca="false">IF(E159&gt;0,COUNTIF($E$4:E159,"&gt;0"),"")</f>
        <v/>
      </c>
      <c r="M160" s="1" t="str">
        <f aca="false">IF(AND(D159&gt;0,G159="المحفظة"),COUNTIFS($D$4:D159,"&gt;"&amp;0,$G$4:G159,"المحفظة"),"")</f>
        <v/>
      </c>
      <c r="N160" s="1" t="str">
        <f aca="false"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60" s="1" t="str">
        <f aca="false">IF(AND(D159&gt;0,F159="أحد الشركاء"),COUNTIFS($D$4:D159,"&gt;"&amp;0,$F$4:F159,"أحد الشركاء"),"")</f>
        <v/>
      </c>
    </row>
    <row r="161" customFormat="false" ht="18.75" hidden="false" customHeight="true" outlineLevel="0" collapsed="false">
      <c r="A161" s="56"/>
      <c r="B161" s="57"/>
      <c r="C161" s="58"/>
      <c r="D161" s="59"/>
      <c r="E161" s="60"/>
      <c r="F161" s="61"/>
      <c r="G161" s="62"/>
      <c r="H161" s="63"/>
      <c r="I161" s="64"/>
      <c r="J161" s="65" t="str">
        <f aca="false">IF(AND(D160="",E160="",A160="",B160="",C160=""),"", IFERROR(IF(J159="",D2,J159),D2)+IF(E160="",0,E160)-IF(D160="",0,D160))</f>
        <v/>
      </c>
      <c r="K161" s="66"/>
      <c r="L161" s="1" t="str">
        <f aca="false">IF(E160&gt;0,COUNTIF($E$4:E160,"&gt;0"),"")</f>
        <v/>
      </c>
      <c r="M161" s="1" t="str">
        <f aca="false">IF(AND(D160&gt;0,G160="المحفظة"),COUNTIFS($D$4:D160,"&gt;"&amp;0,$G$4:G160,"المحفظة"),"")</f>
        <v/>
      </c>
      <c r="N161" s="1" t="str">
        <f aca="false"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1" s="1" t="str">
        <f aca="false">IF(AND(D160&gt;0,F160="أحد الشركاء"),COUNTIFS($D$4:D160,"&gt;"&amp;0,$F$4:F160,"أحد الشركاء"),"")</f>
        <v/>
      </c>
    </row>
    <row r="162" customFormat="false" ht="18.75" hidden="false" customHeight="true" outlineLevel="0" collapsed="false">
      <c r="A162" s="67"/>
      <c r="B162" s="68"/>
      <c r="C162" s="69"/>
      <c r="D162" s="70"/>
      <c r="E162" s="71"/>
      <c r="F162" s="72"/>
      <c r="G162" s="73"/>
      <c r="H162" s="74"/>
      <c r="I162" s="75"/>
      <c r="J162" s="76" t="str">
        <f aca="false">IF(AND(D161="",E161="",A161="",B161="",C161=""),"", IFERROR(IF(J160="",D2,J160),D2)+IF(E161="",0,E161)-IF(D161="",0,D161))</f>
        <v/>
      </c>
      <c r="K162" s="77"/>
      <c r="L162" s="1" t="str">
        <f aca="false">IF(E161&gt;0,COUNTIF($E$4:E161,"&gt;0"),"")</f>
        <v/>
      </c>
      <c r="M162" s="1" t="str">
        <f aca="false">IF(AND(D161&gt;0,G161="المحفظة"),COUNTIFS($D$4:D161,"&gt;"&amp;0,$G$4:G161,"المحفظة"),"")</f>
        <v/>
      </c>
      <c r="N162" s="1" t="str">
        <f aca="false"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2" s="1" t="str">
        <f aca="false">IF(AND(D161&gt;0,F161="أحد الشركاء"),COUNTIFS($D$4:D161,"&gt;"&amp;0,$F$4:F161,"أحد الشركاء"),"")</f>
        <v/>
      </c>
    </row>
    <row r="163" customFormat="false" ht="18.75" hidden="false" customHeight="true" outlineLevel="0" collapsed="false">
      <c r="A163" s="56"/>
      <c r="B163" s="57"/>
      <c r="C163" s="58"/>
      <c r="D163" s="59"/>
      <c r="E163" s="60"/>
      <c r="F163" s="61"/>
      <c r="G163" s="62"/>
      <c r="H163" s="63"/>
      <c r="I163" s="64"/>
      <c r="J163" s="65" t="str">
        <f aca="false">IF(AND(D162="",E162="",A162="",B162="",C162=""),"", IFERROR(IF(J161="",D2,J161),D2)+IF(E162="",0,E162)-IF(D162="",0,D162))</f>
        <v/>
      </c>
      <c r="K163" s="66"/>
      <c r="L163" s="1" t="str">
        <f aca="false">IF(E162&gt;0,COUNTIF($E$4:E162,"&gt;0"),"")</f>
        <v/>
      </c>
      <c r="M163" s="1" t="str">
        <f aca="false">IF(AND(D162&gt;0,G162="المحفظة"),COUNTIFS($D$4:D162,"&gt;"&amp;0,$G$4:G162,"المحفظة"),"")</f>
        <v/>
      </c>
      <c r="N163" s="1" t="str">
        <f aca="false"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3" s="1" t="str">
        <f aca="false">IF(AND(D162&gt;0,F162="أحد الشركاء"),COUNTIFS($D$4:D162,"&gt;"&amp;0,$F$4:F162,"أحد الشركاء"),"")</f>
        <v/>
      </c>
    </row>
    <row r="164" customFormat="false" ht="18.75" hidden="false" customHeight="true" outlineLevel="0" collapsed="false">
      <c r="A164" s="67"/>
      <c r="B164" s="68"/>
      <c r="C164" s="69"/>
      <c r="D164" s="70"/>
      <c r="E164" s="71"/>
      <c r="F164" s="72"/>
      <c r="G164" s="73"/>
      <c r="H164" s="74"/>
      <c r="I164" s="75"/>
      <c r="J164" s="76" t="str">
        <f aca="false">IF(AND(D163="",E163="",A163="",B163="",C163=""),"", IFERROR(IF(J162="",D2,J162),D2)+IF(E163="",0,E163)-IF(D163="",0,D163))</f>
        <v/>
      </c>
      <c r="K164" s="77"/>
      <c r="L164" s="1" t="str">
        <f aca="false">IF(E163&gt;0,COUNTIF($E$4:E163,"&gt;0"),"")</f>
        <v/>
      </c>
      <c r="M164" s="1" t="str">
        <f aca="false">IF(AND(D163&gt;0,G163="المحفظة"),COUNTIFS($D$4:D163,"&gt;"&amp;0,$G$4:G163,"المحفظة"),"")</f>
        <v/>
      </c>
      <c r="N164" s="1" t="str">
        <f aca="false"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4" s="1" t="str">
        <f aca="false">IF(AND(D163&gt;0,F163="أحد الشركاء"),COUNTIFS($D$4:D163,"&gt;"&amp;0,$F$4:F163,"أحد الشركاء"),"")</f>
        <v/>
      </c>
    </row>
    <row r="165" customFormat="false" ht="18.75" hidden="false" customHeight="true" outlineLevel="0" collapsed="false">
      <c r="A165" s="56"/>
      <c r="B165" s="57"/>
      <c r="C165" s="58"/>
      <c r="D165" s="59"/>
      <c r="E165" s="60"/>
      <c r="F165" s="61"/>
      <c r="G165" s="62"/>
      <c r="H165" s="63"/>
      <c r="I165" s="64"/>
      <c r="J165" s="65" t="str">
        <f aca="false">IF(AND(D164="",E164="",A164="",B164="",C164=""),"", IFERROR(IF(J163="",D2,J163),D2)+IF(E164="",0,E164)-IF(D164="",0,D164))</f>
        <v/>
      </c>
      <c r="K165" s="66"/>
      <c r="L165" s="1" t="str">
        <f aca="false">IF(E164&gt;0,COUNTIF($E$4:E164,"&gt;0"),"")</f>
        <v/>
      </c>
      <c r="M165" s="1" t="str">
        <f aca="false">IF(AND(D164&gt;0,G164="المحفظة"),COUNTIFS($D$4:D164,"&gt;"&amp;0,$G$4:G164,"المحفظة"),"")</f>
        <v/>
      </c>
      <c r="N165" s="1" t="str">
        <f aca="false"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5" s="1" t="str">
        <f aca="false">IF(AND(D164&gt;0,F164="أحد الشركاء"),COUNTIFS($D$4:D164,"&gt;"&amp;0,$F$4:F164,"أحد الشركاء"),"")</f>
        <v/>
      </c>
    </row>
    <row r="166" customFormat="false" ht="18.75" hidden="false" customHeight="true" outlineLevel="0" collapsed="false">
      <c r="A166" s="67"/>
      <c r="B166" s="68"/>
      <c r="C166" s="69"/>
      <c r="D166" s="70"/>
      <c r="E166" s="71"/>
      <c r="F166" s="72"/>
      <c r="G166" s="73"/>
      <c r="H166" s="74"/>
      <c r="I166" s="75"/>
      <c r="J166" s="76" t="str">
        <f aca="false">IF(AND(D165="",E165="",A165="",B165="",C165=""),"", IFERROR(IF(J164="",D2,J164),D2)+IF(E165="",0,E165)-IF(D165="",0,D165))</f>
        <v/>
      </c>
      <c r="K166" s="77"/>
      <c r="L166" s="1" t="str">
        <f aca="false">IF(E165&gt;0,COUNTIF($E$4:E165,"&gt;0"),"")</f>
        <v/>
      </c>
      <c r="M166" s="1" t="str">
        <f aca="false">IF(AND(D165&gt;0,G165="المحفظة"),COUNTIFS($D$4:D165,"&gt;"&amp;0,$G$4:G165,"المحفظة"),"")</f>
        <v/>
      </c>
      <c r="N166" s="1" t="str">
        <f aca="false"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6" s="1" t="str">
        <f aca="false">IF(AND(D165&gt;0,F165="أحد الشركاء"),COUNTIFS($D$4:D165,"&gt;"&amp;0,$F$4:F165,"أحد الشركاء"),"")</f>
        <v/>
      </c>
    </row>
    <row r="167" customFormat="false" ht="18.75" hidden="false" customHeight="true" outlineLevel="0" collapsed="false">
      <c r="A167" s="56"/>
      <c r="B167" s="57"/>
      <c r="C167" s="58"/>
      <c r="D167" s="59"/>
      <c r="E167" s="60"/>
      <c r="F167" s="61"/>
      <c r="G167" s="62"/>
      <c r="H167" s="63"/>
      <c r="I167" s="64"/>
      <c r="J167" s="65" t="str">
        <f aca="false">IF(AND(D166="",E166="",A166="",B166="",C166=""),"", IFERROR(IF(J165="",D2,J165),D2)+IF(E166="",0,E166)-IF(D166="",0,D166))</f>
        <v/>
      </c>
      <c r="K167" s="66"/>
      <c r="L167" s="1" t="str">
        <f aca="false">IF(E166&gt;0,COUNTIF($E$4:E166,"&gt;0"),"")</f>
        <v/>
      </c>
      <c r="M167" s="1" t="str">
        <f aca="false">IF(AND(D166&gt;0,G166="المحفظة"),COUNTIFS($D$4:D166,"&gt;"&amp;0,$G$4:G166,"المحفظة"),"")</f>
        <v/>
      </c>
      <c r="N167" s="1" t="str">
        <f aca="false"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7" s="1" t="str">
        <f aca="false">IF(AND(D166&gt;0,F166="أحد الشركاء"),COUNTIFS($D$4:D166,"&gt;"&amp;0,$F$4:F166,"أحد الشركاء"),"")</f>
        <v/>
      </c>
    </row>
    <row r="168" customFormat="false" ht="18.75" hidden="false" customHeight="true" outlineLevel="0" collapsed="false">
      <c r="A168" s="67"/>
      <c r="B168" s="68"/>
      <c r="C168" s="69"/>
      <c r="D168" s="70"/>
      <c r="E168" s="71"/>
      <c r="F168" s="72"/>
      <c r="G168" s="73"/>
      <c r="H168" s="74"/>
      <c r="I168" s="75"/>
      <c r="J168" s="76" t="str">
        <f aca="false">IF(AND(D167="",E167="",A167="",B167="",C167=""),"", IFERROR(IF(J166="",D2,J166),D2)+IF(E167="",0,E167)-IF(D167="",0,D167))</f>
        <v/>
      </c>
      <c r="K168" s="77"/>
      <c r="L168" s="1" t="str">
        <f aca="false">IF(E167&gt;0,COUNTIF($E$4:E167,"&gt;0"),"")</f>
        <v/>
      </c>
      <c r="M168" s="1" t="str">
        <f aca="false">IF(AND(D167&gt;0,G167="المحفظة"),COUNTIFS($D$4:D167,"&gt;"&amp;0,$G$4:G167,"المحفظة"),"")</f>
        <v/>
      </c>
      <c r="N168" s="1" t="str">
        <f aca="false"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8" s="1" t="str">
        <f aca="false">IF(AND(D167&gt;0,F167="أحد الشركاء"),COUNTIFS($D$4:D167,"&gt;"&amp;0,$F$4:F167,"أحد الشركاء"),"")</f>
        <v/>
      </c>
    </row>
    <row r="169" customFormat="false" ht="18.75" hidden="false" customHeight="true" outlineLevel="0" collapsed="false">
      <c r="A169" s="56"/>
      <c r="B169" s="57"/>
      <c r="C169" s="58"/>
      <c r="D169" s="59"/>
      <c r="E169" s="60"/>
      <c r="F169" s="61"/>
      <c r="G169" s="62"/>
      <c r="H169" s="63"/>
      <c r="I169" s="64"/>
      <c r="J169" s="65" t="str">
        <f aca="false">IF(AND(D168="",E168="",A168="",B168="",C168=""),"", IFERROR(IF(J167="",D2,J167),D2)+IF(E168="",0,E168)-IF(D168="",0,D168))</f>
        <v/>
      </c>
      <c r="K169" s="66"/>
      <c r="L169" s="1" t="str">
        <f aca="false">IF(E168&gt;0,COUNTIF($E$4:E168,"&gt;0"),"")</f>
        <v/>
      </c>
      <c r="M169" s="1" t="str">
        <f aca="false">IF(AND(D168&gt;0,G168="المحفظة"),COUNTIFS($D$4:D168,"&gt;"&amp;0,$G$4:G168,"المحفظة"),"")</f>
        <v/>
      </c>
      <c r="N169" s="1" t="str">
        <f aca="false"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9" s="1" t="str">
        <f aca="false">IF(AND(D168&gt;0,F168="أحد الشركاء"),COUNTIFS($D$4:D168,"&gt;"&amp;0,$F$4:F168,"أحد الشركاء"),"")</f>
        <v/>
      </c>
    </row>
    <row r="170" customFormat="false" ht="18.75" hidden="false" customHeight="true" outlineLevel="0" collapsed="false">
      <c r="A170" s="67"/>
      <c r="B170" s="68"/>
      <c r="C170" s="69"/>
      <c r="D170" s="70"/>
      <c r="E170" s="71"/>
      <c r="F170" s="72"/>
      <c r="G170" s="73"/>
      <c r="H170" s="74"/>
      <c r="I170" s="75"/>
      <c r="J170" s="76" t="str">
        <f aca="false">IF(AND(D169="",E169="",A169="",B169="",C169=""),"", IFERROR(IF(J168="",D2,J168),D2)+IF(E169="",0,E169)-IF(D169="",0,D169))</f>
        <v/>
      </c>
      <c r="K170" s="77"/>
      <c r="L170" s="1" t="str">
        <f aca="false">IF(E169&gt;0,COUNTIF($E$4:E169,"&gt;0"),"")</f>
        <v/>
      </c>
      <c r="M170" s="1" t="str">
        <f aca="false">IF(AND(D169&gt;0,G169="المحفظة"),COUNTIFS($D$4:D169,"&gt;"&amp;0,$G$4:G169,"المحفظة"),"")</f>
        <v/>
      </c>
      <c r="N170" s="1" t="str">
        <f aca="false"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70" s="1" t="str">
        <f aca="false">IF(AND(D169&gt;0,F169="أحد الشركاء"),COUNTIFS($D$4:D169,"&gt;"&amp;0,$F$4:F169,"أحد الشركاء"),"")</f>
        <v/>
      </c>
    </row>
    <row r="171" customFormat="false" ht="18.75" hidden="false" customHeight="true" outlineLevel="0" collapsed="false">
      <c r="A171" s="56"/>
      <c r="B171" s="57"/>
      <c r="C171" s="58"/>
      <c r="D171" s="59"/>
      <c r="E171" s="60"/>
      <c r="F171" s="61"/>
      <c r="G171" s="62"/>
      <c r="H171" s="63"/>
      <c r="I171" s="64"/>
      <c r="J171" s="65" t="str">
        <f aca="false">IF(AND(D170="",E170="",A170="",B170="",C170=""),"", IFERROR(IF(J169="",D2,J169),D2)+IF(E170="",0,E170)-IF(D170="",0,D170))</f>
        <v/>
      </c>
      <c r="K171" s="66"/>
      <c r="L171" s="1" t="str">
        <f aca="false">IF(E170&gt;0,COUNTIF($E$4:E170,"&gt;0"),"")</f>
        <v/>
      </c>
      <c r="M171" s="1" t="str">
        <f aca="false">IF(AND(D170&gt;0,G170="المحفظة"),COUNTIFS($D$4:D170,"&gt;"&amp;0,$G$4:G170,"المحفظة"),"")</f>
        <v/>
      </c>
      <c r="N171" s="1" t="str">
        <f aca="false"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1" s="1" t="str">
        <f aca="false">IF(AND(D170&gt;0,F170="أحد الشركاء"),COUNTIFS($D$4:D170,"&gt;"&amp;0,$F$4:F170,"أحد الشركاء"),"")</f>
        <v/>
      </c>
    </row>
    <row r="172" customFormat="false" ht="18.75" hidden="false" customHeight="true" outlineLevel="0" collapsed="false">
      <c r="A172" s="67"/>
      <c r="B172" s="68"/>
      <c r="C172" s="69"/>
      <c r="D172" s="70"/>
      <c r="E172" s="71"/>
      <c r="F172" s="72"/>
      <c r="G172" s="73"/>
      <c r="H172" s="74"/>
      <c r="I172" s="75"/>
      <c r="J172" s="76" t="str">
        <f aca="false">IF(AND(D171="",E171="",A171="",B171="",C171=""),"", IFERROR(IF(J170="",D2,J170),D2)+IF(E171="",0,E171)-IF(D171="",0,D171))</f>
        <v/>
      </c>
      <c r="K172" s="77"/>
      <c r="L172" s="1" t="str">
        <f aca="false">IF(E171&gt;0,COUNTIF($E$4:E171,"&gt;0"),"")</f>
        <v/>
      </c>
      <c r="M172" s="1" t="str">
        <f aca="false">IF(AND(D171&gt;0,G171="المحفظة"),COUNTIFS($D$4:D171,"&gt;"&amp;0,$G$4:G171,"المحفظة"),"")</f>
        <v/>
      </c>
      <c r="N172" s="1" t="str">
        <f aca="false"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2" s="1" t="str">
        <f aca="false">IF(AND(D171&gt;0,F171="أحد الشركاء"),COUNTIFS($D$4:D171,"&gt;"&amp;0,$F$4:F171,"أحد الشركاء"),"")</f>
        <v/>
      </c>
    </row>
    <row r="173" customFormat="false" ht="18.75" hidden="false" customHeight="true" outlineLevel="0" collapsed="false">
      <c r="A173" s="56"/>
      <c r="B173" s="57"/>
      <c r="C173" s="58"/>
      <c r="D173" s="59"/>
      <c r="E173" s="60"/>
      <c r="F173" s="61"/>
      <c r="G173" s="62"/>
      <c r="H173" s="63"/>
      <c r="I173" s="64"/>
      <c r="J173" s="65" t="str">
        <f aca="false">IF(AND(D172="",E172="",A172="",B172="",C172=""),"", IFERROR(IF(J171="",D2,J171),D2)+IF(E172="",0,E172)-IF(D172="",0,D172))</f>
        <v/>
      </c>
      <c r="K173" s="66"/>
      <c r="L173" s="1" t="str">
        <f aca="false">IF(E172&gt;0,COUNTIF($E$4:E172,"&gt;0"),"")</f>
        <v/>
      </c>
      <c r="M173" s="1" t="str">
        <f aca="false">IF(AND(D172&gt;0,G172="المحفظة"),COUNTIFS($D$4:D172,"&gt;"&amp;0,$G$4:G172,"المحفظة"),"")</f>
        <v/>
      </c>
      <c r="N173" s="1" t="str">
        <f aca="false"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3" s="1" t="str">
        <f aca="false">IF(AND(D172&gt;0,F172="أحد الشركاء"),COUNTIFS($D$4:D172,"&gt;"&amp;0,$F$4:F172,"أحد الشركاء"),"")</f>
        <v/>
      </c>
    </row>
    <row r="174" customFormat="false" ht="18.75" hidden="false" customHeight="true" outlineLevel="0" collapsed="false">
      <c r="A174" s="67"/>
      <c r="B174" s="68"/>
      <c r="C174" s="69"/>
      <c r="D174" s="70"/>
      <c r="E174" s="71"/>
      <c r="F174" s="72"/>
      <c r="G174" s="73"/>
      <c r="H174" s="74"/>
      <c r="I174" s="75"/>
      <c r="J174" s="76" t="str">
        <f aca="false">IF(AND(D173="",E173="",A173="",B173="",C173=""),"", IFERROR(IF(J172="",D2,J172),D2)+IF(E173="",0,E173)-IF(D173="",0,D173))</f>
        <v/>
      </c>
      <c r="K174" s="77"/>
      <c r="L174" s="1" t="str">
        <f aca="false">IF(E173&gt;0,COUNTIF($E$4:E173,"&gt;0"),"")</f>
        <v/>
      </c>
      <c r="M174" s="1" t="str">
        <f aca="false">IF(AND(D173&gt;0,G173="المحفظة"),COUNTIFS($D$4:D173,"&gt;"&amp;0,$G$4:G173,"المحفظة"),"")</f>
        <v/>
      </c>
      <c r="N174" s="1" t="str">
        <f aca="false"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4" s="1" t="str">
        <f aca="false">IF(AND(D173&gt;0,F173="أحد الشركاء"),COUNTIFS($D$4:D173,"&gt;"&amp;0,$F$4:F173,"أحد الشركاء"),"")</f>
        <v/>
      </c>
    </row>
    <row r="175" customFormat="false" ht="18.75" hidden="false" customHeight="true" outlineLevel="0" collapsed="false">
      <c r="A175" s="56"/>
      <c r="B175" s="57"/>
      <c r="C175" s="58"/>
      <c r="D175" s="59"/>
      <c r="E175" s="60"/>
      <c r="F175" s="61"/>
      <c r="G175" s="62"/>
      <c r="H175" s="63"/>
      <c r="I175" s="64"/>
      <c r="J175" s="65" t="str">
        <f aca="false">IF(AND(D174="",E174="",A174="",B174="",C174=""),"", IFERROR(IF(J173="",D2,J173),D2)+IF(E174="",0,E174)-IF(D174="",0,D174))</f>
        <v/>
      </c>
      <c r="K175" s="66"/>
      <c r="L175" s="1" t="str">
        <f aca="false">IF(E174&gt;0,COUNTIF($E$4:E174,"&gt;0"),"")</f>
        <v/>
      </c>
      <c r="M175" s="1" t="str">
        <f aca="false">IF(AND(D174&gt;0,G174="المحفظة"),COUNTIFS($D$4:D174,"&gt;"&amp;0,$G$4:G174,"المحفظة"),"")</f>
        <v/>
      </c>
      <c r="N175" s="1" t="str">
        <f aca="false"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5" s="1" t="str">
        <f aca="false">IF(AND(D174&gt;0,F174="أحد الشركاء"),COUNTIFS($D$4:D174,"&gt;"&amp;0,$F$4:F174,"أحد الشركاء"),"")</f>
        <v/>
      </c>
    </row>
    <row r="176" customFormat="false" ht="18.75" hidden="false" customHeight="true" outlineLevel="0" collapsed="false">
      <c r="A176" s="67"/>
      <c r="B176" s="68"/>
      <c r="C176" s="69"/>
      <c r="D176" s="70"/>
      <c r="E176" s="71"/>
      <c r="F176" s="72"/>
      <c r="G176" s="73"/>
      <c r="H176" s="74"/>
      <c r="I176" s="75"/>
      <c r="J176" s="76" t="str">
        <f aca="false">IF(AND(D175="",E175="",A175="",B175="",C175=""),"", IFERROR(IF(J174="",D2,J174),D2)+IF(E175="",0,E175)-IF(D175="",0,D175))</f>
        <v/>
      </c>
      <c r="K176" s="77"/>
      <c r="L176" s="1" t="str">
        <f aca="false">IF(E175&gt;0,COUNTIF($E$4:E175,"&gt;0"),"")</f>
        <v/>
      </c>
      <c r="M176" s="1" t="str">
        <f aca="false">IF(AND(D175&gt;0,G175="المحفظة"),COUNTIFS($D$4:D175,"&gt;"&amp;0,$G$4:G175,"المحفظة"),"")</f>
        <v/>
      </c>
      <c r="N176" s="1" t="str">
        <f aca="false"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6" s="1" t="str">
        <f aca="false">IF(AND(D175&gt;0,F175="أحد الشركاء"),COUNTIFS($D$4:D175,"&gt;"&amp;0,$F$4:F175,"أحد الشركاء"),"")</f>
        <v/>
      </c>
    </row>
    <row r="177" customFormat="false" ht="18.75" hidden="false" customHeight="true" outlineLevel="0" collapsed="false">
      <c r="A177" s="56"/>
      <c r="B177" s="57"/>
      <c r="C177" s="58"/>
      <c r="D177" s="59"/>
      <c r="E177" s="60"/>
      <c r="F177" s="61"/>
      <c r="G177" s="62"/>
      <c r="H177" s="63"/>
      <c r="I177" s="64"/>
      <c r="J177" s="65" t="str">
        <f aca="false">IF(AND(D176="",E176="",A176="",B176="",C176=""),"", IFERROR(IF(J175="",D2,J175),D2)+IF(E176="",0,E176)-IF(D176="",0,D176))</f>
        <v/>
      </c>
      <c r="K177" s="66"/>
      <c r="L177" s="1" t="str">
        <f aca="false">IF(E176&gt;0,COUNTIF($E$4:E176,"&gt;0"),"")</f>
        <v/>
      </c>
      <c r="M177" s="1" t="str">
        <f aca="false">IF(AND(D176&gt;0,G176="المحفظة"),COUNTIFS($D$4:D176,"&gt;"&amp;0,$G$4:G176,"المحفظة"),"")</f>
        <v/>
      </c>
      <c r="N177" s="1" t="str">
        <f aca="false"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7" s="1" t="str">
        <f aca="false">IF(AND(D176&gt;0,F176="أحد الشركاء"),COUNTIFS($D$4:D176,"&gt;"&amp;0,$F$4:F176,"أحد الشركاء"),"")</f>
        <v/>
      </c>
    </row>
    <row r="178" customFormat="false" ht="18.75" hidden="false" customHeight="true" outlineLevel="0" collapsed="false">
      <c r="A178" s="67"/>
      <c r="B178" s="68"/>
      <c r="C178" s="69"/>
      <c r="D178" s="70"/>
      <c r="E178" s="71"/>
      <c r="F178" s="72"/>
      <c r="G178" s="73"/>
      <c r="H178" s="74"/>
      <c r="I178" s="75"/>
      <c r="J178" s="76" t="str">
        <f aca="false">IF(AND(D177="",E177="",A177="",B177="",C177=""),"", IFERROR(IF(J176="",D2,J176),D2)+IF(E177="",0,E177)-IF(D177="",0,D177))</f>
        <v/>
      </c>
      <c r="K178" s="77"/>
      <c r="L178" s="1" t="str">
        <f aca="false">IF(E177&gt;0,COUNTIF($E$4:E177,"&gt;0"),"")</f>
        <v/>
      </c>
      <c r="M178" s="1" t="str">
        <f aca="false">IF(AND(D177&gt;0,G177="المحفظة"),COUNTIFS($D$4:D177,"&gt;"&amp;0,$G$4:G177,"المحفظة"),"")</f>
        <v/>
      </c>
      <c r="N178" s="1" t="str">
        <f aca="false"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8" s="1" t="str">
        <f aca="false">IF(AND(D177&gt;0,F177="أحد الشركاء"),COUNTIFS($D$4:D177,"&gt;"&amp;0,$F$4:F177,"أحد الشركاء"),"")</f>
        <v/>
      </c>
    </row>
    <row r="179" customFormat="false" ht="18.75" hidden="false" customHeight="true" outlineLevel="0" collapsed="false">
      <c r="A179" s="56"/>
      <c r="B179" s="57"/>
      <c r="C179" s="58"/>
      <c r="D179" s="59"/>
      <c r="E179" s="60"/>
      <c r="F179" s="61"/>
      <c r="G179" s="62"/>
      <c r="H179" s="63"/>
      <c r="I179" s="64"/>
      <c r="J179" s="65" t="str">
        <f aca="false">IF(AND(D178="",E178="",A178="",B178="",C178=""),"", IFERROR(IF(J177="",D2,J177),D2)+IF(E178="",0,E178)-IF(D178="",0,D178))</f>
        <v/>
      </c>
      <c r="K179" s="66"/>
      <c r="L179" s="1" t="str">
        <f aca="false">IF(E178&gt;0,COUNTIF($E$4:E178,"&gt;0"),"")</f>
        <v/>
      </c>
      <c r="M179" s="1" t="str">
        <f aca="false">IF(AND(D178&gt;0,G178="المحفظة"),COUNTIFS($D$4:D178,"&gt;"&amp;0,$G$4:G178,"المحفظة"),"")</f>
        <v/>
      </c>
      <c r="N179" s="1" t="str">
        <f aca="false"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9" s="1" t="str">
        <f aca="false">IF(AND(D178&gt;0,F178="أحد الشركاء"),COUNTIFS($D$4:D178,"&gt;"&amp;0,$F$4:F178,"أحد الشركاء"),"")</f>
        <v/>
      </c>
    </row>
    <row r="180" customFormat="false" ht="18.75" hidden="false" customHeight="true" outlineLevel="0" collapsed="false">
      <c r="A180" s="67"/>
      <c r="B180" s="68"/>
      <c r="C180" s="69"/>
      <c r="D180" s="70"/>
      <c r="E180" s="71"/>
      <c r="F180" s="72"/>
      <c r="G180" s="73"/>
      <c r="H180" s="74"/>
      <c r="I180" s="75"/>
      <c r="J180" s="76" t="str">
        <f aca="false">IF(AND(D179="",E179="",A179="",B179="",C179=""),"", IFERROR(IF(J178="",D2,J178),D2)+IF(E179="",0,E179)-IF(D179="",0,D179))</f>
        <v/>
      </c>
      <c r="K180" s="77"/>
      <c r="L180" s="1" t="str">
        <f aca="false">IF(E179&gt;0,COUNTIF($E$4:E179,"&gt;0"),"")</f>
        <v/>
      </c>
      <c r="M180" s="1" t="str">
        <f aca="false">IF(AND(D179&gt;0,G179="المحفظة"),COUNTIFS($D$4:D179,"&gt;"&amp;0,$G$4:G179,"المحفظة"),"")</f>
        <v/>
      </c>
      <c r="N180" s="1" t="str">
        <f aca="false"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80" s="1" t="str">
        <f aca="false">IF(AND(D179&gt;0,F179="أحد الشركاء"),COUNTIFS($D$4:D179,"&gt;"&amp;0,$F$4:F179,"أحد الشركاء"),"")</f>
        <v/>
      </c>
    </row>
    <row r="181" customFormat="false" ht="18.75" hidden="false" customHeight="true" outlineLevel="0" collapsed="false">
      <c r="A181" s="56"/>
      <c r="B181" s="57"/>
      <c r="C181" s="58"/>
      <c r="D181" s="59"/>
      <c r="E181" s="60"/>
      <c r="F181" s="61"/>
      <c r="G181" s="62"/>
      <c r="H181" s="63"/>
      <c r="I181" s="64"/>
      <c r="J181" s="65" t="str">
        <f aca="false">IF(AND(D180="",E180="",A180="",B180="",C180=""),"", IFERROR(IF(J179="",D2,J179),D2)+IF(E180="",0,E180)-IF(D180="",0,D180))</f>
        <v/>
      </c>
      <c r="K181" s="66"/>
      <c r="L181" s="1" t="str">
        <f aca="false">IF(E180&gt;0,COUNTIF($E$4:E180,"&gt;0"),"")</f>
        <v/>
      </c>
      <c r="M181" s="1" t="str">
        <f aca="false">IF(AND(D180&gt;0,G180="المحفظة"),COUNTIFS($D$4:D180,"&gt;"&amp;0,$G$4:G180,"المحفظة"),"")</f>
        <v/>
      </c>
      <c r="N181" s="1" t="str">
        <f aca="false"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1" s="1" t="str">
        <f aca="false">IF(AND(D180&gt;0,F180="أحد الشركاء"),COUNTIFS($D$4:D180,"&gt;"&amp;0,$F$4:F180,"أحد الشركاء"),"")</f>
        <v/>
      </c>
    </row>
    <row r="182" customFormat="false" ht="18.75" hidden="false" customHeight="true" outlineLevel="0" collapsed="false">
      <c r="A182" s="67"/>
      <c r="B182" s="68"/>
      <c r="C182" s="69"/>
      <c r="D182" s="70"/>
      <c r="E182" s="71"/>
      <c r="F182" s="72"/>
      <c r="G182" s="73"/>
      <c r="H182" s="74"/>
      <c r="I182" s="75"/>
      <c r="J182" s="76" t="str">
        <f aca="false">IF(AND(D181="",E181="",A181="",B181="",C181=""),"", IFERROR(IF(J180="",D2,J180),D2)+IF(E181="",0,E181)-IF(D181="",0,D181))</f>
        <v/>
      </c>
      <c r="K182" s="77"/>
      <c r="L182" s="1" t="str">
        <f aca="false">IF(E181&gt;0,COUNTIF($E$4:E181,"&gt;0"),"")</f>
        <v/>
      </c>
      <c r="M182" s="1" t="str">
        <f aca="false">IF(AND(D181&gt;0,G181="المحفظة"),COUNTIFS($D$4:D181,"&gt;"&amp;0,$G$4:G181,"المحفظة"),"")</f>
        <v/>
      </c>
      <c r="N182" s="1" t="str">
        <f aca="false"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2" s="1" t="str">
        <f aca="false">IF(AND(D181&gt;0,F181="أحد الشركاء"),COUNTIFS($D$4:D181,"&gt;"&amp;0,$F$4:F181,"أحد الشركاء"),"")</f>
        <v/>
      </c>
    </row>
    <row r="183" customFormat="false" ht="18.75" hidden="false" customHeight="true" outlineLevel="0" collapsed="false">
      <c r="A183" s="56"/>
      <c r="B183" s="57"/>
      <c r="C183" s="58"/>
      <c r="D183" s="59"/>
      <c r="E183" s="60"/>
      <c r="F183" s="61"/>
      <c r="G183" s="62"/>
      <c r="H183" s="63"/>
      <c r="I183" s="64"/>
      <c r="J183" s="65" t="str">
        <f aca="false">IF(AND(D182="",E182="",A182="",B182="",C182=""),"", IFERROR(IF(J181="",D2,J181),D2)+IF(E182="",0,E182)-IF(D182="",0,D182))</f>
        <v/>
      </c>
      <c r="K183" s="66"/>
      <c r="L183" s="1" t="str">
        <f aca="false">IF(E182&gt;0,COUNTIF($E$4:E182,"&gt;0"),"")</f>
        <v/>
      </c>
      <c r="M183" s="1" t="str">
        <f aca="false">IF(AND(D182&gt;0,G182="المحفظة"),COUNTIFS($D$4:D182,"&gt;"&amp;0,$G$4:G182,"المحفظة"),"")</f>
        <v/>
      </c>
      <c r="N183" s="1" t="str">
        <f aca="false"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3" s="1" t="str">
        <f aca="false">IF(AND(D182&gt;0,F182="أحد الشركاء"),COUNTIFS($D$4:D182,"&gt;"&amp;0,$F$4:F182,"أحد الشركاء"),"")</f>
        <v/>
      </c>
    </row>
    <row r="184" customFormat="false" ht="18.75" hidden="false" customHeight="true" outlineLevel="0" collapsed="false">
      <c r="A184" s="67"/>
      <c r="B184" s="68"/>
      <c r="C184" s="69"/>
      <c r="D184" s="70"/>
      <c r="E184" s="71"/>
      <c r="F184" s="72"/>
      <c r="G184" s="73"/>
      <c r="H184" s="74"/>
      <c r="I184" s="75"/>
      <c r="J184" s="76" t="str">
        <f aca="false">IF(AND(D183="",E183="",A183="",B183="",C183=""),"", IFERROR(IF(J182="",D2,J182),D2)+IF(E183="",0,E183)-IF(D183="",0,D183))</f>
        <v/>
      </c>
      <c r="K184" s="77"/>
      <c r="L184" s="1" t="str">
        <f aca="false">IF(E183&gt;0,COUNTIF($E$4:E183,"&gt;0"),"")</f>
        <v/>
      </c>
      <c r="M184" s="1" t="str">
        <f aca="false">IF(AND(D183&gt;0,G183="المحفظة"),COUNTIFS($D$4:D183,"&gt;"&amp;0,$G$4:G183,"المحفظة"),"")</f>
        <v/>
      </c>
      <c r="N184" s="1" t="str">
        <f aca="false"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4" s="1" t="str">
        <f aca="false">IF(AND(D183&gt;0,F183="أحد الشركاء"),COUNTIFS($D$4:D183,"&gt;"&amp;0,$F$4:F183,"أحد الشركاء"),"")</f>
        <v/>
      </c>
    </row>
    <row r="185" customFormat="false" ht="18.75" hidden="false" customHeight="true" outlineLevel="0" collapsed="false">
      <c r="A185" s="56"/>
      <c r="B185" s="57"/>
      <c r="C185" s="58"/>
      <c r="D185" s="59"/>
      <c r="E185" s="60"/>
      <c r="F185" s="61"/>
      <c r="G185" s="62"/>
      <c r="H185" s="63"/>
      <c r="I185" s="64"/>
      <c r="J185" s="65" t="str">
        <f aca="false">IF(AND(D184="",E184="",A184="",B184="",C184=""),"", IFERROR(IF(J183="",D2,J183),D2)+IF(E184="",0,E184)-IF(D184="",0,D184))</f>
        <v/>
      </c>
      <c r="K185" s="66"/>
      <c r="L185" s="1" t="str">
        <f aca="false">IF(E184&gt;0,COUNTIF($E$4:E184,"&gt;0"),"")</f>
        <v/>
      </c>
      <c r="M185" s="1" t="str">
        <f aca="false">IF(AND(D184&gt;0,G184="المحفظة"),COUNTIFS($D$4:D184,"&gt;"&amp;0,$G$4:G184,"المحفظة"),"")</f>
        <v/>
      </c>
      <c r="N185" s="1" t="str">
        <f aca="false"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5" s="1" t="str">
        <f aca="false">IF(AND(D184&gt;0,F184="أحد الشركاء"),COUNTIFS($D$4:D184,"&gt;"&amp;0,$F$4:F184,"أحد الشركاء"),"")</f>
        <v/>
      </c>
    </row>
    <row r="186" customFormat="false" ht="18.75" hidden="false" customHeight="true" outlineLevel="0" collapsed="false">
      <c r="A186" s="67"/>
      <c r="B186" s="68"/>
      <c r="C186" s="69"/>
      <c r="D186" s="70"/>
      <c r="E186" s="71"/>
      <c r="F186" s="72"/>
      <c r="G186" s="73"/>
      <c r="H186" s="74"/>
      <c r="I186" s="75"/>
      <c r="J186" s="76" t="str">
        <f aca="false">IF(AND(D185="",E185="",A185="",B185="",C185=""),"", IFERROR(IF(J184="",D2,J184),D2)+IF(E185="",0,E185)-IF(D185="",0,D185))</f>
        <v/>
      </c>
      <c r="K186" s="77"/>
      <c r="L186" s="1" t="str">
        <f aca="false">IF(E185&gt;0,COUNTIF($E$4:E185,"&gt;0"),"")</f>
        <v/>
      </c>
      <c r="M186" s="1" t="str">
        <f aca="false">IF(AND(D185&gt;0,G185="المحفظة"),COUNTIFS($D$4:D185,"&gt;"&amp;0,$G$4:G185,"المحفظة"),"")</f>
        <v/>
      </c>
      <c r="N186" s="1" t="str">
        <f aca="false"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6" s="1" t="str">
        <f aca="false">IF(AND(D185&gt;0,F185="أحد الشركاء"),COUNTIFS($D$4:D185,"&gt;"&amp;0,$F$4:F185,"أحد الشركاء"),"")</f>
        <v/>
      </c>
    </row>
    <row r="187" customFormat="false" ht="18.75" hidden="false" customHeight="true" outlineLevel="0" collapsed="false">
      <c r="A187" s="56"/>
      <c r="B187" s="57"/>
      <c r="C187" s="58"/>
      <c r="D187" s="59"/>
      <c r="E187" s="60"/>
      <c r="F187" s="61"/>
      <c r="G187" s="62"/>
      <c r="H187" s="63"/>
      <c r="I187" s="64"/>
      <c r="J187" s="65" t="str">
        <f aca="false">IF(AND(D186="",E186="",A186="",B186="",C186=""),"", IFERROR(IF(J185="",D2,J185),D2)+IF(E186="",0,E186)-IF(D186="",0,D186))</f>
        <v/>
      </c>
      <c r="K187" s="66"/>
      <c r="L187" s="1" t="str">
        <f aca="false">IF(E186&gt;0,COUNTIF($E$4:E186,"&gt;0"),"")</f>
        <v/>
      </c>
      <c r="M187" s="1" t="str">
        <f aca="false">IF(AND(D186&gt;0,G186="المحفظة"),COUNTIFS($D$4:D186,"&gt;"&amp;0,$G$4:G186,"المحفظة"),"")</f>
        <v/>
      </c>
      <c r="N187" s="1" t="str">
        <f aca="false"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7" s="1" t="str">
        <f aca="false">IF(AND(D186&gt;0,F186="أحد الشركاء"),COUNTIFS($D$4:D186,"&gt;"&amp;0,$F$4:F186,"أحد الشركاء"),"")</f>
        <v/>
      </c>
    </row>
    <row r="188" customFormat="false" ht="18.75" hidden="false" customHeight="true" outlineLevel="0" collapsed="false">
      <c r="A188" s="67"/>
      <c r="B188" s="68"/>
      <c r="C188" s="69"/>
      <c r="D188" s="70"/>
      <c r="E188" s="71"/>
      <c r="F188" s="72"/>
      <c r="G188" s="73"/>
      <c r="H188" s="74"/>
      <c r="I188" s="75"/>
      <c r="J188" s="76" t="str">
        <f aca="false">IF(AND(D187="",E187="",A187="",B187="",C187=""),"", IFERROR(IF(J186="",D2,J186),D2)+IF(E187="",0,E187)-IF(D187="",0,D187))</f>
        <v/>
      </c>
      <c r="K188" s="77"/>
      <c r="L188" s="1" t="str">
        <f aca="false">IF(E187&gt;0,COUNTIF($E$4:E187,"&gt;0"),"")</f>
        <v/>
      </c>
      <c r="M188" s="1" t="str">
        <f aca="false">IF(AND(D187&gt;0,G187="المحفظة"),COUNTIFS($D$4:D187,"&gt;"&amp;0,$G$4:G187,"المحفظة"),"")</f>
        <v/>
      </c>
      <c r="N188" s="1" t="str">
        <f aca="false"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8" s="1" t="str">
        <f aca="false">IF(AND(D187&gt;0,F187="أحد الشركاء"),COUNTIFS($D$4:D187,"&gt;"&amp;0,$F$4:F187,"أحد الشركاء"),"")</f>
        <v/>
      </c>
    </row>
    <row r="189" customFormat="false" ht="18.75" hidden="false" customHeight="true" outlineLevel="0" collapsed="false">
      <c r="A189" s="56"/>
      <c r="B189" s="57"/>
      <c r="C189" s="58"/>
      <c r="D189" s="59"/>
      <c r="E189" s="60"/>
      <c r="F189" s="61"/>
      <c r="G189" s="62"/>
      <c r="H189" s="63"/>
      <c r="I189" s="64"/>
      <c r="J189" s="65" t="str">
        <f aca="false">IF(AND(D188="",E188="",A188="",B188="",C188=""),"", IFERROR(IF(J187="",D2,J187),D2)+IF(E188="",0,E188)-IF(D188="",0,D188))</f>
        <v/>
      </c>
      <c r="K189" s="66"/>
      <c r="L189" s="1" t="str">
        <f aca="false">IF(E188&gt;0,COUNTIF($E$4:E188,"&gt;0"),"")</f>
        <v/>
      </c>
      <c r="M189" s="1" t="str">
        <f aca="false">IF(AND(D188&gt;0,G188="المحفظة"),COUNTIFS($D$4:D188,"&gt;"&amp;0,$G$4:G188,"المحفظة"),"")</f>
        <v/>
      </c>
      <c r="N189" s="1" t="str">
        <f aca="false"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9" s="1" t="str">
        <f aca="false">IF(AND(D188&gt;0,F188="أحد الشركاء"),COUNTIFS($D$4:D188,"&gt;"&amp;0,$F$4:F188,"أحد الشركاء"),"")</f>
        <v/>
      </c>
    </row>
    <row r="190" customFormat="false" ht="18.75" hidden="false" customHeight="true" outlineLevel="0" collapsed="false">
      <c r="A190" s="67"/>
      <c r="B190" s="68"/>
      <c r="C190" s="69"/>
      <c r="D190" s="70"/>
      <c r="E190" s="71"/>
      <c r="F190" s="72"/>
      <c r="G190" s="73"/>
      <c r="H190" s="74"/>
      <c r="I190" s="75"/>
      <c r="J190" s="76" t="str">
        <f aca="false">IF(AND(D189="",E189="",A189="",B189="",C189=""),"", IFERROR(IF(J188="",D2,J188),D2)+IF(E189="",0,E189)-IF(D189="",0,D189))</f>
        <v/>
      </c>
      <c r="K190" s="77"/>
      <c r="L190" s="1" t="str">
        <f aca="false">IF(E189&gt;0,COUNTIF($E$4:E189,"&gt;0"),"")</f>
        <v/>
      </c>
      <c r="M190" s="1" t="str">
        <f aca="false">IF(AND(D189&gt;0,G189="المحفظة"),COUNTIFS($D$4:D189,"&gt;"&amp;0,$G$4:G189,"المحفظة"),"")</f>
        <v/>
      </c>
      <c r="N190" s="1" t="str">
        <f aca="false"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90" s="1" t="str">
        <f aca="false">IF(AND(D189&gt;0,F189="أحد الشركاء"),COUNTIFS($D$4:D189,"&gt;"&amp;0,$F$4:F189,"أحد الشركاء"),"")</f>
        <v/>
      </c>
    </row>
    <row r="191" customFormat="false" ht="18.75" hidden="false" customHeight="true" outlineLevel="0" collapsed="false">
      <c r="A191" s="56"/>
      <c r="B191" s="57"/>
      <c r="C191" s="58"/>
      <c r="D191" s="59"/>
      <c r="E191" s="60"/>
      <c r="F191" s="61"/>
      <c r="G191" s="62"/>
      <c r="H191" s="63"/>
      <c r="I191" s="64"/>
      <c r="J191" s="65" t="str">
        <f aca="false">IF(AND(D190="",E190="",A190="",B190="",C190=""),"", IFERROR(IF(J189="",D2,J189),D2)+IF(E190="",0,E190)-IF(D190="",0,D190))</f>
        <v/>
      </c>
      <c r="K191" s="66"/>
      <c r="L191" s="1" t="str">
        <f aca="false">IF(E190&gt;0,COUNTIF($E$4:E190,"&gt;0"),"")</f>
        <v/>
      </c>
      <c r="M191" s="1" t="str">
        <f aca="false">IF(AND(D190&gt;0,G190="المحفظة"),COUNTIFS($D$4:D190,"&gt;"&amp;0,$G$4:G190,"المحفظة"),"")</f>
        <v/>
      </c>
      <c r="N191" s="1" t="str">
        <f aca="false"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1" s="1" t="str">
        <f aca="false">IF(AND(D190&gt;0,F190="أحد الشركاء"),COUNTIFS($D$4:D190,"&gt;"&amp;0,$F$4:F190,"أحد الشركاء"),"")</f>
        <v/>
      </c>
    </row>
    <row r="192" customFormat="false" ht="18.75" hidden="false" customHeight="true" outlineLevel="0" collapsed="false">
      <c r="A192" s="67"/>
      <c r="B192" s="68"/>
      <c r="C192" s="69"/>
      <c r="D192" s="70"/>
      <c r="E192" s="71"/>
      <c r="F192" s="72"/>
      <c r="G192" s="73"/>
      <c r="H192" s="74"/>
      <c r="I192" s="75"/>
      <c r="J192" s="76" t="str">
        <f aca="false">IF(AND(D191="",E191="",A191="",B191="",C191=""),"", IFERROR(IF(J190="",D2,J190),D2)+IF(E191="",0,E191)-IF(D191="",0,D191))</f>
        <v/>
      </c>
      <c r="K192" s="77"/>
      <c r="L192" s="1" t="str">
        <f aca="false">IF(E191&gt;0,COUNTIF($E$4:E191,"&gt;0"),"")</f>
        <v/>
      </c>
      <c r="M192" s="1" t="str">
        <f aca="false">IF(AND(D191&gt;0,G191="المحفظة"),COUNTIFS($D$4:D191,"&gt;"&amp;0,$G$4:G191,"المحفظة"),"")</f>
        <v/>
      </c>
      <c r="N192" s="1" t="str">
        <f aca="false"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2" s="1" t="str">
        <f aca="false">IF(AND(D191&gt;0,F191="أحد الشركاء"),COUNTIFS($D$4:D191,"&gt;"&amp;0,$F$4:F191,"أحد الشركاء"),"")</f>
        <v/>
      </c>
    </row>
    <row r="193" customFormat="false" ht="18.75" hidden="false" customHeight="true" outlineLevel="0" collapsed="false">
      <c r="A193" s="56"/>
      <c r="B193" s="57"/>
      <c r="C193" s="58"/>
      <c r="D193" s="59"/>
      <c r="E193" s="60"/>
      <c r="F193" s="61"/>
      <c r="G193" s="62"/>
      <c r="H193" s="63"/>
      <c r="I193" s="64"/>
      <c r="J193" s="65" t="str">
        <f aca="false">IF(AND(D192="",E192="",A192="",B192="",C192=""),"", IFERROR(IF(J191="",D2,J191),D2)+IF(E192="",0,E192)-IF(D192="",0,D192))</f>
        <v/>
      </c>
      <c r="K193" s="66"/>
      <c r="L193" s="1" t="str">
        <f aca="false">IF(E192&gt;0,COUNTIF($E$4:E192,"&gt;0"),"")</f>
        <v/>
      </c>
      <c r="M193" s="1" t="str">
        <f aca="false">IF(AND(D192&gt;0,G192="المحفظة"),COUNTIFS($D$4:D192,"&gt;"&amp;0,$G$4:G192,"المحفظة"),"")</f>
        <v/>
      </c>
      <c r="N193" s="1" t="str">
        <f aca="false"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3" s="1" t="str">
        <f aca="false">IF(AND(D192&gt;0,F192="أحد الشركاء"),COUNTIFS($D$4:D192,"&gt;"&amp;0,$F$4:F192,"أحد الشركاء"),"")</f>
        <v/>
      </c>
    </row>
    <row r="194" customFormat="false" ht="18.75" hidden="false" customHeight="true" outlineLevel="0" collapsed="false">
      <c r="A194" s="67"/>
      <c r="B194" s="68"/>
      <c r="C194" s="69"/>
      <c r="D194" s="70"/>
      <c r="E194" s="71"/>
      <c r="F194" s="72"/>
      <c r="G194" s="73"/>
      <c r="H194" s="74"/>
      <c r="I194" s="75"/>
      <c r="J194" s="76" t="str">
        <f aca="false">IF(AND(D193="",E193="",A193="",B193="",C193=""),"", IFERROR(IF(J192="",D2,J192),D2)+IF(E193="",0,E193)-IF(D193="",0,D193))</f>
        <v/>
      </c>
      <c r="K194" s="77"/>
      <c r="L194" s="1" t="str">
        <f aca="false">IF(E193&gt;0,COUNTIF($E$4:E193,"&gt;0"),"")</f>
        <v/>
      </c>
      <c r="M194" s="1" t="str">
        <f aca="false">IF(AND(D193&gt;0,G193="المحفظة"),COUNTIFS($D$4:D193,"&gt;"&amp;0,$G$4:G193,"المحفظة"),"")</f>
        <v/>
      </c>
      <c r="N194" s="1" t="str">
        <f aca="false"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4" s="1" t="str">
        <f aca="false">IF(AND(D193&gt;0,F193="أحد الشركاء"),COUNTIFS($D$4:D193,"&gt;"&amp;0,$F$4:F193,"أحد الشركاء"),"")</f>
        <v/>
      </c>
    </row>
    <row r="195" customFormat="false" ht="18.75" hidden="false" customHeight="true" outlineLevel="0" collapsed="false">
      <c r="A195" s="56"/>
      <c r="B195" s="57"/>
      <c r="C195" s="58"/>
      <c r="D195" s="59"/>
      <c r="E195" s="60"/>
      <c r="F195" s="61"/>
      <c r="G195" s="62"/>
      <c r="H195" s="63"/>
      <c r="I195" s="64"/>
      <c r="J195" s="65" t="str">
        <f aca="false">IF(AND(D194="",E194="",A194="",B194="",C194=""),"", IFERROR(IF(J193="",D2,J193),D2)+IF(E194="",0,E194)-IF(D194="",0,D194))</f>
        <v/>
      </c>
      <c r="K195" s="66"/>
      <c r="L195" s="1" t="str">
        <f aca="false">IF(E194&gt;0,COUNTIF($E$4:E194,"&gt;0"),"")</f>
        <v/>
      </c>
      <c r="M195" s="1" t="str">
        <f aca="false">IF(AND(D194&gt;0,G194="المحفظة"),COUNTIFS($D$4:D194,"&gt;"&amp;0,$G$4:G194,"المحفظة"),"")</f>
        <v/>
      </c>
      <c r="N195" s="1" t="str">
        <f aca="false"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5" s="1" t="str">
        <f aca="false">IF(AND(D194&gt;0,F194="أحد الشركاء"),COUNTIFS($D$4:D194,"&gt;"&amp;0,$F$4:F194,"أحد الشركاء"),"")</f>
        <v/>
      </c>
    </row>
    <row r="196" customFormat="false" ht="18.75" hidden="false" customHeight="true" outlineLevel="0" collapsed="false">
      <c r="A196" s="67"/>
      <c r="B196" s="68"/>
      <c r="C196" s="69"/>
      <c r="D196" s="70"/>
      <c r="E196" s="71"/>
      <c r="F196" s="72"/>
      <c r="G196" s="73"/>
      <c r="H196" s="74"/>
      <c r="I196" s="75"/>
      <c r="J196" s="76" t="str">
        <f aca="false">IF(AND(D195="",E195="",A195="",B195="",C195=""),"", IFERROR(IF(J194="",D2,J194),D2)+IF(E195="",0,E195)-IF(D195="",0,D195))</f>
        <v/>
      </c>
      <c r="K196" s="77"/>
      <c r="L196" s="1" t="str">
        <f aca="false">IF(E195&gt;0,COUNTIF($E$4:E195,"&gt;0"),"")</f>
        <v/>
      </c>
      <c r="M196" s="1" t="str">
        <f aca="false">IF(AND(D195&gt;0,G195="المحفظة"),COUNTIFS($D$4:D195,"&gt;"&amp;0,$G$4:G195,"المحفظة"),"")</f>
        <v/>
      </c>
      <c r="N196" s="1" t="str">
        <f aca="false"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6" s="1" t="str">
        <f aca="false">IF(AND(D195&gt;0,F195="أحد الشركاء"),COUNTIFS($D$4:D195,"&gt;"&amp;0,$F$4:F195,"أحد الشركاء"),"")</f>
        <v/>
      </c>
    </row>
    <row r="197" customFormat="false" ht="18.75" hidden="false" customHeight="true" outlineLevel="0" collapsed="false">
      <c r="A197" s="56"/>
      <c r="B197" s="57"/>
      <c r="C197" s="58"/>
      <c r="D197" s="59"/>
      <c r="E197" s="60"/>
      <c r="F197" s="61"/>
      <c r="G197" s="62"/>
      <c r="H197" s="63"/>
      <c r="I197" s="64"/>
      <c r="J197" s="65" t="str">
        <f aca="false">IF(AND(D196="",E196="",A196="",B196="",C196=""),"", IFERROR(IF(J195="",D2,J195),D2)+IF(E196="",0,E196)-IF(D196="",0,D196))</f>
        <v/>
      </c>
      <c r="K197" s="66"/>
      <c r="L197" s="1" t="str">
        <f aca="false">IF(E196&gt;0,COUNTIF($E$4:E196,"&gt;0"),"")</f>
        <v/>
      </c>
      <c r="M197" s="1" t="str">
        <f aca="false">IF(AND(D196&gt;0,G196="المحفظة"),COUNTIFS($D$4:D196,"&gt;"&amp;0,$G$4:G196,"المحفظة"),"")</f>
        <v/>
      </c>
      <c r="N197" s="1" t="str">
        <f aca="false"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7" s="1" t="str">
        <f aca="false">IF(AND(D196&gt;0,F196="أحد الشركاء"),COUNTIFS($D$4:D196,"&gt;"&amp;0,$F$4:F196,"أحد الشركاء"),"")</f>
        <v/>
      </c>
    </row>
    <row r="198" customFormat="false" ht="18.75" hidden="false" customHeight="true" outlineLevel="0" collapsed="false">
      <c r="A198" s="67"/>
      <c r="B198" s="68"/>
      <c r="C198" s="69"/>
      <c r="D198" s="70"/>
      <c r="E198" s="71"/>
      <c r="F198" s="72"/>
      <c r="G198" s="73"/>
      <c r="H198" s="74"/>
      <c r="I198" s="75"/>
      <c r="J198" s="76" t="str">
        <f aca="false">IF(AND(D197="",E197="",A197="",B197="",C197=""),"", IFERROR(IF(J196="",D2,J196),D2)+IF(E197="",0,E197)-IF(D197="",0,D197))</f>
        <v/>
      </c>
      <c r="K198" s="77"/>
      <c r="L198" s="1" t="str">
        <f aca="false">IF(E197&gt;0,COUNTIF($E$4:E197,"&gt;0"),"")</f>
        <v/>
      </c>
      <c r="M198" s="1" t="str">
        <f aca="false">IF(AND(D197&gt;0,G197="المحفظة"),COUNTIFS($D$4:D197,"&gt;"&amp;0,$G$4:G197,"المحفظة"),"")</f>
        <v/>
      </c>
      <c r="N198" s="1" t="str">
        <f aca="false"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8" s="1" t="str">
        <f aca="false">IF(AND(D197&gt;0,F197="أحد الشركاء"),COUNTIFS($D$4:D197,"&gt;"&amp;0,$F$4:F197,"أحد الشركاء"),"")</f>
        <v/>
      </c>
    </row>
    <row r="199" customFormat="false" ht="18.75" hidden="false" customHeight="true" outlineLevel="0" collapsed="false">
      <c r="A199" s="56"/>
      <c r="B199" s="57"/>
      <c r="C199" s="58"/>
      <c r="D199" s="59"/>
      <c r="E199" s="60"/>
      <c r="F199" s="61"/>
      <c r="G199" s="62"/>
      <c r="H199" s="63"/>
      <c r="I199" s="64"/>
      <c r="J199" s="65" t="str">
        <f aca="false">IF(AND(D198="",E198="",A198="",B198="",C198=""),"", IFERROR(IF(J197="",D2,J197),D2)+IF(E198="",0,E198)-IF(D198="",0,D198))</f>
        <v/>
      </c>
      <c r="K199" s="66"/>
      <c r="L199" s="1" t="str">
        <f aca="false">IF(E198&gt;0,COUNTIF($E$4:E198,"&gt;0"),"")</f>
        <v/>
      </c>
      <c r="M199" s="1" t="str">
        <f aca="false">IF(AND(D198&gt;0,G198="المحفظة"),COUNTIFS($D$4:D198,"&gt;"&amp;0,$G$4:G198,"المحفظة"),"")</f>
        <v/>
      </c>
      <c r="N199" s="1" t="str">
        <f aca="false"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9" s="1" t="str">
        <f aca="false">IF(AND(D198&gt;0,F198="أحد الشركاء"),COUNTIFS($D$4:D198,"&gt;"&amp;0,$F$4:F198,"أحد الشركاء"),"")</f>
        <v/>
      </c>
    </row>
    <row r="200" customFormat="false" ht="18.75" hidden="false" customHeight="true" outlineLevel="0" collapsed="false">
      <c r="A200" s="67"/>
      <c r="B200" s="68"/>
      <c r="C200" s="69"/>
      <c r="D200" s="70"/>
      <c r="E200" s="71"/>
      <c r="F200" s="72"/>
      <c r="G200" s="73"/>
      <c r="H200" s="74"/>
      <c r="I200" s="75"/>
      <c r="J200" s="76" t="str">
        <f aca="false">IF(AND(D199="",E199="",A199="",B199="",C199=""),"", IFERROR(IF(J198="",D2,J198),D2)+IF(E199="",0,E199)-IF(D199="",0,D199))</f>
        <v/>
      </c>
      <c r="K200" s="77"/>
      <c r="L200" s="1" t="str">
        <f aca="false">IF(E199&gt;0,COUNTIF($E$4:E199,"&gt;0"),"")</f>
        <v/>
      </c>
      <c r="M200" s="1" t="str">
        <f aca="false">IF(AND(D199&gt;0,G199="المحفظة"),COUNTIFS($D$4:D199,"&gt;"&amp;0,$G$4:G199,"المحفظة"),"")</f>
        <v/>
      </c>
      <c r="N200" s="1" t="str">
        <f aca="false"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200" s="1" t="str">
        <f aca="false">IF(AND(D199&gt;0,F199="أحد الشركاء"),COUNTIFS($D$4:D199,"&gt;"&amp;0,$F$4:F199,"أحد الشركاء"),"")</f>
        <v/>
      </c>
    </row>
    <row r="201" customFormat="false" ht="18.75" hidden="false" customHeight="true" outlineLevel="0" collapsed="false">
      <c r="A201" s="56"/>
      <c r="B201" s="57"/>
      <c r="C201" s="58"/>
      <c r="D201" s="59"/>
      <c r="E201" s="60"/>
      <c r="F201" s="61"/>
      <c r="G201" s="62"/>
      <c r="H201" s="63"/>
      <c r="I201" s="64"/>
      <c r="J201" s="65" t="str">
        <f aca="false">IF(AND(D200="",E200="",A200="",B200="",C200=""),"", IFERROR(IF(J199="",D2,J199),D2)+IF(E200="",0,E200)-IF(D200="",0,D200))</f>
        <v/>
      </c>
      <c r="K201" s="66"/>
      <c r="L201" s="1" t="str">
        <f aca="false">IF(E200&gt;0,COUNTIF($E$4:E200,"&gt;0"),"")</f>
        <v/>
      </c>
      <c r="M201" s="1" t="str">
        <f aca="false">IF(AND(D200&gt;0,G200="المحفظة"),COUNTIFS($D$4:D200,"&gt;"&amp;0,$G$4:G200,"المحفظة"),"")</f>
        <v/>
      </c>
      <c r="N201" s="1" t="str">
        <f aca="false"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1" s="1" t="str">
        <f aca="false">IF(AND(D200&gt;0,F200="أحد الشركاء"),COUNTIFS($D$4:D200,"&gt;"&amp;0,$F$4:F200,"أحد الشركاء"),"")</f>
        <v/>
      </c>
    </row>
    <row r="202" customFormat="false" ht="18.75" hidden="false" customHeight="true" outlineLevel="0" collapsed="false">
      <c r="A202" s="67"/>
      <c r="B202" s="68"/>
      <c r="C202" s="69"/>
      <c r="D202" s="70"/>
      <c r="E202" s="71"/>
      <c r="F202" s="72"/>
      <c r="G202" s="73"/>
      <c r="H202" s="74"/>
      <c r="I202" s="75"/>
      <c r="J202" s="76" t="str">
        <f aca="false">IF(AND(D201="",E201="",A201="",B201="",C201=""),"", IFERROR(IF(J200="",D2,J200),D2)+IF(E201="",0,E201)-IF(D201="",0,D201))</f>
        <v/>
      </c>
      <c r="K202" s="77"/>
      <c r="L202" s="1" t="str">
        <f aca="false">IF(E201&gt;0,COUNTIF($E$4:E201,"&gt;0"),"")</f>
        <v/>
      </c>
      <c r="M202" s="1" t="str">
        <f aca="false">IF(AND(D201&gt;0,G201="المحفظة"),COUNTIFS($D$4:D201,"&gt;"&amp;0,$G$4:G201,"المحفظة"),"")</f>
        <v/>
      </c>
      <c r="N202" s="1" t="str">
        <f aca="false"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2" s="1" t="str">
        <f aca="false">IF(AND(D201&gt;0,F201="أحد الشركاء"),COUNTIFS($D$4:D201,"&gt;"&amp;0,$F$4:F201,"أحد الشركاء"),"")</f>
        <v/>
      </c>
    </row>
    <row r="203" customFormat="false" ht="18.75" hidden="false" customHeight="true" outlineLevel="0" collapsed="false">
      <c r="A203" s="56"/>
      <c r="B203" s="57"/>
      <c r="C203" s="58"/>
      <c r="D203" s="59"/>
      <c r="E203" s="60"/>
      <c r="F203" s="61"/>
      <c r="G203" s="62"/>
      <c r="H203" s="63"/>
      <c r="I203" s="64"/>
      <c r="J203" s="65" t="str">
        <f aca="false">IF(AND(D202="",E202="",A202="",B202="",C202=""),"", IFERROR(IF(J201="",D2,J201),D2)+IF(E202="",0,E202)-IF(D202="",0,D202))</f>
        <v/>
      </c>
      <c r="K203" s="66"/>
      <c r="L203" s="1" t="str">
        <f aca="false">IF(E202&gt;0,COUNTIF($E$4:E202,"&gt;0"),"")</f>
        <v/>
      </c>
      <c r="M203" s="1" t="str">
        <f aca="false">IF(AND(D202&gt;0,G202="المحفظة"),COUNTIFS($D$4:D202,"&gt;"&amp;0,$G$4:G202,"المحفظة"),"")</f>
        <v/>
      </c>
      <c r="N203" s="1" t="str">
        <f aca="false"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3" s="1" t="str">
        <f aca="false">IF(AND(D202&gt;0,F202="أحد الشركاء"),COUNTIFS($D$4:D202,"&gt;"&amp;0,$F$4:F202,"أحد الشركاء"),"")</f>
        <v/>
      </c>
    </row>
    <row r="204" customFormat="false" ht="25.5" hidden="false" customHeight="true" outlineLevel="0" collapsed="false">
      <c r="A204" s="67"/>
      <c r="B204" s="67"/>
      <c r="C204" s="67"/>
      <c r="D204" s="70"/>
      <c r="E204" s="71"/>
      <c r="F204" s="72"/>
      <c r="G204" s="72"/>
      <c r="H204" s="72"/>
      <c r="I204" s="75"/>
      <c r="J204" s="76" t="str">
        <f aca="false">IF(AND(D203="",E203="",A203="",B203="",C203=""),"", IFERROR(IF(J202="",D2,J202),D2)+IF(E203="",0,E203)-IF(D203="",0,D203))</f>
        <v/>
      </c>
      <c r="K204" s="77"/>
      <c r="L204" s="1" t="str">
        <f aca="false">IF(E203&gt;0,COUNTIF($E$4:E203,"&gt;0"),"")</f>
        <v/>
      </c>
      <c r="M204" s="1" t="str">
        <f aca="false">IF(AND(D203&gt;0,G203="المحفظة"),COUNTIFS($D$4:D203,"&gt;"&amp;0,$G$4:G203,"المحفظة"),"")</f>
        <v/>
      </c>
      <c r="N204" s="1" t="str">
        <f aca="false"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s="1" t="str">
        <f aca="false">IF(AND(D203&gt;0,F203="أحد الشركاء"),COUNTIFS($D$4:D203,"&gt;"&amp;0,$F$4:F203,"أحد الشركاء"),"")</f>
        <v/>
      </c>
    </row>
    <row r="205" customFormat="false" ht="15.75" hidden="false" customHeight="true" outlineLevel="0" collapsed="false">
      <c r="A205" s="43" t="s">
        <v>164</v>
      </c>
      <c r="B205" s="79"/>
      <c r="C205" s="79"/>
      <c r="D205" s="80" t="n">
        <f aca="false">SUM(D4:D203)</f>
        <v>1077.05</v>
      </c>
      <c r="E205" s="80" t="n">
        <f aca="false">SUM(E4:E203)</f>
        <v>572.1</v>
      </c>
      <c r="F205" s="81" t="n">
        <f aca="false">COUNTIF(H4:H203,"معلق")</f>
        <v>8</v>
      </c>
      <c r="G205" s="79"/>
      <c r="H205" s="79"/>
      <c r="J205" s="80" t="n">
        <f aca="false">$D$2+E204-D204</f>
        <v>0</v>
      </c>
      <c r="N205" s="1" t="n">
        <f aca="false"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>67</v>
      </c>
    </row>
    <row r="206" customFormat="false" ht="15" hidden="false" customHeight="true" outlineLevel="0" collapsed="false">
      <c r="D206" s="82" t="s">
        <v>165</v>
      </c>
      <c r="E206" s="83" t="s">
        <v>166</v>
      </c>
      <c r="F206" s="84" t="s">
        <v>167</v>
      </c>
      <c r="J206" s="85" t="s">
        <v>168</v>
      </c>
    </row>
  </sheetData>
  <mergeCells count="5">
    <mergeCell ref="A1:K1"/>
    <mergeCell ref="A2:C2"/>
    <mergeCell ref="E2:K2"/>
    <mergeCell ref="A204:C204"/>
    <mergeCell ref="F204:H204"/>
  </mergeCells>
  <conditionalFormatting sqref="J4:J203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conditionalFormatting sqref="H4:H203">
    <cfRule type="expression" priority="4" aboveAverage="0" equalAverage="0" bottom="0" percent="0" rank="0" text="" dxfId="2">
      <formula>H4="معلق"</formula>
    </cfRule>
  </conditionalFormatting>
  <conditionalFormatting sqref="G4:G203">
    <cfRule type="expression" priority="5" aboveAverage="0" equalAverage="0" bottom="0" percent="0" rank="0" text="" dxfId="3">
      <formula>G4="المحفظة"</formula>
    </cfRule>
  </conditionalFormatting>
  <dataValidations count="4">
    <dataValidation allowBlank="true" error="اختر من القائمة" errorStyle="stop" errorTitle="خطأ" operator="between" showDropDown="false" showErrorMessage="true" showInputMessage="false" sqref="F4:F203" type="list">
      <formula1>"نقداً,أون لاين,أحد الشركاء,من المحفظة"</formula1>
      <formula2>0</formula2>
    </dataValidation>
    <dataValidation allowBlank="true" error="اختر من القائمة" errorStyle="stop" errorTitle="خطأ" operator="between" showDropDown="false" showErrorMessage="true" showInputMessage="false" sqref="G4:G203" type="list">
      <formula1>"أبو اسحاق,أبو آدم,نزمول,المحفظة"</formula1>
      <formula2>0</formula2>
    </dataValidation>
    <dataValidation allowBlank="true" error="اختر من القائمة" errorStyle="stop" errorTitle="خطأ" operator="between" showDropDown="false" showErrorMessage="true" showInputMessage="false" sqref="H4:H203" type="list">
      <formula1>"تم الدفع,معلق"</formula1>
      <formula2>0</formula2>
    </dataValidation>
    <dataValidation allowBlank="true" error="أدخل تاريخاً صحيحاً" errorStyle="stop" errorTitle="تاريخ خاطئ" operator="between" showDropDown="false" showErrorMessage="true" showInputMessage="false" sqref="A4:A203" type="date">
      <formula1>DATE(2020,1,1)</formula1>
      <formula2>DATE(2035,12,31)</formula2>
    </dataValidation>
  </dataValidations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6"/>
    <col collapsed="false" customWidth="true" hidden="false" outlineLevel="0" max="3" min="3" style="1" width="22"/>
  </cols>
  <sheetData>
    <row r="1" customFormat="false" ht="27.75" hidden="false" customHeight="true" outlineLevel="0" collapsed="false">
      <c r="A1" s="86" t="s">
        <v>169</v>
      </c>
      <c r="B1" s="86"/>
      <c r="C1" s="86"/>
    </row>
    <row r="2" customFormat="false" ht="21.75" hidden="false" customHeight="true" outlineLevel="0" collapsed="false">
      <c r="A2" s="87" t="s">
        <v>17</v>
      </c>
      <c r="B2" s="87" t="s">
        <v>170</v>
      </c>
      <c r="C2" s="87" t="s">
        <v>171</v>
      </c>
    </row>
    <row r="3" customFormat="false" ht="18" hidden="false" customHeight="true" outlineLevel="0" collapsed="false">
      <c r="A3" s="88" t="s">
        <v>130</v>
      </c>
      <c r="B3" s="88"/>
      <c r="C3" s="57"/>
    </row>
    <row r="4" customFormat="false" ht="18" hidden="false" customHeight="true" outlineLevel="0" collapsed="false">
      <c r="A4" s="89" t="s">
        <v>58</v>
      </c>
      <c r="B4" s="89"/>
      <c r="C4" s="68"/>
    </row>
    <row r="5" customFormat="false" ht="18" hidden="false" customHeight="true" outlineLevel="0" collapsed="false">
      <c r="A5" s="88" t="s">
        <v>55</v>
      </c>
      <c r="B5" s="88"/>
      <c r="C5" s="57"/>
    </row>
    <row r="6" customFormat="false" ht="18" hidden="false" customHeight="true" outlineLevel="0" collapsed="false">
      <c r="A6" s="89" t="s">
        <v>50</v>
      </c>
      <c r="B6" s="89"/>
      <c r="C6" s="68"/>
    </row>
    <row r="7" customFormat="false" ht="18" hidden="false" customHeight="true" outlineLevel="0" collapsed="false">
      <c r="A7" s="88" t="s">
        <v>172</v>
      </c>
      <c r="B7" s="88"/>
      <c r="C7" s="57"/>
    </row>
    <row r="8" customFormat="false" ht="18" hidden="false" customHeight="true" outlineLevel="0" collapsed="false">
      <c r="A8" s="89" t="s">
        <v>173</v>
      </c>
      <c r="B8" s="89"/>
      <c r="C8" s="68"/>
    </row>
    <row r="9" customFormat="false" ht="18" hidden="false" customHeight="true" outlineLevel="0" collapsed="false">
      <c r="A9" s="88" t="s">
        <v>65</v>
      </c>
      <c r="B9" s="88"/>
      <c r="C9" s="57"/>
    </row>
    <row r="10" customFormat="false" ht="18" hidden="false" customHeight="true" outlineLevel="0" collapsed="false">
      <c r="A10" s="89" t="s">
        <v>45</v>
      </c>
      <c r="B10" s="89"/>
      <c r="C10" s="68"/>
    </row>
    <row r="11" customFormat="false" ht="18" hidden="false" customHeight="true" outlineLevel="0" collapsed="false">
      <c r="A11" s="88" t="s">
        <v>174</v>
      </c>
      <c r="B11" s="88"/>
      <c r="C11" s="57"/>
    </row>
    <row r="12" customFormat="false" ht="18" hidden="false" customHeight="true" outlineLevel="0" collapsed="false">
      <c r="A12" s="89" t="s">
        <v>175</v>
      </c>
      <c r="B12" s="89"/>
      <c r="C12" s="68"/>
    </row>
    <row r="13" customFormat="false" ht="18" hidden="false" customHeight="true" outlineLevel="0" collapsed="false">
      <c r="A13" s="88" t="s">
        <v>176</v>
      </c>
      <c r="B13" s="88"/>
      <c r="C13" s="57"/>
    </row>
    <row r="14" customFormat="false" ht="18" hidden="false" customHeight="true" outlineLevel="0" collapsed="false">
      <c r="A14" s="89" t="s">
        <v>177</v>
      </c>
      <c r="B14" s="89"/>
      <c r="C14" s="68"/>
    </row>
    <row r="15" customFormat="false" ht="18" hidden="false" customHeight="true" outlineLevel="0" collapsed="false">
      <c r="A15" s="88" t="s">
        <v>178</v>
      </c>
      <c r="B15" s="88"/>
      <c r="C15" s="57"/>
    </row>
    <row r="16" customFormat="false" ht="18" hidden="false" customHeight="true" outlineLevel="0" collapsed="false">
      <c r="A16" s="89" t="s">
        <v>179</v>
      </c>
      <c r="B16" s="89"/>
      <c r="C16" s="68"/>
    </row>
    <row r="17" customFormat="false" ht="18" hidden="false" customHeight="true" outlineLevel="0" collapsed="false">
      <c r="A17" s="88" t="s">
        <v>180</v>
      </c>
      <c r="B17" s="88"/>
      <c r="C17" s="57"/>
    </row>
    <row r="18" customFormat="false" ht="18" hidden="false" customHeight="true" outlineLevel="0" collapsed="false">
      <c r="A18" s="89" t="s">
        <v>181</v>
      </c>
      <c r="B18" s="89"/>
      <c r="C18" s="68"/>
    </row>
    <row r="19" customFormat="false" ht="18" hidden="false" customHeight="true" outlineLevel="0" collapsed="false">
      <c r="A19" s="88" t="s">
        <v>182</v>
      </c>
      <c r="B19" s="88"/>
      <c r="C19" s="57"/>
    </row>
    <row r="20" customFormat="false" ht="18" hidden="false" customHeight="true" outlineLevel="0" collapsed="false">
      <c r="A20" s="89" t="s">
        <v>183</v>
      </c>
      <c r="B20" s="89"/>
      <c r="C20" s="68"/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64"/>
  </cols>
  <sheetData>
    <row r="1" customFormat="false" ht="30" hidden="false" customHeight="true" outlineLevel="0" collapsed="false">
      <c r="A1" s="90" t="s">
        <v>184</v>
      </c>
      <c r="B1" s="90"/>
    </row>
    <row r="2" customFormat="false" ht="21.75" hidden="false" customHeight="true" outlineLevel="0" collapsed="false">
      <c r="A2" s="91" t="s">
        <v>185</v>
      </c>
      <c r="B2" s="91"/>
    </row>
    <row r="3" customFormat="false" ht="19.5" hidden="false" customHeight="true" outlineLevel="0" collapsed="false">
      <c r="A3" s="92" t="s">
        <v>186</v>
      </c>
      <c r="B3" s="69" t="s">
        <v>187</v>
      </c>
    </row>
    <row r="4" customFormat="false" ht="19.5" hidden="false" customHeight="true" outlineLevel="0" collapsed="false">
      <c r="A4" s="93" t="s">
        <v>188</v>
      </c>
      <c r="B4" s="58" t="s">
        <v>189</v>
      </c>
    </row>
    <row r="5" customFormat="false" ht="21.75" hidden="false" customHeight="true" outlineLevel="0" collapsed="false">
      <c r="A5" s="91" t="s">
        <v>190</v>
      </c>
      <c r="B5" s="91"/>
    </row>
    <row r="6" customFormat="false" ht="19.5" hidden="false" customHeight="true" outlineLevel="0" collapsed="false">
      <c r="A6" s="93" t="s">
        <v>186</v>
      </c>
      <c r="B6" s="58" t="s">
        <v>191</v>
      </c>
    </row>
    <row r="7" customFormat="false" ht="19.5" hidden="false" customHeight="true" outlineLevel="0" collapsed="false">
      <c r="A7" s="92" t="s">
        <v>188</v>
      </c>
      <c r="B7" s="69" t="s">
        <v>192</v>
      </c>
    </row>
    <row r="8" customFormat="false" ht="19.5" hidden="false" customHeight="true" outlineLevel="0" collapsed="false">
      <c r="A8" s="93" t="s">
        <v>193</v>
      </c>
      <c r="B8" s="58" t="s">
        <v>194</v>
      </c>
    </row>
    <row r="9" customFormat="false" ht="19.5" hidden="false" customHeight="true" outlineLevel="0" collapsed="false">
      <c r="A9" s="92" t="s">
        <v>195</v>
      </c>
      <c r="B9" s="69" t="s">
        <v>196</v>
      </c>
    </row>
    <row r="10" customFormat="false" ht="19.5" hidden="false" customHeight="true" outlineLevel="0" collapsed="false">
      <c r="A10" s="93" t="s">
        <v>197</v>
      </c>
      <c r="B10" s="58" t="s">
        <v>198</v>
      </c>
    </row>
    <row r="11" customFormat="false" ht="21.75" hidden="false" customHeight="true" outlineLevel="0" collapsed="false">
      <c r="A11" s="91" t="s">
        <v>199</v>
      </c>
      <c r="B11" s="91"/>
    </row>
    <row r="12" customFormat="false" ht="19.5" hidden="false" customHeight="true" outlineLevel="0" collapsed="false">
      <c r="A12" s="93" t="s">
        <v>186</v>
      </c>
      <c r="B12" s="58" t="s">
        <v>200</v>
      </c>
    </row>
    <row r="13" customFormat="false" ht="19.5" hidden="false" customHeight="true" outlineLevel="0" collapsed="false">
      <c r="A13" s="92" t="s">
        <v>188</v>
      </c>
      <c r="B13" s="69" t="s">
        <v>201</v>
      </c>
    </row>
    <row r="14" customFormat="false" ht="19.5" hidden="false" customHeight="true" outlineLevel="0" collapsed="false">
      <c r="A14" s="93" t="s">
        <v>193</v>
      </c>
      <c r="B14" s="58" t="s">
        <v>202</v>
      </c>
    </row>
    <row r="15" customFormat="false" ht="19.5" hidden="false" customHeight="true" outlineLevel="0" collapsed="false">
      <c r="A15" s="92" t="s">
        <v>195</v>
      </c>
      <c r="B15" s="69" t="s">
        <v>203</v>
      </c>
    </row>
  </sheetData>
  <mergeCells count="4">
    <mergeCell ref="A1:B1"/>
    <mergeCell ref="A2:B2"/>
    <mergeCell ref="A5:B5"/>
    <mergeCell ref="A11:B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5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155" activeCellId="0" sqref="F155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4"/>
    <col collapsed="false" customWidth="true" hidden="false" outlineLevel="0" max="3" min="3" style="1" width="36"/>
    <col collapsed="false" customWidth="true" hidden="false" outlineLevel="0" max="5" min="4" style="1" width="15"/>
    <col collapsed="false" customWidth="true" hidden="false" outlineLevel="0" max="6" min="6" style="1" width="14"/>
    <col collapsed="false" customWidth="true" hidden="false" outlineLevel="0" max="8" min="7" style="1" width="13"/>
    <col collapsed="false" customWidth="true" hidden="false" outlineLevel="0" max="10" min="9" style="1" width="19"/>
    <col collapsed="false" customWidth="true" hidden="false" outlineLevel="0" max="11" min="11" style="1" width="16"/>
  </cols>
  <sheetData>
    <row r="1" customFormat="false" ht="30" hidden="false" customHeight="true" outlineLevel="0" collapsed="false">
      <c r="A1" s="2" t="s">
        <v>22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customFormat="false" ht="24" hidden="false" customHeight="true" outlineLevel="0" collapsed="false">
      <c r="A2" s="94"/>
      <c r="B2" s="94"/>
      <c r="C2" s="95" t="s">
        <v>204</v>
      </c>
      <c r="D2" s="94" t="n">
        <v>2026</v>
      </c>
      <c r="E2" s="94"/>
      <c r="F2" s="95" t="s">
        <v>204</v>
      </c>
      <c r="G2" s="96" t="s">
        <v>205</v>
      </c>
      <c r="H2" s="96"/>
      <c r="I2" s="96"/>
      <c r="J2" s="96"/>
      <c r="K2" s="96"/>
    </row>
    <row r="3" customFormat="false" ht="19.5" hidden="false" customHeight="true" outlineLevel="0" collapsed="false">
      <c r="A3" s="97" t="s">
        <v>206</v>
      </c>
      <c r="B3" s="97"/>
      <c r="C3" s="97"/>
      <c r="D3" s="98" t="n">
        <f aca="false">'كشف الحساب'!$D$2</f>
        <v>0</v>
      </c>
    </row>
    <row r="4" customFormat="false" ht="19.5" hidden="false" customHeight="true" outlineLevel="0" collapsed="false">
      <c r="A4" s="99" t="s">
        <v>13</v>
      </c>
      <c r="B4" s="99" t="s">
        <v>14</v>
      </c>
      <c r="C4" s="99" t="s">
        <v>15</v>
      </c>
      <c r="D4" s="99" t="s">
        <v>207</v>
      </c>
      <c r="E4" s="99" t="s">
        <v>208</v>
      </c>
      <c r="F4" s="99" t="s">
        <v>209</v>
      </c>
      <c r="G4" s="99" t="s">
        <v>210</v>
      </c>
      <c r="H4" s="99" t="s">
        <v>211</v>
      </c>
      <c r="I4" s="99" t="s">
        <v>17</v>
      </c>
      <c r="J4" s="99" t="s">
        <v>212</v>
      </c>
      <c r="K4" s="99" t="s">
        <v>171</v>
      </c>
    </row>
    <row r="5" customFormat="false" ht="16.5" hidden="false" customHeight="true" outlineLevel="0" collapsed="false">
      <c r="A5" s="67" t="n">
        <f aca="false">IFERROR(IF(IFERROR(MATCH(1,'كشف الحساب'!$N$4:$N$203,0),0)=0,"",INDEX('كشف الحساب'!$A$4:$A$203,IFERROR(MATCH(1,'كشف الحساب'!$N$4:$N$203,0),0))),"")</f>
        <v>46117</v>
      </c>
      <c r="B5" s="100" t="str">
        <f aca="false">IFERROR(IF(IFERROR(MATCH(1,'كشف الحساب'!$N$4:$N$203,0),0)=0,"",INDEX('كشف الحساب'!$B$4:$B$203,IFERROR(MATCH(1,'كشف الحساب'!$N$4:$N$203,0),0))),"")</f>
        <v>82869</v>
      </c>
      <c r="C5" s="69" t="str">
        <f aca="false">IFERROR(IF(IFERROR(MATCH(1,'كشف الحساب'!$N$4:$N$203,0),0)=0,"",INDEX('كشف الحساب'!$C$4:$C$203,IFERROR(MATCH(1,'كشف الحساب'!$N$4:$N$203,0),0))),"")</f>
        <v>مبيدات الاتحاد الكويتي للمزارعين</v>
      </c>
      <c r="D5" s="70" t="n">
        <f aca="false">IFERROR(IF(IFERROR(MATCH(1,'كشف الحساب'!$N$4:$N$203,0),0)=0,"",INDEX('كشف الحساب'!$D$4:$D$203,IFERROR(MATCH(1,'كشف الحساب'!$N$4:$N$203,0),0))),"")</f>
        <v>4.5</v>
      </c>
      <c r="E5" s="101" t="n">
        <f aca="false">IFERROR(IF(IFERROR(MATCH(1,'كشف الحساب'!$N$4:$N$203,0),0)=0,"",INDEX('كشف الحساب'!$E$4:$E$203,IFERROR(MATCH(1,'كشف الحساب'!$N$4:$N$203,0),0))),"")</f>
        <v>0</v>
      </c>
      <c r="F5" s="100" t="str">
        <f aca="false">IFERROR(IF(IFERROR(MATCH(1,'كشف الحساب'!$N$4:$N$203,0),0)=0,"",INDEX('كشف الحساب'!$F$4:$F$203,IFERROR(MATCH(1,'كشف الحساب'!$N$4:$N$203,0),0))),"")</f>
        <v>نقداً</v>
      </c>
      <c r="G5" s="100" t="str">
        <f aca="false">IFERROR(IF(IFERROR(MATCH(1,'كشف الحساب'!$N$4:$N$203,0),0)=0,"",INDEX('كشف الحساب'!$G$4:$G$203,IFERROR(MATCH(1,'كشف الحساب'!$N$4:$N$203,0),0))),"")</f>
        <v>المحفظة</v>
      </c>
      <c r="H5" s="100" t="str">
        <f aca="false">IFERROR(IF(IFERROR(MATCH(1,'كشف الحساب'!$N$4:$N$203,0),0)=0,"",INDEX('كشف الحساب'!$H$4:$H$203,IFERROR(MATCH(1,'كشف الحساب'!$N$4:$N$203,0),0))),"")</f>
        <v>تم الدفع</v>
      </c>
      <c r="I5" s="100" t="str">
        <f aca="false">IFERROR(IF(IFERROR(MATCH(1,'كشف الحساب'!$N$4:$N$203,0),0)=0,"",INDEX('كشف الحساب'!$I$4:$I$203,IFERROR(MATCH(1,'كشف الحساب'!$N$4:$N$203,0),0))),"")</f>
        <v>مبيدات وأسمدة</v>
      </c>
      <c r="J5" s="76" t="n">
        <f aca="false">IFERROR(IF(IFERROR(MATCH(1,'كشف الحساب'!$N$4:$N$203,0),0)=0,"",INDEX('كشف الحساب'!$J$4:$J$203,IFERROR(MATCH(1,'كشف الحساب'!$N$4:$N$203,0),0))),"")</f>
        <v>-4.5</v>
      </c>
      <c r="K5" s="100" t="n">
        <f aca="false">IFERROR(IF(IFERROR(MATCH(1,'كشف الحساب'!$N$4:$N$203,0),0)=0,"",INDEX('كشف الحساب'!$K$4:$K$203,IFERROR(MATCH(1,'كشف الحساب'!$N$4:$N$203,0),0))),"")</f>
        <v>0</v>
      </c>
    </row>
    <row r="6" customFormat="false" ht="16.5" hidden="false" customHeight="true" outlineLevel="0" collapsed="false">
      <c r="A6" s="56" t="n">
        <f aca="false">IFERROR(IF(IFERROR(MATCH(2,'كشف الحساب'!$N$4:$N$203,0),0)=0,"",INDEX('كشف الحساب'!$A$4:$A$203,IFERROR(MATCH(2,'كشف الحساب'!$N$4:$N$203,0),0))),"")</f>
        <v>46121</v>
      </c>
      <c r="B6" s="102" t="str">
        <f aca="false">IFERROR(IF(IFERROR(MATCH(2,'كشف الحساب'!$N$4:$N$203,0),0)=0,"",INDEX('كشف الحساب'!$B$4:$B$203,IFERROR(MATCH(2,'كشف الحساب'!$N$4:$N$203,0),0))),"")</f>
        <v>Inv-001</v>
      </c>
      <c r="C6" s="58" t="str">
        <f aca="false">IFERROR(IF(IFERROR(MATCH(2,'كشف الحساب'!$N$4:$N$203,0),0)=0,"",INDEX('كشف الحساب'!$C$4:$C$203,IFERROR(MATCH(2,'كشف الحساب'!$N$4:$N$203,0),0))),"")</f>
        <v>بيع عدد١ اناناس</v>
      </c>
      <c r="D6" s="59" t="n">
        <f aca="false">IFERROR(IF(IFERROR(MATCH(2,'كشف الحساب'!$N$4:$N$203,0),0)=0,"",INDEX('كشف الحساب'!$D$4:$D$203,IFERROR(MATCH(2,'كشف الحساب'!$N$4:$N$203,0),0))),"")</f>
        <v>0</v>
      </c>
      <c r="E6" s="103" t="n">
        <f aca="false">IFERROR(IF(IFERROR(MATCH(2,'كشف الحساب'!$N$4:$N$203,0),0)=0,"",INDEX('كشف الحساب'!$E$4:$E$203,IFERROR(MATCH(2,'كشف الحساب'!$N$4:$N$203,0),0))),"")</f>
        <v>5</v>
      </c>
      <c r="F6" s="102" t="str">
        <f aca="false">IFERROR(IF(IFERROR(MATCH(2,'كشف الحساب'!$N$4:$N$203,0),0)=0,"",INDEX('كشف الحساب'!$F$4:$F$203,IFERROR(MATCH(2,'كشف الحساب'!$N$4:$N$203,0),0))),"")</f>
        <v>نقداً</v>
      </c>
      <c r="G6" s="102" t="n">
        <f aca="false">IFERROR(IF(IFERROR(MATCH(2,'كشف الحساب'!$N$4:$N$203,0),0)=0,"",INDEX('كشف الحساب'!$G$4:$G$203,IFERROR(MATCH(2,'كشف الحساب'!$N$4:$N$203,0),0))),"")</f>
        <v>0</v>
      </c>
      <c r="H6" s="102" t="str">
        <f aca="false">IFERROR(IF(IFERROR(MATCH(2,'كشف الحساب'!$N$4:$N$203,0),0)=0,"",INDEX('كشف الحساب'!$H$4:$H$203,IFERROR(MATCH(2,'كشف الحساب'!$N$4:$N$203,0),0))),"")</f>
        <v>تم الدفع</v>
      </c>
      <c r="I6" s="102" t="n">
        <f aca="false">IFERROR(IF(IFERROR(MATCH(2,'كشف الحساب'!$N$4:$N$203,0),0)=0,"",INDEX('كشف الحساب'!$I$4:$I$203,IFERROR(MATCH(2,'كشف الحساب'!$N$4:$N$203,0),0))),"")</f>
        <v>0</v>
      </c>
      <c r="J6" s="65" t="n">
        <f aca="false">IFERROR(IF(IFERROR(MATCH(2,'كشف الحساب'!$N$4:$N$203,0),0)=0,"",INDEX('كشف الحساب'!$J$4:$J$203,IFERROR(MATCH(2,'كشف الحساب'!$N$4:$N$203,0),0))),"")</f>
        <v>0.5</v>
      </c>
      <c r="K6" s="102" t="n">
        <f aca="false">IFERROR(IF(IFERROR(MATCH(2,'كشف الحساب'!$N$4:$N$203,0),0)=0,"",INDEX('كشف الحساب'!$K$4:$K$203,IFERROR(MATCH(2,'كشف الحساب'!$N$4:$N$203,0),0))),"")</f>
        <v>0</v>
      </c>
    </row>
    <row r="7" customFormat="false" ht="16.5" hidden="false" customHeight="true" outlineLevel="0" collapsed="false">
      <c r="A7" s="67" t="n">
        <f aca="false">IFERROR(IF(IFERROR(MATCH(3,'كشف الحساب'!$N$4:$N$203,0),0)=0,"",INDEX('كشف الحساب'!$A$4:$A$203,IFERROR(MATCH(3,'كشف الحساب'!$N$4:$N$203,0),0))),"")</f>
        <v>46124</v>
      </c>
      <c r="B7" s="100" t="str">
        <f aca="false">IFERROR(IF(IFERROR(MATCH(3,'كشف الحساب'!$N$4:$N$203,0),0)=0,"",INDEX('كشف الحساب'!$B$4:$B$203,IFERROR(MATCH(3,'كشف الحساب'!$N$4:$N$203,0),0))),"")</f>
        <v>242</v>
      </c>
      <c r="C7" s="69" t="str">
        <f aca="false">IFERROR(IF(IFERROR(MATCH(3,'كشف الحساب'!$N$4:$N$203,0),0)=0,"",INDEX('كشف الحساب'!$C$4:$C$203,IFERROR(MATCH(3,'كشف الحساب'!$N$4:$N$203,0),0))),"")</f>
        <v>احواض حجم 18سم عدد 2000</v>
      </c>
      <c r="D7" s="70" t="n">
        <f aca="false">IFERROR(IF(IFERROR(MATCH(3,'كشف الحساب'!$N$4:$N$203,0),0)=0,"",INDEX('كشف الحساب'!$D$4:$D$203,IFERROR(MATCH(3,'كشف الحساب'!$N$4:$N$203,0),0))),"")</f>
        <v>90</v>
      </c>
      <c r="E7" s="101" t="n">
        <f aca="false">IFERROR(IF(IFERROR(MATCH(3,'كشف الحساب'!$N$4:$N$203,0),0)=0,"",INDEX('كشف الحساب'!$E$4:$E$203,IFERROR(MATCH(3,'كشف الحساب'!$N$4:$N$203,0),0))),"")</f>
        <v>0</v>
      </c>
      <c r="F7" s="100" t="str">
        <f aca="false">IFERROR(IF(IFERROR(MATCH(3,'كشف الحساب'!$N$4:$N$203,0),0)=0,"",INDEX('كشف الحساب'!$F$4:$F$203,IFERROR(MATCH(3,'كشف الحساب'!$N$4:$N$203,0),0))),"")</f>
        <v>نقداً</v>
      </c>
      <c r="G7" s="100" t="str">
        <f aca="false">IFERROR(IF(IFERROR(MATCH(3,'كشف الحساب'!$N$4:$N$203,0),0)=0,"",INDEX('كشف الحساب'!$G$4:$G$203,IFERROR(MATCH(3,'كشف الحساب'!$N$4:$N$203,0),0))),"")</f>
        <v>المحفظة</v>
      </c>
      <c r="H7" s="100" t="str">
        <f aca="false">IFERROR(IF(IFERROR(MATCH(3,'كشف الحساب'!$N$4:$N$203,0),0)=0,"",INDEX('كشف الحساب'!$H$4:$H$203,IFERROR(MATCH(3,'كشف الحساب'!$N$4:$N$203,0),0))),"")</f>
        <v>تم الدفع</v>
      </c>
      <c r="I7" s="100" t="str">
        <f aca="false">IFERROR(IF(IFERROR(MATCH(3,'كشف الحساب'!$N$4:$N$203,0),0)=0,"",INDEX('كشف الحساب'!$I$4:$I$203,IFERROR(MATCH(3,'كشف الحساب'!$N$4:$N$203,0),0))),"")</f>
        <v>مستلزمات زراعية</v>
      </c>
      <c r="J7" s="76" t="n">
        <f aca="false">IFERROR(IF(IFERROR(MATCH(3,'كشف الحساب'!$N$4:$N$203,0),0)=0,"",INDEX('كشف الحساب'!$J$4:$J$203,IFERROR(MATCH(3,'كشف الحساب'!$N$4:$N$203,0),0))),"")</f>
        <v>-89.5</v>
      </c>
      <c r="K7" s="100" t="n">
        <f aca="false">IFERROR(IF(IFERROR(MATCH(3,'كشف الحساب'!$N$4:$N$203,0),0)=0,"",INDEX('كشف الحساب'!$K$4:$K$203,IFERROR(MATCH(3,'كشف الحساب'!$N$4:$N$203,0),0))),"")</f>
        <v>0</v>
      </c>
    </row>
    <row r="8" customFormat="false" ht="16.5" hidden="false" customHeight="true" outlineLevel="0" collapsed="false">
      <c r="A8" s="56" t="n">
        <f aca="false">IFERROR(IF(IFERROR(MATCH(4,'كشف الحساب'!$N$4:$N$203,0),0)=0,"",INDEX('كشف الحساب'!$A$4:$A$203,IFERROR(MATCH(4,'كشف الحساب'!$N$4:$N$203,0),0))),"")</f>
        <v>46131</v>
      </c>
      <c r="B8" s="102" t="n">
        <f aca="false">IFERROR(IF(IFERROR(MATCH(4,'كشف الحساب'!$N$4:$N$203,0),0)=0,"",INDEX('كشف الحساب'!$B$4:$B$203,IFERROR(MATCH(4,'كشف الحساب'!$N$4:$N$203,0),0))),"")</f>
        <v>0</v>
      </c>
      <c r="C8" s="58" t="str">
        <f aca="false">IFERROR(IF(IFERROR(MATCH(4,'كشف الحساب'!$N$4:$N$203,0),0)=0,"",INDEX('كشف الحساب'!$C$4:$C$203,IFERROR(MATCH(4,'كشف الحساب'!$N$4:$N$203,0),0))),"")</f>
        <v>تبديل كمبرسيور ثلاجة العمال</v>
      </c>
      <c r="D8" s="59" t="n">
        <f aca="false">IFERROR(IF(IFERROR(MATCH(4,'كشف الحساب'!$N$4:$N$203,0),0)=0,"",INDEX('كشف الحساب'!$D$4:$D$203,IFERROR(MATCH(4,'كشف الحساب'!$N$4:$N$203,0),0))),"")</f>
        <v>45</v>
      </c>
      <c r="E8" s="103" t="n">
        <f aca="false">IFERROR(IF(IFERROR(MATCH(4,'كشف الحساب'!$N$4:$N$203,0),0)=0,"",INDEX('كشف الحساب'!$E$4:$E$203,IFERROR(MATCH(4,'كشف الحساب'!$N$4:$N$203,0),0))),"")</f>
        <v>0</v>
      </c>
      <c r="F8" s="102" t="str">
        <f aca="false">IFERROR(IF(IFERROR(MATCH(4,'كشف الحساب'!$N$4:$N$203,0),0)=0,"",INDEX('كشف الحساب'!$F$4:$F$203,IFERROR(MATCH(4,'كشف الحساب'!$N$4:$N$203,0),0))),"")</f>
        <v>أحد الشركاء</v>
      </c>
      <c r="G8" s="102" t="str">
        <f aca="false">IFERROR(IF(IFERROR(MATCH(4,'كشف الحساب'!$N$4:$N$203,0),0)=0,"",INDEX('كشف الحساب'!$G$4:$G$203,IFERROR(MATCH(4,'كشف الحساب'!$N$4:$N$203,0),0))),"")</f>
        <v>أبو اسحاق</v>
      </c>
      <c r="H8" s="102" t="str">
        <f aca="false">IFERROR(IF(IFERROR(MATCH(4,'كشف الحساب'!$N$4:$N$203,0),0)=0,"",INDEX('كشف الحساب'!$H$4:$H$203,IFERROR(MATCH(4,'كشف الحساب'!$N$4:$N$203,0),0))),"")</f>
        <v>معلق</v>
      </c>
      <c r="I8" s="102" t="str">
        <f aca="false">IFERROR(IF(IFERROR(MATCH(4,'كشف الحساب'!$N$4:$N$203,0),0)=0,"",INDEX('كشف الحساب'!$I$4:$I$203,IFERROR(MATCH(4,'كشف الحساب'!$N$4:$N$203,0),0))),"")</f>
        <v>صيانة المعدات</v>
      </c>
      <c r="J8" s="65" t="n">
        <f aca="false">IFERROR(IF(IFERROR(MATCH(4,'كشف الحساب'!$N$4:$N$203,0),0)=0,"",INDEX('كشف الحساب'!$J$4:$J$203,IFERROR(MATCH(4,'كشف الحساب'!$N$4:$N$203,0),0))),"")</f>
        <v>-89.5</v>
      </c>
      <c r="K8" s="102" t="n">
        <f aca="false">IFERROR(IF(IFERROR(MATCH(4,'كشف الحساب'!$N$4:$N$203,0),0)=0,"",INDEX('كشف الحساب'!$K$4:$K$203,IFERROR(MATCH(4,'كشف الحساب'!$N$4:$N$203,0),0))),"")</f>
        <v>0</v>
      </c>
    </row>
    <row r="9" customFormat="false" ht="16.5" hidden="false" customHeight="true" outlineLevel="0" collapsed="false">
      <c r="A9" s="67" t="n">
        <f aca="false">IFERROR(IF(IFERROR(MATCH(5,'كشف الحساب'!$N$4:$N$203,0),0)=0,"",INDEX('كشف الحساب'!$A$4:$A$203,IFERROR(MATCH(5,'كشف الحساب'!$N$4:$N$203,0),0))),"")</f>
        <v>46134</v>
      </c>
      <c r="B9" s="100" t="str">
        <f aca="false">IFERROR(IF(IFERROR(MATCH(5,'كشف الحساب'!$N$4:$N$203,0),0)=0,"",INDEX('كشف الحساب'!$B$4:$B$203,IFERROR(MATCH(5,'كشف الحساب'!$N$4:$N$203,0),0))),"")</f>
        <v>11300</v>
      </c>
      <c r="C9" s="69" t="str">
        <f aca="false">IFERROR(IF(IFERROR(MATCH(5,'كشف الحساب'!$N$4:$N$203,0),0)=0,"",INDEX('كشف الحساب'!$C$4:$C$203,IFERROR(MATCH(5,'كشف الحساب'!$N$4:$N$203,0),0))),"")</f>
        <v>فلاتر كيميكال لمحطة التحلية</v>
      </c>
      <c r="D9" s="70" t="n">
        <f aca="false">IFERROR(IF(IFERROR(MATCH(5,'كشف الحساب'!$N$4:$N$203,0),0)=0,"",INDEX('كشف الحساب'!$D$4:$D$203,IFERROR(MATCH(5,'كشف الحساب'!$N$4:$N$203,0),0))),"")</f>
        <v>55</v>
      </c>
      <c r="E9" s="101" t="n">
        <f aca="false">IFERROR(IF(IFERROR(MATCH(5,'كشف الحساب'!$N$4:$N$203,0),0)=0,"",INDEX('كشف الحساب'!$E$4:$E$203,IFERROR(MATCH(5,'كشف الحساب'!$N$4:$N$203,0),0))),"")</f>
        <v>0</v>
      </c>
      <c r="F9" s="100" t="str">
        <f aca="false">IFERROR(IF(IFERROR(MATCH(5,'كشف الحساب'!$N$4:$N$203,0),0)=0,"",INDEX('كشف الحساب'!$F$4:$F$203,IFERROR(MATCH(5,'كشف الحساب'!$N$4:$N$203,0),0))),"")</f>
        <v>أحد الشركاء</v>
      </c>
      <c r="G9" s="100" t="str">
        <f aca="false">IFERROR(IF(IFERROR(MATCH(5,'كشف الحساب'!$N$4:$N$203,0),0)=0,"",INDEX('كشف الحساب'!$G$4:$G$203,IFERROR(MATCH(5,'كشف الحساب'!$N$4:$N$203,0),0))),"")</f>
        <v>أبو اسحاق</v>
      </c>
      <c r="H9" s="100" t="str">
        <f aca="false">IFERROR(IF(IFERROR(MATCH(5,'كشف الحساب'!$N$4:$N$203,0),0)=0,"",INDEX('كشف الحساب'!$H$4:$H$203,IFERROR(MATCH(5,'كشف الحساب'!$N$4:$N$203,0),0))),"")</f>
        <v>معلق</v>
      </c>
      <c r="I9" s="100" t="str">
        <f aca="false">IFERROR(IF(IFERROR(MATCH(5,'كشف الحساب'!$N$4:$N$203,0),0)=0,"",INDEX('كشف الحساب'!$I$4:$I$203,IFERROR(MATCH(5,'كشف الحساب'!$N$4:$N$203,0),0))),"")</f>
        <v>وقود ومحروقات</v>
      </c>
      <c r="J9" s="76" t="n">
        <f aca="false">IFERROR(IF(IFERROR(MATCH(5,'كشف الحساب'!$N$4:$N$203,0),0)=0,"",INDEX('كشف الحساب'!$J$4:$J$203,IFERROR(MATCH(5,'كشف الحساب'!$N$4:$N$203,0),0))),"")</f>
        <v>-89.5</v>
      </c>
      <c r="K9" s="100" t="n">
        <f aca="false">IFERROR(IF(IFERROR(MATCH(5,'كشف الحساب'!$N$4:$N$203,0),0)=0,"",INDEX('كشف الحساب'!$K$4:$K$203,IFERROR(MATCH(5,'كشف الحساب'!$N$4:$N$203,0),0))),"")</f>
        <v>0</v>
      </c>
    </row>
    <row r="10" customFormat="false" ht="16.5" hidden="false" customHeight="true" outlineLevel="0" collapsed="false">
      <c r="A10" s="56" t="n">
        <f aca="false">IFERROR(IF(IFERROR(MATCH(6,'كشف الحساب'!$N$4:$N$203,0),0)=0,"",INDEX('كشف الحساب'!$A$4:$A$203,IFERROR(MATCH(6,'كشف الحساب'!$N$4:$N$203,0),0))),"")</f>
        <v>46134</v>
      </c>
      <c r="B10" s="102" t="n">
        <f aca="false">IFERROR(IF(IFERROR(MATCH(6,'كشف الحساب'!$N$4:$N$203,0),0)=0,"",INDEX('كشف الحساب'!$B$4:$B$203,IFERROR(MATCH(6,'كشف الحساب'!$N$4:$N$203,0),0))),"")</f>
        <v>0</v>
      </c>
      <c r="C10" s="58" t="str">
        <f aca="false">IFERROR(IF(IFERROR(MATCH(6,'كشف الحساب'!$N$4:$N$203,0),0)=0,"",INDEX('كشف الحساب'!$C$4:$C$203,IFERROR(MATCH(6,'كشف الحساب'!$N$4:$N$203,0),0))),"")</f>
        <v>ديزل لمكينة الكهرباء</v>
      </c>
      <c r="D10" s="59" t="n">
        <f aca="false">IFERROR(IF(IFERROR(MATCH(6,'كشف الحساب'!$N$4:$N$203,0),0)=0,"",INDEX('كشف الحساب'!$D$4:$D$203,IFERROR(MATCH(6,'كشف الحساب'!$N$4:$N$203,0),0))),"")</f>
        <v>20</v>
      </c>
      <c r="E10" s="103" t="n">
        <f aca="false">IFERROR(IF(IFERROR(MATCH(6,'كشف الحساب'!$N$4:$N$203,0),0)=0,"",INDEX('كشف الحساب'!$E$4:$E$203,IFERROR(MATCH(6,'كشف الحساب'!$N$4:$N$203,0),0))),"")</f>
        <v>0</v>
      </c>
      <c r="F10" s="102" t="str">
        <f aca="false">IFERROR(IF(IFERROR(MATCH(6,'كشف الحساب'!$N$4:$N$203,0),0)=0,"",INDEX('كشف الحساب'!$F$4:$F$203,IFERROR(MATCH(6,'كشف الحساب'!$N$4:$N$203,0),0))),"")</f>
        <v>أحد الشركاء</v>
      </c>
      <c r="G10" s="102" t="str">
        <f aca="false">IFERROR(IF(IFERROR(MATCH(6,'كشف الحساب'!$N$4:$N$203,0),0)=0,"",INDEX('كشف الحساب'!$G$4:$G$203,IFERROR(MATCH(6,'كشف الحساب'!$N$4:$N$203,0),0))),"")</f>
        <v>أبو اسحاق</v>
      </c>
      <c r="H10" s="102" t="str">
        <f aca="false">IFERROR(IF(IFERROR(MATCH(6,'كشف الحساب'!$N$4:$N$203,0),0)=0,"",INDEX('كشف الحساب'!$H$4:$H$203,IFERROR(MATCH(6,'كشف الحساب'!$N$4:$N$203,0),0))),"")</f>
        <v>معلق</v>
      </c>
      <c r="I10" s="102" t="str">
        <f aca="false">IFERROR(IF(IFERROR(MATCH(6,'كشف الحساب'!$N$4:$N$203,0),0)=0,"",INDEX('كشف الحساب'!$I$4:$I$203,IFERROR(MATCH(6,'كشف الحساب'!$N$4:$N$203,0),0))),"")</f>
        <v>وقود ومحروقات</v>
      </c>
      <c r="J10" s="65" t="n">
        <f aca="false">IFERROR(IF(IFERROR(MATCH(6,'كشف الحساب'!$N$4:$N$203,0),0)=0,"",INDEX('كشف الحساب'!$J$4:$J$203,IFERROR(MATCH(6,'كشف الحساب'!$N$4:$N$203,0),0))),"")</f>
        <v>-89.5</v>
      </c>
      <c r="K10" s="102" t="n">
        <f aca="false">IFERROR(IF(IFERROR(MATCH(6,'كشف الحساب'!$N$4:$N$203,0),0)=0,"",INDEX('كشف الحساب'!$K$4:$K$203,IFERROR(MATCH(6,'كشف الحساب'!$N$4:$N$203,0),0))),"")</f>
        <v>0</v>
      </c>
    </row>
    <row r="11" customFormat="false" ht="16.5" hidden="false" customHeight="true" outlineLevel="0" collapsed="false">
      <c r="A11" s="67" t="n">
        <f aca="false">IFERROR(IF(IFERROR(MATCH(7,'كشف الحساب'!$N$4:$N$203,0),0)=0,"",INDEX('كشف الحساب'!$A$4:$A$203,IFERROR(MATCH(7,'كشف الحساب'!$N$4:$N$203,0),0))),"")</f>
        <v>46134</v>
      </c>
      <c r="B11" s="100" t="str">
        <f aca="false">IFERROR(IF(IFERROR(MATCH(7,'كشف الحساب'!$N$4:$N$203,0),0)=0,"",INDEX('كشف الحساب'!$B$4:$B$203,IFERROR(MATCH(7,'كشف الحساب'!$N$4:$N$203,0),0))),"")</f>
        <v>8127</v>
      </c>
      <c r="C11" s="69" t="str">
        <f aca="false">IFERROR(IF(IFERROR(MATCH(7,'كشف الحساب'!$N$4:$N$203,0),0)=0,"",INDEX('كشف الحساب'!$C$4:$C$203,IFERROR(MATCH(7,'كشف الحساب'!$N$4:$N$203,0),0))),"")</f>
        <v>تاير لعربة الرش</v>
      </c>
      <c r="D11" s="70" t="n">
        <f aca="false">IFERROR(IF(IFERROR(MATCH(7,'كشف الحساب'!$N$4:$N$203,0),0)=0,"",INDEX('كشف الحساب'!$D$4:$D$203,IFERROR(MATCH(7,'كشف الحساب'!$N$4:$N$203,0),0))),"")</f>
        <v>3</v>
      </c>
      <c r="E11" s="101" t="n">
        <f aca="false">IFERROR(IF(IFERROR(MATCH(7,'كشف الحساب'!$N$4:$N$203,0),0)=0,"",INDEX('كشف الحساب'!$E$4:$E$203,IFERROR(MATCH(7,'كشف الحساب'!$N$4:$N$203,0),0))),"")</f>
        <v>0</v>
      </c>
      <c r="F11" s="100" t="str">
        <f aca="false">IFERROR(IF(IFERROR(MATCH(7,'كشف الحساب'!$N$4:$N$203,0),0)=0,"",INDEX('كشف الحساب'!$F$4:$F$203,IFERROR(MATCH(7,'كشف الحساب'!$N$4:$N$203,0),0))),"")</f>
        <v>نقداً</v>
      </c>
      <c r="G11" s="100" t="str">
        <f aca="false">IFERROR(IF(IFERROR(MATCH(7,'كشف الحساب'!$N$4:$N$203,0),0)=0,"",INDEX('كشف الحساب'!$G$4:$G$203,IFERROR(MATCH(7,'كشف الحساب'!$N$4:$N$203,0),0))),"")</f>
        <v>المحفظة</v>
      </c>
      <c r="H11" s="100" t="str">
        <f aca="false">IFERROR(IF(IFERROR(MATCH(7,'كشف الحساب'!$N$4:$N$203,0),0)=0,"",INDEX('كشف الحساب'!$H$4:$H$203,IFERROR(MATCH(7,'كشف الحساب'!$N$4:$N$203,0),0))),"")</f>
        <v>تم الدفع</v>
      </c>
      <c r="I11" s="100" t="str">
        <f aca="false">IFERROR(IF(IFERROR(MATCH(7,'كشف الحساب'!$N$4:$N$203,0),0)=0,"",INDEX('كشف الحساب'!$I$4:$I$203,IFERROR(MATCH(7,'كشف الحساب'!$N$4:$N$203,0),0))),"")</f>
        <v>مستلزمات زراعية</v>
      </c>
      <c r="J11" s="76" t="n">
        <f aca="false">IFERROR(IF(IFERROR(MATCH(7,'كشف الحساب'!$N$4:$N$203,0),0)=0,"",INDEX('كشف الحساب'!$J$4:$J$203,IFERROR(MATCH(7,'كشف الحساب'!$N$4:$N$203,0),0))),"")</f>
        <v>-92.5</v>
      </c>
      <c r="K11" s="100" t="str">
        <f aca="false">IFERROR(IF(IFERROR(MATCH(7,'كشف الحساب'!$N$4:$N$203,0),0)=0,"",INDEX('كشف الحساب'!$K$4:$K$203,IFERROR(MATCH(7,'كشف الحساب'!$N$4:$N$203,0),0))),"")</f>
        <v>تم الصرف</v>
      </c>
    </row>
    <row r="12" customFormat="false" ht="16.5" hidden="false" customHeight="true" outlineLevel="0" collapsed="false">
      <c r="A12" s="56" t="n">
        <f aca="false">IFERROR(IF(IFERROR(MATCH(8,'كشف الحساب'!$N$4:$N$203,0),0)=0,"",INDEX('كشف الحساب'!$A$4:$A$203,IFERROR(MATCH(8,'كشف الحساب'!$N$4:$N$203,0),0))),"")</f>
        <v>46134</v>
      </c>
      <c r="B12" s="102" t="str">
        <f aca="false">IFERROR(IF(IFERROR(MATCH(8,'كشف الحساب'!$N$4:$N$203,0),0)=0,"",INDEX('كشف الحساب'!$B$4:$B$203,IFERROR(MATCH(8,'كشف الحساب'!$N$4:$N$203,0),0))),"")</f>
        <v>242</v>
      </c>
      <c r="C12" s="58" t="str">
        <f aca="false">IFERROR(IF(IFERROR(MATCH(8,'كشف الحساب'!$N$4:$N$203,0),0)=0,"",INDEX('كشف الحساب'!$C$4:$C$203,IFERROR(MATCH(8,'كشف الحساب'!$N$4:$N$203,0),0))),"")</f>
        <v>احواض حجم25سم عدد 2000</v>
      </c>
      <c r="D12" s="59" t="n">
        <f aca="false">IFERROR(IF(IFERROR(MATCH(8,'كشف الحساب'!$N$4:$N$203,0),0)=0,"",INDEX('كشف الحساب'!$D$4:$D$203,IFERROR(MATCH(8,'كشف الحساب'!$N$4:$N$203,0),0))),"")</f>
        <v>190</v>
      </c>
      <c r="E12" s="103" t="n">
        <f aca="false">IFERROR(IF(IFERROR(MATCH(8,'كشف الحساب'!$N$4:$N$203,0),0)=0,"",INDEX('كشف الحساب'!$E$4:$E$203,IFERROR(MATCH(8,'كشف الحساب'!$N$4:$N$203,0),0))),"")</f>
        <v>0</v>
      </c>
      <c r="F12" s="102" t="str">
        <f aca="false">IFERROR(IF(IFERROR(MATCH(8,'كشف الحساب'!$N$4:$N$203,0),0)=0,"",INDEX('كشف الحساب'!$F$4:$F$203,IFERROR(MATCH(8,'كشف الحساب'!$N$4:$N$203,0),0))),"")</f>
        <v>أحد الشركاء</v>
      </c>
      <c r="G12" s="102" t="str">
        <f aca="false">IFERROR(IF(IFERROR(MATCH(8,'كشف الحساب'!$N$4:$N$203,0),0)=0,"",INDEX('كشف الحساب'!$G$4:$G$203,IFERROR(MATCH(8,'كشف الحساب'!$N$4:$N$203,0),0))),"")</f>
        <v>أبو آدم</v>
      </c>
      <c r="H12" s="102" t="str">
        <f aca="false">IFERROR(IF(IFERROR(MATCH(8,'كشف الحساب'!$N$4:$N$203,0),0)=0,"",INDEX('كشف الحساب'!$H$4:$H$203,IFERROR(MATCH(8,'كشف الحساب'!$N$4:$N$203,0),0))),"")</f>
        <v>معلق</v>
      </c>
      <c r="I12" s="102" t="str">
        <f aca="false">IFERROR(IF(IFERROR(MATCH(8,'كشف الحساب'!$N$4:$N$203,0),0)=0,"",INDEX('كشف الحساب'!$I$4:$I$203,IFERROR(MATCH(8,'كشف الحساب'!$N$4:$N$203,0),0))),"")</f>
        <v>أحواض وأدوات</v>
      </c>
      <c r="J12" s="65" t="n">
        <f aca="false">IFERROR(IF(IFERROR(MATCH(8,'كشف الحساب'!$N$4:$N$203,0),0)=0,"",INDEX('كشف الحساب'!$J$4:$J$203,IFERROR(MATCH(8,'كشف الحساب'!$N$4:$N$203,0),0))),"")</f>
        <v>-92.5</v>
      </c>
      <c r="K12" s="102" t="n">
        <f aca="false">IFERROR(IF(IFERROR(MATCH(8,'كشف الحساب'!$N$4:$N$203,0),0)=0,"",INDEX('كشف الحساب'!$K$4:$K$203,IFERROR(MATCH(8,'كشف الحساب'!$N$4:$N$203,0),0))),"")</f>
        <v>0</v>
      </c>
    </row>
    <row r="13" customFormat="false" ht="16.5" hidden="false" customHeight="true" outlineLevel="0" collapsed="false">
      <c r="A13" s="67" t="n">
        <f aca="false">IFERROR(IF(IFERROR(MATCH(9,'كشف الحساب'!$N$4:$N$203,0),0)=0,"",INDEX('كشف الحساب'!$A$4:$A$203,IFERROR(MATCH(9,'كشف الحساب'!$N$4:$N$203,0),0))),"")</f>
        <v>46142</v>
      </c>
      <c r="B13" s="100" t="n">
        <f aca="false">IFERROR(IF(IFERROR(MATCH(9,'كشف الحساب'!$N$4:$N$203,0),0)=0,"",INDEX('كشف الحساب'!$B$4:$B$203,IFERROR(MATCH(9,'كشف الحساب'!$N$4:$N$203,0),0))),"")</f>
        <v>0</v>
      </c>
      <c r="C13" s="69" t="str">
        <f aca="false">IFERROR(IF(IFERROR(MATCH(9,'كشف الحساب'!$N$4:$N$203,0),0)=0,"",INDEX('كشف الحساب'!$C$4:$C$203,IFERROR(MATCH(9,'كشف الحساب'!$N$4:$N$203,0),0))),"")</f>
        <v>مدخول شهر ابريل</v>
      </c>
      <c r="D13" s="70" t="n">
        <f aca="false">IFERROR(IF(IFERROR(MATCH(9,'كشف الحساب'!$N$4:$N$203,0),0)=0,"",INDEX('كشف الحساب'!$D$4:$D$203,IFERROR(MATCH(9,'كشف الحساب'!$N$4:$N$203,0),0))),"")</f>
        <v>0</v>
      </c>
      <c r="E13" s="101" t="n">
        <f aca="false">IFERROR(IF(IFERROR(MATCH(9,'كشف الحساب'!$N$4:$N$203,0),0)=0,"",INDEX('كشف الحساب'!$E$4:$E$203,IFERROR(MATCH(9,'كشف الحساب'!$N$4:$N$203,0),0))),"")</f>
        <v>181</v>
      </c>
      <c r="F13" s="100" t="n">
        <f aca="false">IFERROR(IF(IFERROR(MATCH(9,'كشف الحساب'!$N$4:$N$203,0),0)=0,"",INDEX('كشف الحساب'!$F$4:$F$203,IFERROR(MATCH(9,'كشف الحساب'!$N$4:$N$203,0),0))),"")</f>
        <v>0</v>
      </c>
      <c r="G13" s="100" t="n">
        <f aca="false">IFERROR(IF(IFERROR(MATCH(9,'كشف الحساب'!$N$4:$N$203,0),0)=0,"",INDEX('كشف الحساب'!$G$4:$G$203,IFERROR(MATCH(9,'كشف الحساب'!$N$4:$N$203,0),0))),"")</f>
        <v>0</v>
      </c>
      <c r="H13" s="100" t="n">
        <f aca="false">IFERROR(IF(IFERROR(MATCH(9,'كشف الحساب'!$N$4:$N$203,0),0)=0,"",INDEX('كشف الحساب'!$H$4:$H$203,IFERROR(MATCH(9,'كشف الحساب'!$N$4:$N$203,0),0))),"")</f>
        <v>0</v>
      </c>
      <c r="I13" s="100" t="n">
        <f aca="false">IFERROR(IF(IFERROR(MATCH(9,'كشف الحساب'!$N$4:$N$203,0),0)=0,"",INDEX('كشف الحساب'!$I$4:$I$203,IFERROR(MATCH(9,'كشف الحساب'!$N$4:$N$203,0),0))),"")</f>
        <v>0</v>
      </c>
      <c r="J13" s="76" t="n">
        <f aca="false">IFERROR(IF(IFERROR(MATCH(9,'كشف الحساب'!$N$4:$N$203,0),0)=0,"",INDEX('كشف الحساب'!$J$4:$J$203,IFERROR(MATCH(9,'كشف الحساب'!$N$4:$N$203,0),0))),"")</f>
        <v>88.5</v>
      </c>
      <c r="K13" s="100" t="n">
        <f aca="false">IFERROR(IF(IFERROR(MATCH(9,'كشف الحساب'!$N$4:$N$203,0),0)=0,"",INDEX('كشف الحساب'!$K$4:$K$203,IFERROR(MATCH(9,'كشف الحساب'!$N$4:$N$203,0),0))),"")</f>
        <v>0</v>
      </c>
    </row>
    <row r="14" customFormat="false" ht="16.5" hidden="false" customHeight="true" outlineLevel="0" collapsed="false">
      <c r="A14" s="56" t="n">
        <f aca="false">IFERROR(IF(IFERROR(MATCH(10,'كشف الحساب'!$N$4:$N$203,0),0)=0,"",INDEX('كشف الحساب'!$A$4:$A$203,IFERROR(MATCH(10,'كشف الحساب'!$N$4:$N$203,0),0))),"")</f>
        <v>46142</v>
      </c>
      <c r="B14" s="102" t="n">
        <f aca="false">IFERROR(IF(IFERROR(MATCH(10,'كشف الحساب'!$N$4:$N$203,0),0)=0,"",INDEX('كشف الحساب'!$B$4:$B$203,IFERROR(MATCH(10,'كشف الحساب'!$N$4:$N$203,0),0))),"")</f>
        <v>40505</v>
      </c>
      <c r="C14" s="58" t="str">
        <f aca="false">IFERROR(IF(IFERROR(MATCH(10,'كشف الحساب'!$N$4:$N$203,0),0)=0,"",INDEX('كشف الحساب'!$C$4:$C$203,IFERROR(MATCH(10,'كشف الحساب'!$N$4:$N$203,0),0))),"")</f>
        <v>احواض حجم 14سم عدد 2000</v>
      </c>
      <c r="D14" s="59" t="n">
        <f aca="false">IFERROR(IF(IFERROR(MATCH(10,'كشف الحساب'!$N$4:$N$203,0),0)=0,"",INDEX('كشف الحساب'!$D$4:$D$203,IFERROR(MATCH(10,'كشف الحساب'!$N$4:$N$203,0),0))),"")</f>
        <v>40</v>
      </c>
      <c r="E14" s="103" t="n">
        <f aca="false">IFERROR(IF(IFERROR(MATCH(10,'كشف الحساب'!$N$4:$N$203,0),0)=0,"",INDEX('كشف الحساب'!$E$4:$E$203,IFERROR(MATCH(10,'كشف الحساب'!$N$4:$N$203,0),0))),"")</f>
        <v>0</v>
      </c>
      <c r="F14" s="102" t="str">
        <f aca="false">IFERROR(IF(IFERROR(MATCH(10,'كشف الحساب'!$N$4:$N$203,0),0)=0,"",INDEX('كشف الحساب'!$F$4:$F$203,IFERROR(MATCH(10,'كشف الحساب'!$N$4:$N$203,0),0))),"")</f>
        <v>نقداً</v>
      </c>
      <c r="G14" s="102" t="str">
        <f aca="false">IFERROR(IF(IFERROR(MATCH(10,'كشف الحساب'!$N$4:$N$203,0),0)=0,"",INDEX('كشف الحساب'!$G$4:$G$203,IFERROR(MATCH(10,'كشف الحساب'!$N$4:$N$203,0),0))),"")</f>
        <v>المحفظة</v>
      </c>
      <c r="H14" s="102" t="str">
        <f aca="false">IFERROR(IF(IFERROR(MATCH(10,'كشف الحساب'!$N$4:$N$203,0),0)=0,"",INDEX('كشف الحساب'!$H$4:$H$203,IFERROR(MATCH(10,'كشف الحساب'!$N$4:$N$203,0),0))),"")</f>
        <v>تم الدفع</v>
      </c>
      <c r="I14" s="102" t="str">
        <f aca="false">IFERROR(IF(IFERROR(MATCH(10,'كشف الحساب'!$N$4:$N$203,0),0)=0,"",INDEX('كشف الحساب'!$I$4:$I$203,IFERROR(MATCH(10,'كشف الحساب'!$N$4:$N$203,0),0))),"")</f>
        <v>أحواض وأدوات</v>
      </c>
      <c r="J14" s="65" t="n">
        <f aca="false">IFERROR(IF(IFERROR(MATCH(10,'كشف الحساب'!$N$4:$N$203,0),0)=0,"",INDEX('كشف الحساب'!$J$4:$J$203,IFERROR(MATCH(10,'كشف الحساب'!$N$4:$N$203,0),0))),"")</f>
        <v>48.5</v>
      </c>
      <c r="K14" s="102" t="n">
        <f aca="false">IFERROR(IF(IFERROR(MATCH(10,'كشف الحساب'!$N$4:$N$203,0),0)=0,"",INDEX('كشف الحساب'!$K$4:$K$203,IFERROR(MATCH(10,'كشف الحساب'!$N$4:$N$203,0),0))),"")</f>
        <v>0</v>
      </c>
    </row>
    <row r="15" customFormat="false" ht="16.5" hidden="false" customHeight="true" outlineLevel="0" collapsed="false">
      <c r="A15" s="67" t="n">
        <f aca="false">IFERROR(IF(IFERROR(MATCH(11,'كشف الحساب'!$N$4:$N$203,0),0)=0,"",INDEX('كشف الحساب'!$A$4:$A$203,IFERROR(MATCH(11,'كشف الحساب'!$N$4:$N$203,0),0))),"")</f>
        <v>46142</v>
      </c>
      <c r="B15" s="100" t="n">
        <f aca="false">IFERROR(IF(IFERROR(MATCH(11,'كشف الحساب'!$N$4:$N$203,0),0)=0,"",INDEX('كشف الحساب'!$B$4:$B$203,IFERROR(MATCH(11,'كشف الحساب'!$N$4:$N$203,0),0))),"")</f>
        <v>5370</v>
      </c>
      <c r="C15" s="69" t="str">
        <f aca="false">IFERROR(IF(IFERROR(MATCH(11,'كشف الحساب'!$N$4:$N$203,0),0)=0,"",INDEX('كشف الحساب'!$C$4:$C$203,IFERROR(MATCH(11,'كشف الحساب'!$N$4:$N$203,0),0))),"")</f>
        <v>جبس لتغطيه المحميه</v>
      </c>
      <c r="D15" s="70" t="n">
        <f aca="false">IFERROR(IF(IFERROR(MATCH(11,'كشف الحساب'!$N$4:$N$203,0),0)=0,"",INDEX('كشف الحساب'!$D$4:$D$203,IFERROR(MATCH(11,'كشف الحساب'!$N$4:$N$203,0),0))),"")</f>
        <v>3</v>
      </c>
      <c r="E15" s="101" t="n">
        <f aca="false">IFERROR(IF(IFERROR(MATCH(11,'كشف الحساب'!$N$4:$N$203,0),0)=0,"",INDEX('كشف الحساب'!$E$4:$E$203,IFERROR(MATCH(11,'كشف الحساب'!$N$4:$N$203,0),0))),"")</f>
        <v>0</v>
      </c>
      <c r="F15" s="100" t="str">
        <f aca="false">IFERROR(IF(IFERROR(MATCH(11,'كشف الحساب'!$N$4:$N$203,0),0)=0,"",INDEX('كشف الحساب'!$F$4:$F$203,IFERROR(MATCH(11,'كشف الحساب'!$N$4:$N$203,0),0))),"")</f>
        <v>نقداً</v>
      </c>
      <c r="G15" s="100" t="str">
        <f aca="false">IFERROR(IF(IFERROR(MATCH(11,'كشف الحساب'!$N$4:$N$203,0),0)=0,"",INDEX('كشف الحساب'!$G$4:$G$203,IFERROR(MATCH(11,'كشف الحساب'!$N$4:$N$203,0),0))),"")</f>
        <v>المحفظة</v>
      </c>
      <c r="H15" s="100" t="str">
        <f aca="false">IFERROR(IF(IFERROR(MATCH(11,'كشف الحساب'!$N$4:$N$203,0),0)=0,"",INDEX('كشف الحساب'!$H$4:$H$203,IFERROR(MATCH(11,'كشف الحساب'!$N$4:$N$203,0),0))),"")</f>
        <v>تم الدفع</v>
      </c>
      <c r="I15" s="100" t="str">
        <f aca="false">IFERROR(IF(IFERROR(MATCH(11,'كشف الحساب'!$N$4:$N$203,0),0)=0,"",INDEX('كشف الحساب'!$I$4:$I$203,IFERROR(MATCH(11,'كشف الحساب'!$N$4:$N$203,0),0))),"")</f>
        <v>مبيدات وأسمدة</v>
      </c>
      <c r="J15" s="76" t="n">
        <f aca="false">IFERROR(IF(IFERROR(MATCH(11,'كشف الحساب'!$N$4:$N$203,0),0)=0,"",INDEX('كشف الحساب'!$J$4:$J$203,IFERROR(MATCH(11,'كشف الحساب'!$N$4:$N$203,0),0))),"")</f>
        <v>45.5</v>
      </c>
      <c r="K15" s="100" t="n">
        <f aca="false">IFERROR(IF(IFERROR(MATCH(11,'كشف الحساب'!$N$4:$N$203,0),0)=0,"",INDEX('كشف الحساب'!$K$4:$K$203,IFERROR(MATCH(11,'كشف الحساب'!$N$4:$N$203,0),0))),"")</f>
        <v>0</v>
      </c>
    </row>
    <row r="16" customFormat="false" ht="16.5" hidden="false" customHeight="true" outlineLevel="0" collapsed="false">
      <c r="A16" s="56" t="n">
        <f aca="false">IFERROR(IF(IFERROR(MATCH(12,'كشف الحساب'!$N$4:$N$203,0),0)=0,"",INDEX('كشف الحساب'!$A$4:$A$203,IFERROR(MATCH(12,'كشف الحساب'!$N$4:$N$203,0),0))),"")</f>
        <v>46142</v>
      </c>
      <c r="B16" s="102" t="n">
        <f aca="false">IFERROR(IF(IFERROR(MATCH(12,'كشف الحساب'!$N$4:$N$203,0),0)=0,"",INDEX('كشف الحساب'!$B$4:$B$203,IFERROR(MATCH(12,'كشف الحساب'!$N$4:$N$203,0),0))),"")</f>
        <v>0</v>
      </c>
      <c r="C16" s="58" t="str">
        <f aca="false">IFERROR(IF(IFERROR(MATCH(12,'كشف الحساب'!$N$4:$N$203,0),0)=0,"",INDEX('كشف الحساب'!$C$4:$C$203,IFERROR(MATCH(12,'كشف الحساب'!$N$4:$N$203,0),0))),"")</f>
        <v>بونص عمالة أبريل</v>
      </c>
      <c r="D16" s="59" t="n">
        <f aca="false">IFERROR(IF(IFERROR(MATCH(12,'كشف الحساب'!$N$4:$N$203,0),0)=0,"",INDEX('كشف الحساب'!$D$4:$D$203,IFERROR(MATCH(12,'كشف الحساب'!$N$4:$N$203,0),0))),"")</f>
        <v>5</v>
      </c>
      <c r="E16" s="103" t="n">
        <f aca="false">IFERROR(IF(IFERROR(MATCH(12,'كشف الحساب'!$N$4:$N$203,0),0)=0,"",INDEX('كشف الحساب'!$E$4:$E$203,IFERROR(MATCH(12,'كشف الحساب'!$N$4:$N$203,0),0))),"")</f>
        <v>0</v>
      </c>
      <c r="F16" s="102" t="str">
        <f aca="false">IFERROR(IF(IFERROR(MATCH(12,'كشف الحساب'!$N$4:$N$203,0),0)=0,"",INDEX('كشف الحساب'!$F$4:$F$203,IFERROR(MATCH(12,'كشف الحساب'!$N$4:$N$203,0),0))),"")</f>
        <v>نقداً</v>
      </c>
      <c r="G16" s="102" t="str">
        <f aca="false">IFERROR(IF(IFERROR(MATCH(12,'كشف الحساب'!$N$4:$N$203,0),0)=0,"",INDEX('كشف الحساب'!$G$4:$G$203,IFERROR(MATCH(12,'كشف الحساب'!$N$4:$N$203,0),0))),"")</f>
        <v>المحفظة</v>
      </c>
      <c r="H16" s="102" t="str">
        <f aca="false">IFERROR(IF(IFERROR(MATCH(12,'كشف الحساب'!$N$4:$N$203,0),0)=0,"",INDEX('كشف الحساب'!$H$4:$H$203,IFERROR(MATCH(12,'كشف الحساب'!$N$4:$N$203,0),0))),"")</f>
        <v>تم الدفع</v>
      </c>
      <c r="I16" s="102" t="str">
        <f aca="false">IFERROR(IF(IFERROR(MATCH(12,'كشف الحساب'!$N$4:$N$203,0),0)=0,"",INDEX('كشف الحساب'!$I$4:$I$203,IFERROR(MATCH(12,'كشف الحساب'!$N$4:$N$203,0),0))),"")</f>
        <v>رواتب وعمالة</v>
      </c>
      <c r="J16" s="65" t="n">
        <f aca="false">IFERROR(IF(IFERROR(MATCH(12,'كشف الحساب'!$N$4:$N$203,0),0)=0,"",INDEX('كشف الحساب'!$J$4:$J$203,IFERROR(MATCH(12,'كشف الحساب'!$N$4:$N$203,0),0))),"")</f>
        <v>0</v>
      </c>
      <c r="K16" s="102" t="n">
        <f aca="false">IFERROR(IF(IFERROR(MATCH(12,'كشف الحساب'!$N$4:$N$203,0),0)=0,"",INDEX('كشف الحساب'!$K$4:$K$203,IFERROR(MATCH(12,'كشف الحساب'!$N$4:$N$203,0),0))),"")</f>
        <v>0</v>
      </c>
    </row>
    <row r="17" customFormat="false" ht="16.5" hidden="false" customHeight="true" outlineLevel="0" collapsed="false">
      <c r="A17" s="67" t="n">
        <f aca="false">IFERROR(IF(IFERROR(MATCH(13,'كشف الحساب'!$N$4:$N$203,0),0)=0,"",INDEX('كشف الحساب'!$A$4:$A$203,IFERROR(MATCH(13,'كشف الحساب'!$N$4:$N$203,0),0))),"")</f>
        <v>46151</v>
      </c>
      <c r="B17" s="100" t="str">
        <f aca="false">IFERROR(IF(IFERROR(MATCH(13,'كشف الحساب'!$N$4:$N$203,0),0)=0,"",INDEX('كشف الحساب'!$B$4:$B$203,IFERROR(MATCH(13,'كشف الحساب'!$N$4:$N$203,0),0))),"")</f>
        <v>Inv-013</v>
      </c>
      <c r="C17" s="69" t="str">
        <f aca="false">IFERROR(IF(IFERROR(MATCH(13,'كشف الحساب'!$N$4:$N$203,0),0)=0,"",INDEX('كشف الحساب'!$C$4:$C$203,IFERROR(MATCH(13,'كشف الحساب'!$N$4:$N$203,0),0))),"")</f>
        <v>فل عدد 21 سعر الحبه .0.750</v>
      </c>
      <c r="D17" s="70" t="n">
        <f aca="false">IFERROR(IF(IFERROR(MATCH(13,'كشف الحساب'!$N$4:$N$203,0),0)=0,"",INDEX('كشف الحساب'!$D$4:$D$203,IFERROR(MATCH(13,'كشف الحساب'!$N$4:$N$203,0),0))),"")</f>
        <v>0</v>
      </c>
      <c r="E17" s="101" t="n">
        <f aca="false">IFERROR(IF(IFERROR(MATCH(13,'كشف الحساب'!$N$4:$N$203,0),0)=0,"",INDEX('كشف الحساب'!$E$4:$E$203,IFERROR(MATCH(13,'كشف الحساب'!$N$4:$N$203,0),0))),"")</f>
        <v>15.75</v>
      </c>
      <c r="F17" s="100" t="str">
        <f aca="false">IFERROR(IF(IFERROR(MATCH(13,'كشف الحساب'!$N$4:$N$203,0),0)=0,"",INDEX('كشف الحساب'!$F$4:$F$203,IFERROR(MATCH(13,'كشف الحساب'!$N$4:$N$203,0),0))),"")</f>
        <v>نقداً</v>
      </c>
      <c r="G17" s="100" t="n">
        <f aca="false">IFERROR(IF(IFERROR(MATCH(13,'كشف الحساب'!$N$4:$N$203,0),0)=0,"",INDEX('كشف الحساب'!$G$4:$G$203,IFERROR(MATCH(13,'كشف الحساب'!$N$4:$N$203,0),0))),"")</f>
        <v>0</v>
      </c>
      <c r="H17" s="100" t="str">
        <f aca="false">IFERROR(IF(IFERROR(MATCH(13,'كشف الحساب'!$N$4:$N$203,0),0)=0,"",INDEX('كشف الحساب'!$H$4:$H$203,IFERROR(MATCH(13,'كشف الحساب'!$N$4:$N$203,0),0))),"")</f>
        <v>تم الدفع</v>
      </c>
      <c r="I17" s="100" t="n">
        <f aca="false">IFERROR(IF(IFERROR(MATCH(13,'كشف الحساب'!$N$4:$N$203,0),0)=0,"",INDEX('كشف الحساب'!$I$4:$I$203,IFERROR(MATCH(13,'كشف الحساب'!$N$4:$N$203,0),0))),"")</f>
        <v>0</v>
      </c>
      <c r="J17" s="76" t="n">
        <f aca="false">IFERROR(IF(IFERROR(MATCH(13,'كشف الحساب'!$N$4:$N$203,0),0)=0,"",INDEX('كشف الحساب'!$J$4:$J$203,IFERROR(MATCH(13,'كشف الحساب'!$N$4:$N$203,0),0))),"")</f>
        <v>15.75</v>
      </c>
      <c r="K17" s="100" t="n">
        <f aca="false">IFERROR(IF(IFERROR(MATCH(13,'كشف الحساب'!$N$4:$N$203,0),0)=0,"",INDEX('كشف الحساب'!$K$4:$K$203,IFERROR(MATCH(13,'كشف الحساب'!$N$4:$N$203,0),0))),"")</f>
        <v>0</v>
      </c>
    </row>
    <row r="18" customFormat="false" ht="16.5" hidden="false" customHeight="true" outlineLevel="0" collapsed="false">
      <c r="A18" s="56" t="n">
        <f aca="false">IFERROR(IF(IFERROR(MATCH(14,'كشف الحساب'!$N$4:$N$203,0),0)=0,"",INDEX('كشف الحساب'!$A$4:$A$203,IFERROR(MATCH(14,'كشف الحساب'!$N$4:$N$203,0),0))),"")</f>
        <v>46151</v>
      </c>
      <c r="B18" s="102" t="str">
        <f aca="false">IFERROR(IF(IFERROR(MATCH(14,'كشف الحساب'!$N$4:$N$203,0),0)=0,"",INDEX('كشف الحساب'!$B$4:$B$203,IFERROR(MATCH(14,'كشف الحساب'!$N$4:$N$203,0),0))),"")</f>
        <v>Inv-013A</v>
      </c>
      <c r="C18" s="58" t="str">
        <f aca="false">IFERROR(IF(IFERROR(MATCH(14,'كشف الحساب'!$N$4:$N$203,0),0)=0,"",INDEX('كشف الحساب'!$C$4:$C$203,IFERROR(MATCH(14,'كشف الحساب'!$N$4:$N$203,0),0))),"")</f>
        <v>برازيليا عدد 25 سعر الحبه .500</v>
      </c>
      <c r="D18" s="59" t="n">
        <f aca="false">IFERROR(IF(IFERROR(MATCH(14,'كشف الحساب'!$N$4:$N$203,0),0)=0,"",INDEX('كشف الحساب'!$D$4:$D$203,IFERROR(MATCH(14,'كشف الحساب'!$N$4:$N$203,0),0))),"")</f>
        <v>0</v>
      </c>
      <c r="E18" s="103" t="n">
        <f aca="false">IFERROR(IF(IFERROR(MATCH(14,'كشف الحساب'!$N$4:$N$203,0),0)=0,"",INDEX('كشف الحساب'!$E$4:$E$203,IFERROR(MATCH(14,'كشف الحساب'!$N$4:$N$203,0),0))),"")</f>
        <v>12.5</v>
      </c>
      <c r="F18" s="102" t="str">
        <f aca="false">IFERROR(IF(IFERROR(MATCH(14,'كشف الحساب'!$N$4:$N$203,0),0)=0,"",INDEX('كشف الحساب'!$F$4:$F$203,IFERROR(MATCH(14,'كشف الحساب'!$N$4:$N$203,0),0))),"")</f>
        <v>نقداً</v>
      </c>
      <c r="G18" s="102" t="str">
        <f aca="false">IFERROR(IF(IFERROR(MATCH(14,'كشف الحساب'!$N$4:$N$203,0),0)=0,"",INDEX('كشف الحساب'!$G$4:$G$203,IFERROR(MATCH(14,'كشف الحساب'!$N$4:$N$203,0),0))),"")</f>
        <v>المحفظة</v>
      </c>
      <c r="H18" s="102" t="str">
        <f aca="false">IFERROR(IF(IFERROR(MATCH(14,'كشف الحساب'!$N$4:$N$203,0),0)=0,"",INDEX('كشف الحساب'!$H$4:$H$203,IFERROR(MATCH(14,'كشف الحساب'!$N$4:$N$203,0),0))),"")</f>
        <v>تم الدفع</v>
      </c>
      <c r="I18" s="102" t="n">
        <f aca="false">IFERROR(IF(IFERROR(MATCH(14,'كشف الحساب'!$N$4:$N$203,0),0)=0,"",INDEX('كشف الحساب'!$I$4:$I$203,IFERROR(MATCH(14,'كشف الحساب'!$N$4:$N$203,0),0))),"")</f>
        <v>0</v>
      </c>
      <c r="J18" s="65" t="n">
        <f aca="false">IFERROR(IF(IFERROR(MATCH(14,'كشف الحساب'!$N$4:$N$203,0),0)=0,"",INDEX('كشف الحساب'!$J$4:$J$203,IFERROR(MATCH(14,'كشف الحساب'!$N$4:$N$203,0),0))),"")</f>
        <v>28.25</v>
      </c>
      <c r="K18" s="102" t="n">
        <f aca="false">IFERROR(IF(IFERROR(MATCH(14,'كشف الحساب'!$N$4:$N$203,0),0)=0,"",INDEX('كشف الحساب'!$K$4:$K$203,IFERROR(MATCH(14,'كشف الحساب'!$N$4:$N$203,0),0))),"")</f>
        <v>0</v>
      </c>
    </row>
    <row r="19" customFormat="false" ht="16.5" hidden="false" customHeight="true" outlineLevel="0" collapsed="false">
      <c r="A19" s="67" t="n">
        <f aca="false">IFERROR(IF(IFERROR(MATCH(15,'كشف الحساب'!$N$4:$N$203,0),0)=0,"",INDEX('كشف الحساب'!$A$4:$A$203,IFERROR(MATCH(15,'كشف الحساب'!$N$4:$N$203,0),0))),"")</f>
        <v>46151</v>
      </c>
      <c r="B19" s="100" t="n">
        <f aca="false">IFERROR(IF(IFERROR(MATCH(15,'كشف الحساب'!$N$4:$N$203,0),0)=0,"",INDEX('كشف الحساب'!$B$4:$B$203,IFERROR(MATCH(15,'كشف الحساب'!$N$4:$N$203,0),0))),"")</f>
        <v>18213</v>
      </c>
      <c r="C19" s="69" t="str">
        <f aca="false">IFERROR(IF(IFERROR(MATCH(15,'كشف الحساب'!$N$4:$N$203,0),0)=0,"",INDEX('كشف الحساب'!$C$4:$C$203,IFERROR(MATCH(15,'كشف الحساب'!$N$4:$N$203,0),0))),"")</f>
        <v>شراء دريل</v>
      </c>
      <c r="D19" s="70" t="n">
        <f aca="false">IFERROR(IF(IFERROR(MATCH(15,'كشف الحساب'!$N$4:$N$203,0),0)=0,"",INDEX('كشف الحساب'!$D$4:$D$203,IFERROR(MATCH(15,'كشف الحساب'!$N$4:$N$203,0),0))),"")</f>
        <v>9</v>
      </c>
      <c r="E19" s="101" t="n">
        <f aca="false">IFERROR(IF(IFERROR(MATCH(15,'كشف الحساب'!$N$4:$N$203,0),0)=0,"",INDEX('كشف الحساب'!$E$4:$E$203,IFERROR(MATCH(15,'كشف الحساب'!$N$4:$N$203,0),0))),"")</f>
        <v>0</v>
      </c>
      <c r="F19" s="100" t="str">
        <f aca="false">IFERROR(IF(IFERROR(MATCH(15,'كشف الحساب'!$N$4:$N$203,0),0)=0,"",INDEX('كشف الحساب'!$F$4:$F$203,IFERROR(MATCH(15,'كشف الحساب'!$N$4:$N$203,0),0))),"")</f>
        <v>أحد الشركاء</v>
      </c>
      <c r="G19" s="100" t="str">
        <f aca="false">IFERROR(IF(IFERROR(MATCH(15,'كشف الحساب'!$N$4:$N$203,0),0)=0,"",INDEX('كشف الحساب'!$G$4:$G$203,IFERROR(MATCH(15,'كشف الحساب'!$N$4:$N$203,0),0))),"")</f>
        <v>أبو اسحاق</v>
      </c>
      <c r="H19" s="100" t="str">
        <f aca="false">IFERROR(IF(IFERROR(MATCH(15,'كشف الحساب'!$N$4:$N$203,0),0)=0,"",INDEX('كشف الحساب'!$H$4:$H$203,IFERROR(MATCH(15,'كشف الحساب'!$N$4:$N$203,0),0))),"")</f>
        <v>معلق</v>
      </c>
      <c r="I19" s="100" t="str">
        <f aca="false">IFERROR(IF(IFERROR(MATCH(15,'كشف الحساب'!$N$4:$N$203,0),0)=0,"",INDEX('كشف الحساب'!$I$4:$I$203,IFERROR(MATCH(15,'كشف الحساب'!$N$4:$N$203,0),0))),"")</f>
        <v>مستلزمات زراعية</v>
      </c>
      <c r="J19" s="76" t="n">
        <f aca="false">IFERROR(IF(IFERROR(MATCH(15,'كشف الحساب'!$N$4:$N$203,0),0)=0,"",INDEX('كشف الحساب'!$J$4:$J$203,IFERROR(MATCH(15,'كشف الحساب'!$N$4:$N$203,0),0))),"")</f>
        <v>28.25</v>
      </c>
      <c r="K19" s="100" t="n">
        <f aca="false">IFERROR(IF(IFERROR(MATCH(15,'كشف الحساب'!$N$4:$N$203,0),0)=0,"",INDEX('كشف الحساب'!$K$4:$K$203,IFERROR(MATCH(15,'كشف الحساب'!$N$4:$N$203,0),0))),"")</f>
        <v>0</v>
      </c>
    </row>
    <row r="20" customFormat="false" ht="16.5" hidden="false" customHeight="true" outlineLevel="0" collapsed="false">
      <c r="A20" s="56" t="n">
        <f aca="false">IFERROR(IF(IFERROR(MATCH(16,'كشف الحساب'!$N$4:$N$203,0),0)=0,"",INDEX('كشف الحساب'!$A$4:$A$203,IFERROR(MATCH(16,'كشف الحساب'!$N$4:$N$203,0),0))),"")</f>
        <v>46152</v>
      </c>
      <c r="B20" s="102" t="str">
        <f aca="false">IFERROR(IF(IFERROR(MATCH(16,'كشف الحساب'!$N$4:$N$203,0),0)=0,"",INDEX('كشف الحساب'!$B$4:$B$203,IFERROR(MATCH(16,'كشف الحساب'!$N$4:$N$203,0),0))),"")</f>
        <v>Inv-016</v>
      </c>
      <c r="C20" s="58" t="str">
        <f aca="false">IFERROR(IF(IFERROR(MATCH(16,'كشف الحساب'!$N$4:$N$203,0),0)=0,"",INDEX('كشف الحساب'!$C$4:$C$203,IFERROR(MATCH(16,'كشف الحساب'!$N$4:$N$203,0),0))),"")</f>
        <v>ودليه عدد 3 الحبه 0.750</v>
      </c>
      <c r="D20" s="59" t="n">
        <f aca="false">IFERROR(IF(IFERROR(MATCH(16,'كشف الحساب'!$N$4:$N$203,0),0)=0,"",INDEX('كشف الحساب'!$D$4:$D$203,IFERROR(MATCH(16,'كشف الحساب'!$N$4:$N$203,0),0))),"")</f>
        <v>0</v>
      </c>
      <c r="E20" s="103" t="n">
        <f aca="false">IFERROR(IF(IFERROR(MATCH(16,'كشف الحساب'!$N$4:$N$203,0),0)=0,"",INDEX('كشف الحساب'!$E$4:$E$203,IFERROR(MATCH(16,'كشف الحساب'!$N$4:$N$203,0),0))),"")</f>
        <v>2.25</v>
      </c>
      <c r="F20" s="102" t="str">
        <f aca="false">IFERROR(IF(IFERROR(MATCH(16,'كشف الحساب'!$N$4:$N$203,0),0)=0,"",INDEX('كشف الحساب'!$F$4:$F$203,IFERROR(MATCH(16,'كشف الحساب'!$N$4:$N$203,0),0))),"")</f>
        <v>نقداً</v>
      </c>
      <c r="G20" s="102" t="n">
        <f aca="false">IFERROR(IF(IFERROR(MATCH(16,'كشف الحساب'!$N$4:$N$203,0),0)=0,"",INDEX('كشف الحساب'!$G$4:$G$203,IFERROR(MATCH(16,'كشف الحساب'!$N$4:$N$203,0),0))),"")</f>
        <v>0</v>
      </c>
      <c r="H20" s="102" t="n">
        <f aca="false">IFERROR(IF(IFERROR(MATCH(16,'كشف الحساب'!$N$4:$N$203,0),0)=0,"",INDEX('كشف الحساب'!$H$4:$H$203,IFERROR(MATCH(16,'كشف الحساب'!$N$4:$N$203,0),0))),"")</f>
        <v>0</v>
      </c>
      <c r="I20" s="102" t="n">
        <f aca="false">IFERROR(IF(IFERROR(MATCH(16,'كشف الحساب'!$N$4:$N$203,0),0)=0,"",INDEX('كشف الحساب'!$I$4:$I$203,IFERROR(MATCH(16,'كشف الحساب'!$N$4:$N$203,0),0))),"")</f>
        <v>0</v>
      </c>
      <c r="J20" s="65" t="n">
        <f aca="false">IFERROR(IF(IFERROR(MATCH(16,'كشف الحساب'!$N$4:$N$203,0),0)=0,"",INDEX('كشف الحساب'!$J$4:$J$203,IFERROR(MATCH(16,'كشف الحساب'!$N$4:$N$203,0),0))),"")</f>
        <v>30.5</v>
      </c>
      <c r="K20" s="102" t="n">
        <f aca="false">IFERROR(IF(IFERROR(MATCH(16,'كشف الحساب'!$N$4:$N$203,0),0)=0,"",INDEX('كشف الحساب'!$K$4:$K$203,IFERROR(MATCH(16,'كشف الحساب'!$N$4:$N$203,0),0))),"")</f>
        <v>0</v>
      </c>
    </row>
    <row r="21" customFormat="false" ht="16.5" hidden="false" customHeight="true" outlineLevel="0" collapsed="false">
      <c r="A21" s="67" t="n">
        <f aca="false">IFERROR(IF(IFERROR(MATCH(17,'كشف الحساب'!$N$4:$N$203,0),0)=0,"",INDEX('كشف الحساب'!$A$4:$A$203,IFERROR(MATCH(17,'كشف الحساب'!$N$4:$N$203,0),0))),"")</f>
        <v>46155</v>
      </c>
      <c r="B21" s="100" t="str">
        <f aca="false">IFERROR(IF(IFERROR(MATCH(17,'كشف الحساب'!$N$4:$N$203,0),0)=0,"",INDEX('كشف الحساب'!$B$4:$B$203,IFERROR(MATCH(17,'كشف الحساب'!$N$4:$N$203,0),0))),"")</f>
        <v>Inv-017</v>
      </c>
      <c r="C21" s="69" t="str">
        <f aca="false">IFERROR(IF(IFERROR(MATCH(17,'كشف الحساب'!$N$4:$N$203,0),0)=0,"",INDEX('كشف الحساب'!$C$4:$C$203,IFERROR(MATCH(17,'كشف الحساب'!$N$4:$N$203,0),0))),"")</f>
        <v>فل عدد 10 الحبه 0.750</v>
      </c>
      <c r="D21" s="70" t="n">
        <f aca="false">IFERROR(IF(IFERROR(MATCH(17,'كشف الحساب'!$N$4:$N$203,0),0)=0,"",INDEX('كشف الحساب'!$D$4:$D$203,IFERROR(MATCH(17,'كشف الحساب'!$N$4:$N$203,0),0))),"")</f>
        <v>0</v>
      </c>
      <c r="E21" s="101" t="n">
        <f aca="false">IFERROR(IF(IFERROR(MATCH(17,'كشف الحساب'!$N$4:$N$203,0),0)=0,"",INDEX('كشف الحساب'!$E$4:$E$203,IFERROR(MATCH(17,'كشف الحساب'!$N$4:$N$203,0),0))),"")</f>
        <v>7.5</v>
      </c>
      <c r="F21" s="100" t="str">
        <f aca="false">IFERROR(IF(IFERROR(MATCH(17,'كشف الحساب'!$N$4:$N$203,0),0)=0,"",INDEX('كشف الحساب'!$F$4:$F$203,IFERROR(MATCH(17,'كشف الحساب'!$N$4:$N$203,0),0))),"")</f>
        <v>نقداً</v>
      </c>
      <c r="G21" s="100" t="n">
        <f aca="false">IFERROR(IF(IFERROR(MATCH(17,'كشف الحساب'!$N$4:$N$203,0),0)=0,"",INDEX('كشف الحساب'!$G$4:$G$203,IFERROR(MATCH(17,'كشف الحساب'!$N$4:$N$203,0),0))),"")</f>
        <v>0</v>
      </c>
      <c r="H21" s="100" t="n">
        <f aca="false">IFERROR(IF(IFERROR(MATCH(17,'كشف الحساب'!$N$4:$N$203,0),0)=0,"",INDEX('كشف الحساب'!$H$4:$H$203,IFERROR(MATCH(17,'كشف الحساب'!$N$4:$N$203,0),0))),"")</f>
        <v>0</v>
      </c>
      <c r="I21" s="100" t="n">
        <f aca="false">IFERROR(IF(IFERROR(MATCH(17,'كشف الحساب'!$N$4:$N$203,0),0)=0,"",INDEX('كشف الحساب'!$I$4:$I$203,IFERROR(MATCH(17,'كشف الحساب'!$N$4:$N$203,0),0))),"")</f>
        <v>0</v>
      </c>
      <c r="J21" s="76" t="n">
        <f aca="false">IFERROR(IF(IFERROR(MATCH(17,'كشف الحساب'!$N$4:$N$203,0),0)=0,"",INDEX('كشف الحساب'!$J$4:$J$203,IFERROR(MATCH(17,'كشف الحساب'!$N$4:$N$203,0),0))),"")</f>
        <v>38</v>
      </c>
      <c r="K21" s="100" t="n">
        <f aca="false">IFERROR(IF(IFERROR(MATCH(17,'كشف الحساب'!$N$4:$N$203,0),0)=0,"",INDEX('كشف الحساب'!$K$4:$K$203,IFERROR(MATCH(17,'كشف الحساب'!$N$4:$N$203,0),0))),"")</f>
        <v>0</v>
      </c>
    </row>
    <row r="22" customFormat="false" ht="16.5" hidden="false" customHeight="true" outlineLevel="0" collapsed="false">
      <c r="A22" s="56" t="n">
        <f aca="false">IFERROR(IF(IFERROR(MATCH(18,'كشف الحساب'!$N$4:$N$203,0),0)=0,"",INDEX('كشف الحساب'!$A$4:$A$203,IFERROR(MATCH(18,'كشف الحساب'!$N$4:$N$203,0),0))),"")</f>
        <v>46155</v>
      </c>
      <c r="B22" s="102" t="str">
        <f aca="false">IFERROR(IF(IFERROR(MATCH(18,'كشف الحساب'!$N$4:$N$203,0),0)=0,"",INDEX('كشف الحساب'!$B$4:$B$203,IFERROR(MATCH(18,'كشف الحساب'!$N$4:$N$203,0),0))),"")</f>
        <v>Inv-18A</v>
      </c>
      <c r="C22" s="58" t="str">
        <f aca="false">IFERROR(IF(IFERROR(MATCH(18,'كشف الحساب'!$N$4:$N$203,0),0)=0,"",INDEX('كشف الحساب'!$C$4:$C$203,IFERROR(MATCH(18,'كشف الحساب'!$N$4:$N$203,0),0))),"")</f>
        <v>ربل 4 حبات الحبه 1.500</v>
      </c>
      <c r="D22" s="59" t="n">
        <f aca="false">IFERROR(IF(IFERROR(MATCH(18,'كشف الحساب'!$N$4:$N$203,0),0)=0,"",INDEX('كشف الحساب'!$D$4:$D$203,IFERROR(MATCH(18,'كشف الحساب'!$N$4:$N$203,0),0))),"")</f>
        <v>0</v>
      </c>
      <c r="E22" s="103" t="n">
        <f aca="false">IFERROR(IF(IFERROR(MATCH(18,'كشف الحساب'!$N$4:$N$203,0),0)=0,"",INDEX('كشف الحساب'!$E$4:$E$203,IFERROR(MATCH(18,'كشف الحساب'!$N$4:$N$203,0),0))),"")</f>
        <v>6</v>
      </c>
      <c r="F22" s="102" t="str">
        <f aca="false">IFERROR(IF(IFERROR(MATCH(18,'كشف الحساب'!$N$4:$N$203,0),0)=0,"",INDEX('كشف الحساب'!$F$4:$F$203,IFERROR(MATCH(18,'كشف الحساب'!$N$4:$N$203,0),0))),"")</f>
        <v>نقداً</v>
      </c>
      <c r="G22" s="102" t="n">
        <f aca="false">IFERROR(IF(IFERROR(MATCH(18,'كشف الحساب'!$N$4:$N$203,0),0)=0,"",INDEX('كشف الحساب'!$G$4:$G$203,IFERROR(MATCH(18,'كشف الحساب'!$N$4:$N$203,0),0))),"")</f>
        <v>0</v>
      </c>
      <c r="H22" s="102" t="n">
        <f aca="false">IFERROR(IF(IFERROR(MATCH(18,'كشف الحساب'!$N$4:$N$203,0),0)=0,"",INDEX('كشف الحساب'!$H$4:$H$203,IFERROR(MATCH(18,'كشف الحساب'!$N$4:$N$203,0),0))),"")</f>
        <v>0</v>
      </c>
      <c r="I22" s="102" t="n">
        <f aca="false">IFERROR(IF(IFERROR(MATCH(18,'كشف الحساب'!$N$4:$N$203,0),0)=0,"",INDEX('كشف الحساب'!$I$4:$I$203,IFERROR(MATCH(18,'كشف الحساب'!$N$4:$N$203,0),0))),"")</f>
        <v>0</v>
      </c>
      <c r="J22" s="65" t="n">
        <f aca="false">IFERROR(IF(IFERROR(MATCH(18,'كشف الحساب'!$N$4:$N$203,0),0)=0,"",INDEX('كشف الحساب'!$J$4:$J$203,IFERROR(MATCH(18,'كشف الحساب'!$N$4:$N$203,0),0))),"")</f>
        <v>44</v>
      </c>
      <c r="K22" s="102" t="n">
        <f aca="false">IFERROR(IF(IFERROR(MATCH(18,'كشف الحساب'!$N$4:$N$203,0),0)=0,"",INDEX('كشف الحساب'!$K$4:$K$203,IFERROR(MATCH(18,'كشف الحساب'!$N$4:$N$203,0),0))),"")</f>
        <v>0</v>
      </c>
    </row>
    <row r="23" customFormat="false" ht="16.5" hidden="false" customHeight="true" outlineLevel="0" collapsed="false">
      <c r="A23" s="67" t="n">
        <f aca="false">IFERROR(IF(IFERROR(MATCH(19,'كشف الحساب'!$N$4:$N$203,0),0)=0,"",INDEX('كشف الحساب'!$A$4:$A$203,IFERROR(MATCH(19,'كشف الحساب'!$N$4:$N$203,0),0))),"")</f>
        <v>46156</v>
      </c>
      <c r="B23" s="100" t="str">
        <f aca="false">IFERROR(IF(IFERROR(MATCH(19,'كشف الحساب'!$N$4:$N$203,0),0)=0,"",INDEX('كشف الحساب'!$B$4:$B$203,IFERROR(MATCH(19,'كشف الحساب'!$N$4:$N$203,0),0))),"")</f>
        <v>Inv-18</v>
      </c>
      <c r="C23" s="69" t="str">
        <f aca="false">IFERROR(IF(IFERROR(MATCH(19,'كشف الحساب'!$N$4:$N$203,0),0)=0,"",INDEX('كشف الحساب'!$C$4:$C$203,IFERROR(MATCH(19,'كشف الحساب'!$N$4:$N$203,0),0))),"")</f>
        <v>ودليه 8 حبات الحبه 1</v>
      </c>
      <c r="D23" s="70" t="n">
        <f aca="false">IFERROR(IF(IFERROR(MATCH(19,'كشف الحساب'!$N$4:$N$203,0),0)=0,"",INDEX('كشف الحساب'!$D$4:$D$203,IFERROR(MATCH(19,'كشف الحساب'!$N$4:$N$203,0),0))),"")</f>
        <v>0</v>
      </c>
      <c r="E23" s="101" t="n">
        <f aca="false">IFERROR(IF(IFERROR(MATCH(19,'كشف الحساب'!$N$4:$N$203,0),0)=0,"",INDEX('كشف الحساب'!$E$4:$E$203,IFERROR(MATCH(19,'كشف الحساب'!$N$4:$N$203,0),0))),"")</f>
        <v>8</v>
      </c>
      <c r="F23" s="100" t="str">
        <f aca="false">IFERROR(IF(IFERROR(MATCH(19,'كشف الحساب'!$N$4:$N$203,0),0)=0,"",INDEX('كشف الحساب'!$F$4:$F$203,IFERROR(MATCH(19,'كشف الحساب'!$N$4:$N$203,0),0))),"")</f>
        <v>نقداً</v>
      </c>
      <c r="G23" s="100" t="n">
        <f aca="false">IFERROR(IF(IFERROR(MATCH(19,'كشف الحساب'!$N$4:$N$203,0),0)=0,"",INDEX('كشف الحساب'!$G$4:$G$203,IFERROR(MATCH(19,'كشف الحساب'!$N$4:$N$203,0),0))),"")</f>
        <v>0</v>
      </c>
      <c r="H23" s="100" t="n">
        <f aca="false">IFERROR(IF(IFERROR(MATCH(19,'كشف الحساب'!$N$4:$N$203,0),0)=0,"",INDEX('كشف الحساب'!$H$4:$H$203,IFERROR(MATCH(19,'كشف الحساب'!$N$4:$N$203,0),0))),"")</f>
        <v>0</v>
      </c>
      <c r="I23" s="100" t="n">
        <f aca="false">IFERROR(IF(IFERROR(MATCH(19,'كشف الحساب'!$N$4:$N$203,0),0)=0,"",INDEX('كشف الحساب'!$I$4:$I$203,IFERROR(MATCH(19,'كشف الحساب'!$N$4:$N$203,0),0))),"")</f>
        <v>0</v>
      </c>
      <c r="J23" s="76" t="n">
        <f aca="false">IFERROR(IF(IFERROR(MATCH(19,'كشف الحساب'!$N$4:$N$203,0),0)=0,"",INDEX('كشف الحساب'!$J$4:$J$203,IFERROR(MATCH(19,'كشف الحساب'!$N$4:$N$203,0),0))),"")</f>
        <v>52</v>
      </c>
      <c r="K23" s="100" t="n">
        <f aca="false">IFERROR(IF(IFERROR(MATCH(19,'كشف الحساب'!$N$4:$N$203,0),0)=0,"",INDEX('كشف الحساب'!$K$4:$K$203,IFERROR(MATCH(19,'كشف الحساب'!$N$4:$N$203,0),0))),"")</f>
        <v>0</v>
      </c>
    </row>
    <row r="24" customFormat="false" ht="16.5" hidden="false" customHeight="true" outlineLevel="0" collapsed="false">
      <c r="A24" s="56" t="n">
        <f aca="false">IFERROR(IF(IFERROR(MATCH(20,'كشف الحساب'!$N$4:$N$203,0),0)=0,"",INDEX('كشف الحساب'!$A$4:$A$203,IFERROR(MATCH(20,'كشف الحساب'!$N$4:$N$203,0),0))),"")</f>
        <v>46158</v>
      </c>
      <c r="B24" s="102" t="str">
        <f aca="false">IFERROR(IF(IFERROR(MATCH(20,'كشف الحساب'!$N$4:$N$203,0),0)=0,"",INDEX('كشف الحساب'!$B$4:$B$203,IFERROR(MATCH(20,'كشف الحساب'!$N$4:$N$203,0),0))),"")</f>
        <v>Inv-19</v>
      </c>
      <c r="C24" s="58" t="str">
        <f aca="false">IFERROR(IF(IFERROR(MATCH(20,'كشف الحساب'!$N$4:$N$203,0),0)=0,"",INDEX('كشف الحساب'!$C$4:$C$203,IFERROR(MATCH(20,'كشف الحساب'!$N$4:$N$203,0),0))),"")</f>
        <v>فل عدد 2 الحبه 0.750</v>
      </c>
      <c r="D24" s="59" t="n">
        <f aca="false">IFERROR(IF(IFERROR(MATCH(20,'كشف الحساب'!$N$4:$N$203,0),0)=0,"",INDEX('كشف الحساب'!$D$4:$D$203,IFERROR(MATCH(20,'كشف الحساب'!$N$4:$N$203,0),0))),"")</f>
        <v>0</v>
      </c>
      <c r="E24" s="103" t="n">
        <f aca="false">IFERROR(IF(IFERROR(MATCH(20,'كشف الحساب'!$N$4:$N$203,0),0)=0,"",INDEX('كشف الحساب'!$E$4:$E$203,IFERROR(MATCH(20,'كشف الحساب'!$N$4:$N$203,0),0))),"")</f>
        <v>1.5</v>
      </c>
      <c r="F24" s="102" t="str">
        <f aca="false">IFERROR(IF(IFERROR(MATCH(20,'كشف الحساب'!$N$4:$N$203,0),0)=0,"",INDEX('كشف الحساب'!$F$4:$F$203,IFERROR(MATCH(20,'كشف الحساب'!$N$4:$N$203,0),0))),"")</f>
        <v>نقداً</v>
      </c>
      <c r="G24" s="102" t="n">
        <f aca="false">IFERROR(IF(IFERROR(MATCH(20,'كشف الحساب'!$N$4:$N$203,0),0)=0,"",INDEX('كشف الحساب'!$G$4:$G$203,IFERROR(MATCH(20,'كشف الحساب'!$N$4:$N$203,0),0))),"")</f>
        <v>0</v>
      </c>
      <c r="H24" s="102" t="n">
        <f aca="false">IFERROR(IF(IFERROR(MATCH(20,'كشف الحساب'!$N$4:$N$203,0),0)=0,"",INDEX('كشف الحساب'!$H$4:$H$203,IFERROR(MATCH(20,'كشف الحساب'!$N$4:$N$203,0),0))),"")</f>
        <v>0</v>
      </c>
      <c r="I24" s="102" t="n">
        <f aca="false">IFERROR(IF(IFERROR(MATCH(20,'كشف الحساب'!$N$4:$N$203,0),0)=0,"",INDEX('كشف الحساب'!$I$4:$I$203,IFERROR(MATCH(20,'كشف الحساب'!$N$4:$N$203,0),0))),"")</f>
        <v>0</v>
      </c>
      <c r="J24" s="65" t="n">
        <f aca="false">IFERROR(IF(IFERROR(MATCH(20,'كشف الحساب'!$N$4:$N$203,0),0)=0,"",INDEX('كشف الحساب'!$J$4:$J$203,IFERROR(MATCH(20,'كشف الحساب'!$N$4:$N$203,0),0))),"")</f>
        <v>53.5</v>
      </c>
      <c r="K24" s="102" t="n">
        <f aca="false">IFERROR(IF(IFERROR(MATCH(20,'كشف الحساب'!$N$4:$N$203,0),0)=0,"",INDEX('كشف الحساب'!$K$4:$K$203,IFERROR(MATCH(20,'كشف الحساب'!$N$4:$N$203,0),0))),"")</f>
        <v>0</v>
      </c>
    </row>
    <row r="25" customFormat="false" ht="16.5" hidden="false" customHeight="true" outlineLevel="0" collapsed="false">
      <c r="A25" s="67" t="n">
        <f aca="false">IFERROR(IF(IFERROR(MATCH(21,'كشف الحساب'!$N$4:$N$203,0),0)=0,"",INDEX('كشف الحساب'!$A$4:$A$203,IFERROR(MATCH(21,'كشف الحساب'!$N$4:$N$203,0),0))),"")</f>
        <v>46158</v>
      </c>
      <c r="B25" s="100" t="str">
        <f aca="false">IFERROR(IF(IFERROR(MATCH(21,'كشف الحساب'!$N$4:$N$203,0),0)=0,"",INDEX('كشف الحساب'!$B$4:$B$203,IFERROR(MATCH(21,'كشف الحساب'!$N$4:$N$203,0),0))),"")</f>
        <v>Inv-20</v>
      </c>
      <c r="C25" s="69" t="str">
        <f aca="false">IFERROR(IF(IFERROR(MATCH(21,'كشف الحساب'!$N$4:$N$203,0),0)=0,"",INDEX('كشف الحساب'!$C$4:$C$203,IFERROR(MATCH(21,'كشف الحساب'!$N$4:$N$203,0),0))),"")</f>
        <v>صبار اوليفيرا عدد 3 الحبه 0.750</v>
      </c>
      <c r="D25" s="70" t="n">
        <f aca="false">IFERROR(IF(IFERROR(MATCH(21,'كشف الحساب'!$N$4:$N$203,0),0)=0,"",INDEX('كشف الحساب'!$D$4:$D$203,IFERROR(MATCH(21,'كشف الحساب'!$N$4:$N$203,0),0))),"")</f>
        <v>0</v>
      </c>
      <c r="E25" s="101" t="n">
        <f aca="false">IFERROR(IF(IFERROR(MATCH(21,'كشف الحساب'!$N$4:$N$203,0),0)=0,"",INDEX('كشف الحساب'!$E$4:$E$203,IFERROR(MATCH(21,'كشف الحساب'!$N$4:$N$203,0),0))),"")</f>
        <v>2.25</v>
      </c>
      <c r="F25" s="100" t="str">
        <f aca="false">IFERROR(IF(IFERROR(MATCH(21,'كشف الحساب'!$N$4:$N$203,0),0)=0,"",INDEX('كشف الحساب'!$F$4:$F$203,IFERROR(MATCH(21,'كشف الحساب'!$N$4:$N$203,0),0))),"")</f>
        <v>نقداً</v>
      </c>
      <c r="G25" s="100" t="n">
        <f aca="false">IFERROR(IF(IFERROR(MATCH(21,'كشف الحساب'!$N$4:$N$203,0),0)=0,"",INDEX('كشف الحساب'!$G$4:$G$203,IFERROR(MATCH(21,'كشف الحساب'!$N$4:$N$203,0),0))),"")</f>
        <v>0</v>
      </c>
      <c r="H25" s="100" t="n">
        <f aca="false">IFERROR(IF(IFERROR(MATCH(21,'كشف الحساب'!$N$4:$N$203,0),0)=0,"",INDEX('كشف الحساب'!$H$4:$H$203,IFERROR(MATCH(21,'كشف الحساب'!$N$4:$N$203,0),0))),"")</f>
        <v>0</v>
      </c>
      <c r="I25" s="100" t="n">
        <f aca="false">IFERROR(IF(IFERROR(MATCH(21,'كشف الحساب'!$N$4:$N$203,0),0)=0,"",INDEX('كشف الحساب'!$I$4:$I$203,IFERROR(MATCH(21,'كشف الحساب'!$N$4:$N$203,0),0))),"")</f>
        <v>0</v>
      </c>
      <c r="J25" s="76" t="n">
        <f aca="false">IFERROR(IF(IFERROR(MATCH(21,'كشف الحساب'!$N$4:$N$203,0),0)=0,"",INDEX('كشف الحساب'!$J$4:$J$203,IFERROR(MATCH(21,'كشف الحساب'!$N$4:$N$203,0),0))),"")</f>
        <v>55.75</v>
      </c>
      <c r="K25" s="100" t="n">
        <f aca="false">IFERROR(IF(IFERROR(MATCH(21,'كشف الحساب'!$N$4:$N$203,0),0)=0,"",INDEX('كشف الحساب'!$K$4:$K$203,IFERROR(MATCH(21,'كشف الحساب'!$N$4:$N$203,0),0))),"")</f>
        <v>0</v>
      </c>
    </row>
    <row r="26" customFormat="false" ht="16.5" hidden="false" customHeight="true" outlineLevel="0" collapsed="false">
      <c r="A26" s="56" t="n">
        <f aca="false">IFERROR(IF(IFERROR(MATCH(22,'كشف الحساب'!$N$4:$N$203,0),0)=0,"",INDEX('كشف الحساب'!$A$4:$A$203,IFERROR(MATCH(22,'كشف الحساب'!$N$4:$N$203,0),0))),"")</f>
        <v>46158</v>
      </c>
      <c r="B26" s="102" t="str">
        <f aca="false">IFERROR(IF(IFERROR(MATCH(22,'كشف الحساب'!$N$4:$N$203,0),0)=0,"",INDEX('كشف الحساب'!$B$4:$B$203,IFERROR(MATCH(22,'كشف الحساب'!$N$4:$N$203,0),0))),"")</f>
        <v>Inv-21</v>
      </c>
      <c r="C26" s="58" t="str">
        <f aca="false">IFERROR(IF(IFERROR(MATCH(22,'كشف الحساب'!$N$4:$N$203,0),0)=0,"",INDEX('كشف الحساب'!$C$4:$C$203,IFERROR(MATCH(22,'كشف الحساب'!$N$4:$N$203,0),0))),"")</f>
        <v>دارسينا عدد 1 الحبه 2.500</v>
      </c>
      <c r="D26" s="59" t="n">
        <f aca="false">IFERROR(IF(IFERROR(MATCH(22,'كشف الحساب'!$N$4:$N$203,0),0)=0,"",INDEX('كشف الحساب'!$D$4:$D$203,IFERROR(MATCH(22,'كشف الحساب'!$N$4:$N$203,0),0))),"")</f>
        <v>0</v>
      </c>
      <c r="E26" s="103" t="n">
        <f aca="false">IFERROR(IF(IFERROR(MATCH(22,'كشف الحساب'!$N$4:$N$203,0),0)=0,"",INDEX('كشف الحساب'!$E$4:$E$203,IFERROR(MATCH(22,'كشف الحساب'!$N$4:$N$203,0),0))),"")</f>
        <v>2.5</v>
      </c>
      <c r="F26" s="102" t="str">
        <f aca="false">IFERROR(IF(IFERROR(MATCH(22,'كشف الحساب'!$N$4:$N$203,0),0)=0,"",INDEX('كشف الحساب'!$F$4:$F$203,IFERROR(MATCH(22,'كشف الحساب'!$N$4:$N$203,0),0))),"")</f>
        <v>نقداً</v>
      </c>
      <c r="G26" s="102" t="n">
        <f aca="false">IFERROR(IF(IFERROR(MATCH(22,'كشف الحساب'!$N$4:$N$203,0),0)=0,"",INDEX('كشف الحساب'!$G$4:$G$203,IFERROR(MATCH(22,'كشف الحساب'!$N$4:$N$203,0),0))),"")</f>
        <v>0</v>
      </c>
      <c r="H26" s="102" t="n">
        <f aca="false">IFERROR(IF(IFERROR(MATCH(22,'كشف الحساب'!$N$4:$N$203,0),0)=0,"",INDEX('كشف الحساب'!$H$4:$H$203,IFERROR(MATCH(22,'كشف الحساب'!$N$4:$N$203,0),0))),"")</f>
        <v>0</v>
      </c>
      <c r="I26" s="102" t="n">
        <f aca="false">IFERROR(IF(IFERROR(MATCH(22,'كشف الحساب'!$N$4:$N$203,0),0)=0,"",INDEX('كشف الحساب'!$I$4:$I$203,IFERROR(MATCH(22,'كشف الحساب'!$N$4:$N$203,0),0))),"")</f>
        <v>0</v>
      </c>
      <c r="J26" s="65" t="n">
        <f aca="false">IFERROR(IF(IFERROR(MATCH(22,'كشف الحساب'!$N$4:$N$203,0),0)=0,"",INDEX('كشف الحساب'!$J$4:$J$203,IFERROR(MATCH(22,'كشف الحساب'!$N$4:$N$203,0),0))),"")</f>
        <v>58.25</v>
      </c>
      <c r="K26" s="102" t="n">
        <f aca="false">IFERROR(IF(IFERROR(MATCH(22,'كشف الحساب'!$N$4:$N$203,0),0)=0,"",INDEX('كشف الحساب'!$K$4:$K$203,IFERROR(MATCH(22,'كشف الحساب'!$N$4:$N$203,0),0))),"")</f>
        <v>0</v>
      </c>
    </row>
    <row r="27" customFormat="false" ht="16.5" hidden="false" customHeight="true" outlineLevel="0" collapsed="false">
      <c r="A27" s="67" t="n">
        <f aca="false">IFERROR(IF(IFERROR(MATCH(23,'كشف الحساب'!$N$4:$N$203,0),0)=0,"",INDEX('كشف الحساب'!$A$4:$A$203,IFERROR(MATCH(23,'كشف الحساب'!$N$4:$N$203,0),0))),"")</f>
        <v>46159</v>
      </c>
      <c r="B27" s="100" t="str">
        <f aca="false">IFERROR(IF(IFERROR(MATCH(23,'كشف الحساب'!$N$4:$N$203,0),0)=0,"",INDEX('كشف الحساب'!$B$4:$B$203,IFERROR(MATCH(23,'كشف الحساب'!$N$4:$N$203,0),0))),"")</f>
        <v>Inv-22</v>
      </c>
      <c r="C27" s="69" t="str">
        <f aca="false">IFERROR(IF(IFERROR(MATCH(23,'كشف الحساب'!$N$4:$N$203,0),0)=0,"",INDEX('كشف الحساب'!$C$4:$C$203,IFERROR(MATCH(23,'كشف الحساب'!$N$4:$N$203,0),0))),"")</f>
        <v>فل عدد 30 الحبه 0.750</v>
      </c>
      <c r="D27" s="70" t="n">
        <f aca="false">IFERROR(IF(IFERROR(MATCH(23,'كشف الحساب'!$N$4:$N$203,0),0)=0,"",INDEX('كشف الحساب'!$D$4:$D$203,IFERROR(MATCH(23,'كشف الحساب'!$N$4:$N$203,0),0))),"")</f>
        <v>0</v>
      </c>
      <c r="E27" s="101" t="n">
        <f aca="false">IFERROR(IF(IFERROR(MATCH(23,'كشف الحساب'!$N$4:$N$203,0),0)=0,"",INDEX('كشف الحساب'!$E$4:$E$203,IFERROR(MATCH(23,'كشف الحساب'!$N$4:$N$203,0),0))),"")</f>
        <v>22.5</v>
      </c>
      <c r="F27" s="100" t="str">
        <f aca="false">IFERROR(IF(IFERROR(MATCH(23,'كشف الحساب'!$N$4:$N$203,0),0)=0,"",INDEX('كشف الحساب'!$F$4:$F$203,IFERROR(MATCH(23,'كشف الحساب'!$N$4:$N$203,0),0))),"")</f>
        <v>نقداً</v>
      </c>
      <c r="G27" s="100" t="n">
        <f aca="false">IFERROR(IF(IFERROR(MATCH(23,'كشف الحساب'!$N$4:$N$203,0),0)=0,"",INDEX('كشف الحساب'!$G$4:$G$203,IFERROR(MATCH(23,'كشف الحساب'!$N$4:$N$203,0),0))),"")</f>
        <v>0</v>
      </c>
      <c r="H27" s="100" t="n">
        <f aca="false">IFERROR(IF(IFERROR(MATCH(23,'كشف الحساب'!$N$4:$N$203,0),0)=0,"",INDEX('كشف الحساب'!$H$4:$H$203,IFERROR(MATCH(23,'كشف الحساب'!$N$4:$N$203,0),0))),"")</f>
        <v>0</v>
      </c>
      <c r="I27" s="100" t="n">
        <f aca="false">IFERROR(IF(IFERROR(MATCH(23,'كشف الحساب'!$N$4:$N$203,0),0)=0,"",INDEX('كشف الحساب'!$I$4:$I$203,IFERROR(MATCH(23,'كشف الحساب'!$N$4:$N$203,0),0))),"")</f>
        <v>0</v>
      </c>
      <c r="J27" s="76" t="n">
        <f aca="false">IFERROR(IF(IFERROR(MATCH(23,'كشف الحساب'!$N$4:$N$203,0),0)=0,"",INDEX('كشف الحساب'!$J$4:$J$203,IFERROR(MATCH(23,'كشف الحساب'!$N$4:$N$203,0),0))),"")</f>
        <v>80.75</v>
      </c>
      <c r="K27" s="100" t="str">
        <f aca="false">IFERROR(IF(IFERROR(MATCH(23,'كشف الحساب'!$N$4:$N$203,0),0)=0,"",INDEX('كشف الحساب'!$K$4:$K$203,IFERROR(MATCH(23,'كشف الحساب'!$N$4:$N$203,0),0))),"")</f>
        <v>تم إعطاء 1 حبه هديه الإجمالي 31 حبه</v>
      </c>
    </row>
    <row r="28" customFormat="false" ht="16.5" hidden="false" customHeight="true" outlineLevel="0" collapsed="false">
      <c r="A28" s="56" t="n">
        <f aca="false">IFERROR(IF(IFERROR(MATCH(24,'كشف الحساب'!$N$4:$N$203,0),0)=0,"",INDEX('كشف الحساب'!$A$4:$A$203,IFERROR(MATCH(24,'كشف الحساب'!$N$4:$N$203,0),0))),"")</f>
        <v>46159</v>
      </c>
      <c r="B28" s="102" t="str">
        <f aca="false">IFERROR(IF(IFERROR(MATCH(24,'كشف الحساب'!$N$4:$N$203,0),0)=0,"",INDEX('كشف الحساب'!$B$4:$B$203,IFERROR(MATCH(24,'كشف الحساب'!$N$4:$N$203,0),0))),"")</f>
        <v>Inv-23</v>
      </c>
      <c r="C28" s="58" t="str">
        <f aca="false">IFERROR(IF(IFERROR(MATCH(24,'كشف الحساب'!$N$4:$N$203,0),0)=0,"",INDEX('كشف الحساب'!$C$4:$C$203,IFERROR(MATCH(24,'كشف الحساب'!$N$4:$N$203,0),0))),"")</f>
        <v>برازيليا عدد 16 الحبه 0.500</v>
      </c>
      <c r="D28" s="59" t="n">
        <f aca="false">IFERROR(IF(IFERROR(MATCH(24,'كشف الحساب'!$N$4:$N$203,0),0)=0,"",INDEX('كشف الحساب'!$D$4:$D$203,IFERROR(MATCH(24,'كشف الحساب'!$N$4:$N$203,0),0))),"")</f>
        <v>0</v>
      </c>
      <c r="E28" s="103" t="n">
        <f aca="false">IFERROR(IF(IFERROR(MATCH(24,'كشف الحساب'!$N$4:$N$203,0),0)=0,"",INDEX('كشف الحساب'!$E$4:$E$203,IFERROR(MATCH(24,'كشف الحساب'!$N$4:$N$203,0),0))),"")</f>
        <v>8</v>
      </c>
      <c r="F28" s="102" t="str">
        <f aca="false">IFERROR(IF(IFERROR(MATCH(24,'كشف الحساب'!$N$4:$N$203,0),0)=0,"",INDEX('كشف الحساب'!$F$4:$F$203,IFERROR(MATCH(24,'كشف الحساب'!$N$4:$N$203,0),0))),"")</f>
        <v>نقداً</v>
      </c>
      <c r="G28" s="102" t="n">
        <f aca="false">IFERROR(IF(IFERROR(MATCH(24,'كشف الحساب'!$N$4:$N$203,0),0)=0,"",INDEX('كشف الحساب'!$G$4:$G$203,IFERROR(MATCH(24,'كشف الحساب'!$N$4:$N$203,0),0))),"")</f>
        <v>0</v>
      </c>
      <c r="H28" s="102" t="n">
        <f aca="false">IFERROR(IF(IFERROR(MATCH(24,'كشف الحساب'!$N$4:$N$203,0),0)=0,"",INDEX('كشف الحساب'!$H$4:$H$203,IFERROR(MATCH(24,'كشف الحساب'!$N$4:$N$203,0),0))),"")</f>
        <v>0</v>
      </c>
      <c r="I28" s="102" t="n">
        <f aca="false">IFERROR(IF(IFERROR(MATCH(24,'كشف الحساب'!$N$4:$N$203,0),0)=0,"",INDEX('كشف الحساب'!$I$4:$I$203,IFERROR(MATCH(24,'كشف الحساب'!$N$4:$N$203,0),0))),"")</f>
        <v>0</v>
      </c>
      <c r="J28" s="65" t="n">
        <f aca="false">IFERROR(IF(IFERROR(MATCH(24,'كشف الحساب'!$N$4:$N$203,0),0)=0,"",INDEX('كشف الحساب'!$J$4:$J$203,IFERROR(MATCH(24,'كشف الحساب'!$N$4:$N$203,0),0))),"")</f>
        <v>88.75</v>
      </c>
      <c r="K28" s="102" t="n">
        <f aca="false">IFERROR(IF(IFERROR(MATCH(24,'كشف الحساب'!$N$4:$N$203,0),0)=0,"",INDEX('كشف الحساب'!$K$4:$K$203,IFERROR(MATCH(24,'كشف الحساب'!$N$4:$N$203,0),0))),"")</f>
        <v>0</v>
      </c>
    </row>
    <row r="29" customFormat="false" ht="16.5" hidden="false" customHeight="true" outlineLevel="0" collapsed="false">
      <c r="A29" s="67" t="n">
        <f aca="false">IFERROR(IF(IFERROR(MATCH(25,'كشف الحساب'!$N$4:$N$203,0),0)=0,"",INDEX('كشف الحساب'!$A$4:$A$203,IFERROR(MATCH(25,'كشف الحساب'!$N$4:$N$203,0),0))),"")</f>
        <v>46160</v>
      </c>
      <c r="B29" s="100" t="str">
        <f aca="false">IFERROR(IF(IFERROR(MATCH(25,'كشف الحساب'!$N$4:$N$203,0),0)=0,"",INDEX('كشف الحساب'!$B$4:$B$203,IFERROR(MATCH(25,'كشف الحساب'!$N$4:$N$203,0),0))),"")</f>
        <v>Inv-24</v>
      </c>
      <c r="C29" s="69" t="str">
        <f aca="false">IFERROR(IF(IFERROR(MATCH(25,'كشف الحساب'!$N$4:$N$203,0),0)=0,"",INDEX('كشف الحساب'!$C$4:$C$203,IFERROR(MATCH(25,'كشف الحساب'!$N$4:$N$203,0),0))),"")</f>
        <v>فل عدد10 الحبه 0.750</v>
      </c>
      <c r="D29" s="70" t="n">
        <f aca="false">IFERROR(IF(IFERROR(MATCH(25,'كشف الحساب'!$N$4:$N$203,0),0)=0,"",INDEX('كشف الحساب'!$D$4:$D$203,IFERROR(MATCH(25,'كشف الحساب'!$N$4:$N$203,0),0))),"")</f>
        <v>0</v>
      </c>
      <c r="E29" s="101" t="n">
        <f aca="false">IFERROR(IF(IFERROR(MATCH(25,'كشف الحساب'!$N$4:$N$203,0),0)=0,"",INDEX('كشف الحساب'!$E$4:$E$203,IFERROR(MATCH(25,'كشف الحساب'!$N$4:$N$203,0),0))),"")</f>
        <v>7.5</v>
      </c>
      <c r="F29" s="100" t="str">
        <f aca="false">IFERROR(IF(IFERROR(MATCH(25,'كشف الحساب'!$N$4:$N$203,0),0)=0,"",INDEX('كشف الحساب'!$F$4:$F$203,IFERROR(MATCH(25,'كشف الحساب'!$N$4:$N$203,0),0))),"")</f>
        <v>نقداً</v>
      </c>
      <c r="G29" s="100" t="n">
        <f aca="false">IFERROR(IF(IFERROR(MATCH(25,'كشف الحساب'!$N$4:$N$203,0),0)=0,"",INDEX('كشف الحساب'!$G$4:$G$203,IFERROR(MATCH(25,'كشف الحساب'!$N$4:$N$203,0),0))),"")</f>
        <v>0</v>
      </c>
      <c r="H29" s="100" t="n">
        <f aca="false">IFERROR(IF(IFERROR(MATCH(25,'كشف الحساب'!$N$4:$N$203,0),0)=0,"",INDEX('كشف الحساب'!$H$4:$H$203,IFERROR(MATCH(25,'كشف الحساب'!$N$4:$N$203,0),0))),"")</f>
        <v>0</v>
      </c>
      <c r="I29" s="100" t="n">
        <f aca="false">IFERROR(IF(IFERROR(MATCH(25,'كشف الحساب'!$N$4:$N$203,0),0)=0,"",INDEX('كشف الحساب'!$I$4:$I$203,IFERROR(MATCH(25,'كشف الحساب'!$N$4:$N$203,0),0))),"")</f>
        <v>0</v>
      </c>
      <c r="J29" s="76" t="n">
        <f aca="false">IFERROR(IF(IFERROR(MATCH(25,'كشف الحساب'!$N$4:$N$203,0),0)=0,"",INDEX('كشف الحساب'!$J$4:$J$203,IFERROR(MATCH(25,'كشف الحساب'!$N$4:$N$203,0),0))),"")</f>
        <v>96.25</v>
      </c>
      <c r="K29" s="100" t="n">
        <f aca="false">IFERROR(IF(IFERROR(MATCH(25,'كشف الحساب'!$N$4:$N$203,0),0)=0,"",INDEX('كشف الحساب'!$K$4:$K$203,IFERROR(MATCH(25,'كشف الحساب'!$N$4:$N$203,0),0))),"")</f>
        <v>0</v>
      </c>
    </row>
    <row r="30" customFormat="false" ht="16.5" hidden="false" customHeight="true" outlineLevel="0" collapsed="false">
      <c r="A30" s="56" t="n">
        <f aca="false">IFERROR(IF(IFERROR(MATCH(26,'كشف الحساب'!$N$4:$N$203,0),0)=0,"",INDEX('كشف الحساب'!$A$4:$A$203,IFERROR(MATCH(26,'كشف الحساب'!$N$4:$N$203,0),0))),"")</f>
        <v>46160</v>
      </c>
      <c r="B30" s="102" t="str">
        <f aca="false">IFERROR(IF(IFERROR(MATCH(26,'كشف الحساب'!$N$4:$N$203,0),0)=0,"",INDEX('كشف الحساب'!$B$4:$B$203,IFERROR(MATCH(26,'كشف الحساب'!$N$4:$N$203,0),0))),"")</f>
        <v>Inv-25</v>
      </c>
      <c r="C30" s="58" t="str">
        <f aca="false">IFERROR(IF(IFERROR(MATCH(26,'كشف الحساب'!$N$4:$N$203,0),0)=0,"",INDEX('كشف الحساب'!$C$4:$C$203,IFERROR(MATCH(26,'كشف الحساب'!$N$4:$N$203,0),0))),"")</f>
        <v>دارسيناحمراء عدد 1</v>
      </c>
      <c r="D30" s="59" t="n">
        <f aca="false">IFERROR(IF(IFERROR(MATCH(26,'كشف الحساب'!$N$4:$N$203,0),0)=0,"",INDEX('كشف الحساب'!$D$4:$D$203,IFERROR(MATCH(26,'كشف الحساب'!$N$4:$N$203,0),0))),"")</f>
        <v>0</v>
      </c>
      <c r="E30" s="103" t="n">
        <f aca="false">IFERROR(IF(IFERROR(MATCH(26,'كشف الحساب'!$N$4:$N$203,0),0)=0,"",INDEX('كشف الحساب'!$E$4:$E$203,IFERROR(MATCH(26,'كشف الحساب'!$N$4:$N$203,0),0))),"")</f>
        <v>5</v>
      </c>
      <c r="F30" s="102" t="str">
        <f aca="false">IFERROR(IF(IFERROR(MATCH(26,'كشف الحساب'!$N$4:$N$203,0),0)=0,"",INDEX('كشف الحساب'!$F$4:$F$203,IFERROR(MATCH(26,'كشف الحساب'!$N$4:$N$203,0),0))),"")</f>
        <v>نقداً</v>
      </c>
      <c r="G30" s="102" t="n">
        <f aca="false">IFERROR(IF(IFERROR(MATCH(26,'كشف الحساب'!$N$4:$N$203,0),0)=0,"",INDEX('كشف الحساب'!$G$4:$G$203,IFERROR(MATCH(26,'كشف الحساب'!$N$4:$N$203,0),0))),"")</f>
        <v>0</v>
      </c>
      <c r="H30" s="102" t="n">
        <f aca="false">IFERROR(IF(IFERROR(MATCH(26,'كشف الحساب'!$N$4:$N$203,0),0)=0,"",INDEX('كشف الحساب'!$H$4:$H$203,IFERROR(MATCH(26,'كشف الحساب'!$N$4:$N$203,0),0))),"")</f>
        <v>0</v>
      </c>
      <c r="I30" s="102" t="n">
        <f aca="false">IFERROR(IF(IFERROR(MATCH(26,'كشف الحساب'!$N$4:$N$203,0),0)=0,"",INDEX('كشف الحساب'!$I$4:$I$203,IFERROR(MATCH(26,'كشف الحساب'!$N$4:$N$203,0),0))),"")</f>
        <v>0</v>
      </c>
      <c r="J30" s="65" t="n">
        <f aca="false">IFERROR(IF(IFERROR(MATCH(26,'كشف الحساب'!$N$4:$N$203,0),0)=0,"",INDEX('كشف الحساب'!$J$4:$J$203,IFERROR(MATCH(26,'كشف الحساب'!$N$4:$N$203,0),0))),"")</f>
        <v>101.25</v>
      </c>
      <c r="K30" s="102" t="n">
        <f aca="false">IFERROR(IF(IFERROR(MATCH(26,'كشف الحساب'!$N$4:$N$203,0),0)=0,"",INDEX('كشف الحساب'!$K$4:$K$203,IFERROR(MATCH(26,'كشف الحساب'!$N$4:$N$203,0),0))),"")</f>
        <v>0</v>
      </c>
    </row>
    <row r="31" customFormat="false" ht="16.5" hidden="false" customHeight="true" outlineLevel="0" collapsed="false">
      <c r="A31" s="67" t="n">
        <f aca="false">IFERROR(IF(IFERROR(MATCH(27,'كشف الحساب'!$N$4:$N$203,0),0)=0,"",INDEX('كشف الحساب'!$A$4:$A$203,IFERROR(MATCH(27,'كشف الحساب'!$N$4:$N$203,0),0))),"")</f>
        <v>46160</v>
      </c>
      <c r="B31" s="100" t="str">
        <f aca="false">IFERROR(IF(IFERROR(MATCH(27,'كشف الحساب'!$N$4:$N$203,0),0)=0,"",INDEX('كشف الحساب'!$B$4:$B$203,IFERROR(MATCH(27,'كشف الحساب'!$N$4:$N$203,0),0))),"")</f>
        <v>Inv-26</v>
      </c>
      <c r="C31" s="69" t="str">
        <f aca="false">IFERROR(IF(IFERROR(MATCH(27,'كشف الحساب'!$N$4:$N$203,0),0)=0,"",INDEX('كشف الحساب'!$C$4:$C$203,IFERROR(MATCH(27,'كشف الحساب'!$N$4:$N$203,0),0))),"")</f>
        <v>دارسينا خضراء عدد 2 الحبه 1.500</v>
      </c>
      <c r="D31" s="70" t="n">
        <f aca="false">IFERROR(IF(IFERROR(MATCH(27,'كشف الحساب'!$N$4:$N$203,0),0)=0,"",INDEX('كشف الحساب'!$D$4:$D$203,IFERROR(MATCH(27,'كشف الحساب'!$N$4:$N$203,0),0))),"")</f>
        <v>0</v>
      </c>
      <c r="E31" s="101" t="n">
        <f aca="false">IFERROR(IF(IFERROR(MATCH(27,'كشف الحساب'!$N$4:$N$203,0),0)=0,"",INDEX('كشف الحساب'!$E$4:$E$203,IFERROR(MATCH(27,'كشف الحساب'!$N$4:$N$203,0),0))),"")</f>
        <v>3</v>
      </c>
      <c r="F31" s="100" t="str">
        <f aca="false">IFERROR(IF(IFERROR(MATCH(27,'كشف الحساب'!$N$4:$N$203,0),0)=0,"",INDEX('كشف الحساب'!$F$4:$F$203,IFERROR(MATCH(27,'كشف الحساب'!$N$4:$N$203,0),0))),"")</f>
        <v>نقداً</v>
      </c>
      <c r="G31" s="100" t="n">
        <f aca="false">IFERROR(IF(IFERROR(MATCH(27,'كشف الحساب'!$N$4:$N$203,0),0)=0,"",INDEX('كشف الحساب'!$G$4:$G$203,IFERROR(MATCH(27,'كشف الحساب'!$N$4:$N$203,0),0))),"")</f>
        <v>0</v>
      </c>
      <c r="H31" s="100" t="n">
        <f aca="false">IFERROR(IF(IFERROR(MATCH(27,'كشف الحساب'!$N$4:$N$203,0),0)=0,"",INDEX('كشف الحساب'!$H$4:$H$203,IFERROR(MATCH(27,'كشف الحساب'!$N$4:$N$203,0),0))),"")</f>
        <v>0</v>
      </c>
      <c r="I31" s="100" t="n">
        <f aca="false">IFERROR(IF(IFERROR(MATCH(27,'كشف الحساب'!$N$4:$N$203,0),0)=0,"",INDEX('كشف الحساب'!$I$4:$I$203,IFERROR(MATCH(27,'كشف الحساب'!$N$4:$N$203,0),0))),"")</f>
        <v>0</v>
      </c>
      <c r="J31" s="76" t="n">
        <f aca="false">IFERROR(IF(IFERROR(MATCH(27,'كشف الحساب'!$N$4:$N$203,0),0)=0,"",INDEX('كشف الحساب'!$J$4:$J$203,IFERROR(MATCH(27,'كشف الحساب'!$N$4:$N$203,0),0))),"")</f>
        <v>104.25</v>
      </c>
      <c r="K31" s="100" t="n">
        <f aca="false">IFERROR(IF(IFERROR(MATCH(27,'كشف الحساب'!$N$4:$N$203,0),0)=0,"",INDEX('كشف الحساب'!$K$4:$K$203,IFERROR(MATCH(27,'كشف الحساب'!$N$4:$N$203,0),0))),"")</f>
        <v>0</v>
      </c>
    </row>
    <row r="32" customFormat="false" ht="16.5" hidden="false" customHeight="true" outlineLevel="0" collapsed="false">
      <c r="A32" s="56" t="n">
        <f aca="false">IFERROR(IF(IFERROR(MATCH(28,'كشف الحساب'!$N$4:$N$203,0),0)=0,"",INDEX('كشف الحساب'!$A$4:$A$203,IFERROR(MATCH(28,'كشف الحساب'!$N$4:$N$203,0),0))),"")</f>
        <v>46160</v>
      </c>
      <c r="B32" s="102" t="str">
        <f aca="false">IFERROR(IF(IFERROR(MATCH(28,'كشف الحساب'!$N$4:$N$203,0),0)=0,"",INDEX('كشف الحساب'!$B$4:$B$203,IFERROR(MATCH(28,'كشف الحساب'!$N$4:$N$203,0),0))),"")</f>
        <v>Inv-27</v>
      </c>
      <c r="C32" s="58" t="str">
        <f aca="false">IFERROR(IF(IFERROR(MATCH(28,'كشف الحساب'!$N$4:$N$203,0),0)=0,"",INDEX('كشف الحساب'!$C$4:$C$203,IFERROR(MATCH(28,'كشف الحساب'!$N$4:$N$203,0),0))),"")</f>
        <v>ربل عدد 2 الحبه 1.500</v>
      </c>
      <c r="D32" s="59" t="n">
        <f aca="false">IFERROR(IF(IFERROR(MATCH(28,'كشف الحساب'!$N$4:$N$203,0),0)=0,"",INDEX('كشف الحساب'!$D$4:$D$203,IFERROR(MATCH(28,'كشف الحساب'!$N$4:$N$203,0),0))),"")</f>
        <v>0</v>
      </c>
      <c r="E32" s="103" t="n">
        <f aca="false">IFERROR(IF(IFERROR(MATCH(28,'كشف الحساب'!$N$4:$N$203,0),0)=0,"",INDEX('كشف الحساب'!$E$4:$E$203,IFERROR(MATCH(28,'كشف الحساب'!$N$4:$N$203,0),0))),"")</f>
        <v>3</v>
      </c>
      <c r="F32" s="102" t="str">
        <f aca="false">IFERROR(IF(IFERROR(MATCH(28,'كشف الحساب'!$N$4:$N$203,0),0)=0,"",INDEX('كشف الحساب'!$F$4:$F$203,IFERROR(MATCH(28,'كشف الحساب'!$N$4:$N$203,0),0))),"")</f>
        <v>نقداً</v>
      </c>
      <c r="G32" s="102" t="n">
        <f aca="false">IFERROR(IF(IFERROR(MATCH(28,'كشف الحساب'!$N$4:$N$203,0),0)=0,"",INDEX('كشف الحساب'!$G$4:$G$203,IFERROR(MATCH(28,'كشف الحساب'!$N$4:$N$203,0),0))),"")</f>
        <v>0</v>
      </c>
      <c r="H32" s="102" t="n">
        <f aca="false">IFERROR(IF(IFERROR(MATCH(28,'كشف الحساب'!$N$4:$N$203,0),0)=0,"",INDEX('كشف الحساب'!$H$4:$H$203,IFERROR(MATCH(28,'كشف الحساب'!$N$4:$N$203,0),0))),"")</f>
        <v>0</v>
      </c>
      <c r="I32" s="102" t="n">
        <f aca="false">IFERROR(IF(IFERROR(MATCH(28,'كشف الحساب'!$N$4:$N$203,0),0)=0,"",INDEX('كشف الحساب'!$I$4:$I$203,IFERROR(MATCH(28,'كشف الحساب'!$N$4:$N$203,0),0))),"")</f>
        <v>0</v>
      </c>
      <c r="J32" s="65" t="n">
        <f aca="false">IFERROR(IF(IFERROR(MATCH(28,'كشف الحساب'!$N$4:$N$203,0),0)=0,"",INDEX('كشف الحساب'!$J$4:$J$203,IFERROR(MATCH(28,'كشف الحساب'!$N$4:$N$203,0),0))),"")</f>
        <v>107.25</v>
      </c>
      <c r="K32" s="102" t="n">
        <f aca="false">IFERROR(IF(IFERROR(MATCH(28,'كشف الحساب'!$N$4:$N$203,0),0)=0,"",INDEX('كشف الحساب'!$K$4:$K$203,IFERROR(MATCH(28,'كشف الحساب'!$N$4:$N$203,0),0))),"")</f>
        <v>0</v>
      </c>
    </row>
    <row r="33" customFormat="false" ht="16.5" hidden="false" customHeight="true" outlineLevel="0" collapsed="false">
      <c r="A33" s="67" t="n">
        <f aca="false">IFERROR(IF(IFERROR(MATCH(29,'كشف الحساب'!$N$4:$N$203,0),0)=0,"",INDEX('كشف الحساب'!$A$4:$A$203,IFERROR(MATCH(29,'كشف الحساب'!$N$4:$N$203,0),0))),"")</f>
        <v>46160</v>
      </c>
      <c r="B33" s="100" t="str">
        <f aca="false">IFERROR(IF(IFERROR(MATCH(29,'كشف الحساب'!$N$4:$N$203,0),0)=0,"",INDEX('كشف الحساب'!$B$4:$B$203,IFERROR(MATCH(29,'كشف الحساب'!$N$4:$N$203,0),0))),"")</f>
        <v>Inv-28</v>
      </c>
      <c r="C33" s="69" t="str">
        <f aca="false">IFERROR(IF(IFERROR(MATCH(29,'كشف الحساب'!$N$4:$N$203,0),0)=0,"",INDEX('كشف الحساب'!$C$4:$C$203,IFERROR(MATCH(29,'كشف الحساب'!$N$4:$N$203,0),0))),"")</f>
        <v>دارسينا حمراء عدد2 الحبه 2.500</v>
      </c>
      <c r="D33" s="70" t="n">
        <f aca="false">IFERROR(IF(IFERROR(MATCH(29,'كشف الحساب'!$N$4:$N$203,0),0)=0,"",INDEX('كشف الحساب'!$D$4:$D$203,IFERROR(MATCH(29,'كشف الحساب'!$N$4:$N$203,0),0))),"")</f>
        <v>0</v>
      </c>
      <c r="E33" s="101" t="n">
        <f aca="false">IFERROR(IF(IFERROR(MATCH(29,'كشف الحساب'!$N$4:$N$203,0),0)=0,"",INDEX('كشف الحساب'!$E$4:$E$203,IFERROR(MATCH(29,'كشف الحساب'!$N$4:$N$203,0),0))),"")</f>
        <v>5</v>
      </c>
      <c r="F33" s="100" t="str">
        <f aca="false">IFERROR(IF(IFERROR(MATCH(29,'كشف الحساب'!$N$4:$N$203,0),0)=0,"",INDEX('كشف الحساب'!$F$4:$F$203,IFERROR(MATCH(29,'كشف الحساب'!$N$4:$N$203,0),0))),"")</f>
        <v>نقداً</v>
      </c>
      <c r="G33" s="100" t="n">
        <f aca="false">IFERROR(IF(IFERROR(MATCH(29,'كشف الحساب'!$N$4:$N$203,0),0)=0,"",INDEX('كشف الحساب'!$G$4:$G$203,IFERROR(MATCH(29,'كشف الحساب'!$N$4:$N$203,0),0))),"")</f>
        <v>0</v>
      </c>
      <c r="H33" s="100" t="n">
        <f aca="false">IFERROR(IF(IFERROR(MATCH(29,'كشف الحساب'!$N$4:$N$203,0),0)=0,"",INDEX('كشف الحساب'!$H$4:$H$203,IFERROR(MATCH(29,'كشف الحساب'!$N$4:$N$203,0),0))),"")</f>
        <v>0</v>
      </c>
      <c r="I33" s="100" t="n">
        <f aca="false">IFERROR(IF(IFERROR(MATCH(29,'كشف الحساب'!$N$4:$N$203,0),0)=0,"",INDEX('كشف الحساب'!$I$4:$I$203,IFERROR(MATCH(29,'كشف الحساب'!$N$4:$N$203,0),0))),"")</f>
        <v>0</v>
      </c>
      <c r="J33" s="76" t="n">
        <f aca="false">IFERROR(IF(IFERROR(MATCH(29,'كشف الحساب'!$N$4:$N$203,0),0)=0,"",INDEX('كشف الحساب'!$J$4:$J$203,IFERROR(MATCH(29,'كشف الحساب'!$N$4:$N$203,0),0))),"")</f>
        <v>112.25</v>
      </c>
      <c r="K33" s="100" t="n">
        <f aca="false">IFERROR(IF(IFERROR(MATCH(29,'كشف الحساب'!$N$4:$N$203,0),0)=0,"",INDEX('كشف الحساب'!$K$4:$K$203,IFERROR(MATCH(29,'كشف الحساب'!$N$4:$N$203,0),0))),"")</f>
        <v>0</v>
      </c>
    </row>
    <row r="34" customFormat="false" ht="16.5" hidden="false" customHeight="true" outlineLevel="0" collapsed="false">
      <c r="A34" s="56" t="n">
        <f aca="false">IFERROR(IF(IFERROR(MATCH(30,'كشف الحساب'!$N$4:$N$203,0),0)=0,"",INDEX('كشف الحساب'!$A$4:$A$203,IFERROR(MATCH(30,'كشف الحساب'!$N$4:$N$203,0),0))),"")</f>
        <v>46160</v>
      </c>
      <c r="B34" s="102" t="str">
        <f aca="false">IFERROR(IF(IFERROR(MATCH(30,'كشف الحساب'!$N$4:$N$203,0),0)=0,"",INDEX('كشف الحساب'!$B$4:$B$203,IFERROR(MATCH(30,'كشف الحساب'!$N$4:$N$203,0),0))),"")</f>
        <v>Inv-29</v>
      </c>
      <c r="C34" s="58" t="str">
        <f aca="false">IFERROR(IF(IFERROR(MATCH(30,'كشف الحساب'!$N$4:$N$203,0),0)=0,"",INDEX('كشف الحساب'!$C$4:$C$203,IFERROR(MATCH(30,'كشف الحساب'!$N$4:$N$203,0),0))),"")</f>
        <v>برازيليا عدد 10 الحبه 0.500</v>
      </c>
      <c r="D34" s="59" t="n">
        <f aca="false">IFERROR(IF(IFERROR(MATCH(30,'كشف الحساب'!$N$4:$N$203,0),0)=0,"",INDEX('كشف الحساب'!$D$4:$D$203,IFERROR(MATCH(30,'كشف الحساب'!$N$4:$N$203,0),0))),"")</f>
        <v>0</v>
      </c>
      <c r="E34" s="103" t="n">
        <f aca="false">IFERROR(IF(IFERROR(MATCH(30,'كشف الحساب'!$N$4:$N$203,0),0)=0,"",INDEX('كشف الحساب'!$E$4:$E$203,IFERROR(MATCH(30,'كشف الحساب'!$N$4:$N$203,0),0))),"")</f>
        <v>5</v>
      </c>
      <c r="F34" s="102" t="str">
        <f aca="false">IFERROR(IF(IFERROR(MATCH(30,'كشف الحساب'!$N$4:$N$203,0),0)=0,"",INDEX('كشف الحساب'!$F$4:$F$203,IFERROR(MATCH(30,'كشف الحساب'!$N$4:$N$203,0),0))),"")</f>
        <v>نقداً</v>
      </c>
      <c r="G34" s="102" t="n">
        <f aca="false">IFERROR(IF(IFERROR(MATCH(30,'كشف الحساب'!$N$4:$N$203,0),0)=0,"",INDEX('كشف الحساب'!$G$4:$G$203,IFERROR(MATCH(30,'كشف الحساب'!$N$4:$N$203,0),0))),"")</f>
        <v>0</v>
      </c>
      <c r="H34" s="102" t="n">
        <f aca="false">IFERROR(IF(IFERROR(MATCH(30,'كشف الحساب'!$N$4:$N$203,0),0)=0,"",INDEX('كشف الحساب'!$H$4:$H$203,IFERROR(MATCH(30,'كشف الحساب'!$N$4:$N$203,0),0))),"")</f>
        <v>0</v>
      </c>
      <c r="I34" s="102" t="n">
        <f aca="false">IFERROR(IF(IFERROR(MATCH(30,'كشف الحساب'!$N$4:$N$203,0),0)=0,"",INDEX('كشف الحساب'!$I$4:$I$203,IFERROR(MATCH(30,'كشف الحساب'!$N$4:$N$203,0),0))),"")</f>
        <v>0</v>
      </c>
      <c r="J34" s="65" t="n">
        <f aca="false">IFERROR(IF(IFERROR(MATCH(30,'كشف الحساب'!$N$4:$N$203,0),0)=0,"",INDEX('كشف الحساب'!$J$4:$J$203,IFERROR(MATCH(30,'كشف الحساب'!$N$4:$N$203,0),0))),"")</f>
        <v>117.25</v>
      </c>
      <c r="K34" s="102" t="n">
        <f aca="false">IFERROR(IF(IFERROR(MATCH(30,'كشف الحساب'!$N$4:$N$203,0),0)=0,"",INDEX('كشف الحساب'!$K$4:$K$203,IFERROR(MATCH(30,'كشف الحساب'!$N$4:$N$203,0),0))),"")</f>
        <v>0</v>
      </c>
    </row>
    <row r="35" customFormat="false" ht="15" hidden="false" customHeight="true" outlineLevel="0" collapsed="false">
      <c r="A35" s="104" t="n">
        <f aca="false">IFERROR(IF(IFERROR(MATCH(31,'كشف الحساب'!$N$4:$N$203,0),0)=0,"",INDEX('كشف الحساب'!$A$4:$A$203,IFERROR(MATCH(31,'كشف الحساب'!$N$4:$N$203,0),0))),"")</f>
        <v>46160</v>
      </c>
      <c r="B35" s="105" t="str">
        <f aca="false">IFERROR(IF(IFERROR(MATCH(31,'كشف الحساب'!$N$4:$N$203,0),0)=0,"",INDEX('كشف الحساب'!$B$4:$B$203,IFERROR(MATCH(31,'كشف الحساب'!$N$4:$N$203,0),0))),"")</f>
        <v>85164</v>
      </c>
      <c r="C35" s="106" t="str">
        <f aca="false">IFERROR(IF(IFERROR(MATCH(31,'كشف الحساب'!$N$4:$N$203,0),0)=0,"",INDEX('كشف الحساب'!$C$4:$C$203,IFERROR(MATCH(31,'كشف الحساب'!$N$4:$N$203,0),0))),"")</f>
        <v>مبيد اسيتبلان عدد 1</v>
      </c>
      <c r="D35" s="107" t="n">
        <f aca="false">IFERROR(IF(IFERROR(MATCH(31,'كشف الحساب'!$N$4:$N$203,0),0)=0,"",INDEX('كشف الحساب'!$D$4:$D$203,IFERROR(MATCH(31,'كشف الحساب'!$N$4:$N$203,0),0))),"")</f>
        <v>9</v>
      </c>
      <c r="E35" s="108" t="n">
        <f aca="false">IFERROR(IF(IFERROR(MATCH(31,'كشف الحساب'!$N$4:$N$203,0),0)=0,"",INDEX('كشف الحساب'!$E$4:$E$203,IFERROR(MATCH(31,'كشف الحساب'!$N$4:$N$203,0),0))),"")</f>
        <v>0</v>
      </c>
      <c r="F35" s="105" t="str">
        <f aca="false">IFERROR(IF(IFERROR(MATCH(31,'كشف الحساب'!$N$4:$N$203,0),0)=0,"",INDEX('كشف الحساب'!$F$4:$F$203,IFERROR(MATCH(31,'كشف الحساب'!$N$4:$N$203,0),0))),"")</f>
        <v>نقداً</v>
      </c>
      <c r="G35" s="105" t="str">
        <f aca="false">IFERROR(IF(IFERROR(MATCH(31,'كشف الحساب'!$N$4:$N$203,0),0)=0,"",INDEX('كشف الحساب'!$G$4:$G$203,IFERROR(MATCH(31,'كشف الحساب'!$N$4:$N$203,0),0))),"")</f>
        <v>المحفظة</v>
      </c>
      <c r="H35" s="105" t="str">
        <f aca="false">IFERROR(IF(IFERROR(MATCH(31,'كشف الحساب'!$N$4:$N$203,0),0)=0,"",INDEX('كشف الحساب'!$H$4:$H$203,IFERROR(MATCH(31,'كشف الحساب'!$N$4:$N$203,0),0))),"")</f>
        <v>تم الدفع</v>
      </c>
      <c r="I35" s="105" t="str">
        <f aca="false">IFERROR(IF(IFERROR(MATCH(31,'كشف الحساب'!$N$4:$N$203,0),0)=0,"",INDEX('كشف الحساب'!$I$4:$I$203,IFERROR(MATCH(31,'كشف الحساب'!$N$4:$N$203,0),0))),"")</f>
        <v>مبيدات وأسمدة</v>
      </c>
      <c r="J35" s="109" t="n">
        <f aca="false">IFERROR(IF(IFERROR(MATCH(31,'كشف الحساب'!$N$4:$N$203,0),0)=0,"",INDEX('كشف الحساب'!$J$4:$J$203,IFERROR(MATCH(31,'كشف الحساب'!$N$4:$N$203,0),0))),"")</f>
        <v>108.25</v>
      </c>
      <c r="K35" s="105" t="n">
        <f aca="false">IFERROR(IF(IFERROR(MATCH(31,'كشف الحساب'!$N$4:$N$203,0),0)=0,"",INDEX('كشف الحساب'!$K$4:$K$203,IFERROR(MATCH(31,'كشف الحساب'!$N$4:$N$203,0),0))),"")</f>
        <v>0</v>
      </c>
    </row>
    <row r="36" customFormat="false" ht="15" hidden="false" customHeight="true" outlineLevel="0" collapsed="false">
      <c r="A36" s="110" t="n">
        <f aca="false">IFERROR(IF(IFERROR(MATCH(32,'كشف الحساب'!$N$4:$N$203,0),0)=0,"",INDEX('كشف الحساب'!$A$4:$A$203,IFERROR(MATCH(32,'كشف الحساب'!$N$4:$N$203,0),0))),"")</f>
        <v>46161</v>
      </c>
      <c r="B36" s="111" t="str">
        <f aca="false">IFERROR(IF(IFERROR(MATCH(32,'كشف الحساب'!$N$4:$N$203,0),0)=0,"",INDEX('كشف الحساب'!$B$4:$B$203,IFERROR(MATCH(32,'كشف الحساب'!$N$4:$N$203,0),0))),"")</f>
        <v>Inv-30</v>
      </c>
      <c r="C36" s="112" t="str">
        <f aca="false">IFERROR(IF(IFERROR(MATCH(32,'كشف الحساب'!$N$4:$N$203,0),0)=0,"",INDEX('كشف الحساب'!$C$4:$C$203,IFERROR(MATCH(32,'كشف الحساب'!$N$4:$N$203,0),0))),"")</f>
        <v>فل عدد 30 الحبه 0.750</v>
      </c>
      <c r="D36" s="113" t="n">
        <f aca="false">IFERROR(IF(IFERROR(MATCH(32,'كشف الحساب'!$N$4:$N$203,0),0)=0,"",INDEX('كشف الحساب'!$D$4:$D$203,IFERROR(MATCH(32,'كشف الحساب'!$N$4:$N$203,0),0))),"")</f>
        <v>0</v>
      </c>
      <c r="E36" s="114" t="n">
        <f aca="false">IFERROR(IF(IFERROR(MATCH(32,'كشف الحساب'!$N$4:$N$203,0),0)=0,"",INDEX('كشف الحساب'!$E$4:$E$203,IFERROR(MATCH(32,'كشف الحساب'!$N$4:$N$203,0),0))),"")</f>
        <v>22.5</v>
      </c>
      <c r="F36" s="111" t="str">
        <f aca="false">IFERROR(IF(IFERROR(MATCH(32,'كشف الحساب'!$N$4:$N$203,0),0)=0,"",INDEX('كشف الحساب'!$F$4:$F$203,IFERROR(MATCH(32,'كشف الحساب'!$N$4:$N$203,0),0))),"")</f>
        <v>نقداً</v>
      </c>
      <c r="G36" s="111" t="n">
        <f aca="false">IFERROR(IF(IFERROR(MATCH(32,'كشف الحساب'!$N$4:$N$203,0),0)=0,"",INDEX('كشف الحساب'!$G$4:$G$203,IFERROR(MATCH(32,'كشف الحساب'!$N$4:$N$203,0),0))),"")</f>
        <v>0</v>
      </c>
      <c r="H36" s="111" t="n">
        <f aca="false">IFERROR(IF(IFERROR(MATCH(32,'كشف الحساب'!$N$4:$N$203,0),0)=0,"",INDEX('كشف الحساب'!$H$4:$H$203,IFERROR(MATCH(32,'كشف الحساب'!$N$4:$N$203,0),0))),"")</f>
        <v>0</v>
      </c>
      <c r="I36" s="111" t="n">
        <f aca="false">IFERROR(IF(IFERROR(MATCH(32,'كشف الحساب'!$N$4:$N$203,0),0)=0,"",INDEX('كشف الحساب'!$I$4:$I$203,IFERROR(MATCH(32,'كشف الحساب'!$N$4:$N$203,0),0))),"")</f>
        <v>0</v>
      </c>
      <c r="J36" s="115" t="n">
        <f aca="false">IFERROR(IF(IFERROR(MATCH(32,'كشف الحساب'!$N$4:$N$203,0),0)=0,"",INDEX('كشف الحساب'!$J$4:$J$203,IFERROR(MATCH(32,'كشف الحساب'!$N$4:$N$203,0),0))),"")</f>
        <v>130.75</v>
      </c>
      <c r="K36" s="111" t="n">
        <f aca="false">IFERROR(IF(IFERROR(MATCH(32,'كشف الحساب'!$N$4:$N$203,0),0)=0,"",INDEX('كشف الحساب'!$K$4:$K$203,IFERROR(MATCH(32,'كشف الحساب'!$N$4:$N$203,0),0))),"")</f>
        <v>0</v>
      </c>
    </row>
    <row r="37" customFormat="false" ht="15" hidden="false" customHeight="true" outlineLevel="0" collapsed="false">
      <c r="A37" s="104" t="n">
        <f aca="false">IFERROR(IF(IFERROR(MATCH(33,'كشف الحساب'!$N$4:$N$203,0),0)=0,"",INDEX('كشف الحساب'!$A$4:$A$203,IFERROR(MATCH(33,'كشف الحساب'!$N$4:$N$203,0),0))),"")</f>
        <v>46162</v>
      </c>
      <c r="B37" s="105" t="str">
        <f aca="false">IFERROR(IF(IFERROR(MATCH(33,'كشف الحساب'!$N$4:$N$203,0),0)=0,"",INDEX('كشف الحساب'!$B$4:$B$203,IFERROR(MATCH(33,'كشف الحساب'!$N$4:$N$203,0),0))),"")</f>
        <v>Inv-31</v>
      </c>
      <c r="C37" s="106" t="str">
        <f aca="false">IFERROR(IF(IFERROR(MATCH(33,'كشف الحساب'!$N$4:$N$203,0),0)=0,"",INDEX('كشف الحساب'!$C$4:$C$203,IFERROR(MATCH(33,'كشف الحساب'!$N$4:$N$203,0),0))),"")</f>
        <v>فل عدد30 الحبه 0.750</v>
      </c>
      <c r="D37" s="107" t="n">
        <f aca="false">IFERROR(IF(IFERROR(MATCH(33,'كشف الحساب'!$N$4:$N$203,0),0)=0,"",INDEX('كشف الحساب'!$D$4:$D$203,IFERROR(MATCH(33,'كشف الحساب'!$N$4:$N$203,0),0))),"")</f>
        <v>0</v>
      </c>
      <c r="E37" s="108" t="n">
        <f aca="false">IFERROR(IF(IFERROR(MATCH(33,'كشف الحساب'!$N$4:$N$203,0),0)=0,"",INDEX('كشف الحساب'!$E$4:$E$203,IFERROR(MATCH(33,'كشف الحساب'!$N$4:$N$203,0),0))),"")</f>
        <v>22.5</v>
      </c>
      <c r="F37" s="105" t="str">
        <f aca="false">IFERROR(IF(IFERROR(MATCH(33,'كشف الحساب'!$N$4:$N$203,0),0)=0,"",INDEX('كشف الحساب'!$F$4:$F$203,IFERROR(MATCH(33,'كشف الحساب'!$N$4:$N$203,0),0))),"")</f>
        <v>نقداً</v>
      </c>
      <c r="G37" s="105" t="n">
        <f aca="false">IFERROR(IF(IFERROR(MATCH(33,'كشف الحساب'!$N$4:$N$203,0),0)=0,"",INDEX('كشف الحساب'!$G$4:$G$203,IFERROR(MATCH(33,'كشف الحساب'!$N$4:$N$203,0),0))),"")</f>
        <v>0</v>
      </c>
      <c r="H37" s="105" t="n">
        <f aca="false">IFERROR(IF(IFERROR(MATCH(33,'كشف الحساب'!$N$4:$N$203,0),0)=0,"",INDEX('كشف الحساب'!$H$4:$H$203,IFERROR(MATCH(33,'كشف الحساب'!$N$4:$N$203,0),0))),"")</f>
        <v>0</v>
      </c>
      <c r="I37" s="105" t="n">
        <f aca="false">IFERROR(IF(IFERROR(MATCH(33,'كشف الحساب'!$N$4:$N$203,0),0)=0,"",INDEX('كشف الحساب'!$I$4:$I$203,IFERROR(MATCH(33,'كشف الحساب'!$N$4:$N$203,0),0))),"")</f>
        <v>0</v>
      </c>
      <c r="J37" s="109" t="n">
        <f aca="false">IFERROR(IF(IFERROR(MATCH(33,'كشف الحساب'!$N$4:$N$203,0),0)=0,"",INDEX('كشف الحساب'!$J$4:$J$203,IFERROR(MATCH(33,'كشف الحساب'!$N$4:$N$203,0),0))),"")</f>
        <v>153.25</v>
      </c>
      <c r="K37" s="105" t="n">
        <f aca="false">IFERROR(IF(IFERROR(MATCH(33,'كشف الحساب'!$N$4:$N$203,0),0)=0,"",INDEX('كشف الحساب'!$K$4:$K$203,IFERROR(MATCH(33,'كشف الحساب'!$N$4:$N$203,0),0))),"")</f>
        <v>0</v>
      </c>
    </row>
    <row r="38" customFormat="false" ht="15" hidden="false" customHeight="true" outlineLevel="0" collapsed="false">
      <c r="A38" s="110" t="n">
        <f aca="false">IFERROR(IF(IFERROR(MATCH(34,'كشف الحساب'!$N$4:$N$203,0),0)=0,"",INDEX('كشف الحساب'!$A$4:$A$203,IFERROR(MATCH(34,'كشف الحساب'!$N$4:$N$203,0),0))),"")</f>
        <v>46162</v>
      </c>
      <c r="B38" s="111" t="str">
        <f aca="false">IFERROR(IF(IFERROR(MATCH(34,'كشف الحساب'!$N$4:$N$203,0),0)=0,"",INDEX('كشف الحساب'!$B$4:$B$203,IFERROR(MATCH(34,'كشف الحساب'!$N$4:$N$203,0),0))),"")</f>
        <v>Inv-32</v>
      </c>
      <c r="C38" s="112" t="str">
        <f aca="false">IFERROR(IF(IFERROR(MATCH(34,'كشف الحساب'!$N$4:$N$203,0),0)=0,"",INDEX('كشف الحساب'!$C$4:$C$203,IFERROR(MATCH(34,'كشف الحساب'!$N$4:$N$203,0),0))),"")</f>
        <v>برازيليا عدد 50 الحبه0.500</v>
      </c>
      <c r="D38" s="113" t="n">
        <f aca="false">IFERROR(IF(IFERROR(MATCH(34,'كشف الحساب'!$N$4:$N$203,0),0)=0,"",INDEX('كشف الحساب'!$D$4:$D$203,IFERROR(MATCH(34,'كشف الحساب'!$N$4:$N$203,0),0))),"")</f>
        <v>0</v>
      </c>
      <c r="E38" s="114" t="n">
        <f aca="false">IFERROR(IF(IFERROR(MATCH(34,'كشف الحساب'!$N$4:$N$203,0),0)=0,"",INDEX('كشف الحساب'!$E$4:$E$203,IFERROR(MATCH(34,'كشف الحساب'!$N$4:$N$203,0),0))),"")</f>
        <v>25</v>
      </c>
      <c r="F38" s="111" t="str">
        <f aca="false">IFERROR(IF(IFERROR(MATCH(34,'كشف الحساب'!$N$4:$N$203,0),0)=0,"",INDEX('كشف الحساب'!$F$4:$F$203,IFERROR(MATCH(34,'كشف الحساب'!$N$4:$N$203,0),0))),"")</f>
        <v>نقداً</v>
      </c>
      <c r="G38" s="111" t="n">
        <f aca="false">IFERROR(IF(IFERROR(MATCH(34,'كشف الحساب'!$N$4:$N$203,0),0)=0,"",INDEX('كشف الحساب'!$G$4:$G$203,IFERROR(MATCH(34,'كشف الحساب'!$N$4:$N$203,0),0))),"")</f>
        <v>0</v>
      </c>
      <c r="H38" s="111" t="n">
        <f aca="false">IFERROR(IF(IFERROR(MATCH(34,'كشف الحساب'!$N$4:$N$203,0),0)=0,"",INDEX('كشف الحساب'!$H$4:$H$203,IFERROR(MATCH(34,'كشف الحساب'!$N$4:$N$203,0),0))),"")</f>
        <v>0</v>
      </c>
      <c r="I38" s="111" t="n">
        <f aca="false">IFERROR(IF(IFERROR(MATCH(34,'كشف الحساب'!$N$4:$N$203,0),0)=0,"",INDEX('كشف الحساب'!$I$4:$I$203,IFERROR(MATCH(34,'كشف الحساب'!$N$4:$N$203,0),0))),"")</f>
        <v>0</v>
      </c>
      <c r="J38" s="115" t="n">
        <f aca="false">IFERROR(IF(IFERROR(MATCH(34,'كشف الحساب'!$N$4:$N$203,0),0)=0,"",INDEX('كشف الحساب'!$J$4:$J$203,IFERROR(MATCH(34,'كشف الحساب'!$N$4:$N$203,0),0))),"")</f>
        <v>178.25</v>
      </c>
      <c r="K38" s="111" t="n">
        <f aca="false">IFERROR(IF(IFERROR(MATCH(34,'كشف الحساب'!$N$4:$N$203,0),0)=0,"",INDEX('كشف الحساب'!$K$4:$K$203,IFERROR(MATCH(34,'كشف الحساب'!$N$4:$N$203,0),0))),"")</f>
        <v>0</v>
      </c>
    </row>
    <row r="39" customFormat="false" ht="15" hidden="false" customHeight="true" outlineLevel="0" collapsed="false">
      <c r="A39" s="104" t="n">
        <f aca="false">IFERROR(IF(IFERROR(MATCH(35,'كشف الحساب'!$N$4:$N$203,0),0)=0,"",INDEX('كشف الحساب'!$A$4:$A$203,IFERROR(MATCH(35,'كشف الحساب'!$N$4:$N$203,0),0))),"")</f>
        <v>46163</v>
      </c>
      <c r="B39" s="105" t="str">
        <f aca="false">IFERROR(IF(IFERROR(MATCH(35,'كشف الحساب'!$N$4:$N$203,0),0)=0,"",INDEX('كشف الحساب'!$B$4:$B$203,IFERROR(MATCH(35,'كشف الحساب'!$N$4:$N$203,0),0))),"")</f>
        <v>Inv-33</v>
      </c>
      <c r="C39" s="106" t="str">
        <f aca="false">IFERROR(IF(IFERROR(MATCH(35,'كشف الحساب'!$N$4:$N$203,0),0)=0,"",INDEX('كشف الحساب'!$C$4:$C$203,IFERROR(MATCH(35,'كشف الحساب'!$N$4:$N$203,0),0))),"")</f>
        <v>برازيليا عدد 75 الحبه 0.500</v>
      </c>
      <c r="D39" s="107" t="n">
        <f aca="false">IFERROR(IF(IFERROR(MATCH(35,'كشف الحساب'!$N$4:$N$203,0),0)=0,"",INDEX('كشف الحساب'!$D$4:$D$203,IFERROR(MATCH(35,'كشف الحساب'!$N$4:$N$203,0),0))),"")</f>
        <v>0</v>
      </c>
      <c r="E39" s="108" t="n">
        <f aca="false">IFERROR(IF(IFERROR(MATCH(35,'كشف الحساب'!$N$4:$N$203,0),0)=0,"",INDEX('كشف الحساب'!$E$4:$E$203,IFERROR(MATCH(35,'كشف الحساب'!$N$4:$N$203,0),0))),"")</f>
        <v>37.5</v>
      </c>
      <c r="F39" s="105" t="str">
        <f aca="false">IFERROR(IF(IFERROR(MATCH(35,'كشف الحساب'!$N$4:$N$203,0),0)=0,"",INDEX('كشف الحساب'!$F$4:$F$203,IFERROR(MATCH(35,'كشف الحساب'!$N$4:$N$203,0),0))),"")</f>
        <v>نقداً</v>
      </c>
      <c r="G39" s="105" t="n">
        <f aca="false">IFERROR(IF(IFERROR(MATCH(35,'كشف الحساب'!$N$4:$N$203,0),0)=0,"",INDEX('كشف الحساب'!$G$4:$G$203,IFERROR(MATCH(35,'كشف الحساب'!$N$4:$N$203,0),0))),"")</f>
        <v>0</v>
      </c>
      <c r="H39" s="105" t="n">
        <f aca="false">IFERROR(IF(IFERROR(MATCH(35,'كشف الحساب'!$N$4:$N$203,0),0)=0,"",INDEX('كشف الحساب'!$H$4:$H$203,IFERROR(MATCH(35,'كشف الحساب'!$N$4:$N$203,0),0))),"")</f>
        <v>0</v>
      </c>
      <c r="I39" s="105" t="n">
        <f aca="false">IFERROR(IF(IFERROR(MATCH(35,'كشف الحساب'!$N$4:$N$203,0),0)=0,"",INDEX('كشف الحساب'!$I$4:$I$203,IFERROR(MATCH(35,'كشف الحساب'!$N$4:$N$203,0),0))),"")</f>
        <v>0</v>
      </c>
      <c r="J39" s="109" t="n">
        <f aca="false">IFERROR(IF(IFERROR(MATCH(35,'كشف الحساب'!$N$4:$N$203,0),0)=0,"",INDEX('كشف الحساب'!$J$4:$J$203,IFERROR(MATCH(35,'كشف الحساب'!$N$4:$N$203,0),0))),"")</f>
        <v>215.75</v>
      </c>
      <c r="K39" s="105" t="n">
        <f aca="false">IFERROR(IF(IFERROR(MATCH(35,'كشف الحساب'!$N$4:$N$203,0),0)=0,"",INDEX('كشف الحساب'!$K$4:$K$203,IFERROR(MATCH(35,'كشف الحساب'!$N$4:$N$203,0),0))),"")</f>
        <v>0</v>
      </c>
    </row>
    <row r="40" customFormat="false" ht="15" hidden="false" customHeight="true" outlineLevel="0" collapsed="false">
      <c r="A40" s="110" t="n">
        <f aca="false">IFERROR(IF(IFERROR(MATCH(36,'كشف الحساب'!$N$4:$N$203,0),0)=0,"",INDEX('كشف الحساب'!$A$4:$A$203,IFERROR(MATCH(36,'كشف الحساب'!$N$4:$N$203,0),0))),"")</f>
        <v>46163</v>
      </c>
      <c r="B40" s="111" t="str">
        <f aca="false">IFERROR(IF(IFERROR(MATCH(36,'كشف الحساب'!$N$4:$N$203,0),0)=0,"",INDEX('كشف الحساب'!$B$4:$B$203,IFERROR(MATCH(36,'كشف الحساب'!$N$4:$N$203,0),0))),"")</f>
        <v>Inv-34</v>
      </c>
      <c r="C40" s="112" t="str">
        <f aca="false">IFERROR(IF(IFERROR(MATCH(36,'كشف الحساب'!$N$4:$N$203,0),0)=0,"",INDEX('كشف الحساب'!$C$4:$C$203,IFERROR(MATCH(36,'كشف الحساب'!$N$4:$N$203,0),0))),"")</f>
        <v>دارسينيا احمر عدد1 حبه 2.500</v>
      </c>
      <c r="D40" s="113" t="n">
        <f aca="false">IFERROR(IF(IFERROR(MATCH(36,'كشف الحساب'!$N$4:$N$203,0),0)=0,"",INDEX('كشف الحساب'!$D$4:$D$203,IFERROR(MATCH(36,'كشف الحساب'!$N$4:$N$203,0),0))),"")</f>
        <v>0</v>
      </c>
      <c r="E40" s="114" t="n">
        <f aca="false">IFERROR(IF(IFERROR(MATCH(36,'كشف الحساب'!$N$4:$N$203,0),0)=0,"",INDEX('كشف الحساب'!$E$4:$E$203,IFERROR(MATCH(36,'كشف الحساب'!$N$4:$N$203,0),0))),"")</f>
        <v>2.5</v>
      </c>
      <c r="F40" s="111" t="str">
        <f aca="false">IFERROR(IF(IFERROR(MATCH(36,'كشف الحساب'!$N$4:$N$203,0),0)=0,"",INDEX('كشف الحساب'!$F$4:$F$203,IFERROR(MATCH(36,'كشف الحساب'!$N$4:$N$203,0),0))),"")</f>
        <v>نقداً</v>
      </c>
      <c r="G40" s="111" t="n">
        <f aca="false">IFERROR(IF(IFERROR(MATCH(36,'كشف الحساب'!$N$4:$N$203,0),0)=0,"",INDEX('كشف الحساب'!$G$4:$G$203,IFERROR(MATCH(36,'كشف الحساب'!$N$4:$N$203,0),0))),"")</f>
        <v>0</v>
      </c>
      <c r="H40" s="111" t="n">
        <f aca="false">IFERROR(IF(IFERROR(MATCH(36,'كشف الحساب'!$N$4:$N$203,0),0)=0,"",INDEX('كشف الحساب'!$H$4:$H$203,IFERROR(MATCH(36,'كشف الحساب'!$N$4:$N$203,0),0))),"")</f>
        <v>0</v>
      </c>
      <c r="I40" s="111" t="n">
        <f aca="false">IFERROR(IF(IFERROR(MATCH(36,'كشف الحساب'!$N$4:$N$203,0),0)=0,"",INDEX('كشف الحساب'!$I$4:$I$203,IFERROR(MATCH(36,'كشف الحساب'!$N$4:$N$203,0),0))),"")</f>
        <v>0</v>
      </c>
      <c r="J40" s="115" t="n">
        <f aca="false">IFERROR(IF(IFERROR(MATCH(36,'كشف الحساب'!$N$4:$N$203,0),0)=0,"",INDEX('كشف الحساب'!$J$4:$J$203,IFERROR(MATCH(36,'كشف الحساب'!$N$4:$N$203,0),0))),"")</f>
        <v>218.25</v>
      </c>
      <c r="K40" s="111" t="n">
        <f aca="false">IFERROR(IF(IFERROR(MATCH(36,'كشف الحساب'!$N$4:$N$203,0),0)=0,"",INDEX('كشف الحساب'!$K$4:$K$203,IFERROR(MATCH(36,'كشف الحساب'!$N$4:$N$203,0),0))),"")</f>
        <v>0</v>
      </c>
    </row>
    <row r="41" customFormat="false" ht="15" hidden="false" customHeight="true" outlineLevel="0" collapsed="false">
      <c r="A41" s="104" t="n">
        <f aca="false">IFERROR(IF(IFERROR(MATCH(37,'كشف الحساب'!$N$4:$N$203,0),0)=0,"",INDEX('كشف الحساب'!$A$4:$A$203,IFERROR(MATCH(37,'كشف الحساب'!$N$4:$N$203,0),0))),"")</f>
        <v>46164</v>
      </c>
      <c r="B41" s="105" t="str">
        <f aca="false">IFERROR(IF(IFERROR(MATCH(37,'كشف الحساب'!$N$4:$N$203,0),0)=0,"",INDEX('كشف الحساب'!$B$4:$B$203,IFERROR(MATCH(37,'كشف الحساب'!$N$4:$N$203,0),0))),"")</f>
        <v>Inv-35</v>
      </c>
      <c r="C41" s="106" t="str">
        <f aca="false">IFERROR(IF(IFERROR(MATCH(37,'كشف الحساب'!$N$4:$N$203,0),0)=0,"",INDEX('كشف الحساب'!$C$4:$C$203,IFERROR(MATCH(37,'كشف الحساب'!$N$4:$N$203,0),0))),"")</f>
        <v>دارسينا حمراء عدد 6 الحبه 2,500</v>
      </c>
      <c r="D41" s="107" t="n">
        <f aca="false">IFERROR(IF(IFERROR(MATCH(37,'كشف الحساب'!$N$4:$N$203,0),0)=0,"",INDEX('كشف الحساب'!$D$4:$D$203,IFERROR(MATCH(37,'كشف الحساب'!$N$4:$N$203,0),0))),"")</f>
        <v>0</v>
      </c>
      <c r="E41" s="108" t="n">
        <f aca="false">IFERROR(IF(IFERROR(MATCH(37,'كشف الحساب'!$N$4:$N$203,0),0)=0,"",INDEX('كشف الحساب'!$E$4:$E$203,IFERROR(MATCH(37,'كشف الحساب'!$N$4:$N$203,0),0))),"")</f>
        <v>15</v>
      </c>
      <c r="F41" s="105" t="str">
        <f aca="false">IFERROR(IF(IFERROR(MATCH(37,'كشف الحساب'!$N$4:$N$203,0),0)=0,"",INDEX('كشف الحساب'!$F$4:$F$203,IFERROR(MATCH(37,'كشف الحساب'!$N$4:$N$203,0),0))),"")</f>
        <v>نقداً</v>
      </c>
      <c r="G41" s="105" t="n">
        <f aca="false">IFERROR(IF(IFERROR(MATCH(37,'كشف الحساب'!$N$4:$N$203,0),0)=0,"",INDEX('كشف الحساب'!$G$4:$G$203,IFERROR(MATCH(37,'كشف الحساب'!$N$4:$N$203,0),0))),"")</f>
        <v>0</v>
      </c>
      <c r="H41" s="105" t="n">
        <f aca="false">IFERROR(IF(IFERROR(MATCH(37,'كشف الحساب'!$N$4:$N$203,0),0)=0,"",INDEX('كشف الحساب'!$H$4:$H$203,IFERROR(MATCH(37,'كشف الحساب'!$N$4:$N$203,0),0))),"")</f>
        <v>0</v>
      </c>
      <c r="I41" s="105" t="n">
        <f aca="false">IFERROR(IF(IFERROR(MATCH(37,'كشف الحساب'!$N$4:$N$203,0),0)=0,"",INDEX('كشف الحساب'!$I$4:$I$203,IFERROR(MATCH(37,'كشف الحساب'!$N$4:$N$203,0),0))),"")</f>
        <v>0</v>
      </c>
      <c r="J41" s="109" t="n">
        <f aca="false">IFERROR(IF(IFERROR(MATCH(37,'كشف الحساب'!$N$4:$N$203,0),0)=0,"",INDEX('كشف الحساب'!$J$4:$J$203,IFERROR(MATCH(37,'كشف الحساب'!$N$4:$N$203,0),0))),"")</f>
        <v>233.25</v>
      </c>
      <c r="K41" s="105" t="n">
        <f aca="false">IFERROR(IF(IFERROR(MATCH(37,'كشف الحساب'!$N$4:$N$203,0),0)=0,"",INDEX('كشف الحساب'!$K$4:$K$203,IFERROR(MATCH(37,'كشف الحساب'!$N$4:$N$203,0),0))),"")</f>
        <v>0</v>
      </c>
    </row>
    <row r="42" customFormat="false" ht="15" hidden="false" customHeight="true" outlineLevel="0" collapsed="false">
      <c r="A42" s="110" t="n">
        <f aca="false">IFERROR(IF(IFERROR(MATCH(38,'كشف الحساب'!$N$4:$N$203,0),0)=0,"",INDEX('كشف الحساب'!$A$4:$A$203,IFERROR(MATCH(38,'كشف الحساب'!$N$4:$N$203,0),0))),"")</f>
        <v>46164</v>
      </c>
      <c r="B42" s="111" t="str">
        <f aca="false">IFERROR(IF(IFERROR(MATCH(38,'كشف الحساب'!$N$4:$N$203,0),0)=0,"",INDEX('كشف الحساب'!$B$4:$B$203,IFERROR(MATCH(38,'كشف الحساب'!$N$4:$N$203,0),0))),"")</f>
        <v>Inv-36</v>
      </c>
      <c r="C42" s="112" t="str">
        <f aca="false">IFERROR(IF(IFERROR(MATCH(38,'كشف الحساب'!$N$4:$N$203,0),0)=0,"",INDEX('كشف الحساب'!$C$4:$C$203,IFERROR(MATCH(38,'كشف الحساب'!$N$4:$N$203,0),0))),"")</f>
        <v>ربل عدد4 الحبه 1.500</v>
      </c>
      <c r="D42" s="113" t="n">
        <f aca="false">IFERROR(IF(IFERROR(MATCH(38,'كشف الحساب'!$N$4:$N$203,0),0)=0,"",INDEX('كشف الحساب'!$D$4:$D$203,IFERROR(MATCH(38,'كشف الحساب'!$N$4:$N$203,0),0))),"")</f>
        <v>0</v>
      </c>
      <c r="E42" s="114" t="n">
        <f aca="false">IFERROR(IF(IFERROR(MATCH(38,'كشف الحساب'!$N$4:$N$203,0),0)=0,"",INDEX('كشف الحساب'!$E$4:$E$203,IFERROR(MATCH(38,'كشف الحساب'!$N$4:$N$203,0),0))),"")</f>
        <v>6</v>
      </c>
      <c r="F42" s="111" t="str">
        <f aca="false">IFERROR(IF(IFERROR(MATCH(38,'كشف الحساب'!$N$4:$N$203,0),0)=0,"",INDEX('كشف الحساب'!$F$4:$F$203,IFERROR(MATCH(38,'كشف الحساب'!$N$4:$N$203,0),0))),"")</f>
        <v>نقداً</v>
      </c>
      <c r="G42" s="111" t="n">
        <f aca="false">IFERROR(IF(IFERROR(MATCH(38,'كشف الحساب'!$N$4:$N$203,0),0)=0,"",INDEX('كشف الحساب'!$G$4:$G$203,IFERROR(MATCH(38,'كشف الحساب'!$N$4:$N$203,0),0))),"")</f>
        <v>0</v>
      </c>
      <c r="H42" s="111" t="n">
        <f aca="false">IFERROR(IF(IFERROR(MATCH(38,'كشف الحساب'!$N$4:$N$203,0),0)=0,"",INDEX('كشف الحساب'!$H$4:$H$203,IFERROR(MATCH(38,'كشف الحساب'!$N$4:$N$203,0),0))),"")</f>
        <v>0</v>
      </c>
      <c r="I42" s="111" t="n">
        <f aca="false">IFERROR(IF(IFERROR(MATCH(38,'كشف الحساب'!$N$4:$N$203,0),0)=0,"",INDEX('كشف الحساب'!$I$4:$I$203,IFERROR(MATCH(38,'كشف الحساب'!$N$4:$N$203,0),0))),"")</f>
        <v>0</v>
      </c>
      <c r="J42" s="115" t="n">
        <f aca="false">IFERROR(IF(IFERROR(MATCH(38,'كشف الحساب'!$N$4:$N$203,0),0)=0,"",INDEX('كشف الحساب'!$J$4:$J$203,IFERROR(MATCH(38,'كشف الحساب'!$N$4:$N$203,0),0))),"")</f>
        <v>239.25</v>
      </c>
      <c r="K42" s="111" t="n">
        <f aca="false">IFERROR(IF(IFERROR(MATCH(38,'كشف الحساب'!$N$4:$N$203,0),0)=0,"",INDEX('كشف الحساب'!$K$4:$K$203,IFERROR(MATCH(38,'كشف الحساب'!$N$4:$N$203,0),0))),"")</f>
        <v>0</v>
      </c>
    </row>
    <row r="43" customFormat="false" ht="15" hidden="false" customHeight="true" outlineLevel="0" collapsed="false">
      <c r="A43" s="104" t="n">
        <f aca="false">IFERROR(IF(IFERROR(MATCH(39,'كشف الحساب'!$N$4:$N$203,0),0)=0,"",INDEX('كشف الحساب'!$A$4:$A$203,IFERROR(MATCH(39,'كشف الحساب'!$N$4:$N$203,0),0))),"")</f>
        <v>46167</v>
      </c>
      <c r="B43" s="105" t="str">
        <f aca="false">IFERROR(IF(IFERROR(MATCH(39,'كشف الحساب'!$N$4:$N$203,0),0)=0,"",INDEX('كشف الحساب'!$B$4:$B$203,IFERROR(MATCH(39,'كشف الحساب'!$N$4:$N$203,0),0))),"")</f>
        <v>Inv-37</v>
      </c>
      <c r="C43" s="106" t="str">
        <f aca="false">IFERROR(IF(IFERROR(MATCH(39,'كشف الحساب'!$N$4:$N$203,0),0)=0,"",INDEX('كشف الحساب'!$C$4:$C$203,IFERROR(MATCH(39,'كشف الحساب'!$N$4:$N$203,0),0))),"")</f>
        <v>عطره عدد 10 الحبه 0.750</v>
      </c>
      <c r="D43" s="107" t="n">
        <f aca="false">IFERROR(IF(IFERROR(MATCH(39,'كشف الحساب'!$N$4:$N$203,0),0)=0,"",INDEX('كشف الحساب'!$D$4:$D$203,IFERROR(MATCH(39,'كشف الحساب'!$N$4:$N$203,0),0))),"")</f>
        <v>0</v>
      </c>
      <c r="E43" s="108" t="n">
        <f aca="false">IFERROR(IF(IFERROR(MATCH(39,'كشف الحساب'!$N$4:$N$203,0),0)=0,"",INDEX('كشف الحساب'!$E$4:$E$203,IFERROR(MATCH(39,'كشف الحساب'!$N$4:$N$203,0),0))),"")</f>
        <v>7.5</v>
      </c>
      <c r="F43" s="105" t="str">
        <f aca="false">IFERROR(IF(IFERROR(MATCH(39,'كشف الحساب'!$N$4:$N$203,0),0)=0,"",INDEX('كشف الحساب'!$F$4:$F$203,IFERROR(MATCH(39,'كشف الحساب'!$N$4:$N$203,0),0))),"")</f>
        <v>نقداً</v>
      </c>
      <c r="G43" s="105" t="n">
        <f aca="false">IFERROR(IF(IFERROR(MATCH(39,'كشف الحساب'!$N$4:$N$203,0),0)=0,"",INDEX('كشف الحساب'!$G$4:$G$203,IFERROR(MATCH(39,'كشف الحساب'!$N$4:$N$203,0),0))),"")</f>
        <v>0</v>
      </c>
      <c r="H43" s="105" t="n">
        <f aca="false">IFERROR(IF(IFERROR(MATCH(39,'كشف الحساب'!$N$4:$N$203,0),0)=0,"",INDEX('كشف الحساب'!$H$4:$H$203,IFERROR(MATCH(39,'كشف الحساب'!$N$4:$N$203,0),0))),"")</f>
        <v>0</v>
      </c>
      <c r="I43" s="105" t="n">
        <f aca="false">IFERROR(IF(IFERROR(MATCH(39,'كشف الحساب'!$N$4:$N$203,0),0)=0,"",INDEX('كشف الحساب'!$I$4:$I$203,IFERROR(MATCH(39,'كشف الحساب'!$N$4:$N$203,0),0))),"")</f>
        <v>0</v>
      </c>
      <c r="J43" s="109" t="n">
        <f aca="false">IFERROR(IF(IFERROR(MATCH(39,'كشف الحساب'!$N$4:$N$203,0),0)=0,"",INDEX('كشف الحساب'!$J$4:$J$203,IFERROR(MATCH(39,'كشف الحساب'!$N$4:$N$203,0),0))),"")</f>
        <v>246.75</v>
      </c>
      <c r="K43" s="105" t="n">
        <f aca="false">IFERROR(IF(IFERROR(MATCH(39,'كشف الحساب'!$N$4:$N$203,0),0)=0,"",INDEX('كشف الحساب'!$K$4:$K$203,IFERROR(MATCH(39,'كشف الحساب'!$N$4:$N$203,0),0))),"")</f>
        <v>0</v>
      </c>
    </row>
    <row r="44" customFormat="false" ht="15" hidden="false" customHeight="true" outlineLevel="0" collapsed="false">
      <c r="A44" s="110" t="n">
        <f aca="false">IFERROR(IF(IFERROR(MATCH(40,'كشف الحساب'!$N$4:$N$203,0),0)=0,"",INDEX('كشف الحساب'!$A$4:$A$203,IFERROR(MATCH(40,'كشف الحساب'!$N$4:$N$203,0),0))),"")</f>
        <v>46167</v>
      </c>
      <c r="B44" s="111" t="str">
        <f aca="false">IFERROR(IF(IFERROR(MATCH(40,'كشف الحساب'!$N$4:$N$203,0),0)=0,"",INDEX('كشف الحساب'!$B$4:$B$203,IFERROR(MATCH(40,'كشف الحساب'!$N$4:$N$203,0),0))),"")</f>
        <v>Inv-38</v>
      </c>
      <c r="C44" s="112" t="str">
        <f aca="false">IFERROR(IF(IFERROR(MATCH(40,'كشف الحساب'!$N$4:$N$203,0),0)=0,"",INDEX('كشف الحساب'!$C$4:$C$203,IFERROR(MATCH(40,'كشف الحساب'!$N$4:$N$203,0),0))),"")</f>
        <v>ودليه عدد 2 الحبه 1</v>
      </c>
      <c r="D44" s="113" t="n">
        <f aca="false">IFERROR(IF(IFERROR(MATCH(40,'كشف الحساب'!$N$4:$N$203,0),0)=0,"",INDEX('كشف الحساب'!$D$4:$D$203,IFERROR(MATCH(40,'كشف الحساب'!$N$4:$N$203,0),0))),"")</f>
        <v>0</v>
      </c>
      <c r="E44" s="114" t="n">
        <f aca="false">IFERROR(IF(IFERROR(MATCH(40,'كشف الحساب'!$N$4:$N$203,0),0)=0,"",INDEX('كشف الحساب'!$E$4:$E$203,IFERROR(MATCH(40,'كشف الحساب'!$N$4:$N$203,0),0))),"")</f>
        <v>2</v>
      </c>
      <c r="F44" s="111" t="str">
        <f aca="false">IFERROR(IF(IFERROR(MATCH(40,'كشف الحساب'!$N$4:$N$203,0),0)=0,"",INDEX('كشف الحساب'!$F$4:$F$203,IFERROR(MATCH(40,'كشف الحساب'!$N$4:$N$203,0),0))),"")</f>
        <v>نقداً</v>
      </c>
      <c r="G44" s="111" t="n">
        <f aca="false">IFERROR(IF(IFERROR(MATCH(40,'كشف الحساب'!$N$4:$N$203,0),0)=0,"",INDEX('كشف الحساب'!$G$4:$G$203,IFERROR(MATCH(40,'كشف الحساب'!$N$4:$N$203,0),0))),"")</f>
        <v>0</v>
      </c>
      <c r="H44" s="111" t="n">
        <f aca="false">IFERROR(IF(IFERROR(MATCH(40,'كشف الحساب'!$N$4:$N$203,0),0)=0,"",INDEX('كشف الحساب'!$H$4:$H$203,IFERROR(MATCH(40,'كشف الحساب'!$N$4:$N$203,0),0))),"")</f>
        <v>0</v>
      </c>
      <c r="I44" s="111" t="n">
        <f aca="false">IFERROR(IF(IFERROR(MATCH(40,'كشف الحساب'!$N$4:$N$203,0),0)=0,"",INDEX('كشف الحساب'!$I$4:$I$203,IFERROR(MATCH(40,'كشف الحساب'!$N$4:$N$203,0),0))),"")</f>
        <v>0</v>
      </c>
      <c r="J44" s="115" t="n">
        <f aca="false">IFERROR(IF(IFERROR(MATCH(40,'كشف الحساب'!$N$4:$N$203,0),0)=0,"",INDEX('كشف الحساب'!$J$4:$J$203,IFERROR(MATCH(40,'كشف الحساب'!$N$4:$N$203,0),0))),"")</f>
        <v>248.75</v>
      </c>
      <c r="K44" s="111" t="n">
        <f aca="false">IFERROR(IF(IFERROR(MATCH(40,'كشف الحساب'!$N$4:$N$203,0),0)=0,"",INDEX('كشف الحساب'!$K$4:$K$203,IFERROR(MATCH(40,'كشف الحساب'!$N$4:$N$203,0),0))),"")</f>
        <v>0</v>
      </c>
    </row>
    <row r="45" customFormat="false" ht="15" hidden="false" customHeight="true" outlineLevel="0" collapsed="false">
      <c r="A45" s="104" t="n">
        <f aca="false">IFERROR(IF(IFERROR(MATCH(41,'كشف الحساب'!$N$4:$N$203,0),0)=0,"",INDEX('كشف الحساب'!$A$4:$A$203,IFERROR(MATCH(41,'كشف الحساب'!$N$4:$N$203,0),0))),"")</f>
        <v>46167</v>
      </c>
      <c r="B45" s="105" t="str">
        <f aca="false">IFERROR(IF(IFERROR(MATCH(41,'كشف الحساب'!$N$4:$N$203,0),0)=0,"",INDEX('كشف الحساب'!$B$4:$B$203,IFERROR(MATCH(41,'كشف الحساب'!$N$4:$N$203,0),0))),"")</f>
        <v>Inv-39</v>
      </c>
      <c r="C45" s="106" t="str">
        <f aca="false">IFERROR(IF(IFERROR(MATCH(41,'كشف الحساب'!$N$4:$N$203,0),0)=0,"",INDEX('كشف الحساب'!$C$4:$C$203,IFERROR(MATCH(41,'كشف الحساب'!$N$4:$N$203,0),0))),"")</f>
        <v>داراسينا حمراء عدد4 الحبه 1</v>
      </c>
      <c r="D45" s="107" t="n">
        <f aca="false">IFERROR(IF(IFERROR(MATCH(41,'كشف الحساب'!$N$4:$N$203,0),0)=0,"",INDEX('كشف الحساب'!$D$4:$D$203,IFERROR(MATCH(41,'كشف الحساب'!$N$4:$N$203,0),0))),"")</f>
        <v>0</v>
      </c>
      <c r="E45" s="108" t="n">
        <f aca="false">IFERROR(IF(IFERROR(MATCH(41,'كشف الحساب'!$N$4:$N$203,0),0)=0,"",INDEX('كشف الحساب'!$E$4:$E$203,IFERROR(MATCH(41,'كشف الحساب'!$N$4:$N$203,0),0))),"")</f>
        <v>4</v>
      </c>
      <c r="F45" s="105" t="str">
        <f aca="false">IFERROR(IF(IFERROR(MATCH(41,'كشف الحساب'!$N$4:$N$203,0),0)=0,"",INDEX('كشف الحساب'!$F$4:$F$203,IFERROR(MATCH(41,'كشف الحساب'!$N$4:$N$203,0),0))),"")</f>
        <v>نقداً</v>
      </c>
      <c r="G45" s="105" t="n">
        <f aca="false">IFERROR(IF(IFERROR(MATCH(41,'كشف الحساب'!$N$4:$N$203,0),0)=0,"",INDEX('كشف الحساب'!$G$4:$G$203,IFERROR(MATCH(41,'كشف الحساب'!$N$4:$N$203,0),0))),"")</f>
        <v>0</v>
      </c>
      <c r="H45" s="105" t="n">
        <f aca="false">IFERROR(IF(IFERROR(MATCH(41,'كشف الحساب'!$N$4:$N$203,0),0)=0,"",INDEX('كشف الحساب'!$H$4:$H$203,IFERROR(MATCH(41,'كشف الحساب'!$N$4:$N$203,0),0))),"")</f>
        <v>0</v>
      </c>
      <c r="I45" s="105" t="n">
        <f aca="false">IFERROR(IF(IFERROR(MATCH(41,'كشف الحساب'!$N$4:$N$203,0),0)=0,"",INDEX('كشف الحساب'!$I$4:$I$203,IFERROR(MATCH(41,'كشف الحساب'!$N$4:$N$203,0),0))),"")</f>
        <v>0</v>
      </c>
      <c r="J45" s="109" t="n">
        <f aca="false">IFERROR(IF(IFERROR(MATCH(41,'كشف الحساب'!$N$4:$N$203,0),0)=0,"",INDEX('كشف الحساب'!$J$4:$J$203,IFERROR(MATCH(41,'كشف الحساب'!$N$4:$N$203,0),0))),"")</f>
        <v>252.75</v>
      </c>
      <c r="K45" s="105" t="n">
        <f aca="false">IFERROR(IF(IFERROR(MATCH(41,'كشف الحساب'!$N$4:$N$203,0),0)=0,"",INDEX('كشف الحساب'!$K$4:$K$203,IFERROR(MATCH(41,'كشف الحساب'!$N$4:$N$203,0),0))),"")</f>
        <v>0</v>
      </c>
    </row>
    <row r="46" customFormat="false" ht="15" hidden="false" customHeight="true" outlineLevel="0" collapsed="false">
      <c r="A46" s="110" t="n">
        <f aca="false">IFERROR(IF(IFERROR(MATCH(42,'كشف الحساب'!$N$4:$N$203,0),0)=0,"",INDEX('كشف الحساب'!$A$4:$A$203,IFERROR(MATCH(42,'كشف الحساب'!$N$4:$N$203,0),0))),"")</f>
        <v>46167</v>
      </c>
      <c r="B46" s="111" t="n">
        <f aca="false">IFERROR(IF(IFERROR(MATCH(42,'كشف الحساب'!$N$4:$N$203,0),0)=0,"",INDEX('كشف الحساب'!$B$4:$B$203,IFERROR(MATCH(42,'كشف الحساب'!$N$4:$N$203,0),0))),"")</f>
        <v>0</v>
      </c>
      <c r="C46" s="112" t="str">
        <f aca="false">IFERROR(IF(IFERROR(MATCH(42,'كشف الحساب'!$N$4:$N$203,0),0)=0,"",INDEX('كشف الحساب'!$C$4:$C$203,IFERROR(MATCH(42,'كشف الحساب'!$N$4:$N$203,0),0))),"")</f>
        <v>يزل ماكينه كهرباء</v>
      </c>
      <c r="D46" s="113" t="n">
        <f aca="false">IFERROR(IF(IFERROR(MATCH(42,'كشف الحساب'!$N$4:$N$203,0),0)=0,"",INDEX('كشف الحساب'!$D$4:$D$203,IFERROR(MATCH(42,'كشف الحساب'!$N$4:$N$203,0),0))),"")</f>
        <v>26</v>
      </c>
      <c r="E46" s="114" t="n">
        <f aca="false">IFERROR(IF(IFERROR(MATCH(42,'كشف الحساب'!$N$4:$N$203,0),0)=0,"",INDEX('كشف الحساب'!$E$4:$E$203,IFERROR(MATCH(42,'كشف الحساب'!$N$4:$N$203,0),0))),"")</f>
        <v>0</v>
      </c>
      <c r="F46" s="111" t="str">
        <f aca="false">IFERROR(IF(IFERROR(MATCH(42,'كشف الحساب'!$N$4:$N$203,0),0)=0,"",INDEX('كشف الحساب'!$F$4:$F$203,IFERROR(MATCH(42,'كشف الحساب'!$N$4:$N$203,0),0))),"")</f>
        <v>أحد الشركاء</v>
      </c>
      <c r="G46" s="111" t="str">
        <f aca="false">IFERROR(IF(IFERROR(MATCH(42,'كشف الحساب'!$N$4:$N$203,0),0)=0,"",INDEX('كشف الحساب'!$G$4:$G$203,IFERROR(MATCH(42,'كشف الحساب'!$N$4:$N$203,0),0))),"")</f>
        <v>أبو اسحاق</v>
      </c>
      <c r="H46" s="111" t="str">
        <f aca="false">IFERROR(IF(IFERROR(MATCH(42,'كشف الحساب'!$N$4:$N$203,0),0)=0,"",INDEX('كشف الحساب'!$H$4:$H$203,IFERROR(MATCH(42,'كشف الحساب'!$N$4:$N$203,0),0))),"")</f>
        <v>معلق</v>
      </c>
      <c r="I46" s="111" t="n">
        <f aca="false">IFERROR(IF(IFERROR(MATCH(42,'كشف الحساب'!$N$4:$N$203,0),0)=0,"",INDEX('كشف الحساب'!$I$4:$I$203,IFERROR(MATCH(42,'كشف الحساب'!$N$4:$N$203,0),0))),"")</f>
        <v>0</v>
      </c>
      <c r="J46" s="115" t="n">
        <f aca="false">IFERROR(IF(IFERROR(MATCH(42,'كشف الحساب'!$N$4:$N$203,0),0)=0,"",INDEX('كشف الحساب'!$J$4:$J$203,IFERROR(MATCH(42,'كشف الحساب'!$N$4:$N$203,0),0))),"")</f>
        <v>252.75</v>
      </c>
      <c r="K46" s="111" t="n">
        <f aca="false">IFERROR(IF(IFERROR(MATCH(42,'كشف الحساب'!$N$4:$N$203,0),0)=0,"",INDEX('كشف الحساب'!$K$4:$K$203,IFERROR(MATCH(42,'كشف الحساب'!$N$4:$N$203,0),0))),"")</f>
        <v>0</v>
      </c>
    </row>
    <row r="47" customFormat="false" ht="15" hidden="false" customHeight="true" outlineLevel="0" collapsed="false">
      <c r="A47" s="104" t="n">
        <f aca="false">IFERROR(IF(IFERROR(MATCH(43,'كشف الحساب'!$N$4:$N$203,0),0)=0,"",INDEX('كشف الحساب'!$A$4:$A$203,IFERROR(MATCH(43,'كشف الحساب'!$N$4:$N$203,0),0))),"")</f>
        <v>46167</v>
      </c>
      <c r="B47" s="105" t="n">
        <f aca="false">IFERROR(IF(IFERROR(MATCH(43,'كشف الحساب'!$N$4:$N$203,0),0)=0,"",INDEX('كشف الحساب'!$B$4:$B$203,IFERROR(MATCH(43,'كشف الحساب'!$N$4:$N$203,0),0))),"")</f>
        <v>0</v>
      </c>
      <c r="C47" s="106" t="str">
        <f aca="false">IFERROR(IF(IFERROR(MATCH(43,'كشف الحساب'!$N$4:$N$203,0),0)=0,"",INDEX('كشف الحساب'!$C$4:$C$203,IFERROR(MATCH(43,'كشف الحساب'!$N$4:$N$203,0),0))),"")</f>
        <v>راتب عماله مايو 2025</v>
      </c>
      <c r="D47" s="107" t="n">
        <f aca="false">IFERROR(IF(IFERROR(MATCH(43,'كشف الحساب'!$N$4:$N$203,0),0)=0,"",INDEX('كشف الحساب'!$D$4:$D$203,IFERROR(MATCH(43,'كشف الحساب'!$N$4:$N$203,0),0))),"")</f>
        <v>250</v>
      </c>
      <c r="E47" s="108" t="n">
        <f aca="false">IFERROR(IF(IFERROR(MATCH(43,'كشف الحساب'!$N$4:$N$203,0),0)=0,"",INDEX('كشف الحساب'!$E$4:$E$203,IFERROR(MATCH(43,'كشف الحساب'!$N$4:$N$203,0),0))),"")</f>
        <v>0</v>
      </c>
      <c r="F47" s="105" t="str">
        <f aca="false">IFERROR(IF(IFERROR(MATCH(43,'كشف الحساب'!$N$4:$N$203,0),0)=0,"",INDEX('كشف الحساب'!$F$4:$F$203,IFERROR(MATCH(43,'كشف الحساب'!$N$4:$N$203,0),0))),"")</f>
        <v>أحد الشركاء</v>
      </c>
      <c r="G47" s="105" t="str">
        <f aca="false">IFERROR(IF(IFERROR(MATCH(43,'كشف الحساب'!$N$4:$N$203,0),0)=0,"",INDEX('كشف الحساب'!$G$4:$G$203,IFERROR(MATCH(43,'كشف الحساب'!$N$4:$N$203,0),0))),"")</f>
        <v>أبو آدم</v>
      </c>
      <c r="H47" s="105" t="str">
        <f aca="false">IFERROR(IF(IFERROR(MATCH(43,'كشف الحساب'!$N$4:$N$203,0),0)=0,"",INDEX('كشف الحساب'!$H$4:$H$203,IFERROR(MATCH(43,'كشف الحساب'!$N$4:$N$203,0),0))),"")</f>
        <v>معلق</v>
      </c>
      <c r="I47" s="105" t="str">
        <f aca="false">IFERROR(IF(IFERROR(MATCH(43,'كشف الحساب'!$N$4:$N$203,0),0)=0,"",INDEX('كشف الحساب'!$I$4:$I$203,IFERROR(MATCH(43,'كشف الحساب'!$N$4:$N$203,0),0))),"")</f>
        <v>رواتب العمال</v>
      </c>
      <c r="J47" s="109" t="n">
        <f aca="false">IFERROR(IF(IFERROR(MATCH(43,'كشف الحساب'!$N$4:$N$203,0),0)=0,"",INDEX('كشف الحساب'!$J$4:$J$203,IFERROR(MATCH(43,'كشف الحساب'!$N$4:$N$203,0),0))),"")</f>
        <v>252.75</v>
      </c>
      <c r="K47" s="105" t="n">
        <f aca="false">IFERROR(IF(IFERROR(MATCH(43,'كشف الحساب'!$N$4:$N$203,0),0)=0,"",INDEX('كشف الحساب'!$K$4:$K$203,IFERROR(MATCH(43,'كشف الحساب'!$N$4:$N$203,0),0))),"")</f>
        <v>0</v>
      </c>
    </row>
    <row r="48" customFormat="false" ht="15" hidden="false" customHeight="true" outlineLevel="0" collapsed="false">
      <c r="A48" s="110" t="n">
        <f aca="false">IFERROR(IF(IFERROR(MATCH(44,'كشف الحساب'!$N$4:$N$203,0),0)=0,"",INDEX('كشف الحساب'!$A$4:$A$203,IFERROR(MATCH(44,'كشف الحساب'!$N$4:$N$203,0),0))),"")</f>
        <v>46167</v>
      </c>
      <c r="B48" s="111" t="n">
        <f aca="false">IFERROR(IF(IFERROR(MATCH(44,'كشف الحساب'!$N$4:$N$203,0),0)=0,"",INDEX('كشف الحساب'!$B$4:$B$203,IFERROR(MATCH(44,'كشف الحساب'!$N$4:$N$203,0),0))),"")</f>
        <v>0</v>
      </c>
      <c r="C48" s="112" t="str">
        <f aca="false">IFERROR(IF(IFERROR(MATCH(44,'كشف الحساب'!$N$4:$N$203,0),0)=0,"",INDEX('كشف الحساب'!$C$4:$C$203,IFERROR(MATCH(44,'كشف الحساب'!$N$4:$N$203,0),0))),"")</f>
        <v>راتب عماله مايو 2025</v>
      </c>
      <c r="D48" s="113" t="n">
        <f aca="false">IFERROR(IF(IFERROR(MATCH(44,'كشف الحساب'!$N$4:$N$203,0),0)=0,"",INDEX('كشف الحساب'!$D$4:$D$203,IFERROR(MATCH(44,'كشف الحساب'!$N$4:$N$203,0),0))),"")</f>
        <v>250</v>
      </c>
      <c r="E48" s="114" t="n">
        <f aca="false">IFERROR(IF(IFERROR(MATCH(44,'كشف الحساب'!$N$4:$N$203,0),0)=0,"",INDEX('كشف الحساب'!$E$4:$E$203,IFERROR(MATCH(44,'كشف الحساب'!$N$4:$N$203,0),0))),"")</f>
        <v>0</v>
      </c>
      <c r="F48" s="111" t="str">
        <f aca="false">IFERROR(IF(IFERROR(MATCH(44,'كشف الحساب'!$N$4:$N$203,0),0)=0,"",INDEX('كشف الحساب'!$F$4:$F$203,IFERROR(MATCH(44,'كشف الحساب'!$N$4:$N$203,0),0))),"")</f>
        <v>أحد الشركاء</v>
      </c>
      <c r="G48" s="111" t="str">
        <f aca="false">IFERROR(IF(IFERROR(MATCH(44,'كشف الحساب'!$N$4:$N$203,0),0)=0,"",INDEX('كشف الحساب'!$G$4:$G$203,IFERROR(MATCH(44,'كشف الحساب'!$N$4:$N$203,0),0))),"")</f>
        <v>أبو اسحاق</v>
      </c>
      <c r="H48" s="111" t="str">
        <f aca="false">IFERROR(IF(IFERROR(MATCH(44,'كشف الحساب'!$N$4:$N$203,0),0)=0,"",INDEX('كشف الحساب'!$H$4:$H$203,IFERROR(MATCH(44,'كشف الحساب'!$N$4:$N$203,0),0))),"")</f>
        <v>معلق</v>
      </c>
      <c r="I48" s="111" t="str">
        <f aca="false">IFERROR(IF(IFERROR(MATCH(44,'كشف الحساب'!$N$4:$N$203,0),0)=0,"",INDEX('كشف الحساب'!$I$4:$I$203,IFERROR(MATCH(44,'كشف الحساب'!$N$4:$N$203,0),0))),"")</f>
        <v>رواتب العمال</v>
      </c>
      <c r="J48" s="115" t="n">
        <f aca="false">IFERROR(IF(IFERROR(MATCH(44,'كشف الحساب'!$N$4:$N$203,0),0)=0,"",INDEX('كشف الحساب'!$J$4:$J$203,IFERROR(MATCH(44,'كشف الحساب'!$N$4:$N$203,0),0))),"")</f>
        <v>252.75</v>
      </c>
      <c r="K48" s="111" t="n">
        <f aca="false">IFERROR(IF(IFERROR(MATCH(44,'كشف الحساب'!$N$4:$N$203,0),0)=0,"",INDEX('كشف الحساب'!$K$4:$K$203,IFERROR(MATCH(44,'كشف الحساب'!$N$4:$N$203,0),0))),"")</f>
        <v>0</v>
      </c>
    </row>
    <row r="49" customFormat="false" ht="15" hidden="false" customHeight="true" outlineLevel="0" collapsed="false">
      <c r="A49" s="104" t="n">
        <f aca="false">IFERROR(IF(IFERROR(MATCH(45,'كشف الحساب'!$N$4:$N$203,0),0)=0,"",INDEX('كشف الحساب'!$A$4:$A$203,IFERROR(MATCH(45,'كشف الحساب'!$N$4:$N$203,0),0))),"")</f>
        <v>46146</v>
      </c>
      <c r="B49" s="105" t="str">
        <f aca="false">IFERROR(IF(IFERROR(MATCH(45,'كشف الحساب'!$N$4:$N$203,0),0)=0,"",INDEX('كشف الحساب'!$B$4:$B$203,IFERROR(MATCH(45,'كشف الحساب'!$N$4:$N$203,0),0))),"")</f>
        <v>Inv-40</v>
      </c>
      <c r="C49" s="106" t="str">
        <f aca="false">IFERROR(IF(IFERROR(MATCH(45,'كشف الحساب'!$N$4:$N$203,0),0)=0,"",INDEX('كشف الحساب'!$C$4:$C$203,IFERROR(MATCH(45,'كشف الحساب'!$N$4:$N$203,0),0))),"")</f>
        <v>other</v>
      </c>
      <c r="D49" s="107" t="n">
        <f aca="false">IFERROR(IF(IFERROR(MATCH(45,'كشف الحساب'!$N$4:$N$203,0),0)=0,"",INDEX('كشف الحساب'!$D$4:$D$203,IFERROR(MATCH(45,'كشف الحساب'!$N$4:$N$203,0),0))),"")</f>
        <v>0</v>
      </c>
      <c r="E49" s="108" t="n">
        <f aca="false">IFERROR(IF(IFERROR(MATCH(45,'كشف الحساب'!$N$4:$N$203,0),0)=0,"",INDEX('كشف الحساب'!$E$4:$E$203,IFERROR(MATCH(45,'كشف الحساب'!$N$4:$N$203,0),0))),"")</f>
        <v>9</v>
      </c>
      <c r="F49" s="105" t="str">
        <f aca="false">IFERROR(IF(IFERROR(MATCH(45,'كشف الحساب'!$N$4:$N$203,0),0)=0,"",INDEX('كشف الحساب'!$F$4:$F$203,IFERROR(MATCH(45,'كشف الحساب'!$N$4:$N$203,0),0))),"")</f>
        <v>نقداً</v>
      </c>
      <c r="G49" s="105" t="n">
        <f aca="false">IFERROR(IF(IFERROR(MATCH(45,'كشف الحساب'!$N$4:$N$203,0),0)=0,"",INDEX('كشف الحساب'!$G$4:$G$203,IFERROR(MATCH(45,'كشف الحساب'!$N$4:$N$203,0),0))),"")</f>
        <v>0</v>
      </c>
      <c r="H49" s="105" t="str">
        <f aca="false">IFERROR(IF(IFERROR(MATCH(45,'كشف الحساب'!$N$4:$N$203,0),0)=0,"",INDEX('كشف الحساب'!$H$4:$H$203,IFERROR(MATCH(45,'كشف الحساب'!$N$4:$N$203,0),0))),"")</f>
        <v>تم الدفع</v>
      </c>
      <c r="I49" s="105" t="n">
        <f aca="false">IFERROR(IF(IFERROR(MATCH(45,'كشف الحساب'!$N$4:$N$203,0),0)=0,"",INDEX('كشف الحساب'!$I$4:$I$203,IFERROR(MATCH(45,'كشف الحساب'!$N$4:$N$203,0),0))),"")</f>
        <v>0</v>
      </c>
      <c r="J49" s="109" t="n">
        <f aca="false">IFERROR(IF(IFERROR(MATCH(45,'كشف الحساب'!$N$4:$N$203,0),0)=0,"",INDEX('كشف الحساب'!$J$4:$J$203,IFERROR(MATCH(45,'كشف الحساب'!$N$4:$N$203,0),0))),"")</f>
        <v>261.75</v>
      </c>
      <c r="K49" s="105" t="n">
        <f aca="false">IFERROR(IF(IFERROR(MATCH(45,'كشف الحساب'!$N$4:$N$203,0),0)=0,"",INDEX('كشف الحساب'!$K$4:$K$203,IFERROR(MATCH(45,'كشف الحساب'!$N$4:$N$203,0),0))),"")</f>
        <v>0</v>
      </c>
    </row>
    <row r="50" customFormat="false" ht="15" hidden="false" customHeight="true" outlineLevel="0" collapsed="false">
      <c r="A50" s="110" t="n">
        <f aca="false">IFERROR(IF(IFERROR(MATCH(46,'كشف الحساب'!$N$4:$N$203,0),0)=0,"",INDEX('كشف الحساب'!$A$4:$A$203,IFERROR(MATCH(46,'كشف الحساب'!$N$4:$N$203,0),0))),"")</f>
        <v>46146</v>
      </c>
      <c r="B50" s="111" t="str">
        <f aca="false">IFERROR(IF(IFERROR(MATCH(46,'كشف الحساب'!$N$4:$N$203,0),0)=0,"",INDEX('كشف الحساب'!$B$4:$B$203,IFERROR(MATCH(46,'كشف الحساب'!$N$4:$N$203,0),0))),"")</f>
        <v>Inv-41</v>
      </c>
      <c r="C50" s="112" t="str">
        <f aca="false">IFERROR(IF(IFERROR(MATCH(46,'كشف الحساب'!$N$4:$N$203,0),0)=0,"",INDEX('كشف الحساب'!$C$4:$C$203,IFERROR(MATCH(46,'كشف الحساب'!$N$4:$N$203,0),0))),"")</f>
        <v>other</v>
      </c>
      <c r="D50" s="113" t="n">
        <f aca="false">IFERROR(IF(IFERROR(MATCH(46,'كشف الحساب'!$N$4:$N$203,0),0)=0,"",INDEX('كشف الحساب'!$D$4:$D$203,IFERROR(MATCH(46,'كشف الحساب'!$N$4:$N$203,0),0))),"")</f>
        <v>0</v>
      </c>
      <c r="E50" s="114" t="n">
        <f aca="false">IFERROR(IF(IFERROR(MATCH(46,'كشف الحساب'!$N$4:$N$203,0),0)=0,"",INDEX('كشف الحساب'!$E$4:$E$203,IFERROR(MATCH(46,'كشف الحساب'!$N$4:$N$203,0),0))),"")</f>
        <v>9</v>
      </c>
      <c r="F50" s="111" t="str">
        <f aca="false">IFERROR(IF(IFERROR(MATCH(46,'كشف الحساب'!$N$4:$N$203,0),0)=0,"",INDEX('كشف الحساب'!$F$4:$F$203,IFERROR(MATCH(46,'كشف الحساب'!$N$4:$N$203,0),0))),"")</f>
        <v>نقداً</v>
      </c>
      <c r="G50" s="111" t="n">
        <f aca="false">IFERROR(IF(IFERROR(MATCH(46,'كشف الحساب'!$N$4:$N$203,0),0)=0,"",INDEX('كشف الحساب'!$G$4:$G$203,IFERROR(MATCH(46,'كشف الحساب'!$N$4:$N$203,0),0))),"")</f>
        <v>0</v>
      </c>
      <c r="H50" s="111" t="str">
        <f aca="false">IFERROR(IF(IFERROR(MATCH(46,'كشف الحساب'!$N$4:$N$203,0),0)=0,"",INDEX('كشف الحساب'!$H$4:$H$203,IFERROR(MATCH(46,'كشف الحساب'!$N$4:$N$203,0),0))),"")</f>
        <v>تم الدفع</v>
      </c>
      <c r="I50" s="111" t="n">
        <f aca="false">IFERROR(IF(IFERROR(MATCH(46,'كشف الحساب'!$N$4:$N$203,0),0)=0,"",INDEX('كشف الحساب'!$I$4:$I$203,IFERROR(MATCH(46,'كشف الحساب'!$N$4:$N$203,0),0))),"")</f>
        <v>0</v>
      </c>
      <c r="J50" s="115" t="n">
        <f aca="false">IFERROR(IF(IFERROR(MATCH(46,'كشف الحساب'!$N$4:$N$203,0),0)=0,"",INDEX('كشف الحساب'!$J$4:$J$203,IFERROR(MATCH(46,'كشف الحساب'!$N$4:$N$203,0),0))),"")</f>
        <v>270.75</v>
      </c>
      <c r="K50" s="111" t="n">
        <f aca="false">IFERROR(IF(IFERROR(MATCH(46,'كشف الحساب'!$N$4:$N$203,0),0)=0,"",INDEX('كشف الحساب'!$K$4:$K$203,IFERROR(MATCH(46,'كشف الحساب'!$N$4:$N$203,0),0))),"")</f>
        <v>0</v>
      </c>
    </row>
    <row r="51" customFormat="false" ht="15" hidden="false" customHeight="true" outlineLevel="0" collapsed="false">
      <c r="A51" s="104" t="n">
        <f aca="false">IFERROR(IF(IFERROR(MATCH(47,'كشف الحساب'!$N$4:$N$203,0),0)=0,"",INDEX('كشف الحساب'!$A$4:$A$203,IFERROR(MATCH(47,'كشف الحساب'!$N$4:$N$203,0),0))),"")</f>
        <v>46146</v>
      </c>
      <c r="B51" s="105" t="str">
        <f aca="false">IFERROR(IF(IFERROR(MATCH(47,'كشف الحساب'!$N$4:$N$203,0),0)=0,"",INDEX('كشف الحساب'!$B$4:$B$203,IFERROR(MATCH(47,'كشف الحساب'!$N$4:$N$203,0),0))),"")</f>
        <v>Inv-42</v>
      </c>
      <c r="C51" s="106" t="str">
        <f aca="false">IFERROR(IF(IFERROR(MATCH(47,'كشف الحساب'!$N$4:$N$203,0),0)=0,"",INDEX('كشف الحساب'!$C$4:$C$203,IFERROR(MATCH(47,'كشف الحساب'!$N$4:$N$203,0),0))),"")</f>
        <v>other</v>
      </c>
      <c r="D51" s="107" t="n">
        <f aca="false">IFERROR(IF(IFERROR(MATCH(47,'كشف الحساب'!$N$4:$N$203,0),0)=0,"",INDEX('كشف الحساب'!$D$4:$D$203,IFERROR(MATCH(47,'كشف الحساب'!$N$4:$N$203,0),0))),"")</f>
        <v>0</v>
      </c>
      <c r="E51" s="108" t="n">
        <f aca="false">IFERROR(IF(IFERROR(MATCH(47,'كشف الحساب'!$N$4:$N$203,0),0)=0,"",INDEX('كشف الحساب'!$E$4:$E$203,IFERROR(MATCH(47,'كشف الحساب'!$N$4:$N$203,0),0))),"")</f>
        <v>2</v>
      </c>
      <c r="F51" s="105" t="str">
        <f aca="false">IFERROR(IF(IFERROR(MATCH(47,'كشف الحساب'!$N$4:$N$203,0),0)=0,"",INDEX('كشف الحساب'!$F$4:$F$203,IFERROR(MATCH(47,'كشف الحساب'!$N$4:$N$203,0),0))),"")</f>
        <v>نقداً</v>
      </c>
      <c r="G51" s="105" t="n">
        <f aca="false">IFERROR(IF(IFERROR(MATCH(47,'كشف الحساب'!$N$4:$N$203,0),0)=0,"",INDEX('كشف الحساب'!$G$4:$G$203,IFERROR(MATCH(47,'كشف الحساب'!$N$4:$N$203,0),0))),"")</f>
        <v>0</v>
      </c>
      <c r="H51" s="105" t="str">
        <f aca="false">IFERROR(IF(IFERROR(MATCH(47,'كشف الحساب'!$N$4:$N$203,0),0)=0,"",INDEX('كشف الحساب'!$H$4:$H$203,IFERROR(MATCH(47,'كشف الحساب'!$N$4:$N$203,0),0))),"")</f>
        <v>تم الدفع</v>
      </c>
      <c r="I51" s="105" t="n">
        <f aca="false">IFERROR(IF(IFERROR(MATCH(47,'كشف الحساب'!$N$4:$N$203,0),0)=0,"",INDEX('كشف الحساب'!$I$4:$I$203,IFERROR(MATCH(47,'كشف الحساب'!$N$4:$N$203,0),0))),"")</f>
        <v>0</v>
      </c>
      <c r="J51" s="109" t="n">
        <f aca="false">IFERROR(IF(IFERROR(MATCH(47,'كشف الحساب'!$N$4:$N$203,0),0)=0,"",INDEX('كشف الحساب'!$J$4:$J$203,IFERROR(MATCH(47,'كشف الحساب'!$N$4:$N$203,0),0))),"")</f>
        <v>272.75</v>
      </c>
      <c r="K51" s="105" t="n">
        <f aca="false">IFERROR(IF(IFERROR(MATCH(47,'كشف الحساب'!$N$4:$N$203,0),0)=0,"",INDEX('كشف الحساب'!$K$4:$K$203,IFERROR(MATCH(47,'كشف الحساب'!$N$4:$N$203,0),0))),"")</f>
        <v>0</v>
      </c>
    </row>
    <row r="52" customFormat="false" ht="15" hidden="false" customHeight="true" outlineLevel="0" collapsed="false">
      <c r="A52" s="110" t="n">
        <f aca="false">IFERROR(IF(IFERROR(MATCH(48,'كشف الحساب'!$N$4:$N$203,0),0)=0,"",INDEX('كشف الحساب'!$A$4:$A$203,IFERROR(MATCH(48,'كشف الحساب'!$N$4:$N$203,0),0))),"")</f>
        <v>46147</v>
      </c>
      <c r="B52" s="111" t="str">
        <f aca="false">IFERROR(IF(IFERROR(MATCH(48,'كشف الحساب'!$N$4:$N$203,0),0)=0,"",INDEX('كشف الحساب'!$B$4:$B$203,IFERROR(MATCH(48,'كشف الحساب'!$N$4:$N$203,0),0))),"")</f>
        <v>Inv-43</v>
      </c>
      <c r="C52" s="112" t="str">
        <f aca="false">IFERROR(IF(IFERROR(MATCH(48,'كشف الحساب'!$N$4:$N$203,0),0)=0,"",INDEX('كشف الحساب'!$C$4:$C$203,IFERROR(MATCH(48,'كشف الحساب'!$N$4:$N$203,0),0))),"")</f>
        <v>other</v>
      </c>
      <c r="D52" s="113" t="n">
        <f aca="false">IFERROR(IF(IFERROR(MATCH(48,'كشف الحساب'!$N$4:$N$203,0),0)=0,"",INDEX('كشف الحساب'!$D$4:$D$203,IFERROR(MATCH(48,'كشف الحساب'!$N$4:$N$203,0),0))),"")</f>
        <v>0</v>
      </c>
      <c r="E52" s="114" t="n">
        <f aca="false">IFERROR(IF(IFERROR(MATCH(48,'كشف الحساب'!$N$4:$N$203,0),0)=0,"",INDEX('كشف الحساب'!$E$4:$E$203,IFERROR(MATCH(48,'كشف الحساب'!$N$4:$N$203,0),0))),"")</f>
        <v>3.75</v>
      </c>
      <c r="F52" s="111" t="str">
        <f aca="false">IFERROR(IF(IFERROR(MATCH(48,'كشف الحساب'!$N$4:$N$203,0),0)=0,"",INDEX('كشف الحساب'!$F$4:$F$203,IFERROR(MATCH(48,'كشف الحساب'!$N$4:$N$203,0),0))),"")</f>
        <v>نقداً</v>
      </c>
      <c r="G52" s="111" t="n">
        <f aca="false">IFERROR(IF(IFERROR(MATCH(48,'كشف الحساب'!$N$4:$N$203,0),0)=0,"",INDEX('كشف الحساب'!$G$4:$G$203,IFERROR(MATCH(48,'كشف الحساب'!$N$4:$N$203,0),0))),"")</f>
        <v>0</v>
      </c>
      <c r="H52" s="111" t="str">
        <f aca="false">IFERROR(IF(IFERROR(MATCH(48,'كشف الحساب'!$N$4:$N$203,0),0)=0,"",INDEX('كشف الحساب'!$H$4:$H$203,IFERROR(MATCH(48,'كشف الحساب'!$N$4:$N$203,0),0))),"")</f>
        <v>تم الدفع</v>
      </c>
      <c r="I52" s="111" t="n">
        <f aca="false">IFERROR(IF(IFERROR(MATCH(48,'كشف الحساب'!$N$4:$N$203,0),0)=0,"",INDEX('كشف الحساب'!$I$4:$I$203,IFERROR(MATCH(48,'كشف الحساب'!$N$4:$N$203,0),0))),"")</f>
        <v>0</v>
      </c>
      <c r="J52" s="115" t="n">
        <f aca="false">IFERROR(IF(IFERROR(MATCH(48,'كشف الحساب'!$N$4:$N$203,0),0)=0,"",INDEX('كشف الحساب'!$J$4:$J$203,IFERROR(MATCH(48,'كشف الحساب'!$N$4:$N$203,0),0))),"")</f>
        <v>276.5</v>
      </c>
      <c r="K52" s="111" t="n">
        <f aca="false">IFERROR(IF(IFERROR(MATCH(48,'كشف الحساب'!$N$4:$N$203,0),0)=0,"",INDEX('كشف الحساب'!$K$4:$K$203,IFERROR(MATCH(48,'كشف الحساب'!$N$4:$N$203,0),0))),"")</f>
        <v>0</v>
      </c>
    </row>
    <row r="53" customFormat="false" ht="15" hidden="false" customHeight="true" outlineLevel="0" collapsed="false">
      <c r="A53" s="104" t="n">
        <f aca="false">IFERROR(IF(IFERROR(MATCH(49,'كشف الحساب'!$N$4:$N$203,0),0)=0,"",INDEX('كشف الحساب'!$A$4:$A$203,IFERROR(MATCH(49,'كشف الحساب'!$N$4:$N$203,0),0))),"")</f>
        <v>46149</v>
      </c>
      <c r="B53" s="105" t="str">
        <f aca="false">IFERROR(IF(IFERROR(MATCH(49,'كشف الحساب'!$N$4:$N$203,0),0)=0,"",INDEX('كشف الحساب'!$B$4:$B$203,IFERROR(MATCH(49,'كشف الحساب'!$N$4:$N$203,0),0))),"")</f>
        <v>Inv-44a</v>
      </c>
      <c r="C53" s="106" t="str">
        <f aca="false">IFERROR(IF(IFERROR(MATCH(49,'كشف الحساب'!$N$4:$N$203,0),0)=0,"",INDEX('كشف الحساب'!$C$4:$C$203,IFERROR(MATCH(49,'كشف الحساب'!$N$4:$N$203,0),0))),"")</f>
        <v>other</v>
      </c>
      <c r="D53" s="107" t="n">
        <f aca="false">IFERROR(IF(IFERROR(MATCH(49,'كشف الحساب'!$N$4:$N$203,0),0)=0,"",INDEX('كشف الحساب'!$D$4:$D$203,IFERROR(MATCH(49,'كشف الحساب'!$N$4:$N$203,0),0))),"")</f>
        <v>0</v>
      </c>
      <c r="E53" s="108" t="n">
        <f aca="false">IFERROR(IF(IFERROR(MATCH(49,'كشف الحساب'!$N$4:$N$203,0),0)=0,"",INDEX('كشف الحساب'!$E$4:$E$203,IFERROR(MATCH(49,'كشف الحساب'!$N$4:$N$203,0),0))),"")</f>
        <v>5</v>
      </c>
      <c r="F53" s="105" t="str">
        <f aca="false">IFERROR(IF(IFERROR(MATCH(49,'كشف الحساب'!$N$4:$N$203,0),0)=0,"",INDEX('كشف الحساب'!$F$4:$F$203,IFERROR(MATCH(49,'كشف الحساب'!$N$4:$N$203,0),0))),"")</f>
        <v>نقداً</v>
      </c>
      <c r="G53" s="105" t="n">
        <f aca="false">IFERROR(IF(IFERROR(MATCH(49,'كشف الحساب'!$N$4:$N$203,0),0)=0,"",INDEX('كشف الحساب'!$G$4:$G$203,IFERROR(MATCH(49,'كشف الحساب'!$N$4:$N$203,0),0))),"")</f>
        <v>0</v>
      </c>
      <c r="H53" s="105" t="str">
        <f aca="false">IFERROR(IF(IFERROR(MATCH(49,'كشف الحساب'!$N$4:$N$203,0),0)=0,"",INDEX('كشف الحساب'!$H$4:$H$203,IFERROR(MATCH(49,'كشف الحساب'!$N$4:$N$203,0),0))),"")</f>
        <v>تم الدفع</v>
      </c>
      <c r="I53" s="105" t="n">
        <f aca="false">IFERROR(IF(IFERROR(MATCH(49,'كشف الحساب'!$N$4:$N$203,0),0)=0,"",INDEX('كشف الحساب'!$I$4:$I$203,IFERROR(MATCH(49,'كشف الحساب'!$N$4:$N$203,0),0))),"")</f>
        <v>0</v>
      </c>
      <c r="J53" s="109" t="n">
        <f aca="false">IFERROR(IF(IFERROR(MATCH(49,'كشف الحساب'!$N$4:$N$203,0),0)=0,"",INDEX('كشف الحساب'!$J$4:$J$203,IFERROR(MATCH(49,'كشف الحساب'!$N$4:$N$203,0),0))),"")</f>
        <v>281.5</v>
      </c>
      <c r="K53" s="105" t="n">
        <f aca="false">IFERROR(IF(IFERROR(MATCH(49,'كشف الحساب'!$N$4:$N$203,0),0)=0,"",INDEX('كشف الحساب'!$K$4:$K$203,IFERROR(MATCH(49,'كشف الحساب'!$N$4:$N$203,0),0))),"")</f>
        <v>0</v>
      </c>
    </row>
    <row r="54" customFormat="false" ht="15" hidden="false" customHeight="true" outlineLevel="0" collapsed="false">
      <c r="A54" s="110" t="n">
        <f aca="false">IFERROR(IF(IFERROR(MATCH(50,'كشف الحساب'!$N$4:$N$203,0),0)=0,"",INDEX('كشف الحساب'!$A$4:$A$203,IFERROR(MATCH(50,'كشف الحساب'!$N$4:$N$203,0),0))),"")</f>
        <v>46155</v>
      </c>
      <c r="B54" s="111" t="str">
        <f aca="false">IFERROR(IF(IFERROR(MATCH(50,'كشف الحساب'!$N$4:$N$203,0),0)=0,"",INDEX('كشف الحساب'!$B$4:$B$203,IFERROR(MATCH(50,'كشف الحساب'!$N$4:$N$203,0),0))),"")</f>
        <v>Inv-44</v>
      </c>
      <c r="C54" s="112" t="str">
        <f aca="false">IFERROR(IF(IFERROR(MATCH(50,'كشف الحساب'!$N$4:$N$203,0),0)=0,"",INDEX('كشف الحساب'!$C$4:$C$203,IFERROR(MATCH(50,'كشف الحساب'!$N$4:$N$203,0),0))),"")</f>
        <v>other</v>
      </c>
      <c r="D54" s="113" t="n">
        <f aca="false">IFERROR(IF(IFERROR(MATCH(50,'كشف الحساب'!$N$4:$N$203,0),0)=0,"",INDEX('كشف الحساب'!$D$4:$D$203,IFERROR(MATCH(50,'كشف الحساب'!$N$4:$N$203,0),0))),"")</f>
        <v>0</v>
      </c>
      <c r="E54" s="114" t="n">
        <f aca="false">IFERROR(IF(IFERROR(MATCH(50,'كشف الحساب'!$N$4:$N$203,0),0)=0,"",INDEX('كشف الحساب'!$E$4:$E$203,IFERROR(MATCH(50,'كشف الحساب'!$N$4:$N$203,0),0))),"")</f>
        <v>15</v>
      </c>
      <c r="F54" s="111" t="str">
        <f aca="false">IFERROR(IF(IFERROR(MATCH(50,'كشف الحساب'!$N$4:$N$203,0),0)=0,"",INDEX('كشف الحساب'!$F$4:$F$203,IFERROR(MATCH(50,'كشف الحساب'!$N$4:$N$203,0),0))),"")</f>
        <v>نقداً</v>
      </c>
      <c r="G54" s="111" t="n">
        <f aca="false">IFERROR(IF(IFERROR(MATCH(50,'كشف الحساب'!$N$4:$N$203,0),0)=0,"",INDEX('كشف الحساب'!$G$4:$G$203,IFERROR(MATCH(50,'كشف الحساب'!$N$4:$N$203,0),0))),"")</f>
        <v>0</v>
      </c>
      <c r="H54" s="111" t="str">
        <f aca="false">IFERROR(IF(IFERROR(MATCH(50,'كشف الحساب'!$N$4:$N$203,0),0)=0,"",INDEX('كشف الحساب'!$H$4:$H$203,IFERROR(MATCH(50,'كشف الحساب'!$N$4:$N$203,0),0))),"")</f>
        <v>تم الدفع</v>
      </c>
      <c r="I54" s="111" t="n">
        <f aca="false">IFERROR(IF(IFERROR(MATCH(50,'كشف الحساب'!$N$4:$N$203,0),0)=0,"",INDEX('كشف الحساب'!$I$4:$I$203,IFERROR(MATCH(50,'كشف الحساب'!$N$4:$N$203,0),0))),"")</f>
        <v>0</v>
      </c>
      <c r="J54" s="115" t="n">
        <f aca="false">IFERROR(IF(IFERROR(MATCH(50,'كشف الحساب'!$N$4:$N$203,0),0)=0,"",INDEX('كشف الحساب'!$J$4:$J$203,IFERROR(MATCH(50,'كشف الحساب'!$N$4:$N$203,0),0))),"")</f>
        <v>296.5</v>
      </c>
      <c r="K54" s="111" t="n">
        <f aca="false">IFERROR(IF(IFERROR(MATCH(50,'كشف الحساب'!$N$4:$N$203,0),0)=0,"",INDEX('كشف الحساب'!$K$4:$K$203,IFERROR(MATCH(50,'كشف الحساب'!$N$4:$N$203,0),0))),"")</f>
        <v>0</v>
      </c>
    </row>
    <row r="55" customFormat="false" ht="15" hidden="false" customHeight="true" outlineLevel="0" collapsed="false">
      <c r="A55" s="104" t="n">
        <f aca="false">IFERROR(IF(IFERROR(MATCH(51,'كشف الحساب'!$N$4:$N$203,0),0)=0,"",INDEX('كشف الحساب'!$A$4:$A$203,IFERROR(MATCH(51,'كشف الحساب'!$N$4:$N$203,0),0))),"")</f>
        <v>46155</v>
      </c>
      <c r="B55" s="105" t="str">
        <f aca="false">IFERROR(IF(IFERROR(MATCH(51,'كشف الحساب'!$N$4:$N$203,0),0)=0,"",INDEX('كشف الحساب'!$B$4:$B$203,IFERROR(MATCH(51,'كشف الحساب'!$N$4:$N$203,0),0))),"")</f>
        <v>Inv-45</v>
      </c>
      <c r="C55" s="106" t="str">
        <f aca="false">IFERROR(IF(IFERROR(MATCH(51,'كشف الحساب'!$N$4:$N$203,0),0)=0,"",INDEX('كشف الحساب'!$C$4:$C$203,IFERROR(MATCH(51,'كشف الحساب'!$N$4:$N$203,0),0))),"")</f>
        <v>other</v>
      </c>
      <c r="D55" s="107" t="n">
        <f aca="false">IFERROR(IF(IFERROR(MATCH(51,'كشف الحساب'!$N$4:$N$203,0),0)=0,"",INDEX('كشف الحساب'!$D$4:$D$203,IFERROR(MATCH(51,'كشف الحساب'!$N$4:$N$203,0),0))),"")</f>
        <v>0</v>
      </c>
      <c r="E55" s="108" t="n">
        <f aca="false">IFERROR(IF(IFERROR(MATCH(51,'كشف الحساب'!$N$4:$N$203,0),0)=0,"",INDEX('كشف الحساب'!$E$4:$E$203,IFERROR(MATCH(51,'كشف الحساب'!$N$4:$N$203,0),0))),"")</f>
        <v>4</v>
      </c>
      <c r="F55" s="105" t="str">
        <f aca="false">IFERROR(IF(IFERROR(MATCH(51,'كشف الحساب'!$N$4:$N$203,0),0)=0,"",INDEX('كشف الحساب'!$F$4:$F$203,IFERROR(MATCH(51,'كشف الحساب'!$N$4:$N$203,0),0))),"")</f>
        <v>نقداً</v>
      </c>
      <c r="G55" s="105" t="n">
        <f aca="false">IFERROR(IF(IFERROR(MATCH(51,'كشف الحساب'!$N$4:$N$203,0),0)=0,"",INDEX('كشف الحساب'!$G$4:$G$203,IFERROR(MATCH(51,'كشف الحساب'!$N$4:$N$203,0),0))),"")</f>
        <v>0</v>
      </c>
      <c r="H55" s="105" t="str">
        <f aca="false">IFERROR(IF(IFERROR(MATCH(51,'كشف الحساب'!$N$4:$N$203,0),0)=0,"",INDEX('كشف الحساب'!$H$4:$H$203,IFERROR(MATCH(51,'كشف الحساب'!$N$4:$N$203,0),0))),"")</f>
        <v>تم الدفع</v>
      </c>
      <c r="I55" s="105" t="n">
        <f aca="false">IFERROR(IF(IFERROR(MATCH(51,'كشف الحساب'!$N$4:$N$203,0),0)=0,"",INDEX('كشف الحساب'!$I$4:$I$203,IFERROR(MATCH(51,'كشف الحساب'!$N$4:$N$203,0),0))),"")</f>
        <v>0</v>
      </c>
      <c r="J55" s="109" t="n">
        <f aca="false">IFERROR(IF(IFERROR(MATCH(51,'كشف الحساب'!$N$4:$N$203,0),0)=0,"",INDEX('كشف الحساب'!$J$4:$J$203,IFERROR(MATCH(51,'كشف الحساب'!$N$4:$N$203,0),0))),"")</f>
        <v>300.5</v>
      </c>
      <c r="K55" s="105" t="n">
        <f aca="false">IFERROR(IF(IFERROR(MATCH(51,'كشف الحساب'!$N$4:$N$203,0),0)=0,"",INDEX('كشف الحساب'!$K$4:$K$203,IFERROR(MATCH(51,'كشف الحساب'!$N$4:$N$203,0),0))),"")</f>
        <v>0</v>
      </c>
    </row>
    <row r="56" customFormat="false" ht="15" hidden="false" customHeight="true" outlineLevel="0" collapsed="false">
      <c r="A56" s="110" t="n">
        <f aca="false">IFERROR(IF(IFERROR(MATCH(52,'كشف الحساب'!$N$4:$N$203,0),0)=0,"",INDEX('كشف الحساب'!$A$4:$A$203,IFERROR(MATCH(52,'كشف الحساب'!$N$4:$N$203,0),0))),"")</f>
        <v>46155</v>
      </c>
      <c r="B56" s="111" t="str">
        <f aca="false">IFERROR(IF(IFERROR(MATCH(52,'كشف الحساب'!$N$4:$N$203,0),0)=0,"",INDEX('كشف الحساب'!$B$4:$B$203,IFERROR(MATCH(52,'كشف الحساب'!$N$4:$N$203,0),0))),"")</f>
        <v>Inv-46</v>
      </c>
      <c r="C56" s="112" t="str">
        <f aca="false">IFERROR(IF(IFERROR(MATCH(52,'كشف الحساب'!$N$4:$N$203,0),0)=0,"",INDEX('كشف الحساب'!$C$4:$C$203,IFERROR(MATCH(52,'كشف الحساب'!$N$4:$N$203,0),0))),"")</f>
        <v>other</v>
      </c>
      <c r="D56" s="113" t="n">
        <f aca="false">IFERROR(IF(IFERROR(MATCH(52,'كشف الحساب'!$N$4:$N$203,0),0)=0,"",INDEX('كشف الحساب'!$D$4:$D$203,IFERROR(MATCH(52,'كشف الحساب'!$N$4:$N$203,0),0))),"")</f>
        <v>0</v>
      </c>
      <c r="E56" s="114" t="n">
        <f aca="false">IFERROR(IF(IFERROR(MATCH(52,'كشف الحساب'!$N$4:$N$203,0),0)=0,"",INDEX('كشف الحساب'!$E$4:$E$203,IFERROR(MATCH(52,'كشف الحساب'!$N$4:$N$203,0),0))),"")</f>
        <v>3.6</v>
      </c>
      <c r="F56" s="111" t="str">
        <f aca="false">IFERROR(IF(IFERROR(MATCH(52,'كشف الحساب'!$N$4:$N$203,0),0)=0,"",INDEX('كشف الحساب'!$F$4:$F$203,IFERROR(MATCH(52,'كشف الحساب'!$N$4:$N$203,0),0))),"")</f>
        <v>نقداً</v>
      </c>
      <c r="G56" s="111" t="n">
        <f aca="false">IFERROR(IF(IFERROR(MATCH(52,'كشف الحساب'!$N$4:$N$203,0),0)=0,"",INDEX('كشف الحساب'!$G$4:$G$203,IFERROR(MATCH(52,'كشف الحساب'!$N$4:$N$203,0),0))),"")</f>
        <v>0</v>
      </c>
      <c r="H56" s="111" t="str">
        <f aca="false">IFERROR(IF(IFERROR(MATCH(52,'كشف الحساب'!$N$4:$N$203,0),0)=0,"",INDEX('كشف الحساب'!$H$4:$H$203,IFERROR(MATCH(52,'كشف الحساب'!$N$4:$N$203,0),0))),"")</f>
        <v>تم الدفع</v>
      </c>
      <c r="I56" s="111" t="n">
        <f aca="false">IFERROR(IF(IFERROR(MATCH(52,'كشف الحساب'!$N$4:$N$203,0),0)=0,"",INDEX('كشف الحساب'!$I$4:$I$203,IFERROR(MATCH(52,'كشف الحساب'!$N$4:$N$203,0),0))),"")</f>
        <v>0</v>
      </c>
      <c r="J56" s="115" t="n">
        <f aca="false">IFERROR(IF(IFERROR(MATCH(52,'كشف الحساب'!$N$4:$N$203,0),0)=0,"",INDEX('كشف الحساب'!$J$4:$J$203,IFERROR(MATCH(52,'كشف الحساب'!$N$4:$N$203,0),0))),"")</f>
        <v>304.1</v>
      </c>
      <c r="K56" s="111" t="n">
        <f aca="false">IFERROR(IF(IFERROR(MATCH(52,'كشف الحساب'!$N$4:$N$203,0),0)=0,"",INDEX('كشف الحساب'!$K$4:$K$203,IFERROR(MATCH(52,'كشف الحساب'!$N$4:$N$203,0),0))),"")</f>
        <v>0</v>
      </c>
    </row>
    <row r="57" customFormat="false" ht="15" hidden="false" customHeight="true" outlineLevel="0" collapsed="false">
      <c r="A57" s="104" t="n">
        <f aca="false">IFERROR(IF(IFERROR(MATCH(53,'كشف الحساب'!$N$4:$N$203,0),0)=0,"",INDEX('كشف الحساب'!$A$4:$A$203,IFERROR(MATCH(53,'كشف الحساب'!$N$4:$N$203,0),0))),"")</f>
        <v>46158</v>
      </c>
      <c r="B57" s="105" t="str">
        <f aca="false">IFERROR(IF(IFERROR(MATCH(53,'كشف الحساب'!$N$4:$N$203,0),0)=0,"",INDEX('كشف الحساب'!$B$4:$B$203,IFERROR(MATCH(53,'كشف الحساب'!$N$4:$N$203,0),0))),"")</f>
        <v>Inv-47</v>
      </c>
      <c r="C57" s="106" t="str">
        <f aca="false">IFERROR(IF(IFERROR(MATCH(53,'كشف الحساب'!$N$4:$N$203,0),0)=0,"",INDEX('كشف الحساب'!$C$4:$C$203,IFERROR(MATCH(53,'كشف الحساب'!$N$4:$N$203,0),0))),"")</f>
        <v>other</v>
      </c>
      <c r="D57" s="107" t="n">
        <f aca="false">IFERROR(IF(IFERROR(MATCH(53,'كشف الحساب'!$N$4:$N$203,0),0)=0,"",INDEX('كشف الحساب'!$D$4:$D$203,IFERROR(MATCH(53,'كشف الحساب'!$N$4:$N$203,0),0))),"")</f>
        <v>0</v>
      </c>
      <c r="E57" s="108" t="n">
        <f aca="false">IFERROR(IF(IFERROR(MATCH(53,'كشف الحساب'!$N$4:$N$203,0),0)=0,"",INDEX('كشف الحساب'!$E$4:$E$203,IFERROR(MATCH(53,'كشف الحساب'!$N$4:$N$203,0),0))),"")</f>
        <v>3</v>
      </c>
      <c r="F57" s="105" t="str">
        <f aca="false">IFERROR(IF(IFERROR(MATCH(53,'كشف الحساب'!$N$4:$N$203,0),0)=0,"",INDEX('كشف الحساب'!$F$4:$F$203,IFERROR(MATCH(53,'كشف الحساب'!$N$4:$N$203,0),0))),"")</f>
        <v>نقداً</v>
      </c>
      <c r="G57" s="105" t="n">
        <f aca="false">IFERROR(IF(IFERROR(MATCH(53,'كشف الحساب'!$N$4:$N$203,0),0)=0,"",INDEX('كشف الحساب'!$G$4:$G$203,IFERROR(MATCH(53,'كشف الحساب'!$N$4:$N$203,0),0))),"")</f>
        <v>0</v>
      </c>
      <c r="H57" s="105" t="str">
        <f aca="false">IFERROR(IF(IFERROR(MATCH(53,'كشف الحساب'!$N$4:$N$203,0),0)=0,"",INDEX('كشف الحساب'!$H$4:$H$203,IFERROR(MATCH(53,'كشف الحساب'!$N$4:$N$203,0),0))),"")</f>
        <v>تم الدفع</v>
      </c>
      <c r="I57" s="105" t="n">
        <f aca="false">IFERROR(IF(IFERROR(MATCH(53,'كشف الحساب'!$N$4:$N$203,0),0)=0,"",INDEX('كشف الحساب'!$I$4:$I$203,IFERROR(MATCH(53,'كشف الحساب'!$N$4:$N$203,0),0))),"")</f>
        <v>0</v>
      </c>
      <c r="J57" s="109" t="n">
        <f aca="false">IFERROR(IF(IFERROR(MATCH(53,'كشف الحساب'!$N$4:$N$203,0),0)=0,"",INDEX('كشف الحساب'!$J$4:$J$203,IFERROR(MATCH(53,'كشف الحساب'!$N$4:$N$203,0),0))),"")</f>
        <v>307.1</v>
      </c>
      <c r="K57" s="105" t="n">
        <f aca="false">IFERROR(IF(IFERROR(MATCH(53,'كشف الحساب'!$N$4:$N$203,0),0)=0,"",INDEX('كشف الحساب'!$K$4:$K$203,IFERROR(MATCH(53,'كشف الحساب'!$N$4:$N$203,0),0))),"")</f>
        <v>0</v>
      </c>
    </row>
    <row r="58" customFormat="false" ht="15" hidden="false" customHeight="true" outlineLevel="0" collapsed="false">
      <c r="A58" s="110" t="n">
        <f aca="false">IFERROR(IF(IFERROR(MATCH(54,'كشف الحساب'!$N$4:$N$203,0),0)=0,"",INDEX('كشف الحساب'!$A$4:$A$203,IFERROR(MATCH(54,'كشف الحساب'!$N$4:$N$203,0),0))),"")</f>
        <v>46155</v>
      </c>
      <c r="B58" s="111" t="n">
        <f aca="false">IFERROR(IF(IFERROR(MATCH(54,'كشف الحساب'!$N$4:$N$203,0),0)=0,"",INDEX('كشف الحساب'!$B$4:$B$203,IFERROR(MATCH(54,'كشف الحساب'!$N$4:$N$203,0),0))),"")</f>
        <v>0</v>
      </c>
      <c r="C58" s="112" t="str">
        <f aca="false">IFERROR(IF(IFERROR(MATCH(54,'كشف الحساب'!$N$4:$N$203,0),0)=0,"",INDEX('كشف الحساب'!$C$4:$C$203,IFERROR(MATCH(54,'كشف الحساب'!$N$4:$N$203,0),0))),"")</f>
        <v>جبس لتغطيه المحميه</v>
      </c>
      <c r="D58" s="113" t="n">
        <f aca="false">IFERROR(IF(IFERROR(MATCH(54,'كشف الحساب'!$N$4:$N$203,0),0)=0,"",INDEX('كشف الحساب'!$D$4:$D$203,IFERROR(MATCH(54,'كشف الحساب'!$N$4:$N$203,0),0))),"")</f>
        <v>2.75</v>
      </c>
      <c r="E58" s="114" t="n">
        <f aca="false">IFERROR(IF(IFERROR(MATCH(54,'كشف الحساب'!$N$4:$N$203,0),0)=0,"",INDEX('كشف الحساب'!$E$4:$E$203,IFERROR(MATCH(54,'كشف الحساب'!$N$4:$N$203,0),0))),"")</f>
        <v>0</v>
      </c>
      <c r="F58" s="111" t="str">
        <f aca="false">IFERROR(IF(IFERROR(MATCH(54,'كشف الحساب'!$N$4:$N$203,0),0)=0,"",INDEX('كشف الحساب'!$F$4:$F$203,IFERROR(MATCH(54,'كشف الحساب'!$N$4:$N$203,0),0))),"")</f>
        <v>نقداً</v>
      </c>
      <c r="G58" s="111" t="str">
        <f aca="false">IFERROR(IF(IFERROR(MATCH(54,'كشف الحساب'!$N$4:$N$203,0),0)=0,"",INDEX('كشف الحساب'!$G$4:$G$203,IFERROR(MATCH(54,'كشف الحساب'!$N$4:$N$203,0),0))),"")</f>
        <v>المحفظة</v>
      </c>
      <c r="H58" s="111" t="str">
        <f aca="false">IFERROR(IF(IFERROR(MATCH(54,'كشف الحساب'!$N$4:$N$203,0),0)=0,"",INDEX('كشف الحساب'!$H$4:$H$203,IFERROR(MATCH(54,'كشف الحساب'!$N$4:$N$203,0),0))),"")</f>
        <v>تم الدفع</v>
      </c>
      <c r="I58" s="111" t="n">
        <f aca="false">IFERROR(IF(IFERROR(MATCH(54,'كشف الحساب'!$N$4:$N$203,0),0)=0,"",INDEX('كشف الحساب'!$I$4:$I$203,IFERROR(MATCH(54,'كشف الحساب'!$N$4:$N$203,0),0))),"")</f>
        <v>0</v>
      </c>
      <c r="J58" s="115" t="n">
        <f aca="false">IFERROR(IF(IFERROR(MATCH(54,'كشف الحساب'!$N$4:$N$203,0),0)=0,"",INDEX('كشف الحساب'!$J$4:$J$203,IFERROR(MATCH(54,'كشف الحساب'!$N$4:$N$203,0),0))),"")</f>
        <v>304.35</v>
      </c>
      <c r="K58" s="111" t="n">
        <f aca="false">IFERROR(IF(IFERROR(MATCH(54,'كشف الحساب'!$N$4:$N$203,0),0)=0,"",INDEX('كشف الحساب'!$K$4:$K$203,IFERROR(MATCH(54,'كشف الحساب'!$N$4:$N$203,0),0))),"")</f>
        <v>0</v>
      </c>
    </row>
    <row r="59" customFormat="false" ht="15" hidden="false" customHeight="true" outlineLevel="0" collapsed="false">
      <c r="A59" s="104" t="n">
        <f aca="false">IFERROR(IF(IFERROR(MATCH(55,'كشف الحساب'!$N$4:$N$203,0),0)=0,"",INDEX('كشف الحساب'!$A$4:$A$203,IFERROR(MATCH(55,'كشف الحساب'!$N$4:$N$203,0),0))),"")</f>
        <v>46175</v>
      </c>
      <c r="B59" s="105" t="str">
        <f aca="false">IFERROR(IF(IFERROR(MATCH(55,'كشف الحساب'!$N$4:$N$203,0),0)=0,"",INDEX('كشف الحساب'!$B$4:$B$203,IFERROR(MATCH(55,'كشف الحساب'!$N$4:$N$203,0),0))),"")</f>
        <v>Inv-53</v>
      </c>
      <c r="C59" s="106" t="str">
        <f aca="false">IFERROR(IF(IFERROR(MATCH(55,'كشف الحساب'!$N$4:$N$203,0),0)=0,"",INDEX('كشف الحساب'!$C$4:$C$203,IFERROR(MATCH(55,'كشف الحساب'!$N$4:$N$203,0),0))),"")</f>
        <v>فل عدد 24 الحبه .750</v>
      </c>
      <c r="D59" s="107" t="n">
        <f aca="false">IFERROR(IF(IFERROR(MATCH(55,'كشف الحساب'!$N$4:$N$203,0),0)=0,"",INDEX('كشف الحساب'!$D$4:$D$203,IFERROR(MATCH(55,'كشف الحساب'!$N$4:$N$203,0),0))),"")</f>
        <v>0</v>
      </c>
      <c r="E59" s="108" t="n">
        <f aca="false">IFERROR(IF(IFERROR(MATCH(55,'كشف الحساب'!$N$4:$N$203,0),0)=0,"",INDEX('كشف الحساب'!$E$4:$E$203,IFERROR(MATCH(55,'كشف الحساب'!$N$4:$N$203,0),0))),"")</f>
        <v>18</v>
      </c>
      <c r="F59" s="105" t="str">
        <f aca="false">IFERROR(IF(IFERROR(MATCH(55,'كشف الحساب'!$N$4:$N$203,0),0)=0,"",INDEX('كشف الحساب'!$F$4:$F$203,IFERROR(MATCH(55,'كشف الحساب'!$N$4:$N$203,0),0))),"")</f>
        <v>نقداً</v>
      </c>
      <c r="G59" s="105" t="n">
        <f aca="false">IFERROR(IF(IFERROR(MATCH(55,'كشف الحساب'!$N$4:$N$203,0),0)=0,"",INDEX('كشف الحساب'!$G$4:$G$203,IFERROR(MATCH(55,'كشف الحساب'!$N$4:$N$203,0),0))),"")</f>
        <v>0</v>
      </c>
      <c r="H59" s="105" t="str">
        <f aca="false">IFERROR(IF(IFERROR(MATCH(55,'كشف الحساب'!$N$4:$N$203,0),0)=0,"",INDEX('كشف الحساب'!$H$4:$H$203,IFERROR(MATCH(55,'كشف الحساب'!$N$4:$N$203,0),0))),"")</f>
        <v>تم الدفع</v>
      </c>
      <c r="I59" s="105" t="n">
        <f aca="false">IFERROR(IF(IFERROR(MATCH(55,'كشف الحساب'!$N$4:$N$203,0),0)=0,"",INDEX('كشف الحساب'!$I$4:$I$203,IFERROR(MATCH(55,'كشف الحساب'!$N$4:$N$203,0),0))),"")</f>
        <v>0</v>
      </c>
      <c r="J59" s="109" t="n">
        <f aca="false">IFERROR(IF(IFERROR(MATCH(55,'كشف الحساب'!$N$4:$N$203,0),0)=0,"",INDEX('كشف الحساب'!$J$4:$J$203,IFERROR(MATCH(55,'كشف الحساب'!$N$4:$N$203,0),0))),"")</f>
        <v>322.35</v>
      </c>
      <c r="K59" s="105" t="n">
        <f aca="false">IFERROR(IF(IFERROR(MATCH(55,'كشف الحساب'!$N$4:$N$203,0),0)=0,"",INDEX('كشف الحساب'!$K$4:$K$203,IFERROR(MATCH(55,'كشف الحساب'!$N$4:$N$203,0),0))),"")</f>
        <v>0</v>
      </c>
    </row>
    <row r="60" customFormat="false" ht="15" hidden="false" customHeight="true" outlineLevel="0" collapsed="false">
      <c r="A60" s="110" t="n">
        <f aca="false">IFERROR(IF(IFERROR(MATCH(56,'كشف الحساب'!$N$4:$N$203,0),0)=0,"",INDEX('كشف الحساب'!$A$4:$A$203,IFERROR(MATCH(56,'كشف الحساب'!$N$4:$N$203,0),0))),"")</f>
        <v>46175</v>
      </c>
      <c r="B60" s="111" t="str">
        <f aca="false">IFERROR(IF(IFERROR(MATCH(56,'كشف الحساب'!$N$4:$N$203,0),0)=0,"",INDEX('كشف الحساب'!$B$4:$B$203,IFERROR(MATCH(56,'كشف الحساب'!$N$4:$N$203,0),0))),"")</f>
        <v>Inv-54</v>
      </c>
      <c r="C60" s="112" t="str">
        <f aca="false">IFERROR(IF(IFERROR(MATCH(56,'كشف الحساب'!$N$4:$N$203,0),0)=0,"",INDEX('كشف الحساب'!$C$4:$C$203,IFERROR(MATCH(56,'كشف الحساب'!$N$4:$N$203,0),0))),"")</f>
        <v>دارسينا خضراء عدد 1 الحبه 2</v>
      </c>
      <c r="D60" s="113" t="n">
        <f aca="false">IFERROR(IF(IFERROR(MATCH(56,'كشف الحساب'!$N$4:$N$203,0),0)=0,"",INDEX('كشف الحساب'!$D$4:$D$203,IFERROR(MATCH(56,'كشف الحساب'!$N$4:$N$203,0),0))),"")</f>
        <v>0</v>
      </c>
      <c r="E60" s="114" t="n">
        <f aca="false">IFERROR(IF(IFERROR(MATCH(56,'كشف الحساب'!$N$4:$N$203,0),0)=0,"",INDEX('كشف الحساب'!$E$4:$E$203,IFERROR(MATCH(56,'كشف الحساب'!$N$4:$N$203,0),0))),"")</f>
        <v>2</v>
      </c>
      <c r="F60" s="111" t="str">
        <f aca="false">IFERROR(IF(IFERROR(MATCH(56,'كشف الحساب'!$N$4:$N$203,0),0)=0,"",INDEX('كشف الحساب'!$F$4:$F$203,IFERROR(MATCH(56,'كشف الحساب'!$N$4:$N$203,0),0))),"")</f>
        <v>نقداً</v>
      </c>
      <c r="G60" s="111" t="n">
        <f aca="false">IFERROR(IF(IFERROR(MATCH(56,'كشف الحساب'!$N$4:$N$203,0),0)=0,"",INDEX('كشف الحساب'!$G$4:$G$203,IFERROR(MATCH(56,'كشف الحساب'!$N$4:$N$203,0),0))),"")</f>
        <v>0</v>
      </c>
      <c r="H60" s="111" t="str">
        <f aca="false">IFERROR(IF(IFERROR(MATCH(56,'كشف الحساب'!$N$4:$N$203,0),0)=0,"",INDEX('كشف الحساب'!$H$4:$H$203,IFERROR(MATCH(56,'كشف الحساب'!$N$4:$N$203,0),0))),"")</f>
        <v>تم الدفع</v>
      </c>
      <c r="I60" s="111" t="n">
        <f aca="false">IFERROR(IF(IFERROR(MATCH(56,'كشف الحساب'!$N$4:$N$203,0),0)=0,"",INDEX('كشف الحساب'!$I$4:$I$203,IFERROR(MATCH(56,'كشف الحساب'!$N$4:$N$203,0),0))),"")</f>
        <v>0</v>
      </c>
      <c r="J60" s="115" t="n">
        <f aca="false">IFERROR(IF(IFERROR(MATCH(56,'كشف الحساب'!$N$4:$N$203,0),0)=0,"",INDEX('كشف الحساب'!$J$4:$J$203,IFERROR(MATCH(56,'كشف الحساب'!$N$4:$N$203,0),0))),"")</f>
        <v>324.35</v>
      </c>
      <c r="K60" s="111" t="n">
        <f aca="false">IFERROR(IF(IFERROR(MATCH(56,'كشف الحساب'!$N$4:$N$203,0),0)=0,"",INDEX('كشف الحساب'!$K$4:$K$203,IFERROR(MATCH(56,'كشف الحساب'!$N$4:$N$203,0),0))),"")</f>
        <v>0</v>
      </c>
    </row>
    <row r="61" customFormat="false" ht="15" hidden="false" customHeight="true" outlineLevel="0" collapsed="false">
      <c r="A61" s="104" t="n">
        <f aca="false">IFERROR(IF(IFERROR(MATCH(57,'كشف الحساب'!$N$4:$N$203,0),0)=0,"",INDEX('كشف الحساب'!$A$4:$A$203,IFERROR(MATCH(57,'كشف الحساب'!$N$4:$N$203,0),0))),"")</f>
        <v>46175</v>
      </c>
      <c r="B61" s="105" t="str">
        <f aca="false">IFERROR(IF(IFERROR(MATCH(57,'كشف الحساب'!$N$4:$N$203,0),0)=0,"",INDEX('كشف الحساب'!$B$4:$B$203,IFERROR(MATCH(57,'كشف الحساب'!$N$4:$N$203,0),0))),"")</f>
        <v>Inv-55</v>
      </c>
      <c r="C61" s="106" t="str">
        <f aca="false">IFERROR(IF(IFERROR(MATCH(57,'كشف الحساب'!$N$4:$N$203,0),0)=0,"",INDEX('كشف الحساب'!$C$4:$C$203,IFERROR(MATCH(57,'كشف الحساب'!$N$4:$N$203,0),0))),"")</f>
        <v>افوبيا عدد 2 الحبه .750</v>
      </c>
      <c r="D61" s="107" t="n">
        <f aca="false">IFERROR(IF(IFERROR(MATCH(57,'كشف الحساب'!$N$4:$N$203,0),0)=0,"",INDEX('كشف الحساب'!$D$4:$D$203,IFERROR(MATCH(57,'كشف الحساب'!$N$4:$N$203,0),0))),"")</f>
        <v>0</v>
      </c>
      <c r="E61" s="108" t="n">
        <f aca="false">IFERROR(IF(IFERROR(MATCH(57,'كشف الحساب'!$N$4:$N$203,0),0)=0,"",INDEX('كشف الحساب'!$E$4:$E$203,IFERROR(MATCH(57,'كشف الحساب'!$N$4:$N$203,0),0))),"")</f>
        <v>1.5</v>
      </c>
      <c r="F61" s="105" t="str">
        <f aca="false">IFERROR(IF(IFERROR(MATCH(57,'كشف الحساب'!$N$4:$N$203,0),0)=0,"",INDEX('كشف الحساب'!$F$4:$F$203,IFERROR(MATCH(57,'كشف الحساب'!$N$4:$N$203,0),0))),"")</f>
        <v>نقداً</v>
      </c>
      <c r="G61" s="105" t="n">
        <f aca="false">IFERROR(IF(IFERROR(MATCH(57,'كشف الحساب'!$N$4:$N$203,0),0)=0,"",INDEX('كشف الحساب'!$G$4:$G$203,IFERROR(MATCH(57,'كشف الحساب'!$N$4:$N$203,0),0))),"")</f>
        <v>0</v>
      </c>
      <c r="H61" s="105" t="str">
        <f aca="false">IFERROR(IF(IFERROR(MATCH(57,'كشف الحساب'!$N$4:$N$203,0),0)=0,"",INDEX('كشف الحساب'!$H$4:$H$203,IFERROR(MATCH(57,'كشف الحساب'!$N$4:$N$203,0),0))),"")</f>
        <v>تم الدفع</v>
      </c>
      <c r="I61" s="105" t="n">
        <f aca="false">IFERROR(IF(IFERROR(MATCH(57,'كشف الحساب'!$N$4:$N$203,0),0)=0,"",INDEX('كشف الحساب'!$I$4:$I$203,IFERROR(MATCH(57,'كشف الحساب'!$N$4:$N$203,0),0))),"")</f>
        <v>0</v>
      </c>
      <c r="J61" s="109" t="n">
        <f aca="false">IFERROR(IF(IFERROR(MATCH(57,'كشف الحساب'!$N$4:$N$203,0),0)=0,"",INDEX('كشف الحساب'!$J$4:$J$203,IFERROR(MATCH(57,'كشف الحساب'!$N$4:$N$203,0),0))),"")</f>
        <v>325.85</v>
      </c>
      <c r="K61" s="105" t="n">
        <f aca="false">IFERROR(IF(IFERROR(MATCH(57,'كشف الحساب'!$N$4:$N$203,0),0)=0,"",INDEX('كشف الحساب'!$K$4:$K$203,IFERROR(MATCH(57,'كشف الحساب'!$N$4:$N$203,0),0))),"")</f>
        <v>0</v>
      </c>
    </row>
    <row r="62" customFormat="false" ht="15" hidden="false" customHeight="true" outlineLevel="0" collapsed="false">
      <c r="A62" s="110" t="n">
        <f aca="false">IFERROR(IF(IFERROR(MATCH(58,'كشف الحساب'!$N$4:$N$203,0),0)=0,"",INDEX('كشف الحساب'!$A$4:$A$203,IFERROR(MATCH(58,'كشف الحساب'!$N$4:$N$203,0),0))),"")</f>
        <v>46175</v>
      </c>
      <c r="B62" s="111" t="str">
        <f aca="false">IFERROR(IF(IFERROR(MATCH(58,'كشف الحساب'!$N$4:$N$203,0),0)=0,"",INDEX('كشف الحساب'!$B$4:$B$203,IFERROR(MATCH(58,'كشف الحساب'!$N$4:$N$203,0),0))),"")</f>
        <v>Inv-56</v>
      </c>
      <c r="C62" s="112" t="str">
        <f aca="false">IFERROR(IF(IFERROR(MATCH(58,'كشف الحساب'!$N$4:$N$203,0),0)=0,"",INDEX('كشف الحساب'!$C$4:$C$203,IFERROR(MATCH(58,'كشف الحساب'!$N$4:$N$203,0),0))),"")</f>
        <v>دارسينا سوداء عدد 3 الحبه 1</v>
      </c>
      <c r="D62" s="113" t="n">
        <f aca="false">IFERROR(IF(IFERROR(MATCH(58,'كشف الحساب'!$N$4:$N$203,0),0)=0,"",INDEX('كشف الحساب'!$D$4:$D$203,IFERROR(MATCH(58,'كشف الحساب'!$N$4:$N$203,0),0))),"")</f>
        <v>0</v>
      </c>
      <c r="E62" s="114" t="n">
        <f aca="false">IFERROR(IF(IFERROR(MATCH(58,'كشف الحساب'!$N$4:$N$203,0),0)=0,"",INDEX('كشف الحساب'!$E$4:$E$203,IFERROR(MATCH(58,'كشف الحساب'!$N$4:$N$203,0),0))),"")</f>
        <v>3</v>
      </c>
      <c r="F62" s="111" t="str">
        <f aca="false">IFERROR(IF(IFERROR(MATCH(58,'كشف الحساب'!$N$4:$N$203,0),0)=0,"",INDEX('كشف الحساب'!$F$4:$F$203,IFERROR(MATCH(58,'كشف الحساب'!$N$4:$N$203,0),0))),"")</f>
        <v>نقداً</v>
      </c>
      <c r="G62" s="111" t="n">
        <f aca="false">IFERROR(IF(IFERROR(MATCH(58,'كشف الحساب'!$N$4:$N$203,0),0)=0,"",INDEX('كشف الحساب'!$G$4:$G$203,IFERROR(MATCH(58,'كشف الحساب'!$N$4:$N$203,0),0))),"")</f>
        <v>0</v>
      </c>
      <c r="H62" s="111" t="str">
        <f aca="false">IFERROR(IF(IFERROR(MATCH(58,'كشف الحساب'!$N$4:$N$203,0),0)=0,"",INDEX('كشف الحساب'!$H$4:$H$203,IFERROR(MATCH(58,'كشف الحساب'!$N$4:$N$203,0),0))),"")</f>
        <v>تم الدفع</v>
      </c>
      <c r="I62" s="111" t="n">
        <f aca="false">IFERROR(IF(IFERROR(MATCH(58,'كشف الحساب'!$N$4:$N$203,0),0)=0,"",INDEX('كشف الحساب'!$I$4:$I$203,IFERROR(MATCH(58,'كشف الحساب'!$N$4:$N$203,0),0))),"")</f>
        <v>0</v>
      </c>
      <c r="J62" s="115" t="n">
        <f aca="false">IFERROR(IF(IFERROR(MATCH(58,'كشف الحساب'!$N$4:$N$203,0),0)=0,"",INDEX('كشف الحساب'!$J$4:$J$203,IFERROR(MATCH(58,'كشف الحساب'!$N$4:$N$203,0),0))),"")</f>
        <v>328.85</v>
      </c>
      <c r="K62" s="111" t="n">
        <f aca="false">IFERROR(IF(IFERROR(MATCH(58,'كشف الحساب'!$N$4:$N$203,0),0)=0,"",INDEX('كشف الحساب'!$K$4:$K$203,IFERROR(MATCH(58,'كشف الحساب'!$N$4:$N$203,0),0))),"")</f>
        <v>0</v>
      </c>
    </row>
    <row r="63" customFormat="false" ht="15" hidden="false" customHeight="true" outlineLevel="0" collapsed="false">
      <c r="A63" s="104" t="n">
        <f aca="false">IFERROR(IF(IFERROR(MATCH(59,'كشف الحساب'!$N$4:$N$203,0),0)=0,"",INDEX('كشف الحساب'!$A$4:$A$203,IFERROR(MATCH(59,'كشف الحساب'!$N$4:$N$203,0),0))),"")</f>
        <v>46177</v>
      </c>
      <c r="B63" s="105" t="str">
        <f aca="false">IFERROR(IF(IFERROR(MATCH(59,'كشف الحساب'!$N$4:$N$203,0),0)=0,"",INDEX('كشف الحساب'!$B$4:$B$203,IFERROR(MATCH(59,'كشف الحساب'!$N$4:$N$203,0),0))),"")</f>
        <v>inv-57</v>
      </c>
      <c r="C63" s="106" t="str">
        <f aca="false">IFERROR(IF(IFERROR(MATCH(59,'كشف الحساب'!$N$4:$N$203,0),0)=0,"",INDEX('كشف الحساب'!$C$4:$C$203,IFERROR(MATCH(59,'كشف الحساب'!$N$4:$N$203,0),0))),"")</f>
        <v>فوزير عدد1 قيمه 1</v>
      </c>
      <c r="D63" s="107" t="n">
        <f aca="false">IFERROR(IF(IFERROR(MATCH(59,'كشف الحساب'!$N$4:$N$203,0),0)=0,"",INDEX('كشف الحساب'!$D$4:$D$203,IFERROR(MATCH(59,'كشف الحساب'!$N$4:$N$203,0),0))),"")</f>
        <v>0</v>
      </c>
      <c r="E63" s="108" t="n">
        <f aca="false">IFERROR(IF(IFERROR(MATCH(59,'كشف الحساب'!$N$4:$N$203,0),0)=0,"",INDEX('كشف الحساب'!$E$4:$E$203,IFERROR(MATCH(59,'كشف الحساب'!$N$4:$N$203,0),0))),"")</f>
        <v>1</v>
      </c>
      <c r="F63" s="105" t="str">
        <f aca="false">IFERROR(IF(IFERROR(MATCH(59,'كشف الحساب'!$N$4:$N$203,0),0)=0,"",INDEX('كشف الحساب'!$F$4:$F$203,IFERROR(MATCH(59,'كشف الحساب'!$N$4:$N$203,0),0))),"")</f>
        <v>نقداً</v>
      </c>
      <c r="G63" s="105" t="n">
        <f aca="false">IFERROR(IF(IFERROR(MATCH(59,'كشف الحساب'!$N$4:$N$203,0),0)=0,"",INDEX('كشف الحساب'!$G$4:$G$203,IFERROR(MATCH(59,'كشف الحساب'!$N$4:$N$203,0),0))),"")</f>
        <v>0</v>
      </c>
      <c r="H63" s="105" t="str">
        <f aca="false">IFERROR(IF(IFERROR(MATCH(59,'كشف الحساب'!$N$4:$N$203,0),0)=0,"",INDEX('كشف الحساب'!$H$4:$H$203,IFERROR(MATCH(59,'كشف الحساب'!$N$4:$N$203,0),0))),"")</f>
        <v>تم الدفع</v>
      </c>
      <c r="I63" s="105" t="n">
        <f aca="false">IFERROR(IF(IFERROR(MATCH(59,'كشف الحساب'!$N$4:$N$203,0),0)=0,"",INDEX('كشف الحساب'!$I$4:$I$203,IFERROR(MATCH(59,'كشف الحساب'!$N$4:$N$203,0),0))),"")</f>
        <v>0</v>
      </c>
      <c r="J63" s="109" t="n">
        <f aca="false">IFERROR(IF(IFERROR(MATCH(59,'كشف الحساب'!$N$4:$N$203,0),0)=0,"",INDEX('كشف الحساب'!$J$4:$J$203,IFERROR(MATCH(59,'كشف الحساب'!$N$4:$N$203,0),0))),"")</f>
        <v>329.85</v>
      </c>
      <c r="K63" s="105" t="n">
        <f aca="false">IFERROR(IF(IFERROR(MATCH(59,'كشف الحساب'!$N$4:$N$203,0),0)=0,"",INDEX('كشف الحساب'!$K$4:$K$203,IFERROR(MATCH(59,'كشف الحساب'!$N$4:$N$203,0),0))),"")</f>
        <v>0</v>
      </c>
    </row>
    <row r="64" customFormat="false" ht="15" hidden="false" customHeight="true" outlineLevel="0" collapsed="false">
      <c r="A64" s="110" t="n">
        <f aca="false">IFERROR(IF(IFERROR(MATCH(60,'كشف الحساب'!$N$4:$N$203,0),0)=0,"",INDEX('كشف الحساب'!$A$4:$A$203,IFERROR(MATCH(60,'كشف الحساب'!$N$4:$N$203,0),0))),"")</f>
        <v>46177</v>
      </c>
      <c r="B64" s="111" t="n">
        <f aca="false">IFERROR(IF(IFERROR(MATCH(60,'كشف الحساب'!$N$4:$N$203,0),0)=0,"",INDEX('كشف الحساب'!$B$4:$B$203,IFERROR(MATCH(60,'كشف الحساب'!$N$4:$N$203,0),0))),"")</f>
        <v>0</v>
      </c>
      <c r="C64" s="112" t="str">
        <f aca="false">IFERROR(IF(IFERROR(MATCH(60,'كشف الحساب'!$N$4:$N$203,0),0)=0,"",INDEX('كشف الحساب'!$C$4:$C$203,IFERROR(MATCH(60,'كشف الحساب'!$N$4:$N$203,0),0))),"")</f>
        <v>سماد</v>
      </c>
      <c r="D64" s="113" t="n">
        <f aca="false">IFERROR(IF(IFERROR(MATCH(60,'كشف الحساب'!$N$4:$N$203,0),0)=0,"",INDEX('كشف الحساب'!$D$4:$D$203,IFERROR(MATCH(60,'كشف الحساب'!$N$4:$N$203,0),0))),"")</f>
        <v>10</v>
      </c>
      <c r="E64" s="114" t="n">
        <f aca="false">IFERROR(IF(IFERROR(MATCH(60,'كشف الحساب'!$N$4:$N$203,0),0)=0,"",INDEX('كشف الحساب'!$E$4:$E$203,IFERROR(MATCH(60,'كشف الحساب'!$N$4:$N$203,0),0))),"")</f>
        <v>0</v>
      </c>
      <c r="F64" s="111" t="str">
        <f aca="false">IFERROR(IF(IFERROR(MATCH(60,'كشف الحساب'!$N$4:$N$203,0),0)=0,"",INDEX('كشف الحساب'!$F$4:$F$203,IFERROR(MATCH(60,'كشف الحساب'!$N$4:$N$203,0),0))),"")</f>
        <v>نقداً</v>
      </c>
      <c r="G64" s="111" t="str">
        <f aca="false">IFERROR(IF(IFERROR(MATCH(60,'كشف الحساب'!$N$4:$N$203,0),0)=0,"",INDEX('كشف الحساب'!$G$4:$G$203,IFERROR(MATCH(60,'كشف الحساب'!$N$4:$N$203,0),0))),"")</f>
        <v>المحفظة</v>
      </c>
      <c r="H64" s="111" t="str">
        <f aca="false">IFERROR(IF(IFERROR(MATCH(60,'كشف الحساب'!$N$4:$N$203,0),0)=0,"",INDEX('كشف الحساب'!$H$4:$H$203,IFERROR(MATCH(60,'كشف الحساب'!$N$4:$N$203,0),0))),"")</f>
        <v>تم الدفع</v>
      </c>
      <c r="I64" s="111" t="n">
        <f aca="false">IFERROR(IF(IFERROR(MATCH(60,'كشف الحساب'!$N$4:$N$203,0),0)=0,"",INDEX('كشف الحساب'!$I$4:$I$203,IFERROR(MATCH(60,'كشف الحساب'!$N$4:$N$203,0),0))),"")</f>
        <v>0</v>
      </c>
      <c r="J64" s="115" t="n">
        <f aca="false">IFERROR(IF(IFERROR(MATCH(60,'كشف الحساب'!$N$4:$N$203,0),0)=0,"",INDEX('كشف الحساب'!$J$4:$J$203,IFERROR(MATCH(60,'كشف الحساب'!$N$4:$N$203,0),0))),"")</f>
        <v>319.85</v>
      </c>
      <c r="K64" s="111" t="n">
        <f aca="false">IFERROR(IF(IFERROR(MATCH(60,'كشف الحساب'!$N$4:$N$203,0),0)=0,"",INDEX('كشف الحساب'!$K$4:$K$203,IFERROR(MATCH(60,'كشف الحساب'!$N$4:$N$203,0),0))),"")</f>
        <v>0</v>
      </c>
    </row>
    <row r="65" customFormat="false" ht="15" hidden="false" customHeight="true" outlineLevel="0" collapsed="false">
      <c r="A65" s="104" t="n">
        <f aca="false">IFERROR(IF(IFERROR(MATCH(61,'كشف الحساب'!$N$4:$N$203,0),0)=0,"",INDEX('كشف الحساب'!$A$4:$A$203,IFERROR(MATCH(61,'كشف الحساب'!$N$4:$N$203,0),0))),"")</f>
        <v>46177</v>
      </c>
      <c r="B65" s="105" t="n">
        <f aca="false">IFERROR(IF(IFERROR(MATCH(61,'كشف الحساب'!$N$4:$N$203,0),0)=0,"",INDEX('كشف الحساب'!$B$4:$B$203,IFERROR(MATCH(61,'كشف الحساب'!$N$4:$N$203,0),0))),"")</f>
        <v>0</v>
      </c>
      <c r="C65" s="106" t="str">
        <f aca="false">IFERROR(IF(IFERROR(MATCH(61,'كشف الحساب'!$N$4:$N$203,0),0)=0,"",INDEX('كشف الحساب'!$C$4:$C$203,IFERROR(MATCH(61,'كشف الحساب'!$N$4:$N$203,0),0))),"")</f>
        <v>تاير لعربة الرش</v>
      </c>
      <c r="D65" s="107" t="n">
        <f aca="false">IFERROR(IF(IFERROR(MATCH(61,'كشف الحساب'!$N$4:$N$203,0),0)=0,"",INDEX('كشف الحساب'!$D$4:$D$203,IFERROR(MATCH(61,'كشف الحساب'!$N$4:$N$203,0),0))),"")</f>
        <v>3.25</v>
      </c>
      <c r="E65" s="108" t="n">
        <f aca="false">IFERROR(IF(IFERROR(MATCH(61,'كشف الحساب'!$N$4:$N$203,0),0)=0,"",INDEX('كشف الحساب'!$E$4:$E$203,IFERROR(MATCH(61,'كشف الحساب'!$N$4:$N$203,0),0))),"")</f>
        <v>0</v>
      </c>
      <c r="F65" s="105" t="str">
        <f aca="false">IFERROR(IF(IFERROR(MATCH(61,'كشف الحساب'!$N$4:$N$203,0),0)=0,"",INDEX('كشف الحساب'!$F$4:$F$203,IFERROR(MATCH(61,'كشف الحساب'!$N$4:$N$203,0),0))),"")</f>
        <v>نقداً</v>
      </c>
      <c r="G65" s="105" t="str">
        <f aca="false">IFERROR(IF(IFERROR(MATCH(61,'كشف الحساب'!$N$4:$N$203,0),0)=0,"",INDEX('كشف الحساب'!$G$4:$G$203,IFERROR(MATCH(61,'كشف الحساب'!$N$4:$N$203,0),0))),"")</f>
        <v>المحفظة</v>
      </c>
      <c r="H65" s="105" t="str">
        <f aca="false">IFERROR(IF(IFERROR(MATCH(61,'كشف الحساب'!$N$4:$N$203,0),0)=0,"",INDEX('كشف الحساب'!$H$4:$H$203,IFERROR(MATCH(61,'كشف الحساب'!$N$4:$N$203,0),0))),"")</f>
        <v>تم الدفع</v>
      </c>
      <c r="I65" s="105" t="n">
        <f aca="false">IFERROR(IF(IFERROR(MATCH(61,'كشف الحساب'!$N$4:$N$203,0),0)=0,"",INDEX('كشف الحساب'!$I$4:$I$203,IFERROR(MATCH(61,'كشف الحساب'!$N$4:$N$203,0),0))),"")</f>
        <v>0</v>
      </c>
      <c r="J65" s="109" t="n">
        <f aca="false">IFERROR(IF(IFERROR(MATCH(61,'كشف الحساب'!$N$4:$N$203,0),0)=0,"",INDEX('كشف الحساب'!$J$4:$J$203,IFERROR(MATCH(61,'كشف الحساب'!$N$4:$N$203,0),0))),"")</f>
        <v>316.6</v>
      </c>
      <c r="K65" s="105" t="n">
        <f aca="false">IFERROR(IF(IFERROR(MATCH(61,'كشف الحساب'!$N$4:$N$203,0),0)=0,"",INDEX('كشف الحساب'!$K$4:$K$203,IFERROR(MATCH(61,'كشف الحساب'!$N$4:$N$203,0),0))),"")</f>
        <v>0</v>
      </c>
    </row>
    <row r="66" customFormat="false" ht="15" hidden="false" customHeight="true" outlineLevel="0" collapsed="false">
      <c r="A66" s="110" t="n">
        <f aca="false">IFERROR(IF(IFERROR(MATCH(62,'كشف الحساب'!$N$4:$N$203,0),0)=0,"",INDEX('كشف الحساب'!$A$4:$A$203,IFERROR(MATCH(62,'كشف الحساب'!$N$4:$N$203,0),0))),"")</f>
        <v>46177</v>
      </c>
      <c r="B66" s="111" t="n">
        <f aca="false">IFERROR(IF(IFERROR(MATCH(62,'كشف الحساب'!$N$4:$N$203,0),0)=0,"",INDEX('كشف الحساب'!$B$4:$B$203,IFERROR(MATCH(62,'كشف الحساب'!$N$4:$N$203,0),0))),"")</f>
        <v>0</v>
      </c>
      <c r="C66" s="112" t="str">
        <f aca="false">IFERROR(IF(IFERROR(MATCH(62,'كشف الحساب'!$N$4:$N$203,0),0)=0,"",INDEX('كشف الحساب'!$C$4:$C$203,IFERROR(MATCH(62,'كشف الحساب'!$N$4:$N$203,0),0))),"")</f>
        <v>حفاره خلط السماد</v>
      </c>
      <c r="D66" s="113" t="n">
        <f aca="false">IFERROR(IF(IFERROR(MATCH(62,'كشف الحساب'!$N$4:$N$203,0),0)=0,"",INDEX('كشف الحساب'!$D$4:$D$203,IFERROR(MATCH(62,'كشف الحساب'!$N$4:$N$203,0),0))),"")</f>
        <v>12</v>
      </c>
      <c r="E66" s="114" t="n">
        <f aca="false">IFERROR(IF(IFERROR(MATCH(62,'كشف الحساب'!$N$4:$N$203,0),0)=0,"",INDEX('كشف الحساب'!$E$4:$E$203,IFERROR(MATCH(62,'كشف الحساب'!$N$4:$N$203,0),0))),"")</f>
        <v>0</v>
      </c>
      <c r="F66" s="111" t="str">
        <f aca="false">IFERROR(IF(IFERROR(MATCH(62,'كشف الحساب'!$N$4:$N$203,0),0)=0,"",INDEX('كشف الحساب'!$F$4:$F$203,IFERROR(MATCH(62,'كشف الحساب'!$N$4:$N$203,0),0))),"")</f>
        <v>نقداً</v>
      </c>
      <c r="G66" s="111" t="str">
        <f aca="false">IFERROR(IF(IFERROR(MATCH(62,'كشف الحساب'!$N$4:$N$203,0),0)=0,"",INDEX('كشف الحساب'!$G$4:$G$203,IFERROR(MATCH(62,'كشف الحساب'!$N$4:$N$203,0),0))),"")</f>
        <v>المحفظة</v>
      </c>
      <c r="H66" s="111" t="str">
        <f aca="false">IFERROR(IF(IFERROR(MATCH(62,'كشف الحساب'!$N$4:$N$203,0),0)=0,"",INDEX('كشف الحساب'!$H$4:$H$203,IFERROR(MATCH(62,'كشف الحساب'!$N$4:$N$203,0),0))),"")</f>
        <v>تم الدفع</v>
      </c>
      <c r="I66" s="111" t="n">
        <f aca="false">IFERROR(IF(IFERROR(MATCH(62,'كشف الحساب'!$N$4:$N$203,0),0)=0,"",INDEX('كشف الحساب'!$I$4:$I$203,IFERROR(MATCH(62,'كشف الحساب'!$N$4:$N$203,0),0))),"")</f>
        <v>0</v>
      </c>
      <c r="J66" s="115" t="n">
        <f aca="false">IFERROR(IF(IFERROR(MATCH(62,'كشف الحساب'!$N$4:$N$203,0),0)=0,"",INDEX('كشف الحساب'!$J$4:$J$203,IFERROR(MATCH(62,'كشف الحساب'!$N$4:$N$203,0),0))),"")</f>
        <v>304.6</v>
      </c>
      <c r="K66" s="111" t="n">
        <f aca="false">IFERROR(IF(IFERROR(MATCH(62,'كشف الحساب'!$N$4:$N$203,0),0)=0,"",INDEX('كشف الحساب'!$K$4:$K$203,IFERROR(MATCH(62,'كشف الحساب'!$N$4:$N$203,0),0))),"")</f>
        <v>0</v>
      </c>
    </row>
    <row r="67" customFormat="false" ht="15" hidden="false" customHeight="true" outlineLevel="0" collapsed="false">
      <c r="A67" s="104" t="n">
        <f aca="false">IFERROR(IF(IFERROR(MATCH(63,'كشف الحساب'!$N$4:$N$203,0),0)=0,"",INDEX('كشف الحساب'!$A$4:$A$203,IFERROR(MATCH(63,'كشف الحساب'!$N$4:$N$203,0),0))),"")</f>
        <v>46179</v>
      </c>
      <c r="B67" s="105" t="str">
        <f aca="false">IFERROR(IF(IFERROR(MATCH(63,'كشف الحساب'!$N$4:$N$203,0),0)=0,"",INDEX('كشف الحساب'!$B$4:$B$203,IFERROR(MATCH(63,'كشف الحساب'!$N$4:$N$203,0),0))),"")</f>
        <v>Inv-59</v>
      </c>
      <c r="C67" s="106" t="str">
        <f aca="false">IFERROR(IF(IFERROR(MATCH(63,'كشف الحساب'!$N$4:$N$203,0),0)=0,"",INDEX('كشف الحساب'!$C$4:$C$203,IFERROR(MATCH(63,'كشف الحساب'!$N$4:$N$203,0),0))),"")</f>
        <v>ودليه عدد 1 بقيمه 1</v>
      </c>
      <c r="D67" s="107" t="n">
        <f aca="false">IFERROR(IF(IFERROR(MATCH(63,'كشف الحساب'!$N$4:$N$203,0),0)=0,"",INDEX('كشف الحساب'!$D$4:$D$203,IFERROR(MATCH(63,'كشف الحساب'!$N$4:$N$203,0),0))),"")</f>
        <v>0</v>
      </c>
      <c r="E67" s="108" t="n">
        <f aca="false">IFERROR(IF(IFERROR(MATCH(63,'كشف الحساب'!$N$4:$N$203,0),0)=0,"",INDEX('كشف الحساب'!$E$4:$E$203,IFERROR(MATCH(63,'كشف الحساب'!$N$4:$N$203,0),0))),"")</f>
        <v>1</v>
      </c>
      <c r="F67" s="105" t="str">
        <f aca="false">IFERROR(IF(IFERROR(MATCH(63,'كشف الحساب'!$N$4:$N$203,0),0)=0,"",INDEX('كشف الحساب'!$F$4:$F$203,IFERROR(MATCH(63,'كشف الحساب'!$N$4:$N$203,0),0))),"")</f>
        <v>نقداً</v>
      </c>
      <c r="G67" s="105" t="n">
        <f aca="false">IFERROR(IF(IFERROR(MATCH(63,'كشف الحساب'!$N$4:$N$203,0),0)=0,"",INDEX('كشف الحساب'!$G$4:$G$203,IFERROR(MATCH(63,'كشف الحساب'!$N$4:$N$203,0),0))),"")</f>
        <v>0</v>
      </c>
      <c r="H67" s="105" t="str">
        <f aca="false">IFERROR(IF(IFERROR(MATCH(63,'كشف الحساب'!$N$4:$N$203,0),0)=0,"",INDEX('كشف الحساب'!$H$4:$H$203,IFERROR(MATCH(63,'كشف الحساب'!$N$4:$N$203,0),0))),"")</f>
        <v>تم الدفع</v>
      </c>
      <c r="I67" s="105" t="n">
        <f aca="false">IFERROR(IF(IFERROR(MATCH(63,'كشف الحساب'!$N$4:$N$203,0),0)=0,"",INDEX('كشف الحساب'!$I$4:$I$203,IFERROR(MATCH(63,'كشف الحساب'!$N$4:$N$203,0),0))),"")</f>
        <v>0</v>
      </c>
      <c r="J67" s="109" t="n">
        <f aca="false">IFERROR(IF(IFERROR(MATCH(63,'كشف الحساب'!$N$4:$N$203,0),0)=0,"",INDEX('كشف الحساب'!$J$4:$J$203,IFERROR(MATCH(63,'كشف الحساب'!$N$4:$N$203,0),0))),"")</f>
        <v>308.6</v>
      </c>
      <c r="K67" s="105" t="n">
        <f aca="false">IFERROR(IF(IFERROR(MATCH(63,'كشف الحساب'!$N$4:$N$203,0),0)=0,"",INDEX('كشف الحساب'!$K$4:$K$203,IFERROR(MATCH(63,'كشف الحساب'!$N$4:$N$203,0),0))),"")</f>
        <v>0</v>
      </c>
    </row>
    <row r="68" customFormat="false" ht="15" hidden="false" customHeight="true" outlineLevel="0" collapsed="false">
      <c r="A68" s="110" t="n">
        <f aca="false">IFERROR(IF(IFERROR(MATCH(64,'كشف الحساب'!$N$4:$N$203,0),0)=0,"",INDEX('كشف الحساب'!$A$4:$A$203,IFERROR(MATCH(64,'كشف الحساب'!$N$4:$N$203,0),0))),"")</f>
        <v>46181</v>
      </c>
      <c r="B68" s="111" t="str">
        <f aca="false">IFERROR(IF(IFERROR(MATCH(64,'كشف الحساب'!$N$4:$N$203,0),0)=0,"",INDEX('كشف الحساب'!$B$4:$B$203,IFERROR(MATCH(64,'كشف الحساب'!$N$4:$N$203,0),0))),"")</f>
        <v>Inv-61</v>
      </c>
      <c r="C68" s="112" t="str">
        <f aca="false">IFERROR(IF(IFERROR(MATCH(64,'كشف الحساب'!$N$4:$N$203,0),0)=0,"",INDEX('كشف الحساب'!$C$4:$C$203,IFERROR(MATCH(64,'كشف الحساب'!$N$4:$N$203,0),0))),"")</f>
        <v>فل عدد 20 بقيمه 0.750</v>
      </c>
      <c r="D68" s="113" t="n">
        <f aca="false">IFERROR(IF(IFERROR(MATCH(64,'كشف الحساب'!$N$4:$N$203,0),0)=0,"",INDEX('كشف الحساب'!$D$4:$D$203,IFERROR(MATCH(64,'كشف الحساب'!$N$4:$N$203,0),0))),"")</f>
        <v>0</v>
      </c>
      <c r="E68" s="114" t="n">
        <f aca="false">IFERROR(IF(IFERROR(MATCH(64,'كشف الحساب'!$N$4:$N$203,0),0)=0,"",INDEX('كشف الحساب'!$E$4:$E$203,IFERROR(MATCH(64,'كشف الحساب'!$N$4:$N$203,0),0))),"")</f>
        <v>15</v>
      </c>
      <c r="F68" s="111" t="str">
        <f aca="false">IFERROR(IF(IFERROR(MATCH(64,'كشف الحساب'!$N$4:$N$203,0),0)=0,"",INDEX('كشف الحساب'!$F$4:$F$203,IFERROR(MATCH(64,'كشف الحساب'!$N$4:$N$203,0),0))),"")</f>
        <v>نقداً</v>
      </c>
      <c r="G68" s="111" t="n">
        <f aca="false">IFERROR(IF(IFERROR(MATCH(64,'كشف الحساب'!$N$4:$N$203,0),0)=0,"",INDEX('كشف الحساب'!$G$4:$G$203,IFERROR(MATCH(64,'كشف الحساب'!$N$4:$N$203,0),0))),"")</f>
        <v>0</v>
      </c>
      <c r="H68" s="111" t="str">
        <f aca="false">IFERROR(IF(IFERROR(MATCH(64,'كشف الحساب'!$N$4:$N$203,0),0)=0,"",INDEX('كشف الحساب'!$H$4:$H$203,IFERROR(MATCH(64,'كشف الحساب'!$N$4:$N$203,0),0))),"")</f>
        <v>تم الدفع</v>
      </c>
      <c r="I68" s="111" t="n">
        <f aca="false">IFERROR(IF(IFERROR(MATCH(64,'كشف الحساب'!$N$4:$N$203,0),0)=0,"",INDEX('كشف الحساب'!$I$4:$I$203,IFERROR(MATCH(64,'كشف الحساب'!$N$4:$N$203,0),0))),"")</f>
        <v>0</v>
      </c>
      <c r="J68" s="115" t="n">
        <f aca="false">IFERROR(IF(IFERROR(MATCH(64,'كشف الحساب'!$N$4:$N$203,0),0)=0,"",INDEX('كشف الحساب'!$J$4:$J$203,IFERROR(MATCH(64,'كشف الحساب'!$N$4:$N$203,0),0))),"")</f>
        <v>326.6</v>
      </c>
      <c r="K68" s="111" t="n">
        <f aca="false">IFERROR(IF(IFERROR(MATCH(64,'كشف الحساب'!$N$4:$N$203,0),0)=0,"",INDEX('كشف الحساب'!$K$4:$K$203,IFERROR(MATCH(64,'كشف الحساب'!$N$4:$N$203,0),0))),"")</f>
        <v>0</v>
      </c>
    </row>
    <row r="69" customFormat="false" ht="15" hidden="false" customHeight="true" outlineLevel="0" collapsed="false">
      <c r="A69" s="104" t="n">
        <f aca="false">IFERROR(IF(IFERROR(MATCH(65,'كشف الحساب'!$N$4:$N$203,0),0)=0,"",INDEX('كشف الحساب'!$A$4:$A$203,IFERROR(MATCH(65,'كشف الحساب'!$N$4:$N$203,0),0))),"")</f>
        <v>46181</v>
      </c>
      <c r="B69" s="105" t="n">
        <f aca="false">IFERROR(IF(IFERROR(MATCH(65,'كشف الحساب'!$N$4:$N$203,0),0)=0,"",INDEX('كشف الحساب'!$B$4:$B$203,IFERROR(MATCH(65,'كشف الحساب'!$N$4:$N$203,0),0))),"")</f>
        <v>0</v>
      </c>
      <c r="C69" s="106" t="str">
        <f aca="false">IFERROR(IF(IFERROR(MATCH(65,'كشف الحساب'!$N$4:$N$203,0),0)=0,"",INDEX('كشف الحساب'!$C$4:$C$203,IFERROR(MATCH(65,'كشف الحساب'!$N$4:$N$203,0),0))),"")</f>
        <v>حديد اسود للمحميه الصغيره الجديده</v>
      </c>
      <c r="D69" s="107" t="n">
        <f aca="false">IFERROR(IF(IFERROR(MATCH(65,'كشف الحساب'!$N$4:$N$203,0),0)=0,"",INDEX('كشف الحساب'!$D$4:$D$203,IFERROR(MATCH(65,'كشف الحساب'!$N$4:$N$203,0),0))),"")</f>
        <v>46.75</v>
      </c>
      <c r="E69" s="108" t="n">
        <f aca="false">IFERROR(IF(IFERROR(MATCH(65,'كشف الحساب'!$N$4:$N$203,0),0)=0,"",INDEX('كشف الحساب'!$E$4:$E$203,IFERROR(MATCH(65,'كشف الحساب'!$N$4:$N$203,0),0))),"")</f>
        <v>0</v>
      </c>
      <c r="F69" s="105" t="str">
        <f aca="false">IFERROR(IF(IFERROR(MATCH(65,'كشف الحساب'!$N$4:$N$203,0),0)=0,"",INDEX('كشف الحساب'!$F$4:$F$203,IFERROR(MATCH(65,'كشف الحساب'!$N$4:$N$203,0),0))),"")</f>
        <v>نقداً</v>
      </c>
      <c r="G69" s="105" t="str">
        <f aca="false">IFERROR(IF(IFERROR(MATCH(65,'كشف الحساب'!$N$4:$N$203,0),0)=0,"",INDEX('كشف الحساب'!$G$4:$G$203,IFERROR(MATCH(65,'كشف الحساب'!$N$4:$N$203,0),0))),"")</f>
        <v>المحفظة</v>
      </c>
      <c r="H69" s="105" t="str">
        <f aca="false">IFERROR(IF(IFERROR(MATCH(65,'كشف الحساب'!$N$4:$N$203,0),0)=0,"",INDEX('كشف الحساب'!$H$4:$H$203,IFERROR(MATCH(65,'كشف الحساب'!$N$4:$N$203,0),0))),"")</f>
        <v>تم الدفع</v>
      </c>
      <c r="I69" s="105" t="n">
        <f aca="false">IFERROR(IF(IFERROR(MATCH(65,'كشف الحساب'!$N$4:$N$203,0),0)=0,"",INDEX('كشف الحساب'!$I$4:$I$203,IFERROR(MATCH(65,'كشف الحساب'!$N$4:$N$203,0),0))),"")</f>
        <v>0</v>
      </c>
      <c r="J69" s="109" t="n">
        <f aca="false">IFERROR(IF(IFERROR(MATCH(65,'كشف الحساب'!$N$4:$N$203,0),0)=0,"",INDEX('كشف الحساب'!$J$4:$J$203,IFERROR(MATCH(65,'كشف الحساب'!$N$4:$N$203,0),0))),"")</f>
        <v>277.05</v>
      </c>
      <c r="K69" s="105" t="n">
        <f aca="false">IFERROR(IF(IFERROR(MATCH(65,'كشف الحساب'!$N$4:$N$203,0),0)=0,"",INDEX('كشف الحساب'!$K$4:$K$203,IFERROR(MATCH(65,'كشف الحساب'!$N$4:$N$203,0),0))),"")</f>
        <v>0</v>
      </c>
    </row>
    <row r="70" customFormat="false" ht="15" hidden="false" customHeight="true" outlineLevel="0" collapsed="false">
      <c r="A70" s="110" t="n">
        <f aca="false">IFERROR(IF(IFERROR(MATCH(66,'كشف الحساب'!$N$4:$N$203,0),0)=0,"",INDEX('كشف الحساب'!$A$4:$A$203,IFERROR(MATCH(66,'كشف الحساب'!$N$4:$N$203,0),0))),"")</f>
        <v>0</v>
      </c>
      <c r="B70" s="111" t="n">
        <f aca="false">IFERROR(IF(IFERROR(MATCH(66,'كشف الحساب'!$N$4:$N$203,0),0)=0,"",INDEX('كشف الحساب'!$B$4:$B$203,IFERROR(MATCH(66,'كشف الحساب'!$N$4:$N$203,0),0))),"")</f>
        <v>0</v>
      </c>
      <c r="C70" s="112" t="n">
        <f aca="false">IFERROR(IF(IFERROR(MATCH(66,'كشف الحساب'!$N$4:$N$203,0),0)=0,"",INDEX('كشف الحساب'!$C$4:$C$203,IFERROR(MATCH(66,'كشف الحساب'!$N$4:$N$203,0),0))),"")</f>
        <v>0</v>
      </c>
      <c r="D70" s="113" t="n">
        <f aca="false">IFERROR(IF(IFERROR(MATCH(66,'كشف الحساب'!$N$4:$N$203,0),0)=0,"",INDEX('كشف الحساب'!$D$4:$D$203,IFERROR(MATCH(66,'كشف الحساب'!$N$4:$N$203,0),0))),"")</f>
        <v>0</v>
      </c>
      <c r="E70" s="114" t="n">
        <f aca="false">IFERROR(IF(IFERROR(MATCH(66,'كشف الحساب'!$N$4:$N$203,0),0)=0,"",INDEX('كشف الحساب'!$E$4:$E$203,IFERROR(MATCH(66,'كشف الحساب'!$N$4:$N$203,0),0))),"")</f>
        <v>0</v>
      </c>
      <c r="F70" s="111" t="n">
        <f aca="false">IFERROR(IF(IFERROR(MATCH(66,'كشف الحساب'!$N$4:$N$203,0),0)=0,"",INDEX('كشف الحساب'!$F$4:$F$203,IFERROR(MATCH(66,'كشف الحساب'!$N$4:$N$203,0),0))),"")</f>
        <v>0</v>
      </c>
      <c r="G70" s="111" t="n">
        <f aca="false">IFERROR(IF(IFERROR(MATCH(66,'كشف الحساب'!$N$4:$N$203,0),0)=0,"",INDEX('كشف الحساب'!$G$4:$G$203,IFERROR(MATCH(66,'كشف الحساب'!$N$4:$N$203,0),0))),"")</f>
        <v>0</v>
      </c>
      <c r="H70" s="111" t="n">
        <f aca="false">IFERROR(IF(IFERROR(MATCH(66,'كشف الحساب'!$N$4:$N$203,0),0)=0,"",INDEX('كشف الحساب'!$H$4:$H$203,IFERROR(MATCH(66,'كشف الحساب'!$N$4:$N$203,0),0))),"")</f>
        <v>0</v>
      </c>
      <c r="I70" s="111" t="n">
        <f aca="false">IFERROR(IF(IFERROR(MATCH(66,'كشف الحساب'!$N$4:$N$203,0),0)=0,"",INDEX('كشف الحساب'!$I$4:$I$203,IFERROR(MATCH(66,'كشف الحساب'!$N$4:$N$203,0),0))),"")</f>
        <v>0</v>
      </c>
      <c r="J70" s="115" t="str">
        <f aca="false">IFERROR(IF(IFERROR(MATCH(66,'كشف الحساب'!$N$4:$N$203,0),0)=0,"",INDEX('كشف الحساب'!$J$4:$J$203,IFERROR(MATCH(66,'كشف الحساب'!$N$4:$N$203,0),0))),"")</f>
        <v/>
      </c>
      <c r="K70" s="111" t="n">
        <f aca="false">IFERROR(IF(IFERROR(MATCH(66,'كشف الحساب'!$N$4:$N$203,0),0)=0,"",INDEX('كشف الحساب'!$K$4:$K$203,IFERROR(MATCH(66,'كشف الحساب'!$N$4:$N$203,0),0))),"")</f>
        <v>0</v>
      </c>
    </row>
    <row r="71" customFormat="false" ht="15" hidden="false" customHeight="true" outlineLevel="0" collapsed="false">
      <c r="A71" s="104" t="str">
        <f aca="false">IFERROR(IF(IFERROR(MATCH(67,'كشف الحساب'!$N$4:$N$203,0),0)=0,"",INDEX('كشف الحساب'!$A$4:$A$203,IFERROR(MATCH(67,'كشف الحساب'!$N$4:$N$203,0),0))),"")</f>
        <v/>
      </c>
      <c r="B71" s="105" t="str">
        <f aca="false">IFERROR(IF(IFERROR(MATCH(67,'كشف الحساب'!$N$4:$N$203,0),0)=0,"",INDEX('كشف الحساب'!$B$4:$B$203,IFERROR(MATCH(67,'كشف الحساب'!$N$4:$N$203,0),0))),"")</f>
        <v/>
      </c>
      <c r="C71" s="106" t="str">
        <f aca="false">IFERROR(IF(IFERROR(MATCH(67,'كشف الحساب'!$N$4:$N$203,0),0)=0,"",INDEX('كشف الحساب'!$C$4:$C$203,IFERROR(MATCH(67,'كشف الحساب'!$N$4:$N$203,0),0))),"")</f>
        <v/>
      </c>
      <c r="D71" s="107" t="str">
        <f aca="false">IFERROR(IF(IFERROR(MATCH(67,'كشف الحساب'!$N$4:$N$203,0),0)=0,"",INDEX('كشف الحساب'!$D$4:$D$203,IFERROR(MATCH(67,'كشف الحساب'!$N$4:$N$203,0),0))),"")</f>
        <v/>
      </c>
      <c r="E71" s="108" t="str">
        <f aca="false">IFERROR(IF(IFERROR(MATCH(67,'كشف الحساب'!$N$4:$N$203,0),0)=0,"",INDEX('كشف الحساب'!$E$4:$E$203,IFERROR(MATCH(67,'كشف الحساب'!$N$4:$N$203,0),0))),"")</f>
        <v/>
      </c>
      <c r="F71" s="105" t="str">
        <f aca="false">IFERROR(IF(IFERROR(MATCH(67,'كشف الحساب'!$N$4:$N$203,0),0)=0,"",INDEX('كشف الحساب'!$F$4:$F$203,IFERROR(MATCH(67,'كشف الحساب'!$N$4:$N$203,0),0))),"")</f>
        <v/>
      </c>
      <c r="G71" s="105" t="str">
        <f aca="false">IFERROR(IF(IFERROR(MATCH(67,'كشف الحساب'!$N$4:$N$203,0),0)=0,"",INDEX('كشف الحساب'!$G$4:$G$203,IFERROR(MATCH(67,'كشف الحساب'!$N$4:$N$203,0),0))),"")</f>
        <v/>
      </c>
      <c r="H71" s="105" t="str">
        <f aca="false">IFERROR(IF(IFERROR(MATCH(67,'كشف الحساب'!$N$4:$N$203,0),0)=0,"",INDEX('كشف الحساب'!$H$4:$H$203,IFERROR(MATCH(67,'كشف الحساب'!$N$4:$N$203,0),0))),"")</f>
        <v/>
      </c>
      <c r="I71" s="105" t="str">
        <f aca="false">IFERROR(IF(IFERROR(MATCH(67,'كشف الحساب'!$N$4:$N$203,0),0)=0,"",INDEX('كشف الحساب'!$I$4:$I$203,IFERROR(MATCH(67,'كشف الحساب'!$N$4:$N$203,0),0))),"")</f>
        <v/>
      </c>
      <c r="J71" s="109" t="str">
        <f aca="false">IFERROR(IF(IFERROR(MATCH(67,'كشف الحساب'!$N$4:$N$203,0),0)=0,"",INDEX('كشف الحساب'!$J$4:$J$203,IFERROR(MATCH(67,'كشف الحساب'!$N$4:$N$203,0),0))),"")</f>
        <v/>
      </c>
      <c r="K71" s="105" t="str">
        <f aca="false">IFERROR(IF(IFERROR(MATCH(67,'كشف الحساب'!$N$4:$N$203,0),0)=0,"",INDEX('كشف الحساب'!$K$4:$K$203,IFERROR(MATCH(67,'كشف الحساب'!$N$4:$N$203,0),0))),"")</f>
        <v/>
      </c>
    </row>
    <row r="72" customFormat="false" ht="15" hidden="false" customHeight="true" outlineLevel="0" collapsed="false">
      <c r="A72" s="110" t="str">
        <f aca="false">IFERROR(IF(IFERROR(MATCH(68,'كشف الحساب'!$N$4:$N$203,0),0)=0,"",INDEX('كشف الحساب'!$A$4:$A$203,IFERROR(MATCH(68,'كشف الحساب'!$N$4:$N$203,0),0))),"")</f>
        <v/>
      </c>
      <c r="B72" s="111" t="str">
        <f aca="false">IFERROR(IF(IFERROR(MATCH(68,'كشف الحساب'!$N$4:$N$203,0),0)=0,"",INDEX('كشف الحساب'!$B$4:$B$203,IFERROR(MATCH(68,'كشف الحساب'!$N$4:$N$203,0),0))),"")</f>
        <v/>
      </c>
      <c r="C72" s="112" t="str">
        <f aca="false">IFERROR(IF(IFERROR(MATCH(68,'كشف الحساب'!$N$4:$N$203,0),0)=0,"",INDEX('كشف الحساب'!$C$4:$C$203,IFERROR(MATCH(68,'كشف الحساب'!$N$4:$N$203,0),0))),"")</f>
        <v/>
      </c>
      <c r="D72" s="113" t="str">
        <f aca="false">IFERROR(IF(IFERROR(MATCH(68,'كشف الحساب'!$N$4:$N$203,0),0)=0,"",INDEX('كشف الحساب'!$D$4:$D$203,IFERROR(MATCH(68,'كشف الحساب'!$N$4:$N$203,0),0))),"")</f>
        <v/>
      </c>
      <c r="E72" s="114" t="str">
        <f aca="false">IFERROR(IF(IFERROR(MATCH(68,'كشف الحساب'!$N$4:$N$203,0),0)=0,"",INDEX('كشف الحساب'!$E$4:$E$203,IFERROR(MATCH(68,'كشف الحساب'!$N$4:$N$203,0),0))),"")</f>
        <v/>
      </c>
      <c r="F72" s="111" t="str">
        <f aca="false">IFERROR(IF(IFERROR(MATCH(68,'كشف الحساب'!$N$4:$N$203,0),0)=0,"",INDEX('كشف الحساب'!$F$4:$F$203,IFERROR(MATCH(68,'كشف الحساب'!$N$4:$N$203,0),0))),"")</f>
        <v/>
      </c>
      <c r="G72" s="111" t="str">
        <f aca="false">IFERROR(IF(IFERROR(MATCH(68,'كشف الحساب'!$N$4:$N$203,0),0)=0,"",INDEX('كشف الحساب'!$G$4:$G$203,IFERROR(MATCH(68,'كشف الحساب'!$N$4:$N$203,0),0))),"")</f>
        <v/>
      </c>
      <c r="H72" s="111" t="str">
        <f aca="false">IFERROR(IF(IFERROR(MATCH(68,'كشف الحساب'!$N$4:$N$203,0),0)=0,"",INDEX('كشف الحساب'!$H$4:$H$203,IFERROR(MATCH(68,'كشف الحساب'!$N$4:$N$203,0),0))),"")</f>
        <v/>
      </c>
      <c r="I72" s="111" t="str">
        <f aca="false">IFERROR(IF(IFERROR(MATCH(68,'كشف الحساب'!$N$4:$N$203,0),0)=0,"",INDEX('كشف الحساب'!$I$4:$I$203,IFERROR(MATCH(68,'كشف الحساب'!$N$4:$N$203,0),0))),"")</f>
        <v/>
      </c>
      <c r="J72" s="115" t="str">
        <f aca="false">IFERROR(IF(IFERROR(MATCH(68,'كشف الحساب'!$N$4:$N$203,0),0)=0,"",INDEX('كشف الحساب'!$J$4:$J$203,IFERROR(MATCH(68,'كشف الحساب'!$N$4:$N$203,0),0))),"")</f>
        <v/>
      </c>
      <c r="K72" s="111" t="str">
        <f aca="false">IFERROR(IF(IFERROR(MATCH(68,'كشف الحساب'!$N$4:$N$203,0),0)=0,"",INDEX('كشف الحساب'!$K$4:$K$203,IFERROR(MATCH(68,'كشف الحساب'!$N$4:$N$203,0),0))),"")</f>
        <v/>
      </c>
    </row>
    <row r="73" customFormat="false" ht="15" hidden="false" customHeight="true" outlineLevel="0" collapsed="false">
      <c r="A73" s="104" t="str">
        <f aca="false">IFERROR(IF(IFERROR(MATCH(69,'كشف الحساب'!$N$4:$N$203,0),0)=0,"",INDEX('كشف الحساب'!$A$4:$A$203,IFERROR(MATCH(69,'كشف الحساب'!$N$4:$N$203,0),0))),"")</f>
        <v/>
      </c>
      <c r="B73" s="105" t="str">
        <f aca="false">IFERROR(IF(IFERROR(MATCH(69,'كشف الحساب'!$N$4:$N$203,0),0)=0,"",INDEX('كشف الحساب'!$B$4:$B$203,IFERROR(MATCH(69,'كشف الحساب'!$N$4:$N$203,0),0))),"")</f>
        <v/>
      </c>
      <c r="C73" s="106" t="str">
        <f aca="false">IFERROR(IF(IFERROR(MATCH(69,'كشف الحساب'!$N$4:$N$203,0),0)=0,"",INDEX('كشف الحساب'!$C$4:$C$203,IFERROR(MATCH(69,'كشف الحساب'!$N$4:$N$203,0),0))),"")</f>
        <v/>
      </c>
      <c r="D73" s="107" t="str">
        <f aca="false">IFERROR(IF(IFERROR(MATCH(69,'كشف الحساب'!$N$4:$N$203,0),0)=0,"",INDEX('كشف الحساب'!$D$4:$D$203,IFERROR(MATCH(69,'كشف الحساب'!$N$4:$N$203,0),0))),"")</f>
        <v/>
      </c>
      <c r="E73" s="108" t="str">
        <f aca="false">IFERROR(IF(IFERROR(MATCH(69,'كشف الحساب'!$N$4:$N$203,0),0)=0,"",INDEX('كشف الحساب'!$E$4:$E$203,IFERROR(MATCH(69,'كشف الحساب'!$N$4:$N$203,0),0))),"")</f>
        <v/>
      </c>
      <c r="F73" s="105" t="str">
        <f aca="false">IFERROR(IF(IFERROR(MATCH(69,'كشف الحساب'!$N$4:$N$203,0),0)=0,"",INDEX('كشف الحساب'!$F$4:$F$203,IFERROR(MATCH(69,'كشف الحساب'!$N$4:$N$203,0),0))),"")</f>
        <v/>
      </c>
      <c r="G73" s="105" t="str">
        <f aca="false">IFERROR(IF(IFERROR(MATCH(69,'كشف الحساب'!$N$4:$N$203,0),0)=0,"",INDEX('كشف الحساب'!$G$4:$G$203,IFERROR(MATCH(69,'كشف الحساب'!$N$4:$N$203,0),0))),"")</f>
        <v/>
      </c>
      <c r="H73" s="105" t="str">
        <f aca="false">IFERROR(IF(IFERROR(MATCH(69,'كشف الحساب'!$N$4:$N$203,0),0)=0,"",INDEX('كشف الحساب'!$H$4:$H$203,IFERROR(MATCH(69,'كشف الحساب'!$N$4:$N$203,0),0))),"")</f>
        <v/>
      </c>
      <c r="I73" s="105" t="str">
        <f aca="false">IFERROR(IF(IFERROR(MATCH(69,'كشف الحساب'!$N$4:$N$203,0),0)=0,"",INDEX('كشف الحساب'!$I$4:$I$203,IFERROR(MATCH(69,'كشف الحساب'!$N$4:$N$203,0),0))),"")</f>
        <v/>
      </c>
      <c r="J73" s="109" t="str">
        <f aca="false">IFERROR(IF(IFERROR(MATCH(69,'كشف الحساب'!$N$4:$N$203,0),0)=0,"",INDEX('كشف الحساب'!$J$4:$J$203,IFERROR(MATCH(69,'كشف الحساب'!$N$4:$N$203,0),0))),"")</f>
        <v/>
      </c>
      <c r="K73" s="105" t="str">
        <f aca="false">IFERROR(IF(IFERROR(MATCH(69,'كشف الحساب'!$N$4:$N$203,0),0)=0,"",INDEX('كشف الحساب'!$K$4:$K$203,IFERROR(MATCH(69,'كشف الحساب'!$N$4:$N$203,0),0))),"")</f>
        <v/>
      </c>
    </row>
    <row r="74" customFormat="false" ht="15" hidden="true" customHeight="true" outlineLevel="0" collapsed="false">
      <c r="A74" s="110" t="str">
        <f aca="false">IFERROR(IF(IFERROR(MATCH(70,'كشف الحساب'!$N$4:$N$203,0),0)=0,"",INDEX('كشف الحساب'!$A$4:$A$203,IFERROR(MATCH(70,'كشف الحساب'!$N$4:$N$203,0),0))),"")</f>
        <v/>
      </c>
      <c r="B74" s="111" t="str">
        <f aca="false">IFERROR(IF(IFERROR(MATCH(70,'كشف الحساب'!$N$4:$N$203,0),0)=0,"",INDEX('كشف الحساب'!$B$4:$B$203,IFERROR(MATCH(70,'كشف الحساب'!$N$4:$N$203,0),0))),"")</f>
        <v/>
      </c>
      <c r="C74" s="112" t="str">
        <f aca="false">IFERROR(IF(IFERROR(MATCH(70,'كشف الحساب'!$N$4:$N$203,0),0)=0,"",INDEX('كشف الحساب'!$C$4:$C$203,IFERROR(MATCH(70,'كشف الحساب'!$N$4:$N$203,0),0))),"")</f>
        <v/>
      </c>
      <c r="D74" s="113" t="str">
        <f aca="false">IFERROR(IF(IFERROR(MATCH(70,'كشف الحساب'!$N$4:$N$203,0),0)=0,"",INDEX('كشف الحساب'!$D$4:$D$203,IFERROR(MATCH(70,'كشف الحساب'!$N$4:$N$203,0),0))),"")</f>
        <v/>
      </c>
      <c r="E74" s="114" t="str">
        <f aca="false">IFERROR(IF(IFERROR(MATCH(70,'كشف الحساب'!$N$4:$N$203,0),0)=0,"",INDEX('كشف الحساب'!$E$4:$E$203,IFERROR(MATCH(70,'كشف الحساب'!$N$4:$N$203,0),0))),"")</f>
        <v/>
      </c>
      <c r="F74" s="111" t="str">
        <f aca="false">IFERROR(IF(IFERROR(MATCH(70,'كشف الحساب'!$N$4:$N$203,0),0)=0,"",INDEX('كشف الحساب'!$F$4:$F$203,IFERROR(MATCH(70,'كشف الحساب'!$N$4:$N$203,0),0))),"")</f>
        <v/>
      </c>
      <c r="G74" s="111" t="str">
        <f aca="false">IFERROR(IF(IFERROR(MATCH(70,'كشف الحساب'!$N$4:$N$203,0),0)=0,"",INDEX('كشف الحساب'!$G$4:$G$203,IFERROR(MATCH(70,'كشف الحساب'!$N$4:$N$203,0),0))),"")</f>
        <v/>
      </c>
      <c r="H74" s="111" t="str">
        <f aca="false">IFERROR(IF(IFERROR(MATCH(70,'كشف الحساب'!$N$4:$N$203,0),0)=0,"",INDEX('كشف الحساب'!$H$4:$H$203,IFERROR(MATCH(70,'كشف الحساب'!$N$4:$N$203,0),0))),"")</f>
        <v/>
      </c>
      <c r="I74" s="111" t="str">
        <f aca="false">IFERROR(IF(IFERROR(MATCH(70,'كشف الحساب'!$N$4:$N$203,0),0)=0,"",INDEX('كشف الحساب'!$I$4:$I$203,IFERROR(MATCH(70,'كشف الحساب'!$N$4:$N$203,0),0))),"")</f>
        <v/>
      </c>
      <c r="J74" s="115" t="str">
        <f aca="false">IFERROR(IF(IFERROR(MATCH(70,'كشف الحساب'!$N$4:$N$203,0),0)=0,"",INDEX('كشف الحساب'!$J$4:$J$203,IFERROR(MATCH(70,'كشف الحساب'!$N$4:$N$203,0),0))),"")</f>
        <v/>
      </c>
      <c r="K74" s="111" t="str">
        <f aca="false">IFERROR(IF(IFERROR(MATCH(70,'كشف الحساب'!$N$4:$N$203,0),0)=0,"",INDEX('كشف الحساب'!$K$4:$K$203,IFERROR(MATCH(70,'كشف الحساب'!$N$4:$N$203,0),0))),"")</f>
        <v/>
      </c>
    </row>
    <row r="75" customFormat="false" ht="15" hidden="true" customHeight="true" outlineLevel="0" collapsed="false">
      <c r="A75" s="104" t="str">
        <f aca="false">IFERROR(IF(IFERROR(MATCH(71,'كشف الحساب'!$N$4:$N$203,0),0)=0,"",INDEX('كشف الحساب'!$A$4:$A$203,IFERROR(MATCH(71,'كشف الحساب'!$N$4:$N$203,0),0))),"")</f>
        <v/>
      </c>
      <c r="B75" s="105" t="str">
        <f aca="false">IFERROR(IF(IFERROR(MATCH(71,'كشف الحساب'!$N$4:$N$203,0),0)=0,"",INDEX('كشف الحساب'!$B$4:$B$203,IFERROR(MATCH(71,'كشف الحساب'!$N$4:$N$203,0),0))),"")</f>
        <v/>
      </c>
      <c r="C75" s="106" t="str">
        <f aca="false">IFERROR(IF(IFERROR(MATCH(71,'كشف الحساب'!$N$4:$N$203,0),0)=0,"",INDEX('كشف الحساب'!$C$4:$C$203,IFERROR(MATCH(71,'كشف الحساب'!$N$4:$N$203,0),0))),"")</f>
        <v/>
      </c>
      <c r="D75" s="107" t="str">
        <f aca="false">IFERROR(IF(IFERROR(MATCH(71,'كشف الحساب'!$N$4:$N$203,0),0)=0,"",INDEX('كشف الحساب'!$D$4:$D$203,IFERROR(MATCH(71,'كشف الحساب'!$N$4:$N$203,0),0))),"")</f>
        <v/>
      </c>
      <c r="E75" s="108" t="str">
        <f aca="false">IFERROR(IF(IFERROR(MATCH(71,'كشف الحساب'!$N$4:$N$203,0),0)=0,"",INDEX('كشف الحساب'!$E$4:$E$203,IFERROR(MATCH(71,'كشف الحساب'!$N$4:$N$203,0),0))),"")</f>
        <v/>
      </c>
      <c r="F75" s="105" t="str">
        <f aca="false">IFERROR(IF(IFERROR(MATCH(71,'كشف الحساب'!$N$4:$N$203,0),0)=0,"",INDEX('كشف الحساب'!$F$4:$F$203,IFERROR(MATCH(71,'كشف الحساب'!$N$4:$N$203,0),0))),"")</f>
        <v/>
      </c>
      <c r="G75" s="105" t="str">
        <f aca="false">IFERROR(IF(IFERROR(MATCH(71,'كشف الحساب'!$N$4:$N$203,0),0)=0,"",INDEX('كشف الحساب'!$G$4:$G$203,IFERROR(MATCH(71,'كشف الحساب'!$N$4:$N$203,0),0))),"")</f>
        <v/>
      </c>
      <c r="H75" s="105" t="str">
        <f aca="false">IFERROR(IF(IFERROR(MATCH(71,'كشف الحساب'!$N$4:$N$203,0),0)=0,"",INDEX('كشف الحساب'!$H$4:$H$203,IFERROR(MATCH(71,'كشف الحساب'!$N$4:$N$203,0),0))),"")</f>
        <v/>
      </c>
      <c r="I75" s="105" t="str">
        <f aca="false">IFERROR(IF(IFERROR(MATCH(71,'كشف الحساب'!$N$4:$N$203,0),0)=0,"",INDEX('كشف الحساب'!$I$4:$I$203,IFERROR(MATCH(71,'كشف الحساب'!$N$4:$N$203,0),0))),"")</f>
        <v/>
      </c>
      <c r="J75" s="109" t="str">
        <f aca="false">IFERROR(IF(IFERROR(MATCH(71,'كشف الحساب'!$N$4:$N$203,0),0)=0,"",INDEX('كشف الحساب'!$J$4:$J$203,IFERROR(MATCH(71,'كشف الحساب'!$N$4:$N$203,0),0))),"")</f>
        <v/>
      </c>
      <c r="K75" s="105" t="str">
        <f aca="false">IFERROR(IF(IFERROR(MATCH(71,'كشف الحساب'!$N$4:$N$203,0),0)=0,"",INDEX('كشف الحساب'!$K$4:$K$203,IFERROR(MATCH(71,'كشف الحساب'!$N$4:$N$203,0),0))),"")</f>
        <v/>
      </c>
    </row>
    <row r="76" customFormat="false" ht="15" hidden="true" customHeight="true" outlineLevel="0" collapsed="false">
      <c r="A76" s="110" t="str">
        <f aca="false">IFERROR(IF(IFERROR(MATCH(72,'كشف الحساب'!$N$4:$N$203,0),0)=0,"",INDEX('كشف الحساب'!$A$4:$A$203,IFERROR(MATCH(72,'كشف الحساب'!$N$4:$N$203,0),0))),"")</f>
        <v/>
      </c>
      <c r="B76" s="111" t="str">
        <f aca="false">IFERROR(IF(IFERROR(MATCH(72,'كشف الحساب'!$N$4:$N$203,0),0)=0,"",INDEX('كشف الحساب'!$B$4:$B$203,IFERROR(MATCH(72,'كشف الحساب'!$N$4:$N$203,0),0))),"")</f>
        <v/>
      </c>
      <c r="C76" s="112" t="str">
        <f aca="false">IFERROR(IF(IFERROR(MATCH(72,'كشف الحساب'!$N$4:$N$203,0),0)=0,"",INDEX('كشف الحساب'!$C$4:$C$203,IFERROR(MATCH(72,'كشف الحساب'!$N$4:$N$203,0),0))),"")</f>
        <v/>
      </c>
      <c r="D76" s="113" t="str">
        <f aca="false">IFERROR(IF(IFERROR(MATCH(72,'كشف الحساب'!$N$4:$N$203,0),0)=0,"",INDEX('كشف الحساب'!$D$4:$D$203,IFERROR(MATCH(72,'كشف الحساب'!$N$4:$N$203,0),0))),"")</f>
        <v/>
      </c>
      <c r="E76" s="114" t="str">
        <f aca="false">IFERROR(IF(IFERROR(MATCH(72,'كشف الحساب'!$N$4:$N$203,0),0)=0,"",INDEX('كشف الحساب'!$E$4:$E$203,IFERROR(MATCH(72,'كشف الحساب'!$N$4:$N$203,0),0))),"")</f>
        <v/>
      </c>
      <c r="F76" s="111" t="str">
        <f aca="false">IFERROR(IF(IFERROR(MATCH(72,'كشف الحساب'!$N$4:$N$203,0),0)=0,"",INDEX('كشف الحساب'!$F$4:$F$203,IFERROR(MATCH(72,'كشف الحساب'!$N$4:$N$203,0),0))),"")</f>
        <v/>
      </c>
      <c r="G76" s="111" t="str">
        <f aca="false">IFERROR(IF(IFERROR(MATCH(72,'كشف الحساب'!$N$4:$N$203,0),0)=0,"",INDEX('كشف الحساب'!$G$4:$G$203,IFERROR(MATCH(72,'كشف الحساب'!$N$4:$N$203,0),0))),"")</f>
        <v/>
      </c>
      <c r="H76" s="111" t="str">
        <f aca="false">IFERROR(IF(IFERROR(MATCH(72,'كشف الحساب'!$N$4:$N$203,0),0)=0,"",INDEX('كشف الحساب'!$H$4:$H$203,IFERROR(MATCH(72,'كشف الحساب'!$N$4:$N$203,0),0))),"")</f>
        <v/>
      </c>
      <c r="I76" s="111" t="str">
        <f aca="false">IFERROR(IF(IFERROR(MATCH(72,'كشف الحساب'!$N$4:$N$203,0),0)=0,"",INDEX('كشف الحساب'!$I$4:$I$203,IFERROR(MATCH(72,'كشف الحساب'!$N$4:$N$203,0),0))),"")</f>
        <v/>
      </c>
      <c r="J76" s="115" t="str">
        <f aca="false">IFERROR(IF(IFERROR(MATCH(72,'كشف الحساب'!$N$4:$N$203,0),0)=0,"",INDEX('كشف الحساب'!$J$4:$J$203,IFERROR(MATCH(72,'كشف الحساب'!$N$4:$N$203,0),0))),"")</f>
        <v/>
      </c>
      <c r="K76" s="111" t="str">
        <f aca="false">IFERROR(IF(IFERROR(MATCH(72,'كشف الحساب'!$N$4:$N$203,0),0)=0,"",INDEX('كشف الحساب'!$K$4:$K$203,IFERROR(MATCH(72,'كشف الحساب'!$N$4:$N$203,0),0))),"")</f>
        <v/>
      </c>
    </row>
    <row r="77" customFormat="false" ht="15" hidden="true" customHeight="true" outlineLevel="0" collapsed="false">
      <c r="A77" s="104" t="str">
        <f aca="false">IFERROR(IF(IFERROR(MATCH(73,'كشف الحساب'!$N$4:$N$203,0),0)=0,"",INDEX('كشف الحساب'!$A$4:$A$203,IFERROR(MATCH(73,'كشف الحساب'!$N$4:$N$203,0),0))),"")</f>
        <v/>
      </c>
      <c r="B77" s="105" t="str">
        <f aca="false">IFERROR(IF(IFERROR(MATCH(73,'كشف الحساب'!$N$4:$N$203,0),0)=0,"",INDEX('كشف الحساب'!$B$4:$B$203,IFERROR(MATCH(73,'كشف الحساب'!$N$4:$N$203,0),0))),"")</f>
        <v/>
      </c>
      <c r="C77" s="106" t="str">
        <f aca="false">IFERROR(IF(IFERROR(MATCH(73,'كشف الحساب'!$N$4:$N$203,0),0)=0,"",INDEX('كشف الحساب'!$C$4:$C$203,IFERROR(MATCH(73,'كشف الحساب'!$N$4:$N$203,0),0))),"")</f>
        <v/>
      </c>
      <c r="D77" s="107" t="str">
        <f aca="false">IFERROR(IF(IFERROR(MATCH(73,'كشف الحساب'!$N$4:$N$203,0),0)=0,"",INDEX('كشف الحساب'!$D$4:$D$203,IFERROR(MATCH(73,'كشف الحساب'!$N$4:$N$203,0),0))),"")</f>
        <v/>
      </c>
      <c r="E77" s="108" t="str">
        <f aca="false">IFERROR(IF(IFERROR(MATCH(73,'كشف الحساب'!$N$4:$N$203,0),0)=0,"",INDEX('كشف الحساب'!$E$4:$E$203,IFERROR(MATCH(73,'كشف الحساب'!$N$4:$N$203,0),0))),"")</f>
        <v/>
      </c>
      <c r="F77" s="105" t="str">
        <f aca="false">IFERROR(IF(IFERROR(MATCH(73,'كشف الحساب'!$N$4:$N$203,0),0)=0,"",INDEX('كشف الحساب'!$F$4:$F$203,IFERROR(MATCH(73,'كشف الحساب'!$N$4:$N$203,0),0))),"")</f>
        <v/>
      </c>
      <c r="G77" s="105" t="str">
        <f aca="false">IFERROR(IF(IFERROR(MATCH(73,'كشف الحساب'!$N$4:$N$203,0),0)=0,"",INDEX('كشف الحساب'!$G$4:$G$203,IFERROR(MATCH(73,'كشف الحساب'!$N$4:$N$203,0),0))),"")</f>
        <v/>
      </c>
      <c r="H77" s="105" t="str">
        <f aca="false">IFERROR(IF(IFERROR(MATCH(73,'كشف الحساب'!$N$4:$N$203,0),0)=0,"",INDEX('كشف الحساب'!$H$4:$H$203,IFERROR(MATCH(73,'كشف الحساب'!$N$4:$N$203,0),0))),"")</f>
        <v/>
      </c>
      <c r="I77" s="105" t="str">
        <f aca="false">IFERROR(IF(IFERROR(MATCH(73,'كشف الحساب'!$N$4:$N$203,0),0)=0,"",INDEX('كشف الحساب'!$I$4:$I$203,IFERROR(MATCH(73,'كشف الحساب'!$N$4:$N$203,0),0))),"")</f>
        <v/>
      </c>
      <c r="J77" s="109" t="str">
        <f aca="false">IFERROR(IF(IFERROR(MATCH(73,'كشف الحساب'!$N$4:$N$203,0),0)=0,"",INDEX('كشف الحساب'!$J$4:$J$203,IFERROR(MATCH(73,'كشف الحساب'!$N$4:$N$203,0),0))),"")</f>
        <v/>
      </c>
      <c r="K77" s="105" t="str">
        <f aca="false">IFERROR(IF(IFERROR(MATCH(73,'كشف الحساب'!$N$4:$N$203,0),0)=0,"",INDEX('كشف الحساب'!$K$4:$K$203,IFERROR(MATCH(73,'كشف الحساب'!$N$4:$N$203,0),0))),"")</f>
        <v/>
      </c>
    </row>
    <row r="78" customFormat="false" ht="15" hidden="true" customHeight="true" outlineLevel="0" collapsed="false">
      <c r="A78" s="110" t="str">
        <f aca="false">IFERROR(IF(IFERROR(MATCH(74,'كشف الحساب'!$N$4:$N$203,0),0)=0,"",INDEX('كشف الحساب'!$A$4:$A$203,IFERROR(MATCH(74,'كشف الحساب'!$N$4:$N$203,0),0))),"")</f>
        <v/>
      </c>
      <c r="B78" s="111" t="str">
        <f aca="false">IFERROR(IF(IFERROR(MATCH(74,'كشف الحساب'!$N$4:$N$203,0),0)=0,"",INDEX('كشف الحساب'!$B$4:$B$203,IFERROR(MATCH(74,'كشف الحساب'!$N$4:$N$203,0),0))),"")</f>
        <v/>
      </c>
      <c r="C78" s="112" t="str">
        <f aca="false">IFERROR(IF(IFERROR(MATCH(74,'كشف الحساب'!$N$4:$N$203,0),0)=0,"",INDEX('كشف الحساب'!$C$4:$C$203,IFERROR(MATCH(74,'كشف الحساب'!$N$4:$N$203,0),0))),"")</f>
        <v/>
      </c>
      <c r="D78" s="113" t="str">
        <f aca="false">IFERROR(IF(IFERROR(MATCH(74,'كشف الحساب'!$N$4:$N$203,0),0)=0,"",INDEX('كشف الحساب'!$D$4:$D$203,IFERROR(MATCH(74,'كشف الحساب'!$N$4:$N$203,0),0))),"")</f>
        <v/>
      </c>
      <c r="E78" s="114" t="str">
        <f aca="false">IFERROR(IF(IFERROR(MATCH(74,'كشف الحساب'!$N$4:$N$203,0),0)=0,"",INDEX('كشف الحساب'!$E$4:$E$203,IFERROR(MATCH(74,'كشف الحساب'!$N$4:$N$203,0),0))),"")</f>
        <v/>
      </c>
      <c r="F78" s="111" t="str">
        <f aca="false">IFERROR(IF(IFERROR(MATCH(74,'كشف الحساب'!$N$4:$N$203,0),0)=0,"",INDEX('كشف الحساب'!$F$4:$F$203,IFERROR(MATCH(74,'كشف الحساب'!$N$4:$N$203,0),0))),"")</f>
        <v/>
      </c>
      <c r="G78" s="111" t="str">
        <f aca="false">IFERROR(IF(IFERROR(MATCH(74,'كشف الحساب'!$N$4:$N$203,0),0)=0,"",INDEX('كشف الحساب'!$G$4:$G$203,IFERROR(MATCH(74,'كشف الحساب'!$N$4:$N$203,0),0))),"")</f>
        <v/>
      </c>
      <c r="H78" s="111" t="str">
        <f aca="false">IFERROR(IF(IFERROR(MATCH(74,'كشف الحساب'!$N$4:$N$203,0),0)=0,"",INDEX('كشف الحساب'!$H$4:$H$203,IFERROR(MATCH(74,'كشف الحساب'!$N$4:$N$203,0),0))),"")</f>
        <v/>
      </c>
      <c r="I78" s="111" t="str">
        <f aca="false">IFERROR(IF(IFERROR(MATCH(74,'كشف الحساب'!$N$4:$N$203,0),0)=0,"",INDEX('كشف الحساب'!$I$4:$I$203,IFERROR(MATCH(74,'كشف الحساب'!$N$4:$N$203,0),0))),"")</f>
        <v/>
      </c>
      <c r="J78" s="115" t="str">
        <f aca="false">IFERROR(IF(IFERROR(MATCH(74,'كشف الحساب'!$N$4:$N$203,0),0)=0,"",INDEX('كشف الحساب'!$J$4:$J$203,IFERROR(MATCH(74,'كشف الحساب'!$N$4:$N$203,0),0))),"")</f>
        <v/>
      </c>
      <c r="K78" s="111" t="str">
        <f aca="false">IFERROR(IF(IFERROR(MATCH(74,'كشف الحساب'!$N$4:$N$203,0),0)=0,"",INDEX('كشف الحساب'!$K$4:$K$203,IFERROR(MATCH(74,'كشف الحساب'!$N$4:$N$203,0),0))),"")</f>
        <v/>
      </c>
    </row>
    <row r="79" customFormat="false" ht="15" hidden="true" customHeight="true" outlineLevel="0" collapsed="false">
      <c r="A79" s="104" t="str">
        <f aca="false">IFERROR(IF(IFERROR(MATCH(75,'كشف الحساب'!$N$4:$N$203,0),0)=0,"",INDEX('كشف الحساب'!$A$4:$A$203,IFERROR(MATCH(75,'كشف الحساب'!$N$4:$N$203,0),0))),"")</f>
        <v/>
      </c>
      <c r="B79" s="105" t="str">
        <f aca="false">IFERROR(IF(IFERROR(MATCH(75,'كشف الحساب'!$N$4:$N$203,0),0)=0,"",INDEX('كشف الحساب'!$B$4:$B$203,IFERROR(MATCH(75,'كشف الحساب'!$N$4:$N$203,0),0))),"")</f>
        <v/>
      </c>
      <c r="C79" s="106" t="str">
        <f aca="false">IFERROR(IF(IFERROR(MATCH(75,'كشف الحساب'!$N$4:$N$203,0),0)=0,"",INDEX('كشف الحساب'!$C$4:$C$203,IFERROR(MATCH(75,'كشف الحساب'!$N$4:$N$203,0),0))),"")</f>
        <v/>
      </c>
      <c r="D79" s="107" t="str">
        <f aca="false">IFERROR(IF(IFERROR(MATCH(75,'كشف الحساب'!$N$4:$N$203,0),0)=0,"",INDEX('كشف الحساب'!$D$4:$D$203,IFERROR(MATCH(75,'كشف الحساب'!$N$4:$N$203,0),0))),"")</f>
        <v/>
      </c>
      <c r="E79" s="108" t="str">
        <f aca="false">IFERROR(IF(IFERROR(MATCH(75,'كشف الحساب'!$N$4:$N$203,0),0)=0,"",INDEX('كشف الحساب'!$E$4:$E$203,IFERROR(MATCH(75,'كشف الحساب'!$N$4:$N$203,0),0))),"")</f>
        <v/>
      </c>
      <c r="F79" s="105" t="str">
        <f aca="false">IFERROR(IF(IFERROR(MATCH(75,'كشف الحساب'!$N$4:$N$203,0),0)=0,"",INDEX('كشف الحساب'!$F$4:$F$203,IFERROR(MATCH(75,'كشف الحساب'!$N$4:$N$203,0),0))),"")</f>
        <v/>
      </c>
      <c r="G79" s="105" t="str">
        <f aca="false">IFERROR(IF(IFERROR(MATCH(75,'كشف الحساب'!$N$4:$N$203,0),0)=0,"",INDEX('كشف الحساب'!$G$4:$G$203,IFERROR(MATCH(75,'كشف الحساب'!$N$4:$N$203,0),0))),"")</f>
        <v/>
      </c>
      <c r="H79" s="105" t="str">
        <f aca="false">IFERROR(IF(IFERROR(MATCH(75,'كشف الحساب'!$N$4:$N$203,0),0)=0,"",INDEX('كشف الحساب'!$H$4:$H$203,IFERROR(MATCH(75,'كشف الحساب'!$N$4:$N$203,0),0))),"")</f>
        <v/>
      </c>
      <c r="I79" s="105" t="str">
        <f aca="false">IFERROR(IF(IFERROR(MATCH(75,'كشف الحساب'!$N$4:$N$203,0),0)=0,"",INDEX('كشف الحساب'!$I$4:$I$203,IFERROR(MATCH(75,'كشف الحساب'!$N$4:$N$203,0),0))),"")</f>
        <v/>
      </c>
      <c r="J79" s="109" t="str">
        <f aca="false">IFERROR(IF(IFERROR(MATCH(75,'كشف الحساب'!$N$4:$N$203,0),0)=0,"",INDEX('كشف الحساب'!$J$4:$J$203,IFERROR(MATCH(75,'كشف الحساب'!$N$4:$N$203,0),0))),"")</f>
        <v/>
      </c>
      <c r="K79" s="105" t="str">
        <f aca="false">IFERROR(IF(IFERROR(MATCH(75,'كشف الحساب'!$N$4:$N$203,0),0)=0,"",INDEX('كشف الحساب'!$K$4:$K$203,IFERROR(MATCH(75,'كشف الحساب'!$N$4:$N$203,0),0))),"")</f>
        <v/>
      </c>
    </row>
    <row r="80" customFormat="false" ht="15" hidden="true" customHeight="true" outlineLevel="0" collapsed="false">
      <c r="A80" s="110" t="str">
        <f aca="false">IFERROR(IF(IFERROR(MATCH(76,'كشف الحساب'!$N$4:$N$203,0),0)=0,"",INDEX('كشف الحساب'!$A$4:$A$203,IFERROR(MATCH(76,'كشف الحساب'!$N$4:$N$203,0),0))),"")</f>
        <v/>
      </c>
      <c r="B80" s="111" t="str">
        <f aca="false">IFERROR(IF(IFERROR(MATCH(76,'كشف الحساب'!$N$4:$N$203,0),0)=0,"",INDEX('كشف الحساب'!$B$4:$B$203,IFERROR(MATCH(76,'كشف الحساب'!$N$4:$N$203,0),0))),"")</f>
        <v/>
      </c>
      <c r="C80" s="112" t="str">
        <f aca="false">IFERROR(IF(IFERROR(MATCH(76,'كشف الحساب'!$N$4:$N$203,0),0)=0,"",INDEX('كشف الحساب'!$C$4:$C$203,IFERROR(MATCH(76,'كشف الحساب'!$N$4:$N$203,0),0))),"")</f>
        <v/>
      </c>
      <c r="D80" s="113" t="str">
        <f aca="false">IFERROR(IF(IFERROR(MATCH(76,'كشف الحساب'!$N$4:$N$203,0),0)=0,"",INDEX('كشف الحساب'!$D$4:$D$203,IFERROR(MATCH(76,'كشف الحساب'!$N$4:$N$203,0),0))),"")</f>
        <v/>
      </c>
      <c r="E80" s="114" t="str">
        <f aca="false">IFERROR(IF(IFERROR(MATCH(76,'كشف الحساب'!$N$4:$N$203,0),0)=0,"",INDEX('كشف الحساب'!$E$4:$E$203,IFERROR(MATCH(76,'كشف الحساب'!$N$4:$N$203,0),0))),"")</f>
        <v/>
      </c>
      <c r="F80" s="111" t="str">
        <f aca="false">IFERROR(IF(IFERROR(MATCH(76,'كشف الحساب'!$N$4:$N$203,0),0)=0,"",INDEX('كشف الحساب'!$F$4:$F$203,IFERROR(MATCH(76,'كشف الحساب'!$N$4:$N$203,0),0))),"")</f>
        <v/>
      </c>
      <c r="G80" s="111" t="str">
        <f aca="false">IFERROR(IF(IFERROR(MATCH(76,'كشف الحساب'!$N$4:$N$203,0),0)=0,"",INDEX('كشف الحساب'!$G$4:$G$203,IFERROR(MATCH(76,'كشف الحساب'!$N$4:$N$203,0),0))),"")</f>
        <v/>
      </c>
      <c r="H80" s="111" t="str">
        <f aca="false">IFERROR(IF(IFERROR(MATCH(76,'كشف الحساب'!$N$4:$N$203,0),0)=0,"",INDEX('كشف الحساب'!$H$4:$H$203,IFERROR(MATCH(76,'كشف الحساب'!$N$4:$N$203,0),0))),"")</f>
        <v/>
      </c>
      <c r="I80" s="111" t="str">
        <f aca="false">IFERROR(IF(IFERROR(MATCH(76,'كشف الحساب'!$N$4:$N$203,0),0)=0,"",INDEX('كشف الحساب'!$I$4:$I$203,IFERROR(MATCH(76,'كشف الحساب'!$N$4:$N$203,0),0))),"")</f>
        <v/>
      </c>
      <c r="J80" s="115" t="str">
        <f aca="false">IFERROR(IF(IFERROR(MATCH(76,'كشف الحساب'!$N$4:$N$203,0),0)=0,"",INDEX('كشف الحساب'!$J$4:$J$203,IFERROR(MATCH(76,'كشف الحساب'!$N$4:$N$203,0),0))),"")</f>
        <v/>
      </c>
      <c r="K80" s="111" t="str">
        <f aca="false">IFERROR(IF(IFERROR(MATCH(76,'كشف الحساب'!$N$4:$N$203,0),0)=0,"",INDEX('كشف الحساب'!$K$4:$K$203,IFERROR(MATCH(76,'كشف الحساب'!$N$4:$N$203,0),0))),"")</f>
        <v/>
      </c>
    </row>
    <row r="81" customFormat="false" ht="15" hidden="true" customHeight="true" outlineLevel="0" collapsed="false">
      <c r="A81" s="104" t="str">
        <f aca="false">IFERROR(IF(IFERROR(MATCH(77,'كشف الحساب'!$N$4:$N$203,0),0)=0,"",INDEX('كشف الحساب'!$A$4:$A$203,IFERROR(MATCH(77,'كشف الحساب'!$N$4:$N$203,0),0))),"")</f>
        <v/>
      </c>
      <c r="B81" s="105" t="str">
        <f aca="false">IFERROR(IF(IFERROR(MATCH(77,'كشف الحساب'!$N$4:$N$203,0),0)=0,"",INDEX('كشف الحساب'!$B$4:$B$203,IFERROR(MATCH(77,'كشف الحساب'!$N$4:$N$203,0),0))),"")</f>
        <v/>
      </c>
      <c r="C81" s="106" t="str">
        <f aca="false">IFERROR(IF(IFERROR(MATCH(77,'كشف الحساب'!$N$4:$N$203,0),0)=0,"",INDEX('كشف الحساب'!$C$4:$C$203,IFERROR(MATCH(77,'كشف الحساب'!$N$4:$N$203,0),0))),"")</f>
        <v/>
      </c>
      <c r="D81" s="107" t="str">
        <f aca="false">IFERROR(IF(IFERROR(MATCH(77,'كشف الحساب'!$N$4:$N$203,0),0)=0,"",INDEX('كشف الحساب'!$D$4:$D$203,IFERROR(MATCH(77,'كشف الحساب'!$N$4:$N$203,0),0))),"")</f>
        <v/>
      </c>
      <c r="E81" s="108" t="str">
        <f aca="false">IFERROR(IF(IFERROR(MATCH(77,'كشف الحساب'!$N$4:$N$203,0),0)=0,"",INDEX('كشف الحساب'!$E$4:$E$203,IFERROR(MATCH(77,'كشف الحساب'!$N$4:$N$203,0),0))),"")</f>
        <v/>
      </c>
      <c r="F81" s="105" t="str">
        <f aca="false">IFERROR(IF(IFERROR(MATCH(77,'كشف الحساب'!$N$4:$N$203,0),0)=0,"",INDEX('كشف الحساب'!$F$4:$F$203,IFERROR(MATCH(77,'كشف الحساب'!$N$4:$N$203,0),0))),"")</f>
        <v/>
      </c>
      <c r="G81" s="105" t="str">
        <f aca="false">IFERROR(IF(IFERROR(MATCH(77,'كشف الحساب'!$N$4:$N$203,0),0)=0,"",INDEX('كشف الحساب'!$G$4:$G$203,IFERROR(MATCH(77,'كشف الحساب'!$N$4:$N$203,0),0))),"")</f>
        <v/>
      </c>
      <c r="H81" s="105" t="str">
        <f aca="false">IFERROR(IF(IFERROR(MATCH(77,'كشف الحساب'!$N$4:$N$203,0),0)=0,"",INDEX('كشف الحساب'!$H$4:$H$203,IFERROR(MATCH(77,'كشف الحساب'!$N$4:$N$203,0),0))),"")</f>
        <v/>
      </c>
      <c r="I81" s="105" t="str">
        <f aca="false">IFERROR(IF(IFERROR(MATCH(77,'كشف الحساب'!$N$4:$N$203,0),0)=0,"",INDEX('كشف الحساب'!$I$4:$I$203,IFERROR(MATCH(77,'كشف الحساب'!$N$4:$N$203,0),0))),"")</f>
        <v/>
      </c>
      <c r="J81" s="109" t="str">
        <f aca="false">IFERROR(IF(IFERROR(MATCH(77,'كشف الحساب'!$N$4:$N$203,0),0)=0,"",INDEX('كشف الحساب'!$J$4:$J$203,IFERROR(MATCH(77,'كشف الحساب'!$N$4:$N$203,0),0))),"")</f>
        <v/>
      </c>
      <c r="K81" s="105" t="str">
        <f aca="false">IFERROR(IF(IFERROR(MATCH(77,'كشف الحساب'!$N$4:$N$203,0),0)=0,"",INDEX('كشف الحساب'!$K$4:$K$203,IFERROR(MATCH(77,'كشف الحساب'!$N$4:$N$203,0),0))),"")</f>
        <v/>
      </c>
    </row>
    <row r="82" customFormat="false" ht="15" hidden="true" customHeight="true" outlineLevel="0" collapsed="false">
      <c r="A82" s="110" t="str">
        <f aca="false">IFERROR(IF(IFERROR(MATCH(78,'كشف الحساب'!$N$4:$N$203,0),0)=0,"",INDEX('كشف الحساب'!$A$4:$A$203,IFERROR(MATCH(78,'كشف الحساب'!$N$4:$N$203,0),0))),"")</f>
        <v/>
      </c>
      <c r="B82" s="111" t="str">
        <f aca="false">IFERROR(IF(IFERROR(MATCH(78,'كشف الحساب'!$N$4:$N$203,0),0)=0,"",INDEX('كشف الحساب'!$B$4:$B$203,IFERROR(MATCH(78,'كشف الحساب'!$N$4:$N$203,0),0))),"")</f>
        <v/>
      </c>
      <c r="C82" s="112" t="str">
        <f aca="false">IFERROR(IF(IFERROR(MATCH(78,'كشف الحساب'!$N$4:$N$203,0),0)=0,"",INDEX('كشف الحساب'!$C$4:$C$203,IFERROR(MATCH(78,'كشف الحساب'!$N$4:$N$203,0),0))),"")</f>
        <v/>
      </c>
      <c r="D82" s="113" t="str">
        <f aca="false">IFERROR(IF(IFERROR(MATCH(78,'كشف الحساب'!$N$4:$N$203,0),0)=0,"",INDEX('كشف الحساب'!$D$4:$D$203,IFERROR(MATCH(78,'كشف الحساب'!$N$4:$N$203,0),0))),"")</f>
        <v/>
      </c>
      <c r="E82" s="114" t="str">
        <f aca="false">IFERROR(IF(IFERROR(MATCH(78,'كشف الحساب'!$N$4:$N$203,0),0)=0,"",INDEX('كشف الحساب'!$E$4:$E$203,IFERROR(MATCH(78,'كشف الحساب'!$N$4:$N$203,0),0))),"")</f>
        <v/>
      </c>
      <c r="F82" s="111" t="str">
        <f aca="false">IFERROR(IF(IFERROR(MATCH(78,'كشف الحساب'!$N$4:$N$203,0),0)=0,"",INDEX('كشف الحساب'!$F$4:$F$203,IFERROR(MATCH(78,'كشف الحساب'!$N$4:$N$203,0),0))),"")</f>
        <v/>
      </c>
      <c r="G82" s="111" t="str">
        <f aca="false">IFERROR(IF(IFERROR(MATCH(78,'كشف الحساب'!$N$4:$N$203,0),0)=0,"",INDEX('كشف الحساب'!$G$4:$G$203,IFERROR(MATCH(78,'كشف الحساب'!$N$4:$N$203,0),0))),"")</f>
        <v/>
      </c>
      <c r="H82" s="111" t="str">
        <f aca="false">IFERROR(IF(IFERROR(MATCH(78,'كشف الحساب'!$N$4:$N$203,0),0)=0,"",INDEX('كشف الحساب'!$H$4:$H$203,IFERROR(MATCH(78,'كشف الحساب'!$N$4:$N$203,0),0))),"")</f>
        <v/>
      </c>
      <c r="I82" s="111" t="str">
        <f aca="false">IFERROR(IF(IFERROR(MATCH(78,'كشف الحساب'!$N$4:$N$203,0),0)=0,"",INDEX('كشف الحساب'!$I$4:$I$203,IFERROR(MATCH(78,'كشف الحساب'!$N$4:$N$203,0),0))),"")</f>
        <v/>
      </c>
      <c r="J82" s="115" t="str">
        <f aca="false">IFERROR(IF(IFERROR(MATCH(78,'كشف الحساب'!$N$4:$N$203,0),0)=0,"",INDEX('كشف الحساب'!$J$4:$J$203,IFERROR(MATCH(78,'كشف الحساب'!$N$4:$N$203,0),0))),"")</f>
        <v/>
      </c>
      <c r="K82" s="111" t="str">
        <f aca="false">IFERROR(IF(IFERROR(MATCH(78,'كشف الحساب'!$N$4:$N$203,0),0)=0,"",INDEX('كشف الحساب'!$K$4:$K$203,IFERROR(MATCH(78,'كشف الحساب'!$N$4:$N$203,0),0))),"")</f>
        <v/>
      </c>
    </row>
    <row r="83" customFormat="false" ht="15" hidden="true" customHeight="true" outlineLevel="0" collapsed="false">
      <c r="A83" s="104" t="str">
        <f aca="false">IFERROR(IF(IFERROR(MATCH(79,'كشف الحساب'!$N$4:$N$203,0),0)=0,"",INDEX('كشف الحساب'!$A$4:$A$203,IFERROR(MATCH(79,'كشف الحساب'!$N$4:$N$203,0),0))),"")</f>
        <v/>
      </c>
      <c r="B83" s="105" t="str">
        <f aca="false">IFERROR(IF(IFERROR(MATCH(79,'كشف الحساب'!$N$4:$N$203,0),0)=0,"",INDEX('كشف الحساب'!$B$4:$B$203,IFERROR(MATCH(79,'كشف الحساب'!$N$4:$N$203,0),0))),"")</f>
        <v/>
      </c>
      <c r="C83" s="106" t="str">
        <f aca="false">IFERROR(IF(IFERROR(MATCH(79,'كشف الحساب'!$N$4:$N$203,0),0)=0,"",INDEX('كشف الحساب'!$C$4:$C$203,IFERROR(MATCH(79,'كشف الحساب'!$N$4:$N$203,0),0))),"")</f>
        <v/>
      </c>
      <c r="D83" s="107" t="str">
        <f aca="false">IFERROR(IF(IFERROR(MATCH(79,'كشف الحساب'!$N$4:$N$203,0),0)=0,"",INDEX('كشف الحساب'!$D$4:$D$203,IFERROR(MATCH(79,'كشف الحساب'!$N$4:$N$203,0),0))),"")</f>
        <v/>
      </c>
      <c r="E83" s="108" t="str">
        <f aca="false">IFERROR(IF(IFERROR(MATCH(79,'كشف الحساب'!$N$4:$N$203,0),0)=0,"",INDEX('كشف الحساب'!$E$4:$E$203,IFERROR(MATCH(79,'كشف الحساب'!$N$4:$N$203,0),0))),"")</f>
        <v/>
      </c>
      <c r="F83" s="105" t="str">
        <f aca="false">IFERROR(IF(IFERROR(MATCH(79,'كشف الحساب'!$N$4:$N$203,0),0)=0,"",INDEX('كشف الحساب'!$F$4:$F$203,IFERROR(MATCH(79,'كشف الحساب'!$N$4:$N$203,0),0))),"")</f>
        <v/>
      </c>
      <c r="G83" s="105" t="str">
        <f aca="false">IFERROR(IF(IFERROR(MATCH(79,'كشف الحساب'!$N$4:$N$203,0),0)=0,"",INDEX('كشف الحساب'!$G$4:$G$203,IFERROR(MATCH(79,'كشف الحساب'!$N$4:$N$203,0),0))),"")</f>
        <v/>
      </c>
      <c r="H83" s="105" t="str">
        <f aca="false">IFERROR(IF(IFERROR(MATCH(79,'كشف الحساب'!$N$4:$N$203,0),0)=0,"",INDEX('كشف الحساب'!$H$4:$H$203,IFERROR(MATCH(79,'كشف الحساب'!$N$4:$N$203,0),0))),"")</f>
        <v/>
      </c>
      <c r="I83" s="105" t="str">
        <f aca="false">IFERROR(IF(IFERROR(MATCH(79,'كشف الحساب'!$N$4:$N$203,0),0)=0,"",INDEX('كشف الحساب'!$I$4:$I$203,IFERROR(MATCH(79,'كشف الحساب'!$N$4:$N$203,0),0))),"")</f>
        <v/>
      </c>
      <c r="J83" s="109" t="str">
        <f aca="false">IFERROR(IF(IFERROR(MATCH(79,'كشف الحساب'!$N$4:$N$203,0),0)=0,"",INDEX('كشف الحساب'!$J$4:$J$203,IFERROR(MATCH(79,'كشف الحساب'!$N$4:$N$203,0),0))),"")</f>
        <v/>
      </c>
      <c r="K83" s="105" t="str">
        <f aca="false">IFERROR(IF(IFERROR(MATCH(79,'كشف الحساب'!$N$4:$N$203,0),0)=0,"",INDEX('كشف الحساب'!$K$4:$K$203,IFERROR(MATCH(79,'كشف الحساب'!$N$4:$N$203,0),0))),"")</f>
        <v/>
      </c>
    </row>
    <row r="84" customFormat="false" ht="15" hidden="true" customHeight="true" outlineLevel="0" collapsed="false">
      <c r="A84" s="110" t="str">
        <f aca="false">IFERROR(IF(IFERROR(MATCH(80,'كشف الحساب'!$N$4:$N$203,0),0)=0,"",INDEX('كشف الحساب'!$A$4:$A$203,IFERROR(MATCH(80,'كشف الحساب'!$N$4:$N$203,0),0))),"")</f>
        <v/>
      </c>
      <c r="B84" s="111" t="str">
        <f aca="false">IFERROR(IF(IFERROR(MATCH(80,'كشف الحساب'!$N$4:$N$203,0),0)=0,"",INDEX('كشف الحساب'!$B$4:$B$203,IFERROR(MATCH(80,'كشف الحساب'!$N$4:$N$203,0),0))),"")</f>
        <v/>
      </c>
      <c r="C84" s="112" t="str">
        <f aca="false">IFERROR(IF(IFERROR(MATCH(80,'كشف الحساب'!$N$4:$N$203,0),0)=0,"",INDEX('كشف الحساب'!$C$4:$C$203,IFERROR(MATCH(80,'كشف الحساب'!$N$4:$N$203,0),0))),"")</f>
        <v/>
      </c>
      <c r="D84" s="113" t="str">
        <f aca="false">IFERROR(IF(IFERROR(MATCH(80,'كشف الحساب'!$N$4:$N$203,0),0)=0,"",INDEX('كشف الحساب'!$D$4:$D$203,IFERROR(MATCH(80,'كشف الحساب'!$N$4:$N$203,0),0))),"")</f>
        <v/>
      </c>
      <c r="E84" s="114" t="str">
        <f aca="false">IFERROR(IF(IFERROR(MATCH(80,'كشف الحساب'!$N$4:$N$203,0),0)=0,"",INDEX('كشف الحساب'!$E$4:$E$203,IFERROR(MATCH(80,'كشف الحساب'!$N$4:$N$203,0),0))),"")</f>
        <v/>
      </c>
      <c r="F84" s="111" t="str">
        <f aca="false">IFERROR(IF(IFERROR(MATCH(80,'كشف الحساب'!$N$4:$N$203,0),0)=0,"",INDEX('كشف الحساب'!$F$4:$F$203,IFERROR(MATCH(80,'كشف الحساب'!$N$4:$N$203,0),0))),"")</f>
        <v/>
      </c>
      <c r="G84" s="111" t="str">
        <f aca="false">IFERROR(IF(IFERROR(MATCH(80,'كشف الحساب'!$N$4:$N$203,0),0)=0,"",INDEX('كشف الحساب'!$G$4:$G$203,IFERROR(MATCH(80,'كشف الحساب'!$N$4:$N$203,0),0))),"")</f>
        <v/>
      </c>
      <c r="H84" s="111" t="str">
        <f aca="false">IFERROR(IF(IFERROR(MATCH(80,'كشف الحساب'!$N$4:$N$203,0),0)=0,"",INDEX('كشف الحساب'!$H$4:$H$203,IFERROR(MATCH(80,'كشف الحساب'!$N$4:$N$203,0),0))),"")</f>
        <v/>
      </c>
      <c r="I84" s="111" t="str">
        <f aca="false">IFERROR(IF(IFERROR(MATCH(80,'كشف الحساب'!$N$4:$N$203,0),0)=0,"",INDEX('كشف الحساب'!$I$4:$I$203,IFERROR(MATCH(80,'كشف الحساب'!$N$4:$N$203,0),0))),"")</f>
        <v/>
      </c>
      <c r="J84" s="115" t="str">
        <f aca="false">IFERROR(IF(IFERROR(MATCH(80,'كشف الحساب'!$N$4:$N$203,0),0)=0,"",INDEX('كشف الحساب'!$J$4:$J$203,IFERROR(MATCH(80,'كشف الحساب'!$N$4:$N$203,0),0))),"")</f>
        <v/>
      </c>
      <c r="K84" s="111" t="str">
        <f aca="false">IFERROR(IF(IFERROR(MATCH(80,'كشف الحساب'!$N$4:$N$203,0),0)=0,"",INDEX('كشف الحساب'!$K$4:$K$203,IFERROR(MATCH(80,'كشف الحساب'!$N$4:$N$203,0),0))),"")</f>
        <v/>
      </c>
    </row>
    <row r="85" customFormat="false" ht="15" hidden="true" customHeight="true" outlineLevel="0" collapsed="false">
      <c r="A85" s="104" t="str">
        <f aca="false">IFERROR(IF(IFERROR(MATCH(81,'كشف الحساب'!$N$4:$N$203,0),0)=0,"",INDEX('كشف الحساب'!$A$4:$A$203,IFERROR(MATCH(81,'كشف الحساب'!$N$4:$N$203,0),0))),"")</f>
        <v/>
      </c>
      <c r="B85" s="105" t="str">
        <f aca="false">IFERROR(IF(IFERROR(MATCH(81,'كشف الحساب'!$N$4:$N$203,0),0)=0,"",INDEX('كشف الحساب'!$B$4:$B$203,IFERROR(MATCH(81,'كشف الحساب'!$N$4:$N$203,0),0))),"")</f>
        <v/>
      </c>
      <c r="C85" s="106" t="str">
        <f aca="false">IFERROR(IF(IFERROR(MATCH(81,'كشف الحساب'!$N$4:$N$203,0),0)=0,"",INDEX('كشف الحساب'!$C$4:$C$203,IFERROR(MATCH(81,'كشف الحساب'!$N$4:$N$203,0),0))),"")</f>
        <v/>
      </c>
      <c r="D85" s="107" t="str">
        <f aca="false">IFERROR(IF(IFERROR(MATCH(81,'كشف الحساب'!$N$4:$N$203,0),0)=0,"",INDEX('كشف الحساب'!$D$4:$D$203,IFERROR(MATCH(81,'كشف الحساب'!$N$4:$N$203,0),0))),"")</f>
        <v/>
      </c>
      <c r="E85" s="108" t="str">
        <f aca="false">IFERROR(IF(IFERROR(MATCH(81,'كشف الحساب'!$N$4:$N$203,0),0)=0,"",INDEX('كشف الحساب'!$E$4:$E$203,IFERROR(MATCH(81,'كشف الحساب'!$N$4:$N$203,0),0))),"")</f>
        <v/>
      </c>
      <c r="F85" s="105" t="str">
        <f aca="false">IFERROR(IF(IFERROR(MATCH(81,'كشف الحساب'!$N$4:$N$203,0),0)=0,"",INDEX('كشف الحساب'!$F$4:$F$203,IFERROR(MATCH(81,'كشف الحساب'!$N$4:$N$203,0),0))),"")</f>
        <v/>
      </c>
      <c r="G85" s="105" t="str">
        <f aca="false">IFERROR(IF(IFERROR(MATCH(81,'كشف الحساب'!$N$4:$N$203,0),0)=0,"",INDEX('كشف الحساب'!$G$4:$G$203,IFERROR(MATCH(81,'كشف الحساب'!$N$4:$N$203,0),0))),"")</f>
        <v/>
      </c>
      <c r="H85" s="105" t="str">
        <f aca="false">IFERROR(IF(IFERROR(MATCH(81,'كشف الحساب'!$N$4:$N$203,0),0)=0,"",INDEX('كشف الحساب'!$H$4:$H$203,IFERROR(MATCH(81,'كشف الحساب'!$N$4:$N$203,0),0))),"")</f>
        <v/>
      </c>
      <c r="I85" s="105" t="str">
        <f aca="false">IFERROR(IF(IFERROR(MATCH(81,'كشف الحساب'!$N$4:$N$203,0),0)=0,"",INDEX('كشف الحساب'!$I$4:$I$203,IFERROR(MATCH(81,'كشف الحساب'!$N$4:$N$203,0),0))),"")</f>
        <v/>
      </c>
      <c r="J85" s="109" t="str">
        <f aca="false">IFERROR(IF(IFERROR(MATCH(81,'كشف الحساب'!$N$4:$N$203,0),0)=0,"",INDEX('كشف الحساب'!$J$4:$J$203,IFERROR(MATCH(81,'كشف الحساب'!$N$4:$N$203,0),0))),"")</f>
        <v/>
      </c>
      <c r="K85" s="105" t="str">
        <f aca="false">IFERROR(IF(IFERROR(MATCH(81,'كشف الحساب'!$N$4:$N$203,0),0)=0,"",INDEX('كشف الحساب'!$K$4:$K$203,IFERROR(MATCH(81,'كشف الحساب'!$N$4:$N$203,0),0))),"")</f>
        <v/>
      </c>
    </row>
    <row r="86" customFormat="false" ht="15" hidden="true" customHeight="true" outlineLevel="0" collapsed="false">
      <c r="A86" s="110" t="str">
        <f aca="false">IFERROR(IF(IFERROR(MATCH(82,'كشف الحساب'!$N$4:$N$203,0),0)=0,"",INDEX('كشف الحساب'!$A$4:$A$203,IFERROR(MATCH(82,'كشف الحساب'!$N$4:$N$203,0),0))),"")</f>
        <v/>
      </c>
      <c r="B86" s="111" t="str">
        <f aca="false">IFERROR(IF(IFERROR(MATCH(82,'كشف الحساب'!$N$4:$N$203,0),0)=0,"",INDEX('كشف الحساب'!$B$4:$B$203,IFERROR(MATCH(82,'كشف الحساب'!$N$4:$N$203,0),0))),"")</f>
        <v/>
      </c>
      <c r="C86" s="112" t="str">
        <f aca="false">IFERROR(IF(IFERROR(MATCH(82,'كشف الحساب'!$N$4:$N$203,0),0)=0,"",INDEX('كشف الحساب'!$C$4:$C$203,IFERROR(MATCH(82,'كشف الحساب'!$N$4:$N$203,0),0))),"")</f>
        <v/>
      </c>
      <c r="D86" s="113" t="str">
        <f aca="false">IFERROR(IF(IFERROR(MATCH(82,'كشف الحساب'!$N$4:$N$203,0),0)=0,"",INDEX('كشف الحساب'!$D$4:$D$203,IFERROR(MATCH(82,'كشف الحساب'!$N$4:$N$203,0),0))),"")</f>
        <v/>
      </c>
      <c r="E86" s="114" t="str">
        <f aca="false">IFERROR(IF(IFERROR(MATCH(82,'كشف الحساب'!$N$4:$N$203,0),0)=0,"",INDEX('كشف الحساب'!$E$4:$E$203,IFERROR(MATCH(82,'كشف الحساب'!$N$4:$N$203,0),0))),"")</f>
        <v/>
      </c>
      <c r="F86" s="111" t="str">
        <f aca="false">IFERROR(IF(IFERROR(MATCH(82,'كشف الحساب'!$N$4:$N$203,0),0)=0,"",INDEX('كشف الحساب'!$F$4:$F$203,IFERROR(MATCH(82,'كشف الحساب'!$N$4:$N$203,0),0))),"")</f>
        <v/>
      </c>
      <c r="G86" s="111" t="str">
        <f aca="false">IFERROR(IF(IFERROR(MATCH(82,'كشف الحساب'!$N$4:$N$203,0),0)=0,"",INDEX('كشف الحساب'!$G$4:$G$203,IFERROR(MATCH(82,'كشف الحساب'!$N$4:$N$203,0),0))),"")</f>
        <v/>
      </c>
      <c r="H86" s="111" t="str">
        <f aca="false">IFERROR(IF(IFERROR(MATCH(82,'كشف الحساب'!$N$4:$N$203,0),0)=0,"",INDEX('كشف الحساب'!$H$4:$H$203,IFERROR(MATCH(82,'كشف الحساب'!$N$4:$N$203,0),0))),"")</f>
        <v/>
      </c>
      <c r="I86" s="111" t="str">
        <f aca="false">IFERROR(IF(IFERROR(MATCH(82,'كشف الحساب'!$N$4:$N$203,0),0)=0,"",INDEX('كشف الحساب'!$I$4:$I$203,IFERROR(MATCH(82,'كشف الحساب'!$N$4:$N$203,0),0))),"")</f>
        <v/>
      </c>
      <c r="J86" s="115" t="str">
        <f aca="false">IFERROR(IF(IFERROR(MATCH(82,'كشف الحساب'!$N$4:$N$203,0),0)=0,"",INDEX('كشف الحساب'!$J$4:$J$203,IFERROR(MATCH(82,'كشف الحساب'!$N$4:$N$203,0),0))),"")</f>
        <v/>
      </c>
      <c r="K86" s="111" t="str">
        <f aca="false">IFERROR(IF(IFERROR(MATCH(82,'كشف الحساب'!$N$4:$N$203,0),0)=0,"",INDEX('كشف الحساب'!$K$4:$K$203,IFERROR(MATCH(82,'كشف الحساب'!$N$4:$N$203,0),0))),"")</f>
        <v/>
      </c>
    </row>
    <row r="87" customFormat="false" ht="15" hidden="true" customHeight="true" outlineLevel="0" collapsed="false">
      <c r="A87" s="104" t="str">
        <f aca="false">IFERROR(IF(IFERROR(MATCH(83,'كشف الحساب'!$N$4:$N$203,0),0)=0,"",INDEX('كشف الحساب'!$A$4:$A$203,IFERROR(MATCH(83,'كشف الحساب'!$N$4:$N$203,0),0))),"")</f>
        <v/>
      </c>
      <c r="B87" s="105" t="str">
        <f aca="false">IFERROR(IF(IFERROR(MATCH(83,'كشف الحساب'!$N$4:$N$203,0),0)=0,"",INDEX('كشف الحساب'!$B$4:$B$203,IFERROR(MATCH(83,'كشف الحساب'!$N$4:$N$203,0),0))),"")</f>
        <v/>
      </c>
      <c r="C87" s="106" t="str">
        <f aca="false">IFERROR(IF(IFERROR(MATCH(83,'كشف الحساب'!$N$4:$N$203,0),0)=0,"",INDEX('كشف الحساب'!$C$4:$C$203,IFERROR(MATCH(83,'كشف الحساب'!$N$4:$N$203,0),0))),"")</f>
        <v/>
      </c>
      <c r="D87" s="107" t="str">
        <f aca="false">IFERROR(IF(IFERROR(MATCH(83,'كشف الحساب'!$N$4:$N$203,0),0)=0,"",INDEX('كشف الحساب'!$D$4:$D$203,IFERROR(MATCH(83,'كشف الحساب'!$N$4:$N$203,0),0))),"")</f>
        <v/>
      </c>
      <c r="E87" s="108" t="str">
        <f aca="false">IFERROR(IF(IFERROR(MATCH(83,'كشف الحساب'!$N$4:$N$203,0),0)=0,"",INDEX('كشف الحساب'!$E$4:$E$203,IFERROR(MATCH(83,'كشف الحساب'!$N$4:$N$203,0),0))),"")</f>
        <v/>
      </c>
      <c r="F87" s="105" t="str">
        <f aca="false">IFERROR(IF(IFERROR(MATCH(83,'كشف الحساب'!$N$4:$N$203,0),0)=0,"",INDEX('كشف الحساب'!$F$4:$F$203,IFERROR(MATCH(83,'كشف الحساب'!$N$4:$N$203,0),0))),"")</f>
        <v/>
      </c>
      <c r="G87" s="105" t="str">
        <f aca="false">IFERROR(IF(IFERROR(MATCH(83,'كشف الحساب'!$N$4:$N$203,0),0)=0,"",INDEX('كشف الحساب'!$G$4:$G$203,IFERROR(MATCH(83,'كشف الحساب'!$N$4:$N$203,0),0))),"")</f>
        <v/>
      </c>
      <c r="H87" s="105" t="str">
        <f aca="false">IFERROR(IF(IFERROR(MATCH(83,'كشف الحساب'!$N$4:$N$203,0),0)=0,"",INDEX('كشف الحساب'!$H$4:$H$203,IFERROR(MATCH(83,'كشف الحساب'!$N$4:$N$203,0),0))),"")</f>
        <v/>
      </c>
      <c r="I87" s="105" t="str">
        <f aca="false">IFERROR(IF(IFERROR(MATCH(83,'كشف الحساب'!$N$4:$N$203,0),0)=0,"",INDEX('كشف الحساب'!$I$4:$I$203,IFERROR(MATCH(83,'كشف الحساب'!$N$4:$N$203,0),0))),"")</f>
        <v/>
      </c>
      <c r="J87" s="109" t="str">
        <f aca="false">IFERROR(IF(IFERROR(MATCH(83,'كشف الحساب'!$N$4:$N$203,0),0)=0,"",INDEX('كشف الحساب'!$J$4:$J$203,IFERROR(MATCH(83,'كشف الحساب'!$N$4:$N$203,0),0))),"")</f>
        <v/>
      </c>
      <c r="K87" s="105" t="str">
        <f aca="false">IFERROR(IF(IFERROR(MATCH(83,'كشف الحساب'!$N$4:$N$203,0),0)=0,"",INDEX('كشف الحساب'!$K$4:$K$203,IFERROR(MATCH(83,'كشف الحساب'!$N$4:$N$203,0),0))),"")</f>
        <v/>
      </c>
    </row>
    <row r="88" customFormat="false" ht="15" hidden="true" customHeight="true" outlineLevel="0" collapsed="false">
      <c r="A88" s="110" t="str">
        <f aca="false">IFERROR(IF(IFERROR(MATCH(84,'كشف الحساب'!$N$4:$N$203,0),0)=0,"",INDEX('كشف الحساب'!$A$4:$A$203,IFERROR(MATCH(84,'كشف الحساب'!$N$4:$N$203,0),0))),"")</f>
        <v/>
      </c>
      <c r="B88" s="111" t="str">
        <f aca="false">IFERROR(IF(IFERROR(MATCH(84,'كشف الحساب'!$N$4:$N$203,0),0)=0,"",INDEX('كشف الحساب'!$B$4:$B$203,IFERROR(MATCH(84,'كشف الحساب'!$N$4:$N$203,0),0))),"")</f>
        <v/>
      </c>
      <c r="C88" s="112" t="str">
        <f aca="false">IFERROR(IF(IFERROR(MATCH(84,'كشف الحساب'!$N$4:$N$203,0),0)=0,"",INDEX('كشف الحساب'!$C$4:$C$203,IFERROR(MATCH(84,'كشف الحساب'!$N$4:$N$203,0),0))),"")</f>
        <v/>
      </c>
      <c r="D88" s="113" t="str">
        <f aca="false">IFERROR(IF(IFERROR(MATCH(84,'كشف الحساب'!$N$4:$N$203,0),0)=0,"",INDEX('كشف الحساب'!$D$4:$D$203,IFERROR(MATCH(84,'كشف الحساب'!$N$4:$N$203,0),0))),"")</f>
        <v/>
      </c>
      <c r="E88" s="114" t="str">
        <f aca="false">IFERROR(IF(IFERROR(MATCH(84,'كشف الحساب'!$N$4:$N$203,0),0)=0,"",INDEX('كشف الحساب'!$E$4:$E$203,IFERROR(MATCH(84,'كشف الحساب'!$N$4:$N$203,0),0))),"")</f>
        <v/>
      </c>
      <c r="F88" s="111" t="str">
        <f aca="false">IFERROR(IF(IFERROR(MATCH(84,'كشف الحساب'!$N$4:$N$203,0),0)=0,"",INDEX('كشف الحساب'!$F$4:$F$203,IFERROR(MATCH(84,'كشف الحساب'!$N$4:$N$203,0),0))),"")</f>
        <v/>
      </c>
      <c r="G88" s="111" t="str">
        <f aca="false">IFERROR(IF(IFERROR(MATCH(84,'كشف الحساب'!$N$4:$N$203,0),0)=0,"",INDEX('كشف الحساب'!$G$4:$G$203,IFERROR(MATCH(84,'كشف الحساب'!$N$4:$N$203,0),0))),"")</f>
        <v/>
      </c>
      <c r="H88" s="111" t="str">
        <f aca="false">IFERROR(IF(IFERROR(MATCH(84,'كشف الحساب'!$N$4:$N$203,0),0)=0,"",INDEX('كشف الحساب'!$H$4:$H$203,IFERROR(MATCH(84,'كشف الحساب'!$N$4:$N$203,0),0))),"")</f>
        <v/>
      </c>
      <c r="I88" s="111" t="str">
        <f aca="false">IFERROR(IF(IFERROR(MATCH(84,'كشف الحساب'!$N$4:$N$203,0),0)=0,"",INDEX('كشف الحساب'!$I$4:$I$203,IFERROR(MATCH(84,'كشف الحساب'!$N$4:$N$203,0),0))),"")</f>
        <v/>
      </c>
      <c r="J88" s="115" t="str">
        <f aca="false">IFERROR(IF(IFERROR(MATCH(84,'كشف الحساب'!$N$4:$N$203,0),0)=0,"",INDEX('كشف الحساب'!$J$4:$J$203,IFERROR(MATCH(84,'كشف الحساب'!$N$4:$N$203,0),0))),"")</f>
        <v/>
      </c>
      <c r="K88" s="111" t="str">
        <f aca="false">IFERROR(IF(IFERROR(MATCH(84,'كشف الحساب'!$N$4:$N$203,0),0)=0,"",INDEX('كشف الحساب'!$K$4:$K$203,IFERROR(MATCH(84,'كشف الحساب'!$N$4:$N$203,0),0))),"")</f>
        <v/>
      </c>
    </row>
    <row r="89" customFormat="false" ht="15" hidden="true" customHeight="true" outlineLevel="0" collapsed="false">
      <c r="A89" s="104" t="str">
        <f aca="false">IFERROR(IF(IFERROR(MATCH(85,'كشف الحساب'!$N$4:$N$203,0),0)=0,"",INDEX('كشف الحساب'!$A$4:$A$203,IFERROR(MATCH(85,'كشف الحساب'!$N$4:$N$203,0),0))),"")</f>
        <v/>
      </c>
      <c r="B89" s="105" t="str">
        <f aca="false">IFERROR(IF(IFERROR(MATCH(85,'كشف الحساب'!$N$4:$N$203,0),0)=0,"",INDEX('كشف الحساب'!$B$4:$B$203,IFERROR(MATCH(85,'كشف الحساب'!$N$4:$N$203,0),0))),"")</f>
        <v/>
      </c>
      <c r="C89" s="106" t="str">
        <f aca="false">IFERROR(IF(IFERROR(MATCH(85,'كشف الحساب'!$N$4:$N$203,0),0)=0,"",INDEX('كشف الحساب'!$C$4:$C$203,IFERROR(MATCH(85,'كشف الحساب'!$N$4:$N$203,0),0))),"")</f>
        <v/>
      </c>
      <c r="D89" s="107" t="str">
        <f aca="false">IFERROR(IF(IFERROR(MATCH(85,'كشف الحساب'!$N$4:$N$203,0),0)=0,"",INDEX('كشف الحساب'!$D$4:$D$203,IFERROR(MATCH(85,'كشف الحساب'!$N$4:$N$203,0),0))),"")</f>
        <v/>
      </c>
      <c r="E89" s="108" t="str">
        <f aca="false">IFERROR(IF(IFERROR(MATCH(85,'كشف الحساب'!$N$4:$N$203,0),0)=0,"",INDEX('كشف الحساب'!$E$4:$E$203,IFERROR(MATCH(85,'كشف الحساب'!$N$4:$N$203,0),0))),"")</f>
        <v/>
      </c>
      <c r="F89" s="105" t="str">
        <f aca="false">IFERROR(IF(IFERROR(MATCH(85,'كشف الحساب'!$N$4:$N$203,0),0)=0,"",INDEX('كشف الحساب'!$F$4:$F$203,IFERROR(MATCH(85,'كشف الحساب'!$N$4:$N$203,0),0))),"")</f>
        <v/>
      </c>
      <c r="G89" s="105" t="str">
        <f aca="false">IFERROR(IF(IFERROR(MATCH(85,'كشف الحساب'!$N$4:$N$203,0),0)=0,"",INDEX('كشف الحساب'!$G$4:$G$203,IFERROR(MATCH(85,'كشف الحساب'!$N$4:$N$203,0),0))),"")</f>
        <v/>
      </c>
      <c r="H89" s="105" t="str">
        <f aca="false">IFERROR(IF(IFERROR(MATCH(85,'كشف الحساب'!$N$4:$N$203,0),0)=0,"",INDEX('كشف الحساب'!$H$4:$H$203,IFERROR(MATCH(85,'كشف الحساب'!$N$4:$N$203,0),0))),"")</f>
        <v/>
      </c>
      <c r="I89" s="105" t="str">
        <f aca="false">IFERROR(IF(IFERROR(MATCH(85,'كشف الحساب'!$N$4:$N$203,0),0)=0,"",INDEX('كشف الحساب'!$I$4:$I$203,IFERROR(MATCH(85,'كشف الحساب'!$N$4:$N$203,0),0))),"")</f>
        <v/>
      </c>
      <c r="J89" s="109" t="str">
        <f aca="false">IFERROR(IF(IFERROR(MATCH(85,'كشف الحساب'!$N$4:$N$203,0),0)=0,"",INDEX('كشف الحساب'!$J$4:$J$203,IFERROR(MATCH(85,'كشف الحساب'!$N$4:$N$203,0),0))),"")</f>
        <v/>
      </c>
      <c r="K89" s="105" t="str">
        <f aca="false">IFERROR(IF(IFERROR(MATCH(85,'كشف الحساب'!$N$4:$N$203,0),0)=0,"",INDEX('كشف الحساب'!$K$4:$K$203,IFERROR(MATCH(85,'كشف الحساب'!$N$4:$N$203,0),0))),"")</f>
        <v/>
      </c>
    </row>
    <row r="90" customFormat="false" ht="15" hidden="true" customHeight="true" outlineLevel="0" collapsed="false">
      <c r="A90" s="110" t="str">
        <f aca="false">IFERROR(IF(IFERROR(MATCH(86,'كشف الحساب'!$N$4:$N$203,0),0)=0,"",INDEX('كشف الحساب'!$A$4:$A$203,IFERROR(MATCH(86,'كشف الحساب'!$N$4:$N$203,0),0))),"")</f>
        <v/>
      </c>
      <c r="B90" s="111" t="str">
        <f aca="false">IFERROR(IF(IFERROR(MATCH(86,'كشف الحساب'!$N$4:$N$203,0),0)=0,"",INDEX('كشف الحساب'!$B$4:$B$203,IFERROR(MATCH(86,'كشف الحساب'!$N$4:$N$203,0),0))),"")</f>
        <v/>
      </c>
      <c r="C90" s="112" t="str">
        <f aca="false">IFERROR(IF(IFERROR(MATCH(86,'كشف الحساب'!$N$4:$N$203,0),0)=0,"",INDEX('كشف الحساب'!$C$4:$C$203,IFERROR(MATCH(86,'كشف الحساب'!$N$4:$N$203,0),0))),"")</f>
        <v/>
      </c>
      <c r="D90" s="113" t="str">
        <f aca="false">IFERROR(IF(IFERROR(MATCH(86,'كشف الحساب'!$N$4:$N$203,0),0)=0,"",INDEX('كشف الحساب'!$D$4:$D$203,IFERROR(MATCH(86,'كشف الحساب'!$N$4:$N$203,0),0))),"")</f>
        <v/>
      </c>
      <c r="E90" s="114" t="str">
        <f aca="false">IFERROR(IF(IFERROR(MATCH(86,'كشف الحساب'!$N$4:$N$203,0),0)=0,"",INDEX('كشف الحساب'!$E$4:$E$203,IFERROR(MATCH(86,'كشف الحساب'!$N$4:$N$203,0),0))),"")</f>
        <v/>
      </c>
      <c r="F90" s="111" t="str">
        <f aca="false">IFERROR(IF(IFERROR(MATCH(86,'كشف الحساب'!$N$4:$N$203,0),0)=0,"",INDEX('كشف الحساب'!$F$4:$F$203,IFERROR(MATCH(86,'كشف الحساب'!$N$4:$N$203,0),0))),"")</f>
        <v/>
      </c>
      <c r="G90" s="111" t="str">
        <f aca="false">IFERROR(IF(IFERROR(MATCH(86,'كشف الحساب'!$N$4:$N$203,0),0)=0,"",INDEX('كشف الحساب'!$G$4:$G$203,IFERROR(MATCH(86,'كشف الحساب'!$N$4:$N$203,0),0))),"")</f>
        <v/>
      </c>
      <c r="H90" s="111" t="str">
        <f aca="false">IFERROR(IF(IFERROR(MATCH(86,'كشف الحساب'!$N$4:$N$203,0),0)=0,"",INDEX('كشف الحساب'!$H$4:$H$203,IFERROR(MATCH(86,'كشف الحساب'!$N$4:$N$203,0),0))),"")</f>
        <v/>
      </c>
      <c r="I90" s="111" t="str">
        <f aca="false">IFERROR(IF(IFERROR(MATCH(86,'كشف الحساب'!$N$4:$N$203,0),0)=0,"",INDEX('كشف الحساب'!$I$4:$I$203,IFERROR(MATCH(86,'كشف الحساب'!$N$4:$N$203,0),0))),"")</f>
        <v/>
      </c>
      <c r="J90" s="115" t="str">
        <f aca="false">IFERROR(IF(IFERROR(MATCH(86,'كشف الحساب'!$N$4:$N$203,0),0)=0,"",INDEX('كشف الحساب'!$J$4:$J$203,IFERROR(MATCH(86,'كشف الحساب'!$N$4:$N$203,0),0))),"")</f>
        <v/>
      </c>
      <c r="K90" s="111" t="str">
        <f aca="false">IFERROR(IF(IFERROR(MATCH(86,'كشف الحساب'!$N$4:$N$203,0),0)=0,"",INDEX('كشف الحساب'!$K$4:$K$203,IFERROR(MATCH(86,'كشف الحساب'!$N$4:$N$203,0),0))),"")</f>
        <v/>
      </c>
    </row>
    <row r="91" customFormat="false" ht="15" hidden="true" customHeight="true" outlineLevel="0" collapsed="false">
      <c r="A91" s="104" t="str">
        <f aca="false">IFERROR(IF(IFERROR(MATCH(87,'كشف الحساب'!$N$4:$N$203,0),0)=0,"",INDEX('كشف الحساب'!$A$4:$A$203,IFERROR(MATCH(87,'كشف الحساب'!$N$4:$N$203,0),0))),"")</f>
        <v/>
      </c>
      <c r="B91" s="105" t="str">
        <f aca="false">IFERROR(IF(IFERROR(MATCH(87,'كشف الحساب'!$N$4:$N$203,0),0)=0,"",INDEX('كشف الحساب'!$B$4:$B$203,IFERROR(MATCH(87,'كشف الحساب'!$N$4:$N$203,0),0))),"")</f>
        <v/>
      </c>
      <c r="C91" s="106" t="str">
        <f aca="false">IFERROR(IF(IFERROR(MATCH(87,'كشف الحساب'!$N$4:$N$203,0),0)=0,"",INDEX('كشف الحساب'!$C$4:$C$203,IFERROR(MATCH(87,'كشف الحساب'!$N$4:$N$203,0),0))),"")</f>
        <v/>
      </c>
      <c r="D91" s="107" t="str">
        <f aca="false">IFERROR(IF(IFERROR(MATCH(87,'كشف الحساب'!$N$4:$N$203,0),0)=0,"",INDEX('كشف الحساب'!$D$4:$D$203,IFERROR(MATCH(87,'كشف الحساب'!$N$4:$N$203,0),0))),"")</f>
        <v/>
      </c>
      <c r="E91" s="108" t="str">
        <f aca="false">IFERROR(IF(IFERROR(MATCH(87,'كشف الحساب'!$N$4:$N$203,0),0)=0,"",INDEX('كشف الحساب'!$E$4:$E$203,IFERROR(MATCH(87,'كشف الحساب'!$N$4:$N$203,0),0))),"")</f>
        <v/>
      </c>
      <c r="F91" s="105" t="str">
        <f aca="false">IFERROR(IF(IFERROR(MATCH(87,'كشف الحساب'!$N$4:$N$203,0),0)=0,"",INDEX('كشف الحساب'!$F$4:$F$203,IFERROR(MATCH(87,'كشف الحساب'!$N$4:$N$203,0),0))),"")</f>
        <v/>
      </c>
      <c r="G91" s="105" t="str">
        <f aca="false">IFERROR(IF(IFERROR(MATCH(87,'كشف الحساب'!$N$4:$N$203,0),0)=0,"",INDEX('كشف الحساب'!$G$4:$G$203,IFERROR(MATCH(87,'كشف الحساب'!$N$4:$N$203,0),0))),"")</f>
        <v/>
      </c>
      <c r="H91" s="105" t="str">
        <f aca="false">IFERROR(IF(IFERROR(MATCH(87,'كشف الحساب'!$N$4:$N$203,0),0)=0,"",INDEX('كشف الحساب'!$H$4:$H$203,IFERROR(MATCH(87,'كشف الحساب'!$N$4:$N$203,0),0))),"")</f>
        <v/>
      </c>
      <c r="I91" s="105" t="str">
        <f aca="false">IFERROR(IF(IFERROR(MATCH(87,'كشف الحساب'!$N$4:$N$203,0),0)=0,"",INDEX('كشف الحساب'!$I$4:$I$203,IFERROR(MATCH(87,'كشف الحساب'!$N$4:$N$203,0),0))),"")</f>
        <v/>
      </c>
      <c r="J91" s="109" t="str">
        <f aca="false">IFERROR(IF(IFERROR(MATCH(87,'كشف الحساب'!$N$4:$N$203,0),0)=0,"",INDEX('كشف الحساب'!$J$4:$J$203,IFERROR(MATCH(87,'كشف الحساب'!$N$4:$N$203,0),0))),"")</f>
        <v/>
      </c>
      <c r="K91" s="105" t="str">
        <f aca="false">IFERROR(IF(IFERROR(MATCH(87,'كشف الحساب'!$N$4:$N$203,0),0)=0,"",INDEX('كشف الحساب'!$K$4:$K$203,IFERROR(MATCH(87,'كشف الحساب'!$N$4:$N$203,0),0))),"")</f>
        <v/>
      </c>
    </row>
    <row r="92" customFormat="false" ht="15" hidden="true" customHeight="true" outlineLevel="0" collapsed="false">
      <c r="A92" s="110" t="str">
        <f aca="false">IFERROR(IF(IFERROR(MATCH(88,'كشف الحساب'!$N$4:$N$203,0),0)=0,"",INDEX('كشف الحساب'!$A$4:$A$203,IFERROR(MATCH(88,'كشف الحساب'!$N$4:$N$203,0),0))),"")</f>
        <v/>
      </c>
      <c r="B92" s="111" t="str">
        <f aca="false">IFERROR(IF(IFERROR(MATCH(88,'كشف الحساب'!$N$4:$N$203,0),0)=0,"",INDEX('كشف الحساب'!$B$4:$B$203,IFERROR(MATCH(88,'كشف الحساب'!$N$4:$N$203,0),0))),"")</f>
        <v/>
      </c>
      <c r="C92" s="112" t="str">
        <f aca="false">IFERROR(IF(IFERROR(MATCH(88,'كشف الحساب'!$N$4:$N$203,0),0)=0,"",INDEX('كشف الحساب'!$C$4:$C$203,IFERROR(MATCH(88,'كشف الحساب'!$N$4:$N$203,0),0))),"")</f>
        <v/>
      </c>
      <c r="D92" s="113" t="str">
        <f aca="false">IFERROR(IF(IFERROR(MATCH(88,'كشف الحساب'!$N$4:$N$203,0),0)=0,"",INDEX('كشف الحساب'!$D$4:$D$203,IFERROR(MATCH(88,'كشف الحساب'!$N$4:$N$203,0),0))),"")</f>
        <v/>
      </c>
      <c r="E92" s="114" t="str">
        <f aca="false">IFERROR(IF(IFERROR(MATCH(88,'كشف الحساب'!$N$4:$N$203,0),0)=0,"",INDEX('كشف الحساب'!$E$4:$E$203,IFERROR(MATCH(88,'كشف الحساب'!$N$4:$N$203,0),0))),"")</f>
        <v/>
      </c>
      <c r="F92" s="111" t="str">
        <f aca="false">IFERROR(IF(IFERROR(MATCH(88,'كشف الحساب'!$N$4:$N$203,0),0)=0,"",INDEX('كشف الحساب'!$F$4:$F$203,IFERROR(MATCH(88,'كشف الحساب'!$N$4:$N$203,0),0))),"")</f>
        <v/>
      </c>
      <c r="G92" s="111" t="str">
        <f aca="false">IFERROR(IF(IFERROR(MATCH(88,'كشف الحساب'!$N$4:$N$203,0),0)=0,"",INDEX('كشف الحساب'!$G$4:$G$203,IFERROR(MATCH(88,'كشف الحساب'!$N$4:$N$203,0),0))),"")</f>
        <v/>
      </c>
      <c r="H92" s="111" t="str">
        <f aca="false">IFERROR(IF(IFERROR(MATCH(88,'كشف الحساب'!$N$4:$N$203,0),0)=0,"",INDEX('كشف الحساب'!$H$4:$H$203,IFERROR(MATCH(88,'كشف الحساب'!$N$4:$N$203,0),0))),"")</f>
        <v/>
      </c>
      <c r="I92" s="111" t="str">
        <f aca="false">IFERROR(IF(IFERROR(MATCH(88,'كشف الحساب'!$N$4:$N$203,0),0)=0,"",INDEX('كشف الحساب'!$I$4:$I$203,IFERROR(MATCH(88,'كشف الحساب'!$N$4:$N$203,0),0))),"")</f>
        <v/>
      </c>
      <c r="J92" s="115" t="str">
        <f aca="false">IFERROR(IF(IFERROR(MATCH(88,'كشف الحساب'!$N$4:$N$203,0),0)=0,"",INDEX('كشف الحساب'!$J$4:$J$203,IFERROR(MATCH(88,'كشف الحساب'!$N$4:$N$203,0),0))),"")</f>
        <v/>
      </c>
      <c r="K92" s="111" t="str">
        <f aca="false">IFERROR(IF(IFERROR(MATCH(88,'كشف الحساب'!$N$4:$N$203,0),0)=0,"",INDEX('كشف الحساب'!$K$4:$K$203,IFERROR(MATCH(88,'كشف الحساب'!$N$4:$N$203,0),0))),"")</f>
        <v/>
      </c>
    </row>
    <row r="93" customFormat="false" ht="15" hidden="true" customHeight="true" outlineLevel="0" collapsed="false">
      <c r="A93" s="104" t="str">
        <f aca="false">IFERROR(IF(IFERROR(MATCH(89,'كشف الحساب'!$N$4:$N$203,0),0)=0,"",INDEX('كشف الحساب'!$A$4:$A$203,IFERROR(MATCH(89,'كشف الحساب'!$N$4:$N$203,0),0))),"")</f>
        <v/>
      </c>
      <c r="B93" s="105" t="str">
        <f aca="false">IFERROR(IF(IFERROR(MATCH(89,'كشف الحساب'!$N$4:$N$203,0),0)=0,"",INDEX('كشف الحساب'!$B$4:$B$203,IFERROR(MATCH(89,'كشف الحساب'!$N$4:$N$203,0),0))),"")</f>
        <v/>
      </c>
      <c r="C93" s="106" t="str">
        <f aca="false">IFERROR(IF(IFERROR(MATCH(89,'كشف الحساب'!$N$4:$N$203,0),0)=0,"",INDEX('كشف الحساب'!$C$4:$C$203,IFERROR(MATCH(89,'كشف الحساب'!$N$4:$N$203,0),0))),"")</f>
        <v/>
      </c>
      <c r="D93" s="107" t="str">
        <f aca="false">IFERROR(IF(IFERROR(MATCH(89,'كشف الحساب'!$N$4:$N$203,0),0)=0,"",INDEX('كشف الحساب'!$D$4:$D$203,IFERROR(MATCH(89,'كشف الحساب'!$N$4:$N$203,0),0))),"")</f>
        <v/>
      </c>
      <c r="E93" s="108" t="str">
        <f aca="false">IFERROR(IF(IFERROR(MATCH(89,'كشف الحساب'!$N$4:$N$203,0),0)=0,"",INDEX('كشف الحساب'!$E$4:$E$203,IFERROR(MATCH(89,'كشف الحساب'!$N$4:$N$203,0),0))),"")</f>
        <v/>
      </c>
      <c r="F93" s="105" t="str">
        <f aca="false">IFERROR(IF(IFERROR(MATCH(89,'كشف الحساب'!$N$4:$N$203,0),0)=0,"",INDEX('كشف الحساب'!$F$4:$F$203,IFERROR(MATCH(89,'كشف الحساب'!$N$4:$N$203,0),0))),"")</f>
        <v/>
      </c>
      <c r="G93" s="105" t="str">
        <f aca="false">IFERROR(IF(IFERROR(MATCH(89,'كشف الحساب'!$N$4:$N$203,0),0)=0,"",INDEX('كشف الحساب'!$G$4:$G$203,IFERROR(MATCH(89,'كشف الحساب'!$N$4:$N$203,0),0))),"")</f>
        <v/>
      </c>
      <c r="H93" s="105" t="str">
        <f aca="false">IFERROR(IF(IFERROR(MATCH(89,'كشف الحساب'!$N$4:$N$203,0),0)=0,"",INDEX('كشف الحساب'!$H$4:$H$203,IFERROR(MATCH(89,'كشف الحساب'!$N$4:$N$203,0),0))),"")</f>
        <v/>
      </c>
      <c r="I93" s="105" t="str">
        <f aca="false">IFERROR(IF(IFERROR(MATCH(89,'كشف الحساب'!$N$4:$N$203,0),0)=0,"",INDEX('كشف الحساب'!$I$4:$I$203,IFERROR(MATCH(89,'كشف الحساب'!$N$4:$N$203,0),0))),"")</f>
        <v/>
      </c>
      <c r="J93" s="109" t="str">
        <f aca="false">IFERROR(IF(IFERROR(MATCH(89,'كشف الحساب'!$N$4:$N$203,0),0)=0,"",INDEX('كشف الحساب'!$J$4:$J$203,IFERROR(MATCH(89,'كشف الحساب'!$N$4:$N$203,0),0))),"")</f>
        <v/>
      </c>
      <c r="K93" s="105" t="str">
        <f aca="false">IFERROR(IF(IFERROR(MATCH(89,'كشف الحساب'!$N$4:$N$203,0),0)=0,"",INDEX('كشف الحساب'!$K$4:$K$203,IFERROR(MATCH(89,'كشف الحساب'!$N$4:$N$203,0),0))),"")</f>
        <v/>
      </c>
    </row>
    <row r="94" customFormat="false" ht="15" hidden="true" customHeight="true" outlineLevel="0" collapsed="false">
      <c r="A94" s="110" t="str">
        <f aca="false">IFERROR(IF(IFERROR(MATCH(90,'كشف الحساب'!$N$4:$N$203,0),0)=0,"",INDEX('كشف الحساب'!$A$4:$A$203,IFERROR(MATCH(90,'كشف الحساب'!$N$4:$N$203,0),0))),"")</f>
        <v/>
      </c>
      <c r="B94" s="111" t="str">
        <f aca="false">IFERROR(IF(IFERROR(MATCH(90,'كشف الحساب'!$N$4:$N$203,0),0)=0,"",INDEX('كشف الحساب'!$B$4:$B$203,IFERROR(MATCH(90,'كشف الحساب'!$N$4:$N$203,0),0))),"")</f>
        <v/>
      </c>
      <c r="C94" s="112" t="str">
        <f aca="false">IFERROR(IF(IFERROR(MATCH(90,'كشف الحساب'!$N$4:$N$203,0),0)=0,"",INDEX('كشف الحساب'!$C$4:$C$203,IFERROR(MATCH(90,'كشف الحساب'!$N$4:$N$203,0),0))),"")</f>
        <v/>
      </c>
      <c r="D94" s="113" t="str">
        <f aca="false">IFERROR(IF(IFERROR(MATCH(90,'كشف الحساب'!$N$4:$N$203,0),0)=0,"",INDEX('كشف الحساب'!$D$4:$D$203,IFERROR(MATCH(90,'كشف الحساب'!$N$4:$N$203,0),0))),"")</f>
        <v/>
      </c>
      <c r="E94" s="114" t="str">
        <f aca="false">IFERROR(IF(IFERROR(MATCH(90,'كشف الحساب'!$N$4:$N$203,0),0)=0,"",INDEX('كشف الحساب'!$E$4:$E$203,IFERROR(MATCH(90,'كشف الحساب'!$N$4:$N$203,0),0))),"")</f>
        <v/>
      </c>
      <c r="F94" s="111" t="str">
        <f aca="false">IFERROR(IF(IFERROR(MATCH(90,'كشف الحساب'!$N$4:$N$203,0),0)=0,"",INDEX('كشف الحساب'!$F$4:$F$203,IFERROR(MATCH(90,'كشف الحساب'!$N$4:$N$203,0),0))),"")</f>
        <v/>
      </c>
      <c r="G94" s="111" t="str">
        <f aca="false">IFERROR(IF(IFERROR(MATCH(90,'كشف الحساب'!$N$4:$N$203,0),0)=0,"",INDEX('كشف الحساب'!$G$4:$G$203,IFERROR(MATCH(90,'كشف الحساب'!$N$4:$N$203,0),0))),"")</f>
        <v/>
      </c>
      <c r="H94" s="111" t="str">
        <f aca="false">IFERROR(IF(IFERROR(MATCH(90,'كشف الحساب'!$N$4:$N$203,0),0)=0,"",INDEX('كشف الحساب'!$H$4:$H$203,IFERROR(MATCH(90,'كشف الحساب'!$N$4:$N$203,0),0))),"")</f>
        <v/>
      </c>
      <c r="I94" s="111" t="str">
        <f aca="false">IFERROR(IF(IFERROR(MATCH(90,'كشف الحساب'!$N$4:$N$203,0),0)=0,"",INDEX('كشف الحساب'!$I$4:$I$203,IFERROR(MATCH(90,'كشف الحساب'!$N$4:$N$203,0),0))),"")</f>
        <v/>
      </c>
      <c r="J94" s="115" t="str">
        <f aca="false">IFERROR(IF(IFERROR(MATCH(90,'كشف الحساب'!$N$4:$N$203,0),0)=0,"",INDEX('كشف الحساب'!$J$4:$J$203,IFERROR(MATCH(90,'كشف الحساب'!$N$4:$N$203,0),0))),"")</f>
        <v/>
      </c>
      <c r="K94" s="111" t="str">
        <f aca="false">IFERROR(IF(IFERROR(MATCH(90,'كشف الحساب'!$N$4:$N$203,0),0)=0,"",INDEX('كشف الحساب'!$K$4:$K$203,IFERROR(MATCH(90,'كشف الحساب'!$N$4:$N$203,0),0))),"")</f>
        <v/>
      </c>
    </row>
    <row r="95" customFormat="false" ht="15" hidden="true" customHeight="true" outlineLevel="0" collapsed="false">
      <c r="A95" s="104" t="str">
        <f aca="false">IFERROR(IF(IFERROR(MATCH(91,'كشف الحساب'!$N$4:$N$203,0),0)=0,"",INDEX('كشف الحساب'!$A$4:$A$203,IFERROR(MATCH(91,'كشف الحساب'!$N$4:$N$203,0),0))),"")</f>
        <v/>
      </c>
      <c r="B95" s="105" t="str">
        <f aca="false">IFERROR(IF(IFERROR(MATCH(91,'كشف الحساب'!$N$4:$N$203,0),0)=0,"",INDEX('كشف الحساب'!$B$4:$B$203,IFERROR(MATCH(91,'كشف الحساب'!$N$4:$N$203,0),0))),"")</f>
        <v/>
      </c>
      <c r="C95" s="106" t="str">
        <f aca="false">IFERROR(IF(IFERROR(MATCH(91,'كشف الحساب'!$N$4:$N$203,0),0)=0,"",INDEX('كشف الحساب'!$C$4:$C$203,IFERROR(MATCH(91,'كشف الحساب'!$N$4:$N$203,0),0))),"")</f>
        <v/>
      </c>
      <c r="D95" s="107" t="str">
        <f aca="false">IFERROR(IF(IFERROR(MATCH(91,'كشف الحساب'!$N$4:$N$203,0),0)=0,"",INDEX('كشف الحساب'!$D$4:$D$203,IFERROR(MATCH(91,'كشف الحساب'!$N$4:$N$203,0),0))),"")</f>
        <v/>
      </c>
      <c r="E95" s="108" t="str">
        <f aca="false">IFERROR(IF(IFERROR(MATCH(91,'كشف الحساب'!$N$4:$N$203,0),0)=0,"",INDEX('كشف الحساب'!$E$4:$E$203,IFERROR(MATCH(91,'كشف الحساب'!$N$4:$N$203,0),0))),"")</f>
        <v/>
      </c>
      <c r="F95" s="105" t="str">
        <f aca="false">IFERROR(IF(IFERROR(MATCH(91,'كشف الحساب'!$N$4:$N$203,0),0)=0,"",INDEX('كشف الحساب'!$F$4:$F$203,IFERROR(MATCH(91,'كشف الحساب'!$N$4:$N$203,0),0))),"")</f>
        <v/>
      </c>
      <c r="G95" s="105" t="str">
        <f aca="false">IFERROR(IF(IFERROR(MATCH(91,'كشف الحساب'!$N$4:$N$203,0),0)=0,"",INDEX('كشف الحساب'!$G$4:$G$203,IFERROR(MATCH(91,'كشف الحساب'!$N$4:$N$203,0),0))),"")</f>
        <v/>
      </c>
      <c r="H95" s="105" t="str">
        <f aca="false">IFERROR(IF(IFERROR(MATCH(91,'كشف الحساب'!$N$4:$N$203,0),0)=0,"",INDEX('كشف الحساب'!$H$4:$H$203,IFERROR(MATCH(91,'كشف الحساب'!$N$4:$N$203,0),0))),"")</f>
        <v/>
      </c>
      <c r="I95" s="105" t="str">
        <f aca="false">IFERROR(IF(IFERROR(MATCH(91,'كشف الحساب'!$N$4:$N$203,0),0)=0,"",INDEX('كشف الحساب'!$I$4:$I$203,IFERROR(MATCH(91,'كشف الحساب'!$N$4:$N$203,0),0))),"")</f>
        <v/>
      </c>
      <c r="J95" s="109" t="str">
        <f aca="false">IFERROR(IF(IFERROR(MATCH(91,'كشف الحساب'!$N$4:$N$203,0),0)=0,"",INDEX('كشف الحساب'!$J$4:$J$203,IFERROR(MATCH(91,'كشف الحساب'!$N$4:$N$203,0),0))),"")</f>
        <v/>
      </c>
      <c r="K95" s="105" t="str">
        <f aca="false">IFERROR(IF(IFERROR(MATCH(91,'كشف الحساب'!$N$4:$N$203,0),0)=0,"",INDEX('كشف الحساب'!$K$4:$K$203,IFERROR(MATCH(91,'كشف الحساب'!$N$4:$N$203,0),0))),"")</f>
        <v/>
      </c>
    </row>
    <row r="96" customFormat="false" ht="15" hidden="true" customHeight="true" outlineLevel="0" collapsed="false">
      <c r="A96" s="110" t="str">
        <f aca="false">IFERROR(IF(IFERROR(MATCH(92,'كشف الحساب'!$N$4:$N$203,0),0)=0,"",INDEX('كشف الحساب'!$A$4:$A$203,IFERROR(MATCH(92,'كشف الحساب'!$N$4:$N$203,0),0))),"")</f>
        <v/>
      </c>
      <c r="B96" s="111" t="str">
        <f aca="false">IFERROR(IF(IFERROR(MATCH(92,'كشف الحساب'!$N$4:$N$203,0),0)=0,"",INDEX('كشف الحساب'!$B$4:$B$203,IFERROR(MATCH(92,'كشف الحساب'!$N$4:$N$203,0),0))),"")</f>
        <v/>
      </c>
      <c r="C96" s="112" t="str">
        <f aca="false">IFERROR(IF(IFERROR(MATCH(92,'كشف الحساب'!$N$4:$N$203,0),0)=0,"",INDEX('كشف الحساب'!$C$4:$C$203,IFERROR(MATCH(92,'كشف الحساب'!$N$4:$N$203,0),0))),"")</f>
        <v/>
      </c>
      <c r="D96" s="113" t="str">
        <f aca="false">IFERROR(IF(IFERROR(MATCH(92,'كشف الحساب'!$N$4:$N$203,0),0)=0,"",INDEX('كشف الحساب'!$D$4:$D$203,IFERROR(MATCH(92,'كشف الحساب'!$N$4:$N$203,0),0))),"")</f>
        <v/>
      </c>
      <c r="E96" s="114" t="str">
        <f aca="false">IFERROR(IF(IFERROR(MATCH(92,'كشف الحساب'!$N$4:$N$203,0),0)=0,"",INDEX('كشف الحساب'!$E$4:$E$203,IFERROR(MATCH(92,'كشف الحساب'!$N$4:$N$203,0),0))),"")</f>
        <v/>
      </c>
      <c r="F96" s="111" t="str">
        <f aca="false">IFERROR(IF(IFERROR(MATCH(92,'كشف الحساب'!$N$4:$N$203,0),0)=0,"",INDEX('كشف الحساب'!$F$4:$F$203,IFERROR(MATCH(92,'كشف الحساب'!$N$4:$N$203,0),0))),"")</f>
        <v/>
      </c>
      <c r="G96" s="111" t="str">
        <f aca="false">IFERROR(IF(IFERROR(MATCH(92,'كشف الحساب'!$N$4:$N$203,0),0)=0,"",INDEX('كشف الحساب'!$G$4:$G$203,IFERROR(MATCH(92,'كشف الحساب'!$N$4:$N$203,0),0))),"")</f>
        <v/>
      </c>
      <c r="H96" s="111" t="str">
        <f aca="false">IFERROR(IF(IFERROR(MATCH(92,'كشف الحساب'!$N$4:$N$203,0),0)=0,"",INDEX('كشف الحساب'!$H$4:$H$203,IFERROR(MATCH(92,'كشف الحساب'!$N$4:$N$203,0),0))),"")</f>
        <v/>
      </c>
      <c r="I96" s="111" t="str">
        <f aca="false">IFERROR(IF(IFERROR(MATCH(92,'كشف الحساب'!$N$4:$N$203,0),0)=0,"",INDEX('كشف الحساب'!$I$4:$I$203,IFERROR(MATCH(92,'كشف الحساب'!$N$4:$N$203,0),0))),"")</f>
        <v/>
      </c>
      <c r="J96" s="115" t="str">
        <f aca="false">IFERROR(IF(IFERROR(MATCH(92,'كشف الحساب'!$N$4:$N$203,0),0)=0,"",INDEX('كشف الحساب'!$J$4:$J$203,IFERROR(MATCH(92,'كشف الحساب'!$N$4:$N$203,0),0))),"")</f>
        <v/>
      </c>
      <c r="K96" s="111" t="str">
        <f aca="false">IFERROR(IF(IFERROR(MATCH(92,'كشف الحساب'!$N$4:$N$203,0),0)=0,"",INDEX('كشف الحساب'!$K$4:$K$203,IFERROR(MATCH(92,'كشف الحساب'!$N$4:$N$203,0),0))),"")</f>
        <v/>
      </c>
    </row>
    <row r="97" customFormat="false" ht="15" hidden="true" customHeight="true" outlineLevel="0" collapsed="false">
      <c r="A97" s="104" t="str">
        <f aca="false">IFERROR(IF(IFERROR(MATCH(93,'كشف الحساب'!$N$4:$N$203,0),0)=0,"",INDEX('كشف الحساب'!$A$4:$A$203,IFERROR(MATCH(93,'كشف الحساب'!$N$4:$N$203,0),0))),"")</f>
        <v/>
      </c>
      <c r="B97" s="105" t="str">
        <f aca="false">IFERROR(IF(IFERROR(MATCH(93,'كشف الحساب'!$N$4:$N$203,0),0)=0,"",INDEX('كشف الحساب'!$B$4:$B$203,IFERROR(MATCH(93,'كشف الحساب'!$N$4:$N$203,0),0))),"")</f>
        <v/>
      </c>
      <c r="C97" s="106" t="str">
        <f aca="false">IFERROR(IF(IFERROR(MATCH(93,'كشف الحساب'!$N$4:$N$203,0),0)=0,"",INDEX('كشف الحساب'!$C$4:$C$203,IFERROR(MATCH(93,'كشف الحساب'!$N$4:$N$203,0),0))),"")</f>
        <v/>
      </c>
      <c r="D97" s="107" t="str">
        <f aca="false">IFERROR(IF(IFERROR(MATCH(93,'كشف الحساب'!$N$4:$N$203,0),0)=0,"",INDEX('كشف الحساب'!$D$4:$D$203,IFERROR(MATCH(93,'كشف الحساب'!$N$4:$N$203,0),0))),"")</f>
        <v/>
      </c>
      <c r="E97" s="108" t="str">
        <f aca="false">IFERROR(IF(IFERROR(MATCH(93,'كشف الحساب'!$N$4:$N$203,0),0)=0,"",INDEX('كشف الحساب'!$E$4:$E$203,IFERROR(MATCH(93,'كشف الحساب'!$N$4:$N$203,0),0))),"")</f>
        <v/>
      </c>
      <c r="F97" s="105" t="str">
        <f aca="false">IFERROR(IF(IFERROR(MATCH(93,'كشف الحساب'!$N$4:$N$203,0),0)=0,"",INDEX('كشف الحساب'!$F$4:$F$203,IFERROR(MATCH(93,'كشف الحساب'!$N$4:$N$203,0),0))),"")</f>
        <v/>
      </c>
      <c r="G97" s="105" t="str">
        <f aca="false">IFERROR(IF(IFERROR(MATCH(93,'كشف الحساب'!$N$4:$N$203,0),0)=0,"",INDEX('كشف الحساب'!$G$4:$G$203,IFERROR(MATCH(93,'كشف الحساب'!$N$4:$N$203,0),0))),"")</f>
        <v/>
      </c>
      <c r="H97" s="105" t="str">
        <f aca="false">IFERROR(IF(IFERROR(MATCH(93,'كشف الحساب'!$N$4:$N$203,0),0)=0,"",INDEX('كشف الحساب'!$H$4:$H$203,IFERROR(MATCH(93,'كشف الحساب'!$N$4:$N$203,0),0))),"")</f>
        <v/>
      </c>
      <c r="I97" s="105" t="str">
        <f aca="false">IFERROR(IF(IFERROR(MATCH(93,'كشف الحساب'!$N$4:$N$203,0),0)=0,"",INDEX('كشف الحساب'!$I$4:$I$203,IFERROR(MATCH(93,'كشف الحساب'!$N$4:$N$203,0),0))),"")</f>
        <v/>
      </c>
      <c r="J97" s="109" t="str">
        <f aca="false">IFERROR(IF(IFERROR(MATCH(93,'كشف الحساب'!$N$4:$N$203,0),0)=0,"",INDEX('كشف الحساب'!$J$4:$J$203,IFERROR(MATCH(93,'كشف الحساب'!$N$4:$N$203,0),0))),"")</f>
        <v/>
      </c>
      <c r="K97" s="105" t="str">
        <f aca="false">IFERROR(IF(IFERROR(MATCH(93,'كشف الحساب'!$N$4:$N$203,0),0)=0,"",INDEX('كشف الحساب'!$K$4:$K$203,IFERROR(MATCH(93,'كشف الحساب'!$N$4:$N$203,0),0))),"")</f>
        <v/>
      </c>
    </row>
    <row r="98" customFormat="false" ht="15" hidden="true" customHeight="true" outlineLevel="0" collapsed="false">
      <c r="A98" s="110" t="str">
        <f aca="false">IFERROR(IF(IFERROR(MATCH(94,'كشف الحساب'!$N$4:$N$203,0),0)=0,"",INDEX('كشف الحساب'!$A$4:$A$203,IFERROR(MATCH(94,'كشف الحساب'!$N$4:$N$203,0),0))),"")</f>
        <v/>
      </c>
      <c r="B98" s="111" t="str">
        <f aca="false">IFERROR(IF(IFERROR(MATCH(94,'كشف الحساب'!$N$4:$N$203,0),0)=0,"",INDEX('كشف الحساب'!$B$4:$B$203,IFERROR(MATCH(94,'كشف الحساب'!$N$4:$N$203,0),0))),"")</f>
        <v/>
      </c>
      <c r="C98" s="112" t="str">
        <f aca="false">IFERROR(IF(IFERROR(MATCH(94,'كشف الحساب'!$N$4:$N$203,0),0)=0,"",INDEX('كشف الحساب'!$C$4:$C$203,IFERROR(MATCH(94,'كشف الحساب'!$N$4:$N$203,0),0))),"")</f>
        <v/>
      </c>
      <c r="D98" s="113" t="str">
        <f aca="false">IFERROR(IF(IFERROR(MATCH(94,'كشف الحساب'!$N$4:$N$203,0),0)=0,"",INDEX('كشف الحساب'!$D$4:$D$203,IFERROR(MATCH(94,'كشف الحساب'!$N$4:$N$203,0),0))),"")</f>
        <v/>
      </c>
      <c r="E98" s="114" t="str">
        <f aca="false">IFERROR(IF(IFERROR(MATCH(94,'كشف الحساب'!$N$4:$N$203,0),0)=0,"",INDEX('كشف الحساب'!$E$4:$E$203,IFERROR(MATCH(94,'كشف الحساب'!$N$4:$N$203,0),0))),"")</f>
        <v/>
      </c>
      <c r="F98" s="111" t="str">
        <f aca="false">IFERROR(IF(IFERROR(MATCH(94,'كشف الحساب'!$N$4:$N$203,0),0)=0,"",INDEX('كشف الحساب'!$F$4:$F$203,IFERROR(MATCH(94,'كشف الحساب'!$N$4:$N$203,0),0))),"")</f>
        <v/>
      </c>
      <c r="G98" s="111" t="str">
        <f aca="false">IFERROR(IF(IFERROR(MATCH(94,'كشف الحساب'!$N$4:$N$203,0),0)=0,"",INDEX('كشف الحساب'!$G$4:$G$203,IFERROR(MATCH(94,'كشف الحساب'!$N$4:$N$203,0),0))),"")</f>
        <v/>
      </c>
      <c r="H98" s="111" t="str">
        <f aca="false">IFERROR(IF(IFERROR(MATCH(94,'كشف الحساب'!$N$4:$N$203,0),0)=0,"",INDEX('كشف الحساب'!$H$4:$H$203,IFERROR(MATCH(94,'كشف الحساب'!$N$4:$N$203,0),0))),"")</f>
        <v/>
      </c>
      <c r="I98" s="111" t="str">
        <f aca="false">IFERROR(IF(IFERROR(MATCH(94,'كشف الحساب'!$N$4:$N$203,0),0)=0,"",INDEX('كشف الحساب'!$I$4:$I$203,IFERROR(MATCH(94,'كشف الحساب'!$N$4:$N$203,0),0))),"")</f>
        <v/>
      </c>
      <c r="J98" s="115" t="str">
        <f aca="false">IFERROR(IF(IFERROR(MATCH(94,'كشف الحساب'!$N$4:$N$203,0),0)=0,"",INDEX('كشف الحساب'!$J$4:$J$203,IFERROR(MATCH(94,'كشف الحساب'!$N$4:$N$203,0),0))),"")</f>
        <v/>
      </c>
      <c r="K98" s="111" t="str">
        <f aca="false">IFERROR(IF(IFERROR(MATCH(94,'كشف الحساب'!$N$4:$N$203,0),0)=0,"",INDEX('كشف الحساب'!$K$4:$K$203,IFERROR(MATCH(94,'كشف الحساب'!$N$4:$N$203,0),0))),"")</f>
        <v/>
      </c>
    </row>
    <row r="99" customFormat="false" ht="15" hidden="true" customHeight="true" outlineLevel="0" collapsed="false">
      <c r="A99" s="104" t="str">
        <f aca="false">IFERROR(IF(IFERROR(MATCH(95,'كشف الحساب'!$N$4:$N$203,0),0)=0,"",INDEX('كشف الحساب'!$A$4:$A$203,IFERROR(MATCH(95,'كشف الحساب'!$N$4:$N$203,0),0))),"")</f>
        <v/>
      </c>
      <c r="B99" s="105" t="str">
        <f aca="false">IFERROR(IF(IFERROR(MATCH(95,'كشف الحساب'!$N$4:$N$203,0),0)=0,"",INDEX('كشف الحساب'!$B$4:$B$203,IFERROR(MATCH(95,'كشف الحساب'!$N$4:$N$203,0),0))),"")</f>
        <v/>
      </c>
      <c r="C99" s="106" t="str">
        <f aca="false">IFERROR(IF(IFERROR(MATCH(95,'كشف الحساب'!$N$4:$N$203,0),0)=0,"",INDEX('كشف الحساب'!$C$4:$C$203,IFERROR(MATCH(95,'كشف الحساب'!$N$4:$N$203,0),0))),"")</f>
        <v/>
      </c>
      <c r="D99" s="107" t="str">
        <f aca="false">IFERROR(IF(IFERROR(MATCH(95,'كشف الحساب'!$N$4:$N$203,0),0)=0,"",INDEX('كشف الحساب'!$D$4:$D$203,IFERROR(MATCH(95,'كشف الحساب'!$N$4:$N$203,0),0))),"")</f>
        <v/>
      </c>
      <c r="E99" s="108" t="str">
        <f aca="false">IFERROR(IF(IFERROR(MATCH(95,'كشف الحساب'!$N$4:$N$203,0),0)=0,"",INDEX('كشف الحساب'!$E$4:$E$203,IFERROR(MATCH(95,'كشف الحساب'!$N$4:$N$203,0),0))),"")</f>
        <v/>
      </c>
      <c r="F99" s="105" t="str">
        <f aca="false">IFERROR(IF(IFERROR(MATCH(95,'كشف الحساب'!$N$4:$N$203,0),0)=0,"",INDEX('كشف الحساب'!$F$4:$F$203,IFERROR(MATCH(95,'كشف الحساب'!$N$4:$N$203,0),0))),"")</f>
        <v/>
      </c>
      <c r="G99" s="105" t="str">
        <f aca="false">IFERROR(IF(IFERROR(MATCH(95,'كشف الحساب'!$N$4:$N$203,0),0)=0,"",INDEX('كشف الحساب'!$G$4:$G$203,IFERROR(MATCH(95,'كشف الحساب'!$N$4:$N$203,0),0))),"")</f>
        <v/>
      </c>
      <c r="H99" s="105" t="str">
        <f aca="false">IFERROR(IF(IFERROR(MATCH(95,'كشف الحساب'!$N$4:$N$203,0),0)=0,"",INDEX('كشف الحساب'!$H$4:$H$203,IFERROR(MATCH(95,'كشف الحساب'!$N$4:$N$203,0),0))),"")</f>
        <v/>
      </c>
      <c r="I99" s="105" t="str">
        <f aca="false">IFERROR(IF(IFERROR(MATCH(95,'كشف الحساب'!$N$4:$N$203,0),0)=0,"",INDEX('كشف الحساب'!$I$4:$I$203,IFERROR(MATCH(95,'كشف الحساب'!$N$4:$N$203,0),0))),"")</f>
        <v/>
      </c>
      <c r="J99" s="109" t="str">
        <f aca="false">IFERROR(IF(IFERROR(MATCH(95,'كشف الحساب'!$N$4:$N$203,0),0)=0,"",INDEX('كشف الحساب'!$J$4:$J$203,IFERROR(MATCH(95,'كشف الحساب'!$N$4:$N$203,0),0))),"")</f>
        <v/>
      </c>
      <c r="K99" s="105" t="str">
        <f aca="false">IFERROR(IF(IFERROR(MATCH(95,'كشف الحساب'!$N$4:$N$203,0),0)=0,"",INDEX('كشف الحساب'!$K$4:$K$203,IFERROR(MATCH(95,'كشف الحساب'!$N$4:$N$203,0),0))),"")</f>
        <v/>
      </c>
    </row>
    <row r="100" customFormat="false" ht="15" hidden="true" customHeight="true" outlineLevel="0" collapsed="false">
      <c r="A100" s="110" t="str">
        <f aca="false">IFERROR(IF(IFERROR(MATCH(96,'كشف الحساب'!$N$4:$N$203,0),0)=0,"",INDEX('كشف الحساب'!$A$4:$A$203,IFERROR(MATCH(96,'كشف الحساب'!$N$4:$N$203,0),0))),"")</f>
        <v/>
      </c>
      <c r="B100" s="111" t="str">
        <f aca="false">IFERROR(IF(IFERROR(MATCH(96,'كشف الحساب'!$N$4:$N$203,0),0)=0,"",INDEX('كشف الحساب'!$B$4:$B$203,IFERROR(MATCH(96,'كشف الحساب'!$N$4:$N$203,0),0))),"")</f>
        <v/>
      </c>
      <c r="C100" s="112" t="str">
        <f aca="false">IFERROR(IF(IFERROR(MATCH(96,'كشف الحساب'!$N$4:$N$203,0),0)=0,"",INDEX('كشف الحساب'!$C$4:$C$203,IFERROR(MATCH(96,'كشف الحساب'!$N$4:$N$203,0),0))),"")</f>
        <v/>
      </c>
      <c r="D100" s="113" t="str">
        <f aca="false">IFERROR(IF(IFERROR(MATCH(96,'كشف الحساب'!$N$4:$N$203,0),0)=0,"",INDEX('كشف الحساب'!$D$4:$D$203,IFERROR(MATCH(96,'كشف الحساب'!$N$4:$N$203,0),0))),"")</f>
        <v/>
      </c>
      <c r="E100" s="114" t="str">
        <f aca="false">IFERROR(IF(IFERROR(MATCH(96,'كشف الحساب'!$N$4:$N$203,0),0)=0,"",INDEX('كشف الحساب'!$E$4:$E$203,IFERROR(MATCH(96,'كشف الحساب'!$N$4:$N$203,0),0))),"")</f>
        <v/>
      </c>
      <c r="F100" s="111" t="str">
        <f aca="false">IFERROR(IF(IFERROR(MATCH(96,'كشف الحساب'!$N$4:$N$203,0),0)=0,"",INDEX('كشف الحساب'!$F$4:$F$203,IFERROR(MATCH(96,'كشف الحساب'!$N$4:$N$203,0),0))),"")</f>
        <v/>
      </c>
      <c r="G100" s="111" t="str">
        <f aca="false">IFERROR(IF(IFERROR(MATCH(96,'كشف الحساب'!$N$4:$N$203,0),0)=0,"",INDEX('كشف الحساب'!$G$4:$G$203,IFERROR(MATCH(96,'كشف الحساب'!$N$4:$N$203,0),0))),"")</f>
        <v/>
      </c>
      <c r="H100" s="111" t="str">
        <f aca="false">IFERROR(IF(IFERROR(MATCH(96,'كشف الحساب'!$N$4:$N$203,0),0)=0,"",INDEX('كشف الحساب'!$H$4:$H$203,IFERROR(MATCH(96,'كشف الحساب'!$N$4:$N$203,0),0))),"")</f>
        <v/>
      </c>
      <c r="I100" s="111" t="str">
        <f aca="false">IFERROR(IF(IFERROR(MATCH(96,'كشف الحساب'!$N$4:$N$203,0),0)=0,"",INDEX('كشف الحساب'!$I$4:$I$203,IFERROR(MATCH(96,'كشف الحساب'!$N$4:$N$203,0),0))),"")</f>
        <v/>
      </c>
      <c r="J100" s="115" t="str">
        <f aca="false">IFERROR(IF(IFERROR(MATCH(96,'كشف الحساب'!$N$4:$N$203,0),0)=0,"",INDEX('كشف الحساب'!$J$4:$J$203,IFERROR(MATCH(96,'كشف الحساب'!$N$4:$N$203,0),0))),"")</f>
        <v/>
      </c>
      <c r="K100" s="111" t="str">
        <f aca="false">IFERROR(IF(IFERROR(MATCH(96,'كشف الحساب'!$N$4:$N$203,0),0)=0,"",INDEX('كشف الحساب'!$K$4:$K$203,IFERROR(MATCH(96,'كشف الحساب'!$N$4:$N$203,0),0))),"")</f>
        <v/>
      </c>
    </row>
    <row r="101" customFormat="false" ht="15" hidden="true" customHeight="true" outlineLevel="0" collapsed="false">
      <c r="A101" s="104" t="str">
        <f aca="false">IFERROR(IF(IFERROR(MATCH(97,'كشف الحساب'!$N$4:$N$203,0),0)=0,"",INDEX('كشف الحساب'!$A$4:$A$203,IFERROR(MATCH(97,'كشف الحساب'!$N$4:$N$203,0),0))),"")</f>
        <v/>
      </c>
      <c r="B101" s="105" t="str">
        <f aca="false">IFERROR(IF(IFERROR(MATCH(97,'كشف الحساب'!$N$4:$N$203,0),0)=0,"",INDEX('كشف الحساب'!$B$4:$B$203,IFERROR(MATCH(97,'كشف الحساب'!$N$4:$N$203,0),0))),"")</f>
        <v/>
      </c>
      <c r="C101" s="106" t="str">
        <f aca="false">IFERROR(IF(IFERROR(MATCH(97,'كشف الحساب'!$N$4:$N$203,0),0)=0,"",INDEX('كشف الحساب'!$C$4:$C$203,IFERROR(MATCH(97,'كشف الحساب'!$N$4:$N$203,0),0))),"")</f>
        <v/>
      </c>
      <c r="D101" s="107" t="str">
        <f aca="false">IFERROR(IF(IFERROR(MATCH(97,'كشف الحساب'!$N$4:$N$203,0),0)=0,"",INDEX('كشف الحساب'!$D$4:$D$203,IFERROR(MATCH(97,'كشف الحساب'!$N$4:$N$203,0),0))),"")</f>
        <v/>
      </c>
      <c r="E101" s="108" t="str">
        <f aca="false">IFERROR(IF(IFERROR(MATCH(97,'كشف الحساب'!$N$4:$N$203,0),0)=0,"",INDEX('كشف الحساب'!$E$4:$E$203,IFERROR(MATCH(97,'كشف الحساب'!$N$4:$N$203,0),0))),"")</f>
        <v/>
      </c>
      <c r="F101" s="105" t="str">
        <f aca="false">IFERROR(IF(IFERROR(MATCH(97,'كشف الحساب'!$N$4:$N$203,0),0)=0,"",INDEX('كشف الحساب'!$F$4:$F$203,IFERROR(MATCH(97,'كشف الحساب'!$N$4:$N$203,0),0))),"")</f>
        <v/>
      </c>
      <c r="G101" s="105" t="str">
        <f aca="false">IFERROR(IF(IFERROR(MATCH(97,'كشف الحساب'!$N$4:$N$203,0),0)=0,"",INDEX('كشف الحساب'!$G$4:$G$203,IFERROR(MATCH(97,'كشف الحساب'!$N$4:$N$203,0),0))),"")</f>
        <v/>
      </c>
      <c r="H101" s="105" t="str">
        <f aca="false">IFERROR(IF(IFERROR(MATCH(97,'كشف الحساب'!$N$4:$N$203,0),0)=0,"",INDEX('كشف الحساب'!$H$4:$H$203,IFERROR(MATCH(97,'كشف الحساب'!$N$4:$N$203,0),0))),"")</f>
        <v/>
      </c>
      <c r="I101" s="105" t="str">
        <f aca="false">IFERROR(IF(IFERROR(MATCH(97,'كشف الحساب'!$N$4:$N$203,0),0)=0,"",INDEX('كشف الحساب'!$I$4:$I$203,IFERROR(MATCH(97,'كشف الحساب'!$N$4:$N$203,0),0))),"")</f>
        <v/>
      </c>
      <c r="J101" s="109" t="str">
        <f aca="false">IFERROR(IF(IFERROR(MATCH(97,'كشف الحساب'!$N$4:$N$203,0),0)=0,"",INDEX('كشف الحساب'!$J$4:$J$203,IFERROR(MATCH(97,'كشف الحساب'!$N$4:$N$203,0),0))),"")</f>
        <v/>
      </c>
      <c r="K101" s="105" t="str">
        <f aca="false">IFERROR(IF(IFERROR(MATCH(97,'كشف الحساب'!$N$4:$N$203,0),0)=0,"",INDEX('كشف الحساب'!$K$4:$K$203,IFERROR(MATCH(97,'كشف الحساب'!$N$4:$N$203,0),0))),"")</f>
        <v/>
      </c>
    </row>
    <row r="102" customFormat="false" ht="15" hidden="true" customHeight="true" outlineLevel="0" collapsed="false">
      <c r="A102" s="110" t="str">
        <f aca="false">IFERROR(IF(IFERROR(MATCH(98,'كشف الحساب'!$N$4:$N$203,0),0)=0,"",INDEX('كشف الحساب'!$A$4:$A$203,IFERROR(MATCH(98,'كشف الحساب'!$N$4:$N$203,0),0))),"")</f>
        <v/>
      </c>
      <c r="B102" s="111" t="str">
        <f aca="false">IFERROR(IF(IFERROR(MATCH(98,'كشف الحساب'!$N$4:$N$203,0),0)=0,"",INDEX('كشف الحساب'!$B$4:$B$203,IFERROR(MATCH(98,'كشف الحساب'!$N$4:$N$203,0),0))),"")</f>
        <v/>
      </c>
      <c r="C102" s="112" t="str">
        <f aca="false">IFERROR(IF(IFERROR(MATCH(98,'كشف الحساب'!$N$4:$N$203,0),0)=0,"",INDEX('كشف الحساب'!$C$4:$C$203,IFERROR(MATCH(98,'كشف الحساب'!$N$4:$N$203,0),0))),"")</f>
        <v/>
      </c>
      <c r="D102" s="113" t="str">
        <f aca="false">IFERROR(IF(IFERROR(MATCH(98,'كشف الحساب'!$N$4:$N$203,0),0)=0,"",INDEX('كشف الحساب'!$D$4:$D$203,IFERROR(MATCH(98,'كشف الحساب'!$N$4:$N$203,0),0))),"")</f>
        <v/>
      </c>
      <c r="E102" s="114" t="str">
        <f aca="false">IFERROR(IF(IFERROR(MATCH(98,'كشف الحساب'!$N$4:$N$203,0),0)=0,"",INDEX('كشف الحساب'!$E$4:$E$203,IFERROR(MATCH(98,'كشف الحساب'!$N$4:$N$203,0),0))),"")</f>
        <v/>
      </c>
      <c r="F102" s="111" t="str">
        <f aca="false">IFERROR(IF(IFERROR(MATCH(98,'كشف الحساب'!$N$4:$N$203,0),0)=0,"",INDEX('كشف الحساب'!$F$4:$F$203,IFERROR(MATCH(98,'كشف الحساب'!$N$4:$N$203,0),0))),"")</f>
        <v/>
      </c>
      <c r="G102" s="111" t="str">
        <f aca="false">IFERROR(IF(IFERROR(MATCH(98,'كشف الحساب'!$N$4:$N$203,0),0)=0,"",INDEX('كشف الحساب'!$G$4:$G$203,IFERROR(MATCH(98,'كشف الحساب'!$N$4:$N$203,0),0))),"")</f>
        <v/>
      </c>
      <c r="H102" s="111" t="str">
        <f aca="false">IFERROR(IF(IFERROR(MATCH(98,'كشف الحساب'!$N$4:$N$203,0),0)=0,"",INDEX('كشف الحساب'!$H$4:$H$203,IFERROR(MATCH(98,'كشف الحساب'!$N$4:$N$203,0),0))),"")</f>
        <v/>
      </c>
      <c r="I102" s="111" t="str">
        <f aca="false">IFERROR(IF(IFERROR(MATCH(98,'كشف الحساب'!$N$4:$N$203,0),0)=0,"",INDEX('كشف الحساب'!$I$4:$I$203,IFERROR(MATCH(98,'كشف الحساب'!$N$4:$N$203,0),0))),"")</f>
        <v/>
      </c>
      <c r="J102" s="115" t="str">
        <f aca="false">IFERROR(IF(IFERROR(MATCH(98,'كشف الحساب'!$N$4:$N$203,0),0)=0,"",INDEX('كشف الحساب'!$J$4:$J$203,IFERROR(MATCH(98,'كشف الحساب'!$N$4:$N$203,0),0))),"")</f>
        <v/>
      </c>
      <c r="K102" s="111" t="str">
        <f aca="false">IFERROR(IF(IFERROR(MATCH(98,'كشف الحساب'!$N$4:$N$203,0),0)=0,"",INDEX('كشف الحساب'!$K$4:$K$203,IFERROR(MATCH(98,'كشف الحساب'!$N$4:$N$203,0),0))),"")</f>
        <v/>
      </c>
    </row>
    <row r="103" customFormat="false" ht="15" hidden="true" customHeight="true" outlineLevel="0" collapsed="false">
      <c r="A103" s="104" t="str">
        <f aca="false">IFERROR(IF(IFERROR(MATCH(99,'كشف الحساب'!$N$4:$N$203,0),0)=0,"",INDEX('كشف الحساب'!$A$4:$A$203,IFERROR(MATCH(99,'كشف الحساب'!$N$4:$N$203,0),0))),"")</f>
        <v/>
      </c>
      <c r="B103" s="105" t="str">
        <f aca="false">IFERROR(IF(IFERROR(MATCH(99,'كشف الحساب'!$N$4:$N$203,0),0)=0,"",INDEX('كشف الحساب'!$B$4:$B$203,IFERROR(MATCH(99,'كشف الحساب'!$N$4:$N$203,0),0))),"")</f>
        <v/>
      </c>
      <c r="C103" s="106" t="str">
        <f aca="false">IFERROR(IF(IFERROR(MATCH(99,'كشف الحساب'!$N$4:$N$203,0),0)=0,"",INDEX('كشف الحساب'!$C$4:$C$203,IFERROR(MATCH(99,'كشف الحساب'!$N$4:$N$203,0),0))),"")</f>
        <v/>
      </c>
      <c r="D103" s="107" t="str">
        <f aca="false">IFERROR(IF(IFERROR(MATCH(99,'كشف الحساب'!$N$4:$N$203,0),0)=0,"",INDEX('كشف الحساب'!$D$4:$D$203,IFERROR(MATCH(99,'كشف الحساب'!$N$4:$N$203,0),0))),"")</f>
        <v/>
      </c>
      <c r="E103" s="108" t="str">
        <f aca="false">IFERROR(IF(IFERROR(MATCH(99,'كشف الحساب'!$N$4:$N$203,0),0)=0,"",INDEX('كشف الحساب'!$E$4:$E$203,IFERROR(MATCH(99,'كشف الحساب'!$N$4:$N$203,0),0))),"")</f>
        <v/>
      </c>
      <c r="F103" s="105" t="str">
        <f aca="false">IFERROR(IF(IFERROR(MATCH(99,'كشف الحساب'!$N$4:$N$203,0),0)=0,"",INDEX('كشف الحساب'!$F$4:$F$203,IFERROR(MATCH(99,'كشف الحساب'!$N$4:$N$203,0),0))),"")</f>
        <v/>
      </c>
      <c r="G103" s="105" t="str">
        <f aca="false">IFERROR(IF(IFERROR(MATCH(99,'كشف الحساب'!$N$4:$N$203,0),0)=0,"",INDEX('كشف الحساب'!$G$4:$G$203,IFERROR(MATCH(99,'كشف الحساب'!$N$4:$N$203,0),0))),"")</f>
        <v/>
      </c>
      <c r="H103" s="105" t="str">
        <f aca="false">IFERROR(IF(IFERROR(MATCH(99,'كشف الحساب'!$N$4:$N$203,0),0)=0,"",INDEX('كشف الحساب'!$H$4:$H$203,IFERROR(MATCH(99,'كشف الحساب'!$N$4:$N$203,0),0))),"")</f>
        <v/>
      </c>
      <c r="I103" s="105" t="str">
        <f aca="false">IFERROR(IF(IFERROR(MATCH(99,'كشف الحساب'!$N$4:$N$203,0),0)=0,"",INDEX('كشف الحساب'!$I$4:$I$203,IFERROR(MATCH(99,'كشف الحساب'!$N$4:$N$203,0),0))),"")</f>
        <v/>
      </c>
      <c r="J103" s="109" t="str">
        <f aca="false">IFERROR(IF(IFERROR(MATCH(99,'كشف الحساب'!$N$4:$N$203,0),0)=0,"",INDEX('كشف الحساب'!$J$4:$J$203,IFERROR(MATCH(99,'كشف الحساب'!$N$4:$N$203,0),0))),"")</f>
        <v/>
      </c>
      <c r="K103" s="105" t="str">
        <f aca="false">IFERROR(IF(IFERROR(MATCH(99,'كشف الحساب'!$N$4:$N$203,0),0)=0,"",INDEX('كشف الحساب'!$K$4:$K$203,IFERROR(MATCH(99,'كشف الحساب'!$N$4:$N$203,0),0))),"")</f>
        <v/>
      </c>
    </row>
    <row r="104" customFormat="false" ht="15" hidden="true" customHeight="true" outlineLevel="0" collapsed="false">
      <c r="A104" s="110" t="str">
        <f aca="false">IFERROR(IF(IFERROR(MATCH(100,'كشف الحساب'!$N$4:$N$203,0),0)=0,"",INDEX('كشف الحساب'!$A$4:$A$203,IFERROR(MATCH(100,'كشف الحساب'!$N$4:$N$203,0),0))),"")</f>
        <v/>
      </c>
      <c r="B104" s="111" t="str">
        <f aca="false">IFERROR(IF(IFERROR(MATCH(100,'كشف الحساب'!$N$4:$N$203,0),0)=0,"",INDEX('كشف الحساب'!$B$4:$B$203,IFERROR(MATCH(100,'كشف الحساب'!$N$4:$N$203,0),0))),"")</f>
        <v/>
      </c>
      <c r="C104" s="112" t="str">
        <f aca="false">IFERROR(IF(IFERROR(MATCH(100,'كشف الحساب'!$N$4:$N$203,0),0)=0,"",INDEX('كشف الحساب'!$C$4:$C$203,IFERROR(MATCH(100,'كشف الحساب'!$N$4:$N$203,0),0))),"")</f>
        <v/>
      </c>
      <c r="D104" s="113" t="str">
        <f aca="false">IFERROR(IF(IFERROR(MATCH(100,'كشف الحساب'!$N$4:$N$203,0),0)=0,"",INDEX('كشف الحساب'!$D$4:$D$203,IFERROR(MATCH(100,'كشف الحساب'!$N$4:$N$203,0),0))),"")</f>
        <v/>
      </c>
      <c r="E104" s="114" t="str">
        <f aca="false">IFERROR(IF(IFERROR(MATCH(100,'كشف الحساب'!$N$4:$N$203,0),0)=0,"",INDEX('كشف الحساب'!$E$4:$E$203,IFERROR(MATCH(100,'كشف الحساب'!$N$4:$N$203,0),0))),"")</f>
        <v/>
      </c>
      <c r="F104" s="111" t="str">
        <f aca="false">IFERROR(IF(IFERROR(MATCH(100,'كشف الحساب'!$N$4:$N$203,0),0)=0,"",INDEX('كشف الحساب'!$F$4:$F$203,IFERROR(MATCH(100,'كشف الحساب'!$N$4:$N$203,0),0))),"")</f>
        <v/>
      </c>
      <c r="G104" s="111" t="str">
        <f aca="false">IFERROR(IF(IFERROR(MATCH(100,'كشف الحساب'!$N$4:$N$203,0),0)=0,"",INDEX('كشف الحساب'!$G$4:$G$203,IFERROR(MATCH(100,'كشف الحساب'!$N$4:$N$203,0),0))),"")</f>
        <v/>
      </c>
      <c r="H104" s="111" t="str">
        <f aca="false">IFERROR(IF(IFERROR(MATCH(100,'كشف الحساب'!$N$4:$N$203,0),0)=0,"",INDEX('كشف الحساب'!$H$4:$H$203,IFERROR(MATCH(100,'كشف الحساب'!$N$4:$N$203,0),0))),"")</f>
        <v/>
      </c>
      <c r="I104" s="111" t="str">
        <f aca="false">IFERROR(IF(IFERROR(MATCH(100,'كشف الحساب'!$N$4:$N$203,0),0)=0,"",INDEX('كشف الحساب'!$I$4:$I$203,IFERROR(MATCH(100,'كشف الحساب'!$N$4:$N$203,0),0))),"")</f>
        <v/>
      </c>
      <c r="J104" s="115" t="str">
        <f aca="false">IFERROR(IF(IFERROR(MATCH(100,'كشف الحساب'!$N$4:$N$203,0),0)=0,"",INDEX('كشف الحساب'!$J$4:$J$203,IFERROR(MATCH(100,'كشف الحساب'!$N$4:$N$203,0),0))),"")</f>
        <v/>
      </c>
      <c r="K104" s="111" t="str">
        <f aca="false">IFERROR(IF(IFERROR(MATCH(100,'كشف الحساب'!$N$4:$N$203,0),0)=0,"",INDEX('كشف الحساب'!$K$4:$K$203,IFERROR(MATCH(100,'كشف الحساب'!$N$4:$N$203,0),0))),"")</f>
        <v/>
      </c>
    </row>
    <row r="105" customFormat="false" ht="15" hidden="true" customHeight="true" outlineLevel="0" collapsed="false">
      <c r="A105" s="104" t="str">
        <f aca="false">IFERROR(IF(IFERROR(MATCH(101,'كشف الحساب'!$N$4:$N$203,0),0)=0,"",INDEX('كشف الحساب'!$A$4:$A$203,IFERROR(MATCH(101,'كشف الحساب'!$N$4:$N$203,0),0))),"")</f>
        <v/>
      </c>
      <c r="B105" s="105" t="str">
        <f aca="false">IFERROR(IF(IFERROR(MATCH(101,'كشف الحساب'!$N$4:$N$203,0),0)=0,"",INDEX('كشف الحساب'!$B$4:$B$203,IFERROR(MATCH(101,'كشف الحساب'!$N$4:$N$203,0),0))),"")</f>
        <v/>
      </c>
      <c r="C105" s="106" t="str">
        <f aca="false">IFERROR(IF(IFERROR(MATCH(101,'كشف الحساب'!$N$4:$N$203,0),0)=0,"",INDEX('كشف الحساب'!$C$4:$C$203,IFERROR(MATCH(101,'كشف الحساب'!$N$4:$N$203,0),0))),"")</f>
        <v/>
      </c>
      <c r="D105" s="107" t="str">
        <f aca="false">IFERROR(IF(IFERROR(MATCH(101,'كشف الحساب'!$N$4:$N$203,0),0)=0,"",INDEX('كشف الحساب'!$D$4:$D$203,IFERROR(MATCH(101,'كشف الحساب'!$N$4:$N$203,0),0))),"")</f>
        <v/>
      </c>
      <c r="E105" s="108" t="str">
        <f aca="false">IFERROR(IF(IFERROR(MATCH(101,'كشف الحساب'!$N$4:$N$203,0),0)=0,"",INDEX('كشف الحساب'!$E$4:$E$203,IFERROR(MATCH(101,'كشف الحساب'!$N$4:$N$203,0),0))),"")</f>
        <v/>
      </c>
      <c r="F105" s="105" t="str">
        <f aca="false">IFERROR(IF(IFERROR(MATCH(101,'كشف الحساب'!$N$4:$N$203,0),0)=0,"",INDEX('كشف الحساب'!$F$4:$F$203,IFERROR(MATCH(101,'كشف الحساب'!$N$4:$N$203,0),0))),"")</f>
        <v/>
      </c>
      <c r="G105" s="105" t="str">
        <f aca="false">IFERROR(IF(IFERROR(MATCH(101,'كشف الحساب'!$N$4:$N$203,0),0)=0,"",INDEX('كشف الحساب'!$G$4:$G$203,IFERROR(MATCH(101,'كشف الحساب'!$N$4:$N$203,0),0))),"")</f>
        <v/>
      </c>
      <c r="H105" s="105" t="str">
        <f aca="false">IFERROR(IF(IFERROR(MATCH(101,'كشف الحساب'!$N$4:$N$203,0),0)=0,"",INDEX('كشف الحساب'!$H$4:$H$203,IFERROR(MATCH(101,'كشف الحساب'!$N$4:$N$203,0),0))),"")</f>
        <v/>
      </c>
      <c r="I105" s="105" t="str">
        <f aca="false">IFERROR(IF(IFERROR(MATCH(101,'كشف الحساب'!$N$4:$N$203,0),0)=0,"",INDEX('كشف الحساب'!$I$4:$I$203,IFERROR(MATCH(101,'كشف الحساب'!$N$4:$N$203,0),0))),"")</f>
        <v/>
      </c>
      <c r="J105" s="109" t="str">
        <f aca="false">IFERROR(IF(IFERROR(MATCH(101,'كشف الحساب'!$N$4:$N$203,0),0)=0,"",INDEX('كشف الحساب'!$J$4:$J$203,IFERROR(MATCH(101,'كشف الحساب'!$N$4:$N$203,0),0))),"")</f>
        <v/>
      </c>
      <c r="K105" s="105" t="str">
        <f aca="false">IFERROR(IF(IFERROR(MATCH(101,'كشف الحساب'!$N$4:$N$203,0),0)=0,"",INDEX('كشف الحساب'!$K$4:$K$203,IFERROR(MATCH(101,'كشف الحساب'!$N$4:$N$203,0),0))),"")</f>
        <v/>
      </c>
    </row>
    <row r="106" customFormat="false" ht="15" hidden="true" customHeight="true" outlineLevel="0" collapsed="false">
      <c r="A106" s="110" t="str">
        <f aca="false">IFERROR(IF(IFERROR(MATCH(102,'كشف الحساب'!$N$4:$N$203,0),0)=0,"",INDEX('كشف الحساب'!$A$4:$A$203,IFERROR(MATCH(102,'كشف الحساب'!$N$4:$N$203,0),0))),"")</f>
        <v/>
      </c>
      <c r="B106" s="111" t="str">
        <f aca="false">IFERROR(IF(IFERROR(MATCH(102,'كشف الحساب'!$N$4:$N$203,0),0)=0,"",INDEX('كشف الحساب'!$B$4:$B$203,IFERROR(MATCH(102,'كشف الحساب'!$N$4:$N$203,0),0))),"")</f>
        <v/>
      </c>
      <c r="C106" s="112" t="str">
        <f aca="false">IFERROR(IF(IFERROR(MATCH(102,'كشف الحساب'!$N$4:$N$203,0),0)=0,"",INDEX('كشف الحساب'!$C$4:$C$203,IFERROR(MATCH(102,'كشف الحساب'!$N$4:$N$203,0),0))),"")</f>
        <v/>
      </c>
      <c r="D106" s="113" t="str">
        <f aca="false">IFERROR(IF(IFERROR(MATCH(102,'كشف الحساب'!$N$4:$N$203,0),0)=0,"",INDEX('كشف الحساب'!$D$4:$D$203,IFERROR(MATCH(102,'كشف الحساب'!$N$4:$N$203,0),0))),"")</f>
        <v/>
      </c>
      <c r="E106" s="114" t="str">
        <f aca="false">IFERROR(IF(IFERROR(MATCH(102,'كشف الحساب'!$N$4:$N$203,0),0)=0,"",INDEX('كشف الحساب'!$E$4:$E$203,IFERROR(MATCH(102,'كشف الحساب'!$N$4:$N$203,0),0))),"")</f>
        <v/>
      </c>
      <c r="F106" s="111" t="str">
        <f aca="false">IFERROR(IF(IFERROR(MATCH(102,'كشف الحساب'!$N$4:$N$203,0),0)=0,"",INDEX('كشف الحساب'!$F$4:$F$203,IFERROR(MATCH(102,'كشف الحساب'!$N$4:$N$203,0),0))),"")</f>
        <v/>
      </c>
      <c r="G106" s="111" t="str">
        <f aca="false">IFERROR(IF(IFERROR(MATCH(102,'كشف الحساب'!$N$4:$N$203,0),0)=0,"",INDEX('كشف الحساب'!$G$4:$G$203,IFERROR(MATCH(102,'كشف الحساب'!$N$4:$N$203,0),0))),"")</f>
        <v/>
      </c>
      <c r="H106" s="111" t="str">
        <f aca="false">IFERROR(IF(IFERROR(MATCH(102,'كشف الحساب'!$N$4:$N$203,0),0)=0,"",INDEX('كشف الحساب'!$H$4:$H$203,IFERROR(MATCH(102,'كشف الحساب'!$N$4:$N$203,0),0))),"")</f>
        <v/>
      </c>
      <c r="I106" s="111" t="str">
        <f aca="false">IFERROR(IF(IFERROR(MATCH(102,'كشف الحساب'!$N$4:$N$203,0),0)=0,"",INDEX('كشف الحساب'!$I$4:$I$203,IFERROR(MATCH(102,'كشف الحساب'!$N$4:$N$203,0),0))),"")</f>
        <v/>
      </c>
      <c r="J106" s="115" t="str">
        <f aca="false">IFERROR(IF(IFERROR(MATCH(102,'كشف الحساب'!$N$4:$N$203,0),0)=0,"",INDEX('كشف الحساب'!$J$4:$J$203,IFERROR(MATCH(102,'كشف الحساب'!$N$4:$N$203,0),0))),"")</f>
        <v/>
      </c>
      <c r="K106" s="111" t="str">
        <f aca="false">IFERROR(IF(IFERROR(MATCH(102,'كشف الحساب'!$N$4:$N$203,0),0)=0,"",INDEX('كشف الحساب'!$K$4:$K$203,IFERROR(MATCH(102,'كشف الحساب'!$N$4:$N$203,0),0))),"")</f>
        <v/>
      </c>
    </row>
    <row r="107" customFormat="false" ht="15" hidden="true" customHeight="true" outlineLevel="0" collapsed="false">
      <c r="A107" s="104" t="str">
        <f aca="false">IFERROR(IF(IFERROR(MATCH(103,'كشف الحساب'!$N$4:$N$203,0),0)=0,"",INDEX('كشف الحساب'!$A$4:$A$203,IFERROR(MATCH(103,'كشف الحساب'!$N$4:$N$203,0),0))),"")</f>
        <v/>
      </c>
      <c r="B107" s="105" t="str">
        <f aca="false">IFERROR(IF(IFERROR(MATCH(103,'كشف الحساب'!$N$4:$N$203,0),0)=0,"",INDEX('كشف الحساب'!$B$4:$B$203,IFERROR(MATCH(103,'كشف الحساب'!$N$4:$N$203,0),0))),"")</f>
        <v/>
      </c>
      <c r="C107" s="106" t="str">
        <f aca="false">IFERROR(IF(IFERROR(MATCH(103,'كشف الحساب'!$N$4:$N$203,0),0)=0,"",INDEX('كشف الحساب'!$C$4:$C$203,IFERROR(MATCH(103,'كشف الحساب'!$N$4:$N$203,0),0))),"")</f>
        <v/>
      </c>
      <c r="D107" s="107" t="str">
        <f aca="false">IFERROR(IF(IFERROR(MATCH(103,'كشف الحساب'!$N$4:$N$203,0),0)=0,"",INDEX('كشف الحساب'!$D$4:$D$203,IFERROR(MATCH(103,'كشف الحساب'!$N$4:$N$203,0),0))),"")</f>
        <v/>
      </c>
      <c r="E107" s="108" t="str">
        <f aca="false">IFERROR(IF(IFERROR(MATCH(103,'كشف الحساب'!$N$4:$N$203,0),0)=0,"",INDEX('كشف الحساب'!$E$4:$E$203,IFERROR(MATCH(103,'كشف الحساب'!$N$4:$N$203,0),0))),"")</f>
        <v/>
      </c>
      <c r="F107" s="105" t="str">
        <f aca="false">IFERROR(IF(IFERROR(MATCH(103,'كشف الحساب'!$N$4:$N$203,0),0)=0,"",INDEX('كشف الحساب'!$F$4:$F$203,IFERROR(MATCH(103,'كشف الحساب'!$N$4:$N$203,0),0))),"")</f>
        <v/>
      </c>
      <c r="G107" s="105" t="str">
        <f aca="false">IFERROR(IF(IFERROR(MATCH(103,'كشف الحساب'!$N$4:$N$203,0),0)=0,"",INDEX('كشف الحساب'!$G$4:$G$203,IFERROR(MATCH(103,'كشف الحساب'!$N$4:$N$203,0),0))),"")</f>
        <v/>
      </c>
      <c r="H107" s="105" t="str">
        <f aca="false">IFERROR(IF(IFERROR(MATCH(103,'كشف الحساب'!$N$4:$N$203,0),0)=0,"",INDEX('كشف الحساب'!$H$4:$H$203,IFERROR(MATCH(103,'كشف الحساب'!$N$4:$N$203,0),0))),"")</f>
        <v/>
      </c>
      <c r="I107" s="105" t="str">
        <f aca="false">IFERROR(IF(IFERROR(MATCH(103,'كشف الحساب'!$N$4:$N$203,0),0)=0,"",INDEX('كشف الحساب'!$I$4:$I$203,IFERROR(MATCH(103,'كشف الحساب'!$N$4:$N$203,0),0))),"")</f>
        <v/>
      </c>
      <c r="J107" s="109" t="str">
        <f aca="false">IFERROR(IF(IFERROR(MATCH(103,'كشف الحساب'!$N$4:$N$203,0),0)=0,"",INDEX('كشف الحساب'!$J$4:$J$203,IFERROR(MATCH(103,'كشف الحساب'!$N$4:$N$203,0),0))),"")</f>
        <v/>
      </c>
      <c r="K107" s="105" t="str">
        <f aca="false">IFERROR(IF(IFERROR(MATCH(103,'كشف الحساب'!$N$4:$N$203,0),0)=0,"",INDEX('كشف الحساب'!$K$4:$K$203,IFERROR(MATCH(103,'كشف الحساب'!$N$4:$N$203,0),0))),"")</f>
        <v/>
      </c>
    </row>
    <row r="108" customFormat="false" ht="15" hidden="true" customHeight="true" outlineLevel="0" collapsed="false">
      <c r="A108" s="110" t="str">
        <f aca="false">IFERROR(IF(IFERROR(MATCH(104,'كشف الحساب'!$N$4:$N$203,0),0)=0,"",INDEX('كشف الحساب'!$A$4:$A$203,IFERROR(MATCH(104,'كشف الحساب'!$N$4:$N$203,0),0))),"")</f>
        <v/>
      </c>
      <c r="B108" s="111" t="str">
        <f aca="false">IFERROR(IF(IFERROR(MATCH(104,'كشف الحساب'!$N$4:$N$203,0),0)=0,"",INDEX('كشف الحساب'!$B$4:$B$203,IFERROR(MATCH(104,'كشف الحساب'!$N$4:$N$203,0),0))),"")</f>
        <v/>
      </c>
      <c r="C108" s="112" t="str">
        <f aca="false">IFERROR(IF(IFERROR(MATCH(104,'كشف الحساب'!$N$4:$N$203,0),0)=0,"",INDEX('كشف الحساب'!$C$4:$C$203,IFERROR(MATCH(104,'كشف الحساب'!$N$4:$N$203,0),0))),"")</f>
        <v/>
      </c>
      <c r="D108" s="113" t="str">
        <f aca="false">IFERROR(IF(IFERROR(MATCH(104,'كشف الحساب'!$N$4:$N$203,0),0)=0,"",INDEX('كشف الحساب'!$D$4:$D$203,IFERROR(MATCH(104,'كشف الحساب'!$N$4:$N$203,0),0))),"")</f>
        <v/>
      </c>
      <c r="E108" s="114" t="str">
        <f aca="false">IFERROR(IF(IFERROR(MATCH(104,'كشف الحساب'!$N$4:$N$203,0),0)=0,"",INDEX('كشف الحساب'!$E$4:$E$203,IFERROR(MATCH(104,'كشف الحساب'!$N$4:$N$203,0),0))),"")</f>
        <v/>
      </c>
      <c r="F108" s="111" t="str">
        <f aca="false">IFERROR(IF(IFERROR(MATCH(104,'كشف الحساب'!$N$4:$N$203,0),0)=0,"",INDEX('كشف الحساب'!$F$4:$F$203,IFERROR(MATCH(104,'كشف الحساب'!$N$4:$N$203,0),0))),"")</f>
        <v/>
      </c>
      <c r="G108" s="111" t="str">
        <f aca="false">IFERROR(IF(IFERROR(MATCH(104,'كشف الحساب'!$N$4:$N$203,0),0)=0,"",INDEX('كشف الحساب'!$G$4:$G$203,IFERROR(MATCH(104,'كشف الحساب'!$N$4:$N$203,0),0))),"")</f>
        <v/>
      </c>
      <c r="H108" s="111" t="str">
        <f aca="false">IFERROR(IF(IFERROR(MATCH(104,'كشف الحساب'!$N$4:$N$203,0),0)=0,"",INDEX('كشف الحساب'!$H$4:$H$203,IFERROR(MATCH(104,'كشف الحساب'!$N$4:$N$203,0),0))),"")</f>
        <v/>
      </c>
      <c r="I108" s="111" t="str">
        <f aca="false">IFERROR(IF(IFERROR(MATCH(104,'كشف الحساب'!$N$4:$N$203,0),0)=0,"",INDEX('كشف الحساب'!$I$4:$I$203,IFERROR(MATCH(104,'كشف الحساب'!$N$4:$N$203,0),0))),"")</f>
        <v/>
      </c>
      <c r="J108" s="115" t="str">
        <f aca="false">IFERROR(IF(IFERROR(MATCH(104,'كشف الحساب'!$N$4:$N$203,0),0)=0,"",INDEX('كشف الحساب'!$J$4:$J$203,IFERROR(MATCH(104,'كشف الحساب'!$N$4:$N$203,0),0))),"")</f>
        <v/>
      </c>
      <c r="K108" s="111" t="str">
        <f aca="false">IFERROR(IF(IFERROR(MATCH(104,'كشف الحساب'!$N$4:$N$203,0),0)=0,"",INDEX('كشف الحساب'!$K$4:$K$203,IFERROR(MATCH(104,'كشف الحساب'!$N$4:$N$203,0),0))),"")</f>
        <v/>
      </c>
    </row>
    <row r="109" customFormat="false" ht="15" hidden="true" customHeight="true" outlineLevel="0" collapsed="false">
      <c r="A109" s="104" t="str">
        <f aca="false">IFERROR(IF(IFERROR(MATCH(105,'كشف الحساب'!$N$4:$N$203,0),0)=0,"",INDEX('كشف الحساب'!$A$4:$A$203,IFERROR(MATCH(105,'كشف الحساب'!$N$4:$N$203,0),0))),"")</f>
        <v/>
      </c>
      <c r="B109" s="105" t="str">
        <f aca="false">IFERROR(IF(IFERROR(MATCH(105,'كشف الحساب'!$N$4:$N$203,0),0)=0,"",INDEX('كشف الحساب'!$B$4:$B$203,IFERROR(MATCH(105,'كشف الحساب'!$N$4:$N$203,0),0))),"")</f>
        <v/>
      </c>
      <c r="C109" s="106" t="str">
        <f aca="false">IFERROR(IF(IFERROR(MATCH(105,'كشف الحساب'!$N$4:$N$203,0),0)=0,"",INDEX('كشف الحساب'!$C$4:$C$203,IFERROR(MATCH(105,'كشف الحساب'!$N$4:$N$203,0),0))),"")</f>
        <v/>
      </c>
      <c r="D109" s="107" t="str">
        <f aca="false">IFERROR(IF(IFERROR(MATCH(105,'كشف الحساب'!$N$4:$N$203,0),0)=0,"",INDEX('كشف الحساب'!$D$4:$D$203,IFERROR(MATCH(105,'كشف الحساب'!$N$4:$N$203,0),0))),"")</f>
        <v/>
      </c>
      <c r="E109" s="108" t="str">
        <f aca="false">IFERROR(IF(IFERROR(MATCH(105,'كشف الحساب'!$N$4:$N$203,0),0)=0,"",INDEX('كشف الحساب'!$E$4:$E$203,IFERROR(MATCH(105,'كشف الحساب'!$N$4:$N$203,0),0))),"")</f>
        <v/>
      </c>
      <c r="F109" s="105" t="str">
        <f aca="false">IFERROR(IF(IFERROR(MATCH(105,'كشف الحساب'!$N$4:$N$203,0),0)=0,"",INDEX('كشف الحساب'!$F$4:$F$203,IFERROR(MATCH(105,'كشف الحساب'!$N$4:$N$203,0),0))),"")</f>
        <v/>
      </c>
      <c r="G109" s="105" t="str">
        <f aca="false">IFERROR(IF(IFERROR(MATCH(105,'كشف الحساب'!$N$4:$N$203,0),0)=0,"",INDEX('كشف الحساب'!$G$4:$G$203,IFERROR(MATCH(105,'كشف الحساب'!$N$4:$N$203,0),0))),"")</f>
        <v/>
      </c>
      <c r="H109" s="105" t="str">
        <f aca="false">IFERROR(IF(IFERROR(MATCH(105,'كشف الحساب'!$N$4:$N$203,0),0)=0,"",INDEX('كشف الحساب'!$H$4:$H$203,IFERROR(MATCH(105,'كشف الحساب'!$N$4:$N$203,0),0))),"")</f>
        <v/>
      </c>
      <c r="I109" s="105" t="str">
        <f aca="false">IFERROR(IF(IFERROR(MATCH(105,'كشف الحساب'!$N$4:$N$203,0),0)=0,"",INDEX('كشف الحساب'!$I$4:$I$203,IFERROR(MATCH(105,'كشف الحساب'!$N$4:$N$203,0),0))),"")</f>
        <v/>
      </c>
      <c r="J109" s="109" t="str">
        <f aca="false">IFERROR(IF(IFERROR(MATCH(105,'كشف الحساب'!$N$4:$N$203,0),0)=0,"",INDEX('كشف الحساب'!$J$4:$J$203,IFERROR(MATCH(105,'كشف الحساب'!$N$4:$N$203,0),0))),"")</f>
        <v/>
      </c>
      <c r="K109" s="105" t="str">
        <f aca="false">IFERROR(IF(IFERROR(MATCH(105,'كشف الحساب'!$N$4:$N$203,0),0)=0,"",INDEX('كشف الحساب'!$K$4:$K$203,IFERROR(MATCH(105,'كشف الحساب'!$N$4:$N$203,0),0))),"")</f>
        <v/>
      </c>
    </row>
    <row r="110" customFormat="false" ht="15" hidden="true" customHeight="true" outlineLevel="0" collapsed="false">
      <c r="A110" s="110" t="str">
        <f aca="false">IFERROR(IF(IFERROR(MATCH(106,'كشف الحساب'!$N$4:$N$203,0),0)=0,"",INDEX('كشف الحساب'!$A$4:$A$203,IFERROR(MATCH(106,'كشف الحساب'!$N$4:$N$203,0),0))),"")</f>
        <v/>
      </c>
      <c r="B110" s="111" t="str">
        <f aca="false">IFERROR(IF(IFERROR(MATCH(106,'كشف الحساب'!$N$4:$N$203,0),0)=0,"",INDEX('كشف الحساب'!$B$4:$B$203,IFERROR(MATCH(106,'كشف الحساب'!$N$4:$N$203,0),0))),"")</f>
        <v/>
      </c>
      <c r="C110" s="112" t="str">
        <f aca="false">IFERROR(IF(IFERROR(MATCH(106,'كشف الحساب'!$N$4:$N$203,0),0)=0,"",INDEX('كشف الحساب'!$C$4:$C$203,IFERROR(MATCH(106,'كشف الحساب'!$N$4:$N$203,0),0))),"")</f>
        <v/>
      </c>
      <c r="D110" s="113" t="str">
        <f aca="false">IFERROR(IF(IFERROR(MATCH(106,'كشف الحساب'!$N$4:$N$203,0),0)=0,"",INDEX('كشف الحساب'!$D$4:$D$203,IFERROR(MATCH(106,'كشف الحساب'!$N$4:$N$203,0),0))),"")</f>
        <v/>
      </c>
      <c r="E110" s="114" t="str">
        <f aca="false">IFERROR(IF(IFERROR(MATCH(106,'كشف الحساب'!$N$4:$N$203,0),0)=0,"",INDEX('كشف الحساب'!$E$4:$E$203,IFERROR(MATCH(106,'كشف الحساب'!$N$4:$N$203,0),0))),"")</f>
        <v/>
      </c>
      <c r="F110" s="111" t="str">
        <f aca="false">IFERROR(IF(IFERROR(MATCH(106,'كشف الحساب'!$N$4:$N$203,0),0)=0,"",INDEX('كشف الحساب'!$F$4:$F$203,IFERROR(MATCH(106,'كشف الحساب'!$N$4:$N$203,0),0))),"")</f>
        <v/>
      </c>
      <c r="G110" s="111" t="str">
        <f aca="false">IFERROR(IF(IFERROR(MATCH(106,'كشف الحساب'!$N$4:$N$203,0),0)=0,"",INDEX('كشف الحساب'!$G$4:$G$203,IFERROR(MATCH(106,'كشف الحساب'!$N$4:$N$203,0),0))),"")</f>
        <v/>
      </c>
      <c r="H110" s="111" t="str">
        <f aca="false">IFERROR(IF(IFERROR(MATCH(106,'كشف الحساب'!$N$4:$N$203,0),0)=0,"",INDEX('كشف الحساب'!$H$4:$H$203,IFERROR(MATCH(106,'كشف الحساب'!$N$4:$N$203,0),0))),"")</f>
        <v/>
      </c>
      <c r="I110" s="111" t="str">
        <f aca="false">IFERROR(IF(IFERROR(MATCH(106,'كشف الحساب'!$N$4:$N$203,0),0)=0,"",INDEX('كشف الحساب'!$I$4:$I$203,IFERROR(MATCH(106,'كشف الحساب'!$N$4:$N$203,0),0))),"")</f>
        <v/>
      </c>
      <c r="J110" s="115" t="str">
        <f aca="false">IFERROR(IF(IFERROR(MATCH(106,'كشف الحساب'!$N$4:$N$203,0),0)=0,"",INDEX('كشف الحساب'!$J$4:$J$203,IFERROR(MATCH(106,'كشف الحساب'!$N$4:$N$203,0),0))),"")</f>
        <v/>
      </c>
      <c r="K110" s="111" t="str">
        <f aca="false">IFERROR(IF(IFERROR(MATCH(106,'كشف الحساب'!$N$4:$N$203,0),0)=0,"",INDEX('كشف الحساب'!$K$4:$K$203,IFERROR(MATCH(106,'كشف الحساب'!$N$4:$N$203,0),0))),"")</f>
        <v/>
      </c>
    </row>
    <row r="111" customFormat="false" ht="15" hidden="true" customHeight="true" outlineLevel="0" collapsed="false">
      <c r="A111" s="104" t="str">
        <f aca="false">IFERROR(IF(IFERROR(MATCH(107,'كشف الحساب'!$N$4:$N$203,0),0)=0,"",INDEX('كشف الحساب'!$A$4:$A$203,IFERROR(MATCH(107,'كشف الحساب'!$N$4:$N$203,0),0))),"")</f>
        <v/>
      </c>
      <c r="B111" s="105" t="str">
        <f aca="false">IFERROR(IF(IFERROR(MATCH(107,'كشف الحساب'!$N$4:$N$203,0),0)=0,"",INDEX('كشف الحساب'!$B$4:$B$203,IFERROR(MATCH(107,'كشف الحساب'!$N$4:$N$203,0),0))),"")</f>
        <v/>
      </c>
      <c r="C111" s="106" t="str">
        <f aca="false">IFERROR(IF(IFERROR(MATCH(107,'كشف الحساب'!$N$4:$N$203,0),0)=0,"",INDEX('كشف الحساب'!$C$4:$C$203,IFERROR(MATCH(107,'كشف الحساب'!$N$4:$N$203,0),0))),"")</f>
        <v/>
      </c>
      <c r="D111" s="107" t="str">
        <f aca="false">IFERROR(IF(IFERROR(MATCH(107,'كشف الحساب'!$N$4:$N$203,0),0)=0,"",INDEX('كشف الحساب'!$D$4:$D$203,IFERROR(MATCH(107,'كشف الحساب'!$N$4:$N$203,0),0))),"")</f>
        <v/>
      </c>
      <c r="E111" s="108" t="str">
        <f aca="false">IFERROR(IF(IFERROR(MATCH(107,'كشف الحساب'!$N$4:$N$203,0),0)=0,"",INDEX('كشف الحساب'!$E$4:$E$203,IFERROR(MATCH(107,'كشف الحساب'!$N$4:$N$203,0),0))),"")</f>
        <v/>
      </c>
      <c r="F111" s="105" t="str">
        <f aca="false">IFERROR(IF(IFERROR(MATCH(107,'كشف الحساب'!$N$4:$N$203,0),0)=0,"",INDEX('كشف الحساب'!$F$4:$F$203,IFERROR(MATCH(107,'كشف الحساب'!$N$4:$N$203,0),0))),"")</f>
        <v/>
      </c>
      <c r="G111" s="105" t="str">
        <f aca="false">IFERROR(IF(IFERROR(MATCH(107,'كشف الحساب'!$N$4:$N$203,0),0)=0,"",INDEX('كشف الحساب'!$G$4:$G$203,IFERROR(MATCH(107,'كشف الحساب'!$N$4:$N$203,0),0))),"")</f>
        <v/>
      </c>
      <c r="H111" s="105" t="str">
        <f aca="false">IFERROR(IF(IFERROR(MATCH(107,'كشف الحساب'!$N$4:$N$203,0),0)=0,"",INDEX('كشف الحساب'!$H$4:$H$203,IFERROR(MATCH(107,'كشف الحساب'!$N$4:$N$203,0),0))),"")</f>
        <v/>
      </c>
      <c r="I111" s="105" t="str">
        <f aca="false">IFERROR(IF(IFERROR(MATCH(107,'كشف الحساب'!$N$4:$N$203,0),0)=0,"",INDEX('كشف الحساب'!$I$4:$I$203,IFERROR(MATCH(107,'كشف الحساب'!$N$4:$N$203,0),0))),"")</f>
        <v/>
      </c>
      <c r="J111" s="109" t="str">
        <f aca="false">IFERROR(IF(IFERROR(MATCH(107,'كشف الحساب'!$N$4:$N$203,0),0)=0,"",INDEX('كشف الحساب'!$J$4:$J$203,IFERROR(MATCH(107,'كشف الحساب'!$N$4:$N$203,0),0))),"")</f>
        <v/>
      </c>
      <c r="K111" s="105" t="str">
        <f aca="false">IFERROR(IF(IFERROR(MATCH(107,'كشف الحساب'!$N$4:$N$203,0),0)=0,"",INDEX('كشف الحساب'!$K$4:$K$203,IFERROR(MATCH(107,'كشف الحساب'!$N$4:$N$203,0),0))),"")</f>
        <v/>
      </c>
    </row>
    <row r="112" customFormat="false" ht="15" hidden="true" customHeight="true" outlineLevel="0" collapsed="false">
      <c r="A112" s="110" t="str">
        <f aca="false">IFERROR(IF(IFERROR(MATCH(108,'كشف الحساب'!$N$4:$N$203,0),0)=0,"",INDEX('كشف الحساب'!$A$4:$A$203,IFERROR(MATCH(108,'كشف الحساب'!$N$4:$N$203,0),0))),"")</f>
        <v/>
      </c>
      <c r="B112" s="111" t="str">
        <f aca="false">IFERROR(IF(IFERROR(MATCH(108,'كشف الحساب'!$N$4:$N$203,0),0)=0,"",INDEX('كشف الحساب'!$B$4:$B$203,IFERROR(MATCH(108,'كشف الحساب'!$N$4:$N$203,0),0))),"")</f>
        <v/>
      </c>
      <c r="C112" s="112" t="str">
        <f aca="false">IFERROR(IF(IFERROR(MATCH(108,'كشف الحساب'!$N$4:$N$203,0),0)=0,"",INDEX('كشف الحساب'!$C$4:$C$203,IFERROR(MATCH(108,'كشف الحساب'!$N$4:$N$203,0),0))),"")</f>
        <v/>
      </c>
      <c r="D112" s="113" t="str">
        <f aca="false">IFERROR(IF(IFERROR(MATCH(108,'كشف الحساب'!$N$4:$N$203,0),0)=0,"",INDEX('كشف الحساب'!$D$4:$D$203,IFERROR(MATCH(108,'كشف الحساب'!$N$4:$N$203,0),0))),"")</f>
        <v/>
      </c>
      <c r="E112" s="114" t="str">
        <f aca="false">IFERROR(IF(IFERROR(MATCH(108,'كشف الحساب'!$N$4:$N$203,0),0)=0,"",INDEX('كشف الحساب'!$E$4:$E$203,IFERROR(MATCH(108,'كشف الحساب'!$N$4:$N$203,0),0))),"")</f>
        <v/>
      </c>
      <c r="F112" s="111" t="str">
        <f aca="false">IFERROR(IF(IFERROR(MATCH(108,'كشف الحساب'!$N$4:$N$203,0),0)=0,"",INDEX('كشف الحساب'!$F$4:$F$203,IFERROR(MATCH(108,'كشف الحساب'!$N$4:$N$203,0),0))),"")</f>
        <v/>
      </c>
      <c r="G112" s="111" t="str">
        <f aca="false">IFERROR(IF(IFERROR(MATCH(108,'كشف الحساب'!$N$4:$N$203,0),0)=0,"",INDEX('كشف الحساب'!$G$4:$G$203,IFERROR(MATCH(108,'كشف الحساب'!$N$4:$N$203,0),0))),"")</f>
        <v/>
      </c>
      <c r="H112" s="111" t="str">
        <f aca="false">IFERROR(IF(IFERROR(MATCH(108,'كشف الحساب'!$N$4:$N$203,0),0)=0,"",INDEX('كشف الحساب'!$H$4:$H$203,IFERROR(MATCH(108,'كشف الحساب'!$N$4:$N$203,0),0))),"")</f>
        <v/>
      </c>
      <c r="I112" s="111" t="str">
        <f aca="false">IFERROR(IF(IFERROR(MATCH(108,'كشف الحساب'!$N$4:$N$203,0),0)=0,"",INDEX('كشف الحساب'!$I$4:$I$203,IFERROR(MATCH(108,'كشف الحساب'!$N$4:$N$203,0),0))),"")</f>
        <v/>
      </c>
      <c r="J112" s="115" t="str">
        <f aca="false">IFERROR(IF(IFERROR(MATCH(108,'كشف الحساب'!$N$4:$N$203,0),0)=0,"",INDEX('كشف الحساب'!$J$4:$J$203,IFERROR(MATCH(108,'كشف الحساب'!$N$4:$N$203,0),0))),"")</f>
        <v/>
      </c>
      <c r="K112" s="111" t="str">
        <f aca="false">IFERROR(IF(IFERROR(MATCH(108,'كشف الحساب'!$N$4:$N$203,0),0)=0,"",INDEX('كشف الحساب'!$K$4:$K$203,IFERROR(MATCH(108,'كشف الحساب'!$N$4:$N$203,0),0))),"")</f>
        <v/>
      </c>
    </row>
    <row r="113" customFormat="false" ht="15" hidden="true" customHeight="true" outlineLevel="0" collapsed="false">
      <c r="A113" s="104" t="str">
        <f aca="false">IFERROR(IF(IFERROR(MATCH(109,'كشف الحساب'!$N$4:$N$203,0),0)=0,"",INDEX('كشف الحساب'!$A$4:$A$203,IFERROR(MATCH(109,'كشف الحساب'!$N$4:$N$203,0),0))),"")</f>
        <v/>
      </c>
      <c r="B113" s="105" t="str">
        <f aca="false">IFERROR(IF(IFERROR(MATCH(109,'كشف الحساب'!$N$4:$N$203,0),0)=0,"",INDEX('كشف الحساب'!$B$4:$B$203,IFERROR(MATCH(109,'كشف الحساب'!$N$4:$N$203,0),0))),"")</f>
        <v/>
      </c>
      <c r="C113" s="106" t="str">
        <f aca="false">IFERROR(IF(IFERROR(MATCH(109,'كشف الحساب'!$N$4:$N$203,0),0)=0,"",INDEX('كشف الحساب'!$C$4:$C$203,IFERROR(MATCH(109,'كشف الحساب'!$N$4:$N$203,0),0))),"")</f>
        <v/>
      </c>
      <c r="D113" s="107" t="str">
        <f aca="false">IFERROR(IF(IFERROR(MATCH(109,'كشف الحساب'!$N$4:$N$203,0),0)=0,"",INDEX('كشف الحساب'!$D$4:$D$203,IFERROR(MATCH(109,'كشف الحساب'!$N$4:$N$203,0),0))),"")</f>
        <v/>
      </c>
      <c r="E113" s="108" t="str">
        <f aca="false">IFERROR(IF(IFERROR(MATCH(109,'كشف الحساب'!$N$4:$N$203,0),0)=0,"",INDEX('كشف الحساب'!$E$4:$E$203,IFERROR(MATCH(109,'كشف الحساب'!$N$4:$N$203,0),0))),"")</f>
        <v/>
      </c>
      <c r="F113" s="105" t="str">
        <f aca="false">IFERROR(IF(IFERROR(MATCH(109,'كشف الحساب'!$N$4:$N$203,0),0)=0,"",INDEX('كشف الحساب'!$F$4:$F$203,IFERROR(MATCH(109,'كشف الحساب'!$N$4:$N$203,0),0))),"")</f>
        <v/>
      </c>
      <c r="G113" s="105" t="str">
        <f aca="false">IFERROR(IF(IFERROR(MATCH(109,'كشف الحساب'!$N$4:$N$203,0),0)=0,"",INDEX('كشف الحساب'!$G$4:$G$203,IFERROR(MATCH(109,'كشف الحساب'!$N$4:$N$203,0),0))),"")</f>
        <v/>
      </c>
      <c r="H113" s="105" t="str">
        <f aca="false">IFERROR(IF(IFERROR(MATCH(109,'كشف الحساب'!$N$4:$N$203,0),0)=0,"",INDEX('كشف الحساب'!$H$4:$H$203,IFERROR(MATCH(109,'كشف الحساب'!$N$4:$N$203,0),0))),"")</f>
        <v/>
      </c>
      <c r="I113" s="105" t="str">
        <f aca="false">IFERROR(IF(IFERROR(MATCH(109,'كشف الحساب'!$N$4:$N$203,0),0)=0,"",INDEX('كشف الحساب'!$I$4:$I$203,IFERROR(MATCH(109,'كشف الحساب'!$N$4:$N$203,0),0))),"")</f>
        <v/>
      </c>
      <c r="J113" s="109" t="str">
        <f aca="false">IFERROR(IF(IFERROR(MATCH(109,'كشف الحساب'!$N$4:$N$203,0),0)=0,"",INDEX('كشف الحساب'!$J$4:$J$203,IFERROR(MATCH(109,'كشف الحساب'!$N$4:$N$203,0),0))),"")</f>
        <v/>
      </c>
      <c r="K113" s="105" t="str">
        <f aca="false">IFERROR(IF(IFERROR(MATCH(109,'كشف الحساب'!$N$4:$N$203,0),0)=0,"",INDEX('كشف الحساب'!$K$4:$K$203,IFERROR(MATCH(109,'كشف الحساب'!$N$4:$N$203,0),0))),"")</f>
        <v/>
      </c>
    </row>
    <row r="114" customFormat="false" ht="15" hidden="true" customHeight="true" outlineLevel="0" collapsed="false">
      <c r="A114" s="110" t="str">
        <f aca="false">IFERROR(IF(IFERROR(MATCH(110,'كشف الحساب'!$N$4:$N$203,0),0)=0,"",INDEX('كشف الحساب'!$A$4:$A$203,IFERROR(MATCH(110,'كشف الحساب'!$N$4:$N$203,0),0))),"")</f>
        <v/>
      </c>
      <c r="B114" s="111" t="str">
        <f aca="false">IFERROR(IF(IFERROR(MATCH(110,'كشف الحساب'!$N$4:$N$203,0),0)=0,"",INDEX('كشف الحساب'!$B$4:$B$203,IFERROR(MATCH(110,'كشف الحساب'!$N$4:$N$203,0),0))),"")</f>
        <v/>
      </c>
      <c r="C114" s="112" t="str">
        <f aca="false">IFERROR(IF(IFERROR(MATCH(110,'كشف الحساب'!$N$4:$N$203,0),0)=0,"",INDEX('كشف الحساب'!$C$4:$C$203,IFERROR(MATCH(110,'كشف الحساب'!$N$4:$N$203,0),0))),"")</f>
        <v/>
      </c>
      <c r="D114" s="113" t="str">
        <f aca="false">IFERROR(IF(IFERROR(MATCH(110,'كشف الحساب'!$N$4:$N$203,0),0)=0,"",INDEX('كشف الحساب'!$D$4:$D$203,IFERROR(MATCH(110,'كشف الحساب'!$N$4:$N$203,0),0))),"")</f>
        <v/>
      </c>
      <c r="E114" s="114" t="str">
        <f aca="false">IFERROR(IF(IFERROR(MATCH(110,'كشف الحساب'!$N$4:$N$203,0),0)=0,"",INDEX('كشف الحساب'!$E$4:$E$203,IFERROR(MATCH(110,'كشف الحساب'!$N$4:$N$203,0),0))),"")</f>
        <v/>
      </c>
      <c r="F114" s="111" t="str">
        <f aca="false">IFERROR(IF(IFERROR(MATCH(110,'كشف الحساب'!$N$4:$N$203,0),0)=0,"",INDEX('كشف الحساب'!$F$4:$F$203,IFERROR(MATCH(110,'كشف الحساب'!$N$4:$N$203,0),0))),"")</f>
        <v/>
      </c>
      <c r="G114" s="111" t="str">
        <f aca="false">IFERROR(IF(IFERROR(MATCH(110,'كشف الحساب'!$N$4:$N$203,0),0)=0,"",INDEX('كشف الحساب'!$G$4:$G$203,IFERROR(MATCH(110,'كشف الحساب'!$N$4:$N$203,0),0))),"")</f>
        <v/>
      </c>
      <c r="H114" s="111" t="str">
        <f aca="false">IFERROR(IF(IFERROR(MATCH(110,'كشف الحساب'!$N$4:$N$203,0),0)=0,"",INDEX('كشف الحساب'!$H$4:$H$203,IFERROR(MATCH(110,'كشف الحساب'!$N$4:$N$203,0),0))),"")</f>
        <v/>
      </c>
      <c r="I114" s="111" t="str">
        <f aca="false">IFERROR(IF(IFERROR(MATCH(110,'كشف الحساب'!$N$4:$N$203,0),0)=0,"",INDEX('كشف الحساب'!$I$4:$I$203,IFERROR(MATCH(110,'كشف الحساب'!$N$4:$N$203,0),0))),"")</f>
        <v/>
      </c>
      <c r="J114" s="115" t="str">
        <f aca="false">IFERROR(IF(IFERROR(MATCH(110,'كشف الحساب'!$N$4:$N$203,0),0)=0,"",INDEX('كشف الحساب'!$J$4:$J$203,IFERROR(MATCH(110,'كشف الحساب'!$N$4:$N$203,0),0))),"")</f>
        <v/>
      </c>
      <c r="K114" s="111" t="str">
        <f aca="false">IFERROR(IF(IFERROR(MATCH(110,'كشف الحساب'!$N$4:$N$203,0),0)=0,"",INDEX('كشف الحساب'!$K$4:$K$203,IFERROR(MATCH(110,'كشف الحساب'!$N$4:$N$203,0),0))),"")</f>
        <v/>
      </c>
    </row>
    <row r="115" customFormat="false" ht="15" hidden="true" customHeight="true" outlineLevel="0" collapsed="false">
      <c r="A115" s="104" t="str">
        <f aca="false">IFERROR(IF(IFERROR(MATCH(111,'كشف الحساب'!$N$4:$N$203,0),0)=0,"",INDEX('كشف الحساب'!$A$4:$A$203,IFERROR(MATCH(111,'كشف الحساب'!$N$4:$N$203,0),0))),"")</f>
        <v/>
      </c>
      <c r="B115" s="105" t="str">
        <f aca="false">IFERROR(IF(IFERROR(MATCH(111,'كشف الحساب'!$N$4:$N$203,0),0)=0,"",INDEX('كشف الحساب'!$B$4:$B$203,IFERROR(MATCH(111,'كشف الحساب'!$N$4:$N$203,0),0))),"")</f>
        <v/>
      </c>
      <c r="C115" s="106" t="str">
        <f aca="false">IFERROR(IF(IFERROR(MATCH(111,'كشف الحساب'!$N$4:$N$203,0),0)=0,"",INDEX('كشف الحساب'!$C$4:$C$203,IFERROR(MATCH(111,'كشف الحساب'!$N$4:$N$203,0),0))),"")</f>
        <v/>
      </c>
      <c r="D115" s="107" t="str">
        <f aca="false">IFERROR(IF(IFERROR(MATCH(111,'كشف الحساب'!$N$4:$N$203,0),0)=0,"",INDEX('كشف الحساب'!$D$4:$D$203,IFERROR(MATCH(111,'كشف الحساب'!$N$4:$N$203,0),0))),"")</f>
        <v/>
      </c>
      <c r="E115" s="108" t="str">
        <f aca="false">IFERROR(IF(IFERROR(MATCH(111,'كشف الحساب'!$N$4:$N$203,0),0)=0,"",INDEX('كشف الحساب'!$E$4:$E$203,IFERROR(MATCH(111,'كشف الحساب'!$N$4:$N$203,0),0))),"")</f>
        <v/>
      </c>
      <c r="F115" s="105" t="str">
        <f aca="false">IFERROR(IF(IFERROR(MATCH(111,'كشف الحساب'!$N$4:$N$203,0),0)=0,"",INDEX('كشف الحساب'!$F$4:$F$203,IFERROR(MATCH(111,'كشف الحساب'!$N$4:$N$203,0),0))),"")</f>
        <v/>
      </c>
      <c r="G115" s="105" t="str">
        <f aca="false">IFERROR(IF(IFERROR(MATCH(111,'كشف الحساب'!$N$4:$N$203,0),0)=0,"",INDEX('كشف الحساب'!$G$4:$G$203,IFERROR(MATCH(111,'كشف الحساب'!$N$4:$N$203,0),0))),"")</f>
        <v/>
      </c>
      <c r="H115" s="105" t="str">
        <f aca="false">IFERROR(IF(IFERROR(MATCH(111,'كشف الحساب'!$N$4:$N$203,0),0)=0,"",INDEX('كشف الحساب'!$H$4:$H$203,IFERROR(MATCH(111,'كشف الحساب'!$N$4:$N$203,0),0))),"")</f>
        <v/>
      </c>
      <c r="I115" s="105" t="str">
        <f aca="false">IFERROR(IF(IFERROR(MATCH(111,'كشف الحساب'!$N$4:$N$203,0),0)=0,"",INDEX('كشف الحساب'!$I$4:$I$203,IFERROR(MATCH(111,'كشف الحساب'!$N$4:$N$203,0),0))),"")</f>
        <v/>
      </c>
      <c r="J115" s="109" t="str">
        <f aca="false">IFERROR(IF(IFERROR(MATCH(111,'كشف الحساب'!$N$4:$N$203,0),0)=0,"",INDEX('كشف الحساب'!$J$4:$J$203,IFERROR(MATCH(111,'كشف الحساب'!$N$4:$N$203,0),0))),"")</f>
        <v/>
      </c>
      <c r="K115" s="105" t="str">
        <f aca="false">IFERROR(IF(IFERROR(MATCH(111,'كشف الحساب'!$N$4:$N$203,0),0)=0,"",INDEX('كشف الحساب'!$K$4:$K$203,IFERROR(MATCH(111,'كشف الحساب'!$N$4:$N$203,0),0))),"")</f>
        <v/>
      </c>
    </row>
    <row r="116" customFormat="false" ht="15" hidden="true" customHeight="true" outlineLevel="0" collapsed="false">
      <c r="A116" s="110" t="str">
        <f aca="false">IFERROR(IF(IFERROR(MATCH(112,'كشف الحساب'!$N$4:$N$203,0),0)=0,"",INDEX('كشف الحساب'!$A$4:$A$203,IFERROR(MATCH(112,'كشف الحساب'!$N$4:$N$203,0),0))),"")</f>
        <v/>
      </c>
      <c r="B116" s="111" t="str">
        <f aca="false">IFERROR(IF(IFERROR(MATCH(112,'كشف الحساب'!$N$4:$N$203,0),0)=0,"",INDEX('كشف الحساب'!$B$4:$B$203,IFERROR(MATCH(112,'كشف الحساب'!$N$4:$N$203,0),0))),"")</f>
        <v/>
      </c>
      <c r="C116" s="112" t="str">
        <f aca="false">IFERROR(IF(IFERROR(MATCH(112,'كشف الحساب'!$N$4:$N$203,0),0)=0,"",INDEX('كشف الحساب'!$C$4:$C$203,IFERROR(MATCH(112,'كشف الحساب'!$N$4:$N$203,0),0))),"")</f>
        <v/>
      </c>
      <c r="D116" s="113" t="str">
        <f aca="false">IFERROR(IF(IFERROR(MATCH(112,'كشف الحساب'!$N$4:$N$203,0),0)=0,"",INDEX('كشف الحساب'!$D$4:$D$203,IFERROR(MATCH(112,'كشف الحساب'!$N$4:$N$203,0),0))),"")</f>
        <v/>
      </c>
      <c r="E116" s="114" t="str">
        <f aca="false">IFERROR(IF(IFERROR(MATCH(112,'كشف الحساب'!$N$4:$N$203,0),0)=0,"",INDEX('كشف الحساب'!$E$4:$E$203,IFERROR(MATCH(112,'كشف الحساب'!$N$4:$N$203,0),0))),"")</f>
        <v/>
      </c>
      <c r="F116" s="111" t="str">
        <f aca="false">IFERROR(IF(IFERROR(MATCH(112,'كشف الحساب'!$N$4:$N$203,0),0)=0,"",INDEX('كشف الحساب'!$F$4:$F$203,IFERROR(MATCH(112,'كشف الحساب'!$N$4:$N$203,0),0))),"")</f>
        <v/>
      </c>
      <c r="G116" s="111" t="str">
        <f aca="false">IFERROR(IF(IFERROR(MATCH(112,'كشف الحساب'!$N$4:$N$203,0),0)=0,"",INDEX('كشف الحساب'!$G$4:$G$203,IFERROR(MATCH(112,'كشف الحساب'!$N$4:$N$203,0),0))),"")</f>
        <v/>
      </c>
      <c r="H116" s="111" t="str">
        <f aca="false">IFERROR(IF(IFERROR(MATCH(112,'كشف الحساب'!$N$4:$N$203,0),0)=0,"",INDEX('كشف الحساب'!$H$4:$H$203,IFERROR(MATCH(112,'كشف الحساب'!$N$4:$N$203,0),0))),"")</f>
        <v/>
      </c>
      <c r="I116" s="111" t="str">
        <f aca="false">IFERROR(IF(IFERROR(MATCH(112,'كشف الحساب'!$N$4:$N$203,0),0)=0,"",INDEX('كشف الحساب'!$I$4:$I$203,IFERROR(MATCH(112,'كشف الحساب'!$N$4:$N$203,0),0))),"")</f>
        <v/>
      </c>
      <c r="J116" s="115" t="str">
        <f aca="false">IFERROR(IF(IFERROR(MATCH(112,'كشف الحساب'!$N$4:$N$203,0),0)=0,"",INDEX('كشف الحساب'!$J$4:$J$203,IFERROR(MATCH(112,'كشف الحساب'!$N$4:$N$203,0),0))),"")</f>
        <v/>
      </c>
      <c r="K116" s="111" t="str">
        <f aca="false">IFERROR(IF(IFERROR(MATCH(112,'كشف الحساب'!$N$4:$N$203,0),0)=0,"",INDEX('كشف الحساب'!$K$4:$K$203,IFERROR(MATCH(112,'كشف الحساب'!$N$4:$N$203,0),0))),"")</f>
        <v/>
      </c>
    </row>
    <row r="117" customFormat="false" ht="15" hidden="true" customHeight="true" outlineLevel="0" collapsed="false">
      <c r="A117" s="104" t="str">
        <f aca="false">IFERROR(IF(IFERROR(MATCH(113,'كشف الحساب'!$N$4:$N$203,0),0)=0,"",INDEX('كشف الحساب'!$A$4:$A$203,IFERROR(MATCH(113,'كشف الحساب'!$N$4:$N$203,0),0))),"")</f>
        <v/>
      </c>
      <c r="B117" s="105" t="str">
        <f aca="false">IFERROR(IF(IFERROR(MATCH(113,'كشف الحساب'!$N$4:$N$203,0),0)=0,"",INDEX('كشف الحساب'!$B$4:$B$203,IFERROR(MATCH(113,'كشف الحساب'!$N$4:$N$203,0),0))),"")</f>
        <v/>
      </c>
      <c r="C117" s="106" t="str">
        <f aca="false">IFERROR(IF(IFERROR(MATCH(113,'كشف الحساب'!$N$4:$N$203,0),0)=0,"",INDEX('كشف الحساب'!$C$4:$C$203,IFERROR(MATCH(113,'كشف الحساب'!$N$4:$N$203,0),0))),"")</f>
        <v/>
      </c>
      <c r="D117" s="107" t="str">
        <f aca="false">IFERROR(IF(IFERROR(MATCH(113,'كشف الحساب'!$N$4:$N$203,0),0)=0,"",INDEX('كشف الحساب'!$D$4:$D$203,IFERROR(MATCH(113,'كشف الحساب'!$N$4:$N$203,0),0))),"")</f>
        <v/>
      </c>
      <c r="E117" s="108" t="str">
        <f aca="false">IFERROR(IF(IFERROR(MATCH(113,'كشف الحساب'!$N$4:$N$203,0),0)=0,"",INDEX('كشف الحساب'!$E$4:$E$203,IFERROR(MATCH(113,'كشف الحساب'!$N$4:$N$203,0),0))),"")</f>
        <v/>
      </c>
      <c r="F117" s="105" t="str">
        <f aca="false">IFERROR(IF(IFERROR(MATCH(113,'كشف الحساب'!$N$4:$N$203,0),0)=0,"",INDEX('كشف الحساب'!$F$4:$F$203,IFERROR(MATCH(113,'كشف الحساب'!$N$4:$N$203,0),0))),"")</f>
        <v/>
      </c>
      <c r="G117" s="105" t="str">
        <f aca="false">IFERROR(IF(IFERROR(MATCH(113,'كشف الحساب'!$N$4:$N$203,0),0)=0,"",INDEX('كشف الحساب'!$G$4:$G$203,IFERROR(MATCH(113,'كشف الحساب'!$N$4:$N$203,0),0))),"")</f>
        <v/>
      </c>
      <c r="H117" s="105" t="str">
        <f aca="false">IFERROR(IF(IFERROR(MATCH(113,'كشف الحساب'!$N$4:$N$203,0),0)=0,"",INDEX('كشف الحساب'!$H$4:$H$203,IFERROR(MATCH(113,'كشف الحساب'!$N$4:$N$203,0),0))),"")</f>
        <v/>
      </c>
      <c r="I117" s="105" t="str">
        <f aca="false">IFERROR(IF(IFERROR(MATCH(113,'كشف الحساب'!$N$4:$N$203,0),0)=0,"",INDEX('كشف الحساب'!$I$4:$I$203,IFERROR(MATCH(113,'كشف الحساب'!$N$4:$N$203,0),0))),"")</f>
        <v/>
      </c>
      <c r="J117" s="109" t="str">
        <f aca="false">IFERROR(IF(IFERROR(MATCH(113,'كشف الحساب'!$N$4:$N$203,0),0)=0,"",INDEX('كشف الحساب'!$J$4:$J$203,IFERROR(MATCH(113,'كشف الحساب'!$N$4:$N$203,0),0))),"")</f>
        <v/>
      </c>
      <c r="K117" s="105" t="str">
        <f aca="false">IFERROR(IF(IFERROR(MATCH(113,'كشف الحساب'!$N$4:$N$203,0),0)=0,"",INDEX('كشف الحساب'!$K$4:$K$203,IFERROR(MATCH(113,'كشف الحساب'!$N$4:$N$203,0),0))),"")</f>
        <v/>
      </c>
    </row>
    <row r="118" customFormat="false" ht="15" hidden="true" customHeight="true" outlineLevel="0" collapsed="false">
      <c r="A118" s="110" t="str">
        <f aca="false">IFERROR(IF(IFERROR(MATCH(114,'كشف الحساب'!$N$4:$N$203,0),0)=0,"",INDEX('كشف الحساب'!$A$4:$A$203,IFERROR(MATCH(114,'كشف الحساب'!$N$4:$N$203,0),0))),"")</f>
        <v/>
      </c>
      <c r="B118" s="111" t="str">
        <f aca="false">IFERROR(IF(IFERROR(MATCH(114,'كشف الحساب'!$N$4:$N$203,0),0)=0,"",INDEX('كشف الحساب'!$B$4:$B$203,IFERROR(MATCH(114,'كشف الحساب'!$N$4:$N$203,0),0))),"")</f>
        <v/>
      </c>
      <c r="C118" s="112" t="str">
        <f aca="false">IFERROR(IF(IFERROR(MATCH(114,'كشف الحساب'!$N$4:$N$203,0),0)=0,"",INDEX('كشف الحساب'!$C$4:$C$203,IFERROR(MATCH(114,'كشف الحساب'!$N$4:$N$203,0),0))),"")</f>
        <v/>
      </c>
      <c r="D118" s="113" t="str">
        <f aca="false">IFERROR(IF(IFERROR(MATCH(114,'كشف الحساب'!$N$4:$N$203,0),0)=0,"",INDEX('كشف الحساب'!$D$4:$D$203,IFERROR(MATCH(114,'كشف الحساب'!$N$4:$N$203,0),0))),"")</f>
        <v/>
      </c>
      <c r="E118" s="114" t="str">
        <f aca="false">IFERROR(IF(IFERROR(MATCH(114,'كشف الحساب'!$N$4:$N$203,0),0)=0,"",INDEX('كشف الحساب'!$E$4:$E$203,IFERROR(MATCH(114,'كشف الحساب'!$N$4:$N$203,0),0))),"")</f>
        <v/>
      </c>
      <c r="F118" s="111" t="str">
        <f aca="false">IFERROR(IF(IFERROR(MATCH(114,'كشف الحساب'!$N$4:$N$203,0),0)=0,"",INDEX('كشف الحساب'!$F$4:$F$203,IFERROR(MATCH(114,'كشف الحساب'!$N$4:$N$203,0),0))),"")</f>
        <v/>
      </c>
      <c r="G118" s="111" t="str">
        <f aca="false">IFERROR(IF(IFERROR(MATCH(114,'كشف الحساب'!$N$4:$N$203,0),0)=0,"",INDEX('كشف الحساب'!$G$4:$G$203,IFERROR(MATCH(114,'كشف الحساب'!$N$4:$N$203,0),0))),"")</f>
        <v/>
      </c>
      <c r="H118" s="111" t="str">
        <f aca="false">IFERROR(IF(IFERROR(MATCH(114,'كشف الحساب'!$N$4:$N$203,0),0)=0,"",INDEX('كشف الحساب'!$H$4:$H$203,IFERROR(MATCH(114,'كشف الحساب'!$N$4:$N$203,0),0))),"")</f>
        <v/>
      </c>
      <c r="I118" s="111" t="str">
        <f aca="false">IFERROR(IF(IFERROR(MATCH(114,'كشف الحساب'!$N$4:$N$203,0),0)=0,"",INDEX('كشف الحساب'!$I$4:$I$203,IFERROR(MATCH(114,'كشف الحساب'!$N$4:$N$203,0),0))),"")</f>
        <v/>
      </c>
      <c r="J118" s="115" t="str">
        <f aca="false">IFERROR(IF(IFERROR(MATCH(114,'كشف الحساب'!$N$4:$N$203,0),0)=0,"",INDEX('كشف الحساب'!$J$4:$J$203,IFERROR(MATCH(114,'كشف الحساب'!$N$4:$N$203,0),0))),"")</f>
        <v/>
      </c>
      <c r="K118" s="111" t="str">
        <f aca="false">IFERROR(IF(IFERROR(MATCH(114,'كشف الحساب'!$N$4:$N$203,0),0)=0,"",INDEX('كشف الحساب'!$K$4:$K$203,IFERROR(MATCH(114,'كشف الحساب'!$N$4:$N$203,0),0))),"")</f>
        <v/>
      </c>
    </row>
    <row r="119" customFormat="false" ht="15" hidden="true" customHeight="true" outlineLevel="0" collapsed="false">
      <c r="A119" s="104" t="str">
        <f aca="false">IFERROR(IF(IFERROR(MATCH(115,'كشف الحساب'!$N$4:$N$203,0),0)=0,"",INDEX('كشف الحساب'!$A$4:$A$203,IFERROR(MATCH(115,'كشف الحساب'!$N$4:$N$203,0),0))),"")</f>
        <v/>
      </c>
      <c r="B119" s="105" t="str">
        <f aca="false">IFERROR(IF(IFERROR(MATCH(115,'كشف الحساب'!$N$4:$N$203,0),0)=0,"",INDEX('كشف الحساب'!$B$4:$B$203,IFERROR(MATCH(115,'كشف الحساب'!$N$4:$N$203,0),0))),"")</f>
        <v/>
      </c>
      <c r="C119" s="106" t="str">
        <f aca="false">IFERROR(IF(IFERROR(MATCH(115,'كشف الحساب'!$N$4:$N$203,0),0)=0,"",INDEX('كشف الحساب'!$C$4:$C$203,IFERROR(MATCH(115,'كشف الحساب'!$N$4:$N$203,0),0))),"")</f>
        <v/>
      </c>
      <c r="D119" s="107" t="str">
        <f aca="false">IFERROR(IF(IFERROR(MATCH(115,'كشف الحساب'!$N$4:$N$203,0),0)=0,"",INDEX('كشف الحساب'!$D$4:$D$203,IFERROR(MATCH(115,'كشف الحساب'!$N$4:$N$203,0),0))),"")</f>
        <v/>
      </c>
      <c r="E119" s="108" t="str">
        <f aca="false">IFERROR(IF(IFERROR(MATCH(115,'كشف الحساب'!$N$4:$N$203,0),0)=0,"",INDEX('كشف الحساب'!$E$4:$E$203,IFERROR(MATCH(115,'كشف الحساب'!$N$4:$N$203,0),0))),"")</f>
        <v/>
      </c>
      <c r="F119" s="105" t="str">
        <f aca="false">IFERROR(IF(IFERROR(MATCH(115,'كشف الحساب'!$N$4:$N$203,0),0)=0,"",INDEX('كشف الحساب'!$F$4:$F$203,IFERROR(MATCH(115,'كشف الحساب'!$N$4:$N$203,0),0))),"")</f>
        <v/>
      </c>
      <c r="G119" s="105" t="str">
        <f aca="false">IFERROR(IF(IFERROR(MATCH(115,'كشف الحساب'!$N$4:$N$203,0),0)=0,"",INDEX('كشف الحساب'!$G$4:$G$203,IFERROR(MATCH(115,'كشف الحساب'!$N$4:$N$203,0),0))),"")</f>
        <v/>
      </c>
      <c r="H119" s="105" t="str">
        <f aca="false">IFERROR(IF(IFERROR(MATCH(115,'كشف الحساب'!$N$4:$N$203,0),0)=0,"",INDEX('كشف الحساب'!$H$4:$H$203,IFERROR(MATCH(115,'كشف الحساب'!$N$4:$N$203,0),0))),"")</f>
        <v/>
      </c>
      <c r="I119" s="105" t="str">
        <f aca="false">IFERROR(IF(IFERROR(MATCH(115,'كشف الحساب'!$N$4:$N$203,0),0)=0,"",INDEX('كشف الحساب'!$I$4:$I$203,IFERROR(MATCH(115,'كشف الحساب'!$N$4:$N$203,0),0))),"")</f>
        <v/>
      </c>
      <c r="J119" s="109" t="str">
        <f aca="false">IFERROR(IF(IFERROR(MATCH(115,'كشف الحساب'!$N$4:$N$203,0),0)=0,"",INDEX('كشف الحساب'!$J$4:$J$203,IFERROR(MATCH(115,'كشف الحساب'!$N$4:$N$203,0),0))),"")</f>
        <v/>
      </c>
      <c r="K119" s="105" t="str">
        <f aca="false">IFERROR(IF(IFERROR(MATCH(115,'كشف الحساب'!$N$4:$N$203,0),0)=0,"",INDEX('كشف الحساب'!$K$4:$K$203,IFERROR(MATCH(115,'كشف الحساب'!$N$4:$N$203,0),0))),"")</f>
        <v/>
      </c>
    </row>
    <row r="120" customFormat="false" ht="15" hidden="true" customHeight="true" outlineLevel="0" collapsed="false">
      <c r="A120" s="110" t="str">
        <f aca="false">IFERROR(IF(IFERROR(MATCH(116,'كشف الحساب'!$N$4:$N$203,0),0)=0,"",INDEX('كشف الحساب'!$A$4:$A$203,IFERROR(MATCH(116,'كشف الحساب'!$N$4:$N$203,0),0))),"")</f>
        <v/>
      </c>
      <c r="B120" s="111" t="str">
        <f aca="false">IFERROR(IF(IFERROR(MATCH(116,'كشف الحساب'!$N$4:$N$203,0),0)=0,"",INDEX('كشف الحساب'!$B$4:$B$203,IFERROR(MATCH(116,'كشف الحساب'!$N$4:$N$203,0),0))),"")</f>
        <v/>
      </c>
      <c r="C120" s="112" t="str">
        <f aca="false">IFERROR(IF(IFERROR(MATCH(116,'كشف الحساب'!$N$4:$N$203,0),0)=0,"",INDEX('كشف الحساب'!$C$4:$C$203,IFERROR(MATCH(116,'كشف الحساب'!$N$4:$N$203,0),0))),"")</f>
        <v/>
      </c>
      <c r="D120" s="113" t="str">
        <f aca="false">IFERROR(IF(IFERROR(MATCH(116,'كشف الحساب'!$N$4:$N$203,0),0)=0,"",INDEX('كشف الحساب'!$D$4:$D$203,IFERROR(MATCH(116,'كشف الحساب'!$N$4:$N$203,0),0))),"")</f>
        <v/>
      </c>
      <c r="E120" s="114" t="str">
        <f aca="false">IFERROR(IF(IFERROR(MATCH(116,'كشف الحساب'!$N$4:$N$203,0),0)=0,"",INDEX('كشف الحساب'!$E$4:$E$203,IFERROR(MATCH(116,'كشف الحساب'!$N$4:$N$203,0),0))),"")</f>
        <v/>
      </c>
      <c r="F120" s="111" t="str">
        <f aca="false">IFERROR(IF(IFERROR(MATCH(116,'كشف الحساب'!$N$4:$N$203,0),0)=0,"",INDEX('كشف الحساب'!$F$4:$F$203,IFERROR(MATCH(116,'كشف الحساب'!$N$4:$N$203,0),0))),"")</f>
        <v/>
      </c>
      <c r="G120" s="111" t="str">
        <f aca="false">IFERROR(IF(IFERROR(MATCH(116,'كشف الحساب'!$N$4:$N$203,0),0)=0,"",INDEX('كشف الحساب'!$G$4:$G$203,IFERROR(MATCH(116,'كشف الحساب'!$N$4:$N$203,0),0))),"")</f>
        <v/>
      </c>
      <c r="H120" s="111" t="str">
        <f aca="false">IFERROR(IF(IFERROR(MATCH(116,'كشف الحساب'!$N$4:$N$203,0),0)=0,"",INDEX('كشف الحساب'!$H$4:$H$203,IFERROR(MATCH(116,'كشف الحساب'!$N$4:$N$203,0),0))),"")</f>
        <v/>
      </c>
      <c r="I120" s="111" t="str">
        <f aca="false">IFERROR(IF(IFERROR(MATCH(116,'كشف الحساب'!$N$4:$N$203,0),0)=0,"",INDEX('كشف الحساب'!$I$4:$I$203,IFERROR(MATCH(116,'كشف الحساب'!$N$4:$N$203,0),0))),"")</f>
        <v/>
      </c>
      <c r="J120" s="115" t="str">
        <f aca="false">IFERROR(IF(IFERROR(MATCH(116,'كشف الحساب'!$N$4:$N$203,0),0)=0,"",INDEX('كشف الحساب'!$J$4:$J$203,IFERROR(MATCH(116,'كشف الحساب'!$N$4:$N$203,0),0))),"")</f>
        <v/>
      </c>
      <c r="K120" s="111" t="str">
        <f aca="false">IFERROR(IF(IFERROR(MATCH(116,'كشف الحساب'!$N$4:$N$203,0),0)=0,"",INDEX('كشف الحساب'!$K$4:$K$203,IFERROR(MATCH(116,'كشف الحساب'!$N$4:$N$203,0),0))),"")</f>
        <v/>
      </c>
    </row>
    <row r="121" customFormat="false" ht="15" hidden="true" customHeight="true" outlineLevel="0" collapsed="false">
      <c r="A121" s="104" t="str">
        <f aca="false">IFERROR(IF(IFERROR(MATCH(117,'كشف الحساب'!$N$4:$N$203,0),0)=0,"",INDEX('كشف الحساب'!$A$4:$A$203,IFERROR(MATCH(117,'كشف الحساب'!$N$4:$N$203,0),0))),"")</f>
        <v/>
      </c>
      <c r="B121" s="105" t="str">
        <f aca="false">IFERROR(IF(IFERROR(MATCH(117,'كشف الحساب'!$N$4:$N$203,0),0)=0,"",INDEX('كشف الحساب'!$B$4:$B$203,IFERROR(MATCH(117,'كشف الحساب'!$N$4:$N$203,0),0))),"")</f>
        <v/>
      </c>
      <c r="C121" s="106" t="str">
        <f aca="false">IFERROR(IF(IFERROR(MATCH(117,'كشف الحساب'!$N$4:$N$203,0),0)=0,"",INDEX('كشف الحساب'!$C$4:$C$203,IFERROR(MATCH(117,'كشف الحساب'!$N$4:$N$203,0),0))),"")</f>
        <v/>
      </c>
      <c r="D121" s="107" t="str">
        <f aca="false">IFERROR(IF(IFERROR(MATCH(117,'كشف الحساب'!$N$4:$N$203,0),0)=0,"",INDEX('كشف الحساب'!$D$4:$D$203,IFERROR(MATCH(117,'كشف الحساب'!$N$4:$N$203,0),0))),"")</f>
        <v/>
      </c>
      <c r="E121" s="108" t="str">
        <f aca="false">IFERROR(IF(IFERROR(MATCH(117,'كشف الحساب'!$N$4:$N$203,0),0)=0,"",INDEX('كشف الحساب'!$E$4:$E$203,IFERROR(MATCH(117,'كشف الحساب'!$N$4:$N$203,0),0))),"")</f>
        <v/>
      </c>
      <c r="F121" s="105" t="str">
        <f aca="false">IFERROR(IF(IFERROR(MATCH(117,'كشف الحساب'!$N$4:$N$203,0),0)=0,"",INDEX('كشف الحساب'!$F$4:$F$203,IFERROR(MATCH(117,'كشف الحساب'!$N$4:$N$203,0),0))),"")</f>
        <v/>
      </c>
      <c r="G121" s="105" t="str">
        <f aca="false">IFERROR(IF(IFERROR(MATCH(117,'كشف الحساب'!$N$4:$N$203,0),0)=0,"",INDEX('كشف الحساب'!$G$4:$G$203,IFERROR(MATCH(117,'كشف الحساب'!$N$4:$N$203,0),0))),"")</f>
        <v/>
      </c>
      <c r="H121" s="105" t="str">
        <f aca="false">IFERROR(IF(IFERROR(MATCH(117,'كشف الحساب'!$N$4:$N$203,0),0)=0,"",INDEX('كشف الحساب'!$H$4:$H$203,IFERROR(MATCH(117,'كشف الحساب'!$N$4:$N$203,0),0))),"")</f>
        <v/>
      </c>
      <c r="I121" s="105" t="str">
        <f aca="false">IFERROR(IF(IFERROR(MATCH(117,'كشف الحساب'!$N$4:$N$203,0),0)=0,"",INDEX('كشف الحساب'!$I$4:$I$203,IFERROR(MATCH(117,'كشف الحساب'!$N$4:$N$203,0),0))),"")</f>
        <v/>
      </c>
      <c r="J121" s="109" t="str">
        <f aca="false">IFERROR(IF(IFERROR(MATCH(117,'كشف الحساب'!$N$4:$N$203,0),0)=0,"",INDEX('كشف الحساب'!$J$4:$J$203,IFERROR(MATCH(117,'كشف الحساب'!$N$4:$N$203,0),0))),"")</f>
        <v/>
      </c>
      <c r="K121" s="105" t="str">
        <f aca="false">IFERROR(IF(IFERROR(MATCH(117,'كشف الحساب'!$N$4:$N$203,0),0)=0,"",INDEX('كشف الحساب'!$K$4:$K$203,IFERROR(MATCH(117,'كشف الحساب'!$N$4:$N$203,0),0))),"")</f>
        <v/>
      </c>
    </row>
    <row r="122" customFormat="false" ht="15" hidden="true" customHeight="true" outlineLevel="0" collapsed="false">
      <c r="A122" s="110" t="str">
        <f aca="false">IFERROR(IF(IFERROR(MATCH(118,'كشف الحساب'!$N$4:$N$203,0),0)=0,"",INDEX('كشف الحساب'!$A$4:$A$203,IFERROR(MATCH(118,'كشف الحساب'!$N$4:$N$203,0),0))),"")</f>
        <v/>
      </c>
      <c r="B122" s="111" t="str">
        <f aca="false">IFERROR(IF(IFERROR(MATCH(118,'كشف الحساب'!$N$4:$N$203,0),0)=0,"",INDEX('كشف الحساب'!$B$4:$B$203,IFERROR(MATCH(118,'كشف الحساب'!$N$4:$N$203,0),0))),"")</f>
        <v/>
      </c>
      <c r="C122" s="112" t="str">
        <f aca="false">IFERROR(IF(IFERROR(MATCH(118,'كشف الحساب'!$N$4:$N$203,0),0)=0,"",INDEX('كشف الحساب'!$C$4:$C$203,IFERROR(MATCH(118,'كشف الحساب'!$N$4:$N$203,0),0))),"")</f>
        <v/>
      </c>
      <c r="D122" s="113" t="str">
        <f aca="false">IFERROR(IF(IFERROR(MATCH(118,'كشف الحساب'!$N$4:$N$203,0),0)=0,"",INDEX('كشف الحساب'!$D$4:$D$203,IFERROR(MATCH(118,'كشف الحساب'!$N$4:$N$203,0),0))),"")</f>
        <v/>
      </c>
      <c r="E122" s="114" t="str">
        <f aca="false">IFERROR(IF(IFERROR(MATCH(118,'كشف الحساب'!$N$4:$N$203,0),0)=0,"",INDEX('كشف الحساب'!$E$4:$E$203,IFERROR(MATCH(118,'كشف الحساب'!$N$4:$N$203,0),0))),"")</f>
        <v/>
      </c>
      <c r="F122" s="111" t="str">
        <f aca="false">IFERROR(IF(IFERROR(MATCH(118,'كشف الحساب'!$N$4:$N$203,0),0)=0,"",INDEX('كشف الحساب'!$F$4:$F$203,IFERROR(MATCH(118,'كشف الحساب'!$N$4:$N$203,0),0))),"")</f>
        <v/>
      </c>
      <c r="G122" s="111" t="str">
        <f aca="false">IFERROR(IF(IFERROR(MATCH(118,'كشف الحساب'!$N$4:$N$203,0),0)=0,"",INDEX('كشف الحساب'!$G$4:$G$203,IFERROR(MATCH(118,'كشف الحساب'!$N$4:$N$203,0),0))),"")</f>
        <v/>
      </c>
      <c r="H122" s="111" t="str">
        <f aca="false">IFERROR(IF(IFERROR(MATCH(118,'كشف الحساب'!$N$4:$N$203,0),0)=0,"",INDEX('كشف الحساب'!$H$4:$H$203,IFERROR(MATCH(118,'كشف الحساب'!$N$4:$N$203,0),0))),"")</f>
        <v/>
      </c>
      <c r="I122" s="111" t="str">
        <f aca="false">IFERROR(IF(IFERROR(MATCH(118,'كشف الحساب'!$N$4:$N$203,0),0)=0,"",INDEX('كشف الحساب'!$I$4:$I$203,IFERROR(MATCH(118,'كشف الحساب'!$N$4:$N$203,0),0))),"")</f>
        <v/>
      </c>
      <c r="J122" s="115" t="str">
        <f aca="false">IFERROR(IF(IFERROR(MATCH(118,'كشف الحساب'!$N$4:$N$203,0),0)=0,"",INDEX('كشف الحساب'!$J$4:$J$203,IFERROR(MATCH(118,'كشف الحساب'!$N$4:$N$203,0),0))),"")</f>
        <v/>
      </c>
      <c r="K122" s="111" t="str">
        <f aca="false">IFERROR(IF(IFERROR(MATCH(118,'كشف الحساب'!$N$4:$N$203,0),0)=0,"",INDEX('كشف الحساب'!$K$4:$K$203,IFERROR(MATCH(118,'كشف الحساب'!$N$4:$N$203,0),0))),"")</f>
        <v/>
      </c>
    </row>
    <row r="123" customFormat="false" ht="15" hidden="true" customHeight="true" outlineLevel="0" collapsed="false">
      <c r="A123" s="104" t="str">
        <f aca="false">IFERROR(IF(IFERROR(MATCH(119,'كشف الحساب'!$N$4:$N$203,0),0)=0,"",INDEX('كشف الحساب'!$A$4:$A$203,IFERROR(MATCH(119,'كشف الحساب'!$N$4:$N$203,0),0))),"")</f>
        <v/>
      </c>
      <c r="B123" s="105" t="str">
        <f aca="false">IFERROR(IF(IFERROR(MATCH(119,'كشف الحساب'!$N$4:$N$203,0),0)=0,"",INDEX('كشف الحساب'!$B$4:$B$203,IFERROR(MATCH(119,'كشف الحساب'!$N$4:$N$203,0),0))),"")</f>
        <v/>
      </c>
      <c r="C123" s="106" t="str">
        <f aca="false">IFERROR(IF(IFERROR(MATCH(119,'كشف الحساب'!$N$4:$N$203,0),0)=0,"",INDEX('كشف الحساب'!$C$4:$C$203,IFERROR(MATCH(119,'كشف الحساب'!$N$4:$N$203,0),0))),"")</f>
        <v/>
      </c>
      <c r="D123" s="107" t="str">
        <f aca="false">IFERROR(IF(IFERROR(MATCH(119,'كشف الحساب'!$N$4:$N$203,0),0)=0,"",INDEX('كشف الحساب'!$D$4:$D$203,IFERROR(MATCH(119,'كشف الحساب'!$N$4:$N$203,0),0))),"")</f>
        <v/>
      </c>
      <c r="E123" s="108" t="str">
        <f aca="false">IFERROR(IF(IFERROR(MATCH(119,'كشف الحساب'!$N$4:$N$203,0),0)=0,"",INDEX('كشف الحساب'!$E$4:$E$203,IFERROR(MATCH(119,'كشف الحساب'!$N$4:$N$203,0),0))),"")</f>
        <v/>
      </c>
      <c r="F123" s="105" t="str">
        <f aca="false">IFERROR(IF(IFERROR(MATCH(119,'كشف الحساب'!$N$4:$N$203,0),0)=0,"",INDEX('كشف الحساب'!$F$4:$F$203,IFERROR(MATCH(119,'كشف الحساب'!$N$4:$N$203,0),0))),"")</f>
        <v/>
      </c>
      <c r="G123" s="105" t="str">
        <f aca="false">IFERROR(IF(IFERROR(MATCH(119,'كشف الحساب'!$N$4:$N$203,0),0)=0,"",INDEX('كشف الحساب'!$G$4:$G$203,IFERROR(MATCH(119,'كشف الحساب'!$N$4:$N$203,0),0))),"")</f>
        <v/>
      </c>
      <c r="H123" s="105" t="str">
        <f aca="false">IFERROR(IF(IFERROR(MATCH(119,'كشف الحساب'!$N$4:$N$203,0),0)=0,"",INDEX('كشف الحساب'!$H$4:$H$203,IFERROR(MATCH(119,'كشف الحساب'!$N$4:$N$203,0),0))),"")</f>
        <v/>
      </c>
      <c r="I123" s="105" t="str">
        <f aca="false">IFERROR(IF(IFERROR(MATCH(119,'كشف الحساب'!$N$4:$N$203,0),0)=0,"",INDEX('كشف الحساب'!$I$4:$I$203,IFERROR(MATCH(119,'كشف الحساب'!$N$4:$N$203,0),0))),"")</f>
        <v/>
      </c>
      <c r="J123" s="109" t="str">
        <f aca="false">IFERROR(IF(IFERROR(MATCH(119,'كشف الحساب'!$N$4:$N$203,0),0)=0,"",INDEX('كشف الحساب'!$J$4:$J$203,IFERROR(MATCH(119,'كشف الحساب'!$N$4:$N$203,0),0))),"")</f>
        <v/>
      </c>
      <c r="K123" s="105" t="str">
        <f aca="false">IFERROR(IF(IFERROR(MATCH(119,'كشف الحساب'!$N$4:$N$203,0),0)=0,"",INDEX('كشف الحساب'!$K$4:$K$203,IFERROR(MATCH(119,'كشف الحساب'!$N$4:$N$203,0),0))),"")</f>
        <v/>
      </c>
    </row>
    <row r="124" customFormat="false" ht="15" hidden="true" customHeight="true" outlineLevel="0" collapsed="false">
      <c r="A124" s="110" t="str">
        <f aca="false">IFERROR(IF(IFERROR(MATCH(120,'كشف الحساب'!$N$4:$N$203,0),0)=0,"",INDEX('كشف الحساب'!$A$4:$A$203,IFERROR(MATCH(120,'كشف الحساب'!$N$4:$N$203,0),0))),"")</f>
        <v/>
      </c>
      <c r="B124" s="111" t="str">
        <f aca="false">IFERROR(IF(IFERROR(MATCH(120,'كشف الحساب'!$N$4:$N$203,0),0)=0,"",INDEX('كشف الحساب'!$B$4:$B$203,IFERROR(MATCH(120,'كشف الحساب'!$N$4:$N$203,0),0))),"")</f>
        <v/>
      </c>
      <c r="C124" s="112" t="str">
        <f aca="false">IFERROR(IF(IFERROR(MATCH(120,'كشف الحساب'!$N$4:$N$203,0),0)=0,"",INDEX('كشف الحساب'!$C$4:$C$203,IFERROR(MATCH(120,'كشف الحساب'!$N$4:$N$203,0),0))),"")</f>
        <v/>
      </c>
      <c r="D124" s="113" t="str">
        <f aca="false">IFERROR(IF(IFERROR(MATCH(120,'كشف الحساب'!$N$4:$N$203,0),0)=0,"",INDEX('كشف الحساب'!$D$4:$D$203,IFERROR(MATCH(120,'كشف الحساب'!$N$4:$N$203,0),0))),"")</f>
        <v/>
      </c>
      <c r="E124" s="114" t="str">
        <f aca="false">IFERROR(IF(IFERROR(MATCH(120,'كشف الحساب'!$N$4:$N$203,0),0)=0,"",INDEX('كشف الحساب'!$E$4:$E$203,IFERROR(MATCH(120,'كشف الحساب'!$N$4:$N$203,0),0))),"")</f>
        <v/>
      </c>
      <c r="F124" s="111" t="str">
        <f aca="false">IFERROR(IF(IFERROR(MATCH(120,'كشف الحساب'!$N$4:$N$203,0),0)=0,"",INDEX('كشف الحساب'!$F$4:$F$203,IFERROR(MATCH(120,'كشف الحساب'!$N$4:$N$203,0),0))),"")</f>
        <v/>
      </c>
      <c r="G124" s="111" t="str">
        <f aca="false">IFERROR(IF(IFERROR(MATCH(120,'كشف الحساب'!$N$4:$N$203,0),0)=0,"",INDEX('كشف الحساب'!$G$4:$G$203,IFERROR(MATCH(120,'كشف الحساب'!$N$4:$N$203,0),0))),"")</f>
        <v/>
      </c>
      <c r="H124" s="111" t="str">
        <f aca="false">IFERROR(IF(IFERROR(MATCH(120,'كشف الحساب'!$N$4:$N$203,0),0)=0,"",INDEX('كشف الحساب'!$H$4:$H$203,IFERROR(MATCH(120,'كشف الحساب'!$N$4:$N$203,0),0))),"")</f>
        <v/>
      </c>
      <c r="I124" s="111" t="str">
        <f aca="false">IFERROR(IF(IFERROR(MATCH(120,'كشف الحساب'!$N$4:$N$203,0),0)=0,"",INDEX('كشف الحساب'!$I$4:$I$203,IFERROR(MATCH(120,'كشف الحساب'!$N$4:$N$203,0),0))),"")</f>
        <v/>
      </c>
      <c r="J124" s="115" t="str">
        <f aca="false">IFERROR(IF(IFERROR(MATCH(120,'كشف الحساب'!$N$4:$N$203,0),0)=0,"",INDEX('كشف الحساب'!$J$4:$J$203,IFERROR(MATCH(120,'كشف الحساب'!$N$4:$N$203,0),0))),"")</f>
        <v/>
      </c>
      <c r="K124" s="111" t="str">
        <f aca="false">IFERROR(IF(IFERROR(MATCH(120,'كشف الحساب'!$N$4:$N$203,0),0)=0,"",INDEX('كشف الحساب'!$K$4:$K$203,IFERROR(MATCH(120,'كشف الحساب'!$N$4:$N$203,0),0))),"")</f>
        <v/>
      </c>
    </row>
    <row r="125" customFormat="false" ht="15" hidden="true" customHeight="true" outlineLevel="0" collapsed="false">
      <c r="A125" s="104" t="str">
        <f aca="false">IFERROR(IF(IFERROR(MATCH(121,'كشف الحساب'!$N$4:$N$203,0),0)=0,"",INDEX('كشف الحساب'!$A$4:$A$203,IFERROR(MATCH(121,'كشف الحساب'!$N$4:$N$203,0),0))),"")</f>
        <v/>
      </c>
      <c r="B125" s="105" t="str">
        <f aca="false">IFERROR(IF(IFERROR(MATCH(121,'كشف الحساب'!$N$4:$N$203,0),0)=0,"",INDEX('كشف الحساب'!$B$4:$B$203,IFERROR(MATCH(121,'كشف الحساب'!$N$4:$N$203,0),0))),"")</f>
        <v/>
      </c>
      <c r="C125" s="106" t="str">
        <f aca="false">IFERROR(IF(IFERROR(MATCH(121,'كشف الحساب'!$N$4:$N$203,0),0)=0,"",INDEX('كشف الحساب'!$C$4:$C$203,IFERROR(MATCH(121,'كشف الحساب'!$N$4:$N$203,0),0))),"")</f>
        <v/>
      </c>
      <c r="D125" s="107" t="str">
        <f aca="false">IFERROR(IF(IFERROR(MATCH(121,'كشف الحساب'!$N$4:$N$203,0),0)=0,"",INDEX('كشف الحساب'!$D$4:$D$203,IFERROR(MATCH(121,'كشف الحساب'!$N$4:$N$203,0),0))),"")</f>
        <v/>
      </c>
      <c r="E125" s="108" t="str">
        <f aca="false">IFERROR(IF(IFERROR(MATCH(121,'كشف الحساب'!$N$4:$N$203,0),0)=0,"",INDEX('كشف الحساب'!$E$4:$E$203,IFERROR(MATCH(121,'كشف الحساب'!$N$4:$N$203,0),0))),"")</f>
        <v/>
      </c>
      <c r="F125" s="105" t="str">
        <f aca="false">IFERROR(IF(IFERROR(MATCH(121,'كشف الحساب'!$N$4:$N$203,0),0)=0,"",INDEX('كشف الحساب'!$F$4:$F$203,IFERROR(MATCH(121,'كشف الحساب'!$N$4:$N$203,0),0))),"")</f>
        <v/>
      </c>
      <c r="G125" s="105" t="str">
        <f aca="false">IFERROR(IF(IFERROR(MATCH(121,'كشف الحساب'!$N$4:$N$203,0),0)=0,"",INDEX('كشف الحساب'!$G$4:$G$203,IFERROR(MATCH(121,'كشف الحساب'!$N$4:$N$203,0),0))),"")</f>
        <v/>
      </c>
      <c r="H125" s="105" t="str">
        <f aca="false">IFERROR(IF(IFERROR(MATCH(121,'كشف الحساب'!$N$4:$N$203,0),0)=0,"",INDEX('كشف الحساب'!$H$4:$H$203,IFERROR(MATCH(121,'كشف الحساب'!$N$4:$N$203,0),0))),"")</f>
        <v/>
      </c>
      <c r="I125" s="105" t="str">
        <f aca="false">IFERROR(IF(IFERROR(MATCH(121,'كشف الحساب'!$N$4:$N$203,0),0)=0,"",INDEX('كشف الحساب'!$I$4:$I$203,IFERROR(MATCH(121,'كشف الحساب'!$N$4:$N$203,0),0))),"")</f>
        <v/>
      </c>
      <c r="J125" s="109" t="str">
        <f aca="false">IFERROR(IF(IFERROR(MATCH(121,'كشف الحساب'!$N$4:$N$203,0),0)=0,"",INDEX('كشف الحساب'!$J$4:$J$203,IFERROR(MATCH(121,'كشف الحساب'!$N$4:$N$203,0),0))),"")</f>
        <v/>
      </c>
      <c r="K125" s="105" t="str">
        <f aca="false">IFERROR(IF(IFERROR(MATCH(121,'كشف الحساب'!$N$4:$N$203,0),0)=0,"",INDEX('كشف الحساب'!$K$4:$K$203,IFERROR(MATCH(121,'كشف الحساب'!$N$4:$N$203,0),0))),"")</f>
        <v/>
      </c>
    </row>
    <row r="126" customFormat="false" ht="15" hidden="true" customHeight="true" outlineLevel="0" collapsed="false">
      <c r="A126" s="110" t="str">
        <f aca="false">IFERROR(IF(IFERROR(MATCH(122,'كشف الحساب'!$N$4:$N$203,0),0)=0,"",INDEX('كشف الحساب'!$A$4:$A$203,IFERROR(MATCH(122,'كشف الحساب'!$N$4:$N$203,0),0))),"")</f>
        <v/>
      </c>
      <c r="B126" s="111" t="str">
        <f aca="false">IFERROR(IF(IFERROR(MATCH(122,'كشف الحساب'!$N$4:$N$203,0),0)=0,"",INDEX('كشف الحساب'!$B$4:$B$203,IFERROR(MATCH(122,'كشف الحساب'!$N$4:$N$203,0),0))),"")</f>
        <v/>
      </c>
      <c r="C126" s="112" t="str">
        <f aca="false">IFERROR(IF(IFERROR(MATCH(122,'كشف الحساب'!$N$4:$N$203,0),0)=0,"",INDEX('كشف الحساب'!$C$4:$C$203,IFERROR(MATCH(122,'كشف الحساب'!$N$4:$N$203,0),0))),"")</f>
        <v/>
      </c>
      <c r="D126" s="113" t="str">
        <f aca="false">IFERROR(IF(IFERROR(MATCH(122,'كشف الحساب'!$N$4:$N$203,0),0)=0,"",INDEX('كشف الحساب'!$D$4:$D$203,IFERROR(MATCH(122,'كشف الحساب'!$N$4:$N$203,0),0))),"")</f>
        <v/>
      </c>
      <c r="E126" s="114" t="str">
        <f aca="false">IFERROR(IF(IFERROR(MATCH(122,'كشف الحساب'!$N$4:$N$203,0),0)=0,"",INDEX('كشف الحساب'!$E$4:$E$203,IFERROR(MATCH(122,'كشف الحساب'!$N$4:$N$203,0),0))),"")</f>
        <v/>
      </c>
      <c r="F126" s="111" t="str">
        <f aca="false">IFERROR(IF(IFERROR(MATCH(122,'كشف الحساب'!$N$4:$N$203,0),0)=0,"",INDEX('كشف الحساب'!$F$4:$F$203,IFERROR(MATCH(122,'كشف الحساب'!$N$4:$N$203,0),0))),"")</f>
        <v/>
      </c>
      <c r="G126" s="111" t="str">
        <f aca="false">IFERROR(IF(IFERROR(MATCH(122,'كشف الحساب'!$N$4:$N$203,0),0)=0,"",INDEX('كشف الحساب'!$G$4:$G$203,IFERROR(MATCH(122,'كشف الحساب'!$N$4:$N$203,0),0))),"")</f>
        <v/>
      </c>
      <c r="H126" s="111" t="str">
        <f aca="false">IFERROR(IF(IFERROR(MATCH(122,'كشف الحساب'!$N$4:$N$203,0),0)=0,"",INDEX('كشف الحساب'!$H$4:$H$203,IFERROR(MATCH(122,'كشف الحساب'!$N$4:$N$203,0),0))),"")</f>
        <v/>
      </c>
      <c r="I126" s="111" t="str">
        <f aca="false">IFERROR(IF(IFERROR(MATCH(122,'كشف الحساب'!$N$4:$N$203,0),0)=0,"",INDEX('كشف الحساب'!$I$4:$I$203,IFERROR(MATCH(122,'كشف الحساب'!$N$4:$N$203,0),0))),"")</f>
        <v/>
      </c>
      <c r="J126" s="115" t="str">
        <f aca="false">IFERROR(IF(IFERROR(MATCH(122,'كشف الحساب'!$N$4:$N$203,0),0)=0,"",INDEX('كشف الحساب'!$J$4:$J$203,IFERROR(MATCH(122,'كشف الحساب'!$N$4:$N$203,0),0))),"")</f>
        <v/>
      </c>
      <c r="K126" s="111" t="str">
        <f aca="false">IFERROR(IF(IFERROR(MATCH(122,'كشف الحساب'!$N$4:$N$203,0),0)=0,"",INDEX('كشف الحساب'!$K$4:$K$203,IFERROR(MATCH(122,'كشف الحساب'!$N$4:$N$203,0),0))),"")</f>
        <v/>
      </c>
    </row>
    <row r="127" customFormat="false" ht="15" hidden="true" customHeight="true" outlineLevel="0" collapsed="false">
      <c r="A127" s="104" t="str">
        <f aca="false">IFERROR(IF(IFERROR(MATCH(123,'كشف الحساب'!$N$4:$N$203,0),0)=0,"",INDEX('كشف الحساب'!$A$4:$A$203,IFERROR(MATCH(123,'كشف الحساب'!$N$4:$N$203,0),0))),"")</f>
        <v/>
      </c>
      <c r="B127" s="105" t="str">
        <f aca="false">IFERROR(IF(IFERROR(MATCH(123,'كشف الحساب'!$N$4:$N$203,0),0)=0,"",INDEX('كشف الحساب'!$B$4:$B$203,IFERROR(MATCH(123,'كشف الحساب'!$N$4:$N$203,0),0))),"")</f>
        <v/>
      </c>
      <c r="C127" s="106" t="str">
        <f aca="false">IFERROR(IF(IFERROR(MATCH(123,'كشف الحساب'!$N$4:$N$203,0),0)=0,"",INDEX('كشف الحساب'!$C$4:$C$203,IFERROR(MATCH(123,'كشف الحساب'!$N$4:$N$203,0),0))),"")</f>
        <v/>
      </c>
      <c r="D127" s="107" t="str">
        <f aca="false">IFERROR(IF(IFERROR(MATCH(123,'كشف الحساب'!$N$4:$N$203,0),0)=0,"",INDEX('كشف الحساب'!$D$4:$D$203,IFERROR(MATCH(123,'كشف الحساب'!$N$4:$N$203,0),0))),"")</f>
        <v/>
      </c>
      <c r="E127" s="108" t="str">
        <f aca="false">IFERROR(IF(IFERROR(MATCH(123,'كشف الحساب'!$N$4:$N$203,0),0)=0,"",INDEX('كشف الحساب'!$E$4:$E$203,IFERROR(MATCH(123,'كشف الحساب'!$N$4:$N$203,0),0))),"")</f>
        <v/>
      </c>
      <c r="F127" s="105" t="str">
        <f aca="false">IFERROR(IF(IFERROR(MATCH(123,'كشف الحساب'!$N$4:$N$203,0),0)=0,"",INDEX('كشف الحساب'!$F$4:$F$203,IFERROR(MATCH(123,'كشف الحساب'!$N$4:$N$203,0),0))),"")</f>
        <v/>
      </c>
      <c r="G127" s="105" t="str">
        <f aca="false">IFERROR(IF(IFERROR(MATCH(123,'كشف الحساب'!$N$4:$N$203,0),0)=0,"",INDEX('كشف الحساب'!$G$4:$G$203,IFERROR(MATCH(123,'كشف الحساب'!$N$4:$N$203,0),0))),"")</f>
        <v/>
      </c>
      <c r="H127" s="105" t="str">
        <f aca="false">IFERROR(IF(IFERROR(MATCH(123,'كشف الحساب'!$N$4:$N$203,0),0)=0,"",INDEX('كشف الحساب'!$H$4:$H$203,IFERROR(MATCH(123,'كشف الحساب'!$N$4:$N$203,0),0))),"")</f>
        <v/>
      </c>
      <c r="I127" s="105" t="str">
        <f aca="false">IFERROR(IF(IFERROR(MATCH(123,'كشف الحساب'!$N$4:$N$203,0),0)=0,"",INDEX('كشف الحساب'!$I$4:$I$203,IFERROR(MATCH(123,'كشف الحساب'!$N$4:$N$203,0),0))),"")</f>
        <v/>
      </c>
      <c r="J127" s="109" t="str">
        <f aca="false">IFERROR(IF(IFERROR(MATCH(123,'كشف الحساب'!$N$4:$N$203,0),0)=0,"",INDEX('كشف الحساب'!$J$4:$J$203,IFERROR(MATCH(123,'كشف الحساب'!$N$4:$N$203,0),0))),"")</f>
        <v/>
      </c>
      <c r="K127" s="105" t="str">
        <f aca="false">IFERROR(IF(IFERROR(MATCH(123,'كشف الحساب'!$N$4:$N$203,0),0)=0,"",INDEX('كشف الحساب'!$K$4:$K$203,IFERROR(MATCH(123,'كشف الحساب'!$N$4:$N$203,0),0))),"")</f>
        <v/>
      </c>
    </row>
    <row r="128" customFormat="false" ht="15" hidden="true" customHeight="true" outlineLevel="0" collapsed="false">
      <c r="A128" s="110" t="str">
        <f aca="false">IFERROR(IF(IFERROR(MATCH(124,'كشف الحساب'!$N$4:$N$203,0),0)=0,"",INDEX('كشف الحساب'!$A$4:$A$203,IFERROR(MATCH(124,'كشف الحساب'!$N$4:$N$203,0),0))),"")</f>
        <v/>
      </c>
      <c r="B128" s="111" t="str">
        <f aca="false">IFERROR(IF(IFERROR(MATCH(124,'كشف الحساب'!$N$4:$N$203,0),0)=0,"",INDEX('كشف الحساب'!$B$4:$B$203,IFERROR(MATCH(124,'كشف الحساب'!$N$4:$N$203,0),0))),"")</f>
        <v/>
      </c>
      <c r="C128" s="112" t="str">
        <f aca="false">IFERROR(IF(IFERROR(MATCH(124,'كشف الحساب'!$N$4:$N$203,0),0)=0,"",INDEX('كشف الحساب'!$C$4:$C$203,IFERROR(MATCH(124,'كشف الحساب'!$N$4:$N$203,0),0))),"")</f>
        <v/>
      </c>
      <c r="D128" s="113" t="str">
        <f aca="false">IFERROR(IF(IFERROR(MATCH(124,'كشف الحساب'!$N$4:$N$203,0),0)=0,"",INDEX('كشف الحساب'!$D$4:$D$203,IFERROR(MATCH(124,'كشف الحساب'!$N$4:$N$203,0),0))),"")</f>
        <v/>
      </c>
      <c r="E128" s="114" t="str">
        <f aca="false">IFERROR(IF(IFERROR(MATCH(124,'كشف الحساب'!$N$4:$N$203,0),0)=0,"",INDEX('كشف الحساب'!$E$4:$E$203,IFERROR(MATCH(124,'كشف الحساب'!$N$4:$N$203,0),0))),"")</f>
        <v/>
      </c>
      <c r="F128" s="111" t="str">
        <f aca="false">IFERROR(IF(IFERROR(MATCH(124,'كشف الحساب'!$N$4:$N$203,0),0)=0,"",INDEX('كشف الحساب'!$F$4:$F$203,IFERROR(MATCH(124,'كشف الحساب'!$N$4:$N$203,0),0))),"")</f>
        <v/>
      </c>
      <c r="G128" s="111" t="str">
        <f aca="false">IFERROR(IF(IFERROR(MATCH(124,'كشف الحساب'!$N$4:$N$203,0),0)=0,"",INDEX('كشف الحساب'!$G$4:$G$203,IFERROR(MATCH(124,'كشف الحساب'!$N$4:$N$203,0),0))),"")</f>
        <v/>
      </c>
      <c r="H128" s="111" t="str">
        <f aca="false">IFERROR(IF(IFERROR(MATCH(124,'كشف الحساب'!$N$4:$N$203,0),0)=0,"",INDEX('كشف الحساب'!$H$4:$H$203,IFERROR(MATCH(124,'كشف الحساب'!$N$4:$N$203,0),0))),"")</f>
        <v/>
      </c>
      <c r="I128" s="111" t="str">
        <f aca="false">IFERROR(IF(IFERROR(MATCH(124,'كشف الحساب'!$N$4:$N$203,0),0)=0,"",INDEX('كشف الحساب'!$I$4:$I$203,IFERROR(MATCH(124,'كشف الحساب'!$N$4:$N$203,0),0))),"")</f>
        <v/>
      </c>
      <c r="J128" s="115" t="str">
        <f aca="false">IFERROR(IF(IFERROR(MATCH(124,'كشف الحساب'!$N$4:$N$203,0),0)=0,"",INDEX('كشف الحساب'!$J$4:$J$203,IFERROR(MATCH(124,'كشف الحساب'!$N$4:$N$203,0),0))),"")</f>
        <v/>
      </c>
      <c r="K128" s="111" t="str">
        <f aca="false">IFERROR(IF(IFERROR(MATCH(124,'كشف الحساب'!$N$4:$N$203,0),0)=0,"",INDEX('كشف الحساب'!$K$4:$K$203,IFERROR(MATCH(124,'كشف الحساب'!$N$4:$N$203,0),0))),"")</f>
        <v/>
      </c>
    </row>
    <row r="129" customFormat="false" ht="15" hidden="true" customHeight="true" outlineLevel="0" collapsed="false">
      <c r="A129" s="104" t="str">
        <f aca="false">IFERROR(IF(IFERROR(MATCH(125,'كشف الحساب'!$N$4:$N$203,0),0)=0,"",INDEX('كشف الحساب'!$A$4:$A$203,IFERROR(MATCH(125,'كشف الحساب'!$N$4:$N$203,0),0))),"")</f>
        <v/>
      </c>
      <c r="B129" s="105" t="str">
        <f aca="false">IFERROR(IF(IFERROR(MATCH(125,'كشف الحساب'!$N$4:$N$203,0),0)=0,"",INDEX('كشف الحساب'!$B$4:$B$203,IFERROR(MATCH(125,'كشف الحساب'!$N$4:$N$203,0),0))),"")</f>
        <v/>
      </c>
      <c r="C129" s="106" t="str">
        <f aca="false">IFERROR(IF(IFERROR(MATCH(125,'كشف الحساب'!$N$4:$N$203,0),0)=0,"",INDEX('كشف الحساب'!$C$4:$C$203,IFERROR(MATCH(125,'كشف الحساب'!$N$4:$N$203,0),0))),"")</f>
        <v/>
      </c>
      <c r="D129" s="107" t="str">
        <f aca="false">IFERROR(IF(IFERROR(MATCH(125,'كشف الحساب'!$N$4:$N$203,0),0)=0,"",INDEX('كشف الحساب'!$D$4:$D$203,IFERROR(MATCH(125,'كشف الحساب'!$N$4:$N$203,0),0))),"")</f>
        <v/>
      </c>
      <c r="E129" s="108" t="str">
        <f aca="false">IFERROR(IF(IFERROR(MATCH(125,'كشف الحساب'!$N$4:$N$203,0),0)=0,"",INDEX('كشف الحساب'!$E$4:$E$203,IFERROR(MATCH(125,'كشف الحساب'!$N$4:$N$203,0),0))),"")</f>
        <v/>
      </c>
      <c r="F129" s="105" t="str">
        <f aca="false">IFERROR(IF(IFERROR(MATCH(125,'كشف الحساب'!$N$4:$N$203,0),0)=0,"",INDEX('كشف الحساب'!$F$4:$F$203,IFERROR(MATCH(125,'كشف الحساب'!$N$4:$N$203,0),0))),"")</f>
        <v/>
      </c>
      <c r="G129" s="105" t="str">
        <f aca="false">IFERROR(IF(IFERROR(MATCH(125,'كشف الحساب'!$N$4:$N$203,0),0)=0,"",INDEX('كشف الحساب'!$G$4:$G$203,IFERROR(MATCH(125,'كشف الحساب'!$N$4:$N$203,0),0))),"")</f>
        <v/>
      </c>
      <c r="H129" s="105" t="str">
        <f aca="false">IFERROR(IF(IFERROR(MATCH(125,'كشف الحساب'!$N$4:$N$203,0),0)=0,"",INDEX('كشف الحساب'!$H$4:$H$203,IFERROR(MATCH(125,'كشف الحساب'!$N$4:$N$203,0),0))),"")</f>
        <v/>
      </c>
      <c r="I129" s="105" t="str">
        <f aca="false">IFERROR(IF(IFERROR(MATCH(125,'كشف الحساب'!$N$4:$N$203,0),0)=0,"",INDEX('كشف الحساب'!$I$4:$I$203,IFERROR(MATCH(125,'كشف الحساب'!$N$4:$N$203,0),0))),"")</f>
        <v/>
      </c>
      <c r="J129" s="109" t="str">
        <f aca="false">IFERROR(IF(IFERROR(MATCH(125,'كشف الحساب'!$N$4:$N$203,0),0)=0,"",INDEX('كشف الحساب'!$J$4:$J$203,IFERROR(MATCH(125,'كشف الحساب'!$N$4:$N$203,0),0))),"")</f>
        <v/>
      </c>
      <c r="K129" s="105" t="str">
        <f aca="false">IFERROR(IF(IFERROR(MATCH(125,'كشف الحساب'!$N$4:$N$203,0),0)=0,"",INDEX('كشف الحساب'!$K$4:$K$203,IFERROR(MATCH(125,'كشف الحساب'!$N$4:$N$203,0),0))),"")</f>
        <v/>
      </c>
    </row>
    <row r="130" customFormat="false" ht="15" hidden="true" customHeight="true" outlineLevel="0" collapsed="false">
      <c r="A130" s="110" t="str">
        <f aca="false">IFERROR(IF(IFERROR(MATCH(126,'كشف الحساب'!$N$4:$N$203,0),0)=0,"",INDEX('كشف الحساب'!$A$4:$A$203,IFERROR(MATCH(126,'كشف الحساب'!$N$4:$N$203,0),0))),"")</f>
        <v/>
      </c>
      <c r="B130" s="111" t="str">
        <f aca="false">IFERROR(IF(IFERROR(MATCH(126,'كشف الحساب'!$N$4:$N$203,0),0)=0,"",INDEX('كشف الحساب'!$B$4:$B$203,IFERROR(MATCH(126,'كشف الحساب'!$N$4:$N$203,0),0))),"")</f>
        <v/>
      </c>
      <c r="C130" s="112" t="str">
        <f aca="false">IFERROR(IF(IFERROR(MATCH(126,'كشف الحساب'!$N$4:$N$203,0),0)=0,"",INDEX('كشف الحساب'!$C$4:$C$203,IFERROR(MATCH(126,'كشف الحساب'!$N$4:$N$203,0),0))),"")</f>
        <v/>
      </c>
      <c r="D130" s="113" t="str">
        <f aca="false">IFERROR(IF(IFERROR(MATCH(126,'كشف الحساب'!$N$4:$N$203,0),0)=0,"",INDEX('كشف الحساب'!$D$4:$D$203,IFERROR(MATCH(126,'كشف الحساب'!$N$4:$N$203,0),0))),"")</f>
        <v/>
      </c>
      <c r="E130" s="114" t="str">
        <f aca="false">IFERROR(IF(IFERROR(MATCH(126,'كشف الحساب'!$N$4:$N$203,0),0)=0,"",INDEX('كشف الحساب'!$E$4:$E$203,IFERROR(MATCH(126,'كشف الحساب'!$N$4:$N$203,0),0))),"")</f>
        <v/>
      </c>
      <c r="F130" s="111" t="str">
        <f aca="false">IFERROR(IF(IFERROR(MATCH(126,'كشف الحساب'!$N$4:$N$203,0),0)=0,"",INDEX('كشف الحساب'!$F$4:$F$203,IFERROR(MATCH(126,'كشف الحساب'!$N$4:$N$203,0),0))),"")</f>
        <v/>
      </c>
      <c r="G130" s="111" t="str">
        <f aca="false">IFERROR(IF(IFERROR(MATCH(126,'كشف الحساب'!$N$4:$N$203,0),0)=0,"",INDEX('كشف الحساب'!$G$4:$G$203,IFERROR(MATCH(126,'كشف الحساب'!$N$4:$N$203,0),0))),"")</f>
        <v/>
      </c>
      <c r="H130" s="111" t="str">
        <f aca="false">IFERROR(IF(IFERROR(MATCH(126,'كشف الحساب'!$N$4:$N$203,0),0)=0,"",INDEX('كشف الحساب'!$H$4:$H$203,IFERROR(MATCH(126,'كشف الحساب'!$N$4:$N$203,0),0))),"")</f>
        <v/>
      </c>
      <c r="I130" s="111" t="str">
        <f aca="false">IFERROR(IF(IFERROR(MATCH(126,'كشف الحساب'!$N$4:$N$203,0),0)=0,"",INDEX('كشف الحساب'!$I$4:$I$203,IFERROR(MATCH(126,'كشف الحساب'!$N$4:$N$203,0),0))),"")</f>
        <v/>
      </c>
      <c r="J130" s="115" t="str">
        <f aca="false">IFERROR(IF(IFERROR(MATCH(126,'كشف الحساب'!$N$4:$N$203,0),0)=0,"",INDEX('كشف الحساب'!$J$4:$J$203,IFERROR(MATCH(126,'كشف الحساب'!$N$4:$N$203,0),0))),"")</f>
        <v/>
      </c>
      <c r="K130" s="111" t="str">
        <f aca="false">IFERROR(IF(IFERROR(MATCH(126,'كشف الحساب'!$N$4:$N$203,0),0)=0,"",INDEX('كشف الحساب'!$K$4:$K$203,IFERROR(MATCH(126,'كشف الحساب'!$N$4:$N$203,0),0))),"")</f>
        <v/>
      </c>
    </row>
    <row r="131" customFormat="false" ht="15" hidden="true" customHeight="true" outlineLevel="0" collapsed="false">
      <c r="A131" s="104" t="str">
        <f aca="false">IFERROR(IF(IFERROR(MATCH(127,'كشف الحساب'!$N$4:$N$203,0),0)=0,"",INDEX('كشف الحساب'!$A$4:$A$203,IFERROR(MATCH(127,'كشف الحساب'!$N$4:$N$203,0),0))),"")</f>
        <v/>
      </c>
      <c r="B131" s="105" t="str">
        <f aca="false">IFERROR(IF(IFERROR(MATCH(127,'كشف الحساب'!$N$4:$N$203,0),0)=0,"",INDEX('كشف الحساب'!$B$4:$B$203,IFERROR(MATCH(127,'كشف الحساب'!$N$4:$N$203,0),0))),"")</f>
        <v/>
      </c>
      <c r="C131" s="106" t="str">
        <f aca="false">IFERROR(IF(IFERROR(MATCH(127,'كشف الحساب'!$N$4:$N$203,0),0)=0,"",INDEX('كشف الحساب'!$C$4:$C$203,IFERROR(MATCH(127,'كشف الحساب'!$N$4:$N$203,0),0))),"")</f>
        <v/>
      </c>
      <c r="D131" s="107" t="str">
        <f aca="false">IFERROR(IF(IFERROR(MATCH(127,'كشف الحساب'!$N$4:$N$203,0),0)=0,"",INDEX('كشف الحساب'!$D$4:$D$203,IFERROR(MATCH(127,'كشف الحساب'!$N$4:$N$203,0),0))),"")</f>
        <v/>
      </c>
      <c r="E131" s="108" t="str">
        <f aca="false">IFERROR(IF(IFERROR(MATCH(127,'كشف الحساب'!$N$4:$N$203,0),0)=0,"",INDEX('كشف الحساب'!$E$4:$E$203,IFERROR(MATCH(127,'كشف الحساب'!$N$4:$N$203,0),0))),"")</f>
        <v/>
      </c>
      <c r="F131" s="105" t="str">
        <f aca="false">IFERROR(IF(IFERROR(MATCH(127,'كشف الحساب'!$N$4:$N$203,0),0)=0,"",INDEX('كشف الحساب'!$F$4:$F$203,IFERROR(MATCH(127,'كشف الحساب'!$N$4:$N$203,0),0))),"")</f>
        <v/>
      </c>
      <c r="G131" s="105" t="str">
        <f aca="false">IFERROR(IF(IFERROR(MATCH(127,'كشف الحساب'!$N$4:$N$203,0),0)=0,"",INDEX('كشف الحساب'!$G$4:$G$203,IFERROR(MATCH(127,'كشف الحساب'!$N$4:$N$203,0),0))),"")</f>
        <v/>
      </c>
      <c r="H131" s="105" t="str">
        <f aca="false">IFERROR(IF(IFERROR(MATCH(127,'كشف الحساب'!$N$4:$N$203,0),0)=0,"",INDEX('كشف الحساب'!$H$4:$H$203,IFERROR(MATCH(127,'كشف الحساب'!$N$4:$N$203,0),0))),"")</f>
        <v/>
      </c>
      <c r="I131" s="105" t="str">
        <f aca="false">IFERROR(IF(IFERROR(MATCH(127,'كشف الحساب'!$N$4:$N$203,0),0)=0,"",INDEX('كشف الحساب'!$I$4:$I$203,IFERROR(MATCH(127,'كشف الحساب'!$N$4:$N$203,0),0))),"")</f>
        <v/>
      </c>
      <c r="J131" s="109" t="str">
        <f aca="false">IFERROR(IF(IFERROR(MATCH(127,'كشف الحساب'!$N$4:$N$203,0),0)=0,"",INDEX('كشف الحساب'!$J$4:$J$203,IFERROR(MATCH(127,'كشف الحساب'!$N$4:$N$203,0),0))),"")</f>
        <v/>
      </c>
      <c r="K131" s="105" t="str">
        <f aca="false">IFERROR(IF(IFERROR(MATCH(127,'كشف الحساب'!$N$4:$N$203,0),0)=0,"",INDEX('كشف الحساب'!$K$4:$K$203,IFERROR(MATCH(127,'كشف الحساب'!$N$4:$N$203,0),0))),"")</f>
        <v/>
      </c>
    </row>
    <row r="132" customFormat="false" ht="15" hidden="true" customHeight="true" outlineLevel="0" collapsed="false">
      <c r="A132" s="110" t="str">
        <f aca="false">IFERROR(IF(IFERROR(MATCH(128,'كشف الحساب'!$N$4:$N$203,0),0)=0,"",INDEX('كشف الحساب'!$A$4:$A$203,IFERROR(MATCH(128,'كشف الحساب'!$N$4:$N$203,0),0))),"")</f>
        <v/>
      </c>
      <c r="B132" s="111" t="str">
        <f aca="false">IFERROR(IF(IFERROR(MATCH(128,'كشف الحساب'!$N$4:$N$203,0),0)=0,"",INDEX('كشف الحساب'!$B$4:$B$203,IFERROR(MATCH(128,'كشف الحساب'!$N$4:$N$203,0),0))),"")</f>
        <v/>
      </c>
      <c r="C132" s="112" t="str">
        <f aca="false">IFERROR(IF(IFERROR(MATCH(128,'كشف الحساب'!$N$4:$N$203,0),0)=0,"",INDEX('كشف الحساب'!$C$4:$C$203,IFERROR(MATCH(128,'كشف الحساب'!$N$4:$N$203,0),0))),"")</f>
        <v/>
      </c>
      <c r="D132" s="113" t="str">
        <f aca="false">IFERROR(IF(IFERROR(MATCH(128,'كشف الحساب'!$N$4:$N$203,0),0)=0,"",INDEX('كشف الحساب'!$D$4:$D$203,IFERROR(MATCH(128,'كشف الحساب'!$N$4:$N$203,0),0))),"")</f>
        <v/>
      </c>
      <c r="E132" s="114" t="str">
        <f aca="false">IFERROR(IF(IFERROR(MATCH(128,'كشف الحساب'!$N$4:$N$203,0),0)=0,"",INDEX('كشف الحساب'!$E$4:$E$203,IFERROR(MATCH(128,'كشف الحساب'!$N$4:$N$203,0),0))),"")</f>
        <v/>
      </c>
      <c r="F132" s="111" t="str">
        <f aca="false">IFERROR(IF(IFERROR(MATCH(128,'كشف الحساب'!$N$4:$N$203,0),0)=0,"",INDEX('كشف الحساب'!$F$4:$F$203,IFERROR(MATCH(128,'كشف الحساب'!$N$4:$N$203,0),0))),"")</f>
        <v/>
      </c>
      <c r="G132" s="111" t="str">
        <f aca="false">IFERROR(IF(IFERROR(MATCH(128,'كشف الحساب'!$N$4:$N$203,0),0)=0,"",INDEX('كشف الحساب'!$G$4:$G$203,IFERROR(MATCH(128,'كشف الحساب'!$N$4:$N$203,0),0))),"")</f>
        <v/>
      </c>
      <c r="H132" s="111" t="str">
        <f aca="false">IFERROR(IF(IFERROR(MATCH(128,'كشف الحساب'!$N$4:$N$203,0),0)=0,"",INDEX('كشف الحساب'!$H$4:$H$203,IFERROR(MATCH(128,'كشف الحساب'!$N$4:$N$203,0),0))),"")</f>
        <v/>
      </c>
      <c r="I132" s="111" t="str">
        <f aca="false">IFERROR(IF(IFERROR(MATCH(128,'كشف الحساب'!$N$4:$N$203,0),0)=0,"",INDEX('كشف الحساب'!$I$4:$I$203,IFERROR(MATCH(128,'كشف الحساب'!$N$4:$N$203,0),0))),"")</f>
        <v/>
      </c>
      <c r="J132" s="115" t="str">
        <f aca="false">IFERROR(IF(IFERROR(MATCH(128,'كشف الحساب'!$N$4:$N$203,0),0)=0,"",INDEX('كشف الحساب'!$J$4:$J$203,IFERROR(MATCH(128,'كشف الحساب'!$N$4:$N$203,0),0))),"")</f>
        <v/>
      </c>
      <c r="K132" s="111" t="str">
        <f aca="false">IFERROR(IF(IFERROR(MATCH(128,'كشف الحساب'!$N$4:$N$203,0),0)=0,"",INDEX('كشف الحساب'!$K$4:$K$203,IFERROR(MATCH(128,'كشف الحساب'!$N$4:$N$203,0),0))),"")</f>
        <v/>
      </c>
    </row>
    <row r="133" customFormat="false" ht="15" hidden="true" customHeight="true" outlineLevel="0" collapsed="false">
      <c r="A133" s="104" t="str">
        <f aca="false">IFERROR(IF(IFERROR(MATCH(129,'كشف الحساب'!$N$4:$N$203,0),0)=0,"",INDEX('كشف الحساب'!$A$4:$A$203,IFERROR(MATCH(129,'كشف الحساب'!$N$4:$N$203,0),0))),"")</f>
        <v/>
      </c>
      <c r="B133" s="105" t="str">
        <f aca="false">IFERROR(IF(IFERROR(MATCH(129,'كشف الحساب'!$N$4:$N$203,0),0)=0,"",INDEX('كشف الحساب'!$B$4:$B$203,IFERROR(MATCH(129,'كشف الحساب'!$N$4:$N$203,0),0))),"")</f>
        <v/>
      </c>
      <c r="C133" s="106" t="str">
        <f aca="false">IFERROR(IF(IFERROR(MATCH(129,'كشف الحساب'!$N$4:$N$203,0),0)=0,"",INDEX('كشف الحساب'!$C$4:$C$203,IFERROR(MATCH(129,'كشف الحساب'!$N$4:$N$203,0),0))),"")</f>
        <v/>
      </c>
      <c r="D133" s="107" t="str">
        <f aca="false">IFERROR(IF(IFERROR(MATCH(129,'كشف الحساب'!$N$4:$N$203,0),0)=0,"",INDEX('كشف الحساب'!$D$4:$D$203,IFERROR(MATCH(129,'كشف الحساب'!$N$4:$N$203,0),0))),"")</f>
        <v/>
      </c>
      <c r="E133" s="108" t="str">
        <f aca="false">IFERROR(IF(IFERROR(MATCH(129,'كشف الحساب'!$N$4:$N$203,0),0)=0,"",INDEX('كشف الحساب'!$E$4:$E$203,IFERROR(MATCH(129,'كشف الحساب'!$N$4:$N$203,0),0))),"")</f>
        <v/>
      </c>
      <c r="F133" s="105" t="str">
        <f aca="false">IFERROR(IF(IFERROR(MATCH(129,'كشف الحساب'!$N$4:$N$203,0),0)=0,"",INDEX('كشف الحساب'!$F$4:$F$203,IFERROR(MATCH(129,'كشف الحساب'!$N$4:$N$203,0),0))),"")</f>
        <v/>
      </c>
      <c r="G133" s="105" t="str">
        <f aca="false">IFERROR(IF(IFERROR(MATCH(129,'كشف الحساب'!$N$4:$N$203,0),0)=0,"",INDEX('كشف الحساب'!$G$4:$G$203,IFERROR(MATCH(129,'كشف الحساب'!$N$4:$N$203,0),0))),"")</f>
        <v/>
      </c>
      <c r="H133" s="105" t="str">
        <f aca="false">IFERROR(IF(IFERROR(MATCH(129,'كشف الحساب'!$N$4:$N$203,0),0)=0,"",INDEX('كشف الحساب'!$H$4:$H$203,IFERROR(MATCH(129,'كشف الحساب'!$N$4:$N$203,0),0))),"")</f>
        <v/>
      </c>
      <c r="I133" s="105" t="str">
        <f aca="false">IFERROR(IF(IFERROR(MATCH(129,'كشف الحساب'!$N$4:$N$203,0),0)=0,"",INDEX('كشف الحساب'!$I$4:$I$203,IFERROR(MATCH(129,'كشف الحساب'!$N$4:$N$203,0),0))),"")</f>
        <v/>
      </c>
      <c r="J133" s="109" t="str">
        <f aca="false">IFERROR(IF(IFERROR(MATCH(129,'كشف الحساب'!$N$4:$N$203,0),0)=0,"",INDEX('كشف الحساب'!$J$4:$J$203,IFERROR(MATCH(129,'كشف الحساب'!$N$4:$N$203,0),0))),"")</f>
        <v/>
      </c>
      <c r="K133" s="105" t="str">
        <f aca="false">IFERROR(IF(IFERROR(MATCH(129,'كشف الحساب'!$N$4:$N$203,0),0)=0,"",INDEX('كشف الحساب'!$K$4:$K$203,IFERROR(MATCH(129,'كشف الحساب'!$N$4:$N$203,0),0))),"")</f>
        <v/>
      </c>
    </row>
    <row r="134" customFormat="false" ht="15" hidden="true" customHeight="true" outlineLevel="0" collapsed="false">
      <c r="A134" s="110" t="str">
        <f aca="false">IFERROR(IF(IFERROR(MATCH(130,'كشف الحساب'!$N$4:$N$203,0),0)=0,"",INDEX('كشف الحساب'!$A$4:$A$203,IFERROR(MATCH(130,'كشف الحساب'!$N$4:$N$203,0),0))),"")</f>
        <v/>
      </c>
      <c r="B134" s="111" t="str">
        <f aca="false">IFERROR(IF(IFERROR(MATCH(130,'كشف الحساب'!$N$4:$N$203,0),0)=0,"",INDEX('كشف الحساب'!$B$4:$B$203,IFERROR(MATCH(130,'كشف الحساب'!$N$4:$N$203,0),0))),"")</f>
        <v/>
      </c>
      <c r="C134" s="112" t="str">
        <f aca="false">IFERROR(IF(IFERROR(MATCH(130,'كشف الحساب'!$N$4:$N$203,0),0)=0,"",INDEX('كشف الحساب'!$C$4:$C$203,IFERROR(MATCH(130,'كشف الحساب'!$N$4:$N$203,0),0))),"")</f>
        <v/>
      </c>
      <c r="D134" s="113" t="str">
        <f aca="false">IFERROR(IF(IFERROR(MATCH(130,'كشف الحساب'!$N$4:$N$203,0),0)=0,"",INDEX('كشف الحساب'!$D$4:$D$203,IFERROR(MATCH(130,'كشف الحساب'!$N$4:$N$203,0),0))),"")</f>
        <v/>
      </c>
      <c r="E134" s="114" t="str">
        <f aca="false">IFERROR(IF(IFERROR(MATCH(130,'كشف الحساب'!$N$4:$N$203,0),0)=0,"",INDEX('كشف الحساب'!$E$4:$E$203,IFERROR(MATCH(130,'كشف الحساب'!$N$4:$N$203,0),0))),"")</f>
        <v/>
      </c>
      <c r="F134" s="111" t="str">
        <f aca="false">IFERROR(IF(IFERROR(MATCH(130,'كشف الحساب'!$N$4:$N$203,0),0)=0,"",INDEX('كشف الحساب'!$F$4:$F$203,IFERROR(MATCH(130,'كشف الحساب'!$N$4:$N$203,0),0))),"")</f>
        <v/>
      </c>
      <c r="G134" s="111" t="str">
        <f aca="false">IFERROR(IF(IFERROR(MATCH(130,'كشف الحساب'!$N$4:$N$203,0),0)=0,"",INDEX('كشف الحساب'!$G$4:$G$203,IFERROR(MATCH(130,'كشف الحساب'!$N$4:$N$203,0),0))),"")</f>
        <v/>
      </c>
      <c r="H134" s="111" t="str">
        <f aca="false">IFERROR(IF(IFERROR(MATCH(130,'كشف الحساب'!$N$4:$N$203,0),0)=0,"",INDEX('كشف الحساب'!$H$4:$H$203,IFERROR(MATCH(130,'كشف الحساب'!$N$4:$N$203,0),0))),"")</f>
        <v/>
      </c>
      <c r="I134" s="111" t="str">
        <f aca="false">IFERROR(IF(IFERROR(MATCH(130,'كشف الحساب'!$N$4:$N$203,0),0)=0,"",INDEX('كشف الحساب'!$I$4:$I$203,IFERROR(MATCH(130,'كشف الحساب'!$N$4:$N$203,0),0))),"")</f>
        <v/>
      </c>
      <c r="J134" s="115" t="str">
        <f aca="false">IFERROR(IF(IFERROR(MATCH(130,'كشف الحساب'!$N$4:$N$203,0),0)=0,"",INDEX('كشف الحساب'!$J$4:$J$203,IFERROR(MATCH(130,'كشف الحساب'!$N$4:$N$203,0),0))),"")</f>
        <v/>
      </c>
      <c r="K134" s="111" t="str">
        <f aca="false">IFERROR(IF(IFERROR(MATCH(130,'كشف الحساب'!$N$4:$N$203,0),0)=0,"",INDEX('كشف الحساب'!$K$4:$K$203,IFERROR(MATCH(130,'كشف الحساب'!$N$4:$N$203,0),0))),"")</f>
        <v/>
      </c>
    </row>
    <row r="135" customFormat="false" ht="15" hidden="true" customHeight="true" outlineLevel="0" collapsed="false">
      <c r="A135" s="104" t="str">
        <f aca="false">IFERROR(IF(IFERROR(MATCH(131,'كشف الحساب'!$N$4:$N$203,0),0)=0,"",INDEX('كشف الحساب'!$A$4:$A$203,IFERROR(MATCH(131,'كشف الحساب'!$N$4:$N$203,0),0))),"")</f>
        <v/>
      </c>
      <c r="B135" s="105" t="str">
        <f aca="false">IFERROR(IF(IFERROR(MATCH(131,'كشف الحساب'!$N$4:$N$203,0),0)=0,"",INDEX('كشف الحساب'!$B$4:$B$203,IFERROR(MATCH(131,'كشف الحساب'!$N$4:$N$203,0),0))),"")</f>
        <v/>
      </c>
      <c r="C135" s="106" t="str">
        <f aca="false">IFERROR(IF(IFERROR(MATCH(131,'كشف الحساب'!$N$4:$N$203,0),0)=0,"",INDEX('كشف الحساب'!$C$4:$C$203,IFERROR(MATCH(131,'كشف الحساب'!$N$4:$N$203,0),0))),"")</f>
        <v/>
      </c>
      <c r="D135" s="107" t="str">
        <f aca="false">IFERROR(IF(IFERROR(MATCH(131,'كشف الحساب'!$N$4:$N$203,0),0)=0,"",INDEX('كشف الحساب'!$D$4:$D$203,IFERROR(MATCH(131,'كشف الحساب'!$N$4:$N$203,0),0))),"")</f>
        <v/>
      </c>
      <c r="E135" s="108" t="str">
        <f aca="false">IFERROR(IF(IFERROR(MATCH(131,'كشف الحساب'!$N$4:$N$203,0),0)=0,"",INDEX('كشف الحساب'!$E$4:$E$203,IFERROR(MATCH(131,'كشف الحساب'!$N$4:$N$203,0),0))),"")</f>
        <v/>
      </c>
      <c r="F135" s="105" t="str">
        <f aca="false">IFERROR(IF(IFERROR(MATCH(131,'كشف الحساب'!$N$4:$N$203,0),0)=0,"",INDEX('كشف الحساب'!$F$4:$F$203,IFERROR(MATCH(131,'كشف الحساب'!$N$4:$N$203,0),0))),"")</f>
        <v/>
      </c>
      <c r="G135" s="105" t="str">
        <f aca="false">IFERROR(IF(IFERROR(MATCH(131,'كشف الحساب'!$N$4:$N$203,0),0)=0,"",INDEX('كشف الحساب'!$G$4:$G$203,IFERROR(MATCH(131,'كشف الحساب'!$N$4:$N$203,0),0))),"")</f>
        <v/>
      </c>
      <c r="H135" s="105" t="str">
        <f aca="false">IFERROR(IF(IFERROR(MATCH(131,'كشف الحساب'!$N$4:$N$203,0),0)=0,"",INDEX('كشف الحساب'!$H$4:$H$203,IFERROR(MATCH(131,'كشف الحساب'!$N$4:$N$203,0),0))),"")</f>
        <v/>
      </c>
      <c r="I135" s="105" t="str">
        <f aca="false">IFERROR(IF(IFERROR(MATCH(131,'كشف الحساب'!$N$4:$N$203,0),0)=0,"",INDEX('كشف الحساب'!$I$4:$I$203,IFERROR(MATCH(131,'كشف الحساب'!$N$4:$N$203,0),0))),"")</f>
        <v/>
      </c>
      <c r="J135" s="109" t="str">
        <f aca="false">IFERROR(IF(IFERROR(MATCH(131,'كشف الحساب'!$N$4:$N$203,0),0)=0,"",INDEX('كشف الحساب'!$J$4:$J$203,IFERROR(MATCH(131,'كشف الحساب'!$N$4:$N$203,0),0))),"")</f>
        <v/>
      </c>
      <c r="K135" s="105" t="str">
        <f aca="false">IFERROR(IF(IFERROR(MATCH(131,'كشف الحساب'!$N$4:$N$203,0),0)=0,"",INDEX('كشف الحساب'!$K$4:$K$203,IFERROR(MATCH(131,'كشف الحساب'!$N$4:$N$203,0),0))),"")</f>
        <v/>
      </c>
    </row>
    <row r="136" customFormat="false" ht="15" hidden="true" customHeight="true" outlineLevel="0" collapsed="false">
      <c r="A136" s="110" t="str">
        <f aca="false">IFERROR(IF(IFERROR(MATCH(132,'كشف الحساب'!$N$4:$N$203,0),0)=0,"",INDEX('كشف الحساب'!$A$4:$A$203,IFERROR(MATCH(132,'كشف الحساب'!$N$4:$N$203,0),0))),"")</f>
        <v/>
      </c>
      <c r="B136" s="111" t="str">
        <f aca="false">IFERROR(IF(IFERROR(MATCH(132,'كشف الحساب'!$N$4:$N$203,0),0)=0,"",INDEX('كشف الحساب'!$B$4:$B$203,IFERROR(MATCH(132,'كشف الحساب'!$N$4:$N$203,0),0))),"")</f>
        <v/>
      </c>
      <c r="C136" s="112" t="str">
        <f aca="false">IFERROR(IF(IFERROR(MATCH(132,'كشف الحساب'!$N$4:$N$203,0),0)=0,"",INDEX('كشف الحساب'!$C$4:$C$203,IFERROR(MATCH(132,'كشف الحساب'!$N$4:$N$203,0),0))),"")</f>
        <v/>
      </c>
      <c r="D136" s="113" t="str">
        <f aca="false">IFERROR(IF(IFERROR(MATCH(132,'كشف الحساب'!$N$4:$N$203,0),0)=0,"",INDEX('كشف الحساب'!$D$4:$D$203,IFERROR(MATCH(132,'كشف الحساب'!$N$4:$N$203,0),0))),"")</f>
        <v/>
      </c>
      <c r="E136" s="114" t="str">
        <f aca="false">IFERROR(IF(IFERROR(MATCH(132,'كشف الحساب'!$N$4:$N$203,0),0)=0,"",INDEX('كشف الحساب'!$E$4:$E$203,IFERROR(MATCH(132,'كشف الحساب'!$N$4:$N$203,0),0))),"")</f>
        <v/>
      </c>
      <c r="F136" s="111" t="str">
        <f aca="false">IFERROR(IF(IFERROR(MATCH(132,'كشف الحساب'!$N$4:$N$203,0),0)=0,"",INDEX('كشف الحساب'!$F$4:$F$203,IFERROR(MATCH(132,'كشف الحساب'!$N$4:$N$203,0),0))),"")</f>
        <v/>
      </c>
      <c r="G136" s="111" t="str">
        <f aca="false">IFERROR(IF(IFERROR(MATCH(132,'كشف الحساب'!$N$4:$N$203,0),0)=0,"",INDEX('كشف الحساب'!$G$4:$G$203,IFERROR(MATCH(132,'كشف الحساب'!$N$4:$N$203,0),0))),"")</f>
        <v/>
      </c>
      <c r="H136" s="111" t="str">
        <f aca="false">IFERROR(IF(IFERROR(MATCH(132,'كشف الحساب'!$N$4:$N$203,0),0)=0,"",INDEX('كشف الحساب'!$H$4:$H$203,IFERROR(MATCH(132,'كشف الحساب'!$N$4:$N$203,0),0))),"")</f>
        <v/>
      </c>
      <c r="I136" s="111" t="str">
        <f aca="false">IFERROR(IF(IFERROR(MATCH(132,'كشف الحساب'!$N$4:$N$203,0),0)=0,"",INDEX('كشف الحساب'!$I$4:$I$203,IFERROR(MATCH(132,'كشف الحساب'!$N$4:$N$203,0),0))),"")</f>
        <v/>
      </c>
      <c r="J136" s="115" t="str">
        <f aca="false">IFERROR(IF(IFERROR(MATCH(132,'كشف الحساب'!$N$4:$N$203,0),0)=0,"",INDEX('كشف الحساب'!$J$4:$J$203,IFERROR(MATCH(132,'كشف الحساب'!$N$4:$N$203,0),0))),"")</f>
        <v/>
      </c>
      <c r="K136" s="111" t="str">
        <f aca="false">IFERROR(IF(IFERROR(MATCH(132,'كشف الحساب'!$N$4:$N$203,0),0)=0,"",INDEX('كشف الحساب'!$K$4:$K$203,IFERROR(MATCH(132,'كشف الحساب'!$N$4:$N$203,0),0))),"")</f>
        <v/>
      </c>
    </row>
    <row r="137" customFormat="false" ht="15" hidden="true" customHeight="true" outlineLevel="0" collapsed="false">
      <c r="A137" s="104" t="str">
        <f aca="false">IFERROR(IF(IFERROR(MATCH(133,'كشف الحساب'!$N$4:$N$203,0),0)=0,"",INDEX('كشف الحساب'!$A$4:$A$203,IFERROR(MATCH(133,'كشف الحساب'!$N$4:$N$203,0),0))),"")</f>
        <v/>
      </c>
      <c r="B137" s="105" t="str">
        <f aca="false">IFERROR(IF(IFERROR(MATCH(133,'كشف الحساب'!$N$4:$N$203,0),0)=0,"",INDEX('كشف الحساب'!$B$4:$B$203,IFERROR(MATCH(133,'كشف الحساب'!$N$4:$N$203,0),0))),"")</f>
        <v/>
      </c>
      <c r="C137" s="106" t="str">
        <f aca="false">IFERROR(IF(IFERROR(MATCH(133,'كشف الحساب'!$N$4:$N$203,0),0)=0,"",INDEX('كشف الحساب'!$C$4:$C$203,IFERROR(MATCH(133,'كشف الحساب'!$N$4:$N$203,0),0))),"")</f>
        <v/>
      </c>
      <c r="D137" s="107" t="str">
        <f aca="false">IFERROR(IF(IFERROR(MATCH(133,'كشف الحساب'!$N$4:$N$203,0),0)=0,"",INDEX('كشف الحساب'!$D$4:$D$203,IFERROR(MATCH(133,'كشف الحساب'!$N$4:$N$203,0),0))),"")</f>
        <v/>
      </c>
      <c r="E137" s="108" t="str">
        <f aca="false">IFERROR(IF(IFERROR(MATCH(133,'كشف الحساب'!$N$4:$N$203,0),0)=0,"",INDEX('كشف الحساب'!$E$4:$E$203,IFERROR(MATCH(133,'كشف الحساب'!$N$4:$N$203,0),0))),"")</f>
        <v/>
      </c>
      <c r="F137" s="105" t="str">
        <f aca="false">IFERROR(IF(IFERROR(MATCH(133,'كشف الحساب'!$N$4:$N$203,0),0)=0,"",INDEX('كشف الحساب'!$F$4:$F$203,IFERROR(MATCH(133,'كشف الحساب'!$N$4:$N$203,0),0))),"")</f>
        <v/>
      </c>
      <c r="G137" s="105" t="str">
        <f aca="false">IFERROR(IF(IFERROR(MATCH(133,'كشف الحساب'!$N$4:$N$203,0),0)=0,"",INDEX('كشف الحساب'!$G$4:$G$203,IFERROR(MATCH(133,'كشف الحساب'!$N$4:$N$203,0),0))),"")</f>
        <v/>
      </c>
      <c r="H137" s="105" t="str">
        <f aca="false">IFERROR(IF(IFERROR(MATCH(133,'كشف الحساب'!$N$4:$N$203,0),0)=0,"",INDEX('كشف الحساب'!$H$4:$H$203,IFERROR(MATCH(133,'كشف الحساب'!$N$4:$N$203,0),0))),"")</f>
        <v/>
      </c>
      <c r="I137" s="105" t="str">
        <f aca="false">IFERROR(IF(IFERROR(MATCH(133,'كشف الحساب'!$N$4:$N$203,0),0)=0,"",INDEX('كشف الحساب'!$I$4:$I$203,IFERROR(MATCH(133,'كشف الحساب'!$N$4:$N$203,0),0))),"")</f>
        <v/>
      </c>
      <c r="J137" s="109" t="str">
        <f aca="false">IFERROR(IF(IFERROR(MATCH(133,'كشف الحساب'!$N$4:$N$203,0),0)=0,"",INDEX('كشف الحساب'!$J$4:$J$203,IFERROR(MATCH(133,'كشف الحساب'!$N$4:$N$203,0),0))),"")</f>
        <v/>
      </c>
      <c r="K137" s="105" t="str">
        <f aca="false">IFERROR(IF(IFERROR(MATCH(133,'كشف الحساب'!$N$4:$N$203,0),0)=0,"",INDEX('كشف الحساب'!$K$4:$K$203,IFERROR(MATCH(133,'كشف الحساب'!$N$4:$N$203,0),0))),"")</f>
        <v/>
      </c>
    </row>
    <row r="138" customFormat="false" ht="15" hidden="true" customHeight="true" outlineLevel="0" collapsed="false">
      <c r="A138" s="110" t="str">
        <f aca="false">IFERROR(IF(IFERROR(MATCH(134,'كشف الحساب'!$N$4:$N$203,0),0)=0,"",INDEX('كشف الحساب'!$A$4:$A$203,IFERROR(MATCH(134,'كشف الحساب'!$N$4:$N$203,0),0))),"")</f>
        <v/>
      </c>
      <c r="B138" s="111" t="str">
        <f aca="false">IFERROR(IF(IFERROR(MATCH(134,'كشف الحساب'!$N$4:$N$203,0),0)=0,"",INDEX('كشف الحساب'!$B$4:$B$203,IFERROR(MATCH(134,'كشف الحساب'!$N$4:$N$203,0),0))),"")</f>
        <v/>
      </c>
      <c r="C138" s="112" t="str">
        <f aca="false">IFERROR(IF(IFERROR(MATCH(134,'كشف الحساب'!$N$4:$N$203,0),0)=0,"",INDEX('كشف الحساب'!$C$4:$C$203,IFERROR(MATCH(134,'كشف الحساب'!$N$4:$N$203,0),0))),"")</f>
        <v/>
      </c>
      <c r="D138" s="113" t="str">
        <f aca="false">IFERROR(IF(IFERROR(MATCH(134,'كشف الحساب'!$N$4:$N$203,0),0)=0,"",INDEX('كشف الحساب'!$D$4:$D$203,IFERROR(MATCH(134,'كشف الحساب'!$N$4:$N$203,0),0))),"")</f>
        <v/>
      </c>
      <c r="E138" s="114" t="str">
        <f aca="false">IFERROR(IF(IFERROR(MATCH(134,'كشف الحساب'!$N$4:$N$203,0),0)=0,"",INDEX('كشف الحساب'!$E$4:$E$203,IFERROR(MATCH(134,'كشف الحساب'!$N$4:$N$203,0),0))),"")</f>
        <v/>
      </c>
      <c r="F138" s="111" t="str">
        <f aca="false">IFERROR(IF(IFERROR(MATCH(134,'كشف الحساب'!$N$4:$N$203,0),0)=0,"",INDEX('كشف الحساب'!$F$4:$F$203,IFERROR(MATCH(134,'كشف الحساب'!$N$4:$N$203,0),0))),"")</f>
        <v/>
      </c>
      <c r="G138" s="111" t="str">
        <f aca="false">IFERROR(IF(IFERROR(MATCH(134,'كشف الحساب'!$N$4:$N$203,0),0)=0,"",INDEX('كشف الحساب'!$G$4:$G$203,IFERROR(MATCH(134,'كشف الحساب'!$N$4:$N$203,0),0))),"")</f>
        <v/>
      </c>
      <c r="H138" s="111" t="str">
        <f aca="false">IFERROR(IF(IFERROR(MATCH(134,'كشف الحساب'!$N$4:$N$203,0),0)=0,"",INDEX('كشف الحساب'!$H$4:$H$203,IFERROR(MATCH(134,'كشف الحساب'!$N$4:$N$203,0),0))),"")</f>
        <v/>
      </c>
      <c r="I138" s="111" t="str">
        <f aca="false">IFERROR(IF(IFERROR(MATCH(134,'كشف الحساب'!$N$4:$N$203,0),0)=0,"",INDEX('كشف الحساب'!$I$4:$I$203,IFERROR(MATCH(134,'كشف الحساب'!$N$4:$N$203,0),0))),"")</f>
        <v/>
      </c>
      <c r="J138" s="115" t="str">
        <f aca="false">IFERROR(IF(IFERROR(MATCH(134,'كشف الحساب'!$N$4:$N$203,0),0)=0,"",INDEX('كشف الحساب'!$J$4:$J$203,IFERROR(MATCH(134,'كشف الحساب'!$N$4:$N$203,0),0))),"")</f>
        <v/>
      </c>
      <c r="K138" s="111" t="str">
        <f aca="false">IFERROR(IF(IFERROR(MATCH(134,'كشف الحساب'!$N$4:$N$203,0),0)=0,"",INDEX('كشف الحساب'!$K$4:$K$203,IFERROR(MATCH(134,'كشف الحساب'!$N$4:$N$203,0),0))),"")</f>
        <v/>
      </c>
    </row>
    <row r="139" customFormat="false" ht="15" hidden="true" customHeight="true" outlineLevel="0" collapsed="false">
      <c r="A139" s="104" t="str">
        <f aca="false">IFERROR(IF(IFERROR(MATCH(135,'كشف الحساب'!$N$4:$N$203,0),0)=0,"",INDEX('كشف الحساب'!$A$4:$A$203,IFERROR(MATCH(135,'كشف الحساب'!$N$4:$N$203,0),0))),"")</f>
        <v/>
      </c>
      <c r="B139" s="105" t="str">
        <f aca="false">IFERROR(IF(IFERROR(MATCH(135,'كشف الحساب'!$N$4:$N$203,0),0)=0,"",INDEX('كشف الحساب'!$B$4:$B$203,IFERROR(MATCH(135,'كشف الحساب'!$N$4:$N$203,0),0))),"")</f>
        <v/>
      </c>
      <c r="C139" s="106" t="str">
        <f aca="false">IFERROR(IF(IFERROR(MATCH(135,'كشف الحساب'!$N$4:$N$203,0),0)=0,"",INDEX('كشف الحساب'!$C$4:$C$203,IFERROR(MATCH(135,'كشف الحساب'!$N$4:$N$203,0),0))),"")</f>
        <v/>
      </c>
      <c r="D139" s="107" t="str">
        <f aca="false">IFERROR(IF(IFERROR(MATCH(135,'كشف الحساب'!$N$4:$N$203,0),0)=0,"",INDEX('كشف الحساب'!$D$4:$D$203,IFERROR(MATCH(135,'كشف الحساب'!$N$4:$N$203,0),0))),"")</f>
        <v/>
      </c>
      <c r="E139" s="108" t="str">
        <f aca="false">IFERROR(IF(IFERROR(MATCH(135,'كشف الحساب'!$N$4:$N$203,0),0)=0,"",INDEX('كشف الحساب'!$E$4:$E$203,IFERROR(MATCH(135,'كشف الحساب'!$N$4:$N$203,0),0))),"")</f>
        <v/>
      </c>
      <c r="F139" s="105" t="str">
        <f aca="false">IFERROR(IF(IFERROR(MATCH(135,'كشف الحساب'!$N$4:$N$203,0),0)=0,"",INDEX('كشف الحساب'!$F$4:$F$203,IFERROR(MATCH(135,'كشف الحساب'!$N$4:$N$203,0),0))),"")</f>
        <v/>
      </c>
      <c r="G139" s="105" t="str">
        <f aca="false">IFERROR(IF(IFERROR(MATCH(135,'كشف الحساب'!$N$4:$N$203,0),0)=0,"",INDEX('كشف الحساب'!$G$4:$G$203,IFERROR(MATCH(135,'كشف الحساب'!$N$4:$N$203,0),0))),"")</f>
        <v/>
      </c>
      <c r="H139" s="105" t="str">
        <f aca="false">IFERROR(IF(IFERROR(MATCH(135,'كشف الحساب'!$N$4:$N$203,0),0)=0,"",INDEX('كشف الحساب'!$H$4:$H$203,IFERROR(MATCH(135,'كشف الحساب'!$N$4:$N$203,0),0))),"")</f>
        <v/>
      </c>
      <c r="I139" s="105" t="str">
        <f aca="false">IFERROR(IF(IFERROR(MATCH(135,'كشف الحساب'!$N$4:$N$203,0),0)=0,"",INDEX('كشف الحساب'!$I$4:$I$203,IFERROR(MATCH(135,'كشف الحساب'!$N$4:$N$203,0),0))),"")</f>
        <v/>
      </c>
      <c r="J139" s="109" t="str">
        <f aca="false">IFERROR(IF(IFERROR(MATCH(135,'كشف الحساب'!$N$4:$N$203,0),0)=0,"",INDEX('كشف الحساب'!$J$4:$J$203,IFERROR(MATCH(135,'كشف الحساب'!$N$4:$N$203,0),0))),"")</f>
        <v/>
      </c>
      <c r="K139" s="105" t="str">
        <f aca="false">IFERROR(IF(IFERROR(MATCH(135,'كشف الحساب'!$N$4:$N$203,0),0)=0,"",INDEX('كشف الحساب'!$K$4:$K$203,IFERROR(MATCH(135,'كشف الحساب'!$N$4:$N$203,0),0))),"")</f>
        <v/>
      </c>
    </row>
    <row r="140" customFormat="false" ht="15" hidden="true" customHeight="true" outlineLevel="0" collapsed="false">
      <c r="A140" s="110" t="str">
        <f aca="false">IFERROR(IF(IFERROR(MATCH(136,'كشف الحساب'!$N$4:$N$203,0),0)=0,"",INDEX('كشف الحساب'!$A$4:$A$203,IFERROR(MATCH(136,'كشف الحساب'!$N$4:$N$203,0),0))),"")</f>
        <v/>
      </c>
      <c r="B140" s="111" t="str">
        <f aca="false">IFERROR(IF(IFERROR(MATCH(136,'كشف الحساب'!$N$4:$N$203,0),0)=0,"",INDEX('كشف الحساب'!$B$4:$B$203,IFERROR(MATCH(136,'كشف الحساب'!$N$4:$N$203,0),0))),"")</f>
        <v/>
      </c>
      <c r="C140" s="112" t="str">
        <f aca="false">IFERROR(IF(IFERROR(MATCH(136,'كشف الحساب'!$N$4:$N$203,0),0)=0,"",INDEX('كشف الحساب'!$C$4:$C$203,IFERROR(MATCH(136,'كشف الحساب'!$N$4:$N$203,0),0))),"")</f>
        <v/>
      </c>
      <c r="D140" s="113" t="str">
        <f aca="false">IFERROR(IF(IFERROR(MATCH(136,'كشف الحساب'!$N$4:$N$203,0),0)=0,"",INDEX('كشف الحساب'!$D$4:$D$203,IFERROR(MATCH(136,'كشف الحساب'!$N$4:$N$203,0),0))),"")</f>
        <v/>
      </c>
      <c r="E140" s="114" t="str">
        <f aca="false">IFERROR(IF(IFERROR(MATCH(136,'كشف الحساب'!$N$4:$N$203,0),0)=0,"",INDEX('كشف الحساب'!$E$4:$E$203,IFERROR(MATCH(136,'كشف الحساب'!$N$4:$N$203,0),0))),"")</f>
        <v/>
      </c>
      <c r="F140" s="111" t="str">
        <f aca="false">IFERROR(IF(IFERROR(MATCH(136,'كشف الحساب'!$N$4:$N$203,0),0)=0,"",INDEX('كشف الحساب'!$F$4:$F$203,IFERROR(MATCH(136,'كشف الحساب'!$N$4:$N$203,0),0))),"")</f>
        <v/>
      </c>
      <c r="G140" s="111" t="str">
        <f aca="false">IFERROR(IF(IFERROR(MATCH(136,'كشف الحساب'!$N$4:$N$203,0),0)=0,"",INDEX('كشف الحساب'!$G$4:$G$203,IFERROR(MATCH(136,'كشف الحساب'!$N$4:$N$203,0),0))),"")</f>
        <v/>
      </c>
      <c r="H140" s="111" t="str">
        <f aca="false">IFERROR(IF(IFERROR(MATCH(136,'كشف الحساب'!$N$4:$N$203,0),0)=0,"",INDEX('كشف الحساب'!$H$4:$H$203,IFERROR(MATCH(136,'كشف الحساب'!$N$4:$N$203,0),0))),"")</f>
        <v/>
      </c>
      <c r="I140" s="111" t="str">
        <f aca="false">IFERROR(IF(IFERROR(MATCH(136,'كشف الحساب'!$N$4:$N$203,0),0)=0,"",INDEX('كشف الحساب'!$I$4:$I$203,IFERROR(MATCH(136,'كشف الحساب'!$N$4:$N$203,0),0))),"")</f>
        <v/>
      </c>
      <c r="J140" s="115" t="str">
        <f aca="false">IFERROR(IF(IFERROR(MATCH(136,'كشف الحساب'!$N$4:$N$203,0),0)=0,"",INDEX('كشف الحساب'!$J$4:$J$203,IFERROR(MATCH(136,'كشف الحساب'!$N$4:$N$203,0),0))),"")</f>
        <v/>
      </c>
      <c r="K140" s="111" t="str">
        <f aca="false">IFERROR(IF(IFERROR(MATCH(136,'كشف الحساب'!$N$4:$N$203,0),0)=0,"",INDEX('كشف الحساب'!$K$4:$K$203,IFERROR(MATCH(136,'كشف الحساب'!$N$4:$N$203,0),0))),"")</f>
        <v/>
      </c>
    </row>
    <row r="141" customFormat="false" ht="15" hidden="true" customHeight="true" outlineLevel="0" collapsed="false">
      <c r="A141" s="104" t="str">
        <f aca="false">IFERROR(IF(IFERROR(MATCH(137,'كشف الحساب'!$N$4:$N$203,0),0)=0,"",INDEX('كشف الحساب'!$A$4:$A$203,IFERROR(MATCH(137,'كشف الحساب'!$N$4:$N$203,0),0))),"")</f>
        <v/>
      </c>
      <c r="B141" s="105" t="str">
        <f aca="false">IFERROR(IF(IFERROR(MATCH(137,'كشف الحساب'!$N$4:$N$203,0),0)=0,"",INDEX('كشف الحساب'!$B$4:$B$203,IFERROR(MATCH(137,'كشف الحساب'!$N$4:$N$203,0),0))),"")</f>
        <v/>
      </c>
      <c r="C141" s="106" t="str">
        <f aca="false">IFERROR(IF(IFERROR(MATCH(137,'كشف الحساب'!$N$4:$N$203,0),0)=0,"",INDEX('كشف الحساب'!$C$4:$C$203,IFERROR(MATCH(137,'كشف الحساب'!$N$4:$N$203,0),0))),"")</f>
        <v/>
      </c>
      <c r="D141" s="107" t="str">
        <f aca="false">IFERROR(IF(IFERROR(MATCH(137,'كشف الحساب'!$N$4:$N$203,0),0)=0,"",INDEX('كشف الحساب'!$D$4:$D$203,IFERROR(MATCH(137,'كشف الحساب'!$N$4:$N$203,0),0))),"")</f>
        <v/>
      </c>
      <c r="E141" s="108" t="str">
        <f aca="false">IFERROR(IF(IFERROR(MATCH(137,'كشف الحساب'!$N$4:$N$203,0),0)=0,"",INDEX('كشف الحساب'!$E$4:$E$203,IFERROR(MATCH(137,'كشف الحساب'!$N$4:$N$203,0),0))),"")</f>
        <v/>
      </c>
      <c r="F141" s="105" t="str">
        <f aca="false">IFERROR(IF(IFERROR(MATCH(137,'كشف الحساب'!$N$4:$N$203,0),0)=0,"",INDEX('كشف الحساب'!$F$4:$F$203,IFERROR(MATCH(137,'كشف الحساب'!$N$4:$N$203,0),0))),"")</f>
        <v/>
      </c>
      <c r="G141" s="105" t="str">
        <f aca="false">IFERROR(IF(IFERROR(MATCH(137,'كشف الحساب'!$N$4:$N$203,0),0)=0,"",INDEX('كشف الحساب'!$G$4:$G$203,IFERROR(MATCH(137,'كشف الحساب'!$N$4:$N$203,0),0))),"")</f>
        <v/>
      </c>
      <c r="H141" s="105" t="str">
        <f aca="false">IFERROR(IF(IFERROR(MATCH(137,'كشف الحساب'!$N$4:$N$203,0),0)=0,"",INDEX('كشف الحساب'!$H$4:$H$203,IFERROR(MATCH(137,'كشف الحساب'!$N$4:$N$203,0),0))),"")</f>
        <v/>
      </c>
      <c r="I141" s="105" t="str">
        <f aca="false">IFERROR(IF(IFERROR(MATCH(137,'كشف الحساب'!$N$4:$N$203,0),0)=0,"",INDEX('كشف الحساب'!$I$4:$I$203,IFERROR(MATCH(137,'كشف الحساب'!$N$4:$N$203,0),0))),"")</f>
        <v/>
      </c>
      <c r="J141" s="109" t="str">
        <f aca="false">IFERROR(IF(IFERROR(MATCH(137,'كشف الحساب'!$N$4:$N$203,0),0)=0,"",INDEX('كشف الحساب'!$J$4:$J$203,IFERROR(MATCH(137,'كشف الحساب'!$N$4:$N$203,0),0))),"")</f>
        <v/>
      </c>
      <c r="K141" s="105" t="str">
        <f aca="false">IFERROR(IF(IFERROR(MATCH(137,'كشف الحساب'!$N$4:$N$203,0),0)=0,"",INDEX('كشف الحساب'!$K$4:$K$203,IFERROR(MATCH(137,'كشف الحساب'!$N$4:$N$203,0),0))),"")</f>
        <v/>
      </c>
    </row>
    <row r="142" customFormat="false" ht="15" hidden="true" customHeight="true" outlineLevel="0" collapsed="false">
      <c r="A142" s="110" t="str">
        <f aca="false">IFERROR(IF(IFERROR(MATCH(138,'كشف الحساب'!$N$4:$N$203,0),0)=0,"",INDEX('كشف الحساب'!$A$4:$A$203,IFERROR(MATCH(138,'كشف الحساب'!$N$4:$N$203,0),0))),"")</f>
        <v/>
      </c>
      <c r="B142" s="111" t="str">
        <f aca="false">IFERROR(IF(IFERROR(MATCH(138,'كشف الحساب'!$N$4:$N$203,0),0)=0,"",INDEX('كشف الحساب'!$B$4:$B$203,IFERROR(MATCH(138,'كشف الحساب'!$N$4:$N$203,0),0))),"")</f>
        <v/>
      </c>
      <c r="C142" s="112" t="str">
        <f aca="false">IFERROR(IF(IFERROR(MATCH(138,'كشف الحساب'!$N$4:$N$203,0),0)=0,"",INDEX('كشف الحساب'!$C$4:$C$203,IFERROR(MATCH(138,'كشف الحساب'!$N$4:$N$203,0),0))),"")</f>
        <v/>
      </c>
      <c r="D142" s="113" t="str">
        <f aca="false">IFERROR(IF(IFERROR(MATCH(138,'كشف الحساب'!$N$4:$N$203,0),0)=0,"",INDEX('كشف الحساب'!$D$4:$D$203,IFERROR(MATCH(138,'كشف الحساب'!$N$4:$N$203,0),0))),"")</f>
        <v/>
      </c>
      <c r="E142" s="114" t="str">
        <f aca="false">IFERROR(IF(IFERROR(MATCH(138,'كشف الحساب'!$N$4:$N$203,0),0)=0,"",INDEX('كشف الحساب'!$E$4:$E$203,IFERROR(MATCH(138,'كشف الحساب'!$N$4:$N$203,0),0))),"")</f>
        <v/>
      </c>
      <c r="F142" s="111" t="str">
        <f aca="false">IFERROR(IF(IFERROR(MATCH(138,'كشف الحساب'!$N$4:$N$203,0),0)=0,"",INDEX('كشف الحساب'!$F$4:$F$203,IFERROR(MATCH(138,'كشف الحساب'!$N$4:$N$203,0),0))),"")</f>
        <v/>
      </c>
      <c r="G142" s="111" t="str">
        <f aca="false">IFERROR(IF(IFERROR(MATCH(138,'كشف الحساب'!$N$4:$N$203,0),0)=0,"",INDEX('كشف الحساب'!$G$4:$G$203,IFERROR(MATCH(138,'كشف الحساب'!$N$4:$N$203,0),0))),"")</f>
        <v/>
      </c>
      <c r="H142" s="111" t="str">
        <f aca="false">IFERROR(IF(IFERROR(MATCH(138,'كشف الحساب'!$N$4:$N$203,0),0)=0,"",INDEX('كشف الحساب'!$H$4:$H$203,IFERROR(MATCH(138,'كشف الحساب'!$N$4:$N$203,0),0))),"")</f>
        <v/>
      </c>
      <c r="I142" s="111" t="str">
        <f aca="false">IFERROR(IF(IFERROR(MATCH(138,'كشف الحساب'!$N$4:$N$203,0),0)=0,"",INDEX('كشف الحساب'!$I$4:$I$203,IFERROR(MATCH(138,'كشف الحساب'!$N$4:$N$203,0),0))),"")</f>
        <v/>
      </c>
      <c r="J142" s="115" t="str">
        <f aca="false">IFERROR(IF(IFERROR(MATCH(138,'كشف الحساب'!$N$4:$N$203,0),0)=0,"",INDEX('كشف الحساب'!$J$4:$J$203,IFERROR(MATCH(138,'كشف الحساب'!$N$4:$N$203,0),0))),"")</f>
        <v/>
      </c>
      <c r="K142" s="111" t="str">
        <f aca="false">IFERROR(IF(IFERROR(MATCH(138,'كشف الحساب'!$N$4:$N$203,0),0)=0,"",INDEX('كشف الحساب'!$K$4:$K$203,IFERROR(MATCH(138,'كشف الحساب'!$N$4:$N$203,0),0))),"")</f>
        <v/>
      </c>
    </row>
    <row r="143" customFormat="false" ht="15" hidden="true" customHeight="true" outlineLevel="0" collapsed="false">
      <c r="A143" s="104" t="str">
        <f aca="false">IFERROR(IF(IFERROR(MATCH(139,'كشف الحساب'!$N$4:$N$203,0),0)=0,"",INDEX('كشف الحساب'!$A$4:$A$203,IFERROR(MATCH(139,'كشف الحساب'!$N$4:$N$203,0),0))),"")</f>
        <v/>
      </c>
      <c r="B143" s="105" t="str">
        <f aca="false">IFERROR(IF(IFERROR(MATCH(139,'كشف الحساب'!$N$4:$N$203,0),0)=0,"",INDEX('كشف الحساب'!$B$4:$B$203,IFERROR(MATCH(139,'كشف الحساب'!$N$4:$N$203,0),0))),"")</f>
        <v/>
      </c>
      <c r="C143" s="106" t="str">
        <f aca="false">IFERROR(IF(IFERROR(MATCH(139,'كشف الحساب'!$N$4:$N$203,0),0)=0,"",INDEX('كشف الحساب'!$C$4:$C$203,IFERROR(MATCH(139,'كشف الحساب'!$N$4:$N$203,0),0))),"")</f>
        <v/>
      </c>
      <c r="D143" s="107" t="str">
        <f aca="false">IFERROR(IF(IFERROR(MATCH(139,'كشف الحساب'!$N$4:$N$203,0),0)=0,"",INDEX('كشف الحساب'!$D$4:$D$203,IFERROR(MATCH(139,'كشف الحساب'!$N$4:$N$203,0),0))),"")</f>
        <v/>
      </c>
      <c r="E143" s="108" t="str">
        <f aca="false">IFERROR(IF(IFERROR(MATCH(139,'كشف الحساب'!$N$4:$N$203,0),0)=0,"",INDEX('كشف الحساب'!$E$4:$E$203,IFERROR(MATCH(139,'كشف الحساب'!$N$4:$N$203,0),0))),"")</f>
        <v/>
      </c>
      <c r="F143" s="105" t="str">
        <f aca="false">IFERROR(IF(IFERROR(MATCH(139,'كشف الحساب'!$N$4:$N$203,0),0)=0,"",INDEX('كشف الحساب'!$F$4:$F$203,IFERROR(MATCH(139,'كشف الحساب'!$N$4:$N$203,0),0))),"")</f>
        <v/>
      </c>
      <c r="G143" s="105" t="str">
        <f aca="false">IFERROR(IF(IFERROR(MATCH(139,'كشف الحساب'!$N$4:$N$203,0),0)=0,"",INDEX('كشف الحساب'!$G$4:$G$203,IFERROR(MATCH(139,'كشف الحساب'!$N$4:$N$203,0),0))),"")</f>
        <v/>
      </c>
      <c r="H143" s="105" t="str">
        <f aca="false">IFERROR(IF(IFERROR(MATCH(139,'كشف الحساب'!$N$4:$N$203,0),0)=0,"",INDEX('كشف الحساب'!$H$4:$H$203,IFERROR(MATCH(139,'كشف الحساب'!$N$4:$N$203,0),0))),"")</f>
        <v/>
      </c>
      <c r="I143" s="105" t="str">
        <f aca="false">IFERROR(IF(IFERROR(MATCH(139,'كشف الحساب'!$N$4:$N$203,0),0)=0,"",INDEX('كشف الحساب'!$I$4:$I$203,IFERROR(MATCH(139,'كشف الحساب'!$N$4:$N$203,0),0))),"")</f>
        <v/>
      </c>
      <c r="J143" s="109" t="str">
        <f aca="false">IFERROR(IF(IFERROR(MATCH(139,'كشف الحساب'!$N$4:$N$203,0),0)=0,"",INDEX('كشف الحساب'!$J$4:$J$203,IFERROR(MATCH(139,'كشف الحساب'!$N$4:$N$203,0),0))),"")</f>
        <v/>
      </c>
      <c r="K143" s="105" t="str">
        <f aca="false">IFERROR(IF(IFERROR(MATCH(139,'كشف الحساب'!$N$4:$N$203,0),0)=0,"",INDEX('كشف الحساب'!$K$4:$K$203,IFERROR(MATCH(139,'كشف الحساب'!$N$4:$N$203,0),0))),"")</f>
        <v/>
      </c>
    </row>
    <row r="144" customFormat="false" ht="15" hidden="true" customHeight="true" outlineLevel="0" collapsed="false">
      <c r="A144" s="110" t="str">
        <f aca="false">IFERROR(IF(IFERROR(MATCH(140,'كشف الحساب'!$N$4:$N$203,0),0)=0,"",INDEX('كشف الحساب'!$A$4:$A$203,IFERROR(MATCH(140,'كشف الحساب'!$N$4:$N$203,0),0))),"")</f>
        <v/>
      </c>
      <c r="B144" s="111" t="str">
        <f aca="false">IFERROR(IF(IFERROR(MATCH(140,'كشف الحساب'!$N$4:$N$203,0),0)=0,"",INDEX('كشف الحساب'!$B$4:$B$203,IFERROR(MATCH(140,'كشف الحساب'!$N$4:$N$203,0),0))),"")</f>
        <v/>
      </c>
      <c r="C144" s="112" t="str">
        <f aca="false">IFERROR(IF(IFERROR(MATCH(140,'كشف الحساب'!$N$4:$N$203,0),0)=0,"",INDEX('كشف الحساب'!$C$4:$C$203,IFERROR(MATCH(140,'كشف الحساب'!$N$4:$N$203,0),0))),"")</f>
        <v/>
      </c>
      <c r="D144" s="113" t="str">
        <f aca="false">IFERROR(IF(IFERROR(MATCH(140,'كشف الحساب'!$N$4:$N$203,0),0)=0,"",INDEX('كشف الحساب'!$D$4:$D$203,IFERROR(MATCH(140,'كشف الحساب'!$N$4:$N$203,0),0))),"")</f>
        <v/>
      </c>
      <c r="E144" s="114" t="str">
        <f aca="false">IFERROR(IF(IFERROR(MATCH(140,'كشف الحساب'!$N$4:$N$203,0),0)=0,"",INDEX('كشف الحساب'!$E$4:$E$203,IFERROR(MATCH(140,'كشف الحساب'!$N$4:$N$203,0),0))),"")</f>
        <v/>
      </c>
      <c r="F144" s="111" t="str">
        <f aca="false">IFERROR(IF(IFERROR(MATCH(140,'كشف الحساب'!$N$4:$N$203,0),0)=0,"",INDEX('كشف الحساب'!$F$4:$F$203,IFERROR(MATCH(140,'كشف الحساب'!$N$4:$N$203,0),0))),"")</f>
        <v/>
      </c>
      <c r="G144" s="111" t="str">
        <f aca="false">IFERROR(IF(IFERROR(MATCH(140,'كشف الحساب'!$N$4:$N$203,0),0)=0,"",INDEX('كشف الحساب'!$G$4:$G$203,IFERROR(MATCH(140,'كشف الحساب'!$N$4:$N$203,0),0))),"")</f>
        <v/>
      </c>
      <c r="H144" s="111" t="str">
        <f aca="false">IFERROR(IF(IFERROR(MATCH(140,'كشف الحساب'!$N$4:$N$203,0),0)=0,"",INDEX('كشف الحساب'!$H$4:$H$203,IFERROR(MATCH(140,'كشف الحساب'!$N$4:$N$203,0),0))),"")</f>
        <v/>
      </c>
      <c r="I144" s="111" t="str">
        <f aca="false">IFERROR(IF(IFERROR(MATCH(140,'كشف الحساب'!$N$4:$N$203,0),0)=0,"",INDEX('كشف الحساب'!$I$4:$I$203,IFERROR(MATCH(140,'كشف الحساب'!$N$4:$N$203,0),0))),"")</f>
        <v/>
      </c>
      <c r="J144" s="115" t="str">
        <f aca="false">IFERROR(IF(IFERROR(MATCH(140,'كشف الحساب'!$N$4:$N$203,0),0)=0,"",INDEX('كشف الحساب'!$J$4:$J$203,IFERROR(MATCH(140,'كشف الحساب'!$N$4:$N$203,0),0))),"")</f>
        <v/>
      </c>
      <c r="K144" s="111" t="str">
        <f aca="false">IFERROR(IF(IFERROR(MATCH(140,'كشف الحساب'!$N$4:$N$203,0),0)=0,"",INDEX('كشف الحساب'!$K$4:$K$203,IFERROR(MATCH(140,'كشف الحساب'!$N$4:$N$203,0),0))),"")</f>
        <v/>
      </c>
    </row>
    <row r="145" customFormat="false" ht="15" hidden="true" customHeight="true" outlineLevel="0" collapsed="false">
      <c r="A145" s="104" t="str">
        <f aca="false">IFERROR(IF(IFERROR(MATCH(141,'كشف الحساب'!$N$4:$N$203,0),0)=0,"",INDEX('كشف الحساب'!$A$4:$A$203,IFERROR(MATCH(141,'كشف الحساب'!$N$4:$N$203,0),0))),"")</f>
        <v/>
      </c>
      <c r="B145" s="105" t="str">
        <f aca="false">IFERROR(IF(IFERROR(MATCH(141,'كشف الحساب'!$N$4:$N$203,0),0)=0,"",INDEX('كشف الحساب'!$B$4:$B$203,IFERROR(MATCH(141,'كشف الحساب'!$N$4:$N$203,0),0))),"")</f>
        <v/>
      </c>
      <c r="C145" s="106" t="str">
        <f aca="false">IFERROR(IF(IFERROR(MATCH(141,'كشف الحساب'!$N$4:$N$203,0),0)=0,"",INDEX('كشف الحساب'!$C$4:$C$203,IFERROR(MATCH(141,'كشف الحساب'!$N$4:$N$203,0),0))),"")</f>
        <v/>
      </c>
      <c r="D145" s="107" t="str">
        <f aca="false">IFERROR(IF(IFERROR(MATCH(141,'كشف الحساب'!$N$4:$N$203,0),0)=0,"",INDEX('كشف الحساب'!$D$4:$D$203,IFERROR(MATCH(141,'كشف الحساب'!$N$4:$N$203,0),0))),"")</f>
        <v/>
      </c>
      <c r="E145" s="108" t="str">
        <f aca="false">IFERROR(IF(IFERROR(MATCH(141,'كشف الحساب'!$N$4:$N$203,0),0)=0,"",INDEX('كشف الحساب'!$E$4:$E$203,IFERROR(MATCH(141,'كشف الحساب'!$N$4:$N$203,0),0))),"")</f>
        <v/>
      </c>
      <c r="F145" s="105" t="str">
        <f aca="false">IFERROR(IF(IFERROR(MATCH(141,'كشف الحساب'!$N$4:$N$203,0),0)=0,"",INDEX('كشف الحساب'!$F$4:$F$203,IFERROR(MATCH(141,'كشف الحساب'!$N$4:$N$203,0),0))),"")</f>
        <v/>
      </c>
      <c r="G145" s="105" t="str">
        <f aca="false">IFERROR(IF(IFERROR(MATCH(141,'كشف الحساب'!$N$4:$N$203,0),0)=0,"",INDEX('كشف الحساب'!$G$4:$G$203,IFERROR(MATCH(141,'كشف الحساب'!$N$4:$N$203,0),0))),"")</f>
        <v/>
      </c>
      <c r="H145" s="105" t="str">
        <f aca="false">IFERROR(IF(IFERROR(MATCH(141,'كشف الحساب'!$N$4:$N$203,0),0)=0,"",INDEX('كشف الحساب'!$H$4:$H$203,IFERROR(MATCH(141,'كشف الحساب'!$N$4:$N$203,0),0))),"")</f>
        <v/>
      </c>
      <c r="I145" s="105" t="str">
        <f aca="false">IFERROR(IF(IFERROR(MATCH(141,'كشف الحساب'!$N$4:$N$203,0),0)=0,"",INDEX('كشف الحساب'!$I$4:$I$203,IFERROR(MATCH(141,'كشف الحساب'!$N$4:$N$203,0),0))),"")</f>
        <v/>
      </c>
      <c r="J145" s="109" t="str">
        <f aca="false">IFERROR(IF(IFERROR(MATCH(141,'كشف الحساب'!$N$4:$N$203,0),0)=0,"",INDEX('كشف الحساب'!$J$4:$J$203,IFERROR(MATCH(141,'كشف الحساب'!$N$4:$N$203,0),0))),"")</f>
        <v/>
      </c>
      <c r="K145" s="105" t="str">
        <f aca="false">IFERROR(IF(IFERROR(MATCH(141,'كشف الحساب'!$N$4:$N$203,0),0)=0,"",INDEX('كشف الحساب'!$K$4:$K$203,IFERROR(MATCH(141,'كشف الحساب'!$N$4:$N$203,0),0))),"")</f>
        <v/>
      </c>
    </row>
    <row r="146" customFormat="false" ht="15" hidden="true" customHeight="true" outlineLevel="0" collapsed="false">
      <c r="A146" s="110" t="str">
        <f aca="false">IFERROR(IF(IFERROR(MATCH(142,'كشف الحساب'!$N$4:$N$203,0),0)=0,"",INDEX('كشف الحساب'!$A$4:$A$203,IFERROR(MATCH(142,'كشف الحساب'!$N$4:$N$203,0),0))),"")</f>
        <v/>
      </c>
      <c r="B146" s="111" t="str">
        <f aca="false">IFERROR(IF(IFERROR(MATCH(142,'كشف الحساب'!$N$4:$N$203,0),0)=0,"",INDEX('كشف الحساب'!$B$4:$B$203,IFERROR(MATCH(142,'كشف الحساب'!$N$4:$N$203,0),0))),"")</f>
        <v/>
      </c>
      <c r="C146" s="112" t="str">
        <f aca="false">IFERROR(IF(IFERROR(MATCH(142,'كشف الحساب'!$N$4:$N$203,0),0)=0,"",INDEX('كشف الحساب'!$C$4:$C$203,IFERROR(MATCH(142,'كشف الحساب'!$N$4:$N$203,0),0))),"")</f>
        <v/>
      </c>
      <c r="D146" s="113" t="str">
        <f aca="false">IFERROR(IF(IFERROR(MATCH(142,'كشف الحساب'!$N$4:$N$203,0),0)=0,"",INDEX('كشف الحساب'!$D$4:$D$203,IFERROR(MATCH(142,'كشف الحساب'!$N$4:$N$203,0),0))),"")</f>
        <v/>
      </c>
      <c r="E146" s="114" t="str">
        <f aca="false">IFERROR(IF(IFERROR(MATCH(142,'كشف الحساب'!$N$4:$N$203,0),0)=0,"",INDEX('كشف الحساب'!$E$4:$E$203,IFERROR(MATCH(142,'كشف الحساب'!$N$4:$N$203,0),0))),"")</f>
        <v/>
      </c>
      <c r="F146" s="111" t="str">
        <f aca="false">IFERROR(IF(IFERROR(MATCH(142,'كشف الحساب'!$N$4:$N$203,0),0)=0,"",INDEX('كشف الحساب'!$F$4:$F$203,IFERROR(MATCH(142,'كشف الحساب'!$N$4:$N$203,0),0))),"")</f>
        <v/>
      </c>
      <c r="G146" s="111" t="str">
        <f aca="false">IFERROR(IF(IFERROR(MATCH(142,'كشف الحساب'!$N$4:$N$203,0),0)=0,"",INDEX('كشف الحساب'!$G$4:$G$203,IFERROR(MATCH(142,'كشف الحساب'!$N$4:$N$203,0),0))),"")</f>
        <v/>
      </c>
      <c r="H146" s="111" t="str">
        <f aca="false">IFERROR(IF(IFERROR(MATCH(142,'كشف الحساب'!$N$4:$N$203,0),0)=0,"",INDEX('كشف الحساب'!$H$4:$H$203,IFERROR(MATCH(142,'كشف الحساب'!$N$4:$N$203,0),0))),"")</f>
        <v/>
      </c>
      <c r="I146" s="111" t="str">
        <f aca="false">IFERROR(IF(IFERROR(MATCH(142,'كشف الحساب'!$N$4:$N$203,0),0)=0,"",INDEX('كشف الحساب'!$I$4:$I$203,IFERROR(MATCH(142,'كشف الحساب'!$N$4:$N$203,0),0))),"")</f>
        <v/>
      </c>
      <c r="J146" s="115" t="str">
        <f aca="false">IFERROR(IF(IFERROR(MATCH(142,'كشف الحساب'!$N$4:$N$203,0),0)=0,"",INDEX('كشف الحساب'!$J$4:$J$203,IFERROR(MATCH(142,'كشف الحساب'!$N$4:$N$203,0),0))),"")</f>
        <v/>
      </c>
      <c r="K146" s="111" t="str">
        <f aca="false">IFERROR(IF(IFERROR(MATCH(142,'كشف الحساب'!$N$4:$N$203,0),0)=0,"",INDEX('كشف الحساب'!$K$4:$K$203,IFERROR(MATCH(142,'كشف الحساب'!$N$4:$N$203,0),0))),"")</f>
        <v/>
      </c>
    </row>
    <row r="147" customFormat="false" ht="15" hidden="true" customHeight="true" outlineLevel="0" collapsed="false">
      <c r="A147" s="104" t="str">
        <f aca="false">IFERROR(IF(IFERROR(MATCH(143,'كشف الحساب'!$N$4:$N$203,0),0)=0,"",INDEX('كشف الحساب'!$A$4:$A$203,IFERROR(MATCH(143,'كشف الحساب'!$N$4:$N$203,0),0))),"")</f>
        <v/>
      </c>
      <c r="B147" s="105" t="str">
        <f aca="false">IFERROR(IF(IFERROR(MATCH(143,'كشف الحساب'!$N$4:$N$203,0),0)=0,"",INDEX('كشف الحساب'!$B$4:$B$203,IFERROR(MATCH(143,'كشف الحساب'!$N$4:$N$203,0),0))),"")</f>
        <v/>
      </c>
      <c r="C147" s="106" t="str">
        <f aca="false">IFERROR(IF(IFERROR(MATCH(143,'كشف الحساب'!$N$4:$N$203,0),0)=0,"",INDEX('كشف الحساب'!$C$4:$C$203,IFERROR(MATCH(143,'كشف الحساب'!$N$4:$N$203,0),0))),"")</f>
        <v/>
      </c>
      <c r="D147" s="107" t="str">
        <f aca="false">IFERROR(IF(IFERROR(MATCH(143,'كشف الحساب'!$N$4:$N$203,0),0)=0,"",INDEX('كشف الحساب'!$D$4:$D$203,IFERROR(MATCH(143,'كشف الحساب'!$N$4:$N$203,0),0))),"")</f>
        <v/>
      </c>
      <c r="E147" s="108" t="str">
        <f aca="false">IFERROR(IF(IFERROR(MATCH(143,'كشف الحساب'!$N$4:$N$203,0),0)=0,"",INDEX('كشف الحساب'!$E$4:$E$203,IFERROR(MATCH(143,'كشف الحساب'!$N$4:$N$203,0),0))),"")</f>
        <v/>
      </c>
      <c r="F147" s="105" t="str">
        <f aca="false">IFERROR(IF(IFERROR(MATCH(143,'كشف الحساب'!$N$4:$N$203,0),0)=0,"",INDEX('كشف الحساب'!$F$4:$F$203,IFERROR(MATCH(143,'كشف الحساب'!$N$4:$N$203,0),0))),"")</f>
        <v/>
      </c>
      <c r="G147" s="105" t="str">
        <f aca="false">IFERROR(IF(IFERROR(MATCH(143,'كشف الحساب'!$N$4:$N$203,0),0)=0,"",INDEX('كشف الحساب'!$G$4:$G$203,IFERROR(MATCH(143,'كشف الحساب'!$N$4:$N$203,0),0))),"")</f>
        <v/>
      </c>
      <c r="H147" s="105" t="str">
        <f aca="false">IFERROR(IF(IFERROR(MATCH(143,'كشف الحساب'!$N$4:$N$203,0),0)=0,"",INDEX('كشف الحساب'!$H$4:$H$203,IFERROR(MATCH(143,'كشف الحساب'!$N$4:$N$203,0),0))),"")</f>
        <v/>
      </c>
      <c r="I147" s="105" t="str">
        <f aca="false">IFERROR(IF(IFERROR(MATCH(143,'كشف الحساب'!$N$4:$N$203,0),0)=0,"",INDEX('كشف الحساب'!$I$4:$I$203,IFERROR(MATCH(143,'كشف الحساب'!$N$4:$N$203,0),0))),"")</f>
        <v/>
      </c>
      <c r="J147" s="109" t="str">
        <f aca="false">IFERROR(IF(IFERROR(MATCH(143,'كشف الحساب'!$N$4:$N$203,0),0)=0,"",INDEX('كشف الحساب'!$J$4:$J$203,IFERROR(MATCH(143,'كشف الحساب'!$N$4:$N$203,0),0))),"")</f>
        <v/>
      </c>
      <c r="K147" s="105" t="str">
        <f aca="false">IFERROR(IF(IFERROR(MATCH(143,'كشف الحساب'!$N$4:$N$203,0),0)=0,"",INDEX('كشف الحساب'!$K$4:$K$203,IFERROR(MATCH(143,'كشف الحساب'!$N$4:$N$203,0),0))),"")</f>
        <v/>
      </c>
    </row>
    <row r="148" customFormat="false" ht="15" hidden="true" customHeight="true" outlineLevel="0" collapsed="false">
      <c r="A148" s="110" t="str">
        <f aca="false">IFERROR(IF(IFERROR(MATCH(144,'كشف الحساب'!$N$4:$N$203,0),0)=0,"",INDEX('كشف الحساب'!$A$4:$A$203,IFERROR(MATCH(144,'كشف الحساب'!$N$4:$N$203,0),0))),"")</f>
        <v/>
      </c>
      <c r="B148" s="111" t="str">
        <f aca="false">IFERROR(IF(IFERROR(MATCH(144,'كشف الحساب'!$N$4:$N$203,0),0)=0,"",INDEX('كشف الحساب'!$B$4:$B$203,IFERROR(MATCH(144,'كشف الحساب'!$N$4:$N$203,0),0))),"")</f>
        <v/>
      </c>
      <c r="C148" s="112" t="str">
        <f aca="false">IFERROR(IF(IFERROR(MATCH(144,'كشف الحساب'!$N$4:$N$203,0),0)=0,"",INDEX('كشف الحساب'!$C$4:$C$203,IFERROR(MATCH(144,'كشف الحساب'!$N$4:$N$203,0),0))),"")</f>
        <v/>
      </c>
      <c r="D148" s="113" t="str">
        <f aca="false">IFERROR(IF(IFERROR(MATCH(144,'كشف الحساب'!$N$4:$N$203,0),0)=0,"",INDEX('كشف الحساب'!$D$4:$D$203,IFERROR(MATCH(144,'كشف الحساب'!$N$4:$N$203,0),0))),"")</f>
        <v/>
      </c>
      <c r="E148" s="114" t="str">
        <f aca="false">IFERROR(IF(IFERROR(MATCH(144,'كشف الحساب'!$N$4:$N$203,0),0)=0,"",INDEX('كشف الحساب'!$E$4:$E$203,IFERROR(MATCH(144,'كشف الحساب'!$N$4:$N$203,0),0))),"")</f>
        <v/>
      </c>
      <c r="F148" s="111" t="str">
        <f aca="false">IFERROR(IF(IFERROR(MATCH(144,'كشف الحساب'!$N$4:$N$203,0),0)=0,"",INDEX('كشف الحساب'!$F$4:$F$203,IFERROR(MATCH(144,'كشف الحساب'!$N$4:$N$203,0),0))),"")</f>
        <v/>
      </c>
      <c r="G148" s="111" t="str">
        <f aca="false">IFERROR(IF(IFERROR(MATCH(144,'كشف الحساب'!$N$4:$N$203,0),0)=0,"",INDEX('كشف الحساب'!$G$4:$G$203,IFERROR(MATCH(144,'كشف الحساب'!$N$4:$N$203,0),0))),"")</f>
        <v/>
      </c>
      <c r="H148" s="111" t="str">
        <f aca="false">IFERROR(IF(IFERROR(MATCH(144,'كشف الحساب'!$N$4:$N$203,0),0)=0,"",INDEX('كشف الحساب'!$H$4:$H$203,IFERROR(MATCH(144,'كشف الحساب'!$N$4:$N$203,0),0))),"")</f>
        <v/>
      </c>
      <c r="I148" s="111" t="str">
        <f aca="false">IFERROR(IF(IFERROR(MATCH(144,'كشف الحساب'!$N$4:$N$203,0),0)=0,"",INDEX('كشف الحساب'!$I$4:$I$203,IFERROR(MATCH(144,'كشف الحساب'!$N$4:$N$203,0),0))),"")</f>
        <v/>
      </c>
      <c r="J148" s="115" t="str">
        <f aca="false">IFERROR(IF(IFERROR(MATCH(144,'كشف الحساب'!$N$4:$N$203,0),0)=0,"",INDEX('كشف الحساب'!$J$4:$J$203,IFERROR(MATCH(144,'كشف الحساب'!$N$4:$N$203,0),0))),"")</f>
        <v/>
      </c>
      <c r="K148" s="111" t="str">
        <f aca="false">IFERROR(IF(IFERROR(MATCH(144,'كشف الحساب'!$N$4:$N$203,0),0)=0,"",INDEX('كشف الحساب'!$K$4:$K$203,IFERROR(MATCH(144,'كشف الحساب'!$N$4:$N$203,0),0))),"")</f>
        <v/>
      </c>
    </row>
    <row r="149" customFormat="false" ht="15" hidden="true" customHeight="true" outlineLevel="0" collapsed="false">
      <c r="A149" s="104" t="str">
        <f aca="false">IFERROR(IF(IFERROR(MATCH(145,'كشف الحساب'!$N$4:$N$203,0),0)=0,"",INDEX('كشف الحساب'!$A$4:$A$203,IFERROR(MATCH(145,'كشف الحساب'!$N$4:$N$203,0),0))),"")</f>
        <v/>
      </c>
      <c r="B149" s="105" t="str">
        <f aca="false">IFERROR(IF(IFERROR(MATCH(145,'كشف الحساب'!$N$4:$N$203,0),0)=0,"",INDEX('كشف الحساب'!$B$4:$B$203,IFERROR(MATCH(145,'كشف الحساب'!$N$4:$N$203,0),0))),"")</f>
        <v/>
      </c>
      <c r="C149" s="106" t="str">
        <f aca="false">IFERROR(IF(IFERROR(MATCH(145,'كشف الحساب'!$N$4:$N$203,0),0)=0,"",INDEX('كشف الحساب'!$C$4:$C$203,IFERROR(MATCH(145,'كشف الحساب'!$N$4:$N$203,0),0))),"")</f>
        <v/>
      </c>
      <c r="D149" s="107" t="str">
        <f aca="false">IFERROR(IF(IFERROR(MATCH(145,'كشف الحساب'!$N$4:$N$203,0),0)=0,"",INDEX('كشف الحساب'!$D$4:$D$203,IFERROR(MATCH(145,'كشف الحساب'!$N$4:$N$203,0),0))),"")</f>
        <v/>
      </c>
      <c r="E149" s="108" t="str">
        <f aca="false">IFERROR(IF(IFERROR(MATCH(145,'كشف الحساب'!$N$4:$N$203,0),0)=0,"",INDEX('كشف الحساب'!$E$4:$E$203,IFERROR(MATCH(145,'كشف الحساب'!$N$4:$N$203,0),0))),"")</f>
        <v/>
      </c>
      <c r="F149" s="105" t="str">
        <f aca="false">IFERROR(IF(IFERROR(MATCH(145,'كشف الحساب'!$N$4:$N$203,0),0)=0,"",INDEX('كشف الحساب'!$F$4:$F$203,IFERROR(MATCH(145,'كشف الحساب'!$N$4:$N$203,0),0))),"")</f>
        <v/>
      </c>
      <c r="G149" s="105" t="str">
        <f aca="false">IFERROR(IF(IFERROR(MATCH(145,'كشف الحساب'!$N$4:$N$203,0),0)=0,"",INDEX('كشف الحساب'!$G$4:$G$203,IFERROR(MATCH(145,'كشف الحساب'!$N$4:$N$203,0),0))),"")</f>
        <v/>
      </c>
      <c r="H149" s="105" t="str">
        <f aca="false">IFERROR(IF(IFERROR(MATCH(145,'كشف الحساب'!$N$4:$N$203,0),0)=0,"",INDEX('كشف الحساب'!$H$4:$H$203,IFERROR(MATCH(145,'كشف الحساب'!$N$4:$N$203,0),0))),"")</f>
        <v/>
      </c>
      <c r="I149" s="105" t="str">
        <f aca="false">IFERROR(IF(IFERROR(MATCH(145,'كشف الحساب'!$N$4:$N$203,0),0)=0,"",INDEX('كشف الحساب'!$I$4:$I$203,IFERROR(MATCH(145,'كشف الحساب'!$N$4:$N$203,0),0))),"")</f>
        <v/>
      </c>
      <c r="J149" s="109" t="str">
        <f aca="false">IFERROR(IF(IFERROR(MATCH(145,'كشف الحساب'!$N$4:$N$203,0),0)=0,"",INDEX('كشف الحساب'!$J$4:$J$203,IFERROR(MATCH(145,'كشف الحساب'!$N$4:$N$203,0),0))),"")</f>
        <v/>
      </c>
      <c r="K149" s="105" t="str">
        <f aca="false">IFERROR(IF(IFERROR(MATCH(145,'كشف الحساب'!$N$4:$N$203,0),0)=0,"",INDEX('كشف الحساب'!$K$4:$K$203,IFERROR(MATCH(145,'كشف الحساب'!$N$4:$N$203,0),0))),"")</f>
        <v/>
      </c>
    </row>
    <row r="150" customFormat="false" ht="15" hidden="true" customHeight="true" outlineLevel="0" collapsed="false">
      <c r="A150" s="110" t="str">
        <f aca="false">IFERROR(IF(IFERROR(MATCH(146,'كشف الحساب'!$N$4:$N$203,0),0)=0,"",INDEX('كشف الحساب'!$A$4:$A$203,IFERROR(MATCH(146,'كشف الحساب'!$N$4:$N$203,0),0))),"")</f>
        <v/>
      </c>
      <c r="B150" s="111" t="str">
        <f aca="false">IFERROR(IF(IFERROR(MATCH(146,'كشف الحساب'!$N$4:$N$203,0),0)=0,"",INDEX('كشف الحساب'!$B$4:$B$203,IFERROR(MATCH(146,'كشف الحساب'!$N$4:$N$203,0),0))),"")</f>
        <v/>
      </c>
      <c r="C150" s="112" t="str">
        <f aca="false">IFERROR(IF(IFERROR(MATCH(146,'كشف الحساب'!$N$4:$N$203,0),0)=0,"",INDEX('كشف الحساب'!$C$4:$C$203,IFERROR(MATCH(146,'كشف الحساب'!$N$4:$N$203,0),0))),"")</f>
        <v/>
      </c>
      <c r="D150" s="113" t="str">
        <f aca="false">IFERROR(IF(IFERROR(MATCH(146,'كشف الحساب'!$N$4:$N$203,0),0)=0,"",INDEX('كشف الحساب'!$D$4:$D$203,IFERROR(MATCH(146,'كشف الحساب'!$N$4:$N$203,0),0))),"")</f>
        <v/>
      </c>
      <c r="E150" s="114" t="str">
        <f aca="false">IFERROR(IF(IFERROR(MATCH(146,'كشف الحساب'!$N$4:$N$203,0),0)=0,"",INDEX('كشف الحساب'!$E$4:$E$203,IFERROR(MATCH(146,'كشف الحساب'!$N$4:$N$203,0),0))),"")</f>
        <v/>
      </c>
      <c r="F150" s="111" t="str">
        <f aca="false">IFERROR(IF(IFERROR(MATCH(146,'كشف الحساب'!$N$4:$N$203,0),0)=0,"",INDEX('كشف الحساب'!$F$4:$F$203,IFERROR(MATCH(146,'كشف الحساب'!$N$4:$N$203,0),0))),"")</f>
        <v/>
      </c>
      <c r="G150" s="111" t="str">
        <f aca="false">IFERROR(IF(IFERROR(MATCH(146,'كشف الحساب'!$N$4:$N$203,0),0)=0,"",INDEX('كشف الحساب'!$G$4:$G$203,IFERROR(MATCH(146,'كشف الحساب'!$N$4:$N$203,0),0))),"")</f>
        <v/>
      </c>
      <c r="H150" s="111" t="str">
        <f aca="false">IFERROR(IF(IFERROR(MATCH(146,'كشف الحساب'!$N$4:$N$203,0),0)=0,"",INDEX('كشف الحساب'!$H$4:$H$203,IFERROR(MATCH(146,'كشف الحساب'!$N$4:$N$203,0),0))),"")</f>
        <v/>
      </c>
      <c r="I150" s="111" t="str">
        <f aca="false">IFERROR(IF(IFERROR(MATCH(146,'كشف الحساب'!$N$4:$N$203,0),0)=0,"",INDEX('كشف الحساب'!$I$4:$I$203,IFERROR(MATCH(146,'كشف الحساب'!$N$4:$N$203,0),0))),"")</f>
        <v/>
      </c>
      <c r="J150" s="115" t="str">
        <f aca="false">IFERROR(IF(IFERROR(MATCH(146,'كشف الحساب'!$N$4:$N$203,0),0)=0,"",INDEX('كشف الحساب'!$J$4:$J$203,IFERROR(MATCH(146,'كشف الحساب'!$N$4:$N$203,0),0))),"")</f>
        <v/>
      </c>
      <c r="K150" s="111" t="str">
        <f aca="false">IFERROR(IF(IFERROR(MATCH(146,'كشف الحساب'!$N$4:$N$203,0),0)=0,"",INDEX('كشف الحساب'!$K$4:$K$203,IFERROR(MATCH(146,'كشف الحساب'!$N$4:$N$203,0),0))),"")</f>
        <v/>
      </c>
    </row>
    <row r="151" customFormat="false" ht="15" hidden="true" customHeight="true" outlineLevel="0" collapsed="false">
      <c r="A151" s="104" t="str">
        <f aca="false">IFERROR(IF(IFERROR(MATCH(147,'كشف الحساب'!$N$4:$N$203,0),0)=0,"",INDEX('كشف الحساب'!$A$4:$A$203,IFERROR(MATCH(147,'كشف الحساب'!$N$4:$N$203,0),0))),"")</f>
        <v/>
      </c>
      <c r="B151" s="105" t="str">
        <f aca="false">IFERROR(IF(IFERROR(MATCH(147,'كشف الحساب'!$N$4:$N$203,0),0)=0,"",INDEX('كشف الحساب'!$B$4:$B$203,IFERROR(MATCH(147,'كشف الحساب'!$N$4:$N$203,0),0))),"")</f>
        <v/>
      </c>
      <c r="C151" s="106" t="str">
        <f aca="false">IFERROR(IF(IFERROR(MATCH(147,'كشف الحساب'!$N$4:$N$203,0),0)=0,"",INDEX('كشف الحساب'!$C$4:$C$203,IFERROR(MATCH(147,'كشف الحساب'!$N$4:$N$203,0),0))),"")</f>
        <v/>
      </c>
      <c r="D151" s="107" t="str">
        <f aca="false">IFERROR(IF(IFERROR(MATCH(147,'كشف الحساب'!$N$4:$N$203,0),0)=0,"",INDEX('كشف الحساب'!$D$4:$D$203,IFERROR(MATCH(147,'كشف الحساب'!$N$4:$N$203,0),0))),"")</f>
        <v/>
      </c>
      <c r="E151" s="108" t="str">
        <f aca="false">IFERROR(IF(IFERROR(MATCH(147,'كشف الحساب'!$N$4:$N$203,0),0)=0,"",INDEX('كشف الحساب'!$E$4:$E$203,IFERROR(MATCH(147,'كشف الحساب'!$N$4:$N$203,0),0))),"")</f>
        <v/>
      </c>
      <c r="F151" s="105" t="str">
        <f aca="false">IFERROR(IF(IFERROR(MATCH(147,'كشف الحساب'!$N$4:$N$203,0),0)=0,"",INDEX('كشف الحساب'!$F$4:$F$203,IFERROR(MATCH(147,'كشف الحساب'!$N$4:$N$203,0),0))),"")</f>
        <v/>
      </c>
      <c r="G151" s="105" t="str">
        <f aca="false">IFERROR(IF(IFERROR(MATCH(147,'كشف الحساب'!$N$4:$N$203,0),0)=0,"",INDEX('كشف الحساب'!$G$4:$G$203,IFERROR(MATCH(147,'كشف الحساب'!$N$4:$N$203,0),0))),"")</f>
        <v/>
      </c>
      <c r="H151" s="105" t="str">
        <f aca="false">IFERROR(IF(IFERROR(MATCH(147,'كشف الحساب'!$N$4:$N$203,0),0)=0,"",INDEX('كشف الحساب'!$H$4:$H$203,IFERROR(MATCH(147,'كشف الحساب'!$N$4:$N$203,0),0))),"")</f>
        <v/>
      </c>
      <c r="I151" s="105" t="str">
        <f aca="false">IFERROR(IF(IFERROR(MATCH(147,'كشف الحساب'!$N$4:$N$203,0),0)=0,"",INDEX('كشف الحساب'!$I$4:$I$203,IFERROR(MATCH(147,'كشف الحساب'!$N$4:$N$203,0),0))),"")</f>
        <v/>
      </c>
      <c r="J151" s="109" t="str">
        <f aca="false">IFERROR(IF(IFERROR(MATCH(147,'كشف الحساب'!$N$4:$N$203,0),0)=0,"",INDEX('كشف الحساب'!$J$4:$J$203,IFERROR(MATCH(147,'كشف الحساب'!$N$4:$N$203,0),0))),"")</f>
        <v/>
      </c>
      <c r="K151" s="105" t="str">
        <f aca="false">IFERROR(IF(IFERROR(MATCH(147,'كشف الحساب'!$N$4:$N$203,0),0)=0,"",INDEX('كشف الحساب'!$K$4:$K$203,IFERROR(MATCH(147,'كشف الحساب'!$N$4:$N$203,0),0))),"")</f>
        <v/>
      </c>
    </row>
    <row r="152" customFormat="false" ht="15" hidden="true" customHeight="true" outlineLevel="0" collapsed="false">
      <c r="A152" s="110" t="str">
        <f aca="false">IFERROR(IF(IFERROR(MATCH(148,'كشف الحساب'!$N$4:$N$203,0),0)=0,"",INDEX('كشف الحساب'!$A$4:$A$203,IFERROR(MATCH(148,'كشف الحساب'!$N$4:$N$203,0),0))),"")</f>
        <v/>
      </c>
      <c r="B152" s="111" t="str">
        <f aca="false">IFERROR(IF(IFERROR(MATCH(148,'كشف الحساب'!$N$4:$N$203,0),0)=0,"",INDEX('كشف الحساب'!$B$4:$B$203,IFERROR(MATCH(148,'كشف الحساب'!$N$4:$N$203,0),0))),"")</f>
        <v/>
      </c>
      <c r="C152" s="112" t="str">
        <f aca="false">IFERROR(IF(IFERROR(MATCH(148,'كشف الحساب'!$N$4:$N$203,0),0)=0,"",INDEX('كشف الحساب'!$C$4:$C$203,IFERROR(MATCH(148,'كشف الحساب'!$N$4:$N$203,0),0))),"")</f>
        <v/>
      </c>
      <c r="D152" s="113" t="str">
        <f aca="false">IFERROR(IF(IFERROR(MATCH(148,'كشف الحساب'!$N$4:$N$203,0),0)=0,"",INDEX('كشف الحساب'!$D$4:$D$203,IFERROR(MATCH(148,'كشف الحساب'!$N$4:$N$203,0),0))),"")</f>
        <v/>
      </c>
      <c r="E152" s="114" t="str">
        <f aca="false">IFERROR(IF(IFERROR(MATCH(148,'كشف الحساب'!$N$4:$N$203,0),0)=0,"",INDEX('كشف الحساب'!$E$4:$E$203,IFERROR(MATCH(148,'كشف الحساب'!$N$4:$N$203,0),0))),"")</f>
        <v/>
      </c>
      <c r="F152" s="111" t="str">
        <f aca="false">IFERROR(IF(IFERROR(MATCH(148,'كشف الحساب'!$N$4:$N$203,0),0)=0,"",INDEX('كشف الحساب'!$F$4:$F$203,IFERROR(MATCH(148,'كشف الحساب'!$N$4:$N$203,0),0))),"")</f>
        <v/>
      </c>
      <c r="G152" s="111" t="str">
        <f aca="false">IFERROR(IF(IFERROR(MATCH(148,'كشف الحساب'!$N$4:$N$203,0),0)=0,"",INDEX('كشف الحساب'!$G$4:$G$203,IFERROR(MATCH(148,'كشف الحساب'!$N$4:$N$203,0),0))),"")</f>
        <v/>
      </c>
      <c r="H152" s="111" t="str">
        <f aca="false">IFERROR(IF(IFERROR(MATCH(148,'كشف الحساب'!$N$4:$N$203,0),0)=0,"",INDEX('كشف الحساب'!$H$4:$H$203,IFERROR(MATCH(148,'كشف الحساب'!$N$4:$N$203,0),0))),"")</f>
        <v/>
      </c>
      <c r="I152" s="111" t="str">
        <f aca="false">IFERROR(IF(IFERROR(MATCH(148,'كشف الحساب'!$N$4:$N$203,0),0)=0,"",INDEX('كشف الحساب'!$I$4:$I$203,IFERROR(MATCH(148,'كشف الحساب'!$N$4:$N$203,0),0))),"")</f>
        <v/>
      </c>
      <c r="J152" s="115" t="str">
        <f aca="false">IFERROR(IF(IFERROR(MATCH(148,'كشف الحساب'!$N$4:$N$203,0),0)=0,"",INDEX('كشف الحساب'!$J$4:$J$203,IFERROR(MATCH(148,'كشف الحساب'!$N$4:$N$203,0),0))),"")</f>
        <v/>
      </c>
      <c r="K152" s="111" t="str">
        <f aca="false">IFERROR(IF(IFERROR(MATCH(148,'كشف الحساب'!$N$4:$N$203,0),0)=0,"",INDEX('كشف الحساب'!$K$4:$K$203,IFERROR(MATCH(148,'كشف الحساب'!$N$4:$N$203,0),0))),"")</f>
        <v/>
      </c>
    </row>
    <row r="153" customFormat="false" ht="15" hidden="true" customHeight="true" outlineLevel="0" collapsed="false">
      <c r="A153" s="104" t="str">
        <f aca="false">IFERROR(IF(IFERROR(MATCH(149,'كشف الحساب'!$N$4:$N$203,0),0)=0,"",INDEX('كشف الحساب'!$A$4:$A$203,IFERROR(MATCH(149,'كشف الحساب'!$N$4:$N$203,0),0))),"")</f>
        <v/>
      </c>
      <c r="B153" s="105" t="str">
        <f aca="false">IFERROR(IF(IFERROR(MATCH(149,'كشف الحساب'!$N$4:$N$203,0),0)=0,"",INDEX('كشف الحساب'!$B$4:$B$203,IFERROR(MATCH(149,'كشف الحساب'!$N$4:$N$203,0),0))),"")</f>
        <v/>
      </c>
      <c r="C153" s="106" t="str">
        <f aca="false">IFERROR(IF(IFERROR(MATCH(149,'كشف الحساب'!$N$4:$N$203,0),0)=0,"",INDEX('كشف الحساب'!$C$4:$C$203,IFERROR(MATCH(149,'كشف الحساب'!$N$4:$N$203,0),0))),"")</f>
        <v/>
      </c>
      <c r="D153" s="107" t="str">
        <f aca="false">IFERROR(IF(IFERROR(MATCH(149,'كشف الحساب'!$N$4:$N$203,0),0)=0,"",INDEX('كشف الحساب'!$D$4:$D$203,IFERROR(MATCH(149,'كشف الحساب'!$N$4:$N$203,0),0))),"")</f>
        <v/>
      </c>
      <c r="E153" s="108" t="str">
        <f aca="false">IFERROR(IF(IFERROR(MATCH(149,'كشف الحساب'!$N$4:$N$203,0),0)=0,"",INDEX('كشف الحساب'!$E$4:$E$203,IFERROR(MATCH(149,'كشف الحساب'!$N$4:$N$203,0),0))),"")</f>
        <v/>
      </c>
      <c r="F153" s="105" t="str">
        <f aca="false">IFERROR(IF(IFERROR(MATCH(149,'كشف الحساب'!$N$4:$N$203,0),0)=0,"",INDEX('كشف الحساب'!$F$4:$F$203,IFERROR(MATCH(149,'كشف الحساب'!$N$4:$N$203,0),0))),"")</f>
        <v/>
      </c>
      <c r="G153" s="105" t="str">
        <f aca="false">IFERROR(IF(IFERROR(MATCH(149,'كشف الحساب'!$N$4:$N$203,0),0)=0,"",INDEX('كشف الحساب'!$G$4:$G$203,IFERROR(MATCH(149,'كشف الحساب'!$N$4:$N$203,0),0))),"")</f>
        <v/>
      </c>
      <c r="H153" s="105" t="str">
        <f aca="false">IFERROR(IF(IFERROR(MATCH(149,'كشف الحساب'!$N$4:$N$203,0),0)=0,"",INDEX('كشف الحساب'!$H$4:$H$203,IFERROR(MATCH(149,'كشف الحساب'!$N$4:$N$203,0),0))),"")</f>
        <v/>
      </c>
      <c r="I153" s="105" t="str">
        <f aca="false">IFERROR(IF(IFERROR(MATCH(149,'كشف الحساب'!$N$4:$N$203,0),0)=0,"",INDEX('كشف الحساب'!$I$4:$I$203,IFERROR(MATCH(149,'كشف الحساب'!$N$4:$N$203,0),0))),"")</f>
        <v/>
      </c>
      <c r="J153" s="109" t="str">
        <f aca="false">IFERROR(IF(IFERROR(MATCH(149,'كشف الحساب'!$N$4:$N$203,0),0)=0,"",INDEX('كشف الحساب'!$J$4:$J$203,IFERROR(MATCH(149,'كشف الحساب'!$N$4:$N$203,0),0))),"")</f>
        <v/>
      </c>
      <c r="K153" s="105" t="str">
        <f aca="false">IFERROR(IF(IFERROR(MATCH(149,'كشف الحساب'!$N$4:$N$203,0),0)=0,"",INDEX('كشف الحساب'!$K$4:$K$203,IFERROR(MATCH(149,'كشف الحساب'!$N$4:$N$203,0),0))),"")</f>
        <v/>
      </c>
    </row>
    <row r="154" customFormat="false" ht="15" hidden="true" customHeight="true" outlineLevel="0" collapsed="false">
      <c r="A154" s="110" t="str">
        <f aca="false">IFERROR(IF(IFERROR(MATCH(150,'كشف الحساب'!$N$4:$N$203,0),0)=0,"",INDEX('كشف الحساب'!$A$4:$A$203,IFERROR(MATCH(150,'كشف الحساب'!$N$4:$N$203,0),0))),"")</f>
        <v/>
      </c>
      <c r="B154" s="111" t="str">
        <f aca="false">IFERROR(IF(IFERROR(MATCH(150,'كشف الحساب'!$N$4:$N$203,0),0)=0,"",INDEX('كشف الحساب'!$B$4:$B$203,IFERROR(MATCH(150,'كشف الحساب'!$N$4:$N$203,0),0))),"")</f>
        <v/>
      </c>
      <c r="C154" s="112" t="str">
        <f aca="false">IFERROR(IF(IFERROR(MATCH(150,'كشف الحساب'!$N$4:$N$203,0),0)=0,"",INDEX('كشف الحساب'!$C$4:$C$203,IFERROR(MATCH(150,'كشف الحساب'!$N$4:$N$203,0),0))),"")</f>
        <v/>
      </c>
      <c r="D154" s="113" t="str">
        <f aca="false">IFERROR(IF(IFERROR(MATCH(150,'كشف الحساب'!$N$4:$N$203,0),0)=0,"",INDEX('كشف الحساب'!$D$4:$D$203,IFERROR(MATCH(150,'كشف الحساب'!$N$4:$N$203,0),0))),"")</f>
        <v/>
      </c>
      <c r="E154" s="114" t="str">
        <f aca="false">IFERROR(IF(IFERROR(MATCH(150,'كشف الحساب'!$N$4:$N$203,0),0)=0,"",INDEX('كشف الحساب'!$E$4:$E$203,IFERROR(MATCH(150,'كشف الحساب'!$N$4:$N$203,0),0))),"")</f>
        <v/>
      </c>
      <c r="F154" s="111" t="str">
        <f aca="false">IFERROR(IF(IFERROR(MATCH(150,'كشف الحساب'!$N$4:$N$203,0),0)=0,"",INDEX('كشف الحساب'!$F$4:$F$203,IFERROR(MATCH(150,'كشف الحساب'!$N$4:$N$203,0),0))),"")</f>
        <v/>
      </c>
      <c r="G154" s="111" t="str">
        <f aca="false">IFERROR(IF(IFERROR(MATCH(150,'كشف الحساب'!$N$4:$N$203,0),0)=0,"",INDEX('كشف الحساب'!$G$4:$G$203,IFERROR(MATCH(150,'كشف الحساب'!$N$4:$N$203,0),0))),"")</f>
        <v/>
      </c>
      <c r="H154" s="111" t="str">
        <f aca="false">IFERROR(IF(IFERROR(MATCH(150,'كشف الحساب'!$N$4:$N$203,0),0)=0,"",INDEX('كشف الحساب'!$H$4:$H$203,IFERROR(MATCH(150,'كشف الحساب'!$N$4:$N$203,0),0))),"")</f>
        <v/>
      </c>
      <c r="I154" s="111" t="str">
        <f aca="false">IFERROR(IF(IFERROR(MATCH(150,'كشف الحساب'!$N$4:$N$203,0),0)=0,"",INDEX('كشف الحساب'!$I$4:$I$203,IFERROR(MATCH(150,'كشف الحساب'!$N$4:$N$203,0),0))),"")</f>
        <v/>
      </c>
      <c r="J154" s="115" t="str">
        <f aca="false">IFERROR(IF(IFERROR(MATCH(150,'كشف الحساب'!$N$4:$N$203,0),0)=0,"",INDEX('كشف الحساب'!$J$4:$J$203,IFERROR(MATCH(150,'كشف الحساب'!$N$4:$N$203,0),0))),"")</f>
        <v/>
      </c>
      <c r="K154" s="111" t="str">
        <f aca="false">IFERROR(IF(IFERROR(MATCH(150,'كشف الحساب'!$N$4:$N$203,0),0)=0,"",INDEX('كشف الحساب'!$K$4:$K$203,IFERROR(MATCH(150,'كشف الحساب'!$N$4:$N$203,0),0))),"")</f>
        <v/>
      </c>
    </row>
    <row r="155" customFormat="false" ht="21.75" hidden="false" customHeight="true" outlineLevel="0" collapsed="false">
      <c r="A155" s="116" t="s">
        <v>213</v>
      </c>
      <c r="B155" s="116"/>
      <c r="C155" s="116"/>
      <c r="D155" s="117" t="n">
        <f aca="false">SUM(D5:D154)</f>
        <v>1074.25</v>
      </c>
      <c r="E155" s="117" t="n">
        <f aca="false">SUM(E5:E154)</f>
        <v>543.6</v>
      </c>
      <c r="F155" s="81" t="n">
        <f aca="false">COUNTIF(H5:H154,"معلق")</f>
        <v>8</v>
      </c>
      <c r="G155" s="81"/>
      <c r="H155" s="81"/>
      <c r="I155" s="118"/>
      <c r="J155" s="117" t="n">
        <f aca="false">E155-D155</f>
        <v>-530.65</v>
      </c>
      <c r="K155" s="118"/>
    </row>
    <row r="156" customFormat="false" ht="15.75" hidden="false" customHeight="true" outlineLevel="0" collapsed="false">
      <c r="A156" s="119"/>
      <c r="B156" s="119"/>
      <c r="C156" s="119"/>
      <c r="D156" s="82" t="s">
        <v>165</v>
      </c>
      <c r="E156" s="83" t="s">
        <v>7</v>
      </c>
      <c r="F156" s="84" t="s">
        <v>167</v>
      </c>
      <c r="G156" s="119"/>
      <c r="H156" s="119"/>
      <c r="I156" s="119"/>
      <c r="J156" s="85" t="s">
        <v>214</v>
      </c>
      <c r="K156" s="119"/>
    </row>
  </sheetData>
  <mergeCells count="7">
    <mergeCell ref="A1:K1"/>
    <mergeCell ref="A2:B2"/>
    <mergeCell ref="D2:E2"/>
    <mergeCell ref="G2:K2"/>
    <mergeCell ref="A3:C3"/>
    <mergeCell ref="A155:C155"/>
    <mergeCell ref="F155:H155"/>
  </mergeCells>
  <conditionalFormatting sqref="J5:J154">
    <cfRule type="cellIs" priority="2" operator="lessThan" aboveAverage="0" equalAverage="0" bottom="0" percent="0" rank="0" text="" dxfId="0">
      <formula>0</formula>
    </cfRule>
    <cfRule type="cellIs" priority="3" operator="greaterThanOrEqual" aboveAverage="0" equalAverage="0" bottom="0" percent="0" rank="0" text="" dxfId="1">
      <formula>0</formula>
    </cfRule>
  </conditionalFormatting>
  <dataValidations count="2">
    <dataValidation allowBlank="false" errorStyle="stop" operator="between" showDropDown="false" showErrorMessage="false" showInputMessage="false" sqref="C2" type="list">
      <formula1>"يناير,فبراير,مارس,أبريل,مايو,يونيو,يوليو,أغسطس,سبتمبر,أكتوبر,نوفمبر,ديسمبر,الكل"</formula1>
      <formula2>0</formula2>
    </dataValidation>
    <dataValidation allowBlank="false" errorStyle="stop" operator="between" showDropDown="false" showErrorMessage="false" showInputMessage="false" sqref="F2" type="list">
      <formula1>"2024,2025,2026,2027,2028,الكل"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F2" activeCellId="0" sqref="F2"/>
    </sheetView>
  </sheetViews>
  <sheetFormatPr defaultColWidth="8.714843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3" min="3" style="1" width="38"/>
    <col collapsed="false" customWidth="true" hidden="false" outlineLevel="0" max="5" min="4" style="1" width="16"/>
    <col collapsed="false" customWidth="true" hidden="false" outlineLevel="0" max="6" min="6" style="1" width="20"/>
    <col collapsed="false" customWidth="true" hidden="false" outlineLevel="0" max="7" min="7" style="1" width="16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2" customFormat="false" ht="24" hidden="false" customHeight="true" outlineLevel="0" collapsed="false">
      <c r="A2" s="94" t="s">
        <v>215</v>
      </c>
      <c r="B2" s="94"/>
      <c r="C2" s="95" t="s">
        <v>216</v>
      </c>
      <c r="D2" s="94" t="s">
        <v>217</v>
      </c>
      <c r="E2" s="94"/>
      <c r="F2" s="95" t="n">
        <v>2026</v>
      </c>
    </row>
    <row r="3" customFormat="false" ht="21.75" hidden="false" customHeight="true" outlineLevel="0" collapsed="false">
      <c r="A3" s="97" t="s">
        <v>218</v>
      </c>
      <c r="B3" s="97"/>
      <c r="C3" s="98" t="n">
        <f aca="false">المحفظة!$D$2</f>
        <v>0</v>
      </c>
      <c r="D3" s="97" t="s">
        <v>219</v>
      </c>
      <c r="E3" s="97"/>
      <c r="F3" s="120" t="n">
        <f aca="false">المحفظة!$C$3</f>
        <v>276.6</v>
      </c>
    </row>
    <row r="4" customFormat="false" ht="21.75" hidden="false" customHeight="true" outlineLevel="0" collapsed="false">
      <c r="A4" s="24" t="s">
        <v>220</v>
      </c>
      <c r="B4" s="24"/>
      <c r="C4" s="24"/>
      <c r="D4" s="24"/>
      <c r="E4" s="24"/>
      <c r="F4" s="24"/>
      <c r="G4" s="24"/>
    </row>
    <row r="5" customFormat="false" ht="16.5" hidden="false" customHeight="true" outlineLevel="0" collapsed="false">
      <c r="A5" s="10" t="n">
        <f aca="false">IFERROR(IF(IFERROR(MATCH(1,المحفظة!$H$5:$H$104,0),0)=0,"",INDEX(المحفظة!$A$5:$A$104,IFERROR(MATCH(1,المحفظة!$H$5:$H$104,0),0))),"")</f>
        <v>46151</v>
      </c>
      <c r="B5" s="11" t="str">
        <f aca="false">IFERROR(IF(IFERROR(MATCH(1,المحفظة!$H$5:$H$104,0),0)=0,"",INDEX(المحفظة!$B$5:$B$104,IFERROR(MATCH(1,المحفظة!$H$5:$H$104,0),0))),"")</f>
        <v>Inv-013A</v>
      </c>
      <c r="C5" s="121" t="str">
        <f aca="false">IFERROR(IF(IFERROR(MATCH(1,المحفظة!$H$5:$H$104,0),0)=0,"",INDEX(المحفظة!$C$5:$C$104,IFERROR(MATCH(1,المحفظة!$H$5:$H$104,0),0))),"")</f>
        <v>برازيليا عدد 25 سعر الحبه .500</v>
      </c>
      <c r="D5" s="13" t="s">
        <v>6</v>
      </c>
      <c r="E5" s="14" t="n">
        <f aca="false">IFERROR(IF(IFERROR(MATCH(1,المحفظة!$H$5:$H$104,0),0)=0,"",INDEX(المحفظة!$E$5:$E$104,IFERROR(MATCH(1,المحفظة!$H$5:$H$104,0),0))),"")</f>
        <v>12.5</v>
      </c>
      <c r="F5" s="11" t="str">
        <f aca="false">IFERROR(IF(IFERROR(MATCH(1,المحفظة!$H$5:$H$104,0),0)=0,"",INDEX(المحفظة!$F$5:$F$104,IFERROR(MATCH(1,المحفظة!$H$5:$H$104,0),0))),"")</f>
        <v>نقداً</v>
      </c>
      <c r="G5" s="122"/>
    </row>
    <row r="6" customFormat="false" ht="16.5" hidden="false" customHeight="true" outlineLevel="0" collapsed="false">
      <c r="A6" s="17" t="n">
        <f aca="false">IFERROR(IF(IFERROR(MATCH(2,المحفظة!$H$5:$H$104,0),0)=0,"",INDEX(المحفظة!$A$5:$A$104,IFERROR(MATCH(2,المحفظة!$H$5:$H$104,0),0))),"")</f>
        <v>46151</v>
      </c>
      <c r="B6" s="18" t="n">
        <f aca="false">IFERROR(IF(IFERROR(MATCH(2,المحفظة!$H$5:$H$104,0),0)=0,"",INDEX(المحفظة!$B$5:$B$104,IFERROR(MATCH(2,المحفظة!$H$5:$H$104,0),0))),"")</f>
        <v>18213</v>
      </c>
      <c r="C6" s="123" t="str">
        <f aca="false">IFERROR(IF(IFERROR(MATCH(2,المحفظة!$H$5:$H$104,0),0)=0,"",INDEX(المحفظة!$C$5:$C$104,IFERROR(MATCH(2,المحفظة!$H$5:$H$104,0),0))),"")</f>
        <v>شراء دريل</v>
      </c>
      <c r="D6" s="20" t="s">
        <v>6</v>
      </c>
      <c r="E6" s="21" t="n">
        <f aca="false">IFERROR(IF(IFERROR(MATCH(2,المحفظة!$H$5:$H$104,0),0)=0,"",INDEX(المحفظة!$E$5:$E$104,IFERROR(MATCH(2,المحفظة!$H$5:$H$104,0),0))),"")</f>
        <v>0</v>
      </c>
      <c r="F6" s="18" t="str">
        <f aca="false">IFERROR(IF(IFERROR(MATCH(2,المحفظة!$H$5:$H$104,0),0)=0,"",INDEX(المحفظة!$F$5:$F$104,IFERROR(MATCH(2,المحفظة!$H$5:$H$104,0),0))),"")</f>
        <v>أحد الشركاء</v>
      </c>
      <c r="G6" s="124"/>
    </row>
    <row r="7" customFormat="false" ht="16.5" hidden="false" customHeight="true" outlineLevel="0" collapsed="false">
      <c r="A7" s="10" t="n">
        <f aca="false">IFERROR(IF(IFERROR(MATCH(3,المحفظة!$H$5:$H$104,0),0)=0,"",INDEX(المحفظة!$A$5:$A$104,IFERROR(MATCH(3,المحفظة!$H$5:$H$104,0),0))),"")</f>
        <v>46155</v>
      </c>
      <c r="B7" s="11" t="str">
        <f aca="false">IFERROR(IF(IFERROR(MATCH(3,المحفظة!$H$5:$H$104,0),0)=0,"",INDEX(المحفظة!$B$5:$B$104,IFERROR(MATCH(3,المحفظة!$H$5:$H$104,0),0))),"")</f>
        <v>Inv-017</v>
      </c>
      <c r="C7" s="121" t="str">
        <f aca="false">IFERROR(IF(IFERROR(MATCH(3,المحفظة!$H$5:$H$104,0),0)=0,"",INDEX(المحفظة!$C$5:$C$104,IFERROR(MATCH(3,المحفظة!$H$5:$H$104,0),0))),"")</f>
        <v>فل عدد 10 الحبه 0.750</v>
      </c>
      <c r="D7" s="13" t="s">
        <v>6</v>
      </c>
      <c r="E7" s="14" t="n">
        <f aca="false">IFERROR(IF(IFERROR(MATCH(3,المحفظة!$H$5:$H$104,0),0)=0,"",INDEX(المحفظة!$E$5:$E$104,IFERROR(MATCH(3,المحفظة!$H$5:$H$104,0),0))),"")</f>
        <v>7.5</v>
      </c>
      <c r="F7" s="11" t="str">
        <f aca="false">IFERROR(IF(IFERROR(MATCH(3,المحفظة!$H$5:$H$104,0),0)=0,"",INDEX(المحفظة!$F$5:$F$104,IFERROR(MATCH(3,المحفظة!$H$5:$H$104,0),0))),"")</f>
        <v>نقداً</v>
      </c>
      <c r="G7" s="122"/>
    </row>
    <row r="8" customFormat="false" ht="16.5" hidden="false" customHeight="true" outlineLevel="0" collapsed="false">
      <c r="A8" s="17" t="n">
        <f aca="false">IFERROR(IF(IFERROR(MATCH(4,المحفظة!$H$5:$H$104,0),0)=0,"",INDEX(المحفظة!$A$5:$A$104,IFERROR(MATCH(4,المحفظة!$H$5:$H$104,0),0))),"")</f>
        <v>46155</v>
      </c>
      <c r="B8" s="18" t="str">
        <f aca="false">IFERROR(IF(IFERROR(MATCH(4,المحفظة!$H$5:$H$104,0),0)=0,"",INDEX(المحفظة!$B$5:$B$104,IFERROR(MATCH(4,المحفظة!$H$5:$H$104,0),0))),"")</f>
        <v>Inv-18A</v>
      </c>
      <c r="C8" s="123" t="str">
        <f aca="false">IFERROR(IF(IFERROR(MATCH(4,المحفظة!$H$5:$H$104,0),0)=0,"",INDEX(المحفظة!$C$5:$C$104,IFERROR(MATCH(4,المحفظة!$H$5:$H$104,0),0))),"")</f>
        <v>ربل 4 حبات الحبه 1.500</v>
      </c>
      <c r="D8" s="20" t="s">
        <v>6</v>
      </c>
      <c r="E8" s="21" t="n">
        <f aca="false">IFERROR(IF(IFERROR(MATCH(4,المحفظة!$H$5:$H$104,0),0)=0,"",INDEX(المحفظة!$E$5:$E$104,IFERROR(MATCH(4,المحفظة!$H$5:$H$104,0),0))),"")</f>
        <v>6</v>
      </c>
      <c r="F8" s="18" t="str">
        <f aca="false">IFERROR(IF(IFERROR(MATCH(4,المحفظة!$H$5:$H$104,0),0)=0,"",INDEX(المحفظة!$F$5:$F$104,IFERROR(MATCH(4,المحفظة!$H$5:$H$104,0),0))),"")</f>
        <v>نقداً</v>
      </c>
      <c r="G8" s="124"/>
    </row>
    <row r="9" customFormat="false" ht="16.5" hidden="false" customHeight="true" outlineLevel="0" collapsed="false">
      <c r="A9" s="10" t="n">
        <f aca="false">IFERROR(IF(IFERROR(MATCH(5,المحفظة!$H$5:$H$104,0),0)=0,"",INDEX(المحفظة!$A$5:$A$104,IFERROR(MATCH(5,المحفظة!$H$5:$H$104,0),0))),"")</f>
        <v>46156</v>
      </c>
      <c r="B9" s="11" t="str">
        <f aca="false">IFERROR(IF(IFERROR(MATCH(5,المحفظة!$H$5:$H$104,0),0)=0,"",INDEX(المحفظة!$B$5:$B$104,IFERROR(MATCH(5,المحفظة!$H$5:$H$104,0),0))),"")</f>
        <v>Inv-18</v>
      </c>
      <c r="C9" s="121" t="str">
        <f aca="false">IFERROR(IF(IFERROR(MATCH(5,المحفظة!$H$5:$H$104,0),0)=0,"",INDEX(المحفظة!$C$5:$C$104,IFERROR(MATCH(5,المحفظة!$H$5:$H$104,0),0))),"")</f>
        <v>ودليه 8 حبات الحبه 1</v>
      </c>
      <c r="D9" s="13" t="s">
        <v>6</v>
      </c>
      <c r="E9" s="14" t="n">
        <f aca="false">IFERROR(IF(IFERROR(MATCH(5,المحفظة!$H$5:$H$104,0),0)=0,"",INDEX(المحفظة!$E$5:$E$104,IFERROR(MATCH(5,المحفظة!$H$5:$H$104,0),0))),"")</f>
        <v>8</v>
      </c>
      <c r="F9" s="11" t="str">
        <f aca="false">IFERROR(IF(IFERROR(MATCH(5,المحفظة!$H$5:$H$104,0),0)=0,"",INDEX(المحفظة!$F$5:$F$104,IFERROR(MATCH(5,المحفظة!$H$5:$H$104,0),0))),"")</f>
        <v>نقداً</v>
      </c>
      <c r="G9" s="122"/>
    </row>
    <row r="10" customFormat="false" ht="16.5" hidden="false" customHeight="true" outlineLevel="0" collapsed="false">
      <c r="A10" s="17" t="n">
        <f aca="false">IFERROR(IF(IFERROR(MATCH(6,المحفظة!$H$5:$H$104,0),0)=0,"",INDEX(المحفظة!$A$5:$A$104,IFERROR(MATCH(6,المحفظة!$H$5:$H$104,0),0))),"")</f>
        <v>46158</v>
      </c>
      <c r="B10" s="18" t="str">
        <f aca="false">IFERROR(IF(IFERROR(MATCH(6,المحفظة!$H$5:$H$104,0),0)=0,"",INDEX(المحفظة!$B$5:$B$104,IFERROR(MATCH(6,المحفظة!$H$5:$H$104,0),0))),"")</f>
        <v>Inv-19</v>
      </c>
      <c r="C10" s="123" t="str">
        <f aca="false">IFERROR(IF(IFERROR(MATCH(6,المحفظة!$H$5:$H$104,0),0)=0,"",INDEX(المحفظة!$C$5:$C$104,IFERROR(MATCH(6,المحفظة!$H$5:$H$104,0),0))),"")</f>
        <v>فل عدد 2 الحبه 0.750</v>
      </c>
      <c r="D10" s="20" t="s">
        <v>6</v>
      </c>
      <c r="E10" s="21" t="n">
        <f aca="false">IFERROR(IF(IFERROR(MATCH(6,المحفظة!$H$5:$H$104,0),0)=0,"",INDEX(المحفظة!$E$5:$E$104,IFERROR(MATCH(6,المحفظة!$H$5:$H$104,0),0))),"")</f>
        <v>1.5</v>
      </c>
      <c r="F10" s="18" t="str">
        <f aca="false">IFERROR(IF(IFERROR(MATCH(6,المحفظة!$H$5:$H$104,0),0)=0,"",INDEX(المحفظة!$F$5:$F$104,IFERROR(MATCH(6,المحفظة!$H$5:$H$104,0),0))),"")</f>
        <v>نقداً</v>
      </c>
      <c r="G10" s="124"/>
    </row>
    <row r="11" customFormat="false" ht="16.5" hidden="false" customHeight="true" outlineLevel="0" collapsed="false">
      <c r="A11" s="10" t="n">
        <f aca="false">IFERROR(IF(IFERROR(MATCH(7,المحفظة!$H$5:$H$104,0),0)=0,"",INDEX(المحفظة!$A$5:$A$104,IFERROR(MATCH(7,المحفظة!$H$5:$H$104,0),0))),"")</f>
        <v>46158</v>
      </c>
      <c r="B11" s="11" t="str">
        <f aca="false">IFERROR(IF(IFERROR(MATCH(7,المحفظة!$H$5:$H$104,0),0)=0,"",INDEX(المحفظة!$B$5:$B$104,IFERROR(MATCH(7,المحفظة!$H$5:$H$104,0),0))),"")</f>
        <v>Inv-20</v>
      </c>
      <c r="C11" s="121" t="str">
        <f aca="false">IFERROR(IF(IFERROR(MATCH(7,المحفظة!$H$5:$H$104,0),0)=0,"",INDEX(المحفظة!$C$5:$C$104,IFERROR(MATCH(7,المحفظة!$H$5:$H$104,0),0))),"")</f>
        <v>صبار اوليفيرا عدد 3 الحبه 0.750</v>
      </c>
      <c r="D11" s="13" t="s">
        <v>6</v>
      </c>
      <c r="E11" s="14" t="n">
        <f aca="false">IFERROR(IF(IFERROR(MATCH(7,المحفظة!$H$5:$H$104,0),0)=0,"",INDEX(المحفظة!$E$5:$E$104,IFERROR(MATCH(7,المحفظة!$H$5:$H$104,0),0))),"")</f>
        <v>2.25</v>
      </c>
      <c r="F11" s="11" t="str">
        <f aca="false">IFERROR(IF(IFERROR(MATCH(7,المحفظة!$H$5:$H$104,0),0)=0,"",INDEX(المحفظة!$F$5:$F$104,IFERROR(MATCH(7,المحفظة!$H$5:$H$104,0),0))),"")</f>
        <v>نقداً</v>
      </c>
      <c r="G11" s="122"/>
    </row>
    <row r="12" customFormat="false" ht="16.5" hidden="false" customHeight="true" outlineLevel="0" collapsed="false">
      <c r="A12" s="17" t="n">
        <f aca="false">IFERROR(IF(IFERROR(MATCH(8,المحفظة!$H$5:$H$104,0),0)=0,"",INDEX(المحفظة!$A$5:$A$104,IFERROR(MATCH(8,المحفظة!$H$5:$H$104,0),0))),"")</f>
        <v>46158</v>
      </c>
      <c r="B12" s="18" t="str">
        <f aca="false">IFERROR(IF(IFERROR(MATCH(8,المحفظة!$H$5:$H$104,0),0)=0,"",INDEX(المحفظة!$B$5:$B$104,IFERROR(MATCH(8,المحفظة!$H$5:$H$104,0),0))),"")</f>
        <v>Inv-21</v>
      </c>
      <c r="C12" s="123" t="str">
        <f aca="false">IFERROR(IF(IFERROR(MATCH(8,المحفظة!$H$5:$H$104,0),0)=0,"",INDEX(المحفظة!$C$5:$C$104,IFERROR(MATCH(8,المحفظة!$H$5:$H$104,0),0))),"")</f>
        <v>دارسينا عدد 1 الحبه 2.500</v>
      </c>
      <c r="D12" s="20" t="s">
        <v>6</v>
      </c>
      <c r="E12" s="21" t="n">
        <f aca="false">IFERROR(IF(IFERROR(MATCH(8,المحفظة!$H$5:$H$104,0),0)=0,"",INDEX(المحفظة!$E$5:$E$104,IFERROR(MATCH(8,المحفظة!$H$5:$H$104,0),0))),"")</f>
        <v>2.5</v>
      </c>
      <c r="F12" s="18" t="str">
        <f aca="false">IFERROR(IF(IFERROR(MATCH(8,المحفظة!$H$5:$H$104,0),0)=0,"",INDEX(المحفظة!$F$5:$F$104,IFERROR(MATCH(8,المحفظة!$H$5:$H$104,0),0))),"")</f>
        <v>نقداً</v>
      </c>
      <c r="G12" s="124"/>
    </row>
    <row r="13" customFormat="false" ht="16.5" hidden="false" customHeight="true" outlineLevel="0" collapsed="false">
      <c r="A13" s="10" t="n">
        <f aca="false">IFERROR(IF(IFERROR(MATCH(9,المحفظة!$H$5:$H$104,0),0)=0,"",INDEX(المحفظة!$A$5:$A$104,IFERROR(MATCH(9,المحفظة!$H$5:$H$104,0),0))),"")</f>
        <v>46159</v>
      </c>
      <c r="B13" s="11" t="str">
        <f aca="false">IFERROR(IF(IFERROR(MATCH(9,المحفظة!$H$5:$H$104,0),0)=0,"",INDEX(المحفظة!$B$5:$B$104,IFERROR(MATCH(9,المحفظة!$H$5:$H$104,0),0))),"")</f>
        <v>Inv-22</v>
      </c>
      <c r="C13" s="121" t="str">
        <f aca="false">IFERROR(IF(IFERROR(MATCH(9,المحفظة!$H$5:$H$104,0),0)=0,"",INDEX(المحفظة!$C$5:$C$104,IFERROR(MATCH(9,المحفظة!$H$5:$H$104,0),0))),"")</f>
        <v>فل عدد 30 الحبه 0.750</v>
      </c>
      <c r="D13" s="13" t="s">
        <v>6</v>
      </c>
      <c r="E13" s="14" t="n">
        <f aca="false">IFERROR(IF(IFERROR(MATCH(9,المحفظة!$H$5:$H$104,0),0)=0,"",INDEX(المحفظة!$E$5:$E$104,IFERROR(MATCH(9,المحفظة!$H$5:$H$104,0),0))),"")</f>
        <v>22.5</v>
      </c>
      <c r="F13" s="11" t="str">
        <f aca="false">IFERROR(IF(IFERROR(MATCH(9,المحفظة!$H$5:$H$104,0),0)=0,"",INDEX(المحفظة!$F$5:$F$104,IFERROR(MATCH(9,المحفظة!$H$5:$H$104,0),0))),"")</f>
        <v>نقداً</v>
      </c>
      <c r="G13" s="122"/>
    </row>
    <row r="14" customFormat="false" ht="16.5" hidden="false" customHeight="true" outlineLevel="0" collapsed="false">
      <c r="A14" s="17" t="n">
        <f aca="false">IFERROR(IF(IFERROR(MATCH(10,المحفظة!$H$5:$H$104,0),0)=0,"",INDEX(المحفظة!$A$5:$A$104,IFERROR(MATCH(10,المحفظة!$H$5:$H$104,0),0))),"")</f>
        <v>46159</v>
      </c>
      <c r="B14" s="18" t="str">
        <f aca="false">IFERROR(IF(IFERROR(MATCH(10,المحفظة!$H$5:$H$104,0),0)=0,"",INDEX(المحفظة!$B$5:$B$104,IFERROR(MATCH(10,المحفظة!$H$5:$H$104,0),0))),"")</f>
        <v>Inv-23</v>
      </c>
      <c r="C14" s="123" t="str">
        <f aca="false">IFERROR(IF(IFERROR(MATCH(10,المحفظة!$H$5:$H$104,0),0)=0,"",INDEX(المحفظة!$C$5:$C$104,IFERROR(MATCH(10,المحفظة!$H$5:$H$104,0),0))),"")</f>
        <v>برازيليا عدد 16 الحبه 0.500</v>
      </c>
      <c r="D14" s="20" t="s">
        <v>6</v>
      </c>
      <c r="E14" s="21" t="n">
        <f aca="false">IFERROR(IF(IFERROR(MATCH(10,المحفظة!$H$5:$H$104,0),0)=0,"",INDEX(المحفظة!$E$5:$E$104,IFERROR(MATCH(10,المحفظة!$H$5:$H$104,0),0))),"")</f>
        <v>8</v>
      </c>
      <c r="F14" s="18" t="str">
        <f aca="false">IFERROR(IF(IFERROR(MATCH(10,المحفظة!$H$5:$H$104,0),0)=0,"",INDEX(المحفظة!$F$5:$F$104,IFERROR(MATCH(10,المحفظة!$H$5:$H$104,0),0))),"")</f>
        <v>نقداً</v>
      </c>
      <c r="G14" s="124"/>
    </row>
    <row r="15" customFormat="false" ht="16.5" hidden="false" customHeight="true" outlineLevel="0" collapsed="false">
      <c r="A15" s="10" t="n">
        <f aca="false">IFERROR(IF(IFERROR(MATCH(11,المحفظة!$H$5:$H$104,0),0)=0,"",INDEX(المحفظة!$A$5:$A$104,IFERROR(MATCH(11,المحفظة!$H$5:$H$104,0),0))),"")</f>
        <v>46160</v>
      </c>
      <c r="B15" s="11" t="str">
        <f aca="false">IFERROR(IF(IFERROR(MATCH(11,المحفظة!$H$5:$H$104,0),0)=0,"",INDEX(المحفظة!$B$5:$B$104,IFERROR(MATCH(11,المحفظة!$H$5:$H$104,0),0))),"")</f>
        <v>Inv-24</v>
      </c>
      <c r="C15" s="121" t="str">
        <f aca="false">IFERROR(IF(IFERROR(MATCH(11,المحفظة!$H$5:$H$104,0),0)=0,"",INDEX(المحفظة!$C$5:$C$104,IFERROR(MATCH(11,المحفظة!$H$5:$H$104,0),0))),"")</f>
        <v>فل عدد10 الحبه 0.750</v>
      </c>
      <c r="D15" s="13" t="s">
        <v>6</v>
      </c>
      <c r="E15" s="14" t="n">
        <f aca="false">IFERROR(IF(IFERROR(MATCH(11,المحفظة!$H$5:$H$104,0),0)=0,"",INDEX(المحفظة!$E$5:$E$104,IFERROR(MATCH(11,المحفظة!$H$5:$H$104,0),0))),"")</f>
        <v>7.5</v>
      </c>
      <c r="F15" s="11" t="str">
        <f aca="false">IFERROR(IF(IFERROR(MATCH(11,المحفظة!$H$5:$H$104,0),0)=0,"",INDEX(المحفظة!$F$5:$F$104,IFERROR(MATCH(11,المحفظة!$H$5:$H$104,0),0))),"")</f>
        <v>نقداً</v>
      </c>
      <c r="G15" s="122"/>
    </row>
    <row r="16" customFormat="false" ht="16.5" hidden="false" customHeight="true" outlineLevel="0" collapsed="false">
      <c r="A16" s="17" t="n">
        <f aca="false">IFERROR(IF(IFERROR(MATCH(12,المحفظة!$H$5:$H$104,0),0)=0,"",INDEX(المحفظة!$A$5:$A$104,IFERROR(MATCH(12,المحفظة!$H$5:$H$104,0),0))),"")</f>
        <v>46160</v>
      </c>
      <c r="B16" s="18" t="str">
        <f aca="false">IFERROR(IF(IFERROR(MATCH(12,المحفظة!$H$5:$H$104,0),0)=0,"",INDEX(المحفظة!$B$5:$B$104,IFERROR(MATCH(12,المحفظة!$H$5:$H$104,0),0))),"")</f>
        <v>Inv-25</v>
      </c>
      <c r="C16" s="123" t="str">
        <f aca="false">IFERROR(IF(IFERROR(MATCH(12,المحفظة!$H$5:$H$104,0),0)=0,"",INDEX(المحفظة!$C$5:$C$104,IFERROR(MATCH(12,المحفظة!$H$5:$H$104,0),0))),"")</f>
        <v>دارسيناحمراء عدد 1</v>
      </c>
      <c r="D16" s="20" t="s">
        <v>6</v>
      </c>
      <c r="E16" s="21" t="n">
        <f aca="false">IFERROR(IF(IFERROR(MATCH(12,المحفظة!$H$5:$H$104,0),0)=0,"",INDEX(المحفظة!$E$5:$E$104,IFERROR(MATCH(12,المحفظة!$H$5:$H$104,0),0))),"")</f>
        <v>5</v>
      </c>
      <c r="F16" s="18" t="str">
        <f aca="false">IFERROR(IF(IFERROR(MATCH(12,المحفظة!$H$5:$H$104,0),0)=0,"",INDEX(المحفظة!$F$5:$F$104,IFERROR(MATCH(12,المحفظة!$H$5:$H$104,0),0))),"")</f>
        <v>نقداً</v>
      </c>
      <c r="G16" s="124"/>
    </row>
    <row r="17" customFormat="false" ht="16.5" hidden="false" customHeight="true" outlineLevel="0" collapsed="false">
      <c r="A17" s="10" t="n">
        <f aca="false">IFERROR(IF(IFERROR(MATCH(13,المحفظة!$H$5:$H$104,0),0)=0,"",INDEX(المحفظة!$A$5:$A$104,IFERROR(MATCH(13,المحفظة!$H$5:$H$104,0),0))),"")</f>
        <v>46160</v>
      </c>
      <c r="B17" s="11" t="str">
        <f aca="false">IFERROR(IF(IFERROR(MATCH(13,المحفظة!$H$5:$H$104,0),0)=0,"",INDEX(المحفظة!$B$5:$B$104,IFERROR(MATCH(13,المحفظة!$H$5:$H$104,0),0))),"")</f>
        <v>Inv-26</v>
      </c>
      <c r="C17" s="121" t="str">
        <f aca="false">IFERROR(IF(IFERROR(MATCH(13,المحفظة!$H$5:$H$104,0),0)=0,"",INDEX(المحفظة!$C$5:$C$104,IFERROR(MATCH(13,المحفظة!$H$5:$H$104,0),0))),"")</f>
        <v>دارسينا خضراء عدد 2 الحبه 1.500</v>
      </c>
      <c r="D17" s="13" t="s">
        <v>6</v>
      </c>
      <c r="E17" s="14" t="n">
        <f aca="false">IFERROR(IF(IFERROR(MATCH(13,المحفظة!$H$5:$H$104,0),0)=0,"",INDEX(المحفظة!$E$5:$E$104,IFERROR(MATCH(13,المحفظة!$H$5:$H$104,0),0))),"")</f>
        <v>3</v>
      </c>
      <c r="F17" s="11" t="str">
        <f aca="false">IFERROR(IF(IFERROR(MATCH(13,المحفظة!$H$5:$H$104,0),0)=0,"",INDEX(المحفظة!$F$5:$F$104,IFERROR(MATCH(13,المحفظة!$H$5:$H$104,0),0))),"")</f>
        <v>نقداً</v>
      </c>
      <c r="G17" s="122"/>
    </row>
    <row r="18" customFormat="false" ht="16.5" hidden="false" customHeight="true" outlineLevel="0" collapsed="false">
      <c r="A18" s="17" t="n">
        <f aca="false">IFERROR(IF(IFERROR(MATCH(14,المحفظة!$H$5:$H$104,0),0)=0,"",INDEX(المحفظة!$A$5:$A$104,IFERROR(MATCH(14,المحفظة!$H$5:$H$104,0),0))),"")</f>
        <v>46160</v>
      </c>
      <c r="B18" s="18" t="str">
        <f aca="false">IFERROR(IF(IFERROR(MATCH(14,المحفظة!$H$5:$H$104,0),0)=0,"",INDEX(المحفظة!$B$5:$B$104,IFERROR(MATCH(14,المحفظة!$H$5:$H$104,0),0))),"")</f>
        <v>Inv-27</v>
      </c>
      <c r="C18" s="123" t="str">
        <f aca="false">IFERROR(IF(IFERROR(MATCH(14,المحفظة!$H$5:$H$104,0),0)=0,"",INDEX(المحفظة!$C$5:$C$104,IFERROR(MATCH(14,المحفظة!$H$5:$H$104,0),0))),"")</f>
        <v>ربل عدد 2 الحبه 1.500</v>
      </c>
      <c r="D18" s="20" t="s">
        <v>6</v>
      </c>
      <c r="E18" s="21" t="n">
        <f aca="false">IFERROR(IF(IFERROR(MATCH(14,المحفظة!$H$5:$H$104,0),0)=0,"",INDEX(المحفظة!$E$5:$E$104,IFERROR(MATCH(14,المحفظة!$H$5:$H$104,0),0))),"")</f>
        <v>3</v>
      </c>
      <c r="F18" s="18" t="str">
        <f aca="false">IFERROR(IF(IFERROR(MATCH(14,المحفظة!$H$5:$H$104,0),0)=0,"",INDEX(المحفظة!$F$5:$F$104,IFERROR(MATCH(14,المحفظة!$H$5:$H$104,0),0))),"")</f>
        <v>نقداً</v>
      </c>
      <c r="G18" s="124"/>
    </row>
    <row r="19" customFormat="false" ht="16.5" hidden="false" customHeight="true" outlineLevel="0" collapsed="false">
      <c r="A19" s="10" t="n">
        <f aca="false">IFERROR(IF(IFERROR(MATCH(15,المحفظة!$H$5:$H$104,0),0)=0,"",INDEX(المحفظة!$A$5:$A$104,IFERROR(MATCH(15,المحفظة!$H$5:$H$104,0),0))),"")</f>
        <v>46160</v>
      </c>
      <c r="B19" s="11" t="str">
        <f aca="false">IFERROR(IF(IFERROR(MATCH(15,المحفظة!$H$5:$H$104,0),0)=0,"",INDEX(المحفظة!$B$5:$B$104,IFERROR(MATCH(15,المحفظة!$H$5:$H$104,0),0))),"")</f>
        <v>Inv-28</v>
      </c>
      <c r="C19" s="121" t="str">
        <f aca="false">IFERROR(IF(IFERROR(MATCH(15,المحفظة!$H$5:$H$104,0),0)=0,"",INDEX(المحفظة!$C$5:$C$104,IFERROR(MATCH(15,المحفظة!$H$5:$H$104,0),0))),"")</f>
        <v>دارسينا حمراء عدد2 الحبه 2.500</v>
      </c>
      <c r="D19" s="13" t="s">
        <v>6</v>
      </c>
      <c r="E19" s="14" t="n">
        <f aca="false">IFERROR(IF(IFERROR(MATCH(15,المحفظة!$H$5:$H$104,0),0)=0,"",INDEX(المحفظة!$E$5:$E$104,IFERROR(MATCH(15,المحفظة!$H$5:$H$104,0),0))),"")</f>
        <v>5</v>
      </c>
      <c r="F19" s="11" t="str">
        <f aca="false">IFERROR(IF(IFERROR(MATCH(15,المحفظة!$H$5:$H$104,0),0)=0,"",INDEX(المحفظة!$F$5:$F$104,IFERROR(MATCH(15,المحفظة!$H$5:$H$104,0),0))),"")</f>
        <v>نقداً</v>
      </c>
      <c r="G19" s="122"/>
    </row>
    <row r="20" customFormat="false" ht="16.5" hidden="false" customHeight="true" outlineLevel="0" collapsed="false">
      <c r="A20" s="17" t="n">
        <f aca="false">IFERROR(IF(IFERROR(MATCH(16,المحفظة!$H$5:$H$104,0),0)=0,"",INDEX(المحفظة!$A$5:$A$104,IFERROR(MATCH(16,المحفظة!$H$5:$H$104,0),0))),"")</f>
        <v>46160</v>
      </c>
      <c r="B20" s="18" t="str">
        <f aca="false">IFERROR(IF(IFERROR(MATCH(16,المحفظة!$H$5:$H$104,0),0)=0,"",INDEX(المحفظة!$B$5:$B$104,IFERROR(MATCH(16,المحفظة!$H$5:$H$104,0),0))),"")</f>
        <v>Inv-29</v>
      </c>
      <c r="C20" s="123" t="str">
        <f aca="false">IFERROR(IF(IFERROR(MATCH(16,المحفظة!$H$5:$H$104,0),0)=0,"",INDEX(المحفظة!$C$5:$C$104,IFERROR(MATCH(16,المحفظة!$H$5:$H$104,0),0))),"")</f>
        <v>برازيليا عدد 10 الحبه 0.500</v>
      </c>
      <c r="D20" s="20" t="s">
        <v>6</v>
      </c>
      <c r="E20" s="21" t="n">
        <f aca="false">IFERROR(IF(IFERROR(MATCH(16,المحفظة!$H$5:$H$104,0),0)=0,"",INDEX(المحفظة!$E$5:$E$104,IFERROR(MATCH(16,المحفظة!$H$5:$H$104,0),0))),"")</f>
        <v>5</v>
      </c>
      <c r="F20" s="18" t="str">
        <f aca="false">IFERROR(IF(IFERROR(MATCH(16,المحفظة!$H$5:$H$104,0),0)=0,"",INDEX(المحفظة!$F$5:$F$104,IFERROR(MATCH(16,المحفظة!$H$5:$H$104,0),0))),"")</f>
        <v>نقداً</v>
      </c>
      <c r="G20" s="124"/>
    </row>
    <row r="21" customFormat="false" ht="16.5" hidden="false" customHeight="true" outlineLevel="0" collapsed="false">
      <c r="A21" s="10" t="n">
        <f aca="false">IFERROR(IF(IFERROR(MATCH(17,المحفظة!$H$5:$H$104,0),0)=0,"",INDEX(المحفظة!$A$5:$A$104,IFERROR(MATCH(17,المحفظة!$H$5:$H$104,0),0))),"")</f>
        <v>46160</v>
      </c>
      <c r="B21" s="11" t="str">
        <f aca="false">IFERROR(IF(IFERROR(MATCH(17,المحفظة!$H$5:$H$104,0),0)=0,"",INDEX(المحفظة!$B$5:$B$104,IFERROR(MATCH(17,المحفظة!$H$5:$H$104,0),0))),"")</f>
        <v>85164</v>
      </c>
      <c r="C21" s="121" t="str">
        <f aca="false">IFERROR(IF(IFERROR(MATCH(17,المحفظة!$H$5:$H$104,0),0)=0,"",INDEX(المحفظة!$C$5:$C$104,IFERROR(MATCH(17,المحفظة!$H$5:$H$104,0),0))),"")</f>
        <v>مبيد اسيتبلان عدد 1</v>
      </c>
      <c r="D21" s="13" t="s">
        <v>6</v>
      </c>
      <c r="E21" s="14" t="n">
        <f aca="false">IFERROR(IF(IFERROR(MATCH(17,المحفظة!$H$5:$H$104,0),0)=0,"",INDEX(المحفظة!$E$5:$E$104,IFERROR(MATCH(17,المحفظة!$H$5:$H$104,0),0))),"")</f>
        <v>0</v>
      </c>
      <c r="F21" s="11" t="str">
        <f aca="false">IFERROR(IF(IFERROR(MATCH(17,المحفظة!$H$5:$H$104,0),0)=0,"",INDEX(المحفظة!$F$5:$F$104,IFERROR(MATCH(17,المحفظة!$H$5:$H$104,0),0))),"")</f>
        <v>نقداً</v>
      </c>
      <c r="G21" s="122"/>
    </row>
    <row r="22" customFormat="false" ht="16.5" hidden="false" customHeight="true" outlineLevel="0" collapsed="false">
      <c r="A22" s="17" t="n">
        <f aca="false">IFERROR(IF(IFERROR(MATCH(18,المحفظة!$H$5:$H$104,0),0)=0,"",INDEX(المحفظة!$A$5:$A$104,IFERROR(MATCH(18,المحفظة!$H$5:$H$104,0),0))),"")</f>
        <v>46162</v>
      </c>
      <c r="B22" s="18" t="str">
        <f aca="false">IFERROR(IF(IFERROR(MATCH(18,المحفظة!$H$5:$H$104,0),0)=0,"",INDEX(المحفظة!$B$5:$B$104,IFERROR(MATCH(18,المحفظة!$H$5:$H$104,0),0))),"")</f>
        <v>Inv-31</v>
      </c>
      <c r="C22" s="123" t="str">
        <f aca="false">IFERROR(IF(IFERROR(MATCH(18,المحفظة!$H$5:$H$104,0),0)=0,"",INDEX(المحفظة!$C$5:$C$104,IFERROR(MATCH(18,المحفظة!$H$5:$H$104,0),0))),"")</f>
        <v>فل عدد30 الحبه 0.750</v>
      </c>
      <c r="D22" s="20" t="s">
        <v>6</v>
      </c>
      <c r="E22" s="21" t="n">
        <f aca="false">IFERROR(IF(IFERROR(MATCH(18,المحفظة!$H$5:$H$104,0),0)=0,"",INDEX(المحفظة!$E$5:$E$104,IFERROR(MATCH(18,المحفظة!$H$5:$H$104,0),0))),"")</f>
        <v>22.5</v>
      </c>
      <c r="F22" s="18" t="str">
        <f aca="false">IFERROR(IF(IFERROR(MATCH(18,المحفظة!$H$5:$H$104,0),0)=0,"",INDEX(المحفظة!$F$5:$F$104,IFERROR(MATCH(18,المحفظة!$H$5:$H$104,0),0))),"")</f>
        <v>نقداً</v>
      </c>
      <c r="G22" s="124"/>
    </row>
    <row r="23" customFormat="false" ht="16.5" hidden="false" customHeight="true" outlineLevel="0" collapsed="false">
      <c r="A23" s="10" t="n">
        <f aca="false">IFERROR(IF(IFERROR(MATCH(19,المحفظة!$H$5:$H$104,0),0)=0,"",INDEX(المحفظة!$A$5:$A$104,IFERROR(MATCH(19,المحفظة!$H$5:$H$104,0),0))),"")</f>
        <v>46162</v>
      </c>
      <c r="B23" s="11" t="str">
        <f aca="false">IFERROR(IF(IFERROR(MATCH(19,المحفظة!$H$5:$H$104,0),0)=0,"",INDEX(المحفظة!$B$5:$B$104,IFERROR(MATCH(19,المحفظة!$H$5:$H$104,0),0))),"")</f>
        <v>Inv-32</v>
      </c>
      <c r="C23" s="121" t="str">
        <f aca="false">IFERROR(IF(IFERROR(MATCH(19,المحفظة!$H$5:$H$104,0),0)=0,"",INDEX(المحفظة!$C$5:$C$104,IFERROR(MATCH(19,المحفظة!$H$5:$H$104,0),0))),"")</f>
        <v>برازيليا عدد 50 الحبه0.500</v>
      </c>
      <c r="D23" s="13" t="s">
        <v>6</v>
      </c>
      <c r="E23" s="14" t="n">
        <f aca="false">IFERROR(IF(IFERROR(MATCH(19,المحفظة!$H$5:$H$104,0),0)=0,"",INDEX(المحفظة!$E$5:$E$104,IFERROR(MATCH(19,المحفظة!$H$5:$H$104,0),0))),"")</f>
        <v>25</v>
      </c>
      <c r="F23" s="11" t="str">
        <f aca="false">IFERROR(IF(IFERROR(MATCH(19,المحفظة!$H$5:$H$104,0),0)=0,"",INDEX(المحفظة!$F$5:$F$104,IFERROR(MATCH(19,المحفظة!$H$5:$H$104,0),0))),"")</f>
        <v>نقداً</v>
      </c>
      <c r="G23" s="122"/>
    </row>
    <row r="24" customFormat="false" ht="15" hidden="false" customHeight="true" outlineLevel="0" collapsed="false">
      <c r="A24" s="125" t="n">
        <f aca="false">IFERROR(IF(IFERROR(MATCH(20,المحفظة!$H$5:$H$104,0),0)=0,"",INDEX(المحفظة!$A$5:$A$104,IFERROR(MATCH(20,المحفظة!$H$5:$H$104,0),0))),"")</f>
        <v>46163</v>
      </c>
      <c r="B24" s="126" t="str">
        <f aca="false">IFERROR(IF(IFERROR(MATCH(20,المحفظة!$H$5:$H$104,0),0)=0,"",INDEX(المحفظة!$B$5:$B$104,IFERROR(MATCH(20,المحفظة!$H$5:$H$104,0),0))),"")</f>
        <v>Inv-33</v>
      </c>
      <c r="C24" s="127" t="str">
        <f aca="false">IFERROR(IF(IFERROR(MATCH(20,المحفظة!$H$5:$H$104,0),0)=0,"",INDEX(المحفظة!$C$5:$C$104,IFERROR(MATCH(20,المحفظة!$H$5:$H$104,0),0))),"")</f>
        <v>برازيليا عدد 75 الحبه 0.500</v>
      </c>
      <c r="D24" s="128" t="s">
        <v>6</v>
      </c>
      <c r="E24" s="129" t="n">
        <f aca="false">IFERROR(IF(IFERROR(MATCH(20,المحفظة!$H$5:$H$104,0),0)=0,"",INDEX(المحفظة!$E$5:$E$104,IFERROR(MATCH(20,المحفظة!$H$5:$H$104,0),0))),"")</f>
        <v>37.5</v>
      </c>
      <c r="F24" s="126" t="str">
        <f aca="false">IFERROR(IF(IFERROR(MATCH(20,المحفظة!$H$5:$H$104,0),0)=0,"",INDEX(المحفظة!$F$5:$F$104,IFERROR(MATCH(20,المحفظة!$H$5:$H$104,0),0))),"")</f>
        <v>نقداً</v>
      </c>
      <c r="G24" s="23"/>
    </row>
    <row r="25" customFormat="false" ht="15" hidden="false" customHeight="true" outlineLevel="0" collapsed="false">
      <c r="A25" s="130" t="n">
        <f aca="false">IFERROR(IF(IFERROR(MATCH(21,المحفظة!$H$5:$H$104,0),0)=0,"",INDEX(المحفظة!$A$5:$A$104,IFERROR(MATCH(21,المحفظة!$H$5:$H$104,0),0))),"")</f>
        <v>46163</v>
      </c>
      <c r="B25" s="131" t="str">
        <f aca="false">IFERROR(IF(IFERROR(MATCH(21,المحفظة!$H$5:$H$104,0),0)=0,"",INDEX(المحفظة!$B$5:$B$104,IFERROR(MATCH(21,المحفظة!$H$5:$H$104,0),0))),"")</f>
        <v>Inv-34</v>
      </c>
      <c r="C25" s="132" t="str">
        <f aca="false">IFERROR(IF(IFERROR(MATCH(21,المحفظة!$H$5:$H$104,0),0)=0,"",INDEX(المحفظة!$C$5:$C$104,IFERROR(MATCH(21,المحفظة!$H$5:$H$104,0),0))),"")</f>
        <v>دارسينيا احمر عدد1 حبه 2.500</v>
      </c>
      <c r="D25" s="133" t="s">
        <v>6</v>
      </c>
      <c r="E25" s="134" t="n">
        <f aca="false">IFERROR(IF(IFERROR(MATCH(21,المحفظة!$H$5:$H$104,0),0)=0,"",INDEX(المحفظة!$E$5:$E$104,IFERROR(MATCH(21,المحفظة!$H$5:$H$104,0),0))),"")</f>
        <v>2.5</v>
      </c>
      <c r="F25" s="131" t="str">
        <f aca="false">IFERROR(IF(IFERROR(MATCH(21,المحفظة!$H$5:$H$104,0),0)=0,"",INDEX(المحفظة!$F$5:$F$104,IFERROR(MATCH(21,المحفظة!$H$5:$H$104,0),0))),"")</f>
        <v>نقداً</v>
      </c>
      <c r="G25" s="16"/>
    </row>
    <row r="26" customFormat="false" ht="15" hidden="false" customHeight="true" outlineLevel="0" collapsed="false">
      <c r="A26" s="125" t="n">
        <f aca="false">IFERROR(IF(IFERROR(MATCH(22,المحفظة!$H$5:$H$104,0),0)=0,"",INDEX(المحفظة!$A$5:$A$104,IFERROR(MATCH(22,المحفظة!$H$5:$H$104,0),0))),"")</f>
        <v>46164</v>
      </c>
      <c r="B26" s="126" t="str">
        <f aca="false">IFERROR(IF(IFERROR(MATCH(22,المحفظة!$H$5:$H$104,0),0)=0,"",INDEX(المحفظة!$B$5:$B$104,IFERROR(MATCH(22,المحفظة!$H$5:$H$104,0),0))),"")</f>
        <v>Inv-35</v>
      </c>
      <c r="C26" s="127" t="str">
        <f aca="false">IFERROR(IF(IFERROR(MATCH(22,المحفظة!$H$5:$H$104,0),0)=0,"",INDEX(المحفظة!$C$5:$C$104,IFERROR(MATCH(22,المحفظة!$H$5:$H$104,0),0))),"")</f>
        <v>دارسينا حمراء عدد 6 الحبه 2,500</v>
      </c>
      <c r="D26" s="128" t="s">
        <v>6</v>
      </c>
      <c r="E26" s="129" t="n">
        <f aca="false">IFERROR(IF(IFERROR(MATCH(22,المحفظة!$H$5:$H$104,0),0)=0,"",INDEX(المحفظة!$E$5:$E$104,IFERROR(MATCH(22,المحفظة!$H$5:$H$104,0),0))),"")</f>
        <v>15</v>
      </c>
      <c r="F26" s="126" t="str">
        <f aca="false">IFERROR(IF(IFERROR(MATCH(22,المحفظة!$H$5:$H$104,0),0)=0,"",INDEX(المحفظة!$F$5:$F$104,IFERROR(MATCH(22,المحفظة!$H$5:$H$104,0),0))),"")</f>
        <v>نقداً</v>
      </c>
      <c r="G26" s="23"/>
    </row>
    <row r="27" customFormat="false" ht="15" hidden="false" customHeight="true" outlineLevel="0" collapsed="false">
      <c r="A27" s="130" t="n">
        <f aca="false">IFERROR(IF(IFERROR(MATCH(23,المحفظة!$H$5:$H$104,0),0)=0,"",INDEX(المحفظة!$A$5:$A$104,IFERROR(MATCH(23,المحفظة!$H$5:$H$104,0),0))),"")</f>
        <v>46164</v>
      </c>
      <c r="B27" s="131" t="str">
        <f aca="false">IFERROR(IF(IFERROR(MATCH(23,المحفظة!$H$5:$H$104,0),0)=0,"",INDEX(المحفظة!$B$5:$B$104,IFERROR(MATCH(23,المحفظة!$H$5:$H$104,0),0))),"")</f>
        <v>Inv-36</v>
      </c>
      <c r="C27" s="132" t="str">
        <f aca="false">IFERROR(IF(IFERROR(MATCH(23,المحفظة!$H$5:$H$104,0),0)=0,"",INDEX(المحفظة!$C$5:$C$104,IFERROR(MATCH(23,المحفظة!$H$5:$H$104,0),0))),"")</f>
        <v>ربل عدد4 الحبه 1.500</v>
      </c>
      <c r="D27" s="133" t="s">
        <v>6</v>
      </c>
      <c r="E27" s="134" t="n">
        <f aca="false">IFERROR(IF(IFERROR(MATCH(23,المحفظة!$H$5:$H$104,0),0)=0,"",INDEX(المحفظة!$E$5:$E$104,IFERROR(MATCH(23,المحفظة!$H$5:$H$104,0),0))),"")</f>
        <v>6</v>
      </c>
      <c r="F27" s="131" t="str">
        <f aca="false">IFERROR(IF(IFERROR(MATCH(23,المحفظة!$H$5:$H$104,0),0)=0,"",INDEX(المحفظة!$F$5:$F$104,IFERROR(MATCH(23,المحفظة!$H$5:$H$104,0),0))),"")</f>
        <v>نقداً</v>
      </c>
      <c r="G27" s="16"/>
    </row>
    <row r="28" customFormat="false" ht="15" hidden="false" customHeight="true" outlineLevel="0" collapsed="false">
      <c r="A28" s="125" t="n">
        <f aca="false">IFERROR(IF(IFERROR(MATCH(24,المحفظة!$H$5:$H$104,0),0)=0,"",INDEX(المحفظة!$A$5:$A$104,IFERROR(MATCH(24,المحفظة!$H$5:$H$104,0),0))),"")</f>
        <v>46167</v>
      </c>
      <c r="B28" s="126" t="str">
        <f aca="false">IFERROR(IF(IFERROR(MATCH(24,المحفظة!$H$5:$H$104,0),0)=0,"",INDEX(المحفظة!$B$5:$B$104,IFERROR(MATCH(24,المحفظة!$H$5:$H$104,0),0))),"")</f>
        <v>Inv-37</v>
      </c>
      <c r="C28" s="127" t="str">
        <f aca="false">IFERROR(IF(IFERROR(MATCH(24,المحفظة!$H$5:$H$104,0),0)=0,"",INDEX(المحفظة!$C$5:$C$104,IFERROR(MATCH(24,المحفظة!$H$5:$H$104,0),0))),"")</f>
        <v>عطره عدد 10 الحبه 0.750</v>
      </c>
      <c r="D28" s="128" t="s">
        <v>6</v>
      </c>
      <c r="E28" s="129" t="n">
        <f aca="false">IFERROR(IF(IFERROR(MATCH(24,المحفظة!$H$5:$H$104,0),0)=0,"",INDEX(المحفظة!$E$5:$E$104,IFERROR(MATCH(24,المحفظة!$H$5:$H$104,0),0))),"")</f>
        <v>7.5</v>
      </c>
      <c r="F28" s="126" t="str">
        <f aca="false">IFERROR(IF(IFERROR(MATCH(24,المحفظة!$H$5:$H$104,0),0)=0,"",INDEX(المحفظة!$F$5:$F$104,IFERROR(MATCH(24,المحفظة!$H$5:$H$104,0),0))),"")</f>
        <v>نقداً</v>
      </c>
      <c r="G28" s="23"/>
    </row>
    <row r="29" customFormat="false" ht="15" hidden="false" customHeight="true" outlineLevel="0" collapsed="false">
      <c r="A29" s="130" t="n">
        <f aca="false">IFERROR(IF(IFERROR(MATCH(25,المحفظة!$H$5:$H$104,0),0)=0,"",INDEX(المحفظة!$A$5:$A$104,IFERROR(MATCH(25,المحفظة!$H$5:$H$104,0),0))),"")</f>
        <v>46167</v>
      </c>
      <c r="B29" s="131" t="str">
        <f aca="false">IFERROR(IF(IFERROR(MATCH(25,المحفظة!$H$5:$H$104,0),0)=0,"",INDEX(المحفظة!$B$5:$B$104,IFERROR(MATCH(25,المحفظة!$H$5:$H$104,0),0))),"")</f>
        <v>Inv-38</v>
      </c>
      <c r="C29" s="132" t="str">
        <f aca="false">IFERROR(IF(IFERROR(MATCH(25,المحفظة!$H$5:$H$104,0),0)=0,"",INDEX(المحفظة!$C$5:$C$104,IFERROR(MATCH(25,المحفظة!$H$5:$H$104,0),0))),"")</f>
        <v>ودليه عدد 2 الحبه 1</v>
      </c>
      <c r="D29" s="133" t="s">
        <v>6</v>
      </c>
      <c r="E29" s="134" t="n">
        <f aca="false">IFERROR(IF(IFERROR(MATCH(25,المحفظة!$H$5:$H$104,0),0)=0,"",INDEX(المحفظة!$E$5:$E$104,IFERROR(MATCH(25,المحفظة!$H$5:$H$104,0),0))),"")</f>
        <v>2</v>
      </c>
      <c r="F29" s="131" t="str">
        <f aca="false">IFERROR(IF(IFERROR(MATCH(25,المحفظة!$H$5:$H$104,0),0)=0,"",INDEX(المحفظة!$F$5:$F$104,IFERROR(MATCH(25,المحفظة!$H$5:$H$104,0),0))),"")</f>
        <v>نقداً</v>
      </c>
      <c r="G29" s="16"/>
    </row>
    <row r="30" customFormat="false" ht="15" hidden="false" customHeight="true" outlineLevel="0" collapsed="false">
      <c r="A30" s="125" t="n">
        <f aca="false">IFERROR(IF(IFERROR(MATCH(26,المحفظة!$H$5:$H$104,0),0)=0,"",INDEX(المحفظة!$A$5:$A$104,IFERROR(MATCH(26,المحفظة!$H$5:$H$104,0),0))),"")</f>
        <v>46167</v>
      </c>
      <c r="B30" s="126" t="str">
        <f aca="false">IFERROR(IF(IFERROR(MATCH(26,المحفظة!$H$5:$H$104,0),0)=0,"",INDEX(المحفظة!$B$5:$B$104,IFERROR(MATCH(26,المحفظة!$H$5:$H$104,0),0))),"")</f>
        <v>Inv-39</v>
      </c>
      <c r="C30" s="127" t="str">
        <f aca="false">IFERROR(IF(IFERROR(MATCH(26,المحفظة!$H$5:$H$104,0),0)=0,"",INDEX(المحفظة!$C$5:$C$104,IFERROR(MATCH(26,المحفظة!$H$5:$H$104,0),0))),"")</f>
        <v>داراسينا حمراء عدد4 الحبه 1</v>
      </c>
      <c r="D30" s="128" t="s">
        <v>6</v>
      </c>
      <c r="E30" s="129" t="n">
        <f aca="false">IFERROR(IF(IFERROR(MATCH(26,المحفظة!$H$5:$H$104,0),0)=0,"",INDEX(المحفظة!$E$5:$E$104,IFERROR(MATCH(26,المحفظة!$H$5:$H$104,0),0))),"")</f>
        <v>4</v>
      </c>
      <c r="F30" s="126" t="str">
        <f aca="false">IFERROR(IF(IFERROR(MATCH(26,المحفظة!$H$5:$H$104,0),0)=0,"",INDEX(المحفظة!$F$5:$F$104,IFERROR(MATCH(26,المحفظة!$H$5:$H$104,0),0))),"")</f>
        <v>نقداً</v>
      </c>
      <c r="G30" s="23"/>
    </row>
    <row r="31" customFormat="false" ht="15" hidden="false" customHeight="true" outlineLevel="0" collapsed="false">
      <c r="A31" s="130" t="n">
        <f aca="false">IFERROR(IF(IFERROR(MATCH(27,المحفظة!$H$5:$H$104,0),0)=0,"",INDEX(المحفظة!$A$5:$A$104,IFERROR(MATCH(27,المحفظة!$H$5:$H$104,0),0))),"")</f>
        <v>46167</v>
      </c>
      <c r="B31" s="131" t="n">
        <f aca="false">IFERROR(IF(IFERROR(MATCH(27,المحفظة!$H$5:$H$104,0),0)=0,"",INDEX(المحفظة!$B$5:$B$104,IFERROR(MATCH(27,المحفظة!$H$5:$H$104,0),0))),"")</f>
        <v>0</v>
      </c>
      <c r="C31" s="132" t="str">
        <f aca="false">IFERROR(IF(IFERROR(MATCH(27,المحفظة!$H$5:$H$104,0),0)=0,"",INDEX(المحفظة!$C$5:$C$104,IFERROR(MATCH(27,المحفظة!$H$5:$H$104,0),0))),"")</f>
        <v>يزل ماكينه كهرباء</v>
      </c>
      <c r="D31" s="133" t="s">
        <v>6</v>
      </c>
      <c r="E31" s="134" t="n">
        <f aca="false">IFERROR(IF(IFERROR(MATCH(27,المحفظة!$H$5:$H$104,0),0)=0,"",INDEX(المحفظة!$E$5:$E$104,IFERROR(MATCH(27,المحفظة!$H$5:$H$104,0),0))),"")</f>
        <v>0</v>
      </c>
      <c r="F31" s="131" t="str">
        <f aca="false">IFERROR(IF(IFERROR(MATCH(27,المحفظة!$H$5:$H$104,0),0)=0,"",INDEX(المحفظة!$F$5:$F$104,IFERROR(MATCH(27,المحفظة!$H$5:$H$104,0),0))),"")</f>
        <v>أحد الشركاء</v>
      </c>
      <c r="G31" s="16"/>
    </row>
    <row r="32" customFormat="false" ht="15" hidden="false" customHeight="true" outlineLevel="0" collapsed="false">
      <c r="A32" s="125" t="n">
        <f aca="false">IFERROR(IF(IFERROR(MATCH(28,المحفظة!$H$5:$H$104,0),0)=0,"",INDEX(المحفظة!$A$5:$A$104,IFERROR(MATCH(28,المحفظة!$H$5:$H$104,0),0))),"")</f>
        <v>46146</v>
      </c>
      <c r="B32" s="126" t="str">
        <f aca="false">IFERROR(IF(IFERROR(MATCH(28,المحفظة!$H$5:$H$104,0),0)=0,"",INDEX(المحفظة!$B$5:$B$104,IFERROR(MATCH(28,المحفظة!$H$5:$H$104,0),0))),"")</f>
        <v>Inv-41</v>
      </c>
      <c r="C32" s="127" t="str">
        <f aca="false">IFERROR(IF(IFERROR(MATCH(28,المحفظة!$H$5:$H$104,0),0)=0,"",INDEX(المحفظة!$C$5:$C$104,IFERROR(MATCH(28,المحفظة!$H$5:$H$104,0),0))),"")</f>
        <v>other</v>
      </c>
      <c r="D32" s="128" t="s">
        <v>6</v>
      </c>
      <c r="E32" s="129" t="n">
        <f aca="false">IFERROR(IF(IFERROR(MATCH(28,المحفظة!$H$5:$H$104,0),0)=0,"",INDEX(المحفظة!$E$5:$E$104,IFERROR(MATCH(28,المحفظة!$H$5:$H$104,0),0))),"")</f>
        <v>9</v>
      </c>
      <c r="F32" s="126" t="str">
        <f aca="false">IFERROR(IF(IFERROR(MATCH(28,المحفظة!$H$5:$H$104,0),0)=0,"",INDEX(المحفظة!$F$5:$F$104,IFERROR(MATCH(28,المحفظة!$H$5:$H$104,0),0))),"")</f>
        <v>نقداً</v>
      </c>
      <c r="G32" s="23"/>
    </row>
    <row r="33" customFormat="false" ht="15" hidden="false" customHeight="true" outlineLevel="0" collapsed="false">
      <c r="A33" s="130" t="n">
        <f aca="false">IFERROR(IF(IFERROR(MATCH(29,المحفظة!$H$5:$H$104,0),0)=0,"",INDEX(المحفظة!$A$5:$A$104,IFERROR(MATCH(29,المحفظة!$H$5:$H$104,0),0))),"")</f>
        <v>46146</v>
      </c>
      <c r="B33" s="131" t="str">
        <f aca="false">IFERROR(IF(IFERROR(MATCH(29,المحفظة!$H$5:$H$104,0),0)=0,"",INDEX(المحفظة!$B$5:$B$104,IFERROR(MATCH(29,المحفظة!$H$5:$H$104,0),0))),"")</f>
        <v>Inv-42</v>
      </c>
      <c r="C33" s="132" t="str">
        <f aca="false">IFERROR(IF(IFERROR(MATCH(29,المحفظة!$H$5:$H$104,0),0)=0,"",INDEX(المحفظة!$C$5:$C$104,IFERROR(MATCH(29,المحفظة!$H$5:$H$104,0),0))),"")</f>
        <v>other</v>
      </c>
      <c r="D33" s="133" t="s">
        <v>6</v>
      </c>
      <c r="E33" s="134" t="n">
        <f aca="false">IFERROR(IF(IFERROR(MATCH(29,المحفظة!$H$5:$H$104,0),0)=0,"",INDEX(المحفظة!$E$5:$E$104,IFERROR(MATCH(29,المحفظة!$H$5:$H$104,0),0))),"")</f>
        <v>2</v>
      </c>
      <c r="F33" s="131" t="str">
        <f aca="false">IFERROR(IF(IFERROR(MATCH(29,المحفظة!$H$5:$H$104,0),0)=0,"",INDEX(المحفظة!$F$5:$F$104,IFERROR(MATCH(29,المحفظة!$H$5:$H$104,0),0))),"")</f>
        <v>نقداً</v>
      </c>
      <c r="G33" s="16"/>
    </row>
    <row r="34" customFormat="false" ht="15" hidden="false" customHeight="true" outlineLevel="0" collapsed="false">
      <c r="A34" s="125" t="n">
        <f aca="false">IFERROR(IF(IFERROR(MATCH(30,المحفظة!$H$5:$H$104,0),0)=0,"",INDEX(المحفظة!$A$5:$A$104,IFERROR(MATCH(30,المحفظة!$H$5:$H$104,0),0))),"")</f>
        <v>46147</v>
      </c>
      <c r="B34" s="126" t="str">
        <f aca="false">IFERROR(IF(IFERROR(MATCH(30,المحفظة!$H$5:$H$104,0),0)=0,"",INDEX(المحفظة!$B$5:$B$104,IFERROR(MATCH(30,المحفظة!$H$5:$H$104,0),0))),"")</f>
        <v>Inv-43</v>
      </c>
      <c r="C34" s="127" t="str">
        <f aca="false">IFERROR(IF(IFERROR(MATCH(30,المحفظة!$H$5:$H$104,0),0)=0,"",INDEX(المحفظة!$C$5:$C$104,IFERROR(MATCH(30,المحفظة!$H$5:$H$104,0),0))),"")</f>
        <v>other</v>
      </c>
      <c r="D34" s="128" t="s">
        <v>6</v>
      </c>
      <c r="E34" s="129" t="n">
        <f aca="false">IFERROR(IF(IFERROR(MATCH(30,المحفظة!$H$5:$H$104,0),0)=0,"",INDEX(المحفظة!$E$5:$E$104,IFERROR(MATCH(30,المحفظة!$H$5:$H$104,0),0))),"")</f>
        <v>3.75</v>
      </c>
      <c r="F34" s="126" t="str">
        <f aca="false">IFERROR(IF(IFERROR(MATCH(30,المحفظة!$H$5:$H$104,0),0)=0,"",INDEX(المحفظة!$F$5:$F$104,IFERROR(MATCH(30,المحفظة!$H$5:$H$104,0),0))),"")</f>
        <v>نقداً</v>
      </c>
      <c r="G34" s="23"/>
    </row>
    <row r="35" customFormat="false" ht="15" hidden="false" customHeight="true" outlineLevel="0" collapsed="false">
      <c r="A35" s="130" t="n">
        <f aca="false">IFERROR(IF(IFERROR(MATCH(31,المحفظة!$H$5:$H$104,0),0)=0,"",INDEX(المحفظة!$A$5:$A$104,IFERROR(MATCH(31,المحفظة!$H$5:$H$104,0),0))),"")</f>
        <v>46149</v>
      </c>
      <c r="B35" s="131" t="str">
        <f aca="false">IFERROR(IF(IFERROR(MATCH(31,المحفظة!$H$5:$H$104,0),0)=0,"",INDEX(المحفظة!$B$5:$B$104,IFERROR(MATCH(31,المحفظة!$H$5:$H$104,0),0))),"")</f>
        <v>Inv-44a</v>
      </c>
      <c r="C35" s="132" t="str">
        <f aca="false">IFERROR(IF(IFERROR(MATCH(31,المحفظة!$H$5:$H$104,0),0)=0,"",INDEX(المحفظة!$C$5:$C$104,IFERROR(MATCH(31,المحفظة!$H$5:$H$104,0),0))),"")</f>
        <v>other</v>
      </c>
      <c r="D35" s="133" t="s">
        <v>6</v>
      </c>
      <c r="E35" s="134" t="n">
        <f aca="false">IFERROR(IF(IFERROR(MATCH(31,المحفظة!$H$5:$H$104,0),0)=0,"",INDEX(المحفظة!$E$5:$E$104,IFERROR(MATCH(31,المحفظة!$H$5:$H$104,0),0))),"")</f>
        <v>5</v>
      </c>
      <c r="F35" s="131" t="str">
        <f aca="false">IFERROR(IF(IFERROR(MATCH(31,المحفظة!$H$5:$H$104,0),0)=0,"",INDEX(المحفظة!$F$5:$F$104,IFERROR(MATCH(31,المحفظة!$H$5:$H$104,0),0))),"")</f>
        <v>نقداً</v>
      </c>
      <c r="G35" s="16"/>
    </row>
    <row r="36" customFormat="false" ht="15" hidden="false" customHeight="true" outlineLevel="0" collapsed="false">
      <c r="A36" s="125" t="n">
        <f aca="false">IFERROR(IF(IFERROR(MATCH(32,المحفظة!$H$5:$H$104,0),0)=0,"",INDEX(المحفظة!$A$5:$A$104,IFERROR(MATCH(32,المحفظة!$H$5:$H$104,0),0))),"")</f>
        <v>46155</v>
      </c>
      <c r="B36" s="126" t="str">
        <f aca="false">IFERROR(IF(IFERROR(MATCH(32,المحفظة!$H$5:$H$104,0),0)=0,"",INDEX(المحفظة!$B$5:$B$104,IFERROR(MATCH(32,المحفظة!$H$5:$H$104,0),0))),"")</f>
        <v>Inv-44</v>
      </c>
      <c r="C36" s="127" t="str">
        <f aca="false">IFERROR(IF(IFERROR(MATCH(32,المحفظة!$H$5:$H$104,0),0)=0,"",INDEX(المحفظة!$C$5:$C$104,IFERROR(MATCH(32,المحفظة!$H$5:$H$104,0),0))),"")</f>
        <v>other</v>
      </c>
      <c r="D36" s="128" t="s">
        <v>6</v>
      </c>
      <c r="E36" s="129" t="n">
        <f aca="false">IFERROR(IF(IFERROR(MATCH(32,المحفظة!$H$5:$H$104,0),0)=0,"",INDEX(المحفظة!$E$5:$E$104,IFERROR(MATCH(32,المحفظة!$H$5:$H$104,0),0))),"")</f>
        <v>15</v>
      </c>
      <c r="F36" s="126" t="str">
        <f aca="false">IFERROR(IF(IFERROR(MATCH(32,المحفظة!$H$5:$H$104,0),0)=0,"",INDEX(المحفظة!$F$5:$F$104,IFERROR(MATCH(32,المحفظة!$H$5:$H$104,0),0))),"")</f>
        <v>نقداً</v>
      </c>
      <c r="G36" s="23"/>
    </row>
    <row r="37" customFormat="false" ht="15" hidden="false" customHeight="true" outlineLevel="0" collapsed="false">
      <c r="A37" s="130" t="n">
        <f aca="false">IFERROR(IF(IFERROR(MATCH(33,المحفظة!$H$5:$H$104,0),0)=0,"",INDEX(المحفظة!$A$5:$A$104,IFERROR(MATCH(33,المحفظة!$H$5:$H$104,0),0))),"")</f>
        <v>46155</v>
      </c>
      <c r="B37" s="131" t="str">
        <f aca="false">IFERROR(IF(IFERROR(MATCH(33,المحفظة!$H$5:$H$104,0),0)=0,"",INDEX(المحفظة!$B$5:$B$104,IFERROR(MATCH(33,المحفظة!$H$5:$H$104,0),0))),"")</f>
        <v>Inv-45</v>
      </c>
      <c r="C37" s="132" t="str">
        <f aca="false">IFERROR(IF(IFERROR(MATCH(33,المحفظة!$H$5:$H$104,0),0)=0,"",INDEX(المحفظة!$C$5:$C$104,IFERROR(MATCH(33,المحفظة!$H$5:$H$104,0),0))),"")</f>
        <v>other</v>
      </c>
      <c r="D37" s="133" t="s">
        <v>6</v>
      </c>
      <c r="E37" s="134" t="n">
        <f aca="false">IFERROR(IF(IFERROR(MATCH(33,المحفظة!$H$5:$H$104,0),0)=0,"",INDEX(المحفظة!$E$5:$E$104,IFERROR(MATCH(33,المحفظة!$H$5:$H$104,0),0))),"")</f>
        <v>4</v>
      </c>
      <c r="F37" s="131" t="str">
        <f aca="false">IFERROR(IF(IFERROR(MATCH(33,المحفظة!$H$5:$H$104,0),0)=0,"",INDEX(المحفظة!$F$5:$F$104,IFERROR(MATCH(33,المحفظة!$H$5:$H$104,0),0))),"")</f>
        <v>نقداً</v>
      </c>
      <c r="G37" s="16"/>
    </row>
    <row r="38" customFormat="false" ht="15" hidden="false" customHeight="true" outlineLevel="0" collapsed="false">
      <c r="A38" s="125" t="n">
        <f aca="false">IFERROR(IF(IFERROR(MATCH(34,المحفظة!$H$5:$H$104,0),0)=0,"",INDEX(المحفظة!$A$5:$A$104,IFERROR(MATCH(34,المحفظة!$H$5:$H$104,0),0))),"")</f>
        <v>46155</v>
      </c>
      <c r="B38" s="126" t="str">
        <f aca="false">IFERROR(IF(IFERROR(MATCH(34,المحفظة!$H$5:$H$104,0),0)=0,"",INDEX(المحفظة!$B$5:$B$104,IFERROR(MATCH(34,المحفظة!$H$5:$H$104,0),0))),"")</f>
        <v>Inv-46</v>
      </c>
      <c r="C38" s="127" t="str">
        <f aca="false">IFERROR(IF(IFERROR(MATCH(34,المحفظة!$H$5:$H$104,0),0)=0,"",INDEX(المحفظة!$C$5:$C$104,IFERROR(MATCH(34,المحفظة!$H$5:$H$104,0),0))),"")</f>
        <v>other</v>
      </c>
      <c r="D38" s="128" t="s">
        <v>6</v>
      </c>
      <c r="E38" s="129" t="n">
        <f aca="false">IFERROR(IF(IFERROR(MATCH(34,المحفظة!$H$5:$H$104,0),0)=0,"",INDEX(المحفظة!$E$5:$E$104,IFERROR(MATCH(34,المحفظة!$H$5:$H$104,0),0))),"")</f>
        <v>3.6</v>
      </c>
      <c r="F38" s="126" t="str">
        <f aca="false">IFERROR(IF(IFERROR(MATCH(34,المحفظة!$H$5:$H$104,0),0)=0,"",INDEX(المحفظة!$F$5:$F$104,IFERROR(MATCH(34,المحفظة!$H$5:$H$104,0),0))),"")</f>
        <v>نقداً</v>
      </c>
      <c r="G38" s="23"/>
    </row>
    <row r="39" customFormat="false" ht="15" hidden="false" customHeight="true" outlineLevel="0" collapsed="false">
      <c r="A39" s="130" t="n">
        <f aca="false">IFERROR(IF(IFERROR(MATCH(35,المحفظة!$H$5:$H$104,0),0)=0,"",INDEX(المحفظة!$A$5:$A$104,IFERROR(MATCH(35,المحفظة!$H$5:$H$104,0),0))),"")</f>
        <v>46158</v>
      </c>
      <c r="B39" s="131" t="str">
        <f aca="false">IFERROR(IF(IFERROR(MATCH(35,المحفظة!$H$5:$H$104,0),0)=0,"",INDEX(المحفظة!$B$5:$B$104,IFERROR(MATCH(35,المحفظة!$H$5:$H$104,0),0))),"")</f>
        <v>Inv-47</v>
      </c>
      <c r="C39" s="132" t="str">
        <f aca="false">IFERROR(IF(IFERROR(MATCH(35,المحفظة!$H$5:$H$104,0),0)=0,"",INDEX(المحفظة!$C$5:$C$104,IFERROR(MATCH(35,المحفظة!$H$5:$H$104,0),0))),"")</f>
        <v>other</v>
      </c>
      <c r="D39" s="133" t="s">
        <v>6</v>
      </c>
      <c r="E39" s="134" t="n">
        <f aca="false">IFERROR(IF(IFERROR(MATCH(35,المحفظة!$H$5:$H$104,0),0)=0,"",INDEX(المحفظة!$E$5:$E$104,IFERROR(MATCH(35,المحفظة!$H$5:$H$104,0),0))),"")</f>
        <v>3</v>
      </c>
      <c r="F39" s="131" t="str">
        <f aca="false">IFERROR(IF(IFERROR(MATCH(35,المحفظة!$H$5:$H$104,0),0)=0,"",INDEX(المحفظة!$F$5:$F$104,IFERROR(MATCH(35,المحفظة!$H$5:$H$104,0),0))),"")</f>
        <v>نقداً</v>
      </c>
      <c r="G39" s="16"/>
    </row>
    <row r="40" customFormat="false" ht="15" hidden="false" customHeight="true" outlineLevel="0" collapsed="false">
      <c r="A40" s="125" t="n">
        <f aca="false">IFERROR(IF(IFERROR(MATCH(36,المحفظة!$H$5:$H$104,0),0)=0,"",INDEX(المحفظة!$A$5:$A$104,IFERROR(MATCH(36,المحفظة!$H$5:$H$104,0),0))),"")</f>
        <v>46155</v>
      </c>
      <c r="B40" s="126" t="n">
        <f aca="false">IFERROR(IF(IFERROR(MATCH(36,المحفظة!$H$5:$H$104,0),0)=0,"",INDEX(المحفظة!$B$5:$B$104,IFERROR(MATCH(36,المحفظة!$H$5:$H$104,0),0))),"")</f>
        <v>0</v>
      </c>
      <c r="C40" s="127" t="str">
        <f aca="false">IFERROR(IF(IFERROR(MATCH(36,المحفظة!$H$5:$H$104,0),0)=0,"",INDEX(المحفظة!$C$5:$C$104,IFERROR(MATCH(36,المحفظة!$H$5:$H$104,0),0))),"")</f>
        <v>جبس لتغطيه المحميه</v>
      </c>
      <c r="D40" s="128" t="s">
        <v>6</v>
      </c>
      <c r="E40" s="129" t="n">
        <f aca="false">IFERROR(IF(IFERROR(MATCH(36,المحفظة!$H$5:$H$104,0),0)=0,"",INDEX(المحفظة!$E$5:$E$104,IFERROR(MATCH(36,المحفظة!$H$5:$H$104,0),0))),"")</f>
        <v>0</v>
      </c>
      <c r="F40" s="126" t="str">
        <f aca="false">IFERROR(IF(IFERROR(MATCH(36,المحفظة!$H$5:$H$104,0),0)=0,"",INDEX(المحفظة!$F$5:$F$104,IFERROR(MATCH(36,المحفظة!$H$5:$H$104,0),0))),"")</f>
        <v>نقداً</v>
      </c>
      <c r="G40" s="23"/>
    </row>
    <row r="41" customFormat="false" ht="15" hidden="false" customHeight="true" outlineLevel="0" collapsed="false">
      <c r="A41" s="130" t="str">
        <f aca="false">IFERROR(IF(IFERROR(MATCH(37,المحفظة!$H$5:$H$104,0),0)=0,"",INDEX(المحفظة!$A$5:$A$104,IFERROR(MATCH(37,المحفظة!$H$5:$H$104,0),0))),"")</f>
        <v/>
      </c>
      <c r="B41" s="131" t="str">
        <f aca="false">IFERROR(IF(IFERROR(MATCH(37,المحفظة!$H$5:$H$104,0),0)=0,"",INDEX(المحفظة!$B$5:$B$104,IFERROR(MATCH(37,المحفظة!$H$5:$H$104,0),0))),"")</f>
        <v/>
      </c>
      <c r="C41" s="132" t="str">
        <f aca="false">IFERROR(IF(IFERROR(MATCH(37,المحفظة!$H$5:$H$104,0),0)=0,"",INDEX(المحفظة!$C$5:$C$104,IFERROR(MATCH(37,المحفظة!$H$5:$H$104,0),0))),"")</f>
        <v/>
      </c>
      <c r="D41" s="133" t="s">
        <v>6</v>
      </c>
      <c r="E41" s="134" t="str">
        <f aca="false">IFERROR(IF(IFERROR(MATCH(37,المحفظة!$H$5:$H$104,0),0)=0,"",INDEX(المحفظة!$E$5:$E$104,IFERROR(MATCH(37,المحفظة!$H$5:$H$104,0),0))),"")</f>
        <v/>
      </c>
      <c r="F41" s="131" t="str">
        <f aca="false">IFERROR(IF(IFERROR(MATCH(37,المحفظة!$H$5:$H$104,0),0)=0,"",INDEX(المحفظة!$F$5:$F$104,IFERROR(MATCH(37,المحفظة!$H$5:$H$104,0),0))),"")</f>
        <v/>
      </c>
      <c r="G41" s="16"/>
    </row>
    <row r="42" customFormat="false" ht="15" hidden="false" customHeight="true" outlineLevel="0" collapsed="false">
      <c r="A42" s="125" t="str">
        <f aca="false">IFERROR(IF(IFERROR(MATCH(38,المحفظة!$H$5:$H$104,0),0)=0,"",INDEX(المحفظة!$A$5:$A$104,IFERROR(MATCH(38,المحفظة!$H$5:$H$104,0),0))),"")</f>
        <v/>
      </c>
      <c r="B42" s="126" t="str">
        <f aca="false">IFERROR(IF(IFERROR(MATCH(38,المحفظة!$H$5:$H$104,0),0)=0,"",INDEX(المحفظة!$B$5:$B$104,IFERROR(MATCH(38,المحفظة!$H$5:$H$104,0),0))),"")</f>
        <v/>
      </c>
      <c r="C42" s="127" t="str">
        <f aca="false">IFERROR(IF(IFERROR(MATCH(38,المحفظة!$H$5:$H$104,0),0)=0,"",INDEX(المحفظة!$C$5:$C$104,IFERROR(MATCH(38,المحفظة!$H$5:$H$104,0),0))),"")</f>
        <v/>
      </c>
      <c r="D42" s="128" t="s">
        <v>6</v>
      </c>
      <c r="E42" s="129" t="str">
        <f aca="false">IFERROR(IF(IFERROR(MATCH(38,المحفظة!$H$5:$H$104,0),0)=0,"",INDEX(المحفظة!$E$5:$E$104,IFERROR(MATCH(38,المحفظة!$H$5:$H$104,0),0))),"")</f>
        <v/>
      </c>
      <c r="F42" s="126" t="str">
        <f aca="false">IFERROR(IF(IFERROR(MATCH(38,المحفظة!$H$5:$H$104,0),0)=0,"",INDEX(المحفظة!$F$5:$F$104,IFERROR(MATCH(38,المحفظة!$H$5:$H$104,0),0))),"")</f>
        <v/>
      </c>
      <c r="G42" s="23"/>
    </row>
    <row r="43" customFormat="false" ht="15" hidden="false" customHeight="true" outlineLevel="0" collapsed="false">
      <c r="A43" s="130" t="str">
        <f aca="false">IFERROR(IF(IFERROR(MATCH(39,المحفظة!$H$5:$H$104,0),0)=0,"",INDEX(المحفظة!$A$5:$A$104,IFERROR(MATCH(39,المحفظة!$H$5:$H$104,0),0))),"")</f>
        <v/>
      </c>
      <c r="B43" s="131" t="str">
        <f aca="false">IFERROR(IF(IFERROR(MATCH(39,المحفظة!$H$5:$H$104,0),0)=0,"",INDEX(المحفظة!$B$5:$B$104,IFERROR(MATCH(39,المحفظة!$H$5:$H$104,0),0))),"")</f>
        <v/>
      </c>
      <c r="C43" s="132" t="str">
        <f aca="false">IFERROR(IF(IFERROR(MATCH(39,المحفظة!$H$5:$H$104,0),0)=0,"",INDEX(المحفظة!$C$5:$C$104,IFERROR(MATCH(39,المحفظة!$H$5:$H$104,0),0))),"")</f>
        <v/>
      </c>
      <c r="D43" s="133" t="s">
        <v>6</v>
      </c>
      <c r="E43" s="134" t="str">
        <f aca="false">IFERROR(IF(IFERROR(MATCH(39,المحفظة!$H$5:$H$104,0),0)=0,"",INDEX(المحفظة!$E$5:$E$104,IFERROR(MATCH(39,المحفظة!$H$5:$H$104,0),0))),"")</f>
        <v/>
      </c>
      <c r="F43" s="131" t="str">
        <f aca="false">IFERROR(IF(IFERROR(MATCH(39,المحفظة!$H$5:$H$104,0),0)=0,"",INDEX(المحفظة!$F$5:$F$104,IFERROR(MATCH(39,المحفظة!$H$5:$H$104,0),0))),"")</f>
        <v/>
      </c>
      <c r="G43" s="16"/>
    </row>
    <row r="44" customFormat="false" ht="15" hidden="false" customHeight="true" outlineLevel="0" collapsed="false">
      <c r="A44" s="125" t="str">
        <f aca="false">IFERROR(IF(IFERROR(MATCH(40,المحفظة!$H$5:$H$104,0),0)=0,"",INDEX(المحفظة!$A$5:$A$104,IFERROR(MATCH(40,المحفظة!$H$5:$H$104,0),0))),"")</f>
        <v/>
      </c>
      <c r="B44" s="126" t="str">
        <f aca="false">IFERROR(IF(IFERROR(MATCH(40,المحفظة!$H$5:$H$104,0),0)=0,"",INDEX(المحفظة!$B$5:$B$104,IFERROR(MATCH(40,المحفظة!$H$5:$H$104,0),0))),"")</f>
        <v/>
      </c>
      <c r="C44" s="127" t="str">
        <f aca="false">IFERROR(IF(IFERROR(MATCH(40,المحفظة!$H$5:$H$104,0),0)=0,"",INDEX(المحفظة!$C$5:$C$104,IFERROR(MATCH(40,المحفظة!$H$5:$H$104,0),0))),"")</f>
        <v/>
      </c>
      <c r="D44" s="128" t="s">
        <v>6</v>
      </c>
      <c r="E44" s="129" t="str">
        <f aca="false">IFERROR(IF(IFERROR(MATCH(40,المحفظة!$H$5:$H$104,0),0)=0,"",INDEX(المحفظة!$E$5:$E$104,IFERROR(MATCH(40,المحفظة!$H$5:$H$104,0),0))),"")</f>
        <v/>
      </c>
      <c r="F44" s="126" t="str">
        <f aca="false">IFERROR(IF(IFERROR(MATCH(40,المحفظة!$H$5:$H$104,0),0)=0,"",INDEX(المحفظة!$F$5:$F$104,IFERROR(MATCH(40,المحفظة!$H$5:$H$104,0),0))),"")</f>
        <v/>
      </c>
      <c r="G44" s="23"/>
    </row>
    <row r="45" customFormat="false" ht="15" hidden="false" customHeight="true" outlineLevel="0" collapsed="false">
      <c r="A45" s="130" t="str">
        <f aca="false">IFERROR(IF(IFERROR(MATCH(41,المحفظة!$H$5:$H$104,0),0)=0,"",INDEX(المحفظة!$A$5:$A$104,IFERROR(MATCH(41,المحفظة!$H$5:$H$104,0),0))),"")</f>
        <v/>
      </c>
      <c r="B45" s="131" t="str">
        <f aca="false">IFERROR(IF(IFERROR(MATCH(41,المحفظة!$H$5:$H$104,0),0)=0,"",INDEX(المحفظة!$B$5:$B$104,IFERROR(MATCH(41,المحفظة!$H$5:$H$104,0),0))),"")</f>
        <v/>
      </c>
      <c r="C45" s="132" t="str">
        <f aca="false">IFERROR(IF(IFERROR(MATCH(41,المحفظة!$H$5:$H$104,0),0)=0,"",INDEX(المحفظة!$C$5:$C$104,IFERROR(MATCH(41,المحفظة!$H$5:$H$104,0),0))),"")</f>
        <v/>
      </c>
      <c r="D45" s="133" t="s">
        <v>6</v>
      </c>
      <c r="E45" s="134" t="str">
        <f aca="false">IFERROR(IF(IFERROR(MATCH(41,المحفظة!$H$5:$H$104,0),0)=0,"",INDEX(المحفظة!$E$5:$E$104,IFERROR(MATCH(41,المحفظة!$H$5:$H$104,0),0))),"")</f>
        <v/>
      </c>
      <c r="F45" s="131" t="str">
        <f aca="false">IFERROR(IF(IFERROR(MATCH(41,المحفظة!$H$5:$H$104,0),0)=0,"",INDEX(المحفظة!$F$5:$F$104,IFERROR(MATCH(41,المحفظة!$H$5:$H$104,0),0))),"")</f>
        <v/>
      </c>
      <c r="G45" s="16"/>
    </row>
    <row r="46" customFormat="false" ht="15" hidden="false" customHeight="true" outlineLevel="0" collapsed="false">
      <c r="A46" s="125" t="str">
        <f aca="false">IFERROR(IF(IFERROR(MATCH(42,المحفظة!$H$5:$H$104,0),0)=0,"",INDEX(المحفظة!$A$5:$A$104,IFERROR(MATCH(42,المحفظة!$H$5:$H$104,0),0))),"")</f>
        <v/>
      </c>
      <c r="B46" s="126" t="str">
        <f aca="false">IFERROR(IF(IFERROR(MATCH(42,المحفظة!$H$5:$H$104,0),0)=0,"",INDEX(المحفظة!$B$5:$B$104,IFERROR(MATCH(42,المحفظة!$H$5:$H$104,0),0))),"")</f>
        <v/>
      </c>
      <c r="C46" s="127" t="str">
        <f aca="false">IFERROR(IF(IFERROR(MATCH(42,المحفظة!$H$5:$H$104,0),0)=0,"",INDEX(المحفظة!$C$5:$C$104,IFERROR(MATCH(42,المحفظة!$H$5:$H$104,0),0))),"")</f>
        <v/>
      </c>
      <c r="D46" s="128" t="s">
        <v>6</v>
      </c>
      <c r="E46" s="129" t="str">
        <f aca="false">IFERROR(IF(IFERROR(MATCH(42,المحفظة!$H$5:$H$104,0),0)=0,"",INDEX(المحفظة!$E$5:$E$104,IFERROR(MATCH(42,المحفظة!$H$5:$H$104,0),0))),"")</f>
        <v/>
      </c>
      <c r="F46" s="126" t="str">
        <f aca="false">IFERROR(IF(IFERROR(MATCH(42,المحفظة!$H$5:$H$104,0),0)=0,"",INDEX(المحفظة!$F$5:$F$104,IFERROR(MATCH(42,المحفظة!$H$5:$H$104,0),0))),"")</f>
        <v/>
      </c>
      <c r="G46" s="23"/>
    </row>
    <row r="47" customFormat="false" ht="15" hidden="false" customHeight="true" outlineLevel="0" collapsed="false">
      <c r="A47" s="130" t="str">
        <f aca="false">IFERROR(IF(IFERROR(MATCH(43,المحفظة!$H$5:$H$104,0),0)=0,"",INDEX(المحفظة!$A$5:$A$104,IFERROR(MATCH(43,المحفظة!$H$5:$H$104,0),0))),"")</f>
        <v/>
      </c>
      <c r="B47" s="131" t="str">
        <f aca="false">IFERROR(IF(IFERROR(MATCH(43,المحفظة!$H$5:$H$104,0),0)=0,"",INDEX(المحفظة!$B$5:$B$104,IFERROR(MATCH(43,المحفظة!$H$5:$H$104,0),0))),"")</f>
        <v/>
      </c>
      <c r="C47" s="132" t="str">
        <f aca="false">IFERROR(IF(IFERROR(MATCH(43,المحفظة!$H$5:$H$104,0),0)=0,"",INDEX(المحفظة!$C$5:$C$104,IFERROR(MATCH(43,المحفظة!$H$5:$H$104,0),0))),"")</f>
        <v/>
      </c>
      <c r="D47" s="133" t="s">
        <v>6</v>
      </c>
      <c r="E47" s="134" t="str">
        <f aca="false">IFERROR(IF(IFERROR(MATCH(43,المحفظة!$H$5:$H$104,0),0)=0,"",INDEX(المحفظة!$E$5:$E$104,IFERROR(MATCH(43,المحفظة!$H$5:$H$104,0),0))),"")</f>
        <v/>
      </c>
      <c r="F47" s="131" t="str">
        <f aca="false">IFERROR(IF(IFERROR(MATCH(43,المحفظة!$H$5:$H$104,0),0)=0,"",INDEX(المحفظة!$F$5:$F$104,IFERROR(MATCH(43,المحفظة!$H$5:$H$104,0),0))),"")</f>
        <v/>
      </c>
      <c r="G47" s="16"/>
    </row>
    <row r="48" customFormat="false" ht="15" hidden="false" customHeight="true" outlineLevel="0" collapsed="false">
      <c r="A48" s="125" t="str">
        <f aca="false">IFERROR(IF(IFERROR(MATCH(44,المحفظة!$H$5:$H$104,0),0)=0,"",INDEX(المحفظة!$A$5:$A$104,IFERROR(MATCH(44,المحفظة!$H$5:$H$104,0),0))),"")</f>
        <v/>
      </c>
      <c r="B48" s="126" t="str">
        <f aca="false">IFERROR(IF(IFERROR(MATCH(44,المحفظة!$H$5:$H$104,0),0)=0,"",INDEX(المحفظة!$B$5:$B$104,IFERROR(MATCH(44,المحفظة!$H$5:$H$104,0),0))),"")</f>
        <v/>
      </c>
      <c r="C48" s="127" t="str">
        <f aca="false">IFERROR(IF(IFERROR(MATCH(44,المحفظة!$H$5:$H$104,0),0)=0,"",INDEX(المحفظة!$C$5:$C$104,IFERROR(MATCH(44,المحفظة!$H$5:$H$104,0),0))),"")</f>
        <v/>
      </c>
      <c r="D48" s="128" t="s">
        <v>6</v>
      </c>
      <c r="E48" s="129" t="str">
        <f aca="false">IFERROR(IF(IFERROR(MATCH(44,المحفظة!$H$5:$H$104,0),0)=0,"",INDEX(المحفظة!$E$5:$E$104,IFERROR(MATCH(44,المحفظة!$H$5:$H$104,0),0))),"")</f>
        <v/>
      </c>
      <c r="F48" s="126" t="str">
        <f aca="false">IFERROR(IF(IFERROR(MATCH(44,المحفظة!$H$5:$H$104,0),0)=0,"",INDEX(المحفظة!$F$5:$F$104,IFERROR(MATCH(44,المحفظة!$H$5:$H$104,0),0))),"")</f>
        <v/>
      </c>
      <c r="G48" s="23"/>
    </row>
    <row r="49" customFormat="false" ht="15" hidden="false" customHeight="true" outlineLevel="0" collapsed="false">
      <c r="A49" s="130" t="str">
        <f aca="false">IFERROR(IF(IFERROR(MATCH(45,المحفظة!$H$5:$H$104,0),0)=0,"",INDEX(المحفظة!$A$5:$A$104,IFERROR(MATCH(45,المحفظة!$H$5:$H$104,0),0))),"")</f>
        <v/>
      </c>
      <c r="B49" s="131" t="str">
        <f aca="false">IFERROR(IF(IFERROR(MATCH(45,المحفظة!$H$5:$H$104,0),0)=0,"",INDEX(المحفظة!$B$5:$B$104,IFERROR(MATCH(45,المحفظة!$H$5:$H$104,0),0))),"")</f>
        <v/>
      </c>
      <c r="C49" s="132" t="str">
        <f aca="false">IFERROR(IF(IFERROR(MATCH(45,المحفظة!$H$5:$H$104,0),0)=0,"",INDEX(المحفظة!$C$5:$C$104,IFERROR(MATCH(45,المحفظة!$H$5:$H$104,0),0))),"")</f>
        <v/>
      </c>
      <c r="D49" s="133" t="s">
        <v>6</v>
      </c>
      <c r="E49" s="134" t="str">
        <f aca="false">IFERROR(IF(IFERROR(MATCH(45,المحفظة!$H$5:$H$104,0),0)=0,"",INDEX(المحفظة!$E$5:$E$104,IFERROR(MATCH(45,المحفظة!$H$5:$H$104,0),0))),"")</f>
        <v/>
      </c>
      <c r="F49" s="131" t="str">
        <f aca="false">IFERROR(IF(IFERROR(MATCH(45,المحفظة!$H$5:$H$104,0),0)=0,"",INDEX(المحفظة!$F$5:$F$104,IFERROR(MATCH(45,المحفظة!$H$5:$H$104,0),0))),"")</f>
        <v/>
      </c>
      <c r="G49" s="16"/>
    </row>
    <row r="50" customFormat="false" ht="15" hidden="false" customHeight="true" outlineLevel="0" collapsed="false">
      <c r="A50" s="125" t="str">
        <f aca="false">IFERROR(IF(IFERROR(MATCH(46,المحفظة!$H$5:$H$104,0),0)=0,"",INDEX(المحفظة!$A$5:$A$104,IFERROR(MATCH(46,المحفظة!$H$5:$H$104,0),0))),"")</f>
        <v/>
      </c>
      <c r="B50" s="126" t="str">
        <f aca="false">IFERROR(IF(IFERROR(MATCH(46,المحفظة!$H$5:$H$104,0),0)=0,"",INDEX(المحفظة!$B$5:$B$104,IFERROR(MATCH(46,المحفظة!$H$5:$H$104,0),0))),"")</f>
        <v/>
      </c>
      <c r="C50" s="127" t="str">
        <f aca="false">IFERROR(IF(IFERROR(MATCH(46,المحفظة!$H$5:$H$104,0),0)=0,"",INDEX(المحفظة!$C$5:$C$104,IFERROR(MATCH(46,المحفظة!$H$5:$H$104,0),0))),"")</f>
        <v/>
      </c>
      <c r="D50" s="128" t="s">
        <v>6</v>
      </c>
      <c r="E50" s="129" t="str">
        <f aca="false">IFERROR(IF(IFERROR(MATCH(46,المحفظة!$H$5:$H$104,0),0)=0,"",INDEX(المحفظة!$E$5:$E$104,IFERROR(MATCH(46,المحفظة!$H$5:$H$104,0),0))),"")</f>
        <v/>
      </c>
      <c r="F50" s="126" t="str">
        <f aca="false">IFERROR(IF(IFERROR(MATCH(46,المحفظة!$H$5:$H$104,0),0)=0,"",INDEX(المحفظة!$F$5:$F$104,IFERROR(MATCH(46,المحفظة!$H$5:$H$104,0),0))),"")</f>
        <v/>
      </c>
      <c r="G50" s="23"/>
    </row>
    <row r="51" customFormat="false" ht="15" hidden="false" customHeight="true" outlineLevel="0" collapsed="false">
      <c r="A51" s="130" t="str">
        <f aca="false">IFERROR(IF(IFERROR(MATCH(47,المحفظة!$H$5:$H$104,0),0)=0,"",INDEX(المحفظة!$A$5:$A$104,IFERROR(MATCH(47,المحفظة!$H$5:$H$104,0),0))),"")</f>
        <v/>
      </c>
      <c r="B51" s="131" t="str">
        <f aca="false">IFERROR(IF(IFERROR(MATCH(47,المحفظة!$H$5:$H$104,0),0)=0,"",INDEX(المحفظة!$B$5:$B$104,IFERROR(MATCH(47,المحفظة!$H$5:$H$104,0),0))),"")</f>
        <v/>
      </c>
      <c r="C51" s="132" t="str">
        <f aca="false">IFERROR(IF(IFERROR(MATCH(47,المحفظة!$H$5:$H$104,0),0)=0,"",INDEX(المحفظة!$C$5:$C$104,IFERROR(MATCH(47,المحفظة!$H$5:$H$104,0),0))),"")</f>
        <v/>
      </c>
      <c r="D51" s="133" t="s">
        <v>6</v>
      </c>
      <c r="E51" s="134" t="str">
        <f aca="false">IFERROR(IF(IFERROR(MATCH(47,المحفظة!$H$5:$H$104,0),0)=0,"",INDEX(المحفظة!$E$5:$E$104,IFERROR(MATCH(47,المحفظة!$H$5:$H$104,0),0))),"")</f>
        <v/>
      </c>
      <c r="F51" s="131" t="str">
        <f aca="false">IFERROR(IF(IFERROR(MATCH(47,المحفظة!$H$5:$H$104,0),0)=0,"",INDEX(المحفظة!$F$5:$F$104,IFERROR(MATCH(47,المحفظة!$H$5:$H$104,0),0))),"")</f>
        <v/>
      </c>
      <c r="G51" s="16"/>
    </row>
    <row r="52" customFormat="false" ht="15" hidden="false" customHeight="true" outlineLevel="0" collapsed="false">
      <c r="A52" s="125" t="str">
        <f aca="false">IFERROR(IF(IFERROR(MATCH(48,المحفظة!$H$5:$H$104,0),0)=0,"",INDEX(المحفظة!$A$5:$A$104,IFERROR(MATCH(48,المحفظة!$H$5:$H$104,0),0))),"")</f>
        <v/>
      </c>
      <c r="B52" s="126" t="str">
        <f aca="false">IFERROR(IF(IFERROR(MATCH(48,المحفظة!$H$5:$H$104,0),0)=0,"",INDEX(المحفظة!$B$5:$B$104,IFERROR(MATCH(48,المحفظة!$H$5:$H$104,0),0))),"")</f>
        <v/>
      </c>
      <c r="C52" s="127" t="str">
        <f aca="false">IFERROR(IF(IFERROR(MATCH(48,المحفظة!$H$5:$H$104,0),0)=0,"",INDEX(المحفظة!$C$5:$C$104,IFERROR(MATCH(48,المحفظة!$H$5:$H$104,0),0))),"")</f>
        <v/>
      </c>
      <c r="D52" s="128" t="s">
        <v>6</v>
      </c>
      <c r="E52" s="129" t="str">
        <f aca="false">IFERROR(IF(IFERROR(MATCH(48,المحفظة!$H$5:$H$104,0),0)=0,"",INDEX(المحفظة!$E$5:$E$104,IFERROR(MATCH(48,المحفظة!$H$5:$H$104,0),0))),"")</f>
        <v/>
      </c>
      <c r="F52" s="126" t="str">
        <f aca="false">IFERROR(IF(IFERROR(MATCH(48,المحفظة!$H$5:$H$104,0),0)=0,"",INDEX(المحفظة!$F$5:$F$104,IFERROR(MATCH(48,المحفظة!$H$5:$H$104,0),0))),"")</f>
        <v/>
      </c>
      <c r="G52" s="23"/>
    </row>
    <row r="53" customFormat="false" ht="15" hidden="false" customHeight="true" outlineLevel="0" collapsed="false">
      <c r="A53" s="130" t="str">
        <f aca="false">IFERROR(IF(IFERROR(MATCH(49,المحفظة!$H$5:$H$104,0),0)=0,"",INDEX(المحفظة!$A$5:$A$104,IFERROR(MATCH(49,المحفظة!$H$5:$H$104,0),0))),"")</f>
        <v/>
      </c>
      <c r="B53" s="131" t="str">
        <f aca="false">IFERROR(IF(IFERROR(MATCH(49,المحفظة!$H$5:$H$104,0),0)=0,"",INDEX(المحفظة!$B$5:$B$104,IFERROR(MATCH(49,المحفظة!$H$5:$H$104,0),0))),"")</f>
        <v/>
      </c>
      <c r="C53" s="132" t="str">
        <f aca="false">IFERROR(IF(IFERROR(MATCH(49,المحفظة!$H$5:$H$104,0),0)=0,"",INDEX(المحفظة!$C$5:$C$104,IFERROR(MATCH(49,المحفظة!$H$5:$H$104,0),0))),"")</f>
        <v/>
      </c>
      <c r="D53" s="133" t="s">
        <v>6</v>
      </c>
      <c r="E53" s="134" t="str">
        <f aca="false">IFERROR(IF(IFERROR(MATCH(49,المحفظة!$H$5:$H$104,0),0)=0,"",INDEX(المحفظة!$E$5:$E$104,IFERROR(MATCH(49,المحفظة!$H$5:$H$104,0),0))),"")</f>
        <v/>
      </c>
      <c r="F53" s="131" t="str">
        <f aca="false">IFERROR(IF(IFERROR(MATCH(49,المحفظة!$H$5:$H$104,0),0)=0,"",INDEX(المحفظة!$F$5:$F$104,IFERROR(MATCH(49,المحفظة!$H$5:$H$104,0),0))),"")</f>
        <v/>
      </c>
      <c r="G53" s="16"/>
    </row>
    <row r="54" customFormat="false" ht="15" hidden="true" customHeight="true" outlineLevel="0" collapsed="false">
      <c r="A54" s="125" t="str">
        <f aca="false">IFERROR(IF(IFERROR(MATCH(50,المحفظة!$H$5:$H$104,0),0)=0,"",INDEX(المحفظة!$A$5:$A$104,IFERROR(MATCH(50,المحفظة!$H$5:$H$104,0),0))),"")</f>
        <v/>
      </c>
      <c r="B54" s="126" t="str">
        <f aca="false">IFERROR(IF(IFERROR(MATCH(50,المحفظة!$H$5:$H$104,0),0)=0,"",INDEX(المحفظة!$B$5:$B$104,IFERROR(MATCH(50,المحفظة!$H$5:$H$104,0),0))),"")</f>
        <v/>
      </c>
      <c r="C54" s="127" t="str">
        <f aca="false">IFERROR(IF(IFERROR(MATCH(50,المحفظة!$H$5:$H$104,0),0)=0,"",INDEX(المحفظة!$C$5:$C$104,IFERROR(MATCH(50,المحفظة!$H$5:$H$104,0),0))),"")</f>
        <v/>
      </c>
      <c r="D54" s="128" t="s">
        <v>6</v>
      </c>
      <c r="E54" s="129" t="str">
        <f aca="false">IFERROR(IF(IFERROR(MATCH(50,المحفظة!$H$5:$H$104,0),0)=0,"",INDEX(المحفظة!$E$5:$E$104,IFERROR(MATCH(50,المحفظة!$H$5:$H$104,0),0))),"")</f>
        <v/>
      </c>
      <c r="F54" s="126" t="str">
        <f aca="false">IFERROR(IF(IFERROR(MATCH(50,المحفظة!$H$5:$H$104,0),0)=0,"",INDEX(المحفظة!$F$5:$F$104,IFERROR(MATCH(50,المحفظة!$H$5:$H$104,0),0))),"")</f>
        <v/>
      </c>
      <c r="G54" s="23"/>
    </row>
    <row r="55" customFormat="false" ht="19.5" hidden="false" customHeight="true" outlineLevel="0" collapsed="false">
      <c r="A55" s="24" t="s">
        <v>7</v>
      </c>
      <c r="B55" s="24"/>
      <c r="C55" s="24"/>
      <c r="D55" s="24"/>
      <c r="E55" s="135" t="n">
        <f aca="false">SUMIF(المحفظة!$H$5:$H$104,"&gt;0",المحفظة!$E$5:$E$104)</f>
        <v>266.6</v>
      </c>
      <c r="F55" s="118"/>
      <c r="G55" s="118"/>
    </row>
    <row r="56" customFormat="false" ht="19.5" hidden="false" customHeight="true" outlineLevel="0" collapsed="false">
      <c r="A56" s="41" t="s">
        <v>221</v>
      </c>
      <c r="B56" s="41"/>
      <c r="C56" s="41"/>
      <c r="D56" s="41"/>
      <c r="E56" s="41"/>
      <c r="F56" s="41"/>
      <c r="G56" s="41"/>
    </row>
    <row r="57" customFormat="false" ht="16.5" hidden="false" customHeight="true" outlineLevel="0" collapsed="false">
      <c r="A57" s="27" t="n">
        <f aca="false">IFERROR(IF(IFERROR(MATCH(1,المحفظة!$H$107:$H$206,0),0)=0,"",INDEX(المحفظة!$A$107:$A$206,IFERROR(MATCH(1,المحفظة!$H$107:$H$206,0),0))),"")</f>
        <v>46151</v>
      </c>
      <c r="B57" s="28" t="str">
        <f aca="false">IFERROR(IF(IFERROR(MATCH(1,المحفظة!$H$107:$H$206,0),0)=0,"",INDEX(المحفظة!$B$107:$B$206,IFERROR(MATCH(1,المحفظة!$H$107:$H$206,0),0))),"")</f>
        <v>Inv-013</v>
      </c>
      <c r="C57" s="136" t="str">
        <f aca="false">IFERROR(IF(IFERROR(MATCH(1,المحفظة!$H$107:$H$206,0),0)=0,"",INDEX(المحفظة!$C$107:$C$206,IFERROR(MATCH(1,المحفظة!$H$107:$H$206,0),0))),"")</f>
        <v>فل عدد 21 سعر الحبه .0.750</v>
      </c>
      <c r="D57" s="30" t="n">
        <f aca="false">IFERROR(IF(IFERROR(MATCH(1,المحفظة!$H$107:$H$206,0),0)=0,"",INDEX(المحفظة!$D$107:$D$206,IFERROR(MATCH(1,المحفظة!$H$107:$H$206,0),0))),"")</f>
        <v>0</v>
      </c>
      <c r="E57" s="31" t="s">
        <v>6</v>
      </c>
      <c r="F57" s="28" t="n">
        <f aca="false">IFERROR(IF(IFERROR(MATCH(1,المحفظة!$H$107:$H$206,0),0)=0,"",INDEX(المحفظة!$F$107:$F$206,IFERROR(MATCH(1,المحفظة!$H$107:$H$206,0),0))),"")</f>
        <v>0</v>
      </c>
      <c r="G57" s="137"/>
    </row>
    <row r="58" customFormat="false" ht="16.5" hidden="false" customHeight="true" outlineLevel="0" collapsed="false">
      <c r="A58" s="34" t="n">
        <f aca="false">IFERROR(IF(IFERROR(MATCH(2,المحفظة!$H$107:$H$206,0),0)=0,"",INDEX(المحفظة!$A$107:$A$206,IFERROR(MATCH(2,المحفظة!$H$107:$H$206,0),0))),"")</f>
        <v>46161</v>
      </c>
      <c r="B58" s="35" t="str">
        <f aca="false">IFERROR(IF(IFERROR(MATCH(2,المحفظة!$H$107:$H$206,0),0)=0,"",INDEX(المحفظة!$B$107:$B$206,IFERROR(MATCH(2,المحفظة!$H$107:$H$206,0),0))),"")</f>
        <v>Inv-30</v>
      </c>
      <c r="C58" s="138" t="str">
        <f aca="false">IFERROR(IF(IFERROR(MATCH(2,المحفظة!$H$107:$H$206,0),0)=0,"",INDEX(المحفظة!$C$107:$C$206,IFERROR(MATCH(2,المحفظة!$H$107:$H$206,0),0))),"")</f>
        <v>فل عدد 30 الحبه 0.750</v>
      </c>
      <c r="D58" s="37" t="n">
        <f aca="false">IFERROR(IF(IFERROR(MATCH(2,المحفظة!$H$107:$H$206,0),0)=0,"",INDEX(المحفظة!$D$107:$D$206,IFERROR(MATCH(2,المحفظة!$H$107:$H$206,0),0))),"")</f>
        <v>0</v>
      </c>
      <c r="E58" s="38" t="s">
        <v>6</v>
      </c>
      <c r="F58" s="35" t="n">
        <f aca="false">IFERROR(IF(IFERROR(MATCH(2,المحفظة!$H$107:$H$206,0),0)=0,"",INDEX(المحفظة!$F$107:$F$206,IFERROR(MATCH(2,المحفظة!$H$107:$H$206,0),0))),"")</f>
        <v>0</v>
      </c>
      <c r="G58" s="139"/>
    </row>
    <row r="59" customFormat="false" ht="16.5" hidden="false" customHeight="true" outlineLevel="0" collapsed="false">
      <c r="A59" s="27" t="str">
        <f aca="false">IFERROR(IF(IFERROR(MATCH(3,المحفظة!$H$107:$H$206,0),0)=0,"",INDEX(المحفظة!$A$107:$A$206,IFERROR(MATCH(3,المحفظة!$H$107:$H$206,0),0))),"")</f>
        <v/>
      </c>
      <c r="B59" s="28" t="str">
        <f aca="false">IFERROR(IF(IFERROR(MATCH(3,المحفظة!$H$107:$H$206,0),0)=0,"",INDEX(المحفظة!$B$107:$B$206,IFERROR(MATCH(3,المحفظة!$H$107:$H$206,0),0))),"")</f>
        <v/>
      </c>
      <c r="C59" s="136" t="str">
        <f aca="false">IFERROR(IF(IFERROR(MATCH(3,المحفظة!$H$107:$H$206,0),0)=0,"",INDEX(المحفظة!$C$107:$C$206,IFERROR(MATCH(3,المحفظة!$H$107:$H$206,0),0))),"")</f>
        <v/>
      </c>
      <c r="D59" s="30" t="str">
        <f aca="false">IFERROR(IF(IFERROR(MATCH(3,المحفظة!$H$107:$H$206,0),0)=0,"",INDEX(المحفظة!$D$107:$D$206,IFERROR(MATCH(3,المحفظة!$H$107:$H$206,0),0))),"")</f>
        <v/>
      </c>
      <c r="E59" s="31" t="s">
        <v>6</v>
      </c>
      <c r="F59" s="28" t="str">
        <f aca="false">IFERROR(IF(IFERROR(MATCH(3,المحفظة!$H$107:$H$206,0),0)=0,"",INDEX(المحفظة!$F$107:$F$206,IFERROR(MATCH(3,المحفظة!$H$107:$H$206,0),0))),"")</f>
        <v/>
      </c>
      <c r="G59" s="137"/>
    </row>
    <row r="60" customFormat="false" ht="16.5" hidden="false" customHeight="true" outlineLevel="0" collapsed="false">
      <c r="A60" s="34" t="str">
        <f aca="false">IFERROR(IF(IFERROR(MATCH(4,المحفظة!$H$107:$H$206,0),0)=0,"",INDEX(المحفظة!$A$107:$A$206,IFERROR(MATCH(4,المحفظة!$H$107:$H$206,0),0))),"")</f>
        <v/>
      </c>
      <c r="B60" s="35" t="str">
        <f aca="false">IFERROR(IF(IFERROR(MATCH(4,المحفظة!$H$107:$H$206,0),0)=0,"",INDEX(المحفظة!$B$107:$B$206,IFERROR(MATCH(4,المحفظة!$H$107:$H$206,0),0))),"")</f>
        <v/>
      </c>
      <c r="C60" s="138" t="str">
        <f aca="false">IFERROR(IF(IFERROR(MATCH(4,المحفظة!$H$107:$H$206,0),0)=0,"",INDEX(المحفظة!$C$107:$C$206,IFERROR(MATCH(4,المحفظة!$H$107:$H$206,0),0))),"")</f>
        <v/>
      </c>
      <c r="D60" s="37" t="str">
        <f aca="false">IFERROR(IF(IFERROR(MATCH(4,المحفظة!$H$107:$H$206,0),0)=0,"",INDEX(المحفظة!$D$107:$D$206,IFERROR(MATCH(4,المحفظة!$H$107:$H$206,0),0))),"")</f>
        <v/>
      </c>
      <c r="E60" s="38" t="s">
        <v>6</v>
      </c>
      <c r="F60" s="35" t="str">
        <f aca="false">IFERROR(IF(IFERROR(MATCH(4,المحفظة!$H$107:$H$206,0),0)=0,"",INDEX(المحفظة!$F$107:$F$206,IFERROR(MATCH(4,المحفظة!$H$107:$H$206,0),0))),"")</f>
        <v/>
      </c>
      <c r="G60" s="139"/>
    </row>
    <row r="61" customFormat="false" ht="16.5" hidden="false" customHeight="true" outlineLevel="0" collapsed="false">
      <c r="A61" s="27" t="str">
        <f aca="false">IFERROR(IF(IFERROR(MATCH(5,المحفظة!$H$107:$H$206,0),0)=0,"",INDEX(المحفظة!$A$107:$A$206,IFERROR(MATCH(5,المحفظة!$H$107:$H$206,0),0))),"")</f>
        <v/>
      </c>
      <c r="B61" s="28" t="str">
        <f aca="false">IFERROR(IF(IFERROR(MATCH(5,المحفظة!$H$107:$H$206,0),0)=0,"",INDEX(المحفظة!$B$107:$B$206,IFERROR(MATCH(5,المحفظة!$H$107:$H$206,0),0))),"")</f>
        <v/>
      </c>
      <c r="C61" s="136" t="str">
        <f aca="false">IFERROR(IF(IFERROR(MATCH(5,المحفظة!$H$107:$H$206,0),0)=0,"",INDEX(المحفظة!$C$107:$C$206,IFERROR(MATCH(5,المحفظة!$H$107:$H$206,0),0))),"")</f>
        <v/>
      </c>
      <c r="D61" s="30" t="str">
        <f aca="false">IFERROR(IF(IFERROR(MATCH(5,المحفظة!$H$107:$H$206,0),0)=0,"",INDEX(المحفظة!$D$107:$D$206,IFERROR(MATCH(5,المحفظة!$H$107:$H$206,0),0))),"")</f>
        <v/>
      </c>
      <c r="E61" s="31" t="s">
        <v>6</v>
      </c>
      <c r="F61" s="28" t="str">
        <f aca="false">IFERROR(IF(IFERROR(MATCH(5,المحفظة!$H$107:$H$206,0),0)=0,"",INDEX(المحفظة!$F$107:$F$206,IFERROR(MATCH(5,المحفظة!$H$107:$H$206,0),0))),"")</f>
        <v/>
      </c>
      <c r="G61" s="137"/>
    </row>
    <row r="62" customFormat="false" ht="16.5" hidden="false" customHeight="true" outlineLevel="0" collapsed="false">
      <c r="A62" s="34" t="str">
        <f aca="false">IFERROR(IF(IFERROR(MATCH(6,المحفظة!$H$107:$H$206,0),0)=0,"",INDEX(المحفظة!$A$107:$A$206,IFERROR(MATCH(6,المحفظة!$H$107:$H$206,0),0))),"")</f>
        <v/>
      </c>
      <c r="B62" s="35" t="str">
        <f aca="false">IFERROR(IF(IFERROR(MATCH(6,المحفظة!$H$107:$H$206,0),0)=0,"",INDEX(المحفظة!$B$107:$B$206,IFERROR(MATCH(6,المحفظة!$H$107:$H$206,0),0))),"")</f>
        <v/>
      </c>
      <c r="C62" s="138" t="str">
        <f aca="false">IFERROR(IF(IFERROR(MATCH(6,المحفظة!$H$107:$H$206,0),0)=0,"",INDEX(المحفظة!$C$107:$C$206,IFERROR(MATCH(6,المحفظة!$H$107:$H$206,0),0))),"")</f>
        <v/>
      </c>
      <c r="D62" s="37" t="str">
        <f aca="false">IFERROR(IF(IFERROR(MATCH(6,المحفظة!$H$107:$H$206,0),0)=0,"",INDEX(المحفظة!$D$107:$D$206,IFERROR(MATCH(6,المحفظة!$H$107:$H$206,0),0))),"")</f>
        <v/>
      </c>
      <c r="E62" s="38" t="s">
        <v>6</v>
      </c>
      <c r="F62" s="35" t="str">
        <f aca="false">IFERROR(IF(IFERROR(MATCH(6,المحفظة!$H$107:$H$206,0),0)=0,"",INDEX(المحفظة!$F$107:$F$206,IFERROR(MATCH(6,المحفظة!$H$107:$H$206,0),0))),"")</f>
        <v/>
      </c>
      <c r="G62" s="139"/>
    </row>
    <row r="63" customFormat="false" ht="15" hidden="false" customHeight="true" outlineLevel="0" collapsed="false">
      <c r="A63" s="140" t="str">
        <f aca="false">IFERROR(IF(IFERROR(MATCH(7,المحفظة!$H$107:$H$206,0),0)=0,"",INDEX(المحفظة!$A$107:$A$206,IFERROR(MATCH(7,المحفظة!$H$107:$H$206,0),0))),"")</f>
        <v/>
      </c>
      <c r="B63" s="141" t="str">
        <f aca="false">IFERROR(IF(IFERROR(MATCH(7,المحفظة!$H$107:$H$206,0),0)=0,"",INDEX(المحفظة!$B$107:$B$206,IFERROR(MATCH(7,المحفظة!$H$107:$H$206,0),0))),"")</f>
        <v/>
      </c>
      <c r="C63" s="142" t="str">
        <f aca="false">IFERROR(IF(IFERROR(MATCH(7,المحفظة!$H$107:$H$206,0),0)=0,"",INDEX(المحفظة!$C$107:$C$206,IFERROR(MATCH(7,المحفظة!$H$107:$H$206,0),0))),"")</f>
        <v/>
      </c>
      <c r="D63" s="143" t="str">
        <f aca="false">IFERROR(IF(IFERROR(MATCH(7,المحفظة!$H$107:$H$206,0),0)=0,"",INDEX(المحفظة!$D$107:$D$206,IFERROR(MATCH(7,المحفظة!$H$107:$H$206,0),0))),"")</f>
        <v/>
      </c>
      <c r="E63" s="144" t="s">
        <v>6</v>
      </c>
      <c r="F63" s="141" t="str">
        <f aca="false">IFERROR(IF(IFERROR(MATCH(7,المحفظة!$H$107:$H$206,0),0)=0,"",INDEX(المحفظة!$F$107:$F$206,IFERROR(MATCH(7,المحفظة!$H$107:$H$206,0),0))),"")</f>
        <v/>
      </c>
      <c r="G63" s="33"/>
    </row>
    <row r="64" customFormat="false" ht="15" hidden="false" customHeight="true" outlineLevel="0" collapsed="false">
      <c r="A64" s="145" t="str">
        <f aca="false">IFERROR(IF(IFERROR(MATCH(8,المحفظة!$H$107:$H$206,0),0)=0,"",INDEX(المحفظة!$A$107:$A$206,IFERROR(MATCH(8,المحفظة!$H$107:$H$206,0),0))),"")</f>
        <v/>
      </c>
      <c r="B64" s="146" t="str">
        <f aca="false">IFERROR(IF(IFERROR(MATCH(8,المحفظة!$H$107:$H$206,0),0)=0,"",INDEX(المحفظة!$B$107:$B$206,IFERROR(MATCH(8,المحفظة!$H$107:$H$206,0),0))),"")</f>
        <v/>
      </c>
      <c r="C64" s="147" t="str">
        <f aca="false">IFERROR(IF(IFERROR(MATCH(8,المحفظة!$H$107:$H$206,0),0)=0,"",INDEX(المحفظة!$C$107:$C$206,IFERROR(MATCH(8,المحفظة!$H$107:$H$206,0),0))),"")</f>
        <v/>
      </c>
      <c r="D64" s="148" t="str">
        <f aca="false">IFERROR(IF(IFERROR(MATCH(8,المحفظة!$H$107:$H$206,0),0)=0,"",INDEX(المحفظة!$D$107:$D$206,IFERROR(MATCH(8,المحفظة!$H$107:$H$206,0),0))),"")</f>
        <v/>
      </c>
      <c r="E64" s="149" t="s">
        <v>6</v>
      </c>
      <c r="F64" s="146" t="str">
        <f aca="false">IFERROR(IF(IFERROR(MATCH(8,المحفظة!$H$107:$H$206,0),0)=0,"",INDEX(المحفظة!$F$107:$F$206,IFERROR(MATCH(8,المحفظة!$H$107:$H$206,0),0))),"")</f>
        <v/>
      </c>
      <c r="G64" s="40"/>
    </row>
    <row r="65" customFormat="false" ht="15" hidden="false" customHeight="true" outlineLevel="0" collapsed="false">
      <c r="A65" s="140" t="str">
        <f aca="false">IFERROR(IF(IFERROR(MATCH(9,المحفظة!$H$107:$H$206,0),0)=0,"",INDEX(المحفظة!$A$107:$A$206,IFERROR(MATCH(9,المحفظة!$H$107:$H$206,0),0))),"")</f>
        <v/>
      </c>
      <c r="B65" s="141" t="str">
        <f aca="false">IFERROR(IF(IFERROR(MATCH(9,المحفظة!$H$107:$H$206,0),0)=0,"",INDEX(المحفظة!$B$107:$B$206,IFERROR(MATCH(9,المحفظة!$H$107:$H$206,0),0))),"")</f>
        <v/>
      </c>
      <c r="C65" s="142" t="str">
        <f aca="false">IFERROR(IF(IFERROR(MATCH(9,المحفظة!$H$107:$H$206,0),0)=0,"",INDEX(المحفظة!$C$107:$C$206,IFERROR(MATCH(9,المحفظة!$H$107:$H$206,0),0))),"")</f>
        <v/>
      </c>
      <c r="D65" s="143" t="str">
        <f aca="false">IFERROR(IF(IFERROR(MATCH(9,المحفظة!$H$107:$H$206,0),0)=0,"",INDEX(المحفظة!$D$107:$D$206,IFERROR(MATCH(9,المحفظة!$H$107:$H$206,0),0))),"")</f>
        <v/>
      </c>
      <c r="E65" s="144" t="s">
        <v>6</v>
      </c>
      <c r="F65" s="141" t="str">
        <f aca="false">IFERROR(IF(IFERROR(MATCH(9,المحفظة!$H$107:$H$206,0),0)=0,"",INDEX(المحفظة!$F$107:$F$206,IFERROR(MATCH(9,المحفظة!$H$107:$H$206,0),0))),"")</f>
        <v/>
      </c>
      <c r="G65" s="33"/>
    </row>
    <row r="66" customFormat="false" ht="15" hidden="false" customHeight="true" outlineLevel="0" collapsed="false">
      <c r="A66" s="145" t="str">
        <f aca="false">IFERROR(IF(IFERROR(MATCH(10,المحفظة!$H$107:$H$206,0),0)=0,"",INDEX(المحفظة!$A$107:$A$206,IFERROR(MATCH(10,المحفظة!$H$107:$H$206,0),0))),"")</f>
        <v/>
      </c>
      <c r="B66" s="146" t="str">
        <f aca="false">IFERROR(IF(IFERROR(MATCH(10,المحفظة!$H$107:$H$206,0),0)=0,"",INDEX(المحفظة!$B$107:$B$206,IFERROR(MATCH(10,المحفظة!$H$107:$H$206,0),0))),"")</f>
        <v/>
      </c>
      <c r="C66" s="147" t="str">
        <f aca="false">IFERROR(IF(IFERROR(MATCH(10,المحفظة!$H$107:$H$206,0),0)=0,"",INDEX(المحفظة!$C$107:$C$206,IFERROR(MATCH(10,المحفظة!$H$107:$H$206,0),0))),"")</f>
        <v/>
      </c>
      <c r="D66" s="148" t="str">
        <f aca="false">IFERROR(IF(IFERROR(MATCH(10,المحفظة!$H$107:$H$206,0),0)=0,"",INDEX(المحفظة!$D$107:$D$206,IFERROR(MATCH(10,المحفظة!$H$107:$H$206,0),0))),"")</f>
        <v/>
      </c>
      <c r="E66" s="149" t="s">
        <v>6</v>
      </c>
      <c r="F66" s="146" t="str">
        <f aca="false">IFERROR(IF(IFERROR(MATCH(10,المحفظة!$H$107:$H$206,0),0)=0,"",INDEX(المحفظة!$F$107:$F$206,IFERROR(MATCH(10,المحفظة!$H$107:$H$206,0),0))),"")</f>
        <v/>
      </c>
      <c r="G66" s="40"/>
    </row>
    <row r="67" customFormat="false" ht="15" hidden="false" customHeight="true" outlineLevel="0" collapsed="false">
      <c r="A67" s="140" t="str">
        <f aca="false">IFERROR(IF(IFERROR(MATCH(11,المحفظة!$H$107:$H$206,0),0)=0,"",INDEX(المحفظة!$A$107:$A$206,IFERROR(MATCH(11,المحفظة!$H$107:$H$206,0),0))),"")</f>
        <v/>
      </c>
      <c r="B67" s="141" t="str">
        <f aca="false">IFERROR(IF(IFERROR(MATCH(11,المحفظة!$H$107:$H$206,0),0)=0,"",INDEX(المحفظة!$B$107:$B$206,IFERROR(MATCH(11,المحفظة!$H$107:$H$206,0),0))),"")</f>
        <v/>
      </c>
      <c r="C67" s="142" t="str">
        <f aca="false">IFERROR(IF(IFERROR(MATCH(11,المحفظة!$H$107:$H$206,0),0)=0,"",INDEX(المحفظة!$C$107:$C$206,IFERROR(MATCH(11,المحفظة!$H$107:$H$206,0),0))),"")</f>
        <v/>
      </c>
      <c r="D67" s="143" t="str">
        <f aca="false">IFERROR(IF(IFERROR(MATCH(11,المحفظة!$H$107:$H$206,0),0)=0,"",INDEX(المحفظة!$D$107:$D$206,IFERROR(MATCH(11,المحفظة!$H$107:$H$206,0),0))),"")</f>
        <v/>
      </c>
      <c r="E67" s="144" t="s">
        <v>6</v>
      </c>
      <c r="F67" s="141" t="str">
        <f aca="false">IFERROR(IF(IFERROR(MATCH(11,المحفظة!$H$107:$H$206,0),0)=0,"",INDEX(المحفظة!$F$107:$F$206,IFERROR(MATCH(11,المحفظة!$H$107:$H$206,0),0))),"")</f>
        <v/>
      </c>
      <c r="G67" s="33"/>
    </row>
    <row r="68" customFormat="false" ht="15" hidden="false" customHeight="true" outlineLevel="0" collapsed="false">
      <c r="A68" s="145" t="str">
        <f aca="false">IFERROR(IF(IFERROR(MATCH(12,المحفظة!$H$107:$H$206,0),0)=0,"",INDEX(المحفظة!$A$107:$A$206,IFERROR(MATCH(12,المحفظة!$H$107:$H$206,0),0))),"")</f>
        <v/>
      </c>
      <c r="B68" s="146" t="str">
        <f aca="false">IFERROR(IF(IFERROR(MATCH(12,المحفظة!$H$107:$H$206,0),0)=0,"",INDEX(المحفظة!$B$107:$B$206,IFERROR(MATCH(12,المحفظة!$H$107:$H$206,0),0))),"")</f>
        <v/>
      </c>
      <c r="C68" s="147" t="str">
        <f aca="false">IFERROR(IF(IFERROR(MATCH(12,المحفظة!$H$107:$H$206,0),0)=0,"",INDEX(المحفظة!$C$107:$C$206,IFERROR(MATCH(12,المحفظة!$H$107:$H$206,0),0))),"")</f>
        <v/>
      </c>
      <c r="D68" s="148" t="str">
        <f aca="false">IFERROR(IF(IFERROR(MATCH(12,المحفظة!$H$107:$H$206,0),0)=0,"",INDEX(المحفظة!$D$107:$D$206,IFERROR(MATCH(12,المحفظة!$H$107:$H$206,0),0))),"")</f>
        <v/>
      </c>
      <c r="E68" s="149" t="s">
        <v>6</v>
      </c>
      <c r="F68" s="146" t="str">
        <f aca="false">IFERROR(IF(IFERROR(MATCH(12,المحفظة!$H$107:$H$206,0),0)=0,"",INDEX(المحفظة!$F$107:$F$206,IFERROR(MATCH(12,المحفظة!$H$107:$H$206,0),0))),"")</f>
        <v/>
      </c>
      <c r="G68" s="40"/>
    </row>
    <row r="69" customFormat="false" ht="15" hidden="false" customHeight="true" outlineLevel="0" collapsed="false">
      <c r="A69" s="140" t="str">
        <f aca="false">IFERROR(IF(IFERROR(MATCH(13,المحفظة!$H$107:$H$206,0),0)=0,"",INDEX(المحفظة!$A$107:$A$206,IFERROR(MATCH(13,المحفظة!$H$107:$H$206,0),0))),"")</f>
        <v/>
      </c>
      <c r="B69" s="141" t="str">
        <f aca="false">IFERROR(IF(IFERROR(MATCH(13,المحفظة!$H$107:$H$206,0),0)=0,"",INDEX(المحفظة!$B$107:$B$206,IFERROR(MATCH(13,المحفظة!$H$107:$H$206,0),0))),"")</f>
        <v/>
      </c>
      <c r="C69" s="142" t="str">
        <f aca="false">IFERROR(IF(IFERROR(MATCH(13,المحفظة!$H$107:$H$206,0),0)=0,"",INDEX(المحفظة!$C$107:$C$206,IFERROR(MATCH(13,المحفظة!$H$107:$H$206,0),0))),"")</f>
        <v/>
      </c>
      <c r="D69" s="143" t="str">
        <f aca="false">IFERROR(IF(IFERROR(MATCH(13,المحفظة!$H$107:$H$206,0),0)=0,"",INDEX(المحفظة!$D$107:$D$206,IFERROR(MATCH(13,المحفظة!$H$107:$H$206,0),0))),"")</f>
        <v/>
      </c>
      <c r="E69" s="144" t="s">
        <v>6</v>
      </c>
      <c r="F69" s="141" t="str">
        <f aca="false">IFERROR(IF(IFERROR(MATCH(13,المحفظة!$H$107:$H$206,0),0)=0,"",INDEX(المحفظة!$F$107:$F$206,IFERROR(MATCH(13,المحفظة!$H$107:$H$206,0),0))),"")</f>
        <v/>
      </c>
      <c r="G69" s="33"/>
    </row>
    <row r="70" customFormat="false" ht="15" hidden="true" customHeight="true" outlineLevel="0" collapsed="false">
      <c r="A70" s="145" t="str">
        <f aca="false">IFERROR(IF(IFERROR(MATCH(14,المحفظة!$H$107:$H$206,0),0)=0,"",INDEX(المحفظة!$A$107:$A$206,IFERROR(MATCH(14,المحفظة!$H$107:$H$206,0),0))),"")</f>
        <v/>
      </c>
      <c r="B70" s="146" t="str">
        <f aca="false">IFERROR(IF(IFERROR(MATCH(14,المحفظة!$H$107:$H$206,0),0)=0,"",INDEX(المحفظة!$B$107:$B$206,IFERROR(MATCH(14,المحفظة!$H$107:$H$206,0),0))),"")</f>
        <v/>
      </c>
      <c r="C70" s="147" t="str">
        <f aca="false">IFERROR(IF(IFERROR(MATCH(14,المحفظة!$H$107:$H$206,0),0)=0,"",INDEX(المحفظة!$C$107:$C$206,IFERROR(MATCH(14,المحفظة!$H$107:$H$206,0),0))),"")</f>
        <v/>
      </c>
      <c r="D70" s="148" t="str">
        <f aca="false">IFERROR(IF(IFERROR(MATCH(14,المحفظة!$H$107:$H$206,0),0)=0,"",INDEX(المحفظة!$D$107:$D$206,IFERROR(MATCH(14,المحفظة!$H$107:$H$206,0),0))),"")</f>
        <v/>
      </c>
      <c r="E70" s="149" t="s">
        <v>6</v>
      </c>
      <c r="F70" s="146" t="str">
        <f aca="false">IFERROR(IF(IFERROR(MATCH(14,المحفظة!$H$107:$H$206,0),0)=0,"",INDEX(المحفظة!$F$107:$F$206,IFERROR(MATCH(14,المحفظة!$H$107:$H$206,0),0))),"")</f>
        <v/>
      </c>
      <c r="G70" s="40"/>
    </row>
    <row r="71" customFormat="false" ht="15" hidden="true" customHeight="true" outlineLevel="0" collapsed="false">
      <c r="A71" s="140" t="str">
        <f aca="false">IFERROR(IF(IFERROR(MATCH(15,المحفظة!$H$107:$H$206,0),0)=0,"",INDEX(المحفظة!$A$107:$A$206,IFERROR(MATCH(15,المحفظة!$H$107:$H$206,0),0))),"")</f>
        <v/>
      </c>
      <c r="B71" s="141" t="str">
        <f aca="false">IFERROR(IF(IFERROR(MATCH(15,المحفظة!$H$107:$H$206,0),0)=0,"",INDEX(المحفظة!$B$107:$B$206,IFERROR(MATCH(15,المحفظة!$H$107:$H$206,0),0))),"")</f>
        <v/>
      </c>
      <c r="C71" s="142" t="str">
        <f aca="false">IFERROR(IF(IFERROR(MATCH(15,المحفظة!$H$107:$H$206,0),0)=0,"",INDEX(المحفظة!$C$107:$C$206,IFERROR(MATCH(15,المحفظة!$H$107:$H$206,0),0))),"")</f>
        <v/>
      </c>
      <c r="D71" s="143" t="str">
        <f aca="false">IFERROR(IF(IFERROR(MATCH(15,المحفظة!$H$107:$H$206,0),0)=0,"",INDEX(المحفظة!$D$107:$D$206,IFERROR(MATCH(15,المحفظة!$H$107:$H$206,0),0))),"")</f>
        <v/>
      </c>
      <c r="E71" s="144" t="s">
        <v>6</v>
      </c>
      <c r="F71" s="141" t="str">
        <f aca="false">IFERROR(IF(IFERROR(MATCH(15,المحفظة!$H$107:$H$206,0),0)=0,"",INDEX(المحفظة!$F$107:$F$206,IFERROR(MATCH(15,المحفظة!$H$107:$H$206,0),0))),"")</f>
        <v/>
      </c>
      <c r="G71" s="33"/>
    </row>
    <row r="72" customFormat="false" ht="15" hidden="true" customHeight="true" outlineLevel="0" collapsed="false">
      <c r="A72" s="145" t="str">
        <f aca="false">IFERROR(IF(IFERROR(MATCH(16,المحفظة!$H$107:$H$206,0),0)=0,"",INDEX(المحفظة!$A$107:$A$206,IFERROR(MATCH(16,المحفظة!$H$107:$H$206,0),0))),"")</f>
        <v/>
      </c>
      <c r="B72" s="146" t="str">
        <f aca="false">IFERROR(IF(IFERROR(MATCH(16,المحفظة!$H$107:$H$206,0),0)=0,"",INDEX(المحفظة!$B$107:$B$206,IFERROR(MATCH(16,المحفظة!$H$107:$H$206,0),0))),"")</f>
        <v/>
      </c>
      <c r="C72" s="147" t="str">
        <f aca="false">IFERROR(IF(IFERROR(MATCH(16,المحفظة!$H$107:$H$206,0),0)=0,"",INDEX(المحفظة!$C$107:$C$206,IFERROR(MATCH(16,المحفظة!$H$107:$H$206,0),0))),"")</f>
        <v/>
      </c>
      <c r="D72" s="148" t="str">
        <f aca="false">IFERROR(IF(IFERROR(MATCH(16,المحفظة!$H$107:$H$206,0),0)=0,"",INDEX(المحفظة!$D$107:$D$206,IFERROR(MATCH(16,المحفظة!$H$107:$H$206,0),0))),"")</f>
        <v/>
      </c>
      <c r="E72" s="149" t="s">
        <v>6</v>
      </c>
      <c r="F72" s="146" t="str">
        <f aca="false">IFERROR(IF(IFERROR(MATCH(16,المحفظة!$H$107:$H$206,0),0)=0,"",INDEX(المحفظة!$F$107:$F$206,IFERROR(MATCH(16,المحفظة!$H$107:$H$206,0),0))),"")</f>
        <v/>
      </c>
      <c r="G72" s="40"/>
    </row>
    <row r="73" customFormat="false" ht="15" hidden="true" customHeight="true" outlineLevel="0" collapsed="false">
      <c r="A73" s="140" t="str">
        <f aca="false">IFERROR(IF(IFERROR(MATCH(17,المحفظة!$H$107:$H$206,0),0)=0,"",INDEX(المحفظة!$A$107:$A$206,IFERROR(MATCH(17,المحفظة!$H$107:$H$206,0),0))),"")</f>
        <v/>
      </c>
      <c r="B73" s="141" t="str">
        <f aca="false">IFERROR(IF(IFERROR(MATCH(17,المحفظة!$H$107:$H$206,0),0)=0,"",INDEX(المحفظة!$B$107:$B$206,IFERROR(MATCH(17,المحفظة!$H$107:$H$206,0),0))),"")</f>
        <v/>
      </c>
      <c r="C73" s="142" t="str">
        <f aca="false">IFERROR(IF(IFERROR(MATCH(17,المحفظة!$H$107:$H$206,0),0)=0,"",INDEX(المحفظة!$C$107:$C$206,IFERROR(MATCH(17,المحفظة!$H$107:$H$206,0),0))),"")</f>
        <v/>
      </c>
      <c r="D73" s="143" t="str">
        <f aca="false">IFERROR(IF(IFERROR(MATCH(17,المحفظة!$H$107:$H$206,0),0)=0,"",INDEX(المحفظة!$D$107:$D$206,IFERROR(MATCH(17,المحفظة!$H$107:$H$206,0),0))),"")</f>
        <v/>
      </c>
      <c r="E73" s="144" t="s">
        <v>6</v>
      </c>
      <c r="F73" s="141" t="str">
        <f aca="false">IFERROR(IF(IFERROR(MATCH(17,المحفظة!$H$107:$H$206,0),0)=0,"",INDEX(المحفظة!$F$107:$F$206,IFERROR(MATCH(17,المحفظة!$H$107:$H$206,0),0))),"")</f>
        <v/>
      </c>
      <c r="G73" s="33"/>
    </row>
    <row r="74" customFormat="false" ht="15" hidden="true" customHeight="true" outlineLevel="0" collapsed="false">
      <c r="A74" s="145" t="str">
        <f aca="false">IFERROR(IF(IFERROR(MATCH(18,المحفظة!$H$107:$H$206,0),0)=0,"",INDEX(المحفظة!$A$107:$A$206,IFERROR(MATCH(18,المحفظة!$H$107:$H$206,0),0))),"")</f>
        <v/>
      </c>
      <c r="B74" s="146" t="str">
        <f aca="false">IFERROR(IF(IFERROR(MATCH(18,المحفظة!$H$107:$H$206,0),0)=0,"",INDEX(المحفظة!$B$107:$B$206,IFERROR(MATCH(18,المحفظة!$H$107:$H$206,0),0))),"")</f>
        <v/>
      </c>
      <c r="C74" s="147" t="str">
        <f aca="false">IFERROR(IF(IFERROR(MATCH(18,المحفظة!$H$107:$H$206,0),0)=0,"",INDEX(المحفظة!$C$107:$C$206,IFERROR(MATCH(18,المحفظة!$H$107:$H$206,0),0))),"")</f>
        <v/>
      </c>
      <c r="D74" s="148" t="str">
        <f aca="false">IFERROR(IF(IFERROR(MATCH(18,المحفظة!$H$107:$H$206,0),0)=0,"",INDEX(المحفظة!$D$107:$D$206,IFERROR(MATCH(18,المحفظة!$H$107:$H$206,0),0))),"")</f>
        <v/>
      </c>
      <c r="E74" s="149" t="s">
        <v>6</v>
      </c>
      <c r="F74" s="146" t="str">
        <f aca="false">IFERROR(IF(IFERROR(MATCH(18,المحفظة!$H$107:$H$206,0),0)=0,"",INDEX(المحفظة!$F$107:$F$206,IFERROR(MATCH(18,المحفظة!$H$107:$H$206,0),0))),"")</f>
        <v/>
      </c>
      <c r="G74" s="40"/>
    </row>
    <row r="75" customFormat="false" ht="15" hidden="true" customHeight="true" outlineLevel="0" collapsed="false">
      <c r="A75" s="140" t="str">
        <f aca="false">IFERROR(IF(IFERROR(MATCH(19,المحفظة!$H$107:$H$206,0),0)=0,"",INDEX(المحفظة!$A$107:$A$206,IFERROR(MATCH(19,المحفظة!$H$107:$H$206,0),0))),"")</f>
        <v/>
      </c>
      <c r="B75" s="141" t="str">
        <f aca="false">IFERROR(IF(IFERROR(MATCH(19,المحفظة!$H$107:$H$206,0),0)=0,"",INDEX(المحفظة!$B$107:$B$206,IFERROR(MATCH(19,المحفظة!$H$107:$H$206,0),0))),"")</f>
        <v/>
      </c>
      <c r="C75" s="142" t="str">
        <f aca="false">IFERROR(IF(IFERROR(MATCH(19,المحفظة!$H$107:$H$206,0),0)=0,"",INDEX(المحفظة!$C$107:$C$206,IFERROR(MATCH(19,المحفظة!$H$107:$H$206,0),0))),"")</f>
        <v/>
      </c>
      <c r="D75" s="143" t="str">
        <f aca="false">IFERROR(IF(IFERROR(MATCH(19,المحفظة!$H$107:$H$206,0),0)=0,"",INDEX(المحفظة!$D$107:$D$206,IFERROR(MATCH(19,المحفظة!$H$107:$H$206,0),0))),"")</f>
        <v/>
      </c>
      <c r="E75" s="144" t="s">
        <v>6</v>
      </c>
      <c r="F75" s="141" t="str">
        <f aca="false">IFERROR(IF(IFERROR(MATCH(19,المحفظة!$H$107:$H$206,0),0)=0,"",INDEX(المحفظة!$F$107:$F$206,IFERROR(MATCH(19,المحفظة!$H$107:$H$206,0),0))),"")</f>
        <v/>
      </c>
      <c r="G75" s="33"/>
    </row>
    <row r="76" customFormat="false" ht="15" hidden="true" customHeight="true" outlineLevel="0" collapsed="false">
      <c r="A76" s="145" t="str">
        <f aca="false">IFERROR(IF(IFERROR(MATCH(20,المحفظة!$H$107:$H$206,0),0)=0,"",INDEX(المحفظة!$A$107:$A$206,IFERROR(MATCH(20,المحفظة!$H$107:$H$206,0),0))),"")</f>
        <v/>
      </c>
      <c r="B76" s="146" t="str">
        <f aca="false">IFERROR(IF(IFERROR(MATCH(20,المحفظة!$H$107:$H$206,0),0)=0,"",INDEX(المحفظة!$B$107:$B$206,IFERROR(MATCH(20,المحفظة!$H$107:$H$206,0),0))),"")</f>
        <v/>
      </c>
      <c r="C76" s="147" t="str">
        <f aca="false">IFERROR(IF(IFERROR(MATCH(20,المحفظة!$H$107:$H$206,0),0)=0,"",INDEX(المحفظة!$C$107:$C$206,IFERROR(MATCH(20,المحفظة!$H$107:$H$206,0),0))),"")</f>
        <v/>
      </c>
      <c r="D76" s="148" t="str">
        <f aca="false">IFERROR(IF(IFERROR(MATCH(20,المحفظة!$H$107:$H$206,0),0)=0,"",INDEX(المحفظة!$D$107:$D$206,IFERROR(MATCH(20,المحفظة!$H$107:$H$206,0),0))),"")</f>
        <v/>
      </c>
      <c r="E76" s="149" t="s">
        <v>6</v>
      </c>
      <c r="F76" s="146" t="str">
        <f aca="false">IFERROR(IF(IFERROR(MATCH(20,المحفظة!$H$107:$H$206,0),0)=0,"",INDEX(المحفظة!$F$107:$F$206,IFERROR(MATCH(20,المحفظة!$H$107:$H$206,0),0))),"")</f>
        <v/>
      </c>
      <c r="G76" s="40"/>
    </row>
    <row r="77" customFormat="false" ht="15" hidden="true" customHeight="true" outlineLevel="0" collapsed="false">
      <c r="A77" s="140" t="str">
        <f aca="false">IFERROR(IF(IFERROR(MATCH(21,المحفظة!$H$107:$H$206,0),0)=0,"",INDEX(المحفظة!$A$107:$A$206,IFERROR(MATCH(21,المحفظة!$H$107:$H$206,0),0))),"")</f>
        <v/>
      </c>
      <c r="B77" s="141" t="str">
        <f aca="false">IFERROR(IF(IFERROR(MATCH(21,المحفظة!$H$107:$H$206,0),0)=0,"",INDEX(المحفظة!$B$107:$B$206,IFERROR(MATCH(21,المحفظة!$H$107:$H$206,0),0))),"")</f>
        <v/>
      </c>
      <c r="C77" s="142" t="str">
        <f aca="false">IFERROR(IF(IFERROR(MATCH(21,المحفظة!$H$107:$H$206,0),0)=0,"",INDEX(المحفظة!$C$107:$C$206,IFERROR(MATCH(21,المحفظة!$H$107:$H$206,0),0))),"")</f>
        <v/>
      </c>
      <c r="D77" s="143" t="str">
        <f aca="false">IFERROR(IF(IFERROR(MATCH(21,المحفظة!$H$107:$H$206,0),0)=0,"",INDEX(المحفظة!$D$107:$D$206,IFERROR(MATCH(21,المحفظة!$H$107:$H$206,0),0))),"")</f>
        <v/>
      </c>
      <c r="E77" s="144" t="s">
        <v>6</v>
      </c>
      <c r="F77" s="141" t="str">
        <f aca="false">IFERROR(IF(IFERROR(MATCH(21,المحفظة!$H$107:$H$206,0),0)=0,"",INDEX(المحفظة!$F$107:$F$206,IFERROR(MATCH(21,المحفظة!$H$107:$H$206,0),0))),"")</f>
        <v/>
      </c>
      <c r="G77" s="33"/>
    </row>
    <row r="78" customFormat="false" ht="15" hidden="true" customHeight="true" outlineLevel="0" collapsed="false">
      <c r="A78" s="145" t="str">
        <f aca="false">IFERROR(IF(IFERROR(MATCH(22,المحفظة!$H$107:$H$206,0),0)=0,"",INDEX(المحفظة!$A$107:$A$206,IFERROR(MATCH(22,المحفظة!$H$107:$H$206,0),0))),"")</f>
        <v/>
      </c>
      <c r="B78" s="146" t="str">
        <f aca="false">IFERROR(IF(IFERROR(MATCH(22,المحفظة!$H$107:$H$206,0),0)=0,"",INDEX(المحفظة!$B$107:$B$206,IFERROR(MATCH(22,المحفظة!$H$107:$H$206,0),0))),"")</f>
        <v/>
      </c>
      <c r="C78" s="147" t="str">
        <f aca="false">IFERROR(IF(IFERROR(MATCH(22,المحفظة!$H$107:$H$206,0),0)=0,"",INDEX(المحفظة!$C$107:$C$206,IFERROR(MATCH(22,المحفظة!$H$107:$H$206,0),0))),"")</f>
        <v/>
      </c>
      <c r="D78" s="148" t="str">
        <f aca="false">IFERROR(IF(IFERROR(MATCH(22,المحفظة!$H$107:$H$206,0),0)=0,"",INDEX(المحفظة!$D$107:$D$206,IFERROR(MATCH(22,المحفظة!$H$107:$H$206,0),0))),"")</f>
        <v/>
      </c>
      <c r="E78" s="149" t="s">
        <v>6</v>
      </c>
      <c r="F78" s="146" t="str">
        <f aca="false">IFERROR(IF(IFERROR(MATCH(22,المحفظة!$H$107:$H$206,0),0)=0,"",INDEX(المحفظة!$F$107:$F$206,IFERROR(MATCH(22,المحفظة!$H$107:$H$206,0),0))),"")</f>
        <v/>
      </c>
      <c r="G78" s="40"/>
    </row>
    <row r="79" customFormat="false" ht="15" hidden="true" customHeight="true" outlineLevel="0" collapsed="false">
      <c r="A79" s="140" t="str">
        <f aca="false">IFERROR(IF(IFERROR(MATCH(23,المحفظة!$H$107:$H$206,0),0)=0,"",INDEX(المحفظة!$A$107:$A$206,IFERROR(MATCH(23,المحفظة!$H$107:$H$206,0),0))),"")</f>
        <v/>
      </c>
      <c r="B79" s="141" t="str">
        <f aca="false">IFERROR(IF(IFERROR(MATCH(23,المحفظة!$H$107:$H$206,0),0)=0,"",INDEX(المحفظة!$B$107:$B$206,IFERROR(MATCH(23,المحفظة!$H$107:$H$206,0),0))),"")</f>
        <v/>
      </c>
      <c r="C79" s="142" t="str">
        <f aca="false">IFERROR(IF(IFERROR(MATCH(23,المحفظة!$H$107:$H$206,0),0)=0,"",INDEX(المحفظة!$C$107:$C$206,IFERROR(MATCH(23,المحفظة!$H$107:$H$206,0),0))),"")</f>
        <v/>
      </c>
      <c r="D79" s="143" t="str">
        <f aca="false">IFERROR(IF(IFERROR(MATCH(23,المحفظة!$H$107:$H$206,0),0)=0,"",INDEX(المحفظة!$D$107:$D$206,IFERROR(MATCH(23,المحفظة!$H$107:$H$206,0),0))),"")</f>
        <v/>
      </c>
      <c r="E79" s="144" t="s">
        <v>6</v>
      </c>
      <c r="F79" s="141" t="str">
        <f aca="false">IFERROR(IF(IFERROR(MATCH(23,المحفظة!$H$107:$H$206,0),0)=0,"",INDEX(المحفظة!$F$107:$F$206,IFERROR(MATCH(23,المحفظة!$H$107:$H$206,0),0))),"")</f>
        <v/>
      </c>
      <c r="G79" s="33"/>
    </row>
    <row r="80" customFormat="false" ht="15" hidden="true" customHeight="true" outlineLevel="0" collapsed="false">
      <c r="A80" s="145" t="str">
        <f aca="false">IFERROR(IF(IFERROR(MATCH(24,المحفظة!$H$107:$H$206,0),0)=0,"",INDEX(المحفظة!$A$107:$A$206,IFERROR(MATCH(24,المحفظة!$H$107:$H$206,0),0))),"")</f>
        <v/>
      </c>
      <c r="B80" s="146" t="str">
        <f aca="false">IFERROR(IF(IFERROR(MATCH(24,المحفظة!$H$107:$H$206,0),0)=0,"",INDEX(المحفظة!$B$107:$B$206,IFERROR(MATCH(24,المحفظة!$H$107:$H$206,0),0))),"")</f>
        <v/>
      </c>
      <c r="C80" s="147" t="str">
        <f aca="false">IFERROR(IF(IFERROR(MATCH(24,المحفظة!$H$107:$H$206,0),0)=0,"",INDEX(المحفظة!$C$107:$C$206,IFERROR(MATCH(24,المحفظة!$H$107:$H$206,0),0))),"")</f>
        <v/>
      </c>
      <c r="D80" s="148" t="str">
        <f aca="false">IFERROR(IF(IFERROR(MATCH(24,المحفظة!$H$107:$H$206,0),0)=0,"",INDEX(المحفظة!$D$107:$D$206,IFERROR(MATCH(24,المحفظة!$H$107:$H$206,0),0))),"")</f>
        <v/>
      </c>
      <c r="E80" s="149" t="s">
        <v>6</v>
      </c>
      <c r="F80" s="146" t="str">
        <f aca="false">IFERROR(IF(IFERROR(MATCH(24,المحفظة!$H$107:$H$206,0),0)=0,"",INDEX(المحفظة!$F$107:$F$206,IFERROR(MATCH(24,المحفظة!$H$107:$H$206,0),0))),"")</f>
        <v/>
      </c>
      <c r="G80" s="40"/>
    </row>
    <row r="81" customFormat="false" ht="15" hidden="true" customHeight="true" outlineLevel="0" collapsed="false">
      <c r="A81" s="140" t="str">
        <f aca="false">IFERROR(IF(IFERROR(MATCH(25,المحفظة!$H$107:$H$206,0),0)=0,"",INDEX(المحفظة!$A$107:$A$206,IFERROR(MATCH(25,المحفظة!$H$107:$H$206,0),0))),"")</f>
        <v/>
      </c>
      <c r="B81" s="141" t="str">
        <f aca="false">IFERROR(IF(IFERROR(MATCH(25,المحفظة!$H$107:$H$206,0),0)=0,"",INDEX(المحفظة!$B$107:$B$206,IFERROR(MATCH(25,المحفظة!$H$107:$H$206,0),0))),"")</f>
        <v/>
      </c>
      <c r="C81" s="142" t="str">
        <f aca="false">IFERROR(IF(IFERROR(MATCH(25,المحفظة!$H$107:$H$206,0),0)=0,"",INDEX(المحفظة!$C$107:$C$206,IFERROR(MATCH(25,المحفظة!$H$107:$H$206,0),0))),"")</f>
        <v/>
      </c>
      <c r="D81" s="143" t="str">
        <f aca="false">IFERROR(IF(IFERROR(MATCH(25,المحفظة!$H$107:$H$206,0),0)=0,"",INDEX(المحفظة!$D$107:$D$206,IFERROR(MATCH(25,المحفظة!$H$107:$H$206,0),0))),"")</f>
        <v/>
      </c>
      <c r="E81" s="144" t="s">
        <v>6</v>
      </c>
      <c r="F81" s="141" t="str">
        <f aca="false">IFERROR(IF(IFERROR(MATCH(25,المحفظة!$H$107:$H$206,0),0)=0,"",INDEX(المحفظة!$F$107:$F$206,IFERROR(MATCH(25,المحفظة!$H$107:$H$206,0),0))),"")</f>
        <v/>
      </c>
      <c r="G81" s="33"/>
    </row>
    <row r="82" customFormat="false" ht="15" hidden="true" customHeight="true" outlineLevel="0" collapsed="false">
      <c r="A82" s="145" t="str">
        <f aca="false">IFERROR(IF(IFERROR(MATCH(26,المحفظة!$H$107:$H$206,0),0)=0,"",INDEX(المحفظة!$A$107:$A$206,IFERROR(MATCH(26,المحفظة!$H$107:$H$206,0),0))),"")</f>
        <v/>
      </c>
      <c r="B82" s="146" t="str">
        <f aca="false">IFERROR(IF(IFERROR(MATCH(26,المحفظة!$H$107:$H$206,0),0)=0,"",INDEX(المحفظة!$B$107:$B$206,IFERROR(MATCH(26,المحفظة!$H$107:$H$206,0),0))),"")</f>
        <v/>
      </c>
      <c r="C82" s="147" t="str">
        <f aca="false">IFERROR(IF(IFERROR(MATCH(26,المحفظة!$H$107:$H$206,0),0)=0,"",INDEX(المحفظة!$C$107:$C$206,IFERROR(MATCH(26,المحفظة!$H$107:$H$206,0),0))),"")</f>
        <v/>
      </c>
      <c r="D82" s="148" t="str">
        <f aca="false">IFERROR(IF(IFERROR(MATCH(26,المحفظة!$H$107:$H$206,0),0)=0,"",INDEX(المحفظة!$D$107:$D$206,IFERROR(MATCH(26,المحفظة!$H$107:$H$206,0),0))),"")</f>
        <v/>
      </c>
      <c r="E82" s="149" t="s">
        <v>6</v>
      </c>
      <c r="F82" s="146" t="str">
        <f aca="false">IFERROR(IF(IFERROR(MATCH(26,المحفظة!$H$107:$H$206,0),0)=0,"",INDEX(المحفظة!$F$107:$F$206,IFERROR(MATCH(26,المحفظة!$H$107:$H$206,0),0))),"")</f>
        <v/>
      </c>
      <c r="G82" s="40"/>
    </row>
    <row r="83" customFormat="false" ht="15" hidden="true" customHeight="true" outlineLevel="0" collapsed="false">
      <c r="A83" s="140" t="str">
        <f aca="false">IFERROR(IF(IFERROR(MATCH(27,المحفظة!$H$107:$H$206,0),0)=0,"",INDEX(المحفظة!$A$107:$A$206,IFERROR(MATCH(27,المحفظة!$H$107:$H$206,0),0))),"")</f>
        <v/>
      </c>
      <c r="B83" s="141" t="str">
        <f aca="false">IFERROR(IF(IFERROR(MATCH(27,المحفظة!$H$107:$H$206,0),0)=0,"",INDEX(المحفظة!$B$107:$B$206,IFERROR(MATCH(27,المحفظة!$H$107:$H$206,0),0))),"")</f>
        <v/>
      </c>
      <c r="C83" s="142" t="str">
        <f aca="false">IFERROR(IF(IFERROR(MATCH(27,المحفظة!$H$107:$H$206,0),0)=0,"",INDEX(المحفظة!$C$107:$C$206,IFERROR(MATCH(27,المحفظة!$H$107:$H$206,0),0))),"")</f>
        <v/>
      </c>
      <c r="D83" s="143" t="str">
        <f aca="false">IFERROR(IF(IFERROR(MATCH(27,المحفظة!$H$107:$H$206,0),0)=0,"",INDEX(المحفظة!$D$107:$D$206,IFERROR(MATCH(27,المحفظة!$H$107:$H$206,0),0))),"")</f>
        <v/>
      </c>
      <c r="E83" s="144" t="s">
        <v>6</v>
      </c>
      <c r="F83" s="141" t="str">
        <f aca="false">IFERROR(IF(IFERROR(MATCH(27,المحفظة!$H$107:$H$206,0),0)=0,"",INDEX(المحفظة!$F$107:$F$206,IFERROR(MATCH(27,المحفظة!$H$107:$H$206,0),0))),"")</f>
        <v/>
      </c>
      <c r="G83" s="33"/>
    </row>
    <row r="84" customFormat="false" ht="15" hidden="true" customHeight="true" outlineLevel="0" collapsed="false">
      <c r="A84" s="145" t="str">
        <f aca="false">IFERROR(IF(IFERROR(MATCH(28,المحفظة!$H$107:$H$206,0),0)=0,"",INDEX(المحفظة!$A$107:$A$206,IFERROR(MATCH(28,المحفظة!$H$107:$H$206,0),0))),"")</f>
        <v/>
      </c>
      <c r="B84" s="146" t="str">
        <f aca="false">IFERROR(IF(IFERROR(MATCH(28,المحفظة!$H$107:$H$206,0),0)=0,"",INDEX(المحفظة!$B$107:$B$206,IFERROR(MATCH(28,المحفظة!$H$107:$H$206,0),0))),"")</f>
        <v/>
      </c>
      <c r="C84" s="147" t="str">
        <f aca="false">IFERROR(IF(IFERROR(MATCH(28,المحفظة!$H$107:$H$206,0),0)=0,"",INDEX(المحفظة!$C$107:$C$206,IFERROR(MATCH(28,المحفظة!$H$107:$H$206,0),0))),"")</f>
        <v/>
      </c>
      <c r="D84" s="148" t="str">
        <f aca="false">IFERROR(IF(IFERROR(MATCH(28,المحفظة!$H$107:$H$206,0),0)=0,"",INDEX(المحفظة!$D$107:$D$206,IFERROR(MATCH(28,المحفظة!$H$107:$H$206,0),0))),"")</f>
        <v/>
      </c>
      <c r="E84" s="149" t="s">
        <v>6</v>
      </c>
      <c r="F84" s="146" t="str">
        <f aca="false">IFERROR(IF(IFERROR(MATCH(28,المحفظة!$H$107:$H$206,0),0)=0,"",INDEX(المحفظة!$F$107:$F$206,IFERROR(MATCH(28,المحفظة!$H$107:$H$206,0),0))),"")</f>
        <v/>
      </c>
      <c r="G84" s="40"/>
    </row>
    <row r="85" customFormat="false" ht="15" hidden="true" customHeight="true" outlineLevel="0" collapsed="false">
      <c r="A85" s="140" t="str">
        <f aca="false">IFERROR(IF(IFERROR(MATCH(29,المحفظة!$H$107:$H$206,0),0)=0,"",INDEX(المحفظة!$A$107:$A$206,IFERROR(MATCH(29,المحفظة!$H$107:$H$206,0),0))),"")</f>
        <v/>
      </c>
      <c r="B85" s="141" t="str">
        <f aca="false">IFERROR(IF(IFERROR(MATCH(29,المحفظة!$H$107:$H$206,0),0)=0,"",INDEX(المحفظة!$B$107:$B$206,IFERROR(MATCH(29,المحفظة!$H$107:$H$206,0),0))),"")</f>
        <v/>
      </c>
      <c r="C85" s="142" t="str">
        <f aca="false">IFERROR(IF(IFERROR(MATCH(29,المحفظة!$H$107:$H$206,0),0)=0,"",INDEX(المحفظة!$C$107:$C$206,IFERROR(MATCH(29,المحفظة!$H$107:$H$206,0),0))),"")</f>
        <v/>
      </c>
      <c r="D85" s="143" t="str">
        <f aca="false">IFERROR(IF(IFERROR(MATCH(29,المحفظة!$H$107:$H$206,0),0)=0,"",INDEX(المحفظة!$D$107:$D$206,IFERROR(MATCH(29,المحفظة!$H$107:$H$206,0),0))),"")</f>
        <v/>
      </c>
      <c r="E85" s="144" t="s">
        <v>6</v>
      </c>
      <c r="F85" s="141" t="str">
        <f aca="false">IFERROR(IF(IFERROR(MATCH(29,المحفظة!$H$107:$H$206,0),0)=0,"",INDEX(المحفظة!$F$107:$F$206,IFERROR(MATCH(29,المحفظة!$H$107:$H$206,0),0))),"")</f>
        <v/>
      </c>
      <c r="G85" s="33"/>
    </row>
    <row r="86" customFormat="false" ht="15" hidden="true" customHeight="true" outlineLevel="0" collapsed="false">
      <c r="A86" s="145" t="str">
        <f aca="false">IFERROR(IF(IFERROR(MATCH(30,المحفظة!$H$107:$H$206,0),0)=0,"",INDEX(المحفظة!$A$107:$A$206,IFERROR(MATCH(30,المحفظة!$H$107:$H$206,0),0))),"")</f>
        <v/>
      </c>
      <c r="B86" s="146" t="str">
        <f aca="false">IFERROR(IF(IFERROR(MATCH(30,المحفظة!$H$107:$H$206,0),0)=0,"",INDEX(المحفظة!$B$107:$B$206,IFERROR(MATCH(30,المحفظة!$H$107:$H$206,0),0))),"")</f>
        <v/>
      </c>
      <c r="C86" s="147" t="str">
        <f aca="false">IFERROR(IF(IFERROR(MATCH(30,المحفظة!$H$107:$H$206,0),0)=0,"",INDEX(المحفظة!$C$107:$C$206,IFERROR(MATCH(30,المحفظة!$H$107:$H$206,0),0))),"")</f>
        <v/>
      </c>
      <c r="D86" s="148" t="str">
        <f aca="false">IFERROR(IF(IFERROR(MATCH(30,المحفظة!$H$107:$H$206,0),0)=0,"",INDEX(المحفظة!$D$107:$D$206,IFERROR(MATCH(30,المحفظة!$H$107:$H$206,0),0))),"")</f>
        <v/>
      </c>
      <c r="E86" s="149" t="s">
        <v>6</v>
      </c>
      <c r="F86" s="146" t="str">
        <f aca="false">IFERROR(IF(IFERROR(MATCH(30,المحفظة!$H$107:$H$206,0),0)=0,"",INDEX(المحفظة!$F$107:$F$206,IFERROR(MATCH(30,المحفظة!$H$107:$H$206,0),0))),"")</f>
        <v/>
      </c>
      <c r="G86" s="40"/>
    </row>
    <row r="87" customFormat="false" ht="15" hidden="true" customHeight="true" outlineLevel="0" collapsed="false">
      <c r="A87" s="140" t="str">
        <f aca="false">IFERROR(IF(IFERROR(MATCH(31,المحفظة!$H$107:$H$206,0),0)=0,"",INDEX(المحفظة!$A$107:$A$206,IFERROR(MATCH(31,المحفظة!$H$107:$H$206,0),0))),"")</f>
        <v/>
      </c>
      <c r="B87" s="141" t="str">
        <f aca="false">IFERROR(IF(IFERROR(MATCH(31,المحفظة!$H$107:$H$206,0),0)=0,"",INDEX(المحفظة!$B$107:$B$206,IFERROR(MATCH(31,المحفظة!$H$107:$H$206,0),0))),"")</f>
        <v/>
      </c>
      <c r="C87" s="142" t="str">
        <f aca="false">IFERROR(IF(IFERROR(MATCH(31,المحفظة!$H$107:$H$206,0),0)=0,"",INDEX(المحفظة!$C$107:$C$206,IFERROR(MATCH(31,المحفظة!$H$107:$H$206,0),0))),"")</f>
        <v/>
      </c>
      <c r="D87" s="143" t="str">
        <f aca="false">IFERROR(IF(IFERROR(MATCH(31,المحفظة!$H$107:$H$206,0),0)=0,"",INDEX(المحفظة!$D$107:$D$206,IFERROR(MATCH(31,المحفظة!$H$107:$H$206,0),0))),"")</f>
        <v/>
      </c>
      <c r="E87" s="144" t="s">
        <v>6</v>
      </c>
      <c r="F87" s="141" t="str">
        <f aca="false">IFERROR(IF(IFERROR(MATCH(31,المحفظة!$H$107:$H$206,0),0)=0,"",INDEX(المحفظة!$F$107:$F$206,IFERROR(MATCH(31,المحفظة!$H$107:$H$206,0),0))),"")</f>
        <v/>
      </c>
      <c r="G87" s="33"/>
    </row>
    <row r="88" customFormat="false" ht="15" hidden="true" customHeight="true" outlineLevel="0" collapsed="false">
      <c r="A88" s="145" t="str">
        <f aca="false">IFERROR(IF(IFERROR(MATCH(32,المحفظة!$H$107:$H$206,0),0)=0,"",INDEX(المحفظة!$A$107:$A$206,IFERROR(MATCH(32,المحفظة!$H$107:$H$206,0),0))),"")</f>
        <v/>
      </c>
      <c r="B88" s="146" t="str">
        <f aca="false">IFERROR(IF(IFERROR(MATCH(32,المحفظة!$H$107:$H$206,0),0)=0,"",INDEX(المحفظة!$B$107:$B$206,IFERROR(MATCH(32,المحفظة!$H$107:$H$206,0),0))),"")</f>
        <v/>
      </c>
      <c r="C88" s="147" t="str">
        <f aca="false">IFERROR(IF(IFERROR(MATCH(32,المحفظة!$H$107:$H$206,0),0)=0,"",INDEX(المحفظة!$C$107:$C$206,IFERROR(MATCH(32,المحفظة!$H$107:$H$206,0),0))),"")</f>
        <v/>
      </c>
      <c r="D88" s="148" t="str">
        <f aca="false">IFERROR(IF(IFERROR(MATCH(32,المحفظة!$H$107:$H$206,0),0)=0,"",INDEX(المحفظة!$D$107:$D$206,IFERROR(MATCH(32,المحفظة!$H$107:$H$206,0),0))),"")</f>
        <v/>
      </c>
      <c r="E88" s="149" t="s">
        <v>6</v>
      </c>
      <c r="F88" s="146" t="str">
        <f aca="false">IFERROR(IF(IFERROR(MATCH(32,المحفظة!$H$107:$H$206,0),0)=0,"",INDEX(المحفظة!$F$107:$F$206,IFERROR(MATCH(32,المحفظة!$H$107:$H$206,0),0))),"")</f>
        <v/>
      </c>
      <c r="G88" s="40"/>
    </row>
    <row r="89" customFormat="false" ht="15" hidden="true" customHeight="true" outlineLevel="0" collapsed="false">
      <c r="A89" s="140" t="str">
        <f aca="false">IFERROR(IF(IFERROR(MATCH(33,المحفظة!$H$107:$H$206,0),0)=0,"",INDEX(المحفظة!$A$107:$A$206,IFERROR(MATCH(33,المحفظة!$H$107:$H$206,0),0))),"")</f>
        <v/>
      </c>
      <c r="B89" s="141" t="str">
        <f aca="false">IFERROR(IF(IFERROR(MATCH(33,المحفظة!$H$107:$H$206,0),0)=0,"",INDEX(المحفظة!$B$107:$B$206,IFERROR(MATCH(33,المحفظة!$H$107:$H$206,0),0))),"")</f>
        <v/>
      </c>
      <c r="C89" s="142" t="str">
        <f aca="false">IFERROR(IF(IFERROR(MATCH(33,المحفظة!$H$107:$H$206,0),0)=0,"",INDEX(المحفظة!$C$107:$C$206,IFERROR(MATCH(33,المحفظة!$H$107:$H$206,0),0))),"")</f>
        <v/>
      </c>
      <c r="D89" s="143" t="str">
        <f aca="false">IFERROR(IF(IFERROR(MATCH(33,المحفظة!$H$107:$H$206,0),0)=0,"",INDEX(المحفظة!$D$107:$D$206,IFERROR(MATCH(33,المحفظة!$H$107:$H$206,0),0))),"")</f>
        <v/>
      </c>
      <c r="E89" s="144" t="s">
        <v>6</v>
      </c>
      <c r="F89" s="141" t="str">
        <f aca="false">IFERROR(IF(IFERROR(MATCH(33,المحفظة!$H$107:$H$206,0),0)=0,"",INDEX(المحفظة!$F$107:$F$206,IFERROR(MATCH(33,المحفظة!$H$107:$H$206,0),0))),"")</f>
        <v/>
      </c>
      <c r="G89" s="33"/>
    </row>
    <row r="90" customFormat="false" ht="15" hidden="true" customHeight="true" outlineLevel="0" collapsed="false">
      <c r="A90" s="145" t="str">
        <f aca="false">IFERROR(IF(IFERROR(MATCH(34,المحفظة!$H$107:$H$206,0),0)=0,"",INDEX(المحفظة!$A$107:$A$206,IFERROR(MATCH(34,المحفظة!$H$107:$H$206,0),0))),"")</f>
        <v/>
      </c>
      <c r="B90" s="146" t="str">
        <f aca="false">IFERROR(IF(IFERROR(MATCH(34,المحفظة!$H$107:$H$206,0),0)=0,"",INDEX(المحفظة!$B$107:$B$206,IFERROR(MATCH(34,المحفظة!$H$107:$H$206,0),0))),"")</f>
        <v/>
      </c>
      <c r="C90" s="147" t="str">
        <f aca="false">IFERROR(IF(IFERROR(MATCH(34,المحفظة!$H$107:$H$206,0),0)=0,"",INDEX(المحفظة!$C$107:$C$206,IFERROR(MATCH(34,المحفظة!$H$107:$H$206,0),0))),"")</f>
        <v/>
      </c>
      <c r="D90" s="148" t="str">
        <f aca="false">IFERROR(IF(IFERROR(MATCH(34,المحفظة!$H$107:$H$206,0),0)=0,"",INDEX(المحفظة!$D$107:$D$206,IFERROR(MATCH(34,المحفظة!$H$107:$H$206,0),0))),"")</f>
        <v/>
      </c>
      <c r="E90" s="149" t="s">
        <v>6</v>
      </c>
      <c r="F90" s="146" t="str">
        <f aca="false">IFERROR(IF(IFERROR(MATCH(34,المحفظة!$H$107:$H$206,0),0)=0,"",INDEX(المحفظة!$F$107:$F$206,IFERROR(MATCH(34,المحفظة!$H$107:$H$206,0),0))),"")</f>
        <v/>
      </c>
      <c r="G90" s="40"/>
    </row>
    <row r="91" customFormat="false" ht="15" hidden="true" customHeight="true" outlineLevel="0" collapsed="false">
      <c r="A91" s="140" t="str">
        <f aca="false">IFERROR(IF(IFERROR(MATCH(35,المحفظة!$H$107:$H$206,0),0)=0,"",INDEX(المحفظة!$A$107:$A$206,IFERROR(MATCH(35,المحفظة!$H$107:$H$206,0),0))),"")</f>
        <v/>
      </c>
      <c r="B91" s="141" t="str">
        <f aca="false">IFERROR(IF(IFERROR(MATCH(35,المحفظة!$H$107:$H$206,0),0)=0,"",INDEX(المحفظة!$B$107:$B$206,IFERROR(MATCH(35,المحفظة!$H$107:$H$206,0),0))),"")</f>
        <v/>
      </c>
      <c r="C91" s="142" t="str">
        <f aca="false">IFERROR(IF(IFERROR(MATCH(35,المحفظة!$H$107:$H$206,0),0)=0,"",INDEX(المحفظة!$C$107:$C$206,IFERROR(MATCH(35,المحفظة!$H$107:$H$206,0),0))),"")</f>
        <v/>
      </c>
      <c r="D91" s="143" t="str">
        <f aca="false">IFERROR(IF(IFERROR(MATCH(35,المحفظة!$H$107:$H$206,0),0)=0,"",INDEX(المحفظة!$D$107:$D$206,IFERROR(MATCH(35,المحفظة!$H$107:$H$206,0),0))),"")</f>
        <v/>
      </c>
      <c r="E91" s="144" t="s">
        <v>6</v>
      </c>
      <c r="F91" s="141" t="str">
        <f aca="false">IFERROR(IF(IFERROR(MATCH(35,المحفظة!$H$107:$H$206,0),0)=0,"",INDEX(المحفظة!$F$107:$F$206,IFERROR(MATCH(35,المحفظة!$H$107:$H$206,0),0))),"")</f>
        <v/>
      </c>
      <c r="G91" s="33"/>
    </row>
    <row r="92" customFormat="false" ht="15" hidden="true" customHeight="true" outlineLevel="0" collapsed="false">
      <c r="A92" s="145" t="str">
        <f aca="false">IFERROR(IF(IFERROR(MATCH(36,المحفظة!$H$107:$H$206,0),0)=0,"",INDEX(المحفظة!$A$107:$A$206,IFERROR(MATCH(36,المحفظة!$H$107:$H$206,0),0))),"")</f>
        <v/>
      </c>
      <c r="B92" s="146" t="str">
        <f aca="false">IFERROR(IF(IFERROR(MATCH(36,المحفظة!$H$107:$H$206,0),0)=0,"",INDEX(المحفظة!$B$107:$B$206,IFERROR(MATCH(36,المحفظة!$H$107:$H$206,0),0))),"")</f>
        <v/>
      </c>
      <c r="C92" s="147" t="str">
        <f aca="false">IFERROR(IF(IFERROR(MATCH(36,المحفظة!$H$107:$H$206,0),0)=0,"",INDEX(المحفظة!$C$107:$C$206,IFERROR(MATCH(36,المحفظة!$H$107:$H$206,0),0))),"")</f>
        <v/>
      </c>
      <c r="D92" s="148" t="str">
        <f aca="false">IFERROR(IF(IFERROR(MATCH(36,المحفظة!$H$107:$H$206,0),0)=0,"",INDEX(المحفظة!$D$107:$D$206,IFERROR(MATCH(36,المحفظة!$H$107:$H$206,0),0))),"")</f>
        <v/>
      </c>
      <c r="E92" s="149" t="s">
        <v>6</v>
      </c>
      <c r="F92" s="146" t="str">
        <f aca="false">IFERROR(IF(IFERROR(MATCH(36,المحفظة!$H$107:$H$206,0),0)=0,"",INDEX(المحفظة!$F$107:$F$206,IFERROR(MATCH(36,المحفظة!$H$107:$H$206,0),0))),"")</f>
        <v/>
      </c>
      <c r="G92" s="40"/>
    </row>
    <row r="93" customFormat="false" ht="15" hidden="true" customHeight="true" outlineLevel="0" collapsed="false">
      <c r="A93" s="140" t="str">
        <f aca="false">IFERROR(IF(IFERROR(MATCH(37,المحفظة!$H$107:$H$206,0),0)=0,"",INDEX(المحفظة!$A$107:$A$206,IFERROR(MATCH(37,المحفظة!$H$107:$H$206,0),0))),"")</f>
        <v/>
      </c>
      <c r="B93" s="141" t="str">
        <f aca="false">IFERROR(IF(IFERROR(MATCH(37,المحفظة!$H$107:$H$206,0),0)=0,"",INDEX(المحفظة!$B$107:$B$206,IFERROR(MATCH(37,المحفظة!$H$107:$H$206,0),0))),"")</f>
        <v/>
      </c>
      <c r="C93" s="142" t="str">
        <f aca="false">IFERROR(IF(IFERROR(MATCH(37,المحفظة!$H$107:$H$206,0),0)=0,"",INDEX(المحفظة!$C$107:$C$206,IFERROR(MATCH(37,المحفظة!$H$107:$H$206,0),0))),"")</f>
        <v/>
      </c>
      <c r="D93" s="143" t="str">
        <f aca="false">IFERROR(IF(IFERROR(MATCH(37,المحفظة!$H$107:$H$206,0),0)=0,"",INDEX(المحفظة!$D$107:$D$206,IFERROR(MATCH(37,المحفظة!$H$107:$H$206,0),0))),"")</f>
        <v/>
      </c>
      <c r="E93" s="144" t="s">
        <v>6</v>
      </c>
      <c r="F93" s="141" t="str">
        <f aca="false">IFERROR(IF(IFERROR(MATCH(37,المحفظة!$H$107:$H$206,0),0)=0,"",INDEX(المحفظة!$F$107:$F$206,IFERROR(MATCH(37,المحفظة!$H$107:$H$206,0),0))),"")</f>
        <v/>
      </c>
      <c r="G93" s="33"/>
    </row>
    <row r="94" customFormat="false" ht="15" hidden="true" customHeight="true" outlineLevel="0" collapsed="false">
      <c r="A94" s="145" t="str">
        <f aca="false">IFERROR(IF(IFERROR(MATCH(38,المحفظة!$H$107:$H$206,0),0)=0,"",INDEX(المحفظة!$A$107:$A$206,IFERROR(MATCH(38,المحفظة!$H$107:$H$206,0),0))),"")</f>
        <v/>
      </c>
      <c r="B94" s="146" t="str">
        <f aca="false">IFERROR(IF(IFERROR(MATCH(38,المحفظة!$H$107:$H$206,0),0)=0,"",INDEX(المحفظة!$B$107:$B$206,IFERROR(MATCH(38,المحفظة!$H$107:$H$206,0),0))),"")</f>
        <v/>
      </c>
      <c r="C94" s="147" t="str">
        <f aca="false">IFERROR(IF(IFERROR(MATCH(38,المحفظة!$H$107:$H$206,0),0)=0,"",INDEX(المحفظة!$C$107:$C$206,IFERROR(MATCH(38,المحفظة!$H$107:$H$206,0),0))),"")</f>
        <v/>
      </c>
      <c r="D94" s="148" t="str">
        <f aca="false">IFERROR(IF(IFERROR(MATCH(38,المحفظة!$H$107:$H$206,0),0)=0,"",INDEX(المحفظة!$D$107:$D$206,IFERROR(MATCH(38,المحفظة!$H$107:$H$206,0),0))),"")</f>
        <v/>
      </c>
      <c r="E94" s="149" t="s">
        <v>6</v>
      </c>
      <c r="F94" s="146" t="str">
        <f aca="false">IFERROR(IF(IFERROR(MATCH(38,المحفظة!$H$107:$H$206,0),0)=0,"",INDEX(المحفظة!$F$107:$F$206,IFERROR(MATCH(38,المحفظة!$H$107:$H$206,0),0))),"")</f>
        <v/>
      </c>
      <c r="G94" s="40"/>
    </row>
    <row r="95" customFormat="false" ht="15" hidden="true" customHeight="true" outlineLevel="0" collapsed="false">
      <c r="A95" s="140" t="str">
        <f aca="false">IFERROR(IF(IFERROR(MATCH(39,المحفظة!$H$107:$H$206,0),0)=0,"",INDEX(المحفظة!$A$107:$A$206,IFERROR(MATCH(39,المحفظة!$H$107:$H$206,0),0))),"")</f>
        <v/>
      </c>
      <c r="B95" s="141" t="str">
        <f aca="false">IFERROR(IF(IFERROR(MATCH(39,المحفظة!$H$107:$H$206,0),0)=0,"",INDEX(المحفظة!$B$107:$B$206,IFERROR(MATCH(39,المحفظة!$H$107:$H$206,0),0))),"")</f>
        <v/>
      </c>
      <c r="C95" s="142" t="str">
        <f aca="false">IFERROR(IF(IFERROR(MATCH(39,المحفظة!$H$107:$H$206,0),0)=0,"",INDEX(المحفظة!$C$107:$C$206,IFERROR(MATCH(39,المحفظة!$H$107:$H$206,0),0))),"")</f>
        <v/>
      </c>
      <c r="D95" s="143" t="str">
        <f aca="false">IFERROR(IF(IFERROR(MATCH(39,المحفظة!$H$107:$H$206,0),0)=0,"",INDEX(المحفظة!$D$107:$D$206,IFERROR(MATCH(39,المحفظة!$H$107:$H$206,0),0))),"")</f>
        <v/>
      </c>
      <c r="E95" s="144" t="s">
        <v>6</v>
      </c>
      <c r="F95" s="141" t="str">
        <f aca="false">IFERROR(IF(IFERROR(MATCH(39,المحفظة!$H$107:$H$206,0),0)=0,"",INDEX(المحفظة!$F$107:$F$206,IFERROR(MATCH(39,المحفظة!$H$107:$H$206,0),0))),"")</f>
        <v/>
      </c>
      <c r="G95" s="33"/>
    </row>
    <row r="96" customFormat="false" ht="15" hidden="true" customHeight="true" outlineLevel="0" collapsed="false">
      <c r="A96" s="145" t="str">
        <f aca="false">IFERROR(IF(IFERROR(MATCH(40,المحفظة!$H$107:$H$206,0),0)=0,"",INDEX(المحفظة!$A$107:$A$206,IFERROR(MATCH(40,المحفظة!$H$107:$H$206,0),0))),"")</f>
        <v/>
      </c>
      <c r="B96" s="146" t="str">
        <f aca="false">IFERROR(IF(IFERROR(MATCH(40,المحفظة!$H$107:$H$206,0),0)=0,"",INDEX(المحفظة!$B$107:$B$206,IFERROR(MATCH(40,المحفظة!$H$107:$H$206,0),0))),"")</f>
        <v/>
      </c>
      <c r="C96" s="147" t="str">
        <f aca="false">IFERROR(IF(IFERROR(MATCH(40,المحفظة!$H$107:$H$206,0),0)=0,"",INDEX(المحفظة!$C$107:$C$206,IFERROR(MATCH(40,المحفظة!$H$107:$H$206,0),0))),"")</f>
        <v/>
      </c>
      <c r="D96" s="148" t="str">
        <f aca="false">IFERROR(IF(IFERROR(MATCH(40,المحفظة!$H$107:$H$206,0),0)=0,"",INDEX(المحفظة!$D$107:$D$206,IFERROR(MATCH(40,المحفظة!$H$107:$H$206,0),0))),"")</f>
        <v/>
      </c>
      <c r="E96" s="149" t="s">
        <v>6</v>
      </c>
      <c r="F96" s="146" t="str">
        <f aca="false">IFERROR(IF(IFERROR(MATCH(40,المحفظة!$H$107:$H$206,0),0)=0,"",INDEX(المحفظة!$F$107:$F$206,IFERROR(MATCH(40,المحفظة!$H$107:$H$206,0),0))),"")</f>
        <v/>
      </c>
      <c r="G96" s="40"/>
    </row>
    <row r="97" customFormat="false" ht="15" hidden="true" customHeight="true" outlineLevel="0" collapsed="false">
      <c r="A97" s="140" t="str">
        <f aca="false">IFERROR(IF(IFERROR(MATCH(41,المحفظة!$H$107:$H$206,0),0)=0,"",INDEX(المحفظة!$A$107:$A$206,IFERROR(MATCH(41,المحفظة!$H$107:$H$206,0),0))),"")</f>
        <v/>
      </c>
      <c r="B97" s="141" t="str">
        <f aca="false">IFERROR(IF(IFERROR(MATCH(41,المحفظة!$H$107:$H$206,0),0)=0,"",INDEX(المحفظة!$B$107:$B$206,IFERROR(MATCH(41,المحفظة!$H$107:$H$206,0),0))),"")</f>
        <v/>
      </c>
      <c r="C97" s="142" t="str">
        <f aca="false">IFERROR(IF(IFERROR(MATCH(41,المحفظة!$H$107:$H$206,0),0)=0,"",INDEX(المحفظة!$C$107:$C$206,IFERROR(MATCH(41,المحفظة!$H$107:$H$206,0),0))),"")</f>
        <v/>
      </c>
      <c r="D97" s="143" t="str">
        <f aca="false">IFERROR(IF(IFERROR(MATCH(41,المحفظة!$H$107:$H$206,0),0)=0,"",INDEX(المحفظة!$D$107:$D$206,IFERROR(MATCH(41,المحفظة!$H$107:$H$206,0),0))),"")</f>
        <v/>
      </c>
      <c r="E97" s="144" t="s">
        <v>6</v>
      </c>
      <c r="F97" s="141" t="str">
        <f aca="false">IFERROR(IF(IFERROR(MATCH(41,المحفظة!$H$107:$H$206,0),0)=0,"",INDEX(المحفظة!$F$107:$F$206,IFERROR(MATCH(41,المحفظة!$H$107:$H$206,0),0))),"")</f>
        <v/>
      </c>
      <c r="G97" s="33"/>
    </row>
    <row r="98" customFormat="false" ht="15" hidden="true" customHeight="true" outlineLevel="0" collapsed="false">
      <c r="A98" s="145" t="str">
        <f aca="false">IFERROR(IF(IFERROR(MATCH(42,المحفظة!$H$107:$H$206,0),0)=0,"",INDEX(المحفظة!$A$107:$A$206,IFERROR(MATCH(42,المحفظة!$H$107:$H$206,0),0))),"")</f>
        <v/>
      </c>
      <c r="B98" s="146" t="str">
        <f aca="false">IFERROR(IF(IFERROR(MATCH(42,المحفظة!$H$107:$H$206,0),0)=0,"",INDEX(المحفظة!$B$107:$B$206,IFERROR(MATCH(42,المحفظة!$H$107:$H$206,0),0))),"")</f>
        <v/>
      </c>
      <c r="C98" s="147" t="str">
        <f aca="false">IFERROR(IF(IFERROR(MATCH(42,المحفظة!$H$107:$H$206,0),0)=0,"",INDEX(المحفظة!$C$107:$C$206,IFERROR(MATCH(42,المحفظة!$H$107:$H$206,0),0))),"")</f>
        <v/>
      </c>
      <c r="D98" s="148" t="str">
        <f aca="false">IFERROR(IF(IFERROR(MATCH(42,المحفظة!$H$107:$H$206,0),0)=0,"",INDEX(المحفظة!$D$107:$D$206,IFERROR(MATCH(42,المحفظة!$H$107:$H$206,0),0))),"")</f>
        <v/>
      </c>
      <c r="E98" s="149" t="s">
        <v>6</v>
      </c>
      <c r="F98" s="146" t="str">
        <f aca="false">IFERROR(IF(IFERROR(MATCH(42,المحفظة!$H$107:$H$206,0),0)=0,"",INDEX(المحفظة!$F$107:$F$206,IFERROR(MATCH(42,المحفظة!$H$107:$H$206,0),0))),"")</f>
        <v/>
      </c>
      <c r="G98" s="40"/>
    </row>
    <row r="99" customFormat="false" ht="15" hidden="true" customHeight="true" outlineLevel="0" collapsed="false">
      <c r="A99" s="140" t="str">
        <f aca="false">IFERROR(IF(IFERROR(MATCH(43,المحفظة!$H$107:$H$206,0),0)=0,"",INDEX(المحفظة!$A$107:$A$206,IFERROR(MATCH(43,المحفظة!$H$107:$H$206,0),0))),"")</f>
        <v/>
      </c>
      <c r="B99" s="141" t="str">
        <f aca="false">IFERROR(IF(IFERROR(MATCH(43,المحفظة!$H$107:$H$206,0),0)=0,"",INDEX(المحفظة!$B$107:$B$206,IFERROR(MATCH(43,المحفظة!$H$107:$H$206,0),0))),"")</f>
        <v/>
      </c>
      <c r="C99" s="142" t="str">
        <f aca="false">IFERROR(IF(IFERROR(MATCH(43,المحفظة!$H$107:$H$206,0),0)=0,"",INDEX(المحفظة!$C$107:$C$206,IFERROR(MATCH(43,المحفظة!$H$107:$H$206,0),0))),"")</f>
        <v/>
      </c>
      <c r="D99" s="143" t="str">
        <f aca="false">IFERROR(IF(IFERROR(MATCH(43,المحفظة!$H$107:$H$206,0),0)=0,"",INDEX(المحفظة!$D$107:$D$206,IFERROR(MATCH(43,المحفظة!$H$107:$H$206,0),0))),"")</f>
        <v/>
      </c>
      <c r="E99" s="144" t="s">
        <v>6</v>
      </c>
      <c r="F99" s="141" t="str">
        <f aca="false">IFERROR(IF(IFERROR(MATCH(43,المحفظة!$H$107:$H$206,0),0)=0,"",INDEX(المحفظة!$F$107:$F$206,IFERROR(MATCH(43,المحفظة!$H$107:$H$206,0),0))),"")</f>
        <v/>
      </c>
      <c r="G99" s="33"/>
    </row>
    <row r="100" customFormat="false" ht="15" hidden="true" customHeight="true" outlineLevel="0" collapsed="false">
      <c r="A100" s="145" t="str">
        <f aca="false">IFERROR(IF(IFERROR(MATCH(44,المحفظة!$H$107:$H$206,0),0)=0,"",INDEX(المحفظة!$A$107:$A$206,IFERROR(MATCH(44,المحفظة!$H$107:$H$206,0),0))),"")</f>
        <v/>
      </c>
      <c r="B100" s="146" t="str">
        <f aca="false">IFERROR(IF(IFERROR(MATCH(44,المحفظة!$H$107:$H$206,0),0)=0,"",INDEX(المحفظة!$B$107:$B$206,IFERROR(MATCH(44,المحفظة!$H$107:$H$206,0),0))),"")</f>
        <v/>
      </c>
      <c r="C100" s="147" t="str">
        <f aca="false">IFERROR(IF(IFERROR(MATCH(44,المحفظة!$H$107:$H$206,0),0)=0,"",INDEX(المحفظة!$C$107:$C$206,IFERROR(MATCH(44,المحفظة!$H$107:$H$206,0),0))),"")</f>
        <v/>
      </c>
      <c r="D100" s="148" t="str">
        <f aca="false">IFERROR(IF(IFERROR(MATCH(44,المحفظة!$H$107:$H$206,0),0)=0,"",INDEX(المحفظة!$D$107:$D$206,IFERROR(MATCH(44,المحفظة!$H$107:$H$206,0),0))),"")</f>
        <v/>
      </c>
      <c r="E100" s="149" t="s">
        <v>6</v>
      </c>
      <c r="F100" s="146" t="str">
        <f aca="false">IFERROR(IF(IFERROR(MATCH(44,المحفظة!$H$107:$H$206,0),0)=0,"",INDEX(المحفظة!$F$107:$F$206,IFERROR(MATCH(44,المحفظة!$H$107:$H$206,0),0))),"")</f>
        <v/>
      </c>
      <c r="G100" s="40"/>
    </row>
    <row r="101" customFormat="false" ht="15" hidden="true" customHeight="true" outlineLevel="0" collapsed="false">
      <c r="A101" s="140" t="str">
        <f aca="false">IFERROR(IF(IFERROR(MATCH(45,المحفظة!$H$107:$H$206,0),0)=0,"",INDEX(المحفظة!$A$107:$A$206,IFERROR(MATCH(45,المحفظة!$H$107:$H$206,0),0))),"")</f>
        <v/>
      </c>
      <c r="B101" s="141" t="str">
        <f aca="false">IFERROR(IF(IFERROR(MATCH(45,المحفظة!$H$107:$H$206,0),0)=0,"",INDEX(المحفظة!$B$107:$B$206,IFERROR(MATCH(45,المحفظة!$H$107:$H$206,0),0))),"")</f>
        <v/>
      </c>
      <c r="C101" s="142" t="str">
        <f aca="false">IFERROR(IF(IFERROR(MATCH(45,المحفظة!$H$107:$H$206,0),0)=0,"",INDEX(المحفظة!$C$107:$C$206,IFERROR(MATCH(45,المحفظة!$H$107:$H$206,0),0))),"")</f>
        <v/>
      </c>
      <c r="D101" s="143" t="str">
        <f aca="false">IFERROR(IF(IFERROR(MATCH(45,المحفظة!$H$107:$H$206,0),0)=0,"",INDEX(المحفظة!$D$107:$D$206,IFERROR(MATCH(45,المحفظة!$H$107:$H$206,0),0))),"")</f>
        <v/>
      </c>
      <c r="E101" s="144" t="s">
        <v>6</v>
      </c>
      <c r="F101" s="141" t="str">
        <f aca="false">IFERROR(IF(IFERROR(MATCH(45,المحفظة!$H$107:$H$206,0),0)=0,"",INDEX(المحفظة!$F$107:$F$206,IFERROR(MATCH(45,المحفظة!$H$107:$H$206,0),0))),"")</f>
        <v/>
      </c>
      <c r="G101" s="33"/>
    </row>
    <row r="102" customFormat="false" ht="15" hidden="true" customHeight="true" outlineLevel="0" collapsed="false">
      <c r="A102" s="145" t="str">
        <f aca="false">IFERROR(IF(IFERROR(MATCH(46,المحفظة!$H$107:$H$206,0),0)=0,"",INDEX(المحفظة!$A$107:$A$206,IFERROR(MATCH(46,المحفظة!$H$107:$H$206,0),0))),"")</f>
        <v/>
      </c>
      <c r="B102" s="146" t="str">
        <f aca="false">IFERROR(IF(IFERROR(MATCH(46,المحفظة!$H$107:$H$206,0),0)=0,"",INDEX(المحفظة!$B$107:$B$206,IFERROR(MATCH(46,المحفظة!$H$107:$H$206,0),0))),"")</f>
        <v/>
      </c>
      <c r="C102" s="147" t="str">
        <f aca="false">IFERROR(IF(IFERROR(MATCH(46,المحفظة!$H$107:$H$206,0),0)=0,"",INDEX(المحفظة!$C$107:$C$206,IFERROR(MATCH(46,المحفظة!$H$107:$H$206,0),0))),"")</f>
        <v/>
      </c>
      <c r="D102" s="148" t="str">
        <f aca="false">IFERROR(IF(IFERROR(MATCH(46,المحفظة!$H$107:$H$206,0),0)=0,"",INDEX(المحفظة!$D$107:$D$206,IFERROR(MATCH(46,المحفظة!$H$107:$H$206,0),0))),"")</f>
        <v/>
      </c>
      <c r="E102" s="149" t="s">
        <v>6</v>
      </c>
      <c r="F102" s="146" t="str">
        <f aca="false">IFERROR(IF(IFERROR(MATCH(46,المحفظة!$H$107:$H$206,0),0)=0,"",INDEX(المحفظة!$F$107:$F$206,IFERROR(MATCH(46,المحفظة!$H$107:$H$206,0),0))),"")</f>
        <v/>
      </c>
      <c r="G102" s="40"/>
    </row>
    <row r="103" customFormat="false" ht="15" hidden="true" customHeight="true" outlineLevel="0" collapsed="false">
      <c r="A103" s="140" t="str">
        <f aca="false">IFERROR(IF(IFERROR(MATCH(47,المحفظة!$H$107:$H$206,0),0)=0,"",INDEX(المحفظة!$A$107:$A$206,IFERROR(MATCH(47,المحفظة!$H$107:$H$206,0),0))),"")</f>
        <v/>
      </c>
      <c r="B103" s="141" t="str">
        <f aca="false">IFERROR(IF(IFERROR(MATCH(47,المحفظة!$H$107:$H$206,0),0)=0,"",INDEX(المحفظة!$B$107:$B$206,IFERROR(MATCH(47,المحفظة!$H$107:$H$206,0),0))),"")</f>
        <v/>
      </c>
      <c r="C103" s="142" t="str">
        <f aca="false">IFERROR(IF(IFERROR(MATCH(47,المحفظة!$H$107:$H$206,0),0)=0,"",INDEX(المحفظة!$C$107:$C$206,IFERROR(MATCH(47,المحفظة!$H$107:$H$206,0),0))),"")</f>
        <v/>
      </c>
      <c r="D103" s="143" t="str">
        <f aca="false">IFERROR(IF(IFERROR(MATCH(47,المحفظة!$H$107:$H$206,0),0)=0,"",INDEX(المحفظة!$D$107:$D$206,IFERROR(MATCH(47,المحفظة!$H$107:$H$206,0),0))),"")</f>
        <v/>
      </c>
      <c r="E103" s="144" t="s">
        <v>6</v>
      </c>
      <c r="F103" s="141" t="str">
        <f aca="false">IFERROR(IF(IFERROR(MATCH(47,المحفظة!$H$107:$H$206,0),0)=0,"",INDEX(المحفظة!$F$107:$F$206,IFERROR(MATCH(47,المحفظة!$H$107:$H$206,0),0))),"")</f>
        <v/>
      </c>
      <c r="G103" s="33"/>
    </row>
    <row r="104" customFormat="false" ht="15" hidden="true" customHeight="true" outlineLevel="0" collapsed="false">
      <c r="A104" s="145" t="str">
        <f aca="false">IFERROR(IF(IFERROR(MATCH(48,المحفظة!$H$107:$H$206,0),0)=0,"",INDEX(المحفظة!$A$107:$A$206,IFERROR(MATCH(48,المحفظة!$H$107:$H$206,0),0))),"")</f>
        <v/>
      </c>
      <c r="B104" s="146" t="str">
        <f aca="false">IFERROR(IF(IFERROR(MATCH(48,المحفظة!$H$107:$H$206,0),0)=0,"",INDEX(المحفظة!$B$107:$B$206,IFERROR(MATCH(48,المحفظة!$H$107:$H$206,0),0))),"")</f>
        <v/>
      </c>
      <c r="C104" s="147" t="str">
        <f aca="false">IFERROR(IF(IFERROR(MATCH(48,المحفظة!$H$107:$H$206,0),0)=0,"",INDEX(المحفظة!$C$107:$C$206,IFERROR(MATCH(48,المحفظة!$H$107:$H$206,0),0))),"")</f>
        <v/>
      </c>
      <c r="D104" s="148" t="str">
        <f aca="false">IFERROR(IF(IFERROR(MATCH(48,المحفظة!$H$107:$H$206,0),0)=0,"",INDEX(المحفظة!$D$107:$D$206,IFERROR(MATCH(48,المحفظة!$H$107:$H$206,0),0))),"")</f>
        <v/>
      </c>
      <c r="E104" s="149" t="s">
        <v>6</v>
      </c>
      <c r="F104" s="146" t="str">
        <f aca="false">IFERROR(IF(IFERROR(MATCH(48,المحفظة!$H$107:$H$206,0),0)=0,"",INDEX(المحفظة!$F$107:$F$206,IFERROR(MATCH(48,المحفظة!$H$107:$H$206,0),0))),"")</f>
        <v/>
      </c>
      <c r="G104" s="40"/>
    </row>
    <row r="105" customFormat="false" ht="15" hidden="true" customHeight="true" outlineLevel="0" collapsed="false">
      <c r="A105" s="140" t="str">
        <f aca="false">IFERROR(IF(IFERROR(MATCH(49,المحفظة!$H$107:$H$206,0),0)=0,"",INDEX(المحفظة!$A$107:$A$206,IFERROR(MATCH(49,المحفظة!$H$107:$H$206,0),0))),"")</f>
        <v/>
      </c>
      <c r="B105" s="141" t="str">
        <f aca="false">IFERROR(IF(IFERROR(MATCH(49,المحفظة!$H$107:$H$206,0),0)=0,"",INDEX(المحفظة!$B$107:$B$206,IFERROR(MATCH(49,المحفظة!$H$107:$H$206,0),0))),"")</f>
        <v/>
      </c>
      <c r="C105" s="142" t="str">
        <f aca="false">IFERROR(IF(IFERROR(MATCH(49,المحفظة!$H$107:$H$206,0),0)=0,"",INDEX(المحفظة!$C$107:$C$206,IFERROR(MATCH(49,المحفظة!$H$107:$H$206,0),0))),"")</f>
        <v/>
      </c>
      <c r="D105" s="143" t="str">
        <f aca="false">IFERROR(IF(IFERROR(MATCH(49,المحفظة!$H$107:$H$206,0),0)=0,"",INDEX(المحفظة!$D$107:$D$206,IFERROR(MATCH(49,المحفظة!$H$107:$H$206,0),0))),"")</f>
        <v/>
      </c>
      <c r="E105" s="144" t="s">
        <v>6</v>
      </c>
      <c r="F105" s="141" t="str">
        <f aca="false">IFERROR(IF(IFERROR(MATCH(49,المحفظة!$H$107:$H$206,0),0)=0,"",INDEX(المحفظة!$F$107:$F$206,IFERROR(MATCH(49,المحفظة!$H$107:$H$206,0),0))),"")</f>
        <v/>
      </c>
      <c r="G105" s="33"/>
    </row>
    <row r="106" customFormat="false" ht="15" hidden="true" customHeight="true" outlineLevel="0" collapsed="false">
      <c r="A106" s="145" t="str">
        <f aca="false">IFERROR(IF(IFERROR(MATCH(50,المحفظة!$H$107:$H$206,0),0)=0,"",INDEX(المحفظة!$A$107:$A$206,IFERROR(MATCH(50,المحفظة!$H$107:$H$206,0),0))),"")</f>
        <v/>
      </c>
      <c r="B106" s="146" t="str">
        <f aca="false">IFERROR(IF(IFERROR(MATCH(50,المحفظة!$H$107:$H$206,0),0)=0,"",INDEX(المحفظة!$B$107:$B$206,IFERROR(MATCH(50,المحفظة!$H$107:$H$206,0),0))),"")</f>
        <v/>
      </c>
      <c r="C106" s="147" t="str">
        <f aca="false">IFERROR(IF(IFERROR(MATCH(50,المحفظة!$H$107:$H$206,0),0)=0,"",INDEX(المحفظة!$C$107:$C$206,IFERROR(MATCH(50,المحفظة!$H$107:$H$206,0),0))),"")</f>
        <v/>
      </c>
      <c r="D106" s="148" t="str">
        <f aca="false">IFERROR(IF(IFERROR(MATCH(50,المحفظة!$H$107:$H$206,0),0)=0,"",INDEX(المحفظة!$D$107:$D$206,IFERROR(MATCH(50,المحفظة!$H$107:$H$206,0),0))),"")</f>
        <v/>
      </c>
      <c r="E106" s="149" t="s">
        <v>6</v>
      </c>
      <c r="F106" s="146" t="str">
        <f aca="false">IFERROR(IF(IFERROR(MATCH(50,المحفظة!$H$107:$H$206,0),0)=0,"",INDEX(المحفظة!$F$107:$F$206,IFERROR(MATCH(50,المحفظة!$H$107:$H$206,0),0))),"")</f>
        <v/>
      </c>
      <c r="G106" s="40"/>
    </row>
    <row r="107" customFormat="false" ht="19.5" hidden="false" customHeight="true" outlineLevel="0" collapsed="false">
      <c r="A107" s="41" t="s">
        <v>222</v>
      </c>
      <c r="B107" s="41"/>
      <c r="C107" s="41"/>
      <c r="D107" s="150" t="n">
        <f aca="false">SUMIF(المحفظة!$H$107:$H$206,"&gt;0",المحفظة!$D$107:$D$206)</f>
        <v>0</v>
      </c>
      <c r="E107" s="118"/>
      <c r="F107" s="118"/>
      <c r="G107" s="118"/>
    </row>
    <row r="108" customFormat="false" ht="19.5" hidden="false" customHeight="true" outlineLevel="0" collapsed="false">
      <c r="A108" s="116" t="s">
        <v>223</v>
      </c>
      <c r="B108" s="116"/>
      <c r="C108" s="116"/>
      <c r="D108" s="117" t="n">
        <f aca="false">E55-D107</f>
        <v>266.6</v>
      </c>
      <c r="E108" s="135" t="n">
        <f aca="false">SUM(E5:E107)</f>
        <v>533.2</v>
      </c>
      <c r="F108" s="135"/>
      <c r="G108" s="135"/>
    </row>
  </sheetData>
  <mergeCells count="11">
    <mergeCell ref="A1:G1"/>
    <mergeCell ref="A2:B2"/>
    <mergeCell ref="D2:E2"/>
    <mergeCell ref="A3:B3"/>
    <mergeCell ref="D3:E3"/>
    <mergeCell ref="A4:G4"/>
    <mergeCell ref="A55:D55"/>
    <mergeCell ref="A56:G56"/>
    <mergeCell ref="A107:C107"/>
    <mergeCell ref="A108:C108"/>
    <mergeCell ref="E108:G108"/>
  </mergeCells>
  <dataValidations count="2">
    <dataValidation allowBlank="false" errorStyle="stop" operator="between" showDropDown="false" showErrorMessage="false" showInputMessage="false" sqref="C2" type="list">
      <formula1>"يناير,فبراير,مارس,أبريل,مايو,يونيو,يوليو,أغسطس,سبتمبر,أكتوبر,نوفمبر,ديسمبر,الكل"</formula1>
      <formula2>0</formula2>
    </dataValidation>
    <dataValidation allowBlank="false" errorStyle="stop" operator="between" showDropDown="false" showErrorMessage="false" showInputMessage="false" sqref="F2" type="list">
      <formula1>"2024,2025,2026,2027,2028,الكل"</formula1>
      <formula2>0</formula2>
    </dataValidation>
  </dataValidations>
  <printOptions headings="false" gridLines="false" gridLinesSet="true" horizontalCentered="false" verticalCentered="false"/>
  <pageMargins left="0.25" right="0.25" top="0.75" bottom="0.75" header="0.3" footer="0.3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2026-05-17T18:05:26Z</dcterms:created>
  <dc:creator>openpyxl</dc:creator>
  <dc:description/>
  <dc:language>en-US</dc:language>
  <cp:lastModifiedBy>Hadi Ishak</cp:lastModifiedBy>
  <cp:lastPrinted>2026-05-31T20:43:36Z</cp:lastPrinted>
  <dcterms:modified xsi:type="dcterms:W3CDTF">2026-06-09T22:11:48Z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