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925F362B-1040-48E6-96FE-10CBF53F6D09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B167" i="1"/>
  <c r="C166" i="1"/>
  <c r="D165" i="1"/>
  <c r="E164" i="1"/>
  <c r="A164" i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<sst xmlns="http://schemas.openxmlformats.org/spreadsheetml/2006/main" count="961" uniqueCount="409">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</sst>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7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233.79500000000004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الحساب'!$A$4:$A$204,MATCH(159,'كشف الحساب'!$P$4:$P$204,0)),"")</f>
        <v>46271</v>
      </c>
      <c r="B164" s="122" t="str">
        <f>IFERROR(INDEX('كشف الحساب'!$B$4:$B$204,MATCH(159,'كشف الحساب'!$P$4:$P$204,0)),"")</f>
        <v>Inv-134</v>
      </c>
      <c r="C164" s="121" t="str">
        <f>IFERROR(INDEX('كشف الحساب'!$C$4:$C$204,MATCH(159,'كشف الحساب'!$P$4:$P$204,0)),"")</f>
        <v>ليمون جراس عدد 4 الحبه 3</v>
      </c>
      <c r="D164" s="123">
        <f>IFERROR(INDEX('كشف الحساب'!$E$4:$E$204,MATCH(159,'كشف الحساب'!$P$4:$P$204,0)),"")</f>
        <v>12</v>
      </c>
      <c r="E164" s="124">
        <f>IFERROR(INDEX('كشف الحساب'!$D$4:$D$204,MATCH(159,'كشف الحساب'!$P$4:$P$204,0)),"")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الحساب'!$A$4:$A$204,MATCH(160,'كشف الحساب'!$P$4:$P$204,0)),"")</f>
        <v>46271</v>
      </c>
      <c r="B165" s="122" t="str">
        <f>IFERROR(INDEX('كشف الحساب'!$B$4:$B$204,MATCH(160,'كشف الحساب'!$P$4:$P$204,0)),"")</f>
        <v>Inv-135</v>
      </c>
      <c r="C165" s="121" t="str">
        <f>IFERROR(INDEX('كشف الحساب'!$C$4:$C$204,MATCH(160,'كشف الحساب'!$P$4:$P$204,0)),"")</f>
        <v>ربل عدد 2 الحبه 1.500</v>
      </c>
      <c r="D165" s="123">
        <f>IFERROR(INDEX('كشف الحساب'!$E$4:$E$204,MATCH(160,'كشف الحساب'!$P$4:$P$204,0)),"")</f>
        <v>3</v>
      </c>
      <c r="E165" s="124">
        <f>IFERROR(INDEX('كشف الحساب'!$D$4:$D$204,MATCH(160,'كشف الحساب'!$P$4:$P$204,0)),"")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الحساب'!$A$4:$A$204,MATCH(161,'كشف الحساب'!$P$4:$P$204,0)),"")</f>
        <v>46271</v>
      </c>
      <c r="B166" s="122" t="str">
        <f>IFERROR(INDEX('كشف الحساب'!$B$4:$B$204,MATCH(161,'كشف الحساب'!$P$4:$P$204,0)),"")</f>
        <v>Inv-136</v>
      </c>
      <c r="C166" s="121" t="str">
        <f>IFERROR(INDEX('كشف الحساب'!$C$4:$C$204,MATCH(161,'كشف الحساب'!$P$4:$P$204,0)),"")</f>
        <v>متنوع عدد 7 الحبه 1</v>
      </c>
      <c r="D166" s="123">
        <f>IFERROR(INDEX('كشف الحساب'!$E$4:$E$204,MATCH(161,'كشف الحساب'!$P$4:$P$204,0)),"")</f>
        <v>7</v>
      </c>
      <c r="E166" s="124">
        <f>IFERROR(INDEX('كشف الحساب'!$D$4:$D$204,MATCH(161,'كشف الحساب'!$P$4:$P$204,0)),"")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الحساب'!$A$4:$A$204,MATCH(162,'كشف الحساب'!$P$4:$P$204,0)),"")</f>
        <v>46271</v>
      </c>
      <c r="B167" s="122">
        <f>IFERROR(INDEX('كشف الحساب'!$B$4:$B$204,MATCH(162,'كشف الحساب'!$P$4:$P$204,0)),"")</f>
        <v>0</v>
      </c>
      <c r="C167" s="121" t="str">
        <f>IFERROR(INDEX('كشف الحساب'!$C$4:$C$204,MATCH(162,'كشف الحساب'!$P$4:$P$204,0)),"")</f>
        <v>احواض  عدد 1000 الحجم 25 سم</v>
      </c>
      <c r="D167" s="123">
        <f>IFERROR(INDEX('كشف الحساب'!$E$4:$E$204,MATCH(162,'كشف الحساب'!$P$4:$P$204,0)),"")</f>
        <v>0</v>
      </c>
      <c r="E167" s="124">
        <f>IFERROR(INDEX('كشف الحساب'!$D$4:$D$204,MATCH(162,'كشف الحساب'!$P$4:$P$204,0)),"")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الحساب'!$A$4:$A$204,MATCH(163,'كشف الحساب'!$P$4:$P$204,0)),"")</f>
        <v>46272</v>
      </c>
      <c r="B168" s="122">
        <f>IFERROR(INDEX('كشف الحساب'!$B$4:$B$204,MATCH(163,'كشف الحساب'!$P$4:$P$204,0)),"")</f>
        <v>0</v>
      </c>
      <c r="C168" s="121" t="str">
        <f>IFERROR(INDEX('كشف الحساب'!$C$4:$C$204,MATCH(163,'كشف الحساب'!$P$4:$P$204,0)),"")</f>
        <v>وصلات</v>
      </c>
      <c r="D168" s="123">
        <f>IFERROR(INDEX('كشف الحساب'!$E$4:$E$204,MATCH(163,'كشف الحساب'!$P$4:$P$204,0)),"")</f>
        <v>0</v>
      </c>
      <c r="E168" s="124">
        <f>IFERROR(INDEX('كشف الحساب'!$D$4:$D$204,MATCH(163,'كشف الحساب'!$P$4:$P$204,0)),"")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الحساب'!$A$4:$A$204,MATCH(164,'كشف الحساب'!$P$4:$P$204,0)),"")</f>
        <v>46275</v>
      </c>
      <c r="B169" s="122" t="str">
        <f>IFERROR(INDEX('كشف الحساب'!$B$4:$B$204,MATCH(164,'كشف الحساب'!$P$4:$P$204,0)),"")</f>
        <v>Inv-137</v>
      </c>
      <c r="C169" s="121" t="str">
        <f>IFERROR(INDEX('كشف الحساب'!$C$4:$C$204,MATCH(164,'كشف الحساب'!$P$4:$P$204,0)),"")</f>
        <v>صبار عدد 5 الحبه 1</v>
      </c>
      <c r="D169" s="123">
        <f>IFERROR(INDEX('كشف الحساب'!$E$4:$E$204,MATCH(164,'كشف الحساب'!$P$4:$P$204,0)),"")</f>
        <v>5</v>
      </c>
      <c r="E169" s="124">
        <f>IFERROR(INDEX('كشف الحساب'!$D$4:$D$204,MATCH(164,'كشف الحساب'!$P$4:$P$204,0)),"")</f>
        <v>0</v>
      </c>
      <c r="F169" s="125">
        <f t="shared" si="5"/>
        <v>233.79500000000004</v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2050.69</v>
      </c>
      <c r="E206" s="129">
        <f>SUM(E6:E205)</f>
        <v>1816.895</v>
      </c>
      <c r="F206" s="130">
        <f>IFERROR(LOOKUP(2,1/($F$6:$F$205&lt;&gt;""),$F$6:$F$205),0)</f>
        <v>233.79500000000004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79" activePane="bottomLeft" state="frozen"/>
      <selection pane="bottomLeft" activeCell="H188" sqref="H18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3598.3950000000004</v>
      </c>
      <c r="E205" s="46">
        <f>SUM(E4:E203)</f>
        <v>2050.69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6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8" t="s">
        <v>236</v>
      </c>
      <c r="B1" s="159"/>
    </row>
    <row r="2" spans="1:2" ht="21.75" customHeight="1" x14ac:dyDescent="0.25">
      <c r="A2" s="167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7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7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69"/>
      <c r="B2" s="159"/>
      <c r="C2" s="56" t="s">
        <v>342</v>
      </c>
      <c r="D2" s="169">
        <v>2026</v>
      </c>
      <c r="E2" s="159"/>
      <c r="F2" s="56" t="s">
        <v>256</v>
      </c>
      <c r="G2" s="172" t="s">
        <v>257</v>
      </c>
      <c r="H2" s="163"/>
      <c r="I2" s="163"/>
      <c r="J2" s="163"/>
      <c r="K2" s="163"/>
    </row>
    <row r="3" spans="1:11" ht="19.5" customHeight="1" x14ac:dyDescent="0.25">
      <c r="A3" s="173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0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1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69" t="s">
        <v>269</v>
      </c>
      <c r="B2" s="159"/>
      <c r="C2" s="56" t="s">
        <v>342</v>
      </c>
      <c r="D2" s="169" t="s">
        <v>270</v>
      </c>
      <c r="E2" s="159"/>
      <c r="F2" s="56">
        <v>2026</v>
      </c>
    </row>
    <row r="3" spans="1:7" ht="21.75" customHeight="1" x14ac:dyDescent="0.25">
      <c r="A3" s="173" t="s">
        <v>271</v>
      </c>
      <c r="B3" s="159"/>
      <c r="C3" s="57">
        <f>المحفظة!$D$2</f>
        <v>0</v>
      </c>
      <c r="D3" s="173" t="s">
        <v>272</v>
      </c>
      <c r="E3" s="159"/>
      <c r="F3" s="78">
        <f>المحفظة!$C$3</f>
        <v>0</v>
      </c>
    </row>
    <row r="4" spans="1:7" ht="21.75" customHeight="1" x14ac:dyDescent="0.25">
      <c r="A4" s="175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5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4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4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0" t="s">
        <v>277</v>
      </c>
      <c r="B108" s="159"/>
      <c r="C108" s="159"/>
      <c r="D108" s="75">
        <f>E55-D107</f>
        <v>0</v>
      </c>
      <c r="E108" s="176">
        <f>SUM(E5:E107)</f>
        <v>0</v>
      </c>
      <c r="F108" s="159"/>
      <c r="G108" s="160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2026-09-10T20:21:53Z</dcterms:modified>
  <dc:language>en-US</dc:language>
</cp:coreProperties>
</file>