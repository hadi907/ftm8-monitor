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8DB842E9-BE94-4BF2-B46C-D540AA23FF32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55" i="2"/>
  <c r="J255" i="2"/>
  <c r="F255" i="2"/>
  <c r="E255" i="2"/>
  <c r="D255" i="2"/>
  <c r="Q254" i="2"/>
  <c r="P254" i="2"/>
  <c r="O254" i="2"/>
  <c r="N254" i="2"/>
  <c r="M254" i="2"/>
  <c r="L254" i="2"/>
  <c r="J254" i="2"/>
  <c r="Q253" i="2"/>
  <c r="P253" i="2"/>
  <c r="O253" i="2"/>
  <c r="N253" i="2"/>
  <c r="M253" i="2"/>
  <c r="L253" i="2"/>
  <c r="J253" i="2"/>
  <c r="Q252" i="2"/>
  <c r="P252" i="2"/>
  <c r="O252" i="2"/>
  <c r="N252" i="2"/>
  <c r="M252" i="2"/>
  <c r="L252" i="2"/>
  <c r="J252" i="2"/>
  <c r="Q251" i="2"/>
  <c r="P251" i="2"/>
  <c r="O251" i="2"/>
  <c r="N251" i="2"/>
  <c r="M251" i="2"/>
  <c r="L251" i="2"/>
  <c r="J251" i="2"/>
  <c r="Q250" i="2"/>
  <c r="P250" i="2"/>
  <c r="O250" i="2"/>
  <c r="N250" i="2"/>
  <c r="M250" i="2"/>
  <c r="L250" i="2"/>
  <c r="J250" i="2"/>
  <c r="Q249" i="2"/>
  <c r="P249" i="2"/>
  <c r="O249" i="2"/>
  <c r="N249" i="2"/>
  <c r="M249" i="2"/>
  <c r="L249" i="2"/>
  <c r="J249" i="2"/>
  <c r="Q248" i="2"/>
  <c r="P248" i="2"/>
  <c r="O248" i="2"/>
  <c r="N248" i="2"/>
  <c r="M248" i="2"/>
  <c r="L248" i="2"/>
  <c r="J248" i="2"/>
  <c r="Q247" i="2"/>
  <c r="P247" i="2"/>
  <c r="O247" i="2"/>
  <c r="N247" i="2"/>
  <c r="M247" i="2"/>
  <c r="L247" i="2"/>
  <c r="J247" i="2"/>
  <c r="Q246" i="2"/>
  <c r="P246" i="2"/>
  <c r="O246" i="2"/>
  <c r="N246" i="2"/>
  <c r="M246" i="2"/>
  <c r="L246" i="2"/>
  <c r="J246" i="2"/>
  <c r="Q245" i="2"/>
  <c r="P245" i="2"/>
  <c r="O245" i="2"/>
  <c r="N245" i="2"/>
  <c r="M245" i="2"/>
  <c r="L245" i="2"/>
  <c r="J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J206" i="2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B214" i="1" s="1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Q4" i="2"/>
  <c r="P4" i="2"/>
  <c r="D181" i="1" s="1"/>
  <c r="O4" i="2"/>
  <c r="N4" i="2"/>
  <c r="M4" i="2"/>
  <c r="L4" i="2"/>
  <c r="J4" i="2"/>
  <c r="B217" i="1"/>
  <c r="A210" i="1"/>
  <c r="B175" i="1"/>
  <c r="C166" i="1"/>
  <c r="B159" i="1"/>
  <c r="C150" i="1"/>
  <c r="D141" i="1"/>
  <c r="D133" i="1"/>
  <c r="D125" i="1"/>
  <c r="D117" i="1"/>
  <c r="D109" i="1"/>
  <c r="D101" i="1"/>
  <c r="D93" i="1"/>
  <c r="D85" i="1"/>
  <c r="D77" i="1"/>
  <c r="D69" i="1"/>
  <c r="D61" i="1"/>
  <c r="D53" i="1"/>
  <c r="D46" i="1"/>
  <c r="D44" i="1"/>
  <c r="D42" i="1"/>
  <c r="D40" i="1"/>
  <c r="D38" i="1"/>
  <c r="D36" i="1"/>
  <c r="D34" i="1"/>
  <c r="D32" i="1"/>
  <c r="D30" i="1"/>
  <c r="D28" i="1"/>
  <c r="D26" i="1"/>
  <c r="D24" i="1"/>
  <c r="D22" i="1"/>
  <c r="D20" i="1"/>
  <c r="D18" i="1"/>
  <c r="D16" i="1"/>
  <c r="D14" i="1"/>
  <c r="D12" i="1"/>
  <c r="D10" i="1"/>
  <c r="D8" i="1"/>
  <c r="E6" i="1"/>
  <c r="A6" i="1"/>
  <c r="D108" i="6" l="1"/>
  <c r="B73" i="1"/>
  <c r="A287" i="1"/>
  <c r="B6" i="1"/>
  <c r="B7" i="1"/>
  <c r="B9" i="1"/>
  <c r="B11" i="1"/>
  <c r="B13" i="1"/>
  <c r="B15" i="1"/>
  <c r="B17" i="1"/>
  <c r="B19" i="1"/>
  <c r="B21" i="1"/>
  <c r="B23" i="1"/>
  <c r="B25" i="1"/>
  <c r="B27" i="1"/>
  <c r="B29" i="1"/>
  <c r="B31" i="1"/>
  <c r="B33" i="1"/>
  <c r="B35" i="1"/>
  <c r="B37" i="1"/>
  <c r="B39" i="1"/>
  <c r="B41" i="1"/>
  <c r="B43" i="1"/>
  <c r="B45" i="1"/>
  <c r="B48" i="1"/>
  <c r="B56" i="1"/>
  <c r="B64" i="1"/>
  <c r="B72" i="1"/>
  <c r="B80" i="1"/>
  <c r="B88" i="1"/>
  <c r="B96" i="1"/>
  <c r="B104" i="1"/>
  <c r="B112" i="1"/>
  <c r="B120" i="1"/>
  <c r="B128" i="1"/>
  <c r="B136" i="1"/>
  <c r="B144" i="1"/>
  <c r="A152" i="1"/>
  <c r="A161" i="1"/>
  <c r="A168" i="1"/>
  <c r="A177" i="1"/>
  <c r="B211" i="1"/>
  <c r="E219" i="1"/>
  <c r="C6" i="1"/>
  <c r="D11" i="1"/>
  <c r="D15" i="1"/>
  <c r="D19" i="1"/>
  <c r="D23" i="1"/>
  <c r="D29" i="1"/>
  <c r="D33" i="1"/>
  <c r="D37" i="1"/>
  <c r="D41" i="1"/>
  <c r="D45" i="1"/>
  <c r="D57" i="1"/>
  <c r="D73" i="1"/>
  <c r="D89" i="1"/>
  <c r="D97" i="1"/>
  <c r="D105" i="1"/>
  <c r="D121" i="1"/>
  <c r="D129" i="1"/>
  <c r="D137" i="1"/>
  <c r="D145" i="1"/>
  <c r="E155" i="1"/>
  <c r="E162" i="1"/>
  <c r="E171" i="1"/>
  <c r="B179" i="1"/>
  <c r="E212" i="1"/>
  <c r="A223" i="1"/>
  <c r="B77" i="1"/>
  <c r="D7" i="1"/>
  <c r="D9" i="1"/>
  <c r="D13" i="1"/>
  <c r="D17" i="1"/>
  <c r="D21" i="1"/>
  <c r="D25" i="1"/>
  <c r="D27" i="1"/>
  <c r="D31" i="1"/>
  <c r="D35" i="1"/>
  <c r="D39" i="1"/>
  <c r="D43" i="1"/>
  <c r="D49" i="1"/>
  <c r="D65" i="1"/>
  <c r="D81" i="1"/>
  <c r="D113" i="1"/>
  <c r="D6" i="1"/>
  <c r="F6" i="1" s="1"/>
  <c r="B8" i="1"/>
  <c r="B10" i="1"/>
  <c r="B12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4" i="1"/>
  <c r="B46" i="1"/>
  <c r="B52" i="1"/>
  <c r="B60" i="1"/>
  <c r="B68" i="1"/>
  <c r="B76" i="1"/>
  <c r="B84" i="1"/>
  <c r="B92" i="1"/>
  <c r="B100" i="1"/>
  <c r="B108" i="1"/>
  <c r="B116" i="1"/>
  <c r="B124" i="1"/>
  <c r="B132" i="1"/>
  <c r="B140" i="1"/>
  <c r="D148" i="1"/>
  <c r="C157" i="1"/>
  <c r="D164" i="1"/>
  <c r="C173" i="1"/>
  <c r="B257" i="1"/>
  <c r="B198" i="1"/>
  <c r="B274" i="1"/>
  <c r="D291" i="1"/>
  <c r="D200" i="1"/>
  <c r="E188" i="1"/>
  <c r="C240" i="1"/>
  <c r="D227" i="1"/>
  <c r="C244" i="1"/>
  <c r="C261" i="1"/>
  <c r="E278" i="1"/>
  <c r="D295" i="1"/>
  <c r="B305" i="1"/>
  <c r="E298" i="1"/>
  <c r="E282" i="1"/>
  <c r="D231" i="1"/>
  <c r="D248" i="1"/>
  <c r="A266" i="1"/>
  <c r="A303" i="1"/>
  <c r="E235" i="1"/>
  <c r="B253" i="1"/>
  <c r="A270" i="1"/>
  <c r="B191" i="1"/>
  <c r="C205" i="1"/>
  <c r="A184" i="1"/>
  <c r="C193" i="1"/>
  <c r="B186" i="1"/>
  <c r="B47" i="1"/>
  <c r="D48" i="1"/>
  <c r="B51" i="1"/>
  <c r="D52" i="1"/>
  <c r="B55" i="1"/>
  <c r="D56" i="1"/>
  <c r="B59" i="1"/>
  <c r="D60" i="1"/>
  <c r="B63" i="1"/>
  <c r="D64" i="1"/>
  <c r="B67" i="1"/>
  <c r="D68" i="1"/>
  <c r="B71" i="1"/>
  <c r="D72" i="1"/>
  <c r="B75" i="1"/>
  <c r="D76" i="1"/>
  <c r="B79" i="1"/>
  <c r="D80" i="1"/>
  <c r="B83" i="1"/>
  <c r="D84" i="1"/>
  <c r="B87" i="1"/>
  <c r="D88" i="1"/>
  <c r="B91" i="1"/>
  <c r="D92" i="1"/>
  <c r="B95" i="1"/>
  <c r="D96" i="1"/>
  <c r="B99" i="1"/>
  <c r="D100" i="1"/>
  <c r="B103" i="1"/>
  <c r="D104" i="1"/>
  <c r="B107" i="1"/>
  <c r="D108" i="1"/>
  <c r="B111" i="1"/>
  <c r="D112" i="1"/>
  <c r="B115" i="1"/>
  <c r="D116" i="1"/>
  <c r="B119" i="1"/>
  <c r="D120" i="1"/>
  <c r="B123" i="1"/>
  <c r="D124" i="1"/>
  <c r="B127" i="1"/>
  <c r="D128" i="1"/>
  <c r="B131" i="1"/>
  <c r="D132" i="1"/>
  <c r="B135" i="1"/>
  <c r="D136" i="1"/>
  <c r="B139" i="1"/>
  <c r="D140" i="1"/>
  <c r="B143" i="1"/>
  <c r="D144" i="1"/>
  <c r="B147" i="1"/>
  <c r="A149" i="1"/>
  <c r="E150" i="1"/>
  <c r="D152" i="1"/>
  <c r="C154" i="1"/>
  <c r="A156" i="1"/>
  <c r="E159" i="1"/>
  <c r="C161" i="1"/>
  <c r="B163" i="1"/>
  <c r="A165" i="1"/>
  <c r="E166" i="1"/>
  <c r="D168" i="1"/>
  <c r="C170" i="1"/>
  <c r="A172" i="1"/>
  <c r="E175" i="1"/>
  <c r="C177" i="1"/>
  <c r="B182" i="1"/>
  <c r="D184" i="1"/>
  <c r="C189" i="1"/>
  <c r="D191" i="1"/>
  <c r="A194" i="1"/>
  <c r="D196" i="1"/>
  <c r="E198" i="1"/>
  <c r="B201" i="1"/>
  <c r="D203" i="1"/>
  <c r="A212" i="1"/>
  <c r="A215" i="1"/>
  <c r="D217" i="1"/>
  <c r="D220" i="1"/>
  <c r="C224" i="1"/>
  <c r="C228" i="1"/>
  <c r="D232" i="1"/>
  <c r="B237" i="1"/>
  <c r="B241" i="1"/>
  <c r="C245" i="1"/>
  <c r="A250" i="1"/>
  <c r="A254" i="1"/>
  <c r="B258" i="1"/>
  <c r="E262" i="1"/>
  <c r="E266" i="1"/>
  <c r="A271" i="1"/>
  <c r="D275" i="1"/>
  <c r="D279" i="1"/>
  <c r="E283" i="1"/>
  <c r="C288" i="1"/>
  <c r="C292" i="1"/>
  <c r="D296" i="1"/>
  <c r="D205" i="1"/>
  <c r="D204" i="1"/>
  <c r="B203" i="1"/>
  <c r="A202" i="1"/>
  <c r="D199" i="1"/>
  <c r="D198" i="1"/>
  <c r="C197" i="1"/>
  <c r="A196" i="1"/>
  <c r="D192" i="1"/>
  <c r="C191" i="1"/>
  <c r="B190" i="1"/>
  <c r="E186" i="1"/>
  <c r="C185" i="1"/>
  <c r="B184" i="1"/>
  <c r="B183" i="1"/>
  <c r="E180" i="1"/>
  <c r="D179" i="1"/>
  <c r="B178" i="1"/>
  <c r="B177" i="1"/>
  <c r="C176" i="1"/>
  <c r="C175" i="1"/>
  <c r="D174" i="1"/>
  <c r="E173" i="1"/>
  <c r="E172" i="1"/>
  <c r="A171" i="1"/>
  <c r="A170" i="1"/>
  <c r="B169" i="1"/>
  <c r="C168" i="1"/>
  <c r="C167" i="1"/>
  <c r="D166" i="1"/>
  <c r="E165" i="1"/>
  <c r="E164" i="1"/>
  <c r="A163" i="1"/>
  <c r="A162" i="1"/>
  <c r="B161" i="1"/>
  <c r="C160" i="1"/>
  <c r="C159" i="1"/>
  <c r="D158" i="1"/>
  <c r="E157" i="1"/>
  <c r="E156" i="1"/>
  <c r="A155" i="1"/>
  <c r="A154" i="1"/>
  <c r="B153" i="1"/>
  <c r="C152" i="1"/>
  <c r="C151" i="1"/>
  <c r="D150" i="1"/>
  <c r="E149" i="1"/>
  <c r="E148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A137" i="1"/>
  <c r="C136" i="1"/>
  <c r="E135" i="1"/>
  <c r="A135" i="1"/>
  <c r="C134" i="1"/>
  <c r="E133" i="1"/>
  <c r="A133" i="1"/>
  <c r="C132" i="1"/>
  <c r="E131" i="1"/>
  <c r="A131" i="1"/>
  <c r="C130" i="1"/>
  <c r="E129" i="1"/>
  <c r="A129" i="1"/>
  <c r="C128" i="1"/>
  <c r="E127" i="1"/>
  <c r="A127" i="1"/>
  <c r="C126" i="1"/>
  <c r="E125" i="1"/>
  <c r="A125" i="1"/>
  <c r="C124" i="1"/>
  <c r="E123" i="1"/>
  <c r="A123" i="1"/>
  <c r="C122" i="1"/>
  <c r="E121" i="1"/>
  <c r="A121" i="1"/>
  <c r="C120" i="1"/>
  <c r="E119" i="1"/>
  <c r="A119" i="1"/>
  <c r="C118" i="1"/>
  <c r="E117" i="1"/>
  <c r="A117" i="1"/>
  <c r="C116" i="1"/>
  <c r="E115" i="1"/>
  <c r="A115" i="1"/>
  <c r="C114" i="1"/>
  <c r="E113" i="1"/>
  <c r="A113" i="1"/>
  <c r="C112" i="1"/>
  <c r="E111" i="1"/>
  <c r="A111" i="1"/>
  <c r="C110" i="1"/>
  <c r="E109" i="1"/>
  <c r="A109" i="1"/>
  <c r="C108" i="1"/>
  <c r="E107" i="1"/>
  <c r="A107" i="1"/>
  <c r="C106" i="1"/>
  <c r="E105" i="1"/>
  <c r="A105" i="1"/>
  <c r="C104" i="1"/>
  <c r="E103" i="1"/>
  <c r="A103" i="1"/>
  <c r="C102" i="1"/>
  <c r="E101" i="1"/>
  <c r="A101" i="1"/>
  <c r="C100" i="1"/>
  <c r="E99" i="1"/>
  <c r="A99" i="1"/>
  <c r="C98" i="1"/>
  <c r="E97" i="1"/>
  <c r="A97" i="1"/>
  <c r="C96" i="1"/>
  <c r="E95" i="1"/>
  <c r="A95" i="1"/>
  <c r="C94" i="1"/>
  <c r="E93" i="1"/>
  <c r="A93" i="1"/>
  <c r="C92" i="1"/>
  <c r="E91" i="1"/>
  <c r="A91" i="1"/>
  <c r="C90" i="1"/>
  <c r="E89" i="1"/>
  <c r="A89" i="1"/>
  <c r="C88" i="1"/>
  <c r="E87" i="1"/>
  <c r="A87" i="1"/>
  <c r="C86" i="1"/>
  <c r="E85" i="1"/>
  <c r="A85" i="1"/>
  <c r="C84" i="1"/>
  <c r="E83" i="1"/>
  <c r="A83" i="1"/>
  <c r="C82" i="1"/>
  <c r="E81" i="1"/>
  <c r="A81" i="1"/>
  <c r="C80" i="1"/>
  <c r="E79" i="1"/>
  <c r="A79" i="1"/>
  <c r="C78" i="1"/>
  <c r="E77" i="1"/>
  <c r="A77" i="1"/>
  <c r="C76" i="1"/>
  <c r="E75" i="1"/>
  <c r="A75" i="1"/>
  <c r="C74" i="1"/>
  <c r="E73" i="1"/>
  <c r="A73" i="1"/>
  <c r="C72" i="1"/>
  <c r="E71" i="1"/>
  <c r="A71" i="1"/>
  <c r="C70" i="1"/>
  <c r="E69" i="1"/>
  <c r="A69" i="1"/>
  <c r="C68" i="1"/>
  <c r="E67" i="1"/>
  <c r="A67" i="1"/>
  <c r="C66" i="1"/>
  <c r="E65" i="1"/>
  <c r="A65" i="1"/>
  <c r="C64" i="1"/>
  <c r="E63" i="1"/>
  <c r="A63" i="1"/>
  <c r="C62" i="1"/>
  <c r="E61" i="1"/>
  <c r="A61" i="1"/>
  <c r="C60" i="1"/>
  <c r="E59" i="1"/>
  <c r="A59" i="1"/>
  <c r="C58" i="1"/>
  <c r="E57" i="1"/>
  <c r="A57" i="1"/>
  <c r="C56" i="1"/>
  <c r="E55" i="1"/>
  <c r="A55" i="1"/>
  <c r="C54" i="1"/>
  <c r="E53" i="1"/>
  <c r="A53" i="1"/>
  <c r="C52" i="1"/>
  <c r="E51" i="1"/>
  <c r="A51" i="1"/>
  <c r="C50" i="1"/>
  <c r="E49" i="1"/>
  <c r="A49" i="1"/>
  <c r="C48" i="1"/>
  <c r="E47" i="1"/>
  <c r="A47" i="1"/>
  <c r="C46" i="1"/>
  <c r="E45" i="1"/>
  <c r="A45" i="1"/>
  <c r="C44" i="1"/>
  <c r="E43" i="1"/>
  <c r="A43" i="1"/>
  <c r="C42" i="1"/>
  <c r="E41" i="1"/>
  <c r="A41" i="1"/>
  <c r="C40" i="1"/>
  <c r="E39" i="1"/>
  <c r="A39" i="1"/>
  <c r="C38" i="1"/>
  <c r="E37" i="1"/>
  <c r="A37" i="1"/>
  <c r="C36" i="1"/>
  <c r="E35" i="1"/>
  <c r="A35" i="1"/>
  <c r="C34" i="1"/>
  <c r="E33" i="1"/>
  <c r="A33" i="1"/>
  <c r="C32" i="1"/>
  <c r="E31" i="1"/>
  <c r="A31" i="1"/>
  <c r="C30" i="1"/>
  <c r="E29" i="1"/>
  <c r="A29" i="1"/>
  <c r="C28" i="1"/>
  <c r="E27" i="1"/>
  <c r="A27" i="1"/>
  <c r="C26" i="1"/>
  <c r="E25" i="1"/>
  <c r="A25" i="1"/>
  <c r="C24" i="1"/>
  <c r="E23" i="1"/>
  <c r="A23" i="1"/>
  <c r="C22" i="1"/>
  <c r="E21" i="1"/>
  <c r="A21" i="1"/>
  <c r="C20" i="1"/>
  <c r="E19" i="1"/>
  <c r="A19" i="1"/>
  <c r="C18" i="1"/>
  <c r="E17" i="1"/>
  <c r="A17" i="1"/>
  <c r="C16" i="1"/>
  <c r="E15" i="1"/>
  <c r="A15" i="1"/>
  <c r="C14" i="1"/>
  <c r="E13" i="1"/>
  <c r="A13" i="1"/>
  <c r="C12" i="1"/>
  <c r="E11" i="1"/>
  <c r="A11" i="1"/>
  <c r="C10" i="1"/>
  <c r="E9" i="1"/>
  <c r="A9" i="1"/>
  <c r="C8" i="1"/>
  <c r="E7" i="1"/>
  <c r="A7" i="1"/>
  <c r="E202" i="1"/>
  <c r="C201" i="1"/>
  <c r="B200" i="1"/>
  <c r="B199" i="1"/>
  <c r="E196" i="1"/>
  <c r="D195" i="1"/>
  <c r="B194" i="1"/>
  <c r="B193" i="1"/>
  <c r="A192" i="1"/>
  <c r="E190" i="1"/>
  <c r="D189" i="1"/>
  <c r="D188" i="1"/>
  <c r="B187" i="1"/>
  <c r="A186" i="1"/>
  <c r="D183" i="1"/>
  <c r="D182" i="1"/>
  <c r="C181" i="1"/>
  <c r="A180" i="1"/>
  <c r="E176" i="1"/>
  <c r="A175" i="1"/>
  <c r="A174" i="1"/>
  <c r="B173" i="1"/>
  <c r="C172" i="1"/>
  <c r="C171" i="1"/>
  <c r="D170" i="1"/>
  <c r="E169" i="1"/>
  <c r="E168" i="1"/>
  <c r="A167" i="1"/>
  <c r="A166" i="1"/>
  <c r="B165" i="1"/>
  <c r="C164" i="1"/>
  <c r="C163" i="1"/>
  <c r="D162" i="1"/>
  <c r="E161" i="1"/>
  <c r="E160" i="1"/>
  <c r="A159" i="1"/>
  <c r="A158" i="1"/>
  <c r="B157" i="1"/>
  <c r="C156" i="1"/>
  <c r="C155" i="1"/>
  <c r="D154" i="1"/>
  <c r="E153" i="1"/>
  <c r="E152" i="1"/>
  <c r="A151" i="1"/>
  <c r="A150" i="1"/>
  <c r="B149" i="1"/>
  <c r="C148" i="1"/>
  <c r="C147" i="1"/>
  <c r="E146" i="1"/>
  <c r="A146" i="1"/>
  <c r="C145" i="1"/>
  <c r="E144" i="1"/>
  <c r="A144" i="1"/>
  <c r="C143" i="1"/>
  <c r="E142" i="1"/>
  <c r="A142" i="1"/>
  <c r="C141" i="1"/>
  <c r="E140" i="1"/>
  <c r="A140" i="1"/>
  <c r="C139" i="1"/>
  <c r="E138" i="1"/>
  <c r="A138" i="1"/>
  <c r="C137" i="1"/>
  <c r="E136" i="1"/>
  <c r="A136" i="1"/>
  <c r="C135" i="1"/>
  <c r="E134" i="1"/>
  <c r="A134" i="1"/>
  <c r="C133" i="1"/>
  <c r="E132" i="1"/>
  <c r="A132" i="1"/>
  <c r="C131" i="1"/>
  <c r="E130" i="1"/>
  <c r="A130" i="1"/>
  <c r="C129" i="1"/>
  <c r="E128" i="1"/>
  <c r="A128" i="1"/>
  <c r="C127" i="1"/>
  <c r="E126" i="1"/>
  <c r="A126" i="1"/>
  <c r="C125" i="1"/>
  <c r="E124" i="1"/>
  <c r="A124" i="1"/>
  <c r="C123" i="1"/>
  <c r="E122" i="1"/>
  <c r="A122" i="1"/>
  <c r="C121" i="1"/>
  <c r="E120" i="1"/>
  <c r="A120" i="1"/>
  <c r="C119" i="1"/>
  <c r="E118" i="1"/>
  <c r="A118" i="1"/>
  <c r="C117" i="1"/>
  <c r="E116" i="1"/>
  <c r="A116" i="1"/>
  <c r="C115" i="1"/>
  <c r="E114" i="1"/>
  <c r="A114" i="1"/>
  <c r="C113" i="1"/>
  <c r="E112" i="1"/>
  <c r="A112" i="1"/>
  <c r="C111" i="1"/>
  <c r="E110" i="1"/>
  <c r="A110" i="1"/>
  <c r="C109" i="1"/>
  <c r="E108" i="1"/>
  <c r="A108" i="1"/>
  <c r="C107" i="1"/>
  <c r="E106" i="1"/>
  <c r="A106" i="1"/>
  <c r="C105" i="1"/>
  <c r="E104" i="1"/>
  <c r="A104" i="1"/>
  <c r="C103" i="1"/>
  <c r="E102" i="1"/>
  <c r="A102" i="1"/>
  <c r="C101" i="1"/>
  <c r="E100" i="1"/>
  <c r="A100" i="1"/>
  <c r="C99" i="1"/>
  <c r="E98" i="1"/>
  <c r="A98" i="1"/>
  <c r="C97" i="1"/>
  <c r="E96" i="1"/>
  <c r="A96" i="1"/>
  <c r="C95" i="1"/>
  <c r="E94" i="1"/>
  <c r="A94" i="1"/>
  <c r="C93" i="1"/>
  <c r="E92" i="1"/>
  <c r="A92" i="1"/>
  <c r="C91" i="1"/>
  <c r="E90" i="1"/>
  <c r="A90" i="1"/>
  <c r="C89" i="1"/>
  <c r="E88" i="1"/>
  <c r="A88" i="1"/>
  <c r="C87" i="1"/>
  <c r="E86" i="1"/>
  <c r="A86" i="1"/>
  <c r="C85" i="1"/>
  <c r="E84" i="1"/>
  <c r="A84" i="1"/>
  <c r="C83" i="1"/>
  <c r="E82" i="1"/>
  <c r="A82" i="1"/>
  <c r="C81" i="1"/>
  <c r="E80" i="1"/>
  <c r="A80" i="1"/>
  <c r="C79" i="1"/>
  <c r="E78" i="1"/>
  <c r="A78" i="1"/>
  <c r="C77" i="1"/>
  <c r="E76" i="1"/>
  <c r="A76" i="1"/>
  <c r="C75" i="1"/>
  <c r="E74" i="1"/>
  <c r="A74" i="1"/>
  <c r="C73" i="1"/>
  <c r="E72" i="1"/>
  <c r="A72" i="1"/>
  <c r="C71" i="1"/>
  <c r="E70" i="1"/>
  <c r="A70" i="1"/>
  <c r="C69" i="1"/>
  <c r="E68" i="1"/>
  <c r="A68" i="1"/>
  <c r="C67" i="1"/>
  <c r="E66" i="1"/>
  <c r="A66" i="1"/>
  <c r="C65" i="1"/>
  <c r="E64" i="1"/>
  <c r="A64" i="1"/>
  <c r="C63" i="1"/>
  <c r="E62" i="1"/>
  <c r="A62" i="1"/>
  <c r="C61" i="1"/>
  <c r="E60" i="1"/>
  <c r="A60" i="1"/>
  <c r="C59" i="1"/>
  <c r="E58" i="1"/>
  <c r="A58" i="1"/>
  <c r="C57" i="1"/>
  <c r="E56" i="1"/>
  <c r="A56" i="1"/>
  <c r="C55" i="1"/>
  <c r="E54" i="1"/>
  <c r="A54" i="1"/>
  <c r="C53" i="1"/>
  <c r="E52" i="1"/>
  <c r="A52" i="1"/>
  <c r="C51" i="1"/>
  <c r="E50" i="1"/>
  <c r="A50" i="1"/>
  <c r="C49" i="1"/>
  <c r="E48" i="1"/>
  <c r="A48" i="1"/>
  <c r="C47" i="1"/>
  <c r="E46" i="1"/>
  <c r="A46" i="1"/>
  <c r="C45" i="1"/>
  <c r="E44" i="1"/>
  <c r="A44" i="1"/>
  <c r="C43" i="1"/>
  <c r="E42" i="1"/>
  <c r="A42" i="1"/>
  <c r="C41" i="1"/>
  <c r="E40" i="1"/>
  <c r="A40" i="1"/>
  <c r="C39" i="1"/>
  <c r="E38" i="1"/>
  <c r="A38" i="1"/>
  <c r="C37" i="1"/>
  <c r="E36" i="1"/>
  <c r="A36" i="1"/>
  <c r="C35" i="1"/>
  <c r="E34" i="1"/>
  <c r="A34" i="1"/>
  <c r="C33" i="1"/>
  <c r="E32" i="1"/>
  <c r="A32" i="1"/>
  <c r="C31" i="1"/>
  <c r="E30" i="1"/>
  <c r="A30" i="1"/>
  <c r="C29" i="1"/>
  <c r="E28" i="1"/>
  <c r="A28" i="1"/>
  <c r="C27" i="1"/>
  <c r="E26" i="1"/>
  <c r="A26" i="1"/>
  <c r="C25" i="1"/>
  <c r="E24" i="1"/>
  <c r="A24" i="1"/>
  <c r="C23" i="1"/>
  <c r="E22" i="1"/>
  <c r="A22" i="1"/>
  <c r="C21" i="1"/>
  <c r="E20" i="1"/>
  <c r="A20" i="1"/>
  <c r="C19" i="1"/>
  <c r="E18" i="1"/>
  <c r="A18" i="1"/>
  <c r="C17" i="1"/>
  <c r="E16" i="1"/>
  <c r="A16" i="1"/>
  <c r="C15" i="1"/>
  <c r="E14" i="1"/>
  <c r="A14" i="1"/>
  <c r="C13" i="1"/>
  <c r="E12" i="1"/>
  <c r="A12" i="1"/>
  <c r="C11" i="1"/>
  <c r="E10" i="1"/>
  <c r="A10" i="1"/>
  <c r="C9" i="1"/>
  <c r="E8" i="1"/>
  <c r="A8" i="1"/>
  <c r="C7" i="1"/>
  <c r="D47" i="1"/>
  <c r="D51" i="1"/>
  <c r="D55" i="1"/>
  <c r="B58" i="1"/>
  <c r="B62" i="1"/>
  <c r="B66" i="1"/>
  <c r="D71" i="1"/>
  <c r="B74" i="1"/>
  <c r="D79" i="1"/>
  <c r="B82" i="1"/>
  <c r="D87" i="1"/>
  <c r="B90" i="1"/>
  <c r="D95" i="1"/>
  <c r="B98" i="1"/>
  <c r="D103" i="1"/>
  <c r="B106" i="1"/>
  <c r="B110" i="1"/>
  <c r="D115" i="1"/>
  <c r="B118" i="1"/>
  <c r="D123" i="1"/>
  <c r="B126" i="1"/>
  <c r="D131" i="1"/>
  <c r="B134" i="1"/>
  <c r="B138" i="1"/>
  <c r="D143" i="1"/>
  <c r="B146" i="1"/>
  <c r="C149" i="1"/>
  <c r="A153" i="1"/>
  <c r="D156" i="1"/>
  <c r="A160" i="1"/>
  <c r="C165" i="1"/>
  <c r="E170" i="1"/>
  <c r="C174" i="1"/>
  <c r="A178" i="1"/>
  <c r="E182" i="1"/>
  <c r="D187" i="1"/>
  <c r="B192" i="1"/>
  <c r="C199" i="1"/>
  <c r="C218" i="1"/>
  <c r="B225" i="1"/>
  <c r="A234" i="1"/>
  <c r="B242" i="1"/>
  <c r="E250" i="1"/>
  <c r="D259" i="1"/>
  <c r="E267" i="1"/>
  <c r="C276" i="1"/>
  <c r="B285" i="1"/>
  <c r="C293" i="1"/>
  <c r="D307" i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D309" i="1"/>
  <c r="E308" i="1"/>
  <c r="A308" i="1"/>
  <c r="B307" i="1"/>
  <c r="C306" i="1"/>
  <c r="D305" i="1"/>
  <c r="E304" i="1"/>
  <c r="A304" i="1"/>
  <c r="B303" i="1"/>
  <c r="C302" i="1"/>
  <c r="D301" i="1"/>
  <c r="E300" i="1"/>
  <c r="A300" i="1"/>
  <c r="B299" i="1"/>
  <c r="C298" i="1"/>
  <c r="D297" i="1"/>
  <c r="E296" i="1"/>
  <c r="A296" i="1"/>
  <c r="B295" i="1"/>
  <c r="C294" i="1"/>
  <c r="D293" i="1"/>
  <c r="E292" i="1"/>
  <c r="A292" i="1"/>
  <c r="B291" i="1"/>
  <c r="C290" i="1"/>
  <c r="D289" i="1"/>
  <c r="E288" i="1"/>
  <c r="A288" i="1"/>
  <c r="B287" i="1"/>
  <c r="C286" i="1"/>
  <c r="D285" i="1"/>
  <c r="E284" i="1"/>
  <c r="A284" i="1"/>
  <c r="B283" i="1"/>
  <c r="C282" i="1"/>
  <c r="D281" i="1"/>
  <c r="E280" i="1"/>
  <c r="A280" i="1"/>
  <c r="B279" i="1"/>
  <c r="C278" i="1"/>
  <c r="D277" i="1"/>
  <c r="E276" i="1"/>
  <c r="A276" i="1"/>
  <c r="B275" i="1"/>
  <c r="C274" i="1"/>
  <c r="D273" i="1"/>
  <c r="E272" i="1"/>
  <c r="A272" i="1"/>
  <c r="B271" i="1"/>
  <c r="C270" i="1"/>
  <c r="D269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B223" i="1"/>
  <c r="C222" i="1"/>
  <c r="D308" i="1"/>
  <c r="A307" i="1"/>
  <c r="C305" i="1"/>
  <c r="E303" i="1"/>
  <c r="B302" i="1"/>
  <c r="D300" i="1"/>
  <c r="A299" i="1"/>
  <c r="C297" i="1"/>
  <c r="E295" i="1"/>
  <c r="B294" i="1"/>
  <c r="D292" i="1"/>
  <c r="A291" i="1"/>
  <c r="C289" i="1"/>
  <c r="E287" i="1"/>
  <c r="B286" i="1"/>
  <c r="D284" i="1"/>
  <c r="A283" i="1"/>
  <c r="C281" i="1"/>
  <c r="E279" i="1"/>
  <c r="B278" i="1"/>
  <c r="D276" i="1"/>
  <c r="A275" i="1"/>
  <c r="C273" i="1"/>
  <c r="E271" i="1"/>
  <c r="B270" i="1"/>
  <c r="D268" i="1"/>
  <c r="A267" i="1"/>
  <c r="C265" i="1"/>
  <c r="E263" i="1"/>
  <c r="B262" i="1"/>
  <c r="D260" i="1"/>
  <c r="A259" i="1"/>
  <c r="C257" i="1"/>
  <c r="E255" i="1"/>
  <c r="B254" i="1"/>
  <c r="D252" i="1"/>
  <c r="A251" i="1"/>
  <c r="C249" i="1"/>
  <c r="E247" i="1"/>
  <c r="B246" i="1"/>
  <c r="D244" i="1"/>
  <c r="A243" i="1"/>
  <c r="C241" i="1"/>
  <c r="E239" i="1"/>
  <c r="B238" i="1"/>
  <c r="D236" i="1"/>
  <c r="A235" i="1"/>
  <c r="C233" i="1"/>
  <c r="E231" i="1"/>
  <c r="B230" i="1"/>
  <c r="D228" i="1"/>
  <c r="A227" i="1"/>
  <c r="C225" i="1"/>
  <c r="E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B309" i="1"/>
  <c r="E306" i="1"/>
  <c r="D304" i="1"/>
  <c r="E302" i="1"/>
  <c r="C300" i="1"/>
  <c r="B298" i="1"/>
  <c r="C296" i="1"/>
  <c r="A294" i="1"/>
  <c r="E291" i="1"/>
  <c r="A290" i="1"/>
  <c r="D287" i="1"/>
  <c r="C285" i="1"/>
  <c r="D283" i="1"/>
  <c r="B281" i="1"/>
  <c r="A279" i="1"/>
  <c r="B277" i="1"/>
  <c r="E274" i="1"/>
  <c r="D272" i="1"/>
  <c r="E270" i="1"/>
  <c r="C268" i="1"/>
  <c r="B266" i="1"/>
  <c r="C264" i="1"/>
  <c r="A262" i="1"/>
  <c r="E259" i="1"/>
  <c r="A258" i="1"/>
  <c r="D255" i="1"/>
  <c r="C253" i="1"/>
  <c r="D251" i="1"/>
  <c r="B249" i="1"/>
  <c r="A247" i="1"/>
  <c r="B245" i="1"/>
  <c r="E242" i="1"/>
  <c r="D240" i="1"/>
  <c r="E238" i="1"/>
  <c r="C236" i="1"/>
  <c r="B234" i="1"/>
  <c r="C232" i="1"/>
  <c r="A230" i="1"/>
  <c r="E227" i="1"/>
  <c r="A226" i="1"/>
  <c r="D223" i="1"/>
  <c r="D221" i="1"/>
  <c r="C220" i="1"/>
  <c r="E218" i="1"/>
  <c r="C217" i="1"/>
  <c r="A216" i="1"/>
  <c r="C214" i="1"/>
  <c r="B213" i="1"/>
  <c r="E211" i="1"/>
  <c r="B210" i="1"/>
  <c r="C308" i="1"/>
  <c r="B306" i="1"/>
  <c r="C304" i="1"/>
  <c r="A302" i="1"/>
  <c r="E299" i="1"/>
  <c r="A298" i="1"/>
  <c r="E307" i="1"/>
  <c r="A306" i="1"/>
  <c r="D303" i="1"/>
  <c r="C301" i="1"/>
  <c r="D299" i="1"/>
  <c r="B297" i="1"/>
  <c r="A295" i="1"/>
  <c r="B293" i="1"/>
  <c r="E290" i="1"/>
  <c r="D288" i="1"/>
  <c r="E286" i="1"/>
  <c r="C284" i="1"/>
  <c r="B282" i="1"/>
  <c r="C280" i="1"/>
  <c r="A278" i="1"/>
  <c r="E275" i="1"/>
  <c r="A274" i="1"/>
  <c r="D271" i="1"/>
  <c r="C269" i="1"/>
  <c r="D267" i="1"/>
  <c r="B265" i="1"/>
  <c r="A263" i="1"/>
  <c r="B261" i="1"/>
  <c r="E258" i="1"/>
  <c r="D256" i="1"/>
  <c r="E254" i="1"/>
  <c r="C252" i="1"/>
  <c r="B250" i="1"/>
  <c r="C248" i="1"/>
  <c r="A246" i="1"/>
  <c r="E243" i="1"/>
  <c r="A242" i="1"/>
  <c r="D239" i="1"/>
  <c r="C237" i="1"/>
  <c r="D235" i="1"/>
  <c r="B233" i="1"/>
  <c r="A231" i="1"/>
  <c r="B229" i="1"/>
  <c r="E226" i="1"/>
  <c r="D224" i="1"/>
  <c r="E222" i="1"/>
  <c r="E220" i="1"/>
  <c r="D219" i="1"/>
  <c r="B218" i="1"/>
  <c r="D216" i="1"/>
  <c r="B215" i="1"/>
  <c r="A214" i="1"/>
  <c r="C212" i="1"/>
  <c r="A211" i="1"/>
  <c r="B50" i="1"/>
  <c r="B54" i="1"/>
  <c r="D59" i="1"/>
  <c r="D63" i="1"/>
  <c r="D67" i="1"/>
  <c r="B70" i="1"/>
  <c r="D75" i="1"/>
  <c r="B78" i="1"/>
  <c r="D83" i="1"/>
  <c r="B86" i="1"/>
  <c r="D91" i="1"/>
  <c r="B94" i="1"/>
  <c r="D99" i="1"/>
  <c r="B102" i="1"/>
  <c r="D107" i="1"/>
  <c r="D111" i="1"/>
  <c r="B114" i="1"/>
  <c r="D119" i="1"/>
  <c r="B122" i="1"/>
  <c r="D127" i="1"/>
  <c r="B130" i="1"/>
  <c r="D135" i="1"/>
  <c r="D139" i="1"/>
  <c r="B142" i="1"/>
  <c r="E147" i="1"/>
  <c r="B151" i="1"/>
  <c r="E154" i="1"/>
  <c r="C158" i="1"/>
  <c r="E163" i="1"/>
  <c r="B167" i="1"/>
  <c r="A169" i="1"/>
  <c r="D172" i="1"/>
  <c r="A176" i="1"/>
  <c r="D180" i="1"/>
  <c r="B185" i="1"/>
  <c r="E194" i="1"/>
  <c r="A204" i="1"/>
  <c r="D215" i="1"/>
  <c r="C221" i="1"/>
  <c r="C229" i="1"/>
  <c r="A238" i="1"/>
  <c r="E246" i="1"/>
  <c r="A255" i="1"/>
  <c r="D263" i="1"/>
  <c r="C272" i="1"/>
  <c r="D280" i="1"/>
  <c r="B289" i="1"/>
  <c r="B49" i="1"/>
  <c r="D50" i="1"/>
  <c r="B53" i="1"/>
  <c r="D54" i="1"/>
  <c r="B57" i="1"/>
  <c r="D58" i="1"/>
  <c r="B61" i="1"/>
  <c r="D62" i="1"/>
  <c r="B65" i="1"/>
  <c r="D66" i="1"/>
  <c r="B69" i="1"/>
  <c r="D70" i="1"/>
  <c r="D74" i="1"/>
  <c r="D78" i="1"/>
  <c r="B81" i="1"/>
  <c r="D82" i="1"/>
  <c r="B85" i="1"/>
  <c r="D86" i="1"/>
  <c r="B89" i="1"/>
  <c r="D90" i="1"/>
  <c r="B93" i="1"/>
  <c r="D94" i="1"/>
  <c r="B97" i="1"/>
  <c r="D98" i="1"/>
  <c r="B101" i="1"/>
  <c r="D102" i="1"/>
  <c r="B105" i="1"/>
  <c r="D106" i="1"/>
  <c r="B109" i="1"/>
  <c r="D110" i="1"/>
  <c r="B113" i="1"/>
  <c r="D114" i="1"/>
  <c r="B117" i="1"/>
  <c r="D118" i="1"/>
  <c r="B121" i="1"/>
  <c r="D122" i="1"/>
  <c r="B125" i="1"/>
  <c r="D126" i="1"/>
  <c r="B129" i="1"/>
  <c r="D130" i="1"/>
  <c r="B133" i="1"/>
  <c r="D134" i="1"/>
  <c r="B137" i="1"/>
  <c r="D138" i="1"/>
  <c r="B141" i="1"/>
  <c r="D142" i="1"/>
  <c r="B145" i="1"/>
  <c r="D146" i="1"/>
  <c r="A148" i="1"/>
  <c r="E151" i="1"/>
  <c r="C153" i="1"/>
  <c r="B155" i="1"/>
  <c r="A157" i="1"/>
  <c r="E158" i="1"/>
  <c r="D160" i="1"/>
  <c r="C162" i="1"/>
  <c r="A164" i="1"/>
  <c r="E167" i="1"/>
  <c r="C169" i="1"/>
  <c r="B171" i="1"/>
  <c r="A173" i="1"/>
  <c r="E174" i="1"/>
  <c r="D176" i="1"/>
  <c r="E178" i="1"/>
  <c r="C183" i="1"/>
  <c r="A188" i="1"/>
  <c r="D190" i="1"/>
  <c r="B195" i="1"/>
  <c r="D197" i="1"/>
  <c r="A200" i="1"/>
  <c r="B202" i="1"/>
  <c r="E204" i="1"/>
  <c r="E210" i="1"/>
  <c r="C213" i="1"/>
  <c r="C216" i="1"/>
  <c r="B219" i="1"/>
  <c r="A222" i="1"/>
  <c r="B226" i="1"/>
  <c r="E230" i="1"/>
  <c r="E234" i="1"/>
  <c r="A239" i="1"/>
  <c r="D243" i="1"/>
  <c r="D247" i="1"/>
  <c r="E251" i="1"/>
  <c r="C256" i="1"/>
  <c r="C260" i="1"/>
  <c r="D264" i="1"/>
  <c r="B269" i="1"/>
  <c r="B273" i="1"/>
  <c r="C277" i="1"/>
  <c r="A282" i="1"/>
  <c r="A286" i="1"/>
  <c r="B290" i="1"/>
  <c r="E294" i="1"/>
  <c r="B301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B176" i="1"/>
  <c r="D175" i="1"/>
  <c r="B174" i="1"/>
  <c r="D173" i="1"/>
  <c r="B172" i="1"/>
  <c r="D171" i="1"/>
  <c r="B170" i="1"/>
  <c r="D169" i="1"/>
  <c r="B168" i="1"/>
  <c r="D167" i="1"/>
  <c r="B166" i="1"/>
  <c r="D165" i="1"/>
  <c r="B164" i="1"/>
  <c r="D163" i="1"/>
  <c r="B162" i="1"/>
  <c r="D161" i="1"/>
  <c r="B160" i="1"/>
  <c r="D159" i="1"/>
  <c r="B158" i="1"/>
  <c r="D157" i="1"/>
  <c r="B156" i="1"/>
  <c r="D155" i="1"/>
  <c r="B154" i="1"/>
  <c r="D153" i="1"/>
  <c r="B152" i="1"/>
  <c r="D151" i="1"/>
  <c r="B150" i="1"/>
  <c r="D149" i="1"/>
  <c r="B148" i="1"/>
  <c r="D147" i="1"/>
  <c r="N134" i="2"/>
  <c r="B5" i="5" s="1"/>
  <c r="E108" i="6"/>
  <c r="E5" i="5" l="1"/>
  <c r="G5" i="5"/>
  <c r="N135" i="2"/>
  <c r="A6" i="5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B6" i="5"/>
  <c r="A5" i="5"/>
  <c r="F6" i="5"/>
  <c r="F5" i="5"/>
  <c r="K5" i="5"/>
  <c r="E6" i="5"/>
  <c r="D206" i="1"/>
  <c r="N136" i="2"/>
  <c r="J6" i="5"/>
  <c r="J5" i="5"/>
  <c r="D5" i="5"/>
  <c r="I6" i="5"/>
  <c r="E206" i="1"/>
  <c r="N137" i="2"/>
  <c r="I5" i="5"/>
  <c r="C7" i="5"/>
  <c r="C6" i="5"/>
  <c r="H7" i="5"/>
  <c r="C5" i="5"/>
  <c r="H6" i="5"/>
  <c r="B8" i="5"/>
  <c r="H5" i="5"/>
  <c r="B7" i="5"/>
  <c r="D312" i="1"/>
  <c r="D311" i="1"/>
  <c r="D310" i="1"/>
  <c r="D6" i="5" l="1"/>
  <c r="G6" i="5"/>
  <c r="K6" i="5"/>
  <c r="F106" i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8" i="5"/>
  <c r="G7" i="5"/>
  <c r="J7" i="5"/>
  <c r="G8" i="5"/>
  <c r="I8" i="5"/>
  <c r="H8" i="5"/>
  <c r="A7" i="5"/>
  <c r="N138" i="2"/>
  <c r="E8" i="5"/>
  <c r="I7" i="5"/>
  <c r="A9" i="5"/>
  <c r="J9" i="5"/>
  <c r="E7" i="5"/>
  <c r="D8" i="5"/>
  <c r="C9" i="5"/>
  <c r="F9" i="5"/>
  <c r="K8" i="5"/>
  <c r="K7" i="5"/>
  <c r="J8" i="5"/>
  <c r="F7" i="5"/>
  <c r="I9" i="5"/>
  <c r="D7" i="5"/>
  <c r="C8" i="5"/>
  <c r="A8" i="5"/>
  <c r="N139" i="2" l="1"/>
  <c r="B10" i="5"/>
  <c r="D9" i="5"/>
  <c r="E10" i="5"/>
  <c r="G9" i="5"/>
  <c r="G10" i="5"/>
  <c r="E9" i="5"/>
  <c r="B9" i="5"/>
  <c r="K9" i="5"/>
  <c r="H9" i="5"/>
  <c r="A10" i="5"/>
  <c r="F206" i="1"/>
  <c r="F2" i="1" s="1"/>
  <c r="N140" i="2" l="1"/>
  <c r="J11" i="5" s="1"/>
  <c r="H10" i="5"/>
  <c r="C10" i="5"/>
  <c r="K10" i="5"/>
  <c r="D10" i="5"/>
  <c r="F10" i="5"/>
  <c r="J10" i="5"/>
  <c r="I10" i="5"/>
  <c r="G11" i="5"/>
  <c r="C11" i="5" l="1"/>
  <c r="E11" i="5"/>
  <c r="K11" i="5"/>
  <c r="N141" i="2"/>
  <c r="B11" i="5"/>
  <c r="I11" i="5"/>
  <c r="F11" i="5"/>
  <c r="H11" i="5"/>
  <c r="A11" i="5"/>
  <c r="D11" i="5"/>
  <c r="G12" i="5" l="1"/>
  <c r="H12" i="5"/>
  <c r="C12" i="5"/>
  <c r="B12" i="5"/>
  <c r="J12" i="5"/>
  <c r="F12" i="5"/>
  <c r="E12" i="5"/>
  <c r="A12" i="5"/>
  <c r="N142" i="2"/>
  <c r="K12" i="5"/>
  <c r="D12" i="5"/>
  <c r="I12" i="5"/>
  <c r="B13" i="5" l="1"/>
  <c r="E13" i="5"/>
  <c r="J13" i="5"/>
  <c r="G13" i="5"/>
  <c r="N143" i="2"/>
  <c r="K13" i="5"/>
  <c r="K14" i="5"/>
  <c r="A13" i="5"/>
  <c r="F13" i="5"/>
  <c r="H13" i="5"/>
  <c r="C13" i="5"/>
  <c r="D13" i="5"/>
  <c r="I13" i="5"/>
  <c r="D14" i="5" l="1"/>
  <c r="H14" i="5"/>
  <c r="I14" i="5"/>
  <c r="C14" i="5"/>
  <c r="F14" i="5"/>
  <c r="N144" i="2"/>
  <c r="B14" i="5"/>
  <c r="J14" i="5"/>
  <c r="E14" i="5"/>
  <c r="H15" i="5"/>
  <c r="G14" i="5"/>
  <c r="F15" i="5"/>
  <c r="A14" i="5"/>
  <c r="G15" i="5" l="1"/>
  <c r="B15" i="5"/>
  <c r="E15" i="5"/>
  <c r="I15" i="5"/>
  <c r="J15" i="5"/>
  <c r="D15" i="5"/>
  <c r="N145" i="2"/>
  <c r="C16" i="5"/>
  <c r="A15" i="5"/>
  <c r="K15" i="5"/>
  <c r="C15" i="5"/>
  <c r="B16" i="5"/>
  <c r="K16" i="5"/>
  <c r="F16" i="5" l="1"/>
  <c r="G16" i="5"/>
  <c r="H16" i="5"/>
  <c r="I17" i="5"/>
  <c r="I16" i="5"/>
  <c r="B17" i="5"/>
  <c r="N146" i="2"/>
  <c r="D16" i="5"/>
  <c r="J16" i="5"/>
  <c r="K17" i="5"/>
  <c r="C17" i="5"/>
  <c r="A16" i="5"/>
  <c r="A17" i="5"/>
  <c r="E16" i="5"/>
  <c r="F17" i="5"/>
  <c r="N147" i="2" l="1"/>
  <c r="D17" i="5"/>
  <c r="G18" i="5"/>
  <c r="G17" i="5"/>
  <c r="J18" i="5"/>
  <c r="E17" i="5"/>
  <c r="A18" i="5"/>
  <c r="J17" i="5"/>
  <c r="K18" i="5"/>
  <c r="H17" i="5"/>
  <c r="B18" i="5"/>
  <c r="F18" i="5" l="1"/>
  <c r="C18" i="5"/>
  <c r="N148" i="2"/>
  <c r="D18" i="5"/>
  <c r="F19" i="5"/>
  <c r="H19" i="5"/>
  <c r="E19" i="5"/>
  <c r="I18" i="5"/>
  <c r="K19" i="5"/>
  <c r="A19" i="5"/>
  <c r="E18" i="5"/>
  <c r="C19" i="5"/>
  <c r="N149" i="2" l="1"/>
  <c r="H20" i="5"/>
  <c r="A20" i="5"/>
  <c r="K20" i="5"/>
  <c r="I20" i="5"/>
  <c r="B20" i="5"/>
  <c r="I19" i="5"/>
  <c r="G19" i="5"/>
  <c r="D19" i="5"/>
  <c r="G20" i="5"/>
  <c r="J19" i="5"/>
  <c r="D20" i="5"/>
  <c r="J20" i="5"/>
  <c r="B19" i="5"/>
  <c r="E20" i="5"/>
  <c r="N150" i="2" l="1"/>
  <c r="F20" i="5"/>
  <c r="I21" i="5"/>
  <c r="E21" i="5"/>
  <c r="G21" i="5"/>
  <c r="C20" i="5"/>
  <c r="A21" i="5"/>
  <c r="F21" i="5" l="1"/>
  <c r="N151" i="2"/>
  <c r="J21" i="5"/>
  <c r="I22" i="5"/>
  <c r="F22" i="5"/>
  <c r="C21" i="5"/>
  <c r="B22" i="5"/>
  <c r="K21" i="5"/>
  <c r="C22" i="5"/>
  <c r="H21" i="5"/>
  <c r="H22" i="5"/>
  <c r="N152" i="2" l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96" i="5" s="1"/>
  <c r="A38" i="5"/>
  <c r="A115" i="5"/>
  <c r="H56" i="5"/>
  <c r="A144" i="5"/>
  <c r="J108" i="5"/>
  <c r="H142" i="5"/>
  <c r="B24" i="5"/>
  <c r="H63" i="5"/>
  <c r="C97" i="5"/>
  <c r="F45" i="5"/>
  <c r="C113" i="5"/>
  <c r="E104" i="5"/>
  <c r="I89" i="5"/>
  <c r="B95" i="5"/>
  <c r="C78" i="5"/>
  <c r="A145" i="5"/>
  <c r="I79" i="5"/>
  <c r="J39" i="5"/>
  <c r="J62" i="5"/>
  <c r="F39" i="5"/>
  <c r="I88" i="5"/>
  <c r="B87" i="5"/>
  <c r="C27" i="5"/>
  <c r="J47" i="5"/>
  <c r="H133" i="5"/>
  <c r="A152" i="5"/>
  <c r="J136" i="5"/>
  <c r="K101" i="5"/>
  <c r="E80" i="5"/>
  <c r="I137" i="5"/>
  <c r="E74" i="5"/>
  <c r="K97" i="5"/>
  <c r="I73" i="5"/>
  <c r="F146" i="5"/>
  <c r="K146" i="5"/>
  <c r="B135" i="5"/>
  <c r="H124" i="5"/>
  <c r="B37" i="5"/>
  <c r="I34" i="5"/>
  <c r="D91" i="5"/>
  <c r="A64" i="5"/>
  <c r="K137" i="5"/>
  <c r="E109" i="5"/>
  <c r="E150" i="5"/>
  <c r="J101" i="5"/>
  <c r="B112" i="5"/>
  <c r="A25" i="5"/>
  <c r="A69" i="5"/>
  <c r="I86" i="5"/>
  <c r="B44" i="5"/>
  <c r="E148" i="5"/>
  <c r="E125" i="5"/>
  <c r="K141" i="5"/>
  <c r="C150" i="5"/>
  <c r="C141" i="5"/>
  <c r="B98" i="5"/>
  <c r="K102" i="5"/>
  <c r="K145" i="5"/>
  <c r="I140" i="5"/>
  <c r="D41" i="5"/>
  <c r="A50" i="5"/>
  <c r="H67" i="5"/>
  <c r="E34" i="5"/>
  <c r="A71" i="5"/>
  <c r="E141" i="5"/>
  <c r="I107" i="5"/>
  <c r="J97" i="5"/>
  <c r="G74" i="5"/>
  <c r="E65" i="5"/>
  <c r="E38" i="5"/>
  <c r="C153" i="5"/>
  <c r="K110" i="5"/>
  <c r="J146" i="5"/>
  <c r="A122" i="5"/>
  <c r="G123" i="5"/>
  <c r="J43" i="5"/>
  <c r="G37" i="5"/>
  <c r="H60" i="5"/>
  <c r="B104" i="5"/>
  <c r="K77" i="5"/>
  <c r="D138" i="5"/>
  <c r="F29" i="5"/>
  <c r="J75" i="5"/>
  <c r="C65" i="5"/>
  <c r="K74" i="5"/>
  <c r="H129" i="5"/>
  <c r="F91" i="5"/>
  <c r="G25" i="5"/>
  <c r="G29" i="5"/>
  <c r="D97" i="5"/>
  <c r="E130" i="5"/>
  <c r="G70" i="5"/>
  <c r="C81" i="5"/>
  <c r="K51" i="5"/>
  <c r="D34" i="5"/>
  <c r="I35" i="5"/>
  <c r="F77" i="5"/>
  <c r="B74" i="5"/>
  <c r="K83" i="5"/>
  <c r="A23" i="5"/>
  <c r="C101" i="5"/>
  <c r="G77" i="5"/>
  <c r="G71" i="5"/>
  <c r="I94" i="5"/>
  <c r="K32" i="5"/>
  <c r="F130" i="5"/>
  <c r="B66" i="5"/>
  <c r="F112" i="5"/>
  <c r="F111" i="5"/>
  <c r="A41" i="5"/>
  <c r="K53" i="5"/>
  <c r="I62" i="5"/>
  <c r="G62" i="5"/>
  <c r="J24" i="5"/>
  <c r="K71" i="5"/>
  <c r="A116" i="5"/>
  <c r="F115" i="5"/>
  <c r="E91" i="5"/>
  <c r="G27" i="5"/>
  <c r="K70" i="5"/>
  <c r="I104" i="5"/>
  <c r="C114" i="5"/>
  <c r="F125" i="5"/>
  <c r="E42" i="5"/>
  <c r="G140" i="5"/>
  <c r="J120" i="5"/>
  <c r="H70" i="5"/>
  <c r="K99" i="5"/>
  <c r="F103" i="5"/>
  <c r="G34" i="5"/>
  <c r="C144" i="5"/>
  <c r="A143" i="5"/>
  <c r="F92" i="5"/>
  <c r="E128" i="5"/>
  <c r="I149" i="5"/>
  <c r="I138" i="5"/>
  <c r="G134" i="5"/>
  <c r="D131" i="5"/>
  <c r="G90" i="5"/>
  <c r="G141" i="5"/>
  <c r="E108" i="5"/>
  <c r="J74" i="5"/>
  <c r="C99" i="5"/>
  <c r="C50" i="5"/>
  <c r="H39" i="5"/>
  <c r="H153" i="5"/>
  <c r="B61" i="5"/>
  <c r="E151" i="5"/>
  <c r="B38" i="5"/>
  <c r="H112" i="5"/>
  <c r="I96" i="5"/>
  <c r="A48" i="5"/>
  <c r="J100" i="5"/>
  <c r="I75" i="5"/>
  <c r="K61" i="5"/>
  <c r="A90" i="5"/>
  <c r="D85" i="5"/>
  <c r="C111" i="5"/>
  <c r="G96" i="5"/>
  <c r="H118" i="5"/>
  <c r="A134" i="5"/>
  <c r="F74" i="5"/>
  <c r="K153" i="5"/>
  <c r="I130" i="5"/>
  <c r="C53" i="5"/>
  <c r="D71" i="5"/>
  <c r="E88" i="5"/>
  <c r="K39" i="5"/>
  <c r="J106" i="5"/>
  <c r="D120" i="5"/>
  <c r="F101" i="5"/>
  <c r="J123" i="5"/>
  <c r="J66" i="5"/>
  <c r="H140" i="5"/>
  <c r="C98" i="5"/>
  <c r="K44" i="5"/>
  <c r="D96" i="5"/>
  <c r="A92" i="5"/>
  <c r="A24" i="5"/>
  <c r="K92" i="5"/>
  <c r="J133" i="5"/>
  <c r="A79" i="5"/>
  <c r="H148" i="5"/>
  <c r="A36" i="5"/>
  <c r="J84" i="5"/>
  <c r="B121" i="5"/>
  <c r="E58" i="5"/>
  <c r="A105" i="5"/>
  <c r="E48" i="5"/>
  <c r="C112" i="5"/>
  <c r="A47" i="5"/>
  <c r="C24" i="5"/>
  <c r="E41" i="5"/>
  <c r="C35" i="5"/>
  <c r="K95" i="5"/>
  <c r="H68" i="5"/>
  <c r="K81" i="5"/>
  <c r="G89" i="5"/>
  <c r="I32" i="5"/>
  <c r="A141" i="5"/>
  <c r="D130" i="5"/>
  <c r="D106" i="5"/>
  <c r="G135" i="5"/>
  <c r="A22" i="5"/>
  <c r="J23" i="5"/>
  <c r="D49" i="5"/>
  <c r="A117" i="5"/>
  <c r="E99" i="5"/>
  <c r="K35" i="5"/>
  <c r="E36" i="5"/>
  <c r="D132" i="5"/>
  <c r="I57" i="5"/>
  <c r="G110" i="5"/>
  <c r="G45" i="5"/>
  <c r="A44" i="5"/>
  <c r="A74" i="5"/>
  <c r="E68" i="5"/>
  <c r="G41" i="5"/>
  <c r="J135" i="5"/>
  <c r="C67" i="5"/>
  <c r="G108" i="5"/>
  <c r="D33" i="5"/>
  <c r="G102" i="5"/>
  <c r="C143" i="5"/>
  <c r="E33" i="5"/>
  <c r="A132" i="5"/>
  <c r="K91" i="5"/>
  <c r="A75" i="5"/>
  <c r="D40" i="5"/>
  <c r="G130" i="5"/>
  <c r="G111" i="5"/>
  <c r="G56" i="5"/>
  <c r="H143" i="5"/>
  <c r="K135" i="5"/>
  <c r="K108" i="5"/>
  <c r="G100" i="5"/>
  <c r="E24" i="5"/>
  <c r="J88" i="5"/>
  <c r="C55" i="5"/>
  <c r="F58" i="5"/>
  <c r="E77" i="5"/>
  <c r="H58" i="5"/>
  <c r="I101" i="5"/>
  <c r="K28" i="5"/>
  <c r="F132" i="5"/>
  <c r="E52" i="5"/>
  <c r="G92" i="5"/>
  <c r="K43" i="5"/>
  <c r="F50" i="5"/>
  <c r="J32" i="5"/>
  <c r="J77" i="5"/>
  <c r="J151" i="5"/>
  <c r="C95" i="5"/>
  <c r="K124" i="5"/>
  <c r="I54" i="5"/>
  <c r="J76" i="5"/>
  <c r="J79" i="5"/>
  <c r="E147" i="5"/>
  <c r="A108" i="5"/>
  <c r="G148" i="5"/>
  <c r="K136" i="5"/>
  <c r="D81" i="5"/>
  <c r="B100" i="5"/>
  <c r="A51" i="5"/>
  <c r="E107" i="5"/>
  <c r="C23" i="5"/>
  <c r="E49" i="5"/>
  <c r="H23" i="5"/>
  <c r="J37" i="5"/>
  <c r="J139" i="5"/>
  <c r="J91" i="5"/>
  <c r="D80" i="5"/>
  <c r="A112" i="5"/>
  <c r="D23" i="5"/>
  <c r="I129" i="5"/>
  <c r="F24" i="5"/>
  <c r="J59" i="5"/>
  <c r="J141" i="5"/>
  <c r="D32" i="5"/>
  <c r="D56" i="5"/>
  <c r="G46" i="5"/>
  <c r="J145" i="5"/>
  <c r="C29" i="5"/>
  <c r="K133" i="5"/>
  <c r="C76" i="5"/>
  <c r="I68" i="5"/>
  <c r="B129" i="5"/>
  <c r="F124" i="5"/>
  <c r="A149" i="5"/>
  <c r="G115" i="5"/>
  <c r="E31" i="5"/>
  <c r="J103" i="5"/>
  <c r="C61" i="5"/>
  <c r="F129" i="5"/>
  <c r="K75" i="5"/>
  <c r="I111" i="5"/>
  <c r="G88" i="5"/>
  <c r="D122" i="5"/>
  <c r="F48" i="5"/>
  <c r="F121" i="5"/>
  <c r="F114" i="5"/>
  <c r="D22" i="5"/>
  <c r="G132" i="5"/>
  <c r="I93" i="5"/>
  <c r="K23" i="5"/>
  <c r="G59" i="5"/>
  <c r="A58" i="5"/>
  <c r="C135" i="5"/>
  <c r="A114" i="5"/>
  <c r="I145" i="5"/>
  <c r="B58" i="5"/>
  <c r="I124" i="5"/>
  <c r="G151" i="5"/>
  <c r="G48" i="5"/>
  <c r="E139" i="5"/>
  <c r="B125" i="5"/>
  <c r="D127" i="5"/>
  <c r="D83" i="5"/>
  <c r="B106" i="5"/>
  <c r="H61" i="5"/>
  <c r="B132" i="5"/>
  <c r="H117" i="5"/>
  <c r="K131" i="5"/>
  <c r="H116" i="5"/>
  <c r="I133" i="5"/>
  <c r="G93" i="5"/>
  <c r="K52" i="5"/>
  <c r="C64" i="5"/>
  <c r="H103" i="5"/>
  <c r="C39" i="5"/>
  <c r="G35" i="5"/>
  <c r="K123" i="5"/>
  <c r="H109" i="5"/>
  <c r="G28" i="5"/>
  <c r="H41" i="5"/>
  <c r="I105" i="5"/>
  <c r="J102" i="5"/>
  <c r="B143" i="5"/>
  <c r="B73" i="5"/>
  <c r="B75" i="5"/>
  <c r="A39" i="5"/>
  <c r="J46" i="5"/>
  <c r="I46" i="5"/>
  <c r="H52" i="5"/>
  <c r="J52" i="5"/>
  <c r="B78" i="5"/>
  <c r="C45" i="5"/>
  <c r="K45" i="5"/>
  <c r="F36" i="5"/>
  <c r="I153" i="5"/>
  <c r="F61" i="5"/>
  <c r="C68" i="5"/>
  <c r="F46" i="5"/>
  <c r="F148" i="5"/>
  <c r="K55" i="5"/>
  <c r="D28" i="5"/>
  <c r="H66" i="5"/>
  <c r="E39" i="5"/>
  <c r="I128" i="5"/>
  <c r="H89" i="5"/>
  <c r="J26" i="5"/>
  <c r="C117" i="5"/>
  <c r="H138" i="5"/>
  <c r="D95" i="5"/>
  <c r="D98" i="5"/>
  <c r="I61" i="5"/>
  <c r="H26" i="5"/>
  <c r="D27" i="5"/>
  <c r="C47" i="5"/>
  <c r="C142" i="5"/>
  <c r="I136" i="5"/>
  <c r="B150" i="5"/>
  <c r="K40" i="5"/>
  <c r="B42" i="5"/>
  <c r="E22" i="5"/>
  <c r="A35" i="5"/>
  <c r="B108" i="5"/>
  <c r="D125" i="5"/>
  <c r="J58" i="5"/>
  <c r="B128" i="5"/>
  <c r="E124" i="5"/>
  <c r="F34" i="5"/>
  <c r="I49" i="5"/>
  <c r="C154" i="5"/>
  <c r="H151" i="5"/>
  <c r="D63" i="5"/>
  <c r="H37" i="5"/>
  <c r="H64" i="5"/>
  <c r="I139" i="5"/>
  <c r="F118" i="5"/>
  <c r="G31" i="5"/>
  <c r="J49" i="5"/>
  <c r="D134" i="5"/>
  <c r="F82" i="5"/>
  <c r="J29" i="5"/>
  <c r="H46" i="5"/>
  <c r="I109" i="5"/>
  <c r="D115" i="5"/>
  <c r="F25" i="5"/>
  <c r="A86" i="5"/>
  <c r="K38" i="5"/>
  <c r="H80" i="5"/>
  <c r="H115" i="5"/>
  <c r="C137" i="5"/>
  <c r="I99" i="5"/>
  <c r="C33" i="5"/>
  <c r="F152" i="5"/>
  <c r="A151" i="5"/>
  <c r="H84" i="5"/>
  <c r="A94" i="5"/>
  <c r="C84" i="5"/>
  <c r="C109" i="5"/>
  <c r="B41" i="5"/>
  <c r="B76" i="5"/>
  <c r="B63" i="5"/>
  <c r="I148" i="5"/>
  <c r="D88" i="5"/>
  <c r="E71" i="5"/>
  <c r="E28" i="5"/>
  <c r="F81" i="5"/>
  <c r="G26" i="5"/>
  <c r="C43" i="5"/>
  <c r="D149" i="5"/>
  <c r="I110" i="5"/>
  <c r="J99" i="5"/>
  <c r="D139" i="5"/>
  <c r="A34" i="5"/>
  <c r="F47" i="5"/>
  <c r="G65" i="5"/>
  <c r="E106" i="5"/>
  <c r="G72" i="5"/>
  <c r="G127" i="5"/>
  <c r="C132" i="5"/>
  <c r="F65" i="5"/>
  <c r="J67" i="5"/>
  <c r="A27" i="5"/>
  <c r="D153" i="5"/>
  <c r="A46" i="5"/>
  <c r="I134" i="5"/>
  <c r="D128" i="5"/>
  <c r="B65" i="5"/>
  <c r="G67" i="5"/>
  <c r="J56" i="5"/>
  <c r="E66" i="5"/>
  <c r="D94" i="5"/>
  <c r="K100" i="5"/>
  <c r="I121" i="5"/>
  <c r="B88" i="5"/>
  <c r="E116" i="5"/>
  <c r="B141" i="5"/>
  <c r="D66" i="5"/>
  <c r="J122" i="5"/>
  <c r="K22" i="5"/>
  <c r="H146" i="5"/>
  <c r="H154" i="5"/>
  <c r="I52" i="5"/>
  <c r="I119" i="5"/>
  <c r="A40" i="5"/>
  <c r="A99" i="5"/>
  <c r="E79" i="5"/>
  <c r="K154" i="5"/>
  <c r="E98" i="5"/>
  <c r="E45" i="5"/>
  <c r="I154" i="5"/>
  <c r="C66" i="5"/>
  <c r="K65" i="5"/>
  <c r="E120" i="5"/>
  <c r="A28" i="5"/>
  <c r="A128" i="5"/>
  <c r="I80" i="5"/>
  <c r="K109" i="5"/>
  <c r="J34" i="5"/>
  <c r="J42" i="5"/>
  <c r="E25" i="5"/>
  <c r="G128" i="5"/>
  <c r="G107" i="5"/>
  <c r="C75" i="5"/>
  <c r="D60" i="5"/>
  <c r="G137" i="5"/>
  <c r="K152" i="5"/>
  <c r="H102" i="5"/>
  <c r="G109" i="5"/>
  <c r="C58" i="5"/>
  <c r="F60" i="5"/>
  <c r="F96" i="5"/>
  <c r="I67" i="5"/>
  <c r="A85" i="5"/>
  <c r="F76" i="5"/>
  <c r="G78" i="5"/>
  <c r="D57" i="5"/>
  <c r="H139" i="5"/>
  <c r="F107" i="5"/>
  <c r="D121" i="5"/>
  <c r="D89" i="5"/>
  <c r="K96" i="5"/>
  <c r="A88" i="5"/>
  <c r="G47" i="5"/>
  <c r="G22" i="5"/>
  <c r="B49" i="5"/>
  <c r="I98" i="5"/>
  <c r="G126" i="5"/>
  <c r="J130" i="5"/>
  <c r="D144" i="5"/>
  <c r="K78" i="5"/>
  <c r="D76" i="5"/>
  <c r="D101" i="5"/>
  <c r="K115" i="5"/>
  <c r="F59" i="5"/>
  <c r="F80" i="5"/>
  <c r="J95" i="5"/>
  <c r="D70" i="5"/>
  <c r="J149" i="5"/>
  <c r="H44" i="5"/>
  <c r="J116" i="5"/>
  <c r="J147" i="5"/>
  <c r="C96" i="5"/>
  <c r="G131" i="5"/>
  <c r="A140" i="5"/>
  <c r="C131" i="5"/>
  <c r="F63" i="5"/>
  <c r="J69" i="5"/>
  <c r="J113" i="5"/>
  <c r="E140" i="5"/>
  <c r="B119" i="5"/>
  <c r="H72" i="5"/>
  <c r="G73" i="5"/>
  <c r="C102" i="5"/>
  <c r="E105" i="5"/>
  <c r="K64" i="5"/>
  <c r="K66" i="5"/>
  <c r="D136" i="5"/>
  <c r="D147" i="5"/>
  <c r="F64" i="5"/>
  <c r="C139" i="5"/>
  <c r="H122" i="5"/>
  <c r="H79" i="5"/>
  <c r="B85" i="5"/>
  <c r="K121" i="5"/>
  <c r="I30" i="5"/>
  <c r="G122" i="5"/>
  <c r="B79" i="5"/>
  <c r="H38" i="5"/>
  <c r="G57" i="5"/>
  <c r="G32" i="5"/>
  <c r="K26" i="5"/>
  <c r="D75" i="5"/>
  <c r="D55" i="5"/>
  <c r="E115" i="5"/>
  <c r="H128" i="5"/>
  <c r="F149" i="5"/>
  <c r="I83" i="5"/>
  <c r="G86" i="5"/>
  <c r="C106" i="5"/>
  <c r="K46" i="5"/>
  <c r="C42" i="5"/>
  <c r="E82" i="5"/>
  <c r="F62" i="5"/>
  <c r="D108" i="5"/>
  <c r="K41" i="5"/>
  <c r="F141" i="5"/>
  <c r="G66" i="5"/>
  <c r="C30" i="5"/>
  <c r="C90" i="5"/>
  <c r="E132" i="5"/>
  <c r="K147" i="5"/>
  <c r="H152" i="5"/>
  <c r="K128" i="5"/>
  <c r="F102" i="5"/>
  <c r="H119" i="5"/>
  <c r="K142" i="5"/>
  <c r="E96" i="5"/>
  <c r="E110" i="5"/>
  <c r="F53" i="5"/>
  <c r="B118" i="5"/>
  <c r="E102" i="5"/>
  <c r="I123" i="5"/>
  <c r="E149" i="5"/>
  <c r="A70" i="5"/>
  <c r="B39" i="5"/>
  <c r="D137" i="5"/>
  <c r="J64" i="5"/>
  <c r="J132" i="5"/>
  <c r="D118" i="5"/>
  <c r="B148" i="5"/>
  <c r="F68" i="5"/>
  <c r="D35" i="5"/>
  <c r="B31" i="5"/>
  <c r="J53" i="5"/>
  <c r="F105" i="5"/>
  <c r="B149" i="5"/>
  <c r="F108" i="5"/>
  <c r="G85" i="5"/>
  <c r="H126" i="5"/>
  <c r="H35" i="5"/>
  <c r="K54" i="5"/>
  <c r="B32" i="5"/>
  <c r="D142" i="5"/>
  <c r="G106" i="5"/>
  <c r="E44" i="5"/>
  <c r="I120" i="5"/>
  <c r="A123" i="5"/>
  <c r="A120" i="5"/>
  <c r="H50" i="5"/>
  <c r="C28" i="5"/>
  <c r="I37" i="5"/>
  <c r="C110" i="5"/>
  <c r="C83" i="5" l="1"/>
  <c r="K122" i="5"/>
  <c r="B71" i="5"/>
  <c r="A87" i="5"/>
  <c r="D141" i="5"/>
  <c r="B48" i="5"/>
  <c r="I132" i="5"/>
  <c r="A121" i="5"/>
  <c r="A127" i="5"/>
  <c r="G118" i="5"/>
  <c r="C46" i="5"/>
  <c r="K69" i="5"/>
  <c r="A98" i="5"/>
  <c r="F90" i="5"/>
  <c r="J70" i="5"/>
  <c r="K82" i="5"/>
  <c r="H100" i="5"/>
  <c r="A110" i="5"/>
  <c r="G114" i="5"/>
  <c r="G87" i="5"/>
  <c r="F51" i="5"/>
  <c r="K112" i="5"/>
  <c r="F94" i="5"/>
  <c r="H135" i="5"/>
  <c r="H42" i="5"/>
  <c r="I82" i="5"/>
  <c r="A68" i="5"/>
  <c r="E118" i="5"/>
  <c r="I87" i="5"/>
  <c r="G80" i="5"/>
  <c r="C73" i="5"/>
  <c r="H97" i="5"/>
  <c r="I48" i="5"/>
  <c r="H81" i="5"/>
  <c r="G68" i="5"/>
  <c r="G76" i="5"/>
  <c r="K58" i="5"/>
  <c r="I59" i="5"/>
  <c r="J50" i="5"/>
  <c r="I108" i="5"/>
  <c r="G147" i="5"/>
  <c r="G120" i="5"/>
  <c r="B33" i="5"/>
  <c r="E103" i="5"/>
  <c r="F43" i="5"/>
  <c r="J87" i="5"/>
  <c r="C152" i="5"/>
  <c r="I126" i="5"/>
  <c r="E27" i="5"/>
  <c r="J28" i="5"/>
  <c r="J71" i="5"/>
  <c r="G49" i="5"/>
  <c r="D61" i="5"/>
  <c r="E81" i="5"/>
  <c r="I26" i="5"/>
  <c r="H145" i="5"/>
  <c r="D64" i="5"/>
  <c r="E72" i="5"/>
  <c r="C72" i="5"/>
  <c r="K86" i="5"/>
  <c r="I112" i="5"/>
  <c r="J144" i="5"/>
  <c r="D135" i="5"/>
  <c r="I100" i="5"/>
  <c r="G69" i="5"/>
  <c r="J44" i="5"/>
  <c r="I50" i="5"/>
  <c r="H98" i="5"/>
  <c r="D100" i="5"/>
  <c r="C108" i="5"/>
  <c r="B53" i="5"/>
  <c r="C149" i="5"/>
  <c r="E62" i="5"/>
  <c r="K140" i="5"/>
  <c r="H54" i="5"/>
  <c r="F89" i="5"/>
  <c r="F134" i="5"/>
  <c r="C60" i="5"/>
  <c r="H62" i="5"/>
  <c r="G40" i="5"/>
  <c r="G82" i="5"/>
  <c r="A130" i="5"/>
  <c r="E69" i="5"/>
  <c r="C121" i="5"/>
  <c r="C100" i="5"/>
  <c r="I65" i="5"/>
  <c r="B151" i="5"/>
  <c r="D114" i="5"/>
  <c r="E84" i="5"/>
  <c r="B102" i="5"/>
  <c r="D45" i="5"/>
  <c r="B46" i="5"/>
  <c r="A97" i="5"/>
  <c r="E29" i="5"/>
  <c r="J73" i="5"/>
  <c r="E129" i="5"/>
  <c r="A147" i="5"/>
  <c r="I135" i="5"/>
  <c r="E114" i="5"/>
  <c r="K63" i="5"/>
  <c r="B81" i="5"/>
  <c r="I58" i="5"/>
  <c r="A62" i="5"/>
  <c r="G145" i="5"/>
  <c r="G129" i="5"/>
  <c r="A83" i="5"/>
  <c r="E85" i="5"/>
  <c r="K143" i="5"/>
  <c r="J134" i="5"/>
  <c r="K94" i="5"/>
  <c r="H18" i="5"/>
  <c r="D25" i="5"/>
  <c r="K113" i="5"/>
  <c r="F140" i="5"/>
  <c r="B21" i="5"/>
  <c r="D21" i="5"/>
  <c r="H25" i="5"/>
  <c r="B23" i="5"/>
  <c r="J22" i="5"/>
  <c r="H104" i="5"/>
  <c r="D48" i="5"/>
  <c r="G139" i="5"/>
  <c r="J45" i="5"/>
  <c r="B138" i="5"/>
  <c r="B50" i="5"/>
  <c r="B94" i="5"/>
  <c r="C151" i="5"/>
  <c r="J85" i="5"/>
  <c r="E23" i="5"/>
  <c r="G95" i="5"/>
  <c r="F145" i="5"/>
  <c r="F56" i="5"/>
  <c r="F120" i="5"/>
  <c r="J128" i="5"/>
  <c r="E134" i="5"/>
  <c r="H121" i="5"/>
  <c r="G125" i="5"/>
  <c r="C145" i="5"/>
  <c r="I27" i="5"/>
  <c r="E78" i="5"/>
  <c r="J63" i="5"/>
  <c r="D105" i="5"/>
  <c r="F133" i="5"/>
  <c r="D53" i="5"/>
  <c r="I78" i="5"/>
  <c r="B84" i="5"/>
  <c r="C140" i="5"/>
  <c r="A32" i="5"/>
  <c r="E70" i="5"/>
  <c r="A109" i="5"/>
  <c r="E83" i="5"/>
  <c r="G58" i="5"/>
  <c r="E101" i="5"/>
  <c r="C104" i="5"/>
  <c r="C103" i="5"/>
  <c r="G116" i="5"/>
  <c r="E137" i="5"/>
  <c r="K50" i="5"/>
  <c r="J114" i="5"/>
  <c r="J93" i="5"/>
  <c r="D52" i="5"/>
  <c r="K80" i="5"/>
  <c r="C129" i="5"/>
  <c r="B80" i="5"/>
  <c r="J81" i="5"/>
  <c r="D86" i="5"/>
  <c r="J137" i="5"/>
  <c r="F113" i="5"/>
  <c r="J72" i="5"/>
  <c r="H99" i="5"/>
  <c r="H48" i="5"/>
  <c r="I95" i="5"/>
  <c r="I69" i="5"/>
  <c r="H74" i="5"/>
  <c r="B96" i="5"/>
  <c r="F150" i="5"/>
  <c r="I70" i="5"/>
  <c r="B68" i="5"/>
  <c r="J94" i="5"/>
  <c r="A111" i="5"/>
  <c r="K30" i="5"/>
  <c r="H27" i="5"/>
  <c r="I141" i="5"/>
  <c r="A150" i="5"/>
  <c r="G63" i="5"/>
  <c r="K42" i="5"/>
  <c r="B115" i="5"/>
  <c r="J131" i="5"/>
  <c r="A80" i="5"/>
  <c r="H123" i="5"/>
  <c r="C94" i="5"/>
  <c r="D82" i="5"/>
  <c r="I47" i="5"/>
  <c r="D133" i="5"/>
  <c r="E122" i="5"/>
  <c r="K149" i="5"/>
  <c r="K125" i="5"/>
  <c r="C127" i="5"/>
  <c r="J54" i="5"/>
  <c r="K60" i="5"/>
  <c r="C86" i="5"/>
  <c r="B111" i="5"/>
  <c r="D117" i="5"/>
  <c r="D99" i="5"/>
  <c r="H82" i="5"/>
  <c r="K114" i="5"/>
  <c r="B92" i="5"/>
  <c r="I33" i="5"/>
  <c r="H136" i="5"/>
  <c r="K87" i="5"/>
  <c r="E146" i="5"/>
  <c r="B133" i="5"/>
  <c r="K27" i="5"/>
  <c r="G50" i="5"/>
  <c r="F126" i="5"/>
  <c r="B86" i="5"/>
  <c r="A106" i="5"/>
  <c r="F109" i="5"/>
  <c r="H28" i="5"/>
  <c r="C57" i="5"/>
  <c r="B153" i="5"/>
  <c r="A118" i="5"/>
  <c r="I29" i="5"/>
  <c r="G61" i="5"/>
  <c r="F110" i="5"/>
  <c r="A146" i="5"/>
  <c r="C92" i="5"/>
  <c r="K36" i="5"/>
  <c r="E117" i="5"/>
  <c r="H77" i="5"/>
  <c r="B124" i="5"/>
  <c r="J110" i="5"/>
  <c r="G75" i="5"/>
  <c r="A93" i="5"/>
  <c r="F128" i="5"/>
  <c r="G101" i="5"/>
  <c r="E94" i="5"/>
  <c r="C128" i="5"/>
  <c r="J27" i="5"/>
  <c r="F86" i="5"/>
  <c r="B34" i="5"/>
  <c r="J142" i="5"/>
  <c r="F38" i="5"/>
  <c r="K139" i="5"/>
  <c r="B116" i="5"/>
  <c r="A101" i="5"/>
  <c r="F139" i="5"/>
  <c r="F147" i="5"/>
  <c r="A53" i="5"/>
  <c r="E75" i="5"/>
  <c r="A76" i="5"/>
  <c r="J31" i="5"/>
  <c r="D92" i="5"/>
  <c r="B27" i="5"/>
  <c r="C25" i="5"/>
  <c r="C85" i="5"/>
  <c r="F27" i="5"/>
  <c r="A45" i="5"/>
  <c r="K73" i="5"/>
  <c r="B62" i="5"/>
  <c r="G24" i="5"/>
  <c r="K150" i="5"/>
  <c r="F30" i="5"/>
  <c r="J55" i="5"/>
  <c r="I77" i="5"/>
  <c r="F83" i="5"/>
  <c r="I114" i="5"/>
  <c r="A154" i="5"/>
  <c r="H65" i="5"/>
  <c r="B147" i="5"/>
  <c r="H147" i="5"/>
  <c r="J154" i="5"/>
  <c r="F78" i="5"/>
  <c r="I72" i="5"/>
  <c r="I97" i="5"/>
  <c r="F97" i="5"/>
  <c r="A84" i="5"/>
  <c r="A126" i="5"/>
  <c r="G91" i="5"/>
  <c r="J118" i="5"/>
  <c r="A82" i="5"/>
  <c r="K132" i="5"/>
  <c r="H88" i="5"/>
  <c r="H108" i="5"/>
  <c r="J68" i="5"/>
  <c r="C120" i="5"/>
  <c r="E47" i="5"/>
  <c r="C32" i="5"/>
  <c r="K134" i="5"/>
  <c r="D43" i="5"/>
  <c r="J117" i="5"/>
  <c r="G97" i="5"/>
  <c r="I43" i="5"/>
  <c r="C125" i="5"/>
  <c r="I92" i="5"/>
  <c r="E154" i="5"/>
  <c r="E50" i="5"/>
  <c r="A100" i="5"/>
  <c r="K148" i="5"/>
  <c r="F49" i="5"/>
  <c r="B54" i="5"/>
  <c r="H137" i="5"/>
  <c r="I127" i="5"/>
  <c r="K104" i="5"/>
  <c r="J41" i="5"/>
  <c r="B57" i="5"/>
  <c r="C124" i="5"/>
  <c r="I152" i="5"/>
  <c r="B140" i="5"/>
  <c r="G33" i="5"/>
  <c r="F122" i="5"/>
  <c r="F70" i="5"/>
  <c r="I55" i="5"/>
  <c r="D54" i="5"/>
  <c r="F72" i="5"/>
  <c r="J148" i="5"/>
  <c r="J126" i="5"/>
  <c r="F137" i="5"/>
  <c r="A119" i="5"/>
  <c r="K34" i="5"/>
  <c r="D47" i="5"/>
  <c r="H47" i="5"/>
  <c r="B26" i="5"/>
  <c r="H57" i="5"/>
  <c r="E63" i="5"/>
  <c r="E144" i="5"/>
  <c r="C63" i="5"/>
  <c r="H131" i="5"/>
  <c r="C105" i="5"/>
  <c r="G105" i="5"/>
  <c r="K144" i="5"/>
  <c r="F106" i="5"/>
  <c r="D39" i="5"/>
  <c r="F116" i="5"/>
  <c r="B43" i="5"/>
  <c r="C130" i="5"/>
  <c r="G152" i="5"/>
  <c r="H132" i="5"/>
  <c r="E73" i="5"/>
  <c r="A52" i="5"/>
  <c r="G83" i="5"/>
  <c r="C74" i="5"/>
  <c r="G94" i="5"/>
  <c r="C26" i="5"/>
  <c r="K93" i="5"/>
  <c r="I56" i="5"/>
  <c r="K106" i="5"/>
  <c r="H83" i="5"/>
  <c r="B107" i="5"/>
  <c r="J35" i="5"/>
  <c r="H105" i="5"/>
  <c r="H49" i="5"/>
  <c r="I106" i="5"/>
  <c r="G142" i="5"/>
  <c r="K84" i="5"/>
  <c r="F31" i="5"/>
  <c r="I91" i="5"/>
  <c r="B131" i="5"/>
  <c r="K90" i="5"/>
  <c r="B114" i="5"/>
  <c r="J112" i="5"/>
  <c r="I42" i="5"/>
  <c r="E153" i="5"/>
  <c r="B142" i="5"/>
  <c r="D123" i="5"/>
  <c r="K111" i="5"/>
  <c r="E145" i="5"/>
  <c r="J40" i="5"/>
  <c r="I84" i="5"/>
  <c r="J89" i="5"/>
  <c r="D46" i="5"/>
  <c r="B134" i="5"/>
  <c r="D37" i="5"/>
  <c r="G99" i="5"/>
  <c r="E26" i="5"/>
  <c r="I117" i="5"/>
  <c r="B83" i="5"/>
  <c r="H111" i="5"/>
  <c r="G119" i="5"/>
  <c r="J105" i="5"/>
  <c r="H30" i="5"/>
  <c r="J138" i="5"/>
  <c r="A54" i="5"/>
  <c r="A81" i="5"/>
  <c r="K76" i="5"/>
  <c r="B105" i="5"/>
  <c r="A67" i="5"/>
  <c r="F54" i="5"/>
  <c r="I131" i="5"/>
  <c r="C82" i="5"/>
  <c r="G84" i="5"/>
  <c r="D112" i="5"/>
  <c r="D148" i="5"/>
  <c r="B146" i="5"/>
  <c r="D62" i="5"/>
  <c r="H141" i="5"/>
  <c r="G53" i="5"/>
  <c r="B127" i="5"/>
  <c r="G154" i="5"/>
  <c r="G64" i="5"/>
  <c r="K151" i="5"/>
  <c r="C107" i="5"/>
  <c r="E54" i="5"/>
  <c r="I146" i="5"/>
  <c r="E100" i="5"/>
  <c r="B52" i="5"/>
  <c r="E142" i="5"/>
  <c r="G36" i="5"/>
  <c r="J140" i="5"/>
  <c r="K103" i="5"/>
  <c r="J143" i="5"/>
  <c r="I116" i="5"/>
  <c r="F151" i="5"/>
  <c r="C80" i="5"/>
  <c r="K126" i="5"/>
  <c r="I122" i="5"/>
  <c r="D50" i="5"/>
  <c r="J119" i="5"/>
  <c r="B82" i="5"/>
  <c r="E64" i="5"/>
  <c r="D116" i="5"/>
  <c r="H90" i="5"/>
  <c r="J86" i="5"/>
  <c r="I113" i="5"/>
  <c r="B154" i="5"/>
  <c r="C48" i="5"/>
  <c r="A78" i="5"/>
  <c r="J83" i="5"/>
  <c r="I60" i="5"/>
  <c r="G60" i="5"/>
  <c r="F55" i="5"/>
  <c r="I143" i="5"/>
  <c r="A26" i="5"/>
  <c r="H127" i="5"/>
  <c r="D103" i="5"/>
  <c r="E95" i="5"/>
  <c r="F23" i="5"/>
  <c r="I39" i="5"/>
  <c r="G121" i="5"/>
  <c r="I142" i="5"/>
  <c r="H106" i="5"/>
  <c r="J129" i="5"/>
  <c r="D146" i="5"/>
  <c r="F69" i="5"/>
  <c r="K24" i="5"/>
  <c r="H69" i="5"/>
  <c r="J60" i="5"/>
  <c r="I45" i="5"/>
  <c r="J153" i="5"/>
  <c r="K29" i="5"/>
  <c r="A148" i="5"/>
  <c r="H73" i="5"/>
  <c r="F84" i="5"/>
  <c r="F67" i="5"/>
  <c r="I31" i="5"/>
  <c r="G124" i="5"/>
  <c r="A33" i="5"/>
  <c r="H85" i="5"/>
  <c r="D36" i="5"/>
  <c r="J51" i="5"/>
  <c r="B122" i="5"/>
  <c r="F85" i="5"/>
  <c r="C56" i="5"/>
  <c r="D154" i="5"/>
  <c r="J57" i="5"/>
  <c r="K107" i="5"/>
  <c r="D79" i="5"/>
  <c r="J48" i="5"/>
  <c r="D67" i="5"/>
  <c r="H101" i="5"/>
  <c r="B103" i="5"/>
  <c r="B30" i="5"/>
  <c r="K49" i="5"/>
  <c r="J33" i="5"/>
  <c r="K130" i="5"/>
  <c r="E90" i="5"/>
  <c r="F143" i="5"/>
  <c r="I66" i="5"/>
  <c r="E136" i="5"/>
  <c r="F119" i="5"/>
  <c r="F33" i="5"/>
  <c r="C69" i="5"/>
  <c r="A59" i="5"/>
  <c r="D102" i="5"/>
  <c r="J104" i="5"/>
  <c r="F44" i="5"/>
  <c r="F52" i="5"/>
  <c r="B40" i="5"/>
  <c r="E59" i="5"/>
  <c r="K120" i="5"/>
  <c r="E97" i="5"/>
  <c r="H59" i="5"/>
  <c r="B117" i="5"/>
  <c r="B69" i="5"/>
  <c r="C36" i="5"/>
  <c r="E89" i="5"/>
  <c r="E67" i="5"/>
  <c r="I144" i="5"/>
  <c r="C118" i="5"/>
  <c r="G149" i="5"/>
  <c r="B28" i="5"/>
  <c r="H113" i="5"/>
  <c r="G146" i="5"/>
  <c r="K88" i="5"/>
  <c r="E138" i="5"/>
  <c r="J125" i="5"/>
  <c r="B64" i="5"/>
  <c r="J115" i="5"/>
  <c r="F35" i="5"/>
  <c r="F117" i="5"/>
  <c r="I41" i="5"/>
  <c r="K47" i="5"/>
  <c r="A129" i="5"/>
  <c r="J109" i="5"/>
  <c r="J38" i="5"/>
  <c r="I151" i="5"/>
  <c r="G103" i="5"/>
  <c r="F138" i="5"/>
  <c r="G117" i="5"/>
  <c r="E121" i="5"/>
  <c r="C91" i="5"/>
  <c r="E119" i="5"/>
  <c r="B109" i="5"/>
  <c r="H71" i="5"/>
  <c r="D104" i="5"/>
  <c r="E152" i="5"/>
  <c r="I103" i="5"/>
  <c r="D151" i="5"/>
  <c r="A61" i="5"/>
  <c r="K79" i="5"/>
  <c r="G51" i="5"/>
  <c r="J82" i="5"/>
  <c r="E46" i="5"/>
  <c r="G42" i="5"/>
  <c r="K72" i="5"/>
  <c r="A65" i="5"/>
  <c r="D93" i="5"/>
  <c r="I63" i="5"/>
  <c r="E61" i="5"/>
  <c r="I76" i="5"/>
  <c r="I24" i="5"/>
  <c r="A138" i="5"/>
  <c r="H45" i="5"/>
  <c r="G43" i="5"/>
  <c r="I147" i="5"/>
  <c r="C79" i="5"/>
  <c r="F57" i="5"/>
  <c r="I38" i="5"/>
  <c r="I71" i="5"/>
  <c r="D24" i="5"/>
  <c r="K85" i="5"/>
  <c r="H29" i="5"/>
  <c r="G98" i="5"/>
  <c r="F99" i="5"/>
  <c r="B101" i="5"/>
  <c r="H55" i="5"/>
  <c r="B110" i="5"/>
  <c r="H93" i="5"/>
  <c r="F32" i="5"/>
  <c r="A77" i="5"/>
  <c r="C31" i="5"/>
  <c r="D78" i="5"/>
  <c r="C122" i="5"/>
  <c r="E131" i="5"/>
  <c r="I40" i="5"/>
  <c r="J152" i="5"/>
  <c r="E40" i="5"/>
  <c r="B70" i="5"/>
  <c r="A49" i="5"/>
  <c r="J65" i="5"/>
  <c r="D124" i="5"/>
  <c r="F28" i="5"/>
  <c r="E127" i="5"/>
  <c r="I53" i="5"/>
  <c r="F87" i="5"/>
  <c r="K33" i="5"/>
  <c r="J107" i="5"/>
  <c r="H94" i="5"/>
  <c r="E55" i="5"/>
  <c r="K37" i="5"/>
  <c r="F93" i="5"/>
  <c r="F123" i="5"/>
  <c r="E135" i="5"/>
  <c r="B51" i="5"/>
  <c r="G112" i="5"/>
  <c r="D109" i="5"/>
  <c r="C70" i="5"/>
  <c r="F79" i="5"/>
  <c r="D58" i="5"/>
  <c r="C40" i="5"/>
  <c r="H110" i="5"/>
  <c r="A136" i="5"/>
  <c r="D77" i="5"/>
  <c r="H107" i="5"/>
  <c r="F136" i="5"/>
  <c r="D74" i="5"/>
  <c r="F40" i="5"/>
  <c r="G150" i="5"/>
  <c r="D44" i="5"/>
  <c r="F71" i="5"/>
  <c r="F26" i="5"/>
  <c r="K59" i="5"/>
  <c r="H78" i="5"/>
  <c r="C119" i="5"/>
  <c r="I81" i="5"/>
  <c r="D87" i="5"/>
  <c r="G136" i="5"/>
  <c r="B136" i="5"/>
  <c r="K116" i="5"/>
  <c r="H32" i="5"/>
  <c r="A55" i="5"/>
  <c r="C89" i="5"/>
  <c r="A60" i="5"/>
  <c r="A124" i="5"/>
  <c r="G144" i="5"/>
  <c r="F88" i="5"/>
  <c r="H51" i="5"/>
  <c r="D90" i="5"/>
  <c r="K89" i="5"/>
  <c r="K118" i="5"/>
  <c r="B139" i="5"/>
  <c r="E87" i="5"/>
  <c r="B93" i="5"/>
  <c r="I150" i="5"/>
  <c r="A66" i="5"/>
  <c r="K48" i="5"/>
  <c r="G81" i="5"/>
  <c r="H91" i="5"/>
  <c r="B45" i="5"/>
  <c r="E57" i="5"/>
  <c r="A91" i="5"/>
  <c r="C148" i="5"/>
  <c r="B97" i="5"/>
  <c r="E43" i="5"/>
  <c r="F98" i="5"/>
  <c r="I51" i="5"/>
  <c r="J127" i="5"/>
  <c r="J98" i="5"/>
  <c r="A30" i="5"/>
  <c r="B99" i="5"/>
  <c r="G44" i="5"/>
  <c r="C59" i="5"/>
  <c r="J30" i="5"/>
  <c r="G133" i="5"/>
  <c r="B60" i="5"/>
  <c r="A57" i="5"/>
  <c r="H76" i="5"/>
  <c r="E60" i="5"/>
  <c r="J121" i="5"/>
  <c r="D38" i="5"/>
  <c r="B59" i="5"/>
  <c r="D113" i="5"/>
  <c r="K62" i="5"/>
  <c r="C52" i="5"/>
  <c r="J150" i="5"/>
  <c r="A153" i="5"/>
  <c r="B89" i="5"/>
  <c r="C49" i="5"/>
  <c r="C54" i="5"/>
  <c r="I44" i="5"/>
  <c r="A73" i="5"/>
  <c r="J61" i="5"/>
  <c r="F100" i="5"/>
  <c r="E35" i="5"/>
  <c r="E112" i="5"/>
  <c r="B29" i="5"/>
  <c r="G79" i="5"/>
  <c r="B36" i="5"/>
  <c r="C138" i="5"/>
  <c r="J90" i="5"/>
  <c r="D51" i="5"/>
  <c r="D26" i="5"/>
  <c r="J78" i="5"/>
  <c r="D72" i="5"/>
  <c r="A96" i="5"/>
  <c r="A103" i="5"/>
  <c r="C126" i="5"/>
  <c r="E92" i="5"/>
  <c r="G54" i="5"/>
  <c r="B113" i="5"/>
  <c r="J25" i="5"/>
  <c r="K98" i="5"/>
  <c r="B47" i="5"/>
  <c r="F75" i="5"/>
  <c r="D111" i="5"/>
  <c r="E30" i="5"/>
  <c r="A42" i="5"/>
  <c r="D31" i="5"/>
  <c r="A125" i="5"/>
  <c r="K56" i="5"/>
  <c r="A29" i="5"/>
  <c r="H40" i="5"/>
  <c r="F153" i="5"/>
  <c r="E143" i="5"/>
  <c r="G113" i="5"/>
  <c r="H114" i="5"/>
  <c r="C116" i="5"/>
  <c r="E51" i="5"/>
  <c r="K57" i="5"/>
  <c r="J124" i="5"/>
  <c r="D29" i="5"/>
  <c r="F66" i="5"/>
  <c r="H95" i="5"/>
  <c r="F41" i="5"/>
  <c r="H149" i="5"/>
  <c r="J36" i="5"/>
  <c r="E113" i="5"/>
  <c r="D69" i="5"/>
  <c r="B120" i="5"/>
  <c r="B152" i="5"/>
  <c r="H87" i="5"/>
  <c r="C34" i="5"/>
  <c r="A107" i="5"/>
  <c r="H36" i="5"/>
  <c r="C77" i="5"/>
  <c r="B72" i="5"/>
  <c r="J92" i="5"/>
  <c r="C87" i="5"/>
  <c r="B25" i="5"/>
  <c r="F144" i="5"/>
  <c r="I74" i="5"/>
  <c r="I115" i="5"/>
  <c r="J80" i="5"/>
  <c r="E76" i="5"/>
  <c r="D126" i="5"/>
  <c r="H34" i="5"/>
  <c r="B55" i="5"/>
  <c r="A113" i="5"/>
  <c r="B91" i="5"/>
  <c r="K67" i="5"/>
  <c r="A89" i="5"/>
  <c r="F142" i="5"/>
  <c r="B90" i="5"/>
  <c r="A31" i="5"/>
  <c r="A137" i="5"/>
  <c r="C133" i="5"/>
  <c r="D152" i="5"/>
  <c r="D30" i="5"/>
  <c r="C51" i="5"/>
  <c r="G55" i="5"/>
  <c r="H53" i="5"/>
  <c r="H92" i="5"/>
  <c r="C123" i="5"/>
  <c r="F95" i="5"/>
  <c r="E93" i="5"/>
  <c r="D150" i="5"/>
  <c r="H150" i="5"/>
  <c r="G104" i="5"/>
  <c r="C146" i="5"/>
  <c r="F127" i="5"/>
  <c r="A43" i="5"/>
  <c r="D119" i="5"/>
  <c r="F131" i="5"/>
  <c r="E133" i="5"/>
  <c r="B123" i="5"/>
  <c r="K68" i="5"/>
  <c r="A133" i="5"/>
  <c r="A142" i="5"/>
  <c r="I118" i="5"/>
  <c r="B77" i="5"/>
  <c r="D107" i="5"/>
  <c r="G38" i="5"/>
  <c r="H75" i="5"/>
  <c r="H120" i="5"/>
  <c r="D68" i="5"/>
  <c r="D59" i="5"/>
  <c r="K25" i="5"/>
  <c r="H33" i="5"/>
  <c r="E86" i="5"/>
  <c r="C115" i="5"/>
  <c r="K105" i="5"/>
  <c r="A102" i="5"/>
  <c r="E111" i="5"/>
  <c r="B130" i="5"/>
  <c r="K117" i="5"/>
  <c r="G143" i="5"/>
  <c r="D65" i="5"/>
  <c r="F135" i="5"/>
  <c r="A135" i="5"/>
  <c r="E123" i="5"/>
  <c r="D145" i="5"/>
  <c r="I102" i="5"/>
  <c r="A139" i="5"/>
  <c r="G138" i="5"/>
  <c r="A95" i="5"/>
  <c r="A72" i="5"/>
  <c r="H130" i="5"/>
  <c r="I36" i="5"/>
  <c r="C134" i="5"/>
  <c r="K119" i="5"/>
  <c r="D42" i="5"/>
  <c r="D110" i="5"/>
  <c r="I125" i="5"/>
  <c r="I64" i="5"/>
  <c r="K138" i="5"/>
  <c r="K129" i="5"/>
  <c r="D84" i="5"/>
  <c r="E56" i="5"/>
  <c r="C38" i="5"/>
  <c r="C88" i="5"/>
  <c r="K127" i="5"/>
  <c r="B126" i="5"/>
  <c r="F73" i="5"/>
  <c r="A104" i="5"/>
  <c r="A56" i="5"/>
  <c r="B56" i="5"/>
  <c r="C147" i="5"/>
  <c r="H134" i="5"/>
  <c r="B35" i="5"/>
  <c r="G30" i="5"/>
  <c r="I85" i="5"/>
  <c r="B137" i="5"/>
  <c r="J111" i="5"/>
  <c r="I28" i="5"/>
  <c r="D143" i="5"/>
  <c r="B144" i="5"/>
  <c r="G52" i="5"/>
  <c r="B145" i="5"/>
  <c r="E32" i="5"/>
  <c r="C44" i="5"/>
  <c r="C93" i="5"/>
  <c r="F104" i="5"/>
  <c r="B67" i="5"/>
  <c r="J96" i="5"/>
  <c r="F154" i="5"/>
  <c r="I25" i="5"/>
  <c r="E126" i="5"/>
  <c r="G39" i="5"/>
  <c r="K31" i="5"/>
  <c r="H24" i="5"/>
  <c r="D129" i="5"/>
  <c r="F37" i="5"/>
  <c r="C136" i="5"/>
  <c r="A63" i="5"/>
  <c r="H125" i="5"/>
  <c r="H31" i="5"/>
  <c r="H144" i="5"/>
  <c r="G153" i="5"/>
  <c r="I23" i="5"/>
  <c r="H86" i="5"/>
  <c r="H43" i="5"/>
  <c r="A131" i="5"/>
  <c r="E53" i="5"/>
  <c r="D73" i="5"/>
  <c r="I90" i="5"/>
  <c r="G23" i="5"/>
  <c r="C62" i="5"/>
  <c r="D140" i="5"/>
  <c r="C71" i="5"/>
  <c r="F42" i="5"/>
  <c r="C41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<sst xmlns="http://schemas.openxmlformats.org/spreadsheetml/2006/main" count="1207" uniqueCount="511">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</sst>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921.79500000000007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الحساب'!$A$4:$A$254,MATCH(1,'كشف الحساب'!$P$4:$P$254,0)),"")</f>
        <v>46121</v>
      </c>
      <c r="B6" s="122" t="str">
        <f>IFERROR(INDEX('كشف الحساب'!$B$4:$B$254,MATCH(1,'كشف الحساب'!$P$4:$P$254,0)),"")</f>
        <v>Inv-001</v>
      </c>
      <c r="C6" s="121" t="str">
        <f>IFERROR(INDEX('كشف الحساب'!$C$4:$C$254,MATCH(1,'كشف الحساب'!$P$4:$P$254,0)),"")</f>
        <v>بيع عدد١ اناناس</v>
      </c>
      <c r="D6" s="123">
        <f>IFERROR(INDEX('كشف الحساب'!$E$4:$E$254,MATCH(1,'كشف الحساب'!$P$4:$P$254,0)),"")</f>
        <v>5</v>
      </c>
      <c r="E6" s="124">
        <f>IFERROR(INDEX('كشف الحساب'!$D$4:$D$254,MATCH(1,'كشف الحساب'!$P$4:$P$254,0)),"")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الحساب'!$A$4:$A$254,MATCH(2,'كشف الحساب'!$P$4:$P$254,0)),"")</f>
        <v>46134</v>
      </c>
      <c r="B7" s="122" t="str">
        <f>IFERROR(INDEX('كشف الحساب'!$B$4:$B$254,MATCH(2,'كشف الحساب'!$P$4:$P$254,0)),"")</f>
        <v>8127</v>
      </c>
      <c r="C7" s="121" t="str">
        <f>IFERROR(INDEX('كشف الحساب'!$C$4:$C$254,MATCH(2,'كشف الحساب'!$P$4:$P$254,0)),"")</f>
        <v>تاير لعربة الرش</v>
      </c>
      <c r="D7" s="123">
        <f>IFERROR(INDEX('كشف الحساب'!$E$4:$E$254,MATCH(2,'كشف الحساب'!$P$4:$P$254,0)),"")</f>
        <v>0</v>
      </c>
      <c r="E7" s="124">
        <f>IFERROR(INDEX('كشف الحساب'!$D$4:$D$254,MATCH(2,'كشف الحساب'!$P$4:$P$254,0)),"")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الحساب'!$A$4:$A$254,MATCH(3,'كشف الحساب'!$P$4:$P$254,0)),"")</f>
        <v>46142</v>
      </c>
      <c r="B8" s="122">
        <f>IFERROR(INDEX('كشف الحساب'!$B$4:$B$254,MATCH(3,'كشف الحساب'!$P$4:$P$254,0)),"")</f>
        <v>0</v>
      </c>
      <c r="C8" s="121" t="str">
        <f>IFERROR(INDEX('كشف الحساب'!$C$4:$C$254,MATCH(3,'كشف الحساب'!$P$4:$P$254,0)),"")</f>
        <v>مدخول شهر ابريل</v>
      </c>
      <c r="D8" s="123">
        <f>IFERROR(INDEX('كشف الحساب'!$E$4:$E$254,MATCH(3,'كشف الحساب'!$P$4:$P$254,0)),"")</f>
        <v>40.5</v>
      </c>
      <c r="E8" s="124">
        <f>IFERROR(INDEX('كشف الحساب'!$D$4:$D$254,MATCH(3,'كشف الحساب'!$P$4:$P$254,0)),"")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الحساب'!$A$4:$A$254,MATCH(4,'كشف الحساب'!$P$4:$P$254,0)),"")</f>
        <v>46151</v>
      </c>
      <c r="B9" s="122" t="str">
        <f>IFERROR(INDEX('كشف الحساب'!$B$4:$B$254,MATCH(4,'كشف الحساب'!$P$4:$P$254,0)),"")</f>
        <v>Inv-013</v>
      </c>
      <c r="C9" s="121" t="str">
        <f>IFERROR(INDEX('كشف الحساب'!$C$4:$C$254,MATCH(4,'كشف الحساب'!$P$4:$P$254,0)),"")</f>
        <v>فل عدد 21 سعر الحبه .0.750</v>
      </c>
      <c r="D9" s="123">
        <f>IFERROR(INDEX('كشف الحساب'!$E$4:$E$254,MATCH(4,'كشف الحساب'!$P$4:$P$254,0)),"")</f>
        <v>15.75</v>
      </c>
      <c r="E9" s="124">
        <f>IFERROR(INDEX('كشف الحساب'!$D$4:$D$254,MATCH(4,'كشف الحساب'!$P$4:$P$254,0)),"")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الحساب'!$A$4:$A$254,MATCH(5,'كشف الحساب'!$P$4:$P$254,0)),"")</f>
        <v>46151</v>
      </c>
      <c r="B10" s="122" t="str">
        <f>IFERROR(INDEX('كشف الحساب'!$B$4:$B$254,MATCH(5,'كشف الحساب'!$P$4:$P$254,0)),"")</f>
        <v>Inv-013A</v>
      </c>
      <c r="C10" s="121" t="str">
        <f>IFERROR(INDEX('كشف الحساب'!$C$4:$C$254,MATCH(5,'كشف الحساب'!$P$4:$P$254,0)),"")</f>
        <v>برازيليا عدد 25 سعر الحبه .500</v>
      </c>
      <c r="D10" s="123">
        <f>IFERROR(INDEX('كشف الحساب'!$E$4:$E$254,MATCH(5,'كشف الحساب'!$P$4:$P$254,0)),"")</f>
        <v>12.5</v>
      </c>
      <c r="E10" s="124">
        <f>IFERROR(INDEX('كشف الحساب'!$D$4:$D$254,MATCH(5,'كشف الحساب'!$P$4:$P$254,0)),"")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الحساب'!$A$4:$A$254,MATCH(6,'كشف الحساب'!$P$4:$P$254,0)),"")</f>
        <v>46152</v>
      </c>
      <c r="B11" s="122" t="str">
        <f>IFERROR(INDEX('كشف الحساب'!$B$4:$B$254,MATCH(6,'كشف الحساب'!$P$4:$P$254,0)),"")</f>
        <v>Inv-016</v>
      </c>
      <c r="C11" s="121" t="str">
        <f>IFERROR(INDEX('كشف الحساب'!$C$4:$C$254,MATCH(6,'كشف الحساب'!$P$4:$P$254,0)),"")</f>
        <v>ودليه عدد 3 الحبه 0.750</v>
      </c>
      <c r="D11" s="123">
        <f>IFERROR(INDEX('كشف الحساب'!$E$4:$E$254,MATCH(6,'كشف الحساب'!$P$4:$P$254,0)),"")</f>
        <v>2.25</v>
      </c>
      <c r="E11" s="124">
        <f>IFERROR(INDEX('كشف الحساب'!$D$4:$D$254,MATCH(6,'كشف الحساب'!$P$4:$P$254,0)),"")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الحساب'!$A$4:$A$254,MATCH(7,'كشف الحساب'!$P$4:$P$254,0)),"")</f>
        <v>46155</v>
      </c>
      <c r="B12" s="122" t="str">
        <f>IFERROR(INDEX('كشف الحساب'!$B$4:$B$254,MATCH(7,'كشف الحساب'!$P$4:$P$254,0)),"")</f>
        <v>Inv-017</v>
      </c>
      <c r="C12" s="121" t="str">
        <f>IFERROR(INDEX('كشف الحساب'!$C$4:$C$254,MATCH(7,'كشف الحساب'!$P$4:$P$254,0)),"")</f>
        <v>فل عدد 10 الحبه 0.750</v>
      </c>
      <c r="D12" s="123">
        <f>IFERROR(INDEX('كشف الحساب'!$E$4:$E$254,MATCH(7,'كشف الحساب'!$P$4:$P$254,0)),"")</f>
        <v>7.5</v>
      </c>
      <c r="E12" s="124">
        <f>IFERROR(INDEX('كشف الحساب'!$D$4:$D$254,MATCH(7,'كشف الحساب'!$P$4:$P$254,0)),"")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الحساب'!$A$4:$A$254,MATCH(8,'كشف الحساب'!$P$4:$P$254,0)),"")</f>
        <v>46156</v>
      </c>
      <c r="B13" s="122" t="str">
        <f>IFERROR(INDEX('كشف الحساب'!$B$4:$B$254,MATCH(8,'كشف الحساب'!$P$4:$P$254,0)),"")</f>
        <v>Inv-18A</v>
      </c>
      <c r="C13" s="121" t="str">
        <f>IFERROR(INDEX('كشف الحساب'!$C$4:$C$254,MATCH(8,'كشف الحساب'!$P$4:$P$254,0)),"")</f>
        <v>ربل 4 حبات الحبه 1.500</v>
      </c>
      <c r="D13" s="123">
        <f>IFERROR(INDEX('كشف الحساب'!$E$4:$E$254,MATCH(8,'كشف الحساب'!$P$4:$P$254,0)),"")</f>
        <v>6</v>
      </c>
      <c r="E13" s="124">
        <f>IFERROR(INDEX('كشف الحساب'!$D$4:$D$254,MATCH(8,'كشف الحساب'!$P$4:$P$254,0)),"")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الحساب'!$A$4:$A$254,MATCH(9,'كشف الحساب'!$P$4:$P$254,0)),"")</f>
        <v>46156</v>
      </c>
      <c r="B14" s="122" t="str">
        <f>IFERROR(INDEX('كشف الحساب'!$B$4:$B$254,MATCH(9,'كشف الحساب'!$P$4:$P$254,0)),"")</f>
        <v>Inv-18</v>
      </c>
      <c r="C14" s="121" t="str">
        <f>IFERROR(INDEX('كشف الحساب'!$C$4:$C$254,MATCH(9,'كشف الحساب'!$P$4:$P$254,0)),"")</f>
        <v>ودليه 8 حبات الحبه 1</v>
      </c>
      <c r="D14" s="123">
        <f>IFERROR(INDEX('كشف الحساب'!$E$4:$E$254,MATCH(9,'كشف الحساب'!$P$4:$P$254,0)),"")</f>
        <v>8</v>
      </c>
      <c r="E14" s="124">
        <f>IFERROR(INDEX('كشف الحساب'!$D$4:$D$254,MATCH(9,'كشف الحساب'!$P$4:$P$254,0)),"")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الحساب'!$A$4:$A$254,MATCH(10,'كشف الحساب'!$P$4:$P$254,0)),"")</f>
        <v>46158</v>
      </c>
      <c r="B15" s="122" t="str">
        <f>IFERROR(INDEX('كشف الحساب'!$B$4:$B$254,MATCH(10,'كشف الحساب'!$P$4:$P$254,0)),"")</f>
        <v>Inv-19</v>
      </c>
      <c r="C15" s="121" t="str">
        <f>IFERROR(INDEX('كشف الحساب'!$C$4:$C$254,MATCH(10,'كشف الحساب'!$P$4:$P$254,0)),"")</f>
        <v>فل عدد 2 الحبه 0.750</v>
      </c>
      <c r="D15" s="123">
        <f>IFERROR(INDEX('كشف الحساب'!$E$4:$E$254,MATCH(10,'كشف الحساب'!$P$4:$P$254,0)),"")</f>
        <v>1.5</v>
      </c>
      <c r="E15" s="124">
        <f>IFERROR(INDEX('كشف الحساب'!$D$4:$D$254,MATCH(10,'كشف الحساب'!$P$4:$P$254,0)),"")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الحساب'!$A$4:$A$254,MATCH(11,'كشف الحساب'!$P$4:$P$254,0)),"")</f>
        <v>46158</v>
      </c>
      <c r="B16" s="122" t="str">
        <f>IFERROR(INDEX('كشف الحساب'!$B$4:$B$254,MATCH(11,'كشف الحساب'!$P$4:$P$254,0)),"")</f>
        <v>Inv-20</v>
      </c>
      <c r="C16" s="121" t="str">
        <f>IFERROR(INDEX('كشف الحساب'!$C$4:$C$254,MATCH(11,'كشف الحساب'!$P$4:$P$254,0)),"")</f>
        <v>صبار اوليفيرا عدد 3 الحبه 0.750</v>
      </c>
      <c r="D16" s="123">
        <f>IFERROR(INDEX('كشف الحساب'!$E$4:$E$254,MATCH(11,'كشف الحساب'!$P$4:$P$254,0)),"")</f>
        <v>2.25</v>
      </c>
      <c r="E16" s="124">
        <f>IFERROR(INDEX('كشف الحساب'!$D$4:$D$254,MATCH(11,'كشف الحساب'!$P$4:$P$254,0)),"")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الحساب'!$A$4:$A$254,MATCH(12,'كشف الحساب'!$P$4:$P$254,0)),"")</f>
        <v>46158</v>
      </c>
      <c r="B17" s="122" t="str">
        <f>IFERROR(INDEX('كشف الحساب'!$B$4:$B$254,MATCH(12,'كشف الحساب'!$P$4:$P$254,0)),"")</f>
        <v>Inv-21</v>
      </c>
      <c r="C17" s="121" t="str">
        <f>IFERROR(INDEX('كشف الحساب'!$C$4:$C$254,MATCH(12,'كشف الحساب'!$P$4:$P$254,0)),"")</f>
        <v>دارسينا عدد 1 الحبه 2.500</v>
      </c>
      <c r="D17" s="123">
        <f>IFERROR(INDEX('كشف الحساب'!$E$4:$E$254,MATCH(12,'كشف الحساب'!$P$4:$P$254,0)),"")</f>
        <v>2.5</v>
      </c>
      <c r="E17" s="124">
        <f>IFERROR(INDEX('كشف الحساب'!$D$4:$D$254,MATCH(12,'كشف الحساب'!$P$4:$P$254,0)),"")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الحساب'!$A$4:$A$254,MATCH(13,'كشف الحساب'!$P$4:$P$254,0)),"")</f>
        <v>46159</v>
      </c>
      <c r="B18" s="122" t="str">
        <f>IFERROR(INDEX('كشف الحساب'!$B$4:$B$254,MATCH(13,'كشف الحساب'!$P$4:$P$254,0)),"")</f>
        <v>Inv-22</v>
      </c>
      <c r="C18" s="121" t="str">
        <f>IFERROR(INDEX('كشف الحساب'!$C$4:$C$254,MATCH(13,'كشف الحساب'!$P$4:$P$254,0)),"")</f>
        <v>فل عدد 30 الحبه 0.750</v>
      </c>
      <c r="D18" s="123">
        <f>IFERROR(INDEX('كشف الحساب'!$E$4:$E$254,MATCH(13,'كشف الحساب'!$P$4:$P$254,0)),"")</f>
        <v>22.5</v>
      </c>
      <c r="E18" s="124">
        <f>IFERROR(INDEX('كشف الحساب'!$D$4:$D$254,MATCH(13,'كشف الحساب'!$P$4:$P$254,0)),"")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الحساب'!$A$4:$A$254,MATCH(14,'كشف الحساب'!$P$4:$P$254,0)),"")</f>
        <v>46159</v>
      </c>
      <c r="B19" s="122" t="str">
        <f>IFERROR(INDEX('كشف الحساب'!$B$4:$B$254,MATCH(14,'كشف الحساب'!$P$4:$P$254,0)),"")</f>
        <v>Inv-23</v>
      </c>
      <c r="C19" s="121" t="str">
        <f>IFERROR(INDEX('كشف الحساب'!$C$4:$C$254,MATCH(14,'كشف الحساب'!$P$4:$P$254,0)),"")</f>
        <v>برازيليا عدد 16 الحبه 0.500</v>
      </c>
      <c r="D19" s="123">
        <f>IFERROR(INDEX('كشف الحساب'!$E$4:$E$254,MATCH(14,'كشف الحساب'!$P$4:$P$254,0)),"")</f>
        <v>8</v>
      </c>
      <c r="E19" s="124">
        <f>IFERROR(INDEX('كشف الحساب'!$D$4:$D$254,MATCH(14,'كشف الحساب'!$P$4:$P$254,0)),"")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الحساب'!$A$4:$A$254,MATCH(15,'كشف الحساب'!$P$4:$P$254,0)),"")</f>
        <v>46160</v>
      </c>
      <c r="B20" s="122" t="str">
        <f>IFERROR(INDEX('كشف الحساب'!$B$4:$B$254,MATCH(15,'كشف الحساب'!$P$4:$P$254,0)),"")</f>
        <v>Inv-24</v>
      </c>
      <c r="C20" s="121" t="str">
        <f>IFERROR(INDEX('كشف الحساب'!$C$4:$C$254,MATCH(15,'كشف الحساب'!$P$4:$P$254,0)),"")</f>
        <v>فل عدد10 الحبه 0.750</v>
      </c>
      <c r="D20" s="123">
        <f>IFERROR(INDEX('كشف الحساب'!$E$4:$E$254,MATCH(15,'كشف الحساب'!$P$4:$P$254,0)),"")</f>
        <v>7.5</v>
      </c>
      <c r="E20" s="124">
        <f>IFERROR(INDEX('كشف الحساب'!$D$4:$D$254,MATCH(15,'كشف الحساب'!$P$4:$P$254,0)),"")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الحساب'!$A$4:$A$254,MATCH(16,'كشف الحساب'!$P$4:$P$254,0)),"")</f>
        <v>46160</v>
      </c>
      <c r="B21" s="122" t="str">
        <f>IFERROR(INDEX('كشف الحساب'!$B$4:$B$254,MATCH(16,'كشف الحساب'!$P$4:$P$254,0)),"")</f>
        <v>Inv-25</v>
      </c>
      <c r="C21" s="121" t="str">
        <f>IFERROR(INDEX('كشف الحساب'!$C$4:$C$254,MATCH(16,'كشف الحساب'!$P$4:$P$254,0)),"")</f>
        <v>دارسيناحمراء عدد 1</v>
      </c>
      <c r="D21" s="123">
        <f>IFERROR(INDEX('كشف الحساب'!$E$4:$E$254,MATCH(16,'كشف الحساب'!$P$4:$P$254,0)),"")</f>
        <v>5</v>
      </c>
      <c r="E21" s="124">
        <f>IFERROR(INDEX('كشف الحساب'!$D$4:$D$254,MATCH(16,'كشف الحساب'!$P$4:$P$254,0)),"")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الحساب'!$A$4:$A$254,MATCH(17,'كشف الحساب'!$P$4:$P$254,0)),"")</f>
        <v>46160</v>
      </c>
      <c r="B22" s="122" t="str">
        <f>IFERROR(INDEX('كشف الحساب'!$B$4:$B$254,MATCH(17,'كشف الحساب'!$P$4:$P$254,0)),"")</f>
        <v>Inv-26</v>
      </c>
      <c r="C22" s="121" t="str">
        <f>IFERROR(INDEX('كشف الحساب'!$C$4:$C$254,MATCH(17,'كشف الحساب'!$P$4:$P$254,0)),"")</f>
        <v>دارسينا خضراء عدد 2 الحبه 1.500</v>
      </c>
      <c r="D22" s="123">
        <f>IFERROR(INDEX('كشف الحساب'!$E$4:$E$254,MATCH(17,'كشف الحساب'!$P$4:$P$254,0)),"")</f>
        <v>3</v>
      </c>
      <c r="E22" s="124">
        <f>IFERROR(INDEX('كشف الحساب'!$D$4:$D$254,MATCH(17,'كشف الحساب'!$P$4:$P$254,0)),"")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الحساب'!$A$4:$A$254,MATCH(18,'كشف الحساب'!$P$4:$P$254,0)),"")</f>
        <v>46160</v>
      </c>
      <c r="B23" s="122" t="str">
        <f>IFERROR(INDEX('كشف الحساب'!$B$4:$B$254,MATCH(18,'كشف الحساب'!$P$4:$P$254,0)),"")</f>
        <v>Inv-27</v>
      </c>
      <c r="C23" s="121" t="str">
        <f>IFERROR(INDEX('كشف الحساب'!$C$4:$C$254,MATCH(18,'كشف الحساب'!$P$4:$P$254,0)),"")</f>
        <v>ربل عدد 2 الحبه 1.500</v>
      </c>
      <c r="D23" s="123">
        <f>IFERROR(INDEX('كشف الحساب'!$E$4:$E$254,MATCH(18,'كشف الحساب'!$P$4:$P$254,0)),"")</f>
        <v>3</v>
      </c>
      <c r="E23" s="124">
        <f>IFERROR(INDEX('كشف الحساب'!$D$4:$D$254,MATCH(18,'كشف الحساب'!$P$4:$P$254,0)),"")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الحساب'!$A$4:$A$254,MATCH(19,'كشف الحساب'!$P$4:$P$254,0)),"")</f>
        <v>46160</v>
      </c>
      <c r="B24" s="122" t="str">
        <f>IFERROR(INDEX('كشف الحساب'!$B$4:$B$254,MATCH(19,'كشف الحساب'!$P$4:$P$254,0)),"")</f>
        <v>Inv-28</v>
      </c>
      <c r="C24" s="121" t="str">
        <f>IFERROR(INDEX('كشف الحساب'!$C$4:$C$254,MATCH(19,'كشف الحساب'!$P$4:$P$254,0)),"")</f>
        <v>دارسينا حمراء عدد2 الحبه 2.500</v>
      </c>
      <c r="D24" s="123">
        <f>IFERROR(INDEX('كشف الحساب'!$E$4:$E$254,MATCH(19,'كشف الحساب'!$P$4:$P$254,0)),"")</f>
        <v>5</v>
      </c>
      <c r="E24" s="124">
        <f>IFERROR(INDEX('كشف الحساب'!$D$4:$D$254,MATCH(19,'كشف الحساب'!$P$4:$P$254,0)),"")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الحساب'!$A$4:$A$254,MATCH(20,'كشف الحساب'!$P$4:$P$254,0)),"")</f>
        <v>46160</v>
      </c>
      <c r="B25" s="122" t="str">
        <f>IFERROR(INDEX('كشف الحساب'!$B$4:$B$254,MATCH(20,'كشف الحساب'!$P$4:$P$254,0)),"")</f>
        <v>Inv-29</v>
      </c>
      <c r="C25" s="121" t="str">
        <f>IFERROR(INDEX('كشف الحساب'!$C$4:$C$254,MATCH(20,'كشف الحساب'!$P$4:$P$254,0)),"")</f>
        <v>برازيليا عدد 10 الحبه 0.500</v>
      </c>
      <c r="D25" s="123">
        <f>IFERROR(INDEX('كشف الحساب'!$E$4:$E$254,MATCH(20,'كشف الحساب'!$P$4:$P$254,0)),"")</f>
        <v>5</v>
      </c>
      <c r="E25" s="124">
        <f>IFERROR(INDEX('كشف الحساب'!$D$4:$D$254,MATCH(20,'كشف الحساب'!$P$4:$P$254,0)),"")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الحساب'!$A$4:$A$254,MATCH(21,'كشف الحساب'!$P$4:$P$254,0)),"")</f>
        <v>46160</v>
      </c>
      <c r="B26" s="122" t="str">
        <f>IFERROR(INDEX('كشف الحساب'!$B$4:$B$254,MATCH(21,'كشف الحساب'!$P$4:$P$254,0)),"")</f>
        <v>85164</v>
      </c>
      <c r="C26" s="121" t="str">
        <f>IFERROR(INDEX('كشف الحساب'!$C$4:$C$254,MATCH(21,'كشف الحساب'!$P$4:$P$254,0)),"")</f>
        <v>مبيد اسيتبلان عدد 1</v>
      </c>
      <c r="D26" s="123">
        <f>IFERROR(INDEX('كشف الحساب'!$E$4:$E$254,MATCH(21,'كشف الحساب'!$P$4:$P$254,0)),"")</f>
        <v>0</v>
      </c>
      <c r="E26" s="124">
        <f>IFERROR(INDEX('كشف الحساب'!$D$4:$D$254,MATCH(21,'كشف الحساب'!$P$4:$P$254,0)),"")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الحساب'!$A$4:$A$254,MATCH(22,'كشف الحساب'!$P$4:$P$254,0)),"")</f>
        <v>46161</v>
      </c>
      <c r="B27" s="122" t="str">
        <f>IFERROR(INDEX('كشف الحساب'!$B$4:$B$254,MATCH(22,'كشف الحساب'!$P$4:$P$254,0)),"")</f>
        <v>Inv-30</v>
      </c>
      <c r="C27" s="121" t="str">
        <f>IFERROR(INDEX('كشف الحساب'!$C$4:$C$254,MATCH(22,'كشف الحساب'!$P$4:$P$254,0)),"")</f>
        <v>فل عدد 30 الحبه 0.750</v>
      </c>
      <c r="D27" s="123">
        <f>IFERROR(INDEX('كشف الحساب'!$E$4:$E$254,MATCH(22,'كشف الحساب'!$P$4:$P$254,0)),"")</f>
        <v>22.5</v>
      </c>
      <c r="E27" s="124">
        <f>IFERROR(INDEX('كشف الحساب'!$D$4:$D$254,MATCH(22,'كشف الحساب'!$P$4:$P$254,0)),"")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الحساب'!$A$4:$A$254,MATCH(23,'كشف الحساب'!$P$4:$P$254,0)),"")</f>
        <v>46162</v>
      </c>
      <c r="B28" s="122" t="str">
        <f>IFERROR(INDEX('كشف الحساب'!$B$4:$B$254,MATCH(23,'كشف الحساب'!$P$4:$P$254,0)),"")</f>
        <v>Inv-31</v>
      </c>
      <c r="C28" s="121" t="str">
        <f>IFERROR(INDEX('كشف الحساب'!$C$4:$C$254,MATCH(23,'كشف الحساب'!$P$4:$P$254,0)),"")</f>
        <v>فل عدد30 الحبه 0.750</v>
      </c>
      <c r="D28" s="123">
        <f>IFERROR(INDEX('كشف الحساب'!$E$4:$E$254,MATCH(23,'كشف الحساب'!$P$4:$P$254,0)),"")</f>
        <v>22.5</v>
      </c>
      <c r="E28" s="124">
        <f>IFERROR(INDEX('كشف الحساب'!$D$4:$D$254,MATCH(23,'كشف الحساب'!$P$4:$P$254,0)),"")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الحساب'!$A$4:$A$254,MATCH(24,'كشف الحساب'!$P$4:$P$254,0)),"")</f>
        <v>46162</v>
      </c>
      <c r="B29" s="122" t="str">
        <f>IFERROR(INDEX('كشف الحساب'!$B$4:$B$254,MATCH(24,'كشف الحساب'!$P$4:$P$254,0)),"")</f>
        <v>Inv-32</v>
      </c>
      <c r="C29" s="121" t="str">
        <f>IFERROR(INDEX('كشف الحساب'!$C$4:$C$254,MATCH(24,'كشف الحساب'!$P$4:$P$254,0)),"")</f>
        <v>برازيليا عدد 50 الحبه0.500</v>
      </c>
      <c r="D29" s="123">
        <f>IFERROR(INDEX('كشف الحساب'!$E$4:$E$254,MATCH(24,'كشف الحساب'!$P$4:$P$254,0)),"")</f>
        <v>25</v>
      </c>
      <c r="E29" s="124">
        <f>IFERROR(INDEX('كشف الحساب'!$D$4:$D$254,MATCH(24,'كشف الحساب'!$P$4:$P$254,0)),"")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الحساب'!$A$4:$A$254,MATCH(25,'كشف الحساب'!$P$4:$P$254,0)),"")</f>
        <v>46163</v>
      </c>
      <c r="B30" s="122" t="str">
        <f>IFERROR(INDEX('كشف الحساب'!$B$4:$B$254,MATCH(25,'كشف الحساب'!$P$4:$P$254,0)),"")</f>
        <v>Inv-33</v>
      </c>
      <c r="C30" s="121" t="str">
        <f>IFERROR(INDEX('كشف الحساب'!$C$4:$C$254,MATCH(25,'كشف الحساب'!$P$4:$P$254,0)),"")</f>
        <v>برازيليا عدد 75 الحبه 0.500</v>
      </c>
      <c r="D30" s="123">
        <f>IFERROR(INDEX('كشف الحساب'!$E$4:$E$254,MATCH(25,'كشف الحساب'!$P$4:$P$254,0)),"")</f>
        <v>37.5</v>
      </c>
      <c r="E30" s="124">
        <f>IFERROR(INDEX('كشف الحساب'!$D$4:$D$254,MATCH(25,'كشف الحساب'!$P$4:$P$254,0)),"")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الحساب'!$A$4:$A$254,MATCH(26,'كشف الحساب'!$P$4:$P$254,0)),"")</f>
        <v>46163</v>
      </c>
      <c r="B31" s="122" t="str">
        <f>IFERROR(INDEX('كشف الحساب'!$B$4:$B$254,MATCH(26,'كشف الحساب'!$P$4:$P$254,0)),"")</f>
        <v>Inv-34</v>
      </c>
      <c r="C31" s="121" t="str">
        <f>IFERROR(INDEX('كشف الحساب'!$C$4:$C$254,MATCH(26,'كشف الحساب'!$P$4:$P$254,0)),"")</f>
        <v>دارسينيا احمر عدد1 حبه 2.500</v>
      </c>
      <c r="D31" s="123">
        <f>IFERROR(INDEX('كشف الحساب'!$E$4:$E$254,MATCH(26,'كشف الحساب'!$P$4:$P$254,0)),"")</f>
        <v>2.5</v>
      </c>
      <c r="E31" s="124">
        <f>IFERROR(INDEX('كشف الحساب'!$D$4:$D$254,MATCH(26,'كشف الحساب'!$P$4:$P$254,0)),"")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الحساب'!$A$4:$A$254,MATCH(27,'كشف الحساب'!$P$4:$P$254,0)),"")</f>
        <v>46164</v>
      </c>
      <c r="B32" s="122" t="str">
        <f>IFERROR(INDEX('كشف الحساب'!$B$4:$B$254,MATCH(27,'كشف الحساب'!$P$4:$P$254,0)),"")</f>
        <v>Inv-35</v>
      </c>
      <c r="C32" s="121" t="str">
        <f>IFERROR(INDEX('كشف الحساب'!$C$4:$C$254,MATCH(27,'كشف الحساب'!$P$4:$P$254,0)),"")</f>
        <v>دارسينا حمراء عدد 6 الحبه 2,500</v>
      </c>
      <c r="D32" s="123">
        <f>IFERROR(INDEX('كشف الحساب'!$E$4:$E$254,MATCH(27,'كشف الحساب'!$P$4:$P$254,0)),"")</f>
        <v>15</v>
      </c>
      <c r="E32" s="124">
        <f>IFERROR(INDEX('كشف الحساب'!$D$4:$D$254,MATCH(27,'كشف الحساب'!$P$4:$P$254,0)),"")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الحساب'!$A$4:$A$254,MATCH(28,'كشف الحساب'!$P$4:$P$254,0)),"")</f>
        <v>46164</v>
      </c>
      <c r="B33" s="122" t="str">
        <f>IFERROR(INDEX('كشف الحساب'!$B$4:$B$254,MATCH(28,'كشف الحساب'!$P$4:$P$254,0)),"")</f>
        <v>Inv-36</v>
      </c>
      <c r="C33" s="121" t="str">
        <f>IFERROR(INDEX('كشف الحساب'!$C$4:$C$254,MATCH(28,'كشف الحساب'!$P$4:$P$254,0)),"")</f>
        <v>ربل عدد4 الحبه 1.500</v>
      </c>
      <c r="D33" s="123">
        <f>IFERROR(INDEX('كشف الحساب'!$E$4:$E$254,MATCH(28,'كشف الحساب'!$P$4:$P$254,0)),"")</f>
        <v>6</v>
      </c>
      <c r="E33" s="124">
        <f>IFERROR(INDEX('كشف الحساب'!$D$4:$D$254,MATCH(28,'كشف الحساب'!$P$4:$P$254,0)),"")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الحساب'!$A$4:$A$254,MATCH(29,'كشف الحساب'!$P$4:$P$254,0)),"")</f>
        <v>46167</v>
      </c>
      <c r="B34" s="122" t="str">
        <f>IFERROR(INDEX('كشف الحساب'!$B$4:$B$254,MATCH(29,'كشف الحساب'!$P$4:$P$254,0)),"")</f>
        <v>Inv-37</v>
      </c>
      <c r="C34" s="121" t="str">
        <f>IFERROR(INDEX('كشف الحساب'!$C$4:$C$254,MATCH(29,'كشف الحساب'!$P$4:$P$254,0)),"")</f>
        <v>عطره عدد 10 الحبه 0.750</v>
      </c>
      <c r="D34" s="123">
        <f>IFERROR(INDEX('كشف الحساب'!$E$4:$E$254,MATCH(29,'كشف الحساب'!$P$4:$P$254,0)),"")</f>
        <v>7.5</v>
      </c>
      <c r="E34" s="124">
        <f>IFERROR(INDEX('كشف الحساب'!$D$4:$D$254,MATCH(29,'كشف الحساب'!$P$4:$P$254,0)),"")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الحساب'!$A$4:$A$254,MATCH(30,'كشف الحساب'!$P$4:$P$254,0)),"")</f>
        <v>46167</v>
      </c>
      <c r="B35" s="122" t="str">
        <f>IFERROR(INDEX('كشف الحساب'!$B$4:$B$254,MATCH(30,'كشف الحساب'!$P$4:$P$254,0)),"")</f>
        <v>Inv-38</v>
      </c>
      <c r="C35" s="121" t="str">
        <f>IFERROR(INDEX('كشف الحساب'!$C$4:$C$254,MATCH(30,'كشف الحساب'!$P$4:$P$254,0)),"")</f>
        <v>ودليه عدد 2 الحبه 1</v>
      </c>
      <c r="D35" s="123">
        <f>IFERROR(INDEX('كشف الحساب'!$E$4:$E$254,MATCH(30,'كشف الحساب'!$P$4:$P$254,0)),"")</f>
        <v>2</v>
      </c>
      <c r="E35" s="124">
        <f>IFERROR(INDEX('كشف الحساب'!$D$4:$D$254,MATCH(30,'كشف الحساب'!$P$4:$P$254,0)),"")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الحساب'!$A$4:$A$254,MATCH(31,'كشف الحساب'!$P$4:$P$254,0)),"")</f>
        <v>46167</v>
      </c>
      <c r="B36" s="122" t="str">
        <f>IFERROR(INDEX('كشف الحساب'!$B$4:$B$254,MATCH(31,'كشف الحساب'!$P$4:$P$254,0)),"")</f>
        <v>Inv-39</v>
      </c>
      <c r="C36" s="121" t="str">
        <f>IFERROR(INDEX('كشف الحساب'!$C$4:$C$254,MATCH(31,'كشف الحساب'!$P$4:$P$254,0)),"")</f>
        <v>داراسينا حمراء عدد4 الحبه 1</v>
      </c>
      <c r="D36" s="123">
        <f>IFERROR(INDEX('كشف الحساب'!$E$4:$E$254,MATCH(31,'كشف الحساب'!$P$4:$P$254,0)),"")</f>
        <v>4</v>
      </c>
      <c r="E36" s="124">
        <f>IFERROR(INDEX('كشف الحساب'!$D$4:$D$254,MATCH(31,'كشف الحساب'!$P$4:$P$254,0)),"")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الحساب'!$A$4:$A$254,MATCH(32,'كشف الحساب'!$P$4:$P$254,0)),"")</f>
        <v>46146</v>
      </c>
      <c r="B37" s="122" t="str">
        <f>IFERROR(INDEX('كشف الحساب'!$B$4:$B$254,MATCH(32,'كشف الحساب'!$P$4:$P$254,0)),"")</f>
        <v>Inv-40</v>
      </c>
      <c r="C37" s="121" t="str">
        <f>IFERROR(INDEX('كشف الحساب'!$C$4:$C$254,MATCH(32,'كشف الحساب'!$P$4:$P$254,0)),"")</f>
        <v>other</v>
      </c>
      <c r="D37" s="123">
        <f>IFERROR(INDEX('كشف الحساب'!$E$4:$E$254,MATCH(32,'كشف الحساب'!$P$4:$P$254,0)),"")</f>
        <v>9</v>
      </c>
      <c r="E37" s="124">
        <f>IFERROR(INDEX('كشف الحساب'!$D$4:$D$254,MATCH(32,'كشف الحساب'!$P$4:$P$254,0)),"")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الحساب'!$A$4:$A$254,MATCH(33,'كشف الحساب'!$P$4:$P$254,0)),"")</f>
        <v>46146</v>
      </c>
      <c r="B38" s="122" t="str">
        <f>IFERROR(INDEX('كشف الحساب'!$B$4:$B$254,MATCH(33,'كشف الحساب'!$P$4:$P$254,0)),"")</f>
        <v>Inv-41</v>
      </c>
      <c r="C38" s="121" t="str">
        <f>IFERROR(INDEX('كشف الحساب'!$C$4:$C$254,MATCH(33,'كشف الحساب'!$P$4:$P$254,0)),"")</f>
        <v>other</v>
      </c>
      <c r="D38" s="123">
        <f>IFERROR(INDEX('كشف الحساب'!$E$4:$E$254,MATCH(33,'كشف الحساب'!$P$4:$P$254,0)),"")</f>
        <v>9</v>
      </c>
      <c r="E38" s="124">
        <f>IFERROR(INDEX('كشف الحساب'!$D$4:$D$254,MATCH(33,'كشف الحساب'!$P$4:$P$254,0)),"")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الحساب'!$A$4:$A$254,MATCH(34,'كشف الحساب'!$P$4:$P$254,0)),"")</f>
        <v>46146</v>
      </c>
      <c r="B39" s="122" t="str">
        <f>IFERROR(INDEX('كشف الحساب'!$B$4:$B$254,MATCH(34,'كشف الحساب'!$P$4:$P$254,0)),"")</f>
        <v>Inv-42</v>
      </c>
      <c r="C39" s="121" t="str">
        <f>IFERROR(INDEX('كشف الحساب'!$C$4:$C$254,MATCH(34,'كشف الحساب'!$P$4:$P$254,0)),"")</f>
        <v>other</v>
      </c>
      <c r="D39" s="123">
        <f>IFERROR(INDEX('كشف الحساب'!$E$4:$E$254,MATCH(34,'كشف الحساب'!$P$4:$P$254,0)),"")</f>
        <v>2</v>
      </c>
      <c r="E39" s="124">
        <f>IFERROR(INDEX('كشف الحساب'!$D$4:$D$254,MATCH(34,'كشف الحساب'!$P$4:$P$254,0)),"")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الحساب'!$A$4:$A$254,MATCH(35,'كشف الحساب'!$P$4:$P$254,0)),"")</f>
        <v>46147</v>
      </c>
      <c r="B40" s="122" t="str">
        <f>IFERROR(INDEX('كشف الحساب'!$B$4:$B$254,MATCH(35,'كشف الحساب'!$P$4:$P$254,0)),"")</f>
        <v>Inv-43</v>
      </c>
      <c r="C40" s="121" t="str">
        <f>IFERROR(INDEX('كشف الحساب'!$C$4:$C$254,MATCH(35,'كشف الحساب'!$P$4:$P$254,0)),"")</f>
        <v>other</v>
      </c>
      <c r="D40" s="123">
        <f>IFERROR(INDEX('كشف الحساب'!$E$4:$E$254,MATCH(35,'كشف الحساب'!$P$4:$P$254,0)),"")</f>
        <v>3.75</v>
      </c>
      <c r="E40" s="124">
        <f>IFERROR(INDEX('كشف الحساب'!$D$4:$D$254,MATCH(35,'كشف الحساب'!$P$4:$P$254,0)),"")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الحساب'!$A$4:$A$254,MATCH(36,'كشف الحساب'!$P$4:$P$254,0)),"")</f>
        <v>46149</v>
      </c>
      <c r="B41" s="122" t="str">
        <f>IFERROR(INDEX('كشف الحساب'!$B$4:$B$254,MATCH(36,'كشف الحساب'!$P$4:$P$254,0)),"")</f>
        <v>Inv-44a</v>
      </c>
      <c r="C41" s="121" t="str">
        <f>IFERROR(INDEX('كشف الحساب'!$C$4:$C$254,MATCH(36,'كشف الحساب'!$P$4:$P$254,0)),"")</f>
        <v>other</v>
      </c>
      <c r="D41" s="123">
        <f>IFERROR(INDEX('كشف الحساب'!$E$4:$E$254,MATCH(36,'كشف الحساب'!$P$4:$P$254,0)),"")</f>
        <v>5</v>
      </c>
      <c r="E41" s="124">
        <f>IFERROR(INDEX('كشف الحساب'!$D$4:$D$254,MATCH(36,'كشف الحساب'!$P$4:$P$254,0)),"")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الحساب'!$A$4:$A$254,MATCH(37,'كشف الحساب'!$P$4:$P$254,0)),"")</f>
        <v>46155</v>
      </c>
      <c r="B42" s="122" t="str">
        <f>IFERROR(INDEX('كشف الحساب'!$B$4:$B$254,MATCH(37,'كشف الحساب'!$P$4:$P$254,0)),"")</f>
        <v>Inv-44</v>
      </c>
      <c r="C42" s="121" t="str">
        <f>IFERROR(INDEX('كشف الحساب'!$C$4:$C$254,MATCH(37,'كشف الحساب'!$P$4:$P$254,0)),"")</f>
        <v>other</v>
      </c>
      <c r="D42" s="123">
        <f>IFERROR(INDEX('كشف الحساب'!$E$4:$E$254,MATCH(37,'كشف الحساب'!$P$4:$P$254,0)),"")</f>
        <v>15</v>
      </c>
      <c r="E42" s="124">
        <f>IFERROR(INDEX('كشف الحساب'!$D$4:$D$254,MATCH(37,'كشف الحساب'!$P$4:$P$254,0)),"")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الحساب'!$A$4:$A$254,MATCH(38,'كشف الحساب'!$P$4:$P$254,0)),"")</f>
        <v>46155</v>
      </c>
      <c r="B43" s="122" t="str">
        <f>IFERROR(INDEX('كشف الحساب'!$B$4:$B$254,MATCH(38,'كشف الحساب'!$P$4:$P$254,0)),"")</f>
        <v>Inv-45</v>
      </c>
      <c r="C43" s="121" t="str">
        <f>IFERROR(INDEX('كشف الحساب'!$C$4:$C$254,MATCH(38,'كشف الحساب'!$P$4:$P$254,0)),"")</f>
        <v>other</v>
      </c>
      <c r="D43" s="123">
        <f>IFERROR(INDEX('كشف الحساب'!$E$4:$E$254,MATCH(38,'كشف الحساب'!$P$4:$P$254,0)),"")</f>
        <v>4</v>
      </c>
      <c r="E43" s="124">
        <f>IFERROR(INDEX('كشف الحساب'!$D$4:$D$254,MATCH(38,'كشف الحساب'!$P$4:$P$254,0)),"")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الحساب'!$A$4:$A$254,MATCH(39,'كشف الحساب'!$P$4:$P$254,0)),"")</f>
        <v>46155</v>
      </c>
      <c r="B44" s="122" t="str">
        <f>IFERROR(INDEX('كشف الحساب'!$B$4:$B$254,MATCH(39,'كشف الحساب'!$P$4:$P$254,0)),"")</f>
        <v>Inv-46</v>
      </c>
      <c r="C44" s="121" t="str">
        <f>IFERROR(INDEX('كشف الحساب'!$C$4:$C$254,MATCH(39,'كشف الحساب'!$P$4:$P$254,0)),"")</f>
        <v>other</v>
      </c>
      <c r="D44" s="123">
        <f>IFERROR(INDEX('كشف الحساب'!$E$4:$E$254,MATCH(39,'كشف الحساب'!$P$4:$P$254,0)),"")</f>
        <v>3.6</v>
      </c>
      <c r="E44" s="124">
        <f>IFERROR(INDEX('كشف الحساب'!$D$4:$D$254,MATCH(39,'كشف الحساب'!$P$4:$P$254,0)),"")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الحساب'!$A$4:$A$254,MATCH(40,'كشف الحساب'!$P$4:$P$254,0)),"")</f>
        <v>46158</v>
      </c>
      <c r="B45" s="122" t="str">
        <f>IFERROR(INDEX('كشف الحساب'!$B$4:$B$254,MATCH(40,'كشف الحساب'!$P$4:$P$254,0)),"")</f>
        <v>Inv-47</v>
      </c>
      <c r="C45" s="121" t="str">
        <f>IFERROR(INDEX('كشف الحساب'!$C$4:$C$254,MATCH(40,'كشف الحساب'!$P$4:$P$254,0)),"")</f>
        <v>other</v>
      </c>
      <c r="D45" s="123">
        <f>IFERROR(INDEX('كشف الحساب'!$E$4:$E$254,MATCH(40,'كشف الحساب'!$P$4:$P$254,0)),"")</f>
        <v>3</v>
      </c>
      <c r="E45" s="124">
        <f>IFERROR(INDEX('كشف الحساب'!$D$4:$D$254,MATCH(40,'كشف الحساب'!$P$4:$P$254,0)),"")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الحساب'!$A$4:$A$254,MATCH(41,'كشف الحساب'!$P$4:$P$254,0)),"")</f>
        <v>46155</v>
      </c>
      <c r="B46" s="122">
        <f>IFERROR(INDEX('كشف الحساب'!$B$4:$B$254,MATCH(41,'كشف الحساب'!$P$4:$P$254,0)),"")</f>
        <v>0</v>
      </c>
      <c r="C46" s="121" t="str">
        <f>IFERROR(INDEX('كشف الحساب'!$C$4:$C$254,MATCH(41,'كشف الحساب'!$P$4:$P$254,0)),"")</f>
        <v>جبس لتغطيه المحميه</v>
      </c>
      <c r="D46" s="123">
        <f>IFERROR(INDEX('كشف الحساب'!$E$4:$E$254,MATCH(41,'كشف الحساب'!$P$4:$P$254,0)),"")</f>
        <v>0</v>
      </c>
      <c r="E46" s="124">
        <f>IFERROR(INDEX('كشف الحساب'!$D$4:$D$254,MATCH(41,'كشف الحساب'!$P$4:$P$254,0)),"")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الحساب'!$A$4:$A$254,MATCH(42,'كشف الحساب'!$P$4:$P$254,0)),"")</f>
        <v>46175</v>
      </c>
      <c r="B47" s="122" t="str">
        <f>IFERROR(INDEX('كشف الحساب'!$B$4:$B$254,MATCH(42,'كشف الحساب'!$P$4:$P$254,0)),"")</f>
        <v>Inv-53</v>
      </c>
      <c r="C47" s="121" t="str">
        <f>IFERROR(INDEX('كشف الحساب'!$C$4:$C$254,MATCH(42,'كشف الحساب'!$P$4:$P$254,0)),"")</f>
        <v>فل عدد 24 الحبه .750</v>
      </c>
      <c r="D47" s="123">
        <f>IFERROR(INDEX('كشف الحساب'!$E$4:$E$254,MATCH(42,'كشف الحساب'!$P$4:$P$254,0)),"")</f>
        <v>18</v>
      </c>
      <c r="E47" s="124">
        <f>IFERROR(INDEX('كشف الحساب'!$D$4:$D$254,MATCH(42,'كشف الحساب'!$P$4:$P$254,0)),"")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الحساب'!$A$4:$A$254,MATCH(43,'كشف الحساب'!$P$4:$P$254,0)),"")</f>
        <v>46175</v>
      </c>
      <c r="B48" s="122" t="str">
        <f>IFERROR(INDEX('كشف الحساب'!$B$4:$B$254,MATCH(43,'كشف الحساب'!$P$4:$P$254,0)),"")</f>
        <v>Inv-54</v>
      </c>
      <c r="C48" s="121" t="str">
        <f>IFERROR(INDEX('كشف الحساب'!$C$4:$C$254,MATCH(43,'كشف الحساب'!$P$4:$P$254,0)),"")</f>
        <v>دارسينا خضراء عدد 1 الحبه 2</v>
      </c>
      <c r="D48" s="123">
        <f>IFERROR(INDEX('كشف الحساب'!$E$4:$E$254,MATCH(43,'كشف الحساب'!$P$4:$P$254,0)),"")</f>
        <v>2</v>
      </c>
      <c r="E48" s="124">
        <f>IFERROR(INDEX('كشف الحساب'!$D$4:$D$254,MATCH(43,'كشف الحساب'!$P$4:$P$254,0)),"")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الحساب'!$A$4:$A$254,MATCH(44,'كشف الحساب'!$P$4:$P$254,0)),"")</f>
        <v>46175</v>
      </c>
      <c r="B49" s="122" t="str">
        <f>IFERROR(INDEX('كشف الحساب'!$B$4:$B$254,MATCH(44,'كشف الحساب'!$P$4:$P$254,0)),"")</f>
        <v>Inv-55</v>
      </c>
      <c r="C49" s="121" t="str">
        <f>IFERROR(INDEX('كشف الحساب'!$C$4:$C$254,MATCH(44,'كشف الحساب'!$P$4:$P$254,0)),"")</f>
        <v>افوبيا عدد 2 الحبه .750</v>
      </c>
      <c r="D49" s="123">
        <f>IFERROR(INDEX('كشف الحساب'!$E$4:$E$254,MATCH(44,'كشف الحساب'!$P$4:$P$254,0)),"")</f>
        <v>1.5</v>
      </c>
      <c r="E49" s="124">
        <f>IFERROR(INDEX('كشف الحساب'!$D$4:$D$254,MATCH(44,'كشف الحساب'!$P$4:$P$254,0)),"")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الحساب'!$A$4:$A$254,MATCH(45,'كشف الحساب'!$P$4:$P$254,0)),"")</f>
        <v>46175</v>
      </c>
      <c r="B50" s="122" t="str">
        <f>IFERROR(INDEX('كشف الحساب'!$B$4:$B$254,MATCH(45,'كشف الحساب'!$P$4:$P$254,0)),"")</f>
        <v>Inv-56</v>
      </c>
      <c r="C50" s="121" t="str">
        <f>IFERROR(INDEX('كشف الحساب'!$C$4:$C$254,MATCH(45,'كشف الحساب'!$P$4:$P$254,0)),"")</f>
        <v>دارسينا سوداء عدد 3 الحبه 1</v>
      </c>
      <c r="D50" s="123">
        <f>IFERROR(INDEX('كشف الحساب'!$E$4:$E$254,MATCH(45,'كشف الحساب'!$P$4:$P$254,0)),"")</f>
        <v>3</v>
      </c>
      <c r="E50" s="124">
        <f>IFERROR(INDEX('كشف الحساب'!$D$4:$D$254,MATCH(45,'كشف الحساب'!$P$4:$P$254,0)),"")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الحساب'!$A$4:$A$254,MATCH(46,'كشف الحساب'!$P$4:$P$254,0)),"")</f>
        <v>46177</v>
      </c>
      <c r="B51" s="122" t="str">
        <f>IFERROR(INDEX('كشف الحساب'!$B$4:$B$254,MATCH(46,'كشف الحساب'!$P$4:$P$254,0)),"")</f>
        <v>inv-57</v>
      </c>
      <c r="C51" s="121" t="str">
        <f>IFERROR(INDEX('كشف الحساب'!$C$4:$C$254,MATCH(46,'كشف الحساب'!$P$4:$P$254,0)),"")</f>
        <v>فوزير عدد1 قيمه 1</v>
      </c>
      <c r="D51" s="123">
        <f>IFERROR(INDEX('كشف الحساب'!$E$4:$E$254,MATCH(46,'كشف الحساب'!$P$4:$P$254,0)),"")</f>
        <v>1</v>
      </c>
      <c r="E51" s="124">
        <f>IFERROR(INDEX('كشف الحساب'!$D$4:$D$254,MATCH(46,'كشف الحساب'!$P$4:$P$254,0)),"")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الحساب'!$A$4:$A$254,MATCH(47,'كشف الحساب'!$P$4:$P$254,0)),"")</f>
        <v>46177</v>
      </c>
      <c r="B52" s="122">
        <f>IFERROR(INDEX('كشف الحساب'!$B$4:$B$254,MATCH(47,'كشف الحساب'!$P$4:$P$254,0)),"")</f>
        <v>0</v>
      </c>
      <c r="C52" s="121" t="str">
        <f>IFERROR(INDEX('كشف الحساب'!$C$4:$C$254,MATCH(47,'كشف الحساب'!$P$4:$P$254,0)),"")</f>
        <v>سماد</v>
      </c>
      <c r="D52" s="123">
        <f>IFERROR(INDEX('كشف الحساب'!$E$4:$E$254,MATCH(47,'كشف الحساب'!$P$4:$P$254,0)),"")</f>
        <v>0</v>
      </c>
      <c r="E52" s="124">
        <f>IFERROR(INDEX('كشف الحساب'!$D$4:$D$254,MATCH(47,'كشف الحساب'!$P$4:$P$254,0)),"")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الحساب'!$A$4:$A$254,MATCH(48,'كشف الحساب'!$P$4:$P$254,0)),"")</f>
        <v>46177</v>
      </c>
      <c r="B53" s="122">
        <f>IFERROR(INDEX('كشف الحساب'!$B$4:$B$254,MATCH(48,'كشف الحساب'!$P$4:$P$254,0)),"")</f>
        <v>0</v>
      </c>
      <c r="C53" s="121" t="str">
        <f>IFERROR(INDEX('كشف الحساب'!$C$4:$C$254,MATCH(48,'كشف الحساب'!$P$4:$P$254,0)),"")</f>
        <v>تاير لعربة الرش</v>
      </c>
      <c r="D53" s="123">
        <f>IFERROR(INDEX('كشف الحساب'!$E$4:$E$254,MATCH(48,'كشف الحساب'!$P$4:$P$254,0)),"")</f>
        <v>0</v>
      </c>
      <c r="E53" s="124">
        <f>IFERROR(INDEX('كشف الحساب'!$D$4:$D$254,MATCH(48,'كشف الحساب'!$P$4:$P$254,0)),"")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الحساب'!$A$4:$A$254,MATCH(49,'كشف الحساب'!$P$4:$P$254,0)),"")</f>
        <v>46177</v>
      </c>
      <c r="B54" s="122">
        <f>IFERROR(INDEX('كشف الحساب'!$B$4:$B$254,MATCH(49,'كشف الحساب'!$P$4:$P$254,0)),"")</f>
        <v>0</v>
      </c>
      <c r="C54" s="121" t="str">
        <f>IFERROR(INDEX('كشف الحساب'!$C$4:$C$254,MATCH(49,'كشف الحساب'!$P$4:$P$254,0)),"")</f>
        <v>حفاره خلط السماد</v>
      </c>
      <c r="D54" s="123">
        <f>IFERROR(INDEX('كشف الحساب'!$E$4:$E$254,MATCH(49,'كشف الحساب'!$P$4:$P$254,0)),"")</f>
        <v>0</v>
      </c>
      <c r="E54" s="124">
        <f>IFERROR(INDEX('كشف الحساب'!$D$4:$D$254,MATCH(49,'كشف الحساب'!$P$4:$P$254,0)),"")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الحساب'!$A$4:$A$254,MATCH(50,'كشف الحساب'!$P$4:$P$254,0)),"")</f>
        <v>46179</v>
      </c>
      <c r="B55" s="122" t="str">
        <f>IFERROR(INDEX('كشف الحساب'!$B$4:$B$254,MATCH(50,'كشف الحساب'!$P$4:$P$254,0)),"")</f>
        <v>Inv-58</v>
      </c>
      <c r="C55" s="121" t="str">
        <f>IFERROR(INDEX('كشف الحساب'!$C$4:$C$254,MATCH(50,'كشف الحساب'!$P$4:$P$254,0)),"")</f>
        <v>دارسينا عدد3 بقيمه 1 للحبه</v>
      </c>
      <c r="D55" s="123">
        <f>IFERROR(INDEX('كشف الحساب'!$E$4:$E$254,MATCH(50,'كشف الحساب'!$P$4:$P$254,0)),"")</f>
        <v>3</v>
      </c>
      <c r="E55" s="124">
        <f>IFERROR(INDEX('كشف الحساب'!$D$4:$D$254,MATCH(50,'كشف الحساب'!$P$4:$P$254,0)),"")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الحساب'!$A$4:$A$254,MATCH(51,'كشف الحساب'!$P$4:$P$254,0)),"")</f>
        <v>46179</v>
      </c>
      <c r="B56" s="122" t="str">
        <f>IFERROR(INDEX('كشف الحساب'!$B$4:$B$254,MATCH(51,'كشف الحساب'!$P$4:$P$254,0)),"")</f>
        <v>Inv-59</v>
      </c>
      <c r="C56" s="121" t="str">
        <f>IFERROR(INDEX('كشف الحساب'!$C$4:$C$254,MATCH(51,'كشف الحساب'!$P$4:$P$254,0)),"")</f>
        <v>ودليه عدد 1 بقيمه 1</v>
      </c>
      <c r="D56" s="123">
        <f>IFERROR(INDEX('كشف الحساب'!$E$4:$E$254,MATCH(51,'كشف الحساب'!$P$4:$P$254,0)),"")</f>
        <v>1</v>
      </c>
      <c r="E56" s="124">
        <f>IFERROR(INDEX('كشف الحساب'!$D$4:$D$254,MATCH(51,'كشف الحساب'!$P$4:$P$254,0)),"")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الحساب'!$A$4:$A$254,MATCH(52,'كشف الحساب'!$P$4:$P$254,0)),"")</f>
        <v>46179</v>
      </c>
      <c r="B57" s="122" t="str">
        <f>IFERROR(INDEX('كشف الحساب'!$B$4:$B$254,MATCH(52,'كشف الحساب'!$P$4:$P$254,0)),"")</f>
        <v>Inv-60</v>
      </c>
      <c r="C57" s="121" t="str">
        <f>IFERROR(INDEX('كشف الحساب'!$C$4:$C$254,MATCH(52,'كشف الحساب'!$P$4:$P$254,0)),"")</f>
        <v>دارسينا حمراء عدد 1 بقيمه 3</v>
      </c>
      <c r="D57" s="123">
        <f>IFERROR(INDEX('كشف الحساب'!$E$4:$E$254,MATCH(52,'كشف الحساب'!$P$4:$P$254,0)),"")</f>
        <v>3</v>
      </c>
      <c r="E57" s="124">
        <f>IFERROR(INDEX('كشف الحساب'!$D$4:$D$254,MATCH(52,'كشف الحساب'!$P$4:$P$254,0)),"")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الحساب'!$A$4:$A$254,MATCH(53,'كشف الحساب'!$P$4:$P$254,0)),"")</f>
        <v>46181</v>
      </c>
      <c r="B58" s="122" t="str">
        <f>IFERROR(INDEX('كشف الحساب'!$B$4:$B$254,MATCH(53,'كشف الحساب'!$P$4:$P$254,0)),"")</f>
        <v>Inv-61</v>
      </c>
      <c r="C58" s="121" t="str">
        <f>IFERROR(INDEX('كشف الحساب'!$C$4:$C$254,MATCH(53,'كشف الحساب'!$P$4:$P$254,0)),"")</f>
        <v>فل عدد 20 بقيمه 0.750</v>
      </c>
      <c r="D58" s="123">
        <f>IFERROR(INDEX('كشف الحساب'!$E$4:$E$254,MATCH(53,'كشف الحساب'!$P$4:$P$254,0)),"")</f>
        <v>15</v>
      </c>
      <c r="E58" s="124">
        <f>IFERROR(INDEX('كشف الحساب'!$D$4:$D$254,MATCH(53,'كشف الحساب'!$P$4:$P$254,0)),"")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الحساب'!$A$4:$A$254,MATCH(54,'كشف الحساب'!$P$4:$P$254,0)),"")</f>
        <v>46181</v>
      </c>
      <c r="B59" s="122">
        <f>IFERROR(INDEX('كشف الحساب'!$B$4:$B$254,MATCH(54,'كشف الحساب'!$P$4:$P$254,0)),"")</f>
        <v>0</v>
      </c>
      <c r="C59" s="121" t="str">
        <f>IFERROR(INDEX('كشف الحساب'!$C$4:$C$254,MATCH(54,'كشف الحساب'!$P$4:$P$254,0)),"")</f>
        <v>اسمنت اسود للمحميه الصغيره الجديده</v>
      </c>
      <c r="D59" s="123">
        <f>IFERROR(INDEX('كشف الحساب'!$E$4:$E$254,MATCH(54,'كشف الحساب'!$P$4:$P$254,0)),"")</f>
        <v>0</v>
      </c>
      <c r="E59" s="124">
        <f>IFERROR(INDEX('كشف الحساب'!$D$4:$D$254,MATCH(54,'كشف الحساب'!$P$4:$P$254,0)),"")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الحساب'!$A$4:$A$254,MATCH(55,'كشف الحساب'!$P$4:$P$254,0)),"")</f>
        <v>46181</v>
      </c>
      <c r="B60" s="122">
        <f>IFERROR(INDEX('كشف الحساب'!$B$4:$B$254,MATCH(55,'كشف الحساب'!$P$4:$P$254,0)),"")</f>
        <v>0</v>
      </c>
      <c r="C60" s="121" t="str">
        <f>IFERROR(INDEX('كشف الحساب'!$C$4:$C$254,MATCH(55,'كشف الحساب'!$P$4:$P$254,0)),"")</f>
        <v>حديد اسود للمحميه الصغيره الجديده</v>
      </c>
      <c r="D60" s="123">
        <f>IFERROR(INDEX('كشف الحساب'!$E$4:$E$254,MATCH(55,'كشف الحساب'!$P$4:$P$254,0)),"")</f>
        <v>0</v>
      </c>
      <c r="E60" s="124">
        <f>IFERROR(INDEX('كشف الحساب'!$D$4:$D$254,MATCH(55,'كشف الحساب'!$P$4:$P$254,0)),"")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الحساب'!$A$4:$A$254,MATCH(56,'كشف الحساب'!$P$4:$P$254,0)),"")</f>
        <v>46182</v>
      </c>
      <c r="B61" s="122" t="str">
        <f>IFERROR(INDEX('كشف الحساب'!$B$4:$B$254,MATCH(56,'كشف الحساب'!$P$4:$P$254,0)),"")</f>
        <v>Inv-62</v>
      </c>
      <c r="C61" s="121" t="str">
        <f>IFERROR(INDEX('كشف الحساب'!$C$4:$C$254,MATCH(56,'كشف الحساب'!$P$4:$P$254,0)),"")</f>
        <v>فل عدد 30 الحبه 0.750</v>
      </c>
      <c r="D61" s="123">
        <f>IFERROR(INDEX('كشف الحساب'!$E$4:$E$254,MATCH(56,'كشف الحساب'!$P$4:$P$254,0)),"")</f>
        <v>22.5</v>
      </c>
      <c r="E61" s="124">
        <f>IFERROR(INDEX('كشف الحساب'!$D$4:$D$254,MATCH(56,'كشف الحساب'!$P$4:$P$254,0)),"")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الحساب'!$A$4:$A$254,MATCH(57,'كشف الحساب'!$P$4:$P$254,0)),"")</f>
        <v>46184</v>
      </c>
      <c r="B62" s="122">
        <f>IFERROR(INDEX('كشف الحساب'!$B$4:$B$254,MATCH(57,'كشف الحساب'!$P$4:$P$254,0)),"")</f>
        <v>0</v>
      </c>
      <c r="C62" s="121" t="str">
        <f>IFERROR(INDEX('كشف الحساب'!$C$4:$C$254,MATCH(57,'كشف الحساب'!$P$4:$P$254,0)),"")</f>
        <v>براغي</v>
      </c>
      <c r="D62" s="123">
        <f>IFERROR(INDEX('كشف الحساب'!$E$4:$E$254,MATCH(57,'كشف الحساب'!$P$4:$P$254,0)),"")</f>
        <v>0</v>
      </c>
      <c r="E62" s="124">
        <f>IFERROR(INDEX('كشف الحساب'!$D$4:$D$254,MATCH(57,'كشف الحساب'!$P$4:$P$254,0)),"")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الحساب'!$A$4:$A$254,MATCH(58,'كشف الحساب'!$P$4:$P$254,0)),"")</f>
        <v>46185</v>
      </c>
      <c r="B63" s="122">
        <f>IFERROR(INDEX('كشف الحساب'!$B$4:$B$254,MATCH(58,'كشف الحساب'!$P$4:$P$254,0)),"")</f>
        <v>0</v>
      </c>
      <c r="C63" s="121" t="str">
        <f>IFERROR(INDEX('كشف الحساب'!$C$4:$C$254,MATCH(58,'كشف الحساب'!$P$4:$P$254,0)),"")</f>
        <v>رول لحيم</v>
      </c>
      <c r="D63" s="123">
        <f>IFERROR(INDEX('كشف الحساب'!$E$4:$E$254,MATCH(58,'كشف الحساب'!$P$4:$P$254,0)),"")</f>
        <v>0</v>
      </c>
      <c r="E63" s="124">
        <f>IFERROR(INDEX('كشف الحساب'!$D$4:$D$254,MATCH(58,'كشف الحساب'!$P$4:$P$254,0)),"")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الحساب'!$A$4:$A$254,MATCH(59,'كشف الحساب'!$P$4:$P$254,0)),"")</f>
        <v>46186</v>
      </c>
      <c r="B64" s="122" t="str">
        <f>IFERROR(INDEX('كشف الحساب'!$B$4:$B$254,MATCH(59,'كشف الحساب'!$P$4:$P$254,0)),"")</f>
        <v>Inv-64</v>
      </c>
      <c r="C64" s="121" t="str">
        <f>IFERROR(INDEX('كشف الحساب'!$C$4:$C$254,MATCH(59,'كشف الحساب'!$P$4:$P$254,0)),"")</f>
        <v>معلقات عدد 10 الحبه 1</v>
      </c>
      <c r="D64" s="123">
        <f>IFERROR(INDEX('كشف الحساب'!$E$4:$E$254,MATCH(59,'كشف الحساب'!$P$4:$P$254,0)),"")</f>
        <v>10</v>
      </c>
      <c r="E64" s="124">
        <f>IFERROR(INDEX('كشف الحساب'!$D$4:$D$254,MATCH(59,'كشف الحساب'!$P$4:$P$254,0)),"")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الحساب'!$A$4:$A$254,MATCH(60,'كشف الحساب'!$P$4:$P$254,0)),"")</f>
        <v>46186</v>
      </c>
      <c r="B65" s="122" t="str">
        <f>IFERROR(INDEX('كشف الحساب'!$B$4:$B$254,MATCH(60,'كشف الحساب'!$P$4:$P$254,0)),"")</f>
        <v>Inv-65</v>
      </c>
      <c r="C65" s="121" t="str">
        <f>IFERROR(INDEX('كشف الحساب'!$C$4:$C$254,MATCH(60,'كشف الحساب'!$P$4:$P$254,0)),"")</f>
        <v>ودوليه عدد 5 الحبه 1</v>
      </c>
      <c r="D65" s="123">
        <f>IFERROR(INDEX('كشف الحساب'!$E$4:$E$254,MATCH(60,'كشف الحساب'!$P$4:$P$254,0)),"")</f>
        <v>5</v>
      </c>
      <c r="E65" s="124">
        <f>IFERROR(INDEX('كشف الحساب'!$D$4:$D$254,MATCH(60,'كشف الحساب'!$P$4:$P$254,0)),"")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الحساب'!$A$4:$A$254,MATCH(61,'كشف الحساب'!$P$4:$P$254,0)),"")</f>
        <v>46189</v>
      </c>
      <c r="B66" s="122" t="str">
        <f>IFERROR(INDEX('كشف الحساب'!$B$4:$B$254,MATCH(61,'كشف الحساب'!$P$4:$P$254,0)),"")</f>
        <v>Inv-66</v>
      </c>
      <c r="C66" s="121" t="str">
        <f>IFERROR(INDEX('كشف الحساب'!$C$4:$C$254,MATCH(61,'كشف الحساب'!$P$4:$P$254,0)),"")</f>
        <v>شوكليرا عدد10 الحبه 1.500</v>
      </c>
      <c r="D66" s="123">
        <f>IFERROR(INDEX('كشف الحساب'!$E$4:$E$254,MATCH(61,'كشف الحساب'!$P$4:$P$254,0)),"")</f>
        <v>15</v>
      </c>
      <c r="E66" s="124">
        <f>IFERROR(INDEX('كشف الحساب'!$D$4:$D$254,MATCH(61,'كشف الحساب'!$P$4:$P$254,0)),"")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الحساب'!$A$4:$A$254,MATCH(62,'كشف الحساب'!$P$4:$P$254,0)),"")</f>
        <v>46189</v>
      </c>
      <c r="B67" s="122" t="str">
        <f>IFERROR(INDEX('كشف الحساب'!$B$4:$B$254,MATCH(62,'كشف الحساب'!$P$4:$P$254,0)),"")</f>
        <v>Inv-67</v>
      </c>
      <c r="C67" s="121" t="str">
        <f>IFERROR(INDEX('كشف الحساب'!$C$4:$C$254,MATCH(62,'كشف الحساب'!$P$4:$P$254,0)),"")</f>
        <v>فيكس عدد7 الحبه 1</v>
      </c>
      <c r="D67" s="123">
        <f>IFERROR(INDEX('كشف الحساب'!$E$4:$E$254,MATCH(62,'كشف الحساب'!$P$4:$P$254,0)),"")</f>
        <v>7</v>
      </c>
      <c r="E67" s="124">
        <f>IFERROR(INDEX('كشف الحساب'!$D$4:$D$254,MATCH(62,'كشف الحساب'!$P$4:$P$254,0)),"")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الحساب'!$A$4:$A$254,MATCH(63,'كشف الحساب'!$P$4:$P$254,0)),"")</f>
        <v>46189</v>
      </c>
      <c r="B68" s="122" t="str">
        <f>IFERROR(INDEX('كشف الحساب'!$B$4:$B$254,MATCH(63,'كشف الحساب'!$P$4:$P$254,0)),"")</f>
        <v>Inv-68</v>
      </c>
      <c r="C68" s="121" t="str">
        <f>IFERROR(INDEX('كشف الحساب'!$C$4:$C$254,MATCH(63,'كشف الحساب'!$P$4:$P$254,0)),"")</f>
        <v>ربل عدد 5 الحبه 2</v>
      </c>
      <c r="D68" s="123">
        <f>IFERROR(INDEX('كشف الحساب'!$E$4:$E$254,MATCH(63,'كشف الحساب'!$P$4:$P$254,0)),"")</f>
        <v>10</v>
      </c>
      <c r="E68" s="124">
        <f>IFERROR(INDEX('كشف الحساب'!$D$4:$D$254,MATCH(63,'كشف الحساب'!$P$4:$P$254,0)),"")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الحساب'!$A$4:$A$254,MATCH(64,'كشف الحساب'!$P$4:$P$254,0)),"")</f>
        <v>46189</v>
      </c>
      <c r="B69" s="122" t="str">
        <f>IFERROR(INDEX('كشف الحساب'!$B$4:$B$254,MATCH(64,'كشف الحساب'!$P$4:$P$254,0)),"")</f>
        <v>Inv-69</v>
      </c>
      <c r="C69" s="121" t="str">
        <f>IFERROR(INDEX('كشف الحساب'!$C$4:$C$254,MATCH(64,'كشف الحساب'!$P$4:$P$254,0)),"")</f>
        <v>فل عدد 24 الحبه .750</v>
      </c>
      <c r="D69" s="123">
        <f>IFERROR(INDEX('كشف الحساب'!$E$4:$E$254,MATCH(64,'كشف الحساب'!$P$4:$P$254,0)),"")</f>
        <v>18</v>
      </c>
      <c r="E69" s="124">
        <f>IFERROR(INDEX('كشف الحساب'!$D$4:$D$254,MATCH(64,'كشف الحساب'!$P$4:$P$254,0)),"")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الحساب'!$A$4:$A$254,MATCH(65,'كشف الحساب'!$P$4:$P$254,0)),"")</f>
        <v>46188</v>
      </c>
      <c r="B70" s="122">
        <f>IFERROR(INDEX('كشف الحساب'!$B$4:$B$254,MATCH(65,'كشف الحساب'!$P$4:$P$254,0)),"")</f>
        <v>0</v>
      </c>
      <c r="C70" s="121" t="str">
        <f>IFERROR(INDEX('كشف الحساب'!$C$4:$C$254,MATCH(65,'كشف الحساب'!$P$4:$P$254,0)),"")</f>
        <v>أقامه عبدول</v>
      </c>
      <c r="D70" s="123">
        <f>IFERROR(INDEX('كشف الحساب'!$E$4:$E$254,MATCH(65,'كشف الحساب'!$P$4:$P$254,0)),"")</f>
        <v>0</v>
      </c>
      <c r="E70" s="124">
        <f>IFERROR(INDEX('كشف الحساب'!$D$4:$D$254,MATCH(65,'كشف الحساب'!$P$4:$P$254,0)),"")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الحساب'!$A$4:$A$254,MATCH(66,'كشف الحساب'!$P$4:$P$254,0)),"")</f>
        <v>46190</v>
      </c>
      <c r="B71" s="122" t="str">
        <f>IFERROR(INDEX('كشف الحساب'!$B$4:$B$254,MATCH(66,'كشف الحساب'!$P$4:$P$254,0)),"")</f>
        <v>Inv-70</v>
      </c>
      <c r="C71" s="121" t="str">
        <f>IFERROR(INDEX('كشف الحساب'!$C$4:$C$254,MATCH(66,'كشف الحساب'!$P$4:$P$254,0)),"")</f>
        <v>افوبياعدد 1 الحبه .0.750</v>
      </c>
      <c r="D71" s="123">
        <f>IFERROR(INDEX('كشف الحساب'!$E$4:$E$254,MATCH(66,'كشف الحساب'!$P$4:$P$254,0)),"")</f>
        <v>0.75</v>
      </c>
      <c r="E71" s="124">
        <f>IFERROR(INDEX('كشف الحساب'!$D$4:$D$254,MATCH(66,'كشف الحساب'!$P$4:$P$254,0)),"")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الحساب'!$A$4:$A$254,MATCH(67,'كشف الحساب'!$P$4:$P$254,0)),"")</f>
        <v>46190</v>
      </c>
      <c r="B72" s="122" t="str">
        <f>IFERROR(INDEX('كشف الحساب'!$B$4:$B$254,MATCH(67,'كشف الحساب'!$P$4:$P$254,0)),"")</f>
        <v>Inv-71</v>
      </c>
      <c r="C72" s="121" t="str">
        <f>IFERROR(INDEX('كشف الحساب'!$C$4:$C$254,MATCH(67,'كشف الحساب'!$P$4:$P$254,0)),"")</f>
        <v>دارسينا عدد 1 الحبه 1.500</v>
      </c>
      <c r="D72" s="123">
        <f>IFERROR(INDEX('كشف الحساب'!$E$4:$E$254,MATCH(67,'كشف الحساب'!$P$4:$P$254,0)),"")</f>
        <v>1.5</v>
      </c>
      <c r="E72" s="124">
        <f>IFERROR(INDEX('كشف الحساب'!$D$4:$D$254,MATCH(67,'كشف الحساب'!$P$4:$P$254,0)),"")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الحساب'!$A$4:$A$254,MATCH(68,'كشف الحساب'!$P$4:$P$254,0)),"")</f>
        <v>46191</v>
      </c>
      <c r="B73" s="122" t="str">
        <f>IFERROR(INDEX('كشف الحساب'!$B$4:$B$254,MATCH(68,'كشف الحساب'!$P$4:$P$254,0)),"")</f>
        <v>Inv-72</v>
      </c>
      <c r="C73" s="121" t="str">
        <f>IFERROR(INDEX('كشف الحساب'!$C$4:$C$254,MATCH(68,'كشف الحساب'!$P$4:$P$254,0)),"")</f>
        <v>فل عدد 1 الحبه 0.750</v>
      </c>
      <c r="D73" s="123">
        <f>IFERROR(INDEX('كشف الحساب'!$E$4:$E$254,MATCH(68,'كشف الحساب'!$P$4:$P$254,0)),"")</f>
        <v>0.75</v>
      </c>
      <c r="E73" s="124">
        <f>IFERROR(INDEX('كشف الحساب'!$D$4:$D$254,MATCH(68,'كشف الحساب'!$P$4:$P$254,0)),"")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الحساب'!$A$4:$A$254,MATCH(69,'كشف الحساب'!$P$4:$P$254,0)),"")</f>
        <v>46191</v>
      </c>
      <c r="B74" s="122" t="str">
        <f>IFERROR(INDEX('كشف الحساب'!$B$4:$B$254,MATCH(69,'كشف الحساب'!$P$4:$P$254,0)),"")</f>
        <v>Inv-73</v>
      </c>
      <c r="C74" s="121" t="str">
        <f>IFERROR(INDEX('كشف الحساب'!$C$4:$C$254,MATCH(69,'كشف الحساب'!$P$4:$P$254,0)),"")</f>
        <v>ودليه عدد 3 الحبه 1</v>
      </c>
      <c r="D74" s="123">
        <f>IFERROR(INDEX('كشف الحساب'!$E$4:$E$254,MATCH(69,'كشف الحساب'!$P$4:$P$254,0)),"")</f>
        <v>3</v>
      </c>
      <c r="E74" s="124">
        <f>IFERROR(INDEX('كشف الحساب'!$D$4:$D$254,MATCH(69,'كشف الحساب'!$P$4:$P$254,0)),"")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الحساب'!$A$4:$A$254,MATCH(70,'كشف الحساب'!$P$4:$P$254,0)),"")</f>
        <v>46199</v>
      </c>
      <c r="B75" s="122" t="str">
        <f>IFERROR(INDEX('كشف الحساب'!$B$4:$B$254,MATCH(70,'كشف الحساب'!$P$4:$P$254,0)),"")</f>
        <v>Inv-74</v>
      </c>
      <c r="C75" s="121" t="str">
        <f>IFERROR(INDEX('كشف الحساب'!$C$4:$C$254,MATCH(70,'كشف الحساب'!$P$4:$P$254,0)),"")</f>
        <v>ربل عدد 11 الحبه 2</v>
      </c>
      <c r="D75" s="123">
        <f>IFERROR(INDEX('كشف الحساب'!$E$4:$E$254,MATCH(70,'كشف الحساب'!$P$4:$P$254,0)),"")</f>
        <v>22</v>
      </c>
      <c r="E75" s="124">
        <f>IFERROR(INDEX('كشف الحساب'!$D$4:$D$254,MATCH(70,'كشف الحساب'!$P$4:$P$254,0)),"")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الحساب'!$A$4:$A$254,MATCH(71,'كشف الحساب'!$P$4:$P$254,0)),"")</f>
        <v>46199</v>
      </c>
      <c r="B76" s="122" t="str">
        <f>IFERROR(INDEX('كشف الحساب'!$B$4:$B$254,MATCH(71,'كشف الحساب'!$P$4:$P$254,0)),"")</f>
        <v>Inv-75</v>
      </c>
      <c r="C76" s="121" t="str">
        <f>IFERROR(INDEX('كشف الحساب'!$C$4:$C$254,MATCH(71,'كشف الحساب'!$P$4:$P$254,0)),"")</f>
        <v>شوفليرا عدد6 الحبه 1.500</v>
      </c>
      <c r="D76" s="123">
        <f>IFERROR(INDEX('كشف الحساب'!$E$4:$E$254,MATCH(71,'كشف الحساب'!$P$4:$P$254,0)),"")</f>
        <v>9</v>
      </c>
      <c r="E76" s="124">
        <f>IFERROR(INDEX('كشف الحساب'!$D$4:$D$254,MATCH(71,'كشف الحساب'!$P$4:$P$254,0)),"")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الحساب'!$A$4:$A$254,MATCH(72,'كشف الحساب'!$P$4:$P$254,0)),"")</f>
        <v>46197</v>
      </c>
      <c r="B77" s="122">
        <f>IFERROR(INDEX('كشف الحساب'!$B$4:$B$254,MATCH(72,'كشف الحساب'!$P$4:$P$254,0)),"")</f>
        <v>0</v>
      </c>
      <c r="C77" s="121" t="str">
        <f>IFERROR(INDEX('كشف الحساب'!$C$4:$C$254,MATCH(72,'كشف الحساب'!$P$4:$P$254,0)),"")</f>
        <v>nbk 18-18-18</v>
      </c>
      <c r="D77" s="123">
        <f>IFERROR(INDEX('كشف الحساب'!$E$4:$E$254,MATCH(72,'كشف الحساب'!$P$4:$P$254,0)),"")</f>
        <v>0</v>
      </c>
      <c r="E77" s="124">
        <f>IFERROR(INDEX('كشف الحساب'!$D$4:$D$254,MATCH(72,'كشف الحساب'!$P$4:$P$254,0)),"")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الحساب'!$A$4:$A$254,MATCH(73,'كشف الحساب'!$P$4:$P$254,0)),"")</f>
        <v>46201</v>
      </c>
      <c r="B78" s="122" t="str">
        <f>IFERROR(INDEX('كشف الحساب'!$B$4:$B$254,MATCH(73,'كشف الحساب'!$P$4:$P$254,0)),"")</f>
        <v>Inv-76</v>
      </c>
      <c r="C78" s="121" t="str">
        <f>IFERROR(INDEX('كشف الحساب'!$C$4:$C$254,MATCH(73,'كشف الحساب'!$P$4:$P$254,0)),"")</f>
        <v>فل عدد 11 الحبه 0.750</v>
      </c>
      <c r="D78" s="123">
        <f>IFERROR(INDEX('كشف الحساب'!$E$4:$E$254,MATCH(73,'كشف الحساب'!$P$4:$P$254,0)),"")</f>
        <v>8.25</v>
      </c>
      <c r="E78" s="124">
        <f>IFERROR(INDEX('كشف الحساب'!$D$4:$D$254,MATCH(73,'كشف الحساب'!$P$4:$P$254,0)),"")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الحساب'!$A$4:$A$254,MATCH(74,'كشف الحساب'!$P$4:$P$254,0)),"")</f>
        <v>46202</v>
      </c>
      <c r="B79" s="122" t="str">
        <f>IFERROR(INDEX('كشف الحساب'!$B$4:$B$254,MATCH(74,'كشف الحساب'!$P$4:$P$254,0)),"")</f>
        <v>Inv-77</v>
      </c>
      <c r="C79" s="121" t="str">
        <f>IFERROR(INDEX('كشف الحساب'!$C$4:$C$254,MATCH(74,'كشف الحساب'!$P$4:$P$254,0)),"")</f>
        <v>عطره عدد 3 الحبه 0.750</v>
      </c>
      <c r="D79" s="123">
        <f>IFERROR(INDEX('كشف الحساب'!$E$4:$E$254,MATCH(74,'كشف الحساب'!$P$4:$P$254,0)),"")</f>
        <v>2.25</v>
      </c>
      <c r="E79" s="124">
        <f>IFERROR(INDEX('كشف الحساب'!$D$4:$D$254,MATCH(74,'كشف الحساب'!$P$4:$P$254,0)),"")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الحساب'!$A$4:$A$254,MATCH(75,'كشف الحساب'!$P$4:$P$254,0)),"")</f>
        <v>46202</v>
      </c>
      <c r="B80" s="122" t="str">
        <f>IFERROR(INDEX('كشف الحساب'!$B$4:$B$254,MATCH(75,'كشف الحساب'!$P$4:$P$254,0)),"")</f>
        <v>Inv-78</v>
      </c>
      <c r="C80" s="121" t="str">
        <f>IFERROR(INDEX('كشف الحساب'!$C$4:$C$254,MATCH(75,'كشف الحساب'!$P$4:$P$254,0)),"")</f>
        <v>معلقات عدد 3 الحبه 1</v>
      </c>
      <c r="D80" s="123">
        <f>IFERROR(INDEX('كشف الحساب'!$E$4:$E$254,MATCH(75,'كشف الحساب'!$P$4:$P$254,0)),"")</f>
        <v>3</v>
      </c>
      <c r="E80" s="124">
        <f>IFERROR(INDEX('كشف الحساب'!$D$4:$D$254,MATCH(75,'كشف الحساب'!$P$4:$P$254,0)),"")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الحساب'!$A$4:$A$254,MATCH(76,'كشف الحساب'!$P$4:$P$254,0)),"")</f>
        <v>46203</v>
      </c>
      <c r="B81" s="122" t="str">
        <f>IFERROR(INDEX('كشف الحساب'!$B$4:$B$254,MATCH(76,'كشف الحساب'!$P$4:$P$254,0)),"")</f>
        <v>Inv-79</v>
      </c>
      <c r="C81" s="121" t="str">
        <f>IFERROR(INDEX('كشف الحساب'!$C$4:$C$254,MATCH(76,'كشف الحساب'!$P$4:$P$254,0)),"")</f>
        <v>معلقات عدد 4 الحبه 1</v>
      </c>
      <c r="D81" s="123">
        <f>IFERROR(INDEX('كشف الحساب'!$E$4:$E$254,MATCH(76,'كشف الحساب'!$P$4:$P$254,0)),"")</f>
        <v>4</v>
      </c>
      <c r="E81" s="124">
        <f>IFERROR(INDEX('كشف الحساب'!$D$4:$D$254,MATCH(76,'كشف الحساب'!$P$4:$P$254,0)),"")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الحساب'!$A$4:$A$254,MATCH(77,'كشف الحساب'!$P$4:$P$254,0)),"")</f>
        <v>46203</v>
      </c>
      <c r="B82" s="122" t="str">
        <f>IFERROR(INDEX('كشف الحساب'!$B$4:$B$254,MATCH(77,'كشف الحساب'!$P$4:$P$254,0)),"")</f>
        <v>Inv-80</v>
      </c>
      <c r="C82" s="121" t="str">
        <f>IFERROR(INDEX('كشف الحساب'!$C$4:$C$254,MATCH(77,'كشف الحساب'!$P$4:$P$254,0)),"")</f>
        <v>معلقات عدد4 الحبه 1</v>
      </c>
      <c r="D82" s="123">
        <f>IFERROR(INDEX('كشف الحساب'!$E$4:$E$254,MATCH(77,'كشف الحساب'!$P$4:$P$254,0)),"")</f>
        <v>4</v>
      </c>
      <c r="E82" s="124">
        <f>IFERROR(INDEX('كشف الحساب'!$D$4:$D$254,MATCH(77,'كشف الحساب'!$P$4:$P$254,0)),"")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الحساب'!$A$4:$A$254,MATCH(78,'كشف الحساب'!$P$4:$P$254,0)),"")</f>
        <v>46203</v>
      </c>
      <c r="B83" s="122" t="str">
        <f>IFERROR(INDEX('كشف الحساب'!$B$4:$B$254,MATCH(78,'كشف الحساب'!$P$4:$P$254,0)),"")</f>
        <v>Inv-81</v>
      </c>
      <c r="C83" s="121" t="str">
        <f>IFERROR(INDEX('كشف الحساب'!$C$4:$C$254,MATCH(78,'كشف الحساب'!$P$4:$P$254,0)),"")</f>
        <v>افوبيا عدد 2 الحبه 1</v>
      </c>
      <c r="D83" s="123">
        <f>IFERROR(INDEX('كشف الحساب'!$E$4:$E$254,MATCH(78,'كشف الحساب'!$P$4:$P$254,0)),"")</f>
        <v>2</v>
      </c>
      <c r="E83" s="124">
        <f>IFERROR(INDEX('كشف الحساب'!$D$4:$D$254,MATCH(78,'كشف الحساب'!$P$4:$P$254,0)),"")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الحساب'!$A$4:$A$254,MATCH(79,'كشف الحساب'!$P$4:$P$254,0)),"")</f>
        <v>46203</v>
      </c>
      <c r="B84" s="122">
        <f>IFERROR(INDEX('كشف الحساب'!$B$4:$B$254,MATCH(79,'كشف الحساب'!$P$4:$P$254,0)),"")</f>
        <v>0</v>
      </c>
      <c r="C84" s="121" t="str">
        <f>IFERROR(INDEX('كشف الحساب'!$C$4:$C$254,MATCH(79,'كشف الحساب'!$P$4:$P$254,0)),"")</f>
        <v>رواتب عماله شهر يونيو 2026</v>
      </c>
      <c r="D84" s="123">
        <f>IFERROR(INDEX('كشف الحساب'!$E$4:$E$254,MATCH(79,'كشف الحساب'!$P$4:$P$254,0)),"")</f>
        <v>0</v>
      </c>
      <c r="E84" s="124">
        <f>IFERROR(INDEX('كشف الحساب'!$D$4:$D$254,MATCH(79,'كشف الحساب'!$P$4:$P$254,0)),"")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الحساب'!$A$4:$A$254,MATCH(80,'كشف الحساب'!$P$4:$P$254,0)),"")</f>
        <v>46203</v>
      </c>
      <c r="B85" s="122">
        <f>IFERROR(INDEX('كشف الحساب'!$B$4:$B$254,MATCH(80,'كشف الحساب'!$P$4:$P$254,0)),"")</f>
        <v>0</v>
      </c>
      <c r="C85" s="121" t="str">
        <f>IFERROR(INDEX('كشف الحساب'!$C$4:$C$254,MATCH(80,'كشف الحساب'!$P$4:$P$254,0)),"")</f>
        <v>احواض عدد 1000 مقاس 25 سم</v>
      </c>
      <c r="D85" s="123">
        <f>IFERROR(INDEX('كشف الحساب'!$E$4:$E$254,MATCH(80,'كشف الحساب'!$P$4:$P$254,0)),"")</f>
        <v>0</v>
      </c>
      <c r="E85" s="124">
        <f>IFERROR(INDEX('كشف الحساب'!$D$4:$D$254,MATCH(80,'كشف الحساب'!$P$4:$P$254,0)),"")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الحساب'!$A$4:$A$254,MATCH(81,'كشف الحساب'!$P$4:$P$254,0)),"")</f>
        <v>46207</v>
      </c>
      <c r="B86" s="122">
        <f>IFERROR(INDEX('كشف الحساب'!$B$4:$B$254,MATCH(81,'كشف الحساب'!$P$4:$P$254,0)),"")</f>
        <v>0</v>
      </c>
      <c r="C86" s="121" t="str">
        <f>IFERROR(INDEX('كشف الحساب'!$C$4:$C$254,MATCH(81,'كشف الحساب'!$P$4:$P$254,0)),"")</f>
        <v>احواض عدد 1000 مقاس 14 سم</v>
      </c>
      <c r="D86" s="123">
        <f>IFERROR(INDEX('كشف الحساب'!$E$4:$E$254,MATCH(81,'كشف الحساب'!$P$4:$P$254,0)),"")</f>
        <v>0</v>
      </c>
      <c r="E86" s="124">
        <f>IFERROR(INDEX('كشف الحساب'!$D$4:$D$254,MATCH(81,'كشف الحساب'!$P$4:$P$254,0)),"")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الحساب'!$A$4:$A$254,MATCH(82,'كشف الحساب'!$P$4:$P$254,0)),"")</f>
        <v>46206</v>
      </c>
      <c r="B87" s="122" t="str">
        <f>IFERROR(INDEX('كشف الحساب'!$B$4:$B$254,MATCH(82,'كشف الحساب'!$P$4:$P$254,0)),"")</f>
        <v>Inv-82</v>
      </c>
      <c r="C87" s="121" t="str">
        <f>IFERROR(INDEX('كشف الحساب'!$C$4:$C$254,MATCH(82,'كشف الحساب'!$P$4:$P$254,0)),"")</f>
        <v>دارسينا عدد 1 بقيمه 2.500</v>
      </c>
      <c r="D87" s="123">
        <f>IFERROR(INDEX('كشف الحساب'!$E$4:$E$254,MATCH(82,'كشف الحساب'!$P$4:$P$254,0)),"")</f>
        <v>2.5</v>
      </c>
      <c r="E87" s="124">
        <f>IFERROR(INDEX('كشف الحساب'!$D$4:$D$254,MATCH(82,'كشف الحساب'!$P$4:$P$254,0)),"")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الحساب'!$A$4:$A$254,MATCH(83,'كشف الحساب'!$P$4:$P$254,0)),"")</f>
        <v>46207</v>
      </c>
      <c r="B88" s="122" t="str">
        <f>IFERROR(INDEX('كشف الحساب'!$B$4:$B$254,MATCH(83,'كشف الحساب'!$P$4:$P$254,0)),"")</f>
        <v>Inv-83</v>
      </c>
      <c r="C88" s="121" t="str">
        <f>IFERROR(INDEX('كشف الحساب'!$C$4:$C$254,MATCH(83,'كشف الحساب'!$P$4:$P$254,0)),"")</f>
        <v>ودليه عدد13 الحبه 1</v>
      </c>
      <c r="D88" s="123">
        <f>IFERROR(INDEX('كشف الحساب'!$E$4:$E$254,MATCH(83,'كشف الحساب'!$P$4:$P$254,0)),"")</f>
        <v>13</v>
      </c>
      <c r="E88" s="124">
        <f>IFERROR(INDEX('كشف الحساب'!$D$4:$D$254,MATCH(83,'كشف الحساب'!$P$4:$P$254,0)),"")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الحساب'!$A$4:$A$254,MATCH(84,'كشف الحساب'!$P$4:$P$254,0)),"")</f>
        <v>46207</v>
      </c>
      <c r="B89" s="122" t="str">
        <f>IFERROR(INDEX('كشف الحساب'!$B$4:$B$254,MATCH(84,'كشف الحساب'!$P$4:$P$254,0)),"")</f>
        <v>Inv-84</v>
      </c>
      <c r="C89" s="121" t="str">
        <f>IFERROR(INDEX('كشف الحساب'!$C$4:$C$254,MATCH(84,'كشف الحساب'!$P$4:$P$254,0)),"")</f>
        <v>معلقات عدد 4 الحبه 2</v>
      </c>
      <c r="D89" s="123">
        <f>IFERROR(INDEX('كشف الحساب'!$E$4:$E$254,MATCH(84,'كشف الحساب'!$P$4:$P$254,0)),"")</f>
        <v>8</v>
      </c>
      <c r="E89" s="124">
        <f>IFERROR(INDEX('كشف الحساب'!$D$4:$D$254,MATCH(84,'كشف الحساب'!$P$4:$P$254,0)),"")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الحساب'!$A$4:$A$254,MATCH(85,'كشف الحساب'!$P$4:$P$254,0)),"")</f>
        <v>46211</v>
      </c>
      <c r="B90" s="122" t="str">
        <f>IFERROR(INDEX('كشف الحساب'!$B$4:$B$254,MATCH(85,'كشف الحساب'!$P$4:$P$254,0)),"")</f>
        <v>Inv-85</v>
      </c>
      <c r="C90" s="121" t="str">
        <f>IFERROR(INDEX('كشف الحساب'!$C$4:$C$254,MATCH(85,'كشف الحساب'!$P$4:$P$254,0)),"")</f>
        <v>عطريات عدد8 الحبه 1</v>
      </c>
      <c r="D90" s="123">
        <f>IFERROR(INDEX('كشف الحساب'!$E$4:$E$254,MATCH(85,'كشف الحساب'!$P$4:$P$254,0)),"")</f>
        <v>8</v>
      </c>
      <c r="E90" s="124">
        <f>IFERROR(INDEX('كشف الحساب'!$D$4:$D$254,MATCH(85,'كشف الحساب'!$P$4:$P$254,0)),"")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الحساب'!$A$4:$A$254,MATCH(86,'كشف الحساب'!$P$4:$P$254,0)),"")</f>
        <v>46211</v>
      </c>
      <c r="B91" s="122" t="str">
        <f>IFERROR(INDEX('كشف الحساب'!$B$4:$B$254,MATCH(86,'كشف الحساب'!$P$4:$P$254,0)),"")</f>
        <v>Inv-86</v>
      </c>
      <c r="C91" s="121" t="str">
        <f>IFERROR(INDEX('كشف الحساب'!$C$4:$C$254,MATCH(86,'كشف الحساب'!$P$4:$P$254,0)),"")</f>
        <v>دارسينا سوداء عدد 12 الحبه 2</v>
      </c>
      <c r="D91" s="123">
        <f>IFERROR(INDEX('كشف الحساب'!$E$4:$E$254,MATCH(86,'كشف الحساب'!$P$4:$P$254,0)),"")</f>
        <v>24</v>
      </c>
      <c r="E91" s="124">
        <f>IFERROR(INDEX('كشف الحساب'!$D$4:$D$254,MATCH(86,'كشف الحساب'!$P$4:$P$254,0)),"")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الحساب'!$A$4:$A$254,MATCH(87,'كشف الحساب'!$P$4:$P$254,0)),"")</f>
        <v>46211</v>
      </c>
      <c r="B92" s="122" t="str">
        <f>IFERROR(INDEX('كشف الحساب'!$B$4:$B$254,MATCH(87,'كشف الحساب'!$P$4:$P$254,0)),"")</f>
        <v>Inv-87</v>
      </c>
      <c r="C92" s="121" t="str">
        <f>IFERROR(INDEX('كشف الحساب'!$C$4:$C$254,MATCH(87,'كشف الحساب'!$P$4:$P$254,0)),"")</f>
        <v>عطريات عدد 8 الحبه 1</v>
      </c>
      <c r="D92" s="123">
        <f>IFERROR(INDEX('كشف الحساب'!$E$4:$E$254,MATCH(87,'كشف الحساب'!$P$4:$P$254,0)),"")</f>
        <v>8</v>
      </c>
      <c r="E92" s="124">
        <f>IFERROR(INDEX('كشف الحساب'!$D$4:$D$254,MATCH(87,'كشف الحساب'!$P$4:$P$254,0)),"")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الحساب'!$A$4:$A$254,MATCH(88,'كشف الحساب'!$P$4:$P$254,0)),"")</f>
        <v>46212</v>
      </c>
      <c r="B93" s="122" t="str">
        <f>IFERROR(INDEX('كشف الحساب'!$B$4:$B$254,MATCH(88,'كشف الحساب'!$P$4:$P$254,0)),"")</f>
        <v>Inv-88</v>
      </c>
      <c r="C93" s="121" t="str">
        <f>IFERROR(INDEX('كشف الحساب'!$C$4:$C$254,MATCH(88,'كشف الحساب'!$P$4:$P$254,0)),"")</f>
        <v>دارسنا عدد1 الحبه 5</v>
      </c>
      <c r="D93" s="123">
        <f>IFERROR(INDEX('كشف الحساب'!$E$4:$E$254,MATCH(88,'كشف الحساب'!$P$4:$P$254,0)),"")</f>
        <v>5</v>
      </c>
      <c r="E93" s="124">
        <f>IFERROR(INDEX('كشف الحساب'!$D$4:$D$254,MATCH(88,'كشف الحساب'!$P$4:$P$254,0)),"")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الحساب'!$A$4:$A$254,MATCH(89,'كشف الحساب'!$P$4:$P$254,0)),"")</f>
        <v>46212</v>
      </c>
      <c r="B94" s="122" t="str">
        <f>IFERROR(INDEX('كشف الحساب'!$B$4:$B$254,MATCH(89,'كشف الحساب'!$P$4:$P$254,0)),"")</f>
        <v>Inv-89</v>
      </c>
      <c r="C94" s="121" t="str">
        <f>IFERROR(INDEX('كشف الحساب'!$C$4:$C$254,MATCH(89,'كشف الحساب'!$P$4:$P$254,0)),"")</f>
        <v>فل عدد1 الحبه .750</v>
      </c>
      <c r="D94" s="123">
        <f>IFERROR(INDEX('كشف الحساب'!$E$4:$E$254,MATCH(89,'كشف الحساب'!$P$4:$P$254,0)),"")</f>
        <v>0.75</v>
      </c>
      <c r="E94" s="124">
        <f>IFERROR(INDEX('كشف الحساب'!$D$4:$D$254,MATCH(89,'كشف الحساب'!$P$4:$P$254,0)),"")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الحساب'!$A$4:$A$254,MATCH(90,'كشف الحساب'!$P$4:$P$254,0)),"")</f>
        <v>46212</v>
      </c>
      <c r="B95" s="122" t="str">
        <f>IFERROR(INDEX('كشف الحساب'!$B$4:$B$254,MATCH(90,'كشف الحساب'!$P$4:$P$254,0)),"")</f>
        <v>Inv-90</v>
      </c>
      <c r="C95" s="121" t="str">
        <f>IFERROR(INDEX('كشف الحساب'!$C$4:$C$254,MATCH(90,'كشف الحساب'!$P$4:$P$254,0)),"")</f>
        <v>دارسينا عدد 1 الحبه 1.500</v>
      </c>
      <c r="D95" s="123">
        <f>IFERROR(INDEX('كشف الحساب'!$E$4:$E$254,MATCH(90,'كشف الحساب'!$P$4:$P$254,0)),"")</f>
        <v>1.5</v>
      </c>
      <c r="E95" s="124">
        <f>IFERROR(INDEX('كشف الحساب'!$D$4:$D$254,MATCH(90,'كشف الحساب'!$P$4:$P$254,0)),"")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الحساب'!$A$4:$A$254,MATCH(91,'كشف الحساب'!$P$4:$P$254,0)),"")</f>
        <v>46212</v>
      </c>
      <c r="B96" s="122" t="str">
        <f>IFERROR(INDEX('كشف الحساب'!$B$4:$B$254,MATCH(91,'كشف الحساب'!$P$4:$P$254,0)),"")</f>
        <v>Inv-91</v>
      </c>
      <c r="C96" s="121" t="str">
        <f>IFERROR(INDEX('كشف الحساب'!$C$4:$C$254,MATCH(91,'كشف الحساب'!$P$4:$P$254,0)),"")</f>
        <v>افبوديا عدد الحبه 0.750</v>
      </c>
      <c r="D96" s="123">
        <f>IFERROR(INDEX('كشف الحساب'!$E$4:$E$254,MATCH(91,'كشف الحساب'!$P$4:$P$254,0)),"")</f>
        <v>0.75</v>
      </c>
      <c r="E96" s="124">
        <f>IFERROR(INDEX('كشف الحساب'!$D$4:$D$254,MATCH(91,'كشف الحساب'!$P$4:$P$254,0)),"")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الحساب'!$A$4:$A$254,MATCH(92,'كشف الحساب'!$P$4:$P$254,0)),"")</f>
        <v>46212</v>
      </c>
      <c r="B97" s="122" t="str">
        <f>IFERROR(INDEX('كشف الحساب'!$B$4:$B$254,MATCH(92,'كشف الحساب'!$P$4:$P$254,0)),"")</f>
        <v>Inv-92</v>
      </c>
      <c r="C97" s="121" t="str">
        <f>IFERROR(INDEX('كشف الحساب'!$C$4:$C$254,MATCH(92,'كشف الحساب'!$P$4:$P$254,0)),"")</f>
        <v>عطريات عدد 1 الفحبه 1</v>
      </c>
      <c r="D97" s="123">
        <f>IFERROR(INDEX('كشف الحساب'!$E$4:$E$254,MATCH(92,'كشف الحساب'!$P$4:$P$254,0)),"")</f>
        <v>1</v>
      </c>
      <c r="E97" s="124">
        <f>IFERROR(INDEX('كشف الحساب'!$D$4:$D$254,MATCH(92,'كشف الحساب'!$P$4:$P$254,0)),"")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الحساب'!$A$4:$A$254,MATCH(93,'كشف الحساب'!$P$4:$P$254,0)),"")</f>
        <v>46217</v>
      </c>
      <c r="B98" s="122" t="str">
        <f>IFERROR(INDEX('كشف الحساب'!$B$4:$B$254,MATCH(93,'كشف الحساب'!$P$4:$P$254,0)),"")</f>
        <v>Inv-93</v>
      </c>
      <c r="C98" s="121" t="str">
        <f>IFERROR(INDEX('كشف الحساب'!$C$4:$C$254,MATCH(93,'كشف الحساب'!$P$4:$P$254,0)),"")</f>
        <v>متنوع عدد 2 الحبه 2.500</v>
      </c>
      <c r="D98" s="123">
        <f>IFERROR(INDEX('كشف الحساب'!$E$4:$E$254,MATCH(93,'كشف الحساب'!$P$4:$P$254,0)),"")</f>
        <v>5</v>
      </c>
      <c r="E98" s="124">
        <f>IFERROR(INDEX('كشف الحساب'!$D$4:$D$254,MATCH(93,'كشف الحساب'!$P$4:$P$254,0)),"")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الحساب'!$A$4:$A$254,MATCH(94,'كشف الحساب'!$P$4:$P$254,0)),"")</f>
        <v>46217</v>
      </c>
      <c r="B99" s="122" t="str">
        <f>IFERROR(INDEX('كشف الحساب'!$B$4:$B$254,MATCH(94,'كشف الحساب'!$P$4:$P$254,0)),"")</f>
        <v>Inv-94</v>
      </c>
      <c r="C99" s="121" t="str">
        <f>IFERROR(INDEX('كشف الحساب'!$C$4:$C$254,MATCH(94,'كشف الحساب'!$P$4:$P$254,0)),"")</f>
        <v>متنوع عدد 12 الحبه 2</v>
      </c>
      <c r="D99" s="123">
        <f>IFERROR(INDEX('كشف الحساب'!$E$4:$E$254,MATCH(94,'كشف الحساب'!$P$4:$P$254,0)),"")</f>
        <v>24</v>
      </c>
      <c r="E99" s="124">
        <f>IFERROR(INDEX('كشف الحساب'!$D$4:$D$254,MATCH(94,'كشف الحساب'!$P$4:$P$254,0)),"")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الحساب'!$A$4:$A$254,MATCH(95,'كشف الحساب'!$P$4:$P$254,0)),"")</f>
        <v>46217</v>
      </c>
      <c r="B100" s="122">
        <f>IFERROR(INDEX('كشف الحساب'!$B$4:$B$254,MATCH(95,'كشف الحساب'!$P$4:$P$254,0)),"")</f>
        <v>0</v>
      </c>
      <c r="C100" s="121" t="str">
        <f>IFERROR(INDEX('كشف الحساب'!$C$4:$C$254,MATCH(95,'كشف الحساب'!$P$4:$P$254,0)),"")</f>
        <v>حبل تعليق</v>
      </c>
      <c r="D100" s="123">
        <f>IFERROR(INDEX('كشف الحساب'!$E$4:$E$254,MATCH(95,'كشف الحساب'!$P$4:$P$254,0)),"")</f>
        <v>0</v>
      </c>
      <c r="E100" s="124">
        <f>IFERROR(INDEX('كشف الحساب'!$D$4:$D$254,MATCH(95,'كشف الحساب'!$P$4:$P$254,0)),"")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الحساب'!$A$4:$A$254,MATCH(96,'كشف الحساب'!$P$4:$P$254,0)),"")</f>
        <v>46219</v>
      </c>
      <c r="B101" s="122" t="str">
        <f>IFERROR(INDEX('كشف الحساب'!$B$4:$B$254,MATCH(96,'كشف الحساب'!$P$4:$P$254,0)),"")</f>
        <v>Inv-95</v>
      </c>
      <c r="C101" s="121" t="str">
        <f>IFERROR(INDEX('كشف الحساب'!$C$4:$C$254,MATCH(96,'كشف الحساب'!$P$4:$P$254,0)),"")</f>
        <v>ربل عدد 1 الحبه 2</v>
      </c>
      <c r="D101" s="123">
        <f>IFERROR(INDEX('كشف الحساب'!$E$4:$E$254,MATCH(96,'كشف الحساب'!$P$4:$P$254,0)),"")</f>
        <v>2</v>
      </c>
      <c r="E101" s="124">
        <f>IFERROR(INDEX('كشف الحساب'!$D$4:$D$254,MATCH(96,'كشف الحساب'!$P$4:$P$254,0)),"")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الحساب'!$A$4:$A$254,MATCH(97,'كشف الحساب'!$P$4:$P$254,0)),"")</f>
        <v>46219</v>
      </c>
      <c r="B102" s="122" t="str">
        <f>IFERROR(INDEX('كشف الحساب'!$B$4:$B$254,MATCH(97,'كشف الحساب'!$P$4:$P$254,0)),"")</f>
        <v>Inv-96</v>
      </c>
      <c r="C102" s="121" t="str">
        <f>IFERROR(INDEX('كشف الحساب'!$C$4:$C$254,MATCH(97,'كشف الحساب'!$P$4:$P$254,0)),"")</f>
        <v xml:space="preserve">دارسينا عدد 1 الحبه 2 </v>
      </c>
      <c r="D102" s="123">
        <f>IFERROR(INDEX('كشف الحساب'!$E$4:$E$254,MATCH(97,'كشف الحساب'!$P$4:$P$254,0)),"")</f>
        <v>2</v>
      </c>
      <c r="E102" s="124">
        <f>IFERROR(INDEX('كشف الحساب'!$D$4:$D$254,MATCH(97,'كشف الحساب'!$P$4:$P$254,0)),"")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الحساب'!$A$4:$A$254,MATCH(98,'كشف الحساب'!$P$4:$P$254,0)),"")</f>
        <v>46221</v>
      </c>
      <c r="B103" s="122" t="str">
        <f>IFERROR(INDEX('كشف الحساب'!$B$4:$B$254,MATCH(98,'كشف الحساب'!$P$4:$P$254,0)),"")</f>
        <v>Inv-97</v>
      </c>
      <c r="C103" s="121" t="str">
        <f>IFERROR(INDEX('كشف الحساب'!$C$4:$C$254,MATCH(98,'كشف الحساب'!$P$4:$P$254,0)),"")</f>
        <v>افوبيا عدد 1 الحبه 1</v>
      </c>
      <c r="D103" s="123">
        <f>IFERROR(INDEX('كشف الحساب'!$E$4:$E$254,MATCH(98,'كشف الحساب'!$P$4:$P$254,0)),"")</f>
        <v>1</v>
      </c>
      <c r="E103" s="124">
        <f>IFERROR(INDEX('كشف الحساب'!$D$4:$D$254,MATCH(98,'كشف الحساب'!$P$4:$P$254,0)),"")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الحساب'!$A$4:$A$254,MATCH(99,'كشف الحساب'!$P$4:$P$254,0)),"")</f>
        <v>46221</v>
      </c>
      <c r="B104" s="122" t="str">
        <f>IFERROR(INDEX('كشف الحساب'!$B$4:$B$254,MATCH(99,'كشف الحساب'!$P$4:$P$254,0)),"")</f>
        <v>Inv-98</v>
      </c>
      <c r="C104" s="121" t="str">
        <f>IFERROR(INDEX('كشف الحساب'!$C$4:$C$254,MATCH(99,'كشف الحساب'!$P$4:$P$254,0)),"")</f>
        <v>دارسينا عدد 1 الحبه 2</v>
      </c>
      <c r="D104" s="123">
        <f>IFERROR(INDEX('كشف الحساب'!$E$4:$E$254,MATCH(99,'كشف الحساب'!$P$4:$P$254,0)),"")</f>
        <v>2</v>
      </c>
      <c r="E104" s="124">
        <f>IFERROR(INDEX('كشف الحساب'!$D$4:$D$254,MATCH(99,'كشف الحساب'!$P$4:$P$254,0)),"")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الحساب'!$A$4:$A$254,MATCH(100,'كشف الحساب'!$P$4:$P$254,0)),"")</f>
        <v>46224</v>
      </c>
      <c r="B105" s="122" t="str">
        <f>IFERROR(INDEX('كشف الحساب'!$B$4:$B$254,MATCH(100,'كشف الحساب'!$P$4:$P$254,0)),"")</f>
        <v>Inv-99</v>
      </c>
      <c r="C105" s="121" t="str">
        <f>IFERROR(INDEX('كشف الحساب'!$C$4:$C$254,MATCH(100,'كشف الحساب'!$P$4:$P$254,0)),"")</f>
        <v>افوبيا عدد 9 الحبه 1</v>
      </c>
      <c r="D105" s="123">
        <f>IFERROR(INDEX('كشف الحساب'!$E$4:$E$254,MATCH(100,'كشف الحساب'!$P$4:$P$254,0)),"")</f>
        <v>9</v>
      </c>
      <c r="E105" s="124">
        <f>IFERROR(INDEX('كشف الحساب'!$D$4:$D$254,MATCH(100,'كشف الحساب'!$P$4:$P$254,0)),"")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الحساب'!$A$4:$A$254,MATCH(101,'كشف الحساب'!$P$4:$P$254,0)),"")</f>
        <v>46224</v>
      </c>
      <c r="B106" s="122" t="str">
        <f>IFERROR(INDEX('كشف الحساب'!$B$4:$B$254,MATCH(101,'كشف الحساب'!$P$4:$P$254,0)),"")</f>
        <v>Inv-100</v>
      </c>
      <c r="C106" s="121" t="str">
        <f>IFERROR(INDEX('كشف الحساب'!$C$4:$C$254,MATCH(101,'كشف الحساب'!$P$4:$P$254,0)),"")</f>
        <v>ربل عدد 11 الحبه 2</v>
      </c>
      <c r="D106" s="123">
        <f>IFERROR(INDEX('كشف الحساب'!$E$4:$E$254,MATCH(101,'كشف الحساب'!$P$4:$P$254,0)),"")</f>
        <v>22</v>
      </c>
      <c r="E106" s="124">
        <f>IFERROR(INDEX('كشف الحساب'!$D$4:$D$254,MATCH(101,'كشف الحساب'!$P$4:$P$254,0)),"")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الحساب'!$A$4:$A$254,MATCH(102,'كشف الحساب'!$P$4:$P$254,0)),"")</f>
        <v>46225</v>
      </c>
      <c r="B107" s="122" t="str">
        <f>IFERROR(INDEX('كشف الحساب'!$B$4:$B$254,MATCH(102,'كشف الحساب'!$P$4:$P$254,0)),"")</f>
        <v>Inv-101</v>
      </c>
      <c r="C107" s="121" t="str">
        <f>IFERROR(INDEX('كشف الحساب'!$C$4:$C$254,MATCH(102,'كشف الحساب'!$P$4:$P$254,0)),"")</f>
        <v>افوبيا عدد2 الحبه 1</v>
      </c>
      <c r="D107" s="123">
        <f>IFERROR(INDEX('كشف الحساب'!$E$4:$E$254,MATCH(102,'كشف الحساب'!$P$4:$P$254,0)),"")</f>
        <v>2</v>
      </c>
      <c r="E107" s="124">
        <f>IFERROR(INDEX('كشف الحساب'!$D$4:$D$254,MATCH(102,'كشف الحساب'!$P$4:$P$254,0)),"")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الحساب'!$A$4:$A$254,MATCH(103,'كشف الحساب'!$P$4:$P$254,0)),"")</f>
        <v>46227</v>
      </c>
      <c r="B108" s="122" t="str">
        <f>IFERROR(INDEX('كشف الحساب'!$B$4:$B$254,MATCH(103,'كشف الحساب'!$P$4:$P$254,0)),"")</f>
        <v>Inv-102</v>
      </c>
      <c r="C108" s="121" t="str">
        <f>IFERROR(INDEX('كشف الحساب'!$C$4:$C$254,MATCH(103,'كشف الحساب'!$P$4:$P$254,0)),"")</f>
        <v>متنوع عدد2 الحبه 1</v>
      </c>
      <c r="D108" s="123">
        <f>IFERROR(INDEX('كشف الحساب'!$E$4:$E$254,MATCH(103,'كشف الحساب'!$P$4:$P$254,0)),"")</f>
        <v>2</v>
      </c>
      <c r="E108" s="124">
        <f>IFERROR(INDEX('كشف الحساب'!$D$4:$D$254,MATCH(103,'كشف الحساب'!$P$4:$P$254,0)),"")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الحساب'!$A$4:$A$254,MATCH(104,'كشف الحساب'!$P$4:$P$254,0)),"")</f>
        <v>46229</v>
      </c>
      <c r="B109" s="122">
        <f>IFERROR(INDEX('كشف الحساب'!$B$4:$B$254,MATCH(104,'كشف الحساب'!$P$4:$P$254,0)),"")</f>
        <v>0</v>
      </c>
      <c r="C109" s="121" t="str">
        <f>IFERROR(INDEX('كشف الحساب'!$C$4:$C$254,MATCH(104,'كشف الحساب'!$P$4:$P$254,0)),"")</f>
        <v>كوكوبيد</v>
      </c>
      <c r="D109" s="123">
        <f>IFERROR(INDEX('كشف الحساب'!$E$4:$E$254,MATCH(104,'كشف الحساب'!$P$4:$P$254,0)),"")</f>
        <v>0</v>
      </c>
      <c r="E109" s="124">
        <f>IFERROR(INDEX('كشف الحساب'!$D$4:$D$254,MATCH(104,'كشف الحساب'!$P$4:$P$254,0)),"")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الحساب'!$A$4:$A$254,MATCH(105,'كشف الحساب'!$P$4:$P$254,0)),"")</f>
        <v>46229</v>
      </c>
      <c r="B110" s="122">
        <f>IFERROR(INDEX('كشف الحساب'!$B$4:$B$254,MATCH(105,'كشف الحساب'!$P$4:$P$254,0)),"")</f>
        <v>0</v>
      </c>
      <c r="C110" s="121" t="str">
        <f>IFERROR(INDEX('كشف الحساب'!$C$4:$C$254,MATCH(105,'كشف الحساب'!$P$4:$P$254,0)),"")</f>
        <v>احواض عدد 1000 مقاس 14 سم</v>
      </c>
      <c r="D110" s="123">
        <f>IFERROR(INDEX('كشف الحساب'!$E$4:$E$254,MATCH(105,'كشف الحساب'!$P$4:$P$254,0)),"")</f>
        <v>0</v>
      </c>
      <c r="E110" s="124">
        <f>IFERROR(INDEX('كشف الحساب'!$D$4:$D$254,MATCH(105,'كشف الحساب'!$P$4:$P$254,0)),"")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الحساب'!$A$4:$A$254,MATCH(106,'كشف الحساب'!$P$4:$P$254,0)),"")</f>
        <v>46594</v>
      </c>
      <c r="B111" s="122" t="str">
        <f>IFERROR(INDEX('كشف الحساب'!$B$4:$B$254,MATCH(106,'كشف الحساب'!$P$4:$P$254,0)),"")</f>
        <v>Inv-103</v>
      </c>
      <c r="C111" s="121" t="str">
        <f>IFERROR(INDEX('كشف الحساب'!$C$4:$C$254,MATCH(106,'كشف الحساب'!$P$4:$P$254,0)),"")</f>
        <v>متفرقات</v>
      </c>
      <c r="D111" s="123">
        <f>IFERROR(INDEX('كشف الحساب'!$E$4:$E$254,MATCH(106,'كشف الحساب'!$P$4:$P$254,0)),"")</f>
        <v>7.5</v>
      </c>
      <c r="E111" s="124">
        <f>IFERROR(INDEX('كشف الحساب'!$D$4:$D$254,MATCH(106,'كشف الحساب'!$P$4:$P$254,0)),"")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الحساب'!$A$4:$A$254,MATCH(107,'كشف الحساب'!$P$4:$P$254,0)),"")</f>
        <v>46229</v>
      </c>
      <c r="B112" s="122">
        <f>IFERROR(INDEX('كشف الحساب'!$B$4:$B$254,MATCH(107,'كشف الحساب'!$P$4:$P$254,0)),"")</f>
        <v>0</v>
      </c>
      <c r="C112" s="121" t="str">
        <f>IFERROR(INDEX('كشف الحساب'!$C$4:$C$254,MATCH(107,'كشف الحساب'!$P$4:$P$254,0)),"")</f>
        <v>تسوية رصيد فعلي - المتوفر 107.305 (صافي الشهر 99.075 + فائض عام 16.750)</v>
      </c>
      <c r="D112" s="123">
        <f>IFERROR(INDEX('كشف الحساب'!$E$4:$E$254,MATCH(107,'كشف الحساب'!$P$4:$P$254,0)),"")</f>
        <v>0</v>
      </c>
      <c r="E112" s="124">
        <f>IFERROR(INDEX('كشف الحساب'!$D$4:$D$254,MATCH(107,'كشف الحساب'!$P$4:$P$254,0)),"")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الحساب'!$A$4:$A$254,MATCH(108,'كشف الحساب'!$P$4:$P$254,0)),"")</f>
        <v>46231</v>
      </c>
      <c r="B113" s="122" t="str">
        <f>IFERROR(INDEX('كشف الحساب'!$B$4:$B$254,MATCH(108,'كشف الحساب'!$P$4:$P$254,0)),"")</f>
        <v>Inv-104</v>
      </c>
      <c r="C113" s="121" t="str">
        <f>IFERROR(INDEX('كشف الحساب'!$C$4:$C$254,MATCH(108,'كشف الحساب'!$P$4:$P$254,0)),"")</f>
        <v>متنوع عدد 1 الحبه 2.500</v>
      </c>
      <c r="D113" s="123">
        <f>IFERROR(INDEX('كشف الحساب'!$E$4:$E$254,MATCH(108,'كشف الحساب'!$P$4:$P$254,0)),"")</f>
        <v>2.5</v>
      </c>
      <c r="E113" s="124">
        <f>IFERROR(INDEX('كشف الحساب'!$D$4:$D$254,MATCH(108,'كشف الحساب'!$P$4:$P$254,0)),"")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الحساب'!$A$4:$A$254,MATCH(109,'كشف الحساب'!$P$4:$P$254,0)),"")</f>
        <v>46231</v>
      </c>
      <c r="B114" s="122" t="str">
        <f>IFERROR(INDEX('كشف الحساب'!$B$4:$B$254,MATCH(109,'كشف الحساب'!$P$4:$P$254,0)),"")</f>
        <v>Inv-105</v>
      </c>
      <c r="C114" s="121" t="str">
        <f>IFERROR(INDEX('كشف الحساب'!$C$4:$C$254,MATCH(109,'كشف الحساب'!$P$4:$P$254,0)),"")</f>
        <v>دارسينا عدد 1 الحبه 3</v>
      </c>
      <c r="D114" s="123">
        <f>IFERROR(INDEX('كشف الحساب'!$E$4:$E$254,MATCH(109,'كشف الحساب'!$P$4:$P$254,0)),"")</f>
        <v>3</v>
      </c>
      <c r="E114" s="124">
        <f>IFERROR(INDEX('كشف الحساب'!$D$4:$D$254,MATCH(109,'كشف الحساب'!$P$4:$P$254,0)),"")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الحساب'!$A$4:$A$254,MATCH(110,'كشف الحساب'!$P$4:$P$254,0)),"")</f>
        <v>46232</v>
      </c>
      <c r="B115" s="122">
        <f>IFERROR(INDEX('كشف الحساب'!$B$4:$B$254,MATCH(110,'كشف الحساب'!$P$4:$P$254,0)),"")</f>
        <v>0</v>
      </c>
      <c r="C115" s="121" t="str">
        <f>IFERROR(INDEX('كشف الحساب'!$C$4:$C$254,MATCH(110,'كشف الحساب'!$P$4:$P$254,0)),"")</f>
        <v>عدد 3 عماله + 10 ايام العامل البديل 40 دينار</v>
      </c>
      <c r="D115" s="123">
        <f>IFERROR(INDEX('كشف الحساب'!$E$4:$E$254,MATCH(110,'كشف الحساب'!$P$4:$P$254,0)),"")</f>
        <v>0</v>
      </c>
      <c r="E115" s="124">
        <f>IFERROR(INDEX('كشف الحساب'!$D$4:$D$254,MATCH(110,'كشف الحساب'!$P$4:$P$254,0)),"")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الحساب'!$A$4:$A$254,MATCH(111,'كشف الحساب'!$P$4:$P$254,0)),"")</f>
        <v>46234</v>
      </c>
      <c r="B116" s="122">
        <f>IFERROR(INDEX('كشف الحساب'!$B$4:$B$254,MATCH(111,'كشف الحساب'!$P$4:$P$254,0)),"")</f>
        <v>0</v>
      </c>
      <c r="C116" s="121" t="str">
        <f>IFERROR(INDEX('كشف الحساب'!$C$4:$C$254,MATCH(111,'كشف الحساب'!$P$4:$P$254,0)),"")</f>
        <v>تعديل رصيد</v>
      </c>
      <c r="D116" s="123">
        <f>IFERROR(INDEX('كشف الحساب'!$E$4:$E$254,MATCH(111,'كشف الحساب'!$P$4:$P$254,0)),"")</f>
        <v>8.59</v>
      </c>
      <c r="E116" s="124">
        <f>IFERROR(INDEX('كشف الحساب'!$D$4:$D$254,MATCH(111,'كشف الحساب'!$P$4:$P$254,0)),"")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الحساب'!$A$4:$A$254,MATCH(112,'كشف الحساب'!$P$4:$P$254,0)),"")</f>
        <v>46235</v>
      </c>
      <c r="B117" s="122" t="str">
        <f>IFERROR(INDEX('كشف الحساب'!$B$4:$B$254,MATCH(112,'كشف الحساب'!$P$4:$P$254,0)),"")</f>
        <v>Inv-106</v>
      </c>
      <c r="C117" s="121" t="str">
        <f>IFERROR(INDEX('كشف الحساب'!$C$4:$C$254,MATCH(112,'كشف الحساب'!$P$4:$P$254,0)),"")</f>
        <v>ربل عدد 11 الحبه 2</v>
      </c>
      <c r="D117" s="123">
        <f>IFERROR(INDEX('كشف الحساب'!$E$4:$E$254,MATCH(112,'كشف الحساب'!$P$4:$P$254,0)),"")</f>
        <v>22</v>
      </c>
      <c r="E117" s="124">
        <f>IFERROR(INDEX('كشف الحساب'!$D$4:$D$254,MATCH(112,'كشف الحساب'!$P$4:$P$254,0)),"")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الحساب'!$A$4:$A$254,MATCH(113,'كشف الحساب'!$P$4:$P$254,0)),"")</f>
        <v>46235</v>
      </c>
      <c r="B118" s="122" t="str">
        <f>IFERROR(INDEX('كشف الحساب'!$B$4:$B$254,MATCH(113,'كشف الحساب'!$P$4:$P$254,0)),"")</f>
        <v>Inv-107</v>
      </c>
      <c r="C118" s="121" t="str">
        <f>IFERROR(INDEX('كشف الحساب'!$C$4:$C$254,MATCH(113,'كشف الحساب'!$P$4:$P$254,0)),"")</f>
        <v>متنوع عدد 1 بقيمه 2.500</v>
      </c>
      <c r="D118" s="123">
        <f>IFERROR(INDEX('كشف الحساب'!$E$4:$E$254,MATCH(113,'كشف الحساب'!$P$4:$P$254,0)),"")</f>
        <v>2.5</v>
      </c>
      <c r="E118" s="124">
        <f>IFERROR(INDEX('كشف الحساب'!$D$4:$D$254,MATCH(113,'كشف الحساب'!$P$4:$P$254,0)),"")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الحساب'!$A$4:$A$254,MATCH(114,'كشف الحساب'!$P$4:$P$254,0)),"")</f>
        <v>46235</v>
      </c>
      <c r="B119" s="122" t="str">
        <f>IFERROR(INDEX('كشف الحساب'!$B$4:$B$254,MATCH(114,'كشف الحساب'!$P$4:$P$254,0)),"")</f>
        <v>Inv-108</v>
      </c>
      <c r="C119" s="121" t="str">
        <f>IFERROR(INDEX('كشف الحساب'!$C$4:$C$254,MATCH(114,'كشف الحساب'!$P$4:$P$254,0)),"")</f>
        <v>فل عدد 1 بقيمه .750</v>
      </c>
      <c r="D119" s="123">
        <f>IFERROR(INDEX('كشف الحساب'!$E$4:$E$254,MATCH(114,'كشف الحساب'!$P$4:$P$254,0)),"")</f>
        <v>0.75</v>
      </c>
      <c r="E119" s="124">
        <f>IFERROR(INDEX('كشف الحساب'!$D$4:$D$254,MATCH(114,'كشف الحساب'!$P$4:$P$254,0)),"")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الحساب'!$A$4:$A$254,MATCH(115,'كشف الحساب'!$P$4:$P$254,0)),"")</f>
        <v>46235</v>
      </c>
      <c r="B120" s="122">
        <f>IFERROR(INDEX('كشف الحساب'!$B$4:$B$254,MATCH(115,'كشف الحساب'!$P$4:$P$254,0)),"")</f>
        <v>0</v>
      </c>
      <c r="C120" s="121" t="str">
        <f>IFERROR(INDEX('كشف الحساب'!$C$4:$C$254,MATCH(115,'كشف الحساب'!$P$4:$P$254,0)),"")</f>
        <v>بتموس عدد 2 الواحده 12</v>
      </c>
      <c r="D120" s="123">
        <f>IFERROR(INDEX('كشف الحساب'!$E$4:$E$254,MATCH(115,'كشف الحساب'!$P$4:$P$254,0)),"")</f>
        <v>0</v>
      </c>
      <c r="E120" s="124">
        <f>IFERROR(INDEX('كشف الحساب'!$D$4:$D$254,MATCH(115,'كشف الحساب'!$P$4:$P$254,0)),"")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الحساب'!$A$4:$A$254,MATCH(116,'كشف الحساب'!$P$4:$P$254,0)),"")</f>
        <v>46239</v>
      </c>
      <c r="B121" s="122" t="str">
        <f>IFERROR(INDEX('كشف الحساب'!$B$4:$B$254,MATCH(116,'كشف الحساب'!$P$4:$P$254,0)),"")</f>
        <v>Inv-109</v>
      </c>
      <c r="C121" s="121" t="str">
        <f>IFERROR(INDEX('كشف الحساب'!$C$4:$C$254,MATCH(116,'كشف الحساب'!$P$4:$P$254,0)),"")</f>
        <v>متنوع عدد 1 الحبه 1</v>
      </c>
      <c r="D121" s="123">
        <f>IFERROR(INDEX('كشف الحساب'!$E$4:$E$254,MATCH(116,'كشف الحساب'!$P$4:$P$254,0)),"")</f>
        <v>1</v>
      </c>
      <c r="E121" s="124">
        <f>IFERROR(INDEX('كشف الحساب'!$D$4:$D$254,MATCH(116,'كشف الحساب'!$P$4:$P$254,0)),"")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الحساب'!$A$4:$A$254,MATCH(117,'كشف الحساب'!$P$4:$P$254,0)),"")</f>
        <v>46240</v>
      </c>
      <c r="B122" s="122" t="str">
        <f>IFERROR(INDEX('كشف الحساب'!$B$4:$B$254,MATCH(117,'كشف الحساب'!$P$4:$P$254,0)),"")</f>
        <v>Inv-110</v>
      </c>
      <c r="C122" s="121" t="str">
        <f>IFERROR(INDEX('كشف الحساب'!$C$4:$C$254,MATCH(117,'كشف الحساب'!$P$4:$P$254,0)),"")</f>
        <v>متنوع عدد10 الحبه 1</v>
      </c>
      <c r="D122" s="123">
        <f>IFERROR(INDEX('كشف الحساب'!$E$4:$E$254,MATCH(117,'كشف الحساب'!$P$4:$P$254,0)),"")</f>
        <v>10</v>
      </c>
      <c r="E122" s="124">
        <f>IFERROR(INDEX('كشف الحساب'!$D$4:$D$254,MATCH(117,'كشف الحساب'!$P$4:$P$254,0)),"")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الحساب'!$A$4:$A$254,MATCH(118,'كشف الحساب'!$P$4:$P$254,0)),"")</f>
        <v>46240</v>
      </c>
      <c r="B123" s="122" t="str">
        <f>IFERROR(INDEX('كشف الحساب'!$B$4:$B$254,MATCH(118,'كشف الحساب'!$P$4:$P$254,0)),"")</f>
        <v>Inv-111</v>
      </c>
      <c r="C123" s="121" t="str">
        <f>IFERROR(INDEX('كشف الحساب'!$C$4:$C$254,MATCH(118,'كشف الحساب'!$P$4:$P$254,0)),"")</f>
        <v>متنوع 6 عدد 1</v>
      </c>
      <c r="D123" s="123">
        <f>IFERROR(INDEX('كشف الحساب'!$E$4:$E$254,MATCH(118,'كشف الحساب'!$P$4:$P$254,0)),"")</f>
        <v>6</v>
      </c>
      <c r="E123" s="124">
        <f>IFERROR(INDEX('كشف الحساب'!$D$4:$D$254,MATCH(118,'كشف الحساب'!$P$4:$P$254,0)),"")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الحساب'!$A$4:$A$254,MATCH(119,'كشف الحساب'!$P$4:$P$254,0)),"")</f>
        <v>46240</v>
      </c>
      <c r="B124" s="122" t="str">
        <f>IFERROR(INDEX('كشف الحساب'!$B$4:$B$254,MATCH(119,'كشف الحساب'!$P$4:$P$254,0)),"")</f>
        <v>Inv-112</v>
      </c>
      <c r="C124" s="121" t="str">
        <f>IFERROR(INDEX('كشف الحساب'!$C$4:$C$254,MATCH(119,'كشف الحساب'!$P$4:$P$254,0)),"")</f>
        <v>ربل عدد 15 الحبه2</v>
      </c>
      <c r="D124" s="123">
        <f>IFERROR(INDEX('كشف الحساب'!$E$4:$E$254,MATCH(119,'كشف الحساب'!$P$4:$P$254,0)),"")</f>
        <v>29</v>
      </c>
      <c r="E124" s="124">
        <f>IFERROR(INDEX('كشف الحساب'!$D$4:$D$254,MATCH(119,'كشف الحساب'!$P$4:$P$254,0)),"")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الحساب'!$A$4:$A$254,MATCH(120,'كشف الحساب'!$P$4:$P$254,0)),"")</f>
        <v>46240</v>
      </c>
      <c r="B125" s="122">
        <f>IFERROR(INDEX('كشف الحساب'!$B$4:$B$254,MATCH(120,'كشف الحساب'!$P$4:$P$254,0)),"")</f>
        <v>0</v>
      </c>
      <c r="C125" s="121" t="str">
        <f>IFERROR(INDEX('كشف الحساب'!$C$4:$C$254,MATCH(120,'كشف الحساب'!$P$4:$P$254,0)),"")</f>
        <v>كيميكل للمعالج</v>
      </c>
      <c r="D125" s="123">
        <f>IFERROR(INDEX('كشف الحساب'!$E$4:$E$254,MATCH(120,'كشف الحساب'!$P$4:$P$254,0)),"")</f>
        <v>0</v>
      </c>
      <c r="E125" s="124">
        <f>IFERROR(INDEX('كشف الحساب'!$D$4:$D$254,MATCH(120,'كشف الحساب'!$P$4:$P$254,0)),"")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الحساب'!$A$4:$A$254,MATCH(121,'كشف الحساب'!$P$4:$P$254,0)),"")</f>
        <v>46240</v>
      </c>
      <c r="B126" s="122">
        <f>IFERROR(INDEX('كشف الحساب'!$B$4:$B$254,MATCH(121,'كشف الحساب'!$P$4:$P$254,0)),"")</f>
        <v>0</v>
      </c>
      <c r="C126" s="121" t="str">
        <f>IFERROR(INDEX('كشف الحساب'!$C$4:$C$254,MATCH(121,'كشف الحساب'!$P$4:$P$254,0)),"")</f>
        <v>ترمستات الثلاجه الكبيره</v>
      </c>
      <c r="D126" s="123">
        <f>IFERROR(INDEX('كشف الحساب'!$E$4:$E$254,MATCH(121,'كشف الحساب'!$P$4:$P$254,0)),"")</f>
        <v>0</v>
      </c>
      <c r="E126" s="124">
        <f>IFERROR(INDEX('كشف الحساب'!$D$4:$D$254,MATCH(121,'كشف الحساب'!$P$4:$P$254,0)),"")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الحساب'!$A$4:$A$254,MATCH(122,'كشف الحساب'!$P$4:$P$254,0)),"")</f>
        <v>46244</v>
      </c>
      <c r="B127" s="122" t="str">
        <f>IFERROR(INDEX('كشف الحساب'!$B$4:$B$254,MATCH(122,'كشف الحساب'!$P$4:$P$254,0)),"")</f>
        <v>Inv-113</v>
      </c>
      <c r="C127" s="121" t="str">
        <f>IFERROR(INDEX('كشف الحساب'!$C$4:$C$254,MATCH(122,'كشف الحساب'!$P$4:$P$254,0)),"")</f>
        <v>ربل  عدد 40 الحبه 2.250</v>
      </c>
      <c r="D127" s="123">
        <f>IFERROR(INDEX('كشف الحساب'!$E$4:$E$254,MATCH(122,'كشف الحساب'!$P$4:$P$254,0)),"")</f>
        <v>90</v>
      </c>
      <c r="E127" s="124">
        <f>IFERROR(INDEX('كشف الحساب'!$D$4:$D$254,MATCH(122,'كشف الحساب'!$P$4:$P$254,0)),"")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الحساب'!$A$4:$A$254,MATCH(123,'كشف الحساب'!$P$4:$P$254,0)),"")</f>
        <v>46244</v>
      </c>
      <c r="B128" s="122" t="str">
        <f>IFERROR(INDEX('كشف الحساب'!$B$4:$B$254,MATCH(123,'كشف الحساب'!$P$4:$P$254,0)),"")</f>
        <v>Inv-114</v>
      </c>
      <c r="C128" s="121" t="str">
        <f>IFERROR(INDEX('كشف الحساب'!$C$4:$C$254,MATCH(123,'كشف الحساب'!$P$4:$P$254,0)),"")</f>
        <v>متنوع 8 الحبه 1</v>
      </c>
      <c r="D128" s="123">
        <f>IFERROR(INDEX('كشف الحساب'!$E$4:$E$254,MATCH(123,'كشف الحساب'!$P$4:$P$254,0)),"")</f>
        <v>8</v>
      </c>
      <c r="E128" s="124">
        <f>IFERROR(INDEX('كشف الحساب'!$D$4:$D$254,MATCH(123,'كشف الحساب'!$P$4:$P$254,0)),"")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الحساب'!$A$4:$A$254,MATCH(124,'كشف الحساب'!$P$4:$P$254,0)),"")</f>
        <v>46245</v>
      </c>
      <c r="B129" s="122">
        <f>IFERROR(INDEX('كشف الحساب'!$B$4:$B$254,MATCH(124,'كشف الحساب'!$P$4:$P$254,0)),"")</f>
        <v>0</v>
      </c>
      <c r="C129" s="121" t="str">
        <f>IFERROR(INDEX('كشف الحساب'!$C$4:$C$254,MATCH(124,'كشف الحساب'!$P$4:$P$254,0)),"")</f>
        <v>احواض معلقه + كوكوبيت</v>
      </c>
      <c r="D129" s="123">
        <f>IFERROR(INDEX('كشف الحساب'!$E$4:$E$254,MATCH(124,'كشف الحساب'!$P$4:$P$254,0)),"")</f>
        <v>0</v>
      </c>
      <c r="E129" s="124">
        <f>IFERROR(INDEX('كشف الحساب'!$D$4:$D$254,MATCH(124,'كشف الحساب'!$P$4:$P$254,0)),"")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الحساب'!$A$4:$A$254,MATCH(125,'كشف الحساب'!$P$4:$P$254,0)),"")</f>
        <v>46245</v>
      </c>
      <c r="B130" s="122">
        <f>IFERROR(INDEX('كشف الحساب'!$B$4:$B$254,MATCH(125,'كشف الحساب'!$P$4:$P$254,0)),"")</f>
        <v>0</v>
      </c>
      <c r="C130" s="121" t="str">
        <f>IFERROR(INDEX('كشف الحساب'!$C$4:$C$254,MATCH(125,'كشف الحساب'!$P$4:$P$254,0)),"")</f>
        <v>15-15-15 خرماشه</v>
      </c>
      <c r="D130" s="123">
        <f>IFERROR(INDEX('كشف الحساب'!$E$4:$E$254,MATCH(125,'كشف الحساب'!$P$4:$P$254,0)),"")</f>
        <v>0</v>
      </c>
      <c r="E130" s="124">
        <f>IFERROR(INDEX('كشف الحساب'!$D$4:$D$254,MATCH(125,'كشف الحساب'!$P$4:$P$254,0)),"")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الحساب'!$A$4:$A$254,MATCH(126,'كشف الحساب'!$P$4:$P$254,0)),"")</f>
        <v>46247</v>
      </c>
      <c r="B131" s="122">
        <f>IFERROR(INDEX('كشف الحساب'!$B$4:$B$254,MATCH(126,'كشف الحساب'!$P$4:$P$254,0)),"")</f>
        <v>0</v>
      </c>
      <c r="C131" s="121" t="str">
        <f>IFERROR(INDEX('كشف الحساب'!$C$4:$C$254,MATCH(126,'كشف الحساب'!$P$4:$P$254,0)),"")</f>
        <v>هرمون تدير</v>
      </c>
      <c r="D131" s="123">
        <f>IFERROR(INDEX('كشف الحساب'!$E$4:$E$254,MATCH(126,'كشف الحساب'!$P$4:$P$254,0)),"")</f>
        <v>0</v>
      </c>
      <c r="E131" s="124">
        <f>IFERROR(INDEX('كشف الحساب'!$D$4:$D$254,MATCH(126,'كشف الحساب'!$P$4:$P$254,0)),"")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الحساب'!$A$4:$A$254,MATCH(127,'كشف الحساب'!$P$4:$P$254,0)),"")</f>
        <v>46247</v>
      </c>
      <c r="B132" s="122">
        <f>IFERROR(INDEX('كشف الحساب'!$B$4:$B$254,MATCH(127,'كشف الحساب'!$P$4:$P$254,0)),"")</f>
        <v>0</v>
      </c>
      <c r="C132" s="121" t="str">
        <f>IFERROR(INDEX('كشف الحساب'!$C$4:$C$254,MATCH(127,'كشف الحساب'!$P$4:$P$254,0)),"")</f>
        <v>احواض مقاس 14 عدد 1000</v>
      </c>
      <c r="D132" s="123">
        <f>IFERROR(INDEX('كشف الحساب'!$E$4:$E$254,MATCH(127,'كشف الحساب'!$P$4:$P$254,0)),"")</f>
        <v>0</v>
      </c>
      <c r="E132" s="124">
        <f>IFERROR(INDEX('كشف الحساب'!$D$4:$D$254,MATCH(127,'كشف الحساب'!$P$4:$P$254,0)),"")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الحساب'!$A$4:$A$254,MATCH(128,'كشف الحساب'!$P$4:$P$254,0)),"")</f>
        <v>46247</v>
      </c>
      <c r="B133" s="122">
        <f>IFERROR(INDEX('كشف الحساب'!$B$4:$B$254,MATCH(128,'كشف الحساب'!$P$4:$P$254,0)),"")</f>
        <v>0</v>
      </c>
      <c r="C133" s="121" t="str">
        <f>IFERROR(INDEX('كشف الحساب'!$C$4:$C$254,MATCH(128,'كشف الحساب'!$P$4:$P$254,0)),"")</f>
        <v>وصلات</v>
      </c>
      <c r="D133" s="123">
        <f>IFERROR(INDEX('كشف الحساب'!$E$4:$E$254,MATCH(128,'كشف الحساب'!$P$4:$P$254,0)),"")</f>
        <v>0</v>
      </c>
      <c r="E133" s="124">
        <f>IFERROR(INDEX('كشف الحساب'!$D$4:$D$254,MATCH(128,'كشف الحساب'!$P$4:$P$254,0)),"")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الحساب'!$A$4:$A$254,MATCH(129,'كشف الحساب'!$P$4:$P$254,0)),"")</f>
        <v>46249</v>
      </c>
      <c r="B134" s="122">
        <f>IFERROR(INDEX('كشف الحساب'!$B$4:$B$254,MATCH(129,'كشف الحساب'!$P$4:$P$254,0)),"")</f>
        <v>0</v>
      </c>
      <c r="C134" s="121" t="str">
        <f>IFERROR(INDEX('كشف الحساب'!$C$4:$C$254,MATCH(129,'كشف الحساب'!$P$4:$P$254,0)),"")</f>
        <v>وصلات وحنفيه</v>
      </c>
      <c r="D134" s="123">
        <f>IFERROR(INDEX('كشف الحساب'!$E$4:$E$254,MATCH(129,'كشف الحساب'!$P$4:$P$254,0)),"")</f>
        <v>0</v>
      </c>
      <c r="E134" s="124">
        <f>IFERROR(INDEX('كشف الحساب'!$D$4:$D$254,MATCH(129,'كشف الحساب'!$P$4:$P$254,0)),"")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الحساب'!$A$4:$A$254,MATCH(130,'كشف الحساب'!$P$4:$P$254,0)),"")</f>
        <v>46252</v>
      </c>
      <c r="B135" s="122" t="str">
        <f>IFERROR(INDEX('كشف الحساب'!$B$4:$B$254,MATCH(130,'كشف الحساب'!$P$4:$P$254,0)),"")</f>
        <v>Inv-115</v>
      </c>
      <c r="C135" s="121" t="str">
        <f>IFERROR(INDEX('كشف الحساب'!$C$4:$C$254,MATCH(130,'كشف الحساب'!$P$4:$P$254,0)),"")</f>
        <v>فل عدد 14 الحبه .750</v>
      </c>
      <c r="D135" s="123">
        <f>IFERROR(INDEX('كشف الحساب'!$E$4:$E$254,MATCH(130,'كشف الحساب'!$P$4:$P$254,0)),"")</f>
        <v>10.5</v>
      </c>
      <c r="E135" s="124">
        <f>IFERROR(INDEX('كشف الحساب'!$D$4:$D$254,MATCH(130,'كشف الحساب'!$P$4:$P$254,0)),"")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الحساب'!$A$4:$A$254,MATCH(131,'كشف الحساب'!$P$4:$P$254,0)),"")</f>
        <v>46252</v>
      </c>
      <c r="B136" s="122" t="str">
        <f>IFERROR(INDEX('كشف الحساب'!$B$4:$B$254,MATCH(131,'كشف الحساب'!$P$4:$P$254,0)),"")</f>
        <v>Inv-116</v>
      </c>
      <c r="C136" s="121" t="str">
        <f>IFERROR(INDEX('كشف الحساب'!$C$4:$C$254,MATCH(131,'كشف الحساب'!$P$4:$P$254,0)),"")</f>
        <v>متنوع عدد 1 الحبه 2.500</v>
      </c>
      <c r="D136" s="123">
        <f>IFERROR(INDEX('كشف الحساب'!$E$4:$E$254,MATCH(131,'كشف الحساب'!$P$4:$P$254,0)),"")</f>
        <v>2.5</v>
      </c>
      <c r="E136" s="124">
        <f>IFERROR(INDEX('كشف الحساب'!$D$4:$D$254,MATCH(131,'كشف الحساب'!$P$4:$P$254,0)),"")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الحساب'!$A$4:$A$254,MATCH(132,'كشف الحساب'!$P$4:$P$254,0)),"")</f>
        <v>46258</v>
      </c>
      <c r="B137" s="122" t="str">
        <f>IFERROR(INDEX('كشف الحساب'!$B$4:$B$254,MATCH(132,'كشف الحساب'!$P$4:$P$254,0)),"")</f>
        <v>Inv-117</v>
      </c>
      <c r="C137" s="121" t="str">
        <f>IFERROR(INDEX('كشف الحساب'!$C$4:$C$254,MATCH(132,'كشف الحساب'!$P$4:$P$254,0)),"")</f>
        <v>ربل عدد 10 الحبه 2.250</v>
      </c>
      <c r="D137" s="123">
        <f>IFERROR(INDEX('كشف الحساب'!$E$4:$E$254,MATCH(132,'كشف الحساب'!$P$4:$P$254,0)),"")</f>
        <v>22.5</v>
      </c>
      <c r="E137" s="124">
        <f>IFERROR(INDEX('كشف الحساب'!$D$4:$D$254,MATCH(132,'كشف الحساب'!$P$4:$P$254,0)),"")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الحساب'!$A$4:$A$254,MATCH(133,'كشف الحساب'!$P$4:$P$254,0)),"")</f>
        <v>46258</v>
      </c>
      <c r="B138" s="122" t="str">
        <f>IFERROR(INDEX('كشف الحساب'!$B$4:$B$254,MATCH(133,'كشف الحساب'!$P$4:$P$254,0)),"")</f>
        <v>Inv-118</v>
      </c>
      <c r="C138" s="121" t="str">
        <f>IFERROR(INDEX('كشف الحساب'!$C$4:$C$254,MATCH(133,'كشف الحساب'!$P$4:$P$254,0)),"")</f>
        <v>متنوع عدد 4 الحبه 1</v>
      </c>
      <c r="D138" s="123">
        <f>IFERROR(INDEX('كشف الحساب'!$E$4:$E$254,MATCH(133,'كشف الحساب'!$P$4:$P$254,0)),"")</f>
        <v>4</v>
      </c>
      <c r="E138" s="124">
        <f>IFERROR(INDEX('كشف الحساب'!$D$4:$D$254,MATCH(133,'كشف الحساب'!$P$4:$P$254,0)),"")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الحساب'!$A$4:$A$254,MATCH(134,'كشف الحساب'!$P$4:$P$254,0)),"")</f>
        <v>46258</v>
      </c>
      <c r="B139" s="122" t="str">
        <f>IFERROR(INDEX('كشف الحساب'!$B$4:$B$254,MATCH(134,'كشف الحساب'!$P$4:$P$254,0)),"")</f>
        <v>Inv-119</v>
      </c>
      <c r="C139" s="121" t="str">
        <f>IFERROR(INDEX('كشف الحساب'!$C$4:$C$254,MATCH(134,'كشف الحساب'!$P$4:$P$254,0)),"")</f>
        <v>دارسينا عدد 2 الحبه 3</v>
      </c>
      <c r="D139" s="123">
        <f>IFERROR(INDEX('كشف الحساب'!$E$4:$E$254,MATCH(134,'كشف الحساب'!$P$4:$P$254,0)),"")</f>
        <v>6</v>
      </c>
      <c r="E139" s="124">
        <f>IFERROR(INDEX('كشف الحساب'!$D$4:$D$254,MATCH(134,'كشف الحساب'!$P$4:$P$254,0)),"")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الحساب'!$A$4:$A$254,MATCH(135,'كشف الحساب'!$P$4:$P$254,0)),"")</f>
        <v>46258</v>
      </c>
      <c r="B140" s="122" t="str">
        <f>IFERROR(INDEX('كشف الحساب'!$B$4:$B$254,MATCH(135,'كشف الحساب'!$P$4:$P$254,0)),"")</f>
        <v>Inv-120</v>
      </c>
      <c r="C140" s="121" t="str">
        <f>IFERROR(INDEX('كشف الحساب'!$C$4:$C$254,MATCH(135,'كشف الحساب'!$P$4:$P$254,0)),"")</f>
        <v>فل عدد 2 الحبه .750</v>
      </c>
      <c r="D140" s="123">
        <f>IFERROR(INDEX('كشف الحساب'!$E$4:$E$254,MATCH(135,'كشف الحساب'!$P$4:$P$254,0)),"")</f>
        <v>1.5</v>
      </c>
      <c r="E140" s="124">
        <f>IFERROR(INDEX('كشف الحساب'!$D$4:$D$254,MATCH(135,'كشف الحساب'!$P$4:$P$254,0)),"")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الحساب'!$A$4:$A$254,MATCH(136,'كشف الحساب'!$P$4:$P$254,0)),"")</f>
        <v>46258</v>
      </c>
      <c r="B141" s="122">
        <f>IFERROR(INDEX('كشف الحساب'!$B$4:$B$254,MATCH(136,'كشف الحساب'!$P$4:$P$254,0)),"")</f>
        <v>0</v>
      </c>
      <c r="C141" s="121" t="str">
        <f>IFERROR(INDEX('كشف الحساب'!$C$4:$C$254,MATCH(136,'كشف الحساب'!$P$4:$P$254,0)),"")</f>
        <v>اسمده</v>
      </c>
      <c r="D141" s="123">
        <f>IFERROR(INDEX('كشف الحساب'!$E$4:$E$254,MATCH(136,'كشف الحساب'!$P$4:$P$254,0)),"")</f>
        <v>0</v>
      </c>
      <c r="E141" s="124">
        <f>IFERROR(INDEX('كشف الحساب'!$D$4:$D$254,MATCH(136,'كشف الحساب'!$P$4:$P$254,0)),"")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الحساب'!$A$4:$A$254,MATCH(137,'كشف الحساب'!$P$4:$P$254,0)),"")</f>
        <v>46260</v>
      </c>
      <c r="B142" s="122" t="str">
        <f>IFERROR(INDEX('كشف الحساب'!$B$4:$B$254,MATCH(137,'كشف الحساب'!$P$4:$P$254,0)),"")</f>
        <v>Inv-121</v>
      </c>
      <c r="C142" s="121" t="str">
        <f>IFERROR(INDEX('كشف الحساب'!$C$4:$C$254,MATCH(137,'كشف الحساب'!$P$4:$P$254,0)),"")</f>
        <v>شركه التهاني</v>
      </c>
      <c r="D142" s="123">
        <f>IFERROR(INDEX('كشف الحساب'!$E$4:$E$254,MATCH(137,'كشف الحساب'!$P$4:$P$254,0)),"")</f>
        <v>260</v>
      </c>
      <c r="E142" s="124">
        <f>IFERROR(INDEX('كشف الحساب'!$D$4:$D$254,MATCH(137,'كشف الحساب'!$P$4:$P$254,0)),"")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الحساب'!$A$4:$A$254,MATCH(138,'كشف الحساب'!$P$4:$P$254,0)),"")</f>
        <v>46260</v>
      </c>
      <c r="B143" s="122">
        <f>IFERROR(INDEX('كشف الحساب'!$B$4:$B$254,MATCH(138,'كشف الحساب'!$P$4:$P$254,0)),"")</f>
        <v>0</v>
      </c>
      <c r="C143" s="121" t="str">
        <f>IFERROR(INDEX('كشف الحساب'!$C$4:$C$254,MATCH(138,'كشف الحساب'!$P$4:$P$254,0)),"")</f>
        <v>, حوض معلق عدد500 (الوحده.170(,بتموس عدد 10 الحبه 15</v>
      </c>
      <c r="D143" s="123">
        <f>IFERROR(INDEX('كشف الحساب'!$E$4:$E$254,MATCH(138,'كشف الحساب'!$P$4:$P$254,0)),"")</f>
        <v>0</v>
      </c>
      <c r="E143" s="124">
        <f>IFERROR(INDEX('كشف الحساب'!$D$4:$D$254,MATCH(138,'كشف الحساب'!$P$4:$P$254,0)),"")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الحساب'!$A$4:$A$254,MATCH(139,'كشف الحساب'!$P$4:$P$254,0)),"")</f>
        <v>46251</v>
      </c>
      <c r="B144" s="122">
        <f>IFERROR(INDEX('كشف الحساب'!$B$4:$B$254,MATCH(139,'كشف الحساب'!$P$4:$P$254,0)),"")</f>
        <v>0</v>
      </c>
      <c r="C144" s="121" t="str">
        <f>IFERROR(INDEX('كشف الحساب'!$C$4:$C$254,MATCH(139,'كشف الحساب'!$P$4:$P$254,0)),"")</f>
        <v>تاير توكتوك</v>
      </c>
      <c r="D144" s="123">
        <f>IFERROR(INDEX('كشف الحساب'!$E$4:$E$254,MATCH(139,'كشف الحساب'!$P$4:$P$254,0)),"")</f>
        <v>0</v>
      </c>
      <c r="E144" s="124">
        <f>IFERROR(INDEX('كشف الحساب'!$D$4:$D$254,MATCH(139,'كشف الحساب'!$P$4:$P$254,0)),"")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الحساب'!$A$4:$A$254,MATCH(140,'كشف الحساب'!$P$4:$P$254,0)),"")</f>
        <v>46229</v>
      </c>
      <c r="B145" s="122" t="str">
        <f>IFERROR(INDEX('كشف الحساب'!$B$4:$B$254,MATCH(140,'كشف الحساب'!$P$4:$P$254,0)),"")</f>
        <v>Inv-122</v>
      </c>
      <c r="C145" s="121" t="str">
        <f>IFERROR(INDEX('كشف الحساب'!$C$4:$C$254,MATCH(140,'كشف الحساب'!$P$4:$P$254,0)),"")</f>
        <v>متنوع عدد10 الحبه 1</v>
      </c>
      <c r="D145" s="123">
        <f>IFERROR(INDEX('كشف الحساب'!$E$4:$E$254,MATCH(140,'كشف الحساب'!$P$4:$P$254,0)),"")</f>
        <v>10</v>
      </c>
      <c r="E145" s="124">
        <f>IFERROR(INDEX('كشف الحساب'!$D$4:$D$254,MATCH(140,'كشف الحساب'!$P$4:$P$254,0)),"")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الحساب'!$A$4:$A$254,MATCH(141,'كشف الحساب'!$P$4:$P$254,0)),"")</f>
        <v>46229</v>
      </c>
      <c r="B146" s="122" t="str">
        <f>IFERROR(INDEX('كشف الحساب'!$B$4:$B$254,MATCH(141,'كشف الحساب'!$P$4:$P$254,0)),"")</f>
        <v>Inv-123</v>
      </c>
      <c r="C146" s="121" t="str">
        <f>IFERROR(INDEX('كشف الحساب'!$C$4:$C$254,MATCH(141,'كشف الحساب'!$P$4:$P$254,0)),"")</f>
        <v>ربل عدد 4 الحبه 2.250</v>
      </c>
      <c r="D146" s="123">
        <f>IFERROR(INDEX('كشف الحساب'!$E$4:$E$254,MATCH(141,'كشف الحساب'!$P$4:$P$254,0)),"")</f>
        <v>9</v>
      </c>
      <c r="E146" s="124">
        <f>IFERROR(INDEX('كشف الحساب'!$D$4:$D$254,MATCH(141,'كشف الحساب'!$P$4:$P$254,0)),"")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الحساب'!$A$4:$A$254,MATCH(142,'كشف الحساب'!$P$4:$P$254,0)),"")</f>
        <v>46229</v>
      </c>
      <c r="B147" s="122" t="str">
        <f>IFERROR(INDEX('كشف الحساب'!$B$4:$B$254,MATCH(142,'كشف الحساب'!$P$4:$P$254,0)),"")</f>
        <v>Inv-124</v>
      </c>
      <c r="C147" s="121" t="str">
        <f>IFERROR(INDEX('كشف الحساب'!$C$4:$C$254,MATCH(142,'كشف الحساب'!$P$4:$P$254,0)),"")</f>
        <v>متنوع عدد 10 الحبه 1</v>
      </c>
      <c r="D147" s="123">
        <f>IFERROR(INDEX('كشف الحساب'!$E$4:$E$254,MATCH(142,'كشف الحساب'!$P$4:$P$254,0)),"")</f>
        <v>10</v>
      </c>
      <c r="E147" s="124">
        <f>IFERROR(INDEX('كشف الحساب'!$D$4:$D$254,MATCH(142,'كشف الحساب'!$P$4:$P$254,0)),"")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الحساب'!$A$4:$A$254,MATCH(143,'كشف الحساب'!$P$4:$P$254,0)),"")</f>
        <v>46251</v>
      </c>
      <c r="B148" s="122">
        <f>IFERROR(INDEX('كشف الحساب'!$B$4:$B$254,MATCH(143,'كشف الحساب'!$P$4:$P$254,0)),"")</f>
        <v>0</v>
      </c>
      <c r="C148" s="121" t="str">
        <f>IFERROR(INDEX('كشف الحساب'!$C$4:$C$254,MATCH(143,'كشف الحساب'!$P$4:$P$254,0)),"")</f>
        <v>هوز اصفر 3/4 طول 50 متر</v>
      </c>
      <c r="D148" s="123">
        <f>IFERROR(INDEX('كشف الحساب'!$E$4:$E$254,MATCH(143,'كشف الحساب'!$P$4:$P$254,0)),"")</f>
        <v>0</v>
      </c>
      <c r="E148" s="124">
        <f>IFERROR(INDEX('كشف الحساب'!$D$4:$D$254,MATCH(143,'كشف الحساب'!$P$4:$P$254,0)),"")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الحساب'!$A$4:$A$254,MATCH(144,'كشف الحساب'!$P$4:$P$254,0)),"")</f>
        <v>46254</v>
      </c>
      <c r="B149" s="122" t="str">
        <f>IFERROR(INDEX('كشف الحساب'!$B$4:$B$254,MATCH(144,'كشف الحساب'!$P$4:$P$254,0)),"")</f>
        <v>Inv-125</v>
      </c>
      <c r="C149" s="121" t="str">
        <f>IFERROR(INDEX('كشف الحساب'!$C$4:$C$254,MATCH(144,'كشف الحساب'!$P$4:$P$254,0)),"")</f>
        <v>متنوع - تم الدفع 26/8</v>
      </c>
      <c r="D149" s="123">
        <f>IFERROR(INDEX('كشف الحساب'!$E$4:$E$254,MATCH(144,'كشف الحساب'!$P$4:$P$254,0)),"")</f>
        <v>59</v>
      </c>
      <c r="E149" s="124">
        <f>IFERROR(INDEX('كشف الحساب'!$D$4:$D$254,MATCH(144,'كشف الحساب'!$P$4:$P$254,0)),"")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الحساب'!$A$4:$A$254,MATCH(145,'كشف الحساب'!$P$4:$P$254,0)),"")</f>
        <v>46263</v>
      </c>
      <c r="B150" s="122" t="str">
        <f>IFERROR(INDEX('كشف الحساب'!$B$4:$B$254,MATCH(145,'كشف الحساب'!$P$4:$P$254,0)),"")</f>
        <v>Inv-126</v>
      </c>
      <c r="C150" s="121" t="str">
        <f>IFERROR(INDEX('كشف الحساب'!$C$4:$C$254,MATCH(145,'كشف الحساب'!$P$4:$P$254,0)),"")</f>
        <v>فاتوره لزهور التهاني</v>
      </c>
      <c r="D150" s="123">
        <f>IFERROR(INDEX('كشف الحساب'!$E$4:$E$254,MATCH(145,'كشف الحساب'!$P$4:$P$254,0)),"")</f>
        <v>400</v>
      </c>
      <c r="E150" s="124">
        <f>IFERROR(INDEX('كشف الحساب'!$D$4:$D$254,MATCH(145,'كشف الحساب'!$P$4:$P$254,0)),"")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الحساب'!$A$4:$A$254,MATCH(146,'كشف الحساب'!$P$4:$P$254,0)),"")</f>
        <v>46263</v>
      </c>
      <c r="B151" s="122">
        <f>IFERROR(INDEX('كشف الحساب'!$B$4:$B$254,MATCH(146,'كشف الحساب'!$P$4:$P$254,0)),"")</f>
        <v>0</v>
      </c>
      <c r="C151" s="121" t="str">
        <f>IFERROR(INDEX('كشف الحساب'!$C$4:$C$254,MATCH(146,'كشف الحساب'!$P$4:$P$254,0)),"")</f>
        <v>صبار عدد 15 الحبه 1</v>
      </c>
      <c r="D151" s="123">
        <f>IFERROR(INDEX('كشف الحساب'!$E$4:$E$254,MATCH(146,'كشف الحساب'!$P$4:$P$254,0)),"")</f>
        <v>0</v>
      </c>
      <c r="E151" s="124">
        <f>IFERROR(INDEX('كشف الحساب'!$D$4:$D$254,MATCH(146,'كشف الحساب'!$P$4:$P$254,0)),"")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الحساب'!$A$4:$A$254,MATCH(147,'كشف الحساب'!$P$4:$P$254,0)),"")</f>
        <v>46263</v>
      </c>
      <c r="B152" s="122">
        <f>IFERROR(INDEX('كشف الحساب'!$B$4:$B$254,MATCH(147,'كشف الحساب'!$P$4:$P$254,0)),"")</f>
        <v>0</v>
      </c>
      <c r="C152" s="121" t="str">
        <f>IFERROR(INDEX('كشف الحساب'!$C$4:$C$254,MATCH(147,'كشف الحساب'!$P$4:$P$254,0)),"")</f>
        <v>زيتون عدد 2 الحبه 12</v>
      </c>
      <c r="D152" s="123">
        <f>IFERROR(INDEX('كشف الحساب'!$E$4:$E$254,MATCH(147,'كشف الحساب'!$P$4:$P$254,0)),"")</f>
        <v>0</v>
      </c>
      <c r="E152" s="124">
        <f>IFERROR(INDEX('كشف الحساب'!$D$4:$D$254,MATCH(147,'كشف الحساب'!$P$4:$P$254,0)),"")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الحساب'!$A$4:$A$254,MATCH(148,'كشف الحساب'!$P$4:$P$254,0)),"")</f>
        <v>46264</v>
      </c>
      <c r="B153" s="122" t="str">
        <f>IFERROR(INDEX('كشف الحساب'!$B$4:$B$254,MATCH(148,'كشف الحساب'!$P$4:$P$254,0)),"")</f>
        <v>Inv-127</v>
      </c>
      <c r="C153" s="121" t="str">
        <f>IFERROR(INDEX('كشف الحساب'!$C$4:$C$254,MATCH(148,'كشف الحساب'!$P$4:$P$254,0)),"")</f>
        <v>اناناس عدد 4 الواحده 4</v>
      </c>
      <c r="D153" s="123">
        <f>IFERROR(INDEX('كشف الحساب'!$E$4:$E$254,MATCH(148,'كشف الحساب'!$P$4:$P$254,0)),"")</f>
        <v>16</v>
      </c>
      <c r="E153" s="124">
        <f>IFERROR(INDEX('كشف الحساب'!$D$4:$D$254,MATCH(148,'كشف الحساب'!$P$4:$P$254,0)),"")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الحساب'!$A$4:$A$254,MATCH(149,'كشف الحساب'!$P$4:$P$254,0)),"")</f>
        <v>46264</v>
      </c>
      <c r="B154" s="122" t="str">
        <f>IFERROR(INDEX('كشف الحساب'!$B$4:$B$254,MATCH(149,'كشف الحساب'!$P$4:$P$254,0)),"")</f>
        <v>Inv-128</v>
      </c>
      <c r="C154" s="121" t="str">
        <f>IFERROR(INDEX('كشف الحساب'!$C$4:$C$254,MATCH(149,'كشف الحساب'!$P$4:$P$254,0)),"")</f>
        <v>ربل عدد 6 الحبه 2.500</v>
      </c>
      <c r="D154" s="123">
        <f>IFERROR(INDEX('كشف الحساب'!$E$4:$E$254,MATCH(149,'كشف الحساب'!$P$4:$P$254,0)),"")</f>
        <v>15</v>
      </c>
      <c r="E154" s="124">
        <f>IFERROR(INDEX('كشف الحساب'!$D$4:$D$254,MATCH(149,'كشف الحساب'!$P$4:$P$254,0)),"")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الحساب'!$A$4:$A$254,MATCH(150,'كشف الحساب'!$P$4:$P$254,0)),"")</f>
        <v>46264</v>
      </c>
      <c r="B155" s="122" t="str">
        <f>IFERROR(INDEX('كشف الحساب'!$B$4:$B$254,MATCH(150,'كشف الحساب'!$P$4:$P$254,0)),"")</f>
        <v>Inv-129</v>
      </c>
      <c r="C155" s="121" t="str">
        <f>IFERROR(INDEX('كشف الحساب'!$C$4:$C$254,MATCH(150,'كشف الحساب'!$P$4:$P$254,0)),"")</f>
        <v>متنوع عدد 17 الحبه 1</v>
      </c>
      <c r="D155" s="123">
        <f>IFERROR(INDEX('كشف الحساب'!$E$4:$E$254,MATCH(150,'كشف الحساب'!$P$4:$P$254,0)),"")</f>
        <v>17</v>
      </c>
      <c r="E155" s="124">
        <f>IFERROR(INDEX('كشف الحساب'!$D$4:$D$254,MATCH(150,'كشف الحساب'!$P$4:$P$254,0)),"")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الحساب'!$A$4:$A$254,MATCH(151,'كشف الحساب'!$P$4:$P$254,0)),"")</f>
        <v>46264</v>
      </c>
      <c r="B156" s="122" t="str">
        <f>IFERROR(INDEX('كشف الحساب'!$B$4:$B$254,MATCH(151,'كشف الحساب'!$P$4:$P$254,0)),"")</f>
        <v>Inv-130</v>
      </c>
      <c r="C156" s="121" t="str">
        <f>IFERROR(INDEX('كشف الحساب'!$C$4:$C$254,MATCH(151,'كشف الحساب'!$P$4:$P$254,0)),"")</f>
        <v>صبار عدد 13 الحبه 0.750</v>
      </c>
      <c r="D156" s="123">
        <f>IFERROR(INDEX('كشف الحساب'!$E$4:$E$254,MATCH(151,'كشف الحساب'!$P$4:$P$254,0)),"")</f>
        <v>9.75</v>
      </c>
      <c r="E156" s="124">
        <f>IFERROR(INDEX('كشف الحساب'!$D$4:$D$254,MATCH(151,'كشف الحساب'!$P$4:$P$254,0)),"")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الحساب'!$A$4:$A$254,MATCH(152,'كشف الحساب'!$P$4:$P$254,0)),"")</f>
        <v>46264</v>
      </c>
      <c r="B157" s="122" t="str">
        <f>IFERROR(INDEX('كشف الحساب'!$B$4:$B$254,MATCH(152,'كشف الحساب'!$P$4:$P$254,0)),"")</f>
        <v>Inv-131</v>
      </c>
      <c r="C157" s="121" t="str">
        <f>IFERROR(INDEX('كشف الحساب'!$C$4:$C$254,MATCH(152,'كشف الحساب'!$P$4:$P$254,0)),"")</f>
        <v>تين عدد5 الحبه 1.500</v>
      </c>
      <c r="D157" s="123">
        <f>IFERROR(INDEX('كشف الحساب'!$E$4:$E$254,MATCH(152,'كشف الحساب'!$P$4:$P$254,0)),"")</f>
        <v>7.5</v>
      </c>
      <c r="E157" s="124">
        <f>IFERROR(INDEX('كشف الحساب'!$D$4:$D$254,MATCH(152,'كشف الحساب'!$P$4:$P$254,0)),"")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الحساب'!$A$4:$A$254,MATCH(153,'كشف الحساب'!$P$4:$P$254,0)),"")</f>
        <v>46264</v>
      </c>
      <c r="B158" s="122">
        <f>IFERROR(INDEX('كشف الحساب'!$B$4:$B$254,MATCH(153,'كشف الحساب'!$P$4:$P$254,0)),"")</f>
        <v>0</v>
      </c>
      <c r="C158" s="121" t="str">
        <f>IFERROR(INDEX('كشف الحساب'!$C$4:$C$254,MATCH(153,'كشف الحساب'!$P$4:$P$254,0)),"")</f>
        <v>أقامه نزمول 3 سنوات</v>
      </c>
      <c r="D158" s="123">
        <f>IFERROR(INDEX('كشف الحساب'!$E$4:$E$254,MATCH(153,'كشف الحساب'!$P$4:$P$254,0)),"")</f>
        <v>0</v>
      </c>
      <c r="E158" s="124">
        <f>IFERROR(INDEX('كشف الحساب'!$D$4:$D$254,MATCH(153,'كشف الحساب'!$P$4:$P$254,0)),"")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الحساب'!$A$4:$A$254,MATCH(154,'كشف الحساب'!$P$4:$P$254,0)),"")</f>
        <v>46265</v>
      </c>
      <c r="B159" s="122">
        <f>IFERROR(INDEX('كشف الحساب'!$B$4:$B$254,MATCH(154,'كشف الحساب'!$P$4:$P$254,0)),"")</f>
        <v>0</v>
      </c>
      <c r="C159" s="121" t="str">
        <f>IFERROR(INDEX('كشف الحساب'!$C$4:$C$254,MATCH(154,'كشف الحساب'!$P$4:$P$254,0)),"")</f>
        <v>رواتب + كهرباء وماء</v>
      </c>
      <c r="D159" s="123">
        <f>IFERROR(INDEX('كشف الحساب'!$E$4:$E$254,MATCH(154,'كشف الحساب'!$P$4:$P$254,0)),"")</f>
        <v>0</v>
      </c>
      <c r="E159" s="124">
        <f>IFERROR(INDEX('كشف الحساب'!$D$4:$D$254,MATCH(154,'كشف الحساب'!$P$4:$P$254,0)),"")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الحساب'!$A$4:$A$254,MATCH(155,'كشف الحساب'!$P$4:$P$254,0)),"")</f>
        <v>46265</v>
      </c>
      <c r="B160" s="122">
        <f>IFERROR(INDEX('كشف الحساب'!$B$4:$B$254,MATCH(155,'كشف الحساب'!$P$4:$P$254,0)),"")</f>
        <v>0</v>
      </c>
      <c r="C160" s="121" t="str">
        <f>IFERROR(INDEX('كشف الحساب'!$C$4:$C$254,MATCH(155,'كشف الحساب'!$P$4:$P$254,0)),"")</f>
        <v>نصف قيمه فلتر المالج</v>
      </c>
      <c r="D160" s="123">
        <f>IFERROR(INDEX('كشف الحساب'!$E$4:$E$254,MATCH(155,'كشف الحساب'!$P$4:$P$254,0)),"")</f>
        <v>0</v>
      </c>
      <c r="E160" s="124">
        <f>IFERROR(INDEX('كشف الحساب'!$D$4:$D$254,MATCH(155,'كشف الحساب'!$P$4:$P$254,0)),"")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الحساب'!$A$4:$A$254,MATCH(156,'كشف الحساب'!$P$4:$P$254,0)),"")</f>
        <v>46265</v>
      </c>
      <c r="B161" s="122" t="str">
        <f>IFERROR(INDEX('كشف الحساب'!$B$4:$B$254,MATCH(156,'كشف الحساب'!$P$4:$P$254,0)),"")</f>
        <v>Inv-132</v>
      </c>
      <c r="C161" s="121" t="str">
        <f>IFERROR(INDEX('كشف الحساب'!$C$4:$C$254,MATCH(156,'كشف الحساب'!$P$4:$P$254,0)),"")</f>
        <v>ودليه عدد 2 الحبه 1</v>
      </c>
      <c r="D161" s="123">
        <f>IFERROR(INDEX('كشف الحساب'!$E$4:$E$254,MATCH(156,'كشف الحساب'!$P$4:$P$254,0)),"")</f>
        <v>2</v>
      </c>
      <c r="E161" s="124">
        <f>IFERROR(INDEX('كشف الحساب'!$D$4:$D$254,MATCH(156,'كشف الحساب'!$P$4:$P$254,0)),"")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الحساب'!$A$4:$A$254,MATCH(157,'كشف الحساب'!$P$4:$P$254,0)),"")</f>
        <v>46268</v>
      </c>
      <c r="B162" s="122" t="str">
        <f>IFERROR(INDEX('كشف الحساب'!$B$4:$B$254,MATCH(157,'كشف الحساب'!$P$4:$P$254,0)),"")</f>
        <v>Inv-133</v>
      </c>
      <c r="C162" s="121" t="str">
        <f>IFERROR(INDEX('كشف الحساب'!$C$4:$C$254,MATCH(157,'كشف الحساب'!$P$4:$P$254,0)),"")</f>
        <v>زهور التهاني</v>
      </c>
      <c r="D162" s="123">
        <f>IFERROR(INDEX('كشف الحساب'!$E$4:$E$254,MATCH(157,'كشف الحساب'!$P$4:$P$254,0)),"")</f>
        <v>270</v>
      </c>
      <c r="E162" s="124">
        <f>IFERROR(INDEX('كشف الحساب'!$D$4:$D$254,MATCH(157,'كشف الحساب'!$P$4:$P$254,0)),"")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الحساب'!$A$4:$A$254,MATCH(158,'كشف الحساب'!$P$4:$P$254,0)),"")</f>
        <v>46269</v>
      </c>
      <c r="B163" s="122">
        <f>IFERROR(INDEX('كشف الحساب'!$B$4:$B$254,MATCH(158,'كشف الحساب'!$P$4:$P$254,0)),"")</f>
        <v>0</v>
      </c>
      <c r="C163" s="121" t="str">
        <f>IFERROR(INDEX('كشف الحساب'!$C$4:$C$254,MATCH(158,'كشف الحساب'!$P$4:$P$254,0)),"")</f>
        <v>يوريا  عدد1 (12.250) + مقص عدد1(1.250)</v>
      </c>
      <c r="D163" s="123">
        <f>IFERROR(INDEX('كشف الحساب'!$E$4:$E$254,MATCH(158,'كشف الحساب'!$P$4:$P$254,0)),"")</f>
        <v>0</v>
      </c>
      <c r="E163" s="124">
        <f>IFERROR(INDEX('كشف الحساب'!$D$4:$D$254,MATCH(158,'كشف الحساب'!$P$4:$P$254,0)),"")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الحساب'!$A$4:$A$254,MATCH(159,'كشف الحساب'!$P$4:$P$254,0)),"")</f>
        <v>46271</v>
      </c>
      <c r="B164" s="122" t="str">
        <f>IFERROR(INDEX('كشف الحساب'!$B$4:$B$254,MATCH(159,'كشف الحساب'!$P$4:$P$254,0)),"")</f>
        <v>Inv-134</v>
      </c>
      <c r="C164" s="121" t="str">
        <f>IFERROR(INDEX('كشف الحساب'!$C$4:$C$254,MATCH(159,'كشف الحساب'!$P$4:$P$254,0)),"")</f>
        <v>ليمون جراس عدد 4 الحبه 3</v>
      </c>
      <c r="D164" s="123">
        <f>IFERROR(INDEX('كشف الحساب'!$E$4:$E$254,MATCH(159,'كشف الحساب'!$P$4:$P$254,0)),"")</f>
        <v>12</v>
      </c>
      <c r="E164" s="124">
        <f>IFERROR(INDEX('كشف الحساب'!$D$4:$D$254,MATCH(159,'كشف الحساب'!$P$4:$P$254,0)),"")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الحساب'!$A$4:$A$254,MATCH(160,'كشف الحساب'!$P$4:$P$254,0)),"")</f>
        <v>46271</v>
      </c>
      <c r="B165" s="122" t="str">
        <f>IFERROR(INDEX('كشف الحساب'!$B$4:$B$254,MATCH(160,'كشف الحساب'!$P$4:$P$254,0)),"")</f>
        <v>Inv-135</v>
      </c>
      <c r="C165" s="121" t="str">
        <f>IFERROR(INDEX('كشف الحساب'!$C$4:$C$254,MATCH(160,'كشف الحساب'!$P$4:$P$254,0)),"")</f>
        <v>ربل عدد 2 الحبه 1.500</v>
      </c>
      <c r="D165" s="123">
        <f>IFERROR(INDEX('كشف الحساب'!$E$4:$E$254,MATCH(160,'كشف الحساب'!$P$4:$P$254,0)),"")</f>
        <v>3</v>
      </c>
      <c r="E165" s="124">
        <f>IFERROR(INDEX('كشف الحساب'!$D$4:$D$254,MATCH(160,'كشف الحساب'!$P$4:$P$254,0)),"")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الحساب'!$A$4:$A$254,MATCH(161,'كشف الحساب'!$P$4:$P$254,0)),"")</f>
        <v>46271</v>
      </c>
      <c r="B166" s="122" t="str">
        <f>IFERROR(INDEX('كشف الحساب'!$B$4:$B$254,MATCH(161,'كشف الحساب'!$P$4:$P$254,0)),"")</f>
        <v>Inv-136</v>
      </c>
      <c r="C166" s="121" t="str">
        <f>IFERROR(INDEX('كشف الحساب'!$C$4:$C$254,MATCH(161,'كشف الحساب'!$P$4:$P$254,0)),"")</f>
        <v>متنوع عدد 7 الحبه 1</v>
      </c>
      <c r="D166" s="123">
        <f>IFERROR(INDEX('كشف الحساب'!$E$4:$E$254,MATCH(161,'كشف الحساب'!$P$4:$P$254,0)),"")</f>
        <v>7</v>
      </c>
      <c r="E166" s="124">
        <f>IFERROR(INDEX('كشف الحساب'!$D$4:$D$254,MATCH(161,'كشف الحساب'!$P$4:$P$254,0)),"")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الحساب'!$A$4:$A$254,MATCH(162,'كشف الحساب'!$P$4:$P$254,0)),"")</f>
        <v>46271</v>
      </c>
      <c r="B167" s="122">
        <f>IFERROR(INDEX('كشف الحساب'!$B$4:$B$254,MATCH(162,'كشف الحساب'!$P$4:$P$254,0)),"")</f>
        <v>0</v>
      </c>
      <c r="C167" s="121" t="str">
        <f>IFERROR(INDEX('كشف الحساب'!$C$4:$C$254,MATCH(162,'كشف الحساب'!$P$4:$P$254,0)),"")</f>
        <v>احواض  عدد 1000 الحجم 25 سم</v>
      </c>
      <c r="D167" s="123">
        <f>IFERROR(INDEX('كشف الحساب'!$E$4:$E$254,MATCH(162,'كشف الحساب'!$P$4:$P$254,0)),"")</f>
        <v>0</v>
      </c>
      <c r="E167" s="124">
        <f>IFERROR(INDEX('كشف الحساب'!$D$4:$D$254,MATCH(162,'كشف الحساب'!$P$4:$P$254,0)),"")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الحساب'!$A$4:$A$254,MATCH(163,'كشف الحساب'!$P$4:$P$254,0)),"")</f>
        <v>46272</v>
      </c>
      <c r="B168" s="122">
        <f>IFERROR(INDEX('كشف الحساب'!$B$4:$B$254,MATCH(163,'كشف الحساب'!$P$4:$P$254,0)),"")</f>
        <v>0</v>
      </c>
      <c r="C168" s="121" t="str">
        <f>IFERROR(INDEX('كشف الحساب'!$C$4:$C$254,MATCH(163,'كشف الحساب'!$P$4:$P$254,0)),"")</f>
        <v>وصلات</v>
      </c>
      <c r="D168" s="123">
        <f>IFERROR(INDEX('كشف الحساب'!$E$4:$E$254,MATCH(163,'كشف الحساب'!$P$4:$P$254,0)),"")</f>
        <v>0</v>
      </c>
      <c r="E168" s="124">
        <f>IFERROR(INDEX('كشف الحساب'!$D$4:$D$254,MATCH(163,'كشف الحساب'!$P$4:$P$254,0)),"")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الحساب'!$A$4:$A$254,MATCH(164,'كشف الحساب'!$P$4:$P$254,0)),"")</f>
        <v>46275</v>
      </c>
      <c r="B169" s="122" t="str">
        <f>IFERROR(INDEX('كشف الحساب'!$B$4:$B$254,MATCH(164,'كشف الحساب'!$P$4:$P$254,0)),"")</f>
        <v>Inv-137</v>
      </c>
      <c r="C169" s="121" t="str">
        <f>IFERROR(INDEX('كشف الحساب'!$C$4:$C$254,MATCH(164,'كشف الحساب'!$P$4:$P$254,0)),"")</f>
        <v>صبار عدد 5 الحبه 1</v>
      </c>
      <c r="D169" s="123">
        <f>IFERROR(INDEX('كشف الحساب'!$E$4:$E$254,MATCH(164,'كشف الحساب'!$P$4:$P$254,0)),"")</f>
        <v>5</v>
      </c>
      <c r="E169" s="124">
        <f>IFERROR(INDEX('كشف الحساب'!$D$4:$D$254,MATCH(164,'كشف الحساب'!$P$4:$P$254,0)),"")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الحساب'!$A$4:$A$254,MATCH(165,'كشف الحساب'!$P$4:$P$254,0)),"")</f>
        <v>46276</v>
      </c>
      <c r="B170" s="122" t="str">
        <f>IFERROR(INDEX('كشف الحساب'!$B$4:$B$254,MATCH(165,'كشف الحساب'!$P$4:$P$254,0)),"")</f>
        <v>Inv-138</v>
      </c>
      <c r="C170" s="121" t="str">
        <f>IFERROR(INDEX('كشف الحساب'!$C$4:$C$254,MATCH(165,'كشف الحساب'!$P$4:$P$254,0)),"")</f>
        <v>متنوع عدد 10 الحبه 1.500</v>
      </c>
      <c r="D170" s="123">
        <f>IFERROR(INDEX('كشف الحساب'!$E$4:$E$254,MATCH(165,'كشف الحساب'!$P$4:$P$254,0)),"")</f>
        <v>15</v>
      </c>
      <c r="E170" s="124">
        <f>IFERROR(INDEX('كشف الحساب'!$D$4:$D$254,MATCH(165,'كشف الحساب'!$P$4:$P$254,0)),"")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الحساب'!$A$4:$A$254,MATCH(166,'كشف الحساب'!$P$4:$P$254,0)),"")</f>
        <v>46276</v>
      </c>
      <c r="B171" s="122" t="str">
        <f>IFERROR(INDEX('كشف الحساب'!$B$4:$B$254,MATCH(166,'كشف الحساب'!$P$4:$P$254,0)),"")</f>
        <v>Inv-139</v>
      </c>
      <c r="C171" s="121" t="str">
        <f>IFERROR(INDEX('كشف الحساب'!$C$4:$C$254,MATCH(166,'كشف الحساب'!$P$4:$P$254,0)),"")</f>
        <v>متنوع عدد 20 الحبه 1</v>
      </c>
      <c r="D171" s="123">
        <f>IFERROR(INDEX('كشف الحساب'!$E$4:$E$254,MATCH(166,'كشف الحساب'!$P$4:$P$254,0)),"")</f>
        <v>20</v>
      </c>
      <c r="E171" s="124">
        <f>IFERROR(INDEX('كشف الحساب'!$D$4:$D$254,MATCH(166,'كشف الحساب'!$P$4:$P$254,0)),"")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الحساب'!$A$4:$A$254,MATCH(167,'كشف الحساب'!$P$4:$P$254,0)),"")</f>
        <v>46276</v>
      </c>
      <c r="B172" s="122" t="str">
        <f>IFERROR(INDEX('كشف الحساب'!$B$4:$B$254,MATCH(167,'كشف الحساب'!$P$4:$P$254,0)),"")</f>
        <v>Inv-140</v>
      </c>
      <c r="C172" s="121" t="str">
        <f>IFERROR(INDEX('كشف الحساب'!$C$4:$C$254,MATCH(167,'كشف الحساب'!$P$4:$P$254,0)),"")</f>
        <v>صبار عدد 35 الحبه 1</v>
      </c>
      <c r="D172" s="123">
        <f>IFERROR(INDEX('كشف الحساب'!$E$4:$E$254,MATCH(167,'كشف الحساب'!$P$4:$P$254,0)),"")</f>
        <v>35</v>
      </c>
      <c r="E172" s="124">
        <f>IFERROR(INDEX('كشف الحساب'!$D$4:$D$254,MATCH(167,'كشف الحساب'!$P$4:$P$254,0)),"")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الحساب'!$A$4:$A$254,MATCH(168,'كشف الحساب'!$P$4:$P$254,0)),"")</f>
        <v>46276</v>
      </c>
      <c r="B173" s="122" t="str">
        <f>IFERROR(INDEX('كشف الحساب'!$B$4:$B$254,MATCH(168,'كشف الحساب'!$P$4:$P$254,0)),"")</f>
        <v>Inv-141</v>
      </c>
      <c r="C173" s="121" t="str">
        <f>IFERROR(INDEX('كشف الحساب'!$C$4:$C$254,MATCH(168,'كشف الحساب'!$P$4:$P$254,0)),"")</f>
        <v>متنوع عدد 5 الحبه 1</v>
      </c>
      <c r="D173" s="123">
        <f>IFERROR(INDEX('كشف الحساب'!$E$4:$E$254,MATCH(168,'كشف الحساب'!$P$4:$P$254,0)),"")</f>
        <v>5</v>
      </c>
      <c r="E173" s="124">
        <f>IFERROR(INDEX('كشف الحساب'!$D$4:$D$254,MATCH(168,'كشف الحساب'!$P$4:$P$254,0)),"")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الحساب'!$A$4:$A$254,MATCH(169,'كشف الحساب'!$P$4:$P$254,0)),"")</f>
        <v>46276</v>
      </c>
      <c r="B174" s="122" t="str">
        <f>IFERROR(INDEX('كشف الحساب'!$B$4:$B$254,MATCH(169,'كشف الحساب'!$P$4:$P$254,0)),"")</f>
        <v>Inv-142</v>
      </c>
      <c r="C174" s="121" t="str">
        <f>IFERROR(INDEX('كشف الحساب'!$C$4:$C$254,MATCH(169,'كشف الحساب'!$P$4:$P$254,0)),"")</f>
        <v>عطره العدد 10 الحبه .750</v>
      </c>
      <c r="D174" s="123">
        <f>IFERROR(INDEX('كشف الحساب'!$E$4:$E$254,MATCH(169,'كشف الحساب'!$P$4:$P$254,0)),"")</f>
        <v>10</v>
      </c>
      <c r="E174" s="124">
        <f>IFERROR(INDEX('كشف الحساب'!$D$4:$D$254,MATCH(169,'كشف الحساب'!$P$4:$P$254,0)),"")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الحساب'!$A$4:$A$254,MATCH(170,'كشف الحساب'!$P$4:$P$254,0)),"")</f>
        <v>46276</v>
      </c>
      <c r="B175" s="122" t="str">
        <f>IFERROR(INDEX('كشف الحساب'!$B$4:$B$254,MATCH(170,'كشف الحساب'!$P$4:$P$254,0)),"")</f>
        <v>Inv-143</v>
      </c>
      <c r="C175" s="121" t="str">
        <f>IFERROR(INDEX('كشف الحساب'!$C$4:$C$254,MATCH(170,'كشف الحساب'!$P$4:$P$254,0)),"")</f>
        <v>دارسينا متنوع عدد 2  الحبه 3</v>
      </c>
      <c r="D175" s="123">
        <f>IFERROR(INDEX('كشف الحساب'!$E$4:$E$254,MATCH(170,'كشف الحساب'!$P$4:$P$254,0)),"")</f>
        <v>6</v>
      </c>
      <c r="E175" s="124">
        <f>IFERROR(INDEX('كشف الحساب'!$D$4:$D$254,MATCH(170,'كشف الحساب'!$P$4:$P$254,0)),"")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الحساب'!$A$4:$A$254,MATCH(171,'كشف الحساب'!$P$4:$P$254,0)),"")</f>
        <v>46276</v>
      </c>
      <c r="B176" s="122" t="str">
        <f>IFERROR(INDEX('كشف الحساب'!$B$4:$B$254,MATCH(171,'كشف الحساب'!$P$4:$P$254,0)),"")</f>
        <v>Inv-144</v>
      </c>
      <c r="C176" s="121" t="str">
        <f>IFERROR(INDEX('كشف الحساب'!$C$4:$C$254,MATCH(171,'كشف الحساب'!$P$4:$P$254,0)),"")</f>
        <v>معلقات عدد 2 الحبه 1</v>
      </c>
      <c r="D176" s="123">
        <f>IFERROR(INDEX('كشف الحساب'!$E$4:$E$254,MATCH(171,'كشف الحساب'!$P$4:$P$254,0)),"")</f>
        <v>2</v>
      </c>
      <c r="E176" s="124">
        <f>IFERROR(INDEX('كشف الحساب'!$D$4:$D$254,MATCH(171,'كشف الحساب'!$P$4:$P$254,0)),"")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الحساب'!$A$4:$A$254,MATCH(172,'كشف الحساب'!$P$4:$P$254,0)),"")</f>
        <v>46276</v>
      </c>
      <c r="B177" s="122" t="str">
        <f>IFERROR(INDEX('كشف الحساب'!$B$4:$B$254,MATCH(172,'كشف الحساب'!$P$4:$P$254,0)),"")</f>
        <v>Inv-145</v>
      </c>
      <c r="C177" s="121" t="str">
        <f>IFERROR(INDEX('كشف الحساب'!$C$4:$C$254,MATCH(172,'كشف الحساب'!$P$4:$P$254,0)),"")</f>
        <v>دارسينا اسود عدد 2 الحبه 2.500</v>
      </c>
      <c r="D177" s="123">
        <f>IFERROR(INDEX('كشف الحساب'!$E$4:$E$254,MATCH(172,'كشف الحساب'!$P$4:$P$254,0)),"")</f>
        <v>5</v>
      </c>
      <c r="E177" s="124">
        <f>IFERROR(INDEX('كشف الحساب'!$D$4:$D$254,MATCH(172,'كشف الحساب'!$P$4:$P$254,0)),"")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الحساب'!$A$4:$A$254,MATCH(173,'كشف الحساب'!$P$4:$P$254,0)),"")</f>
        <v>46276</v>
      </c>
      <c r="B178" s="122" t="str">
        <f>IFERROR(INDEX('كشف الحساب'!$B$4:$B$254,MATCH(173,'كشف الحساب'!$P$4:$P$254,0)),"")</f>
        <v>Inv-146</v>
      </c>
      <c r="C178" s="121" t="str">
        <f>IFERROR(INDEX('كشف الحساب'!$C$4:$C$254,MATCH(173,'كشف الحساب'!$P$4:$P$254,0)),"")</f>
        <v>متنوع عدد 2 الحبه 1</v>
      </c>
      <c r="D178" s="123">
        <f>IFERROR(INDEX('كشف الحساب'!$E$4:$E$254,MATCH(173,'كشف الحساب'!$P$4:$P$254,0)),"")</f>
        <v>2</v>
      </c>
      <c r="E178" s="124">
        <f>IFERROR(INDEX('كشف الحساب'!$D$4:$D$254,MATCH(173,'كشف الحساب'!$P$4:$P$254,0)),"")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الحساب'!$A$4:$A$254,MATCH(174,'كشف الحساب'!$P$4:$P$254,0)),"")</f>
        <v>46276</v>
      </c>
      <c r="B179" s="122" t="str">
        <f>IFERROR(INDEX('كشف الحساب'!$B$4:$B$254,MATCH(174,'كشف الحساب'!$P$4:$P$254,0)),"")</f>
        <v>Inv-147</v>
      </c>
      <c r="C179" s="121" t="str">
        <f>IFERROR(INDEX('كشف الحساب'!$C$4:$C$254,MATCH(174,'كشف الحساب'!$P$4:$P$254,0)),"")</f>
        <v>متنوع عدد 2 الحبه 1.500</v>
      </c>
      <c r="D179" s="123">
        <f>IFERROR(INDEX('كشف الحساب'!$E$4:$E$254,MATCH(174,'كشف الحساب'!$P$4:$P$254,0)),"")</f>
        <v>3</v>
      </c>
      <c r="E179" s="124">
        <f>IFERROR(INDEX('كشف الحساب'!$D$4:$D$254,MATCH(174,'كشف الحساب'!$P$4:$P$254,0)),"")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الحساب'!$A$4:$A$254,MATCH(175,'كشف الحساب'!$P$4:$P$254,0)),"")</f>
        <v>46276</v>
      </c>
      <c r="B180" s="122" t="str">
        <f>IFERROR(INDEX('كشف الحساب'!$B$4:$B$254,MATCH(175,'كشف الحساب'!$P$4:$P$254,0)),"")</f>
        <v>Inv-148</v>
      </c>
      <c r="C180" s="121" t="str">
        <f>IFERROR(INDEX('كشف الحساب'!$C$4:$C$254,MATCH(175,'كشف الحساب'!$P$4:$P$254,0)),"")</f>
        <v>متنوع عدد 2 الحبه 1</v>
      </c>
      <c r="D180" s="123">
        <f>IFERROR(INDEX('كشف الحساب'!$E$4:$E$254,MATCH(175,'كشف الحساب'!$P$4:$P$254,0)),"")</f>
        <v>2</v>
      </c>
      <c r="E180" s="124">
        <f>IFERROR(INDEX('كشف الحساب'!$D$4:$D$254,MATCH(175,'كشف الحساب'!$P$4:$P$254,0)),"")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الحساب'!$A$4:$A$254,MATCH(176,'كشف الحساب'!$P$4:$P$254,0)),"")</f>
        <v>46277</v>
      </c>
      <c r="B181" s="122">
        <f>IFERROR(INDEX('كشف الحساب'!$B$4:$B$254,MATCH(176,'كشف الحساب'!$P$4:$P$254,0)),"")</f>
        <v>0</v>
      </c>
      <c r="C181" s="121" t="str">
        <f>IFERROR(INDEX('كشف الحساب'!$C$4:$C$254,MATCH(176,'كشف الحساب'!$P$4:$P$254,0)),"")</f>
        <v>عصايا  500 حجم 120سم 500 90 سم 2 ابريق ماء 8 لتر</v>
      </c>
      <c r="D181" s="123">
        <f>IFERROR(INDEX('كشف الحساب'!$E$4:$E$254,MATCH(176,'كشف الحساب'!$P$4:$P$254,0)),"")</f>
        <v>0</v>
      </c>
      <c r="E181" s="124">
        <f>IFERROR(INDEX('كشف الحساب'!$D$4:$D$254,MATCH(176,'كشف الحساب'!$P$4:$P$254,0)),"")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الحساب'!$A$4:$A$254,MATCH(177,'كشف الحساب'!$P$4:$P$254,0)),"")</f>
        <v>46278</v>
      </c>
      <c r="B182" s="122" t="str">
        <f>IFERROR(INDEX('كشف الحساب'!$B$4:$B$254,MATCH(177,'كشف الحساب'!$P$4:$P$254,0)),"")</f>
        <v>Inv-149</v>
      </c>
      <c r="C182" s="121" t="str">
        <f>IFERROR(INDEX('كشف الحساب'!$C$4:$C$254,MATCH(177,'كشف الحساب'!$P$4:$P$254,0)),"")</f>
        <v>زهور التهاني</v>
      </c>
      <c r="D182" s="123">
        <f>IFERROR(INDEX('كشف الحساب'!$E$4:$E$254,MATCH(177,'كشف الحساب'!$P$4:$P$254,0)),"")</f>
        <v>310</v>
      </c>
      <c r="E182" s="124">
        <f>IFERROR(INDEX('كشف الحساب'!$D$4:$D$254,MATCH(177,'كشف الحساب'!$P$4:$P$254,0)),"")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الحساب'!$A$4:$A$254,MATCH(178,'كشف الحساب'!$P$4:$P$254,0)),"")</f>
        <v>46278</v>
      </c>
      <c r="B183" s="122">
        <f>IFERROR(INDEX('كشف الحساب'!$B$4:$B$254,MATCH(178,'كشف الحساب'!$P$4:$P$254,0)),"")</f>
        <v>0</v>
      </c>
      <c r="C183" s="121" t="str">
        <f>IFERROR(INDEX('كشف الحساب'!$C$4:$C$254,MATCH(178,'كشف الحساب'!$P$4:$P$254,0)),"")</f>
        <v>فيتامين حديد</v>
      </c>
      <c r="D183" s="123">
        <f>IFERROR(INDEX('كشف الحساب'!$E$4:$E$254,MATCH(178,'كشف الحساب'!$P$4:$P$254,0)),"")</f>
        <v>0</v>
      </c>
      <c r="E183" s="124">
        <f>IFERROR(INDEX('كشف الحساب'!$D$4:$D$254,MATCH(178,'كشف الحساب'!$P$4:$P$254,0)),"")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الحساب'!$A$4:$A$254,MATCH(179,'كشف الحساب'!$P$4:$P$254,0)),"")</f>
        <v>46282</v>
      </c>
      <c r="B184" s="122">
        <f>IFERROR(INDEX('كشف الحساب'!$B$4:$B$254,MATCH(179,'كشف الحساب'!$P$4:$P$254,0)),"")</f>
        <v>0</v>
      </c>
      <c r="C184" s="121" t="str">
        <f>IFERROR(INDEX('كشف الحساب'!$C$4:$C$254,MATCH(179,'كشف الحساب'!$P$4:$P$254,0)),"")</f>
        <v>زيتون عدد 5 الوحده 1.250</v>
      </c>
      <c r="D184" s="123">
        <f>IFERROR(INDEX('كشف الحساب'!$E$4:$E$254,MATCH(179,'كشف الحساب'!$P$4:$P$254,0)),"")</f>
        <v>0</v>
      </c>
      <c r="E184" s="124">
        <f>IFERROR(INDEX('كشف الحساب'!$D$4:$D$254,MATCH(179,'كشف الحساب'!$P$4:$P$254,0)),"")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الحساب'!$A$4:$A$254,MATCH(180,'كشف الحساب'!$P$4:$P$254,0)),"")</f>
        <v>46282</v>
      </c>
      <c r="B185" s="122">
        <f>IFERROR(INDEX('كشف الحساب'!$B$4:$B$254,MATCH(180,'كشف الحساب'!$P$4:$P$254,0)),"")</f>
        <v>0</v>
      </c>
      <c r="C185" s="121" t="str">
        <f>IFERROR(INDEX('كشف الحساب'!$C$4:$C$254,MATCH(180,'كشف الحساب'!$P$4:$P$254,0)),"")</f>
        <v>احواض عدد 1000 الحجم 25 سم</v>
      </c>
      <c r="D185" s="123">
        <f>IFERROR(INDEX('كشف الحساب'!$E$4:$E$254,MATCH(180,'كشف الحساب'!$P$4:$P$254,0)),"")</f>
        <v>0</v>
      </c>
      <c r="E185" s="124">
        <f>IFERROR(INDEX('كشف الحساب'!$D$4:$D$254,MATCH(180,'كشف الحساب'!$P$4:$P$254,0)),"")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الحساب'!$A$4:$A$254,MATCH(181,'كشف الحساب'!$P$4:$P$254,0)),"")</f>
        <v>46282</v>
      </c>
      <c r="B186" s="122" t="str">
        <f>IFERROR(INDEX('كشف الحساب'!$B$4:$B$254,MATCH(181,'كشف الحساب'!$P$4:$P$254,0)),"")</f>
        <v>Inv-150</v>
      </c>
      <c r="C186" s="121" t="str">
        <f>IFERROR(INDEX('كشف الحساب'!$C$4:$C$254,MATCH(181,'كشف الحساب'!$P$4:$P$254,0)),"")</f>
        <v>صبار عدد 6 الحبه .500</v>
      </c>
      <c r="D186" s="123">
        <f>IFERROR(INDEX('كشف الحساب'!$E$4:$E$254,MATCH(181,'كشف الحساب'!$P$4:$P$254,0)),"")</f>
        <v>3</v>
      </c>
      <c r="E186" s="124">
        <f>IFERROR(INDEX('كشف الحساب'!$D$4:$D$254,MATCH(181,'كشف الحساب'!$P$4:$P$254,0)),"")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الحساب'!$A$4:$A$254,MATCH(182,'كشف الحساب'!$P$4:$P$254,0)),"")</f>
        <v>46282</v>
      </c>
      <c r="B187" s="122" t="str">
        <f>IFERROR(INDEX('كشف الحساب'!$B$4:$B$254,MATCH(182,'كشف الحساب'!$P$4:$P$254,0)),"")</f>
        <v>Inv-151</v>
      </c>
      <c r="C187" s="121" t="str">
        <f>IFERROR(INDEX('كشف الحساب'!$C$4:$C$254,MATCH(182,'كشف الحساب'!$P$4:$P$254,0)),"")</f>
        <v>متنوع عدد 10 الحبه 1</v>
      </c>
      <c r="D187" s="123">
        <f>IFERROR(INDEX('كشف الحساب'!$E$4:$E$254,MATCH(182,'كشف الحساب'!$P$4:$P$254,0)),"")</f>
        <v>10</v>
      </c>
      <c r="E187" s="124">
        <f>IFERROR(INDEX('كشف الحساب'!$D$4:$D$254,MATCH(182,'كشف الحساب'!$P$4:$P$254,0)),"")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الحساب'!$A$4:$A$254,MATCH(183,'كشف الحساب'!$P$4:$P$254,0)),"")</f>
        <v>46282</v>
      </c>
      <c r="B188" s="122" t="str">
        <f>IFERROR(INDEX('كشف الحساب'!$B$4:$B$254,MATCH(183,'كشف الحساب'!$P$4:$P$254,0)),"")</f>
        <v>Inv-152</v>
      </c>
      <c r="C188" s="121" t="str">
        <f>IFERROR(INDEX('كشف الحساب'!$C$4:$C$254,MATCH(183,'كشف الحساب'!$P$4:$P$254,0)),"")</f>
        <v>ودليه عدد 1- الحبه 1</v>
      </c>
      <c r="D188" s="123">
        <f>IFERROR(INDEX('كشف الحساب'!$E$4:$E$254,MATCH(183,'كشف الحساب'!$P$4:$P$254,0)),"")</f>
        <v>10</v>
      </c>
      <c r="E188" s="124">
        <f>IFERROR(INDEX('كشف الحساب'!$D$4:$D$254,MATCH(183,'كشف الحساب'!$P$4:$P$254,0)),"")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الحساب'!$A$4:$A$254,MATCH(184,'كشف الحساب'!$P$4:$P$254,0)),"")</f>
        <v>46282</v>
      </c>
      <c r="B189" s="122" t="str">
        <f>IFERROR(INDEX('كشف الحساب'!$B$4:$B$254,MATCH(184,'كشف الحساب'!$P$4:$P$254,0)),"")</f>
        <v>Inv-153</v>
      </c>
      <c r="C189" s="121" t="str">
        <f>IFERROR(INDEX('كشف الحساب'!$C$4:$C$254,MATCH(184,'كشف الحساب'!$P$4:$P$254,0)),"")</f>
        <v>دارسينا كبيره عدد 1</v>
      </c>
      <c r="D189" s="123">
        <f>IFERROR(INDEX('كشف الحساب'!$E$4:$E$254,MATCH(184,'كشف الحساب'!$P$4:$P$254,0)),"")</f>
        <v>10</v>
      </c>
      <c r="E189" s="124">
        <f>IFERROR(INDEX('كشف الحساب'!$D$4:$D$254,MATCH(184,'كشف الحساب'!$P$4:$P$254,0)),"")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الحساب'!$A$4:$A$254,MATCH(185,'كشف الحساب'!$P$4:$P$254,0)),"")</f>
        <v>46282</v>
      </c>
      <c r="B190" s="122" t="str">
        <f>IFERROR(INDEX('كشف الحساب'!$B$4:$B$254,MATCH(185,'كشف الحساب'!$P$4:$P$254,0)),"")</f>
        <v>Inv-154</v>
      </c>
      <c r="C190" s="121" t="str">
        <f>IFERROR(INDEX('كشف الحساب'!$C$4:$C$254,MATCH(185,'كشف الحساب'!$P$4:$P$254,0)),"")</f>
        <v>متنوع عدد 6 الحبه 1,500</v>
      </c>
      <c r="D190" s="123">
        <f>IFERROR(INDEX('كشف الحساب'!$E$4:$E$254,MATCH(185,'كشف الحساب'!$P$4:$P$254,0)),"")</f>
        <v>9</v>
      </c>
      <c r="E190" s="124">
        <f>IFERROR(INDEX('كشف الحساب'!$D$4:$D$254,MATCH(185,'كشف الحساب'!$P$4:$P$254,0)),"")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الحساب'!$A$4:$A$254,MATCH(186,'كشف الحساب'!$P$4:$P$254,0)),"")</f>
        <v>46282</v>
      </c>
      <c r="B191" s="122" t="str">
        <f>IFERROR(INDEX('كشف الحساب'!$B$4:$B$254,MATCH(186,'كشف الحساب'!$P$4:$P$254,0)),"")</f>
        <v>Inv-155</v>
      </c>
      <c r="C191" s="121" t="str">
        <f>IFERROR(INDEX('كشف الحساب'!$C$4:$C$254,MATCH(186,'كشف الحساب'!$P$4:$P$254,0)),"")</f>
        <v>متنوع عدد 6 الحبه 1,500</v>
      </c>
      <c r="D191" s="123">
        <f>IFERROR(INDEX('كشف الحساب'!$E$4:$E$254,MATCH(186,'كشف الحساب'!$P$4:$P$254,0)),"")</f>
        <v>6</v>
      </c>
      <c r="E191" s="124">
        <f>IFERROR(INDEX('كشف الحساب'!$D$4:$D$254,MATCH(186,'كشف الحساب'!$P$4:$P$254,0)),"")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الحساب'!$A$4:$A$254,MATCH(187,'كشف الحساب'!$P$4:$P$254,0)),"")</f>
        <v>46282</v>
      </c>
      <c r="B192" s="122" t="str">
        <f>IFERROR(INDEX('كشف الحساب'!$B$4:$B$254,MATCH(187,'كشف الحساب'!$P$4:$P$254,0)),"")</f>
        <v>Inv-156</v>
      </c>
      <c r="C192" s="121" t="str">
        <f>IFERROR(INDEX('كشف الحساب'!$C$4:$C$254,MATCH(187,'كشف الحساب'!$P$4:$P$254,0)),"")</f>
        <v>صبار تايجر عدد 30 الحبه 1</v>
      </c>
      <c r="D192" s="123">
        <f>IFERROR(INDEX('كشف الحساب'!$E$4:$E$254,MATCH(187,'كشف الحساب'!$P$4:$P$254,0)),"")</f>
        <v>30</v>
      </c>
      <c r="E192" s="124">
        <f>IFERROR(INDEX('كشف الحساب'!$D$4:$D$254,MATCH(187,'كشف الحساب'!$P$4:$P$254,0)),"")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الحساب'!$A$4:$A$254,MATCH(188,'كشف الحساب'!$P$4:$P$254,0)),"")</f>
        <v>46282</v>
      </c>
      <c r="B193" s="122" t="str">
        <f>IFERROR(INDEX('كشف الحساب'!$B$4:$B$254,MATCH(188,'كشف الحساب'!$P$4:$P$254,0)),"")</f>
        <v>Inv-157</v>
      </c>
      <c r="C193" s="121" t="str">
        <f>IFERROR(INDEX('كشف الحساب'!$C$4:$C$254,MATCH(188,'كشف الحساب'!$P$4:$P$254,0)),"")</f>
        <v>صبار تايجر صغير عدد 10 الحبه .750</v>
      </c>
      <c r="D193" s="123">
        <f>IFERROR(INDEX('كشف الحساب'!$E$4:$E$254,MATCH(188,'كشف الحساب'!$P$4:$P$254,0)),"")</f>
        <v>7.5</v>
      </c>
      <c r="E193" s="124">
        <f>IFERROR(INDEX('كشف الحساب'!$D$4:$D$254,MATCH(188,'كشف الحساب'!$P$4:$P$254,0)),"")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الحساب'!$A$4:$A$254,MATCH(189,'كشف الحساب'!$P$4:$P$254,0)),"")</f>
        <v>46282</v>
      </c>
      <c r="B194" s="122" t="str">
        <f>IFERROR(INDEX('كشف الحساب'!$B$4:$B$254,MATCH(189,'كشف الحساب'!$P$4:$P$254,0)),"")</f>
        <v>Inv-158</v>
      </c>
      <c r="C194" s="121" t="str">
        <f>IFERROR(INDEX('كشف الحساب'!$C$4:$C$254,MATCH(189,'كشف الحساب'!$P$4:$P$254,0)),"")</f>
        <v>نعناع عدد 5 الحبه .500</v>
      </c>
      <c r="D194" s="123">
        <f>IFERROR(INDEX('كشف الحساب'!$E$4:$E$254,MATCH(189,'كشف الحساب'!$P$4:$P$254,0)),"")</f>
        <v>2.5</v>
      </c>
      <c r="E194" s="124">
        <f>IFERROR(INDEX('كشف الحساب'!$D$4:$D$254,MATCH(189,'كشف الحساب'!$P$4:$P$254,0)),"")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الحساب'!$A$4:$A$254,MATCH(190,'كشف الحساب'!$P$4:$P$254,0)),"")</f>
        <v>46282</v>
      </c>
      <c r="B195" s="122" t="str">
        <f>IFERROR(INDEX('كشف الحساب'!$B$4:$B$254,MATCH(190,'كشف الحساب'!$P$4:$P$254,0)),"")</f>
        <v>Inv-159</v>
      </c>
      <c r="C195" s="121" t="str">
        <f>IFERROR(INDEX('كشف الحساب'!$C$4:$C$254,MATCH(190,'كشف الحساب'!$P$4:$P$254,0)),"")</f>
        <v>زعتر عدد 10 الحبه ,750</v>
      </c>
      <c r="D195" s="123">
        <f>IFERROR(INDEX('كشف الحساب'!$E$4:$E$254,MATCH(190,'كشف الحساب'!$P$4:$P$254,0)),"")</f>
        <v>7.5</v>
      </c>
      <c r="E195" s="124">
        <f>IFERROR(INDEX('كشف الحساب'!$D$4:$D$254,MATCH(190,'كشف الحساب'!$P$4:$P$254,0)),"")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الحساب'!$A$4:$A$254,MATCH(191,'كشف الحساب'!$P$4:$P$254,0)),"")</f>
        <v>46284</v>
      </c>
      <c r="B196" s="122">
        <f>IFERROR(INDEX('كشف الحساب'!$B$4:$B$254,MATCH(191,'كشف الحساب'!$P$4:$P$254,0)),"")</f>
        <v>0</v>
      </c>
      <c r="C196" s="121" t="str">
        <f>IFERROR(INDEX('كشف الحساب'!$C$4:$C$254,MATCH(191,'كشف الحساب'!$P$4:$P$254,0)),"")</f>
        <v>طربال اسود</v>
      </c>
      <c r="D196" s="123">
        <f>IFERROR(INDEX('كشف الحساب'!$E$4:$E$254,MATCH(191,'كشف الحساب'!$P$4:$P$254,0)),"")</f>
        <v>0</v>
      </c>
      <c r="E196" s="124">
        <f>IFERROR(INDEX('كشف الحساب'!$D$4:$D$254,MATCH(191,'كشف الحساب'!$P$4:$P$254,0)),"")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الحساب'!$A$4:$A$254,MATCH(192,'كشف الحساب'!$P$4:$P$254,0)),"")</f>
        <v>46284</v>
      </c>
      <c r="B197" s="122" t="str">
        <f>IFERROR(INDEX('كشف الحساب'!$B$4:$B$254,MATCH(192,'كشف الحساب'!$P$4:$P$254,0)),"")</f>
        <v>Inv-160</v>
      </c>
      <c r="C197" s="121" t="str">
        <f>IFERROR(INDEX('كشف الحساب'!$C$4:$C$254,MATCH(192,'كشف الحساب'!$P$4:$P$254,0)),"")</f>
        <v>التهاني</v>
      </c>
      <c r="D197" s="123">
        <f>IFERROR(INDEX('كشف الحساب'!$E$4:$E$254,MATCH(192,'كشف الحساب'!$P$4:$P$254,0)),"")</f>
        <v>243</v>
      </c>
      <c r="E197" s="124">
        <f>IFERROR(INDEX('كشف الحساب'!$D$4:$D$254,MATCH(192,'كشف الحساب'!$P$4:$P$254,0)),"")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الحساب'!$A$4:$A$254,MATCH(193,'كشف الحساب'!$P$4:$P$254,0)),"")</f>
        <v>46284</v>
      </c>
      <c r="B198" s="122">
        <f>IFERROR(INDEX('كشف الحساب'!$B$4:$B$254,MATCH(193,'كشف الحساب'!$P$4:$P$254,0)),"")</f>
        <v>0</v>
      </c>
      <c r="C198" s="121" t="str">
        <f>IFERROR(INDEX('كشف الحساب'!$C$4:$C$254,MATCH(193,'كشف الحساب'!$P$4:$P$254,0)),"")</f>
        <v>صبار اوليفيرا عدد 25 الحبه 0.750</v>
      </c>
      <c r="D198" s="123">
        <f>IFERROR(INDEX('كشف الحساب'!$E$4:$E$254,MATCH(193,'كشف الحساب'!$P$4:$P$254,0)),"")</f>
        <v>0</v>
      </c>
      <c r="E198" s="124">
        <f>IFERROR(INDEX('كشف الحساب'!$D$4:$D$254,MATCH(193,'كشف الحساب'!$P$4:$P$254,0)),"")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الحساب'!$A$4:$A$254,MATCH(194,'كشف الحساب'!$P$4:$P$254,0)),"")</f>
        <v>46286</v>
      </c>
      <c r="B199" s="122">
        <f>IFERROR(INDEX('كشف الحساب'!$B$4:$B$254,MATCH(194,'كشف الحساب'!$P$4:$P$254,0)),"")</f>
        <v>0</v>
      </c>
      <c r="C199" s="121" t="str">
        <f>IFERROR(INDEX('كشف الحساب'!$C$4:$C$254,MATCH(194,'كشف الحساب'!$P$4:$P$254,0)),"")</f>
        <v>احواض عدد 1000 مقاس 14 سم</v>
      </c>
      <c r="D199" s="123">
        <f>IFERROR(INDEX('كشف الحساب'!$E$4:$E$254,MATCH(194,'كشف الحساب'!$P$4:$P$254,0)),"")</f>
        <v>0</v>
      </c>
      <c r="E199" s="124">
        <f>IFERROR(INDEX('كشف الحساب'!$D$4:$D$254,MATCH(194,'كشف الحساب'!$P$4:$P$254,0)),"")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الحساب'!$A$4:$A$254,MATCH(195,'كشف الحساب'!$P$4:$P$254,0)),"")</f>
        <v>46286</v>
      </c>
      <c r="B200" s="122" t="str">
        <f>IFERROR(INDEX('كشف الحساب'!$B$4:$B$254,MATCH(195,'كشف الحساب'!$P$4:$P$254,0)),"")</f>
        <v>Inv-161</v>
      </c>
      <c r="C200" s="121" t="str">
        <f>IFERROR(INDEX('كشف الحساب'!$C$4:$C$254,MATCH(195,'كشف الحساب'!$P$4:$P$254,0)),"")</f>
        <v>متنوع</v>
      </c>
      <c r="D200" s="123">
        <f>IFERROR(INDEX('كشف الحساب'!$E$4:$E$254,MATCH(195,'كشف الحساب'!$P$4:$P$254,0)),"")</f>
        <v>1.5</v>
      </c>
      <c r="E200" s="124">
        <f>IFERROR(INDEX('كشف الحساب'!$D$4:$D$254,MATCH(195,'كشف الحساب'!$P$4:$P$254,0)),"")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الحساب'!$A$4:$A$254,MATCH(196,'كشف الحساب'!$P$4:$P$254,0)),"")</f>
        <v>46286</v>
      </c>
      <c r="B201" s="122" t="str">
        <f>IFERROR(INDEX('كشف الحساب'!$B$4:$B$254,MATCH(196,'كشف الحساب'!$P$4:$P$254,0)),"")</f>
        <v>Inv-162</v>
      </c>
      <c r="C201" s="121" t="str">
        <f>IFERROR(INDEX('كشف الحساب'!$C$4:$C$254,MATCH(196,'كشف الحساب'!$P$4:$P$254,0)),"")</f>
        <v>متنوع</v>
      </c>
      <c r="D201" s="123">
        <f>IFERROR(INDEX('كشف الحساب'!$E$4:$E$254,MATCH(196,'كشف الحساب'!$P$4:$P$254,0)),"")</f>
        <v>1</v>
      </c>
      <c r="E201" s="124">
        <f>IFERROR(INDEX('كشف الحساب'!$D$4:$D$254,MATCH(196,'كشف الحساب'!$P$4:$P$254,0)),"")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الحساب'!$A$4:$A$254,MATCH(197,'كشف الحساب'!$P$4:$P$254,0)),"")</f>
        <v>46286</v>
      </c>
      <c r="B202" s="122" t="str">
        <f>IFERROR(INDEX('كشف الحساب'!$B$4:$B$254,MATCH(197,'كشف الحساب'!$P$4:$P$254,0)),"")</f>
        <v>Inv-163</v>
      </c>
      <c r="C202" s="121" t="str">
        <f>IFERROR(INDEX('كشف الحساب'!$C$4:$C$254,MATCH(197,'كشف الحساب'!$P$4:$P$254,0)),"")</f>
        <v>دارسينا اخضر عدد1 القيمه 2.500</v>
      </c>
      <c r="D202" s="123">
        <f>IFERROR(INDEX('كشف الحساب'!$E$4:$E$254,MATCH(197,'كشف الحساب'!$P$4:$P$254,0)),"")</f>
        <v>2.5</v>
      </c>
      <c r="E202" s="124">
        <f>IFERROR(INDEX('كشف الحساب'!$D$4:$D$254,MATCH(197,'كشف الحساب'!$P$4:$P$254,0)),"")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الحساب'!$A$4:$A$254,MATCH(198,'كشف الحساب'!$P$4:$P$254,0)),"")</f>
        <v>46286</v>
      </c>
      <c r="B203" s="122" t="str">
        <f>IFERROR(INDEX('كشف الحساب'!$B$4:$B$254,MATCH(198,'كشف الحساب'!$P$4:$P$254,0)),"")</f>
        <v>Inv-164</v>
      </c>
      <c r="C203" s="121" t="str">
        <f>IFERROR(INDEX('كشف الحساب'!$C$4:$C$254,MATCH(198,'كشف الحساب'!$P$4:$P$254,0)),"")</f>
        <v>دارسينا اسودعدد 29 الحبه 2.500</v>
      </c>
      <c r="D203" s="123">
        <f>IFERROR(INDEX('كشف الحساب'!$E$4:$E$254,MATCH(198,'كشف الحساب'!$P$4:$P$254,0)),"")</f>
        <v>72.5</v>
      </c>
      <c r="E203" s="124">
        <f>IFERROR(INDEX('كشف الحساب'!$D$4:$D$254,MATCH(198,'كشف الحساب'!$P$4:$P$254,0)),"")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الحساب'!$A$4:$A$254,MATCH(199,'كشف الحساب'!$P$4:$P$254,0)),"")</f>
        <v>46286</v>
      </c>
      <c r="B204" s="122" t="str">
        <f>IFERROR(INDEX('كشف الحساب'!$B$4:$B$254,MATCH(199,'كشف الحساب'!$P$4:$P$254,0)),"")</f>
        <v>Inv-165</v>
      </c>
      <c r="C204" s="121" t="str">
        <f>IFERROR(INDEX('كشف الحساب'!$C$4:$C$254,MATCH(199,'كشف الحساب'!$P$4:$P$254,0)),"")</f>
        <v>متنوع</v>
      </c>
      <c r="D204" s="123">
        <f>IFERROR(INDEX('كشف الحساب'!$E$4:$E$254,MATCH(199,'كشف الحساب'!$P$4:$P$254,0)),"")</f>
        <v>1.5</v>
      </c>
      <c r="E204" s="124">
        <f>IFERROR(INDEX('كشف الحساب'!$D$4:$D$254,MATCH(199,'كشف الحساب'!$P$4:$P$254,0)),"")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الحساب'!$A$4:$A$254,MATCH(200,'كشف الحساب'!$P$4:$P$254,0)),"")</f>
        <v>46287</v>
      </c>
      <c r="B205" s="122" t="str">
        <f>IFERROR(INDEX('كشف الحساب'!$B$4:$B$254,MATCH(200,'كشف الحساب'!$P$4:$P$254,0)),"")</f>
        <v>Inv-166</v>
      </c>
      <c r="C205" s="121" t="str">
        <f>IFERROR(INDEX('كشف الحساب'!$C$4:$C$254,MATCH(200,'كشف الحساب'!$P$4:$P$254,0)),"")</f>
        <v>صبار عدد 60 الحبه .750</v>
      </c>
      <c r="D205" s="123">
        <f>IFERROR(INDEX('كشف الحساب'!$E$4:$E$254,MATCH(200,'كشف الحساب'!$P$4:$P$254,0)),"")</f>
        <v>45</v>
      </c>
      <c r="E205" s="124">
        <f>IFERROR(INDEX('كشف الحساب'!$D$4:$D$254,MATCH(200,'كشف الحساب'!$P$4:$P$254,0)),"")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الحساب'!$A$4:$A$254,MATCH(1,'كشف الحساب'!$Q$4:$Q$254,0)),"")</f>
        <v>46131</v>
      </c>
      <c r="B210" s="133">
        <f>IFERROR(INDEX('كشف الحساب'!$B$4:$B$254,MATCH(1,'كشف الحساب'!$Q$4:$Q$254,0)),"")</f>
        <v>0</v>
      </c>
      <c r="C210" s="132" t="str">
        <f>IFERROR(INDEX('كشف الحساب'!$C$4:$C$254,MATCH(1,'كشف الحساب'!$Q$4:$Q$254,0)),"")</f>
        <v>تبديل كمبرسيور ثلاجة العمال</v>
      </c>
      <c r="D210" s="134">
        <f>IFERROR(INDEX('كشف الحساب'!$D$4:$D$254,MATCH(1,'كشف الحساب'!$Q$4:$Q$254,0)),"")</f>
        <v>45</v>
      </c>
      <c r="E210" s="135" t="str">
        <f>IFERROR(INDEX('كشف الحساب'!$G$4:$G$254,MATCH(1,'كشف الحساب'!$Q$4:$Q$254,0)),"")</f>
        <v>أبو اسحاق</v>
      </c>
      <c r="F210" s="132"/>
    </row>
    <row r="211" spans="1:6" ht="18" customHeight="1" x14ac:dyDescent="0.25">
      <c r="A211" s="143">
        <f>IFERROR(INDEX('كشف الحساب'!$A$4:$A$254,MATCH(2,'كشف الحساب'!$Q$4:$Q$254,0)),"")</f>
        <v>46134</v>
      </c>
      <c r="B211" s="133" t="str">
        <f>IFERROR(INDEX('كشف الحساب'!$B$4:$B$254,MATCH(2,'كشف الحساب'!$Q$4:$Q$254,0)),"")</f>
        <v>11300</v>
      </c>
      <c r="C211" s="132" t="str">
        <f>IFERROR(INDEX('كشف الحساب'!$C$4:$C$254,MATCH(2,'كشف الحساب'!$Q$4:$Q$254,0)),"")</f>
        <v>فلاتر كيميكال لمحطة التحلية</v>
      </c>
      <c r="D211" s="134">
        <f>IFERROR(INDEX('كشف الحساب'!$D$4:$D$254,MATCH(2,'كشف الحساب'!$Q$4:$Q$254,0)),"")</f>
        <v>55</v>
      </c>
      <c r="E211" s="135" t="str">
        <f>IFERROR(INDEX('كشف الحساب'!$G$4:$G$254,MATCH(2,'كشف الحساب'!$Q$4:$Q$254,0)),"")</f>
        <v>أبو اسحاق</v>
      </c>
      <c r="F211" s="132"/>
    </row>
    <row r="212" spans="1:6" ht="18" customHeight="1" x14ac:dyDescent="0.25">
      <c r="A212" s="143">
        <f>IFERROR(INDEX('كشف الحساب'!$A$4:$A$254,MATCH(3,'كشف الحساب'!$Q$4:$Q$254,0)),"")</f>
        <v>46134</v>
      </c>
      <c r="B212" s="133">
        <f>IFERROR(INDEX('كشف الحساب'!$B$4:$B$254,MATCH(3,'كشف الحساب'!$Q$4:$Q$254,0)),"")</f>
        <v>0</v>
      </c>
      <c r="C212" s="132" t="str">
        <f>IFERROR(INDEX('كشف الحساب'!$C$4:$C$254,MATCH(3,'كشف الحساب'!$Q$4:$Q$254,0)),"")</f>
        <v>ديزل لمكينة الكهرباء</v>
      </c>
      <c r="D212" s="134">
        <f>IFERROR(INDEX('كشف الحساب'!$D$4:$D$254,MATCH(3,'كشف الحساب'!$Q$4:$Q$254,0)),"")</f>
        <v>20</v>
      </c>
      <c r="E212" s="135" t="str">
        <f>IFERROR(INDEX('كشف الحساب'!$G$4:$G$254,MATCH(3,'كشف الحساب'!$Q$4:$Q$254,0)),"")</f>
        <v>أبو اسحاق</v>
      </c>
      <c r="F212" s="132"/>
    </row>
    <row r="213" spans="1:6" ht="18" customHeight="1" x14ac:dyDescent="0.25">
      <c r="A213" s="143">
        <f>IFERROR(INDEX('كشف الحساب'!$A$4:$A$254,MATCH(4,'كشف الحساب'!$Q$4:$Q$254,0)),"")</f>
        <v>46134</v>
      </c>
      <c r="B213" s="133" t="str">
        <f>IFERROR(INDEX('كشف الحساب'!$B$4:$B$254,MATCH(4,'كشف الحساب'!$Q$4:$Q$254,0)),"")</f>
        <v>242</v>
      </c>
      <c r="C213" s="132" t="str">
        <f>IFERROR(INDEX('كشف الحساب'!$C$4:$C$254,MATCH(4,'كشف الحساب'!$Q$4:$Q$254,0)),"")</f>
        <v>احواض حجم25سم عدد 2000</v>
      </c>
      <c r="D213" s="134">
        <f>IFERROR(INDEX('كشف الحساب'!$D$4:$D$254,MATCH(4,'كشف الحساب'!$Q$4:$Q$254,0)),"")</f>
        <v>160</v>
      </c>
      <c r="E213" s="135" t="str">
        <f>IFERROR(INDEX('كشف الحساب'!$G$4:$G$254,MATCH(4,'كشف الحساب'!$Q$4:$Q$254,0)),"")</f>
        <v>أبو آدم</v>
      </c>
      <c r="F213" s="132"/>
    </row>
    <row r="214" spans="1:6" ht="18" customHeight="1" x14ac:dyDescent="0.25">
      <c r="A214" s="143">
        <f>IFERROR(INDEX('كشف الحساب'!$A$4:$A$254,MATCH(5,'كشف الحساب'!$Q$4:$Q$254,0)),"")</f>
        <v>46151</v>
      </c>
      <c r="B214" s="133">
        <f>IFERROR(INDEX('كشف الحساب'!$B$4:$B$254,MATCH(5,'كشف الحساب'!$Q$4:$Q$254,0)),"")</f>
        <v>18213</v>
      </c>
      <c r="C214" s="132" t="str">
        <f>IFERROR(INDEX('كشف الحساب'!$C$4:$C$254,MATCH(5,'كشف الحساب'!$Q$4:$Q$254,0)),"")</f>
        <v>شراء دريل</v>
      </c>
      <c r="D214" s="134">
        <f>IFERROR(INDEX('كشف الحساب'!$D$4:$D$254,MATCH(5,'كشف الحساب'!$Q$4:$Q$254,0)),"")</f>
        <v>9</v>
      </c>
      <c r="E214" s="135" t="str">
        <f>IFERROR(INDEX('كشف الحساب'!$G$4:$G$254,MATCH(5,'كشف الحساب'!$Q$4:$Q$254,0)),"")</f>
        <v>أبو اسحاق</v>
      </c>
      <c r="F214" s="132"/>
    </row>
    <row r="215" spans="1:6" ht="18" customHeight="1" x14ac:dyDescent="0.25">
      <c r="A215" s="143">
        <f>IFERROR(INDEX('كشف الحساب'!$A$4:$A$254,MATCH(6,'كشف الحساب'!$Q$4:$Q$254,0)),"")</f>
        <v>46167</v>
      </c>
      <c r="B215" s="133">
        <f>IFERROR(INDEX('كشف الحساب'!$B$4:$B$254,MATCH(6,'كشف الحساب'!$Q$4:$Q$254,0)),"")</f>
        <v>0</v>
      </c>
      <c r="C215" s="132" t="str">
        <f>IFERROR(INDEX('كشف الحساب'!$C$4:$C$254,MATCH(6,'كشف الحساب'!$Q$4:$Q$254,0)),"")</f>
        <v>يزل ماكينه كهرباء</v>
      </c>
      <c r="D215" s="134">
        <f>IFERROR(INDEX('كشف الحساب'!$D$4:$D$254,MATCH(6,'كشف الحساب'!$Q$4:$Q$254,0)),"")</f>
        <v>26</v>
      </c>
      <c r="E215" s="135" t="str">
        <f>IFERROR(INDEX('كشف الحساب'!$G$4:$G$254,MATCH(6,'كشف الحساب'!$Q$4:$Q$254,0)),"")</f>
        <v>أبو اسحاق</v>
      </c>
      <c r="F215" s="132"/>
    </row>
    <row r="216" spans="1:6" ht="18" customHeight="1" x14ac:dyDescent="0.25">
      <c r="A216" s="143">
        <f>IFERROR(INDEX('كشف الحساب'!$A$4:$A$254,MATCH(7,'كشف الحساب'!$Q$4:$Q$254,0)),"")</f>
        <v>46167</v>
      </c>
      <c r="B216" s="133">
        <f>IFERROR(INDEX('كشف الحساب'!$B$4:$B$254,MATCH(7,'كشف الحساب'!$Q$4:$Q$254,0)),"")</f>
        <v>0</v>
      </c>
      <c r="C216" s="132" t="str">
        <f>IFERROR(INDEX('كشف الحساب'!$C$4:$C$254,MATCH(7,'كشف الحساب'!$Q$4:$Q$254,0)),"")</f>
        <v>راتب عماله مايو 2025</v>
      </c>
      <c r="D216" s="134">
        <f>IFERROR(INDEX('كشف الحساب'!$D$4:$D$254,MATCH(7,'كشف الحساب'!$Q$4:$Q$254,0)),"")</f>
        <v>250</v>
      </c>
      <c r="E216" s="135" t="str">
        <f>IFERROR(INDEX('كشف الحساب'!$G$4:$G$254,MATCH(7,'كشف الحساب'!$Q$4:$Q$254,0)),"")</f>
        <v>أبو آدم</v>
      </c>
      <c r="F216" s="132"/>
    </row>
    <row r="217" spans="1:6" ht="18" customHeight="1" x14ac:dyDescent="0.25">
      <c r="A217" s="143">
        <f>IFERROR(INDEX('كشف الحساب'!$A$4:$A$254,MATCH(8,'كشف الحساب'!$Q$4:$Q$254,0)),"")</f>
        <v>46167</v>
      </c>
      <c r="B217" s="133">
        <f>IFERROR(INDEX('كشف الحساب'!$B$4:$B$254,MATCH(8,'كشف الحساب'!$Q$4:$Q$254,0)),"")</f>
        <v>0</v>
      </c>
      <c r="C217" s="132" t="str">
        <f>IFERROR(INDEX('كشف الحساب'!$C$4:$C$254,MATCH(8,'كشف الحساب'!$Q$4:$Q$254,0)),"")</f>
        <v>راتب عماله مايو 2025</v>
      </c>
      <c r="D217" s="134">
        <f>IFERROR(INDEX('كشف الحساب'!$D$4:$D$254,MATCH(8,'كشف الحساب'!$Q$4:$Q$254,0)),"")</f>
        <v>250</v>
      </c>
      <c r="E217" s="135" t="str">
        <f>IFERROR(INDEX('كشف الحساب'!$G$4:$G$254,MATCH(8,'كشف الحساب'!$Q$4:$Q$254,0)),"")</f>
        <v>أبو اسحاق</v>
      </c>
      <c r="F217" s="132"/>
    </row>
    <row r="218" spans="1:6" ht="18" customHeight="1" x14ac:dyDescent="0.25">
      <c r="A218" s="143">
        <f>IFERROR(INDEX('كشف الحساب'!$A$4:$A$254,MATCH(9,'كشف الحساب'!$Q$4:$Q$254,0)),"")</f>
        <v>46187</v>
      </c>
      <c r="B218" s="133">
        <f>IFERROR(INDEX('كشف الحساب'!$B$4:$B$254,MATCH(9,'كشف الحساب'!$Q$4:$Q$254,0)),"")</f>
        <v>0</v>
      </c>
      <c r="C218" s="132" t="str">
        <f>IFERROR(INDEX('كشف الحساب'!$C$4:$C$254,MATCH(9,'كشف الحساب'!$Q$4:$Q$254,0)),"")</f>
        <v>عصايا عدد 2000 احواض معاقات عدد 250</v>
      </c>
      <c r="D218" s="134">
        <f>IFERROR(INDEX('كشف الحساب'!$D$4:$D$254,MATCH(9,'كشف الحساب'!$Q$4:$Q$254,0)),"")</f>
        <v>107.5</v>
      </c>
      <c r="E218" s="135" t="str">
        <f>IFERROR(INDEX('كشف الحساب'!$G$4:$G$254,MATCH(9,'كشف الحساب'!$Q$4:$Q$254,0)),"")</f>
        <v>أبو اسحاق</v>
      </c>
      <c r="F218" s="132"/>
    </row>
    <row r="219" spans="1:6" ht="18" customHeight="1" x14ac:dyDescent="0.25">
      <c r="A219" s="143">
        <f>IFERROR(INDEX('كشف الحساب'!$A$4:$A$254,MATCH(10,'كشف الحساب'!$Q$4:$Q$254,0)),"")</f>
        <v>46203</v>
      </c>
      <c r="B219" s="133">
        <f>IFERROR(INDEX('كشف الحساب'!$B$4:$B$254,MATCH(10,'كشف الحساب'!$Q$4:$Q$254,0)),"")</f>
        <v>0</v>
      </c>
      <c r="C219" s="132" t="str">
        <f>IFERROR(INDEX('كشف الحساب'!$C$4:$C$254,MATCH(10,'كشف الحساب'!$Q$4:$Q$254,0)),"")</f>
        <v>تكمله رواتب يونيو 2026 ابوادم</v>
      </c>
      <c r="D219" s="134">
        <f>IFERROR(INDEX('كشف الحساب'!$D$4:$D$254,MATCH(10,'كشف الحساب'!$Q$4:$Q$254,0)),"")</f>
        <v>50</v>
      </c>
      <c r="E219" s="135" t="str">
        <f>IFERROR(INDEX('كشف الحساب'!$G$4:$G$254,MATCH(10,'كشف الحساب'!$Q$4:$Q$254,0)),"")</f>
        <v>أبو آدم</v>
      </c>
      <c r="F219" s="132"/>
    </row>
    <row r="220" spans="1:6" ht="18" customHeight="1" x14ac:dyDescent="0.25">
      <c r="A220" s="143">
        <f>IFERROR(INDEX('كشف الحساب'!$A$4:$A$254,MATCH(11,'كشف الحساب'!$Q$4:$Q$254,0)),"")</f>
        <v>46203</v>
      </c>
      <c r="B220" s="133">
        <f>IFERROR(INDEX('كشف الحساب'!$B$4:$B$254,MATCH(11,'كشف الحساب'!$Q$4:$Q$254,0)),"")</f>
        <v>0</v>
      </c>
      <c r="C220" s="132" t="str">
        <f>IFERROR(INDEX('كشف الحساب'!$C$4:$C$254,MATCH(11,'كشف الحساب'!$Q$4:$Q$254,0)),"")</f>
        <v>تكمله رواتب يونيو 2026 ابواسحاق</v>
      </c>
      <c r="D220" s="134">
        <f>IFERROR(INDEX('كشف الحساب'!$D$4:$D$254,MATCH(11,'كشف الحساب'!$Q$4:$Q$254,0)),"")</f>
        <v>50</v>
      </c>
      <c r="E220" s="135" t="str">
        <f>IFERROR(INDEX('كشف الحساب'!$G$4:$G$254,MATCH(11,'كشف الحساب'!$Q$4:$Q$254,0)),"")</f>
        <v>أبو اسحاق</v>
      </c>
      <c r="F220" s="132"/>
    </row>
    <row r="221" spans="1:6" ht="18" customHeight="1" x14ac:dyDescent="0.25">
      <c r="A221" s="143">
        <f>IFERROR(INDEX('كشف الحساب'!$A$4:$A$254,MATCH(12,'كشف الحساب'!$Q$4:$Q$254,0)),"")</f>
        <v>46232</v>
      </c>
      <c r="B221" s="133">
        <f>IFERROR(INDEX('كشف الحساب'!$B$4:$B$254,MATCH(12,'كشف الحساب'!$Q$4:$Q$254,0)),"")</f>
        <v>0</v>
      </c>
      <c r="C221" s="132" t="str">
        <f>IFERROR(INDEX('كشف الحساب'!$C$4:$C$254,MATCH(12,'كشف الحساب'!$Q$4:$Q$254,0)),"")</f>
        <v>عدد 3 عماله + 10 ايام العامل البديل 40 دينار +50 كهرباء (تم دفه 99 من المحفظه)</v>
      </c>
      <c r="D221" s="134">
        <f>IFERROR(INDEX('كشف الحساب'!$D$4:$D$254,MATCH(12,'كشف الحساب'!$Q$4:$Q$254,0)),"")</f>
        <v>205.5</v>
      </c>
      <c r="E221" s="135" t="str">
        <f>IFERROR(INDEX('كشف الحساب'!$G$4:$G$254,MATCH(12,'كشف الحساب'!$Q$4:$Q$254,0)),"")</f>
        <v>أبو آدم</v>
      </c>
      <c r="F221" s="132"/>
    </row>
    <row r="222" spans="1:6" ht="18" customHeight="1" x14ac:dyDescent="0.25">
      <c r="A222" s="143">
        <f>IFERROR(INDEX('كشف الحساب'!$A$4:$A$254,MATCH(13,'كشف الحساب'!$Q$4:$Q$254,0)),"")</f>
        <v>46232</v>
      </c>
      <c r="B222" s="133">
        <f>IFERROR(INDEX('كشف الحساب'!$B$4:$B$254,MATCH(13,'كشف الحساب'!$Q$4:$Q$254,0)),"")</f>
        <v>0</v>
      </c>
      <c r="C222" s="132" t="str">
        <f>IFERROR(INDEX('كشف الحساب'!$C$4:$C$254,MATCH(13,'كشف الحساب'!$Q$4:$Q$254,0)),"")</f>
        <v>عدد 3 عماله + 10 ايام العامل البديل 40 دينار +50 كهرباء (تم دفه 99 من المحفظه)</v>
      </c>
      <c r="D222" s="134">
        <f>IFERROR(INDEX('كشف الحساب'!$D$4:$D$254,MATCH(13,'كشف الحساب'!$Q$4:$Q$254,0)),"")</f>
        <v>205.5</v>
      </c>
      <c r="E222" s="135" t="str">
        <f>IFERROR(INDEX('كشف الحساب'!$G$4:$G$254,MATCH(13,'كشف الحساب'!$Q$4:$Q$254,0)),"")</f>
        <v>أبو اسحاق</v>
      </c>
      <c r="F222" s="132"/>
    </row>
    <row r="223" spans="1:6" ht="18" customHeight="1" x14ac:dyDescent="0.25">
      <c r="A223" s="143">
        <f>IFERROR(INDEX('كشف الحساب'!$A$4:$A$254,MATCH(14,'كشف الحساب'!$Q$4:$Q$254,0)),"")</f>
        <v>46235</v>
      </c>
      <c r="B223" s="133">
        <f>IFERROR(INDEX('كشف الحساب'!$B$4:$B$254,MATCH(14,'كشف الحساب'!$Q$4:$Q$254,0)),"")</f>
        <v>0</v>
      </c>
      <c r="C223" s="132" t="str">
        <f>IFERROR(INDEX('كشف الحساب'!$C$4:$C$254,MATCH(14,'كشف الحساب'!$Q$4:$Q$254,0)),"")</f>
        <v>احواض عدد 3500 مقاس 25 سم</v>
      </c>
      <c r="D223" s="134">
        <f>IFERROR(INDEX('كشف الحساب'!$D$4:$D$254,MATCH(14,'كشف الحساب'!$Q$4:$Q$254,0)),"")</f>
        <v>280</v>
      </c>
      <c r="E223" s="135" t="str">
        <f>IFERROR(INDEX('كشف الحساب'!$G$4:$G$254,MATCH(14,'كشف الحساب'!$Q$4:$Q$254,0)),"")</f>
        <v>أبو آدم</v>
      </c>
      <c r="F223" s="132"/>
    </row>
    <row r="224" spans="1:6" ht="18" customHeight="1" x14ac:dyDescent="0.25">
      <c r="A224" s="143">
        <f>IFERROR(INDEX('كشف الحساب'!$A$4:$A$254,MATCH(15,'كشف الحساب'!$Q$4:$Q$254,0)),"")</f>
        <v>46238</v>
      </c>
      <c r="B224" s="133">
        <f>IFERROR(INDEX('كشف الحساب'!$B$4:$B$254,MATCH(15,'كشف الحساب'!$Q$4:$Q$254,0)),"")</f>
        <v>0</v>
      </c>
      <c r="C224" s="132" t="str">
        <f>IFERROR(INDEX('كشف الحساب'!$C$4:$C$254,MATCH(15,'كشف الحساب'!$Q$4:$Q$254,0)),"")</f>
        <v>حديد كحميه 2</v>
      </c>
      <c r="D224" s="134">
        <f>IFERROR(INDEX('كشف الحساب'!$D$4:$D$254,MATCH(15,'كشف الحساب'!$Q$4:$Q$254,0)),"")</f>
        <v>68</v>
      </c>
      <c r="E224" s="135" t="str">
        <f>IFERROR(INDEX('كشف الحساب'!$G$4:$G$254,MATCH(15,'كشف الحساب'!$Q$4:$Q$254,0)),"")</f>
        <v>أبو اسحاق</v>
      </c>
      <c r="F224" s="132"/>
    </row>
    <row r="225" spans="1:6" ht="18" customHeight="1" x14ac:dyDescent="0.25">
      <c r="A225" s="143" t="str">
        <f>IFERROR(INDEX('كشف الحساب'!$A$4:$A$254,MATCH(16,'كشف الحساب'!$Q$4:$Q$254,0)),"")</f>
        <v/>
      </c>
      <c r="B225" s="133" t="str">
        <f>IFERROR(INDEX('كشف الحساب'!$B$4:$B$254,MATCH(16,'كشف الحساب'!$Q$4:$Q$254,0)),"")</f>
        <v/>
      </c>
      <c r="C225" s="132" t="str">
        <f>IFERROR(INDEX('كشف الحساب'!$C$4:$C$254,MATCH(16,'كشف الحساب'!$Q$4:$Q$254,0)),"")</f>
        <v/>
      </c>
      <c r="D225" s="134" t="str">
        <f>IFERROR(INDEX('كشف الحساب'!$D$4:$D$254,MATCH(16,'كشف الحساب'!$Q$4:$Q$254,0)),"")</f>
        <v/>
      </c>
      <c r="E225" s="135" t="str">
        <f>IFERROR(INDEX('كشف الحساب'!$G$4:$G$254,MATCH(16,'كشف الحساب'!$Q$4:$Q$254,0)),"")</f>
        <v/>
      </c>
      <c r="F225" s="132"/>
    </row>
    <row r="226" spans="1:6" ht="18" customHeight="1" x14ac:dyDescent="0.25">
      <c r="A226" s="143" t="str">
        <f>IFERROR(INDEX('كشف الحساب'!$A$4:$A$254,MATCH(17,'كشف الحساب'!$Q$4:$Q$254,0)),"")</f>
        <v/>
      </c>
      <c r="B226" s="133" t="str">
        <f>IFERROR(INDEX('كشف الحساب'!$B$4:$B$254,MATCH(17,'كشف الحساب'!$Q$4:$Q$254,0)),"")</f>
        <v/>
      </c>
      <c r="C226" s="132" t="str">
        <f>IFERROR(INDEX('كشف الحساب'!$C$4:$C$254,MATCH(17,'كشف الحساب'!$Q$4:$Q$254,0)),"")</f>
        <v/>
      </c>
      <c r="D226" s="134" t="str">
        <f>IFERROR(INDEX('كشف الحساب'!$D$4:$D$254,MATCH(17,'كشف الحساب'!$Q$4:$Q$254,0)),"")</f>
        <v/>
      </c>
      <c r="E226" s="135" t="str">
        <f>IFERROR(INDEX('كشف الحساب'!$G$4:$G$254,MATCH(17,'كشف الحساب'!$Q$4:$Q$254,0)),"")</f>
        <v/>
      </c>
      <c r="F226" s="132"/>
    </row>
    <row r="227" spans="1:6" ht="18" customHeight="1" x14ac:dyDescent="0.25">
      <c r="A227" s="143" t="str">
        <f>IFERROR(INDEX('كشف الحساب'!$A$4:$A$254,MATCH(18,'كشف الحساب'!$Q$4:$Q$254,0)),"")</f>
        <v/>
      </c>
      <c r="B227" s="133" t="str">
        <f>IFERROR(INDEX('كشف الحساب'!$B$4:$B$254,MATCH(18,'كشف الحساب'!$Q$4:$Q$254,0)),"")</f>
        <v/>
      </c>
      <c r="C227" s="132" t="str">
        <f>IFERROR(INDEX('كشف الحساب'!$C$4:$C$254,MATCH(18,'كشف الحساب'!$Q$4:$Q$254,0)),"")</f>
        <v/>
      </c>
      <c r="D227" s="134" t="str">
        <f>IFERROR(INDEX('كشف الحساب'!$D$4:$D$254,MATCH(18,'كشف الحساب'!$Q$4:$Q$254,0)),"")</f>
        <v/>
      </c>
      <c r="E227" s="135" t="str">
        <f>IFERROR(INDEX('كشف الحساب'!$G$4:$G$254,MATCH(18,'كشف الحساب'!$Q$4:$Q$254,0)),"")</f>
        <v/>
      </c>
      <c r="F227" s="132"/>
    </row>
    <row r="228" spans="1:6" ht="18" customHeight="1" x14ac:dyDescent="0.25">
      <c r="A228" s="143" t="str">
        <f>IFERROR(INDEX('كشف الحساب'!$A$4:$A$254,MATCH(19,'كشف الحساب'!$Q$4:$Q$254,0)),"")</f>
        <v/>
      </c>
      <c r="B228" s="133" t="str">
        <f>IFERROR(INDEX('كشف الحساب'!$B$4:$B$254,MATCH(19,'كشف الحساب'!$Q$4:$Q$254,0)),"")</f>
        <v/>
      </c>
      <c r="C228" s="132" t="str">
        <f>IFERROR(INDEX('كشف الحساب'!$C$4:$C$254,MATCH(19,'كشف الحساب'!$Q$4:$Q$254,0)),"")</f>
        <v/>
      </c>
      <c r="D228" s="134" t="str">
        <f>IFERROR(INDEX('كشف الحساب'!$D$4:$D$254,MATCH(19,'كشف الحساب'!$Q$4:$Q$254,0)),"")</f>
        <v/>
      </c>
      <c r="E228" s="135" t="str">
        <f>IFERROR(INDEX('كشف الحساب'!$G$4:$G$254,MATCH(19,'كشف الحساب'!$Q$4:$Q$254,0)),"")</f>
        <v/>
      </c>
      <c r="F228" s="132"/>
    </row>
    <row r="229" spans="1:6" ht="18" customHeight="1" x14ac:dyDescent="0.25">
      <c r="A229" s="143" t="str">
        <f>IFERROR(INDEX('كشف الحساب'!$A$4:$A$254,MATCH(20,'كشف الحساب'!$Q$4:$Q$254,0)),"")</f>
        <v/>
      </c>
      <c r="B229" s="133" t="str">
        <f>IFERROR(INDEX('كشف الحساب'!$B$4:$B$254,MATCH(20,'كشف الحساب'!$Q$4:$Q$254,0)),"")</f>
        <v/>
      </c>
      <c r="C229" s="132" t="str">
        <f>IFERROR(INDEX('كشف الحساب'!$C$4:$C$254,MATCH(20,'كشف الحساب'!$Q$4:$Q$254,0)),"")</f>
        <v/>
      </c>
      <c r="D229" s="134" t="str">
        <f>IFERROR(INDEX('كشف الحساب'!$D$4:$D$254,MATCH(20,'كشف الحساب'!$Q$4:$Q$254,0)),"")</f>
        <v/>
      </c>
      <c r="E229" s="135" t="str">
        <f>IFERROR(INDEX('كشف الحساب'!$G$4:$G$254,MATCH(20,'كشف الحساب'!$Q$4:$Q$254,0)),"")</f>
        <v/>
      </c>
      <c r="F229" s="132"/>
    </row>
    <row r="230" spans="1:6" ht="18" customHeight="1" x14ac:dyDescent="0.25">
      <c r="A230" s="143" t="str">
        <f>IFERROR(INDEX('كشف الحساب'!$A$4:$A$254,MATCH(21,'كشف الحساب'!$Q$4:$Q$254,0)),"")</f>
        <v/>
      </c>
      <c r="B230" s="133" t="str">
        <f>IFERROR(INDEX('كشف الحساب'!$B$4:$B$254,MATCH(21,'كشف الحساب'!$Q$4:$Q$254,0)),"")</f>
        <v/>
      </c>
      <c r="C230" s="132" t="str">
        <f>IFERROR(INDEX('كشف الحساب'!$C$4:$C$254,MATCH(21,'كشف الحساب'!$Q$4:$Q$254,0)),"")</f>
        <v/>
      </c>
      <c r="D230" s="134" t="str">
        <f>IFERROR(INDEX('كشف الحساب'!$D$4:$D$254,MATCH(21,'كشف الحساب'!$Q$4:$Q$254,0)),"")</f>
        <v/>
      </c>
      <c r="E230" s="135" t="str">
        <f>IFERROR(INDEX('كشف الحساب'!$G$4:$G$254,MATCH(21,'كشف الحساب'!$Q$4:$Q$254,0)),"")</f>
        <v/>
      </c>
      <c r="F230" s="132"/>
    </row>
    <row r="231" spans="1:6" ht="18" customHeight="1" x14ac:dyDescent="0.25">
      <c r="A231" s="143" t="str">
        <f>IFERROR(INDEX('كشف الحساب'!$A$4:$A$254,MATCH(22,'كشف الحساب'!$Q$4:$Q$254,0)),"")</f>
        <v/>
      </c>
      <c r="B231" s="133" t="str">
        <f>IFERROR(INDEX('كشف الحساب'!$B$4:$B$254,MATCH(22,'كشف الحساب'!$Q$4:$Q$254,0)),"")</f>
        <v/>
      </c>
      <c r="C231" s="132" t="str">
        <f>IFERROR(INDEX('كشف الحساب'!$C$4:$C$254,MATCH(22,'كشف الحساب'!$Q$4:$Q$254,0)),"")</f>
        <v/>
      </c>
      <c r="D231" s="134" t="str">
        <f>IFERROR(INDEX('كشف الحساب'!$D$4:$D$254,MATCH(22,'كشف الحساب'!$Q$4:$Q$254,0)),"")</f>
        <v/>
      </c>
      <c r="E231" s="135" t="str">
        <f>IFERROR(INDEX('كشف الحساب'!$G$4:$G$254,MATCH(22,'كشف الحساب'!$Q$4:$Q$254,0)),"")</f>
        <v/>
      </c>
      <c r="F231" s="132"/>
    </row>
    <row r="232" spans="1:6" ht="18" customHeight="1" x14ac:dyDescent="0.25">
      <c r="A232" s="143" t="str">
        <f>IFERROR(INDEX('كشف الحساب'!$A$4:$A$254,MATCH(23,'كشف الحساب'!$Q$4:$Q$254,0)),"")</f>
        <v/>
      </c>
      <c r="B232" s="133" t="str">
        <f>IFERROR(INDEX('كشف الحساب'!$B$4:$B$254,MATCH(23,'كشف الحساب'!$Q$4:$Q$254,0)),"")</f>
        <v/>
      </c>
      <c r="C232" s="132" t="str">
        <f>IFERROR(INDEX('كشف الحساب'!$C$4:$C$254,MATCH(23,'كشف الحساب'!$Q$4:$Q$254,0)),"")</f>
        <v/>
      </c>
      <c r="D232" s="134" t="str">
        <f>IFERROR(INDEX('كشف الحساب'!$D$4:$D$254,MATCH(23,'كشف الحساب'!$Q$4:$Q$254,0)),"")</f>
        <v/>
      </c>
      <c r="E232" s="135" t="str">
        <f>IFERROR(INDEX('كشف الحساب'!$G$4:$G$254,MATCH(23,'كشف الحساب'!$Q$4:$Q$254,0)),"")</f>
        <v/>
      </c>
      <c r="F232" s="132"/>
    </row>
    <row r="233" spans="1:6" ht="18" customHeight="1" x14ac:dyDescent="0.25">
      <c r="A233" s="143" t="str">
        <f>IFERROR(INDEX('كشف الحساب'!$A$4:$A$254,MATCH(24,'كشف الحساب'!$Q$4:$Q$254,0)),"")</f>
        <v/>
      </c>
      <c r="B233" s="133" t="str">
        <f>IFERROR(INDEX('كشف الحساب'!$B$4:$B$254,MATCH(24,'كشف الحساب'!$Q$4:$Q$254,0)),"")</f>
        <v/>
      </c>
      <c r="C233" s="132" t="str">
        <f>IFERROR(INDEX('كشف الحساب'!$C$4:$C$254,MATCH(24,'كشف الحساب'!$Q$4:$Q$254,0)),"")</f>
        <v/>
      </c>
      <c r="D233" s="134" t="str">
        <f>IFERROR(INDEX('كشف الحساب'!$D$4:$D$254,MATCH(24,'كشف الحساب'!$Q$4:$Q$254,0)),"")</f>
        <v/>
      </c>
      <c r="E233" s="135" t="str">
        <f>IFERROR(INDEX('كشف الحساب'!$G$4:$G$254,MATCH(24,'كشف الحساب'!$Q$4:$Q$254,0)),"")</f>
        <v/>
      </c>
      <c r="F233" s="132"/>
    </row>
    <row r="234" spans="1:6" ht="18" customHeight="1" x14ac:dyDescent="0.25">
      <c r="A234" s="143" t="str">
        <f>IFERROR(INDEX('كشف الحساب'!$A$4:$A$254,MATCH(25,'كشف الحساب'!$Q$4:$Q$254,0)),"")</f>
        <v/>
      </c>
      <c r="B234" s="133" t="str">
        <f>IFERROR(INDEX('كشف الحساب'!$B$4:$B$254,MATCH(25,'كشف الحساب'!$Q$4:$Q$254,0)),"")</f>
        <v/>
      </c>
      <c r="C234" s="132" t="str">
        <f>IFERROR(INDEX('كشف الحساب'!$C$4:$C$254,MATCH(25,'كشف الحساب'!$Q$4:$Q$254,0)),"")</f>
        <v/>
      </c>
      <c r="D234" s="134" t="str">
        <f>IFERROR(INDEX('كشف الحساب'!$D$4:$D$254,MATCH(25,'كشف الحساب'!$Q$4:$Q$254,0)),"")</f>
        <v/>
      </c>
      <c r="E234" s="135" t="str">
        <f>IFERROR(INDEX('كشف الحساب'!$G$4:$G$254,MATCH(25,'كشف الحساب'!$Q$4:$Q$254,0)),"")</f>
        <v/>
      </c>
      <c r="F234" s="132"/>
    </row>
    <row r="235" spans="1:6" ht="18" customHeight="1" x14ac:dyDescent="0.25">
      <c r="A235" s="143" t="str">
        <f>IFERROR(INDEX('كشف الحساب'!$A$4:$A$254,MATCH(26,'كشف الحساب'!$Q$4:$Q$254,0)),"")</f>
        <v/>
      </c>
      <c r="B235" s="133" t="str">
        <f>IFERROR(INDEX('كشف الحساب'!$B$4:$B$254,MATCH(26,'كشف الحساب'!$Q$4:$Q$254,0)),"")</f>
        <v/>
      </c>
      <c r="C235" s="132" t="str">
        <f>IFERROR(INDEX('كشف الحساب'!$C$4:$C$254,MATCH(26,'كشف الحساب'!$Q$4:$Q$254,0)),"")</f>
        <v/>
      </c>
      <c r="D235" s="134" t="str">
        <f>IFERROR(INDEX('كشف الحساب'!$D$4:$D$254,MATCH(26,'كشف الحساب'!$Q$4:$Q$254,0)),"")</f>
        <v/>
      </c>
      <c r="E235" s="135" t="str">
        <f>IFERROR(INDEX('كشف الحساب'!$G$4:$G$254,MATCH(26,'كشف الحساب'!$Q$4:$Q$254,0)),"")</f>
        <v/>
      </c>
      <c r="F235" s="132"/>
    </row>
    <row r="236" spans="1:6" ht="18" customHeight="1" x14ac:dyDescent="0.25">
      <c r="A236" s="143" t="str">
        <f>IFERROR(INDEX('كشف الحساب'!$A$4:$A$254,MATCH(27,'كشف الحساب'!$Q$4:$Q$254,0)),"")</f>
        <v/>
      </c>
      <c r="B236" s="133" t="str">
        <f>IFERROR(INDEX('كشف الحساب'!$B$4:$B$254,MATCH(27,'كشف الحساب'!$Q$4:$Q$254,0)),"")</f>
        <v/>
      </c>
      <c r="C236" s="132" t="str">
        <f>IFERROR(INDEX('كشف الحساب'!$C$4:$C$254,MATCH(27,'كشف الحساب'!$Q$4:$Q$254,0)),"")</f>
        <v/>
      </c>
      <c r="D236" s="134" t="str">
        <f>IFERROR(INDEX('كشف الحساب'!$D$4:$D$254,MATCH(27,'كشف الحساب'!$Q$4:$Q$254,0)),"")</f>
        <v/>
      </c>
      <c r="E236" s="135" t="str">
        <f>IFERROR(INDEX('كشف الحساب'!$G$4:$G$254,MATCH(27,'كشف الحساب'!$Q$4:$Q$254,0)),"")</f>
        <v/>
      </c>
      <c r="F236" s="132"/>
    </row>
    <row r="237" spans="1:6" ht="18" customHeight="1" x14ac:dyDescent="0.25">
      <c r="A237" s="143" t="str">
        <f>IFERROR(INDEX('كشف الحساب'!$A$4:$A$254,MATCH(28,'كشف الحساب'!$Q$4:$Q$254,0)),"")</f>
        <v/>
      </c>
      <c r="B237" s="133" t="str">
        <f>IFERROR(INDEX('كشف الحساب'!$B$4:$B$254,MATCH(28,'كشف الحساب'!$Q$4:$Q$254,0)),"")</f>
        <v/>
      </c>
      <c r="C237" s="132" t="str">
        <f>IFERROR(INDEX('كشف الحساب'!$C$4:$C$254,MATCH(28,'كشف الحساب'!$Q$4:$Q$254,0)),"")</f>
        <v/>
      </c>
      <c r="D237" s="134" t="str">
        <f>IFERROR(INDEX('كشف الحساب'!$D$4:$D$254,MATCH(28,'كشف الحساب'!$Q$4:$Q$254,0)),"")</f>
        <v/>
      </c>
      <c r="E237" s="135" t="str">
        <f>IFERROR(INDEX('كشف الحساب'!$G$4:$G$254,MATCH(28,'كشف الحساب'!$Q$4:$Q$254,0)),"")</f>
        <v/>
      </c>
      <c r="F237" s="132"/>
    </row>
    <row r="238" spans="1:6" ht="18" customHeight="1" x14ac:dyDescent="0.25">
      <c r="A238" s="143" t="str">
        <f>IFERROR(INDEX('كشف الحساب'!$A$4:$A$254,MATCH(29,'كشف الحساب'!$Q$4:$Q$254,0)),"")</f>
        <v/>
      </c>
      <c r="B238" s="133" t="str">
        <f>IFERROR(INDEX('كشف الحساب'!$B$4:$B$254,MATCH(29,'كشف الحساب'!$Q$4:$Q$254,0)),"")</f>
        <v/>
      </c>
      <c r="C238" s="132" t="str">
        <f>IFERROR(INDEX('كشف الحساب'!$C$4:$C$254,MATCH(29,'كشف الحساب'!$Q$4:$Q$254,0)),"")</f>
        <v/>
      </c>
      <c r="D238" s="134" t="str">
        <f>IFERROR(INDEX('كشف الحساب'!$D$4:$D$254,MATCH(29,'كشف الحساب'!$Q$4:$Q$254,0)),"")</f>
        <v/>
      </c>
      <c r="E238" s="135" t="str">
        <f>IFERROR(INDEX('كشف الحساب'!$G$4:$G$254,MATCH(29,'كشف الحساب'!$Q$4:$Q$254,0)),"")</f>
        <v/>
      </c>
      <c r="F238" s="132"/>
    </row>
    <row r="239" spans="1:6" ht="18" customHeight="1" x14ac:dyDescent="0.25">
      <c r="A239" s="143" t="str">
        <f>IFERROR(INDEX('كشف الحساب'!$A$4:$A$254,MATCH(30,'كشف الحساب'!$Q$4:$Q$254,0)),"")</f>
        <v/>
      </c>
      <c r="B239" s="133" t="str">
        <f>IFERROR(INDEX('كشف الحساب'!$B$4:$B$254,MATCH(30,'كشف الحساب'!$Q$4:$Q$254,0)),"")</f>
        <v/>
      </c>
      <c r="C239" s="132" t="str">
        <f>IFERROR(INDEX('كشف الحساب'!$C$4:$C$254,MATCH(30,'كشف الحساب'!$Q$4:$Q$254,0)),"")</f>
        <v/>
      </c>
      <c r="D239" s="134" t="str">
        <f>IFERROR(INDEX('كشف الحساب'!$D$4:$D$254,MATCH(30,'كشف الحساب'!$Q$4:$Q$254,0)),"")</f>
        <v/>
      </c>
      <c r="E239" s="135" t="str">
        <f>IFERROR(INDEX('كشف الحساب'!$G$4:$G$254,MATCH(30,'كشف الحساب'!$Q$4:$Q$254,0)),"")</f>
        <v/>
      </c>
      <c r="F239" s="132"/>
    </row>
    <row r="240" spans="1:6" ht="18" customHeight="1" x14ac:dyDescent="0.25">
      <c r="A240" s="143" t="str">
        <f>IFERROR(INDEX('كشف الحساب'!$A$4:$A$254,MATCH(31,'كشف الحساب'!$Q$4:$Q$254,0)),"")</f>
        <v/>
      </c>
      <c r="B240" s="133" t="str">
        <f>IFERROR(INDEX('كشف الحساب'!$B$4:$B$254,MATCH(31,'كشف الحساب'!$Q$4:$Q$254,0)),"")</f>
        <v/>
      </c>
      <c r="C240" s="132" t="str">
        <f>IFERROR(INDEX('كشف الحساب'!$C$4:$C$254,MATCH(31,'كشف الحساب'!$Q$4:$Q$254,0)),"")</f>
        <v/>
      </c>
      <c r="D240" s="134" t="str">
        <f>IFERROR(INDEX('كشف الحساب'!$D$4:$D$254,MATCH(31,'كشف الحساب'!$Q$4:$Q$254,0)),"")</f>
        <v/>
      </c>
      <c r="E240" s="135" t="str">
        <f>IFERROR(INDEX('كشف الحساب'!$G$4:$G$254,MATCH(31,'كشف الحساب'!$Q$4:$Q$254,0)),"")</f>
        <v/>
      </c>
      <c r="F240" s="132"/>
    </row>
    <row r="241" spans="1:6" ht="18" customHeight="1" x14ac:dyDescent="0.25">
      <c r="A241" s="143" t="str">
        <f>IFERROR(INDEX('كشف الحساب'!$A$4:$A$254,MATCH(32,'كشف الحساب'!$Q$4:$Q$254,0)),"")</f>
        <v/>
      </c>
      <c r="B241" s="133" t="str">
        <f>IFERROR(INDEX('كشف الحساب'!$B$4:$B$254,MATCH(32,'كشف الحساب'!$Q$4:$Q$254,0)),"")</f>
        <v/>
      </c>
      <c r="C241" s="132" t="str">
        <f>IFERROR(INDEX('كشف الحساب'!$C$4:$C$254,MATCH(32,'كشف الحساب'!$Q$4:$Q$254,0)),"")</f>
        <v/>
      </c>
      <c r="D241" s="134" t="str">
        <f>IFERROR(INDEX('كشف الحساب'!$D$4:$D$254,MATCH(32,'كشف الحساب'!$Q$4:$Q$254,0)),"")</f>
        <v/>
      </c>
      <c r="E241" s="135" t="str">
        <f>IFERROR(INDEX('كشف الحساب'!$G$4:$G$254,MATCH(32,'كشف الحساب'!$Q$4:$Q$254,0)),"")</f>
        <v/>
      </c>
      <c r="F241" s="132"/>
    </row>
    <row r="242" spans="1:6" ht="18" customHeight="1" x14ac:dyDescent="0.25">
      <c r="A242" s="143" t="str">
        <f>IFERROR(INDEX('كشف الحساب'!$A$4:$A$254,MATCH(33,'كشف الحساب'!$Q$4:$Q$254,0)),"")</f>
        <v/>
      </c>
      <c r="B242" s="133" t="str">
        <f>IFERROR(INDEX('كشف الحساب'!$B$4:$B$254,MATCH(33,'كشف الحساب'!$Q$4:$Q$254,0)),"")</f>
        <v/>
      </c>
      <c r="C242" s="132" t="str">
        <f>IFERROR(INDEX('كشف الحساب'!$C$4:$C$254,MATCH(33,'كشف الحساب'!$Q$4:$Q$254,0)),"")</f>
        <v/>
      </c>
      <c r="D242" s="134" t="str">
        <f>IFERROR(INDEX('كشف الحساب'!$D$4:$D$254,MATCH(33,'كشف الحساب'!$Q$4:$Q$254,0)),"")</f>
        <v/>
      </c>
      <c r="E242" s="135" t="str">
        <f>IFERROR(INDEX('كشف الحساب'!$G$4:$G$254,MATCH(33,'كشف الحساب'!$Q$4:$Q$254,0)),"")</f>
        <v/>
      </c>
      <c r="F242" s="132"/>
    </row>
    <row r="243" spans="1:6" ht="18" customHeight="1" x14ac:dyDescent="0.25">
      <c r="A243" s="143" t="str">
        <f>IFERROR(INDEX('كشف الحساب'!$A$4:$A$254,MATCH(34,'كشف الحساب'!$Q$4:$Q$254,0)),"")</f>
        <v/>
      </c>
      <c r="B243" s="133" t="str">
        <f>IFERROR(INDEX('كشف الحساب'!$B$4:$B$254,MATCH(34,'كشف الحساب'!$Q$4:$Q$254,0)),"")</f>
        <v/>
      </c>
      <c r="C243" s="132" t="str">
        <f>IFERROR(INDEX('كشف الحساب'!$C$4:$C$254,MATCH(34,'كشف الحساب'!$Q$4:$Q$254,0)),"")</f>
        <v/>
      </c>
      <c r="D243" s="134" t="str">
        <f>IFERROR(INDEX('كشف الحساب'!$D$4:$D$254,MATCH(34,'كشف الحساب'!$Q$4:$Q$254,0)),"")</f>
        <v/>
      </c>
      <c r="E243" s="135" t="str">
        <f>IFERROR(INDEX('كشف الحساب'!$G$4:$G$254,MATCH(34,'كشف الحساب'!$Q$4:$Q$254,0)),"")</f>
        <v/>
      </c>
      <c r="F243" s="132"/>
    </row>
    <row r="244" spans="1:6" ht="18" customHeight="1" x14ac:dyDescent="0.25">
      <c r="A244" s="143" t="str">
        <f>IFERROR(INDEX('كشف الحساب'!$A$4:$A$254,MATCH(35,'كشف الحساب'!$Q$4:$Q$254,0)),"")</f>
        <v/>
      </c>
      <c r="B244" s="133" t="str">
        <f>IFERROR(INDEX('كشف الحساب'!$B$4:$B$254,MATCH(35,'كشف الحساب'!$Q$4:$Q$254,0)),"")</f>
        <v/>
      </c>
      <c r="C244" s="132" t="str">
        <f>IFERROR(INDEX('كشف الحساب'!$C$4:$C$254,MATCH(35,'كشف الحساب'!$Q$4:$Q$254,0)),"")</f>
        <v/>
      </c>
      <c r="D244" s="134" t="str">
        <f>IFERROR(INDEX('كشف الحساب'!$D$4:$D$254,MATCH(35,'كشف الحساب'!$Q$4:$Q$254,0)),"")</f>
        <v/>
      </c>
      <c r="E244" s="135" t="str">
        <f>IFERROR(INDEX('كشف الحساب'!$G$4:$G$254,MATCH(35,'كشف الحساب'!$Q$4:$Q$254,0)),"")</f>
        <v/>
      </c>
      <c r="F244" s="132"/>
    </row>
    <row r="245" spans="1:6" ht="18" customHeight="1" x14ac:dyDescent="0.25">
      <c r="A245" s="143" t="str">
        <f>IFERROR(INDEX('كشف الحساب'!$A$4:$A$254,MATCH(36,'كشف الحساب'!$Q$4:$Q$254,0)),"")</f>
        <v/>
      </c>
      <c r="B245" s="133" t="str">
        <f>IFERROR(INDEX('كشف الحساب'!$B$4:$B$254,MATCH(36,'كشف الحساب'!$Q$4:$Q$254,0)),"")</f>
        <v/>
      </c>
      <c r="C245" s="132" t="str">
        <f>IFERROR(INDEX('كشف الحساب'!$C$4:$C$254,MATCH(36,'كشف الحساب'!$Q$4:$Q$254,0)),"")</f>
        <v/>
      </c>
      <c r="D245" s="134" t="str">
        <f>IFERROR(INDEX('كشف الحساب'!$D$4:$D$254,MATCH(36,'كشف الحساب'!$Q$4:$Q$254,0)),"")</f>
        <v/>
      </c>
      <c r="E245" s="135" t="str">
        <f>IFERROR(INDEX('كشف الحساب'!$G$4:$G$254,MATCH(36,'كشف الحساب'!$Q$4:$Q$254,0)),"")</f>
        <v/>
      </c>
      <c r="F245" s="132"/>
    </row>
    <row r="246" spans="1:6" ht="18" customHeight="1" x14ac:dyDescent="0.25">
      <c r="A246" s="143" t="str">
        <f>IFERROR(INDEX('كشف الحساب'!$A$4:$A$254,MATCH(37,'كشف الحساب'!$Q$4:$Q$254,0)),"")</f>
        <v/>
      </c>
      <c r="B246" s="133" t="str">
        <f>IFERROR(INDEX('كشف الحساب'!$B$4:$B$254,MATCH(37,'كشف الحساب'!$Q$4:$Q$254,0)),"")</f>
        <v/>
      </c>
      <c r="C246" s="132" t="str">
        <f>IFERROR(INDEX('كشف الحساب'!$C$4:$C$254,MATCH(37,'كشف الحساب'!$Q$4:$Q$254,0)),"")</f>
        <v/>
      </c>
      <c r="D246" s="134" t="str">
        <f>IFERROR(INDEX('كشف الحساب'!$D$4:$D$254,MATCH(37,'كشف الحساب'!$Q$4:$Q$254,0)),"")</f>
        <v/>
      </c>
      <c r="E246" s="135" t="str">
        <f>IFERROR(INDEX('كشف الحساب'!$G$4:$G$254,MATCH(37,'كشف الحساب'!$Q$4:$Q$254,0)),"")</f>
        <v/>
      </c>
      <c r="F246" s="132"/>
    </row>
    <row r="247" spans="1:6" ht="18" customHeight="1" x14ac:dyDescent="0.25">
      <c r="A247" s="143" t="str">
        <f>IFERROR(INDEX('كشف الحساب'!$A$4:$A$254,MATCH(38,'كشف الحساب'!$Q$4:$Q$254,0)),"")</f>
        <v/>
      </c>
      <c r="B247" s="133" t="str">
        <f>IFERROR(INDEX('كشف الحساب'!$B$4:$B$254,MATCH(38,'كشف الحساب'!$Q$4:$Q$254,0)),"")</f>
        <v/>
      </c>
      <c r="C247" s="132" t="str">
        <f>IFERROR(INDEX('كشف الحساب'!$C$4:$C$254,MATCH(38,'كشف الحساب'!$Q$4:$Q$254,0)),"")</f>
        <v/>
      </c>
      <c r="D247" s="134" t="str">
        <f>IFERROR(INDEX('كشف الحساب'!$D$4:$D$254,MATCH(38,'كشف الحساب'!$Q$4:$Q$254,0)),"")</f>
        <v/>
      </c>
      <c r="E247" s="135" t="str">
        <f>IFERROR(INDEX('كشف الحساب'!$G$4:$G$254,MATCH(38,'كشف الحساب'!$Q$4:$Q$254,0)),"")</f>
        <v/>
      </c>
      <c r="F247" s="132"/>
    </row>
    <row r="248" spans="1:6" ht="18" customHeight="1" x14ac:dyDescent="0.25">
      <c r="A248" s="143" t="str">
        <f>IFERROR(INDEX('كشف الحساب'!$A$4:$A$254,MATCH(39,'كشف الحساب'!$Q$4:$Q$254,0)),"")</f>
        <v/>
      </c>
      <c r="B248" s="133" t="str">
        <f>IFERROR(INDEX('كشف الحساب'!$B$4:$B$254,MATCH(39,'كشف الحساب'!$Q$4:$Q$254,0)),"")</f>
        <v/>
      </c>
      <c r="C248" s="132" t="str">
        <f>IFERROR(INDEX('كشف الحساب'!$C$4:$C$254,MATCH(39,'كشف الحساب'!$Q$4:$Q$254,0)),"")</f>
        <v/>
      </c>
      <c r="D248" s="134" t="str">
        <f>IFERROR(INDEX('كشف الحساب'!$D$4:$D$254,MATCH(39,'كشف الحساب'!$Q$4:$Q$254,0)),"")</f>
        <v/>
      </c>
      <c r="E248" s="135" t="str">
        <f>IFERROR(INDEX('كشف الحساب'!$G$4:$G$254,MATCH(39,'كشف الحساب'!$Q$4:$Q$254,0)),"")</f>
        <v/>
      </c>
      <c r="F248" s="132"/>
    </row>
    <row r="249" spans="1:6" ht="18" customHeight="1" x14ac:dyDescent="0.25">
      <c r="A249" s="143" t="str">
        <f>IFERROR(INDEX('كشف الحساب'!$A$4:$A$254,MATCH(40,'كشف الحساب'!$Q$4:$Q$254,0)),"")</f>
        <v/>
      </c>
      <c r="B249" s="133" t="str">
        <f>IFERROR(INDEX('كشف الحساب'!$B$4:$B$254,MATCH(40,'كشف الحساب'!$Q$4:$Q$254,0)),"")</f>
        <v/>
      </c>
      <c r="C249" s="132" t="str">
        <f>IFERROR(INDEX('كشف الحساب'!$C$4:$C$254,MATCH(40,'كشف الحساب'!$Q$4:$Q$254,0)),"")</f>
        <v/>
      </c>
      <c r="D249" s="134" t="str">
        <f>IFERROR(INDEX('كشف الحساب'!$D$4:$D$254,MATCH(40,'كشف الحساب'!$Q$4:$Q$254,0)),"")</f>
        <v/>
      </c>
      <c r="E249" s="135" t="str">
        <f>IFERROR(INDEX('كشف الحساب'!$G$4:$G$254,MATCH(40,'كشف الحساب'!$Q$4:$Q$254,0)),"")</f>
        <v/>
      </c>
      <c r="F249" s="132"/>
    </row>
    <row r="250" spans="1:6" ht="18" customHeight="1" x14ac:dyDescent="0.25">
      <c r="A250" s="143" t="str">
        <f>IFERROR(INDEX('كشف الحساب'!$A$4:$A$254,MATCH(41,'كشف الحساب'!$Q$4:$Q$254,0)),"")</f>
        <v/>
      </c>
      <c r="B250" s="133" t="str">
        <f>IFERROR(INDEX('كشف الحساب'!$B$4:$B$254,MATCH(41,'كشف الحساب'!$Q$4:$Q$254,0)),"")</f>
        <v/>
      </c>
      <c r="C250" s="132" t="str">
        <f>IFERROR(INDEX('كشف الحساب'!$C$4:$C$254,MATCH(41,'كشف الحساب'!$Q$4:$Q$254,0)),"")</f>
        <v/>
      </c>
      <c r="D250" s="134" t="str">
        <f>IFERROR(INDEX('كشف الحساب'!$D$4:$D$254,MATCH(41,'كشف الحساب'!$Q$4:$Q$254,0)),"")</f>
        <v/>
      </c>
      <c r="E250" s="135" t="str">
        <f>IFERROR(INDEX('كشف الحساب'!$G$4:$G$254,MATCH(41,'كشف الحساب'!$Q$4:$Q$254,0)),"")</f>
        <v/>
      </c>
      <c r="F250" s="132"/>
    </row>
    <row r="251" spans="1:6" ht="18" customHeight="1" x14ac:dyDescent="0.25">
      <c r="A251" s="143" t="str">
        <f>IFERROR(INDEX('كشف الحساب'!$A$4:$A$254,MATCH(42,'كشف الحساب'!$Q$4:$Q$254,0)),"")</f>
        <v/>
      </c>
      <c r="B251" s="133" t="str">
        <f>IFERROR(INDEX('كشف الحساب'!$B$4:$B$254,MATCH(42,'كشف الحساب'!$Q$4:$Q$254,0)),"")</f>
        <v/>
      </c>
      <c r="C251" s="132" t="str">
        <f>IFERROR(INDEX('كشف الحساب'!$C$4:$C$254,MATCH(42,'كشف الحساب'!$Q$4:$Q$254,0)),"")</f>
        <v/>
      </c>
      <c r="D251" s="134" t="str">
        <f>IFERROR(INDEX('كشف الحساب'!$D$4:$D$254,MATCH(42,'كشف الحساب'!$Q$4:$Q$254,0)),"")</f>
        <v/>
      </c>
      <c r="E251" s="135" t="str">
        <f>IFERROR(INDEX('كشف الحساب'!$G$4:$G$254,MATCH(42,'كشف الحساب'!$Q$4:$Q$254,0)),"")</f>
        <v/>
      </c>
      <c r="F251" s="132"/>
    </row>
    <row r="252" spans="1:6" ht="18" customHeight="1" x14ac:dyDescent="0.25">
      <c r="A252" s="143" t="str">
        <f>IFERROR(INDEX('كشف الحساب'!$A$4:$A$254,MATCH(43,'كشف الحساب'!$Q$4:$Q$254,0)),"")</f>
        <v/>
      </c>
      <c r="B252" s="133" t="str">
        <f>IFERROR(INDEX('كشف الحساب'!$B$4:$B$254,MATCH(43,'كشف الحساب'!$Q$4:$Q$254,0)),"")</f>
        <v/>
      </c>
      <c r="C252" s="132" t="str">
        <f>IFERROR(INDEX('كشف الحساب'!$C$4:$C$254,MATCH(43,'كشف الحساب'!$Q$4:$Q$254,0)),"")</f>
        <v/>
      </c>
      <c r="D252" s="134" t="str">
        <f>IFERROR(INDEX('كشف الحساب'!$D$4:$D$254,MATCH(43,'كشف الحساب'!$Q$4:$Q$254,0)),"")</f>
        <v/>
      </c>
      <c r="E252" s="135" t="str">
        <f>IFERROR(INDEX('كشف الحساب'!$G$4:$G$254,MATCH(43,'كشف الحساب'!$Q$4:$Q$254,0)),"")</f>
        <v/>
      </c>
      <c r="F252" s="132"/>
    </row>
    <row r="253" spans="1:6" ht="18" customHeight="1" x14ac:dyDescent="0.25">
      <c r="A253" s="143" t="str">
        <f>IFERROR(INDEX('كشف الحساب'!$A$4:$A$254,MATCH(44,'كشف الحساب'!$Q$4:$Q$254,0)),"")</f>
        <v/>
      </c>
      <c r="B253" s="133" t="str">
        <f>IFERROR(INDEX('كشف الحساب'!$B$4:$B$254,MATCH(44,'كشف الحساب'!$Q$4:$Q$254,0)),"")</f>
        <v/>
      </c>
      <c r="C253" s="132" t="str">
        <f>IFERROR(INDEX('كشف الحساب'!$C$4:$C$254,MATCH(44,'كشف الحساب'!$Q$4:$Q$254,0)),"")</f>
        <v/>
      </c>
      <c r="D253" s="134" t="str">
        <f>IFERROR(INDEX('كشف الحساب'!$D$4:$D$254,MATCH(44,'كشف الحساب'!$Q$4:$Q$254,0)),"")</f>
        <v/>
      </c>
      <c r="E253" s="135" t="str">
        <f>IFERROR(INDEX('كشف الحساب'!$G$4:$G$254,MATCH(44,'كشف الحساب'!$Q$4:$Q$254,0)),"")</f>
        <v/>
      </c>
      <c r="F253" s="132"/>
    </row>
    <row r="254" spans="1:6" ht="18" customHeight="1" x14ac:dyDescent="0.25">
      <c r="A254" s="143" t="str">
        <f>IFERROR(INDEX('كشف الحساب'!$A$4:$A$254,MATCH(45,'كشف الحساب'!$Q$4:$Q$254,0)),"")</f>
        <v/>
      </c>
      <c r="B254" s="133" t="str">
        <f>IFERROR(INDEX('كشف الحساب'!$B$4:$B$254,MATCH(45,'كشف الحساب'!$Q$4:$Q$254,0)),"")</f>
        <v/>
      </c>
      <c r="C254" s="132" t="str">
        <f>IFERROR(INDEX('كشف الحساب'!$C$4:$C$254,MATCH(45,'كشف الحساب'!$Q$4:$Q$254,0)),"")</f>
        <v/>
      </c>
      <c r="D254" s="134" t="str">
        <f>IFERROR(INDEX('كشف الحساب'!$D$4:$D$254,MATCH(45,'كشف الحساب'!$Q$4:$Q$254,0)),"")</f>
        <v/>
      </c>
      <c r="E254" s="135" t="str">
        <f>IFERROR(INDEX('كشف الحساب'!$G$4:$G$254,MATCH(45,'كشف الحساب'!$Q$4:$Q$254,0)),"")</f>
        <v/>
      </c>
      <c r="F254" s="132"/>
    </row>
    <row r="255" spans="1:6" ht="18" customHeight="1" x14ac:dyDescent="0.25">
      <c r="A255" s="143" t="str">
        <f>IFERROR(INDEX('كشف الحساب'!$A$4:$A$254,MATCH(46,'كشف الحساب'!$Q$4:$Q$254,0)),"")</f>
        <v/>
      </c>
      <c r="B255" s="133" t="str">
        <f>IFERROR(INDEX('كشف الحساب'!$B$4:$B$254,MATCH(46,'كشف الحساب'!$Q$4:$Q$254,0)),"")</f>
        <v/>
      </c>
      <c r="C255" s="132" t="str">
        <f>IFERROR(INDEX('كشف الحساب'!$C$4:$C$254,MATCH(46,'كشف الحساب'!$Q$4:$Q$254,0)),"")</f>
        <v/>
      </c>
      <c r="D255" s="134" t="str">
        <f>IFERROR(INDEX('كشف الحساب'!$D$4:$D$254,MATCH(46,'كشف الحساب'!$Q$4:$Q$254,0)),"")</f>
        <v/>
      </c>
      <c r="E255" s="135" t="str">
        <f>IFERROR(INDEX('كشف الحساب'!$G$4:$G$254,MATCH(46,'كشف الحساب'!$Q$4:$Q$254,0)),"")</f>
        <v/>
      </c>
      <c r="F255" s="132"/>
    </row>
    <row r="256" spans="1:6" ht="18" customHeight="1" x14ac:dyDescent="0.25">
      <c r="A256" s="143" t="str">
        <f>IFERROR(INDEX('كشف الحساب'!$A$4:$A$254,MATCH(47,'كشف الحساب'!$Q$4:$Q$254,0)),"")</f>
        <v/>
      </c>
      <c r="B256" s="133" t="str">
        <f>IFERROR(INDEX('كشف الحساب'!$B$4:$B$254,MATCH(47,'كشف الحساب'!$Q$4:$Q$254,0)),"")</f>
        <v/>
      </c>
      <c r="C256" s="132" t="str">
        <f>IFERROR(INDEX('كشف الحساب'!$C$4:$C$254,MATCH(47,'كشف الحساب'!$Q$4:$Q$254,0)),"")</f>
        <v/>
      </c>
      <c r="D256" s="134" t="str">
        <f>IFERROR(INDEX('كشف الحساب'!$D$4:$D$254,MATCH(47,'كشف الحساب'!$Q$4:$Q$254,0)),"")</f>
        <v/>
      </c>
      <c r="E256" s="135" t="str">
        <f>IFERROR(INDEX('كشف الحساب'!$G$4:$G$254,MATCH(47,'كشف الحساب'!$Q$4:$Q$254,0)),"")</f>
        <v/>
      </c>
      <c r="F256" s="132"/>
    </row>
    <row r="257" spans="1:6" ht="18" customHeight="1" x14ac:dyDescent="0.25">
      <c r="A257" s="143" t="str">
        <f>IFERROR(INDEX('كشف الحساب'!$A$4:$A$254,MATCH(48,'كشف الحساب'!$Q$4:$Q$254,0)),"")</f>
        <v/>
      </c>
      <c r="B257" s="133" t="str">
        <f>IFERROR(INDEX('كشف الحساب'!$B$4:$B$254,MATCH(48,'كشف الحساب'!$Q$4:$Q$254,0)),"")</f>
        <v/>
      </c>
      <c r="C257" s="132" t="str">
        <f>IFERROR(INDEX('كشف الحساب'!$C$4:$C$254,MATCH(48,'كشف الحساب'!$Q$4:$Q$254,0)),"")</f>
        <v/>
      </c>
      <c r="D257" s="134" t="str">
        <f>IFERROR(INDEX('كشف الحساب'!$D$4:$D$254,MATCH(48,'كشف الحساب'!$Q$4:$Q$254,0)),"")</f>
        <v/>
      </c>
      <c r="E257" s="135" t="str">
        <f>IFERROR(INDEX('كشف الحساب'!$G$4:$G$254,MATCH(48,'كشف الحساب'!$Q$4:$Q$254,0)),"")</f>
        <v/>
      </c>
      <c r="F257" s="132"/>
    </row>
    <row r="258" spans="1:6" ht="18" customHeight="1" x14ac:dyDescent="0.25">
      <c r="A258" s="143" t="str">
        <f>IFERROR(INDEX('كشف الحساب'!$A$4:$A$254,MATCH(49,'كشف الحساب'!$Q$4:$Q$254,0)),"")</f>
        <v/>
      </c>
      <c r="B258" s="133" t="str">
        <f>IFERROR(INDEX('كشف الحساب'!$B$4:$B$254,MATCH(49,'كشف الحساب'!$Q$4:$Q$254,0)),"")</f>
        <v/>
      </c>
      <c r="C258" s="132" t="str">
        <f>IFERROR(INDEX('كشف الحساب'!$C$4:$C$254,MATCH(49,'كشف الحساب'!$Q$4:$Q$254,0)),"")</f>
        <v/>
      </c>
      <c r="D258" s="134" t="str">
        <f>IFERROR(INDEX('كشف الحساب'!$D$4:$D$254,MATCH(49,'كشف الحساب'!$Q$4:$Q$254,0)),"")</f>
        <v/>
      </c>
      <c r="E258" s="135" t="str">
        <f>IFERROR(INDEX('كشف الحساب'!$G$4:$G$254,MATCH(49,'كشف الحساب'!$Q$4:$Q$254,0)),"")</f>
        <v/>
      </c>
      <c r="F258" s="132"/>
    </row>
    <row r="259" spans="1:6" ht="18" customHeight="1" x14ac:dyDescent="0.25">
      <c r="A259" s="143" t="str">
        <f>IFERROR(INDEX('كشف الحساب'!$A$4:$A$254,MATCH(50,'كشف الحساب'!$Q$4:$Q$254,0)),"")</f>
        <v/>
      </c>
      <c r="B259" s="133" t="str">
        <f>IFERROR(INDEX('كشف الحساب'!$B$4:$B$254,MATCH(50,'كشف الحساب'!$Q$4:$Q$254,0)),"")</f>
        <v/>
      </c>
      <c r="C259" s="132" t="str">
        <f>IFERROR(INDEX('كشف الحساب'!$C$4:$C$254,MATCH(50,'كشف الحساب'!$Q$4:$Q$254,0)),"")</f>
        <v/>
      </c>
      <c r="D259" s="134" t="str">
        <f>IFERROR(INDEX('كشف الحساب'!$D$4:$D$254,MATCH(50,'كشف الحساب'!$Q$4:$Q$254,0)),"")</f>
        <v/>
      </c>
      <c r="E259" s="135" t="str">
        <f>IFERROR(INDEX('كشف الحساب'!$G$4:$G$254,MATCH(50,'كشف الحساب'!$Q$4:$Q$254,0)),"")</f>
        <v/>
      </c>
      <c r="F259" s="132"/>
    </row>
    <row r="260" spans="1:6" ht="18" customHeight="1" x14ac:dyDescent="0.25">
      <c r="A260" s="143" t="str">
        <f>IFERROR(INDEX('كشف الحساب'!$A$4:$A$254,MATCH(51,'كشف الحساب'!$Q$4:$Q$254,0)),"")</f>
        <v/>
      </c>
      <c r="B260" s="133" t="str">
        <f>IFERROR(INDEX('كشف الحساب'!$B$4:$B$254,MATCH(51,'كشف الحساب'!$Q$4:$Q$254,0)),"")</f>
        <v/>
      </c>
      <c r="C260" s="132" t="str">
        <f>IFERROR(INDEX('كشف الحساب'!$C$4:$C$254,MATCH(51,'كشف الحساب'!$Q$4:$Q$254,0)),"")</f>
        <v/>
      </c>
      <c r="D260" s="134" t="str">
        <f>IFERROR(INDEX('كشف الحساب'!$D$4:$D$254,MATCH(51,'كشف الحساب'!$Q$4:$Q$254,0)),"")</f>
        <v/>
      </c>
      <c r="E260" s="135" t="str">
        <f>IFERROR(INDEX('كشف الحساب'!$G$4:$G$254,MATCH(51,'كشف الحساب'!$Q$4:$Q$254,0)),"")</f>
        <v/>
      </c>
      <c r="F260" s="132"/>
    </row>
    <row r="261" spans="1:6" ht="18" customHeight="1" x14ac:dyDescent="0.25">
      <c r="A261" s="143" t="str">
        <f>IFERROR(INDEX('كشف الحساب'!$A$4:$A$254,MATCH(52,'كشف الحساب'!$Q$4:$Q$254,0)),"")</f>
        <v/>
      </c>
      <c r="B261" s="133" t="str">
        <f>IFERROR(INDEX('كشف الحساب'!$B$4:$B$254,MATCH(52,'كشف الحساب'!$Q$4:$Q$254,0)),"")</f>
        <v/>
      </c>
      <c r="C261" s="132" t="str">
        <f>IFERROR(INDEX('كشف الحساب'!$C$4:$C$254,MATCH(52,'كشف الحساب'!$Q$4:$Q$254,0)),"")</f>
        <v/>
      </c>
      <c r="D261" s="134" t="str">
        <f>IFERROR(INDEX('كشف الحساب'!$D$4:$D$254,MATCH(52,'كشف الحساب'!$Q$4:$Q$254,0)),"")</f>
        <v/>
      </c>
      <c r="E261" s="135" t="str">
        <f>IFERROR(INDEX('كشف الحساب'!$G$4:$G$254,MATCH(52,'كشف الحساب'!$Q$4:$Q$254,0)),"")</f>
        <v/>
      </c>
      <c r="F261" s="132"/>
    </row>
    <row r="262" spans="1:6" ht="18" customHeight="1" x14ac:dyDescent="0.25">
      <c r="A262" s="143" t="str">
        <f>IFERROR(INDEX('كشف الحساب'!$A$4:$A$254,MATCH(53,'كشف الحساب'!$Q$4:$Q$254,0)),"")</f>
        <v/>
      </c>
      <c r="B262" s="133" t="str">
        <f>IFERROR(INDEX('كشف الحساب'!$B$4:$B$254,MATCH(53,'كشف الحساب'!$Q$4:$Q$254,0)),"")</f>
        <v/>
      </c>
      <c r="C262" s="132" t="str">
        <f>IFERROR(INDEX('كشف الحساب'!$C$4:$C$254,MATCH(53,'كشف الحساب'!$Q$4:$Q$254,0)),"")</f>
        <v/>
      </c>
      <c r="D262" s="134" t="str">
        <f>IFERROR(INDEX('كشف الحساب'!$D$4:$D$254,MATCH(53,'كشف الحساب'!$Q$4:$Q$254,0)),"")</f>
        <v/>
      </c>
      <c r="E262" s="135" t="str">
        <f>IFERROR(INDEX('كشف الحساب'!$G$4:$G$254,MATCH(53,'كشف الحساب'!$Q$4:$Q$254,0)),"")</f>
        <v/>
      </c>
      <c r="F262" s="132"/>
    </row>
    <row r="263" spans="1:6" ht="18" customHeight="1" x14ac:dyDescent="0.25">
      <c r="A263" s="143" t="str">
        <f>IFERROR(INDEX('كشف الحساب'!$A$4:$A$254,MATCH(54,'كشف الحساب'!$Q$4:$Q$254,0)),"")</f>
        <v/>
      </c>
      <c r="B263" s="133" t="str">
        <f>IFERROR(INDEX('كشف الحساب'!$B$4:$B$254,MATCH(54,'كشف الحساب'!$Q$4:$Q$254,0)),"")</f>
        <v/>
      </c>
      <c r="C263" s="132" t="str">
        <f>IFERROR(INDEX('كشف الحساب'!$C$4:$C$254,MATCH(54,'كشف الحساب'!$Q$4:$Q$254,0)),"")</f>
        <v/>
      </c>
      <c r="D263" s="134" t="str">
        <f>IFERROR(INDEX('كشف الحساب'!$D$4:$D$254,MATCH(54,'كشف الحساب'!$Q$4:$Q$254,0)),"")</f>
        <v/>
      </c>
      <c r="E263" s="135" t="str">
        <f>IFERROR(INDEX('كشف الحساب'!$G$4:$G$254,MATCH(54,'كشف الحساب'!$Q$4:$Q$254,0)),"")</f>
        <v/>
      </c>
      <c r="F263" s="132"/>
    </row>
    <row r="264" spans="1:6" ht="18" customHeight="1" x14ac:dyDescent="0.25">
      <c r="A264" s="143" t="str">
        <f>IFERROR(INDEX('كشف الحساب'!$A$4:$A$254,MATCH(55,'كشف الحساب'!$Q$4:$Q$254,0)),"")</f>
        <v/>
      </c>
      <c r="B264" s="133" t="str">
        <f>IFERROR(INDEX('كشف الحساب'!$B$4:$B$254,MATCH(55,'كشف الحساب'!$Q$4:$Q$254,0)),"")</f>
        <v/>
      </c>
      <c r="C264" s="132" t="str">
        <f>IFERROR(INDEX('كشف الحساب'!$C$4:$C$254,MATCH(55,'كشف الحساب'!$Q$4:$Q$254,0)),"")</f>
        <v/>
      </c>
      <c r="D264" s="134" t="str">
        <f>IFERROR(INDEX('كشف الحساب'!$D$4:$D$254,MATCH(55,'كشف الحساب'!$Q$4:$Q$254,0)),"")</f>
        <v/>
      </c>
      <c r="E264" s="135" t="str">
        <f>IFERROR(INDEX('كشف الحساب'!$G$4:$G$254,MATCH(55,'كشف الحساب'!$Q$4:$Q$254,0)),"")</f>
        <v/>
      </c>
      <c r="F264" s="132"/>
    </row>
    <row r="265" spans="1:6" ht="18" customHeight="1" x14ac:dyDescent="0.25">
      <c r="A265" s="143" t="str">
        <f>IFERROR(INDEX('كشف الحساب'!$A$4:$A$254,MATCH(56,'كشف الحساب'!$Q$4:$Q$254,0)),"")</f>
        <v/>
      </c>
      <c r="B265" s="133" t="str">
        <f>IFERROR(INDEX('كشف الحساب'!$B$4:$B$254,MATCH(56,'كشف الحساب'!$Q$4:$Q$254,0)),"")</f>
        <v/>
      </c>
      <c r="C265" s="132" t="str">
        <f>IFERROR(INDEX('كشف الحساب'!$C$4:$C$254,MATCH(56,'كشف الحساب'!$Q$4:$Q$254,0)),"")</f>
        <v/>
      </c>
      <c r="D265" s="134" t="str">
        <f>IFERROR(INDEX('كشف الحساب'!$D$4:$D$254,MATCH(56,'كشف الحساب'!$Q$4:$Q$254,0)),"")</f>
        <v/>
      </c>
      <c r="E265" s="135" t="str">
        <f>IFERROR(INDEX('كشف الحساب'!$G$4:$G$254,MATCH(56,'كشف الحساب'!$Q$4:$Q$254,0)),"")</f>
        <v/>
      </c>
      <c r="F265" s="132"/>
    </row>
    <row r="266" spans="1:6" ht="18" customHeight="1" x14ac:dyDescent="0.25">
      <c r="A266" s="143" t="str">
        <f>IFERROR(INDEX('كشف الحساب'!$A$4:$A$254,MATCH(57,'كشف الحساب'!$Q$4:$Q$254,0)),"")</f>
        <v/>
      </c>
      <c r="B266" s="133" t="str">
        <f>IFERROR(INDEX('كشف الحساب'!$B$4:$B$254,MATCH(57,'كشف الحساب'!$Q$4:$Q$254,0)),"")</f>
        <v/>
      </c>
      <c r="C266" s="132" t="str">
        <f>IFERROR(INDEX('كشف الحساب'!$C$4:$C$254,MATCH(57,'كشف الحساب'!$Q$4:$Q$254,0)),"")</f>
        <v/>
      </c>
      <c r="D266" s="134" t="str">
        <f>IFERROR(INDEX('كشف الحساب'!$D$4:$D$254,MATCH(57,'كشف الحساب'!$Q$4:$Q$254,0)),"")</f>
        <v/>
      </c>
      <c r="E266" s="135" t="str">
        <f>IFERROR(INDEX('كشف الحساب'!$G$4:$G$254,MATCH(57,'كشف الحساب'!$Q$4:$Q$254,0)),"")</f>
        <v/>
      </c>
      <c r="F266" s="132"/>
    </row>
    <row r="267" spans="1:6" ht="18" customHeight="1" x14ac:dyDescent="0.25">
      <c r="A267" s="143" t="str">
        <f>IFERROR(INDEX('كشف الحساب'!$A$4:$A$254,MATCH(58,'كشف الحساب'!$Q$4:$Q$254,0)),"")</f>
        <v/>
      </c>
      <c r="B267" s="133" t="str">
        <f>IFERROR(INDEX('كشف الحساب'!$B$4:$B$254,MATCH(58,'كشف الحساب'!$Q$4:$Q$254,0)),"")</f>
        <v/>
      </c>
      <c r="C267" s="132" t="str">
        <f>IFERROR(INDEX('كشف الحساب'!$C$4:$C$254,MATCH(58,'كشف الحساب'!$Q$4:$Q$254,0)),"")</f>
        <v/>
      </c>
      <c r="D267" s="134" t="str">
        <f>IFERROR(INDEX('كشف الحساب'!$D$4:$D$254,MATCH(58,'كشف الحساب'!$Q$4:$Q$254,0)),"")</f>
        <v/>
      </c>
      <c r="E267" s="135" t="str">
        <f>IFERROR(INDEX('كشف الحساب'!$G$4:$G$254,MATCH(58,'كشف الحساب'!$Q$4:$Q$254,0)),"")</f>
        <v/>
      </c>
      <c r="F267" s="132"/>
    </row>
    <row r="268" spans="1:6" ht="18" customHeight="1" x14ac:dyDescent="0.25">
      <c r="A268" s="143" t="str">
        <f>IFERROR(INDEX('كشف الحساب'!$A$4:$A$254,MATCH(59,'كشف الحساب'!$Q$4:$Q$254,0)),"")</f>
        <v/>
      </c>
      <c r="B268" s="133" t="str">
        <f>IFERROR(INDEX('كشف الحساب'!$B$4:$B$254,MATCH(59,'كشف الحساب'!$Q$4:$Q$254,0)),"")</f>
        <v/>
      </c>
      <c r="C268" s="132" t="str">
        <f>IFERROR(INDEX('كشف الحساب'!$C$4:$C$254,MATCH(59,'كشف الحساب'!$Q$4:$Q$254,0)),"")</f>
        <v/>
      </c>
      <c r="D268" s="134" t="str">
        <f>IFERROR(INDEX('كشف الحساب'!$D$4:$D$254,MATCH(59,'كشف الحساب'!$Q$4:$Q$254,0)),"")</f>
        <v/>
      </c>
      <c r="E268" s="135" t="str">
        <f>IFERROR(INDEX('كشف الحساب'!$G$4:$G$254,MATCH(59,'كشف الحساب'!$Q$4:$Q$254,0)),"")</f>
        <v/>
      </c>
      <c r="F268" s="132"/>
    </row>
    <row r="269" spans="1:6" ht="18" customHeight="1" x14ac:dyDescent="0.25">
      <c r="A269" s="143" t="str">
        <f>IFERROR(INDEX('كشف الحساب'!$A$4:$A$254,MATCH(60,'كشف الحساب'!$Q$4:$Q$254,0)),"")</f>
        <v/>
      </c>
      <c r="B269" s="133" t="str">
        <f>IFERROR(INDEX('كشف الحساب'!$B$4:$B$254,MATCH(60,'كشف الحساب'!$Q$4:$Q$254,0)),"")</f>
        <v/>
      </c>
      <c r="C269" s="132" t="str">
        <f>IFERROR(INDEX('كشف الحساب'!$C$4:$C$254,MATCH(60,'كشف الحساب'!$Q$4:$Q$254,0)),"")</f>
        <v/>
      </c>
      <c r="D269" s="134" t="str">
        <f>IFERROR(INDEX('كشف الحساب'!$D$4:$D$254,MATCH(60,'كشف الحساب'!$Q$4:$Q$254,0)),"")</f>
        <v/>
      </c>
      <c r="E269" s="135" t="str">
        <f>IFERROR(INDEX('كشف الحساب'!$G$4:$G$254,MATCH(60,'كشف الحساب'!$Q$4:$Q$254,0)),"")</f>
        <v/>
      </c>
      <c r="F269" s="132"/>
    </row>
    <row r="270" spans="1:6" ht="18" customHeight="1" x14ac:dyDescent="0.25">
      <c r="A270" s="143" t="str">
        <f>IFERROR(INDEX('كشف الحساب'!$A$4:$A$254,MATCH(61,'كشف الحساب'!$Q$4:$Q$254,0)),"")</f>
        <v/>
      </c>
      <c r="B270" s="133" t="str">
        <f>IFERROR(INDEX('كشف الحساب'!$B$4:$B$254,MATCH(61,'كشف الحساب'!$Q$4:$Q$254,0)),"")</f>
        <v/>
      </c>
      <c r="C270" s="132" t="str">
        <f>IFERROR(INDEX('كشف الحساب'!$C$4:$C$254,MATCH(61,'كشف الحساب'!$Q$4:$Q$254,0)),"")</f>
        <v/>
      </c>
      <c r="D270" s="134" t="str">
        <f>IFERROR(INDEX('كشف الحساب'!$D$4:$D$254,MATCH(61,'كشف الحساب'!$Q$4:$Q$254,0)),"")</f>
        <v/>
      </c>
      <c r="E270" s="135" t="str">
        <f>IFERROR(INDEX('كشف الحساب'!$G$4:$G$254,MATCH(61,'كشف الحساب'!$Q$4:$Q$254,0)),"")</f>
        <v/>
      </c>
      <c r="F270" s="132"/>
    </row>
    <row r="271" spans="1:6" ht="18" customHeight="1" x14ac:dyDescent="0.25">
      <c r="A271" s="143" t="str">
        <f>IFERROR(INDEX('كشف الحساب'!$A$4:$A$254,MATCH(62,'كشف الحساب'!$Q$4:$Q$254,0)),"")</f>
        <v/>
      </c>
      <c r="B271" s="133" t="str">
        <f>IFERROR(INDEX('كشف الحساب'!$B$4:$B$254,MATCH(62,'كشف الحساب'!$Q$4:$Q$254,0)),"")</f>
        <v/>
      </c>
      <c r="C271" s="132" t="str">
        <f>IFERROR(INDEX('كشف الحساب'!$C$4:$C$254,MATCH(62,'كشف الحساب'!$Q$4:$Q$254,0)),"")</f>
        <v/>
      </c>
      <c r="D271" s="134" t="str">
        <f>IFERROR(INDEX('كشف الحساب'!$D$4:$D$254,MATCH(62,'كشف الحساب'!$Q$4:$Q$254,0)),"")</f>
        <v/>
      </c>
      <c r="E271" s="135" t="str">
        <f>IFERROR(INDEX('كشف الحساب'!$G$4:$G$254,MATCH(62,'كشف الحساب'!$Q$4:$Q$254,0)),"")</f>
        <v/>
      </c>
      <c r="F271" s="132"/>
    </row>
    <row r="272" spans="1:6" ht="18" customHeight="1" x14ac:dyDescent="0.25">
      <c r="A272" s="143" t="str">
        <f>IFERROR(INDEX('كشف الحساب'!$A$4:$A$254,MATCH(63,'كشف الحساب'!$Q$4:$Q$254,0)),"")</f>
        <v/>
      </c>
      <c r="B272" s="133" t="str">
        <f>IFERROR(INDEX('كشف الحساب'!$B$4:$B$254,MATCH(63,'كشف الحساب'!$Q$4:$Q$254,0)),"")</f>
        <v/>
      </c>
      <c r="C272" s="132" t="str">
        <f>IFERROR(INDEX('كشف الحساب'!$C$4:$C$254,MATCH(63,'كشف الحساب'!$Q$4:$Q$254,0)),"")</f>
        <v/>
      </c>
      <c r="D272" s="134" t="str">
        <f>IFERROR(INDEX('كشف الحساب'!$D$4:$D$254,MATCH(63,'كشف الحساب'!$Q$4:$Q$254,0)),"")</f>
        <v/>
      </c>
      <c r="E272" s="135" t="str">
        <f>IFERROR(INDEX('كشف الحساب'!$G$4:$G$254,MATCH(63,'كشف الحساب'!$Q$4:$Q$254,0)),"")</f>
        <v/>
      </c>
      <c r="F272" s="132"/>
    </row>
    <row r="273" spans="1:6" ht="18" customHeight="1" x14ac:dyDescent="0.25">
      <c r="A273" s="143" t="str">
        <f>IFERROR(INDEX('كشف الحساب'!$A$4:$A$254,MATCH(64,'كشف الحساب'!$Q$4:$Q$254,0)),"")</f>
        <v/>
      </c>
      <c r="B273" s="133" t="str">
        <f>IFERROR(INDEX('كشف الحساب'!$B$4:$B$254,MATCH(64,'كشف الحساب'!$Q$4:$Q$254,0)),"")</f>
        <v/>
      </c>
      <c r="C273" s="132" t="str">
        <f>IFERROR(INDEX('كشف الحساب'!$C$4:$C$254,MATCH(64,'كشف الحساب'!$Q$4:$Q$254,0)),"")</f>
        <v/>
      </c>
      <c r="D273" s="134" t="str">
        <f>IFERROR(INDEX('كشف الحساب'!$D$4:$D$254,MATCH(64,'كشف الحساب'!$Q$4:$Q$254,0)),"")</f>
        <v/>
      </c>
      <c r="E273" s="135" t="str">
        <f>IFERROR(INDEX('كشف الحساب'!$G$4:$G$254,MATCH(64,'كشف الحساب'!$Q$4:$Q$254,0)),"")</f>
        <v/>
      </c>
      <c r="F273" s="132"/>
    </row>
    <row r="274" spans="1:6" ht="18" customHeight="1" x14ac:dyDescent="0.25">
      <c r="A274" s="143" t="str">
        <f>IFERROR(INDEX('كشف الحساب'!$A$4:$A$254,MATCH(65,'كشف الحساب'!$Q$4:$Q$254,0)),"")</f>
        <v/>
      </c>
      <c r="B274" s="133" t="str">
        <f>IFERROR(INDEX('كشف الحساب'!$B$4:$B$254,MATCH(65,'كشف الحساب'!$Q$4:$Q$254,0)),"")</f>
        <v/>
      </c>
      <c r="C274" s="132" t="str">
        <f>IFERROR(INDEX('كشف الحساب'!$C$4:$C$254,MATCH(65,'كشف الحساب'!$Q$4:$Q$254,0)),"")</f>
        <v/>
      </c>
      <c r="D274" s="134" t="str">
        <f>IFERROR(INDEX('كشف الحساب'!$D$4:$D$254,MATCH(65,'كشف الحساب'!$Q$4:$Q$254,0)),"")</f>
        <v/>
      </c>
      <c r="E274" s="135" t="str">
        <f>IFERROR(INDEX('كشف الحساب'!$G$4:$G$254,MATCH(65,'كشف الحساب'!$Q$4:$Q$254,0)),"")</f>
        <v/>
      </c>
      <c r="F274" s="132"/>
    </row>
    <row r="275" spans="1:6" ht="18" customHeight="1" x14ac:dyDescent="0.25">
      <c r="A275" s="143" t="str">
        <f>IFERROR(INDEX('كشف الحساب'!$A$4:$A$254,MATCH(66,'كشف الحساب'!$Q$4:$Q$254,0)),"")</f>
        <v/>
      </c>
      <c r="B275" s="133" t="str">
        <f>IFERROR(INDEX('كشف الحساب'!$B$4:$B$254,MATCH(66,'كشف الحساب'!$Q$4:$Q$254,0)),"")</f>
        <v/>
      </c>
      <c r="C275" s="132" t="str">
        <f>IFERROR(INDEX('كشف الحساب'!$C$4:$C$254,MATCH(66,'كشف الحساب'!$Q$4:$Q$254,0)),"")</f>
        <v/>
      </c>
      <c r="D275" s="134" t="str">
        <f>IFERROR(INDEX('كشف الحساب'!$D$4:$D$254,MATCH(66,'كشف الحساب'!$Q$4:$Q$254,0)),"")</f>
        <v/>
      </c>
      <c r="E275" s="135" t="str">
        <f>IFERROR(INDEX('كشف الحساب'!$G$4:$G$254,MATCH(66,'كشف الحساب'!$Q$4:$Q$254,0)),"")</f>
        <v/>
      </c>
      <c r="F275" s="132"/>
    </row>
    <row r="276" spans="1:6" ht="18" customHeight="1" x14ac:dyDescent="0.25">
      <c r="A276" s="143" t="str">
        <f>IFERROR(INDEX('كشف الحساب'!$A$4:$A$254,MATCH(67,'كشف الحساب'!$Q$4:$Q$254,0)),"")</f>
        <v/>
      </c>
      <c r="B276" s="133" t="str">
        <f>IFERROR(INDEX('كشف الحساب'!$B$4:$B$254,MATCH(67,'كشف الحساب'!$Q$4:$Q$254,0)),"")</f>
        <v/>
      </c>
      <c r="C276" s="132" t="str">
        <f>IFERROR(INDEX('كشف الحساب'!$C$4:$C$254,MATCH(67,'كشف الحساب'!$Q$4:$Q$254,0)),"")</f>
        <v/>
      </c>
      <c r="D276" s="134" t="str">
        <f>IFERROR(INDEX('كشف الحساب'!$D$4:$D$254,MATCH(67,'كشف الحساب'!$Q$4:$Q$254,0)),"")</f>
        <v/>
      </c>
      <c r="E276" s="135" t="str">
        <f>IFERROR(INDEX('كشف الحساب'!$G$4:$G$254,MATCH(67,'كشف الحساب'!$Q$4:$Q$254,0)),"")</f>
        <v/>
      </c>
      <c r="F276" s="132"/>
    </row>
    <row r="277" spans="1:6" ht="18" customHeight="1" x14ac:dyDescent="0.25">
      <c r="A277" s="143" t="str">
        <f>IFERROR(INDEX('كشف الحساب'!$A$4:$A$254,MATCH(68,'كشف الحساب'!$Q$4:$Q$254,0)),"")</f>
        <v/>
      </c>
      <c r="B277" s="133" t="str">
        <f>IFERROR(INDEX('كشف الحساب'!$B$4:$B$254,MATCH(68,'كشف الحساب'!$Q$4:$Q$254,0)),"")</f>
        <v/>
      </c>
      <c r="C277" s="132" t="str">
        <f>IFERROR(INDEX('كشف الحساب'!$C$4:$C$254,MATCH(68,'كشف الحساب'!$Q$4:$Q$254,0)),"")</f>
        <v/>
      </c>
      <c r="D277" s="134" t="str">
        <f>IFERROR(INDEX('كشف الحساب'!$D$4:$D$254,MATCH(68,'كشف الحساب'!$Q$4:$Q$254,0)),"")</f>
        <v/>
      </c>
      <c r="E277" s="135" t="str">
        <f>IFERROR(INDEX('كشف الحساب'!$G$4:$G$254,MATCH(68,'كشف الحساب'!$Q$4:$Q$254,0)),"")</f>
        <v/>
      </c>
      <c r="F277" s="132"/>
    </row>
    <row r="278" spans="1:6" ht="18" customHeight="1" x14ac:dyDescent="0.25">
      <c r="A278" s="143" t="str">
        <f>IFERROR(INDEX('كشف الحساب'!$A$4:$A$254,MATCH(69,'كشف الحساب'!$Q$4:$Q$254,0)),"")</f>
        <v/>
      </c>
      <c r="B278" s="133" t="str">
        <f>IFERROR(INDEX('كشف الحساب'!$B$4:$B$254,MATCH(69,'كشف الحساب'!$Q$4:$Q$254,0)),"")</f>
        <v/>
      </c>
      <c r="C278" s="132" t="str">
        <f>IFERROR(INDEX('كشف الحساب'!$C$4:$C$254,MATCH(69,'كشف الحساب'!$Q$4:$Q$254,0)),"")</f>
        <v/>
      </c>
      <c r="D278" s="134" t="str">
        <f>IFERROR(INDEX('كشف الحساب'!$D$4:$D$254,MATCH(69,'كشف الحساب'!$Q$4:$Q$254,0)),"")</f>
        <v/>
      </c>
      <c r="E278" s="135" t="str">
        <f>IFERROR(INDEX('كشف الحساب'!$G$4:$G$254,MATCH(69,'كشف الحساب'!$Q$4:$Q$254,0)),"")</f>
        <v/>
      </c>
      <c r="F278" s="132"/>
    </row>
    <row r="279" spans="1:6" ht="18" customHeight="1" x14ac:dyDescent="0.25">
      <c r="A279" s="143" t="str">
        <f>IFERROR(INDEX('كشف الحساب'!$A$4:$A$254,MATCH(70,'كشف الحساب'!$Q$4:$Q$254,0)),"")</f>
        <v/>
      </c>
      <c r="B279" s="133" t="str">
        <f>IFERROR(INDEX('كشف الحساب'!$B$4:$B$254,MATCH(70,'كشف الحساب'!$Q$4:$Q$254,0)),"")</f>
        <v/>
      </c>
      <c r="C279" s="132" t="str">
        <f>IFERROR(INDEX('كشف الحساب'!$C$4:$C$254,MATCH(70,'كشف الحساب'!$Q$4:$Q$254,0)),"")</f>
        <v/>
      </c>
      <c r="D279" s="134" t="str">
        <f>IFERROR(INDEX('كشف الحساب'!$D$4:$D$254,MATCH(70,'كشف الحساب'!$Q$4:$Q$254,0)),"")</f>
        <v/>
      </c>
      <c r="E279" s="135" t="str">
        <f>IFERROR(INDEX('كشف الحساب'!$G$4:$G$254,MATCH(70,'كشف الحساب'!$Q$4:$Q$254,0)),"")</f>
        <v/>
      </c>
      <c r="F279" s="132"/>
    </row>
    <row r="280" spans="1:6" ht="18" customHeight="1" x14ac:dyDescent="0.25">
      <c r="A280" s="143" t="str">
        <f>IFERROR(INDEX('كشف الحساب'!$A$4:$A$254,MATCH(71,'كشف الحساب'!$Q$4:$Q$254,0)),"")</f>
        <v/>
      </c>
      <c r="B280" s="133" t="str">
        <f>IFERROR(INDEX('كشف الحساب'!$B$4:$B$254,MATCH(71,'كشف الحساب'!$Q$4:$Q$254,0)),"")</f>
        <v/>
      </c>
      <c r="C280" s="132" t="str">
        <f>IFERROR(INDEX('كشف الحساب'!$C$4:$C$254,MATCH(71,'كشف الحساب'!$Q$4:$Q$254,0)),"")</f>
        <v/>
      </c>
      <c r="D280" s="134" t="str">
        <f>IFERROR(INDEX('كشف الحساب'!$D$4:$D$254,MATCH(71,'كشف الحساب'!$Q$4:$Q$254,0)),"")</f>
        <v/>
      </c>
      <c r="E280" s="135" t="str">
        <f>IFERROR(INDEX('كشف الحساب'!$G$4:$G$254,MATCH(71,'كشف الحساب'!$Q$4:$Q$254,0)),"")</f>
        <v/>
      </c>
      <c r="F280" s="132"/>
    </row>
    <row r="281" spans="1:6" ht="18" customHeight="1" x14ac:dyDescent="0.25">
      <c r="A281" s="143" t="str">
        <f>IFERROR(INDEX('كشف الحساب'!$A$4:$A$254,MATCH(72,'كشف الحساب'!$Q$4:$Q$254,0)),"")</f>
        <v/>
      </c>
      <c r="B281" s="133" t="str">
        <f>IFERROR(INDEX('كشف الحساب'!$B$4:$B$254,MATCH(72,'كشف الحساب'!$Q$4:$Q$254,0)),"")</f>
        <v/>
      </c>
      <c r="C281" s="132" t="str">
        <f>IFERROR(INDEX('كشف الحساب'!$C$4:$C$254,MATCH(72,'كشف الحساب'!$Q$4:$Q$254,0)),"")</f>
        <v/>
      </c>
      <c r="D281" s="134" t="str">
        <f>IFERROR(INDEX('كشف الحساب'!$D$4:$D$254,MATCH(72,'كشف الحساب'!$Q$4:$Q$254,0)),"")</f>
        <v/>
      </c>
      <c r="E281" s="135" t="str">
        <f>IFERROR(INDEX('كشف الحساب'!$G$4:$G$254,MATCH(72,'كشف الحساب'!$Q$4:$Q$254,0)),"")</f>
        <v/>
      </c>
      <c r="F281" s="132"/>
    </row>
    <row r="282" spans="1:6" ht="18" customHeight="1" x14ac:dyDescent="0.25">
      <c r="A282" s="143" t="str">
        <f>IFERROR(INDEX('كشف الحساب'!$A$4:$A$254,MATCH(73,'كشف الحساب'!$Q$4:$Q$254,0)),"")</f>
        <v/>
      </c>
      <c r="B282" s="133" t="str">
        <f>IFERROR(INDEX('كشف الحساب'!$B$4:$B$254,MATCH(73,'كشف الحساب'!$Q$4:$Q$254,0)),"")</f>
        <v/>
      </c>
      <c r="C282" s="132" t="str">
        <f>IFERROR(INDEX('كشف الحساب'!$C$4:$C$254,MATCH(73,'كشف الحساب'!$Q$4:$Q$254,0)),"")</f>
        <v/>
      </c>
      <c r="D282" s="134" t="str">
        <f>IFERROR(INDEX('كشف الحساب'!$D$4:$D$254,MATCH(73,'كشف الحساب'!$Q$4:$Q$254,0)),"")</f>
        <v/>
      </c>
      <c r="E282" s="135" t="str">
        <f>IFERROR(INDEX('كشف الحساب'!$G$4:$G$254,MATCH(73,'كشف الحساب'!$Q$4:$Q$254,0)),"")</f>
        <v/>
      </c>
      <c r="F282" s="132"/>
    </row>
    <row r="283" spans="1:6" ht="18" customHeight="1" x14ac:dyDescent="0.25">
      <c r="A283" s="143" t="str">
        <f>IFERROR(INDEX('كشف الحساب'!$A$4:$A$254,MATCH(74,'كشف الحساب'!$Q$4:$Q$254,0)),"")</f>
        <v/>
      </c>
      <c r="B283" s="133" t="str">
        <f>IFERROR(INDEX('كشف الحساب'!$B$4:$B$254,MATCH(74,'كشف الحساب'!$Q$4:$Q$254,0)),"")</f>
        <v/>
      </c>
      <c r="C283" s="132" t="str">
        <f>IFERROR(INDEX('كشف الحساب'!$C$4:$C$254,MATCH(74,'كشف الحساب'!$Q$4:$Q$254,0)),"")</f>
        <v/>
      </c>
      <c r="D283" s="134" t="str">
        <f>IFERROR(INDEX('كشف الحساب'!$D$4:$D$254,MATCH(74,'كشف الحساب'!$Q$4:$Q$254,0)),"")</f>
        <v/>
      </c>
      <c r="E283" s="135" t="str">
        <f>IFERROR(INDEX('كشف الحساب'!$G$4:$G$254,MATCH(74,'كشف الحساب'!$Q$4:$Q$254,0)),"")</f>
        <v/>
      </c>
      <c r="F283" s="132"/>
    </row>
    <row r="284" spans="1:6" ht="18" customHeight="1" x14ac:dyDescent="0.25">
      <c r="A284" s="143" t="str">
        <f>IFERROR(INDEX('كشف الحساب'!$A$4:$A$254,MATCH(75,'كشف الحساب'!$Q$4:$Q$254,0)),"")</f>
        <v/>
      </c>
      <c r="B284" s="133" t="str">
        <f>IFERROR(INDEX('كشف الحساب'!$B$4:$B$254,MATCH(75,'كشف الحساب'!$Q$4:$Q$254,0)),"")</f>
        <v/>
      </c>
      <c r="C284" s="132" t="str">
        <f>IFERROR(INDEX('كشف الحساب'!$C$4:$C$254,MATCH(75,'كشف الحساب'!$Q$4:$Q$254,0)),"")</f>
        <v/>
      </c>
      <c r="D284" s="134" t="str">
        <f>IFERROR(INDEX('كشف الحساب'!$D$4:$D$254,MATCH(75,'كشف الحساب'!$Q$4:$Q$254,0)),"")</f>
        <v/>
      </c>
      <c r="E284" s="135" t="str">
        <f>IFERROR(INDEX('كشف الحساب'!$G$4:$G$254,MATCH(75,'كشف الحساب'!$Q$4:$Q$254,0)),"")</f>
        <v/>
      </c>
      <c r="F284" s="132"/>
    </row>
    <row r="285" spans="1:6" ht="18" customHeight="1" x14ac:dyDescent="0.25">
      <c r="A285" s="143" t="str">
        <f>IFERROR(INDEX('كشف الحساب'!$A$4:$A$254,MATCH(76,'كشف الحساب'!$Q$4:$Q$254,0)),"")</f>
        <v/>
      </c>
      <c r="B285" s="133" t="str">
        <f>IFERROR(INDEX('كشف الحساب'!$B$4:$B$254,MATCH(76,'كشف الحساب'!$Q$4:$Q$254,0)),"")</f>
        <v/>
      </c>
      <c r="C285" s="132" t="str">
        <f>IFERROR(INDEX('كشف الحساب'!$C$4:$C$254,MATCH(76,'كشف الحساب'!$Q$4:$Q$254,0)),"")</f>
        <v/>
      </c>
      <c r="D285" s="134" t="str">
        <f>IFERROR(INDEX('كشف الحساب'!$D$4:$D$254,MATCH(76,'كشف الحساب'!$Q$4:$Q$254,0)),"")</f>
        <v/>
      </c>
      <c r="E285" s="135" t="str">
        <f>IFERROR(INDEX('كشف الحساب'!$G$4:$G$254,MATCH(76,'كشف الحساب'!$Q$4:$Q$254,0)),"")</f>
        <v/>
      </c>
      <c r="F285" s="132"/>
    </row>
    <row r="286" spans="1:6" ht="18" customHeight="1" x14ac:dyDescent="0.25">
      <c r="A286" s="143" t="str">
        <f>IFERROR(INDEX('كشف الحساب'!$A$4:$A$254,MATCH(77,'كشف الحساب'!$Q$4:$Q$254,0)),"")</f>
        <v/>
      </c>
      <c r="B286" s="133" t="str">
        <f>IFERROR(INDEX('كشف الحساب'!$B$4:$B$254,MATCH(77,'كشف الحساب'!$Q$4:$Q$254,0)),"")</f>
        <v/>
      </c>
      <c r="C286" s="132" t="str">
        <f>IFERROR(INDEX('كشف الحساب'!$C$4:$C$254,MATCH(77,'كشف الحساب'!$Q$4:$Q$254,0)),"")</f>
        <v/>
      </c>
      <c r="D286" s="134" t="str">
        <f>IFERROR(INDEX('كشف الحساب'!$D$4:$D$254,MATCH(77,'كشف الحساب'!$Q$4:$Q$254,0)),"")</f>
        <v/>
      </c>
      <c r="E286" s="135" t="str">
        <f>IFERROR(INDEX('كشف الحساب'!$G$4:$G$254,MATCH(77,'كشف الحساب'!$Q$4:$Q$254,0)),"")</f>
        <v/>
      </c>
      <c r="F286" s="132"/>
    </row>
    <row r="287" spans="1:6" ht="18" customHeight="1" x14ac:dyDescent="0.25">
      <c r="A287" s="143" t="str">
        <f>IFERROR(INDEX('كشف الحساب'!$A$4:$A$254,MATCH(78,'كشف الحساب'!$Q$4:$Q$254,0)),"")</f>
        <v/>
      </c>
      <c r="B287" s="133" t="str">
        <f>IFERROR(INDEX('كشف الحساب'!$B$4:$B$254,MATCH(78,'كشف الحساب'!$Q$4:$Q$254,0)),"")</f>
        <v/>
      </c>
      <c r="C287" s="132" t="str">
        <f>IFERROR(INDEX('كشف الحساب'!$C$4:$C$254,MATCH(78,'كشف الحساب'!$Q$4:$Q$254,0)),"")</f>
        <v/>
      </c>
      <c r="D287" s="134" t="str">
        <f>IFERROR(INDEX('كشف الحساب'!$D$4:$D$254,MATCH(78,'كشف الحساب'!$Q$4:$Q$254,0)),"")</f>
        <v/>
      </c>
      <c r="E287" s="135" t="str">
        <f>IFERROR(INDEX('كشف الحساب'!$G$4:$G$254,MATCH(78,'كشف الحساب'!$Q$4:$Q$254,0)),"")</f>
        <v/>
      </c>
      <c r="F287" s="132"/>
    </row>
    <row r="288" spans="1:6" ht="18" customHeight="1" x14ac:dyDescent="0.25">
      <c r="A288" s="143" t="str">
        <f>IFERROR(INDEX('كشف الحساب'!$A$4:$A$254,MATCH(79,'كشف الحساب'!$Q$4:$Q$254,0)),"")</f>
        <v/>
      </c>
      <c r="B288" s="133" t="str">
        <f>IFERROR(INDEX('كشف الحساب'!$B$4:$B$254,MATCH(79,'كشف الحساب'!$Q$4:$Q$254,0)),"")</f>
        <v/>
      </c>
      <c r="C288" s="132" t="str">
        <f>IFERROR(INDEX('كشف الحساب'!$C$4:$C$254,MATCH(79,'كشف الحساب'!$Q$4:$Q$254,0)),"")</f>
        <v/>
      </c>
      <c r="D288" s="134" t="str">
        <f>IFERROR(INDEX('كشف الحساب'!$D$4:$D$254,MATCH(79,'كشف الحساب'!$Q$4:$Q$254,0)),"")</f>
        <v/>
      </c>
      <c r="E288" s="135" t="str">
        <f>IFERROR(INDEX('كشف الحساب'!$G$4:$G$254,MATCH(79,'كشف الحساب'!$Q$4:$Q$254,0)),"")</f>
        <v/>
      </c>
      <c r="F288" s="132"/>
    </row>
    <row r="289" spans="1:6" ht="18" customHeight="1" x14ac:dyDescent="0.25">
      <c r="A289" s="143" t="str">
        <f>IFERROR(INDEX('كشف الحساب'!$A$4:$A$254,MATCH(80,'كشف الحساب'!$Q$4:$Q$254,0)),"")</f>
        <v/>
      </c>
      <c r="B289" s="133" t="str">
        <f>IFERROR(INDEX('كشف الحساب'!$B$4:$B$254,MATCH(80,'كشف الحساب'!$Q$4:$Q$254,0)),"")</f>
        <v/>
      </c>
      <c r="C289" s="132" t="str">
        <f>IFERROR(INDEX('كشف الحساب'!$C$4:$C$254,MATCH(80,'كشف الحساب'!$Q$4:$Q$254,0)),"")</f>
        <v/>
      </c>
      <c r="D289" s="134" t="str">
        <f>IFERROR(INDEX('كشف الحساب'!$D$4:$D$254,MATCH(80,'كشف الحساب'!$Q$4:$Q$254,0)),"")</f>
        <v/>
      </c>
      <c r="E289" s="135" t="str">
        <f>IFERROR(INDEX('كشف الحساب'!$G$4:$G$254,MATCH(80,'كشف الحساب'!$Q$4:$Q$254,0)),"")</f>
        <v/>
      </c>
      <c r="F289" s="132"/>
    </row>
    <row r="290" spans="1:6" ht="18" customHeight="1" x14ac:dyDescent="0.25">
      <c r="A290" s="143" t="str">
        <f>IFERROR(INDEX('كشف الحساب'!$A$4:$A$254,MATCH(81,'كشف الحساب'!$Q$4:$Q$254,0)),"")</f>
        <v/>
      </c>
      <c r="B290" s="133" t="str">
        <f>IFERROR(INDEX('كشف الحساب'!$B$4:$B$254,MATCH(81,'كشف الحساب'!$Q$4:$Q$254,0)),"")</f>
        <v/>
      </c>
      <c r="C290" s="132" t="str">
        <f>IFERROR(INDEX('كشف الحساب'!$C$4:$C$254,MATCH(81,'كشف الحساب'!$Q$4:$Q$254,0)),"")</f>
        <v/>
      </c>
      <c r="D290" s="134" t="str">
        <f>IFERROR(INDEX('كشف الحساب'!$D$4:$D$254,MATCH(81,'كشف الحساب'!$Q$4:$Q$254,0)),"")</f>
        <v/>
      </c>
      <c r="E290" s="135" t="str">
        <f>IFERROR(INDEX('كشف الحساب'!$G$4:$G$254,MATCH(81,'كشف الحساب'!$Q$4:$Q$254,0)),"")</f>
        <v/>
      </c>
      <c r="F290" s="132"/>
    </row>
    <row r="291" spans="1:6" ht="18" customHeight="1" x14ac:dyDescent="0.25">
      <c r="A291" s="143" t="str">
        <f>IFERROR(INDEX('كشف الحساب'!$A$4:$A$254,MATCH(82,'كشف الحساب'!$Q$4:$Q$254,0)),"")</f>
        <v/>
      </c>
      <c r="B291" s="133" t="str">
        <f>IFERROR(INDEX('كشف الحساب'!$B$4:$B$254,MATCH(82,'كشف الحساب'!$Q$4:$Q$254,0)),"")</f>
        <v/>
      </c>
      <c r="C291" s="132" t="str">
        <f>IFERROR(INDEX('كشف الحساب'!$C$4:$C$254,MATCH(82,'كشف الحساب'!$Q$4:$Q$254,0)),"")</f>
        <v/>
      </c>
      <c r="D291" s="134" t="str">
        <f>IFERROR(INDEX('كشف الحساب'!$D$4:$D$254,MATCH(82,'كشف الحساب'!$Q$4:$Q$254,0)),"")</f>
        <v/>
      </c>
      <c r="E291" s="135" t="str">
        <f>IFERROR(INDEX('كشف الحساب'!$G$4:$G$254,MATCH(82,'كشف الحساب'!$Q$4:$Q$254,0)),"")</f>
        <v/>
      </c>
      <c r="F291" s="132"/>
    </row>
    <row r="292" spans="1:6" ht="18" customHeight="1" x14ac:dyDescent="0.25">
      <c r="A292" s="143" t="str">
        <f>IFERROR(INDEX('كشف الحساب'!$A$4:$A$254,MATCH(83,'كشف الحساب'!$Q$4:$Q$254,0)),"")</f>
        <v/>
      </c>
      <c r="B292" s="133" t="str">
        <f>IFERROR(INDEX('كشف الحساب'!$B$4:$B$254,MATCH(83,'كشف الحساب'!$Q$4:$Q$254,0)),"")</f>
        <v/>
      </c>
      <c r="C292" s="132" t="str">
        <f>IFERROR(INDEX('كشف الحساب'!$C$4:$C$254,MATCH(83,'كشف الحساب'!$Q$4:$Q$254,0)),"")</f>
        <v/>
      </c>
      <c r="D292" s="134" t="str">
        <f>IFERROR(INDEX('كشف الحساب'!$D$4:$D$254,MATCH(83,'كشف الحساب'!$Q$4:$Q$254,0)),"")</f>
        <v/>
      </c>
      <c r="E292" s="135" t="str">
        <f>IFERROR(INDEX('كشف الحساب'!$G$4:$G$254,MATCH(83,'كشف الحساب'!$Q$4:$Q$254,0)),"")</f>
        <v/>
      </c>
      <c r="F292" s="132"/>
    </row>
    <row r="293" spans="1:6" ht="18" customHeight="1" x14ac:dyDescent="0.25">
      <c r="A293" s="143" t="str">
        <f>IFERROR(INDEX('كشف الحساب'!$A$4:$A$254,MATCH(84,'كشف الحساب'!$Q$4:$Q$254,0)),"")</f>
        <v/>
      </c>
      <c r="B293" s="133" t="str">
        <f>IFERROR(INDEX('كشف الحساب'!$B$4:$B$254,MATCH(84,'كشف الحساب'!$Q$4:$Q$254,0)),"")</f>
        <v/>
      </c>
      <c r="C293" s="132" t="str">
        <f>IFERROR(INDEX('كشف الحساب'!$C$4:$C$254,MATCH(84,'كشف الحساب'!$Q$4:$Q$254,0)),"")</f>
        <v/>
      </c>
      <c r="D293" s="134" t="str">
        <f>IFERROR(INDEX('كشف الحساب'!$D$4:$D$254,MATCH(84,'كشف الحساب'!$Q$4:$Q$254,0)),"")</f>
        <v/>
      </c>
      <c r="E293" s="135" t="str">
        <f>IFERROR(INDEX('كشف الحساب'!$G$4:$G$254,MATCH(84,'كشف الحساب'!$Q$4:$Q$254,0)),"")</f>
        <v/>
      </c>
      <c r="F293" s="132"/>
    </row>
    <row r="294" spans="1:6" ht="18" customHeight="1" x14ac:dyDescent="0.25">
      <c r="A294" s="143" t="str">
        <f>IFERROR(INDEX('كشف الحساب'!$A$4:$A$254,MATCH(85,'كشف الحساب'!$Q$4:$Q$254,0)),"")</f>
        <v/>
      </c>
      <c r="B294" s="133" t="str">
        <f>IFERROR(INDEX('كشف الحساب'!$B$4:$B$254,MATCH(85,'كشف الحساب'!$Q$4:$Q$254,0)),"")</f>
        <v/>
      </c>
      <c r="C294" s="132" t="str">
        <f>IFERROR(INDEX('كشف الحساب'!$C$4:$C$254,MATCH(85,'كشف الحساب'!$Q$4:$Q$254,0)),"")</f>
        <v/>
      </c>
      <c r="D294" s="134" t="str">
        <f>IFERROR(INDEX('كشف الحساب'!$D$4:$D$254,MATCH(85,'كشف الحساب'!$Q$4:$Q$254,0)),"")</f>
        <v/>
      </c>
      <c r="E294" s="135" t="str">
        <f>IFERROR(INDEX('كشف الحساب'!$G$4:$G$254,MATCH(85,'كشف الحساب'!$Q$4:$Q$254,0)),"")</f>
        <v/>
      </c>
      <c r="F294" s="132"/>
    </row>
    <row r="295" spans="1:6" ht="18" customHeight="1" x14ac:dyDescent="0.25">
      <c r="A295" s="143" t="str">
        <f>IFERROR(INDEX('كشف الحساب'!$A$4:$A$254,MATCH(86,'كشف الحساب'!$Q$4:$Q$254,0)),"")</f>
        <v/>
      </c>
      <c r="B295" s="133" t="str">
        <f>IFERROR(INDEX('كشف الحساب'!$B$4:$B$254,MATCH(86,'كشف الحساب'!$Q$4:$Q$254,0)),"")</f>
        <v/>
      </c>
      <c r="C295" s="132" t="str">
        <f>IFERROR(INDEX('كشف الحساب'!$C$4:$C$254,MATCH(86,'كشف الحساب'!$Q$4:$Q$254,0)),"")</f>
        <v/>
      </c>
      <c r="D295" s="134" t="str">
        <f>IFERROR(INDEX('كشف الحساب'!$D$4:$D$254,MATCH(86,'كشف الحساب'!$Q$4:$Q$254,0)),"")</f>
        <v/>
      </c>
      <c r="E295" s="135" t="str">
        <f>IFERROR(INDEX('كشف الحساب'!$G$4:$G$254,MATCH(86,'كشف الحساب'!$Q$4:$Q$254,0)),"")</f>
        <v/>
      </c>
      <c r="F295" s="132"/>
    </row>
    <row r="296" spans="1:6" ht="18" customHeight="1" x14ac:dyDescent="0.25">
      <c r="A296" s="143" t="str">
        <f>IFERROR(INDEX('كشف الحساب'!$A$4:$A$254,MATCH(87,'كشف الحساب'!$Q$4:$Q$254,0)),"")</f>
        <v/>
      </c>
      <c r="B296" s="133" t="str">
        <f>IFERROR(INDEX('كشف الحساب'!$B$4:$B$254,MATCH(87,'كشف الحساب'!$Q$4:$Q$254,0)),"")</f>
        <v/>
      </c>
      <c r="C296" s="132" t="str">
        <f>IFERROR(INDEX('كشف الحساب'!$C$4:$C$254,MATCH(87,'كشف الحساب'!$Q$4:$Q$254,0)),"")</f>
        <v/>
      </c>
      <c r="D296" s="134" t="str">
        <f>IFERROR(INDEX('كشف الحساب'!$D$4:$D$254,MATCH(87,'كشف الحساب'!$Q$4:$Q$254,0)),"")</f>
        <v/>
      </c>
      <c r="E296" s="135" t="str">
        <f>IFERROR(INDEX('كشف الحساب'!$G$4:$G$254,MATCH(87,'كشف الحساب'!$Q$4:$Q$254,0)),"")</f>
        <v/>
      </c>
      <c r="F296" s="132"/>
    </row>
    <row r="297" spans="1:6" ht="18" customHeight="1" x14ac:dyDescent="0.25">
      <c r="A297" s="143" t="str">
        <f>IFERROR(INDEX('كشف الحساب'!$A$4:$A$254,MATCH(88,'كشف الحساب'!$Q$4:$Q$254,0)),"")</f>
        <v/>
      </c>
      <c r="B297" s="133" t="str">
        <f>IFERROR(INDEX('كشف الحساب'!$B$4:$B$254,MATCH(88,'كشف الحساب'!$Q$4:$Q$254,0)),"")</f>
        <v/>
      </c>
      <c r="C297" s="132" t="str">
        <f>IFERROR(INDEX('كشف الحساب'!$C$4:$C$254,MATCH(88,'كشف الحساب'!$Q$4:$Q$254,0)),"")</f>
        <v/>
      </c>
      <c r="D297" s="134" t="str">
        <f>IFERROR(INDEX('كشف الحساب'!$D$4:$D$254,MATCH(88,'كشف الحساب'!$Q$4:$Q$254,0)),"")</f>
        <v/>
      </c>
      <c r="E297" s="135" t="str">
        <f>IFERROR(INDEX('كشف الحساب'!$G$4:$G$254,MATCH(88,'كشف الحساب'!$Q$4:$Q$254,0)),"")</f>
        <v/>
      </c>
      <c r="F297" s="132"/>
    </row>
    <row r="298" spans="1:6" ht="18" customHeight="1" x14ac:dyDescent="0.25">
      <c r="A298" s="143" t="str">
        <f>IFERROR(INDEX('كشف الحساب'!$A$4:$A$254,MATCH(89,'كشف الحساب'!$Q$4:$Q$254,0)),"")</f>
        <v/>
      </c>
      <c r="B298" s="133" t="str">
        <f>IFERROR(INDEX('كشف الحساب'!$B$4:$B$254,MATCH(89,'كشف الحساب'!$Q$4:$Q$254,0)),"")</f>
        <v/>
      </c>
      <c r="C298" s="132" t="str">
        <f>IFERROR(INDEX('كشف الحساب'!$C$4:$C$254,MATCH(89,'كشف الحساب'!$Q$4:$Q$254,0)),"")</f>
        <v/>
      </c>
      <c r="D298" s="134" t="str">
        <f>IFERROR(INDEX('كشف الحساب'!$D$4:$D$254,MATCH(89,'كشف الحساب'!$Q$4:$Q$254,0)),"")</f>
        <v/>
      </c>
      <c r="E298" s="135" t="str">
        <f>IFERROR(INDEX('كشف الحساب'!$G$4:$G$254,MATCH(89,'كشف الحساب'!$Q$4:$Q$254,0)),"")</f>
        <v/>
      </c>
      <c r="F298" s="132"/>
    </row>
    <row r="299" spans="1:6" ht="18" customHeight="1" x14ac:dyDescent="0.25">
      <c r="A299" s="143" t="str">
        <f>IFERROR(INDEX('كشف الحساب'!$A$4:$A$254,MATCH(90,'كشف الحساب'!$Q$4:$Q$254,0)),"")</f>
        <v/>
      </c>
      <c r="B299" s="133" t="str">
        <f>IFERROR(INDEX('كشف الحساب'!$B$4:$B$254,MATCH(90,'كشف الحساب'!$Q$4:$Q$254,0)),"")</f>
        <v/>
      </c>
      <c r="C299" s="132" t="str">
        <f>IFERROR(INDEX('كشف الحساب'!$C$4:$C$254,MATCH(90,'كشف الحساب'!$Q$4:$Q$254,0)),"")</f>
        <v/>
      </c>
      <c r="D299" s="134" t="str">
        <f>IFERROR(INDEX('كشف الحساب'!$D$4:$D$254,MATCH(90,'كشف الحساب'!$Q$4:$Q$254,0)),"")</f>
        <v/>
      </c>
      <c r="E299" s="135" t="str">
        <f>IFERROR(INDEX('كشف الحساب'!$G$4:$G$254,MATCH(90,'كشف الحساب'!$Q$4:$Q$254,0)),"")</f>
        <v/>
      </c>
      <c r="F299" s="132"/>
    </row>
    <row r="300" spans="1:6" ht="18" customHeight="1" x14ac:dyDescent="0.25">
      <c r="A300" s="143" t="str">
        <f>IFERROR(INDEX('كشف الحساب'!$A$4:$A$254,MATCH(91,'كشف الحساب'!$Q$4:$Q$254,0)),"")</f>
        <v/>
      </c>
      <c r="B300" s="133" t="str">
        <f>IFERROR(INDEX('كشف الحساب'!$B$4:$B$254,MATCH(91,'كشف الحساب'!$Q$4:$Q$254,0)),"")</f>
        <v/>
      </c>
      <c r="C300" s="132" t="str">
        <f>IFERROR(INDEX('كشف الحساب'!$C$4:$C$254,MATCH(91,'كشف الحساب'!$Q$4:$Q$254,0)),"")</f>
        <v/>
      </c>
      <c r="D300" s="134" t="str">
        <f>IFERROR(INDEX('كشف الحساب'!$D$4:$D$254,MATCH(91,'كشف الحساب'!$Q$4:$Q$254,0)),"")</f>
        <v/>
      </c>
      <c r="E300" s="135" t="str">
        <f>IFERROR(INDEX('كشف الحساب'!$G$4:$G$254,MATCH(91,'كشف الحساب'!$Q$4:$Q$254,0)),"")</f>
        <v/>
      </c>
      <c r="F300" s="132"/>
    </row>
    <row r="301" spans="1:6" ht="18" customHeight="1" x14ac:dyDescent="0.25">
      <c r="A301" s="143" t="str">
        <f>IFERROR(INDEX('كشف الحساب'!$A$4:$A$254,MATCH(92,'كشف الحساب'!$Q$4:$Q$254,0)),"")</f>
        <v/>
      </c>
      <c r="B301" s="133" t="str">
        <f>IFERROR(INDEX('كشف الحساب'!$B$4:$B$254,MATCH(92,'كشف الحساب'!$Q$4:$Q$254,0)),"")</f>
        <v/>
      </c>
      <c r="C301" s="132" t="str">
        <f>IFERROR(INDEX('كشف الحساب'!$C$4:$C$254,MATCH(92,'كشف الحساب'!$Q$4:$Q$254,0)),"")</f>
        <v/>
      </c>
      <c r="D301" s="134" t="str">
        <f>IFERROR(INDEX('كشف الحساب'!$D$4:$D$254,MATCH(92,'كشف الحساب'!$Q$4:$Q$254,0)),"")</f>
        <v/>
      </c>
      <c r="E301" s="135" t="str">
        <f>IFERROR(INDEX('كشف الحساب'!$G$4:$G$254,MATCH(92,'كشف الحساب'!$Q$4:$Q$254,0)),"")</f>
        <v/>
      </c>
      <c r="F301" s="132"/>
    </row>
    <row r="302" spans="1:6" ht="18" customHeight="1" x14ac:dyDescent="0.25">
      <c r="A302" s="143" t="str">
        <f>IFERROR(INDEX('كشف الحساب'!$A$4:$A$254,MATCH(93,'كشف الحساب'!$Q$4:$Q$254,0)),"")</f>
        <v/>
      </c>
      <c r="B302" s="133" t="str">
        <f>IFERROR(INDEX('كشف الحساب'!$B$4:$B$254,MATCH(93,'كشف الحساب'!$Q$4:$Q$254,0)),"")</f>
        <v/>
      </c>
      <c r="C302" s="132" t="str">
        <f>IFERROR(INDEX('كشف الحساب'!$C$4:$C$254,MATCH(93,'كشف الحساب'!$Q$4:$Q$254,0)),"")</f>
        <v/>
      </c>
      <c r="D302" s="134" t="str">
        <f>IFERROR(INDEX('كشف الحساب'!$D$4:$D$254,MATCH(93,'كشف الحساب'!$Q$4:$Q$254,0)),"")</f>
        <v/>
      </c>
      <c r="E302" s="135" t="str">
        <f>IFERROR(INDEX('كشف الحساب'!$G$4:$G$254,MATCH(93,'كشف الحساب'!$Q$4:$Q$254,0)),"")</f>
        <v/>
      </c>
      <c r="F302" s="132"/>
    </row>
    <row r="303" spans="1:6" ht="18" customHeight="1" x14ac:dyDescent="0.25">
      <c r="A303" s="143" t="str">
        <f>IFERROR(INDEX('كشف الحساب'!$A$4:$A$254,MATCH(94,'كشف الحساب'!$Q$4:$Q$254,0)),"")</f>
        <v/>
      </c>
      <c r="B303" s="133" t="str">
        <f>IFERROR(INDEX('كشف الحساب'!$B$4:$B$254,MATCH(94,'كشف الحساب'!$Q$4:$Q$254,0)),"")</f>
        <v/>
      </c>
      <c r="C303" s="132" t="str">
        <f>IFERROR(INDEX('كشف الحساب'!$C$4:$C$254,MATCH(94,'كشف الحساب'!$Q$4:$Q$254,0)),"")</f>
        <v/>
      </c>
      <c r="D303" s="134" t="str">
        <f>IFERROR(INDEX('كشف الحساب'!$D$4:$D$254,MATCH(94,'كشف الحساب'!$Q$4:$Q$254,0)),"")</f>
        <v/>
      </c>
      <c r="E303" s="135" t="str">
        <f>IFERROR(INDEX('كشف الحساب'!$G$4:$G$254,MATCH(94,'كشف الحساب'!$Q$4:$Q$254,0)),"")</f>
        <v/>
      </c>
      <c r="F303" s="132"/>
    </row>
    <row r="304" spans="1:6" ht="18" customHeight="1" x14ac:dyDescent="0.25">
      <c r="A304" s="143" t="str">
        <f>IFERROR(INDEX('كشف الحساب'!$A$4:$A$254,MATCH(95,'كشف الحساب'!$Q$4:$Q$254,0)),"")</f>
        <v/>
      </c>
      <c r="B304" s="133" t="str">
        <f>IFERROR(INDEX('كشف الحساب'!$B$4:$B$254,MATCH(95,'كشف الحساب'!$Q$4:$Q$254,0)),"")</f>
        <v/>
      </c>
      <c r="C304" s="132" t="str">
        <f>IFERROR(INDEX('كشف الحساب'!$C$4:$C$254,MATCH(95,'كشف الحساب'!$Q$4:$Q$254,0)),"")</f>
        <v/>
      </c>
      <c r="D304" s="134" t="str">
        <f>IFERROR(INDEX('كشف الحساب'!$D$4:$D$254,MATCH(95,'كشف الحساب'!$Q$4:$Q$254,0)),"")</f>
        <v/>
      </c>
      <c r="E304" s="135" t="str">
        <f>IFERROR(INDEX('كشف الحساب'!$G$4:$G$254,MATCH(95,'كشف الحساب'!$Q$4:$Q$254,0)),"")</f>
        <v/>
      </c>
      <c r="F304" s="132"/>
    </row>
    <row r="305" spans="1:6" ht="18" customHeight="1" x14ac:dyDescent="0.25">
      <c r="A305" s="143" t="str">
        <f>IFERROR(INDEX('كشف الحساب'!$A$4:$A$254,MATCH(96,'كشف الحساب'!$Q$4:$Q$254,0)),"")</f>
        <v/>
      </c>
      <c r="B305" s="133" t="str">
        <f>IFERROR(INDEX('كشف الحساب'!$B$4:$B$254,MATCH(96,'كشف الحساب'!$Q$4:$Q$254,0)),"")</f>
        <v/>
      </c>
      <c r="C305" s="132" t="str">
        <f>IFERROR(INDEX('كشف الحساب'!$C$4:$C$254,MATCH(96,'كشف الحساب'!$Q$4:$Q$254,0)),"")</f>
        <v/>
      </c>
      <c r="D305" s="134" t="str">
        <f>IFERROR(INDEX('كشف الحساب'!$D$4:$D$254,MATCH(96,'كشف الحساب'!$Q$4:$Q$254,0)),"")</f>
        <v/>
      </c>
      <c r="E305" s="135" t="str">
        <f>IFERROR(INDEX('كشف الحساب'!$G$4:$G$254,MATCH(96,'كشف الحساب'!$Q$4:$Q$254,0)),"")</f>
        <v/>
      </c>
      <c r="F305" s="132"/>
    </row>
    <row r="306" spans="1:6" ht="18" customHeight="1" x14ac:dyDescent="0.25">
      <c r="A306" s="143" t="str">
        <f>IFERROR(INDEX('كشف الحساب'!$A$4:$A$254,MATCH(97,'كشف الحساب'!$Q$4:$Q$254,0)),"")</f>
        <v/>
      </c>
      <c r="B306" s="133" t="str">
        <f>IFERROR(INDEX('كشف الحساب'!$B$4:$B$254,MATCH(97,'كشف الحساب'!$Q$4:$Q$254,0)),"")</f>
        <v/>
      </c>
      <c r="C306" s="132" t="str">
        <f>IFERROR(INDEX('كشف الحساب'!$C$4:$C$254,MATCH(97,'كشف الحساب'!$Q$4:$Q$254,0)),"")</f>
        <v/>
      </c>
      <c r="D306" s="134" t="str">
        <f>IFERROR(INDEX('كشف الحساب'!$D$4:$D$254,MATCH(97,'كشف الحساب'!$Q$4:$Q$254,0)),"")</f>
        <v/>
      </c>
      <c r="E306" s="135" t="str">
        <f>IFERROR(INDEX('كشف الحساب'!$G$4:$G$254,MATCH(97,'كشف الحساب'!$Q$4:$Q$254,0)),"")</f>
        <v/>
      </c>
      <c r="F306" s="132"/>
    </row>
    <row r="307" spans="1:6" ht="18" customHeight="1" x14ac:dyDescent="0.25">
      <c r="A307" s="143" t="str">
        <f>IFERROR(INDEX('كشف الحساب'!$A$4:$A$254,MATCH(98,'كشف الحساب'!$Q$4:$Q$254,0)),"")</f>
        <v/>
      </c>
      <c r="B307" s="133" t="str">
        <f>IFERROR(INDEX('كشف الحساب'!$B$4:$B$254,MATCH(98,'كشف الحساب'!$Q$4:$Q$254,0)),"")</f>
        <v/>
      </c>
      <c r="C307" s="132" t="str">
        <f>IFERROR(INDEX('كشف الحساب'!$C$4:$C$254,MATCH(98,'كشف الحساب'!$Q$4:$Q$254,0)),"")</f>
        <v/>
      </c>
      <c r="D307" s="134" t="str">
        <f>IFERROR(INDEX('كشف الحساب'!$D$4:$D$254,MATCH(98,'كشف الحساب'!$Q$4:$Q$254,0)),"")</f>
        <v/>
      </c>
      <c r="E307" s="135" t="str">
        <f>IFERROR(INDEX('كشف الحساب'!$G$4:$G$254,MATCH(98,'كشف الحساب'!$Q$4:$Q$254,0)),"")</f>
        <v/>
      </c>
      <c r="F307" s="132"/>
    </row>
    <row r="308" spans="1:6" ht="18" customHeight="1" x14ac:dyDescent="0.25">
      <c r="A308" s="143" t="str">
        <f>IFERROR(INDEX('كشف الحساب'!$A$4:$A$254,MATCH(99,'كشف الحساب'!$Q$4:$Q$254,0)),"")</f>
        <v/>
      </c>
      <c r="B308" s="133" t="str">
        <f>IFERROR(INDEX('كشف الحساب'!$B$4:$B$254,MATCH(99,'كشف الحساب'!$Q$4:$Q$254,0)),"")</f>
        <v/>
      </c>
      <c r="C308" s="132" t="str">
        <f>IFERROR(INDEX('كشف الحساب'!$C$4:$C$254,MATCH(99,'كشف الحساب'!$Q$4:$Q$254,0)),"")</f>
        <v/>
      </c>
      <c r="D308" s="134" t="str">
        <f>IFERROR(INDEX('كشف الحساب'!$D$4:$D$254,MATCH(99,'كشف الحساب'!$Q$4:$Q$254,0)),"")</f>
        <v/>
      </c>
      <c r="E308" s="135" t="str">
        <f>IFERROR(INDEX('كشف الحساب'!$G$4:$G$254,MATCH(99,'كشف الحساب'!$Q$4:$Q$254,0)),"")</f>
        <v/>
      </c>
      <c r="F308" s="132"/>
    </row>
    <row r="309" spans="1:6" ht="18" customHeight="1" x14ac:dyDescent="0.25">
      <c r="A309" s="143" t="str">
        <f>IFERROR(INDEX('كشف الحساب'!$A$4:$A$254,MATCH(100,'كشف الحساب'!$Q$4:$Q$254,0)),"")</f>
        <v/>
      </c>
      <c r="B309" s="133" t="str">
        <f>IFERROR(INDEX('كشف الحساب'!$B$4:$B$254,MATCH(100,'كشف الحساب'!$Q$4:$Q$254,0)),"")</f>
        <v/>
      </c>
      <c r="C309" s="132" t="str">
        <f>IFERROR(INDEX('كشف الحساب'!$C$4:$C$254,MATCH(100,'كشف الحساب'!$Q$4:$Q$254,0)),"")</f>
        <v/>
      </c>
      <c r="D309" s="134" t="str">
        <f>IFERROR(INDEX('كشف الحساب'!$D$4:$D$254,MATCH(100,'كشف الحساب'!$Q$4:$Q$254,0)),"")</f>
        <v/>
      </c>
      <c r="E309" s="135" t="str">
        <f>IFERROR(INDEX('كشف الحساب'!$G$4:$G$254,MATCH(100,'كشف الحساب'!$Q$4:$Q$254,0)),"")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56"/>
  <sheetViews>
    <sheetView rightToLeft="1" tabSelected="1" zoomScaleNormal="100" workbookViewId="0">
      <pane ySplit="3" topLeftCell="A239" activePane="bottomLeft" state="frozen"/>
      <selection pane="bottomLeft" activeCell="I250" sqref="I250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IFERROR(IF(J202="",D2,J202),D2)+IF(E203="",0,E203)-IF(OR(G203="أبو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IFERROR(IF(J203="",D2,J203),D2)+IF(E204="",0,E204)-IF(OR(G204="أبو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IFERROR(IF(J204="",D2,J204),D2)+IF(E205="",0,E205)-IF(OR(G205="أبو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IFERROR(IF(J205="",D2,J205),D2)+IF(E206="",0,E206)-IF(OR(G206="أبو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IFERROR(IF(J206="",D2,J206),D2)+IF(E207="",0,E207)-IF(OR(G207="أبو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IFERROR(IF(J207="",D2,J207),D2)+IF(E208="",0,E208)-IF(OR(G208="أبو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IFERROR(IF(J208="",D2,J208),D2)+IF(E209="",0,E209)-IF(OR(G209="أبو اسحاق",G209="أبو آدم",G209="أبو اسحاق ",G209="أبو آدم "),0,IF(D209="",0,D209)))</f>
        <v>565.04500000000007</v>
      </c>
      <c r="K209" s="168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IFERROR(IF(J209="",D2,J209),D2)+IF(E210="",0,E210)-IF(OR(G210="أبو اسحاق",G210="أبو آدم",G210="أبو اسحاق ",G210="أبو آدم "),0,IF(D210="",0,D210)))</f>
        <v>571.04500000000007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IFERROR(IF(J210="",D2,J210),D2)+IF(E211="",0,E211)-IF(OR(G211="أبو اسحاق",G211="أبو آدم",G211="أبو اسحاق ",G211="أبو آدم "),0,IF(D211="",0,D211)))</f>
        <v>601.04500000000007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IFERROR(IF(J211="",D2,J211),D2)+IF(E212="",0,E212)-IF(OR(G212="أبو اسحاق",G212="أبو آدم",G212="أبو اسحاق ",G212="أبو آدم "),0,IF(D212="",0,D212)))</f>
        <v>608.54500000000007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IFERROR(IF(J212="",D2,J212),D2)+IF(E213="",0,E213)-IF(OR(G213="أبو اسحاق",G213="أبو آدم",G213="أبو اسحاق ",G213="أبو آدم "),0,IF(D213="",0,D213)))</f>
        <v>611.04500000000007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IFERROR(IF(J213="",D2,J213),D2)+IF(E214="",0,E214)-IF(OR(G214="أبو اسحاق",G214="أبو آدم",G214="أبو اسحاق ",G214="أبو آدم "),0,IF(D214="",0,D214)))</f>
        <v>618.54500000000007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IFERROR(IF(J214="",D2,J214),D2)+IF(E215="",0,E215)-IF(OR(G215="أبو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IFERROR(IF(J215="",D2,J215),D2)+IF(E216="",0,E216)-IF(OR(G216="أبو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IFERROR(IF(J216="",D2,J216),D2)+IF(E217="",0,E217)-IF(OR(G217="أبو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IFERROR(IF(J217="",D2,J217),D2)+IF(E218="",0,E218)-IF(OR(G218="أبو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IFERROR(IF(J218="",D2,J218),D2)+IF(E219="",0,E219)-IF(OR(G219="أبو اسحاق",G219="أبو آدم",G219="أبو اسحاق ",G219="أبو آدم "),0,IF(D219="",0,D219)))</f>
        <v>799.29500000000007</v>
      </c>
      <c r="K219" s="168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IFERROR(IF(J219="",D2,J219),D2)+IF(E220="",0,E220)-IF(OR(G220="أبو اسحاق",G220="أبو آدم",G220="أبو اسحاق ",G220="أبو آدم "),0,IF(D220="",0,D220)))</f>
        <v>800.29500000000007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IFERROR(IF(J220="",D2,J220),D2)+IF(E221="",0,E221)-IF(OR(G221="أبو اسحاق",G221="أبو آدم",G221="أبو اسحاق ",G221="أبو آدم "),0,IF(D221="",0,D221)))</f>
        <v>802.79500000000007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IFERROR(IF(J221="",D2,J221),D2)+IF(E222="",0,E222)-IF(OR(G222="أبو اسحاق",G222="أبو آدم",G222="أبو اسحاق ",G222="أبو آدم "),0,IF(D222="",0,D222)))</f>
        <v>875.29500000000007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IFERROR(IF(J222="",D2,J222),D2)+IF(E223="",0,E223)-IF(OR(G223="أبو اسحاق",G223="أبو آدم",G223="أبو اسحاق ",G223="أبو آدم "),0,IF(D223="",0,D223)))</f>
        <v>876.79500000000007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IFERROR(IF(J223="",D2,J223),D2)+IF(E224="",0,E224)-IF(OR(G224="أبو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IFERROR(IF(J224="",D2,J224),D2)+IF(E225="",0,E225)-IF(OR(G225="أبو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IFERROR(IF(J225="",D2,J225),D2)+IF(E226="",0,E226)-IF(OR(G226="أبو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IFERROR(IF(J226="",D2,J226),D2)+IF(E227="",0,E227)-IF(OR(G227="أبو اسحاق",G227="أبو آدم",G227="أبو اسحاق ",G227="أبو آدم "),0,IF(D227="",0,D227)))</f>
        <v>956.79500000000007</v>
      </c>
      <c r="K227" s="168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IFERROR(IF(J227="",D2,J227),D2)+IF(E228="",0,E228)-IF(OR(G228="أبو اسحاق",G228="أبو آدم",G228="أبو اسحاق ",G228="أبو آدم "),0,IF(D228="",0,D228)))</f>
        <v>965.79500000000007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IFERROR(IF(J228="",D2,J228),D2)+IF(E229="",0,E229)-IF(OR(G229="أبو اسحاق",G229="أبو آدم",G229="أبو اسحاق ",G229="أبو آدم "),0,IF(D229="",0,D229)))</f>
        <v>989.79500000000007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IFERROR(IF(J229="",D2,J229),D2)+IF(E230="",0,E230)-IF(OR(G230="أبو اسحاق",G230="أبو آدم",G230="أبو اسحاق ",G230="أبو آدم "),0,IF(D230="",0,D230)))</f>
        <v>1002.7950000000001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IFERROR(IF(J230="",D2,J230),D2)+IF(E231="",0,E231)-IF(OR(G231="أبو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IFERROR(IF(J231="",D2,J231),D2)+IF(E232="",0,E232)-IF(OR(G232="أبو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IFERROR(IF(J232="",D2,J232),D2)+IF(E233="",0,E233)-IF(OR(G233="أبو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IFERROR(IF(J233="",D2,J233),D2)+IF(E234="",0,E234)-IF(OR(G234="أبو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IFERROR(IF(J234="",D2,J234),D2)+IF(E235="",0,E235)-IF(OR(G235="أبو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IFERROR(IF(J235="",D2,J235),D2)+IF(E236="",0,E236)-IF(OR(G236="أبو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IFERROR(IF(J236="",D2,J236),D2)+IF(E237="",0,E237)-IF(OR(G237="أبو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IFERROR(IF(J237="",D2,J237),D2)+IF(E238="",0,E238)-IF(OR(G238="أبو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IFERROR(IF(J238="",D2,J238),D2)+IF(E239="",0,E239)-IF(OR(G239="أبو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IFERROR(IF(J239="",D2,J239),D2)+IF(E240="",0,E240)-IF(OR(G240="أبو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IFERROR(IF(J240="",D2,J240),D2)+IF(E241="",0,E241)-IF(OR(G241="أبو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IFERROR(IF(J241="",D2,J241),D2)+IF(E242="",0,E242)-IF(OR(G242="أبو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IFERROR(IF(J242="",D2,J242),D2)+IF(E243="",0,E243)-IF(OR(G243="أبو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IFERROR(IF(J243="",D2,J243),D2)+IF(E244="",0,E244)-IF(OR(G244="أبو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IFERROR(IF(J244="",D2,J244),D2)+IF(E245="",0,E245)-IF(OR(G245="أبو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IFERROR(IF(J245="",D2,J245),D2)+IF(E246="",0,E246)-IF(OR(G246="أبو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38</v>
      </c>
      <c r="G247" s="31"/>
      <c r="H247" s="32" t="s">
        <v>50</v>
      </c>
      <c r="I247" s="33"/>
      <c r="J247" s="34">
        <f>IF(AND(D247="",E247="",A247="",B247="",C247=""),"", IFERROR(IF(J246="",D2,J246),D2)+IF(E247="",0,E247)-IF(OR(G247="أبو اسحاق",G247="أبو آدم",G247="أبو اسحاق ",G247="أبو آدم "),0,IF(D247="",0,D247)))</f>
        <v>1322.0450000000001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50</v>
      </c>
      <c r="I248" s="42"/>
      <c r="J248" s="43">
        <f>IF(AND(D248="",E248="",A248="",B248="",C248=""),"", IFERROR(IF(J247="",D2,J247),D2)+IF(E248="",0,E248)-IF(OR(G248="أبو اسحاق",G248="أبو آدم",G248="أبو اسحاق ",G248="أبو آدم "),0,IF(D248="",0,D248)))</f>
        <v>1370.0450000000001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IFERROR(IF(J248="",D2,J248),D2)+IF(E249="",0,E249)-IF(OR(G249="أبو اسحاق",G249="أبو آدم",G249="أبو اسحاق ",G249="أبو آدم "),0,IF(D249="",0,D249)))</f>
        <v>1349.0450000000001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/>
      <c r="B250" s="36"/>
      <c r="C250" s="37"/>
      <c r="D250" s="38"/>
      <c r="E250" s="39"/>
      <c r="F250" s="136"/>
      <c r="G250" s="40"/>
      <c r="H250" s="41"/>
      <c r="I250" s="42"/>
      <c r="J250" s="43" t="str">
        <f>IF(AND(D250="",E250="",A250="",B250="",C250=""),"", IFERROR(IF(J249="",D2,J249),D2)+IF(E250="",0,E250)-IF(OR(G250="أبو اسحاق",G250="أبو آدم",G250="أبو اسحاق ",G250="أبو آدم "),0,IF(D250="",0,D250)))</f>
        <v/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 t="str">
        <f>IF(OR($A250="",$F250="أحد الشركاء",AND($D250="",$E250="")),"",SUMPRODUCT(($A$4:$A250&lt;&gt;"")*($F$4:$F250&lt;&gt;"أحد الشركاء")*((($D$4:$D250&lt;&gt;"")+($E$4:$E250&lt;&gt;""))&gt;0)))</f>
        <v/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/>
      <c r="B251" s="26"/>
      <c r="C251" s="27"/>
      <c r="D251" s="28"/>
      <c r="E251" s="29"/>
      <c r="F251" s="30"/>
      <c r="G251" s="31"/>
      <c r="H251" s="32"/>
      <c r="I251" s="33"/>
      <c r="J251" s="34" t="str">
        <f>IF(AND(D251="",E251="",A251="",B251="",C251=""),"", IFERROR(IF(J250="",D2,J250),D2)+IF(E251="",0,E251)-IF(OR(G251="أبو اسحاق",G251="أبو آدم",G251="أبو اسحاق ",G251="أبو آدم "),0,IF(D251="",0,D251)))</f>
        <v/>
      </c>
      <c r="K251" s="35"/>
      <c r="L251" t="str">
        <f>IF(E250&gt;0,COUNTIF($E$4:E250,"&gt;0"),"")</f>
        <v/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 t="str">
        <f>IF(OR($A251="",$F251="أحد الشركاء",AND($D251="",$E251="")),"",SUMPRODUCT(($A$4:$A251&lt;&gt;"")*($F$4:$F251&lt;&gt;"أحد الشركاء")*((($D$4:$D251&lt;&gt;"")+($E$4:$E251&lt;&gt;""))&gt;0)))</f>
        <v/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/>
      <c r="B252" s="36"/>
      <c r="C252" s="37"/>
      <c r="D252" s="38"/>
      <c r="E252" s="39"/>
      <c r="F252" s="136"/>
      <c r="G252" s="40"/>
      <c r="H252" s="41"/>
      <c r="I252" s="42"/>
      <c r="J252" s="43" t="str">
        <f>IF(AND(D252="",E252="",A252="",B252="",C252=""),"", IFERROR(IF(J251="",D2,J251),D2)+IF(E252="",0,E252)-IF(OR(G252="أبو اسحاق",G252="أبو آدم",G252="أبو اسحاق ",G252="أبو آدم "),0,IF(D252="",0,D252)))</f>
        <v/>
      </c>
      <c r="K252" s="44"/>
      <c r="L252" t="str">
        <f>IF(E251&gt;0,COUNTIF($E$4:E251,"&gt;0"),"")</f>
        <v/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 t="str">
        <f>IF(OR($A252="",$F252="أحد الشركاء",AND($D252="",$E252="")),"",SUMPRODUCT(($A$4:$A252&lt;&gt;"")*($F$4:$F252&lt;&gt;"أحد الشركاء")*((($D$4:$D252&lt;&gt;"")+($E$4:$E252&lt;&gt;""))&gt;0)))</f>
        <v/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/>
      <c r="B253" s="26"/>
      <c r="C253" s="27"/>
      <c r="D253" s="28"/>
      <c r="E253" s="29"/>
      <c r="F253" s="30"/>
      <c r="G253" s="31"/>
      <c r="H253" s="32"/>
      <c r="I253" s="33"/>
      <c r="J253" s="34" t="str">
        <f>IF(AND(D253="",E253="",A253="",B253="",C253=""),"", IFERROR(IF(J252="",D2,J252),D2)+IF(E253="",0,E253)-IF(OR(G253="أبو اسحاق",G253="أبو آدم",G253="أبو اسحاق ",G253="أبو آدم "),0,IF(D253="",0,D253)))</f>
        <v/>
      </c>
      <c r="K253" s="35"/>
      <c r="L253" t="str">
        <f>IF(E252&gt;0,COUNTIF($E$4:E252,"&gt;0"),"")</f>
        <v/>
      </c>
      <c r="M253" t="str">
        <f>IF(AND(D252&gt;0,G252="المحفظة"),COUNTIFS($D$4:D252,"&gt;"&amp;0,$G$4:G252,"المحفظة"),"")</f>
        <v/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 t="str">
        <f>IF(OR($A253="",$F253="أحد الشركاء",AND($D253="",$E253="")),"",SUMPRODUCT(($A$4:$A253&lt;&gt;"")*($F$4:$F253&lt;&gt;"أحد الشركاء")*((($D$4:$D253&lt;&gt;"")+($E$4:$E253&lt;&gt;""))&gt;0)))</f>
        <v/>
      </c>
      <c r="Q253" t="str">
        <f>IF(OR($A253="",$F253&lt;&gt;"أحد الشركاء"),"",COUNTIFS($A$4:A253,"&lt;&gt;",$F$4:F253,"أحد الشركاء"))</f>
        <v/>
      </c>
    </row>
    <row r="254" spans="1:17" ht="25.5" customHeight="1" x14ac:dyDescent="0.25">
      <c r="A254" s="167"/>
      <c r="B254" s="161"/>
      <c r="C254" s="162"/>
      <c r="D254" s="38"/>
      <c r="E254" s="39"/>
      <c r="F254" s="160"/>
      <c r="G254" s="161"/>
      <c r="H254" s="162"/>
      <c r="I254" s="42"/>
      <c r="J254" s="43" t="str">
        <f>IF(AND(D253="",E253="",A253="",B253="",C253=""),"", IFERROR(IF(J252="",D2,J252),D2)+IF(E253="",0,E253)-IF(D253="",0,D253))</f>
        <v/>
      </c>
      <c r="K254" s="44"/>
      <c r="L254" t="str">
        <f>IF(E253&gt;0,COUNTIF($E$4:E253,"&gt;0"),"")</f>
        <v/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4" t="str">
        <f>IF(AND(D253&gt;0,F253="أحد الشركاء"),COUNTIFS($D$4:D253,"&gt;"&amp;0,$F$4:F253,"أحد الشركاء"),"")</f>
        <v/>
      </c>
      <c r="P254" t="str">
        <f>IF(OR($A254="",$F254="أحد الشركاء",AND($D254="",$E254="")),"",SUMPRODUCT(($A$4:$A254&lt;&gt;"")*($F$4:$F254&lt;&gt;"أحد الشركاء")*((($D$4:$D254&lt;&gt;"")+($E$4:$E254&lt;&gt;""))&gt;0)))</f>
        <v/>
      </c>
      <c r="Q254" t="str">
        <f>IF(OR($A254="",$F254&lt;&gt;"أحد الشركاء"),"",COUNTIFS($A$4:A254,"&lt;&gt;",$F$4:F254,"أحد الشركاء"))</f>
        <v/>
      </c>
    </row>
    <row r="255" spans="1:17" ht="15.75" customHeight="1" x14ac:dyDescent="0.25">
      <c r="A255" s="108" t="s">
        <v>215</v>
      </c>
      <c r="B255" s="137"/>
      <c r="C255" s="137"/>
      <c r="D255" s="46">
        <f>SUM(D4:D253)</f>
        <v>4419.8950000000004</v>
      </c>
      <c r="E255" s="46">
        <f>SUM(E4:E253)</f>
        <v>3987.44</v>
      </c>
      <c r="F255" s="140">
        <f>COUNTIF(H4:H253,"معلق")</f>
        <v>13</v>
      </c>
      <c r="G255" s="137"/>
      <c r="H255" s="137"/>
      <c r="J255" s="46">
        <f>$D$2+E254-D254</f>
        <v>0</v>
      </c>
      <c r="N255" t="str">
        <f>IF(AND(OR('طباعة كشف الحساب'!$C$2="الكل",IFERROR(MONTH(A255),0)=IFERROR(MATCH('طباعة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الحساب'!$F$2="الكل",IFERROR(YEAR(A255),0)=IFERROR(VALUE('طباعة كشف الحساب'!$F$2),0)),A255&lt;&gt;""),IFERROR(MAX($N$4:N254),0)+1,"")</f>
        <v/>
      </c>
    </row>
    <row r="256" spans="1:17" ht="15" customHeight="1" x14ac:dyDescent="0.25">
      <c r="D256" s="47" t="s">
        <v>216</v>
      </c>
      <c r="E256" s="48" t="s">
        <v>217</v>
      </c>
      <c r="F256" s="49" t="s">
        <v>218</v>
      </c>
      <c r="J256" s="50" t="s">
        <v>219</v>
      </c>
    </row>
  </sheetData>
  <mergeCells count="9">
    <mergeCell ref="F254:H254"/>
    <mergeCell ref="A2:C2"/>
    <mergeCell ref="E2:K2"/>
    <mergeCell ref="A1:K1"/>
    <mergeCell ref="A254:C254"/>
    <mergeCell ref="K189:K193"/>
    <mergeCell ref="K209:K214"/>
    <mergeCell ref="K219:K223"/>
    <mergeCell ref="K227:K230"/>
  </mergeCells>
  <conditionalFormatting sqref="J4:J2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53">
    <cfRule type="expression" dxfId="3" priority="4">
      <formula>H4="معلق"</formula>
    </cfRule>
  </conditionalFormatting>
  <conditionalFormatting sqref="G4:G2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2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الحساب'!$N$4:$N$253,0),0)=0,"",INDEX('كشف الحساب'!$A$4:$A$253,IFERROR(MATCH(1,'كشف الحساب'!$N$4:$N$253,0),0))),"")</f>
        <v>46235</v>
      </c>
      <c r="B5" s="59" t="str">
        <f>IFERROR(IF(IFERROR(MATCH(1,'كشف الحساب'!$N$4:$N$253,0),0)=0,"",INDEX('كشف الحساب'!$B$4:$B$253,IFERROR(MATCH(1,'كشف الحساب'!$N$4:$N$253,0),0))),"")</f>
        <v>Inv-106</v>
      </c>
      <c r="C5" s="37" t="str">
        <f>IFERROR(IF(IFERROR(MATCH(1,'كشف الحساب'!$N$4:$N$253,0),0)=0,"",INDEX('كشف الحساب'!$C$4:$C$253,IFERROR(MATCH(1,'كشف الحساب'!$N$4:$N$253,0),0))),"")</f>
        <v>ربل عدد 11 الحبه 2</v>
      </c>
      <c r="D5" s="38">
        <f>IFERROR(IF(IFERROR(MATCH(1,'كشف الحساب'!$N$4:$N$253,0),0)=0,"",INDEX('كشف الحساب'!$D$4:$D$253,IFERROR(MATCH(1,'كشف الحساب'!$N$4:$N$253,0),0))),"")</f>
        <v>0</v>
      </c>
      <c r="E5" s="60">
        <f>IFERROR(IF(IFERROR(MATCH(1,'كشف الحساب'!$N$4:$N$253,0),0)=0,"",INDEX('كشف الحساب'!$E$4:$E$253,IFERROR(MATCH(1,'كشف الحساب'!$N$4:$N$253,0),0))),"")</f>
        <v>22</v>
      </c>
      <c r="F5" s="59" t="str">
        <f>IFERROR(IF(IFERROR(MATCH(1,'كشف الحساب'!$N$4:$N$253,0),0)=0,"",INDEX('كشف الحساب'!$F$4:$F$253,IFERROR(MATCH(1,'كشف الحساب'!$N$4:$N$253,0),0))),"")</f>
        <v>نقداً</v>
      </c>
      <c r="G5" s="59">
        <f>IFERROR(IF(IFERROR(MATCH(1,'كشف الحساب'!$N$4:$N$253,0),0)=0,"",INDEX('كشف الحساب'!$G$4:$G$253,IFERROR(MATCH(1,'كشف الحساب'!$N$4:$N$253,0),0))),"")</f>
        <v>0</v>
      </c>
      <c r="H5" s="59" t="str">
        <f>IFERROR(IF(IFERROR(MATCH(1,'كشف الحساب'!$N$4:$N$253,0),0)=0,"",INDEX('كشف الحساب'!$H$4:$H$253,IFERROR(MATCH(1,'كشف الحساب'!$N$4:$N$253,0),0))),"")</f>
        <v>تم الدفع</v>
      </c>
      <c r="I5" s="59">
        <f>IFERROR(IF(IFERROR(MATCH(1,'كشف الحساب'!$N$4:$N$253,0),0)=0,"",INDEX('كشف الحساب'!$I$4:$I$253,IFERROR(MATCH(1,'كشف الحساب'!$N$4:$N$253,0),0))),"")</f>
        <v>0</v>
      </c>
      <c r="J5" s="43">
        <f>IFERROR(IF(IFERROR(MATCH(1,'كشف الحساب'!$N$4:$N$253,0),0)=0,"",INDEX('كشف الحساب'!$J$4:$J$253,IFERROR(MATCH(1,'كشف الحساب'!$N$4:$N$253,0),0))),"")</f>
        <v>44.39500000000001</v>
      </c>
      <c r="K5" s="59">
        <f>IFERROR(IF(IFERROR(MATCH(1,'كشف الحساب'!$N$4:$N$253,0),0)=0,"",INDEX('كشف الحساب'!$K$4:$K$253,IFERROR(MATCH(1,'كشف الحساب'!$N$4:$N$253,0),0))),"")</f>
        <v>0</v>
      </c>
    </row>
    <row r="6" spans="1:11" ht="16.5" customHeight="1" x14ac:dyDescent="0.25">
      <c r="A6" s="25">
        <f>IFERROR(IF(IFERROR(MATCH(2,'كشف الحساب'!$N$4:$N$253,0),0)=0,"",INDEX('كشف الحساب'!$A$4:$A$253,IFERROR(MATCH(2,'كشف الحساب'!$N$4:$N$253,0),0))),"")</f>
        <v>46235</v>
      </c>
      <c r="B6" s="61" t="str">
        <f>IFERROR(IF(IFERROR(MATCH(2,'كشف الحساب'!$N$4:$N$253,0),0)=0,"",INDEX('كشف الحساب'!$B$4:$B$253,IFERROR(MATCH(2,'كشف الحساب'!$N$4:$N$253,0),0))),"")</f>
        <v>Inv-107</v>
      </c>
      <c r="C6" s="27" t="str">
        <f>IFERROR(IF(IFERROR(MATCH(2,'كشف الحساب'!$N$4:$N$253,0),0)=0,"",INDEX('كشف الحساب'!$C$4:$C$253,IFERROR(MATCH(2,'كشف الحساب'!$N$4:$N$253,0),0))),"")</f>
        <v>متنوع عدد 1 بقيمه 2.500</v>
      </c>
      <c r="D6" s="28">
        <f>IFERROR(IF(IFERROR(MATCH(2,'كشف الحساب'!$N$4:$N$253,0),0)=0,"",INDEX('كشف الحساب'!$D$4:$D$253,IFERROR(MATCH(2,'كشف الحساب'!$N$4:$N$253,0),0))),"")</f>
        <v>0</v>
      </c>
      <c r="E6" s="62">
        <f>IFERROR(IF(IFERROR(MATCH(2,'كشف الحساب'!$N$4:$N$253,0),0)=0,"",INDEX('كشف الحساب'!$E$4:$E$253,IFERROR(MATCH(2,'كشف الحساب'!$N$4:$N$253,0),0))),"")</f>
        <v>2.5</v>
      </c>
      <c r="F6" s="61" t="str">
        <f>IFERROR(IF(IFERROR(MATCH(2,'كشف الحساب'!$N$4:$N$253,0),0)=0,"",INDEX('كشف الحساب'!$F$4:$F$253,IFERROR(MATCH(2,'كشف الحساب'!$N$4:$N$253,0),0))),"")</f>
        <v>أون لاين</v>
      </c>
      <c r="G6" s="61">
        <f>IFERROR(IF(IFERROR(MATCH(2,'كشف الحساب'!$N$4:$N$253,0),0)=0,"",INDEX('كشف الحساب'!$G$4:$G$253,IFERROR(MATCH(2,'كشف الحساب'!$N$4:$N$253,0),0))),"")</f>
        <v>0</v>
      </c>
      <c r="H6" s="61" t="str">
        <f>IFERROR(IF(IFERROR(MATCH(2,'كشف الحساب'!$N$4:$N$253,0),0)=0,"",INDEX('كشف الحساب'!$H$4:$H$253,IFERROR(MATCH(2,'كشف الحساب'!$N$4:$N$253,0),0))),"")</f>
        <v>تم الدفع</v>
      </c>
      <c r="I6" s="61">
        <f>IFERROR(IF(IFERROR(MATCH(2,'كشف الحساب'!$N$4:$N$253,0),0)=0,"",INDEX('كشف الحساب'!$I$4:$I$253,IFERROR(MATCH(2,'كشف الحساب'!$N$4:$N$253,0),0))),"")</f>
        <v>0</v>
      </c>
      <c r="J6" s="34">
        <f>IFERROR(IF(IFERROR(MATCH(2,'كشف الحساب'!$N$4:$N$253,0),0)=0,"",INDEX('كشف الحساب'!$J$4:$J$253,IFERROR(MATCH(2,'كشف الحساب'!$N$4:$N$253,0),0))),"")</f>
        <v>46.89500000000001</v>
      </c>
      <c r="K6" s="61">
        <f>IFERROR(IF(IFERROR(MATCH(2,'كشف الحساب'!$N$4:$N$253,0),0)=0,"",INDEX('كشف الحساب'!$K$4:$K$253,IFERROR(MATCH(2,'كشف الحساب'!$N$4:$N$253,0),0))),"")</f>
        <v>0</v>
      </c>
    </row>
    <row r="7" spans="1:11" ht="16.5" customHeight="1" x14ac:dyDescent="0.25">
      <c r="A7" s="139">
        <f>IFERROR(IF(IFERROR(MATCH(3,'كشف الحساب'!$N$4:$N$253,0),0)=0,"",INDEX('كشف الحساب'!$A$4:$A$253,IFERROR(MATCH(3,'كشف الحساب'!$N$4:$N$253,0),0))),"")</f>
        <v>46235</v>
      </c>
      <c r="B7" s="59" t="str">
        <f>IFERROR(IF(IFERROR(MATCH(3,'كشف الحساب'!$N$4:$N$253,0),0)=0,"",INDEX('كشف الحساب'!$B$4:$B$253,IFERROR(MATCH(3,'كشف الحساب'!$N$4:$N$253,0),0))),"")</f>
        <v>Inv-108</v>
      </c>
      <c r="C7" s="37" t="str">
        <f>IFERROR(IF(IFERROR(MATCH(3,'كشف الحساب'!$N$4:$N$253,0),0)=0,"",INDEX('كشف الحساب'!$C$4:$C$253,IFERROR(MATCH(3,'كشف الحساب'!$N$4:$N$253,0),0))),"")</f>
        <v>فل عدد 1 بقيمه .750</v>
      </c>
      <c r="D7" s="38">
        <f>IFERROR(IF(IFERROR(MATCH(3,'كشف الحساب'!$N$4:$N$253,0),0)=0,"",INDEX('كشف الحساب'!$D$4:$D$253,IFERROR(MATCH(3,'كشف الحساب'!$N$4:$N$253,0),0))),"")</f>
        <v>0</v>
      </c>
      <c r="E7" s="60">
        <f>IFERROR(IF(IFERROR(MATCH(3,'كشف الحساب'!$N$4:$N$253,0),0)=0,"",INDEX('كشف الحساب'!$E$4:$E$253,IFERROR(MATCH(3,'كشف الحساب'!$N$4:$N$253,0),0))),"")</f>
        <v>0.75</v>
      </c>
      <c r="F7" s="59" t="str">
        <f>IFERROR(IF(IFERROR(MATCH(3,'كشف الحساب'!$N$4:$N$253,0),0)=0,"",INDEX('كشف الحساب'!$F$4:$F$253,IFERROR(MATCH(3,'كشف الحساب'!$N$4:$N$253,0),0))),"")</f>
        <v>أون لاين</v>
      </c>
      <c r="G7" s="59">
        <f>IFERROR(IF(IFERROR(MATCH(3,'كشف الحساب'!$N$4:$N$253,0),0)=0,"",INDEX('كشف الحساب'!$G$4:$G$253,IFERROR(MATCH(3,'كشف الحساب'!$N$4:$N$253,0),0))),"")</f>
        <v>0</v>
      </c>
      <c r="H7" s="59" t="str">
        <f>IFERROR(IF(IFERROR(MATCH(3,'كشف الحساب'!$N$4:$N$253,0),0)=0,"",INDEX('كشف الحساب'!$H$4:$H$253,IFERROR(MATCH(3,'كشف الحساب'!$N$4:$N$253,0),0))),"")</f>
        <v>تم الدفع</v>
      </c>
      <c r="I7" s="59">
        <f>IFERROR(IF(IFERROR(MATCH(3,'كشف الحساب'!$N$4:$N$253,0),0)=0,"",INDEX('كشف الحساب'!$I$4:$I$253,IFERROR(MATCH(3,'كشف الحساب'!$N$4:$N$253,0),0))),"")</f>
        <v>0</v>
      </c>
      <c r="J7" s="43">
        <f>IFERROR(IF(IFERROR(MATCH(3,'كشف الحساب'!$N$4:$N$253,0),0)=0,"",INDEX('كشف الحساب'!$J$4:$J$253,IFERROR(MATCH(3,'كشف الحساب'!$N$4:$N$253,0),0))),"")</f>
        <v>47.64500000000001</v>
      </c>
      <c r="K7" s="59">
        <f>IFERROR(IF(IFERROR(MATCH(3,'كشف الحساب'!$N$4:$N$253,0),0)=0,"",INDEX('كشف الحساب'!$K$4:$K$253,IFERROR(MATCH(3,'كشف الحساب'!$N$4:$N$253,0),0))),"")</f>
        <v>0</v>
      </c>
    </row>
    <row r="8" spans="1:11" ht="16.5" customHeight="1" x14ac:dyDescent="0.25">
      <c r="A8" s="25">
        <f>IFERROR(IF(IFERROR(MATCH(4,'كشف الحساب'!$N$4:$N$253,0),0)=0,"",INDEX('كشف الحساب'!$A$4:$A$253,IFERROR(MATCH(4,'كشف الحساب'!$N$4:$N$253,0),0))),"")</f>
        <v>46235</v>
      </c>
      <c r="B8" s="61">
        <f>IFERROR(IF(IFERROR(MATCH(4,'كشف الحساب'!$N$4:$N$253,0),0)=0,"",INDEX('كشف الحساب'!$B$4:$B$253,IFERROR(MATCH(4,'كشف الحساب'!$N$4:$N$253,0),0))),"")</f>
        <v>0</v>
      </c>
      <c r="C8" s="27" t="str">
        <f>IFERROR(IF(IFERROR(MATCH(4,'كشف الحساب'!$N$4:$N$253,0),0)=0,"",INDEX('كشف الحساب'!$C$4:$C$253,IFERROR(MATCH(4,'كشف الحساب'!$N$4:$N$253,0),0))),"")</f>
        <v>بتموس عدد 2 الواحده 12</v>
      </c>
      <c r="D8" s="28">
        <f>IFERROR(IF(IFERROR(MATCH(4,'كشف الحساب'!$N$4:$N$253,0),0)=0,"",INDEX('كشف الحساب'!$D$4:$D$253,IFERROR(MATCH(4,'كشف الحساب'!$N$4:$N$253,0),0))),"")</f>
        <v>24</v>
      </c>
      <c r="E8" s="62">
        <f>IFERROR(IF(IFERROR(MATCH(4,'كشف الحساب'!$N$4:$N$253,0),0)=0,"",INDEX('كشف الحساب'!$E$4:$E$253,IFERROR(MATCH(4,'كشف الحساب'!$N$4:$N$253,0),0))),"")</f>
        <v>0</v>
      </c>
      <c r="F8" s="61" t="str">
        <f>IFERROR(IF(IFERROR(MATCH(4,'كشف الحساب'!$N$4:$N$253,0),0)=0,"",INDEX('كشف الحساب'!$F$4:$F$253,IFERROR(MATCH(4,'كشف الحساب'!$N$4:$N$253,0),0))),"")</f>
        <v>نقداً</v>
      </c>
      <c r="G8" s="61" t="str">
        <f>IFERROR(IF(IFERROR(MATCH(4,'كشف الحساب'!$N$4:$N$253,0),0)=0,"",INDEX('كشف الحساب'!$G$4:$G$253,IFERROR(MATCH(4,'كشف الحساب'!$N$4:$N$253,0),0))),"")</f>
        <v>المحفظة</v>
      </c>
      <c r="H8" s="61" t="str">
        <f>IFERROR(IF(IFERROR(MATCH(4,'كشف الحساب'!$N$4:$N$253,0),0)=0,"",INDEX('كشف الحساب'!$H$4:$H$253,IFERROR(MATCH(4,'كشف الحساب'!$N$4:$N$253,0),0))),"")</f>
        <v>تم الدفع</v>
      </c>
      <c r="I8" s="61">
        <f>IFERROR(IF(IFERROR(MATCH(4,'كشف الحساب'!$N$4:$N$253,0),0)=0,"",INDEX('كشف الحساب'!$I$4:$I$253,IFERROR(MATCH(4,'كشف الحساب'!$N$4:$N$253,0),0))),"")</f>
        <v>0</v>
      </c>
      <c r="J8" s="34">
        <f>IFERROR(IF(IFERROR(MATCH(4,'كشف الحساب'!$N$4:$N$253,0),0)=0,"",INDEX('كشف الحساب'!$J$4:$J$253,IFERROR(MATCH(4,'كشف الحساب'!$N$4:$N$253,0),0))),"")</f>
        <v>23.64500000000001</v>
      </c>
      <c r="K8" s="61">
        <f>IFERROR(IF(IFERROR(MATCH(4,'كشف الحساب'!$N$4:$N$253,0),0)=0,"",INDEX('كشف الحساب'!$K$4:$K$253,IFERROR(MATCH(4,'كشف الحساب'!$N$4:$N$253,0),0))),"")</f>
        <v>0</v>
      </c>
    </row>
    <row r="9" spans="1:11" ht="16.5" customHeight="1" x14ac:dyDescent="0.25">
      <c r="A9" s="139">
        <f>IFERROR(IF(IFERROR(MATCH(5,'كشف الحساب'!$N$4:$N$253,0),0)=0,"",INDEX('كشف الحساب'!$A$4:$A$253,IFERROR(MATCH(5,'كشف الحساب'!$N$4:$N$253,0),0))),"")</f>
        <v>46239</v>
      </c>
      <c r="B9" s="59" t="str">
        <f>IFERROR(IF(IFERROR(MATCH(5,'كشف الحساب'!$N$4:$N$253,0),0)=0,"",INDEX('كشف الحساب'!$B$4:$B$253,IFERROR(MATCH(5,'كشف الحساب'!$N$4:$N$253,0),0))),"")</f>
        <v>Inv-109</v>
      </c>
      <c r="C9" s="37" t="str">
        <f>IFERROR(IF(IFERROR(MATCH(5,'كشف الحساب'!$N$4:$N$253,0),0)=0,"",INDEX('كشف الحساب'!$C$4:$C$253,IFERROR(MATCH(5,'كشف الحساب'!$N$4:$N$253,0),0))),"")</f>
        <v>متنوع عدد 1 الحبه 1</v>
      </c>
      <c r="D9" s="38">
        <f>IFERROR(IF(IFERROR(MATCH(5,'كشف الحساب'!$N$4:$N$253,0),0)=0,"",INDEX('كشف الحساب'!$D$4:$D$253,IFERROR(MATCH(5,'كشف الحساب'!$N$4:$N$253,0),0))),"")</f>
        <v>0</v>
      </c>
      <c r="E9" s="60">
        <f>IFERROR(IF(IFERROR(MATCH(5,'كشف الحساب'!$N$4:$N$253,0),0)=0,"",INDEX('كشف الحساب'!$E$4:$E$253,IFERROR(MATCH(5,'كشف الحساب'!$N$4:$N$253,0),0))),"")</f>
        <v>1</v>
      </c>
      <c r="F9" s="59" t="str">
        <f>IFERROR(IF(IFERROR(MATCH(5,'كشف الحساب'!$N$4:$N$253,0),0)=0,"",INDEX('كشف الحساب'!$F$4:$F$253,IFERROR(MATCH(5,'كشف الحساب'!$N$4:$N$253,0),0))),"")</f>
        <v>أون لاين</v>
      </c>
      <c r="G9" s="59">
        <f>IFERROR(IF(IFERROR(MATCH(5,'كشف الحساب'!$N$4:$N$253,0),0)=0,"",INDEX('كشف الحساب'!$G$4:$G$253,IFERROR(MATCH(5,'كشف الحساب'!$N$4:$N$253,0),0))),"")</f>
        <v>0</v>
      </c>
      <c r="H9" s="59" t="str">
        <f>IFERROR(IF(IFERROR(MATCH(5,'كشف الحساب'!$N$4:$N$253,0),0)=0,"",INDEX('كشف الحساب'!$H$4:$H$253,IFERROR(MATCH(5,'كشف الحساب'!$N$4:$N$253,0),0))),"")</f>
        <v>تم الدفع</v>
      </c>
      <c r="I9" s="59">
        <f>IFERROR(IF(IFERROR(MATCH(5,'كشف الحساب'!$N$4:$N$253,0),0)=0,"",INDEX('كشف الحساب'!$I$4:$I$253,IFERROR(MATCH(5,'كشف الحساب'!$N$4:$N$253,0),0))),"")</f>
        <v>0</v>
      </c>
      <c r="J9" s="43">
        <f>IFERROR(IF(IFERROR(MATCH(5,'كشف الحساب'!$N$4:$N$253,0),0)=0,"",INDEX('كشف الحساب'!$J$4:$J$253,IFERROR(MATCH(5,'كشف الحساب'!$N$4:$N$253,0),0))),"")</f>
        <v>24.64500000000001</v>
      </c>
      <c r="K9" s="59">
        <f>IFERROR(IF(IFERROR(MATCH(5,'كشف الحساب'!$N$4:$N$253,0),0)=0,"",INDEX('كشف الحساب'!$K$4:$K$253,IFERROR(MATCH(5,'كشف الحساب'!$N$4:$N$253,0),0))),"")</f>
        <v>0</v>
      </c>
    </row>
    <row r="10" spans="1:11" ht="16.5" customHeight="1" x14ac:dyDescent="0.25">
      <c r="A10" s="25">
        <f>IFERROR(IF(IFERROR(MATCH(6,'كشف الحساب'!$N$4:$N$253,0),0)=0,"",INDEX('كشف الحساب'!$A$4:$A$253,IFERROR(MATCH(6,'كشف الحساب'!$N$4:$N$253,0),0))),"")</f>
        <v>46240</v>
      </c>
      <c r="B10" s="61" t="str">
        <f>IFERROR(IF(IFERROR(MATCH(6,'كشف الحساب'!$N$4:$N$253,0),0)=0,"",INDEX('كشف الحساب'!$B$4:$B$253,IFERROR(MATCH(6,'كشف الحساب'!$N$4:$N$253,0),0))),"")</f>
        <v>Inv-110</v>
      </c>
      <c r="C10" s="27" t="str">
        <f>IFERROR(IF(IFERROR(MATCH(6,'كشف الحساب'!$N$4:$N$253,0),0)=0,"",INDEX('كشف الحساب'!$C$4:$C$253,IFERROR(MATCH(6,'كشف الحساب'!$N$4:$N$253,0),0))),"")</f>
        <v>متنوع عدد10 الحبه 1</v>
      </c>
      <c r="D10" s="28">
        <f>IFERROR(IF(IFERROR(MATCH(6,'كشف الحساب'!$N$4:$N$253,0),0)=0,"",INDEX('كشف الحساب'!$D$4:$D$253,IFERROR(MATCH(6,'كشف الحساب'!$N$4:$N$253,0),0))),"")</f>
        <v>0</v>
      </c>
      <c r="E10" s="62">
        <f>IFERROR(IF(IFERROR(MATCH(6,'كشف الحساب'!$N$4:$N$253,0),0)=0,"",INDEX('كشف الحساب'!$E$4:$E$253,IFERROR(MATCH(6,'كشف الحساب'!$N$4:$N$253,0),0))),"")</f>
        <v>10</v>
      </c>
      <c r="F10" s="61" t="str">
        <f>IFERROR(IF(IFERROR(MATCH(6,'كشف الحساب'!$N$4:$N$253,0),0)=0,"",INDEX('كشف الحساب'!$F$4:$F$253,IFERROR(MATCH(6,'كشف الحساب'!$N$4:$N$253,0),0))),"")</f>
        <v>أون لاين</v>
      </c>
      <c r="G10" s="61">
        <f>IFERROR(IF(IFERROR(MATCH(6,'كشف الحساب'!$N$4:$N$253,0),0)=0,"",INDEX('كشف الحساب'!$G$4:$G$253,IFERROR(MATCH(6,'كشف الحساب'!$N$4:$N$253,0),0))),"")</f>
        <v>0</v>
      </c>
      <c r="H10" s="61" t="str">
        <f>IFERROR(IF(IFERROR(MATCH(6,'كشف الحساب'!$N$4:$N$253,0),0)=0,"",INDEX('كشف الحساب'!$H$4:$H$253,IFERROR(MATCH(6,'كشف الحساب'!$N$4:$N$253,0),0))),"")</f>
        <v>تم الدفع</v>
      </c>
      <c r="I10" s="61">
        <f>IFERROR(IF(IFERROR(MATCH(6,'كشف الحساب'!$N$4:$N$253,0),0)=0,"",INDEX('كشف الحساب'!$I$4:$I$253,IFERROR(MATCH(6,'كشف الحساب'!$N$4:$N$253,0),0))),"")</f>
        <v>0</v>
      </c>
      <c r="J10" s="34">
        <f>IFERROR(IF(IFERROR(MATCH(6,'كشف الحساب'!$N$4:$N$253,0),0)=0,"",INDEX('كشف الحساب'!$J$4:$J$253,IFERROR(MATCH(6,'كشف الحساب'!$N$4:$N$253,0),0))),"")</f>
        <v>34.64500000000001</v>
      </c>
      <c r="K10" s="61">
        <f>IFERROR(IF(IFERROR(MATCH(6,'كشف الحساب'!$N$4:$N$253,0),0)=0,"",INDEX('كشف الحساب'!$K$4:$K$253,IFERROR(MATCH(6,'كشف الحساب'!$N$4:$N$253,0),0))),"")</f>
        <v>0</v>
      </c>
    </row>
    <row r="11" spans="1:11" ht="16.5" customHeight="1" x14ac:dyDescent="0.25">
      <c r="A11" s="139">
        <f>IFERROR(IF(IFERROR(MATCH(7,'كشف الحساب'!$N$4:$N$253,0),0)=0,"",INDEX('كشف الحساب'!$A$4:$A$253,IFERROR(MATCH(7,'كشف الحساب'!$N$4:$N$253,0),0))),"")</f>
        <v>46240</v>
      </c>
      <c r="B11" s="59" t="str">
        <f>IFERROR(IF(IFERROR(MATCH(7,'كشف الحساب'!$N$4:$N$253,0),0)=0,"",INDEX('كشف الحساب'!$B$4:$B$253,IFERROR(MATCH(7,'كشف الحساب'!$N$4:$N$253,0),0))),"")</f>
        <v>Inv-111</v>
      </c>
      <c r="C11" s="37" t="str">
        <f>IFERROR(IF(IFERROR(MATCH(7,'كشف الحساب'!$N$4:$N$253,0),0)=0,"",INDEX('كشف الحساب'!$C$4:$C$253,IFERROR(MATCH(7,'كشف الحساب'!$N$4:$N$253,0),0))),"")</f>
        <v>متنوع 6 عدد 1</v>
      </c>
      <c r="D11" s="38">
        <f>IFERROR(IF(IFERROR(MATCH(7,'كشف الحساب'!$N$4:$N$253,0),0)=0,"",INDEX('كشف الحساب'!$D$4:$D$253,IFERROR(MATCH(7,'كشف الحساب'!$N$4:$N$253,0),0))),"")</f>
        <v>0</v>
      </c>
      <c r="E11" s="60">
        <f>IFERROR(IF(IFERROR(MATCH(7,'كشف الحساب'!$N$4:$N$253,0),0)=0,"",INDEX('كشف الحساب'!$E$4:$E$253,IFERROR(MATCH(7,'كشف الحساب'!$N$4:$N$253,0),0))),"")</f>
        <v>6</v>
      </c>
      <c r="F11" s="59" t="str">
        <f>IFERROR(IF(IFERROR(MATCH(7,'كشف الحساب'!$N$4:$N$253,0),0)=0,"",INDEX('كشف الحساب'!$F$4:$F$253,IFERROR(MATCH(7,'كشف الحساب'!$N$4:$N$253,0),0))),"")</f>
        <v>أون لاين</v>
      </c>
      <c r="G11" s="59">
        <f>IFERROR(IF(IFERROR(MATCH(7,'كشف الحساب'!$N$4:$N$253,0),0)=0,"",INDEX('كشف الحساب'!$G$4:$G$253,IFERROR(MATCH(7,'كشف الحساب'!$N$4:$N$253,0),0))),"")</f>
        <v>0</v>
      </c>
      <c r="H11" s="59" t="str">
        <f>IFERROR(IF(IFERROR(MATCH(7,'كشف الحساب'!$N$4:$N$253,0),0)=0,"",INDEX('كشف الحساب'!$H$4:$H$253,IFERROR(MATCH(7,'كشف الحساب'!$N$4:$N$253,0),0))),"")</f>
        <v>تم الدفع</v>
      </c>
      <c r="I11" s="59">
        <f>IFERROR(IF(IFERROR(MATCH(7,'كشف الحساب'!$N$4:$N$253,0),0)=0,"",INDEX('كشف الحساب'!$I$4:$I$253,IFERROR(MATCH(7,'كشف الحساب'!$N$4:$N$253,0),0))),"")</f>
        <v>0</v>
      </c>
      <c r="J11" s="43">
        <f>IFERROR(IF(IFERROR(MATCH(7,'كشف الحساب'!$N$4:$N$253,0),0)=0,"",INDEX('كشف الحساب'!$J$4:$J$253,IFERROR(MATCH(7,'كشف الحساب'!$N$4:$N$253,0),0))),"")</f>
        <v>40.64500000000001</v>
      </c>
      <c r="K11" s="59">
        <f>IFERROR(IF(IFERROR(MATCH(7,'كشف الحساب'!$N$4:$N$253,0),0)=0,"",INDEX('كشف الحساب'!$K$4:$K$253,IFERROR(MATCH(7,'كشف الحساب'!$N$4:$N$253,0),0))),"")</f>
        <v>0</v>
      </c>
    </row>
    <row r="12" spans="1:11" ht="16.5" customHeight="1" x14ac:dyDescent="0.25">
      <c r="A12" s="25">
        <f>IFERROR(IF(IFERROR(MATCH(8,'كشف الحساب'!$N$4:$N$253,0),0)=0,"",INDEX('كشف الحساب'!$A$4:$A$253,IFERROR(MATCH(8,'كشف الحساب'!$N$4:$N$253,0),0))),"")</f>
        <v>46240</v>
      </c>
      <c r="B12" s="61" t="str">
        <f>IFERROR(IF(IFERROR(MATCH(8,'كشف الحساب'!$N$4:$N$253,0),0)=0,"",INDEX('كشف الحساب'!$B$4:$B$253,IFERROR(MATCH(8,'كشف الحساب'!$N$4:$N$253,0),0))),"")</f>
        <v>Inv-112</v>
      </c>
      <c r="C12" s="27" t="str">
        <f>IFERROR(IF(IFERROR(MATCH(8,'كشف الحساب'!$N$4:$N$253,0),0)=0,"",INDEX('كشف الحساب'!$C$4:$C$253,IFERROR(MATCH(8,'كشف الحساب'!$N$4:$N$253,0),0))),"")</f>
        <v>ربل عدد 15 الحبه2</v>
      </c>
      <c r="D12" s="28">
        <f>IFERROR(IF(IFERROR(MATCH(8,'كشف الحساب'!$N$4:$N$253,0),0)=0,"",INDEX('كشف الحساب'!$D$4:$D$253,IFERROR(MATCH(8,'كشف الحساب'!$N$4:$N$253,0),0))),"")</f>
        <v>0</v>
      </c>
      <c r="E12" s="62">
        <f>IFERROR(IF(IFERROR(MATCH(8,'كشف الحساب'!$N$4:$N$253,0),0)=0,"",INDEX('كشف الحساب'!$E$4:$E$253,IFERROR(MATCH(8,'كشف الحساب'!$N$4:$N$253,0),0))),"")</f>
        <v>29</v>
      </c>
      <c r="F12" s="61" t="str">
        <f>IFERROR(IF(IFERROR(MATCH(8,'كشف الحساب'!$N$4:$N$253,0),0)=0,"",INDEX('كشف الحساب'!$F$4:$F$253,IFERROR(MATCH(8,'كشف الحساب'!$N$4:$N$253,0),0))),"")</f>
        <v>أون لاين</v>
      </c>
      <c r="G12" s="61">
        <f>IFERROR(IF(IFERROR(MATCH(8,'كشف الحساب'!$N$4:$N$253,0),0)=0,"",INDEX('كشف الحساب'!$G$4:$G$253,IFERROR(MATCH(8,'كشف الحساب'!$N$4:$N$253,0),0))),"")</f>
        <v>0</v>
      </c>
      <c r="H12" s="61" t="str">
        <f>IFERROR(IF(IFERROR(MATCH(8,'كشف الحساب'!$N$4:$N$253,0),0)=0,"",INDEX('كشف الحساب'!$H$4:$H$253,IFERROR(MATCH(8,'كشف الحساب'!$N$4:$N$253,0),0))),"")</f>
        <v>تم الدفع</v>
      </c>
      <c r="I12" s="61">
        <f>IFERROR(IF(IFERROR(MATCH(8,'كشف الحساب'!$N$4:$N$253,0),0)=0,"",INDEX('كشف الحساب'!$I$4:$I$253,IFERROR(MATCH(8,'كشف الحساب'!$N$4:$N$253,0),0))),"")</f>
        <v>0</v>
      </c>
      <c r="J12" s="34">
        <f>IFERROR(IF(IFERROR(MATCH(8,'كشف الحساب'!$N$4:$N$253,0),0)=0,"",INDEX('كشف الحساب'!$J$4:$J$253,IFERROR(MATCH(8,'كشف الحساب'!$N$4:$N$253,0),0))),"")</f>
        <v>69.64500000000001</v>
      </c>
      <c r="K12" s="61" t="str">
        <f>IFERROR(IF(IFERROR(MATCH(8,'كشف الحساب'!$N$4:$N$253,0),0)=0,"",INDEX('كشف الحساب'!$K$4:$K$253,IFERROR(MATCH(8,'كشف الحساب'!$N$4:$N$253,0),0))),"")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الحساب'!$N$4:$N$253,0),0)=0,"",INDEX('كشف الحساب'!$A$4:$A$253,IFERROR(MATCH(9,'كشف الحساب'!$N$4:$N$253,0),0))),"")</f>
        <v>46240</v>
      </c>
      <c r="B13" s="59">
        <f>IFERROR(IF(IFERROR(MATCH(9,'كشف الحساب'!$N$4:$N$253,0),0)=0,"",INDEX('كشف الحساب'!$B$4:$B$253,IFERROR(MATCH(9,'كشف الحساب'!$N$4:$N$253,0),0))),"")</f>
        <v>0</v>
      </c>
      <c r="C13" s="37" t="str">
        <f>IFERROR(IF(IFERROR(MATCH(9,'كشف الحساب'!$N$4:$N$253,0),0)=0,"",INDEX('كشف الحساب'!$C$4:$C$253,IFERROR(MATCH(9,'كشف الحساب'!$N$4:$N$253,0),0))),"")</f>
        <v>كيميكل للمعالج</v>
      </c>
      <c r="D13" s="38">
        <f>IFERROR(IF(IFERROR(MATCH(9,'كشف الحساب'!$N$4:$N$253,0),0)=0,"",INDEX('كشف الحساب'!$D$4:$D$253,IFERROR(MATCH(9,'كشف الحساب'!$N$4:$N$253,0),0))),"")</f>
        <v>29</v>
      </c>
      <c r="E13" s="60">
        <f>IFERROR(IF(IFERROR(MATCH(9,'كشف الحساب'!$N$4:$N$253,0),0)=0,"",INDEX('كشف الحساب'!$E$4:$E$253,IFERROR(MATCH(9,'كشف الحساب'!$N$4:$N$253,0),0))),"")</f>
        <v>0</v>
      </c>
      <c r="F13" s="59" t="str">
        <f>IFERROR(IF(IFERROR(MATCH(9,'كشف الحساب'!$N$4:$N$253,0),0)=0,"",INDEX('كشف الحساب'!$F$4:$F$253,IFERROR(MATCH(9,'كشف الحساب'!$N$4:$N$253,0),0))),"")</f>
        <v>نقداً</v>
      </c>
      <c r="G13" s="59" t="str">
        <f>IFERROR(IF(IFERROR(MATCH(9,'كشف الحساب'!$N$4:$N$253,0),0)=0,"",INDEX('كشف الحساب'!$G$4:$G$253,IFERROR(MATCH(9,'كشف الحساب'!$N$4:$N$253,0),0))),"")</f>
        <v>المحفظة</v>
      </c>
      <c r="H13" s="59" t="str">
        <f>IFERROR(IF(IFERROR(MATCH(9,'كشف الحساب'!$N$4:$N$253,0),0)=0,"",INDEX('كشف الحساب'!$H$4:$H$253,IFERROR(MATCH(9,'كشف الحساب'!$N$4:$N$253,0),0))),"")</f>
        <v>تم الدفع</v>
      </c>
      <c r="I13" s="59">
        <f>IFERROR(IF(IFERROR(MATCH(9,'كشف الحساب'!$N$4:$N$253,0),0)=0,"",INDEX('كشف الحساب'!$I$4:$I$253,IFERROR(MATCH(9,'كشف الحساب'!$N$4:$N$253,0),0))),"")</f>
        <v>0</v>
      </c>
      <c r="J13" s="43">
        <f>IFERROR(IF(IFERROR(MATCH(9,'كشف الحساب'!$N$4:$N$253,0),0)=0,"",INDEX('كشف الحساب'!$J$4:$J$253,IFERROR(MATCH(9,'كشف الحساب'!$N$4:$N$253,0),0))),"")</f>
        <v>40.64500000000001</v>
      </c>
      <c r="K13" s="59">
        <f>IFERROR(IF(IFERROR(MATCH(9,'كشف الحساب'!$N$4:$N$253,0),0)=0,"",INDEX('كشف الحساب'!$K$4:$K$253,IFERROR(MATCH(9,'كشف الحساب'!$N$4:$N$253,0),0))),"")</f>
        <v>0</v>
      </c>
    </row>
    <row r="14" spans="1:11" ht="16.5" customHeight="1" x14ac:dyDescent="0.25">
      <c r="A14" s="25">
        <f>IFERROR(IF(IFERROR(MATCH(10,'كشف الحساب'!$N$4:$N$253,0),0)=0,"",INDEX('كشف الحساب'!$A$4:$A$253,IFERROR(MATCH(10,'كشف الحساب'!$N$4:$N$253,0),0))),"")</f>
        <v>46240</v>
      </c>
      <c r="B14" s="61">
        <f>IFERROR(IF(IFERROR(MATCH(10,'كشف الحساب'!$N$4:$N$253,0),0)=0,"",INDEX('كشف الحساب'!$B$4:$B$253,IFERROR(MATCH(10,'كشف الحساب'!$N$4:$N$253,0),0))),"")</f>
        <v>0</v>
      </c>
      <c r="C14" s="27" t="str">
        <f>IFERROR(IF(IFERROR(MATCH(10,'كشف الحساب'!$N$4:$N$253,0),0)=0,"",INDEX('كشف الحساب'!$C$4:$C$253,IFERROR(MATCH(10,'كشف الحساب'!$N$4:$N$253,0),0))),"")</f>
        <v>ترمستات الثلاجه الكبيره</v>
      </c>
      <c r="D14" s="28">
        <f>IFERROR(IF(IFERROR(MATCH(10,'كشف الحساب'!$N$4:$N$253,0),0)=0,"",INDEX('كشف الحساب'!$D$4:$D$253,IFERROR(MATCH(10,'كشف الحساب'!$N$4:$N$253,0),0))),"")</f>
        <v>5.75</v>
      </c>
      <c r="E14" s="62">
        <f>IFERROR(IF(IFERROR(MATCH(10,'كشف الحساب'!$N$4:$N$253,0),0)=0,"",INDEX('كشف الحساب'!$E$4:$E$253,IFERROR(MATCH(10,'كشف الحساب'!$N$4:$N$253,0),0))),"")</f>
        <v>0</v>
      </c>
      <c r="F14" s="61" t="str">
        <f>IFERROR(IF(IFERROR(MATCH(10,'كشف الحساب'!$N$4:$N$253,0),0)=0,"",INDEX('كشف الحساب'!$F$4:$F$253,IFERROR(MATCH(10,'كشف الحساب'!$N$4:$N$253,0),0))),"")</f>
        <v>نقداً</v>
      </c>
      <c r="G14" s="61" t="str">
        <f>IFERROR(IF(IFERROR(MATCH(10,'كشف الحساب'!$N$4:$N$253,0),0)=0,"",INDEX('كشف الحساب'!$G$4:$G$253,IFERROR(MATCH(10,'كشف الحساب'!$N$4:$N$253,0),0))),"")</f>
        <v>المحفظة</v>
      </c>
      <c r="H14" s="61" t="str">
        <f>IFERROR(IF(IFERROR(MATCH(10,'كشف الحساب'!$N$4:$N$253,0),0)=0,"",INDEX('كشف الحساب'!$H$4:$H$253,IFERROR(MATCH(10,'كشف الحساب'!$N$4:$N$253,0),0))),"")</f>
        <v>تم الدفع</v>
      </c>
      <c r="I14" s="61">
        <f>IFERROR(IF(IFERROR(MATCH(10,'كشف الحساب'!$N$4:$N$253,0),0)=0,"",INDEX('كشف الحساب'!$I$4:$I$253,IFERROR(MATCH(10,'كشف الحساب'!$N$4:$N$253,0),0))),"")</f>
        <v>0</v>
      </c>
      <c r="J14" s="34">
        <f>IFERROR(IF(IFERROR(MATCH(10,'كشف الحساب'!$N$4:$N$253,0),0)=0,"",INDEX('كشف الحساب'!$J$4:$J$253,IFERROR(MATCH(10,'كشف الحساب'!$N$4:$N$253,0),0))),"")</f>
        <v>34.89500000000001</v>
      </c>
      <c r="K14" s="61">
        <f>IFERROR(IF(IFERROR(MATCH(10,'كشف الحساب'!$N$4:$N$253,0),0)=0,"",INDEX('كشف الحساب'!$K$4:$K$253,IFERROR(MATCH(10,'كشف الحساب'!$N$4:$N$253,0),0))),"")</f>
        <v>0</v>
      </c>
    </row>
    <row r="15" spans="1:11" ht="16.5" customHeight="1" x14ac:dyDescent="0.25">
      <c r="A15" s="139">
        <f>IFERROR(IF(IFERROR(MATCH(11,'كشف الحساب'!$N$4:$N$253,0),0)=0,"",INDEX('كشف الحساب'!$A$4:$A$253,IFERROR(MATCH(11,'كشف الحساب'!$N$4:$N$253,0),0))),"")</f>
        <v>46244</v>
      </c>
      <c r="B15" s="59" t="str">
        <f>IFERROR(IF(IFERROR(MATCH(11,'كشف الحساب'!$N$4:$N$253,0),0)=0,"",INDEX('كشف الحساب'!$B$4:$B$253,IFERROR(MATCH(11,'كشف الحساب'!$N$4:$N$253,0),0))),"")</f>
        <v>Inv-113</v>
      </c>
      <c r="C15" s="37" t="str">
        <f>IFERROR(IF(IFERROR(MATCH(11,'كشف الحساب'!$N$4:$N$253,0),0)=0,"",INDEX('كشف الحساب'!$C$4:$C$253,IFERROR(MATCH(11,'كشف الحساب'!$N$4:$N$253,0),0))),"")</f>
        <v>ربل  عدد 40 الحبه 2.250</v>
      </c>
      <c r="D15" s="38">
        <f>IFERROR(IF(IFERROR(MATCH(11,'كشف الحساب'!$N$4:$N$253,0),0)=0,"",INDEX('كشف الحساب'!$D$4:$D$253,IFERROR(MATCH(11,'كشف الحساب'!$N$4:$N$253,0),0))),"")</f>
        <v>0</v>
      </c>
      <c r="E15" s="60">
        <f>IFERROR(IF(IFERROR(MATCH(11,'كشف الحساب'!$N$4:$N$253,0),0)=0,"",INDEX('كشف الحساب'!$E$4:$E$253,IFERROR(MATCH(11,'كشف الحساب'!$N$4:$N$253,0),0))),"")</f>
        <v>90</v>
      </c>
      <c r="F15" s="59" t="str">
        <f>IFERROR(IF(IFERROR(MATCH(11,'كشف الحساب'!$N$4:$N$253,0),0)=0,"",INDEX('كشف الحساب'!$F$4:$F$253,IFERROR(MATCH(11,'كشف الحساب'!$N$4:$N$253,0),0))),"")</f>
        <v>نقداً</v>
      </c>
      <c r="G15" s="59">
        <f>IFERROR(IF(IFERROR(MATCH(11,'كشف الحساب'!$N$4:$N$253,0),0)=0,"",INDEX('كشف الحساب'!$G$4:$G$253,IFERROR(MATCH(11,'كشف الحساب'!$N$4:$N$253,0),0))),"")</f>
        <v>0</v>
      </c>
      <c r="H15" s="59" t="str">
        <f>IFERROR(IF(IFERROR(MATCH(11,'كشف الحساب'!$N$4:$N$253,0),0)=0,"",INDEX('كشف الحساب'!$H$4:$H$253,IFERROR(MATCH(11,'كشف الحساب'!$N$4:$N$253,0),0))),"")</f>
        <v>تم الدفع</v>
      </c>
      <c r="I15" s="59">
        <f>IFERROR(IF(IFERROR(MATCH(11,'كشف الحساب'!$N$4:$N$253,0),0)=0,"",INDEX('كشف الحساب'!$I$4:$I$253,IFERROR(MATCH(11,'كشف الحساب'!$N$4:$N$253,0),0))),"")</f>
        <v>0</v>
      </c>
      <c r="J15" s="43">
        <f>IFERROR(IF(IFERROR(MATCH(11,'كشف الحساب'!$N$4:$N$253,0),0)=0,"",INDEX('كشف الحساب'!$J$4:$J$253,IFERROR(MATCH(11,'كشف الحساب'!$N$4:$N$253,0),0))),"")</f>
        <v>124.89500000000001</v>
      </c>
      <c r="K15" s="59">
        <f>IFERROR(IF(IFERROR(MATCH(11,'كشف الحساب'!$N$4:$N$253,0),0)=0,"",INDEX('كشف الحساب'!$K$4:$K$253,IFERROR(MATCH(11,'كشف الحساب'!$N$4:$N$253,0),0))),"")</f>
        <v>0</v>
      </c>
    </row>
    <row r="16" spans="1:11" ht="16.5" customHeight="1" x14ac:dyDescent="0.25">
      <c r="A16" s="25">
        <f>IFERROR(IF(IFERROR(MATCH(12,'كشف الحساب'!$N$4:$N$253,0),0)=0,"",INDEX('كشف الحساب'!$A$4:$A$253,IFERROR(MATCH(12,'كشف الحساب'!$N$4:$N$253,0),0))),"")</f>
        <v>46244</v>
      </c>
      <c r="B16" s="61" t="str">
        <f>IFERROR(IF(IFERROR(MATCH(12,'كشف الحساب'!$N$4:$N$253,0),0)=0,"",INDEX('كشف الحساب'!$B$4:$B$253,IFERROR(MATCH(12,'كشف الحساب'!$N$4:$N$253,0),0))),"")</f>
        <v>Inv-114</v>
      </c>
      <c r="C16" s="27" t="str">
        <f>IFERROR(IF(IFERROR(MATCH(12,'كشف الحساب'!$N$4:$N$253,0),0)=0,"",INDEX('كشف الحساب'!$C$4:$C$253,IFERROR(MATCH(12,'كشف الحساب'!$N$4:$N$253,0),0))),"")</f>
        <v>متنوع 8 الحبه 1</v>
      </c>
      <c r="D16" s="28">
        <f>IFERROR(IF(IFERROR(MATCH(12,'كشف الحساب'!$N$4:$N$253,0),0)=0,"",INDEX('كشف الحساب'!$D$4:$D$253,IFERROR(MATCH(12,'كشف الحساب'!$N$4:$N$253,0),0))),"")</f>
        <v>0</v>
      </c>
      <c r="E16" s="62">
        <f>IFERROR(IF(IFERROR(MATCH(12,'كشف الحساب'!$N$4:$N$253,0),0)=0,"",INDEX('كشف الحساب'!$E$4:$E$253,IFERROR(MATCH(12,'كشف الحساب'!$N$4:$N$253,0),0))),"")</f>
        <v>8</v>
      </c>
      <c r="F16" s="61" t="str">
        <f>IFERROR(IF(IFERROR(MATCH(12,'كشف الحساب'!$N$4:$N$253,0),0)=0,"",INDEX('كشف الحساب'!$F$4:$F$253,IFERROR(MATCH(12,'كشف الحساب'!$N$4:$N$253,0),0))),"")</f>
        <v>نقداً</v>
      </c>
      <c r="G16" s="61">
        <f>IFERROR(IF(IFERROR(MATCH(12,'كشف الحساب'!$N$4:$N$253,0),0)=0,"",INDEX('كشف الحساب'!$G$4:$G$253,IFERROR(MATCH(12,'كشف الحساب'!$N$4:$N$253,0),0))),"")</f>
        <v>0</v>
      </c>
      <c r="H16" s="61" t="str">
        <f>IFERROR(IF(IFERROR(MATCH(12,'كشف الحساب'!$N$4:$N$253,0),0)=0,"",INDEX('كشف الحساب'!$H$4:$H$253,IFERROR(MATCH(12,'كشف الحساب'!$N$4:$N$253,0),0))),"")</f>
        <v>تم الدفع</v>
      </c>
      <c r="I16" s="61">
        <f>IFERROR(IF(IFERROR(MATCH(12,'كشف الحساب'!$N$4:$N$253,0),0)=0,"",INDEX('كشف الحساب'!$I$4:$I$253,IFERROR(MATCH(12,'كشف الحساب'!$N$4:$N$253,0),0))),"")</f>
        <v>0</v>
      </c>
      <c r="J16" s="34">
        <f>IFERROR(IF(IFERROR(MATCH(12,'كشف الحساب'!$N$4:$N$253,0),0)=0,"",INDEX('كشف الحساب'!$J$4:$J$253,IFERROR(MATCH(12,'كشف الحساب'!$N$4:$N$253,0),0))),"")</f>
        <v>132.89500000000001</v>
      </c>
      <c r="K16" s="61">
        <f>IFERROR(IF(IFERROR(MATCH(12,'كشف الحساب'!$N$4:$N$253,0),0)=0,"",INDEX('كشف الحساب'!$K$4:$K$253,IFERROR(MATCH(12,'كشف الحساب'!$N$4:$N$253,0),0))),"")</f>
        <v>0</v>
      </c>
    </row>
    <row r="17" spans="1:11" ht="16.5" customHeight="1" x14ac:dyDescent="0.25">
      <c r="A17" s="139">
        <f>IFERROR(IF(IFERROR(MATCH(13,'كشف الحساب'!$N$4:$N$253,0),0)=0,"",INDEX('كشف الحساب'!$A$4:$A$253,IFERROR(MATCH(13,'كشف الحساب'!$N$4:$N$253,0),0))),"")</f>
        <v>46245</v>
      </c>
      <c r="B17" s="59">
        <f>IFERROR(IF(IFERROR(MATCH(13,'كشف الحساب'!$N$4:$N$253,0),0)=0,"",INDEX('كشف الحساب'!$B$4:$B$253,IFERROR(MATCH(13,'كشف الحساب'!$N$4:$N$253,0),0))),"")</f>
        <v>0</v>
      </c>
      <c r="C17" s="37" t="str">
        <f>IFERROR(IF(IFERROR(MATCH(13,'كشف الحساب'!$N$4:$N$253,0),0)=0,"",INDEX('كشف الحساب'!$C$4:$C$253,IFERROR(MATCH(13,'كشف الحساب'!$N$4:$N$253,0),0))),"")</f>
        <v>احواض معلقه + كوكوبيت</v>
      </c>
      <c r="D17" s="38">
        <f>IFERROR(IF(IFERROR(MATCH(13,'كشف الحساب'!$N$4:$N$253,0),0)=0,"",INDEX('كشف الحساب'!$D$4:$D$253,IFERROR(MATCH(13,'كشف الحساب'!$N$4:$N$253,0),0))),"")</f>
        <v>55</v>
      </c>
      <c r="E17" s="60">
        <f>IFERROR(IF(IFERROR(MATCH(13,'كشف الحساب'!$N$4:$N$253,0),0)=0,"",INDEX('كشف الحساب'!$E$4:$E$253,IFERROR(MATCH(13,'كشف الحساب'!$N$4:$N$253,0),0))),"")</f>
        <v>0</v>
      </c>
      <c r="F17" s="59" t="str">
        <f>IFERROR(IF(IFERROR(MATCH(13,'كشف الحساب'!$N$4:$N$253,0),0)=0,"",INDEX('كشف الحساب'!$F$4:$F$253,IFERROR(MATCH(13,'كشف الحساب'!$N$4:$N$253,0),0))),"")</f>
        <v>نقداً</v>
      </c>
      <c r="G17" s="59" t="str">
        <f>IFERROR(IF(IFERROR(MATCH(13,'كشف الحساب'!$N$4:$N$253,0),0)=0,"",INDEX('كشف الحساب'!$G$4:$G$253,IFERROR(MATCH(13,'كشف الحساب'!$N$4:$N$253,0),0))),"")</f>
        <v>المحفظة</v>
      </c>
      <c r="H17" s="59" t="str">
        <f>IFERROR(IF(IFERROR(MATCH(13,'كشف الحساب'!$N$4:$N$253,0),0)=0,"",INDEX('كشف الحساب'!$H$4:$H$253,IFERROR(MATCH(13,'كشف الحساب'!$N$4:$N$253,0),0))),"")</f>
        <v>تم الدفع</v>
      </c>
      <c r="I17" s="59">
        <f>IFERROR(IF(IFERROR(MATCH(13,'كشف الحساب'!$N$4:$N$253,0),0)=0,"",INDEX('كشف الحساب'!$I$4:$I$253,IFERROR(MATCH(13,'كشف الحساب'!$N$4:$N$253,0),0))),"")</f>
        <v>0</v>
      </c>
      <c r="J17" s="43">
        <f>IFERROR(IF(IFERROR(MATCH(13,'كشف الحساب'!$N$4:$N$253,0),0)=0,"",INDEX('كشف الحساب'!$J$4:$J$253,IFERROR(MATCH(13,'كشف الحساب'!$N$4:$N$253,0),0))),"")</f>
        <v>77.89500000000001</v>
      </c>
      <c r="K17" s="59">
        <f>IFERROR(IF(IFERROR(MATCH(13,'كشف الحساب'!$N$4:$N$253,0),0)=0,"",INDEX('كشف الحساب'!$K$4:$K$253,IFERROR(MATCH(13,'كشف الحساب'!$N$4:$N$253,0),0))),"")</f>
        <v>0</v>
      </c>
    </row>
    <row r="18" spans="1:11" ht="16.5" customHeight="1" x14ac:dyDescent="0.25">
      <c r="A18" s="25">
        <f>IFERROR(IF(IFERROR(MATCH(14,'كشف الحساب'!$N$4:$N$253,0),0)=0,"",INDEX('كشف الحساب'!$A$4:$A$253,IFERROR(MATCH(14,'كشف الحساب'!$N$4:$N$253,0),0))),"")</f>
        <v>46245</v>
      </c>
      <c r="B18" s="61">
        <f>IFERROR(IF(IFERROR(MATCH(14,'كشف الحساب'!$N$4:$N$253,0),0)=0,"",INDEX('كشف الحساب'!$B$4:$B$253,IFERROR(MATCH(14,'كشف الحساب'!$N$4:$N$253,0),0))),"")</f>
        <v>0</v>
      </c>
      <c r="C18" s="27" t="str">
        <f>IFERROR(IF(IFERROR(MATCH(14,'كشف الحساب'!$N$4:$N$253,0),0)=0,"",INDEX('كشف الحساب'!$C$4:$C$253,IFERROR(MATCH(14,'كشف الحساب'!$N$4:$N$253,0),0))),"")</f>
        <v>15-15-15 خرماشه</v>
      </c>
      <c r="D18" s="28">
        <f>IFERROR(IF(IFERROR(MATCH(14,'كشف الحساب'!$N$4:$N$253,0),0)=0,"",INDEX('كشف الحساب'!$D$4:$D$253,IFERROR(MATCH(14,'كشف الحساب'!$N$4:$N$253,0),0))),"")</f>
        <v>7.6749999999999998</v>
      </c>
      <c r="E18" s="62">
        <f>IFERROR(IF(IFERROR(MATCH(14,'كشف الحساب'!$N$4:$N$253,0),0)=0,"",INDEX('كشف الحساب'!$E$4:$E$253,IFERROR(MATCH(14,'كشف الحساب'!$N$4:$N$253,0),0))),"")</f>
        <v>0</v>
      </c>
      <c r="F18" s="61" t="str">
        <f>IFERROR(IF(IFERROR(MATCH(14,'كشف الحساب'!$N$4:$N$253,0),0)=0,"",INDEX('كشف الحساب'!$F$4:$F$253,IFERROR(MATCH(14,'كشف الحساب'!$N$4:$N$253,0),0))),"")</f>
        <v>نقداً</v>
      </c>
      <c r="G18" s="61" t="str">
        <f>IFERROR(IF(IFERROR(MATCH(14,'كشف الحساب'!$N$4:$N$253,0),0)=0,"",INDEX('كشف الحساب'!$G$4:$G$253,IFERROR(MATCH(14,'كشف الحساب'!$N$4:$N$253,0),0))),"")</f>
        <v>المحفظة</v>
      </c>
      <c r="H18" s="61" t="str">
        <f>IFERROR(IF(IFERROR(MATCH(14,'كشف الحساب'!$N$4:$N$253,0),0)=0,"",INDEX('كشف الحساب'!$H$4:$H$253,IFERROR(MATCH(14,'كشف الحساب'!$N$4:$N$253,0),0))),"")</f>
        <v>تم الدفع</v>
      </c>
      <c r="I18" s="61">
        <f>IFERROR(IF(IFERROR(MATCH(14,'كشف الحساب'!$N$4:$N$253,0),0)=0,"",INDEX('كشف الحساب'!$I$4:$I$253,IFERROR(MATCH(14,'كشف الحساب'!$N$4:$N$253,0),0))),"")</f>
        <v>0</v>
      </c>
      <c r="J18" s="34">
        <f>IFERROR(IF(IFERROR(MATCH(14,'كشف الحساب'!$N$4:$N$253,0),0)=0,"",INDEX('كشف الحساب'!$J$4:$J$253,IFERROR(MATCH(14,'كشف الحساب'!$N$4:$N$253,0),0))),"")</f>
        <v>70.220000000000013</v>
      </c>
      <c r="K18" s="61">
        <f>IFERROR(IF(IFERROR(MATCH(14,'كشف الحساب'!$N$4:$N$253,0),0)=0,"",INDEX('كشف الحساب'!$K$4:$K$253,IFERROR(MATCH(14,'كشف الحساب'!$N$4:$N$253,0),0))),"")</f>
        <v>0</v>
      </c>
    </row>
    <row r="19" spans="1:11" ht="16.5" customHeight="1" x14ac:dyDescent="0.25">
      <c r="A19" s="139">
        <f>IFERROR(IF(IFERROR(MATCH(15,'كشف الحساب'!$N$4:$N$253,0),0)=0,"",INDEX('كشف الحساب'!$A$4:$A$253,IFERROR(MATCH(15,'كشف الحساب'!$N$4:$N$253,0),0))),"")</f>
        <v>46247</v>
      </c>
      <c r="B19" s="59">
        <f>IFERROR(IF(IFERROR(MATCH(15,'كشف الحساب'!$N$4:$N$253,0),0)=0,"",INDEX('كشف الحساب'!$B$4:$B$253,IFERROR(MATCH(15,'كشف الحساب'!$N$4:$N$253,0),0))),"")</f>
        <v>0</v>
      </c>
      <c r="C19" s="37" t="str">
        <f>IFERROR(IF(IFERROR(MATCH(15,'كشف الحساب'!$N$4:$N$253,0),0)=0,"",INDEX('كشف الحساب'!$C$4:$C$253,IFERROR(MATCH(15,'كشف الحساب'!$N$4:$N$253,0),0))),"")</f>
        <v>هرمون تدير</v>
      </c>
      <c r="D19" s="38">
        <f>IFERROR(IF(IFERROR(MATCH(15,'كشف الحساب'!$N$4:$N$253,0),0)=0,"",INDEX('كشف الحساب'!$D$4:$D$253,IFERROR(MATCH(15,'كشف الحساب'!$N$4:$N$253,0),0))),"")</f>
        <v>4</v>
      </c>
      <c r="E19" s="60">
        <f>IFERROR(IF(IFERROR(MATCH(15,'كشف الحساب'!$N$4:$N$253,0),0)=0,"",INDEX('كشف الحساب'!$E$4:$E$253,IFERROR(MATCH(15,'كشف الحساب'!$N$4:$N$253,0),0))),"")</f>
        <v>0</v>
      </c>
      <c r="F19" s="59" t="str">
        <f>IFERROR(IF(IFERROR(MATCH(15,'كشف الحساب'!$N$4:$N$253,0),0)=0,"",INDEX('كشف الحساب'!$F$4:$F$253,IFERROR(MATCH(15,'كشف الحساب'!$N$4:$N$253,0),0))),"")</f>
        <v>نقداً</v>
      </c>
      <c r="G19" s="59" t="str">
        <f>IFERROR(IF(IFERROR(MATCH(15,'كشف الحساب'!$N$4:$N$253,0),0)=0,"",INDEX('كشف الحساب'!$G$4:$G$253,IFERROR(MATCH(15,'كشف الحساب'!$N$4:$N$253,0),0))),"")</f>
        <v>المحفظة</v>
      </c>
      <c r="H19" s="59" t="str">
        <f>IFERROR(IF(IFERROR(MATCH(15,'كشف الحساب'!$N$4:$N$253,0),0)=0,"",INDEX('كشف الحساب'!$H$4:$H$253,IFERROR(MATCH(15,'كشف الحساب'!$N$4:$N$253,0),0))),"")</f>
        <v>تم الدفع</v>
      </c>
      <c r="I19" s="59">
        <f>IFERROR(IF(IFERROR(MATCH(15,'كشف الحساب'!$N$4:$N$253,0),0)=0,"",INDEX('كشف الحساب'!$I$4:$I$253,IFERROR(MATCH(15,'كشف الحساب'!$N$4:$N$253,0),0))),"")</f>
        <v>0</v>
      </c>
      <c r="J19" s="43">
        <f>IFERROR(IF(IFERROR(MATCH(15,'كشف الحساب'!$N$4:$N$253,0),0)=0,"",INDEX('كشف الحساب'!$J$4:$J$253,IFERROR(MATCH(15,'كشف الحساب'!$N$4:$N$253,0),0))),"")</f>
        <v>66.220000000000013</v>
      </c>
      <c r="K19" s="59">
        <f>IFERROR(IF(IFERROR(MATCH(15,'كشف الحساب'!$N$4:$N$253,0),0)=0,"",INDEX('كشف الحساب'!$K$4:$K$253,IFERROR(MATCH(15,'كشف الحساب'!$N$4:$N$253,0),0))),"")</f>
        <v>0</v>
      </c>
    </row>
    <row r="20" spans="1:11" ht="16.5" customHeight="1" x14ac:dyDescent="0.25">
      <c r="A20" s="25">
        <f>IFERROR(IF(IFERROR(MATCH(16,'كشف الحساب'!$N$4:$N$253,0),0)=0,"",INDEX('كشف الحساب'!$A$4:$A$253,IFERROR(MATCH(16,'كشف الحساب'!$N$4:$N$253,0),0))),"")</f>
        <v>46247</v>
      </c>
      <c r="B20" s="61">
        <f>IFERROR(IF(IFERROR(MATCH(16,'كشف الحساب'!$N$4:$N$253,0),0)=0,"",INDEX('كشف الحساب'!$B$4:$B$253,IFERROR(MATCH(16,'كشف الحساب'!$N$4:$N$253,0),0))),"")</f>
        <v>0</v>
      </c>
      <c r="C20" s="27" t="str">
        <f>IFERROR(IF(IFERROR(MATCH(16,'كشف الحساب'!$N$4:$N$253,0),0)=0,"",INDEX('كشف الحساب'!$C$4:$C$253,IFERROR(MATCH(16,'كشف الحساب'!$N$4:$N$253,0),0))),"")</f>
        <v>احواض مقاس 14 عدد 1000</v>
      </c>
      <c r="D20" s="28">
        <f>IFERROR(IF(IFERROR(MATCH(16,'كشف الحساب'!$N$4:$N$253,0),0)=0,"",INDEX('كشف الحساب'!$D$4:$D$253,IFERROR(MATCH(16,'كشف الحساب'!$N$4:$N$253,0),0))),"")</f>
        <v>20</v>
      </c>
      <c r="E20" s="62">
        <f>IFERROR(IF(IFERROR(MATCH(16,'كشف الحساب'!$N$4:$N$253,0),0)=0,"",INDEX('كشف الحساب'!$E$4:$E$253,IFERROR(MATCH(16,'كشف الحساب'!$N$4:$N$253,0),0))),"")</f>
        <v>0</v>
      </c>
      <c r="F20" s="61" t="str">
        <f>IFERROR(IF(IFERROR(MATCH(16,'كشف الحساب'!$N$4:$N$253,0),0)=0,"",INDEX('كشف الحساب'!$F$4:$F$253,IFERROR(MATCH(16,'كشف الحساب'!$N$4:$N$253,0),0))),"")</f>
        <v>نقداً</v>
      </c>
      <c r="G20" s="61" t="str">
        <f>IFERROR(IF(IFERROR(MATCH(16,'كشف الحساب'!$N$4:$N$253,0),0)=0,"",INDEX('كشف الحساب'!$G$4:$G$253,IFERROR(MATCH(16,'كشف الحساب'!$N$4:$N$253,0),0))),"")</f>
        <v>المحفظة</v>
      </c>
      <c r="H20" s="61" t="str">
        <f>IFERROR(IF(IFERROR(MATCH(16,'كشف الحساب'!$N$4:$N$253,0),0)=0,"",INDEX('كشف الحساب'!$H$4:$H$253,IFERROR(MATCH(16,'كشف الحساب'!$N$4:$N$253,0),0))),"")</f>
        <v>تم الدفع</v>
      </c>
      <c r="I20" s="61">
        <f>IFERROR(IF(IFERROR(MATCH(16,'كشف الحساب'!$N$4:$N$253,0),0)=0,"",INDEX('كشف الحساب'!$I$4:$I$253,IFERROR(MATCH(16,'كشف الحساب'!$N$4:$N$253,0),0))),"")</f>
        <v>0</v>
      </c>
      <c r="J20" s="34">
        <f>IFERROR(IF(IFERROR(MATCH(16,'كشف الحساب'!$N$4:$N$253,0),0)=0,"",INDEX('كشف الحساب'!$J$4:$J$253,IFERROR(MATCH(16,'كشف الحساب'!$N$4:$N$253,0),0))),"")</f>
        <v>46.220000000000013</v>
      </c>
      <c r="K20" s="61">
        <f>IFERROR(IF(IFERROR(MATCH(16,'كشف الحساب'!$N$4:$N$253,0),0)=0,"",INDEX('كشف الحساب'!$K$4:$K$253,IFERROR(MATCH(16,'كشف الحساب'!$N$4:$N$253,0),0))),"")</f>
        <v>0</v>
      </c>
    </row>
    <row r="21" spans="1:11" ht="16.5" customHeight="1" x14ac:dyDescent="0.25">
      <c r="A21" s="139">
        <f>IFERROR(IF(IFERROR(MATCH(17,'كشف الحساب'!$N$4:$N$253,0),0)=0,"",INDEX('كشف الحساب'!$A$4:$A$253,IFERROR(MATCH(17,'كشف الحساب'!$N$4:$N$253,0),0))),"")</f>
        <v>46247</v>
      </c>
      <c r="B21" s="59">
        <f>IFERROR(IF(IFERROR(MATCH(17,'كشف الحساب'!$N$4:$N$253,0),0)=0,"",INDEX('كشف الحساب'!$B$4:$B$253,IFERROR(MATCH(17,'كشف الحساب'!$N$4:$N$253,0),0))),"")</f>
        <v>0</v>
      </c>
      <c r="C21" s="37" t="str">
        <f>IFERROR(IF(IFERROR(MATCH(17,'كشف الحساب'!$N$4:$N$253,0),0)=0,"",INDEX('كشف الحساب'!$C$4:$C$253,IFERROR(MATCH(17,'كشف الحساب'!$N$4:$N$253,0),0))),"")</f>
        <v>وصلات</v>
      </c>
      <c r="D21" s="38">
        <f>IFERROR(IF(IFERROR(MATCH(17,'كشف الحساب'!$N$4:$N$253,0),0)=0,"",INDEX('كشف الحساب'!$D$4:$D$253,IFERROR(MATCH(17,'كشف الحساب'!$N$4:$N$253,0),0))),"")</f>
        <v>0.9</v>
      </c>
      <c r="E21" s="60">
        <f>IFERROR(IF(IFERROR(MATCH(17,'كشف الحساب'!$N$4:$N$253,0),0)=0,"",INDEX('كشف الحساب'!$E$4:$E$253,IFERROR(MATCH(17,'كشف الحساب'!$N$4:$N$253,0),0))),"")</f>
        <v>0</v>
      </c>
      <c r="F21" s="59" t="str">
        <f>IFERROR(IF(IFERROR(MATCH(17,'كشف الحساب'!$N$4:$N$253,0),0)=0,"",INDEX('كشف الحساب'!$F$4:$F$253,IFERROR(MATCH(17,'كشف الحساب'!$N$4:$N$253,0),0))),"")</f>
        <v>نقداً</v>
      </c>
      <c r="G21" s="59" t="str">
        <f>IFERROR(IF(IFERROR(MATCH(17,'كشف الحساب'!$N$4:$N$253,0),0)=0,"",INDEX('كشف الحساب'!$G$4:$G$253,IFERROR(MATCH(17,'كشف الحساب'!$N$4:$N$253,0),0))),"")</f>
        <v>المحفظة</v>
      </c>
      <c r="H21" s="59" t="str">
        <f>IFERROR(IF(IFERROR(MATCH(17,'كشف الحساب'!$N$4:$N$253,0),0)=0,"",INDEX('كشف الحساب'!$H$4:$H$253,IFERROR(MATCH(17,'كشف الحساب'!$N$4:$N$253,0),0))),"")</f>
        <v>تم الدفع</v>
      </c>
      <c r="I21" s="59">
        <f>IFERROR(IF(IFERROR(MATCH(17,'كشف الحساب'!$N$4:$N$253,0),0)=0,"",INDEX('كشف الحساب'!$I$4:$I$253,IFERROR(MATCH(17,'كشف الحساب'!$N$4:$N$253,0),0))),"")</f>
        <v>0</v>
      </c>
      <c r="J21" s="43">
        <f>IFERROR(IF(IFERROR(MATCH(17,'كشف الحساب'!$N$4:$N$253,0),0)=0,"",INDEX('كشف الحساب'!$J$4:$J$253,IFERROR(MATCH(17,'كشف الحساب'!$N$4:$N$253,0),0))),"")</f>
        <v>45.320000000000014</v>
      </c>
      <c r="K21" s="59">
        <f>IFERROR(IF(IFERROR(MATCH(17,'كشف الحساب'!$N$4:$N$253,0),0)=0,"",INDEX('كشف الحساب'!$K$4:$K$253,IFERROR(MATCH(17,'كشف الحساب'!$N$4:$N$253,0),0))),"")</f>
        <v>0</v>
      </c>
    </row>
    <row r="22" spans="1:11" ht="16.5" customHeight="1" x14ac:dyDescent="0.25">
      <c r="A22" s="25">
        <f>IFERROR(IF(IFERROR(MATCH(18,'كشف الحساب'!$N$4:$N$253,0),0)=0,"",INDEX('كشف الحساب'!$A$4:$A$253,IFERROR(MATCH(18,'كشف الحساب'!$N$4:$N$253,0),0))),"")</f>
        <v>46249</v>
      </c>
      <c r="B22" s="61">
        <f>IFERROR(IF(IFERROR(MATCH(18,'كشف الحساب'!$N$4:$N$253,0),0)=0,"",INDEX('كشف الحساب'!$B$4:$B$253,IFERROR(MATCH(18,'كشف الحساب'!$N$4:$N$253,0),0))),"")</f>
        <v>0</v>
      </c>
      <c r="C22" s="27" t="str">
        <f>IFERROR(IF(IFERROR(MATCH(18,'كشف الحساب'!$N$4:$N$253,0),0)=0,"",INDEX('كشف الحساب'!$C$4:$C$253,IFERROR(MATCH(18,'كشف الحساب'!$N$4:$N$253,0),0))),"")</f>
        <v>وصلات وحنفيه</v>
      </c>
      <c r="D22" s="28">
        <f>IFERROR(IF(IFERROR(MATCH(18,'كشف الحساب'!$N$4:$N$253,0),0)=0,"",INDEX('كشف الحساب'!$D$4:$D$253,IFERROR(MATCH(18,'كشف الحساب'!$N$4:$N$253,0),0))),"")</f>
        <v>2</v>
      </c>
      <c r="E22" s="62">
        <f>IFERROR(IF(IFERROR(MATCH(18,'كشف الحساب'!$N$4:$N$253,0),0)=0,"",INDEX('كشف الحساب'!$E$4:$E$253,IFERROR(MATCH(18,'كشف الحساب'!$N$4:$N$253,0),0))),"")</f>
        <v>0</v>
      </c>
      <c r="F22" s="61" t="str">
        <f>IFERROR(IF(IFERROR(MATCH(18,'كشف الحساب'!$N$4:$N$253,0),0)=0,"",INDEX('كشف الحساب'!$F$4:$F$253,IFERROR(MATCH(18,'كشف الحساب'!$N$4:$N$253,0),0))),"")</f>
        <v>نقداً</v>
      </c>
      <c r="G22" s="61" t="str">
        <f>IFERROR(IF(IFERROR(MATCH(18,'كشف الحساب'!$N$4:$N$253,0),0)=0,"",INDEX('كشف الحساب'!$G$4:$G$253,IFERROR(MATCH(18,'كشف الحساب'!$N$4:$N$253,0),0))),"")</f>
        <v>المحفظة</v>
      </c>
      <c r="H22" s="61" t="str">
        <f>IFERROR(IF(IFERROR(MATCH(18,'كشف الحساب'!$N$4:$N$253,0),0)=0,"",INDEX('كشف الحساب'!$H$4:$H$253,IFERROR(MATCH(18,'كشف الحساب'!$N$4:$N$253,0),0))),"")</f>
        <v>تم الدفع</v>
      </c>
      <c r="I22" s="61">
        <f>IFERROR(IF(IFERROR(MATCH(18,'كشف الحساب'!$N$4:$N$253,0),0)=0,"",INDEX('كشف الحساب'!$I$4:$I$253,IFERROR(MATCH(18,'كشف الحساب'!$N$4:$N$253,0),0))),"")</f>
        <v>0</v>
      </c>
      <c r="J22" s="34">
        <f>IFERROR(IF(IFERROR(MATCH(18,'كشف الحساب'!$N$4:$N$253,0),0)=0,"",INDEX('كشف الحساب'!$J$4:$J$253,IFERROR(MATCH(18,'كشف الحساب'!$N$4:$N$253,0),0))),"")</f>
        <v>43.320000000000014</v>
      </c>
      <c r="K22" s="61">
        <f>IFERROR(IF(IFERROR(MATCH(18,'كشف الحساب'!$N$4:$N$253,0),0)=0,"",INDEX('كشف الحساب'!$K$4:$K$253,IFERROR(MATCH(18,'كشف الحساب'!$N$4:$N$253,0),0))),"")</f>
        <v>0</v>
      </c>
    </row>
    <row r="23" spans="1:11" ht="16.5" customHeight="1" x14ac:dyDescent="0.25">
      <c r="A23" s="139">
        <f>IFERROR(IF(IFERROR(MATCH(19,'كشف الحساب'!$N$4:$N$253,0),0)=0,"",INDEX('كشف الحساب'!$A$4:$A$253,IFERROR(MATCH(19,'كشف الحساب'!$N$4:$N$253,0),0))),"")</f>
        <v>46252</v>
      </c>
      <c r="B23" s="59" t="str">
        <f>IFERROR(IF(IFERROR(MATCH(19,'كشف الحساب'!$N$4:$N$253,0),0)=0,"",INDEX('كشف الحساب'!$B$4:$B$253,IFERROR(MATCH(19,'كشف الحساب'!$N$4:$N$253,0),0))),"")</f>
        <v>Inv-115</v>
      </c>
      <c r="C23" s="37" t="str">
        <f>IFERROR(IF(IFERROR(MATCH(19,'كشف الحساب'!$N$4:$N$253,0),0)=0,"",INDEX('كشف الحساب'!$C$4:$C$253,IFERROR(MATCH(19,'كشف الحساب'!$N$4:$N$253,0),0))),"")</f>
        <v>فل عدد 14 الحبه .750</v>
      </c>
      <c r="D23" s="38">
        <f>IFERROR(IF(IFERROR(MATCH(19,'كشف الحساب'!$N$4:$N$253,0),0)=0,"",INDEX('كشف الحساب'!$D$4:$D$253,IFERROR(MATCH(19,'كشف الحساب'!$N$4:$N$253,0),0))),"")</f>
        <v>0</v>
      </c>
      <c r="E23" s="60">
        <f>IFERROR(IF(IFERROR(MATCH(19,'كشف الحساب'!$N$4:$N$253,0),0)=0,"",INDEX('كشف الحساب'!$E$4:$E$253,IFERROR(MATCH(19,'كشف الحساب'!$N$4:$N$253,0),0))),"")</f>
        <v>10.5</v>
      </c>
      <c r="F23" s="59" t="str">
        <f>IFERROR(IF(IFERROR(MATCH(19,'كشف الحساب'!$N$4:$N$253,0),0)=0,"",INDEX('كشف الحساب'!$F$4:$F$253,IFERROR(MATCH(19,'كشف الحساب'!$N$4:$N$253,0),0))),"")</f>
        <v>نقداً</v>
      </c>
      <c r="G23" s="59">
        <f>IFERROR(IF(IFERROR(MATCH(19,'كشف الحساب'!$N$4:$N$253,0),0)=0,"",INDEX('كشف الحساب'!$G$4:$G$253,IFERROR(MATCH(19,'كشف الحساب'!$N$4:$N$253,0),0))),"")</f>
        <v>0</v>
      </c>
      <c r="H23" s="59" t="str">
        <f>IFERROR(IF(IFERROR(MATCH(19,'كشف الحساب'!$N$4:$N$253,0),0)=0,"",INDEX('كشف الحساب'!$H$4:$H$253,IFERROR(MATCH(19,'كشف الحساب'!$N$4:$N$253,0),0))),"")</f>
        <v>تم الدفع</v>
      </c>
      <c r="I23" s="59">
        <f>IFERROR(IF(IFERROR(MATCH(19,'كشف الحساب'!$N$4:$N$253,0),0)=0,"",INDEX('كشف الحساب'!$I$4:$I$253,IFERROR(MATCH(19,'كشف الحساب'!$N$4:$N$253,0),0))),"")</f>
        <v>0</v>
      </c>
      <c r="J23" s="43">
        <f>IFERROR(IF(IFERROR(MATCH(19,'كشف الحساب'!$N$4:$N$253,0),0)=0,"",INDEX('كشف الحساب'!$J$4:$J$253,IFERROR(MATCH(19,'كشف الحساب'!$N$4:$N$253,0),0))),"")</f>
        <v>53.820000000000014</v>
      </c>
      <c r="K23" s="59">
        <f>IFERROR(IF(IFERROR(MATCH(19,'كشف الحساب'!$N$4:$N$253,0),0)=0,"",INDEX('كشف الحساب'!$K$4:$K$253,IFERROR(MATCH(19,'كشف الحساب'!$N$4:$N$253,0),0))),"")</f>
        <v>0</v>
      </c>
    </row>
    <row r="24" spans="1:11" ht="16.5" customHeight="1" x14ac:dyDescent="0.25">
      <c r="A24" s="25">
        <f>IFERROR(IF(IFERROR(MATCH(20,'كشف الحساب'!$N$4:$N$253,0),0)=0,"",INDEX('كشف الحساب'!$A$4:$A$253,IFERROR(MATCH(20,'كشف الحساب'!$N$4:$N$253,0),0))),"")</f>
        <v>46252</v>
      </c>
      <c r="B24" s="61" t="str">
        <f>IFERROR(IF(IFERROR(MATCH(20,'كشف الحساب'!$N$4:$N$253,0),0)=0,"",INDEX('كشف الحساب'!$B$4:$B$253,IFERROR(MATCH(20,'كشف الحساب'!$N$4:$N$253,0),0))),"")</f>
        <v>Inv-116</v>
      </c>
      <c r="C24" s="27" t="str">
        <f>IFERROR(IF(IFERROR(MATCH(20,'كشف الحساب'!$N$4:$N$253,0),0)=0,"",INDEX('كشف الحساب'!$C$4:$C$253,IFERROR(MATCH(20,'كشف الحساب'!$N$4:$N$253,0),0))),"")</f>
        <v>متنوع عدد 1 الحبه 2.500</v>
      </c>
      <c r="D24" s="28">
        <f>IFERROR(IF(IFERROR(MATCH(20,'كشف الحساب'!$N$4:$N$253,0),0)=0,"",INDEX('كشف الحساب'!$D$4:$D$253,IFERROR(MATCH(20,'كشف الحساب'!$N$4:$N$253,0),0))),"")</f>
        <v>0</v>
      </c>
      <c r="E24" s="62">
        <f>IFERROR(IF(IFERROR(MATCH(20,'كشف الحساب'!$N$4:$N$253,0),0)=0,"",INDEX('كشف الحساب'!$E$4:$E$253,IFERROR(MATCH(20,'كشف الحساب'!$N$4:$N$253,0),0))),"")</f>
        <v>2.5</v>
      </c>
      <c r="F24" s="61" t="str">
        <f>IFERROR(IF(IFERROR(MATCH(20,'كشف الحساب'!$N$4:$N$253,0),0)=0,"",INDEX('كشف الحساب'!$F$4:$F$253,IFERROR(MATCH(20,'كشف الحساب'!$N$4:$N$253,0),0))),"")</f>
        <v>نقداً</v>
      </c>
      <c r="G24" s="61">
        <f>IFERROR(IF(IFERROR(MATCH(20,'كشف الحساب'!$N$4:$N$253,0),0)=0,"",INDEX('كشف الحساب'!$G$4:$G$253,IFERROR(MATCH(20,'كشف الحساب'!$N$4:$N$253,0),0))),"")</f>
        <v>0</v>
      </c>
      <c r="H24" s="61" t="str">
        <f>IFERROR(IF(IFERROR(MATCH(20,'كشف الحساب'!$N$4:$N$253,0),0)=0,"",INDEX('كشف الحساب'!$H$4:$H$253,IFERROR(MATCH(20,'كشف الحساب'!$N$4:$N$253,0),0))),"")</f>
        <v>تم الدفع</v>
      </c>
      <c r="I24" s="61">
        <f>IFERROR(IF(IFERROR(MATCH(20,'كشف الحساب'!$N$4:$N$253,0),0)=0,"",INDEX('كشف الحساب'!$I$4:$I$253,IFERROR(MATCH(20,'كشف الحساب'!$N$4:$N$253,0),0))),"")</f>
        <v>0</v>
      </c>
      <c r="J24" s="34">
        <f>IFERROR(IF(IFERROR(MATCH(20,'كشف الحساب'!$N$4:$N$253,0),0)=0,"",INDEX('كشف الحساب'!$J$4:$J$253,IFERROR(MATCH(20,'كشف الحساب'!$N$4:$N$253,0),0))),"")</f>
        <v>56.320000000000014</v>
      </c>
      <c r="K24" s="61">
        <f>IFERROR(IF(IFERROR(MATCH(20,'كشف الحساب'!$N$4:$N$253,0),0)=0,"",INDEX('كشف الحساب'!$K$4:$K$253,IFERROR(MATCH(20,'كشف الحساب'!$N$4:$N$253,0),0))),"")</f>
        <v>0</v>
      </c>
    </row>
    <row r="25" spans="1:11" ht="16.5" customHeight="1" x14ac:dyDescent="0.25">
      <c r="A25" s="139">
        <f>IFERROR(IF(IFERROR(MATCH(21,'كشف الحساب'!$N$4:$N$253,0),0)=0,"",INDEX('كشف الحساب'!$A$4:$A$253,IFERROR(MATCH(21,'كشف الحساب'!$N$4:$N$253,0),0))),"")</f>
        <v>46258</v>
      </c>
      <c r="B25" s="59" t="str">
        <f>IFERROR(IF(IFERROR(MATCH(21,'كشف الحساب'!$N$4:$N$253,0),0)=0,"",INDEX('كشف الحساب'!$B$4:$B$253,IFERROR(MATCH(21,'كشف الحساب'!$N$4:$N$253,0),0))),"")</f>
        <v>Inv-117</v>
      </c>
      <c r="C25" s="37" t="str">
        <f>IFERROR(IF(IFERROR(MATCH(21,'كشف الحساب'!$N$4:$N$253,0),0)=0,"",INDEX('كشف الحساب'!$C$4:$C$253,IFERROR(MATCH(21,'كشف الحساب'!$N$4:$N$253,0),0))),"")</f>
        <v>ربل عدد 10 الحبه 2.250</v>
      </c>
      <c r="D25" s="38">
        <f>IFERROR(IF(IFERROR(MATCH(21,'كشف الحساب'!$N$4:$N$253,0),0)=0,"",INDEX('كشف الحساب'!$D$4:$D$253,IFERROR(MATCH(21,'كشف الحساب'!$N$4:$N$253,0),0))),"")</f>
        <v>0</v>
      </c>
      <c r="E25" s="60">
        <f>IFERROR(IF(IFERROR(MATCH(21,'كشف الحساب'!$N$4:$N$253,0),0)=0,"",INDEX('كشف الحساب'!$E$4:$E$253,IFERROR(MATCH(21,'كشف الحساب'!$N$4:$N$253,0),0))),"")</f>
        <v>22.5</v>
      </c>
      <c r="F25" s="59" t="str">
        <f>IFERROR(IF(IFERROR(MATCH(21,'كشف الحساب'!$N$4:$N$253,0),0)=0,"",INDEX('كشف الحساب'!$F$4:$F$253,IFERROR(MATCH(21,'كشف الحساب'!$N$4:$N$253,0),0))),"")</f>
        <v>نقداً</v>
      </c>
      <c r="G25" s="59">
        <f>IFERROR(IF(IFERROR(MATCH(21,'كشف الحساب'!$N$4:$N$253,0),0)=0,"",INDEX('كشف الحساب'!$G$4:$G$253,IFERROR(MATCH(21,'كشف الحساب'!$N$4:$N$253,0),0))),"")</f>
        <v>0</v>
      </c>
      <c r="H25" s="59" t="str">
        <f>IFERROR(IF(IFERROR(MATCH(21,'كشف الحساب'!$N$4:$N$253,0),0)=0,"",INDEX('كشف الحساب'!$H$4:$H$253,IFERROR(MATCH(21,'كشف الحساب'!$N$4:$N$253,0),0))),"")</f>
        <v>تم الدفع</v>
      </c>
      <c r="I25" s="59">
        <f>IFERROR(IF(IFERROR(MATCH(21,'كشف الحساب'!$N$4:$N$253,0),0)=0,"",INDEX('كشف الحساب'!$I$4:$I$253,IFERROR(MATCH(21,'كشف الحساب'!$N$4:$N$253,0),0))),"")</f>
        <v>0</v>
      </c>
      <c r="J25" s="43">
        <f>IFERROR(IF(IFERROR(MATCH(21,'كشف الحساب'!$N$4:$N$253,0),0)=0,"",INDEX('كشف الحساب'!$J$4:$J$253,IFERROR(MATCH(21,'كشف الحساب'!$N$4:$N$253,0),0))),"")</f>
        <v>78.820000000000022</v>
      </c>
      <c r="K25" s="59">
        <f>IFERROR(IF(IFERROR(MATCH(21,'كشف الحساب'!$N$4:$N$253,0),0)=0,"",INDEX('كشف الحساب'!$K$4:$K$253,IFERROR(MATCH(21,'كشف الحساب'!$N$4:$N$253,0),0))),"")</f>
        <v>0</v>
      </c>
    </row>
    <row r="26" spans="1:11" ht="16.5" customHeight="1" x14ac:dyDescent="0.25">
      <c r="A26" s="25">
        <f>IFERROR(IF(IFERROR(MATCH(22,'كشف الحساب'!$N$4:$N$253,0),0)=0,"",INDEX('كشف الحساب'!$A$4:$A$253,IFERROR(MATCH(22,'كشف الحساب'!$N$4:$N$253,0),0))),"")</f>
        <v>46258</v>
      </c>
      <c r="B26" s="61" t="str">
        <f>IFERROR(IF(IFERROR(MATCH(22,'كشف الحساب'!$N$4:$N$253,0),0)=0,"",INDEX('كشف الحساب'!$B$4:$B$253,IFERROR(MATCH(22,'كشف الحساب'!$N$4:$N$253,0),0))),"")</f>
        <v>Inv-118</v>
      </c>
      <c r="C26" s="27" t="str">
        <f>IFERROR(IF(IFERROR(MATCH(22,'كشف الحساب'!$N$4:$N$253,0),0)=0,"",INDEX('كشف الحساب'!$C$4:$C$253,IFERROR(MATCH(22,'كشف الحساب'!$N$4:$N$253,0),0))),"")</f>
        <v>متنوع عدد 4 الحبه 1</v>
      </c>
      <c r="D26" s="28">
        <f>IFERROR(IF(IFERROR(MATCH(22,'كشف الحساب'!$N$4:$N$253,0),0)=0,"",INDEX('كشف الحساب'!$D$4:$D$253,IFERROR(MATCH(22,'كشف الحساب'!$N$4:$N$253,0),0))),"")</f>
        <v>0</v>
      </c>
      <c r="E26" s="62">
        <f>IFERROR(IF(IFERROR(MATCH(22,'كشف الحساب'!$N$4:$N$253,0),0)=0,"",INDEX('كشف الحساب'!$E$4:$E$253,IFERROR(MATCH(22,'كشف الحساب'!$N$4:$N$253,0),0))),"")</f>
        <v>4</v>
      </c>
      <c r="F26" s="61" t="str">
        <f>IFERROR(IF(IFERROR(MATCH(22,'كشف الحساب'!$N$4:$N$253,0),0)=0,"",INDEX('كشف الحساب'!$F$4:$F$253,IFERROR(MATCH(22,'كشف الحساب'!$N$4:$N$253,0),0))),"")</f>
        <v>نقداً</v>
      </c>
      <c r="G26" s="61">
        <f>IFERROR(IF(IFERROR(MATCH(22,'كشف الحساب'!$N$4:$N$253,0),0)=0,"",INDEX('كشف الحساب'!$G$4:$G$253,IFERROR(MATCH(22,'كشف الحساب'!$N$4:$N$253,0),0))),"")</f>
        <v>0</v>
      </c>
      <c r="H26" s="61" t="str">
        <f>IFERROR(IF(IFERROR(MATCH(22,'كشف الحساب'!$N$4:$N$253,0),0)=0,"",INDEX('كشف الحساب'!$H$4:$H$253,IFERROR(MATCH(22,'كشف الحساب'!$N$4:$N$253,0),0))),"")</f>
        <v>تم الدفع</v>
      </c>
      <c r="I26" s="61">
        <f>IFERROR(IF(IFERROR(MATCH(22,'كشف الحساب'!$N$4:$N$253,0),0)=0,"",INDEX('كشف الحساب'!$I$4:$I$253,IFERROR(MATCH(22,'كشف الحساب'!$N$4:$N$253,0),0))),"")</f>
        <v>0</v>
      </c>
      <c r="J26" s="34">
        <f>IFERROR(IF(IFERROR(MATCH(22,'كشف الحساب'!$N$4:$N$253,0),0)=0,"",INDEX('كشف الحساب'!$J$4:$J$253,IFERROR(MATCH(22,'كشف الحساب'!$N$4:$N$253,0),0))),"")</f>
        <v>82.820000000000022</v>
      </c>
      <c r="K26" s="61">
        <f>IFERROR(IF(IFERROR(MATCH(22,'كشف الحساب'!$N$4:$N$253,0),0)=0,"",INDEX('كشف الحساب'!$K$4:$K$253,IFERROR(MATCH(22,'كشف الحساب'!$N$4:$N$253,0),0))),"")</f>
        <v>0</v>
      </c>
    </row>
    <row r="27" spans="1:11" ht="16.5" customHeight="1" x14ac:dyDescent="0.25">
      <c r="A27" s="139">
        <f>IFERROR(IF(IFERROR(MATCH(23,'كشف الحساب'!$N$4:$N$253,0),0)=0,"",INDEX('كشف الحساب'!$A$4:$A$253,IFERROR(MATCH(23,'كشف الحساب'!$N$4:$N$253,0),0))),"")</f>
        <v>46258</v>
      </c>
      <c r="B27" s="59" t="str">
        <f>IFERROR(IF(IFERROR(MATCH(23,'كشف الحساب'!$N$4:$N$253,0),0)=0,"",INDEX('كشف الحساب'!$B$4:$B$253,IFERROR(MATCH(23,'كشف الحساب'!$N$4:$N$253,0),0))),"")</f>
        <v>Inv-119</v>
      </c>
      <c r="C27" s="37" t="str">
        <f>IFERROR(IF(IFERROR(MATCH(23,'كشف الحساب'!$N$4:$N$253,0),0)=0,"",INDEX('كشف الحساب'!$C$4:$C$253,IFERROR(MATCH(23,'كشف الحساب'!$N$4:$N$253,0),0))),"")</f>
        <v>دارسينا عدد 2 الحبه 3</v>
      </c>
      <c r="D27" s="38">
        <f>IFERROR(IF(IFERROR(MATCH(23,'كشف الحساب'!$N$4:$N$253,0),0)=0,"",INDEX('كشف الحساب'!$D$4:$D$253,IFERROR(MATCH(23,'كشف الحساب'!$N$4:$N$253,0),0))),"")</f>
        <v>0</v>
      </c>
      <c r="E27" s="60">
        <f>IFERROR(IF(IFERROR(MATCH(23,'كشف الحساب'!$N$4:$N$253,0),0)=0,"",INDEX('كشف الحساب'!$E$4:$E$253,IFERROR(MATCH(23,'كشف الحساب'!$N$4:$N$253,0),0))),"")</f>
        <v>6</v>
      </c>
      <c r="F27" s="59" t="str">
        <f>IFERROR(IF(IFERROR(MATCH(23,'كشف الحساب'!$N$4:$N$253,0),0)=0,"",INDEX('كشف الحساب'!$F$4:$F$253,IFERROR(MATCH(23,'كشف الحساب'!$N$4:$N$253,0),0))),"")</f>
        <v>نقداً</v>
      </c>
      <c r="G27" s="59">
        <f>IFERROR(IF(IFERROR(MATCH(23,'كشف الحساب'!$N$4:$N$253,0),0)=0,"",INDEX('كشف الحساب'!$G$4:$G$253,IFERROR(MATCH(23,'كشف الحساب'!$N$4:$N$253,0),0))),"")</f>
        <v>0</v>
      </c>
      <c r="H27" s="59" t="str">
        <f>IFERROR(IF(IFERROR(MATCH(23,'كشف الحساب'!$N$4:$N$253,0),0)=0,"",INDEX('كشف الحساب'!$H$4:$H$253,IFERROR(MATCH(23,'كشف الحساب'!$N$4:$N$253,0),0))),"")</f>
        <v>تم الدفع</v>
      </c>
      <c r="I27" s="59">
        <f>IFERROR(IF(IFERROR(MATCH(23,'كشف الحساب'!$N$4:$N$253,0),0)=0,"",INDEX('كشف الحساب'!$I$4:$I$253,IFERROR(MATCH(23,'كشف الحساب'!$N$4:$N$253,0),0))),"")</f>
        <v>0</v>
      </c>
      <c r="J27" s="43">
        <f>IFERROR(IF(IFERROR(MATCH(23,'كشف الحساب'!$N$4:$N$253,0),0)=0,"",INDEX('كشف الحساب'!$J$4:$J$253,IFERROR(MATCH(23,'كشف الحساب'!$N$4:$N$253,0),0))),"")</f>
        <v>88.820000000000022</v>
      </c>
      <c r="K27" s="59">
        <f>IFERROR(IF(IFERROR(MATCH(23,'كشف الحساب'!$N$4:$N$253,0),0)=0,"",INDEX('كشف الحساب'!$K$4:$K$253,IFERROR(MATCH(23,'كشف الحساب'!$N$4:$N$253,0),0))),"")</f>
        <v>0</v>
      </c>
    </row>
    <row r="28" spans="1:11" ht="16.5" customHeight="1" x14ac:dyDescent="0.25">
      <c r="A28" s="25">
        <f>IFERROR(IF(IFERROR(MATCH(24,'كشف الحساب'!$N$4:$N$253,0),0)=0,"",INDEX('كشف الحساب'!$A$4:$A$253,IFERROR(MATCH(24,'كشف الحساب'!$N$4:$N$253,0),0))),"")</f>
        <v>46258</v>
      </c>
      <c r="B28" s="61" t="str">
        <f>IFERROR(IF(IFERROR(MATCH(24,'كشف الحساب'!$N$4:$N$253,0),0)=0,"",INDEX('كشف الحساب'!$B$4:$B$253,IFERROR(MATCH(24,'كشف الحساب'!$N$4:$N$253,0),0))),"")</f>
        <v>Inv-120</v>
      </c>
      <c r="C28" s="27" t="str">
        <f>IFERROR(IF(IFERROR(MATCH(24,'كشف الحساب'!$N$4:$N$253,0),0)=0,"",INDEX('كشف الحساب'!$C$4:$C$253,IFERROR(MATCH(24,'كشف الحساب'!$N$4:$N$253,0),0))),"")</f>
        <v>فل عدد 2 الحبه .750</v>
      </c>
      <c r="D28" s="28">
        <f>IFERROR(IF(IFERROR(MATCH(24,'كشف الحساب'!$N$4:$N$253,0),0)=0,"",INDEX('كشف الحساب'!$D$4:$D$253,IFERROR(MATCH(24,'كشف الحساب'!$N$4:$N$253,0),0))),"")</f>
        <v>0</v>
      </c>
      <c r="E28" s="62">
        <f>IFERROR(IF(IFERROR(MATCH(24,'كشف الحساب'!$N$4:$N$253,0),0)=0,"",INDEX('كشف الحساب'!$E$4:$E$253,IFERROR(MATCH(24,'كشف الحساب'!$N$4:$N$253,0),0))),"")</f>
        <v>1.5</v>
      </c>
      <c r="F28" s="61" t="str">
        <f>IFERROR(IF(IFERROR(MATCH(24,'كشف الحساب'!$N$4:$N$253,0),0)=0,"",INDEX('كشف الحساب'!$F$4:$F$253,IFERROR(MATCH(24,'كشف الحساب'!$N$4:$N$253,0),0))),"")</f>
        <v>نقداً</v>
      </c>
      <c r="G28" s="61">
        <f>IFERROR(IF(IFERROR(MATCH(24,'كشف الحساب'!$N$4:$N$253,0),0)=0,"",INDEX('كشف الحساب'!$G$4:$G$253,IFERROR(MATCH(24,'كشف الحساب'!$N$4:$N$253,0),0))),"")</f>
        <v>0</v>
      </c>
      <c r="H28" s="61" t="str">
        <f>IFERROR(IF(IFERROR(MATCH(24,'كشف الحساب'!$N$4:$N$253,0),0)=0,"",INDEX('كشف الحساب'!$H$4:$H$253,IFERROR(MATCH(24,'كشف الحساب'!$N$4:$N$253,0),0))),"")</f>
        <v>تم الدفع</v>
      </c>
      <c r="I28" s="61">
        <f>IFERROR(IF(IFERROR(MATCH(24,'كشف الحساب'!$N$4:$N$253,0),0)=0,"",INDEX('كشف الحساب'!$I$4:$I$253,IFERROR(MATCH(24,'كشف الحساب'!$N$4:$N$253,0),0))),"")</f>
        <v>0</v>
      </c>
      <c r="J28" s="34">
        <f>IFERROR(IF(IFERROR(MATCH(24,'كشف الحساب'!$N$4:$N$253,0),0)=0,"",INDEX('كشف الحساب'!$J$4:$J$253,IFERROR(MATCH(24,'كشف الحساب'!$N$4:$N$253,0),0))),"")</f>
        <v>90.320000000000022</v>
      </c>
      <c r="K28" s="61">
        <f>IFERROR(IF(IFERROR(MATCH(24,'كشف الحساب'!$N$4:$N$253,0),0)=0,"",INDEX('كشف الحساب'!$K$4:$K$253,IFERROR(MATCH(24,'كشف الحساب'!$N$4:$N$253,0),0))),"")</f>
        <v>0</v>
      </c>
    </row>
    <row r="29" spans="1:11" ht="16.5" customHeight="1" x14ac:dyDescent="0.25">
      <c r="A29" s="139">
        <f>IFERROR(IF(IFERROR(MATCH(25,'كشف الحساب'!$N$4:$N$253,0),0)=0,"",INDEX('كشف الحساب'!$A$4:$A$253,IFERROR(MATCH(25,'كشف الحساب'!$N$4:$N$253,0),0))),"")</f>
        <v>46235</v>
      </c>
      <c r="B29" s="59">
        <f>IFERROR(IF(IFERROR(MATCH(25,'كشف الحساب'!$N$4:$N$253,0),0)=0,"",INDEX('كشف الحساب'!$B$4:$B$253,IFERROR(MATCH(25,'كشف الحساب'!$N$4:$N$253,0),0))),"")</f>
        <v>0</v>
      </c>
      <c r="C29" s="37" t="str">
        <f>IFERROR(IF(IFERROR(MATCH(25,'كشف الحساب'!$N$4:$N$253,0),0)=0,"",INDEX('كشف الحساب'!$C$4:$C$253,IFERROR(MATCH(25,'كشف الحساب'!$N$4:$N$253,0),0))),"")</f>
        <v>احواض عدد 3500 مقاس 25 سم</v>
      </c>
      <c r="D29" s="38">
        <f>IFERROR(IF(IFERROR(MATCH(25,'كشف الحساب'!$N$4:$N$253,0),0)=0,"",INDEX('كشف الحساب'!$D$4:$D$253,IFERROR(MATCH(25,'كشف الحساب'!$N$4:$N$253,0),0))),"")</f>
        <v>280</v>
      </c>
      <c r="E29" s="60">
        <f>IFERROR(IF(IFERROR(MATCH(25,'كشف الحساب'!$N$4:$N$253,0),0)=0,"",INDEX('كشف الحساب'!$E$4:$E$253,IFERROR(MATCH(25,'كشف الحساب'!$N$4:$N$253,0),0))),"")</f>
        <v>0</v>
      </c>
      <c r="F29" s="59" t="str">
        <f>IFERROR(IF(IFERROR(MATCH(25,'كشف الحساب'!$N$4:$N$253,0),0)=0,"",INDEX('كشف الحساب'!$F$4:$F$253,IFERROR(MATCH(25,'كشف الحساب'!$N$4:$N$253,0),0))),"")</f>
        <v>أحد الشركاء</v>
      </c>
      <c r="G29" s="59" t="str">
        <f>IFERROR(IF(IFERROR(MATCH(25,'كشف الحساب'!$N$4:$N$253,0),0)=0,"",INDEX('كشف الحساب'!$G$4:$G$253,IFERROR(MATCH(25,'كشف الحساب'!$N$4:$N$253,0),0))),"")</f>
        <v>أبو آدم</v>
      </c>
      <c r="H29" s="59" t="str">
        <f>IFERROR(IF(IFERROR(MATCH(25,'كشف الحساب'!$N$4:$N$253,0),0)=0,"",INDEX('كشف الحساب'!$H$4:$H$253,IFERROR(MATCH(25,'كشف الحساب'!$N$4:$N$253,0),0))),"")</f>
        <v>تم الدفع</v>
      </c>
      <c r="I29" s="59">
        <f>IFERROR(IF(IFERROR(MATCH(25,'كشف الحساب'!$N$4:$N$253,0),0)=0,"",INDEX('كشف الحساب'!$I$4:$I$253,IFERROR(MATCH(25,'كشف الحساب'!$N$4:$N$253,0),0))),"")</f>
        <v>0</v>
      </c>
      <c r="J29" s="43">
        <f>IFERROR(IF(IFERROR(MATCH(25,'كشف الحساب'!$N$4:$N$253,0),0)=0,"",INDEX('كشف الحساب'!$J$4:$J$253,IFERROR(MATCH(25,'كشف الحساب'!$N$4:$N$253,0),0))),"")</f>
        <v>90.320000000000022</v>
      </c>
      <c r="K29" s="59">
        <f>IFERROR(IF(IFERROR(MATCH(25,'كشف الحساب'!$N$4:$N$253,0),0)=0,"",INDEX('كشف الحساب'!$K$4:$K$253,IFERROR(MATCH(25,'كشف الحساب'!$N$4:$N$253,0),0))),"")</f>
        <v>0</v>
      </c>
    </row>
    <row r="30" spans="1:11" ht="16.5" customHeight="1" x14ac:dyDescent="0.25">
      <c r="A30" s="25">
        <f>IFERROR(IF(IFERROR(MATCH(26,'كشف الحساب'!$N$4:$N$253,0),0)=0,"",INDEX('كشف الحساب'!$A$4:$A$253,IFERROR(MATCH(26,'كشف الحساب'!$N$4:$N$253,0),0))),"")</f>
        <v>46238</v>
      </c>
      <c r="B30" s="61">
        <f>IFERROR(IF(IFERROR(MATCH(26,'كشف الحساب'!$N$4:$N$253,0),0)=0,"",INDEX('كشف الحساب'!$B$4:$B$253,IFERROR(MATCH(26,'كشف الحساب'!$N$4:$N$253,0),0))),"")</f>
        <v>0</v>
      </c>
      <c r="C30" s="27" t="str">
        <f>IFERROR(IF(IFERROR(MATCH(26,'كشف الحساب'!$N$4:$N$253,0),0)=0,"",INDEX('كشف الحساب'!$C$4:$C$253,IFERROR(MATCH(26,'كشف الحساب'!$N$4:$N$253,0),0))),"")</f>
        <v>حديد كحميه 2</v>
      </c>
      <c r="D30" s="28">
        <f>IFERROR(IF(IFERROR(MATCH(26,'كشف الحساب'!$N$4:$N$253,0),0)=0,"",INDEX('كشف الحساب'!$D$4:$D$253,IFERROR(MATCH(26,'كشف الحساب'!$N$4:$N$253,0),0))),"")</f>
        <v>68</v>
      </c>
      <c r="E30" s="62">
        <f>IFERROR(IF(IFERROR(MATCH(26,'كشف الحساب'!$N$4:$N$253,0),0)=0,"",INDEX('كشف الحساب'!$E$4:$E$253,IFERROR(MATCH(26,'كشف الحساب'!$N$4:$N$253,0),0))),"")</f>
        <v>0</v>
      </c>
      <c r="F30" s="61" t="str">
        <f>IFERROR(IF(IFERROR(MATCH(26,'كشف الحساب'!$N$4:$N$253,0),0)=0,"",INDEX('كشف الحساب'!$F$4:$F$253,IFERROR(MATCH(26,'كشف الحساب'!$N$4:$N$253,0),0))),"")</f>
        <v>أحد الشركاء</v>
      </c>
      <c r="G30" s="61" t="str">
        <f>IFERROR(IF(IFERROR(MATCH(26,'كشف الحساب'!$N$4:$N$253,0),0)=0,"",INDEX('كشف الحساب'!$G$4:$G$253,IFERROR(MATCH(26,'كشف الحساب'!$N$4:$N$253,0),0))),"")</f>
        <v>أبو اسحاق</v>
      </c>
      <c r="H30" s="61" t="str">
        <f>IFERROR(IF(IFERROR(MATCH(26,'كشف الحساب'!$N$4:$N$253,0),0)=0,"",INDEX('كشف الحساب'!$H$4:$H$253,IFERROR(MATCH(26,'كشف الحساب'!$N$4:$N$253,0),0))),"")</f>
        <v>تم الدفع</v>
      </c>
      <c r="I30" s="61">
        <f>IFERROR(IF(IFERROR(MATCH(26,'كشف الحساب'!$N$4:$N$253,0),0)=0,"",INDEX('كشف الحساب'!$I$4:$I$253,IFERROR(MATCH(26,'كشف الحساب'!$N$4:$N$253,0),0))),"")</f>
        <v>0</v>
      </c>
      <c r="J30" s="34">
        <f>IFERROR(IF(IFERROR(MATCH(26,'كشف الحساب'!$N$4:$N$253,0),0)=0,"",INDEX('كشف الحساب'!$J$4:$J$253,IFERROR(MATCH(26,'كشف الحساب'!$N$4:$N$253,0),0))),"")</f>
        <v>90.320000000000022</v>
      </c>
      <c r="K30" s="61">
        <f>IFERROR(IF(IFERROR(MATCH(26,'كشف الحساب'!$N$4:$N$253,0),0)=0,"",INDEX('كشف الحساب'!$K$4:$K$253,IFERROR(MATCH(26,'كشف الحساب'!$N$4:$N$253,0),0))),"")</f>
        <v>0</v>
      </c>
    </row>
    <row r="31" spans="1:11" ht="16.5" customHeight="1" x14ac:dyDescent="0.25">
      <c r="A31" s="139">
        <f>IFERROR(IF(IFERROR(MATCH(27,'كشف الحساب'!$N$4:$N$253,0),0)=0,"",INDEX('كشف الحساب'!$A$4:$A$253,IFERROR(MATCH(27,'كشف الحساب'!$N$4:$N$253,0),0))),"")</f>
        <v>46258</v>
      </c>
      <c r="B31" s="59">
        <f>IFERROR(IF(IFERROR(MATCH(27,'كشف الحساب'!$N$4:$N$253,0),0)=0,"",INDEX('كشف الحساب'!$B$4:$B$253,IFERROR(MATCH(27,'كشف الحساب'!$N$4:$N$253,0),0))),"")</f>
        <v>0</v>
      </c>
      <c r="C31" s="37" t="str">
        <f>IFERROR(IF(IFERROR(MATCH(27,'كشف الحساب'!$N$4:$N$253,0),0)=0,"",INDEX('كشف الحساب'!$C$4:$C$253,IFERROR(MATCH(27,'كشف الحساب'!$N$4:$N$253,0),0))),"")</f>
        <v>اسمده</v>
      </c>
      <c r="D31" s="38">
        <f>IFERROR(IF(IFERROR(MATCH(27,'كشف الحساب'!$N$4:$N$253,0),0)=0,"",INDEX('كشف الحساب'!$D$4:$D$253,IFERROR(MATCH(27,'كشف الحساب'!$N$4:$N$253,0),0))),"")</f>
        <v>4.125</v>
      </c>
      <c r="E31" s="60">
        <f>IFERROR(IF(IFERROR(MATCH(27,'كشف الحساب'!$N$4:$N$253,0),0)=0,"",INDEX('كشف الحساب'!$E$4:$E$253,IFERROR(MATCH(27,'كشف الحساب'!$N$4:$N$253,0),0))),"")</f>
        <v>0</v>
      </c>
      <c r="F31" s="59" t="str">
        <f>IFERROR(IF(IFERROR(MATCH(27,'كشف الحساب'!$N$4:$N$253,0),0)=0,"",INDEX('كشف الحساب'!$F$4:$F$253,IFERROR(MATCH(27,'كشف الحساب'!$N$4:$N$253,0),0))),"")</f>
        <v>نقداً</v>
      </c>
      <c r="G31" s="59" t="str">
        <f>IFERROR(IF(IFERROR(MATCH(27,'كشف الحساب'!$N$4:$N$253,0),0)=0,"",INDEX('كشف الحساب'!$G$4:$G$253,IFERROR(MATCH(27,'كشف الحساب'!$N$4:$N$253,0),0))),"")</f>
        <v>المحفظة</v>
      </c>
      <c r="H31" s="59" t="str">
        <f>IFERROR(IF(IFERROR(MATCH(27,'كشف الحساب'!$N$4:$N$253,0),0)=0,"",INDEX('كشف الحساب'!$H$4:$H$253,IFERROR(MATCH(27,'كشف الحساب'!$N$4:$N$253,0),0))),"")</f>
        <v>تم الدفع</v>
      </c>
      <c r="I31" s="59">
        <f>IFERROR(IF(IFERROR(MATCH(27,'كشف الحساب'!$N$4:$N$253,0),0)=0,"",INDEX('كشف الحساب'!$I$4:$I$253,IFERROR(MATCH(27,'كشف الحساب'!$N$4:$N$253,0),0))),"")</f>
        <v>0</v>
      </c>
      <c r="J31" s="43">
        <f>IFERROR(IF(IFERROR(MATCH(27,'كشف الحساب'!$N$4:$N$253,0),0)=0,"",INDEX('كشف الحساب'!$J$4:$J$253,IFERROR(MATCH(27,'كشف الحساب'!$N$4:$N$253,0),0))),"")</f>
        <v>86.195000000000022</v>
      </c>
      <c r="K31" s="59">
        <f>IFERROR(IF(IFERROR(MATCH(27,'كشف الحساب'!$N$4:$N$253,0),0)=0,"",INDEX('كشف الحساب'!$K$4:$K$253,IFERROR(MATCH(27,'كشف الحساب'!$N$4:$N$253,0),0))),"")</f>
        <v>0</v>
      </c>
    </row>
    <row r="32" spans="1:11" ht="16.5" customHeight="1" x14ac:dyDescent="0.25">
      <c r="A32" s="25">
        <f>IFERROR(IF(IFERROR(MATCH(28,'كشف الحساب'!$N$4:$N$253,0),0)=0,"",INDEX('كشف الحساب'!$A$4:$A$253,IFERROR(MATCH(28,'كشف الحساب'!$N$4:$N$253,0),0))),"")</f>
        <v>46260</v>
      </c>
      <c r="B32" s="61" t="str">
        <f>IFERROR(IF(IFERROR(MATCH(28,'كشف الحساب'!$N$4:$N$253,0),0)=0,"",INDEX('كشف الحساب'!$B$4:$B$253,IFERROR(MATCH(28,'كشف الحساب'!$N$4:$N$253,0),0))),"")</f>
        <v>Inv-121</v>
      </c>
      <c r="C32" s="27" t="str">
        <f>IFERROR(IF(IFERROR(MATCH(28,'كشف الحساب'!$N$4:$N$253,0),0)=0,"",INDEX('كشف الحساب'!$C$4:$C$253,IFERROR(MATCH(28,'كشف الحساب'!$N$4:$N$253,0),0))),"")</f>
        <v>شركه التهاني</v>
      </c>
      <c r="D32" s="28">
        <f>IFERROR(IF(IFERROR(MATCH(28,'كشف الحساب'!$N$4:$N$253,0),0)=0,"",INDEX('كشف الحساب'!$D$4:$D$253,IFERROR(MATCH(28,'كشف الحساب'!$N$4:$N$253,0),0))),"")</f>
        <v>0</v>
      </c>
      <c r="E32" s="62">
        <f>IFERROR(IF(IFERROR(MATCH(28,'كشف الحساب'!$N$4:$N$253,0),0)=0,"",INDEX('كشف الحساب'!$E$4:$E$253,IFERROR(MATCH(28,'كشف الحساب'!$N$4:$N$253,0),0))),"")</f>
        <v>260</v>
      </c>
      <c r="F32" s="61" t="str">
        <f>IFERROR(IF(IFERROR(MATCH(28,'كشف الحساب'!$N$4:$N$253,0),0)=0,"",INDEX('كشف الحساب'!$F$4:$F$253,IFERROR(MATCH(28,'كشف الحساب'!$N$4:$N$253,0),0))),"")</f>
        <v>نقداً</v>
      </c>
      <c r="G32" s="61">
        <f>IFERROR(IF(IFERROR(MATCH(28,'كشف الحساب'!$N$4:$N$253,0),0)=0,"",INDEX('كشف الحساب'!$G$4:$G$253,IFERROR(MATCH(28,'كشف الحساب'!$N$4:$N$253,0),0))),"")</f>
        <v>0</v>
      </c>
      <c r="H32" s="61" t="str">
        <f>IFERROR(IF(IFERROR(MATCH(28,'كشف الحساب'!$N$4:$N$253,0),0)=0,"",INDEX('كشف الحساب'!$H$4:$H$253,IFERROR(MATCH(28,'كشف الحساب'!$N$4:$N$253,0),0))),"")</f>
        <v>تم الدفع</v>
      </c>
      <c r="I32" s="61">
        <f>IFERROR(IF(IFERROR(MATCH(28,'كشف الحساب'!$N$4:$N$253,0),0)=0,"",INDEX('كشف الحساب'!$I$4:$I$253,IFERROR(MATCH(28,'كشف الحساب'!$N$4:$N$253,0),0))),"")</f>
        <v>0</v>
      </c>
      <c r="J32" s="34">
        <f>IFERROR(IF(IFERROR(MATCH(28,'كشف الحساب'!$N$4:$N$253,0),0)=0,"",INDEX('كشف الحساب'!$J$4:$J$253,IFERROR(MATCH(28,'كشف الحساب'!$N$4:$N$253,0),0))),"")</f>
        <v>346.19500000000005</v>
      </c>
      <c r="K32" s="61" t="str">
        <f>IFERROR(IF(IFERROR(MATCH(28,'كشف الحساب'!$N$4:$N$253,0),0)=0,"",INDEX('كشف الحساب'!$K$4:$K$253,IFERROR(MATCH(28,'كشف الحساب'!$N$4:$N$253,0),0))),"")</f>
        <v>تم عمل خصم من ابوادم 3.750</v>
      </c>
    </row>
    <row r="33" spans="1:11" ht="16.5" customHeight="1" x14ac:dyDescent="0.25">
      <c r="A33" s="139">
        <f>IFERROR(IF(IFERROR(MATCH(29,'كشف الحساب'!$N$4:$N$253,0),0)=0,"",INDEX('كشف الحساب'!$A$4:$A$253,IFERROR(MATCH(29,'كشف الحساب'!$N$4:$N$253,0),0))),"")</f>
        <v>46260</v>
      </c>
      <c r="B33" s="59">
        <f>IFERROR(IF(IFERROR(MATCH(29,'كشف الحساب'!$N$4:$N$253,0),0)=0,"",INDEX('كشف الحساب'!$B$4:$B$253,IFERROR(MATCH(29,'كشف الحساب'!$N$4:$N$253,0),0))),"")</f>
        <v>0</v>
      </c>
      <c r="C33" s="37" t="str">
        <f>IFERROR(IF(IFERROR(MATCH(29,'كشف الحساب'!$N$4:$N$253,0),0)=0,"",INDEX('كشف الحساب'!$C$4:$C$253,IFERROR(MATCH(29,'كشف الحساب'!$N$4:$N$253,0),0))),"")</f>
        <v>, حوض معلق عدد500 (الوحده.170(,بتموس عدد 10 الحبه 15</v>
      </c>
      <c r="D33" s="38">
        <f>IFERROR(IF(IFERROR(MATCH(29,'كشف الحساب'!$N$4:$N$253,0),0)=0,"",INDEX('كشف الحساب'!$D$4:$D$253,IFERROR(MATCH(29,'كشف الحساب'!$N$4:$N$253,0),0))),"")</f>
        <v>243</v>
      </c>
      <c r="E33" s="60">
        <f>IFERROR(IF(IFERROR(MATCH(29,'كشف الحساب'!$N$4:$N$253,0),0)=0,"",INDEX('كشف الحساب'!$E$4:$E$253,IFERROR(MATCH(29,'كشف الحساب'!$N$4:$N$253,0),0))),"")</f>
        <v>0</v>
      </c>
      <c r="F33" s="59" t="str">
        <f>IFERROR(IF(IFERROR(MATCH(29,'كشف الحساب'!$N$4:$N$253,0),0)=0,"",INDEX('كشف الحساب'!$F$4:$F$253,IFERROR(MATCH(29,'كشف الحساب'!$N$4:$N$253,0),0))),"")</f>
        <v>نقداً</v>
      </c>
      <c r="G33" s="59" t="str">
        <f>IFERROR(IF(IFERROR(MATCH(29,'كشف الحساب'!$N$4:$N$253,0),0)=0,"",INDEX('كشف الحساب'!$G$4:$G$253,IFERROR(MATCH(29,'كشف الحساب'!$N$4:$N$253,0),0))),"")</f>
        <v>المحفظة</v>
      </c>
      <c r="H33" s="59" t="str">
        <f>IFERROR(IF(IFERROR(MATCH(29,'كشف الحساب'!$N$4:$N$253,0),0)=0,"",INDEX('كشف الحساب'!$H$4:$H$253,IFERROR(MATCH(29,'كشف الحساب'!$N$4:$N$253,0),0))),"")</f>
        <v>تم الدفع</v>
      </c>
      <c r="I33" s="59">
        <f>IFERROR(IF(IFERROR(MATCH(29,'كشف الحساب'!$N$4:$N$253,0),0)=0,"",INDEX('كشف الحساب'!$I$4:$I$253,IFERROR(MATCH(29,'كشف الحساب'!$N$4:$N$253,0),0))),"")</f>
        <v>0</v>
      </c>
      <c r="J33" s="43">
        <f>IFERROR(IF(IFERROR(MATCH(29,'كشف الحساب'!$N$4:$N$253,0),0)=0,"",INDEX('كشف الحساب'!$J$4:$J$253,IFERROR(MATCH(29,'كشف الحساب'!$N$4:$N$253,0),0))),"")</f>
        <v>103.19500000000005</v>
      </c>
      <c r="K33" s="59">
        <f>IFERROR(IF(IFERROR(MATCH(29,'كشف الحساب'!$N$4:$N$253,0),0)=0,"",INDEX('كشف الحساب'!$K$4:$K$253,IFERROR(MATCH(29,'كشف الحساب'!$N$4:$N$253,0),0))),"")</f>
        <v>0</v>
      </c>
    </row>
    <row r="34" spans="1:11" ht="16.5" customHeight="1" x14ac:dyDescent="0.25">
      <c r="A34" s="25">
        <f>IFERROR(IF(IFERROR(MATCH(30,'كشف الحساب'!$N$4:$N$253,0),0)=0,"",INDEX('كشف الحساب'!$A$4:$A$253,IFERROR(MATCH(30,'كشف الحساب'!$N$4:$N$253,0),0))),"")</f>
        <v>46251</v>
      </c>
      <c r="B34" s="61">
        <f>IFERROR(IF(IFERROR(MATCH(30,'كشف الحساب'!$N$4:$N$253,0),0)=0,"",INDEX('كشف الحساب'!$B$4:$B$253,IFERROR(MATCH(30,'كشف الحساب'!$N$4:$N$253,0),0))),"")</f>
        <v>0</v>
      </c>
      <c r="C34" s="27" t="str">
        <f>IFERROR(IF(IFERROR(MATCH(30,'كشف الحساب'!$N$4:$N$253,0),0)=0,"",INDEX('كشف الحساب'!$C$4:$C$253,IFERROR(MATCH(30,'كشف الحساب'!$N$4:$N$253,0),0))),"")</f>
        <v>تاير توكتوك</v>
      </c>
      <c r="D34" s="28">
        <f>IFERROR(IF(IFERROR(MATCH(30,'كشف الحساب'!$N$4:$N$253,0),0)=0,"",INDEX('كشف الحساب'!$D$4:$D$253,IFERROR(MATCH(30,'كشف الحساب'!$N$4:$N$253,0),0))),"")</f>
        <v>3</v>
      </c>
      <c r="E34" s="62">
        <f>IFERROR(IF(IFERROR(MATCH(30,'كشف الحساب'!$N$4:$N$253,0),0)=0,"",INDEX('كشف الحساب'!$E$4:$E$253,IFERROR(MATCH(30,'كشف الحساب'!$N$4:$N$253,0),0))),"")</f>
        <v>0</v>
      </c>
      <c r="F34" s="61" t="str">
        <f>IFERROR(IF(IFERROR(MATCH(30,'كشف الحساب'!$N$4:$N$253,0),0)=0,"",INDEX('كشف الحساب'!$F$4:$F$253,IFERROR(MATCH(30,'كشف الحساب'!$N$4:$N$253,0),0))),"")</f>
        <v>نقداً</v>
      </c>
      <c r="G34" s="61" t="str">
        <f>IFERROR(IF(IFERROR(MATCH(30,'كشف الحساب'!$N$4:$N$253,0),0)=0,"",INDEX('كشف الحساب'!$G$4:$G$253,IFERROR(MATCH(30,'كشف الحساب'!$N$4:$N$253,0),0))),"")</f>
        <v>المحفظة</v>
      </c>
      <c r="H34" s="61" t="str">
        <f>IFERROR(IF(IFERROR(MATCH(30,'كشف الحساب'!$N$4:$N$253,0),0)=0,"",INDEX('كشف الحساب'!$H$4:$H$253,IFERROR(MATCH(30,'كشف الحساب'!$N$4:$N$253,0),0))),"")</f>
        <v>تم الدفع</v>
      </c>
      <c r="I34" s="61">
        <f>IFERROR(IF(IFERROR(MATCH(30,'كشف الحساب'!$N$4:$N$253,0),0)=0,"",INDEX('كشف الحساب'!$I$4:$I$253,IFERROR(MATCH(30,'كشف الحساب'!$N$4:$N$253,0),0))),"")</f>
        <v>0</v>
      </c>
      <c r="J34" s="34">
        <f>IFERROR(IF(IFERROR(MATCH(30,'كشف الحساب'!$N$4:$N$253,0),0)=0,"",INDEX('كشف الحساب'!$J$4:$J$253,IFERROR(MATCH(30,'كشف الحساب'!$N$4:$N$253,0),0))),"")</f>
        <v>100.19500000000005</v>
      </c>
      <c r="K34" s="61">
        <f>IFERROR(IF(IFERROR(MATCH(30,'كشف الحساب'!$N$4:$N$253,0),0)=0,"",INDEX('كشف الحساب'!$K$4:$K$253,IFERROR(MATCH(30,'كشف الحساب'!$N$4:$N$253,0),0))),"")</f>
        <v>0</v>
      </c>
    </row>
    <row r="35" spans="1:11" ht="15" customHeight="1" x14ac:dyDescent="0.25">
      <c r="A35" s="63">
        <f>IFERROR(IF(IFERROR(MATCH(31,'كشف الحساب'!$N$4:$N$253,0),0)=0,"",INDEX('كشف الحساب'!$A$4:$A$253,IFERROR(MATCH(31,'كشف الحساب'!$N$4:$N$253,0),0))),"")</f>
        <v>46251</v>
      </c>
      <c r="B35" s="64">
        <f>IFERROR(IF(IFERROR(MATCH(31,'كشف الحساب'!$N$4:$N$253,0),0)=0,"",INDEX('كشف الحساب'!$B$4:$B$253,IFERROR(MATCH(31,'كشف الحساب'!$N$4:$N$253,0),0))),"")</f>
        <v>0</v>
      </c>
      <c r="C35" s="65" t="str">
        <f>IFERROR(IF(IFERROR(MATCH(31,'كشف الحساب'!$N$4:$N$253,0),0)=0,"",INDEX('كشف الحساب'!$C$4:$C$253,IFERROR(MATCH(31,'كشف الحساب'!$N$4:$N$253,0),0))),"")</f>
        <v>هوز اصفر 3/4 طول 50 متر</v>
      </c>
      <c r="D35" s="66">
        <f>IFERROR(IF(IFERROR(MATCH(31,'كشف الحساب'!$N$4:$N$253,0),0)=0,"",INDEX('كشف الحساب'!$D$4:$D$253,IFERROR(MATCH(31,'كشف الحساب'!$N$4:$N$253,0),0))),"")</f>
        <v>11.5</v>
      </c>
      <c r="E35" s="67">
        <f>IFERROR(IF(IFERROR(MATCH(31,'كشف الحساب'!$N$4:$N$253,0),0)=0,"",INDEX('كشف الحساب'!$E$4:$E$253,IFERROR(MATCH(31,'كشف الحساب'!$N$4:$N$253,0),0))),"")</f>
        <v>0</v>
      </c>
      <c r="F35" s="64" t="str">
        <f>IFERROR(IF(IFERROR(MATCH(31,'كشف الحساب'!$N$4:$N$253,0),0)=0,"",INDEX('كشف الحساب'!$F$4:$F$253,IFERROR(MATCH(31,'كشف الحساب'!$N$4:$N$253,0),0))),"")</f>
        <v>نقداً</v>
      </c>
      <c r="G35" s="64" t="str">
        <f>IFERROR(IF(IFERROR(MATCH(31,'كشف الحساب'!$N$4:$N$253,0),0)=0,"",INDEX('كشف الحساب'!$G$4:$G$253,IFERROR(MATCH(31,'كشف الحساب'!$N$4:$N$253,0),0))),"")</f>
        <v>المحفظة</v>
      </c>
      <c r="H35" s="64" t="str">
        <f>IFERROR(IF(IFERROR(MATCH(31,'كشف الحساب'!$N$4:$N$253,0),0)=0,"",INDEX('كشف الحساب'!$H$4:$H$253,IFERROR(MATCH(31,'كشف الحساب'!$N$4:$N$253,0),0))),"")</f>
        <v>تم الدفع</v>
      </c>
      <c r="I35" s="64">
        <f>IFERROR(IF(IFERROR(MATCH(31,'كشف الحساب'!$N$4:$N$253,0),0)=0,"",INDEX('كشف الحساب'!$I$4:$I$253,IFERROR(MATCH(31,'كشف الحساب'!$N$4:$N$253,0),0))),"")</f>
        <v>0</v>
      </c>
      <c r="J35" s="68">
        <f>IFERROR(IF(IFERROR(MATCH(31,'كشف الحساب'!$N$4:$N$253,0),0)=0,"",INDEX('كشف الحساب'!$J$4:$J$253,IFERROR(MATCH(31,'كشف الحساب'!$N$4:$N$253,0),0))),"")</f>
        <v>117.69500000000005</v>
      </c>
      <c r="K35" s="64">
        <f>IFERROR(IF(IFERROR(MATCH(31,'كشف الحساب'!$N$4:$N$253,0),0)=0,"",INDEX('كشف الحساب'!$K$4:$K$253,IFERROR(MATCH(31,'كشف الحساب'!$N$4:$N$253,0),0))),"")</f>
        <v>0</v>
      </c>
    </row>
    <row r="36" spans="1:11" ht="15" customHeight="1" x14ac:dyDescent="0.25">
      <c r="A36" s="69">
        <f>IFERROR(IF(IFERROR(MATCH(32,'كشف الحساب'!$N$4:$N$253,0),0)=0,"",INDEX('كشف الحساب'!$A$4:$A$253,IFERROR(MATCH(32,'كشف الحساب'!$N$4:$N$253,0),0))),"")</f>
        <v>46254</v>
      </c>
      <c r="B36" s="70" t="str">
        <f>IFERROR(IF(IFERROR(MATCH(32,'كشف الحساب'!$N$4:$N$253,0),0)=0,"",INDEX('كشف الحساب'!$B$4:$B$253,IFERROR(MATCH(32,'كشف الحساب'!$N$4:$N$253,0),0))),"")</f>
        <v>Inv-125</v>
      </c>
      <c r="C36" s="71" t="str">
        <f>IFERROR(IF(IFERROR(MATCH(32,'كشف الحساب'!$N$4:$N$253,0),0)=0,"",INDEX('كشف الحساب'!$C$4:$C$253,IFERROR(MATCH(32,'كشف الحساب'!$N$4:$N$253,0),0))),"")</f>
        <v>متنوع - تم الدفع 26/8</v>
      </c>
      <c r="D36" s="72">
        <f>IFERROR(IF(IFERROR(MATCH(32,'كشف الحساب'!$N$4:$N$253,0),0)=0,"",INDEX('كشف الحساب'!$D$4:$D$253,IFERROR(MATCH(32,'كشف الحساب'!$N$4:$N$253,0),0))),"")</f>
        <v>0</v>
      </c>
      <c r="E36" s="73">
        <f>IFERROR(IF(IFERROR(MATCH(32,'كشف الحساب'!$N$4:$N$253,0),0)=0,"",INDEX('كشف الحساب'!$E$4:$E$253,IFERROR(MATCH(32,'كشف الحساب'!$N$4:$N$253,0),0))),"")</f>
        <v>59</v>
      </c>
      <c r="F36" s="70" t="str">
        <f>IFERROR(IF(IFERROR(MATCH(32,'كشف الحساب'!$N$4:$N$253,0),0)=0,"",INDEX('كشف الحساب'!$F$4:$F$253,IFERROR(MATCH(32,'كشف الحساب'!$N$4:$N$253,0),0))),"")</f>
        <v>نقداً</v>
      </c>
      <c r="G36" s="70">
        <f>IFERROR(IF(IFERROR(MATCH(32,'كشف الحساب'!$N$4:$N$253,0),0)=0,"",INDEX('كشف الحساب'!$G$4:$G$253,IFERROR(MATCH(32,'كشف الحساب'!$N$4:$N$253,0),0))),"")</f>
        <v>0</v>
      </c>
      <c r="H36" s="70" t="str">
        <f>IFERROR(IF(IFERROR(MATCH(32,'كشف الحساب'!$N$4:$N$253,0),0)=0,"",INDEX('كشف الحساب'!$H$4:$H$253,IFERROR(MATCH(32,'كشف الحساب'!$N$4:$N$253,0),0))),"")</f>
        <v>تم الدفع</v>
      </c>
      <c r="I36" s="70">
        <f>IFERROR(IF(IFERROR(MATCH(32,'كشف الحساب'!$N$4:$N$253,0),0)=0,"",INDEX('كشف الحساب'!$I$4:$I$253,IFERROR(MATCH(32,'كشف الحساب'!$N$4:$N$253,0),0))),"")</f>
        <v>0</v>
      </c>
      <c r="J36" s="74">
        <f>IFERROR(IF(IFERROR(MATCH(32,'كشف الحساب'!$N$4:$N$253,0),0)=0,"",INDEX('كشف الحساب'!$J$4:$J$253,IFERROR(MATCH(32,'كشف الحساب'!$N$4:$N$253,0),0))),"")</f>
        <v>176.69500000000005</v>
      </c>
      <c r="K36" s="70">
        <f>IFERROR(IF(IFERROR(MATCH(32,'كشف الحساب'!$N$4:$N$253,0),0)=0,"",INDEX('كشف الحساب'!$K$4:$K$253,IFERROR(MATCH(32,'كشف الحساب'!$N$4:$N$253,0),0))),"")</f>
        <v>0</v>
      </c>
    </row>
    <row r="37" spans="1:11" ht="15" customHeight="1" x14ac:dyDescent="0.25">
      <c r="A37" s="63"/>
      <c r="B37" s="64" t="str">
        <f>IFERROR(IF(IFERROR(MATCH(33,'كشف الحساب'!$N$4:$N$253,0),0)=0,"",INDEX('كشف الحساب'!$B$4:$B$253,IFERROR(MATCH(33,'كشف الحساب'!$N$4:$N$253,0),0))),"")</f>
        <v>Inv-126</v>
      </c>
      <c r="C37" s="65"/>
      <c r="D37" s="66">
        <f>IFERROR(IF(IFERROR(MATCH(33,'كشف الحساب'!$N$4:$N$253,0),0)=0,"",INDEX('كشف الحساب'!$D$4:$D$253,IFERROR(MATCH(33,'كشف الحساب'!$N$4:$N$253,0),0))),"")</f>
        <v>0</v>
      </c>
      <c r="E37"/>
      <c r="F37" s="64" t="str">
        <f>IFERROR(IF(IFERROR(MATCH(33,'كشف الحساب'!$N$4:$N$253,0),0)=0,"",INDEX('كشف الحساب'!$F$4:$F$253,IFERROR(MATCH(33,'كشف الحساب'!$N$4:$N$253,0),0))),"")</f>
        <v>نقداً</v>
      </c>
      <c r="G37" s="64">
        <f>IFERROR(IF(IFERROR(MATCH(33,'كشف الحساب'!$N$4:$N$253,0),0)=0,"",INDEX('كشف الحساب'!$G$4:$G$253,IFERROR(MATCH(33,'كشف الحساب'!$N$4:$N$253,0),0))),"")</f>
        <v>0</v>
      </c>
      <c r="H37" s="64" t="str">
        <f>IFERROR(IF(IFERROR(MATCH(33,'كشف الحساب'!$N$4:$N$253,0),0)=0,"",INDEX('كشف الحساب'!$H$4:$H$253,IFERROR(MATCH(33,'كشف الحساب'!$N$4:$N$253,0),0))),"")</f>
        <v>تم الدفع</v>
      </c>
      <c r="I37" s="64">
        <f>IFERROR(IF(IFERROR(MATCH(33,'كشف الحساب'!$N$4:$N$253,0),0)=0,"",INDEX('كشف الحساب'!$I$4:$I$253,IFERROR(MATCH(33,'كشف الحساب'!$N$4:$N$253,0),0))),"")</f>
        <v>0</v>
      </c>
      <c r="J37" s="68">
        <f>IFERROR(IF(IFERROR(MATCH(33,'كشف الحساب'!$N$4:$N$253,0),0)=0,"",INDEX('كشف الحساب'!$J$4:$J$253,IFERROR(MATCH(33,'كشف الحساب'!$N$4:$N$253,0),0))),"")</f>
        <v>576.69500000000005</v>
      </c>
      <c r="K37" s="64">
        <f>IFERROR(IF(IFERROR(MATCH(33,'كشف الحساب'!$N$4:$N$253,0),0)=0,"",INDEX('كشف الحساب'!$K$4:$K$253,IFERROR(MATCH(33,'كشف الحساب'!$N$4:$N$253,0),0))),"")</f>
        <v>0</v>
      </c>
    </row>
    <row r="38" spans="1:11" ht="15" customHeight="1" x14ac:dyDescent="0.25">
      <c r="A38" s="69">
        <f>IFERROR(IF(IFERROR(MATCH(34,'كشف الحساب'!$N$4:$N$253,0),0)=0,"",INDEX('كشف الحساب'!$A$4:$A$253,IFERROR(MATCH(34,'كشف الحساب'!$N$4:$N$253,0),0))),"")</f>
        <v>46263</v>
      </c>
      <c r="B38" s="70">
        <f>IFERROR(IF(IFERROR(MATCH(34,'كشف الحساب'!$N$4:$N$253,0),0)=0,"",INDEX('كشف الحساب'!$B$4:$B$253,IFERROR(MATCH(34,'كشف الحساب'!$N$4:$N$253,0),0))),"")</f>
        <v>0</v>
      </c>
      <c r="C38" s="71" t="str">
        <f>IFERROR(IF(IFERROR(MATCH(34,'كشف الحساب'!$N$4:$N$253,0),0)=0,"",INDEX('كشف الحساب'!$C$4:$C$253,IFERROR(MATCH(34,'كشف الحساب'!$N$4:$N$253,0),0))),"")</f>
        <v>صبار عدد 15 الحبه 1</v>
      </c>
      <c r="D38" s="72">
        <f>IFERROR(IF(IFERROR(MATCH(34,'كشف الحساب'!$N$4:$N$253,0),0)=0,"",INDEX('كشف الحساب'!$D$4:$D$253,IFERROR(MATCH(34,'كشف الحساب'!$N$4:$N$253,0),0))),"")</f>
        <v>15</v>
      </c>
      <c r="E38" s="73">
        <f>IFERROR(IF(IFERROR(MATCH(34,'كشف الحساب'!$N$4:$N$253,0),0)=0,"",INDEX('كشف الحساب'!$E$4:$E$253,IFERROR(MATCH(34,'كشف الحساب'!$N$4:$N$253,0),0))),"")</f>
        <v>0</v>
      </c>
      <c r="F38" s="70" t="str">
        <f>IFERROR(IF(IFERROR(MATCH(34,'كشف الحساب'!$N$4:$N$253,0),0)=0,"",INDEX('كشف الحساب'!$F$4:$F$253,IFERROR(MATCH(34,'كشف الحساب'!$N$4:$N$253,0),0))),"")</f>
        <v>نقداً</v>
      </c>
      <c r="G38" s="70" t="str">
        <f>IFERROR(IF(IFERROR(MATCH(34,'كشف الحساب'!$N$4:$N$253,0),0)=0,"",INDEX('كشف الحساب'!$G$4:$G$253,IFERROR(MATCH(34,'كشف الحساب'!$N$4:$N$253,0),0))),"")</f>
        <v>المحفظة</v>
      </c>
      <c r="H38" s="70" t="str">
        <f>IFERROR(IF(IFERROR(MATCH(34,'كشف الحساب'!$N$4:$N$253,0),0)=0,"",INDEX('كشف الحساب'!$H$4:$H$253,IFERROR(MATCH(34,'كشف الحساب'!$N$4:$N$253,0),0))),"")</f>
        <v>تم الدفع</v>
      </c>
      <c r="I38" s="70">
        <f>IFERROR(IF(IFERROR(MATCH(34,'كشف الحساب'!$N$4:$N$253,0),0)=0,"",INDEX('كشف الحساب'!$I$4:$I$253,IFERROR(MATCH(34,'كشف الحساب'!$N$4:$N$253,0),0))),"")</f>
        <v>0</v>
      </c>
      <c r="J38" s="74">
        <f>IFERROR(IF(IFERROR(MATCH(34,'كشف الحساب'!$N$4:$N$253,0),0)=0,"",INDEX('كشف الحساب'!$J$4:$J$253,IFERROR(MATCH(34,'كشف الحساب'!$N$4:$N$253,0),0))),"")</f>
        <v>561.69500000000005</v>
      </c>
      <c r="K38" s="70">
        <f>IFERROR(IF(IFERROR(MATCH(34,'كشف الحساب'!$N$4:$N$253,0),0)=0,"",INDEX('كشف الحساب'!$K$4:$K$253,IFERROR(MATCH(34,'كشف الحساب'!$N$4:$N$253,0),0))),"")</f>
        <v>0</v>
      </c>
    </row>
    <row r="39" spans="1:11" ht="15" customHeight="1" x14ac:dyDescent="0.25">
      <c r="A39" s="63">
        <f>IFERROR(IF(IFERROR(MATCH(35,'كشف الحساب'!$N$4:$N$253,0),0)=0,"",INDEX('كشف الحساب'!$A$4:$A$253,IFERROR(MATCH(35,'كشف الحساب'!$N$4:$N$253,0),0))),"")</f>
        <v>46263</v>
      </c>
      <c r="B39" s="64">
        <f>IFERROR(IF(IFERROR(MATCH(35,'كشف الحساب'!$N$4:$N$253,0),0)=0,"",INDEX('كشف الحساب'!$B$4:$B$253,IFERROR(MATCH(35,'كشف الحساب'!$N$4:$N$253,0),0))),"")</f>
        <v>0</v>
      </c>
      <c r="C39" s="65" t="str">
        <f>IFERROR(IF(IFERROR(MATCH(35,'كشف الحساب'!$N$4:$N$253,0),0)=0,"",INDEX('كشف الحساب'!$C$4:$C$253,IFERROR(MATCH(35,'كشف الحساب'!$N$4:$N$253,0),0))),"")</f>
        <v>زيتون عدد 2 الحبه 12</v>
      </c>
      <c r="D39" s="66">
        <f>IFERROR(IF(IFERROR(MATCH(35,'كشف الحساب'!$N$4:$N$253,0),0)=0,"",INDEX('كشف الحساب'!$D$4:$D$253,IFERROR(MATCH(35,'كشف الحساب'!$N$4:$N$253,0),0))),"")</f>
        <v>24</v>
      </c>
      <c r="E39" s="67">
        <f>IFERROR(IF(IFERROR(MATCH(35,'كشف الحساب'!$N$4:$N$253,0),0)=0,"",INDEX('كشف الحساب'!$E$4:$E$253,IFERROR(MATCH(35,'كشف الحساب'!$N$4:$N$253,0),0))),"")</f>
        <v>0</v>
      </c>
      <c r="F39" s="64" t="str">
        <f>IFERROR(IF(IFERROR(MATCH(35,'كشف الحساب'!$N$4:$N$253,0),0)=0,"",INDEX('كشف الحساب'!$F$4:$F$253,IFERROR(MATCH(35,'كشف الحساب'!$N$4:$N$253,0),0))),"")</f>
        <v>نقداً</v>
      </c>
      <c r="G39" s="64" t="str">
        <f>IFERROR(IF(IFERROR(MATCH(35,'كشف الحساب'!$N$4:$N$253,0),0)=0,"",INDEX('كشف الحساب'!$G$4:$G$253,IFERROR(MATCH(35,'كشف الحساب'!$N$4:$N$253,0),0))),"")</f>
        <v>المحفظة</v>
      </c>
      <c r="H39" s="64" t="str">
        <f>IFERROR(IF(IFERROR(MATCH(35,'كشف الحساب'!$N$4:$N$253,0),0)=0,"",INDEX('كشف الحساب'!$H$4:$H$253,IFERROR(MATCH(35,'كشف الحساب'!$N$4:$N$253,0),0))),"")</f>
        <v>تم الدفع</v>
      </c>
      <c r="I39" s="64">
        <f>IFERROR(IF(IFERROR(MATCH(35,'كشف الحساب'!$N$4:$N$253,0),0)=0,"",INDEX('كشف الحساب'!$I$4:$I$253,IFERROR(MATCH(35,'كشف الحساب'!$N$4:$N$253,0),0))),"")</f>
        <v>0</v>
      </c>
      <c r="J39" s="68">
        <f>IFERROR(IF(IFERROR(MATCH(35,'كشف الحساب'!$N$4:$N$253,0),0)=0,"",INDEX('كشف الحساب'!$J$4:$J$253,IFERROR(MATCH(35,'كشف الحساب'!$N$4:$N$253,0),0))),"")</f>
        <v>537.69500000000005</v>
      </c>
      <c r="K39" s="64">
        <f>IFERROR(IF(IFERROR(MATCH(35,'كشف الحساب'!$N$4:$N$253,0),0)=0,"",INDEX('كشف الحساب'!$K$4:$K$253,IFERROR(MATCH(35,'كشف الحساب'!$N$4:$N$253,0),0))),"")</f>
        <v>0</v>
      </c>
    </row>
    <row r="40" spans="1:11" ht="15" customHeight="1" x14ac:dyDescent="0.25">
      <c r="A40" s="69">
        <f>IFERROR(IF(IFERROR(MATCH(36,'كشف الحساب'!$N$4:$N$253,0),0)=0,"",INDEX('كشف الحساب'!$A$4:$A$253,IFERROR(MATCH(36,'كشف الحساب'!$N$4:$N$253,0),0))),"")</f>
        <v>46264</v>
      </c>
      <c r="B40" s="70" t="str">
        <f>IFERROR(IF(IFERROR(MATCH(36,'كشف الحساب'!$N$4:$N$253,0),0)=0,"",INDEX('كشف الحساب'!$B$4:$B$253,IFERROR(MATCH(36,'كشف الحساب'!$N$4:$N$253,0),0))),"")</f>
        <v>Inv-127</v>
      </c>
      <c r="C40" s="71" t="str">
        <f>IFERROR(IF(IFERROR(MATCH(36,'كشف الحساب'!$N$4:$N$253,0),0)=0,"",INDEX('كشف الحساب'!$C$4:$C$253,IFERROR(MATCH(36,'كشف الحساب'!$N$4:$N$253,0),0))),"")</f>
        <v>اناناس عدد 4 الواحده 4</v>
      </c>
      <c r="D40" s="72">
        <f>IFERROR(IF(IFERROR(MATCH(36,'كشف الحساب'!$N$4:$N$253,0),0)=0,"",INDEX('كشف الحساب'!$D$4:$D$253,IFERROR(MATCH(36,'كشف الحساب'!$N$4:$N$253,0),0))),"")</f>
        <v>0</v>
      </c>
      <c r="E40" s="73">
        <f>IFERROR(IF(IFERROR(MATCH(36,'كشف الحساب'!$N$4:$N$253,0),0)=0,"",INDEX('كشف الحساب'!$E$4:$E$253,IFERROR(MATCH(36,'كشف الحساب'!$N$4:$N$253,0),0))),"")</f>
        <v>16</v>
      </c>
      <c r="F40" s="70" t="str">
        <f>IFERROR(IF(IFERROR(MATCH(36,'كشف الحساب'!$N$4:$N$253,0),0)=0,"",INDEX('كشف الحساب'!$F$4:$F$253,IFERROR(MATCH(36,'كشف الحساب'!$N$4:$N$253,0),0))),"")</f>
        <v>نقداً</v>
      </c>
      <c r="G40" s="70">
        <f>IFERROR(IF(IFERROR(MATCH(36,'كشف الحساب'!$N$4:$N$253,0),0)=0,"",INDEX('كشف الحساب'!$G$4:$G$253,IFERROR(MATCH(36,'كشف الحساب'!$N$4:$N$253,0),0))),"")</f>
        <v>0</v>
      </c>
      <c r="H40" s="70" t="str">
        <f>IFERROR(IF(IFERROR(MATCH(36,'كشف الحساب'!$N$4:$N$253,0),0)=0,"",INDEX('كشف الحساب'!$H$4:$H$253,IFERROR(MATCH(36,'كشف الحساب'!$N$4:$N$253,0),0))),"")</f>
        <v>تم الدفع</v>
      </c>
      <c r="I40" s="70">
        <f>IFERROR(IF(IFERROR(MATCH(36,'كشف الحساب'!$N$4:$N$253,0),0)=0,"",INDEX('كشف الحساب'!$I$4:$I$253,IFERROR(MATCH(36,'كشف الحساب'!$N$4:$N$253,0),0))),"")</f>
        <v>0</v>
      </c>
      <c r="J40" s="74">
        <f>IFERROR(IF(IFERROR(MATCH(36,'كشف الحساب'!$N$4:$N$253,0),0)=0,"",INDEX('كشف الحساب'!$J$4:$J$253,IFERROR(MATCH(36,'كشف الحساب'!$N$4:$N$253,0),0))),"")</f>
        <v>553.69500000000005</v>
      </c>
      <c r="K40" s="70">
        <f>IFERROR(IF(IFERROR(MATCH(36,'كشف الحساب'!$N$4:$N$253,0),0)=0,"",INDEX('كشف الحساب'!$K$4:$K$253,IFERROR(MATCH(36,'كشف الحساب'!$N$4:$N$253,0),0))),"")</f>
        <v>0</v>
      </c>
    </row>
    <row r="41" spans="1:11" ht="15" customHeight="1" x14ac:dyDescent="0.25">
      <c r="A41" s="63">
        <f>IFERROR(IF(IFERROR(MATCH(37,'كشف الحساب'!$N$4:$N$253,0),0)=0,"",INDEX('كشف الحساب'!$A$4:$A$253,IFERROR(MATCH(37,'كشف الحساب'!$N$4:$N$253,0),0))),"")</f>
        <v>46264</v>
      </c>
      <c r="B41" s="64" t="str">
        <f>IFERROR(IF(IFERROR(MATCH(37,'كشف الحساب'!$N$4:$N$253,0),0)=0,"",INDEX('كشف الحساب'!$B$4:$B$253,IFERROR(MATCH(37,'كشف الحساب'!$N$4:$N$253,0),0))),"")</f>
        <v>Inv-128</v>
      </c>
      <c r="C41" s="65" t="str">
        <f>IFERROR(IF(IFERROR(MATCH(37,'كشف الحساب'!$N$4:$N$253,0),0)=0,"",INDEX('كشف الحساب'!$C$4:$C$253,IFERROR(MATCH(37,'كشف الحساب'!$N$4:$N$253,0),0))),"")</f>
        <v>ربل عدد 6 الحبه 2.500</v>
      </c>
      <c r="D41" s="66">
        <f>IFERROR(IF(IFERROR(MATCH(37,'كشف الحساب'!$N$4:$N$253,0),0)=0,"",INDEX('كشف الحساب'!$D$4:$D$253,IFERROR(MATCH(37,'كشف الحساب'!$N$4:$N$253,0),0))),"")</f>
        <v>0</v>
      </c>
      <c r="E41" s="67">
        <f>IFERROR(IF(IFERROR(MATCH(37,'كشف الحساب'!$N$4:$N$253,0),0)=0,"",INDEX('كشف الحساب'!$E$4:$E$253,IFERROR(MATCH(37,'كشف الحساب'!$N$4:$N$253,0),0))),"")</f>
        <v>15</v>
      </c>
      <c r="F41" s="64" t="str">
        <f>IFERROR(IF(IFERROR(MATCH(37,'كشف الحساب'!$N$4:$N$253,0),0)=0,"",INDEX('كشف الحساب'!$F$4:$F$253,IFERROR(MATCH(37,'كشف الحساب'!$N$4:$N$253,0),0))),"")</f>
        <v>نقداً</v>
      </c>
      <c r="G41" s="64">
        <f>IFERROR(IF(IFERROR(MATCH(37,'كشف الحساب'!$N$4:$N$253,0),0)=0,"",INDEX('كشف الحساب'!$G$4:$G$253,IFERROR(MATCH(37,'كشف الحساب'!$N$4:$N$253,0),0))),"")</f>
        <v>0</v>
      </c>
      <c r="H41" s="64" t="str">
        <f>IFERROR(IF(IFERROR(MATCH(37,'كشف الحساب'!$N$4:$N$253,0),0)=0,"",INDEX('كشف الحساب'!$H$4:$H$253,IFERROR(MATCH(37,'كشف الحساب'!$N$4:$N$253,0),0))),"")</f>
        <v>تم الدفع</v>
      </c>
      <c r="I41" s="64">
        <f>IFERROR(IF(IFERROR(MATCH(37,'كشف الحساب'!$N$4:$N$253,0),0)=0,"",INDEX('كشف الحساب'!$I$4:$I$253,IFERROR(MATCH(37,'كشف الحساب'!$N$4:$N$253,0),0))),"")</f>
        <v>0</v>
      </c>
      <c r="J41" s="68">
        <f>IFERROR(IF(IFERROR(MATCH(37,'كشف الحساب'!$N$4:$N$253,0),0)=0,"",INDEX('كشف الحساب'!$J$4:$J$253,IFERROR(MATCH(37,'كشف الحساب'!$N$4:$N$253,0),0))),"")</f>
        <v>568.69500000000005</v>
      </c>
      <c r="K41" s="64">
        <f>IFERROR(IF(IFERROR(MATCH(37,'كشف الحساب'!$N$4:$N$253,0),0)=0,"",INDEX('كشف الحساب'!$K$4:$K$253,IFERROR(MATCH(37,'كشف الحساب'!$N$4:$N$253,0),0))),"")</f>
        <v>0</v>
      </c>
    </row>
    <row r="42" spans="1:11" ht="15" customHeight="1" x14ac:dyDescent="0.25">
      <c r="A42" s="69">
        <f>IFERROR(IF(IFERROR(MATCH(38,'كشف الحساب'!$N$4:$N$253,0),0)=0,"",INDEX('كشف الحساب'!$A$4:$A$253,IFERROR(MATCH(38,'كشف الحساب'!$N$4:$N$253,0),0))),"")</f>
        <v>46264</v>
      </c>
      <c r="B42" s="70" t="str">
        <f>IFERROR(IF(IFERROR(MATCH(38,'كشف الحساب'!$N$4:$N$253,0),0)=0,"",INDEX('كشف الحساب'!$B$4:$B$253,IFERROR(MATCH(38,'كشف الحساب'!$N$4:$N$253,0),0))),"")</f>
        <v>Inv-129</v>
      </c>
      <c r="C42" s="71" t="str">
        <f>IFERROR(IF(IFERROR(MATCH(38,'كشف الحساب'!$N$4:$N$253,0),0)=0,"",INDEX('كشف الحساب'!$C$4:$C$253,IFERROR(MATCH(38,'كشف الحساب'!$N$4:$N$253,0),0))),"")</f>
        <v>متنوع عدد 17 الحبه 1</v>
      </c>
      <c r="D42" s="72">
        <f>IFERROR(IF(IFERROR(MATCH(38,'كشف الحساب'!$N$4:$N$253,0),0)=0,"",INDEX('كشف الحساب'!$D$4:$D$253,IFERROR(MATCH(38,'كشف الحساب'!$N$4:$N$253,0),0))),"")</f>
        <v>0</v>
      </c>
      <c r="E42" s="73">
        <f>IFERROR(IF(IFERROR(MATCH(38,'كشف الحساب'!$N$4:$N$253,0),0)=0,"",INDEX('كشف الحساب'!$E$4:$E$253,IFERROR(MATCH(38,'كشف الحساب'!$N$4:$N$253,0),0))),"")</f>
        <v>17</v>
      </c>
      <c r="F42" s="70" t="str">
        <f>IFERROR(IF(IFERROR(MATCH(38,'كشف الحساب'!$N$4:$N$253,0),0)=0,"",INDEX('كشف الحساب'!$F$4:$F$253,IFERROR(MATCH(38,'كشف الحساب'!$N$4:$N$253,0),0))),"")</f>
        <v>نقداً</v>
      </c>
      <c r="G42" s="70">
        <f>IFERROR(IF(IFERROR(MATCH(38,'كشف الحساب'!$N$4:$N$253,0),0)=0,"",INDEX('كشف الحساب'!$G$4:$G$253,IFERROR(MATCH(38,'كشف الحساب'!$N$4:$N$253,0),0))),"")</f>
        <v>0</v>
      </c>
      <c r="H42" s="70" t="str">
        <f>IFERROR(IF(IFERROR(MATCH(38,'كشف الحساب'!$N$4:$N$253,0),0)=0,"",INDEX('كشف الحساب'!$H$4:$H$253,IFERROR(MATCH(38,'كشف الحساب'!$N$4:$N$253,0),0))),"")</f>
        <v>تم الدفع</v>
      </c>
      <c r="I42" s="70">
        <f>IFERROR(IF(IFERROR(MATCH(38,'كشف الحساب'!$N$4:$N$253,0),0)=0,"",INDEX('كشف الحساب'!$I$4:$I$253,IFERROR(MATCH(38,'كشف الحساب'!$N$4:$N$253,0),0))),"")</f>
        <v>0</v>
      </c>
      <c r="J42" s="74">
        <f>IFERROR(IF(IFERROR(MATCH(38,'كشف الحساب'!$N$4:$N$253,0),0)=0,"",INDEX('كشف الحساب'!$J$4:$J$253,IFERROR(MATCH(38,'كشف الحساب'!$N$4:$N$253,0),0))),"")</f>
        <v>585.69500000000005</v>
      </c>
      <c r="K42" s="70">
        <f>IFERROR(IF(IFERROR(MATCH(38,'كشف الحساب'!$N$4:$N$253,0),0)=0,"",INDEX('كشف الحساب'!$K$4:$K$253,IFERROR(MATCH(38,'كشف الحساب'!$N$4:$N$253,0),0))),"")</f>
        <v>0</v>
      </c>
    </row>
    <row r="43" spans="1:11" ht="15" customHeight="1" x14ac:dyDescent="0.25">
      <c r="A43" s="63">
        <f>IFERROR(IF(IFERROR(MATCH(39,'كشف الحساب'!$N$4:$N$253,0),0)=0,"",INDEX('كشف الحساب'!$A$4:$A$253,IFERROR(MATCH(39,'كشف الحساب'!$N$4:$N$253,0),0))),"")</f>
        <v>46264</v>
      </c>
      <c r="B43" s="64" t="str">
        <f>IFERROR(IF(IFERROR(MATCH(39,'كشف الحساب'!$N$4:$N$253,0),0)=0,"",INDEX('كشف الحساب'!$B$4:$B$253,IFERROR(MATCH(39,'كشف الحساب'!$N$4:$N$253,0),0))),"")</f>
        <v>Inv-130</v>
      </c>
      <c r="C43" s="65" t="str">
        <f>IFERROR(IF(IFERROR(MATCH(39,'كشف الحساب'!$N$4:$N$253,0),0)=0,"",INDEX('كشف الحساب'!$C$4:$C$253,IFERROR(MATCH(39,'كشف الحساب'!$N$4:$N$253,0),0))),"")</f>
        <v>صبار عدد 13 الحبه 0.750</v>
      </c>
      <c r="D43" s="66">
        <f>IFERROR(IF(IFERROR(MATCH(39,'كشف الحساب'!$N$4:$N$253,0),0)=0,"",INDEX('كشف الحساب'!$D$4:$D$253,IFERROR(MATCH(39,'كشف الحساب'!$N$4:$N$253,0),0))),"")</f>
        <v>0</v>
      </c>
      <c r="E43" s="67">
        <f>IFERROR(IF(IFERROR(MATCH(39,'كشف الحساب'!$N$4:$N$253,0),0)=0,"",INDEX('كشف الحساب'!$E$4:$E$253,IFERROR(MATCH(39,'كشف الحساب'!$N$4:$N$253,0),0))),"")</f>
        <v>9.75</v>
      </c>
      <c r="F43" s="64" t="str">
        <f>IFERROR(IF(IFERROR(MATCH(39,'كشف الحساب'!$N$4:$N$253,0),0)=0,"",INDEX('كشف الحساب'!$F$4:$F$253,IFERROR(MATCH(39,'كشف الحساب'!$N$4:$N$253,0),0))),"")</f>
        <v>نقداً</v>
      </c>
      <c r="G43" s="64">
        <f>IFERROR(IF(IFERROR(MATCH(39,'كشف الحساب'!$N$4:$N$253,0),0)=0,"",INDEX('كشف الحساب'!$G$4:$G$253,IFERROR(MATCH(39,'كشف الحساب'!$N$4:$N$253,0),0))),"")</f>
        <v>0</v>
      </c>
      <c r="H43" s="64" t="str">
        <f>IFERROR(IF(IFERROR(MATCH(39,'كشف الحساب'!$N$4:$N$253,0),0)=0,"",INDEX('كشف الحساب'!$H$4:$H$253,IFERROR(MATCH(39,'كشف الحساب'!$N$4:$N$253,0),0))),"")</f>
        <v>تم الدفع</v>
      </c>
      <c r="I43" s="64">
        <f>IFERROR(IF(IFERROR(MATCH(39,'كشف الحساب'!$N$4:$N$253,0),0)=0,"",INDEX('كشف الحساب'!$I$4:$I$253,IFERROR(MATCH(39,'كشف الحساب'!$N$4:$N$253,0),0))),"")</f>
        <v>0</v>
      </c>
      <c r="J43" s="68">
        <f>IFERROR(IF(IFERROR(MATCH(39,'كشف الحساب'!$N$4:$N$253,0),0)=0,"",INDEX('كشف الحساب'!$J$4:$J$253,IFERROR(MATCH(39,'كشف الحساب'!$N$4:$N$253,0),0))),"")</f>
        <v>595.44500000000005</v>
      </c>
      <c r="K43" s="64">
        <f>IFERROR(IF(IFERROR(MATCH(39,'كشف الحساب'!$N$4:$N$253,0),0)=0,"",INDEX('كشف الحساب'!$K$4:$K$253,IFERROR(MATCH(39,'كشف الحساب'!$N$4:$N$253,0),0))),"")</f>
        <v>0</v>
      </c>
    </row>
    <row r="44" spans="1:11" ht="15" customHeight="1" x14ac:dyDescent="0.25">
      <c r="A44" s="69">
        <f>IFERROR(IF(IFERROR(MATCH(40,'كشف الحساب'!$N$4:$N$253,0),0)=0,"",INDEX('كشف الحساب'!$A$4:$A$253,IFERROR(MATCH(40,'كشف الحساب'!$N$4:$N$253,0),0))),"")</f>
        <v>46264</v>
      </c>
      <c r="B44" s="70" t="str">
        <f>IFERROR(IF(IFERROR(MATCH(40,'كشف الحساب'!$N$4:$N$253,0),0)=0,"",INDEX('كشف الحساب'!$B$4:$B$253,IFERROR(MATCH(40,'كشف الحساب'!$N$4:$N$253,0),0))),"")</f>
        <v>Inv-131</v>
      </c>
      <c r="C44" s="71" t="str">
        <f>IFERROR(IF(IFERROR(MATCH(40,'كشف الحساب'!$N$4:$N$253,0),0)=0,"",INDEX('كشف الحساب'!$C$4:$C$253,IFERROR(MATCH(40,'كشف الحساب'!$N$4:$N$253,0),0))),"")</f>
        <v>تين عدد5 الحبه 1.500</v>
      </c>
      <c r="D44" s="72">
        <f>IFERROR(IF(IFERROR(MATCH(40,'كشف الحساب'!$N$4:$N$253,0),0)=0,"",INDEX('كشف الحساب'!$D$4:$D$253,IFERROR(MATCH(40,'كشف الحساب'!$N$4:$N$253,0),0))),"")</f>
        <v>0</v>
      </c>
      <c r="E44" s="73">
        <f>IFERROR(IF(IFERROR(MATCH(40,'كشف الحساب'!$N$4:$N$253,0),0)=0,"",INDEX('كشف الحساب'!$E$4:$E$253,IFERROR(MATCH(40,'كشف الحساب'!$N$4:$N$253,0),0))),"")</f>
        <v>7.5</v>
      </c>
      <c r="F44" s="70" t="str">
        <f>IFERROR(IF(IFERROR(MATCH(40,'كشف الحساب'!$N$4:$N$253,0),0)=0,"",INDEX('كشف الحساب'!$F$4:$F$253,IFERROR(MATCH(40,'كشف الحساب'!$N$4:$N$253,0),0))),"")</f>
        <v>نقداً</v>
      </c>
      <c r="G44" s="70">
        <f>IFERROR(IF(IFERROR(MATCH(40,'كشف الحساب'!$N$4:$N$253,0),0)=0,"",INDEX('كشف الحساب'!$G$4:$G$253,IFERROR(MATCH(40,'كشف الحساب'!$N$4:$N$253,0),0))),"")</f>
        <v>0</v>
      </c>
      <c r="H44" s="70" t="str">
        <f>IFERROR(IF(IFERROR(MATCH(40,'كشف الحساب'!$N$4:$N$253,0),0)=0,"",INDEX('كشف الحساب'!$H$4:$H$253,IFERROR(MATCH(40,'كشف الحساب'!$N$4:$N$253,0),0))),"")</f>
        <v>تم الدفع</v>
      </c>
      <c r="I44" s="70">
        <f>IFERROR(IF(IFERROR(MATCH(40,'كشف الحساب'!$N$4:$N$253,0),0)=0,"",INDEX('كشف الحساب'!$I$4:$I$253,IFERROR(MATCH(40,'كشف الحساب'!$N$4:$N$253,0),0))),"")</f>
        <v>0</v>
      </c>
      <c r="J44" s="74">
        <f>IFERROR(IF(IFERROR(MATCH(40,'كشف الحساب'!$N$4:$N$253,0),0)=0,"",INDEX('كشف الحساب'!$J$4:$J$253,IFERROR(MATCH(40,'كشف الحساب'!$N$4:$N$253,0),0))),"")</f>
        <v>602.94500000000005</v>
      </c>
      <c r="K44" s="70">
        <f>IFERROR(IF(IFERROR(MATCH(40,'كشف الحساب'!$N$4:$N$253,0),0)=0,"",INDEX('كشف الحساب'!$K$4:$K$253,IFERROR(MATCH(40,'كشف الحساب'!$N$4:$N$253,0),0))),"")</f>
        <v>0</v>
      </c>
    </row>
    <row r="45" spans="1:11" ht="15" customHeight="1" x14ac:dyDescent="0.25">
      <c r="A45" s="63">
        <f>IFERROR(IF(IFERROR(MATCH(41,'كشف الحساب'!$N$4:$N$253,0),0)=0,"",INDEX('كشف الحساب'!$A$4:$A$253,IFERROR(MATCH(41,'كشف الحساب'!$N$4:$N$253,0),0))),"")</f>
        <v>46264</v>
      </c>
      <c r="B45" s="64">
        <f>IFERROR(IF(IFERROR(MATCH(41,'كشف الحساب'!$N$4:$N$253,0),0)=0,"",INDEX('كشف الحساب'!$B$4:$B$253,IFERROR(MATCH(41,'كشف الحساب'!$N$4:$N$253,0),0))),"")</f>
        <v>0</v>
      </c>
      <c r="C45" s="65" t="str">
        <f>IFERROR(IF(IFERROR(MATCH(41,'كشف الحساب'!$N$4:$N$253,0),0)=0,"",INDEX('كشف الحساب'!$C$4:$C$253,IFERROR(MATCH(41,'كشف الحساب'!$N$4:$N$253,0),0))),"")</f>
        <v>أقامه نزمول 3 سنوات</v>
      </c>
      <c r="D45" s="66">
        <f>IFERROR(IF(IFERROR(MATCH(41,'كشف الحساب'!$N$4:$N$253,0),0)=0,"",INDEX('كشف الحساب'!$D$4:$D$253,IFERROR(MATCH(41,'كشف الحساب'!$N$4:$N$253,0),0))),"")</f>
        <v>35</v>
      </c>
      <c r="E45" s="67">
        <f>IFERROR(IF(IFERROR(MATCH(41,'كشف الحساب'!$N$4:$N$253,0),0)=0,"",INDEX('كشف الحساب'!$E$4:$E$253,IFERROR(MATCH(41,'كشف الحساب'!$N$4:$N$253,0),0))),"")</f>
        <v>0</v>
      </c>
      <c r="F45" s="64" t="str">
        <f>IFERROR(IF(IFERROR(MATCH(41,'كشف الحساب'!$N$4:$N$253,0),0)=0,"",INDEX('كشف الحساب'!$F$4:$F$253,IFERROR(MATCH(41,'كشف الحساب'!$N$4:$N$253,0),0))),"")</f>
        <v>نقداً</v>
      </c>
      <c r="G45" s="64" t="str">
        <f>IFERROR(IF(IFERROR(MATCH(41,'كشف الحساب'!$N$4:$N$253,0),0)=0,"",INDEX('كشف الحساب'!$G$4:$G$253,IFERROR(MATCH(41,'كشف الحساب'!$N$4:$N$253,0),0))),"")</f>
        <v>المحفظة</v>
      </c>
      <c r="H45" s="64" t="str">
        <f>IFERROR(IF(IFERROR(MATCH(41,'كشف الحساب'!$N$4:$N$253,0),0)=0,"",INDEX('كشف الحساب'!$H$4:$H$253,IFERROR(MATCH(41,'كشف الحساب'!$N$4:$N$253,0),0))),"")</f>
        <v>تم الدفع</v>
      </c>
      <c r="I45" s="64">
        <f>IFERROR(IF(IFERROR(MATCH(41,'كشف الحساب'!$N$4:$N$253,0),0)=0,"",INDEX('كشف الحساب'!$I$4:$I$253,IFERROR(MATCH(41,'كشف الحساب'!$N$4:$N$253,0),0))),"")</f>
        <v>0</v>
      </c>
      <c r="J45" s="68">
        <f>IFERROR(IF(IFERROR(MATCH(41,'كشف الحساب'!$N$4:$N$253,0),0)=0,"",INDEX('كشف الحساب'!$J$4:$J$253,IFERROR(MATCH(41,'كشف الحساب'!$N$4:$N$253,0),0))),"")</f>
        <v>567.94500000000005</v>
      </c>
      <c r="K45" s="64">
        <f>IFERROR(IF(IFERROR(MATCH(41,'كشف الحساب'!$N$4:$N$253,0),0)=0,"",INDEX('كشف الحساب'!$K$4:$K$253,IFERROR(MATCH(41,'كشف الحساب'!$N$4:$N$253,0),0))),"")</f>
        <v>0</v>
      </c>
    </row>
    <row r="46" spans="1:11" ht="15" customHeight="1" x14ac:dyDescent="0.25">
      <c r="A46" s="69">
        <f>IFERROR(IF(IFERROR(MATCH(42,'كشف الحساب'!$N$4:$N$253,0),0)=0,"",INDEX('كشف الحساب'!$A$4:$A$253,IFERROR(MATCH(42,'كشف الحساب'!$N$4:$N$253,0),0))),"")</f>
        <v>46265</v>
      </c>
      <c r="B46" s="70">
        <f>IFERROR(IF(IFERROR(MATCH(42,'كشف الحساب'!$N$4:$N$253,0),0)=0,"",INDEX('كشف الحساب'!$B$4:$B$253,IFERROR(MATCH(42,'كشف الحساب'!$N$4:$N$253,0),0))),"")</f>
        <v>0</v>
      </c>
      <c r="C46" s="71" t="str">
        <f>IFERROR(IF(IFERROR(MATCH(42,'كشف الحساب'!$N$4:$N$253,0),0)=0,"",INDEX('كشف الحساب'!$C$4:$C$253,IFERROR(MATCH(42,'كشف الحساب'!$N$4:$N$253,0),0))),"")</f>
        <v>رواتب + كهرباء وماء</v>
      </c>
      <c r="D46" s="72">
        <f>IFERROR(IF(IFERROR(MATCH(42,'كشف الحساب'!$N$4:$N$253,0),0)=0,"",INDEX('كشف الحساب'!$D$4:$D$253,IFERROR(MATCH(42,'كشف الحساب'!$N$4:$N$253,0),0))),"")</f>
        <v>470</v>
      </c>
      <c r="E46" s="73">
        <f>IFERROR(IF(IFERROR(MATCH(42,'كشف الحساب'!$N$4:$N$253,0),0)=0,"",INDEX('كشف الحساب'!$E$4:$E$253,IFERROR(MATCH(42,'كشف الحساب'!$N$4:$N$253,0),0))),"")</f>
        <v>0</v>
      </c>
      <c r="F46" s="70" t="str">
        <f>IFERROR(IF(IFERROR(MATCH(42,'كشف الحساب'!$N$4:$N$253,0),0)=0,"",INDEX('كشف الحساب'!$F$4:$F$253,IFERROR(MATCH(42,'كشف الحساب'!$N$4:$N$253,0),0))),"")</f>
        <v>نقداً</v>
      </c>
      <c r="G46" s="70" t="str">
        <f>IFERROR(IF(IFERROR(MATCH(42,'كشف الحساب'!$N$4:$N$253,0),0)=0,"",INDEX('كشف الحساب'!$G$4:$G$253,IFERROR(MATCH(42,'كشف الحساب'!$N$4:$N$253,0),0))),"")</f>
        <v>المحفظة</v>
      </c>
      <c r="H46" s="70" t="str">
        <f>IFERROR(IF(IFERROR(MATCH(42,'كشف الحساب'!$N$4:$N$253,0),0)=0,"",INDEX('كشف الحساب'!$H$4:$H$253,IFERROR(MATCH(42,'كشف الحساب'!$N$4:$N$253,0),0))),"")</f>
        <v>تم الدفع</v>
      </c>
      <c r="I46" s="70">
        <f>IFERROR(IF(IFERROR(MATCH(42,'كشف الحساب'!$N$4:$N$253,0),0)=0,"",INDEX('كشف الحساب'!$I$4:$I$253,IFERROR(MATCH(42,'كشف الحساب'!$N$4:$N$253,0),0))),"")</f>
        <v>0</v>
      </c>
      <c r="J46" s="74">
        <f>IFERROR(IF(IFERROR(MATCH(42,'كشف الحساب'!$N$4:$N$253,0),0)=0,"",INDEX('كشف الحساب'!$J$4:$J$253,IFERROR(MATCH(42,'كشف الحساب'!$N$4:$N$253,0),0))),"")</f>
        <v>97.94500000000005</v>
      </c>
      <c r="K46" s="70">
        <f>IFERROR(IF(IFERROR(MATCH(42,'كشف الحساب'!$N$4:$N$253,0),0)=0,"",INDEX('كشف الحساب'!$K$4:$K$253,IFERROR(MATCH(42,'كشف الحساب'!$N$4:$N$253,0),0))),"")</f>
        <v>0</v>
      </c>
    </row>
    <row r="47" spans="1:11" ht="15" customHeight="1" x14ac:dyDescent="0.25">
      <c r="A47" s="63">
        <f>IFERROR(IF(IFERROR(MATCH(43,'كشف الحساب'!$N$4:$N$253,0),0)=0,"",INDEX('كشف الحساب'!$A$4:$A$253,IFERROR(MATCH(43,'كشف الحساب'!$N$4:$N$253,0),0))),"")</f>
        <v>46265</v>
      </c>
      <c r="B47" s="64">
        <f>IFERROR(IF(IFERROR(MATCH(43,'كشف الحساب'!$N$4:$N$253,0),0)=0,"",INDEX('كشف الحساب'!$B$4:$B$253,IFERROR(MATCH(43,'كشف الحساب'!$N$4:$N$253,0),0))),"")</f>
        <v>0</v>
      </c>
      <c r="C47" s="65" t="str">
        <f>IFERROR(IF(IFERROR(MATCH(43,'كشف الحساب'!$N$4:$N$253,0),0)=0,"",INDEX('كشف الحساب'!$C$4:$C$253,IFERROR(MATCH(43,'كشف الحساب'!$N$4:$N$253,0),0))),"")</f>
        <v>نصف قيمه فلتر المالج</v>
      </c>
      <c r="D47" s="66">
        <f>IFERROR(IF(IFERROR(MATCH(43,'كشف الحساب'!$N$4:$N$253,0),0)=0,"",INDEX('كشف الحساب'!$D$4:$D$253,IFERROR(MATCH(43,'كشف الحساب'!$N$4:$N$253,0),0))),"")</f>
        <v>62.5</v>
      </c>
      <c r="E47" s="67">
        <f>IFERROR(IF(IFERROR(MATCH(43,'كشف الحساب'!$N$4:$N$253,0),0)=0,"",INDEX('كشف الحساب'!$E$4:$E$253,IFERROR(MATCH(43,'كشف الحساب'!$N$4:$N$253,0),0))),"")</f>
        <v>0</v>
      </c>
      <c r="F47" s="64">
        <f>IFERROR(IF(IFERROR(MATCH(43,'كشف الحساب'!$N$4:$N$253,0),0)=0,"",INDEX('كشف الحساب'!$F$4:$F$253,IFERROR(MATCH(43,'كشف الحساب'!$N$4:$N$253,0),0))),"")</f>
        <v>0</v>
      </c>
      <c r="G47" s="64" t="str">
        <f>IFERROR(IF(IFERROR(MATCH(43,'كشف الحساب'!$N$4:$N$253,0),0)=0,"",INDEX('كشف الحساب'!$G$4:$G$253,IFERROR(MATCH(43,'كشف الحساب'!$N$4:$N$253,0),0))),"")</f>
        <v>المحفظة</v>
      </c>
      <c r="H47" s="64" t="str">
        <f>IFERROR(IF(IFERROR(MATCH(43,'كشف الحساب'!$N$4:$N$253,0),0)=0,"",INDEX('كشف الحساب'!$H$4:$H$253,IFERROR(MATCH(43,'كشف الحساب'!$N$4:$N$253,0),0))),"")</f>
        <v>تم الدفع</v>
      </c>
      <c r="I47" s="64">
        <f>IFERROR(IF(IFERROR(MATCH(43,'كشف الحساب'!$N$4:$N$253,0),0)=0,"",INDEX('كشف الحساب'!$I$4:$I$253,IFERROR(MATCH(43,'كشف الحساب'!$N$4:$N$253,0),0))),"")</f>
        <v>0</v>
      </c>
      <c r="J47" s="68">
        <f>IFERROR(IF(IFERROR(MATCH(43,'كشف الحساب'!$N$4:$N$253,0),0)=0,"",INDEX('كشف الحساب'!$J$4:$J$253,IFERROR(MATCH(43,'كشف الحساب'!$N$4:$N$253,0),0))),"")</f>
        <v>35.44500000000005</v>
      </c>
      <c r="K47" s="64">
        <f>IFERROR(IF(IFERROR(MATCH(43,'كشف الحساب'!$N$4:$N$253,0),0)=0,"",INDEX('كشف الحساب'!$K$4:$K$253,IFERROR(MATCH(43,'كشف الحساب'!$N$4:$N$253,0),0))),"")</f>
        <v>0</v>
      </c>
    </row>
    <row r="48" spans="1:11" ht="15" customHeight="1" x14ac:dyDescent="0.25">
      <c r="A48" s="69">
        <f>IFERROR(IF(IFERROR(MATCH(44,'كشف الحساب'!$N$4:$N$253,0),0)=0,"",INDEX('كشف الحساب'!$A$4:$A$253,IFERROR(MATCH(44,'كشف الحساب'!$N$4:$N$253,0),0))),"")</f>
        <v>46265</v>
      </c>
      <c r="B48" s="70" t="str">
        <f>IFERROR(IF(IFERROR(MATCH(44,'كشف الحساب'!$N$4:$N$253,0),0)=0,"",INDEX('كشف الحساب'!$B$4:$B$253,IFERROR(MATCH(44,'كشف الحساب'!$N$4:$N$253,0),0))),"")</f>
        <v>Inv-132</v>
      </c>
      <c r="C48" s="71" t="str">
        <f>IFERROR(IF(IFERROR(MATCH(44,'كشف الحساب'!$N$4:$N$253,0),0)=0,"",INDEX('كشف الحساب'!$C$4:$C$253,IFERROR(MATCH(44,'كشف الحساب'!$N$4:$N$253,0),0))),"")</f>
        <v>ودليه عدد 2 الحبه 1</v>
      </c>
      <c r="D48" s="72">
        <f>IFERROR(IF(IFERROR(MATCH(44,'كشف الحساب'!$N$4:$N$253,0),0)=0,"",INDEX('كشف الحساب'!$D$4:$D$253,IFERROR(MATCH(44,'كشف الحساب'!$N$4:$N$253,0),0))),"")</f>
        <v>0</v>
      </c>
      <c r="E48" s="73">
        <f>IFERROR(IF(IFERROR(MATCH(44,'كشف الحساب'!$N$4:$N$253,0),0)=0,"",INDEX('كشف الحساب'!$E$4:$E$253,IFERROR(MATCH(44,'كشف الحساب'!$N$4:$N$253,0),0))),"")</f>
        <v>2</v>
      </c>
      <c r="F48" s="70" t="str">
        <f>IFERROR(IF(IFERROR(MATCH(44,'كشف الحساب'!$N$4:$N$253,0),0)=0,"",INDEX('كشف الحساب'!$F$4:$F$253,IFERROR(MATCH(44,'كشف الحساب'!$N$4:$N$253,0),0))),"")</f>
        <v>أون لاين</v>
      </c>
      <c r="G48" s="70">
        <f>IFERROR(IF(IFERROR(MATCH(44,'كشف الحساب'!$N$4:$N$253,0),0)=0,"",INDEX('كشف الحساب'!$G$4:$G$253,IFERROR(MATCH(44,'كشف الحساب'!$N$4:$N$253,0),0))),"")</f>
        <v>0</v>
      </c>
      <c r="H48" s="70" t="str">
        <f>IFERROR(IF(IFERROR(MATCH(44,'كشف الحساب'!$N$4:$N$253,0),0)=0,"",INDEX('كشف الحساب'!$H$4:$H$253,IFERROR(MATCH(44,'كشف الحساب'!$N$4:$N$253,0),0))),"")</f>
        <v>تم الدفع</v>
      </c>
      <c r="I48" s="70">
        <f>IFERROR(IF(IFERROR(MATCH(44,'كشف الحساب'!$N$4:$N$253,0),0)=0,"",INDEX('كشف الحساب'!$I$4:$I$253,IFERROR(MATCH(44,'كشف الحساب'!$N$4:$N$253,0),0))),"")</f>
        <v>0</v>
      </c>
      <c r="J48" s="74">
        <f>IFERROR(IF(IFERROR(MATCH(44,'كشف الحساب'!$N$4:$N$253,0),0)=0,"",INDEX('كشف الحساب'!$J$4:$J$253,IFERROR(MATCH(44,'كشف الحساب'!$N$4:$N$253,0),0))),"")</f>
        <v>37.44500000000005</v>
      </c>
      <c r="K48" s="70">
        <f>IFERROR(IF(IFERROR(MATCH(44,'كشف الحساب'!$N$4:$N$253,0),0)=0,"",INDEX('كشف الحساب'!$K$4:$K$253,IFERROR(MATCH(44,'كشف الحساب'!$N$4:$N$253,0),0))),"")</f>
        <v>0</v>
      </c>
    </row>
    <row r="49" spans="1:11" ht="15" customHeight="1" x14ac:dyDescent="0.25">
      <c r="A49" s="63" t="str">
        <f>IFERROR(IF(IFERROR(MATCH(45,'كشف الحساب'!$N$4:$N$253,0),0)=0,"",INDEX('كشف الحساب'!$A$4:$A$253,IFERROR(MATCH(45,'كشف الحساب'!$N$4:$N$253,0),0))),"")</f>
        <v/>
      </c>
      <c r="B49" s="64" t="str">
        <f>IFERROR(IF(IFERROR(MATCH(45,'كشف الحساب'!$N$4:$N$253,0),0)=0,"",INDEX('كشف الحساب'!$B$4:$B$253,IFERROR(MATCH(45,'كشف الحساب'!$N$4:$N$253,0),0))),"")</f>
        <v/>
      </c>
      <c r="C49" s="65" t="str">
        <f>IFERROR(IF(IFERROR(MATCH(45,'كشف الحساب'!$N$4:$N$253,0),0)=0,"",INDEX('كشف الحساب'!$C$4:$C$253,IFERROR(MATCH(45,'كشف الحساب'!$N$4:$N$253,0),0))),"")</f>
        <v/>
      </c>
      <c r="D49" s="66" t="str">
        <f>IFERROR(IF(IFERROR(MATCH(45,'كشف الحساب'!$N$4:$N$253,0),0)=0,"",INDEX('كشف الحساب'!$D$4:$D$253,IFERROR(MATCH(45,'كشف الحساب'!$N$4:$N$253,0),0))),"")</f>
        <v/>
      </c>
      <c r="E49" s="67" t="str">
        <f>IFERROR(IF(IFERROR(MATCH(45,'كشف الحساب'!$N$4:$N$253,0),0)=0,"",INDEX('كشف الحساب'!$E$4:$E$253,IFERROR(MATCH(45,'كشف الحساب'!$N$4:$N$253,0),0))),"")</f>
        <v/>
      </c>
      <c r="F49" s="64" t="str">
        <f>IFERROR(IF(IFERROR(MATCH(45,'كشف الحساب'!$N$4:$N$253,0),0)=0,"",INDEX('كشف الحساب'!$F$4:$F$253,IFERROR(MATCH(45,'كشف الحساب'!$N$4:$N$253,0),0))),"")</f>
        <v/>
      </c>
      <c r="G49" s="64" t="str">
        <f>IFERROR(IF(IFERROR(MATCH(45,'كشف الحساب'!$N$4:$N$253,0),0)=0,"",INDEX('كشف الحساب'!$G$4:$G$253,IFERROR(MATCH(45,'كشف الحساب'!$N$4:$N$253,0),0))),"")</f>
        <v/>
      </c>
      <c r="H49" s="64" t="str">
        <f>IFERROR(IF(IFERROR(MATCH(45,'كشف الحساب'!$N$4:$N$253,0),0)=0,"",INDEX('كشف الحساب'!$H$4:$H$253,IFERROR(MATCH(45,'كشف الحساب'!$N$4:$N$253,0),0))),"")</f>
        <v/>
      </c>
      <c r="I49" s="64" t="str">
        <f>IFERROR(IF(IFERROR(MATCH(45,'كشف الحساب'!$N$4:$N$253,0),0)=0,"",INDEX('كشف الحساب'!$I$4:$I$253,IFERROR(MATCH(45,'كشف الحساب'!$N$4:$N$253,0),0))),"")</f>
        <v/>
      </c>
      <c r="J49" s="68" t="str">
        <f>IFERROR(IF(IFERROR(MATCH(45,'كشف الحساب'!$N$4:$N$253,0),0)=0,"",INDEX('كشف الحساب'!$J$4:$J$253,IFERROR(MATCH(45,'كشف الحساب'!$N$4:$N$253,0),0))),"")</f>
        <v/>
      </c>
      <c r="K49" s="64" t="str">
        <f>IFERROR(IF(IFERROR(MATCH(45,'كشف الحساب'!$N$4:$N$253,0),0)=0,"",INDEX('كشف الحساب'!$K$4:$K$253,IFERROR(MATCH(45,'كشف الحساب'!$N$4:$N$253,0),0))),"")</f>
        <v/>
      </c>
    </row>
    <row r="50" spans="1:11" ht="15" customHeight="1" x14ac:dyDescent="0.25">
      <c r="A50" s="69" t="str">
        <f>IFERROR(IF(IFERROR(MATCH(46,'كشف الحساب'!$N$4:$N$253,0),0)=0,"",INDEX('كشف الحساب'!$A$4:$A$253,IFERROR(MATCH(46,'كشف الحساب'!$N$4:$N$253,0),0))),"")</f>
        <v/>
      </c>
      <c r="B50" s="70" t="str">
        <f>IFERROR(IF(IFERROR(MATCH(46,'كشف الحساب'!$N$4:$N$253,0),0)=0,"",INDEX('كشف الحساب'!$B$4:$B$253,IFERROR(MATCH(46,'كشف الحساب'!$N$4:$N$253,0),0))),"")</f>
        <v/>
      </c>
      <c r="C50" s="71" t="str">
        <f>IFERROR(IF(IFERROR(MATCH(46,'كشف الحساب'!$N$4:$N$253,0),0)=0,"",INDEX('كشف الحساب'!$C$4:$C$253,IFERROR(MATCH(46,'كشف الحساب'!$N$4:$N$253,0),0))),"")</f>
        <v/>
      </c>
      <c r="D50" s="72" t="str">
        <f>IFERROR(IF(IFERROR(MATCH(46,'كشف الحساب'!$N$4:$N$253,0),0)=0,"",INDEX('كشف الحساب'!$D$4:$D$253,IFERROR(MATCH(46,'كشف الحساب'!$N$4:$N$253,0),0))),"")</f>
        <v/>
      </c>
      <c r="E50" s="73" t="str">
        <f>IFERROR(IF(IFERROR(MATCH(46,'كشف الحساب'!$N$4:$N$253,0),0)=0,"",INDEX('كشف الحساب'!$E$4:$E$253,IFERROR(MATCH(46,'كشف الحساب'!$N$4:$N$253,0),0))),"")</f>
        <v/>
      </c>
      <c r="F50" s="70" t="str">
        <f>IFERROR(IF(IFERROR(MATCH(46,'كشف الحساب'!$N$4:$N$253,0),0)=0,"",INDEX('كشف الحساب'!$F$4:$F$253,IFERROR(MATCH(46,'كشف الحساب'!$N$4:$N$253,0),0))),"")</f>
        <v/>
      </c>
      <c r="G50" s="70" t="str">
        <f>IFERROR(IF(IFERROR(MATCH(46,'كشف الحساب'!$N$4:$N$253,0),0)=0,"",INDEX('كشف الحساب'!$G$4:$G$253,IFERROR(MATCH(46,'كشف الحساب'!$N$4:$N$253,0),0))),"")</f>
        <v/>
      </c>
      <c r="H50" s="70" t="str">
        <f>IFERROR(IF(IFERROR(MATCH(46,'كشف الحساب'!$N$4:$N$253,0),0)=0,"",INDEX('كشف الحساب'!$H$4:$H$253,IFERROR(MATCH(46,'كشف الحساب'!$N$4:$N$253,0),0))),"")</f>
        <v/>
      </c>
      <c r="I50" s="70" t="str">
        <f>IFERROR(IF(IFERROR(MATCH(46,'كشف الحساب'!$N$4:$N$253,0),0)=0,"",INDEX('كشف الحساب'!$I$4:$I$253,IFERROR(MATCH(46,'كشف الحساب'!$N$4:$N$253,0),0))),"")</f>
        <v/>
      </c>
      <c r="J50" s="74" t="str">
        <f>IFERROR(IF(IFERROR(MATCH(46,'كشف الحساب'!$N$4:$N$253,0),0)=0,"",INDEX('كشف الحساب'!$J$4:$J$253,IFERROR(MATCH(46,'كشف الحساب'!$N$4:$N$253,0),0))),"")</f>
        <v/>
      </c>
      <c r="K50" s="70" t="str">
        <f>IFERROR(IF(IFERROR(MATCH(46,'كشف الحساب'!$N$4:$N$253,0),0)=0,"",INDEX('كشف الحساب'!$K$4:$K$253,IFERROR(MATCH(46,'كشف الحساب'!$N$4:$N$253,0),0))),"")</f>
        <v/>
      </c>
    </row>
    <row r="51" spans="1:11" ht="15" customHeight="1" x14ac:dyDescent="0.25">
      <c r="A51" s="63" t="str">
        <f>IFERROR(IF(IFERROR(MATCH(47,'كشف الحساب'!$N$4:$N$253,0),0)=0,"",INDEX('كشف الحساب'!$A$4:$A$253,IFERROR(MATCH(47,'كشف الحساب'!$N$4:$N$253,0),0))),"")</f>
        <v/>
      </c>
      <c r="B51" s="64" t="str">
        <f>IFERROR(IF(IFERROR(MATCH(47,'كشف الحساب'!$N$4:$N$253,0),0)=0,"",INDEX('كشف الحساب'!$B$4:$B$253,IFERROR(MATCH(47,'كشف الحساب'!$N$4:$N$253,0),0))),"")</f>
        <v/>
      </c>
      <c r="C51" s="65" t="str">
        <f>IFERROR(IF(IFERROR(MATCH(47,'كشف الحساب'!$N$4:$N$253,0),0)=0,"",INDEX('كشف الحساب'!$C$4:$C$253,IFERROR(MATCH(47,'كشف الحساب'!$N$4:$N$253,0),0))),"")</f>
        <v/>
      </c>
      <c r="D51" s="66" t="str">
        <f>IFERROR(IF(IFERROR(MATCH(47,'كشف الحساب'!$N$4:$N$253,0),0)=0,"",INDEX('كشف الحساب'!$D$4:$D$253,IFERROR(MATCH(47,'كشف الحساب'!$N$4:$N$253,0),0))),"")</f>
        <v/>
      </c>
      <c r="E51" s="67" t="str">
        <f>IFERROR(IF(IFERROR(MATCH(47,'كشف الحساب'!$N$4:$N$253,0),0)=0,"",INDEX('كشف الحساب'!$E$4:$E$253,IFERROR(MATCH(47,'كشف الحساب'!$N$4:$N$253,0),0))),"")</f>
        <v/>
      </c>
      <c r="F51" s="64" t="str">
        <f>IFERROR(IF(IFERROR(MATCH(47,'كشف الحساب'!$N$4:$N$253,0),0)=0,"",INDEX('كشف الحساب'!$F$4:$F$253,IFERROR(MATCH(47,'كشف الحساب'!$N$4:$N$253,0),0))),"")</f>
        <v/>
      </c>
      <c r="G51" s="64" t="str">
        <f>IFERROR(IF(IFERROR(MATCH(47,'كشف الحساب'!$N$4:$N$253,0),0)=0,"",INDEX('كشف الحساب'!$G$4:$G$253,IFERROR(MATCH(47,'كشف الحساب'!$N$4:$N$253,0),0))),"")</f>
        <v/>
      </c>
      <c r="H51" s="64" t="str">
        <f>IFERROR(IF(IFERROR(MATCH(47,'كشف الحساب'!$N$4:$N$253,0),0)=0,"",INDEX('كشف الحساب'!$H$4:$H$253,IFERROR(MATCH(47,'كشف الحساب'!$N$4:$N$253,0),0))),"")</f>
        <v/>
      </c>
      <c r="I51" s="64" t="str">
        <f>IFERROR(IF(IFERROR(MATCH(47,'كشف الحساب'!$N$4:$N$253,0),0)=0,"",INDEX('كشف الحساب'!$I$4:$I$253,IFERROR(MATCH(47,'كشف الحساب'!$N$4:$N$253,0),0))),"")</f>
        <v/>
      </c>
      <c r="J51" s="68" t="str">
        <f>IFERROR(IF(IFERROR(MATCH(47,'كشف الحساب'!$N$4:$N$253,0),0)=0,"",INDEX('كشف الحساب'!$J$4:$J$253,IFERROR(MATCH(47,'كشف الحساب'!$N$4:$N$253,0),0))),"")</f>
        <v/>
      </c>
      <c r="K51" s="64" t="str">
        <f>IFERROR(IF(IFERROR(MATCH(47,'كشف الحساب'!$N$4:$N$253,0),0)=0,"",INDEX('كشف الحساب'!$K$4:$K$253,IFERROR(MATCH(47,'كشف الحساب'!$N$4:$N$253,0),0))),"")</f>
        <v/>
      </c>
    </row>
    <row r="52" spans="1:11" ht="15" customHeight="1" x14ac:dyDescent="0.25">
      <c r="A52" s="69" t="str">
        <f>IFERROR(IF(IFERROR(MATCH(48,'كشف الحساب'!$N$4:$N$253,0),0)=0,"",INDEX('كشف الحساب'!$A$4:$A$253,IFERROR(MATCH(48,'كشف الحساب'!$N$4:$N$253,0),0))),"")</f>
        <v/>
      </c>
      <c r="B52" s="70" t="str">
        <f>IFERROR(IF(IFERROR(MATCH(48,'كشف الحساب'!$N$4:$N$253,0),0)=0,"",INDEX('كشف الحساب'!$B$4:$B$253,IFERROR(MATCH(48,'كشف الحساب'!$N$4:$N$253,0),0))),"")</f>
        <v/>
      </c>
      <c r="C52" s="71" t="str">
        <f>IFERROR(IF(IFERROR(MATCH(48,'كشف الحساب'!$N$4:$N$253,0),0)=0,"",INDEX('كشف الحساب'!$C$4:$C$253,IFERROR(MATCH(48,'كشف الحساب'!$N$4:$N$253,0),0))),"")</f>
        <v/>
      </c>
      <c r="D52" s="72" t="str">
        <f>IFERROR(IF(IFERROR(MATCH(48,'كشف الحساب'!$N$4:$N$253,0),0)=0,"",INDEX('كشف الحساب'!$D$4:$D$253,IFERROR(MATCH(48,'كشف الحساب'!$N$4:$N$253,0),0))),"")</f>
        <v/>
      </c>
      <c r="E52" s="73" t="str">
        <f>IFERROR(IF(IFERROR(MATCH(48,'كشف الحساب'!$N$4:$N$253,0),0)=0,"",INDEX('كشف الحساب'!$E$4:$E$253,IFERROR(MATCH(48,'كشف الحساب'!$N$4:$N$253,0),0))),"")</f>
        <v/>
      </c>
      <c r="F52" s="70" t="str">
        <f>IFERROR(IF(IFERROR(MATCH(48,'كشف الحساب'!$N$4:$N$253,0),0)=0,"",INDEX('كشف الحساب'!$F$4:$F$253,IFERROR(MATCH(48,'كشف الحساب'!$N$4:$N$253,0),0))),"")</f>
        <v/>
      </c>
      <c r="G52" s="70" t="str">
        <f>IFERROR(IF(IFERROR(MATCH(48,'كشف الحساب'!$N$4:$N$253,0),0)=0,"",INDEX('كشف الحساب'!$G$4:$G$253,IFERROR(MATCH(48,'كشف الحساب'!$N$4:$N$253,0),0))),"")</f>
        <v/>
      </c>
      <c r="H52" s="70" t="str">
        <f>IFERROR(IF(IFERROR(MATCH(48,'كشف الحساب'!$N$4:$N$253,0),0)=0,"",INDEX('كشف الحساب'!$H$4:$H$253,IFERROR(MATCH(48,'كشف الحساب'!$N$4:$N$253,0),0))),"")</f>
        <v/>
      </c>
      <c r="I52" s="70" t="str">
        <f>IFERROR(IF(IFERROR(MATCH(48,'كشف الحساب'!$N$4:$N$253,0),0)=0,"",INDEX('كشف الحساب'!$I$4:$I$253,IFERROR(MATCH(48,'كشف الحساب'!$N$4:$N$253,0),0))),"")</f>
        <v/>
      </c>
      <c r="J52" s="74" t="str">
        <f>IFERROR(IF(IFERROR(MATCH(48,'كشف الحساب'!$N$4:$N$253,0),0)=0,"",INDEX('كشف الحساب'!$J$4:$J$253,IFERROR(MATCH(48,'كشف الحساب'!$N$4:$N$253,0),0))),"")</f>
        <v/>
      </c>
      <c r="K52" s="70" t="str">
        <f>IFERROR(IF(IFERROR(MATCH(48,'كشف الحساب'!$N$4:$N$253,0),0)=0,"",INDEX('كشف الحساب'!$K$4:$K$253,IFERROR(MATCH(48,'كشف الحساب'!$N$4:$N$253,0),0))),"")</f>
        <v/>
      </c>
    </row>
    <row r="53" spans="1:11" ht="15" customHeight="1" x14ac:dyDescent="0.25">
      <c r="A53" s="63" t="str">
        <f>IFERROR(IF(IFERROR(MATCH(49,'كشف الحساب'!$N$4:$N$253,0),0)=0,"",INDEX('كشف الحساب'!$A$4:$A$253,IFERROR(MATCH(49,'كشف الحساب'!$N$4:$N$253,0),0))),"")</f>
        <v/>
      </c>
      <c r="B53" s="64" t="str">
        <f>IFERROR(IF(IFERROR(MATCH(49,'كشف الحساب'!$N$4:$N$253,0),0)=0,"",INDEX('كشف الحساب'!$B$4:$B$253,IFERROR(MATCH(49,'كشف الحساب'!$N$4:$N$253,0),0))),"")</f>
        <v/>
      </c>
      <c r="C53" s="65" t="str">
        <f>IFERROR(IF(IFERROR(MATCH(49,'كشف الحساب'!$N$4:$N$253,0),0)=0,"",INDEX('كشف الحساب'!$C$4:$C$253,IFERROR(MATCH(49,'كشف الحساب'!$N$4:$N$253,0),0))),"")</f>
        <v/>
      </c>
      <c r="D53" s="66" t="str">
        <f>IFERROR(IF(IFERROR(MATCH(49,'كشف الحساب'!$N$4:$N$253,0),0)=0,"",INDEX('كشف الحساب'!$D$4:$D$253,IFERROR(MATCH(49,'كشف الحساب'!$N$4:$N$253,0),0))),"")</f>
        <v/>
      </c>
      <c r="E53" s="67" t="str">
        <f>IFERROR(IF(IFERROR(MATCH(49,'كشف الحساب'!$N$4:$N$253,0),0)=0,"",INDEX('كشف الحساب'!$E$4:$E$253,IFERROR(MATCH(49,'كشف الحساب'!$N$4:$N$253,0),0))),"")</f>
        <v/>
      </c>
      <c r="F53" s="64" t="str">
        <f>IFERROR(IF(IFERROR(MATCH(49,'كشف الحساب'!$N$4:$N$253,0),0)=0,"",INDEX('كشف الحساب'!$F$4:$F$253,IFERROR(MATCH(49,'كشف الحساب'!$N$4:$N$253,0),0))),"")</f>
        <v/>
      </c>
      <c r="G53" s="64" t="str">
        <f>IFERROR(IF(IFERROR(MATCH(49,'كشف الحساب'!$N$4:$N$253,0),0)=0,"",INDEX('كشف الحساب'!$G$4:$G$253,IFERROR(MATCH(49,'كشف الحساب'!$N$4:$N$253,0),0))),"")</f>
        <v/>
      </c>
      <c r="H53" s="64" t="str">
        <f>IFERROR(IF(IFERROR(MATCH(49,'كشف الحساب'!$N$4:$N$253,0),0)=0,"",INDEX('كشف الحساب'!$H$4:$H$253,IFERROR(MATCH(49,'كشف الحساب'!$N$4:$N$253,0),0))),"")</f>
        <v/>
      </c>
      <c r="I53" s="64" t="str">
        <f>IFERROR(IF(IFERROR(MATCH(49,'كشف الحساب'!$N$4:$N$253,0),0)=0,"",INDEX('كشف الحساب'!$I$4:$I$253,IFERROR(MATCH(49,'كشف الحساب'!$N$4:$N$253,0),0))),"")</f>
        <v/>
      </c>
      <c r="J53" s="68" t="str">
        <f>IFERROR(IF(IFERROR(MATCH(49,'كشف الحساب'!$N$4:$N$253,0),0)=0,"",INDEX('كشف الحساب'!$J$4:$J$253,IFERROR(MATCH(49,'كشف الحساب'!$N$4:$N$253,0),0))),"")</f>
        <v/>
      </c>
      <c r="K53" s="64" t="str">
        <f>IFERROR(IF(IFERROR(MATCH(49,'كشف الحساب'!$N$4:$N$253,0),0)=0,"",INDEX('كشف الحساب'!$K$4:$K$253,IFERROR(MATCH(49,'كشف الحساب'!$N$4:$N$253,0),0))),"")</f>
        <v/>
      </c>
    </row>
    <row r="54" spans="1:11" ht="15" customHeight="1" x14ac:dyDescent="0.25">
      <c r="A54" s="69" t="str">
        <f>IFERROR(IF(IFERROR(MATCH(50,'كشف الحساب'!$N$4:$N$253,0),0)=0,"",INDEX('كشف الحساب'!$A$4:$A$253,IFERROR(MATCH(50,'كشف الحساب'!$N$4:$N$253,0),0))),"")</f>
        <v/>
      </c>
      <c r="B54" s="70" t="str">
        <f>IFERROR(IF(IFERROR(MATCH(50,'كشف الحساب'!$N$4:$N$253,0),0)=0,"",INDEX('كشف الحساب'!$B$4:$B$253,IFERROR(MATCH(50,'كشف الحساب'!$N$4:$N$253,0),0))),"")</f>
        <v/>
      </c>
      <c r="C54" s="71" t="str">
        <f>IFERROR(IF(IFERROR(MATCH(50,'كشف الحساب'!$N$4:$N$253,0),0)=0,"",INDEX('كشف الحساب'!$C$4:$C$253,IFERROR(MATCH(50,'كشف الحساب'!$N$4:$N$253,0),0))),"")</f>
        <v/>
      </c>
      <c r="D54" s="72" t="str">
        <f>IFERROR(IF(IFERROR(MATCH(50,'كشف الحساب'!$N$4:$N$253,0),0)=0,"",INDEX('كشف الحساب'!$D$4:$D$253,IFERROR(MATCH(50,'كشف الحساب'!$N$4:$N$253,0),0))),"")</f>
        <v/>
      </c>
      <c r="E54" s="73" t="str">
        <f>IFERROR(IF(IFERROR(MATCH(50,'كشف الحساب'!$N$4:$N$253,0),0)=0,"",INDEX('كشف الحساب'!$E$4:$E$253,IFERROR(MATCH(50,'كشف الحساب'!$N$4:$N$253,0),0))),"")</f>
        <v/>
      </c>
      <c r="F54" s="70" t="str">
        <f>IFERROR(IF(IFERROR(MATCH(50,'كشف الحساب'!$N$4:$N$253,0),0)=0,"",INDEX('كشف الحساب'!$F$4:$F$253,IFERROR(MATCH(50,'كشف الحساب'!$N$4:$N$253,0),0))),"")</f>
        <v/>
      </c>
      <c r="G54" s="70" t="str">
        <f>IFERROR(IF(IFERROR(MATCH(50,'كشف الحساب'!$N$4:$N$253,0),0)=0,"",INDEX('كشف الحساب'!$G$4:$G$253,IFERROR(MATCH(50,'كشف الحساب'!$N$4:$N$253,0),0))),"")</f>
        <v/>
      </c>
      <c r="H54" s="70" t="str">
        <f>IFERROR(IF(IFERROR(MATCH(50,'كشف الحساب'!$N$4:$N$253,0),0)=0,"",INDEX('كشف الحساب'!$H$4:$H$253,IFERROR(MATCH(50,'كشف الحساب'!$N$4:$N$253,0),0))),"")</f>
        <v/>
      </c>
      <c r="I54" s="70" t="str">
        <f>IFERROR(IF(IFERROR(MATCH(50,'كشف الحساب'!$N$4:$N$253,0),0)=0,"",INDEX('كشف الحساب'!$I$4:$I$253,IFERROR(MATCH(50,'كشف الحساب'!$N$4:$N$253,0),0))),"")</f>
        <v/>
      </c>
      <c r="J54" s="74" t="str">
        <f>IFERROR(IF(IFERROR(MATCH(50,'كشف الحساب'!$N$4:$N$253,0),0)=0,"",INDEX('كشف الحساب'!$J$4:$J$253,IFERROR(MATCH(50,'كشف الحساب'!$N$4:$N$253,0),0))),"")</f>
        <v/>
      </c>
      <c r="K54" s="70" t="str">
        <f>IFERROR(IF(IFERROR(MATCH(50,'كشف الحساب'!$N$4:$N$253,0),0)=0,"",INDEX('كشف الحساب'!$K$4:$K$253,IFERROR(MATCH(50,'كشف الحساب'!$N$4:$N$253,0),0))),"")</f>
        <v/>
      </c>
    </row>
    <row r="55" spans="1:11" ht="15" customHeight="1" x14ac:dyDescent="0.25">
      <c r="A55" s="63" t="str">
        <f>IFERROR(IF(IFERROR(MATCH(51,'كشف الحساب'!$N$4:$N$253,0),0)=0,"",INDEX('كشف الحساب'!$A$4:$A$253,IFERROR(MATCH(51,'كشف الحساب'!$N$4:$N$253,0),0))),"")</f>
        <v/>
      </c>
      <c r="B55" s="64" t="str">
        <f>IFERROR(IF(IFERROR(MATCH(51,'كشف الحساب'!$N$4:$N$253,0),0)=0,"",INDEX('كشف الحساب'!$B$4:$B$253,IFERROR(MATCH(51,'كشف الحساب'!$N$4:$N$253,0),0))),"")</f>
        <v/>
      </c>
      <c r="C55" s="65" t="str">
        <f>IFERROR(IF(IFERROR(MATCH(51,'كشف الحساب'!$N$4:$N$253,0),0)=0,"",INDEX('كشف الحساب'!$C$4:$C$253,IFERROR(MATCH(51,'كشف الحساب'!$N$4:$N$253,0),0))),"")</f>
        <v/>
      </c>
      <c r="D55" s="66" t="str">
        <f>IFERROR(IF(IFERROR(MATCH(51,'كشف الحساب'!$N$4:$N$253,0),0)=0,"",INDEX('كشف الحساب'!$D$4:$D$253,IFERROR(MATCH(51,'كشف الحساب'!$N$4:$N$253,0),0))),"")</f>
        <v/>
      </c>
      <c r="E55" s="67" t="str">
        <f>IFERROR(IF(IFERROR(MATCH(51,'كشف الحساب'!$N$4:$N$253,0),0)=0,"",INDEX('كشف الحساب'!$E$4:$E$253,IFERROR(MATCH(51,'كشف الحساب'!$N$4:$N$253,0),0))),"")</f>
        <v/>
      </c>
      <c r="F55" s="64" t="str">
        <f>IFERROR(IF(IFERROR(MATCH(51,'كشف الحساب'!$N$4:$N$253,0),0)=0,"",INDEX('كشف الحساب'!$F$4:$F$253,IFERROR(MATCH(51,'كشف الحساب'!$N$4:$N$253,0),0))),"")</f>
        <v/>
      </c>
      <c r="G55" s="64" t="str">
        <f>IFERROR(IF(IFERROR(MATCH(51,'كشف الحساب'!$N$4:$N$253,0),0)=0,"",INDEX('كشف الحساب'!$G$4:$G$253,IFERROR(MATCH(51,'كشف الحساب'!$N$4:$N$253,0),0))),"")</f>
        <v/>
      </c>
      <c r="H55" s="64" t="str">
        <f>IFERROR(IF(IFERROR(MATCH(51,'كشف الحساب'!$N$4:$N$253,0),0)=0,"",INDEX('كشف الحساب'!$H$4:$H$253,IFERROR(MATCH(51,'كشف الحساب'!$N$4:$N$253,0),0))),"")</f>
        <v/>
      </c>
      <c r="I55" s="64" t="str">
        <f>IFERROR(IF(IFERROR(MATCH(51,'كشف الحساب'!$N$4:$N$253,0),0)=0,"",INDEX('كشف الحساب'!$I$4:$I$253,IFERROR(MATCH(51,'كشف الحساب'!$N$4:$N$253,0),0))),"")</f>
        <v/>
      </c>
      <c r="J55" s="68" t="str">
        <f>IFERROR(IF(IFERROR(MATCH(51,'كشف الحساب'!$N$4:$N$253,0),0)=0,"",INDEX('كشف الحساب'!$J$4:$J$253,IFERROR(MATCH(51,'كشف الحساب'!$N$4:$N$253,0),0))),"")</f>
        <v/>
      </c>
      <c r="K55" s="64" t="str">
        <f>IFERROR(IF(IFERROR(MATCH(51,'كشف الحساب'!$N$4:$N$253,0),0)=0,"",INDEX('كشف الحساب'!$K$4:$K$253,IFERROR(MATCH(51,'كشف الحساب'!$N$4:$N$253,0),0))),"")</f>
        <v/>
      </c>
    </row>
    <row r="56" spans="1:11" ht="15" customHeight="1" x14ac:dyDescent="0.25">
      <c r="A56" s="69" t="str">
        <f>IFERROR(IF(IFERROR(MATCH(52,'كشف الحساب'!$N$4:$N$253,0),0)=0,"",INDEX('كشف الحساب'!$A$4:$A$253,IFERROR(MATCH(52,'كشف الحساب'!$N$4:$N$253,0),0))),"")</f>
        <v/>
      </c>
      <c r="B56" s="70" t="str">
        <f>IFERROR(IF(IFERROR(MATCH(52,'كشف الحساب'!$N$4:$N$253,0),0)=0,"",INDEX('كشف الحساب'!$B$4:$B$253,IFERROR(MATCH(52,'كشف الحساب'!$N$4:$N$253,0),0))),"")</f>
        <v/>
      </c>
      <c r="C56" s="71" t="str">
        <f>IFERROR(IF(IFERROR(MATCH(52,'كشف الحساب'!$N$4:$N$253,0),0)=0,"",INDEX('كشف الحساب'!$C$4:$C$253,IFERROR(MATCH(52,'كشف الحساب'!$N$4:$N$253,0),0))),"")</f>
        <v/>
      </c>
      <c r="D56" s="72" t="str">
        <f>IFERROR(IF(IFERROR(MATCH(52,'كشف الحساب'!$N$4:$N$253,0),0)=0,"",INDEX('كشف الحساب'!$D$4:$D$253,IFERROR(MATCH(52,'كشف الحساب'!$N$4:$N$253,0),0))),"")</f>
        <v/>
      </c>
      <c r="E56" s="73" t="str">
        <f>IFERROR(IF(IFERROR(MATCH(52,'كشف الحساب'!$N$4:$N$253,0),0)=0,"",INDEX('كشف الحساب'!$E$4:$E$253,IFERROR(MATCH(52,'كشف الحساب'!$N$4:$N$253,0),0))),"")</f>
        <v/>
      </c>
      <c r="F56" s="70" t="str">
        <f>IFERROR(IF(IFERROR(MATCH(52,'كشف الحساب'!$N$4:$N$253,0),0)=0,"",INDEX('كشف الحساب'!$F$4:$F$253,IFERROR(MATCH(52,'كشف الحساب'!$N$4:$N$253,0),0))),"")</f>
        <v/>
      </c>
      <c r="G56" s="70" t="str">
        <f>IFERROR(IF(IFERROR(MATCH(52,'كشف الحساب'!$N$4:$N$253,0),0)=0,"",INDEX('كشف الحساب'!$G$4:$G$253,IFERROR(MATCH(52,'كشف الحساب'!$N$4:$N$253,0),0))),"")</f>
        <v/>
      </c>
      <c r="H56" s="70" t="str">
        <f>IFERROR(IF(IFERROR(MATCH(52,'كشف الحساب'!$N$4:$N$253,0),0)=0,"",INDEX('كشف الحساب'!$H$4:$H$253,IFERROR(MATCH(52,'كشف الحساب'!$N$4:$N$253,0),0))),"")</f>
        <v/>
      </c>
      <c r="I56" s="70" t="str">
        <f>IFERROR(IF(IFERROR(MATCH(52,'كشف الحساب'!$N$4:$N$253,0),0)=0,"",INDEX('كشف الحساب'!$I$4:$I$253,IFERROR(MATCH(52,'كشف الحساب'!$N$4:$N$253,0),0))),"")</f>
        <v/>
      </c>
      <c r="J56" s="74" t="str">
        <f>IFERROR(IF(IFERROR(MATCH(52,'كشف الحساب'!$N$4:$N$253,0),0)=0,"",INDEX('كشف الحساب'!$J$4:$J$253,IFERROR(MATCH(52,'كشف الحساب'!$N$4:$N$253,0),0))),"")</f>
        <v/>
      </c>
      <c r="K56" s="70" t="str">
        <f>IFERROR(IF(IFERROR(MATCH(52,'كشف الحساب'!$N$4:$N$253,0),0)=0,"",INDEX('كشف الحساب'!$K$4:$K$253,IFERROR(MATCH(52,'كشف الحساب'!$N$4:$N$253,0),0))),"")</f>
        <v/>
      </c>
    </row>
    <row r="57" spans="1:11" ht="15" customHeight="1" x14ac:dyDescent="0.25">
      <c r="A57" s="63" t="str">
        <f>IFERROR(IF(IFERROR(MATCH(53,'كشف الحساب'!$N$4:$N$253,0),0)=0,"",INDEX('كشف الحساب'!$A$4:$A$253,IFERROR(MATCH(53,'كشف الحساب'!$N$4:$N$253,0),0))),"")</f>
        <v/>
      </c>
      <c r="B57" s="64" t="str">
        <f>IFERROR(IF(IFERROR(MATCH(53,'كشف الحساب'!$N$4:$N$253,0),0)=0,"",INDEX('كشف الحساب'!$B$4:$B$253,IFERROR(MATCH(53,'كشف الحساب'!$N$4:$N$253,0),0))),"")</f>
        <v/>
      </c>
      <c r="C57" s="65" t="str">
        <f>IFERROR(IF(IFERROR(MATCH(53,'كشف الحساب'!$N$4:$N$253,0),0)=0,"",INDEX('كشف الحساب'!$C$4:$C$253,IFERROR(MATCH(53,'كشف الحساب'!$N$4:$N$253,0),0))),"")</f>
        <v/>
      </c>
      <c r="D57" s="66" t="str">
        <f>IFERROR(IF(IFERROR(MATCH(53,'كشف الحساب'!$N$4:$N$253,0),0)=0,"",INDEX('كشف الحساب'!$D$4:$D$253,IFERROR(MATCH(53,'كشف الحساب'!$N$4:$N$253,0),0))),"")</f>
        <v/>
      </c>
      <c r="E57" s="67" t="str">
        <f>IFERROR(IF(IFERROR(MATCH(53,'كشف الحساب'!$N$4:$N$253,0),0)=0,"",INDEX('كشف الحساب'!$E$4:$E$253,IFERROR(MATCH(53,'كشف الحساب'!$N$4:$N$253,0),0))),"")</f>
        <v/>
      </c>
      <c r="F57" s="64" t="str">
        <f>IFERROR(IF(IFERROR(MATCH(53,'كشف الحساب'!$N$4:$N$253,0),0)=0,"",INDEX('كشف الحساب'!$F$4:$F$253,IFERROR(MATCH(53,'كشف الحساب'!$N$4:$N$253,0),0))),"")</f>
        <v/>
      </c>
      <c r="G57" s="64" t="str">
        <f>IFERROR(IF(IFERROR(MATCH(53,'كشف الحساب'!$N$4:$N$253,0),0)=0,"",INDEX('كشف الحساب'!$G$4:$G$253,IFERROR(MATCH(53,'كشف الحساب'!$N$4:$N$253,0),0))),"")</f>
        <v/>
      </c>
      <c r="H57" s="64" t="str">
        <f>IFERROR(IF(IFERROR(MATCH(53,'كشف الحساب'!$N$4:$N$253,0),0)=0,"",INDEX('كشف الحساب'!$H$4:$H$253,IFERROR(MATCH(53,'كشف الحساب'!$N$4:$N$253,0),0))),"")</f>
        <v/>
      </c>
      <c r="I57" s="64" t="str">
        <f>IFERROR(IF(IFERROR(MATCH(53,'كشف الحساب'!$N$4:$N$253,0),0)=0,"",INDEX('كشف الحساب'!$I$4:$I$253,IFERROR(MATCH(53,'كشف الحساب'!$N$4:$N$253,0),0))),"")</f>
        <v/>
      </c>
      <c r="J57" s="68" t="str">
        <f>IFERROR(IF(IFERROR(MATCH(53,'كشف الحساب'!$N$4:$N$253,0),0)=0,"",INDEX('كشف الحساب'!$J$4:$J$253,IFERROR(MATCH(53,'كشف الحساب'!$N$4:$N$253,0),0))),"")</f>
        <v/>
      </c>
      <c r="K57" s="64" t="str">
        <f>IFERROR(IF(IFERROR(MATCH(53,'كشف الحساب'!$N$4:$N$253,0),0)=0,"",INDEX('كشف الحساب'!$K$4:$K$253,IFERROR(MATCH(53,'كشف الحساب'!$N$4:$N$253,0),0))),"")</f>
        <v/>
      </c>
    </row>
    <row r="58" spans="1:11" ht="15" customHeight="1" x14ac:dyDescent="0.25">
      <c r="A58" s="69" t="str">
        <f>IFERROR(IF(IFERROR(MATCH(54,'كشف الحساب'!$N$4:$N$253,0),0)=0,"",INDEX('كشف الحساب'!$A$4:$A$253,IFERROR(MATCH(54,'كشف الحساب'!$N$4:$N$253,0),0))),"")</f>
        <v/>
      </c>
      <c r="B58" s="70" t="str">
        <f>IFERROR(IF(IFERROR(MATCH(54,'كشف الحساب'!$N$4:$N$253,0),0)=0,"",INDEX('كشف الحساب'!$B$4:$B$253,IFERROR(MATCH(54,'كشف الحساب'!$N$4:$N$253,0),0))),"")</f>
        <v/>
      </c>
      <c r="C58" s="71" t="str">
        <f>IFERROR(IF(IFERROR(MATCH(54,'كشف الحساب'!$N$4:$N$253,0),0)=0,"",INDEX('كشف الحساب'!$C$4:$C$253,IFERROR(MATCH(54,'كشف الحساب'!$N$4:$N$253,0),0))),"")</f>
        <v/>
      </c>
      <c r="D58" s="72" t="str">
        <f>IFERROR(IF(IFERROR(MATCH(54,'كشف الحساب'!$N$4:$N$253,0),0)=0,"",INDEX('كشف الحساب'!$D$4:$D$253,IFERROR(MATCH(54,'كشف الحساب'!$N$4:$N$253,0),0))),"")</f>
        <v/>
      </c>
      <c r="E58" s="73" t="str">
        <f>IFERROR(IF(IFERROR(MATCH(54,'كشف الحساب'!$N$4:$N$253,0),0)=0,"",INDEX('كشف الحساب'!$E$4:$E$253,IFERROR(MATCH(54,'كشف الحساب'!$N$4:$N$253,0),0))),"")</f>
        <v/>
      </c>
      <c r="F58" s="70" t="str">
        <f>IFERROR(IF(IFERROR(MATCH(54,'كشف الحساب'!$N$4:$N$253,0),0)=0,"",INDEX('كشف الحساب'!$F$4:$F$253,IFERROR(MATCH(54,'كشف الحساب'!$N$4:$N$253,0),0))),"")</f>
        <v/>
      </c>
      <c r="G58" s="70" t="str">
        <f>IFERROR(IF(IFERROR(MATCH(54,'كشف الحساب'!$N$4:$N$253,0),0)=0,"",INDEX('كشف الحساب'!$G$4:$G$253,IFERROR(MATCH(54,'كشف الحساب'!$N$4:$N$253,0),0))),"")</f>
        <v/>
      </c>
      <c r="H58" s="70" t="str">
        <f>IFERROR(IF(IFERROR(MATCH(54,'كشف الحساب'!$N$4:$N$253,0),0)=0,"",INDEX('كشف الحساب'!$H$4:$H$253,IFERROR(MATCH(54,'كشف الحساب'!$N$4:$N$253,0),0))),"")</f>
        <v/>
      </c>
      <c r="I58" s="70" t="str">
        <f>IFERROR(IF(IFERROR(MATCH(54,'كشف الحساب'!$N$4:$N$253,0),0)=0,"",INDEX('كشف الحساب'!$I$4:$I$253,IFERROR(MATCH(54,'كشف الحساب'!$N$4:$N$253,0),0))),"")</f>
        <v/>
      </c>
      <c r="J58" s="74" t="str">
        <f>IFERROR(IF(IFERROR(MATCH(54,'كشف الحساب'!$N$4:$N$253,0),0)=0,"",INDEX('كشف الحساب'!$J$4:$J$253,IFERROR(MATCH(54,'كشف الحساب'!$N$4:$N$253,0),0))),"")</f>
        <v/>
      </c>
      <c r="K58" s="70" t="str">
        <f>IFERROR(IF(IFERROR(MATCH(54,'كشف الحساب'!$N$4:$N$253,0),0)=0,"",INDEX('كشف الحساب'!$K$4:$K$253,IFERROR(MATCH(54,'كشف الحساب'!$N$4:$N$253,0),0))),"")</f>
        <v/>
      </c>
    </row>
    <row r="59" spans="1:11" ht="15" customHeight="1" x14ac:dyDescent="0.25">
      <c r="A59" s="63" t="str">
        <f>IFERROR(IF(IFERROR(MATCH(55,'كشف الحساب'!$N$4:$N$253,0),0)=0,"",INDEX('كشف الحساب'!$A$4:$A$253,IFERROR(MATCH(55,'كشف الحساب'!$N$4:$N$253,0),0))),"")</f>
        <v/>
      </c>
      <c r="B59" s="64" t="str">
        <f>IFERROR(IF(IFERROR(MATCH(55,'كشف الحساب'!$N$4:$N$253,0),0)=0,"",INDEX('كشف الحساب'!$B$4:$B$253,IFERROR(MATCH(55,'كشف الحساب'!$N$4:$N$253,0),0))),"")</f>
        <v/>
      </c>
      <c r="C59" s="65" t="str">
        <f>IFERROR(IF(IFERROR(MATCH(55,'كشف الحساب'!$N$4:$N$253,0),0)=0,"",INDEX('كشف الحساب'!$C$4:$C$253,IFERROR(MATCH(55,'كشف الحساب'!$N$4:$N$253,0),0))),"")</f>
        <v/>
      </c>
      <c r="D59" s="66" t="str">
        <f>IFERROR(IF(IFERROR(MATCH(55,'كشف الحساب'!$N$4:$N$253,0),0)=0,"",INDEX('كشف الحساب'!$D$4:$D$253,IFERROR(MATCH(55,'كشف الحساب'!$N$4:$N$253,0),0))),"")</f>
        <v/>
      </c>
      <c r="E59" s="67" t="str">
        <f>IFERROR(IF(IFERROR(MATCH(55,'كشف الحساب'!$N$4:$N$253,0),0)=0,"",INDEX('كشف الحساب'!$E$4:$E$253,IFERROR(MATCH(55,'كشف الحساب'!$N$4:$N$253,0),0))),"")</f>
        <v/>
      </c>
      <c r="F59" s="64" t="str">
        <f>IFERROR(IF(IFERROR(MATCH(55,'كشف الحساب'!$N$4:$N$253,0),0)=0,"",INDEX('كشف الحساب'!$F$4:$F$253,IFERROR(MATCH(55,'كشف الحساب'!$N$4:$N$253,0),0))),"")</f>
        <v/>
      </c>
      <c r="G59" s="64" t="str">
        <f>IFERROR(IF(IFERROR(MATCH(55,'كشف الحساب'!$N$4:$N$253,0),0)=0,"",INDEX('كشف الحساب'!$G$4:$G$253,IFERROR(MATCH(55,'كشف الحساب'!$N$4:$N$253,0),0))),"")</f>
        <v/>
      </c>
      <c r="H59" s="64" t="str">
        <f>IFERROR(IF(IFERROR(MATCH(55,'كشف الحساب'!$N$4:$N$253,0),0)=0,"",INDEX('كشف الحساب'!$H$4:$H$253,IFERROR(MATCH(55,'كشف الحساب'!$N$4:$N$253,0),0))),"")</f>
        <v/>
      </c>
      <c r="I59" s="64" t="str">
        <f>IFERROR(IF(IFERROR(MATCH(55,'كشف الحساب'!$N$4:$N$253,0),0)=0,"",INDEX('كشف الحساب'!$I$4:$I$253,IFERROR(MATCH(55,'كشف الحساب'!$N$4:$N$253,0),0))),"")</f>
        <v/>
      </c>
      <c r="J59" s="68" t="str">
        <f>IFERROR(IF(IFERROR(MATCH(55,'كشف الحساب'!$N$4:$N$253,0),0)=0,"",INDEX('كشف الحساب'!$J$4:$J$253,IFERROR(MATCH(55,'كشف الحساب'!$N$4:$N$253,0),0))),"")</f>
        <v/>
      </c>
      <c r="K59" s="64" t="str">
        <f>IFERROR(IF(IFERROR(MATCH(55,'كشف الحساب'!$N$4:$N$253,0),0)=0,"",INDEX('كشف الحساب'!$K$4:$K$253,IFERROR(MATCH(55,'كشف الحساب'!$N$4:$N$253,0),0))),"")</f>
        <v/>
      </c>
    </row>
    <row r="60" spans="1:11" ht="15" customHeight="1" x14ac:dyDescent="0.25">
      <c r="A60" s="69" t="str">
        <f>IFERROR(IF(IFERROR(MATCH(56,'كشف الحساب'!$N$4:$N$253,0),0)=0,"",INDEX('كشف الحساب'!$A$4:$A$253,IFERROR(MATCH(56,'كشف الحساب'!$N$4:$N$253,0),0))),"")</f>
        <v/>
      </c>
      <c r="B60" s="70" t="str">
        <f>IFERROR(IF(IFERROR(MATCH(56,'كشف الحساب'!$N$4:$N$253,0),0)=0,"",INDEX('كشف الحساب'!$B$4:$B$253,IFERROR(MATCH(56,'كشف الحساب'!$N$4:$N$253,0),0))),"")</f>
        <v/>
      </c>
      <c r="C60" s="71" t="str">
        <f>IFERROR(IF(IFERROR(MATCH(56,'كشف الحساب'!$N$4:$N$253,0),0)=0,"",INDEX('كشف الحساب'!$C$4:$C$253,IFERROR(MATCH(56,'كشف الحساب'!$N$4:$N$253,0),0))),"")</f>
        <v/>
      </c>
      <c r="D60" s="72" t="str">
        <f>IFERROR(IF(IFERROR(MATCH(56,'كشف الحساب'!$N$4:$N$253,0),0)=0,"",INDEX('كشف الحساب'!$D$4:$D$253,IFERROR(MATCH(56,'كشف الحساب'!$N$4:$N$253,0),0))),"")</f>
        <v/>
      </c>
      <c r="E60" s="73" t="str">
        <f>IFERROR(IF(IFERROR(MATCH(56,'كشف الحساب'!$N$4:$N$253,0),0)=0,"",INDEX('كشف الحساب'!$E$4:$E$253,IFERROR(MATCH(56,'كشف الحساب'!$N$4:$N$253,0),0))),"")</f>
        <v/>
      </c>
      <c r="F60" s="70" t="str">
        <f>IFERROR(IF(IFERROR(MATCH(56,'كشف الحساب'!$N$4:$N$253,0),0)=0,"",INDEX('كشف الحساب'!$F$4:$F$253,IFERROR(MATCH(56,'كشف الحساب'!$N$4:$N$253,0),0))),"")</f>
        <v/>
      </c>
      <c r="G60" s="70" t="str">
        <f>IFERROR(IF(IFERROR(MATCH(56,'كشف الحساب'!$N$4:$N$253,0),0)=0,"",INDEX('كشف الحساب'!$G$4:$G$253,IFERROR(MATCH(56,'كشف الحساب'!$N$4:$N$253,0),0))),"")</f>
        <v/>
      </c>
      <c r="H60" s="70" t="str">
        <f>IFERROR(IF(IFERROR(MATCH(56,'كشف الحساب'!$N$4:$N$253,0),0)=0,"",INDEX('كشف الحساب'!$H$4:$H$253,IFERROR(MATCH(56,'كشف الحساب'!$N$4:$N$253,0),0))),"")</f>
        <v/>
      </c>
      <c r="I60" s="70" t="str">
        <f>IFERROR(IF(IFERROR(MATCH(56,'كشف الحساب'!$N$4:$N$253,0),0)=0,"",INDEX('كشف الحساب'!$I$4:$I$253,IFERROR(MATCH(56,'كشف الحساب'!$N$4:$N$253,0),0))),"")</f>
        <v/>
      </c>
      <c r="J60" s="74" t="str">
        <f>IFERROR(IF(IFERROR(MATCH(56,'كشف الحساب'!$N$4:$N$253,0),0)=0,"",INDEX('كشف الحساب'!$J$4:$J$253,IFERROR(MATCH(56,'كشف الحساب'!$N$4:$N$253,0),0))),"")</f>
        <v/>
      </c>
      <c r="K60" s="70" t="str">
        <f>IFERROR(IF(IFERROR(MATCH(56,'كشف الحساب'!$N$4:$N$253,0),0)=0,"",INDEX('كشف الحساب'!$K$4:$K$253,IFERROR(MATCH(56,'كشف الحساب'!$N$4:$N$253,0),0))),"")</f>
        <v/>
      </c>
    </row>
    <row r="61" spans="1:11" ht="15" customHeight="1" x14ac:dyDescent="0.25">
      <c r="A61" s="63" t="str">
        <f>IFERROR(IF(IFERROR(MATCH(57,'كشف الحساب'!$N$4:$N$253,0),0)=0,"",INDEX('كشف الحساب'!$A$4:$A$253,IFERROR(MATCH(57,'كشف الحساب'!$N$4:$N$253,0),0))),"")</f>
        <v/>
      </c>
      <c r="B61" s="64" t="str">
        <f>IFERROR(IF(IFERROR(MATCH(57,'كشف الحساب'!$N$4:$N$253,0),0)=0,"",INDEX('كشف الحساب'!$B$4:$B$253,IFERROR(MATCH(57,'كشف الحساب'!$N$4:$N$253,0),0))),"")</f>
        <v/>
      </c>
      <c r="C61" s="65" t="str">
        <f>IFERROR(IF(IFERROR(MATCH(57,'كشف الحساب'!$N$4:$N$253,0),0)=0,"",INDEX('كشف الحساب'!$C$4:$C$253,IFERROR(MATCH(57,'كشف الحساب'!$N$4:$N$253,0),0))),"")</f>
        <v/>
      </c>
      <c r="D61" s="66" t="str">
        <f>IFERROR(IF(IFERROR(MATCH(57,'كشف الحساب'!$N$4:$N$253,0),0)=0,"",INDEX('كشف الحساب'!$D$4:$D$253,IFERROR(MATCH(57,'كشف الحساب'!$N$4:$N$253,0),0))),"")</f>
        <v/>
      </c>
      <c r="E61" s="67" t="str">
        <f>IFERROR(IF(IFERROR(MATCH(57,'كشف الحساب'!$N$4:$N$253,0),0)=0,"",INDEX('كشف الحساب'!$E$4:$E$253,IFERROR(MATCH(57,'كشف الحساب'!$N$4:$N$253,0),0))),"")</f>
        <v/>
      </c>
      <c r="F61" s="64" t="str">
        <f>IFERROR(IF(IFERROR(MATCH(57,'كشف الحساب'!$N$4:$N$253,0),0)=0,"",INDEX('كشف الحساب'!$F$4:$F$253,IFERROR(MATCH(57,'كشف الحساب'!$N$4:$N$253,0),0))),"")</f>
        <v/>
      </c>
      <c r="G61" s="64" t="str">
        <f>IFERROR(IF(IFERROR(MATCH(57,'كشف الحساب'!$N$4:$N$253,0),0)=0,"",INDEX('كشف الحساب'!$G$4:$G$253,IFERROR(MATCH(57,'كشف الحساب'!$N$4:$N$253,0),0))),"")</f>
        <v/>
      </c>
      <c r="H61" s="64" t="str">
        <f>IFERROR(IF(IFERROR(MATCH(57,'كشف الحساب'!$N$4:$N$253,0),0)=0,"",INDEX('كشف الحساب'!$H$4:$H$253,IFERROR(MATCH(57,'كشف الحساب'!$N$4:$N$253,0),0))),"")</f>
        <v/>
      </c>
      <c r="I61" s="64" t="str">
        <f>IFERROR(IF(IFERROR(MATCH(57,'كشف الحساب'!$N$4:$N$253,0),0)=0,"",INDEX('كشف الحساب'!$I$4:$I$253,IFERROR(MATCH(57,'كشف الحساب'!$N$4:$N$253,0),0))),"")</f>
        <v/>
      </c>
      <c r="J61" s="68" t="str">
        <f>IFERROR(IF(IFERROR(MATCH(57,'كشف الحساب'!$N$4:$N$253,0),0)=0,"",INDEX('كشف الحساب'!$J$4:$J$253,IFERROR(MATCH(57,'كشف الحساب'!$N$4:$N$253,0),0))),"")</f>
        <v/>
      </c>
      <c r="K61" s="64" t="str">
        <f>IFERROR(IF(IFERROR(MATCH(57,'كشف الحساب'!$N$4:$N$253,0),0)=0,"",INDEX('كشف الحساب'!$K$4:$K$253,IFERROR(MATCH(57,'كشف الحساب'!$N$4:$N$253,0),0))),"")</f>
        <v/>
      </c>
    </row>
    <row r="62" spans="1:11" ht="15" customHeight="1" x14ac:dyDescent="0.25">
      <c r="A62" s="69" t="str">
        <f>IFERROR(IF(IFERROR(MATCH(58,'كشف الحساب'!$N$4:$N$253,0),0)=0,"",INDEX('كشف الحساب'!$A$4:$A$253,IFERROR(MATCH(58,'كشف الحساب'!$N$4:$N$253,0),0))),"")</f>
        <v/>
      </c>
      <c r="B62" s="70" t="str">
        <f>IFERROR(IF(IFERROR(MATCH(58,'كشف الحساب'!$N$4:$N$253,0),0)=0,"",INDEX('كشف الحساب'!$B$4:$B$253,IFERROR(MATCH(58,'كشف الحساب'!$N$4:$N$253,0),0))),"")</f>
        <v/>
      </c>
      <c r="C62" s="71" t="str">
        <f>IFERROR(IF(IFERROR(MATCH(58,'كشف الحساب'!$N$4:$N$253,0),0)=0,"",INDEX('كشف الحساب'!$C$4:$C$253,IFERROR(MATCH(58,'كشف الحساب'!$N$4:$N$253,0),0))),"")</f>
        <v/>
      </c>
      <c r="D62" s="72" t="str">
        <f>IFERROR(IF(IFERROR(MATCH(58,'كشف الحساب'!$N$4:$N$253,0),0)=0,"",INDEX('كشف الحساب'!$D$4:$D$253,IFERROR(MATCH(58,'كشف الحساب'!$N$4:$N$253,0),0))),"")</f>
        <v/>
      </c>
      <c r="E62" s="73" t="str">
        <f>IFERROR(IF(IFERROR(MATCH(58,'كشف الحساب'!$N$4:$N$253,0),0)=0,"",INDEX('كشف الحساب'!$E$4:$E$253,IFERROR(MATCH(58,'كشف الحساب'!$N$4:$N$253,0),0))),"")</f>
        <v/>
      </c>
      <c r="F62" s="70" t="str">
        <f>IFERROR(IF(IFERROR(MATCH(58,'كشف الحساب'!$N$4:$N$253,0),0)=0,"",INDEX('كشف الحساب'!$F$4:$F$253,IFERROR(MATCH(58,'كشف الحساب'!$N$4:$N$253,0),0))),"")</f>
        <v/>
      </c>
      <c r="G62" s="70" t="str">
        <f>IFERROR(IF(IFERROR(MATCH(58,'كشف الحساب'!$N$4:$N$253,0),0)=0,"",INDEX('كشف الحساب'!$G$4:$G$253,IFERROR(MATCH(58,'كشف الحساب'!$N$4:$N$253,0),0))),"")</f>
        <v/>
      </c>
      <c r="H62" s="70" t="str">
        <f>IFERROR(IF(IFERROR(MATCH(58,'كشف الحساب'!$N$4:$N$253,0),0)=0,"",INDEX('كشف الحساب'!$H$4:$H$253,IFERROR(MATCH(58,'كشف الحساب'!$N$4:$N$253,0),0))),"")</f>
        <v/>
      </c>
      <c r="I62" s="70" t="str">
        <f>IFERROR(IF(IFERROR(MATCH(58,'كشف الحساب'!$N$4:$N$253,0),0)=0,"",INDEX('كشف الحساب'!$I$4:$I$253,IFERROR(MATCH(58,'كشف الحساب'!$N$4:$N$253,0),0))),"")</f>
        <v/>
      </c>
      <c r="J62" s="74" t="str">
        <f>IFERROR(IF(IFERROR(MATCH(58,'كشف الحساب'!$N$4:$N$253,0),0)=0,"",INDEX('كشف الحساب'!$J$4:$J$253,IFERROR(MATCH(58,'كشف الحساب'!$N$4:$N$253,0),0))),"")</f>
        <v/>
      </c>
      <c r="K62" s="70" t="str">
        <f>IFERROR(IF(IFERROR(MATCH(58,'كشف الحساب'!$N$4:$N$253,0),0)=0,"",INDEX('كشف الحساب'!$K$4:$K$253,IFERROR(MATCH(58,'كشف الحساب'!$N$4:$N$253,0),0))),"")</f>
        <v/>
      </c>
    </row>
    <row r="63" spans="1:11" ht="15" customHeight="1" x14ac:dyDescent="0.25">
      <c r="A63" s="63" t="str">
        <f>IFERROR(IF(IFERROR(MATCH(59,'كشف الحساب'!$N$4:$N$253,0),0)=0,"",INDEX('كشف الحساب'!$A$4:$A$253,IFERROR(MATCH(59,'كشف الحساب'!$N$4:$N$253,0),0))),"")</f>
        <v/>
      </c>
      <c r="B63" s="64" t="str">
        <f>IFERROR(IF(IFERROR(MATCH(59,'كشف الحساب'!$N$4:$N$253,0),0)=0,"",INDEX('كشف الحساب'!$B$4:$B$253,IFERROR(MATCH(59,'كشف الحساب'!$N$4:$N$253,0),0))),"")</f>
        <v/>
      </c>
      <c r="C63" s="65" t="str">
        <f>IFERROR(IF(IFERROR(MATCH(59,'كشف الحساب'!$N$4:$N$253,0),0)=0,"",INDEX('كشف الحساب'!$C$4:$C$253,IFERROR(MATCH(59,'كشف الحساب'!$N$4:$N$253,0),0))),"")</f>
        <v/>
      </c>
      <c r="D63" s="66" t="str">
        <f>IFERROR(IF(IFERROR(MATCH(59,'كشف الحساب'!$N$4:$N$253,0),0)=0,"",INDEX('كشف الحساب'!$D$4:$D$253,IFERROR(MATCH(59,'كشف الحساب'!$N$4:$N$253,0),0))),"")</f>
        <v/>
      </c>
      <c r="E63" s="67" t="str">
        <f>IFERROR(IF(IFERROR(MATCH(59,'كشف الحساب'!$N$4:$N$253,0),0)=0,"",INDEX('كشف الحساب'!$E$4:$E$253,IFERROR(MATCH(59,'كشف الحساب'!$N$4:$N$253,0),0))),"")</f>
        <v/>
      </c>
      <c r="F63" s="64" t="str">
        <f>IFERROR(IF(IFERROR(MATCH(59,'كشف الحساب'!$N$4:$N$253,0),0)=0,"",INDEX('كشف الحساب'!$F$4:$F$253,IFERROR(MATCH(59,'كشف الحساب'!$N$4:$N$253,0),0))),"")</f>
        <v/>
      </c>
      <c r="G63" s="64" t="str">
        <f>IFERROR(IF(IFERROR(MATCH(59,'كشف الحساب'!$N$4:$N$253,0),0)=0,"",INDEX('كشف الحساب'!$G$4:$G$253,IFERROR(MATCH(59,'كشف الحساب'!$N$4:$N$253,0),0))),"")</f>
        <v/>
      </c>
      <c r="H63" s="64" t="str">
        <f>IFERROR(IF(IFERROR(MATCH(59,'كشف الحساب'!$N$4:$N$253,0),0)=0,"",INDEX('كشف الحساب'!$H$4:$H$253,IFERROR(MATCH(59,'كشف الحساب'!$N$4:$N$253,0),0))),"")</f>
        <v/>
      </c>
      <c r="I63" s="64" t="str">
        <f>IFERROR(IF(IFERROR(MATCH(59,'كشف الحساب'!$N$4:$N$253,0),0)=0,"",INDEX('كشف الحساب'!$I$4:$I$253,IFERROR(MATCH(59,'كشف الحساب'!$N$4:$N$253,0),0))),"")</f>
        <v/>
      </c>
      <c r="J63" s="68" t="str">
        <f>IFERROR(IF(IFERROR(MATCH(59,'كشف الحساب'!$N$4:$N$253,0),0)=0,"",INDEX('كشف الحساب'!$J$4:$J$253,IFERROR(MATCH(59,'كشف الحساب'!$N$4:$N$253,0),0))),"")</f>
        <v/>
      </c>
      <c r="K63" s="64" t="str">
        <f>IFERROR(IF(IFERROR(MATCH(59,'كشف الحساب'!$N$4:$N$253,0),0)=0,"",INDEX('كشف الحساب'!$K$4:$K$253,IFERROR(MATCH(59,'كشف الحساب'!$N$4:$N$253,0),0))),"")</f>
        <v/>
      </c>
    </row>
    <row r="64" spans="1:11" ht="15" customHeight="1" x14ac:dyDescent="0.25">
      <c r="A64" s="69" t="str">
        <f>IFERROR(IF(IFERROR(MATCH(60,'كشف الحساب'!$N$4:$N$253,0),0)=0,"",INDEX('كشف الحساب'!$A$4:$A$253,IFERROR(MATCH(60,'كشف الحساب'!$N$4:$N$253,0),0))),"")</f>
        <v/>
      </c>
      <c r="B64" s="70" t="str">
        <f>IFERROR(IF(IFERROR(MATCH(60,'كشف الحساب'!$N$4:$N$253,0),0)=0,"",INDEX('كشف الحساب'!$B$4:$B$253,IFERROR(MATCH(60,'كشف الحساب'!$N$4:$N$253,0),0))),"")</f>
        <v/>
      </c>
      <c r="C64" s="71" t="str">
        <f>IFERROR(IF(IFERROR(MATCH(60,'كشف الحساب'!$N$4:$N$253,0),0)=0,"",INDEX('كشف الحساب'!$C$4:$C$253,IFERROR(MATCH(60,'كشف الحساب'!$N$4:$N$253,0),0))),"")</f>
        <v/>
      </c>
      <c r="D64" s="72" t="str">
        <f>IFERROR(IF(IFERROR(MATCH(60,'كشف الحساب'!$N$4:$N$253,0),0)=0,"",INDEX('كشف الحساب'!$D$4:$D$253,IFERROR(MATCH(60,'كشف الحساب'!$N$4:$N$253,0),0))),"")</f>
        <v/>
      </c>
      <c r="E64" s="73" t="str">
        <f>IFERROR(IF(IFERROR(MATCH(60,'كشف الحساب'!$N$4:$N$253,0),0)=0,"",INDEX('كشف الحساب'!$E$4:$E$253,IFERROR(MATCH(60,'كشف الحساب'!$N$4:$N$253,0),0))),"")</f>
        <v/>
      </c>
      <c r="F64" s="70" t="str">
        <f>IFERROR(IF(IFERROR(MATCH(60,'كشف الحساب'!$N$4:$N$253,0),0)=0,"",INDEX('كشف الحساب'!$F$4:$F$253,IFERROR(MATCH(60,'كشف الحساب'!$N$4:$N$253,0),0))),"")</f>
        <v/>
      </c>
      <c r="G64" s="70" t="str">
        <f>IFERROR(IF(IFERROR(MATCH(60,'كشف الحساب'!$N$4:$N$253,0),0)=0,"",INDEX('كشف الحساب'!$G$4:$G$253,IFERROR(MATCH(60,'كشف الحساب'!$N$4:$N$253,0),0))),"")</f>
        <v/>
      </c>
      <c r="H64" s="70" t="str">
        <f>IFERROR(IF(IFERROR(MATCH(60,'كشف الحساب'!$N$4:$N$253,0),0)=0,"",INDEX('كشف الحساب'!$H$4:$H$253,IFERROR(MATCH(60,'كشف الحساب'!$N$4:$N$253,0),0))),"")</f>
        <v/>
      </c>
      <c r="I64" s="70" t="str">
        <f>IFERROR(IF(IFERROR(MATCH(60,'كشف الحساب'!$N$4:$N$253,0),0)=0,"",INDEX('كشف الحساب'!$I$4:$I$253,IFERROR(MATCH(60,'كشف الحساب'!$N$4:$N$253,0),0))),"")</f>
        <v/>
      </c>
      <c r="J64" s="74" t="str">
        <f>IFERROR(IF(IFERROR(MATCH(60,'كشف الحساب'!$N$4:$N$253,0),0)=0,"",INDEX('كشف الحساب'!$J$4:$J$253,IFERROR(MATCH(60,'كشف الحساب'!$N$4:$N$253,0),0))),"")</f>
        <v/>
      </c>
      <c r="K64" s="70" t="str">
        <f>IFERROR(IF(IFERROR(MATCH(60,'كشف الحساب'!$N$4:$N$253,0),0)=0,"",INDEX('كشف الحساب'!$K$4:$K$253,IFERROR(MATCH(60,'كشف الحساب'!$N$4:$N$253,0),0))),"")</f>
        <v/>
      </c>
    </row>
    <row r="65" spans="1:11" ht="15" customHeight="1" x14ac:dyDescent="0.25">
      <c r="A65" s="63" t="str">
        <f>IFERROR(IF(IFERROR(MATCH(61,'كشف الحساب'!$N$4:$N$253,0),0)=0,"",INDEX('كشف الحساب'!$A$4:$A$253,IFERROR(MATCH(61,'كشف الحساب'!$N$4:$N$253,0),0))),"")</f>
        <v/>
      </c>
      <c r="B65" s="64" t="str">
        <f>IFERROR(IF(IFERROR(MATCH(61,'كشف الحساب'!$N$4:$N$253,0),0)=0,"",INDEX('كشف الحساب'!$B$4:$B$253,IFERROR(MATCH(61,'كشف الحساب'!$N$4:$N$253,0),0))),"")</f>
        <v/>
      </c>
      <c r="C65" s="65" t="str">
        <f>IFERROR(IF(IFERROR(MATCH(61,'كشف الحساب'!$N$4:$N$253,0),0)=0,"",INDEX('كشف الحساب'!$C$4:$C$253,IFERROR(MATCH(61,'كشف الحساب'!$N$4:$N$253,0),0))),"")</f>
        <v/>
      </c>
      <c r="D65" s="66" t="str">
        <f>IFERROR(IF(IFERROR(MATCH(61,'كشف الحساب'!$N$4:$N$253,0),0)=0,"",INDEX('كشف الحساب'!$D$4:$D$253,IFERROR(MATCH(61,'كشف الحساب'!$N$4:$N$253,0),0))),"")</f>
        <v/>
      </c>
      <c r="E65" s="67" t="str">
        <f>IFERROR(IF(IFERROR(MATCH(61,'كشف الحساب'!$N$4:$N$253,0),0)=0,"",INDEX('كشف الحساب'!$E$4:$E$253,IFERROR(MATCH(61,'كشف الحساب'!$N$4:$N$253,0),0))),"")</f>
        <v/>
      </c>
      <c r="F65" s="64" t="str">
        <f>IFERROR(IF(IFERROR(MATCH(61,'كشف الحساب'!$N$4:$N$253,0),0)=0,"",INDEX('كشف الحساب'!$F$4:$F$253,IFERROR(MATCH(61,'كشف الحساب'!$N$4:$N$253,0),0))),"")</f>
        <v/>
      </c>
      <c r="G65" s="64" t="str">
        <f>IFERROR(IF(IFERROR(MATCH(61,'كشف الحساب'!$N$4:$N$253,0),0)=0,"",INDEX('كشف الحساب'!$G$4:$G$253,IFERROR(MATCH(61,'كشف الحساب'!$N$4:$N$253,0),0))),"")</f>
        <v/>
      </c>
      <c r="H65" s="64" t="str">
        <f>IFERROR(IF(IFERROR(MATCH(61,'كشف الحساب'!$N$4:$N$253,0),0)=0,"",INDEX('كشف الحساب'!$H$4:$H$253,IFERROR(MATCH(61,'كشف الحساب'!$N$4:$N$253,0),0))),"")</f>
        <v/>
      </c>
      <c r="I65" s="64" t="str">
        <f>IFERROR(IF(IFERROR(MATCH(61,'كشف الحساب'!$N$4:$N$253,0),0)=0,"",INDEX('كشف الحساب'!$I$4:$I$253,IFERROR(MATCH(61,'كشف الحساب'!$N$4:$N$253,0),0))),"")</f>
        <v/>
      </c>
      <c r="J65" s="68" t="str">
        <f>IFERROR(IF(IFERROR(MATCH(61,'كشف الحساب'!$N$4:$N$253,0),0)=0,"",INDEX('كشف الحساب'!$J$4:$J$253,IFERROR(MATCH(61,'كشف الحساب'!$N$4:$N$253,0),0))),"")</f>
        <v/>
      </c>
      <c r="K65" s="64" t="str">
        <f>IFERROR(IF(IFERROR(MATCH(61,'كشف الحساب'!$N$4:$N$253,0),0)=0,"",INDEX('كشف الحساب'!$K$4:$K$253,IFERROR(MATCH(61,'كشف الحساب'!$N$4:$N$253,0),0))),"")</f>
        <v/>
      </c>
    </row>
    <row r="66" spans="1:11" ht="15" customHeight="1" x14ac:dyDescent="0.25">
      <c r="A66" s="69" t="str">
        <f>IFERROR(IF(IFERROR(MATCH(62,'كشف الحساب'!$N$4:$N$253,0),0)=0,"",INDEX('كشف الحساب'!$A$4:$A$253,IFERROR(MATCH(62,'كشف الحساب'!$N$4:$N$253,0),0))),"")</f>
        <v/>
      </c>
      <c r="B66" s="70" t="str">
        <f>IFERROR(IF(IFERROR(MATCH(62,'كشف الحساب'!$N$4:$N$253,0),0)=0,"",INDEX('كشف الحساب'!$B$4:$B$253,IFERROR(MATCH(62,'كشف الحساب'!$N$4:$N$253,0),0))),"")</f>
        <v/>
      </c>
      <c r="C66" s="71" t="str">
        <f>IFERROR(IF(IFERROR(MATCH(62,'كشف الحساب'!$N$4:$N$253,0),0)=0,"",INDEX('كشف الحساب'!$C$4:$C$253,IFERROR(MATCH(62,'كشف الحساب'!$N$4:$N$253,0),0))),"")</f>
        <v/>
      </c>
      <c r="D66" s="72" t="str">
        <f>IFERROR(IF(IFERROR(MATCH(62,'كشف الحساب'!$N$4:$N$253,0),0)=0,"",INDEX('كشف الحساب'!$D$4:$D$253,IFERROR(MATCH(62,'كشف الحساب'!$N$4:$N$253,0),0))),"")</f>
        <v/>
      </c>
      <c r="E66" s="73" t="str">
        <f>IFERROR(IF(IFERROR(MATCH(62,'كشف الحساب'!$N$4:$N$253,0),0)=0,"",INDEX('كشف الحساب'!$E$4:$E$253,IFERROR(MATCH(62,'كشف الحساب'!$N$4:$N$253,0),0))),"")</f>
        <v/>
      </c>
      <c r="F66" s="70" t="str">
        <f>IFERROR(IF(IFERROR(MATCH(62,'كشف الحساب'!$N$4:$N$253,0),0)=0,"",INDEX('كشف الحساب'!$F$4:$F$253,IFERROR(MATCH(62,'كشف الحساب'!$N$4:$N$253,0),0))),"")</f>
        <v/>
      </c>
      <c r="G66" s="70" t="str">
        <f>IFERROR(IF(IFERROR(MATCH(62,'كشف الحساب'!$N$4:$N$253,0),0)=0,"",INDEX('كشف الحساب'!$G$4:$G$253,IFERROR(MATCH(62,'كشف الحساب'!$N$4:$N$253,0),0))),"")</f>
        <v/>
      </c>
      <c r="H66" s="70" t="str">
        <f>IFERROR(IF(IFERROR(MATCH(62,'كشف الحساب'!$N$4:$N$253,0),0)=0,"",INDEX('كشف الحساب'!$H$4:$H$253,IFERROR(MATCH(62,'كشف الحساب'!$N$4:$N$253,0),0))),"")</f>
        <v/>
      </c>
      <c r="I66" s="70" t="str">
        <f>IFERROR(IF(IFERROR(MATCH(62,'كشف الحساب'!$N$4:$N$253,0),0)=0,"",INDEX('كشف الحساب'!$I$4:$I$253,IFERROR(MATCH(62,'كشف الحساب'!$N$4:$N$253,0),0))),"")</f>
        <v/>
      </c>
      <c r="J66" s="74" t="str">
        <f>IFERROR(IF(IFERROR(MATCH(62,'كشف الحساب'!$N$4:$N$253,0),0)=0,"",INDEX('كشف الحساب'!$J$4:$J$253,IFERROR(MATCH(62,'كشف الحساب'!$N$4:$N$253,0),0))),"")</f>
        <v/>
      </c>
      <c r="K66" s="70" t="str">
        <f>IFERROR(IF(IFERROR(MATCH(62,'كشف الحساب'!$N$4:$N$253,0),0)=0,"",INDEX('كشف الحساب'!$K$4:$K$253,IFERROR(MATCH(62,'كشف الحساب'!$N$4:$N$253,0),0))),"")</f>
        <v/>
      </c>
    </row>
    <row r="67" spans="1:11" ht="15" customHeight="1" x14ac:dyDescent="0.25">
      <c r="A67" s="63" t="str">
        <f>IFERROR(IF(IFERROR(MATCH(63,'كشف الحساب'!$N$4:$N$253,0),0)=0,"",INDEX('كشف الحساب'!$A$4:$A$253,IFERROR(MATCH(63,'كشف الحساب'!$N$4:$N$253,0),0))),"")</f>
        <v/>
      </c>
      <c r="B67" s="64" t="str">
        <f>IFERROR(IF(IFERROR(MATCH(63,'كشف الحساب'!$N$4:$N$253,0),0)=0,"",INDEX('كشف الحساب'!$B$4:$B$253,IFERROR(MATCH(63,'كشف الحساب'!$N$4:$N$253,0),0))),"")</f>
        <v/>
      </c>
      <c r="C67" s="65" t="str">
        <f>IFERROR(IF(IFERROR(MATCH(63,'كشف الحساب'!$N$4:$N$253,0),0)=0,"",INDEX('كشف الحساب'!$C$4:$C$253,IFERROR(MATCH(63,'كشف الحساب'!$N$4:$N$253,0),0))),"")</f>
        <v/>
      </c>
      <c r="D67" s="66" t="str">
        <f>IFERROR(IF(IFERROR(MATCH(63,'كشف الحساب'!$N$4:$N$253,0),0)=0,"",INDEX('كشف الحساب'!$D$4:$D$253,IFERROR(MATCH(63,'كشف الحساب'!$N$4:$N$253,0),0))),"")</f>
        <v/>
      </c>
      <c r="E67" s="67" t="str">
        <f>IFERROR(IF(IFERROR(MATCH(63,'كشف الحساب'!$N$4:$N$253,0),0)=0,"",INDEX('كشف الحساب'!$E$4:$E$253,IFERROR(MATCH(63,'كشف الحساب'!$N$4:$N$253,0),0))),"")</f>
        <v/>
      </c>
      <c r="F67" s="64" t="str">
        <f>IFERROR(IF(IFERROR(MATCH(63,'كشف الحساب'!$N$4:$N$253,0),0)=0,"",INDEX('كشف الحساب'!$F$4:$F$253,IFERROR(MATCH(63,'كشف الحساب'!$N$4:$N$253,0),0))),"")</f>
        <v/>
      </c>
      <c r="G67" s="64" t="str">
        <f>IFERROR(IF(IFERROR(MATCH(63,'كشف الحساب'!$N$4:$N$253,0),0)=0,"",INDEX('كشف الحساب'!$G$4:$G$253,IFERROR(MATCH(63,'كشف الحساب'!$N$4:$N$253,0),0))),"")</f>
        <v/>
      </c>
      <c r="H67" s="64" t="str">
        <f>IFERROR(IF(IFERROR(MATCH(63,'كشف الحساب'!$N$4:$N$253,0),0)=0,"",INDEX('كشف الحساب'!$H$4:$H$253,IFERROR(MATCH(63,'كشف الحساب'!$N$4:$N$253,0),0))),"")</f>
        <v/>
      </c>
      <c r="I67" s="64" t="str">
        <f>IFERROR(IF(IFERROR(MATCH(63,'كشف الحساب'!$N$4:$N$253,0),0)=0,"",INDEX('كشف الحساب'!$I$4:$I$253,IFERROR(MATCH(63,'كشف الحساب'!$N$4:$N$253,0),0))),"")</f>
        <v/>
      </c>
      <c r="J67" s="68" t="str">
        <f>IFERROR(IF(IFERROR(MATCH(63,'كشف الحساب'!$N$4:$N$253,0),0)=0,"",INDEX('كشف الحساب'!$J$4:$J$253,IFERROR(MATCH(63,'كشف الحساب'!$N$4:$N$253,0),0))),"")</f>
        <v/>
      </c>
      <c r="K67" s="64" t="str">
        <f>IFERROR(IF(IFERROR(MATCH(63,'كشف الحساب'!$N$4:$N$253,0),0)=0,"",INDEX('كشف الحساب'!$K$4:$K$253,IFERROR(MATCH(63,'كشف الحساب'!$N$4:$N$253,0),0))),"")</f>
        <v/>
      </c>
    </row>
    <row r="68" spans="1:11" ht="15" customHeight="1" x14ac:dyDescent="0.25">
      <c r="A68" s="69" t="str">
        <f>IFERROR(IF(IFERROR(MATCH(64,'كشف الحساب'!$N$4:$N$253,0),0)=0,"",INDEX('كشف الحساب'!$A$4:$A$253,IFERROR(MATCH(64,'كشف الحساب'!$N$4:$N$253,0),0))),"")</f>
        <v/>
      </c>
      <c r="B68" s="70" t="str">
        <f>IFERROR(IF(IFERROR(MATCH(64,'كشف الحساب'!$N$4:$N$253,0),0)=0,"",INDEX('كشف الحساب'!$B$4:$B$253,IFERROR(MATCH(64,'كشف الحساب'!$N$4:$N$253,0),0))),"")</f>
        <v/>
      </c>
      <c r="C68" s="71" t="str">
        <f>IFERROR(IF(IFERROR(MATCH(64,'كشف الحساب'!$N$4:$N$253,0),0)=0,"",INDEX('كشف الحساب'!$C$4:$C$253,IFERROR(MATCH(64,'كشف الحساب'!$N$4:$N$253,0),0))),"")</f>
        <v/>
      </c>
      <c r="D68" s="72" t="str">
        <f>IFERROR(IF(IFERROR(MATCH(64,'كشف الحساب'!$N$4:$N$253,0),0)=0,"",INDEX('كشف الحساب'!$D$4:$D$253,IFERROR(MATCH(64,'كشف الحساب'!$N$4:$N$253,0),0))),"")</f>
        <v/>
      </c>
      <c r="E68" s="73" t="str">
        <f>IFERROR(IF(IFERROR(MATCH(64,'كشف الحساب'!$N$4:$N$253,0),0)=0,"",INDEX('كشف الحساب'!$E$4:$E$253,IFERROR(MATCH(64,'كشف الحساب'!$N$4:$N$253,0),0))),"")</f>
        <v/>
      </c>
      <c r="F68" s="70" t="str">
        <f>IFERROR(IF(IFERROR(MATCH(64,'كشف الحساب'!$N$4:$N$253,0),0)=0,"",INDEX('كشف الحساب'!$F$4:$F$253,IFERROR(MATCH(64,'كشف الحساب'!$N$4:$N$253,0),0))),"")</f>
        <v/>
      </c>
      <c r="G68" s="70" t="str">
        <f>IFERROR(IF(IFERROR(MATCH(64,'كشف الحساب'!$N$4:$N$253,0),0)=0,"",INDEX('كشف الحساب'!$G$4:$G$253,IFERROR(MATCH(64,'كشف الحساب'!$N$4:$N$253,0),0))),"")</f>
        <v/>
      </c>
      <c r="H68" s="70" t="str">
        <f>IFERROR(IF(IFERROR(MATCH(64,'كشف الحساب'!$N$4:$N$253,0),0)=0,"",INDEX('كشف الحساب'!$H$4:$H$253,IFERROR(MATCH(64,'كشف الحساب'!$N$4:$N$253,0),0))),"")</f>
        <v/>
      </c>
      <c r="I68" s="70" t="str">
        <f>IFERROR(IF(IFERROR(MATCH(64,'كشف الحساب'!$N$4:$N$253,0),0)=0,"",INDEX('كشف الحساب'!$I$4:$I$253,IFERROR(MATCH(64,'كشف الحساب'!$N$4:$N$253,0),0))),"")</f>
        <v/>
      </c>
      <c r="J68" s="74" t="str">
        <f>IFERROR(IF(IFERROR(MATCH(64,'كشف الحساب'!$N$4:$N$253,0),0)=0,"",INDEX('كشف الحساب'!$J$4:$J$253,IFERROR(MATCH(64,'كشف الحساب'!$N$4:$N$253,0),0))),"")</f>
        <v/>
      </c>
      <c r="K68" s="70" t="str">
        <f>IFERROR(IF(IFERROR(MATCH(64,'كشف الحساب'!$N$4:$N$253,0),0)=0,"",INDEX('كشف الحساب'!$K$4:$K$253,IFERROR(MATCH(64,'كشف الحساب'!$N$4:$N$253,0),0))),"")</f>
        <v/>
      </c>
    </row>
    <row r="69" spans="1:11" ht="15" customHeight="1" x14ac:dyDescent="0.25">
      <c r="A69" s="63" t="str">
        <f>IFERROR(IF(IFERROR(MATCH(65,'كشف الحساب'!$N$4:$N$253,0),0)=0,"",INDEX('كشف الحساب'!$A$4:$A$253,IFERROR(MATCH(65,'كشف الحساب'!$N$4:$N$253,0),0))),"")</f>
        <v/>
      </c>
      <c r="B69" s="64" t="str">
        <f>IFERROR(IF(IFERROR(MATCH(65,'كشف الحساب'!$N$4:$N$253,0),0)=0,"",INDEX('كشف الحساب'!$B$4:$B$253,IFERROR(MATCH(65,'كشف الحساب'!$N$4:$N$253,0),0))),"")</f>
        <v/>
      </c>
      <c r="C69" s="65" t="str">
        <f>IFERROR(IF(IFERROR(MATCH(65,'كشف الحساب'!$N$4:$N$253,0),0)=0,"",INDEX('كشف الحساب'!$C$4:$C$253,IFERROR(MATCH(65,'كشف الحساب'!$N$4:$N$253,0),0))),"")</f>
        <v/>
      </c>
      <c r="D69" s="66" t="str">
        <f>IFERROR(IF(IFERROR(MATCH(65,'كشف الحساب'!$N$4:$N$253,0),0)=0,"",INDEX('كشف الحساب'!$D$4:$D$253,IFERROR(MATCH(65,'كشف الحساب'!$N$4:$N$253,0),0))),"")</f>
        <v/>
      </c>
      <c r="E69" s="67" t="str">
        <f>IFERROR(IF(IFERROR(MATCH(65,'كشف الحساب'!$N$4:$N$253,0),0)=0,"",INDEX('كشف الحساب'!$E$4:$E$253,IFERROR(MATCH(65,'كشف الحساب'!$N$4:$N$253,0),0))),"")</f>
        <v/>
      </c>
      <c r="F69" s="64" t="str">
        <f>IFERROR(IF(IFERROR(MATCH(65,'كشف الحساب'!$N$4:$N$253,0),0)=0,"",INDEX('كشف الحساب'!$F$4:$F$253,IFERROR(MATCH(65,'كشف الحساب'!$N$4:$N$253,0),0))),"")</f>
        <v/>
      </c>
      <c r="G69" s="64" t="str">
        <f>IFERROR(IF(IFERROR(MATCH(65,'كشف الحساب'!$N$4:$N$253,0),0)=0,"",INDEX('كشف الحساب'!$G$4:$G$253,IFERROR(MATCH(65,'كشف الحساب'!$N$4:$N$253,0),0))),"")</f>
        <v/>
      </c>
      <c r="H69" s="64" t="str">
        <f>IFERROR(IF(IFERROR(MATCH(65,'كشف الحساب'!$N$4:$N$253,0),0)=0,"",INDEX('كشف الحساب'!$H$4:$H$253,IFERROR(MATCH(65,'كشف الحساب'!$N$4:$N$253,0),0))),"")</f>
        <v/>
      </c>
      <c r="I69" s="64" t="str">
        <f>IFERROR(IF(IFERROR(MATCH(65,'كشف الحساب'!$N$4:$N$253,0),0)=0,"",INDEX('كشف الحساب'!$I$4:$I$253,IFERROR(MATCH(65,'كشف الحساب'!$N$4:$N$253,0),0))),"")</f>
        <v/>
      </c>
      <c r="J69" s="68" t="str">
        <f>IFERROR(IF(IFERROR(MATCH(65,'كشف الحساب'!$N$4:$N$253,0),0)=0,"",INDEX('كشف الحساب'!$J$4:$J$253,IFERROR(MATCH(65,'كشف الحساب'!$N$4:$N$253,0),0))),"")</f>
        <v/>
      </c>
      <c r="K69" s="64" t="str">
        <f>IFERROR(IF(IFERROR(MATCH(65,'كشف الحساب'!$N$4:$N$253,0),0)=0,"",INDEX('كشف الحساب'!$K$4:$K$253,IFERROR(MATCH(65,'كشف الحساب'!$N$4:$N$253,0),0))),"")</f>
        <v/>
      </c>
    </row>
    <row r="70" spans="1:11" ht="15" customHeight="1" x14ac:dyDescent="0.25">
      <c r="A70" s="69" t="str">
        <f>IFERROR(IF(IFERROR(MATCH(66,'كشف الحساب'!$N$4:$N$253,0),0)=0,"",INDEX('كشف الحساب'!$A$4:$A$253,IFERROR(MATCH(66,'كشف الحساب'!$N$4:$N$253,0),0))),"")</f>
        <v/>
      </c>
      <c r="B70" s="70" t="str">
        <f>IFERROR(IF(IFERROR(MATCH(66,'كشف الحساب'!$N$4:$N$253,0),0)=0,"",INDEX('كشف الحساب'!$B$4:$B$253,IFERROR(MATCH(66,'كشف الحساب'!$N$4:$N$253,0),0))),"")</f>
        <v/>
      </c>
      <c r="C70" s="71" t="str">
        <f>IFERROR(IF(IFERROR(MATCH(66,'كشف الحساب'!$N$4:$N$253,0),0)=0,"",INDEX('كشف الحساب'!$C$4:$C$253,IFERROR(MATCH(66,'كشف الحساب'!$N$4:$N$253,0),0))),"")</f>
        <v/>
      </c>
      <c r="D70" s="72" t="str">
        <f>IFERROR(IF(IFERROR(MATCH(66,'كشف الحساب'!$N$4:$N$253,0),0)=0,"",INDEX('كشف الحساب'!$D$4:$D$253,IFERROR(MATCH(66,'كشف الحساب'!$N$4:$N$253,0),0))),"")</f>
        <v/>
      </c>
      <c r="E70" s="73" t="str">
        <f>IFERROR(IF(IFERROR(MATCH(66,'كشف الحساب'!$N$4:$N$253,0),0)=0,"",INDEX('كشف الحساب'!$E$4:$E$253,IFERROR(MATCH(66,'كشف الحساب'!$N$4:$N$253,0),0))),"")</f>
        <v/>
      </c>
      <c r="F70" s="70" t="str">
        <f>IFERROR(IF(IFERROR(MATCH(66,'كشف الحساب'!$N$4:$N$253,0),0)=0,"",INDEX('كشف الحساب'!$F$4:$F$253,IFERROR(MATCH(66,'كشف الحساب'!$N$4:$N$253,0),0))),"")</f>
        <v/>
      </c>
      <c r="G70" s="70" t="str">
        <f>IFERROR(IF(IFERROR(MATCH(66,'كشف الحساب'!$N$4:$N$253,0),0)=0,"",INDEX('كشف الحساب'!$G$4:$G$253,IFERROR(MATCH(66,'كشف الحساب'!$N$4:$N$253,0),0))),"")</f>
        <v/>
      </c>
      <c r="H70" s="70" t="str">
        <f>IFERROR(IF(IFERROR(MATCH(66,'كشف الحساب'!$N$4:$N$253,0),0)=0,"",INDEX('كشف الحساب'!$H$4:$H$253,IFERROR(MATCH(66,'كشف الحساب'!$N$4:$N$253,0),0))),"")</f>
        <v/>
      </c>
      <c r="I70" s="70" t="str">
        <f>IFERROR(IF(IFERROR(MATCH(66,'كشف الحساب'!$N$4:$N$253,0),0)=0,"",INDEX('كشف الحساب'!$I$4:$I$253,IFERROR(MATCH(66,'كشف الحساب'!$N$4:$N$253,0),0))),"")</f>
        <v/>
      </c>
      <c r="J70" s="74" t="str">
        <f>IFERROR(IF(IFERROR(MATCH(66,'كشف الحساب'!$N$4:$N$253,0),0)=0,"",INDEX('كشف الحساب'!$J$4:$J$253,IFERROR(MATCH(66,'كشف الحساب'!$N$4:$N$253,0),0))),"")</f>
        <v/>
      </c>
      <c r="K70" s="70" t="str">
        <f>IFERROR(IF(IFERROR(MATCH(66,'كشف الحساب'!$N$4:$N$253,0),0)=0,"",INDEX('كشف الحساب'!$K$4:$K$253,IFERROR(MATCH(66,'كشف الحساب'!$N$4:$N$253,0),0))),"")</f>
        <v/>
      </c>
    </row>
    <row r="71" spans="1:11" ht="15" customHeight="1" x14ac:dyDescent="0.25">
      <c r="A71" s="63" t="str">
        <f>IFERROR(IF(IFERROR(MATCH(67,'كشف الحساب'!$N$4:$N$253,0),0)=0,"",INDEX('كشف الحساب'!$A$4:$A$253,IFERROR(MATCH(67,'كشف الحساب'!$N$4:$N$253,0),0))),"")</f>
        <v/>
      </c>
      <c r="B71" s="64" t="str">
        <f>IFERROR(IF(IFERROR(MATCH(67,'كشف الحساب'!$N$4:$N$253,0),0)=0,"",INDEX('كشف الحساب'!$B$4:$B$253,IFERROR(MATCH(67,'كشف الحساب'!$N$4:$N$253,0),0))),"")</f>
        <v/>
      </c>
      <c r="C71" s="65" t="str">
        <f>IFERROR(IF(IFERROR(MATCH(67,'كشف الحساب'!$N$4:$N$253,0),0)=0,"",INDEX('كشف الحساب'!$C$4:$C$253,IFERROR(MATCH(67,'كشف الحساب'!$N$4:$N$253,0),0))),"")</f>
        <v/>
      </c>
      <c r="D71" s="66" t="str">
        <f>IFERROR(IF(IFERROR(MATCH(67,'كشف الحساب'!$N$4:$N$253,0),0)=0,"",INDEX('كشف الحساب'!$D$4:$D$253,IFERROR(MATCH(67,'كشف الحساب'!$N$4:$N$253,0),0))),"")</f>
        <v/>
      </c>
      <c r="E71" s="67" t="str">
        <f>IFERROR(IF(IFERROR(MATCH(67,'كشف الحساب'!$N$4:$N$253,0),0)=0,"",INDEX('كشف الحساب'!$E$4:$E$253,IFERROR(MATCH(67,'كشف الحساب'!$N$4:$N$253,0),0))),"")</f>
        <v/>
      </c>
      <c r="F71" s="64" t="str">
        <f>IFERROR(IF(IFERROR(MATCH(67,'كشف الحساب'!$N$4:$N$253,0),0)=0,"",INDEX('كشف الحساب'!$F$4:$F$253,IFERROR(MATCH(67,'كشف الحساب'!$N$4:$N$253,0),0))),"")</f>
        <v/>
      </c>
      <c r="G71" s="64" t="str">
        <f>IFERROR(IF(IFERROR(MATCH(67,'كشف الحساب'!$N$4:$N$253,0),0)=0,"",INDEX('كشف الحساب'!$G$4:$G$253,IFERROR(MATCH(67,'كشف الحساب'!$N$4:$N$253,0),0))),"")</f>
        <v/>
      </c>
      <c r="H71" s="64" t="str">
        <f>IFERROR(IF(IFERROR(MATCH(67,'كشف الحساب'!$N$4:$N$253,0),0)=0,"",INDEX('كشف الحساب'!$H$4:$H$253,IFERROR(MATCH(67,'كشف الحساب'!$N$4:$N$253,0),0))),"")</f>
        <v/>
      </c>
      <c r="I71" s="64" t="str">
        <f>IFERROR(IF(IFERROR(MATCH(67,'كشف الحساب'!$N$4:$N$253,0),0)=0,"",INDEX('كشف الحساب'!$I$4:$I$253,IFERROR(MATCH(67,'كشف الحساب'!$N$4:$N$253,0),0))),"")</f>
        <v/>
      </c>
      <c r="J71" s="68" t="str">
        <f>IFERROR(IF(IFERROR(MATCH(67,'كشف الحساب'!$N$4:$N$253,0),0)=0,"",INDEX('كشف الحساب'!$J$4:$J$253,IFERROR(MATCH(67,'كشف الحساب'!$N$4:$N$253,0),0))),"")</f>
        <v/>
      </c>
      <c r="K71" s="64" t="str">
        <f>IFERROR(IF(IFERROR(MATCH(67,'كشف الحساب'!$N$4:$N$253,0),0)=0,"",INDEX('كشف الحساب'!$K$4:$K$253,IFERROR(MATCH(67,'كشف الحساب'!$N$4:$N$253,0),0))),"")</f>
        <v/>
      </c>
    </row>
    <row r="72" spans="1:11" ht="15" customHeight="1" x14ac:dyDescent="0.25">
      <c r="A72" s="69" t="str">
        <f>IFERROR(IF(IFERROR(MATCH(68,'كشف الحساب'!$N$4:$N$253,0),0)=0,"",INDEX('كشف الحساب'!$A$4:$A$253,IFERROR(MATCH(68,'كشف الحساب'!$N$4:$N$253,0),0))),"")</f>
        <v/>
      </c>
      <c r="B72" s="70" t="str">
        <f>IFERROR(IF(IFERROR(MATCH(68,'كشف الحساب'!$N$4:$N$253,0),0)=0,"",INDEX('كشف الحساب'!$B$4:$B$253,IFERROR(MATCH(68,'كشف الحساب'!$N$4:$N$253,0),0))),"")</f>
        <v/>
      </c>
      <c r="C72" s="71" t="str">
        <f>IFERROR(IF(IFERROR(MATCH(68,'كشف الحساب'!$N$4:$N$253,0),0)=0,"",INDEX('كشف الحساب'!$C$4:$C$253,IFERROR(MATCH(68,'كشف الحساب'!$N$4:$N$253,0),0))),"")</f>
        <v/>
      </c>
      <c r="D72" s="72" t="str">
        <f>IFERROR(IF(IFERROR(MATCH(68,'كشف الحساب'!$N$4:$N$253,0),0)=0,"",INDEX('كشف الحساب'!$D$4:$D$253,IFERROR(MATCH(68,'كشف الحساب'!$N$4:$N$253,0),0))),"")</f>
        <v/>
      </c>
      <c r="E72" s="73" t="str">
        <f>IFERROR(IF(IFERROR(MATCH(68,'كشف الحساب'!$N$4:$N$253,0),0)=0,"",INDEX('كشف الحساب'!$E$4:$E$253,IFERROR(MATCH(68,'كشف الحساب'!$N$4:$N$253,0),0))),"")</f>
        <v/>
      </c>
      <c r="F72" s="70" t="str">
        <f>IFERROR(IF(IFERROR(MATCH(68,'كشف الحساب'!$N$4:$N$253,0),0)=0,"",INDEX('كشف الحساب'!$F$4:$F$253,IFERROR(MATCH(68,'كشف الحساب'!$N$4:$N$253,0),0))),"")</f>
        <v/>
      </c>
      <c r="G72" s="70" t="str">
        <f>IFERROR(IF(IFERROR(MATCH(68,'كشف الحساب'!$N$4:$N$253,0),0)=0,"",INDEX('كشف الحساب'!$G$4:$G$253,IFERROR(MATCH(68,'كشف الحساب'!$N$4:$N$253,0),0))),"")</f>
        <v/>
      </c>
      <c r="H72" s="70" t="str">
        <f>IFERROR(IF(IFERROR(MATCH(68,'كشف الحساب'!$N$4:$N$253,0),0)=0,"",INDEX('كشف الحساب'!$H$4:$H$253,IFERROR(MATCH(68,'كشف الحساب'!$N$4:$N$253,0),0))),"")</f>
        <v/>
      </c>
      <c r="I72" s="70" t="str">
        <f>IFERROR(IF(IFERROR(MATCH(68,'كشف الحساب'!$N$4:$N$253,0),0)=0,"",INDEX('كشف الحساب'!$I$4:$I$253,IFERROR(MATCH(68,'كشف الحساب'!$N$4:$N$253,0),0))),"")</f>
        <v/>
      </c>
      <c r="J72" s="74" t="str">
        <f>IFERROR(IF(IFERROR(MATCH(68,'كشف الحساب'!$N$4:$N$253,0),0)=0,"",INDEX('كشف الحساب'!$J$4:$J$253,IFERROR(MATCH(68,'كشف الحساب'!$N$4:$N$253,0),0))),"")</f>
        <v/>
      </c>
      <c r="K72" s="70" t="str">
        <f>IFERROR(IF(IFERROR(MATCH(68,'كشف الحساب'!$N$4:$N$253,0),0)=0,"",INDEX('كشف الحساب'!$K$4:$K$253,IFERROR(MATCH(68,'كشف الحساب'!$N$4:$N$253,0),0))),"")</f>
        <v/>
      </c>
    </row>
    <row r="73" spans="1:11" ht="15" customHeight="1" x14ac:dyDescent="0.25">
      <c r="A73" s="63" t="str">
        <f>IFERROR(IF(IFERROR(MATCH(69,'كشف الحساب'!$N$4:$N$253,0),0)=0,"",INDEX('كشف الحساب'!$A$4:$A$253,IFERROR(MATCH(69,'كشف الحساب'!$N$4:$N$253,0),0))),"")</f>
        <v/>
      </c>
      <c r="B73" s="64" t="str">
        <f>IFERROR(IF(IFERROR(MATCH(69,'كشف الحساب'!$N$4:$N$253,0),0)=0,"",INDEX('كشف الحساب'!$B$4:$B$253,IFERROR(MATCH(69,'كشف الحساب'!$N$4:$N$253,0),0))),"")</f>
        <v/>
      </c>
      <c r="C73" s="65" t="str">
        <f>IFERROR(IF(IFERROR(MATCH(69,'كشف الحساب'!$N$4:$N$253,0),0)=0,"",INDEX('كشف الحساب'!$C$4:$C$253,IFERROR(MATCH(69,'كشف الحساب'!$N$4:$N$253,0),0))),"")</f>
        <v/>
      </c>
      <c r="D73" s="66" t="str">
        <f>IFERROR(IF(IFERROR(MATCH(69,'كشف الحساب'!$N$4:$N$253,0),0)=0,"",INDEX('كشف الحساب'!$D$4:$D$253,IFERROR(MATCH(69,'كشف الحساب'!$N$4:$N$253,0),0))),"")</f>
        <v/>
      </c>
      <c r="E73" s="67" t="str">
        <f>IFERROR(IF(IFERROR(MATCH(69,'كشف الحساب'!$N$4:$N$253,0),0)=0,"",INDEX('كشف الحساب'!$E$4:$E$253,IFERROR(MATCH(69,'كشف الحساب'!$N$4:$N$253,0),0))),"")</f>
        <v/>
      </c>
      <c r="F73" s="64" t="str">
        <f>IFERROR(IF(IFERROR(MATCH(69,'كشف الحساب'!$N$4:$N$253,0),0)=0,"",INDEX('كشف الحساب'!$F$4:$F$253,IFERROR(MATCH(69,'كشف الحساب'!$N$4:$N$253,0),0))),"")</f>
        <v/>
      </c>
      <c r="G73" s="64" t="str">
        <f>IFERROR(IF(IFERROR(MATCH(69,'كشف الحساب'!$N$4:$N$253,0),0)=0,"",INDEX('كشف الحساب'!$G$4:$G$253,IFERROR(MATCH(69,'كشف الحساب'!$N$4:$N$253,0),0))),"")</f>
        <v/>
      </c>
      <c r="H73" s="64" t="str">
        <f>IFERROR(IF(IFERROR(MATCH(69,'كشف الحساب'!$N$4:$N$253,0),0)=0,"",INDEX('كشف الحساب'!$H$4:$H$253,IFERROR(MATCH(69,'كشف الحساب'!$N$4:$N$253,0),0))),"")</f>
        <v/>
      </c>
      <c r="I73" s="64" t="str">
        <f>IFERROR(IF(IFERROR(MATCH(69,'كشف الحساب'!$N$4:$N$253,0),0)=0,"",INDEX('كشف الحساب'!$I$4:$I$253,IFERROR(MATCH(69,'كشف الحساب'!$N$4:$N$253,0),0))),"")</f>
        <v/>
      </c>
      <c r="J73" s="68" t="str">
        <f>IFERROR(IF(IFERROR(MATCH(69,'كشف الحساب'!$N$4:$N$253,0),0)=0,"",INDEX('كشف الحساب'!$J$4:$J$253,IFERROR(MATCH(69,'كشف الحساب'!$N$4:$N$253,0),0))),"")</f>
        <v/>
      </c>
      <c r="K73" s="64" t="str">
        <f>IFERROR(IF(IFERROR(MATCH(69,'كشف الحساب'!$N$4:$N$253,0),0)=0,"",INDEX('كشف الحساب'!$K$4:$K$253,IFERROR(MATCH(69,'كشف الحساب'!$N$4:$N$253,0),0))),"")</f>
        <v/>
      </c>
    </row>
    <row r="74" spans="1:11" ht="15" customHeight="1" x14ac:dyDescent="0.25">
      <c r="A74" s="69" t="str">
        <f>IFERROR(IF(IFERROR(MATCH(70,'كشف الحساب'!$N$4:$N$253,0),0)=0,"",INDEX('كشف الحساب'!$A$4:$A$253,IFERROR(MATCH(70,'كشف الحساب'!$N$4:$N$253,0),0))),"")</f>
        <v/>
      </c>
      <c r="B74" s="70" t="str">
        <f>IFERROR(IF(IFERROR(MATCH(70,'كشف الحساب'!$N$4:$N$253,0),0)=0,"",INDEX('كشف الحساب'!$B$4:$B$253,IFERROR(MATCH(70,'كشف الحساب'!$N$4:$N$253,0),0))),"")</f>
        <v/>
      </c>
      <c r="C74" s="71" t="str">
        <f>IFERROR(IF(IFERROR(MATCH(70,'كشف الحساب'!$N$4:$N$253,0),0)=0,"",INDEX('كشف الحساب'!$C$4:$C$253,IFERROR(MATCH(70,'كشف الحساب'!$N$4:$N$253,0),0))),"")</f>
        <v/>
      </c>
      <c r="D74" s="72" t="str">
        <f>IFERROR(IF(IFERROR(MATCH(70,'كشف الحساب'!$N$4:$N$253,0),0)=0,"",INDEX('كشف الحساب'!$D$4:$D$253,IFERROR(MATCH(70,'كشف الحساب'!$N$4:$N$253,0),0))),"")</f>
        <v/>
      </c>
      <c r="E74" s="73" t="str">
        <f>IFERROR(IF(IFERROR(MATCH(70,'كشف الحساب'!$N$4:$N$253,0),0)=0,"",INDEX('كشف الحساب'!$E$4:$E$253,IFERROR(MATCH(70,'كشف الحساب'!$N$4:$N$253,0),0))),"")</f>
        <v/>
      </c>
      <c r="F74" s="70" t="str">
        <f>IFERROR(IF(IFERROR(MATCH(70,'كشف الحساب'!$N$4:$N$253,0),0)=0,"",INDEX('كشف الحساب'!$F$4:$F$253,IFERROR(MATCH(70,'كشف الحساب'!$N$4:$N$253,0),0))),"")</f>
        <v/>
      </c>
      <c r="G74" s="70" t="str">
        <f>IFERROR(IF(IFERROR(MATCH(70,'كشف الحساب'!$N$4:$N$253,0),0)=0,"",INDEX('كشف الحساب'!$G$4:$G$253,IFERROR(MATCH(70,'كشف الحساب'!$N$4:$N$253,0),0))),"")</f>
        <v/>
      </c>
      <c r="H74" s="70" t="str">
        <f>IFERROR(IF(IFERROR(MATCH(70,'كشف الحساب'!$N$4:$N$253,0),0)=0,"",INDEX('كشف الحساب'!$H$4:$H$253,IFERROR(MATCH(70,'كشف الحساب'!$N$4:$N$253,0),0))),"")</f>
        <v/>
      </c>
      <c r="I74" s="70" t="str">
        <f>IFERROR(IF(IFERROR(MATCH(70,'كشف الحساب'!$N$4:$N$253,0),0)=0,"",INDEX('كشف الحساب'!$I$4:$I$253,IFERROR(MATCH(70,'كشف الحساب'!$N$4:$N$253,0),0))),"")</f>
        <v/>
      </c>
      <c r="J74" s="74" t="str">
        <f>IFERROR(IF(IFERROR(MATCH(70,'كشف الحساب'!$N$4:$N$253,0),0)=0,"",INDEX('كشف الحساب'!$J$4:$J$253,IFERROR(MATCH(70,'كشف الحساب'!$N$4:$N$253,0),0))),"")</f>
        <v/>
      </c>
      <c r="K74" s="70" t="str">
        <f>IFERROR(IF(IFERROR(MATCH(70,'كشف الحساب'!$N$4:$N$253,0),0)=0,"",INDEX('كشف الحساب'!$K$4:$K$253,IFERROR(MATCH(70,'كشف الحساب'!$N$4:$N$253,0),0))),"")</f>
        <v/>
      </c>
    </row>
    <row r="75" spans="1:11" ht="15" customHeight="1" x14ac:dyDescent="0.25">
      <c r="A75" s="63" t="str">
        <f>IFERROR(IF(IFERROR(MATCH(71,'كشف الحساب'!$N$4:$N$253,0),0)=0,"",INDEX('كشف الحساب'!$A$4:$A$253,IFERROR(MATCH(71,'كشف الحساب'!$N$4:$N$253,0),0))),"")</f>
        <v/>
      </c>
      <c r="B75" s="64" t="str">
        <f>IFERROR(IF(IFERROR(MATCH(71,'كشف الحساب'!$N$4:$N$253,0),0)=0,"",INDEX('كشف الحساب'!$B$4:$B$253,IFERROR(MATCH(71,'كشف الحساب'!$N$4:$N$253,0),0))),"")</f>
        <v/>
      </c>
      <c r="C75" s="65" t="str">
        <f>IFERROR(IF(IFERROR(MATCH(71,'كشف الحساب'!$N$4:$N$253,0),0)=0,"",INDEX('كشف الحساب'!$C$4:$C$253,IFERROR(MATCH(71,'كشف الحساب'!$N$4:$N$253,0),0))),"")</f>
        <v/>
      </c>
      <c r="D75" s="66" t="str">
        <f>IFERROR(IF(IFERROR(MATCH(71,'كشف الحساب'!$N$4:$N$253,0),0)=0,"",INDEX('كشف الحساب'!$D$4:$D$253,IFERROR(MATCH(71,'كشف الحساب'!$N$4:$N$253,0),0))),"")</f>
        <v/>
      </c>
      <c r="E75" s="67" t="str">
        <f>IFERROR(IF(IFERROR(MATCH(71,'كشف الحساب'!$N$4:$N$253,0),0)=0,"",INDEX('كشف الحساب'!$E$4:$E$253,IFERROR(MATCH(71,'كشف الحساب'!$N$4:$N$253,0),0))),"")</f>
        <v/>
      </c>
      <c r="F75" s="64" t="str">
        <f>IFERROR(IF(IFERROR(MATCH(71,'كشف الحساب'!$N$4:$N$253,0),0)=0,"",INDEX('كشف الحساب'!$F$4:$F$253,IFERROR(MATCH(71,'كشف الحساب'!$N$4:$N$253,0),0))),"")</f>
        <v/>
      </c>
      <c r="G75" s="64" t="str">
        <f>IFERROR(IF(IFERROR(MATCH(71,'كشف الحساب'!$N$4:$N$253,0),0)=0,"",INDEX('كشف الحساب'!$G$4:$G$253,IFERROR(MATCH(71,'كشف الحساب'!$N$4:$N$253,0),0))),"")</f>
        <v/>
      </c>
      <c r="H75" s="64" t="str">
        <f>IFERROR(IF(IFERROR(MATCH(71,'كشف الحساب'!$N$4:$N$253,0),0)=0,"",INDEX('كشف الحساب'!$H$4:$H$253,IFERROR(MATCH(71,'كشف الحساب'!$N$4:$N$253,0),0))),"")</f>
        <v/>
      </c>
      <c r="I75" s="64" t="str">
        <f>IFERROR(IF(IFERROR(MATCH(71,'كشف الحساب'!$N$4:$N$253,0),0)=0,"",INDEX('كشف الحساب'!$I$4:$I$253,IFERROR(MATCH(71,'كشف الحساب'!$N$4:$N$253,0),0))),"")</f>
        <v/>
      </c>
      <c r="J75" s="68" t="str">
        <f>IFERROR(IF(IFERROR(MATCH(71,'كشف الحساب'!$N$4:$N$253,0),0)=0,"",INDEX('كشف الحساب'!$J$4:$J$253,IFERROR(MATCH(71,'كشف الحساب'!$N$4:$N$253,0),0))),"")</f>
        <v/>
      </c>
      <c r="K75" s="64" t="str">
        <f>IFERROR(IF(IFERROR(MATCH(71,'كشف الحساب'!$N$4:$N$253,0),0)=0,"",INDEX('كشف الحساب'!$K$4:$K$253,IFERROR(MATCH(71,'كشف الحساب'!$N$4:$N$253,0),0))),"")</f>
        <v/>
      </c>
    </row>
    <row r="76" spans="1:11" ht="15" customHeight="1" x14ac:dyDescent="0.25">
      <c r="A76" s="69" t="str">
        <f>IFERROR(IF(IFERROR(MATCH(72,'كشف الحساب'!$N$4:$N$253,0),0)=0,"",INDEX('كشف الحساب'!$A$4:$A$253,IFERROR(MATCH(72,'كشف الحساب'!$N$4:$N$253,0),0))),"")</f>
        <v/>
      </c>
      <c r="B76" s="70" t="str">
        <f>IFERROR(IF(IFERROR(MATCH(72,'كشف الحساب'!$N$4:$N$253,0),0)=0,"",INDEX('كشف الحساب'!$B$4:$B$253,IFERROR(MATCH(72,'كشف الحساب'!$N$4:$N$253,0),0))),"")</f>
        <v/>
      </c>
      <c r="C76" s="71" t="str">
        <f>IFERROR(IF(IFERROR(MATCH(72,'كشف الحساب'!$N$4:$N$253,0),0)=0,"",INDEX('كشف الحساب'!$C$4:$C$253,IFERROR(MATCH(72,'كشف الحساب'!$N$4:$N$253,0),0))),"")</f>
        <v/>
      </c>
      <c r="D76" s="72" t="str">
        <f>IFERROR(IF(IFERROR(MATCH(72,'كشف الحساب'!$N$4:$N$253,0),0)=0,"",INDEX('كشف الحساب'!$D$4:$D$253,IFERROR(MATCH(72,'كشف الحساب'!$N$4:$N$253,0),0))),"")</f>
        <v/>
      </c>
      <c r="E76" s="73" t="str">
        <f>IFERROR(IF(IFERROR(MATCH(72,'كشف الحساب'!$N$4:$N$253,0),0)=0,"",INDEX('كشف الحساب'!$E$4:$E$253,IFERROR(MATCH(72,'كشف الحساب'!$N$4:$N$253,0),0))),"")</f>
        <v/>
      </c>
      <c r="F76" s="70" t="str">
        <f>IFERROR(IF(IFERROR(MATCH(72,'كشف الحساب'!$N$4:$N$253,0),0)=0,"",INDEX('كشف الحساب'!$F$4:$F$253,IFERROR(MATCH(72,'كشف الحساب'!$N$4:$N$253,0),0))),"")</f>
        <v/>
      </c>
      <c r="G76" s="70" t="str">
        <f>IFERROR(IF(IFERROR(MATCH(72,'كشف الحساب'!$N$4:$N$253,0),0)=0,"",INDEX('كشف الحساب'!$G$4:$G$253,IFERROR(MATCH(72,'كشف الحساب'!$N$4:$N$253,0),0))),"")</f>
        <v/>
      </c>
      <c r="H76" s="70" t="str">
        <f>IFERROR(IF(IFERROR(MATCH(72,'كشف الحساب'!$N$4:$N$253,0),0)=0,"",INDEX('كشف الحساب'!$H$4:$H$253,IFERROR(MATCH(72,'كشف الحساب'!$N$4:$N$253,0),0))),"")</f>
        <v/>
      </c>
      <c r="I76" s="70" t="str">
        <f>IFERROR(IF(IFERROR(MATCH(72,'كشف الحساب'!$N$4:$N$253,0),0)=0,"",INDEX('كشف الحساب'!$I$4:$I$253,IFERROR(MATCH(72,'كشف الحساب'!$N$4:$N$253,0),0))),"")</f>
        <v/>
      </c>
      <c r="J76" s="74" t="str">
        <f>IFERROR(IF(IFERROR(MATCH(72,'كشف الحساب'!$N$4:$N$253,0),0)=0,"",INDEX('كشف الحساب'!$J$4:$J$253,IFERROR(MATCH(72,'كشف الحساب'!$N$4:$N$253,0),0))),"")</f>
        <v/>
      </c>
      <c r="K76" s="70" t="str">
        <f>IFERROR(IF(IFERROR(MATCH(72,'كشف الحساب'!$N$4:$N$253,0),0)=0,"",INDEX('كشف الحساب'!$K$4:$K$253,IFERROR(MATCH(72,'كشف الحساب'!$N$4:$N$253,0),0))),"")</f>
        <v/>
      </c>
    </row>
    <row r="77" spans="1:11" ht="15" customHeight="1" x14ac:dyDescent="0.25">
      <c r="A77" s="63" t="str">
        <f>IFERROR(IF(IFERROR(MATCH(73,'كشف الحساب'!$N$4:$N$253,0),0)=0,"",INDEX('كشف الحساب'!$A$4:$A$253,IFERROR(MATCH(73,'كشف الحساب'!$N$4:$N$253,0),0))),"")</f>
        <v/>
      </c>
      <c r="B77" s="64" t="str">
        <f>IFERROR(IF(IFERROR(MATCH(73,'كشف الحساب'!$N$4:$N$253,0),0)=0,"",INDEX('كشف الحساب'!$B$4:$B$253,IFERROR(MATCH(73,'كشف الحساب'!$N$4:$N$253,0),0))),"")</f>
        <v/>
      </c>
      <c r="C77" s="65" t="str">
        <f>IFERROR(IF(IFERROR(MATCH(73,'كشف الحساب'!$N$4:$N$253,0),0)=0,"",INDEX('كشف الحساب'!$C$4:$C$253,IFERROR(MATCH(73,'كشف الحساب'!$N$4:$N$253,0),0))),"")</f>
        <v/>
      </c>
      <c r="D77" s="66" t="str">
        <f>IFERROR(IF(IFERROR(MATCH(73,'كشف الحساب'!$N$4:$N$253,0),0)=0,"",INDEX('كشف الحساب'!$D$4:$D$253,IFERROR(MATCH(73,'كشف الحساب'!$N$4:$N$253,0),0))),"")</f>
        <v/>
      </c>
      <c r="E77" s="67" t="str">
        <f>IFERROR(IF(IFERROR(MATCH(73,'كشف الحساب'!$N$4:$N$253,0),0)=0,"",INDEX('كشف الحساب'!$E$4:$E$253,IFERROR(MATCH(73,'كشف الحساب'!$N$4:$N$253,0),0))),"")</f>
        <v/>
      </c>
      <c r="F77" s="64" t="str">
        <f>IFERROR(IF(IFERROR(MATCH(73,'كشف الحساب'!$N$4:$N$253,0),0)=0,"",INDEX('كشف الحساب'!$F$4:$F$253,IFERROR(MATCH(73,'كشف الحساب'!$N$4:$N$253,0),0))),"")</f>
        <v/>
      </c>
      <c r="G77" s="64" t="str">
        <f>IFERROR(IF(IFERROR(MATCH(73,'كشف الحساب'!$N$4:$N$253,0),0)=0,"",INDEX('كشف الحساب'!$G$4:$G$253,IFERROR(MATCH(73,'كشف الحساب'!$N$4:$N$253,0),0))),"")</f>
        <v/>
      </c>
      <c r="H77" s="64" t="str">
        <f>IFERROR(IF(IFERROR(MATCH(73,'كشف الحساب'!$N$4:$N$253,0),0)=0,"",INDEX('كشف الحساب'!$H$4:$H$253,IFERROR(MATCH(73,'كشف الحساب'!$N$4:$N$253,0),0))),"")</f>
        <v/>
      </c>
      <c r="I77" s="64" t="str">
        <f>IFERROR(IF(IFERROR(MATCH(73,'كشف الحساب'!$N$4:$N$253,0),0)=0,"",INDEX('كشف الحساب'!$I$4:$I$253,IFERROR(MATCH(73,'كشف الحساب'!$N$4:$N$253,0),0))),"")</f>
        <v/>
      </c>
      <c r="J77" s="68" t="str">
        <f>IFERROR(IF(IFERROR(MATCH(73,'كشف الحساب'!$N$4:$N$253,0),0)=0,"",INDEX('كشف الحساب'!$J$4:$J$253,IFERROR(MATCH(73,'كشف الحساب'!$N$4:$N$253,0),0))),"")</f>
        <v/>
      </c>
      <c r="K77" s="64" t="str">
        <f>IFERROR(IF(IFERROR(MATCH(73,'كشف الحساب'!$N$4:$N$253,0),0)=0,"",INDEX('كشف الحساب'!$K$4:$K$253,IFERROR(MATCH(73,'كشف الحساب'!$N$4:$N$253,0),0))),"")</f>
        <v/>
      </c>
    </row>
    <row r="78" spans="1:11" ht="15" customHeight="1" x14ac:dyDescent="0.25">
      <c r="A78" s="69" t="str">
        <f>IFERROR(IF(IFERROR(MATCH(74,'كشف الحساب'!$N$4:$N$253,0),0)=0,"",INDEX('كشف الحساب'!$A$4:$A$253,IFERROR(MATCH(74,'كشف الحساب'!$N$4:$N$253,0),0))),"")</f>
        <v/>
      </c>
      <c r="B78" s="70" t="str">
        <f>IFERROR(IF(IFERROR(MATCH(74,'كشف الحساب'!$N$4:$N$253,0),0)=0,"",INDEX('كشف الحساب'!$B$4:$B$253,IFERROR(MATCH(74,'كشف الحساب'!$N$4:$N$253,0),0))),"")</f>
        <v/>
      </c>
      <c r="C78" s="71" t="str">
        <f>IFERROR(IF(IFERROR(MATCH(74,'كشف الحساب'!$N$4:$N$253,0),0)=0,"",INDEX('كشف الحساب'!$C$4:$C$253,IFERROR(MATCH(74,'كشف الحساب'!$N$4:$N$253,0),0))),"")</f>
        <v/>
      </c>
      <c r="D78" s="72" t="str">
        <f>IFERROR(IF(IFERROR(MATCH(74,'كشف الحساب'!$N$4:$N$253,0),0)=0,"",INDEX('كشف الحساب'!$D$4:$D$253,IFERROR(MATCH(74,'كشف الحساب'!$N$4:$N$253,0),0))),"")</f>
        <v/>
      </c>
      <c r="E78" s="73" t="str">
        <f>IFERROR(IF(IFERROR(MATCH(74,'كشف الحساب'!$N$4:$N$253,0),0)=0,"",INDEX('كشف الحساب'!$E$4:$E$253,IFERROR(MATCH(74,'كشف الحساب'!$N$4:$N$253,0),0))),"")</f>
        <v/>
      </c>
      <c r="F78" s="70" t="str">
        <f>IFERROR(IF(IFERROR(MATCH(74,'كشف الحساب'!$N$4:$N$253,0),0)=0,"",INDEX('كشف الحساب'!$F$4:$F$253,IFERROR(MATCH(74,'كشف الحساب'!$N$4:$N$253,0),0))),"")</f>
        <v/>
      </c>
      <c r="G78" s="70" t="str">
        <f>IFERROR(IF(IFERROR(MATCH(74,'كشف الحساب'!$N$4:$N$253,0),0)=0,"",INDEX('كشف الحساب'!$G$4:$G$253,IFERROR(MATCH(74,'كشف الحساب'!$N$4:$N$253,0),0))),"")</f>
        <v/>
      </c>
      <c r="H78" s="70" t="str">
        <f>IFERROR(IF(IFERROR(MATCH(74,'كشف الحساب'!$N$4:$N$253,0),0)=0,"",INDEX('كشف الحساب'!$H$4:$H$253,IFERROR(MATCH(74,'كشف الحساب'!$N$4:$N$253,0),0))),"")</f>
        <v/>
      </c>
      <c r="I78" s="70" t="str">
        <f>IFERROR(IF(IFERROR(MATCH(74,'كشف الحساب'!$N$4:$N$253,0),0)=0,"",INDEX('كشف الحساب'!$I$4:$I$253,IFERROR(MATCH(74,'كشف الحساب'!$N$4:$N$253,0),0))),"")</f>
        <v/>
      </c>
      <c r="J78" s="74" t="str">
        <f>IFERROR(IF(IFERROR(MATCH(74,'كشف الحساب'!$N$4:$N$253,0),0)=0,"",INDEX('كشف الحساب'!$J$4:$J$253,IFERROR(MATCH(74,'كشف الحساب'!$N$4:$N$253,0),0))),"")</f>
        <v/>
      </c>
      <c r="K78" s="70" t="str">
        <f>IFERROR(IF(IFERROR(MATCH(74,'كشف الحساب'!$N$4:$N$253,0),0)=0,"",INDEX('كشف الحساب'!$K$4:$K$253,IFERROR(MATCH(74,'كشف الحساب'!$N$4:$N$253,0),0))),"")</f>
        <v/>
      </c>
    </row>
    <row r="79" spans="1:11" ht="15" customHeight="1" x14ac:dyDescent="0.25">
      <c r="A79" s="63" t="str">
        <f>IFERROR(IF(IFERROR(MATCH(75,'كشف الحساب'!$N$4:$N$253,0),0)=0,"",INDEX('كشف الحساب'!$A$4:$A$253,IFERROR(MATCH(75,'كشف الحساب'!$N$4:$N$253,0),0))),"")</f>
        <v/>
      </c>
      <c r="B79" s="64" t="str">
        <f>IFERROR(IF(IFERROR(MATCH(75,'كشف الحساب'!$N$4:$N$253,0),0)=0,"",INDEX('كشف الحساب'!$B$4:$B$253,IFERROR(MATCH(75,'كشف الحساب'!$N$4:$N$253,0),0))),"")</f>
        <v/>
      </c>
      <c r="C79" s="65" t="str">
        <f>IFERROR(IF(IFERROR(MATCH(75,'كشف الحساب'!$N$4:$N$253,0),0)=0,"",INDEX('كشف الحساب'!$C$4:$C$253,IFERROR(MATCH(75,'كشف الحساب'!$N$4:$N$253,0),0))),"")</f>
        <v/>
      </c>
      <c r="D79" s="66" t="str">
        <f>IFERROR(IF(IFERROR(MATCH(75,'كشف الحساب'!$N$4:$N$253,0),0)=0,"",INDEX('كشف الحساب'!$D$4:$D$253,IFERROR(MATCH(75,'كشف الحساب'!$N$4:$N$253,0),0))),"")</f>
        <v/>
      </c>
      <c r="E79" s="67" t="str">
        <f>IFERROR(IF(IFERROR(MATCH(75,'كشف الحساب'!$N$4:$N$253,0),0)=0,"",INDEX('كشف الحساب'!$E$4:$E$253,IFERROR(MATCH(75,'كشف الحساب'!$N$4:$N$253,0),0))),"")</f>
        <v/>
      </c>
      <c r="F79" s="64" t="str">
        <f>IFERROR(IF(IFERROR(MATCH(75,'كشف الحساب'!$N$4:$N$253,0),0)=0,"",INDEX('كشف الحساب'!$F$4:$F$253,IFERROR(MATCH(75,'كشف الحساب'!$N$4:$N$253,0),0))),"")</f>
        <v/>
      </c>
      <c r="G79" s="64" t="str">
        <f>IFERROR(IF(IFERROR(MATCH(75,'كشف الحساب'!$N$4:$N$253,0),0)=0,"",INDEX('كشف الحساب'!$G$4:$G$253,IFERROR(MATCH(75,'كشف الحساب'!$N$4:$N$253,0),0))),"")</f>
        <v/>
      </c>
      <c r="H79" s="64" t="str">
        <f>IFERROR(IF(IFERROR(MATCH(75,'كشف الحساب'!$N$4:$N$253,0),0)=0,"",INDEX('كشف الحساب'!$H$4:$H$253,IFERROR(MATCH(75,'كشف الحساب'!$N$4:$N$253,0),0))),"")</f>
        <v/>
      </c>
      <c r="I79" s="64" t="str">
        <f>IFERROR(IF(IFERROR(MATCH(75,'كشف الحساب'!$N$4:$N$253,0),0)=0,"",INDEX('كشف الحساب'!$I$4:$I$253,IFERROR(MATCH(75,'كشف الحساب'!$N$4:$N$253,0),0))),"")</f>
        <v/>
      </c>
      <c r="J79" s="68" t="str">
        <f>IFERROR(IF(IFERROR(MATCH(75,'كشف الحساب'!$N$4:$N$253,0),0)=0,"",INDEX('كشف الحساب'!$J$4:$J$253,IFERROR(MATCH(75,'كشف الحساب'!$N$4:$N$253,0),0))),"")</f>
        <v/>
      </c>
      <c r="K79" s="64" t="str">
        <f>IFERROR(IF(IFERROR(MATCH(75,'كشف الحساب'!$N$4:$N$253,0),0)=0,"",INDEX('كشف الحساب'!$K$4:$K$253,IFERROR(MATCH(75,'كشف الحساب'!$N$4:$N$253,0),0))),"")</f>
        <v/>
      </c>
    </row>
    <row r="80" spans="1:11" ht="15" customHeight="1" x14ac:dyDescent="0.25">
      <c r="A80" s="69" t="str">
        <f>IFERROR(IF(IFERROR(MATCH(76,'كشف الحساب'!$N$4:$N$253,0),0)=0,"",INDEX('كشف الحساب'!$A$4:$A$253,IFERROR(MATCH(76,'كشف الحساب'!$N$4:$N$253,0),0))),"")</f>
        <v/>
      </c>
      <c r="B80" s="70" t="str">
        <f>IFERROR(IF(IFERROR(MATCH(76,'كشف الحساب'!$N$4:$N$253,0),0)=0,"",INDEX('كشف الحساب'!$B$4:$B$253,IFERROR(MATCH(76,'كشف الحساب'!$N$4:$N$253,0),0))),"")</f>
        <v/>
      </c>
      <c r="C80" s="71" t="str">
        <f>IFERROR(IF(IFERROR(MATCH(76,'كشف الحساب'!$N$4:$N$253,0),0)=0,"",INDEX('كشف الحساب'!$C$4:$C$253,IFERROR(MATCH(76,'كشف الحساب'!$N$4:$N$253,0),0))),"")</f>
        <v/>
      </c>
      <c r="D80" s="72" t="str">
        <f>IFERROR(IF(IFERROR(MATCH(76,'كشف الحساب'!$N$4:$N$253,0),0)=0,"",INDEX('كشف الحساب'!$D$4:$D$253,IFERROR(MATCH(76,'كشف الحساب'!$N$4:$N$253,0),0))),"")</f>
        <v/>
      </c>
      <c r="E80" s="73" t="str">
        <f>IFERROR(IF(IFERROR(MATCH(76,'كشف الحساب'!$N$4:$N$253,0),0)=0,"",INDEX('كشف الحساب'!$E$4:$E$253,IFERROR(MATCH(76,'كشف الحساب'!$N$4:$N$253,0),0))),"")</f>
        <v/>
      </c>
      <c r="F80" s="70" t="str">
        <f>IFERROR(IF(IFERROR(MATCH(76,'كشف الحساب'!$N$4:$N$253,0),0)=0,"",INDEX('كشف الحساب'!$F$4:$F$253,IFERROR(MATCH(76,'كشف الحساب'!$N$4:$N$253,0),0))),"")</f>
        <v/>
      </c>
      <c r="G80" s="70" t="str">
        <f>IFERROR(IF(IFERROR(MATCH(76,'كشف الحساب'!$N$4:$N$253,0),0)=0,"",INDEX('كشف الحساب'!$G$4:$G$253,IFERROR(MATCH(76,'كشف الحساب'!$N$4:$N$253,0),0))),"")</f>
        <v/>
      </c>
      <c r="H80" s="70" t="str">
        <f>IFERROR(IF(IFERROR(MATCH(76,'كشف الحساب'!$N$4:$N$253,0),0)=0,"",INDEX('كشف الحساب'!$H$4:$H$253,IFERROR(MATCH(76,'كشف الحساب'!$N$4:$N$253,0),0))),"")</f>
        <v/>
      </c>
      <c r="I80" s="70" t="str">
        <f>IFERROR(IF(IFERROR(MATCH(76,'كشف الحساب'!$N$4:$N$253,0),0)=0,"",INDEX('كشف الحساب'!$I$4:$I$253,IFERROR(MATCH(76,'كشف الحساب'!$N$4:$N$253,0),0))),"")</f>
        <v/>
      </c>
      <c r="J80" s="74" t="str">
        <f>IFERROR(IF(IFERROR(MATCH(76,'كشف الحساب'!$N$4:$N$253,0),0)=0,"",INDEX('كشف الحساب'!$J$4:$J$253,IFERROR(MATCH(76,'كشف الحساب'!$N$4:$N$253,0),0))),"")</f>
        <v/>
      </c>
      <c r="K80" s="70" t="str">
        <f>IFERROR(IF(IFERROR(MATCH(76,'كشف الحساب'!$N$4:$N$253,0),0)=0,"",INDEX('كشف الحساب'!$K$4:$K$253,IFERROR(MATCH(76,'كشف الحساب'!$N$4:$N$253,0),0))),"")</f>
        <v/>
      </c>
    </row>
    <row r="81" spans="1:11" ht="15" customHeight="1" x14ac:dyDescent="0.25">
      <c r="A81" s="63" t="str">
        <f>IFERROR(IF(IFERROR(MATCH(77,'كشف الحساب'!$N$4:$N$253,0),0)=0,"",INDEX('كشف الحساب'!$A$4:$A$253,IFERROR(MATCH(77,'كشف الحساب'!$N$4:$N$253,0),0))),"")</f>
        <v/>
      </c>
      <c r="B81" s="64" t="str">
        <f>IFERROR(IF(IFERROR(MATCH(77,'كشف الحساب'!$N$4:$N$253,0),0)=0,"",INDEX('كشف الحساب'!$B$4:$B$253,IFERROR(MATCH(77,'كشف الحساب'!$N$4:$N$253,0),0))),"")</f>
        <v/>
      </c>
      <c r="C81" s="65" t="str">
        <f>IFERROR(IF(IFERROR(MATCH(77,'كشف الحساب'!$N$4:$N$253,0),0)=0,"",INDEX('كشف الحساب'!$C$4:$C$253,IFERROR(MATCH(77,'كشف الحساب'!$N$4:$N$253,0),0))),"")</f>
        <v/>
      </c>
      <c r="D81" s="66" t="str">
        <f>IFERROR(IF(IFERROR(MATCH(77,'كشف الحساب'!$N$4:$N$253,0),0)=0,"",INDEX('كشف الحساب'!$D$4:$D$253,IFERROR(MATCH(77,'كشف الحساب'!$N$4:$N$253,0),0))),"")</f>
        <v/>
      </c>
      <c r="E81" s="67" t="str">
        <f>IFERROR(IF(IFERROR(MATCH(77,'كشف الحساب'!$N$4:$N$253,0),0)=0,"",INDEX('كشف الحساب'!$E$4:$E$253,IFERROR(MATCH(77,'كشف الحساب'!$N$4:$N$253,0),0))),"")</f>
        <v/>
      </c>
      <c r="F81" s="64" t="str">
        <f>IFERROR(IF(IFERROR(MATCH(77,'كشف الحساب'!$N$4:$N$253,0),0)=0,"",INDEX('كشف الحساب'!$F$4:$F$253,IFERROR(MATCH(77,'كشف الحساب'!$N$4:$N$253,0),0))),"")</f>
        <v/>
      </c>
      <c r="G81" s="64" t="str">
        <f>IFERROR(IF(IFERROR(MATCH(77,'كشف الحساب'!$N$4:$N$253,0),0)=0,"",INDEX('كشف الحساب'!$G$4:$G$253,IFERROR(MATCH(77,'كشف الحساب'!$N$4:$N$253,0),0))),"")</f>
        <v/>
      </c>
      <c r="H81" s="64" t="str">
        <f>IFERROR(IF(IFERROR(MATCH(77,'كشف الحساب'!$N$4:$N$253,0),0)=0,"",INDEX('كشف الحساب'!$H$4:$H$253,IFERROR(MATCH(77,'كشف الحساب'!$N$4:$N$253,0),0))),"")</f>
        <v/>
      </c>
      <c r="I81" s="64" t="str">
        <f>IFERROR(IF(IFERROR(MATCH(77,'كشف الحساب'!$N$4:$N$253,0),0)=0,"",INDEX('كشف الحساب'!$I$4:$I$253,IFERROR(MATCH(77,'كشف الحساب'!$N$4:$N$253,0),0))),"")</f>
        <v/>
      </c>
      <c r="J81" s="68" t="str">
        <f>IFERROR(IF(IFERROR(MATCH(77,'كشف الحساب'!$N$4:$N$253,0),0)=0,"",INDEX('كشف الحساب'!$J$4:$J$253,IFERROR(MATCH(77,'كشف الحساب'!$N$4:$N$253,0),0))),"")</f>
        <v/>
      </c>
      <c r="K81" s="64" t="str">
        <f>IFERROR(IF(IFERROR(MATCH(77,'كشف الحساب'!$N$4:$N$253,0),0)=0,"",INDEX('كشف الحساب'!$K$4:$K$253,IFERROR(MATCH(77,'كشف الحساب'!$N$4:$N$253,0),0))),"")</f>
        <v/>
      </c>
    </row>
    <row r="82" spans="1:11" ht="15" customHeight="1" x14ac:dyDescent="0.25">
      <c r="A82" s="69" t="str">
        <f>IFERROR(IF(IFERROR(MATCH(78,'كشف الحساب'!$N$4:$N$253,0),0)=0,"",INDEX('كشف الحساب'!$A$4:$A$253,IFERROR(MATCH(78,'كشف الحساب'!$N$4:$N$253,0),0))),"")</f>
        <v/>
      </c>
      <c r="B82" s="70" t="str">
        <f>IFERROR(IF(IFERROR(MATCH(78,'كشف الحساب'!$N$4:$N$253,0),0)=0,"",INDEX('كشف الحساب'!$B$4:$B$253,IFERROR(MATCH(78,'كشف الحساب'!$N$4:$N$253,0),0))),"")</f>
        <v/>
      </c>
      <c r="C82" s="71" t="str">
        <f>IFERROR(IF(IFERROR(MATCH(78,'كشف الحساب'!$N$4:$N$253,0),0)=0,"",INDEX('كشف الحساب'!$C$4:$C$253,IFERROR(MATCH(78,'كشف الحساب'!$N$4:$N$253,0),0))),"")</f>
        <v/>
      </c>
      <c r="D82" s="72" t="str">
        <f>IFERROR(IF(IFERROR(MATCH(78,'كشف الحساب'!$N$4:$N$253,0),0)=0,"",INDEX('كشف الحساب'!$D$4:$D$253,IFERROR(MATCH(78,'كشف الحساب'!$N$4:$N$253,0),0))),"")</f>
        <v/>
      </c>
      <c r="E82" s="73" t="str">
        <f>IFERROR(IF(IFERROR(MATCH(78,'كشف الحساب'!$N$4:$N$253,0),0)=0,"",INDEX('كشف الحساب'!$E$4:$E$253,IFERROR(MATCH(78,'كشف الحساب'!$N$4:$N$253,0),0))),"")</f>
        <v/>
      </c>
      <c r="F82" s="70" t="str">
        <f>IFERROR(IF(IFERROR(MATCH(78,'كشف الحساب'!$N$4:$N$253,0),0)=0,"",INDEX('كشف الحساب'!$F$4:$F$253,IFERROR(MATCH(78,'كشف الحساب'!$N$4:$N$253,0),0))),"")</f>
        <v/>
      </c>
      <c r="G82" s="70" t="str">
        <f>IFERROR(IF(IFERROR(MATCH(78,'كشف الحساب'!$N$4:$N$253,0),0)=0,"",INDEX('كشف الحساب'!$G$4:$G$253,IFERROR(MATCH(78,'كشف الحساب'!$N$4:$N$253,0),0))),"")</f>
        <v/>
      </c>
      <c r="H82" s="70" t="str">
        <f>IFERROR(IF(IFERROR(MATCH(78,'كشف الحساب'!$N$4:$N$253,0),0)=0,"",INDEX('كشف الحساب'!$H$4:$H$253,IFERROR(MATCH(78,'كشف الحساب'!$N$4:$N$253,0),0))),"")</f>
        <v/>
      </c>
      <c r="I82" s="70" t="str">
        <f>IFERROR(IF(IFERROR(MATCH(78,'كشف الحساب'!$N$4:$N$253,0),0)=0,"",INDEX('كشف الحساب'!$I$4:$I$253,IFERROR(MATCH(78,'كشف الحساب'!$N$4:$N$253,0),0))),"")</f>
        <v/>
      </c>
      <c r="J82" s="74" t="str">
        <f>IFERROR(IF(IFERROR(MATCH(78,'كشف الحساب'!$N$4:$N$253,0),0)=0,"",INDEX('كشف الحساب'!$J$4:$J$253,IFERROR(MATCH(78,'كشف الحساب'!$N$4:$N$253,0),0))),"")</f>
        <v/>
      </c>
      <c r="K82" s="70" t="str">
        <f>IFERROR(IF(IFERROR(MATCH(78,'كشف الحساب'!$N$4:$N$253,0),0)=0,"",INDEX('كشف الحساب'!$K$4:$K$253,IFERROR(MATCH(78,'كشف الحساب'!$N$4:$N$253,0),0))),"")</f>
        <v/>
      </c>
    </row>
    <row r="83" spans="1:11" ht="15" customHeight="1" x14ac:dyDescent="0.25">
      <c r="A83" s="63" t="str">
        <f>IFERROR(IF(IFERROR(MATCH(79,'كشف الحساب'!$N$4:$N$253,0),0)=0,"",INDEX('كشف الحساب'!$A$4:$A$253,IFERROR(MATCH(79,'كشف الحساب'!$N$4:$N$253,0),0))),"")</f>
        <v/>
      </c>
      <c r="B83" s="64" t="str">
        <f>IFERROR(IF(IFERROR(MATCH(79,'كشف الحساب'!$N$4:$N$253,0),0)=0,"",INDEX('كشف الحساب'!$B$4:$B$253,IFERROR(MATCH(79,'كشف الحساب'!$N$4:$N$253,0),0))),"")</f>
        <v/>
      </c>
      <c r="C83" s="65" t="str">
        <f>IFERROR(IF(IFERROR(MATCH(79,'كشف الحساب'!$N$4:$N$253,0),0)=0,"",INDEX('كشف الحساب'!$C$4:$C$253,IFERROR(MATCH(79,'كشف الحساب'!$N$4:$N$253,0),0))),"")</f>
        <v/>
      </c>
      <c r="D83" s="66" t="str">
        <f>IFERROR(IF(IFERROR(MATCH(79,'كشف الحساب'!$N$4:$N$253,0),0)=0,"",INDEX('كشف الحساب'!$D$4:$D$253,IFERROR(MATCH(79,'كشف الحساب'!$N$4:$N$253,0),0))),"")</f>
        <v/>
      </c>
      <c r="E83" s="67" t="str">
        <f>IFERROR(IF(IFERROR(MATCH(79,'كشف الحساب'!$N$4:$N$253,0),0)=0,"",INDEX('كشف الحساب'!$E$4:$E$253,IFERROR(MATCH(79,'كشف الحساب'!$N$4:$N$253,0),0))),"")</f>
        <v/>
      </c>
      <c r="F83" s="64" t="str">
        <f>IFERROR(IF(IFERROR(MATCH(79,'كشف الحساب'!$N$4:$N$253,0),0)=0,"",INDEX('كشف الحساب'!$F$4:$F$253,IFERROR(MATCH(79,'كشف الحساب'!$N$4:$N$253,0),0))),"")</f>
        <v/>
      </c>
      <c r="G83" s="64" t="str">
        <f>IFERROR(IF(IFERROR(MATCH(79,'كشف الحساب'!$N$4:$N$253,0),0)=0,"",INDEX('كشف الحساب'!$G$4:$G$253,IFERROR(MATCH(79,'كشف الحساب'!$N$4:$N$253,0),0))),"")</f>
        <v/>
      </c>
      <c r="H83" s="64" t="str">
        <f>IFERROR(IF(IFERROR(MATCH(79,'كشف الحساب'!$N$4:$N$253,0),0)=0,"",INDEX('كشف الحساب'!$H$4:$H$253,IFERROR(MATCH(79,'كشف الحساب'!$N$4:$N$253,0),0))),"")</f>
        <v/>
      </c>
      <c r="I83" s="64" t="str">
        <f>IFERROR(IF(IFERROR(MATCH(79,'كشف الحساب'!$N$4:$N$253,0),0)=0,"",INDEX('كشف الحساب'!$I$4:$I$253,IFERROR(MATCH(79,'كشف الحساب'!$N$4:$N$253,0),0))),"")</f>
        <v/>
      </c>
      <c r="J83" s="68" t="str">
        <f>IFERROR(IF(IFERROR(MATCH(79,'كشف الحساب'!$N$4:$N$253,0),0)=0,"",INDEX('كشف الحساب'!$J$4:$J$253,IFERROR(MATCH(79,'كشف الحساب'!$N$4:$N$253,0),0))),"")</f>
        <v/>
      </c>
      <c r="K83" s="64" t="str">
        <f>IFERROR(IF(IFERROR(MATCH(79,'كشف الحساب'!$N$4:$N$253,0),0)=0,"",INDEX('كشف الحساب'!$K$4:$K$253,IFERROR(MATCH(79,'كشف الحساب'!$N$4:$N$253,0),0))),"")</f>
        <v/>
      </c>
    </row>
    <row r="84" spans="1:11" ht="15" customHeight="1" x14ac:dyDescent="0.25">
      <c r="A84" s="69" t="str">
        <f>IFERROR(IF(IFERROR(MATCH(80,'كشف الحساب'!$N$4:$N$253,0),0)=0,"",INDEX('كشف الحساب'!$A$4:$A$253,IFERROR(MATCH(80,'كشف الحساب'!$N$4:$N$253,0),0))),"")</f>
        <v/>
      </c>
      <c r="B84" s="70" t="str">
        <f>IFERROR(IF(IFERROR(MATCH(80,'كشف الحساب'!$N$4:$N$253,0),0)=0,"",INDEX('كشف الحساب'!$B$4:$B$253,IFERROR(MATCH(80,'كشف الحساب'!$N$4:$N$253,0),0))),"")</f>
        <v/>
      </c>
      <c r="C84" s="71" t="str">
        <f>IFERROR(IF(IFERROR(MATCH(80,'كشف الحساب'!$N$4:$N$253,0),0)=0,"",INDEX('كشف الحساب'!$C$4:$C$253,IFERROR(MATCH(80,'كشف الحساب'!$N$4:$N$253,0),0))),"")</f>
        <v/>
      </c>
      <c r="D84" s="72" t="str">
        <f>IFERROR(IF(IFERROR(MATCH(80,'كشف الحساب'!$N$4:$N$253,0),0)=0,"",INDEX('كشف الحساب'!$D$4:$D$253,IFERROR(MATCH(80,'كشف الحساب'!$N$4:$N$253,0),0))),"")</f>
        <v/>
      </c>
      <c r="E84" s="73" t="str">
        <f>IFERROR(IF(IFERROR(MATCH(80,'كشف الحساب'!$N$4:$N$253,0),0)=0,"",INDEX('كشف الحساب'!$E$4:$E$253,IFERROR(MATCH(80,'كشف الحساب'!$N$4:$N$253,0),0))),"")</f>
        <v/>
      </c>
      <c r="F84" s="70" t="str">
        <f>IFERROR(IF(IFERROR(MATCH(80,'كشف الحساب'!$N$4:$N$253,0),0)=0,"",INDEX('كشف الحساب'!$F$4:$F$253,IFERROR(MATCH(80,'كشف الحساب'!$N$4:$N$253,0),0))),"")</f>
        <v/>
      </c>
      <c r="G84" s="70" t="str">
        <f>IFERROR(IF(IFERROR(MATCH(80,'كشف الحساب'!$N$4:$N$253,0),0)=0,"",INDEX('كشف الحساب'!$G$4:$G$253,IFERROR(MATCH(80,'كشف الحساب'!$N$4:$N$253,0),0))),"")</f>
        <v/>
      </c>
      <c r="H84" s="70" t="str">
        <f>IFERROR(IF(IFERROR(MATCH(80,'كشف الحساب'!$N$4:$N$253,0),0)=0,"",INDEX('كشف الحساب'!$H$4:$H$253,IFERROR(MATCH(80,'كشف الحساب'!$N$4:$N$253,0),0))),"")</f>
        <v/>
      </c>
      <c r="I84" s="70" t="str">
        <f>IFERROR(IF(IFERROR(MATCH(80,'كشف الحساب'!$N$4:$N$253,0),0)=0,"",INDEX('كشف الحساب'!$I$4:$I$253,IFERROR(MATCH(80,'كشف الحساب'!$N$4:$N$253,0),0))),"")</f>
        <v/>
      </c>
      <c r="J84" s="74" t="str">
        <f>IFERROR(IF(IFERROR(MATCH(80,'كشف الحساب'!$N$4:$N$253,0),0)=0,"",INDEX('كشف الحساب'!$J$4:$J$253,IFERROR(MATCH(80,'كشف الحساب'!$N$4:$N$253,0),0))),"")</f>
        <v/>
      </c>
      <c r="K84" s="70" t="str">
        <f>IFERROR(IF(IFERROR(MATCH(80,'كشف الحساب'!$N$4:$N$253,0),0)=0,"",INDEX('كشف الحساب'!$K$4:$K$253,IFERROR(MATCH(80,'كشف الحساب'!$N$4:$N$253,0),0))),"")</f>
        <v/>
      </c>
    </row>
    <row r="85" spans="1:11" ht="15" customHeight="1" x14ac:dyDescent="0.25">
      <c r="A85" s="63" t="str">
        <f>IFERROR(IF(IFERROR(MATCH(81,'كشف الحساب'!$N$4:$N$253,0),0)=0,"",INDEX('كشف الحساب'!$A$4:$A$253,IFERROR(MATCH(81,'كشف الحساب'!$N$4:$N$253,0),0))),"")</f>
        <v/>
      </c>
      <c r="B85" s="64" t="str">
        <f>IFERROR(IF(IFERROR(MATCH(81,'كشف الحساب'!$N$4:$N$253,0),0)=0,"",INDEX('كشف الحساب'!$B$4:$B$253,IFERROR(MATCH(81,'كشف الحساب'!$N$4:$N$253,0),0))),"")</f>
        <v/>
      </c>
      <c r="C85" s="65" t="str">
        <f>IFERROR(IF(IFERROR(MATCH(81,'كشف الحساب'!$N$4:$N$253,0),0)=0,"",INDEX('كشف الحساب'!$C$4:$C$253,IFERROR(MATCH(81,'كشف الحساب'!$N$4:$N$253,0),0))),"")</f>
        <v/>
      </c>
      <c r="D85" s="66" t="str">
        <f>IFERROR(IF(IFERROR(MATCH(81,'كشف الحساب'!$N$4:$N$253,0),0)=0,"",INDEX('كشف الحساب'!$D$4:$D$253,IFERROR(MATCH(81,'كشف الحساب'!$N$4:$N$253,0),0))),"")</f>
        <v/>
      </c>
      <c r="E85" s="67" t="str">
        <f>IFERROR(IF(IFERROR(MATCH(81,'كشف الحساب'!$N$4:$N$253,0),0)=0,"",INDEX('كشف الحساب'!$E$4:$E$253,IFERROR(MATCH(81,'كشف الحساب'!$N$4:$N$253,0),0))),"")</f>
        <v/>
      </c>
      <c r="F85" s="64" t="str">
        <f>IFERROR(IF(IFERROR(MATCH(81,'كشف الحساب'!$N$4:$N$253,0),0)=0,"",INDEX('كشف الحساب'!$F$4:$F$253,IFERROR(MATCH(81,'كشف الحساب'!$N$4:$N$253,0),0))),"")</f>
        <v/>
      </c>
      <c r="G85" s="64" t="str">
        <f>IFERROR(IF(IFERROR(MATCH(81,'كشف الحساب'!$N$4:$N$253,0),0)=0,"",INDEX('كشف الحساب'!$G$4:$G$253,IFERROR(MATCH(81,'كشف الحساب'!$N$4:$N$253,0),0))),"")</f>
        <v/>
      </c>
      <c r="H85" s="64" t="str">
        <f>IFERROR(IF(IFERROR(MATCH(81,'كشف الحساب'!$N$4:$N$253,0),0)=0,"",INDEX('كشف الحساب'!$H$4:$H$253,IFERROR(MATCH(81,'كشف الحساب'!$N$4:$N$253,0),0))),"")</f>
        <v/>
      </c>
      <c r="I85" s="64" t="str">
        <f>IFERROR(IF(IFERROR(MATCH(81,'كشف الحساب'!$N$4:$N$253,0),0)=0,"",INDEX('كشف الحساب'!$I$4:$I$253,IFERROR(MATCH(81,'كشف الحساب'!$N$4:$N$253,0),0))),"")</f>
        <v/>
      </c>
      <c r="J85" s="68" t="str">
        <f>IFERROR(IF(IFERROR(MATCH(81,'كشف الحساب'!$N$4:$N$253,0),0)=0,"",INDEX('كشف الحساب'!$J$4:$J$253,IFERROR(MATCH(81,'كشف الحساب'!$N$4:$N$253,0),0))),"")</f>
        <v/>
      </c>
      <c r="K85" s="64" t="str">
        <f>IFERROR(IF(IFERROR(MATCH(81,'كشف الحساب'!$N$4:$N$253,0),0)=0,"",INDEX('كشف الحساب'!$K$4:$K$253,IFERROR(MATCH(81,'كشف الحساب'!$N$4:$N$253,0),0))),"")</f>
        <v/>
      </c>
    </row>
    <row r="86" spans="1:11" ht="15" customHeight="1" x14ac:dyDescent="0.25">
      <c r="A86" s="69" t="str">
        <f>IFERROR(IF(IFERROR(MATCH(82,'كشف الحساب'!$N$4:$N$253,0),0)=0,"",INDEX('كشف الحساب'!$A$4:$A$253,IFERROR(MATCH(82,'كشف الحساب'!$N$4:$N$253,0),0))),"")</f>
        <v/>
      </c>
      <c r="B86" s="70" t="str">
        <f>IFERROR(IF(IFERROR(MATCH(82,'كشف الحساب'!$N$4:$N$253,0),0)=0,"",INDEX('كشف الحساب'!$B$4:$B$253,IFERROR(MATCH(82,'كشف الحساب'!$N$4:$N$253,0),0))),"")</f>
        <v/>
      </c>
      <c r="C86" s="71" t="str">
        <f>IFERROR(IF(IFERROR(MATCH(82,'كشف الحساب'!$N$4:$N$253,0),0)=0,"",INDEX('كشف الحساب'!$C$4:$C$253,IFERROR(MATCH(82,'كشف الحساب'!$N$4:$N$253,0),0))),"")</f>
        <v/>
      </c>
      <c r="D86" s="72" t="str">
        <f>IFERROR(IF(IFERROR(MATCH(82,'كشف الحساب'!$N$4:$N$253,0),0)=0,"",INDEX('كشف الحساب'!$D$4:$D$253,IFERROR(MATCH(82,'كشف الحساب'!$N$4:$N$253,0),0))),"")</f>
        <v/>
      </c>
      <c r="E86" s="73" t="str">
        <f>IFERROR(IF(IFERROR(MATCH(82,'كشف الحساب'!$N$4:$N$253,0),0)=0,"",INDEX('كشف الحساب'!$E$4:$E$253,IFERROR(MATCH(82,'كشف الحساب'!$N$4:$N$253,0),0))),"")</f>
        <v/>
      </c>
      <c r="F86" s="70" t="str">
        <f>IFERROR(IF(IFERROR(MATCH(82,'كشف الحساب'!$N$4:$N$253,0),0)=0,"",INDEX('كشف الحساب'!$F$4:$F$253,IFERROR(MATCH(82,'كشف الحساب'!$N$4:$N$253,0),0))),"")</f>
        <v/>
      </c>
      <c r="G86" s="70" t="str">
        <f>IFERROR(IF(IFERROR(MATCH(82,'كشف الحساب'!$N$4:$N$253,0),0)=0,"",INDEX('كشف الحساب'!$G$4:$G$253,IFERROR(MATCH(82,'كشف الحساب'!$N$4:$N$253,0),0))),"")</f>
        <v/>
      </c>
      <c r="H86" s="70" t="str">
        <f>IFERROR(IF(IFERROR(MATCH(82,'كشف الحساب'!$N$4:$N$253,0),0)=0,"",INDEX('كشف الحساب'!$H$4:$H$253,IFERROR(MATCH(82,'كشف الحساب'!$N$4:$N$253,0),0))),"")</f>
        <v/>
      </c>
      <c r="I86" s="70" t="str">
        <f>IFERROR(IF(IFERROR(MATCH(82,'كشف الحساب'!$N$4:$N$253,0),0)=0,"",INDEX('كشف الحساب'!$I$4:$I$253,IFERROR(MATCH(82,'كشف الحساب'!$N$4:$N$253,0),0))),"")</f>
        <v/>
      </c>
      <c r="J86" s="74" t="str">
        <f>IFERROR(IF(IFERROR(MATCH(82,'كشف الحساب'!$N$4:$N$253,0),0)=0,"",INDEX('كشف الحساب'!$J$4:$J$253,IFERROR(MATCH(82,'كشف الحساب'!$N$4:$N$253,0),0))),"")</f>
        <v/>
      </c>
      <c r="K86" s="70" t="str">
        <f>IFERROR(IF(IFERROR(MATCH(82,'كشف الحساب'!$N$4:$N$253,0),0)=0,"",INDEX('كشف الحساب'!$K$4:$K$253,IFERROR(MATCH(82,'كشف الحساب'!$N$4:$N$253,0),0))),"")</f>
        <v/>
      </c>
    </row>
    <row r="87" spans="1:11" ht="15" customHeight="1" x14ac:dyDescent="0.25">
      <c r="A87" s="63" t="str">
        <f>IFERROR(IF(IFERROR(MATCH(83,'كشف الحساب'!$N$4:$N$253,0),0)=0,"",INDEX('كشف الحساب'!$A$4:$A$253,IFERROR(MATCH(83,'كشف الحساب'!$N$4:$N$253,0),0))),"")</f>
        <v/>
      </c>
      <c r="B87" s="64" t="str">
        <f>IFERROR(IF(IFERROR(MATCH(83,'كشف الحساب'!$N$4:$N$253,0),0)=0,"",INDEX('كشف الحساب'!$B$4:$B$253,IFERROR(MATCH(83,'كشف الحساب'!$N$4:$N$253,0),0))),"")</f>
        <v/>
      </c>
      <c r="C87" s="65" t="str">
        <f>IFERROR(IF(IFERROR(MATCH(83,'كشف الحساب'!$N$4:$N$253,0),0)=0,"",INDEX('كشف الحساب'!$C$4:$C$253,IFERROR(MATCH(83,'كشف الحساب'!$N$4:$N$253,0),0))),"")</f>
        <v/>
      </c>
      <c r="D87" s="66" t="str">
        <f>IFERROR(IF(IFERROR(MATCH(83,'كشف الحساب'!$N$4:$N$253,0),0)=0,"",INDEX('كشف الحساب'!$D$4:$D$253,IFERROR(MATCH(83,'كشف الحساب'!$N$4:$N$253,0),0))),"")</f>
        <v/>
      </c>
      <c r="E87" s="67" t="str">
        <f>IFERROR(IF(IFERROR(MATCH(83,'كشف الحساب'!$N$4:$N$253,0),0)=0,"",INDEX('كشف الحساب'!$E$4:$E$253,IFERROR(MATCH(83,'كشف الحساب'!$N$4:$N$253,0),0))),"")</f>
        <v/>
      </c>
      <c r="F87" s="64" t="str">
        <f>IFERROR(IF(IFERROR(MATCH(83,'كشف الحساب'!$N$4:$N$253,0),0)=0,"",INDEX('كشف الحساب'!$F$4:$F$253,IFERROR(MATCH(83,'كشف الحساب'!$N$4:$N$253,0),0))),"")</f>
        <v/>
      </c>
      <c r="G87" s="64" t="str">
        <f>IFERROR(IF(IFERROR(MATCH(83,'كشف الحساب'!$N$4:$N$253,0),0)=0,"",INDEX('كشف الحساب'!$G$4:$G$253,IFERROR(MATCH(83,'كشف الحساب'!$N$4:$N$253,0),0))),"")</f>
        <v/>
      </c>
      <c r="H87" s="64" t="str">
        <f>IFERROR(IF(IFERROR(MATCH(83,'كشف الحساب'!$N$4:$N$253,0),0)=0,"",INDEX('كشف الحساب'!$H$4:$H$253,IFERROR(MATCH(83,'كشف الحساب'!$N$4:$N$253,0),0))),"")</f>
        <v/>
      </c>
      <c r="I87" s="64" t="str">
        <f>IFERROR(IF(IFERROR(MATCH(83,'كشف الحساب'!$N$4:$N$253,0),0)=0,"",INDEX('كشف الحساب'!$I$4:$I$253,IFERROR(MATCH(83,'كشف الحساب'!$N$4:$N$253,0),0))),"")</f>
        <v/>
      </c>
      <c r="J87" s="68" t="str">
        <f>IFERROR(IF(IFERROR(MATCH(83,'كشف الحساب'!$N$4:$N$253,0),0)=0,"",INDEX('كشف الحساب'!$J$4:$J$253,IFERROR(MATCH(83,'كشف الحساب'!$N$4:$N$253,0),0))),"")</f>
        <v/>
      </c>
      <c r="K87" s="64" t="str">
        <f>IFERROR(IF(IFERROR(MATCH(83,'كشف الحساب'!$N$4:$N$253,0),0)=0,"",INDEX('كشف الحساب'!$K$4:$K$253,IFERROR(MATCH(83,'كشف الحساب'!$N$4:$N$253,0),0))),"")</f>
        <v/>
      </c>
    </row>
    <row r="88" spans="1:11" ht="15" customHeight="1" x14ac:dyDescent="0.25">
      <c r="A88" s="69" t="str">
        <f>IFERROR(IF(IFERROR(MATCH(84,'كشف الحساب'!$N$4:$N$253,0),0)=0,"",INDEX('كشف الحساب'!$A$4:$A$253,IFERROR(MATCH(84,'كشف الحساب'!$N$4:$N$253,0),0))),"")</f>
        <v/>
      </c>
      <c r="B88" s="70" t="str">
        <f>IFERROR(IF(IFERROR(MATCH(84,'كشف الحساب'!$N$4:$N$253,0),0)=0,"",INDEX('كشف الحساب'!$B$4:$B$253,IFERROR(MATCH(84,'كشف الحساب'!$N$4:$N$253,0),0))),"")</f>
        <v/>
      </c>
      <c r="C88" s="71" t="str">
        <f>IFERROR(IF(IFERROR(MATCH(84,'كشف الحساب'!$N$4:$N$253,0),0)=0,"",INDEX('كشف الحساب'!$C$4:$C$253,IFERROR(MATCH(84,'كشف الحساب'!$N$4:$N$253,0),0))),"")</f>
        <v/>
      </c>
      <c r="D88" s="72" t="str">
        <f>IFERROR(IF(IFERROR(MATCH(84,'كشف الحساب'!$N$4:$N$253,0),0)=0,"",INDEX('كشف الحساب'!$D$4:$D$253,IFERROR(MATCH(84,'كشف الحساب'!$N$4:$N$253,0),0))),"")</f>
        <v/>
      </c>
      <c r="E88" s="73" t="str">
        <f>IFERROR(IF(IFERROR(MATCH(84,'كشف الحساب'!$N$4:$N$253,0),0)=0,"",INDEX('كشف الحساب'!$E$4:$E$253,IFERROR(MATCH(84,'كشف الحساب'!$N$4:$N$253,0),0))),"")</f>
        <v/>
      </c>
      <c r="F88" s="70" t="str">
        <f>IFERROR(IF(IFERROR(MATCH(84,'كشف الحساب'!$N$4:$N$253,0),0)=0,"",INDEX('كشف الحساب'!$F$4:$F$253,IFERROR(MATCH(84,'كشف الحساب'!$N$4:$N$253,0),0))),"")</f>
        <v/>
      </c>
      <c r="G88" s="70" t="str">
        <f>IFERROR(IF(IFERROR(MATCH(84,'كشف الحساب'!$N$4:$N$253,0),0)=0,"",INDEX('كشف الحساب'!$G$4:$G$253,IFERROR(MATCH(84,'كشف الحساب'!$N$4:$N$253,0),0))),"")</f>
        <v/>
      </c>
      <c r="H88" s="70" t="str">
        <f>IFERROR(IF(IFERROR(MATCH(84,'كشف الحساب'!$N$4:$N$253,0),0)=0,"",INDEX('كشف الحساب'!$H$4:$H$253,IFERROR(MATCH(84,'كشف الحساب'!$N$4:$N$253,0),0))),"")</f>
        <v/>
      </c>
      <c r="I88" s="70" t="str">
        <f>IFERROR(IF(IFERROR(MATCH(84,'كشف الحساب'!$N$4:$N$253,0),0)=0,"",INDEX('كشف الحساب'!$I$4:$I$253,IFERROR(MATCH(84,'كشف الحساب'!$N$4:$N$253,0),0))),"")</f>
        <v/>
      </c>
      <c r="J88" s="74" t="str">
        <f>IFERROR(IF(IFERROR(MATCH(84,'كشف الحساب'!$N$4:$N$253,0),0)=0,"",INDEX('كشف الحساب'!$J$4:$J$253,IFERROR(MATCH(84,'كشف الحساب'!$N$4:$N$253,0),0))),"")</f>
        <v/>
      </c>
      <c r="K88" s="70" t="str">
        <f>IFERROR(IF(IFERROR(MATCH(84,'كشف الحساب'!$N$4:$N$253,0),0)=0,"",INDEX('كشف الحساب'!$K$4:$K$253,IFERROR(MATCH(84,'كشف الحساب'!$N$4:$N$253,0),0))),"")</f>
        <v/>
      </c>
    </row>
    <row r="89" spans="1:11" ht="15" customHeight="1" x14ac:dyDescent="0.25">
      <c r="A89" s="63" t="str">
        <f>IFERROR(IF(IFERROR(MATCH(85,'كشف الحساب'!$N$4:$N$253,0),0)=0,"",INDEX('كشف الحساب'!$A$4:$A$253,IFERROR(MATCH(85,'كشف الحساب'!$N$4:$N$253,0),0))),"")</f>
        <v/>
      </c>
      <c r="B89" s="64" t="str">
        <f>IFERROR(IF(IFERROR(MATCH(85,'كشف الحساب'!$N$4:$N$253,0),0)=0,"",INDEX('كشف الحساب'!$B$4:$B$253,IFERROR(MATCH(85,'كشف الحساب'!$N$4:$N$253,0),0))),"")</f>
        <v/>
      </c>
      <c r="C89" s="65" t="str">
        <f>IFERROR(IF(IFERROR(MATCH(85,'كشف الحساب'!$N$4:$N$253,0),0)=0,"",INDEX('كشف الحساب'!$C$4:$C$253,IFERROR(MATCH(85,'كشف الحساب'!$N$4:$N$253,0),0))),"")</f>
        <v/>
      </c>
      <c r="D89" s="66" t="str">
        <f>IFERROR(IF(IFERROR(MATCH(85,'كشف الحساب'!$N$4:$N$253,0),0)=0,"",INDEX('كشف الحساب'!$D$4:$D$253,IFERROR(MATCH(85,'كشف الحساب'!$N$4:$N$253,0),0))),"")</f>
        <v/>
      </c>
      <c r="E89" s="67" t="str">
        <f>IFERROR(IF(IFERROR(MATCH(85,'كشف الحساب'!$N$4:$N$253,0),0)=0,"",INDEX('كشف الحساب'!$E$4:$E$253,IFERROR(MATCH(85,'كشف الحساب'!$N$4:$N$253,0),0))),"")</f>
        <v/>
      </c>
      <c r="F89" s="64" t="str">
        <f>IFERROR(IF(IFERROR(MATCH(85,'كشف الحساب'!$N$4:$N$253,0),0)=0,"",INDEX('كشف الحساب'!$F$4:$F$253,IFERROR(MATCH(85,'كشف الحساب'!$N$4:$N$253,0),0))),"")</f>
        <v/>
      </c>
      <c r="G89" s="64" t="str">
        <f>IFERROR(IF(IFERROR(MATCH(85,'كشف الحساب'!$N$4:$N$253,0),0)=0,"",INDEX('كشف الحساب'!$G$4:$G$253,IFERROR(MATCH(85,'كشف الحساب'!$N$4:$N$253,0),0))),"")</f>
        <v/>
      </c>
      <c r="H89" s="64" t="str">
        <f>IFERROR(IF(IFERROR(MATCH(85,'كشف الحساب'!$N$4:$N$253,0),0)=0,"",INDEX('كشف الحساب'!$H$4:$H$253,IFERROR(MATCH(85,'كشف الحساب'!$N$4:$N$253,0),0))),"")</f>
        <v/>
      </c>
      <c r="I89" s="64" t="str">
        <f>IFERROR(IF(IFERROR(MATCH(85,'كشف الحساب'!$N$4:$N$253,0),0)=0,"",INDEX('كشف الحساب'!$I$4:$I$253,IFERROR(MATCH(85,'كشف الحساب'!$N$4:$N$253,0),0))),"")</f>
        <v/>
      </c>
      <c r="J89" s="68" t="str">
        <f>IFERROR(IF(IFERROR(MATCH(85,'كشف الحساب'!$N$4:$N$253,0),0)=0,"",INDEX('كشف الحساب'!$J$4:$J$253,IFERROR(MATCH(85,'كشف الحساب'!$N$4:$N$253,0),0))),"")</f>
        <v/>
      </c>
      <c r="K89" s="64" t="str">
        <f>IFERROR(IF(IFERROR(MATCH(85,'كشف الحساب'!$N$4:$N$253,0),0)=0,"",INDEX('كشف الحساب'!$K$4:$K$253,IFERROR(MATCH(85,'كشف الحساب'!$N$4:$N$253,0),0))),"")</f>
        <v/>
      </c>
    </row>
    <row r="90" spans="1:11" ht="15" customHeight="1" x14ac:dyDescent="0.25">
      <c r="A90" s="69" t="str">
        <f>IFERROR(IF(IFERROR(MATCH(86,'كشف الحساب'!$N$4:$N$253,0),0)=0,"",INDEX('كشف الحساب'!$A$4:$A$253,IFERROR(MATCH(86,'كشف الحساب'!$N$4:$N$253,0),0))),"")</f>
        <v/>
      </c>
      <c r="B90" s="70" t="str">
        <f>IFERROR(IF(IFERROR(MATCH(86,'كشف الحساب'!$N$4:$N$253,0),0)=0,"",INDEX('كشف الحساب'!$B$4:$B$253,IFERROR(MATCH(86,'كشف الحساب'!$N$4:$N$253,0),0))),"")</f>
        <v/>
      </c>
      <c r="C90" s="71" t="str">
        <f>IFERROR(IF(IFERROR(MATCH(86,'كشف الحساب'!$N$4:$N$253,0),0)=0,"",INDEX('كشف الحساب'!$C$4:$C$253,IFERROR(MATCH(86,'كشف الحساب'!$N$4:$N$253,0),0))),"")</f>
        <v/>
      </c>
      <c r="D90" s="72" t="str">
        <f>IFERROR(IF(IFERROR(MATCH(86,'كشف الحساب'!$N$4:$N$253,0),0)=0,"",INDEX('كشف الحساب'!$D$4:$D$253,IFERROR(MATCH(86,'كشف الحساب'!$N$4:$N$253,0),0))),"")</f>
        <v/>
      </c>
      <c r="E90" s="73" t="str">
        <f>IFERROR(IF(IFERROR(MATCH(86,'كشف الحساب'!$N$4:$N$253,0),0)=0,"",INDEX('كشف الحساب'!$E$4:$E$253,IFERROR(MATCH(86,'كشف الحساب'!$N$4:$N$253,0),0))),"")</f>
        <v/>
      </c>
      <c r="F90" s="70" t="str">
        <f>IFERROR(IF(IFERROR(MATCH(86,'كشف الحساب'!$N$4:$N$253,0),0)=0,"",INDEX('كشف الحساب'!$F$4:$F$253,IFERROR(MATCH(86,'كشف الحساب'!$N$4:$N$253,0),0))),"")</f>
        <v/>
      </c>
      <c r="G90" s="70" t="str">
        <f>IFERROR(IF(IFERROR(MATCH(86,'كشف الحساب'!$N$4:$N$253,0),0)=0,"",INDEX('كشف الحساب'!$G$4:$G$253,IFERROR(MATCH(86,'كشف الحساب'!$N$4:$N$253,0),0))),"")</f>
        <v/>
      </c>
      <c r="H90" s="70" t="str">
        <f>IFERROR(IF(IFERROR(MATCH(86,'كشف الحساب'!$N$4:$N$253,0),0)=0,"",INDEX('كشف الحساب'!$H$4:$H$253,IFERROR(MATCH(86,'كشف الحساب'!$N$4:$N$253,0),0))),"")</f>
        <v/>
      </c>
      <c r="I90" s="70" t="str">
        <f>IFERROR(IF(IFERROR(MATCH(86,'كشف الحساب'!$N$4:$N$253,0),0)=0,"",INDEX('كشف الحساب'!$I$4:$I$253,IFERROR(MATCH(86,'كشف الحساب'!$N$4:$N$253,0),0))),"")</f>
        <v/>
      </c>
      <c r="J90" s="74" t="str">
        <f>IFERROR(IF(IFERROR(MATCH(86,'كشف الحساب'!$N$4:$N$253,0),0)=0,"",INDEX('كشف الحساب'!$J$4:$J$253,IFERROR(MATCH(86,'كشف الحساب'!$N$4:$N$253,0),0))),"")</f>
        <v/>
      </c>
      <c r="K90" s="70" t="str">
        <f>IFERROR(IF(IFERROR(MATCH(86,'كشف الحساب'!$N$4:$N$253,0),0)=0,"",INDEX('كشف الحساب'!$K$4:$K$253,IFERROR(MATCH(86,'كشف الحساب'!$N$4:$N$253,0),0))),"")</f>
        <v/>
      </c>
    </row>
    <row r="91" spans="1:11" ht="15" customHeight="1" x14ac:dyDescent="0.25">
      <c r="A91" s="63" t="str">
        <f>IFERROR(IF(IFERROR(MATCH(87,'كشف الحساب'!$N$4:$N$253,0),0)=0,"",INDEX('كشف الحساب'!$A$4:$A$253,IFERROR(MATCH(87,'كشف الحساب'!$N$4:$N$253,0),0))),"")</f>
        <v/>
      </c>
      <c r="B91" s="64" t="str">
        <f>IFERROR(IF(IFERROR(MATCH(87,'كشف الحساب'!$N$4:$N$253,0),0)=0,"",INDEX('كشف الحساب'!$B$4:$B$253,IFERROR(MATCH(87,'كشف الحساب'!$N$4:$N$253,0),0))),"")</f>
        <v/>
      </c>
      <c r="C91" s="65" t="str">
        <f>IFERROR(IF(IFERROR(MATCH(87,'كشف الحساب'!$N$4:$N$253,0),0)=0,"",INDEX('كشف الحساب'!$C$4:$C$253,IFERROR(MATCH(87,'كشف الحساب'!$N$4:$N$253,0),0))),"")</f>
        <v/>
      </c>
      <c r="D91" s="66" t="str">
        <f>IFERROR(IF(IFERROR(MATCH(87,'كشف الحساب'!$N$4:$N$253,0),0)=0,"",INDEX('كشف الحساب'!$D$4:$D$253,IFERROR(MATCH(87,'كشف الحساب'!$N$4:$N$253,0),0))),"")</f>
        <v/>
      </c>
      <c r="E91" s="67" t="str">
        <f>IFERROR(IF(IFERROR(MATCH(87,'كشف الحساب'!$N$4:$N$253,0),0)=0,"",INDEX('كشف الحساب'!$E$4:$E$253,IFERROR(MATCH(87,'كشف الحساب'!$N$4:$N$253,0),0))),"")</f>
        <v/>
      </c>
      <c r="F91" s="64" t="str">
        <f>IFERROR(IF(IFERROR(MATCH(87,'كشف الحساب'!$N$4:$N$253,0),0)=0,"",INDEX('كشف الحساب'!$F$4:$F$253,IFERROR(MATCH(87,'كشف الحساب'!$N$4:$N$253,0),0))),"")</f>
        <v/>
      </c>
      <c r="G91" s="64" t="str">
        <f>IFERROR(IF(IFERROR(MATCH(87,'كشف الحساب'!$N$4:$N$253,0),0)=0,"",INDEX('كشف الحساب'!$G$4:$G$253,IFERROR(MATCH(87,'كشف الحساب'!$N$4:$N$253,0),0))),"")</f>
        <v/>
      </c>
      <c r="H91" s="64" t="str">
        <f>IFERROR(IF(IFERROR(MATCH(87,'كشف الحساب'!$N$4:$N$253,0),0)=0,"",INDEX('كشف الحساب'!$H$4:$H$253,IFERROR(MATCH(87,'كشف الحساب'!$N$4:$N$253,0),0))),"")</f>
        <v/>
      </c>
      <c r="I91" s="64" t="str">
        <f>IFERROR(IF(IFERROR(MATCH(87,'كشف الحساب'!$N$4:$N$253,0),0)=0,"",INDEX('كشف الحساب'!$I$4:$I$253,IFERROR(MATCH(87,'كشف الحساب'!$N$4:$N$253,0),0))),"")</f>
        <v/>
      </c>
      <c r="J91" s="68" t="str">
        <f>IFERROR(IF(IFERROR(MATCH(87,'كشف الحساب'!$N$4:$N$253,0),0)=0,"",INDEX('كشف الحساب'!$J$4:$J$253,IFERROR(MATCH(87,'كشف الحساب'!$N$4:$N$253,0),0))),"")</f>
        <v/>
      </c>
      <c r="K91" s="64" t="str">
        <f>IFERROR(IF(IFERROR(MATCH(87,'كشف الحساب'!$N$4:$N$253,0),0)=0,"",INDEX('كشف الحساب'!$K$4:$K$253,IFERROR(MATCH(87,'كشف الحساب'!$N$4:$N$253,0),0))),"")</f>
        <v/>
      </c>
    </row>
    <row r="92" spans="1:11" ht="15" customHeight="1" x14ac:dyDescent="0.25">
      <c r="A92" s="69" t="str">
        <f>IFERROR(IF(IFERROR(MATCH(88,'كشف الحساب'!$N$4:$N$253,0),0)=0,"",INDEX('كشف الحساب'!$A$4:$A$253,IFERROR(MATCH(88,'كشف الحساب'!$N$4:$N$253,0),0))),"")</f>
        <v/>
      </c>
      <c r="B92" s="70" t="str">
        <f>IFERROR(IF(IFERROR(MATCH(88,'كشف الحساب'!$N$4:$N$253,0),0)=0,"",INDEX('كشف الحساب'!$B$4:$B$253,IFERROR(MATCH(88,'كشف الحساب'!$N$4:$N$253,0),0))),"")</f>
        <v/>
      </c>
      <c r="C92" s="71" t="str">
        <f>IFERROR(IF(IFERROR(MATCH(88,'كشف الحساب'!$N$4:$N$253,0),0)=0,"",INDEX('كشف الحساب'!$C$4:$C$253,IFERROR(MATCH(88,'كشف الحساب'!$N$4:$N$253,0),0))),"")</f>
        <v/>
      </c>
      <c r="D92" s="72" t="str">
        <f>IFERROR(IF(IFERROR(MATCH(88,'كشف الحساب'!$N$4:$N$253,0),0)=0,"",INDEX('كشف الحساب'!$D$4:$D$253,IFERROR(MATCH(88,'كشف الحساب'!$N$4:$N$253,0),0))),"")</f>
        <v/>
      </c>
      <c r="E92" s="73" t="str">
        <f>IFERROR(IF(IFERROR(MATCH(88,'كشف الحساب'!$N$4:$N$253,0),0)=0,"",INDEX('كشف الحساب'!$E$4:$E$253,IFERROR(MATCH(88,'كشف الحساب'!$N$4:$N$253,0),0))),"")</f>
        <v/>
      </c>
      <c r="F92" s="70" t="str">
        <f>IFERROR(IF(IFERROR(MATCH(88,'كشف الحساب'!$N$4:$N$253,0),0)=0,"",INDEX('كشف الحساب'!$F$4:$F$253,IFERROR(MATCH(88,'كشف الحساب'!$N$4:$N$253,0),0))),"")</f>
        <v/>
      </c>
      <c r="G92" s="70" t="str">
        <f>IFERROR(IF(IFERROR(MATCH(88,'كشف الحساب'!$N$4:$N$253,0),0)=0,"",INDEX('كشف الحساب'!$G$4:$G$253,IFERROR(MATCH(88,'كشف الحساب'!$N$4:$N$253,0),0))),"")</f>
        <v/>
      </c>
      <c r="H92" s="70" t="str">
        <f>IFERROR(IF(IFERROR(MATCH(88,'كشف الحساب'!$N$4:$N$253,0),0)=0,"",INDEX('كشف الحساب'!$H$4:$H$253,IFERROR(MATCH(88,'كشف الحساب'!$N$4:$N$253,0),0))),"")</f>
        <v/>
      </c>
      <c r="I92" s="70" t="str">
        <f>IFERROR(IF(IFERROR(MATCH(88,'كشف الحساب'!$N$4:$N$253,0),0)=0,"",INDEX('كشف الحساب'!$I$4:$I$253,IFERROR(MATCH(88,'كشف الحساب'!$N$4:$N$253,0),0))),"")</f>
        <v/>
      </c>
      <c r="J92" s="74" t="str">
        <f>IFERROR(IF(IFERROR(MATCH(88,'كشف الحساب'!$N$4:$N$253,0),0)=0,"",INDEX('كشف الحساب'!$J$4:$J$253,IFERROR(MATCH(88,'كشف الحساب'!$N$4:$N$253,0),0))),"")</f>
        <v/>
      </c>
      <c r="K92" s="70" t="str">
        <f>IFERROR(IF(IFERROR(MATCH(88,'كشف الحساب'!$N$4:$N$253,0),0)=0,"",INDEX('كشف الحساب'!$K$4:$K$253,IFERROR(MATCH(88,'كشف الحساب'!$N$4:$N$253,0),0))),"")</f>
        <v/>
      </c>
    </row>
    <row r="93" spans="1:11" ht="15" customHeight="1" x14ac:dyDescent="0.25">
      <c r="A93" s="63" t="str">
        <f>IFERROR(IF(IFERROR(MATCH(89,'كشف الحساب'!$N$4:$N$253,0),0)=0,"",INDEX('كشف الحساب'!$A$4:$A$253,IFERROR(MATCH(89,'كشف الحساب'!$N$4:$N$253,0),0))),"")</f>
        <v/>
      </c>
      <c r="B93" s="64" t="str">
        <f>IFERROR(IF(IFERROR(MATCH(89,'كشف الحساب'!$N$4:$N$253,0),0)=0,"",INDEX('كشف الحساب'!$B$4:$B$253,IFERROR(MATCH(89,'كشف الحساب'!$N$4:$N$253,0),0))),"")</f>
        <v/>
      </c>
      <c r="C93" s="65" t="str">
        <f>IFERROR(IF(IFERROR(MATCH(89,'كشف الحساب'!$N$4:$N$253,0),0)=0,"",INDEX('كشف الحساب'!$C$4:$C$253,IFERROR(MATCH(89,'كشف الحساب'!$N$4:$N$253,0),0))),"")</f>
        <v/>
      </c>
      <c r="D93" s="66" t="str">
        <f>IFERROR(IF(IFERROR(MATCH(89,'كشف الحساب'!$N$4:$N$253,0),0)=0,"",INDEX('كشف الحساب'!$D$4:$D$253,IFERROR(MATCH(89,'كشف الحساب'!$N$4:$N$253,0),0))),"")</f>
        <v/>
      </c>
      <c r="E93" s="67" t="str">
        <f>IFERROR(IF(IFERROR(MATCH(89,'كشف الحساب'!$N$4:$N$253,0),0)=0,"",INDEX('كشف الحساب'!$E$4:$E$253,IFERROR(MATCH(89,'كشف الحساب'!$N$4:$N$253,0),0))),"")</f>
        <v/>
      </c>
      <c r="F93" s="64" t="str">
        <f>IFERROR(IF(IFERROR(MATCH(89,'كشف الحساب'!$N$4:$N$253,0),0)=0,"",INDEX('كشف الحساب'!$F$4:$F$253,IFERROR(MATCH(89,'كشف الحساب'!$N$4:$N$253,0),0))),"")</f>
        <v/>
      </c>
      <c r="G93" s="64" t="str">
        <f>IFERROR(IF(IFERROR(MATCH(89,'كشف الحساب'!$N$4:$N$253,0),0)=0,"",INDEX('كشف الحساب'!$G$4:$G$253,IFERROR(MATCH(89,'كشف الحساب'!$N$4:$N$253,0),0))),"")</f>
        <v/>
      </c>
      <c r="H93" s="64" t="str">
        <f>IFERROR(IF(IFERROR(MATCH(89,'كشف الحساب'!$N$4:$N$253,0),0)=0,"",INDEX('كشف الحساب'!$H$4:$H$253,IFERROR(MATCH(89,'كشف الحساب'!$N$4:$N$253,0),0))),"")</f>
        <v/>
      </c>
      <c r="I93" s="64" t="str">
        <f>IFERROR(IF(IFERROR(MATCH(89,'كشف الحساب'!$N$4:$N$253,0),0)=0,"",INDEX('كشف الحساب'!$I$4:$I$253,IFERROR(MATCH(89,'كشف الحساب'!$N$4:$N$253,0),0))),"")</f>
        <v/>
      </c>
      <c r="J93" s="68" t="str">
        <f>IFERROR(IF(IFERROR(MATCH(89,'كشف الحساب'!$N$4:$N$253,0),0)=0,"",INDEX('كشف الحساب'!$J$4:$J$253,IFERROR(MATCH(89,'كشف الحساب'!$N$4:$N$253,0),0))),"")</f>
        <v/>
      </c>
      <c r="K93" s="64" t="str">
        <f>IFERROR(IF(IFERROR(MATCH(89,'كشف الحساب'!$N$4:$N$253,0),0)=0,"",INDEX('كشف الحساب'!$K$4:$K$253,IFERROR(MATCH(89,'كشف الحساب'!$N$4:$N$253,0),0))),"")</f>
        <v/>
      </c>
    </row>
    <row r="94" spans="1:11" ht="15" customHeight="1" x14ac:dyDescent="0.25">
      <c r="A94" s="69" t="str">
        <f>IFERROR(IF(IFERROR(MATCH(90,'كشف الحساب'!$N$4:$N$253,0),0)=0,"",INDEX('كشف الحساب'!$A$4:$A$253,IFERROR(MATCH(90,'كشف الحساب'!$N$4:$N$253,0),0))),"")</f>
        <v/>
      </c>
      <c r="B94" s="70" t="str">
        <f>IFERROR(IF(IFERROR(MATCH(90,'كشف الحساب'!$N$4:$N$253,0),0)=0,"",INDEX('كشف الحساب'!$B$4:$B$253,IFERROR(MATCH(90,'كشف الحساب'!$N$4:$N$253,0),0))),"")</f>
        <v/>
      </c>
      <c r="C94" s="71" t="str">
        <f>IFERROR(IF(IFERROR(MATCH(90,'كشف الحساب'!$N$4:$N$253,0),0)=0,"",INDEX('كشف الحساب'!$C$4:$C$253,IFERROR(MATCH(90,'كشف الحساب'!$N$4:$N$253,0),0))),"")</f>
        <v/>
      </c>
      <c r="D94" s="72" t="str">
        <f>IFERROR(IF(IFERROR(MATCH(90,'كشف الحساب'!$N$4:$N$253,0),0)=0,"",INDEX('كشف الحساب'!$D$4:$D$253,IFERROR(MATCH(90,'كشف الحساب'!$N$4:$N$253,0),0))),"")</f>
        <v/>
      </c>
      <c r="E94" s="73" t="str">
        <f>IFERROR(IF(IFERROR(MATCH(90,'كشف الحساب'!$N$4:$N$253,0),0)=0,"",INDEX('كشف الحساب'!$E$4:$E$253,IFERROR(MATCH(90,'كشف الحساب'!$N$4:$N$253,0),0))),"")</f>
        <v/>
      </c>
      <c r="F94" s="70" t="str">
        <f>IFERROR(IF(IFERROR(MATCH(90,'كشف الحساب'!$N$4:$N$253,0),0)=0,"",INDEX('كشف الحساب'!$F$4:$F$253,IFERROR(MATCH(90,'كشف الحساب'!$N$4:$N$253,0),0))),"")</f>
        <v/>
      </c>
      <c r="G94" s="70" t="str">
        <f>IFERROR(IF(IFERROR(MATCH(90,'كشف الحساب'!$N$4:$N$253,0),0)=0,"",INDEX('كشف الحساب'!$G$4:$G$253,IFERROR(MATCH(90,'كشف الحساب'!$N$4:$N$253,0),0))),"")</f>
        <v/>
      </c>
      <c r="H94" s="70" t="str">
        <f>IFERROR(IF(IFERROR(MATCH(90,'كشف الحساب'!$N$4:$N$253,0),0)=0,"",INDEX('كشف الحساب'!$H$4:$H$253,IFERROR(MATCH(90,'كشف الحساب'!$N$4:$N$253,0),0))),"")</f>
        <v/>
      </c>
      <c r="I94" s="70" t="str">
        <f>IFERROR(IF(IFERROR(MATCH(90,'كشف الحساب'!$N$4:$N$253,0),0)=0,"",INDEX('كشف الحساب'!$I$4:$I$253,IFERROR(MATCH(90,'كشف الحساب'!$N$4:$N$253,0),0))),"")</f>
        <v/>
      </c>
      <c r="J94" s="74" t="str">
        <f>IFERROR(IF(IFERROR(MATCH(90,'كشف الحساب'!$N$4:$N$253,0),0)=0,"",INDEX('كشف الحساب'!$J$4:$J$253,IFERROR(MATCH(90,'كشف الحساب'!$N$4:$N$253,0),0))),"")</f>
        <v/>
      </c>
      <c r="K94" s="70" t="str">
        <f>IFERROR(IF(IFERROR(MATCH(90,'كشف الحساب'!$N$4:$N$253,0),0)=0,"",INDEX('كشف الحساب'!$K$4:$K$253,IFERROR(MATCH(90,'كشف الحساب'!$N$4:$N$253,0),0))),"")</f>
        <v/>
      </c>
    </row>
    <row r="95" spans="1:11" ht="15" customHeight="1" x14ac:dyDescent="0.25">
      <c r="A95" s="63" t="str">
        <f>IFERROR(IF(IFERROR(MATCH(91,'كشف الحساب'!$N$4:$N$253,0),0)=0,"",INDEX('كشف الحساب'!$A$4:$A$253,IFERROR(MATCH(91,'كشف الحساب'!$N$4:$N$253,0),0))),"")</f>
        <v/>
      </c>
      <c r="B95" s="64" t="str">
        <f>IFERROR(IF(IFERROR(MATCH(91,'كشف الحساب'!$N$4:$N$253,0),0)=0,"",INDEX('كشف الحساب'!$B$4:$B$253,IFERROR(MATCH(91,'كشف الحساب'!$N$4:$N$253,0),0))),"")</f>
        <v/>
      </c>
      <c r="C95" s="65" t="str">
        <f>IFERROR(IF(IFERROR(MATCH(91,'كشف الحساب'!$N$4:$N$253,0),0)=0,"",INDEX('كشف الحساب'!$C$4:$C$253,IFERROR(MATCH(91,'كشف الحساب'!$N$4:$N$253,0),0))),"")</f>
        <v/>
      </c>
      <c r="D95" s="66" t="str">
        <f>IFERROR(IF(IFERROR(MATCH(91,'كشف الحساب'!$N$4:$N$253,0),0)=0,"",INDEX('كشف الحساب'!$D$4:$D$253,IFERROR(MATCH(91,'كشف الحساب'!$N$4:$N$253,0),0))),"")</f>
        <v/>
      </c>
      <c r="E95" s="67" t="str">
        <f>IFERROR(IF(IFERROR(MATCH(91,'كشف الحساب'!$N$4:$N$253,0),0)=0,"",INDEX('كشف الحساب'!$E$4:$E$253,IFERROR(MATCH(91,'كشف الحساب'!$N$4:$N$253,0),0))),"")</f>
        <v/>
      </c>
      <c r="F95" s="64" t="str">
        <f>IFERROR(IF(IFERROR(MATCH(91,'كشف الحساب'!$N$4:$N$253,0),0)=0,"",INDEX('كشف الحساب'!$F$4:$F$253,IFERROR(MATCH(91,'كشف الحساب'!$N$4:$N$253,0),0))),"")</f>
        <v/>
      </c>
      <c r="G95" s="64" t="str">
        <f>IFERROR(IF(IFERROR(MATCH(91,'كشف الحساب'!$N$4:$N$253,0),0)=0,"",INDEX('كشف الحساب'!$G$4:$G$253,IFERROR(MATCH(91,'كشف الحساب'!$N$4:$N$253,0),0))),"")</f>
        <v/>
      </c>
      <c r="H95" s="64" t="str">
        <f>IFERROR(IF(IFERROR(MATCH(91,'كشف الحساب'!$N$4:$N$253,0),0)=0,"",INDEX('كشف الحساب'!$H$4:$H$253,IFERROR(MATCH(91,'كشف الحساب'!$N$4:$N$253,0),0))),"")</f>
        <v/>
      </c>
      <c r="I95" s="64" t="str">
        <f>IFERROR(IF(IFERROR(MATCH(91,'كشف الحساب'!$N$4:$N$253,0),0)=0,"",INDEX('كشف الحساب'!$I$4:$I$253,IFERROR(MATCH(91,'كشف الحساب'!$N$4:$N$253,0),0))),"")</f>
        <v/>
      </c>
      <c r="J95" s="68" t="str">
        <f>IFERROR(IF(IFERROR(MATCH(91,'كشف الحساب'!$N$4:$N$253,0),0)=0,"",INDEX('كشف الحساب'!$J$4:$J$253,IFERROR(MATCH(91,'كشف الحساب'!$N$4:$N$253,0),0))),"")</f>
        <v/>
      </c>
      <c r="K95" s="64" t="str">
        <f>IFERROR(IF(IFERROR(MATCH(91,'كشف الحساب'!$N$4:$N$253,0),0)=0,"",INDEX('كشف الحساب'!$K$4:$K$253,IFERROR(MATCH(91,'كشف الحساب'!$N$4:$N$253,0),0))),"")</f>
        <v/>
      </c>
    </row>
    <row r="96" spans="1:11" ht="15" customHeight="1" x14ac:dyDescent="0.25">
      <c r="A96" s="69" t="str">
        <f>IFERROR(IF(IFERROR(MATCH(92,'كشف الحساب'!$N$4:$N$253,0),0)=0,"",INDEX('كشف الحساب'!$A$4:$A$253,IFERROR(MATCH(92,'كشف الحساب'!$N$4:$N$253,0),0))),"")</f>
        <v/>
      </c>
      <c r="B96" s="70" t="str">
        <f>IFERROR(IF(IFERROR(MATCH(92,'كشف الحساب'!$N$4:$N$253,0),0)=0,"",INDEX('كشف الحساب'!$B$4:$B$253,IFERROR(MATCH(92,'كشف الحساب'!$N$4:$N$253,0),0))),"")</f>
        <v/>
      </c>
      <c r="C96" s="71" t="str">
        <f>IFERROR(IF(IFERROR(MATCH(92,'كشف الحساب'!$N$4:$N$253,0),0)=0,"",INDEX('كشف الحساب'!$C$4:$C$253,IFERROR(MATCH(92,'كشف الحساب'!$N$4:$N$253,0),0))),"")</f>
        <v/>
      </c>
      <c r="D96" s="72" t="str">
        <f>IFERROR(IF(IFERROR(MATCH(92,'كشف الحساب'!$N$4:$N$253,0),0)=0,"",INDEX('كشف الحساب'!$D$4:$D$253,IFERROR(MATCH(92,'كشف الحساب'!$N$4:$N$253,0),0))),"")</f>
        <v/>
      </c>
      <c r="E96" s="73" t="str">
        <f>IFERROR(IF(IFERROR(MATCH(92,'كشف الحساب'!$N$4:$N$253,0),0)=0,"",INDEX('كشف الحساب'!$E$4:$E$253,IFERROR(MATCH(92,'كشف الحساب'!$N$4:$N$253,0),0))),"")</f>
        <v/>
      </c>
      <c r="F96" s="70" t="str">
        <f>IFERROR(IF(IFERROR(MATCH(92,'كشف الحساب'!$N$4:$N$253,0),0)=0,"",INDEX('كشف الحساب'!$F$4:$F$253,IFERROR(MATCH(92,'كشف الحساب'!$N$4:$N$253,0),0))),"")</f>
        <v/>
      </c>
      <c r="G96" s="70" t="str">
        <f>IFERROR(IF(IFERROR(MATCH(92,'كشف الحساب'!$N$4:$N$253,0),0)=0,"",INDEX('كشف الحساب'!$G$4:$G$253,IFERROR(MATCH(92,'كشف الحساب'!$N$4:$N$253,0),0))),"")</f>
        <v/>
      </c>
      <c r="H96" s="70" t="str">
        <f>IFERROR(IF(IFERROR(MATCH(92,'كشف الحساب'!$N$4:$N$253,0),0)=0,"",INDEX('كشف الحساب'!$H$4:$H$253,IFERROR(MATCH(92,'كشف الحساب'!$N$4:$N$253,0),0))),"")</f>
        <v/>
      </c>
      <c r="I96" s="70" t="str">
        <f>IFERROR(IF(IFERROR(MATCH(92,'كشف الحساب'!$N$4:$N$253,0),0)=0,"",INDEX('كشف الحساب'!$I$4:$I$253,IFERROR(MATCH(92,'كشف الحساب'!$N$4:$N$253,0),0))),"")</f>
        <v/>
      </c>
      <c r="J96" s="74" t="str">
        <f>IFERROR(IF(IFERROR(MATCH(92,'كشف الحساب'!$N$4:$N$253,0),0)=0,"",INDEX('كشف الحساب'!$J$4:$J$253,IFERROR(MATCH(92,'كشف الحساب'!$N$4:$N$253,0),0))),"")</f>
        <v/>
      </c>
      <c r="K96" s="70" t="str">
        <f>IFERROR(IF(IFERROR(MATCH(92,'كشف الحساب'!$N$4:$N$253,0),0)=0,"",INDEX('كشف الحساب'!$K$4:$K$253,IFERROR(MATCH(92,'كشف الحساب'!$N$4:$N$253,0),0))),"")</f>
        <v/>
      </c>
    </row>
    <row r="97" spans="1:11" ht="15" customHeight="1" x14ac:dyDescent="0.25">
      <c r="A97" s="63" t="str">
        <f>IFERROR(IF(IFERROR(MATCH(93,'كشف الحساب'!$N$4:$N$253,0),0)=0,"",INDEX('كشف الحساب'!$A$4:$A$253,IFERROR(MATCH(93,'كشف الحساب'!$N$4:$N$253,0),0))),"")</f>
        <v/>
      </c>
      <c r="B97" s="64" t="str">
        <f>IFERROR(IF(IFERROR(MATCH(93,'كشف الحساب'!$N$4:$N$253,0),0)=0,"",INDEX('كشف الحساب'!$B$4:$B$253,IFERROR(MATCH(93,'كشف الحساب'!$N$4:$N$253,0),0))),"")</f>
        <v/>
      </c>
      <c r="C97" s="65" t="str">
        <f>IFERROR(IF(IFERROR(MATCH(93,'كشف الحساب'!$N$4:$N$253,0),0)=0,"",INDEX('كشف الحساب'!$C$4:$C$253,IFERROR(MATCH(93,'كشف الحساب'!$N$4:$N$253,0),0))),"")</f>
        <v/>
      </c>
      <c r="D97" s="66" t="str">
        <f>IFERROR(IF(IFERROR(MATCH(93,'كشف الحساب'!$N$4:$N$253,0),0)=0,"",INDEX('كشف الحساب'!$D$4:$D$253,IFERROR(MATCH(93,'كشف الحساب'!$N$4:$N$253,0),0))),"")</f>
        <v/>
      </c>
      <c r="E97" s="67" t="str">
        <f>IFERROR(IF(IFERROR(MATCH(93,'كشف الحساب'!$N$4:$N$253,0),0)=0,"",INDEX('كشف الحساب'!$E$4:$E$253,IFERROR(MATCH(93,'كشف الحساب'!$N$4:$N$253,0),0))),"")</f>
        <v/>
      </c>
      <c r="F97" s="64" t="str">
        <f>IFERROR(IF(IFERROR(MATCH(93,'كشف الحساب'!$N$4:$N$253,0),0)=0,"",INDEX('كشف الحساب'!$F$4:$F$253,IFERROR(MATCH(93,'كشف الحساب'!$N$4:$N$253,0),0))),"")</f>
        <v/>
      </c>
      <c r="G97" s="64" t="str">
        <f>IFERROR(IF(IFERROR(MATCH(93,'كشف الحساب'!$N$4:$N$253,0),0)=0,"",INDEX('كشف الحساب'!$G$4:$G$253,IFERROR(MATCH(93,'كشف الحساب'!$N$4:$N$253,0),0))),"")</f>
        <v/>
      </c>
      <c r="H97" s="64" t="str">
        <f>IFERROR(IF(IFERROR(MATCH(93,'كشف الحساب'!$N$4:$N$253,0),0)=0,"",INDEX('كشف الحساب'!$H$4:$H$253,IFERROR(MATCH(93,'كشف الحساب'!$N$4:$N$253,0),0))),"")</f>
        <v/>
      </c>
      <c r="I97" s="64" t="str">
        <f>IFERROR(IF(IFERROR(MATCH(93,'كشف الحساب'!$N$4:$N$253,0),0)=0,"",INDEX('كشف الحساب'!$I$4:$I$253,IFERROR(MATCH(93,'كشف الحساب'!$N$4:$N$253,0),0))),"")</f>
        <v/>
      </c>
      <c r="J97" s="68" t="str">
        <f>IFERROR(IF(IFERROR(MATCH(93,'كشف الحساب'!$N$4:$N$253,0),0)=0,"",INDEX('كشف الحساب'!$J$4:$J$253,IFERROR(MATCH(93,'كشف الحساب'!$N$4:$N$253,0),0))),"")</f>
        <v/>
      </c>
      <c r="K97" s="64" t="str">
        <f>IFERROR(IF(IFERROR(MATCH(93,'كشف الحساب'!$N$4:$N$253,0),0)=0,"",INDEX('كشف الحساب'!$K$4:$K$253,IFERROR(MATCH(93,'كشف الحساب'!$N$4:$N$253,0),0))),"")</f>
        <v/>
      </c>
    </row>
    <row r="98" spans="1:11" ht="15" customHeight="1" x14ac:dyDescent="0.25">
      <c r="A98" s="69" t="str">
        <f>IFERROR(IF(IFERROR(MATCH(94,'كشف الحساب'!$N$4:$N$253,0),0)=0,"",INDEX('كشف الحساب'!$A$4:$A$253,IFERROR(MATCH(94,'كشف الحساب'!$N$4:$N$253,0),0))),"")</f>
        <v/>
      </c>
      <c r="B98" s="70" t="str">
        <f>IFERROR(IF(IFERROR(MATCH(94,'كشف الحساب'!$N$4:$N$253,0),0)=0,"",INDEX('كشف الحساب'!$B$4:$B$253,IFERROR(MATCH(94,'كشف الحساب'!$N$4:$N$253,0),0))),"")</f>
        <v/>
      </c>
      <c r="C98" s="71" t="str">
        <f>IFERROR(IF(IFERROR(MATCH(94,'كشف الحساب'!$N$4:$N$253,0),0)=0,"",INDEX('كشف الحساب'!$C$4:$C$253,IFERROR(MATCH(94,'كشف الحساب'!$N$4:$N$253,0),0))),"")</f>
        <v/>
      </c>
      <c r="D98" s="72" t="str">
        <f>IFERROR(IF(IFERROR(MATCH(94,'كشف الحساب'!$N$4:$N$253,0),0)=0,"",INDEX('كشف الحساب'!$D$4:$D$253,IFERROR(MATCH(94,'كشف الحساب'!$N$4:$N$253,0),0))),"")</f>
        <v/>
      </c>
      <c r="E98" s="73" t="str">
        <f>IFERROR(IF(IFERROR(MATCH(94,'كشف الحساب'!$N$4:$N$253,0),0)=0,"",INDEX('كشف الحساب'!$E$4:$E$253,IFERROR(MATCH(94,'كشف الحساب'!$N$4:$N$253,0),0))),"")</f>
        <v/>
      </c>
      <c r="F98" s="70" t="str">
        <f>IFERROR(IF(IFERROR(MATCH(94,'كشف الحساب'!$N$4:$N$253,0),0)=0,"",INDEX('كشف الحساب'!$F$4:$F$253,IFERROR(MATCH(94,'كشف الحساب'!$N$4:$N$253,0),0))),"")</f>
        <v/>
      </c>
      <c r="G98" s="70" t="str">
        <f>IFERROR(IF(IFERROR(MATCH(94,'كشف الحساب'!$N$4:$N$253,0),0)=0,"",INDEX('كشف الحساب'!$G$4:$G$253,IFERROR(MATCH(94,'كشف الحساب'!$N$4:$N$253,0),0))),"")</f>
        <v/>
      </c>
      <c r="H98" s="70" t="str">
        <f>IFERROR(IF(IFERROR(MATCH(94,'كشف الحساب'!$N$4:$N$253,0),0)=0,"",INDEX('كشف الحساب'!$H$4:$H$253,IFERROR(MATCH(94,'كشف الحساب'!$N$4:$N$253,0),0))),"")</f>
        <v/>
      </c>
      <c r="I98" s="70" t="str">
        <f>IFERROR(IF(IFERROR(MATCH(94,'كشف الحساب'!$N$4:$N$253,0),0)=0,"",INDEX('كشف الحساب'!$I$4:$I$253,IFERROR(MATCH(94,'كشف الحساب'!$N$4:$N$253,0),0))),"")</f>
        <v/>
      </c>
      <c r="J98" s="74" t="str">
        <f>IFERROR(IF(IFERROR(MATCH(94,'كشف الحساب'!$N$4:$N$253,0),0)=0,"",INDEX('كشف الحساب'!$J$4:$J$253,IFERROR(MATCH(94,'كشف الحساب'!$N$4:$N$253,0),0))),"")</f>
        <v/>
      </c>
      <c r="K98" s="70" t="str">
        <f>IFERROR(IF(IFERROR(MATCH(94,'كشف الحساب'!$N$4:$N$253,0),0)=0,"",INDEX('كشف الحساب'!$K$4:$K$253,IFERROR(MATCH(94,'كشف الحساب'!$N$4:$N$253,0),0))),"")</f>
        <v/>
      </c>
    </row>
    <row r="99" spans="1:11" ht="15" customHeight="1" x14ac:dyDescent="0.25">
      <c r="A99" s="63" t="str">
        <f>IFERROR(IF(IFERROR(MATCH(95,'كشف الحساب'!$N$4:$N$253,0),0)=0,"",INDEX('كشف الحساب'!$A$4:$A$253,IFERROR(MATCH(95,'كشف الحساب'!$N$4:$N$253,0),0))),"")</f>
        <v/>
      </c>
      <c r="B99" s="64" t="str">
        <f>IFERROR(IF(IFERROR(MATCH(95,'كشف الحساب'!$N$4:$N$253,0),0)=0,"",INDEX('كشف الحساب'!$B$4:$B$253,IFERROR(MATCH(95,'كشف الحساب'!$N$4:$N$253,0),0))),"")</f>
        <v/>
      </c>
      <c r="C99" s="65" t="str">
        <f>IFERROR(IF(IFERROR(MATCH(95,'كشف الحساب'!$N$4:$N$253,0),0)=0,"",INDEX('كشف الحساب'!$C$4:$C$253,IFERROR(MATCH(95,'كشف الحساب'!$N$4:$N$253,0),0))),"")</f>
        <v/>
      </c>
      <c r="D99" s="66" t="str">
        <f>IFERROR(IF(IFERROR(MATCH(95,'كشف الحساب'!$N$4:$N$253,0),0)=0,"",INDEX('كشف الحساب'!$D$4:$D$253,IFERROR(MATCH(95,'كشف الحساب'!$N$4:$N$253,0),0))),"")</f>
        <v/>
      </c>
      <c r="E99" s="67" t="str">
        <f>IFERROR(IF(IFERROR(MATCH(95,'كشف الحساب'!$N$4:$N$253,0),0)=0,"",INDEX('كشف الحساب'!$E$4:$E$253,IFERROR(MATCH(95,'كشف الحساب'!$N$4:$N$253,0),0))),"")</f>
        <v/>
      </c>
      <c r="F99" s="64" t="str">
        <f>IFERROR(IF(IFERROR(MATCH(95,'كشف الحساب'!$N$4:$N$253,0),0)=0,"",INDEX('كشف الحساب'!$F$4:$F$253,IFERROR(MATCH(95,'كشف الحساب'!$N$4:$N$253,0),0))),"")</f>
        <v/>
      </c>
      <c r="G99" s="64" t="str">
        <f>IFERROR(IF(IFERROR(MATCH(95,'كشف الحساب'!$N$4:$N$253,0),0)=0,"",INDEX('كشف الحساب'!$G$4:$G$253,IFERROR(MATCH(95,'كشف الحساب'!$N$4:$N$253,0),0))),"")</f>
        <v/>
      </c>
      <c r="H99" s="64" t="str">
        <f>IFERROR(IF(IFERROR(MATCH(95,'كشف الحساب'!$N$4:$N$253,0),0)=0,"",INDEX('كشف الحساب'!$H$4:$H$253,IFERROR(MATCH(95,'كشف الحساب'!$N$4:$N$253,0),0))),"")</f>
        <v/>
      </c>
      <c r="I99" s="64" t="str">
        <f>IFERROR(IF(IFERROR(MATCH(95,'كشف الحساب'!$N$4:$N$253,0),0)=0,"",INDEX('كشف الحساب'!$I$4:$I$253,IFERROR(MATCH(95,'كشف الحساب'!$N$4:$N$253,0),0))),"")</f>
        <v/>
      </c>
      <c r="J99" s="68" t="str">
        <f>IFERROR(IF(IFERROR(MATCH(95,'كشف الحساب'!$N$4:$N$253,0),0)=0,"",INDEX('كشف الحساب'!$J$4:$J$253,IFERROR(MATCH(95,'كشف الحساب'!$N$4:$N$253,0),0))),"")</f>
        <v/>
      </c>
      <c r="K99" s="64" t="str">
        <f>IFERROR(IF(IFERROR(MATCH(95,'كشف الحساب'!$N$4:$N$253,0),0)=0,"",INDEX('كشف الحساب'!$K$4:$K$253,IFERROR(MATCH(95,'كشف الحساب'!$N$4:$N$253,0),0))),"")</f>
        <v/>
      </c>
    </row>
    <row r="100" spans="1:11" ht="15" customHeight="1" x14ac:dyDescent="0.25">
      <c r="A100" s="69" t="str">
        <f>IFERROR(IF(IFERROR(MATCH(96,'كشف الحساب'!$N$4:$N$253,0),0)=0,"",INDEX('كشف الحساب'!$A$4:$A$253,IFERROR(MATCH(96,'كشف الحساب'!$N$4:$N$253,0),0))),"")</f>
        <v/>
      </c>
      <c r="B100" s="70" t="str">
        <f>IFERROR(IF(IFERROR(MATCH(96,'كشف الحساب'!$N$4:$N$253,0),0)=0,"",INDEX('كشف الحساب'!$B$4:$B$253,IFERROR(MATCH(96,'كشف الحساب'!$N$4:$N$253,0),0))),"")</f>
        <v/>
      </c>
      <c r="C100" s="71" t="str">
        <f>IFERROR(IF(IFERROR(MATCH(96,'كشف الحساب'!$N$4:$N$253,0),0)=0,"",INDEX('كشف الحساب'!$C$4:$C$253,IFERROR(MATCH(96,'كشف الحساب'!$N$4:$N$253,0),0))),"")</f>
        <v/>
      </c>
      <c r="D100" s="72" t="str">
        <f>IFERROR(IF(IFERROR(MATCH(96,'كشف الحساب'!$N$4:$N$253,0),0)=0,"",INDEX('كشف الحساب'!$D$4:$D$253,IFERROR(MATCH(96,'كشف الحساب'!$N$4:$N$253,0),0))),"")</f>
        <v/>
      </c>
      <c r="E100" s="73" t="str">
        <f>IFERROR(IF(IFERROR(MATCH(96,'كشف الحساب'!$N$4:$N$253,0),0)=0,"",INDEX('كشف الحساب'!$E$4:$E$253,IFERROR(MATCH(96,'كشف الحساب'!$N$4:$N$253,0),0))),"")</f>
        <v/>
      </c>
      <c r="F100" s="70" t="str">
        <f>IFERROR(IF(IFERROR(MATCH(96,'كشف الحساب'!$N$4:$N$253,0),0)=0,"",INDEX('كشف الحساب'!$F$4:$F$253,IFERROR(MATCH(96,'كشف الحساب'!$N$4:$N$253,0),0))),"")</f>
        <v/>
      </c>
      <c r="G100" s="70" t="str">
        <f>IFERROR(IF(IFERROR(MATCH(96,'كشف الحساب'!$N$4:$N$253,0),0)=0,"",INDEX('كشف الحساب'!$G$4:$G$253,IFERROR(MATCH(96,'كشف الحساب'!$N$4:$N$253,0),0))),"")</f>
        <v/>
      </c>
      <c r="H100" s="70" t="str">
        <f>IFERROR(IF(IFERROR(MATCH(96,'كشف الحساب'!$N$4:$N$253,0),0)=0,"",INDEX('كشف الحساب'!$H$4:$H$253,IFERROR(MATCH(96,'كشف الحساب'!$N$4:$N$253,0),0))),"")</f>
        <v/>
      </c>
      <c r="I100" s="70" t="str">
        <f>IFERROR(IF(IFERROR(MATCH(96,'كشف الحساب'!$N$4:$N$253,0),0)=0,"",INDEX('كشف الحساب'!$I$4:$I$253,IFERROR(MATCH(96,'كشف الحساب'!$N$4:$N$253,0),0))),"")</f>
        <v/>
      </c>
      <c r="J100" s="74" t="str">
        <f>IFERROR(IF(IFERROR(MATCH(96,'كشف الحساب'!$N$4:$N$253,0),0)=0,"",INDEX('كشف الحساب'!$J$4:$J$253,IFERROR(MATCH(96,'كشف الحساب'!$N$4:$N$253,0),0))),"")</f>
        <v/>
      </c>
      <c r="K100" s="70" t="str">
        <f>IFERROR(IF(IFERROR(MATCH(96,'كشف الحساب'!$N$4:$N$253,0),0)=0,"",INDEX('كشف الحساب'!$K$4:$K$253,IFERROR(MATCH(96,'كشف الحساب'!$N$4:$N$253,0),0))),"")</f>
        <v/>
      </c>
    </row>
    <row r="101" spans="1:11" ht="15" customHeight="1" x14ac:dyDescent="0.25">
      <c r="A101" s="63" t="str">
        <f>IFERROR(IF(IFERROR(MATCH(97,'كشف الحساب'!$N$4:$N$253,0),0)=0,"",INDEX('كشف الحساب'!$A$4:$A$253,IFERROR(MATCH(97,'كشف الحساب'!$N$4:$N$253,0),0))),"")</f>
        <v/>
      </c>
      <c r="B101" s="64" t="str">
        <f>IFERROR(IF(IFERROR(MATCH(97,'كشف الحساب'!$N$4:$N$253,0),0)=0,"",INDEX('كشف الحساب'!$B$4:$B$253,IFERROR(MATCH(97,'كشف الحساب'!$N$4:$N$253,0),0))),"")</f>
        <v/>
      </c>
      <c r="C101" s="65" t="str">
        <f>IFERROR(IF(IFERROR(MATCH(97,'كشف الحساب'!$N$4:$N$253,0),0)=0,"",INDEX('كشف الحساب'!$C$4:$C$253,IFERROR(MATCH(97,'كشف الحساب'!$N$4:$N$253,0),0))),"")</f>
        <v/>
      </c>
      <c r="D101" s="66" t="str">
        <f>IFERROR(IF(IFERROR(MATCH(97,'كشف الحساب'!$N$4:$N$253,0),0)=0,"",INDEX('كشف الحساب'!$D$4:$D$253,IFERROR(MATCH(97,'كشف الحساب'!$N$4:$N$253,0),0))),"")</f>
        <v/>
      </c>
      <c r="E101" s="67" t="str">
        <f>IFERROR(IF(IFERROR(MATCH(97,'كشف الحساب'!$N$4:$N$253,0),0)=0,"",INDEX('كشف الحساب'!$E$4:$E$253,IFERROR(MATCH(97,'كشف الحساب'!$N$4:$N$253,0),0))),"")</f>
        <v/>
      </c>
      <c r="F101" s="64" t="str">
        <f>IFERROR(IF(IFERROR(MATCH(97,'كشف الحساب'!$N$4:$N$253,0),0)=0,"",INDEX('كشف الحساب'!$F$4:$F$253,IFERROR(MATCH(97,'كشف الحساب'!$N$4:$N$253,0),0))),"")</f>
        <v/>
      </c>
      <c r="G101" s="64" t="str">
        <f>IFERROR(IF(IFERROR(MATCH(97,'كشف الحساب'!$N$4:$N$253,0),0)=0,"",INDEX('كشف الحساب'!$G$4:$G$253,IFERROR(MATCH(97,'كشف الحساب'!$N$4:$N$253,0),0))),"")</f>
        <v/>
      </c>
      <c r="H101" s="64" t="str">
        <f>IFERROR(IF(IFERROR(MATCH(97,'كشف الحساب'!$N$4:$N$253,0),0)=0,"",INDEX('كشف الحساب'!$H$4:$H$253,IFERROR(MATCH(97,'كشف الحساب'!$N$4:$N$253,0),0))),"")</f>
        <v/>
      </c>
      <c r="I101" s="64" t="str">
        <f>IFERROR(IF(IFERROR(MATCH(97,'كشف الحساب'!$N$4:$N$253,0),0)=0,"",INDEX('كشف الحساب'!$I$4:$I$253,IFERROR(MATCH(97,'كشف الحساب'!$N$4:$N$253,0),0))),"")</f>
        <v/>
      </c>
      <c r="J101" s="68" t="str">
        <f>IFERROR(IF(IFERROR(MATCH(97,'كشف الحساب'!$N$4:$N$253,0),0)=0,"",INDEX('كشف الحساب'!$J$4:$J$253,IFERROR(MATCH(97,'كشف الحساب'!$N$4:$N$253,0),0))),"")</f>
        <v/>
      </c>
      <c r="K101" s="64" t="str">
        <f>IFERROR(IF(IFERROR(MATCH(97,'كشف الحساب'!$N$4:$N$253,0),0)=0,"",INDEX('كشف الحساب'!$K$4:$K$253,IFERROR(MATCH(97,'كشف الحساب'!$N$4:$N$253,0),0))),"")</f>
        <v/>
      </c>
    </row>
    <row r="102" spans="1:11" ht="15" customHeight="1" x14ac:dyDescent="0.25">
      <c r="A102" s="69" t="str">
        <f>IFERROR(IF(IFERROR(MATCH(98,'كشف الحساب'!$N$4:$N$253,0),0)=0,"",INDEX('كشف الحساب'!$A$4:$A$253,IFERROR(MATCH(98,'كشف الحساب'!$N$4:$N$253,0),0))),"")</f>
        <v/>
      </c>
      <c r="B102" s="70" t="str">
        <f>IFERROR(IF(IFERROR(MATCH(98,'كشف الحساب'!$N$4:$N$253,0),0)=0,"",INDEX('كشف الحساب'!$B$4:$B$253,IFERROR(MATCH(98,'كشف الحساب'!$N$4:$N$253,0),0))),"")</f>
        <v/>
      </c>
      <c r="C102" s="71" t="str">
        <f>IFERROR(IF(IFERROR(MATCH(98,'كشف الحساب'!$N$4:$N$253,0),0)=0,"",INDEX('كشف الحساب'!$C$4:$C$253,IFERROR(MATCH(98,'كشف الحساب'!$N$4:$N$253,0),0))),"")</f>
        <v/>
      </c>
      <c r="D102" s="72" t="str">
        <f>IFERROR(IF(IFERROR(MATCH(98,'كشف الحساب'!$N$4:$N$253,0),0)=0,"",INDEX('كشف الحساب'!$D$4:$D$253,IFERROR(MATCH(98,'كشف الحساب'!$N$4:$N$253,0),0))),"")</f>
        <v/>
      </c>
      <c r="E102" s="73" t="str">
        <f>IFERROR(IF(IFERROR(MATCH(98,'كشف الحساب'!$N$4:$N$253,0),0)=0,"",INDEX('كشف الحساب'!$E$4:$E$253,IFERROR(MATCH(98,'كشف الحساب'!$N$4:$N$253,0),0))),"")</f>
        <v/>
      </c>
      <c r="F102" s="70" t="str">
        <f>IFERROR(IF(IFERROR(MATCH(98,'كشف الحساب'!$N$4:$N$253,0),0)=0,"",INDEX('كشف الحساب'!$F$4:$F$253,IFERROR(MATCH(98,'كشف الحساب'!$N$4:$N$253,0),0))),"")</f>
        <v/>
      </c>
      <c r="G102" s="70" t="str">
        <f>IFERROR(IF(IFERROR(MATCH(98,'كشف الحساب'!$N$4:$N$253,0),0)=0,"",INDEX('كشف الحساب'!$G$4:$G$253,IFERROR(MATCH(98,'كشف الحساب'!$N$4:$N$253,0),0))),"")</f>
        <v/>
      </c>
      <c r="H102" s="70" t="str">
        <f>IFERROR(IF(IFERROR(MATCH(98,'كشف الحساب'!$N$4:$N$253,0),0)=0,"",INDEX('كشف الحساب'!$H$4:$H$253,IFERROR(MATCH(98,'كشف الحساب'!$N$4:$N$253,0),0))),"")</f>
        <v/>
      </c>
      <c r="I102" s="70" t="str">
        <f>IFERROR(IF(IFERROR(MATCH(98,'كشف الحساب'!$N$4:$N$253,0),0)=0,"",INDEX('كشف الحساب'!$I$4:$I$253,IFERROR(MATCH(98,'كشف الحساب'!$N$4:$N$253,0),0))),"")</f>
        <v/>
      </c>
      <c r="J102" s="74" t="str">
        <f>IFERROR(IF(IFERROR(MATCH(98,'كشف الحساب'!$N$4:$N$253,0),0)=0,"",INDEX('كشف الحساب'!$J$4:$J$253,IFERROR(MATCH(98,'كشف الحساب'!$N$4:$N$253,0),0))),"")</f>
        <v/>
      </c>
      <c r="K102" s="70" t="str">
        <f>IFERROR(IF(IFERROR(MATCH(98,'كشف الحساب'!$N$4:$N$253,0),0)=0,"",INDEX('كشف الحساب'!$K$4:$K$253,IFERROR(MATCH(98,'كشف الحساب'!$N$4:$N$253,0),0))),"")</f>
        <v/>
      </c>
    </row>
    <row r="103" spans="1:11" ht="15" customHeight="1" x14ac:dyDescent="0.25">
      <c r="A103" s="63" t="str">
        <f>IFERROR(IF(IFERROR(MATCH(99,'كشف الحساب'!$N$4:$N$253,0),0)=0,"",INDEX('كشف الحساب'!$A$4:$A$253,IFERROR(MATCH(99,'كشف الحساب'!$N$4:$N$253,0),0))),"")</f>
        <v/>
      </c>
      <c r="B103" s="64" t="str">
        <f>IFERROR(IF(IFERROR(MATCH(99,'كشف الحساب'!$N$4:$N$253,0),0)=0,"",INDEX('كشف الحساب'!$B$4:$B$253,IFERROR(MATCH(99,'كشف الحساب'!$N$4:$N$253,0),0))),"")</f>
        <v/>
      </c>
      <c r="C103" s="65" t="str">
        <f>IFERROR(IF(IFERROR(MATCH(99,'كشف الحساب'!$N$4:$N$253,0),0)=0,"",INDEX('كشف الحساب'!$C$4:$C$253,IFERROR(MATCH(99,'كشف الحساب'!$N$4:$N$253,0),0))),"")</f>
        <v/>
      </c>
      <c r="D103" s="66" t="str">
        <f>IFERROR(IF(IFERROR(MATCH(99,'كشف الحساب'!$N$4:$N$253,0),0)=0,"",INDEX('كشف الحساب'!$D$4:$D$253,IFERROR(MATCH(99,'كشف الحساب'!$N$4:$N$253,0),0))),"")</f>
        <v/>
      </c>
      <c r="E103" s="67" t="str">
        <f>IFERROR(IF(IFERROR(MATCH(99,'كشف الحساب'!$N$4:$N$253,0),0)=0,"",INDEX('كشف الحساب'!$E$4:$E$253,IFERROR(MATCH(99,'كشف الحساب'!$N$4:$N$253,0),0))),"")</f>
        <v/>
      </c>
      <c r="F103" s="64" t="str">
        <f>IFERROR(IF(IFERROR(MATCH(99,'كشف الحساب'!$N$4:$N$253,0),0)=0,"",INDEX('كشف الحساب'!$F$4:$F$253,IFERROR(MATCH(99,'كشف الحساب'!$N$4:$N$253,0),0))),"")</f>
        <v/>
      </c>
      <c r="G103" s="64" t="str">
        <f>IFERROR(IF(IFERROR(MATCH(99,'كشف الحساب'!$N$4:$N$253,0),0)=0,"",INDEX('كشف الحساب'!$G$4:$G$253,IFERROR(MATCH(99,'كشف الحساب'!$N$4:$N$253,0),0))),"")</f>
        <v/>
      </c>
      <c r="H103" s="64" t="str">
        <f>IFERROR(IF(IFERROR(MATCH(99,'كشف الحساب'!$N$4:$N$253,0),0)=0,"",INDEX('كشف الحساب'!$H$4:$H$253,IFERROR(MATCH(99,'كشف الحساب'!$N$4:$N$253,0),0))),"")</f>
        <v/>
      </c>
      <c r="I103" s="64" t="str">
        <f>IFERROR(IF(IFERROR(MATCH(99,'كشف الحساب'!$N$4:$N$253,0),0)=0,"",INDEX('كشف الحساب'!$I$4:$I$253,IFERROR(MATCH(99,'كشف الحساب'!$N$4:$N$253,0),0))),"")</f>
        <v/>
      </c>
      <c r="J103" s="68" t="str">
        <f>IFERROR(IF(IFERROR(MATCH(99,'كشف الحساب'!$N$4:$N$253,0),0)=0,"",INDEX('كشف الحساب'!$J$4:$J$253,IFERROR(MATCH(99,'كشف الحساب'!$N$4:$N$253,0),0))),"")</f>
        <v/>
      </c>
      <c r="K103" s="64" t="str">
        <f>IFERROR(IF(IFERROR(MATCH(99,'كشف الحساب'!$N$4:$N$253,0),0)=0,"",INDEX('كشف الحساب'!$K$4:$K$253,IFERROR(MATCH(99,'كشف الحساب'!$N$4:$N$253,0),0))),"")</f>
        <v/>
      </c>
    </row>
    <row r="104" spans="1:11" ht="15" customHeight="1" x14ac:dyDescent="0.25">
      <c r="A104" s="69" t="str">
        <f>IFERROR(IF(IFERROR(MATCH(100,'كشف الحساب'!$N$4:$N$253,0),0)=0,"",INDEX('كشف الحساب'!$A$4:$A$253,IFERROR(MATCH(100,'كشف الحساب'!$N$4:$N$253,0),0))),"")</f>
        <v/>
      </c>
      <c r="B104" s="70" t="str">
        <f>IFERROR(IF(IFERROR(MATCH(100,'كشف الحساب'!$N$4:$N$253,0),0)=0,"",INDEX('كشف الحساب'!$B$4:$B$253,IFERROR(MATCH(100,'كشف الحساب'!$N$4:$N$253,0),0))),"")</f>
        <v/>
      </c>
      <c r="C104" s="71" t="str">
        <f>IFERROR(IF(IFERROR(MATCH(100,'كشف الحساب'!$N$4:$N$253,0),0)=0,"",INDEX('كشف الحساب'!$C$4:$C$253,IFERROR(MATCH(100,'كشف الحساب'!$N$4:$N$253,0),0))),"")</f>
        <v/>
      </c>
      <c r="D104" s="72" t="str">
        <f>IFERROR(IF(IFERROR(MATCH(100,'كشف الحساب'!$N$4:$N$253,0),0)=0,"",INDEX('كشف الحساب'!$D$4:$D$253,IFERROR(MATCH(100,'كشف الحساب'!$N$4:$N$253,0),0))),"")</f>
        <v/>
      </c>
      <c r="E104" s="73" t="str">
        <f>IFERROR(IF(IFERROR(MATCH(100,'كشف الحساب'!$N$4:$N$253,0),0)=0,"",INDEX('كشف الحساب'!$E$4:$E$253,IFERROR(MATCH(100,'كشف الحساب'!$N$4:$N$253,0),0))),"")</f>
        <v/>
      </c>
      <c r="F104" s="70" t="str">
        <f>IFERROR(IF(IFERROR(MATCH(100,'كشف الحساب'!$N$4:$N$253,0),0)=0,"",INDEX('كشف الحساب'!$F$4:$F$253,IFERROR(MATCH(100,'كشف الحساب'!$N$4:$N$253,0),0))),"")</f>
        <v/>
      </c>
      <c r="G104" s="70" t="str">
        <f>IFERROR(IF(IFERROR(MATCH(100,'كشف الحساب'!$N$4:$N$253,0),0)=0,"",INDEX('كشف الحساب'!$G$4:$G$253,IFERROR(MATCH(100,'كشف الحساب'!$N$4:$N$253,0),0))),"")</f>
        <v/>
      </c>
      <c r="H104" s="70" t="str">
        <f>IFERROR(IF(IFERROR(MATCH(100,'كشف الحساب'!$N$4:$N$253,0),0)=0,"",INDEX('كشف الحساب'!$H$4:$H$253,IFERROR(MATCH(100,'كشف الحساب'!$N$4:$N$253,0),0))),"")</f>
        <v/>
      </c>
      <c r="I104" s="70" t="str">
        <f>IFERROR(IF(IFERROR(MATCH(100,'كشف الحساب'!$N$4:$N$253,0),0)=0,"",INDEX('كشف الحساب'!$I$4:$I$253,IFERROR(MATCH(100,'كشف الحساب'!$N$4:$N$253,0),0))),"")</f>
        <v/>
      </c>
      <c r="J104" s="74" t="str">
        <f>IFERROR(IF(IFERROR(MATCH(100,'كشف الحساب'!$N$4:$N$253,0),0)=0,"",INDEX('كشف الحساب'!$J$4:$J$253,IFERROR(MATCH(100,'كشف الحساب'!$N$4:$N$253,0),0))),"")</f>
        <v/>
      </c>
      <c r="K104" s="70" t="str">
        <f>IFERROR(IF(IFERROR(MATCH(100,'كشف الحساب'!$N$4:$N$253,0),0)=0,"",INDEX('كشف الحساب'!$K$4:$K$253,IFERROR(MATCH(100,'كشف الحساب'!$N$4:$N$253,0),0))),"")</f>
        <v/>
      </c>
    </row>
    <row r="105" spans="1:11" ht="15" customHeight="1" x14ac:dyDescent="0.25">
      <c r="A105" s="63" t="str">
        <f>IFERROR(IF(IFERROR(MATCH(101,'كشف الحساب'!$N$4:$N$253,0),0)=0,"",INDEX('كشف الحساب'!$A$4:$A$253,IFERROR(MATCH(101,'كشف الحساب'!$N$4:$N$253,0),0))),"")</f>
        <v/>
      </c>
      <c r="B105" s="64" t="str">
        <f>IFERROR(IF(IFERROR(MATCH(101,'كشف الحساب'!$N$4:$N$253,0),0)=0,"",INDEX('كشف الحساب'!$B$4:$B$253,IFERROR(MATCH(101,'كشف الحساب'!$N$4:$N$253,0),0))),"")</f>
        <v/>
      </c>
      <c r="C105" s="65" t="str">
        <f>IFERROR(IF(IFERROR(MATCH(101,'كشف الحساب'!$N$4:$N$253,0),0)=0,"",INDEX('كشف الحساب'!$C$4:$C$253,IFERROR(MATCH(101,'كشف الحساب'!$N$4:$N$253,0),0))),"")</f>
        <v/>
      </c>
      <c r="D105" s="66" t="str">
        <f>IFERROR(IF(IFERROR(MATCH(101,'كشف الحساب'!$N$4:$N$253,0),0)=0,"",INDEX('كشف الحساب'!$D$4:$D$253,IFERROR(MATCH(101,'كشف الحساب'!$N$4:$N$253,0),0))),"")</f>
        <v/>
      </c>
      <c r="E105" s="67" t="str">
        <f>IFERROR(IF(IFERROR(MATCH(101,'كشف الحساب'!$N$4:$N$253,0),0)=0,"",INDEX('كشف الحساب'!$E$4:$E$253,IFERROR(MATCH(101,'كشف الحساب'!$N$4:$N$253,0),0))),"")</f>
        <v/>
      </c>
      <c r="F105" s="64" t="str">
        <f>IFERROR(IF(IFERROR(MATCH(101,'كشف الحساب'!$N$4:$N$253,0),0)=0,"",INDEX('كشف الحساب'!$F$4:$F$253,IFERROR(MATCH(101,'كشف الحساب'!$N$4:$N$253,0),0))),"")</f>
        <v/>
      </c>
      <c r="G105" s="64" t="str">
        <f>IFERROR(IF(IFERROR(MATCH(101,'كشف الحساب'!$N$4:$N$253,0),0)=0,"",INDEX('كشف الحساب'!$G$4:$G$253,IFERROR(MATCH(101,'كشف الحساب'!$N$4:$N$253,0),0))),"")</f>
        <v/>
      </c>
      <c r="H105" s="64" t="str">
        <f>IFERROR(IF(IFERROR(MATCH(101,'كشف الحساب'!$N$4:$N$253,0),0)=0,"",INDEX('كشف الحساب'!$H$4:$H$253,IFERROR(MATCH(101,'كشف الحساب'!$N$4:$N$253,0),0))),"")</f>
        <v/>
      </c>
      <c r="I105" s="64" t="str">
        <f>IFERROR(IF(IFERROR(MATCH(101,'كشف الحساب'!$N$4:$N$253,0),0)=0,"",INDEX('كشف الحساب'!$I$4:$I$253,IFERROR(MATCH(101,'كشف الحساب'!$N$4:$N$253,0),0))),"")</f>
        <v/>
      </c>
      <c r="J105" s="68" t="str">
        <f>IFERROR(IF(IFERROR(MATCH(101,'كشف الحساب'!$N$4:$N$253,0),0)=0,"",INDEX('كشف الحساب'!$J$4:$J$253,IFERROR(MATCH(101,'كشف الحساب'!$N$4:$N$253,0),0))),"")</f>
        <v/>
      </c>
      <c r="K105" s="64" t="str">
        <f>IFERROR(IF(IFERROR(MATCH(101,'كشف الحساب'!$N$4:$N$253,0),0)=0,"",INDEX('كشف الحساب'!$K$4:$K$253,IFERROR(MATCH(101,'كشف الحساب'!$N$4:$N$253,0),0))),"")</f>
        <v/>
      </c>
    </row>
    <row r="106" spans="1:11" ht="15" customHeight="1" x14ac:dyDescent="0.25">
      <c r="A106" s="69" t="str">
        <f>IFERROR(IF(IFERROR(MATCH(102,'كشف الحساب'!$N$4:$N$253,0),0)=0,"",INDEX('كشف الحساب'!$A$4:$A$253,IFERROR(MATCH(102,'كشف الحساب'!$N$4:$N$253,0),0))),"")</f>
        <v/>
      </c>
      <c r="B106" s="70" t="str">
        <f>IFERROR(IF(IFERROR(MATCH(102,'كشف الحساب'!$N$4:$N$253,0),0)=0,"",INDEX('كشف الحساب'!$B$4:$B$253,IFERROR(MATCH(102,'كشف الحساب'!$N$4:$N$253,0),0))),"")</f>
        <v/>
      </c>
      <c r="C106" s="71" t="str">
        <f>IFERROR(IF(IFERROR(MATCH(102,'كشف الحساب'!$N$4:$N$253,0),0)=0,"",INDEX('كشف الحساب'!$C$4:$C$253,IFERROR(MATCH(102,'كشف الحساب'!$N$4:$N$253,0),0))),"")</f>
        <v/>
      </c>
      <c r="D106" s="72" t="str">
        <f>IFERROR(IF(IFERROR(MATCH(102,'كشف الحساب'!$N$4:$N$253,0),0)=0,"",INDEX('كشف الحساب'!$D$4:$D$253,IFERROR(MATCH(102,'كشف الحساب'!$N$4:$N$253,0),0))),"")</f>
        <v/>
      </c>
      <c r="E106" s="73" t="str">
        <f>IFERROR(IF(IFERROR(MATCH(102,'كشف الحساب'!$N$4:$N$253,0),0)=0,"",INDEX('كشف الحساب'!$E$4:$E$253,IFERROR(MATCH(102,'كشف الحساب'!$N$4:$N$253,0),0))),"")</f>
        <v/>
      </c>
      <c r="F106" s="70" t="str">
        <f>IFERROR(IF(IFERROR(MATCH(102,'كشف الحساب'!$N$4:$N$253,0),0)=0,"",INDEX('كشف الحساب'!$F$4:$F$253,IFERROR(MATCH(102,'كشف الحساب'!$N$4:$N$253,0),0))),"")</f>
        <v/>
      </c>
      <c r="G106" s="70" t="str">
        <f>IFERROR(IF(IFERROR(MATCH(102,'كشف الحساب'!$N$4:$N$253,0),0)=0,"",INDEX('كشف الحساب'!$G$4:$G$253,IFERROR(MATCH(102,'كشف الحساب'!$N$4:$N$253,0),0))),"")</f>
        <v/>
      </c>
      <c r="H106" s="70" t="str">
        <f>IFERROR(IF(IFERROR(MATCH(102,'كشف الحساب'!$N$4:$N$253,0),0)=0,"",INDEX('كشف الحساب'!$H$4:$H$253,IFERROR(MATCH(102,'كشف الحساب'!$N$4:$N$253,0),0))),"")</f>
        <v/>
      </c>
      <c r="I106" s="70" t="str">
        <f>IFERROR(IF(IFERROR(MATCH(102,'كشف الحساب'!$N$4:$N$253,0),0)=0,"",INDEX('كشف الحساب'!$I$4:$I$253,IFERROR(MATCH(102,'كشف الحساب'!$N$4:$N$253,0),0))),"")</f>
        <v/>
      </c>
      <c r="J106" s="74" t="str">
        <f>IFERROR(IF(IFERROR(MATCH(102,'كشف الحساب'!$N$4:$N$253,0),0)=0,"",INDEX('كشف الحساب'!$J$4:$J$253,IFERROR(MATCH(102,'كشف الحساب'!$N$4:$N$253,0),0))),"")</f>
        <v/>
      </c>
      <c r="K106" s="70" t="str">
        <f>IFERROR(IF(IFERROR(MATCH(102,'كشف الحساب'!$N$4:$N$253,0),0)=0,"",INDEX('كشف الحساب'!$K$4:$K$253,IFERROR(MATCH(102,'كشف الحساب'!$N$4:$N$253,0),0))),"")</f>
        <v/>
      </c>
    </row>
    <row r="107" spans="1:11" ht="15" customHeight="1" x14ac:dyDescent="0.25">
      <c r="A107" s="63" t="str">
        <f>IFERROR(IF(IFERROR(MATCH(103,'كشف الحساب'!$N$4:$N$253,0),0)=0,"",INDEX('كشف الحساب'!$A$4:$A$253,IFERROR(MATCH(103,'كشف الحساب'!$N$4:$N$253,0),0))),"")</f>
        <v/>
      </c>
      <c r="B107" s="64" t="str">
        <f>IFERROR(IF(IFERROR(MATCH(103,'كشف الحساب'!$N$4:$N$253,0),0)=0,"",INDEX('كشف الحساب'!$B$4:$B$253,IFERROR(MATCH(103,'كشف الحساب'!$N$4:$N$253,0),0))),"")</f>
        <v/>
      </c>
      <c r="C107" s="65" t="str">
        <f>IFERROR(IF(IFERROR(MATCH(103,'كشف الحساب'!$N$4:$N$253,0),0)=0,"",INDEX('كشف الحساب'!$C$4:$C$253,IFERROR(MATCH(103,'كشف الحساب'!$N$4:$N$253,0),0))),"")</f>
        <v/>
      </c>
      <c r="D107" s="66" t="str">
        <f>IFERROR(IF(IFERROR(MATCH(103,'كشف الحساب'!$N$4:$N$253,0),0)=0,"",INDEX('كشف الحساب'!$D$4:$D$253,IFERROR(MATCH(103,'كشف الحساب'!$N$4:$N$253,0),0))),"")</f>
        <v/>
      </c>
      <c r="E107" s="67" t="str">
        <f>IFERROR(IF(IFERROR(MATCH(103,'كشف الحساب'!$N$4:$N$253,0),0)=0,"",INDEX('كشف الحساب'!$E$4:$E$253,IFERROR(MATCH(103,'كشف الحساب'!$N$4:$N$253,0),0))),"")</f>
        <v/>
      </c>
      <c r="F107" s="64" t="str">
        <f>IFERROR(IF(IFERROR(MATCH(103,'كشف الحساب'!$N$4:$N$253,0),0)=0,"",INDEX('كشف الحساب'!$F$4:$F$253,IFERROR(MATCH(103,'كشف الحساب'!$N$4:$N$253,0),0))),"")</f>
        <v/>
      </c>
      <c r="G107" s="64" t="str">
        <f>IFERROR(IF(IFERROR(MATCH(103,'كشف الحساب'!$N$4:$N$253,0),0)=0,"",INDEX('كشف الحساب'!$G$4:$G$253,IFERROR(MATCH(103,'كشف الحساب'!$N$4:$N$253,0),0))),"")</f>
        <v/>
      </c>
      <c r="H107" s="64" t="str">
        <f>IFERROR(IF(IFERROR(MATCH(103,'كشف الحساب'!$N$4:$N$253,0),0)=0,"",INDEX('كشف الحساب'!$H$4:$H$253,IFERROR(MATCH(103,'كشف الحساب'!$N$4:$N$253,0),0))),"")</f>
        <v/>
      </c>
      <c r="I107" s="64" t="str">
        <f>IFERROR(IF(IFERROR(MATCH(103,'كشف الحساب'!$N$4:$N$253,0),0)=0,"",INDEX('كشف الحساب'!$I$4:$I$253,IFERROR(MATCH(103,'كشف الحساب'!$N$4:$N$253,0),0))),"")</f>
        <v/>
      </c>
      <c r="J107" s="68" t="str">
        <f>IFERROR(IF(IFERROR(MATCH(103,'كشف الحساب'!$N$4:$N$253,0),0)=0,"",INDEX('كشف الحساب'!$J$4:$J$253,IFERROR(MATCH(103,'كشف الحساب'!$N$4:$N$253,0),0))),"")</f>
        <v/>
      </c>
      <c r="K107" s="64" t="str">
        <f>IFERROR(IF(IFERROR(MATCH(103,'كشف الحساب'!$N$4:$N$253,0),0)=0,"",INDEX('كشف الحساب'!$K$4:$K$253,IFERROR(MATCH(103,'كشف الحساب'!$N$4:$N$253,0),0))),"")</f>
        <v/>
      </c>
    </row>
    <row r="108" spans="1:11" ht="15" customHeight="1" x14ac:dyDescent="0.25">
      <c r="A108" s="69" t="str">
        <f>IFERROR(IF(IFERROR(MATCH(104,'كشف الحساب'!$N$4:$N$253,0),0)=0,"",INDEX('كشف الحساب'!$A$4:$A$253,IFERROR(MATCH(104,'كشف الحساب'!$N$4:$N$253,0),0))),"")</f>
        <v/>
      </c>
      <c r="B108" s="70" t="str">
        <f>IFERROR(IF(IFERROR(MATCH(104,'كشف الحساب'!$N$4:$N$253,0),0)=0,"",INDEX('كشف الحساب'!$B$4:$B$253,IFERROR(MATCH(104,'كشف الحساب'!$N$4:$N$253,0),0))),"")</f>
        <v/>
      </c>
      <c r="C108" s="71" t="str">
        <f>IFERROR(IF(IFERROR(MATCH(104,'كشف الحساب'!$N$4:$N$253,0),0)=0,"",INDEX('كشف الحساب'!$C$4:$C$253,IFERROR(MATCH(104,'كشف الحساب'!$N$4:$N$253,0),0))),"")</f>
        <v/>
      </c>
      <c r="D108" s="72" t="str">
        <f>IFERROR(IF(IFERROR(MATCH(104,'كشف الحساب'!$N$4:$N$253,0),0)=0,"",INDEX('كشف الحساب'!$D$4:$D$253,IFERROR(MATCH(104,'كشف الحساب'!$N$4:$N$253,0),0))),"")</f>
        <v/>
      </c>
      <c r="E108" s="73" t="str">
        <f>IFERROR(IF(IFERROR(MATCH(104,'كشف الحساب'!$N$4:$N$253,0),0)=0,"",INDEX('كشف الحساب'!$E$4:$E$253,IFERROR(MATCH(104,'كشف الحساب'!$N$4:$N$253,0),0))),"")</f>
        <v/>
      </c>
      <c r="F108" s="70" t="str">
        <f>IFERROR(IF(IFERROR(MATCH(104,'كشف الحساب'!$N$4:$N$253,0),0)=0,"",INDEX('كشف الحساب'!$F$4:$F$253,IFERROR(MATCH(104,'كشف الحساب'!$N$4:$N$253,0),0))),"")</f>
        <v/>
      </c>
      <c r="G108" s="70" t="str">
        <f>IFERROR(IF(IFERROR(MATCH(104,'كشف الحساب'!$N$4:$N$253,0),0)=0,"",INDEX('كشف الحساب'!$G$4:$G$253,IFERROR(MATCH(104,'كشف الحساب'!$N$4:$N$253,0),0))),"")</f>
        <v/>
      </c>
      <c r="H108" s="70" t="str">
        <f>IFERROR(IF(IFERROR(MATCH(104,'كشف الحساب'!$N$4:$N$253,0),0)=0,"",INDEX('كشف الحساب'!$H$4:$H$253,IFERROR(MATCH(104,'كشف الحساب'!$N$4:$N$253,0),0))),"")</f>
        <v/>
      </c>
      <c r="I108" s="70" t="str">
        <f>IFERROR(IF(IFERROR(MATCH(104,'كشف الحساب'!$N$4:$N$253,0),0)=0,"",INDEX('كشف الحساب'!$I$4:$I$253,IFERROR(MATCH(104,'كشف الحساب'!$N$4:$N$253,0),0))),"")</f>
        <v/>
      </c>
      <c r="J108" s="74" t="str">
        <f>IFERROR(IF(IFERROR(MATCH(104,'كشف الحساب'!$N$4:$N$253,0),0)=0,"",INDEX('كشف الحساب'!$J$4:$J$253,IFERROR(MATCH(104,'كشف الحساب'!$N$4:$N$253,0),0))),"")</f>
        <v/>
      </c>
      <c r="K108" s="70" t="str">
        <f>IFERROR(IF(IFERROR(MATCH(104,'كشف الحساب'!$N$4:$N$253,0),0)=0,"",INDEX('كشف الحساب'!$K$4:$K$253,IFERROR(MATCH(104,'كشف الحساب'!$N$4:$N$253,0),0))),"")</f>
        <v/>
      </c>
    </row>
    <row r="109" spans="1:11" ht="15" customHeight="1" x14ac:dyDescent="0.25">
      <c r="A109" s="63" t="str">
        <f>IFERROR(IF(IFERROR(MATCH(105,'كشف الحساب'!$N$4:$N$253,0),0)=0,"",INDEX('كشف الحساب'!$A$4:$A$253,IFERROR(MATCH(105,'كشف الحساب'!$N$4:$N$253,0),0))),"")</f>
        <v/>
      </c>
      <c r="B109" s="64" t="str">
        <f>IFERROR(IF(IFERROR(MATCH(105,'كشف الحساب'!$N$4:$N$253,0),0)=0,"",INDEX('كشف الحساب'!$B$4:$B$253,IFERROR(MATCH(105,'كشف الحساب'!$N$4:$N$253,0),0))),"")</f>
        <v/>
      </c>
      <c r="C109" s="65" t="str">
        <f>IFERROR(IF(IFERROR(MATCH(105,'كشف الحساب'!$N$4:$N$253,0),0)=0,"",INDEX('كشف الحساب'!$C$4:$C$253,IFERROR(MATCH(105,'كشف الحساب'!$N$4:$N$253,0),0))),"")</f>
        <v/>
      </c>
      <c r="D109" s="66" t="str">
        <f>IFERROR(IF(IFERROR(MATCH(105,'كشف الحساب'!$N$4:$N$253,0),0)=0,"",INDEX('كشف الحساب'!$D$4:$D$253,IFERROR(MATCH(105,'كشف الحساب'!$N$4:$N$253,0),0))),"")</f>
        <v/>
      </c>
      <c r="E109" s="67" t="str">
        <f>IFERROR(IF(IFERROR(MATCH(105,'كشف الحساب'!$N$4:$N$253,0),0)=0,"",INDEX('كشف الحساب'!$E$4:$E$253,IFERROR(MATCH(105,'كشف الحساب'!$N$4:$N$253,0),0))),"")</f>
        <v/>
      </c>
      <c r="F109" s="64" t="str">
        <f>IFERROR(IF(IFERROR(MATCH(105,'كشف الحساب'!$N$4:$N$253,0),0)=0,"",INDEX('كشف الحساب'!$F$4:$F$253,IFERROR(MATCH(105,'كشف الحساب'!$N$4:$N$253,0),0))),"")</f>
        <v/>
      </c>
      <c r="G109" s="64" t="str">
        <f>IFERROR(IF(IFERROR(MATCH(105,'كشف الحساب'!$N$4:$N$253,0),0)=0,"",INDEX('كشف الحساب'!$G$4:$G$253,IFERROR(MATCH(105,'كشف الحساب'!$N$4:$N$253,0),0))),"")</f>
        <v/>
      </c>
      <c r="H109" s="64" t="str">
        <f>IFERROR(IF(IFERROR(MATCH(105,'كشف الحساب'!$N$4:$N$253,0),0)=0,"",INDEX('كشف الحساب'!$H$4:$H$253,IFERROR(MATCH(105,'كشف الحساب'!$N$4:$N$253,0),0))),"")</f>
        <v/>
      </c>
      <c r="I109" s="64" t="str">
        <f>IFERROR(IF(IFERROR(MATCH(105,'كشف الحساب'!$N$4:$N$253,0),0)=0,"",INDEX('كشف الحساب'!$I$4:$I$253,IFERROR(MATCH(105,'كشف الحساب'!$N$4:$N$253,0),0))),"")</f>
        <v/>
      </c>
      <c r="J109" s="68" t="str">
        <f>IFERROR(IF(IFERROR(MATCH(105,'كشف الحساب'!$N$4:$N$253,0),0)=0,"",INDEX('كشف الحساب'!$J$4:$J$253,IFERROR(MATCH(105,'كشف الحساب'!$N$4:$N$253,0),0))),"")</f>
        <v/>
      </c>
      <c r="K109" s="64" t="str">
        <f>IFERROR(IF(IFERROR(MATCH(105,'كشف الحساب'!$N$4:$N$253,0),0)=0,"",INDEX('كشف الحساب'!$K$4:$K$253,IFERROR(MATCH(105,'كشف الحساب'!$N$4:$N$253,0),0))),"")</f>
        <v/>
      </c>
    </row>
    <row r="110" spans="1:11" ht="15" customHeight="1" x14ac:dyDescent="0.25">
      <c r="A110" s="69" t="str">
        <f>IFERROR(IF(IFERROR(MATCH(106,'كشف الحساب'!$N$4:$N$253,0),0)=0,"",INDEX('كشف الحساب'!$A$4:$A$253,IFERROR(MATCH(106,'كشف الحساب'!$N$4:$N$253,0),0))),"")</f>
        <v/>
      </c>
      <c r="B110" s="70" t="str">
        <f>IFERROR(IF(IFERROR(MATCH(106,'كشف الحساب'!$N$4:$N$253,0),0)=0,"",INDEX('كشف الحساب'!$B$4:$B$253,IFERROR(MATCH(106,'كشف الحساب'!$N$4:$N$253,0),0))),"")</f>
        <v/>
      </c>
      <c r="C110" s="71" t="str">
        <f>IFERROR(IF(IFERROR(MATCH(106,'كشف الحساب'!$N$4:$N$253,0),0)=0,"",INDEX('كشف الحساب'!$C$4:$C$253,IFERROR(MATCH(106,'كشف الحساب'!$N$4:$N$253,0),0))),"")</f>
        <v/>
      </c>
      <c r="D110" s="72" t="str">
        <f>IFERROR(IF(IFERROR(MATCH(106,'كشف الحساب'!$N$4:$N$253,0),0)=0,"",INDEX('كشف الحساب'!$D$4:$D$253,IFERROR(MATCH(106,'كشف الحساب'!$N$4:$N$253,0),0))),"")</f>
        <v/>
      </c>
      <c r="E110" s="73" t="str">
        <f>IFERROR(IF(IFERROR(MATCH(106,'كشف الحساب'!$N$4:$N$253,0),0)=0,"",INDEX('كشف الحساب'!$E$4:$E$253,IFERROR(MATCH(106,'كشف الحساب'!$N$4:$N$253,0),0))),"")</f>
        <v/>
      </c>
      <c r="F110" s="70" t="str">
        <f>IFERROR(IF(IFERROR(MATCH(106,'كشف الحساب'!$N$4:$N$253,0),0)=0,"",INDEX('كشف الحساب'!$F$4:$F$253,IFERROR(MATCH(106,'كشف الحساب'!$N$4:$N$253,0),0))),"")</f>
        <v/>
      </c>
      <c r="G110" s="70" t="str">
        <f>IFERROR(IF(IFERROR(MATCH(106,'كشف الحساب'!$N$4:$N$253,0),0)=0,"",INDEX('كشف الحساب'!$G$4:$G$253,IFERROR(MATCH(106,'كشف الحساب'!$N$4:$N$253,0),0))),"")</f>
        <v/>
      </c>
      <c r="H110" s="70" t="str">
        <f>IFERROR(IF(IFERROR(MATCH(106,'كشف الحساب'!$N$4:$N$253,0),0)=0,"",INDEX('كشف الحساب'!$H$4:$H$253,IFERROR(MATCH(106,'كشف الحساب'!$N$4:$N$253,0),0))),"")</f>
        <v/>
      </c>
      <c r="I110" s="70" t="str">
        <f>IFERROR(IF(IFERROR(MATCH(106,'كشف الحساب'!$N$4:$N$253,0),0)=0,"",INDEX('كشف الحساب'!$I$4:$I$253,IFERROR(MATCH(106,'كشف الحساب'!$N$4:$N$253,0),0))),"")</f>
        <v/>
      </c>
      <c r="J110" s="74" t="str">
        <f>IFERROR(IF(IFERROR(MATCH(106,'كشف الحساب'!$N$4:$N$253,0),0)=0,"",INDEX('كشف الحساب'!$J$4:$J$253,IFERROR(MATCH(106,'كشف الحساب'!$N$4:$N$253,0),0))),"")</f>
        <v/>
      </c>
      <c r="K110" s="70" t="str">
        <f>IFERROR(IF(IFERROR(MATCH(106,'كشف الحساب'!$N$4:$N$253,0),0)=0,"",INDEX('كشف الحساب'!$K$4:$K$253,IFERROR(MATCH(106,'كشف الحساب'!$N$4:$N$253,0),0))),"")</f>
        <v/>
      </c>
    </row>
    <row r="111" spans="1:11" ht="15" customHeight="1" x14ac:dyDescent="0.25">
      <c r="A111" s="63" t="str">
        <f>IFERROR(IF(IFERROR(MATCH(107,'كشف الحساب'!$N$4:$N$253,0),0)=0,"",INDEX('كشف الحساب'!$A$4:$A$253,IFERROR(MATCH(107,'كشف الحساب'!$N$4:$N$253,0),0))),"")</f>
        <v/>
      </c>
      <c r="B111" s="64" t="str">
        <f>IFERROR(IF(IFERROR(MATCH(107,'كشف الحساب'!$N$4:$N$253,0),0)=0,"",INDEX('كشف الحساب'!$B$4:$B$253,IFERROR(MATCH(107,'كشف الحساب'!$N$4:$N$253,0),0))),"")</f>
        <v/>
      </c>
      <c r="C111" s="65" t="str">
        <f>IFERROR(IF(IFERROR(MATCH(107,'كشف الحساب'!$N$4:$N$253,0),0)=0,"",INDEX('كشف الحساب'!$C$4:$C$253,IFERROR(MATCH(107,'كشف الحساب'!$N$4:$N$253,0),0))),"")</f>
        <v/>
      </c>
      <c r="D111" s="66" t="str">
        <f>IFERROR(IF(IFERROR(MATCH(107,'كشف الحساب'!$N$4:$N$253,0),0)=0,"",INDEX('كشف الحساب'!$D$4:$D$253,IFERROR(MATCH(107,'كشف الحساب'!$N$4:$N$253,0),0))),"")</f>
        <v/>
      </c>
      <c r="E111" s="67" t="str">
        <f>IFERROR(IF(IFERROR(MATCH(107,'كشف الحساب'!$N$4:$N$253,0),0)=0,"",INDEX('كشف الحساب'!$E$4:$E$253,IFERROR(MATCH(107,'كشف الحساب'!$N$4:$N$253,0),0))),"")</f>
        <v/>
      </c>
      <c r="F111" s="64" t="str">
        <f>IFERROR(IF(IFERROR(MATCH(107,'كشف الحساب'!$N$4:$N$253,0),0)=0,"",INDEX('كشف الحساب'!$F$4:$F$253,IFERROR(MATCH(107,'كشف الحساب'!$N$4:$N$253,0),0))),"")</f>
        <v/>
      </c>
      <c r="G111" s="64" t="str">
        <f>IFERROR(IF(IFERROR(MATCH(107,'كشف الحساب'!$N$4:$N$253,0),0)=0,"",INDEX('كشف الحساب'!$G$4:$G$253,IFERROR(MATCH(107,'كشف الحساب'!$N$4:$N$253,0),0))),"")</f>
        <v/>
      </c>
      <c r="H111" s="64" t="str">
        <f>IFERROR(IF(IFERROR(MATCH(107,'كشف الحساب'!$N$4:$N$253,0),0)=0,"",INDEX('كشف الحساب'!$H$4:$H$253,IFERROR(MATCH(107,'كشف الحساب'!$N$4:$N$253,0),0))),"")</f>
        <v/>
      </c>
      <c r="I111" s="64" t="str">
        <f>IFERROR(IF(IFERROR(MATCH(107,'كشف الحساب'!$N$4:$N$253,0),0)=0,"",INDEX('كشف الحساب'!$I$4:$I$253,IFERROR(MATCH(107,'كشف الحساب'!$N$4:$N$253,0),0))),"")</f>
        <v/>
      </c>
      <c r="J111" s="68" t="str">
        <f>IFERROR(IF(IFERROR(MATCH(107,'كشف الحساب'!$N$4:$N$253,0),0)=0,"",INDEX('كشف الحساب'!$J$4:$J$253,IFERROR(MATCH(107,'كشف الحساب'!$N$4:$N$253,0),0))),"")</f>
        <v/>
      </c>
      <c r="K111" s="64" t="str">
        <f>IFERROR(IF(IFERROR(MATCH(107,'كشف الحساب'!$N$4:$N$253,0),0)=0,"",INDEX('كشف الحساب'!$K$4:$K$253,IFERROR(MATCH(107,'كشف الحساب'!$N$4:$N$253,0),0))),"")</f>
        <v/>
      </c>
    </row>
    <row r="112" spans="1:11" ht="15" customHeight="1" x14ac:dyDescent="0.25">
      <c r="A112" s="69" t="str">
        <f>IFERROR(IF(IFERROR(MATCH(108,'كشف الحساب'!$N$4:$N$253,0),0)=0,"",INDEX('كشف الحساب'!$A$4:$A$253,IFERROR(MATCH(108,'كشف الحساب'!$N$4:$N$253,0),0))),"")</f>
        <v/>
      </c>
      <c r="B112" s="70" t="str">
        <f>IFERROR(IF(IFERROR(MATCH(108,'كشف الحساب'!$N$4:$N$253,0),0)=0,"",INDEX('كشف الحساب'!$B$4:$B$253,IFERROR(MATCH(108,'كشف الحساب'!$N$4:$N$253,0),0))),"")</f>
        <v/>
      </c>
      <c r="C112" s="71" t="str">
        <f>IFERROR(IF(IFERROR(MATCH(108,'كشف الحساب'!$N$4:$N$253,0),0)=0,"",INDEX('كشف الحساب'!$C$4:$C$253,IFERROR(MATCH(108,'كشف الحساب'!$N$4:$N$253,0),0))),"")</f>
        <v/>
      </c>
      <c r="D112" s="72" t="str">
        <f>IFERROR(IF(IFERROR(MATCH(108,'كشف الحساب'!$N$4:$N$253,0),0)=0,"",INDEX('كشف الحساب'!$D$4:$D$253,IFERROR(MATCH(108,'كشف الحساب'!$N$4:$N$253,0),0))),"")</f>
        <v/>
      </c>
      <c r="E112" s="73" t="str">
        <f>IFERROR(IF(IFERROR(MATCH(108,'كشف الحساب'!$N$4:$N$253,0),0)=0,"",INDEX('كشف الحساب'!$E$4:$E$253,IFERROR(MATCH(108,'كشف الحساب'!$N$4:$N$253,0),0))),"")</f>
        <v/>
      </c>
      <c r="F112" s="70" t="str">
        <f>IFERROR(IF(IFERROR(MATCH(108,'كشف الحساب'!$N$4:$N$253,0),0)=0,"",INDEX('كشف الحساب'!$F$4:$F$253,IFERROR(MATCH(108,'كشف الحساب'!$N$4:$N$253,0),0))),"")</f>
        <v/>
      </c>
      <c r="G112" s="70" t="str">
        <f>IFERROR(IF(IFERROR(MATCH(108,'كشف الحساب'!$N$4:$N$253,0),0)=0,"",INDEX('كشف الحساب'!$G$4:$G$253,IFERROR(MATCH(108,'كشف الحساب'!$N$4:$N$253,0),0))),"")</f>
        <v/>
      </c>
      <c r="H112" s="70" t="str">
        <f>IFERROR(IF(IFERROR(MATCH(108,'كشف الحساب'!$N$4:$N$253,0),0)=0,"",INDEX('كشف الحساب'!$H$4:$H$253,IFERROR(MATCH(108,'كشف الحساب'!$N$4:$N$253,0),0))),"")</f>
        <v/>
      </c>
      <c r="I112" s="70" t="str">
        <f>IFERROR(IF(IFERROR(MATCH(108,'كشف الحساب'!$N$4:$N$253,0),0)=0,"",INDEX('كشف الحساب'!$I$4:$I$253,IFERROR(MATCH(108,'كشف الحساب'!$N$4:$N$253,0),0))),"")</f>
        <v/>
      </c>
      <c r="J112" s="74" t="str">
        <f>IFERROR(IF(IFERROR(MATCH(108,'كشف الحساب'!$N$4:$N$253,0),0)=0,"",INDEX('كشف الحساب'!$J$4:$J$253,IFERROR(MATCH(108,'كشف الحساب'!$N$4:$N$253,0),0))),"")</f>
        <v/>
      </c>
      <c r="K112" s="70" t="str">
        <f>IFERROR(IF(IFERROR(MATCH(108,'كشف الحساب'!$N$4:$N$253,0),0)=0,"",INDEX('كشف الحساب'!$K$4:$K$253,IFERROR(MATCH(108,'كشف الحساب'!$N$4:$N$253,0),0))),"")</f>
        <v/>
      </c>
    </row>
    <row r="113" spans="1:11" ht="15" customHeight="1" x14ac:dyDescent="0.25">
      <c r="A113" s="63" t="str">
        <f>IFERROR(IF(IFERROR(MATCH(109,'كشف الحساب'!$N$4:$N$253,0),0)=0,"",INDEX('كشف الحساب'!$A$4:$A$253,IFERROR(MATCH(109,'كشف الحساب'!$N$4:$N$253,0),0))),"")</f>
        <v/>
      </c>
      <c r="B113" s="64" t="str">
        <f>IFERROR(IF(IFERROR(MATCH(109,'كشف الحساب'!$N$4:$N$253,0),0)=0,"",INDEX('كشف الحساب'!$B$4:$B$253,IFERROR(MATCH(109,'كشف الحساب'!$N$4:$N$253,0),0))),"")</f>
        <v/>
      </c>
      <c r="C113" s="65" t="str">
        <f>IFERROR(IF(IFERROR(MATCH(109,'كشف الحساب'!$N$4:$N$253,0),0)=0,"",INDEX('كشف الحساب'!$C$4:$C$253,IFERROR(MATCH(109,'كشف الحساب'!$N$4:$N$253,0),0))),"")</f>
        <v/>
      </c>
      <c r="D113" s="66" t="str">
        <f>IFERROR(IF(IFERROR(MATCH(109,'كشف الحساب'!$N$4:$N$253,0),0)=0,"",INDEX('كشف الحساب'!$D$4:$D$253,IFERROR(MATCH(109,'كشف الحساب'!$N$4:$N$253,0),0))),"")</f>
        <v/>
      </c>
      <c r="E113" s="67" t="str">
        <f>IFERROR(IF(IFERROR(MATCH(109,'كشف الحساب'!$N$4:$N$253,0),0)=0,"",INDEX('كشف الحساب'!$E$4:$E$253,IFERROR(MATCH(109,'كشف الحساب'!$N$4:$N$253,0),0))),"")</f>
        <v/>
      </c>
      <c r="F113" s="64" t="str">
        <f>IFERROR(IF(IFERROR(MATCH(109,'كشف الحساب'!$N$4:$N$253,0),0)=0,"",INDEX('كشف الحساب'!$F$4:$F$253,IFERROR(MATCH(109,'كشف الحساب'!$N$4:$N$253,0),0))),"")</f>
        <v/>
      </c>
      <c r="G113" s="64" t="str">
        <f>IFERROR(IF(IFERROR(MATCH(109,'كشف الحساب'!$N$4:$N$253,0),0)=0,"",INDEX('كشف الحساب'!$G$4:$G$253,IFERROR(MATCH(109,'كشف الحساب'!$N$4:$N$253,0),0))),"")</f>
        <v/>
      </c>
      <c r="H113" s="64" t="str">
        <f>IFERROR(IF(IFERROR(MATCH(109,'كشف الحساب'!$N$4:$N$253,0),0)=0,"",INDEX('كشف الحساب'!$H$4:$H$253,IFERROR(MATCH(109,'كشف الحساب'!$N$4:$N$253,0),0))),"")</f>
        <v/>
      </c>
      <c r="I113" s="64" t="str">
        <f>IFERROR(IF(IFERROR(MATCH(109,'كشف الحساب'!$N$4:$N$253,0),0)=0,"",INDEX('كشف الحساب'!$I$4:$I$253,IFERROR(MATCH(109,'كشف الحساب'!$N$4:$N$253,0),0))),"")</f>
        <v/>
      </c>
      <c r="J113" s="68" t="str">
        <f>IFERROR(IF(IFERROR(MATCH(109,'كشف الحساب'!$N$4:$N$253,0),0)=0,"",INDEX('كشف الحساب'!$J$4:$J$253,IFERROR(MATCH(109,'كشف الحساب'!$N$4:$N$253,0),0))),"")</f>
        <v/>
      </c>
      <c r="K113" s="64" t="str">
        <f>IFERROR(IF(IFERROR(MATCH(109,'كشف الحساب'!$N$4:$N$253,0),0)=0,"",INDEX('كشف الحساب'!$K$4:$K$253,IFERROR(MATCH(109,'كشف الحساب'!$N$4:$N$253,0),0))),"")</f>
        <v/>
      </c>
    </row>
    <row r="114" spans="1:11" ht="15" customHeight="1" x14ac:dyDescent="0.25">
      <c r="A114" s="69" t="str">
        <f>IFERROR(IF(IFERROR(MATCH(110,'كشف الحساب'!$N$4:$N$253,0),0)=0,"",INDEX('كشف الحساب'!$A$4:$A$253,IFERROR(MATCH(110,'كشف الحساب'!$N$4:$N$253,0),0))),"")</f>
        <v/>
      </c>
      <c r="B114" s="70" t="str">
        <f>IFERROR(IF(IFERROR(MATCH(110,'كشف الحساب'!$N$4:$N$253,0),0)=0,"",INDEX('كشف الحساب'!$B$4:$B$253,IFERROR(MATCH(110,'كشف الحساب'!$N$4:$N$253,0),0))),"")</f>
        <v/>
      </c>
      <c r="C114" s="71" t="str">
        <f>IFERROR(IF(IFERROR(MATCH(110,'كشف الحساب'!$N$4:$N$253,0),0)=0,"",INDEX('كشف الحساب'!$C$4:$C$253,IFERROR(MATCH(110,'كشف الحساب'!$N$4:$N$253,0),0))),"")</f>
        <v/>
      </c>
      <c r="D114" s="72" t="str">
        <f>IFERROR(IF(IFERROR(MATCH(110,'كشف الحساب'!$N$4:$N$253,0),0)=0,"",INDEX('كشف الحساب'!$D$4:$D$253,IFERROR(MATCH(110,'كشف الحساب'!$N$4:$N$253,0),0))),"")</f>
        <v/>
      </c>
      <c r="E114" s="73" t="str">
        <f>IFERROR(IF(IFERROR(MATCH(110,'كشف الحساب'!$N$4:$N$253,0),0)=0,"",INDEX('كشف الحساب'!$E$4:$E$253,IFERROR(MATCH(110,'كشف الحساب'!$N$4:$N$253,0),0))),"")</f>
        <v/>
      </c>
      <c r="F114" s="70" t="str">
        <f>IFERROR(IF(IFERROR(MATCH(110,'كشف الحساب'!$N$4:$N$253,0),0)=0,"",INDEX('كشف الحساب'!$F$4:$F$253,IFERROR(MATCH(110,'كشف الحساب'!$N$4:$N$253,0),0))),"")</f>
        <v/>
      </c>
      <c r="G114" s="70" t="str">
        <f>IFERROR(IF(IFERROR(MATCH(110,'كشف الحساب'!$N$4:$N$253,0),0)=0,"",INDEX('كشف الحساب'!$G$4:$G$253,IFERROR(MATCH(110,'كشف الحساب'!$N$4:$N$253,0),0))),"")</f>
        <v/>
      </c>
      <c r="H114" s="70" t="str">
        <f>IFERROR(IF(IFERROR(MATCH(110,'كشف الحساب'!$N$4:$N$253,0),0)=0,"",INDEX('كشف الحساب'!$H$4:$H$253,IFERROR(MATCH(110,'كشف الحساب'!$N$4:$N$253,0),0))),"")</f>
        <v/>
      </c>
      <c r="I114" s="70" t="str">
        <f>IFERROR(IF(IFERROR(MATCH(110,'كشف الحساب'!$N$4:$N$253,0),0)=0,"",INDEX('كشف الحساب'!$I$4:$I$253,IFERROR(MATCH(110,'كشف الحساب'!$N$4:$N$253,0),0))),"")</f>
        <v/>
      </c>
      <c r="J114" s="74" t="str">
        <f>IFERROR(IF(IFERROR(MATCH(110,'كشف الحساب'!$N$4:$N$253,0),0)=0,"",INDEX('كشف الحساب'!$J$4:$J$253,IFERROR(MATCH(110,'كشف الحساب'!$N$4:$N$253,0),0))),"")</f>
        <v/>
      </c>
      <c r="K114" s="70" t="str">
        <f>IFERROR(IF(IFERROR(MATCH(110,'كشف الحساب'!$N$4:$N$253,0),0)=0,"",INDEX('كشف الحساب'!$K$4:$K$253,IFERROR(MATCH(110,'كشف الحساب'!$N$4:$N$253,0),0))),"")</f>
        <v/>
      </c>
    </row>
    <row r="115" spans="1:11" ht="15" customHeight="1" x14ac:dyDescent="0.25">
      <c r="A115" s="63" t="str">
        <f>IFERROR(IF(IFERROR(MATCH(111,'كشف الحساب'!$N$4:$N$253,0),0)=0,"",INDEX('كشف الحساب'!$A$4:$A$253,IFERROR(MATCH(111,'كشف الحساب'!$N$4:$N$253,0),0))),"")</f>
        <v/>
      </c>
      <c r="B115" s="64" t="str">
        <f>IFERROR(IF(IFERROR(MATCH(111,'كشف الحساب'!$N$4:$N$253,0),0)=0,"",INDEX('كشف الحساب'!$B$4:$B$253,IFERROR(MATCH(111,'كشف الحساب'!$N$4:$N$253,0),0))),"")</f>
        <v/>
      </c>
      <c r="C115" s="65" t="str">
        <f>IFERROR(IF(IFERROR(MATCH(111,'كشف الحساب'!$N$4:$N$253,0),0)=0,"",INDEX('كشف الحساب'!$C$4:$C$253,IFERROR(MATCH(111,'كشف الحساب'!$N$4:$N$253,0),0))),"")</f>
        <v/>
      </c>
      <c r="D115" s="66" t="str">
        <f>IFERROR(IF(IFERROR(MATCH(111,'كشف الحساب'!$N$4:$N$253,0),0)=0,"",INDEX('كشف الحساب'!$D$4:$D$253,IFERROR(MATCH(111,'كشف الحساب'!$N$4:$N$253,0),0))),"")</f>
        <v/>
      </c>
      <c r="E115" s="67" t="str">
        <f>IFERROR(IF(IFERROR(MATCH(111,'كشف الحساب'!$N$4:$N$253,0),0)=0,"",INDEX('كشف الحساب'!$E$4:$E$253,IFERROR(MATCH(111,'كشف الحساب'!$N$4:$N$253,0),0))),"")</f>
        <v/>
      </c>
      <c r="F115" s="64" t="str">
        <f>IFERROR(IF(IFERROR(MATCH(111,'كشف الحساب'!$N$4:$N$253,0),0)=0,"",INDEX('كشف الحساب'!$F$4:$F$253,IFERROR(MATCH(111,'كشف الحساب'!$N$4:$N$253,0),0))),"")</f>
        <v/>
      </c>
      <c r="G115" s="64" t="str">
        <f>IFERROR(IF(IFERROR(MATCH(111,'كشف الحساب'!$N$4:$N$253,0),0)=0,"",INDEX('كشف الحساب'!$G$4:$G$253,IFERROR(MATCH(111,'كشف الحساب'!$N$4:$N$253,0),0))),"")</f>
        <v/>
      </c>
      <c r="H115" s="64" t="str">
        <f>IFERROR(IF(IFERROR(MATCH(111,'كشف الحساب'!$N$4:$N$253,0),0)=0,"",INDEX('كشف الحساب'!$H$4:$H$253,IFERROR(MATCH(111,'كشف الحساب'!$N$4:$N$253,0),0))),"")</f>
        <v/>
      </c>
      <c r="I115" s="64" t="str">
        <f>IFERROR(IF(IFERROR(MATCH(111,'كشف الحساب'!$N$4:$N$253,0),0)=0,"",INDEX('كشف الحساب'!$I$4:$I$253,IFERROR(MATCH(111,'كشف الحساب'!$N$4:$N$253,0),0))),"")</f>
        <v/>
      </c>
      <c r="J115" s="68" t="str">
        <f>IFERROR(IF(IFERROR(MATCH(111,'كشف الحساب'!$N$4:$N$253,0),0)=0,"",INDEX('كشف الحساب'!$J$4:$J$253,IFERROR(MATCH(111,'كشف الحساب'!$N$4:$N$253,0),0))),"")</f>
        <v/>
      </c>
      <c r="K115" s="64" t="str">
        <f>IFERROR(IF(IFERROR(MATCH(111,'كشف الحساب'!$N$4:$N$253,0),0)=0,"",INDEX('كشف الحساب'!$K$4:$K$253,IFERROR(MATCH(111,'كشف الحساب'!$N$4:$N$253,0),0))),"")</f>
        <v/>
      </c>
    </row>
    <row r="116" spans="1:11" ht="15" customHeight="1" x14ac:dyDescent="0.25">
      <c r="A116" s="69" t="str">
        <f>IFERROR(IF(IFERROR(MATCH(112,'كشف الحساب'!$N$4:$N$253,0),0)=0,"",INDEX('كشف الحساب'!$A$4:$A$253,IFERROR(MATCH(112,'كشف الحساب'!$N$4:$N$253,0),0))),"")</f>
        <v/>
      </c>
      <c r="B116" s="70" t="str">
        <f>IFERROR(IF(IFERROR(MATCH(112,'كشف الحساب'!$N$4:$N$253,0),0)=0,"",INDEX('كشف الحساب'!$B$4:$B$253,IFERROR(MATCH(112,'كشف الحساب'!$N$4:$N$253,0),0))),"")</f>
        <v/>
      </c>
      <c r="C116" s="71" t="str">
        <f>IFERROR(IF(IFERROR(MATCH(112,'كشف الحساب'!$N$4:$N$253,0),0)=0,"",INDEX('كشف الحساب'!$C$4:$C$253,IFERROR(MATCH(112,'كشف الحساب'!$N$4:$N$253,0),0))),"")</f>
        <v/>
      </c>
      <c r="D116" s="72" t="str">
        <f>IFERROR(IF(IFERROR(MATCH(112,'كشف الحساب'!$N$4:$N$253,0),0)=0,"",INDEX('كشف الحساب'!$D$4:$D$253,IFERROR(MATCH(112,'كشف الحساب'!$N$4:$N$253,0),0))),"")</f>
        <v/>
      </c>
      <c r="E116" s="73" t="str">
        <f>IFERROR(IF(IFERROR(MATCH(112,'كشف الحساب'!$N$4:$N$253,0),0)=0,"",INDEX('كشف الحساب'!$E$4:$E$253,IFERROR(MATCH(112,'كشف الحساب'!$N$4:$N$253,0),0))),"")</f>
        <v/>
      </c>
      <c r="F116" s="70" t="str">
        <f>IFERROR(IF(IFERROR(MATCH(112,'كشف الحساب'!$N$4:$N$253,0),0)=0,"",INDEX('كشف الحساب'!$F$4:$F$253,IFERROR(MATCH(112,'كشف الحساب'!$N$4:$N$253,0),0))),"")</f>
        <v/>
      </c>
      <c r="G116" s="70" t="str">
        <f>IFERROR(IF(IFERROR(MATCH(112,'كشف الحساب'!$N$4:$N$253,0),0)=0,"",INDEX('كشف الحساب'!$G$4:$G$253,IFERROR(MATCH(112,'كشف الحساب'!$N$4:$N$253,0),0))),"")</f>
        <v/>
      </c>
      <c r="H116" s="70" t="str">
        <f>IFERROR(IF(IFERROR(MATCH(112,'كشف الحساب'!$N$4:$N$253,0),0)=0,"",INDEX('كشف الحساب'!$H$4:$H$253,IFERROR(MATCH(112,'كشف الحساب'!$N$4:$N$253,0),0))),"")</f>
        <v/>
      </c>
      <c r="I116" s="70" t="str">
        <f>IFERROR(IF(IFERROR(MATCH(112,'كشف الحساب'!$N$4:$N$253,0),0)=0,"",INDEX('كشف الحساب'!$I$4:$I$253,IFERROR(MATCH(112,'كشف الحساب'!$N$4:$N$253,0),0))),"")</f>
        <v/>
      </c>
      <c r="J116" s="74" t="str">
        <f>IFERROR(IF(IFERROR(MATCH(112,'كشف الحساب'!$N$4:$N$253,0),0)=0,"",INDEX('كشف الحساب'!$J$4:$J$253,IFERROR(MATCH(112,'كشف الحساب'!$N$4:$N$253,0),0))),"")</f>
        <v/>
      </c>
      <c r="K116" s="70" t="str">
        <f>IFERROR(IF(IFERROR(MATCH(112,'كشف الحساب'!$N$4:$N$253,0),0)=0,"",INDEX('كشف الحساب'!$K$4:$K$253,IFERROR(MATCH(112,'كشف الحساب'!$N$4:$N$253,0),0))),"")</f>
        <v/>
      </c>
    </row>
    <row r="117" spans="1:11" ht="15" customHeight="1" x14ac:dyDescent="0.25">
      <c r="A117" s="63" t="str">
        <f>IFERROR(IF(IFERROR(MATCH(113,'كشف الحساب'!$N$4:$N$253,0),0)=0,"",INDEX('كشف الحساب'!$A$4:$A$253,IFERROR(MATCH(113,'كشف الحساب'!$N$4:$N$253,0),0))),"")</f>
        <v/>
      </c>
      <c r="B117" s="64" t="str">
        <f>IFERROR(IF(IFERROR(MATCH(113,'كشف الحساب'!$N$4:$N$253,0),0)=0,"",INDEX('كشف الحساب'!$B$4:$B$253,IFERROR(MATCH(113,'كشف الحساب'!$N$4:$N$253,0),0))),"")</f>
        <v/>
      </c>
      <c r="C117" s="65" t="str">
        <f>IFERROR(IF(IFERROR(MATCH(113,'كشف الحساب'!$N$4:$N$253,0),0)=0,"",INDEX('كشف الحساب'!$C$4:$C$253,IFERROR(MATCH(113,'كشف الحساب'!$N$4:$N$253,0),0))),"")</f>
        <v/>
      </c>
      <c r="D117" s="66" t="str">
        <f>IFERROR(IF(IFERROR(MATCH(113,'كشف الحساب'!$N$4:$N$253,0),0)=0,"",INDEX('كشف الحساب'!$D$4:$D$253,IFERROR(MATCH(113,'كشف الحساب'!$N$4:$N$253,0),0))),"")</f>
        <v/>
      </c>
      <c r="E117" s="67" t="str">
        <f>IFERROR(IF(IFERROR(MATCH(113,'كشف الحساب'!$N$4:$N$253,0),0)=0,"",INDEX('كشف الحساب'!$E$4:$E$253,IFERROR(MATCH(113,'كشف الحساب'!$N$4:$N$253,0),0))),"")</f>
        <v/>
      </c>
      <c r="F117" s="64" t="str">
        <f>IFERROR(IF(IFERROR(MATCH(113,'كشف الحساب'!$N$4:$N$253,0),0)=0,"",INDEX('كشف الحساب'!$F$4:$F$253,IFERROR(MATCH(113,'كشف الحساب'!$N$4:$N$253,0),0))),"")</f>
        <v/>
      </c>
      <c r="G117" s="64" t="str">
        <f>IFERROR(IF(IFERROR(MATCH(113,'كشف الحساب'!$N$4:$N$253,0),0)=0,"",INDEX('كشف الحساب'!$G$4:$G$253,IFERROR(MATCH(113,'كشف الحساب'!$N$4:$N$253,0),0))),"")</f>
        <v/>
      </c>
      <c r="H117" s="64" t="str">
        <f>IFERROR(IF(IFERROR(MATCH(113,'كشف الحساب'!$N$4:$N$253,0),0)=0,"",INDEX('كشف الحساب'!$H$4:$H$253,IFERROR(MATCH(113,'كشف الحساب'!$N$4:$N$253,0),0))),"")</f>
        <v/>
      </c>
      <c r="I117" s="64" t="str">
        <f>IFERROR(IF(IFERROR(MATCH(113,'كشف الحساب'!$N$4:$N$253,0),0)=0,"",INDEX('كشف الحساب'!$I$4:$I$253,IFERROR(MATCH(113,'كشف الحساب'!$N$4:$N$253,0),0))),"")</f>
        <v/>
      </c>
      <c r="J117" s="68" t="str">
        <f>IFERROR(IF(IFERROR(MATCH(113,'كشف الحساب'!$N$4:$N$253,0),0)=0,"",INDEX('كشف الحساب'!$J$4:$J$253,IFERROR(MATCH(113,'كشف الحساب'!$N$4:$N$253,0),0))),"")</f>
        <v/>
      </c>
      <c r="K117" s="64" t="str">
        <f>IFERROR(IF(IFERROR(MATCH(113,'كشف الحساب'!$N$4:$N$253,0),0)=0,"",INDEX('كشف الحساب'!$K$4:$K$253,IFERROR(MATCH(113,'كشف الحساب'!$N$4:$N$253,0),0))),"")</f>
        <v/>
      </c>
    </row>
    <row r="118" spans="1:11" ht="15" customHeight="1" x14ac:dyDescent="0.25">
      <c r="A118" s="69" t="str">
        <f>IFERROR(IF(IFERROR(MATCH(114,'كشف الحساب'!$N$4:$N$253,0),0)=0,"",INDEX('كشف الحساب'!$A$4:$A$253,IFERROR(MATCH(114,'كشف الحساب'!$N$4:$N$253,0),0))),"")</f>
        <v/>
      </c>
      <c r="B118" s="70" t="str">
        <f>IFERROR(IF(IFERROR(MATCH(114,'كشف الحساب'!$N$4:$N$253,0),0)=0,"",INDEX('كشف الحساب'!$B$4:$B$253,IFERROR(MATCH(114,'كشف الحساب'!$N$4:$N$253,0),0))),"")</f>
        <v/>
      </c>
      <c r="C118" s="71" t="str">
        <f>IFERROR(IF(IFERROR(MATCH(114,'كشف الحساب'!$N$4:$N$253,0),0)=0,"",INDEX('كشف الحساب'!$C$4:$C$253,IFERROR(MATCH(114,'كشف الحساب'!$N$4:$N$253,0),0))),"")</f>
        <v/>
      </c>
      <c r="D118" s="72" t="str">
        <f>IFERROR(IF(IFERROR(MATCH(114,'كشف الحساب'!$N$4:$N$253,0),0)=0,"",INDEX('كشف الحساب'!$D$4:$D$253,IFERROR(MATCH(114,'كشف الحساب'!$N$4:$N$253,0),0))),"")</f>
        <v/>
      </c>
      <c r="E118" s="73" t="str">
        <f>IFERROR(IF(IFERROR(MATCH(114,'كشف الحساب'!$N$4:$N$253,0),0)=0,"",INDEX('كشف الحساب'!$E$4:$E$253,IFERROR(MATCH(114,'كشف الحساب'!$N$4:$N$253,0),0))),"")</f>
        <v/>
      </c>
      <c r="F118" s="70" t="str">
        <f>IFERROR(IF(IFERROR(MATCH(114,'كشف الحساب'!$N$4:$N$253,0),0)=0,"",INDEX('كشف الحساب'!$F$4:$F$253,IFERROR(MATCH(114,'كشف الحساب'!$N$4:$N$253,0),0))),"")</f>
        <v/>
      </c>
      <c r="G118" s="70" t="str">
        <f>IFERROR(IF(IFERROR(MATCH(114,'كشف الحساب'!$N$4:$N$253,0),0)=0,"",INDEX('كشف الحساب'!$G$4:$G$253,IFERROR(MATCH(114,'كشف الحساب'!$N$4:$N$253,0),0))),"")</f>
        <v/>
      </c>
      <c r="H118" s="70" t="str">
        <f>IFERROR(IF(IFERROR(MATCH(114,'كشف الحساب'!$N$4:$N$253,0),0)=0,"",INDEX('كشف الحساب'!$H$4:$H$253,IFERROR(MATCH(114,'كشف الحساب'!$N$4:$N$253,0),0))),"")</f>
        <v/>
      </c>
      <c r="I118" s="70" t="str">
        <f>IFERROR(IF(IFERROR(MATCH(114,'كشف الحساب'!$N$4:$N$253,0),0)=0,"",INDEX('كشف الحساب'!$I$4:$I$253,IFERROR(MATCH(114,'كشف الحساب'!$N$4:$N$253,0),0))),"")</f>
        <v/>
      </c>
      <c r="J118" s="74" t="str">
        <f>IFERROR(IF(IFERROR(MATCH(114,'كشف الحساب'!$N$4:$N$253,0),0)=0,"",INDEX('كشف الحساب'!$J$4:$J$253,IFERROR(MATCH(114,'كشف الحساب'!$N$4:$N$253,0),0))),"")</f>
        <v/>
      </c>
      <c r="K118" s="70" t="str">
        <f>IFERROR(IF(IFERROR(MATCH(114,'كشف الحساب'!$N$4:$N$253,0),0)=0,"",INDEX('كشف الحساب'!$K$4:$K$253,IFERROR(MATCH(114,'كشف الحساب'!$N$4:$N$253,0),0))),"")</f>
        <v/>
      </c>
    </row>
    <row r="119" spans="1:11" ht="15" customHeight="1" x14ac:dyDescent="0.25">
      <c r="A119" s="63" t="str">
        <f>IFERROR(IF(IFERROR(MATCH(115,'كشف الحساب'!$N$4:$N$253,0),0)=0,"",INDEX('كشف الحساب'!$A$4:$A$253,IFERROR(MATCH(115,'كشف الحساب'!$N$4:$N$253,0),0))),"")</f>
        <v/>
      </c>
      <c r="B119" s="64" t="str">
        <f>IFERROR(IF(IFERROR(MATCH(115,'كشف الحساب'!$N$4:$N$253,0),0)=0,"",INDEX('كشف الحساب'!$B$4:$B$253,IFERROR(MATCH(115,'كشف الحساب'!$N$4:$N$253,0),0))),"")</f>
        <v/>
      </c>
      <c r="C119" s="65" t="str">
        <f>IFERROR(IF(IFERROR(MATCH(115,'كشف الحساب'!$N$4:$N$253,0),0)=0,"",INDEX('كشف الحساب'!$C$4:$C$253,IFERROR(MATCH(115,'كشف الحساب'!$N$4:$N$253,0),0))),"")</f>
        <v/>
      </c>
      <c r="D119" s="66" t="str">
        <f>IFERROR(IF(IFERROR(MATCH(115,'كشف الحساب'!$N$4:$N$253,0),0)=0,"",INDEX('كشف الحساب'!$D$4:$D$253,IFERROR(MATCH(115,'كشف الحساب'!$N$4:$N$253,0),0))),"")</f>
        <v/>
      </c>
      <c r="E119" s="67" t="str">
        <f>IFERROR(IF(IFERROR(MATCH(115,'كشف الحساب'!$N$4:$N$253,0),0)=0,"",INDEX('كشف الحساب'!$E$4:$E$253,IFERROR(MATCH(115,'كشف الحساب'!$N$4:$N$253,0),0))),"")</f>
        <v/>
      </c>
      <c r="F119" s="64" t="str">
        <f>IFERROR(IF(IFERROR(MATCH(115,'كشف الحساب'!$N$4:$N$253,0),0)=0,"",INDEX('كشف الحساب'!$F$4:$F$253,IFERROR(MATCH(115,'كشف الحساب'!$N$4:$N$253,0),0))),"")</f>
        <v/>
      </c>
      <c r="G119" s="64" t="str">
        <f>IFERROR(IF(IFERROR(MATCH(115,'كشف الحساب'!$N$4:$N$253,0),0)=0,"",INDEX('كشف الحساب'!$G$4:$G$253,IFERROR(MATCH(115,'كشف الحساب'!$N$4:$N$253,0),0))),"")</f>
        <v/>
      </c>
      <c r="H119" s="64" t="str">
        <f>IFERROR(IF(IFERROR(MATCH(115,'كشف الحساب'!$N$4:$N$253,0),0)=0,"",INDEX('كشف الحساب'!$H$4:$H$253,IFERROR(MATCH(115,'كشف الحساب'!$N$4:$N$253,0),0))),"")</f>
        <v/>
      </c>
      <c r="I119" s="64" t="str">
        <f>IFERROR(IF(IFERROR(MATCH(115,'كشف الحساب'!$N$4:$N$253,0),0)=0,"",INDEX('كشف الحساب'!$I$4:$I$253,IFERROR(MATCH(115,'كشف الحساب'!$N$4:$N$253,0),0))),"")</f>
        <v/>
      </c>
      <c r="J119" s="68" t="str">
        <f>IFERROR(IF(IFERROR(MATCH(115,'كشف الحساب'!$N$4:$N$253,0),0)=0,"",INDEX('كشف الحساب'!$J$4:$J$253,IFERROR(MATCH(115,'كشف الحساب'!$N$4:$N$253,0),0))),"")</f>
        <v/>
      </c>
      <c r="K119" s="64" t="str">
        <f>IFERROR(IF(IFERROR(MATCH(115,'كشف الحساب'!$N$4:$N$253,0),0)=0,"",INDEX('كشف الحساب'!$K$4:$K$253,IFERROR(MATCH(115,'كشف الحساب'!$N$4:$N$253,0),0))),"")</f>
        <v/>
      </c>
    </row>
    <row r="120" spans="1:11" ht="15" customHeight="1" x14ac:dyDescent="0.25">
      <c r="A120" s="69" t="str">
        <f>IFERROR(IF(IFERROR(MATCH(116,'كشف الحساب'!$N$4:$N$253,0),0)=0,"",INDEX('كشف الحساب'!$A$4:$A$253,IFERROR(MATCH(116,'كشف الحساب'!$N$4:$N$253,0),0))),"")</f>
        <v/>
      </c>
      <c r="B120" s="70" t="str">
        <f>IFERROR(IF(IFERROR(MATCH(116,'كشف الحساب'!$N$4:$N$253,0),0)=0,"",INDEX('كشف الحساب'!$B$4:$B$253,IFERROR(MATCH(116,'كشف الحساب'!$N$4:$N$253,0),0))),"")</f>
        <v/>
      </c>
      <c r="C120" s="71" t="str">
        <f>IFERROR(IF(IFERROR(MATCH(116,'كشف الحساب'!$N$4:$N$253,0),0)=0,"",INDEX('كشف الحساب'!$C$4:$C$253,IFERROR(MATCH(116,'كشف الحساب'!$N$4:$N$253,0),0))),"")</f>
        <v/>
      </c>
      <c r="D120" s="72" t="str">
        <f>IFERROR(IF(IFERROR(MATCH(116,'كشف الحساب'!$N$4:$N$253,0),0)=0,"",INDEX('كشف الحساب'!$D$4:$D$253,IFERROR(MATCH(116,'كشف الحساب'!$N$4:$N$253,0),0))),"")</f>
        <v/>
      </c>
      <c r="E120" s="73" t="str">
        <f>IFERROR(IF(IFERROR(MATCH(116,'كشف الحساب'!$N$4:$N$253,0),0)=0,"",INDEX('كشف الحساب'!$E$4:$E$253,IFERROR(MATCH(116,'كشف الحساب'!$N$4:$N$253,0),0))),"")</f>
        <v/>
      </c>
      <c r="F120" s="70" t="str">
        <f>IFERROR(IF(IFERROR(MATCH(116,'كشف الحساب'!$N$4:$N$253,0),0)=0,"",INDEX('كشف الحساب'!$F$4:$F$253,IFERROR(MATCH(116,'كشف الحساب'!$N$4:$N$253,0),0))),"")</f>
        <v/>
      </c>
      <c r="G120" s="70" t="str">
        <f>IFERROR(IF(IFERROR(MATCH(116,'كشف الحساب'!$N$4:$N$253,0),0)=0,"",INDEX('كشف الحساب'!$G$4:$G$253,IFERROR(MATCH(116,'كشف الحساب'!$N$4:$N$253,0),0))),"")</f>
        <v/>
      </c>
      <c r="H120" s="70" t="str">
        <f>IFERROR(IF(IFERROR(MATCH(116,'كشف الحساب'!$N$4:$N$253,0),0)=0,"",INDEX('كشف الحساب'!$H$4:$H$253,IFERROR(MATCH(116,'كشف الحساب'!$N$4:$N$253,0),0))),"")</f>
        <v/>
      </c>
      <c r="I120" s="70" t="str">
        <f>IFERROR(IF(IFERROR(MATCH(116,'كشف الحساب'!$N$4:$N$253,0),0)=0,"",INDEX('كشف الحساب'!$I$4:$I$253,IFERROR(MATCH(116,'كشف الحساب'!$N$4:$N$253,0),0))),"")</f>
        <v/>
      </c>
      <c r="J120" s="74" t="str">
        <f>IFERROR(IF(IFERROR(MATCH(116,'كشف الحساب'!$N$4:$N$253,0),0)=0,"",INDEX('كشف الحساب'!$J$4:$J$253,IFERROR(MATCH(116,'كشف الحساب'!$N$4:$N$253,0),0))),"")</f>
        <v/>
      </c>
      <c r="K120" s="70" t="str">
        <f>IFERROR(IF(IFERROR(MATCH(116,'كشف الحساب'!$N$4:$N$253,0),0)=0,"",INDEX('كشف الحساب'!$K$4:$K$253,IFERROR(MATCH(116,'كشف الحساب'!$N$4:$N$253,0),0))),"")</f>
        <v/>
      </c>
    </row>
    <row r="121" spans="1:11" ht="15" customHeight="1" x14ac:dyDescent="0.25">
      <c r="A121" s="63" t="str">
        <f>IFERROR(IF(IFERROR(MATCH(117,'كشف الحساب'!$N$4:$N$253,0),0)=0,"",INDEX('كشف الحساب'!$A$4:$A$253,IFERROR(MATCH(117,'كشف الحساب'!$N$4:$N$253,0),0))),"")</f>
        <v/>
      </c>
      <c r="B121" s="64" t="str">
        <f>IFERROR(IF(IFERROR(MATCH(117,'كشف الحساب'!$N$4:$N$253,0),0)=0,"",INDEX('كشف الحساب'!$B$4:$B$253,IFERROR(MATCH(117,'كشف الحساب'!$N$4:$N$253,0),0))),"")</f>
        <v/>
      </c>
      <c r="C121" s="65" t="str">
        <f>IFERROR(IF(IFERROR(MATCH(117,'كشف الحساب'!$N$4:$N$253,0),0)=0,"",INDEX('كشف الحساب'!$C$4:$C$253,IFERROR(MATCH(117,'كشف الحساب'!$N$4:$N$253,0),0))),"")</f>
        <v/>
      </c>
      <c r="D121" s="66" t="str">
        <f>IFERROR(IF(IFERROR(MATCH(117,'كشف الحساب'!$N$4:$N$253,0),0)=0,"",INDEX('كشف الحساب'!$D$4:$D$253,IFERROR(MATCH(117,'كشف الحساب'!$N$4:$N$253,0),0))),"")</f>
        <v/>
      </c>
      <c r="E121" s="67" t="str">
        <f>IFERROR(IF(IFERROR(MATCH(117,'كشف الحساب'!$N$4:$N$253,0),0)=0,"",INDEX('كشف الحساب'!$E$4:$E$253,IFERROR(MATCH(117,'كشف الحساب'!$N$4:$N$253,0),0))),"")</f>
        <v/>
      </c>
      <c r="F121" s="64" t="str">
        <f>IFERROR(IF(IFERROR(MATCH(117,'كشف الحساب'!$N$4:$N$253,0),0)=0,"",INDEX('كشف الحساب'!$F$4:$F$253,IFERROR(MATCH(117,'كشف الحساب'!$N$4:$N$253,0),0))),"")</f>
        <v/>
      </c>
      <c r="G121" s="64" t="str">
        <f>IFERROR(IF(IFERROR(MATCH(117,'كشف الحساب'!$N$4:$N$253,0),0)=0,"",INDEX('كشف الحساب'!$G$4:$G$253,IFERROR(MATCH(117,'كشف الحساب'!$N$4:$N$253,0),0))),"")</f>
        <v/>
      </c>
      <c r="H121" s="64" t="str">
        <f>IFERROR(IF(IFERROR(MATCH(117,'كشف الحساب'!$N$4:$N$253,0),0)=0,"",INDEX('كشف الحساب'!$H$4:$H$253,IFERROR(MATCH(117,'كشف الحساب'!$N$4:$N$253,0),0))),"")</f>
        <v/>
      </c>
      <c r="I121" s="64" t="str">
        <f>IFERROR(IF(IFERROR(MATCH(117,'كشف الحساب'!$N$4:$N$253,0),0)=0,"",INDEX('كشف الحساب'!$I$4:$I$253,IFERROR(MATCH(117,'كشف الحساب'!$N$4:$N$253,0),0))),"")</f>
        <v/>
      </c>
      <c r="J121" s="68" t="str">
        <f>IFERROR(IF(IFERROR(MATCH(117,'كشف الحساب'!$N$4:$N$253,0),0)=0,"",INDEX('كشف الحساب'!$J$4:$J$253,IFERROR(MATCH(117,'كشف الحساب'!$N$4:$N$253,0),0))),"")</f>
        <v/>
      </c>
      <c r="K121" s="64" t="str">
        <f>IFERROR(IF(IFERROR(MATCH(117,'كشف الحساب'!$N$4:$N$253,0),0)=0,"",INDEX('كشف الحساب'!$K$4:$K$253,IFERROR(MATCH(117,'كشف الحساب'!$N$4:$N$253,0),0))),"")</f>
        <v/>
      </c>
    </row>
    <row r="122" spans="1:11" ht="15" customHeight="1" x14ac:dyDescent="0.25">
      <c r="A122" s="69" t="str">
        <f>IFERROR(IF(IFERROR(MATCH(118,'كشف الحساب'!$N$4:$N$253,0),0)=0,"",INDEX('كشف الحساب'!$A$4:$A$253,IFERROR(MATCH(118,'كشف الحساب'!$N$4:$N$253,0),0))),"")</f>
        <v/>
      </c>
      <c r="B122" s="70" t="str">
        <f>IFERROR(IF(IFERROR(MATCH(118,'كشف الحساب'!$N$4:$N$253,0),0)=0,"",INDEX('كشف الحساب'!$B$4:$B$253,IFERROR(MATCH(118,'كشف الحساب'!$N$4:$N$253,0),0))),"")</f>
        <v/>
      </c>
      <c r="C122" s="71" t="str">
        <f>IFERROR(IF(IFERROR(MATCH(118,'كشف الحساب'!$N$4:$N$253,0),0)=0,"",INDEX('كشف الحساب'!$C$4:$C$253,IFERROR(MATCH(118,'كشف الحساب'!$N$4:$N$253,0),0))),"")</f>
        <v/>
      </c>
      <c r="D122" s="72" t="str">
        <f>IFERROR(IF(IFERROR(MATCH(118,'كشف الحساب'!$N$4:$N$253,0),0)=0,"",INDEX('كشف الحساب'!$D$4:$D$253,IFERROR(MATCH(118,'كشف الحساب'!$N$4:$N$253,0),0))),"")</f>
        <v/>
      </c>
      <c r="E122" s="73" t="str">
        <f>IFERROR(IF(IFERROR(MATCH(118,'كشف الحساب'!$N$4:$N$253,0),0)=0,"",INDEX('كشف الحساب'!$E$4:$E$253,IFERROR(MATCH(118,'كشف الحساب'!$N$4:$N$253,0),0))),"")</f>
        <v/>
      </c>
      <c r="F122" s="70" t="str">
        <f>IFERROR(IF(IFERROR(MATCH(118,'كشف الحساب'!$N$4:$N$253,0),0)=0,"",INDEX('كشف الحساب'!$F$4:$F$253,IFERROR(MATCH(118,'كشف الحساب'!$N$4:$N$253,0),0))),"")</f>
        <v/>
      </c>
      <c r="G122" s="70" t="str">
        <f>IFERROR(IF(IFERROR(MATCH(118,'كشف الحساب'!$N$4:$N$253,0),0)=0,"",INDEX('كشف الحساب'!$G$4:$G$253,IFERROR(MATCH(118,'كشف الحساب'!$N$4:$N$253,0),0))),"")</f>
        <v/>
      </c>
      <c r="H122" s="70" t="str">
        <f>IFERROR(IF(IFERROR(MATCH(118,'كشف الحساب'!$N$4:$N$253,0),0)=0,"",INDEX('كشف الحساب'!$H$4:$H$253,IFERROR(MATCH(118,'كشف الحساب'!$N$4:$N$253,0),0))),"")</f>
        <v/>
      </c>
      <c r="I122" s="70" t="str">
        <f>IFERROR(IF(IFERROR(MATCH(118,'كشف الحساب'!$N$4:$N$253,0),0)=0,"",INDEX('كشف الحساب'!$I$4:$I$253,IFERROR(MATCH(118,'كشف الحساب'!$N$4:$N$253,0),0))),"")</f>
        <v/>
      </c>
      <c r="J122" s="74" t="str">
        <f>IFERROR(IF(IFERROR(MATCH(118,'كشف الحساب'!$N$4:$N$253,0),0)=0,"",INDEX('كشف الحساب'!$J$4:$J$253,IFERROR(MATCH(118,'كشف الحساب'!$N$4:$N$253,0),0))),"")</f>
        <v/>
      </c>
      <c r="K122" s="70" t="str">
        <f>IFERROR(IF(IFERROR(MATCH(118,'كشف الحساب'!$N$4:$N$253,0),0)=0,"",INDEX('كشف الحساب'!$K$4:$K$253,IFERROR(MATCH(118,'كشف الحساب'!$N$4:$N$253,0),0))),"")</f>
        <v/>
      </c>
    </row>
    <row r="123" spans="1:11" ht="15" customHeight="1" x14ac:dyDescent="0.25">
      <c r="A123" s="63" t="str">
        <f>IFERROR(IF(IFERROR(MATCH(119,'كشف الحساب'!$N$4:$N$253,0),0)=0,"",INDEX('كشف الحساب'!$A$4:$A$253,IFERROR(MATCH(119,'كشف الحساب'!$N$4:$N$253,0),0))),"")</f>
        <v/>
      </c>
      <c r="B123" s="64" t="str">
        <f>IFERROR(IF(IFERROR(MATCH(119,'كشف الحساب'!$N$4:$N$253,0),0)=0,"",INDEX('كشف الحساب'!$B$4:$B$253,IFERROR(MATCH(119,'كشف الحساب'!$N$4:$N$253,0),0))),"")</f>
        <v/>
      </c>
      <c r="C123" s="65" t="str">
        <f>IFERROR(IF(IFERROR(MATCH(119,'كشف الحساب'!$N$4:$N$253,0),0)=0,"",INDEX('كشف الحساب'!$C$4:$C$253,IFERROR(MATCH(119,'كشف الحساب'!$N$4:$N$253,0),0))),"")</f>
        <v/>
      </c>
      <c r="D123" s="66" t="str">
        <f>IFERROR(IF(IFERROR(MATCH(119,'كشف الحساب'!$N$4:$N$253,0),0)=0,"",INDEX('كشف الحساب'!$D$4:$D$253,IFERROR(MATCH(119,'كشف الحساب'!$N$4:$N$253,0),0))),"")</f>
        <v/>
      </c>
      <c r="E123" s="67" t="str">
        <f>IFERROR(IF(IFERROR(MATCH(119,'كشف الحساب'!$N$4:$N$253,0),0)=0,"",INDEX('كشف الحساب'!$E$4:$E$253,IFERROR(MATCH(119,'كشف الحساب'!$N$4:$N$253,0),0))),"")</f>
        <v/>
      </c>
      <c r="F123" s="64" t="str">
        <f>IFERROR(IF(IFERROR(MATCH(119,'كشف الحساب'!$N$4:$N$253,0),0)=0,"",INDEX('كشف الحساب'!$F$4:$F$253,IFERROR(MATCH(119,'كشف الحساب'!$N$4:$N$253,0),0))),"")</f>
        <v/>
      </c>
      <c r="G123" s="64" t="str">
        <f>IFERROR(IF(IFERROR(MATCH(119,'كشف الحساب'!$N$4:$N$253,0),0)=0,"",INDEX('كشف الحساب'!$G$4:$G$253,IFERROR(MATCH(119,'كشف الحساب'!$N$4:$N$253,0),0))),"")</f>
        <v/>
      </c>
      <c r="H123" s="64" t="str">
        <f>IFERROR(IF(IFERROR(MATCH(119,'كشف الحساب'!$N$4:$N$253,0),0)=0,"",INDEX('كشف الحساب'!$H$4:$H$253,IFERROR(MATCH(119,'كشف الحساب'!$N$4:$N$253,0),0))),"")</f>
        <v/>
      </c>
      <c r="I123" s="64" t="str">
        <f>IFERROR(IF(IFERROR(MATCH(119,'كشف الحساب'!$N$4:$N$253,0),0)=0,"",INDEX('كشف الحساب'!$I$4:$I$253,IFERROR(MATCH(119,'كشف الحساب'!$N$4:$N$253,0),0))),"")</f>
        <v/>
      </c>
      <c r="J123" s="68" t="str">
        <f>IFERROR(IF(IFERROR(MATCH(119,'كشف الحساب'!$N$4:$N$253,0),0)=0,"",INDEX('كشف الحساب'!$J$4:$J$253,IFERROR(MATCH(119,'كشف الحساب'!$N$4:$N$253,0),0))),"")</f>
        <v/>
      </c>
      <c r="K123" s="64" t="str">
        <f>IFERROR(IF(IFERROR(MATCH(119,'كشف الحساب'!$N$4:$N$253,0),0)=0,"",INDEX('كشف الحساب'!$K$4:$K$253,IFERROR(MATCH(119,'كشف الحساب'!$N$4:$N$253,0),0))),"")</f>
        <v/>
      </c>
    </row>
    <row r="124" spans="1:11" ht="15" customHeight="1" x14ac:dyDescent="0.25">
      <c r="A124" s="69" t="str">
        <f>IFERROR(IF(IFERROR(MATCH(120,'كشف الحساب'!$N$4:$N$253,0),0)=0,"",INDEX('كشف الحساب'!$A$4:$A$253,IFERROR(MATCH(120,'كشف الحساب'!$N$4:$N$253,0),0))),"")</f>
        <v/>
      </c>
      <c r="B124" s="70" t="str">
        <f>IFERROR(IF(IFERROR(MATCH(120,'كشف الحساب'!$N$4:$N$253,0),0)=0,"",INDEX('كشف الحساب'!$B$4:$B$253,IFERROR(MATCH(120,'كشف الحساب'!$N$4:$N$253,0),0))),"")</f>
        <v/>
      </c>
      <c r="C124" s="71" t="str">
        <f>IFERROR(IF(IFERROR(MATCH(120,'كشف الحساب'!$N$4:$N$253,0),0)=0,"",INDEX('كشف الحساب'!$C$4:$C$253,IFERROR(MATCH(120,'كشف الحساب'!$N$4:$N$253,0),0))),"")</f>
        <v/>
      </c>
      <c r="D124" s="72" t="str">
        <f>IFERROR(IF(IFERROR(MATCH(120,'كشف الحساب'!$N$4:$N$253,0),0)=0,"",INDEX('كشف الحساب'!$D$4:$D$253,IFERROR(MATCH(120,'كشف الحساب'!$N$4:$N$253,0),0))),"")</f>
        <v/>
      </c>
      <c r="E124" s="73" t="str">
        <f>IFERROR(IF(IFERROR(MATCH(120,'كشف الحساب'!$N$4:$N$253,0),0)=0,"",INDEX('كشف الحساب'!$E$4:$E$253,IFERROR(MATCH(120,'كشف الحساب'!$N$4:$N$253,0),0))),"")</f>
        <v/>
      </c>
      <c r="F124" s="70" t="str">
        <f>IFERROR(IF(IFERROR(MATCH(120,'كشف الحساب'!$N$4:$N$253,0),0)=0,"",INDEX('كشف الحساب'!$F$4:$F$253,IFERROR(MATCH(120,'كشف الحساب'!$N$4:$N$253,0),0))),"")</f>
        <v/>
      </c>
      <c r="G124" s="70" t="str">
        <f>IFERROR(IF(IFERROR(MATCH(120,'كشف الحساب'!$N$4:$N$253,0),0)=0,"",INDEX('كشف الحساب'!$G$4:$G$253,IFERROR(MATCH(120,'كشف الحساب'!$N$4:$N$253,0),0))),"")</f>
        <v/>
      </c>
      <c r="H124" s="70" t="str">
        <f>IFERROR(IF(IFERROR(MATCH(120,'كشف الحساب'!$N$4:$N$253,0),0)=0,"",INDEX('كشف الحساب'!$H$4:$H$253,IFERROR(MATCH(120,'كشف الحساب'!$N$4:$N$253,0),0))),"")</f>
        <v/>
      </c>
      <c r="I124" s="70" t="str">
        <f>IFERROR(IF(IFERROR(MATCH(120,'كشف الحساب'!$N$4:$N$253,0),0)=0,"",INDEX('كشف الحساب'!$I$4:$I$253,IFERROR(MATCH(120,'كشف الحساب'!$N$4:$N$253,0),0))),"")</f>
        <v/>
      </c>
      <c r="J124" s="74" t="str">
        <f>IFERROR(IF(IFERROR(MATCH(120,'كشف الحساب'!$N$4:$N$253,0),0)=0,"",INDEX('كشف الحساب'!$J$4:$J$253,IFERROR(MATCH(120,'كشف الحساب'!$N$4:$N$253,0),0))),"")</f>
        <v/>
      </c>
      <c r="K124" s="70" t="str">
        <f>IFERROR(IF(IFERROR(MATCH(120,'كشف الحساب'!$N$4:$N$253,0),0)=0,"",INDEX('كشف الحساب'!$K$4:$K$253,IFERROR(MATCH(120,'كشف الحساب'!$N$4:$N$253,0),0))),"")</f>
        <v/>
      </c>
    </row>
    <row r="125" spans="1:11" ht="15" customHeight="1" x14ac:dyDescent="0.25">
      <c r="A125" s="63" t="str">
        <f>IFERROR(IF(IFERROR(MATCH(121,'كشف الحساب'!$N$4:$N$253,0),0)=0,"",INDEX('كشف الحساب'!$A$4:$A$253,IFERROR(MATCH(121,'كشف الحساب'!$N$4:$N$253,0),0))),"")</f>
        <v/>
      </c>
      <c r="B125" s="64" t="str">
        <f>IFERROR(IF(IFERROR(MATCH(121,'كشف الحساب'!$N$4:$N$253,0),0)=0,"",INDEX('كشف الحساب'!$B$4:$B$253,IFERROR(MATCH(121,'كشف الحساب'!$N$4:$N$253,0),0))),"")</f>
        <v/>
      </c>
      <c r="C125" s="65" t="str">
        <f>IFERROR(IF(IFERROR(MATCH(121,'كشف الحساب'!$N$4:$N$253,0),0)=0,"",INDEX('كشف الحساب'!$C$4:$C$253,IFERROR(MATCH(121,'كشف الحساب'!$N$4:$N$253,0),0))),"")</f>
        <v/>
      </c>
      <c r="D125" s="66" t="str">
        <f>IFERROR(IF(IFERROR(MATCH(121,'كشف الحساب'!$N$4:$N$253,0),0)=0,"",INDEX('كشف الحساب'!$D$4:$D$253,IFERROR(MATCH(121,'كشف الحساب'!$N$4:$N$253,0),0))),"")</f>
        <v/>
      </c>
      <c r="E125" s="67" t="str">
        <f>IFERROR(IF(IFERROR(MATCH(121,'كشف الحساب'!$N$4:$N$253,0),0)=0,"",INDEX('كشف الحساب'!$E$4:$E$253,IFERROR(MATCH(121,'كشف الحساب'!$N$4:$N$253,0),0))),"")</f>
        <v/>
      </c>
      <c r="F125" s="64" t="str">
        <f>IFERROR(IF(IFERROR(MATCH(121,'كشف الحساب'!$N$4:$N$253,0),0)=0,"",INDEX('كشف الحساب'!$F$4:$F$253,IFERROR(MATCH(121,'كشف الحساب'!$N$4:$N$253,0),0))),"")</f>
        <v/>
      </c>
      <c r="G125" s="64" t="str">
        <f>IFERROR(IF(IFERROR(MATCH(121,'كشف الحساب'!$N$4:$N$253,0),0)=0,"",INDEX('كشف الحساب'!$G$4:$G$253,IFERROR(MATCH(121,'كشف الحساب'!$N$4:$N$253,0),0))),"")</f>
        <v/>
      </c>
      <c r="H125" s="64" t="str">
        <f>IFERROR(IF(IFERROR(MATCH(121,'كشف الحساب'!$N$4:$N$253,0),0)=0,"",INDEX('كشف الحساب'!$H$4:$H$253,IFERROR(MATCH(121,'كشف الحساب'!$N$4:$N$253,0),0))),"")</f>
        <v/>
      </c>
      <c r="I125" s="64" t="str">
        <f>IFERROR(IF(IFERROR(MATCH(121,'كشف الحساب'!$N$4:$N$253,0),0)=0,"",INDEX('كشف الحساب'!$I$4:$I$253,IFERROR(MATCH(121,'كشف الحساب'!$N$4:$N$253,0),0))),"")</f>
        <v/>
      </c>
      <c r="J125" s="68" t="str">
        <f>IFERROR(IF(IFERROR(MATCH(121,'كشف الحساب'!$N$4:$N$253,0),0)=0,"",INDEX('كشف الحساب'!$J$4:$J$253,IFERROR(MATCH(121,'كشف الحساب'!$N$4:$N$253,0),0))),"")</f>
        <v/>
      </c>
      <c r="K125" s="64" t="str">
        <f>IFERROR(IF(IFERROR(MATCH(121,'كشف الحساب'!$N$4:$N$253,0),0)=0,"",INDEX('كشف الحساب'!$K$4:$K$253,IFERROR(MATCH(121,'كشف الحساب'!$N$4:$N$253,0),0))),"")</f>
        <v/>
      </c>
    </row>
    <row r="126" spans="1:11" ht="15" customHeight="1" x14ac:dyDescent="0.25">
      <c r="A126" s="69" t="str">
        <f>IFERROR(IF(IFERROR(MATCH(122,'كشف الحساب'!$N$4:$N$253,0),0)=0,"",INDEX('كشف الحساب'!$A$4:$A$253,IFERROR(MATCH(122,'كشف الحساب'!$N$4:$N$253,0),0))),"")</f>
        <v/>
      </c>
      <c r="B126" s="70" t="str">
        <f>IFERROR(IF(IFERROR(MATCH(122,'كشف الحساب'!$N$4:$N$253,0),0)=0,"",INDEX('كشف الحساب'!$B$4:$B$253,IFERROR(MATCH(122,'كشف الحساب'!$N$4:$N$253,0),0))),"")</f>
        <v/>
      </c>
      <c r="C126" s="71" t="str">
        <f>IFERROR(IF(IFERROR(MATCH(122,'كشف الحساب'!$N$4:$N$253,0),0)=0,"",INDEX('كشف الحساب'!$C$4:$C$253,IFERROR(MATCH(122,'كشف الحساب'!$N$4:$N$253,0),0))),"")</f>
        <v/>
      </c>
      <c r="D126" s="72" t="str">
        <f>IFERROR(IF(IFERROR(MATCH(122,'كشف الحساب'!$N$4:$N$253,0),0)=0,"",INDEX('كشف الحساب'!$D$4:$D$253,IFERROR(MATCH(122,'كشف الحساب'!$N$4:$N$253,0),0))),"")</f>
        <v/>
      </c>
      <c r="E126" s="73" t="str">
        <f>IFERROR(IF(IFERROR(MATCH(122,'كشف الحساب'!$N$4:$N$253,0),0)=0,"",INDEX('كشف الحساب'!$E$4:$E$253,IFERROR(MATCH(122,'كشف الحساب'!$N$4:$N$253,0),0))),"")</f>
        <v/>
      </c>
      <c r="F126" s="70" t="str">
        <f>IFERROR(IF(IFERROR(MATCH(122,'كشف الحساب'!$N$4:$N$253,0),0)=0,"",INDEX('كشف الحساب'!$F$4:$F$253,IFERROR(MATCH(122,'كشف الحساب'!$N$4:$N$253,0),0))),"")</f>
        <v/>
      </c>
      <c r="G126" s="70" t="str">
        <f>IFERROR(IF(IFERROR(MATCH(122,'كشف الحساب'!$N$4:$N$253,0),0)=0,"",INDEX('كشف الحساب'!$G$4:$G$253,IFERROR(MATCH(122,'كشف الحساب'!$N$4:$N$253,0),0))),"")</f>
        <v/>
      </c>
      <c r="H126" s="70" t="str">
        <f>IFERROR(IF(IFERROR(MATCH(122,'كشف الحساب'!$N$4:$N$253,0),0)=0,"",INDEX('كشف الحساب'!$H$4:$H$253,IFERROR(MATCH(122,'كشف الحساب'!$N$4:$N$253,0),0))),"")</f>
        <v/>
      </c>
      <c r="I126" s="70" t="str">
        <f>IFERROR(IF(IFERROR(MATCH(122,'كشف الحساب'!$N$4:$N$253,0),0)=0,"",INDEX('كشف الحساب'!$I$4:$I$253,IFERROR(MATCH(122,'كشف الحساب'!$N$4:$N$253,0),0))),"")</f>
        <v/>
      </c>
      <c r="J126" s="74" t="str">
        <f>IFERROR(IF(IFERROR(MATCH(122,'كشف الحساب'!$N$4:$N$253,0),0)=0,"",INDEX('كشف الحساب'!$J$4:$J$253,IFERROR(MATCH(122,'كشف الحساب'!$N$4:$N$253,0),0))),"")</f>
        <v/>
      </c>
      <c r="K126" s="70" t="str">
        <f>IFERROR(IF(IFERROR(MATCH(122,'كشف الحساب'!$N$4:$N$253,0),0)=0,"",INDEX('كشف الحساب'!$K$4:$K$253,IFERROR(MATCH(122,'كشف الحساب'!$N$4:$N$253,0),0))),"")</f>
        <v/>
      </c>
    </row>
    <row r="127" spans="1:11" ht="15" customHeight="1" x14ac:dyDescent="0.25">
      <c r="A127" s="63" t="str">
        <f>IFERROR(IF(IFERROR(MATCH(123,'كشف الحساب'!$N$4:$N$253,0),0)=0,"",INDEX('كشف الحساب'!$A$4:$A$253,IFERROR(MATCH(123,'كشف الحساب'!$N$4:$N$253,0),0))),"")</f>
        <v/>
      </c>
      <c r="B127" s="64" t="str">
        <f>IFERROR(IF(IFERROR(MATCH(123,'كشف الحساب'!$N$4:$N$253,0),0)=0,"",INDEX('كشف الحساب'!$B$4:$B$253,IFERROR(MATCH(123,'كشف الحساب'!$N$4:$N$253,0),0))),"")</f>
        <v/>
      </c>
      <c r="C127" s="65" t="str">
        <f>IFERROR(IF(IFERROR(MATCH(123,'كشف الحساب'!$N$4:$N$253,0),0)=0,"",INDEX('كشف الحساب'!$C$4:$C$253,IFERROR(MATCH(123,'كشف الحساب'!$N$4:$N$253,0),0))),"")</f>
        <v/>
      </c>
      <c r="D127" s="66" t="str">
        <f>IFERROR(IF(IFERROR(MATCH(123,'كشف الحساب'!$N$4:$N$253,0),0)=0,"",INDEX('كشف الحساب'!$D$4:$D$253,IFERROR(MATCH(123,'كشف الحساب'!$N$4:$N$253,0),0))),"")</f>
        <v/>
      </c>
      <c r="E127" s="67" t="str">
        <f>IFERROR(IF(IFERROR(MATCH(123,'كشف الحساب'!$N$4:$N$253,0),0)=0,"",INDEX('كشف الحساب'!$E$4:$E$253,IFERROR(MATCH(123,'كشف الحساب'!$N$4:$N$253,0),0))),"")</f>
        <v/>
      </c>
      <c r="F127" s="64" t="str">
        <f>IFERROR(IF(IFERROR(MATCH(123,'كشف الحساب'!$N$4:$N$253,0),0)=0,"",INDEX('كشف الحساب'!$F$4:$F$253,IFERROR(MATCH(123,'كشف الحساب'!$N$4:$N$253,0),0))),"")</f>
        <v/>
      </c>
      <c r="G127" s="64" t="str">
        <f>IFERROR(IF(IFERROR(MATCH(123,'كشف الحساب'!$N$4:$N$253,0),0)=0,"",INDEX('كشف الحساب'!$G$4:$G$253,IFERROR(MATCH(123,'كشف الحساب'!$N$4:$N$253,0),0))),"")</f>
        <v/>
      </c>
      <c r="H127" s="64" t="str">
        <f>IFERROR(IF(IFERROR(MATCH(123,'كشف الحساب'!$N$4:$N$253,0),0)=0,"",INDEX('كشف الحساب'!$H$4:$H$253,IFERROR(MATCH(123,'كشف الحساب'!$N$4:$N$253,0),0))),"")</f>
        <v/>
      </c>
      <c r="I127" s="64" t="str">
        <f>IFERROR(IF(IFERROR(MATCH(123,'كشف الحساب'!$N$4:$N$253,0),0)=0,"",INDEX('كشف الحساب'!$I$4:$I$253,IFERROR(MATCH(123,'كشف الحساب'!$N$4:$N$253,0),0))),"")</f>
        <v/>
      </c>
      <c r="J127" s="68" t="str">
        <f>IFERROR(IF(IFERROR(MATCH(123,'كشف الحساب'!$N$4:$N$253,0),0)=0,"",INDEX('كشف الحساب'!$J$4:$J$253,IFERROR(MATCH(123,'كشف الحساب'!$N$4:$N$253,0),0))),"")</f>
        <v/>
      </c>
      <c r="K127" s="64" t="str">
        <f>IFERROR(IF(IFERROR(MATCH(123,'كشف الحساب'!$N$4:$N$253,0),0)=0,"",INDEX('كشف الحساب'!$K$4:$K$253,IFERROR(MATCH(123,'كشف الحساب'!$N$4:$N$253,0),0))),"")</f>
        <v/>
      </c>
    </row>
    <row r="128" spans="1:11" ht="15" customHeight="1" x14ac:dyDescent="0.25">
      <c r="A128" s="69" t="str">
        <f>IFERROR(IF(IFERROR(MATCH(124,'كشف الحساب'!$N$4:$N$253,0),0)=0,"",INDEX('كشف الحساب'!$A$4:$A$253,IFERROR(MATCH(124,'كشف الحساب'!$N$4:$N$253,0),0))),"")</f>
        <v/>
      </c>
      <c r="B128" s="70" t="str">
        <f>IFERROR(IF(IFERROR(MATCH(124,'كشف الحساب'!$N$4:$N$253,0),0)=0,"",INDEX('كشف الحساب'!$B$4:$B$253,IFERROR(MATCH(124,'كشف الحساب'!$N$4:$N$253,0),0))),"")</f>
        <v/>
      </c>
      <c r="C128" s="71" t="str">
        <f>IFERROR(IF(IFERROR(MATCH(124,'كشف الحساب'!$N$4:$N$253,0),0)=0,"",INDEX('كشف الحساب'!$C$4:$C$253,IFERROR(MATCH(124,'كشف الحساب'!$N$4:$N$253,0),0))),"")</f>
        <v/>
      </c>
      <c r="D128" s="72" t="str">
        <f>IFERROR(IF(IFERROR(MATCH(124,'كشف الحساب'!$N$4:$N$253,0),0)=0,"",INDEX('كشف الحساب'!$D$4:$D$253,IFERROR(MATCH(124,'كشف الحساب'!$N$4:$N$253,0),0))),"")</f>
        <v/>
      </c>
      <c r="E128" s="73" t="str">
        <f>IFERROR(IF(IFERROR(MATCH(124,'كشف الحساب'!$N$4:$N$253,0),0)=0,"",INDEX('كشف الحساب'!$E$4:$E$253,IFERROR(MATCH(124,'كشف الحساب'!$N$4:$N$253,0),0))),"")</f>
        <v/>
      </c>
      <c r="F128" s="70" t="str">
        <f>IFERROR(IF(IFERROR(MATCH(124,'كشف الحساب'!$N$4:$N$253,0),0)=0,"",INDEX('كشف الحساب'!$F$4:$F$253,IFERROR(MATCH(124,'كشف الحساب'!$N$4:$N$253,0),0))),"")</f>
        <v/>
      </c>
      <c r="G128" s="70" t="str">
        <f>IFERROR(IF(IFERROR(MATCH(124,'كشف الحساب'!$N$4:$N$253,0),0)=0,"",INDEX('كشف الحساب'!$G$4:$G$253,IFERROR(MATCH(124,'كشف الحساب'!$N$4:$N$253,0),0))),"")</f>
        <v/>
      </c>
      <c r="H128" s="70" t="str">
        <f>IFERROR(IF(IFERROR(MATCH(124,'كشف الحساب'!$N$4:$N$253,0),0)=0,"",INDEX('كشف الحساب'!$H$4:$H$253,IFERROR(MATCH(124,'كشف الحساب'!$N$4:$N$253,0),0))),"")</f>
        <v/>
      </c>
      <c r="I128" s="70" t="str">
        <f>IFERROR(IF(IFERROR(MATCH(124,'كشف الحساب'!$N$4:$N$253,0),0)=0,"",INDEX('كشف الحساب'!$I$4:$I$253,IFERROR(MATCH(124,'كشف الحساب'!$N$4:$N$253,0),0))),"")</f>
        <v/>
      </c>
      <c r="J128" s="74" t="str">
        <f>IFERROR(IF(IFERROR(MATCH(124,'كشف الحساب'!$N$4:$N$253,0),0)=0,"",INDEX('كشف الحساب'!$J$4:$J$253,IFERROR(MATCH(124,'كشف الحساب'!$N$4:$N$253,0),0))),"")</f>
        <v/>
      </c>
      <c r="K128" s="70" t="str">
        <f>IFERROR(IF(IFERROR(MATCH(124,'كشف الحساب'!$N$4:$N$253,0),0)=0,"",INDEX('كشف الحساب'!$K$4:$K$253,IFERROR(MATCH(124,'كشف الحساب'!$N$4:$N$253,0),0))),"")</f>
        <v/>
      </c>
    </row>
    <row r="129" spans="1:11" ht="15" customHeight="1" x14ac:dyDescent="0.25">
      <c r="A129" s="63" t="str">
        <f>IFERROR(IF(IFERROR(MATCH(125,'كشف الحساب'!$N$4:$N$253,0),0)=0,"",INDEX('كشف الحساب'!$A$4:$A$253,IFERROR(MATCH(125,'كشف الحساب'!$N$4:$N$253,0),0))),"")</f>
        <v/>
      </c>
      <c r="B129" s="64" t="str">
        <f>IFERROR(IF(IFERROR(MATCH(125,'كشف الحساب'!$N$4:$N$253,0),0)=0,"",INDEX('كشف الحساب'!$B$4:$B$253,IFERROR(MATCH(125,'كشف الحساب'!$N$4:$N$253,0),0))),"")</f>
        <v/>
      </c>
      <c r="C129" s="65" t="str">
        <f>IFERROR(IF(IFERROR(MATCH(125,'كشف الحساب'!$N$4:$N$253,0),0)=0,"",INDEX('كشف الحساب'!$C$4:$C$253,IFERROR(MATCH(125,'كشف الحساب'!$N$4:$N$253,0),0))),"")</f>
        <v/>
      </c>
      <c r="D129" s="66" t="str">
        <f>IFERROR(IF(IFERROR(MATCH(125,'كشف الحساب'!$N$4:$N$253,0),0)=0,"",INDEX('كشف الحساب'!$D$4:$D$253,IFERROR(MATCH(125,'كشف الحساب'!$N$4:$N$253,0),0))),"")</f>
        <v/>
      </c>
      <c r="E129" s="67" t="str">
        <f>IFERROR(IF(IFERROR(MATCH(125,'كشف الحساب'!$N$4:$N$253,0),0)=0,"",INDEX('كشف الحساب'!$E$4:$E$253,IFERROR(MATCH(125,'كشف الحساب'!$N$4:$N$253,0),0))),"")</f>
        <v/>
      </c>
      <c r="F129" s="64" t="str">
        <f>IFERROR(IF(IFERROR(MATCH(125,'كشف الحساب'!$N$4:$N$253,0),0)=0,"",INDEX('كشف الحساب'!$F$4:$F$253,IFERROR(MATCH(125,'كشف الحساب'!$N$4:$N$253,0),0))),"")</f>
        <v/>
      </c>
      <c r="G129" s="64" t="str">
        <f>IFERROR(IF(IFERROR(MATCH(125,'كشف الحساب'!$N$4:$N$253,0),0)=0,"",INDEX('كشف الحساب'!$G$4:$G$253,IFERROR(MATCH(125,'كشف الحساب'!$N$4:$N$253,0),0))),"")</f>
        <v/>
      </c>
      <c r="H129" s="64" t="str">
        <f>IFERROR(IF(IFERROR(MATCH(125,'كشف الحساب'!$N$4:$N$253,0),0)=0,"",INDEX('كشف الحساب'!$H$4:$H$253,IFERROR(MATCH(125,'كشف الحساب'!$N$4:$N$253,0),0))),"")</f>
        <v/>
      </c>
      <c r="I129" s="64" t="str">
        <f>IFERROR(IF(IFERROR(MATCH(125,'كشف الحساب'!$N$4:$N$253,0),0)=0,"",INDEX('كشف الحساب'!$I$4:$I$253,IFERROR(MATCH(125,'كشف الحساب'!$N$4:$N$253,0),0))),"")</f>
        <v/>
      </c>
      <c r="J129" s="68" t="str">
        <f>IFERROR(IF(IFERROR(MATCH(125,'كشف الحساب'!$N$4:$N$253,0),0)=0,"",INDEX('كشف الحساب'!$J$4:$J$253,IFERROR(MATCH(125,'كشف الحساب'!$N$4:$N$253,0),0))),"")</f>
        <v/>
      </c>
      <c r="K129" s="64" t="str">
        <f>IFERROR(IF(IFERROR(MATCH(125,'كشف الحساب'!$N$4:$N$253,0),0)=0,"",INDEX('كشف الحساب'!$K$4:$K$253,IFERROR(MATCH(125,'كشف الحساب'!$N$4:$N$253,0),0))),"")</f>
        <v/>
      </c>
    </row>
    <row r="130" spans="1:11" ht="15" customHeight="1" x14ac:dyDescent="0.25">
      <c r="A130" s="69" t="str">
        <f>IFERROR(IF(IFERROR(MATCH(126,'كشف الحساب'!$N$4:$N$253,0),0)=0,"",INDEX('كشف الحساب'!$A$4:$A$253,IFERROR(MATCH(126,'كشف الحساب'!$N$4:$N$253,0),0))),"")</f>
        <v/>
      </c>
      <c r="B130" s="70" t="str">
        <f>IFERROR(IF(IFERROR(MATCH(126,'كشف الحساب'!$N$4:$N$253,0),0)=0,"",INDEX('كشف الحساب'!$B$4:$B$253,IFERROR(MATCH(126,'كشف الحساب'!$N$4:$N$253,0),0))),"")</f>
        <v/>
      </c>
      <c r="C130" s="71" t="str">
        <f>IFERROR(IF(IFERROR(MATCH(126,'كشف الحساب'!$N$4:$N$253,0),0)=0,"",INDEX('كشف الحساب'!$C$4:$C$253,IFERROR(MATCH(126,'كشف الحساب'!$N$4:$N$253,0),0))),"")</f>
        <v/>
      </c>
      <c r="D130" s="72" t="str">
        <f>IFERROR(IF(IFERROR(MATCH(126,'كشف الحساب'!$N$4:$N$253,0),0)=0,"",INDEX('كشف الحساب'!$D$4:$D$253,IFERROR(MATCH(126,'كشف الحساب'!$N$4:$N$253,0),0))),"")</f>
        <v/>
      </c>
      <c r="E130" s="73" t="str">
        <f>IFERROR(IF(IFERROR(MATCH(126,'كشف الحساب'!$N$4:$N$253,0),0)=0,"",INDEX('كشف الحساب'!$E$4:$E$253,IFERROR(MATCH(126,'كشف الحساب'!$N$4:$N$253,0),0))),"")</f>
        <v/>
      </c>
      <c r="F130" s="70" t="str">
        <f>IFERROR(IF(IFERROR(MATCH(126,'كشف الحساب'!$N$4:$N$253,0),0)=0,"",INDEX('كشف الحساب'!$F$4:$F$253,IFERROR(MATCH(126,'كشف الحساب'!$N$4:$N$253,0),0))),"")</f>
        <v/>
      </c>
      <c r="G130" s="70" t="str">
        <f>IFERROR(IF(IFERROR(MATCH(126,'كشف الحساب'!$N$4:$N$253,0),0)=0,"",INDEX('كشف الحساب'!$G$4:$G$253,IFERROR(MATCH(126,'كشف الحساب'!$N$4:$N$253,0),0))),"")</f>
        <v/>
      </c>
      <c r="H130" s="70" t="str">
        <f>IFERROR(IF(IFERROR(MATCH(126,'كشف الحساب'!$N$4:$N$253,0),0)=0,"",INDEX('كشف الحساب'!$H$4:$H$253,IFERROR(MATCH(126,'كشف الحساب'!$N$4:$N$253,0),0))),"")</f>
        <v/>
      </c>
      <c r="I130" s="70" t="str">
        <f>IFERROR(IF(IFERROR(MATCH(126,'كشف الحساب'!$N$4:$N$253,0),0)=0,"",INDEX('كشف الحساب'!$I$4:$I$253,IFERROR(MATCH(126,'كشف الحساب'!$N$4:$N$253,0),0))),"")</f>
        <v/>
      </c>
      <c r="J130" s="74" t="str">
        <f>IFERROR(IF(IFERROR(MATCH(126,'كشف الحساب'!$N$4:$N$253,0),0)=0,"",INDEX('كشف الحساب'!$J$4:$J$253,IFERROR(MATCH(126,'كشف الحساب'!$N$4:$N$253,0),0))),"")</f>
        <v/>
      </c>
      <c r="K130" s="70" t="str">
        <f>IFERROR(IF(IFERROR(MATCH(126,'كشف الحساب'!$N$4:$N$253,0),0)=0,"",INDEX('كشف الحساب'!$K$4:$K$253,IFERROR(MATCH(126,'كشف الحساب'!$N$4:$N$253,0),0))),"")</f>
        <v/>
      </c>
    </row>
    <row r="131" spans="1:11" ht="15" customHeight="1" x14ac:dyDescent="0.25">
      <c r="A131" s="63" t="str">
        <f>IFERROR(IF(IFERROR(MATCH(127,'كشف الحساب'!$N$4:$N$253,0),0)=0,"",INDEX('كشف الحساب'!$A$4:$A$253,IFERROR(MATCH(127,'كشف الحساب'!$N$4:$N$253,0),0))),"")</f>
        <v/>
      </c>
      <c r="B131" s="64" t="str">
        <f>IFERROR(IF(IFERROR(MATCH(127,'كشف الحساب'!$N$4:$N$253,0),0)=0,"",INDEX('كشف الحساب'!$B$4:$B$253,IFERROR(MATCH(127,'كشف الحساب'!$N$4:$N$253,0),0))),"")</f>
        <v/>
      </c>
      <c r="C131" s="65" t="str">
        <f>IFERROR(IF(IFERROR(MATCH(127,'كشف الحساب'!$N$4:$N$253,0),0)=0,"",INDEX('كشف الحساب'!$C$4:$C$253,IFERROR(MATCH(127,'كشف الحساب'!$N$4:$N$253,0),0))),"")</f>
        <v/>
      </c>
      <c r="D131" s="66" t="str">
        <f>IFERROR(IF(IFERROR(MATCH(127,'كشف الحساب'!$N$4:$N$253,0),0)=0,"",INDEX('كشف الحساب'!$D$4:$D$253,IFERROR(MATCH(127,'كشف الحساب'!$N$4:$N$253,0),0))),"")</f>
        <v/>
      </c>
      <c r="E131" s="67" t="str">
        <f>IFERROR(IF(IFERROR(MATCH(127,'كشف الحساب'!$N$4:$N$253,0),0)=0,"",INDEX('كشف الحساب'!$E$4:$E$253,IFERROR(MATCH(127,'كشف الحساب'!$N$4:$N$253,0),0))),"")</f>
        <v/>
      </c>
      <c r="F131" s="64" t="str">
        <f>IFERROR(IF(IFERROR(MATCH(127,'كشف الحساب'!$N$4:$N$253,0),0)=0,"",INDEX('كشف الحساب'!$F$4:$F$253,IFERROR(MATCH(127,'كشف الحساب'!$N$4:$N$253,0),0))),"")</f>
        <v/>
      </c>
      <c r="G131" s="64" t="str">
        <f>IFERROR(IF(IFERROR(MATCH(127,'كشف الحساب'!$N$4:$N$253,0),0)=0,"",INDEX('كشف الحساب'!$G$4:$G$253,IFERROR(MATCH(127,'كشف الحساب'!$N$4:$N$253,0),0))),"")</f>
        <v/>
      </c>
      <c r="H131" s="64" t="str">
        <f>IFERROR(IF(IFERROR(MATCH(127,'كشف الحساب'!$N$4:$N$253,0),0)=0,"",INDEX('كشف الحساب'!$H$4:$H$253,IFERROR(MATCH(127,'كشف الحساب'!$N$4:$N$253,0),0))),"")</f>
        <v/>
      </c>
      <c r="I131" s="64" t="str">
        <f>IFERROR(IF(IFERROR(MATCH(127,'كشف الحساب'!$N$4:$N$253,0),0)=0,"",INDEX('كشف الحساب'!$I$4:$I$253,IFERROR(MATCH(127,'كشف الحساب'!$N$4:$N$253,0),0))),"")</f>
        <v/>
      </c>
      <c r="J131" s="68" t="str">
        <f>IFERROR(IF(IFERROR(MATCH(127,'كشف الحساب'!$N$4:$N$253,0),0)=0,"",INDEX('كشف الحساب'!$J$4:$J$253,IFERROR(MATCH(127,'كشف الحساب'!$N$4:$N$253,0),0))),"")</f>
        <v/>
      </c>
      <c r="K131" s="64" t="str">
        <f>IFERROR(IF(IFERROR(MATCH(127,'كشف الحساب'!$N$4:$N$253,0),0)=0,"",INDEX('كشف الحساب'!$K$4:$K$253,IFERROR(MATCH(127,'كشف الحساب'!$N$4:$N$253,0),0))),"")</f>
        <v/>
      </c>
    </row>
    <row r="132" spans="1:11" ht="15" customHeight="1" x14ac:dyDescent="0.25">
      <c r="A132" s="69" t="str">
        <f>IFERROR(IF(IFERROR(MATCH(128,'كشف الحساب'!$N$4:$N$253,0),0)=0,"",INDEX('كشف الحساب'!$A$4:$A$253,IFERROR(MATCH(128,'كشف الحساب'!$N$4:$N$253,0),0))),"")</f>
        <v/>
      </c>
      <c r="B132" s="70" t="str">
        <f>IFERROR(IF(IFERROR(MATCH(128,'كشف الحساب'!$N$4:$N$253,0),0)=0,"",INDEX('كشف الحساب'!$B$4:$B$253,IFERROR(MATCH(128,'كشف الحساب'!$N$4:$N$253,0),0))),"")</f>
        <v/>
      </c>
      <c r="C132" s="71" t="str">
        <f>IFERROR(IF(IFERROR(MATCH(128,'كشف الحساب'!$N$4:$N$253,0),0)=0,"",INDEX('كشف الحساب'!$C$4:$C$253,IFERROR(MATCH(128,'كشف الحساب'!$N$4:$N$253,0),0))),"")</f>
        <v/>
      </c>
      <c r="D132" s="72" t="str">
        <f>IFERROR(IF(IFERROR(MATCH(128,'كشف الحساب'!$N$4:$N$253,0),0)=0,"",INDEX('كشف الحساب'!$D$4:$D$253,IFERROR(MATCH(128,'كشف الحساب'!$N$4:$N$253,0),0))),"")</f>
        <v/>
      </c>
      <c r="E132" s="73" t="str">
        <f>IFERROR(IF(IFERROR(MATCH(128,'كشف الحساب'!$N$4:$N$253,0),0)=0,"",INDEX('كشف الحساب'!$E$4:$E$253,IFERROR(MATCH(128,'كشف الحساب'!$N$4:$N$253,0),0))),"")</f>
        <v/>
      </c>
      <c r="F132" s="70" t="str">
        <f>IFERROR(IF(IFERROR(MATCH(128,'كشف الحساب'!$N$4:$N$253,0),0)=0,"",INDEX('كشف الحساب'!$F$4:$F$253,IFERROR(MATCH(128,'كشف الحساب'!$N$4:$N$253,0),0))),"")</f>
        <v/>
      </c>
      <c r="G132" s="70" t="str">
        <f>IFERROR(IF(IFERROR(MATCH(128,'كشف الحساب'!$N$4:$N$253,0),0)=0,"",INDEX('كشف الحساب'!$G$4:$G$253,IFERROR(MATCH(128,'كشف الحساب'!$N$4:$N$253,0),0))),"")</f>
        <v/>
      </c>
      <c r="H132" s="70" t="str">
        <f>IFERROR(IF(IFERROR(MATCH(128,'كشف الحساب'!$N$4:$N$253,0),0)=0,"",INDEX('كشف الحساب'!$H$4:$H$253,IFERROR(MATCH(128,'كشف الحساب'!$N$4:$N$253,0),0))),"")</f>
        <v/>
      </c>
      <c r="I132" s="70" t="str">
        <f>IFERROR(IF(IFERROR(MATCH(128,'كشف الحساب'!$N$4:$N$253,0),0)=0,"",INDEX('كشف الحساب'!$I$4:$I$253,IFERROR(MATCH(128,'كشف الحساب'!$N$4:$N$253,0),0))),"")</f>
        <v/>
      </c>
      <c r="J132" s="74" t="str">
        <f>IFERROR(IF(IFERROR(MATCH(128,'كشف الحساب'!$N$4:$N$253,0),0)=0,"",INDEX('كشف الحساب'!$J$4:$J$253,IFERROR(MATCH(128,'كشف الحساب'!$N$4:$N$253,0),0))),"")</f>
        <v/>
      </c>
      <c r="K132" s="70" t="str">
        <f>IFERROR(IF(IFERROR(MATCH(128,'كشف الحساب'!$N$4:$N$253,0),0)=0,"",INDEX('كشف الحساب'!$K$4:$K$253,IFERROR(MATCH(128,'كشف الحساب'!$N$4:$N$253,0),0))),"")</f>
        <v/>
      </c>
    </row>
    <row r="133" spans="1:11" ht="15" customHeight="1" x14ac:dyDescent="0.25">
      <c r="A133" s="63" t="str">
        <f>IFERROR(IF(IFERROR(MATCH(129,'كشف الحساب'!$N$4:$N$253,0),0)=0,"",INDEX('كشف الحساب'!$A$4:$A$253,IFERROR(MATCH(129,'كشف الحساب'!$N$4:$N$253,0),0))),"")</f>
        <v/>
      </c>
      <c r="B133" s="64" t="str">
        <f>IFERROR(IF(IFERROR(MATCH(129,'كشف الحساب'!$N$4:$N$253,0),0)=0,"",INDEX('كشف الحساب'!$B$4:$B$253,IFERROR(MATCH(129,'كشف الحساب'!$N$4:$N$253,0),0))),"")</f>
        <v/>
      </c>
      <c r="C133" s="65" t="str">
        <f>IFERROR(IF(IFERROR(MATCH(129,'كشف الحساب'!$N$4:$N$253,0),0)=0,"",INDEX('كشف الحساب'!$C$4:$C$253,IFERROR(MATCH(129,'كشف الحساب'!$N$4:$N$253,0),0))),"")</f>
        <v/>
      </c>
      <c r="D133" s="66" t="str">
        <f>IFERROR(IF(IFERROR(MATCH(129,'كشف الحساب'!$N$4:$N$253,0),0)=0,"",INDEX('كشف الحساب'!$D$4:$D$253,IFERROR(MATCH(129,'كشف الحساب'!$N$4:$N$253,0),0))),"")</f>
        <v/>
      </c>
      <c r="E133" s="67" t="str">
        <f>IFERROR(IF(IFERROR(MATCH(129,'كشف الحساب'!$N$4:$N$253,0),0)=0,"",INDEX('كشف الحساب'!$E$4:$E$253,IFERROR(MATCH(129,'كشف الحساب'!$N$4:$N$253,0),0))),"")</f>
        <v/>
      </c>
      <c r="F133" s="64" t="str">
        <f>IFERROR(IF(IFERROR(MATCH(129,'كشف الحساب'!$N$4:$N$253,0),0)=0,"",INDEX('كشف الحساب'!$F$4:$F$253,IFERROR(MATCH(129,'كشف الحساب'!$N$4:$N$253,0),0))),"")</f>
        <v/>
      </c>
      <c r="G133" s="64" t="str">
        <f>IFERROR(IF(IFERROR(MATCH(129,'كشف الحساب'!$N$4:$N$253,0),0)=0,"",INDEX('كشف الحساب'!$G$4:$G$253,IFERROR(MATCH(129,'كشف الحساب'!$N$4:$N$253,0),0))),"")</f>
        <v/>
      </c>
      <c r="H133" s="64" t="str">
        <f>IFERROR(IF(IFERROR(MATCH(129,'كشف الحساب'!$N$4:$N$253,0),0)=0,"",INDEX('كشف الحساب'!$H$4:$H$253,IFERROR(MATCH(129,'كشف الحساب'!$N$4:$N$253,0),0))),"")</f>
        <v/>
      </c>
      <c r="I133" s="64" t="str">
        <f>IFERROR(IF(IFERROR(MATCH(129,'كشف الحساب'!$N$4:$N$253,0),0)=0,"",INDEX('كشف الحساب'!$I$4:$I$253,IFERROR(MATCH(129,'كشف الحساب'!$N$4:$N$253,0),0))),"")</f>
        <v/>
      </c>
      <c r="J133" s="68" t="str">
        <f>IFERROR(IF(IFERROR(MATCH(129,'كشف الحساب'!$N$4:$N$253,0),0)=0,"",INDEX('كشف الحساب'!$J$4:$J$253,IFERROR(MATCH(129,'كشف الحساب'!$N$4:$N$253,0),0))),"")</f>
        <v/>
      </c>
      <c r="K133" s="64" t="str">
        <f>IFERROR(IF(IFERROR(MATCH(129,'كشف الحساب'!$N$4:$N$253,0),0)=0,"",INDEX('كشف الحساب'!$K$4:$K$253,IFERROR(MATCH(129,'كشف الحساب'!$N$4:$N$253,0),0))),"")</f>
        <v/>
      </c>
    </row>
    <row r="134" spans="1:11" ht="15" customHeight="1" x14ac:dyDescent="0.25">
      <c r="A134" s="69" t="str">
        <f>IFERROR(IF(IFERROR(MATCH(130,'كشف الحساب'!$N$4:$N$253,0),0)=0,"",INDEX('كشف الحساب'!$A$4:$A$253,IFERROR(MATCH(130,'كشف الحساب'!$N$4:$N$253,0),0))),"")</f>
        <v/>
      </c>
      <c r="B134" s="70" t="str">
        <f>IFERROR(IF(IFERROR(MATCH(130,'كشف الحساب'!$N$4:$N$253,0),0)=0,"",INDEX('كشف الحساب'!$B$4:$B$253,IFERROR(MATCH(130,'كشف الحساب'!$N$4:$N$253,0),0))),"")</f>
        <v/>
      </c>
      <c r="C134" s="71" t="str">
        <f>IFERROR(IF(IFERROR(MATCH(130,'كشف الحساب'!$N$4:$N$253,0),0)=0,"",INDEX('كشف الحساب'!$C$4:$C$253,IFERROR(MATCH(130,'كشف الحساب'!$N$4:$N$253,0),0))),"")</f>
        <v/>
      </c>
      <c r="D134" s="72" t="str">
        <f>IFERROR(IF(IFERROR(MATCH(130,'كشف الحساب'!$N$4:$N$253,0),0)=0,"",INDEX('كشف الحساب'!$D$4:$D$253,IFERROR(MATCH(130,'كشف الحساب'!$N$4:$N$253,0),0))),"")</f>
        <v/>
      </c>
      <c r="E134" s="73" t="str">
        <f>IFERROR(IF(IFERROR(MATCH(130,'كشف الحساب'!$N$4:$N$253,0),0)=0,"",INDEX('كشف الحساب'!$E$4:$E$253,IFERROR(MATCH(130,'كشف الحساب'!$N$4:$N$253,0),0))),"")</f>
        <v/>
      </c>
      <c r="F134" s="70" t="str">
        <f>IFERROR(IF(IFERROR(MATCH(130,'كشف الحساب'!$N$4:$N$253,0),0)=0,"",INDEX('كشف الحساب'!$F$4:$F$253,IFERROR(MATCH(130,'كشف الحساب'!$N$4:$N$253,0),0))),"")</f>
        <v/>
      </c>
      <c r="G134" s="70" t="str">
        <f>IFERROR(IF(IFERROR(MATCH(130,'كشف الحساب'!$N$4:$N$253,0),0)=0,"",INDEX('كشف الحساب'!$G$4:$G$253,IFERROR(MATCH(130,'كشف الحساب'!$N$4:$N$253,0),0))),"")</f>
        <v/>
      </c>
      <c r="H134" s="70" t="str">
        <f>IFERROR(IF(IFERROR(MATCH(130,'كشف الحساب'!$N$4:$N$253,0),0)=0,"",INDEX('كشف الحساب'!$H$4:$H$253,IFERROR(MATCH(130,'كشف الحساب'!$N$4:$N$253,0),0))),"")</f>
        <v/>
      </c>
      <c r="I134" s="70" t="str">
        <f>IFERROR(IF(IFERROR(MATCH(130,'كشف الحساب'!$N$4:$N$253,0),0)=0,"",INDEX('كشف الحساب'!$I$4:$I$253,IFERROR(MATCH(130,'كشف الحساب'!$N$4:$N$253,0),0))),"")</f>
        <v/>
      </c>
      <c r="J134" s="74" t="str">
        <f>IFERROR(IF(IFERROR(MATCH(130,'كشف الحساب'!$N$4:$N$253,0),0)=0,"",INDEX('كشف الحساب'!$J$4:$J$253,IFERROR(MATCH(130,'كشف الحساب'!$N$4:$N$253,0),0))),"")</f>
        <v/>
      </c>
      <c r="K134" s="70" t="str">
        <f>IFERROR(IF(IFERROR(MATCH(130,'كشف الحساب'!$N$4:$N$253,0),0)=0,"",INDEX('كشف الحساب'!$K$4:$K$253,IFERROR(MATCH(130,'كشف الحساب'!$N$4:$N$253,0),0))),"")</f>
        <v/>
      </c>
    </row>
    <row r="135" spans="1:11" ht="15" customHeight="1" x14ac:dyDescent="0.25">
      <c r="A135" s="63" t="str">
        <f>IFERROR(IF(IFERROR(MATCH(131,'كشف الحساب'!$N$4:$N$253,0),0)=0,"",INDEX('كشف الحساب'!$A$4:$A$253,IFERROR(MATCH(131,'كشف الحساب'!$N$4:$N$253,0),0))),"")</f>
        <v/>
      </c>
      <c r="B135" s="64" t="str">
        <f>IFERROR(IF(IFERROR(MATCH(131,'كشف الحساب'!$N$4:$N$253,0),0)=0,"",INDEX('كشف الحساب'!$B$4:$B$253,IFERROR(MATCH(131,'كشف الحساب'!$N$4:$N$253,0),0))),"")</f>
        <v/>
      </c>
      <c r="C135" s="65" t="str">
        <f>IFERROR(IF(IFERROR(MATCH(131,'كشف الحساب'!$N$4:$N$253,0),0)=0,"",INDEX('كشف الحساب'!$C$4:$C$253,IFERROR(MATCH(131,'كشف الحساب'!$N$4:$N$253,0),0))),"")</f>
        <v/>
      </c>
      <c r="D135" s="66" t="str">
        <f>IFERROR(IF(IFERROR(MATCH(131,'كشف الحساب'!$N$4:$N$253,0),0)=0,"",INDEX('كشف الحساب'!$D$4:$D$253,IFERROR(MATCH(131,'كشف الحساب'!$N$4:$N$253,0),0))),"")</f>
        <v/>
      </c>
      <c r="E135" s="67" t="str">
        <f>IFERROR(IF(IFERROR(MATCH(131,'كشف الحساب'!$N$4:$N$253,0),0)=0,"",INDEX('كشف الحساب'!$E$4:$E$253,IFERROR(MATCH(131,'كشف الحساب'!$N$4:$N$253,0),0))),"")</f>
        <v/>
      </c>
      <c r="F135" s="64" t="str">
        <f>IFERROR(IF(IFERROR(MATCH(131,'كشف الحساب'!$N$4:$N$253,0),0)=0,"",INDEX('كشف الحساب'!$F$4:$F$253,IFERROR(MATCH(131,'كشف الحساب'!$N$4:$N$253,0),0))),"")</f>
        <v/>
      </c>
      <c r="G135" s="64" t="str">
        <f>IFERROR(IF(IFERROR(MATCH(131,'كشف الحساب'!$N$4:$N$253,0),0)=0,"",INDEX('كشف الحساب'!$G$4:$G$253,IFERROR(MATCH(131,'كشف الحساب'!$N$4:$N$253,0),0))),"")</f>
        <v/>
      </c>
      <c r="H135" s="64" t="str">
        <f>IFERROR(IF(IFERROR(MATCH(131,'كشف الحساب'!$N$4:$N$253,0),0)=0,"",INDEX('كشف الحساب'!$H$4:$H$253,IFERROR(MATCH(131,'كشف الحساب'!$N$4:$N$253,0),0))),"")</f>
        <v/>
      </c>
      <c r="I135" s="64" t="str">
        <f>IFERROR(IF(IFERROR(MATCH(131,'كشف الحساب'!$N$4:$N$253,0),0)=0,"",INDEX('كشف الحساب'!$I$4:$I$253,IFERROR(MATCH(131,'كشف الحساب'!$N$4:$N$253,0),0))),"")</f>
        <v/>
      </c>
      <c r="J135" s="68" t="str">
        <f>IFERROR(IF(IFERROR(MATCH(131,'كشف الحساب'!$N$4:$N$253,0),0)=0,"",INDEX('كشف الحساب'!$J$4:$J$253,IFERROR(MATCH(131,'كشف الحساب'!$N$4:$N$253,0),0))),"")</f>
        <v/>
      </c>
      <c r="K135" s="64" t="str">
        <f>IFERROR(IF(IFERROR(MATCH(131,'كشف الحساب'!$N$4:$N$253,0),0)=0,"",INDEX('كشف الحساب'!$K$4:$K$253,IFERROR(MATCH(131,'كشف الحساب'!$N$4:$N$253,0),0))),"")</f>
        <v/>
      </c>
    </row>
    <row r="136" spans="1:11" ht="15" customHeight="1" x14ac:dyDescent="0.25">
      <c r="A136" s="69" t="str">
        <f>IFERROR(IF(IFERROR(MATCH(132,'كشف الحساب'!$N$4:$N$253,0),0)=0,"",INDEX('كشف الحساب'!$A$4:$A$253,IFERROR(MATCH(132,'كشف الحساب'!$N$4:$N$253,0),0))),"")</f>
        <v/>
      </c>
      <c r="B136" s="70" t="str">
        <f>IFERROR(IF(IFERROR(MATCH(132,'كشف الحساب'!$N$4:$N$253,0),0)=0,"",INDEX('كشف الحساب'!$B$4:$B$253,IFERROR(MATCH(132,'كشف الحساب'!$N$4:$N$253,0),0))),"")</f>
        <v/>
      </c>
      <c r="C136" s="71" t="str">
        <f>IFERROR(IF(IFERROR(MATCH(132,'كشف الحساب'!$N$4:$N$253,0),0)=0,"",INDEX('كشف الحساب'!$C$4:$C$253,IFERROR(MATCH(132,'كشف الحساب'!$N$4:$N$253,0),0))),"")</f>
        <v/>
      </c>
      <c r="D136" s="72" t="str">
        <f>IFERROR(IF(IFERROR(MATCH(132,'كشف الحساب'!$N$4:$N$253,0),0)=0,"",INDEX('كشف الحساب'!$D$4:$D$253,IFERROR(MATCH(132,'كشف الحساب'!$N$4:$N$253,0),0))),"")</f>
        <v/>
      </c>
      <c r="E136" s="73" t="str">
        <f>IFERROR(IF(IFERROR(MATCH(132,'كشف الحساب'!$N$4:$N$253,0),0)=0,"",INDEX('كشف الحساب'!$E$4:$E$253,IFERROR(MATCH(132,'كشف الحساب'!$N$4:$N$253,0),0))),"")</f>
        <v/>
      </c>
      <c r="F136" s="70" t="str">
        <f>IFERROR(IF(IFERROR(MATCH(132,'كشف الحساب'!$N$4:$N$253,0),0)=0,"",INDEX('كشف الحساب'!$F$4:$F$253,IFERROR(MATCH(132,'كشف الحساب'!$N$4:$N$253,0),0))),"")</f>
        <v/>
      </c>
      <c r="G136" s="70" t="str">
        <f>IFERROR(IF(IFERROR(MATCH(132,'كشف الحساب'!$N$4:$N$253,0),0)=0,"",INDEX('كشف الحساب'!$G$4:$G$253,IFERROR(MATCH(132,'كشف الحساب'!$N$4:$N$253,0),0))),"")</f>
        <v/>
      </c>
      <c r="H136" s="70" t="str">
        <f>IFERROR(IF(IFERROR(MATCH(132,'كشف الحساب'!$N$4:$N$253,0),0)=0,"",INDEX('كشف الحساب'!$H$4:$H$253,IFERROR(MATCH(132,'كشف الحساب'!$N$4:$N$253,0),0))),"")</f>
        <v/>
      </c>
      <c r="I136" s="70" t="str">
        <f>IFERROR(IF(IFERROR(MATCH(132,'كشف الحساب'!$N$4:$N$253,0),0)=0,"",INDEX('كشف الحساب'!$I$4:$I$253,IFERROR(MATCH(132,'كشف الحساب'!$N$4:$N$253,0),0))),"")</f>
        <v/>
      </c>
      <c r="J136" s="74" t="str">
        <f>IFERROR(IF(IFERROR(MATCH(132,'كشف الحساب'!$N$4:$N$253,0),0)=0,"",INDEX('كشف الحساب'!$J$4:$J$253,IFERROR(MATCH(132,'كشف الحساب'!$N$4:$N$253,0),0))),"")</f>
        <v/>
      </c>
      <c r="K136" s="70" t="str">
        <f>IFERROR(IF(IFERROR(MATCH(132,'كشف الحساب'!$N$4:$N$253,0),0)=0,"",INDEX('كشف الحساب'!$K$4:$K$253,IFERROR(MATCH(132,'كشف الحساب'!$N$4:$N$253,0),0))),"")</f>
        <v/>
      </c>
    </row>
    <row r="137" spans="1:11" ht="15" customHeight="1" x14ac:dyDescent="0.25">
      <c r="A137" s="63" t="str">
        <f>IFERROR(IF(IFERROR(MATCH(133,'كشف الحساب'!$N$4:$N$253,0),0)=0,"",INDEX('كشف الحساب'!$A$4:$A$253,IFERROR(MATCH(133,'كشف الحساب'!$N$4:$N$253,0),0))),"")</f>
        <v/>
      </c>
      <c r="B137" s="64" t="str">
        <f>IFERROR(IF(IFERROR(MATCH(133,'كشف الحساب'!$N$4:$N$253,0),0)=0,"",INDEX('كشف الحساب'!$B$4:$B$253,IFERROR(MATCH(133,'كشف الحساب'!$N$4:$N$253,0),0))),"")</f>
        <v/>
      </c>
      <c r="C137" s="65" t="str">
        <f>IFERROR(IF(IFERROR(MATCH(133,'كشف الحساب'!$N$4:$N$253,0),0)=0,"",INDEX('كشف الحساب'!$C$4:$C$253,IFERROR(MATCH(133,'كشف الحساب'!$N$4:$N$253,0),0))),"")</f>
        <v/>
      </c>
      <c r="D137" s="66" t="str">
        <f>IFERROR(IF(IFERROR(MATCH(133,'كشف الحساب'!$N$4:$N$253,0),0)=0,"",INDEX('كشف الحساب'!$D$4:$D$253,IFERROR(MATCH(133,'كشف الحساب'!$N$4:$N$253,0),0))),"")</f>
        <v/>
      </c>
      <c r="E137" s="67" t="str">
        <f>IFERROR(IF(IFERROR(MATCH(133,'كشف الحساب'!$N$4:$N$253,0),0)=0,"",INDEX('كشف الحساب'!$E$4:$E$253,IFERROR(MATCH(133,'كشف الحساب'!$N$4:$N$253,0),0))),"")</f>
        <v/>
      </c>
      <c r="F137" s="64" t="str">
        <f>IFERROR(IF(IFERROR(MATCH(133,'كشف الحساب'!$N$4:$N$253,0),0)=0,"",INDEX('كشف الحساب'!$F$4:$F$253,IFERROR(MATCH(133,'كشف الحساب'!$N$4:$N$253,0),0))),"")</f>
        <v/>
      </c>
      <c r="G137" s="64" t="str">
        <f>IFERROR(IF(IFERROR(MATCH(133,'كشف الحساب'!$N$4:$N$253,0),0)=0,"",INDEX('كشف الحساب'!$G$4:$G$253,IFERROR(MATCH(133,'كشف الحساب'!$N$4:$N$253,0),0))),"")</f>
        <v/>
      </c>
      <c r="H137" s="64" t="str">
        <f>IFERROR(IF(IFERROR(MATCH(133,'كشف الحساب'!$N$4:$N$253,0),0)=0,"",INDEX('كشف الحساب'!$H$4:$H$253,IFERROR(MATCH(133,'كشف الحساب'!$N$4:$N$253,0),0))),"")</f>
        <v/>
      </c>
      <c r="I137" s="64" t="str">
        <f>IFERROR(IF(IFERROR(MATCH(133,'كشف الحساب'!$N$4:$N$253,0),0)=0,"",INDEX('كشف الحساب'!$I$4:$I$253,IFERROR(MATCH(133,'كشف الحساب'!$N$4:$N$253,0),0))),"")</f>
        <v/>
      </c>
      <c r="J137" s="68" t="str">
        <f>IFERROR(IF(IFERROR(MATCH(133,'كشف الحساب'!$N$4:$N$253,0),0)=0,"",INDEX('كشف الحساب'!$J$4:$J$253,IFERROR(MATCH(133,'كشف الحساب'!$N$4:$N$253,0),0))),"")</f>
        <v/>
      </c>
      <c r="K137" s="64" t="str">
        <f>IFERROR(IF(IFERROR(MATCH(133,'كشف الحساب'!$N$4:$N$253,0),0)=0,"",INDEX('كشف الحساب'!$K$4:$K$253,IFERROR(MATCH(133,'كشف الحساب'!$N$4:$N$253,0),0))),"")</f>
        <v/>
      </c>
    </row>
    <row r="138" spans="1:11" ht="15" customHeight="1" x14ac:dyDescent="0.25">
      <c r="A138" s="69" t="str">
        <f>IFERROR(IF(IFERROR(MATCH(134,'كشف الحساب'!$N$4:$N$253,0),0)=0,"",INDEX('كشف الحساب'!$A$4:$A$253,IFERROR(MATCH(134,'كشف الحساب'!$N$4:$N$253,0),0))),"")</f>
        <v/>
      </c>
      <c r="B138" s="70" t="str">
        <f>IFERROR(IF(IFERROR(MATCH(134,'كشف الحساب'!$N$4:$N$253,0),0)=0,"",INDEX('كشف الحساب'!$B$4:$B$253,IFERROR(MATCH(134,'كشف الحساب'!$N$4:$N$253,0),0))),"")</f>
        <v/>
      </c>
      <c r="C138" s="71" t="str">
        <f>IFERROR(IF(IFERROR(MATCH(134,'كشف الحساب'!$N$4:$N$253,0),0)=0,"",INDEX('كشف الحساب'!$C$4:$C$253,IFERROR(MATCH(134,'كشف الحساب'!$N$4:$N$253,0),0))),"")</f>
        <v/>
      </c>
      <c r="D138" s="72" t="str">
        <f>IFERROR(IF(IFERROR(MATCH(134,'كشف الحساب'!$N$4:$N$253,0),0)=0,"",INDEX('كشف الحساب'!$D$4:$D$253,IFERROR(MATCH(134,'كشف الحساب'!$N$4:$N$253,0),0))),"")</f>
        <v/>
      </c>
      <c r="E138" s="73" t="str">
        <f>IFERROR(IF(IFERROR(MATCH(134,'كشف الحساب'!$N$4:$N$253,0),0)=0,"",INDEX('كشف الحساب'!$E$4:$E$253,IFERROR(MATCH(134,'كشف الحساب'!$N$4:$N$253,0),0))),"")</f>
        <v/>
      </c>
      <c r="F138" s="70" t="str">
        <f>IFERROR(IF(IFERROR(MATCH(134,'كشف الحساب'!$N$4:$N$253,0),0)=0,"",INDEX('كشف الحساب'!$F$4:$F$253,IFERROR(MATCH(134,'كشف الحساب'!$N$4:$N$253,0),0))),"")</f>
        <v/>
      </c>
      <c r="G138" s="70" t="str">
        <f>IFERROR(IF(IFERROR(MATCH(134,'كشف الحساب'!$N$4:$N$253,0),0)=0,"",INDEX('كشف الحساب'!$G$4:$G$253,IFERROR(MATCH(134,'كشف الحساب'!$N$4:$N$253,0),0))),"")</f>
        <v/>
      </c>
      <c r="H138" s="70" t="str">
        <f>IFERROR(IF(IFERROR(MATCH(134,'كشف الحساب'!$N$4:$N$253,0),0)=0,"",INDEX('كشف الحساب'!$H$4:$H$253,IFERROR(MATCH(134,'كشف الحساب'!$N$4:$N$253,0),0))),"")</f>
        <v/>
      </c>
      <c r="I138" s="70" t="str">
        <f>IFERROR(IF(IFERROR(MATCH(134,'كشف الحساب'!$N$4:$N$253,0),0)=0,"",INDEX('كشف الحساب'!$I$4:$I$253,IFERROR(MATCH(134,'كشف الحساب'!$N$4:$N$253,0),0))),"")</f>
        <v/>
      </c>
      <c r="J138" s="74" t="str">
        <f>IFERROR(IF(IFERROR(MATCH(134,'كشف الحساب'!$N$4:$N$253,0),0)=0,"",INDEX('كشف الحساب'!$J$4:$J$253,IFERROR(MATCH(134,'كشف الحساب'!$N$4:$N$253,0),0))),"")</f>
        <v/>
      </c>
      <c r="K138" s="70" t="str">
        <f>IFERROR(IF(IFERROR(MATCH(134,'كشف الحساب'!$N$4:$N$253,0),0)=0,"",INDEX('كشف الحساب'!$K$4:$K$253,IFERROR(MATCH(134,'كشف الحساب'!$N$4:$N$253,0),0))),"")</f>
        <v/>
      </c>
    </row>
    <row r="139" spans="1:11" ht="15" customHeight="1" x14ac:dyDescent="0.25">
      <c r="A139" s="63" t="str">
        <f>IFERROR(IF(IFERROR(MATCH(135,'كشف الحساب'!$N$4:$N$253,0),0)=0,"",INDEX('كشف الحساب'!$A$4:$A$253,IFERROR(MATCH(135,'كشف الحساب'!$N$4:$N$253,0),0))),"")</f>
        <v/>
      </c>
      <c r="B139" s="64" t="str">
        <f>IFERROR(IF(IFERROR(MATCH(135,'كشف الحساب'!$N$4:$N$253,0),0)=0,"",INDEX('كشف الحساب'!$B$4:$B$253,IFERROR(MATCH(135,'كشف الحساب'!$N$4:$N$253,0),0))),"")</f>
        <v/>
      </c>
      <c r="C139" s="65" t="str">
        <f>IFERROR(IF(IFERROR(MATCH(135,'كشف الحساب'!$N$4:$N$253,0),0)=0,"",INDEX('كشف الحساب'!$C$4:$C$253,IFERROR(MATCH(135,'كشف الحساب'!$N$4:$N$253,0),0))),"")</f>
        <v/>
      </c>
      <c r="D139" s="66" t="str">
        <f>IFERROR(IF(IFERROR(MATCH(135,'كشف الحساب'!$N$4:$N$253,0),0)=0,"",INDEX('كشف الحساب'!$D$4:$D$253,IFERROR(MATCH(135,'كشف الحساب'!$N$4:$N$253,0),0))),"")</f>
        <v/>
      </c>
      <c r="E139" s="67" t="str">
        <f>IFERROR(IF(IFERROR(MATCH(135,'كشف الحساب'!$N$4:$N$253,0),0)=0,"",INDEX('كشف الحساب'!$E$4:$E$253,IFERROR(MATCH(135,'كشف الحساب'!$N$4:$N$253,0),0))),"")</f>
        <v/>
      </c>
      <c r="F139" s="64" t="str">
        <f>IFERROR(IF(IFERROR(MATCH(135,'كشف الحساب'!$N$4:$N$253,0),0)=0,"",INDEX('كشف الحساب'!$F$4:$F$253,IFERROR(MATCH(135,'كشف الحساب'!$N$4:$N$253,0),0))),"")</f>
        <v/>
      </c>
      <c r="G139" s="64" t="str">
        <f>IFERROR(IF(IFERROR(MATCH(135,'كشف الحساب'!$N$4:$N$253,0),0)=0,"",INDEX('كشف الحساب'!$G$4:$G$253,IFERROR(MATCH(135,'كشف الحساب'!$N$4:$N$253,0),0))),"")</f>
        <v/>
      </c>
      <c r="H139" s="64" t="str">
        <f>IFERROR(IF(IFERROR(MATCH(135,'كشف الحساب'!$N$4:$N$253,0),0)=0,"",INDEX('كشف الحساب'!$H$4:$H$253,IFERROR(MATCH(135,'كشف الحساب'!$N$4:$N$253,0),0))),"")</f>
        <v/>
      </c>
      <c r="I139" s="64" t="str">
        <f>IFERROR(IF(IFERROR(MATCH(135,'كشف الحساب'!$N$4:$N$253,0),0)=0,"",INDEX('كشف الحساب'!$I$4:$I$253,IFERROR(MATCH(135,'كشف الحساب'!$N$4:$N$253,0),0))),"")</f>
        <v/>
      </c>
      <c r="J139" s="68" t="str">
        <f>IFERROR(IF(IFERROR(MATCH(135,'كشف الحساب'!$N$4:$N$253,0),0)=0,"",INDEX('كشف الحساب'!$J$4:$J$253,IFERROR(MATCH(135,'كشف الحساب'!$N$4:$N$253,0),0))),"")</f>
        <v/>
      </c>
      <c r="K139" s="64" t="str">
        <f>IFERROR(IF(IFERROR(MATCH(135,'كشف الحساب'!$N$4:$N$253,0),0)=0,"",INDEX('كشف الحساب'!$K$4:$K$253,IFERROR(MATCH(135,'كشف الحساب'!$N$4:$N$253,0),0))),"")</f>
        <v/>
      </c>
    </row>
    <row r="140" spans="1:11" ht="15" customHeight="1" x14ac:dyDescent="0.25">
      <c r="A140" s="69" t="str">
        <f>IFERROR(IF(IFERROR(MATCH(136,'كشف الحساب'!$N$4:$N$253,0),0)=0,"",INDEX('كشف الحساب'!$A$4:$A$253,IFERROR(MATCH(136,'كشف الحساب'!$N$4:$N$253,0),0))),"")</f>
        <v/>
      </c>
      <c r="B140" s="70" t="str">
        <f>IFERROR(IF(IFERROR(MATCH(136,'كشف الحساب'!$N$4:$N$253,0),0)=0,"",INDEX('كشف الحساب'!$B$4:$B$253,IFERROR(MATCH(136,'كشف الحساب'!$N$4:$N$253,0),0))),"")</f>
        <v/>
      </c>
      <c r="C140" s="71" t="str">
        <f>IFERROR(IF(IFERROR(MATCH(136,'كشف الحساب'!$N$4:$N$253,0),0)=0,"",INDEX('كشف الحساب'!$C$4:$C$253,IFERROR(MATCH(136,'كشف الحساب'!$N$4:$N$253,0),0))),"")</f>
        <v/>
      </c>
      <c r="D140" s="72" t="str">
        <f>IFERROR(IF(IFERROR(MATCH(136,'كشف الحساب'!$N$4:$N$253,0),0)=0,"",INDEX('كشف الحساب'!$D$4:$D$253,IFERROR(MATCH(136,'كشف الحساب'!$N$4:$N$253,0),0))),"")</f>
        <v/>
      </c>
      <c r="E140" s="73" t="str">
        <f>IFERROR(IF(IFERROR(MATCH(136,'كشف الحساب'!$N$4:$N$253,0),0)=0,"",INDEX('كشف الحساب'!$E$4:$E$253,IFERROR(MATCH(136,'كشف الحساب'!$N$4:$N$253,0),0))),"")</f>
        <v/>
      </c>
      <c r="F140" s="70" t="str">
        <f>IFERROR(IF(IFERROR(MATCH(136,'كشف الحساب'!$N$4:$N$253,0),0)=0,"",INDEX('كشف الحساب'!$F$4:$F$253,IFERROR(MATCH(136,'كشف الحساب'!$N$4:$N$253,0),0))),"")</f>
        <v/>
      </c>
      <c r="G140" s="70" t="str">
        <f>IFERROR(IF(IFERROR(MATCH(136,'كشف الحساب'!$N$4:$N$253,0),0)=0,"",INDEX('كشف الحساب'!$G$4:$G$253,IFERROR(MATCH(136,'كشف الحساب'!$N$4:$N$253,0),0))),"")</f>
        <v/>
      </c>
      <c r="H140" s="70" t="str">
        <f>IFERROR(IF(IFERROR(MATCH(136,'كشف الحساب'!$N$4:$N$253,0),0)=0,"",INDEX('كشف الحساب'!$H$4:$H$253,IFERROR(MATCH(136,'كشف الحساب'!$N$4:$N$253,0),0))),"")</f>
        <v/>
      </c>
      <c r="I140" s="70" t="str">
        <f>IFERROR(IF(IFERROR(MATCH(136,'كشف الحساب'!$N$4:$N$253,0),0)=0,"",INDEX('كشف الحساب'!$I$4:$I$253,IFERROR(MATCH(136,'كشف الحساب'!$N$4:$N$253,0),0))),"")</f>
        <v/>
      </c>
      <c r="J140" s="74" t="str">
        <f>IFERROR(IF(IFERROR(MATCH(136,'كشف الحساب'!$N$4:$N$253,0),0)=0,"",INDEX('كشف الحساب'!$J$4:$J$253,IFERROR(MATCH(136,'كشف الحساب'!$N$4:$N$253,0),0))),"")</f>
        <v/>
      </c>
      <c r="K140" s="70" t="str">
        <f>IFERROR(IF(IFERROR(MATCH(136,'كشف الحساب'!$N$4:$N$253,0),0)=0,"",INDEX('كشف الحساب'!$K$4:$K$253,IFERROR(MATCH(136,'كشف الحساب'!$N$4:$N$253,0),0))),"")</f>
        <v/>
      </c>
    </row>
    <row r="141" spans="1:11" ht="15" customHeight="1" x14ac:dyDescent="0.25">
      <c r="A141" s="63" t="str">
        <f>IFERROR(IF(IFERROR(MATCH(137,'كشف الحساب'!$N$4:$N$253,0),0)=0,"",INDEX('كشف الحساب'!$A$4:$A$253,IFERROR(MATCH(137,'كشف الحساب'!$N$4:$N$253,0),0))),"")</f>
        <v/>
      </c>
      <c r="B141" s="64" t="str">
        <f>IFERROR(IF(IFERROR(MATCH(137,'كشف الحساب'!$N$4:$N$253,0),0)=0,"",INDEX('كشف الحساب'!$B$4:$B$253,IFERROR(MATCH(137,'كشف الحساب'!$N$4:$N$253,0),0))),"")</f>
        <v/>
      </c>
      <c r="C141" s="65" t="str">
        <f>IFERROR(IF(IFERROR(MATCH(137,'كشف الحساب'!$N$4:$N$253,0),0)=0,"",INDEX('كشف الحساب'!$C$4:$C$253,IFERROR(MATCH(137,'كشف الحساب'!$N$4:$N$253,0),0))),"")</f>
        <v/>
      </c>
      <c r="D141" s="66" t="str">
        <f>IFERROR(IF(IFERROR(MATCH(137,'كشف الحساب'!$N$4:$N$253,0),0)=0,"",INDEX('كشف الحساب'!$D$4:$D$253,IFERROR(MATCH(137,'كشف الحساب'!$N$4:$N$253,0),0))),"")</f>
        <v/>
      </c>
      <c r="E141" s="67" t="str">
        <f>IFERROR(IF(IFERROR(MATCH(137,'كشف الحساب'!$N$4:$N$253,0),0)=0,"",INDEX('كشف الحساب'!$E$4:$E$253,IFERROR(MATCH(137,'كشف الحساب'!$N$4:$N$253,0),0))),"")</f>
        <v/>
      </c>
      <c r="F141" s="64" t="str">
        <f>IFERROR(IF(IFERROR(MATCH(137,'كشف الحساب'!$N$4:$N$253,0),0)=0,"",INDEX('كشف الحساب'!$F$4:$F$253,IFERROR(MATCH(137,'كشف الحساب'!$N$4:$N$253,0),0))),"")</f>
        <v/>
      </c>
      <c r="G141" s="64" t="str">
        <f>IFERROR(IF(IFERROR(MATCH(137,'كشف الحساب'!$N$4:$N$253,0),0)=0,"",INDEX('كشف الحساب'!$G$4:$G$253,IFERROR(MATCH(137,'كشف الحساب'!$N$4:$N$253,0),0))),"")</f>
        <v/>
      </c>
      <c r="H141" s="64" t="str">
        <f>IFERROR(IF(IFERROR(MATCH(137,'كشف الحساب'!$N$4:$N$253,0),0)=0,"",INDEX('كشف الحساب'!$H$4:$H$253,IFERROR(MATCH(137,'كشف الحساب'!$N$4:$N$253,0),0))),"")</f>
        <v/>
      </c>
      <c r="I141" s="64" t="str">
        <f>IFERROR(IF(IFERROR(MATCH(137,'كشف الحساب'!$N$4:$N$253,0),0)=0,"",INDEX('كشف الحساب'!$I$4:$I$253,IFERROR(MATCH(137,'كشف الحساب'!$N$4:$N$253,0),0))),"")</f>
        <v/>
      </c>
      <c r="J141" s="68" t="str">
        <f>IFERROR(IF(IFERROR(MATCH(137,'كشف الحساب'!$N$4:$N$253,0),0)=0,"",INDEX('كشف الحساب'!$J$4:$J$253,IFERROR(MATCH(137,'كشف الحساب'!$N$4:$N$253,0),0))),"")</f>
        <v/>
      </c>
      <c r="K141" s="64" t="str">
        <f>IFERROR(IF(IFERROR(MATCH(137,'كشف الحساب'!$N$4:$N$253,0),0)=0,"",INDEX('كشف الحساب'!$K$4:$K$253,IFERROR(MATCH(137,'كشف الحساب'!$N$4:$N$253,0),0))),"")</f>
        <v/>
      </c>
    </row>
    <row r="142" spans="1:11" ht="15" customHeight="1" x14ac:dyDescent="0.25">
      <c r="A142" s="69" t="str">
        <f>IFERROR(IF(IFERROR(MATCH(138,'كشف الحساب'!$N$4:$N$253,0),0)=0,"",INDEX('كشف الحساب'!$A$4:$A$253,IFERROR(MATCH(138,'كشف الحساب'!$N$4:$N$253,0),0))),"")</f>
        <v/>
      </c>
      <c r="B142" s="70" t="str">
        <f>IFERROR(IF(IFERROR(MATCH(138,'كشف الحساب'!$N$4:$N$253,0),0)=0,"",INDEX('كشف الحساب'!$B$4:$B$253,IFERROR(MATCH(138,'كشف الحساب'!$N$4:$N$253,0),0))),"")</f>
        <v/>
      </c>
      <c r="C142" s="71" t="str">
        <f>IFERROR(IF(IFERROR(MATCH(138,'كشف الحساب'!$N$4:$N$253,0),0)=0,"",INDEX('كشف الحساب'!$C$4:$C$253,IFERROR(MATCH(138,'كشف الحساب'!$N$4:$N$253,0),0))),"")</f>
        <v/>
      </c>
      <c r="D142" s="72" t="str">
        <f>IFERROR(IF(IFERROR(MATCH(138,'كشف الحساب'!$N$4:$N$253,0),0)=0,"",INDEX('كشف الحساب'!$D$4:$D$253,IFERROR(MATCH(138,'كشف الحساب'!$N$4:$N$253,0),0))),"")</f>
        <v/>
      </c>
      <c r="E142" s="73" t="str">
        <f>IFERROR(IF(IFERROR(MATCH(138,'كشف الحساب'!$N$4:$N$253,0),0)=0,"",INDEX('كشف الحساب'!$E$4:$E$253,IFERROR(MATCH(138,'كشف الحساب'!$N$4:$N$253,0),0))),"")</f>
        <v/>
      </c>
      <c r="F142" s="70" t="str">
        <f>IFERROR(IF(IFERROR(MATCH(138,'كشف الحساب'!$N$4:$N$253,0),0)=0,"",INDEX('كشف الحساب'!$F$4:$F$253,IFERROR(MATCH(138,'كشف الحساب'!$N$4:$N$253,0),0))),"")</f>
        <v/>
      </c>
      <c r="G142" s="70" t="str">
        <f>IFERROR(IF(IFERROR(MATCH(138,'كشف الحساب'!$N$4:$N$253,0),0)=0,"",INDEX('كشف الحساب'!$G$4:$G$253,IFERROR(MATCH(138,'كشف الحساب'!$N$4:$N$253,0),0))),"")</f>
        <v/>
      </c>
      <c r="H142" s="70" t="str">
        <f>IFERROR(IF(IFERROR(MATCH(138,'كشف الحساب'!$N$4:$N$253,0),0)=0,"",INDEX('كشف الحساب'!$H$4:$H$253,IFERROR(MATCH(138,'كشف الحساب'!$N$4:$N$253,0),0))),"")</f>
        <v/>
      </c>
      <c r="I142" s="70" t="str">
        <f>IFERROR(IF(IFERROR(MATCH(138,'كشف الحساب'!$N$4:$N$253,0),0)=0,"",INDEX('كشف الحساب'!$I$4:$I$253,IFERROR(MATCH(138,'كشف الحساب'!$N$4:$N$253,0),0))),"")</f>
        <v/>
      </c>
      <c r="J142" s="74" t="str">
        <f>IFERROR(IF(IFERROR(MATCH(138,'كشف الحساب'!$N$4:$N$253,0),0)=0,"",INDEX('كشف الحساب'!$J$4:$J$253,IFERROR(MATCH(138,'كشف الحساب'!$N$4:$N$253,0),0))),"")</f>
        <v/>
      </c>
      <c r="K142" s="70" t="str">
        <f>IFERROR(IF(IFERROR(MATCH(138,'كشف الحساب'!$N$4:$N$253,0),0)=0,"",INDEX('كشف الحساب'!$K$4:$K$253,IFERROR(MATCH(138,'كشف الحساب'!$N$4:$N$253,0),0))),"")</f>
        <v/>
      </c>
    </row>
    <row r="143" spans="1:11" ht="15" customHeight="1" x14ac:dyDescent="0.25">
      <c r="A143" s="63" t="str">
        <f>IFERROR(IF(IFERROR(MATCH(139,'كشف الحساب'!$N$4:$N$253,0),0)=0,"",INDEX('كشف الحساب'!$A$4:$A$253,IFERROR(MATCH(139,'كشف الحساب'!$N$4:$N$253,0),0))),"")</f>
        <v/>
      </c>
      <c r="B143" s="64" t="str">
        <f>IFERROR(IF(IFERROR(MATCH(139,'كشف الحساب'!$N$4:$N$253,0),0)=0,"",INDEX('كشف الحساب'!$B$4:$B$253,IFERROR(MATCH(139,'كشف الحساب'!$N$4:$N$253,0),0))),"")</f>
        <v/>
      </c>
      <c r="C143" s="65" t="str">
        <f>IFERROR(IF(IFERROR(MATCH(139,'كشف الحساب'!$N$4:$N$253,0),0)=0,"",INDEX('كشف الحساب'!$C$4:$C$253,IFERROR(MATCH(139,'كشف الحساب'!$N$4:$N$253,0),0))),"")</f>
        <v/>
      </c>
      <c r="D143" s="66" t="str">
        <f>IFERROR(IF(IFERROR(MATCH(139,'كشف الحساب'!$N$4:$N$253,0),0)=0,"",INDEX('كشف الحساب'!$D$4:$D$253,IFERROR(MATCH(139,'كشف الحساب'!$N$4:$N$253,0),0))),"")</f>
        <v/>
      </c>
      <c r="E143" s="67" t="str">
        <f>IFERROR(IF(IFERROR(MATCH(139,'كشف الحساب'!$N$4:$N$253,0),0)=0,"",INDEX('كشف الحساب'!$E$4:$E$253,IFERROR(MATCH(139,'كشف الحساب'!$N$4:$N$253,0),0))),"")</f>
        <v/>
      </c>
      <c r="F143" s="64" t="str">
        <f>IFERROR(IF(IFERROR(MATCH(139,'كشف الحساب'!$N$4:$N$253,0),0)=0,"",INDEX('كشف الحساب'!$F$4:$F$253,IFERROR(MATCH(139,'كشف الحساب'!$N$4:$N$253,0),0))),"")</f>
        <v/>
      </c>
      <c r="G143" s="64" t="str">
        <f>IFERROR(IF(IFERROR(MATCH(139,'كشف الحساب'!$N$4:$N$253,0),0)=0,"",INDEX('كشف الحساب'!$G$4:$G$253,IFERROR(MATCH(139,'كشف الحساب'!$N$4:$N$253,0),0))),"")</f>
        <v/>
      </c>
      <c r="H143" s="64" t="str">
        <f>IFERROR(IF(IFERROR(MATCH(139,'كشف الحساب'!$N$4:$N$253,0),0)=0,"",INDEX('كشف الحساب'!$H$4:$H$253,IFERROR(MATCH(139,'كشف الحساب'!$N$4:$N$253,0),0))),"")</f>
        <v/>
      </c>
      <c r="I143" s="64" t="str">
        <f>IFERROR(IF(IFERROR(MATCH(139,'كشف الحساب'!$N$4:$N$253,0),0)=0,"",INDEX('كشف الحساب'!$I$4:$I$253,IFERROR(MATCH(139,'كشف الحساب'!$N$4:$N$253,0),0))),"")</f>
        <v/>
      </c>
      <c r="J143" s="68" t="str">
        <f>IFERROR(IF(IFERROR(MATCH(139,'كشف الحساب'!$N$4:$N$253,0),0)=0,"",INDEX('كشف الحساب'!$J$4:$J$253,IFERROR(MATCH(139,'كشف الحساب'!$N$4:$N$253,0),0))),"")</f>
        <v/>
      </c>
      <c r="K143" s="64" t="str">
        <f>IFERROR(IF(IFERROR(MATCH(139,'كشف الحساب'!$N$4:$N$253,0),0)=0,"",INDEX('كشف الحساب'!$K$4:$K$253,IFERROR(MATCH(139,'كشف الحساب'!$N$4:$N$253,0),0))),"")</f>
        <v/>
      </c>
    </row>
    <row r="144" spans="1:11" ht="15" customHeight="1" x14ac:dyDescent="0.25">
      <c r="A144" s="69" t="str">
        <f>IFERROR(IF(IFERROR(MATCH(140,'كشف الحساب'!$N$4:$N$253,0),0)=0,"",INDEX('كشف الحساب'!$A$4:$A$253,IFERROR(MATCH(140,'كشف الحساب'!$N$4:$N$253,0),0))),"")</f>
        <v/>
      </c>
      <c r="B144" s="70" t="str">
        <f>IFERROR(IF(IFERROR(MATCH(140,'كشف الحساب'!$N$4:$N$253,0),0)=0,"",INDEX('كشف الحساب'!$B$4:$B$253,IFERROR(MATCH(140,'كشف الحساب'!$N$4:$N$253,0),0))),"")</f>
        <v/>
      </c>
      <c r="C144" s="71" t="str">
        <f>IFERROR(IF(IFERROR(MATCH(140,'كشف الحساب'!$N$4:$N$253,0),0)=0,"",INDEX('كشف الحساب'!$C$4:$C$253,IFERROR(MATCH(140,'كشف الحساب'!$N$4:$N$253,0),0))),"")</f>
        <v/>
      </c>
      <c r="D144" s="72" t="str">
        <f>IFERROR(IF(IFERROR(MATCH(140,'كشف الحساب'!$N$4:$N$253,0),0)=0,"",INDEX('كشف الحساب'!$D$4:$D$253,IFERROR(MATCH(140,'كشف الحساب'!$N$4:$N$253,0),0))),"")</f>
        <v/>
      </c>
      <c r="E144" s="73" t="str">
        <f>IFERROR(IF(IFERROR(MATCH(140,'كشف الحساب'!$N$4:$N$253,0),0)=0,"",INDEX('كشف الحساب'!$E$4:$E$253,IFERROR(MATCH(140,'كشف الحساب'!$N$4:$N$253,0),0))),"")</f>
        <v/>
      </c>
      <c r="F144" s="70" t="str">
        <f>IFERROR(IF(IFERROR(MATCH(140,'كشف الحساب'!$N$4:$N$253,0),0)=0,"",INDEX('كشف الحساب'!$F$4:$F$253,IFERROR(MATCH(140,'كشف الحساب'!$N$4:$N$253,0),0))),"")</f>
        <v/>
      </c>
      <c r="G144" s="70" t="str">
        <f>IFERROR(IF(IFERROR(MATCH(140,'كشف الحساب'!$N$4:$N$253,0),0)=0,"",INDEX('كشف الحساب'!$G$4:$G$253,IFERROR(MATCH(140,'كشف الحساب'!$N$4:$N$253,0),0))),"")</f>
        <v/>
      </c>
      <c r="H144" s="70" t="str">
        <f>IFERROR(IF(IFERROR(MATCH(140,'كشف الحساب'!$N$4:$N$253,0),0)=0,"",INDEX('كشف الحساب'!$H$4:$H$253,IFERROR(MATCH(140,'كشف الحساب'!$N$4:$N$253,0),0))),"")</f>
        <v/>
      </c>
      <c r="I144" s="70" t="str">
        <f>IFERROR(IF(IFERROR(MATCH(140,'كشف الحساب'!$N$4:$N$253,0),0)=0,"",INDEX('كشف الحساب'!$I$4:$I$253,IFERROR(MATCH(140,'كشف الحساب'!$N$4:$N$253,0),0))),"")</f>
        <v/>
      </c>
      <c r="J144" s="74" t="str">
        <f>IFERROR(IF(IFERROR(MATCH(140,'كشف الحساب'!$N$4:$N$253,0),0)=0,"",INDEX('كشف الحساب'!$J$4:$J$253,IFERROR(MATCH(140,'كشف الحساب'!$N$4:$N$253,0),0))),"")</f>
        <v/>
      </c>
      <c r="K144" s="70" t="str">
        <f>IFERROR(IF(IFERROR(MATCH(140,'كشف الحساب'!$N$4:$N$253,0),0)=0,"",INDEX('كشف الحساب'!$K$4:$K$253,IFERROR(MATCH(140,'كشف الحساب'!$N$4:$N$253,0),0))),"")</f>
        <v/>
      </c>
    </row>
    <row r="145" spans="1:11" ht="15" customHeight="1" x14ac:dyDescent="0.25">
      <c r="A145" s="63" t="str">
        <f>IFERROR(IF(IFERROR(MATCH(141,'كشف الحساب'!$N$4:$N$253,0),0)=0,"",INDEX('كشف الحساب'!$A$4:$A$253,IFERROR(MATCH(141,'كشف الحساب'!$N$4:$N$253,0),0))),"")</f>
        <v/>
      </c>
      <c r="B145" s="64" t="str">
        <f>IFERROR(IF(IFERROR(MATCH(141,'كشف الحساب'!$N$4:$N$253,0),0)=0,"",INDEX('كشف الحساب'!$B$4:$B$253,IFERROR(MATCH(141,'كشف الحساب'!$N$4:$N$253,0),0))),"")</f>
        <v/>
      </c>
      <c r="C145" s="65" t="str">
        <f>IFERROR(IF(IFERROR(MATCH(141,'كشف الحساب'!$N$4:$N$253,0),0)=0,"",INDEX('كشف الحساب'!$C$4:$C$253,IFERROR(MATCH(141,'كشف الحساب'!$N$4:$N$253,0),0))),"")</f>
        <v/>
      </c>
      <c r="D145" s="66" t="str">
        <f>IFERROR(IF(IFERROR(MATCH(141,'كشف الحساب'!$N$4:$N$253,0),0)=0,"",INDEX('كشف الحساب'!$D$4:$D$253,IFERROR(MATCH(141,'كشف الحساب'!$N$4:$N$253,0),0))),"")</f>
        <v/>
      </c>
      <c r="E145" s="67" t="str">
        <f>IFERROR(IF(IFERROR(MATCH(141,'كشف الحساب'!$N$4:$N$253,0),0)=0,"",INDEX('كشف الحساب'!$E$4:$E$253,IFERROR(MATCH(141,'كشف الحساب'!$N$4:$N$253,0),0))),"")</f>
        <v/>
      </c>
      <c r="F145" s="64" t="str">
        <f>IFERROR(IF(IFERROR(MATCH(141,'كشف الحساب'!$N$4:$N$253,0),0)=0,"",INDEX('كشف الحساب'!$F$4:$F$253,IFERROR(MATCH(141,'كشف الحساب'!$N$4:$N$253,0),0))),"")</f>
        <v/>
      </c>
      <c r="G145" s="64" t="str">
        <f>IFERROR(IF(IFERROR(MATCH(141,'كشف الحساب'!$N$4:$N$253,0),0)=0,"",INDEX('كشف الحساب'!$G$4:$G$253,IFERROR(MATCH(141,'كشف الحساب'!$N$4:$N$253,0),0))),"")</f>
        <v/>
      </c>
      <c r="H145" s="64" t="str">
        <f>IFERROR(IF(IFERROR(MATCH(141,'كشف الحساب'!$N$4:$N$253,0),0)=0,"",INDEX('كشف الحساب'!$H$4:$H$253,IFERROR(MATCH(141,'كشف الحساب'!$N$4:$N$253,0),0))),"")</f>
        <v/>
      </c>
      <c r="I145" s="64" t="str">
        <f>IFERROR(IF(IFERROR(MATCH(141,'كشف الحساب'!$N$4:$N$253,0),0)=0,"",INDEX('كشف الحساب'!$I$4:$I$253,IFERROR(MATCH(141,'كشف الحساب'!$N$4:$N$253,0),0))),"")</f>
        <v/>
      </c>
      <c r="J145" s="68" t="str">
        <f>IFERROR(IF(IFERROR(MATCH(141,'كشف الحساب'!$N$4:$N$253,0),0)=0,"",INDEX('كشف الحساب'!$J$4:$J$253,IFERROR(MATCH(141,'كشف الحساب'!$N$4:$N$253,0),0))),"")</f>
        <v/>
      </c>
      <c r="K145" s="64" t="str">
        <f>IFERROR(IF(IFERROR(MATCH(141,'كشف الحساب'!$N$4:$N$253,0),0)=0,"",INDEX('كشف الحساب'!$K$4:$K$253,IFERROR(MATCH(141,'كشف الحساب'!$N$4:$N$253,0),0))),"")</f>
        <v/>
      </c>
    </row>
    <row r="146" spans="1:11" ht="15" customHeight="1" x14ac:dyDescent="0.25">
      <c r="A146" s="69" t="str">
        <f>IFERROR(IF(IFERROR(MATCH(142,'كشف الحساب'!$N$4:$N$253,0),0)=0,"",INDEX('كشف الحساب'!$A$4:$A$253,IFERROR(MATCH(142,'كشف الحساب'!$N$4:$N$253,0),0))),"")</f>
        <v/>
      </c>
      <c r="B146" s="70" t="str">
        <f>IFERROR(IF(IFERROR(MATCH(142,'كشف الحساب'!$N$4:$N$253,0),0)=0,"",INDEX('كشف الحساب'!$B$4:$B$253,IFERROR(MATCH(142,'كشف الحساب'!$N$4:$N$253,0),0))),"")</f>
        <v/>
      </c>
      <c r="C146" s="71" t="str">
        <f>IFERROR(IF(IFERROR(MATCH(142,'كشف الحساب'!$N$4:$N$253,0),0)=0,"",INDEX('كشف الحساب'!$C$4:$C$253,IFERROR(MATCH(142,'كشف الحساب'!$N$4:$N$253,0),0))),"")</f>
        <v/>
      </c>
      <c r="D146" s="72" t="str">
        <f>IFERROR(IF(IFERROR(MATCH(142,'كشف الحساب'!$N$4:$N$253,0),0)=0,"",INDEX('كشف الحساب'!$D$4:$D$253,IFERROR(MATCH(142,'كشف الحساب'!$N$4:$N$253,0),0))),"")</f>
        <v/>
      </c>
      <c r="E146" s="73" t="str">
        <f>IFERROR(IF(IFERROR(MATCH(142,'كشف الحساب'!$N$4:$N$253,0),0)=0,"",INDEX('كشف الحساب'!$E$4:$E$253,IFERROR(MATCH(142,'كشف الحساب'!$N$4:$N$253,0),0))),"")</f>
        <v/>
      </c>
      <c r="F146" s="70" t="str">
        <f>IFERROR(IF(IFERROR(MATCH(142,'كشف الحساب'!$N$4:$N$253,0),0)=0,"",INDEX('كشف الحساب'!$F$4:$F$253,IFERROR(MATCH(142,'كشف الحساب'!$N$4:$N$253,0),0))),"")</f>
        <v/>
      </c>
      <c r="G146" s="70" t="str">
        <f>IFERROR(IF(IFERROR(MATCH(142,'كشف الحساب'!$N$4:$N$253,0),0)=0,"",INDEX('كشف الحساب'!$G$4:$G$253,IFERROR(MATCH(142,'كشف الحساب'!$N$4:$N$253,0),0))),"")</f>
        <v/>
      </c>
      <c r="H146" s="70" t="str">
        <f>IFERROR(IF(IFERROR(MATCH(142,'كشف الحساب'!$N$4:$N$253,0),0)=0,"",INDEX('كشف الحساب'!$H$4:$H$253,IFERROR(MATCH(142,'كشف الحساب'!$N$4:$N$253,0),0))),"")</f>
        <v/>
      </c>
      <c r="I146" s="70" t="str">
        <f>IFERROR(IF(IFERROR(MATCH(142,'كشف الحساب'!$N$4:$N$253,0),0)=0,"",INDEX('كشف الحساب'!$I$4:$I$253,IFERROR(MATCH(142,'كشف الحساب'!$N$4:$N$253,0),0))),"")</f>
        <v/>
      </c>
      <c r="J146" s="74" t="str">
        <f>IFERROR(IF(IFERROR(MATCH(142,'كشف الحساب'!$N$4:$N$253,0),0)=0,"",INDEX('كشف الحساب'!$J$4:$J$253,IFERROR(MATCH(142,'كشف الحساب'!$N$4:$N$253,0),0))),"")</f>
        <v/>
      </c>
      <c r="K146" s="70" t="str">
        <f>IFERROR(IF(IFERROR(MATCH(142,'كشف الحساب'!$N$4:$N$253,0),0)=0,"",INDEX('كشف الحساب'!$K$4:$K$253,IFERROR(MATCH(142,'كشف الحساب'!$N$4:$N$253,0),0))),"")</f>
        <v/>
      </c>
    </row>
    <row r="147" spans="1:11" ht="15" customHeight="1" x14ac:dyDescent="0.25">
      <c r="A147" s="63" t="str">
        <f>IFERROR(IF(IFERROR(MATCH(143,'كشف الحساب'!$N$4:$N$253,0),0)=0,"",INDEX('كشف الحساب'!$A$4:$A$253,IFERROR(MATCH(143,'كشف الحساب'!$N$4:$N$253,0),0))),"")</f>
        <v/>
      </c>
      <c r="B147" s="64" t="str">
        <f>IFERROR(IF(IFERROR(MATCH(143,'كشف الحساب'!$N$4:$N$253,0),0)=0,"",INDEX('كشف الحساب'!$B$4:$B$253,IFERROR(MATCH(143,'كشف الحساب'!$N$4:$N$253,0),0))),"")</f>
        <v/>
      </c>
      <c r="C147" s="65" t="str">
        <f>IFERROR(IF(IFERROR(MATCH(143,'كشف الحساب'!$N$4:$N$253,0),0)=0,"",INDEX('كشف الحساب'!$C$4:$C$253,IFERROR(MATCH(143,'كشف الحساب'!$N$4:$N$253,0),0))),"")</f>
        <v/>
      </c>
      <c r="D147" s="66" t="str">
        <f>IFERROR(IF(IFERROR(MATCH(143,'كشف الحساب'!$N$4:$N$253,0),0)=0,"",INDEX('كشف الحساب'!$D$4:$D$253,IFERROR(MATCH(143,'كشف الحساب'!$N$4:$N$253,0),0))),"")</f>
        <v/>
      </c>
      <c r="E147" s="67" t="str">
        <f>IFERROR(IF(IFERROR(MATCH(143,'كشف الحساب'!$N$4:$N$253,0),0)=0,"",INDEX('كشف الحساب'!$E$4:$E$253,IFERROR(MATCH(143,'كشف الحساب'!$N$4:$N$253,0),0))),"")</f>
        <v/>
      </c>
      <c r="F147" s="64" t="str">
        <f>IFERROR(IF(IFERROR(MATCH(143,'كشف الحساب'!$N$4:$N$253,0),0)=0,"",INDEX('كشف الحساب'!$F$4:$F$253,IFERROR(MATCH(143,'كشف الحساب'!$N$4:$N$253,0),0))),"")</f>
        <v/>
      </c>
      <c r="G147" s="64" t="str">
        <f>IFERROR(IF(IFERROR(MATCH(143,'كشف الحساب'!$N$4:$N$253,0),0)=0,"",INDEX('كشف الحساب'!$G$4:$G$253,IFERROR(MATCH(143,'كشف الحساب'!$N$4:$N$253,0),0))),"")</f>
        <v/>
      </c>
      <c r="H147" s="64" t="str">
        <f>IFERROR(IF(IFERROR(MATCH(143,'كشف الحساب'!$N$4:$N$253,0),0)=0,"",INDEX('كشف الحساب'!$H$4:$H$253,IFERROR(MATCH(143,'كشف الحساب'!$N$4:$N$253,0),0))),"")</f>
        <v/>
      </c>
      <c r="I147" s="64" t="str">
        <f>IFERROR(IF(IFERROR(MATCH(143,'كشف الحساب'!$N$4:$N$253,0),0)=0,"",INDEX('كشف الحساب'!$I$4:$I$253,IFERROR(MATCH(143,'كشف الحساب'!$N$4:$N$253,0),0))),"")</f>
        <v/>
      </c>
      <c r="J147" s="68" t="str">
        <f>IFERROR(IF(IFERROR(MATCH(143,'كشف الحساب'!$N$4:$N$253,0),0)=0,"",INDEX('كشف الحساب'!$J$4:$J$253,IFERROR(MATCH(143,'كشف الحساب'!$N$4:$N$253,0),0))),"")</f>
        <v/>
      </c>
      <c r="K147" s="64" t="str">
        <f>IFERROR(IF(IFERROR(MATCH(143,'كشف الحساب'!$N$4:$N$253,0),0)=0,"",INDEX('كشف الحساب'!$K$4:$K$253,IFERROR(MATCH(143,'كشف الحساب'!$N$4:$N$253,0),0))),"")</f>
        <v/>
      </c>
    </row>
    <row r="148" spans="1:11" ht="15" customHeight="1" x14ac:dyDescent="0.25">
      <c r="A148" s="69" t="str">
        <f>IFERROR(IF(IFERROR(MATCH(144,'كشف الحساب'!$N$4:$N$253,0),0)=0,"",INDEX('كشف الحساب'!$A$4:$A$253,IFERROR(MATCH(144,'كشف الحساب'!$N$4:$N$253,0),0))),"")</f>
        <v/>
      </c>
      <c r="B148" s="70" t="str">
        <f>IFERROR(IF(IFERROR(MATCH(144,'كشف الحساب'!$N$4:$N$253,0),0)=0,"",INDEX('كشف الحساب'!$B$4:$B$253,IFERROR(MATCH(144,'كشف الحساب'!$N$4:$N$253,0),0))),"")</f>
        <v/>
      </c>
      <c r="C148" s="71" t="str">
        <f>IFERROR(IF(IFERROR(MATCH(144,'كشف الحساب'!$N$4:$N$253,0),0)=0,"",INDEX('كشف الحساب'!$C$4:$C$253,IFERROR(MATCH(144,'كشف الحساب'!$N$4:$N$253,0),0))),"")</f>
        <v/>
      </c>
      <c r="D148" s="72" t="str">
        <f>IFERROR(IF(IFERROR(MATCH(144,'كشف الحساب'!$N$4:$N$253,0),0)=0,"",INDEX('كشف الحساب'!$D$4:$D$253,IFERROR(MATCH(144,'كشف الحساب'!$N$4:$N$253,0),0))),"")</f>
        <v/>
      </c>
      <c r="E148" s="73" t="str">
        <f>IFERROR(IF(IFERROR(MATCH(144,'كشف الحساب'!$N$4:$N$253,0),0)=0,"",INDEX('كشف الحساب'!$E$4:$E$253,IFERROR(MATCH(144,'كشف الحساب'!$N$4:$N$253,0),0))),"")</f>
        <v/>
      </c>
      <c r="F148" s="70" t="str">
        <f>IFERROR(IF(IFERROR(MATCH(144,'كشف الحساب'!$N$4:$N$253,0),0)=0,"",INDEX('كشف الحساب'!$F$4:$F$253,IFERROR(MATCH(144,'كشف الحساب'!$N$4:$N$253,0),0))),"")</f>
        <v/>
      </c>
      <c r="G148" s="70" t="str">
        <f>IFERROR(IF(IFERROR(MATCH(144,'كشف الحساب'!$N$4:$N$253,0),0)=0,"",INDEX('كشف الحساب'!$G$4:$G$253,IFERROR(MATCH(144,'كشف الحساب'!$N$4:$N$253,0),0))),"")</f>
        <v/>
      </c>
      <c r="H148" s="70" t="str">
        <f>IFERROR(IF(IFERROR(MATCH(144,'كشف الحساب'!$N$4:$N$253,0),0)=0,"",INDEX('كشف الحساب'!$H$4:$H$253,IFERROR(MATCH(144,'كشف الحساب'!$N$4:$N$253,0),0))),"")</f>
        <v/>
      </c>
      <c r="I148" s="70" t="str">
        <f>IFERROR(IF(IFERROR(MATCH(144,'كشف الحساب'!$N$4:$N$253,0),0)=0,"",INDEX('كشف الحساب'!$I$4:$I$253,IFERROR(MATCH(144,'كشف الحساب'!$N$4:$N$253,0),0))),"")</f>
        <v/>
      </c>
      <c r="J148" s="74" t="str">
        <f>IFERROR(IF(IFERROR(MATCH(144,'كشف الحساب'!$N$4:$N$253,0),0)=0,"",INDEX('كشف الحساب'!$J$4:$J$253,IFERROR(MATCH(144,'كشف الحساب'!$N$4:$N$253,0),0))),"")</f>
        <v/>
      </c>
      <c r="K148" s="70" t="str">
        <f>IFERROR(IF(IFERROR(MATCH(144,'كشف الحساب'!$N$4:$N$253,0),0)=0,"",INDEX('كشف الحساب'!$K$4:$K$253,IFERROR(MATCH(144,'كشف الحساب'!$N$4:$N$253,0),0))),"")</f>
        <v/>
      </c>
    </row>
    <row r="149" spans="1:11" ht="15" customHeight="1" x14ac:dyDescent="0.25">
      <c r="A149" s="63" t="str">
        <f>IFERROR(IF(IFERROR(MATCH(145,'كشف الحساب'!$N$4:$N$253,0),0)=0,"",INDEX('كشف الحساب'!$A$4:$A$253,IFERROR(MATCH(145,'كشف الحساب'!$N$4:$N$253,0),0))),"")</f>
        <v/>
      </c>
      <c r="B149" s="64" t="str">
        <f>IFERROR(IF(IFERROR(MATCH(145,'كشف الحساب'!$N$4:$N$253,0),0)=0,"",INDEX('كشف الحساب'!$B$4:$B$253,IFERROR(MATCH(145,'كشف الحساب'!$N$4:$N$253,0),0))),"")</f>
        <v/>
      </c>
      <c r="C149" s="65" t="str">
        <f>IFERROR(IF(IFERROR(MATCH(145,'كشف الحساب'!$N$4:$N$253,0),0)=0,"",INDEX('كشف الحساب'!$C$4:$C$253,IFERROR(MATCH(145,'كشف الحساب'!$N$4:$N$253,0),0))),"")</f>
        <v/>
      </c>
      <c r="D149" s="66" t="str">
        <f>IFERROR(IF(IFERROR(MATCH(145,'كشف الحساب'!$N$4:$N$253,0),0)=0,"",INDEX('كشف الحساب'!$D$4:$D$253,IFERROR(MATCH(145,'كشف الحساب'!$N$4:$N$253,0),0))),"")</f>
        <v/>
      </c>
      <c r="E149" s="67" t="str">
        <f>IFERROR(IF(IFERROR(MATCH(145,'كشف الحساب'!$N$4:$N$253,0),0)=0,"",INDEX('كشف الحساب'!$E$4:$E$253,IFERROR(MATCH(145,'كشف الحساب'!$N$4:$N$253,0),0))),"")</f>
        <v/>
      </c>
      <c r="F149" s="64" t="str">
        <f>IFERROR(IF(IFERROR(MATCH(145,'كشف الحساب'!$N$4:$N$253,0),0)=0,"",INDEX('كشف الحساب'!$F$4:$F$253,IFERROR(MATCH(145,'كشف الحساب'!$N$4:$N$253,0),0))),"")</f>
        <v/>
      </c>
      <c r="G149" s="64" t="str">
        <f>IFERROR(IF(IFERROR(MATCH(145,'كشف الحساب'!$N$4:$N$253,0),0)=0,"",INDEX('كشف الحساب'!$G$4:$G$253,IFERROR(MATCH(145,'كشف الحساب'!$N$4:$N$253,0),0))),"")</f>
        <v/>
      </c>
      <c r="H149" s="64" t="str">
        <f>IFERROR(IF(IFERROR(MATCH(145,'كشف الحساب'!$N$4:$N$253,0),0)=0,"",INDEX('كشف الحساب'!$H$4:$H$253,IFERROR(MATCH(145,'كشف الحساب'!$N$4:$N$253,0),0))),"")</f>
        <v/>
      </c>
      <c r="I149" s="64" t="str">
        <f>IFERROR(IF(IFERROR(MATCH(145,'كشف الحساب'!$N$4:$N$253,0),0)=0,"",INDEX('كشف الحساب'!$I$4:$I$253,IFERROR(MATCH(145,'كشف الحساب'!$N$4:$N$253,0),0))),"")</f>
        <v/>
      </c>
      <c r="J149" s="68" t="str">
        <f>IFERROR(IF(IFERROR(MATCH(145,'كشف الحساب'!$N$4:$N$253,0),0)=0,"",INDEX('كشف الحساب'!$J$4:$J$253,IFERROR(MATCH(145,'كشف الحساب'!$N$4:$N$253,0),0))),"")</f>
        <v/>
      </c>
      <c r="K149" s="64" t="str">
        <f>IFERROR(IF(IFERROR(MATCH(145,'كشف الحساب'!$N$4:$N$253,0),0)=0,"",INDEX('كشف الحساب'!$K$4:$K$253,IFERROR(MATCH(145,'كشف الحساب'!$N$4:$N$253,0),0))),"")</f>
        <v/>
      </c>
    </row>
    <row r="150" spans="1:11" ht="15" customHeight="1" x14ac:dyDescent="0.25">
      <c r="A150" s="69" t="str">
        <f>IFERROR(IF(IFERROR(MATCH(146,'كشف الحساب'!$N$4:$N$253,0),0)=0,"",INDEX('كشف الحساب'!$A$4:$A$253,IFERROR(MATCH(146,'كشف الحساب'!$N$4:$N$253,0),0))),"")</f>
        <v/>
      </c>
      <c r="B150" s="70" t="str">
        <f>IFERROR(IF(IFERROR(MATCH(146,'كشف الحساب'!$N$4:$N$253,0),0)=0,"",INDEX('كشف الحساب'!$B$4:$B$253,IFERROR(MATCH(146,'كشف الحساب'!$N$4:$N$253,0),0))),"")</f>
        <v/>
      </c>
      <c r="C150" s="71" t="str">
        <f>IFERROR(IF(IFERROR(MATCH(146,'كشف الحساب'!$N$4:$N$253,0),0)=0,"",INDEX('كشف الحساب'!$C$4:$C$253,IFERROR(MATCH(146,'كشف الحساب'!$N$4:$N$253,0),0))),"")</f>
        <v/>
      </c>
      <c r="D150" s="72" t="str">
        <f>IFERROR(IF(IFERROR(MATCH(146,'كشف الحساب'!$N$4:$N$253,0),0)=0,"",INDEX('كشف الحساب'!$D$4:$D$253,IFERROR(MATCH(146,'كشف الحساب'!$N$4:$N$253,0),0))),"")</f>
        <v/>
      </c>
      <c r="E150" s="73" t="str">
        <f>IFERROR(IF(IFERROR(MATCH(146,'كشف الحساب'!$N$4:$N$253,0),0)=0,"",INDEX('كشف الحساب'!$E$4:$E$253,IFERROR(MATCH(146,'كشف الحساب'!$N$4:$N$253,0),0))),"")</f>
        <v/>
      </c>
      <c r="F150" s="70" t="str">
        <f>IFERROR(IF(IFERROR(MATCH(146,'كشف الحساب'!$N$4:$N$253,0),0)=0,"",INDEX('كشف الحساب'!$F$4:$F$253,IFERROR(MATCH(146,'كشف الحساب'!$N$4:$N$253,0),0))),"")</f>
        <v/>
      </c>
      <c r="G150" s="70" t="str">
        <f>IFERROR(IF(IFERROR(MATCH(146,'كشف الحساب'!$N$4:$N$253,0),0)=0,"",INDEX('كشف الحساب'!$G$4:$G$253,IFERROR(MATCH(146,'كشف الحساب'!$N$4:$N$253,0),0))),"")</f>
        <v/>
      </c>
      <c r="H150" s="70" t="str">
        <f>IFERROR(IF(IFERROR(MATCH(146,'كشف الحساب'!$N$4:$N$253,0),0)=0,"",INDEX('كشف الحساب'!$H$4:$H$253,IFERROR(MATCH(146,'كشف الحساب'!$N$4:$N$253,0),0))),"")</f>
        <v/>
      </c>
      <c r="I150" s="70" t="str">
        <f>IFERROR(IF(IFERROR(MATCH(146,'كشف الحساب'!$N$4:$N$253,0),0)=0,"",INDEX('كشف الحساب'!$I$4:$I$253,IFERROR(MATCH(146,'كشف الحساب'!$N$4:$N$253,0),0))),"")</f>
        <v/>
      </c>
      <c r="J150" s="74" t="str">
        <f>IFERROR(IF(IFERROR(MATCH(146,'كشف الحساب'!$N$4:$N$253,0),0)=0,"",INDEX('كشف الحساب'!$J$4:$J$253,IFERROR(MATCH(146,'كشف الحساب'!$N$4:$N$253,0),0))),"")</f>
        <v/>
      </c>
      <c r="K150" s="70" t="str">
        <f>IFERROR(IF(IFERROR(MATCH(146,'كشف الحساب'!$N$4:$N$253,0),0)=0,"",INDEX('كشف الحساب'!$K$4:$K$253,IFERROR(MATCH(146,'كشف الحساب'!$N$4:$N$253,0),0))),"")</f>
        <v/>
      </c>
    </row>
    <row r="151" spans="1:11" ht="15" customHeight="1" x14ac:dyDescent="0.25">
      <c r="A151" s="63" t="str">
        <f>IFERROR(IF(IFERROR(MATCH(147,'كشف الحساب'!$N$4:$N$253,0),0)=0,"",INDEX('كشف الحساب'!$A$4:$A$253,IFERROR(MATCH(147,'كشف الحساب'!$N$4:$N$253,0),0))),"")</f>
        <v/>
      </c>
      <c r="B151" s="64" t="str">
        <f>IFERROR(IF(IFERROR(MATCH(147,'كشف الحساب'!$N$4:$N$253,0),0)=0,"",INDEX('كشف الحساب'!$B$4:$B$253,IFERROR(MATCH(147,'كشف الحساب'!$N$4:$N$253,0),0))),"")</f>
        <v/>
      </c>
      <c r="C151" s="65" t="str">
        <f>IFERROR(IF(IFERROR(MATCH(147,'كشف الحساب'!$N$4:$N$253,0),0)=0,"",INDEX('كشف الحساب'!$C$4:$C$253,IFERROR(MATCH(147,'كشف الحساب'!$N$4:$N$253,0),0))),"")</f>
        <v/>
      </c>
      <c r="D151" s="66" t="str">
        <f>IFERROR(IF(IFERROR(MATCH(147,'كشف الحساب'!$N$4:$N$253,0),0)=0,"",INDEX('كشف الحساب'!$D$4:$D$253,IFERROR(MATCH(147,'كشف الحساب'!$N$4:$N$253,0),0))),"")</f>
        <v/>
      </c>
      <c r="E151" s="67" t="str">
        <f>IFERROR(IF(IFERROR(MATCH(147,'كشف الحساب'!$N$4:$N$253,0),0)=0,"",INDEX('كشف الحساب'!$E$4:$E$253,IFERROR(MATCH(147,'كشف الحساب'!$N$4:$N$253,0),0))),"")</f>
        <v/>
      </c>
      <c r="F151" s="64" t="str">
        <f>IFERROR(IF(IFERROR(MATCH(147,'كشف الحساب'!$N$4:$N$253,0),0)=0,"",INDEX('كشف الحساب'!$F$4:$F$253,IFERROR(MATCH(147,'كشف الحساب'!$N$4:$N$253,0),0))),"")</f>
        <v/>
      </c>
      <c r="G151" s="64" t="str">
        <f>IFERROR(IF(IFERROR(MATCH(147,'كشف الحساب'!$N$4:$N$253,0),0)=0,"",INDEX('كشف الحساب'!$G$4:$G$253,IFERROR(MATCH(147,'كشف الحساب'!$N$4:$N$253,0),0))),"")</f>
        <v/>
      </c>
      <c r="H151" s="64" t="str">
        <f>IFERROR(IF(IFERROR(MATCH(147,'كشف الحساب'!$N$4:$N$253,0),0)=0,"",INDEX('كشف الحساب'!$H$4:$H$253,IFERROR(MATCH(147,'كشف الحساب'!$N$4:$N$253,0),0))),"")</f>
        <v/>
      </c>
      <c r="I151" s="64" t="str">
        <f>IFERROR(IF(IFERROR(MATCH(147,'كشف الحساب'!$N$4:$N$253,0),0)=0,"",INDEX('كشف الحساب'!$I$4:$I$253,IFERROR(MATCH(147,'كشف الحساب'!$N$4:$N$253,0),0))),"")</f>
        <v/>
      </c>
      <c r="J151" s="68" t="str">
        <f>IFERROR(IF(IFERROR(MATCH(147,'كشف الحساب'!$N$4:$N$253,0),0)=0,"",INDEX('كشف الحساب'!$J$4:$J$253,IFERROR(MATCH(147,'كشف الحساب'!$N$4:$N$253,0),0))),"")</f>
        <v/>
      </c>
      <c r="K151" s="64" t="str">
        <f>IFERROR(IF(IFERROR(MATCH(147,'كشف الحساب'!$N$4:$N$253,0),0)=0,"",INDEX('كشف الحساب'!$K$4:$K$253,IFERROR(MATCH(147,'كشف الحساب'!$N$4:$N$253,0),0))),"")</f>
        <v/>
      </c>
    </row>
    <row r="152" spans="1:11" ht="15" customHeight="1" x14ac:dyDescent="0.25">
      <c r="A152" s="69" t="str">
        <f>IFERROR(IF(IFERROR(MATCH(148,'كشف الحساب'!$N$4:$N$253,0),0)=0,"",INDEX('كشف الحساب'!$A$4:$A$253,IFERROR(MATCH(148,'كشف الحساب'!$N$4:$N$253,0),0))),"")</f>
        <v/>
      </c>
      <c r="B152" s="70" t="str">
        <f>IFERROR(IF(IFERROR(MATCH(148,'كشف الحساب'!$N$4:$N$253,0),0)=0,"",INDEX('كشف الحساب'!$B$4:$B$253,IFERROR(MATCH(148,'كشف الحساب'!$N$4:$N$253,0),0))),"")</f>
        <v/>
      </c>
      <c r="C152" s="71" t="str">
        <f>IFERROR(IF(IFERROR(MATCH(148,'كشف الحساب'!$N$4:$N$253,0),0)=0,"",INDEX('كشف الحساب'!$C$4:$C$253,IFERROR(MATCH(148,'كشف الحساب'!$N$4:$N$253,0),0))),"")</f>
        <v/>
      </c>
      <c r="D152" s="72" t="str">
        <f>IFERROR(IF(IFERROR(MATCH(148,'كشف الحساب'!$N$4:$N$253,0),0)=0,"",INDEX('كشف الحساب'!$D$4:$D$253,IFERROR(MATCH(148,'كشف الحساب'!$N$4:$N$253,0),0))),"")</f>
        <v/>
      </c>
      <c r="E152" s="73" t="str">
        <f>IFERROR(IF(IFERROR(MATCH(148,'كشف الحساب'!$N$4:$N$253,0),0)=0,"",INDEX('كشف الحساب'!$E$4:$E$253,IFERROR(MATCH(148,'كشف الحساب'!$N$4:$N$253,0),0))),"")</f>
        <v/>
      </c>
      <c r="F152" s="70" t="str">
        <f>IFERROR(IF(IFERROR(MATCH(148,'كشف الحساب'!$N$4:$N$253,0),0)=0,"",INDEX('كشف الحساب'!$F$4:$F$253,IFERROR(MATCH(148,'كشف الحساب'!$N$4:$N$253,0),0))),"")</f>
        <v/>
      </c>
      <c r="G152" s="70" t="str">
        <f>IFERROR(IF(IFERROR(MATCH(148,'كشف الحساب'!$N$4:$N$253,0),0)=0,"",INDEX('كشف الحساب'!$G$4:$G$253,IFERROR(MATCH(148,'كشف الحساب'!$N$4:$N$253,0),0))),"")</f>
        <v/>
      </c>
      <c r="H152" s="70" t="str">
        <f>IFERROR(IF(IFERROR(MATCH(148,'كشف الحساب'!$N$4:$N$253,0),0)=0,"",INDEX('كشف الحساب'!$H$4:$H$253,IFERROR(MATCH(148,'كشف الحساب'!$N$4:$N$253,0),0))),"")</f>
        <v/>
      </c>
      <c r="I152" s="70" t="str">
        <f>IFERROR(IF(IFERROR(MATCH(148,'كشف الحساب'!$N$4:$N$253,0),0)=0,"",INDEX('كشف الحساب'!$I$4:$I$253,IFERROR(MATCH(148,'كشف الحساب'!$N$4:$N$253,0),0))),"")</f>
        <v/>
      </c>
      <c r="J152" s="74" t="str">
        <f>IFERROR(IF(IFERROR(MATCH(148,'كشف الحساب'!$N$4:$N$253,0),0)=0,"",INDEX('كشف الحساب'!$J$4:$J$253,IFERROR(MATCH(148,'كشف الحساب'!$N$4:$N$253,0),0))),"")</f>
        <v/>
      </c>
      <c r="K152" s="70" t="str">
        <f>IFERROR(IF(IFERROR(MATCH(148,'كشف الحساب'!$N$4:$N$253,0),0)=0,"",INDEX('كشف الحساب'!$K$4:$K$253,IFERROR(MATCH(148,'كشف الحساب'!$N$4:$N$253,0),0))),"")</f>
        <v/>
      </c>
    </row>
    <row r="153" spans="1:11" ht="15" customHeight="1" x14ac:dyDescent="0.25">
      <c r="A153" s="63" t="str">
        <f>IFERROR(IF(IFERROR(MATCH(149,'كشف الحساب'!$N$4:$N$253,0),0)=0,"",INDEX('كشف الحساب'!$A$4:$A$253,IFERROR(MATCH(149,'كشف الحساب'!$N$4:$N$253,0),0))),"")</f>
        <v/>
      </c>
      <c r="B153" s="64" t="str">
        <f>IFERROR(IF(IFERROR(MATCH(149,'كشف الحساب'!$N$4:$N$253,0),0)=0,"",INDEX('كشف الحساب'!$B$4:$B$253,IFERROR(MATCH(149,'كشف الحساب'!$N$4:$N$253,0),0))),"")</f>
        <v/>
      </c>
      <c r="C153" s="65" t="str">
        <f>IFERROR(IF(IFERROR(MATCH(149,'كشف الحساب'!$N$4:$N$253,0),0)=0,"",INDEX('كشف الحساب'!$C$4:$C$253,IFERROR(MATCH(149,'كشف الحساب'!$N$4:$N$253,0),0))),"")</f>
        <v/>
      </c>
      <c r="D153" s="66" t="str">
        <f>IFERROR(IF(IFERROR(MATCH(149,'كشف الحساب'!$N$4:$N$253,0),0)=0,"",INDEX('كشف الحساب'!$D$4:$D$253,IFERROR(MATCH(149,'كشف الحساب'!$N$4:$N$253,0),0))),"")</f>
        <v/>
      </c>
      <c r="E153" s="67" t="str">
        <f>IFERROR(IF(IFERROR(MATCH(149,'كشف الحساب'!$N$4:$N$253,0),0)=0,"",INDEX('كشف الحساب'!$E$4:$E$253,IFERROR(MATCH(149,'كشف الحساب'!$N$4:$N$253,0),0))),"")</f>
        <v/>
      </c>
      <c r="F153" s="64" t="str">
        <f>IFERROR(IF(IFERROR(MATCH(149,'كشف الحساب'!$N$4:$N$253,0),0)=0,"",INDEX('كشف الحساب'!$F$4:$F$253,IFERROR(MATCH(149,'كشف الحساب'!$N$4:$N$253,0),0))),"")</f>
        <v/>
      </c>
      <c r="G153" s="64" t="str">
        <f>IFERROR(IF(IFERROR(MATCH(149,'كشف الحساب'!$N$4:$N$253,0),0)=0,"",INDEX('كشف الحساب'!$G$4:$G$253,IFERROR(MATCH(149,'كشف الحساب'!$N$4:$N$253,0),0))),"")</f>
        <v/>
      </c>
      <c r="H153" s="64" t="str">
        <f>IFERROR(IF(IFERROR(MATCH(149,'كشف الحساب'!$N$4:$N$253,0),0)=0,"",INDEX('كشف الحساب'!$H$4:$H$253,IFERROR(MATCH(149,'كشف الحساب'!$N$4:$N$253,0),0))),"")</f>
        <v/>
      </c>
      <c r="I153" s="64" t="str">
        <f>IFERROR(IF(IFERROR(MATCH(149,'كشف الحساب'!$N$4:$N$253,0),0)=0,"",INDEX('كشف الحساب'!$I$4:$I$253,IFERROR(MATCH(149,'كشف الحساب'!$N$4:$N$253,0),0))),"")</f>
        <v/>
      </c>
      <c r="J153" s="68" t="str">
        <f>IFERROR(IF(IFERROR(MATCH(149,'كشف الحساب'!$N$4:$N$253,0),0)=0,"",INDEX('كشف الحساب'!$J$4:$J$253,IFERROR(MATCH(149,'كشف الحساب'!$N$4:$N$253,0),0))),"")</f>
        <v/>
      </c>
      <c r="K153" s="64" t="str">
        <f>IFERROR(IF(IFERROR(MATCH(149,'كشف الحساب'!$N$4:$N$253,0),0)=0,"",INDEX('كشف الحساب'!$K$4:$K$253,IFERROR(MATCH(149,'كشف الحساب'!$N$4:$N$253,0),0))),"")</f>
        <v/>
      </c>
    </row>
    <row r="154" spans="1:11" ht="15" customHeight="1" x14ac:dyDescent="0.25">
      <c r="A154" s="69" t="str">
        <f>IFERROR(IF(IFERROR(MATCH(150,'كشف الحساب'!$N$4:$N$253,0),0)=0,"",INDEX('كشف الحساب'!$A$4:$A$253,IFERROR(MATCH(150,'كشف الحساب'!$N$4:$N$253,0),0))),"")</f>
        <v/>
      </c>
      <c r="B154" s="70" t="str">
        <f>IFERROR(IF(IFERROR(MATCH(150,'كشف الحساب'!$N$4:$N$253,0),0)=0,"",INDEX('كشف الحساب'!$B$4:$B$253,IFERROR(MATCH(150,'كشف الحساب'!$N$4:$N$253,0),0))),"")</f>
        <v/>
      </c>
      <c r="C154" s="71" t="str">
        <f>IFERROR(IF(IFERROR(MATCH(150,'كشف الحساب'!$N$4:$N$253,0),0)=0,"",INDEX('كشف الحساب'!$C$4:$C$253,IFERROR(MATCH(150,'كشف الحساب'!$N$4:$N$253,0),0))),"")</f>
        <v/>
      </c>
      <c r="D154" s="72" t="str">
        <f>IFERROR(IF(IFERROR(MATCH(150,'كشف الحساب'!$N$4:$N$253,0),0)=0,"",INDEX('كشف الحساب'!$D$4:$D$253,IFERROR(MATCH(150,'كشف الحساب'!$N$4:$N$253,0),0))),"")</f>
        <v/>
      </c>
      <c r="E154" s="73" t="str">
        <f>IFERROR(IF(IFERROR(MATCH(150,'كشف الحساب'!$N$4:$N$253,0),0)=0,"",INDEX('كشف الحساب'!$E$4:$E$253,IFERROR(MATCH(150,'كشف الحساب'!$N$4:$N$253,0),0))),"")</f>
        <v/>
      </c>
      <c r="F154" s="70" t="str">
        <f>IFERROR(IF(IFERROR(MATCH(150,'كشف الحساب'!$N$4:$N$253,0),0)=0,"",INDEX('كشف الحساب'!$F$4:$F$253,IFERROR(MATCH(150,'كشف الحساب'!$N$4:$N$253,0),0))),"")</f>
        <v/>
      </c>
      <c r="G154" s="70" t="str">
        <f>IFERROR(IF(IFERROR(MATCH(150,'كشف الحساب'!$N$4:$N$253,0),0)=0,"",INDEX('كشف الحساب'!$G$4:$G$253,IFERROR(MATCH(150,'كشف الحساب'!$N$4:$N$253,0),0))),"")</f>
        <v/>
      </c>
      <c r="H154" s="70" t="str">
        <f>IFERROR(IF(IFERROR(MATCH(150,'كشف الحساب'!$N$4:$N$253,0),0)=0,"",INDEX('كشف الحساب'!$H$4:$H$253,IFERROR(MATCH(150,'كشف الحساب'!$N$4:$N$253,0),0))),"")</f>
        <v/>
      </c>
      <c r="I154" s="70" t="str">
        <f>IFERROR(IF(IFERROR(MATCH(150,'كشف الحساب'!$N$4:$N$253,0),0)=0,"",INDEX('كشف الحساب'!$I$4:$I$253,IFERROR(MATCH(150,'كشف الحساب'!$N$4:$N$253,0),0))),"")</f>
        <v/>
      </c>
      <c r="J154" s="74" t="str">
        <f>IFERROR(IF(IFERROR(MATCH(150,'كشف الحساب'!$N$4:$N$253,0),0)=0,"",INDEX('كشف الحساب'!$J$4:$J$253,IFERROR(MATCH(150,'كشف الحساب'!$N$4:$N$253,0),0))),"")</f>
        <v/>
      </c>
      <c r="K154" s="70" t="str">
        <f>IFERROR(IF(IFERROR(MATCH(150,'كشف الحساب'!$N$4:$N$253,0),0)=0,"",INDEX('كشف الحساب'!$K$4:$K$253,IFERROR(MATCH(150,'كشف الحساب'!$N$4:$N$253,0),0))),"")</f>
        <v/>
      </c>
    </row>
    <row r="155" spans="1:11" ht="21.75" customHeight="1" x14ac:dyDescent="0.25">
      <c r="A155" s="175" t="s">
        <v>265</v>
      </c>
      <c r="B155" s="161"/>
      <c r="C155" s="161"/>
      <c r="D155" s="75">
        <f>SUM(D5:D154)</f>
        <v>1364.45</v>
      </c>
      <c r="E155" s="75">
        <f>SUM(E5:E154)</f>
        <v>602.5</v>
      </c>
      <c r="F155" s="176">
        <f>COUNTIF(H5:H154,"معلق")</f>
        <v>0</v>
      </c>
      <c r="G155" s="161"/>
      <c r="H155" s="161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80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0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9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9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1">
        <f>SUM(E5:E107)</f>
        <v>0</v>
      </c>
      <c r="F108" s="161"/>
      <c r="G108" s="162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2026-10-02T14:29:34Z</dcterms:modified>
  <dc:language>en-US</dc:language>
</cp:coreProperties>
</file>