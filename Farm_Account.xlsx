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CA3676DA-9F92-4C3C-BB38-1065313E2728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Q273" i="2"/>
  <c r="P273" i="2"/>
  <c r="O273" i="2"/>
  <c r="N273" i="2"/>
  <c r="M273" i="2"/>
  <c r="L273" i="2"/>
  <c r="Q272" i="2"/>
  <c r="P272" i="2"/>
  <c r="O272" i="2"/>
  <c r="N272" i="2"/>
  <c r="M272" i="2"/>
  <c r="L272" i="2"/>
  <c r="Q271" i="2"/>
  <c r="P271" i="2"/>
  <c r="O271" i="2"/>
  <c r="N271" i="2"/>
  <c r="M271" i="2"/>
  <c r="L271" i="2"/>
  <c r="Q270" i="2"/>
  <c r="P270" i="2"/>
  <c r="O270" i="2"/>
  <c r="N270" i="2"/>
  <c r="M270" i="2"/>
  <c r="L270" i="2"/>
  <c r="Q269" i="2"/>
  <c r="P269" i="2"/>
  <c r="O269" i="2"/>
  <c r="N269" i="2"/>
  <c r="M269" i="2"/>
  <c r="L269" i="2"/>
  <c r="Q268" i="2"/>
  <c r="P268" i="2"/>
  <c r="O268" i="2"/>
  <c r="N268" i="2"/>
  <c r="M268" i="2"/>
  <c r="L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A222" i="1" s="1"/>
  <c r="P4" i="2"/>
  <c r="A200" i="1" s="1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B219" i="1"/>
  <c r="D216" i="1"/>
  <c r="C212" i="1"/>
  <c r="C131" i="1"/>
  <c r="C86" i="1"/>
  <c r="C58" i="1"/>
  <c r="C37" i="1"/>
  <c r="D19" i="1"/>
  <c r="E6" i="1" l="1"/>
  <c r="E23" i="1"/>
  <c r="C42" i="1"/>
  <c r="A64" i="1"/>
  <c r="E96" i="1"/>
  <c r="D151" i="1"/>
  <c r="A11" i="1"/>
  <c r="A28" i="1"/>
  <c r="A48" i="1"/>
  <c r="C70" i="1"/>
  <c r="D107" i="1"/>
  <c r="A176" i="1"/>
  <c r="E194" i="1"/>
  <c r="B15" i="1"/>
  <c r="C32" i="1"/>
  <c r="C53" i="1"/>
  <c r="C78" i="1"/>
  <c r="B118" i="1"/>
  <c r="D204" i="1"/>
  <c r="A6" i="1"/>
  <c r="E7" i="1"/>
  <c r="A12" i="1"/>
  <c r="C16" i="1"/>
  <c r="D20" i="1"/>
  <c r="E24" i="1"/>
  <c r="B29" i="1"/>
  <c r="C33" i="1"/>
  <c r="C38" i="1"/>
  <c r="A44" i="1"/>
  <c r="C49" i="1"/>
  <c r="C54" i="1"/>
  <c r="A60" i="1"/>
  <c r="C65" i="1"/>
  <c r="C72" i="1"/>
  <c r="C80" i="1"/>
  <c r="E88" i="1"/>
  <c r="D99" i="1"/>
  <c r="B110" i="1"/>
  <c r="E120" i="1"/>
  <c r="A135" i="1"/>
  <c r="B158" i="1"/>
  <c r="B182" i="1"/>
  <c r="E210" i="1"/>
  <c r="D217" i="1"/>
  <c r="B6" i="1"/>
  <c r="B13" i="1"/>
  <c r="D21" i="1"/>
  <c r="C34" i="1"/>
  <c r="C45" i="1"/>
  <c r="A56" i="1"/>
  <c r="D91" i="1"/>
  <c r="E8" i="1"/>
  <c r="C17" i="1"/>
  <c r="A26" i="1"/>
  <c r="B30" i="1"/>
  <c r="A40" i="1"/>
  <c r="C50" i="1"/>
  <c r="C61" i="1"/>
  <c r="C66" i="1"/>
  <c r="C74" i="1"/>
  <c r="C82" i="1"/>
  <c r="B102" i="1"/>
  <c r="E112" i="1"/>
  <c r="C124" i="1"/>
  <c r="D139" i="1"/>
  <c r="D163" i="1"/>
  <c r="A188" i="1"/>
  <c r="B191" i="1"/>
  <c r="C6" i="1"/>
  <c r="A10" i="1"/>
  <c r="B14" i="1"/>
  <c r="C18" i="1"/>
  <c r="E22" i="1"/>
  <c r="A27" i="1"/>
  <c r="B31" i="1"/>
  <c r="A36" i="1"/>
  <c r="C41" i="1"/>
  <c r="C46" i="1"/>
  <c r="A52" i="1"/>
  <c r="C57" i="1"/>
  <c r="C62" i="1"/>
  <c r="C68" i="1"/>
  <c r="C76" i="1"/>
  <c r="C84" i="1"/>
  <c r="B94" i="1"/>
  <c r="E104" i="1"/>
  <c r="D115" i="1"/>
  <c r="A128" i="1"/>
  <c r="C145" i="1"/>
  <c r="B170" i="1"/>
  <c r="C213" i="1"/>
  <c r="D108" i="6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N135" i="2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I7" i="5"/>
  <c r="D7" i="5"/>
  <c r="H7" i="5"/>
  <c r="B7" i="5"/>
  <c r="F7" i="5"/>
  <c r="N137" i="2"/>
  <c r="G8" i="5" s="1"/>
  <c r="E7" i="5"/>
  <c r="N138" i="2"/>
  <c r="E9" i="5" s="1"/>
  <c r="J7" i="5"/>
  <c r="C9" i="5" l="1"/>
  <c r="A8" i="5"/>
  <c r="G9" i="5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I8" i="5"/>
  <c r="F8" i="5"/>
  <c r="N140" i="2"/>
  <c r="C10" i="5" l="1"/>
  <c r="B10" i="5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H10" i="5"/>
  <c r="C11" i="5"/>
  <c r="K11" i="5"/>
  <c r="A10" i="5"/>
  <c r="N142" i="2"/>
  <c r="E10" i="5"/>
  <c r="D13" i="5" l="1"/>
  <c r="N143" i="2"/>
  <c r="C14" i="5" s="1"/>
  <c r="C12" i="5"/>
  <c r="B13" i="5"/>
  <c r="E13" i="5"/>
  <c r="H12" i="5"/>
  <c r="I12" i="5"/>
  <c r="C13" i="5"/>
  <c r="G12" i="5"/>
  <c r="J12" i="5"/>
  <c r="H13" i="5"/>
  <c r="F12" i="5"/>
  <c r="D12" i="5"/>
  <c r="J13" i="5"/>
  <c r="B12" i="5"/>
  <c r="K14" i="5" l="1"/>
  <c r="B14" i="5"/>
  <c r="F14" i="5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<sst xmlns="http://schemas.openxmlformats.org/spreadsheetml/2006/main" count="1322" uniqueCount="549">
  <si>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</si>
  <si>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</si>
  <si>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</si>
  <si>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</si>
  <si>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</si>
  <si>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</si>
  <si>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</si>
  <si>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</si>
  <si>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</si>
  <si>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</si>
  <si>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</si>
  <si>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</si>
  <si>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</si>
  <si>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</si>
  <si>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</si>
  <si>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</si>
  <si>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</si>
  <si>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</si>
  <si>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</si>
  <si>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</si>
  <si>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</si>
  <si>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</si>
  <si>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</si>
  <si>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</si>
  <si>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</si>
  <si>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</si>
  <si>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</si>
  <si>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</si>
  <si>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</si>
  <si>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</si>
  <si>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</si>
  <si>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</si>
  <si>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</si>
  <si>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</si>
  <si>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</si>
  <si>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</si>
  <si>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</si>
  <si>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</si>
  <si>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</si>
  <si>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</si>
  <si>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</si>
  <si>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</si>
  <si>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</si>
  <si>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</si>
  <si>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</si>
  <si>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</si>
  <si>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</si>
  <si>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</si>
  <si>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</si>
  <si>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</si>
  <si>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</si>
  <si>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</si>
  <si>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</si>
  <si>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</si>
  <si>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</si>
  <si>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</si>
  <si>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</si>
  <si>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</si>
  <si>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</si>
  <si>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</si>
  <si>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</si>
  <si>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</si>
  <si>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</si>
  <si>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</si>
  <si>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</si>
  <si>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</si>
  <si>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</si>
  <si>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</si>
  <si>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</si>
  <si>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</si>
  <si>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</si>
  <si>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</si>
  <si>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</si>
  <si>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</si>
  <si>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</si>
  <si>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</si>
  <si>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</si>
  <si>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</si>
  <si>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</si>
  <si>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</si>
  <si>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</si>
  <si>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</si>
  <si>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</si>
  <si>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</si>
  <si>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</si>
  <si>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</si>
  <si>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</si>
  <si>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</si>
  <si>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</si>
  <si>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</si>
  <si>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</si>
  <si>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</si>
  <si>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</si>
  <si>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</si>
  <si>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</si>
  <si>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</si>
  <si>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</si>
  <si>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</si>
  <si>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</si>
  <si>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</si>
  <si>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</si>
  <si>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</si>
  <si>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</si>
  <si>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</si>
  <si>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</si>
  <si>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</si>
  <si>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</si>
  <si>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</si>
  <si>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</si>
  <si>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</si>
  <si>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</si>
  <si>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</si>
  <si>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</si>
  <si>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</si>
  <si>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</si>
  <si>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</si>
  <si>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</si>
  <si>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</si>
  <si>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</si>
  <si>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</si>
  <si>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</si>
  <si>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</si>
  <si>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</si>
  <si>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</si>
  <si>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</si>
  <si>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</si>
  <si>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</si>
  <si>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</si>
  <si>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</si>
  <si>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</si>
  <si>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</si>
  <si>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</si>
  <si>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</si>
  <si>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</si>
  <si>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</si>
  <si>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</si>
  <si>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</si>
  <si>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</si>
  <si>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</si>
  <si>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</si>
  <si>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</si>
  <si>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</si>
  <si>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</si>
  <si>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</si>
  <si>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</si>
  <si>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</si>
  <si>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</si>
  <si>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</si>
  <si>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</si>
  <si>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</si>
  <si>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</si>
  <si>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</si>
  <si>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</si>
  <si>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</si>
  <si>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</si>
  <si>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</si>
  <si>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</si>
  <si>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</si>
  <si>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</si>
  <si>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</si>
  <si>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</si>
  <si>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</si>
  <si>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</si>
  <si>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</si>
  <si>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</si>
  <si>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</si>
  <si>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</si>
  <si>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</si>
  <si>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</si>
  <si>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</si>
  <si>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</si>
  <si>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</si>
  <si>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</si>
  <si>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</si>
  <si>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</si>
  <si>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</si>
  <si>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</si>
  <si>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</si>
  <si>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</si>
  <si>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</si>
  <si>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</si>
  <si>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</si>
  <si>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</si>
  <si>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</si>
  <si>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</si>
  <si>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</si>
  <si>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</si>
  <si>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</si>
  <si>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</si>
  <si>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</si>
  <si>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</si>
  <si>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</si>
  <si>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</si>
  <si>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</si>
  <si>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</si>
  <si>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</si>
  <si>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</si>
  <si>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</si>
  <si>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</si>
  <si>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</si>
  <si>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</si>
  <si>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</si>
  <si>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</si>
  <si>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</si>
  <si>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</si>
  <si>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</si>
  <si>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</si>
  <si>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</si>
  <si>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</si>
  <si>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</si>
  <si>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</si>
  <si>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</si>
  <si>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</si>
  <si>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</si>
  <si>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</si>
  <si>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</si>
  <si>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</si>
  <si>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</si>
  <si>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</si>
  <si>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</si>
  <si>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</si>
  <si>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</si>
  <si>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</si>
  <si>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</si>
  <si>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</si>
  <si>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</si>
  <si>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</si>
  <si>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</si>
  <si>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</si>
  <si>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</si>
  <si>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</si>
  <si>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</si>
  <si>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</si>
  <si>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</si>
  <si>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</si>
  <si>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</si>
  <si>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</si>
  <si>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</si>
  <si>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</si>
  <si>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</si>
  <si>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</si>
  <si>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</si>
  <si>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</si>
  <si>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</si>
  <si>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</si>
  <si>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</si>
  <si>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</si>
  <si>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</si>
  <si>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</si>
  <si>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</si>
  <si>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</si>
  <si>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</si>
  <si>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</si>
  <si>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</si>
  <si>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</si>
  <si>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</si>
  <si>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</si>
  <si>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</si>
  <si>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</si>
  <si>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</si>
  <si>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</si>
  <si>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</si>
  <si>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</si>
  <si>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</si>
  <si>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</si>
  <si>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</si>
  <si>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</si>
  <si>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</si>
  <si>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</si>
  <si>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</si>
  <si>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</si>
  <si>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</si>
  <si>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</si>
  <si>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</si>
  <si>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</si>
  <si>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</si>
  <si>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</si>
  <si>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</si>
  <si>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</si>
  <si>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</si>
  <si>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</si>
  <si>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</si>
  <si>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</si>
  <si>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</si>
  <si>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</si>
  <si>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</si>
  <si>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</si>
  <si>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</si>
  <si>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</si>
  <si>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</si>
  <si>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</si>
  <si>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</si>
  <si>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</si>
  <si>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</si>
  <si>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</si>
  <si>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</si>
  <si>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</si>
  <si>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</si>
  <si>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</si>
  <si>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</si>
  <si>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</si>
  <si>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</si>
  <si>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</si>
  <si>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</si>
  <si>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</si>
  <si>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</si>
  <si>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</si>
  <si>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</si>
  <si>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</si>
  <si>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</si>
  <si>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</si>
  <si>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</si>
  <si>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</si>
  <si>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</si>
  <si>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</si>
  <si>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</si>
  <si>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</si>
  <si>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</si>
  <si>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</si>
  <si>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</si>
  <si>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</si>
  <si>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</si>
  <si>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</si>
  <si>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</si>
  <si>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</si>
  <si>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</si>
  <si>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</si>
  <si>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</si>
  <si>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</si>
  <si>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</si>
  <si>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</si>
  <si>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</si>
  <si>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</si>
  <si>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</si>
  <si>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</si>
  <si>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</si>
  <si>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</si>
  <si>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</si>
  <si>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</si>
  <si>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</si>
  <si>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</si>
  <si>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</si>
  <si>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</si>
  <si>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</si>
  <si>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</si>
  <si>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</si>
  <si>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</si>
  <si>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</si>
  <si>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</si>
  <si>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</si>
  <si>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</si>
  <si>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</si>
  <si>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</si>
  <si>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</si>
  <si>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</si>
  <si>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</si>
  <si>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</si>
  <si>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</si>
  <si>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</si>
  <si>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</si>
  <si>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</si>
  <si>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</si>
  <si>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</si>
  <si>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</si>
  <si>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</si>
  <si>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</si>
  <si>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</si>
  <si>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</si>
  <si>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</si>
  <si>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</si>
  <si>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</si>
  <si>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</si>
  <si>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</si>
  <si>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</si>
  <si>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</si>
  <si>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</si>
  <si>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</si>
  <si>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</si>
  <si>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</si>
  <si>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</si>
  <si>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</si>
  <si>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</si>
  <si>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</si>
  <si>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</si>
  <si>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</si>
  <si>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</si>
  <si>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</si>
  <si>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</si>
  <si>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</si>
  <si>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</si>
  <si>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</si>
  <si>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</si>
  <si>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</si>
  <si>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</si>
  <si>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</si>
  <si>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</si>
  <si>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</si>
  <si>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</si>
  <si>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</si>
  <si>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</si>
  <si>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</si>
  <si>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</si>
  <si>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</si>
  <si>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</si>
  <si>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</si>
  <si>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</si>
  <si>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</si>
  <si>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</si>
  <si>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</si>
  <si>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</si>
  <si>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</si>
  <si>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</si>
  <si>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</si>
  <si>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</si>
  <si>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</si>
  <si>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</si>
  <si>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</si>
  <si>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</si>
  <si>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</si>
  <si>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</si>
  <si>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</si>
  <si>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</si>
  <si>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</si>
  <si>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</si>
  <si>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</si>
  <si>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</si>
  <si>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</si>
  <si>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</si>
  <si>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</si>
  <si>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</si>
  <si>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</si>
  <si>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</si>
  <si>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</si>
  <si>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</si>
  <si>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</si>
  <si>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</si>
  <si>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</si>
  <si>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</si>
  <si>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</si>
  <si>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</si>
  <si>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</si>
  <si>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</si>
  <si>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</si>
  <si>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</si>
  <si>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</si>
  <si>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</si>
  <si>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</si>
  <si>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</si>
  <si>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</si>
  <si>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</si>
  <si>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</si>
  <si>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</si>
  <si>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</si>
  <si>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</si>
  <si>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</si>
  <si>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</si>
  <si>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</si>
  <si>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</si>
  <si>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</si>
  <si>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</si>
  <si>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</si>
  <si>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</si>
  <si>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</si>
  <si>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</si>
  <si>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</si>
  <si>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</si>
  <si>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</si>
  <si>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</si>
  <si>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</si>
  <si>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</si>
  <si>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</si>
  <si>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</si>
  <si>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</si>
  <si>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</si>
  <si>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</si>
  <si>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</si>
  <si>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</si>
  <si>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</si>
  <si>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</si>
  <si>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</si>
  <si>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</si>
  <si>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</si>
  <si>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</si>
  <si>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</si>
  <si>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</si>
  <si>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</si>
  <si>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</si>
  <si>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</si>
  <si>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</si>
  <si>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</si>
  <si>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</si>
  <si>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</si>
  <si>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</si>
  <si>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</si>
  <si>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</si>
  <si>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</si>
  <si>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</si>
  <si>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</si>
  <si>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</si>
  <si>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</si>
  <si>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</si>
  <si>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</si>
  <si>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</si>
  <si>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</si>
  <si>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</si>
  <si>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</si>
  <si>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</si>
  <si>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</si>
  <si>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</si>
  <si>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</si>
  <si>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</si>
  <si>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</si>
  <si>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</si>
  <si>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</si>
  <si>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</si>
  <si>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</si>
  <si>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</si>
  <si>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</si>
  <si>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</si>
  <si>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</si>
  <si>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</si>
  <si>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</si>
  <si>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</si>
  <si>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</si>
  <si>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</si>
  <si>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</si>
  <si>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</si>
  <si>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</si>
  <si>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</si>
  <si>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</si>
  <si>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</si>
  <si>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</si>
  <si>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</si>
  <si>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</si>
  <si>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</si>
  <si>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</si>
  <si>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</si>
  <si>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</si>
  <si>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</si>
  <si>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</si>
  <si>
    <t>متنوع - هاني</t>
  </si>
  <si>
    <t>Inv-200</t>
  </si>
  <si>
    <t>شراء عدد 10 نبتات (شيا)</t>
  </si>
  <si>
    <t>Inv-201</t>
  </si>
  <si>
    <t>متنوع 99030171</t>
  </si>
  <si>
    <t>متنوع -زهور التهاني</t>
  </si>
  <si>
    <t>Inv-202</t>
  </si>
  <si>
    <t>عدد 50 نبته من وفره الخير</t>
  </si>
  <si>
    <t>عماله إضافيين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</si>
</sst>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61" t="s">
        <v>0</v>
      </c>
      <c r="B1" s="158"/>
      <c r="C1" s="158"/>
      <c r="D1" s="158"/>
      <c r="E1" s="158"/>
      <c r="F1" s="159"/>
    </row>
    <row r="2" spans="1:6" ht="30" customHeight="1" x14ac:dyDescent="0.25">
      <c r="A2" s="160" t="s">
        <v>1</v>
      </c>
      <c r="B2" s="158"/>
      <c r="C2" s="158"/>
      <c r="D2" s="158"/>
      <c r="E2" s="159"/>
      <c r="F2" s="119">
        <f>F206</f>
        <v>921.79500000000007</v>
      </c>
    </row>
    <row r="3" spans="1:6" ht="6" customHeight="1" x14ac:dyDescent="0.25">
      <c r="A3" s="163"/>
      <c r="B3" s="158"/>
      <c r="C3" s="158"/>
      <c r="D3" s="158"/>
      <c r="E3" s="158"/>
      <c r="F3" s="159"/>
    </row>
    <row r="4" spans="1:6" ht="27.95" customHeight="1" x14ac:dyDescent="0.25">
      <c r="A4" s="162" t="s">
        <v>2</v>
      </c>
      <c r="B4" s="158"/>
      <c r="C4" s="158"/>
      <c r="D4" s="158"/>
      <c r="E4" s="158"/>
      <c r="F4" s="15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7" t="s">
        <v>10</v>
      </c>
      <c r="B208" s="158"/>
      <c r="C208" s="158"/>
      <c r="D208" s="158"/>
      <c r="E208" s="158"/>
      <c r="F208" s="15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68" activePane="bottomLeft" state="frozen"/>
      <selection pane="bottomLeft" activeCell="H278" sqref="H278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7" ht="24" customHeight="1" x14ac:dyDescent="0.25">
      <c r="A2" s="167" t="s">
        <v>17</v>
      </c>
      <c r="B2" s="165"/>
      <c r="C2" s="165"/>
      <c r="D2" s="1">
        <v>0</v>
      </c>
      <c r="E2" s="168" t="s">
        <v>18</v>
      </c>
      <c r="F2" s="169"/>
      <c r="G2" s="169"/>
      <c r="H2" s="169"/>
      <c r="I2" s="169"/>
      <c r="J2" s="169"/>
      <c r="K2" s="16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72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73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73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73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4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72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73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73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73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73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4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72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73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73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73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4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72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73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73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4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16.5</v>
      </c>
      <c r="F271" s="30" t="s">
        <v>38</v>
      </c>
      <c r="G271" s="31"/>
      <c r="H271" s="32" t="s">
        <v>50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1918.595</v>
      </c>
      <c r="K271" s="35"/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53" t="s">
        <v>539</v>
      </c>
      <c r="D272" s="38">
        <v>3</v>
      </c>
      <c r="E272" s="39"/>
      <c r="F272" s="154" t="s">
        <v>38</v>
      </c>
      <c r="G272" s="155" t="s">
        <v>39</v>
      </c>
      <c r="H272" s="156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1915.595</v>
      </c>
      <c r="K272" s="44"/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>
        <v>46311</v>
      </c>
      <c r="B273" s="26" t="s">
        <v>541</v>
      </c>
      <c r="C273" s="27" t="s">
        <v>540</v>
      </c>
      <c r="D273" s="28"/>
      <c r="E273" s="29">
        <v>139.25</v>
      </c>
      <c r="F273" s="30"/>
      <c r="G273" s="31"/>
      <c r="H273" s="32" t="s">
        <v>50</v>
      </c>
      <c r="I273" s="33"/>
      <c r="J273" s="34">
        <f>IF(AND(D273="",E273="",A273="",B273="",C273=""),"", IFERROR(IF(J272="",D2,J272),D2)+IF(OR(E273="",H273="معلق"),0,E273)-IF(OR(G273="أبو اسحاق",G273="أبو آدم",G273="أبو اسحاق ",G273="أبو آدم "),0,IF(D273="",0,D273)))</f>
        <v>1915.595</v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>
        <f>IF(OR($A273="",$F273="أحد الشركاء",AND($D273="",$E273="")),"",SUMPRODUCT(($A$4:$A273&lt;&gt;"")*($F$4:$F273&lt;&gt;"أحد الشركاء")*((($D$4:$D273&lt;&gt;"")+($E$4:$E273&lt;&gt;""))&gt;0)))</f>
        <v>249</v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>
        <v>46311</v>
      </c>
      <c r="B274" s="36"/>
      <c r="C274" s="37" t="s">
        <v>542</v>
      </c>
      <c r="D274" s="38">
        <v>10</v>
      </c>
      <c r="E274" s="39"/>
      <c r="F274" s="136" t="s">
        <v>38</v>
      </c>
      <c r="G274" s="40" t="s">
        <v>39</v>
      </c>
      <c r="H274" s="41" t="s">
        <v>40</v>
      </c>
      <c r="I274" s="42"/>
      <c r="J274" s="43">
        <f>IF(AND(D274="",E274="",A274="",B274="",C274=""),"", IFERROR(IF(J273="",D2,J273),D2)+IF(OR(E274="",H274="معلق"),0,E274)-IF(OR(G274="أبو اسحاق",G274="أبو آدم",G274="أبو اسحاق ",G274="أبو آدم "),0,IF(D274="",0,D274)))</f>
        <v>1905.595</v>
      </c>
      <c r="K274" s="44"/>
      <c r="L274">
        <f>IF(E273&gt;0,COUNTIF($E$4:E273,"&gt;0"),"")</f>
        <v>186</v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>
        <f>IF(OR($A274="",$F274="أحد الشركاء",AND($D274="",$E274="")),"",SUMPRODUCT(($A$4:$A274&lt;&gt;"")*($F$4:$F274&lt;&gt;"أحد الشركاء")*((($D$4:$D274&lt;&gt;"")+($E$4:$E274&lt;&gt;""))&gt;0)))</f>
        <v>250</v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>
        <v>46312</v>
      </c>
      <c r="B275" s="26" t="s">
        <v>543</v>
      </c>
      <c r="C275" s="27" t="s">
        <v>544</v>
      </c>
      <c r="D275" s="28"/>
      <c r="E275" s="29">
        <v>55</v>
      </c>
      <c r="F275" s="30" t="s">
        <v>172</v>
      </c>
      <c r="G275" s="31"/>
      <c r="H275" s="32" t="s">
        <v>40</v>
      </c>
      <c r="I275" s="33"/>
      <c r="J275" s="34">
        <f>IF(AND(D275="",E275="",A275="",B275="",C275=""),"", IFERROR(IF(J274="",D2,J274),D2)+IF(OR(E275="",H275="معلق"),0,E275)-IF(OR(G275="أبو اسحاق",G275="أبو آدم",G275="أبو اسحاق ",G275="أبو آدم "),0,IF(D275="",0,D275)))</f>
        <v>1960.595</v>
      </c>
      <c r="K275" s="35"/>
      <c r="L275" t="str">
        <f>IF(E274&gt;0,COUNTIF($E$4:E274,"&gt;0"),"")</f>
        <v/>
      </c>
      <c r="M275">
        <f>IF(AND(D274&gt;0,G274="المحفظة"),COUNTIFS($D$4:D274,"&gt;"&amp;0,$G$4:G274,"المحفظة"),"")</f>
        <v>61</v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>
        <f>IF(OR($A275="",$F275="أحد الشركاء",AND($D275="",$E275="")),"",SUMPRODUCT(($A$4:$A275&lt;&gt;"")*($F$4:$F275&lt;&gt;"أحد الشركاء")*((($D$4:$D275&lt;&gt;"")+($E$4:$E275&lt;&gt;""))&gt;0)))</f>
        <v>251</v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>
        <v>46314</v>
      </c>
      <c r="B276" s="36" t="s">
        <v>546</v>
      </c>
      <c r="C276" s="37" t="s">
        <v>545</v>
      </c>
      <c r="D276" s="38"/>
      <c r="E276" s="39">
        <v>280</v>
      </c>
      <c r="F276" s="136" t="s">
        <v>38</v>
      </c>
      <c r="G276" s="40"/>
      <c r="H276" s="41" t="s">
        <v>40</v>
      </c>
      <c r="I276" s="42"/>
      <c r="J276" s="43">
        <f>IF(AND(D276="",E276="",A276="",B276="",C276=""),"", IFERROR(IF(J275="",D2,J275),D2)+IF(OR(E276="",H276="معلق"),0,E276)-IF(OR(G276="أبو اسحاق",G276="أبو آدم",G276="أبو اسحاق ",G276="أبو آدم "),0,IF(D276="",0,D276)))</f>
        <v>2240.5950000000003</v>
      </c>
      <c r="K276" s="44"/>
      <c r="L276">
        <f>IF(E275&gt;0,COUNTIF($E$4:E275,"&gt;0"),"")</f>
        <v>187</v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>
        <f>IF(OR($A276="",$F276="أحد الشركاء",AND($D276="",$E276="")),"",SUMPRODUCT(($A$4:$A276&lt;&gt;"")*($F$4:$F276&lt;&gt;"أحد الشركاء")*((($D$4:$D276&lt;&gt;"")+($E$4:$E276&lt;&gt;""))&gt;0)))</f>
        <v>252</v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>
        <v>46314</v>
      </c>
      <c r="B277" s="26"/>
      <c r="C277" s="27" t="s">
        <v>547</v>
      </c>
      <c r="D277" s="28">
        <v>30</v>
      </c>
      <c r="E277" s="29"/>
      <c r="F277" s="30" t="s">
        <v>38</v>
      </c>
      <c r="G277" s="31" t="s">
        <v>39</v>
      </c>
      <c r="H277" s="32" t="s">
        <v>40</v>
      </c>
      <c r="I277" s="33"/>
      <c r="J277" s="34">
        <f>IF(AND(D277="",E277="",A277="",B277="",C277=""),"", IFERROR(IF(J276="",D2,J276),D2)+IF(OR(E277="",H277="معلق"),0,E277)-IF(OR(G277="أبو اسحاق",G277="أبو آدم",G277="أبو اسحاق ",G277="أبو آدم "),0,IF(D277="",0,D277)))</f>
        <v>2210.5950000000003</v>
      </c>
      <c r="K277" s="35"/>
      <c r="L277">
        <f>IF(E276&gt;0,COUNTIF($E$4:E276,"&gt;0"),"")</f>
        <v>188</v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>
        <f>IF(OR($A277="",$F277="أحد الشركاء",AND($D277="",$E277="")),"",SUMPRODUCT(($A$4:$A277&lt;&gt;"")*($F$4:$F277&lt;&gt;"أحد الشركاء")*((($D$4:$D277&lt;&gt;"")+($E$4:$E277&lt;&gt;""))&gt;0)))</f>
        <v>253</v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>
        <v>46314</v>
      </c>
      <c r="B278" s="36"/>
      <c r="C278" s="37" t="s">
        <v>548</v>
      </c>
      <c r="D278" s="38">
        <v>3</v>
      </c>
      <c r="E278" s="39"/>
      <c r="F278" s="136" t="s">
        <v>38</v>
      </c>
      <c r="G278" s="40" t="s">
        <v>39</v>
      </c>
      <c r="H278" s="41" t="s">
        <v>40</v>
      </c>
      <c r="I278" s="42"/>
      <c r="J278" s="43">
        <f>IF(AND(D278="",E278="",A278="",B278="",C278=""),"", IFERROR(IF(J277="",D2,J277),D2)+IF(OR(E278="",H278="معلق"),0,E278)-IF(OR(G278="أبو اسحاق",G278="أبو آدم",G278="أبو اسحاق ",G278="أبو آدم "),0,IF(D278="",0,D278)))</f>
        <v>2207.5950000000003</v>
      </c>
      <c r="K278" s="44"/>
      <c r="L278" t="str">
        <f>IF(E277&gt;0,COUNTIF($E$4:E277,"&gt;0"),"")</f>
        <v/>
      </c>
      <c r="M278">
        <f>IF(AND(D277&gt;0,G277="المحفظة"),COUNTIFS($D$4:D277,"&gt;"&amp;0,$G$4:G277,"المحفظة"),"")</f>
        <v>62</v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>
        <f>IF(OR($A278="",$F278="أحد الشركاء",AND($D278="",$E278="")),"",SUMPRODUCT(($A$4:$A278&lt;&gt;"")*($F$4:$F278&lt;&gt;"أحد الشركاء")*((($D$4:$D278&lt;&gt;"")+($E$4:$E278&lt;&gt;""))&gt;0)))</f>
        <v>254</v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>
        <f>IF(AND(D278&gt;0,G278="المحفظة"),COUNTIFS($D$4:D278,"&gt;"&amp;0,$G$4:G278,"المحفظة"),"")</f>
        <v>63</v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71"/>
      <c r="B354" s="165"/>
      <c r="C354" s="166"/>
      <c r="D354" s="38"/>
      <c r="E354" s="39"/>
      <c r="F354" s="164"/>
      <c r="G354" s="165"/>
      <c r="H354" s="166"/>
      <c r="I354" s="42"/>
      <c r="J354" s="43">
        <f t="array" ref="J354">IFERROR(LOOKUP(2,1/(J4:J353&lt;&gt;""),J4:J353),$D$2)</f>
        <v>2207.5950000000003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4984.1450000000004</v>
      </c>
      <c r="E355" s="46">
        <f ca="1">SUMPRODUCT(SUBTOTAL(9,OFFSET(E4,ROW(E4:E353)-ROW(E4),0)),--(H4:H353&lt;&gt;"معلق"))</f>
        <v>5410.24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2207.5950000000003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5" t="s">
        <v>220</v>
      </c>
      <c r="B1" s="165"/>
      <c r="C1" s="16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7" t="s">
        <v>236</v>
      </c>
      <c r="B1" s="165"/>
    </row>
    <row r="2" spans="1:2" ht="21.75" customHeight="1" x14ac:dyDescent="0.25">
      <c r="A2" s="176" t="s">
        <v>237</v>
      </c>
      <c r="B2" s="16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6" t="s">
        <v>242</v>
      </c>
      <c r="B5" s="16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6" t="s">
        <v>251</v>
      </c>
      <c r="B11" s="16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24" customHeight="1" x14ac:dyDescent="0.25">
      <c r="A2" s="178"/>
      <c r="B2" s="165"/>
      <c r="C2" s="56" t="s">
        <v>342</v>
      </c>
      <c r="D2" s="178">
        <v>2026</v>
      </c>
      <c r="E2" s="165"/>
      <c r="F2" s="56" t="s">
        <v>256</v>
      </c>
      <c r="G2" s="181" t="s">
        <v>257</v>
      </c>
      <c r="H2" s="169"/>
      <c r="I2" s="169"/>
      <c r="J2" s="169"/>
      <c r="K2" s="169"/>
    </row>
    <row r="3" spans="1:11" ht="19.5" customHeight="1" x14ac:dyDescent="0.25">
      <c r="A3" s="182" t="s">
        <v>258</v>
      </c>
      <c r="B3" s="165"/>
      <c r="C3" s="16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9" t="s">
        <v>265</v>
      </c>
      <c r="B355" s="165"/>
      <c r="C355" s="165"/>
      <c r="D355" s="75">
        <f>SUM(D5:D354)</f>
        <v>1364.45</v>
      </c>
      <c r="E355" s="75">
        <f>SUM(E5:E354)</f>
        <v>602.5</v>
      </c>
      <c r="F355" s="180">
        <f>COUNTIF(H5:H354,"معلق")</f>
        <v>0</v>
      </c>
      <c r="G355" s="165"/>
      <c r="H355" s="165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70" t="s">
        <v>268</v>
      </c>
      <c r="B1" s="165"/>
      <c r="C1" s="165"/>
      <c r="D1" s="165"/>
      <c r="E1" s="165"/>
      <c r="F1" s="165"/>
      <c r="G1" s="165"/>
    </row>
    <row r="2" spans="1:7" ht="24" customHeight="1" x14ac:dyDescent="0.25">
      <c r="A2" s="178" t="s">
        <v>269</v>
      </c>
      <c r="B2" s="165"/>
      <c r="C2" s="56" t="s">
        <v>342</v>
      </c>
      <c r="D2" s="178" t="s">
        <v>270</v>
      </c>
      <c r="E2" s="165"/>
      <c r="F2" s="56">
        <v>2026</v>
      </c>
    </row>
    <row r="3" spans="1:7" ht="21.75" customHeight="1" x14ac:dyDescent="0.25">
      <c r="A3" s="182" t="s">
        <v>271</v>
      </c>
      <c r="B3" s="165"/>
      <c r="C3" s="57">
        <f>المحفظة!$D$2</f>
        <v>0</v>
      </c>
      <c r="D3" s="182" t="s">
        <v>272</v>
      </c>
      <c r="E3" s="165"/>
      <c r="F3" s="78">
        <f>المحفظة!$C$3</f>
        <v>0</v>
      </c>
    </row>
    <row r="4" spans="1:7" ht="21.75" customHeight="1" x14ac:dyDescent="0.25">
      <c r="A4" s="184" t="s">
        <v>273</v>
      </c>
      <c r="B4" s="165"/>
      <c r="C4" s="165"/>
      <c r="D4" s="165"/>
      <c r="E4" s="165"/>
      <c r="F4" s="165"/>
      <c r="G4" s="16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4" t="s">
        <v>266</v>
      </c>
      <c r="B55" s="165"/>
      <c r="C55" s="165"/>
      <c r="D55" s="16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3" t="s">
        <v>275</v>
      </c>
      <c r="B56" s="165"/>
      <c r="C56" s="165"/>
      <c r="D56" s="165"/>
      <c r="E56" s="165"/>
      <c r="F56" s="165"/>
      <c r="G56" s="16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3" t="s">
        <v>276</v>
      </c>
      <c r="B107" s="165"/>
      <c r="C107" s="16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9" t="s">
        <v>277</v>
      </c>
      <c r="B108" s="165"/>
      <c r="C108" s="165"/>
      <c r="D108" s="75">
        <f>E55-D107</f>
        <v>0</v>
      </c>
      <c r="E108" s="185">
        <f>SUM(E5:E107)</f>
        <v>0</v>
      </c>
      <c r="F108" s="165"/>
      <c r="G108" s="166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2026-10-19T19:53:40Z</dcterms:modified>
  <dc:language>en-US</dc:language>
</cp:coreProperties>
</file>